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90d2df498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079eda7a9674484"/>
    <x:sheet xmlns:r="http://schemas.openxmlformats.org/officeDocument/2006/relationships" name="Monthly" sheetId="2" r:id="R873ac00effd7425b"/>
    <x:sheet xmlns:r="http://schemas.openxmlformats.org/officeDocument/2006/relationships" name="Orders" sheetId="3" r:id="R556c1d226e6841fd"/>
    <x:sheet xmlns:r="http://schemas.openxmlformats.org/officeDocument/2006/relationships" name="SalesLines" sheetId="4" r:id="Re9cd04ff9cd143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m d, yyyy"/>
    <x:numFmt numFmtId="201" formatCode="mmm yyyy"/>
    <x:numFmt numFmtId="202" formatCode="$#,##0.00;($#,##0.00);$0.00"/>
    <x:numFmt numFmtId="203" formatCode="0.0%"/>
    <x:numFmt numFmtId="204" formatCode="#,##0"/>
    <x:numFmt numFmtId="205" formatCode="0.0%;(0.0%);0.0%"/>
    <x:numFmt numFmtId="206" formatCode="0.00%"/>
  </x:numFmts>
  <x:fonts count="9">
    <x:font>
      <x:sz val="11"/>
      <x:name val="Carlito"/>
    </x:font>
    <x:font>
      <x:sz val="10"/>
      <x:color rgb="FF243447"/>
      <x:name val="Arial"/>
    </x:font>
    <x:font>
      <x:b/>
      <x:sz val="16"/>
      <x:color rgb="FF142F51"/>
      <x:name val="Arial"/>
    </x:font>
    <x:font>
      <x:i/>
      <x:sz val="10"/>
      <x:color rgb="FF526477"/>
      <x:name val="Arial"/>
    </x:font>
    <x:font>
      <x:b/>
      <x:sz val="10"/>
      <x:color rgb="FFFFFFFF"/>
      <x:name val="Arial"/>
    </x:font>
    <x:font>
      <x:b/>
      <x:sz val="10"/>
      <x:color rgb="FF243447"/>
      <x:name val="Arial"/>
    </x:font>
    <x:font>
      <x:i/>
      <x:sz val="10"/>
      <x:color rgb="FF243447"/>
      <x:name val="Arial"/>
    </x:font>
    <x:font>
      <x:b/>
      <x:sz val="16"/>
      <x:color rgb="FF243447"/>
      <x:name val="Arial"/>
    </x:font>
    <x:font>
      <x:sz val="10"/>
      <x:color rgb="FF52647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D61"/>
      </x:patternFill>
    </x:fill>
  </x:fills>
  <x:borders count="3">
    <x:border/>
    <x:border>
      <x:bottom style="thin">
        <x:color rgb="FFC9D3DF"/>
      </x:bottom>
    </x:border>
    <x:border>
      <x:top style="thin">
        <x:color rgb="FF526477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4" fontId="5" fillId="0" borderId="2" xfId="0" applyNumberFormat="1" applyFont="1" applyFill="1" applyBorder="1" applyAlignment="1">
      <x:alignment vertical="center"/>
    </x:xf>
    <x:xf numFmtId="205" fontId="5" fillId="0" borderId="2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AD3A3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004cb860542c9" /><Relationship Type="http://schemas.openxmlformats.org/officeDocument/2006/relationships/theme" Target="/xl/theme/theme1.xml" Id="Rd1417dacc130407d" /><Relationship Type="http://schemas.openxmlformats.org/officeDocument/2006/relationships/sharedStrings" Target="/xl/sharedStrings.xml" Id="R1d92b4a225594428" /><Relationship Type="http://schemas.openxmlformats.org/officeDocument/2006/relationships/worksheet" Target="/xl/worksheets/sheet1.xml" Id="R0079eda7a9674484" /><Relationship Type="http://schemas.openxmlformats.org/officeDocument/2006/relationships/worksheet" Target="/xl/worksheets/sheet2.xml" Id="R873ac00effd7425b" /><Relationship Type="http://schemas.openxmlformats.org/officeDocument/2006/relationships/worksheet" Target="/xl/worksheets/sheet3.xml" Id="R556c1d226e6841fd" /><Relationship Type="http://schemas.openxmlformats.org/officeDocument/2006/relationships/worksheet" Target="/xl/worksheets/sheet4.xml" Id="Re9cd04ff9cd143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0334d56e384f59" /><Relationship Type="http://schemas.openxmlformats.org/officeDocument/2006/relationships/chart" Target="/xl/drawings/charts/chart2.xml" Id="R56af840baba940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Monthly net sales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sales</c:v>
          </c:tx>
          <c:spPr>
            <a:ln xmlns:a="http://schemas.openxmlformats.org/drawingml/2006/main" w="23813">
              <a:solidFill>
                <a:srgbClr val="245A86"/>
              </a:solidFill>
              <a:prstDash val="solid"/>
            </a:ln>
          </c:spPr>
          <c:marker>
            <c:symbol val="none"/>
          </c:marker>
          <c:cat>
            <c:strRef>
              <c:f>'Monthly'!$B$5:$B$16</c:f>
              <c:strCache>
                <c:ptCount val="0"/>
              </c:strCache>
            </c:strRef>
          </c:cat>
          <c:val>
            <c:numRef>
              <c:f>'Monthly'!$F$5:$F$16</c:f>
              <c:numCache>
                <c:formatCode>$#,##0.00;($#,##0.00);$0.00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,&quot;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Net sales by category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Net sales</c:v>
          </c:tx>
          <c:spPr>
            <a:solidFill xmlns:a="http://schemas.openxmlformats.org/drawingml/2006/main">
              <a:srgbClr val="245A86"/>
            </a:solidFill>
          </c:spPr>
          <c:cat>
            <c:strRef>
              <c:f>'Dashboard'!$I$6:$I$8</c:f>
              <c:strCache>
                <c:ptCount val="0"/>
              </c:strCache>
            </c:strRef>
          </c:cat>
          <c:val>
            <c:numRef>
              <c:f>'Dashboard'!$J$6:$J$8</c:f>
              <c:numCache>
                <c:formatCode>$#,##0.00;($#,##0.00);$0.00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,&quot;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0334d56e384f59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af840baba9402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PortfolioOrders" displayName="PortfolioOrders" ref="A4:M1804" headerRowCount="1" totalsRowCount="0" totalsRowShown="0">
  <x:tableColumns count="13">
    <x:tableColumn id="1" name="Order ID"/>
    <x:tableColumn id="2" name="Customer ID"/>
    <x:tableColumn id="3" name="Order date"/>
    <x:tableColumn id="4" name="Status"/>
    <x:tableColumn id="5" name="Region"/>
    <x:tableColumn id="6" name="Channel"/>
    <x:tableColumn id="7" name="Net sales"/>
    <x:tableColumn id="8" name="Gross sales"/>
    <x:tableColumn id="9" name="Discounts"/>
    <x:tableColumn id="10" name="Refunds"/>
    <x:tableColumn id="11" name="Sold units"/>
    <x:tableColumn id="12" name="Returned units"/>
    <x:tableColumn id="13" name="Order mon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ortfolioSalesLines" displayName="PortfolioSalesLines" ref="A4:T4450" headerRowCount="1" totalsRowCount="0" totalsRowShown="0">
  <x:tableColumns count="20">
    <x:tableColumn id="1" name="Line ID"/>
    <x:tableColumn id="2" name="Order ID"/>
    <x:tableColumn id="3" name="Order date"/>
    <x:tableColumn id="4" name="Status"/>
    <x:tableColumn id="5" name="Region"/>
    <x:tableColumn id="6" name="Channel"/>
    <x:tableColumn id="7" name="Category"/>
    <x:tableColumn id="8" name="Product"/>
    <x:tableColumn id="9" name="Quantity"/>
    <x:tableColumn id="10" name="Unit price (USD)"/>
    <x:tableColumn id="11" name="Discount rate"/>
    <x:tableColumn id="12" name="Returned units"/>
    <x:tableColumn id="13" name="Gross sales"/>
    <x:tableColumn id="14" name="Discounts"/>
    <x:tableColumn id="15" name="Before returns"/>
    <x:tableColumn id="16" name="Refunds"/>
    <x:tableColumn id="17" name="Net sales"/>
    <x:tableColumn id="18" name="Sold units (KPI)"/>
    <x:tableColumn id="19" name="Returned units (KPI)"/>
    <x:tableColumn id="20" name="Order mon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fe7e404975940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c6b9fa885c449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6faf342d117463c" /></Relationships>
</file>

<file path=xl/worksheets/sheet1.xml><?xml version="1.0" encoding="utf-8"?>
<x:worksheet xmlns:x="http://schemas.openxmlformats.org/spreadsheetml/2006/main">
  <x:sheetPr>
    <x:tabColor rgb="FF203D61"/>
  </x:sheetPr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3" hidden="0" customWidth="1"/>
    <x:col min="4" max="4" width="16" hidden="0" customWidth="1"/>
    <x:col min="5" max="5" width="14" hidden="0" customWidth="1"/>
    <x:col min="6" max="6" width="19" hidden="0" customWidth="1"/>
    <x:col min="7" max="7" width="16" hidden="0" customWidth="1"/>
    <x:col min="8" max="8" width="3" hidden="0" customWidth="1"/>
    <x:col min="9" max="9" width="20" hidden="0" customWidth="1"/>
    <x:col min="10" max="10" width="19" hidden="0" customWidth="1"/>
    <x:col min="11" max="11" width="15" hidden="0" customWidth="1"/>
    <x:col min="12" max="12" width="1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5" t="str">
        <x:v>Terrence Retail Analytics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2" customHeight="1">
      <x:c r="A3" s="4" t="str">
        <x:v>2025 completed orders. USD. Returns through January 30, 2026 are assigned to the original order month.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14" t="str">
        <x:v>Metric</x:v>
      </x:c>
      <x:c r="B5" s="14" t="str">
        <x:v>2025 result</x:v>
      </x:c>
      <x:c r="C5" s="2"/>
      <x:c r="D5" s="14" t="str">
        <x:v>Region</x:v>
      </x:c>
      <x:c r="E5" s="14" t="str">
        <x:v>Orders</x:v>
      </x:c>
      <x:c r="F5" s="14" t="str">
        <x:v>Net sales</x:v>
      </x:c>
      <x:c r="G5" s="14" t="str">
        <x:v>Unit return rate</x:v>
      </x:c>
      <x:c r="H5" s="2"/>
      <x:c r="I5" s="14" t="str">
        <x:v>Category</x:v>
      </x:c>
      <x:c r="J5" s="14" t="str">
        <x:v>Net sales</x:v>
      </x:c>
      <x:c r="K5" s="14" t="str">
        <x:v>Sales share</x:v>
      </x:c>
      <x:c r="L5" s="14" t="str">
        <x:v>Unit return rate</x:v>
      </x:c>
    </x:row>
    <x:row r="6" ht="22" customHeight="1">
      <x:c r="A6" s="2" t="str">
        <x:v>Net sales</x:v>
      </x:c>
      <x:c r="B6" s="26" t="n">
        <x:f>Monthly!F18</x:f>
        <x:v>1875494.6000000006</x:v>
      </x:c>
      <x:c r="C6" s="2"/>
      <x:c r="D6" s="2" t="str">
        <x:v>West</x:v>
      </x:c>
      <x:c r="E6" s="11" t="n">
        <x:f>COUNTIFS(Orders!$E$5:$E$1804,D6,Orders!$D$5:$D$1804,"Completed")</x:f>
        <x:v>484</x:v>
      </x:c>
      <x:c r="F6" s="9" t="n">
        <x:f>SUMIF(Orders!$E$5:$E$1804,D6,Orders!$G$5:$G$1804)</x:f>
        <x:v>526887.6500000001</x:v>
      </x:c>
      <x:c r="G6" s="25" t="n">
        <x:f>IF(SUMIF(Orders!$E$5:$E$1804,D6,Orders!$K$5:$K$1804)=0,"",SUMIF(Orders!$E$5:$E$1804,D6,Orders!$L$5:$L$1804)/SUMIF(Orders!$E$5:$E$1804,D6,Orders!$K$5:$K$1804))</x:f>
        <x:v>0.05555555555555555</x:v>
      </x:c>
      <x:c r="H6" s="2"/>
      <x:c r="I6" s="2" t="str">
        <x:v>Furniture</x:v>
      </x:c>
      <x:c r="J6" s="9" t="n">
        <x:f>SUMIF(SalesLines!$G$5:$G$4450,I6,SalesLines!$Q$5:$Q$4450)</x:f>
        <x:v>1051563.5999999987</x:v>
      </x:c>
      <x:c r="K6" s="10" t="n">
        <x:f>J6/$B$6</x:f>
        <x:v>0.5606860185041314</x:v>
      </x:c>
      <x:c r="L6" s="10" t="n">
        <x:f>IF(SUMIF(SalesLines!$G$5:$G$4450,I6,SalesLines!$R$5:$R$4450)=0,"",SUMIF(SalesLines!$G$5:$G$4450,I6,SalesLines!$S$5:$S$4450)/SUMIF(SalesLines!$G$5:$G$4450,I6,SalesLines!$R$5:$R$4450))</x:f>
        <x:v>0.04883158742949235</x:v>
      </x:c>
    </x:row>
    <x:row r="7" ht="22" customHeight="1">
      <x:c r="A7" s="2" t="str">
        <x:v>Completed orders</x:v>
      </x:c>
      <x:c r="B7" s="11" t="n">
        <x:f>Monthly!G18</x:f>
        <x:v>1661</x:v>
      </x:c>
      <x:c r="C7" s="2"/>
      <x:c r="D7" s="2" t="str">
        <x:v>North</x:v>
      </x:c>
      <x:c r="E7" s="11" t="n">
        <x:f>COUNTIFS(Orders!$E$5:$E$1804,D7,Orders!$D$5:$D$1804,"Completed")</x:f>
        <x:v>429</x:v>
      </x:c>
      <x:c r="F7" s="9" t="n">
        <x:f>SUMIF(Orders!$E$5:$E$1804,D7,Orders!$G$5:$G$1804)</x:f>
        <x:v>490148.7499999995</x:v>
      </x:c>
      <x:c r="G7" s="25" t="n">
        <x:f>IF(SUMIF(Orders!$E$5:$E$1804,D7,Orders!$K$5:$K$1804)=0,"",SUMIF(Orders!$E$5:$E$1804,D7,Orders!$L$5:$L$1804)/SUMIF(Orders!$E$5:$E$1804,D7,Orders!$K$5:$K$1804))</x:f>
        <x:v>0.04646086685375741</x:v>
      </x:c>
      <x:c r="H7" s="2"/>
      <x:c r="I7" s="2" t="str">
        <x:v>Lighting</x:v>
      </x:c>
      <x:c r="J7" s="9" t="n">
        <x:f>SUMIF(SalesLines!$G$5:$G$4450,I7,SalesLines!$Q$5:$Q$4450)</x:f>
        <x:v>516029.6499999999</x:v>
      </x:c>
      <x:c r="K7" s="10" t="n">
        <x:f>J7/$B$6</x:f>
        <x:v>0.27514323421672326</x:v>
      </x:c>
      <x:c r="L7" s="10" t="n">
        <x:f>IF(SUMIF(SalesLines!$G$5:$G$4450,I7,SalesLines!$R$5:$R$4450)=0,"",SUMIF(SalesLines!$G$5:$G$4450,I7,SalesLines!$S$5:$S$4450)/SUMIF(SalesLines!$G$5:$G$4450,I7,SalesLines!$R$5:$R$4450))</x:f>
        <x:v>0.05453412277968214</x:v>
      </x:c>
    </x:row>
    <x:row r="8" ht="22" customHeight="1">
      <x:c r="A8" s="2" t="str">
        <x:v>Net average order value</x:v>
      </x:c>
      <x:c r="B8" s="9" t="n">
        <x:f>Monthly!H18</x:f>
        <x:v>1129.1358217941004</x:v>
      </x:c>
      <x:c r="C8" s="2"/>
      <x:c r="D8" s="2" t="str">
        <x:v>South</x:v>
      </x:c>
      <x:c r="E8" s="11" t="n">
        <x:f>COUNTIFS(Orders!$E$5:$E$1804,D8,Orders!$D$5:$D$1804,"Completed")</x:f>
        <x:v>384</x:v>
      </x:c>
      <x:c r="F8" s="9" t="n">
        <x:f>SUMIF(Orders!$E$5:$E$1804,D8,Orders!$G$5:$G$1804)</x:f>
        <x:v>445663.95000000007</x:v>
      </x:c>
      <x:c r="G8" s="25" t="n">
        <x:f>IF(SUMIF(Orders!$E$5:$E$1804,D8,Orders!$K$5:$K$1804)=0,"",SUMIF(Orders!$E$5:$E$1804,D8,Orders!$L$5:$L$1804)/SUMIF(Orders!$E$5:$E$1804,D8,Orders!$K$5:$K$1804))</x:f>
        <x:v>0.0509053638537752</x:v>
      </x:c>
      <x:c r="H8" s="2"/>
      <x:c r="I8" s="2" t="str">
        <x:v>Storage</x:v>
      </x:c>
      <x:c r="J8" s="9" t="n">
        <x:f>SUMIF(SalesLines!$G$5:$G$4450,I8,SalesLines!$Q$5:$Q$4450)</x:f>
        <x:v>307901.34999999974</x:v>
      </x:c>
      <x:c r="K8" s="10" t="n">
        <x:f>J8/$B$6</x:f>
        <x:v>0.1641707472791442</x:v>
      </x:c>
      <x:c r="L8" s="10" t="n">
        <x:f>IF(SUMIF(SalesLines!$G$5:$G$4450,I8,SalesLines!$R$5:$R$4450)=0,"",SUMIF(SalesLines!$G$5:$G$4450,I8,SalesLines!$S$5:$S$4450)/SUMIF(SalesLines!$G$5:$G$4450,I8,SalesLines!$R$5:$R$4450))</x:f>
        <x:v>0.05782312925170068</x:v>
      </x:c>
    </x:row>
    <x:row r="9" ht="22" customHeight="1">
      <x:c r="A9" s="2" t="str">
        <x:v>Unit return rate</x:v>
      </x:c>
      <x:c r="B9" s="25" t="n">
        <x:f>Monthly!K18</x:f>
        <x:v>0.05245264691597863</x:v>
      </x:c>
      <x:c r="C9" s="2"/>
      <x:c r="D9" s="2" t="str">
        <x:v>East</x:v>
      </x:c>
      <x:c r="E9" s="11" t="n">
        <x:f>COUNTIFS(Orders!$E$5:$E$1804,D9,Orders!$D$5:$D$1804,"Completed")</x:f>
        <x:v>364</x:v>
      </x:c>
      <x:c r="F9" s="9" t="n">
        <x:f>SUMIF(Orders!$E$5:$E$1804,D9,Orders!$G$5:$G$1804)</x:f>
        <x:v>412794.2499999998</x:v>
      </x:c>
      <x:c r="G9" s="25" t="n">
        <x:f>IF(SUMIF(Orders!$E$5:$E$1804,D9,Orders!$K$5:$K$1804)=0,"",SUMIF(Orders!$E$5:$E$1804,D9,Orders!$L$5:$L$1804)/SUMIF(Orders!$E$5:$E$1804,D9,Orders!$K$5:$K$1804))</x:f>
        <x:v>0.05718475073313783</x:v>
      </x:c>
      <x:c r="H9" s="2"/>
      <x:c r="I9" s="2"/>
      <x:c r="J9" s="2"/>
      <x:c r="K9" s="2"/>
      <x:c r="L9" s="2"/>
    </x:row>
    <x:row r="10" ht="22" customHeight="1">
      <x:c r="A10" s="2" t="str">
        <x:v>Gross sales</x:v>
      </x:c>
      <x:c r="B10" s="9" t="n">
        <x:f>Monthly!C18</x:f>
        <x:v>2170836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34" customHeight="1">
      <x:c r="A11" s="2" t="str">
        <x:v>Discounts</x:v>
      </x:c>
      <x:c r="B11" s="9" t="n">
        <x:f>Monthly!D18</x:f>
        <x:v>194394.29999999996</x:v>
      </x:c>
      <x:c r="C11" s="2"/>
      <x:c r="D11" s="14" t="str">
        <x:v>Channel</x:v>
      </x:c>
      <x:c r="E11" s="14" t="str">
        <x:v>Orders</x:v>
      </x:c>
      <x:c r="F11" s="14" t="str">
        <x:v>Net sales</x:v>
      </x:c>
      <x:c r="G11" s="14" t="str">
        <x:v>Unit return rate</x:v>
      </x:c>
      <x:c r="H11" s="2"/>
      <x:c r="I11" s="2"/>
      <x:c r="J11" s="2"/>
      <x:c r="K11" s="2"/>
      <x:c r="L11" s="2"/>
    </x:row>
    <x:row r="12" ht="22" customHeight="1">
      <x:c r="A12" s="2" t="str">
        <x:v>Refunds</x:v>
      </x:c>
      <x:c r="B12" s="9" t="n">
        <x:f>Monthly!E18</x:f>
        <x:v>100947.09999999999</x:v>
      </x:c>
      <x:c r="C12" s="2"/>
      <x:c r="D12" s="2" t="str">
        <x:v>Online</x:v>
      </x:c>
      <x:c r="E12" s="2" t="n">
        <x:f>COUNTIFS(Orders!$F$5:$F$1804,D12,Orders!$D$5:$D$1804,"Completed")</x:f>
        <x:v>839</x:v>
      </x:c>
      <x:c r="F12" s="9" t="n">
        <x:f>SUMIF(Orders!$F$5:$F$1804,D12,Orders!$G$5:$G$1804)</x:f>
        <x:v>942564.149999999</x:v>
      </x:c>
      <x:c r="G12" s="25" t="n">
        <x:f>SUMIF(Orders!$F$5:$F$1804,D12,Orders!$L$5:$L$1804)/SUMIF(Orders!$F$5:$F$1804,D12,Orders!$K$5:$K$1804)</x:f>
        <x:v>0.04656033510552602</x:v>
      </x:c>
      <x:c r="H12" s="2"/>
      <x:c r="I12" s="2"/>
      <x:c r="J12" s="2"/>
      <x:c r="K12" s="2"/>
      <x:c r="L12" s="2"/>
    </x:row>
    <x:row r="13" ht="22" customHeight="1">
      <x:c r="A13" s="2" t="str">
        <x:v>Sold units</x:v>
      </x:c>
      <x:c r="B13" s="11" t="n">
        <x:f>Monthly!I18</x:f>
        <x:v>12354</x:v>
      </x:c>
      <x:c r="C13" s="2"/>
      <x:c r="D13" s="2" t="str">
        <x:v>Store</x:v>
      </x:c>
      <x:c r="E13" s="2" t="n">
        <x:f>COUNTIFS(Orders!$F$5:$F$1804,D13,Orders!$D$5:$D$1804,"Completed")</x:f>
        <x:v>822</x:v>
      </x:c>
      <x:c r="F13" s="9" t="n">
        <x:f>SUMIF(Orders!$F$5:$F$1804,D13,Orders!$G$5:$G$1804)</x:f>
        <x:v>932930.4499999995</x:v>
      </x:c>
      <x:c r="G13" s="25" t="n">
        <x:f>SUMIF(Orders!$F$5:$F$1804,D13,Orders!$L$5:$L$1804)/SUMIF(Orders!$F$5:$F$1804,D13,Orders!$K$5:$K$1804)</x:f>
        <x:v>0.058402472750935415</x:v>
      </x:c>
      <x:c r="H13" s="2"/>
      <x:c r="I13" s="2"/>
      <x:c r="J13" s="2"/>
      <x:c r="K13" s="2"/>
      <x:c r="L13" s="2"/>
    </x:row>
    <x:row r="14" ht="22" customHeight="1">
      <x:c r="A14" s="2" t="str">
        <x:v>Returned units</x:v>
      </x:c>
      <x:c r="B14" s="11" t="n">
        <x:f>Monthly!J18</x:f>
        <x:v>648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2" customHeight="1">
      <x:c r="A33" s="27" t="str">
        <x:v>Synthetic practice data. Net sales exclude cancelled orders; costs, tax and shipping are unavailable.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2" customHeight="1">
      <x:c r="A34" s="27" t="str">
        <x:v>Prepared inputs in SalesLines and Orders are snapshots. Rebuild from the raw CSVs to refresh; see docs/excel_guide.md.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</x:sheetData>
  <x:pageMargins left="0.7" right="0.7" top="0.75" bottom="0.75" header="0.3" footer="0.3"/>
  <x:drawing xmlns:r="http://schemas.openxmlformats.org/officeDocument/2006/relationships" r:id="R6fe7e404975940b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2" customHeight="1">
      <x:c r="A2" s="5" t="str">
        <x:v>Monthly sales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2" customHeight="1">
      <x:c r="A3" s="4" t="str">
        <x:v>2025 completed orders. Refunds are assigned to the original order month. USD.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4" customHeight="1">
      <x:c r="A4" s="14" t="str">
        <x:v>Month start</x:v>
      </x:c>
      <x:c r="B4" s="14" t="str">
        <x:v>Month</x:v>
      </x:c>
      <x:c r="C4" s="14" t="str">
        <x:v>Gross sales</x:v>
      </x:c>
      <x:c r="D4" s="14" t="str">
        <x:v>Discounts</x:v>
      </x:c>
      <x:c r="E4" s="14" t="str">
        <x:v>Refunds</x:v>
      </x:c>
      <x:c r="F4" s="14" t="str">
        <x:v>Net sales</x:v>
      </x:c>
      <x:c r="G4" s="14" t="str">
        <x:v>Completed orders</x:v>
      </x:c>
      <x:c r="H4" s="14" t="str">
        <x:v>Net AOV</x:v>
      </x:c>
      <x:c r="I4" s="14" t="str">
        <x:v>Sold units</x:v>
      </x:c>
      <x:c r="J4" s="14" t="str">
        <x:v>Returned units</x:v>
      </x:c>
      <x:c r="K4" s="14" t="str">
        <x:v>Unit return rate</x:v>
      </x:c>
      <x:c r="L4" s="14" t="str">
        <x:v>Month-on-month</x:v>
      </x:c>
      <x:c r="M4" s="14" t="str">
        <x:v>Running net sales</x:v>
      </x:c>
      <x:c r="N4" s="14" t="str">
        <x:v>Trailing 3-month avg</x:v>
      </x:c>
    </x:row>
    <x:row r="5" ht="22" customHeight="1">
      <x:c r="A5" s="8" t="n">
        <x:v>45658</x:v>
      </x:c>
      <x:c r="B5" s="2" t="str">
        <x:f>TEXT(A5,"mmm")</x:f>
        <x:v>Jan</x:v>
      </x:c>
      <x:c r="C5" s="9" t="n">
        <x:f>SUMIFS(Orders!$H$5:$H$1804,Orders!$M$5:$M$1804,A5,Orders!$D$5:$D$1804,"Completed")</x:f>
        <x:v>175946</x:v>
      </x:c>
      <x:c r="D5" s="9" t="n">
        <x:f>SUMIFS(Orders!$I$5:$I$1804,Orders!$M$5:$M$1804,A5,Orders!$D$5:$D$1804,"Completed")</x:f>
        <x:v>16990.05</x:v>
      </x:c>
      <x:c r="E5" s="9" t="n">
        <x:f>SUMIFS(Orders!$J$5:$J$1804,Orders!$M$5:$M$1804,A5,Orders!$D$5:$D$1804,"Completed")</x:f>
        <x:v>8402.85</x:v>
      </x:c>
      <x:c r="F5" s="9" t="n">
        <x:f>SUMIFS(Orders!$G$5:$G$1804,Orders!$M$5:$M$1804,A5,Orders!$D$5:$D$1804,"Completed")</x:f>
        <x:v>150553.09999999995</x:v>
      </x:c>
      <x:c r="G5" s="11" t="n">
        <x:f>COUNTIFS(Orders!$M$5:$M$1804,A5,Orders!$D$5:$D$1804,"Completed")</x:f>
        <x:v>139</x:v>
      </x:c>
      <x:c r="H5" s="9" t="n">
        <x:f>IF(G5=0,"",F5/G5)</x:f>
        <x:v>1083.115827338129</x:v>
      </x:c>
      <x:c r="I5" s="11" t="n">
        <x:f>SUMIFS(Orders!$K$5:$K$1804,Orders!$M$5:$M$1804,A5,Orders!$D$5:$D$1804,"Completed")</x:f>
        <x:v>1017</x:v>
      </x:c>
      <x:c r="J5" s="11" t="n">
        <x:f>SUMIFS(Orders!$L$5:$L$1804,Orders!$M$5:$M$1804,A5,Orders!$D$5:$D$1804,"Completed")</x:f>
        <x:v>58</x:v>
      </x:c>
      <x:c r="K5" s="15" t="n">
        <x:f>IF(I5=0,"",J5/I5)</x:f>
        <x:v>0.05703048180924287</x:v>
      </x:c>
      <x:c r="L5" s="15" t="str">
        <x:f>""</x:f>
      </x:c>
      <x:c r="M5" s="9" t="n">
        <x:f>SUM($F$5:F5)</x:f>
        <x:v>150553.09999999995</x:v>
      </x:c>
      <x:c r="N5" s="9" t="str">
        <x:f>""</x:f>
      </x:c>
    </x:row>
    <x:row r="6" ht="22" customHeight="1">
      <x:c r="A6" s="8" t="n">
        <x:v>45689</x:v>
      </x:c>
      <x:c r="B6" s="2" t="str">
        <x:f>TEXT(A6,"mmm")</x:f>
        <x:v>Feb</x:v>
      </x:c>
      <x:c r="C6" s="9" t="n">
        <x:f>SUMIFS(Orders!$H$5:$H$1804,Orders!$M$5:$M$1804,A6,Orders!$D$5:$D$1804,"Completed")</x:f>
        <x:v>149832</x:v>
      </x:c>
      <x:c r="D6" s="9" t="n">
        <x:f>SUMIFS(Orders!$I$5:$I$1804,Orders!$M$5:$M$1804,A6,Orders!$D$5:$D$1804,"Completed")</x:f>
        <x:v>14044.150000000001</x:v>
      </x:c>
      <x:c r="E6" s="9" t="n">
        <x:f>SUMIFS(Orders!$J$5:$J$1804,Orders!$M$5:$M$1804,A6,Orders!$D$5:$D$1804,"Completed")</x:f>
        <x:v>10835</x:v>
      </x:c>
      <x:c r="F6" s="9" t="n">
        <x:f>SUMIFS(Orders!$G$5:$G$1804,Orders!$M$5:$M$1804,A6,Orders!$D$5:$D$1804,"Completed")</x:f>
        <x:v>124952.85000000002</x:v>
      </x:c>
      <x:c r="G6" s="11" t="n">
        <x:f>COUNTIFS(Orders!$M$5:$M$1804,A6,Orders!$D$5:$D$1804,"Completed")</x:f>
        <x:v>111</x:v>
      </x:c>
      <x:c r="H6" s="9" t="n">
        <x:f>IF(G6=0,"",F6/G6)</x:f>
        <x:v>1125.7013513513516</x:v>
      </x:c>
      <x:c r="I6" s="11" t="n">
        <x:f>SUMIFS(Orders!$K$5:$K$1804,Orders!$M$5:$M$1804,A6,Orders!$D$5:$D$1804,"Completed")</x:f>
        <x:v>839</x:v>
      </x:c>
      <x:c r="J6" s="11" t="n">
        <x:f>SUMIFS(Orders!$L$5:$L$1804,Orders!$M$5:$M$1804,A6,Orders!$D$5:$D$1804,"Completed")</x:f>
        <x:v>60</x:v>
      </x:c>
      <x:c r="K6" s="15" t="n">
        <x:f>IF(I6=0,"",J6/I6)</x:f>
        <x:v>0.07151370679380215</x:v>
      </x:c>
      <x:c r="L6" s="15" t="n">
        <x:f>IF(F5=0,"",F6/F5-1)</x:f>
        <x:v>-0.17004133425349555</x:v>
      </x:c>
      <x:c r="M6" s="9" t="n">
        <x:f>SUM($F$5:F6)</x:f>
        <x:v>275505.94999999995</x:v>
      </x:c>
      <x:c r="N6" s="9" t="str">
        <x:f>""</x:f>
      </x:c>
    </x:row>
    <x:row r="7" ht="22" customHeight="1">
      <x:c r="A7" s="8" t="n">
        <x:v>45717</x:v>
      </x:c>
      <x:c r="B7" s="2" t="str">
        <x:f>TEXT(A7,"mmm")</x:f>
        <x:v>Mar</x:v>
      </x:c>
      <x:c r="C7" s="9" t="n">
        <x:f>SUMIFS(Orders!$H$5:$H$1804,Orders!$M$5:$M$1804,A7,Orders!$D$5:$D$1804,"Completed")</x:f>
        <x:v>156584</x:v>
      </x:c>
      <x:c r="D7" s="9" t="n">
        <x:f>SUMIFS(Orders!$I$5:$I$1804,Orders!$M$5:$M$1804,A7,Orders!$D$5:$D$1804,"Completed")</x:f>
        <x:v>13911.749999999998</x:v>
      </x:c>
      <x:c r="E7" s="9" t="n">
        <x:f>SUMIFS(Orders!$J$5:$J$1804,Orders!$M$5:$M$1804,A7,Orders!$D$5:$D$1804,"Completed")</x:f>
        <x:v>9170.649999999998</x:v>
      </x:c>
      <x:c r="F7" s="9" t="n">
        <x:f>SUMIFS(Orders!$G$5:$G$1804,Orders!$M$5:$M$1804,A7,Orders!$D$5:$D$1804,"Completed")</x:f>
        <x:v>133501.60000000006</x:v>
      </x:c>
      <x:c r="G7" s="11" t="n">
        <x:f>COUNTIFS(Orders!$M$5:$M$1804,A7,Orders!$D$5:$D$1804,"Completed")</x:f>
        <x:v>120</x:v>
      </x:c>
      <x:c r="H7" s="9" t="n">
        <x:f>IF(G7=0,"",F7/G7)</x:f>
        <x:v>1112.5133333333338</x:v>
      </x:c>
      <x:c r="I7" s="11" t="n">
        <x:f>SUMIFS(Orders!$K$5:$K$1804,Orders!$M$5:$M$1804,A7,Orders!$D$5:$D$1804,"Completed")</x:f>
        <x:v>882</x:v>
      </x:c>
      <x:c r="J7" s="11" t="n">
        <x:f>SUMIFS(Orders!$L$5:$L$1804,Orders!$M$5:$M$1804,A7,Orders!$D$5:$D$1804,"Completed")</x:f>
        <x:v>60</x:v>
      </x:c>
      <x:c r="K7" s="15" t="n">
        <x:f>IF(I7=0,"",J7/I7)</x:f>
        <x:v>0.06802721088435375</x:v>
      </x:c>
      <x:c r="L7" s="15" t="n">
        <x:f>IF(F6=0,"",F7/F6-1)</x:f>
        <x:v>0.06841580644219025</x:v>
      </x:c>
      <x:c r="M7" s="9" t="n">
        <x:f>SUM($F$5:F7)</x:f>
        <x:v>409007.55000000005</x:v>
      </x:c>
      <x:c r="N7" s="9" t="n">
        <x:f>AVERAGE(F5:F7)</x:f>
        <x:v>136335.85</x:v>
      </x:c>
    </x:row>
    <x:row r="8" ht="22" customHeight="1">
      <x:c r="A8" s="8" t="n">
        <x:v>45748</x:v>
      </x:c>
      <x:c r="B8" s="2" t="str">
        <x:f>TEXT(A8,"mmm")</x:f>
        <x:v>Apr</x:v>
      </x:c>
      <x:c r="C8" s="9" t="n">
        <x:f>SUMIFS(Orders!$H$5:$H$1804,Orders!$M$5:$M$1804,A8,Orders!$D$5:$D$1804,"Completed")</x:f>
        <x:v>181547</x:v>
      </x:c>
      <x:c r="D8" s="9" t="n">
        <x:f>SUMIFS(Orders!$I$5:$I$1804,Orders!$M$5:$M$1804,A8,Orders!$D$5:$D$1804,"Completed")</x:f>
        <x:v>16444.900000000005</x:v>
      </x:c>
      <x:c r="E8" s="9" t="n">
        <x:f>SUMIFS(Orders!$J$5:$J$1804,Orders!$M$5:$M$1804,A8,Orders!$D$5:$D$1804,"Completed")</x:f>
        <x:v>4474.600000000001</x:v>
      </x:c>
      <x:c r="F8" s="9" t="n">
        <x:f>SUMIFS(Orders!$G$5:$G$1804,Orders!$M$5:$M$1804,A8,Orders!$D$5:$D$1804,"Completed")</x:f>
        <x:v>160627.49999999997</x:v>
      </x:c>
      <x:c r="G8" s="11" t="n">
        <x:f>COUNTIFS(Orders!$M$5:$M$1804,A8,Orders!$D$5:$D$1804,"Completed")</x:f>
        <x:v>130</x:v>
      </x:c>
      <x:c r="H8" s="9" t="n">
        <x:f>IF(G8=0,"",F8/G8)</x:f>
        <x:v>1235.5961538461536</x:v>
      </x:c>
      <x:c r="I8" s="11" t="n">
        <x:f>SUMIFS(Orders!$K$5:$K$1804,Orders!$M$5:$M$1804,A8,Orders!$D$5:$D$1804,"Completed")</x:f>
        <x:v>1050</x:v>
      </x:c>
      <x:c r="J8" s="11" t="n">
        <x:f>SUMIFS(Orders!$L$5:$L$1804,Orders!$M$5:$M$1804,A8,Orders!$D$5:$D$1804,"Completed")</x:f>
        <x:v>34</x:v>
      </x:c>
      <x:c r="K8" s="15" t="n">
        <x:f>IF(I8=0,"",J8/I8)</x:f>
        <x:v>0.03238095238095238</x:v>
      </x:c>
      <x:c r="L8" s="15" t="n">
        <x:f>IF(F7=0,"",F8/F7-1)</x:f>
        <x:v>0.2031878269623726</x:v>
      </x:c>
      <x:c r="M8" s="9" t="n">
        <x:f>SUM($F$5:F8)</x:f>
        <x:v>569635.05</x:v>
      </x:c>
      <x:c r="N8" s="9" t="n">
        <x:f>AVERAGE(F6:F8)</x:f>
        <x:v>139693.98333333337</x:v>
      </x:c>
    </x:row>
    <x:row r="9" ht="22" customHeight="1">
      <x:c r="A9" s="8" t="n">
        <x:v>45778</x:v>
      </x:c>
      <x:c r="B9" s="2" t="str">
        <x:f>TEXT(A9,"mmm")</x:f>
        <x:v>May</x:v>
      </x:c>
      <x:c r="C9" s="9" t="n">
        <x:f>SUMIFS(Orders!$H$5:$H$1804,Orders!$M$5:$M$1804,A9,Orders!$D$5:$D$1804,"Completed")</x:f>
        <x:v>143502</x:v>
      </x:c>
      <x:c r="D9" s="9" t="n">
        <x:f>SUMIFS(Orders!$I$5:$I$1804,Orders!$M$5:$M$1804,A9,Orders!$D$5:$D$1804,"Completed")</x:f>
        <x:v>14864.699999999999</x:v>
      </x:c>
      <x:c r="E9" s="9" t="n">
        <x:f>SUMIFS(Orders!$J$5:$J$1804,Orders!$M$5:$M$1804,A9,Orders!$D$5:$D$1804,"Completed")</x:f>
        <x:v>6425.000000000001</x:v>
      </x:c>
      <x:c r="F9" s="9" t="n">
        <x:f>SUMIFS(Orders!$G$5:$G$1804,Orders!$M$5:$M$1804,A9,Orders!$D$5:$D$1804,"Completed")</x:f>
        <x:v>122212.30000000003</x:v>
      </x:c>
      <x:c r="G9" s="11" t="n">
        <x:f>COUNTIFS(Orders!$M$5:$M$1804,A9,Orders!$D$5:$D$1804,"Completed")</x:f>
        <x:v>125</x:v>
      </x:c>
      <x:c r="H9" s="9" t="n">
        <x:f>IF(G9=0,"",F9/G9)</x:f>
        <x:v>977.6984000000002</x:v>
      </x:c>
      <x:c r="I9" s="11" t="n">
        <x:f>SUMIFS(Orders!$K$5:$K$1804,Orders!$M$5:$M$1804,A9,Orders!$D$5:$D$1804,"Completed")</x:f>
        <x:v>822</x:v>
      </x:c>
      <x:c r="J9" s="11" t="n">
        <x:f>SUMIFS(Orders!$L$5:$L$1804,Orders!$M$5:$M$1804,A9,Orders!$D$5:$D$1804,"Completed")</x:f>
        <x:v>40</x:v>
      </x:c>
      <x:c r="K9" s="15" t="n">
        <x:f>IF(I9=0,"",J9/I9)</x:f>
        <x:v>0.04866180048661801</x:v>
      </x:c>
      <x:c r="L9" s="15" t="n">
        <x:f>IF(F8=0,"",F9/F8-1)</x:f>
        <x:v>-0.23915705592130831</x:v>
      </x:c>
      <x:c r="M9" s="9" t="n">
        <x:f>SUM($F$5:F9)</x:f>
        <x:v>691847.3500000001</x:v>
      </x:c>
      <x:c r="N9" s="9" t="n">
        <x:f>AVERAGE(F7:F9)</x:f>
        <x:v>138780.4666666667</x:v>
      </x:c>
    </x:row>
    <x:row r="10" ht="22" customHeight="1">
      <x:c r="A10" s="8" t="n">
        <x:v>45809</x:v>
      </x:c>
      <x:c r="B10" s="2" t="str">
        <x:f>TEXT(A10,"mmm")</x:f>
        <x:v>Jun</x:v>
      </x:c>
      <x:c r="C10" s="9" t="n">
        <x:f>SUMIFS(Orders!$H$5:$H$1804,Orders!$M$5:$M$1804,A10,Orders!$D$5:$D$1804,"Completed")</x:f>
        <x:v>182389</x:v>
      </x:c>
      <x:c r="D10" s="9" t="n">
        <x:f>SUMIFS(Orders!$I$5:$I$1804,Orders!$M$5:$M$1804,A10,Orders!$D$5:$D$1804,"Completed")</x:f>
        <x:v>15369.899999999998</x:v>
      </x:c>
      <x:c r="E10" s="9" t="n">
        <x:f>SUMIFS(Orders!$J$5:$J$1804,Orders!$M$5:$M$1804,A10,Orders!$D$5:$D$1804,"Completed")</x:f>
        <x:v>8076.999999999999</x:v>
      </x:c>
      <x:c r="F10" s="9" t="n">
        <x:f>SUMIFS(Orders!$G$5:$G$1804,Orders!$M$5:$M$1804,A10,Orders!$D$5:$D$1804,"Completed")</x:f>
        <x:v>158942.1</x:v>
      </x:c>
      <x:c r="G10" s="11" t="n">
        <x:f>COUNTIFS(Orders!$M$5:$M$1804,A10,Orders!$D$5:$D$1804,"Completed")</x:f>
        <x:v>144</x:v>
      </x:c>
      <x:c r="H10" s="9" t="n">
        <x:f>IF(G10=0,"",F10/G10)</x:f>
        <x:v>1103.7645833333333</x:v>
      </x:c>
      <x:c r="I10" s="11" t="n">
        <x:f>SUMIFS(Orders!$K$5:$K$1804,Orders!$M$5:$M$1804,A10,Orders!$D$5:$D$1804,"Completed")</x:f>
        <x:v>1079</x:v>
      </x:c>
      <x:c r="J10" s="11" t="n">
        <x:f>SUMIFS(Orders!$L$5:$L$1804,Orders!$M$5:$M$1804,A10,Orders!$D$5:$D$1804,"Completed")</x:f>
        <x:v>64</x:v>
      </x:c>
      <x:c r="K10" s="15" t="n">
        <x:f>IF(I10=0,"",J10/I10)</x:f>
        <x:v>0.05931417979610751</x:v>
      </x:c>
      <x:c r="L10" s="15" t="n">
        <x:f>IF(F9=0,"",F10/F9-1)</x:f>
        <x:v>0.30054094391481034</x:v>
      </x:c>
      <x:c r="M10" s="9" t="n">
        <x:f>SUM($F$5:F10)</x:f>
        <x:v>850789.4500000001</x:v>
      </x:c>
      <x:c r="N10" s="9" t="n">
        <x:f>AVERAGE(F8:F10)</x:f>
        <x:v>147260.63333333333</x:v>
      </x:c>
    </x:row>
    <x:row r="11" ht="22" customHeight="1">
      <x:c r="A11" s="8" t="n">
        <x:v>45839</x:v>
      </x:c>
      <x:c r="B11" s="2" t="str">
        <x:f>TEXT(A11,"mmm")</x:f>
        <x:v>Jul</x:v>
      </x:c>
      <x:c r="C11" s="9" t="n">
        <x:f>SUMIFS(Orders!$H$5:$H$1804,Orders!$M$5:$M$1804,A11,Orders!$D$5:$D$1804,"Completed")</x:f>
        <x:v>196895</x:v>
      </x:c>
      <x:c r="D11" s="9" t="n">
        <x:f>SUMIFS(Orders!$I$5:$I$1804,Orders!$M$5:$M$1804,A11,Orders!$D$5:$D$1804,"Completed")</x:f>
        <x:v>17245.899999999998</x:v>
      </x:c>
      <x:c r="E11" s="9" t="n">
        <x:f>SUMIFS(Orders!$J$5:$J$1804,Orders!$M$5:$M$1804,A11,Orders!$D$5:$D$1804,"Completed")</x:f>
        <x:v>11339.05</x:v>
      </x:c>
      <x:c r="F11" s="9" t="n">
        <x:f>SUMIFS(Orders!$G$5:$G$1804,Orders!$M$5:$M$1804,A11,Orders!$D$5:$D$1804,"Completed")</x:f>
        <x:v>168310.05000000008</x:v>
      </x:c>
      <x:c r="G11" s="11" t="n">
        <x:f>COUNTIFS(Orders!$M$5:$M$1804,A11,Orders!$D$5:$D$1804,"Completed")</x:f>
        <x:v>148</x:v>
      </x:c>
      <x:c r="H11" s="9" t="n">
        <x:f>IF(G11=0,"",F11/G11)</x:f>
        <x:v>1137.230067567568</x:v>
      </x:c>
      <x:c r="I11" s="11" t="n">
        <x:f>SUMIFS(Orders!$K$5:$K$1804,Orders!$M$5:$M$1804,A11,Orders!$D$5:$D$1804,"Completed")</x:f>
        <x:v>1116</x:v>
      </x:c>
      <x:c r="J11" s="11" t="n">
        <x:f>SUMIFS(Orders!$L$5:$L$1804,Orders!$M$5:$M$1804,A11,Orders!$D$5:$D$1804,"Completed")</x:f>
        <x:v>72</x:v>
      </x:c>
      <x:c r="K11" s="15" t="n">
        <x:f>IF(I11=0,"",J11/I11)</x:f>
        <x:v>0.06451612903225806</x:v>
      </x:c>
      <x:c r="L11" s="15" t="n">
        <x:f>IF(F10=0,"",F11/F10-1)</x:f>
        <x:v>0.05893938736181337</x:v>
      </x:c>
      <x:c r="M11" s="9" t="n">
        <x:f>SUM($F$5:F11)</x:f>
        <x:v>1019099.5000000001</x:v>
      </x:c>
      <x:c r="N11" s="9" t="n">
        <x:f>AVERAGE(F9:F11)</x:f>
        <x:v>149821.48333333337</x:v>
      </x:c>
    </x:row>
    <x:row r="12" ht="22" customHeight="1">
      <x:c r="A12" s="8" t="n">
        <x:v>45870</x:v>
      </x:c>
      <x:c r="B12" s="2" t="str">
        <x:f>TEXT(A12,"mmm")</x:f>
        <x:v>Aug</x:v>
      </x:c>
      <x:c r="C12" s="9" t="n">
        <x:f>SUMIFS(Orders!$H$5:$H$1804,Orders!$M$5:$M$1804,A12,Orders!$D$5:$D$1804,"Completed")</x:f>
        <x:v>178535</x:v>
      </x:c>
      <x:c r="D12" s="9" t="n">
        <x:f>SUMIFS(Orders!$I$5:$I$1804,Orders!$M$5:$M$1804,A12,Orders!$D$5:$D$1804,"Completed")</x:f>
        <x:v>15943.300000000003</x:v>
      </x:c>
      <x:c r="E12" s="9" t="n">
        <x:f>SUMIFS(Orders!$J$5:$J$1804,Orders!$M$5:$M$1804,A12,Orders!$D$5:$D$1804,"Completed")</x:f>
        <x:v>8344.7</x:v>
      </x:c>
      <x:c r="F12" s="9" t="n">
        <x:f>SUMIFS(Orders!$G$5:$G$1804,Orders!$M$5:$M$1804,A12,Orders!$D$5:$D$1804,"Completed")</x:f>
        <x:v>154247.00000000003</x:v>
      </x:c>
      <x:c r="G12" s="11" t="n">
        <x:f>COUNTIFS(Orders!$M$5:$M$1804,A12,Orders!$D$5:$D$1804,"Completed")</x:f>
        <x:v>149</x:v>
      </x:c>
      <x:c r="H12" s="9" t="n">
        <x:f>IF(G12=0,"",F12/G12)</x:f>
        <x:v>1035.2147651006712</x:v>
      </x:c>
      <x:c r="I12" s="11" t="n">
        <x:f>SUMIFS(Orders!$K$5:$K$1804,Orders!$M$5:$M$1804,A12,Orders!$D$5:$D$1804,"Completed")</x:f>
        <x:v>1038</x:v>
      </x:c>
      <x:c r="J12" s="11" t="n">
        <x:f>SUMIFS(Orders!$L$5:$L$1804,Orders!$M$5:$M$1804,A12,Orders!$D$5:$D$1804,"Completed")</x:f>
        <x:v>53</x:v>
      </x:c>
      <x:c r="K12" s="15" t="n">
        <x:f>IF(I12=0,"",J12/I12)</x:f>
        <x:v>0.051059730250481696</x:v>
      </x:c>
      <x:c r="L12" s="15" t="n">
        <x:f>IF(F11=0,"",F12/F11-1)</x:f>
        <x:v>-0.08355442827092052</x:v>
      </x:c>
      <x:c r="M12" s="9" t="n">
        <x:f>SUM($F$5:F12)</x:f>
        <x:v>1173346.5000000002</x:v>
      </x:c>
      <x:c r="N12" s="9" t="n">
        <x:f>AVERAGE(F10:F12)</x:f>
        <x:v>160499.7166666667</x:v>
      </x:c>
    </x:row>
    <x:row r="13" ht="22" customHeight="1">
      <x:c r="A13" s="8" t="n">
        <x:v>45901</x:v>
      </x:c>
      <x:c r="B13" s="2" t="str">
        <x:f>TEXT(A13,"mmm")</x:f>
        <x:v>Sep</x:v>
      </x:c>
      <x:c r="C13" s="9" t="n">
        <x:f>SUMIFS(Orders!$H$5:$H$1804,Orders!$M$5:$M$1804,A13,Orders!$D$5:$D$1804,"Completed")</x:f>
        <x:v>196286</x:v>
      </x:c>
      <x:c r="D13" s="9" t="n">
        <x:f>SUMIFS(Orders!$I$5:$I$1804,Orders!$M$5:$M$1804,A13,Orders!$D$5:$D$1804,"Completed")</x:f>
        <x:v>15563.199999999993</x:v>
      </x:c>
      <x:c r="E13" s="9" t="n">
        <x:f>SUMIFS(Orders!$J$5:$J$1804,Orders!$M$5:$M$1804,A13,Orders!$D$5:$D$1804,"Completed")</x:f>
        <x:v>8220.85</x:v>
      </x:c>
      <x:c r="F13" s="9" t="n">
        <x:f>SUMIFS(Orders!$G$5:$G$1804,Orders!$M$5:$M$1804,A13,Orders!$D$5:$D$1804,"Completed")</x:f>
        <x:v>172501.9500000001</x:v>
      </x:c>
      <x:c r="G13" s="11" t="n">
        <x:f>COUNTIFS(Orders!$M$5:$M$1804,A13,Orders!$D$5:$D$1804,"Completed")</x:f>
        <x:v>142</x:v>
      </x:c>
      <x:c r="H13" s="9" t="n">
        <x:f>IF(G13=0,"",F13/G13)</x:f>
        <x:v>1214.802464788733</x:v>
      </x:c>
      <x:c r="I13" s="11" t="n">
        <x:f>SUMIFS(Orders!$K$5:$K$1804,Orders!$M$5:$M$1804,A13,Orders!$D$5:$D$1804,"Completed")</x:f>
        <x:v>1094</x:v>
      </x:c>
      <x:c r="J13" s="11" t="n">
        <x:f>SUMIFS(Orders!$L$5:$L$1804,Orders!$M$5:$M$1804,A13,Orders!$D$5:$D$1804,"Completed")</x:f>
        <x:v>45</x:v>
      </x:c>
      <x:c r="K13" s="15" t="n">
        <x:f>IF(I13=0,"",J13/I13)</x:f>
        <x:v>0.04113345521023766</x:v>
      </x:c>
      <x:c r="L13" s="15" t="n">
        <x:f>IF(F12=0,"",F13/F12-1)</x:f>
        <x:v>0.11834881715689805</x:v>
      </x:c>
      <x:c r="M13" s="9" t="n">
        <x:f>SUM($F$5:F13)</x:f>
        <x:v>1345848.4500000004</x:v>
      </x:c>
      <x:c r="N13" s="9" t="n">
        <x:f>AVERAGE(F11:F13)</x:f>
        <x:v>165019.66666666674</x:v>
      </x:c>
    </x:row>
    <x:row r="14" ht="22" customHeight="1">
      <x:c r="A14" s="8" t="n">
        <x:v>45931</x:v>
      </x:c>
      <x:c r="B14" s="2" t="str">
        <x:f>TEXT(A14,"mmm")</x:f>
        <x:v>Oct</x:v>
      </x:c>
      <x:c r="C14" s="9" t="n">
        <x:f>SUMIFS(Orders!$H$5:$H$1804,Orders!$M$5:$M$1804,A14,Orders!$D$5:$D$1804,"Completed")</x:f>
        <x:v>204467</x:v>
      </x:c>
      <x:c r="D14" s="9" t="n">
        <x:f>SUMIFS(Orders!$I$5:$I$1804,Orders!$M$5:$M$1804,A14,Orders!$D$5:$D$1804,"Completed")</x:f>
        <x:v>18137.150000000005</x:v>
      </x:c>
      <x:c r="E14" s="9" t="n">
        <x:f>SUMIFS(Orders!$J$5:$J$1804,Orders!$M$5:$M$1804,A14,Orders!$D$5:$D$1804,"Completed")</x:f>
        <x:v>11254.5</x:v>
      </x:c>
      <x:c r="F14" s="9" t="n">
        <x:f>SUMIFS(Orders!$G$5:$G$1804,Orders!$M$5:$M$1804,A14,Orders!$D$5:$D$1804,"Completed")</x:f>
        <x:v>175075.35000000003</x:v>
      </x:c>
      <x:c r="G14" s="11" t="n">
        <x:f>COUNTIFS(Orders!$M$5:$M$1804,A14,Orders!$D$5:$D$1804,"Completed")</x:f>
        <x:v>159</x:v>
      </x:c>
      <x:c r="H14" s="9" t="n">
        <x:f>IF(G14=0,"",F14/G14)</x:f>
        <x:v>1101.1028301886795</x:v>
      </x:c>
      <x:c r="I14" s="11" t="n">
        <x:f>SUMIFS(Orders!$K$5:$K$1804,Orders!$M$5:$M$1804,A14,Orders!$D$5:$D$1804,"Completed")</x:f>
        <x:v>1159</x:v>
      </x:c>
      <x:c r="J14" s="11" t="n">
        <x:f>SUMIFS(Orders!$L$5:$L$1804,Orders!$M$5:$M$1804,A14,Orders!$D$5:$D$1804,"Completed")</x:f>
        <x:v>75</x:v>
      </x:c>
      <x:c r="K14" s="15" t="n">
        <x:f>IF(I14=0,"",J14/I14)</x:f>
        <x:v>0.06471095772217429</x:v>
      </x:c>
      <x:c r="L14" s="15" t="n">
        <x:f>IF(F13=0,"",F14/F13-1)</x:f>
        <x:v>0.014918092230261415</x:v>
      </x:c>
      <x:c r="M14" s="9" t="n">
        <x:f>SUM($F$5:F14)</x:f>
        <x:v>1520923.8000000005</x:v>
      </x:c>
      <x:c r="N14" s="9" t="n">
        <x:f>AVERAGE(F12:F14)</x:f>
        <x:v>167274.76666666672</x:v>
      </x:c>
    </x:row>
    <x:row r="15" ht="22" customHeight="1">
      <x:c r="A15" s="8" t="n">
        <x:v>45962</x:v>
      </x:c>
      <x:c r="B15" s="2" t="str">
        <x:f>TEXT(A15,"mmm")</x:f>
        <x:v>Nov</x:v>
      </x:c>
      <x:c r="C15" s="9" t="n">
        <x:f>SUMIFS(Orders!$H$5:$H$1804,Orders!$M$5:$M$1804,A15,Orders!$D$5:$D$1804,"Completed")</x:f>
        <x:v>204649</x:v>
      </x:c>
      <x:c r="D15" s="9" t="n">
        <x:f>SUMIFS(Orders!$I$5:$I$1804,Orders!$M$5:$M$1804,A15,Orders!$D$5:$D$1804,"Completed")</x:f>
        <x:v>18507.649999999994</x:v>
      </x:c>
      <x:c r="E15" s="9" t="n">
        <x:f>SUMIFS(Orders!$J$5:$J$1804,Orders!$M$5:$M$1804,A15,Orders!$D$5:$D$1804,"Completed")</x:f>
        <x:v>6866.4</x:v>
      </x:c>
      <x:c r="F15" s="9" t="n">
        <x:f>SUMIFS(Orders!$G$5:$G$1804,Orders!$M$5:$M$1804,A15,Orders!$D$5:$D$1804,"Completed")</x:f>
        <x:v>179274.95000000004</x:v>
      </x:c>
      <x:c r="G15" s="11" t="n">
        <x:f>COUNTIFS(Orders!$M$5:$M$1804,A15,Orders!$D$5:$D$1804,"Completed")</x:f>
        <x:v>149</x:v>
      </x:c>
      <x:c r="H15" s="9" t="n">
        <x:f>IF(G15=0,"",F15/G15)</x:f>
        <x:v>1203.1875838926178</x:v>
      </x:c>
      <x:c r="I15" s="11" t="n">
        <x:f>SUMIFS(Orders!$K$5:$K$1804,Orders!$M$5:$M$1804,A15,Orders!$D$5:$D$1804,"Completed")</x:f>
        <x:v>1149</x:v>
      </x:c>
      <x:c r="J15" s="11" t="n">
        <x:f>SUMIFS(Orders!$L$5:$L$1804,Orders!$M$5:$M$1804,A15,Orders!$D$5:$D$1804,"Completed")</x:f>
        <x:v>44</x:v>
      </x:c>
      <x:c r="K15" s="15" t="n">
        <x:f>IF(I15=0,"",J15/I15)</x:f>
        <x:v>0.038294168842471714</x:v>
      </x:c>
      <x:c r="L15" s="15" t="n">
        <x:f>IF(F14=0,"",F15/F14-1)</x:f>
        <x:v>0.023987386002655375</x:v>
      </x:c>
      <x:c r="M15" s="9" t="n">
        <x:f>SUM($F$5:F15)</x:f>
        <x:v>1700198.7500000005</x:v>
      </x:c>
      <x:c r="N15" s="9" t="n">
        <x:f>AVERAGE(F13:F15)</x:f>
        <x:v>175617.41666666674</x:v>
      </x:c>
    </x:row>
    <x:row r="16" ht="22" customHeight="1">
      <x:c r="A16" s="8" t="n">
        <x:v>45992</x:v>
      </x:c>
      <x:c r="B16" s="2" t="str">
        <x:f>TEXT(A16,"mmm")</x:f>
        <x:v>Dec</x:v>
      </x:c>
      <x:c r="C16" s="9" t="n">
        <x:f>SUMIFS(Orders!$H$5:$H$1804,Orders!$M$5:$M$1804,A16,Orders!$D$5:$D$1804,"Completed")</x:f>
        <x:v>200204</x:v>
      </x:c>
      <x:c r="D16" s="9" t="n">
        <x:f>SUMIFS(Orders!$I$5:$I$1804,Orders!$M$5:$M$1804,A16,Orders!$D$5:$D$1804,"Completed")</x:f>
        <x:v>17371.65</x:v>
      </x:c>
      <x:c r="E16" s="9" t="n">
        <x:f>SUMIFS(Orders!$J$5:$J$1804,Orders!$M$5:$M$1804,A16,Orders!$D$5:$D$1804,"Completed")</x:f>
        <x:v>7536.5</x:v>
      </x:c>
      <x:c r="F16" s="9" t="n">
        <x:f>SUMIFS(Orders!$G$5:$G$1804,Orders!$M$5:$M$1804,A16,Orders!$D$5:$D$1804,"Completed")</x:f>
        <x:v>175295.85000000006</x:v>
      </x:c>
      <x:c r="G16" s="11" t="n">
        <x:f>COUNTIFS(Orders!$M$5:$M$1804,A16,Orders!$D$5:$D$1804,"Completed")</x:f>
        <x:v>145</x:v>
      </x:c>
      <x:c r="H16" s="9" t="n">
        <x:f>IF(G16=0,"",F16/G16)</x:f>
        <x:v>1208.9368965517247</x:v>
      </x:c>
      <x:c r="I16" s="11" t="n">
        <x:f>SUMIFS(Orders!$K$5:$K$1804,Orders!$M$5:$M$1804,A16,Orders!$D$5:$D$1804,"Completed")</x:f>
        <x:v>1109</x:v>
      </x:c>
      <x:c r="J16" s="11" t="n">
        <x:f>SUMIFS(Orders!$L$5:$L$1804,Orders!$M$5:$M$1804,A16,Orders!$D$5:$D$1804,"Completed")</x:f>
        <x:v>43</x:v>
      </x:c>
      <x:c r="K16" s="15" t="n">
        <x:f>IF(I16=0,"",J16/I16)</x:f>
        <x:v>0.0387736699729486</x:v>
      </x:c>
      <x:c r="L16" s="15" t="n">
        <x:f>IF(F15=0,"",F16/F15-1)</x:f>
        <x:v>-0.022195515882168615</x:v>
      </x:c>
      <x:c r="M16" s="9" t="n">
        <x:f>SUM($F$5:F16)</x:f>
        <x:v>1875494.6000000006</x:v>
      </x:c>
      <x:c r="N16" s="9" t="n">
        <x:f>AVERAGE(F14:F16)</x:f>
        <x:v>176548.7166666667</x:v>
      </x:c>
    </x:row>
    <x:row r="17" ht="22" customHeight="1">
      <x:c r="A17" s="2"/>
      <x:c r="B17" s="2"/>
      <x:c r="C17" s="9"/>
      <x:c r="D17" s="9"/>
      <x:c r="E17" s="9"/>
      <x:c r="F17" s="9"/>
      <x:c r="G17" s="11"/>
      <x:c r="H17" s="9"/>
      <x:c r="I17" s="11"/>
      <x:c r="J17" s="11"/>
      <x:c r="K17" s="15"/>
      <x:c r="L17" s="15"/>
      <x:c r="M17" s="2"/>
      <x:c r="N17" s="2"/>
    </x:row>
    <x:row r="18" ht="22" customHeight="1">
      <x:c r="A18" s="2"/>
      <x:c r="B18" s="20" t="str">
        <x:v>2025 total</x:v>
      </x:c>
      <x:c r="C18" s="21" t="n">
        <x:f>SUM(C5:C16)</x:f>
        <x:v>2170836</x:v>
      </x:c>
      <x:c r="D18" s="21" t="n">
        <x:f>SUM(D5:D16)</x:f>
        <x:v>194394.29999999996</x:v>
      </x:c>
      <x:c r="E18" s="21" t="n">
        <x:f>SUM(E5:E16)</x:f>
        <x:v>100947.09999999999</x:v>
      </x:c>
      <x:c r="F18" s="21" t="n">
        <x:f>SUM(F5:F16)</x:f>
        <x:v>1875494.6000000006</x:v>
      </x:c>
      <x:c r="G18" s="22" t="n">
        <x:f>SUM(G5:G16)</x:f>
        <x:v>1661</x:v>
      </x:c>
      <x:c r="H18" s="21" t="n">
        <x:f>F18/G18</x:f>
        <x:v>1129.1358217941004</x:v>
      </x:c>
      <x:c r="I18" s="22" t="n">
        <x:f>SUM(I5:I16)</x:f>
        <x:v>12354</x:v>
      </x:c>
      <x:c r="J18" s="22" t="n">
        <x:f>SUM(J5:J16)</x:f>
        <x:v>648</x:v>
      </x:c>
      <x:c r="K18" s="23" t="n">
        <x:f>J18/I18</x:f>
        <x:v>0.05245264691597863</x:v>
      </x:c>
      <x:c r="L18" s="15"/>
      <x:c r="M18" s="2"/>
      <x:c r="N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2" customHeight="1">
      <x:c r="A21" s="24" t="str">
        <x:v>January has no prior month. The trailing three-month average starts in March.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</x:sheetData>
  <x:conditionalFormatting sqref="L6:L16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5" t="str">
        <x:v>Order totals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2" customHeight="1">
      <x:c r="A3" s="4" t="str">
        <x:v>Source: data/clean/orders.csv and customers.csv. One row per valid order; financial results link to SalesLines.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34" customHeight="1">
      <x:c r="A4" s="14" t="str">
        <x:v>Order ID</x:v>
      </x:c>
      <x:c r="B4" s="14" t="str">
        <x:v>Customer ID</x:v>
      </x:c>
      <x:c r="C4" s="14" t="str">
        <x:v>Order date</x:v>
      </x:c>
      <x:c r="D4" s="14" t="str">
        <x:v>Status</x:v>
      </x:c>
      <x:c r="E4" s="14" t="str">
        <x:v>Region</x:v>
      </x:c>
      <x:c r="F4" s="14" t="str">
        <x:v>Channel</x:v>
      </x:c>
      <x:c r="G4" s="14" t="str">
        <x:v>Net sales</x:v>
      </x:c>
      <x:c r="H4" s="14" t="str">
        <x:v>Gross sales</x:v>
      </x:c>
      <x:c r="I4" s="14" t="str">
        <x:v>Discounts</x:v>
      </x:c>
      <x:c r="J4" s="14" t="str">
        <x:v>Refunds</x:v>
      </x:c>
      <x:c r="K4" s="14" t="str">
        <x:v>Sold units</x:v>
      </x:c>
      <x:c r="L4" s="14" t="str">
        <x:v>Returned units</x:v>
      </x:c>
      <x:c r="M4" s="14" t="str">
        <x:v>Order month</x:v>
      </x:c>
    </x:row>
    <x:row r="5" ht="22" customHeight="1">
      <x:c r="A5" s="2" t="str">
        <x:v>O00001</x:v>
      </x:c>
      <x:c r="B5" s="2" t="str">
        <x:v>C0188</x:v>
      </x:c>
      <x:c r="C5" s="7" t="n">
        <x:v>45741</x:v>
      </x:c>
      <x:c r="D5" s="2" t="str">
        <x:v>Completed</x:v>
      </x:c>
      <x:c r="E5" s="2" t="str">
        <x:v>South</x:v>
      </x:c>
      <x:c r="F5" s="2" t="str">
        <x:v>Store</x:v>
      </x:c>
      <x:c r="G5" s="9" t="n">
        <x:f>SUM(SalesLines!Q5)</x:f>
        <x:v>168.8</x:v>
      </x:c>
      <x:c r="H5" s="9" t="n">
        <x:f>SUM(SalesLines!M5)</x:f>
        <x:v>211</x:v>
      </x:c>
      <x:c r="I5" s="9" t="n">
        <x:f>SUM(SalesLines!N5)</x:f>
        <x:v>42.2</x:v>
      </x:c>
      <x:c r="J5" s="9" t="n">
        <x:f>SUM(SalesLines!P5)</x:f>
        <x:v>0</x:v>
      </x:c>
      <x:c r="K5" s="11" t="n">
        <x:f>SUM(SalesLines!R5)</x:f>
        <x:v>1</x:v>
      </x:c>
      <x:c r="L5" s="11" t="n">
        <x:f>SUM(SalesLines!S5)</x:f>
        <x:v>0</x:v>
      </x:c>
      <x:c r="M5" s="8" t="n">
        <x:f>DATE(YEAR(C5),MONTH(C5),1)</x:f>
        <x:v>45717</x:v>
      </x:c>
    </x:row>
    <x:row r="6" ht="22" customHeight="1">
      <x:c r="A6" s="2" t="str">
        <x:v>O00002</x:v>
      </x:c>
      <x:c r="B6" s="2" t="str">
        <x:v>C0231</x:v>
      </x:c>
      <x:c r="C6" s="7" t="n">
        <x:v>45898</x:v>
      </x:c>
      <x:c r="D6" s="2" t="str">
        <x:v>Completed</x:v>
      </x:c>
      <x:c r="E6" s="2" t="str">
        <x:v>West</x:v>
      </x:c>
      <x:c r="F6" s="2" t="str">
        <x:v>Store</x:v>
      </x:c>
      <x:c r="G6" s="9" t="n">
        <x:f>SUM(SalesLines!Q6)</x:f>
        <x:v>207.9</x:v>
      </x:c>
      <x:c r="H6" s="9" t="n">
        <x:f>SUM(SalesLines!M6)</x:f>
        <x:v>231</x:v>
      </x:c>
      <x:c r="I6" s="9" t="n">
        <x:f>SUM(SalesLines!N6)</x:f>
        <x:v>23.1</x:v>
      </x:c>
      <x:c r="J6" s="9" t="n">
        <x:f>SUM(SalesLines!P6)</x:f>
        <x:v>0</x:v>
      </x:c>
      <x:c r="K6" s="11" t="n">
        <x:f>SUM(SalesLines!R6)</x:f>
        <x:v>1</x:v>
      </x:c>
      <x:c r="L6" s="11" t="n">
        <x:f>SUM(SalesLines!S6)</x:f>
        <x:v>0</x:v>
      </x:c>
      <x:c r="M6" s="8" t="n">
        <x:f>DATE(YEAR(C6),MONTH(C6),1)</x:f>
        <x:v>45870</x:v>
      </x:c>
    </x:row>
    <x:row r="7" ht="22" customHeight="1">
      <x:c r="A7" s="2" t="str">
        <x:v>O00003</x:v>
      </x:c>
      <x:c r="B7" s="2" t="str">
        <x:v>C0023</x:v>
      </x:c>
      <x:c r="C7" s="7" t="n">
        <x:v>45877</x:v>
      </x:c>
      <x:c r="D7" s="2" t="str">
        <x:v>Completed</x:v>
      </x:c>
      <x:c r="E7" s="2" t="str">
        <x:v>South</x:v>
      </x:c>
      <x:c r="F7" s="2" t="str">
        <x:v>Store</x:v>
      </x:c>
      <x:c r="G7" s="9" t="n">
        <x:f>SUM(SalesLines!Q7,SalesLines!Q8,SalesLines!Q9)</x:f>
        <x:v>789.45</x:v>
      </x:c>
      <x:c r="H7" s="9" t="n">
        <x:f>SUM(SalesLines!M7,SalesLines!M8,SalesLines!M9)</x:f>
        <x:v>831</x:v>
      </x:c>
      <x:c r="I7" s="9" t="n">
        <x:f>SUM(SalesLines!N7,SalesLines!N8,SalesLines!N9)</x:f>
        <x:v>41.55</x:v>
      </x:c>
      <x:c r="J7" s="9" t="n">
        <x:f>SUM(SalesLines!P7,SalesLines!P8,SalesLines!P9)</x:f>
        <x:v>0</x:v>
      </x:c>
      <x:c r="K7" s="11" t="n">
        <x:f>SUM(SalesLines!R7,SalesLines!R8,SalesLines!R9)</x:f>
        <x:v>8</x:v>
      </x:c>
      <x:c r="L7" s="11" t="n">
        <x:f>SUM(SalesLines!S7,SalesLines!S8,SalesLines!S9)</x:f>
        <x:v>0</x:v>
      </x:c>
      <x:c r="M7" s="8" t="n">
        <x:f>DATE(YEAR(C7),MONTH(C7),1)</x:f>
        <x:v>45870</x:v>
      </x:c>
    </x:row>
    <x:row r="8" ht="22" customHeight="1">
      <x:c r="A8" s="2" t="str">
        <x:v>O00004</x:v>
      </x:c>
      <x:c r="B8" s="2" t="str">
        <x:v>C0237</x:v>
      </x:c>
      <x:c r="C8" s="7" t="n">
        <x:v>45974</x:v>
      </x:c>
      <x:c r="D8" s="2" t="str">
        <x:v>Completed</x:v>
      </x:c>
      <x:c r="E8" s="2" t="str">
        <x:v>South</x:v>
      </x:c>
      <x:c r="F8" s="2" t="str">
        <x:v>Store</x:v>
      </x:c>
      <x:c r="G8" s="9" t="n">
        <x:f>SUM(SalesLines!Q10,SalesLines!Q11,SalesLines!Q12)</x:f>
        <x:v>753.2</x:v>
      </x:c>
      <x:c r="H8" s="9" t="n">
        <x:f>SUM(SalesLines!M10,SalesLines!M11,SalesLines!M12)</x:f>
        <x:v>821</x:v>
      </x:c>
      <x:c r="I8" s="9" t="n">
        <x:f>SUM(SalesLines!N10,SalesLines!N11,SalesLines!N12)</x:f>
        <x:v>67.8</x:v>
      </x:c>
      <x:c r="J8" s="9" t="n">
        <x:f>SUM(SalesLines!P10,SalesLines!P11,SalesLines!P12)</x:f>
        <x:v>0</x:v>
      </x:c>
      <x:c r="K8" s="11" t="n">
        <x:f>SUM(SalesLines!R10,SalesLines!R11,SalesLines!R12)</x:f>
        <x:v>4</x:v>
      </x:c>
      <x:c r="L8" s="11" t="n">
        <x:f>SUM(SalesLines!S10,SalesLines!S11,SalesLines!S12)</x:f>
        <x:v>0</x:v>
      </x:c>
      <x:c r="M8" s="8" t="n">
        <x:f>DATE(YEAR(C8),MONTH(C8),1)</x:f>
        <x:v>45962</x:v>
      </x:c>
    </x:row>
    <x:row r="9" ht="22" customHeight="1">
      <x:c r="A9" s="2" t="str">
        <x:v>O00005</x:v>
      </x:c>
      <x:c r="B9" s="2" t="str">
        <x:v>C0270</x:v>
      </x:c>
      <x:c r="C9" s="7" t="n">
        <x:v>45946</x:v>
      </x:c>
      <x:c r="D9" s="2" t="str">
        <x:v>Completed</x:v>
      </x:c>
      <x:c r="E9" s="2" t="str">
        <x:v>East</x:v>
      </x:c>
      <x:c r="F9" s="2" t="str">
        <x:v>Store</x:v>
      </x:c>
      <x:c r="G9" s="9" t="n">
        <x:f>SUM(SalesLines!Q13,SalesLines!Q14,SalesLines!Q15,SalesLines!Q16)</x:f>
        <x:v>1063.75</x:v>
      </x:c>
      <x:c r="H9" s="9" t="n">
        <x:f>SUM(SalesLines!M13,SalesLines!M14,SalesLines!M15,SalesLines!M16)</x:f>
        <x:v>1263</x:v>
      </x:c>
      <x:c r="I9" s="9" t="n">
        <x:f>SUM(SalesLines!N13,SalesLines!N14,SalesLines!N15,SalesLines!N16)</x:f>
        <x:v>199.25</x:v>
      </x:c>
      <x:c r="J9" s="9" t="n">
        <x:f>SUM(SalesLines!P13,SalesLines!P14,SalesLines!P15,SalesLines!P16)</x:f>
        <x:v>0</x:v>
      </x:c>
      <x:c r="K9" s="11" t="n">
        <x:f>SUM(SalesLines!R13,SalesLines!R14,SalesLines!R15,SalesLines!R16)</x:f>
        <x:v>12</x:v>
      </x:c>
      <x:c r="L9" s="11" t="n">
        <x:f>SUM(SalesLines!S13,SalesLines!S14,SalesLines!S15,SalesLines!S16)</x:f>
        <x:v>0</x:v>
      </x:c>
      <x:c r="M9" s="8" t="n">
        <x:f>DATE(YEAR(C9),MONTH(C9),1)</x:f>
        <x:v>45931</x:v>
      </x:c>
    </x:row>
    <x:row r="10" ht="22" customHeight="1">
      <x:c r="A10" s="2" t="str">
        <x:v>O00006</x:v>
      </x:c>
      <x:c r="B10" s="2" t="str">
        <x:v>C0253</x:v>
      </x:c>
      <x:c r="C10" s="7" t="n">
        <x:v>45944</x:v>
      </x:c>
      <x:c r="D10" s="2" t="str">
        <x:v>Cancelled</x:v>
      </x:c>
      <x:c r="E10" s="2" t="str">
        <x:v>North</x:v>
      </x:c>
      <x:c r="F10" s="2" t="str">
        <x:v>Online</x:v>
      </x:c>
      <x:c r="G10" s="9" t="n">
        <x:f>SUM(SalesLines!Q17,SalesLines!Q18,SalesLines!Q19)</x:f>
        <x:v>0</x:v>
      </x:c>
      <x:c r="H10" s="9" t="n">
        <x:f>SUM(SalesLines!M17,SalesLines!M18,SalesLines!M19)</x:f>
        <x:v>0</x:v>
      </x:c>
      <x:c r="I10" s="9" t="n">
        <x:f>SUM(SalesLines!N17,SalesLines!N18,SalesLines!N19)</x:f>
        <x:v>0</x:v>
      </x:c>
      <x:c r="J10" s="9" t="n">
        <x:f>SUM(SalesLines!P17,SalesLines!P18,SalesLines!P19)</x:f>
        <x:v>0</x:v>
      </x:c>
      <x:c r="K10" s="11" t="n">
        <x:f>SUM(SalesLines!R17,SalesLines!R18,SalesLines!R19)</x:f>
        <x:v>0</x:v>
      </x:c>
      <x:c r="L10" s="11" t="n">
        <x:f>SUM(SalesLines!S17,SalesLines!S18,SalesLines!S19)</x:f>
        <x:v>0</x:v>
      </x:c>
      <x:c r="M10" s="8" t="n">
        <x:f>DATE(YEAR(C10),MONTH(C10),1)</x:f>
        <x:v>45931</x:v>
      </x:c>
    </x:row>
    <x:row r="11" ht="22" customHeight="1">
      <x:c r="A11" s="2" t="str">
        <x:v>O00007</x:v>
      </x:c>
      <x:c r="B11" s="2" t="str">
        <x:v>C0228</x:v>
      </x:c>
      <x:c r="C11" s="7" t="n">
        <x:v>45970</x:v>
      </x:c>
      <x:c r="D11" s="2" t="str">
        <x:v>Completed</x:v>
      </x:c>
      <x:c r="E11" s="2" t="str">
        <x:v>East</x:v>
      </x:c>
      <x:c r="F11" s="2" t="str">
        <x:v>Online</x:v>
      </x:c>
      <x:c r="G11" s="9" t="n">
        <x:f>SUM(SalesLines!Q20,SalesLines!Q21)</x:f>
        <x:v>902.3</x:v>
      </x:c>
      <x:c r="H11" s="9" t="n">
        <x:f>SUM(SalesLines!M20,SalesLines!M21)</x:f>
        <x:v>959</x:v>
      </x:c>
      <x:c r="I11" s="9" t="n">
        <x:f>SUM(SalesLines!N20,SalesLines!N21)</x:f>
        <x:v>56.7</x:v>
      </x:c>
      <x:c r="J11" s="9" t="n">
        <x:f>SUM(SalesLines!P20,SalesLines!P21)</x:f>
        <x:v>0</x:v>
      </x:c>
      <x:c r="K11" s="11" t="n">
        <x:f>SUM(SalesLines!R20,SalesLines!R21)</x:f>
        <x:v>5</x:v>
      </x:c>
      <x:c r="L11" s="11" t="n">
        <x:f>SUM(SalesLines!S20,SalesLines!S21)</x:f>
        <x:v>0</x:v>
      </x:c>
      <x:c r="M11" s="8" t="n">
        <x:f>DATE(YEAR(C11),MONTH(C11),1)</x:f>
        <x:v>45962</x:v>
      </x:c>
    </x:row>
    <x:row r="12" ht="22" customHeight="1">
      <x:c r="A12" s="2" t="str">
        <x:v>O00008</x:v>
      </x:c>
      <x:c r="B12" s="2" t="str">
        <x:v>C0010</x:v>
      </x:c>
      <x:c r="C12" s="7" t="n">
        <x:v>45733</x:v>
      </x:c>
      <x:c r="D12" s="2" t="str">
        <x:v>Completed</x:v>
      </x:c>
      <x:c r="E12" s="2" t="str">
        <x:v>West</x:v>
      </x:c>
      <x:c r="F12" s="2" t="str">
        <x:v>Online</x:v>
      </x:c>
      <x:c r="G12" s="9" t="n">
        <x:f>SUM(SalesLines!Q22,SalesLines!Q23)</x:f>
        <x:v>385.6</x:v>
      </x:c>
      <x:c r="H12" s="9" t="n">
        <x:f>SUM(SalesLines!M22,SalesLines!M23)</x:f>
        <x:v>414</x:v>
      </x:c>
      <x:c r="I12" s="9" t="n">
        <x:f>SUM(SalesLines!N22,SalesLines!N23)</x:f>
        <x:v>28.400000000000002</x:v>
      </x:c>
      <x:c r="J12" s="9" t="n">
        <x:f>SUM(SalesLines!P22,SalesLines!P23)</x:f>
        <x:v>0</x:v>
      </x:c>
      <x:c r="K12" s="11" t="n">
        <x:f>SUM(SalesLines!R22,SalesLines!R23)</x:f>
        <x:v>3</x:v>
      </x:c>
      <x:c r="L12" s="11" t="n">
        <x:f>SUM(SalesLines!S22,SalesLines!S23)</x:f>
        <x:v>0</x:v>
      </x:c>
      <x:c r="M12" s="8" t="n">
        <x:f>DATE(YEAR(C12),MONTH(C12),1)</x:f>
        <x:v>45717</x:v>
      </x:c>
    </x:row>
    <x:row r="13" ht="22" customHeight="1">
      <x:c r="A13" s="2" t="str">
        <x:v>O00009</x:v>
      </x:c>
      <x:c r="B13" s="2" t="str">
        <x:v>C0286</x:v>
      </x:c>
      <x:c r="C13" s="7" t="n">
        <x:v>45965</x:v>
      </x:c>
      <x:c r="D13" s="2" t="str">
        <x:v>Completed</x:v>
      </x:c>
      <x:c r="E13" s="2" t="str">
        <x:v>West</x:v>
      </x:c>
      <x:c r="F13" s="2" t="str">
        <x:v>Online</x:v>
      </x:c>
      <x:c r="G13" s="9" t="n">
        <x:f>SUM(SalesLines!Q24,SalesLines!Q25)</x:f>
        <x:v>471.75</x:v>
      </x:c>
      <x:c r="H13" s="9" t="n">
        <x:f>SUM(SalesLines!M24,SalesLines!M25)</x:f>
        <x:v>477</x:v>
      </x:c>
      <x:c r="I13" s="9" t="n">
        <x:f>SUM(SalesLines!N24,SalesLines!N25)</x:f>
        <x:v>5.25</x:v>
      </x:c>
      <x:c r="J13" s="9" t="n">
        <x:f>SUM(SalesLines!P24,SalesLines!P25)</x:f>
        <x:v>0</x:v>
      </x:c>
      <x:c r="K13" s="11" t="n">
        <x:f>SUM(SalesLines!R24,SalesLines!R25)</x:f>
        <x:v>7</x:v>
      </x:c>
      <x:c r="L13" s="11" t="n">
        <x:f>SUM(SalesLines!S24,SalesLines!S25)</x:f>
        <x:v>0</x:v>
      </x:c>
      <x:c r="M13" s="8" t="n">
        <x:f>DATE(YEAR(C13),MONTH(C13),1)</x:f>
        <x:v>45962</x:v>
      </x:c>
    </x:row>
    <x:row r="14" ht="22" customHeight="1">
      <x:c r="A14" s="2" t="str">
        <x:v>O00010</x:v>
      </x:c>
      <x:c r="B14" s="2" t="str">
        <x:v>C0109</x:v>
      </x:c>
      <x:c r="C14" s="7" t="n">
        <x:v>45841</x:v>
      </x:c>
      <x:c r="D14" s="2" t="str">
        <x:v>Completed</x:v>
      </x:c>
      <x:c r="E14" s="2" t="str">
        <x:v>West</x:v>
      </x:c>
      <x:c r="F14" s="2" t="str">
        <x:v>Store</x:v>
      </x:c>
      <x:c r="G14" s="9" t="n">
        <x:f>SUM(SalesLines!Q26)</x:f>
        <x:v>796</x:v>
      </x:c>
      <x:c r="H14" s="9" t="n">
        <x:f>SUM(SalesLines!M26)</x:f>
        <x:v>796</x:v>
      </x:c>
      <x:c r="I14" s="9" t="n">
        <x:f>SUM(SalesLines!N26)</x:f>
        <x:v>0</x:v>
      </x:c>
      <x:c r="J14" s="9" t="n">
        <x:f>SUM(SalesLines!P26)</x:f>
        <x:v>0</x:v>
      </x:c>
      <x:c r="K14" s="11" t="n">
        <x:f>SUM(SalesLines!R26)</x:f>
        <x:v>4</x:v>
      </x:c>
      <x:c r="L14" s="11" t="n">
        <x:f>SUM(SalesLines!S26)</x:f>
        <x:v>0</x:v>
      </x:c>
      <x:c r="M14" s="8" t="n">
        <x:f>DATE(YEAR(C14),MONTH(C14),1)</x:f>
        <x:v>45839</x:v>
      </x:c>
    </x:row>
    <x:row r="15" ht="22" customHeight="1">
      <x:c r="A15" s="2" t="str">
        <x:v>O00011</x:v>
      </x:c>
      <x:c r="B15" s="2" t="str">
        <x:v>C0280</x:v>
      </x:c>
      <x:c r="C15" s="7" t="n">
        <x:v>45950</x:v>
      </x:c>
      <x:c r="D15" s="2" t="str">
        <x:v>Completed</x:v>
      </x:c>
      <x:c r="E15" s="2" t="str">
        <x:v>North</x:v>
      </x:c>
      <x:c r="F15" s="2" t="str">
        <x:v>Store</x:v>
      </x:c>
      <x:c r="G15" s="9" t="n">
        <x:f>SUM(SalesLines!Q27,SalesLines!Q28,SalesLines!Q29,SalesLines!Q30)</x:f>
        <x:v>2344</x:v>
      </x:c>
      <x:c r="H15" s="9" t="n">
        <x:f>SUM(SalesLines!M27,SalesLines!M28,SalesLines!M29,SalesLines!M30)</x:f>
        <x:v>2828</x:v>
      </x:c>
      <x:c r="I15" s="9" t="n">
        <x:f>SUM(SalesLines!N27,SalesLines!N28,SalesLines!N29,SalesLines!N30)</x:f>
        <x:v>77.35</x:v>
      </x:c>
      <x:c r="J15" s="9" t="n">
        <x:f>SUM(SalesLines!P27,SalesLines!P28,SalesLines!P29,SalesLines!P30)</x:f>
        <x:v>406.65</x:v>
      </x:c>
      <x:c r="K15" s="11" t="n">
        <x:f>SUM(SalesLines!R27,SalesLines!R28,SalesLines!R29,SalesLines!R30)</x:f>
        <x:v>11</x:v>
      </x:c>
      <x:c r="L15" s="11" t="n">
        <x:f>SUM(SalesLines!S27,SalesLines!S28,SalesLines!S29,SalesLines!S30)</x:f>
        <x:v>2</x:v>
      </x:c>
      <x:c r="M15" s="8" t="n">
        <x:f>DATE(YEAR(C15),MONTH(C15),1)</x:f>
        <x:v>45931</x:v>
      </x:c>
    </x:row>
    <x:row r="16" ht="22" customHeight="1">
      <x:c r="A16" s="2" t="str">
        <x:v>O00012</x:v>
      </x:c>
      <x:c r="B16" s="2" t="str">
        <x:v>C0293</x:v>
      </x:c>
      <x:c r="C16" s="7" t="n">
        <x:v>45993</x:v>
      </x:c>
      <x:c r="D16" s="2" t="str">
        <x:v>Completed</x:v>
      </x:c>
      <x:c r="E16" s="2" t="str">
        <x:v>North</x:v>
      </x:c>
      <x:c r="F16" s="2" t="str">
        <x:v>Online</x:v>
      </x:c>
      <x:c r="G16" s="9" t="n">
        <x:f>SUM(SalesLines!Q31,SalesLines!Q32,SalesLines!Q33,SalesLines!Q34)</x:f>
        <x:v>1225.2</x:v>
      </x:c>
      <x:c r="H16" s="9" t="n">
        <x:f>SUM(SalesLines!M31,SalesLines!M32,SalesLines!M33,SalesLines!M34)</x:f>
        <x:v>1372</x:v>
      </x:c>
      <x:c r="I16" s="9" t="n">
        <x:f>SUM(SalesLines!N31,SalesLines!N32,SalesLines!N33,SalesLines!N34)</x:f>
        <x:v>146.8</x:v>
      </x:c>
      <x:c r="J16" s="9" t="n">
        <x:f>SUM(SalesLines!P31,SalesLines!P32,SalesLines!P33,SalesLines!P34)</x:f>
        <x:v>0</x:v>
      </x:c>
      <x:c r="K16" s="11" t="n">
        <x:f>SUM(SalesLines!R31,SalesLines!R32,SalesLines!R33,SalesLines!R34)</x:f>
        <x:v>13</x:v>
      </x:c>
      <x:c r="L16" s="11" t="n">
        <x:f>SUM(SalesLines!S31,SalesLines!S32,SalesLines!S33,SalesLines!S34)</x:f>
        <x:v>0</x:v>
      </x:c>
      <x:c r="M16" s="8" t="n">
        <x:f>DATE(YEAR(C16),MONTH(C16),1)</x:f>
        <x:v>45992</x:v>
      </x:c>
    </x:row>
    <x:row r="17" ht="22" customHeight="1">
      <x:c r="A17" s="2" t="str">
        <x:v>O00013</x:v>
      </x:c>
      <x:c r="B17" s="2" t="str">
        <x:v>C0250</x:v>
      </x:c>
      <x:c r="C17" s="7" t="n">
        <x:v>45800</x:v>
      </x:c>
      <x:c r="D17" s="2" t="str">
        <x:v>Completed</x:v>
      </x:c>
      <x:c r="E17" s="2" t="str">
        <x:v>West</x:v>
      </x:c>
      <x:c r="F17" s="2" t="str">
        <x:v>Online</x:v>
      </x:c>
      <x:c r="G17" s="9" t="n">
        <x:f>SUM(SalesLines!Q35)</x:f>
        <x:v>214.4</x:v>
      </x:c>
      <x:c r="H17" s="9" t="n">
        <x:f>SUM(SalesLines!M35)</x:f>
        <x:v>268</x:v>
      </x:c>
      <x:c r="I17" s="9" t="n">
        <x:f>SUM(SalesLines!N35)</x:f>
        <x:v>53.6</x:v>
      </x:c>
      <x:c r="J17" s="9" t="n">
        <x:f>SUM(SalesLines!P35)</x:f>
        <x:v>0</x:v>
      </x:c>
      <x:c r="K17" s="11" t="n">
        <x:f>SUM(SalesLines!R35)</x:f>
        <x:v>2</x:v>
      </x:c>
      <x:c r="L17" s="11" t="n">
        <x:f>SUM(SalesLines!S35)</x:f>
        <x:v>0</x:v>
      </x:c>
      <x:c r="M17" s="8" t="n">
        <x:f>DATE(YEAR(C17),MONTH(C17),1)</x:f>
        <x:v>45778</x:v>
      </x:c>
    </x:row>
    <x:row r="18" ht="22" customHeight="1">
      <x:c r="A18" s="2" t="str">
        <x:v>O00014</x:v>
      </x:c>
      <x:c r="B18" s="2" t="str">
        <x:v>C0064</x:v>
      </x:c>
      <x:c r="C18" s="7" t="n">
        <x:v>45848</x:v>
      </x:c>
      <x:c r="D18" s="2" t="str">
        <x:v>Completed</x:v>
      </x:c>
      <x:c r="E18" s="2" t="str">
        <x:v>North</x:v>
      </x:c>
      <x:c r="F18" s="2" t="str">
        <x:v>Online</x:v>
      </x:c>
      <x:c r="G18" s="9" t="n">
        <x:f>SUM(SalesLines!Q36)</x:f>
        <x:v>0</x:v>
      </x:c>
      <x:c r="H18" s="9" t="n">
        <x:f>SUM(SalesLines!M36)</x:f>
        <x:v>320</x:v>
      </x:c>
      <x:c r="I18" s="9" t="n">
        <x:f>SUM(SalesLines!N36)</x:f>
        <x:v>16</x:v>
      </x:c>
      <x:c r="J18" s="9" t="n">
        <x:f>SUM(SalesLines!P36)</x:f>
        <x:v>304</x:v>
      </x:c>
      <x:c r="K18" s="11" t="n">
        <x:f>SUM(SalesLines!R36)</x:f>
        <x:v>4</x:v>
      </x:c>
      <x:c r="L18" s="11" t="n">
        <x:f>SUM(SalesLines!S36)</x:f>
        <x:v>4</x:v>
      </x:c>
      <x:c r="M18" s="8" t="n">
        <x:f>DATE(YEAR(C18),MONTH(C18),1)</x:f>
        <x:v>45839</x:v>
      </x:c>
    </x:row>
    <x:row r="19" ht="22" customHeight="1">
      <x:c r="A19" s="2" t="str">
        <x:v>O00015</x:v>
      </x:c>
      <x:c r="B19" s="2" t="str">
        <x:v>C0056</x:v>
      </x:c>
      <x:c r="C19" s="7" t="n">
        <x:v>45881</x:v>
      </x:c>
      <x:c r="D19" s="2" t="str">
        <x:v>Completed</x:v>
      </x:c>
      <x:c r="E19" s="2" t="str">
        <x:v>North</x:v>
      </x:c>
      <x:c r="F19" s="2" t="str">
        <x:v>Store</x:v>
      </x:c>
      <x:c r="G19" s="9" t="n">
        <x:f>SUM(SalesLines!Q37,SalesLines!Q38,SalesLines!Q39,SalesLines!Q40)</x:f>
        <x:v>2924.5</x:v>
      </x:c>
      <x:c r="H19" s="9" t="n">
        <x:f>SUM(SalesLines!M37,SalesLines!M38,SalesLines!M39,SalesLines!M40)</x:f>
        <x:v>3232</x:v>
      </x:c>
      <x:c r="I19" s="9" t="n">
        <x:f>SUM(SalesLines!N37,SalesLines!N38,SalesLines!N39,SalesLines!N40)</x:f>
        <x:v>307.5</x:v>
      </x:c>
      <x:c r="J19" s="9" t="n">
        <x:f>SUM(SalesLines!P37,SalesLines!P38,SalesLines!P39,SalesLines!P40)</x:f>
        <x:v>0</x:v>
      </x:c>
      <x:c r="K19" s="11" t="n">
        <x:f>SUM(SalesLines!R37,SalesLines!R38,SalesLines!R39,SalesLines!R40)</x:f>
        <x:v>12</x:v>
      </x:c>
      <x:c r="L19" s="11" t="n">
        <x:f>SUM(SalesLines!S37,SalesLines!S38,SalesLines!S39,SalesLines!S40)</x:f>
        <x:v>0</x:v>
      </x:c>
      <x:c r="M19" s="8" t="n">
        <x:f>DATE(YEAR(C19),MONTH(C19),1)</x:f>
        <x:v>45870</x:v>
      </x:c>
    </x:row>
    <x:row r="20" ht="22" customHeight="1">
      <x:c r="A20" s="2" t="str">
        <x:v>O00016</x:v>
      </x:c>
      <x:c r="B20" s="2" t="str">
        <x:v>C0275</x:v>
      </x:c>
      <x:c r="C20" s="7" t="n">
        <x:v>45809</x:v>
      </x:c>
      <x:c r="D20" s="2" t="str">
        <x:v>Completed</x:v>
      </x:c>
      <x:c r="E20" s="2" t="str">
        <x:v>East</x:v>
      </x:c>
      <x:c r="F20" s="2" t="str">
        <x:v>Store</x:v>
      </x:c>
      <x:c r="G20" s="9" t="n">
        <x:f>SUM(SalesLines!Q41,SalesLines!Q42,SalesLines!Q43)</x:f>
        <x:v>1837.0500000000002</x:v>
      </x:c>
      <x:c r="H20" s="9" t="n">
        <x:f>SUM(SalesLines!M41,SalesLines!M42,SalesLines!M43)</x:f>
        <x:v>1975</x:v>
      </x:c>
      <x:c r="I20" s="9" t="n">
        <x:f>SUM(SalesLines!N41,SalesLines!N42,SalesLines!N43)</x:f>
        <x:v>137.95000000000002</x:v>
      </x:c>
      <x:c r="J20" s="9" t="n">
        <x:f>SUM(SalesLines!P41,SalesLines!P42,SalesLines!P43)</x:f>
        <x:v>0</x:v>
      </x:c>
      <x:c r="K20" s="11" t="n">
        <x:f>SUM(SalesLines!R41,SalesLines!R42,SalesLines!R43)</x:f>
        <x:v>9</x:v>
      </x:c>
      <x:c r="L20" s="11" t="n">
        <x:f>SUM(SalesLines!S41,SalesLines!S42,SalesLines!S43)</x:f>
        <x:v>0</x:v>
      </x:c>
      <x:c r="M20" s="8" t="n">
        <x:f>DATE(YEAR(C20),MONTH(C20),1)</x:f>
        <x:v>45809</x:v>
      </x:c>
    </x:row>
    <x:row r="21" ht="22" customHeight="1">
      <x:c r="A21" s="2" t="str">
        <x:v>O00017</x:v>
      </x:c>
      <x:c r="B21" s="2" t="str">
        <x:v>C0135</x:v>
      </x:c>
      <x:c r="C21" s="7" t="n">
        <x:v>45930</x:v>
      </x:c>
      <x:c r="D21" s="2" t="str">
        <x:v>Completed</x:v>
      </x:c>
      <x:c r="E21" s="2" t="str">
        <x:v>West</x:v>
      </x:c>
      <x:c r="F21" s="2" t="str">
        <x:v>Store</x:v>
      </x:c>
      <x:c r="G21" s="9" t="n">
        <x:f>SUM(SalesLines!Q44,SalesLines!Q45,SalesLines!Q46)</x:f>
        <x:v>1824.5</x:v>
      </x:c>
      <x:c r="H21" s="9" t="n">
        <x:f>SUM(SalesLines!M44,SalesLines!M45,SalesLines!M46)</x:f>
        <x:v>1984</x:v>
      </x:c>
      <x:c r="I21" s="9" t="n">
        <x:f>SUM(SalesLines!N44,SalesLines!N45,SalesLines!N46)</x:f>
        <x:v>159.5</x:v>
      </x:c>
      <x:c r="J21" s="9" t="n">
        <x:f>SUM(SalesLines!P44,SalesLines!P45,SalesLines!P46)</x:f>
        <x:v>0</x:v>
      </x:c>
      <x:c r="K21" s="11" t="n">
        <x:f>SUM(SalesLines!R44,SalesLines!R45,SalesLines!R46)</x:f>
        <x:v>10</x:v>
      </x:c>
      <x:c r="L21" s="11" t="n">
        <x:f>SUM(SalesLines!S44,SalesLines!S45,SalesLines!S46)</x:f>
        <x:v>0</x:v>
      </x:c>
      <x:c r="M21" s="8" t="n">
        <x:f>DATE(YEAR(C21),MONTH(C21),1)</x:f>
        <x:v>45901</x:v>
      </x:c>
    </x:row>
    <x:row r="22" ht="22" customHeight="1">
      <x:c r="A22" s="2" t="str">
        <x:v>O00018</x:v>
      </x:c>
      <x:c r="B22" s="2" t="str">
        <x:v>C0212</x:v>
      </x:c>
      <x:c r="C22" s="7" t="n">
        <x:v>45712</x:v>
      </x:c>
      <x:c r="D22" s="2" t="str">
        <x:v>Completed</x:v>
      </x:c>
      <x:c r="E22" s="2" t="str">
        <x:v>East</x:v>
      </x:c>
      <x:c r="F22" s="2" t="str">
        <x:v>Online</x:v>
      </x:c>
      <x:c r="G22" s="9" t="n">
        <x:f>SUM(SalesLines!Q47,SalesLines!Q48,SalesLines!Q49)</x:f>
        <x:v>906.55</x:v>
      </x:c>
      <x:c r="H22" s="9" t="n">
        <x:f>SUM(SalesLines!M47,SalesLines!M48,SalesLines!M49)</x:f>
        <x:v>1294</x:v>
      </x:c>
      <x:c r="I22" s="9" t="n">
        <x:f>SUM(SalesLines!N47,SalesLines!N48,SalesLines!N49)</x:f>
        <x:v>28.35</x:v>
      </x:c>
      <x:c r="J22" s="9" t="n">
        <x:f>SUM(SalesLines!P47,SalesLines!P48,SalesLines!P49)</x:f>
        <x:v>359.09999999999997</x:v>
      </x:c>
      <x:c r="K22" s="11" t="n">
        <x:f>SUM(SalesLines!R47,SalesLines!R48,SalesLines!R49)</x:f>
        <x:v>11</x:v>
      </x:c>
      <x:c r="L22" s="11" t="n">
        <x:f>SUM(SalesLines!S47,SalesLines!S48,SalesLines!S49)</x:f>
        <x:v>2</x:v>
      </x:c>
      <x:c r="M22" s="8" t="n">
        <x:f>DATE(YEAR(C22),MONTH(C22),1)</x:f>
        <x:v>45689</x:v>
      </x:c>
    </x:row>
    <x:row r="23" ht="22" customHeight="1">
      <x:c r="A23" s="2" t="str">
        <x:v>O00019</x:v>
      </x:c>
      <x:c r="B23" s="2" t="str">
        <x:v>C0117</x:v>
      </x:c>
      <x:c r="C23" s="7" t="n">
        <x:v>45962</x:v>
      </x:c>
      <x:c r="D23" s="2" t="str">
        <x:v>Completed</x:v>
      </x:c>
      <x:c r="E23" s="2" t="str">
        <x:v>North</x:v>
      </x:c>
      <x:c r="F23" s="2" t="str">
        <x:v>Online</x:v>
      </x:c>
      <x:c r="G23" s="9" t="n">
        <x:f>SUM(SalesLines!Q50)</x:f>
        <x:v>723.9</x:v>
      </x:c>
      <x:c r="H23" s="9" t="n">
        <x:f>SUM(SalesLines!M50)</x:f>
        <x:v>762</x:v>
      </x:c>
      <x:c r="I23" s="9" t="n">
        <x:f>SUM(SalesLines!N50)</x:f>
        <x:v>38.1</x:v>
      </x:c>
      <x:c r="J23" s="9" t="n">
        <x:f>SUM(SalesLines!P50)</x:f>
        <x:v>0</x:v>
      </x:c>
      <x:c r="K23" s="11" t="n">
        <x:f>SUM(SalesLines!R50)</x:f>
        <x:v>3</x:v>
      </x:c>
      <x:c r="L23" s="11" t="n">
        <x:f>SUM(SalesLines!S50)</x:f>
        <x:v>0</x:v>
      </x:c>
      <x:c r="M23" s="8" t="n">
        <x:f>DATE(YEAR(C23),MONTH(C23),1)</x:f>
        <x:v>45962</x:v>
      </x:c>
    </x:row>
    <x:row r="24" ht="22" customHeight="1">
      <x:c r="A24" s="2" t="str">
        <x:v>O00020</x:v>
      </x:c>
      <x:c r="B24" s="2" t="str">
        <x:v>C0076</x:v>
      </x:c>
      <x:c r="C24" s="7" t="n">
        <x:v>45740</x:v>
      </x:c>
      <x:c r="D24" s="2" t="str">
        <x:v>Completed</x:v>
      </x:c>
      <x:c r="E24" s="2" t="str">
        <x:v>East</x:v>
      </x:c>
      <x:c r="F24" s="2" t="str">
        <x:v>Store</x:v>
      </x:c>
      <x:c r="G24" s="9" t="n">
        <x:f>SUM(SalesLines!Q51,SalesLines!Q52,SalesLines!Q53)</x:f>
        <x:v>787.8</x:v>
      </x:c>
      <x:c r="H24" s="9" t="n">
        <x:f>SUM(SalesLines!M51,SalesLines!M52,SalesLines!M53)</x:f>
        <x:v>1256</x:v>
      </x:c>
      <x:c r="I24" s="9" t="n">
        <x:f>SUM(SalesLines!N51,SalesLines!N52,SalesLines!N53)</x:f>
        <x:v>46.2</x:v>
      </x:c>
      <x:c r="J24" s="9" t="n">
        <x:f>SUM(SalesLines!P51,SalesLines!P52,SalesLines!P53)</x:f>
        <x:v>422</x:v>
      </x:c>
      <x:c r="K24" s="11" t="n">
        <x:f>SUM(SalesLines!R51,SalesLines!R52,SalesLines!R53)</x:f>
        <x:v>8</x:v>
      </x:c>
      <x:c r="L24" s="11" t="n">
        <x:f>SUM(SalesLines!S51,SalesLines!S52,SalesLines!S53)</x:f>
        <x:v>2</x:v>
      </x:c>
      <x:c r="M24" s="8" t="n">
        <x:f>DATE(YEAR(C24),MONTH(C24),1)</x:f>
        <x:v>45717</x:v>
      </x:c>
    </x:row>
    <x:row r="25" ht="22" customHeight="1">
      <x:c r="A25" s="2" t="str">
        <x:v>O00021</x:v>
      </x:c>
      <x:c r="B25" s="2" t="str">
        <x:v>C0298</x:v>
      </x:c>
      <x:c r="C25" s="7" t="n">
        <x:v>45906</x:v>
      </x:c>
      <x:c r="D25" s="2" t="str">
        <x:v>Completed</x:v>
      </x:c>
      <x:c r="E25" s="2" t="str">
        <x:v>North</x:v>
      </x:c>
      <x:c r="F25" s="2" t="str">
        <x:v>Store</x:v>
      </x:c>
      <x:c r="G25" s="9" t="n">
        <x:f>SUM(SalesLines!Q54,SalesLines!Q55)</x:f>
        <x:v>571.8</x:v>
      </x:c>
      <x:c r="H25" s="9" t="n">
        <x:f>SUM(SalesLines!M54,SalesLines!M55)</x:f>
        <x:v>698</x:v>
      </x:c>
      <x:c r="I25" s="9" t="n">
        <x:f>SUM(SalesLines!N54,SalesLines!N55)</x:f>
        <x:v>126.20000000000002</x:v>
      </x:c>
      <x:c r="J25" s="9" t="n">
        <x:f>SUM(SalesLines!P54,SalesLines!P55)</x:f>
        <x:v>0</x:v>
      </x:c>
      <x:c r="K25" s="11" t="n">
        <x:f>SUM(SalesLines!R54,SalesLines!R55)</x:f>
        <x:v>4</x:v>
      </x:c>
      <x:c r="L25" s="11" t="n">
        <x:f>SUM(SalesLines!S54,SalesLines!S55)</x:f>
        <x:v>0</x:v>
      </x:c>
      <x:c r="M25" s="8" t="n">
        <x:f>DATE(YEAR(C25),MONTH(C25),1)</x:f>
        <x:v>45901</x:v>
      </x:c>
    </x:row>
    <x:row r="26" ht="22" customHeight="1">
      <x:c r="A26" s="2" t="str">
        <x:v>O00022</x:v>
      </x:c>
      <x:c r="B26" s="2" t="str">
        <x:v>C0058</x:v>
      </x:c>
      <x:c r="C26" s="7" t="n">
        <x:v>45951</x:v>
      </x:c>
      <x:c r="D26" s="2" t="str">
        <x:v>Completed</x:v>
      </x:c>
      <x:c r="E26" s="2" t="str">
        <x:v>North</x:v>
      </x:c>
      <x:c r="F26" s="2" t="str">
        <x:v>Store</x:v>
      </x:c>
      <x:c r="G26" s="9" t="n">
        <x:f>SUM(SalesLines!Q56,SalesLines!Q57,SalesLines!Q58)</x:f>
        <x:v>1086.8</x:v>
      </x:c>
      <x:c r="H26" s="9" t="n">
        <x:f>SUM(SalesLines!M56,SalesLines!M57,SalesLines!M58)</x:f>
        <x:v>1241</x:v>
      </x:c>
      <x:c r="I26" s="9" t="n">
        <x:f>SUM(SalesLines!N56,SalesLines!N57,SalesLines!N58)</x:f>
        <x:v>70.5</x:v>
      </x:c>
      <x:c r="J26" s="9" t="n">
        <x:f>SUM(SalesLines!P56,SalesLines!P57,SalesLines!P58)</x:f>
        <x:v>83.7</x:v>
      </x:c>
      <x:c r="K26" s="11" t="n">
        <x:f>SUM(SalesLines!R56,SalesLines!R57,SalesLines!R58)</x:f>
        <x:v>12</x:v>
      </x:c>
      <x:c r="L26" s="11" t="n">
        <x:f>SUM(SalesLines!S56,SalesLines!S57,SalesLines!S58)</x:f>
        <x:v>1</x:v>
      </x:c>
      <x:c r="M26" s="8" t="n">
        <x:f>DATE(YEAR(C26),MONTH(C26),1)</x:f>
        <x:v>45931</x:v>
      </x:c>
    </x:row>
    <x:row r="27" ht="22" customHeight="1">
      <x:c r="A27" s="2" t="str">
        <x:v>O00023</x:v>
      </x:c>
      <x:c r="B27" s="2" t="str">
        <x:v>C0152</x:v>
      </x:c>
      <x:c r="C27" s="7" t="n">
        <x:v>45720</x:v>
      </x:c>
      <x:c r="D27" s="2" t="str">
        <x:v>Completed</x:v>
      </x:c>
      <x:c r="E27" s="2" t="str">
        <x:v>West</x:v>
      </x:c>
      <x:c r="F27" s="2" t="str">
        <x:v>Online</x:v>
      </x:c>
      <x:c r="G27" s="9" t="n">
        <x:f>SUM(SalesLines!Q59,SalesLines!Q60)</x:f>
        <x:v>337.8</x:v>
      </x:c>
      <x:c r="H27" s="9" t="n">
        <x:f>SUM(SalesLines!M59,SalesLines!M60)</x:f>
        <x:v>364</x:v>
      </x:c>
      <x:c r="I27" s="9" t="n">
        <x:f>SUM(SalesLines!N59,SalesLines!N60)</x:f>
        <x:v>26.200000000000003</x:v>
      </x:c>
      <x:c r="J27" s="9" t="n">
        <x:f>SUM(SalesLines!P59,SalesLines!P60)</x:f>
        <x:v>0</x:v>
      </x:c>
      <x:c r="K27" s="11" t="n">
        <x:f>SUM(SalesLines!R59,SalesLines!R60)</x:f>
        <x:v>5</x:v>
      </x:c>
      <x:c r="L27" s="11" t="n">
        <x:f>SUM(SalesLines!S59,SalesLines!S60)</x:f>
        <x:v>0</x:v>
      </x:c>
      <x:c r="M27" s="8" t="n">
        <x:f>DATE(YEAR(C27),MONTH(C27),1)</x:f>
        <x:v>45717</x:v>
      </x:c>
    </x:row>
    <x:row r="28" ht="22" customHeight="1">
      <x:c r="A28" s="2" t="str">
        <x:v>O00024</x:v>
      </x:c>
      <x:c r="B28" s="2" t="str">
        <x:v>C0047</x:v>
      </x:c>
      <x:c r="C28" s="7" t="n">
        <x:v>45787</x:v>
      </x:c>
      <x:c r="D28" s="2" t="str">
        <x:v>Cancelled</x:v>
      </x:c>
      <x:c r="E28" s="2" t="str">
        <x:v>West</x:v>
      </x:c>
      <x:c r="F28" s="2" t="str">
        <x:v>Online</x:v>
      </x:c>
      <x:c r="G28" s="9" t="n">
        <x:f>SUM(SalesLines!Q61,SalesLines!Q62)</x:f>
        <x:v>0</x:v>
      </x:c>
      <x:c r="H28" s="9" t="n">
        <x:f>SUM(SalesLines!M61,SalesLines!M62)</x:f>
        <x:v>0</x:v>
      </x:c>
      <x:c r="I28" s="9" t="n">
        <x:f>SUM(SalesLines!N61,SalesLines!N62)</x:f>
        <x:v>0</x:v>
      </x:c>
      <x:c r="J28" s="9" t="n">
        <x:f>SUM(SalesLines!P61,SalesLines!P62)</x:f>
        <x:v>0</x:v>
      </x:c>
      <x:c r="K28" s="11" t="n">
        <x:f>SUM(SalesLines!R61,SalesLines!R62)</x:f>
        <x:v>0</x:v>
      </x:c>
      <x:c r="L28" s="11" t="n">
        <x:f>SUM(SalesLines!S61,SalesLines!S62)</x:f>
        <x:v>0</x:v>
      </x:c>
      <x:c r="M28" s="8" t="n">
        <x:f>DATE(YEAR(C28),MONTH(C28),1)</x:f>
        <x:v>45778</x:v>
      </x:c>
    </x:row>
    <x:row r="29" ht="22" customHeight="1">
      <x:c r="A29" s="2" t="str">
        <x:v>O00025</x:v>
      </x:c>
      <x:c r="B29" s="2" t="str">
        <x:v>C0085</x:v>
      </x:c>
      <x:c r="C29" s="7" t="n">
        <x:v>45994</x:v>
      </x:c>
      <x:c r="D29" s="2" t="str">
        <x:v>Completed</x:v>
      </x:c>
      <x:c r="E29" s="2" t="str">
        <x:v>South</x:v>
      </x:c>
      <x:c r="F29" s="2" t="str">
        <x:v>Online</x:v>
      </x:c>
      <x:c r="G29" s="9" t="n">
        <x:f>SUM(SalesLines!Q63)</x:f>
        <x:v>965.2</x:v>
      </x:c>
      <x:c r="H29" s="9" t="n">
        <x:f>SUM(SalesLines!M63)</x:f>
        <x:v>1016</x:v>
      </x:c>
      <x:c r="I29" s="9" t="n">
        <x:f>SUM(SalesLines!N63)</x:f>
        <x:v>50.800000000000004</x:v>
      </x:c>
      <x:c r="J29" s="9" t="n">
        <x:f>SUM(SalesLines!P63)</x:f>
        <x:v>0</x:v>
      </x:c>
      <x:c r="K29" s="11" t="n">
        <x:f>SUM(SalesLines!R63)</x:f>
        <x:v>4</x:v>
      </x:c>
      <x:c r="L29" s="11" t="n">
        <x:f>SUM(SalesLines!S63)</x:f>
        <x:v>0</x:v>
      </x:c>
      <x:c r="M29" s="8" t="n">
        <x:f>DATE(YEAR(C29),MONTH(C29),1)</x:f>
        <x:v>45992</x:v>
      </x:c>
    </x:row>
    <x:row r="30" ht="22" customHeight="1">
      <x:c r="A30" s="2" t="str">
        <x:v>O00026</x:v>
      </x:c>
      <x:c r="B30" s="2" t="str">
        <x:v>C0062</x:v>
      </x:c>
      <x:c r="C30" s="7" t="n">
        <x:v>45793</x:v>
      </x:c>
      <x:c r="D30" s="2" t="str">
        <x:v>Completed</x:v>
      </x:c>
      <x:c r="E30" s="2" t="str">
        <x:v>West</x:v>
      </x:c>
      <x:c r="F30" s="2" t="str">
        <x:v>Store</x:v>
      </x:c>
      <x:c r="G30" s="9" t="n">
        <x:f>SUM(SalesLines!Q64,SalesLines!Q65)</x:f>
        <x:v>252</x:v>
      </x:c>
      <x:c r="H30" s="9" t="n">
        <x:f>SUM(SalesLines!M64,SalesLines!M65)</x:f>
        <x:v>268</x:v>
      </x:c>
      <x:c r="I30" s="9" t="n">
        <x:f>SUM(SalesLines!N64,SalesLines!N65)</x:f>
        <x:v>16</x:v>
      </x:c>
      <x:c r="J30" s="9" t="n">
        <x:f>SUM(SalesLines!P64,SalesLines!P65)</x:f>
        <x:v>0</x:v>
      </x:c>
      <x:c r="K30" s="11" t="n">
        <x:f>SUM(SalesLines!R64,SalesLines!R65)</x:f>
        <x:v>2</x:v>
      </x:c>
      <x:c r="L30" s="11" t="n">
        <x:f>SUM(SalesLines!S64,SalesLines!S65)</x:f>
        <x:v>0</x:v>
      </x:c>
      <x:c r="M30" s="8" t="n">
        <x:f>DATE(YEAR(C30),MONTH(C30),1)</x:f>
        <x:v>45778</x:v>
      </x:c>
    </x:row>
    <x:row r="31" ht="22" customHeight="1">
      <x:c r="A31" s="2" t="str">
        <x:v>O00027</x:v>
      </x:c>
      <x:c r="B31" s="2" t="str">
        <x:v>C0149</x:v>
      </x:c>
      <x:c r="C31" s="7" t="n">
        <x:v>45796</x:v>
      </x:c>
      <x:c r="D31" s="2" t="str">
        <x:v>Completed</x:v>
      </x:c>
      <x:c r="E31" s="2" t="str">
        <x:v>East</x:v>
      </x:c>
      <x:c r="F31" s="2" t="str">
        <x:v>Online</x:v>
      </x:c>
      <x:c r="G31" s="9" t="n">
        <x:f>SUM(SalesLines!Q66,SalesLines!Q67)</x:f>
        <x:v>895</x:v>
      </x:c>
      <x:c r="H31" s="9" t="n">
        <x:f>SUM(SalesLines!M66,SalesLines!M67)</x:f>
        <x:v>910</x:v>
      </x:c>
      <x:c r="I31" s="9" t="n">
        <x:f>SUM(SalesLines!N66,SalesLines!N67)</x:f>
        <x:v>15</x:v>
      </x:c>
      <x:c r="J31" s="9" t="n">
        <x:f>SUM(SalesLines!P66,SalesLines!P67)</x:f>
        <x:v>0</x:v>
      </x:c>
      <x:c r="K31" s="11" t="n">
        <x:f>SUM(SalesLines!R66,SalesLines!R67)</x:f>
        <x:v>6</x:v>
      </x:c>
      <x:c r="L31" s="11" t="n">
        <x:f>SUM(SalesLines!S66,SalesLines!S67)</x:f>
        <x:v>0</x:v>
      </x:c>
      <x:c r="M31" s="8" t="n">
        <x:f>DATE(YEAR(C31),MONTH(C31),1)</x:f>
        <x:v>45778</x:v>
      </x:c>
    </x:row>
    <x:row r="32" ht="22" customHeight="1">
      <x:c r="A32" s="2" t="str">
        <x:v>O00028</x:v>
      </x:c>
      <x:c r="B32" s="2" t="str">
        <x:v>C0042</x:v>
      </x:c>
      <x:c r="C32" s="7" t="n">
        <x:v>45769</x:v>
      </x:c>
      <x:c r="D32" s="2" t="str">
        <x:v>Completed</x:v>
      </x:c>
      <x:c r="E32" s="2" t="str">
        <x:v>South</x:v>
      </x:c>
      <x:c r="F32" s="2" t="str">
        <x:v>Store</x:v>
      </x:c>
      <x:c r="G32" s="9" t="n">
        <x:f>SUM(SalesLines!Q68,SalesLines!Q69,SalesLines!Q70)</x:f>
        <x:v>1062.85</x:v>
      </x:c>
      <x:c r="H32" s="9" t="n">
        <x:f>SUM(SalesLines!M68,SalesLines!M69,SalesLines!M70)</x:f>
        <x:v>1075</x:v>
      </x:c>
      <x:c r="I32" s="9" t="n">
        <x:f>SUM(SalesLines!N68,SalesLines!N69,SalesLines!N70)</x:f>
        <x:v>12.15</x:v>
      </x:c>
      <x:c r="J32" s="9" t="n">
        <x:f>SUM(SalesLines!P68,SalesLines!P69,SalesLines!P70)</x:f>
        <x:v>0</x:v>
      </x:c>
      <x:c r="K32" s="11" t="n">
        <x:f>SUM(SalesLines!R68,SalesLines!R69,SalesLines!R70)</x:f>
        <x:v>7</x:v>
      </x:c>
      <x:c r="L32" s="11" t="n">
        <x:f>SUM(SalesLines!S68,SalesLines!S69,SalesLines!S70)</x:f>
        <x:v>0</x:v>
      </x:c>
      <x:c r="M32" s="8" t="n">
        <x:f>DATE(YEAR(C32),MONTH(C32),1)</x:f>
        <x:v>45748</x:v>
      </x:c>
    </x:row>
    <x:row r="33" ht="22" customHeight="1">
      <x:c r="A33" s="2" t="str">
        <x:v>O00029</x:v>
      </x:c>
      <x:c r="B33" s="2" t="str">
        <x:v>C0001</x:v>
      </x:c>
      <x:c r="C33" s="7" t="n">
        <x:v>45991</x:v>
      </x:c>
      <x:c r="D33" s="2" t="str">
        <x:v>Completed</x:v>
      </x:c>
      <x:c r="E33" s="2" t="str">
        <x:v>East</x:v>
      </x:c>
      <x:c r="F33" s="2" t="str">
        <x:v>Store</x:v>
      </x:c>
      <x:c r="G33" s="9" t="n">
        <x:f>SUM(SalesLines!Q71,SalesLines!Q72)</x:f>
        <x:v>750.9</x:v>
      </x:c>
      <x:c r="H33" s="9" t="n">
        <x:f>SUM(SalesLines!M71,SalesLines!M72)</x:f>
        <x:v>774</x:v>
      </x:c>
      <x:c r="I33" s="9" t="n">
        <x:f>SUM(SalesLines!N71,SalesLines!N72)</x:f>
        <x:v>23.1</x:v>
      </x:c>
      <x:c r="J33" s="9" t="n">
        <x:f>SUM(SalesLines!P71,SalesLines!P72)</x:f>
        <x:v>0</x:v>
      </x:c>
      <x:c r="K33" s="11" t="n">
        <x:f>SUM(SalesLines!R71,SalesLines!R72)</x:f>
        <x:v>6</x:v>
      </x:c>
      <x:c r="L33" s="11" t="n">
        <x:f>SUM(SalesLines!S71,SalesLines!S72)</x:f>
        <x:v>0</x:v>
      </x:c>
      <x:c r="M33" s="8" t="n">
        <x:f>DATE(YEAR(C33),MONTH(C33),1)</x:f>
        <x:v>45962</x:v>
      </x:c>
    </x:row>
    <x:row r="34" ht="22" customHeight="1">
      <x:c r="A34" s="2" t="str">
        <x:v>O00030</x:v>
      </x:c>
      <x:c r="B34" s="2" t="str">
        <x:v>C0025</x:v>
      </x:c>
      <x:c r="C34" s="7" t="n">
        <x:v>46002</x:v>
      </x:c>
      <x:c r="D34" s="2" t="str">
        <x:v>Completed</x:v>
      </x:c>
      <x:c r="E34" s="2" t="str">
        <x:v>East</x:v>
      </x:c>
      <x:c r="F34" s="2" t="str">
        <x:v>Online</x:v>
      </x:c>
      <x:c r="G34" s="9" t="n">
        <x:f>SUM(SalesLines!Q73,SalesLines!Q74,SalesLines!Q75,SalesLines!Q76)</x:f>
        <x:v>1608.8</x:v>
      </x:c>
      <x:c r="H34" s="9" t="n">
        <x:f>SUM(SalesLines!M73,SalesLines!M74,SalesLines!M75,SalesLines!M76)</x:f>
        <x:v>1701</x:v>
      </x:c>
      <x:c r="I34" s="9" t="n">
        <x:f>SUM(SalesLines!N73,SalesLines!N74,SalesLines!N75,SalesLines!N76)</x:f>
        <x:v>92.2</x:v>
      </x:c>
      <x:c r="J34" s="9" t="n">
        <x:f>SUM(SalesLines!P73,SalesLines!P74,SalesLines!P75,SalesLines!P76)</x:f>
        <x:v>0</x:v>
      </x:c>
      <x:c r="K34" s="11" t="n">
        <x:f>SUM(SalesLines!R73,SalesLines!R74,SalesLines!R75,SalesLines!R76)</x:f>
        <x:v>13</x:v>
      </x:c>
      <x:c r="L34" s="11" t="n">
        <x:f>SUM(SalesLines!S73,SalesLines!S74,SalesLines!S75,SalesLines!S76)</x:f>
        <x:v>0</x:v>
      </x:c>
      <x:c r="M34" s="8" t="n">
        <x:f>DATE(YEAR(C34),MONTH(C34),1)</x:f>
        <x:v>45992</x:v>
      </x:c>
    </x:row>
    <x:row r="35" ht="22" customHeight="1">
      <x:c r="A35" s="2" t="str">
        <x:v>O00031</x:v>
      </x:c>
      <x:c r="B35" s="2" t="str">
        <x:v>C0142</x:v>
      </x:c>
      <x:c r="C35" s="7" t="n">
        <x:v>45969</x:v>
      </x:c>
      <x:c r="D35" s="2" t="str">
        <x:v>Completed</x:v>
      </x:c>
      <x:c r="E35" s="2" t="str">
        <x:v>West</x:v>
      </x:c>
      <x:c r="F35" s="2" t="str">
        <x:v>Store</x:v>
      </x:c>
      <x:c r="G35" s="9" t="n">
        <x:f>SUM(SalesLines!Q77)</x:f>
        <x:v>601.6</x:v>
      </x:c>
      <x:c r="H35" s="9" t="n">
        <x:f>SUM(SalesLines!M77)</x:f>
        <x:v>752</x:v>
      </x:c>
      <x:c r="I35" s="9" t="n">
        <x:f>SUM(SalesLines!N77)</x:f>
        <x:v>150.4</x:v>
      </x:c>
      <x:c r="J35" s="9" t="n">
        <x:f>SUM(SalesLines!P77)</x:f>
        <x:v>0</x:v>
      </x:c>
      <x:c r="K35" s="11" t="n">
        <x:f>SUM(SalesLines!R77)</x:f>
        <x:v>4</x:v>
      </x:c>
      <x:c r="L35" s="11" t="n">
        <x:f>SUM(SalesLines!S77)</x:f>
        <x:v>0</x:v>
      </x:c>
      <x:c r="M35" s="8" t="n">
        <x:f>DATE(YEAR(C35),MONTH(C35),1)</x:f>
        <x:v>45962</x:v>
      </x:c>
    </x:row>
    <x:row r="36" ht="22" customHeight="1">
      <x:c r="A36" s="2" t="str">
        <x:v>O00032</x:v>
      </x:c>
      <x:c r="B36" s="2" t="str">
        <x:v>C0156</x:v>
      </x:c>
      <x:c r="C36" s="7" t="n">
        <x:v>45875</x:v>
      </x:c>
      <x:c r="D36" s="2" t="str">
        <x:v>Cancelled</x:v>
      </x:c>
      <x:c r="E36" s="2" t="str">
        <x:v>South</x:v>
      </x:c>
      <x:c r="F36" s="2" t="str">
        <x:v>Store</x:v>
      </x:c>
      <x:c r="G36" s="9" t="n">
        <x:f>SUM(SalesLines!Q78,SalesLines!Q79,SalesLines!Q80)</x:f>
        <x:v>0</x:v>
      </x:c>
      <x:c r="H36" s="9" t="n">
        <x:f>SUM(SalesLines!M78,SalesLines!M79,SalesLines!M80)</x:f>
        <x:v>0</x:v>
      </x:c>
      <x:c r="I36" s="9" t="n">
        <x:f>SUM(SalesLines!N78,SalesLines!N79,SalesLines!N80)</x:f>
        <x:v>0</x:v>
      </x:c>
      <x:c r="J36" s="9" t="n">
        <x:f>SUM(SalesLines!P78,SalesLines!P79,SalesLines!P80)</x:f>
        <x:v>0</x:v>
      </x:c>
      <x:c r="K36" s="11" t="n">
        <x:f>SUM(SalesLines!R78,SalesLines!R79,SalesLines!R80)</x:f>
        <x:v>0</x:v>
      </x:c>
      <x:c r="L36" s="11" t="n">
        <x:f>SUM(SalesLines!S78,SalesLines!S79,SalesLines!S80)</x:f>
        <x:v>0</x:v>
      </x:c>
      <x:c r="M36" s="8" t="n">
        <x:f>DATE(YEAR(C36),MONTH(C36),1)</x:f>
        <x:v>45870</x:v>
      </x:c>
    </x:row>
    <x:row r="37" ht="22" customHeight="1">
      <x:c r="A37" s="2" t="str">
        <x:v>O00033</x:v>
      </x:c>
      <x:c r="B37" s="2" t="str">
        <x:v>C0298</x:v>
      </x:c>
      <x:c r="C37" s="7" t="n">
        <x:v>45956</x:v>
      </x:c>
      <x:c r="D37" s="2" t="str">
        <x:v>Cancelled</x:v>
      </x:c>
      <x:c r="E37" s="2" t="str">
        <x:v>North</x:v>
      </x:c>
      <x:c r="F37" s="2" t="str">
        <x:v>Store</x:v>
      </x:c>
      <x:c r="G37" s="9" t="n">
        <x:f>SUM(SalesLines!Q81,SalesLines!Q82,SalesLines!Q83,SalesLines!Q84)</x:f>
        <x:v>0</x:v>
      </x:c>
      <x:c r="H37" s="9" t="n">
        <x:f>SUM(SalesLines!M81,SalesLines!M82,SalesLines!M83,SalesLines!M84)</x:f>
        <x:v>0</x:v>
      </x:c>
      <x:c r="I37" s="9" t="n">
        <x:f>SUM(SalesLines!N81,SalesLines!N82,SalesLines!N83,SalesLines!N84)</x:f>
        <x:v>0</x:v>
      </x:c>
      <x:c r="J37" s="9" t="n">
        <x:f>SUM(SalesLines!P81,SalesLines!P82,SalesLines!P83,SalesLines!P84)</x:f>
        <x:v>0</x:v>
      </x:c>
      <x:c r="K37" s="11" t="n">
        <x:f>SUM(SalesLines!R81,SalesLines!R82,SalesLines!R83,SalesLines!R84)</x:f>
        <x:v>0</x:v>
      </x:c>
      <x:c r="L37" s="11" t="n">
        <x:f>SUM(SalesLines!S81,SalesLines!S82,SalesLines!S83,SalesLines!S84)</x:f>
        <x:v>0</x:v>
      </x:c>
      <x:c r="M37" s="8" t="n">
        <x:f>DATE(YEAR(C37),MONTH(C37),1)</x:f>
        <x:v>45931</x:v>
      </x:c>
    </x:row>
    <x:row r="38" ht="22" customHeight="1">
      <x:c r="A38" s="2" t="str">
        <x:v>O00034</x:v>
      </x:c>
      <x:c r="B38" s="2" t="str">
        <x:v>C0080</x:v>
      </x:c>
      <x:c r="C38" s="7" t="n">
        <x:v>45805</x:v>
      </x:c>
      <x:c r="D38" s="2" t="str">
        <x:v>Completed</x:v>
      </x:c>
      <x:c r="E38" s="2" t="str">
        <x:v>East</x:v>
      </x:c>
      <x:c r="F38" s="2" t="str">
        <x:v>Online</x:v>
      </x:c>
      <x:c r="G38" s="9" t="n">
        <x:f>SUM(SalesLines!Q85)</x:f>
        <x:v>324</x:v>
      </x:c>
      <x:c r="H38" s="9" t="n">
        <x:f>SUM(SalesLines!M85)</x:f>
        <x:v>405</x:v>
      </x:c>
      <x:c r="I38" s="9" t="n">
        <x:f>SUM(SalesLines!N85)</x:f>
        <x:v>81</x:v>
      </x:c>
      <x:c r="J38" s="9" t="n">
        <x:f>SUM(SalesLines!P85)</x:f>
        <x:v>0</x:v>
      </x:c>
      <x:c r="K38" s="11" t="n">
        <x:f>SUM(SalesLines!R85)</x:f>
        <x:v>5</x:v>
      </x:c>
      <x:c r="L38" s="11" t="n">
        <x:f>SUM(SalesLines!S85)</x:f>
        <x:v>0</x:v>
      </x:c>
      <x:c r="M38" s="8" t="n">
        <x:f>DATE(YEAR(C38),MONTH(C38),1)</x:f>
        <x:v>45778</x:v>
      </x:c>
    </x:row>
    <x:row r="39" ht="22" customHeight="1">
      <x:c r="A39" s="2" t="str">
        <x:v>O00035</x:v>
      </x:c>
      <x:c r="B39" s="2" t="str">
        <x:v>C0106</x:v>
      </x:c>
      <x:c r="C39" s="7" t="n">
        <x:v>45660</x:v>
      </x:c>
      <x:c r="D39" s="2" t="str">
        <x:v>Completed</x:v>
      </x:c>
      <x:c r="E39" s="2" t="str">
        <x:v>East</x:v>
      </x:c>
      <x:c r="F39" s="2" t="str">
        <x:v>Online</x:v>
      </x:c>
      <x:c r="G39" s="9" t="n">
        <x:f>SUM(SalesLines!Q86)</x:f>
        <x:v>378.1</x:v>
      </x:c>
      <x:c r="H39" s="9" t="n">
        <x:f>SUM(SalesLines!M86)</x:f>
        <x:v>398</x:v>
      </x:c>
      <x:c r="I39" s="9" t="n">
        <x:f>SUM(SalesLines!N86)</x:f>
        <x:v>19.900000000000002</x:v>
      </x:c>
      <x:c r="J39" s="9" t="n">
        <x:f>SUM(SalesLines!P86)</x:f>
        <x:v>0</x:v>
      </x:c>
      <x:c r="K39" s="11" t="n">
        <x:f>SUM(SalesLines!R86)</x:f>
        <x:v>2</x:v>
      </x:c>
      <x:c r="L39" s="11" t="n">
        <x:f>SUM(SalesLines!S86)</x:f>
        <x:v>0</x:v>
      </x:c>
      <x:c r="M39" s="8" t="n">
        <x:f>DATE(YEAR(C39),MONTH(C39),1)</x:f>
        <x:v>45658</x:v>
      </x:c>
    </x:row>
    <x:row r="40" ht="22" customHeight="1">
      <x:c r="A40" s="2" t="str">
        <x:v>O00036</x:v>
      </x:c>
      <x:c r="B40" s="2" t="str">
        <x:v>C0212</x:v>
      </x:c>
      <x:c r="C40" s="7" t="n">
        <x:v>45763</x:v>
      </x:c>
      <x:c r="D40" s="2" t="str">
        <x:v>Completed</x:v>
      </x:c>
      <x:c r="E40" s="2" t="str">
        <x:v>East</x:v>
      </x:c>
      <x:c r="F40" s="2" t="str">
        <x:v>Online</x:v>
      </x:c>
      <x:c r="G40" s="9" t="n">
        <x:f>SUM(SalesLines!Q87,SalesLines!Q88,SalesLines!Q89,SalesLines!Q90)</x:f>
        <x:v>1424.4</x:v>
      </x:c>
      <x:c r="H40" s="9" t="n">
        <x:f>SUM(SalesLines!M87,SalesLines!M88,SalesLines!M89,SalesLines!M90)</x:f>
        <x:v>1727</x:v>
      </x:c>
      <x:c r="I40" s="9" t="n">
        <x:f>SUM(SalesLines!N87,SalesLines!N88,SalesLines!N89,SalesLines!N90)</x:f>
        <x:v>302.6</x:v>
      </x:c>
      <x:c r="J40" s="9" t="n">
        <x:f>SUM(SalesLines!P87,SalesLines!P88,SalesLines!P89,SalesLines!P90)</x:f>
        <x:v>0</x:v>
      </x:c>
      <x:c r="K40" s="11" t="n">
        <x:f>SUM(SalesLines!R87,SalesLines!R88,SalesLines!R89,SalesLines!R90)</x:f>
        <x:v>13</x:v>
      </x:c>
      <x:c r="L40" s="11" t="n">
        <x:f>SUM(SalesLines!S87,SalesLines!S88,SalesLines!S89,SalesLines!S90)</x:f>
        <x:v>0</x:v>
      </x:c>
      <x:c r="M40" s="8" t="n">
        <x:f>DATE(YEAR(C40),MONTH(C40),1)</x:f>
        <x:v>45748</x:v>
      </x:c>
    </x:row>
    <x:row r="41" ht="22" customHeight="1">
      <x:c r="A41" s="2" t="str">
        <x:v>O00037</x:v>
      </x:c>
      <x:c r="B41" s="2" t="str">
        <x:v>C0157</x:v>
      </x:c>
      <x:c r="C41" s="7" t="n">
        <x:v>45829</x:v>
      </x:c>
      <x:c r="D41" s="2" t="str">
        <x:v>Completed</x:v>
      </x:c>
      <x:c r="E41" s="2" t="str">
        <x:v>West</x:v>
      </x:c>
      <x:c r="F41" s="2" t="str">
        <x:v>Online</x:v>
      </x:c>
      <x:c r="G41" s="9" t="n">
        <x:f>SUM(SalesLines!Q91,SalesLines!Q92,SalesLines!Q93,SalesLines!Q94)</x:f>
        <x:v>1706.7</x:v>
      </x:c>
      <x:c r="H41" s="9" t="n">
        <x:f>SUM(SalesLines!M91,SalesLines!M92,SalesLines!M93,SalesLines!M94)</x:f>
        <x:v>1866</x:v>
      </x:c>
      <x:c r="I41" s="9" t="n">
        <x:f>SUM(SalesLines!N91,SalesLines!N92,SalesLines!N93,SalesLines!N94)</x:f>
        <x:v>42.45</x:v>
      </x:c>
      <x:c r="J41" s="9" t="n">
        <x:f>SUM(SalesLines!P91,SalesLines!P92,SalesLines!P93,SalesLines!P94)</x:f>
        <x:v>116.85</x:v>
      </x:c>
      <x:c r="K41" s="11" t="n">
        <x:f>SUM(SalesLines!R91,SalesLines!R92,SalesLines!R93,SalesLines!R94)</x:f>
        <x:v>12</x:v>
      </x:c>
      <x:c r="L41" s="11" t="n">
        <x:f>SUM(SalesLines!S91,SalesLines!S92,SalesLines!S93,SalesLines!S94)</x:f>
        <x:v>1</x:v>
      </x:c>
      <x:c r="M41" s="8" t="n">
        <x:f>DATE(YEAR(C41),MONTH(C41),1)</x:f>
        <x:v>45809</x:v>
      </x:c>
    </x:row>
    <x:row r="42" ht="22" customHeight="1">
      <x:c r="A42" s="2" t="str">
        <x:v>O00038</x:v>
      </x:c>
      <x:c r="B42" s="2" t="str">
        <x:v>C0195</x:v>
      </x:c>
      <x:c r="C42" s="7" t="n">
        <x:v>45715</x:v>
      </x:c>
      <x:c r="D42" s="2" t="str">
        <x:v>Completed</x:v>
      </x:c>
      <x:c r="E42" s="2" t="str">
        <x:v>West</x:v>
      </x:c>
      <x:c r="F42" s="2" t="str">
        <x:v>Store</x:v>
      </x:c>
      <x:c r="G42" s="9" t="n">
        <x:f>SUM(SalesLines!Q95)</x:f>
        <x:v>33.25</x:v>
      </x:c>
      <x:c r="H42" s="9" t="n">
        <x:f>SUM(SalesLines!M95)</x:f>
        <x:v>35</x:v>
      </x:c>
      <x:c r="I42" s="9" t="n">
        <x:f>SUM(SalesLines!N95)</x:f>
        <x:v>1.75</x:v>
      </x:c>
      <x:c r="J42" s="9" t="n">
        <x:f>SUM(SalesLines!P95)</x:f>
        <x:v>0</x:v>
      </x:c>
      <x:c r="K42" s="11" t="n">
        <x:f>SUM(SalesLines!R95)</x:f>
        <x:v>1</x:v>
      </x:c>
      <x:c r="L42" s="11" t="n">
        <x:f>SUM(SalesLines!S95)</x:f>
        <x:v>0</x:v>
      </x:c>
      <x:c r="M42" s="8" t="n">
        <x:f>DATE(YEAR(C42),MONTH(C42),1)</x:f>
        <x:v>45689</x:v>
      </x:c>
    </x:row>
    <x:row r="43" ht="22" customHeight="1">
      <x:c r="A43" s="2" t="str">
        <x:v>O00039</x:v>
      </x:c>
      <x:c r="B43" s="2" t="str">
        <x:v>C0062</x:v>
      </x:c>
      <x:c r="C43" s="7" t="n">
        <x:v>45688</x:v>
      </x:c>
      <x:c r="D43" s="2" t="str">
        <x:v>Completed</x:v>
      </x:c>
      <x:c r="E43" s="2" t="str">
        <x:v>West</x:v>
      </x:c>
      <x:c r="F43" s="2" t="str">
        <x:v>Online</x:v>
      </x:c>
      <x:c r="G43" s="9" t="n">
        <x:f>SUM(SalesLines!Q96)</x:f>
        <x:v>558.6</x:v>
      </x:c>
      <x:c r="H43" s="9" t="n">
        <x:f>SUM(SalesLines!M96)</x:f>
        <x:v>588</x:v>
      </x:c>
      <x:c r="I43" s="9" t="n">
        <x:f>SUM(SalesLines!N96)</x:f>
        <x:v>29.400000000000002</x:v>
      </x:c>
      <x:c r="J43" s="9" t="n">
        <x:f>SUM(SalesLines!P96)</x:f>
        <x:v>0</x:v>
      </x:c>
      <x:c r="K43" s="11" t="n">
        <x:f>SUM(SalesLines!R96)</x:f>
        <x:v>3</x:v>
      </x:c>
      <x:c r="L43" s="11" t="n">
        <x:f>SUM(SalesLines!S96)</x:f>
        <x:v>0</x:v>
      </x:c>
      <x:c r="M43" s="8" t="n">
        <x:f>DATE(YEAR(C43),MONTH(C43),1)</x:f>
        <x:v>45658</x:v>
      </x:c>
    </x:row>
    <x:row r="44" ht="22" customHeight="1">
      <x:c r="A44" s="2" t="str">
        <x:v>O00040</x:v>
      </x:c>
      <x:c r="B44" s="2" t="str">
        <x:v>C0276</x:v>
      </x:c>
      <x:c r="C44" s="7" t="n">
        <x:v>45877</x:v>
      </x:c>
      <x:c r="D44" s="2" t="str">
        <x:v>Completed</x:v>
      </x:c>
      <x:c r="E44" s="2" t="str">
        <x:v>South</x:v>
      </x:c>
      <x:c r="F44" s="2" t="str">
        <x:v>Store</x:v>
      </x:c>
      <x:c r="G44" s="9" t="n">
        <x:f>SUM(SalesLines!Q97,SalesLines!Q98,SalesLines!Q99)</x:f>
        <x:v>968.8</x:v>
      </x:c>
      <x:c r="H44" s="9" t="n">
        <x:f>SUM(SalesLines!M97,SalesLines!M98,SalesLines!M99)</x:f>
        <x:v>1150</x:v>
      </x:c>
      <x:c r="I44" s="9" t="n">
        <x:f>SUM(SalesLines!N97,SalesLines!N98,SalesLines!N99)</x:f>
        <x:v>92.85000000000001</x:v>
      </x:c>
      <x:c r="J44" s="9" t="n">
        <x:f>SUM(SalesLines!P97,SalesLines!P98,SalesLines!P99)</x:f>
        <x:v>88.35</x:v>
      </x:c>
      <x:c r="K44" s="11" t="n">
        <x:f>SUM(SalesLines!R97,SalesLines!R98,SalesLines!R99)</x:f>
        <x:v>9</x:v>
      </x:c>
      <x:c r="L44" s="11" t="n">
        <x:f>SUM(SalesLines!S97,SalesLines!S98,SalesLines!S99)</x:f>
        <x:v>1</x:v>
      </x:c>
      <x:c r="M44" s="8" t="n">
        <x:f>DATE(YEAR(C44),MONTH(C44),1)</x:f>
        <x:v>45870</x:v>
      </x:c>
    </x:row>
    <x:row r="45" ht="22" customHeight="1">
      <x:c r="A45" s="2" t="str">
        <x:v>O00041</x:v>
      </x:c>
      <x:c r="B45" s="2" t="str">
        <x:v>C0184</x:v>
      </x:c>
      <x:c r="C45" s="7" t="n">
        <x:v>45945</x:v>
      </x:c>
      <x:c r="D45" s="2" t="str">
        <x:v>Cancelled</x:v>
      </x:c>
      <x:c r="E45" s="2" t="str">
        <x:v>West</x:v>
      </x:c>
      <x:c r="F45" s="2" t="str">
        <x:v>Store</x:v>
      </x:c>
      <x:c r="G45" s="9" t="n">
        <x:f>SUM(SalesLines!Q100,SalesLines!Q101,SalesLines!Q102)</x:f>
        <x:v>0</x:v>
      </x:c>
      <x:c r="H45" s="9" t="n">
        <x:f>SUM(SalesLines!M100,SalesLines!M101,SalesLines!M102)</x:f>
        <x:v>0</x:v>
      </x:c>
      <x:c r="I45" s="9" t="n">
        <x:f>SUM(SalesLines!N100,SalesLines!N101,SalesLines!N102)</x:f>
        <x:v>0</x:v>
      </x:c>
      <x:c r="J45" s="9" t="n">
        <x:f>SUM(SalesLines!P100,SalesLines!P101,SalesLines!P102)</x:f>
        <x:v>0</x:v>
      </x:c>
      <x:c r="K45" s="11" t="n">
        <x:f>SUM(SalesLines!R100,SalesLines!R101,SalesLines!R102)</x:f>
        <x:v>0</x:v>
      </x:c>
      <x:c r="L45" s="11" t="n">
        <x:f>SUM(SalesLines!S100,SalesLines!S101,SalesLines!S102)</x:f>
        <x:v>0</x:v>
      </x:c>
      <x:c r="M45" s="8" t="n">
        <x:f>DATE(YEAR(C45),MONTH(C45),1)</x:f>
        <x:v>45931</x:v>
      </x:c>
    </x:row>
    <x:row r="46" ht="22" customHeight="1">
      <x:c r="A46" s="2" t="str">
        <x:v>O00042</x:v>
      </x:c>
      <x:c r="B46" s="2" t="str">
        <x:v>C0241</x:v>
      </x:c>
      <x:c r="C46" s="7" t="n">
        <x:v>45833</x:v>
      </x:c>
      <x:c r="D46" s="2" t="str">
        <x:v>Completed</x:v>
      </x:c>
      <x:c r="E46" s="2" t="str">
        <x:v>North</x:v>
      </x:c>
      <x:c r="F46" s="2" t="str">
        <x:v>Online</x:v>
      </x:c>
      <x:c r="G46" s="9" t="n">
        <x:f>SUM(SalesLines!Q103,SalesLines!Q104)</x:f>
        <x:v>1269.1</x:v>
      </x:c>
      <x:c r="H46" s="9" t="n">
        <x:f>SUM(SalesLines!M103,SalesLines!M104)</x:f>
        <x:v>1493</x:v>
      </x:c>
      <x:c r="I46" s="9" t="n">
        <x:f>SUM(SalesLines!N103,SalesLines!N104)</x:f>
        <x:v>223.9</x:v>
      </x:c>
      <x:c r="J46" s="9" t="n">
        <x:f>SUM(SalesLines!P103,SalesLines!P104)</x:f>
        <x:v>0</x:v>
      </x:c>
      <x:c r="K46" s="11" t="n">
        <x:f>SUM(SalesLines!R103,SalesLines!R104)</x:f>
        <x:v>7</x:v>
      </x:c>
      <x:c r="L46" s="11" t="n">
        <x:f>SUM(SalesLines!S103,SalesLines!S104)</x:f>
        <x:v>0</x:v>
      </x:c>
      <x:c r="M46" s="8" t="n">
        <x:f>DATE(YEAR(C46),MONTH(C46),1)</x:f>
        <x:v>45809</x:v>
      </x:c>
    </x:row>
    <x:row r="47" ht="22" customHeight="1">
      <x:c r="A47" s="2" t="str">
        <x:v>O00043</x:v>
      </x:c>
      <x:c r="B47" s="2" t="str">
        <x:v>C0259</x:v>
      </x:c>
      <x:c r="C47" s="7" t="n">
        <x:v>45883</x:v>
      </x:c>
      <x:c r="D47" s="2" t="str">
        <x:v>Completed</x:v>
      </x:c>
      <x:c r="E47" s="2" t="str">
        <x:v>North</x:v>
      </x:c>
      <x:c r="F47" s="2" t="str">
        <x:v>Online</x:v>
      </x:c>
      <x:c r="G47" s="9" t="n">
        <x:f>SUM(SalesLines!Q105)</x:f>
        <x:v>148.2</x:v>
      </x:c>
      <x:c r="H47" s="9" t="n">
        <x:f>SUM(SalesLines!M105)</x:f>
        <x:v>156</x:v>
      </x:c>
      <x:c r="I47" s="9" t="n">
        <x:f>SUM(SalesLines!N105)</x:f>
        <x:v>7.800000000000001</x:v>
      </x:c>
      <x:c r="J47" s="9" t="n">
        <x:f>SUM(SalesLines!P105)</x:f>
        <x:v>0</x:v>
      </x:c>
      <x:c r="K47" s="11" t="n">
        <x:f>SUM(SalesLines!R105)</x:f>
        <x:v>2</x:v>
      </x:c>
      <x:c r="L47" s="11" t="n">
        <x:f>SUM(SalesLines!S105)</x:f>
        <x:v>0</x:v>
      </x:c>
      <x:c r="M47" s="8" t="n">
        <x:f>DATE(YEAR(C47),MONTH(C47),1)</x:f>
        <x:v>45870</x:v>
      </x:c>
    </x:row>
    <x:row r="48" ht="22" customHeight="1">
      <x:c r="A48" s="2" t="str">
        <x:v>O00044</x:v>
      </x:c>
      <x:c r="B48" s="2" t="str">
        <x:v>C0290</x:v>
      </x:c>
      <x:c r="C48" s="7" t="n">
        <x:v>45934</x:v>
      </x:c>
      <x:c r="D48" s="2" t="str">
        <x:v>Completed</x:v>
      </x:c>
      <x:c r="E48" s="2" t="str">
        <x:v>South</x:v>
      </x:c>
      <x:c r="F48" s="2" t="str">
        <x:v>Store</x:v>
      </x:c>
      <x:c r="G48" s="9" t="n">
        <x:f>SUM(SalesLines!Q106,SalesLines!Q107,SalesLines!Q108)</x:f>
        <x:v>2069.2000000000003</x:v>
      </x:c>
      <x:c r="H48" s="9" t="n">
        <x:f>SUM(SalesLines!M106,SalesLines!M107,SalesLines!M108)</x:f>
        <x:v>2120</x:v>
      </x:c>
      <x:c r="I48" s="9" t="n">
        <x:f>SUM(SalesLines!N106,SalesLines!N107,SalesLines!N108)</x:f>
        <x:v>50.800000000000004</x:v>
      </x:c>
      <x:c r="J48" s="9" t="n">
        <x:f>SUM(SalesLines!P106,SalesLines!P107,SalesLines!P108)</x:f>
        <x:v>0</x:v>
      </x:c>
      <x:c r="K48" s="11" t="n">
        <x:f>SUM(SalesLines!R106,SalesLines!R107,SalesLines!R108)</x:f>
        <x:v>9</x:v>
      </x:c>
      <x:c r="L48" s="11" t="n">
        <x:f>SUM(SalesLines!S106,SalesLines!S107,SalesLines!S108)</x:f>
        <x:v>0</x:v>
      </x:c>
      <x:c r="M48" s="8" t="n">
        <x:f>DATE(YEAR(C48),MONTH(C48),1)</x:f>
        <x:v>45931</x:v>
      </x:c>
    </x:row>
    <x:row r="49" ht="22" customHeight="1">
      <x:c r="A49" s="2" t="str">
        <x:v>O00045</x:v>
      </x:c>
      <x:c r="B49" s="2" t="str">
        <x:v>C0118</x:v>
      </x:c>
      <x:c r="C49" s="7" t="n">
        <x:v>45894</x:v>
      </x:c>
      <x:c r="D49" s="2" t="str">
        <x:v>Completed</x:v>
      </x:c>
      <x:c r="E49" s="2" t="str">
        <x:v>West</x:v>
      </x:c>
      <x:c r="F49" s="2" t="str">
        <x:v>Store</x:v>
      </x:c>
      <x:c r="G49" s="9" t="n">
        <x:f>SUM(SalesLines!Q109,SalesLines!Q110,SalesLines!Q111)</x:f>
        <x:v>1375.1</x:v>
      </x:c>
      <x:c r="H49" s="9" t="n">
        <x:f>SUM(SalesLines!M109,SalesLines!M110,SalesLines!M111)</x:f>
        <x:v>1432</x:v>
      </x:c>
      <x:c r="I49" s="9" t="n">
        <x:f>SUM(SalesLines!N109,SalesLines!N110,SalesLines!N111)</x:f>
        <x:v>56.900000000000006</x:v>
      </x:c>
      <x:c r="J49" s="9" t="n">
        <x:f>SUM(SalesLines!P109,SalesLines!P110,SalesLines!P111)</x:f>
        <x:v>0</x:v>
      </x:c>
      <x:c r="K49" s="11" t="n">
        <x:f>SUM(SalesLines!R109,SalesLines!R110,SalesLines!R111)</x:f>
        <x:v>5</x:v>
      </x:c>
      <x:c r="L49" s="11" t="n">
        <x:f>SUM(SalesLines!S109,SalesLines!S110,SalesLines!S111)</x:f>
        <x:v>0</x:v>
      </x:c>
      <x:c r="M49" s="8" t="n">
        <x:f>DATE(YEAR(C49),MONTH(C49),1)</x:f>
        <x:v>45870</x:v>
      </x:c>
    </x:row>
    <x:row r="50" ht="22" customHeight="1">
      <x:c r="A50" s="2" t="str">
        <x:v>O00046</x:v>
      </x:c>
      <x:c r="B50" s="2" t="str">
        <x:v>C0208</x:v>
      </x:c>
      <x:c r="C50" s="7" t="n">
        <x:v>45755</x:v>
      </x:c>
      <x:c r="D50" s="2" t="str">
        <x:v>Completed</x:v>
      </x:c>
      <x:c r="E50" s="2" t="str">
        <x:v>East</x:v>
      </x:c>
      <x:c r="F50" s="2" t="str">
        <x:v>Online</x:v>
      </x:c>
      <x:c r="G50" s="9" t="n">
        <x:f>SUM(SalesLines!Q112)</x:f>
        <x:v>877.8</x:v>
      </x:c>
      <x:c r="H50" s="9" t="n">
        <x:f>SUM(SalesLines!M112)</x:f>
        <x:v>924</x:v>
      </x:c>
      <x:c r="I50" s="9" t="n">
        <x:f>SUM(SalesLines!N112)</x:f>
        <x:v>46.2</x:v>
      </x:c>
      <x:c r="J50" s="9" t="n">
        <x:f>SUM(SalesLines!P112)</x:f>
        <x:v>0</x:v>
      </x:c>
      <x:c r="K50" s="11" t="n">
        <x:f>SUM(SalesLines!R112)</x:f>
        <x:v>4</x:v>
      </x:c>
      <x:c r="L50" s="11" t="n">
        <x:f>SUM(SalesLines!S112)</x:f>
        <x:v>0</x:v>
      </x:c>
      <x:c r="M50" s="8" t="n">
        <x:f>DATE(YEAR(C50),MONTH(C50),1)</x:f>
        <x:v>45748</x:v>
      </x:c>
    </x:row>
    <x:row r="51" ht="22" customHeight="1">
      <x:c r="A51" s="2" t="str">
        <x:v>O00047</x:v>
      </x:c>
      <x:c r="B51" s="2" t="str">
        <x:v>C0297</x:v>
      </x:c>
      <x:c r="C51" s="7" t="n">
        <x:v>45815</x:v>
      </x:c>
      <x:c r="D51" s="2" t="str">
        <x:v>Completed</x:v>
      </x:c>
      <x:c r="E51" s="2" t="str">
        <x:v>East</x:v>
      </x:c>
      <x:c r="F51" s="2" t="str">
        <x:v>Store</x:v>
      </x:c>
      <x:c r="G51" s="9" t="n">
        <x:f>SUM(SalesLines!Q113,SalesLines!Q114,SalesLines!Q115,SalesLines!Q116)</x:f>
        <x:v>2327.05</x:v>
      </x:c>
      <x:c r="H51" s="9" t="n">
        <x:f>SUM(SalesLines!M113,SalesLines!M114,SalesLines!M115,SalesLines!M116)</x:f>
        <x:v>2440</x:v>
      </x:c>
      <x:c r="I51" s="9" t="n">
        <x:f>SUM(SalesLines!N113,SalesLines!N114,SalesLines!N115,SalesLines!N116)</x:f>
        <x:v>112.95</x:v>
      </x:c>
      <x:c r="J51" s="9" t="n">
        <x:f>SUM(SalesLines!P113,SalesLines!P114,SalesLines!P115,SalesLines!P116)</x:f>
        <x:v>0</x:v>
      </x:c>
      <x:c r="K51" s="11" t="n">
        <x:f>SUM(SalesLines!R113,SalesLines!R114,SalesLines!R115,SalesLines!R116)</x:f>
        <x:v>12</x:v>
      </x:c>
      <x:c r="L51" s="11" t="n">
        <x:f>SUM(SalesLines!S113,SalesLines!S114,SalesLines!S115,SalesLines!S116)</x:f>
        <x:v>0</x:v>
      </x:c>
      <x:c r="M51" s="8" t="n">
        <x:f>DATE(YEAR(C51),MONTH(C51),1)</x:f>
        <x:v>45809</x:v>
      </x:c>
    </x:row>
    <x:row r="52" ht="22" customHeight="1">
      <x:c r="A52" s="2" t="str">
        <x:v>O00048</x:v>
      </x:c>
      <x:c r="B52" s="2" t="str">
        <x:v>C0143</x:v>
      </x:c>
      <x:c r="C52" s="7" t="n">
        <x:v>45991</x:v>
      </x:c>
      <x:c r="D52" s="2" t="str">
        <x:v>Completed</x:v>
      </x:c>
      <x:c r="E52" s="2" t="str">
        <x:v>West</x:v>
      </x:c>
      <x:c r="F52" s="2" t="str">
        <x:v>Online</x:v>
      </x:c>
      <x:c r="G52" s="9" t="n">
        <x:f>SUM(SalesLines!Q117,SalesLines!Q118)</x:f>
        <x:v>1125.9</x:v>
      </x:c>
      <x:c r="H52" s="9" t="n">
        <x:f>SUM(SalesLines!M117,SalesLines!M118)</x:f>
        <x:v>1251</x:v>
      </x:c>
      <x:c r="I52" s="9" t="n">
        <x:f>SUM(SalesLines!N117,SalesLines!N118)</x:f>
        <x:v>125.1</x:v>
      </x:c>
      <x:c r="J52" s="9" t="n">
        <x:f>SUM(SalesLines!P117,SalesLines!P118)</x:f>
        <x:v>0</x:v>
      </x:c>
      <x:c r="K52" s="11" t="n">
        <x:f>SUM(SalesLines!R117,SalesLines!R118)</x:f>
        <x:v>6</x:v>
      </x:c>
      <x:c r="L52" s="11" t="n">
        <x:f>SUM(SalesLines!S117,SalesLines!S118)</x:f>
        <x:v>0</x:v>
      </x:c>
      <x:c r="M52" s="8" t="n">
        <x:f>DATE(YEAR(C52),MONTH(C52),1)</x:f>
        <x:v>45962</x:v>
      </x:c>
    </x:row>
    <x:row r="53" ht="22" customHeight="1">
      <x:c r="A53" s="2" t="str">
        <x:v>O00049</x:v>
      </x:c>
      <x:c r="B53" s="2" t="str">
        <x:v>C0259</x:v>
      </x:c>
      <x:c r="C53" s="7" t="n">
        <x:v>45759</x:v>
      </x:c>
      <x:c r="D53" s="2" t="str">
        <x:v>Completed</x:v>
      </x:c>
      <x:c r="E53" s="2" t="str">
        <x:v>North</x:v>
      </x:c>
      <x:c r="F53" s="2" t="str">
        <x:v>Store</x:v>
      </x:c>
      <x:c r="G53" s="9" t="n">
        <x:f>SUM(SalesLines!Q119,SalesLines!Q120)</x:f>
        <x:v>911.3</x:v>
      </x:c>
      <x:c r="H53" s="9" t="n">
        <x:f>SUM(SalesLines!M119,SalesLines!M120)</x:f>
        <x:v>1320</x:v>
      </x:c>
      <x:c r="I53" s="9" t="n">
        <x:f>SUM(SalesLines!N119,SalesLines!N120)</x:f>
        <x:v>26.8</x:v>
      </x:c>
      <x:c r="J53" s="9" t="n">
        <x:f>SUM(SalesLines!P119,SalesLines!P120)</x:f>
        <x:v>381.9</x:v>
      </x:c>
      <x:c r="K53" s="11" t="n">
        <x:f>SUM(SalesLines!R119,SalesLines!R120)</x:f>
        <x:v>8</x:v>
      </x:c>
      <x:c r="L53" s="11" t="n">
        <x:f>SUM(SalesLines!S119,SalesLines!S120)</x:f>
        <x:v>3</x:v>
      </x:c>
      <x:c r="M53" s="8" t="n">
        <x:f>DATE(YEAR(C53),MONTH(C53),1)</x:f>
        <x:v>45748</x:v>
      </x:c>
    </x:row>
    <x:row r="54" ht="22" customHeight="1">
      <x:c r="A54" s="2" t="str">
        <x:v>O00050</x:v>
      </x:c>
      <x:c r="B54" s="2" t="str">
        <x:v>C0256</x:v>
      </x:c>
      <x:c r="C54" s="7" t="n">
        <x:v>45756</x:v>
      </x:c>
      <x:c r="D54" s="2" t="str">
        <x:v>Completed</x:v>
      </x:c>
      <x:c r="E54" s="2" t="str">
        <x:v>North</x:v>
      </x:c>
      <x:c r="F54" s="2" t="str">
        <x:v>Online</x:v>
      </x:c>
      <x:c r="G54" s="9" t="n">
        <x:f>SUM(SalesLines!Q121,SalesLines!Q122)</x:f>
        <x:v>757</x:v>
      </x:c>
      <x:c r="H54" s="9" t="n">
        <x:f>SUM(SalesLines!M121,SalesLines!M122)</x:f>
        <x:v>879</x:v>
      </x:c>
      <x:c r="I54" s="9" t="n">
        <x:f>SUM(SalesLines!N121,SalesLines!N122)</x:f>
        <x:v>122</x:v>
      </x:c>
      <x:c r="J54" s="9" t="n">
        <x:f>SUM(SalesLines!P121,SalesLines!P122)</x:f>
        <x:v>0</x:v>
      </x:c>
      <x:c r="K54" s="11" t="n">
        <x:f>SUM(SalesLines!R121,SalesLines!R122)</x:f>
        <x:v>6</x:v>
      </x:c>
      <x:c r="L54" s="11" t="n">
        <x:f>SUM(SalesLines!S121,SalesLines!S122)</x:f>
        <x:v>0</x:v>
      </x:c>
      <x:c r="M54" s="8" t="n">
        <x:f>DATE(YEAR(C54),MONTH(C54),1)</x:f>
        <x:v>45748</x:v>
      </x:c>
    </x:row>
    <x:row r="55" ht="22" customHeight="1">
      <x:c r="A55" s="2" t="str">
        <x:v>O00051</x:v>
      </x:c>
      <x:c r="B55" s="2" t="str">
        <x:v>C0178</x:v>
      </x:c>
      <x:c r="C55" s="7" t="n">
        <x:v>45834</x:v>
      </x:c>
      <x:c r="D55" s="2" t="str">
        <x:v>Completed</x:v>
      </x:c>
      <x:c r="E55" s="2" t="str">
        <x:v>East</x:v>
      </x:c>
      <x:c r="F55" s="2" t="str">
        <x:v>Store</x:v>
      </x:c>
      <x:c r="G55" s="9" t="n">
        <x:f>SUM(SalesLines!Q123,SalesLines!Q124,SalesLines!Q125)</x:f>
        <x:v>2146.05</x:v>
      </x:c>
      <x:c r="H55" s="9" t="n">
        <x:f>SUM(SalesLines!M123,SalesLines!M124,SalesLines!M125)</x:f>
        <x:v>2372</x:v>
      </x:c>
      <x:c r="I55" s="9" t="n">
        <x:f>SUM(SalesLines!N123,SalesLines!N124,SalesLines!N125)</x:f>
        <x:v>225.95</x:v>
      </x:c>
      <x:c r="J55" s="9" t="n">
        <x:f>SUM(SalesLines!P123,SalesLines!P124,SalesLines!P125)</x:f>
        <x:v>0</x:v>
      </x:c>
      <x:c r="K55" s="11" t="n">
        <x:f>SUM(SalesLines!R123,SalesLines!R124,SalesLines!R125)</x:f>
        <x:v>14</x:v>
      </x:c>
      <x:c r="L55" s="11" t="n">
        <x:f>SUM(SalesLines!S123,SalesLines!S124,SalesLines!S125)</x:f>
        <x:v>0</x:v>
      </x:c>
      <x:c r="M55" s="8" t="n">
        <x:f>DATE(YEAR(C55),MONTH(C55),1)</x:f>
        <x:v>45809</x:v>
      </x:c>
    </x:row>
    <x:row r="56" ht="22" customHeight="1">
      <x:c r="A56" s="2" t="str">
        <x:v>O00052</x:v>
      </x:c>
      <x:c r="B56" s="2" t="str">
        <x:v>C0198</x:v>
      </x:c>
      <x:c r="C56" s="7" t="n">
        <x:v>45972</x:v>
      </x:c>
      <x:c r="D56" s="2" t="str">
        <x:v>Completed</x:v>
      </x:c>
      <x:c r="E56" s="2" t="str">
        <x:v>West</x:v>
      </x:c>
      <x:c r="F56" s="2" t="str">
        <x:v>Store</x:v>
      </x:c>
      <x:c r="G56" s="9" t="n">
        <x:f>SUM(SalesLines!Q126)</x:f>
        <x:v>793.8</x:v>
      </x:c>
      <x:c r="H56" s="9" t="n">
        <x:f>SUM(SalesLines!M126)</x:f>
        <x:v>882</x:v>
      </x:c>
      <x:c r="I56" s="9" t="n">
        <x:f>SUM(SalesLines!N126)</x:f>
        <x:v>88.2</x:v>
      </x:c>
      <x:c r="J56" s="9" t="n">
        <x:f>SUM(SalesLines!P126)</x:f>
        <x:v>0</x:v>
      </x:c>
      <x:c r="K56" s="11" t="n">
        <x:f>SUM(SalesLines!R126)</x:f>
        <x:v>3</x:v>
      </x:c>
      <x:c r="L56" s="11" t="n">
        <x:f>SUM(SalesLines!S126)</x:f>
        <x:v>0</x:v>
      </x:c>
      <x:c r="M56" s="8" t="n">
        <x:f>DATE(YEAR(C56),MONTH(C56),1)</x:f>
        <x:v>45962</x:v>
      </x:c>
    </x:row>
    <x:row r="57" ht="22" customHeight="1">
      <x:c r="A57" s="2" t="str">
        <x:v>O00053</x:v>
      </x:c>
      <x:c r="B57" s="2" t="str">
        <x:v>C0114</x:v>
      </x:c>
      <x:c r="C57" s="7" t="n">
        <x:v>45899</x:v>
      </x:c>
      <x:c r="D57" s="2" t="str">
        <x:v>Completed</x:v>
      </x:c>
      <x:c r="E57" s="2" t="str">
        <x:v>North</x:v>
      </x:c>
      <x:c r="F57" s="2" t="str">
        <x:v>Store</x:v>
      </x:c>
      <x:c r="G57" s="9" t="n">
        <x:f>SUM(SalesLines!Q127,SalesLines!Q128,SalesLines!Q129)</x:f>
        <x:v>1568.2</x:v>
      </x:c>
      <x:c r="H57" s="9" t="n">
        <x:f>SUM(SalesLines!M127,SalesLines!M128,SalesLines!M129)</x:f>
        <x:v>1859</x:v>
      </x:c>
      <x:c r="I57" s="9" t="n">
        <x:f>SUM(SalesLines!N127,SalesLines!N128,SalesLines!N129)</x:f>
        <x:v>290.8</x:v>
      </x:c>
      <x:c r="J57" s="9" t="n">
        <x:f>SUM(SalesLines!P127,SalesLines!P128,SalesLines!P129)</x:f>
        <x:v>0</x:v>
      </x:c>
      <x:c r="K57" s="11" t="n">
        <x:f>SUM(SalesLines!R127,SalesLines!R128,SalesLines!R129)</x:f>
        <x:v>10</x:v>
      </x:c>
      <x:c r="L57" s="11" t="n">
        <x:f>SUM(SalesLines!S127,SalesLines!S128,SalesLines!S129)</x:f>
        <x:v>0</x:v>
      </x:c>
      <x:c r="M57" s="8" t="n">
        <x:f>DATE(YEAR(C57),MONTH(C57),1)</x:f>
        <x:v>45870</x:v>
      </x:c>
    </x:row>
    <x:row r="58" ht="22" customHeight="1">
      <x:c r="A58" s="2" t="str">
        <x:v>O00054</x:v>
      </x:c>
      <x:c r="B58" s="2" t="str">
        <x:v>C0174</x:v>
      </x:c>
      <x:c r="C58" s="7" t="n">
        <x:v>45781</x:v>
      </x:c>
      <x:c r="D58" s="2" t="str">
        <x:v>Completed</x:v>
      </x:c>
      <x:c r="E58" s="2" t="str">
        <x:v>South</x:v>
      </x:c>
      <x:c r="F58" s="2" t="str">
        <x:v>Online</x:v>
      </x:c>
      <x:c r="G58" s="9" t="n">
        <x:f>SUM(SalesLines!Q130,SalesLines!Q131)</x:f>
        <x:v>327.8</x:v>
      </x:c>
      <x:c r="H58" s="9" t="n">
        <x:f>SUM(SalesLines!M130,SalesLines!M131)</x:f>
        <x:v>401</x:v>
      </x:c>
      <x:c r="I58" s="9" t="n">
        <x:f>SUM(SalesLines!N130,SalesLines!N131)</x:f>
        <x:v>73.2</x:v>
      </x:c>
      <x:c r="J58" s="9" t="n">
        <x:f>SUM(SalesLines!P130,SalesLines!P131)</x:f>
        <x:v>0</x:v>
      </x:c>
      <x:c r="K58" s="11" t="n">
        <x:f>SUM(SalesLines!R130,SalesLines!R131)</x:f>
        <x:v>4</x:v>
      </x:c>
      <x:c r="L58" s="11" t="n">
        <x:f>SUM(SalesLines!S130,SalesLines!S131)</x:f>
        <x:v>0</x:v>
      </x:c>
      <x:c r="M58" s="8" t="n">
        <x:f>DATE(YEAR(C58),MONTH(C58),1)</x:f>
        <x:v>45778</x:v>
      </x:c>
    </x:row>
    <x:row r="59" ht="22" customHeight="1">
      <x:c r="A59" s="2" t="str">
        <x:v>O00055</x:v>
      </x:c>
      <x:c r="B59" s="2" t="str">
        <x:v>C0126</x:v>
      </x:c>
      <x:c r="C59" s="7" t="n">
        <x:v>45829</x:v>
      </x:c>
      <x:c r="D59" s="2" t="str">
        <x:v>Completed</x:v>
      </x:c>
      <x:c r="E59" s="2" t="str">
        <x:v>South</x:v>
      </x:c>
      <x:c r="F59" s="2" t="str">
        <x:v>Store</x:v>
      </x:c>
      <x:c r="G59" s="9" t="n">
        <x:f>SUM(SalesLines!Q132)</x:f>
        <x:v>908.8</x:v>
      </x:c>
      <x:c r="H59" s="9" t="n">
        <x:f>SUM(SalesLines!M132)</x:f>
        <x:v>1136</x:v>
      </x:c>
      <x:c r="I59" s="9" t="n">
        <x:f>SUM(SalesLines!N132)</x:f>
        <x:v>227.20000000000002</x:v>
      </x:c>
      <x:c r="J59" s="9" t="n">
        <x:f>SUM(SalesLines!P132)</x:f>
        <x:v>0</x:v>
      </x:c>
      <x:c r="K59" s="11" t="n">
        <x:f>SUM(SalesLines!R132)</x:f>
        <x:v>4</x:v>
      </x:c>
      <x:c r="L59" s="11" t="n">
        <x:f>SUM(SalesLines!S132)</x:f>
        <x:v>0</x:v>
      </x:c>
      <x:c r="M59" s="8" t="n">
        <x:f>DATE(YEAR(C59),MONTH(C59),1)</x:f>
        <x:v>45809</x:v>
      </x:c>
    </x:row>
    <x:row r="60" ht="22" customHeight="1">
      <x:c r="A60" s="2" t="str">
        <x:v>O00056</x:v>
      </x:c>
      <x:c r="B60" s="2" t="str">
        <x:v>C0130</x:v>
      </x:c>
      <x:c r="C60" s="7" t="n">
        <x:v>45766</x:v>
      </x:c>
      <x:c r="D60" s="2" t="str">
        <x:v>Completed</x:v>
      </x:c>
      <x:c r="E60" s="2" t="str">
        <x:v>West</x:v>
      </x:c>
      <x:c r="F60" s="2" t="str">
        <x:v>Store</x:v>
      </x:c>
      <x:c r="G60" s="9" t="n">
        <x:f>SUM(SalesLines!Q133,SalesLines!Q134,SalesLines!Q135)</x:f>
        <x:v>1503.55</x:v>
      </x:c>
      <x:c r="H60" s="9" t="n">
        <x:f>SUM(SalesLines!M133,SalesLines!M134,SalesLines!M135)</x:f>
        <x:v>1783</x:v>
      </x:c>
      <x:c r="I60" s="9" t="n">
        <x:f>SUM(SalesLines!N133,SalesLines!N134,SalesLines!N135)</x:f>
        <x:v>279.45</x:v>
      </x:c>
      <x:c r="J60" s="9" t="n">
        <x:f>SUM(SalesLines!P133,SalesLines!P134,SalesLines!P135)</x:f>
        <x:v>0</x:v>
      </x:c>
      <x:c r="K60" s="11" t="n">
        <x:f>SUM(SalesLines!R133,SalesLines!R134,SalesLines!R135)</x:f>
        <x:v>7</x:v>
      </x:c>
      <x:c r="L60" s="11" t="n">
        <x:f>SUM(SalesLines!S133,SalesLines!S134,SalesLines!S135)</x:f>
        <x:v>0</x:v>
      </x:c>
      <x:c r="M60" s="8" t="n">
        <x:f>DATE(YEAR(C60),MONTH(C60),1)</x:f>
        <x:v>45748</x:v>
      </x:c>
    </x:row>
    <x:row r="61" ht="22" customHeight="1">
      <x:c r="A61" s="2" t="str">
        <x:v>O00057</x:v>
      </x:c>
      <x:c r="B61" s="2" t="str">
        <x:v>C0285</x:v>
      </x:c>
      <x:c r="C61" s="7" t="n">
        <x:v>45880</x:v>
      </x:c>
      <x:c r="D61" s="2" t="str">
        <x:v>Completed</x:v>
      </x:c>
      <x:c r="E61" s="2" t="str">
        <x:v>East</x:v>
      </x:c>
      <x:c r="F61" s="2" t="str">
        <x:v>Store</x:v>
      </x:c>
      <x:c r="G61" s="9" t="n">
        <x:f>SUM(SalesLines!Q136,SalesLines!Q137,SalesLines!Q138)</x:f>
        <x:v>572.8499999999999</x:v>
      </x:c>
      <x:c r="H61" s="9" t="n">
        <x:f>SUM(SalesLines!M136,SalesLines!M137,SalesLines!M138)</x:f>
        <x:v>693</x:v>
      </x:c>
      <x:c r="I61" s="9" t="n">
        <x:f>SUM(SalesLines!N136,SalesLines!N137,SalesLines!N138)</x:f>
        <x:v>120.15</x:v>
      </x:c>
      <x:c r="J61" s="9" t="n">
        <x:f>SUM(SalesLines!P136,SalesLines!P137,SalesLines!P138)</x:f>
        <x:v>0</x:v>
      </x:c>
      <x:c r="K61" s="11" t="n">
        <x:f>SUM(SalesLines!R136,SalesLines!R137,SalesLines!R138)</x:f>
        <x:v>7</x:v>
      </x:c>
      <x:c r="L61" s="11" t="n">
        <x:f>SUM(SalesLines!S136,SalesLines!S137,SalesLines!S138)</x:f>
        <x:v>0</x:v>
      </x:c>
      <x:c r="M61" s="8" t="n">
        <x:f>DATE(YEAR(C61),MONTH(C61),1)</x:f>
        <x:v>45870</x:v>
      </x:c>
    </x:row>
    <x:row r="62" ht="22" customHeight="1">
      <x:c r="A62" s="2" t="str">
        <x:v>O00058</x:v>
      </x:c>
      <x:c r="B62" s="2" t="str">
        <x:v>C0151</x:v>
      </x:c>
      <x:c r="C62" s="7" t="n">
        <x:v>45766</x:v>
      </x:c>
      <x:c r="D62" s="2" t="str">
        <x:v>Completed</x:v>
      </x:c>
      <x:c r="E62" s="2" t="str">
        <x:v>South</x:v>
      </x:c>
      <x:c r="F62" s="2" t="str">
        <x:v>Store</x:v>
      </x:c>
      <x:c r="G62" s="9" t="n">
        <x:f>SUM(SalesLines!Q139,SalesLines!Q140,SalesLines!Q141)</x:f>
        <x:v>1112.35</x:v>
      </x:c>
      <x:c r="H62" s="9" t="n">
        <x:f>SUM(SalesLines!M139,SalesLines!M140,SalesLines!M141)</x:f>
        <x:v>1203</x:v>
      </x:c>
      <x:c r="I62" s="9" t="n">
        <x:f>SUM(SalesLines!N139,SalesLines!N140,SalesLines!N141)</x:f>
        <x:v>90.65</x:v>
      </x:c>
      <x:c r="J62" s="9" t="n">
        <x:f>SUM(SalesLines!P139,SalesLines!P140,SalesLines!P141)</x:f>
        <x:v>0</x:v>
      </x:c>
      <x:c r="K62" s="11" t="n">
        <x:f>SUM(SalesLines!R139,SalesLines!R140,SalesLines!R141)</x:f>
        <x:v>10</x:v>
      </x:c>
      <x:c r="L62" s="11" t="n">
        <x:f>SUM(SalesLines!S139,SalesLines!S140,SalesLines!S141)</x:f>
        <x:v>0</x:v>
      </x:c>
      <x:c r="M62" s="8" t="n">
        <x:f>DATE(YEAR(C62),MONTH(C62),1)</x:f>
        <x:v>45748</x:v>
      </x:c>
    </x:row>
    <x:row r="63" ht="22" customHeight="1">
      <x:c r="A63" s="2" t="str">
        <x:v>O00059</x:v>
      </x:c>
      <x:c r="B63" s="2" t="str">
        <x:v>C0277</x:v>
      </x:c>
      <x:c r="C63" s="7" t="n">
        <x:v>45828</x:v>
      </x:c>
      <x:c r="D63" s="2" t="str">
        <x:v>Completed</x:v>
      </x:c>
      <x:c r="E63" s="2" t="str">
        <x:v>West</x:v>
      </x:c>
      <x:c r="F63" s="2" t="str">
        <x:v>Store</x:v>
      </x:c>
      <x:c r="G63" s="9" t="n">
        <x:f>SUM(SalesLines!Q142,SalesLines!Q143,SalesLines!Q144,SalesLines!Q145)</x:f>
        <x:v>926.3499999999999</x:v>
      </x:c>
      <x:c r="H63" s="9" t="n">
        <x:f>SUM(SalesLines!M142,SalesLines!M143,SalesLines!M144,SalesLines!M145)</x:f>
        <x:v>1255</x:v>
      </x:c>
      <x:c r="I63" s="9" t="n">
        <x:f>SUM(SalesLines!N142,SalesLines!N143,SalesLines!N144,SalesLines!N145)</x:f>
        <x:v>34.650000000000006</x:v>
      </x:c>
      <x:c r="J63" s="9" t="n">
        <x:f>SUM(SalesLines!P142,SalesLines!P143,SalesLines!P144,SalesLines!P145)</x:f>
        <x:v>294</x:v>
      </x:c>
      <x:c r="K63" s="11" t="n">
        <x:f>SUM(SalesLines!R142,SalesLines!R143,SalesLines!R144,SalesLines!R145)</x:f>
        <x:v>6</x:v>
      </x:c>
      <x:c r="L63" s="11" t="n">
        <x:f>SUM(SalesLines!S142,SalesLines!S143,SalesLines!S144,SalesLines!S145)</x:f>
        <x:v>1</x:v>
      </x:c>
      <x:c r="M63" s="8" t="n">
        <x:f>DATE(YEAR(C63),MONTH(C63),1)</x:f>
        <x:v>45809</x:v>
      </x:c>
    </x:row>
    <x:row r="64" ht="22" customHeight="1">
      <x:c r="A64" s="2" t="str">
        <x:v>O00060</x:v>
      </x:c>
      <x:c r="B64" s="2" t="str">
        <x:v>C0140</x:v>
      </x:c>
      <x:c r="C64" s="7" t="n">
        <x:v>45999</x:v>
      </x:c>
      <x:c r="D64" s="2" t="str">
        <x:v>Completed</x:v>
      </x:c>
      <x:c r="E64" s="2" t="str">
        <x:v>East</x:v>
      </x:c>
      <x:c r="F64" s="2" t="str">
        <x:v>Online</x:v>
      </x:c>
      <x:c r="G64" s="9" t="n">
        <x:f>SUM(SalesLines!Q146,SalesLines!Q147)</x:f>
        <x:v>1779.8</x:v>
      </x:c>
      <x:c r="H64" s="9" t="n">
        <x:f>SUM(SalesLines!M146,SalesLines!M147)</x:f>
        <x:v>2066</x:v>
      </x:c>
      <x:c r="I64" s="9" t="n">
        <x:f>SUM(SalesLines!N146,SalesLines!N147)</x:f>
        <x:v>286.20000000000005</x:v>
      </x:c>
      <x:c r="J64" s="9" t="n">
        <x:f>SUM(SalesLines!P146,SalesLines!P147)</x:f>
        <x:v>0</x:v>
      </x:c>
      <x:c r="K64" s="11" t="n">
        <x:f>SUM(SalesLines!R146,SalesLines!R147)</x:f>
        <x:v>9</x:v>
      </x:c>
      <x:c r="L64" s="11" t="n">
        <x:f>SUM(SalesLines!S146,SalesLines!S147)</x:f>
        <x:v>0</x:v>
      </x:c>
      <x:c r="M64" s="8" t="n">
        <x:f>DATE(YEAR(C64),MONTH(C64),1)</x:f>
        <x:v>45992</x:v>
      </x:c>
    </x:row>
    <x:row r="65" ht="22" customHeight="1">
      <x:c r="A65" s="2" t="str">
        <x:v>O00061</x:v>
      </x:c>
      <x:c r="B65" s="2" t="str">
        <x:v>C0242</x:v>
      </x:c>
      <x:c r="C65" s="7" t="n">
        <x:v>45946</x:v>
      </x:c>
      <x:c r="D65" s="2" t="str">
        <x:v>Completed</x:v>
      </x:c>
      <x:c r="E65" s="2" t="str">
        <x:v>South</x:v>
      </x:c>
      <x:c r="F65" s="2" t="str">
        <x:v>Online</x:v>
      </x:c>
      <x:c r="G65" s="9" t="n">
        <x:f>SUM(SalesLines!Q148)</x:f>
        <x:v>714.4</x:v>
      </x:c>
      <x:c r="H65" s="9" t="n">
        <x:f>SUM(SalesLines!M148)</x:f>
        <x:v>752</x:v>
      </x:c>
      <x:c r="I65" s="9" t="n">
        <x:f>SUM(SalesLines!N148)</x:f>
        <x:v>37.6</x:v>
      </x:c>
      <x:c r="J65" s="9" t="n">
        <x:f>SUM(SalesLines!P148)</x:f>
        <x:v>0</x:v>
      </x:c>
      <x:c r="K65" s="11" t="n">
        <x:f>SUM(SalesLines!R148)</x:f>
        <x:v>4</x:v>
      </x:c>
      <x:c r="L65" s="11" t="n">
        <x:f>SUM(SalesLines!S148)</x:f>
        <x:v>0</x:v>
      </x:c>
      <x:c r="M65" s="8" t="n">
        <x:f>DATE(YEAR(C65),MONTH(C65),1)</x:f>
        <x:v>45931</x:v>
      </x:c>
    </x:row>
    <x:row r="66" ht="22" customHeight="1">
      <x:c r="A66" s="2" t="str">
        <x:v>O00062</x:v>
      </x:c>
      <x:c r="B66" s="2" t="str">
        <x:v>C0271</x:v>
      </x:c>
      <x:c r="C66" s="7" t="n">
        <x:v>45799</x:v>
      </x:c>
      <x:c r="D66" s="2" t="str">
        <x:v>Completed</x:v>
      </x:c>
      <x:c r="E66" s="2" t="str">
        <x:v>West</x:v>
      </x:c>
      <x:c r="F66" s="2" t="str">
        <x:v>Store</x:v>
      </x:c>
      <x:c r="G66" s="9" t="n">
        <x:f>SUM(SalesLines!Q149)</x:f>
        <x:v>529.2</x:v>
      </x:c>
      <x:c r="H66" s="9" t="n">
        <x:f>SUM(SalesLines!M149)</x:f>
        <x:v>588</x:v>
      </x:c>
      <x:c r="I66" s="9" t="n">
        <x:f>SUM(SalesLines!N149)</x:f>
        <x:v>58.800000000000004</x:v>
      </x:c>
      <x:c r="J66" s="9" t="n">
        <x:f>SUM(SalesLines!P149)</x:f>
        <x:v>0</x:v>
      </x:c>
      <x:c r="K66" s="11" t="n">
        <x:f>SUM(SalesLines!R149)</x:f>
        <x:v>3</x:v>
      </x:c>
      <x:c r="L66" s="11" t="n">
        <x:f>SUM(SalesLines!S149)</x:f>
        <x:v>0</x:v>
      </x:c>
      <x:c r="M66" s="8" t="n">
        <x:f>DATE(YEAR(C66),MONTH(C66),1)</x:f>
        <x:v>45778</x:v>
      </x:c>
    </x:row>
    <x:row r="67" ht="22" customHeight="1">
      <x:c r="A67" s="2" t="str">
        <x:v>O00063</x:v>
      </x:c>
      <x:c r="B67" s="2" t="str">
        <x:v>C0256</x:v>
      </x:c>
      <x:c r="C67" s="7" t="n">
        <x:v>45831</x:v>
      </x:c>
      <x:c r="D67" s="2" t="str">
        <x:v>Completed</x:v>
      </x:c>
      <x:c r="E67" s="2" t="str">
        <x:v>North</x:v>
      </x:c>
      <x:c r="F67" s="2" t="str">
        <x:v>Online</x:v>
      </x:c>
      <x:c r="G67" s="9" t="n">
        <x:f>SUM(SalesLines!Q150,SalesLines!Q151)</x:f>
        <x:v>605</x:v>
      </x:c>
      <x:c r="H67" s="9" t="n">
        <x:f>SUM(SalesLines!M150,SalesLines!M151)</x:f>
        <x:v>680</x:v>
      </x:c>
      <x:c r="I67" s="9" t="n">
        <x:f>SUM(SalesLines!N150,SalesLines!N151)</x:f>
        <x:v>75</x:v>
      </x:c>
      <x:c r="J67" s="9" t="n">
        <x:f>SUM(SalesLines!P150,SalesLines!P151)</x:f>
        <x:v>0</x:v>
      </x:c>
      <x:c r="K67" s="11" t="n">
        <x:f>SUM(SalesLines!R150,SalesLines!R151)</x:f>
        <x:v>7</x:v>
      </x:c>
      <x:c r="L67" s="11" t="n">
        <x:f>SUM(SalesLines!S150,SalesLines!S151)</x:f>
        <x:v>0</x:v>
      </x:c>
      <x:c r="M67" s="8" t="n">
        <x:f>DATE(YEAR(C67),MONTH(C67),1)</x:f>
        <x:v>45809</x:v>
      </x:c>
    </x:row>
    <x:row r="68" ht="22" customHeight="1">
      <x:c r="A68" s="2" t="str">
        <x:v>O00064</x:v>
      </x:c>
      <x:c r="B68" s="2" t="str">
        <x:v>C0016</x:v>
      </x:c>
      <x:c r="C68" s="7" t="n">
        <x:v>45802</x:v>
      </x:c>
      <x:c r="D68" s="2" t="str">
        <x:v>Completed</x:v>
      </x:c>
      <x:c r="E68" s="2" t="str">
        <x:v>East</x:v>
      </x:c>
      <x:c r="F68" s="2" t="str">
        <x:v>Online</x:v>
      </x:c>
      <x:c r="G68" s="9" t="n">
        <x:f>SUM(SalesLines!Q152,SalesLines!Q153)</x:f>
        <x:v>1781.8000000000002</x:v>
      </x:c>
      <x:c r="H68" s="9" t="n">
        <x:f>SUM(SalesLines!M152,SalesLines!M153)</x:f>
        <x:v>1920</x:v>
      </x:c>
      <x:c r="I68" s="9" t="n">
        <x:f>SUM(SalesLines!N152,SalesLines!N153)</x:f>
        <x:v>138.20000000000002</x:v>
      </x:c>
      <x:c r="J68" s="9" t="n">
        <x:f>SUM(SalesLines!P152,SalesLines!P153)</x:f>
        <x:v>0</x:v>
      </x:c>
      <x:c r="K68" s="11" t="n">
        <x:f>SUM(SalesLines!R152,SalesLines!R153)</x:f>
        <x:v>8</x:v>
      </x:c>
      <x:c r="L68" s="11" t="n">
        <x:f>SUM(SalesLines!S152,SalesLines!S153)</x:f>
        <x:v>0</x:v>
      </x:c>
      <x:c r="M68" s="8" t="n">
        <x:f>DATE(YEAR(C68),MONTH(C68),1)</x:f>
        <x:v>45778</x:v>
      </x:c>
    </x:row>
    <x:row r="69" ht="22" customHeight="1">
      <x:c r="A69" s="2" t="str">
        <x:v>O00065</x:v>
      </x:c>
      <x:c r="B69" s="2" t="str">
        <x:v>C0122</x:v>
      </x:c>
      <x:c r="C69" s="7" t="n">
        <x:v>46008</x:v>
      </x:c>
      <x:c r="D69" s="2" t="str">
        <x:v>Completed</x:v>
      </x:c>
      <x:c r="E69" s="2" t="str">
        <x:v>North</x:v>
      </x:c>
      <x:c r="F69" s="2" t="str">
        <x:v>Online</x:v>
      </x:c>
      <x:c r="G69" s="9" t="n">
        <x:f>SUM(SalesLines!Q154,SalesLines!Q155,SalesLines!Q156)</x:f>
        <x:v>1277.6000000000001</x:v>
      </x:c>
      <x:c r="H69" s="9" t="n">
        <x:f>SUM(SalesLines!M154,SalesLines!M155,SalesLines!M156)</x:f>
        <x:v>1597</x:v>
      </x:c>
      <x:c r="I69" s="9" t="n">
        <x:f>SUM(SalesLines!N154,SalesLines!N155,SalesLines!N156)</x:f>
        <x:v>319.40000000000003</x:v>
      </x:c>
      <x:c r="J69" s="9" t="n">
        <x:f>SUM(SalesLines!P154,SalesLines!P155,SalesLines!P156)</x:f>
        <x:v>0</x:v>
      </x:c>
      <x:c r="K69" s="11" t="n">
        <x:f>SUM(SalesLines!R154,SalesLines!R155,SalesLines!R156)</x:f>
        <x:v>7</x:v>
      </x:c>
      <x:c r="L69" s="11" t="n">
        <x:f>SUM(SalesLines!S154,SalesLines!S155,SalesLines!S156)</x:f>
        <x:v>0</x:v>
      </x:c>
      <x:c r="M69" s="8" t="n">
        <x:f>DATE(YEAR(C69),MONTH(C69),1)</x:f>
        <x:v>45992</x:v>
      </x:c>
    </x:row>
    <x:row r="70" ht="22" customHeight="1">
      <x:c r="A70" s="2" t="str">
        <x:v>O00066</x:v>
      </x:c>
      <x:c r="B70" s="2" t="str">
        <x:v>C0076</x:v>
      </x:c>
      <x:c r="C70" s="7" t="n">
        <x:v>45936</x:v>
      </x:c>
      <x:c r="D70" s="2" t="str">
        <x:v>Completed</x:v>
      </x:c>
      <x:c r="E70" s="2" t="str">
        <x:v>East</x:v>
      </x:c>
      <x:c r="F70" s="2" t="str">
        <x:v>Online</x:v>
      </x:c>
      <x:c r="G70" s="9" t="n">
        <x:f>SUM(SalesLines!Q157,SalesLines!Q158,SalesLines!Q159)</x:f>
        <x:v>1809</x:v>
      </x:c>
      <x:c r="H70" s="9" t="n">
        <x:f>SUM(SalesLines!M157,SalesLines!M158,SalesLines!M159)</x:f>
        <x:v>1920</x:v>
      </x:c>
      <x:c r="I70" s="9" t="n">
        <x:f>SUM(SalesLines!N157,SalesLines!N158,SalesLines!N159)</x:f>
        <x:v>111</x:v>
      </x:c>
      <x:c r="J70" s="9" t="n">
        <x:f>SUM(SalesLines!P157,SalesLines!P158,SalesLines!P159)</x:f>
        <x:v>0</x:v>
      </x:c>
      <x:c r="K70" s="11" t="n">
        <x:f>SUM(SalesLines!R157,SalesLines!R158,SalesLines!R159)</x:f>
        <x:v>11</x:v>
      </x:c>
      <x:c r="L70" s="11" t="n">
        <x:f>SUM(SalesLines!S157,SalesLines!S158,SalesLines!S159)</x:f>
        <x:v>0</x:v>
      </x:c>
      <x:c r="M70" s="8" t="n">
        <x:f>DATE(YEAR(C70),MONTH(C70),1)</x:f>
        <x:v>45931</x:v>
      </x:c>
    </x:row>
    <x:row r="71" ht="22" customHeight="1">
      <x:c r="A71" s="2" t="str">
        <x:v>O00067</x:v>
      </x:c>
      <x:c r="B71" s="2" t="str">
        <x:v>C0251</x:v>
      </x:c>
      <x:c r="C71" s="7" t="n">
        <x:v>45874</x:v>
      </x:c>
      <x:c r="D71" s="2" t="str">
        <x:v>Completed</x:v>
      </x:c>
      <x:c r="E71" s="2" t="str">
        <x:v>North</x:v>
      </x:c>
      <x:c r="F71" s="2" t="str">
        <x:v>Online</x:v>
      </x:c>
      <x:c r="G71" s="9" t="n">
        <x:f>SUM(SalesLines!Q160,SalesLines!Q161,SalesLines!Q162,SalesLines!Q163)</x:f>
        <x:v>2068.8</x:v>
      </x:c>
      <x:c r="H71" s="9" t="n">
        <x:f>SUM(SalesLines!M160,SalesLines!M161,SalesLines!M162,SalesLines!M163)</x:f>
        <x:v>2293</x:v>
      </x:c>
      <x:c r="I71" s="9" t="n">
        <x:f>SUM(SalesLines!N160,SalesLines!N161,SalesLines!N162,SalesLines!N163)</x:f>
        <x:v>96.2</x:v>
      </x:c>
      <x:c r="J71" s="9" t="n">
        <x:f>SUM(SalesLines!P160,SalesLines!P161,SalesLines!P162,SalesLines!P163)</x:f>
        <x:v>128</x:v>
      </x:c>
      <x:c r="K71" s="11" t="n">
        <x:f>SUM(SalesLines!R160,SalesLines!R161,SalesLines!R162,SalesLines!R163)</x:f>
        <x:v>15</x:v>
      </x:c>
      <x:c r="L71" s="11" t="n">
        <x:f>SUM(SalesLines!S160,SalesLines!S161,SalesLines!S162,SalesLines!S163)</x:f>
        <x:v>2</x:v>
      </x:c>
      <x:c r="M71" s="8" t="n">
        <x:f>DATE(YEAR(C71),MONTH(C71),1)</x:f>
        <x:v>45870</x:v>
      </x:c>
    </x:row>
    <x:row r="72" ht="22" customHeight="1">
      <x:c r="A72" s="2" t="str">
        <x:v>O00068</x:v>
      </x:c>
      <x:c r="B72" s="2" t="str">
        <x:v>C0005</x:v>
      </x:c>
      <x:c r="C72" s="7" t="n">
        <x:v>45837</x:v>
      </x:c>
      <x:c r="D72" s="2" t="str">
        <x:v>Completed</x:v>
      </x:c>
      <x:c r="E72" s="2" t="str">
        <x:v>South</x:v>
      </x:c>
      <x:c r="F72" s="2" t="str">
        <x:v>Online</x:v>
      </x:c>
      <x:c r="G72" s="9" t="n">
        <x:f>SUM(SalesLines!Q164,SalesLines!Q165,SalesLines!Q166)</x:f>
        <x:v>1157.55</x:v>
      </x:c>
      <x:c r="H72" s="9" t="n">
        <x:f>SUM(SalesLines!M164,SalesLines!M165,SalesLines!M166)</x:f>
        <x:v>1243</x:v>
      </x:c>
      <x:c r="I72" s="9" t="n">
        <x:f>SUM(SalesLines!N164,SalesLines!N165,SalesLines!N166)</x:f>
        <x:v>85.45</x:v>
      </x:c>
      <x:c r="J72" s="9" t="n">
        <x:f>SUM(SalesLines!P164,SalesLines!P165,SalesLines!P166)</x:f>
        <x:v>0</x:v>
      </x:c>
      <x:c r="K72" s="11" t="n">
        <x:f>SUM(SalesLines!R164,SalesLines!R165,SalesLines!R166)</x:f>
        <x:v>11</x:v>
      </x:c>
      <x:c r="L72" s="11" t="n">
        <x:f>SUM(SalesLines!S164,SalesLines!S165,SalesLines!S166)</x:f>
        <x:v>0</x:v>
      </x:c>
      <x:c r="M72" s="8" t="n">
        <x:f>DATE(YEAR(C72),MONTH(C72),1)</x:f>
        <x:v>45809</x:v>
      </x:c>
    </x:row>
    <x:row r="73" ht="22" customHeight="1">
      <x:c r="A73" s="2" t="str">
        <x:v>O00069</x:v>
      </x:c>
      <x:c r="B73" s="2" t="str">
        <x:v>C0139</x:v>
      </x:c>
      <x:c r="C73" s="7" t="n">
        <x:v>45992</x:v>
      </x:c>
      <x:c r="D73" s="2" t="str">
        <x:v>Completed</x:v>
      </x:c>
      <x:c r="E73" s="2" t="str">
        <x:v>North</x:v>
      </x:c>
      <x:c r="F73" s="2" t="str">
        <x:v>Store</x:v>
      </x:c>
      <x:c r="G73" s="9" t="n">
        <x:f>SUM(SalesLines!Q167,SalesLines!Q168)</x:f>
        <x:v>780.3</x:v>
      </x:c>
      <x:c r="H73" s="9" t="n">
        <x:f>SUM(SalesLines!M167,SalesLines!M168)</x:f>
        <x:v>867</x:v>
      </x:c>
      <x:c r="I73" s="9" t="n">
        <x:f>SUM(SalesLines!N167,SalesLines!N168)</x:f>
        <x:v>86.7</x:v>
      </x:c>
      <x:c r="J73" s="9" t="n">
        <x:f>SUM(SalesLines!P167,SalesLines!P168)</x:f>
        <x:v>0</x:v>
      </x:c>
      <x:c r="K73" s="11" t="n">
        <x:f>SUM(SalesLines!R167,SalesLines!R168)</x:f>
        <x:v>8</x:v>
      </x:c>
      <x:c r="L73" s="11" t="n">
        <x:f>SUM(SalesLines!S167,SalesLines!S168)</x:f>
        <x:v>0</x:v>
      </x:c>
      <x:c r="M73" s="8" t="n">
        <x:f>DATE(YEAR(C73),MONTH(C73),1)</x:f>
        <x:v>45992</x:v>
      </x:c>
    </x:row>
    <x:row r="74" ht="22" customHeight="1">
      <x:c r="A74" s="2" t="str">
        <x:v>O00070</x:v>
      </x:c>
      <x:c r="B74" s="2" t="str">
        <x:v>C0230</x:v>
      </x:c>
      <x:c r="C74" s="7" t="n">
        <x:v>45976</x:v>
      </x:c>
      <x:c r="D74" s="2" t="str">
        <x:v>Completed</x:v>
      </x:c>
      <x:c r="E74" s="2" t="str">
        <x:v>East</x:v>
      </x:c>
      <x:c r="F74" s="2" t="str">
        <x:v>Online</x:v>
      </x:c>
      <x:c r="G74" s="9" t="n">
        <x:f>SUM(SalesLines!Q169,SalesLines!Q170,SalesLines!Q171)</x:f>
        <x:v>1136</x:v>
      </x:c>
      <x:c r="H74" s="9" t="n">
        <x:f>SUM(SalesLines!M169,SalesLines!M170,SalesLines!M171)</x:f>
        <x:v>1923</x:v>
      </x:c>
      <x:c r="I74" s="9" t="n">
        <x:f>SUM(SalesLines!N169,SalesLines!N170,SalesLines!N171)</x:f>
        <x:v>334.3</x:v>
      </x:c>
      <x:c r="J74" s="9" t="n">
        <x:f>SUM(SalesLines!P169,SalesLines!P170,SalesLines!P171)</x:f>
        <x:v>452.70000000000005</x:v>
      </x:c>
      <x:c r="K74" s="11" t="n">
        <x:f>SUM(SalesLines!R169,SalesLines!R170,SalesLines!R171)</x:f>
        <x:v>8</x:v>
      </x:c>
      <x:c r="L74" s="11" t="n">
        <x:f>SUM(SalesLines!S169,SalesLines!S170,SalesLines!S171)</x:f>
        <x:v>3</x:v>
      </x:c>
      <x:c r="M74" s="8" t="n">
        <x:f>DATE(YEAR(C74),MONTH(C74),1)</x:f>
        <x:v>45962</x:v>
      </x:c>
    </x:row>
    <x:row r="75" ht="22" customHeight="1">
      <x:c r="A75" s="2" t="str">
        <x:v>O00071</x:v>
      </x:c>
      <x:c r="B75" s="2" t="str">
        <x:v>C0020</x:v>
      </x:c>
      <x:c r="C75" s="7" t="n">
        <x:v>45704</x:v>
      </x:c>
      <x:c r="D75" s="2" t="str">
        <x:v>Completed</x:v>
      </x:c>
      <x:c r="E75" s="2" t="str">
        <x:v>West</x:v>
      </x:c>
      <x:c r="F75" s="2" t="str">
        <x:v>Store</x:v>
      </x:c>
      <x:c r="G75" s="9" t="n">
        <x:f>SUM(SalesLines!Q172)</x:f>
        <x:v>615</x:v>
      </x:c>
      <x:c r="H75" s="9" t="n">
        <x:f>SUM(SalesLines!M172)</x:f>
        <x:v>615</x:v>
      </x:c>
      <x:c r="I75" s="9" t="n">
        <x:f>SUM(SalesLines!N172)</x:f>
        <x:v>0</x:v>
      </x:c>
      <x:c r="J75" s="9" t="n">
        <x:f>SUM(SalesLines!P172)</x:f>
        <x:v>0</x:v>
      </x:c>
      <x:c r="K75" s="11" t="n">
        <x:f>SUM(SalesLines!R172)</x:f>
        <x:v>5</x:v>
      </x:c>
      <x:c r="L75" s="11" t="n">
        <x:f>SUM(SalesLines!S172)</x:f>
        <x:v>0</x:v>
      </x:c>
      <x:c r="M75" s="8" t="n">
        <x:f>DATE(YEAR(C75),MONTH(C75),1)</x:f>
        <x:v>45689</x:v>
      </x:c>
    </x:row>
    <x:row r="76" ht="22" customHeight="1">
      <x:c r="A76" s="2" t="str">
        <x:v>O00072</x:v>
      </x:c>
      <x:c r="B76" s="2" t="str">
        <x:v>C0127</x:v>
      </x:c>
      <x:c r="C76" s="7" t="n">
        <x:v>45658</x:v>
      </x:c>
      <x:c r="D76" s="2" t="str">
        <x:v>Cancelled</x:v>
      </x:c>
      <x:c r="E76" s="2" t="str">
        <x:v>East</x:v>
      </x:c>
      <x:c r="F76" s="2" t="str">
        <x:v>Store</x:v>
      </x:c>
      <x:c r="G76" s="9" t="n">
        <x:f>SUM(SalesLines!Q173,SalesLines!Q174)</x:f>
        <x:v>0</x:v>
      </x:c>
      <x:c r="H76" s="9" t="n">
        <x:f>SUM(SalesLines!M173,SalesLines!M174)</x:f>
        <x:v>0</x:v>
      </x:c>
      <x:c r="I76" s="9" t="n">
        <x:f>SUM(SalesLines!N173,SalesLines!N174)</x:f>
        <x:v>0</x:v>
      </x:c>
      <x:c r="J76" s="9" t="n">
        <x:f>SUM(SalesLines!P173,SalesLines!P174)</x:f>
        <x:v>0</x:v>
      </x:c>
      <x:c r="K76" s="11" t="n">
        <x:f>SUM(SalesLines!R173,SalesLines!R174)</x:f>
        <x:v>0</x:v>
      </x:c>
      <x:c r="L76" s="11" t="n">
        <x:f>SUM(SalesLines!S173,SalesLines!S174)</x:f>
        <x:v>0</x:v>
      </x:c>
      <x:c r="M76" s="8" t="n">
        <x:f>DATE(YEAR(C76),MONTH(C76),1)</x:f>
        <x:v>45658</x:v>
      </x:c>
    </x:row>
    <x:row r="77" ht="22" customHeight="1">
      <x:c r="A77" s="2" t="str">
        <x:v>O00073</x:v>
      </x:c>
      <x:c r="B77" s="2" t="str">
        <x:v>C0265</x:v>
      </x:c>
      <x:c r="C77" s="7" t="n">
        <x:v>45995</x:v>
      </x:c>
      <x:c r="D77" s="2" t="str">
        <x:v>Cancelled</x:v>
      </x:c>
      <x:c r="E77" s="2" t="str">
        <x:v>West</x:v>
      </x:c>
      <x:c r="F77" s="2" t="str">
        <x:v>Online</x:v>
      </x:c>
      <x:c r="G77" s="9" t="n">
        <x:f>SUM(SalesLines!Q175,SalesLines!Q176)</x:f>
        <x:v>0</x:v>
      </x:c>
      <x:c r="H77" s="9" t="n">
        <x:f>SUM(SalesLines!M175,SalesLines!M176)</x:f>
        <x:v>0</x:v>
      </x:c>
      <x:c r="I77" s="9" t="n">
        <x:f>SUM(SalesLines!N175,SalesLines!N176)</x:f>
        <x:v>0</x:v>
      </x:c>
      <x:c r="J77" s="9" t="n">
        <x:f>SUM(SalesLines!P175,SalesLines!P176)</x:f>
        <x:v>0</x:v>
      </x:c>
      <x:c r="K77" s="11" t="n">
        <x:f>SUM(SalesLines!R175,SalesLines!R176)</x:f>
        <x:v>0</x:v>
      </x:c>
      <x:c r="L77" s="11" t="n">
        <x:f>SUM(SalesLines!S175,SalesLines!S176)</x:f>
        <x:v>0</x:v>
      </x:c>
      <x:c r="M77" s="8" t="n">
        <x:f>DATE(YEAR(C77),MONTH(C77),1)</x:f>
        <x:v>45992</x:v>
      </x:c>
    </x:row>
    <x:row r="78" ht="22" customHeight="1">
      <x:c r="A78" s="2" t="str">
        <x:v>O00074</x:v>
      </x:c>
      <x:c r="B78" s="2" t="str">
        <x:v>C0026</x:v>
      </x:c>
      <x:c r="C78" s="7" t="n">
        <x:v>45953</x:v>
      </x:c>
      <x:c r="D78" s="2" t="str">
        <x:v>Completed</x:v>
      </x:c>
      <x:c r="E78" s="2" t="str">
        <x:v>South</x:v>
      </x:c>
      <x:c r="F78" s="2" t="str">
        <x:v>Store</x:v>
      </x:c>
      <x:c r="G78" s="9" t="n">
        <x:f>SUM(SalesLines!Q177,SalesLines!Q178,SalesLines!Q179)</x:f>
        <x:v>989.0999999999999</x:v>
      </x:c>
      <x:c r="H78" s="9" t="n">
        <x:f>SUM(SalesLines!M177,SalesLines!M178,SalesLines!M179)</x:f>
        <x:v>1099</x:v>
      </x:c>
      <x:c r="I78" s="9" t="n">
        <x:f>SUM(SalesLines!N177,SalesLines!N178,SalesLines!N179)</x:f>
        <x:v>109.9</x:v>
      </x:c>
      <x:c r="J78" s="9" t="n">
        <x:f>SUM(SalesLines!P177,SalesLines!P178,SalesLines!P179)</x:f>
        <x:v>0</x:v>
      </x:c>
      <x:c r="K78" s="11" t="n">
        <x:f>SUM(SalesLines!R177,SalesLines!R178,SalesLines!R179)</x:f>
        <x:v>7</x:v>
      </x:c>
      <x:c r="L78" s="11" t="n">
        <x:f>SUM(SalesLines!S177,SalesLines!S178,SalesLines!S179)</x:f>
        <x:v>0</x:v>
      </x:c>
      <x:c r="M78" s="8" t="n">
        <x:f>DATE(YEAR(C78),MONTH(C78),1)</x:f>
        <x:v>45931</x:v>
      </x:c>
    </x:row>
    <x:row r="79" ht="22" customHeight="1">
      <x:c r="A79" s="2" t="str">
        <x:v>O00075</x:v>
      </x:c>
      <x:c r="B79" s="2" t="str">
        <x:v>C0225</x:v>
      </x:c>
      <x:c r="C79" s="7" t="n">
        <x:v>45967</x:v>
      </x:c>
      <x:c r="D79" s="2" t="str">
        <x:v>Completed</x:v>
      </x:c>
      <x:c r="E79" s="2" t="str">
        <x:v>North</x:v>
      </x:c>
      <x:c r="F79" s="2" t="str">
        <x:v>Store</x:v>
      </x:c>
      <x:c r="G79" s="9" t="n">
        <x:f>SUM(SalesLines!Q180,SalesLines!Q181,SalesLines!Q182)</x:f>
        <x:v>818.5999999999999</x:v>
      </x:c>
      <x:c r="H79" s="9" t="n">
        <x:f>SUM(SalesLines!M180,SalesLines!M181,SalesLines!M182)</x:f>
        <x:v>916</x:v>
      </x:c>
      <x:c r="I79" s="9" t="n">
        <x:f>SUM(SalesLines!N180,SalesLines!N181,SalesLines!N182)</x:f>
        <x:v>97.4</x:v>
      </x:c>
      <x:c r="J79" s="9" t="n">
        <x:f>SUM(SalesLines!P180,SalesLines!P181,SalesLines!P182)</x:f>
        <x:v>0</x:v>
      </x:c>
      <x:c r="K79" s="11" t="n">
        <x:f>SUM(SalesLines!R180,SalesLines!R181,SalesLines!R182)</x:f>
        <x:v>7</x:v>
      </x:c>
      <x:c r="L79" s="11" t="n">
        <x:f>SUM(SalesLines!S180,SalesLines!S181,SalesLines!S182)</x:f>
        <x:v>0</x:v>
      </x:c>
      <x:c r="M79" s="8" t="n">
        <x:f>DATE(YEAR(C79),MONTH(C79),1)</x:f>
        <x:v>45962</x:v>
      </x:c>
    </x:row>
    <x:row r="80" ht="22" customHeight="1">
      <x:c r="A80" s="2" t="str">
        <x:v>O00076</x:v>
      </x:c>
      <x:c r="B80" s="2" t="str">
        <x:v>C0270</x:v>
      </x:c>
      <x:c r="C80" s="7" t="n">
        <x:v>45659</x:v>
      </x:c>
      <x:c r="D80" s="2" t="str">
        <x:v>Completed</x:v>
      </x:c>
      <x:c r="E80" s="2" t="str">
        <x:v>East</x:v>
      </x:c>
      <x:c r="F80" s="2" t="str">
        <x:v>Online</x:v>
      </x:c>
      <x:c r="G80" s="9" t="n">
        <x:f>SUM(SalesLines!Q183,SalesLines!Q184,SalesLines!Q185)</x:f>
        <x:v>797.5999999999999</x:v>
      </x:c>
      <x:c r="H80" s="9" t="n">
        <x:f>SUM(SalesLines!M183,SalesLines!M184,SalesLines!M185)</x:f>
        <x:v>930</x:v>
      </x:c>
      <x:c r="I80" s="9" t="n">
        <x:f>SUM(SalesLines!N183,SalesLines!N184,SalesLines!N185)</x:f>
        <x:v>132.4</x:v>
      </x:c>
      <x:c r="J80" s="9" t="n">
        <x:f>SUM(SalesLines!P183,SalesLines!P184,SalesLines!P185)</x:f>
        <x:v>0</x:v>
      </x:c>
      <x:c r="K80" s="11" t="n">
        <x:f>SUM(SalesLines!R183,SalesLines!R184,SalesLines!R185)</x:f>
        <x:v>10</x:v>
      </x:c>
      <x:c r="L80" s="11" t="n">
        <x:f>SUM(SalesLines!S183,SalesLines!S184,SalesLines!S185)</x:f>
        <x:v>0</x:v>
      </x:c>
      <x:c r="M80" s="8" t="n">
        <x:f>DATE(YEAR(C80),MONTH(C80),1)</x:f>
        <x:v>45658</x:v>
      </x:c>
    </x:row>
    <x:row r="81" ht="22" customHeight="1">
      <x:c r="A81" s="2" t="str">
        <x:v>O00077</x:v>
      </x:c>
      <x:c r="B81" s="2" t="str">
        <x:v>C0274</x:v>
      </x:c>
      <x:c r="C81" s="7" t="n">
        <x:v>45983</x:v>
      </x:c>
      <x:c r="D81" s="2" t="str">
        <x:v>Cancelled</x:v>
      </x:c>
      <x:c r="E81" s="2" t="str">
        <x:v>North</x:v>
      </x:c>
      <x:c r="F81" s="2" t="str">
        <x:v>Store</x:v>
      </x:c>
      <x:c r="G81" s="9" t="n">
        <x:f>SUM(SalesLines!Q186,SalesLines!Q187,SalesLines!Q188,SalesLines!Q189)</x:f>
        <x:v>0</x:v>
      </x:c>
      <x:c r="H81" s="9" t="n">
        <x:f>SUM(SalesLines!M186,SalesLines!M187,SalesLines!M188,SalesLines!M189)</x:f>
        <x:v>0</x:v>
      </x:c>
      <x:c r="I81" s="9" t="n">
        <x:f>SUM(SalesLines!N186,SalesLines!N187,SalesLines!N188,SalesLines!N189)</x:f>
        <x:v>0</x:v>
      </x:c>
      <x:c r="J81" s="9" t="n">
        <x:f>SUM(SalesLines!P186,SalesLines!P187,SalesLines!P188,SalesLines!P189)</x:f>
        <x:v>0</x:v>
      </x:c>
      <x:c r="K81" s="11" t="n">
        <x:f>SUM(SalesLines!R186,SalesLines!R187,SalesLines!R188,SalesLines!R189)</x:f>
        <x:v>0</x:v>
      </x:c>
      <x:c r="L81" s="11" t="n">
        <x:f>SUM(SalesLines!S186,SalesLines!S187,SalesLines!S188,SalesLines!S189)</x:f>
        <x:v>0</x:v>
      </x:c>
      <x:c r="M81" s="8" t="n">
        <x:f>DATE(YEAR(C81),MONTH(C81),1)</x:f>
        <x:v>45962</x:v>
      </x:c>
    </x:row>
    <x:row r="82" ht="22" customHeight="1">
      <x:c r="A82" s="2" t="str">
        <x:v>O00078</x:v>
      </x:c>
      <x:c r="B82" s="2" t="str">
        <x:v>C0180</x:v>
      </x:c>
      <x:c r="C82" s="7" t="n">
        <x:v>45924</x:v>
      </x:c>
      <x:c r="D82" s="2" t="str">
        <x:v>Completed</x:v>
      </x:c>
      <x:c r="E82" s="2" t="str">
        <x:v>West</x:v>
      </x:c>
      <x:c r="F82" s="2" t="str">
        <x:v>Online</x:v>
      </x:c>
      <x:c r="G82" s="9" t="n">
        <x:f>SUM(SalesLines!Q190,SalesLines!Q191,SalesLines!Q192,SalesLines!Q193)</x:f>
        <x:v>606.85</x:v>
      </x:c>
      <x:c r="H82" s="9" t="n">
        <x:f>SUM(SalesLines!M190,SalesLines!M191,SalesLines!M192,SalesLines!M193)</x:f>
        <x:v>634</x:v>
      </x:c>
      <x:c r="I82" s="9" t="n">
        <x:f>SUM(SalesLines!N190,SalesLines!N191,SalesLines!N192,SalesLines!N193)</x:f>
        <x:v>27.15</x:v>
      </x:c>
      <x:c r="J82" s="9" t="n">
        <x:f>SUM(SalesLines!P190,SalesLines!P191,SalesLines!P192,SalesLines!P193)</x:f>
        <x:v>0</x:v>
      </x:c>
      <x:c r="K82" s="11" t="n">
        <x:f>SUM(SalesLines!R190,SalesLines!R191,SalesLines!R192,SalesLines!R193)</x:f>
        <x:v>9</x:v>
      </x:c>
      <x:c r="L82" s="11" t="n">
        <x:f>SUM(SalesLines!S190,SalesLines!S191,SalesLines!S192,SalesLines!S193)</x:f>
        <x:v>0</x:v>
      </x:c>
      <x:c r="M82" s="8" t="n">
        <x:f>DATE(YEAR(C82),MONTH(C82),1)</x:f>
        <x:v>45901</x:v>
      </x:c>
    </x:row>
    <x:row r="83" ht="22" customHeight="1">
      <x:c r="A83" s="2" t="str">
        <x:v>O00079</x:v>
      </x:c>
      <x:c r="B83" s="2" t="str">
        <x:v>C0106</x:v>
      </x:c>
      <x:c r="C83" s="7" t="n">
        <x:v>45823</x:v>
      </x:c>
      <x:c r="D83" s="2" t="str">
        <x:v>Completed</x:v>
      </x:c>
      <x:c r="E83" s="2" t="str">
        <x:v>East</x:v>
      </x:c>
      <x:c r="F83" s="2" t="str">
        <x:v>Online</x:v>
      </x:c>
      <x:c r="G83" s="9" t="n">
        <x:f>SUM(SalesLines!Q194,SalesLines!Q195,SalesLines!Q196)</x:f>
        <x:v>2360.2</x:v>
      </x:c>
      <x:c r="H83" s="9" t="n">
        <x:f>SUM(SalesLines!M194,SalesLines!M195,SalesLines!M196)</x:f>
        <x:v>2681</x:v>
      </x:c>
      <x:c r="I83" s="9" t="n">
        <x:f>SUM(SalesLines!N194,SalesLines!N195,SalesLines!N196)</x:f>
        <x:v>320.8</x:v>
      </x:c>
      <x:c r="J83" s="9" t="n">
        <x:f>SUM(SalesLines!P194,SalesLines!P195,SalesLines!P196)</x:f>
        <x:v>0</x:v>
      </x:c>
      <x:c r="K83" s="11" t="n">
        <x:f>SUM(SalesLines!R194,SalesLines!R195,SalesLines!R196)</x:f>
        <x:v>12</x:v>
      </x:c>
      <x:c r="L83" s="11" t="n">
        <x:f>SUM(SalesLines!S194,SalesLines!S195,SalesLines!S196)</x:f>
        <x:v>0</x:v>
      </x:c>
      <x:c r="M83" s="8" t="n">
        <x:f>DATE(YEAR(C83),MONTH(C83),1)</x:f>
        <x:v>45809</x:v>
      </x:c>
    </x:row>
    <x:row r="84" ht="22" customHeight="1">
      <x:c r="A84" s="2" t="str">
        <x:v>O00080</x:v>
      </x:c>
      <x:c r="B84" s="2" t="str">
        <x:v>C0063</x:v>
      </x:c>
      <x:c r="C84" s="7" t="n">
        <x:v>45896</x:v>
      </x:c>
      <x:c r="D84" s="2" t="str">
        <x:v>Completed</x:v>
      </x:c>
      <x:c r="E84" s="2" t="str">
        <x:v>West</x:v>
      </x:c>
      <x:c r="F84" s="2" t="str">
        <x:v>Store</x:v>
      </x:c>
      <x:c r="G84" s="9" t="n">
        <x:f>SUM(SalesLines!Q197,SalesLines!Q198)</x:f>
        <x:v>877.35</x:v>
      </x:c>
      <x:c r="H84" s="9" t="n">
        <x:f>SUM(SalesLines!M197,SalesLines!M198)</x:f>
        <x:v>930</x:v>
      </x:c>
      <x:c r="I84" s="9" t="n">
        <x:f>SUM(SalesLines!N197,SalesLines!N198)</x:f>
        <x:v>52.650000000000006</x:v>
      </x:c>
      <x:c r="J84" s="9" t="n">
        <x:f>SUM(SalesLines!P197,SalesLines!P198)</x:f>
        <x:v>0</x:v>
      </x:c>
      <x:c r="K84" s="11" t="n">
        <x:f>SUM(SalesLines!R197,SalesLines!R198)</x:f>
        <x:v>4</x:v>
      </x:c>
      <x:c r="L84" s="11" t="n">
        <x:f>SUM(SalesLines!S197,SalesLines!S198)</x:f>
        <x:v>0</x:v>
      </x:c>
      <x:c r="M84" s="8" t="n">
        <x:f>DATE(YEAR(C84),MONTH(C84),1)</x:f>
        <x:v>45870</x:v>
      </x:c>
    </x:row>
    <x:row r="85" ht="22" customHeight="1">
      <x:c r="A85" s="2" t="str">
        <x:v>O00081</x:v>
      </x:c>
      <x:c r="B85" s="2" t="str">
        <x:v>C0094</x:v>
      </x:c>
      <x:c r="C85" s="7" t="n">
        <x:v>45813</x:v>
      </x:c>
      <x:c r="D85" s="2" t="str">
        <x:v>Completed</x:v>
      </x:c>
      <x:c r="E85" s="2" t="str">
        <x:v>West</x:v>
      </x:c>
      <x:c r="F85" s="2" t="str">
        <x:v>Online</x:v>
      </x:c>
      <x:c r="G85" s="9" t="n">
        <x:f>SUM(SalesLines!Q199,SalesLines!Q200,SalesLines!Q201,SalesLines!Q202)</x:f>
        <x:v>993.3</x:v>
      </x:c>
      <x:c r="H85" s="9" t="n">
        <x:f>SUM(SalesLines!M199,SalesLines!M200,SalesLines!M201,SalesLines!M202)</x:f>
        <x:v>1155</x:v>
      </x:c>
      <x:c r="I85" s="9" t="n">
        <x:f>SUM(SalesLines!N199,SalesLines!N200,SalesLines!N201,SalesLines!N202)</x:f>
        <x:v>161.7</x:v>
      </x:c>
      <x:c r="J85" s="9" t="n">
        <x:f>SUM(SalesLines!P199,SalesLines!P200,SalesLines!P201,SalesLines!P202)</x:f>
        <x:v>0</x:v>
      </x:c>
      <x:c r="K85" s="11" t="n">
        <x:f>SUM(SalesLines!R199,SalesLines!R200,SalesLines!R201,SalesLines!R202)</x:f>
        <x:v>10</x:v>
      </x:c>
      <x:c r="L85" s="11" t="n">
        <x:f>SUM(SalesLines!S199,SalesLines!S200,SalesLines!S201,SalesLines!S202)</x:f>
        <x:v>0</x:v>
      </x:c>
      <x:c r="M85" s="8" t="n">
        <x:f>DATE(YEAR(C85),MONTH(C85),1)</x:f>
        <x:v>45809</x:v>
      </x:c>
    </x:row>
    <x:row r="86" ht="22" customHeight="1">
      <x:c r="A86" s="2" t="str">
        <x:v>O00082</x:v>
      </x:c>
      <x:c r="B86" s="2" t="str">
        <x:v>C0225</x:v>
      </x:c>
      <x:c r="C86" s="7" t="n">
        <x:v>45754</x:v>
      </x:c>
      <x:c r="D86" s="2" t="str">
        <x:v>Completed</x:v>
      </x:c>
      <x:c r="E86" s="2" t="str">
        <x:v>North</x:v>
      </x:c>
      <x:c r="F86" s="2" t="str">
        <x:v>Online</x:v>
      </x:c>
      <x:c r="G86" s="9" t="n">
        <x:f>SUM(SalesLines!Q203,SalesLines!Q204,SalesLines!Q205,SalesLines!Q206)</x:f>
        <x:v>1504.6</x:v>
      </x:c>
      <x:c r="H86" s="9" t="n">
        <x:f>SUM(SalesLines!M203,SalesLines!M204,SalesLines!M205,SalesLines!M206)</x:f>
        <x:v>1771</x:v>
      </x:c>
      <x:c r="I86" s="9" t="n">
        <x:f>SUM(SalesLines!N203,SalesLines!N204,SalesLines!N205,SalesLines!N206)</x:f>
        <x:v>266.40000000000003</x:v>
      </x:c>
      <x:c r="J86" s="9" t="n">
        <x:f>SUM(SalesLines!P203,SalesLines!P204,SalesLines!P205,SalesLines!P206)</x:f>
        <x:v>0</x:v>
      </x:c>
      <x:c r="K86" s="11" t="n">
        <x:f>SUM(SalesLines!R203,SalesLines!R204,SalesLines!R205,SalesLines!R206)</x:f>
        <x:v>14</x:v>
      </x:c>
      <x:c r="L86" s="11" t="n">
        <x:f>SUM(SalesLines!S203,SalesLines!S204,SalesLines!S205,SalesLines!S206)</x:f>
        <x:v>0</x:v>
      </x:c>
      <x:c r="M86" s="8" t="n">
        <x:f>DATE(YEAR(C86),MONTH(C86),1)</x:f>
        <x:v>45748</x:v>
      </x:c>
    </x:row>
    <x:row r="87" ht="22" customHeight="1">
      <x:c r="A87" s="2" t="str">
        <x:v>O00083</x:v>
      </x:c>
      <x:c r="B87" s="2" t="str">
        <x:v>C0136</x:v>
      </x:c>
      <x:c r="C87" s="7" t="n">
        <x:v>45696</x:v>
      </x:c>
      <x:c r="D87" s="2" t="str">
        <x:v>Completed</x:v>
      </x:c>
      <x:c r="E87" s="2" t="str">
        <x:v>West</x:v>
      </x:c>
      <x:c r="F87" s="2" t="str">
        <x:v>Store</x:v>
      </x:c>
      <x:c r="G87" s="9" t="n">
        <x:f>SUM(SalesLines!Q207,SalesLines!Q208)</x:f>
        <x:v>786.5</x:v>
      </x:c>
      <x:c r="H87" s="9" t="n">
        <x:f>SUM(SalesLines!M207,SalesLines!M208)</x:f>
        <x:v>1717</x:v>
      </x:c>
      <x:c r="I87" s="9" t="n">
        <x:f>SUM(SalesLines!N207,SalesLines!N208)</x:f>
        <x:v>280.1</x:v>
      </x:c>
      <x:c r="J87" s="9" t="n">
        <x:f>SUM(SalesLines!P207,SalesLines!P208)</x:f>
        <x:v>650.4000000000001</x:v>
      </x:c>
      <x:c r="K87" s="11" t="n">
        <x:f>SUM(SalesLines!R207,SalesLines!R208)</x:f>
        <x:v>7</x:v>
      </x:c>
      <x:c r="L87" s="11" t="n">
        <x:f>SUM(SalesLines!S207,SalesLines!S208)</x:f>
        <x:v>3</x:v>
      </x:c>
      <x:c r="M87" s="8" t="n">
        <x:f>DATE(YEAR(C87),MONTH(C87),1)</x:f>
        <x:v>45689</x:v>
      </x:c>
    </x:row>
    <x:row r="88" ht="22" customHeight="1">
      <x:c r="A88" s="2" t="str">
        <x:v>O00084</x:v>
      </x:c>
      <x:c r="B88" s="2" t="str">
        <x:v>C0223</x:v>
      </x:c>
      <x:c r="C88" s="7" t="n">
        <x:v>45835</x:v>
      </x:c>
      <x:c r="D88" s="2" t="str">
        <x:v>Completed</x:v>
      </x:c>
      <x:c r="E88" s="2" t="str">
        <x:v>East</x:v>
      </x:c>
      <x:c r="F88" s="2" t="str">
        <x:v>Store</x:v>
      </x:c>
      <x:c r="G88" s="9" t="n">
        <x:f>SUM(SalesLines!Q209,SalesLines!Q210,SalesLines!Q211,SalesLines!Q212)</x:f>
        <x:v>1338.95</x:v>
      </x:c>
      <x:c r="H88" s="9" t="n">
        <x:f>SUM(SalesLines!M209,SalesLines!M210,SalesLines!M211,SalesLines!M212)</x:f>
        <x:v>1703</x:v>
      </x:c>
      <x:c r="I88" s="9" t="n">
        <x:f>SUM(SalesLines!N209,SalesLines!N210,SalesLines!N211,SalesLines!N212)</x:f>
        <x:v>206.55</x:v>
      </x:c>
      <x:c r="J88" s="9" t="n">
        <x:f>SUM(SalesLines!P209,SalesLines!P210,SalesLines!P211,SalesLines!P212)</x:f>
        <x:v>157.5</x:v>
      </x:c>
      <x:c r="K88" s="11" t="n">
        <x:f>SUM(SalesLines!R209,SalesLines!R210,SalesLines!R211,SalesLines!R212)</x:f>
        <x:v>18</x:v>
      </x:c>
      <x:c r="L88" s="11" t="n">
        <x:f>SUM(SalesLines!S209,SalesLines!S210,SalesLines!S211,SalesLines!S212)</x:f>
        <x:v>5</x:v>
      </x:c>
      <x:c r="M88" s="8" t="n">
        <x:f>DATE(YEAR(C88),MONTH(C88),1)</x:f>
        <x:v>45809</x:v>
      </x:c>
    </x:row>
    <x:row r="89" ht="22" customHeight="1">
      <x:c r="A89" s="2" t="str">
        <x:v>O00085</x:v>
      </x:c>
      <x:c r="B89" s="2" t="str">
        <x:v>C0108</x:v>
      </x:c>
      <x:c r="C89" s="7" t="n">
        <x:v>45743</x:v>
      </x:c>
      <x:c r="D89" s="2" t="str">
        <x:v>Completed</x:v>
      </x:c>
      <x:c r="E89" s="2" t="str">
        <x:v>East</x:v>
      </x:c>
      <x:c r="F89" s="2" t="str">
        <x:v>Store</x:v>
      </x:c>
      <x:c r="G89" s="9" t="n">
        <x:f>SUM(SalesLines!Q213)</x:f>
        <x:v>1097.25</x:v>
      </x:c>
      <x:c r="H89" s="9" t="n">
        <x:f>SUM(SalesLines!M213)</x:f>
        <x:v>1155</x:v>
      </x:c>
      <x:c r="I89" s="9" t="n">
        <x:f>SUM(SalesLines!N213)</x:f>
        <x:v>57.75</x:v>
      </x:c>
      <x:c r="J89" s="9" t="n">
        <x:f>SUM(SalesLines!P213)</x:f>
        <x:v>0</x:v>
      </x:c>
      <x:c r="K89" s="11" t="n">
        <x:f>SUM(SalesLines!R213)</x:f>
        <x:v>5</x:v>
      </x:c>
      <x:c r="L89" s="11" t="n">
        <x:f>SUM(SalesLines!S213)</x:f>
        <x:v>0</x:v>
      </x:c>
      <x:c r="M89" s="8" t="n">
        <x:f>DATE(YEAR(C89),MONTH(C89),1)</x:f>
        <x:v>45717</x:v>
      </x:c>
    </x:row>
    <x:row r="90" ht="22" customHeight="1">
      <x:c r="A90" s="2" t="str">
        <x:v>O00086</x:v>
      </x:c>
      <x:c r="B90" s="2" t="str">
        <x:v>C0279</x:v>
      </x:c>
      <x:c r="C90" s="7" t="n">
        <x:v>45684</x:v>
      </x:c>
      <x:c r="D90" s="2" t="str">
        <x:v>Completed</x:v>
      </x:c>
      <x:c r="E90" s="2" t="str">
        <x:v>South</x:v>
      </x:c>
      <x:c r="F90" s="2" t="str">
        <x:v>Online</x:v>
      </x:c>
      <x:c r="G90" s="9" t="n">
        <x:f>SUM(SalesLines!Q214,SalesLines!Q215)</x:f>
        <x:v>786.6</x:v>
      </x:c>
      <x:c r="H90" s="9" t="n">
        <x:f>SUM(SalesLines!M214,SalesLines!M215)</x:f>
        <x:v>828</x:v>
      </x:c>
      <x:c r="I90" s="9" t="n">
        <x:f>SUM(SalesLines!N214,SalesLines!N215)</x:f>
        <x:v>41.4</x:v>
      </x:c>
      <x:c r="J90" s="9" t="n">
        <x:f>SUM(SalesLines!P214,SalesLines!P215)</x:f>
        <x:v>0</x:v>
      </x:c>
      <x:c r="K90" s="11" t="n">
        <x:f>SUM(SalesLines!R214,SalesLines!R215)</x:f>
        <x:v>4</x:v>
      </x:c>
      <x:c r="L90" s="11" t="n">
        <x:f>SUM(SalesLines!S214,SalesLines!S215)</x:f>
        <x:v>0</x:v>
      </x:c>
      <x:c r="M90" s="8" t="n">
        <x:f>DATE(YEAR(C90),MONTH(C90),1)</x:f>
        <x:v>45658</x:v>
      </x:c>
    </x:row>
    <x:row r="91" ht="22" customHeight="1">
      <x:c r="A91" s="2" t="str">
        <x:v>O00087</x:v>
      </x:c>
      <x:c r="B91" s="2" t="str">
        <x:v>C0129</x:v>
      </x:c>
      <x:c r="C91" s="7" t="n">
        <x:v>45943</x:v>
      </x:c>
      <x:c r="D91" s="2" t="str">
        <x:v>Completed</x:v>
      </x:c>
      <x:c r="E91" s="2" t="str">
        <x:v>North</x:v>
      </x:c>
      <x:c r="F91" s="2" t="str">
        <x:v>Online</x:v>
      </x:c>
      <x:c r="G91" s="9" t="n">
        <x:f>SUM(SalesLines!Q216)</x:f>
        <x:v>195.2</x:v>
      </x:c>
      <x:c r="H91" s="9" t="n">
        <x:f>SUM(SalesLines!M216)</x:f>
        <x:v>244</x:v>
      </x:c>
      <x:c r="I91" s="9" t="n">
        <x:f>SUM(SalesLines!N216)</x:f>
        <x:v>48.800000000000004</x:v>
      </x:c>
      <x:c r="J91" s="9" t="n">
        <x:f>SUM(SalesLines!P216)</x:f>
        <x:v>0</x:v>
      </x:c>
      <x:c r="K91" s="11" t="n">
        <x:f>SUM(SalesLines!R216)</x:f>
        <x:v>2</x:v>
      </x:c>
      <x:c r="L91" s="11" t="n">
        <x:f>SUM(SalesLines!S216)</x:f>
        <x:v>0</x:v>
      </x:c>
      <x:c r="M91" s="8" t="n">
        <x:f>DATE(YEAR(C91),MONTH(C91),1)</x:f>
        <x:v>45931</x:v>
      </x:c>
    </x:row>
    <x:row r="92" ht="22" customHeight="1">
      <x:c r="A92" s="2" t="str">
        <x:v>O00088</x:v>
      </x:c>
      <x:c r="B92" s="2" t="str">
        <x:v>C0006</x:v>
      </x:c>
      <x:c r="C92" s="7" t="n">
        <x:v>45766</x:v>
      </x:c>
      <x:c r="D92" s="2" t="str">
        <x:v>Completed</x:v>
      </x:c>
      <x:c r="E92" s="2" t="str">
        <x:v>East</x:v>
      </x:c>
      <x:c r="F92" s="2" t="str">
        <x:v>Store</x:v>
      </x:c>
      <x:c r="G92" s="9" t="n">
        <x:f>SUM(SalesLines!Q217)</x:f>
        <x:v>536</x:v>
      </x:c>
      <x:c r="H92" s="9" t="n">
        <x:f>SUM(SalesLines!M217)</x:f>
        <x:v>536</x:v>
      </x:c>
      <x:c r="I92" s="9" t="n">
        <x:f>SUM(SalesLines!N217)</x:f>
        <x:v>0</x:v>
      </x:c>
      <x:c r="J92" s="9" t="n">
        <x:f>SUM(SalesLines!P217)</x:f>
        <x:v>0</x:v>
      </x:c>
      <x:c r="K92" s="11" t="n">
        <x:f>SUM(SalesLines!R217)</x:f>
        <x:v>4</x:v>
      </x:c>
      <x:c r="L92" s="11" t="n">
        <x:f>SUM(SalesLines!S217)</x:f>
        <x:v>0</x:v>
      </x:c>
      <x:c r="M92" s="8" t="n">
        <x:f>DATE(YEAR(C92),MONTH(C92),1)</x:f>
        <x:v>45748</x:v>
      </x:c>
    </x:row>
    <x:row r="93" ht="22" customHeight="1">
      <x:c r="A93" s="2" t="str">
        <x:v>O00089</x:v>
      </x:c>
      <x:c r="B93" s="2" t="str">
        <x:v>C0020</x:v>
      </x:c>
      <x:c r="C93" s="7" t="n">
        <x:v>45881</x:v>
      </x:c>
      <x:c r="D93" s="2" t="str">
        <x:v>Completed</x:v>
      </x:c>
      <x:c r="E93" s="2" t="str">
        <x:v>West</x:v>
      </x:c>
      <x:c r="F93" s="2" t="str">
        <x:v>Store</x:v>
      </x:c>
      <x:c r="G93" s="9" t="n">
        <x:f>SUM(SalesLines!Q218)</x:f>
        <x:v>398.4</x:v>
      </x:c>
      <x:c r="H93" s="9" t="n">
        <x:f>SUM(SalesLines!M218)</x:f>
        <x:v>498</x:v>
      </x:c>
      <x:c r="I93" s="9" t="n">
        <x:f>SUM(SalesLines!N218)</x:f>
        <x:v>99.60000000000001</x:v>
      </x:c>
      <x:c r="J93" s="9" t="n">
        <x:f>SUM(SalesLines!P218)</x:f>
        <x:v>0</x:v>
      </x:c>
      <x:c r="K93" s="11" t="n">
        <x:f>SUM(SalesLines!R218)</x:f>
        <x:v>2</x:v>
      </x:c>
      <x:c r="L93" s="11" t="n">
        <x:f>SUM(SalesLines!S218)</x:f>
        <x:v>0</x:v>
      </x:c>
      <x:c r="M93" s="8" t="n">
        <x:f>DATE(YEAR(C93),MONTH(C93),1)</x:f>
        <x:v>45870</x:v>
      </x:c>
    </x:row>
    <x:row r="94" ht="22" customHeight="1">
      <x:c r="A94" s="2" t="str">
        <x:v>O00090</x:v>
      </x:c>
      <x:c r="B94" s="2" t="str">
        <x:v>C0111</x:v>
      </x:c>
      <x:c r="C94" s="7" t="n">
        <x:v>46018</x:v>
      </x:c>
      <x:c r="D94" s="2" t="str">
        <x:v>Completed</x:v>
      </x:c>
      <x:c r="E94" s="2" t="str">
        <x:v>South</x:v>
      </x:c>
      <x:c r="F94" s="2" t="str">
        <x:v>Online</x:v>
      </x:c>
      <x:c r="G94" s="9" t="n">
        <x:f>SUM(SalesLines!Q219,SalesLines!Q220,SalesLines!Q221)</x:f>
        <x:v>1181.3</x:v>
      </x:c>
      <x:c r="H94" s="9" t="n">
        <x:f>SUM(SalesLines!M219,SalesLines!M220,SalesLines!M221)</x:f>
        <x:v>1201</x:v>
      </x:c>
      <x:c r="I94" s="9" t="n">
        <x:f>SUM(SalesLines!N219,SalesLines!N220,SalesLines!N221)</x:f>
        <x:v>19.700000000000003</x:v>
      </x:c>
      <x:c r="J94" s="9" t="n">
        <x:f>SUM(SalesLines!P219,SalesLines!P220,SalesLines!P221)</x:f>
        <x:v>0</x:v>
      </x:c>
      <x:c r="K94" s="11" t="n">
        <x:f>SUM(SalesLines!R219,SalesLines!R220,SalesLines!R221)</x:f>
        <x:v>5</x:v>
      </x:c>
      <x:c r="L94" s="11" t="n">
        <x:f>SUM(SalesLines!S219,SalesLines!S220,SalesLines!S221)</x:f>
        <x:v>0</x:v>
      </x:c>
      <x:c r="M94" s="8" t="n">
        <x:f>DATE(YEAR(C94),MONTH(C94),1)</x:f>
        <x:v>45992</x:v>
      </x:c>
    </x:row>
    <x:row r="95" ht="22" customHeight="1">
      <x:c r="A95" s="2" t="str">
        <x:v>O00091</x:v>
      </x:c>
      <x:c r="B95" s="2" t="str">
        <x:v>C0062</x:v>
      </x:c>
      <x:c r="C95" s="7" t="n">
        <x:v>45892</x:v>
      </x:c>
      <x:c r="D95" s="2" t="str">
        <x:v>Completed</x:v>
      </x:c>
      <x:c r="E95" s="2" t="str">
        <x:v>West</x:v>
      </x:c>
      <x:c r="F95" s="2" t="str">
        <x:v>Store</x:v>
      </x:c>
      <x:c r="G95" s="9" t="n">
        <x:f>SUM(SalesLines!Q222,SalesLines!Q223,SalesLines!Q224,SalesLines!Q225)</x:f>
        <x:v>2943.2</x:v>
      </x:c>
      <x:c r="H95" s="9" t="n">
        <x:f>SUM(SalesLines!M222,SalesLines!M223,SalesLines!M224,SalesLines!M225)</x:f>
        <x:v>3131</x:v>
      </x:c>
      <x:c r="I95" s="9" t="n">
        <x:f>SUM(SalesLines!N222,SalesLines!N223,SalesLines!N224,SalesLines!N225)</x:f>
        <x:v>187.8</x:v>
      </x:c>
      <x:c r="J95" s="9" t="n">
        <x:f>SUM(SalesLines!P222,SalesLines!P223,SalesLines!P224,SalesLines!P225)</x:f>
        <x:v>0</x:v>
      </x:c>
      <x:c r="K95" s="11" t="n">
        <x:f>SUM(SalesLines!R222,SalesLines!R223,SalesLines!R224,SalesLines!R225)</x:f>
        <x:v>14</x:v>
      </x:c>
      <x:c r="L95" s="11" t="n">
        <x:f>SUM(SalesLines!S222,SalesLines!S223,SalesLines!S224,SalesLines!S225)</x:f>
        <x:v>0</x:v>
      </x:c>
      <x:c r="M95" s="8" t="n">
        <x:f>DATE(YEAR(C95),MONTH(C95),1)</x:f>
        <x:v>45870</x:v>
      </x:c>
    </x:row>
    <x:row r="96" ht="22" customHeight="1">
      <x:c r="A96" s="2" t="str">
        <x:v>O00092</x:v>
      </x:c>
      <x:c r="B96" s="2" t="str">
        <x:v>C0028</x:v>
      </x:c>
      <x:c r="C96" s="7" t="n">
        <x:v>45724</x:v>
      </x:c>
      <x:c r="D96" s="2" t="str">
        <x:v>Cancelled</x:v>
      </x:c>
      <x:c r="E96" s="2" t="str">
        <x:v>West</x:v>
      </x:c>
      <x:c r="F96" s="2" t="str">
        <x:v>Store</x:v>
      </x:c>
      <x:c r="G96" s="9" t="n">
        <x:f>SUM(SalesLines!Q226,SalesLines!Q227)</x:f>
        <x:v>0</x:v>
      </x:c>
      <x:c r="H96" s="9" t="n">
        <x:f>SUM(SalesLines!M226,SalesLines!M227)</x:f>
        <x:v>0</x:v>
      </x:c>
      <x:c r="I96" s="9" t="n">
        <x:f>SUM(SalesLines!N226,SalesLines!N227)</x:f>
        <x:v>0</x:v>
      </x:c>
      <x:c r="J96" s="9" t="n">
        <x:f>SUM(SalesLines!P226,SalesLines!P227)</x:f>
        <x:v>0</x:v>
      </x:c>
      <x:c r="K96" s="11" t="n">
        <x:f>SUM(SalesLines!R226,SalesLines!R227)</x:f>
        <x:v>0</x:v>
      </x:c>
      <x:c r="L96" s="11" t="n">
        <x:f>SUM(SalesLines!S226,SalesLines!S227)</x:f>
        <x:v>0</x:v>
      </x:c>
      <x:c r="M96" s="8" t="n">
        <x:f>DATE(YEAR(C96),MONTH(C96),1)</x:f>
        <x:v>45717</x:v>
      </x:c>
    </x:row>
    <x:row r="97" ht="22" customHeight="1">
      <x:c r="A97" s="2" t="str">
        <x:v>O00093</x:v>
      </x:c>
      <x:c r="B97" s="2" t="str">
        <x:v>C0179</x:v>
      </x:c>
      <x:c r="C97" s="7" t="n">
        <x:v>45873</x:v>
      </x:c>
      <x:c r="D97" s="2" t="str">
        <x:v>Completed</x:v>
      </x:c>
      <x:c r="E97" s="2" t="str">
        <x:v>East</x:v>
      </x:c>
      <x:c r="F97" s="2" t="str">
        <x:v>Store</x:v>
      </x:c>
      <x:c r="G97" s="9" t="n">
        <x:f>SUM(SalesLines!Q228,SalesLines!Q229)</x:f>
        <x:v>415.8</x:v>
      </x:c>
      <x:c r="H97" s="9" t="n">
        <x:f>SUM(SalesLines!M228,SalesLines!M229)</x:f>
        <x:v>462</x:v>
      </x:c>
      <x:c r="I97" s="9" t="n">
        <x:f>SUM(SalesLines!N228,SalesLines!N229)</x:f>
        <x:v>46.2</x:v>
      </x:c>
      <x:c r="J97" s="9" t="n">
        <x:f>SUM(SalesLines!P228,SalesLines!P229)</x:f>
        <x:v>0</x:v>
      </x:c>
      <x:c r="K97" s="11" t="n">
        <x:f>SUM(SalesLines!R228,SalesLines!R229)</x:f>
        <x:v>4</x:v>
      </x:c>
      <x:c r="L97" s="11" t="n">
        <x:f>SUM(SalesLines!S228,SalesLines!S229)</x:f>
        <x:v>0</x:v>
      </x:c>
      <x:c r="M97" s="8" t="n">
        <x:f>DATE(YEAR(C97),MONTH(C97),1)</x:f>
        <x:v>45870</x:v>
      </x:c>
    </x:row>
    <x:row r="98" ht="22" customHeight="1">
      <x:c r="A98" s="2" t="str">
        <x:v>O00094</x:v>
      </x:c>
      <x:c r="B98" s="2" t="str">
        <x:v>C0008</x:v>
      </x:c>
      <x:c r="C98" s="7" t="n">
        <x:v>45822</x:v>
      </x:c>
      <x:c r="D98" s="2" t="str">
        <x:v>Completed</x:v>
      </x:c>
      <x:c r="E98" s="2" t="str">
        <x:v>North</x:v>
      </x:c>
      <x:c r="F98" s="2" t="str">
        <x:v>Store</x:v>
      </x:c>
      <x:c r="G98" s="9" t="n">
        <x:f>SUM(SalesLines!Q230,SalesLines!Q231,SalesLines!Q232)</x:f>
        <x:v>470.45</x:v>
      </x:c>
      <x:c r="H98" s="9" t="n">
        <x:f>SUM(SalesLines!M230,SalesLines!M231,SalesLines!M232)</x:f>
        <x:v>529</x:v>
      </x:c>
      <x:c r="I98" s="9" t="n">
        <x:f>SUM(SalesLines!N230,SalesLines!N231,SalesLines!N232)</x:f>
        <x:v>58.55</x:v>
      </x:c>
      <x:c r="J98" s="9" t="n">
        <x:f>SUM(SalesLines!P230,SalesLines!P231,SalesLines!P232)</x:f>
        <x:v>0</x:v>
      </x:c>
      <x:c r="K98" s="11" t="n">
        <x:f>SUM(SalesLines!R230,SalesLines!R231,SalesLines!R232)</x:f>
        <x:v>5</x:v>
      </x:c>
      <x:c r="L98" s="11" t="n">
        <x:f>SUM(SalesLines!S230,SalesLines!S231,SalesLines!S232)</x:f>
        <x:v>0</x:v>
      </x:c>
      <x:c r="M98" s="8" t="n">
        <x:f>DATE(YEAR(C98),MONTH(C98),1)</x:f>
        <x:v>45809</x:v>
      </x:c>
    </x:row>
    <x:row r="99" ht="22" customHeight="1">
      <x:c r="A99" s="2" t="str">
        <x:v>O00095</x:v>
      </x:c>
      <x:c r="B99" s="2" t="str">
        <x:v>C0235</x:v>
      </x:c>
      <x:c r="C99" s="7" t="n">
        <x:v>45735</x:v>
      </x:c>
      <x:c r="D99" s="2" t="str">
        <x:v>Completed</x:v>
      </x:c>
      <x:c r="E99" s="2" t="str">
        <x:v>North</x:v>
      </x:c>
      <x:c r="F99" s="2" t="str">
        <x:v>Online</x:v>
      </x:c>
      <x:c r="G99" s="9" t="n">
        <x:f>SUM(SalesLines!Q233)</x:f>
        <x:v>357.2</x:v>
      </x:c>
      <x:c r="H99" s="9" t="n">
        <x:f>SUM(SalesLines!M233)</x:f>
        <x:v>376</x:v>
      </x:c>
      <x:c r="I99" s="9" t="n">
        <x:f>SUM(SalesLines!N233)</x:f>
        <x:v>18.8</x:v>
      </x:c>
      <x:c r="J99" s="9" t="n">
        <x:f>SUM(SalesLines!P233)</x:f>
        <x:v>0</x:v>
      </x:c>
      <x:c r="K99" s="11" t="n">
        <x:f>SUM(SalesLines!R233)</x:f>
        <x:v>2</x:v>
      </x:c>
      <x:c r="L99" s="11" t="n">
        <x:f>SUM(SalesLines!S233)</x:f>
        <x:v>0</x:v>
      </x:c>
      <x:c r="M99" s="8" t="n">
        <x:f>DATE(YEAR(C99),MONTH(C99),1)</x:f>
        <x:v>45717</x:v>
      </x:c>
    </x:row>
    <x:row r="100" ht="22" customHeight="1">
      <x:c r="A100" s="2" t="str">
        <x:v>O00096</x:v>
      </x:c>
      <x:c r="B100" s="2" t="str">
        <x:v>C0153</x:v>
      </x:c>
      <x:c r="C100" s="7" t="n">
        <x:v>45954</x:v>
      </x:c>
      <x:c r="D100" s="2" t="str">
        <x:v>Completed</x:v>
      </x:c>
      <x:c r="E100" s="2" t="str">
        <x:v>East</x:v>
      </x:c>
      <x:c r="F100" s="2" t="str">
        <x:v>Online</x:v>
      </x:c>
      <x:c r="G100" s="9" t="n">
        <x:f>SUM(SalesLines!Q234,SalesLines!Q235)</x:f>
        <x:v>1251.2</x:v>
      </x:c>
      <x:c r="H100" s="9" t="n">
        <x:f>SUM(SalesLines!M234,SalesLines!M235)</x:f>
        <x:v>1330</x:v>
      </x:c>
      <x:c r="I100" s="9" t="n">
        <x:f>SUM(SalesLines!N234,SalesLines!N235)</x:f>
        <x:v>78.80000000000001</x:v>
      </x:c>
      <x:c r="J100" s="9" t="n">
        <x:f>SUM(SalesLines!P234,SalesLines!P235)</x:f>
        <x:v>0</x:v>
      </x:c>
      <x:c r="K100" s="11" t="n">
        <x:f>SUM(SalesLines!R234,SalesLines!R235)</x:f>
        <x:v>6</x:v>
      </x:c>
      <x:c r="L100" s="11" t="n">
        <x:f>SUM(SalesLines!S234,SalesLines!S235)</x:f>
        <x:v>0</x:v>
      </x:c>
      <x:c r="M100" s="8" t="n">
        <x:f>DATE(YEAR(C100),MONTH(C100),1)</x:f>
        <x:v>45931</x:v>
      </x:c>
    </x:row>
    <x:row r="101" ht="22" customHeight="1">
      <x:c r="A101" s="2" t="str">
        <x:v>O00097</x:v>
      </x:c>
      <x:c r="B101" s="2" t="str">
        <x:v>C0132</x:v>
      </x:c>
      <x:c r="C101" s="7" t="n">
        <x:v>45780</x:v>
      </x:c>
      <x:c r="D101" s="2" t="str">
        <x:v>Completed</x:v>
      </x:c>
      <x:c r="E101" s="2" t="str">
        <x:v>North</x:v>
      </x:c>
      <x:c r="F101" s="2" t="str">
        <x:v>Store</x:v>
      </x:c>
      <x:c r="G101" s="9" t="n">
        <x:f>SUM(SalesLines!Q236,SalesLines!Q237,SalesLines!Q238)</x:f>
        <x:v>1389.85</x:v>
      </x:c>
      <x:c r="H101" s="9" t="n">
        <x:f>SUM(SalesLines!M236,SalesLines!M237,SalesLines!M238)</x:f>
        <x:v>1463</x:v>
      </x:c>
      <x:c r="I101" s="9" t="n">
        <x:f>SUM(SalesLines!N236,SalesLines!N237,SalesLines!N238)</x:f>
        <x:v>73.15</x:v>
      </x:c>
      <x:c r="J101" s="9" t="n">
        <x:f>SUM(SalesLines!P236,SalesLines!P237,SalesLines!P238)</x:f>
        <x:v>0</x:v>
      </x:c>
      <x:c r="K101" s="11" t="n">
        <x:f>SUM(SalesLines!R236,SalesLines!R237,SalesLines!R238)</x:f>
        <x:v>11</x:v>
      </x:c>
      <x:c r="L101" s="11" t="n">
        <x:f>SUM(SalesLines!S236,SalesLines!S237,SalesLines!S238)</x:f>
        <x:v>0</x:v>
      </x:c>
      <x:c r="M101" s="8" t="n">
        <x:f>DATE(YEAR(C101),MONTH(C101),1)</x:f>
        <x:v>45778</x:v>
      </x:c>
    </x:row>
    <x:row r="102" ht="22" customHeight="1">
      <x:c r="A102" s="2" t="str">
        <x:v>O00098</x:v>
      </x:c>
      <x:c r="B102" s="2" t="str">
        <x:v>C0299</x:v>
      </x:c>
      <x:c r="C102" s="7" t="n">
        <x:v>45836</x:v>
      </x:c>
      <x:c r="D102" s="2" t="str">
        <x:v>Completed</x:v>
      </x:c>
      <x:c r="E102" s="2" t="str">
        <x:v>North</x:v>
      </x:c>
      <x:c r="F102" s="2" t="str">
        <x:v>Online</x:v>
      </x:c>
      <x:c r="G102" s="9" t="n">
        <x:f>SUM(SalesLines!Q239,SalesLines!Q240,SalesLines!Q241,SalesLines!Q242)</x:f>
        <x:v>2543.7</x:v>
      </x:c>
      <x:c r="H102" s="9" t="n">
        <x:f>SUM(SalesLines!M239,SalesLines!M240,SalesLines!M241,SalesLines!M242)</x:f>
        <x:v>2625</x:v>
      </x:c>
      <x:c r="I102" s="9" t="n">
        <x:f>SUM(SalesLines!N239,SalesLines!N240,SalesLines!N241,SalesLines!N242)</x:f>
        <x:v>81.3</x:v>
      </x:c>
      <x:c r="J102" s="9" t="n">
        <x:f>SUM(SalesLines!P239,SalesLines!P240,SalesLines!P241,SalesLines!P242)</x:f>
        <x:v>0</x:v>
      </x:c>
      <x:c r="K102" s="11" t="n">
        <x:f>SUM(SalesLines!R239,SalesLines!R240,SalesLines!R241,SalesLines!R242)</x:f>
        <x:v>14</x:v>
      </x:c>
      <x:c r="L102" s="11" t="n">
        <x:f>SUM(SalesLines!S239,SalesLines!S240,SalesLines!S241,SalesLines!S242)</x:f>
        <x:v>0</x:v>
      </x:c>
      <x:c r="M102" s="8" t="n">
        <x:f>DATE(YEAR(C102),MONTH(C102),1)</x:f>
        <x:v>45809</x:v>
      </x:c>
    </x:row>
    <x:row r="103" ht="22" customHeight="1">
      <x:c r="A103" s="2" t="str">
        <x:v>O00099</x:v>
      </x:c>
      <x:c r="B103" s="2" t="str">
        <x:v>C0117</x:v>
      </x:c>
      <x:c r="C103" s="7" t="n">
        <x:v>46014</x:v>
      </x:c>
      <x:c r="D103" s="2" t="str">
        <x:v>Completed</x:v>
      </x:c>
      <x:c r="E103" s="2" t="str">
        <x:v>North</x:v>
      </x:c>
      <x:c r="F103" s="2" t="str">
        <x:v>Online</x:v>
      </x:c>
      <x:c r="G103" s="9" t="n">
        <x:f>SUM(SalesLines!Q243,SalesLines!Q244,SalesLines!Q245,SalesLines!Q246)</x:f>
        <x:v>1897.25</x:v>
      </x:c>
      <x:c r="H103" s="9" t="n">
        <x:f>SUM(SalesLines!M243,SalesLines!M244,SalesLines!M245,SalesLines!M246)</x:f>
        <x:v>1984</x:v>
      </x:c>
      <x:c r="I103" s="9" t="n">
        <x:f>SUM(SalesLines!N243,SalesLines!N244,SalesLines!N245,SalesLines!N246)</x:f>
        <x:v>86.75</x:v>
      </x:c>
      <x:c r="J103" s="9" t="n">
        <x:f>SUM(SalesLines!P243,SalesLines!P244,SalesLines!P245,SalesLines!P246)</x:f>
        <x:v>0</x:v>
      </x:c>
      <x:c r="K103" s="11" t="n">
        <x:f>SUM(SalesLines!R243,SalesLines!R244,SalesLines!R245,SalesLines!R246)</x:f>
        <x:v>11</x:v>
      </x:c>
      <x:c r="L103" s="11" t="n">
        <x:f>SUM(SalesLines!S243,SalesLines!S244,SalesLines!S245,SalesLines!S246)</x:f>
        <x:v>0</x:v>
      </x:c>
      <x:c r="M103" s="8" t="n">
        <x:f>DATE(YEAR(C103),MONTH(C103),1)</x:f>
        <x:v>45992</x:v>
      </x:c>
    </x:row>
    <x:row r="104" ht="22" customHeight="1">
      <x:c r="A104" s="2" t="str">
        <x:v>O00100</x:v>
      </x:c>
      <x:c r="B104" s="2" t="str">
        <x:v>C0016</x:v>
      </x:c>
      <x:c r="C104" s="7" t="n">
        <x:v>45673</x:v>
      </x:c>
      <x:c r="D104" s="2" t="str">
        <x:v>Completed</x:v>
      </x:c>
      <x:c r="E104" s="2" t="str">
        <x:v>East</x:v>
      </x:c>
      <x:c r="F104" s="2" t="str">
        <x:v>Online</x:v>
      </x:c>
      <x:c r="G104" s="9" t="n">
        <x:f>SUM(SalesLines!Q247,SalesLines!Q248,SalesLines!Q249)</x:f>
        <x:v>1618.8000000000002</x:v>
      </x:c>
      <x:c r="H104" s="9" t="n">
        <x:f>SUM(SalesLines!M247,SalesLines!M248,SalesLines!M249)</x:f>
        <x:v>1838</x:v>
      </x:c>
      <x:c r="I104" s="9" t="n">
        <x:f>SUM(SalesLines!N247,SalesLines!N248,SalesLines!N249)</x:f>
        <x:v>219.20000000000002</x:v>
      </x:c>
      <x:c r="J104" s="9" t="n">
        <x:f>SUM(SalesLines!P247,SalesLines!P248,SalesLines!P249)</x:f>
        <x:v>0</x:v>
      </x:c>
      <x:c r="K104" s="11" t="n">
        <x:f>SUM(SalesLines!R247,SalesLines!R248,SalesLines!R249)</x:f>
        <x:v>9</x:v>
      </x:c>
      <x:c r="L104" s="11" t="n">
        <x:f>SUM(SalesLines!S247,SalesLines!S248,SalesLines!S249)</x:f>
        <x:v>0</x:v>
      </x:c>
      <x:c r="M104" s="8" t="n">
        <x:f>DATE(YEAR(C104),MONTH(C104),1)</x:f>
        <x:v>45658</x:v>
      </x:c>
    </x:row>
    <x:row r="105" ht="22" customHeight="1">
      <x:c r="A105" s="2" t="str">
        <x:v>O00101</x:v>
      </x:c>
      <x:c r="B105" s="2" t="str">
        <x:v>C0025</x:v>
      </x:c>
      <x:c r="C105" s="7" t="n">
        <x:v>45769</x:v>
      </x:c>
      <x:c r="D105" s="2" t="str">
        <x:v>Completed</x:v>
      </x:c>
      <x:c r="E105" s="2" t="str">
        <x:v>East</x:v>
      </x:c>
      <x:c r="F105" s="2" t="str">
        <x:v>Store</x:v>
      </x:c>
      <x:c r="G105" s="9" t="n">
        <x:f>SUM(SalesLines!Q250)</x:f>
        <x:v>650.4</x:v>
      </x:c>
      <x:c r="H105" s="9" t="n">
        <x:f>SUM(SalesLines!M250)</x:f>
        <x:v>813</x:v>
      </x:c>
      <x:c r="I105" s="9" t="n">
        <x:f>SUM(SalesLines!N250)</x:f>
        <x:v>162.60000000000002</x:v>
      </x:c>
      <x:c r="J105" s="9" t="n">
        <x:f>SUM(SalesLines!P250)</x:f>
        <x:v>0</x:v>
      </x:c>
      <x:c r="K105" s="11" t="n">
        <x:f>SUM(SalesLines!R250)</x:f>
        <x:v>3</x:v>
      </x:c>
      <x:c r="L105" s="11" t="n">
        <x:f>SUM(SalesLines!S250)</x:f>
        <x:v>0</x:v>
      </x:c>
      <x:c r="M105" s="8" t="n">
        <x:f>DATE(YEAR(C105),MONTH(C105),1)</x:f>
        <x:v>45748</x:v>
      </x:c>
    </x:row>
    <x:row r="106" ht="22" customHeight="1">
      <x:c r="A106" s="2" t="str">
        <x:v>O00102</x:v>
      </x:c>
      <x:c r="B106" s="2" t="str">
        <x:v>C0102</x:v>
      </x:c>
      <x:c r="C106" s="7" t="n">
        <x:v>45935</x:v>
      </x:c>
      <x:c r="D106" s="2" t="str">
        <x:v>Completed</x:v>
      </x:c>
      <x:c r="E106" s="2" t="str">
        <x:v>North</x:v>
      </x:c>
      <x:c r="F106" s="2" t="str">
        <x:v>Store</x:v>
      </x:c>
      <x:c r="G106" s="9" t="n">
        <x:f>SUM(SalesLines!Q251)</x:f>
        <x:v>390</x:v>
      </x:c>
      <x:c r="H106" s="9" t="n">
        <x:f>SUM(SalesLines!M251)</x:f>
        <x:v>390</x:v>
      </x:c>
      <x:c r="I106" s="9" t="n">
        <x:f>SUM(SalesLines!N251)</x:f>
        <x:v>0</x:v>
      </x:c>
      <x:c r="J106" s="9" t="n">
        <x:f>SUM(SalesLines!P251)</x:f>
        <x:v>0</x:v>
      </x:c>
      <x:c r="K106" s="11" t="n">
        <x:f>SUM(SalesLines!R251)</x:f>
        <x:v>5</x:v>
      </x:c>
      <x:c r="L106" s="11" t="n">
        <x:f>SUM(SalesLines!S251)</x:f>
        <x:v>0</x:v>
      </x:c>
      <x:c r="M106" s="8" t="n">
        <x:f>DATE(YEAR(C106),MONTH(C106),1)</x:f>
        <x:v>45931</x:v>
      </x:c>
    </x:row>
    <x:row r="107" ht="22" customHeight="1">
      <x:c r="A107" s="2" t="str">
        <x:v>O00103</x:v>
      </x:c>
      <x:c r="B107" s="2" t="str">
        <x:v>C0017</x:v>
      </x:c>
      <x:c r="C107" s="7" t="n">
        <x:v>45915</x:v>
      </x:c>
      <x:c r="D107" s="2" t="str">
        <x:v>Completed</x:v>
      </x:c>
      <x:c r="E107" s="2" t="str">
        <x:v>South</x:v>
      </x:c>
      <x:c r="F107" s="2" t="str">
        <x:v>Online</x:v>
      </x:c>
      <x:c r="G107" s="9" t="n">
        <x:f>SUM(SalesLines!Q252,SalesLines!Q253)</x:f>
        <x:v>1398.1</x:v>
      </x:c>
      <x:c r="H107" s="9" t="n">
        <x:f>SUM(SalesLines!M252,SalesLines!M253)</x:f>
        <x:v>1919</x:v>
      </x:c>
      <x:c r="I107" s="9" t="n">
        <x:f>SUM(SalesLines!N252,SalesLines!N253)</x:f>
        <x:v>163.7</x:v>
      </x:c>
      <x:c r="J107" s="9" t="n">
        <x:f>SUM(SalesLines!P252,SalesLines!P253)</x:f>
        <x:v>357.2</x:v>
      </x:c>
      <x:c r="K107" s="11" t="n">
        <x:f>SUM(SalesLines!R252,SalesLines!R253)</x:f>
        <x:v>8</x:v>
      </x:c>
      <x:c r="L107" s="11" t="n">
        <x:f>SUM(SalesLines!S252,SalesLines!S253)</x:f>
        <x:v>2</x:v>
      </x:c>
      <x:c r="M107" s="8" t="n">
        <x:f>DATE(YEAR(C107),MONTH(C107),1)</x:f>
        <x:v>45901</x:v>
      </x:c>
    </x:row>
    <x:row r="108" ht="22" customHeight="1">
      <x:c r="A108" s="2" t="str">
        <x:v>O00104</x:v>
      </x:c>
      <x:c r="B108" s="2" t="str">
        <x:v>C0148</x:v>
      </x:c>
      <x:c r="C108" s="7" t="n">
        <x:v>46019</x:v>
      </x:c>
      <x:c r="D108" s="2" t="str">
        <x:v>Completed</x:v>
      </x:c>
      <x:c r="E108" s="2" t="str">
        <x:v>East</x:v>
      </x:c>
      <x:c r="F108" s="2" t="str">
        <x:v>Online</x:v>
      </x:c>
      <x:c r="G108" s="9" t="n">
        <x:f>SUM(SalesLines!Q254,SalesLines!Q255,SalesLines!Q256)</x:f>
        <x:v>1439.6</x:v>
      </x:c>
      <x:c r="H108" s="9" t="n">
        <x:f>SUM(SalesLines!M254,SalesLines!M255,SalesLines!M256)</x:f>
        <x:v>1644</x:v>
      </x:c>
      <x:c r="I108" s="9" t="n">
        <x:f>SUM(SalesLines!N254,SalesLines!N255,SalesLines!N256)</x:f>
        <x:v>204.4</x:v>
      </x:c>
      <x:c r="J108" s="9" t="n">
        <x:f>SUM(SalesLines!P254,SalesLines!P255,SalesLines!P256)</x:f>
        <x:v>0</x:v>
      </x:c>
      <x:c r="K108" s="11" t="n">
        <x:f>SUM(SalesLines!R254,SalesLines!R255,SalesLines!R256)</x:f>
        <x:v>13</x:v>
      </x:c>
      <x:c r="L108" s="11" t="n">
        <x:f>SUM(SalesLines!S254,SalesLines!S255,SalesLines!S256)</x:f>
        <x:v>0</x:v>
      </x:c>
      <x:c r="M108" s="8" t="n">
        <x:f>DATE(YEAR(C108),MONTH(C108),1)</x:f>
        <x:v>45992</x:v>
      </x:c>
    </x:row>
    <x:row r="109" ht="22" customHeight="1">
      <x:c r="A109" s="2" t="str">
        <x:v>O00105</x:v>
      </x:c>
      <x:c r="B109" s="2" t="str">
        <x:v>C0225</x:v>
      </x:c>
      <x:c r="C109" s="7" t="n">
        <x:v>45968</x:v>
      </x:c>
      <x:c r="D109" s="2" t="str">
        <x:v>Completed</x:v>
      </x:c>
      <x:c r="E109" s="2" t="str">
        <x:v>North</x:v>
      </x:c>
      <x:c r="F109" s="2" t="str">
        <x:v>Store</x:v>
      </x:c>
      <x:c r="G109" s="9" t="n">
        <x:f>SUM(SalesLines!Q257)</x:f>
        <x:v>398.4</x:v>
      </x:c>
      <x:c r="H109" s="9" t="n">
        <x:f>SUM(SalesLines!M257)</x:f>
        <x:v>498</x:v>
      </x:c>
      <x:c r="I109" s="9" t="n">
        <x:f>SUM(SalesLines!N257)</x:f>
        <x:v>99.60000000000001</x:v>
      </x:c>
      <x:c r="J109" s="9" t="n">
        <x:f>SUM(SalesLines!P257)</x:f>
        <x:v>0</x:v>
      </x:c>
      <x:c r="K109" s="11" t="n">
        <x:f>SUM(SalesLines!R257)</x:f>
        <x:v>2</x:v>
      </x:c>
      <x:c r="L109" s="11" t="n">
        <x:f>SUM(SalesLines!S257)</x:f>
        <x:v>0</x:v>
      </x:c>
      <x:c r="M109" s="8" t="n">
        <x:f>DATE(YEAR(C109),MONTH(C109),1)</x:f>
        <x:v>45962</x:v>
      </x:c>
    </x:row>
    <x:row r="110" ht="22" customHeight="1">
      <x:c r="A110" s="2" t="str">
        <x:v>O00106</x:v>
      </x:c>
      <x:c r="B110" s="2" t="str">
        <x:v>C0006</x:v>
      </x:c>
      <x:c r="C110" s="7" t="n">
        <x:v>45942</x:v>
      </x:c>
      <x:c r="D110" s="2" t="str">
        <x:v>Completed</x:v>
      </x:c>
      <x:c r="E110" s="2" t="str">
        <x:v>East</x:v>
      </x:c>
      <x:c r="F110" s="2" t="str">
        <x:v>Store</x:v>
      </x:c>
      <x:c r="G110" s="9" t="n">
        <x:f>SUM(SalesLines!Q258,SalesLines!Q259)</x:f>
        <x:v>1347.9</x:v>
      </x:c>
      <x:c r="H110" s="9" t="n">
        <x:f>SUM(SalesLines!M258,SalesLines!M259)</x:f>
        <x:v>1553</x:v>
      </x:c>
      <x:c r="I110" s="9" t="n">
        <x:f>SUM(SalesLines!N258,SalesLines!N259)</x:f>
        <x:v>205.10000000000002</x:v>
      </x:c>
      <x:c r="J110" s="9" t="n">
        <x:f>SUM(SalesLines!P258,SalesLines!P259)</x:f>
        <x:v>0</x:v>
      </x:c>
      <x:c r="K110" s="11" t="n">
        <x:f>SUM(SalesLines!R258,SalesLines!R259)</x:f>
        <x:v>7</x:v>
      </x:c>
      <x:c r="L110" s="11" t="n">
        <x:f>SUM(SalesLines!S258,SalesLines!S259)</x:f>
        <x:v>0</x:v>
      </x:c>
      <x:c r="M110" s="8" t="n">
        <x:f>DATE(YEAR(C110),MONTH(C110),1)</x:f>
        <x:v>45931</x:v>
      </x:c>
    </x:row>
    <x:row r="111" ht="22" customHeight="1">
      <x:c r="A111" s="2" t="str">
        <x:v>O00107</x:v>
      </x:c>
      <x:c r="B111" s="2" t="str">
        <x:v>C0069</x:v>
      </x:c>
      <x:c r="C111" s="7" t="n">
        <x:v>45797</x:v>
      </x:c>
      <x:c r="D111" s="2" t="str">
        <x:v>Completed</x:v>
      </x:c>
      <x:c r="E111" s="2" t="str">
        <x:v>South</x:v>
      </x:c>
      <x:c r="F111" s="2" t="str">
        <x:v>Store</x:v>
      </x:c>
      <x:c r="G111" s="9" t="n">
        <x:f>SUM(SalesLines!Q260)</x:f>
        <x:v>61.2</x:v>
      </x:c>
      <x:c r="H111" s="9" t="n">
        <x:f>SUM(SalesLines!M260)</x:f>
        <x:v>68</x:v>
      </x:c>
      <x:c r="I111" s="9" t="n">
        <x:f>SUM(SalesLines!N260)</x:f>
        <x:v>6.800000000000001</x:v>
      </x:c>
      <x:c r="J111" s="9" t="n">
        <x:f>SUM(SalesLines!P260)</x:f>
        <x:v>0</x:v>
      </x:c>
      <x:c r="K111" s="11" t="n">
        <x:f>SUM(SalesLines!R260)</x:f>
        <x:v>1</x:v>
      </x:c>
      <x:c r="L111" s="11" t="n">
        <x:f>SUM(SalesLines!S260)</x:f>
        <x:v>0</x:v>
      </x:c>
      <x:c r="M111" s="8" t="n">
        <x:f>DATE(YEAR(C111),MONTH(C111),1)</x:f>
        <x:v>45778</x:v>
      </x:c>
    </x:row>
    <x:row r="112" ht="22" customHeight="1">
      <x:c r="A112" s="2" t="str">
        <x:v>O00108</x:v>
      </x:c>
      <x:c r="B112" s="2" t="str">
        <x:v>C0150</x:v>
      </x:c>
      <x:c r="C112" s="7" t="n">
        <x:v>45837</x:v>
      </x:c>
      <x:c r="D112" s="2" t="str">
        <x:v>Completed</x:v>
      </x:c>
      <x:c r="E112" s="2" t="str">
        <x:v>West</x:v>
      </x:c>
      <x:c r="F112" s="2" t="str">
        <x:v>Store</x:v>
      </x:c>
      <x:c r="G112" s="9" t="n">
        <x:f>SUM(SalesLines!Q261,SalesLines!Q262)</x:f>
        <x:v>1604</x:v>
      </x:c>
      <x:c r="H112" s="9" t="n">
        <x:f>SUM(SalesLines!M261,SalesLines!M262)</x:f>
        <x:v>1604</x:v>
      </x:c>
      <x:c r="I112" s="9" t="n">
        <x:f>SUM(SalesLines!N261,SalesLines!N262)</x:f>
        <x:v>0</x:v>
      </x:c>
      <x:c r="J112" s="9" t="n">
        <x:f>SUM(SalesLines!P261,SalesLines!P262)</x:f>
        <x:v>0</x:v>
      </x:c>
      <x:c r="K112" s="11" t="n">
        <x:f>SUM(SalesLines!R261,SalesLines!R262)</x:f>
        <x:v>6</x:v>
      </x:c>
      <x:c r="L112" s="11" t="n">
        <x:f>SUM(SalesLines!S261,SalesLines!S262)</x:f>
        <x:v>0</x:v>
      </x:c>
      <x:c r="M112" s="8" t="n">
        <x:f>DATE(YEAR(C112),MONTH(C112),1)</x:f>
        <x:v>45809</x:v>
      </x:c>
    </x:row>
    <x:row r="113" ht="22" customHeight="1">
      <x:c r="A113" s="2" t="str">
        <x:v>O00109</x:v>
      </x:c>
      <x:c r="B113" s="2" t="str">
        <x:v>C0300</x:v>
      </x:c>
      <x:c r="C113" s="7" t="n">
        <x:v>46017</x:v>
      </x:c>
      <x:c r="D113" s="2" t="str">
        <x:v>Cancelled</x:v>
      </x:c>
      <x:c r="E113" s="2" t="str">
        <x:v>West</x:v>
      </x:c>
      <x:c r="F113" s="2" t="str">
        <x:v>Online</x:v>
      </x:c>
      <x:c r="G113" s="9" t="n">
        <x:f>SUM(SalesLines!Q263,SalesLines!Q264,SalesLines!Q265)</x:f>
        <x:v>0</x:v>
      </x:c>
      <x:c r="H113" s="9" t="n">
        <x:f>SUM(SalesLines!M263,SalesLines!M264,SalesLines!M265)</x:f>
        <x:v>0</x:v>
      </x:c>
      <x:c r="I113" s="9" t="n">
        <x:f>SUM(SalesLines!N263,SalesLines!N264,SalesLines!N265)</x:f>
        <x:v>0</x:v>
      </x:c>
      <x:c r="J113" s="9" t="n">
        <x:f>SUM(SalesLines!P263,SalesLines!P264,SalesLines!P265)</x:f>
        <x:v>0</x:v>
      </x:c>
      <x:c r="K113" s="11" t="n">
        <x:f>SUM(SalesLines!R263,SalesLines!R264,SalesLines!R265)</x:f>
        <x:v>0</x:v>
      </x:c>
      <x:c r="L113" s="11" t="n">
        <x:f>SUM(SalesLines!S263,SalesLines!S264,SalesLines!S265)</x:f>
        <x:v>0</x:v>
      </x:c>
      <x:c r="M113" s="8" t="n">
        <x:f>DATE(YEAR(C113),MONTH(C113),1)</x:f>
        <x:v>45992</x:v>
      </x:c>
    </x:row>
    <x:row r="114" ht="22" customHeight="1">
      <x:c r="A114" s="2" t="str">
        <x:v>O00110</x:v>
      </x:c>
      <x:c r="B114" s="2" t="str">
        <x:v>C0025</x:v>
      </x:c>
      <x:c r="C114" s="7" t="n">
        <x:v>45866</x:v>
      </x:c>
      <x:c r="D114" s="2" t="str">
        <x:v>Completed</x:v>
      </x:c>
      <x:c r="E114" s="2" t="str">
        <x:v>East</x:v>
      </x:c>
      <x:c r="F114" s="2" t="str">
        <x:v>Online</x:v>
      </x:c>
      <x:c r="G114" s="9" t="n">
        <x:f>SUM(SalesLines!Q266,SalesLines!Q267)</x:f>
        <x:v>1603.8</x:v>
      </x:c>
      <x:c r="H114" s="9" t="n">
        <x:f>SUM(SalesLines!M266,SalesLines!M267)</x:f>
        <x:v>1782</x:v>
      </x:c>
      <x:c r="I114" s="9" t="n">
        <x:f>SUM(SalesLines!N266,SalesLines!N267)</x:f>
        <x:v>178.2</x:v>
      </x:c>
      <x:c r="J114" s="9" t="n">
        <x:f>SUM(SalesLines!P266,SalesLines!P267)</x:f>
        <x:v>0</x:v>
      </x:c>
      <x:c r="K114" s="11" t="n">
        <x:f>SUM(SalesLines!R266,SalesLines!R267)</x:f>
        <x:v>9</x:v>
      </x:c>
      <x:c r="L114" s="11" t="n">
        <x:f>SUM(SalesLines!S266,SalesLines!S267)</x:f>
        <x:v>0</x:v>
      </x:c>
      <x:c r="M114" s="8" t="n">
        <x:f>DATE(YEAR(C114),MONTH(C114),1)</x:f>
        <x:v>45839</x:v>
      </x:c>
    </x:row>
    <x:row r="115" ht="22" customHeight="1">
      <x:c r="A115" s="2" t="str">
        <x:v>O00111</x:v>
      </x:c>
      <x:c r="B115" s="2" t="str">
        <x:v>C0084</x:v>
      </x:c>
      <x:c r="C115" s="7" t="n">
        <x:v>45673</x:v>
      </x:c>
      <x:c r="D115" s="2" t="str">
        <x:v>Completed</x:v>
      </x:c>
      <x:c r="E115" s="2" t="str">
        <x:v>West</x:v>
      </x:c>
      <x:c r="F115" s="2" t="str">
        <x:v>Online</x:v>
      </x:c>
      <x:c r="G115" s="9" t="n">
        <x:f>SUM(SalesLines!Q268)</x:f>
        <x:v>1022.2</x:v>
      </x:c>
      <x:c r="H115" s="9" t="n">
        <x:f>SUM(SalesLines!M268)</x:f>
        <x:v>1076</x:v>
      </x:c>
      <x:c r="I115" s="9" t="n">
        <x:f>SUM(SalesLines!N268)</x:f>
        <x:v>53.800000000000004</x:v>
      </x:c>
      <x:c r="J115" s="9" t="n">
        <x:f>SUM(SalesLines!P268)</x:f>
        <x:v>0</x:v>
      </x:c>
      <x:c r="K115" s="11" t="n">
        <x:f>SUM(SalesLines!R268)</x:f>
        <x:v>4</x:v>
      </x:c>
      <x:c r="L115" s="11" t="n">
        <x:f>SUM(SalesLines!S268)</x:f>
        <x:v>0</x:v>
      </x:c>
      <x:c r="M115" s="8" t="n">
        <x:f>DATE(YEAR(C115),MONTH(C115),1)</x:f>
        <x:v>45658</x:v>
      </x:c>
    </x:row>
    <x:row r="116" ht="22" customHeight="1">
      <x:c r="A116" s="2" t="str">
        <x:v>O00112</x:v>
      </x:c>
      <x:c r="B116" s="2" t="str">
        <x:v>C0107</x:v>
      </x:c>
      <x:c r="C116" s="7" t="n">
        <x:v>45953</x:v>
      </x:c>
      <x:c r="D116" s="2" t="str">
        <x:v>Completed</x:v>
      </x:c>
      <x:c r="E116" s="2" t="str">
        <x:v>South</x:v>
      </x:c>
      <x:c r="F116" s="2" t="str">
        <x:v>Online</x:v>
      </x:c>
      <x:c r="G116" s="9" t="n">
        <x:f>SUM(SalesLines!Q269,SalesLines!Q270)</x:f>
        <x:v>748.8</x:v>
      </x:c>
      <x:c r="H116" s="9" t="n">
        <x:f>SUM(SalesLines!M269,SalesLines!M270)</x:f>
        <x:v>832</x:v>
      </x:c>
      <x:c r="I116" s="9" t="n">
        <x:f>SUM(SalesLines!N269,SalesLines!N270)</x:f>
        <x:v>83.2</x:v>
      </x:c>
      <x:c r="J116" s="9" t="n">
        <x:f>SUM(SalesLines!P269,SalesLines!P270)</x:f>
        <x:v>0</x:v>
      </x:c>
      <x:c r="K116" s="11" t="n">
        <x:f>SUM(SalesLines!R269,SalesLines!R270)</x:f>
        <x:v>6</x:v>
      </x:c>
      <x:c r="L116" s="11" t="n">
        <x:f>SUM(SalesLines!S269,SalesLines!S270)</x:f>
        <x:v>0</x:v>
      </x:c>
      <x:c r="M116" s="8" t="n">
        <x:f>DATE(YEAR(C116),MONTH(C116),1)</x:f>
        <x:v>45931</x:v>
      </x:c>
    </x:row>
    <x:row r="117" ht="22" customHeight="1">
      <x:c r="A117" s="2" t="str">
        <x:v>O00113</x:v>
      </x:c>
      <x:c r="B117" s="2" t="str">
        <x:v>C0026</x:v>
      </x:c>
      <x:c r="C117" s="7" t="n">
        <x:v>45834</x:v>
      </x:c>
      <x:c r="D117" s="2" t="str">
        <x:v>Completed</x:v>
      </x:c>
      <x:c r="E117" s="2" t="str">
        <x:v>South</x:v>
      </x:c>
      <x:c r="F117" s="2" t="str">
        <x:v>Store</x:v>
      </x:c>
      <x:c r="G117" s="9" t="n">
        <x:f>SUM(SalesLines!Q271,SalesLines!Q272)</x:f>
        <x:v>1290</x:v>
      </x:c>
      <x:c r="H117" s="9" t="n">
        <x:f>SUM(SalesLines!M271,SalesLines!M272)</x:f>
        <x:v>1500</x:v>
      </x:c>
      <x:c r="I117" s="9" t="n">
        <x:f>SUM(SalesLines!N271,SalesLines!N272)</x:f>
        <x:v>210</x:v>
      </x:c>
      <x:c r="J117" s="9" t="n">
        <x:f>SUM(SalesLines!P271,SalesLines!P272)</x:f>
        <x:v>0</x:v>
      </x:c>
      <x:c r="K117" s="11" t="n">
        <x:f>SUM(SalesLines!R271,SalesLines!R272)</x:f>
        <x:v>5</x:v>
      </x:c>
      <x:c r="L117" s="11" t="n">
        <x:f>SUM(SalesLines!S271,SalesLines!S272)</x:f>
        <x:v>0</x:v>
      </x:c>
      <x:c r="M117" s="8" t="n">
        <x:f>DATE(YEAR(C117),MONTH(C117),1)</x:f>
        <x:v>45809</x:v>
      </x:c>
    </x:row>
    <x:row r="118" ht="22" customHeight="1">
      <x:c r="A118" s="2" t="str">
        <x:v>O00114</x:v>
      </x:c>
      <x:c r="B118" s="2" t="str">
        <x:v>C0074</x:v>
      </x:c>
      <x:c r="C118" s="7" t="n">
        <x:v>45684</x:v>
      </x:c>
      <x:c r="D118" s="2" t="str">
        <x:v>Completed</x:v>
      </x:c>
      <x:c r="E118" s="2" t="str">
        <x:v>South</x:v>
      </x:c>
      <x:c r="F118" s="2" t="str">
        <x:v>Online</x:v>
      </x:c>
      <x:c r="G118" s="9" t="n">
        <x:f>SUM(SalesLines!Q273)</x:f>
        <x:v>162</x:v>
      </x:c>
      <x:c r="H118" s="9" t="n">
        <x:f>SUM(SalesLines!M273)</x:f>
        <x:v>162</x:v>
      </x:c>
      <x:c r="I118" s="9" t="n">
        <x:f>SUM(SalesLines!N273)</x:f>
        <x:v>0</x:v>
      </x:c>
      <x:c r="J118" s="9" t="n">
        <x:f>SUM(SalesLines!P273)</x:f>
        <x:v>0</x:v>
      </x:c>
      <x:c r="K118" s="11" t="n">
        <x:f>SUM(SalesLines!R273)</x:f>
        <x:v>2</x:v>
      </x:c>
      <x:c r="L118" s="11" t="n">
        <x:f>SUM(SalesLines!S273)</x:f>
        <x:v>0</x:v>
      </x:c>
      <x:c r="M118" s="8" t="n">
        <x:f>DATE(YEAR(C118),MONTH(C118),1)</x:f>
        <x:v>45658</x:v>
      </x:c>
    </x:row>
    <x:row r="119" ht="22" customHeight="1">
      <x:c r="A119" s="2" t="str">
        <x:v>O00115</x:v>
      </x:c>
      <x:c r="B119" s="2" t="str">
        <x:v>C0052</x:v>
      </x:c>
      <x:c r="C119" s="7" t="n">
        <x:v>45665</x:v>
      </x:c>
      <x:c r="D119" s="2" t="str">
        <x:v>Cancelled</x:v>
      </x:c>
      <x:c r="E119" s="2" t="str">
        <x:v>North</x:v>
      </x:c>
      <x:c r="F119" s="2" t="str">
        <x:v>Online</x:v>
      </x:c>
      <x:c r="G119" s="9" t="n">
        <x:f>SUM(SalesLines!Q274,SalesLines!Q275)</x:f>
        <x:v>0</x:v>
      </x:c>
      <x:c r="H119" s="9" t="n">
        <x:f>SUM(SalesLines!M274,SalesLines!M275)</x:f>
        <x:v>0</x:v>
      </x:c>
      <x:c r="I119" s="9" t="n">
        <x:f>SUM(SalesLines!N274,SalesLines!N275)</x:f>
        <x:v>0</x:v>
      </x:c>
      <x:c r="J119" s="9" t="n">
        <x:f>SUM(SalesLines!P274,SalesLines!P275)</x:f>
        <x:v>0</x:v>
      </x:c>
      <x:c r="K119" s="11" t="n">
        <x:f>SUM(SalesLines!R274,SalesLines!R275)</x:f>
        <x:v>0</x:v>
      </x:c>
      <x:c r="L119" s="11" t="n">
        <x:f>SUM(SalesLines!S274,SalesLines!S275)</x:f>
        <x:v>0</x:v>
      </x:c>
      <x:c r="M119" s="8" t="n">
        <x:f>DATE(YEAR(C119),MONTH(C119),1)</x:f>
        <x:v>45658</x:v>
      </x:c>
    </x:row>
    <x:row r="120" ht="22" customHeight="1">
      <x:c r="A120" s="2" t="str">
        <x:v>O00116</x:v>
      </x:c>
      <x:c r="B120" s="2" t="str">
        <x:v>C0294</x:v>
      </x:c>
      <x:c r="C120" s="7" t="n">
        <x:v>45957</x:v>
      </x:c>
      <x:c r="D120" s="2" t="str">
        <x:v>Completed</x:v>
      </x:c>
      <x:c r="E120" s="2" t="str">
        <x:v>South</x:v>
      </x:c>
      <x:c r="F120" s="2" t="str">
        <x:v>Online</x:v>
      </x:c>
      <x:c r="G120" s="9" t="n">
        <x:f>SUM(SalesLines!Q276,SalesLines!Q277)</x:f>
        <x:v>1367.6</x:v>
      </x:c>
      <x:c r="H120" s="9" t="n">
        <x:f>SUM(SalesLines!M276,SalesLines!M277)</x:f>
        <x:v>1594</x:v>
      </x:c>
      <x:c r="I120" s="9" t="n">
        <x:f>SUM(SalesLines!N276,SalesLines!N277)</x:f>
        <x:v>226.4</x:v>
      </x:c>
      <x:c r="J120" s="9" t="n">
        <x:f>SUM(SalesLines!P276,SalesLines!P277)</x:f>
        <x:v>0</x:v>
      </x:c>
      <x:c r="K120" s="11" t="n">
        <x:f>SUM(SalesLines!R276,SalesLines!R277)</x:f>
        <x:v>9</x:v>
      </x:c>
      <x:c r="L120" s="11" t="n">
        <x:f>SUM(SalesLines!S276,SalesLines!S277)</x:f>
        <x:v>0</x:v>
      </x:c>
      <x:c r="M120" s="8" t="n">
        <x:f>DATE(YEAR(C120),MONTH(C120),1)</x:f>
        <x:v>45931</x:v>
      </x:c>
    </x:row>
    <x:row r="121" ht="22" customHeight="1">
      <x:c r="A121" s="2" t="str">
        <x:v>O00117</x:v>
      </x:c>
      <x:c r="B121" s="2" t="str">
        <x:v>C0288</x:v>
      </x:c>
      <x:c r="C121" s="7" t="n">
        <x:v>45863</x:v>
      </x:c>
      <x:c r="D121" s="2" t="str">
        <x:v>Cancelled</x:v>
      </x:c>
      <x:c r="E121" s="2" t="str">
        <x:v>East</x:v>
      </x:c>
      <x:c r="F121" s="2" t="str">
        <x:v>Online</x:v>
      </x:c>
      <x:c r="G121" s="9" t="n">
        <x:f>SUM(SalesLines!Q278,SalesLines!Q279,SalesLines!Q280)</x:f>
        <x:v>0</x:v>
      </x:c>
      <x:c r="H121" s="9" t="n">
        <x:f>SUM(SalesLines!M278,SalesLines!M279,SalesLines!M280)</x:f>
        <x:v>0</x:v>
      </x:c>
      <x:c r="I121" s="9" t="n">
        <x:f>SUM(SalesLines!N278,SalesLines!N279,SalesLines!N280)</x:f>
        <x:v>0</x:v>
      </x:c>
      <x:c r="J121" s="9" t="n">
        <x:f>SUM(SalesLines!P278,SalesLines!P279,SalesLines!P280)</x:f>
        <x:v>0</x:v>
      </x:c>
      <x:c r="K121" s="11" t="n">
        <x:f>SUM(SalesLines!R278,SalesLines!R279,SalesLines!R280)</x:f>
        <x:v>0</x:v>
      </x:c>
      <x:c r="L121" s="11" t="n">
        <x:f>SUM(SalesLines!S278,SalesLines!S279,SalesLines!S280)</x:f>
        <x:v>0</x:v>
      </x:c>
      <x:c r="M121" s="8" t="n">
        <x:f>DATE(YEAR(C121),MONTH(C121),1)</x:f>
        <x:v>45839</x:v>
      </x:c>
    </x:row>
    <x:row r="122" ht="22" customHeight="1">
      <x:c r="A122" s="2" t="str">
        <x:v>O00118</x:v>
      </x:c>
      <x:c r="B122" s="2" t="str">
        <x:v>C0027</x:v>
      </x:c>
      <x:c r="C122" s="7" t="n">
        <x:v>45866</x:v>
      </x:c>
      <x:c r="D122" s="2" t="str">
        <x:v>Completed</x:v>
      </x:c>
      <x:c r="E122" s="2" t="str">
        <x:v>North</x:v>
      </x:c>
      <x:c r="F122" s="2" t="str">
        <x:v>Store</x:v>
      </x:c>
      <x:c r="G122" s="9" t="n">
        <x:f>SUM(SalesLines!Q281)</x:f>
        <x:v>949.5</x:v>
      </x:c>
      <x:c r="H122" s="9" t="n">
        <x:f>SUM(SalesLines!M281)</x:f>
        <x:v>1055</x:v>
      </x:c>
      <x:c r="I122" s="9" t="n">
        <x:f>SUM(SalesLines!N281)</x:f>
        <x:v>105.5</x:v>
      </x:c>
      <x:c r="J122" s="9" t="n">
        <x:f>SUM(SalesLines!P281)</x:f>
        <x:v>0</x:v>
      </x:c>
      <x:c r="K122" s="11" t="n">
        <x:f>SUM(SalesLines!R281)</x:f>
        <x:v>5</x:v>
      </x:c>
      <x:c r="L122" s="11" t="n">
        <x:f>SUM(SalesLines!S281)</x:f>
        <x:v>0</x:v>
      </x:c>
      <x:c r="M122" s="8" t="n">
        <x:f>DATE(YEAR(C122),MONTH(C122),1)</x:f>
        <x:v>45839</x:v>
      </x:c>
    </x:row>
    <x:row r="123" ht="22" customHeight="1">
      <x:c r="A123" s="2" t="str">
        <x:v>O00119</x:v>
      </x:c>
      <x:c r="B123" s="2" t="str">
        <x:v>C0054</x:v>
      </x:c>
      <x:c r="C123" s="7" t="n">
        <x:v>45837</x:v>
      </x:c>
      <x:c r="D123" s="2" t="str">
        <x:v>Completed</x:v>
      </x:c>
      <x:c r="E123" s="2" t="str">
        <x:v>East</x:v>
      </x:c>
      <x:c r="F123" s="2" t="str">
        <x:v>Online</x:v>
      </x:c>
      <x:c r="G123" s="9" t="n">
        <x:f>SUM(SalesLines!Q282,SalesLines!Q283,SalesLines!Q284)</x:f>
        <x:v>1668.9</x:v>
      </x:c>
      <x:c r="H123" s="9" t="n">
        <x:f>SUM(SalesLines!M282,SalesLines!M283,SalesLines!M284)</x:f>
        <x:v>2188</x:v>
      </x:c>
      <x:c r="I123" s="9" t="n">
        <x:f>SUM(SalesLines!N282,SalesLines!N283,SalesLines!N284)</x:f>
        <x:v>334.3</x:v>
      </x:c>
      <x:c r="J123" s="9" t="n">
        <x:f>SUM(SalesLines!P282,SalesLines!P283,SalesLines!P284)</x:f>
        <x:v>184.8</x:v>
      </x:c>
      <x:c r="K123" s="11" t="n">
        <x:f>SUM(SalesLines!R282,SalesLines!R283,SalesLines!R284)</x:f>
        <x:v>11</x:v>
      </x:c>
      <x:c r="L123" s="11" t="n">
        <x:f>SUM(SalesLines!S282,SalesLines!S283,SalesLines!S284)</x:f>
        <x:v>1</x:v>
      </x:c>
      <x:c r="M123" s="8" t="n">
        <x:f>DATE(YEAR(C123),MONTH(C123),1)</x:f>
        <x:v>45809</x:v>
      </x:c>
    </x:row>
    <x:row r="124" ht="22" customHeight="1">
      <x:c r="A124" s="2" t="str">
        <x:v>O00120</x:v>
      </x:c>
      <x:c r="B124" s="2" t="str">
        <x:v>C0102</x:v>
      </x:c>
      <x:c r="C124" s="7" t="n">
        <x:v>45923</x:v>
      </x:c>
      <x:c r="D124" s="2" t="str">
        <x:v>Completed</x:v>
      </x:c>
      <x:c r="E124" s="2" t="str">
        <x:v>North</x:v>
      </x:c>
      <x:c r="F124" s="2" t="str">
        <x:v>Online</x:v>
      </x:c>
      <x:c r="G124" s="9" t="n">
        <x:f>SUM(SalesLines!Q285,SalesLines!Q286)</x:f>
        <x:v>1032.8</x:v>
      </x:c>
      <x:c r="H124" s="9" t="n">
        <x:f>SUM(SalesLines!M285,SalesLines!M286)</x:f>
        <x:v>1150</x:v>
      </x:c>
      <x:c r="I124" s="9" t="n">
        <x:f>SUM(SalesLines!N285,SalesLines!N286)</x:f>
        <x:v>117.20000000000002</x:v>
      </x:c>
      <x:c r="J124" s="9" t="n">
        <x:f>SUM(SalesLines!P285,SalesLines!P286)</x:f>
        <x:v>0</x:v>
      </x:c>
      <x:c r="K124" s="11" t="n">
        <x:f>SUM(SalesLines!R285,SalesLines!R286)</x:f>
        <x:v>6</x:v>
      </x:c>
      <x:c r="L124" s="11" t="n">
        <x:f>SUM(SalesLines!S285,SalesLines!S286)</x:f>
        <x:v>0</x:v>
      </x:c>
      <x:c r="M124" s="8" t="n">
        <x:f>DATE(YEAR(C124),MONTH(C124),1)</x:f>
        <x:v>45901</x:v>
      </x:c>
    </x:row>
    <x:row r="125" ht="22" customHeight="1">
      <x:c r="A125" s="2" t="str">
        <x:v>O00121</x:v>
      </x:c>
      <x:c r="B125" s="2" t="str">
        <x:v>C0136</x:v>
      </x:c>
      <x:c r="C125" s="7" t="n">
        <x:v>45730</x:v>
      </x:c>
      <x:c r="D125" s="2" t="str">
        <x:v>Completed</x:v>
      </x:c>
      <x:c r="E125" s="2" t="str">
        <x:v>West</x:v>
      </x:c>
      <x:c r="F125" s="2" t="str">
        <x:v>Online</x:v>
      </x:c>
      <x:c r="G125" s="9" t="n">
        <x:f>SUM(SalesLines!Q287,SalesLines!Q288)</x:f>
        <x:v>1100.4</x:v>
      </x:c>
      <x:c r="H125" s="9" t="n">
        <x:f>SUM(SalesLines!M287,SalesLines!M288)</x:f>
        <x:v>1208</x:v>
      </x:c>
      <x:c r="I125" s="9" t="n">
        <x:f>SUM(SalesLines!N287,SalesLines!N288)</x:f>
        <x:v>107.60000000000001</x:v>
      </x:c>
      <x:c r="J125" s="9" t="n">
        <x:f>SUM(SalesLines!P287,SalesLines!P288)</x:f>
        <x:v>0</x:v>
      </x:c>
      <x:c r="K125" s="11" t="n">
        <x:f>SUM(SalesLines!R287,SalesLines!R288)</x:f>
        <x:v>7</x:v>
      </x:c>
      <x:c r="L125" s="11" t="n">
        <x:f>SUM(SalesLines!S287,SalesLines!S288)</x:f>
        <x:v>0</x:v>
      </x:c>
      <x:c r="M125" s="8" t="n">
        <x:f>DATE(YEAR(C125),MONTH(C125),1)</x:f>
        <x:v>45717</x:v>
      </x:c>
    </x:row>
    <x:row r="126" ht="22" customHeight="1">
      <x:c r="A126" s="2" t="str">
        <x:v>O00122</x:v>
      </x:c>
      <x:c r="B126" s="2" t="str">
        <x:v>C0094</x:v>
      </x:c>
      <x:c r="C126" s="7" t="n">
        <x:v>45869</x:v>
      </x:c>
      <x:c r="D126" s="2" t="str">
        <x:v>Completed</x:v>
      </x:c>
      <x:c r="E126" s="2" t="str">
        <x:v>West</x:v>
      </x:c>
      <x:c r="F126" s="2" t="str">
        <x:v>Store</x:v>
      </x:c>
      <x:c r="G126" s="9" t="n">
        <x:f>SUM(SalesLines!Q289,SalesLines!Q290,SalesLines!Q291,SalesLines!Q292)</x:f>
        <x:v>2464.2</x:v>
      </x:c>
      <x:c r="H126" s="9" t="n">
        <x:f>SUM(SalesLines!M289,SalesLines!M290,SalesLines!M291,SalesLines!M292)</x:f>
        <x:v>2769</x:v>
      </x:c>
      <x:c r="I126" s="9" t="n">
        <x:f>SUM(SalesLines!N289,SalesLines!N290,SalesLines!N291,SalesLines!N292)</x:f>
        <x:v>304.8</x:v>
      </x:c>
      <x:c r="J126" s="9" t="n">
        <x:f>SUM(SalesLines!P289,SalesLines!P290,SalesLines!P291,SalesLines!P292)</x:f>
        <x:v>0</x:v>
      </x:c>
      <x:c r="K126" s="11" t="n">
        <x:f>SUM(SalesLines!R289,SalesLines!R290,SalesLines!R291,SalesLines!R292)</x:f>
        <x:v>18</x:v>
      </x:c>
      <x:c r="L126" s="11" t="n">
        <x:f>SUM(SalesLines!S289,SalesLines!S290,SalesLines!S291,SalesLines!S292)</x:f>
        <x:v>0</x:v>
      </x:c>
      <x:c r="M126" s="8" t="n">
        <x:f>DATE(YEAR(C126),MONTH(C126),1)</x:f>
        <x:v>45839</x:v>
      </x:c>
    </x:row>
    <x:row r="127" ht="22" customHeight="1">
      <x:c r="A127" s="2" t="str">
        <x:v>O00123</x:v>
      </x:c>
      <x:c r="B127" s="2" t="str">
        <x:v>C0120</x:v>
      </x:c>
      <x:c r="C127" s="7" t="n">
        <x:v>45837</x:v>
      </x:c>
      <x:c r="D127" s="2" t="str">
        <x:v>Completed</x:v>
      </x:c>
      <x:c r="E127" s="2" t="str">
        <x:v>South</x:v>
      </x:c>
      <x:c r="F127" s="2" t="str">
        <x:v>Online</x:v>
      </x:c>
      <x:c r="G127" s="9" t="n">
        <x:f>SUM(SalesLines!Q293,SalesLines!Q294,SalesLines!Q295,SalesLines!Q296)</x:f>
        <x:v>1764.9999999999998</x:v>
      </x:c>
      <x:c r="H127" s="9" t="n">
        <x:f>SUM(SalesLines!M293,SalesLines!M294,SalesLines!M295,SalesLines!M296)</x:f>
        <x:v>1931</x:v>
      </x:c>
      <x:c r="I127" s="9" t="n">
        <x:f>SUM(SalesLines!N293,SalesLines!N294,SalesLines!N295,SalesLines!N296)</x:f>
        <x:v>166</x:v>
      </x:c>
      <x:c r="J127" s="9" t="n">
        <x:f>SUM(SalesLines!P293,SalesLines!P294,SalesLines!P295,SalesLines!P296)</x:f>
        <x:v>0</x:v>
      </x:c>
      <x:c r="K127" s="11" t="n">
        <x:f>SUM(SalesLines!R293,SalesLines!R294,SalesLines!R295,SalesLines!R296)</x:f>
        <x:v>13</x:v>
      </x:c>
      <x:c r="L127" s="11" t="n">
        <x:f>SUM(SalesLines!S293,SalesLines!S294,SalesLines!S295,SalesLines!S296)</x:f>
        <x:v>0</x:v>
      </x:c>
      <x:c r="M127" s="8" t="n">
        <x:f>DATE(YEAR(C127),MONTH(C127),1)</x:f>
        <x:v>45809</x:v>
      </x:c>
    </x:row>
    <x:row r="128" ht="22" customHeight="1">
      <x:c r="A128" s="2" t="str">
        <x:v>O00124</x:v>
      </x:c>
      <x:c r="B128" s="2" t="str">
        <x:v>C0161</x:v>
      </x:c>
      <x:c r="C128" s="7" t="n">
        <x:v>45759</x:v>
      </x:c>
      <x:c r="D128" s="2" t="str">
        <x:v>Completed</x:v>
      </x:c>
      <x:c r="E128" s="2" t="str">
        <x:v>West</x:v>
      </x:c>
      <x:c r="F128" s="2" t="str">
        <x:v>Online</x:v>
      </x:c>
      <x:c r="G128" s="9" t="n">
        <x:f>SUM(SalesLines!Q297,SalesLines!Q298,SalesLines!Q299)</x:f>
        <x:v>1808.4</x:v>
      </x:c>
      <x:c r="H128" s="9" t="n">
        <x:f>SUM(SalesLines!M297,SalesLines!M298,SalesLines!M299)</x:f>
        <x:v>1992</x:v>
      </x:c>
      <x:c r="I128" s="9" t="n">
        <x:f>SUM(SalesLines!N297,SalesLines!N298,SalesLines!N299)</x:f>
        <x:v>183.6</x:v>
      </x:c>
      <x:c r="J128" s="9" t="n">
        <x:f>SUM(SalesLines!P297,SalesLines!P298,SalesLines!P299)</x:f>
        <x:v>0</x:v>
      </x:c>
      <x:c r="K128" s="11" t="n">
        <x:f>SUM(SalesLines!R297,SalesLines!R298,SalesLines!R299)</x:f>
        <x:v>13</x:v>
      </x:c>
      <x:c r="L128" s="11" t="n">
        <x:f>SUM(SalesLines!S297,SalesLines!S298,SalesLines!S299)</x:f>
        <x:v>0</x:v>
      </x:c>
      <x:c r="M128" s="8" t="n">
        <x:f>DATE(YEAR(C128),MONTH(C128),1)</x:f>
        <x:v>45748</x:v>
      </x:c>
    </x:row>
    <x:row r="129" ht="22" customHeight="1">
      <x:c r="A129" s="2" t="str">
        <x:v>O00125</x:v>
      </x:c>
      <x:c r="B129" s="2" t="str">
        <x:v>C0169</x:v>
      </x:c>
      <x:c r="C129" s="7" t="n">
        <x:v>45680</x:v>
      </x:c>
      <x:c r="D129" s="2" t="str">
        <x:v>Completed</x:v>
      </x:c>
      <x:c r="E129" s="2" t="str">
        <x:v>North</x:v>
      </x:c>
      <x:c r="F129" s="2" t="str">
        <x:v>Store</x:v>
      </x:c>
      <x:c r="G129" s="9" t="n">
        <x:f>SUM(SalesLines!Q300,SalesLines!Q301)</x:f>
        <x:v>1386.9</x:v>
      </x:c>
      <x:c r="H129" s="9" t="n">
        <x:f>SUM(SalesLines!M300,SalesLines!M301)</x:f>
        <x:v>1541</x:v>
      </x:c>
      <x:c r="I129" s="9" t="n">
        <x:f>SUM(SalesLines!N300,SalesLines!N301)</x:f>
        <x:v>154.1</x:v>
      </x:c>
      <x:c r="J129" s="9" t="n">
        <x:f>SUM(SalesLines!P300,SalesLines!P301)</x:f>
        <x:v>0</x:v>
      </x:c>
      <x:c r="K129" s="11" t="n">
        <x:f>SUM(SalesLines!R300,SalesLines!R301)</x:f>
        <x:v>6</x:v>
      </x:c>
      <x:c r="L129" s="11" t="n">
        <x:f>SUM(SalesLines!S300,SalesLines!S301)</x:f>
        <x:v>0</x:v>
      </x:c>
      <x:c r="M129" s="8" t="n">
        <x:f>DATE(YEAR(C129),MONTH(C129),1)</x:f>
        <x:v>45658</x:v>
      </x:c>
    </x:row>
    <x:row r="130" ht="22" customHeight="1">
      <x:c r="A130" s="2" t="str">
        <x:v>O00126</x:v>
      </x:c>
      <x:c r="B130" s="2" t="str">
        <x:v>C0208</x:v>
      </x:c>
      <x:c r="C130" s="7" t="n">
        <x:v>45929</x:v>
      </x:c>
      <x:c r="D130" s="2" t="str">
        <x:v>Completed</x:v>
      </x:c>
      <x:c r="E130" s="2" t="str">
        <x:v>East</x:v>
      </x:c>
      <x:c r="F130" s="2" t="str">
        <x:v>Store</x:v>
      </x:c>
      <x:c r="G130" s="9" t="n">
        <x:f>SUM(SalesLines!Q302,SalesLines!Q303,SalesLines!Q304)</x:f>
        <x:v>1771.6</x:v>
      </x:c>
      <x:c r="H130" s="9" t="n">
        <x:f>SUM(SalesLines!M302,SalesLines!M303,SalesLines!M304)</x:f>
        <x:v>2028</x:v>
      </x:c>
      <x:c r="I130" s="9" t="n">
        <x:f>SUM(SalesLines!N302,SalesLines!N303,SalesLines!N304)</x:f>
        <x:v>256.4</x:v>
      </x:c>
      <x:c r="J130" s="9" t="n">
        <x:f>SUM(SalesLines!P302,SalesLines!P303,SalesLines!P304)</x:f>
        <x:v>0</x:v>
      </x:c>
      <x:c r="K130" s="11" t="n">
        <x:f>SUM(SalesLines!R302,SalesLines!R303,SalesLines!R304)</x:f>
        <x:v>12</x:v>
      </x:c>
      <x:c r="L130" s="11" t="n">
        <x:f>SUM(SalesLines!S302,SalesLines!S303,SalesLines!S304)</x:f>
        <x:v>0</x:v>
      </x:c>
      <x:c r="M130" s="8" t="n">
        <x:f>DATE(YEAR(C130),MONTH(C130),1)</x:f>
        <x:v>45901</x:v>
      </x:c>
    </x:row>
    <x:row r="131" ht="22" customHeight="1">
      <x:c r="A131" s="2" t="str">
        <x:v>O00127</x:v>
      </x:c>
      <x:c r="B131" s="2" t="str">
        <x:v>C0121</x:v>
      </x:c>
      <x:c r="C131" s="7" t="n">
        <x:v>45780</x:v>
      </x:c>
      <x:c r="D131" s="2" t="str">
        <x:v>Cancelled</x:v>
      </x:c>
      <x:c r="E131" s="2" t="str">
        <x:v>West</x:v>
      </x:c>
      <x:c r="F131" s="2" t="str">
        <x:v>Store</x:v>
      </x:c>
      <x:c r="G131" s="9" t="n">
        <x:f>SUM(SalesLines!Q305,SalesLines!Q306,SalesLines!Q307)</x:f>
        <x:v>0</x:v>
      </x:c>
      <x:c r="H131" s="9" t="n">
        <x:f>SUM(SalesLines!M305,SalesLines!M306,SalesLines!M307)</x:f>
        <x:v>0</x:v>
      </x:c>
      <x:c r="I131" s="9" t="n">
        <x:f>SUM(SalesLines!N305,SalesLines!N306,SalesLines!N307)</x:f>
        <x:v>0</x:v>
      </x:c>
      <x:c r="J131" s="9" t="n">
        <x:f>SUM(SalesLines!P305,SalesLines!P306,SalesLines!P307)</x:f>
        <x:v>0</x:v>
      </x:c>
      <x:c r="K131" s="11" t="n">
        <x:f>SUM(SalesLines!R305,SalesLines!R306,SalesLines!R307)</x:f>
        <x:v>0</x:v>
      </x:c>
      <x:c r="L131" s="11" t="n">
        <x:f>SUM(SalesLines!S305,SalesLines!S306,SalesLines!S307)</x:f>
        <x:v>0</x:v>
      </x:c>
      <x:c r="M131" s="8" t="n">
        <x:f>DATE(YEAR(C131),MONTH(C131),1)</x:f>
        <x:v>45778</x:v>
      </x:c>
    </x:row>
    <x:row r="132" ht="22" customHeight="1">
      <x:c r="A132" s="2" t="str">
        <x:v>O00128</x:v>
      </x:c>
      <x:c r="B132" s="2" t="str">
        <x:v>C0219</x:v>
      </x:c>
      <x:c r="C132" s="7" t="n">
        <x:v>45881</x:v>
      </x:c>
      <x:c r="D132" s="2" t="str">
        <x:v>Cancelled</x:v>
      </x:c>
      <x:c r="E132" s="2" t="str">
        <x:v>East</x:v>
      </x:c>
      <x:c r="F132" s="2" t="str">
        <x:v>Store</x:v>
      </x:c>
      <x:c r="G132" s="9" t="n">
        <x:f>SUM(SalesLines!Q308)</x:f>
        <x:v>0</x:v>
      </x:c>
      <x:c r="H132" s="9" t="n">
        <x:f>SUM(SalesLines!M308)</x:f>
        <x:v>0</x:v>
      </x:c>
      <x:c r="I132" s="9" t="n">
        <x:f>SUM(SalesLines!N308)</x:f>
        <x:v>0</x:v>
      </x:c>
      <x:c r="J132" s="9" t="n">
        <x:f>SUM(SalesLines!P308)</x:f>
        <x:v>0</x:v>
      </x:c>
      <x:c r="K132" s="11" t="n">
        <x:f>SUM(SalesLines!R308)</x:f>
        <x:v>0</x:v>
      </x:c>
      <x:c r="L132" s="11" t="n">
        <x:f>SUM(SalesLines!S308)</x:f>
        <x:v>0</x:v>
      </x:c>
      <x:c r="M132" s="8" t="n">
        <x:f>DATE(YEAR(C132),MONTH(C132),1)</x:f>
        <x:v>45870</x:v>
      </x:c>
    </x:row>
    <x:row r="133" ht="22" customHeight="1">
      <x:c r="A133" s="2" t="str">
        <x:v>O00129</x:v>
      </x:c>
      <x:c r="B133" s="2" t="str">
        <x:v>C0134</x:v>
      </x:c>
      <x:c r="C133" s="7" t="n">
        <x:v>45711</x:v>
      </x:c>
      <x:c r="D133" s="2" t="str">
        <x:v>Cancelled</x:v>
      </x:c>
      <x:c r="E133" s="2" t="str">
        <x:v>North</x:v>
      </x:c>
      <x:c r="F133" s="2" t="str">
        <x:v>Store</x:v>
      </x:c>
      <x:c r="G133" s="9" t="n">
        <x:f>SUM(SalesLines!Q309,SalesLines!Q310,SalesLines!Q311)</x:f>
        <x:v>0</x:v>
      </x:c>
      <x:c r="H133" s="9" t="n">
        <x:f>SUM(SalesLines!M309,SalesLines!M310,SalesLines!M311)</x:f>
        <x:v>0</x:v>
      </x:c>
      <x:c r="I133" s="9" t="n">
        <x:f>SUM(SalesLines!N309,SalesLines!N310,SalesLines!N311)</x:f>
        <x:v>0</x:v>
      </x:c>
      <x:c r="J133" s="9" t="n">
        <x:f>SUM(SalesLines!P309,SalesLines!P310,SalesLines!P311)</x:f>
        <x:v>0</x:v>
      </x:c>
      <x:c r="K133" s="11" t="n">
        <x:f>SUM(SalesLines!R309,SalesLines!R310,SalesLines!R311)</x:f>
        <x:v>0</x:v>
      </x:c>
      <x:c r="L133" s="11" t="n">
        <x:f>SUM(SalesLines!S309,SalesLines!S310,SalesLines!S311)</x:f>
        <x:v>0</x:v>
      </x:c>
      <x:c r="M133" s="8" t="n">
        <x:f>DATE(YEAR(C133),MONTH(C133),1)</x:f>
        <x:v>45689</x:v>
      </x:c>
    </x:row>
    <x:row r="134" ht="22" customHeight="1">
      <x:c r="A134" s="2" t="str">
        <x:v>O00130</x:v>
      </x:c>
      <x:c r="B134" s="2" t="str">
        <x:v>C0005</x:v>
      </x:c>
      <x:c r="C134" s="7" t="n">
        <x:v>45921</x:v>
      </x:c>
      <x:c r="D134" s="2" t="str">
        <x:v>Completed</x:v>
      </x:c>
      <x:c r="E134" s="2" t="str">
        <x:v>South</x:v>
      </x:c>
      <x:c r="F134" s="2" t="str">
        <x:v>Store</x:v>
      </x:c>
      <x:c r="G134" s="9" t="n">
        <x:f>SUM(SalesLines!Q312,SalesLines!Q313,SalesLines!Q314,SalesLines!Q315)</x:f>
        <x:v>2475.3999999999996</x:v>
      </x:c>
      <x:c r="H134" s="9" t="n">
        <x:f>SUM(SalesLines!M312,SalesLines!M313,SalesLines!M314,SalesLines!M315)</x:f>
        <x:v>2904</x:v>
      </x:c>
      <x:c r="I134" s="9" t="n">
        <x:f>SUM(SalesLines!N312,SalesLines!N313,SalesLines!N314,SalesLines!N315)</x:f>
        <x:v>242.40000000000003</x:v>
      </x:c>
      <x:c r="J134" s="9" t="n">
        <x:f>SUM(SalesLines!P312,SalesLines!P313,SalesLines!P314,SalesLines!P315)</x:f>
        <x:v>186.2</x:v>
      </x:c>
      <x:c r="K134" s="11" t="n">
        <x:f>SUM(SalesLines!R312,SalesLines!R313,SalesLines!R314,SalesLines!R315)</x:f>
        <x:v>14</x:v>
      </x:c>
      <x:c r="L134" s="11" t="n">
        <x:f>SUM(SalesLines!S312,SalesLines!S313,SalesLines!S314,SalesLines!S315)</x:f>
        <x:v>1</x:v>
      </x:c>
      <x:c r="M134" s="8" t="n">
        <x:f>DATE(YEAR(C134),MONTH(C134),1)</x:f>
        <x:v>45901</x:v>
      </x:c>
    </x:row>
    <x:row r="135" ht="22" customHeight="1">
      <x:c r="A135" s="2" t="str">
        <x:v>O00131</x:v>
      </x:c>
      <x:c r="B135" s="2" t="str">
        <x:v>C0293</x:v>
      </x:c>
      <x:c r="C135" s="7" t="n">
        <x:v>45771</x:v>
      </x:c>
      <x:c r="D135" s="2" t="str">
        <x:v>Completed</x:v>
      </x:c>
      <x:c r="E135" s="2" t="str">
        <x:v>North</x:v>
      </x:c>
      <x:c r="F135" s="2" t="str">
        <x:v>Store</x:v>
      </x:c>
      <x:c r="G135" s="9" t="n">
        <x:f>SUM(SalesLines!Q316,SalesLines!Q317,SalesLines!Q318)</x:f>
        <x:v>1021.0500000000001</x:v>
      </x:c>
      <x:c r="H135" s="9" t="n">
        <x:f>SUM(SalesLines!M316,SalesLines!M317,SalesLines!M318)</x:f>
        <x:v>1103</x:v>
      </x:c>
      <x:c r="I135" s="9" t="n">
        <x:f>SUM(SalesLines!N316,SalesLines!N317,SalesLines!N318)</x:f>
        <x:v>81.95000000000002</x:v>
      </x:c>
      <x:c r="J135" s="9" t="n">
        <x:f>SUM(SalesLines!P316,SalesLines!P317,SalesLines!P318)</x:f>
        <x:v>0</x:v>
      </x:c>
      <x:c r="K135" s="11" t="n">
        <x:f>SUM(SalesLines!R316,SalesLines!R317,SalesLines!R318)</x:f>
        <x:v>7</x:v>
      </x:c>
      <x:c r="L135" s="11" t="n">
        <x:f>SUM(SalesLines!S316,SalesLines!S317,SalesLines!S318)</x:f>
        <x:v>0</x:v>
      </x:c>
      <x:c r="M135" s="8" t="n">
        <x:f>DATE(YEAR(C135),MONTH(C135),1)</x:f>
        <x:v>45748</x:v>
      </x:c>
    </x:row>
    <x:row r="136" ht="22" customHeight="1">
      <x:c r="A136" s="2" t="str">
        <x:v>O00132</x:v>
      </x:c>
      <x:c r="B136" s="2" t="str">
        <x:v>C0104</x:v>
      </x:c>
      <x:c r="C136" s="7" t="n">
        <x:v>45842</x:v>
      </x:c>
      <x:c r="D136" s="2" t="str">
        <x:v>Completed</x:v>
      </x:c>
      <x:c r="E136" s="2" t="str">
        <x:v>North</x:v>
      </x:c>
      <x:c r="F136" s="2" t="str">
        <x:v>Online</x:v>
      </x:c>
      <x:c r="G136" s="9" t="n">
        <x:f>SUM(SalesLines!Q319,SalesLines!Q320,SalesLines!Q321,SalesLines!Q322)</x:f>
        <x:v>3018.75</x:v>
      </x:c>
      <x:c r="H136" s="9" t="n">
        <x:f>SUM(SalesLines!M319,SalesLines!M320,SalesLines!M321,SalesLines!M322)</x:f>
        <x:v>3303</x:v>
      </x:c>
      <x:c r="I136" s="9" t="n">
        <x:f>SUM(SalesLines!N319,SalesLines!N320,SalesLines!N321,SalesLines!N322)</x:f>
        <x:v>284.25</x:v>
      </x:c>
      <x:c r="J136" s="9" t="n">
        <x:f>SUM(SalesLines!P319,SalesLines!P320,SalesLines!P321,SalesLines!P322)</x:f>
        <x:v>0</x:v>
      </x:c>
      <x:c r="K136" s="11" t="n">
        <x:f>SUM(SalesLines!R319,SalesLines!R320,SalesLines!R321,SalesLines!R322)</x:f>
        <x:v>13</x:v>
      </x:c>
      <x:c r="L136" s="11" t="n">
        <x:f>SUM(SalesLines!S319,SalesLines!S320,SalesLines!S321,SalesLines!S322)</x:f>
        <x:v>0</x:v>
      </x:c>
      <x:c r="M136" s="8" t="n">
        <x:f>DATE(YEAR(C136),MONTH(C136),1)</x:f>
        <x:v>45839</x:v>
      </x:c>
    </x:row>
    <x:row r="137" ht="22" customHeight="1">
      <x:c r="A137" s="2" t="str">
        <x:v>O00133</x:v>
      </x:c>
      <x:c r="B137" s="2" t="str">
        <x:v>C0260</x:v>
      </x:c>
      <x:c r="C137" s="7" t="n">
        <x:v>45753</x:v>
      </x:c>
      <x:c r="D137" s="2" t="str">
        <x:v>Cancelled</x:v>
      </x:c>
      <x:c r="E137" s="2" t="str">
        <x:v>South</x:v>
      </x:c>
      <x:c r="F137" s="2" t="str">
        <x:v>Online</x:v>
      </x:c>
      <x:c r="G137" s="9" t="n">
        <x:f>SUM(SalesLines!Q323,SalesLines!Q324,SalesLines!Q325,SalesLines!Q326)</x:f>
        <x:v>0</x:v>
      </x:c>
      <x:c r="H137" s="9" t="n">
        <x:f>SUM(SalesLines!M323,SalesLines!M324,SalesLines!M325,SalesLines!M326)</x:f>
        <x:v>0</x:v>
      </x:c>
      <x:c r="I137" s="9" t="n">
        <x:f>SUM(SalesLines!N323,SalesLines!N324,SalesLines!N325,SalesLines!N326)</x:f>
        <x:v>0</x:v>
      </x:c>
      <x:c r="J137" s="9" t="n">
        <x:f>SUM(SalesLines!P323,SalesLines!P324,SalesLines!P325,SalesLines!P326)</x:f>
        <x:v>0</x:v>
      </x:c>
      <x:c r="K137" s="11" t="n">
        <x:f>SUM(SalesLines!R323,SalesLines!R324,SalesLines!R325,SalesLines!R326)</x:f>
        <x:v>0</x:v>
      </x:c>
      <x:c r="L137" s="11" t="n">
        <x:f>SUM(SalesLines!S323,SalesLines!S324,SalesLines!S325,SalesLines!S326)</x:f>
        <x:v>0</x:v>
      </x:c>
      <x:c r="M137" s="8" t="n">
        <x:f>DATE(YEAR(C137),MONTH(C137),1)</x:f>
        <x:v>45748</x:v>
      </x:c>
    </x:row>
    <x:row r="138" ht="22" customHeight="1">
      <x:c r="A138" s="2" t="str">
        <x:v>O00134</x:v>
      </x:c>
      <x:c r="B138" s="2" t="str">
        <x:v>C0222</x:v>
      </x:c>
      <x:c r="C138" s="7" t="n">
        <x:v>45860</x:v>
      </x:c>
      <x:c r="D138" s="2" t="str">
        <x:v>Completed</x:v>
      </x:c>
      <x:c r="E138" s="2" t="str">
        <x:v>East</x:v>
      </x:c>
      <x:c r="F138" s="2" t="str">
        <x:v>Store</x:v>
      </x:c>
      <x:c r="G138" s="9" t="n">
        <x:f>SUM(SalesLines!Q327)</x:f>
        <x:v>120.6</x:v>
      </x:c>
      <x:c r="H138" s="9" t="n">
        <x:f>SUM(SalesLines!M327)</x:f>
        <x:v>134</x:v>
      </x:c>
      <x:c r="I138" s="9" t="n">
        <x:f>SUM(SalesLines!N327)</x:f>
        <x:v>13.4</x:v>
      </x:c>
      <x:c r="J138" s="9" t="n">
        <x:f>SUM(SalesLines!P327)</x:f>
        <x:v>0</x:v>
      </x:c>
      <x:c r="K138" s="11" t="n">
        <x:f>SUM(SalesLines!R327)</x:f>
        <x:v>1</x:v>
      </x:c>
      <x:c r="L138" s="11" t="n">
        <x:f>SUM(SalesLines!S327)</x:f>
        <x:v>0</x:v>
      </x:c>
      <x:c r="M138" s="8" t="n">
        <x:f>DATE(YEAR(C138),MONTH(C138),1)</x:f>
        <x:v>45839</x:v>
      </x:c>
    </x:row>
    <x:row r="139" ht="22" customHeight="1">
      <x:c r="A139" s="2" t="str">
        <x:v>O00135</x:v>
      </x:c>
      <x:c r="B139" s="2" t="str">
        <x:v>C0275</x:v>
      </x:c>
      <x:c r="C139" s="7" t="n">
        <x:v>45805</x:v>
      </x:c>
      <x:c r="D139" s="2" t="str">
        <x:v>Completed</x:v>
      </x:c>
      <x:c r="E139" s="2" t="str">
        <x:v>East</x:v>
      </x:c>
      <x:c r="F139" s="2" t="str">
        <x:v>Online</x:v>
      </x:c>
      <x:c r="G139" s="9" t="n">
        <x:f>SUM(SalesLines!Q328,SalesLines!Q329)</x:f>
        <x:v>1572.95</x:v>
      </x:c>
      <x:c r="H139" s="9" t="n">
        <x:f>SUM(SalesLines!M328,SalesLines!M329)</x:f>
        <x:v>1789</x:v>
      </x:c>
      <x:c r="I139" s="9" t="n">
        <x:f>SUM(SalesLines!N328,SalesLines!N329)</x:f>
        <x:v>216.05</x:v>
      </x:c>
      <x:c r="J139" s="9" t="n">
        <x:f>SUM(SalesLines!P328,SalesLines!P329)</x:f>
        <x:v>0</x:v>
      </x:c>
      <x:c r="K139" s="11" t="n">
        <x:f>SUM(SalesLines!R328,SalesLines!R329)</x:f>
        <x:v>9</x:v>
      </x:c>
      <x:c r="L139" s="11" t="n">
        <x:f>SUM(SalesLines!S328,SalesLines!S329)</x:f>
        <x:v>0</x:v>
      </x:c>
      <x:c r="M139" s="8" t="n">
        <x:f>DATE(YEAR(C139),MONTH(C139),1)</x:f>
        <x:v>45778</x:v>
      </x:c>
    </x:row>
    <x:row r="140" ht="22" customHeight="1">
      <x:c r="A140" s="2" t="str">
        <x:v>O00136</x:v>
      </x:c>
      <x:c r="B140" s="2" t="str">
        <x:v>C0232</x:v>
      </x:c>
      <x:c r="C140" s="7" t="n">
        <x:v>45947</x:v>
      </x:c>
      <x:c r="D140" s="2" t="str">
        <x:v>Completed</x:v>
      </x:c>
      <x:c r="E140" s="2" t="str">
        <x:v>East</x:v>
      </x:c>
      <x:c r="F140" s="2" t="str">
        <x:v>Store</x:v>
      </x:c>
      <x:c r="G140" s="9" t="n">
        <x:f>SUM(SalesLines!Q330,SalesLines!Q331,SalesLines!Q332)</x:f>
        <x:v>1328.35</x:v>
      </x:c>
      <x:c r="H140" s="9" t="n">
        <x:f>SUM(SalesLines!M330,SalesLines!M331,SalesLines!M332)</x:f>
        <x:v>1478</x:v>
      </x:c>
      <x:c r="I140" s="9" t="n">
        <x:f>SUM(SalesLines!N330,SalesLines!N331,SalesLines!N332)</x:f>
        <x:v>149.65</x:v>
      </x:c>
      <x:c r="J140" s="9" t="n">
        <x:f>SUM(SalesLines!P330,SalesLines!P331,SalesLines!P332)</x:f>
        <x:v>0</x:v>
      </x:c>
      <x:c r="K140" s="11" t="n">
        <x:f>SUM(SalesLines!R330,SalesLines!R331,SalesLines!R332)</x:f>
        <x:v>6</x:v>
      </x:c>
      <x:c r="L140" s="11" t="n">
        <x:f>SUM(SalesLines!S330,SalesLines!S331,SalesLines!S332)</x:f>
        <x:v>0</x:v>
      </x:c>
      <x:c r="M140" s="8" t="n">
        <x:f>DATE(YEAR(C140),MONTH(C140),1)</x:f>
        <x:v>45931</x:v>
      </x:c>
    </x:row>
    <x:row r="141" ht="22" customHeight="1">
      <x:c r="A141" s="2" t="str">
        <x:v>O00137</x:v>
      </x:c>
      <x:c r="B141" s="2" t="str">
        <x:v>C0084</x:v>
      </x:c>
      <x:c r="C141" s="7" t="n">
        <x:v>45967</x:v>
      </x:c>
      <x:c r="D141" s="2" t="str">
        <x:v>Completed</x:v>
      </x:c>
      <x:c r="E141" s="2" t="str">
        <x:v>West</x:v>
      </x:c>
      <x:c r="F141" s="2" t="str">
        <x:v>Online</x:v>
      </x:c>
      <x:c r="G141" s="9" t="n">
        <x:f>SUM(SalesLines!Q333,SalesLines!Q334,SalesLines!Q335,SalesLines!Q336)</x:f>
        <x:v>1636.25</x:v>
      </x:c>
      <x:c r="H141" s="9" t="n">
        <x:f>SUM(SalesLines!M333,SalesLines!M334,SalesLines!M335,SalesLines!M336)</x:f>
        <x:v>1699</x:v>
      </x:c>
      <x:c r="I141" s="9" t="n">
        <x:f>SUM(SalesLines!N333,SalesLines!N334,SalesLines!N335,SalesLines!N336)</x:f>
        <x:v>62.75</x:v>
      </x:c>
      <x:c r="J141" s="9" t="n">
        <x:f>SUM(SalesLines!P333,SalesLines!P334,SalesLines!P335,SalesLines!P336)</x:f>
        <x:v>0</x:v>
      </x:c>
      <x:c r="K141" s="11" t="n">
        <x:f>SUM(SalesLines!R333,SalesLines!R334,SalesLines!R335,SalesLines!R336)</x:f>
        <x:v>10</x:v>
      </x:c>
      <x:c r="L141" s="11" t="n">
        <x:f>SUM(SalesLines!S333,SalesLines!S334,SalesLines!S335,SalesLines!S336)</x:f>
        <x:v>0</x:v>
      </x:c>
      <x:c r="M141" s="8" t="n">
        <x:f>DATE(YEAR(C141),MONTH(C141),1)</x:f>
        <x:v>45962</x:v>
      </x:c>
    </x:row>
    <x:row r="142" ht="22" customHeight="1">
      <x:c r="A142" s="2" t="str">
        <x:v>O00138</x:v>
      </x:c>
      <x:c r="B142" s="2" t="str">
        <x:v>C0270</x:v>
      </x:c>
      <x:c r="C142" s="7" t="n">
        <x:v>45905</x:v>
      </x:c>
      <x:c r="D142" s="2" t="str">
        <x:v>Completed</x:v>
      </x:c>
      <x:c r="E142" s="2" t="str">
        <x:v>East</x:v>
      </x:c>
      <x:c r="F142" s="2" t="str">
        <x:v>Store</x:v>
      </x:c>
      <x:c r="G142" s="9" t="n">
        <x:f>SUM(SalesLines!Q337,SalesLines!Q338,SalesLines!Q339,SalesLines!Q340)</x:f>
        <x:v>1405.5</x:v>
      </x:c>
      <x:c r="H142" s="9" t="n">
        <x:f>SUM(SalesLines!M337,SalesLines!M338,SalesLines!M339,SalesLines!M340)</x:f>
        <x:v>1480</x:v>
      </x:c>
      <x:c r="I142" s="9" t="n">
        <x:f>SUM(SalesLines!N337,SalesLines!N338,SalesLines!N339,SalesLines!N340)</x:f>
        <x:v>74.5</x:v>
      </x:c>
      <x:c r="J142" s="9" t="n">
        <x:f>SUM(SalesLines!P337,SalesLines!P338,SalesLines!P339,SalesLines!P340)</x:f>
        <x:v>0</x:v>
      </x:c>
      <x:c r="K142" s="11" t="n">
        <x:f>SUM(SalesLines!R337,SalesLines!R338,SalesLines!R339,SalesLines!R340)</x:f>
        <x:v>8</x:v>
      </x:c>
      <x:c r="L142" s="11" t="n">
        <x:f>SUM(SalesLines!S337,SalesLines!S338,SalesLines!S339,SalesLines!S340)</x:f>
        <x:v>0</x:v>
      </x:c>
      <x:c r="M142" s="8" t="n">
        <x:f>DATE(YEAR(C142),MONTH(C142),1)</x:f>
        <x:v>45901</x:v>
      </x:c>
    </x:row>
    <x:row r="143" ht="22" customHeight="1">
      <x:c r="A143" s="2" t="str">
        <x:v>O00139</x:v>
      </x:c>
      <x:c r="B143" s="2" t="str">
        <x:v>C0162</x:v>
      </x:c>
      <x:c r="C143" s="7" t="n">
        <x:v>45987</x:v>
      </x:c>
      <x:c r="D143" s="2" t="str">
        <x:v>Completed</x:v>
      </x:c>
      <x:c r="E143" s="2" t="str">
        <x:v>South</x:v>
      </x:c>
      <x:c r="F143" s="2" t="str">
        <x:v>Store</x:v>
      </x:c>
      <x:c r="G143" s="9" t="n">
        <x:f>SUM(SalesLines!Q341,SalesLines!Q342,SalesLines!Q343,SalesLines!Q344)</x:f>
        <x:v>2061.6</x:v>
      </x:c>
      <x:c r="H143" s="9" t="n">
        <x:f>SUM(SalesLines!M341,SalesLines!M342,SalesLines!M343,SalesLines!M344)</x:f>
        <x:v>2905</x:v>
      </x:c>
      <x:c r="I143" s="9" t="n">
        <x:f>SUM(SalesLines!N341,SalesLines!N342,SalesLines!N343,SalesLines!N344)</x:f>
        <x:v>473.8</x:v>
      </x:c>
      <x:c r="J143" s="9" t="n">
        <x:f>SUM(SalesLines!P341,SalesLines!P342,SalesLines!P343,SalesLines!P344)</x:f>
        <x:v>369.6</x:v>
      </x:c>
      <x:c r="K143" s="11" t="n">
        <x:f>SUM(SalesLines!R341,SalesLines!R342,SalesLines!R343,SalesLines!R344)</x:f>
        <x:v>18</x:v>
      </x:c>
      <x:c r="L143" s="11" t="n">
        <x:f>SUM(SalesLines!S341,SalesLines!S342,SalesLines!S343,SalesLines!S344)</x:f>
        <x:v>2</x:v>
      </x:c>
      <x:c r="M143" s="8" t="n">
        <x:f>DATE(YEAR(C143),MONTH(C143),1)</x:f>
        <x:v>45962</x:v>
      </x:c>
    </x:row>
    <x:row r="144" ht="22" customHeight="1">
      <x:c r="A144" s="2" t="str">
        <x:v>O00140</x:v>
      </x:c>
      <x:c r="B144" s="2" t="str">
        <x:v>C0081</x:v>
      </x:c>
      <x:c r="C144" s="7" t="n">
        <x:v>45880</x:v>
      </x:c>
      <x:c r="D144" s="2" t="str">
        <x:v>Completed</x:v>
      </x:c>
      <x:c r="E144" s="2" t="str">
        <x:v>North</x:v>
      </x:c>
      <x:c r="F144" s="2" t="str">
        <x:v>Online</x:v>
      </x:c>
      <x:c r="G144" s="9" t="n">
        <x:f>SUM(SalesLines!Q345)</x:f>
        <x:v>796</x:v>
      </x:c>
      <x:c r="H144" s="9" t="n">
        <x:f>SUM(SalesLines!M345)</x:f>
        <x:v>995</x:v>
      </x:c>
      <x:c r="I144" s="9" t="n">
        <x:f>SUM(SalesLines!N345)</x:f>
        <x:v>199</x:v>
      </x:c>
      <x:c r="J144" s="9" t="n">
        <x:f>SUM(SalesLines!P345)</x:f>
        <x:v>0</x:v>
      </x:c>
      <x:c r="K144" s="11" t="n">
        <x:f>SUM(SalesLines!R345)</x:f>
        <x:v>5</x:v>
      </x:c>
      <x:c r="L144" s="11" t="n">
        <x:f>SUM(SalesLines!S345)</x:f>
        <x:v>0</x:v>
      </x:c>
      <x:c r="M144" s="8" t="n">
        <x:f>DATE(YEAR(C144),MONTH(C144),1)</x:f>
        <x:v>45870</x:v>
      </x:c>
    </x:row>
    <x:row r="145" ht="22" customHeight="1">
      <x:c r="A145" s="2" t="str">
        <x:v>O00141</x:v>
      </x:c>
      <x:c r="B145" s="2" t="str">
        <x:v>C0215</x:v>
      </x:c>
      <x:c r="C145" s="7" t="n">
        <x:v>45669</x:v>
      </x:c>
      <x:c r="D145" s="2" t="str">
        <x:v>Completed</x:v>
      </x:c>
      <x:c r="E145" s="2" t="str">
        <x:v>North</x:v>
      </x:c>
      <x:c r="F145" s="2" t="str">
        <x:v>Online</x:v>
      </x:c>
      <x:c r="G145" s="9" t="n">
        <x:f>SUM(SalesLines!Q346)</x:f>
        <x:v>107.2</x:v>
      </x:c>
      <x:c r="H145" s="9" t="n">
        <x:f>SUM(SalesLines!M346)</x:f>
        <x:v>134</x:v>
      </x:c>
      <x:c r="I145" s="9" t="n">
        <x:f>SUM(SalesLines!N346)</x:f>
        <x:v>26.8</x:v>
      </x:c>
      <x:c r="J145" s="9" t="n">
        <x:f>SUM(SalesLines!P346)</x:f>
        <x:v>0</x:v>
      </x:c>
      <x:c r="K145" s="11" t="n">
        <x:f>SUM(SalesLines!R346)</x:f>
        <x:v>1</x:v>
      </x:c>
      <x:c r="L145" s="11" t="n">
        <x:f>SUM(SalesLines!S346)</x:f>
        <x:v>0</x:v>
      </x:c>
      <x:c r="M145" s="8" t="n">
        <x:f>DATE(YEAR(C145),MONTH(C145),1)</x:f>
        <x:v>45658</x:v>
      </x:c>
    </x:row>
    <x:row r="146" ht="22" customHeight="1">
      <x:c r="A146" s="2" t="str">
        <x:v>O00142</x:v>
      </x:c>
      <x:c r="B146" s="2" t="str">
        <x:v>C0253</x:v>
      </x:c>
      <x:c r="C146" s="7" t="n">
        <x:v>45730</x:v>
      </x:c>
      <x:c r="D146" s="2" t="str">
        <x:v>Completed</x:v>
      </x:c>
      <x:c r="E146" s="2" t="str">
        <x:v>North</x:v>
      </x:c>
      <x:c r="F146" s="2" t="str">
        <x:v>Online</x:v>
      </x:c>
      <x:c r="G146" s="9" t="n">
        <x:f>SUM(SalesLines!Q347,SalesLines!Q348,SalesLines!Q349,SalesLines!Q350)</x:f>
        <x:v>1354.8</x:v>
      </x:c>
      <x:c r="H146" s="9" t="n">
        <x:f>SUM(SalesLines!M347,SalesLines!M348,SalesLines!M349,SalesLines!M350)</x:f>
        <x:v>1499</x:v>
      </x:c>
      <x:c r="I146" s="9" t="n">
        <x:f>SUM(SalesLines!N347,SalesLines!N348,SalesLines!N349,SalesLines!N350)</x:f>
        <x:v>144.2</x:v>
      </x:c>
      <x:c r="J146" s="9" t="n">
        <x:f>SUM(SalesLines!P347,SalesLines!P348,SalesLines!P349,SalesLines!P350)</x:f>
        <x:v>0</x:v>
      </x:c>
      <x:c r="K146" s="11" t="n">
        <x:f>SUM(SalesLines!R347,SalesLines!R348,SalesLines!R349,SalesLines!R350)</x:f>
        <x:v>11</x:v>
      </x:c>
      <x:c r="L146" s="11" t="n">
        <x:f>SUM(SalesLines!S347,SalesLines!S348,SalesLines!S349,SalesLines!S350)</x:f>
        <x:v>0</x:v>
      </x:c>
      <x:c r="M146" s="8" t="n">
        <x:f>DATE(YEAR(C146),MONTH(C146),1)</x:f>
        <x:v>45717</x:v>
      </x:c>
    </x:row>
    <x:row r="147" ht="22" customHeight="1">
      <x:c r="A147" s="2" t="str">
        <x:v>O00143</x:v>
      </x:c>
      <x:c r="B147" s="2" t="str">
        <x:v>C0159</x:v>
      </x:c>
      <x:c r="C147" s="7" t="n">
        <x:v>45668</x:v>
      </x:c>
      <x:c r="D147" s="2" t="str">
        <x:v>Cancelled</x:v>
      </x:c>
      <x:c r="E147" s="2" t="str">
        <x:v>West</x:v>
      </x:c>
      <x:c r="F147" s="2" t="str">
        <x:v>Store</x:v>
      </x:c>
      <x:c r="G147" s="9" t="n">
        <x:f>SUM(SalesLines!Q351,SalesLines!Q352)</x:f>
        <x:v>0</x:v>
      </x:c>
      <x:c r="H147" s="9" t="n">
        <x:f>SUM(SalesLines!M351,SalesLines!M352)</x:f>
        <x:v>0</x:v>
      </x:c>
      <x:c r="I147" s="9" t="n">
        <x:f>SUM(SalesLines!N351,SalesLines!N352)</x:f>
        <x:v>0</x:v>
      </x:c>
      <x:c r="J147" s="9" t="n">
        <x:f>SUM(SalesLines!P351,SalesLines!P352)</x:f>
        <x:v>0</x:v>
      </x:c>
      <x:c r="K147" s="11" t="n">
        <x:f>SUM(SalesLines!R351,SalesLines!R352)</x:f>
        <x:v>0</x:v>
      </x:c>
      <x:c r="L147" s="11" t="n">
        <x:f>SUM(SalesLines!S351,SalesLines!S352)</x:f>
        <x:v>0</x:v>
      </x:c>
      <x:c r="M147" s="8" t="n">
        <x:f>DATE(YEAR(C147),MONTH(C147),1)</x:f>
        <x:v>45658</x:v>
      </x:c>
    </x:row>
    <x:row r="148" ht="22" customHeight="1">
      <x:c r="A148" s="2" t="str">
        <x:v>O00144</x:v>
      </x:c>
      <x:c r="B148" s="2" t="str">
        <x:v>C0185</x:v>
      </x:c>
      <x:c r="C148" s="7" t="n">
        <x:v>45887</x:v>
      </x:c>
      <x:c r="D148" s="2" t="str">
        <x:v>Completed</x:v>
      </x:c>
      <x:c r="E148" s="2" t="str">
        <x:v>North</x:v>
      </x:c>
      <x:c r="F148" s="2" t="str">
        <x:v>Online</x:v>
      </x:c>
      <x:c r="G148" s="9" t="n">
        <x:f>SUM(SalesLines!Q353,SalesLines!Q354,SalesLines!Q355)</x:f>
        <x:v>1684.3</x:v>
      </x:c>
      <x:c r="H148" s="9" t="n">
        <x:f>SUM(SalesLines!M353,SalesLines!M354,SalesLines!M355)</x:f>
        <x:v>2227</x:v>
      </x:c>
      <x:c r="I148" s="9" t="n">
        <x:f>SUM(SalesLines!N353,SalesLines!N354,SalesLines!N355)</x:f>
        <x:v>33.5</x:v>
      </x:c>
      <x:c r="J148" s="9" t="n">
        <x:f>SUM(SalesLines!P353,SalesLines!P354,SalesLines!P355)</x:f>
        <x:v>509.2</x:v>
      </x:c>
      <x:c r="K148" s="11" t="n">
        <x:f>SUM(SalesLines!R353,SalesLines!R354,SalesLines!R355)</x:f>
        <x:v>12</x:v>
      </x:c>
      <x:c r="L148" s="11" t="n">
        <x:f>SUM(SalesLines!S353,SalesLines!S354,SalesLines!S355)</x:f>
        <x:v>4</x:v>
      </x:c>
      <x:c r="M148" s="8" t="n">
        <x:f>DATE(YEAR(C148),MONTH(C148),1)</x:f>
        <x:v>45870</x:v>
      </x:c>
    </x:row>
    <x:row r="149" ht="22" customHeight="1">
      <x:c r="A149" s="2" t="str">
        <x:v>O00145</x:v>
      </x:c>
      <x:c r="B149" s="2" t="str">
        <x:v>C0268</x:v>
      </x:c>
      <x:c r="C149" s="7" t="n">
        <x:v>45733</x:v>
      </x:c>
      <x:c r="D149" s="2" t="str">
        <x:v>Completed</x:v>
      </x:c>
      <x:c r="E149" s="2" t="str">
        <x:v>North</x:v>
      </x:c>
      <x:c r="F149" s="2" t="str">
        <x:v>Store</x:v>
      </x:c>
      <x:c r="G149" s="9" t="n">
        <x:f>SUM(SalesLines!Q356,SalesLines!Q357,SalesLines!Q358,SalesLines!Q359)</x:f>
        <x:v>1083.65</x:v>
      </x:c>
      <x:c r="H149" s="9" t="n">
        <x:f>SUM(SalesLines!M356,SalesLines!M357,SalesLines!M358,SalesLines!M359)</x:f>
        <x:v>1312</x:v>
      </x:c>
      <x:c r="I149" s="9" t="n">
        <x:f>SUM(SalesLines!N356,SalesLines!N357,SalesLines!N358,SalesLines!N359)</x:f>
        <x:v>228.35</x:v>
      </x:c>
      <x:c r="J149" s="9" t="n">
        <x:f>SUM(SalesLines!P356,SalesLines!P357,SalesLines!P358,SalesLines!P359)</x:f>
        <x:v>0</x:v>
      </x:c>
      <x:c r="K149" s="11" t="n">
        <x:f>SUM(SalesLines!R356,SalesLines!R357,SalesLines!R358,SalesLines!R359)</x:f>
        <x:v>7</x:v>
      </x:c>
      <x:c r="L149" s="11" t="n">
        <x:f>SUM(SalesLines!S356,SalesLines!S357,SalesLines!S358,SalesLines!S359)</x:f>
        <x:v>0</x:v>
      </x:c>
      <x:c r="M149" s="8" t="n">
        <x:f>DATE(YEAR(C149),MONTH(C149),1)</x:f>
        <x:v>45717</x:v>
      </x:c>
    </x:row>
    <x:row r="150" ht="22" customHeight="1">
      <x:c r="A150" s="2" t="str">
        <x:v>O00146</x:v>
      </x:c>
      <x:c r="B150" s="2" t="str">
        <x:v>C0258</x:v>
      </x:c>
      <x:c r="C150" s="7" t="n">
        <x:v>45721</x:v>
      </x:c>
      <x:c r="D150" s="2" t="str">
        <x:v>Completed</x:v>
      </x:c>
      <x:c r="E150" s="2" t="str">
        <x:v>South</x:v>
      </x:c>
      <x:c r="F150" s="2" t="str">
        <x:v>Store</x:v>
      </x:c>
      <x:c r="G150" s="9" t="n">
        <x:f>SUM(SalesLines!Q360,SalesLines!Q361,SalesLines!Q362)</x:f>
        <x:v>680</x:v>
      </x:c>
      <x:c r="H150" s="9" t="n">
        <x:f>SUM(SalesLines!M360,SalesLines!M361,SalesLines!M362)</x:f>
        <x:v>779</x:v>
      </x:c>
      <x:c r="I150" s="9" t="n">
        <x:f>SUM(SalesLines!N360,SalesLines!N361,SalesLines!N362)</x:f>
        <x:v>99</x:v>
      </x:c>
      <x:c r="J150" s="9" t="n">
        <x:f>SUM(SalesLines!P360,SalesLines!P361,SalesLines!P362)</x:f>
        <x:v>0</x:v>
      </x:c>
      <x:c r="K150" s="11" t="n">
        <x:f>SUM(SalesLines!R360,SalesLines!R361,SalesLines!R362)</x:f>
        <x:v>3</x:v>
      </x:c>
      <x:c r="L150" s="11" t="n">
        <x:f>SUM(SalesLines!S360,SalesLines!S361,SalesLines!S362)</x:f>
        <x:v>0</x:v>
      </x:c>
      <x:c r="M150" s="8" t="n">
        <x:f>DATE(YEAR(C150),MONTH(C150),1)</x:f>
        <x:v>45717</x:v>
      </x:c>
    </x:row>
    <x:row r="151" ht="22" customHeight="1">
      <x:c r="A151" s="2" t="str">
        <x:v>O00147</x:v>
      </x:c>
      <x:c r="B151" s="2" t="str">
        <x:v>C0147</x:v>
      </x:c>
      <x:c r="C151" s="7" t="n">
        <x:v>45739</x:v>
      </x:c>
      <x:c r="D151" s="2" t="str">
        <x:v>Cancelled</x:v>
      </x:c>
      <x:c r="E151" s="2" t="str">
        <x:v>East</x:v>
      </x:c>
      <x:c r="F151" s="2" t="str">
        <x:v>Store</x:v>
      </x:c>
      <x:c r="G151" s="9" t="n">
        <x:f>SUM(SalesLines!Q363,SalesLines!Q364,SalesLines!Q365)</x:f>
        <x:v>0</x:v>
      </x:c>
      <x:c r="H151" s="9" t="n">
        <x:f>SUM(SalesLines!M363,SalesLines!M364,SalesLines!M365)</x:f>
        <x:v>0</x:v>
      </x:c>
      <x:c r="I151" s="9" t="n">
        <x:f>SUM(SalesLines!N363,SalesLines!N364,SalesLines!N365)</x:f>
        <x:v>0</x:v>
      </x:c>
      <x:c r="J151" s="9" t="n">
        <x:f>SUM(SalesLines!P363,SalesLines!P364,SalesLines!P365)</x:f>
        <x:v>0</x:v>
      </x:c>
      <x:c r="K151" s="11" t="n">
        <x:f>SUM(SalesLines!R363,SalesLines!R364,SalesLines!R365)</x:f>
        <x:v>0</x:v>
      </x:c>
      <x:c r="L151" s="11" t="n">
        <x:f>SUM(SalesLines!S363,SalesLines!S364,SalesLines!S365)</x:f>
        <x:v>0</x:v>
      </x:c>
      <x:c r="M151" s="8" t="n">
        <x:f>DATE(YEAR(C151),MONTH(C151),1)</x:f>
        <x:v>45717</x:v>
      </x:c>
    </x:row>
    <x:row r="152" ht="22" customHeight="1">
      <x:c r="A152" s="2" t="str">
        <x:v>O00148</x:v>
      </x:c>
      <x:c r="B152" s="2" t="str">
        <x:v>C0178</x:v>
      </x:c>
      <x:c r="C152" s="7" t="n">
        <x:v>45935</x:v>
      </x:c>
      <x:c r="D152" s="2" t="str">
        <x:v>Completed</x:v>
      </x:c>
      <x:c r="E152" s="2" t="str">
        <x:v>East</x:v>
      </x:c>
      <x:c r="F152" s="2" t="str">
        <x:v>Store</x:v>
      </x:c>
      <x:c r="G152" s="9" t="n">
        <x:f>SUM(SalesLines!Q366,SalesLines!Q367,SalesLines!Q368)</x:f>
        <x:v>3040</x:v>
      </x:c>
      <x:c r="H152" s="9" t="n">
        <x:f>SUM(SalesLines!M366,SalesLines!M367,SalesLines!M368)</x:f>
        <x:v>3445</x:v>
      </x:c>
      <x:c r="I152" s="9" t="n">
        <x:f>SUM(SalesLines!N366,SalesLines!N367,SalesLines!N368)</x:f>
        <x:v>405</x:v>
      </x:c>
      <x:c r="J152" s="9" t="n">
        <x:f>SUM(SalesLines!P366,SalesLines!P367,SalesLines!P368)</x:f>
        <x:v>0</x:v>
      </x:c>
      <x:c r="K152" s="11" t="n">
        <x:f>SUM(SalesLines!R366,SalesLines!R367,SalesLines!R368)</x:f>
        <x:v>15</x:v>
      </x:c>
      <x:c r="L152" s="11" t="n">
        <x:f>SUM(SalesLines!S366,SalesLines!S367,SalesLines!S368)</x:f>
        <x:v>0</x:v>
      </x:c>
      <x:c r="M152" s="8" t="n">
        <x:f>DATE(YEAR(C152),MONTH(C152),1)</x:f>
        <x:v>45931</x:v>
      </x:c>
    </x:row>
    <x:row r="153" ht="22" customHeight="1">
      <x:c r="A153" s="2" t="str">
        <x:v>O00149</x:v>
      </x:c>
      <x:c r="B153" s="2" t="str">
        <x:v>C0058</x:v>
      </x:c>
      <x:c r="C153" s="7" t="n">
        <x:v>45914</x:v>
      </x:c>
      <x:c r="D153" s="2" t="str">
        <x:v>Completed</x:v>
      </x:c>
      <x:c r="E153" s="2" t="str">
        <x:v>North</x:v>
      </x:c>
      <x:c r="F153" s="2" t="str">
        <x:v>Store</x:v>
      </x:c>
      <x:c r="G153" s="9" t="n">
        <x:f>SUM(SalesLines!Q369,SalesLines!Q370,SalesLines!Q371,SalesLines!Q372)</x:f>
        <x:v>2298</x:v>
      </x:c>
      <x:c r="H153" s="9" t="n">
        <x:f>SUM(SalesLines!M369,SalesLines!M370,SalesLines!M371,SalesLines!M372)</x:f>
        <x:v>2298</x:v>
      </x:c>
      <x:c r="I153" s="9" t="n">
        <x:f>SUM(SalesLines!N369,SalesLines!N370,SalesLines!N371,SalesLines!N372)</x:f>
        <x:v>0</x:v>
      </x:c>
      <x:c r="J153" s="9" t="n">
        <x:f>SUM(SalesLines!P369,SalesLines!P370,SalesLines!P371,SalesLines!P372)</x:f>
        <x:v>0</x:v>
      </x:c>
      <x:c r="K153" s="11" t="n">
        <x:f>SUM(SalesLines!R369,SalesLines!R370,SalesLines!R371,SalesLines!R372)</x:f>
        <x:v>10</x:v>
      </x:c>
      <x:c r="L153" s="11" t="n">
        <x:f>SUM(SalesLines!S369,SalesLines!S370,SalesLines!S371,SalesLines!S372)</x:f>
        <x:v>0</x:v>
      </x:c>
      <x:c r="M153" s="8" t="n">
        <x:f>DATE(YEAR(C153),MONTH(C153),1)</x:f>
        <x:v>45901</x:v>
      </x:c>
    </x:row>
    <x:row r="154" ht="22" customHeight="1">
      <x:c r="A154" s="2" t="str">
        <x:v>O00150</x:v>
      </x:c>
      <x:c r="B154" s="2" t="str">
        <x:v>C0293</x:v>
      </x:c>
      <x:c r="C154" s="7" t="n">
        <x:v>45956</x:v>
      </x:c>
      <x:c r="D154" s="2" t="str">
        <x:v>Completed</x:v>
      </x:c>
      <x:c r="E154" s="2" t="str">
        <x:v>North</x:v>
      </x:c>
      <x:c r="F154" s="2" t="str">
        <x:v>Online</x:v>
      </x:c>
      <x:c r="G154" s="9" t="n">
        <x:f>SUM(SalesLines!Q373,SalesLines!Q374,SalesLines!Q375)</x:f>
        <x:v>1040.2</x:v>
      </x:c>
      <x:c r="H154" s="9" t="n">
        <x:f>SUM(SalesLines!M373,SalesLines!M374,SalesLines!M375)</x:f>
        <x:v>1679</x:v>
      </x:c>
      <x:c r="I154" s="9" t="n">
        <x:f>SUM(SalesLines!N373,SalesLines!N374,SalesLines!N375)</x:f>
        <x:v>50.800000000000004</x:v>
      </x:c>
      <x:c r="J154" s="9" t="n">
        <x:f>SUM(SalesLines!P373,SalesLines!P374,SalesLines!P375)</x:f>
        <x:v>588</x:v>
      </x:c>
      <x:c r="K154" s="11" t="n">
        <x:f>SUM(SalesLines!R373,SalesLines!R374,SalesLines!R375)</x:f>
        <x:v>6</x:v>
      </x:c>
      <x:c r="L154" s="11" t="n">
        <x:f>SUM(SalesLines!S373,SalesLines!S374,SalesLines!S375)</x:f>
        <x:v>2</x:v>
      </x:c>
      <x:c r="M154" s="8" t="n">
        <x:f>DATE(YEAR(C154),MONTH(C154),1)</x:f>
        <x:v>45931</x:v>
      </x:c>
    </x:row>
    <x:row r="155" ht="22" customHeight="1">
      <x:c r="A155" s="2" t="str">
        <x:v>O00151</x:v>
      </x:c>
      <x:c r="B155" s="2" t="str">
        <x:v>C0031</x:v>
      </x:c>
      <x:c r="C155" s="7" t="n">
        <x:v>45763</x:v>
      </x:c>
      <x:c r="D155" s="2" t="str">
        <x:v>Completed</x:v>
      </x:c>
      <x:c r="E155" s="2" t="str">
        <x:v>South</x:v>
      </x:c>
      <x:c r="F155" s="2" t="str">
        <x:v>Store</x:v>
      </x:c>
      <x:c r="G155" s="9" t="n">
        <x:f>SUM(SalesLines!Q376)</x:f>
        <x:v>462</x:v>
      </x:c>
      <x:c r="H155" s="9" t="n">
        <x:f>SUM(SalesLines!M376)</x:f>
        <x:v>462</x:v>
      </x:c>
      <x:c r="I155" s="9" t="n">
        <x:f>SUM(SalesLines!N376)</x:f>
        <x:v>0</x:v>
      </x:c>
      <x:c r="J155" s="9" t="n">
        <x:f>SUM(SalesLines!P376)</x:f>
        <x:v>0</x:v>
      </x:c>
      <x:c r="K155" s="11" t="n">
        <x:f>SUM(SalesLines!R376)</x:f>
        <x:v>2</x:v>
      </x:c>
      <x:c r="L155" s="11" t="n">
        <x:f>SUM(SalesLines!S376)</x:f>
        <x:v>0</x:v>
      </x:c>
      <x:c r="M155" s="8" t="n">
        <x:f>DATE(YEAR(C155),MONTH(C155),1)</x:f>
        <x:v>45748</x:v>
      </x:c>
    </x:row>
    <x:row r="156" ht="22" customHeight="1">
      <x:c r="A156" s="2" t="str">
        <x:v>O00152</x:v>
      </x:c>
      <x:c r="B156" s="2" t="str">
        <x:v>C0280</x:v>
      </x:c>
      <x:c r="C156" s="7" t="n">
        <x:v>45849</x:v>
      </x:c>
      <x:c r="D156" s="2" t="str">
        <x:v>Completed</x:v>
      </x:c>
      <x:c r="E156" s="2" t="str">
        <x:v>North</x:v>
      </x:c>
      <x:c r="F156" s="2" t="str">
        <x:v>Store</x:v>
      </x:c>
      <x:c r="G156" s="9" t="n">
        <x:f>SUM(SalesLines!Q377)</x:f>
        <x:v>510.3</x:v>
      </x:c>
      <x:c r="H156" s="9" t="n">
        <x:f>SUM(SalesLines!M377)</x:f>
        <x:v>567</x:v>
      </x:c>
      <x:c r="I156" s="9" t="n">
        <x:f>SUM(SalesLines!N377)</x:f>
        <x:v>56.7</x:v>
      </x:c>
      <x:c r="J156" s="9" t="n">
        <x:f>SUM(SalesLines!P377)</x:f>
        <x:v>0</x:v>
      </x:c>
      <x:c r="K156" s="11" t="n">
        <x:f>SUM(SalesLines!R377)</x:f>
        <x:v>3</x:v>
      </x:c>
      <x:c r="L156" s="11" t="n">
        <x:f>SUM(SalesLines!S377)</x:f>
        <x:v>0</x:v>
      </x:c>
      <x:c r="M156" s="8" t="n">
        <x:f>DATE(YEAR(C156),MONTH(C156),1)</x:f>
        <x:v>45839</x:v>
      </x:c>
    </x:row>
    <x:row r="157" ht="22" customHeight="1">
      <x:c r="A157" s="2" t="str">
        <x:v>O00153</x:v>
      </x:c>
      <x:c r="B157" s="2" t="str">
        <x:v>C0087</x:v>
      </x:c>
      <x:c r="C157" s="7" t="n">
        <x:v>45658</x:v>
      </x:c>
      <x:c r="D157" s="2" t="str">
        <x:v>Completed</x:v>
      </x:c>
      <x:c r="E157" s="2" t="str">
        <x:v>North</x:v>
      </x:c>
      <x:c r="F157" s="2" t="str">
        <x:v>Online</x:v>
      </x:c>
      <x:c r="G157" s="9" t="n">
        <x:f>SUM(SalesLines!Q378,SalesLines!Q379,SalesLines!Q380)</x:f>
        <x:v>1935.6</x:v>
      </x:c>
      <x:c r="H157" s="9" t="n">
        <x:f>SUM(SalesLines!M378,SalesLines!M379,SalesLines!M380)</x:f>
        <x:v>2043</x:v>
      </x:c>
      <x:c r="I157" s="9" t="n">
        <x:f>SUM(SalesLines!N378,SalesLines!N379,SalesLines!N380)</x:f>
        <x:v>107.4</x:v>
      </x:c>
      <x:c r="J157" s="9" t="n">
        <x:f>SUM(SalesLines!P378,SalesLines!P379,SalesLines!P380)</x:f>
        <x:v>0</x:v>
      </x:c>
      <x:c r="K157" s="11" t="n">
        <x:f>SUM(SalesLines!R378,SalesLines!R379,SalesLines!R380)</x:f>
        <x:v>10</x:v>
      </x:c>
      <x:c r="L157" s="11" t="n">
        <x:f>SUM(SalesLines!S378,SalesLines!S379,SalesLines!S380)</x:f>
        <x:v>0</x:v>
      </x:c>
      <x:c r="M157" s="8" t="n">
        <x:f>DATE(YEAR(C157),MONTH(C157),1)</x:f>
        <x:v>45658</x:v>
      </x:c>
    </x:row>
    <x:row r="158" ht="22" customHeight="1">
      <x:c r="A158" s="2" t="str">
        <x:v>O00154</x:v>
      </x:c>
      <x:c r="B158" s="2" t="str">
        <x:v>C0047</x:v>
      </x:c>
      <x:c r="C158" s="7" t="n">
        <x:v>45761</x:v>
      </x:c>
      <x:c r="D158" s="2" t="str">
        <x:v>Completed</x:v>
      </x:c>
      <x:c r="E158" s="2" t="str">
        <x:v>West</x:v>
      </x:c>
      <x:c r="F158" s="2" t="str">
        <x:v>Online</x:v>
      </x:c>
      <x:c r="G158" s="9" t="n">
        <x:f>SUM(SalesLines!Q381)</x:f>
        <x:v>244</x:v>
      </x:c>
      <x:c r="H158" s="9" t="n">
        <x:f>SUM(SalesLines!M381)</x:f>
        <x:v>244</x:v>
      </x:c>
      <x:c r="I158" s="9" t="n">
        <x:f>SUM(SalesLines!N381)</x:f>
        <x:v>0</x:v>
      </x:c>
      <x:c r="J158" s="9" t="n">
        <x:f>SUM(SalesLines!P381)</x:f>
        <x:v>0</x:v>
      </x:c>
      <x:c r="K158" s="11" t="n">
        <x:f>SUM(SalesLines!R381)</x:f>
        <x:v>2</x:v>
      </x:c>
      <x:c r="L158" s="11" t="n">
        <x:f>SUM(SalesLines!S381)</x:f>
        <x:v>0</x:v>
      </x:c>
      <x:c r="M158" s="8" t="n">
        <x:f>DATE(YEAR(C158),MONTH(C158),1)</x:f>
        <x:v>45748</x:v>
      </x:c>
    </x:row>
    <x:row r="159" ht="22" customHeight="1">
      <x:c r="A159" s="2" t="str">
        <x:v>O00155</x:v>
      </x:c>
      <x:c r="B159" s="2" t="str">
        <x:v>C0162</x:v>
      </x:c>
      <x:c r="C159" s="7" t="n">
        <x:v>45959</x:v>
      </x:c>
      <x:c r="D159" s="2" t="str">
        <x:v>Completed</x:v>
      </x:c>
      <x:c r="E159" s="2" t="str">
        <x:v>South</x:v>
      </x:c>
      <x:c r="F159" s="2" t="str">
        <x:v>Online</x:v>
      </x:c>
      <x:c r="G159" s="9" t="n">
        <x:f>SUM(SalesLines!Q382)</x:f>
        <x:v>347.7</x:v>
      </x:c>
      <x:c r="H159" s="9" t="n">
        <x:f>SUM(SalesLines!M382)</x:f>
        <x:v>366</x:v>
      </x:c>
      <x:c r="I159" s="9" t="n">
        <x:f>SUM(SalesLines!N382)</x:f>
        <x:v>18.3</x:v>
      </x:c>
      <x:c r="J159" s="9" t="n">
        <x:f>SUM(SalesLines!P382)</x:f>
        <x:v>0</x:v>
      </x:c>
      <x:c r="K159" s="11" t="n">
        <x:f>SUM(SalesLines!R382)</x:f>
        <x:v>3</x:v>
      </x:c>
      <x:c r="L159" s="11" t="n">
        <x:f>SUM(SalesLines!S382)</x:f>
        <x:v>0</x:v>
      </x:c>
      <x:c r="M159" s="8" t="n">
        <x:f>DATE(YEAR(C159),MONTH(C159),1)</x:f>
        <x:v>45931</x:v>
      </x:c>
    </x:row>
    <x:row r="160" ht="22" customHeight="1">
      <x:c r="A160" s="2" t="str">
        <x:v>O00156</x:v>
      </x:c>
      <x:c r="B160" s="2" t="str">
        <x:v>C0029</x:v>
      </x:c>
      <x:c r="C160" s="7" t="n">
        <x:v>45946</x:v>
      </x:c>
      <x:c r="D160" s="2" t="str">
        <x:v>Completed</x:v>
      </x:c>
      <x:c r="E160" s="2" t="str">
        <x:v>East</x:v>
      </x:c>
      <x:c r="F160" s="2" t="str">
        <x:v>Online</x:v>
      </x:c>
      <x:c r="G160" s="9" t="n">
        <x:f>SUM(SalesLines!Q383)</x:f>
        <x:v>284</x:v>
      </x:c>
      <x:c r="H160" s="9" t="n">
        <x:f>SUM(SalesLines!M383)</x:f>
        <x:v>284</x:v>
      </x:c>
      <x:c r="I160" s="9" t="n">
        <x:f>SUM(SalesLines!N383)</x:f>
        <x:v>0</x:v>
      </x:c>
      <x:c r="J160" s="9" t="n">
        <x:f>SUM(SalesLines!P383)</x:f>
        <x:v>0</x:v>
      </x:c>
      <x:c r="K160" s="11" t="n">
        <x:f>SUM(SalesLines!R383)</x:f>
        <x:v>1</x:v>
      </x:c>
      <x:c r="L160" s="11" t="n">
        <x:f>SUM(SalesLines!S383)</x:f>
        <x:v>0</x:v>
      </x:c>
      <x:c r="M160" s="8" t="n">
        <x:f>DATE(YEAR(C160),MONTH(C160),1)</x:f>
        <x:v>45931</x:v>
      </x:c>
    </x:row>
    <x:row r="161" ht="22" customHeight="1">
      <x:c r="A161" s="2" t="str">
        <x:v>O00157</x:v>
      </x:c>
      <x:c r="B161" s="2" t="str">
        <x:v>C0126</x:v>
      </x:c>
      <x:c r="C161" s="7" t="n">
        <x:v>45848</x:v>
      </x:c>
      <x:c r="D161" s="2" t="str">
        <x:v>Completed</x:v>
      </x:c>
      <x:c r="E161" s="2" t="str">
        <x:v>South</x:v>
      </x:c>
      <x:c r="F161" s="2" t="str">
        <x:v>Online</x:v>
      </x:c>
      <x:c r="G161" s="9" t="n">
        <x:f>SUM(SalesLines!Q384,SalesLines!Q385,SalesLines!Q386)</x:f>
        <x:v>1304.6999999999998</x:v>
      </x:c>
      <x:c r="H161" s="9" t="n">
        <x:f>SUM(SalesLines!M384,SalesLines!M385,SalesLines!M386)</x:f>
        <x:v>1606</x:v>
      </x:c>
      <x:c r="I161" s="9" t="n">
        <x:f>SUM(SalesLines!N384,SalesLines!N385,SalesLines!N386)</x:f>
        <x:v>301.3</x:v>
      </x:c>
      <x:c r="J161" s="9" t="n">
        <x:f>SUM(SalesLines!P384,SalesLines!P385,SalesLines!P386)</x:f>
        <x:v>0</x:v>
      </x:c>
      <x:c r="K161" s="11" t="n">
        <x:f>SUM(SalesLines!R384,SalesLines!R385,SalesLines!R386)</x:f>
        <x:v>6</x:v>
      </x:c>
      <x:c r="L161" s="11" t="n">
        <x:f>SUM(SalesLines!S384,SalesLines!S385,SalesLines!S386)</x:f>
        <x:v>0</x:v>
      </x:c>
      <x:c r="M161" s="8" t="n">
        <x:f>DATE(YEAR(C161),MONTH(C161),1)</x:f>
        <x:v>45839</x:v>
      </x:c>
    </x:row>
    <x:row r="162" ht="22" customHeight="1">
      <x:c r="A162" s="2" t="str">
        <x:v>O00158</x:v>
      </x:c>
      <x:c r="B162" s="2" t="str">
        <x:v>C0092</x:v>
      </x:c>
      <x:c r="C162" s="7" t="n">
        <x:v>45714</x:v>
      </x:c>
      <x:c r="D162" s="2" t="str">
        <x:v>Completed</x:v>
      </x:c>
      <x:c r="E162" s="2" t="str">
        <x:v>East</x:v>
      </x:c>
      <x:c r="F162" s="2" t="str">
        <x:v>Store</x:v>
      </x:c>
      <x:c r="G162" s="9" t="n">
        <x:f>SUM(SalesLines!Q387,SalesLines!Q388)</x:f>
        <x:v>556.65</x:v>
      </x:c>
      <x:c r="H162" s="9" t="n">
        <x:f>SUM(SalesLines!M387,SalesLines!M388)</x:f>
        <x:v>663</x:v>
      </x:c>
      <x:c r="I162" s="9" t="n">
        <x:f>SUM(SalesLines!N387,SalesLines!N388)</x:f>
        <x:v>106.35000000000001</x:v>
      </x:c>
      <x:c r="J162" s="9" t="n">
        <x:f>SUM(SalesLines!P387,SalesLines!P388)</x:f>
        <x:v>0</x:v>
      </x:c>
      <x:c r="K162" s="11" t="n">
        <x:f>SUM(SalesLines!R387,SalesLines!R388)</x:f>
        <x:v>9</x:v>
      </x:c>
      <x:c r="L162" s="11" t="n">
        <x:f>SUM(SalesLines!S387,SalesLines!S388)</x:f>
        <x:v>0</x:v>
      </x:c>
      <x:c r="M162" s="8" t="n">
        <x:f>DATE(YEAR(C162),MONTH(C162),1)</x:f>
        <x:v>45689</x:v>
      </x:c>
    </x:row>
    <x:row r="163" ht="22" customHeight="1">
      <x:c r="A163" s="2" t="str">
        <x:v>O00159</x:v>
      </x:c>
      <x:c r="B163" s="2" t="str">
        <x:v>C0089</x:v>
      </x:c>
      <x:c r="C163" s="7" t="n">
        <x:v>45662</x:v>
      </x:c>
      <x:c r="D163" s="2" t="str">
        <x:v>Completed</x:v>
      </x:c>
      <x:c r="E163" s="2" t="str">
        <x:v>South</x:v>
      </x:c>
      <x:c r="F163" s="2" t="str">
        <x:v>Store</x:v>
      </x:c>
      <x:c r="G163" s="9" t="n">
        <x:f>SUM(SalesLines!Q389)</x:f>
        <x:v>1140</x:v>
      </x:c>
      <x:c r="H163" s="9" t="n">
        <x:f>SUM(SalesLines!M389)</x:f>
        <x:v>1200</x:v>
      </x:c>
      <x:c r="I163" s="9" t="n">
        <x:f>SUM(SalesLines!N389)</x:f>
        <x:v>60</x:v>
      </x:c>
      <x:c r="J163" s="9" t="n">
        <x:f>SUM(SalesLines!P389)</x:f>
        <x:v>0</x:v>
      </x:c>
      <x:c r="K163" s="11" t="n">
        <x:f>SUM(SalesLines!R389)</x:f>
        <x:v>4</x:v>
      </x:c>
      <x:c r="L163" s="11" t="n">
        <x:f>SUM(SalesLines!S389)</x:f>
        <x:v>0</x:v>
      </x:c>
      <x:c r="M163" s="8" t="n">
        <x:f>DATE(YEAR(C163),MONTH(C163),1)</x:f>
        <x:v>45658</x:v>
      </x:c>
    </x:row>
    <x:row r="164" ht="22" customHeight="1">
      <x:c r="A164" s="2" t="str">
        <x:v>O00160</x:v>
      </x:c>
      <x:c r="B164" s="2" t="str">
        <x:v>C0192</x:v>
      </x:c>
      <x:c r="C164" s="7" t="n">
        <x:v>45937</x:v>
      </x:c>
      <x:c r="D164" s="2" t="str">
        <x:v>Completed</x:v>
      </x:c>
      <x:c r="E164" s="2" t="str">
        <x:v>South</x:v>
      </x:c>
      <x:c r="F164" s="2" t="str">
        <x:v>Store</x:v>
      </x:c>
      <x:c r="G164" s="9" t="n">
        <x:f>SUM(SalesLines!Q390)</x:f>
        <x:v>112</x:v>
      </x:c>
      <x:c r="H164" s="9" t="n">
        <x:f>SUM(SalesLines!M390)</x:f>
        <x:v>140</x:v>
      </x:c>
      <x:c r="I164" s="9" t="n">
        <x:f>SUM(SalesLines!N390)</x:f>
        <x:v>28</x:v>
      </x:c>
      <x:c r="J164" s="9" t="n">
        <x:f>SUM(SalesLines!P390)</x:f>
        <x:v>0</x:v>
      </x:c>
      <x:c r="K164" s="11" t="n">
        <x:f>SUM(SalesLines!R390)</x:f>
        <x:v>4</x:v>
      </x:c>
      <x:c r="L164" s="11" t="n">
        <x:f>SUM(SalesLines!S390)</x:f>
        <x:v>0</x:v>
      </x:c>
      <x:c r="M164" s="8" t="n">
        <x:f>DATE(YEAR(C164),MONTH(C164),1)</x:f>
        <x:v>45931</x:v>
      </x:c>
    </x:row>
    <x:row r="165" ht="22" customHeight="1">
      <x:c r="A165" s="2" t="str">
        <x:v>O00161</x:v>
      </x:c>
      <x:c r="B165" s="2" t="str">
        <x:v>C0078</x:v>
      </x:c>
      <x:c r="C165" s="7" t="n">
        <x:v>45876</x:v>
      </x:c>
      <x:c r="D165" s="2" t="str">
        <x:v>Completed</x:v>
      </x:c>
      <x:c r="E165" s="2" t="str">
        <x:v>West</x:v>
      </x:c>
      <x:c r="F165" s="2" t="str">
        <x:v>Online</x:v>
      </x:c>
      <x:c r="G165" s="9" t="n">
        <x:f>SUM(SalesLines!Q391,SalesLines!Q392,SalesLines!Q393)</x:f>
        <x:v>2401.1</x:v>
      </x:c>
      <x:c r="H165" s="9" t="n">
        <x:f>SUM(SalesLines!M391,SalesLines!M392,SalesLines!M393)</x:f>
        <x:v>2429</x:v>
      </x:c>
      <x:c r="I165" s="9" t="n">
        <x:f>SUM(SalesLines!N391,SalesLines!N392,SalesLines!N393)</x:f>
        <x:v>27.900000000000002</x:v>
      </x:c>
      <x:c r="J165" s="9" t="n">
        <x:f>SUM(SalesLines!P391,SalesLines!P392,SalesLines!P393)</x:f>
        <x:v>0</x:v>
      </x:c>
      <x:c r="K165" s="11" t="n">
        <x:f>SUM(SalesLines!R391,SalesLines!R392,SalesLines!R393)</x:f>
        <x:v>13</x:v>
      </x:c>
      <x:c r="L165" s="11" t="n">
        <x:f>SUM(SalesLines!S391,SalesLines!S392,SalesLines!S393)</x:f>
        <x:v>0</x:v>
      </x:c>
      <x:c r="M165" s="8" t="n">
        <x:f>DATE(YEAR(C165),MONTH(C165),1)</x:f>
        <x:v>45870</x:v>
      </x:c>
    </x:row>
    <x:row r="166" ht="22" customHeight="1">
      <x:c r="A166" s="2" t="str">
        <x:v>O00162</x:v>
      </x:c>
      <x:c r="B166" s="2" t="str">
        <x:v>C0245</x:v>
      </x:c>
      <x:c r="C166" s="7" t="n">
        <x:v>45808</x:v>
      </x:c>
      <x:c r="D166" s="2" t="str">
        <x:v>Completed</x:v>
      </x:c>
      <x:c r="E166" s="2" t="str">
        <x:v>North</x:v>
      </x:c>
      <x:c r="F166" s="2" t="str">
        <x:v>Online</x:v>
      </x:c>
      <x:c r="G166" s="9" t="n">
        <x:f>SUM(SalesLines!Q394,SalesLines!Q395)</x:f>
        <x:v>757.1</x:v>
      </x:c>
      <x:c r="H166" s="9" t="n">
        <x:f>SUM(SalesLines!M394,SalesLines!M395)</x:f>
        <x:v>938</x:v>
      </x:c>
      <x:c r="I166" s="9" t="n">
        <x:f>SUM(SalesLines!N394,SalesLines!N395)</x:f>
        <x:v>60.3</x:v>
      </x:c>
      <x:c r="J166" s="9" t="n">
        <x:f>SUM(SalesLines!P394,SalesLines!P395)</x:f>
        <x:v>120.60000000000001</x:v>
      </x:c>
      <x:c r="K166" s="11" t="n">
        <x:f>SUM(SalesLines!R394,SalesLines!R395)</x:f>
        <x:v>7</x:v>
      </x:c>
      <x:c r="L166" s="11" t="n">
        <x:f>SUM(SalesLines!S394,SalesLines!S395)</x:f>
        <x:v>1</x:v>
      </x:c>
      <x:c r="M166" s="8" t="n">
        <x:f>DATE(YEAR(C166),MONTH(C166),1)</x:f>
        <x:v>45778</x:v>
      </x:c>
    </x:row>
    <x:row r="167" ht="22" customHeight="1">
      <x:c r="A167" s="2" t="str">
        <x:v>O00163</x:v>
      </x:c>
      <x:c r="B167" s="2" t="str">
        <x:v>C0288</x:v>
      </x:c>
      <x:c r="C167" s="7" t="n">
        <x:v>45912</x:v>
      </x:c>
      <x:c r="D167" s="2" t="str">
        <x:v>Completed</x:v>
      </x:c>
      <x:c r="E167" s="2" t="str">
        <x:v>East</x:v>
      </x:c>
      <x:c r="F167" s="2" t="str">
        <x:v>Store</x:v>
      </x:c>
      <x:c r="G167" s="9" t="n">
        <x:f>SUM(SalesLines!Q396,SalesLines!Q397,SalesLines!Q398)</x:f>
        <x:v>1672.8</x:v>
      </x:c>
      <x:c r="H167" s="9" t="n">
        <x:f>SUM(SalesLines!M396,SalesLines!M397,SalesLines!M398)</x:f>
        <x:v>2091</x:v>
      </x:c>
      <x:c r="I167" s="9" t="n">
        <x:f>SUM(SalesLines!N396,SalesLines!N397,SalesLines!N398)</x:f>
        <x:v>418.20000000000005</x:v>
      </x:c>
      <x:c r="J167" s="9" t="n">
        <x:f>SUM(SalesLines!P396,SalesLines!P397,SalesLines!P398)</x:f>
        <x:v>0</x:v>
      </x:c>
      <x:c r="K167" s="11" t="n">
        <x:f>SUM(SalesLines!R396,SalesLines!R397,SalesLines!R398)</x:f>
        <x:v>9</x:v>
      </x:c>
      <x:c r="L167" s="11" t="n">
        <x:f>SUM(SalesLines!S396,SalesLines!S397,SalesLines!S398)</x:f>
        <x:v>0</x:v>
      </x:c>
      <x:c r="M167" s="8" t="n">
        <x:f>DATE(YEAR(C167),MONTH(C167),1)</x:f>
        <x:v>45901</x:v>
      </x:c>
    </x:row>
    <x:row r="168" ht="22" customHeight="1">
      <x:c r="A168" s="2" t="str">
        <x:v>O00164</x:v>
      </x:c>
      <x:c r="B168" s="2" t="str">
        <x:v>C0088</x:v>
      </x:c>
      <x:c r="C168" s="7" t="n">
        <x:v>45939</x:v>
      </x:c>
      <x:c r="D168" s="2" t="str">
        <x:v>Completed</x:v>
      </x:c>
      <x:c r="E168" s="2" t="str">
        <x:v>West</x:v>
      </x:c>
      <x:c r="F168" s="2" t="str">
        <x:v>Online</x:v>
      </x:c>
      <x:c r="G168" s="9" t="n">
        <x:f>SUM(SalesLines!Q399)</x:f>
        <x:v>900</x:v>
      </x:c>
      <x:c r="H168" s="9" t="n">
        <x:f>SUM(SalesLines!M399)</x:f>
        <x:v>900</x:v>
      </x:c>
      <x:c r="I168" s="9" t="n">
        <x:f>SUM(SalesLines!N399)</x:f>
        <x:v>0</x:v>
      </x:c>
      <x:c r="J168" s="9" t="n">
        <x:f>SUM(SalesLines!P399)</x:f>
        <x:v>0</x:v>
      </x:c>
      <x:c r="K168" s="11" t="n">
        <x:f>SUM(SalesLines!R399)</x:f>
        <x:v>3</x:v>
      </x:c>
      <x:c r="L168" s="11" t="n">
        <x:f>SUM(SalesLines!S399)</x:f>
        <x:v>0</x:v>
      </x:c>
      <x:c r="M168" s="8" t="n">
        <x:f>DATE(YEAR(C168),MONTH(C168),1)</x:f>
        <x:v>45931</x:v>
      </x:c>
    </x:row>
    <x:row r="169" ht="22" customHeight="1">
      <x:c r="A169" s="2" t="str">
        <x:v>O00165</x:v>
      </x:c>
      <x:c r="B169" s="2" t="str">
        <x:v>C0046</x:v>
      </x:c>
      <x:c r="C169" s="7" t="n">
        <x:v>45876</x:v>
      </x:c>
      <x:c r="D169" s="2" t="str">
        <x:v>Completed</x:v>
      </x:c>
      <x:c r="E169" s="2" t="str">
        <x:v>West</x:v>
      </x:c>
      <x:c r="F169" s="2" t="str">
        <x:v>Store</x:v>
      </x:c>
      <x:c r="G169" s="9" t="n">
        <x:f>SUM(SalesLines!Q400,SalesLines!Q401,SalesLines!Q402)</x:f>
        <x:v>1997.9</x:v>
      </x:c>
      <x:c r="H169" s="9" t="n">
        <x:f>SUM(SalesLines!M400,SalesLines!M401,SalesLines!M402)</x:f>
        <x:v>2260</x:v>
      </x:c>
      <x:c r="I169" s="9" t="n">
        <x:f>SUM(SalesLines!N400,SalesLines!N401,SalesLines!N402)</x:f>
        <x:v>262.1</x:v>
      </x:c>
      <x:c r="J169" s="9" t="n">
        <x:f>SUM(SalesLines!P400,SalesLines!P401,SalesLines!P402)</x:f>
        <x:v>0</x:v>
      </x:c>
      <x:c r="K169" s="11" t="n">
        <x:f>SUM(SalesLines!R400,SalesLines!R401,SalesLines!R402)</x:f>
        <x:v>12</x:v>
      </x:c>
      <x:c r="L169" s="11" t="n">
        <x:f>SUM(SalesLines!S400,SalesLines!S401,SalesLines!S402)</x:f>
        <x:v>0</x:v>
      </x:c>
      <x:c r="M169" s="8" t="n">
        <x:f>DATE(YEAR(C169),MONTH(C169),1)</x:f>
        <x:v>45870</x:v>
      </x:c>
    </x:row>
    <x:row r="170" ht="22" customHeight="1">
      <x:c r="A170" s="2" t="str">
        <x:v>O00166</x:v>
      </x:c>
      <x:c r="B170" s="2" t="str">
        <x:v>C0285</x:v>
      </x:c>
      <x:c r="C170" s="7" t="n">
        <x:v>46000</x:v>
      </x:c>
      <x:c r="D170" s="2" t="str">
        <x:v>Completed</x:v>
      </x:c>
      <x:c r="E170" s="2" t="str">
        <x:v>East</x:v>
      </x:c>
      <x:c r="F170" s="2" t="str">
        <x:v>Store</x:v>
      </x:c>
      <x:c r="G170" s="9" t="n">
        <x:f>SUM(SalesLines!Q403,SalesLines!Q404)</x:f>
        <x:v>216.3</x:v>
      </x:c>
      <x:c r="H170" s="9" t="n">
        <x:f>SUM(SalesLines!M403,SalesLines!M404)</x:f>
        <x:v>266</x:v>
      </x:c>
      <x:c r="I170" s="9" t="n">
        <x:f>SUM(SalesLines!N403,SalesLines!N404)</x:f>
        <x:v>49.7</x:v>
      </x:c>
      <x:c r="J170" s="9" t="n">
        <x:f>SUM(SalesLines!P403,SalesLines!P404)</x:f>
        <x:v>0</x:v>
      </x:c>
      <x:c r="K170" s="11" t="n">
        <x:f>SUM(SalesLines!R403,SalesLines!R404)</x:f>
        <x:v>2</x:v>
      </x:c>
      <x:c r="L170" s="11" t="n">
        <x:f>SUM(SalesLines!S403,SalesLines!S404)</x:f>
        <x:v>0</x:v>
      </x:c>
      <x:c r="M170" s="8" t="n">
        <x:f>DATE(YEAR(C170),MONTH(C170),1)</x:f>
        <x:v>45992</x:v>
      </x:c>
    </x:row>
    <x:row r="171" ht="22" customHeight="1">
      <x:c r="A171" s="2" t="str">
        <x:v>O00167</x:v>
      </x:c>
      <x:c r="B171" s="2" t="str">
        <x:v>C0019</x:v>
      </x:c>
      <x:c r="C171" s="7" t="n">
        <x:v>45849</x:v>
      </x:c>
      <x:c r="D171" s="2" t="str">
        <x:v>Completed</x:v>
      </x:c>
      <x:c r="E171" s="2" t="str">
        <x:v>North</x:v>
      </x:c>
      <x:c r="F171" s="2" t="str">
        <x:v>Online</x:v>
      </x:c>
      <x:c r="G171" s="9" t="n">
        <x:f>SUM(SalesLines!Q405,SalesLines!Q406,SalesLines!Q407,SalesLines!Q408)</x:f>
        <x:v>2642.3</x:v>
      </x:c>
      <x:c r="H171" s="9" t="n">
        <x:f>SUM(SalesLines!M405,SalesLines!M406,SalesLines!M407,SalesLines!M408)</x:f>
        <x:v>2717</x:v>
      </x:c>
      <x:c r="I171" s="9" t="n">
        <x:f>SUM(SalesLines!N405,SalesLines!N406,SalesLines!N407,SalesLines!N408)</x:f>
        <x:v>74.7</x:v>
      </x:c>
      <x:c r="J171" s="9" t="n">
        <x:f>SUM(SalesLines!P405,SalesLines!P406,SalesLines!P407,SalesLines!P408)</x:f>
        <x:v>0</x:v>
      </x:c>
      <x:c r="K171" s="11" t="n">
        <x:f>SUM(SalesLines!R405,SalesLines!R406,SalesLines!R407,SalesLines!R408)</x:f>
        <x:v>13</x:v>
      </x:c>
      <x:c r="L171" s="11" t="n">
        <x:f>SUM(SalesLines!S405,SalesLines!S406,SalesLines!S407,SalesLines!S408)</x:f>
        <x:v>0</x:v>
      </x:c>
      <x:c r="M171" s="8" t="n">
        <x:f>DATE(YEAR(C171),MONTH(C171),1)</x:f>
        <x:v>45839</x:v>
      </x:c>
    </x:row>
    <x:row r="172" ht="22" customHeight="1">
      <x:c r="A172" s="2" t="str">
        <x:v>O00168</x:v>
      </x:c>
      <x:c r="B172" s="2" t="str">
        <x:v>C0293</x:v>
      </x:c>
      <x:c r="C172" s="7" t="n">
        <x:v>45863</x:v>
      </x:c>
      <x:c r="D172" s="2" t="str">
        <x:v>Completed</x:v>
      </x:c>
      <x:c r="E172" s="2" t="str">
        <x:v>North</x:v>
      </x:c>
      <x:c r="F172" s="2" t="str">
        <x:v>Store</x:v>
      </x:c>
      <x:c r="G172" s="9" t="n">
        <x:f>SUM(SalesLines!Q409)</x:f>
        <x:v>129.6</x:v>
      </x:c>
      <x:c r="H172" s="9" t="n">
        <x:f>SUM(SalesLines!M409)</x:f>
        <x:v>162</x:v>
      </x:c>
      <x:c r="I172" s="9" t="n">
        <x:f>SUM(SalesLines!N409)</x:f>
        <x:v>32.4</x:v>
      </x:c>
      <x:c r="J172" s="9" t="n">
        <x:f>SUM(SalesLines!P409)</x:f>
        <x:v>0</x:v>
      </x:c>
      <x:c r="K172" s="11" t="n">
        <x:f>SUM(SalesLines!R409)</x:f>
        <x:v>2</x:v>
      </x:c>
      <x:c r="L172" s="11" t="n">
        <x:f>SUM(SalesLines!S409)</x:f>
        <x:v>0</x:v>
      </x:c>
      <x:c r="M172" s="8" t="n">
        <x:f>DATE(YEAR(C172),MONTH(C172),1)</x:f>
        <x:v>45839</x:v>
      </x:c>
    </x:row>
    <x:row r="173" ht="22" customHeight="1">
      <x:c r="A173" s="2" t="str">
        <x:v>O00169</x:v>
      </x:c>
      <x:c r="B173" s="2" t="str">
        <x:v>C0060</x:v>
      </x:c>
      <x:c r="C173" s="7" t="n">
        <x:v>46021</x:v>
      </x:c>
      <x:c r="D173" s="2" t="str">
        <x:v>Completed</x:v>
      </x:c>
      <x:c r="E173" s="2" t="str">
        <x:v>South</x:v>
      </x:c>
      <x:c r="F173" s="2" t="str">
        <x:v>Store</x:v>
      </x:c>
      <x:c r="G173" s="9" t="n">
        <x:f>SUM(SalesLines!Q410)</x:f>
        <x:v>1155</x:v>
      </x:c>
      <x:c r="H173" s="9" t="n">
        <x:f>SUM(SalesLines!M410)</x:f>
        <x:v>1155</x:v>
      </x:c>
      <x:c r="I173" s="9" t="n">
        <x:f>SUM(SalesLines!N410)</x:f>
        <x:v>0</x:v>
      </x:c>
      <x:c r="J173" s="9" t="n">
        <x:f>SUM(SalesLines!P410)</x:f>
        <x:v>0</x:v>
      </x:c>
      <x:c r="K173" s="11" t="n">
        <x:f>SUM(SalesLines!R410)</x:f>
        <x:v>5</x:v>
      </x:c>
      <x:c r="L173" s="11" t="n">
        <x:f>SUM(SalesLines!S410)</x:f>
        <x:v>0</x:v>
      </x:c>
      <x:c r="M173" s="8" t="n">
        <x:f>DATE(YEAR(C173),MONTH(C173),1)</x:f>
        <x:v>45992</x:v>
      </x:c>
    </x:row>
    <x:row r="174" ht="22" customHeight="1">
      <x:c r="A174" s="2" t="str">
        <x:v>O00170</x:v>
      </x:c>
      <x:c r="B174" s="2" t="str">
        <x:v>C0280</x:v>
      </x:c>
      <x:c r="C174" s="7" t="n">
        <x:v>45777</x:v>
      </x:c>
      <x:c r="D174" s="2" t="str">
        <x:v>Completed</x:v>
      </x:c>
      <x:c r="E174" s="2" t="str">
        <x:v>North</x:v>
      </x:c>
      <x:c r="F174" s="2" t="str">
        <x:v>Online</x:v>
      </x:c>
      <x:c r="G174" s="9" t="n">
        <x:f>SUM(SalesLines!Q411)</x:f>
        <x:v>381.9</x:v>
      </x:c>
      <x:c r="H174" s="9" t="n">
        <x:f>SUM(SalesLines!M411)</x:f>
        <x:v>402</x:v>
      </x:c>
      <x:c r="I174" s="9" t="n">
        <x:f>SUM(SalesLines!N411)</x:f>
        <x:v>20.1</x:v>
      </x:c>
      <x:c r="J174" s="9" t="n">
        <x:f>SUM(SalesLines!P411)</x:f>
        <x:v>0</x:v>
      </x:c>
      <x:c r="K174" s="11" t="n">
        <x:f>SUM(SalesLines!R411)</x:f>
        <x:v>3</x:v>
      </x:c>
      <x:c r="L174" s="11" t="n">
        <x:f>SUM(SalesLines!S411)</x:f>
        <x:v>0</x:v>
      </x:c>
      <x:c r="M174" s="8" t="n">
        <x:f>DATE(YEAR(C174),MONTH(C174),1)</x:f>
        <x:v>45748</x:v>
      </x:c>
    </x:row>
    <x:row r="175" ht="22" customHeight="1">
      <x:c r="A175" s="2" t="str">
        <x:v>O00171</x:v>
      </x:c>
      <x:c r="B175" s="2" t="str">
        <x:v>C0208</x:v>
      </x:c>
      <x:c r="C175" s="7" t="n">
        <x:v>45712</x:v>
      </x:c>
      <x:c r="D175" s="2" t="str">
        <x:v>Completed</x:v>
      </x:c>
      <x:c r="E175" s="2" t="str">
        <x:v>East</x:v>
      </x:c>
      <x:c r="F175" s="2" t="str">
        <x:v>Online</x:v>
      </x:c>
      <x:c r="G175" s="9" t="n">
        <x:f>SUM(SalesLines!Q412,SalesLines!Q413)</x:f>
        <x:v>713.5</x:v>
      </x:c>
      <x:c r="H175" s="9" t="n">
        <x:f>SUM(SalesLines!M412,SalesLines!M413)</x:f>
        <x:v>733</x:v>
      </x:c>
      <x:c r="I175" s="9" t="n">
        <x:f>SUM(SalesLines!N412,SalesLines!N413)</x:f>
        <x:v>19.5</x:v>
      </x:c>
      <x:c r="J175" s="9" t="n">
        <x:f>SUM(SalesLines!P412,SalesLines!P413)</x:f>
        <x:v>0</x:v>
      </x:c>
      <x:c r="K175" s="11" t="n">
        <x:f>SUM(SalesLines!R412,SalesLines!R413)</x:f>
        <x:v>5</x:v>
      </x:c>
      <x:c r="L175" s="11" t="n">
        <x:f>SUM(SalesLines!S412,SalesLines!S413)</x:f>
        <x:v>0</x:v>
      </x:c>
      <x:c r="M175" s="8" t="n">
        <x:f>DATE(YEAR(C175),MONTH(C175),1)</x:f>
        <x:v>45689</x:v>
      </x:c>
    </x:row>
    <x:row r="176" ht="22" customHeight="1">
      <x:c r="A176" s="2" t="str">
        <x:v>O00172</x:v>
      </x:c>
      <x:c r="B176" s="2" t="str">
        <x:v>C0242</x:v>
      </x:c>
      <x:c r="C176" s="7" t="n">
        <x:v>46003</x:v>
      </x:c>
      <x:c r="D176" s="2" t="str">
        <x:v>Completed</x:v>
      </x:c>
      <x:c r="E176" s="2" t="str">
        <x:v>South</x:v>
      </x:c>
      <x:c r="F176" s="2" t="str">
        <x:v>Online</x:v>
      </x:c>
      <x:c r="G176" s="9" t="n">
        <x:f>SUM(SalesLines!Q414)</x:f>
        <x:v>536</x:v>
      </x:c>
      <x:c r="H176" s="9" t="n">
        <x:f>SUM(SalesLines!M414)</x:f>
        <x:v>670</x:v>
      </x:c>
      <x:c r="I176" s="9" t="n">
        <x:f>SUM(SalesLines!N414)</x:f>
        <x:v>134</x:v>
      </x:c>
      <x:c r="J176" s="9" t="n">
        <x:f>SUM(SalesLines!P414)</x:f>
        <x:v>0</x:v>
      </x:c>
      <x:c r="K176" s="11" t="n">
        <x:f>SUM(SalesLines!R414)</x:f>
        <x:v>5</x:v>
      </x:c>
      <x:c r="L176" s="11" t="n">
        <x:f>SUM(SalesLines!S414)</x:f>
        <x:v>0</x:v>
      </x:c>
      <x:c r="M176" s="8" t="n">
        <x:f>DATE(YEAR(C176),MONTH(C176),1)</x:f>
        <x:v>45992</x:v>
      </x:c>
    </x:row>
    <x:row r="177" ht="22" customHeight="1">
      <x:c r="A177" s="2" t="str">
        <x:v>O00173</x:v>
      </x:c>
      <x:c r="B177" s="2" t="str">
        <x:v>C0188</x:v>
      </x:c>
      <x:c r="C177" s="7" t="n">
        <x:v>45989</x:v>
      </x:c>
      <x:c r="D177" s="2" t="str">
        <x:v>Completed</x:v>
      </x:c>
      <x:c r="E177" s="2" t="str">
        <x:v>South</x:v>
      </x:c>
      <x:c r="F177" s="2" t="str">
        <x:v>Store</x:v>
      </x:c>
      <x:c r="G177" s="9" t="n">
        <x:f>SUM(SalesLines!Q415)</x:f>
        <x:v>235.2</x:v>
      </x:c>
      <x:c r="H177" s="9" t="n">
        <x:f>SUM(SalesLines!M415)</x:f>
        <x:v>294</x:v>
      </x:c>
      <x:c r="I177" s="9" t="n">
        <x:f>SUM(SalesLines!N415)</x:f>
        <x:v>58.800000000000004</x:v>
      </x:c>
      <x:c r="J177" s="9" t="n">
        <x:f>SUM(SalesLines!P415)</x:f>
        <x:v>0</x:v>
      </x:c>
      <x:c r="K177" s="11" t="n">
        <x:f>SUM(SalesLines!R415)</x:f>
        <x:v>1</x:v>
      </x:c>
      <x:c r="L177" s="11" t="n">
        <x:f>SUM(SalesLines!S415)</x:f>
        <x:v>0</x:v>
      </x:c>
      <x:c r="M177" s="8" t="n">
        <x:f>DATE(YEAR(C177),MONTH(C177),1)</x:f>
        <x:v>45962</x:v>
      </x:c>
    </x:row>
    <x:row r="178" ht="22" customHeight="1">
      <x:c r="A178" s="2" t="str">
        <x:v>O00174</x:v>
      </x:c>
      <x:c r="B178" s="2" t="str">
        <x:v>C0244</x:v>
      </x:c>
      <x:c r="C178" s="7" t="n">
        <x:v>45886</x:v>
      </x:c>
      <x:c r="D178" s="2" t="str">
        <x:v>Completed</x:v>
      </x:c>
      <x:c r="E178" s="2" t="str">
        <x:v>South</x:v>
      </x:c>
      <x:c r="F178" s="2" t="str">
        <x:v>Store</x:v>
      </x:c>
      <x:c r="G178" s="9" t="n">
        <x:f>SUM(SalesLines!Q416,SalesLines!Q417)</x:f>
        <x:v>1795.5</x:v>
      </x:c>
      <x:c r="H178" s="9" t="n">
        <x:f>SUM(SalesLines!M416,SalesLines!M417)</x:f>
        <x:v>1890</x:v>
      </x:c>
      <x:c r="I178" s="9" t="n">
        <x:f>SUM(SalesLines!N416,SalesLines!N417)</x:f>
        <x:v>94.5</x:v>
      </x:c>
      <x:c r="J178" s="9" t="n">
        <x:f>SUM(SalesLines!P416,SalesLines!P417)</x:f>
        <x:v>0</x:v>
      </x:c>
      <x:c r="K178" s="11" t="n">
        <x:f>SUM(SalesLines!R416,SalesLines!R417)</x:f>
        <x:v>10</x:v>
      </x:c>
      <x:c r="L178" s="11" t="n">
        <x:f>SUM(SalesLines!S416,SalesLines!S417)</x:f>
        <x:v>0</x:v>
      </x:c>
      <x:c r="M178" s="8" t="n">
        <x:f>DATE(YEAR(C178),MONTH(C178),1)</x:f>
        <x:v>45870</x:v>
      </x:c>
    </x:row>
    <x:row r="179" ht="22" customHeight="1">
      <x:c r="A179" s="2" t="str">
        <x:v>O00175</x:v>
      </x:c>
      <x:c r="B179" s="2" t="str">
        <x:v>C0181</x:v>
      </x:c>
      <x:c r="C179" s="7" t="n">
        <x:v>45991</x:v>
      </x:c>
      <x:c r="D179" s="2" t="str">
        <x:v>Completed</x:v>
      </x:c>
      <x:c r="E179" s="2" t="str">
        <x:v>West</x:v>
      </x:c>
      <x:c r="F179" s="2" t="str">
        <x:v>Online</x:v>
      </x:c>
      <x:c r="G179" s="9" t="n">
        <x:f>SUM(SalesLines!Q418,SalesLines!Q419)</x:f>
        <x:v>395.05</x:v>
      </x:c>
      <x:c r="H179" s="9" t="n">
        <x:f>SUM(SalesLines!M418,SalesLines!M419)</x:f>
        <x:v>437</x:v>
      </x:c>
      <x:c r="I179" s="9" t="n">
        <x:f>SUM(SalesLines!N418,SalesLines!N419)</x:f>
        <x:v>41.95</x:v>
      </x:c>
      <x:c r="J179" s="9" t="n">
        <x:f>SUM(SalesLines!P418,SalesLines!P419)</x:f>
        <x:v>0</x:v>
      </x:c>
      <x:c r="K179" s="11" t="n">
        <x:f>SUM(SalesLines!R418,SalesLines!R419)</x:f>
        <x:v>4</x:v>
      </x:c>
      <x:c r="L179" s="11" t="n">
        <x:f>SUM(SalesLines!S418,SalesLines!S419)</x:f>
        <x:v>0</x:v>
      </x:c>
      <x:c r="M179" s="8" t="n">
        <x:f>DATE(YEAR(C179),MONTH(C179),1)</x:f>
        <x:v>45962</x:v>
      </x:c>
    </x:row>
    <x:row r="180" ht="22" customHeight="1">
      <x:c r="A180" s="2" t="str">
        <x:v>O00176</x:v>
      </x:c>
      <x:c r="B180" s="2" t="str">
        <x:v>C0105</x:v>
      </x:c>
      <x:c r="C180" s="7" t="n">
        <x:v>45928</x:v>
      </x:c>
      <x:c r="D180" s="2" t="str">
        <x:v>Completed</x:v>
      </x:c>
      <x:c r="E180" s="2" t="str">
        <x:v>South</x:v>
      </x:c>
      <x:c r="F180" s="2" t="str">
        <x:v>Online</x:v>
      </x:c>
      <x:c r="G180" s="9" t="n">
        <x:f>SUM(SalesLines!Q420)</x:f>
        <x:v>498</x:v>
      </x:c>
      <x:c r="H180" s="9" t="n">
        <x:f>SUM(SalesLines!M420)</x:f>
        <x:v>498</x:v>
      </x:c>
      <x:c r="I180" s="9" t="n">
        <x:f>SUM(SalesLines!N420)</x:f>
        <x:v>0</x:v>
      </x:c>
      <x:c r="J180" s="9" t="n">
        <x:f>SUM(SalesLines!P420)</x:f>
        <x:v>0</x:v>
      </x:c>
      <x:c r="K180" s="11" t="n">
        <x:f>SUM(SalesLines!R420)</x:f>
        <x:v>2</x:v>
      </x:c>
      <x:c r="L180" s="11" t="n">
        <x:f>SUM(SalesLines!S420)</x:f>
        <x:v>0</x:v>
      </x:c>
      <x:c r="M180" s="8" t="n">
        <x:f>DATE(YEAR(C180),MONTH(C180),1)</x:f>
        <x:v>45901</x:v>
      </x:c>
    </x:row>
    <x:row r="181" ht="22" customHeight="1">
      <x:c r="A181" s="2" t="str">
        <x:v>O00177</x:v>
      </x:c>
      <x:c r="B181" s="2" t="str">
        <x:v>C0236</x:v>
      </x:c>
      <x:c r="C181" s="7" t="n">
        <x:v>45662</x:v>
      </x:c>
      <x:c r="D181" s="2" t="str">
        <x:v>Completed</x:v>
      </x:c>
      <x:c r="E181" s="2" t="str">
        <x:v>West</x:v>
      </x:c>
      <x:c r="F181" s="2" t="str">
        <x:v>Store</x:v>
      </x:c>
      <x:c r="G181" s="9" t="n">
        <x:f>SUM(SalesLines!Q421,SalesLines!Q422,SalesLines!Q423)</x:f>
        <x:v>1434.8</x:v>
      </x:c>
      <x:c r="H181" s="9" t="n">
        <x:f>SUM(SalesLines!M421,SalesLines!M422,SalesLines!M423)</x:f>
        <x:v>1583</x:v>
      </x:c>
      <x:c r="I181" s="9" t="n">
        <x:f>SUM(SalesLines!N421,SalesLines!N422,SalesLines!N423)</x:f>
        <x:v>148.20000000000002</x:v>
      </x:c>
      <x:c r="J181" s="9" t="n">
        <x:f>SUM(SalesLines!P421,SalesLines!P422,SalesLines!P423)</x:f>
        <x:v>0</x:v>
      </x:c>
      <x:c r="K181" s="11" t="n">
        <x:f>SUM(SalesLines!R421,SalesLines!R422,SalesLines!R423)</x:f>
        <x:v>7</x:v>
      </x:c>
      <x:c r="L181" s="11" t="n">
        <x:f>SUM(SalesLines!S421,SalesLines!S422,SalesLines!S423)</x:f>
        <x:v>0</x:v>
      </x:c>
      <x:c r="M181" s="8" t="n">
        <x:f>DATE(YEAR(C181),MONTH(C181),1)</x:f>
        <x:v>45658</x:v>
      </x:c>
    </x:row>
    <x:row r="182" ht="22" customHeight="1">
      <x:c r="A182" s="2" t="str">
        <x:v>O00178</x:v>
      </x:c>
      <x:c r="B182" s="2" t="str">
        <x:v>C0165</x:v>
      </x:c>
      <x:c r="C182" s="7" t="n">
        <x:v>45847</x:v>
      </x:c>
      <x:c r="D182" s="2" t="str">
        <x:v>Completed</x:v>
      </x:c>
      <x:c r="E182" s="2" t="str">
        <x:v>West</x:v>
      </x:c>
      <x:c r="F182" s="2" t="str">
        <x:v>Online</x:v>
      </x:c>
      <x:c r="G182" s="9" t="n">
        <x:f>SUM(SalesLines!Q424,SalesLines!Q425,SalesLines!Q426,SalesLines!Q427)</x:f>
        <x:v>2234.25</x:v>
      </x:c>
      <x:c r="H182" s="9" t="n">
        <x:f>SUM(SalesLines!M424,SalesLines!M425,SalesLines!M426,SalesLines!M427)</x:f>
        <x:v>2423</x:v>
      </x:c>
      <x:c r="I182" s="9" t="n">
        <x:f>SUM(SalesLines!N424,SalesLines!N425,SalesLines!N426,SalesLines!N427)</x:f>
        <x:v>188.75000000000003</x:v>
      </x:c>
      <x:c r="J182" s="9" t="n">
        <x:f>SUM(SalesLines!P424,SalesLines!P425,SalesLines!P426,SalesLines!P427)</x:f>
        <x:v>0</x:v>
      </x:c>
      <x:c r="K182" s="11" t="n">
        <x:f>SUM(SalesLines!R424,SalesLines!R425,SalesLines!R426,SalesLines!R427)</x:f>
        <x:v>13</x:v>
      </x:c>
      <x:c r="L182" s="11" t="n">
        <x:f>SUM(SalesLines!S424,SalesLines!S425,SalesLines!S426,SalesLines!S427)</x:f>
        <x:v>0</x:v>
      </x:c>
      <x:c r="M182" s="8" t="n">
        <x:f>DATE(YEAR(C182),MONTH(C182),1)</x:f>
        <x:v>45839</x:v>
      </x:c>
    </x:row>
    <x:row r="183" ht="22" customHeight="1">
      <x:c r="A183" s="2" t="str">
        <x:v>O00179</x:v>
      </x:c>
      <x:c r="B183" s="2" t="str">
        <x:v>C0096</x:v>
      </x:c>
      <x:c r="C183" s="7" t="n">
        <x:v>45826</x:v>
      </x:c>
      <x:c r="D183" s="2" t="str">
        <x:v>Completed</x:v>
      </x:c>
      <x:c r="E183" s="2" t="str">
        <x:v>North</x:v>
      </x:c>
      <x:c r="F183" s="2" t="str">
        <x:v>Store</x:v>
      </x:c>
      <x:c r="G183" s="9" t="n">
        <x:f>SUM(SalesLines!Q428,SalesLines!Q429,SalesLines!Q430)</x:f>
        <x:v>1810.5</x:v>
      </x:c>
      <x:c r="H183" s="9" t="n">
        <x:f>SUM(SalesLines!M428,SalesLines!M429,SalesLines!M430)</x:f>
        <x:v>1844</x:v>
      </x:c>
      <x:c r="I183" s="9" t="n">
        <x:f>SUM(SalesLines!N428,SalesLines!N429,SalesLines!N430)</x:f>
        <x:v>33.5</x:v>
      </x:c>
      <x:c r="J183" s="9" t="n">
        <x:f>SUM(SalesLines!P428,SalesLines!P429,SalesLines!P430)</x:f>
        <x:v>0</x:v>
      </x:c>
      <x:c r="K183" s="11" t="n">
        <x:f>SUM(SalesLines!R428,SalesLines!R429,SalesLines!R430)</x:f>
        <x:v>13</x:v>
      </x:c>
      <x:c r="L183" s="11" t="n">
        <x:f>SUM(SalesLines!S428,SalesLines!S429,SalesLines!S430)</x:f>
        <x:v>0</x:v>
      </x:c>
      <x:c r="M183" s="8" t="n">
        <x:f>DATE(YEAR(C183),MONTH(C183),1)</x:f>
        <x:v>45809</x:v>
      </x:c>
    </x:row>
    <x:row r="184" ht="22" customHeight="1">
      <x:c r="A184" s="2" t="str">
        <x:v>O00180</x:v>
      </x:c>
      <x:c r="B184" s="2" t="str">
        <x:v>C0290</x:v>
      </x:c>
      <x:c r="C184" s="7" t="n">
        <x:v>45974</x:v>
      </x:c>
      <x:c r="D184" s="2" t="str">
        <x:v>Completed</x:v>
      </x:c>
      <x:c r="E184" s="2" t="str">
        <x:v>South</x:v>
      </x:c>
      <x:c r="F184" s="2" t="str">
        <x:v>Online</x:v>
      </x:c>
      <x:c r="G184" s="9" t="n">
        <x:f>SUM(SalesLines!Q431,SalesLines!Q432)</x:f>
        <x:v>714.8</x:v>
      </x:c>
      <x:c r="H184" s="9" t="n">
        <x:f>SUM(SalesLines!M431,SalesLines!M432)</x:f>
        <x:v>874</x:v>
      </x:c>
      <x:c r="I184" s="9" t="n">
        <x:f>SUM(SalesLines!N431,SalesLines!N432)</x:f>
        <x:v>159.20000000000002</x:v>
      </x:c>
      <x:c r="J184" s="9" t="n">
        <x:f>SUM(SalesLines!P431,SalesLines!P432)</x:f>
        <x:v>0</x:v>
      </x:c>
      <x:c r="K184" s="11" t="n">
        <x:f>SUM(SalesLines!R431,SalesLines!R432)</x:f>
        <x:v>5</x:v>
      </x:c>
      <x:c r="L184" s="11" t="n">
        <x:f>SUM(SalesLines!S431,SalesLines!S432)</x:f>
        <x:v>0</x:v>
      </x:c>
      <x:c r="M184" s="8" t="n">
        <x:f>DATE(YEAR(C184),MONTH(C184),1)</x:f>
        <x:v>45962</x:v>
      </x:c>
    </x:row>
    <x:row r="185" ht="22" customHeight="1">
      <x:c r="A185" s="2" t="str">
        <x:v>O00181</x:v>
      </x:c>
      <x:c r="B185" s="2" t="str">
        <x:v>C0146</x:v>
      </x:c>
      <x:c r="C185" s="7" t="n">
        <x:v>45680</x:v>
      </x:c>
      <x:c r="D185" s="2" t="str">
        <x:v>Completed</x:v>
      </x:c>
      <x:c r="E185" s="2" t="str">
        <x:v>South</x:v>
      </x:c>
      <x:c r="F185" s="2" t="str">
        <x:v>Online</x:v>
      </x:c>
      <x:c r="G185" s="9" t="n">
        <x:f>SUM(SalesLines!Q433,SalesLines!Q434,SalesLines!Q435,SalesLines!Q436)</x:f>
        <x:v>2027.1</x:v>
      </x:c>
      <x:c r="H185" s="9" t="n">
        <x:f>SUM(SalesLines!M433,SalesLines!M434,SalesLines!M435,SalesLines!M436)</x:f>
        <x:v>2385</x:v>
      </x:c>
      <x:c r="I185" s="9" t="n">
        <x:f>SUM(SalesLines!N433,SalesLines!N434,SalesLines!N435,SalesLines!N436)</x:f>
        <x:v>357.9</x:v>
      </x:c>
      <x:c r="J185" s="9" t="n">
        <x:f>SUM(SalesLines!P433,SalesLines!P434,SalesLines!P435,SalesLines!P436)</x:f>
        <x:v>0</x:v>
      </x:c>
      <x:c r="K185" s="11" t="n">
        <x:f>SUM(SalesLines!R433,SalesLines!R434,SalesLines!R435,SalesLines!R436)</x:f>
        <x:v>11</x:v>
      </x:c>
      <x:c r="L185" s="11" t="n">
        <x:f>SUM(SalesLines!S433,SalesLines!S434,SalesLines!S435,SalesLines!S436)</x:f>
        <x:v>0</x:v>
      </x:c>
      <x:c r="M185" s="8" t="n">
        <x:f>DATE(YEAR(C185),MONTH(C185),1)</x:f>
        <x:v>45658</x:v>
      </x:c>
    </x:row>
    <x:row r="186" ht="22" customHeight="1">
      <x:c r="A186" s="2" t="str">
        <x:v>O00182</x:v>
      </x:c>
      <x:c r="B186" s="2" t="str">
        <x:v>C0283</x:v>
      </x:c>
      <x:c r="C186" s="7" t="n">
        <x:v>45739</x:v>
      </x:c>
      <x:c r="D186" s="2" t="str">
        <x:v>Cancelled</x:v>
      </x:c>
      <x:c r="E186" s="2" t="str">
        <x:v>East</x:v>
      </x:c>
      <x:c r="F186" s="2" t="str">
        <x:v>Online</x:v>
      </x:c>
      <x:c r="G186" s="9" t="n">
        <x:f>SUM(SalesLines!Q437,SalesLines!Q438,SalesLines!Q439,SalesLines!Q440)</x:f>
        <x:v>0</x:v>
      </x:c>
      <x:c r="H186" s="9" t="n">
        <x:f>SUM(SalesLines!M437,SalesLines!M438,SalesLines!M439,SalesLines!M440)</x:f>
        <x:v>0</x:v>
      </x:c>
      <x:c r="I186" s="9" t="n">
        <x:f>SUM(SalesLines!N437,SalesLines!N438,SalesLines!N439,SalesLines!N440)</x:f>
        <x:v>0</x:v>
      </x:c>
      <x:c r="J186" s="9" t="n">
        <x:f>SUM(SalesLines!P437,SalesLines!P438,SalesLines!P439,SalesLines!P440)</x:f>
        <x:v>0</x:v>
      </x:c>
      <x:c r="K186" s="11" t="n">
        <x:f>SUM(SalesLines!R437,SalesLines!R438,SalesLines!R439,SalesLines!R440)</x:f>
        <x:v>0</x:v>
      </x:c>
      <x:c r="L186" s="11" t="n">
        <x:f>SUM(SalesLines!S437,SalesLines!S438,SalesLines!S439,SalesLines!S440)</x:f>
        <x:v>0</x:v>
      </x:c>
      <x:c r="M186" s="8" t="n">
        <x:f>DATE(YEAR(C186),MONTH(C186),1)</x:f>
        <x:v>45717</x:v>
      </x:c>
    </x:row>
    <x:row r="187" ht="22" customHeight="1">
      <x:c r="A187" s="2" t="str">
        <x:v>O00183</x:v>
      </x:c>
      <x:c r="B187" s="2" t="str">
        <x:v>C0203</x:v>
      </x:c>
      <x:c r="C187" s="7" t="n">
        <x:v>45709</x:v>
      </x:c>
      <x:c r="D187" s="2" t="str">
        <x:v>Completed</x:v>
      </x:c>
      <x:c r="E187" s="2" t="str">
        <x:v>South</x:v>
      </x:c>
      <x:c r="F187" s="2" t="str">
        <x:v>Store</x:v>
      </x:c>
      <x:c r="G187" s="9" t="n">
        <x:f>SUM(SalesLines!Q441,SalesLines!Q442,SalesLines!Q443,SalesLines!Q444)</x:f>
        <x:v>989.5500000000001</x:v>
      </x:c>
      <x:c r="H187" s="9" t="n">
        <x:f>SUM(SalesLines!M441,SalesLines!M442,SalesLines!M443,SalesLines!M444)</x:f>
        <x:v>1065</x:v>
      </x:c>
      <x:c r="I187" s="9" t="n">
        <x:f>SUM(SalesLines!N441,SalesLines!N442,SalesLines!N443,SalesLines!N444)</x:f>
        <x:v>75.45</x:v>
      </x:c>
      <x:c r="J187" s="9" t="n">
        <x:f>SUM(SalesLines!P441,SalesLines!P442,SalesLines!P443,SalesLines!P444)</x:f>
        <x:v>0</x:v>
      </x:c>
      <x:c r="K187" s="11" t="n">
        <x:f>SUM(SalesLines!R441,SalesLines!R442,SalesLines!R443,SalesLines!R444)</x:f>
        <x:v>7</x:v>
      </x:c>
      <x:c r="L187" s="11" t="n">
        <x:f>SUM(SalesLines!S441,SalesLines!S442,SalesLines!S443,SalesLines!S444)</x:f>
        <x:v>0</x:v>
      </x:c>
      <x:c r="M187" s="8" t="n">
        <x:f>DATE(YEAR(C187),MONTH(C187),1)</x:f>
        <x:v>45689</x:v>
      </x:c>
    </x:row>
    <x:row r="188" ht="22" customHeight="1">
      <x:c r="A188" s="2" t="str">
        <x:v>O00184</x:v>
      </x:c>
      <x:c r="B188" s="2" t="str">
        <x:v>C0082</x:v>
      </x:c>
      <x:c r="C188" s="7" t="n">
        <x:v>45803</x:v>
      </x:c>
      <x:c r="D188" s="2" t="str">
        <x:v>Cancelled</x:v>
      </x:c>
      <x:c r="E188" s="2" t="str">
        <x:v>North</x:v>
      </x:c>
      <x:c r="F188" s="2" t="str">
        <x:v>Store</x:v>
      </x:c>
      <x:c r="G188" s="9" t="n">
        <x:f>SUM(SalesLines!Q445,SalesLines!Q446)</x:f>
        <x:v>0</x:v>
      </x:c>
      <x:c r="H188" s="9" t="n">
        <x:f>SUM(SalesLines!M445,SalesLines!M446)</x:f>
        <x:v>0</x:v>
      </x:c>
      <x:c r="I188" s="9" t="n">
        <x:f>SUM(SalesLines!N445,SalesLines!N446)</x:f>
        <x:v>0</x:v>
      </x:c>
      <x:c r="J188" s="9" t="n">
        <x:f>SUM(SalesLines!P445,SalesLines!P446)</x:f>
        <x:v>0</x:v>
      </x:c>
      <x:c r="K188" s="11" t="n">
        <x:f>SUM(SalesLines!R445,SalesLines!R446)</x:f>
        <x:v>0</x:v>
      </x:c>
      <x:c r="L188" s="11" t="n">
        <x:f>SUM(SalesLines!S445,SalesLines!S446)</x:f>
        <x:v>0</x:v>
      </x:c>
      <x:c r="M188" s="8" t="n">
        <x:f>DATE(YEAR(C188),MONTH(C188),1)</x:f>
        <x:v>45778</x:v>
      </x:c>
    </x:row>
    <x:row r="189" ht="22" customHeight="1">
      <x:c r="A189" s="2" t="str">
        <x:v>O00185</x:v>
      </x:c>
      <x:c r="B189" s="2" t="str">
        <x:v>C0055</x:v>
      </x:c>
      <x:c r="C189" s="7" t="n">
        <x:v>45851</x:v>
      </x:c>
      <x:c r="D189" s="2" t="str">
        <x:v>Completed</x:v>
      </x:c>
      <x:c r="E189" s="2" t="str">
        <x:v>East</x:v>
      </x:c>
      <x:c r="F189" s="2" t="str">
        <x:v>Online</x:v>
      </x:c>
      <x:c r="G189" s="9" t="n">
        <x:f>SUM(SalesLines!Q447,SalesLines!Q448,SalesLines!Q449,SalesLines!Q450)</x:f>
        <x:v>3294.1000000000004</x:v>
      </x:c>
      <x:c r="H189" s="9" t="n">
        <x:f>SUM(SalesLines!M447,SalesLines!M448,SalesLines!M449,SalesLines!M450)</x:f>
        <x:v>3767</x:v>
      </x:c>
      <x:c r="I189" s="9" t="n">
        <x:f>SUM(SalesLines!N447,SalesLines!N448,SalesLines!N449,SalesLines!N450)</x:f>
        <x:v>472.90000000000003</x:v>
      </x:c>
      <x:c r="J189" s="9" t="n">
        <x:f>SUM(SalesLines!P447,SalesLines!P448,SalesLines!P449,SalesLines!P450)</x:f>
        <x:v>0</x:v>
      </x:c>
      <x:c r="K189" s="11" t="n">
        <x:f>SUM(SalesLines!R447,SalesLines!R448,SalesLines!R449,SalesLines!R450)</x:f>
        <x:v>15</x:v>
      </x:c>
      <x:c r="L189" s="11" t="n">
        <x:f>SUM(SalesLines!S447,SalesLines!S448,SalesLines!S449,SalesLines!S450)</x:f>
        <x:v>0</x:v>
      </x:c>
      <x:c r="M189" s="8" t="n">
        <x:f>DATE(YEAR(C189),MONTH(C189),1)</x:f>
        <x:v>45839</x:v>
      </x:c>
    </x:row>
    <x:row r="190" ht="22" customHeight="1">
      <x:c r="A190" s="2" t="str">
        <x:v>O00186</x:v>
      </x:c>
      <x:c r="B190" s="2" t="str">
        <x:v>C0157</x:v>
      </x:c>
      <x:c r="C190" s="7" t="n">
        <x:v>45777</x:v>
      </x:c>
      <x:c r="D190" s="2" t="str">
        <x:v>Completed</x:v>
      </x:c>
      <x:c r="E190" s="2" t="str">
        <x:v>West</x:v>
      </x:c>
      <x:c r="F190" s="2" t="str">
        <x:v>Store</x:v>
      </x:c>
      <x:c r="G190" s="9" t="n">
        <x:f>SUM(SalesLines!Q451,SalesLines!Q452,SalesLines!Q453)</x:f>
        <x:v>1543.8</x:v>
      </x:c>
      <x:c r="H190" s="9" t="n">
        <x:f>SUM(SalesLines!M451,SalesLines!M452,SalesLines!M453)</x:f>
        <x:v>1624</x:v>
      </x:c>
      <x:c r="I190" s="9" t="n">
        <x:f>SUM(SalesLines!N451,SalesLines!N452,SalesLines!N453)</x:f>
        <x:v>80.2</x:v>
      </x:c>
      <x:c r="J190" s="9" t="n">
        <x:f>SUM(SalesLines!P451,SalesLines!P452,SalesLines!P453)</x:f>
        <x:v>0</x:v>
      </x:c>
      <x:c r="K190" s="11" t="n">
        <x:f>SUM(SalesLines!R451,SalesLines!R452,SalesLines!R453)</x:f>
        <x:v>13</x:v>
      </x:c>
      <x:c r="L190" s="11" t="n">
        <x:f>SUM(SalesLines!S451,SalesLines!S452,SalesLines!S453)</x:f>
        <x:v>0</x:v>
      </x:c>
      <x:c r="M190" s="8" t="n">
        <x:f>DATE(YEAR(C190),MONTH(C190),1)</x:f>
        <x:v>45748</x:v>
      </x:c>
    </x:row>
    <x:row r="191" ht="22" customHeight="1">
      <x:c r="A191" s="2" t="str">
        <x:v>O00187</x:v>
      </x:c>
      <x:c r="B191" s="2" t="str">
        <x:v>C0108</x:v>
      </x:c>
      <x:c r="C191" s="7" t="n">
        <x:v>45680</x:v>
      </x:c>
      <x:c r="D191" s="2" t="str">
        <x:v>Completed</x:v>
      </x:c>
      <x:c r="E191" s="2" t="str">
        <x:v>East</x:v>
      </x:c>
      <x:c r="F191" s="2" t="str">
        <x:v>Store</x:v>
      </x:c>
      <x:c r="G191" s="9" t="n">
        <x:f>SUM(SalesLines!Q454,SalesLines!Q455,SalesLines!Q456)</x:f>
        <x:v>441.75</x:v>
      </x:c>
      <x:c r="H191" s="9" t="n">
        <x:f>SUM(SalesLines!M454,SalesLines!M455,SalesLines!M456)</x:f>
        <x:v>480</x:v>
      </x:c>
      <x:c r="I191" s="9" t="n">
        <x:f>SUM(SalesLines!N454,SalesLines!N455,SalesLines!N456)</x:f>
        <x:v>38.25</x:v>
      </x:c>
      <x:c r="J191" s="9" t="n">
        <x:f>SUM(SalesLines!P454,SalesLines!P455,SalesLines!P456)</x:f>
        <x:v>0</x:v>
      </x:c>
      <x:c r="K191" s="11" t="n">
        <x:f>SUM(SalesLines!R454,SalesLines!R455,SalesLines!R456)</x:f>
        <x:v>7</x:v>
      </x:c>
      <x:c r="L191" s="11" t="n">
        <x:f>SUM(SalesLines!S454,SalesLines!S455,SalesLines!S456)</x:f>
        <x:v>0</x:v>
      </x:c>
      <x:c r="M191" s="8" t="n">
        <x:f>DATE(YEAR(C191),MONTH(C191),1)</x:f>
        <x:v>45658</x:v>
      </x:c>
    </x:row>
    <x:row r="192" ht="22" customHeight="1">
      <x:c r="A192" s="2" t="str">
        <x:v>O00188</x:v>
      </x:c>
      <x:c r="B192" s="2" t="str">
        <x:v>C0287</x:v>
      </x:c>
      <x:c r="C192" s="7" t="n">
        <x:v>46009</x:v>
      </x:c>
      <x:c r="D192" s="2" t="str">
        <x:v>Completed</x:v>
      </x:c>
      <x:c r="E192" s="2" t="str">
        <x:v>South</x:v>
      </x:c>
      <x:c r="F192" s="2" t="str">
        <x:v>Online</x:v>
      </x:c>
      <x:c r="G192" s="9" t="n">
        <x:f>SUM(SalesLines!Q457,SalesLines!Q458)</x:f>
        <x:v>1848.9</x:v>
      </x:c>
      <x:c r="H192" s="9" t="n">
        <x:f>SUM(SalesLines!M457,SalesLines!M458)</x:f>
        <x:v>1989</x:v>
      </x:c>
      <x:c r="I192" s="9" t="n">
        <x:f>SUM(SalesLines!N457,SalesLines!N458)</x:f>
        <x:v>140.10000000000002</x:v>
      </x:c>
      <x:c r="J192" s="9" t="n">
        <x:f>SUM(SalesLines!P457,SalesLines!P458)</x:f>
        <x:v>0</x:v>
      </x:c>
      <x:c r="K192" s="11" t="n">
        <x:f>SUM(SalesLines!R457,SalesLines!R458)</x:f>
        <x:v>7</x:v>
      </x:c>
      <x:c r="L192" s="11" t="n">
        <x:f>SUM(SalesLines!S457,SalesLines!S458)</x:f>
        <x:v>0</x:v>
      </x:c>
      <x:c r="M192" s="8" t="n">
        <x:f>DATE(YEAR(C192),MONTH(C192),1)</x:f>
        <x:v>45992</x:v>
      </x:c>
    </x:row>
    <x:row r="193" ht="22" customHeight="1">
      <x:c r="A193" s="2" t="str">
        <x:v>O00189</x:v>
      </x:c>
      <x:c r="B193" s="2" t="str">
        <x:v>C0294</x:v>
      </x:c>
      <x:c r="C193" s="7" t="n">
        <x:v>45677</x:v>
      </x:c>
      <x:c r="D193" s="2" t="str">
        <x:v>Completed</x:v>
      </x:c>
      <x:c r="E193" s="2" t="str">
        <x:v>South</x:v>
      </x:c>
      <x:c r="F193" s="2" t="str">
        <x:v>Store</x:v>
      </x:c>
      <x:c r="G193" s="9" t="n">
        <x:f>SUM(SalesLines!Q459,SalesLines!Q460,SalesLines!Q461)</x:f>
        <x:v>717.2</x:v>
      </x:c>
      <x:c r="H193" s="9" t="n">
        <x:f>SUM(SalesLines!M459,SalesLines!M460,SalesLines!M461)</x:f>
        <x:v>1064</x:v>
      </x:c>
      <x:c r="I193" s="9" t="n">
        <x:f>SUM(SalesLines!N459,SalesLines!N460,SalesLines!N461)</x:f>
        <x:v>6.800000000000001</x:v>
      </x:c>
      <x:c r="J193" s="9" t="n">
        <x:f>SUM(SalesLines!P459,SalesLines!P460,SalesLines!P461)</x:f>
        <x:v>340</x:v>
      </x:c>
      <x:c r="K193" s="11" t="n">
        <x:f>SUM(SalesLines!R459,SalesLines!R460,SalesLines!R461)</x:f>
        <x:v>10</x:v>
      </x:c>
      <x:c r="L193" s="11" t="n">
        <x:f>SUM(SalesLines!S459,SalesLines!S460,SalesLines!S461)</x:f>
        <x:v>5</x:v>
      </x:c>
      <x:c r="M193" s="8" t="n">
        <x:f>DATE(YEAR(C193),MONTH(C193),1)</x:f>
        <x:v>45658</x:v>
      </x:c>
    </x:row>
    <x:row r="194" ht="22" customHeight="1">
      <x:c r="A194" s="2" t="str">
        <x:v>O00190</x:v>
      </x:c>
      <x:c r="B194" s="2" t="str">
        <x:v>C0016</x:v>
      </x:c>
      <x:c r="C194" s="7" t="n">
        <x:v>45825</x:v>
      </x:c>
      <x:c r="D194" s="2" t="str">
        <x:v>Completed</x:v>
      </x:c>
      <x:c r="E194" s="2" t="str">
        <x:v>East</x:v>
      </x:c>
      <x:c r="F194" s="2" t="str">
        <x:v>Online</x:v>
      </x:c>
      <x:c r="G194" s="9" t="n">
        <x:f>SUM(SalesLines!Q462,SalesLines!Q463)</x:f>
        <x:v>279.9</x:v>
      </x:c>
      <x:c r="H194" s="9" t="n">
        <x:f>SUM(SalesLines!M462,SalesLines!M463)</x:f>
        <x:v>311</x:v>
      </x:c>
      <x:c r="I194" s="9" t="n">
        <x:f>SUM(SalesLines!N462,SalesLines!N463)</x:f>
        <x:v>31.1</x:v>
      </x:c>
      <x:c r="J194" s="9" t="n">
        <x:f>SUM(SalesLines!P462,SalesLines!P463)</x:f>
        <x:v>0</x:v>
      </x:c>
      <x:c r="K194" s="11" t="n">
        <x:f>SUM(SalesLines!R462,SalesLines!R463)</x:f>
        <x:v>2</x:v>
      </x:c>
      <x:c r="L194" s="11" t="n">
        <x:f>SUM(SalesLines!S462,SalesLines!S463)</x:f>
        <x:v>0</x:v>
      </x:c>
      <x:c r="M194" s="8" t="n">
        <x:f>DATE(YEAR(C194),MONTH(C194),1)</x:f>
        <x:v>45809</x:v>
      </x:c>
    </x:row>
    <x:row r="195" ht="22" customHeight="1">
      <x:c r="A195" s="2" t="str">
        <x:v>O00191</x:v>
      </x:c>
      <x:c r="B195" s="2" t="str">
        <x:v>C0129</x:v>
      </x:c>
      <x:c r="C195" s="7" t="n">
        <x:v>45677</x:v>
      </x:c>
      <x:c r="D195" s="2" t="str">
        <x:v>Completed</x:v>
      </x:c>
      <x:c r="E195" s="2" t="str">
        <x:v>North</x:v>
      </x:c>
      <x:c r="F195" s="2" t="str">
        <x:v>Store</x:v>
      </x:c>
      <x:c r="G195" s="9" t="n">
        <x:f>SUM(SalesLines!Q464,SalesLines!Q465,SalesLines!Q466)</x:f>
        <x:v>2439.15</x:v>
      </x:c>
      <x:c r="H195" s="9" t="n">
        <x:f>SUM(SalesLines!M464,SalesLines!M465,SalesLines!M466)</x:f>
        <x:v>2646</x:v>
      </x:c>
      <x:c r="I195" s="9" t="n">
        <x:f>SUM(SalesLines!N464,SalesLines!N465,SalesLines!N466)</x:f>
        <x:v>206.85</x:v>
      </x:c>
      <x:c r="J195" s="9" t="n">
        <x:f>SUM(SalesLines!P464,SalesLines!P465,SalesLines!P466)</x:f>
        <x:v>0</x:v>
      </x:c>
      <x:c r="K195" s="11" t="n">
        <x:f>SUM(SalesLines!R464,SalesLines!R465,SalesLines!R466)</x:f>
        <x:v>12</x:v>
      </x:c>
      <x:c r="L195" s="11" t="n">
        <x:f>SUM(SalesLines!S464,SalesLines!S465,SalesLines!S466)</x:f>
        <x:v>0</x:v>
      </x:c>
      <x:c r="M195" s="8" t="n">
        <x:f>DATE(YEAR(C195),MONTH(C195),1)</x:f>
        <x:v>45658</x:v>
      </x:c>
    </x:row>
    <x:row r="196" ht="22" customHeight="1">
      <x:c r="A196" s="2" t="str">
        <x:v>O00192</x:v>
      </x:c>
      <x:c r="B196" s="2" t="str">
        <x:v>C0013</x:v>
      </x:c>
      <x:c r="C196" s="7" t="n">
        <x:v>45732</x:v>
      </x:c>
      <x:c r="D196" s="2" t="str">
        <x:v>Completed</x:v>
      </x:c>
      <x:c r="E196" s="2" t="str">
        <x:v>West</x:v>
      </x:c>
      <x:c r="F196" s="2" t="str">
        <x:v>Online</x:v>
      </x:c>
      <x:c r="G196" s="9" t="n">
        <x:f>SUM(SalesLines!Q467)</x:f>
        <x:v>400.9</x:v>
      </x:c>
      <x:c r="H196" s="9" t="n">
        <x:f>SUM(SalesLines!M467)</x:f>
        <x:v>422</x:v>
      </x:c>
      <x:c r="I196" s="9" t="n">
        <x:f>SUM(SalesLines!N467)</x:f>
        <x:v>21.1</x:v>
      </x:c>
      <x:c r="J196" s="9" t="n">
        <x:f>SUM(SalesLines!P467)</x:f>
        <x:v>0</x:v>
      </x:c>
      <x:c r="K196" s="11" t="n">
        <x:f>SUM(SalesLines!R467)</x:f>
        <x:v>2</x:v>
      </x:c>
      <x:c r="L196" s="11" t="n">
        <x:f>SUM(SalesLines!S467)</x:f>
        <x:v>0</x:v>
      </x:c>
      <x:c r="M196" s="8" t="n">
        <x:f>DATE(YEAR(C196),MONTH(C196),1)</x:f>
        <x:v>45717</x:v>
      </x:c>
    </x:row>
    <x:row r="197" ht="22" customHeight="1">
      <x:c r="A197" s="2" t="str">
        <x:v>O00193</x:v>
      </x:c>
      <x:c r="B197" s="2" t="str">
        <x:v>C0181</x:v>
      </x:c>
      <x:c r="C197" s="7" t="n">
        <x:v>45986</x:v>
      </x:c>
      <x:c r="D197" s="2" t="str">
        <x:v>Completed</x:v>
      </x:c>
      <x:c r="E197" s="2" t="str">
        <x:v>West</x:v>
      </x:c>
      <x:c r="F197" s="2" t="str">
        <x:v>Online</x:v>
      </x:c>
      <x:c r="G197" s="9" t="n">
        <x:f>SUM(SalesLines!Q468)</x:f>
        <x:v>0</x:v>
      </x:c>
      <x:c r="H197" s="9" t="n">
        <x:f>SUM(SalesLines!M468)</x:f>
        <x:v>610</x:v>
      </x:c>
      <x:c r="I197" s="9" t="n">
        <x:f>SUM(SalesLines!N468)</x:f>
        <x:v>61</x:v>
      </x:c>
      <x:c r="J197" s="9" t="n">
        <x:f>SUM(SalesLines!P468)</x:f>
        <x:v>549</x:v>
      </x:c>
      <x:c r="K197" s="11" t="n">
        <x:f>SUM(SalesLines!R468)</x:f>
        <x:v>5</x:v>
      </x:c>
      <x:c r="L197" s="11" t="n">
        <x:f>SUM(SalesLines!S468)</x:f>
        <x:v>5</x:v>
      </x:c>
      <x:c r="M197" s="8" t="n">
        <x:f>DATE(YEAR(C197),MONTH(C197),1)</x:f>
        <x:v>45962</x:v>
      </x:c>
    </x:row>
    <x:row r="198" ht="22" customHeight="1">
      <x:c r="A198" s="2" t="str">
        <x:v>O00194</x:v>
      </x:c>
      <x:c r="B198" s="2" t="str">
        <x:v>C0011</x:v>
      </x:c>
      <x:c r="C198" s="7" t="n">
        <x:v>45880</x:v>
      </x:c>
      <x:c r="D198" s="2" t="str">
        <x:v>Completed</x:v>
      </x:c>
      <x:c r="E198" s="2" t="str">
        <x:v>North</x:v>
      </x:c>
      <x:c r="F198" s="2" t="str">
        <x:v>Online</x:v>
      </x:c>
      <x:c r="G198" s="9" t="n">
        <x:f>SUM(SalesLines!Q469,SalesLines!Q470)</x:f>
        <x:v>1065</x:v>
      </x:c>
      <x:c r="H198" s="9" t="n">
        <x:f>SUM(SalesLines!M469,SalesLines!M470)</x:f>
        <x:v>1158</x:v>
      </x:c>
      <x:c r="I198" s="9" t="n">
        <x:f>SUM(SalesLines!N469,SalesLines!N470)</x:f>
        <x:v>93</x:v>
      </x:c>
      <x:c r="J198" s="9" t="n">
        <x:f>SUM(SalesLines!P469,SalesLines!P470)</x:f>
        <x:v>0</x:v>
      </x:c>
      <x:c r="K198" s="11" t="n">
        <x:f>SUM(SalesLines!R469,SalesLines!R470)</x:f>
        <x:v>8</x:v>
      </x:c>
      <x:c r="L198" s="11" t="n">
        <x:f>SUM(SalesLines!S469,SalesLines!S470)</x:f>
        <x:v>0</x:v>
      </x:c>
      <x:c r="M198" s="8" t="n">
        <x:f>DATE(YEAR(C198),MONTH(C198),1)</x:f>
        <x:v>45870</x:v>
      </x:c>
    </x:row>
    <x:row r="199" ht="22" customHeight="1">
      <x:c r="A199" s="2" t="str">
        <x:v>O00195</x:v>
      </x:c>
      <x:c r="B199" s="2" t="str">
        <x:v>C0030</x:v>
      </x:c>
      <x:c r="C199" s="7" t="n">
        <x:v>46002</x:v>
      </x:c>
      <x:c r="D199" s="2" t="str">
        <x:v>Completed</x:v>
      </x:c>
      <x:c r="E199" s="2" t="str">
        <x:v>South</x:v>
      </x:c>
      <x:c r="F199" s="2" t="str">
        <x:v>Store</x:v>
      </x:c>
      <x:c r="G199" s="9" t="n">
        <x:f>SUM(SalesLines!Q471,SalesLines!Q472,SalesLines!Q473)</x:f>
        <x:v>1094.45</x:v>
      </x:c>
      <x:c r="H199" s="9" t="n">
        <x:f>SUM(SalesLines!M471,SalesLines!M472,SalesLines!M473)</x:f>
        <x:v>1259</x:v>
      </x:c>
      <x:c r="I199" s="9" t="n">
        <x:f>SUM(SalesLines!N471,SalesLines!N472,SalesLines!N473)</x:f>
        <x:v>164.55</x:v>
      </x:c>
      <x:c r="J199" s="9" t="n">
        <x:f>SUM(SalesLines!P471,SalesLines!P472,SalesLines!P473)</x:f>
        <x:v>0</x:v>
      </x:c>
      <x:c r="K199" s="11" t="n">
        <x:f>SUM(SalesLines!R471,SalesLines!R472,SalesLines!R473)</x:f>
        <x:v>7</x:v>
      </x:c>
      <x:c r="L199" s="11" t="n">
        <x:f>SUM(SalesLines!S471,SalesLines!S472,SalesLines!S473)</x:f>
        <x:v>0</x:v>
      </x:c>
      <x:c r="M199" s="8" t="n">
        <x:f>DATE(YEAR(C199),MONTH(C199),1)</x:f>
        <x:v>45992</x:v>
      </x:c>
    </x:row>
    <x:row r="200" ht="22" customHeight="1">
      <x:c r="A200" s="2" t="str">
        <x:v>O00196</x:v>
      </x:c>
      <x:c r="B200" s="2" t="str">
        <x:v>C0074</x:v>
      </x:c>
      <x:c r="C200" s="7" t="n">
        <x:v>45784</x:v>
      </x:c>
      <x:c r="D200" s="2" t="str">
        <x:v>Completed</x:v>
      </x:c>
      <x:c r="E200" s="2" t="str">
        <x:v>South</x:v>
      </x:c>
      <x:c r="F200" s="2" t="str">
        <x:v>Online</x:v>
      </x:c>
      <x:c r="G200" s="9" t="n">
        <x:f>SUM(SalesLines!Q474,SalesLines!Q475,SalesLines!Q476)</x:f>
        <x:v>558.65</x:v>
      </x:c>
      <x:c r="H200" s="9" t="n">
        <x:f>SUM(SalesLines!M474,SalesLines!M475,SalesLines!M476)</x:f>
        <x:v>572</x:v>
      </x:c>
      <x:c r="I200" s="9" t="n">
        <x:f>SUM(SalesLines!N474,SalesLines!N475,SalesLines!N476)</x:f>
        <x:v>13.350000000000001</x:v>
      </x:c>
      <x:c r="J200" s="9" t="n">
        <x:f>SUM(SalesLines!P474,SalesLines!P475,SalesLines!P476)</x:f>
        <x:v>0</x:v>
      </x:c>
      <x:c r="K200" s="11" t="n">
        <x:f>SUM(SalesLines!R474,SalesLines!R475,SalesLines!R476)</x:f>
        <x:v>4</x:v>
      </x:c>
      <x:c r="L200" s="11" t="n">
        <x:f>SUM(SalesLines!S474,SalesLines!S475,SalesLines!S476)</x:f>
        <x:v>0</x:v>
      </x:c>
      <x:c r="M200" s="8" t="n">
        <x:f>DATE(YEAR(C200),MONTH(C200),1)</x:f>
        <x:v>45778</x:v>
      </x:c>
    </x:row>
    <x:row r="201" ht="22" customHeight="1">
      <x:c r="A201" s="2" t="str">
        <x:v>O00197</x:v>
      </x:c>
      <x:c r="B201" s="2" t="str">
        <x:v>C0186</x:v>
      </x:c>
      <x:c r="C201" s="7" t="n">
        <x:v>45671</x:v>
      </x:c>
      <x:c r="D201" s="2" t="str">
        <x:v>Completed</x:v>
      </x:c>
      <x:c r="E201" s="2" t="str">
        <x:v>North</x:v>
      </x:c>
      <x:c r="F201" s="2" t="str">
        <x:v>Store</x:v>
      </x:c>
      <x:c r="G201" s="9" t="n">
        <x:f>SUM(SalesLines!Q477,SalesLines!Q478,SalesLines!Q479)</x:f>
        <x:v>1260.3</x:v>
      </x:c>
      <x:c r="H201" s="9" t="n">
        <x:f>SUM(SalesLines!M477,SalesLines!M478,SalesLines!M479)</x:f>
        <x:v>1306</x:v>
      </x:c>
      <x:c r="I201" s="9" t="n">
        <x:f>SUM(SalesLines!N477,SalesLines!N478,SalesLines!N479)</x:f>
        <x:v>45.7</x:v>
      </x:c>
      <x:c r="J201" s="9" t="n">
        <x:f>SUM(SalesLines!P477,SalesLines!P478,SalesLines!P479)</x:f>
        <x:v>0</x:v>
      </x:c>
      <x:c r="K201" s="11" t="n">
        <x:f>SUM(SalesLines!R477,SalesLines!R478,SalesLines!R479)</x:f>
        <x:v>8</x:v>
      </x:c>
      <x:c r="L201" s="11" t="n">
        <x:f>SUM(SalesLines!S477,SalesLines!S478,SalesLines!S479)</x:f>
        <x:v>0</x:v>
      </x:c>
      <x:c r="M201" s="8" t="n">
        <x:f>DATE(YEAR(C201),MONTH(C201),1)</x:f>
        <x:v>45658</x:v>
      </x:c>
    </x:row>
    <x:row r="202" ht="22" customHeight="1">
      <x:c r="A202" s="2" t="str">
        <x:v>O00198</x:v>
      </x:c>
      <x:c r="B202" s="2" t="str">
        <x:v>C0165</x:v>
      </x:c>
      <x:c r="C202" s="7" t="n">
        <x:v>45874</x:v>
      </x:c>
      <x:c r="D202" s="2" t="str">
        <x:v>Completed</x:v>
      </x:c>
      <x:c r="E202" s="2" t="str">
        <x:v>West</x:v>
      </x:c>
      <x:c r="F202" s="2" t="str">
        <x:v>Store</x:v>
      </x:c>
      <x:c r="G202" s="9" t="n">
        <x:f>SUM(SalesLines!Q480)</x:f>
        <x:v>568</x:v>
      </x:c>
      <x:c r="H202" s="9" t="n">
        <x:f>SUM(SalesLines!M480)</x:f>
        <x:v>568</x:v>
      </x:c>
      <x:c r="I202" s="9" t="n">
        <x:f>SUM(SalesLines!N480)</x:f>
        <x:v>0</x:v>
      </x:c>
      <x:c r="J202" s="9" t="n">
        <x:f>SUM(SalesLines!P480)</x:f>
        <x:v>0</x:v>
      </x:c>
      <x:c r="K202" s="11" t="n">
        <x:f>SUM(SalesLines!R480)</x:f>
        <x:v>2</x:v>
      </x:c>
      <x:c r="L202" s="11" t="n">
        <x:f>SUM(SalesLines!S480)</x:f>
        <x:v>0</x:v>
      </x:c>
      <x:c r="M202" s="8" t="n">
        <x:f>DATE(YEAR(C202),MONTH(C202),1)</x:f>
        <x:v>45870</x:v>
      </x:c>
    </x:row>
    <x:row r="203" ht="22" customHeight="1">
      <x:c r="A203" s="2" t="str">
        <x:v>O00199</x:v>
      </x:c>
      <x:c r="B203" s="2" t="str">
        <x:v>C0222</x:v>
      </x:c>
      <x:c r="C203" s="7" t="n">
        <x:v>45929</x:v>
      </x:c>
      <x:c r="D203" s="2" t="str">
        <x:v>Completed</x:v>
      </x:c>
      <x:c r="E203" s="2" t="str">
        <x:v>East</x:v>
      </x:c>
      <x:c r="F203" s="2" t="str">
        <x:v>Store</x:v>
      </x:c>
      <x:c r="G203" s="9" t="n">
        <x:f>SUM(SalesLines!Q481,SalesLines!Q482,SalesLines!Q483)</x:f>
        <x:v>2707</x:v>
      </x:c>
      <x:c r="H203" s="9" t="n">
        <x:f>SUM(SalesLines!M481,SalesLines!M482,SalesLines!M483)</x:f>
        <x:v>2984</x:v>
      </x:c>
      <x:c r="I203" s="9" t="n">
        <x:f>SUM(SalesLines!N481,SalesLines!N482,SalesLines!N483)</x:f>
        <x:v>277</x:v>
      </x:c>
      <x:c r="J203" s="9" t="n">
        <x:f>SUM(SalesLines!P481,SalesLines!P482,SalesLines!P483)</x:f>
        <x:v>0</x:v>
      </x:c>
      <x:c r="K203" s="11" t="n">
        <x:f>SUM(SalesLines!R481,SalesLines!R482,SalesLines!R483)</x:f>
        <x:v>11</x:v>
      </x:c>
      <x:c r="L203" s="11" t="n">
        <x:f>SUM(SalesLines!S481,SalesLines!S482,SalesLines!S483)</x:f>
        <x:v>0</x:v>
      </x:c>
      <x:c r="M203" s="8" t="n">
        <x:f>DATE(YEAR(C203),MONTH(C203),1)</x:f>
        <x:v>45901</x:v>
      </x:c>
    </x:row>
    <x:row r="204" ht="22" customHeight="1">
      <x:c r="A204" s="2" t="str">
        <x:v>O00200</x:v>
      </x:c>
      <x:c r="B204" s="2" t="str">
        <x:v>C0001</x:v>
      </x:c>
      <x:c r="C204" s="7" t="n">
        <x:v>45748</x:v>
      </x:c>
      <x:c r="D204" s="2" t="str">
        <x:v>Completed</x:v>
      </x:c>
      <x:c r="E204" s="2" t="str">
        <x:v>East</x:v>
      </x:c>
      <x:c r="F204" s="2" t="str">
        <x:v>Online</x:v>
      </x:c>
      <x:c r="G204" s="9" t="n">
        <x:f>SUM(SalesLines!Q484,SalesLines!Q485)</x:f>
        <x:v>1720.5</x:v>
      </x:c>
      <x:c r="H204" s="9" t="n">
        <x:f>SUM(SalesLines!M484,SalesLines!M485)</x:f>
        <x:v>1754</x:v>
      </x:c>
      <x:c r="I204" s="9" t="n">
        <x:f>SUM(SalesLines!N484,SalesLines!N485)</x:f>
        <x:v>33.5</x:v>
      </x:c>
      <x:c r="J204" s="9" t="n">
        <x:f>SUM(SalesLines!P484,SalesLines!P485)</x:f>
        <x:v>0</x:v>
      </x:c>
      <x:c r="K204" s="11" t="n">
        <x:f>SUM(SalesLines!R484,SalesLines!R485)</x:f>
        <x:v>9</x:v>
      </x:c>
      <x:c r="L204" s="11" t="n">
        <x:f>SUM(SalesLines!S484,SalesLines!S485)</x:f>
        <x:v>0</x:v>
      </x:c>
      <x:c r="M204" s="8" t="n">
        <x:f>DATE(YEAR(C204),MONTH(C204),1)</x:f>
        <x:v>45748</x:v>
      </x:c>
    </x:row>
    <x:row r="205" ht="22" customHeight="1">
      <x:c r="A205" s="2" t="str">
        <x:v>O00201</x:v>
      </x:c>
      <x:c r="B205" s="2" t="str">
        <x:v>C0278</x:v>
      </x:c>
      <x:c r="C205" s="7" t="n">
        <x:v>45905</x:v>
      </x:c>
      <x:c r="D205" s="2" t="str">
        <x:v>Completed</x:v>
      </x:c>
      <x:c r="E205" s="2" t="str">
        <x:v>North</x:v>
      </x:c>
      <x:c r="F205" s="2" t="str">
        <x:v>Store</x:v>
      </x:c>
      <x:c r="G205" s="9" t="n">
        <x:f>SUM(SalesLines!Q486,SalesLines!Q487,SalesLines!Q488,SalesLines!Q489)</x:f>
        <x:v>2221.8</x:v>
      </x:c>
      <x:c r="H205" s="9" t="n">
        <x:f>SUM(SalesLines!M486,SalesLines!M487,SalesLines!M488,SalesLines!M489)</x:f>
        <x:v>2499</x:v>
      </x:c>
      <x:c r="I205" s="9" t="n">
        <x:f>SUM(SalesLines!N486,SalesLines!N487,SalesLines!N488,SalesLines!N489)</x:f>
        <x:v>131.4</x:v>
      </x:c>
      <x:c r="J205" s="9" t="n">
        <x:f>SUM(SalesLines!P486,SalesLines!P487,SalesLines!P488,SalesLines!P489)</x:f>
        <x:v>145.8</x:v>
      </x:c>
      <x:c r="K205" s="11" t="n">
        <x:f>SUM(SalesLines!R486,SalesLines!R487,SalesLines!R488,SalesLines!R489)</x:f>
        <x:v>16</x:v>
      </x:c>
      <x:c r="L205" s="11" t="n">
        <x:f>SUM(SalesLines!S486,SalesLines!S487,SalesLines!S488,SalesLines!S489)</x:f>
        <x:v>2</x:v>
      </x:c>
      <x:c r="M205" s="8" t="n">
        <x:f>DATE(YEAR(C205),MONTH(C205),1)</x:f>
        <x:v>45901</x:v>
      </x:c>
    </x:row>
    <x:row r="206" ht="22" customHeight="1">
      <x:c r="A206" s="2" t="str">
        <x:v>O00202</x:v>
      </x:c>
      <x:c r="B206" s="2" t="str">
        <x:v>C0039</x:v>
      </x:c>
      <x:c r="C206" s="7" t="n">
        <x:v>45903</x:v>
      </x:c>
      <x:c r="D206" s="2" t="str">
        <x:v>Completed</x:v>
      </x:c>
      <x:c r="E206" s="2" t="str">
        <x:v>North</x:v>
      </x:c>
      <x:c r="F206" s="2" t="str">
        <x:v>Online</x:v>
      </x:c>
      <x:c r="G206" s="9" t="n">
        <x:f>SUM(SalesLines!Q490)</x:f>
        <x:v>218.7</x:v>
      </x:c>
      <x:c r="H206" s="9" t="n">
        <x:f>SUM(SalesLines!M490)</x:f>
        <x:v>243</x:v>
      </x:c>
      <x:c r="I206" s="9" t="n">
        <x:f>SUM(SalesLines!N490)</x:f>
        <x:v>24.3</x:v>
      </x:c>
      <x:c r="J206" s="9" t="n">
        <x:f>SUM(SalesLines!P490)</x:f>
        <x:v>0</x:v>
      </x:c>
      <x:c r="K206" s="11" t="n">
        <x:f>SUM(SalesLines!R490)</x:f>
        <x:v>3</x:v>
      </x:c>
      <x:c r="L206" s="11" t="n">
        <x:f>SUM(SalesLines!S490)</x:f>
        <x:v>0</x:v>
      </x:c>
      <x:c r="M206" s="8" t="n">
        <x:f>DATE(YEAR(C206),MONTH(C206),1)</x:f>
        <x:v>45901</x:v>
      </x:c>
    </x:row>
    <x:row r="207" ht="22" customHeight="1">
      <x:c r="A207" s="2" t="str">
        <x:v>O00203</x:v>
      </x:c>
      <x:c r="B207" s="2" t="str">
        <x:v>C0194</x:v>
      </x:c>
      <x:c r="C207" s="7" t="n">
        <x:v>45961</x:v>
      </x:c>
      <x:c r="D207" s="2" t="str">
        <x:v>Completed</x:v>
      </x:c>
      <x:c r="E207" s="2" t="str">
        <x:v>North</x:v>
      </x:c>
      <x:c r="F207" s="2" t="str">
        <x:v>Store</x:v>
      </x:c>
      <x:c r="G207" s="9" t="n">
        <x:f>SUM(SalesLines!Q491,SalesLines!Q492)</x:f>
        <x:v>678.4</x:v>
      </x:c>
      <x:c r="H207" s="9" t="n">
        <x:f>SUM(SalesLines!M491,SalesLines!M492)</x:f>
        <x:v>808</x:v>
      </x:c>
      <x:c r="I207" s="9" t="n">
        <x:f>SUM(SalesLines!N491,SalesLines!N492)</x:f>
        <x:v>129.60000000000002</x:v>
      </x:c>
      <x:c r="J207" s="9" t="n">
        <x:f>SUM(SalesLines!P491,SalesLines!P492)</x:f>
        <x:v>0</x:v>
      </x:c>
      <x:c r="K207" s="11" t="n">
        <x:f>SUM(SalesLines!R491,SalesLines!R492)</x:f>
        <x:v>8</x:v>
      </x:c>
      <x:c r="L207" s="11" t="n">
        <x:f>SUM(SalesLines!S491,SalesLines!S492)</x:f>
        <x:v>0</x:v>
      </x:c>
      <x:c r="M207" s="8" t="n">
        <x:f>DATE(YEAR(C207),MONTH(C207),1)</x:f>
        <x:v>45931</x:v>
      </x:c>
    </x:row>
    <x:row r="208" ht="22" customHeight="1">
      <x:c r="A208" s="2" t="str">
        <x:v>O00204</x:v>
      </x:c>
      <x:c r="B208" s="2" t="str">
        <x:v>C0147</x:v>
      </x:c>
      <x:c r="C208" s="7" t="n">
        <x:v>45988</x:v>
      </x:c>
      <x:c r="D208" s="2" t="str">
        <x:v>Completed</x:v>
      </x:c>
      <x:c r="E208" s="2" t="str">
        <x:v>East</x:v>
      </x:c>
      <x:c r="F208" s="2" t="str">
        <x:v>Store</x:v>
      </x:c>
      <x:c r="G208" s="9" t="n">
        <x:f>SUM(SalesLines!Q493)</x:f>
        <x:v>996</x:v>
      </x:c>
      <x:c r="H208" s="9" t="n">
        <x:f>SUM(SalesLines!M493)</x:f>
        <x:v>996</x:v>
      </x:c>
      <x:c r="I208" s="9" t="n">
        <x:f>SUM(SalesLines!N493)</x:f>
        <x:v>0</x:v>
      </x:c>
      <x:c r="J208" s="9" t="n">
        <x:f>SUM(SalesLines!P493)</x:f>
        <x:v>0</x:v>
      </x:c>
      <x:c r="K208" s="11" t="n">
        <x:f>SUM(SalesLines!R493)</x:f>
        <x:v>4</x:v>
      </x:c>
      <x:c r="L208" s="11" t="n">
        <x:f>SUM(SalesLines!S493)</x:f>
        <x:v>0</x:v>
      </x:c>
      <x:c r="M208" s="8" t="n">
        <x:f>DATE(YEAR(C208),MONTH(C208),1)</x:f>
        <x:v>45962</x:v>
      </x:c>
    </x:row>
    <x:row r="209" ht="22" customHeight="1">
      <x:c r="A209" s="2" t="str">
        <x:v>O00205</x:v>
      </x:c>
      <x:c r="B209" s="2" t="str">
        <x:v>C0283</x:v>
      </x:c>
      <x:c r="C209" s="7" t="n">
        <x:v>45761</x:v>
      </x:c>
      <x:c r="D209" s="2" t="str">
        <x:v>Completed</x:v>
      </x:c>
      <x:c r="E209" s="2" t="str">
        <x:v>East</x:v>
      </x:c>
      <x:c r="F209" s="2" t="str">
        <x:v>Store</x:v>
      </x:c>
      <x:c r="G209" s="9" t="n">
        <x:f>SUM(SalesLines!Q494,SalesLines!Q495,SalesLines!Q496,SalesLines!Q497)</x:f>
        <x:v>1452</x:v>
      </x:c>
      <x:c r="H209" s="9" t="n">
        <x:f>SUM(SalesLines!M494,SalesLines!M495,SalesLines!M496,SalesLines!M497)</x:f>
        <x:v>1712</x:v>
      </x:c>
      <x:c r="I209" s="9" t="n">
        <x:f>SUM(SalesLines!N494,SalesLines!N495,SalesLines!N496,SalesLines!N497)</x:f>
        <x:v>260</x:v>
      </x:c>
      <x:c r="J209" s="9" t="n">
        <x:f>SUM(SalesLines!P494,SalesLines!P495,SalesLines!P496,SalesLines!P497)</x:f>
        <x:v>0</x:v>
      </x:c>
      <x:c r="K209" s="11" t="n">
        <x:f>SUM(SalesLines!R494,SalesLines!R495,SalesLines!R496,SalesLines!R497)</x:f>
        <x:v>11</x:v>
      </x:c>
      <x:c r="L209" s="11" t="n">
        <x:f>SUM(SalesLines!S494,SalesLines!S495,SalesLines!S496,SalesLines!S497)</x:f>
        <x:v>0</x:v>
      </x:c>
      <x:c r="M209" s="8" t="n">
        <x:f>DATE(YEAR(C209),MONTH(C209),1)</x:f>
        <x:v>45748</x:v>
      </x:c>
    </x:row>
    <x:row r="210" ht="22" customHeight="1">
      <x:c r="A210" s="2" t="str">
        <x:v>O00206</x:v>
      </x:c>
      <x:c r="B210" s="2" t="str">
        <x:v>C0215</x:v>
      </x:c>
      <x:c r="C210" s="7" t="n">
        <x:v>45666</x:v>
      </x:c>
      <x:c r="D210" s="2" t="str">
        <x:v>Completed</x:v>
      </x:c>
      <x:c r="E210" s="2" t="str">
        <x:v>North</x:v>
      </x:c>
      <x:c r="F210" s="2" t="str">
        <x:v>Store</x:v>
      </x:c>
      <x:c r="G210" s="9" t="n">
        <x:f>SUM(SalesLines!Q498,SalesLines!Q499)</x:f>
        <x:v>779.5</x:v>
      </x:c>
      <x:c r="H210" s="9" t="n">
        <x:f>SUM(SalesLines!M498,SalesLines!M499)</x:f>
        <x:v>1130</x:v>
      </x:c>
      <x:c r="I210" s="9" t="n">
        <x:f>SUM(SalesLines!N498,SalesLines!N499)</x:f>
        <x:v>85.9</x:v>
      </x:c>
      <x:c r="J210" s="9" t="n">
        <x:f>SUM(SalesLines!P498,SalesLines!P499)</x:f>
        <x:v>264.6</x:v>
      </x:c>
      <x:c r="K210" s="11" t="n">
        <x:f>SUM(SalesLines!R498,SalesLines!R499)</x:f>
        <x:v>4</x:v>
      </x:c>
      <x:c r="L210" s="11" t="n">
        <x:f>SUM(SalesLines!S498,SalesLines!S499)</x:f>
        <x:v>1</x:v>
      </x:c>
      <x:c r="M210" s="8" t="n">
        <x:f>DATE(YEAR(C210),MONTH(C210),1)</x:f>
        <x:v>45658</x:v>
      </x:c>
    </x:row>
    <x:row r="211" ht="22" customHeight="1">
      <x:c r="A211" s="2" t="str">
        <x:v>O00207</x:v>
      </x:c>
      <x:c r="B211" s="2" t="str">
        <x:v>C0220</x:v>
      </x:c>
      <x:c r="C211" s="7" t="n">
        <x:v>45669</x:v>
      </x:c>
      <x:c r="D211" s="2" t="str">
        <x:v>Cancelled</x:v>
      </x:c>
      <x:c r="E211" s="2" t="str">
        <x:v>North</x:v>
      </x:c>
      <x:c r="F211" s="2" t="str">
        <x:v>Online</x:v>
      </x:c>
      <x:c r="G211" s="9" t="n">
        <x:f>SUM(SalesLines!Q500,SalesLines!Q501,SalesLines!Q502,SalesLines!Q503)</x:f>
        <x:v>0</x:v>
      </x:c>
      <x:c r="H211" s="9" t="n">
        <x:f>SUM(SalesLines!M500,SalesLines!M501,SalesLines!M502,SalesLines!M503)</x:f>
        <x:v>0</x:v>
      </x:c>
      <x:c r="I211" s="9" t="n">
        <x:f>SUM(SalesLines!N500,SalesLines!N501,SalesLines!N502,SalesLines!N503)</x:f>
        <x:v>0</x:v>
      </x:c>
      <x:c r="J211" s="9" t="n">
        <x:f>SUM(SalesLines!P500,SalesLines!P501,SalesLines!P502,SalesLines!P503)</x:f>
        <x:v>0</x:v>
      </x:c>
      <x:c r="K211" s="11" t="n">
        <x:f>SUM(SalesLines!R500,SalesLines!R501,SalesLines!R502,SalesLines!R503)</x:f>
        <x:v>0</x:v>
      </x:c>
      <x:c r="L211" s="11" t="n">
        <x:f>SUM(SalesLines!S500,SalesLines!S501,SalesLines!S502,SalesLines!S503)</x:f>
        <x:v>0</x:v>
      </x:c>
      <x:c r="M211" s="8" t="n">
        <x:f>DATE(YEAR(C211),MONTH(C211),1)</x:f>
        <x:v>45658</x:v>
      </x:c>
    </x:row>
    <x:row r="212" ht="22" customHeight="1">
      <x:c r="A212" s="2" t="str">
        <x:v>O00208</x:v>
      </x:c>
      <x:c r="B212" s="2" t="str">
        <x:v>C0028</x:v>
      </x:c>
      <x:c r="C212" s="7" t="n">
        <x:v>45767</x:v>
      </x:c>
      <x:c r="D212" s="2" t="str">
        <x:v>Completed</x:v>
      </x:c>
      <x:c r="E212" s="2" t="str">
        <x:v>West</x:v>
      </x:c>
      <x:c r="F212" s="2" t="str">
        <x:v>Store</x:v>
      </x:c>
      <x:c r="G212" s="9" t="n">
        <x:f>SUM(SalesLines!Q504)</x:f>
        <x:v>772.35</x:v>
      </x:c>
      <x:c r="H212" s="9" t="n">
        <x:f>SUM(SalesLines!M504)</x:f>
        <x:v>813</x:v>
      </x:c>
      <x:c r="I212" s="9" t="n">
        <x:f>SUM(SalesLines!N504)</x:f>
        <x:v>40.650000000000006</x:v>
      </x:c>
      <x:c r="J212" s="9" t="n">
        <x:f>SUM(SalesLines!P504)</x:f>
        <x:v>0</x:v>
      </x:c>
      <x:c r="K212" s="11" t="n">
        <x:f>SUM(SalesLines!R504)</x:f>
        <x:v>3</x:v>
      </x:c>
      <x:c r="L212" s="11" t="n">
        <x:f>SUM(SalesLines!S504)</x:f>
        <x:v>0</x:v>
      </x:c>
      <x:c r="M212" s="8" t="n">
        <x:f>DATE(YEAR(C212),MONTH(C212),1)</x:f>
        <x:v>45748</x:v>
      </x:c>
    </x:row>
    <x:row r="213" ht="22" customHeight="1">
      <x:c r="A213" s="2" t="str">
        <x:v>O00209</x:v>
      </x:c>
      <x:c r="B213" s="2" t="str">
        <x:v>C0230</x:v>
      </x:c>
      <x:c r="C213" s="7" t="n">
        <x:v>45761</x:v>
      </x:c>
      <x:c r="D213" s="2" t="str">
        <x:v>Completed</x:v>
      </x:c>
      <x:c r="E213" s="2" t="str">
        <x:v>East</x:v>
      </x:c>
      <x:c r="F213" s="2" t="str">
        <x:v>Online</x:v>
      </x:c>
      <x:c r="G213" s="9" t="n">
        <x:f>SUM(SalesLines!Q505,SalesLines!Q506,SalesLines!Q507,SalesLines!Q508)</x:f>
        <x:v>977</x:v>
      </x:c>
      <x:c r="H213" s="9" t="n">
        <x:f>SUM(SalesLines!M505,SalesLines!M506,SalesLines!M507,SalesLines!M508)</x:f>
        <x:v>1165</x:v>
      </x:c>
      <x:c r="I213" s="9" t="n">
        <x:f>SUM(SalesLines!N505,SalesLines!N506,SalesLines!N507,SalesLines!N508)</x:f>
        <x:v>77.3</x:v>
      </x:c>
      <x:c r="J213" s="9" t="n">
        <x:f>SUM(SalesLines!P505,SalesLines!P506,SalesLines!P507,SalesLines!P508)</x:f>
        <x:v>110.7</x:v>
      </x:c>
      <x:c r="K213" s="11" t="n">
        <x:f>SUM(SalesLines!R505,SalesLines!R506,SalesLines!R507,SalesLines!R508)</x:f>
        <x:v>10</x:v>
      </x:c>
      <x:c r="L213" s="11" t="n">
        <x:f>SUM(SalesLines!S505,SalesLines!S506,SalesLines!S507,SalesLines!S508)</x:f>
        <x:v>1</x:v>
      </x:c>
      <x:c r="M213" s="8" t="n">
        <x:f>DATE(YEAR(C213),MONTH(C213),1)</x:f>
        <x:v>45748</x:v>
      </x:c>
    </x:row>
    <x:row r="214" ht="22" customHeight="1">
      <x:c r="A214" s="2" t="str">
        <x:v>O00210</x:v>
      </x:c>
      <x:c r="B214" s="2" t="str">
        <x:v>C0233</x:v>
      </x:c>
      <x:c r="C214" s="7" t="n">
        <x:v>45864</x:v>
      </x:c>
      <x:c r="D214" s="2" t="str">
        <x:v>Completed</x:v>
      </x:c>
      <x:c r="E214" s="2" t="str">
        <x:v>South</x:v>
      </x:c>
      <x:c r="F214" s="2" t="str">
        <x:v>Online</x:v>
      </x:c>
      <x:c r="G214" s="9" t="n">
        <x:f>SUM(SalesLines!Q509)</x:f>
        <x:v>680.4</x:v>
      </x:c>
      <x:c r="H214" s="9" t="n">
        <x:f>SUM(SalesLines!M509)</x:f>
        <x:v>756</x:v>
      </x:c>
      <x:c r="I214" s="9" t="n">
        <x:f>SUM(SalesLines!N509)</x:f>
        <x:v>75.60000000000001</x:v>
      </x:c>
      <x:c r="J214" s="9" t="n">
        <x:f>SUM(SalesLines!P509)</x:f>
        <x:v>0</x:v>
      </x:c>
      <x:c r="K214" s="11" t="n">
        <x:f>SUM(SalesLines!R509)</x:f>
        <x:v>4</x:v>
      </x:c>
      <x:c r="L214" s="11" t="n">
        <x:f>SUM(SalesLines!S509)</x:f>
        <x:v>0</x:v>
      </x:c>
      <x:c r="M214" s="8" t="n">
        <x:f>DATE(YEAR(C214),MONTH(C214),1)</x:f>
        <x:v>45839</x:v>
      </x:c>
    </x:row>
    <x:row r="215" ht="22" customHeight="1">
      <x:c r="A215" s="2" t="str">
        <x:v>O00211</x:v>
      </x:c>
      <x:c r="B215" s="2" t="str">
        <x:v>C0056</x:v>
      </x:c>
      <x:c r="C215" s="7" t="n">
        <x:v>45858</x:v>
      </x:c>
      <x:c r="D215" s="2" t="str">
        <x:v>Completed</x:v>
      </x:c>
      <x:c r="E215" s="2" t="str">
        <x:v>North</x:v>
      </x:c>
      <x:c r="F215" s="2" t="str">
        <x:v>Store</x:v>
      </x:c>
      <x:c r="G215" s="9" t="n">
        <x:f>SUM(SalesLines!Q510,SalesLines!Q511,SalesLines!Q512)</x:f>
        <x:v>975.4</x:v>
      </x:c>
      <x:c r="H215" s="9" t="n">
        <x:f>SUM(SalesLines!M510,SalesLines!M511,SalesLines!M512)</x:f>
        <x:v>1040</x:v>
      </x:c>
      <x:c r="I215" s="9" t="n">
        <x:f>SUM(SalesLines!N510,SalesLines!N511,SalesLines!N512)</x:f>
        <x:v>64.60000000000001</x:v>
      </x:c>
      <x:c r="J215" s="9" t="n">
        <x:f>SUM(SalesLines!P510,SalesLines!P511,SalesLines!P512)</x:f>
        <x:v>0</x:v>
      </x:c>
      <x:c r="K215" s="11" t="n">
        <x:f>SUM(SalesLines!R510,SalesLines!R511,SalesLines!R512)</x:f>
        <x:v>5</x:v>
      </x:c>
      <x:c r="L215" s="11" t="n">
        <x:f>SUM(SalesLines!S510,SalesLines!S511,SalesLines!S512)</x:f>
        <x:v>0</x:v>
      </x:c>
      <x:c r="M215" s="8" t="n">
        <x:f>DATE(YEAR(C215),MONTH(C215),1)</x:f>
        <x:v>45839</x:v>
      </x:c>
    </x:row>
    <x:row r="216" ht="22" customHeight="1">
      <x:c r="A216" s="2" t="str">
        <x:v>O00212</x:v>
      </x:c>
      <x:c r="B216" s="2" t="str">
        <x:v>C0136</x:v>
      </x:c>
      <x:c r="C216" s="7" t="n">
        <x:v>45996</x:v>
      </x:c>
      <x:c r="D216" s="2" t="str">
        <x:v>Completed</x:v>
      </x:c>
      <x:c r="E216" s="2" t="str">
        <x:v>West</x:v>
      </x:c>
      <x:c r="F216" s="2" t="str">
        <x:v>Online</x:v>
      </x:c>
      <x:c r="G216" s="9" t="n">
        <x:f>SUM(SalesLines!Q513,SalesLines!Q514)</x:f>
        <x:v>410</x:v>
      </x:c>
      <x:c r="H216" s="9" t="n">
        <x:f>SUM(SalesLines!M513,SalesLines!M514)</x:f>
        <x:v>410</x:v>
      </x:c>
      <x:c r="I216" s="9" t="n">
        <x:f>SUM(SalesLines!N513,SalesLines!N514)</x:f>
        <x:v>0</x:v>
      </x:c>
      <x:c r="J216" s="9" t="n">
        <x:f>SUM(SalesLines!P513,SalesLines!P514)</x:f>
        <x:v>0</x:v>
      </x:c>
      <x:c r="K216" s="11" t="n">
        <x:f>SUM(SalesLines!R513,SalesLines!R514)</x:f>
        <x:v>3</x:v>
      </x:c>
      <x:c r="L216" s="11" t="n">
        <x:f>SUM(SalesLines!S513,SalesLines!S514)</x:f>
        <x:v>0</x:v>
      </x:c>
      <x:c r="M216" s="8" t="n">
        <x:f>DATE(YEAR(C216),MONTH(C216),1)</x:f>
        <x:v>45992</x:v>
      </x:c>
    </x:row>
    <x:row r="217" ht="22" customHeight="1">
      <x:c r="A217" s="2" t="str">
        <x:v>O00213</x:v>
      </x:c>
      <x:c r="B217" s="2" t="str">
        <x:v>C0121</x:v>
      </x:c>
      <x:c r="C217" s="7" t="n">
        <x:v>45690</x:v>
      </x:c>
      <x:c r="D217" s="2" t="str">
        <x:v>Completed</x:v>
      </x:c>
      <x:c r="E217" s="2" t="str">
        <x:v>West</x:v>
      </x:c>
      <x:c r="F217" s="2" t="str">
        <x:v>Online</x:v>
      </x:c>
      <x:c r="G217" s="9" t="n">
        <x:f>SUM(SalesLines!Q515,SalesLines!Q516,SalesLines!Q517)</x:f>
        <x:v>658.8</x:v>
      </x:c>
      <x:c r="H217" s="9" t="n">
        <x:f>SUM(SalesLines!M515,SalesLines!M516,SalesLines!M517)</x:f>
        <x:v>1274</x:v>
      </x:c>
      <x:c r="I217" s="9" t="n">
        <x:f>SUM(SalesLines!N515,SalesLines!N516,SalesLines!N517)</x:f>
        <x:v>127.4</x:v>
      </x:c>
      <x:c r="J217" s="9" t="n">
        <x:f>SUM(SalesLines!P515,SalesLines!P516,SalesLines!P517)</x:f>
        <x:v>487.8</x:v>
      </x:c>
      <x:c r="K217" s="11" t="n">
        <x:f>SUM(SalesLines!R515,SalesLines!R516,SalesLines!R517)</x:f>
        <x:v>9</x:v>
      </x:c>
      <x:c r="L217" s="11" t="n">
        <x:f>SUM(SalesLines!S515,SalesLines!S516,SalesLines!S517)</x:f>
        <x:v>2</x:v>
      </x:c>
      <x:c r="M217" s="8" t="n">
        <x:f>DATE(YEAR(C217),MONTH(C217),1)</x:f>
        <x:v>45689</x:v>
      </x:c>
    </x:row>
    <x:row r="218" ht="22" customHeight="1">
      <x:c r="A218" s="2" t="str">
        <x:v>O00214</x:v>
      </x:c>
      <x:c r="B218" s="2" t="str">
        <x:v>C0202</x:v>
      </x:c>
      <x:c r="C218" s="7" t="n">
        <x:v>45991</x:v>
      </x:c>
      <x:c r="D218" s="2" t="str">
        <x:v>Completed</x:v>
      </x:c>
      <x:c r="E218" s="2" t="str">
        <x:v>South</x:v>
      </x:c>
      <x:c r="F218" s="2" t="str">
        <x:v>Online</x:v>
      </x:c>
      <x:c r="G218" s="9" t="n">
        <x:f>SUM(SalesLines!Q518,SalesLines!Q519)</x:f>
        <x:v>1116</x:v>
      </x:c>
      <x:c r="H218" s="9" t="n">
        <x:f>SUM(SalesLines!M518,SalesLines!M519)</x:f>
        <x:v>1184</x:v>
      </x:c>
      <x:c r="I218" s="9" t="n">
        <x:f>SUM(SalesLines!N518,SalesLines!N519)</x:f>
        <x:v>68</x:v>
      </x:c>
      <x:c r="J218" s="9" t="n">
        <x:f>SUM(SalesLines!P518,SalesLines!P519)</x:f>
        <x:v>0</x:v>
      </x:c>
      <x:c r="K218" s="11" t="n">
        <x:f>SUM(SalesLines!R518,SalesLines!R519)</x:f>
        <x:v>9</x:v>
      </x:c>
      <x:c r="L218" s="11" t="n">
        <x:f>SUM(SalesLines!S518,SalesLines!S519)</x:f>
        <x:v>0</x:v>
      </x:c>
      <x:c r="M218" s="8" t="n">
        <x:f>DATE(YEAR(C218),MONTH(C218),1)</x:f>
        <x:v>45962</x:v>
      </x:c>
    </x:row>
    <x:row r="219" ht="22" customHeight="1">
      <x:c r="A219" s="2" t="str">
        <x:v>O00215</x:v>
      </x:c>
      <x:c r="B219" s="2" t="str">
        <x:v>C0190</x:v>
      </x:c>
      <x:c r="C219" s="7" t="n">
        <x:v>45959</x:v>
      </x:c>
      <x:c r="D219" s="2" t="str">
        <x:v>Completed</x:v>
      </x:c>
      <x:c r="E219" s="2" t="str">
        <x:v>North</x:v>
      </x:c>
      <x:c r="F219" s="2" t="str">
        <x:v>Online</x:v>
      </x:c>
      <x:c r="G219" s="9" t="n">
        <x:f>SUM(SalesLines!Q520,SalesLines!Q521)</x:f>
        <x:v>502.4</x:v>
      </x:c>
      <x:c r="H219" s="9" t="n">
        <x:f>SUM(SalesLines!M520,SalesLines!M521)</x:f>
        <x:v>588</x:v>
      </x:c>
      <x:c r="I219" s="9" t="n">
        <x:f>SUM(SalesLines!N520,SalesLines!N521)</x:f>
        <x:v>85.6</x:v>
      </x:c>
      <x:c r="J219" s="9" t="n">
        <x:f>SUM(SalesLines!P520,SalesLines!P521)</x:f>
        <x:v>0</x:v>
      </x:c>
      <x:c r="K219" s="11" t="n">
        <x:f>SUM(SalesLines!R520,SalesLines!R521)</x:f>
        <x:v>6</x:v>
      </x:c>
      <x:c r="L219" s="11" t="n">
        <x:f>SUM(SalesLines!S520,SalesLines!S521)</x:f>
        <x:v>0</x:v>
      </x:c>
      <x:c r="M219" s="8" t="n">
        <x:f>DATE(YEAR(C219),MONTH(C219),1)</x:f>
        <x:v>45931</x:v>
      </x:c>
    </x:row>
    <x:row r="220" ht="22" customHeight="1">
      <x:c r="A220" s="2" t="str">
        <x:v>O00216</x:v>
      </x:c>
      <x:c r="B220" s="2" t="str">
        <x:v>C0290</x:v>
      </x:c>
      <x:c r="C220" s="7" t="n">
        <x:v>45969</x:v>
      </x:c>
      <x:c r="D220" s="2" t="str">
        <x:v>Completed</x:v>
      </x:c>
      <x:c r="E220" s="2" t="str">
        <x:v>South</x:v>
      </x:c>
      <x:c r="F220" s="2" t="str">
        <x:v>Online</x:v>
      </x:c>
      <x:c r="G220" s="9" t="n">
        <x:f>SUM(SalesLines!Q522,SalesLines!Q523,SalesLines!Q524)</x:f>
        <x:v>598.95</x:v>
      </x:c>
      <x:c r="H220" s="9" t="n">
        <x:f>SUM(SalesLines!M522,SalesLines!M523,SalesLines!M524)</x:f>
        <x:v>645</x:v>
      </x:c>
      <x:c r="I220" s="9" t="n">
        <x:f>SUM(SalesLines!N522,SalesLines!N523,SalesLines!N524)</x:f>
        <x:v>46.05</x:v>
      </x:c>
      <x:c r="J220" s="9" t="n">
        <x:f>SUM(SalesLines!P522,SalesLines!P523,SalesLines!P524)</x:f>
        <x:v>0</x:v>
      </x:c>
      <x:c r="K220" s="11" t="n">
        <x:f>SUM(SalesLines!R522,SalesLines!R523,SalesLines!R524)</x:f>
        <x:v>9</x:v>
      </x:c>
      <x:c r="L220" s="11" t="n">
        <x:f>SUM(SalesLines!S522,SalesLines!S523,SalesLines!S524)</x:f>
        <x:v>0</x:v>
      </x:c>
      <x:c r="M220" s="8" t="n">
        <x:f>DATE(YEAR(C220),MONTH(C220),1)</x:f>
        <x:v>45962</x:v>
      </x:c>
    </x:row>
    <x:row r="221" ht="22" customHeight="1">
      <x:c r="A221" s="2" t="str">
        <x:v>O00217</x:v>
      </x:c>
      <x:c r="B221" s="2" t="str">
        <x:v>C0239</x:v>
      </x:c>
      <x:c r="C221" s="7" t="n">
        <x:v>45918</x:v>
      </x:c>
      <x:c r="D221" s="2" t="str">
        <x:v>Completed</x:v>
      </x:c>
      <x:c r="E221" s="2" t="str">
        <x:v>South</x:v>
      </x:c>
      <x:c r="F221" s="2" t="str">
        <x:v>Store</x:v>
      </x:c>
      <x:c r="G221" s="9" t="n">
        <x:f>SUM(SalesLines!Q525,SalesLines!Q526)</x:f>
        <x:v>156.8</x:v>
      </x:c>
      <x:c r="H221" s="9" t="n">
        <x:f>SUM(SalesLines!M525,SalesLines!M526)</x:f>
        <x:v>330</x:v>
      </x:c>
      <x:c r="I221" s="9" t="n">
        <x:f>SUM(SalesLines!N525,SalesLines!N526)</x:f>
        <x:v>39.2</x:v>
      </x:c>
      <x:c r="J221" s="9" t="n">
        <x:f>SUM(SalesLines!P525,SalesLines!P526)</x:f>
        <x:v>134</x:v>
      </x:c>
      <x:c r="K221" s="11" t="n">
        <x:f>SUM(SalesLines!R525,SalesLines!R526)</x:f>
        <x:v>2</x:v>
      </x:c>
      <x:c r="L221" s="11" t="n">
        <x:f>SUM(SalesLines!S525,SalesLines!S526)</x:f>
        <x:v>1</x:v>
      </x:c>
      <x:c r="M221" s="8" t="n">
        <x:f>DATE(YEAR(C221),MONTH(C221),1)</x:f>
        <x:v>45901</x:v>
      </x:c>
    </x:row>
    <x:row r="222" ht="22" customHeight="1">
      <x:c r="A222" s="2" t="str">
        <x:v>O00218</x:v>
      </x:c>
      <x:c r="B222" s="2" t="str">
        <x:v>C0222</x:v>
      </x:c>
      <x:c r="C222" s="7" t="n">
        <x:v>45715</x:v>
      </x:c>
      <x:c r="D222" s="2" t="str">
        <x:v>Completed</x:v>
      </x:c>
      <x:c r="E222" s="2" t="str">
        <x:v>East</x:v>
      </x:c>
      <x:c r="F222" s="2" t="str">
        <x:v>Online</x:v>
      </x:c>
      <x:c r="G222" s="9" t="n">
        <x:f>SUM(SalesLines!Q527,SalesLines!Q528,SalesLines!Q529)</x:f>
        <x:v>2314.2</x:v>
      </x:c>
      <x:c r="H222" s="9" t="n">
        <x:f>SUM(SalesLines!M527,SalesLines!M528,SalesLines!M529)</x:f>
        <x:v>2603</x:v>
      </x:c>
      <x:c r="I222" s="9" t="n">
        <x:f>SUM(SalesLines!N527,SalesLines!N528,SalesLines!N529)</x:f>
        <x:v>288.8</x:v>
      </x:c>
      <x:c r="J222" s="9" t="n">
        <x:f>SUM(SalesLines!P527,SalesLines!P528,SalesLines!P529)</x:f>
        <x:v>0</x:v>
      </x:c>
      <x:c r="K222" s="11" t="n">
        <x:f>SUM(SalesLines!R527,SalesLines!R528,SalesLines!R529)</x:f>
        <x:v>11</x:v>
      </x:c>
      <x:c r="L222" s="11" t="n">
        <x:f>SUM(SalesLines!S527,SalesLines!S528,SalesLines!S529)</x:f>
        <x:v>0</x:v>
      </x:c>
      <x:c r="M222" s="8" t="n">
        <x:f>DATE(YEAR(C222),MONTH(C222),1)</x:f>
        <x:v>45689</x:v>
      </x:c>
    </x:row>
    <x:row r="223" ht="22" customHeight="1">
      <x:c r="A223" s="2" t="str">
        <x:v>O00219</x:v>
      </x:c>
      <x:c r="B223" s="2" t="str">
        <x:v>C0009</x:v>
      </x:c>
      <x:c r="C223" s="7" t="n">
        <x:v>45987</x:v>
      </x:c>
      <x:c r="D223" s="2" t="str">
        <x:v>Completed</x:v>
      </x:c>
      <x:c r="E223" s="2" t="str">
        <x:v>South</x:v>
      </x:c>
      <x:c r="F223" s="2" t="str">
        <x:v>Store</x:v>
      </x:c>
      <x:c r="G223" s="9" t="n">
        <x:f>SUM(SalesLines!Q530,SalesLines!Q531)</x:f>
        <x:v>1770</x:v>
      </x:c>
      <x:c r="H223" s="9" t="n">
        <x:f>SUM(SalesLines!M530,SalesLines!M531)</x:f>
        <x:v>1912</x:v>
      </x:c>
      <x:c r="I223" s="9" t="n">
        <x:f>SUM(SalesLines!N530,SalesLines!N531)</x:f>
        <x:v>142</x:v>
      </x:c>
      <x:c r="J223" s="9" t="n">
        <x:f>SUM(SalesLines!P530,SalesLines!P531)</x:f>
        <x:v>0</x:v>
      </x:c>
      <x:c r="K223" s="11" t="n">
        <x:f>SUM(SalesLines!R530,SalesLines!R531)</x:f>
        <x:v>9</x:v>
      </x:c>
      <x:c r="L223" s="11" t="n">
        <x:f>SUM(SalesLines!S530,SalesLines!S531)</x:f>
        <x:v>0</x:v>
      </x:c>
      <x:c r="M223" s="8" t="n">
        <x:f>DATE(YEAR(C223),MONTH(C223),1)</x:f>
        <x:v>45962</x:v>
      </x:c>
    </x:row>
    <x:row r="224" ht="22" customHeight="1">
      <x:c r="A224" s="2" t="str">
        <x:v>O00220</x:v>
      </x:c>
      <x:c r="B224" s="2" t="str">
        <x:v>C0034</x:v>
      </x:c>
      <x:c r="C224" s="7" t="n">
        <x:v>45869</x:v>
      </x:c>
      <x:c r="D224" s="2" t="str">
        <x:v>Completed</x:v>
      </x:c>
      <x:c r="E224" s="2" t="str">
        <x:v>East</x:v>
      </x:c>
      <x:c r="F224" s="2" t="str">
        <x:v>Store</x:v>
      </x:c>
      <x:c r="G224" s="9" t="n">
        <x:f>SUM(SalesLines!Q532,SalesLines!Q533)</x:f>
        <x:v>926.9000000000001</x:v>
      </x:c>
      <x:c r="H224" s="9" t="n">
        <x:f>SUM(SalesLines!M532,SalesLines!M533)</x:f>
        <x:v>1000</x:v>
      </x:c>
      <x:c r="I224" s="9" t="n">
        <x:f>SUM(SalesLines!N532,SalesLines!N533)</x:f>
        <x:v>73.10000000000001</x:v>
      </x:c>
      <x:c r="J224" s="9" t="n">
        <x:f>SUM(SalesLines!P532,SalesLines!P533)</x:f>
        <x:v>0</x:v>
      </x:c>
      <x:c r="K224" s="11" t="n">
        <x:f>SUM(SalesLines!R532,SalesLines!R533)</x:f>
        <x:v>4</x:v>
      </x:c>
      <x:c r="L224" s="11" t="n">
        <x:f>SUM(SalesLines!S532,SalesLines!S533)</x:f>
        <x:v>0</x:v>
      </x:c>
      <x:c r="M224" s="8" t="n">
        <x:f>DATE(YEAR(C224),MONTH(C224),1)</x:f>
        <x:v>45839</x:v>
      </x:c>
    </x:row>
    <x:row r="225" ht="22" customHeight="1">
      <x:c r="A225" s="2" t="str">
        <x:v>O00221</x:v>
      </x:c>
      <x:c r="B225" s="2" t="str">
        <x:v>C0123</x:v>
      </x:c>
      <x:c r="C225" s="7" t="n">
        <x:v>46004</x:v>
      </x:c>
      <x:c r="D225" s="2" t="str">
        <x:v>Completed</x:v>
      </x:c>
      <x:c r="E225" s="2" t="str">
        <x:v>East</x:v>
      </x:c>
      <x:c r="F225" s="2" t="str">
        <x:v>Online</x:v>
      </x:c>
      <x:c r="G225" s="9" t="n">
        <x:f>SUM(SalesLines!Q534,SalesLines!Q535,SalesLines!Q536)</x:f>
        <x:v>1236.2</x:v>
      </x:c>
      <x:c r="H225" s="9" t="n">
        <x:f>SUM(SalesLines!M534,SalesLines!M535,SalesLines!M536)</x:f>
        <x:v>1438</x:v>
      </x:c>
      <x:c r="I225" s="9" t="n">
        <x:f>SUM(SalesLines!N534,SalesLines!N535,SalesLines!N536)</x:f>
        <x:v>94.60000000000001</x:v>
      </x:c>
      <x:c r="J225" s="9" t="n">
        <x:f>SUM(SalesLines!P534,SalesLines!P535,SalesLines!P536)</x:f>
        <x:v>107.2</x:v>
      </x:c>
      <x:c r="K225" s="11" t="n">
        <x:f>SUM(SalesLines!R534,SalesLines!R535,SalesLines!R536)</x:f>
        <x:v>8</x:v>
      </x:c>
      <x:c r="L225" s="11" t="n">
        <x:f>SUM(SalesLines!S534,SalesLines!S535,SalesLines!S536)</x:f>
        <x:v>1</x:v>
      </x:c>
      <x:c r="M225" s="8" t="n">
        <x:f>DATE(YEAR(C225),MONTH(C225),1)</x:f>
        <x:v>45992</x:v>
      </x:c>
    </x:row>
    <x:row r="226" ht="22" customHeight="1">
      <x:c r="A226" s="2" t="str">
        <x:v>O00222</x:v>
      </x:c>
      <x:c r="B226" s="2" t="str">
        <x:v>C0289</x:v>
      </x:c>
      <x:c r="C226" s="7" t="n">
        <x:v>45765</x:v>
      </x:c>
      <x:c r="D226" s="2" t="str">
        <x:v>Completed</x:v>
      </x:c>
      <x:c r="E226" s="2" t="str">
        <x:v>West</x:v>
      </x:c>
      <x:c r="F226" s="2" t="str">
        <x:v>Store</x:v>
      </x:c>
      <x:c r="G226" s="9" t="n">
        <x:f>SUM(SalesLines!Q537,SalesLines!Q538,SalesLines!Q539,SalesLines!Q540)</x:f>
        <x:v>1896.4</x:v>
      </x:c>
      <x:c r="H226" s="9" t="n">
        <x:f>SUM(SalesLines!M537,SalesLines!M538,SalesLines!M539,SalesLines!M540)</x:f>
        <x:v>2208</x:v>
      </x:c>
      <x:c r="I226" s="9" t="n">
        <x:f>SUM(SalesLines!N537,SalesLines!N538,SalesLines!N539,SalesLines!N540)</x:f>
        <x:v>311.6</x:v>
      </x:c>
      <x:c r="J226" s="9" t="n">
        <x:f>SUM(SalesLines!P537,SalesLines!P538,SalesLines!P539,SalesLines!P540)</x:f>
        <x:v>0</x:v>
      </x:c>
      <x:c r="K226" s="11" t="n">
        <x:f>SUM(SalesLines!R537,SalesLines!R538,SalesLines!R539,SalesLines!R540)</x:f>
        <x:v>12</x:v>
      </x:c>
      <x:c r="L226" s="11" t="n">
        <x:f>SUM(SalesLines!S537,SalesLines!S538,SalesLines!S539,SalesLines!S540)</x:f>
        <x:v>0</x:v>
      </x:c>
      <x:c r="M226" s="8" t="n">
        <x:f>DATE(YEAR(C226),MONTH(C226),1)</x:f>
        <x:v>45748</x:v>
      </x:c>
    </x:row>
    <x:row r="227" ht="22" customHeight="1">
      <x:c r="A227" s="2" t="str">
        <x:v>O00223</x:v>
      </x:c>
      <x:c r="B227" s="2" t="str">
        <x:v>C0217</x:v>
      </x:c>
      <x:c r="C227" s="7" t="n">
        <x:v>46010</x:v>
      </x:c>
      <x:c r="D227" s="2" t="str">
        <x:v>Completed</x:v>
      </x:c>
      <x:c r="E227" s="2" t="str">
        <x:v>South</x:v>
      </x:c>
      <x:c r="F227" s="2" t="str">
        <x:v>Store</x:v>
      </x:c>
      <x:c r="G227" s="9" t="n">
        <x:f>SUM(SalesLines!Q541)</x:f>
        <x:v>405</x:v>
      </x:c>
      <x:c r="H227" s="9" t="n">
        <x:f>SUM(SalesLines!M541)</x:f>
        <x:v>405</x:v>
      </x:c>
      <x:c r="I227" s="9" t="n">
        <x:f>SUM(SalesLines!N541)</x:f>
        <x:v>0</x:v>
      </x:c>
      <x:c r="J227" s="9" t="n">
        <x:f>SUM(SalesLines!P541)</x:f>
        <x:v>0</x:v>
      </x:c>
      <x:c r="K227" s="11" t="n">
        <x:f>SUM(SalesLines!R541)</x:f>
        <x:v>5</x:v>
      </x:c>
      <x:c r="L227" s="11" t="n">
        <x:f>SUM(SalesLines!S541)</x:f>
        <x:v>0</x:v>
      </x:c>
      <x:c r="M227" s="8" t="n">
        <x:f>DATE(YEAR(C227),MONTH(C227),1)</x:f>
        <x:v>45992</x:v>
      </x:c>
    </x:row>
    <x:row r="228" ht="22" customHeight="1">
      <x:c r="A228" s="2" t="str">
        <x:v>O00224</x:v>
      </x:c>
      <x:c r="B228" s="2" t="str">
        <x:v>C0289</x:v>
      </x:c>
      <x:c r="C228" s="7" t="n">
        <x:v>45764</x:v>
      </x:c>
      <x:c r="D228" s="2" t="str">
        <x:v>Completed</x:v>
      </x:c>
      <x:c r="E228" s="2" t="str">
        <x:v>West</x:v>
      </x:c>
      <x:c r="F228" s="2" t="str">
        <x:v>Online</x:v>
      </x:c>
      <x:c r="G228" s="9" t="n">
        <x:f>SUM(SalesLines!Q542,SalesLines!Q543,SalesLines!Q544)</x:f>
        <x:v>583.75</x:v>
      </x:c>
      <x:c r="H228" s="9" t="n">
        <x:f>SUM(SalesLines!M542,SalesLines!M543,SalesLines!M544)</x:f>
        <x:v>613</x:v>
      </x:c>
      <x:c r="I228" s="9" t="n">
        <x:f>SUM(SalesLines!N542,SalesLines!N543,SalesLines!N544)</x:f>
        <x:v>29.25</x:v>
      </x:c>
      <x:c r="J228" s="9" t="n">
        <x:f>SUM(SalesLines!P542,SalesLines!P543,SalesLines!P544)</x:f>
        <x:v>0</x:v>
      </x:c>
      <x:c r="K228" s="11" t="n">
        <x:f>SUM(SalesLines!R542,SalesLines!R543,SalesLines!R544)</x:f>
        <x:v>8</x:v>
      </x:c>
      <x:c r="L228" s="11" t="n">
        <x:f>SUM(SalesLines!S542,SalesLines!S543,SalesLines!S544)</x:f>
        <x:v>0</x:v>
      </x:c>
      <x:c r="M228" s="8" t="n">
        <x:f>DATE(YEAR(C228),MONTH(C228),1)</x:f>
        <x:v>45748</x:v>
      </x:c>
    </x:row>
    <x:row r="229" ht="22" customHeight="1">
      <x:c r="A229" s="2" t="str">
        <x:v>O00225</x:v>
      </x:c>
      <x:c r="B229" s="2" t="str">
        <x:v>C0173</x:v>
      </x:c>
      <x:c r="C229" s="7" t="n">
        <x:v>45743</x:v>
      </x:c>
      <x:c r="D229" s="2" t="str">
        <x:v>Completed</x:v>
      </x:c>
      <x:c r="E229" s="2" t="str">
        <x:v>West</x:v>
      </x:c>
      <x:c r="F229" s="2" t="str">
        <x:v>Online</x:v>
      </x:c>
      <x:c r="G229" s="9" t="n">
        <x:f>SUM(SalesLines!Q545,SalesLines!Q546,SalesLines!Q547,SalesLines!Q548)</x:f>
        <x:v>3287.1</x:v>
      </x:c>
      <x:c r="H229" s="9" t="n">
        <x:f>SUM(SalesLines!M545,SalesLines!M546,SalesLines!M547,SalesLines!M548)</x:f>
        <x:v>3569</x:v>
      </x:c>
      <x:c r="I229" s="9" t="n">
        <x:f>SUM(SalesLines!N545,SalesLines!N546,SalesLines!N547,SalesLines!N548)</x:f>
        <x:v>281.90000000000003</x:v>
      </x:c>
      <x:c r="J229" s="9" t="n">
        <x:f>SUM(SalesLines!P545,SalesLines!P546,SalesLines!P547,SalesLines!P548)</x:f>
        <x:v>0</x:v>
      </x:c>
      <x:c r="K229" s="11" t="n">
        <x:f>SUM(SalesLines!R545,SalesLines!R546,SalesLines!R547,SalesLines!R548)</x:f>
        <x:v>16</x:v>
      </x:c>
      <x:c r="L229" s="11" t="n">
        <x:f>SUM(SalesLines!S545,SalesLines!S546,SalesLines!S547,SalesLines!S548)</x:f>
        <x:v>0</x:v>
      </x:c>
      <x:c r="M229" s="8" t="n">
        <x:f>DATE(YEAR(C229),MONTH(C229),1)</x:f>
        <x:v>45717</x:v>
      </x:c>
    </x:row>
    <x:row r="230" ht="22" customHeight="1">
      <x:c r="A230" s="2" t="str">
        <x:v>O00226</x:v>
      </x:c>
      <x:c r="B230" s="2" t="str">
        <x:v>C0042</x:v>
      </x:c>
      <x:c r="C230" s="7" t="n">
        <x:v>45736</x:v>
      </x:c>
      <x:c r="D230" s="2" t="str">
        <x:v>Completed</x:v>
      </x:c>
      <x:c r="E230" s="2" t="str">
        <x:v>South</x:v>
      </x:c>
      <x:c r="F230" s="2" t="str">
        <x:v>Store</x:v>
      </x:c>
      <x:c r="G230" s="9" t="n">
        <x:f>SUM(SalesLines!Q549,SalesLines!Q550)</x:f>
        <x:v>897.75</x:v>
      </x:c>
      <x:c r="H230" s="9" t="n">
        <x:f>SUM(SalesLines!M549,SalesLines!M550)</x:f>
        <x:v>1140</x:v>
      </x:c>
      <x:c r="I230" s="9" t="n">
        <x:f>SUM(SalesLines!N549,SalesLines!N550)</x:f>
        <x:v>86.25</x:v>
      </x:c>
      <x:c r="J230" s="9" t="n">
        <x:f>SUM(SalesLines!P549,SalesLines!P550)</x:f>
        <x:v>156</x:v>
      </x:c>
      <x:c r="K230" s="11" t="n">
        <x:f>SUM(SalesLines!R549,SalesLines!R550)</x:f>
        <x:v>8</x:v>
      </x:c>
      <x:c r="L230" s="11" t="n">
        <x:f>SUM(SalesLines!S549,SalesLines!S550)</x:f>
        <x:v>3</x:v>
      </x:c>
      <x:c r="M230" s="8" t="n">
        <x:f>DATE(YEAR(C230),MONTH(C230),1)</x:f>
        <x:v>45717</x:v>
      </x:c>
    </x:row>
    <x:row r="231" ht="22" customHeight="1">
      <x:c r="A231" s="2" t="str">
        <x:v>O00227</x:v>
      </x:c>
      <x:c r="B231" s="2" t="str">
        <x:v>C0240</x:v>
      </x:c>
      <x:c r="C231" s="7" t="n">
        <x:v>45707</x:v>
      </x:c>
      <x:c r="D231" s="2" t="str">
        <x:v>Completed</x:v>
      </x:c>
      <x:c r="E231" s="2" t="str">
        <x:v>West</x:v>
      </x:c>
      <x:c r="F231" s="2" t="str">
        <x:v>Online</x:v>
      </x:c>
      <x:c r="G231" s="9" t="n">
        <x:f>SUM(SalesLines!Q551)</x:f>
        <x:v>126</x:v>
      </x:c>
      <x:c r="H231" s="9" t="n">
        <x:f>SUM(SalesLines!M551)</x:f>
        <x:v>140</x:v>
      </x:c>
      <x:c r="I231" s="9" t="n">
        <x:f>SUM(SalesLines!N551)</x:f>
        <x:v>14</x:v>
      </x:c>
      <x:c r="J231" s="9" t="n">
        <x:f>SUM(SalesLines!P551)</x:f>
        <x:v>0</x:v>
      </x:c>
      <x:c r="K231" s="11" t="n">
        <x:f>SUM(SalesLines!R551)</x:f>
        <x:v>4</x:v>
      </x:c>
      <x:c r="L231" s="11" t="n">
        <x:f>SUM(SalesLines!S551)</x:f>
        <x:v>0</x:v>
      </x:c>
      <x:c r="M231" s="8" t="n">
        <x:f>DATE(YEAR(C231),MONTH(C231),1)</x:f>
        <x:v>45689</x:v>
      </x:c>
    </x:row>
    <x:row r="232" ht="22" customHeight="1">
      <x:c r="A232" s="2" t="str">
        <x:v>O00228</x:v>
      </x:c>
      <x:c r="B232" s="2" t="str">
        <x:v>C0222</x:v>
      </x:c>
      <x:c r="C232" s="7" t="n">
        <x:v>45780</x:v>
      </x:c>
      <x:c r="D232" s="2" t="str">
        <x:v>Completed</x:v>
      </x:c>
      <x:c r="E232" s="2" t="str">
        <x:v>East</x:v>
      </x:c>
      <x:c r="F232" s="2" t="str">
        <x:v>Store</x:v>
      </x:c>
      <x:c r="G232" s="9" t="n">
        <x:f>SUM(SalesLines!Q552,SalesLines!Q553,SalesLines!Q554,SalesLines!Q555)</x:f>
        <x:v>1997.4</x:v>
      </x:c>
      <x:c r="H232" s="9" t="n">
        <x:f>SUM(SalesLines!M552,SalesLines!M553,SalesLines!M554,SalesLines!M555)</x:f>
        <x:v>2224</x:v>
      </x:c>
      <x:c r="I232" s="9" t="n">
        <x:f>SUM(SalesLines!N552,SalesLines!N553,SalesLines!N554,SalesLines!N555)</x:f>
        <x:v>226.60000000000002</x:v>
      </x:c>
      <x:c r="J232" s="9" t="n">
        <x:f>SUM(SalesLines!P552,SalesLines!P553,SalesLines!P554,SalesLines!P555)</x:f>
        <x:v>0</x:v>
      </x:c>
      <x:c r="K232" s="11" t="n">
        <x:f>SUM(SalesLines!R552,SalesLines!R553,SalesLines!R554,SalesLines!R555)</x:f>
        <x:v>12</x:v>
      </x:c>
      <x:c r="L232" s="11" t="n">
        <x:f>SUM(SalesLines!S552,SalesLines!S553,SalesLines!S554,SalesLines!S555)</x:f>
        <x:v>0</x:v>
      </x:c>
      <x:c r="M232" s="8" t="n">
        <x:f>DATE(YEAR(C232),MONTH(C232),1)</x:f>
        <x:v>45778</x:v>
      </x:c>
    </x:row>
    <x:row r="233" ht="22" customHeight="1">
      <x:c r="A233" s="2" t="str">
        <x:v>O00229</x:v>
      </x:c>
      <x:c r="B233" s="2" t="str">
        <x:v>C0299</x:v>
      </x:c>
      <x:c r="C233" s="7" t="n">
        <x:v>45857</x:v>
      </x:c>
      <x:c r="D233" s="2" t="str">
        <x:v>Cancelled</x:v>
      </x:c>
      <x:c r="E233" s="2" t="str">
        <x:v>North</x:v>
      </x:c>
      <x:c r="F233" s="2" t="str">
        <x:v>Store</x:v>
      </x:c>
      <x:c r="G233" s="9" t="n">
        <x:f>SUM(SalesLines!Q556)</x:f>
        <x:v>0</x:v>
      </x:c>
      <x:c r="H233" s="9" t="n">
        <x:f>SUM(SalesLines!M556)</x:f>
        <x:v>0</x:v>
      </x:c>
      <x:c r="I233" s="9" t="n">
        <x:f>SUM(SalesLines!N556)</x:f>
        <x:v>0</x:v>
      </x:c>
      <x:c r="J233" s="9" t="n">
        <x:f>SUM(SalesLines!P556)</x:f>
        <x:v>0</x:v>
      </x:c>
      <x:c r="K233" s="11" t="n">
        <x:f>SUM(SalesLines!R556)</x:f>
        <x:v>0</x:v>
      </x:c>
      <x:c r="L233" s="11" t="n">
        <x:f>SUM(SalesLines!S556)</x:f>
        <x:v>0</x:v>
      </x:c>
      <x:c r="M233" s="8" t="n">
        <x:f>DATE(YEAR(C233),MONTH(C233),1)</x:f>
        <x:v>45839</x:v>
      </x:c>
    </x:row>
    <x:row r="234" ht="22" customHeight="1">
      <x:c r="A234" s="2" t="str">
        <x:v>O00230</x:v>
      </x:c>
      <x:c r="B234" s="2" t="str">
        <x:v>C0042</x:v>
      </x:c>
      <x:c r="C234" s="7" t="n">
        <x:v>45720</x:v>
      </x:c>
      <x:c r="D234" s="2" t="str">
        <x:v>Completed</x:v>
      </x:c>
      <x:c r="E234" s="2" t="str">
        <x:v>South</x:v>
      </x:c>
      <x:c r="F234" s="2" t="str">
        <x:v>Online</x:v>
      </x:c>
      <x:c r="G234" s="9" t="n">
        <x:f>SUM(SalesLines!Q557,SalesLines!Q558)</x:f>
        <x:v>1497.6</x:v>
      </x:c>
      <x:c r="H234" s="9" t="n">
        <x:f>SUM(SalesLines!M557,SalesLines!M558)</x:f>
        <x:v>1578</x:v>
      </x:c>
      <x:c r="I234" s="9" t="n">
        <x:f>SUM(SalesLines!N557,SalesLines!N558)</x:f>
        <x:v>80.4</x:v>
      </x:c>
      <x:c r="J234" s="9" t="n">
        <x:f>SUM(SalesLines!P557,SalesLines!P558)</x:f>
        <x:v>0</x:v>
      </x:c>
      <x:c r="K234" s="11" t="n">
        <x:f>SUM(SalesLines!R557,SalesLines!R558)</x:f>
        <x:v>7</x:v>
      </x:c>
      <x:c r="L234" s="11" t="n">
        <x:f>SUM(SalesLines!S557,SalesLines!S558)</x:f>
        <x:v>0</x:v>
      </x:c>
      <x:c r="M234" s="8" t="n">
        <x:f>DATE(YEAR(C234),MONTH(C234),1)</x:f>
        <x:v>45717</x:v>
      </x:c>
    </x:row>
    <x:row r="235" ht="22" customHeight="1">
      <x:c r="A235" s="2" t="str">
        <x:v>O00231</x:v>
      </x:c>
      <x:c r="B235" s="2" t="str">
        <x:v>C0116</x:v>
      </x:c>
      <x:c r="C235" s="7" t="n">
        <x:v>45960</x:v>
      </x:c>
      <x:c r="D235" s="2" t="str">
        <x:v>Completed</x:v>
      </x:c>
      <x:c r="E235" s="2" t="str">
        <x:v>West</x:v>
      </x:c>
      <x:c r="F235" s="2" t="str">
        <x:v>Online</x:v>
      </x:c>
      <x:c r="G235" s="9" t="n">
        <x:f>SUM(SalesLines!Q559,SalesLines!Q560,SalesLines!Q561,SalesLines!Q562)</x:f>
        <x:v>1612.5</x:v>
      </x:c>
      <x:c r="H235" s="9" t="n">
        <x:f>SUM(SalesLines!M559,SalesLines!M560,SalesLines!M561,SalesLines!M562)</x:f>
        <x:v>1628</x:v>
      </x:c>
      <x:c r="I235" s="9" t="n">
        <x:f>SUM(SalesLines!N559,SalesLines!N560,SalesLines!N561,SalesLines!N562)</x:f>
        <x:v>15.5</x:v>
      </x:c>
      <x:c r="J235" s="9" t="n">
        <x:f>SUM(SalesLines!P559,SalesLines!P560,SalesLines!P561,SalesLines!P562)</x:f>
        <x:v>0</x:v>
      </x:c>
      <x:c r="K235" s="11" t="n">
        <x:f>SUM(SalesLines!R559,SalesLines!R560,SalesLines!R561,SalesLines!R562)</x:f>
        <x:v>9</x:v>
      </x:c>
      <x:c r="L235" s="11" t="n">
        <x:f>SUM(SalesLines!S559,SalesLines!S560,SalesLines!S561,SalesLines!S562)</x:f>
        <x:v>0</x:v>
      </x:c>
      <x:c r="M235" s="8" t="n">
        <x:f>DATE(YEAR(C235),MONTH(C235),1)</x:f>
        <x:v>45931</x:v>
      </x:c>
    </x:row>
    <x:row r="236" ht="22" customHeight="1">
      <x:c r="A236" s="2" t="str">
        <x:v>O00232</x:v>
      </x:c>
      <x:c r="B236" s="2" t="str">
        <x:v>C0209</x:v>
      </x:c>
      <x:c r="C236" s="7" t="n">
        <x:v>45903</x:v>
      </x:c>
      <x:c r="D236" s="2" t="str">
        <x:v>Completed</x:v>
      </x:c>
      <x:c r="E236" s="2" t="str">
        <x:v>West</x:v>
      </x:c>
      <x:c r="F236" s="2" t="str">
        <x:v>Store</x:v>
      </x:c>
      <x:c r="G236" s="9" t="n">
        <x:f>SUM(SalesLines!Q563,SalesLines!Q564,SalesLines!Q565)</x:f>
        <x:v>1105.6</x:v>
      </x:c>
      <x:c r="H236" s="9" t="n">
        <x:f>SUM(SalesLines!M563,SalesLines!M564,SalesLines!M565)</x:f>
        <x:v>1438</x:v>
      </x:c>
      <x:c r="I236" s="9" t="n">
        <x:f>SUM(SalesLines!N563,SalesLines!N564,SalesLines!N565)</x:f>
        <x:v>78.4</x:v>
      </x:c>
      <x:c r="J236" s="9" t="n">
        <x:f>SUM(SalesLines!P563,SalesLines!P564,SalesLines!P565)</x:f>
        <x:v>254</x:v>
      </x:c>
      <x:c r="K236" s="11" t="n">
        <x:f>SUM(SalesLines!R563,SalesLines!R564,SalesLines!R565)</x:f>
        <x:v>6</x:v>
      </x:c>
      <x:c r="L236" s="11" t="n">
        <x:f>SUM(SalesLines!S563,SalesLines!S564,SalesLines!S565)</x:f>
        <x:v>1</x:v>
      </x:c>
      <x:c r="M236" s="8" t="n">
        <x:f>DATE(YEAR(C236),MONTH(C236),1)</x:f>
        <x:v>45901</x:v>
      </x:c>
    </x:row>
    <x:row r="237" ht="22" customHeight="1">
      <x:c r="A237" s="2" t="str">
        <x:v>O00233</x:v>
      </x:c>
      <x:c r="B237" s="2" t="str">
        <x:v>C0200</x:v>
      </x:c>
      <x:c r="C237" s="7" t="n">
        <x:v>45794</x:v>
      </x:c>
      <x:c r="D237" s="2" t="str">
        <x:v>Completed</x:v>
      </x:c>
      <x:c r="E237" s="2" t="str">
        <x:v>West</x:v>
      </x:c>
      <x:c r="F237" s="2" t="str">
        <x:v>Online</x:v>
      </x:c>
      <x:c r="G237" s="9" t="n">
        <x:f>SUM(SalesLines!Q566,SalesLines!Q567)</x:f>
        <x:v>609.6</x:v>
      </x:c>
      <x:c r="H237" s="9" t="n">
        <x:f>SUM(SalesLines!M566,SalesLines!M567)</x:f>
        <x:v>1074</x:v>
      </x:c>
      <x:c r="I237" s="9" t="n">
        <x:f>SUM(SalesLines!N566,SalesLines!N567)</x:f>
        <x:v>214.8</x:v>
      </x:c>
      <x:c r="J237" s="9" t="n">
        <x:f>SUM(SalesLines!P566,SalesLines!P567)</x:f>
        <x:v>249.60000000000002</x:v>
      </x:c>
      <x:c r="K237" s="11" t="n">
        <x:f>SUM(SalesLines!R566,SalesLines!R567)</x:f>
        <x:v>7</x:v>
      </x:c>
      <x:c r="L237" s="11" t="n">
        <x:f>SUM(SalesLines!S566,SalesLines!S567)</x:f>
        <x:v>4</x:v>
      </x:c>
      <x:c r="M237" s="8" t="n">
        <x:f>DATE(YEAR(C237),MONTH(C237),1)</x:f>
        <x:v>45778</x:v>
      </x:c>
    </x:row>
    <x:row r="238" ht="22" customHeight="1">
      <x:c r="A238" s="2" t="str">
        <x:v>O00234</x:v>
      </x:c>
      <x:c r="B238" s="2" t="str">
        <x:v>C0038</x:v>
      </x:c>
      <x:c r="C238" s="7" t="n">
        <x:v>45842</x:v>
      </x:c>
      <x:c r="D238" s="2" t="str">
        <x:v>Completed</x:v>
      </x:c>
      <x:c r="E238" s="2" t="str">
        <x:v>South</x:v>
      </x:c>
      <x:c r="F238" s="2" t="str">
        <x:v>Online</x:v>
      </x:c>
      <x:c r="G238" s="9" t="n">
        <x:f>SUM(SalesLines!Q568,SalesLines!Q569,SalesLines!Q570,SalesLines!Q571)</x:f>
        <x:v>2056.2000000000003</x:v>
      </x:c>
      <x:c r="H238" s="9" t="n">
        <x:f>SUM(SalesLines!M568,SalesLines!M569,SalesLines!M570,SalesLines!M571)</x:f>
        <x:v>2427</x:v>
      </x:c>
      <x:c r="I238" s="9" t="n">
        <x:f>SUM(SalesLines!N568,SalesLines!N569,SalesLines!N570,SalesLines!N571)</x:f>
        <x:v>370.8</x:v>
      </x:c>
      <x:c r="J238" s="9" t="n">
        <x:f>SUM(SalesLines!P568,SalesLines!P569,SalesLines!P570,SalesLines!P571)</x:f>
        <x:v>0</x:v>
      </x:c>
      <x:c r="K238" s="11" t="n">
        <x:f>SUM(SalesLines!R568,SalesLines!R569,SalesLines!R570,SalesLines!R571)</x:f>
        <x:v>15</x:v>
      </x:c>
      <x:c r="L238" s="11" t="n">
        <x:f>SUM(SalesLines!S568,SalesLines!S569,SalesLines!S570,SalesLines!S571)</x:f>
        <x:v>0</x:v>
      </x:c>
      <x:c r="M238" s="8" t="n">
        <x:f>DATE(YEAR(C238),MONTH(C238),1)</x:f>
        <x:v>45839</x:v>
      </x:c>
    </x:row>
    <x:row r="239" ht="22" customHeight="1">
      <x:c r="A239" s="2" t="str">
        <x:v>O00235</x:v>
      </x:c>
      <x:c r="B239" s="2" t="str">
        <x:v>C0142</x:v>
      </x:c>
      <x:c r="C239" s="7" t="n">
        <x:v>45745</x:v>
      </x:c>
      <x:c r="D239" s="2" t="str">
        <x:v>Completed</x:v>
      </x:c>
      <x:c r="E239" s="2" t="str">
        <x:v>West</x:v>
      </x:c>
      <x:c r="F239" s="2" t="str">
        <x:v>Store</x:v>
      </x:c>
      <x:c r="G239" s="9" t="n">
        <x:f>SUM(SalesLines!Q572)</x:f>
        <x:v>64</x:v>
      </x:c>
      <x:c r="H239" s="9" t="n">
        <x:f>SUM(SalesLines!M572)</x:f>
        <x:v>160</x:v>
      </x:c>
      <x:c r="I239" s="9" t="n">
        <x:f>SUM(SalesLines!N572)</x:f>
        <x:v>32</x:v>
      </x:c>
      <x:c r="J239" s="9" t="n">
        <x:f>SUM(SalesLines!P572)</x:f>
        <x:v>64</x:v>
      </x:c>
      <x:c r="K239" s="11" t="n">
        <x:f>SUM(SalesLines!R572)</x:f>
        <x:v>2</x:v>
      </x:c>
      <x:c r="L239" s="11" t="n">
        <x:f>SUM(SalesLines!S572)</x:f>
        <x:v>1</x:v>
      </x:c>
      <x:c r="M239" s="8" t="n">
        <x:f>DATE(YEAR(C239),MONTH(C239),1)</x:f>
        <x:v>45717</x:v>
      </x:c>
    </x:row>
    <x:row r="240" ht="22" customHeight="1">
      <x:c r="A240" s="2" t="str">
        <x:v>O00236</x:v>
      </x:c>
      <x:c r="B240" s="2" t="str">
        <x:v>C0289</x:v>
      </x:c>
      <x:c r="C240" s="7" t="n">
        <x:v>45944</x:v>
      </x:c>
      <x:c r="D240" s="2" t="str">
        <x:v>Completed</x:v>
      </x:c>
      <x:c r="E240" s="2" t="str">
        <x:v>West</x:v>
      </x:c>
      <x:c r="F240" s="2" t="str">
        <x:v>Online</x:v>
      </x:c>
      <x:c r="G240" s="9" t="n">
        <x:f>SUM(SalesLines!Q573)</x:f>
        <x:v>1420</x:v>
      </x:c>
      <x:c r="H240" s="9" t="n">
        <x:f>SUM(SalesLines!M573)</x:f>
        <x:v>1420</x:v>
      </x:c>
      <x:c r="I240" s="9" t="n">
        <x:f>SUM(SalesLines!N573)</x:f>
        <x:v>0</x:v>
      </x:c>
      <x:c r="J240" s="9" t="n">
        <x:f>SUM(SalesLines!P573)</x:f>
        <x:v>0</x:v>
      </x:c>
      <x:c r="K240" s="11" t="n">
        <x:f>SUM(SalesLines!R573)</x:f>
        <x:v>5</x:v>
      </x:c>
      <x:c r="L240" s="11" t="n">
        <x:f>SUM(SalesLines!S573)</x:f>
        <x:v>0</x:v>
      </x:c>
      <x:c r="M240" s="8" t="n">
        <x:f>DATE(YEAR(C240),MONTH(C240),1)</x:f>
        <x:v>45931</x:v>
      </x:c>
    </x:row>
    <x:row r="241" ht="22" customHeight="1">
      <x:c r="A241" s="2" t="str">
        <x:v>O00237</x:v>
      </x:c>
      <x:c r="B241" s="2" t="str">
        <x:v>C0264</x:v>
      </x:c>
      <x:c r="C241" s="7" t="n">
        <x:v>45926</x:v>
      </x:c>
      <x:c r="D241" s="2" t="str">
        <x:v>Completed</x:v>
      </x:c>
      <x:c r="E241" s="2" t="str">
        <x:v>South</x:v>
      </x:c>
      <x:c r="F241" s="2" t="str">
        <x:v>Store</x:v>
      </x:c>
      <x:c r="G241" s="9" t="n">
        <x:f>SUM(SalesLines!Q574,SalesLines!Q575,SalesLines!Q576,SalesLines!Q577)</x:f>
        <x:v>881.7</x:v>
      </x:c>
      <x:c r="H241" s="9" t="n">
        <x:f>SUM(SalesLines!M574,SalesLines!M575,SalesLines!M576,SalesLines!M577)</x:f>
        <x:v>1000</x:v>
      </x:c>
      <x:c r="I241" s="9" t="n">
        <x:f>SUM(SalesLines!N574,SalesLines!N575,SalesLines!N576,SalesLines!N577)</x:f>
        <x:v>118.30000000000001</x:v>
      </x:c>
      <x:c r="J241" s="9" t="n">
        <x:f>SUM(SalesLines!P574,SalesLines!P575,SalesLines!P576,SalesLines!P577)</x:f>
        <x:v>0</x:v>
      </x:c>
      <x:c r="K241" s="11" t="n">
        <x:f>SUM(SalesLines!R574,SalesLines!R575,SalesLines!R576,SalesLines!R577)</x:f>
        <x:v>9</x:v>
      </x:c>
      <x:c r="L241" s="11" t="n">
        <x:f>SUM(SalesLines!S574,SalesLines!S575,SalesLines!S576,SalesLines!S577)</x:f>
        <x:v>0</x:v>
      </x:c>
      <x:c r="M241" s="8" t="n">
        <x:f>DATE(YEAR(C241),MONTH(C241),1)</x:f>
        <x:v>45901</x:v>
      </x:c>
    </x:row>
    <x:row r="242" ht="22" customHeight="1">
      <x:c r="A242" s="2" t="str">
        <x:v>O00238</x:v>
      </x:c>
      <x:c r="B242" s="2" t="str">
        <x:v>C0063</x:v>
      </x:c>
      <x:c r="C242" s="7" t="n">
        <x:v>45763</x:v>
      </x:c>
      <x:c r="D242" s="2" t="str">
        <x:v>Completed</x:v>
      </x:c>
      <x:c r="E242" s="2" t="str">
        <x:v>West</x:v>
      </x:c>
      <x:c r="F242" s="2" t="str">
        <x:v>Store</x:v>
      </x:c>
      <x:c r="G242" s="9" t="n">
        <x:f>SUM(SalesLines!Q578,SalesLines!Q579,SalesLines!Q580,SalesLines!Q581)</x:f>
        <x:v>1795.3999999999999</x:v>
      </x:c>
      <x:c r="H242" s="9" t="n">
        <x:f>SUM(SalesLines!M578,SalesLines!M579,SalesLines!M580,SalesLines!M581)</x:f>
        <x:v>1907</x:v>
      </x:c>
      <x:c r="I242" s="9" t="n">
        <x:f>SUM(SalesLines!N578,SalesLines!N579,SalesLines!N580,SalesLines!N581)</x:f>
        <x:v>111.60000000000001</x:v>
      </x:c>
      <x:c r="J242" s="9" t="n">
        <x:f>SUM(SalesLines!P578,SalesLines!P579,SalesLines!P580,SalesLines!P581)</x:f>
        <x:v>0</x:v>
      </x:c>
      <x:c r="K242" s="11" t="n">
        <x:f>SUM(SalesLines!R578,SalesLines!R579,SalesLines!R580,SalesLines!R581)</x:f>
        <x:v>9</x:v>
      </x:c>
      <x:c r="L242" s="11" t="n">
        <x:f>SUM(SalesLines!S578,SalesLines!S579,SalesLines!S580,SalesLines!S581)</x:f>
        <x:v>0</x:v>
      </x:c>
      <x:c r="M242" s="8" t="n">
        <x:f>DATE(YEAR(C242),MONTH(C242),1)</x:f>
        <x:v>45748</x:v>
      </x:c>
    </x:row>
    <x:row r="243" ht="22" customHeight="1">
      <x:c r="A243" s="2" t="str">
        <x:v>O00239</x:v>
      </x:c>
      <x:c r="B243" s="2" t="str">
        <x:v>C0223</x:v>
      </x:c>
      <x:c r="C243" s="7" t="n">
        <x:v>45893</x:v>
      </x:c>
      <x:c r="D243" s="2" t="str">
        <x:v>Completed</x:v>
      </x:c>
      <x:c r="E243" s="2" t="str">
        <x:v>East</x:v>
      </x:c>
      <x:c r="F243" s="2" t="str">
        <x:v>Online</x:v>
      </x:c>
      <x:c r="G243" s="9" t="n">
        <x:f>SUM(SalesLines!Q582)</x:f>
        <x:v>554.4</x:v>
      </x:c>
      <x:c r="H243" s="9" t="n">
        <x:f>SUM(SalesLines!M582)</x:f>
        <x:v>693</x:v>
      </x:c>
      <x:c r="I243" s="9" t="n">
        <x:f>SUM(SalesLines!N582)</x:f>
        <x:v>138.6</x:v>
      </x:c>
      <x:c r="J243" s="9" t="n">
        <x:f>SUM(SalesLines!P582)</x:f>
        <x:v>0</x:v>
      </x:c>
      <x:c r="K243" s="11" t="n">
        <x:f>SUM(SalesLines!R582)</x:f>
        <x:v>3</x:v>
      </x:c>
      <x:c r="L243" s="11" t="n">
        <x:f>SUM(SalesLines!S582)</x:f>
        <x:v>0</x:v>
      </x:c>
      <x:c r="M243" s="8" t="n">
        <x:f>DATE(YEAR(C243),MONTH(C243),1)</x:f>
        <x:v>45870</x:v>
      </x:c>
    </x:row>
    <x:row r="244" ht="22" customHeight="1">
      <x:c r="A244" s="2" t="str">
        <x:v>O00240</x:v>
      </x:c>
      <x:c r="B244" s="2" t="str">
        <x:v>C0085</x:v>
      </x:c>
      <x:c r="C244" s="7" t="n">
        <x:v>45718</x:v>
      </x:c>
      <x:c r="D244" s="2" t="str">
        <x:v>Completed</x:v>
      </x:c>
      <x:c r="E244" s="2" t="str">
        <x:v>South</x:v>
      </x:c>
      <x:c r="F244" s="2" t="str">
        <x:v>Online</x:v>
      </x:c>
      <x:c r="G244" s="9" t="n">
        <x:f>SUM(SalesLines!Q583)</x:f>
        <x:v>84</x:v>
      </x:c>
      <x:c r="H244" s="9" t="n">
        <x:f>SUM(SalesLines!M583)</x:f>
        <x:v>105</x:v>
      </x:c>
      <x:c r="I244" s="9" t="n">
        <x:f>SUM(SalesLines!N583)</x:f>
        <x:v>21</x:v>
      </x:c>
      <x:c r="J244" s="9" t="n">
        <x:f>SUM(SalesLines!P583)</x:f>
        <x:v>0</x:v>
      </x:c>
      <x:c r="K244" s="11" t="n">
        <x:f>SUM(SalesLines!R583)</x:f>
        <x:v>3</x:v>
      </x:c>
      <x:c r="L244" s="11" t="n">
        <x:f>SUM(SalesLines!S583)</x:f>
        <x:v>0</x:v>
      </x:c>
      <x:c r="M244" s="8" t="n">
        <x:f>DATE(YEAR(C244),MONTH(C244),1)</x:f>
        <x:v>45717</x:v>
      </x:c>
    </x:row>
    <x:row r="245" ht="22" customHeight="1">
      <x:c r="A245" s="2" t="str">
        <x:v>O00241</x:v>
      </x:c>
      <x:c r="B245" s="2" t="str">
        <x:v>C0276</x:v>
      </x:c>
      <x:c r="C245" s="7" t="n">
        <x:v>45832</x:v>
      </x:c>
      <x:c r="D245" s="2" t="str">
        <x:v>Completed</x:v>
      </x:c>
      <x:c r="E245" s="2" t="str">
        <x:v>South</x:v>
      </x:c>
      <x:c r="F245" s="2" t="str">
        <x:v>Online</x:v>
      </x:c>
      <x:c r="G245" s="9" t="n">
        <x:f>SUM(SalesLines!Q584,SalesLines!Q585,SalesLines!Q586,SalesLines!Q587)</x:f>
        <x:v>1021</x:v>
      </x:c>
      <x:c r="H245" s="9" t="n">
        <x:f>SUM(SalesLines!M584,SalesLines!M585,SalesLines!M586,SalesLines!M587)</x:f>
        <x:v>1136</x:v>
      </x:c>
      <x:c r="I245" s="9" t="n">
        <x:f>SUM(SalesLines!N584,SalesLines!N585,SalesLines!N586,SalesLines!N587)</x:f>
        <x:v>19.5</x:v>
      </x:c>
      <x:c r="J245" s="9" t="n">
        <x:f>SUM(SalesLines!P584,SalesLines!P585,SalesLines!P586,SalesLines!P587)</x:f>
        <x:v>95.5</x:v>
      </x:c>
      <x:c r="K245" s="11" t="n">
        <x:f>SUM(SalesLines!R584,SalesLines!R585,SalesLines!R586,SalesLines!R587)</x:f>
        <x:v>7</x:v>
      </x:c>
      <x:c r="L245" s="11" t="n">
        <x:f>SUM(SalesLines!S584,SalesLines!S585,SalesLines!S586,SalesLines!S587)</x:f>
        <x:v>2</x:v>
      </x:c>
      <x:c r="M245" s="8" t="n">
        <x:f>DATE(YEAR(C245),MONTH(C245),1)</x:f>
        <x:v>45809</x:v>
      </x:c>
    </x:row>
    <x:row r="246" ht="22" customHeight="1">
      <x:c r="A246" s="2" t="str">
        <x:v>O00242</x:v>
      </x:c>
      <x:c r="B246" s="2" t="str">
        <x:v>C0251</x:v>
      </x:c>
      <x:c r="C246" s="7" t="n">
        <x:v>45864</x:v>
      </x:c>
      <x:c r="D246" s="2" t="str">
        <x:v>Completed</x:v>
      </x:c>
      <x:c r="E246" s="2" t="str">
        <x:v>North</x:v>
      </x:c>
      <x:c r="F246" s="2" t="str">
        <x:v>Store</x:v>
      </x:c>
      <x:c r="G246" s="9" t="n">
        <x:f>SUM(SalesLines!Q588,SalesLines!Q589)</x:f>
        <x:v>567.6</x:v>
      </x:c>
      <x:c r="H246" s="9" t="n">
        <x:f>SUM(SalesLines!M588,SalesLines!M589)</x:f>
        <x:v>618</x:v>
      </x:c>
      <x:c r="I246" s="9" t="n">
        <x:f>SUM(SalesLines!N588,SalesLines!N589)</x:f>
        <x:v>50.400000000000006</x:v>
      </x:c>
      <x:c r="J246" s="9" t="n">
        <x:f>SUM(SalesLines!P588,SalesLines!P589)</x:f>
        <x:v>0</x:v>
      </x:c>
      <x:c r="K246" s="11" t="n">
        <x:f>SUM(SalesLines!R588,SalesLines!R589)</x:f>
        <x:v>6</x:v>
      </x:c>
      <x:c r="L246" s="11" t="n">
        <x:f>SUM(SalesLines!S588,SalesLines!S589)</x:f>
        <x:v>0</x:v>
      </x:c>
      <x:c r="M246" s="8" t="n">
        <x:f>DATE(YEAR(C246),MONTH(C246),1)</x:f>
        <x:v>45839</x:v>
      </x:c>
    </x:row>
    <x:row r="247" ht="22" customHeight="1">
      <x:c r="A247" s="2" t="str">
        <x:v>O00243</x:v>
      </x:c>
      <x:c r="B247" s="2" t="str">
        <x:v>C0213</x:v>
      </x:c>
      <x:c r="C247" s="7" t="n">
        <x:v>45717</x:v>
      </x:c>
      <x:c r="D247" s="2" t="str">
        <x:v>Completed</x:v>
      </x:c>
      <x:c r="E247" s="2" t="str">
        <x:v>East</x:v>
      </x:c>
      <x:c r="F247" s="2" t="str">
        <x:v>Store</x:v>
      </x:c>
      <x:c r="G247" s="9" t="n">
        <x:f>SUM(SalesLines!Q590,SalesLines!Q591)</x:f>
        <x:v>122.5</x:v>
      </x:c>
      <x:c r="H247" s="9" t="n">
        <x:f>SUM(SalesLines!M590,SalesLines!M591)</x:f>
        <x:v>140</x:v>
      </x:c>
      <x:c r="I247" s="9" t="n">
        <x:f>SUM(SalesLines!N590,SalesLines!N591)</x:f>
        <x:v>17.5</x:v>
      </x:c>
      <x:c r="J247" s="9" t="n">
        <x:f>SUM(SalesLines!P590,SalesLines!P591)</x:f>
        <x:v>0</x:v>
      </x:c>
      <x:c r="K247" s="11" t="n">
        <x:f>SUM(SalesLines!R590,SalesLines!R591)</x:f>
        <x:v>4</x:v>
      </x:c>
      <x:c r="L247" s="11" t="n">
        <x:f>SUM(SalesLines!S590,SalesLines!S591)</x:f>
        <x:v>0</x:v>
      </x:c>
      <x:c r="M247" s="8" t="n">
        <x:f>DATE(YEAR(C247),MONTH(C247),1)</x:f>
        <x:v>45717</x:v>
      </x:c>
    </x:row>
    <x:row r="248" ht="22" customHeight="1">
      <x:c r="A248" s="2" t="str">
        <x:v>O00244</x:v>
      </x:c>
      <x:c r="B248" s="2" t="str">
        <x:v>C0053</x:v>
      </x:c>
      <x:c r="C248" s="7" t="n">
        <x:v>45794</x:v>
      </x:c>
      <x:c r="D248" s="2" t="str">
        <x:v>Completed</x:v>
      </x:c>
      <x:c r="E248" s="2" t="str">
        <x:v>West</x:v>
      </x:c>
      <x:c r="F248" s="2" t="str">
        <x:v>Online</x:v>
      </x:c>
      <x:c r="G248" s="9" t="n">
        <x:f>SUM(SalesLines!Q592,SalesLines!Q593,SalesLines!Q594,SalesLines!Q595)</x:f>
        <x:v>2201.25</x:v>
      </x:c>
      <x:c r="H248" s="9" t="n">
        <x:f>SUM(SalesLines!M592,SalesLines!M593,SalesLines!M594,SalesLines!M595)</x:f>
        <x:v>2461</x:v>
      </x:c>
      <x:c r="I248" s="9" t="n">
        <x:f>SUM(SalesLines!N592,SalesLines!N593,SalesLines!N594,SalesLines!N595)</x:f>
        <x:v>259.75</x:v>
      </x:c>
      <x:c r="J248" s="9" t="n">
        <x:f>SUM(SalesLines!P592,SalesLines!P593,SalesLines!P594,SalesLines!P595)</x:f>
        <x:v>0</x:v>
      </x:c>
      <x:c r="K248" s="11" t="n">
        <x:f>SUM(SalesLines!R592,SalesLines!R593,SalesLines!R594,SalesLines!R595)</x:f>
        <x:v>15</x:v>
      </x:c>
      <x:c r="L248" s="11" t="n">
        <x:f>SUM(SalesLines!S592,SalesLines!S593,SalesLines!S594,SalesLines!S595)</x:f>
        <x:v>0</x:v>
      </x:c>
      <x:c r="M248" s="8" t="n">
        <x:f>DATE(YEAR(C248),MONTH(C248),1)</x:f>
        <x:v>45778</x:v>
      </x:c>
    </x:row>
    <x:row r="249" ht="22" customHeight="1">
      <x:c r="A249" s="2" t="str">
        <x:v>O00245</x:v>
      </x:c>
      <x:c r="B249" s="2" t="str">
        <x:v>C0210</x:v>
      </x:c>
      <x:c r="C249" s="7" t="n">
        <x:v>45977</x:v>
      </x:c>
      <x:c r="D249" s="2" t="str">
        <x:v>Completed</x:v>
      </x:c>
      <x:c r="E249" s="2" t="str">
        <x:v>North</x:v>
      </x:c>
      <x:c r="F249" s="2" t="str">
        <x:v>Online</x:v>
      </x:c>
      <x:c r="G249" s="9" t="n">
        <x:f>SUM(SalesLines!Q596)</x:f>
        <x:v>295.2</x:v>
      </x:c>
      <x:c r="H249" s="9" t="n">
        <x:f>SUM(SalesLines!M596)</x:f>
        <x:v>369</x:v>
      </x:c>
      <x:c r="I249" s="9" t="n">
        <x:f>SUM(SalesLines!N596)</x:f>
        <x:v>73.8</x:v>
      </x:c>
      <x:c r="J249" s="9" t="n">
        <x:f>SUM(SalesLines!P596)</x:f>
        <x:v>0</x:v>
      </x:c>
      <x:c r="K249" s="11" t="n">
        <x:f>SUM(SalesLines!R596)</x:f>
        <x:v>3</x:v>
      </x:c>
      <x:c r="L249" s="11" t="n">
        <x:f>SUM(SalesLines!S596)</x:f>
        <x:v>0</x:v>
      </x:c>
      <x:c r="M249" s="8" t="n">
        <x:f>DATE(YEAR(C249),MONTH(C249),1)</x:f>
        <x:v>45962</x:v>
      </x:c>
    </x:row>
    <x:row r="250" ht="22" customHeight="1">
      <x:c r="A250" s="2" t="str">
        <x:v>O00246</x:v>
      </x:c>
      <x:c r="B250" s="2" t="str">
        <x:v>C0203</x:v>
      </x:c>
      <x:c r="C250" s="7" t="n">
        <x:v>45902</x:v>
      </x:c>
      <x:c r="D250" s="2" t="str">
        <x:v>Cancelled</x:v>
      </x:c>
      <x:c r="E250" s="2" t="str">
        <x:v>South</x:v>
      </x:c>
      <x:c r="F250" s="2" t="str">
        <x:v>Online</x:v>
      </x:c>
      <x:c r="G250" s="9" t="n">
        <x:f>SUM(SalesLines!Q597,SalesLines!Q598,SalesLines!Q599,SalesLines!Q600)</x:f>
        <x:v>0</x:v>
      </x:c>
      <x:c r="H250" s="9" t="n">
        <x:f>SUM(SalesLines!M597,SalesLines!M598,SalesLines!M599,SalesLines!M600)</x:f>
        <x:v>0</x:v>
      </x:c>
      <x:c r="I250" s="9" t="n">
        <x:f>SUM(SalesLines!N597,SalesLines!N598,SalesLines!N599,SalesLines!N600)</x:f>
        <x:v>0</x:v>
      </x:c>
      <x:c r="J250" s="9" t="n">
        <x:f>SUM(SalesLines!P597,SalesLines!P598,SalesLines!P599,SalesLines!P600)</x:f>
        <x:v>0</x:v>
      </x:c>
      <x:c r="K250" s="11" t="n">
        <x:f>SUM(SalesLines!R597,SalesLines!R598,SalesLines!R599,SalesLines!R600)</x:f>
        <x:v>0</x:v>
      </x:c>
      <x:c r="L250" s="11" t="n">
        <x:f>SUM(SalesLines!S597,SalesLines!S598,SalesLines!S599,SalesLines!S600)</x:f>
        <x:v>0</x:v>
      </x:c>
      <x:c r="M250" s="8" t="n">
        <x:f>DATE(YEAR(C250),MONTH(C250),1)</x:f>
        <x:v>45901</x:v>
      </x:c>
    </x:row>
    <x:row r="251" ht="22" customHeight="1">
      <x:c r="A251" s="2" t="str">
        <x:v>O00247</x:v>
      </x:c>
      <x:c r="B251" s="2" t="str">
        <x:v>C0246</x:v>
      </x:c>
      <x:c r="C251" s="7" t="n">
        <x:v>45750</x:v>
      </x:c>
      <x:c r="D251" s="2" t="str">
        <x:v>Completed</x:v>
      </x:c>
      <x:c r="E251" s="2" t="str">
        <x:v>South</x:v>
      </x:c>
      <x:c r="F251" s="2" t="str">
        <x:v>Online</x:v>
      </x:c>
      <x:c r="G251" s="9" t="n">
        <x:f>SUM(SalesLines!Q601)</x:f>
        <x:v>579.5</x:v>
      </x:c>
      <x:c r="H251" s="9" t="n">
        <x:f>SUM(SalesLines!M601)</x:f>
        <x:v>610</x:v>
      </x:c>
      <x:c r="I251" s="9" t="n">
        <x:f>SUM(SalesLines!N601)</x:f>
        <x:v>30.5</x:v>
      </x:c>
      <x:c r="J251" s="9" t="n">
        <x:f>SUM(SalesLines!P601)</x:f>
        <x:v>0</x:v>
      </x:c>
      <x:c r="K251" s="11" t="n">
        <x:f>SUM(SalesLines!R601)</x:f>
        <x:v>5</x:v>
      </x:c>
      <x:c r="L251" s="11" t="n">
        <x:f>SUM(SalesLines!S601)</x:f>
        <x:v>0</x:v>
      </x:c>
      <x:c r="M251" s="8" t="n">
        <x:f>DATE(YEAR(C251),MONTH(C251),1)</x:f>
        <x:v>45748</x:v>
      </x:c>
    </x:row>
    <x:row r="252" ht="22" customHeight="1">
      <x:c r="A252" s="2" t="str">
        <x:v>O00248</x:v>
      </x:c>
      <x:c r="B252" s="2" t="str">
        <x:v>C0251</x:v>
      </x:c>
      <x:c r="C252" s="7" t="n">
        <x:v>45903</x:v>
      </x:c>
      <x:c r="D252" s="2" t="str">
        <x:v>Completed</x:v>
      </x:c>
      <x:c r="E252" s="2" t="str">
        <x:v>North</x:v>
      </x:c>
      <x:c r="F252" s="2" t="str">
        <x:v>Online</x:v>
      </x:c>
      <x:c r="G252" s="9" t="n">
        <x:f>SUM(SalesLines!Q602,SalesLines!Q603,SalesLines!Q604)</x:f>
        <x:v>1181</x:v>
      </x:c>
      <x:c r="H252" s="9" t="n">
        <x:f>SUM(SalesLines!M602,SalesLines!M603,SalesLines!M604)</x:f>
        <x:v>1237</x:v>
      </x:c>
      <x:c r="I252" s="9" t="n">
        <x:f>SUM(SalesLines!N602,SalesLines!N603,SalesLines!N604)</x:f>
        <x:v>56</x:v>
      </x:c>
      <x:c r="J252" s="9" t="n">
        <x:f>SUM(SalesLines!P602,SalesLines!P603,SalesLines!P604)</x:f>
        <x:v>0</x:v>
      </x:c>
      <x:c r="K252" s="11" t="n">
        <x:f>SUM(SalesLines!R602,SalesLines!R603,SalesLines!R604)</x:f>
        <x:v>6</x:v>
      </x:c>
      <x:c r="L252" s="11" t="n">
        <x:f>SUM(SalesLines!S602,SalesLines!S603,SalesLines!S604)</x:f>
        <x:v>0</x:v>
      </x:c>
      <x:c r="M252" s="8" t="n">
        <x:f>DATE(YEAR(C252),MONTH(C252),1)</x:f>
        <x:v>45901</x:v>
      </x:c>
    </x:row>
    <x:row r="253" ht="22" customHeight="1">
      <x:c r="A253" s="2" t="str">
        <x:v>O00249</x:v>
      </x:c>
      <x:c r="B253" s="2" t="str">
        <x:v>C0158</x:v>
      </x:c>
      <x:c r="C253" s="7" t="n">
        <x:v>45732</x:v>
      </x:c>
      <x:c r="D253" s="2" t="str">
        <x:v>Completed</x:v>
      </x:c>
      <x:c r="E253" s="2" t="str">
        <x:v>East</x:v>
      </x:c>
      <x:c r="F253" s="2" t="str">
        <x:v>Store</x:v>
      </x:c>
      <x:c r="G253" s="9" t="n">
        <x:f>SUM(SalesLines!Q605,SalesLines!Q606,SalesLines!Q607,SalesLines!Q608)</x:f>
        <x:v>1268</x:v>
      </x:c>
      <x:c r="H253" s="9" t="n">
        <x:f>SUM(SalesLines!M605,SalesLines!M606,SalesLines!M607,SalesLines!M608)</x:f>
        <x:v>1311</x:v>
      </x:c>
      <x:c r="I253" s="9" t="n">
        <x:f>SUM(SalesLines!N605,SalesLines!N606,SalesLines!N607,SalesLines!N608)</x:f>
        <x:v>43</x:v>
      </x:c>
      <x:c r="J253" s="9" t="n">
        <x:f>SUM(SalesLines!P605,SalesLines!P606,SalesLines!P607,SalesLines!P608)</x:f>
        <x:v>0</x:v>
      </x:c>
      <x:c r="K253" s="11" t="n">
        <x:f>SUM(SalesLines!R605,SalesLines!R606,SalesLines!R607,SalesLines!R608)</x:f>
        <x:v>8</x:v>
      </x:c>
      <x:c r="L253" s="11" t="n">
        <x:f>SUM(SalesLines!S605,SalesLines!S606,SalesLines!S607,SalesLines!S608)</x:f>
        <x:v>0</x:v>
      </x:c>
      <x:c r="M253" s="8" t="n">
        <x:f>DATE(YEAR(C253),MONTH(C253),1)</x:f>
        <x:v>45717</x:v>
      </x:c>
    </x:row>
    <x:row r="254" ht="22" customHeight="1">
      <x:c r="A254" s="2" t="str">
        <x:v>O00250</x:v>
      </x:c>
      <x:c r="B254" s="2" t="str">
        <x:v>C0021</x:v>
      </x:c>
      <x:c r="C254" s="7" t="n">
        <x:v>46022</x:v>
      </x:c>
      <x:c r="D254" s="2" t="str">
        <x:v>Completed</x:v>
      </x:c>
      <x:c r="E254" s="2" t="str">
        <x:v>West</x:v>
      </x:c>
      <x:c r="F254" s="2" t="str">
        <x:v>Online</x:v>
      </x:c>
      <x:c r="G254" s="9" t="n">
        <x:f>SUM(SalesLines!Q609)</x:f>
        <x:v>1278</x:v>
      </x:c>
      <x:c r="H254" s="9" t="n">
        <x:f>SUM(SalesLines!M609)</x:f>
        <x:v>1420</x:v>
      </x:c>
      <x:c r="I254" s="9" t="n">
        <x:f>SUM(SalesLines!N609)</x:f>
        <x:v>142</x:v>
      </x:c>
      <x:c r="J254" s="9" t="n">
        <x:f>SUM(SalesLines!P609)</x:f>
        <x:v>0</x:v>
      </x:c>
      <x:c r="K254" s="11" t="n">
        <x:f>SUM(SalesLines!R609)</x:f>
        <x:v>5</x:v>
      </x:c>
      <x:c r="L254" s="11" t="n">
        <x:f>SUM(SalesLines!S609)</x:f>
        <x:v>0</x:v>
      </x:c>
      <x:c r="M254" s="8" t="n">
        <x:f>DATE(YEAR(C254),MONTH(C254),1)</x:f>
        <x:v>45992</x:v>
      </x:c>
    </x:row>
    <x:row r="255" ht="22" customHeight="1">
      <x:c r="A255" s="2" t="str">
        <x:v>O00251</x:v>
      </x:c>
      <x:c r="B255" s="2" t="str">
        <x:v>C0172</x:v>
      </x:c>
      <x:c r="C255" s="7" t="n">
        <x:v>45671</x:v>
      </x:c>
      <x:c r="D255" s="2" t="str">
        <x:v>Completed</x:v>
      </x:c>
      <x:c r="E255" s="2" t="str">
        <x:v>North</x:v>
      </x:c>
      <x:c r="F255" s="2" t="str">
        <x:v>Store</x:v>
      </x:c>
      <x:c r="G255" s="9" t="n">
        <x:f>SUM(SalesLines!Q610,SalesLines!Q611,SalesLines!Q612,SalesLines!Q613)</x:f>
        <x:v>1475.5</x:v>
      </x:c>
      <x:c r="H255" s="9" t="n">
        <x:f>SUM(SalesLines!M610,SalesLines!M611,SalesLines!M612,SalesLines!M613)</x:f>
        <x:v>1775</x:v>
      </x:c>
      <x:c r="I255" s="9" t="n">
        <x:f>SUM(SalesLines!N610,SalesLines!N611,SalesLines!N612,SalesLines!N613)</x:f>
        <x:v>299.5</x:v>
      </x:c>
      <x:c r="J255" s="9" t="n">
        <x:f>SUM(SalesLines!P610,SalesLines!P611,SalesLines!P612,SalesLines!P613)</x:f>
        <x:v>0</x:v>
      </x:c>
      <x:c r="K255" s="11" t="n">
        <x:f>SUM(SalesLines!R610,SalesLines!R611,SalesLines!R612,SalesLines!R613)</x:f>
        <x:v>15</x:v>
      </x:c>
      <x:c r="L255" s="11" t="n">
        <x:f>SUM(SalesLines!S610,SalesLines!S611,SalesLines!S612,SalesLines!S613)</x:f>
        <x:v>0</x:v>
      </x:c>
      <x:c r="M255" s="8" t="n">
        <x:f>DATE(YEAR(C255),MONTH(C255),1)</x:f>
        <x:v>45658</x:v>
      </x:c>
    </x:row>
    <x:row r="256" ht="22" customHeight="1">
      <x:c r="A256" s="2" t="str">
        <x:v>O00252</x:v>
      </x:c>
      <x:c r="B256" s="2" t="str">
        <x:v>C0222</x:v>
      </x:c>
      <x:c r="C256" s="7" t="n">
        <x:v>46012</x:v>
      </x:c>
      <x:c r="D256" s="2" t="str">
        <x:v>Completed</x:v>
      </x:c>
      <x:c r="E256" s="2" t="str">
        <x:v>East</x:v>
      </x:c>
      <x:c r="F256" s="2" t="str">
        <x:v>Online</x:v>
      </x:c>
      <x:c r="G256" s="9" t="n">
        <x:f>SUM(SalesLines!Q614)</x:f>
        <x:v>307.8</x:v>
      </x:c>
      <x:c r="H256" s="9" t="n">
        <x:f>SUM(SalesLines!M614)</x:f>
        <x:v>324</x:v>
      </x:c>
      <x:c r="I256" s="9" t="n">
        <x:f>SUM(SalesLines!N614)</x:f>
        <x:v>16.2</x:v>
      </x:c>
      <x:c r="J256" s="9" t="n">
        <x:f>SUM(SalesLines!P614)</x:f>
        <x:v>0</x:v>
      </x:c>
      <x:c r="K256" s="11" t="n">
        <x:f>SUM(SalesLines!R614)</x:f>
        <x:v>4</x:v>
      </x:c>
      <x:c r="L256" s="11" t="n">
        <x:f>SUM(SalesLines!S614)</x:f>
        <x:v>0</x:v>
      </x:c>
      <x:c r="M256" s="8" t="n">
        <x:f>DATE(YEAR(C256),MONTH(C256),1)</x:f>
        <x:v>45992</x:v>
      </x:c>
    </x:row>
    <x:row r="257" ht="22" customHeight="1">
      <x:c r="A257" s="2" t="str">
        <x:v>O00253</x:v>
      </x:c>
      <x:c r="B257" s="2" t="str">
        <x:v>C0167</x:v>
      </x:c>
      <x:c r="C257" s="7" t="n">
        <x:v>45794</x:v>
      </x:c>
      <x:c r="D257" s="2" t="str">
        <x:v>Completed</x:v>
      </x:c>
      <x:c r="E257" s="2" t="str">
        <x:v>West</x:v>
      </x:c>
      <x:c r="F257" s="2" t="str">
        <x:v>Online</x:v>
      </x:c>
      <x:c r="G257" s="9" t="n">
        <x:f>SUM(SalesLines!Q615,SalesLines!Q616,SalesLines!Q617,SalesLines!Q618)</x:f>
        <x:v>1430.8000000000002</x:v>
      </x:c>
      <x:c r="H257" s="9" t="n">
        <x:f>SUM(SalesLines!M615,SalesLines!M616,SalesLines!M617,SalesLines!M618)</x:f>
        <x:v>1512</x:v>
      </x:c>
      <x:c r="I257" s="9" t="n">
        <x:f>SUM(SalesLines!N615,SalesLines!N616,SalesLines!N617,SalesLines!N618)</x:f>
        <x:v>81.2</x:v>
      </x:c>
      <x:c r="J257" s="9" t="n">
        <x:f>SUM(SalesLines!P615,SalesLines!P616,SalesLines!P617,SalesLines!P618)</x:f>
        <x:v>0</x:v>
      </x:c>
      <x:c r="K257" s="11" t="n">
        <x:f>SUM(SalesLines!R615,SalesLines!R616,SalesLines!R617,SalesLines!R618)</x:f>
        <x:v>11</x:v>
      </x:c>
      <x:c r="L257" s="11" t="n">
        <x:f>SUM(SalesLines!S615,SalesLines!S616,SalesLines!S617,SalesLines!S618)</x:f>
        <x:v>0</x:v>
      </x:c>
      <x:c r="M257" s="8" t="n">
        <x:f>DATE(YEAR(C257),MONTH(C257),1)</x:f>
        <x:v>45778</x:v>
      </x:c>
    </x:row>
    <x:row r="258" ht="22" customHeight="1">
      <x:c r="A258" s="2" t="str">
        <x:v>O00254</x:v>
      </x:c>
      <x:c r="B258" s="2" t="str">
        <x:v>C0267</x:v>
      </x:c>
      <x:c r="C258" s="7" t="n">
        <x:v>45941</x:v>
      </x:c>
      <x:c r="D258" s="2" t="str">
        <x:v>Completed</x:v>
      </x:c>
      <x:c r="E258" s="2" t="str">
        <x:v>West</x:v>
      </x:c>
      <x:c r="F258" s="2" t="str">
        <x:v>Online</x:v>
      </x:c>
      <x:c r="G258" s="9" t="n">
        <x:f>SUM(SalesLines!Q619)</x:f>
        <x:v>246</x:v>
      </x:c>
      <x:c r="H258" s="9" t="n">
        <x:f>SUM(SalesLines!M619)</x:f>
        <x:v>246</x:v>
      </x:c>
      <x:c r="I258" s="9" t="n">
        <x:f>SUM(SalesLines!N619)</x:f>
        <x:v>0</x:v>
      </x:c>
      <x:c r="J258" s="9" t="n">
        <x:f>SUM(SalesLines!P619)</x:f>
        <x:v>0</x:v>
      </x:c>
      <x:c r="K258" s="11" t="n">
        <x:f>SUM(SalesLines!R619)</x:f>
        <x:v>2</x:v>
      </x:c>
      <x:c r="L258" s="11" t="n">
        <x:f>SUM(SalesLines!S619)</x:f>
        <x:v>0</x:v>
      </x:c>
      <x:c r="M258" s="8" t="n">
        <x:f>DATE(YEAR(C258),MONTH(C258),1)</x:f>
        <x:v>45931</x:v>
      </x:c>
    </x:row>
    <x:row r="259" ht="22" customHeight="1">
      <x:c r="A259" s="2" t="str">
        <x:v>O00255</x:v>
      </x:c>
      <x:c r="B259" s="2" t="str">
        <x:v>C0015</x:v>
      </x:c>
      <x:c r="C259" s="7" t="n">
        <x:v>45712</x:v>
      </x:c>
      <x:c r="D259" s="2" t="str">
        <x:v>Completed</x:v>
      </x:c>
      <x:c r="E259" s="2" t="str">
        <x:v>West</x:v>
      </x:c>
      <x:c r="F259" s="2" t="str">
        <x:v>Store</x:v>
      </x:c>
      <x:c r="G259" s="9" t="n">
        <x:f>SUM(SalesLines!Q620,SalesLines!Q621,SalesLines!Q622)</x:f>
        <x:v>1286.4</x:v>
      </x:c>
      <x:c r="H259" s="9" t="n">
        <x:f>SUM(SalesLines!M620,SalesLines!M621,SalesLines!M622)</x:f>
        <x:v>1590</x:v>
      </x:c>
      <x:c r="I259" s="9" t="n">
        <x:f>SUM(SalesLines!N620,SalesLines!N621,SalesLines!N622)</x:f>
        <x:v>54.6</x:v>
      </x:c>
      <x:c r="J259" s="9" t="n">
        <x:f>SUM(SalesLines!P620,SalesLines!P621,SalesLines!P622)</x:f>
        <x:v>249</x:v>
      </x:c>
      <x:c r="K259" s="11" t="n">
        <x:f>SUM(SalesLines!R620,SalesLines!R621,SalesLines!R622)</x:f>
        <x:v>9</x:v>
      </x:c>
      <x:c r="L259" s="11" t="n">
        <x:f>SUM(SalesLines!S620,SalesLines!S621,SalesLines!S622)</x:f>
        <x:v>1</x:v>
      </x:c>
      <x:c r="M259" s="8" t="n">
        <x:f>DATE(YEAR(C259),MONTH(C259),1)</x:f>
        <x:v>45689</x:v>
      </x:c>
    </x:row>
    <x:row r="260" ht="22" customHeight="1">
      <x:c r="A260" s="2" t="str">
        <x:v>O00256</x:v>
      </x:c>
      <x:c r="B260" s="2" t="str">
        <x:v>C0109</x:v>
      </x:c>
      <x:c r="C260" s="7" t="n">
        <x:v>45727</x:v>
      </x:c>
      <x:c r="D260" s="2" t="str">
        <x:v>Completed</x:v>
      </x:c>
      <x:c r="E260" s="2" t="str">
        <x:v>West</x:v>
      </x:c>
      <x:c r="F260" s="2" t="str">
        <x:v>Store</x:v>
      </x:c>
      <x:c r="G260" s="9" t="n">
        <x:f>SUM(SalesLines!Q623,SalesLines!Q624,SalesLines!Q625)</x:f>
        <x:v>1180.7</x:v>
      </x:c>
      <x:c r="H260" s="9" t="n">
        <x:f>SUM(SalesLines!M623,SalesLines!M624,SalesLines!M625)</x:f>
        <x:v>1399</x:v>
      </x:c>
      <x:c r="I260" s="9" t="n">
        <x:f>SUM(SalesLines!N623,SalesLines!N624,SalesLines!N625)</x:f>
        <x:v>218.3</x:v>
      </x:c>
      <x:c r="J260" s="9" t="n">
        <x:f>SUM(SalesLines!P623,SalesLines!P624,SalesLines!P625)</x:f>
        <x:v>0</x:v>
      </x:c>
      <x:c r="K260" s="11" t="n">
        <x:f>SUM(SalesLines!R623,SalesLines!R624,SalesLines!R625)</x:f>
        <x:v>9</x:v>
      </x:c>
      <x:c r="L260" s="11" t="n">
        <x:f>SUM(SalesLines!S623,SalesLines!S624,SalesLines!S625)</x:f>
        <x:v>0</x:v>
      </x:c>
      <x:c r="M260" s="8" t="n">
        <x:f>DATE(YEAR(C260),MONTH(C260),1)</x:f>
        <x:v>45717</x:v>
      </x:c>
    </x:row>
    <x:row r="261" ht="22" customHeight="1">
      <x:c r="A261" s="2" t="str">
        <x:v>O00257</x:v>
      </x:c>
      <x:c r="B261" s="2" t="str">
        <x:v>C0172</x:v>
      </x:c>
      <x:c r="C261" s="7" t="n">
        <x:v>45882</x:v>
      </x:c>
      <x:c r="D261" s="2" t="str">
        <x:v>Completed</x:v>
      </x:c>
      <x:c r="E261" s="2" t="str">
        <x:v>North</x:v>
      </x:c>
      <x:c r="F261" s="2" t="str">
        <x:v>Store</x:v>
      </x:c>
      <x:c r="G261" s="9" t="n">
        <x:f>SUM(SalesLines!Q626)</x:f>
        <x:v>153.9</x:v>
      </x:c>
      <x:c r="H261" s="9" t="n">
        <x:f>SUM(SalesLines!M626)</x:f>
        <x:v>162</x:v>
      </x:c>
      <x:c r="I261" s="9" t="n">
        <x:f>SUM(SalesLines!N626)</x:f>
        <x:v>8.1</x:v>
      </x:c>
      <x:c r="J261" s="9" t="n">
        <x:f>SUM(SalesLines!P626)</x:f>
        <x:v>0</x:v>
      </x:c>
      <x:c r="K261" s="11" t="n">
        <x:f>SUM(SalesLines!R626)</x:f>
        <x:v>2</x:v>
      </x:c>
      <x:c r="L261" s="11" t="n">
        <x:f>SUM(SalesLines!S626)</x:f>
        <x:v>0</x:v>
      </x:c>
      <x:c r="M261" s="8" t="n">
        <x:f>DATE(YEAR(C261),MONTH(C261),1)</x:f>
        <x:v>45870</x:v>
      </x:c>
    </x:row>
    <x:row r="262" ht="22" customHeight="1">
      <x:c r="A262" s="2" t="str">
        <x:v>O00258</x:v>
      </x:c>
      <x:c r="B262" s="2" t="str">
        <x:v>C0152</x:v>
      </x:c>
      <x:c r="C262" s="7" t="n">
        <x:v>46000</x:v>
      </x:c>
      <x:c r="D262" s="2" t="str">
        <x:v>Completed</x:v>
      </x:c>
      <x:c r="E262" s="2" t="str">
        <x:v>West</x:v>
      </x:c>
      <x:c r="F262" s="2" t="str">
        <x:v>Online</x:v>
      </x:c>
      <x:c r="G262" s="9" t="n">
        <x:f>SUM(SalesLines!Q627)</x:f>
        <x:v>535.8</x:v>
      </x:c>
      <x:c r="H262" s="9" t="n">
        <x:f>SUM(SalesLines!M627)</x:f>
        <x:v>564</x:v>
      </x:c>
      <x:c r="I262" s="9" t="n">
        <x:f>SUM(SalesLines!N627)</x:f>
        <x:v>28.200000000000003</x:v>
      </x:c>
      <x:c r="J262" s="9" t="n">
        <x:f>SUM(SalesLines!P627)</x:f>
        <x:v>0</x:v>
      </x:c>
      <x:c r="K262" s="11" t="n">
        <x:f>SUM(SalesLines!R627)</x:f>
        <x:v>3</x:v>
      </x:c>
      <x:c r="L262" s="11" t="n">
        <x:f>SUM(SalesLines!S627)</x:f>
        <x:v>0</x:v>
      </x:c>
      <x:c r="M262" s="8" t="n">
        <x:f>DATE(YEAR(C262),MONTH(C262),1)</x:f>
        <x:v>45992</x:v>
      </x:c>
    </x:row>
    <x:row r="263" ht="22" customHeight="1">
      <x:c r="A263" s="2" t="str">
        <x:v>O00259</x:v>
      </x:c>
      <x:c r="B263" s="2" t="str">
        <x:v>C0119</x:v>
      </x:c>
      <x:c r="C263" s="7" t="n">
        <x:v>45682</x:v>
      </x:c>
      <x:c r="D263" s="2" t="str">
        <x:v>Cancelled</x:v>
      </x:c>
      <x:c r="E263" s="2" t="str">
        <x:v>North</x:v>
      </x:c>
      <x:c r="F263" s="2" t="str">
        <x:v>Store</x:v>
      </x:c>
      <x:c r="G263" s="9" t="n">
        <x:f>SUM(SalesLines!Q628,SalesLines!Q629,SalesLines!Q630,SalesLines!Q631)</x:f>
        <x:v>0</x:v>
      </x:c>
      <x:c r="H263" s="9" t="n">
        <x:f>SUM(SalesLines!M628,SalesLines!M629,SalesLines!M630,SalesLines!M631)</x:f>
        <x:v>0</x:v>
      </x:c>
      <x:c r="I263" s="9" t="n">
        <x:f>SUM(SalesLines!N628,SalesLines!N629,SalesLines!N630,SalesLines!N631)</x:f>
        <x:v>0</x:v>
      </x:c>
      <x:c r="J263" s="9" t="n">
        <x:f>SUM(SalesLines!P628,SalesLines!P629,SalesLines!P630,SalesLines!P631)</x:f>
        <x:v>0</x:v>
      </x:c>
      <x:c r="K263" s="11" t="n">
        <x:f>SUM(SalesLines!R628,SalesLines!R629,SalesLines!R630,SalesLines!R631)</x:f>
        <x:v>0</x:v>
      </x:c>
      <x:c r="L263" s="11" t="n">
        <x:f>SUM(SalesLines!S628,SalesLines!S629,SalesLines!S630,SalesLines!S631)</x:f>
        <x:v>0</x:v>
      </x:c>
      <x:c r="M263" s="8" t="n">
        <x:f>DATE(YEAR(C263),MONTH(C263),1)</x:f>
        <x:v>45658</x:v>
      </x:c>
    </x:row>
    <x:row r="264" ht="22" customHeight="1">
      <x:c r="A264" s="2" t="str">
        <x:v>O00260</x:v>
      </x:c>
      <x:c r="B264" s="2" t="str">
        <x:v>C0090</x:v>
      </x:c>
      <x:c r="C264" s="7" t="n">
        <x:v>45956</x:v>
      </x:c>
      <x:c r="D264" s="2" t="str">
        <x:v>Completed</x:v>
      </x:c>
      <x:c r="E264" s="2" t="str">
        <x:v>West</x:v>
      </x:c>
      <x:c r="F264" s="2" t="str">
        <x:v>Online</x:v>
      </x:c>
      <x:c r="G264" s="9" t="n">
        <x:f>SUM(SalesLines!Q632)</x:f>
        <x:v>80</x:v>
      </x:c>
      <x:c r="H264" s="9" t="n">
        <x:f>SUM(SalesLines!M632)</x:f>
        <x:v>80</x:v>
      </x:c>
      <x:c r="I264" s="9" t="n">
        <x:f>SUM(SalesLines!N632)</x:f>
        <x:v>0</x:v>
      </x:c>
      <x:c r="J264" s="9" t="n">
        <x:f>SUM(SalesLines!P632)</x:f>
        <x:v>0</x:v>
      </x:c>
      <x:c r="K264" s="11" t="n">
        <x:f>SUM(SalesLines!R632)</x:f>
        <x:v>1</x:v>
      </x:c>
      <x:c r="L264" s="11" t="n">
        <x:f>SUM(SalesLines!S632)</x:f>
        <x:v>0</x:v>
      </x:c>
      <x:c r="M264" s="8" t="n">
        <x:f>DATE(YEAR(C264),MONTH(C264),1)</x:f>
        <x:v>45931</x:v>
      </x:c>
    </x:row>
    <x:row r="265" ht="22" customHeight="1">
      <x:c r="A265" s="2" t="str">
        <x:v>O00261</x:v>
      </x:c>
      <x:c r="B265" s="2" t="str">
        <x:v>C0038</x:v>
      </x:c>
      <x:c r="C265" s="7" t="n">
        <x:v>45720</x:v>
      </x:c>
      <x:c r="D265" s="2" t="str">
        <x:v>Cancelled</x:v>
      </x:c>
      <x:c r="E265" s="2" t="str">
        <x:v>South</x:v>
      </x:c>
      <x:c r="F265" s="2" t="str">
        <x:v>Online</x:v>
      </x:c>
      <x:c r="G265" s="9" t="n">
        <x:f>SUM(SalesLines!Q633,SalesLines!Q634)</x:f>
        <x:v>0</x:v>
      </x:c>
      <x:c r="H265" s="9" t="n">
        <x:f>SUM(SalesLines!M633,SalesLines!M634)</x:f>
        <x:v>0</x:v>
      </x:c>
      <x:c r="I265" s="9" t="n">
        <x:f>SUM(SalesLines!N633,SalesLines!N634)</x:f>
        <x:v>0</x:v>
      </x:c>
      <x:c r="J265" s="9" t="n">
        <x:f>SUM(SalesLines!P633,SalesLines!P634)</x:f>
        <x:v>0</x:v>
      </x:c>
      <x:c r="K265" s="11" t="n">
        <x:f>SUM(SalesLines!R633,SalesLines!R634)</x:f>
        <x:v>0</x:v>
      </x:c>
      <x:c r="L265" s="11" t="n">
        <x:f>SUM(SalesLines!S633,SalesLines!S634)</x:f>
        <x:v>0</x:v>
      </x:c>
      <x:c r="M265" s="8" t="n">
        <x:f>DATE(YEAR(C265),MONTH(C265),1)</x:f>
        <x:v>45717</x:v>
      </x:c>
    </x:row>
    <x:row r="266" ht="22" customHeight="1">
      <x:c r="A266" s="2" t="str">
        <x:v>O00262</x:v>
      </x:c>
      <x:c r="B266" s="2" t="str">
        <x:v>C0075</x:v>
      </x:c>
      <x:c r="C266" s="7" t="n">
        <x:v>45940</x:v>
      </x:c>
      <x:c r="D266" s="2" t="str">
        <x:v>Completed</x:v>
      </x:c>
      <x:c r="E266" s="2" t="str">
        <x:v>South</x:v>
      </x:c>
      <x:c r="F266" s="2" t="str">
        <x:v>Online</x:v>
      </x:c>
      <x:c r="G266" s="9" t="n">
        <x:f>SUM(SalesLines!Q635,SalesLines!Q636,SalesLines!Q637,SalesLines!Q638)</x:f>
        <x:v>3029.5</x:v>
      </x:c>
      <x:c r="H266" s="9" t="n">
        <x:f>SUM(SalesLines!M635,SalesLines!M636,SalesLines!M637,SalesLines!M638)</x:f>
        <x:v>3386</x:v>
      </x:c>
      <x:c r="I266" s="9" t="n">
        <x:f>SUM(SalesLines!N635,SalesLines!N636,SalesLines!N637,SalesLines!N638)</x:f>
        <x:v>356.5</x:v>
      </x:c>
      <x:c r="J266" s="9" t="n">
        <x:f>SUM(SalesLines!P635,SalesLines!P636,SalesLines!P637,SalesLines!P638)</x:f>
        <x:v>0</x:v>
      </x:c>
      <x:c r="K266" s="11" t="n">
        <x:f>SUM(SalesLines!R635,SalesLines!R636,SalesLines!R637,SalesLines!R638)</x:f>
        <x:v>16</x:v>
      </x:c>
      <x:c r="L266" s="11" t="n">
        <x:f>SUM(SalesLines!S635,SalesLines!S636,SalesLines!S637,SalesLines!S638)</x:f>
        <x:v>0</x:v>
      </x:c>
      <x:c r="M266" s="8" t="n">
        <x:f>DATE(YEAR(C266),MONTH(C266),1)</x:f>
        <x:v>45931</x:v>
      </x:c>
    </x:row>
    <x:row r="267" ht="22" customHeight="1">
      <x:c r="A267" s="2" t="str">
        <x:v>O00263</x:v>
      </x:c>
      <x:c r="B267" s="2" t="str">
        <x:v>C0151</x:v>
      </x:c>
      <x:c r="C267" s="7" t="n">
        <x:v>45805</x:v>
      </x:c>
      <x:c r="D267" s="2" t="str">
        <x:v>Completed</x:v>
      </x:c>
      <x:c r="E267" s="2" t="str">
        <x:v>South</x:v>
      </x:c>
      <x:c r="F267" s="2" t="str">
        <x:v>Store</x:v>
      </x:c>
      <x:c r="G267" s="9" t="n">
        <x:f>SUM(SalesLines!Q639,SalesLines!Q640)</x:f>
        <x:v>1482.3</x:v>
      </x:c>
      <x:c r="H267" s="9" t="n">
        <x:f>SUM(SalesLines!M639,SalesLines!M640)</x:f>
        <x:v>1489</x:v>
      </x:c>
      <x:c r="I267" s="9" t="n">
        <x:f>SUM(SalesLines!N639,SalesLines!N640)</x:f>
        <x:v>6.7</x:v>
      </x:c>
      <x:c r="J267" s="9" t="n">
        <x:f>SUM(SalesLines!P639,SalesLines!P640)</x:f>
        <x:v>0</x:v>
      </x:c>
      <x:c r="K267" s="11" t="n">
        <x:f>SUM(SalesLines!R639,SalesLines!R640)</x:f>
        <x:v>6</x:v>
      </x:c>
      <x:c r="L267" s="11" t="n">
        <x:f>SUM(SalesLines!S639,SalesLines!S640)</x:f>
        <x:v>0</x:v>
      </x:c>
      <x:c r="M267" s="8" t="n">
        <x:f>DATE(YEAR(C267),MONTH(C267),1)</x:f>
        <x:v>45778</x:v>
      </x:c>
    </x:row>
    <x:row r="268" ht="22" customHeight="1">
      <x:c r="A268" s="2" t="str">
        <x:v>O00264</x:v>
      </x:c>
      <x:c r="B268" s="2" t="str">
        <x:v>C0274</x:v>
      </x:c>
      <x:c r="C268" s="7" t="n">
        <x:v>45833</x:v>
      </x:c>
      <x:c r="D268" s="2" t="str">
        <x:v>Completed</x:v>
      </x:c>
      <x:c r="E268" s="2" t="str">
        <x:v>North</x:v>
      </x:c>
      <x:c r="F268" s="2" t="str">
        <x:v>Online</x:v>
      </x:c>
      <x:c r="G268" s="9" t="n">
        <x:f>SUM(SalesLines!Q641)</x:f>
        <x:v>312</x:v>
      </x:c>
      <x:c r="H268" s="9" t="n">
        <x:f>SUM(SalesLines!M641)</x:f>
        <x:v>390</x:v>
      </x:c>
      <x:c r="I268" s="9" t="n">
        <x:f>SUM(SalesLines!N641)</x:f>
        <x:v>78</x:v>
      </x:c>
      <x:c r="J268" s="9" t="n">
        <x:f>SUM(SalesLines!P641)</x:f>
        <x:v>0</x:v>
      </x:c>
      <x:c r="K268" s="11" t="n">
        <x:f>SUM(SalesLines!R641)</x:f>
        <x:v>5</x:v>
      </x:c>
      <x:c r="L268" s="11" t="n">
        <x:f>SUM(SalesLines!S641)</x:f>
        <x:v>0</x:v>
      </x:c>
      <x:c r="M268" s="8" t="n">
        <x:f>DATE(YEAR(C268),MONTH(C268),1)</x:f>
        <x:v>45809</x:v>
      </x:c>
    </x:row>
    <x:row r="269" ht="22" customHeight="1">
      <x:c r="A269" s="2" t="str">
        <x:v>O00265</x:v>
      </x:c>
      <x:c r="B269" s="2" t="str">
        <x:v>C0039</x:v>
      </x:c>
      <x:c r="C269" s="7" t="n">
        <x:v>45681</x:v>
      </x:c>
      <x:c r="D269" s="2" t="str">
        <x:v>Completed</x:v>
      </x:c>
      <x:c r="E269" s="2" t="str">
        <x:v>North</x:v>
      </x:c>
      <x:c r="F269" s="2" t="str">
        <x:v>Store</x:v>
      </x:c>
      <x:c r="G269" s="9" t="n">
        <x:f>SUM(SalesLines!Q642,SalesLines!Q643,SalesLines!Q644)</x:f>
        <x:v>345.4</x:v>
      </x:c>
      <x:c r="H269" s="9" t="n">
        <x:f>SUM(SalesLines!M642,SalesLines!M643,SalesLines!M644)</x:f>
        <x:v>1351</x:v>
      </x:c>
      <x:c r="I269" s="9" t="n">
        <x:f>SUM(SalesLines!N642,SalesLines!N643,SalesLines!N644)</x:f>
        <x:v>182.00000000000003</x:v>
      </x:c>
      <x:c r="J269" s="9" t="n">
        <x:f>SUM(SalesLines!P642,SalesLines!P643,SalesLines!P644)</x:f>
        <x:v>823.6</x:v>
      </x:c>
      <x:c r="K269" s="11" t="n">
        <x:f>SUM(SalesLines!R642,SalesLines!R643,SalesLines!R644)</x:f>
        <x:v>7</x:v>
      </x:c>
      <x:c r="L269" s="11" t="n">
        <x:f>SUM(SalesLines!S642,SalesLines!S643,SalesLines!S644)</x:f>
        <x:v>5</x:v>
      </x:c>
      <x:c r="M269" s="8" t="n">
        <x:f>DATE(YEAR(C269),MONTH(C269),1)</x:f>
        <x:v>45658</x:v>
      </x:c>
    </x:row>
    <x:row r="270" ht="22" customHeight="1">
      <x:c r="A270" s="2" t="str">
        <x:v>O00266</x:v>
      </x:c>
      <x:c r="B270" s="2" t="str">
        <x:v>C0049</x:v>
      </x:c>
      <x:c r="C270" s="7" t="n">
        <x:v>45803</x:v>
      </x:c>
      <x:c r="D270" s="2" t="str">
        <x:v>Completed</x:v>
      </x:c>
      <x:c r="E270" s="2" t="str">
        <x:v>North</x:v>
      </x:c>
      <x:c r="F270" s="2" t="str">
        <x:v>Online</x:v>
      </x:c>
      <x:c r="G270" s="9" t="n">
        <x:f>SUM(SalesLines!Q645)</x:f>
        <x:v>230.85</x:v>
      </x:c>
      <x:c r="H270" s="9" t="n">
        <x:f>SUM(SalesLines!M645)</x:f>
        <x:v>243</x:v>
      </x:c>
      <x:c r="I270" s="9" t="n">
        <x:f>SUM(SalesLines!N645)</x:f>
        <x:v>12.15</x:v>
      </x:c>
      <x:c r="J270" s="9" t="n">
        <x:f>SUM(SalesLines!P645)</x:f>
        <x:v>0</x:v>
      </x:c>
      <x:c r="K270" s="11" t="n">
        <x:f>SUM(SalesLines!R645)</x:f>
        <x:v>3</x:v>
      </x:c>
      <x:c r="L270" s="11" t="n">
        <x:f>SUM(SalesLines!S645)</x:f>
        <x:v>0</x:v>
      </x:c>
      <x:c r="M270" s="8" t="n">
        <x:f>DATE(YEAR(C270),MONTH(C270),1)</x:f>
        <x:v>45778</x:v>
      </x:c>
    </x:row>
    <x:row r="271" ht="22" customHeight="1">
      <x:c r="A271" s="2" t="str">
        <x:v>O00267</x:v>
      </x:c>
      <x:c r="B271" s="2" t="str">
        <x:v>C0212</x:v>
      </x:c>
      <x:c r="C271" s="7" t="n">
        <x:v>45887</x:v>
      </x:c>
      <x:c r="D271" s="2" t="str">
        <x:v>Completed</x:v>
      </x:c>
      <x:c r="E271" s="2" t="str">
        <x:v>East</x:v>
      </x:c>
      <x:c r="F271" s="2" t="str">
        <x:v>Online</x:v>
      </x:c>
      <x:c r="G271" s="9" t="n">
        <x:f>SUM(SalesLines!Q646,SalesLines!Q647,SalesLines!Q648,SalesLines!Q649)</x:f>
        <x:v>1200.5</x:v>
      </x:c>
      <x:c r="H271" s="9" t="n">
        <x:f>SUM(SalesLines!M646,SalesLines!M647,SalesLines!M648,SalesLines!M649)</x:f>
        <x:v>1330</x:v>
      </x:c>
      <x:c r="I271" s="9" t="n">
        <x:f>SUM(SalesLines!N646,SalesLines!N647,SalesLines!N648,SalesLines!N649)</x:f>
        <x:v>129.5</x:v>
      </x:c>
      <x:c r="J271" s="9" t="n">
        <x:f>SUM(SalesLines!P646,SalesLines!P647,SalesLines!P648,SalesLines!P649)</x:f>
        <x:v>0</x:v>
      </x:c>
      <x:c r="K271" s="11" t="n">
        <x:f>SUM(SalesLines!R646,SalesLines!R647,SalesLines!R648,SalesLines!R649)</x:f>
        <x:v>12</x:v>
      </x:c>
      <x:c r="L271" s="11" t="n">
        <x:f>SUM(SalesLines!S646,SalesLines!S647,SalesLines!S648,SalesLines!S649)</x:f>
        <x:v>0</x:v>
      </x:c>
      <x:c r="M271" s="8" t="n">
        <x:f>DATE(YEAR(C271),MONTH(C271),1)</x:f>
        <x:v>45870</x:v>
      </x:c>
    </x:row>
    <x:row r="272" ht="22" customHeight="1">
      <x:c r="A272" s="2" t="str">
        <x:v>O00268</x:v>
      </x:c>
      <x:c r="B272" s="2" t="str">
        <x:v>C0021</x:v>
      </x:c>
      <x:c r="C272" s="7" t="n">
        <x:v>45707</x:v>
      </x:c>
      <x:c r="D272" s="2" t="str">
        <x:v>Completed</x:v>
      </x:c>
      <x:c r="E272" s="2" t="str">
        <x:v>West</x:v>
      </x:c>
      <x:c r="F272" s="2" t="str">
        <x:v>Online</x:v>
      </x:c>
      <x:c r="G272" s="9" t="n">
        <x:f>SUM(SalesLines!Q650,SalesLines!Q651)</x:f>
        <x:v>793.8</x:v>
      </x:c>
      <x:c r="H272" s="9" t="n">
        <x:f>SUM(SalesLines!M650,SalesLines!M651)</x:f>
        <x:v>1150</x:v>
      </x:c>
      <x:c r="I272" s="9" t="n">
        <x:f>SUM(SalesLines!N650,SalesLines!N651)</x:f>
        <x:v>141.8</x:v>
      </x:c>
      <x:c r="J272" s="9" t="n">
        <x:f>SUM(SalesLines!P650,SalesLines!P651)</x:f>
        <x:v>214.4</x:v>
      </x:c>
      <x:c r="K272" s="11" t="n">
        <x:f>SUM(SalesLines!R650,SalesLines!R651)</x:f>
        <x:v>5</x:v>
      </x:c>
      <x:c r="L272" s="11" t="n">
        <x:f>SUM(SalesLines!S650,SalesLines!S651)</x:f>
        <x:v>2</x:v>
      </x:c>
      <x:c r="M272" s="8" t="n">
        <x:f>DATE(YEAR(C272),MONTH(C272),1)</x:f>
        <x:v>45689</x:v>
      </x:c>
    </x:row>
    <x:row r="273" ht="22" customHeight="1">
      <x:c r="A273" s="2" t="str">
        <x:v>O00269</x:v>
      </x:c>
      <x:c r="B273" s="2" t="str">
        <x:v>C0119</x:v>
      </x:c>
      <x:c r="C273" s="7" t="n">
        <x:v>45863</x:v>
      </x:c>
      <x:c r="D273" s="2" t="str">
        <x:v>Completed</x:v>
      </x:c>
      <x:c r="E273" s="2" t="str">
        <x:v>North</x:v>
      </x:c>
      <x:c r="F273" s="2" t="str">
        <x:v>Online</x:v>
      </x:c>
      <x:c r="G273" s="9" t="n">
        <x:f>SUM(SalesLines!Q652,SalesLines!Q653,SalesLines!Q654,SalesLines!Q655)</x:f>
        <x:v>1188.8</x:v>
      </x:c>
      <x:c r="H273" s="9" t="n">
        <x:f>SUM(SalesLines!M652,SalesLines!M653,SalesLines!M654,SalesLines!M655)</x:f>
        <x:v>1671</x:v>
      </x:c>
      <x:c r="I273" s="9" t="n">
        <x:f>SUM(SalesLines!N652,SalesLines!N653,SalesLines!N654,SalesLines!N655)</x:f>
        <x:v>90.20000000000002</x:v>
      </x:c>
      <x:c r="J273" s="9" t="n">
        <x:f>SUM(SalesLines!P652,SalesLines!P653,SalesLines!P654,SalesLines!P655)</x:f>
        <x:v>392</x:v>
      </x:c>
      <x:c r="K273" s="11" t="n">
        <x:f>SUM(SalesLines!R652,SalesLines!R653,SalesLines!R654,SalesLines!R655)</x:f>
        <x:v>8</x:v>
      </x:c>
      <x:c r="L273" s="11" t="n">
        <x:f>SUM(SalesLines!S652,SalesLines!S653,SalesLines!S654,SalesLines!S655)</x:f>
        <x:v>2</x:v>
      </x:c>
      <x:c r="M273" s="8" t="n">
        <x:f>DATE(YEAR(C273),MONTH(C273),1)</x:f>
        <x:v>45839</x:v>
      </x:c>
    </x:row>
    <x:row r="274" ht="22" customHeight="1">
      <x:c r="A274" s="2" t="str">
        <x:v>O00270</x:v>
      </x:c>
      <x:c r="B274" s="2" t="str">
        <x:v>C0106</x:v>
      </x:c>
      <x:c r="C274" s="7" t="n">
        <x:v>45973</x:v>
      </x:c>
      <x:c r="D274" s="2" t="str">
        <x:v>Completed</x:v>
      </x:c>
      <x:c r="E274" s="2" t="str">
        <x:v>East</x:v>
      </x:c>
      <x:c r="F274" s="2" t="str">
        <x:v>Online</x:v>
      </x:c>
      <x:c r="G274" s="9" t="n">
        <x:f>SUM(SalesLines!Q656,SalesLines!Q657)</x:f>
        <x:v>1447.8</x:v>
      </x:c>
      <x:c r="H274" s="9" t="n">
        <x:f>SUM(SalesLines!M656,SalesLines!M657)</x:f>
        <x:v>1521</x:v>
      </x:c>
      <x:c r="I274" s="9" t="n">
        <x:f>SUM(SalesLines!N656,SalesLines!N657)</x:f>
        <x:v>73.2</x:v>
      </x:c>
      <x:c r="J274" s="9" t="n">
        <x:f>SUM(SalesLines!P656,SalesLines!P657)</x:f>
        <x:v>0</x:v>
      </x:c>
      <x:c r="K274" s="11" t="n">
        <x:f>SUM(SalesLines!R656,SalesLines!R657)</x:f>
        <x:v>8</x:v>
      </x:c>
      <x:c r="L274" s="11" t="n">
        <x:f>SUM(SalesLines!S656,SalesLines!S657)</x:f>
        <x:v>0</x:v>
      </x:c>
      <x:c r="M274" s="8" t="n">
        <x:f>DATE(YEAR(C274),MONTH(C274),1)</x:f>
        <x:v>45962</x:v>
      </x:c>
    </x:row>
    <x:row r="275" ht="22" customHeight="1">
      <x:c r="A275" s="2" t="str">
        <x:v>O00271</x:v>
      </x:c>
      <x:c r="B275" s="2" t="str">
        <x:v>C0076</x:v>
      </x:c>
      <x:c r="C275" s="7" t="n">
        <x:v>45690</x:v>
      </x:c>
      <x:c r="D275" s="2" t="str">
        <x:v>Cancelled</x:v>
      </x:c>
      <x:c r="E275" s="2" t="str">
        <x:v>East</x:v>
      </x:c>
      <x:c r="F275" s="2" t="str">
        <x:v>Store</x:v>
      </x:c>
      <x:c r="G275" s="9" t="n">
        <x:f>SUM(SalesLines!Q658,SalesLines!Q659)</x:f>
        <x:v>0</x:v>
      </x:c>
      <x:c r="H275" s="9" t="n">
        <x:f>SUM(SalesLines!M658,SalesLines!M659)</x:f>
        <x:v>0</x:v>
      </x:c>
      <x:c r="I275" s="9" t="n">
        <x:f>SUM(SalesLines!N658,SalesLines!N659)</x:f>
        <x:v>0</x:v>
      </x:c>
      <x:c r="J275" s="9" t="n">
        <x:f>SUM(SalesLines!P658,SalesLines!P659)</x:f>
        <x:v>0</x:v>
      </x:c>
      <x:c r="K275" s="11" t="n">
        <x:f>SUM(SalesLines!R658,SalesLines!R659)</x:f>
        <x:v>0</x:v>
      </x:c>
      <x:c r="L275" s="11" t="n">
        <x:f>SUM(SalesLines!S658,SalesLines!S659)</x:f>
        <x:v>0</x:v>
      </x:c>
      <x:c r="M275" s="8" t="n">
        <x:f>DATE(YEAR(C275),MONTH(C275),1)</x:f>
        <x:v>45689</x:v>
      </x:c>
    </x:row>
    <x:row r="276" ht="22" customHeight="1">
      <x:c r="A276" s="2" t="str">
        <x:v>O00272</x:v>
      </x:c>
      <x:c r="B276" s="2" t="str">
        <x:v>C0148</x:v>
      </x:c>
      <x:c r="C276" s="7" t="n">
        <x:v>45974</x:v>
      </x:c>
      <x:c r="D276" s="2" t="str">
        <x:v>Completed</x:v>
      </x:c>
      <x:c r="E276" s="2" t="str">
        <x:v>East</x:v>
      </x:c>
      <x:c r="F276" s="2" t="str">
        <x:v>Store</x:v>
      </x:c>
      <x:c r="G276" s="9" t="n">
        <x:f>SUM(SalesLines!Q660,SalesLines!Q661)</x:f>
        <x:v>485.2</x:v>
      </x:c>
      <x:c r="H276" s="9" t="n">
        <x:f>SUM(SalesLines!M660,SalesLines!M661)</x:f>
        <x:v>536</x:v>
      </x:c>
      <x:c r="I276" s="9" t="n">
        <x:f>SUM(SalesLines!N660,SalesLines!N661)</x:f>
        <x:v>50.8</x:v>
      </x:c>
      <x:c r="J276" s="9" t="n">
        <x:f>SUM(SalesLines!P660,SalesLines!P661)</x:f>
        <x:v>0</x:v>
      </x:c>
      <x:c r="K276" s="11" t="n">
        <x:f>SUM(SalesLines!R660,SalesLines!R661)</x:f>
        <x:v>4</x:v>
      </x:c>
      <x:c r="L276" s="11" t="n">
        <x:f>SUM(SalesLines!S660,SalesLines!S661)</x:f>
        <x:v>0</x:v>
      </x:c>
      <x:c r="M276" s="8" t="n">
        <x:f>DATE(YEAR(C276),MONTH(C276),1)</x:f>
        <x:v>45962</x:v>
      </x:c>
    </x:row>
    <x:row r="277" ht="22" customHeight="1">
      <x:c r="A277" s="2" t="str">
        <x:v>O00273</x:v>
      </x:c>
      <x:c r="B277" s="2" t="str">
        <x:v>C0066</x:v>
      </x:c>
      <x:c r="C277" s="7" t="n">
        <x:v>45660</x:v>
      </x:c>
      <x:c r="D277" s="2" t="str">
        <x:v>Completed</x:v>
      </x:c>
      <x:c r="E277" s="2" t="str">
        <x:v>North</x:v>
      </x:c>
      <x:c r="F277" s="2" t="str">
        <x:v>Store</x:v>
      </x:c>
      <x:c r="G277" s="9" t="n">
        <x:f>SUM(SalesLines!Q662,SalesLines!Q663,SalesLines!Q664,SalesLines!Q665)</x:f>
        <x:v>3516.6000000000004</x:v>
      </x:c>
      <x:c r="H277" s="9" t="n">
        <x:f>SUM(SalesLines!M662,SalesLines!M663,SalesLines!M664,SalesLines!M665)</x:f>
        <x:v>3800</x:v>
      </x:c>
      <x:c r="I277" s="9" t="n">
        <x:f>SUM(SalesLines!N662,SalesLines!N663,SalesLines!N664,SalesLines!N665)</x:f>
        <x:v>283.4</x:v>
      </x:c>
      <x:c r="J277" s="9" t="n">
        <x:f>SUM(SalesLines!P662,SalesLines!P663,SalesLines!P664,SalesLines!P665)</x:f>
        <x:v>0</x:v>
      </x:c>
      <x:c r="K277" s="11" t="n">
        <x:f>SUM(SalesLines!R662,SalesLines!R663,SalesLines!R664,SalesLines!R665)</x:f>
        <x:v>17</x:v>
      </x:c>
      <x:c r="L277" s="11" t="n">
        <x:f>SUM(SalesLines!S662,SalesLines!S663,SalesLines!S664,SalesLines!S665)</x:f>
        <x:v>0</x:v>
      </x:c>
      <x:c r="M277" s="8" t="n">
        <x:f>DATE(YEAR(C277),MONTH(C277),1)</x:f>
        <x:v>45658</x:v>
      </x:c>
    </x:row>
    <x:row r="278" ht="22" customHeight="1">
      <x:c r="A278" s="2" t="str">
        <x:v>O00274</x:v>
      </x:c>
      <x:c r="B278" s="2" t="str">
        <x:v>C0170</x:v>
      </x:c>
      <x:c r="C278" s="7" t="n">
        <x:v>45993</x:v>
      </x:c>
      <x:c r="D278" s="2" t="str">
        <x:v>Completed</x:v>
      </x:c>
      <x:c r="E278" s="2" t="str">
        <x:v>East</x:v>
      </x:c>
      <x:c r="F278" s="2" t="str">
        <x:v>Online</x:v>
      </x:c>
      <x:c r="G278" s="9" t="n">
        <x:f>SUM(SalesLines!Q666,SalesLines!Q667,SalesLines!Q668,SalesLines!Q669)</x:f>
        <x:v>2421.8</x:v>
      </x:c>
      <x:c r="H278" s="9" t="n">
        <x:f>SUM(SalesLines!M666,SalesLines!M667,SalesLines!M668,SalesLines!M669)</x:f>
        <x:v>2878</x:v>
      </x:c>
      <x:c r="I278" s="9" t="n">
        <x:f>SUM(SalesLines!N666,SalesLines!N667,SalesLines!N668,SalesLines!N669)</x:f>
        <x:v>456.20000000000005</x:v>
      </x:c>
      <x:c r="J278" s="9" t="n">
        <x:f>SUM(SalesLines!P666,SalesLines!P667,SalesLines!P668,SalesLines!P669)</x:f>
        <x:v>0</x:v>
      </x:c>
      <x:c r="K278" s="11" t="n">
        <x:f>SUM(SalesLines!R666,SalesLines!R667,SalesLines!R668,SalesLines!R669)</x:f>
        <x:v>16</x:v>
      </x:c>
      <x:c r="L278" s="11" t="n">
        <x:f>SUM(SalesLines!S666,SalesLines!S667,SalesLines!S668,SalesLines!S669)</x:f>
        <x:v>0</x:v>
      </x:c>
      <x:c r="M278" s="8" t="n">
        <x:f>DATE(YEAR(C278),MONTH(C278),1)</x:f>
        <x:v>45992</x:v>
      </x:c>
    </x:row>
    <x:row r="279" ht="22" customHeight="1">
      <x:c r="A279" s="2" t="str">
        <x:v>O00275</x:v>
      </x:c>
      <x:c r="B279" s="2" t="str">
        <x:v>C0235</x:v>
      </x:c>
      <x:c r="C279" s="7" t="n">
        <x:v>45746</x:v>
      </x:c>
      <x:c r="D279" s="2" t="str">
        <x:v>Completed</x:v>
      </x:c>
      <x:c r="E279" s="2" t="str">
        <x:v>North</x:v>
      </x:c>
      <x:c r="F279" s="2" t="str">
        <x:v>Store</x:v>
      </x:c>
      <x:c r="G279" s="9" t="n">
        <x:f>SUM(SalesLines!Q670,SalesLines!Q671,SalesLines!Q672,SalesLines!Q673)</x:f>
        <x:v>1811.55</x:v>
      </x:c>
      <x:c r="H279" s="9" t="n">
        <x:f>SUM(SalesLines!M670,SalesLines!M671,SalesLines!M672,SalesLines!M673)</x:f>
        <x:v>1945</x:v>
      </x:c>
      <x:c r="I279" s="9" t="n">
        <x:f>SUM(SalesLines!N670,SalesLines!N671,SalesLines!N672,SalesLines!N673)</x:f>
        <x:v>133.45000000000002</x:v>
      </x:c>
      <x:c r="J279" s="9" t="n">
        <x:f>SUM(SalesLines!P670,SalesLines!P671,SalesLines!P672,SalesLines!P673)</x:f>
        <x:v>0</x:v>
      </x:c>
      <x:c r="K279" s="11" t="n">
        <x:f>SUM(SalesLines!R670,SalesLines!R671,SalesLines!R672,SalesLines!R673)</x:f>
        <x:v>9</x:v>
      </x:c>
      <x:c r="L279" s="11" t="n">
        <x:f>SUM(SalesLines!S670,SalesLines!S671,SalesLines!S672,SalesLines!S673)</x:f>
        <x:v>0</x:v>
      </x:c>
      <x:c r="M279" s="8" t="n">
        <x:f>DATE(YEAR(C279),MONTH(C279),1)</x:f>
        <x:v>45717</x:v>
      </x:c>
    </x:row>
    <x:row r="280" ht="22" customHeight="1">
      <x:c r="A280" s="2" t="str">
        <x:v>O00276</x:v>
      </x:c>
      <x:c r="B280" s="2" t="str">
        <x:v>C0052</x:v>
      </x:c>
      <x:c r="C280" s="7" t="n">
        <x:v>45660</x:v>
      </x:c>
      <x:c r="D280" s="2" t="str">
        <x:v>Completed</x:v>
      </x:c>
      <x:c r="E280" s="2" t="str">
        <x:v>North</x:v>
      </x:c>
      <x:c r="F280" s="2" t="str">
        <x:v>Online</x:v>
      </x:c>
      <x:c r="G280" s="9" t="n">
        <x:f>SUM(SalesLines!Q674)</x:f>
        <x:v>1022.4</x:v>
      </x:c>
      <x:c r="H280" s="9" t="n">
        <x:f>SUM(SalesLines!M674)</x:f>
        <x:v>1136</x:v>
      </x:c>
      <x:c r="I280" s="9" t="n">
        <x:f>SUM(SalesLines!N674)</x:f>
        <x:v>113.60000000000001</x:v>
      </x:c>
      <x:c r="J280" s="9" t="n">
        <x:f>SUM(SalesLines!P674)</x:f>
        <x:v>0</x:v>
      </x:c>
      <x:c r="K280" s="11" t="n">
        <x:f>SUM(SalesLines!R674)</x:f>
        <x:v>4</x:v>
      </x:c>
      <x:c r="L280" s="11" t="n">
        <x:f>SUM(SalesLines!S674)</x:f>
        <x:v>0</x:v>
      </x:c>
      <x:c r="M280" s="8" t="n">
        <x:f>DATE(YEAR(C280),MONTH(C280),1)</x:f>
        <x:v>45658</x:v>
      </x:c>
    </x:row>
    <x:row r="281" ht="22" customHeight="1">
      <x:c r="A281" s="2" t="str">
        <x:v>O00277</x:v>
      </x:c>
      <x:c r="B281" s="2" t="str">
        <x:v>C0012</x:v>
      </x:c>
      <x:c r="C281" s="7" t="n">
        <x:v>45673</x:v>
      </x:c>
      <x:c r="D281" s="2" t="str">
        <x:v>Cancelled</x:v>
      </x:c>
      <x:c r="E281" s="2" t="str">
        <x:v>West</x:v>
      </x:c>
      <x:c r="F281" s="2" t="str">
        <x:v>Store</x:v>
      </x:c>
      <x:c r="G281" s="9" t="n">
        <x:f>SUM(SalesLines!Q675,SalesLines!Q676)</x:f>
        <x:v>0</x:v>
      </x:c>
      <x:c r="H281" s="9" t="n">
        <x:f>SUM(SalesLines!M675,SalesLines!M676)</x:f>
        <x:v>0</x:v>
      </x:c>
      <x:c r="I281" s="9" t="n">
        <x:f>SUM(SalesLines!N675,SalesLines!N676)</x:f>
        <x:v>0</x:v>
      </x:c>
      <x:c r="J281" s="9" t="n">
        <x:f>SUM(SalesLines!P675,SalesLines!P676)</x:f>
        <x:v>0</x:v>
      </x:c>
      <x:c r="K281" s="11" t="n">
        <x:f>SUM(SalesLines!R675,SalesLines!R676)</x:f>
        <x:v>0</x:v>
      </x:c>
      <x:c r="L281" s="11" t="n">
        <x:f>SUM(SalesLines!S675,SalesLines!S676)</x:f>
        <x:v>0</x:v>
      </x:c>
      <x:c r="M281" s="8" t="n">
        <x:f>DATE(YEAR(C281),MONTH(C281),1)</x:f>
        <x:v>45658</x:v>
      </x:c>
    </x:row>
    <x:row r="282" ht="22" customHeight="1">
      <x:c r="A282" s="2" t="str">
        <x:v>O00278</x:v>
      </x:c>
      <x:c r="B282" s="2" t="str">
        <x:v>C0166</x:v>
      </x:c>
      <x:c r="C282" s="7" t="n">
        <x:v>45962</x:v>
      </x:c>
      <x:c r="D282" s="2" t="str">
        <x:v>Completed</x:v>
      </x:c>
      <x:c r="E282" s="2" t="str">
        <x:v>North</x:v>
      </x:c>
      <x:c r="F282" s="2" t="str">
        <x:v>Online</x:v>
      </x:c>
      <x:c r="G282" s="9" t="n">
        <x:f>SUM(SalesLines!Q677)</x:f>
        <x:v>329.4</x:v>
      </x:c>
      <x:c r="H282" s="9" t="n">
        <x:f>SUM(SalesLines!M677)</x:f>
        <x:v>366</x:v>
      </x:c>
      <x:c r="I282" s="9" t="n">
        <x:f>SUM(SalesLines!N677)</x:f>
        <x:v>36.6</x:v>
      </x:c>
      <x:c r="J282" s="9" t="n">
        <x:f>SUM(SalesLines!P677)</x:f>
        <x:v>0</x:v>
      </x:c>
      <x:c r="K282" s="11" t="n">
        <x:f>SUM(SalesLines!R677)</x:f>
        <x:v>3</x:v>
      </x:c>
      <x:c r="L282" s="11" t="n">
        <x:f>SUM(SalesLines!S677)</x:f>
        <x:v>0</x:v>
      </x:c>
      <x:c r="M282" s="8" t="n">
        <x:f>DATE(YEAR(C282),MONTH(C282),1)</x:f>
        <x:v>45962</x:v>
      </x:c>
    </x:row>
    <x:row r="283" ht="22" customHeight="1">
      <x:c r="A283" s="2" t="str">
        <x:v>O00279</x:v>
      </x:c>
      <x:c r="B283" s="2" t="str">
        <x:v>C0286</x:v>
      </x:c>
      <x:c r="C283" s="7" t="n">
        <x:v>45986</x:v>
      </x:c>
      <x:c r="D283" s="2" t="str">
        <x:v>Completed</x:v>
      </x:c>
      <x:c r="E283" s="2" t="str">
        <x:v>West</x:v>
      </x:c>
      <x:c r="F283" s="2" t="str">
        <x:v>Online</x:v>
      </x:c>
      <x:c r="G283" s="9" t="n">
        <x:f>SUM(SalesLines!Q678,SalesLines!Q679,SalesLines!Q680)</x:f>
        <x:v>972</x:v>
      </x:c>
      <x:c r="H283" s="9" t="n">
        <x:f>SUM(SalesLines!M678,SalesLines!M679,SalesLines!M680)</x:f>
        <x:v>972</x:v>
      </x:c>
      <x:c r="I283" s="9" t="n">
        <x:f>SUM(SalesLines!N678,SalesLines!N679,SalesLines!N680)</x:f>
        <x:v>0</x:v>
      </x:c>
      <x:c r="J283" s="9" t="n">
        <x:f>SUM(SalesLines!P678,SalesLines!P679,SalesLines!P680)</x:f>
        <x:v>0</x:v>
      </x:c>
      <x:c r="K283" s="11" t="n">
        <x:f>SUM(SalesLines!R678,SalesLines!R679,SalesLines!R680)</x:f>
        <x:v>6</x:v>
      </x:c>
      <x:c r="L283" s="11" t="n">
        <x:f>SUM(SalesLines!S678,SalesLines!S679,SalesLines!S680)</x:f>
        <x:v>0</x:v>
      </x:c>
      <x:c r="M283" s="8" t="n">
        <x:f>DATE(YEAR(C283),MONTH(C283),1)</x:f>
        <x:v>45962</x:v>
      </x:c>
    </x:row>
    <x:row r="284" ht="22" customHeight="1">
      <x:c r="A284" s="2" t="str">
        <x:v>O00280</x:v>
      </x:c>
      <x:c r="B284" s="2" t="str">
        <x:v>C0138</x:v>
      </x:c>
      <x:c r="C284" s="7" t="n">
        <x:v>45877</x:v>
      </x:c>
      <x:c r="D284" s="2" t="str">
        <x:v>Completed</x:v>
      </x:c>
      <x:c r="E284" s="2" t="str">
        <x:v>South</x:v>
      </x:c>
      <x:c r="F284" s="2" t="str">
        <x:v>Store</x:v>
      </x:c>
      <x:c r="G284" s="9" t="n">
        <x:f>SUM(SalesLines!Q681)</x:f>
        <x:v>313.59999999999997</x:v>
      </x:c>
      <x:c r="H284" s="9" t="n">
        <x:f>SUM(SalesLines!M681)</x:f>
        <x:v>588</x:v>
      </x:c>
      <x:c r="I284" s="9" t="n">
        <x:f>SUM(SalesLines!N681)</x:f>
        <x:v>117.60000000000001</x:v>
      </x:c>
      <x:c r="J284" s="9" t="n">
        <x:f>SUM(SalesLines!P681)</x:f>
        <x:v>156.8</x:v>
      </x:c>
      <x:c r="K284" s="11" t="n">
        <x:f>SUM(SalesLines!R681)</x:f>
        <x:v>3</x:v>
      </x:c>
      <x:c r="L284" s="11" t="n">
        <x:f>SUM(SalesLines!S681)</x:f>
        <x:v>1</x:v>
      </x:c>
      <x:c r="M284" s="8" t="n">
        <x:f>DATE(YEAR(C284),MONTH(C284),1)</x:f>
        <x:v>45870</x:v>
      </x:c>
    </x:row>
    <x:row r="285" ht="22" customHeight="1">
      <x:c r="A285" s="2" t="str">
        <x:v>O00281</x:v>
      </x:c>
      <x:c r="B285" s="2" t="str">
        <x:v>C0228</x:v>
      </x:c>
      <x:c r="C285" s="7" t="n">
        <x:v>45927</x:v>
      </x:c>
      <x:c r="D285" s="2" t="str">
        <x:v>Completed</x:v>
      </x:c>
      <x:c r="E285" s="2" t="str">
        <x:v>East</x:v>
      </x:c>
      <x:c r="F285" s="2" t="str">
        <x:v>Store</x:v>
      </x:c>
      <x:c r="G285" s="9" t="n">
        <x:f>SUM(SalesLines!Q682,SalesLines!Q683)</x:f>
        <x:v>1539.6</x:v>
      </x:c>
      <x:c r="H285" s="9" t="n">
        <x:f>SUM(SalesLines!M682,SalesLines!M683)</x:f>
        <x:v>1564</x:v>
      </x:c>
      <x:c r="I285" s="9" t="n">
        <x:f>SUM(SalesLines!N682,SalesLines!N683)</x:f>
        <x:v>24.400000000000002</x:v>
      </x:c>
      <x:c r="J285" s="9" t="n">
        <x:f>SUM(SalesLines!P682,SalesLines!P683)</x:f>
        <x:v>0</x:v>
      </x:c>
      <x:c r="K285" s="11" t="n">
        <x:f>SUM(SalesLines!R682,SalesLines!R683)</x:f>
        <x:v>8</x:v>
      </x:c>
      <x:c r="L285" s="11" t="n">
        <x:f>SUM(SalesLines!S682,SalesLines!S683)</x:f>
        <x:v>0</x:v>
      </x:c>
      <x:c r="M285" s="8" t="n">
        <x:f>DATE(YEAR(C285),MONTH(C285),1)</x:f>
        <x:v>45901</x:v>
      </x:c>
    </x:row>
    <x:row r="286" ht="22" customHeight="1">
      <x:c r="A286" s="2" t="str">
        <x:v>O00282</x:v>
      </x:c>
      <x:c r="B286" s="2" t="str">
        <x:v>C0116</x:v>
      </x:c>
      <x:c r="C286" s="7" t="n">
        <x:v>45835</x:v>
      </x:c>
      <x:c r="D286" s="2" t="str">
        <x:v>Completed</x:v>
      </x:c>
      <x:c r="E286" s="2" t="str">
        <x:v>West</x:v>
      </x:c>
      <x:c r="F286" s="2" t="str">
        <x:v>Online</x:v>
      </x:c>
      <x:c r="G286" s="9" t="n">
        <x:f>SUM(SalesLines!Q684,SalesLines!Q685)</x:f>
        <x:v>245.39999999999998</x:v>
      </x:c>
      <x:c r="H286" s="9" t="n">
        <x:f>SUM(SalesLines!M684,SalesLines!M685)</x:f>
        <x:v>290</x:v>
      </x:c>
      <x:c r="I286" s="9" t="n">
        <x:f>SUM(SalesLines!N684,SalesLines!N685)</x:f>
        <x:v>44.6</x:v>
      </x:c>
      <x:c r="J286" s="9" t="n">
        <x:f>SUM(SalesLines!P684,SalesLines!P685)</x:f>
        <x:v>0</x:v>
      </x:c>
      <x:c r="K286" s="11" t="n">
        <x:f>SUM(SalesLines!R684,SalesLines!R685)</x:f>
        <x:v>3</x:v>
      </x:c>
      <x:c r="L286" s="11" t="n">
        <x:f>SUM(SalesLines!S684,SalesLines!S685)</x:f>
        <x:v>0</x:v>
      </x:c>
      <x:c r="M286" s="8" t="n">
        <x:f>DATE(YEAR(C286),MONTH(C286),1)</x:f>
        <x:v>45809</x:v>
      </x:c>
    </x:row>
    <x:row r="287" ht="22" customHeight="1">
      <x:c r="A287" s="2" t="str">
        <x:v>O00283</x:v>
      </x:c>
      <x:c r="B287" s="2" t="str">
        <x:v>C0041</x:v>
      </x:c>
      <x:c r="C287" s="7" t="n">
        <x:v>46019</x:v>
      </x:c>
      <x:c r="D287" s="2" t="str">
        <x:v>Completed</x:v>
      </x:c>
      <x:c r="E287" s="2" t="str">
        <x:v>West</x:v>
      </x:c>
      <x:c r="F287" s="2" t="str">
        <x:v>Online</x:v>
      </x:c>
      <x:c r="G287" s="9" t="n">
        <x:f>SUM(SalesLines!Q686,SalesLines!Q687)</x:f>
        <x:v>1629.9</x:v>
      </x:c>
      <x:c r="H287" s="9" t="n">
        <x:f>SUM(SalesLines!M686,SalesLines!M687)</x:f>
        <x:v>1811</x:v>
      </x:c>
      <x:c r="I287" s="9" t="n">
        <x:f>SUM(SalesLines!N686,SalesLines!N687)</x:f>
        <x:v>181.10000000000002</x:v>
      </x:c>
      <x:c r="J287" s="9" t="n">
        <x:f>SUM(SalesLines!P686,SalesLines!P687)</x:f>
        <x:v>0</x:v>
      </x:c>
      <x:c r="K287" s="11" t="n">
        <x:f>SUM(SalesLines!R686,SalesLines!R687)</x:f>
        <x:v>9</x:v>
      </x:c>
      <x:c r="L287" s="11" t="n">
        <x:f>SUM(SalesLines!S686,SalesLines!S687)</x:f>
        <x:v>0</x:v>
      </x:c>
      <x:c r="M287" s="8" t="n">
        <x:f>DATE(YEAR(C287),MONTH(C287),1)</x:f>
        <x:v>45992</x:v>
      </x:c>
    </x:row>
    <x:row r="288" ht="22" customHeight="1">
      <x:c r="A288" s="2" t="str">
        <x:v>O00284</x:v>
      </x:c>
      <x:c r="B288" s="2" t="str">
        <x:v>C0235</x:v>
      </x:c>
      <x:c r="C288" s="7" t="n">
        <x:v>45680</x:v>
      </x:c>
      <x:c r="D288" s="2" t="str">
        <x:v>Completed</x:v>
      </x:c>
      <x:c r="E288" s="2" t="str">
        <x:v>North</x:v>
      </x:c>
      <x:c r="F288" s="2" t="str">
        <x:v>Online</x:v>
      </x:c>
      <x:c r="G288" s="9" t="n">
        <x:f>SUM(SalesLines!Q688,SalesLines!Q689)</x:f>
        <x:v>1289.3</x:v>
      </x:c>
      <x:c r="H288" s="9" t="n">
        <x:f>SUM(SalesLines!M688,SalesLines!M689)</x:f>
        <x:v>1537</x:v>
      </x:c>
      <x:c r="I288" s="9" t="n">
        <x:f>SUM(SalesLines!N688,SalesLines!N689)</x:f>
        <x:v>247.7</x:v>
      </x:c>
      <x:c r="J288" s="9" t="n">
        <x:f>SUM(SalesLines!P688,SalesLines!P689)</x:f>
        <x:v>0</x:v>
      </x:c>
      <x:c r="K288" s="11" t="n">
        <x:f>SUM(SalesLines!R688,SalesLines!R689)</x:f>
        <x:v>8</x:v>
      </x:c>
      <x:c r="L288" s="11" t="n">
        <x:f>SUM(SalesLines!S688,SalesLines!S689)</x:f>
        <x:v>0</x:v>
      </x:c>
      <x:c r="M288" s="8" t="n">
        <x:f>DATE(YEAR(C288),MONTH(C288),1)</x:f>
        <x:v>45658</x:v>
      </x:c>
    </x:row>
    <x:row r="289" ht="22" customHeight="1">
      <x:c r="A289" s="2" t="str">
        <x:v>O00285</x:v>
      </x:c>
      <x:c r="B289" s="2" t="str">
        <x:v>C0295</x:v>
      </x:c>
      <x:c r="C289" s="7" t="n">
        <x:v>45844</x:v>
      </x:c>
      <x:c r="D289" s="2" t="str">
        <x:v>Completed</x:v>
      </x:c>
      <x:c r="E289" s="2" t="str">
        <x:v>West</x:v>
      </x:c>
      <x:c r="F289" s="2" t="str">
        <x:v>Store</x:v>
      </x:c>
      <x:c r="G289" s="9" t="n">
        <x:f>SUM(SalesLines!Q690,SalesLines!Q691,SalesLines!Q692,SalesLines!Q693)</x:f>
        <x:v>2337.25</x:v>
      </x:c>
      <x:c r="H289" s="9" t="n">
        <x:f>SUM(SalesLines!M690,SalesLines!M691,SalesLines!M692,SalesLines!M693)</x:f>
        <x:v>2797</x:v>
      </x:c>
      <x:c r="I289" s="9" t="n">
        <x:f>SUM(SalesLines!N690,SalesLines!N691,SalesLines!N692,SalesLines!N693)</x:f>
        <x:v>274.95</x:v>
      </x:c>
      <x:c r="J289" s="9" t="n">
        <x:f>SUM(SalesLines!P690,SalesLines!P691,SalesLines!P692,SalesLines!P693)</x:f>
        <x:v>184.8</x:v>
      </x:c>
      <x:c r="K289" s="11" t="n">
        <x:f>SUM(SalesLines!R690,SalesLines!R691,SalesLines!R692,SalesLines!R693)</x:f>
        <x:v>11</x:v>
      </x:c>
      <x:c r="L289" s="11" t="n">
        <x:f>SUM(SalesLines!S690,SalesLines!S691,SalesLines!S692,SalesLines!S693)</x:f>
        <x:v>1</x:v>
      </x:c>
      <x:c r="M289" s="8" t="n">
        <x:f>DATE(YEAR(C289),MONTH(C289),1)</x:f>
        <x:v>45839</x:v>
      </x:c>
    </x:row>
    <x:row r="290" ht="22" customHeight="1">
      <x:c r="A290" s="2" t="str">
        <x:v>O00286</x:v>
      </x:c>
      <x:c r="B290" s="2" t="str">
        <x:v>C0193</x:v>
      </x:c>
      <x:c r="C290" s="7" t="n">
        <x:v>45878</x:v>
      </x:c>
      <x:c r="D290" s="2" t="str">
        <x:v>Completed</x:v>
      </x:c>
      <x:c r="E290" s="2" t="str">
        <x:v>East</x:v>
      </x:c>
      <x:c r="F290" s="2" t="str">
        <x:v>Online</x:v>
      </x:c>
      <x:c r="G290" s="9" t="n">
        <x:f>SUM(SalesLines!Q694)</x:f>
        <x:v>529.2</x:v>
      </x:c>
      <x:c r="H290" s="9" t="n">
        <x:f>SUM(SalesLines!M694)</x:f>
        <x:v>588</x:v>
      </x:c>
      <x:c r="I290" s="9" t="n">
        <x:f>SUM(SalesLines!N694)</x:f>
        <x:v>58.800000000000004</x:v>
      </x:c>
      <x:c r="J290" s="9" t="n">
        <x:f>SUM(SalesLines!P694)</x:f>
        <x:v>0</x:v>
      </x:c>
      <x:c r="K290" s="11" t="n">
        <x:f>SUM(SalesLines!R694)</x:f>
        <x:v>2</x:v>
      </x:c>
      <x:c r="L290" s="11" t="n">
        <x:f>SUM(SalesLines!S694)</x:f>
        <x:v>0</x:v>
      </x:c>
      <x:c r="M290" s="8" t="n">
        <x:f>DATE(YEAR(C290),MONTH(C290),1)</x:f>
        <x:v>45870</x:v>
      </x:c>
    </x:row>
    <x:row r="291" ht="22" customHeight="1">
      <x:c r="A291" s="2" t="str">
        <x:v>O00287</x:v>
      </x:c>
      <x:c r="B291" s="2" t="str">
        <x:v>C0049</x:v>
      </x:c>
      <x:c r="C291" s="7" t="n">
        <x:v>45969</x:v>
      </x:c>
      <x:c r="D291" s="2" t="str">
        <x:v>Completed</x:v>
      </x:c>
      <x:c r="E291" s="2" t="str">
        <x:v>North</x:v>
      </x:c>
      <x:c r="F291" s="2" t="str">
        <x:v>Online</x:v>
      </x:c>
      <x:c r="G291" s="9" t="n">
        <x:f>SUM(SalesLines!Q695,SalesLines!Q696,SalesLines!Q697,SalesLines!Q698)</x:f>
        <x:v>3207.25</x:v>
      </x:c>
      <x:c r="H291" s="9" t="n">
        <x:f>SUM(SalesLines!M695,SalesLines!M696,SalesLines!M697,SalesLines!M698)</x:f>
        <x:v>4496</x:v>
      </x:c>
      <x:c r="I291" s="9" t="n">
        <x:f>SUM(SalesLines!N695,SalesLines!N696,SalesLines!N697,SalesLines!N698)</x:f>
        <x:v>616.45</x:v>
      </x:c>
      <x:c r="J291" s="9" t="n">
        <x:f>SUM(SalesLines!P695,SalesLines!P696,SalesLines!P697,SalesLines!P698)</x:f>
        <x:v>672.3000000000001</x:v>
      </x:c>
      <x:c r="K291" s="11" t="n">
        <x:f>SUM(SalesLines!R695,SalesLines!R696,SalesLines!R697,SalesLines!R698)</x:f>
        <x:v>18</x:v>
      </x:c>
      <x:c r="L291" s="11" t="n">
        <x:f>SUM(SalesLines!S695,SalesLines!S696,SalesLines!S697,SalesLines!S698)</x:f>
        <x:v>3</x:v>
      </x:c>
      <x:c r="M291" s="8" t="n">
        <x:f>DATE(YEAR(C291),MONTH(C291),1)</x:f>
        <x:v>45962</x:v>
      </x:c>
    </x:row>
    <x:row r="292" ht="22" customHeight="1">
      <x:c r="A292" s="2" t="str">
        <x:v>O00288</x:v>
      </x:c>
      <x:c r="B292" s="2" t="str">
        <x:v>C0107</x:v>
      </x:c>
      <x:c r="C292" s="7" t="n">
        <x:v>45689</x:v>
      </x:c>
      <x:c r="D292" s="2" t="str">
        <x:v>Completed</x:v>
      </x:c>
      <x:c r="E292" s="2" t="str">
        <x:v>South</x:v>
      </x:c>
      <x:c r="F292" s="2" t="str">
        <x:v>Online</x:v>
      </x:c>
      <x:c r="G292" s="9" t="n">
        <x:f>SUM(SalesLines!Q699,SalesLines!Q700,SalesLines!Q701)</x:f>
        <x:v>1478.2</x:v>
      </x:c>
      <x:c r="H292" s="9" t="n">
        <x:f>SUM(SalesLines!M699,SalesLines!M700,SalesLines!M701)</x:f>
        <x:v>1798</x:v>
      </x:c>
      <x:c r="I292" s="9" t="n">
        <x:f>SUM(SalesLines!N699,SalesLines!N700,SalesLines!N701)</x:f>
        <x:v>319.8</x:v>
      </x:c>
      <x:c r="J292" s="9" t="n">
        <x:f>SUM(SalesLines!P699,SalesLines!P700,SalesLines!P701)</x:f>
        <x:v>0</x:v>
      </x:c>
      <x:c r="K292" s="11" t="n">
        <x:f>SUM(SalesLines!R699,SalesLines!R700,SalesLines!R701)</x:f>
        <x:v>8</x:v>
      </x:c>
      <x:c r="L292" s="11" t="n">
        <x:f>SUM(SalesLines!S699,SalesLines!S700,SalesLines!S701)</x:f>
        <x:v>0</x:v>
      </x:c>
      <x:c r="M292" s="8" t="n">
        <x:f>DATE(YEAR(C292),MONTH(C292),1)</x:f>
        <x:v>45689</x:v>
      </x:c>
    </x:row>
    <x:row r="293" ht="22" customHeight="1">
      <x:c r="A293" s="2" t="str">
        <x:v>O00289</x:v>
      </x:c>
      <x:c r="B293" s="2" t="str">
        <x:v>C0226</x:v>
      </x:c>
      <x:c r="C293" s="7" t="n">
        <x:v>45787</x:v>
      </x:c>
      <x:c r="D293" s="2" t="str">
        <x:v>Completed</x:v>
      </x:c>
      <x:c r="E293" s="2" t="str">
        <x:v>South</x:v>
      </x:c>
      <x:c r="F293" s="2" t="str">
        <x:v>Online</x:v>
      </x:c>
      <x:c r="G293" s="9" t="n">
        <x:f>SUM(SalesLines!Q702)</x:f>
        <x:v>74.1</x:v>
      </x:c>
      <x:c r="H293" s="9" t="n">
        <x:f>SUM(SalesLines!M702)</x:f>
        <x:v>78</x:v>
      </x:c>
      <x:c r="I293" s="9" t="n">
        <x:f>SUM(SalesLines!N702)</x:f>
        <x:v>3.9000000000000004</x:v>
      </x:c>
      <x:c r="J293" s="9" t="n">
        <x:f>SUM(SalesLines!P702)</x:f>
        <x:v>0</x:v>
      </x:c>
      <x:c r="K293" s="11" t="n">
        <x:f>SUM(SalesLines!R702)</x:f>
        <x:v>1</x:v>
      </x:c>
      <x:c r="L293" s="11" t="n">
        <x:f>SUM(SalesLines!S702)</x:f>
        <x:v>0</x:v>
      </x:c>
      <x:c r="M293" s="8" t="n">
        <x:f>DATE(YEAR(C293),MONTH(C293),1)</x:f>
        <x:v>45778</x:v>
      </x:c>
    </x:row>
    <x:row r="294" ht="22" customHeight="1">
      <x:c r="A294" s="2" t="str">
        <x:v>O00290</x:v>
      </x:c>
      <x:c r="B294" s="2" t="str">
        <x:v>C0174</x:v>
      </x:c>
      <x:c r="C294" s="7" t="n">
        <x:v>45954</x:v>
      </x:c>
      <x:c r="D294" s="2" t="str">
        <x:v>Completed</x:v>
      </x:c>
      <x:c r="E294" s="2" t="str">
        <x:v>South</x:v>
      </x:c>
      <x:c r="F294" s="2" t="str">
        <x:v>Online</x:v>
      </x:c>
      <x:c r="G294" s="9" t="n">
        <x:f>SUM(SalesLines!Q703,SalesLines!Q704,SalesLines!Q705)</x:f>
        <x:v>1308</x:v>
      </x:c>
      <x:c r="H294" s="9" t="n">
        <x:f>SUM(SalesLines!M703,SalesLines!M704,SalesLines!M705)</x:f>
        <x:v>1635</x:v>
      </x:c>
      <x:c r="I294" s="9" t="n">
        <x:f>SUM(SalesLines!N703,SalesLines!N704,SalesLines!N705)</x:f>
        <x:v>327</x:v>
      </x:c>
      <x:c r="J294" s="9" t="n">
        <x:f>SUM(SalesLines!P703,SalesLines!P704,SalesLines!P705)</x:f>
        <x:v>0</x:v>
      </x:c>
      <x:c r="K294" s="11" t="n">
        <x:f>SUM(SalesLines!R703,SalesLines!R704,SalesLines!R705)</x:f>
        <x:v>9</x:v>
      </x:c>
      <x:c r="L294" s="11" t="n">
        <x:f>SUM(SalesLines!S703,SalesLines!S704,SalesLines!S705)</x:f>
        <x:v>0</x:v>
      </x:c>
      <x:c r="M294" s="8" t="n">
        <x:f>DATE(YEAR(C294),MONTH(C294),1)</x:f>
        <x:v>45931</x:v>
      </x:c>
    </x:row>
    <x:row r="295" ht="22" customHeight="1">
      <x:c r="A295" s="2" t="str">
        <x:v>O00291</x:v>
      </x:c>
      <x:c r="B295" s="2" t="str">
        <x:v>C0027</x:v>
      </x:c>
      <x:c r="C295" s="7" t="n">
        <x:v>45803</x:v>
      </x:c>
      <x:c r="D295" s="2" t="str">
        <x:v>Completed</x:v>
      </x:c>
      <x:c r="E295" s="2" t="str">
        <x:v>North</x:v>
      </x:c>
      <x:c r="F295" s="2" t="str">
        <x:v>Store</x:v>
      </x:c>
      <x:c r="G295" s="9" t="n">
        <x:f>SUM(SalesLines!Q706,SalesLines!Q707,SalesLines!Q708)</x:f>
        <x:v>1551.2</x:v>
      </x:c>
      <x:c r="H295" s="9" t="n">
        <x:f>SUM(SalesLines!M706,SalesLines!M707,SalesLines!M708)</x:f>
        <x:v>1671</x:v>
      </x:c>
      <x:c r="I295" s="9" t="n">
        <x:f>SUM(SalesLines!N706,SalesLines!N707,SalesLines!N708)</x:f>
        <x:v>119.8</x:v>
      </x:c>
      <x:c r="J295" s="9" t="n">
        <x:f>SUM(SalesLines!P706,SalesLines!P707,SalesLines!P708)</x:f>
        <x:v>0</x:v>
      </x:c>
      <x:c r="K295" s="11" t="n">
        <x:f>SUM(SalesLines!R706,SalesLines!R707,SalesLines!R708)</x:f>
        <x:v>14</x:v>
      </x:c>
      <x:c r="L295" s="11" t="n">
        <x:f>SUM(SalesLines!S706,SalesLines!S707,SalesLines!S708)</x:f>
        <x:v>0</x:v>
      </x:c>
      <x:c r="M295" s="8" t="n">
        <x:f>DATE(YEAR(C295),MONTH(C295),1)</x:f>
        <x:v>45778</x:v>
      </x:c>
    </x:row>
    <x:row r="296" ht="22" customHeight="1">
      <x:c r="A296" s="2" t="str">
        <x:v>O00292</x:v>
      </x:c>
      <x:c r="B296" s="2" t="str">
        <x:v>C0010</x:v>
      </x:c>
      <x:c r="C296" s="7" t="n">
        <x:v>45938</x:v>
      </x:c>
      <x:c r="D296" s="2" t="str">
        <x:v>Completed</x:v>
      </x:c>
      <x:c r="E296" s="2" t="str">
        <x:v>West</x:v>
      </x:c>
      <x:c r="F296" s="2" t="str">
        <x:v>Store</x:v>
      </x:c>
      <x:c r="G296" s="9" t="n">
        <x:f>SUM(SalesLines!Q709)</x:f>
        <x:v>255.6</x:v>
      </x:c>
      <x:c r="H296" s="9" t="n">
        <x:f>SUM(SalesLines!M709)</x:f>
        <x:v>284</x:v>
      </x:c>
      <x:c r="I296" s="9" t="n">
        <x:f>SUM(SalesLines!N709)</x:f>
        <x:v>28.400000000000002</x:v>
      </x:c>
      <x:c r="J296" s="9" t="n">
        <x:f>SUM(SalesLines!P709)</x:f>
        <x:v>0</x:v>
      </x:c>
      <x:c r="K296" s="11" t="n">
        <x:f>SUM(SalesLines!R709)</x:f>
        <x:v>1</x:v>
      </x:c>
      <x:c r="L296" s="11" t="n">
        <x:f>SUM(SalesLines!S709)</x:f>
        <x:v>0</x:v>
      </x:c>
      <x:c r="M296" s="8" t="n">
        <x:f>DATE(YEAR(C296),MONTH(C296),1)</x:f>
        <x:v>45931</x:v>
      </x:c>
    </x:row>
    <x:row r="297" ht="22" customHeight="1">
      <x:c r="A297" s="2" t="str">
        <x:v>O00293</x:v>
      </x:c>
      <x:c r="B297" s="2" t="str">
        <x:v>C0189</x:v>
      </x:c>
      <x:c r="C297" s="7" t="n">
        <x:v>45929</x:v>
      </x:c>
      <x:c r="D297" s="2" t="str">
        <x:v>Completed</x:v>
      </x:c>
      <x:c r="E297" s="2" t="str">
        <x:v>North</x:v>
      </x:c>
      <x:c r="F297" s="2" t="str">
        <x:v>Store</x:v>
      </x:c>
      <x:c r="G297" s="9" t="n">
        <x:f>SUM(SalesLines!Q710,SalesLines!Q711)</x:f>
        <x:v>883.7</x:v>
      </x:c>
      <x:c r="H297" s="9" t="n">
        <x:f>SUM(SalesLines!M710,SalesLines!M711)</x:f>
        <x:v>902</x:v>
      </x:c>
      <x:c r="I297" s="9" t="n">
        <x:f>SUM(SalesLines!N710,SalesLines!N711)</x:f>
        <x:v>18.3</x:v>
      </x:c>
      <x:c r="J297" s="9" t="n">
        <x:f>SUM(SalesLines!P710,SalesLines!P711)</x:f>
        <x:v>0</x:v>
      </x:c>
      <x:c r="K297" s="11" t="n">
        <x:f>SUM(SalesLines!R710,SalesLines!R711)</x:f>
        <x:v>7</x:v>
      </x:c>
      <x:c r="L297" s="11" t="n">
        <x:f>SUM(SalesLines!S710,SalesLines!S711)</x:f>
        <x:v>0</x:v>
      </x:c>
      <x:c r="M297" s="8" t="n">
        <x:f>DATE(YEAR(C297),MONTH(C297),1)</x:f>
        <x:v>45901</x:v>
      </x:c>
    </x:row>
    <x:row r="298" ht="22" customHeight="1">
      <x:c r="A298" s="2" t="str">
        <x:v>O00294</x:v>
      </x:c>
      <x:c r="B298" s="2" t="str">
        <x:v>C0177</x:v>
      </x:c>
      <x:c r="C298" s="7" t="n">
        <x:v>45779</x:v>
      </x:c>
      <x:c r="D298" s="2" t="str">
        <x:v>Completed</x:v>
      </x:c>
      <x:c r="E298" s="2" t="str">
        <x:v>West</x:v>
      </x:c>
      <x:c r="F298" s="2" t="str">
        <x:v>Online</x:v>
      </x:c>
      <x:c r="G298" s="9" t="n">
        <x:f>SUM(SalesLines!Q712,SalesLines!Q713,SalesLines!Q714)</x:f>
        <x:v>1079.4</x:v>
      </x:c>
      <x:c r="H298" s="9" t="n">
        <x:f>SUM(SalesLines!M712,SalesLines!M713,SalesLines!M714)</x:f>
        <x:v>1287</x:v>
      </x:c>
      <x:c r="I298" s="9" t="n">
        <x:f>SUM(SalesLines!N712,SalesLines!N713,SalesLines!N714)</x:f>
        <x:v>207.60000000000002</x:v>
      </x:c>
      <x:c r="J298" s="9" t="n">
        <x:f>SUM(SalesLines!P712,SalesLines!P713,SalesLines!P714)</x:f>
        <x:v>0</x:v>
      </x:c>
      <x:c r="K298" s="11" t="n">
        <x:f>SUM(SalesLines!R712,SalesLines!R713,SalesLines!R714)</x:f>
        <x:v>6</x:v>
      </x:c>
      <x:c r="L298" s="11" t="n">
        <x:f>SUM(SalesLines!S712,SalesLines!S713,SalesLines!S714)</x:f>
        <x:v>0</x:v>
      </x:c>
      <x:c r="M298" s="8" t="n">
        <x:f>DATE(YEAR(C298),MONTH(C298),1)</x:f>
        <x:v>45778</x:v>
      </x:c>
    </x:row>
    <x:row r="299" ht="22" customHeight="1">
      <x:c r="A299" s="2" t="str">
        <x:v>O00295</x:v>
      </x:c>
      <x:c r="B299" s="2" t="str">
        <x:v>C0122</x:v>
      </x:c>
      <x:c r="C299" s="7" t="n">
        <x:v>45965</x:v>
      </x:c>
      <x:c r="D299" s="2" t="str">
        <x:v>Completed</x:v>
      </x:c>
      <x:c r="E299" s="2" t="str">
        <x:v>North</x:v>
      </x:c>
      <x:c r="F299" s="2" t="str">
        <x:v>Online</x:v>
      </x:c>
      <x:c r="G299" s="9" t="n">
        <x:f>SUM(SalesLines!Q715,SalesLines!Q716,SalesLines!Q717,SalesLines!Q718)</x:f>
        <x:v>1267.3</x:v>
      </x:c>
      <x:c r="H299" s="9" t="n">
        <x:f>SUM(SalesLines!M715,SalesLines!M716,SalesLines!M717,SalesLines!M718)</x:f>
        <x:v>1334</x:v>
      </x:c>
      <x:c r="I299" s="9" t="n">
        <x:f>SUM(SalesLines!N715,SalesLines!N716,SalesLines!N717,SalesLines!N718)</x:f>
        <x:v>66.7</x:v>
      </x:c>
      <x:c r="J299" s="9" t="n">
        <x:f>SUM(SalesLines!P715,SalesLines!P716,SalesLines!P717,SalesLines!P718)</x:f>
        <x:v>0</x:v>
      </x:c>
      <x:c r="K299" s="11" t="n">
        <x:f>SUM(SalesLines!R715,SalesLines!R716,SalesLines!R717,SalesLines!R718)</x:f>
        <x:v>8</x:v>
      </x:c>
      <x:c r="L299" s="11" t="n">
        <x:f>SUM(SalesLines!S715,SalesLines!S716,SalesLines!S717,SalesLines!S718)</x:f>
        <x:v>0</x:v>
      </x:c>
      <x:c r="M299" s="8" t="n">
        <x:f>DATE(YEAR(C299),MONTH(C299),1)</x:f>
        <x:v>45962</x:v>
      </x:c>
    </x:row>
    <x:row r="300" ht="22" customHeight="1">
      <x:c r="A300" s="2" t="str">
        <x:v>O00296</x:v>
      </x:c>
      <x:c r="B300" s="2" t="str">
        <x:v>C0285</x:v>
      </x:c>
      <x:c r="C300" s="7" t="n">
        <x:v>45794</x:v>
      </x:c>
      <x:c r="D300" s="2" t="str">
        <x:v>Completed</x:v>
      </x:c>
      <x:c r="E300" s="2" t="str">
        <x:v>East</x:v>
      </x:c>
      <x:c r="F300" s="2" t="str">
        <x:v>Store</x:v>
      </x:c>
      <x:c r="G300" s="9" t="n">
        <x:f>SUM(SalesLines!Q719,SalesLines!Q720)</x:f>
        <x:v>403.2</x:v>
      </x:c>
      <x:c r="H300" s="9" t="n">
        <x:f>SUM(SalesLines!M719,SalesLines!M720)</x:f>
        <x:v>444</x:v>
      </x:c>
      <x:c r="I300" s="9" t="n">
        <x:f>SUM(SalesLines!N719,SalesLines!N720)</x:f>
        <x:v>40.800000000000004</x:v>
      </x:c>
      <x:c r="J300" s="9" t="n">
        <x:f>SUM(SalesLines!P719,SalesLines!P720)</x:f>
        <x:v>0</x:v>
      </x:c>
      <x:c r="K300" s="11" t="n">
        <x:f>SUM(SalesLines!R719,SalesLines!R720)</x:f>
        <x:v>6</x:v>
      </x:c>
      <x:c r="L300" s="11" t="n">
        <x:f>SUM(SalesLines!S719,SalesLines!S720)</x:f>
        <x:v>0</x:v>
      </x:c>
      <x:c r="M300" s="8" t="n">
        <x:f>DATE(YEAR(C300),MONTH(C300),1)</x:f>
        <x:v>45778</x:v>
      </x:c>
    </x:row>
    <x:row r="301" ht="22" customHeight="1">
      <x:c r="A301" s="2" t="str">
        <x:v>O00297</x:v>
      </x:c>
      <x:c r="B301" s="2" t="str">
        <x:v>C0094</x:v>
      </x:c>
      <x:c r="C301" s="7" t="n">
        <x:v>46021</x:v>
      </x:c>
      <x:c r="D301" s="2" t="str">
        <x:v>Completed</x:v>
      </x:c>
      <x:c r="E301" s="2" t="str">
        <x:v>West</x:v>
      </x:c>
      <x:c r="F301" s="2" t="str">
        <x:v>Store</x:v>
      </x:c>
      <x:c r="G301" s="9" t="n">
        <x:f>SUM(SalesLines!Q721)</x:f>
        <x:v>900</x:v>
      </x:c>
      <x:c r="H301" s="9" t="n">
        <x:f>SUM(SalesLines!M721)</x:f>
        <x:v>900</x:v>
      </x:c>
      <x:c r="I301" s="9" t="n">
        <x:f>SUM(SalesLines!N721)</x:f>
        <x:v>0</x:v>
      </x:c>
      <x:c r="J301" s="9" t="n">
        <x:f>SUM(SalesLines!P721)</x:f>
        <x:v>0</x:v>
      </x:c>
      <x:c r="K301" s="11" t="n">
        <x:f>SUM(SalesLines!R721)</x:f>
        <x:v>3</x:v>
      </x:c>
      <x:c r="L301" s="11" t="n">
        <x:f>SUM(SalesLines!S721)</x:f>
        <x:v>0</x:v>
      </x:c>
      <x:c r="M301" s="8" t="n">
        <x:f>DATE(YEAR(C301),MONTH(C301),1)</x:f>
        <x:v>45992</x:v>
      </x:c>
    </x:row>
    <x:row r="302" ht="22" customHeight="1">
      <x:c r="A302" s="2" t="str">
        <x:v>O00298</x:v>
      </x:c>
      <x:c r="B302" s="2" t="str">
        <x:v>C0256</x:v>
      </x:c>
      <x:c r="C302" s="7" t="n">
        <x:v>46007</x:v>
      </x:c>
      <x:c r="D302" s="2" t="str">
        <x:v>Completed</x:v>
      </x:c>
      <x:c r="E302" s="2" t="str">
        <x:v>North</x:v>
      </x:c>
      <x:c r="F302" s="2" t="str">
        <x:v>Online</x:v>
      </x:c>
      <x:c r="G302" s="9" t="n">
        <x:f>SUM(SalesLines!Q722,SalesLines!Q723,SalesLines!Q724,SalesLines!Q725)</x:f>
        <x:v>2129.2</x:v>
      </x:c>
      <x:c r="H302" s="9" t="n">
        <x:f>SUM(SalesLines!M722,SalesLines!M723,SalesLines!M724,SalesLines!M725)</x:f>
        <x:v>2156</x:v>
      </x:c>
      <x:c r="I302" s="9" t="n">
        <x:f>SUM(SalesLines!N722,SalesLines!N723,SalesLines!N724,SalesLines!N725)</x:f>
        <x:v>26.8</x:v>
      </x:c>
      <x:c r="J302" s="9" t="n">
        <x:f>SUM(SalesLines!P722,SalesLines!P723,SalesLines!P724,SalesLines!P725)</x:f>
        <x:v>0</x:v>
      </x:c>
      <x:c r="K302" s="11" t="n">
        <x:f>SUM(SalesLines!R722,SalesLines!R723,SalesLines!R724,SalesLines!R725)</x:f>
        <x:v>13</x:v>
      </x:c>
      <x:c r="L302" s="11" t="n">
        <x:f>SUM(SalesLines!S722,SalesLines!S723,SalesLines!S724,SalesLines!S725)</x:f>
        <x:v>0</x:v>
      </x:c>
      <x:c r="M302" s="8" t="n">
        <x:f>DATE(YEAR(C302),MONTH(C302),1)</x:f>
        <x:v>45992</x:v>
      </x:c>
    </x:row>
    <x:row r="303" ht="22" customHeight="1">
      <x:c r="A303" s="2" t="str">
        <x:v>O00299</x:v>
      </x:c>
      <x:c r="B303" s="2" t="str">
        <x:v>C0186</x:v>
      </x:c>
      <x:c r="C303" s="7" t="n">
        <x:v>45660</x:v>
      </x:c>
      <x:c r="D303" s="2" t="str">
        <x:v>Completed</x:v>
      </x:c>
      <x:c r="E303" s="2" t="str">
        <x:v>North</x:v>
      </x:c>
      <x:c r="F303" s="2" t="str">
        <x:v>Online</x:v>
      </x:c>
      <x:c r="G303" s="9" t="n">
        <x:f>SUM(SalesLines!Q726)</x:f>
        <x:v>122</x:v>
      </x:c>
      <x:c r="H303" s="9" t="n">
        <x:f>SUM(SalesLines!M726)</x:f>
        <x:v>122</x:v>
      </x:c>
      <x:c r="I303" s="9" t="n">
        <x:f>SUM(SalesLines!N726)</x:f>
        <x:v>0</x:v>
      </x:c>
      <x:c r="J303" s="9" t="n">
        <x:f>SUM(SalesLines!P726)</x:f>
        <x:v>0</x:v>
      </x:c>
      <x:c r="K303" s="11" t="n">
        <x:f>SUM(SalesLines!R726)</x:f>
        <x:v>1</x:v>
      </x:c>
      <x:c r="L303" s="11" t="n">
        <x:f>SUM(SalesLines!S726)</x:f>
        <x:v>0</x:v>
      </x:c>
      <x:c r="M303" s="8" t="n">
        <x:f>DATE(YEAR(C303),MONTH(C303),1)</x:f>
        <x:v>45658</x:v>
      </x:c>
    </x:row>
    <x:row r="304" ht="22" customHeight="1">
      <x:c r="A304" s="2" t="str">
        <x:v>O00300</x:v>
      </x:c>
      <x:c r="B304" s="2" t="str">
        <x:v>C0004</x:v>
      </x:c>
      <x:c r="C304" s="7" t="n">
        <x:v>45878</x:v>
      </x:c>
      <x:c r="D304" s="2" t="str">
        <x:v>Completed</x:v>
      </x:c>
      <x:c r="E304" s="2" t="str">
        <x:v>North</x:v>
      </x:c>
      <x:c r="F304" s="2" t="str">
        <x:v>Online</x:v>
      </x:c>
      <x:c r="G304" s="9" t="n">
        <x:f>SUM(SalesLines!Q727,SalesLines!Q728,SalesLines!Q729)</x:f>
        <x:v>1452.15</x:v>
      </x:c>
      <x:c r="H304" s="9" t="n">
        <x:f>SUM(SalesLines!M727,SalesLines!M728,SalesLines!M729)</x:f>
        <x:v>1639</x:v>
      </x:c>
      <x:c r="I304" s="9" t="n">
        <x:f>SUM(SalesLines!N727,SalesLines!N728,SalesLines!N729)</x:f>
        <x:v>186.85000000000002</x:v>
      </x:c>
      <x:c r="J304" s="9" t="n">
        <x:f>SUM(SalesLines!P727,SalesLines!P728,SalesLines!P729)</x:f>
        <x:v>0</x:v>
      </x:c>
      <x:c r="K304" s="11" t="n">
        <x:f>SUM(SalesLines!R727,SalesLines!R728,SalesLines!R729)</x:f>
        <x:v>7</x:v>
      </x:c>
      <x:c r="L304" s="11" t="n">
        <x:f>SUM(SalesLines!S727,SalesLines!S728,SalesLines!S729)</x:f>
        <x:v>0</x:v>
      </x:c>
      <x:c r="M304" s="8" t="n">
        <x:f>DATE(YEAR(C304),MONTH(C304),1)</x:f>
        <x:v>45870</x:v>
      </x:c>
    </x:row>
    <x:row r="305" ht="22" customHeight="1">
      <x:c r="A305" s="2" t="str">
        <x:v>O00301</x:v>
      </x:c>
      <x:c r="B305" s="2" t="str">
        <x:v>C0095</x:v>
      </x:c>
      <x:c r="C305" s="7" t="n">
        <x:v>45780</x:v>
      </x:c>
      <x:c r="D305" s="2" t="str">
        <x:v>Completed</x:v>
      </x:c>
      <x:c r="E305" s="2" t="str">
        <x:v>East</x:v>
      </x:c>
      <x:c r="F305" s="2" t="str">
        <x:v>Online</x:v>
      </x:c>
      <x:c r="G305" s="9" t="n">
        <x:f>SUM(SalesLines!Q730)</x:f>
        <x:v>199</x:v>
      </x:c>
      <x:c r="H305" s="9" t="n">
        <x:f>SUM(SalesLines!M730)</x:f>
        <x:v>199</x:v>
      </x:c>
      <x:c r="I305" s="9" t="n">
        <x:f>SUM(SalesLines!N730)</x:f>
        <x:v>0</x:v>
      </x:c>
      <x:c r="J305" s="9" t="n">
        <x:f>SUM(SalesLines!P730)</x:f>
        <x:v>0</x:v>
      </x:c>
      <x:c r="K305" s="11" t="n">
        <x:f>SUM(SalesLines!R730)</x:f>
        <x:v>1</x:v>
      </x:c>
      <x:c r="L305" s="11" t="n">
        <x:f>SUM(SalesLines!S730)</x:f>
        <x:v>0</x:v>
      </x:c>
      <x:c r="M305" s="8" t="n">
        <x:f>DATE(YEAR(C305),MONTH(C305),1)</x:f>
        <x:v>45778</x:v>
      </x:c>
    </x:row>
    <x:row r="306" ht="22" customHeight="1">
      <x:c r="A306" s="2" t="str">
        <x:v>O00302</x:v>
      </x:c>
      <x:c r="B306" s="2" t="str">
        <x:v>C0259</x:v>
      </x:c>
      <x:c r="C306" s="7" t="n">
        <x:v>45975</x:v>
      </x:c>
      <x:c r="D306" s="2" t="str">
        <x:v>Completed</x:v>
      </x:c>
      <x:c r="E306" s="2" t="str">
        <x:v>North</x:v>
      </x:c>
      <x:c r="F306" s="2" t="str">
        <x:v>Online</x:v>
      </x:c>
      <x:c r="G306" s="9" t="n">
        <x:f>SUM(SalesLines!Q731)</x:f>
        <x:v>297.6</x:v>
      </x:c>
      <x:c r="H306" s="9" t="n">
        <x:f>SUM(SalesLines!M731)</x:f>
        <x:v>372</x:v>
      </x:c>
      <x:c r="I306" s="9" t="n">
        <x:f>SUM(SalesLines!N731)</x:f>
        <x:v>74.4</x:v>
      </x:c>
      <x:c r="J306" s="9" t="n">
        <x:f>SUM(SalesLines!P731)</x:f>
        <x:v>0</x:v>
      </x:c>
      <x:c r="K306" s="11" t="n">
        <x:f>SUM(SalesLines!R731)</x:f>
        <x:v>4</x:v>
      </x:c>
      <x:c r="L306" s="11" t="n">
        <x:f>SUM(SalesLines!S731)</x:f>
        <x:v>0</x:v>
      </x:c>
      <x:c r="M306" s="8" t="n">
        <x:f>DATE(YEAR(C306),MONTH(C306),1)</x:f>
        <x:v>45962</x:v>
      </x:c>
    </x:row>
    <x:row r="307" ht="22" customHeight="1">
      <x:c r="A307" s="2" t="str">
        <x:v>O00303</x:v>
      </x:c>
      <x:c r="B307" s="2" t="str">
        <x:v>C0105</x:v>
      </x:c>
      <x:c r="C307" s="7" t="n">
        <x:v>45743</x:v>
      </x:c>
      <x:c r="D307" s="2" t="str">
        <x:v>Completed</x:v>
      </x:c>
      <x:c r="E307" s="2" t="str">
        <x:v>South</x:v>
      </x:c>
      <x:c r="F307" s="2" t="str">
        <x:v>Online</x:v>
      </x:c>
      <x:c r="G307" s="9" t="n">
        <x:f>SUM(SalesLines!Q732,SalesLines!Q733,SalesLines!Q734,SalesLines!Q735)</x:f>
        <x:v>2198.95</x:v>
      </x:c>
      <x:c r="H307" s="9" t="n">
        <x:f>SUM(SalesLines!M732,SalesLines!M733,SalesLines!M734,SalesLines!M735)</x:f>
        <x:v>2381</x:v>
      </x:c>
      <x:c r="I307" s="9" t="n">
        <x:f>SUM(SalesLines!N732,SalesLines!N733,SalesLines!N734,SalesLines!N735)</x:f>
        <x:v>182.04999999999998</x:v>
      </x:c>
      <x:c r="J307" s="9" t="n">
        <x:f>SUM(SalesLines!P732,SalesLines!P733,SalesLines!P734,SalesLines!P735)</x:f>
        <x:v>0</x:v>
      </x:c>
      <x:c r="K307" s="11" t="n">
        <x:f>SUM(SalesLines!R732,SalesLines!R733,SalesLines!R734,SalesLines!R735)</x:f>
        <x:v>15</x:v>
      </x:c>
      <x:c r="L307" s="11" t="n">
        <x:f>SUM(SalesLines!S732,SalesLines!S733,SalesLines!S734,SalesLines!S735)</x:f>
        <x:v>0</x:v>
      </x:c>
      <x:c r="M307" s="8" t="n">
        <x:f>DATE(YEAR(C307),MONTH(C307),1)</x:f>
        <x:v>45717</x:v>
      </x:c>
    </x:row>
    <x:row r="308" ht="22" customHeight="1">
      <x:c r="A308" s="2" t="str">
        <x:v>O00304</x:v>
      </x:c>
      <x:c r="B308" s="2" t="str">
        <x:v>C0231</x:v>
      </x:c>
      <x:c r="C308" s="7" t="n">
        <x:v>45782</x:v>
      </x:c>
      <x:c r="D308" s="2" t="str">
        <x:v>Completed</x:v>
      </x:c>
      <x:c r="E308" s="2" t="str">
        <x:v>West</x:v>
      </x:c>
      <x:c r="F308" s="2" t="str">
        <x:v>Online</x:v>
      </x:c>
      <x:c r="G308" s="9" t="n">
        <x:f>SUM(SalesLines!Q736,SalesLines!Q737,SalesLines!Q738)</x:f>
        <x:v>1296.5</x:v>
      </x:c>
      <x:c r="H308" s="9" t="n">
        <x:f>SUM(SalesLines!M736,SalesLines!M737,SalesLines!M738)</x:f>
        <x:v>1316</x:v>
      </x:c>
      <x:c r="I308" s="9" t="n">
        <x:f>SUM(SalesLines!N736,SalesLines!N737,SalesLines!N738)</x:f>
        <x:v>19.5</x:v>
      </x:c>
      <x:c r="J308" s="9" t="n">
        <x:f>SUM(SalesLines!P736,SalesLines!P737,SalesLines!P738)</x:f>
        <x:v>0</x:v>
      </x:c>
      <x:c r="K308" s="11" t="n">
        <x:f>SUM(SalesLines!R736,SalesLines!R737,SalesLines!R738)</x:f>
        <x:v>10</x:v>
      </x:c>
      <x:c r="L308" s="11" t="n">
        <x:f>SUM(SalesLines!S736,SalesLines!S737,SalesLines!S738)</x:f>
        <x:v>0</x:v>
      </x:c>
      <x:c r="M308" s="8" t="n">
        <x:f>DATE(YEAR(C308),MONTH(C308),1)</x:f>
        <x:v>45778</x:v>
      </x:c>
    </x:row>
    <x:row r="309" ht="22" customHeight="1">
      <x:c r="A309" s="2" t="str">
        <x:v>O00305</x:v>
      </x:c>
      <x:c r="B309" s="2" t="str">
        <x:v>C0104</x:v>
      </x:c>
      <x:c r="C309" s="7" t="n">
        <x:v>45677</x:v>
      </x:c>
      <x:c r="D309" s="2" t="str">
        <x:v>Completed</x:v>
      </x:c>
      <x:c r="E309" s="2" t="str">
        <x:v>North</x:v>
      </x:c>
      <x:c r="F309" s="2" t="str">
        <x:v>Online</x:v>
      </x:c>
      <x:c r="G309" s="9" t="n">
        <x:f>SUM(SalesLines!Q739,SalesLines!Q740)</x:f>
        <x:v>1242.25</x:v>
      </x:c>
      <x:c r="H309" s="9" t="n">
        <x:f>SUM(SalesLines!M739,SalesLines!M740)</x:f>
        <x:v>1295</x:v>
      </x:c>
      <x:c r="I309" s="9" t="n">
        <x:f>SUM(SalesLines!N739,SalesLines!N740)</x:f>
        <x:v>52.75</x:v>
      </x:c>
      <x:c r="J309" s="9" t="n">
        <x:f>SUM(SalesLines!P739,SalesLines!P740)</x:f>
        <x:v>0</x:v>
      </x:c>
      <x:c r="K309" s="11" t="n">
        <x:f>SUM(SalesLines!R739,SalesLines!R740)</x:f>
        <x:v>8</x:v>
      </x:c>
      <x:c r="L309" s="11" t="n">
        <x:f>SUM(SalesLines!S739,SalesLines!S740)</x:f>
        <x:v>0</x:v>
      </x:c>
      <x:c r="M309" s="8" t="n">
        <x:f>DATE(YEAR(C309),MONTH(C309),1)</x:f>
        <x:v>45658</x:v>
      </x:c>
    </x:row>
    <x:row r="310" ht="22" customHeight="1">
      <x:c r="A310" s="2" t="str">
        <x:v>O00306</x:v>
      </x:c>
      <x:c r="B310" s="2" t="str">
        <x:v>C0257</x:v>
      </x:c>
      <x:c r="C310" s="7" t="n">
        <x:v>45866</x:v>
      </x:c>
      <x:c r="D310" s="2" t="str">
        <x:v>Completed</x:v>
      </x:c>
      <x:c r="E310" s="2" t="str">
        <x:v>North</x:v>
      </x:c>
      <x:c r="F310" s="2" t="str">
        <x:v>Store</x:v>
      </x:c>
      <x:c r="G310" s="9" t="n">
        <x:f>SUM(SalesLines!Q741,SalesLines!Q742)</x:f>
        <x:v>1569.6</x:v>
      </x:c>
      <x:c r="H310" s="9" t="n">
        <x:f>SUM(SalesLines!M741,SalesLines!M742)</x:f>
        <x:v>1668</x:v>
      </x:c>
      <x:c r="I310" s="9" t="n">
        <x:f>SUM(SalesLines!N741,SalesLines!N742)</x:f>
        <x:v>98.4</x:v>
      </x:c>
      <x:c r="J310" s="9" t="n">
        <x:f>SUM(SalesLines!P741,SalesLines!P742)</x:f>
        <x:v>0</x:v>
      </x:c>
      <x:c r="K310" s="11" t="n">
        <x:f>SUM(SalesLines!R741,SalesLines!R742)</x:f>
        <x:v>8</x:v>
      </x:c>
      <x:c r="L310" s="11" t="n">
        <x:f>SUM(SalesLines!S741,SalesLines!S742)</x:f>
        <x:v>0</x:v>
      </x:c>
      <x:c r="M310" s="8" t="n">
        <x:f>DATE(YEAR(C310),MONTH(C310),1)</x:f>
        <x:v>45839</x:v>
      </x:c>
    </x:row>
    <x:row r="311" ht="22" customHeight="1">
      <x:c r="A311" s="2" t="str">
        <x:v>O00307</x:v>
      </x:c>
      <x:c r="B311" s="2" t="str">
        <x:v>C0236</x:v>
      </x:c>
      <x:c r="C311" s="7" t="n">
        <x:v>45897</x:v>
      </x:c>
      <x:c r="D311" s="2" t="str">
        <x:v>Cancelled</x:v>
      </x:c>
      <x:c r="E311" s="2" t="str">
        <x:v>West</x:v>
      </x:c>
      <x:c r="F311" s="2" t="str">
        <x:v>Store</x:v>
      </x:c>
      <x:c r="G311" s="9" t="n">
        <x:f>SUM(SalesLines!Q743,SalesLines!Q744,SalesLines!Q745)</x:f>
        <x:v>0</x:v>
      </x:c>
      <x:c r="H311" s="9" t="n">
        <x:f>SUM(SalesLines!M743,SalesLines!M744,SalesLines!M745)</x:f>
        <x:v>0</x:v>
      </x:c>
      <x:c r="I311" s="9" t="n">
        <x:f>SUM(SalesLines!N743,SalesLines!N744,SalesLines!N745)</x:f>
        <x:v>0</x:v>
      </x:c>
      <x:c r="J311" s="9" t="n">
        <x:f>SUM(SalesLines!P743,SalesLines!P744,SalesLines!P745)</x:f>
        <x:v>0</x:v>
      </x:c>
      <x:c r="K311" s="11" t="n">
        <x:f>SUM(SalesLines!R743,SalesLines!R744,SalesLines!R745)</x:f>
        <x:v>0</x:v>
      </x:c>
      <x:c r="L311" s="11" t="n">
        <x:f>SUM(SalesLines!S743,SalesLines!S744,SalesLines!S745)</x:f>
        <x:v>0</x:v>
      </x:c>
      <x:c r="M311" s="8" t="n">
        <x:f>DATE(YEAR(C311),MONTH(C311),1)</x:f>
        <x:v>45870</x:v>
      </x:c>
    </x:row>
    <x:row r="312" ht="22" customHeight="1">
      <x:c r="A312" s="2" t="str">
        <x:v>O00308</x:v>
      </x:c>
      <x:c r="B312" s="2" t="str">
        <x:v>C0259</x:v>
      </x:c>
      <x:c r="C312" s="7" t="n">
        <x:v>45768</x:v>
      </x:c>
      <x:c r="D312" s="2" t="str">
        <x:v>Completed</x:v>
      </x:c>
      <x:c r="E312" s="2" t="str">
        <x:v>North</x:v>
      </x:c>
      <x:c r="F312" s="2" t="str">
        <x:v>Online</x:v>
      </x:c>
      <x:c r="G312" s="9" t="n">
        <x:f>SUM(SalesLines!Q746,SalesLines!Q747,SalesLines!Q748,SalesLines!Q749)</x:f>
        <x:v>991.4</x:v>
      </x:c>
      <x:c r="H312" s="9" t="n">
        <x:f>SUM(SalesLines!M746,SalesLines!M747,SalesLines!M748,SalesLines!M749)</x:f>
        <x:v>1158</x:v>
      </x:c>
      <x:c r="I312" s="9" t="n">
        <x:f>SUM(SalesLines!N746,SalesLines!N747,SalesLines!N748,SalesLines!N749)</x:f>
        <x:v>166.60000000000002</x:v>
      </x:c>
      <x:c r="J312" s="9" t="n">
        <x:f>SUM(SalesLines!P746,SalesLines!P747,SalesLines!P748,SalesLines!P749)</x:f>
        <x:v>0</x:v>
      </x:c>
      <x:c r="K312" s="11" t="n">
        <x:f>SUM(SalesLines!R746,SalesLines!R747,SalesLines!R748,SalesLines!R749)</x:f>
        <x:v>7</x:v>
      </x:c>
      <x:c r="L312" s="11" t="n">
        <x:f>SUM(SalesLines!S746,SalesLines!S747,SalesLines!S748,SalesLines!S749)</x:f>
        <x:v>0</x:v>
      </x:c>
      <x:c r="M312" s="8" t="n">
        <x:f>DATE(YEAR(C312),MONTH(C312),1)</x:f>
        <x:v>45748</x:v>
      </x:c>
    </x:row>
    <x:row r="313" ht="22" customHeight="1">
      <x:c r="A313" s="2" t="str">
        <x:v>O00309</x:v>
      </x:c>
      <x:c r="B313" s="2" t="str">
        <x:v>C0084</x:v>
      </x:c>
      <x:c r="C313" s="7" t="n">
        <x:v>45963</x:v>
      </x:c>
      <x:c r="D313" s="2" t="str">
        <x:v>Completed</x:v>
      </x:c>
      <x:c r="E313" s="2" t="str">
        <x:v>West</x:v>
      </x:c>
      <x:c r="F313" s="2" t="str">
        <x:v>Online</x:v>
      </x:c>
      <x:c r="G313" s="9" t="n">
        <x:f>SUM(SalesLines!Q750,SalesLines!Q751,SalesLines!Q752,SalesLines!Q753)</x:f>
        <x:v>1223.35</x:v>
      </x:c>
      <x:c r="H313" s="9" t="n">
        <x:f>SUM(SalesLines!M750,SalesLines!M751,SalesLines!M752,SalesLines!M753)</x:f>
        <x:v>1255</x:v>
      </x:c>
      <x:c r="I313" s="9" t="n">
        <x:f>SUM(SalesLines!N750,SalesLines!N751,SalesLines!N752,SalesLines!N753)</x:f>
        <x:v>31.650000000000002</x:v>
      </x:c>
      <x:c r="J313" s="9" t="n">
        <x:f>SUM(SalesLines!P750,SalesLines!P751,SalesLines!P752,SalesLines!P753)</x:f>
        <x:v>0</x:v>
      </x:c>
      <x:c r="K313" s="11" t="n">
        <x:f>SUM(SalesLines!R750,SalesLines!R751,SalesLines!R752,SalesLines!R753)</x:f>
        <x:v>7</x:v>
      </x:c>
      <x:c r="L313" s="11" t="n">
        <x:f>SUM(SalesLines!S750,SalesLines!S751,SalesLines!S752,SalesLines!S753)</x:f>
        <x:v>0</x:v>
      </x:c>
      <x:c r="M313" s="8" t="n">
        <x:f>DATE(YEAR(C313),MONTH(C313),1)</x:f>
        <x:v>45962</x:v>
      </x:c>
    </x:row>
    <x:row r="314" ht="22" customHeight="1">
      <x:c r="A314" s="2" t="str">
        <x:v>O00310</x:v>
      </x:c>
      <x:c r="B314" s="2" t="str">
        <x:v>C0285</x:v>
      </x:c>
      <x:c r="C314" s="7" t="n">
        <x:v>45961</x:v>
      </x:c>
      <x:c r="D314" s="2" t="str">
        <x:v>Completed</x:v>
      </x:c>
      <x:c r="E314" s="2" t="str">
        <x:v>East</x:v>
      </x:c>
      <x:c r="F314" s="2" t="str">
        <x:v>Online</x:v>
      </x:c>
      <x:c r="G314" s="9" t="n">
        <x:f>SUM(SalesLines!Q754)</x:f>
        <x:v>0</x:v>
      </x:c>
      <x:c r="H314" s="9" t="n">
        <x:f>SUM(SalesLines!M754)</x:f>
        <x:v>240</x:v>
      </x:c>
      <x:c r="I314" s="9" t="n">
        <x:f>SUM(SalesLines!N754)</x:f>
        <x:v>48</x:v>
      </x:c>
      <x:c r="J314" s="9" t="n">
        <x:f>SUM(SalesLines!P754)</x:f>
        <x:v>192</x:v>
      </x:c>
      <x:c r="K314" s="11" t="n">
        <x:f>SUM(SalesLines!R754)</x:f>
        <x:v>3</x:v>
      </x:c>
      <x:c r="L314" s="11" t="n">
        <x:f>SUM(SalesLines!S754)</x:f>
        <x:v>3</x:v>
      </x:c>
      <x:c r="M314" s="8" t="n">
        <x:f>DATE(YEAR(C314),MONTH(C314),1)</x:f>
        <x:v>45931</x:v>
      </x:c>
    </x:row>
    <x:row r="315" ht="22" customHeight="1">
      <x:c r="A315" s="2" t="str">
        <x:v>O00311</x:v>
      </x:c>
      <x:c r="B315" s="2" t="str">
        <x:v>C0156</x:v>
      </x:c>
      <x:c r="C315" s="7" t="n">
        <x:v>45796</x:v>
      </x:c>
      <x:c r="D315" s="2" t="str">
        <x:v>Completed</x:v>
      </x:c>
      <x:c r="E315" s="2" t="str">
        <x:v>South</x:v>
      </x:c>
      <x:c r="F315" s="2" t="str">
        <x:v>Online</x:v>
      </x:c>
      <x:c r="G315" s="9" t="n">
        <x:f>SUM(SalesLines!Q755,SalesLines!Q756,SalesLines!Q757,SalesLines!Q758)</x:f>
        <x:v>1477.7</x:v>
      </x:c>
      <x:c r="H315" s="9" t="n">
        <x:f>SUM(SalesLines!M755,SalesLines!M756,SalesLines!M757,SalesLines!M758)</x:f>
        <x:v>1561</x:v>
      </x:c>
      <x:c r="I315" s="9" t="n">
        <x:f>SUM(SalesLines!N755,SalesLines!N756,SalesLines!N757,SalesLines!N758)</x:f>
        <x:v>83.3</x:v>
      </x:c>
      <x:c r="J315" s="9" t="n">
        <x:f>SUM(SalesLines!P755,SalesLines!P756,SalesLines!P757,SalesLines!P758)</x:f>
        <x:v>0</x:v>
      </x:c>
      <x:c r="K315" s="11" t="n">
        <x:f>SUM(SalesLines!R755,SalesLines!R756,SalesLines!R757,SalesLines!R758)</x:f>
        <x:v>11</x:v>
      </x:c>
      <x:c r="L315" s="11" t="n">
        <x:f>SUM(SalesLines!S755,SalesLines!S756,SalesLines!S757,SalesLines!S758)</x:f>
        <x:v>0</x:v>
      </x:c>
      <x:c r="M315" s="8" t="n">
        <x:f>DATE(YEAR(C315),MONTH(C315),1)</x:f>
        <x:v>45778</x:v>
      </x:c>
    </x:row>
    <x:row r="316" ht="22" customHeight="1">
      <x:c r="A316" s="2" t="str">
        <x:v>O00312</x:v>
      </x:c>
      <x:c r="B316" s="2" t="str">
        <x:v>C0085</x:v>
      </x:c>
      <x:c r="C316" s="7" t="n">
        <x:v>45928</x:v>
      </x:c>
      <x:c r="D316" s="2" t="str">
        <x:v>Completed</x:v>
      </x:c>
      <x:c r="E316" s="2" t="str">
        <x:v>South</x:v>
      </x:c>
      <x:c r="F316" s="2" t="str">
        <x:v>Store</x:v>
      </x:c>
      <x:c r="G316" s="9" t="n">
        <x:f>SUM(SalesLines!Q759,SalesLines!Q760,SalesLines!Q761)</x:f>
        <x:v>783.3</x:v>
      </x:c>
      <x:c r="H316" s="9" t="n">
        <x:f>SUM(SalesLines!M759,SalesLines!M760,SalesLines!M761)</x:f>
        <x:v>848</x:v>
      </x:c>
      <x:c r="I316" s="9" t="n">
        <x:f>SUM(SalesLines!N759,SalesLines!N760,SalesLines!N761)</x:f>
        <x:v>64.7</x:v>
      </x:c>
      <x:c r="J316" s="9" t="n">
        <x:f>SUM(SalesLines!P759,SalesLines!P760,SalesLines!P761)</x:f>
        <x:v>0</x:v>
      </x:c>
      <x:c r="K316" s="11" t="n">
        <x:f>SUM(SalesLines!R759,SalesLines!R760,SalesLines!R761)</x:f>
        <x:v>8</x:v>
      </x:c>
      <x:c r="L316" s="11" t="n">
        <x:f>SUM(SalesLines!S759,SalesLines!S760,SalesLines!S761)</x:f>
        <x:v>0</x:v>
      </x:c>
      <x:c r="M316" s="8" t="n">
        <x:f>DATE(YEAR(C316),MONTH(C316),1)</x:f>
        <x:v>45901</x:v>
      </x:c>
    </x:row>
    <x:row r="317" ht="22" customHeight="1">
      <x:c r="A317" s="2" t="str">
        <x:v>O00313</x:v>
      </x:c>
      <x:c r="B317" s="2" t="str">
        <x:v>C0135</x:v>
      </x:c>
      <x:c r="C317" s="7" t="n">
        <x:v>45974</x:v>
      </x:c>
      <x:c r="D317" s="2" t="str">
        <x:v>Completed</x:v>
      </x:c>
      <x:c r="E317" s="2" t="str">
        <x:v>West</x:v>
      </x:c>
      <x:c r="F317" s="2" t="str">
        <x:v>Online</x:v>
      </x:c>
      <x:c r="G317" s="9" t="n">
        <x:f>SUM(SalesLines!Q762)</x:f>
        <x:v>93</x:v>
      </x:c>
      <x:c r="H317" s="9" t="n">
        <x:f>SUM(SalesLines!M762)</x:f>
        <x:v>93</x:v>
      </x:c>
      <x:c r="I317" s="9" t="n">
        <x:f>SUM(SalesLines!N762)</x:f>
        <x:v>0</x:v>
      </x:c>
      <x:c r="J317" s="9" t="n">
        <x:f>SUM(SalesLines!P762)</x:f>
        <x:v>0</x:v>
      </x:c>
      <x:c r="K317" s="11" t="n">
        <x:f>SUM(SalesLines!R762)</x:f>
        <x:v>1</x:v>
      </x:c>
      <x:c r="L317" s="11" t="n">
        <x:f>SUM(SalesLines!S762)</x:f>
        <x:v>0</x:v>
      </x:c>
      <x:c r="M317" s="8" t="n">
        <x:f>DATE(YEAR(C317),MONTH(C317),1)</x:f>
        <x:v>45962</x:v>
      </x:c>
    </x:row>
    <x:row r="318" ht="22" customHeight="1">
      <x:c r="A318" s="2" t="str">
        <x:v>O00314</x:v>
      </x:c>
      <x:c r="B318" s="2" t="str">
        <x:v>C0107</x:v>
      </x:c>
      <x:c r="C318" s="7" t="n">
        <x:v>45975</x:v>
      </x:c>
      <x:c r="D318" s="2" t="str">
        <x:v>Completed</x:v>
      </x:c>
      <x:c r="E318" s="2" t="str">
        <x:v>South</x:v>
      </x:c>
      <x:c r="F318" s="2" t="str">
        <x:v>Online</x:v>
      </x:c>
      <x:c r="G318" s="9" t="n">
        <x:f>SUM(SalesLines!Q763,SalesLines!Q764,SalesLines!Q765,SalesLines!Q766)</x:f>
        <x:v>1836.1</x:v>
      </x:c>
      <x:c r="H318" s="9" t="n">
        <x:f>SUM(SalesLines!M763,SalesLines!M764,SalesLines!M765,SalesLines!M766)</x:f>
        <x:v>2033</x:v>
      </x:c>
      <x:c r="I318" s="9" t="n">
        <x:f>SUM(SalesLines!N763,SalesLines!N764,SalesLines!N765,SalesLines!N766)</x:f>
        <x:v>132.9</x:v>
      </x:c>
      <x:c r="J318" s="9" t="n">
        <x:f>SUM(SalesLines!P763,SalesLines!P764,SalesLines!P765,SalesLines!P766)</x:f>
        <x:v>64</x:v>
      </x:c>
      <x:c r="K318" s="11" t="n">
        <x:f>SUM(SalesLines!R763,SalesLines!R764,SalesLines!R765,SalesLines!R766)</x:f>
        <x:v>14</x:v>
      </x:c>
      <x:c r="L318" s="11" t="n">
        <x:f>SUM(SalesLines!S763,SalesLines!S764,SalesLines!S765,SalesLines!S766)</x:f>
        <x:v>1</x:v>
      </x:c>
      <x:c r="M318" s="8" t="n">
        <x:f>DATE(YEAR(C318),MONTH(C318),1)</x:f>
        <x:v>45962</x:v>
      </x:c>
    </x:row>
    <x:row r="319" ht="22" customHeight="1">
      <x:c r="A319" s="2" t="str">
        <x:v>O00315</x:v>
      </x:c>
      <x:c r="B319" s="2" t="str">
        <x:v>C0085</x:v>
      </x:c>
      <x:c r="C319" s="7" t="n">
        <x:v>45878</x:v>
      </x:c>
      <x:c r="D319" s="2" t="str">
        <x:v>Completed</x:v>
      </x:c>
      <x:c r="E319" s="2" t="str">
        <x:v>South</x:v>
      </x:c>
      <x:c r="F319" s="2" t="str">
        <x:v>Store</x:v>
      </x:c>
      <x:c r="G319" s="9" t="n">
        <x:f>SUM(SalesLines!Q767)</x:f>
        <x:v>441.75</x:v>
      </x:c>
      <x:c r="H319" s="9" t="n">
        <x:f>SUM(SalesLines!M767)</x:f>
        <x:v>465</x:v>
      </x:c>
      <x:c r="I319" s="9" t="n">
        <x:f>SUM(SalesLines!N767)</x:f>
        <x:v>23.25</x:v>
      </x:c>
      <x:c r="J319" s="9" t="n">
        <x:f>SUM(SalesLines!P767)</x:f>
        <x:v>0</x:v>
      </x:c>
      <x:c r="K319" s="11" t="n">
        <x:f>SUM(SalesLines!R767)</x:f>
        <x:v>5</x:v>
      </x:c>
      <x:c r="L319" s="11" t="n">
        <x:f>SUM(SalesLines!S767)</x:f>
        <x:v>0</x:v>
      </x:c>
      <x:c r="M319" s="8" t="n">
        <x:f>DATE(YEAR(C319),MONTH(C319),1)</x:f>
        <x:v>45870</x:v>
      </x:c>
    </x:row>
    <x:row r="320" ht="22" customHeight="1">
      <x:c r="A320" s="2" t="str">
        <x:v>O00316</x:v>
      </x:c>
      <x:c r="B320" s="2" t="str">
        <x:v>C0215</x:v>
      </x:c>
      <x:c r="C320" s="7" t="n">
        <x:v>45896</x:v>
      </x:c>
      <x:c r="D320" s="2" t="str">
        <x:v>Completed</x:v>
      </x:c>
      <x:c r="E320" s="2" t="str">
        <x:v>North</x:v>
      </x:c>
      <x:c r="F320" s="2" t="str">
        <x:v>Online</x:v>
      </x:c>
      <x:c r="G320" s="9" t="n">
        <x:f>SUM(SalesLines!Q768,SalesLines!Q769,SalesLines!Q770,SalesLines!Q771)</x:f>
        <x:v>1017.4</x:v>
      </x:c>
      <x:c r="H320" s="9" t="n">
        <x:f>SUM(SalesLines!M768,SalesLines!M769,SalesLines!M770,SalesLines!M771)</x:f>
        <x:v>1116</x:v>
      </x:c>
      <x:c r="I320" s="9" t="n">
        <x:f>SUM(SalesLines!N768,SalesLines!N769,SalesLines!N770,SalesLines!N771)</x:f>
        <x:v>98.6</x:v>
      </x:c>
      <x:c r="J320" s="9" t="n">
        <x:f>SUM(SalesLines!P768,SalesLines!P769,SalesLines!P770,SalesLines!P771)</x:f>
        <x:v>0</x:v>
      </x:c>
      <x:c r="K320" s="11" t="n">
        <x:f>SUM(SalesLines!R768,SalesLines!R769,SalesLines!R770,SalesLines!R771)</x:f>
        <x:v>8</x:v>
      </x:c>
      <x:c r="L320" s="11" t="n">
        <x:f>SUM(SalesLines!S768,SalesLines!S769,SalesLines!S770,SalesLines!S771)</x:f>
        <x:v>0</x:v>
      </x:c>
      <x:c r="M320" s="8" t="n">
        <x:f>DATE(YEAR(C320),MONTH(C320),1)</x:f>
        <x:v>45870</x:v>
      </x:c>
    </x:row>
    <x:row r="321" ht="22" customHeight="1">
      <x:c r="A321" s="2" t="str">
        <x:v>O00317</x:v>
      </x:c>
      <x:c r="B321" s="2" t="str">
        <x:v>C0244</x:v>
      </x:c>
      <x:c r="C321" s="7" t="n">
        <x:v>45875</x:v>
      </x:c>
      <x:c r="D321" s="2" t="str">
        <x:v>Completed</x:v>
      </x:c>
      <x:c r="E321" s="2" t="str">
        <x:v>South</x:v>
      </x:c>
      <x:c r="F321" s="2" t="str">
        <x:v>Online</x:v>
      </x:c>
      <x:c r="G321" s="9" t="n">
        <x:f>SUM(SalesLines!Q772,SalesLines!Q773,SalesLines!Q774)</x:f>
        <x:v>688.8</x:v>
      </x:c>
      <x:c r="H321" s="9" t="n">
        <x:f>SUM(SalesLines!M772,SalesLines!M773,SalesLines!M774)</x:f>
        <x:v>861</x:v>
      </x:c>
      <x:c r="I321" s="9" t="n">
        <x:f>SUM(SalesLines!N772,SalesLines!N773,SalesLines!N774)</x:f>
        <x:v>172.20000000000002</x:v>
      </x:c>
      <x:c r="J321" s="9" t="n">
        <x:f>SUM(SalesLines!P772,SalesLines!P773,SalesLines!P774)</x:f>
        <x:v>0</x:v>
      </x:c>
      <x:c r="K321" s="11" t="n">
        <x:f>SUM(SalesLines!R772,SalesLines!R773,SalesLines!R774)</x:f>
        <x:v>7</x:v>
      </x:c>
      <x:c r="L321" s="11" t="n">
        <x:f>SUM(SalesLines!S772,SalesLines!S773,SalesLines!S774)</x:f>
        <x:v>0</x:v>
      </x:c>
      <x:c r="M321" s="8" t="n">
        <x:f>DATE(YEAR(C321),MONTH(C321),1)</x:f>
        <x:v>45870</x:v>
      </x:c>
    </x:row>
    <x:row r="322" ht="22" customHeight="1">
      <x:c r="A322" s="2" t="str">
        <x:v>O00318</x:v>
      </x:c>
      <x:c r="B322" s="2" t="str">
        <x:v>C0299</x:v>
      </x:c>
      <x:c r="C322" s="7" t="n">
        <x:v>45818</x:v>
      </x:c>
      <x:c r="D322" s="2" t="str">
        <x:v>Completed</x:v>
      </x:c>
      <x:c r="E322" s="2" t="str">
        <x:v>North</x:v>
      </x:c>
      <x:c r="F322" s="2" t="str">
        <x:v>Online</x:v>
      </x:c>
      <x:c r="G322" s="9" t="n">
        <x:f>SUM(SalesLines!Q775,SalesLines!Q776,SalesLines!Q777,SalesLines!Q778)</x:f>
        <x:v>836.6</x:v>
      </x:c>
      <x:c r="H322" s="9" t="n">
        <x:f>SUM(SalesLines!M775,SalesLines!M776,SalesLines!M777,SalesLines!M778)</x:f>
        <x:v>1015</x:v>
      </x:c>
      <x:c r="I322" s="9" t="n">
        <x:f>SUM(SalesLines!N775,SalesLines!N776,SalesLines!N777,SalesLines!N778)</x:f>
        <x:v>178.4</x:v>
      </x:c>
      <x:c r="J322" s="9" t="n">
        <x:f>SUM(SalesLines!P775,SalesLines!P776,SalesLines!P777,SalesLines!P778)</x:f>
        <x:v>0</x:v>
      </x:c>
      <x:c r="K322" s="11" t="n">
        <x:f>SUM(SalesLines!R775,SalesLines!R776,SalesLines!R777,SalesLines!R778)</x:f>
        <x:v>10</x:v>
      </x:c>
      <x:c r="L322" s="11" t="n">
        <x:f>SUM(SalesLines!S775,SalesLines!S776,SalesLines!S777,SalesLines!S778)</x:f>
        <x:v>0</x:v>
      </x:c>
      <x:c r="M322" s="8" t="n">
        <x:f>DATE(YEAR(C322),MONTH(C322),1)</x:f>
        <x:v>45809</x:v>
      </x:c>
    </x:row>
    <x:row r="323" ht="22" customHeight="1">
      <x:c r="A323" s="2" t="str">
        <x:v>O00319</x:v>
      </x:c>
      <x:c r="B323" s="2" t="str">
        <x:v>C0068</x:v>
      </x:c>
      <x:c r="C323" s="7" t="n">
        <x:v>45859</x:v>
      </x:c>
      <x:c r="D323" s="2" t="str">
        <x:v>Completed</x:v>
      </x:c>
      <x:c r="E323" s="2" t="str">
        <x:v>West</x:v>
      </x:c>
      <x:c r="F323" s="2" t="str">
        <x:v>Store</x:v>
      </x:c>
      <x:c r="G323" s="9" t="n">
        <x:f>SUM(SalesLines!Q779)</x:f>
        <x:v>366</x:v>
      </x:c>
      <x:c r="H323" s="9" t="n">
        <x:f>SUM(SalesLines!M779)</x:f>
        <x:v>366</x:v>
      </x:c>
      <x:c r="I323" s="9" t="n">
        <x:f>SUM(SalesLines!N779)</x:f>
        <x:v>0</x:v>
      </x:c>
      <x:c r="J323" s="9" t="n">
        <x:f>SUM(SalesLines!P779)</x:f>
        <x:v>0</x:v>
      </x:c>
      <x:c r="K323" s="11" t="n">
        <x:f>SUM(SalesLines!R779)</x:f>
        <x:v>3</x:v>
      </x:c>
      <x:c r="L323" s="11" t="n">
        <x:f>SUM(SalesLines!S779)</x:f>
        <x:v>0</x:v>
      </x:c>
      <x:c r="M323" s="8" t="n">
        <x:f>DATE(YEAR(C323),MONTH(C323),1)</x:f>
        <x:v>45839</x:v>
      </x:c>
    </x:row>
    <x:row r="324" ht="22" customHeight="1">
      <x:c r="A324" s="2" t="str">
        <x:v>O00320</x:v>
      </x:c>
      <x:c r="B324" s="2" t="str">
        <x:v>C0245</x:v>
      </x:c>
      <x:c r="C324" s="7" t="n">
        <x:v>45772</x:v>
      </x:c>
      <x:c r="D324" s="2" t="str">
        <x:v>Completed</x:v>
      </x:c>
      <x:c r="E324" s="2" t="str">
        <x:v>North</x:v>
      </x:c>
      <x:c r="F324" s="2" t="str">
        <x:v>Online</x:v>
      </x:c>
      <x:c r="G324" s="9" t="n">
        <x:f>SUM(SalesLines!Q780,SalesLines!Q781,SalesLines!Q782)</x:f>
        <x:v>1347.4</x:v>
      </x:c>
      <x:c r="H324" s="9" t="n">
        <x:f>SUM(SalesLines!M780,SalesLines!M781,SalesLines!M782)</x:f>
        <x:v>1379</x:v>
      </x:c>
      <x:c r="I324" s="9" t="n">
        <x:f>SUM(SalesLines!N780,SalesLines!N781,SalesLines!N782)</x:f>
        <x:v>31.6</x:v>
      </x:c>
      <x:c r="J324" s="9" t="n">
        <x:f>SUM(SalesLines!P780,SalesLines!P781,SalesLines!P782)</x:f>
        <x:v>0</x:v>
      </x:c>
      <x:c r="K324" s="11" t="n">
        <x:f>SUM(SalesLines!R780,SalesLines!R781,SalesLines!R782)</x:f>
        <x:v>11</x:v>
      </x:c>
      <x:c r="L324" s="11" t="n">
        <x:f>SUM(SalesLines!S780,SalesLines!S781,SalesLines!S782)</x:f>
        <x:v>0</x:v>
      </x:c>
      <x:c r="M324" s="8" t="n">
        <x:f>DATE(YEAR(C324),MONTH(C324),1)</x:f>
        <x:v>45748</x:v>
      </x:c>
    </x:row>
    <x:row r="325" ht="22" customHeight="1">
      <x:c r="A325" s="2" t="str">
        <x:v>O00321</x:v>
      </x:c>
      <x:c r="B325" s="2" t="str">
        <x:v>C0182</x:v>
      </x:c>
      <x:c r="C325" s="7" t="n">
        <x:v>46008</x:v>
      </x:c>
      <x:c r="D325" s="2" t="str">
        <x:v>Completed</x:v>
      </x:c>
      <x:c r="E325" s="2" t="str">
        <x:v>West</x:v>
      </x:c>
      <x:c r="F325" s="2" t="str">
        <x:v>Store</x:v>
      </x:c>
      <x:c r="G325" s="9" t="n">
        <x:f>SUM(SalesLines!Q783,SalesLines!Q784,SalesLines!Q785,SalesLines!Q786)</x:f>
        <x:v>792.5</x:v>
      </x:c>
      <x:c r="H325" s="9" t="n">
        <x:f>SUM(SalesLines!M783,SalesLines!M784,SalesLines!M785,SalesLines!M786)</x:f>
        <x:v>1822</x:v>
      </x:c>
      <x:c r="I325" s="9" t="n">
        <x:f>SUM(SalesLines!N783,SalesLines!N784,SalesLines!N785,SalesLines!N786)</x:f>
        <x:v>214.7</x:v>
      </x:c>
      <x:c r="J325" s="9" t="n">
        <x:f>SUM(SalesLines!P783,SalesLines!P784,SalesLines!P785,SalesLines!P786)</x:f>
        <x:v>814.8</x:v>
      </x:c>
      <x:c r="K325" s="11" t="n">
        <x:f>SUM(SalesLines!R783,SalesLines!R784,SalesLines!R785,SalesLines!R786)</x:f>
        <x:v>17</x:v>
      </x:c>
      <x:c r="L325" s="11" t="n">
        <x:f>SUM(SalesLines!S783,SalesLines!S784,SalesLines!S785,SalesLines!S786)</x:f>
        <x:v>9</x:v>
      </x:c>
      <x:c r="M325" s="8" t="n">
        <x:f>DATE(YEAR(C325),MONTH(C325),1)</x:f>
        <x:v>45992</x:v>
      </x:c>
    </x:row>
    <x:row r="326" ht="22" customHeight="1">
      <x:c r="A326" s="2" t="str">
        <x:v>O00322</x:v>
      </x:c>
      <x:c r="B326" s="2" t="str">
        <x:v>C0146</x:v>
      </x:c>
      <x:c r="C326" s="7" t="n">
        <x:v>45834</x:v>
      </x:c>
      <x:c r="D326" s="2" t="str">
        <x:v>Completed</x:v>
      </x:c>
      <x:c r="E326" s="2" t="str">
        <x:v>South</x:v>
      </x:c>
      <x:c r="F326" s="2" t="str">
        <x:v>Online</x:v>
      </x:c>
      <x:c r="G326" s="9" t="n">
        <x:f>SUM(SalesLines!Q787)</x:f>
        <x:v>241.2</x:v>
      </x:c>
      <x:c r="H326" s="9" t="n">
        <x:f>SUM(SalesLines!M787)</x:f>
        <x:v>268</x:v>
      </x:c>
      <x:c r="I326" s="9" t="n">
        <x:f>SUM(SalesLines!N787)</x:f>
        <x:v>26.8</x:v>
      </x:c>
      <x:c r="J326" s="9" t="n">
        <x:f>SUM(SalesLines!P787)</x:f>
        <x:v>0</x:v>
      </x:c>
      <x:c r="K326" s="11" t="n">
        <x:f>SUM(SalesLines!R787)</x:f>
        <x:v>2</x:v>
      </x:c>
      <x:c r="L326" s="11" t="n">
        <x:f>SUM(SalesLines!S787)</x:f>
        <x:v>0</x:v>
      </x:c>
      <x:c r="M326" s="8" t="n">
        <x:f>DATE(YEAR(C326),MONTH(C326),1)</x:f>
        <x:v>45809</x:v>
      </x:c>
    </x:row>
    <x:row r="327" ht="22" customHeight="1">
      <x:c r="A327" s="2" t="str">
        <x:v>O00323</x:v>
      </x:c>
      <x:c r="B327" s="2" t="str">
        <x:v>C0137</x:v>
      </x:c>
      <x:c r="C327" s="7" t="n">
        <x:v>45669</x:v>
      </x:c>
      <x:c r="D327" s="2" t="str">
        <x:v>Completed</x:v>
      </x:c>
      <x:c r="E327" s="2" t="str">
        <x:v>South</x:v>
      </x:c>
      <x:c r="F327" s="2" t="str">
        <x:v>Store</x:v>
      </x:c>
      <x:c r="G327" s="9" t="n">
        <x:f>SUM(SalesLines!Q788)</x:f>
        <x:v>752</x:v>
      </x:c>
      <x:c r="H327" s="9" t="n">
        <x:f>SUM(SalesLines!M788)</x:f>
        <x:v>940</x:v>
      </x:c>
      <x:c r="I327" s="9" t="n">
        <x:f>SUM(SalesLines!N788)</x:f>
        <x:v>188</x:v>
      </x:c>
      <x:c r="J327" s="9" t="n">
        <x:f>SUM(SalesLines!P788)</x:f>
        <x:v>0</x:v>
      </x:c>
      <x:c r="K327" s="11" t="n">
        <x:f>SUM(SalesLines!R788)</x:f>
        <x:v>5</x:v>
      </x:c>
      <x:c r="L327" s="11" t="n">
        <x:f>SUM(SalesLines!S788)</x:f>
        <x:v>0</x:v>
      </x:c>
      <x:c r="M327" s="8" t="n">
        <x:f>DATE(YEAR(C327),MONTH(C327),1)</x:f>
        <x:v>45658</x:v>
      </x:c>
    </x:row>
    <x:row r="328" ht="22" customHeight="1">
      <x:c r="A328" s="2" t="str">
        <x:v>O00324</x:v>
      </x:c>
      <x:c r="B328" s="2" t="str">
        <x:v>C0271</x:v>
      </x:c>
      <x:c r="C328" s="7" t="n">
        <x:v>45811</x:v>
      </x:c>
      <x:c r="D328" s="2" t="str">
        <x:v>Completed</x:v>
      </x:c>
      <x:c r="E328" s="2" t="str">
        <x:v>West</x:v>
      </x:c>
      <x:c r="F328" s="2" t="str">
        <x:v>Store</x:v>
      </x:c>
      <x:c r="G328" s="9" t="n">
        <x:f>SUM(SalesLines!Q789,SalesLines!Q790,SalesLines!Q791,SalesLines!Q792)</x:f>
        <x:v>1810.3000000000002</x:v>
      </x:c>
      <x:c r="H328" s="9" t="n">
        <x:f>SUM(SalesLines!M789,SalesLines!M790,SalesLines!M791,SalesLines!M792)</x:f>
        <x:v>2329</x:v>
      </x:c>
      <x:c r="I328" s="9" t="n">
        <x:f>SUM(SalesLines!N789,SalesLines!N790,SalesLines!N791,SalesLines!N792)</x:f>
        <x:v>146.3</x:v>
      </x:c>
      <x:c r="J328" s="9" t="n">
        <x:f>SUM(SalesLines!P789,SalesLines!P790,SalesLines!P791,SalesLines!P792)</x:f>
        <x:v>372.4</x:v>
      </x:c>
      <x:c r="K328" s="11" t="n">
        <x:f>SUM(SalesLines!R789,SalesLines!R790,SalesLines!R791,SalesLines!R792)</x:f>
        <x:v>12</x:v>
      </x:c>
      <x:c r="L328" s="11" t="n">
        <x:f>SUM(SalesLines!S789,SalesLines!S790,SalesLines!S791,SalesLines!S792)</x:f>
        <x:v>2</x:v>
      </x:c>
      <x:c r="M328" s="8" t="n">
        <x:f>DATE(YEAR(C328),MONTH(C328),1)</x:f>
        <x:v>45809</x:v>
      </x:c>
    </x:row>
    <x:row r="329" ht="22" customHeight="1">
      <x:c r="A329" s="2" t="str">
        <x:v>O00325</x:v>
      </x:c>
      <x:c r="B329" s="2" t="str">
        <x:v>C0175</x:v>
      </x:c>
      <x:c r="C329" s="7" t="n">
        <x:v>45911</x:v>
      </x:c>
      <x:c r="D329" s="2" t="str">
        <x:v>Completed</x:v>
      </x:c>
      <x:c r="E329" s="2" t="str">
        <x:v>North</x:v>
      </x:c>
      <x:c r="F329" s="2" t="str">
        <x:v>Online</x:v>
      </x:c>
      <x:c r="G329" s="9" t="n">
        <x:f>SUM(SalesLines!Q793,SalesLines!Q794,SalesLines!Q795)</x:f>
        <x:v>2040</x:v>
      </x:c>
      <x:c r="H329" s="9" t="n">
        <x:f>SUM(SalesLines!M793,SalesLines!M794,SalesLines!M795)</x:f>
        <x:v>2256</x:v>
      </x:c>
      <x:c r="I329" s="9" t="n">
        <x:f>SUM(SalesLines!N793,SalesLines!N794,SalesLines!N795)</x:f>
        <x:v>216</x:v>
      </x:c>
      <x:c r="J329" s="9" t="n">
        <x:f>SUM(SalesLines!P793,SalesLines!P794,SalesLines!P795)</x:f>
        <x:v>0</x:v>
      </x:c>
      <x:c r="K329" s="11" t="n">
        <x:f>SUM(SalesLines!R793,SalesLines!R794,SalesLines!R795)</x:f>
        <x:v>8</x:v>
      </x:c>
      <x:c r="L329" s="11" t="n">
        <x:f>SUM(SalesLines!S793,SalesLines!S794,SalesLines!S795)</x:f>
        <x:v>0</x:v>
      </x:c>
      <x:c r="M329" s="8" t="n">
        <x:f>DATE(YEAR(C329),MONTH(C329),1)</x:f>
        <x:v>45901</x:v>
      </x:c>
    </x:row>
    <x:row r="330" ht="22" customHeight="1">
      <x:c r="A330" s="2" t="str">
        <x:v>O00326</x:v>
      </x:c>
      <x:c r="B330" s="2" t="str">
        <x:v>C0233</x:v>
      </x:c>
      <x:c r="C330" s="7" t="n">
        <x:v>45818</x:v>
      </x:c>
      <x:c r="D330" s="2" t="str">
        <x:v>Completed</x:v>
      </x:c>
      <x:c r="E330" s="2" t="str">
        <x:v>South</x:v>
      </x:c>
      <x:c r="F330" s="2" t="str">
        <x:v>Online</x:v>
      </x:c>
      <x:c r="G330" s="9" t="n">
        <x:f>SUM(SalesLines!Q796,SalesLines!Q797,SalesLines!Q798,SalesLines!Q799)</x:f>
        <x:v>1749.7499999999998</x:v>
      </x:c>
      <x:c r="H330" s="9" t="n">
        <x:f>SUM(SalesLines!M796,SalesLines!M797,SalesLines!M798,SalesLines!M799)</x:f>
        <x:v>1872</x:v>
      </x:c>
      <x:c r="I330" s="9" t="n">
        <x:f>SUM(SalesLines!N796,SalesLines!N797,SalesLines!N798,SalesLines!N799)</x:f>
        <x:v>122.25000000000001</x:v>
      </x:c>
      <x:c r="J330" s="9" t="n">
        <x:f>SUM(SalesLines!P796,SalesLines!P797,SalesLines!P798,SalesLines!P799)</x:f>
        <x:v>0</x:v>
      </x:c>
      <x:c r="K330" s="11" t="n">
        <x:f>SUM(SalesLines!R796,SalesLines!R797,SalesLines!R798,SalesLines!R799)</x:f>
        <x:v>10</x:v>
      </x:c>
      <x:c r="L330" s="11" t="n">
        <x:f>SUM(SalesLines!S796,SalesLines!S797,SalesLines!S798,SalesLines!S799)</x:f>
        <x:v>0</x:v>
      </x:c>
      <x:c r="M330" s="8" t="n">
        <x:f>DATE(YEAR(C330),MONTH(C330),1)</x:f>
        <x:v>45809</x:v>
      </x:c>
    </x:row>
    <x:row r="331" ht="22" customHeight="1">
      <x:c r="A331" s="2" t="str">
        <x:v>O00327</x:v>
      </x:c>
      <x:c r="B331" s="2" t="str">
        <x:v>C0091</x:v>
      </x:c>
      <x:c r="C331" s="7" t="n">
        <x:v>45864</x:v>
      </x:c>
      <x:c r="D331" s="2" t="str">
        <x:v>Completed</x:v>
      </x:c>
      <x:c r="E331" s="2" t="str">
        <x:v>North</x:v>
      </x:c>
      <x:c r="F331" s="2" t="str">
        <x:v>Online</x:v>
      </x:c>
      <x:c r="G331" s="9" t="n">
        <x:f>SUM(SalesLines!Q800)</x:f>
        <x:v>140</x:v>
      </x:c>
      <x:c r="H331" s="9" t="n">
        <x:f>SUM(SalesLines!M800)</x:f>
        <x:v>175</x:v>
      </x:c>
      <x:c r="I331" s="9" t="n">
        <x:f>SUM(SalesLines!N800)</x:f>
        <x:v>35</x:v>
      </x:c>
      <x:c r="J331" s="9" t="n">
        <x:f>SUM(SalesLines!P800)</x:f>
        <x:v>0</x:v>
      </x:c>
      <x:c r="K331" s="11" t="n">
        <x:f>SUM(SalesLines!R800)</x:f>
        <x:v>5</x:v>
      </x:c>
      <x:c r="L331" s="11" t="n">
        <x:f>SUM(SalesLines!S800)</x:f>
        <x:v>0</x:v>
      </x:c>
      <x:c r="M331" s="8" t="n">
        <x:f>DATE(YEAR(C331),MONTH(C331),1)</x:f>
        <x:v>45839</x:v>
      </x:c>
    </x:row>
    <x:row r="332" ht="22" customHeight="1">
      <x:c r="A332" s="2" t="str">
        <x:v>O00328</x:v>
      </x:c>
      <x:c r="B332" s="2" t="str">
        <x:v>C0051</x:v>
      </x:c>
      <x:c r="C332" s="7" t="n">
        <x:v>45711</x:v>
      </x:c>
      <x:c r="D332" s="2" t="str">
        <x:v>Completed</x:v>
      </x:c>
      <x:c r="E332" s="2" t="str">
        <x:v>West</x:v>
      </x:c>
      <x:c r="F332" s="2" t="str">
        <x:v>Online</x:v>
      </x:c>
      <x:c r="G332" s="9" t="n">
        <x:f>SUM(SalesLines!Q801)</x:f>
        <x:v>194.4</x:v>
      </x:c>
      <x:c r="H332" s="9" t="n">
        <x:f>SUM(SalesLines!M801)</x:f>
        <x:v>243</x:v>
      </x:c>
      <x:c r="I332" s="9" t="n">
        <x:f>SUM(SalesLines!N801)</x:f>
        <x:v>48.6</x:v>
      </x:c>
      <x:c r="J332" s="9" t="n">
        <x:f>SUM(SalesLines!P801)</x:f>
        <x:v>0</x:v>
      </x:c>
      <x:c r="K332" s="11" t="n">
        <x:f>SUM(SalesLines!R801)</x:f>
        <x:v>3</x:v>
      </x:c>
      <x:c r="L332" s="11" t="n">
        <x:f>SUM(SalesLines!S801)</x:f>
        <x:v>0</x:v>
      </x:c>
      <x:c r="M332" s="8" t="n">
        <x:f>DATE(YEAR(C332),MONTH(C332),1)</x:f>
        <x:v>45689</x:v>
      </x:c>
    </x:row>
    <x:row r="333" ht="22" customHeight="1">
      <x:c r="A333" s="2" t="str">
        <x:v>O00329</x:v>
      </x:c>
      <x:c r="B333" s="2" t="str">
        <x:v>C0059</x:v>
      </x:c>
      <x:c r="C333" s="7" t="n">
        <x:v>45946</x:v>
      </x:c>
      <x:c r="D333" s="2" t="str">
        <x:v>Completed</x:v>
      </x:c>
      <x:c r="E333" s="2" t="str">
        <x:v>South</x:v>
      </x:c>
      <x:c r="F333" s="2" t="str">
        <x:v>Store</x:v>
      </x:c>
      <x:c r="G333" s="9" t="n">
        <x:f>SUM(SalesLines!Q802,SalesLines!Q803,SalesLines!Q804)</x:f>
        <x:v>866.2</x:v>
      </x:c>
      <x:c r="H333" s="9" t="n">
        <x:f>SUM(SalesLines!M802,SalesLines!M803,SalesLines!M804)</x:f>
        <x:v>1011</x:v>
      </x:c>
      <x:c r="I333" s="9" t="n">
        <x:f>SUM(SalesLines!N802,SalesLines!N803,SalesLines!N804)</x:f>
        <x:v>50.300000000000004</x:v>
      </x:c>
      <x:c r="J333" s="9" t="n">
        <x:f>SUM(SalesLines!P802,SalesLines!P803,SalesLines!P804)</x:f>
        <x:v>94.5</x:v>
      </x:c>
      <x:c r="K333" s="11" t="n">
        <x:f>SUM(SalesLines!R802,SalesLines!R803,SalesLines!R804)</x:f>
        <x:v>7</x:v>
      </x:c>
      <x:c r="L333" s="11" t="n">
        <x:f>SUM(SalesLines!S802,SalesLines!S803,SalesLines!S804)</x:f>
        <x:v>3</x:v>
      </x:c>
      <x:c r="M333" s="8" t="n">
        <x:f>DATE(YEAR(C333),MONTH(C333),1)</x:f>
        <x:v>45931</x:v>
      </x:c>
    </x:row>
    <x:row r="334" ht="22" customHeight="1">
      <x:c r="A334" s="2" t="str">
        <x:v>O00330</x:v>
      </x:c>
      <x:c r="B334" s="2" t="str">
        <x:v>C0287</x:v>
      </x:c>
      <x:c r="C334" s="7" t="n">
        <x:v>45728</x:v>
      </x:c>
      <x:c r="D334" s="2" t="str">
        <x:v>Completed</x:v>
      </x:c>
      <x:c r="E334" s="2" t="str">
        <x:v>South</x:v>
      </x:c>
      <x:c r="F334" s="2" t="str">
        <x:v>Store</x:v>
      </x:c>
      <x:c r="G334" s="9" t="n">
        <x:f>SUM(SalesLines!Q805,SalesLines!Q806,SalesLines!Q807,SalesLines!Q808)</x:f>
        <x:v>2380.5</x:v>
      </x:c>
      <x:c r="H334" s="9" t="n">
        <x:f>SUM(SalesLines!M805,SalesLines!M806,SalesLines!M807,SalesLines!M808)</x:f>
        <x:v>3019</x:v>
      </x:c>
      <x:c r="I334" s="9" t="n">
        <x:f>SUM(SalesLines!N805,SalesLines!N806,SalesLines!N807,SalesLines!N808)</x:f>
        <x:v>165.4</x:v>
      </x:c>
      <x:c r="J334" s="9" t="n">
        <x:f>SUM(SalesLines!P805,SalesLines!P806,SalesLines!P807,SalesLines!P808)</x:f>
        <x:v>473.09999999999997</x:v>
      </x:c>
      <x:c r="K334" s="11" t="n">
        <x:f>SUM(SalesLines!R805,SalesLines!R806,SalesLines!R807,SalesLines!R808)</x:f>
        <x:v>13</x:v>
      </x:c>
      <x:c r="L334" s="11" t="n">
        <x:f>SUM(SalesLines!S805,SalesLines!S806,SalesLines!S807,SalesLines!S808)</x:f>
        <x:v>2</x:v>
      </x:c>
      <x:c r="M334" s="8" t="n">
        <x:f>DATE(YEAR(C334),MONTH(C334),1)</x:f>
        <x:v>45717</x:v>
      </x:c>
    </x:row>
    <x:row r="335" ht="22" customHeight="1">
      <x:c r="A335" s="2" t="str">
        <x:v>O00331</x:v>
      </x:c>
      <x:c r="B335" s="2" t="str">
        <x:v>C0148</x:v>
      </x:c>
      <x:c r="C335" s="7" t="n">
        <x:v>45772</x:v>
      </x:c>
      <x:c r="D335" s="2" t="str">
        <x:v>Completed</x:v>
      </x:c>
      <x:c r="E335" s="2" t="str">
        <x:v>East</x:v>
      </x:c>
      <x:c r="F335" s="2" t="str">
        <x:v>Online</x:v>
      </x:c>
      <x:c r="G335" s="9" t="n">
        <x:f>SUM(SalesLines!Q809,SalesLines!Q810)</x:f>
        <x:v>463.8</x:v>
      </x:c>
      <x:c r="H335" s="9" t="n">
        <x:f>SUM(SalesLines!M809,SalesLines!M810)</x:f>
        <x:v>531</x:v>
      </x:c>
      <x:c r="I335" s="9" t="n">
        <x:f>SUM(SalesLines!N809,SalesLines!N810)</x:f>
        <x:v>67.2</x:v>
      </x:c>
      <x:c r="J335" s="9" t="n">
        <x:f>SUM(SalesLines!P809,SalesLines!P810)</x:f>
        <x:v>0</x:v>
      </x:c>
      <x:c r="K335" s="11" t="n">
        <x:f>SUM(SalesLines!R809,SalesLines!R810)</x:f>
        <x:v>5</x:v>
      </x:c>
      <x:c r="L335" s="11" t="n">
        <x:f>SUM(SalesLines!S809,SalesLines!S810)</x:f>
        <x:v>0</x:v>
      </x:c>
      <x:c r="M335" s="8" t="n">
        <x:f>DATE(YEAR(C335),MONTH(C335),1)</x:f>
        <x:v>45748</x:v>
      </x:c>
    </x:row>
    <x:row r="336" ht="22" customHeight="1">
      <x:c r="A336" s="2" t="str">
        <x:v>O00332</x:v>
      </x:c>
      <x:c r="B336" s="2" t="str">
        <x:v>C0181</x:v>
      </x:c>
      <x:c r="C336" s="7" t="n">
        <x:v>45779</x:v>
      </x:c>
      <x:c r="D336" s="2" t="str">
        <x:v>Completed</x:v>
      </x:c>
      <x:c r="E336" s="2" t="str">
        <x:v>West</x:v>
      </x:c>
      <x:c r="F336" s="2" t="str">
        <x:v>Store</x:v>
      </x:c>
      <x:c r="G336" s="9" t="n">
        <x:f>SUM(SalesLines!Q811,SalesLines!Q812,SalesLines!Q813,SalesLines!Q814)</x:f>
        <x:v>1768.7999999999997</x:v>
      </x:c>
      <x:c r="H336" s="9" t="n">
        <x:f>SUM(SalesLines!M811,SalesLines!M812,SalesLines!M813,SalesLines!M814)</x:f>
        <x:v>2616</x:v>
      </x:c>
      <x:c r="I336" s="9" t="n">
        <x:f>SUM(SalesLines!N811,SalesLines!N812,SalesLines!N813,SalesLines!N814)</x:f>
        <x:v>448.80000000000007</x:v>
      </x:c>
      <x:c r="J336" s="9" t="n">
        <x:f>SUM(SalesLines!P811,SalesLines!P812,SalesLines!P813,SalesLines!P814)</x:f>
        <x:v>398.40000000000003</x:v>
      </x:c>
      <x:c r="K336" s="11" t="n">
        <x:f>SUM(SalesLines!R811,SalesLines!R812,SalesLines!R813,SalesLines!R814)</x:f>
        <x:v>14</x:v>
      </x:c>
      <x:c r="L336" s="11" t="n">
        <x:f>SUM(SalesLines!S811,SalesLines!S812,SalesLines!S813,SalesLines!S814)</x:f>
        <x:v>2</x:v>
      </x:c>
      <x:c r="M336" s="8" t="n">
        <x:f>DATE(YEAR(C336),MONTH(C336),1)</x:f>
        <x:v>45778</x:v>
      </x:c>
    </x:row>
    <x:row r="337" ht="22" customHeight="1">
      <x:c r="A337" s="2" t="str">
        <x:v>O00333</x:v>
      </x:c>
      <x:c r="B337" s="2" t="str">
        <x:v>C0224</x:v>
      </x:c>
      <x:c r="C337" s="7" t="n">
        <x:v>45862</x:v>
      </x:c>
      <x:c r="D337" s="2" t="str">
        <x:v>Completed</x:v>
      </x:c>
      <x:c r="E337" s="2" t="str">
        <x:v>West</x:v>
      </x:c>
      <x:c r="F337" s="2" t="str">
        <x:v>Store</x:v>
      </x:c>
      <x:c r="G337" s="9" t="n">
        <x:f>SUM(SalesLines!Q815,SalesLines!Q816)</x:f>
        <x:v>490.4</x:v>
      </x:c>
      <x:c r="H337" s="9" t="n">
        <x:f>SUM(SalesLines!M815,SalesLines!M816)</x:f>
        <x:v>613</x:v>
      </x:c>
      <x:c r="I337" s="9" t="n">
        <x:f>SUM(SalesLines!N815,SalesLines!N816)</x:f>
        <x:v>122.6</x:v>
      </x:c>
      <x:c r="J337" s="9" t="n">
        <x:f>SUM(SalesLines!P815,SalesLines!P816)</x:f>
        <x:v>0</x:v>
      </x:c>
      <x:c r="K337" s="11" t="n">
        <x:f>SUM(SalesLines!R815,SalesLines!R816)</x:f>
        <x:v>5</x:v>
      </x:c>
      <x:c r="L337" s="11" t="n">
        <x:f>SUM(SalesLines!S815,SalesLines!S816)</x:f>
        <x:v>0</x:v>
      </x:c>
      <x:c r="M337" s="8" t="n">
        <x:f>DATE(YEAR(C337),MONTH(C337),1)</x:f>
        <x:v>45839</x:v>
      </x:c>
    </x:row>
    <x:row r="338" ht="22" customHeight="1">
      <x:c r="A338" s="2" t="str">
        <x:v>O00334</x:v>
      </x:c>
      <x:c r="B338" s="2" t="str">
        <x:v>C0129</x:v>
      </x:c>
      <x:c r="C338" s="7" t="n">
        <x:v>45934</x:v>
      </x:c>
      <x:c r="D338" s="2" t="str">
        <x:v>Completed</x:v>
      </x:c>
      <x:c r="E338" s="2" t="str">
        <x:v>North</x:v>
      </x:c>
      <x:c r="F338" s="2" t="str">
        <x:v>Store</x:v>
      </x:c>
      <x:c r="G338" s="9" t="n">
        <x:f>SUM(SalesLines!Q817,SalesLines!Q818,SalesLines!Q819,SalesLines!Q820)</x:f>
        <x:v>757.5</x:v>
      </x:c>
      <x:c r="H338" s="9" t="n">
        <x:f>SUM(SalesLines!M817,SalesLines!M818,SalesLines!M819,SalesLines!M820)</x:f>
        <x:v>1272</x:v>
      </x:c>
      <x:c r="I338" s="9" t="n">
        <x:f>SUM(SalesLines!N817,SalesLines!N818,SalesLines!N819,SalesLines!N820)</x:f>
        <x:v>145.8</x:v>
      </x:c>
      <x:c r="J338" s="9" t="n">
        <x:f>SUM(SalesLines!P817,SalesLines!P818,SalesLines!P819,SalesLines!P820)</x:f>
        <x:v>368.7</x:v>
      </x:c>
      <x:c r="K338" s="11" t="n">
        <x:f>SUM(SalesLines!R817,SalesLines!R818,SalesLines!R819,SalesLines!R820)</x:f>
        <x:v>10</x:v>
      </x:c>
      <x:c r="L338" s="11" t="n">
        <x:f>SUM(SalesLines!S817,SalesLines!S818,SalesLines!S819,SalesLines!S820)</x:f>
        <x:v>2</x:v>
      </x:c>
      <x:c r="M338" s="8" t="n">
        <x:f>DATE(YEAR(C338),MONTH(C338),1)</x:f>
        <x:v>45931</x:v>
      </x:c>
    </x:row>
    <x:row r="339" ht="22" customHeight="1">
      <x:c r="A339" s="2" t="str">
        <x:v>O00335</x:v>
      </x:c>
      <x:c r="B339" s="2" t="str">
        <x:v>C0065</x:v>
      </x:c>
      <x:c r="C339" s="7" t="n">
        <x:v>45764</x:v>
      </x:c>
      <x:c r="D339" s="2" t="str">
        <x:v>Completed</x:v>
      </x:c>
      <x:c r="E339" s="2" t="str">
        <x:v>East</x:v>
      </x:c>
      <x:c r="F339" s="2" t="str">
        <x:v>Online</x:v>
      </x:c>
      <x:c r="G339" s="9" t="n">
        <x:f>SUM(SalesLines!Q821)</x:f>
        <x:v>796</x:v>
      </x:c>
      <x:c r="H339" s="9" t="n">
        <x:f>SUM(SalesLines!M821)</x:f>
        <x:v>796</x:v>
      </x:c>
      <x:c r="I339" s="9" t="n">
        <x:f>SUM(SalesLines!N821)</x:f>
        <x:v>0</x:v>
      </x:c>
      <x:c r="J339" s="9" t="n">
        <x:f>SUM(SalesLines!P821)</x:f>
        <x:v>0</x:v>
      </x:c>
      <x:c r="K339" s="11" t="n">
        <x:f>SUM(SalesLines!R821)</x:f>
        <x:v>4</x:v>
      </x:c>
      <x:c r="L339" s="11" t="n">
        <x:f>SUM(SalesLines!S821)</x:f>
        <x:v>0</x:v>
      </x:c>
      <x:c r="M339" s="8" t="n">
        <x:f>DATE(YEAR(C339),MONTH(C339),1)</x:f>
        <x:v>45748</x:v>
      </x:c>
    </x:row>
    <x:row r="340" ht="22" customHeight="1">
      <x:c r="A340" s="2" t="str">
        <x:v>O00336</x:v>
      </x:c>
      <x:c r="B340" s="2" t="str">
        <x:v>C0263</x:v>
      </x:c>
      <x:c r="C340" s="7" t="n">
        <x:v>45986</x:v>
      </x:c>
      <x:c r="D340" s="2" t="str">
        <x:v>Cancelled</x:v>
      </x:c>
      <x:c r="E340" s="2" t="str">
        <x:v>East</x:v>
      </x:c>
      <x:c r="F340" s="2" t="str">
        <x:v>Store</x:v>
      </x:c>
      <x:c r="G340" s="9" t="n">
        <x:f>SUM(SalesLines!Q822,SalesLines!Q823,SalesLines!Q824)</x:f>
        <x:v>0</x:v>
      </x:c>
      <x:c r="H340" s="9" t="n">
        <x:f>SUM(SalesLines!M822,SalesLines!M823,SalesLines!M824)</x:f>
        <x:v>0</x:v>
      </x:c>
      <x:c r="I340" s="9" t="n">
        <x:f>SUM(SalesLines!N822,SalesLines!N823,SalesLines!N824)</x:f>
        <x:v>0</x:v>
      </x:c>
      <x:c r="J340" s="9" t="n">
        <x:f>SUM(SalesLines!P822,SalesLines!P823,SalesLines!P824)</x:f>
        <x:v>0</x:v>
      </x:c>
      <x:c r="K340" s="11" t="n">
        <x:f>SUM(SalesLines!R822,SalesLines!R823,SalesLines!R824)</x:f>
        <x:v>0</x:v>
      </x:c>
      <x:c r="L340" s="11" t="n">
        <x:f>SUM(SalesLines!S822,SalesLines!S823,SalesLines!S824)</x:f>
        <x:v>0</x:v>
      </x:c>
      <x:c r="M340" s="8" t="n">
        <x:f>DATE(YEAR(C340),MONTH(C340),1)</x:f>
        <x:v>45962</x:v>
      </x:c>
    </x:row>
    <x:row r="341" ht="22" customHeight="1">
      <x:c r="A341" s="2" t="str">
        <x:v>O00337</x:v>
      </x:c>
      <x:c r="B341" s="2" t="str">
        <x:v>C0198</x:v>
      </x:c>
      <x:c r="C341" s="7" t="n">
        <x:v>45952</x:v>
      </x:c>
      <x:c r="D341" s="2" t="str">
        <x:v>Completed</x:v>
      </x:c>
      <x:c r="E341" s="2" t="str">
        <x:v>West</x:v>
      </x:c>
      <x:c r="F341" s="2" t="str">
        <x:v>Online</x:v>
      </x:c>
      <x:c r="G341" s="9" t="n">
        <x:f>SUM(SalesLines!Q825)</x:f>
        <x:v>0</x:v>
      </x:c>
      <x:c r="H341" s="9" t="n">
        <x:f>SUM(SalesLines!M825)</x:f>
        <x:v>615</x:v>
      </x:c>
      <x:c r="I341" s="9" t="n">
        <x:f>SUM(SalesLines!N825)</x:f>
        <x:v>61.5</x:v>
      </x:c>
      <x:c r="J341" s="9" t="n">
        <x:f>SUM(SalesLines!P825)</x:f>
        <x:v>553.5</x:v>
      </x:c>
      <x:c r="K341" s="11" t="n">
        <x:f>SUM(SalesLines!R825)</x:f>
        <x:v>5</x:v>
      </x:c>
      <x:c r="L341" s="11" t="n">
        <x:f>SUM(SalesLines!S825)</x:f>
        <x:v>5</x:v>
      </x:c>
      <x:c r="M341" s="8" t="n">
        <x:f>DATE(YEAR(C341),MONTH(C341),1)</x:f>
        <x:v>45931</x:v>
      </x:c>
    </x:row>
    <x:row r="342" ht="22" customHeight="1">
      <x:c r="A342" s="2" t="str">
        <x:v>O00338</x:v>
      </x:c>
      <x:c r="B342" s="2" t="str">
        <x:v>C0179</x:v>
      </x:c>
      <x:c r="C342" s="7" t="n">
        <x:v>45843</x:v>
      </x:c>
      <x:c r="D342" s="2" t="str">
        <x:v>Completed</x:v>
      </x:c>
      <x:c r="E342" s="2" t="str">
        <x:v>East</x:v>
      </x:c>
      <x:c r="F342" s="2" t="str">
        <x:v>Online</x:v>
      </x:c>
      <x:c r="G342" s="9" t="n">
        <x:f>SUM(SalesLines!Q826,SalesLines!Q827,SalesLines!Q828,SalesLines!Q829)</x:f>
        <x:v>1763.55</x:v>
      </x:c>
      <x:c r="H342" s="9" t="n">
        <x:f>SUM(SalesLines!M826,SalesLines!M827,SalesLines!M828,SalesLines!M829)</x:f>
        <x:v>2557</x:v>
      </x:c>
      <x:c r="I342" s="9" t="n">
        <x:f>SUM(SalesLines!N826,SalesLines!N827,SalesLines!N828,SalesLines!N829)</x:f>
        <x:v>313.45</x:v>
      </x:c>
      <x:c r="J342" s="9" t="n">
        <x:f>SUM(SalesLines!P826,SalesLines!P827,SalesLines!P828,SalesLines!P829)</x:f>
        <x:v>480</x:v>
      </x:c>
      <x:c r="K342" s="11" t="n">
        <x:f>SUM(SalesLines!R826,SalesLines!R827,SalesLines!R828,SalesLines!R829)</x:f>
        <x:v>11</x:v>
      </x:c>
      <x:c r="L342" s="11" t="n">
        <x:f>SUM(SalesLines!S826,SalesLines!S827,SalesLines!S828,SalesLines!S829)</x:f>
        <x:v>2</x:v>
      </x:c>
      <x:c r="M342" s="8" t="n">
        <x:f>DATE(YEAR(C342),MONTH(C342),1)</x:f>
        <x:v>45839</x:v>
      </x:c>
    </x:row>
    <x:row r="343" ht="22" customHeight="1">
      <x:c r="A343" s="2" t="str">
        <x:v>O00339</x:v>
      </x:c>
      <x:c r="B343" s="2" t="str">
        <x:v>C0183</x:v>
      </x:c>
      <x:c r="C343" s="7" t="n">
        <x:v>45752</x:v>
      </x:c>
      <x:c r="D343" s="2" t="str">
        <x:v>Completed</x:v>
      </x:c>
      <x:c r="E343" s="2" t="str">
        <x:v>East</x:v>
      </x:c>
      <x:c r="F343" s="2" t="str">
        <x:v>Online</x:v>
      </x:c>
      <x:c r="G343" s="9" t="n">
        <x:f>SUM(SalesLines!Q830)</x:f>
        <x:v>352.8</x:v>
      </x:c>
      <x:c r="H343" s="9" t="n">
        <x:f>SUM(SalesLines!M830)</x:f>
        <x:v>392</x:v>
      </x:c>
      <x:c r="I343" s="9" t="n">
        <x:f>SUM(SalesLines!N830)</x:f>
        <x:v>39.2</x:v>
      </x:c>
      <x:c r="J343" s="9" t="n">
        <x:f>SUM(SalesLines!P830)</x:f>
        <x:v>0</x:v>
      </x:c>
      <x:c r="K343" s="11" t="n">
        <x:f>SUM(SalesLines!R830)</x:f>
        <x:v>2</x:v>
      </x:c>
      <x:c r="L343" s="11" t="n">
        <x:f>SUM(SalesLines!S830)</x:f>
        <x:v>0</x:v>
      </x:c>
      <x:c r="M343" s="8" t="n">
        <x:f>DATE(YEAR(C343),MONTH(C343),1)</x:f>
        <x:v>45748</x:v>
      </x:c>
    </x:row>
    <x:row r="344" ht="22" customHeight="1">
      <x:c r="A344" s="2" t="str">
        <x:v>O00340</x:v>
      </x:c>
      <x:c r="B344" s="2" t="str">
        <x:v>C0293</x:v>
      </x:c>
      <x:c r="C344" s="7" t="n">
        <x:v>45982</x:v>
      </x:c>
      <x:c r="D344" s="2" t="str">
        <x:v>Completed</x:v>
      </x:c>
      <x:c r="E344" s="2" t="str">
        <x:v>North</x:v>
      </x:c>
      <x:c r="F344" s="2" t="str">
        <x:v>Store</x:v>
      </x:c>
      <x:c r="G344" s="9" t="n">
        <x:f>SUM(SalesLines!Q831)</x:f>
        <x:v>1345</x:v>
      </x:c>
      <x:c r="H344" s="9" t="n">
        <x:f>SUM(SalesLines!M831)</x:f>
        <x:v>1345</x:v>
      </x:c>
      <x:c r="I344" s="9" t="n">
        <x:f>SUM(SalesLines!N831)</x:f>
        <x:v>0</x:v>
      </x:c>
      <x:c r="J344" s="9" t="n">
        <x:f>SUM(SalesLines!P831)</x:f>
        <x:v>0</x:v>
      </x:c>
      <x:c r="K344" s="11" t="n">
        <x:f>SUM(SalesLines!R831)</x:f>
        <x:v>5</x:v>
      </x:c>
      <x:c r="L344" s="11" t="n">
        <x:f>SUM(SalesLines!S831)</x:f>
        <x:v>0</x:v>
      </x:c>
      <x:c r="M344" s="8" t="n">
        <x:f>DATE(YEAR(C344),MONTH(C344),1)</x:f>
        <x:v>45962</x:v>
      </x:c>
    </x:row>
    <x:row r="345" ht="22" customHeight="1">
      <x:c r="A345" s="2" t="str">
        <x:v>O00341</x:v>
      </x:c>
      <x:c r="B345" s="2" t="str">
        <x:v>C0203</x:v>
      </x:c>
      <x:c r="C345" s="7" t="n">
        <x:v>45858</x:v>
      </x:c>
      <x:c r="D345" s="2" t="str">
        <x:v>Completed</x:v>
      </x:c>
      <x:c r="E345" s="2" t="str">
        <x:v>South</x:v>
      </x:c>
      <x:c r="F345" s="2" t="str">
        <x:v>Store</x:v>
      </x:c>
      <x:c r="G345" s="9" t="n">
        <x:f>SUM(SalesLines!Q832,SalesLines!Q833,SalesLines!Q834,SalesLines!Q835)</x:f>
        <x:v>2287.6</x:v>
      </x:c>
      <x:c r="H345" s="9" t="n">
        <x:f>SUM(SalesLines!M832,SalesLines!M833,SalesLines!M834,SalesLines!M835)</x:f>
        <x:v>2412</x:v>
      </x:c>
      <x:c r="I345" s="9" t="n">
        <x:f>SUM(SalesLines!N832,SalesLines!N833,SalesLines!N834,SalesLines!N835)</x:f>
        <x:v>124.4</x:v>
      </x:c>
      <x:c r="J345" s="9" t="n">
        <x:f>SUM(SalesLines!P832,SalesLines!P833,SalesLines!P834,SalesLines!P835)</x:f>
        <x:v>0</x:v>
      </x:c>
      <x:c r="K345" s="11" t="n">
        <x:f>SUM(SalesLines!R832,SalesLines!R833,SalesLines!R834,SalesLines!R835)</x:f>
        <x:v>15</x:v>
      </x:c>
      <x:c r="L345" s="11" t="n">
        <x:f>SUM(SalesLines!S832,SalesLines!S833,SalesLines!S834,SalesLines!S835)</x:f>
        <x:v>0</x:v>
      </x:c>
      <x:c r="M345" s="8" t="n">
        <x:f>DATE(YEAR(C345),MONTH(C345),1)</x:f>
        <x:v>45839</x:v>
      </x:c>
    </x:row>
    <x:row r="346" ht="22" customHeight="1">
      <x:c r="A346" s="2" t="str">
        <x:v>O00342</x:v>
      </x:c>
      <x:c r="B346" s="2" t="str">
        <x:v>C0024</x:v>
      </x:c>
      <x:c r="C346" s="7" t="n">
        <x:v>45943</x:v>
      </x:c>
      <x:c r="D346" s="2" t="str">
        <x:v>Completed</x:v>
      </x:c>
      <x:c r="E346" s="2" t="str">
        <x:v>South</x:v>
      </x:c>
      <x:c r="F346" s="2" t="str">
        <x:v>Online</x:v>
      </x:c>
      <x:c r="G346" s="9" t="n">
        <x:f>SUM(SalesLines!Q836,SalesLines!Q837,SalesLines!Q838,SalesLines!Q839)</x:f>
        <x:v>1861.6</x:v>
      </x:c>
      <x:c r="H346" s="9" t="n">
        <x:f>SUM(SalesLines!M836,SalesLines!M837,SalesLines!M838,SalesLines!M839)</x:f>
        <x:v>2182</x:v>
      </x:c>
      <x:c r="I346" s="9" t="n">
        <x:f>SUM(SalesLines!N836,SalesLines!N837,SalesLines!N838,SalesLines!N839)</x:f>
        <x:v>51.400000000000006</x:v>
      </x:c>
      <x:c r="J346" s="9" t="n">
        <x:f>SUM(SalesLines!P836,SalesLines!P837,SalesLines!P838,SalesLines!P839)</x:f>
        <x:v>269</x:v>
      </x:c>
      <x:c r="K346" s="11" t="n">
        <x:f>SUM(SalesLines!R836,SalesLines!R837,SalesLines!R838,SalesLines!R839)</x:f>
        <x:v>13</x:v>
      </x:c>
      <x:c r="L346" s="11" t="n">
        <x:f>SUM(SalesLines!S836,SalesLines!S837,SalesLines!S838,SalesLines!S839)</x:f>
        <x:v>1</x:v>
      </x:c>
      <x:c r="M346" s="8" t="n">
        <x:f>DATE(YEAR(C346),MONTH(C346),1)</x:f>
        <x:v>45931</x:v>
      </x:c>
    </x:row>
    <x:row r="347" ht="22" customHeight="1">
      <x:c r="A347" s="2" t="str">
        <x:v>O00343</x:v>
      </x:c>
      <x:c r="B347" s="2" t="str">
        <x:v>C0100</x:v>
      </x:c>
      <x:c r="C347" s="7" t="n">
        <x:v>45975</x:v>
      </x:c>
      <x:c r="D347" s="2" t="str">
        <x:v>Cancelled</x:v>
      </x:c>
      <x:c r="E347" s="2" t="str">
        <x:v>West</x:v>
      </x:c>
      <x:c r="F347" s="2" t="str">
        <x:v>Store</x:v>
      </x:c>
      <x:c r="G347" s="9" t="n">
        <x:f>SUM(SalesLines!Q840,SalesLines!Q841,SalesLines!Q842,SalesLines!Q843)</x:f>
        <x:v>0</x:v>
      </x:c>
      <x:c r="H347" s="9" t="n">
        <x:f>SUM(SalesLines!M840,SalesLines!M841,SalesLines!M842,SalesLines!M843)</x:f>
        <x:v>0</x:v>
      </x:c>
      <x:c r="I347" s="9" t="n">
        <x:f>SUM(SalesLines!N840,SalesLines!N841,SalesLines!N842,SalesLines!N843)</x:f>
        <x:v>0</x:v>
      </x:c>
      <x:c r="J347" s="9" t="n">
        <x:f>SUM(SalesLines!P840,SalesLines!P841,SalesLines!P842,SalesLines!P843)</x:f>
        <x:v>0</x:v>
      </x:c>
      <x:c r="K347" s="11" t="n">
        <x:f>SUM(SalesLines!R840,SalesLines!R841,SalesLines!R842,SalesLines!R843)</x:f>
        <x:v>0</x:v>
      </x:c>
      <x:c r="L347" s="11" t="n">
        <x:f>SUM(SalesLines!S840,SalesLines!S841,SalesLines!S842,SalesLines!S843)</x:f>
        <x:v>0</x:v>
      </x:c>
      <x:c r="M347" s="8" t="n">
        <x:f>DATE(YEAR(C347),MONTH(C347),1)</x:f>
        <x:v>45962</x:v>
      </x:c>
    </x:row>
    <x:row r="348" ht="22" customHeight="1">
      <x:c r="A348" s="2" t="str">
        <x:v>O00344</x:v>
      </x:c>
      <x:c r="B348" s="2" t="str">
        <x:v>C0156</x:v>
      </x:c>
      <x:c r="C348" s="7" t="n">
        <x:v>45833</x:v>
      </x:c>
      <x:c r="D348" s="2" t="str">
        <x:v>Completed</x:v>
      </x:c>
      <x:c r="E348" s="2" t="str">
        <x:v>South</x:v>
      </x:c>
      <x:c r="F348" s="2" t="str">
        <x:v>Online</x:v>
      </x:c>
      <x:c r="G348" s="9" t="n">
        <x:f>SUM(SalesLines!Q844)</x:f>
        <x:v>269.8</x:v>
      </x:c>
      <x:c r="H348" s="9" t="n">
        <x:f>SUM(SalesLines!M844)</x:f>
        <x:v>284</x:v>
      </x:c>
      <x:c r="I348" s="9" t="n">
        <x:f>SUM(SalesLines!N844)</x:f>
        <x:v>14.200000000000001</x:v>
      </x:c>
      <x:c r="J348" s="9" t="n">
        <x:f>SUM(SalesLines!P844)</x:f>
        <x:v>0</x:v>
      </x:c>
      <x:c r="K348" s="11" t="n">
        <x:f>SUM(SalesLines!R844)</x:f>
        <x:v>1</x:v>
      </x:c>
      <x:c r="L348" s="11" t="n">
        <x:f>SUM(SalesLines!S844)</x:f>
        <x:v>0</x:v>
      </x:c>
      <x:c r="M348" s="8" t="n">
        <x:f>DATE(YEAR(C348),MONTH(C348),1)</x:f>
        <x:v>45809</x:v>
      </x:c>
    </x:row>
    <x:row r="349" ht="22" customHeight="1">
      <x:c r="A349" s="2" t="str">
        <x:v>O00345</x:v>
      </x:c>
      <x:c r="B349" s="2" t="str">
        <x:v>C0121</x:v>
      </x:c>
      <x:c r="C349" s="7" t="n">
        <x:v>45817</x:v>
      </x:c>
      <x:c r="D349" s="2" t="str">
        <x:v>Completed</x:v>
      </x:c>
      <x:c r="E349" s="2" t="str">
        <x:v>West</x:v>
      </x:c>
      <x:c r="F349" s="2" t="str">
        <x:v>Store</x:v>
      </x:c>
      <x:c r="G349" s="9" t="n">
        <x:f>SUM(SalesLines!Q845,SalesLines!Q846,SalesLines!Q847)</x:f>
        <x:v>837.8</x:v>
      </x:c>
      <x:c r="H349" s="9" t="n">
        <x:f>SUM(SalesLines!M845,SalesLines!M846,SalesLines!M847)</x:f>
        <x:v>977</x:v>
      </x:c>
      <x:c r="I349" s="9" t="n">
        <x:f>SUM(SalesLines!N845,SalesLines!N846,SalesLines!N847)</x:f>
        <x:v>46.2</x:v>
      </x:c>
      <x:c r="J349" s="9" t="n">
        <x:f>SUM(SalesLines!P845,SalesLines!P846,SalesLines!P847)</x:f>
        <x:v>93</x:v>
      </x:c>
      <x:c r="K349" s="11" t="n">
        <x:f>SUM(SalesLines!R845,SalesLines!R846,SalesLines!R847)</x:f>
        <x:v>5</x:v>
      </x:c>
      <x:c r="L349" s="11" t="n">
        <x:f>SUM(SalesLines!S845,SalesLines!S846,SalesLines!S847)</x:f>
        <x:v>1</x:v>
      </x:c>
      <x:c r="M349" s="8" t="n">
        <x:f>DATE(YEAR(C349),MONTH(C349),1)</x:f>
        <x:v>45809</x:v>
      </x:c>
    </x:row>
    <x:row r="350" ht="22" customHeight="1">
      <x:c r="A350" s="2" t="str">
        <x:v>O00346</x:v>
      </x:c>
      <x:c r="B350" s="2" t="str">
        <x:v>C0183</x:v>
      </x:c>
      <x:c r="C350" s="7" t="n">
        <x:v>45987</x:v>
      </x:c>
      <x:c r="D350" s="2" t="str">
        <x:v>Cancelled</x:v>
      </x:c>
      <x:c r="E350" s="2" t="str">
        <x:v>East</x:v>
      </x:c>
      <x:c r="F350" s="2" t="str">
        <x:v>Store</x:v>
      </x:c>
      <x:c r="G350" s="9" t="n">
        <x:f>SUM(SalesLines!Q848,SalesLines!Q849,SalesLines!Q850,SalesLines!Q851)</x:f>
        <x:v>0</x:v>
      </x:c>
      <x:c r="H350" s="9" t="n">
        <x:f>SUM(SalesLines!M848,SalesLines!M849,SalesLines!M850,SalesLines!M851)</x:f>
        <x:v>0</x:v>
      </x:c>
      <x:c r="I350" s="9" t="n">
        <x:f>SUM(SalesLines!N848,SalesLines!N849,SalesLines!N850,SalesLines!N851)</x:f>
        <x:v>0</x:v>
      </x:c>
      <x:c r="J350" s="9" t="n">
        <x:f>SUM(SalesLines!P848,SalesLines!P849,SalesLines!P850,SalesLines!P851)</x:f>
        <x:v>0</x:v>
      </x:c>
      <x:c r="K350" s="11" t="n">
        <x:f>SUM(SalesLines!R848,SalesLines!R849,SalesLines!R850,SalesLines!R851)</x:f>
        <x:v>0</x:v>
      </x:c>
      <x:c r="L350" s="11" t="n">
        <x:f>SUM(SalesLines!S848,SalesLines!S849,SalesLines!S850,SalesLines!S851)</x:f>
        <x:v>0</x:v>
      </x:c>
      <x:c r="M350" s="8" t="n">
        <x:f>DATE(YEAR(C350),MONTH(C350),1)</x:f>
        <x:v>45962</x:v>
      </x:c>
    </x:row>
    <x:row r="351" ht="22" customHeight="1">
      <x:c r="A351" s="2" t="str">
        <x:v>O00347</x:v>
      </x:c>
      <x:c r="B351" s="2" t="str">
        <x:v>C0212</x:v>
      </x:c>
      <x:c r="C351" s="7" t="n">
        <x:v>45830</x:v>
      </x:c>
      <x:c r="D351" s="2" t="str">
        <x:v>Cancelled</x:v>
      </x:c>
      <x:c r="E351" s="2" t="str">
        <x:v>East</x:v>
      </x:c>
      <x:c r="F351" s="2" t="str">
        <x:v>Store</x:v>
      </x:c>
      <x:c r="G351" s="9" t="n">
        <x:f>SUM(SalesLines!Q852,SalesLines!Q853)</x:f>
        <x:v>0</x:v>
      </x:c>
      <x:c r="H351" s="9" t="n">
        <x:f>SUM(SalesLines!M852,SalesLines!M853)</x:f>
        <x:v>0</x:v>
      </x:c>
      <x:c r="I351" s="9" t="n">
        <x:f>SUM(SalesLines!N852,SalesLines!N853)</x:f>
        <x:v>0</x:v>
      </x:c>
      <x:c r="J351" s="9" t="n">
        <x:f>SUM(SalesLines!P852,SalesLines!P853)</x:f>
        <x:v>0</x:v>
      </x:c>
      <x:c r="K351" s="11" t="n">
        <x:f>SUM(SalesLines!R852,SalesLines!R853)</x:f>
        <x:v>0</x:v>
      </x:c>
      <x:c r="L351" s="11" t="n">
        <x:f>SUM(SalesLines!S852,SalesLines!S853)</x:f>
        <x:v>0</x:v>
      </x:c>
      <x:c r="M351" s="8" t="n">
        <x:f>DATE(YEAR(C351),MONTH(C351),1)</x:f>
        <x:v>45809</x:v>
      </x:c>
    </x:row>
    <x:row r="352" ht="22" customHeight="1">
      <x:c r="A352" s="2" t="str">
        <x:v>O00348</x:v>
      </x:c>
      <x:c r="B352" s="2" t="str">
        <x:v>C0259</x:v>
      </x:c>
      <x:c r="C352" s="7" t="n">
        <x:v>45898</x:v>
      </x:c>
      <x:c r="D352" s="2" t="str">
        <x:v>Completed</x:v>
      </x:c>
      <x:c r="E352" s="2" t="str">
        <x:v>North</x:v>
      </x:c>
      <x:c r="F352" s="2" t="str">
        <x:v>Online</x:v>
      </x:c>
      <x:c r="G352" s="9" t="n">
        <x:f>SUM(SalesLines!Q854)</x:f>
        <x:v>1155</x:v>
      </x:c>
      <x:c r="H352" s="9" t="n">
        <x:f>SUM(SalesLines!M854)</x:f>
        <x:v>1155</x:v>
      </x:c>
      <x:c r="I352" s="9" t="n">
        <x:f>SUM(SalesLines!N854)</x:f>
        <x:v>0</x:v>
      </x:c>
      <x:c r="J352" s="9" t="n">
        <x:f>SUM(SalesLines!P854)</x:f>
        <x:v>0</x:v>
      </x:c>
      <x:c r="K352" s="11" t="n">
        <x:f>SUM(SalesLines!R854)</x:f>
        <x:v>5</x:v>
      </x:c>
      <x:c r="L352" s="11" t="n">
        <x:f>SUM(SalesLines!S854)</x:f>
        <x:v>0</x:v>
      </x:c>
      <x:c r="M352" s="8" t="n">
        <x:f>DATE(YEAR(C352),MONTH(C352),1)</x:f>
        <x:v>45870</x:v>
      </x:c>
    </x:row>
    <x:row r="353" ht="22" customHeight="1">
      <x:c r="A353" s="2" t="str">
        <x:v>O00349</x:v>
      </x:c>
      <x:c r="B353" s="2" t="str">
        <x:v>C0109</x:v>
      </x:c>
      <x:c r="C353" s="7" t="n">
        <x:v>45716</x:v>
      </x:c>
      <x:c r="D353" s="2" t="str">
        <x:v>Completed</x:v>
      </x:c>
      <x:c r="E353" s="2" t="str">
        <x:v>West</x:v>
      </x:c>
      <x:c r="F353" s="2" t="str">
        <x:v>Store</x:v>
      </x:c>
      <x:c r="G353" s="9" t="n">
        <x:f>SUM(SalesLines!Q855)</x:f>
        <x:v>-7.105427357601002e-15</x:v>
      </x:c>
      <x:c r="H353" s="9" t="n">
        <x:f>SUM(SalesLines!M855)</x:f>
        <x:v>78</x:v>
      </x:c>
      <x:c r="I353" s="9" t="n">
        <x:f>SUM(SalesLines!N855)</x:f>
        <x:v>15.600000000000001</x:v>
      </x:c>
      <x:c r="J353" s="9" t="n">
        <x:f>SUM(SalesLines!P855)</x:f>
        <x:v>62.400000000000006</x:v>
      </x:c>
      <x:c r="K353" s="11" t="n">
        <x:f>SUM(SalesLines!R855)</x:f>
        <x:v>1</x:v>
      </x:c>
      <x:c r="L353" s="11" t="n">
        <x:f>SUM(SalesLines!S855)</x:f>
        <x:v>1</x:v>
      </x:c>
      <x:c r="M353" s="8" t="n">
        <x:f>DATE(YEAR(C353),MONTH(C353),1)</x:f>
        <x:v>45689</x:v>
      </x:c>
    </x:row>
    <x:row r="354" ht="22" customHeight="1">
      <x:c r="A354" s="2" t="str">
        <x:v>O00350</x:v>
      </x:c>
      <x:c r="B354" s="2" t="str">
        <x:v>C0106</x:v>
      </x:c>
      <x:c r="C354" s="7" t="n">
        <x:v>45932</x:v>
      </x:c>
      <x:c r="D354" s="2" t="str">
        <x:v>Completed</x:v>
      </x:c>
      <x:c r="E354" s="2" t="str">
        <x:v>East</x:v>
      </x:c>
      <x:c r="F354" s="2" t="str">
        <x:v>Online</x:v>
      </x:c>
      <x:c r="G354" s="9" t="n">
        <x:f>SUM(SalesLines!Q856,SalesLines!Q857)</x:f>
        <x:v>1551.8</x:v>
      </x:c>
      <x:c r="H354" s="9" t="n">
        <x:f>SUM(SalesLines!M856,SalesLines!M857)</x:f>
        <x:v>1882</x:v>
      </x:c>
      <x:c r="I354" s="9" t="n">
        <x:f>SUM(SalesLines!N856,SalesLines!N857)</x:f>
        <x:v>330.2</x:v>
      </x:c>
      <x:c r="J354" s="9" t="n">
        <x:f>SUM(SalesLines!P856,SalesLines!P857)</x:f>
        <x:v>0</x:v>
      </x:c>
      <x:c r="K354" s="11" t="n">
        <x:f>SUM(SalesLines!R856,SalesLines!R857)</x:f>
        <x:v>7</x:v>
      </x:c>
      <x:c r="L354" s="11" t="n">
        <x:f>SUM(SalesLines!S856,SalesLines!S857)</x:f>
        <x:v>0</x:v>
      </x:c>
      <x:c r="M354" s="8" t="n">
        <x:f>DATE(YEAR(C354),MONTH(C354),1)</x:f>
        <x:v>45931</x:v>
      </x:c>
    </x:row>
    <x:row r="355" ht="22" customHeight="1">
      <x:c r="A355" s="2" t="str">
        <x:v>O00351</x:v>
      </x:c>
      <x:c r="B355" s="2" t="str">
        <x:v>C0188</x:v>
      </x:c>
      <x:c r="C355" s="7" t="n">
        <x:v>45980</x:v>
      </x:c>
      <x:c r="D355" s="2" t="str">
        <x:v>Completed</x:v>
      </x:c>
      <x:c r="E355" s="2" t="str">
        <x:v>South</x:v>
      </x:c>
      <x:c r="F355" s="2" t="str">
        <x:v>Online</x:v>
      </x:c>
      <x:c r="G355" s="9" t="n">
        <x:f>SUM(SalesLines!Q858,SalesLines!Q859,SalesLines!Q860)</x:f>
        <x:v>1534.5</x:v>
      </x:c>
      <x:c r="H355" s="9" t="n">
        <x:f>SUM(SalesLines!M858,SalesLines!M859,SalesLines!M860)</x:f>
        <x:v>1788</x:v>
      </x:c>
      <x:c r="I355" s="9" t="n">
        <x:f>SUM(SalesLines!N858,SalesLines!N859,SalesLines!N860)</x:f>
        <x:v>253.50000000000003</x:v>
      </x:c>
      <x:c r="J355" s="9" t="n">
        <x:f>SUM(SalesLines!P858,SalesLines!P859,SalesLines!P860)</x:f>
        <x:v>0</x:v>
      </x:c>
      <x:c r="K355" s="11" t="n">
        <x:f>SUM(SalesLines!R858,SalesLines!R859,SalesLines!R860)</x:f>
        <x:v>7</x:v>
      </x:c>
      <x:c r="L355" s="11" t="n">
        <x:f>SUM(SalesLines!S858,SalesLines!S859,SalesLines!S860)</x:f>
        <x:v>0</x:v>
      </x:c>
      <x:c r="M355" s="8" t="n">
        <x:f>DATE(YEAR(C355),MONTH(C355),1)</x:f>
        <x:v>45962</x:v>
      </x:c>
    </x:row>
    <x:row r="356" ht="22" customHeight="1">
      <x:c r="A356" s="2" t="str">
        <x:v>O00352</x:v>
      </x:c>
      <x:c r="B356" s="2" t="str">
        <x:v>C0166</x:v>
      </x:c>
      <x:c r="C356" s="7" t="n">
        <x:v>45764</x:v>
      </x:c>
      <x:c r="D356" s="2" t="str">
        <x:v>Completed</x:v>
      </x:c>
      <x:c r="E356" s="2" t="str">
        <x:v>North</x:v>
      </x:c>
      <x:c r="F356" s="2" t="str">
        <x:v>Store</x:v>
      </x:c>
      <x:c r="G356" s="9" t="n">
        <x:f>SUM(SalesLines!Q861,SalesLines!Q862,SalesLines!Q863,SalesLines!Q864)</x:f>
        <x:v>1878.9</x:v>
      </x:c>
      <x:c r="H356" s="9" t="n">
        <x:f>SUM(SalesLines!M861,SalesLines!M862,SalesLines!M863,SalesLines!M864)</x:f>
        <x:v>2080</x:v>
      </x:c>
      <x:c r="I356" s="9" t="n">
        <x:f>SUM(SalesLines!N861,SalesLines!N862,SalesLines!N863,SalesLines!N864)</x:f>
        <x:v>201.10000000000002</x:v>
      </x:c>
      <x:c r="J356" s="9" t="n">
        <x:f>SUM(SalesLines!P861,SalesLines!P862,SalesLines!P863,SalesLines!P864)</x:f>
        <x:v>0</x:v>
      </x:c>
      <x:c r="K356" s="11" t="n">
        <x:f>SUM(SalesLines!R861,SalesLines!R862,SalesLines!R863,SalesLines!R864)</x:f>
        <x:v>13</x:v>
      </x:c>
      <x:c r="L356" s="11" t="n">
        <x:f>SUM(SalesLines!S861,SalesLines!S862,SalesLines!S863,SalesLines!S864)</x:f>
        <x:v>0</x:v>
      </x:c>
      <x:c r="M356" s="8" t="n">
        <x:f>DATE(YEAR(C356),MONTH(C356),1)</x:f>
        <x:v>45748</x:v>
      </x:c>
    </x:row>
    <x:row r="357" ht="22" customHeight="1">
      <x:c r="A357" s="2" t="str">
        <x:v>O00353</x:v>
      </x:c>
      <x:c r="B357" s="2" t="str">
        <x:v>C0176</x:v>
      </x:c>
      <x:c r="C357" s="7" t="n">
        <x:v>45856</x:v>
      </x:c>
      <x:c r="D357" s="2" t="str">
        <x:v>Completed</x:v>
      </x:c>
      <x:c r="E357" s="2" t="str">
        <x:v>North</x:v>
      </x:c>
      <x:c r="F357" s="2" t="str">
        <x:v>Online</x:v>
      </x:c>
      <x:c r="G357" s="9" t="n">
        <x:f>SUM(SalesLines!Q865,SalesLines!Q866)</x:f>
        <x:v>415.79999999999995</x:v>
      </x:c>
      <x:c r="H357" s="9" t="n">
        <x:f>SUM(SalesLines!M865,SalesLines!M866)</x:f>
        <x:v>706</x:v>
      </x:c>
      <x:c r="I357" s="9" t="n">
        <x:f>SUM(SalesLines!N865,SalesLines!N866)</x:f>
        <x:v>70.6</x:v>
      </x:c>
      <x:c r="J357" s="9" t="n">
        <x:f>SUM(SalesLines!P865,SalesLines!P866)</x:f>
        <x:v>219.6</x:v>
      </x:c>
      <x:c r="K357" s="11" t="n">
        <x:f>SUM(SalesLines!R865,SalesLines!R866)</x:f>
        <x:v>8</x:v>
      </x:c>
      <x:c r="L357" s="11" t="n">
        <x:f>SUM(SalesLines!S865,SalesLines!S866)</x:f>
        <x:v>2</x:v>
      </x:c>
      <x:c r="M357" s="8" t="n">
        <x:f>DATE(YEAR(C357),MONTH(C357),1)</x:f>
        <x:v>45839</x:v>
      </x:c>
    </x:row>
    <x:row r="358" ht="22" customHeight="1">
      <x:c r="A358" s="2" t="str">
        <x:v>O00354</x:v>
      </x:c>
      <x:c r="B358" s="2" t="str">
        <x:v>C0054</x:v>
      </x:c>
      <x:c r="C358" s="7" t="n">
        <x:v>45889</x:v>
      </x:c>
      <x:c r="D358" s="2" t="str">
        <x:v>Completed</x:v>
      </x:c>
      <x:c r="E358" s="2" t="str">
        <x:v>East</x:v>
      </x:c>
      <x:c r="F358" s="2" t="str">
        <x:v>Store</x:v>
      </x:c>
      <x:c r="G358" s="9" t="n">
        <x:f>SUM(SalesLines!Q867,SalesLines!Q868)</x:f>
        <x:v>1356</x:v>
      </x:c>
      <x:c r="H358" s="9" t="n">
        <x:f>SUM(SalesLines!M867,SalesLines!M868)</x:f>
        <x:v>1356</x:v>
      </x:c>
      <x:c r="I358" s="9" t="n">
        <x:f>SUM(SalesLines!N867,SalesLines!N868)</x:f>
        <x:v>0</x:v>
      </x:c>
      <x:c r="J358" s="9" t="n">
        <x:f>SUM(SalesLines!P867,SalesLines!P868)</x:f>
        <x:v>0</x:v>
      </x:c>
      <x:c r="K358" s="11" t="n">
        <x:f>SUM(SalesLines!R867,SalesLines!R868)</x:f>
        <x:v>6</x:v>
      </x:c>
      <x:c r="L358" s="11" t="n">
        <x:f>SUM(SalesLines!S867,SalesLines!S868)</x:f>
        <x:v>0</x:v>
      </x:c>
      <x:c r="M358" s="8" t="n">
        <x:f>DATE(YEAR(C358),MONTH(C358),1)</x:f>
        <x:v>45870</x:v>
      </x:c>
    </x:row>
    <x:row r="359" ht="22" customHeight="1">
      <x:c r="A359" s="2" t="str">
        <x:v>O00355</x:v>
      </x:c>
      <x:c r="B359" s="2" t="str">
        <x:v>C0136</x:v>
      </x:c>
      <x:c r="C359" s="7" t="n">
        <x:v>45699</x:v>
      </x:c>
      <x:c r="D359" s="2" t="str">
        <x:v>Cancelled</x:v>
      </x:c>
      <x:c r="E359" s="2" t="str">
        <x:v>West</x:v>
      </x:c>
      <x:c r="F359" s="2" t="str">
        <x:v>Online</x:v>
      </x:c>
      <x:c r="G359" s="9" t="n">
        <x:f>SUM(SalesLines!Q869,SalesLines!Q870,SalesLines!Q871)</x:f>
        <x:v>0</x:v>
      </x:c>
      <x:c r="H359" s="9" t="n">
        <x:f>SUM(SalesLines!M869,SalesLines!M870,SalesLines!M871)</x:f>
        <x:v>0</x:v>
      </x:c>
      <x:c r="I359" s="9" t="n">
        <x:f>SUM(SalesLines!N869,SalesLines!N870,SalesLines!N871)</x:f>
        <x:v>0</x:v>
      </x:c>
      <x:c r="J359" s="9" t="n">
        <x:f>SUM(SalesLines!P869,SalesLines!P870,SalesLines!P871)</x:f>
        <x:v>0</x:v>
      </x:c>
      <x:c r="K359" s="11" t="n">
        <x:f>SUM(SalesLines!R869,SalesLines!R870,SalesLines!R871)</x:f>
        <x:v>0</x:v>
      </x:c>
      <x:c r="L359" s="11" t="n">
        <x:f>SUM(SalesLines!S869,SalesLines!S870,SalesLines!S871)</x:f>
        <x:v>0</x:v>
      </x:c>
      <x:c r="M359" s="8" t="n">
        <x:f>DATE(YEAR(C359),MONTH(C359),1)</x:f>
        <x:v>45689</x:v>
      </x:c>
    </x:row>
    <x:row r="360" ht="22" customHeight="1">
      <x:c r="A360" s="2" t="str">
        <x:v>O00356</x:v>
      </x:c>
      <x:c r="B360" s="2" t="str">
        <x:v>C0041</x:v>
      </x:c>
      <x:c r="C360" s="7" t="n">
        <x:v>46019</x:v>
      </x:c>
      <x:c r="D360" s="2" t="str">
        <x:v>Completed</x:v>
      </x:c>
      <x:c r="E360" s="2" t="str">
        <x:v>West</x:v>
      </x:c>
      <x:c r="F360" s="2" t="str">
        <x:v>Online</x:v>
      </x:c>
      <x:c r="G360" s="9" t="n">
        <x:f>SUM(SalesLines!Q872,SalesLines!Q873,SalesLines!Q874)</x:f>
        <x:v>1332.1</x:v>
      </x:c>
      <x:c r="H360" s="9" t="n">
        <x:f>SUM(SalesLines!M872,SalesLines!M873,SalesLines!M874)</x:f>
        <x:v>1398</x:v>
      </x:c>
      <x:c r="I360" s="9" t="n">
        <x:f>SUM(SalesLines!N872,SalesLines!N873,SalesLines!N874)</x:f>
        <x:v>65.9</x:v>
      </x:c>
      <x:c r="J360" s="9" t="n">
        <x:f>SUM(SalesLines!P872,SalesLines!P873,SalesLines!P874)</x:f>
        <x:v>0</x:v>
      </x:c>
      <x:c r="K360" s="11" t="n">
        <x:f>SUM(SalesLines!R872,SalesLines!R873,SalesLines!R874)</x:f>
        <x:v>8</x:v>
      </x:c>
      <x:c r="L360" s="11" t="n">
        <x:f>SUM(SalesLines!S872,SalesLines!S873,SalesLines!S874)</x:f>
        <x:v>0</x:v>
      </x:c>
      <x:c r="M360" s="8" t="n">
        <x:f>DATE(YEAR(C360),MONTH(C360),1)</x:f>
        <x:v>45992</x:v>
      </x:c>
    </x:row>
    <x:row r="361" ht="22" customHeight="1">
      <x:c r="A361" s="2" t="str">
        <x:v>O00357</x:v>
      </x:c>
      <x:c r="B361" s="2" t="str">
        <x:v>C0191</x:v>
      </x:c>
      <x:c r="C361" s="7" t="n">
        <x:v>45697</x:v>
      </x:c>
      <x:c r="D361" s="2" t="str">
        <x:v>Completed</x:v>
      </x:c>
      <x:c r="E361" s="2" t="str">
        <x:v>North</x:v>
      </x:c>
      <x:c r="F361" s="2" t="str">
        <x:v>Store</x:v>
      </x:c>
      <x:c r="G361" s="9" t="n">
        <x:f>SUM(SalesLines!Q875,SalesLines!Q876,SalesLines!Q877,SalesLines!Q878)</x:f>
        <x:v>2553.6499999999996</x:v>
      </x:c>
      <x:c r="H361" s="9" t="n">
        <x:f>SUM(SalesLines!M875,SalesLines!M876,SalesLines!M877,SalesLines!M878)</x:f>
        <x:v>3144</x:v>
      </x:c>
      <x:c r="I361" s="9" t="n">
        <x:f>SUM(SalesLines!N875,SalesLines!N876,SalesLines!N877,SalesLines!N878)</x:f>
        <x:v>348.25</x:v>
      </x:c>
      <x:c r="J361" s="9" t="n">
        <x:f>SUM(SalesLines!P875,SalesLines!P876,SalesLines!P877,SalesLines!P878)</x:f>
        <x:v>242.1</x:v>
      </x:c>
      <x:c r="K361" s="11" t="n">
        <x:f>SUM(SalesLines!R875,SalesLines!R876,SalesLines!R877,SalesLines!R878)</x:f>
        <x:v>13</x:v>
      </x:c>
      <x:c r="L361" s="11" t="n">
        <x:f>SUM(SalesLines!S875,SalesLines!S876,SalesLines!S877,SalesLines!S878)</x:f>
        <x:v>1</x:v>
      </x:c>
      <x:c r="M361" s="8" t="n">
        <x:f>DATE(YEAR(C361),MONTH(C361),1)</x:f>
        <x:v>45689</x:v>
      </x:c>
    </x:row>
    <x:row r="362" ht="22" customHeight="1">
      <x:c r="A362" s="2" t="str">
        <x:v>O00358</x:v>
      </x:c>
      <x:c r="B362" s="2" t="str">
        <x:v>C0155</x:v>
      </x:c>
      <x:c r="C362" s="7" t="n">
        <x:v>45737</x:v>
      </x:c>
      <x:c r="D362" s="2" t="str">
        <x:v>Completed</x:v>
      </x:c>
      <x:c r="E362" s="2" t="str">
        <x:v>South</x:v>
      </x:c>
      <x:c r="F362" s="2" t="str">
        <x:v>Online</x:v>
      </x:c>
      <x:c r="G362" s="9" t="n">
        <x:f>SUM(SalesLines!Q879,SalesLines!Q880,SalesLines!Q881,SalesLines!Q882)</x:f>
        <x:v>2958.55</x:v>
      </x:c>
      <x:c r="H362" s="9" t="n">
        <x:f>SUM(SalesLines!M879,SalesLines!M880,SalesLines!M881,SalesLines!M882)</x:f>
        <x:v>3425</x:v>
      </x:c>
      <x:c r="I362" s="9" t="n">
        <x:f>SUM(SalesLines!N879,SalesLines!N880,SalesLines!N881,SalesLines!N882)</x:f>
        <x:v>466.45000000000005</x:v>
      </x:c>
      <x:c r="J362" s="9" t="n">
        <x:f>SUM(SalesLines!P879,SalesLines!P880,SalesLines!P881,SalesLines!P882)</x:f>
        <x:v>0</x:v>
      </x:c>
      <x:c r="K362" s="11" t="n">
        <x:f>SUM(SalesLines!R879,SalesLines!R880,SalesLines!R881,SalesLines!R882)</x:f>
        <x:v>14</x:v>
      </x:c>
      <x:c r="L362" s="11" t="n">
        <x:f>SUM(SalesLines!S879,SalesLines!S880,SalesLines!S881,SalesLines!S882)</x:f>
        <x:v>0</x:v>
      </x:c>
      <x:c r="M362" s="8" t="n">
        <x:f>DATE(YEAR(C362),MONTH(C362),1)</x:f>
        <x:v>45717</x:v>
      </x:c>
    </x:row>
    <x:row r="363" ht="22" customHeight="1">
      <x:c r="A363" s="2" t="str">
        <x:v>O00359</x:v>
      </x:c>
      <x:c r="B363" s="2" t="str">
        <x:v>C0300</x:v>
      </x:c>
      <x:c r="C363" s="7" t="n">
        <x:v>45910</x:v>
      </x:c>
      <x:c r="D363" s="2" t="str">
        <x:v>Completed</x:v>
      </x:c>
      <x:c r="E363" s="2" t="str">
        <x:v>West</x:v>
      </x:c>
      <x:c r="F363" s="2" t="str">
        <x:v>Online</x:v>
      </x:c>
      <x:c r="G363" s="9" t="n">
        <x:f>SUM(SalesLines!Q883,SalesLines!Q884,SalesLines!Q885,SalesLines!Q886)</x:f>
        <x:v>1864</x:v>
      </x:c>
      <x:c r="H363" s="9" t="n">
        <x:f>SUM(SalesLines!M883,SalesLines!M884,SalesLines!M885,SalesLines!M886)</x:f>
        <x:v>2081</x:v>
      </x:c>
      <x:c r="I363" s="9" t="n">
        <x:f>SUM(SalesLines!N883,SalesLines!N884,SalesLines!N885,SalesLines!N886)</x:f>
        <x:v>217.00000000000003</x:v>
      </x:c>
      <x:c r="J363" s="9" t="n">
        <x:f>SUM(SalesLines!P883,SalesLines!P884,SalesLines!P885,SalesLines!P886)</x:f>
        <x:v>0</x:v>
      </x:c>
      <x:c r="K363" s="11" t="n">
        <x:f>SUM(SalesLines!R883,SalesLines!R884,SalesLines!R885,SalesLines!R886)</x:f>
        <x:v>12</x:v>
      </x:c>
      <x:c r="L363" s="11" t="n">
        <x:f>SUM(SalesLines!S883,SalesLines!S884,SalesLines!S885,SalesLines!S886)</x:f>
        <x:v>0</x:v>
      </x:c>
      <x:c r="M363" s="8" t="n">
        <x:f>DATE(YEAR(C363),MONTH(C363),1)</x:f>
        <x:v>45901</x:v>
      </x:c>
    </x:row>
    <x:row r="364" ht="22" customHeight="1">
      <x:c r="A364" s="2" t="str">
        <x:v>O00360</x:v>
      </x:c>
      <x:c r="B364" s="2" t="str">
        <x:v>C0264</x:v>
      </x:c>
      <x:c r="C364" s="7" t="n">
        <x:v>45669</x:v>
      </x:c>
      <x:c r="D364" s="2" t="str">
        <x:v>Completed</x:v>
      </x:c>
      <x:c r="E364" s="2" t="str">
        <x:v>South</x:v>
      </x:c>
      <x:c r="F364" s="2" t="str">
        <x:v>Online</x:v>
      </x:c>
      <x:c r="G364" s="9" t="n">
        <x:f>SUM(SalesLines!Q887,SalesLines!Q888)</x:f>
        <x:v>2116.8</x:v>
      </x:c>
      <x:c r="H364" s="9" t="n">
        <x:f>SUM(SalesLines!M887,SalesLines!M888)</x:f>
        <x:v>2352</x:v>
      </x:c>
      <x:c r="I364" s="9" t="n">
        <x:f>SUM(SalesLines!N887,SalesLines!N888)</x:f>
        <x:v>235.20000000000002</x:v>
      </x:c>
      <x:c r="J364" s="9" t="n">
        <x:f>SUM(SalesLines!P887,SalesLines!P888)</x:f>
        <x:v>0</x:v>
      </x:c>
      <x:c r="K364" s="11" t="n">
        <x:f>SUM(SalesLines!R887,SalesLines!R888)</x:f>
        <x:v>8</x:v>
      </x:c>
      <x:c r="L364" s="11" t="n">
        <x:f>SUM(SalesLines!S887,SalesLines!S888)</x:f>
        <x:v>0</x:v>
      </x:c>
      <x:c r="M364" s="8" t="n">
        <x:f>DATE(YEAR(C364),MONTH(C364),1)</x:f>
        <x:v>45658</x:v>
      </x:c>
    </x:row>
    <x:row r="365" ht="22" customHeight="1">
      <x:c r="A365" s="2" t="str">
        <x:v>O00361</x:v>
      </x:c>
      <x:c r="B365" s="2" t="str">
        <x:v>C0175</x:v>
      </x:c>
      <x:c r="C365" s="7" t="n">
        <x:v>45728</x:v>
      </x:c>
      <x:c r="D365" s="2" t="str">
        <x:v>Completed</x:v>
      </x:c>
      <x:c r="E365" s="2" t="str">
        <x:v>North</x:v>
      </x:c>
      <x:c r="F365" s="2" t="str">
        <x:v>Store</x:v>
      </x:c>
      <x:c r="G365" s="9" t="n">
        <x:f>SUM(SalesLines!Q889,SalesLines!Q890,SalesLines!Q891,SalesLines!Q892)</x:f>
        <x:v>874.1</x:v>
      </x:c>
      <x:c r="H365" s="9" t="n">
        <x:f>SUM(SalesLines!M889,SalesLines!M890,SalesLines!M891,SalesLines!M892)</x:f>
        <x:v>992</x:v>
      </x:c>
      <x:c r="I365" s="9" t="n">
        <x:f>SUM(SalesLines!N889,SalesLines!N890,SalesLines!N891,SalesLines!N892)</x:f>
        <x:v>117.9</x:v>
      </x:c>
      <x:c r="J365" s="9" t="n">
        <x:f>SUM(SalesLines!P889,SalesLines!P890,SalesLines!P891,SalesLines!P892)</x:f>
        <x:v>0</x:v>
      </x:c>
      <x:c r="K365" s="11" t="n">
        <x:f>SUM(SalesLines!R889,SalesLines!R890,SalesLines!R891,SalesLines!R892)</x:f>
        <x:v>9</x:v>
      </x:c>
      <x:c r="L365" s="11" t="n">
        <x:f>SUM(SalesLines!S889,SalesLines!S890,SalesLines!S891,SalesLines!S892)</x:f>
        <x:v>0</x:v>
      </x:c>
      <x:c r="M365" s="8" t="n">
        <x:f>DATE(YEAR(C365),MONTH(C365),1)</x:f>
        <x:v>45717</x:v>
      </x:c>
    </x:row>
    <x:row r="366" ht="22" customHeight="1">
      <x:c r="A366" s="2" t="str">
        <x:v>O00362</x:v>
      </x:c>
      <x:c r="B366" s="2" t="str">
        <x:v>C0231</x:v>
      </x:c>
      <x:c r="C366" s="7" t="n">
        <x:v>45761</x:v>
      </x:c>
      <x:c r="D366" s="2" t="str">
        <x:v>Completed</x:v>
      </x:c>
      <x:c r="E366" s="2" t="str">
        <x:v>West</x:v>
      </x:c>
      <x:c r="F366" s="2" t="str">
        <x:v>Store</x:v>
      </x:c>
      <x:c r="G366" s="9" t="n">
        <x:f>SUM(SalesLines!Q893)</x:f>
        <x:v>844</x:v>
      </x:c>
      <x:c r="H366" s="9" t="n">
        <x:f>SUM(SalesLines!M893)</x:f>
        <x:v>844</x:v>
      </x:c>
      <x:c r="I366" s="9" t="n">
        <x:f>SUM(SalesLines!N893)</x:f>
        <x:v>0</x:v>
      </x:c>
      <x:c r="J366" s="9" t="n">
        <x:f>SUM(SalesLines!P893)</x:f>
        <x:v>0</x:v>
      </x:c>
      <x:c r="K366" s="11" t="n">
        <x:f>SUM(SalesLines!R893)</x:f>
        <x:v>4</x:v>
      </x:c>
      <x:c r="L366" s="11" t="n">
        <x:f>SUM(SalesLines!S893)</x:f>
        <x:v>0</x:v>
      </x:c>
      <x:c r="M366" s="8" t="n">
        <x:f>DATE(YEAR(C366),MONTH(C366),1)</x:f>
        <x:v>45748</x:v>
      </x:c>
    </x:row>
    <x:row r="367" ht="22" customHeight="1">
      <x:c r="A367" s="2" t="str">
        <x:v>O00363</x:v>
      </x:c>
      <x:c r="B367" s="2" t="str">
        <x:v>C0055</x:v>
      </x:c>
      <x:c r="C367" s="7" t="n">
        <x:v>45712</x:v>
      </x:c>
      <x:c r="D367" s="2" t="str">
        <x:v>Completed</x:v>
      </x:c>
      <x:c r="E367" s="2" t="str">
        <x:v>East</x:v>
      </x:c>
      <x:c r="F367" s="2" t="str">
        <x:v>Online</x:v>
      </x:c>
      <x:c r="G367" s="9" t="n">
        <x:f>SUM(SalesLines!Q894,SalesLines!Q895)</x:f>
        <x:v>749.6</x:v>
      </x:c>
      <x:c r="H367" s="9" t="n">
        <x:f>SUM(SalesLines!M894,SalesLines!M895)</x:f>
        <x:v>937</x:v>
      </x:c>
      <x:c r="I367" s="9" t="n">
        <x:f>SUM(SalesLines!N894,SalesLines!N895)</x:f>
        <x:v>187.4</x:v>
      </x:c>
      <x:c r="J367" s="9" t="n">
        <x:f>SUM(SalesLines!P894,SalesLines!P895)</x:f>
        <x:v>0</x:v>
      </x:c>
      <x:c r="K367" s="11" t="n">
        <x:f>SUM(SalesLines!R894,SalesLines!R895)</x:f>
        <x:v>8</x:v>
      </x:c>
      <x:c r="L367" s="11" t="n">
        <x:f>SUM(SalesLines!S894,SalesLines!S895)</x:f>
        <x:v>0</x:v>
      </x:c>
      <x:c r="M367" s="8" t="n">
        <x:f>DATE(YEAR(C367),MONTH(C367),1)</x:f>
        <x:v>45689</x:v>
      </x:c>
    </x:row>
    <x:row r="368" ht="22" customHeight="1">
      <x:c r="A368" s="2" t="str">
        <x:v>O00364</x:v>
      </x:c>
      <x:c r="B368" s="2" t="str">
        <x:v>C0182</x:v>
      </x:c>
      <x:c r="C368" s="7" t="n">
        <x:v>45812</x:v>
      </x:c>
      <x:c r="D368" s="2" t="str">
        <x:v>Cancelled</x:v>
      </x:c>
      <x:c r="E368" s="2" t="str">
        <x:v>West</x:v>
      </x:c>
      <x:c r="F368" s="2" t="str">
        <x:v>Online</x:v>
      </x:c>
      <x:c r="G368" s="9" t="n">
        <x:f>SUM(SalesLines!Q896,SalesLines!Q897)</x:f>
        <x:v>0</x:v>
      </x:c>
      <x:c r="H368" s="9" t="n">
        <x:f>SUM(SalesLines!M896,SalesLines!M897)</x:f>
        <x:v>0</x:v>
      </x:c>
      <x:c r="I368" s="9" t="n">
        <x:f>SUM(SalesLines!N896,SalesLines!N897)</x:f>
        <x:v>0</x:v>
      </x:c>
      <x:c r="J368" s="9" t="n">
        <x:f>SUM(SalesLines!P896,SalesLines!P897)</x:f>
        <x:v>0</x:v>
      </x:c>
      <x:c r="K368" s="11" t="n">
        <x:f>SUM(SalesLines!R896,SalesLines!R897)</x:f>
        <x:v>0</x:v>
      </x:c>
      <x:c r="L368" s="11" t="n">
        <x:f>SUM(SalesLines!S896,SalesLines!S897)</x:f>
        <x:v>0</x:v>
      </x:c>
      <x:c r="M368" s="8" t="n">
        <x:f>DATE(YEAR(C368),MONTH(C368),1)</x:f>
        <x:v>45809</x:v>
      </x:c>
    </x:row>
    <x:row r="369" ht="22" customHeight="1">
      <x:c r="A369" s="2" t="str">
        <x:v>O00365</x:v>
      </x:c>
      <x:c r="B369" s="2" t="str">
        <x:v>C0195</x:v>
      </x:c>
      <x:c r="C369" s="7" t="n">
        <x:v>45764</x:v>
      </x:c>
      <x:c r="D369" s="2" t="str">
        <x:v>Completed</x:v>
      </x:c>
      <x:c r="E369" s="2" t="str">
        <x:v>West</x:v>
      </x:c>
      <x:c r="F369" s="2" t="str">
        <x:v>Online</x:v>
      </x:c>
      <x:c r="G369" s="9" t="n">
        <x:f>SUM(SalesLines!Q898,SalesLines!Q899,SalesLines!Q900,SalesLines!Q901)</x:f>
        <x:v>1184.6</x:v>
      </x:c>
      <x:c r="H369" s="9" t="n">
        <x:f>SUM(SalesLines!M898,SalesLines!M899,SalesLines!M900,SalesLines!M901)</x:f>
        <x:v>1369</x:v>
      </x:c>
      <x:c r="I369" s="9" t="n">
        <x:f>SUM(SalesLines!N898,SalesLines!N899,SalesLines!N900,SalesLines!N901)</x:f>
        <x:v>184.4</x:v>
      </x:c>
      <x:c r="J369" s="9" t="n">
        <x:f>SUM(SalesLines!P898,SalesLines!P899,SalesLines!P900,SalesLines!P901)</x:f>
        <x:v>0</x:v>
      </x:c>
      <x:c r="K369" s="11" t="n">
        <x:f>SUM(SalesLines!R898,SalesLines!R899,SalesLines!R900,SalesLines!R901)</x:f>
        <x:v>13</x:v>
      </x:c>
      <x:c r="L369" s="11" t="n">
        <x:f>SUM(SalesLines!S898,SalesLines!S899,SalesLines!S900,SalesLines!S901)</x:f>
        <x:v>0</x:v>
      </x:c>
      <x:c r="M369" s="8" t="n">
        <x:f>DATE(YEAR(C369),MONTH(C369),1)</x:f>
        <x:v>45748</x:v>
      </x:c>
    </x:row>
    <x:row r="370" ht="22" customHeight="1">
      <x:c r="A370" s="2" t="str">
        <x:v>O00366</x:v>
      </x:c>
      <x:c r="B370" s="2" t="str">
        <x:v>C0221</x:v>
      </x:c>
      <x:c r="C370" s="7" t="n">
        <x:v>46002</x:v>
      </x:c>
      <x:c r="D370" s="2" t="str">
        <x:v>Completed</x:v>
      </x:c>
      <x:c r="E370" s="2" t="str">
        <x:v>West</x:v>
      </x:c>
      <x:c r="F370" s="2" t="str">
        <x:v>Online</x:v>
      </x:c>
      <x:c r="G370" s="9" t="n">
        <x:f>SUM(SalesLines!Q902,SalesLines!Q903,SalesLines!Q904,SalesLines!Q905)</x:f>
        <x:v>1230.2000000000003</x:v>
      </x:c>
      <x:c r="H370" s="9" t="n">
        <x:f>SUM(SalesLines!M902,SalesLines!M903,SalesLines!M904,SalesLines!M905)</x:f>
        <x:v>1397</x:v>
      </x:c>
      <x:c r="I370" s="9" t="n">
        <x:f>SUM(SalesLines!N902,SalesLines!N903,SalesLines!N904,SalesLines!N905)</x:f>
        <x:v>166.8</x:v>
      </x:c>
      <x:c r="J370" s="9" t="n">
        <x:f>SUM(SalesLines!P902,SalesLines!P903,SalesLines!P904,SalesLines!P905)</x:f>
        <x:v>0</x:v>
      </x:c>
      <x:c r="K370" s="11" t="n">
        <x:f>SUM(SalesLines!R902,SalesLines!R903,SalesLines!R904,SalesLines!R905)</x:f>
        <x:v>8</x:v>
      </x:c>
      <x:c r="L370" s="11" t="n">
        <x:f>SUM(SalesLines!S902,SalesLines!S903,SalesLines!S904,SalesLines!S905)</x:f>
        <x:v>0</x:v>
      </x:c>
      <x:c r="M370" s="8" t="n">
        <x:f>DATE(YEAR(C370),MONTH(C370),1)</x:f>
        <x:v>45992</x:v>
      </x:c>
    </x:row>
    <x:row r="371" ht="22" customHeight="1">
      <x:c r="A371" s="2" t="str">
        <x:v>O00367</x:v>
      </x:c>
      <x:c r="B371" s="2" t="str">
        <x:v>C0254</x:v>
      </x:c>
      <x:c r="C371" s="7" t="n">
        <x:v>45732</x:v>
      </x:c>
      <x:c r="D371" s="2" t="str">
        <x:v>Completed</x:v>
      </x:c>
      <x:c r="E371" s="2" t="str">
        <x:v>East</x:v>
      </x:c>
      <x:c r="F371" s="2" t="str">
        <x:v>Store</x:v>
      </x:c>
      <x:c r="G371" s="9" t="n">
        <x:f>SUM(SalesLines!Q906)</x:f>
        <x:v>1210.5</x:v>
      </x:c>
      <x:c r="H371" s="9" t="n">
        <x:f>SUM(SalesLines!M906)</x:f>
        <x:v>1345</x:v>
      </x:c>
      <x:c r="I371" s="9" t="n">
        <x:f>SUM(SalesLines!N906)</x:f>
        <x:v>134.5</x:v>
      </x:c>
      <x:c r="J371" s="9" t="n">
        <x:f>SUM(SalesLines!P906)</x:f>
        <x:v>0</x:v>
      </x:c>
      <x:c r="K371" s="11" t="n">
        <x:f>SUM(SalesLines!R906)</x:f>
        <x:v>5</x:v>
      </x:c>
      <x:c r="L371" s="11" t="n">
        <x:f>SUM(SalesLines!S906)</x:f>
        <x:v>0</x:v>
      </x:c>
      <x:c r="M371" s="8" t="n">
        <x:f>DATE(YEAR(C371),MONTH(C371),1)</x:f>
        <x:v>45717</x:v>
      </x:c>
    </x:row>
    <x:row r="372" ht="22" customHeight="1">
      <x:c r="A372" s="2" t="str">
        <x:v>O00368</x:v>
      </x:c>
      <x:c r="B372" s="2" t="str">
        <x:v>C0112</x:v>
      </x:c>
      <x:c r="C372" s="7" t="n">
        <x:v>45971</x:v>
      </x:c>
      <x:c r="D372" s="2" t="str">
        <x:v>Completed</x:v>
      </x:c>
      <x:c r="E372" s="2" t="str">
        <x:v>South</x:v>
      </x:c>
      <x:c r="F372" s="2" t="str">
        <x:v>Online</x:v>
      </x:c>
      <x:c r="G372" s="9" t="n">
        <x:f>SUM(SalesLines!Q907)</x:f>
        <x:v>558.6</x:v>
      </x:c>
      <x:c r="H372" s="9" t="n">
        <x:f>SUM(SalesLines!M907)</x:f>
        <x:v>588</x:v>
      </x:c>
      <x:c r="I372" s="9" t="n">
        <x:f>SUM(SalesLines!N907)</x:f>
        <x:v>29.400000000000002</x:v>
      </x:c>
      <x:c r="J372" s="9" t="n">
        <x:f>SUM(SalesLines!P907)</x:f>
        <x:v>0</x:v>
      </x:c>
      <x:c r="K372" s="11" t="n">
        <x:f>SUM(SalesLines!R907)</x:f>
        <x:v>2</x:v>
      </x:c>
      <x:c r="L372" s="11" t="n">
        <x:f>SUM(SalesLines!S907)</x:f>
        <x:v>0</x:v>
      </x:c>
      <x:c r="M372" s="8" t="n">
        <x:f>DATE(YEAR(C372),MONTH(C372),1)</x:f>
        <x:v>45962</x:v>
      </x:c>
    </x:row>
    <x:row r="373" ht="22" customHeight="1">
      <x:c r="A373" s="2" t="str">
        <x:v>O00369</x:v>
      </x:c>
      <x:c r="B373" s="2" t="str">
        <x:v>C0224</x:v>
      </x:c>
      <x:c r="C373" s="7" t="n">
        <x:v>45777</x:v>
      </x:c>
      <x:c r="D373" s="2" t="str">
        <x:v>Completed</x:v>
      </x:c>
      <x:c r="E373" s="2" t="str">
        <x:v>West</x:v>
      </x:c>
      <x:c r="F373" s="2" t="str">
        <x:v>Store</x:v>
      </x:c>
      <x:c r="G373" s="9" t="n">
        <x:f>SUM(SalesLines!Q908)</x:f>
        <x:v>159.19999999999993</x:v>
      </x:c>
      <x:c r="H373" s="9" t="n">
        <x:f>SUM(SalesLines!M908)</x:f>
        <x:v>995</x:v>
      </x:c>
      <x:c r="I373" s="9" t="n">
        <x:f>SUM(SalesLines!N908)</x:f>
        <x:v>199</x:v>
      </x:c>
      <x:c r="J373" s="9" t="n">
        <x:f>SUM(SalesLines!P908)</x:f>
        <x:v>636.8000000000001</x:v>
      </x:c>
      <x:c r="K373" s="11" t="n">
        <x:f>SUM(SalesLines!R908)</x:f>
        <x:v>5</x:v>
      </x:c>
      <x:c r="L373" s="11" t="n">
        <x:f>SUM(SalesLines!S908)</x:f>
        <x:v>4</x:v>
      </x:c>
      <x:c r="M373" s="8" t="n">
        <x:f>DATE(YEAR(C373),MONTH(C373),1)</x:f>
        <x:v>45748</x:v>
      </x:c>
    </x:row>
    <x:row r="374" ht="22" customHeight="1">
      <x:c r="A374" s="2" t="str">
        <x:v>O00370</x:v>
      </x:c>
      <x:c r="B374" s="2" t="str">
        <x:v>C0108</x:v>
      </x:c>
      <x:c r="C374" s="7" t="n">
        <x:v>45735</x:v>
      </x:c>
      <x:c r="D374" s="2" t="str">
        <x:v>Completed</x:v>
      </x:c>
      <x:c r="E374" s="2" t="str">
        <x:v>East</x:v>
      </x:c>
      <x:c r="F374" s="2" t="str">
        <x:v>Store</x:v>
      </x:c>
      <x:c r="G374" s="9" t="n">
        <x:f>SUM(SalesLines!Q909,SalesLines!Q910)</x:f>
        <x:v>937.9</x:v>
      </x:c>
      <x:c r="H374" s="9" t="n">
        <x:f>SUM(SalesLines!M909,SalesLines!M910)</x:f>
        <x:v>946</x:v>
      </x:c>
      <x:c r="I374" s="9" t="n">
        <x:f>SUM(SalesLines!N909,SalesLines!N910)</x:f>
        <x:v>8.1</x:v>
      </x:c>
      <x:c r="J374" s="9" t="n">
        <x:f>SUM(SalesLines!P909,SalesLines!P910)</x:f>
        <x:v>0</x:v>
      </x:c>
      <x:c r="K374" s="11" t="n">
        <x:f>SUM(SalesLines!R909,SalesLines!R910)</x:f>
        <x:v>6</x:v>
      </x:c>
      <x:c r="L374" s="11" t="n">
        <x:f>SUM(SalesLines!S909,SalesLines!S910)</x:f>
        <x:v>0</x:v>
      </x:c>
      <x:c r="M374" s="8" t="n">
        <x:f>DATE(YEAR(C374),MONTH(C374),1)</x:f>
        <x:v>45717</x:v>
      </x:c>
    </x:row>
    <x:row r="375" ht="22" customHeight="1">
      <x:c r="A375" s="2" t="str">
        <x:v>O00371</x:v>
      </x:c>
      <x:c r="B375" s="2" t="str">
        <x:v>C0294</x:v>
      </x:c>
      <x:c r="C375" s="7" t="n">
        <x:v>45786</x:v>
      </x:c>
      <x:c r="D375" s="2" t="str">
        <x:v>Completed</x:v>
      </x:c>
      <x:c r="E375" s="2" t="str">
        <x:v>South</x:v>
      </x:c>
      <x:c r="F375" s="2" t="str">
        <x:v>Store</x:v>
      </x:c>
      <x:c r="G375" s="9" t="n">
        <x:f>SUM(SalesLines!Q911,SalesLines!Q912,SalesLines!Q913)</x:f>
        <x:v>681.75</x:v>
      </x:c>
      <x:c r="H375" s="9" t="n">
        <x:f>SUM(SalesLines!M911,SalesLines!M912,SalesLines!M913)</x:f>
        <x:v>1005</x:v>
      </x:c>
      <x:c r="I375" s="9" t="n">
        <x:f>SUM(SalesLines!N911,SalesLines!N912,SalesLines!N913)</x:f>
        <x:v>53.25</x:v>
      </x:c>
      <x:c r="J375" s="9" t="n">
        <x:f>SUM(SalesLines!P911,SalesLines!P912,SalesLines!P913)</x:f>
        <x:v>270</x:v>
      </x:c>
      <x:c r="K375" s="11" t="n">
        <x:f>SUM(SalesLines!R911,SalesLines!R912,SalesLines!R913)</x:f>
        <x:v>9</x:v>
      </x:c>
      <x:c r="L375" s="11" t="n">
        <x:f>SUM(SalesLines!S911,SalesLines!S912,SalesLines!S913)</x:f>
        <x:v>1</x:v>
      </x:c>
      <x:c r="M375" s="8" t="n">
        <x:f>DATE(YEAR(C375),MONTH(C375),1)</x:f>
        <x:v>45778</x:v>
      </x:c>
    </x:row>
    <x:row r="376" ht="22" customHeight="1">
      <x:c r="A376" s="2" t="str">
        <x:v>O00372</x:v>
      </x:c>
      <x:c r="B376" s="2" t="str">
        <x:v>C0186</x:v>
      </x:c>
      <x:c r="C376" s="7" t="n">
        <x:v>45786</x:v>
      </x:c>
      <x:c r="D376" s="2" t="str">
        <x:v>Completed</x:v>
      </x:c>
      <x:c r="E376" s="2" t="str">
        <x:v>North</x:v>
      </x:c>
      <x:c r="F376" s="2" t="str">
        <x:v>Store</x:v>
      </x:c>
      <x:c r="G376" s="9" t="n">
        <x:f>SUM(SalesLines!Q914,SalesLines!Q915,SalesLines!Q916,SalesLines!Q917)</x:f>
        <x:v>2414.2</x:v>
      </x:c>
      <x:c r="H376" s="9" t="n">
        <x:f>SUM(SalesLines!M914,SalesLines!M915,SalesLines!M916,SalesLines!M917)</x:f>
        <x:v>2736</x:v>
      </x:c>
      <x:c r="I376" s="9" t="n">
        <x:f>SUM(SalesLines!N914,SalesLines!N915,SalesLines!N916,SalesLines!N917)</x:f>
        <x:v>321.8</x:v>
      </x:c>
      <x:c r="J376" s="9" t="n">
        <x:f>SUM(SalesLines!P914,SalesLines!P915,SalesLines!P916,SalesLines!P917)</x:f>
        <x:v>0</x:v>
      </x:c>
      <x:c r="K376" s="11" t="n">
        <x:f>SUM(SalesLines!R914,SalesLines!R915,SalesLines!R916,SalesLines!R917)</x:f>
        <x:v>14</x:v>
      </x:c>
      <x:c r="L376" s="11" t="n">
        <x:f>SUM(SalesLines!S914,SalesLines!S915,SalesLines!S916,SalesLines!S917)</x:f>
        <x:v>0</x:v>
      </x:c>
      <x:c r="M376" s="8" t="n">
        <x:f>DATE(YEAR(C376),MONTH(C376),1)</x:f>
        <x:v>45778</x:v>
      </x:c>
    </x:row>
    <x:row r="377" ht="22" customHeight="1">
      <x:c r="A377" s="2" t="str">
        <x:v>O00373</x:v>
      </x:c>
      <x:c r="B377" s="2" t="str">
        <x:v>C0134</x:v>
      </x:c>
      <x:c r="C377" s="7" t="n">
        <x:v>45809</x:v>
      </x:c>
      <x:c r="D377" s="2" t="str">
        <x:v>Completed</x:v>
      </x:c>
      <x:c r="E377" s="2" t="str">
        <x:v>North</x:v>
      </x:c>
      <x:c r="F377" s="2" t="str">
        <x:v>Online</x:v>
      </x:c>
      <x:c r="G377" s="9" t="n">
        <x:f>SUM(SalesLines!Q918,SalesLines!Q919)</x:f>
        <x:v>347</x:v>
      </x:c>
      <x:c r="H377" s="9" t="n">
        <x:f>SUM(SalesLines!M918,SalesLines!M919)</x:f>
        <x:v>347</x:v>
      </x:c>
      <x:c r="I377" s="9" t="n">
        <x:f>SUM(SalesLines!N918,SalesLines!N919)</x:f>
        <x:v>0</x:v>
      </x:c>
      <x:c r="J377" s="9" t="n">
        <x:f>SUM(SalesLines!P918,SalesLines!P919)</x:f>
        <x:v>0</x:v>
      </x:c>
      <x:c r="K377" s="11" t="n">
        <x:f>SUM(SalesLines!R918,SalesLines!R919)</x:f>
        <x:v>2</x:v>
      </x:c>
      <x:c r="L377" s="11" t="n">
        <x:f>SUM(SalesLines!S918,SalesLines!S919)</x:f>
        <x:v>0</x:v>
      </x:c>
      <x:c r="M377" s="8" t="n">
        <x:f>DATE(YEAR(C377),MONTH(C377),1)</x:f>
        <x:v>45809</x:v>
      </x:c>
    </x:row>
    <x:row r="378" ht="22" customHeight="1">
      <x:c r="A378" s="2" t="str">
        <x:v>O00374</x:v>
      </x:c>
      <x:c r="B378" s="2" t="str">
        <x:v>C0077</x:v>
      </x:c>
      <x:c r="C378" s="7" t="n">
        <x:v>45883</x:v>
      </x:c>
      <x:c r="D378" s="2" t="str">
        <x:v>Completed</x:v>
      </x:c>
      <x:c r="E378" s="2" t="str">
        <x:v>West</x:v>
      </x:c>
      <x:c r="F378" s="2" t="str">
        <x:v>Online</x:v>
      </x:c>
      <x:c r="G378" s="9" t="n">
        <x:f>SUM(SalesLines!Q920)</x:f>
        <x:v>636.5</x:v>
      </x:c>
      <x:c r="H378" s="9" t="n">
        <x:f>SUM(SalesLines!M920)</x:f>
        <x:v>670</x:v>
      </x:c>
      <x:c r="I378" s="9" t="n">
        <x:f>SUM(SalesLines!N920)</x:f>
        <x:v>33.5</x:v>
      </x:c>
      <x:c r="J378" s="9" t="n">
        <x:f>SUM(SalesLines!P920)</x:f>
        <x:v>0</x:v>
      </x:c>
      <x:c r="K378" s="11" t="n">
        <x:f>SUM(SalesLines!R920)</x:f>
        <x:v>5</x:v>
      </x:c>
      <x:c r="L378" s="11" t="n">
        <x:f>SUM(SalesLines!S920)</x:f>
        <x:v>0</x:v>
      </x:c>
      <x:c r="M378" s="8" t="n">
        <x:f>DATE(YEAR(C378),MONTH(C378),1)</x:f>
        <x:v>45870</x:v>
      </x:c>
    </x:row>
    <x:row r="379" ht="22" customHeight="1">
      <x:c r="A379" s="2" t="str">
        <x:v>O00375</x:v>
      </x:c>
      <x:c r="B379" s="2" t="str">
        <x:v>C0127</x:v>
      </x:c>
      <x:c r="C379" s="7" t="n">
        <x:v>45904</x:v>
      </x:c>
      <x:c r="D379" s="2" t="str">
        <x:v>Completed</x:v>
      </x:c>
      <x:c r="E379" s="2" t="str">
        <x:v>East</x:v>
      </x:c>
      <x:c r="F379" s="2" t="str">
        <x:v>Online</x:v>
      </x:c>
      <x:c r="G379" s="9" t="n">
        <x:f>SUM(SalesLines!Q921)</x:f>
        <x:v>150.4</x:v>
      </x:c>
      <x:c r="H379" s="9" t="n">
        <x:f>SUM(SalesLines!M921)</x:f>
        <x:v>188</x:v>
      </x:c>
      <x:c r="I379" s="9" t="n">
        <x:f>SUM(SalesLines!N921)</x:f>
        <x:v>37.6</x:v>
      </x:c>
      <x:c r="J379" s="9" t="n">
        <x:f>SUM(SalesLines!P921)</x:f>
        <x:v>0</x:v>
      </x:c>
      <x:c r="K379" s="11" t="n">
        <x:f>SUM(SalesLines!R921)</x:f>
        <x:v>1</x:v>
      </x:c>
      <x:c r="L379" s="11" t="n">
        <x:f>SUM(SalesLines!S921)</x:f>
        <x:v>0</x:v>
      </x:c>
      <x:c r="M379" s="8" t="n">
        <x:f>DATE(YEAR(C379),MONTH(C379),1)</x:f>
        <x:v>45901</x:v>
      </x:c>
    </x:row>
    <x:row r="380" ht="22" customHeight="1">
      <x:c r="A380" s="2" t="str">
        <x:v>O00376</x:v>
      </x:c>
      <x:c r="B380" s="2" t="str">
        <x:v>C0095</x:v>
      </x:c>
      <x:c r="C380" s="7" t="n">
        <x:v>45851</x:v>
      </x:c>
      <x:c r="D380" s="2" t="str">
        <x:v>Completed</x:v>
      </x:c>
      <x:c r="E380" s="2" t="str">
        <x:v>East</x:v>
      </x:c>
      <x:c r="F380" s="2" t="str">
        <x:v>Store</x:v>
      </x:c>
      <x:c r="G380" s="9" t="n">
        <x:f>SUM(SalesLines!Q922,SalesLines!Q923,SalesLines!Q924,SalesLines!Q925)</x:f>
        <x:v>1499.65</x:v>
      </x:c>
      <x:c r="H380" s="9" t="n">
        <x:f>SUM(SalesLines!M922,SalesLines!M923,SalesLines!M924,SalesLines!M925)</x:f>
        <x:v>1763</x:v>
      </x:c>
      <x:c r="I380" s="9" t="n">
        <x:f>SUM(SalesLines!N922,SalesLines!N923,SalesLines!N924,SalesLines!N925)</x:f>
        <x:v>263.35</x:v>
      </x:c>
      <x:c r="J380" s="9" t="n">
        <x:f>SUM(SalesLines!P922,SalesLines!P923,SalesLines!P924,SalesLines!P925)</x:f>
        <x:v>0</x:v>
      </x:c>
      <x:c r="K380" s="11" t="n">
        <x:f>SUM(SalesLines!R922,SalesLines!R923,SalesLines!R924,SalesLines!R925)</x:f>
        <x:v>12</x:v>
      </x:c>
      <x:c r="L380" s="11" t="n">
        <x:f>SUM(SalesLines!S922,SalesLines!S923,SalesLines!S924,SalesLines!S925)</x:f>
        <x:v>0</x:v>
      </x:c>
      <x:c r="M380" s="8" t="n">
        <x:f>DATE(YEAR(C380),MONTH(C380),1)</x:f>
        <x:v>45839</x:v>
      </x:c>
    </x:row>
    <x:row r="381" ht="22" customHeight="1">
      <x:c r="A381" s="2" t="str">
        <x:v>O00377</x:v>
      </x:c>
      <x:c r="B381" s="2" t="str">
        <x:v>C0131</x:v>
      </x:c>
      <x:c r="C381" s="7" t="n">
        <x:v>45975</x:v>
      </x:c>
      <x:c r="D381" s="2" t="str">
        <x:v>Completed</x:v>
      </x:c>
      <x:c r="E381" s="2" t="str">
        <x:v>West</x:v>
      </x:c>
      <x:c r="F381" s="2" t="str">
        <x:v>Store</x:v>
      </x:c>
      <x:c r="G381" s="9" t="n">
        <x:f>SUM(SalesLines!Q926)</x:f>
        <x:v>296.4</x:v>
      </x:c>
      <x:c r="H381" s="9" t="n">
        <x:f>SUM(SalesLines!M926)</x:f>
        <x:v>312</x:v>
      </x:c>
      <x:c r="I381" s="9" t="n">
        <x:f>SUM(SalesLines!N926)</x:f>
        <x:v>15.600000000000001</x:v>
      </x:c>
      <x:c r="J381" s="9" t="n">
        <x:f>SUM(SalesLines!P926)</x:f>
        <x:v>0</x:v>
      </x:c>
      <x:c r="K381" s="11" t="n">
        <x:f>SUM(SalesLines!R926)</x:f>
        <x:v>4</x:v>
      </x:c>
      <x:c r="L381" s="11" t="n">
        <x:f>SUM(SalesLines!S926)</x:f>
        <x:v>0</x:v>
      </x:c>
      <x:c r="M381" s="8" t="n">
        <x:f>DATE(YEAR(C381),MONTH(C381),1)</x:f>
        <x:v>45962</x:v>
      </x:c>
    </x:row>
    <x:row r="382" ht="22" customHeight="1">
      <x:c r="A382" s="2" t="str">
        <x:v>O00378</x:v>
      </x:c>
      <x:c r="B382" s="2" t="str">
        <x:v>C0240</x:v>
      </x:c>
      <x:c r="C382" s="7" t="n">
        <x:v>46002</x:v>
      </x:c>
      <x:c r="D382" s="2" t="str">
        <x:v>Completed</x:v>
      </x:c>
      <x:c r="E382" s="2" t="str">
        <x:v>West</x:v>
      </x:c>
      <x:c r="F382" s="2" t="str">
        <x:v>Online</x:v>
      </x:c>
      <x:c r="G382" s="9" t="n">
        <x:f>SUM(SalesLines!Q927,SalesLines!Q928)</x:f>
        <x:v>488.3</x:v>
      </x:c>
      <x:c r="H382" s="9" t="n">
        <x:f>SUM(SalesLines!M927,SalesLines!M928)</x:f>
        <x:v>1002</x:v>
      </x:c>
      <x:c r="I382" s="9" t="n">
        <x:f>SUM(SalesLines!N927,SalesLines!N928)</x:f>
        <x:v>50.1</x:v>
      </x:c>
      <x:c r="J382" s="9" t="n">
        <x:f>SUM(SalesLines!P927,SalesLines!P928)</x:f>
        <x:v>463.59999999999997</x:v>
      </x:c>
      <x:c r="K382" s="11" t="n">
        <x:f>SUM(SalesLines!R927,SalesLines!R928)</x:f>
        <x:v>7</x:v>
      </x:c>
      <x:c r="L382" s="11" t="n">
        <x:f>SUM(SalesLines!S927,SalesLines!S928)</x:f>
        <x:v>4</x:v>
      </x:c>
      <x:c r="M382" s="8" t="n">
        <x:f>DATE(YEAR(C382),MONTH(C382),1)</x:f>
        <x:v>45992</x:v>
      </x:c>
    </x:row>
    <x:row r="383" ht="22" customHeight="1">
      <x:c r="A383" s="2" t="str">
        <x:v>O00379</x:v>
      </x:c>
      <x:c r="B383" s="2" t="str">
        <x:v>C0100</x:v>
      </x:c>
      <x:c r="C383" s="7" t="n">
        <x:v>45805</x:v>
      </x:c>
      <x:c r="D383" s="2" t="str">
        <x:v>Completed</x:v>
      </x:c>
      <x:c r="E383" s="2" t="str">
        <x:v>West</x:v>
      </x:c>
      <x:c r="F383" s="2" t="str">
        <x:v>Store</x:v>
      </x:c>
      <x:c r="G383" s="9" t="n">
        <x:f>SUM(SalesLines!Q929,SalesLines!Q930)</x:f>
        <x:v>498</x:v>
      </x:c>
      <x:c r="H383" s="9" t="n">
        <x:f>SUM(SalesLines!M929,SalesLines!M930)</x:f>
        <x:v>579</x:v>
      </x:c>
      <x:c r="I383" s="9" t="n">
        <x:f>SUM(SalesLines!N929,SalesLines!N930)</x:f>
        <x:v>16.2</x:v>
      </x:c>
      <x:c r="J383" s="9" t="n">
        <x:f>SUM(SalesLines!P929,SalesLines!P930)</x:f>
        <x:v>64.8</x:v>
      </x:c>
      <x:c r="K383" s="11" t="n">
        <x:f>SUM(SalesLines!R929,SalesLines!R930)</x:f>
        <x:v>3</x:v>
      </x:c>
      <x:c r="L383" s="11" t="n">
        <x:f>SUM(SalesLines!S929,SalesLines!S930)</x:f>
        <x:v>1</x:v>
      </x:c>
      <x:c r="M383" s="8" t="n">
        <x:f>DATE(YEAR(C383),MONTH(C383),1)</x:f>
        <x:v>45778</x:v>
      </x:c>
    </x:row>
    <x:row r="384" ht="22" customHeight="1">
      <x:c r="A384" s="2" t="str">
        <x:v>O00380</x:v>
      </x:c>
      <x:c r="B384" s="2" t="str">
        <x:v>C0144</x:v>
      </x:c>
      <x:c r="C384" s="7" t="n">
        <x:v>45763</x:v>
      </x:c>
      <x:c r="D384" s="2" t="str">
        <x:v>Completed</x:v>
      </x:c>
      <x:c r="E384" s="2" t="str">
        <x:v>North</x:v>
      </x:c>
      <x:c r="F384" s="2" t="str">
        <x:v>Online</x:v>
      </x:c>
      <x:c r="G384" s="9" t="n">
        <x:f>SUM(SalesLines!Q931,SalesLines!Q932,SalesLines!Q933)</x:f>
        <x:v>2428.5</x:v>
      </x:c>
      <x:c r="H384" s="9" t="n">
        <x:f>SUM(SalesLines!M931,SalesLines!M932,SalesLines!M933)</x:f>
        <x:v>2809</x:v>
      </x:c>
      <x:c r="I384" s="9" t="n">
        <x:f>SUM(SalesLines!N931,SalesLines!N932,SalesLines!N933)</x:f>
        <x:v>380.50000000000006</x:v>
      </x:c>
      <x:c r="J384" s="9" t="n">
        <x:f>SUM(SalesLines!P931,SalesLines!P932,SalesLines!P933)</x:f>
        <x:v>0</x:v>
      </x:c>
      <x:c r="K384" s="11" t="n">
        <x:f>SUM(SalesLines!R931,SalesLines!R932,SalesLines!R933)</x:f>
        <x:v>11</x:v>
      </x:c>
      <x:c r="L384" s="11" t="n">
        <x:f>SUM(SalesLines!S931,SalesLines!S932,SalesLines!S933)</x:f>
        <x:v>0</x:v>
      </x:c>
      <x:c r="M384" s="8" t="n">
        <x:f>DATE(YEAR(C384),MONTH(C384),1)</x:f>
        <x:v>45748</x:v>
      </x:c>
    </x:row>
    <x:row r="385" ht="22" customHeight="1">
      <x:c r="A385" s="2" t="str">
        <x:v>O00381</x:v>
      </x:c>
      <x:c r="B385" s="2" t="str">
        <x:v>C0231</x:v>
      </x:c>
      <x:c r="C385" s="7" t="n">
        <x:v>45778</x:v>
      </x:c>
      <x:c r="D385" s="2" t="str">
        <x:v>Completed</x:v>
      </x:c>
      <x:c r="E385" s="2" t="str">
        <x:v>West</x:v>
      </x:c>
      <x:c r="F385" s="2" t="str">
        <x:v>Store</x:v>
      </x:c>
      <x:c r="G385" s="9" t="n">
        <x:f>SUM(SalesLines!Q934,SalesLines!Q935)</x:f>
        <x:v>773</x:v>
      </x:c>
      <x:c r="H385" s="9" t="n">
        <x:f>SUM(SalesLines!M934,SalesLines!M935)</x:f>
        <x:v>910</x:v>
      </x:c>
      <x:c r="I385" s="9" t="n">
        <x:f>SUM(SalesLines!N934,SalesLines!N935)</x:f>
        <x:v>137</x:v>
      </x:c>
      <x:c r="J385" s="9" t="n">
        <x:f>SUM(SalesLines!P934,SalesLines!P935)</x:f>
        <x:v>0</x:v>
      </x:c>
      <x:c r="K385" s="11" t="n">
        <x:f>SUM(SalesLines!R934,SalesLines!R935)</x:f>
        <x:v>6</x:v>
      </x:c>
      <x:c r="L385" s="11" t="n">
        <x:f>SUM(SalesLines!S934,SalesLines!S935)</x:f>
        <x:v>0</x:v>
      </x:c>
      <x:c r="M385" s="8" t="n">
        <x:f>DATE(YEAR(C385),MONTH(C385),1)</x:f>
        <x:v>45778</x:v>
      </x:c>
    </x:row>
    <x:row r="386" ht="22" customHeight="1">
      <x:c r="A386" s="2" t="str">
        <x:v>O00382</x:v>
      </x:c>
      <x:c r="B386" s="2" t="str">
        <x:v>C0193</x:v>
      </x:c>
      <x:c r="C386" s="7" t="n">
        <x:v>45685</x:v>
      </x:c>
      <x:c r="D386" s="2" t="str">
        <x:v>Completed</x:v>
      </x:c>
      <x:c r="E386" s="2" t="str">
        <x:v>East</x:v>
      </x:c>
      <x:c r="F386" s="2" t="str">
        <x:v>Store</x:v>
      </x:c>
      <x:c r="G386" s="9" t="n">
        <x:f>SUM(SalesLines!Q936,SalesLines!Q937,SalesLines!Q938)</x:f>
        <x:v>1649.7</x:v>
      </x:c>
      <x:c r="H386" s="9" t="n">
        <x:f>SUM(SalesLines!M936,SalesLines!M937,SalesLines!M938)</x:f>
        <x:v>1903</x:v>
      </x:c>
      <x:c r="I386" s="9" t="n">
        <x:f>SUM(SalesLines!N936,SalesLines!N937,SalesLines!N938)</x:f>
        <x:v>183.3</x:v>
      </x:c>
      <x:c r="J386" s="9" t="n">
        <x:f>SUM(SalesLines!P936,SalesLines!P937,SalesLines!P938)</x:f>
        <x:v>70</x:v>
      </x:c>
      <x:c r="K386" s="11" t="n">
        <x:f>SUM(SalesLines!R936,SalesLines!R937,SalesLines!R938)</x:f>
        <x:v>9</x:v>
      </x:c>
      <x:c r="L386" s="11" t="n">
        <x:f>SUM(SalesLines!S936,SalesLines!S937,SalesLines!S938)</x:f>
        <x:v>2</x:v>
      </x:c>
      <x:c r="M386" s="8" t="n">
        <x:f>DATE(YEAR(C386),MONTH(C386),1)</x:f>
        <x:v>45658</x:v>
      </x:c>
    </x:row>
    <x:row r="387" ht="22" customHeight="1">
      <x:c r="A387" s="2" t="str">
        <x:v>O00383</x:v>
      </x:c>
      <x:c r="B387" s="2" t="str">
        <x:v>C0181</x:v>
      </x:c>
      <x:c r="C387" s="7" t="n">
        <x:v>46010</x:v>
      </x:c>
      <x:c r="D387" s="2" t="str">
        <x:v>Completed</x:v>
      </x:c>
      <x:c r="E387" s="2" t="str">
        <x:v>West</x:v>
      </x:c>
      <x:c r="F387" s="2" t="str">
        <x:v>Online</x:v>
      </x:c>
      <x:c r="G387" s="9" t="n">
        <x:f>SUM(SalesLines!Q939,SalesLines!Q940,SalesLines!Q941,SalesLines!Q942)</x:f>
        <x:v>1162.1</x:v>
      </x:c>
      <x:c r="H387" s="9" t="n">
        <x:f>SUM(SalesLines!M939,SalesLines!M940,SalesLines!M941,SalesLines!M942)</x:f>
        <x:v>1242</x:v>
      </x:c>
      <x:c r="I387" s="9" t="n">
        <x:f>SUM(SalesLines!N939,SalesLines!N940,SalesLines!N941,SalesLines!N942)</x:f>
        <x:v>79.9</x:v>
      </x:c>
      <x:c r="J387" s="9" t="n">
        <x:f>SUM(SalesLines!P939,SalesLines!P940,SalesLines!P941,SalesLines!P942)</x:f>
        <x:v>0</x:v>
      </x:c>
      <x:c r="K387" s="11" t="n">
        <x:f>SUM(SalesLines!R939,SalesLines!R940,SalesLines!R941,SalesLines!R942)</x:f>
        <x:v>6</x:v>
      </x:c>
      <x:c r="L387" s="11" t="n">
        <x:f>SUM(SalesLines!S939,SalesLines!S940,SalesLines!S941,SalesLines!S942)</x:f>
        <x:v>0</x:v>
      </x:c>
      <x:c r="M387" s="8" t="n">
        <x:f>DATE(YEAR(C387),MONTH(C387),1)</x:f>
        <x:v>45992</x:v>
      </x:c>
    </x:row>
    <x:row r="388" ht="22" customHeight="1">
      <x:c r="A388" s="2" t="str">
        <x:v>O00384</x:v>
      </x:c>
      <x:c r="B388" s="2" t="str">
        <x:v>C0161</x:v>
      </x:c>
      <x:c r="C388" s="7" t="n">
        <x:v>45728</x:v>
      </x:c>
      <x:c r="D388" s="2" t="str">
        <x:v>Completed</x:v>
      </x:c>
      <x:c r="E388" s="2" t="str">
        <x:v>West</x:v>
      </x:c>
      <x:c r="F388" s="2" t="str">
        <x:v>Store</x:v>
      </x:c>
      <x:c r="G388" s="9" t="n">
        <x:f>SUM(SalesLines!Q943,SalesLines!Q944,SalesLines!Q945)</x:f>
        <x:v>1493.6000000000001</x:v>
      </x:c>
      <x:c r="H388" s="9" t="n">
        <x:f>SUM(SalesLines!M943,SalesLines!M944,SalesLines!M945)</x:f>
        <x:v>1581</x:v>
      </x:c>
      <x:c r="I388" s="9" t="n">
        <x:f>SUM(SalesLines!N943,SalesLines!N944,SalesLines!N945)</x:f>
        <x:v>87.4</x:v>
      </x:c>
      <x:c r="J388" s="9" t="n">
        <x:f>SUM(SalesLines!P943,SalesLines!P944,SalesLines!P945)</x:f>
        <x:v>0</x:v>
      </x:c>
      <x:c r="K388" s="11" t="n">
        <x:f>SUM(SalesLines!R943,SalesLines!R944,SalesLines!R945)</x:f>
        <x:v>12</x:v>
      </x:c>
      <x:c r="L388" s="11" t="n">
        <x:f>SUM(SalesLines!S943,SalesLines!S944,SalesLines!S945)</x:f>
        <x:v>0</x:v>
      </x:c>
      <x:c r="M388" s="8" t="n">
        <x:f>DATE(YEAR(C388),MONTH(C388),1)</x:f>
        <x:v>45717</x:v>
      </x:c>
    </x:row>
    <x:row r="389" ht="22" customHeight="1">
      <x:c r="A389" s="2" t="str">
        <x:v>O00385</x:v>
      </x:c>
      <x:c r="B389" s="2" t="str">
        <x:v>C0022</x:v>
      </x:c>
      <x:c r="C389" s="7" t="n">
        <x:v>45715</x:v>
      </x:c>
      <x:c r="D389" s="2" t="str">
        <x:v>Completed</x:v>
      </x:c>
      <x:c r="E389" s="2" t="str">
        <x:v>East</x:v>
      </x:c>
      <x:c r="F389" s="2" t="str">
        <x:v>Online</x:v>
      </x:c>
      <x:c r="G389" s="9" t="n">
        <x:f>SUM(SalesLines!Q946,SalesLines!Q947,SalesLines!Q948)</x:f>
        <x:v>1253.9</x:v>
      </x:c>
      <x:c r="H389" s="9" t="n">
        <x:f>SUM(SalesLines!M946,SalesLines!M947,SalesLines!M948)</x:f>
        <x:v>1353</x:v>
      </x:c>
      <x:c r="I389" s="9" t="n">
        <x:f>SUM(SalesLines!N946,SalesLines!N947,SalesLines!N948)</x:f>
        <x:v>99.1</x:v>
      </x:c>
      <x:c r="J389" s="9" t="n">
        <x:f>SUM(SalesLines!P946,SalesLines!P947,SalesLines!P948)</x:f>
        <x:v>0</x:v>
      </x:c>
      <x:c r="K389" s="11" t="n">
        <x:f>SUM(SalesLines!R946,SalesLines!R947,SalesLines!R948)</x:f>
        <x:v>10</x:v>
      </x:c>
      <x:c r="L389" s="11" t="n">
        <x:f>SUM(SalesLines!S946,SalesLines!S947,SalesLines!S948)</x:f>
        <x:v>0</x:v>
      </x:c>
      <x:c r="M389" s="8" t="n">
        <x:f>DATE(YEAR(C389),MONTH(C389),1)</x:f>
        <x:v>45689</x:v>
      </x:c>
    </x:row>
    <x:row r="390" ht="22" customHeight="1">
      <x:c r="A390" s="2" t="str">
        <x:v>O00386</x:v>
      </x:c>
      <x:c r="B390" s="2" t="str">
        <x:v>C0184</x:v>
      </x:c>
      <x:c r="C390" s="7" t="n">
        <x:v>45797</x:v>
      </x:c>
      <x:c r="D390" s="2" t="str">
        <x:v>Completed</x:v>
      </x:c>
      <x:c r="E390" s="2" t="str">
        <x:v>West</x:v>
      </x:c>
      <x:c r="F390" s="2" t="str">
        <x:v>Store</x:v>
      </x:c>
      <x:c r="G390" s="9" t="n">
        <x:f>SUM(SalesLines!Q949,SalesLines!Q950,SalesLines!Q951,SalesLines!Q952)</x:f>
        <x:v>1627.85</x:v>
      </x:c>
      <x:c r="H390" s="9" t="n">
        <x:f>SUM(SalesLines!M949,SalesLines!M950,SalesLines!M951,SalesLines!M952)</x:f>
        <x:v>1960</x:v>
      </x:c>
      <x:c r="I390" s="9" t="n">
        <x:f>SUM(SalesLines!N949,SalesLines!N950,SalesLines!N951,SalesLines!N952)</x:f>
        <x:v>128.15</x:v>
      </x:c>
      <x:c r="J390" s="9" t="n">
        <x:f>SUM(SalesLines!P949,SalesLines!P950,SalesLines!P951,SalesLines!P952)</x:f>
        <x:v>204</x:v>
      </x:c>
      <x:c r="K390" s="11" t="n">
        <x:f>SUM(SalesLines!R949,SalesLines!R950,SalesLines!R951,SalesLines!R952)</x:f>
        <x:v>11</x:v>
      </x:c>
      <x:c r="L390" s="11" t="n">
        <x:f>SUM(SalesLines!S949,SalesLines!S950,SalesLines!S951,SalesLines!S952)</x:f>
        <x:v>3</x:v>
      </x:c>
      <x:c r="M390" s="8" t="n">
        <x:f>DATE(YEAR(C390),MONTH(C390),1)</x:f>
        <x:v>45778</x:v>
      </x:c>
    </x:row>
    <x:row r="391" ht="22" customHeight="1">
      <x:c r="A391" s="2" t="str">
        <x:v>O00387</x:v>
      </x:c>
      <x:c r="B391" s="2" t="str">
        <x:v>C0087</x:v>
      </x:c>
      <x:c r="C391" s="7" t="n">
        <x:v>45967</x:v>
      </x:c>
      <x:c r="D391" s="2" t="str">
        <x:v>Completed</x:v>
      </x:c>
      <x:c r="E391" s="2" t="str">
        <x:v>North</x:v>
      </x:c>
      <x:c r="F391" s="2" t="str">
        <x:v>Online</x:v>
      </x:c>
      <x:c r="G391" s="9" t="n">
        <x:f>SUM(SalesLines!Q953,SalesLines!Q954)</x:f>
        <x:v>342.8</x:v>
      </x:c>
      <x:c r="H391" s="9" t="n">
        <x:f>SUM(SalesLines!M953,SalesLines!M954)</x:f>
        <x:v>411</x:v>
      </x:c>
      <x:c r="I391" s="9" t="n">
        <x:f>SUM(SalesLines!N953,SalesLines!N954)</x:f>
        <x:v>68.2</x:v>
      </x:c>
      <x:c r="J391" s="9" t="n">
        <x:f>SUM(SalesLines!P953,SalesLines!P954)</x:f>
        <x:v>0</x:v>
      </x:c>
      <x:c r="K391" s="11" t="n">
        <x:f>SUM(SalesLines!R953,SalesLines!R954)</x:f>
        <x:v>5</x:v>
      </x:c>
      <x:c r="L391" s="11" t="n">
        <x:f>SUM(SalesLines!S953,SalesLines!S954)</x:f>
        <x:v>0</x:v>
      </x:c>
      <x:c r="M391" s="8" t="n">
        <x:f>DATE(YEAR(C391),MONTH(C391),1)</x:f>
        <x:v>45962</x:v>
      </x:c>
    </x:row>
    <x:row r="392" ht="22" customHeight="1">
      <x:c r="A392" s="2" t="str">
        <x:v>O00388</x:v>
      </x:c>
      <x:c r="B392" s="2" t="str">
        <x:v>C0230</x:v>
      </x:c>
      <x:c r="C392" s="7" t="n">
        <x:v>45786</x:v>
      </x:c>
      <x:c r="D392" s="2" t="str">
        <x:v>Completed</x:v>
      </x:c>
      <x:c r="E392" s="2" t="str">
        <x:v>East</x:v>
      </x:c>
      <x:c r="F392" s="2" t="str">
        <x:v>Store</x:v>
      </x:c>
      <x:c r="G392" s="9" t="n">
        <x:f>SUM(SalesLines!Q955,SalesLines!Q956,SalesLines!Q957)</x:f>
        <x:v>860.4</x:v>
      </x:c>
      <x:c r="H392" s="9" t="n">
        <x:f>SUM(SalesLines!M955,SalesLines!M956,SalesLines!M957)</x:f>
        <x:v>957</x:v>
      </x:c>
      <x:c r="I392" s="9" t="n">
        <x:f>SUM(SalesLines!N955,SalesLines!N956,SalesLines!N957)</x:f>
        <x:v>96.6</x:v>
      </x:c>
      <x:c r="J392" s="9" t="n">
        <x:f>SUM(SalesLines!P955,SalesLines!P956,SalesLines!P957)</x:f>
        <x:v>0</x:v>
      </x:c>
      <x:c r="K392" s="11" t="n">
        <x:f>SUM(SalesLines!R955,SalesLines!R956,SalesLines!R957)</x:f>
        <x:v>12</x:v>
      </x:c>
      <x:c r="L392" s="11" t="n">
        <x:f>SUM(SalesLines!S955,SalesLines!S956,SalesLines!S957)</x:f>
        <x:v>0</x:v>
      </x:c>
      <x:c r="M392" s="8" t="n">
        <x:f>DATE(YEAR(C392),MONTH(C392),1)</x:f>
        <x:v>45778</x:v>
      </x:c>
    </x:row>
    <x:row r="393" ht="22" customHeight="1">
      <x:c r="A393" s="2" t="str">
        <x:v>O00389</x:v>
      </x:c>
      <x:c r="B393" s="2" t="str">
        <x:v>C0224</x:v>
      </x:c>
      <x:c r="C393" s="7" t="n">
        <x:v>45945</x:v>
      </x:c>
      <x:c r="D393" s="2" t="str">
        <x:v>Completed</x:v>
      </x:c>
      <x:c r="E393" s="2" t="str">
        <x:v>West</x:v>
      </x:c>
      <x:c r="F393" s="2" t="str">
        <x:v>Online</x:v>
      </x:c>
      <x:c r="G393" s="9" t="n">
        <x:f>SUM(SalesLines!Q958,SalesLines!Q959,SalesLines!Q960)</x:f>
        <x:v>1972.2</x:v>
      </x:c>
      <x:c r="H393" s="9" t="n">
        <x:f>SUM(SalesLines!M958,SalesLines!M959,SalesLines!M960)</x:f>
        <x:v>2334</x:v>
      </x:c>
      <x:c r="I393" s="9" t="n">
        <x:f>SUM(SalesLines!N958,SalesLines!N959,SalesLines!N960)</x:f>
        <x:v>361.8</x:v>
      </x:c>
      <x:c r="J393" s="9" t="n">
        <x:f>SUM(SalesLines!P958,SalesLines!P959,SalesLines!P960)</x:f>
        <x:v>0</x:v>
      </x:c>
      <x:c r="K393" s="11" t="n">
        <x:f>SUM(SalesLines!R958,SalesLines!R959,SalesLines!R960)</x:f>
        <x:v>13</x:v>
      </x:c>
      <x:c r="L393" s="11" t="n">
        <x:f>SUM(SalesLines!S958,SalesLines!S959,SalesLines!S960)</x:f>
        <x:v>0</x:v>
      </x:c>
      <x:c r="M393" s="8" t="n">
        <x:f>DATE(YEAR(C393),MONTH(C393),1)</x:f>
        <x:v>45931</x:v>
      </x:c>
    </x:row>
    <x:row r="394" ht="22" customHeight="1">
      <x:c r="A394" s="2" t="str">
        <x:v>O00390</x:v>
      </x:c>
      <x:c r="B394" s="2" t="str">
        <x:v>C0038</x:v>
      </x:c>
      <x:c r="C394" s="7" t="n">
        <x:v>45977</x:v>
      </x:c>
      <x:c r="D394" s="2" t="str">
        <x:v>Completed</x:v>
      </x:c>
      <x:c r="E394" s="2" t="str">
        <x:v>South</x:v>
      </x:c>
      <x:c r="F394" s="2" t="str">
        <x:v>Online</x:v>
      </x:c>
      <x:c r="G394" s="9" t="n">
        <x:f>SUM(SalesLines!Q961)</x:f>
        <x:v>627.2</x:v>
      </x:c>
      <x:c r="H394" s="9" t="n">
        <x:f>SUM(SalesLines!M961)</x:f>
        <x:v>784</x:v>
      </x:c>
      <x:c r="I394" s="9" t="n">
        <x:f>SUM(SalesLines!N961)</x:f>
        <x:v>156.8</x:v>
      </x:c>
      <x:c r="J394" s="9" t="n">
        <x:f>SUM(SalesLines!P961)</x:f>
        <x:v>0</x:v>
      </x:c>
      <x:c r="K394" s="11" t="n">
        <x:f>SUM(SalesLines!R961)</x:f>
        <x:v>4</x:v>
      </x:c>
      <x:c r="L394" s="11" t="n">
        <x:f>SUM(SalesLines!S961)</x:f>
        <x:v>0</x:v>
      </x:c>
      <x:c r="M394" s="8" t="n">
        <x:f>DATE(YEAR(C394),MONTH(C394),1)</x:f>
        <x:v>45962</x:v>
      </x:c>
    </x:row>
    <x:row r="395" ht="22" customHeight="1">
      <x:c r="A395" s="2" t="str">
        <x:v>O00391</x:v>
      </x:c>
      <x:c r="B395" s="2" t="str">
        <x:v>C0111</x:v>
      </x:c>
      <x:c r="C395" s="7" t="n">
        <x:v>45867</x:v>
      </x:c>
      <x:c r="D395" s="2" t="str">
        <x:v>Completed</x:v>
      </x:c>
      <x:c r="E395" s="2" t="str">
        <x:v>South</x:v>
      </x:c>
      <x:c r="F395" s="2" t="str">
        <x:v>Store</x:v>
      </x:c>
      <x:c r="G395" s="9" t="n">
        <x:f>SUM(SalesLines!Q962,SalesLines!Q963,SalesLines!Q964,SalesLines!Q965)</x:f>
        <x:v>3332.1</x:v>
      </x:c>
      <x:c r="H395" s="9" t="n">
        <x:f>SUM(SalesLines!M962,SalesLines!M963,SalesLines!M964,SalesLines!M965)</x:f>
        <x:v>3588</x:v>
      </x:c>
      <x:c r="I395" s="9" t="n">
        <x:f>SUM(SalesLines!N962,SalesLines!N963,SalesLines!N964,SalesLines!N965)</x:f>
        <x:v>255.9</x:v>
      </x:c>
      <x:c r="J395" s="9" t="n">
        <x:f>SUM(SalesLines!P962,SalesLines!P963,SalesLines!P964,SalesLines!P965)</x:f>
        <x:v>0</x:v>
      </x:c>
      <x:c r="K395" s="11" t="n">
        <x:f>SUM(SalesLines!R962,SalesLines!R963,SalesLines!R964,SalesLines!R965)</x:f>
        <x:v>14</x:v>
      </x:c>
      <x:c r="L395" s="11" t="n">
        <x:f>SUM(SalesLines!S962,SalesLines!S963,SalesLines!S964,SalesLines!S965)</x:f>
        <x:v>0</x:v>
      </x:c>
      <x:c r="M395" s="8" t="n">
        <x:f>DATE(YEAR(C395),MONTH(C395),1)</x:f>
        <x:v>45839</x:v>
      </x:c>
    </x:row>
    <x:row r="396" ht="22" customHeight="1">
      <x:c r="A396" s="2" t="str">
        <x:v>O00392</x:v>
      </x:c>
      <x:c r="B396" s="2" t="str">
        <x:v>C0251</x:v>
      </x:c>
      <x:c r="C396" s="7" t="n">
        <x:v>45731</x:v>
      </x:c>
      <x:c r="D396" s="2" t="str">
        <x:v>Completed</x:v>
      </x:c>
      <x:c r="E396" s="2" t="str">
        <x:v>North</x:v>
      </x:c>
      <x:c r="F396" s="2" t="str">
        <x:v>Online</x:v>
      </x:c>
      <x:c r="G396" s="9" t="n">
        <x:f>SUM(SalesLines!Q966)</x:f>
        <x:v>332.1</x:v>
      </x:c>
      <x:c r="H396" s="9" t="n">
        <x:f>SUM(SalesLines!M966)</x:f>
        <x:v>369</x:v>
      </x:c>
      <x:c r="I396" s="9" t="n">
        <x:f>SUM(SalesLines!N966)</x:f>
        <x:v>36.9</x:v>
      </x:c>
      <x:c r="J396" s="9" t="n">
        <x:f>SUM(SalesLines!P966)</x:f>
        <x:v>0</x:v>
      </x:c>
      <x:c r="K396" s="11" t="n">
        <x:f>SUM(SalesLines!R966)</x:f>
        <x:v>3</x:v>
      </x:c>
      <x:c r="L396" s="11" t="n">
        <x:f>SUM(SalesLines!S966)</x:f>
        <x:v>0</x:v>
      </x:c>
      <x:c r="M396" s="8" t="n">
        <x:f>DATE(YEAR(C396),MONTH(C396),1)</x:f>
        <x:v>45717</x:v>
      </x:c>
    </x:row>
    <x:row r="397" ht="22" customHeight="1">
      <x:c r="A397" s="2" t="str">
        <x:v>O00393</x:v>
      </x:c>
      <x:c r="B397" s="2" t="str">
        <x:v>C0048</x:v>
      </x:c>
      <x:c r="C397" s="7" t="n">
        <x:v>45682</x:v>
      </x:c>
      <x:c r="D397" s="2" t="str">
        <x:v>Completed</x:v>
      </x:c>
      <x:c r="E397" s="2" t="str">
        <x:v>East</x:v>
      </x:c>
      <x:c r="F397" s="2" t="str">
        <x:v>Store</x:v>
      </x:c>
      <x:c r="G397" s="9" t="n">
        <x:f>SUM(SalesLines!Q967)</x:f>
        <x:v>1143</x:v>
      </x:c>
      <x:c r="H397" s="9" t="n">
        <x:f>SUM(SalesLines!M967)</x:f>
        <x:v>1270</x:v>
      </x:c>
      <x:c r="I397" s="9" t="n">
        <x:f>SUM(SalesLines!N967)</x:f>
        <x:v>127</x:v>
      </x:c>
      <x:c r="J397" s="9" t="n">
        <x:f>SUM(SalesLines!P967)</x:f>
        <x:v>0</x:v>
      </x:c>
      <x:c r="K397" s="11" t="n">
        <x:f>SUM(SalesLines!R967)</x:f>
        <x:v>5</x:v>
      </x:c>
      <x:c r="L397" s="11" t="n">
        <x:f>SUM(SalesLines!S967)</x:f>
        <x:v>0</x:v>
      </x:c>
      <x:c r="M397" s="8" t="n">
        <x:f>DATE(YEAR(C397),MONTH(C397),1)</x:f>
        <x:v>45658</x:v>
      </x:c>
    </x:row>
    <x:row r="398" ht="22" customHeight="1">
      <x:c r="A398" s="2" t="str">
        <x:v>O00394</x:v>
      </x:c>
      <x:c r="B398" s="2" t="str">
        <x:v>C0205</x:v>
      </x:c>
      <x:c r="C398" s="7" t="n">
        <x:v>45949</x:v>
      </x:c>
      <x:c r="D398" s="2" t="str">
        <x:v>Cancelled</x:v>
      </x:c>
      <x:c r="E398" s="2" t="str">
        <x:v>West</x:v>
      </x:c>
      <x:c r="F398" s="2" t="str">
        <x:v>Store</x:v>
      </x:c>
      <x:c r="G398" s="9" t="n">
        <x:f>SUM(SalesLines!Q968,SalesLines!Q969,SalesLines!Q970,SalesLines!Q971)</x:f>
        <x:v>0</x:v>
      </x:c>
      <x:c r="H398" s="9" t="n">
        <x:f>SUM(SalesLines!M968,SalesLines!M969,SalesLines!M970,SalesLines!M971)</x:f>
        <x:v>0</x:v>
      </x:c>
      <x:c r="I398" s="9" t="n">
        <x:f>SUM(SalesLines!N968,SalesLines!N969,SalesLines!N970,SalesLines!N971)</x:f>
        <x:v>0</x:v>
      </x:c>
      <x:c r="J398" s="9" t="n">
        <x:f>SUM(SalesLines!P968,SalesLines!P969,SalesLines!P970,SalesLines!P971)</x:f>
        <x:v>0</x:v>
      </x:c>
      <x:c r="K398" s="11" t="n">
        <x:f>SUM(SalesLines!R968,SalesLines!R969,SalesLines!R970,SalesLines!R971)</x:f>
        <x:v>0</x:v>
      </x:c>
      <x:c r="L398" s="11" t="n">
        <x:f>SUM(SalesLines!S968,SalesLines!S969,SalesLines!S970,SalesLines!S971)</x:f>
        <x:v>0</x:v>
      </x:c>
      <x:c r="M398" s="8" t="n">
        <x:f>DATE(YEAR(C398),MONTH(C398),1)</x:f>
        <x:v>45931</x:v>
      </x:c>
    </x:row>
    <x:row r="399" ht="22" customHeight="1">
      <x:c r="A399" s="2" t="str">
        <x:v>O00395</x:v>
      </x:c>
      <x:c r="B399" s="2" t="str">
        <x:v>C0270</x:v>
      </x:c>
      <x:c r="C399" s="7" t="n">
        <x:v>45678</x:v>
      </x:c>
      <x:c r="D399" s="2" t="str">
        <x:v>Completed</x:v>
      </x:c>
      <x:c r="E399" s="2" t="str">
        <x:v>East</x:v>
      </x:c>
      <x:c r="F399" s="2" t="str">
        <x:v>Store</x:v>
      </x:c>
      <x:c r="G399" s="9" t="n">
        <x:f>SUM(SalesLines!Q972,SalesLines!Q973,SalesLines!Q974,SalesLines!Q975)</x:f>
        <x:v>1839.6</x:v>
      </x:c>
      <x:c r="H399" s="9" t="n">
        <x:f>SUM(SalesLines!M972,SalesLines!M973,SalesLines!M974,SalesLines!M975)</x:f>
        <x:v>2250</x:v>
      </x:c>
      <x:c r="I399" s="9" t="n">
        <x:f>SUM(SalesLines!N972,SalesLines!N973,SalesLines!N974,SalesLines!N975)</x:f>
        <x:v>342.4</x:v>
      </x:c>
      <x:c r="J399" s="9" t="n">
        <x:f>SUM(SalesLines!P972,SalesLines!P973,SalesLines!P974,SalesLines!P975)</x:f>
        <x:v>68</x:v>
      </x:c>
      <x:c r="K399" s="11" t="n">
        <x:f>SUM(SalesLines!R972,SalesLines!R973,SalesLines!R974,SalesLines!R975)</x:f>
        <x:v>14</x:v>
      </x:c>
      <x:c r="L399" s="11" t="n">
        <x:f>SUM(SalesLines!S972,SalesLines!S973,SalesLines!S974,SalesLines!S975)</x:f>
        <x:v>1</x:v>
      </x:c>
      <x:c r="M399" s="8" t="n">
        <x:f>DATE(YEAR(C399),MONTH(C399),1)</x:f>
        <x:v>45658</x:v>
      </x:c>
    </x:row>
    <x:row r="400" ht="22" customHeight="1">
      <x:c r="A400" s="2" t="str">
        <x:v>O00396</x:v>
      </x:c>
      <x:c r="B400" s="2" t="str">
        <x:v>C0109</x:v>
      </x:c>
      <x:c r="C400" s="7" t="n">
        <x:v>45968</x:v>
      </x:c>
      <x:c r="D400" s="2" t="str">
        <x:v>Completed</x:v>
      </x:c>
      <x:c r="E400" s="2" t="str">
        <x:v>West</x:v>
      </x:c>
      <x:c r="F400" s="2" t="str">
        <x:v>Online</x:v>
      </x:c>
      <x:c r="G400" s="9" t="n">
        <x:f>SUM(SalesLines!Q976,SalesLines!Q977,SalesLines!Q978,SalesLines!Q979)</x:f>
        <x:v>3397.8500000000004</x:v>
      </x:c>
      <x:c r="H400" s="9" t="n">
        <x:f>SUM(SalesLines!M976,SalesLines!M977,SalesLines!M978,SalesLines!M979)</x:f>
        <x:v>3551</x:v>
      </x:c>
      <x:c r="I400" s="9" t="n">
        <x:f>SUM(SalesLines!N976,SalesLines!N977,SalesLines!N978,SalesLines!N979)</x:f>
        <x:v>153.15</x:v>
      </x:c>
      <x:c r="J400" s="9" t="n">
        <x:f>SUM(SalesLines!P976,SalesLines!P977,SalesLines!P978,SalesLines!P979)</x:f>
        <x:v>0</x:v>
      </x:c>
      <x:c r="K400" s="11" t="n">
        <x:f>SUM(SalesLines!R976,SalesLines!R977,SalesLines!R978,SalesLines!R979)</x:f>
        <x:v>15</x:v>
      </x:c>
      <x:c r="L400" s="11" t="n">
        <x:f>SUM(SalesLines!S976,SalesLines!S977,SalesLines!S978,SalesLines!S979)</x:f>
        <x:v>0</x:v>
      </x:c>
      <x:c r="M400" s="8" t="n">
        <x:f>DATE(YEAR(C400),MONTH(C400),1)</x:f>
        <x:v>45962</x:v>
      </x:c>
    </x:row>
    <x:row r="401" ht="22" customHeight="1">
      <x:c r="A401" s="2" t="str">
        <x:v>O00397</x:v>
      </x:c>
      <x:c r="B401" s="2" t="str">
        <x:v>C0201</x:v>
      </x:c>
      <x:c r="C401" s="7" t="n">
        <x:v>45948</x:v>
      </x:c>
      <x:c r="D401" s="2" t="str">
        <x:v>Completed</x:v>
      </x:c>
      <x:c r="E401" s="2" t="str">
        <x:v>East</x:v>
      </x:c>
      <x:c r="F401" s="2" t="str">
        <x:v>Store</x:v>
      </x:c>
      <x:c r="G401" s="9" t="n">
        <x:f>SUM(SalesLines!Q980,SalesLines!Q981)</x:f>
        <x:v>1300.5</x:v>
      </x:c>
      <x:c r="H401" s="9" t="n">
        <x:f>SUM(SalesLines!M980,SalesLines!M981)</x:f>
        <x:v>1445</x:v>
      </x:c>
      <x:c r="I401" s="9" t="n">
        <x:f>SUM(SalesLines!N980,SalesLines!N981)</x:f>
        <x:v>144.5</x:v>
      </x:c>
      <x:c r="J401" s="9" t="n">
        <x:f>SUM(SalesLines!P980,SalesLines!P981)</x:f>
        <x:v>0</x:v>
      </x:c>
      <x:c r="K401" s="11" t="n">
        <x:f>SUM(SalesLines!R980,SalesLines!R981)</x:f>
        <x:v>7</x:v>
      </x:c>
      <x:c r="L401" s="11" t="n">
        <x:f>SUM(SalesLines!S980,SalesLines!S981)</x:f>
        <x:v>0</x:v>
      </x:c>
      <x:c r="M401" s="8" t="n">
        <x:f>DATE(YEAR(C401),MONTH(C401),1)</x:f>
        <x:v>45931</x:v>
      </x:c>
    </x:row>
    <x:row r="402" ht="22" customHeight="1">
      <x:c r="A402" s="2" t="str">
        <x:v>O00398</x:v>
      </x:c>
      <x:c r="B402" s="2" t="str">
        <x:v>C0093</x:v>
      </x:c>
      <x:c r="C402" s="7" t="n">
        <x:v>45856</x:v>
      </x:c>
      <x:c r="D402" s="2" t="str">
        <x:v>Completed</x:v>
      </x:c>
      <x:c r="E402" s="2" t="str">
        <x:v>North</x:v>
      </x:c>
      <x:c r="F402" s="2" t="str">
        <x:v>Online</x:v>
      </x:c>
      <x:c r="G402" s="9" t="n">
        <x:f>SUM(SalesLines!Q982)</x:f>
        <x:v>321.6</x:v>
      </x:c>
      <x:c r="H402" s="9" t="n">
        <x:f>SUM(SalesLines!M982)</x:f>
        <x:v>402</x:v>
      </x:c>
      <x:c r="I402" s="9" t="n">
        <x:f>SUM(SalesLines!N982)</x:f>
        <x:v>80.4</x:v>
      </x:c>
      <x:c r="J402" s="9" t="n">
        <x:f>SUM(SalesLines!P982)</x:f>
        <x:v>0</x:v>
      </x:c>
      <x:c r="K402" s="11" t="n">
        <x:f>SUM(SalesLines!R982)</x:f>
        <x:v>3</x:v>
      </x:c>
      <x:c r="L402" s="11" t="n">
        <x:f>SUM(SalesLines!S982)</x:f>
        <x:v>0</x:v>
      </x:c>
      <x:c r="M402" s="8" t="n">
        <x:f>DATE(YEAR(C402),MONTH(C402),1)</x:f>
        <x:v>45839</x:v>
      </x:c>
    </x:row>
    <x:row r="403" ht="22" customHeight="1">
      <x:c r="A403" s="2" t="str">
        <x:v>O00399</x:v>
      </x:c>
      <x:c r="B403" s="2" t="str">
        <x:v>C0213</x:v>
      </x:c>
      <x:c r="C403" s="7" t="n">
        <x:v>45739</x:v>
      </x:c>
      <x:c r="D403" s="2" t="str">
        <x:v>Completed</x:v>
      </x:c>
      <x:c r="E403" s="2" t="str">
        <x:v>East</x:v>
      </x:c>
      <x:c r="F403" s="2" t="str">
        <x:v>Store</x:v>
      </x:c>
      <x:c r="G403" s="9" t="n">
        <x:f>SUM(SalesLines!Q983,SalesLines!Q984,SalesLines!Q985,SalesLines!Q986)</x:f>
        <x:v>1968.1</x:v>
      </x:c>
      <x:c r="H403" s="9" t="n">
        <x:f>SUM(SalesLines!M983,SalesLines!M984,SalesLines!M985,SalesLines!M986)</x:f>
        <x:v>3319</x:v>
      </x:c>
      <x:c r="I403" s="9" t="n">
        <x:f>SUM(SalesLines!N983,SalesLines!N984,SalesLines!N985,SalesLines!N986)</x:f>
        <x:v>328.1</x:v>
      </x:c>
      <x:c r="J403" s="9" t="n">
        <x:f>SUM(SalesLines!P983,SalesLines!P984,SalesLines!P985,SalesLines!P986)</x:f>
        <x:v>1022.8</x:v>
      </x:c>
      <x:c r="K403" s="11" t="n">
        <x:f>SUM(SalesLines!R983,SalesLines!R984,SalesLines!R985,SalesLines!R986)</x:f>
        <x:v>16</x:v>
      </x:c>
      <x:c r="L403" s="11" t="n">
        <x:f>SUM(SalesLines!S983,SalesLines!S984,SalesLines!S985,SalesLines!S986)</x:f>
        <x:v>6</x:v>
      </x:c>
      <x:c r="M403" s="8" t="n">
        <x:f>DATE(YEAR(C403),MONTH(C403),1)</x:f>
        <x:v>45717</x:v>
      </x:c>
    </x:row>
    <x:row r="404" ht="22" customHeight="1">
      <x:c r="A404" s="2" t="str">
        <x:v>O00400</x:v>
      </x:c>
      <x:c r="B404" s="2" t="str">
        <x:v>C0140</x:v>
      </x:c>
      <x:c r="C404" s="7" t="n">
        <x:v>45864</x:v>
      </x:c>
      <x:c r="D404" s="2" t="str">
        <x:v>Completed</x:v>
      </x:c>
      <x:c r="E404" s="2" t="str">
        <x:v>East</x:v>
      </x:c>
      <x:c r="F404" s="2" t="str">
        <x:v>Store</x:v>
      </x:c>
      <x:c r="G404" s="9" t="n">
        <x:f>SUM(SalesLines!Q987,SalesLines!Q988)</x:f>
        <x:v>539.7</x:v>
      </x:c>
      <x:c r="H404" s="9" t="n">
        <x:f>SUM(SalesLines!M987,SalesLines!M988)</x:f>
        <x:v>578</x:v>
      </x:c>
      <x:c r="I404" s="9" t="n">
        <x:f>SUM(SalesLines!N987,SalesLines!N988)</x:f>
        <x:v>38.3</x:v>
      </x:c>
      <x:c r="J404" s="9" t="n">
        <x:f>SUM(SalesLines!P987,SalesLines!P988)</x:f>
        <x:v>0</x:v>
      </x:c>
      <x:c r="K404" s="11" t="n">
        <x:f>SUM(SalesLines!R987,SalesLines!R988)</x:f>
        <x:v>6</x:v>
      </x:c>
      <x:c r="L404" s="11" t="n">
        <x:f>SUM(SalesLines!S987,SalesLines!S988)</x:f>
        <x:v>0</x:v>
      </x:c>
      <x:c r="M404" s="8" t="n">
        <x:f>DATE(YEAR(C404),MONTH(C404),1)</x:f>
        <x:v>45839</x:v>
      </x:c>
    </x:row>
    <x:row r="405" ht="22" customHeight="1">
      <x:c r="A405" s="2" t="str">
        <x:v>O00401</x:v>
      </x:c>
      <x:c r="B405" s="2" t="str">
        <x:v>C0029</x:v>
      </x:c>
      <x:c r="C405" s="7" t="n">
        <x:v>45897</x:v>
      </x:c>
      <x:c r="D405" s="2" t="str">
        <x:v>Completed</x:v>
      </x:c>
      <x:c r="E405" s="2" t="str">
        <x:v>East</x:v>
      </x:c>
      <x:c r="F405" s="2" t="str">
        <x:v>Online</x:v>
      </x:c>
      <x:c r="G405" s="9" t="n">
        <x:f>SUM(SalesLines!Q989,SalesLines!Q990,SalesLines!Q991)</x:f>
        <x:v>881.6</x:v>
      </x:c>
      <x:c r="H405" s="9" t="n">
        <x:f>SUM(SalesLines!M989,SalesLines!M990,SalesLines!M991)</x:f>
        <x:v>998</x:v>
      </x:c>
      <x:c r="I405" s="9" t="n">
        <x:f>SUM(SalesLines!N989,SalesLines!N990,SalesLines!N991)</x:f>
        <x:v>116.4</x:v>
      </x:c>
      <x:c r="J405" s="9" t="n">
        <x:f>SUM(SalesLines!P989,SalesLines!P990,SalesLines!P991)</x:f>
        <x:v>0</x:v>
      </x:c>
      <x:c r="K405" s="11" t="n">
        <x:f>SUM(SalesLines!R989,SalesLines!R990,SalesLines!R991)</x:f>
        <x:v>5</x:v>
      </x:c>
      <x:c r="L405" s="11" t="n">
        <x:f>SUM(SalesLines!S989,SalesLines!S990,SalesLines!S991)</x:f>
        <x:v>0</x:v>
      </x:c>
      <x:c r="M405" s="8" t="n">
        <x:f>DATE(YEAR(C405),MONTH(C405),1)</x:f>
        <x:v>45870</x:v>
      </x:c>
    </x:row>
    <x:row r="406" ht="22" customHeight="1">
      <x:c r="A406" s="2" t="str">
        <x:v>O00402</x:v>
      </x:c>
      <x:c r="B406" s="2" t="str">
        <x:v>C0072</x:v>
      </x:c>
      <x:c r="C406" s="7" t="n">
        <x:v>45720</x:v>
      </x:c>
      <x:c r="D406" s="2" t="str">
        <x:v>Completed</x:v>
      </x:c>
      <x:c r="E406" s="2" t="str">
        <x:v>South</x:v>
      </x:c>
      <x:c r="F406" s="2" t="str">
        <x:v>Online</x:v>
      </x:c>
      <x:c r="G406" s="9" t="n">
        <x:f>SUM(SalesLines!Q992)</x:f>
        <x:v>207.9</x:v>
      </x:c>
      <x:c r="H406" s="9" t="n">
        <x:f>SUM(SalesLines!M992)</x:f>
        <x:v>231</x:v>
      </x:c>
      <x:c r="I406" s="9" t="n">
        <x:f>SUM(SalesLines!N992)</x:f>
        <x:v>23.1</x:v>
      </x:c>
      <x:c r="J406" s="9" t="n">
        <x:f>SUM(SalesLines!P992)</x:f>
        <x:v>0</x:v>
      </x:c>
      <x:c r="K406" s="11" t="n">
        <x:f>SUM(SalesLines!R992)</x:f>
        <x:v>1</x:v>
      </x:c>
      <x:c r="L406" s="11" t="n">
        <x:f>SUM(SalesLines!S992)</x:f>
        <x:v>0</x:v>
      </x:c>
      <x:c r="M406" s="8" t="n">
        <x:f>DATE(YEAR(C406),MONTH(C406),1)</x:f>
        <x:v>45717</x:v>
      </x:c>
    </x:row>
    <x:row r="407" ht="22" customHeight="1">
      <x:c r="A407" s="2" t="str">
        <x:v>O00403</x:v>
      </x:c>
      <x:c r="B407" s="2" t="str">
        <x:v>C0204</x:v>
      </x:c>
      <x:c r="C407" s="7" t="n">
        <x:v>45686</x:v>
      </x:c>
      <x:c r="D407" s="2" t="str">
        <x:v>Completed</x:v>
      </x:c>
      <x:c r="E407" s="2" t="str">
        <x:v>South</x:v>
      </x:c>
      <x:c r="F407" s="2" t="str">
        <x:v>Store</x:v>
      </x:c>
      <x:c r="G407" s="9" t="n">
        <x:f>SUM(SalesLines!Q993)</x:f>
        <x:v>279.3</x:v>
      </x:c>
      <x:c r="H407" s="9" t="n">
        <x:f>SUM(SalesLines!M993)</x:f>
        <x:v>294</x:v>
      </x:c>
      <x:c r="I407" s="9" t="n">
        <x:f>SUM(SalesLines!N993)</x:f>
        <x:v>14.700000000000001</x:v>
      </x:c>
      <x:c r="J407" s="9" t="n">
        <x:f>SUM(SalesLines!P993)</x:f>
        <x:v>0</x:v>
      </x:c>
      <x:c r="K407" s="11" t="n">
        <x:f>SUM(SalesLines!R993)</x:f>
        <x:v>1</x:v>
      </x:c>
      <x:c r="L407" s="11" t="n">
        <x:f>SUM(SalesLines!S993)</x:f>
        <x:v>0</x:v>
      </x:c>
      <x:c r="M407" s="8" t="n">
        <x:f>DATE(YEAR(C407),MONTH(C407),1)</x:f>
        <x:v>45658</x:v>
      </x:c>
    </x:row>
    <x:row r="408" ht="22" customHeight="1">
      <x:c r="A408" s="2" t="str">
        <x:v>O00404</x:v>
      </x:c>
      <x:c r="B408" s="2" t="str">
        <x:v>C0065</x:v>
      </x:c>
      <x:c r="C408" s="7" t="n">
        <x:v>45886</x:v>
      </x:c>
      <x:c r="D408" s="2" t="str">
        <x:v>Completed</x:v>
      </x:c>
      <x:c r="E408" s="2" t="str">
        <x:v>East</x:v>
      </x:c>
      <x:c r="F408" s="2" t="str">
        <x:v>Store</x:v>
      </x:c>
      <x:c r="G408" s="9" t="n">
        <x:f>SUM(SalesLines!Q994,SalesLines!Q995)</x:f>
        <x:v>441.75</x:v>
      </x:c>
      <x:c r="H408" s="9" t="n">
        <x:f>SUM(SalesLines!M994,SalesLines!M995)</x:f>
        <x:v>759</x:v>
      </x:c>
      <x:c r="I408" s="9" t="n">
        <x:f>SUM(SalesLines!N994,SalesLines!N995)</x:f>
        <x:v>52.650000000000006</x:v>
      </x:c>
      <x:c r="J408" s="9" t="n">
        <x:f>SUM(SalesLines!P994,SalesLines!P995)</x:f>
        <x:v>264.6</x:v>
      </x:c>
      <x:c r="K408" s="11" t="n">
        <x:f>SUM(SalesLines!R994,SalesLines!R995)</x:f>
        <x:v>6</x:v>
      </x:c>
      <x:c r="L408" s="11" t="n">
        <x:f>SUM(SalesLines!S994,SalesLines!S995)</x:f>
        <x:v>1</x:v>
      </x:c>
      <x:c r="M408" s="8" t="n">
        <x:f>DATE(YEAR(C408),MONTH(C408),1)</x:f>
        <x:v>45870</x:v>
      </x:c>
    </x:row>
    <x:row r="409" ht="22" customHeight="1">
      <x:c r="A409" s="2" t="str">
        <x:v>O00405</x:v>
      </x:c>
      <x:c r="B409" s="2" t="str">
        <x:v>C0145</x:v>
      </x:c>
      <x:c r="C409" s="7" t="n">
        <x:v>45776</x:v>
      </x:c>
      <x:c r="D409" s="2" t="str">
        <x:v>Completed</x:v>
      </x:c>
      <x:c r="E409" s="2" t="str">
        <x:v>West</x:v>
      </x:c>
      <x:c r="F409" s="2" t="str">
        <x:v>Store</x:v>
      </x:c>
      <x:c r="G409" s="9" t="n">
        <x:f>SUM(SalesLines!Q996,SalesLines!Q997,SalesLines!Q998)</x:f>
        <x:v>1231.05</x:v>
      </x:c>
      <x:c r="H409" s="9" t="n">
        <x:f>SUM(SalesLines!M996,SalesLines!M997,SalesLines!M998)</x:f>
        <x:v>1558</x:v>
      </x:c>
      <x:c r="I409" s="9" t="n">
        <x:f>SUM(SalesLines!N996,SalesLines!N997,SalesLines!N998)</x:f>
        <x:v>57.95</x:v>
      </x:c>
      <x:c r="J409" s="9" t="n">
        <x:f>SUM(SalesLines!P996,SalesLines!P997,SalesLines!P998)</x:f>
        <x:v>269</x:v>
      </x:c>
      <x:c r="K409" s="11" t="n">
        <x:f>SUM(SalesLines!R996,SalesLines!R997,SalesLines!R998)</x:f>
        <x:v>10</x:v>
      </x:c>
      <x:c r="L409" s="11" t="n">
        <x:f>SUM(SalesLines!S996,SalesLines!S997,SalesLines!S998)</x:f>
        <x:v>1</x:v>
      </x:c>
      <x:c r="M409" s="8" t="n">
        <x:f>DATE(YEAR(C409),MONTH(C409),1)</x:f>
        <x:v>45748</x:v>
      </x:c>
    </x:row>
    <x:row r="410" ht="22" customHeight="1">
      <x:c r="A410" s="2" t="str">
        <x:v>O00406</x:v>
      </x:c>
      <x:c r="B410" s="2" t="str">
        <x:v>C0144</x:v>
      </x:c>
      <x:c r="C410" s="7" t="n">
        <x:v>45794</x:v>
      </x:c>
      <x:c r="D410" s="2" t="str">
        <x:v>Completed</x:v>
      </x:c>
      <x:c r="E410" s="2" t="str">
        <x:v>North</x:v>
      </x:c>
      <x:c r="F410" s="2" t="str">
        <x:v>Online</x:v>
      </x:c>
      <x:c r="G410" s="9" t="n">
        <x:f>SUM(SalesLines!Q999,SalesLines!Q1000)</x:f>
        <x:v>592.4</x:v>
      </x:c>
      <x:c r="H410" s="9" t="n">
        <x:f>SUM(SalesLines!M999,SalesLines!M1000)</x:f>
        <x:v>710</x:v>
      </x:c>
      <x:c r="I410" s="9" t="n">
        <x:f>SUM(SalesLines!N999,SalesLines!N1000)</x:f>
        <x:v>117.60000000000001</x:v>
      </x:c>
      <x:c r="J410" s="9" t="n">
        <x:f>SUM(SalesLines!P999,SalesLines!P1000)</x:f>
        <x:v>0</x:v>
      </x:c>
      <x:c r="K410" s="11" t="n">
        <x:f>SUM(SalesLines!R999,SalesLines!R1000)</x:f>
        <x:v>4</x:v>
      </x:c>
      <x:c r="L410" s="11" t="n">
        <x:f>SUM(SalesLines!S999,SalesLines!S1000)</x:f>
        <x:v>0</x:v>
      </x:c>
      <x:c r="M410" s="8" t="n">
        <x:f>DATE(YEAR(C410),MONTH(C410),1)</x:f>
        <x:v>45778</x:v>
      </x:c>
    </x:row>
    <x:row r="411" ht="22" customHeight="1">
      <x:c r="A411" s="2" t="str">
        <x:v>O00407</x:v>
      </x:c>
      <x:c r="B411" s="2" t="str">
        <x:v>C0093</x:v>
      </x:c>
      <x:c r="C411" s="7" t="n">
        <x:v>45910</x:v>
      </x:c>
      <x:c r="D411" s="2" t="str">
        <x:v>Completed</x:v>
      </x:c>
      <x:c r="E411" s="2" t="str">
        <x:v>North</x:v>
      </x:c>
      <x:c r="F411" s="2" t="str">
        <x:v>Online</x:v>
      </x:c>
      <x:c r="G411" s="9" t="n">
        <x:f>SUM(SalesLines!Q1001,SalesLines!Q1002,SalesLines!Q1003)</x:f>
        <x:v>1966.35</x:v>
      </x:c>
      <x:c r="H411" s="9" t="n">
        <x:f>SUM(SalesLines!M1001,SalesLines!M1002,SalesLines!M1003)</x:f>
        <x:v>2091</x:v>
      </x:c>
      <x:c r="I411" s="9" t="n">
        <x:f>SUM(SalesLines!N1001,SalesLines!N1002,SalesLines!N1003)</x:f>
        <x:v>124.65</x:v>
      </x:c>
      <x:c r="J411" s="9" t="n">
        <x:f>SUM(SalesLines!P1001,SalesLines!P1002,SalesLines!P1003)</x:f>
        <x:v>0</x:v>
      </x:c>
      <x:c r="K411" s="11" t="n">
        <x:f>SUM(SalesLines!R1001,SalesLines!R1002,SalesLines!R1003)</x:f>
        <x:v>9</x:v>
      </x:c>
      <x:c r="L411" s="11" t="n">
        <x:f>SUM(SalesLines!S1001,SalesLines!S1002,SalesLines!S1003)</x:f>
        <x:v>0</x:v>
      </x:c>
      <x:c r="M411" s="8" t="n">
        <x:f>DATE(YEAR(C411),MONTH(C411),1)</x:f>
        <x:v>45901</x:v>
      </x:c>
    </x:row>
    <x:row r="412" ht="22" customHeight="1">
      <x:c r="A412" s="2" t="str">
        <x:v>O00408</x:v>
      </x:c>
      <x:c r="B412" s="2" t="str">
        <x:v>C0234</x:v>
      </x:c>
      <x:c r="C412" s="7" t="n">
        <x:v>45961</x:v>
      </x:c>
      <x:c r="D412" s="2" t="str">
        <x:v>Cancelled</x:v>
      </x:c>
      <x:c r="E412" s="2" t="str">
        <x:v>West</x:v>
      </x:c>
      <x:c r="F412" s="2" t="str">
        <x:v>Online</x:v>
      </x:c>
      <x:c r="G412" s="9" t="n">
        <x:f>SUM(SalesLines!Q1004)</x:f>
        <x:v>0</x:v>
      </x:c>
      <x:c r="H412" s="9" t="n">
        <x:f>SUM(SalesLines!M1004)</x:f>
        <x:v>0</x:v>
      </x:c>
      <x:c r="I412" s="9" t="n">
        <x:f>SUM(SalesLines!N1004)</x:f>
        <x:v>0</x:v>
      </x:c>
      <x:c r="J412" s="9" t="n">
        <x:f>SUM(SalesLines!P1004)</x:f>
        <x:v>0</x:v>
      </x:c>
      <x:c r="K412" s="11" t="n">
        <x:f>SUM(SalesLines!R1004)</x:f>
        <x:v>0</x:v>
      </x:c>
      <x:c r="L412" s="11" t="n">
        <x:f>SUM(SalesLines!S1004)</x:f>
        <x:v>0</x:v>
      </x:c>
      <x:c r="M412" s="8" t="n">
        <x:f>DATE(YEAR(C412),MONTH(C412),1)</x:f>
        <x:v>45931</x:v>
      </x:c>
    </x:row>
    <x:row r="413" ht="22" customHeight="1">
      <x:c r="A413" s="2" t="str">
        <x:v>O00409</x:v>
      </x:c>
      <x:c r="B413" s="2" t="str">
        <x:v>C0137</x:v>
      </x:c>
      <x:c r="C413" s="7" t="n">
        <x:v>46014</x:v>
      </x:c>
      <x:c r="D413" s="2" t="str">
        <x:v>Completed</x:v>
      </x:c>
      <x:c r="E413" s="2" t="str">
        <x:v>South</x:v>
      </x:c>
      <x:c r="F413" s="2" t="str">
        <x:v>Online</x:v>
      </x:c>
      <x:c r="G413" s="9" t="n">
        <x:f>SUM(SalesLines!Q1005,SalesLines!Q1006)</x:f>
        <x:v>1357.2</x:v>
      </x:c>
      <x:c r="H413" s="9" t="n">
        <x:f>SUM(SalesLines!M1005,SalesLines!M1006)</x:f>
        <x:v>1508</x:v>
      </x:c>
      <x:c r="I413" s="9" t="n">
        <x:f>SUM(SalesLines!N1005,SalesLines!N1006)</x:f>
        <x:v>150.8</x:v>
      </x:c>
      <x:c r="J413" s="9" t="n">
        <x:f>SUM(SalesLines!P1005,SalesLines!P1006)</x:f>
        <x:v>0</x:v>
      </x:c>
      <x:c r="K413" s="11" t="n">
        <x:f>SUM(SalesLines!R1005,SalesLines!R1006)</x:f>
        <x:v>8</x:v>
      </x:c>
      <x:c r="L413" s="11" t="n">
        <x:f>SUM(SalesLines!S1005,SalesLines!S1006)</x:f>
        <x:v>0</x:v>
      </x:c>
      <x:c r="M413" s="8" t="n">
        <x:f>DATE(YEAR(C413),MONTH(C413),1)</x:f>
        <x:v>45992</x:v>
      </x:c>
    </x:row>
    <x:row r="414" ht="22" customHeight="1">
      <x:c r="A414" s="2" t="str">
        <x:v>O00410</x:v>
      </x:c>
      <x:c r="B414" s="2" t="str">
        <x:v>C0109</x:v>
      </x:c>
      <x:c r="C414" s="7" t="n">
        <x:v>45697</x:v>
      </x:c>
      <x:c r="D414" s="2" t="str">
        <x:v>Completed</x:v>
      </x:c>
      <x:c r="E414" s="2" t="str">
        <x:v>West</x:v>
      </x:c>
      <x:c r="F414" s="2" t="str">
        <x:v>Store</x:v>
      </x:c>
      <x:c r="G414" s="9" t="n">
        <x:f>SUM(SalesLines!Q1007,SalesLines!Q1008,SalesLines!Q1009,SalesLines!Q1010)</x:f>
        <x:v>1784.4</x:v>
      </x:c>
      <x:c r="H414" s="9" t="n">
        <x:f>SUM(SalesLines!M1007,SalesLines!M1008,SalesLines!M1009,SalesLines!M1010)</x:f>
        <x:v>2560</x:v>
      </x:c>
      <x:c r="I414" s="9" t="n">
        <x:f>SUM(SalesLines!N1007,SalesLines!N1008,SalesLines!N1009,SalesLines!N1010)</x:f>
        <x:v>322</x:v>
      </x:c>
      <x:c r="J414" s="9" t="n">
        <x:f>SUM(SalesLines!P1007,SalesLines!P1008,SalesLines!P1009,SalesLines!P1010)</x:f>
        <x:v>453.6</x:v>
      </x:c>
      <x:c r="K414" s="11" t="n">
        <x:f>SUM(SalesLines!R1007,SalesLines!R1008,SalesLines!R1009,SalesLines!R1010)</x:f>
        <x:v>14</x:v>
      </x:c>
      <x:c r="L414" s="11" t="n">
        <x:f>SUM(SalesLines!S1007,SalesLines!S1008,SalesLines!S1009,SalesLines!S1010)</x:f>
        <x:v>3</x:v>
      </x:c>
      <x:c r="M414" s="8" t="n">
        <x:f>DATE(YEAR(C414),MONTH(C414),1)</x:f>
        <x:v>45689</x:v>
      </x:c>
    </x:row>
    <x:row r="415" ht="22" customHeight="1">
      <x:c r="A415" s="2" t="str">
        <x:v>O00411</x:v>
      </x:c>
      <x:c r="B415" s="2" t="str">
        <x:v>C0107</x:v>
      </x:c>
      <x:c r="C415" s="7" t="n">
        <x:v>45751</x:v>
      </x:c>
      <x:c r="D415" s="2" t="str">
        <x:v>Completed</x:v>
      </x:c>
      <x:c r="E415" s="2" t="str">
        <x:v>South</x:v>
      </x:c>
      <x:c r="F415" s="2" t="str">
        <x:v>Store</x:v>
      </x:c>
      <x:c r="G415" s="9" t="n">
        <x:f>SUM(SalesLines!Q1011,SalesLines!Q1012,SalesLines!Q1013)</x:f>
        <x:v>1545.8</x:v>
      </x:c>
      <x:c r="H415" s="9" t="n">
        <x:f>SUM(SalesLines!M1011,SalesLines!M1012,SalesLines!M1013)</x:f>
        <x:v>1831</x:v>
      </x:c>
      <x:c r="I415" s="9" t="n">
        <x:f>SUM(SalesLines!N1011,SalesLines!N1012,SalesLines!N1013)</x:f>
        <x:v>285.2</x:v>
      </x:c>
      <x:c r="J415" s="9" t="n">
        <x:f>SUM(SalesLines!P1011,SalesLines!P1012,SalesLines!P1013)</x:f>
        <x:v>0</x:v>
      </x:c>
      <x:c r="K415" s="11" t="n">
        <x:f>SUM(SalesLines!R1011,SalesLines!R1012,SalesLines!R1013)</x:f>
        <x:v>11</x:v>
      </x:c>
      <x:c r="L415" s="11" t="n">
        <x:f>SUM(SalesLines!S1011,SalesLines!S1012,SalesLines!S1013)</x:f>
        <x:v>0</x:v>
      </x:c>
      <x:c r="M415" s="8" t="n">
        <x:f>DATE(YEAR(C415),MONTH(C415),1)</x:f>
        <x:v>45748</x:v>
      </x:c>
    </x:row>
    <x:row r="416" ht="22" customHeight="1">
      <x:c r="A416" s="2" t="str">
        <x:v>O00412</x:v>
      </x:c>
      <x:c r="B416" s="2" t="str">
        <x:v>C0260</x:v>
      </x:c>
      <x:c r="C416" s="7" t="n">
        <x:v>45747</x:v>
      </x:c>
      <x:c r="D416" s="2" t="str">
        <x:v>Completed</x:v>
      </x:c>
      <x:c r="E416" s="2" t="str">
        <x:v>South</x:v>
      </x:c>
      <x:c r="F416" s="2" t="str">
        <x:v>Store</x:v>
      </x:c>
      <x:c r="G416" s="9" t="n">
        <x:f>SUM(SalesLines!Q1014,SalesLines!Q1015)</x:f>
        <x:v>1527.2</x:v>
      </x:c>
      <x:c r="H416" s="9" t="n">
        <x:f>SUM(SalesLines!M1014,SalesLines!M1015)</x:f>
        <x:v>1688</x:v>
      </x:c>
      <x:c r="I416" s="9" t="n">
        <x:f>SUM(SalesLines!N1014,SalesLines!N1015)</x:f>
        <x:v>53.6</x:v>
      </x:c>
      <x:c r="J416" s="9" t="n">
        <x:f>SUM(SalesLines!P1014,SalesLines!P1015)</x:f>
        <x:v>107.2</x:v>
      </x:c>
      <x:c r="K416" s="11" t="n">
        <x:f>SUM(SalesLines!R1014,SalesLines!R1015)</x:f>
        <x:v>7</x:v>
      </x:c>
      <x:c r="L416" s="11" t="n">
        <x:f>SUM(SalesLines!S1014,SalesLines!S1015)</x:f>
        <x:v>1</x:v>
      </x:c>
      <x:c r="M416" s="8" t="n">
        <x:f>DATE(YEAR(C416),MONTH(C416),1)</x:f>
        <x:v>45717</x:v>
      </x:c>
    </x:row>
    <x:row r="417" ht="22" customHeight="1">
      <x:c r="A417" s="2" t="str">
        <x:v>O00413</x:v>
      </x:c>
      <x:c r="B417" s="2" t="str">
        <x:v>C0039</x:v>
      </x:c>
      <x:c r="C417" s="7" t="n">
        <x:v>45973</x:v>
      </x:c>
      <x:c r="D417" s="2" t="str">
        <x:v>Completed</x:v>
      </x:c>
      <x:c r="E417" s="2" t="str">
        <x:v>North</x:v>
      </x:c>
      <x:c r="F417" s="2" t="str">
        <x:v>Online</x:v>
      </x:c>
      <x:c r="G417" s="9" t="n">
        <x:f>SUM(SalesLines!Q1016,SalesLines!Q1017,SalesLines!Q1018,SalesLines!Q1019)</x:f>
        <x:v>1813.2000000000003</x:v>
      </x:c>
      <x:c r="H417" s="9" t="n">
        <x:f>SUM(SalesLines!M1016,SalesLines!M1017,SalesLines!M1018,SalesLines!M1019)</x:f>
        <x:v>2033</x:v>
      </x:c>
      <x:c r="I417" s="9" t="n">
        <x:f>SUM(SalesLines!N1016,SalesLines!N1017,SalesLines!N1018,SalesLines!N1019)</x:f>
        <x:v>219.8</x:v>
      </x:c>
      <x:c r="J417" s="9" t="n">
        <x:f>SUM(SalesLines!P1016,SalesLines!P1017,SalesLines!P1018,SalesLines!P1019)</x:f>
        <x:v>0</x:v>
      </x:c>
      <x:c r="K417" s="11" t="n">
        <x:f>SUM(SalesLines!R1016,SalesLines!R1017,SalesLines!R1018,SalesLines!R1019)</x:f>
        <x:v>12</x:v>
      </x:c>
      <x:c r="L417" s="11" t="n">
        <x:f>SUM(SalesLines!S1016,SalesLines!S1017,SalesLines!S1018,SalesLines!S1019)</x:f>
        <x:v>0</x:v>
      </x:c>
      <x:c r="M417" s="8" t="n">
        <x:f>DATE(YEAR(C417),MONTH(C417),1)</x:f>
        <x:v>45962</x:v>
      </x:c>
    </x:row>
    <x:row r="418" ht="22" customHeight="1">
      <x:c r="A418" s="2" t="str">
        <x:v>O00414</x:v>
      </x:c>
      <x:c r="B418" s="2" t="str">
        <x:v>C0299</x:v>
      </x:c>
      <x:c r="C418" s="7" t="n">
        <x:v>45894</x:v>
      </x:c>
      <x:c r="D418" s="2" t="str">
        <x:v>Completed</x:v>
      </x:c>
      <x:c r="E418" s="2" t="str">
        <x:v>North</x:v>
      </x:c>
      <x:c r="F418" s="2" t="str">
        <x:v>Store</x:v>
      </x:c>
      <x:c r="G418" s="9" t="n">
        <x:f>SUM(SalesLines!Q1020,SalesLines!Q1021,SalesLines!Q1022,SalesLines!Q1023)</x:f>
        <x:v>945.5000000000001</x:v>
      </x:c>
      <x:c r="H418" s="9" t="n">
        <x:f>SUM(SalesLines!M1020,SalesLines!M1021,SalesLines!M1022,SalesLines!M1023)</x:f>
        <x:v>1447</x:v>
      </x:c>
      <x:c r="I418" s="9" t="n">
        <x:f>SUM(SalesLines!N1020,SalesLines!N1021,SalesLines!N1022,SalesLines!N1023)</x:f>
        <x:v>261.5</x:v>
      </x:c>
      <x:c r="J418" s="9" t="n">
        <x:f>SUM(SalesLines!P1020,SalesLines!P1021,SalesLines!P1022,SalesLines!P1023)</x:f>
        <x:v>240</x:v>
      </x:c>
      <x:c r="K418" s="11" t="n">
        <x:f>SUM(SalesLines!R1020,SalesLines!R1021,SalesLines!R1022,SalesLines!R1023)</x:f>
        <x:v>8</x:v>
      </x:c>
      <x:c r="L418" s="11" t="n">
        <x:f>SUM(SalesLines!S1020,SalesLines!S1021,SalesLines!S1022,SalesLines!S1023)</x:f>
        <x:v>1</x:v>
      </x:c>
      <x:c r="M418" s="8" t="n">
        <x:f>DATE(YEAR(C418),MONTH(C418),1)</x:f>
        <x:v>45870</x:v>
      </x:c>
    </x:row>
    <x:row r="419" ht="22" customHeight="1">
      <x:c r="A419" s="2" t="str">
        <x:v>O00415</x:v>
      </x:c>
      <x:c r="B419" s="2" t="str">
        <x:v>C0177</x:v>
      </x:c>
      <x:c r="C419" s="7" t="n">
        <x:v>45924</x:v>
      </x:c>
      <x:c r="D419" s="2" t="str">
        <x:v>Completed</x:v>
      </x:c>
      <x:c r="E419" s="2" t="str">
        <x:v>West</x:v>
      </x:c>
      <x:c r="F419" s="2" t="str">
        <x:v>Store</x:v>
      </x:c>
      <x:c r="G419" s="9" t="n">
        <x:f>SUM(SalesLines!Q1024)</x:f>
        <x:v>553.5</x:v>
      </x:c>
      <x:c r="H419" s="9" t="n">
        <x:f>SUM(SalesLines!M1024)</x:f>
        <x:v>615</x:v>
      </x:c>
      <x:c r="I419" s="9" t="n">
        <x:f>SUM(SalesLines!N1024)</x:f>
        <x:v>61.5</x:v>
      </x:c>
      <x:c r="J419" s="9" t="n">
        <x:f>SUM(SalesLines!P1024)</x:f>
        <x:v>0</x:v>
      </x:c>
      <x:c r="K419" s="11" t="n">
        <x:f>SUM(SalesLines!R1024)</x:f>
        <x:v>5</x:v>
      </x:c>
      <x:c r="L419" s="11" t="n">
        <x:f>SUM(SalesLines!S1024)</x:f>
        <x:v>0</x:v>
      </x:c>
      <x:c r="M419" s="8" t="n">
        <x:f>DATE(YEAR(C419),MONTH(C419),1)</x:f>
        <x:v>45901</x:v>
      </x:c>
    </x:row>
    <x:row r="420" ht="22" customHeight="1">
      <x:c r="A420" s="2" t="str">
        <x:v>O00416</x:v>
      </x:c>
      <x:c r="B420" s="2" t="str">
        <x:v>C0256</x:v>
      </x:c>
      <x:c r="C420" s="7" t="n">
        <x:v>45740</x:v>
      </x:c>
      <x:c r="D420" s="2" t="str">
        <x:v>Completed</x:v>
      </x:c>
      <x:c r="E420" s="2" t="str">
        <x:v>North</x:v>
      </x:c>
      <x:c r="F420" s="2" t="str">
        <x:v>Online</x:v>
      </x:c>
      <x:c r="G420" s="9" t="n">
        <x:f>SUM(SalesLines!Q1025,SalesLines!Q1026)</x:f>
        <x:v>560.55</x:v>
      </x:c>
      <x:c r="H420" s="9" t="n">
        <x:f>SUM(SalesLines!M1025,SalesLines!M1026)</x:f>
        <x:v>573</x:v>
      </x:c>
      <x:c r="I420" s="9" t="n">
        <x:f>SUM(SalesLines!N1025,SalesLines!N1026)</x:f>
        <x:v>12.450000000000001</x:v>
      </x:c>
      <x:c r="J420" s="9" t="n">
        <x:f>SUM(SalesLines!P1025,SalesLines!P1026)</x:f>
        <x:v>0</x:v>
      </x:c>
      <x:c r="K420" s="11" t="n">
        <x:f>SUM(SalesLines!R1025,SalesLines!R1026)</x:f>
        <x:v>5</x:v>
      </x:c>
      <x:c r="L420" s="11" t="n">
        <x:f>SUM(SalesLines!S1025,SalesLines!S1026)</x:f>
        <x:v>0</x:v>
      </x:c>
      <x:c r="M420" s="8" t="n">
        <x:f>DATE(YEAR(C420),MONTH(C420),1)</x:f>
        <x:v>45717</x:v>
      </x:c>
    </x:row>
    <x:row r="421" ht="22" customHeight="1">
      <x:c r="A421" s="2" t="str">
        <x:v>O00417</x:v>
      </x:c>
      <x:c r="B421" s="2" t="str">
        <x:v>C0100</x:v>
      </x:c>
      <x:c r="C421" s="7" t="n">
        <x:v>46018</x:v>
      </x:c>
      <x:c r="D421" s="2" t="str">
        <x:v>Completed</x:v>
      </x:c>
      <x:c r="E421" s="2" t="str">
        <x:v>West</x:v>
      </x:c>
      <x:c r="F421" s="2" t="str">
        <x:v>Store</x:v>
      </x:c>
      <x:c r="G421" s="9" t="n">
        <x:f>SUM(SalesLines!Q1027)</x:f>
        <x:v>553.5</x:v>
      </x:c>
      <x:c r="H421" s="9" t="n">
        <x:f>SUM(SalesLines!M1027)</x:f>
        <x:v>615</x:v>
      </x:c>
      <x:c r="I421" s="9" t="n">
        <x:f>SUM(SalesLines!N1027)</x:f>
        <x:v>61.5</x:v>
      </x:c>
      <x:c r="J421" s="9" t="n">
        <x:f>SUM(SalesLines!P1027)</x:f>
        <x:v>0</x:v>
      </x:c>
      <x:c r="K421" s="11" t="n">
        <x:f>SUM(SalesLines!R1027)</x:f>
        <x:v>5</x:v>
      </x:c>
      <x:c r="L421" s="11" t="n">
        <x:f>SUM(SalesLines!S1027)</x:f>
        <x:v>0</x:v>
      </x:c>
      <x:c r="M421" s="8" t="n">
        <x:f>DATE(YEAR(C421),MONTH(C421),1)</x:f>
        <x:v>45992</x:v>
      </x:c>
    </x:row>
    <x:row r="422" ht="22" customHeight="1">
      <x:c r="A422" s="2" t="str">
        <x:v>O00418</x:v>
      </x:c>
      <x:c r="B422" s="2" t="str">
        <x:v>C0036</x:v>
      </x:c>
      <x:c r="C422" s="7" t="n">
        <x:v>45659</x:v>
      </x:c>
      <x:c r="D422" s="2" t="str">
        <x:v>Completed</x:v>
      </x:c>
      <x:c r="E422" s="2" t="str">
        <x:v>West</x:v>
      </x:c>
      <x:c r="F422" s="2" t="str">
        <x:v>Store</x:v>
      </x:c>
      <x:c r="G422" s="9" t="n">
        <x:f>SUM(SalesLines!Q1028,SalesLines!Q1029)</x:f>
        <x:v>650</x:v>
      </x:c>
      <x:c r="H422" s="9" t="n">
        <x:f>SUM(SalesLines!M1028,SalesLines!M1029)</x:f>
        <x:v>715</x:v>
      </x:c>
      <x:c r="I422" s="9" t="n">
        <x:f>SUM(SalesLines!N1028,SalesLines!N1029)</x:f>
        <x:v>65</x:v>
      </x:c>
      <x:c r="J422" s="9" t="n">
        <x:f>SUM(SalesLines!P1028,SalesLines!P1029)</x:f>
        <x:v>0</x:v>
      </x:c>
      <x:c r="K422" s="11" t="n">
        <x:f>SUM(SalesLines!R1028,SalesLines!R1029)</x:f>
        <x:v>10</x:v>
      </x:c>
      <x:c r="L422" s="11" t="n">
        <x:f>SUM(SalesLines!S1028,SalesLines!S1029)</x:f>
        <x:v>0</x:v>
      </x:c>
      <x:c r="M422" s="8" t="n">
        <x:f>DATE(YEAR(C422),MONTH(C422),1)</x:f>
        <x:v>45658</x:v>
      </x:c>
    </x:row>
    <x:row r="423" ht="22" customHeight="1">
      <x:c r="A423" s="2" t="str">
        <x:v>O00419</x:v>
      </x:c>
      <x:c r="B423" s="2" t="str">
        <x:v>C0180</x:v>
      </x:c>
      <x:c r="C423" s="7" t="n">
        <x:v>45786</x:v>
      </x:c>
      <x:c r="D423" s="2" t="str">
        <x:v>Completed</x:v>
      </x:c>
      <x:c r="E423" s="2" t="str">
        <x:v>West</x:v>
      </x:c>
      <x:c r="F423" s="2" t="str">
        <x:v>Online</x:v>
      </x:c>
      <x:c r="G423" s="9" t="n">
        <x:f>SUM(SalesLines!Q1030,SalesLines!Q1031,SalesLines!Q1032)</x:f>
        <x:v>720</x:v>
      </x:c>
      <x:c r="H423" s="9" t="n">
        <x:f>SUM(SalesLines!M1030,SalesLines!M1031,SalesLines!M1032)</x:f>
        <x:v>762</x:v>
      </x:c>
      <x:c r="I423" s="9" t="n">
        <x:f>SUM(SalesLines!N1030,SalesLines!N1031,SalesLines!N1032)</x:f>
        <x:v>42</x:v>
      </x:c>
      <x:c r="J423" s="9" t="n">
        <x:f>SUM(SalesLines!P1030,SalesLines!P1031,SalesLines!P1032)</x:f>
        <x:v>0</x:v>
      </x:c>
      <x:c r="K423" s="11" t="n">
        <x:f>SUM(SalesLines!R1030,SalesLines!R1031,SalesLines!R1032)</x:f>
        <x:v>7</x:v>
      </x:c>
      <x:c r="L423" s="11" t="n">
        <x:f>SUM(SalesLines!S1030,SalesLines!S1031,SalesLines!S1032)</x:f>
        <x:v>0</x:v>
      </x:c>
      <x:c r="M423" s="8" t="n">
        <x:f>DATE(YEAR(C423),MONTH(C423),1)</x:f>
        <x:v>45778</x:v>
      </x:c>
    </x:row>
    <x:row r="424" ht="22" customHeight="1">
      <x:c r="A424" s="2" t="str">
        <x:v>O00420</x:v>
      </x:c>
      <x:c r="B424" s="2" t="str">
        <x:v>C0125</x:v>
      </x:c>
      <x:c r="C424" s="7" t="n">
        <x:v>45901</x:v>
      </x:c>
      <x:c r="D424" s="2" t="str">
        <x:v>Completed</x:v>
      </x:c>
      <x:c r="E424" s="2" t="str">
        <x:v>South</x:v>
      </x:c>
      <x:c r="F424" s="2" t="str">
        <x:v>Online</x:v>
      </x:c>
      <x:c r="G424" s="9" t="n">
        <x:f>SUM(SalesLines!Q1033,SalesLines!Q1034,SalesLines!Q1035,SalesLines!Q1036)</x:f>
        <x:v>366.4</x:v>
      </x:c>
      <x:c r="H424" s="9" t="n">
        <x:f>SUM(SalesLines!M1033,SalesLines!M1034,SalesLines!M1035,SalesLines!M1036)</x:f>
        <x:v>617</x:v>
      </x:c>
      <x:c r="I424" s="9" t="n">
        <x:f>SUM(SalesLines!N1033,SalesLines!N1034,SalesLines!N1035,SalesLines!N1036)</x:f>
        <x:v>91.4</x:v>
      </x:c>
      <x:c r="J424" s="9" t="n">
        <x:f>SUM(SalesLines!P1033,SalesLines!P1034,SalesLines!P1035,SalesLines!P1036)</x:f>
        <x:v>159.20000000000002</x:v>
      </x:c>
      <x:c r="K424" s="11" t="n">
        <x:f>SUM(SalesLines!R1033,SalesLines!R1034,SalesLines!R1035,SalesLines!R1036)</x:f>
        <x:v>6</x:v>
      </x:c>
      <x:c r="L424" s="11" t="n">
        <x:f>SUM(SalesLines!S1033,SalesLines!S1034,SalesLines!S1035,SalesLines!S1036)</x:f>
        <x:v>1</x:v>
      </x:c>
      <x:c r="M424" s="8" t="n">
        <x:f>DATE(YEAR(C424),MONTH(C424),1)</x:f>
        <x:v>45901</x:v>
      </x:c>
    </x:row>
    <x:row r="425" ht="22" customHeight="1">
      <x:c r="A425" s="2" t="str">
        <x:v>O00421</x:v>
      </x:c>
      <x:c r="B425" s="2" t="str">
        <x:v>C0201</x:v>
      </x:c>
      <x:c r="C425" s="7" t="n">
        <x:v>45679</x:v>
      </x:c>
      <x:c r="D425" s="2" t="str">
        <x:v>Completed</x:v>
      </x:c>
      <x:c r="E425" s="2" t="str">
        <x:v>East</x:v>
      </x:c>
      <x:c r="F425" s="2" t="str">
        <x:v>Online</x:v>
      </x:c>
      <x:c r="G425" s="9" t="n">
        <x:f>SUM(SalesLines!Q1037,SalesLines!Q1038,SalesLines!Q1039)</x:f>
        <x:v>1139.6</x:v>
      </x:c>
      <x:c r="H425" s="9" t="n">
        <x:f>SUM(SalesLines!M1037,SalesLines!M1038,SalesLines!M1039)</x:f>
        <x:v>1273</x:v>
      </x:c>
      <x:c r="I425" s="9" t="n">
        <x:f>SUM(SalesLines!N1037,SalesLines!N1038,SalesLines!N1039)</x:f>
        <x:v>133.4</x:v>
      </x:c>
      <x:c r="J425" s="9" t="n">
        <x:f>SUM(SalesLines!P1037,SalesLines!P1038,SalesLines!P1039)</x:f>
        <x:v>0</x:v>
      </x:c>
      <x:c r="K425" s="11" t="n">
        <x:f>SUM(SalesLines!R1037,SalesLines!R1038,SalesLines!R1039)</x:f>
        <x:v>11</x:v>
      </x:c>
      <x:c r="L425" s="11" t="n">
        <x:f>SUM(SalesLines!S1037,SalesLines!S1038,SalesLines!S1039)</x:f>
        <x:v>0</x:v>
      </x:c>
      <x:c r="M425" s="8" t="n">
        <x:f>DATE(YEAR(C425),MONTH(C425),1)</x:f>
        <x:v>45658</x:v>
      </x:c>
    </x:row>
    <x:row r="426" ht="22" customHeight="1">
      <x:c r="A426" s="2" t="str">
        <x:v>O00422</x:v>
      </x:c>
      <x:c r="B426" s="2" t="str">
        <x:v>C0222</x:v>
      </x:c>
      <x:c r="C426" s="7" t="n">
        <x:v>45976</x:v>
      </x:c>
      <x:c r="D426" s="2" t="str">
        <x:v>Completed</x:v>
      </x:c>
      <x:c r="E426" s="2" t="str">
        <x:v>East</x:v>
      </x:c>
      <x:c r="F426" s="2" t="str">
        <x:v>Online</x:v>
      </x:c>
      <x:c r="G426" s="9" t="n">
        <x:f>SUM(SalesLines!Q1040,SalesLines!Q1041)</x:f>
        <x:v>1534.8</x:v>
      </x:c>
      <x:c r="H426" s="9" t="n">
        <x:f>SUM(SalesLines!M1040,SalesLines!M1041)</x:f>
        <x:v>1731</x:v>
      </x:c>
      <x:c r="I426" s="9" t="n">
        <x:f>SUM(SalesLines!N1040,SalesLines!N1041)</x:f>
        <x:v>196.2</x:v>
      </x:c>
      <x:c r="J426" s="9" t="n">
        <x:f>SUM(SalesLines!P1040,SalesLines!P1041)</x:f>
        <x:v>0</x:v>
      </x:c>
      <x:c r="K426" s="11" t="n">
        <x:f>SUM(SalesLines!R1040,SalesLines!R1041)</x:f>
        <x:v>6</x:v>
      </x:c>
      <x:c r="L426" s="11" t="n">
        <x:f>SUM(SalesLines!S1040,SalesLines!S1041)</x:f>
        <x:v>0</x:v>
      </x:c>
      <x:c r="M426" s="8" t="n">
        <x:f>DATE(YEAR(C426),MONTH(C426),1)</x:f>
        <x:v>45962</x:v>
      </x:c>
    </x:row>
    <x:row r="427" ht="22" customHeight="1">
      <x:c r="A427" s="2" t="str">
        <x:v>O00423</x:v>
      </x:c>
      <x:c r="B427" s="2" t="str">
        <x:v>C0114</x:v>
      </x:c>
      <x:c r="C427" s="7" t="n">
        <x:v>45694</x:v>
      </x:c>
      <x:c r="D427" s="2" t="str">
        <x:v>Completed</x:v>
      </x:c>
      <x:c r="E427" s="2" t="str">
        <x:v>North</x:v>
      </x:c>
      <x:c r="F427" s="2" t="str">
        <x:v>Online</x:v>
      </x:c>
      <x:c r="G427" s="9" t="n">
        <x:f>SUM(SalesLines!Q1042,SalesLines!Q1043)</x:f>
        <x:v>1054.4</x:v>
      </x:c>
      <x:c r="H427" s="9" t="n">
        <x:f>SUM(SalesLines!M1042,SalesLines!M1043)</x:f>
        <x:v>1092</x:v>
      </x:c>
      <x:c r="I427" s="9" t="n">
        <x:f>SUM(SalesLines!N1042,SalesLines!N1043)</x:f>
        <x:v>37.6</x:v>
      </x:c>
      <x:c r="J427" s="9" t="n">
        <x:f>SUM(SalesLines!P1042,SalesLines!P1043)</x:f>
        <x:v>0</x:v>
      </x:c>
      <x:c r="K427" s="11" t="n">
        <x:f>SUM(SalesLines!R1042,SalesLines!R1043)</x:f>
        <x:v>9</x:v>
      </x:c>
      <x:c r="L427" s="11" t="n">
        <x:f>SUM(SalesLines!S1042,SalesLines!S1043)</x:f>
        <x:v>0</x:v>
      </x:c>
      <x:c r="M427" s="8" t="n">
        <x:f>DATE(YEAR(C427),MONTH(C427),1)</x:f>
        <x:v>45689</x:v>
      </x:c>
    </x:row>
    <x:row r="428" ht="22" customHeight="1">
      <x:c r="A428" s="2" t="str">
        <x:v>O00424</x:v>
      </x:c>
      <x:c r="B428" s="2" t="str">
        <x:v>C0040</x:v>
      </x:c>
      <x:c r="C428" s="7" t="n">
        <x:v>45849</x:v>
      </x:c>
      <x:c r="D428" s="2" t="str">
        <x:v>Completed</x:v>
      </x:c>
      <x:c r="E428" s="2" t="str">
        <x:v>North</x:v>
      </x:c>
      <x:c r="F428" s="2" t="str">
        <x:v>Store</x:v>
      </x:c>
      <x:c r="G428" s="9" t="n">
        <x:f>SUM(SalesLines!Q1044)</x:f>
        <x:v>457.2</x:v>
      </x:c>
      <x:c r="H428" s="9" t="n">
        <x:f>SUM(SalesLines!M1044)</x:f>
        <x:v>508</x:v>
      </x:c>
      <x:c r="I428" s="9" t="n">
        <x:f>SUM(SalesLines!N1044)</x:f>
        <x:v>50.800000000000004</x:v>
      </x:c>
      <x:c r="J428" s="9" t="n">
        <x:f>SUM(SalesLines!P1044)</x:f>
        <x:v>0</x:v>
      </x:c>
      <x:c r="K428" s="11" t="n">
        <x:f>SUM(SalesLines!R1044)</x:f>
        <x:v>2</x:v>
      </x:c>
      <x:c r="L428" s="11" t="n">
        <x:f>SUM(SalesLines!S1044)</x:f>
        <x:v>0</x:v>
      </x:c>
      <x:c r="M428" s="8" t="n">
        <x:f>DATE(YEAR(C428),MONTH(C428),1)</x:f>
        <x:v>45839</x:v>
      </x:c>
    </x:row>
    <x:row r="429" ht="22" customHeight="1">
      <x:c r="A429" s="2" t="str">
        <x:v>O00425</x:v>
      </x:c>
      <x:c r="B429" s="2" t="str">
        <x:v>C0109</x:v>
      </x:c>
      <x:c r="C429" s="7" t="n">
        <x:v>45911</x:v>
      </x:c>
      <x:c r="D429" s="2" t="str">
        <x:v>Completed</x:v>
      </x:c>
      <x:c r="E429" s="2" t="str">
        <x:v>West</x:v>
      </x:c>
      <x:c r="F429" s="2" t="str">
        <x:v>Online</x:v>
      </x:c>
      <x:c r="G429" s="9" t="n">
        <x:f>SUM(SalesLines!Q1045,SalesLines!Q1046)</x:f>
        <x:v>232</x:v>
      </x:c>
      <x:c r="H429" s="9" t="n">
        <x:f>SUM(SalesLines!M1045,SalesLines!M1046)</x:f>
        <x:v>239</x:v>
      </x:c>
      <x:c r="I429" s="9" t="n">
        <x:f>SUM(SalesLines!N1045,SalesLines!N1046)</x:f>
        <x:v>7</x:v>
      </x:c>
      <x:c r="J429" s="9" t="n">
        <x:f>SUM(SalesLines!P1045,SalesLines!P1046)</x:f>
        <x:v>0</x:v>
      </x:c>
      <x:c r="K429" s="11" t="n">
        <x:f>SUM(SalesLines!R1045,SalesLines!R1046)</x:f>
        <x:v>4</x:v>
      </x:c>
      <x:c r="L429" s="11" t="n">
        <x:f>SUM(SalesLines!S1045,SalesLines!S1046)</x:f>
        <x:v>0</x:v>
      </x:c>
      <x:c r="M429" s="8" t="n">
        <x:f>DATE(YEAR(C429),MONTH(C429),1)</x:f>
        <x:v>45901</x:v>
      </x:c>
    </x:row>
    <x:row r="430" ht="22" customHeight="1">
      <x:c r="A430" s="2" t="str">
        <x:v>O00426</x:v>
      </x:c>
      <x:c r="B430" s="2" t="str">
        <x:v>C0002</x:v>
      </x:c>
      <x:c r="C430" s="7" t="n">
        <x:v>45896</x:v>
      </x:c>
      <x:c r="D430" s="2" t="str">
        <x:v>Completed</x:v>
      </x:c>
      <x:c r="E430" s="2" t="str">
        <x:v>West</x:v>
      </x:c>
      <x:c r="F430" s="2" t="str">
        <x:v>Online</x:v>
      </x:c>
      <x:c r="G430" s="9" t="n">
        <x:f>SUM(SalesLines!Q1047,SalesLines!Q1048,SalesLines!Q1049)</x:f>
        <x:v>905.4</x:v>
      </x:c>
      <x:c r="H430" s="9" t="n">
        <x:f>SUM(SalesLines!M1047,SalesLines!M1048,SalesLines!M1049)</x:f>
        <x:v>1699</x:v>
      </x:c>
      <x:c r="I430" s="9" t="n">
        <x:f>SUM(SalesLines!N1047,SalesLines!N1048,SalesLines!N1049)</x:f>
        <x:v>113.20000000000002</x:v>
      </x:c>
      <x:c r="J430" s="9" t="n">
        <x:f>SUM(SalesLines!P1047,SalesLines!P1048,SalesLines!P1049)</x:f>
        <x:v>680.4</x:v>
      </x:c>
      <x:c r="K430" s="11" t="n">
        <x:f>SUM(SalesLines!R1047,SalesLines!R1048,SalesLines!R1049)</x:f>
        <x:v>9</x:v>
      </x:c>
      <x:c r="L430" s="11" t="n">
        <x:f>SUM(SalesLines!S1047,SalesLines!S1048,SalesLines!S1049)</x:f>
        <x:v>4</x:v>
      </x:c>
      <x:c r="M430" s="8" t="n">
        <x:f>DATE(YEAR(C430),MONTH(C430),1)</x:f>
        <x:v>45870</x:v>
      </x:c>
    </x:row>
    <x:row r="431" ht="22" customHeight="1">
      <x:c r="A431" s="2" t="str">
        <x:v>O00427</x:v>
      </x:c>
      <x:c r="B431" s="2" t="str">
        <x:v>C0256</x:v>
      </x:c>
      <x:c r="C431" s="7" t="n">
        <x:v>45776</x:v>
      </x:c>
      <x:c r="D431" s="2" t="str">
        <x:v>Completed</x:v>
      </x:c>
      <x:c r="E431" s="2" t="str">
        <x:v>North</x:v>
      </x:c>
      <x:c r="F431" s="2" t="str">
        <x:v>Online</x:v>
      </x:c>
      <x:c r="G431" s="9" t="n">
        <x:f>SUM(SalesLines!Q1050,SalesLines!Q1051,SalesLines!Q1052)</x:f>
        <x:v>2487.35</x:v>
      </x:c>
      <x:c r="H431" s="9" t="n">
        <x:f>SUM(SalesLines!M1050,SalesLines!M1051,SalesLines!M1052)</x:f>
        <x:v>2689</x:v>
      </x:c>
      <x:c r="I431" s="9" t="n">
        <x:f>SUM(SalesLines!N1050,SalesLines!N1051,SalesLines!N1052)</x:f>
        <x:v>201.65</x:v>
      </x:c>
      <x:c r="J431" s="9" t="n">
        <x:f>SUM(SalesLines!P1050,SalesLines!P1051,SalesLines!P1052)</x:f>
        <x:v>0</x:v>
      </x:c>
      <x:c r="K431" s="11" t="n">
        <x:f>SUM(SalesLines!R1050,SalesLines!R1051,SalesLines!R1052)</x:f>
        <x:v>13</x:v>
      </x:c>
      <x:c r="L431" s="11" t="n">
        <x:f>SUM(SalesLines!S1050,SalesLines!S1051,SalesLines!S1052)</x:f>
        <x:v>0</x:v>
      </x:c>
      <x:c r="M431" s="8" t="n">
        <x:f>DATE(YEAR(C431),MONTH(C431),1)</x:f>
        <x:v>45748</x:v>
      </x:c>
    </x:row>
    <x:row r="432" ht="22" customHeight="1">
      <x:c r="A432" s="2" t="str">
        <x:v>O00428</x:v>
      </x:c>
      <x:c r="B432" s="2" t="str">
        <x:v>C0224</x:v>
      </x:c>
      <x:c r="C432" s="7" t="n">
        <x:v>45714</x:v>
      </x:c>
      <x:c r="D432" s="2" t="str">
        <x:v>Completed</x:v>
      </x:c>
      <x:c r="E432" s="2" t="str">
        <x:v>West</x:v>
      </x:c>
      <x:c r="F432" s="2" t="str">
        <x:v>Online</x:v>
      </x:c>
      <x:c r="G432" s="9" t="n">
        <x:f>SUM(SalesLines!Q1053,SalesLines!Q1054,SalesLines!Q1055,SalesLines!Q1056)</x:f>
        <x:v>949.15</x:v>
      </x:c>
      <x:c r="H432" s="9" t="n">
        <x:f>SUM(SalesLines!M1053,SalesLines!M1054,SalesLines!M1055,SalesLines!M1056)</x:f>
        <x:v>1060</x:v>
      </x:c>
      <x:c r="I432" s="9" t="n">
        <x:f>SUM(SalesLines!N1053,SalesLines!N1054,SalesLines!N1055,SalesLines!N1056)</x:f>
        <x:v>110.85000000000001</x:v>
      </x:c>
      <x:c r="J432" s="9" t="n">
        <x:f>SUM(SalesLines!P1053,SalesLines!P1054,SalesLines!P1055,SalesLines!P1056)</x:f>
        <x:v>0</x:v>
      </x:c>
      <x:c r="K432" s="11" t="n">
        <x:f>SUM(SalesLines!R1053,SalesLines!R1054,SalesLines!R1055,SalesLines!R1056)</x:f>
        <x:v>6</x:v>
      </x:c>
      <x:c r="L432" s="11" t="n">
        <x:f>SUM(SalesLines!S1053,SalesLines!S1054,SalesLines!S1055,SalesLines!S1056)</x:f>
        <x:v>0</x:v>
      </x:c>
      <x:c r="M432" s="8" t="n">
        <x:f>DATE(YEAR(C432),MONTH(C432),1)</x:f>
        <x:v>45689</x:v>
      </x:c>
    </x:row>
    <x:row r="433" ht="22" customHeight="1">
      <x:c r="A433" s="2" t="str">
        <x:v>O00429</x:v>
      </x:c>
      <x:c r="B433" s="2" t="str">
        <x:v>C0112</x:v>
      </x:c>
      <x:c r="C433" s="7" t="n">
        <x:v>45696</x:v>
      </x:c>
      <x:c r="D433" s="2" t="str">
        <x:v>Completed</x:v>
      </x:c>
      <x:c r="E433" s="2" t="str">
        <x:v>South</x:v>
      </x:c>
      <x:c r="F433" s="2" t="str">
        <x:v>Store</x:v>
      </x:c>
      <x:c r="G433" s="9" t="n">
        <x:f>SUM(SalesLines!Q1057,SalesLines!Q1058)</x:f>
        <x:v>1895.6</x:v>
      </x:c>
      <x:c r="H433" s="9" t="n">
        <x:f>SUM(SalesLines!M1057,SalesLines!M1058)</x:f>
        <x:v>1980</x:v>
      </x:c>
      <x:c r="I433" s="9" t="n">
        <x:f>SUM(SalesLines!N1057,SalesLines!N1058)</x:f>
        <x:v>84.4</x:v>
      </x:c>
      <x:c r="J433" s="9" t="n">
        <x:f>SUM(SalesLines!P1057,SalesLines!P1058)</x:f>
        <x:v>0</x:v>
      </x:c>
      <x:c r="K433" s="11" t="n">
        <x:f>SUM(SalesLines!R1057,SalesLines!R1058)</x:f>
        <x:v>8</x:v>
      </x:c>
      <x:c r="L433" s="11" t="n">
        <x:f>SUM(SalesLines!S1057,SalesLines!S1058)</x:f>
        <x:v>0</x:v>
      </x:c>
      <x:c r="M433" s="8" t="n">
        <x:f>DATE(YEAR(C433),MONTH(C433),1)</x:f>
        <x:v>45689</x:v>
      </x:c>
    </x:row>
    <x:row r="434" ht="22" customHeight="1">
      <x:c r="A434" s="2" t="str">
        <x:v>O00430</x:v>
      </x:c>
      <x:c r="B434" s="2" t="str">
        <x:v>C0250</x:v>
      </x:c>
      <x:c r="C434" s="7" t="n">
        <x:v>45806</x:v>
      </x:c>
      <x:c r="D434" s="2" t="str">
        <x:v>Completed</x:v>
      </x:c>
      <x:c r="E434" s="2" t="str">
        <x:v>West</x:v>
      </x:c>
      <x:c r="F434" s="2" t="str">
        <x:v>Online</x:v>
      </x:c>
      <x:c r="G434" s="9" t="n">
        <x:f>SUM(SalesLines!Q1059,SalesLines!Q1060)</x:f>
        <x:v>423.90000000000003</x:v>
      </x:c>
      <x:c r="H434" s="9" t="n">
        <x:f>SUM(SalesLines!M1059,SalesLines!M1060)</x:f>
        <x:v>459</x:v>
      </x:c>
      <x:c r="I434" s="9" t="n">
        <x:f>SUM(SalesLines!N1059,SalesLines!N1060)</x:f>
        <x:v>35.1</x:v>
      </x:c>
      <x:c r="J434" s="9" t="n">
        <x:f>SUM(SalesLines!P1059,SalesLines!P1060)</x:f>
        <x:v>0</x:v>
      </x:c>
      <x:c r="K434" s="11" t="n">
        <x:f>SUM(SalesLines!R1059,SalesLines!R1060)</x:f>
        <x:v>3</x:v>
      </x:c>
      <x:c r="L434" s="11" t="n">
        <x:f>SUM(SalesLines!S1059,SalesLines!S1060)</x:f>
        <x:v>0</x:v>
      </x:c>
      <x:c r="M434" s="8" t="n">
        <x:f>DATE(YEAR(C434),MONTH(C434),1)</x:f>
        <x:v>45778</x:v>
      </x:c>
    </x:row>
    <x:row r="435" ht="22" customHeight="1">
      <x:c r="A435" s="2" t="str">
        <x:v>O00431</x:v>
      </x:c>
      <x:c r="B435" s="2" t="str">
        <x:v>C0142</x:v>
      </x:c>
      <x:c r="C435" s="7" t="n">
        <x:v>45779</x:v>
      </x:c>
      <x:c r="D435" s="2" t="str">
        <x:v>Completed</x:v>
      </x:c>
      <x:c r="E435" s="2" t="str">
        <x:v>West</x:v>
      </x:c>
      <x:c r="F435" s="2" t="str">
        <x:v>Store</x:v>
      </x:c>
      <x:c r="G435" s="9" t="n">
        <x:f>SUM(SalesLines!Q1061,SalesLines!Q1062)</x:f>
        <x:v>497.8</x:v>
      </x:c>
      <x:c r="H435" s="9" t="n">
        <x:f>SUM(SalesLines!M1061,SalesLines!M1062)</x:f>
        <x:v>606</x:v>
      </x:c>
      <x:c r="I435" s="9" t="n">
        <x:f>SUM(SalesLines!N1061,SalesLines!N1062)</x:f>
        <x:v>40.2</x:v>
      </x:c>
      <x:c r="J435" s="9" t="n">
        <x:f>SUM(SalesLines!P1061,SalesLines!P1062)</x:f>
        <x:v>68</x:v>
      </x:c>
      <x:c r="K435" s="11" t="n">
        <x:f>SUM(SalesLines!R1061,SalesLines!R1062)</x:f>
        <x:v>6</x:v>
      </x:c>
      <x:c r="L435" s="11" t="n">
        <x:f>SUM(SalesLines!S1061,SalesLines!S1062)</x:f>
        <x:v>1</x:v>
      </x:c>
      <x:c r="M435" s="8" t="n">
        <x:f>DATE(YEAR(C435),MONTH(C435),1)</x:f>
        <x:v>45778</x:v>
      </x:c>
    </x:row>
    <x:row r="436" ht="22" customHeight="1">
      <x:c r="A436" s="2" t="str">
        <x:v>O00432</x:v>
      </x:c>
      <x:c r="B436" s="2" t="str">
        <x:v>C0223</x:v>
      </x:c>
      <x:c r="C436" s="7" t="n">
        <x:v>45865</x:v>
      </x:c>
      <x:c r="D436" s="2" t="str">
        <x:v>Completed</x:v>
      </x:c>
      <x:c r="E436" s="2" t="str">
        <x:v>East</x:v>
      </x:c>
      <x:c r="F436" s="2" t="str">
        <x:v>Store</x:v>
      </x:c>
      <x:c r="G436" s="9" t="n">
        <x:f>SUM(SalesLines!Q1063,SalesLines!Q1064,SalesLines!Q1065)</x:f>
        <x:v>1515.75</x:v>
      </x:c>
      <x:c r="H436" s="9" t="n">
        <x:f>SUM(SalesLines!M1063,SalesLines!M1064,SalesLines!M1065)</x:f>
        <x:v>1851</x:v>
      </x:c>
      <x:c r="I436" s="9" t="n">
        <x:f>SUM(SalesLines!N1063,SalesLines!N1064,SalesLines!N1065)</x:f>
        <x:v>127.35000000000001</x:v>
      </x:c>
      <x:c r="J436" s="9" t="n">
        <x:f>SUM(SalesLines!P1063,SalesLines!P1064,SalesLines!P1065)</x:f>
        <x:v>207.9</x:v>
      </x:c>
      <x:c r="K436" s="11" t="n">
        <x:f>SUM(SalesLines!R1063,SalesLines!R1064,SalesLines!R1065)</x:f>
        <x:v>10</x:v>
      </x:c>
      <x:c r="L436" s="11" t="n">
        <x:f>SUM(SalesLines!S1063,SalesLines!S1064,SalesLines!S1065)</x:f>
        <x:v>1</x:v>
      </x:c>
      <x:c r="M436" s="8" t="n">
        <x:f>DATE(YEAR(C436),MONTH(C436),1)</x:f>
        <x:v>45839</x:v>
      </x:c>
    </x:row>
    <x:row r="437" ht="22" customHeight="1">
      <x:c r="A437" s="2" t="str">
        <x:v>O00433</x:v>
      </x:c>
      <x:c r="B437" s="2" t="str">
        <x:v>C0226</x:v>
      </x:c>
      <x:c r="C437" s="7" t="n">
        <x:v>45727</x:v>
      </x:c>
      <x:c r="D437" s="2" t="str">
        <x:v>Completed</x:v>
      </x:c>
      <x:c r="E437" s="2" t="str">
        <x:v>South</x:v>
      </x:c>
      <x:c r="F437" s="2" t="str">
        <x:v>Store</x:v>
      </x:c>
      <x:c r="G437" s="9" t="n">
        <x:f>SUM(SalesLines!Q1066,SalesLines!Q1067,SalesLines!Q1068,SalesLines!Q1069)</x:f>
        <x:v>1821.3999999999999</x:v>
      </x:c>
      <x:c r="H437" s="9" t="n">
        <x:f>SUM(SalesLines!M1066,SalesLines!M1067,SalesLines!M1068,SalesLines!M1069)</x:f>
        <x:v>3190</x:v>
      </x:c>
      <x:c r="I437" s="9" t="n">
        <x:f>SUM(SalesLines!N1066,SalesLines!N1067,SalesLines!N1068,SalesLines!N1069)</x:f>
        <x:v>501.40000000000003</x:v>
      </x:c>
      <x:c r="J437" s="9" t="n">
        <x:f>SUM(SalesLines!P1066,SalesLines!P1067,SalesLines!P1068,SalesLines!P1069)</x:f>
        <x:v>867.2</x:v>
      </x:c>
      <x:c r="K437" s="11" t="n">
        <x:f>SUM(SalesLines!R1066,SalesLines!R1067,SalesLines!R1068,SalesLines!R1069)</x:f>
        <x:v>13</x:v>
      </x:c>
      <x:c r="L437" s="11" t="n">
        <x:f>SUM(SalesLines!S1066,SalesLines!S1067,SalesLines!S1068,SalesLines!S1069)</x:f>
        <x:v>4</x:v>
      </x:c>
      <x:c r="M437" s="8" t="n">
        <x:f>DATE(YEAR(C437),MONTH(C437),1)</x:f>
        <x:v>45717</x:v>
      </x:c>
    </x:row>
    <x:row r="438" ht="22" customHeight="1">
      <x:c r="A438" s="2" t="str">
        <x:v>O00434</x:v>
      </x:c>
      <x:c r="B438" s="2" t="str">
        <x:v>C0080</x:v>
      </x:c>
      <x:c r="C438" s="7" t="n">
        <x:v>45783</x:v>
      </x:c>
      <x:c r="D438" s="2" t="str">
        <x:v>Completed</x:v>
      </x:c>
      <x:c r="E438" s="2" t="str">
        <x:v>East</x:v>
      </x:c>
      <x:c r="F438" s="2" t="str">
        <x:v>Store</x:v>
      </x:c>
      <x:c r="G438" s="9" t="n">
        <x:f>SUM(SalesLines!Q1070)</x:f>
        <x:v>529.2</x:v>
      </x:c>
      <x:c r="H438" s="9" t="n">
        <x:f>SUM(SalesLines!M1070)</x:f>
        <x:v>588</x:v>
      </x:c>
      <x:c r="I438" s="9" t="n">
        <x:f>SUM(SalesLines!N1070)</x:f>
        <x:v>58.800000000000004</x:v>
      </x:c>
      <x:c r="J438" s="9" t="n">
        <x:f>SUM(SalesLines!P1070)</x:f>
        <x:v>0</x:v>
      </x:c>
      <x:c r="K438" s="11" t="n">
        <x:f>SUM(SalesLines!R1070)</x:f>
        <x:v>2</x:v>
      </x:c>
      <x:c r="L438" s="11" t="n">
        <x:f>SUM(SalesLines!S1070)</x:f>
        <x:v>0</x:v>
      </x:c>
      <x:c r="M438" s="8" t="n">
        <x:f>DATE(YEAR(C438),MONTH(C438),1)</x:f>
        <x:v>45778</x:v>
      </x:c>
    </x:row>
    <x:row r="439" ht="22" customHeight="1">
      <x:c r="A439" s="2" t="str">
        <x:v>O00435</x:v>
      </x:c>
      <x:c r="B439" s="2" t="str">
        <x:v>C0279</x:v>
      </x:c>
      <x:c r="C439" s="7" t="n">
        <x:v>45970</x:v>
      </x:c>
      <x:c r="D439" s="2" t="str">
        <x:v>Completed</x:v>
      </x:c>
      <x:c r="E439" s="2" t="str">
        <x:v>South</x:v>
      </x:c>
      <x:c r="F439" s="2" t="str">
        <x:v>Store</x:v>
      </x:c>
      <x:c r="G439" s="9" t="n">
        <x:f>SUM(SalesLines!Q1071,SalesLines!Q1072,SalesLines!Q1073,SalesLines!Q1074)</x:f>
        <x:v>1664</x:v>
      </x:c>
      <x:c r="H439" s="9" t="n">
        <x:f>SUM(SalesLines!M1071,SalesLines!M1072,SalesLines!M1073,SalesLines!M1074)</x:f>
        <x:v>1870</x:v>
      </x:c>
      <x:c r="I439" s="9" t="n">
        <x:f>SUM(SalesLines!N1071,SalesLines!N1072,SalesLines!N1073,SalesLines!N1074)</x:f>
        <x:v>206.00000000000003</x:v>
      </x:c>
      <x:c r="J439" s="9" t="n">
        <x:f>SUM(SalesLines!P1071,SalesLines!P1072,SalesLines!P1073,SalesLines!P1074)</x:f>
        <x:v>0</x:v>
      </x:c>
      <x:c r="K439" s="11" t="n">
        <x:f>SUM(SalesLines!R1071,SalesLines!R1072,SalesLines!R1073,SalesLines!R1074)</x:f>
        <x:v>14</x:v>
      </x:c>
      <x:c r="L439" s="11" t="n">
        <x:f>SUM(SalesLines!S1071,SalesLines!S1072,SalesLines!S1073,SalesLines!S1074)</x:f>
        <x:v>0</x:v>
      </x:c>
      <x:c r="M439" s="8" t="n">
        <x:f>DATE(YEAR(C439),MONTH(C439),1)</x:f>
        <x:v>45962</x:v>
      </x:c>
    </x:row>
    <x:row r="440" ht="22" customHeight="1">
      <x:c r="A440" s="2" t="str">
        <x:v>O00436</x:v>
      </x:c>
      <x:c r="B440" s="2" t="str">
        <x:v>C0153</x:v>
      </x:c>
      <x:c r="C440" s="7" t="n">
        <x:v>46012</x:v>
      </x:c>
      <x:c r="D440" s="2" t="str">
        <x:v>Completed</x:v>
      </x:c>
      <x:c r="E440" s="2" t="str">
        <x:v>East</x:v>
      </x:c>
      <x:c r="F440" s="2" t="str">
        <x:v>Online</x:v>
      </x:c>
      <x:c r="G440" s="9" t="n">
        <x:f>SUM(SalesLines!Q1075,SalesLines!Q1076,SalesLines!Q1077,SalesLines!Q1078)</x:f>
        <x:v>2147.7</x:v>
      </x:c>
      <x:c r="H440" s="9" t="n">
        <x:f>SUM(SalesLines!M1075,SalesLines!M1076,SalesLines!M1077,SalesLines!M1078)</x:f>
        <x:v>2421</x:v>
      </x:c>
      <x:c r="I440" s="9" t="n">
        <x:f>SUM(SalesLines!N1075,SalesLines!N1076,SalesLines!N1077,SalesLines!N1078)</x:f>
        <x:v>273.3</x:v>
      </x:c>
      <x:c r="J440" s="9" t="n">
        <x:f>SUM(SalesLines!P1075,SalesLines!P1076,SalesLines!P1077,SalesLines!P1078)</x:f>
        <x:v>0</x:v>
      </x:c>
      <x:c r="K440" s="11" t="n">
        <x:f>SUM(SalesLines!R1075,SalesLines!R1076,SalesLines!R1077,SalesLines!R1078)</x:f>
        <x:v>12</x:v>
      </x:c>
      <x:c r="L440" s="11" t="n">
        <x:f>SUM(SalesLines!S1075,SalesLines!S1076,SalesLines!S1077,SalesLines!S1078)</x:f>
        <x:v>0</x:v>
      </x:c>
      <x:c r="M440" s="8" t="n">
        <x:f>DATE(YEAR(C440),MONTH(C440),1)</x:f>
        <x:v>45992</x:v>
      </x:c>
    </x:row>
    <x:row r="441" ht="22" customHeight="1">
      <x:c r="A441" s="2" t="str">
        <x:v>O00437</x:v>
      </x:c>
      <x:c r="B441" s="2" t="str">
        <x:v>C0269</x:v>
      </x:c>
      <x:c r="C441" s="7" t="n">
        <x:v>45921</x:v>
      </x:c>
      <x:c r="D441" s="2" t="str">
        <x:v>Completed</x:v>
      </x:c>
      <x:c r="E441" s="2" t="str">
        <x:v>East</x:v>
      </x:c>
      <x:c r="F441" s="2" t="str">
        <x:v>Store</x:v>
      </x:c>
      <x:c r="G441" s="9" t="n">
        <x:f>SUM(SalesLines!Q1079,SalesLines!Q1080,SalesLines!Q1081)</x:f>
        <x:v>1339.8</x:v>
      </x:c>
      <x:c r="H441" s="9" t="n">
        <x:f>SUM(SalesLines!M1079,SalesLines!M1080,SalesLines!M1081)</x:f>
        <x:v>1396</x:v>
      </x:c>
      <x:c r="I441" s="9" t="n">
        <x:f>SUM(SalesLines!N1079,SalesLines!N1080,SalesLines!N1081)</x:f>
        <x:v>56.2</x:v>
      </x:c>
      <x:c r="J441" s="9" t="n">
        <x:f>SUM(SalesLines!P1079,SalesLines!P1080,SalesLines!P1081)</x:f>
        <x:v>0</x:v>
      </x:c>
      <x:c r="K441" s="11" t="n">
        <x:f>SUM(SalesLines!R1079,SalesLines!R1080,SalesLines!R1081)</x:f>
        <x:v>12</x:v>
      </x:c>
      <x:c r="L441" s="11" t="n">
        <x:f>SUM(SalesLines!S1079,SalesLines!S1080,SalesLines!S1081)</x:f>
        <x:v>0</x:v>
      </x:c>
      <x:c r="M441" s="8" t="n">
        <x:f>DATE(YEAR(C441),MONTH(C441),1)</x:f>
        <x:v>45901</x:v>
      </x:c>
    </x:row>
    <x:row r="442" ht="22" customHeight="1">
      <x:c r="A442" s="2" t="str">
        <x:v>O00438</x:v>
      </x:c>
      <x:c r="B442" s="2" t="str">
        <x:v>C0086</x:v>
      </x:c>
      <x:c r="C442" s="7" t="n">
        <x:v>45867</x:v>
      </x:c>
      <x:c r="D442" s="2" t="str">
        <x:v>Completed</x:v>
      </x:c>
      <x:c r="E442" s="2" t="str">
        <x:v>North</x:v>
      </x:c>
      <x:c r="F442" s="2" t="str">
        <x:v>Store</x:v>
      </x:c>
      <x:c r="G442" s="9" t="n">
        <x:f>SUM(SalesLines!Q1082,SalesLines!Q1083)</x:f>
        <x:v>496.85</x:v>
      </x:c>
      <x:c r="H442" s="9" t="n">
        <x:f>SUM(SalesLines!M1082,SalesLines!M1083)</x:f>
        <x:v>523</x:v>
      </x:c>
      <x:c r="I442" s="9" t="n">
        <x:f>SUM(SalesLines!N1082,SalesLines!N1083)</x:f>
        <x:v>26.150000000000002</x:v>
      </x:c>
      <x:c r="J442" s="9" t="n">
        <x:f>SUM(SalesLines!P1082,SalesLines!P1083)</x:f>
        <x:v>0</x:v>
      </x:c>
      <x:c r="K442" s="11" t="n">
        <x:f>SUM(SalesLines!R1082,SalesLines!R1083)</x:f>
        <x:v>5</x:v>
      </x:c>
      <x:c r="L442" s="11" t="n">
        <x:f>SUM(SalesLines!S1082,SalesLines!S1083)</x:f>
        <x:v>0</x:v>
      </x:c>
      <x:c r="M442" s="8" t="n">
        <x:f>DATE(YEAR(C442),MONTH(C442),1)</x:f>
        <x:v>45839</x:v>
      </x:c>
    </x:row>
    <x:row r="443" ht="22" customHeight="1">
      <x:c r="A443" s="2" t="str">
        <x:v>O00439</x:v>
      </x:c>
      <x:c r="B443" s="2" t="str">
        <x:v>C0165</x:v>
      </x:c>
      <x:c r="C443" s="7" t="n">
        <x:v>46013</x:v>
      </x:c>
      <x:c r="D443" s="2" t="str">
        <x:v>Completed</x:v>
      </x:c>
      <x:c r="E443" s="2" t="str">
        <x:v>West</x:v>
      </x:c>
      <x:c r="F443" s="2" t="str">
        <x:v>Online</x:v>
      </x:c>
      <x:c r="G443" s="9" t="n">
        <x:f>SUM(SalesLines!Q1084,SalesLines!Q1085)</x:f>
        <x:v>1217</x:v>
      </x:c>
      <x:c r="H443" s="9" t="n">
        <x:f>SUM(SalesLines!M1084,SalesLines!M1085)</x:f>
        <x:v>1501</x:v>
      </x:c>
      <x:c r="I443" s="9" t="n">
        <x:f>SUM(SalesLines!N1084,SalesLines!N1085)</x:f>
        <x:v>0</x:v>
      </x:c>
      <x:c r="J443" s="9" t="n">
        <x:f>SUM(SalesLines!P1084,SalesLines!P1085)</x:f>
        <x:v>284</x:v>
      </x:c>
      <x:c r="K443" s="11" t="n">
        <x:f>SUM(SalesLines!R1084,SalesLines!R1085)</x:f>
        <x:v>6</x:v>
      </x:c>
      <x:c r="L443" s="11" t="n">
        <x:f>SUM(SalesLines!S1084,SalesLines!S1085)</x:f>
        <x:v>1</x:v>
      </x:c>
      <x:c r="M443" s="8" t="n">
        <x:f>DATE(YEAR(C443),MONTH(C443),1)</x:f>
        <x:v>45992</x:v>
      </x:c>
    </x:row>
    <x:row r="444" ht="22" customHeight="1">
      <x:c r="A444" s="2" t="str">
        <x:v>O00440</x:v>
      </x:c>
      <x:c r="B444" s="2" t="str">
        <x:v>C0095</x:v>
      </x:c>
      <x:c r="C444" s="7" t="n">
        <x:v>45866</x:v>
      </x:c>
      <x:c r="D444" s="2" t="str">
        <x:v>Completed</x:v>
      </x:c>
      <x:c r="E444" s="2" t="str">
        <x:v>East</x:v>
      </x:c>
      <x:c r="F444" s="2" t="str">
        <x:v>Store</x:v>
      </x:c>
      <x:c r="G444" s="9" t="n">
        <x:f>SUM(SalesLines!Q1086,SalesLines!Q1087,SalesLines!Q1088)</x:f>
        <x:v>1324</x:v>
      </x:c>
      <x:c r="H444" s="9" t="n">
        <x:f>SUM(SalesLines!M1086,SalesLines!M1087,SalesLines!M1088)</x:f>
        <x:v>1655</x:v>
      </x:c>
      <x:c r="I444" s="9" t="n">
        <x:f>SUM(SalesLines!N1086,SalesLines!N1087,SalesLines!N1088)</x:f>
        <x:v>331</x:v>
      </x:c>
      <x:c r="J444" s="9" t="n">
        <x:f>SUM(SalesLines!P1086,SalesLines!P1087,SalesLines!P1088)</x:f>
        <x:v>0</x:v>
      </x:c>
      <x:c r="K444" s="11" t="n">
        <x:f>SUM(SalesLines!R1086,SalesLines!R1087,SalesLines!R1088)</x:f>
        <x:v>11</x:v>
      </x:c>
      <x:c r="L444" s="11" t="n">
        <x:f>SUM(SalesLines!S1086,SalesLines!S1087,SalesLines!S1088)</x:f>
        <x:v>0</x:v>
      </x:c>
      <x:c r="M444" s="8" t="n">
        <x:f>DATE(YEAR(C444),MONTH(C444),1)</x:f>
        <x:v>45839</x:v>
      </x:c>
    </x:row>
    <x:row r="445" ht="22" customHeight="1">
      <x:c r="A445" s="2" t="str">
        <x:v>O00441</x:v>
      </x:c>
      <x:c r="B445" s="2" t="str">
        <x:v>C0231</x:v>
      </x:c>
      <x:c r="C445" s="7" t="n">
        <x:v>45800</x:v>
      </x:c>
      <x:c r="D445" s="2" t="str">
        <x:v>Completed</x:v>
      </x:c>
      <x:c r="E445" s="2" t="str">
        <x:v>West</x:v>
      </x:c>
      <x:c r="F445" s="2" t="str">
        <x:v>Store</x:v>
      </x:c>
      <x:c r="G445" s="9" t="n">
        <x:f>SUM(SalesLines!Q1089,SalesLines!Q1090)</x:f>
        <x:v>321</x:v>
      </x:c>
      <x:c r="H445" s="9" t="n">
        <x:f>SUM(SalesLines!M1089,SalesLines!M1090)</x:f>
        <x:v>333</x:v>
      </x:c>
      <x:c r="I445" s="9" t="n">
        <x:f>SUM(SalesLines!N1089,SalesLines!N1090)</x:f>
        <x:v>12</x:v>
      </x:c>
      <x:c r="J445" s="9" t="n">
        <x:f>SUM(SalesLines!P1089,SalesLines!P1090)</x:f>
        <x:v>0</x:v>
      </x:c>
      <x:c r="K445" s="11" t="n">
        <x:f>SUM(SalesLines!R1089,SalesLines!R1090)</x:f>
        <x:v>4</x:v>
      </x:c>
      <x:c r="L445" s="11" t="n">
        <x:f>SUM(SalesLines!S1089,SalesLines!S1090)</x:f>
        <x:v>0</x:v>
      </x:c>
      <x:c r="M445" s="8" t="n">
        <x:f>DATE(YEAR(C445),MONTH(C445),1)</x:f>
        <x:v>45778</x:v>
      </x:c>
    </x:row>
    <x:row r="446" ht="22" customHeight="1">
      <x:c r="A446" s="2" t="str">
        <x:v>O00442</x:v>
      </x:c>
      <x:c r="B446" s="2" t="str">
        <x:v>C0192</x:v>
      </x:c>
      <x:c r="C446" s="7" t="n">
        <x:v>45666</x:v>
      </x:c>
      <x:c r="D446" s="2" t="str">
        <x:v>Completed</x:v>
      </x:c>
      <x:c r="E446" s="2" t="str">
        <x:v>South</x:v>
      </x:c>
      <x:c r="F446" s="2" t="str">
        <x:v>Online</x:v>
      </x:c>
      <x:c r="G446" s="9" t="n">
        <x:f>SUM(SalesLines!Q1091,SalesLines!Q1092,SalesLines!Q1093,SalesLines!Q1094)</x:f>
        <x:v>1506.3000000000002</x:v>
      </x:c>
      <x:c r="H446" s="9" t="n">
        <x:f>SUM(SalesLines!M1091,SalesLines!M1092,SalesLines!M1093,SalesLines!M1094)</x:f>
        <x:v>1583</x:v>
      </x:c>
      <x:c r="I446" s="9" t="n">
        <x:f>SUM(SalesLines!N1091,SalesLines!N1092,SalesLines!N1093,SalesLines!N1094)</x:f>
        <x:v>76.7</x:v>
      </x:c>
      <x:c r="J446" s="9" t="n">
        <x:f>SUM(SalesLines!P1091,SalesLines!P1092,SalesLines!P1093,SalesLines!P1094)</x:f>
        <x:v>0</x:v>
      </x:c>
      <x:c r="K446" s="11" t="n">
        <x:f>SUM(SalesLines!R1091,SalesLines!R1092,SalesLines!R1093,SalesLines!R1094)</x:f>
        <x:v>9</x:v>
      </x:c>
      <x:c r="L446" s="11" t="n">
        <x:f>SUM(SalesLines!S1091,SalesLines!S1092,SalesLines!S1093,SalesLines!S1094)</x:f>
        <x:v>0</x:v>
      </x:c>
      <x:c r="M446" s="8" t="n">
        <x:f>DATE(YEAR(C446),MONTH(C446),1)</x:f>
        <x:v>45658</x:v>
      </x:c>
    </x:row>
    <x:row r="447" ht="22" customHeight="1">
      <x:c r="A447" s="2" t="str">
        <x:v>O00443</x:v>
      </x:c>
      <x:c r="B447" s="2" t="str">
        <x:v>C0254</x:v>
      </x:c>
      <x:c r="C447" s="7" t="n">
        <x:v>45730</x:v>
      </x:c>
      <x:c r="D447" s="2" t="str">
        <x:v>Completed</x:v>
      </x:c>
      <x:c r="E447" s="2" t="str">
        <x:v>East</x:v>
      </x:c>
      <x:c r="F447" s="2" t="str">
        <x:v>Store</x:v>
      </x:c>
      <x:c r="G447" s="9" t="n">
        <x:f>SUM(SalesLines!Q1095,SalesLines!Q1096)</x:f>
        <x:v>1762.5</x:v>
      </x:c>
      <x:c r="H447" s="9" t="n">
        <x:f>SUM(SalesLines!M1095,SalesLines!M1096)</x:f>
        <x:v>1836</x:v>
      </x:c>
      <x:c r="I447" s="9" t="n">
        <x:f>SUM(SalesLines!N1095,SalesLines!N1096)</x:f>
        <x:v>73.5</x:v>
      </x:c>
      <x:c r="J447" s="9" t="n">
        <x:f>SUM(SalesLines!P1095,SalesLines!P1096)</x:f>
        <x:v>0</x:v>
      </x:c>
      <x:c r="K447" s="11" t="n">
        <x:f>SUM(SalesLines!R1095,SalesLines!R1096)</x:f>
        <x:v>8</x:v>
      </x:c>
      <x:c r="L447" s="11" t="n">
        <x:f>SUM(SalesLines!S1095,SalesLines!S1096)</x:f>
        <x:v>0</x:v>
      </x:c>
      <x:c r="M447" s="8" t="n">
        <x:f>DATE(YEAR(C447),MONTH(C447),1)</x:f>
        <x:v>45717</x:v>
      </x:c>
    </x:row>
    <x:row r="448" ht="22" customHeight="1">
      <x:c r="A448" s="2" t="str">
        <x:v>O00444</x:v>
      </x:c>
      <x:c r="B448" s="2" t="str">
        <x:v>C0169</x:v>
      </x:c>
      <x:c r="C448" s="7" t="n">
        <x:v>45707</x:v>
      </x:c>
      <x:c r="D448" s="2" t="str">
        <x:v>Completed</x:v>
      </x:c>
      <x:c r="E448" s="2" t="str">
        <x:v>North</x:v>
      </x:c>
      <x:c r="F448" s="2" t="str">
        <x:v>Online</x:v>
      </x:c>
      <x:c r="G448" s="9" t="n">
        <x:f>SUM(SalesLines!Q1097,SalesLines!Q1098,SalesLines!Q1099,SalesLines!Q1100)</x:f>
        <x:v>1580.2</x:v>
      </x:c>
      <x:c r="H448" s="9" t="n">
        <x:f>SUM(SalesLines!M1097,SalesLines!M1098,SalesLines!M1099,SalesLines!M1100)</x:f>
        <x:v>1987</x:v>
      </x:c>
      <x:c r="I448" s="9" t="n">
        <x:f>SUM(SalesLines!N1097,SalesLines!N1098,SalesLines!N1099,SalesLines!N1100)</x:f>
        <x:v>309.2</x:v>
      </x:c>
      <x:c r="J448" s="9" t="n">
        <x:f>SUM(SalesLines!P1097,SalesLines!P1098,SalesLines!P1099,SalesLines!P1100)</x:f>
        <x:v>97.60000000000001</x:v>
      </x:c>
      <x:c r="K448" s="11" t="n">
        <x:f>SUM(SalesLines!R1097,SalesLines!R1098,SalesLines!R1099,SalesLines!R1100)</x:f>
        <x:v>9</x:v>
      </x:c>
      <x:c r="L448" s="11" t="n">
        <x:f>SUM(SalesLines!S1097,SalesLines!S1098,SalesLines!S1099,SalesLines!S1100)</x:f>
        <x:v>1</x:v>
      </x:c>
      <x:c r="M448" s="8" t="n">
        <x:f>DATE(YEAR(C448),MONTH(C448),1)</x:f>
        <x:v>45689</x:v>
      </x:c>
    </x:row>
    <x:row r="449" ht="22" customHeight="1">
      <x:c r="A449" s="2" t="str">
        <x:v>O00445</x:v>
      </x:c>
      <x:c r="B449" s="2" t="str">
        <x:v>C0089</x:v>
      </x:c>
      <x:c r="C449" s="7" t="n">
        <x:v>45864</x:v>
      </x:c>
      <x:c r="D449" s="2" t="str">
        <x:v>Completed</x:v>
      </x:c>
      <x:c r="E449" s="2" t="str">
        <x:v>South</x:v>
      </x:c>
      <x:c r="F449" s="2" t="str">
        <x:v>Online</x:v>
      </x:c>
      <x:c r="G449" s="9" t="n">
        <x:f>SUM(SalesLines!Q1101,SalesLines!Q1102,SalesLines!Q1103,SalesLines!Q1104)</x:f>
        <x:v>1155.7</x:v>
      </x:c>
      <x:c r="H449" s="9" t="n">
        <x:f>SUM(SalesLines!M1101,SalesLines!M1102,SalesLines!M1103,SalesLines!M1104)</x:f>
        <x:v>1302</x:v>
      </x:c>
      <x:c r="I449" s="9" t="n">
        <x:f>SUM(SalesLines!N1101,SalesLines!N1102,SalesLines!N1103,SalesLines!N1104)</x:f>
        <x:v>146.3</x:v>
      </x:c>
      <x:c r="J449" s="9" t="n">
        <x:f>SUM(SalesLines!P1101,SalesLines!P1102,SalesLines!P1103,SalesLines!P1104)</x:f>
        <x:v>0</x:v>
      </x:c>
      <x:c r="K449" s="11" t="n">
        <x:f>SUM(SalesLines!R1101,SalesLines!R1102,SalesLines!R1103,SalesLines!R1104)</x:f>
        <x:v>11</x:v>
      </x:c>
      <x:c r="L449" s="11" t="n">
        <x:f>SUM(SalesLines!S1101,SalesLines!S1102,SalesLines!S1103,SalesLines!S1104)</x:f>
        <x:v>0</x:v>
      </x:c>
      <x:c r="M449" s="8" t="n">
        <x:f>DATE(YEAR(C449),MONTH(C449),1)</x:f>
        <x:v>45839</x:v>
      </x:c>
    </x:row>
    <x:row r="450" ht="22" customHeight="1">
      <x:c r="A450" s="2" t="str">
        <x:v>O00446</x:v>
      </x:c>
      <x:c r="B450" s="2" t="str">
        <x:v>C0033</x:v>
      </x:c>
      <x:c r="C450" s="7" t="n">
        <x:v>45911</x:v>
      </x:c>
      <x:c r="D450" s="2" t="str">
        <x:v>Completed</x:v>
      </x:c>
      <x:c r="E450" s="2" t="str">
        <x:v>South</x:v>
      </x:c>
      <x:c r="F450" s="2" t="str">
        <x:v>Online</x:v>
      </x:c>
      <x:c r="G450" s="9" t="n">
        <x:f>SUM(SalesLines!Q1105,SalesLines!Q1106,SalesLines!Q1107,SalesLines!Q1108)</x:f>
        <x:v>1456.15</x:v>
      </x:c>
      <x:c r="H450" s="9" t="n">
        <x:f>SUM(SalesLines!M1105,SalesLines!M1106,SalesLines!M1107,SalesLines!M1108)</x:f>
        <x:v>1628</x:v>
      </x:c>
      <x:c r="I450" s="9" t="n">
        <x:f>SUM(SalesLines!N1105,SalesLines!N1106,SalesLines!N1107,SalesLines!N1108)</x:f>
        <x:v>171.85000000000002</x:v>
      </x:c>
      <x:c r="J450" s="9" t="n">
        <x:f>SUM(SalesLines!P1105,SalesLines!P1106,SalesLines!P1107,SalesLines!P1108)</x:f>
        <x:v>0</x:v>
      </x:c>
      <x:c r="K450" s="11" t="n">
        <x:f>SUM(SalesLines!R1105,SalesLines!R1106,SalesLines!R1107,SalesLines!R1108)</x:f>
        <x:v>8</x:v>
      </x:c>
      <x:c r="L450" s="11" t="n">
        <x:f>SUM(SalesLines!S1105,SalesLines!S1106,SalesLines!S1107,SalesLines!S1108)</x:f>
        <x:v>0</x:v>
      </x:c>
      <x:c r="M450" s="8" t="n">
        <x:f>DATE(YEAR(C450),MONTH(C450),1)</x:f>
        <x:v>45901</x:v>
      </x:c>
    </x:row>
    <x:row r="451" ht="22" customHeight="1">
      <x:c r="A451" s="2" t="str">
        <x:v>O00447</x:v>
      </x:c>
      <x:c r="B451" s="2" t="str">
        <x:v>C0110</x:v>
      </x:c>
      <x:c r="C451" s="7" t="n">
        <x:v>45793</x:v>
      </x:c>
      <x:c r="D451" s="2" t="str">
        <x:v>Completed</x:v>
      </x:c>
      <x:c r="E451" s="2" t="str">
        <x:v>West</x:v>
      </x:c>
      <x:c r="F451" s="2" t="str">
        <x:v>Online</x:v>
      </x:c>
      <x:c r="G451" s="9" t="n">
        <x:f>SUM(SalesLines!Q1109,SalesLines!Q1110,SalesLines!Q1111,SalesLines!Q1112)</x:f>
        <x:v>617.3999999999999</x:v>
      </x:c>
      <x:c r="H451" s="9" t="n">
        <x:f>SUM(SalesLines!M1109,SalesLines!M1110,SalesLines!M1111,SalesLines!M1112)</x:f>
        <x:v>1756</x:v>
      </x:c>
      <x:c r="I451" s="9" t="n">
        <x:f>SUM(SalesLines!N1109,SalesLines!N1110,SalesLines!N1111,SalesLines!N1112)</x:f>
        <x:v>325.8</x:v>
      </x:c>
      <x:c r="J451" s="9" t="n">
        <x:f>SUM(SalesLines!P1109,SalesLines!P1110,SalesLines!P1111,SalesLines!P1112)</x:f>
        <x:v>812.8000000000001</x:v>
      </x:c>
      <x:c r="K451" s="11" t="n">
        <x:f>SUM(SalesLines!R1109,SalesLines!R1110,SalesLines!R1111,SalesLines!R1112)</x:f>
        <x:v>11</x:v>
      </x:c>
      <x:c r="L451" s="11" t="n">
        <x:f>SUM(SalesLines!S1109,SalesLines!S1110,SalesLines!S1111,SalesLines!S1112)</x:f>
        <x:v>4</x:v>
      </x:c>
      <x:c r="M451" s="8" t="n">
        <x:f>DATE(YEAR(C451),MONTH(C451),1)</x:f>
        <x:v>45778</x:v>
      </x:c>
    </x:row>
    <x:row r="452" ht="22" customHeight="1">
      <x:c r="A452" s="2" t="str">
        <x:v>O00448</x:v>
      </x:c>
      <x:c r="B452" s="2" t="str">
        <x:v>C0016</x:v>
      </x:c>
      <x:c r="C452" s="7" t="n">
        <x:v>45897</x:v>
      </x:c>
      <x:c r="D452" s="2" t="str">
        <x:v>Completed</x:v>
      </x:c>
      <x:c r="E452" s="2" t="str">
        <x:v>East</x:v>
      </x:c>
      <x:c r="F452" s="2" t="str">
        <x:v>Store</x:v>
      </x:c>
      <x:c r="G452" s="9" t="n">
        <x:f>SUM(SalesLines!Q1113,SalesLines!Q1114)</x:f>
        <x:v>1047.1</x:v>
      </x:c>
      <x:c r="H452" s="9" t="n">
        <x:f>SUM(SalesLines!M1113,SalesLines!M1114)</x:f>
        <x:v>1274</x:v>
      </x:c>
      <x:c r="I452" s="9" t="n">
        <x:f>SUM(SalesLines!N1113,SalesLines!N1114)</x:f>
        <x:v>226.9</x:v>
      </x:c>
      <x:c r="J452" s="9" t="n">
        <x:f>SUM(SalesLines!P1113,SalesLines!P1114)</x:f>
        <x:v>0</x:v>
      </x:c>
      <x:c r="K452" s="11" t="n">
        <x:f>SUM(SalesLines!R1113,SalesLines!R1114)</x:f>
        <x:v>8</x:v>
      </x:c>
      <x:c r="L452" s="11" t="n">
        <x:f>SUM(SalesLines!S1113,SalesLines!S1114)</x:f>
        <x:v>0</x:v>
      </x:c>
      <x:c r="M452" s="8" t="n">
        <x:f>DATE(YEAR(C452),MONTH(C452),1)</x:f>
        <x:v>45870</x:v>
      </x:c>
    </x:row>
    <x:row r="453" ht="22" customHeight="1">
      <x:c r="A453" s="2" t="str">
        <x:v>O00449</x:v>
      </x:c>
      <x:c r="B453" s="2" t="str">
        <x:v>C0113</x:v>
      </x:c>
      <x:c r="C453" s="7" t="n">
        <x:v>46003</x:v>
      </x:c>
      <x:c r="D453" s="2" t="str">
        <x:v>Completed</x:v>
      </x:c>
      <x:c r="E453" s="2" t="str">
        <x:v>South</x:v>
      </x:c>
      <x:c r="F453" s="2" t="str">
        <x:v>Online</x:v>
      </x:c>
      <x:c r="G453" s="9" t="n">
        <x:f>SUM(SalesLines!Q1115,SalesLines!Q1116)</x:f>
        <x:v>639.8</x:v>
      </x:c>
      <x:c r="H453" s="9" t="n">
        <x:f>SUM(SalesLines!M1115,SalesLines!M1116)</x:f>
        <x:v>694</x:v>
      </x:c>
      <x:c r="I453" s="9" t="n">
        <x:f>SUM(SalesLines!N1115,SalesLines!N1116)</x:f>
        <x:v>54.2</x:v>
      </x:c>
      <x:c r="J453" s="9" t="n">
        <x:f>SUM(SalesLines!P1115,SalesLines!P1116)</x:f>
        <x:v>0</x:v>
      </x:c>
      <x:c r="K453" s="11" t="n">
        <x:f>SUM(SalesLines!R1115,SalesLines!R1116)</x:f>
        <x:v>5</x:v>
      </x:c>
      <x:c r="L453" s="11" t="n">
        <x:f>SUM(SalesLines!S1115,SalesLines!S1116)</x:f>
        <x:v>0</x:v>
      </x:c>
      <x:c r="M453" s="8" t="n">
        <x:f>DATE(YEAR(C453),MONTH(C453),1)</x:f>
        <x:v>45992</x:v>
      </x:c>
    </x:row>
    <x:row r="454" ht="22" customHeight="1">
      <x:c r="A454" s="2" t="str">
        <x:v>O00450</x:v>
      </x:c>
      <x:c r="B454" s="2" t="str">
        <x:v>C0066</x:v>
      </x:c>
      <x:c r="C454" s="7" t="n">
        <x:v>46008</x:v>
      </x:c>
      <x:c r="D454" s="2" t="str">
        <x:v>Completed</x:v>
      </x:c>
      <x:c r="E454" s="2" t="str">
        <x:v>North</x:v>
      </x:c>
      <x:c r="F454" s="2" t="str">
        <x:v>Online</x:v>
      </x:c>
      <x:c r="G454" s="9" t="n">
        <x:f>SUM(SalesLines!Q1117,SalesLines!Q1118,SalesLines!Q1119,SalesLines!Q1120)</x:f>
        <x:v>2251.3</x:v>
      </x:c>
      <x:c r="H454" s="9" t="n">
        <x:f>SUM(SalesLines!M1117,SalesLines!M1118,SalesLines!M1119,SalesLines!M1120)</x:f>
        <x:v>2311</x:v>
      </x:c>
      <x:c r="I454" s="9" t="n">
        <x:f>SUM(SalesLines!N1117,SalesLines!N1118,SalesLines!N1119,SalesLines!N1120)</x:f>
        <x:v>59.7</x:v>
      </x:c>
      <x:c r="J454" s="9" t="n">
        <x:f>SUM(SalesLines!P1117,SalesLines!P1118,SalesLines!P1119,SalesLines!P1120)</x:f>
        <x:v>0</x:v>
      </x:c>
      <x:c r="K454" s="11" t="n">
        <x:f>SUM(SalesLines!R1117,SalesLines!R1118,SalesLines!R1119,SalesLines!R1120)</x:f>
        <x:v>11</x:v>
      </x:c>
      <x:c r="L454" s="11" t="n">
        <x:f>SUM(SalesLines!S1117,SalesLines!S1118,SalesLines!S1119,SalesLines!S1120)</x:f>
        <x:v>0</x:v>
      </x:c>
      <x:c r="M454" s="8" t="n">
        <x:f>DATE(YEAR(C454),MONTH(C454),1)</x:f>
        <x:v>45992</x:v>
      </x:c>
    </x:row>
    <x:row r="455" ht="22" customHeight="1">
      <x:c r="A455" s="2" t="str">
        <x:v>O00451</x:v>
      </x:c>
      <x:c r="B455" s="2" t="str">
        <x:v>C0275</x:v>
      </x:c>
      <x:c r="C455" s="7" t="n">
        <x:v>45871</x:v>
      </x:c>
      <x:c r="D455" s="2" t="str">
        <x:v>Completed</x:v>
      </x:c>
      <x:c r="E455" s="2" t="str">
        <x:v>East</x:v>
      </x:c>
      <x:c r="F455" s="2" t="str">
        <x:v>Store</x:v>
      </x:c>
      <x:c r="G455" s="9" t="n">
        <x:f>SUM(SalesLines!Q1121,SalesLines!Q1122,SalesLines!Q1123)</x:f>
        <x:v>911.9000000000001</x:v>
      </x:c>
      <x:c r="H455" s="9" t="n">
        <x:f>SUM(SalesLines!M1121,SalesLines!M1122,SalesLines!M1123)</x:f>
        <x:v>1049</x:v>
      </x:c>
      <x:c r="I455" s="9" t="n">
        <x:f>SUM(SalesLines!N1121,SalesLines!N1122,SalesLines!N1123)</x:f>
        <x:v>137.10000000000002</x:v>
      </x:c>
      <x:c r="J455" s="9" t="n">
        <x:f>SUM(SalesLines!P1121,SalesLines!P1122,SalesLines!P1123)</x:f>
        <x:v>0</x:v>
      </x:c>
      <x:c r="K455" s="11" t="n">
        <x:f>SUM(SalesLines!R1121,SalesLines!R1122,SalesLines!R1123)</x:f>
        <x:v>7</x:v>
      </x:c>
      <x:c r="L455" s="11" t="n">
        <x:f>SUM(SalesLines!S1121,SalesLines!S1122,SalesLines!S1123)</x:f>
        <x:v>0</x:v>
      </x:c>
      <x:c r="M455" s="8" t="n">
        <x:f>DATE(YEAR(C455),MONTH(C455),1)</x:f>
        <x:v>45870</x:v>
      </x:c>
    </x:row>
    <x:row r="456" ht="22" customHeight="1">
      <x:c r="A456" s="2" t="str">
        <x:v>O00452</x:v>
      </x:c>
      <x:c r="B456" s="2" t="str">
        <x:v>C0298</x:v>
      </x:c>
      <x:c r="C456" s="7" t="n">
        <x:v>45664</x:v>
      </x:c>
      <x:c r="D456" s="2" t="str">
        <x:v>Completed</x:v>
      </x:c>
      <x:c r="E456" s="2" t="str">
        <x:v>North</x:v>
      </x:c>
      <x:c r="F456" s="2" t="str">
        <x:v>Online</x:v>
      </x:c>
      <x:c r="G456" s="9" t="n">
        <x:f>SUM(SalesLines!Q1124)</x:f>
        <x:v>1022.2</x:v>
      </x:c>
      <x:c r="H456" s="9" t="n">
        <x:f>SUM(SalesLines!M1124)</x:f>
        <x:v>1076</x:v>
      </x:c>
      <x:c r="I456" s="9" t="n">
        <x:f>SUM(SalesLines!N1124)</x:f>
        <x:v>53.800000000000004</x:v>
      </x:c>
      <x:c r="J456" s="9" t="n">
        <x:f>SUM(SalesLines!P1124)</x:f>
        <x:v>0</x:v>
      </x:c>
      <x:c r="K456" s="11" t="n">
        <x:f>SUM(SalesLines!R1124)</x:f>
        <x:v>4</x:v>
      </x:c>
      <x:c r="L456" s="11" t="n">
        <x:f>SUM(SalesLines!S1124)</x:f>
        <x:v>0</x:v>
      </x:c>
      <x:c r="M456" s="8" t="n">
        <x:f>DATE(YEAR(C456),MONTH(C456),1)</x:f>
        <x:v>45658</x:v>
      </x:c>
    </x:row>
    <x:row r="457" ht="22" customHeight="1">
      <x:c r="A457" s="2" t="str">
        <x:v>O00453</x:v>
      </x:c>
      <x:c r="B457" s="2" t="str">
        <x:v>C0233</x:v>
      </x:c>
      <x:c r="C457" s="7" t="n">
        <x:v>45674</x:v>
      </x:c>
      <x:c r="D457" s="2" t="str">
        <x:v>Cancelled</x:v>
      </x:c>
      <x:c r="E457" s="2" t="str">
        <x:v>South</x:v>
      </x:c>
      <x:c r="F457" s="2" t="str">
        <x:v>Online</x:v>
      </x:c>
      <x:c r="G457" s="9" t="n">
        <x:f>SUM(SalesLines!Q1125)</x:f>
        <x:v>0</x:v>
      </x:c>
      <x:c r="H457" s="9" t="n">
        <x:f>SUM(SalesLines!M1125)</x:f>
        <x:v>0</x:v>
      </x:c>
      <x:c r="I457" s="9" t="n">
        <x:f>SUM(SalesLines!N1125)</x:f>
        <x:v>0</x:v>
      </x:c>
      <x:c r="J457" s="9" t="n">
        <x:f>SUM(SalesLines!P1125)</x:f>
        <x:v>0</x:v>
      </x:c>
      <x:c r="K457" s="11" t="n">
        <x:f>SUM(SalesLines!R1125)</x:f>
        <x:v>0</x:v>
      </x:c>
      <x:c r="L457" s="11" t="n">
        <x:f>SUM(SalesLines!S1125)</x:f>
        <x:v>0</x:v>
      </x:c>
      <x:c r="M457" s="8" t="n">
        <x:f>DATE(YEAR(C457),MONTH(C457),1)</x:f>
        <x:v>45658</x:v>
      </x:c>
    </x:row>
    <x:row r="458" ht="22" customHeight="1">
      <x:c r="A458" s="2" t="str">
        <x:v>O00454</x:v>
      </x:c>
      <x:c r="B458" s="2" t="str">
        <x:v>C0070</x:v>
      </x:c>
      <x:c r="C458" s="7" t="n">
        <x:v>45840</x:v>
      </x:c>
      <x:c r="D458" s="2" t="str">
        <x:v>Completed</x:v>
      </x:c>
      <x:c r="E458" s="2" t="str">
        <x:v>West</x:v>
      </x:c>
      <x:c r="F458" s="2" t="str">
        <x:v>Store</x:v>
      </x:c>
      <x:c r="G458" s="9" t="n">
        <x:f>SUM(SalesLines!Q1126)</x:f>
        <x:v>120.6</x:v>
      </x:c>
      <x:c r="H458" s="9" t="n">
        <x:f>SUM(SalesLines!M1126)</x:f>
        <x:v>134</x:v>
      </x:c>
      <x:c r="I458" s="9" t="n">
        <x:f>SUM(SalesLines!N1126)</x:f>
        <x:v>13.4</x:v>
      </x:c>
      <x:c r="J458" s="9" t="n">
        <x:f>SUM(SalesLines!P1126)</x:f>
        <x:v>0</x:v>
      </x:c>
      <x:c r="K458" s="11" t="n">
        <x:f>SUM(SalesLines!R1126)</x:f>
        <x:v>1</x:v>
      </x:c>
      <x:c r="L458" s="11" t="n">
        <x:f>SUM(SalesLines!S1126)</x:f>
        <x:v>0</x:v>
      </x:c>
      <x:c r="M458" s="8" t="n">
        <x:f>DATE(YEAR(C458),MONTH(C458),1)</x:f>
        <x:v>45839</x:v>
      </x:c>
    </x:row>
    <x:row r="459" ht="22" customHeight="1">
      <x:c r="A459" s="2" t="str">
        <x:v>O00455</x:v>
      </x:c>
      <x:c r="B459" s="2" t="str">
        <x:v>C0120</x:v>
      </x:c>
      <x:c r="C459" s="7" t="n">
        <x:v>45979</x:v>
      </x:c>
      <x:c r="D459" s="2" t="str">
        <x:v>Completed</x:v>
      </x:c>
      <x:c r="E459" s="2" t="str">
        <x:v>South</x:v>
      </x:c>
      <x:c r="F459" s="2" t="str">
        <x:v>Store</x:v>
      </x:c>
      <x:c r="G459" s="9" t="n">
        <x:f>SUM(SalesLines!Q1127,SalesLines!Q1128,SalesLines!Q1129,SalesLines!Q1130)</x:f>
        <x:v>3435</x:v>
      </x:c>
      <x:c r="H459" s="9" t="n">
        <x:f>SUM(SalesLines!M1127,SalesLines!M1128,SalesLines!M1129,SalesLines!M1130)</x:f>
        <x:v>4119</x:v>
      </x:c>
      <x:c r="I459" s="9" t="n">
        <x:f>SUM(SalesLines!N1127,SalesLines!N1128,SalesLines!N1129,SalesLines!N1130)</x:f>
        <x:v>684</x:v>
      </x:c>
      <x:c r="J459" s="9" t="n">
        <x:f>SUM(SalesLines!P1127,SalesLines!P1128,SalesLines!P1129,SalesLines!P1130)</x:f>
        <x:v>0</x:v>
      </x:c>
      <x:c r="K459" s="11" t="n">
        <x:f>SUM(SalesLines!R1127,SalesLines!R1128,SalesLines!R1129,SalesLines!R1130)</x:f>
        <x:v>16</x:v>
      </x:c>
      <x:c r="L459" s="11" t="n">
        <x:f>SUM(SalesLines!S1127,SalesLines!S1128,SalesLines!S1129,SalesLines!S1130)</x:f>
        <x:v>0</x:v>
      </x:c>
      <x:c r="M459" s="8" t="n">
        <x:f>DATE(YEAR(C459),MONTH(C459),1)</x:f>
        <x:v>45962</x:v>
      </x:c>
    </x:row>
    <x:row r="460" ht="22" customHeight="1">
      <x:c r="A460" s="2" t="str">
        <x:v>O00456</x:v>
      </x:c>
      <x:c r="B460" s="2" t="str">
        <x:v>C0296</x:v>
      </x:c>
      <x:c r="C460" s="7" t="n">
        <x:v>45798</x:v>
      </x:c>
      <x:c r="D460" s="2" t="str">
        <x:v>Completed</x:v>
      </x:c>
      <x:c r="E460" s="2" t="str">
        <x:v>East</x:v>
      </x:c>
      <x:c r="F460" s="2" t="str">
        <x:v>Online</x:v>
      </x:c>
      <x:c r="G460" s="9" t="n">
        <x:f>SUM(SalesLines!Q1131,SalesLines!Q1132,SalesLines!Q1133,SalesLines!Q1134)</x:f>
        <x:v>1462.45</x:v>
      </x:c>
      <x:c r="H460" s="9" t="n">
        <x:f>SUM(SalesLines!M1131,SalesLines!M1132,SalesLines!M1133,SalesLines!M1134)</x:f>
        <x:v>1739</x:v>
      </x:c>
      <x:c r="I460" s="9" t="n">
        <x:f>SUM(SalesLines!N1131,SalesLines!N1132,SalesLines!N1133,SalesLines!N1134)</x:f>
        <x:v>276.55</x:v>
      </x:c>
      <x:c r="J460" s="9" t="n">
        <x:f>SUM(SalesLines!P1131,SalesLines!P1132,SalesLines!P1133,SalesLines!P1134)</x:f>
        <x:v>0</x:v>
      </x:c>
      <x:c r="K460" s="11" t="n">
        <x:f>SUM(SalesLines!R1131,SalesLines!R1132,SalesLines!R1133,SalesLines!R1134)</x:f>
        <x:v>12</x:v>
      </x:c>
      <x:c r="L460" s="11" t="n">
        <x:f>SUM(SalesLines!S1131,SalesLines!S1132,SalesLines!S1133,SalesLines!S1134)</x:f>
        <x:v>0</x:v>
      </x:c>
      <x:c r="M460" s="8" t="n">
        <x:f>DATE(YEAR(C460),MONTH(C460),1)</x:f>
        <x:v>45778</x:v>
      </x:c>
    </x:row>
    <x:row r="461" ht="22" customHeight="1">
      <x:c r="A461" s="2" t="str">
        <x:v>O00457</x:v>
      </x:c>
      <x:c r="B461" s="2" t="str">
        <x:v>C0059</x:v>
      </x:c>
      <x:c r="C461" s="7" t="n">
        <x:v>45910</x:v>
      </x:c>
      <x:c r="D461" s="2" t="str">
        <x:v>Completed</x:v>
      </x:c>
      <x:c r="E461" s="2" t="str">
        <x:v>South</x:v>
      </x:c>
      <x:c r="F461" s="2" t="str">
        <x:v>Online</x:v>
      </x:c>
      <x:c r="G461" s="9" t="n">
        <x:f>SUM(SalesLines!Q1135,SalesLines!Q1136,SalesLines!Q1137)</x:f>
        <x:v>1618.5500000000002</x:v>
      </x:c>
      <x:c r="H461" s="9" t="n">
        <x:f>SUM(SalesLines!M1135,SalesLines!M1136,SalesLines!M1137)</x:f>
        <x:v>1798</x:v>
      </x:c>
      <x:c r="I461" s="9" t="n">
        <x:f>SUM(SalesLines!N1135,SalesLines!N1136,SalesLines!N1137)</x:f>
        <x:v>179.45000000000002</x:v>
      </x:c>
      <x:c r="J461" s="9" t="n">
        <x:f>SUM(SalesLines!P1135,SalesLines!P1136,SalesLines!P1137)</x:f>
        <x:v>0</x:v>
      </x:c>
      <x:c r="K461" s="11" t="n">
        <x:f>SUM(SalesLines!R1135,SalesLines!R1136,SalesLines!R1137)</x:f>
        <x:v>8</x:v>
      </x:c>
      <x:c r="L461" s="11" t="n">
        <x:f>SUM(SalesLines!S1135,SalesLines!S1136,SalesLines!S1137)</x:f>
        <x:v>0</x:v>
      </x:c>
      <x:c r="M461" s="8" t="n">
        <x:f>DATE(YEAR(C461),MONTH(C461),1)</x:f>
        <x:v>45901</x:v>
      </x:c>
    </x:row>
    <x:row r="462" ht="22" customHeight="1">
      <x:c r="A462" s="2" t="str">
        <x:v>O00458</x:v>
      </x:c>
      <x:c r="B462" s="2" t="str">
        <x:v>C0170</x:v>
      </x:c>
      <x:c r="C462" s="7" t="n">
        <x:v>45876</x:v>
      </x:c>
      <x:c r="D462" s="2" t="str">
        <x:v>Completed</x:v>
      </x:c>
      <x:c r="E462" s="2" t="str">
        <x:v>East</x:v>
      </x:c>
      <x:c r="F462" s="2" t="str">
        <x:v>Online</x:v>
      </x:c>
      <x:c r="G462" s="9" t="n">
        <x:f>SUM(SalesLines!Q1138,SalesLines!Q1139,SalesLines!Q1140)</x:f>
        <x:v>1021.7</x:v>
      </x:c>
      <x:c r="H462" s="9" t="n">
        <x:f>SUM(SalesLines!M1138,SalesLines!M1139,SalesLines!M1140)</x:f>
        <x:v>1157</x:v>
      </x:c>
      <x:c r="I462" s="9" t="n">
        <x:f>SUM(SalesLines!N1138,SalesLines!N1139,SalesLines!N1140)</x:f>
        <x:v>135.3</x:v>
      </x:c>
      <x:c r="J462" s="9" t="n">
        <x:f>SUM(SalesLines!P1138,SalesLines!P1139,SalesLines!P1140)</x:f>
        <x:v>0</x:v>
      </x:c>
      <x:c r="K462" s="11" t="n">
        <x:f>SUM(SalesLines!R1138,SalesLines!R1139,SalesLines!R1140)</x:f>
        <x:v>6</x:v>
      </x:c>
      <x:c r="L462" s="11" t="n">
        <x:f>SUM(SalesLines!S1138,SalesLines!S1139,SalesLines!S1140)</x:f>
        <x:v>0</x:v>
      </x:c>
      <x:c r="M462" s="8" t="n">
        <x:f>DATE(YEAR(C462),MONTH(C462),1)</x:f>
        <x:v>45870</x:v>
      </x:c>
    </x:row>
    <x:row r="463" ht="22" customHeight="1">
      <x:c r="A463" s="2" t="str">
        <x:v>O00459</x:v>
      </x:c>
      <x:c r="B463" s="2" t="str">
        <x:v>C0033</x:v>
      </x:c>
      <x:c r="C463" s="7" t="n">
        <x:v>45927</x:v>
      </x:c>
      <x:c r="D463" s="2" t="str">
        <x:v>Completed</x:v>
      </x:c>
      <x:c r="E463" s="2" t="str">
        <x:v>South</x:v>
      </x:c>
      <x:c r="F463" s="2" t="str">
        <x:v>Store</x:v>
      </x:c>
      <x:c r="G463" s="9" t="n">
        <x:f>SUM(SalesLines!Q1141,SalesLines!Q1142,SalesLines!Q1143)</x:f>
        <x:v>309</x:v>
      </x:c>
      <x:c r="H463" s="9" t="n">
        <x:f>SUM(SalesLines!M1141,SalesLines!M1142,SalesLines!M1143)</x:f>
        <x:v>695</x:v>
      </x:c>
      <x:c r="I463" s="9" t="n">
        <x:f>SUM(SalesLines!N1141,SalesLines!N1142,SalesLines!N1143)</x:f>
        <x:v>74.80000000000001</x:v>
      </x:c>
      <x:c r="J463" s="9" t="n">
        <x:f>SUM(SalesLines!P1141,SalesLines!P1142,SalesLines!P1143)</x:f>
        <x:v>311.20000000000005</x:v>
      </x:c>
      <x:c r="K463" s="11" t="n">
        <x:f>SUM(SalesLines!R1141,SalesLines!R1142,SalesLines!R1143)</x:f>
        <x:v>6</x:v>
      </x:c>
      <x:c r="L463" s="11" t="n">
        <x:f>SUM(SalesLines!S1141,SalesLines!S1142,SalesLines!S1143)</x:f>
        <x:v>2</x:v>
      </x:c>
      <x:c r="M463" s="8" t="n">
        <x:f>DATE(YEAR(C463),MONTH(C463),1)</x:f>
        <x:v>45901</x:v>
      </x:c>
    </x:row>
    <x:row r="464" ht="22" customHeight="1">
      <x:c r="A464" s="2" t="str">
        <x:v>O00460</x:v>
      </x:c>
      <x:c r="B464" s="2" t="str">
        <x:v>C0109</x:v>
      </x:c>
      <x:c r="C464" s="7" t="n">
        <x:v>45834</x:v>
      </x:c>
      <x:c r="D464" s="2" t="str">
        <x:v>Cancelled</x:v>
      </x:c>
      <x:c r="E464" s="2" t="str">
        <x:v>West</x:v>
      </x:c>
      <x:c r="F464" s="2" t="str">
        <x:v>Online</x:v>
      </x:c>
      <x:c r="G464" s="9" t="n">
        <x:f>SUM(SalesLines!Q1144,SalesLines!Q1145,SalesLines!Q1146,SalesLines!Q1147)</x:f>
        <x:v>0</x:v>
      </x:c>
      <x:c r="H464" s="9" t="n">
        <x:f>SUM(SalesLines!M1144,SalesLines!M1145,SalesLines!M1146,SalesLines!M1147)</x:f>
        <x:v>0</x:v>
      </x:c>
      <x:c r="I464" s="9" t="n">
        <x:f>SUM(SalesLines!N1144,SalesLines!N1145,SalesLines!N1146,SalesLines!N1147)</x:f>
        <x:v>0</x:v>
      </x:c>
      <x:c r="J464" s="9" t="n">
        <x:f>SUM(SalesLines!P1144,SalesLines!P1145,SalesLines!P1146,SalesLines!P1147)</x:f>
        <x:v>0</x:v>
      </x:c>
      <x:c r="K464" s="11" t="n">
        <x:f>SUM(SalesLines!R1144,SalesLines!R1145,SalesLines!R1146,SalesLines!R1147)</x:f>
        <x:v>0</x:v>
      </x:c>
      <x:c r="L464" s="11" t="n">
        <x:f>SUM(SalesLines!S1144,SalesLines!S1145,SalesLines!S1146,SalesLines!S1147)</x:f>
        <x:v>0</x:v>
      </x:c>
      <x:c r="M464" s="8" t="n">
        <x:f>DATE(YEAR(C464),MONTH(C464),1)</x:f>
        <x:v>45809</x:v>
      </x:c>
    </x:row>
    <x:row r="465" ht="22" customHeight="1">
      <x:c r="A465" s="2" t="str">
        <x:v>O00461</x:v>
      </x:c>
      <x:c r="B465" s="2" t="str">
        <x:v>C0196</x:v>
      </x:c>
      <x:c r="C465" s="7" t="n">
        <x:v>45938</x:v>
      </x:c>
      <x:c r="D465" s="2" t="str">
        <x:v>Cancelled</x:v>
      </x:c>
      <x:c r="E465" s="2" t="str">
        <x:v>West</x:v>
      </x:c>
      <x:c r="F465" s="2" t="str">
        <x:v>Online</x:v>
      </x:c>
      <x:c r="G465" s="9" t="n">
        <x:f>SUM(SalesLines!Q1148,SalesLines!Q1149)</x:f>
        <x:v>0</x:v>
      </x:c>
      <x:c r="H465" s="9" t="n">
        <x:f>SUM(SalesLines!M1148,SalesLines!M1149)</x:f>
        <x:v>0</x:v>
      </x:c>
      <x:c r="I465" s="9" t="n">
        <x:f>SUM(SalesLines!N1148,SalesLines!N1149)</x:f>
        <x:v>0</x:v>
      </x:c>
      <x:c r="J465" s="9" t="n">
        <x:f>SUM(SalesLines!P1148,SalesLines!P1149)</x:f>
        <x:v>0</x:v>
      </x:c>
      <x:c r="K465" s="11" t="n">
        <x:f>SUM(SalesLines!R1148,SalesLines!R1149)</x:f>
        <x:v>0</x:v>
      </x:c>
      <x:c r="L465" s="11" t="n">
        <x:f>SUM(SalesLines!S1148,SalesLines!S1149)</x:f>
        <x:v>0</x:v>
      </x:c>
      <x:c r="M465" s="8" t="n">
        <x:f>DATE(YEAR(C465),MONTH(C465),1)</x:f>
        <x:v>45931</x:v>
      </x:c>
    </x:row>
    <x:row r="466" ht="22" customHeight="1">
      <x:c r="A466" s="2" t="str">
        <x:v>O00462</x:v>
      </x:c>
      <x:c r="B466" s="2" t="str">
        <x:v>C0115</x:v>
      </x:c>
      <x:c r="C466" s="7" t="n">
        <x:v>45906</x:v>
      </x:c>
      <x:c r="D466" s="2" t="str">
        <x:v>Completed</x:v>
      </x:c>
      <x:c r="E466" s="2" t="str">
        <x:v>North</x:v>
      </x:c>
      <x:c r="F466" s="2" t="str">
        <x:v>Online</x:v>
      </x:c>
      <x:c r="G466" s="9" t="n">
        <x:f>SUM(SalesLines!Q1150)</x:f>
        <x:v>361.79999999999995</x:v>
      </x:c>
      <x:c r="H466" s="9" t="n">
        <x:f>SUM(SalesLines!M1150)</x:f>
        <x:v>670</x:v>
      </x:c>
      <x:c r="I466" s="9" t="n">
        <x:f>SUM(SalesLines!N1150)</x:f>
        <x:v>67</x:v>
      </x:c>
      <x:c r="J466" s="9" t="n">
        <x:f>SUM(SalesLines!P1150)</x:f>
        <x:v>241.20000000000002</x:v>
      </x:c>
      <x:c r="K466" s="11" t="n">
        <x:f>SUM(SalesLines!R1150)</x:f>
        <x:v>5</x:v>
      </x:c>
      <x:c r="L466" s="11" t="n">
        <x:f>SUM(SalesLines!S1150)</x:f>
        <x:v>2</x:v>
      </x:c>
      <x:c r="M466" s="8" t="n">
        <x:f>DATE(YEAR(C466),MONTH(C466),1)</x:f>
        <x:v>45901</x:v>
      </x:c>
    </x:row>
    <x:row r="467" ht="22" customHeight="1">
      <x:c r="A467" s="2" t="str">
        <x:v>O00463</x:v>
      </x:c>
      <x:c r="B467" s="2" t="str">
        <x:v>C0197</x:v>
      </x:c>
      <x:c r="C467" s="7" t="n">
        <x:v>45838</x:v>
      </x:c>
      <x:c r="D467" s="2" t="str">
        <x:v>Completed</x:v>
      </x:c>
      <x:c r="E467" s="2" t="str">
        <x:v>East</x:v>
      </x:c>
      <x:c r="F467" s="2" t="str">
        <x:v>Online</x:v>
      </x:c>
      <x:c r="G467" s="9" t="n">
        <x:f>SUM(SalesLines!Q1151,SalesLines!Q1152)</x:f>
        <x:v>575.2</x:v>
      </x:c>
      <x:c r="H467" s="9" t="n">
        <x:f>SUM(SalesLines!M1151,SalesLines!M1152)</x:f>
        <x:v>719</x:v>
      </x:c>
      <x:c r="I467" s="9" t="n">
        <x:f>SUM(SalesLines!N1151,SalesLines!N1152)</x:f>
        <x:v>143.8</x:v>
      </x:c>
      <x:c r="J467" s="9" t="n">
        <x:f>SUM(SalesLines!P1151,SalesLines!P1152)</x:f>
        <x:v>0</x:v>
      </x:c>
      <x:c r="K467" s="11" t="n">
        <x:f>SUM(SalesLines!R1151,SalesLines!R1152)</x:f>
        <x:v>3</x:v>
      </x:c>
      <x:c r="L467" s="11" t="n">
        <x:f>SUM(SalesLines!S1151,SalesLines!S1152)</x:f>
        <x:v>0</x:v>
      </x:c>
      <x:c r="M467" s="8" t="n">
        <x:f>DATE(YEAR(C467),MONTH(C467),1)</x:f>
        <x:v>45809</x:v>
      </x:c>
    </x:row>
    <x:row r="468" ht="22" customHeight="1">
      <x:c r="A468" s="2" t="str">
        <x:v>O00464</x:v>
      </x:c>
      <x:c r="B468" s="2" t="str">
        <x:v>C0154</x:v>
      </x:c>
      <x:c r="C468" s="7" t="n">
        <x:v>45976</x:v>
      </x:c>
      <x:c r="D468" s="2" t="str">
        <x:v>Completed</x:v>
      </x:c>
      <x:c r="E468" s="2" t="str">
        <x:v>North</x:v>
      </x:c>
      <x:c r="F468" s="2" t="str">
        <x:v>Store</x:v>
      </x:c>
      <x:c r="G468" s="9" t="n">
        <x:f>SUM(SalesLines!Q1153)</x:f>
        <x:v>63</x:v>
      </x:c>
      <x:c r="H468" s="9" t="n">
        <x:f>SUM(SalesLines!M1153)</x:f>
        <x:v>70</x:v>
      </x:c>
      <x:c r="I468" s="9" t="n">
        <x:f>SUM(SalesLines!N1153)</x:f>
        <x:v>7</x:v>
      </x:c>
      <x:c r="J468" s="9" t="n">
        <x:f>SUM(SalesLines!P1153)</x:f>
        <x:v>0</x:v>
      </x:c>
      <x:c r="K468" s="11" t="n">
        <x:f>SUM(SalesLines!R1153)</x:f>
        <x:v>2</x:v>
      </x:c>
      <x:c r="L468" s="11" t="n">
        <x:f>SUM(SalesLines!S1153)</x:f>
        <x:v>0</x:v>
      </x:c>
      <x:c r="M468" s="8" t="n">
        <x:f>DATE(YEAR(C468),MONTH(C468),1)</x:f>
        <x:v>45962</x:v>
      </x:c>
    </x:row>
    <x:row r="469" ht="22" customHeight="1">
      <x:c r="A469" s="2" t="str">
        <x:v>O00465</x:v>
      </x:c>
      <x:c r="B469" s="2" t="str">
        <x:v>C0031</x:v>
      </x:c>
      <x:c r="C469" s="7" t="n">
        <x:v>46003</x:v>
      </x:c>
      <x:c r="D469" s="2" t="str">
        <x:v>Cancelled</x:v>
      </x:c>
      <x:c r="E469" s="2" t="str">
        <x:v>South</x:v>
      </x:c>
      <x:c r="F469" s="2" t="str">
        <x:v>Online</x:v>
      </x:c>
      <x:c r="G469" s="9" t="n">
        <x:f>SUM(SalesLines!Q1154,SalesLines!Q1155,SalesLines!Q1156)</x:f>
        <x:v>0</x:v>
      </x:c>
      <x:c r="H469" s="9" t="n">
        <x:f>SUM(SalesLines!M1154,SalesLines!M1155,SalesLines!M1156)</x:f>
        <x:v>0</x:v>
      </x:c>
      <x:c r="I469" s="9" t="n">
        <x:f>SUM(SalesLines!N1154,SalesLines!N1155,SalesLines!N1156)</x:f>
        <x:v>0</x:v>
      </x:c>
      <x:c r="J469" s="9" t="n">
        <x:f>SUM(SalesLines!P1154,SalesLines!P1155,SalesLines!P1156)</x:f>
        <x:v>0</x:v>
      </x:c>
      <x:c r="K469" s="11" t="n">
        <x:f>SUM(SalesLines!R1154,SalesLines!R1155,SalesLines!R1156)</x:f>
        <x:v>0</x:v>
      </x:c>
      <x:c r="L469" s="11" t="n">
        <x:f>SUM(SalesLines!S1154,SalesLines!S1155,SalesLines!S1156)</x:f>
        <x:v>0</x:v>
      </x:c>
      <x:c r="M469" s="8" t="n">
        <x:f>DATE(YEAR(C469),MONTH(C469),1)</x:f>
        <x:v>45992</x:v>
      </x:c>
    </x:row>
    <x:row r="470" ht="22" customHeight="1">
      <x:c r="A470" s="2" t="str">
        <x:v>O00466</x:v>
      </x:c>
      <x:c r="B470" s="2" t="str">
        <x:v>C0019</x:v>
      </x:c>
      <x:c r="C470" s="7" t="n">
        <x:v>45853</x:v>
      </x:c>
      <x:c r="D470" s="2" t="str">
        <x:v>Completed</x:v>
      </x:c>
      <x:c r="E470" s="2" t="str">
        <x:v>North</x:v>
      </x:c>
      <x:c r="F470" s="2" t="str">
        <x:v>Online</x:v>
      </x:c>
      <x:c r="G470" s="9" t="n">
        <x:f>SUM(SalesLines!Q1157,SalesLines!Q1158,SalesLines!Q1159)</x:f>
        <x:v>997.8</x:v>
      </x:c>
      <x:c r="H470" s="9" t="n">
        <x:f>SUM(SalesLines!M1157,SalesLines!M1158,SalesLines!M1159)</x:f>
        <x:v>1227</x:v>
      </x:c>
      <x:c r="I470" s="9" t="n">
        <x:f>SUM(SalesLines!N1157,SalesLines!N1158,SalesLines!N1159)</x:f>
        <x:v>229.20000000000002</x:v>
      </x:c>
      <x:c r="J470" s="9" t="n">
        <x:f>SUM(SalesLines!P1157,SalesLines!P1158,SalesLines!P1159)</x:f>
        <x:v>0</x:v>
      </x:c>
      <x:c r="K470" s="11" t="n">
        <x:f>SUM(SalesLines!R1157,SalesLines!R1158,SalesLines!R1159)</x:f>
        <x:v>7</x:v>
      </x:c>
      <x:c r="L470" s="11" t="n">
        <x:f>SUM(SalesLines!S1157,SalesLines!S1158,SalesLines!S1159)</x:f>
        <x:v>0</x:v>
      </x:c>
      <x:c r="M470" s="8" t="n">
        <x:f>DATE(YEAR(C470),MONTH(C470),1)</x:f>
        <x:v>45839</x:v>
      </x:c>
    </x:row>
    <x:row r="471" ht="22" customHeight="1">
      <x:c r="A471" s="2" t="str">
        <x:v>O00467</x:v>
      </x:c>
      <x:c r="B471" s="2" t="str">
        <x:v>C0055</x:v>
      </x:c>
      <x:c r="C471" s="7" t="n">
        <x:v>45757</x:v>
      </x:c>
      <x:c r="D471" s="2" t="str">
        <x:v>Completed</x:v>
      </x:c>
      <x:c r="E471" s="2" t="str">
        <x:v>East</x:v>
      </x:c>
      <x:c r="F471" s="2" t="str">
        <x:v>Store</x:v>
      </x:c>
      <x:c r="G471" s="9" t="n">
        <x:f>SUM(SalesLines!Q1160,SalesLines!Q1161,SalesLines!Q1162,SalesLines!Q1163)</x:f>
        <x:v>1988.65</x:v>
      </x:c>
      <x:c r="H471" s="9" t="n">
        <x:f>SUM(SalesLines!M1160,SalesLines!M1161,SalesLines!M1162,SalesLines!M1163)</x:f>
        <x:v>2453</x:v>
      </x:c>
      <x:c r="I471" s="9" t="n">
        <x:f>SUM(SalesLines!N1160,SalesLines!N1161,SalesLines!N1162,SalesLines!N1163)</x:f>
        <x:v>284.8</x:v>
      </x:c>
      <x:c r="J471" s="9" t="n">
        <x:f>SUM(SalesLines!P1160,SalesLines!P1161,SalesLines!P1162,SalesLines!P1163)</x:f>
        <x:v>179.54999999999998</x:v>
      </x:c>
      <x:c r="K471" s="11" t="n">
        <x:f>SUM(SalesLines!R1160,SalesLines!R1161,SalesLines!R1162,SalesLines!R1163)</x:f>
        <x:v>11</x:v>
      </x:c>
      <x:c r="L471" s="11" t="n">
        <x:f>SUM(SalesLines!S1160,SalesLines!S1161,SalesLines!S1162,SalesLines!S1163)</x:f>
        <x:v>1</x:v>
      </x:c>
      <x:c r="M471" s="8" t="n">
        <x:f>DATE(YEAR(C471),MONTH(C471),1)</x:f>
        <x:v>45748</x:v>
      </x:c>
    </x:row>
    <x:row r="472" ht="22" customHeight="1">
      <x:c r="A472" s="2" t="str">
        <x:v>O00468</x:v>
      </x:c>
      <x:c r="B472" s="2" t="str">
        <x:v>C0249</x:v>
      </x:c>
      <x:c r="C472" s="7" t="n">
        <x:v>45831</x:v>
      </x:c>
      <x:c r="D472" s="2" t="str">
        <x:v>Completed</x:v>
      </x:c>
      <x:c r="E472" s="2" t="str">
        <x:v>North</x:v>
      </x:c>
      <x:c r="F472" s="2" t="str">
        <x:v>Online</x:v>
      </x:c>
      <x:c r="G472" s="9" t="n">
        <x:f>SUM(SalesLines!Q1164,SalesLines!Q1165)</x:f>
        <x:v>1586.3</x:v>
      </x:c>
      <x:c r="H472" s="9" t="n">
        <x:f>SUM(SalesLines!M1164,SalesLines!M1165)</x:f>
        <x:v>1851</x:v>
      </x:c>
      <x:c r="I472" s="9" t="n">
        <x:f>SUM(SalesLines!N1164,SalesLines!N1165)</x:f>
        <x:v>264.70000000000005</x:v>
      </x:c>
      <x:c r="J472" s="9" t="n">
        <x:f>SUM(SalesLines!P1164,SalesLines!P1165)</x:f>
        <x:v>0</x:v>
      </x:c>
      <x:c r="K472" s="11" t="n">
        <x:f>SUM(SalesLines!R1164,SalesLines!R1165)</x:f>
        <x:v>9</x:v>
      </x:c>
      <x:c r="L472" s="11" t="n">
        <x:f>SUM(SalesLines!S1164,SalesLines!S1165)</x:f>
        <x:v>0</x:v>
      </x:c>
      <x:c r="M472" s="8" t="n">
        <x:f>DATE(YEAR(C472),MONTH(C472),1)</x:f>
        <x:v>45809</x:v>
      </x:c>
    </x:row>
    <x:row r="473" ht="22" customHeight="1">
      <x:c r="A473" s="2" t="str">
        <x:v>O00469</x:v>
      </x:c>
      <x:c r="B473" s="2" t="str">
        <x:v>C0014</x:v>
      </x:c>
      <x:c r="C473" s="7" t="n">
        <x:v>45984</x:v>
      </x:c>
      <x:c r="D473" s="2" t="str">
        <x:v>Completed</x:v>
      </x:c>
      <x:c r="E473" s="2" t="str">
        <x:v>North</x:v>
      </x:c>
      <x:c r="F473" s="2" t="str">
        <x:v>Online</x:v>
      </x:c>
      <x:c r="G473" s="9" t="n">
        <x:f>SUM(SalesLines!Q1166,SalesLines!Q1167,SalesLines!Q1168)</x:f>
        <x:v>892.4</x:v>
      </x:c>
      <x:c r="H473" s="9" t="n">
        <x:f>SUM(SalesLines!M1166,SalesLines!M1167,SalesLines!M1168)</x:f>
        <x:v>1066</x:v>
      </x:c>
      <x:c r="I473" s="9" t="n">
        <x:f>SUM(SalesLines!N1166,SalesLines!N1167,SalesLines!N1168)</x:f>
        <x:v>173.6</x:v>
      </x:c>
      <x:c r="J473" s="9" t="n">
        <x:f>SUM(SalesLines!P1166,SalesLines!P1167,SalesLines!P1168)</x:f>
        <x:v>0</x:v>
      </x:c>
      <x:c r="K473" s="11" t="n">
        <x:f>SUM(SalesLines!R1166,SalesLines!R1167,SalesLines!R1168)</x:f>
        <x:v>10</x:v>
      </x:c>
      <x:c r="L473" s="11" t="n">
        <x:f>SUM(SalesLines!S1166,SalesLines!S1167,SalesLines!S1168)</x:f>
        <x:v>0</x:v>
      </x:c>
      <x:c r="M473" s="8" t="n">
        <x:f>DATE(YEAR(C473),MONTH(C473),1)</x:f>
        <x:v>45962</x:v>
      </x:c>
    </x:row>
    <x:row r="474" ht="22" customHeight="1">
      <x:c r="A474" s="2" t="str">
        <x:v>O00470</x:v>
      </x:c>
      <x:c r="B474" s="2" t="str">
        <x:v>C0200</x:v>
      </x:c>
      <x:c r="C474" s="7" t="n">
        <x:v>45885</x:v>
      </x:c>
      <x:c r="D474" s="2" t="str">
        <x:v>Completed</x:v>
      </x:c>
      <x:c r="E474" s="2" t="str">
        <x:v>West</x:v>
      </x:c>
      <x:c r="F474" s="2" t="str">
        <x:v>Online</x:v>
      </x:c>
      <x:c r="G474" s="9" t="n">
        <x:f>SUM(SalesLines!Q1169,SalesLines!Q1170)</x:f>
        <x:v>636.25</x:v>
      </x:c>
      <x:c r="H474" s="9" t="n">
        <x:f>SUM(SalesLines!M1169,SalesLines!M1170)</x:f>
        <x:v>705</x:v>
      </x:c>
      <x:c r="I474" s="9" t="n">
        <x:f>SUM(SalesLines!N1169,SalesLines!N1170)</x:f>
        <x:v>68.75</x:v>
      </x:c>
      <x:c r="J474" s="9" t="n">
        <x:f>SUM(SalesLines!P1169,SalesLines!P1170)</x:f>
        <x:v>0</x:v>
      </x:c>
      <x:c r="K474" s="11" t="n">
        <x:f>SUM(SalesLines!R1169,SalesLines!R1170)</x:f>
        <x:v>6</x:v>
      </x:c>
      <x:c r="L474" s="11" t="n">
        <x:f>SUM(SalesLines!S1169,SalesLines!S1170)</x:f>
        <x:v>0</x:v>
      </x:c>
      <x:c r="M474" s="8" t="n">
        <x:f>DATE(YEAR(C474),MONTH(C474),1)</x:f>
        <x:v>45870</x:v>
      </x:c>
    </x:row>
    <x:row r="475" ht="22" customHeight="1">
      <x:c r="A475" s="2" t="str">
        <x:v>O00471</x:v>
      </x:c>
      <x:c r="B475" s="2" t="str">
        <x:v>C0144</x:v>
      </x:c>
      <x:c r="C475" s="7" t="n">
        <x:v>45934</x:v>
      </x:c>
      <x:c r="D475" s="2" t="str">
        <x:v>Cancelled</x:v>
      </x:c>
      <x:c r="E475" s="2" t="str">
        <x:v>North</x:v>
      </x:c>
      <x:c r="F475" s="2" t="str">
        <x:v>Online</x:v>
      </x:c>
      <x:c r="G475" s="9" t="n">
        <x:f>SUM(SalesLines!Q1171,SalesLines!Q1172,SalesLines!Q1173)</x:f>
        <x:v>0</x:v>
      </x:c>
      <x:c r="H475" s="9" t="n">
        <x:f>SUM(SalesLines!M1171,SalesLines!M1172,SalesLines!M1173)</x:f>
        <x:v>0</x:v>
      </x:c>
      <x:c r="I475" s="9" t="n">
        <x:f>SUM(SalesLines!N1171,SalesLines!N1172,SalesLines!N1173)</x:f>
        <x:v>0</x:v>
      </x:c>
      <x:c r="J475" s="9" t="n">
        <x:f>SUM(SalesLines!P1171,SalesLines!P1172,SalesLines!P1173)</x:f>
        <x:v>0</x:v>
      </x:c>
      <x:c r="K475" s="11" t="n">
        <x:f>SUM(SalesLines!R1171,SalesLines!R1172,SalesLines!R1173)</x:f>
        <x:v>0</x:v>
      </x:c>
      <x:c r="L475" s="11" t="n">
        <x:f>SUM(SalesLines!S1171,SalesLines!S1172,SalesLines!S1173)</x:f>
        <x:v>0</x:v>
      </x:c>
      <x:c r="M475" s="8" t="n">
        <x:f>DATE(YEAR(C475),MONTH(C475),1)</x:f>
        <x:v>45931</x:v>
      </x:c>
    </x:row>
    <x:row r="476" ht="22" customHeight="1">
      <x:c r="A476" s="2" t="str">
        <x:v>O00472</x:v>
      </x:c>
      <x:c r="B476" s="2" t="str">
        <x:v>C0112</x:v>
      </x:c>
      <x:c r="C476" s="7" t="n">
        <x:v>45755</x:v>
      </x:c>
      <x:c r="D476" s="2" t="str">
        <x:v>Completed</x:v>
      </x:c>
      <x:c r="E476" s="2" t="str">
        <x:v>South</x:v>
      </x:c>
      <x:c r="F476" s="2" t="str">
        <x:v>Store</x:v>
      </x:c>
      <x:c r="G476" s="9" t="n">
        <x:f>SUM(SalesLines!Q1174,SalesLines!Q1175,SalesLines!Q1176,SalesLines!Q1177)</x:f>
        <x:v>2279.15</x:v>
      </x:c>
      <x:c r="H476" s="9" t="n">
        <x:f>SUM(SalesLines!M1174,SalesLines!M1175,SalesLines!M1176,SalesLines!M1177)</x:f>
        <x:v>2367</x:v>
      </x:c>
      <x:c r="I476" s="9" t="n">
        <x:f>SUM(SalesLines!N1174,SalesLines!N1175,SalesLines!N1176,SalesLines!N1177)</x:f>
        <x:v>87.85000000000001</x:v>
      </x:c>
      <x:c r="J476" s="9" t="n">
        <x:f>SUM(SalesLines!P1174,SalesLines!P1175,SalesLines!P1176,SalesLines!P1177)</x:f>
        <x:v>0</x:v>
      </x:c>
      <x:c r="K476" s="11" t="n">
        <x:f>SUM(SalesLines!R1174,SalesLines!R1175,SalesLines!R1176,SalesLines!R1177)</x:f>
        <x:v>14</x:v>
      </x:c>
      <x:c r="L476" s="11" t="n">
        <x:f>SUM(SalesLines!S1174,SalesLines!S1175,SalesLines!S1176,SalesLines!S1177)</x:f>
        <x:v>0</x:v>
      </x:c>
      <x:c r="M476" s="8" t="n">
        <x:f>DATE(YEAR(C476),MONTH(C476),1)</x:f>
        <x:v>45748</x:v>
      </x:c>
    </x:row>
    <x:row r="477" ht="22" customHeight="1">
      <x:c r="A477" s="2" t="str">
        <x:v>O00473</x:v>
      </x:c>
      <x:c r="B477" s="2" t="str">
        <x:v>C0042</x:v>
      </x:c>
      <x:c r="C477" s="7" t="n">
        <x:v>45662</x:v>
      </x:c>
      <x:c r="D477" s="2" t="str">
        <x:v>Completed</x:v>
      </x:c>
      <x:c r="E477" s="2" t="str">
        <x:v>South</x:v>
      </x:c>
      <x:c r="F477" s="2" t="str">
        <x:v>Online</x:v>
      </x:c>
      <x:c r="G477" s="9" t="n">
        <x:f>SUM(SalesLines!Q1178,SalesLines!Q1179)</x:f>
        <x:v>1396.8</x:v>
      </x:c>
      <x:c r="H477" s="9" t="n">
        <x:f>SUM(SalesLines!M1178,SalesLines!M1179)</x:f>
        <x:v>1908</x:v>
      </x:c>
      <x:c r="I477" s="9" t="n">
        <x:f>SUM(SalesLines!N1178,SalesLines!N1179)</x:f>
        <x:v>284</x:v>
      </x:c>
      <x:c r="J477" s="9" t="n">
        <x:f>SUM(SalesLines!P1178,SalesLines!P1179)</x:f>
        <x:v>227.20000000000002</x:v>
      </x:c>
      <x:c r="K477" s="11" t="n">
        <x:f>SUM(SalesLines!R1178,SalesLines!R1179)</x:f>
        <x:v>9</x:v>
      </x:c>
      <x:c r="L477" s="11" t="n">
        <x:f>SUM(SalesLines!S1178,SalesLines!S1179)</x:f>
        <x:v>1</x:v>
      </x:c>
      <x:c r="M477" s="8" t="n">
        <x:f>DATE(YEAR(C477),MONTH(C477),1)</x:f>
        <x:v>45658</x:v>
      </x:c>
    </x:row>
    <x:row r="478" ht="22" customHeight="1">
      <x:c r="A478" s="2" t="str">
        <x:v>O00474</x:v>
      </x:c>
      <x:c r="B478" s="2" t="str">
        <x:v>C0182</x:v>
      </x:c>
      <x:c r="C478" s="7" t="n">
        <x:v>45781</x:v>
      </x:c>
      <x:c r="D478" s="2" t="str">
        <x:v>Completed</x:v>
      </x:c>
      <x:c r="E478" s="2" t="str">
        <x:v>West</x:v>
      </x:c>
      <x:c r="F478" s="2" t="str">
        <x:v>Online</x:v>
      </x:c>
      <x:c r="G478" s="9" t="n">
        <x:f>SUM(SalesLines!Q1180,SalesLines!Q1181)</x:f>
        <x:v>1437.6</x:v>
      </x:c>
      <x:c r="H478" s="9" t="n">
        <x:f>SUM(SalesLines!M1180,SalesLines!M1181)</x:f>
        <x:v>1546</x:v>
      </x:c>
      <x:c r="I478" s="9" t="n">
        <x:f>SUM(SalesLines!N1180,SalesLines!N1181)</x:f>
        <x:v>108.4</x:v>
      </x:c>
      <x:c r="J478" s="9" t="n">
        <x:f>SUM(SalesLines!P1180,SalesLines!P1181)</x:f>
        <x:v>0</x:v>
      </x:c>
      <x:c r="K478" s="11" t="n">
        <x:f>SUM(SalesLines!R1180,SalesLines!R1181)</x:f>
        <x:v>6</x:v>
      </x:c>
      <x:c r="L478" s="11" t="n">
        <x:f>SUM(SalesLines!S1180,SalesLines!S1181)</x:f>
        <x:v>0</x:v>
      </x:c>
      <x:c r="M478" s="8" t="n">
        <x:f>DATE(YEAR(C478),MONTH(C478),1)</x:f>
        <x:v>45778</x:v>
      </x:c>
    </x:row>
    <x:row r="479" ht="22" customHeight="1">
      <x:c r="A479" s="2" t="str">
        <x:v>O00475</x:v>
      </x:c>
      <x:c r="B479" s="2" t="str">
        <x:v>C0273</x:v>
      </x:c>
      <x:c r="C479" s="7" t="n">
        <x:v>45831</x:v>
      </x:c>
      <x:c r="D479" s="2" t="str">
        <x:v>Cancelled</x:v>
      </x:c>
      <x:c r="E479" s="2" t="str">
        <x:v>South</x:v>
      </x:c>
      <x:c r="F479" s="2" t="str">
        <x:v>Online</x:v>
      </x:c>
      <x:c r="G479" s="9" t="n">
        <x:f>SUM(SalesLines!Q1182)</x:f>
        <x:v>0</x:v>
      </x:c>
      <x:c r="H479" s="9" t="n">
        <x:f>SUM(SalesLines!M1182)</x:f>
        <x:v>0</x:v>
      </x:c>
      <x:c r="I479" s="9" t="n">
        <x:f>SUM(SalesLines!N1182)</x:f>
        <x:v>0</x:v>
      </x:c>
      <x:c r="J479" s="9" t="n">
        <x:f>SUM(SalesLines!P1182)</x:f>
        <x:v>0</x:v>
      </x:c>
      <x:c r="K479" s="11" t="n">
        <x:f>SUM(SalesLines!R1182)</x:f>
        <x:v>0</x:v>
      </x:c>
      <x:c r="L479" s="11" t="n">
        <x:f>SUM(SalesLines!S1182)</x:f>
        <x:v>0</x:v>
      </x:c>
      <x:c r="M479" s="8" t="n">
        <x:f>DATE(YEAR(C479),MONTH(C479),1)</x:f>
        <x:v>45809</x:v>
      </x:c>
    </x:row>
    <x:row r="480" ht="22" customHeight="1">
      <x:c r="A480" s="2" t="str">
        <x:v>O00476</x:v>
      </x:c>
      <x:c r="B480" s="2" t="str">
        <x:v>C0201</x:v>
      </x:c>
      <x:c r="C480" s="7" t="n">
        <x:v>45742</x:v>
      </x:c>
      <x:c r="D480" s="2" t="str">
        <x:v>Completed</x:v>
      </x:c>
      <x:c r="E480" s="2" t="str">
        <x:v>East</x:v>
      </x:c>
      <x:c r="F480" s="2" t="str">
        <x:v>Online</x:v>
      </x:c>
      <x:c r="G480" s="9" t="n">
        <x:f>SUM(SalesLines!Q1183,SalesLines!Q1184,SalesLines!Q1185)</x:f>
        <x:v>1306</x:v>
      </x:c>
      <x:c r="H480" s="9" t="n">
        <x:f>SUM(SalesLines!M1183,SalesLines!M1184,SalesLines!M1185)</x:f>
        <x:v>2453</x:v>
      </x:c>
      <x:c r="I480" s="9" t="n">
        <x:f>SUM(SalesLines!N1183,SalesLines!N1184,SalesLines!N1185)</x:f>
        <x:v>315.4</x:v>
      </x:c>
      <x:c r="J480" s="9" t="n">
        <x:f>SUM(SalesLines!P1183,SalesLines!P1184,SalesLines!P1185)</x:f>
        <x:v>831.6</x:v>
      </x:c>
      <x:c r="K480" s="11" t="n">
        <x:f>SUM(SalesLines!R1183,SalesLines!R1184,SalesLines!R1185)</x:f>
        <x:v>10</x:v>
      </x:c>
      <x:c r="L480" s="11" t="n">
        <x:f>SUM(SalesLines!S1183,SalesLines!S1184,SalesLines!S1185)</x:f>
        <x:v>4</x:v>
      </x:c>
      <x:c r="M480" s="8" t="n">
        <x:f>DATE(YEAR(C480),MONTH(C480),1)</x:f>
        <x:v>45717</x:v>
      </x:c>
    </x:row>
    <x:row r="481" ht="22" customHeight="1">
      <x:c r="A481" s="2" t="str">
        <x:v>O00477</x:v>
      </x:c>
      <x:c r="B481" s="2" t="str">
        <x:v>C0073</x:v>
      </x:c>
      <x:c r="C481" s="7" t="n">
        <x:v>45730</x:v>
      </x:c>
      <x:c r="D481" s="2" t="str">
        <x:v>Completed</x:v>
      </x:c>
      <x:c r="E481" s="2" t="str">
        <x:v>South</x:v>
      </x:c>
      <x:c r="F481" s="2" t="str">
        <x:v>Online</x:v>
      </x:c>
      <x:c r="G481" s="9" t="n">
        <x:f>SUM(SalesLines!Q1186)</x:f>
        <x:v>398</x:v>
      </x:c>
      <x:c r="H481" s="9" t="n">
        <x:f>SUM(SalesLines!M1186)</x:f>
        <x:v>398</x:v>
      </x:c>
      <x:c r="I481" s="9" t="n">
        <x:f>SUM(SalesLines!N1186)</x:f>
        <x:v>0</x:v>
      </x:c>
      <x:c r="J481" s="9" t="n">
        <x:f>SUM(SalesLines!P1186)</x:f>
        <x:v>0</x:v>
      </x:c>
      <x:c r="K481" s="11" t="n">
        <x:f>SUM(SalesLines!R1186)</x:f>
        <x:v>2</x:v>
      </x:c>
      <x:c r="L481" s="11" t="n">
        <x:f>SUM(SalesLines!S1186)</x:f>
        <x:v>0</x:v>
      </x:c>
      <x:c r="M481" s="8" t="n">
        <x:f>DATE(YEAR(C481),MONTH(C481),1)</x:f>
        <x:v>45717</x:v>
      </x:c>
    </x:row>
    <x:row r="482" ht="22" customHeight="1">
      <x:c r="A482" s="2" t="str">
        <x:v>O00478</x:v>
      </x:c>
      <x:c r="B482" s="2" t="str">
        <x:v>C0103</x:v>
      </x:c>
      <x:c r="C482" s="7" t="n">
        <x:v>45711</x:v>
      </x:c>
      <x:c r="D482" s="2" t="str">
        <x:v>Completed</x:v>
      </x:c>
      <x:c r="E482" s="2" t="str">
        <x:v>West</x:v>
      </x:c>
      <x:c r="F482" s="2" t="str">
        <x:v>Store</x:v>
      </x:c>
      <x:c r="G482" s="9" t="n">
        <x:f>SUM(SalesLines!Q1187)</x:f>
        <x:v>94.5</x:v>
      </x:c>
      <x:c r="H482" s="9" t="n">
        <x:f>SUM(SalesLines!M1187)</x:f>
        <x:v>105</x:v>
      </x:c>
      <x:c r="I482" s="9" t="n">
        <x:f>SUM(SalesLines!N1187)</x:f>
        <x:v>10.5</x:v>
      </x:c>
      <x:c r="J482" s="9" t="n">
        <x:f>SUM(SalesLines!P1187)</x:f>
        <x:v>0</x:v>
      </x:c>
      <x:c r="K482" s="11" t="n">
        <x:f>SUM(SalesLines!R1187)</x:f>
        <x:v>3</x:v>
      </x:c>
      <x:c r="L482" s="11" t="n">
        <x:f>SUM(SalesLines!S1187)</x:f>
        <x:v>0</x:v>
      </x:c>
      <x:c r="M482" s="8" t="n">
        <x:f>DATE(YEAR(C482),MONTH(C482),1)</x:f>
        <x:v>45689</x:v>
      </x:c>
    </x:row>
    <x:row r="483" ht="22" customHeight="1">
      <x:c r="A483" s="2" t="str">
        <x:v>O00479</x:v>
      </x:c>
      <x:c r="B483" s="2" t="str">
        <x:v>C0052</x:v>
      </x:c>
      <x:c r="C483" s="7" t="n">
        <x:v>46021</x:v>
      </x:c>
      <x:c r="D483" s="2" t="str">
        <x:v>Completed</x:v>
      </x:c>
      <x:c r="E483" s="2" t="str">
        <x:v>North</x:v>
      </x:c>
      <x:c r="F483" s="2" t="str">
        <x:v>Online</x:v>
      </x:c>
      <x:c r="G483" s="9" t="n">
        <x:f>SUM(SalesLines!Q1188)</x:f>
        <x:v>539.6</x:v>
      </x:c>
      <x:c r="H483" s="9" t="n">
        <x:f>SUM(SalesLines!M1188)</x:f>
        <x:v>568</x:v>
      </x:c>
      <x:c r="I483" s="9" t="n">
        <x:f>SUM(SalesLines!N1188)</x:f>
        <x:v>28.400000000000002</x:v>
      </x:c>
      <x:c r="J483" s="9" t="n">
        <x:f>SUM(SalesLines!P1188)</x:f>
        <x:v>0</x:v>
      </x:c>
      <x:c r="K483" s="11" t="n">
        <x:f>SUM(SalesLines!R1188)</x:f>
        <x:v>2</x:v>
      </x:c>
      <x:c r="L483" s="11" t="n">
        <x:f>SUM(SalesLines!S1188)</x:f>
        <x:v>0</x:v>
      </x:c>
      <x:c r="M483" s="8" t="n">
        <x:f>DATE(YEAR(C483),MONTH(C483),1)</x:f>
        <x:v>45992</x:v>
      </x:c>
    </x:row>
    <x:row r="484" ht="22" customHeight="1">
      <x:c r="A484" s="2" t="str">
        <x:v>O00480</x:v>
      </x:c>
      <x:c r="B484" s="2" t="str">
        <x:v>C0257</x:v>
      </x:c>
      <x:c r="C484" s="7" t="n">
        <x:v>45917</x:v>
      </x:c>
      <x:c r="D484" s="2" t="str">
        <x:v>Completed</x:v>
      </x:c>
      <x:c r="E484" s="2" t="str">
        <x:v>North</x:v>
      </x:c>
      <x:c r="F484" s="2" t="str">
        <x:v>Online</x:v>
      </x:c>
      <x:c r="G484" s="9" t="n">
        <x:f>SUM(SalesLines!Q1189,SalesLines!Q1190,SalesLines!Q1191)</x:f>
        <x:v>2306</x:v>
      </x:c>
      <x:c r="H484" s="9" t="n">
        <x:f>SUM(SalesLines!M1189,SalesLines!M1190,SalesLines!M1191)</x:f>
        <x:v>2456</x:v>
      </x:c>
      <x:c r="I484" s="9" t="n">
        <x:f>SUM(SalesLines!N1189,SalesLines!N1190,SalesLines!N1191)</x:f>
        <x:v>150</x:v>
      </x:c>
      <x:c r="J484" s="9" t="n">
        <x:f>SUM(SalesLines!P1189,SalesLines!P1190,SalesLines!P1191)</x:f>
        <x:v>0</x:v>
      </x:c>
      <x:c r="K484" s="11" t="n">
        <x:f>SUM(SalesLines!R1189,SalesLines!R1190,SalesLines!R1191)</x:f>
        <x:v>12</x:v>
      </x:c>
      <x:c r="L484" s="11" t="n">
        <x:f>SUM(SalesLines!S1189,SalesLines!S1190,SalesLines!S1191)</x:f>
        <x:v>0</x:v>
      </x:c>
      <x:c r="M484" s="8" t="n">
        <x:f>DATE(YEAR(C484),MONTH(C484),1)</x:f>
        <x:v>45901</x:v>
      </x:c>
    </x:row>
    <x:row r="485" ht="22" customHeight="1">
      <x:c r="A485" s="2" t="str">
        <x:v>O00481</x:v>
      </x:c>
      <x:c r="B485" s="2" t="str">
        <x:v>C0210</x:v>
      </x:c>
      <x:c r="C485" s="7" t="n">
        <x:v>45977</x:v>
      </x:c>
      <x:c r="D485" s="2" t="str">
        <x:v>Completed</x:v>
      </x:c>
      <x:c r="E485" s="2" t="str">
        <x:v>North</x:v>
      </x:c>
      <x:c r="F485" s="2" t="str">
        <x:v>Online</x:v>
      </x:c>
      <x:c r="G485" s="9" t="n">
        <x:f>SUM(SalesLines!Q1192)</x:f>
        <x:v>211</x:v>
      </x:c>
      <x:c r="H485" s="9" t="n">
        <x:f>SUM(SalesLines!M1192)</x:f>
        <x:v>211</x:v>
      </x:c>
      <x:c r="I485" s="9" t="n">
        <x:f>SUM(SalesLines!N1192)</x:f>
        <x:v>0</x:v>
      </x:c>
      <x:c r="J485" s="9" t="n">
        <x:f>SUM(SalesLines!P1192)</x:f>
        <x:v>0</x:v>
      </x:c>
      <x:c r="K485" s="11" t="n">
        <x:f>SUM(SalesLines!R1192)</x:f>
        <x:v>1</x:v>
      </x:c>
      <x:c r="L485" s="11" t="n">
        <x:f>SUM(SalesLines!S1192)</x:f>
        <x:v>0</x:v>
      </x:c>
      <x:c r="M485" s="8" t="n">
        <x:f>DATE(YEAR(C485),MONTH(C485),1)</x:f>
        <x:v>45962</x:v>
      </x:c>
    </x:row>
    <x:row r="486" ht="22" customHeight="1">
      <x:c r="A486" s="2" t="str">
        <x:v>O00482</x:v>
      </x:c>
      <x:c r="B486" s="2" t="str">
        <x:v>C0073</x:v>
      </x:c>
      <x:c r="C486" s="7" t="n">
        <x:v>45854</x:v>
      </x:c>
      <x:c r="D486" s="2" t="str">
        <x:v>Completed</x:v>
      </x:c>
      <x:c r="E486" s="2" t="str">
        <x:v>South</x:v>
      </x:c>
      <x:c r="F486" s="2" t="str">
        <x:v>Online</x:v>
      </x:c>
      <x:c r="G486" s="9" t="n">
        <x:f>SUM(SalesLines!Q1193,SalesLines!Q1194,SalesLines!Q1195)</x:f>
        <x:v>1314.7</x:v>
      </x:c>
      <x:c r="H486" s="9" t="n">
        <x:f>SUM(SalesLines!M1193,SalesLines!M1194,SalesLines!M1195)</x:f>
        <x:v>1430</x:v>
      </x:c>
      <x:c r="I486" s="9" t="n">
        <x:f>SUM(SalesLines!N1193,SalesLines!N1194,SalesLines!N1195)</x:f>
        <x:v>115.3</x:v>
      </x:c>
      <x:c r="J486" s="9" t="n">
        <x:f>SUM(SalesLines!P1193,SalesLines!P1194,SalesLines!P1195)</x:f>
        <x:v>0</x:v>
      </x:c>
      <x:c r="K486" s="11" t="n">
        <x:f>SUM(SalesLines!R1193,SalesLines!R1194,SalesLines!R1195)</x:f>
        <x:v>8</x:v>
      </x:c>
      <x:c r="L486" s="11" t="n">
        <x:f>SUM(SalesLines!S1193,SalesLines!S1194,SalesLines!S1195)</x:f>
        <x:v>0</x:v>
      </x:c>
      <x:c r="M486" s="8" t="n">
        <x:f>DATE(YEAR(C486),MONTH(C486),1)</x:f>
        <x:v>45839</x:v>
      </x:c>
    </x:row>
    <x:row r="487" ht="22" customHeight="1">
      <x:c r="A487" s="2" t="str">
        <x:v>O00483</x:v>
      </x:c>
      <x:c r="B487" s="2" t="str">
        <x:v>C0287</x:v>
      </x:c>
      <x:c r="C487" s="7" t="n">
        <x:v>45902</x:v>
      </x:c>
      <x:c r="D487" s="2" t="str">
        <x:v>Completed</x:v>
      </x:c>
      <x:c r="E487" s="2" t="str">
        <x:v>South</x:v>
      </x:c>
      <x:c r="F487" s="2" t="str">
        <x:v>Store</x:v>
      </x:c>
      <x:c r="G487" s="9" t="n">
        <x:f>SUM(SalesLines!Q1196,SalesLines!Q1197)</x:f>
        <x:v>692.5</x:v>
      </x:c>
      <x:c r="H487" s="9" t="n">
        <x:f>SUM(SalesLines!M1196,SalesLines!M1197)</x:f>
        <x:v>725</x:v>
      </x:c>
      <x:c r="I487" s="9" t="n">
        <x:f>SUM(SalesLines!N1196,SalesLines!N1197)</x:f>
        <x:v>32.5</x:v>
      </x:c>
      <x:c r="J487" s="9" t="n">
        <x:f>SUM(SalesLines!P1196,SalesLines!P1197)</x:f>
        <x:v>0</x:v>
      </x:c>
      <x:c r="K487" s="11" t="n">
        <x:f>SUM(SalesLines!R1196,SalesLines!R1197)</x:f>
        <x:v>10</x:v>
      </x:c>
      <x:c r="L487" s="11" t="n">
        <x:f>SUM(SalesLines!S1196,SalesLines!S1197)</x:f>
        <x:v>0</x:v>
      </x:c>
      <x:c r="M487" s="8" t="n">
        <x:f>DATE(YEAR(C487),MONTH(C487),1)</x:f>
        <x:v>45901</x:v>
      </x:c>
    </x:row>
    <x:row r="488" ht="22" customHeight="1">
      <x:c r="A488" s="2" t="str">
        <x:v>O00484</x:v>
      </x:c>
      <x:c r="B488" s="2" t="str">
        <x:v>C0039</x:v>
      </x:c>
      <x:c r="C488" s="7" t="n">
        <x:v>45930</x:v>
      </x:c>
      <x:c r="D488" s="2" t="str">
        <x:v>Completed</x:v>
      </x:c>
      <x:c r="E488" s="2" t="str">
        <x:v>North</x:v>
      </x:c>
      <x:c r="F488" s="2" t="str">
        <x:v>Store</x:v>
      </x:c>
      <x:c r="G488" s="9" t="n">
        <x:f>SUM(SalesLines!Q1198,SalesLines!Q1199)</x:f>
        <x:v>625.4</x:v>
      </x:c>
      <x:c r="H488" s="9" t="n">
        <x:f>SUM(SalesLines!M1198,SalesLines!M1199)</x:f>
        <x:v>644</x:v>
      </x:c>
      <x:c r="I488" s="9" t="n">
        <x:f>SUM(SalesLines!N1198,SalesLines!N1199)</x:f>
        <x:v>18.6</x:v>
      </x:c>
      <x:c r="J488" s="9" t="n">
        <x:f>SUM(SalesLines!P1198,SalesLines!P1199)</x:f>
        <x:v>0</x:v>
      </x:c>
      <x:c r="K488" s="11" t="n">
        <x:f>SUM(SalesLines!R1198,SalesLines!R1199)</x:f>
        <x:v>8</x:v>
      </x:c>
      <x:c r="L488" s="11" t="n">
        <x:f>SUM(SalesLines!S1198,SalesLines!S1199)</x:f>
        <x:v>0</x:v>
      </x:c>
      <x:c r="M488" s="8" t="n">
        <x:f>DATE(YEAR(C488),MONTH(C488),1)</x:f>
        <x:v>45901</x:v>
      </x:c>
    </x:row>
    <x:row r="489" ht="22" customHeight="1">
      <x:c r="A489" s="2" t="str">
        <x:v>O00485</x:v>
      </x:c>
      <x:c r="B489" s="2" t="str">
        <x:v>C0233</x:v>
      </x:c>
      <x:c r="C489" s="7" t="n">
        <x:v>45726</x:v>
      </x:c>
      <x:c r="D489" s="2" t="str">
        <x:v>Completed</x:v>
      </x:c>
      <x:c r="E489" s="2" t="str">
        <x:v>South</x:v>
      </x:c>
      <x:c r="F489" s="2" t="str">
        <x:v>Online</x:v>
      </x:c>
      <x:c r="G489" s="9" t="n">
        <x:f>SUM(SalesLines!Q1200,SalesLines!Q1201)</x:f>
        <x:v>1563</x:v>
      </x:c>
      <x:c r="H489" s="9" t="n">
        <x:f>SUM(SalesLines!M1200,SalesLines!M1201)</x:f>
        <x:v>1870</x:v>
      </x:c>
      <x:c r="I489" s="9" t="n">
        <x:f>SUM(SalesLines!N1200,SalesLines!N1201)</x:f>
        <x:v>307</x:v>
      </x:c>
      <x:c r="J489" s="9" t="n">
        <x:f>SUM(SalesLines!P1200,SalesLines!P1201)</x:f>
        <x:v>0</x:v>
      </x:c>
      <x:c r="K489" s="11" t="n">
        <x:f>SUM(SalesLines!R1200,SalesLines!R1201)</x:f>
        <x:v>9</x:v>
      </x:c>
      <x:c r="L489" s="11" t="n">
        <x:f>SUM(SalesLines!S1200,SalesLines!S1201)</x:f>
        <x:v>0</x:v>
      </x:c>
      <x:c r="M489" s="8" t="n">
        <x:f>DATE(YEAR(C489),MONTH(C489),1)</x:f>
        <x:v>45717</x:v>
      </x:c>
    </x:row>
    <x:row r="490" ht="22" customHeight="1">
      <x:c r="A490" s="2" t="str">
        <x:v>O00486</x:v>
      </x:c>
      <x:c r="B490" s="2" t="str">
        <x:v>C0195</x:v>
      </x:c>
      <x:c r="C490" s="7" t="n">
        <x:v>45839</x:v>
      </x:c>
      <x:c r="D490" s="2" t="str">
        <x:v>Cancelled</x:v>
      </x:c>
      <x:c r="E490" s="2" t="str">
        <x:v>West</x:v>
      </x:c>
      <x:c r="F490" s="2" t="str">
        <x:v>Online</x:v>
      </x:c>
      <x:c r="G490" s="9" t="n">
        <x:f>SUM(SalesLines!Q1202)</x:f>
        <x:v>0</x:v>
      </x:c>
      <x:c r="H490" s="9" t="n">
        <x:f>SUM(SalesLines!M1202)</x:f>
        <x:v>0</x:v>
      </x:c>
      <x:c r="I490" s="9" t="n">
        <x:f>SUM(SalesLines!N1202)</x:f>
        <x:v>0</x:v>
      </x:c>
      <x:c r="J490" s="9" t="n">
        <x:f>SUM(SalesLines!P1202)</x:f>
        <x:v>0</x:v>
      </x:c>
      <x:c r="K490" s="11" t="n">
        <x:f>SUM(SalesLines!R1202)</x:f>
        <x:v>0</x:v>
      </x:c>
      <x:c r="L490" s="11" t="n">
        <x:f>SUM(SalesLines!S1202)</x:f>
        <x:v>0</x:v>
      </x:c>
      <x:c r="M490" s="8" t="n">
        <x:f>DATE(YEAR(C490),MONTH(C490),1)</x:f>
        <x:v>45839</x:v>
      </x:c>
    </x:row>
    <x:row r="491" ht="22" customHeight="1">
      <x:c r="A491" s="2" t="str">
        <x:v>O00487</x:v>
      </x:c>
      <x:c r="B491" s="2" t="str">
        <x:v>C0036</x:v>
      </x:c>
      <x:c r="C491" s="7" t="n">
        <x:v>45960</x:v>
      </x:c>
      <x:c r="D491" s="2" t="str">
        <x:v>Completed</x:v>
      </x:c>
      <x:c r="E491" s="2" t="str">
        <x:v>West</x:v>
      </x:c>
      <x:c r="F491" s="2" t="str">
        <x:v>Online</x:v>
      </x:c>
      <x:c r="G491" s="9" t="n">
        <x:f>SUM(SalesLines!Q1203,SalesLines!Q1204)</x:f>
        <x:v>2201.2</x:v>
      </x:c>
      <x:c r="H491" s="9" t="n">
        <x:f>SUM(SalesLines!M1203,SalesLines!M1204)</x:f>
        <x:v>2531</x:v>
      </x:c>
      <x:c r="I491" s="9" t="n">
        <x:f>SUM(SalesLines!N1203,SalesLines!N1204)</x:f>
        <x:v>329.8</x:v>
      </x:c>
      <x:c r="J491" s="9" t="n">
        <x:f>SUM(SalesLines!P1203,SalesLines!P1204)</x:f>
        <x:v>0</x:v>
      </x:c>
      <x:c r="K491" s="11" t="n">
        <x:f>SUM(SalesLines!R1203,SalesLines!R1204)</x:f>
        <x:v>9</x:v>
      </x:c>
      <x:c r="L491" s="11" t="n">
        <x:f>SUM(SalesLines!S1203,SalesLines!S1204)</x:f>
        <x:v>0</x:v>
      </x:c>
      <x:c r="M491" s="8" t="n">
        <x:f>DATE(YEAR(C491),MONTH(C491),1)</x:f>
        <x:v>45931</x:v>
      </x:c>
    </x:row>
    <x:row r="492" ht="22" customHeight="1">
      <x:c r="A492" s="2" t="str">
        <x:v>O00488</x:v>
      </x:c>
      <x:c r="B492" s="2" t="str">
        <x:v>C0154</x:v>
      </x:c>
      <x:c r="C492" s="7" t="n">
        <x:v>45939</x:v>
      </x:c>
      <x:c r="D492" s="2" t="str">
        <x:v>Completed</x:v>
      </x:c>
      <x:c r="E492" s="2" t="str">
        <x:v>North</x:v>
      </x:c>
      <x:c r="F492" s="2" t="str">
        <x:v>Store</x:v>
      </x:c>
      <x:c r="G492" s="9" t="n">
        <x:f>SUM(SalesLines!Q1205,SalesLines!Q1206,SalesLines!Q1207,SalesLines!Q1208)</x:f>
        <x:v>1810.4</x:v>
      </x:c>
      <x:c r="H492" s="9" t="n">
        <x:f>SUM(SalesLines!M1205,SalesLines!M1206,SalesLines!M1207,SalesLines!M1208)</x:f>
        <x:v>2216</x:v>
      </x:c>
      <x:c r="I492" s="9" t="n">
        <x:f>SUM(SalesLines!N1205,SalesLines!N1206,SalesLines!N1207,SalesLines!N1208)</x:f>
        <x:v>405.6</x:v>
      </x:c>
      <x:c r="J492" s="9" t="n">
        <x:f>SUM(SalesLines!P1205,SalesLines!P1206,SalesLines!P1207,SalesLines!P1208)</x:f>
        <x:v>0</x:v>
      </x:c>
      <x:c r="K492" s="11" t="n">
        <x:f>SUM(SalesLines!R1205,SalesLines!R1206,SalesLines!R1207,SalesLines!R1208)</x:f>
        <x:v>8</x:v>
      </x:c>
      <x:c r="L492" s="11" t="n">
        <x:f>SUM(SalesLines!S1205,SalesLines!S1206,SalesLines!S1207,SalesLines!S1208)</x:f>
        <x:v>0</x:v>
      </x:c>
      <x:c r="M492" s="8" t="n">
        <x:f>DATE(YEAR(C492),MONTH(C492),1)</x:f>
        <x:v>45931</x:v>
      </x:c>
    </x:row>
    <x:row r="493" ht="22" customHeight="1">
      <x:c r="A493" s="2" t="str">
        <x:v>O00489</x:v>
      </x:c>
      <x:c r="B493" s="2" t="str">
        <x:v>C0284</x:v>
      </x:c>
      <x:c r="C493" s="7" t="n">
        <x:v>45958</x:v>
      </x:c>
      <x:c r="D493" s="2" t="str">
        <x:v>Completed</x:v>
      </x:c>
      <x:c r="E493" s="2" t="str">
        <x:v>South</x:v>
      </x:c>
      <x:c r="F493" s="2" t="str">
        <x:v>Store</x:v>
      </x:c>
      <x:c r="G493" s="9" t="n">
        <x:f>SUM(SalesLines!Q1209,SalesLines!Q1210,SalesLines!Q1211,SalesLines!Q1212)</x:f>
        <x:v>1561.7</x:v>
      </x:c>
      <x:c r="H493" s="9" t="n">
        <x:f>SUM(SalesLines!M1209,SalesLines!M1210,SalesLines!M1211,SalesLines!M1212)</x:f>
        <x:v>1697</x:v>
      </x:c>
      <x:c r="I493" s="9" t="n">
        <x:f>SUM(SalesLines!N1209,SalesLines!N1210,SalesLines!N1211,SalesLines!N1212)</x:f>
        <x:v>135.3</x:v>
      </x:c>
      <x:c r="J493" s="9" t="n">
        <x:f>SUM(SalesLines!P1209,SalesLines!P1210,SalesLines!P1211,SalesLines!P1212)</x:f>
        <x:v>0</x:v>
      </x:c>
      <x:c r="K493" s="11" t="n">
        <x:f>SUM(SalesLines!R1209,SalesLines!R1210,SalesLines!R1211,SalesLines!R1212)</x:f>
        <x:v>8</x:v>
      </x:c>
      <x:c r="L493" s="11" t="n">
        <x:f>SUM(SalesLines!S1209,SalesLines!S1210,SalesLines!S1211,SalesLines!S1212)</x:f>
        <x:v>0</x:v>
      </x:c>
      <x:c r="M493" s="8" t="n">
        <x:f>DATE(YEAR(C493),MONTH(C493),1)</x:f>
        <x:v>45931</x:v>
      </x:c>
    </x:row>
    <x:row r="494" ht="22" customHeight="1">
      <x:c r="A494" s="2" t="str">
        <x:v>O00490</x:v>
      </x:c>
      <x:c r="B494" s="2" t="str">
        <x:v>C0073</x:v>
      </x:c>
      <x:c r="C494" s="7" t="n">
        <x:v>45804</x:v>
      </x:c>
      <x:c r="D494" s="2" t="str">
        <x:v>Cancelled</x:v>
      </x:c>
      <x:c r="E494" s="2" t="str">
        <x:v>South</x:v>
      </x:c>
      <x:c r="F494" s="2" t="str">
        <x:v>Store</x:v>
      </x:c>
      <x:c r="G494" s="9" t="n">
        <x:f>SUM(SalesLines!Q1213,SalesLines!Q1214,SalesLines!Q1215,SalesLines!Q1216)</x:f>
        <x:v>0</x:v>
      </x:c>
      <x:c r="H494" s="9" t="n">
        <x:f>SUM(SalesLines!M1213,SalesLines!M1214,SalesLines!M1215,SalesLines!M1216)</x:f>
        <x:v>0</x:v>
      </x:c>
      <x:c r="I494" s="9" t="n">
        <x:f>SUM(SalesLines!N1213,SalesLines!N1214,SalesLines!N1215,SalesLines!N1216)</x:f>
        <x:v>0</x:v>
      </x:c>
      <x:c r="J494" s="9" t="n">
        <x:f>SUM(SalesLines!P1213,SalesLines!P1214,SalesLines!P1215,SalesLines!P1216)</x:f>
        <x:v>0</x:v>
      </x:c>
      <x:c r="K494" s="11" t="n">
        <x:f>SUM(SalesLines!R1213,SalesLines!R1214,SalesLines!R1215,SalesLines!R1216)</x:f>
        <x:v>0</x:v>
      </x:c>
      <x:c r="L494" s="11" t="n">
        <x:f>SUM(SalesLines!S1213,SalesLines!S1214,SalesLines!S1215,SalesLines!S1216)</x:f>
        <x:v>0</x:v>
      </x:c>
      <x:c r="M494" s="8" t="n">
        <x:f>DATE(YEAR(C494),MONTH(C494),1)</x:f>
        <x:v>45778</x:v>
      </x:c>
    </x:row>
    <x:row r="495" ht="22" customHeight="1">
      <x:c r="A495" s="2" t="str">
        <x:v>O00491</x:v>
      </x:c>
      <x:c r="B495" s="2" t="str">
        <x:v>C0091</x:v>
      </x:c>
      <x:c r="C495" s="7" t="n">
        <x:v>45852</x:v>
      </x:c>
      <x:c r="D495" s="2" t="str">
        <x:v>Completed</x:v>
      </x:c>
      <x:c r="E495" s="2" t="str">
        <x:v>North</x:v>
      </x:c>
      <x:c r="F495" s="2" t="str">
        <x:v>Store</x:v>
      </x:c>
      <x:c r="G495" s="9" t="n">
        <x:f>SUM(SalesLines!Q1217,SalesLines!Q1218)</x:f>
        <x:v>466.29999999999995</x:v>
      </x:c>
      <x:c r="H495" s="9" t="n">
        <x:f>SUM(SalesLines!M1217,SalesLines!M1218)</x:f>
        <x:v>548</x:v>
      </x:c>
      <x:c r="I495" s="9" t="n">
        <x:f>SUM(SalesLines!N1217,SalesLines!N1218)</x:f>
        <x:v>81.7</x:v>
      </x:c>
      <x:c r="J495" s="9" t="n">
        <x:f>SUM(SalesLines!P1217,SalesLines!P1218)</x:f>
        <x:v>0</x:v>
      </x:c>
      <x:c r="K495" s="11" t="n">
        <x:f>SUM(SalesLines!R1217,SalesLines!R1218)</x:f>
        <x:v>4</x:v>
      </x:c>
      <x:c r="L495" s="11" t="n">
        <x:f>SUM(SalesLines!S1217,SalesLines!S1218)</x:f>
        <x:v>0</x:v>
      </x:c>
      <x:c r="M495" s="8" t="n">
        <x:f>DATE(YEAR(C495),MONTH(C495),1)</x:f>
        <x:v>45839</x:v>
      </x:c>
    </x:row>
    <x:row r="496" ht="22" customHeight="1">
      <x:c r="A496" s="2" t="str">
        <x:v>O00492</x:v>
      </x:c>
      <x:c r="B496" s="2" t="str">
        <x:v>C0019</x:v>
      </x:c>
      <x:c r="C496" s="7" t="n">
        <x:v>45924</x:v>
      </x:c>
      <x:c r="D496" s="2" t="str">
        <x:v>Completed</x:v>
      </x:c>
      <x:c r="E496" s="2" t="str">
        <x:v>North</x:v>
      </x:c>
      <x:c r="F496" s="2" t="str">
        <x:v>Store</x:v>
      </x:c>
      <x:c r="G496" s="9" t="n">
        <x:f>SUM(SalesLines!Q1219,SalesLines!Q1220,SalesLines!Q1221,SalesLines!Q1222)</x:f>
        <x:v>2188.8</x:v>
      </x:c>
      <x:c r="H496" s="9" t="n">
        <x:f>SUM(SalesLines!M1219,SalesLines!M1220,SalesLines!M1221,SalesLines!M1222)</x:f>
        <x:v>2427</x:v>
      </x:c>
      <x:c r="I496" s="9" t="n">
        <x:f>SUM(SalesLines!N1219,SalesLines!N1220,SalesLines!N1221,SalesLines!N1222)</x:f>
        <x:v>238.20000000000005</x:v>
      </x:c>
      <x:c r="J496" s="9" t="n">
        <x:f>SUM(SalesLines!P1219,SalesLines!P1220,SalesLines!P1221,SalesLines!P1222)</x:f>
        <x:v>0</x:v>
      </x:c>
      <x:c r="K496" s="11" t="n">
        <x:f>SUM(SalesLines!R1219,SalesLines!R1220,SalesLines!R1221,SalesLines!R1222)</x:f>
        <x:v>13</x:v>
      </x:c>
      <x:c r="L496" s="11" t="n">
        <x:f>SUM(SalesLines!S1219,SalesLines!S1220,SalesLines!S1221,SalesLines!S1222)</x:f>
        <x:v>0</x:v>
      </x:c>
      <x:c r="M496" s="8" t="n">
        <x:f>DATE(YEAR(C496),MONTH(C496),1)</x:f>
        <x:v>45901</x:v>
      </x:c>
    </x:row>
    <x:row r="497" ht="22" customHeight="1">
      <x:c r="A497" s="2" t="str">
        <x:v>O00493</x:v>
      </x:c>
      <x:c r="B497" s="2" t="str">
        <x:v>C0282</x:v>
      </x:c>
      <x:c r="C497" s="7" t="n">
        <x:v>45676</x:v>
      </x:c>
      <x:c r="D497" s="2" t="str">
        <x:v>Completed</x:v>
      </x:c>
      <x:c r="E497" s="2" t="str">
        <x:v>East</x:v>
      </x:c>
      <x:c r="F497" s="2" t="str">
        <x:v>Online</x:v>
      </x:c>
      <x:c r="G497" s="9" t="n">
        <x:f>SUM(SalesLines!Q1223)</x:f>
        <x:v>390.4</x:v>
      </x:c>
      <x:c r="H497" s="9" t="n">
        <x:f>SUM(SalesLines!M1223)</x:f>
        <x:v>488</x:v>
      </x:c>
      <x:c r="I497" s="9" t="n">
        <x:f>SUM(SalesLines!N1223)</x:f>
        <x:v>97.60000000000001</x:v>
      </x:c>
      <x:c r="J497" s="9" t="n">
        <x:f>SUM(SalesLines!P1223)</x:f>
        <x:v>0</x:v>
      </x:c>
      <x:c r="K497" s="11" t="n">
        <x:f>SUM(SalesLines!R1223)</x:f>
        <x:v>4</x:v>
      </x:c>
      <x:c r="L497" s="11" t="n">
        <x:f>SUM(SalesLines!S1223)</x:f>
        <x:v>0</x:v>
      </x:c>
      <x:c r="M497" s="8" t="n">
        <x:f>DATE(YEAR(C497),MONTH(C497),1)</x:f>
        <x:v>45658</x:v>
      </x:c>
    </x:row>
    <x:row r="498" ht="22" customHeight="1">
      <x:c r="A498" s="2" t="str">
        <x:v>O00494</x:v>
      </x:c>
      <x:c r="B498" s="2" t="str">
        <x:v>C0299</x:v>
      </x:c>
      <x:c r="C498" s="7" t="n">
        <x:v>45845</x:v>
      </x:c>
      <x:c r="D498" s="2" t="str">
        <x:v>Completed</x:v>
      </x:c>
      <x:c r="E498" s="2" t="str">
        <x:v>North</x:v>
      </x:c>
      <x:c r="F498" s="2" t="str">
        <x:v>Store</x:v>
      </x:c>
      <x:c r="G498" s="9" t="n">
        <x:f>SUM(SalesLines!Q1224,SalesLines!Q1225,SalesLines!Q1226)</x:f>
        <x:v>2452.65</x:v>
      </x:c>
      <x:c r="H498" s="9" t="n">
        <x:f>SUM(SalesLines!M1224,SalesLines!M1225,SalesLines!M1226)</x:f>
        <x:v>2631</x:v>
      </x:c>
      <x:c r="I498" s="9" t="n">
        <x:f>SUM(SalesLines!N1224,SalesLines!N1225,SalesLines!N1226)</x:f>
        <x:v>178.35</x:v>
      </x:c>
      <x:c r="J498" s="9" t="n">
        <x:f>SUM(SalesLines!P1224,SalesLines!P1225,SalesLines!P1226)</x:f>
        <x:v>0</x:v>
      </x:c>
      <x:c r="K498" s="11" t="n">
        <x:f>SUM(SalesLines!R1224,SalesLines!R1225,SalesLines!R1226)</x:f>
        <x:v>11</x:v>
      </x:c>
      <x:c r="L498" s="11" t="n">
        <x:f>SUM(SalesLines!S1224,SalesLines!S1225,SalesLines!S1226)</x:f>
        <x:v>0</x:v>
      </x:c>
      <x:c r="M498" s="8" t="n">
        <x:f>DATE(YEAR(C498),MONTH(C498),1)</x:f>
        <x:v>45839</x:v>
      </x:c>
    </x:row>
    <x:row r="499" ht="22" customHeight="1">
      <x:c r="A499" s="2" t="str">
        <x:v>O00495</x:v>
      </x:c>
      <x:c r="B499" s="2" t="str">
        <x:v>C0188</x:v>
      </x:c>
      <x:c r="C499" s="7" t="n">
        <x:v>45758</x:v>
      </x:c>
      <x:c r="D499" s="2" t="str">
        <x:v>Completed</x:v>
      </x:c>
      <x:c r="E499" s="2" t="str">
        <x:v>South</x:v>
      </x:c>
      <x:c r="F499" s="2" t="str">
        <x:v>Online</x:v>
      </x:c>
      <x:c r="G499" s="9" t="n">
        <x:f>SUM(SalesLines!Q1227)</x:f>
        <x:v>28</x:v>
      </x:c>
      <x:c r="H499" s="9" t="n">
        <x:f>SUM(SalesLines!M1227)</x:f>
        <x:v>35</x:v>
      </x:c>
      <x:c r="I499" s="9" t="n">
        <x:f>SUM(SalesLines!N1227)</x:f>
        <x:v>7</x:v>
      </x:c>
      <x:c r="J499" s="9" t="n">
        <x:f>SUM(SalesLines!P1227)</x:f>
        <x:v>0</x:v>
      </x:c>
      <x:c r="K499" s="11" t="n">
        <x:f>SUM(SalesLines!R1227)</x:f>
        <x:v>1</x:v>
      </x:c>
      <x:c r="L499" s="11" t="n">
        <x:f>SUM(SalesLines!S1227)</x:f>
        <x:v>0</x:v>
      </x:c>
      <x:c r="M499" s="8" t="n">
        <x:f>DATE(YEAR(C499),MONTH(C499),1)</x:f>
        <x:v>45748</x:v>
      </x:c>
    </x:row>
    <x:row r="500" ht="22" customHeight="1">
      <x:c r="A500" s="2" t="str">
        <x:v>O00496</x:v>
      </x:c>
      <x:c r="B500" s="2" t="str">
        <x:v>C0122</x:v>
      </x:c>
      <x:c r="C500" s="7" t="n">
        <x:v>45840</x:v>
      </x:c>
      <x:c r="D500" s="2" t="str">
        <x:v>Completed</x:v>
      </x:c>
      <x:c r="E500" s="2" t="str">
        <x:v>North</x:v>
      </x:c>
      <x:c r="F500" s="2" t="str">
        <x:v>Online</x:v>
      </x:c>
      <x:c r="G500" s="9" t="n">
        <x:f>SUM(SalesLines!Q1228,SalesLines!Q1229,SalesLines!Q1230)</x:f>
        <x:v>1356.3</x:v>
      </x:c>
      <x:c r="H500" s="9" t="n">
        <x:f>SUM(SalesLines!M1228,SalesLines!M1229,SalesLines!M1230)</x:f>
        <x:v>1614</x:v>
      </x:c>
      <x:c r="I500" s="9" t="n">
        <x:f>SUM(SalesLines!N1228,SalesLines!N1229,SalesLines!N1230)</x:f>
        <x:v>117.30000000000001</x:v>
      </x:c>
      <x:c r="J500" s="9" t="n">
        <x:f>SUM(SalesLines!P1228,SalesLines!P1229,SalesLines!P1230)</x:f>
        <x:v>140.4</x:v>
      </x:c>
      <x:c r="K500" s="11" t="n">
        <x:f>SUM(SalesLines!R1228,SalesLines!R1229,SalesLines!R1230)</x:f>
        <x:v>8</x:v>
      </x:c>
      <x:c r="L500" s="11" t="n">
        <x:f>SUM(SalesLines!S1228,SalesLines!S1229,SalesLines!S1230)</x:f>
        <x:v>2</x:v>
      </x:c>
      <x:c r="M500" s="8" t="n">
        <x:f>DATE(YEAR(C500),MONTH(C500),1)</x:f>
        <x:v>45839</x:v>
      </x:c>
    </x:row>
    <x:row r="501" ht="22" customHeight="1">
      <x:c r="A501" s="2" t="str">
        <x:v>O00497</x:v>
      </x:c>
      <x:c r="B501" s="2" t="str">
        <x:v>C0256</x:v>
      </x:c>
      <x:c r="C501" s="7" t="n">
        <x:v>45659</x:v>
      </x:c>
      <x:c r="D501" s="2" t="str">
        <x:v>Completed</x:v>
      </x:c>
      <x:c r="E501" s="2" t="str">
        <x:v>North</x:v>
      </x:c>
      <x:c r="F501" s="2" t="str">
        <x:v>Store</x:v>
      </x:c>
      <x:c r="G501" s="9" t="n">
        <x:f>SUM(SalesLines!Q1231,SalesLines!Q1232,SalesLines!Q1233,SalesLines!Q1234)</x:f>
        <x:v>2301.05</x:v>
      </x:c>
      <x:c r="H501" s="9" t="n">
        <x:f>SUM(SalesLines!M1231,SalesLines!M1232,SalesLines!M1233,SalesLines!M1234)</x:f>
        <x:v>2489</x:v>
      </x:c>
      <x:c r="I501" s="9" t="n">
        <x:f>SUM(SalesLines!N1231,SalesLines!N1232,SalesLines!N1233,SalesLines!N1234)</x:f>
        <x:v>187.95</x:v>
      </x:c>
      <x:c r="J501" s="9" t="n">
        <x:f>SUM(SalesLines!P1231,SalesLines!P1232,SalesLines!P1233,SalesLines!P1234)</x:f>
        <x:v>0</x:v>
      </x:c>
      <x:c r="K501" s="11" t="n">
        <x:f>SUM(SalesLines!R1231,SalesLines!R1232,SalesLines!R1233,SalesLines!R1234)</x:f>
        <x:v>13</x:v>
      </x:c>
      <x:c r="L501" s="11" t="n">
        <x:f>SUM(SalesLines!S1231,SalesLines!S1232,SalesLines!S1233,SalesLines!S1234)</x:f>
        <x:v>0</x:v>
      </x:c>
      <x:c r="M501" s="8" t="n">
        <x:f>DATE(YEAR(C501),MONTH(C501),1)</x:f>
        <x:v>45658</x:v>
      </x:c>
    </x:row>
    <x:row r="502" ht="22" customHeight="1">
      <x:c r="A502" s="2" t="str">
        <x:v>O00498</x:v>
      </x:c>
      <x:c r="B502" s="2" t="str">
        <x:v>C0197</x:v>
      </x:c>
      <x:c r="C502" s="7" t="n">
        <x:v>45955</x:v>
      </x:c>
      <x:c r="D502" s="2" t="str">
        <x:v>Completed</x:v>
      </x:c>
      <x:c r="E502" s="2" t="str">
        <x:v>East</x:v>
      </x:c>
      <x:c r="F502" s="2" t="str">
        <x:v>Online</x:v>
      </x:c>
      <x:c r="G502" s="9" t="n">
        <x:f>SUM(SalesLines!Q1235)</x:f>
        <x:v>511.2</x:v>
      </x:c>
      <x:c r="H502" s="9" t="n">
        <x:f>SUM(SalesLines!M1235)</x:f>
        <x:v>1136</x:v>
      </x:c>
      <x:c r="I502" s="9" t="n">
        <x:f>SUM(SalesLines!N1235)</x:f>
        <x:v>113.60000000000001</x:v>
      </x:c>
      <x:c r="J502" s="9" t="n">
        <x:f>SUM(SalesLines!P1235)</x:f>
        <x:v>511.2</x:v>
      </x:c>
      <x:c r="K502" s="11" t="n">
        <x:f>SUM(SalesLines!R1235)</x:f>
        <x:v>4</x:v>
      </x:c>
      <x:c r="L502" s="11" t="n">
        <x:f>SUM(SalesLines!S1235)</x:f>
        <x:v>2</x:v>
      </x:c>
      <x:c r="M502" s="8" t="n">
        <x:f>DATE(YEAR(C502),MONTH(C502),1)</x:f>
        <x:v>45931</x:v>
      </x:c>
    </x:row>
    <x:row r="503" ht="22" customHeight="1">
      <x:c r="A503" s="2" t="str">
        <x:v>O00499</x:v>
      </x:c>
      <x:c r="B503" s="2" t="str">
        <x:v>C0057</x:v>
      </x:c>
      <x:c r="C503" s="7" t="n">
        <x:v>46012</x:v>
      </x:c>
      <x:c r="D503" s="2" t="str">
        <x:v>Completed</x:v>
      </x:c>
      <x:c r="E503" s="2" t="str">
        <x:v>South</x:v>
      </x:c>
      <x:c r="F503" s="2" t="str">
        <x:v>Online</x:v>
      </x:c>
      <x:c r="G503" s="9" t="n">
        <x:f>SUM(SalesLines!Q1236,SalesLines!Q1237)</x:f>
        <x:v>1168</x:v>
      </x:c>
      <x:c r="H503" s="9" t="n">
        <x:f>SUM(SalesLines!M1236,SalesLines!M1237)</x:f>
        <x:v>1460</x:v>
      </x:c>
      <x:c r="I503" s="9" t="n">
        <x:f>SUM(SalesLines!N1236,SalesLines!N1237)</x:f>
        <x:v>292</x:v>
      </x:c>
      <x:c r="J503" s="9" t="n">
        <x:f>SUM(SalesLines!P1236,SalesLines!P1237)</x:f>
        <x:v>0</x:v>
      </x:c>
      <x:c r="K503" s="11" t="n">
        <x:f>SUM(SalesLines!R1236,SalesLines!R1237)</x:f>
        <x:v>8</x:v>
      </x:c>
      <x:c r="L503" s="11" t="n">
        <x:f>SUM(SalesLines!S1236,SalesLines!S1237)</x:f>
        <x:v>0</x:v>
      </x:c>
      <x:c r="M503" s="8" t="n">
        <x:f>DATE(YEAR(C503),MONTH(C503),1)</x:f>
        <x:v>45992</x:v>
      </x:c>
    </x:row>
    <x:row r="504" ht="22" customHeight="1">
      <x:c r="A504" s="2" t="str">
        <x:v>O00500</x:v>
      </x:c>
      <x:c r="B504" s="2" t="str">
        <x:v>C0157</x:v>
      </x:c>
      <x:c r="C504" s="7" t="n">
        <x:v>45773</x:v>
      </x:c>
      <x:c r="D504" s="2" t="str">
        <x:v>Completed</x:v>
      </x:c>
      <x:c r="E504" s="2" t="str">
        <x:v>West</x:v>
      </x:c>
      <x:c r="F504" s="2" t="str">
        <x:v>Online</x:v>
      </x:c>
      <x:c r="G504" s="9" t="n">
        <x:f>SUM(SalesLines!Q1238,SalesLines!Q1239)</x:f>
        <x:v>767.2</x:v>
      </x:c>
      <x:c r="H504" s="9" t="n">
        <x:f>SUM(SalesLines!M1238,SalesLines!M1239)</x:f>
        <x:v>924</x:v>
      </x:c>
      <x:c r="I504" s="9" t="n">
        <x:f>SUM(SalesLines!N1238,SalesLines!N1239)</x:f>
        <x:v>156.8</x:v>
      </x:c>
      <x:c r="J504" s="9" t="n">
        <x:f>SUM(SalesLines!P1238,SalesLines!P1239)</x:f>
        <x:v>0</x:v>
      </x:c>
      <x:c r="K504" s="11" t="n">
        <x:f>SUM(SalesLines!R1238,SalesLines!R1239)</x:f>
        <x:v>8</x:v>
      </x:c>
      <x:c r="L504" s="11" t="n">
        <x:f>SUM(SalesLines!S1238,SalesLines!S1239)</x:f>
        <x:v>0</x:v>
      </x:c>
      <x:c r="M504" s="8" t="n">
        <x:f>DATE(YEAR(C504),MONTH(C504),1)</x:f>
        <x:v>45748</x:v>
      </x:c>
    </x:row>
    <x:row r="505" ht="22" customHeight="1">
      <x:c r="A505" s="2" t="str">
        <x:v>O00501</x:v>
      </x:c>
      <x:c r="B505" s="2" t="str">
        <x:v>C0221</x:v>
      </x:c>
      <x:c r="C505" s="7" t="n">
        <x:v>45708</x:v>
      </x:c>
      <x:c r="D505" s="2" t="str">
        <x:v>Completed</x:v>
      </x:c>
      <x:c r="E505" s="2" t="str">
        <x:v>West</x:v>
      </x:c>
      <x:c r="F505" s="2" t="str">
        <x:v>Online</x:v>
      </x:c>
      <x:c r="G505" s="9" t="n">
        <x:f>SUM(SalesLines!Q1240,SalesLines!Q1241,SalesLines!Q1242,SalesLines!Q1243)</x:f>
        <x:v>1352.15</x:v>
      </x:c>
      <x:c r="H505" s="9" t="n">
        <x:f>SUM(SalesLines!M1240,SalesLines!M1241,SalesLines!M1242,SalesLines!M1243)</x:f>
        <x:v>1627</x:v>
      </x:c>
      <x:c r="I505" s="9" t="n">
        <x:f>SUM(SalesLines!N1240,SalesLines!N1241,SalesLines!N1242,SalesLines!N1243)</x:f>
        <x:v>274.85</x:v>
      </x:c>
      <x:c r="J505" s="9" t="n">
        <x:f>SUM(SalesLines!P1240,SalesLines!P1241,SalesLines!P1242,SalesLines!P1243)</x:f>
        <x:v>0</x:v>
      </x:c>
      <x:c r="K505" s="11" t="n">
        <x:f>SUM(SalesLines!R1240,SalesLines!R1241,SalesLines!R1242,SalesLines!R1243)</x:f>
        <x:v>14</x:v>
      </x:c>
      <x:c r="L505" s="11" t="n">
        <x:f>SUM(SalesLines!S1240,SalesLines!S1241,SalesLines!S1242,SalesLines!S1243)</x:f>
        <x:v>0</x:v>
      </x:c>
      <x:c r="M505" s="8" t="n">
        <x:f>DATE(YEAR(C505),MONTH(C505),1)</x:f>
        <x:v>45689</x:v>
      </x:c>
    </x:row>
    <x:row r="506" ht="22" customHeight="1">
      <x:c r="A506" s="2" t="str">
        <x:v>O00502</x:v>
      </x:c>
      <x:c r="B506" s="2" t="str">
        <x:v>C0062</x:v>
      </x:c>
      <x:c r="C506" s="7" t="n">
        <x:v>45667</x:v>
      </x:c>
      <x:c r="D506" s="2" t="str">
        <x:v>Completed</x:v>
      </x:c>
      <x:c r="E506" s="2" t="str">
        <x:v>West</x:v>
      </x:c>
      <x:c r="F506" s="2" t="str">
        <x:v>Store</x:v>
      </x:c>
      <x:c r="G506" s="9" t="n">
        <x:f>SUM(SalesLines!Q1244,SalesLines!Q1245,SalesLines!Q1246)</x:f>
        <x:v>1794.3</x:v>
      </x:c>
      <x:c r="H506" s="9" t="n">
        <x:f>SUM(SalesLines!M1244,SalesLines!M1245,SalesLines!M1246)</x:f>
        <x:v>1983</x:v>
      </x:c>
      <x:c r="I506" s="9" t="n">
        <x:f>SUM(SalesLines!N1244,SalesLines!N1245,SalesLines!N1246)</x:f>
        <x:v>188.70000000000002</x:v>
      </x:c>
      <x:c r="J506" s="9" t="n">
        <x:f>SUM(SalesLines!P1244,SalesLines!P1245,SalesLines!P1246)</x:f>
        <x:v>0</x:v>
      </x:c>
      <x:c r="K506" s="11" t="n">
        <x:f>SUM(SalesLines!R1244,SalesLines!R1245,SalesLines!R1246)</x:f>
        <x:v>9</x:v>
      </x:c>
      <x:c r="L506" s="11" t="n">
        <x:f>SUM(SalesLines!S1244,SalesLines!S1245,SalesLines!S1246)</x:f>
        <x:v>0</x:v>
      </x:c>
      <x:c r="M506" s="8" t="n">
        <x:f>DATE(YEAR(C506),MONTH(C506),1)</x:f>
        <x:v>45658</x:v>
      </x:c>
    </x:row>
    <x:row r="507" ht="22" customHeight="1">
      <x:c r="A507" s="2" t="str">
        <x:v>O00503</x:v>
      </x:c>
      <x:c r="B507" s="2" t="str">
        <x:v>C0008</x:v>
      </x:c>
      <x:c r="C507" s="7" t="n">
        <x:v>45935</x:v>
      </x:c>
      <x:c r="D507" s="2" t="str">
        <x:v>Completed</x:v>
      </x:c>
      <x:c r="E507" s="2" t="str">
        <x:v>North</x:v>
      </x:c>
      <x:c r="F507" s="2" t="str">
        <x:v>Store</x:v>
      </x:c>
      <x:c r="G507" s="9" t="n">
        <x:f>SUM(SalesLines!Q1247)</x:f>
        <x:v>739.2</x:v>
      </x:c>
      <x:c r="H507" s="9" t="n">
        <x:f>SUM(SalesLines!M1247)</x:f>
        <x:v>924</x:v>
      </x:c>
      <x:c r="I507" s="9" t="n">
        <x:f>SUM(SalesLines!N1247)</x:f>
        <x:v>184.8</x:v>
      </x:c>
      <x:c r="J507" s="9" t="n">
        <x:f>SUM(SalesLines!P1247)</x:f>
        <x:v>0</x:v>
      </x:c>
      <x:c r="K507" s="11" t="n">
        <x:f>SUM(SalesLines!R1247)</x:f>
        <x:v>4</x:v>
      </x:c>
      <x:c r="L507" s="11" t="n">
        <x:f>SUM(SalesLines!S1247)</x:f>
        <x:v>0</x:v>
      </x:c>
      <x:c r="M507" s="8" t="n">
        <x:f>DATE(YEAR(C507),MONTH(C507),1)</x:f>
        <x:v>45931</x:v>
      </x:c>
    </x:row>
    <x:row r="508" ht="22" customHeight="1">
      <x:c r="A508" s="2" t="str">
        <x:v>O00504</x:v>
      </x:c>
      <x:c r="B508" s="2" t="str">
        <x:v>C0053</x:v>
      </x:c>
      <x:c r="C508" s="7" t="n">
        <x:v>45968</x:v>
      </x:c>
      <x:c r="D508" s="2" t="str">
        <x:v>Completed</x:v>
      </x:c>
      <x:c r="E508" s="2" t="str">
        <x:v>West</x:v>
      </x:c>
      <x:c r="F508" s="2" t="str">
        <x:v>Online</x:v>
      </x:c>
      <x:c r="G508" s="9" t="n">
        <x:f>SUM(SalesLines!Q1248,SalesLines!Q1249,SalesLines!Q1250,SalesLines!Q1251)</x:f>
        <x:v>1819.5500000000002</x:v>
      </x:c>
      <x:c r="H508" s="9" t="n">
        <x:f>SUM(SalesLines!M1248,SalesLines!M1249,SalesLines!M1250,SalesLines!M1251)</x:f>
        <x:v>2173</x:v>
      </x:c>
      <x:c r="I508" s="9" t="n">
        <x:f>SUM(SalesLines!N1248,SalesLines!N1249,SalesLines!N1250,SalesLines!N1251)</x:f>
        <x:v>353.45</x:v>
      </x:c>
      <x:c r="J508" s="9" t="n">
        <x:f>SUM(SalesLines!P1248,SalesLines!P1249,SalesLines!P1250,SalesLines!P1251)</x:f>
        <x:v>0</x:v>
      </x:c>
      <x:c r="K508" s="11" t="n">
        <x:f>SUM(SalesLines!R1248,SalesLines!R1249,SalesLines!R1250,SalesLines!R1251)</x:f>
        <x:v>13</x:v>
      </x:c>
      <x:c r="L508" s="11" t="n">
        <x:f>SUM(SalesLines!S1248,SalesLines!S1249,SalesLines!S1250,SalesLines!S1251)</x:f>
        <x:v>0</x:v>
      </x:c>
      <x:c r="M508" s="8" t="n">
        <x:f>DATE(YEAR(C508),MONTH(C508),1)</x:f>
        <x:v>45962</x:v>
      </x:c>
    </x:row>
    <x:row r="509" ht="22" customHeight="1">
      <x:c r="A509" s="2" t="str">
        <x:v>O00505</x:v>
      </x:c>
      <x:c r="B509" s="2" t="str">
        <x:v>C0057</x:v>
      </x:c>
      <x:c r="C509" s="7" t="n">
        <x:v>45903</x:v>
      </x:c>
      <x:c r="D509" s="2" t="str">
        <x:v>Completed</x:v>
      </x:c>
      <x:c r="E509" s="2" t="str">
        <x:v>South</x:v>
      </x:c>
      <x:c r="F509" s="2" t="str">
        <x:v>Store</x:v>
      </x:c>
      <x:c r="G509" s="9" t="n">
        <x:f>SUM(SalesLines!Q1252)</x:f>
        <x:v>1079.2</x:v>
      </x:c>
      <x:c r="H509" s="9" t="n">
        <x:f>SUM(SalesLines!M1252)</x:f>
        <x:v>1136</x:v>
      </x:c>
      <x:c r="I509" s="9" t="n">
        <x:f>SUM(SalesLines!N1252)</x:f>
        <x:v>56.800000000000004</x:v>
      </x:c>
      <x:c r="J509" s="9" t="n">
        <x:f>SUM(SalesLines!P1252)</x:f>
        <x:v>0</x:v>
      </x:c>
      <x:c r="K509" s="11" t="n">
        <x:f>SUM(SalesLines!R1252)</x:f>
        <x:v>4</x:v>
      </x:c>
      <x:c r="L509" s="11" t="n">
        <x:f>SUM(SalesLines!S1252)</x:f>
        <x:v>0</x:v>
      </x:c>
      <x:c r="M509" s="8" t="n">
        <x:f>DATE(YEAR(C509),MONTH(C509),1)</x:f>
        <x:v>45901</x:v>
      </x:c>
    </x:row>
    <x:row r="510" ht="22" customHeight="1">
      <x:c r="A510" s="2" t="str">
        <x:v>O00506</x:v>
      </x:c>
      <x:c r="B510" s="2" t="str">
        <x:v>C0081</x:v>
      </x:c>
      <x:c r="C510" s="7" t="n">
        <x:v>45672</x:v>
      </x:c>
      <x:c r="D510" s="2" t="str">
        <x:v>Completed</x:v>
      </x:c>
      <x:c r="E510" s="2" t="str">
        <x:v>North</x:v>
      </x:c>
      <x:c r="F510" s="2" t="str">
        <x:v>Store</x:v>
      </x:c>
      <x:c r="G510" s="9" t="n">
        <x:f>SUM(SalesLines!Q1253)</x:f>
        <x:v>284</x:v>
      </x:c>
      <x:c r="H510" s="9" t="n">
        <x:f>SUM(SalesLines!M1253)</x:f>
        <x:v>284</x:v>
      </x:c>
      <x:c r="I510" s="9" t="n">
        <x:f>SUM(SalesLines!N1253)</x:f>
        <x:v>0</x:v>
      </x:c>
      <x:c r="J510" s="9" t="n">
        <x:f>SUM(SalesLines!P1253)</x:f>
        <x:v>0</x:v>
      </x:c>
      <x:c r="K510" s="11" t="n">
        <x:f>SUM(SalesLines!R1253)</x:f>
        <x:v>1</x:v>
      </x:c>
      <x:c r="L510" s="11" t="n">
        <x:f>SUM(SalesLines!S1253)</x:f>
        <x:v>0</x:v>
      </x:c>
      <x:c r="M510" s="8" t="n">
        <x:f>DATE(YEAR(C510),MONTH(C510),1)</x:f>
        <x:v>45658</x:v>
      </x:c>
    </x:row>
    <x:row r="511" ht="22" customHeight="1">
      <x:c r="A511" s="2" t="str">
        <x:v>O00507</x:v>
      </x:c>
      <x:c r="B511" s="2" t="str">
        <x:v>C0004</x:v>
      </x:c>
      <x:c r="C511" s="7" t="n">
        <x:v>45708</x:v>
      </x:c>
      <x:c r="D511" s="2" t="str">
        <x:v>Completed</x:v>
      </x:c>
      <x:c r="E511" s="2" t="str">
        <x:v>North</x:v>
      </x:c>
      <x:c r="F511" s="2" t="str">
        <x:v>Store</x:v>
      </x:c>
      <x:c r="G511" s="9" t="n">
        <x:f>SUM(SalesLines!Q1254,SalesLines!Q1255,SalesLines!Q1256,SalesLines!Q1257)</x:f>
        <x:v>1279.6</x:v>
      </x:c>
      <x:c r="H511" s="9" t="n">
        <x:f>SUM(SalesLines!M1254,SalesLines!M1255,SalesLines!M1256,SalesLines!M1257)</x:f>
        <x:v>1392</x:v>
      </x:c>
      <x:c r="I511" s="9" t="n">
        <x:f>SUM(SalesLines!N1254,SalesLines!N1255,SalesLines!N1256,SalesLines!N1257)</x:f>
        <x:v>112.4</x:v>
      </x:c>
      <x:c r="J511" s="9" t="n">
        <x:f>SUM(SalesLines!P1254,SalesLines!P1255,SalesLines!P1256,SalesLines!P1257)</x:f>
        <x:v>0</x:v>
      </x:c>
      <x:c r="K511" s="11" t="n">
        <x:f>SUM(SalesLines!R1254,SalesLines!R1255,SalesLines!R1256,SalesLines!R1257)</x:f>
        <x:v>11</x:v>
      </x:c>
      <x:c r="L511" s="11" t="n">
        <x:f>SUM(SalesLines!S1254,SalesLines!S1255,SalesLines!S1256,SalesLines!S1257)</x:f>
        <x:v>0</x:v>
      </x:c>
      <x:c r="M511" s="8" t="n">
        <x:f>DATE(YEAR(C511),MONTH(C511),1)</x:f>
        <x:v>45689</x:v>
      </x:c>
    </x:row>
    <x:row r="512" ht="22" customHeight="1">
      <x:c r="A512" s="2" t="str">
        <x:v>O00508</x:v>
      </x:c>
      <x:c r="B512" s="2" t="str">
        <x:v>C0166</x:v>
      </x:c>
      <x:c r="C512" s="7" t="n">
        <x:v>45758</x:v>
      </x:c>
      <x:c r="D512" s="2" t="str">
        <x:v>Completed</x:v>
      </x:c>
      <x:c r="E512" s="2" t="str">
        <x:v>North</x:v>
      </x:c>
      <x:c r="F512" s="2" t="str">
        <x:v>Online</x:v>
      </x:c>
      <x:c r="G512" s="9" t="n">
        <x:f>SUM(SalesLines!Q1258,SalesLines!Q1259)</x:f>
        <x:v>1041.9</x:v>
      </x:c>
      <x:c r="H512" s="9" t="n">
        <x:f>SUM(SalesLines!M1258,SalesLines!M1259)</x:f>
        <x:v>1132</x:v>
      </x:c>
      <x:c r="I512" s="9" t="n">
        <x:f>SUM(SalesLines!N1258,SalesLines!N1259)</x:f>
        <x:v>90.1</x:v>
      </x:c>
      <x:c r="J512" s="9" t="n">
        <x:f>SUM(SalesLines!P1258,SalesLines!P1259)</x:f>
        <x:v>0</x:v>
      </x:c>
      <x:c r="K512" s="11" t="n">
        <x:f>SUM(SalesLines!R1258,SalesLines!R1259)</x:f>
        <x:v>7</x:v>
      </x:c>
      <x:c r="L512" s="11" t="n">
        <x:f>SUM(SalesLines!S1258,SalesLines!S1259)</x:f>
        <x:v>0</x:v>
      </x:c>
      <x:c r="M512" s="8" t="n">
        <x:f>DATE(YEAR(C512),MONTH(C512),1)</x:f>
        <x:v>45748</x:v>
      </x:c>
    </x:row>
    <x:row r="513" ht="22" customHeight="1">
      <x:c r="A513" s="2" t="str">
        <x:v>O00509</x:v>
      </x:c>
      <x:c r="B513" s="2" t="str">
        <x:v>C0278</x:v>
      </x:c>
      <x:c r="C513" s="7" t="n">
        <x:v>45745</x:v>
      </x:c>
      <x:c r="D513" s="2" t="str">
        <x:v>Completed</x:v>
      </x:c>
      <x:c r="E513" s="2" t="str">
        <x:v>North</x:v>
      </x:c>
      <x:c r="F513" s="2" t="str">
        <x:v>Store</x:v>
      </x:c>
      <x:c r="G513" s="9" t="n">
        <x:f>SUM(SalesLines!Q1260)</x:f>
        <x:v>241.2</x:v>
      </x:c>
      <x:c r="H513" s="9" t="n">
        <x:f>SUM(SalesLines!M1260)</x:f>
        <x:v>268</x:v>
      </x:c>
      <x:c r="I513" s="9" t="n">
        <x:f>SUM(SalesLines!N1260)</x:f>
        <x:v>26.8</x:v>
      </x:c>
      <x:c r="J513" s="9" t="n">
        <x:f>SUM(SalesLines!P1260)</x:f>
        <x:v>0</x:v>
      </x:c>
      <x:c r="K513" s="11" t="n">
        <x:f>SUM(SalesLines!R1260)</x:f>
        <x:v>2</x:v>
      </x:c>
      <x:c r="L513" s="11" t="n">
        <x:f>SUM(SalesLines!S1260)</x:f>
        <x:v>0</x:v>
      </x:c>
      <x:c r="M513" s="8" t="n">
        <x:f>DATE(YEAR(C513),MONTH(C513),1)</x:f>
        <x:v>45717</x:v>
      </x:c>
    </x:row>
    <x:row r="514" ht="22" customHeight="1">
      <x:c r="A514" s="2" t="str">
        <x:v>O00510</x:v>
      </x:c>
      <x:c r="B514" s="2" t="str">
        <x:v>C0223</x:v>
      </x:c>
      <x:c r="C514" s="7" t="n">
        <x:v>45905</x:v>
      </x:c>
      <x:c r="D514" s="2" t="str">
        <x:v>Completed</x:v>
      </x:c>
      <x:c r="E514" s="2" t="str">
        <x:v>East</x:v>
      </x:c>
      <x:c r="F514" s="2" t="str">
        <x:v>Store</x:v>
      </x:c>
      <x:c r="G514" s="9" t="n">
        <x:f>SUM(SalesLines!Q1261,SalesLines!Q1262)</x:f>
        <x:v>913.9999999999999</x:v>
      </x:c>
      <x:c r="H514" s="9" t="n">
        <x:f>SUM(SalesLines!M1261,SalesLines!M1262)</x:f>
        <x:v>1160</x:v>
      </x:c>
      <x:c r="I514" s="9" t="n">
        <x:f>SUM(SalesLines!N1261,SalesLines!N1262)</x:f>
        <x:v>76.80000000000001</x:v>
      </x:c>
      <x:c r="J514" s="9" t="n">
        <x:f>SUM(SalesLines!P1261,SalesLines!P1262)</x:f>
        <x:v>169.20000000000002</x:v>
      </x:c>
      <x:c r="K514" s="11" t="n">
        <x:f>SUM(SalesLines!R1261,SalesLines!R1262)</x:f>
        <x:v>6</x:v>
      </x:c>
      <x:c r="L514" s="11" t="n">
        <x:f>SUM(SalesLines!S1261,SalesLines!S1262)</x:f>
        <x:v>1</x:v>
      </x:c>
      <x:c r="M514" s="8" t="n">
        <x:f>DATE(YEAR(C514),MONTH(C514),1)</x:f>
        <x:v>45901</x:v>
      </x:c>
    </x:row>
    <x:row r="515" ht="22" customHeight="1">
      <x:c r="A515" s="2" t="str">
        <x:v>O00511</x:v>
      </x:c>
      <x:c r="B515" s="2" t="str">
        <x:v>C0024</x:v>
      </x:c>
      <x:c r="C515" s="7" t="n">
        <x:v>45926</x:v>
      </x:c>
      <x:c r="D515" s="2" t="str">
        <x:v>Completed</x:v>
      </x:c>
      <x:c r="E515" s="2" t="str">
        <x:v>South</x:v>
      </x:c>
      <x:c r="F515" s="2" t="str">
        <x:v>Online</x:v>
      </x:c>
      <x:c r="G515" s="9" t="n">
        <x:f>SUM(SalesLines!Q1263,SalesLines!Q1264,SalesLines!Q1265,SalesLines!Q1266)</x:f>
        <x:v>1439.05</x:v>
      </x:c>
      <x:c r="H515" s="9" t="n">
        <x:f>SUM(SalesLines!M1263,SalesLines!M1264,SalesLines!M1265,SalesLines!M1266)</x:f>
        <x:v>1502</x:v>
      </x:c>
      <x:c r="I515" s="9" t="n">
        <x:f>SUM(SalesLines!N1263,SalesLines!N1264,SalesLines!N1265,SalesLines!N1266)</x:f>
        <x:v>62.95000000000001</x:v>
      </x:c>
      <x:c r="J515" s="9" t="n">
        <x:f>SUM(SalesLines!P1263,SalesLines!P1264,SalesLines!P1265,SalesLines!P1266)</x:f>
        <x:v>0</x:v>
      </x:c>
      <x:c r="K515" s="11" t="n">
        <x:f>SUM(SalesLines!R1263,SalesLines!R1264,SalesLines!R1265,SalesLines!R1266)</x:f>
        <x:v>10</x:v>
      </x:c>
      <x:c r="L515" s="11" t="n">
        <x:f>SUM(SalesLines!S1263,SalesLines!S1264,SalesLines!S1265,SalesLines!S1266)</x:f>
        <x:v>0</x:v>
      </x:c>
      <x:c r="M515" s="8" t="n">
        <x:f>DATE(YEAR(C515),MONTH(C515),1)</x:f>
        <x:v>45901</x:v>
      </x:c>
    </x:row>
    <x:row r="516" ht="22" customHeight="1">
      <x:c r="A516" s="2" t="str">
        <x:v>O00512</x:v>
      </x:c>
      <x:c r="B516" s="2" t="str">
        <x:v>C0285</x:v>
      </x:c>
      <x:c r="C516" s="7" t="n">
        <x:v>45824</x:v>
      </x:c>
      <x:c r="D516" s="2" t="str">
        <x:v>Completed</x:v>
      </x:c>
      <x:c r="E516" s="2" t="str">
        <x:v>East</x:v>
      </x:c>
      <x:c r="F516" s="2" t="str">
        <x:v>Store</x:v>
      </x:c>
      <x:c r="G516" s="9" t="n">
        <x:f>SUM(SalesLines!Q1267,SalesLines!Q1268)</x:f>
        <x:v>535.4</x:v>
      </x:c>
      <x:c r="H516" s="9" t="n">
        <x:f>SUM(SalesLines!M1267,SalesLines!M1268)</x:f>
        <x:v>560</x:v>
      </x:c>
      <x:c r="I516" s="9" t="n">
        <x:f>SUM(SalesLines!N1267,SalesLines!N1268)</x:f>
        <x:v>24.6</x:v>
      </x:c>
      <x:c r="J516" s="9" t="n">
        <x:f>SUM(SalesLines!P1267,SalesLines!P1268)</x:f>
        <x:v>0</x:v>
      </x:c>
      <x:c r="K516" s="11" t="n">
        <x:f>SUM(SalesLines!R1267,SalesLines!R1268)</x:f>
        <x:v>5</x:v>
      </x:c>
      <x:c r="L516" s="11" t="n">
        <x:f>SUM(SalesLines!S1267,SalesLines!S1268)</x:f>
        <x:v>0</x:v>
      </x:c>
      <x:c r="M516" s="8" t="n">
        <x:f>DATE(YEAR(C516),MONTH(C516),1)</x:f>
        <x:v>45809</x:v>
      </x:c>
    </x:row>
    <x:row r="517" ht="22" customHeight="1">
      <x:c r="A517" s="2" t="str">
        <x:v>O00513</x:v>
      </x:c>
      <x:c r="B517" s="2" t="str">
        <x:v>C0009</x:v>
      </x:c>
      <x:c r="C517" s="7" t="n">
        <x:v>46000</x:v>
      </x:c>
      <x:c r="D517" s="2" t="str">
        <x:v>Completed</x:v>
      </x:c>
      <x:c r="E517" s="2" t="str">
        <x:v>South</x:v>
      </x:c>
      <x:c r="F517" s="2" t="str">
        <x:v>Store</x:v>
      </x:c>
      <x:c r="G517" s="9" t="n">
        <x:f>SUM(SalesLines!Q1269,SalesLines!Q1270,SalesLines!Q1271,SalesLines!Q1272)</x:f>
        <x:v>3321.4500000000003</x:v>
      </x:c>
      <x:c r="H517" s="9" t="n">
        <x:f>SUM(SalesLines!M1269,SalesLines!M1270,SalesLines!M1271,SalesLines!M1272)</x:f>
        <x:v>3571</x:v>
      </x:c>
      <x:c r="I517" s="9" t="n">
        <x:f>SUM(SalesLines!N1269,SalesLines!N1270,SalesLines!N1271,SalesLines!N1272)</x:f>
        <x:v>249.54999999999998</x:v>
      </x:c>
      <x:c r="J517" s="9" t="n">
        <x:f>SUM(SalesLines!P1269,SalesLines!P1270,SalesLines!P1271,SalesLines!P1272)</x:f>
        <x:v>0</x:v>
      </x:c>
      <x:c r="K517" s="11" t="n">
        <x:f>SUM(SalesLines!R1269,SalesLines!R1270,SalesLines!R1271,SalesLines!R1272)</x:f>
        <x:v>14</x:v>
      </x:c>
      <x:c r="L517" s="11" t="n">
        <x:f>SUM(SalesLines!S1269,SalesLines!S1270,SalesLines!S1271,SalesLines!S1272)</x:f>
        <x:v>0</x:v>
      </x:c>
      <x:c r="M517" s="8" t="n">
        <x:f>DATE(YEAR(C517),MONTH(C517),1)</x:f>
        <x:v>45992</x:v>
      </x:c>
    </x:row>
    <x:row r="518" ht="22" customHeight="1">
      <x:c r="A518" s="2" t="str">
        <x:v>O00514</x:v>
      </x:c>
      <x:c r="B518" s="2" t="str">
        <x:v>C0144</x:v>
      </x:c>
      <x:c r="C518" s="7" t="n">
        <x:v>45794</x:v>
      </x:c>
      <x:c r="D518" s="2" t="str">
        <x:v>Completed</x:v>
      </x:c>
      <x:c r="E518" s="2" t="str">
        <x:v>North</x:v>
      </x:c>
      <x:c r="F518" s="2" t="str">
        <x:v>Store</x:v>
      </x:c>
      <x:c r="G518" s="9" t="n">
        <x:f>SUM(SalesLines!Q1273,SalesLines!Q1274)</x:f>
        <x:v>672.3</x:v>
      </x:c>
      <x:c r="H518" s="9" t="n">
        <x:f>SUM(SalesLines!M1273,SalesLines!M1274)</x:f>
        <x:v>747</x:v>
      </x:c>
      <x:c r="I518" s="9" t="n">
        <x:f>SUM(SalesLines!N1273,SalesLines!N1274)</x:f>
        <x:v>74.7</x:v>
      </x:c>
      <x:c r="J518" s="9" t="n">
        <x:f>SUM(SalesLines!P1273,SalesLines!P1274)</x:f>
        <x:v>0</x:v>
      </x:c>
      <x:c r="K518" s="11" t="n">
        <x:f>SUM(SalesLines!R1273,SalesLines!R1274)</x:f>
        <x:v>3</x:v>
      </x:c>
      <x:c r="L518" s="11" t="n">
        <x:f>SUM(SalesLines!S1273,SalesLines!S1274)</x:f>
        <x:v>0</x:v>
      </x:c>
      <x:c r="M518" s="8" t="n">
        <x:f>DATE(YEAR(C518),MONTH(C518),1)</x:f>
        <x:v>45778</x:v>
      </x:c>
    </x:row>
    <x:row r="519" ht="22" customHeight="1">
      <x:c r="A519" s="2" t="str">
        <x:v>O00515</x:v>
      </x:c>
      <x:c r="B519" s="2" t="str">
        <x:v>C0091</x:v>
      </x:c>
      <x:c r="C519" s="7" t="n">
        <x:v>45781</x:v>
      </x:c>
      <x:c r="D519" s="2" t="str">
        <x:v>Completed</x:v>
      </x:c>
      <x:c r="E519" s="2" t="str">
        <x:v>North</x:v>
      </x:c>
      <x:c r="F519" s="2" t="str">
        <x:v>Online</x:v>
      </x:c>
      <x:c r="G519" s="9" t="n">
        <x:f>SUM(SalesLines!Q1275,SalesLines!Q1276,SalesLines!Q1277,SalesLines!Q1278)</x:f>
        <x:v>2674.45</x:v>
      </x:c>
      <x:c r="H519" s="9" t="n">
        <x:f>SUM(SalesLines!M1275,SalesLines!M1276,SalesLines!M1277,SalesLines!M1278)</x:f>
        <x:v>2927</x:v>
      </x:c>
      <x:c r="I519" s="9" t="n">
        <x:f>SUM(SalesLines!N1275,SalesLines!N1276,SalesLines!N1277,SalesLines!N1278)</x:f>
        <x:v>252.55</x:v>
      </x:c>
      <x:c r="J519" s="9" t="n">
        <x:f>SUM(SalesLines!P1275,SalesLines!P1276,SalesLines!P1277,SalesLines!P1278)</x:f>
        <x:v>0</x:v>
      </x:c>
      <x:c r="K519" s="11" t="n">
        <x:f>SUM(SalesLines!R1275,SalesLines!R1276,SalesLines!R1277,SalesLines!R1278)</x:f>
        <x:v>15</x:v>
      </x:c>
      <x:c r="L519" s="11" t="n">
        <x:f>SUM(SalesLines!S1275,SalesLines!S1276,SalesLines!S1277,SalesLines!S1278)</x:f>
        <x:v>0</x:v>
      </x:c>
      <x:c r="M519" s="8" t="n">
        <x:f>DATE(YEAR(C519),MONTH(C519),1)</x:f>
        <x:v>45778</x:v>
      </x:c>
    </x:row>
    <x:row r="520" ht="22" customHeight="1">
      <x:c r="A520" s="2" t="str">
        <x:v>O00516</x:v>
      </x:c>
      <x:c r="B520" s="2" t="str">
        <x:v>C0002</x:v>
      </x:c>
      <x:c r="C520" s="7" t="n">
        <x:v>45792</x:v>
      </x:c>
      <x:c r="D520" s="2" t="str">
        <x:v>Completed</x:v>
      </x:c>
      <x:c r="E520" s="2" t="str">
        <x:v>West</x:v>
      </x:c>
      <x:c r="F520" s="2" t="str">
        <x:v>Store</x:v>
      </x:c>
      <x:c r="G520" s="9" t="n">
        <x:f>SUM(SalesLines!Q1279,SalesLines!Q1280)</x:f>
        <x:v>547.2</x:v>
      </x:c>
      <x:c r="H520" s="9" t="n">
        <x:f>SUM(SalesLines!M1279,SalesLines!M1280)</x:f>
        <x:v>644</x:v>
      </x:c>
      <x:c r="I520" s="9" t="n">
        <x:f>SUM(SalesLines!N1279,SalesLines!N1280)</x:f>
        <x:v>96.8</x:v>
      </x:c>
      <x:c r="J520" s="9" t="n">
        <x:f>SUM(SalesLines!P1279,SalesLines!P1280)</x:f>
        <x:v>0</x:v>
      </x:c>
      <x:c r="K520" s="11" t="n">
        <x:f>SUM(SalesLines!R1279,SalesLines!R1280)</x:f>
        <x:v>8</x:v>
      </x:c>
      <x:c r="L520" s="11" t="n">
        <x:f>SUM(SalesLines!S1279,SalesLines!S1280)</x:f>
        <x:v>0</x:v>
      </x:c>
      <x:c r="M520" s="8" t="n">
        <x:f>DATE(YEAR(C520),MONTH(C520),1)</x:f>
        <x:v>45778</x:v>
      </x:c>
    </x:row>
    <x:row r="521" ht="22" customHeight="1">
      <x:c r="A521" s="2" t="str">
        <x:v>O00517</x:v>
      </x:c>
      <x:c r="B521" s="2" t="str">
        <x:v>C0135</x:v>
      </x:c>
      <x:c r="C521" s="7" t="n">
        <x:v>45812</x:v>
      </x:c>
      <x:c r="D521" s="2" t="str">
        <x:v>Cancelled</x:v>
      </x:c>
      <x:c r="E521" s="2" t="str">
        <x:v>West</x:v>
      </x:c>
      <x:c r="F521" s="2" t="str">
        <x:v>Online</x:v>
      </x:c>
      <x:c r="G521" s="9" t="n">
        <x:f>SUM(SalesLines!Q1281)</x:f>
        <x:v>0</x:v>
      </x:c>
      <x:c r="H521" s="9" t="n">
        <x:f>SUM(SalesLines!M1281)</x:f>
        <x:v>0</x:v>
      </x:c>
      <x:c r="I521" s="9" t="n">
        <x:f>SUM(SalesLines!N1281)</x:f>
        <x:v>0</x:v>
      </x:c>
      <x:c r="J521" s="9" t="n">
        <x:f>SUM(SalesLines!P1281)</x:f>
        <x:v>0</x:v>
      </x:c>
      <x:c r="K521" s="11" t="n">
        <x:f>SUM(SalesLines!R1281)</x:f>
        <x:v>0</x:v>
      </x:c>
      <x:c r="L521" s="11" t="n">
        <x:f>SUM(SalesLines!S1281)</x:f>
        <x:v>0</x:v>
      </x:c>
      <x:c r="M521" s="8" t="n">
        <x:f>DATE(YEAR(C521),MONTH(C521),1)</x:f>
        <x:v>45809</x:v>
      </x:c>
    </x:row>
    <x:row r="522" ht="22" customHeight="1">
      <x:c r="A522" s="2" t="str">
        <x:v>O00518</x:v>
      </x:c>
      <x:c r="B522" s="2" t="str">
        <x:v>C0184</x:v>
      </x:c>
      <x:c r="C522" s="7" t="n">
        <x:v>45884</x:v>
      </x:c>
      <x:c r="D522" s="2" t="str">
        <x:v>Completed</x:v>
      </x:c>
      <x:c r="E522" s="2" t="str">
        <x:v>West</x:v>
      </x:c>
      <x:c r="F522" s="2" t="str">
        <x:v>Store</x:v>
      </x:c>
      <x:c r="G522" s="9" t="n">
        <x:f>SUM(SalesLines!Q1282)</x:f>
        <x:v>762</x:v>
      </x:c>
      <x:c r="H522" s="9" t="n">
        <x:f>SUM(SalesLines!M1282)</x:f>
        <x:v>762</x:v>
      </x:c>
      <x:c r="I522" s="9" t="n">
        <x:f>SUM(SalesLines!N1282)</x:f>
        <x:v>0</x:v>
      </x:c>
      <x:c r="J522" s="9" t="n">
        <x:f>SUM(SalesLines!P1282)</x:f>
        <x:v>0</x:v>
      </x:c>
      <x:c r="K522" s="11" t="n">
        <x:f>SUM(SalesLines!R1282)</x:f>
        <x:v>3</x:v>
      </x:c>
      <x:c r="L522" s="11" t="n">
        <x:f>SUM(SalesLines!S1282)</x:f>
        <x:v>0</x:v>
      </x:c>
      <x:c r="M522" s="8" t="n">
        <x:f>DATE(YEAR(C522),MONTH(C522),1)</x:f>
        <x:v>45870</x:v>
      </x:c>
    </x:row>
    <x:row r="523" ht="22" customHeight="1">
      <x:c r="A523" s="2" t="str">
        <x:v>O00519</x:v>
      </x:c>
      <x:c r="B523" s="2" t="str">
        <x:v>C0098</x:v>
      </x:c>
      <x:c r="C523" s="7" t="n">
        <x:v>45687</x:v>
      </x:c>
      <x:c r="D523" s="2" t="str">
        <x:v>Completed</x:v>
      </x:c>
      <x:c r="E523" s="2" t="str">
        <x:v>West</x:v>
      </x:c>
      <x:c r="F523" s="2" t="str">
        <x:v>Store</x:v>
      </x:c>
      <x:c r="G523" s="9" t="n">
        <x:f>SUM(SalesLines!Q1283,SalesLines!Q1284)</x:f>
        <x:v>726.4000000000001</x:v>
      </x:c>
      <x:c r="H523" s="9" t="n">
        <x:f>SUM(SalesLines!M1283,SalesLines!M1284)</x:f>
        <x:v>908</x:v>
      </x:c>
      <x:c r="I523" s="9" t="n">
        <x:f>SUM(SalesLines!N1283,SalesLines!N1284)</x:f>
        <x:v>181.60000000000002</x:v>
      </x:c>
      <x:c r="J523" s="9" t="n">
        <x:f>SUM(SalesLines!P1283,SalesLines!P1284)</x:f>
        <x:v>0</x:v>
      </x:c>
      <x:c r="K523" s="11" t="n">
        <x:f>SUM(SalesLines!R1283,SalesLines!R1284)</x:f>
        <x:v>5</x:v>
      </x:c>
      <x:c r="L523" s="11" t="n">
        <x:f>SUM(SalesLines!S1283,SalesLines!S1284)</x:f>
        <x:v>0</x:v>
      </x:c>
      <x:c r="M523" s="8" t="n">
        <x:f>DATE(YEAR(C523),MONTH(C523),1)</x:f>
        <x:v>45658</x:v>
      </x:c>
    </x:row>
    <x:row r="524" ht="22" customHeight="1">
      <x:c r="A524" s="2" t="str">
        <x:v>O00520</x:v>
      </x:c>
      <x:c r="B524" s="2" t="str">
        <x:v>C0197</x:v>
      </x:c>
      <x:c r="C524" s="7" t="n">
        <x:v>45905</x:v>
      </x:c>
      <x:c r="D524" s="2" t="str">
        <x:v>Completed</x:v>
      </x:c>
      <x:c r="E524" s="2" t="str">
        <x:v>East</x:v>
      </x:c>
      <x:c r="F524" s="2" t="str">
        <x:v>Online</x:v>
      </x:c>
      <x:c r="G524" s="9" t="n">
        <x:f>SUM(SalesLines!Q1285,SalesLines!Q1286,SalesLines!Q1287,SalesLines!Q1288)</x:f>
        <x:v>1735.8</x:v>
      </x:c>
      <x:c r="H524" s="9" t="n">
        <x:f>SUM(SalesLines!M1285,SalesLines!M1286,SalesLines!M1287,SalesLines!M1288)</x:f>
        <x:v>1929</x:v>
      </x:c>
      <x:c r="I524" s="9" t="n">
        <x:f>SUM(SalesLines!N1285,SalesLines!N1286,SalesLines!N1287,SalesLines!N1288)</x:f>
        <x:v>193.20000000000002</x:v>
      </x:c>
      <x:c r="J524" s="9" t="n">
        <x:f>SUM(SalesLines!P1285,SalesLines!P1286,SalesLines!P1287,SalesLines!P1288)</x:f>
        <x:v>0</x:v>
      </x:c>
      <x:c r="K524" s="11" t="n">
        <x:f>SUM(SalesLines!R1285,SalesLines!R1286,SalesLines!R1287,SalesLines!R1288)</x:f>
        <x:v>8</x:v>
      </x:c>
      <x:c r="L524" s="11" t="n">
        <x:f>SUM(SalesLines!S1285,SalesLines!S1286,SalesLines!S1287,SalesLines!S1288)</x:f>
        <x:v>0</x:v>
      </x:c>
      <x:c r="M524" s="8" t="n">
        <x:f>DATE(YEAR(C524),MONTH(C524),1)</x:f>
        <x:v>45901</x:v>
      </x:c>
    </x:row>
    <x:row r="525" ht="22" customHeight="1">
      <x:c r="A525" s="2" t="str">
        <x:v>O00521</x:v>
      </x:c>
      <x:c r="B525" s="2" t="str">
        <x:v>C0047</x:v>
      </x:c>
      <x:c r="C525" s="7" t="n">
        <x:v>45669</x:v>
      </x:c>
      <x:c r="D525" s="2" t="str">
        <x:v>Completed</x:v>
      </x:c>
      <x:c r="E525" s="2" t="str">
        <x:v>West</x:v>
      </x:c>
      <x:c r="F525" s="2" t="str">
        <x:v>Online</x:v>
      </x:c>
      <x:c r="G525" s="9" t="n">
        <x:f>SUM(SalesLines!Q1289,SalesLines!Q1290,SalesLines!Q1291)</x:f>
        <x:v>1145</x:v>
      </x:c>
      <x:c r="H525" s="9" t="n">
        <x:f>SUM(SalesLines!M1289,SalesLines!M1290,SalesLines!M1291)</x:f>
        <x:v>1277</x:v>
      </x:c>
      <x:c r="I525" s="9" t="n">
        <x:f>SUM(SalesLines!N1289,SalesLines!N1290,SalesLines!N1291)</x:f>
        <x:v>80</x:v>
      </x:c>
      <x:c r="J525" s="9" t="n">
        <x:f>SUM(SalesLines!P1289,SalesLines!P1290,SalesLines!P1291)</x:f>
        <x:v>52</x:v>
      </x:c>
      <x:c r="K525" s="11" t="n">
        <x:f>SUM(SalesLines!R1289,SalesLines!R1290,SalesLines!R1291)</x:f>
        <x:v>8</x:v>
      </x:c>
      <x:c r="L525" s="11" t="n">
        <x:f>SUM(SalesLines!S1289,SalesLines!S1290,SalesLines!S1291)</x:f>
        <x:v>1</x:v>
      </x:c>
      <x:c r="M525" s="8" t="n">
        <x:f>DATE(YEAR(C525),MONTH(C525),1)</x:f>
        <x:v>45658</x:v>
      </x:c>
    </x:row>
    <x:row r="526" ht="22" customHeight="1">
      <x:c r="A526" s="2" t="str">
        <x:v>O00522</x:v>
      </x:c>
      <x:c r="B526" s="2" t="str">
        <x:v>C0266</x:v>
      </x:c>
      <x:c r="C526" s="7" t="n">
        <x:v>45858</x:v>
      </x:c>
      <x:c r="D526" s="2" t="str">
        <x:v>Completed</x:v>
      </x:c>
      <x:c r="E526" s="2" t="str">
        <x:v>North</x:v>
      </x:c>
      <x:c r="F526" s="2" t="str">
        <x:v>Online</x:v>
      </x:c>
      <x:c r="G526" s="9" t="n">
        <x:f>SUM(SalesLines!Q1292,SalesLines!Q1293)</x:f>
        <x:v>398.3</x:v>
      </x:c>
      <x:c r="H526" s="9" t="n">
        <x:f>SUM(SalesLines!M1292,SalesLines!M1293)</x:f>
        <x:v>405</x:v>
      </x:c>
      <x:c r="I526" s="9" t="n">
        <x:f>SUM(SalesLines!N1292,SalesLines!N1293)</x:f>
        <x:v>6.7</x:v>
      </x:c>
      <x:c r="J526" s="9" t="n">
        <x:f>SUM(SalesLines!P1292,SalesLines!P1293)</x:f>
        <x:v>0</x:v>
      </x:c>
      <x:c r="K526" s="11" t="n">
        <x:f>SUM(SalesLines!R1292,SalesLines!R1293)</x:f>
        <x:v>2</x:v>
      </x:c>
      <x:c r="L526" s="11" t="n">
        <x:f>SUM(SalesLines!S1292,SalesLines!S1293)</x:f>
        <x:v>0</x:v>
      </x:c>
      <x:c r="M526" s="8" t="n">
        <x:f>DATE(YEAR(C526),MONTH(C526),1)</x:f>
        <x:v>45839</x:v>
      </x:c>
    </x:row>
    <x:row r="527" ht="22" customHeight="1">
      <x:c r="A527" s="2" t="str">
        <x:v>O00523</x:v>
      </x:c>
      <x:c r="B527" s="2" t="str">
        <x:v>C0223</x:v>
      </x:c>
      <x:c r="C527" s="7" t="n">
        <x:v>45725</x:v>
      </x:c>
      <x:c r="D527" s="2" t="str">
        <x:v>Completed</x:v>
      </x:c>
      <x:c r="E527" s="2" t="str">
        <x:v>East</x:v>
      </x:c>
      <x:c r="F527" s="2" t="str">
        <x:v>Store</x:v>
      </x:c>
      <x:c r="G527" s="9" t="n">
        <x:f>SUM(SalesLines!Q1294,SalesLines!Q1295)</x:f>
        <x:v>393.75</x:v>
      </x:c>
      <x:c r="H527" s="9" t="n">
        <x:f>SUM(SalesLines!M1294,SalesLines!M1295)</x:f>
        <x:v>399</x:v>
      </x:c>
      <x:c r="I527" s="9" t="n">
        <x:f>SUM(SalesLines!N1294,SalesLines!N1295)</x:f>
        <x:v>5.25</x:v>
      </x:c>
      <x:c r="J527" s="9" t="n">
        <x:f>SUM(SalesLines!P1294,SalesLines!P1295)</x:f>
        <x:v>0</x:v>
      </x:c>
      <x:c r="K527" s="11" t="n">
        <x:f>SUM(SalesLines!R1294,SalesLines!R1295)</x:f>
        <x:v>4</x:v>
      </x:c>
      <x:c r="L527" s="11" t="n">
        <x:f>SUM(SalesLines!S1294,SalesLines!S1295)</x:f>
        <x:v>0</x:v>
      </x:c>
      <x:c r="M527" s="8" t="n">
        <x:f>DATE(YEAR(C527),MONTH(C527),1)</x:f>
        <x:v>45717</x:v>
      </x:c>
    </x:row>
    <x:row r="528" ht="22" customHeight="1">
      <x:c r="A528" s="2" t="str">
        <x:v>O00524</x:v>
      </x:c>
      <x:c r="B528" s="2" t="str">
        <x:v>C0025</x:v>
      </x:c>
      <x:c r="C528" s="7" t="n">
        <x:v>45906</x:v>
      </x:c>
      <x:c r="D528" s="2" t="str">
        <x:v>Completed</x:v>
      </x:c>
      <x:c r="E528" s="2" t="str">
        <x:v>East</x:v>
      </x:c>
      <x:c r="F528" s="2" t="str">
        <x:v>Store</x:v>
      </x:c>
      <x:c r="G528" s="9" t="n">
        <x:f>SUM(SalesLines!Q1296)</x:f>
        <x:v>233.7</x:v>
      </x:c>
      <x:c r="H528" s="9" t="n">
        <x:f>SUM(SalesLines!M1296)</x:f>
        <x:v>246</x:v>
      </x:c>
      <x:c r="I528" s="9" t="n">
        <x:f>SUM(SalesLines!N1296)</x:f>
        <x:v>12.3</x:v>
      </x:c>
      <x:c r="J528" s="9" t="n">
        <x:f>SUM(SalesLines!P1296)</x:f>
        <x:v>0</x:v>
      </x:c>
      <x:c r="K528" s="11" t="n">
        <x:f>SUM(SalesLines!R1296)</x:f>
        <x:v>2</x:v>
      </x:c>
      <x:c r="L528" s="11" t="n">
        <x:f>SUM(SalesLines!S1296)</x:f>
        <x:v>0</x:v>
      </x:c>
      <x:c r="M528" s="8" t="n">
        <x:f>DATE(YEAR(C528),MONTH(C528),1)</x:f>
        <x:v>45901</x:v>
      </x:c>
    </x:row>
    <x:row r="529" ht="22" customHeight="1">
      <x:c r="A529" s="2" t="str">
        <x:v>O00525</x:v>
      </x:c>
      <x:c r="B529" s="2" t="str">
        <x:v>C0106</x:v>
      </x:c>
      <x:c r="C529" s="7" t="n">
        <x:v>45963</x:v>
      </x:c>
      <x:c r="D529" s="2" t="str">
        <x:v>Completed</x:v>
      </x:c>
      <x:c r="E529" s="2" t="str">
        <x:v>East</x:v>
      </x:c>
      <x:c r="F529" s="2" t="str">
        <x:v>Store</x:v>
      </x:c>
      <x:c r="G529" s="9" t="n">
        <x:f>SUM(SalesLines!Q1297,SalesLines!Q1298,SalesLines!Q1299)</x:f>
        <x:v>899.0999999999999</x:v>
      </x:c>
      <x:c r="H529" s="9" t="n">
        <x:f>SUM(SalesLines!M1297,SalesLines!M1298,SalesLines!M1299)</x:f>
        <x:v>1348</x:v>
      </x:c>
      <x:c r="I529" s="9" t="n">
        <x:f>SUM(SalesLines!N1297,SalesLines!N1298,SalesLines!N1299)</x:f>
        <x:v>134.8</x:v>
      </x:c>
      <x:c r="J529" s="9" t="n">
        <x:f>SUM(SalesLines!P1297,SalesLines!P1298,SalesLines!P1299)</x:f>
        <x:v>314.1</x:v>
      </x:c>
      <x:c r="K529" s="11" t="n">
        <x:f>SUM(SalesLines!R1297,SalesLines!R1298,SalesLines!R1299)</x:f>
        <x:v>9</x:v>
      </x:c>
      <x:c r="L529" s="11" t="n">
        <x:f>SUM(SalesLines!S1297,SalesLines!S1298,SalesLines!S1299)</x:f>
        <x:v>3</x:v>
      </x:c>
      <x:c r="M529" s="8" t="n">
        <x:f>DATE(YEAR(C529),MONTH(C529),1)</x:f>
        <x:v>45962</x:v>
      </x:c>
    </x:row>
    <x:row r="530" ht="22" customHeight="1">
      <x:c r="A530" s="2" t="str">
        <x:v>O00526</x:v>
      </x:c>
      <x:c r="B530" s="2" t="str">
        <x:v>C0067</x:v>
      </x:c>
      <x:c r="C530" s="7" t="n">
        <x:v>46014</x:v>
      </x:c>
      <x:c r="D530" s="2" t="str">
        <x:v>Completed</x:v>
      </x:c>
      <x:c r="E530" s="2" t="str">
        <x:v>East</x:v>
      </x:c>
      <x:c r="F530" s="2" t="str">
        <x:v>Store</x:v>
      </x:c>
      <x:c r="G530" s="9" t="n">
        <x:f>SUM(SalesLines!Q1300,SalesLines!Q1301,SalesLines!Q1302)</x:f>
        <x:v>1700</x:v>
      </x:c>
      <x:c r="H530" s="9" t="n">
        <x:f>SUM(SalesLines!M1300,SalesLines!M1301,SalesLines!M1302)</x:f>
        <x:v>1739</x:v>
      </x:c>
      <x:c r="I530" s="9" t="n">
        <x:f>SUM(SalesLines!N1300,SalesLines!N1301,SalesLines!N1302)</x:f>
        <x:v>39</x:v>
      </x:c>
      <x:c r="J530" s="9" t="n">
        <x:f>SUM(SalesLines!P1300,SalesLines!P1301,SalesLines!P1302)</x:f>
        <x:v>0</x:v>
      </x:c>
      <x:c r="K530" s="11" t="n">
        <x:f>SUM(SalesLines!R1300,SalesLines!R1301,SalesLines!R1302)</x:f>
        <x:v>9</x:v>
      </x:c>
      <x:c r="L530" s="11" t="n">
        <x:f>SUM(SalesLines!S1300,SalesLines!S1301,SalesLines!S1302)</x:f>
        <x:v>0</x:v>
      </x:c>
      <x:c r="M530" s="8" t="n">
        <x:f>DATE(YEAR(C530),MONTH(C530),1)</x:f>
        <x:v>45992</x:v>
      </x:c>
    </x:row>
    <x:row r="531" ht="22" customHeight="1">
      <x:c r="A531" s="2" t="str">
        <x:v>O00527</x:v>
      </x:c>
      <x:c r="B531" s="2" t="str">
        <x:v>C0188</x:v>
      </x:c>
      <x:c r="C531" s="7" t="n">
        <x:v>45826</x:v>
      </x:c>
      <x:c r="D531" s="2" t="str">
        <x:v>Cancelled</x:v>
      </x:c>
      <x:c r="E531" s="2" t="str">
        <x:v>South</x:v>
      </x:c>
      <x:c r="F531" s="2" t="str">
        <x:v>Store</x:v>
      </x:c>
      <x:c r="G531" s="9" t="n">
        <x:f>SUM(SalesLines!Q1303,SalesLines!Q1304)</x:f>
        <x:v>0</x:v>
      </x:c>
      <x:c r="H531" s="9" t="n">
        <x:f>SUM(SalesLines!M1303,SalesLines!M1304)</x:f>
        <x:v>0</x:v>
      </x:c>
      <x:c r="I531" s="9" t="n">
        <x:f>SUM(SalesLines!N1303,SalesLines!N1304)</x:f>
        <x:v>0</x:v>
      </x:c>
      <x:c r="J531" s="9" t="n">
        <x:f>SUM(SalesLines!P1303,SalesLines!P1304)</x:f>
        <x:v>0</x:v>
      </x:c>
      <x:c r="K531" s="11" t="n">
        <x:f>SUM(SalesLines!R1303,SalesLines!R1304)</x:f>
        <x:v>0</x:v>
      </x:c>
      <x:c r="L531" s="11" t="n">
        <x:f>SUM(SalesLines!S1303,SalesLines!S1304)</x:f>
        <x:v>0</x:v>
      </x:c>
      <x:c r="M531" s="8" t="n">
        <x:f>DATE(YEAR(C531),MONTH(C531),1)</x:f>
        <x:v>45809</x:v>
      </x:c>
    </x:row>
    <x:row r="532" ht="22" customHeight="1">
      <x:c r="A532" s="2" t="str">
        <x:v>O00528</x:v>
      </x:c>
      <x:c r="B532" s="2" t="str">
        <x:v>C0104</x:v>
      </x:c>
      <x:c r="C532" s="7" t="n">
        <x:v>45804</x:v>
      </x:c>
      <x:c r="D532" s="2" t="str">
        <x:v>Completed</x:v>
      </x:c>
      <x:c r="E532" s="2" t="str">
        <x:v>North</x:v>
      </x:c>
      <x:c r="F532" s="2" t="str">
        <x:v>Store</x:v>
      </x:c>
      <x:c r="G532" s="9" t="n">
        <x:f>SUM(SalesLines!Q1305)</x:f>
        <x:v>312</x:v>
      </x:c>
      <x:c r="H532" s="9" t="n">
        <x:f>SUM(SalesLines!M1305)</x:f>
        <x:v>312</x:v>
      </x:c>
      <x:c r="I532" s="9" t="n">
        <x:f>SUM(SalesLines!N1305)</x:f>
        <x:v>0</x:v>
      </x:c>
      <x:c r="J532" s="9" t="n">
        <x:f>SUM(SalesLines!P1305)</x:f>
        <x:v>0</x:v>
      </x:c>
      <x:c r="K532" s="11" t="n">
        <x:f>SUM(SalesLines!R1305)</x:f>
        <x:v>4</x:v>
      </x:c>
      <x:c r="L532" s="11" t="n">
        <x:f>SUM(SalesLines!S1305)</x:f>
        <x:v>0</x:v>
      </x:c>
      <x:c r="M532" s="8" t="n">
        <x:f>DATE(YEAR(C532),MONTH(C532),1)</x:f>
        <x:v>45778</x:v>
      </x:c>
    </x:row>
    <x:row r="533" ht="22" customHeight="1">
      <x:c r="A533" s="2" t="str">
        <x:v>O00529</x:v>
      </x:c>
      <x:c r="B533" s="2" t="str">
        <x:v>C0189</x:v>
      </x:c>
      <x:c r="C533" s="7" t="n">
        <x:v>45817</x:v>
      </x:c>
      <x:c r="D533" s="2" t="str">
        <x:v>Completed</x:v>
      </x:c>
      <x:c r="E533" s="2" t="str">
        <x:v>North</x:v>
      </x:c>
      <x:c r="F533" s="2" t="str">
        <x:v>Store</x:v>
      </x:c>
      <x:c r="G533" s="9" t="n">
        <x:f>SUM(SalesLines!Q1306,SalesLines!Q1307,SalesLines!Q1308,SalesLines!Q1309)</x:f>
        <x:v>1043.25</x:v>
      </x:c>
      <x:c r="H533" s="9" t="n">
        <x:f>SUM(SalesLines!M1306,SalesLines!M1307,SalesLines!M1308,SalesLines!M1309)</x:f>
        <x:v>1095</x:v>
      </x:c>
      <x:c r="I533" s="9" t="n">
        <x:f>SUM(SalesLines!N1306,SalesLines!N1307,SalesLines!N1308,SalesLines!N1309)</x:f>
        <x:v>51.75</x:v>
      </x:c>
      <x:c r="J533" s="9" t="n">
        <x:f>SUM(SalesLines!P1306,SalesLines!P1307,SalesLines!P1308,SalesLines!P1309)</x:f>
        <x:v>0</x:v>
      </x:c>
      <x:c r="K533" s="11" t="n">
        <x:f>SUM(SalesLines!R1306,SalesLines!R1307,SalesLines!R1308,SalesLines!R1309)</x:f>
        <x:v>9</x:v>
      </x:c>
      <x:c r="L533" s="11" t="n">
        <x:f>SUM(SalesLines!S1306,SalesLines!S1307,SalesLines!S1308,SalesLines!S1309)</x:f>
        <x:v>0</x:v>
      </x:c>
      <x:c r="M533" s="8" t="n">
        <x:f>DATE(YEAR(C533),MONTH(C533),1)</x:f>
        <x:v>45809</x:v>
      </x:c>
    </x:row>
    <x:row r="534" ht="22" customHeight="1">
      <x:c r="A534" s="2" t="str">
        <x:v>O00530</x:v>
      </x:c>
      <x:c r="B534" s="2" t="str">
        <x:v>C0294</x:v>
      </x:c>
      <x:c r="C534" s="7" t="n">
        <x:v>45771</x:v>
      </x:c>
      <x:c r="D534" s="2" t="str">
        <x:v>Completed</x:v>
      </x:c>
      <x:c r="E534" s="2" t="str">
        <x:v>South</x:v>
      </x:c>
      <x:c r="F534" s="2" t="str">
        <x:v>Store</x:v>
      </x:c>
      <x:c r="G534" s="9" t="n">
        <x:f>SUM(SalesLines!Q1310,SalesLines!Q1311)</x:f>
        <x:v>1327.3</x:v>
      </x:c>
      <x:c r="H534" s="9" t="n">
        <x:f>SUM(SalesLines!M1310,SalesLines!M1311)</x:f>
        <x:v>1334</x:v>
      </x:c>
      <x:c r="I534" s="9" t="n">
        <x:f>SUM(SalesLines!N1310,SalesLines!N1311)</x:f>
        <x:v>6.7</x:v>
      </x:c>
      <x:c r="J534" s="9" t="n">
        <x:f>SUM(SalesLines!P1310,SalesLines!P1311)</x:f>
        <x:v>0</x:v>
      </x:c>
      <x:c r="K534" s="11" t="n">
        <x:f>SUM(SalesLines!R1310,SalesLines!R1311)</x:f>
        <x:v>5</x:v>
      </x:c>
      <x:c r="L534" s="11" t="n">
        <x:f>SUM(SalesLines!S1310,SalesLines!S1311)</x:f>
        <x:v>0</x:v>
      </x:c>
      <x:c r="M534" s="8" t="n">
        <x:f>DATE(YEAR(C534),MONTH(C534),1)</x:f>
        <x:v>45748</x:v>
      </x:c>
    </x:row>
    <x:row r="535" ht="22" customHeight="1">
      <x:c r="A535" s="2" t="str">
        <x:v>O00531</x:v>
      </x:c>
      <x:c r="B535" s="2" t="str">
        <x:v>C0022</x:v>
      </x:c>
      <x:c r="C535" s="7" t="n">
        <x:v>45665</x:v>
      </x:c>
      <x:c r="D535" s="2" t="str">
        <x:v>Completed</x:v>
      </x:c>
      <x:c r="E535" s="2" t="str">
        <x:v>East</x:v>
      </x:c>
      <x:c r="F535" s="2" t="str">
        <x:v>Online</x:v>
      </x:c>
      <x:c r="G535" s="9" t="n">
        <x:f>SUM(SalesLines!Q1312,SalesLines!Q1313,SalesLines!Q1314)</x:f>
        <x:v>770.25</x:v>
      </x:c>
      <x:c r="H535" s="9" t="n">
        <x:f>SUM(SalesLines!M1312,SalesLines!M1313,SalesLines!M1314)</x:f>
        <x:v>813</x:v>
      </x:c>
      <x:c r="I535" s="9" t="n">
        <x:f>SUM(SalesLines!N1312,SalesLines!N1313,SalesLines!N1314)</x:f>
        <x:v>42.75</x:v>
      </x:c>
      <x:c r="J535" s="9" t="n">
        <x:f>SUM(SalesLines!P1312,SalesLines!P1313,SalesLines!P1314)</x:f>
        <x:v>0</x:v>
      </x:c>
      <x:c r="K535" s="11" t="n">
        <x:f>SUM(SalesLines!R1312,SalesLines!R1313,SalesLines!R1314)</x:f>
        <x:v>8</x:v>
      </x:c>
      <x:c r="L535" s="11" t="n">
        <x:f>SUM(SalesLines!S1312,SalesLines!S1313,SalesLines!S1314)</x:f>
        <x:v>0</x:v>
      </x:c>
      <x:c r="M535" s="8" t="n">
        <x:f>DATE(YEAR(C535),MONTH(C535),1)</x:f>
        <x:v>45658</x:v>
      </x:c>
    </x:row>
    <x:row r="536" ht="22" customHeight="1">
      <x:c r="A536" s="2" t="str">
        <x:v>O00532</x:v>
      </x:c>
      <x:c r="B536" s="2" t="str">
        <x:v>C0136</x:v>
      </x:c>
      <x:c r="C536" s="7" t="n">
        <x:v>46002</x:v>
      </x:c>
      <x:c r="D536" s="2" t="str">
        <x:v>Completed</x:v>
      </x:c>
      <x:c r="E536" s="2" t="str">
        <x:v>West</x:v>
      </x:c>
      <x:c r="F536" s="2" t="str">
        <x:v>Store</x:v>
      </x:c>
      <x:c r="G536" s="9" t="n">
        <x:f>SUM(SalesLines!Q1315,SalesLines!Q1316,SalesLines!Q1317,SalesLines!Q1318)</x:f>
        <x:v>2746.2</x:v>
      </x:c>
      <x:c r="H536" s="9" t="n">
        <x:f>SUM(SalesLines!M1315,SalesLines!M1316,SalesLines!M1317,SalesLines!M1318)</x:f>
        <x:v>3394</x:v>
      </x:c>
      <x:c r="I536" s="9" t="n">
        <x:f>SUM(SalesLines!N1315,SalesLines!N1316,SalesLines!N1317,SalesLines!N1318)</x:f>
        <x:v>566.8000000000001</x:v>
      </x:c>
      <x:c r="J536" s="9" t="n">
        <x:f>SUM(SalesLines!P1315,SalesLines!P1316,SalesLines!P1317,SalesLines!P1318)</x:f>
        <x:v>81</x:v>
      </x:c>
      <x:c r="K536" s="11" t="n">
        <x:f>SUM(SalesLines!R1315,SalesLines!R1316,SalesLines!R1317,SalesLines!R1318)</x:f>
        <x:v>15</x:v>
      </x:c>
      <x:c r="L536" s="11" t="n">
        <x:f>SUM(SalesLines!S1315,SalesLines!S1316,SalesLines!S1317,SalesLines!S1318)</x:f>
        <x:v>1</x:v>
      </x:c>
      <x:c r="M536" s="8" t="n">
        <x:f>DATE(YEAR(C536),MONTH(C536),1)</x:f>
        <x:v>45992</x:v>
      </x:c>
    </x:row>
    <x:row r="537" ht="22" customHeight="1">
      <x:c r="A537" s="2" t="str">
        <x:v>O00533</x:v>
      </x:c>
      <x:c r="B537" s="2" t="str">
        <x:v>C0161</x:v>
      </x:c>
      <x:c r="C537" s="7" t="n">
        <x:v>45694</x:v>
      </x:c>
      <x:c r="D537" s="2" t="str">
        <x:v>Completed</x:v>
      </x:c>
      <x:c r="E537" s="2" t="str">
        <x:v>West</x:v>
      </x:c>
      <x:c r="F537" s="2" t="str">
        <x:v>Store</x:v>
      </x:c>
      <x:c r="G537" s="9" t="n">
        <x:f>SUM(SalesLines!Q1319,SalesLines!Q1320)</x:f>
        <x:v>533.7</x:v>
      </x:c>
      <x:c r="H537" s="9" t="n">
        <x:f>SUM(SalesLines!M1319,SalesLines!M1320)</x:f>
        <x:v>715</x:v>
      </x:c>
      <x:c r="I537" s="9" t="n">
        <x:f>SUM(SalesLines!N1319,SalesLines!N1320)</x:f>
        <x:v>71.5</x:v>
      </x:c>
      <x:c r="J537" s="9" t="n">
        <x:f>SUM(SalesLines!P1319,SalesLines!P1320)</x:f>
        <x:v>109.8</x:v>
      </x:c>
      <x:c r="K537" s="11" t="n">
        <x:f>SUM(SalesLines!R1319,SalesLines!R1320)</x:f>
        <x:v>8</x:v>
      </x:c>
      <x:c r="L537" s="11" t="n">
        <x:f>SUM(SalesLines!S1319,SalesLines!S1320)</x:f>
        <x:v>1</x:v>
      </x:c>
      <x:c r="M537" s="8" t="n">
        <x:f>DATE(YEAR(C537),MONTH(C537),1)</x:f>
        <x:v>45689</x:v>
      </x:c>
    </x:row>
    <x:row r="538" ht="22" customHeight="1">
      <x:c r="A538" s="2" t="str">
        <x:v>O00534</x:v>
      </x:c>
      <x:c r="B538" s="2" t="str">
        <x:v>C0112</x:v>
      </x:c>
      <x:c r="C538" s="7" t="n">
        <x:v>45850</x:v>
      </x:c>
      <x:c r="D538" s="2" t="str">
        <x:v>Completed</x:v>
      </x:c>
      <x:c r="E538" s="2" t="str">
        <x:v>South</x:v>
      </x:c>
      <x:c r="F538" s="2" t="str">
        <x:v>Online</x:v>
      </x:c>
      <x:c r="G538" s="9" t="n">
        <x:f>SUM(SalesLines!Q1321,SalesLines!Q1322,SalesLines!Q1323)</x:f>
        <x:v>823.6</x:v>
      </x:c>
      <x:c r="H538" s="9" t="n">
        <x:f>SUM(SalesLines!M1321,SalesLines!M1322,SalesLines!M1323)</x:f>
        <x:v>1868</x:v>
      </x:c>
      <x:c r="I538" s="9" t="n">
        <x:f>SUM(SalesLines!N1321,SalesLines!N1322,SalesLines!N1323)</x:f>
        <x:v>130</x:v>
      </x:c>
      <x:c r="J538" s="9" t="n">
        <x:f>SUM(SalesLines!P1321,SalesLines!P1322,SalesLines!P1323)</x:f>
        <x:v>914.4</x:v>
      </x:c>
      <x:c r="K538" s="11" t="n">
        <x:f>SUM(SalesLines!R1321,SalesLines!R1322,SalesLines!R1323)</x:f>
        <x:v>7</x:v>
      </x:c>
      <x:c r="L538" s="11" t="n">
        <x:f>SUM(SalesLines!S1321,SalesLines!S1322,SalesLines!S1323)</x:f>
        <x:v>4</x:v>
      </x:c>
      <x:c r="M538" s="8" t="n">
        <x:f>DATE(YEAR(C538),MONTH(C538),1)</x:f>
        <x:v>45839</x:v>
      </x:c>
    </x:row>
    <x:row r="539" ht="22" customHeight="1">
      <x:c r="A539" s="2" t="str">
        <x:v>O00535</x:v>
      </x:c>
      <x:c r="B539" s="2" t="str">
        <x:v>C0006</x:v>
      </x:c>
      <x:c r="C539" s="7" t="n">
        <x:v>45970</x:v>
      </x:c>
      <x:c r="D539" s="2" t="str">
        <x:v>Completed</x:v>
      </x:c>
      <x:c r="E539" s="2" t="str">
        <x:v>East</x:v>
      </x:c>
      <x:c r="F539" s="2" t="str">
        <x:v>Online</x:v>
      </x:c>
      <x:c r="G539" s="9" t="n">
        <x:f>SUM(SalesLines!Q1324,SalesLines!Q1325,SalesLines!Q1326)</x:f>
        <x:v>1036</x:v>
      </x:c>
      <x:c r="H539" s="9" t="n">
        <x:f>SUM(SalesLines!M1324,SalesLines!M1325,SalesLines!M1326)</x:f>
        <x:v>1136</x:v>
      </x:c>
      <x:c r="I539" s="9" t="n">
        <x:f>SUM(SalesLines!N1324,SalesLines!N1325,SalesLines!N1326)</x:f>
        <x:v>100.00000000000001</x:v>
      </x:c>
      <x:c r="J539" s="9" t="n">
        <x:f>SUM(SalesLines!P1324,SalesLines!P1325,SalesLines!P1326)</x:f>
        <x:v>0</x:v>
      </x:c>
      <x:c r="K539" s="11" t="n">
        <x:f>SUM(SalesLines!R1324,SalesLines!R1325,SalesLines!R1326)</x:f>
        <x:v>9</x:v>
      </x:c>
      <x:c r="L539" s="11" t="n">
        <x:f>SUM(SalesLines!S1324,SalesLines!S1325,SalesLines!S1326)</x:f>
        <x:v>0</x:v>
      </x:c>
      <x:c r="M539" s="8" t="n">
        <x:f>DATE(YEAR(C539),MONTH(C539),1)</x:f>
        <x:v>45962</x:v>
      </x:c>
    </x:row>
    <x:row r="540" ht="22" customHeight="1">
      <x:c r="A540" s="2" t="str">
        <x:v>O00536</x:v>
      </x:c>
      <x:c r="B540" s="2" t="str">
        <x:v>C0236</x:v>
      </x:c>
      <x:c r="C540" s="7" t="n">
        <x:v>45781</x:v>
      </x:c>
      <x:c r="D540" s="2" t="str">
        <x:v>Completed</x:v>
      </x:c>
      <x:c r="E540" s="2" t="str">
        <x:v>West</x:v>
      </x:c>
      <x:c r="F540" s="2" t="str">
        <x:v>Online</x:v>
      </x:c>
      <x:c r="G540" s="9" t="n">
        <x:f>SUM(SalesLines!Q1327)</x:f>
        <x:v>433.6</x:v>
      </x:c>
      <x:c r="H540" s="9" t="n">
        <x:f>SUM(SalesLines!M1327)</x:f>
        <x:v>542</x:v>
      </x:c>
      <x:c r="I540" s="9" t="n">
        <x:f>SUM(SalesLines!N1327)</x:f>
        <x:v>108.4</x:v>
      </x:c>
      <x:c r="J540" s="9" t="n">
        <x:f>SUM(SalesLines!P1327)</x:f>
        <x:v>0</x:v>
      </x:c>
      <x:c r="K540" s="11" t="n">
        <x:f>SUM(SalesLines!R1327)</x:f>
        <x:v>2</x:v>
      </x:c>
      <x:c r="L540" s="11" t="n">
        <x:f>SUM(SalesLines!S1327)</x:f>
        <x:v>0</x:v>
      </x:c>
      <x:c r="M540" s="8" t="n">
        <x:f>DATE(YEAR(C540),MONTH(C540),1)</x:f>
        <x:v>45778</x:v>
      </x:c>
    </x:row>
    <x:row r="541" ht="22" customHeight="1">
      <x:c r="A541" s="2" t="str">
        <x:v>O00537</x:v>
      </x:c>
      <x:c r="B541" s="2" t="str">
        <x:v>C0104</x:v>
      </x:c>
      <x:c r="C541" s="7" t="n">
        <x:v>45665</x:v>
      </x:c>
      <x:c r="D541" s="2" t="str">
        <x:v>Completed</x:v>
      </x:c>
      <x:c r="E541" s="2" t="str">
        <x:v>North</x:v>
      </x:c>
      <x:c r="F541" s="2" t="str">
        <x:v>Store</x:v>
      </x:c>
      <x:c r="G541" s="9" t="n">
        <x:f>SUM(SalesLines!Q1328)</x:f>
        <x:v>-1.1368683772161603e-13</x:v>
      </x:c>
      <x:c r="H541" s="9" t="n">
        <x:f>SUM(SalesLines!M1328)</x:f>
        <x:v>807</x:v>
      </x:c>
      <x:c r="I541" s="9" t="n">
        <x:f>SUM(SalesLines!N1328)</x:f>
        <x:v>80.7</x:v>
      </x:c>
      <x:c r="J541" s="9" t="n">
        <x:f>SUM(SalesLines!P1328)</x:f>
        <x:v>726.3000000000001</x:v>
      </x:c>
      <x:c r="K541" s="11" t="n">
        <x:f>SUM(SalesLines!R1328)</x:f>
        <x:v>3</x:v>
      </x:c>
      <x:c r="L541" s="11" t="n">
        <x:f>SUM(SalesLines!S1328)</x:f>
        <x:v>3</x:v>
      </x:c>
      <x:c r="M541" s="8" t="n">
        <x:f>DATE(YEAR(C541),MONTH(C541),1)</x:f>
        <x:v>45658</x:v>
      </x:c>
    </x:row>
    <x:row r="542" ht="22" customHeight="1">
      <x:c r="A542" s="2" t="str">
        <x:v>O00538</x:v>
      </x:c>
      <x:c r="B542" s="2" t="str">
        <x:v>C0242</x:v>
      </x:c>
      <x:c r="C542" s="7" t="n">
        <x:v>45984</x:v>
      </x:c>
      <x:c r="D542" s="2" t="str">
        <x:v>Completed</x:v>
      </x:c>
      <x:c r="E542" s="2" t="str">
        <x:v>South</x:v>
      </x:c>
      <x:c r="F542" s="2" t="str">
        <x:v>Store</x:v>
      </x:c>
      <x:c r="G542" s="9" t="n">
        <x:f>SUM(SalesLines!Q1329)</x:f>
        <x:v>219.45</x:v>
      </x:c>
      <x:c r="H542" s="9" t="n">
        <x:f>SUM(SalesLines!M1329)</x:f>
        <x:v>231</x:v>
      </x:c>
      <x:c r="I542" s="9" t="n">
        <x:f>SUM(SalesLines!N1329)</x:f>
        <x:v>11.55</x:v>
      </x:c>
      <x:c r="J542" s="9" t="n">
        <x:f>SUM(SalesLines!P1329)</x:f>
        <x:v>0</x:v>
      </x:c>
      <x:c r="K542" s="11" t="n">
        <x:f>SUM(SalesLines!R1329)</x:f>
        <x:v>1</x:v>
      </x:c>
      <x:c r="L542" s="11" t="n">
        <x:f>SUM(SalesLines!S1329)</x:f>
        <x:v>0</x:v>
      </x:c>
      <x:c r="M542" s="8" t="n">
        <x:f>DATE(YEAR(C542),MONTH(C542),1)</x:f>
        <x:v>45962</x:v>
      </x:c>
    </x:row>
    <x:row r="543" ht="22" customHeight="1">
      <x:c r="A543" s="2" t="str">
        <x:v>O00539</x:v>
      </x:c>
      <x:c r="B543" s="2" t="str">
        <x:v>C0112</x:v>
      </x:c>
      <x:c r="C543" s="7" t="n">
        <x:v>45695</x:v>
      </x:c>
      <x:c r="D543" s="2" t="str">
        <x:v>Completed</x:v>
      </x:c>
      <x:c r="E543" s="2" t="str">
        <x:v>South</x:v>
      </x:c>
      <x:c r="F543" s="2" t="str">
        <x:v>Store</x:v>
      </x:c>
      <x:c r="G543" s="9" t="n">
        <x:f>SUM(SalesLines!Q1330)</x:f>
        <x:v>134</x:v>
      </x:c>
      <x:c r="H543" s="9" t="n">
        <x:f>SUM(SalesLines!M1330)</x:f>
        <x:v>134</x:v>
      </x:c>
      <x:c r="I543" s="9" t="n">
        <x:f>SUM(SalesLines!N1330)</x:f>
        <x:v>0</x:v>
      </x:c>
      <x:c r="J543" s="9" t="n">
        <x:f>SUM(SalesLines!P1330)</x:f>
        <x:v>0</x:v>
      </x:c>
      <x:c r="K543" s="11" t="n">
        <x:f>SUM(SalesLines!R1330)</x:f>
        <x:v>1</x:v>
      </x:c>
      <x:c r="L543" s="11" t="n">
        <x:f>SUM(SalesLines!S1330)</x:f>
        <x:v>0</x:v>
      </x:c>
      <x:c r="M543" s="8" t="n">
        <x:f>DATE(YEAR(C543),MONTH(C543),1)</x:f>
        <x:v>45689</x:v>
      </x:c>
    </x:row>
    <x:row r="544" ht="22" customHeight="1">
      <x:c r="A544" s="2" t="str">
        <x:v>O00540</x:v>
      </x:c>
      <x:c r="B544" s="2" t="str">
        <x:v>C0098</x:v>
      </x:c>
      <x:c r="C544" s="7" t="n">
        <x:v>45828</x:v>
      </x:c>
      <x:c r="D544" s="2" t="str">
        <x:v>Completed</x:v>
      </x:c>
      <x:c r="E544" s="2" t="str">
        <x:v>West</x:v>
      </x:c>
      <x:c r="F544" s="2" t="str">
        <x:v>Online</x:v>
      </x:c>
      <x:c r="G544" s="9" t="n">
        <x:f>SUM(SalesLines!Q1331)</x:f>
        <x:v>756.2</x:v>
      </x:c>
      <x:c r="H544" s="9" t="n">
        <x:f>SUM(SalesLines!M1331)</x:f>
        <x:v>796</x:v>
      </x:c>
      <x:c r="I544" s="9" t="n">
        <x:f>SUM(SalesLines!N1331)</x:f>
        <x:v>39.800000000000004</x:v>
      </x:c>
      <x:c r="J544" s="9" t="n">
        <x:f>SUM(SalesLines!P1331)</x:f>
        <x:v>0</x:v>
      </x:c>
      <x:c r="K544" s="11" t="n">
        <x:f>SUM(SalesLines!R1331)</x:f>
        <x:v>4</x:v>
      </x:c>
      <x:c r="L544" s="11" t="n">
        <x:f>SUM(SalesLines!S1331)</x:f>
        <x:v>0</x:v>
      </x:c>
      <x:c r="M544" s="8" t="n">
        <x:f>DATE(YEAR(C544),MONTH(C544),1)</x:f>
        <x:v>45809</x:v>
      </x:c>
    </x:row>
    <x:row r="545" ht="22" customHeight="1">
      <x:c r="A545" s="2" t="str">
        <x:v>O00541</x:v>
      </x:c>
      <x:c r="B545" s="2" t="str">
        <x:v>C0096</x:v>
      </x:c>
      <x:c r="C545" s="7" t="n">
        <x:v>45743</x:v>
      </x:c>
      <x:c r="D545" s="2" t="str">
        <x:v>Completed</x:v>
      </x:c>
      <x:c r="E545" s="2" t="str">
        <x:v>North</x:v>
      </x:c>
      <x:c r="F545" s="2" t="str">
        <x:v>Online</x:v>
      </x:c>
      <x:c r="G545" s="9" t="n">
        <x:f>SUM(SalesLines!Q1332,SalesLines!Q1333,SalesLines!Q1334)</x:f>
        <x:v>941</x:v>
      </x:c>
      <x:c r="H545" s="9" t="n">
        <x:f>SUM(SalesLines!M1332,SalesLines!M1333,SalesLines!M1334)</x:f>
        <x:v>1021</x:v>
      </x:c>
      <x:c r="I545" s="9" t="n">
        <x:f>SUM(SalesLines!N1332,SalesLines!N1333,SalesLines!N1334)</x:f>
        <x:v>80</x:v>
      </x:c>
      <x:c r="J545" s="9" t="n">
        <x:f>SUM(SalesLines!P1332,SalesLines!P1333,SalesLines!P1334)</x:f>
        <x:v>0</x:v>
      </x:c>
      <x:c r="K545" s="11" t="n">
        <x:f>SUM(SalesLines!R1332,SalesLines!R1333,SalesLines!R1334)</x:f>
        <x:v>11</x:v>
      </x:c>
      <x:c r="L545" s="11" t="n">
        <x:f>SUM(SalesLines!S1332,SalesLines!S1333,SalesLines!S1334)</x:f>
        <x:v>0</x:v>
      </x:c>
      <x:c r="M545" s="8" t="n">
        <x:f>DATE(YEAR(C545),MONTH(C545),1)</x:f>
        <x:v>45717</x:v>
      </x:c>
    </x:row>
    <x:row r="546" ht="22" customHeight="1">
      <x:c r="A546" s="2" t="str">
        <x:v>O00542</x:v>
      </x:c>
      <x:c r="B546" s="2" t="str">
        <x:v>C0283</x:v>
      </x:c>
      <x:c r="C546" s="7" t="n">
        <x:v>45717</x:v>
      </x:c>
      <x:c r="D546" s="2" t="str">
        <x:v>Completed</x:v>
      </x:c>
      <x:c r="E546" s="2" t="str">
        <x:v>East</x:v>
      </x:c>
      <x:c r="F546" s="2" t="str">
        <x:v>Store</x:v>
      </x:c>
      <x:c r="G546" s="9" t="n">
        <x:f>SUM(SalesLines!Q1335,SalesLines!Q1336)</x:f>
        <x:v>680</x:v>
      </x:c>
      <x:c r="H546" s="9" t="n">
        <x:f>SUM(SalesLines!M1335,SalesLines!M1336)</x:f>
        <x:v>803</x:v>
      </x:c>
      <x:c r="I546" s="9" t="n">
        <x:f>SUM(SalesLines!N1335,SalesLines!N1336)</x:f>
        <x:v>123</x:v>
      </x:c>
      <x:c r="J546" s="9" t="n">
        <x:f>SUM(SalesLines!P1335,SalesLines!P1336)</x:f>
        <x:v>0</x:v>
      </x:c>
      <x:c r="K546" s="11" t="n">
        <x:f>SUM(SalesLines!R1335,SalesLines!R1336)</x:f>
        <x:v>6</x:v>
      </x:c>
      <x:c r="L546" s="11" t="n">
        <x:f>SUM(SalesLines!S1335,SalesLines!S1336)</x:f>
        <x:v>0</x:v>
      </x:c>
      <x:c r="M546" s="8" t="n">
        <x:f>DATE(YEAR(C546),MONTH(C546),1)</x:f>
        <x:v>45717</x:v>
      </x:c>
    </x:row>
    <x:row r="547" ht="22" customHeight="1">
      <x:c r="A547" s="2" t="str">
        <x:v>O00543</x:v>
      </x:c>
      <x:c r="B547" s="2" t="str">
        <x:v>C0034</x:v>
      </x:c>
      <x:c r="C547" s="7" t="n">
        <x:v>45816</x:v>
      </x:c>
      <x:c r="D547" s="2" t="str">
        <x:v>Completed</x:v>
      </x:c>
      <x:c r="E547" s="2" t="str">
        <x:v>East</x:v>
      </x:c>
      <x:c r="F547" s="2" t="str">
        <x:v>Store</x:v>
      </x:c>
      <x:c r="G547" s="9" t="n">
        <x:f>SUM(SalesLines!Q1337,SalesLines!Q1338,SalesLines!Q1339)</x:f>
        <x:v>1165.0500000000002</x:v>
      </x:c>
      <x:c r="H547" s="9" t="n">
        <x:f>SUM(SalesLines!M1337,SalesLines!M1338,SalesLines!M1339)</x:f>
        <x:v>1279</x:v>
      </x:c>
      <x:c r="I547" s="9" t="n">
        <x:f>SUM(SalesLines!N1337,SalesLines!N1338,SalesLines!N1339)</x:f>
        <x:v>113.95000000000002</x:v>
      </x:c>
      <x:c r="J547" s="9" t="n">
        <x:f>SUM(SalesLines!P1337,SalesLines!P1338,SalesLines!P1339)</x:f>
        <x:v>0</x:v>
      </x:c>
      <x:c r="K547" s="11" t="n">
        <x:f>SUM(SalesLines!R1337,SalesLines!R1338,SalesLines!R1339)</x:f>
        <x:v>9</x:v>
      </x:c>
      <x:c r="L547" s="11" t="n">
        <x:f>SUM(SalesLines!S1337,SalesLines!S1338,SalesLines!S1339)</x:f>
        <x:v>0</x:v>
      </x:c>
      <x:c r="M547" s="8" t="n">
        <x:f>DATE(YEAR(C547),MONTH(C547),1)</x:f>
        <x:v>45809</x:v>
      </x:c>
    </x:row>
    <x:row r="548" ht="22" customHeight="1">
      <x:c r="A548" s="2" t="str">
        <x:v>O00544</x:v>
      </x:c>
      <x:c r="B548" s="2" t="str">
        <x:v>C0275</x:v>
      </x:c>
      <x:c r="C548" s="7" t="n">
        <x:v>45974</x:v>
      </x:c>
      <x:c r="D548" s="2" t="str">
        <x:v>Completed</x:v>
      </x:c>
      <x:c r="E548" s="2" t="str">
        <x:v>East</x:v>
      </x:c>
      <x:c r="F548" s="2" t="str">
        <x:v>Store</x:v>
      </x:c>
      <x:c r="G548" s="9" t="n">
        <x:f>SUM(SalesLines!Q1340,SalesLines!Q1341,SalesLines!Q1342,SalesLines!Q1343)</x:f>
        <x:v>1397.4</x:v>
      </x:c>
      <x:c r="H548" s="9" t="n">
        <x:f>SUM(SalesLines!M1340,SalesLines!M1341,SalesLines!M1342,SalesLines!M1343)</x:f>
        <x:v>2762</x:v>
      </x:c>
      <x:c r="I548" s="9" t="n">
        <x:f>SUM(SalesLines!N1340,SalesLines!N1341,SalesLines!N1342,SalesLines!N1343)</x:f>
        <x:v>318.6</x:v>
      </x:c>
      <x:c r="J548" s="9" t="n">
        <x:f>SUM(SalesLines!P1340,SalesLines!P1341,SalesLines!P1342,SalesLines!P1343)</x:f>
        <x:v>1046</x:v>
      </x:c>
      <x:c r="K548" s="11" t="n">
        <x:f>SUM(SalesLines!R1340,SalesLines!R1341,SalesLines!R1342,SalesLines!R1343)</x:f>
        <x:v>12</x:v>
      </x:c>
      <x:c r="L548" s="11" t="n">
        <x:f>SUM(SalesLines!S1340,SalesLines!S1341,SalesLines!S1342,SalesLines!S1343)</x:f>
        <x:v>5</x:v>
      </x:c>
      <x:c r="M548" s="8" t="n">
        <x:f>DATE(YEAR(C548),MONTH(C548),1)</x:f>
        <x:v>45962</x:v>
      </x:c>
    </x:row>
    <x:row r="549" ht="22" customHeight="1">
      <x:c r="A549" s="2" t="str">
        <x:v>O00545</x:v>
      </x:c>
      <x:c r="B549" s="2" t="str">
        <x:v>C0070</x:v>
      </x:c>
      <x:c r="C549" s="7" t="n">
        <x:v>45818</x:v>
      </x:c>
      <x:c r="D549" s="2" t="str">
        <x:v>Completed</x:v>
      </x:c>
      <x:c r="E549" s="2" t="str">
        <x:v>West</x:v>
      </x:c>
      <x:c r="F549" s="2" t="str">
        <x:v>Store</x:v>
      </x:c>
      <x:c r="G549" s="9" t="n">
        <x:f>SUM(SalesLines!Q1344)</x:f>
        <x:v>564</x:v>
      </x:c>
      <x:c r="H549" s="9" t="n">
        <x:f>SUM(SalesLines!M1344)</x:f>
        <x:v>564</x:v>
      </x:c>
      <x:c r="I549" s="9" t="n">
        <x:f>SUM(SalesLines!N1344)</x:f>
        <x:v>0</x:v>
      </x:c>
      <x:c r="J549" s="9" t="n">
        <x:f>SUM(SalesLines!P1344)</x:f>
        <x:v>0</x:v>
      </x:c>
      <x:c r="K549" s="11" t="n">
        <x:f>SUM(SalesLines!R1344)</x:f>
        <x:v>3</x:v>
      </x:c>
      <x:c r="L549" s="11" t="n">
        <x:f>SUM(SalesLines!S1344)</x:f>
        <x:v>0</x:v>
      </x:c>
      <x:c r="M549" s="8" t="n">
        <x:f>DATE(YEAR(C549),MONTH(C549),1)</x:f>
        <x:v>45809</x:v>
      </x:c>
    </x:row>
    <x:row r="550" ht="22" customHeight="1">
      <x:c r="A550" s="2" t="str">
        <x:v>O00546</x:v>
      </x:c>
      <x:c r="B550" s="2" t="str">
        <x:v>C0196</x:v>
      </x:c>
      <x:c r="C550" s="7" t="n">
        <x:v>45663</x:v>
      </x:c>
      <x:c r="D550" s="2" t="str">
        <x:v>Completed</x:v>
      </x:c>
      <x:c r="E550" s="2" t="str">
        <x:v>West</x:v>
      </x:c>
      <x:c r="F550" s="2" t="str">
        <x:v>Store</x:v>
      </x:c>
      <x:c r="G550" s="9" t="n">
        <x:f>SUM(SalesLines!Q1345,SalesLines!Q1346,SalesLines!Q1347)</x:f>
        <x:v>959.6999999999999</x:v>
      </x:c>
      <x:c r="H550" s="9" t="n">
        <x:f>SUM(SalesLines!M1345,SalesLines!M1346,SalesLines!M1347)</x:f>
        <x:v>982</x:v>
      </x:c>
      <x:c r="I550" s="9" t="n">
        <x:f>SUM(SalesLines!N1345,SalesLines!N1346,SalesLines!N1347)</x:f>
        <x:v>22.3</x:v>
      </x:c>
      <x:c r="J550" s="9" t="n">
        <x:f>SUM(SalesLines!P1345,SalesLines!P1346,SalesLines!P1347)</x:f>
        <x:v>0</x:v>
      </x:c>
      <x:c r="K550" s="11" t="n">
        <x:f>SUM(SalesLines!R1345,SalesLines!R1346,SalesLines!R1347)</x:f>
        <x:v>9</x:v>
      </x:c>
      <x:c r="L550" s="11" t="n">
        <x:f>SUM(SalesLines!S1345,SalesLines!S1346,SalesLines!S1347)</x:f>
        <x:v>0</x:v>
      </x:c>
      <x:c r="M550" s="8" t="n">
        <x:f>DATE(YEAR(C550),MONTH(C550),1)</x:f>
        <x:v>45658</x:v>
      </x:c>
    </x:row>
    <x:row r="551" ht="22" customHeight="1">
      <x:c r="A551" s="2" t="str">
        <x:v>O00547</x:v>
      </x:c>
      <x:c r="B551" s="2" t="str">
        <x:v>C0099</x:v>
      </x:c>
      <x:c r="C551" s="7" t="n">
        <x:v>45967</x:v>
      </x:c>
      <x:c r="D551" s="2" t="str">
        <x:v>Completed</x:v>
      </x:c>
      <x:c r="E551" s="2" t="str">
        <x:v>West</x:v>
      </x:c>
      <x:c r="F551" s="2" t="str">
        <x:v>Online</x:v>
      </x:c>
      <x:c r="G551" s="9" t="n">
        <x:f>SUM(SalesLines!Q1348,SalesLines!Q1349)</x:f>
        <x:v>720.6999999999999</x:v>
      </x:c>
      <x:c r="H551" s="9" t="n">
        <x:f>SUM(SalesLines!M1348,SalesLines!M1349)</x:f>
        <x:v>878</x:v>
      </x:c>
      <x:c r="I551" s="9" t="n">
        <x:f>SUM(SalesLines!N1348,SalesLines!N1349)</x:f>
        <x:v>157.3</x:v>
      </x:c>
      <x:c r="J551" s="9" t="n">
        <x:f>SUM(SalesLines!P1348,SalesLines!P1349)</x:f>
        <x:v>0</x:v>
      </x:c>
      <x:c r="K551" s="11" t="n">
        <x:f>SUM(SalesLines!R1348,SalesLines!R1349)</x:f>
        <x:v>5</x:v>
      </x:c>
      <x:c r="L551" s="11" t="n">
        <x:f>SUM(SalesLines!S1348,SalesLines!S1349)</x:f>
        <x:v>0</x:v>
      </x:c>
      <x:c r="M551" s="8" t="n">
        <x:f>DATE(YEAR(C551),MONTH(C551),1)</x:f>
        <x:v>45962</x:v>
      </x:c>
    </x:row>
    <x:row r="552" ht="22" customHeight="1">
      <x:c r="A552" s="2" t="str">
        <x:v>O00548</x:v>
      </x:c>
      <x:c r="B552" s="2" t="str">
        <x:v>C0274</x:v>
      </x:c>
      <x:c r="C552" s="7" t="n">
        <x:v>45922</x:v>
      </x:c>
      <x:c r="D552" s="2" t="str">
        <x:v>Completed</x:v>
      </x:c>
      <x:c r="E552" s="2" t="str">
        <x:v>North</x:v>
      </x:c>
      <x:c r="F552" s="2" t="str">
        <x:v>Online</x:v>
      </x:c>
      <x:c r="G552" s="9" t="n">
        <x:f>SUM(SalesLines!Q1350)</x:f>
        <x:v>222.3</x:v>
      </x:c>
      <x:c r="H552" s="9" t="n">
        <x:f>SUM(SalesLines!M1350)</x:f>
        <x:v>234</x:v>
      </x:c>
      <x:c r="I552" s="9" t="n">
        <x:f>SUM(SalesLines!N1350)</x:f>
        <x:v>11.700000000000001</x:v>
      </x:c>
      <x:c r="J552" s="9" t="n">
        <x:f>SUM(SalesLines!P1350)</x:f>
        <x:v>0</x:v>
      </x:c>
      <x:c r="K552" s="11" t="n">
        <x:f>SUM(SalesLines!R1350)</x:f>
        <x:v>3</x:v>
      </x:c>
      <x:c r="L552" s="11" t="n">
        <x:f>SUM(SalesLines!S1350)</x:f>
        <x:v>0</x:v>
      </x:c>
      <x:c r="M552" s="8" t="n">
        <x:f>DATE(YEAR(C552),MONTH(C552),1)</x:f>
        <x:v>45901</x:v>
      </x:c>
    </x:row>
    <x:row r="553" ht="22" customHeight="1">
      <x:c r="A553" s="2" t="str">
        <x:v>O00549</x:v>
      </x:c>
      <x:c r="B553" s="2" t="str">
        <x:v>C0246</x:v>
      </x:c>
      <x:c r="C553" s="7" t="n">
        <x:v>45820</x:v>
      </x:c>
      <x:c r="D553" s="2" t="str">
        <x:v>Completed</x:v>
      </x:c>
      <x:c r="E553" s="2" t="str">
        <x:v>South</x:v>
      </x:c>
      <x:c r="F553" s="2" t="str">
        <x:v>Store</x:v>
      </x:c>
      <x:c r="G553" s="9" t="n">
        <x:f>SUM(SalesLines!Q1351,SalesLines!Q1352)</x:f>
        <x:v>1357.8</x:v>
      </x:c>
      <x:c r="H553" s="9" t="n">
        <x:f>SUM(SalesLines!M1351,SalesLines!M1352)</x:f>
        <x:v>1824</x:v>
      </x:c>
      <x:c r="I553" s="9" t="n">
        <x:f>SUM(SalesLines!N1351,SalesLines!N1352)</x:f>
        <x:v>226.2</x:v>
      </x:c>
      <x:c r="J553" s="9" t="n">
        <x:f>SUM(SalesLines!P1351,SalesLines!P1352)</x:f>
        <x:v>240</x:v>
      </x:c>
      <x:c r="K553" s="11" t="n">
        <x:f>SUM(SalesLines!R1351,SalesLines!R1352)</x:f>
        <x:v>7</x:v>
      </x:c>
      <x:c r="L553" s="11" t="n">
        <x:f>SUM(SalesLines!S1351,SalesLines!S1352)</x:f>
        <x:v>1</x:v>
      </x:c>
      <x:c r="M553" s="8" t="n">
        <x:f>DATE(YEAR(C553),MONTH(C553),1)</x:f>
        <x:v>45809</x:v>
      </x:c>
    </x:row>
    <x:row r="554" ht="22" customHeight="1">
      <x:c r="A554" s="2" t="str">
        <x:v>O00550</x:v>
      </x:c>
      <x:c r="B554" s="2" t="str">
        <x:v>C0097</x:v>
      </x:c>
      <x:c r="C554" s="7" t="n">
        <x:v>45797</x:v>
      </x:c>
      <x:c r="D554" s="2" t="str">
        <x:v>Completed</x:v>
      </x:c>
      <x:c r="E554" s="2" t="str">
        <x:v>West</x:v>
      </x:c>
      <x:c r="F554" s="2" t="str">
        <x:v>Online</x:v>
      </x:c>
      <x:c r="G554" s="9" t="n">
        <x:f>SUM(SalesLines!Q1353,SalesLines!Q1354,SalesLines!Q1355,SalesLines!Q1356)</x:f>
        <x:v>1190.2</x:v>
      </x:c>
      <x:c r="H554" s="9" t="n">
        <x:f>SUM(SalesLines!M1353,SalesLines!M1354,SalesLines!M1355,SalesLines!M1356)</x:f>
        <x:v>1337</x:v>
      </x:c>
      <x:c r="I554" s="9" t="n">
        <x:f>SUM(SalesLines!N1353,SalesLines!N1354,SalesLines!N1355,SalesLines!N1356)</x:f>
        <x:v>146.80000000000004</x:v>
      </x:c>
      <x:c r="J554" s="9" t="n">
        <x:f>SUM(SalesLines!P1353,SalesLines!P1354,SalesLines!P1355,SalesLines!P1356)</x:f>
        <x:v>0</x:v>
      </x:c>
      <x:c r="K554" s="11" t="n">
        <x:f>SUM(SalesLines!R1353,SalesLines!R1354,SalesLines!R1355,SalesLines!R1356)</x:f>
        <x:v>7</x:v>
      </x:c>
      <x:c r="L554" s="11" t="n">
        <x:f>SUM(SalesLines!S1353,SalesLines!S1354,SalesLines!S1355,SalesLines!S1356)</x:f>
        <x:v>0</x:v>
      </x:c>
      <x:c r="M554" s="8" t="n">
        <x:f>DATE(YEAR(C554),MONTH(C554),1)</x:f>
        <x:v>45778</x:v>
      </x:c>
    </x:row>
    <x:row r="555" ht="22" customHeight="1">
      <x:c r="A555" s="2" t="str">
        <x:v>O00551</x:v>
      </x:c>
      <x:c r="B555" s="2" t="str">
        <x:v>C0086</x:v>
      </x:c>
      <x:c r="C555" s="7" t="n">
        <x:v>45791</x:v>
      </x:c>
      <x:c r="D555" s="2" t="str">
        <x:v>Completed</x:v>
      </x:c>
      <x:c r="E555" s="2" t="str">
        <x:v>North</x:v>
      </x:c>
      <x:c r="F555" s="2" t="str">
        <x:v>Online</x:v>
      </x:c>
      <x:c r="G555" s="9" t="n">
        <x:f>SUM(SalesLines!Q1357,SalesLines!Q1358,SalesLines!Q1359,SalesLines!Q1360)</x:f>
        <x:v>953.0500000000001</x:v>
      </x:c>
      <x:c r="H555" s="9" t="n">
        <x:f>SUM(SalesLines!M1357,SalesLines!M1358,SalesLines!M1359,SalesLines!M1360)</x:f>
        <x:v>1106</x:v>
      </x:c>
      <x:c r="I555" s="9" t="n">
        <x:f>SUM(SalesLines!N1357,SalesLines!N1358,SalesLines!N1359,SalesLines!N1360)</x:f>
        <x:v>152.95000000000002</x:v>
      </x:c>
      <x:c r="J555" s="9" t="n">
        <x:f>SUM(SalesLines!P1357,SalesLines!P1358,SalesLines!P1359,SalesLines!P1360)</x:f>
        <x:v>0</x:v>
      </x:c>
      <x:c r="K555" s="11" t="n">
        <x:f>SUM(SalesLines!R1357,SalesLines!R1358,SalesLines!R1359,SalesLines!R1360)</x:f>
        <x:v>8</x:v>
      </x:c>
      <x:c r="L555" s="11" t="n">
        <x:f>SUM(SalesLines!S1357,SalesLines!S1358,SalesLines!S1359,SalesLines!S1360)</x:f>
        <x:v>0</x:v>
      </x:c>
      <x:c r="M555" s="8" t="n">
        <x:f>DATE(YEAR(C555),MONTH(C555),1)</x:f>
        <x:v>45778</x:v>
      </x:c>
    </x:row>
    <x:row r="556" ht="22" customHeight="1">
      <x:c r="A556" s="2" t="str">
        <x:v>O00552</x:v>
      </x:c>
      <x:c r="B556" s="2" t="str">
        <x:v>C0083</x:v>
      </x:c>
      <x:c r="C556" s="7" t="n">
        <x:v>45726</x:v>
      </x:c>
      <x:c r="D556" s="2" t="str">
        <x:v>Completed</x:v>
      </x:c>
      <x:c r="E556" s="2" t="str">
        <x:v>West</x:v>
      </x:c>
      <x:c r="F556" s="2" t="str">
        <x:v>Online</x:v>
      </x:c>
      <x:c r="G556" s="9" t="n">
        <x:f>SUM(SalesLines!Q1361,SalesLines!Q1362,SalesLines!Q1363,SalesLines!Q1364)</x:f>
        <x:v>1567.5</x:v>
      </x:c>
      <x:c r="H556" s="9" t="n">
        <x:f>SUM(SalesLines!M1361,SalesLines!M1362,SalesLines!M1363,SalesLines!M1364)</x:f>
        <x:v>1767</x:v>
      </x:c>
      <x:c r="I556" s="9" t="n">
        <x:f>SUM(SalesLines!N1361,SalesLines!N1362,SalesLines!N1363,SalesLines!N1364)</x:f>
        <x:v>199.5</x:v>
      </x:c>
      <x:c r="J556" s="9" t="n">
        <x:f>SUM(SalesLines!P1361,SalesLines!P1362,SalesLines!P1363,SalesLines!P1364)</x:f>
        <x:v>0</x:v>
      </x:c>
      <x:c r="K556" s="11" t="n">
        <x:f>SUM(SalesLines!R1361,SalesLines!R1362,SalesLines!R1363,SalesLines!R1364)</x:f>
        <x:v>10</x:v>
      </x:c>
      <x:c r="L556" s="11" t="n">
        <x:f>SUM(SalesLines!S1361,SalesLines!S1362,SalesLines!S1363,SalesLines!S1364)</x:f>
        <x:v>0</x:v>
      </x:c>
      <x:c r="M556" s="8" t="n">
        <x:f>DATE(YEAR(C556),MONTH(C556),1)</x:f>
        <x:v>45717</x:v>
      </x:c>
    </x:row>
    <x:row r="557" ht="22" customHeight="1">
      <x:c r="A557" s="2" t="str">
        <x:v>O00553</x:v>
      </x:c>
      <x:c r="B557" s="2" t="str">
        <x:v>C0192</x:v>
      </x:c>
      <x:c r="C557" s="7" t="n">
        <x:v>46006</x:v>
      </x:c>
      <x:c r="D557" s="2" t="str">
        <x:v>Completed</x:v>
      </x:c>
      <x:c r="E557" s="2" t="str">
        <x:v>South</x:v>
      </x:c>
      <x:c r="F557" s="2" t="str">
        <x:v>Store</x:v>
      </x:c>
      <x:c r="G557" s="9" t="n">
        <x:f>SUM(SalesLines!Q1365,SalesLines!Q1366,SalesLines!Q1367)</x:f>
        <x:v>533.4</x:v>
      </x:c>
      <x:c r="H557" s="9" t="n">
        <x:f>SUM(SalesLines!M1365,SalesLines!M1366,SalesLines!M1367)</x:f>
        <x:v>608</x:v>
      </x:c>
      <x:c r="I557" s="9" t="n">
        <x:f>SUM(SalesLines!N1365,SalesLines!N1366,SalesLines!N1367)</x:f>
        <x:v>74.6</x:v>
      </x:c>
      <x:c r="J557" s="9" t="n">
        <x:f>SUM(SalesLines!P1365,SalesLines!P1366,SalesLines!P1367)</x:f>
        <x:v>0</x:v>
      </x:c>
      <x:c r="K557" s="11" t="n">
        <x:f>SUM(SalesLines!R1365,SalesLines!R1366,SalesLines!R1367)</x:f>
        <x:v>7</x:v>
      </x:c>
      <x:c r="L557" s="11" t="n">
        <x:f>SUM(SalesLines!S1365,SalesLines!S1366,SalesLines!S1367)</x:f>
        <x:v>0</x:v>
      </x:c>
      <x:c r="M557" s="8" t="n">
        <x:f>DATE(YEAR(C557),MONTH(C557),1)</x:f>
        <x:v>45992</x:v>
      </x:c>
    </x:row>
    <x:row r="558" ht="22" customHeight="1">
      <x:c r="A558" s="2" t="str">
        <x:v>O00554</x:v>
      </x:c>
      <x:c r="B558" s="2" t="str">
        <x:v>C0255</x:v>
      </x:c>
      <x:c r="C558" s="7" t="n">
        <x:v>45717</x:v>
      </x:c>
      <x:c r="D558" s="2" t="str">
        <x:v>Completed</x:v>
      </x:c>
      <x:c r="E558" s="2" t="str">
        <x:v>South</x:v>
      </x:c>
      <x:c r="F558" s="2" t="str">
        <x:v>Online</x:v>
      </x:c>
      <x:c r="G558" s="9" t="n">
        <x:f>SUM(SalesLines!Q1368,SalesLines!Q1369,SalesLines!Q1370)</x:f>
        <x:v>888.2</x:v>
      </x:c>
      <x:c r="H558" s="9" t="n">
        <x:f>SUM(SalesLines!M1368,SalesLines!M1369,SalesLines!M1370)</x:f>
        <x:v>972</x:v>
      </x:c>
      <x:c r="I558" s="9" t="n">
        <x:f>SUM(SalesLines!N1368,SalesLines!N1369,SalesLines!N1370)</x:f>
        <x:v>83.8</x:v>
      </x:c>
      <x:c r="J558" s="9" t="n">
        <x:f>SUM(SalesLines!P1368,SalesLines!P1369,SalesLines!P1370)</x:f>
        <x:v>0</x:v>
      </x:c>
      <x:c r="K558" s="11" t="n">
        <x:f>SUM(SalesLines!R1368,SalesLines!R1369,SalesLines!R1370)</x:f>
        <x:v>8</x:v>
      </x:c>
      <x:c r="L558" s="11" t="n">
        <x:f>SUM(SalesLines!S1368,SalesLines!S1369,SalesLines!S1370)</x:f>
        <x:v>0</x:v>
      </x:c>
      <x:c r="M558" s="8" t="n">
        <x:f>DATE(YEAR(C558),MONTH(C558),1)</x:f>
        <x:v>45717</x:v>
      </x:c>
    </x:row>
    <x:row r="559" ht="22" customHeight="1">
      <x:c r="A559" s="2" t="str">
        <x:v>O00555</x:v>
      </x:c>
      <x:c r="B559" s="2" t="str">
        <x:v>C0232</x:v>
      </x:c>
      <x:c r="C559" s="7" t="n">
        <x:v>45949</x:v>
      </x:c>
      <x:c r="D559" s="2" t="str">
        <x:v>Completed</x:v>
      </x:c>
      <x:c r="E559" s="2" t="str">
        <x:v>East</x:v>
      </x:c>
      <x:c r="F559" s="2" t="str">
        <x:v>Store</x:v>
      </x:c>
      <x:c r="G559" s="9" t="n">
        <x:f>SUM(SalesLines!Q1371,SalesLines!Q1372,SalesLines!Q1373,SalesLines!Q1374)</x:f>
        <x:v>3021.15</x:v>
      </x:c>
      <x:c r="H559" s="9" t="n">
        <x:f>SUM(SalesLines!M1371,SalesLines!M1372,SalesLines!M1373,SalesLines!M1374)</x:f>
        <x:v>3161</x:v>
      </x:c>
      <x:c r="I559" s="9" t="n">
        <x:f>SUM(SalesLines!N1371,SalesLines!N1372,SalesLines!N1373,SalesLines!N1374)</x:f>
        <x:v>139.85000000000002</x:v>
      </x:c>
      <x:c r="J559" s="9" t="n">
        <x:f>SUM(SalesLines!P1371,SalesLines!P1372,SalesLines!P1373,SalesLines!P1374)</x:f>
        <x:v>0</x:v>
      </x:c>
      <x:c r="K559" s="11" t="n">
        <x:f>SUM(SalesLines!R1371,SalesLines!R1372,SalesLines!R1373,SalesLines!R1374)</x:f>
        <x:v>13</x:v>
      </x:c>
      <x:c r="L559" s="11" t="n">
        <x:f>SUM(SalesLines!S1371,SalesLines!S1372,SalesLines!S1373,SalesLines!S1374)</x:f>
        <x:v>0</x:v>
      </x:c>
      <x:c r="M559" s="8" t="n">
        <x:f>DATE(YEAR(C559),MONTH(C559),1)</x:f>
        <x:v>45931</x:v>
      </x:c>
    </x:row>
    <x:row r="560" ht="22" customHeight="1">
      <x:c r="A560" s="2" t="str">
        <x:v>O00556</x:v>
      </x:c>
      <x:c r="B560" s="2" t="str">
        <x:v>C0048</x:v>
      </x:c>
      <x:c r="C560" s="7" t="n">
        <x:v>45929</x:v>
      </x:c>
      <x:c r="D560" s="2" t="str">
        <x:v>Completed</x:v>
      </x:c>
      <x:c r="E560" s="2" t="str">
        <x:v>East</x:v>
      </x:c>
      <x:c r="F560" s="2" t="str">
        <x:v>Store</x:v>
      </x:c>
      <x:c r="G560" s="9" t="n">
        <x:f>SUM(SalesLines!Q1375,SalesLines!Q1376)</x:f>
        <x:v>623</x:v>
      </x:c>
      <x:c r="H560" s="9" t="n">
        <x:f>SUM(SalesLines!M1375,SalesLines!M1376)</x:f>
        <x:v>623</x:v>
      </x:c>
      <x:c r="I560" s="9" t="n">
        <x:f>SUM(SalesLines!N1375,SalesLines!N1376)</x:f>
        <x:v>0</x:v>
      </x:c>
      <x:c r="J560" s="9" t="n">
        <x:f>SUM(SalesLines!P1375,SalesLines!P1376)</x:f>
        <x:v>0</x:v>
      </x:c>
      <x:c r="K560" s="11" t="n">
        <x:f>SUM(SalesLines!R1375,SalesLines!R1376)</x:f>
        <x:v>4</x:v>
      </x:c>
      <x:c r="L560" s="11" t="n">
        <x:f>SUM(SalesLines!S1375,SalesLines!S1376)</x:f>
        <x:v>0</x:v>
      </x:c>
      <x:c r="M560" s="8" t="n">
        <x:f>DATE(YEAR(C560),MONTH(C560),1)</x:f>
        <x:v>45901</x:v>
      </x:c>
    </x:row>
    <x:row r="561" ht="22" customHeight="1">
      <x:c r="A561" s="2" t="str">
        <x:v>O00557</x:v>
      </x:c>
      <x:c r="B561" s="2" t="str">
        <x:v>C0227</x:v>
      </x:c>
      <x:c r="C561" s="7" t="n">
        <x:v>45874</x:v>
      </x:c>
      <x:c r="D561" s="2" t="str">
        <x:v>Completed</x:v>
      </x:c>
      <x:c r="E561" s="2" t="str">
        <x:v>East</x:v>
      </x:c>
      <x:c r="F561" s="2" t="str">
        <x:v>Online</x:v>
      </x:c>
      <x:c r="G561" s="9" t="n">
        <x:f>SUM(SalesLines!Q1377)</x:f>
        <x:v>914.4</x:v>
      </x:c>
      <x:c r="H561" s="9" t="n">
        <x:f>SUM(SalesLines!M1377)</x:f>
        <x:v>1016</x:v>
      </x:c>
      <x:c r="I561" s="9" t="n">
        <x:f>SUM(SalesLines!N1377)</x:f>
        <x:v>101.60000000000001</x:v>
      </x:c>
      <x:c r="J561" s="9" t="n">
        <x:f>SUM(SalesLines!P1377)</x:f>
        <x:v>0</x:v>
      </x:c>
      <x:c r="K561" s="11" t="n">
        <x:f>SUM(SalesLines!R1377)</x:f>
        <x:v>4</x:v>
      </x:c>
      <x:c r="L561" s="11" t="n">
        <x:f>SUM(SalesLines!S1377)</x:f>
        <x:v>0</x:v>
      </x:c>
      <x:c r="M561" s="8" t="n">
        <x:f>DATE(YEAR(C561),MONTH(C561),1)</x:f>
        <x:v>45870</x:v>
      </x:c>
    </x:row>
    <x:row r="562" ht="22" customHeight="1">
      <x:c r="A562" s="2" t="str">
        <x:v>O00558</x:v>
      </x:c>
      <x:c r="B562" s="2" t="str">
        <x:v>C0252</x:v>
      </x:c>
      <x:c r="C562" s="7" t="n">
        <x:v>45953</x:v>
      </x:c>
      <x:c r="D562" s="2" t="str">
        <x:v>Completed</x:v>
      </x:c>
      <x:c r="E562" s="2" t="str">
        <x:v>West</x:v>
      </x:c>
      <x:c r="F562" s="2" t="str">
        <x:v>Online</x:v>
      </x:c>
      <x:c r="G562" s="9" t="n">
        <x:f>SUM(SalesLines!Q1378)</x:f>
        <x:v>255.6</x:v>
      </x:c>
      <x:c r="H562" s="9" t="n">
        <x:f>SUM(SalesLines!M1378)</x:f>
        <x:v>284</x:v>
      </x:c>
      <x:c r="I562" s="9" t="n">
        <x:f>SUM(SalesLines!N1378)</x:f>
        <x:v>28.400000000000002</x:v>
      </x:c>
      <x:c r="J562" s="9" t="n">
        <x:f>SUM(SalesLines!P1378)</x:f>
        <x:v>0</x:v>
      </x:c>
      <x:c r="K562" s="11" t="n">
        <x:f>SUM(SalesLines!R1378)</x:f>
        <x:v>1</x:v>
      </x:c>
      <x:c r="L562" s="11" t="n">
        <x:f>SUM(SalesLines!S1378)</x:f>
        <x:v>0</x:v>
      </x:c>
      <x:c r="M562" s="8" t="n">
        <x:f>DATE(YEAR(C562),MONTH(C562),1)</x:f>
        <x:v>45931</x:v>
      </x:c>
    </x:row>
    <x:row r="563" ht="22" customHeight="1">
      <x:c r="A563" s="2" t="str">
        <x:v>O00559</x:v>
      </x:c>
      <x:c r="B563" s="2" t="str">
        <x:v>C0033</x:v>
      </x:c>
      <x:c r="C563" s="7" t="n">
        <x:v>46004</x:v>
      </x:c>
      <x:c r="D563" s="2" t="str">
        <x:v>Completed</x:v>
      </x:c>
      <x:c r="E563" s="2" t="str">
        <x:v>South</x:v>
      </x:c>
      <x:c r="F563" s="2" t="str">
        <x:v>Online</x:v>
      </x:c>
      <x:c r="G563" s="9" t="n">
        <x:f>SUM(SalesLines!Q1379,SalesLines!Q1380,SalesLines!Q1381)</x:f>
        <x:v>2767.25</x:v>
      </x:c>
      <x:c r="H563" s="9" t="n">
        <x:f>SUM(SalesLines!M1379,SalesLines!M1380,SalesLines!M1381)</x:f>
        <x:v>2817</x:v>
      </x:c>
      <x:c r="I563" s="9" t="n">
        <x:f>SUM(SalesLines!N1379,SalesLines!N1380,SalesLines!N1381)</x:f>
        <x:v>49.75</x:v>
      </x:c>
      <x:c r="J563" s="9" t="n">
        <x:f>SUM(SalesLines!P1379,SalesLines!P1380,SalesLines!P1381)</x:f>
        <x:v>0</x:v>
      </x:c>
      <x:c r="K563" s="11" t="n">
        <x:f>SUM(SalesLines!R1379,SalesLines!R1380,SalesLines!R1381)</x:f>
        <x:v>13</x:v>
      </x:c>
      <x:c r="L563" s="11" t="n">
        <x:f>SUM(SalesLines!S1379,SalesLines!S1380,SalesLines!S1381)</x:f>
        <x:v>0</x:v>
      </x:c>
      <x:c r="M563" s="8" t="n">
        <x:f>DATE(YEAR(C563),MONTH(C563),1)</x:f>
        <x:v>45992</x:v>
      </x:c>
    </x:row>
    <x:row r="564" ht="22" customHeight="1">
      <x:c r="A564" s="2" t="str">
        <x:v>O00560</x:v>
      </x:c>
      <x:c r="B564" s="2" t="str">
        <x:v>C0216</x:v>
      </x:c>
      <x:c r="C564" s="7" t="n">
        <x:v>45890</x:v>
      </x:c>
      <x:c r="D564" s="2" t="str">
        <x:v>Completed</x:v>
      </x:c>
      <x:c r="E564" s="2" t="str">
        <x:v>North</x:v>
      </x:c>
      <x:c r="F564" s="2" t="str">
        <x:v>Store</x:v>
      </x:c>
      <x:c r="G564" s="9" t="n">
        <x:f>SUM(SalesLines!Q1382,SalesLines!Q1383)</x:f>
        <x:v>545.5999999999999</x:v>
      </x:c>
      <x:c r="H564" s="9" t="n">
        <x:f>SUM(SalesLines!M1382,SalesLines!M1383)</x:f>
        <x:v>1250</x:v>
      </x:c>
      <x:c r="I564" s="9" t="n">
        <x:f>SUM(SalesLines!N1382,SalesLines!N1383)</x:f>
        <x:v>250</x:v>
      </x:c>
      <x:c r="J564" s="9" t="n">
        <x:f>SUM(SalesLines!P1382,SalesLines!P1383)</x:f>
        <x:v>454.40000000000003</x:v>
      </x:c>
      <x:c r="K564" s="11" t="n">
        <x:f>SUM(SalesLines!R1382,SalesLines!R1383)</x:f>
        <x:v>5</x:v>
      </x:c>
      <x:c r="L564" s="11" t="n">
        <x:f>SUM(SalesLines!S1382,SalesLines!S1383)</x:f>
        <x:v>2</x:v>
      </x:c>
      <x:c r="M564" s="8" t="n">
        <x:f>DATE(YEAR(C564),MONTH(C564),1)</x:f>
        <x:v>45870</x:v>
      </x:c>
    </x:row>
    <x:row r="565" ht="22" customHeight="1">
      <x:c r="A565" s="2" t="str">
        <x:v>O00561</x:v>
      </x:c>
      <x:c r="B565" s="2" t="str">
        <x:v>C0270</x:v>
      </x:c>
      <x:c r="C565" s="7" t="n">
        <x:v>45884</x:v>
      </x:c>
      <x:c r="D565" s="2" t="str">
        <x:v>Completed</x:v>
      </x:c>
      <x:c r="E565" s="2" t="str">
        <x:v>East</x:v>
      </x:c>
      <x:c r="F565" s="2" t="str">
        <x:v>Online</x:v>
      </x:c>
      <x:c r="G565" s="9" t="n">
        <x:f>SUM(SalesLines!Q1384,SalesLines!Q1385)</x:f>
        <x:v>745</x:v>
      </x:c>
      <x:c r="H565" s="9" t="n">
        <x:f>SUM(SalesLines!M1384,SalesLines!M1385)</x:f>
        <x:v>758</x:v>
      </x:c>
      <x:c r="I565" s="9" t="n">
        <x:f>SUM(SalesLines!N1384,SalesLines!N1385)</x:f>
        <x:v>13</x:v>
      </x:c>
      <x:c r="J565" s="9" t="n">
        <x:f>SUM(SalesLines!P1384,SalesLines!P1385)</x:f>
        <x:v>0</x:v>
      </x:c>
      <x:c r="K565" s="11" t="n">
        <x:f>SUM(SalesLines!R1384,SalesLines!R1385)</x:f>
        <x:v>6</x:v>
      </x:c>
      <x:c r="L565" s="11" t="n">
        <x:f>SUM(SalesLines!S1384,SalesLines!S1385)</x:f>
        <x:v>0</x:v>
      </x:c>
      <x:c r="M565" s="8" t="n">
        <x:f>DATE(YEAR(C565),MONTH(C565),1)</x:f>
        <x:v>45870</x:v>
      </x:c>
    </x:row>
    <x:row r="566" ht="22" customHeight="1">
      <x:c r="A566" s="2" t="str">
        <x:v>O00562</x:v>
      </x:c>
      <x:c r="B566" s="2" t="str">
        <x:v>C0172</x:v>
      </x:c>
      <x:c r="C566" s="7" t="n">
        <x:v>45913</x:v>
      </x:c>
      <x:c r="D566" s="2" t="str">
        <x:v>Completed</x:v>
      </x:c>
      <x:c r="E566" s="2" t="str">
        <x:v>North</x:v>
      </x:c>
      <x:c r="F566" s="2" t="str">
        <x:v>Online</x:v>
      </x:c>
      <x:c r="G566" s="9" t="n">
        <x:f>SUM(SalesLines!Q1386,SalesLines!Q1387)</x:f>
        <x:v>1512.55</x:v>
      </x:c>
      <x:c r="H566" s="9" t="n">
        <x:f>SUM(SalesLines!M1386,SalesLines!M1387)</x:f>
        <x:v>1622</x:v>
      </x:c>
      <x:c r="I566" s="9" t="n">
        <x:f>SUM(SalesLines!N1386,SalesLines!N1387)</x:f>
        <x:v>109.45</x:v>
      </x:c>
      <x:c r="J566" s="9" t="n">
        <x:f>SUM(SalesLines!P1386,SalesLines!P1387)</x:f>
        <x:v>0</x:v>
      </x:c>
      <x:c r="K566" s="11" t="n">
        <x:f>SUM(SalesLines!R1386,SalesLines!R1387)</x:f>
        <x:v>8</x:v>
      </x:c>
      <x:c r="L566" s="11" t="n">
        <x:f>SUM(SalesLines!S1386,SalesLines!S1387)</x:f>
        <x:v>0</x:v>
      </x:c>
      <x:c r="M566" s="8" t="n">
        <x:f>DATE(YEAR(C566),MONTH(C566),1)</x:f>
        <x:v>45901</x:v>
      </x:c>
    </x:row>
    <x:row r="567" ht="22" customHeight="1">
      <x:c r="A567" s="2" t="str">
        <x:v>O00563</x:v>
      </x:c>
      <x:c r="B567" s="2" t="str">
        <x:v>C0160</x:v>
      </x:c>
      <x:c r="C567" s="7" t="n">
        <x:v>45984</x:v>
      </x:c>
      <x:c r="D567" s="2" t="str">
        <x:v>Completed</x:v>
      </x:c>
      <x:c r="E567" s="2" t="str">
        <x:v>West</x:v>
      </x:c>
      <x:c r="F567" s="2" t="str">
        <x:v>Online</x:v>
      </x:c>
      <x:c r="G567" s="9" t="n">
        <x:f>SUM(SalesLines!Q1388,SalesLines!Q1389,SalesLines!Q1390,SalesLines!Q1391)</x:f>
        <x:v>2465.1</x:v>
      </x:c>
      <x:c r="H567" s="9" t="n">
        <x:f>SUM(SalesLines!M1388,SalesLines!M1389,SalesLines!M1390,SalesLines!M1391)</x:f>
        <x:v>2887</x:v>
      </x:c>
      <x:c r="I567" s="9" t="n">
        <x:f>SUM(SalesLines!N1388,SalesLines!N1389,SalesLines!N1390,SalesLines!N1391)</x:f>
        <x:v>421.9</x:v>
      </x:c>
      <x:c r="J567" s="9" t="n">
        <x:f>SUM(SalesLines!P1388,SalesLines!P1389,SalesLines!P1390,SalesLines!P1391)</x:f>
        <x:v>0</x:v>
      </x:c>
      <x:c r="K567" s="11" t="n">
        <x:f>SUM(SalesLines!R1388,SalesLines!R1389,SalesLines!R1390,SalesLines!R1391)</x:f>
        <x:v>18</x:v>
      </x:c>
      <x:c r="L567" s="11" t="n">
        <x:f>SUM(SalesLines!S1388,SalesLines!S1389,SalesLines!S1390,SalesLines!S1391)</x:f>
        <x:v>0</x:v>
      </x:c>
      <x:c r="M567" s="8" t="n">
        <x:f>DATE(YEAR(C567),MONTH(C567),1)</x:f>
        <x:v>45962</x:v>
      </x:c>
    </x:row>
    <x:row r="568" ht="22" customHeight="1">
      <x:c r="A568" s="2" t="str">
        <x:v>O00564</x:v>
      </x:c>
      <x:c r="B568" s="2" t="str">
        <x:v>C0230</x:v>
      </x:c>
      <x:c r="C568" s="7" t="n">
        <x:v>45687</x:v>
      </x:c>
      <x:c r="D568" s="2" t="str">
        <x:v>Completed</x:v>
      </x:c>
      <x:c r="E568" s="2" t="str">
        <x:v>East</x:v>
      </x:c>
      <x:c r="F568" s="2" t="str">
        <x:v>Online</x:v>
      </x:c>
      <x:c r="G568" s="9" t="n">
        <x:f>SUM(SalesLines!Q1392)</x:f>
        <x:v>98.4</x:v>
      </x:c>
      <x:c r="H568" s="9" t="n">
        <x:f>SUM(SalesLines!M1392)</x:f>
        <x:v>123</x:v>
      </x:c>
      <x:c r="I568" s="9" t="n">
        <x:f>SUM(SalesLines!N1392)</x:f>
        <x:v>24.6</x:v>
      </x:c>
      <x:c r="J568" s="9" t="n">
        <x:f>SUM(SalesLines!P1392)</x:f>
        <x:v>0</x:v>
      </x:c>
      <x:c r="K568" s="11" t="n">
        <x:f>SUM(SalesLines!R1392)</x:f>
        <x:v>1</x:v>
      </x:c>
      <x:c r="L568" s="11" t="n">
        <x:f>SUM(SalesLines!S1392)</x:f>
        <x:v>0</x:v>
      </x:c>
      <x:c r="M568" s="8" t="n">
        <x:f>DATE(YEAR(C568),MONTH(C568),1)</x:f>
        <x:v>45658</x:v>
      </x:c>
    </x:row>
    <x:row r="569" ht="22" customHeight="1">
      <x:c r="A569" s="2" t="str">
        <x:v>O00565</x:v>
      </x:c>
      <x:c r="B569" s="2" t="str">
        <x:v>C0237</x:v>
      </x:c>
      <x:c r="C569" s="7" t="n">
        <x:v>45832</x:v>
      </x:c>
      <x:c r="D569" s="2" t="str">
        <x:v>Completed</x:v>
      </x:c>
      <x:c r="E569" s="2" t="str">
        <x:v>South</x:v>
      </x:c>
      <x:c r="F569" s="2" t="str">
        <x:v>Store</x:v>
      </x:c>
      <x:c r="G569" s="9" t="n">
        <x:f>SUM(SalesLines!Q1393,SalesLines!Q1394,SalesLines!Q1395,SalesLines!Q1396)</x:f>
        <x:v>929.4</x:v>
      </x:c>
      <x:c r="H569" s="9" t="n">
        <x:f>SUM(SalesLines!M1393,SalesLines!M1394,SalesLines!M1395,SalesLines!M1396)</x:f>
        <x:v>1005</x:v>
      </x:c>
      <x:c r="I569" s="9" t="n">
        <x:f>SUM(SalesLines!N1393,SalesLines!N1394,SalesLines!N1395,SalesLines!N1396)</x:f>
        <x:v>47.60000000000001</x:v>
      </x:c>
      <x:c r="J569" s="9" t="n">
        <x:f>SUM(SalesLines!P1393,SalesLines!P1394,SalesLines!P1395,SalesLines!P1396)</x:f>
        <x:v>28</x:v>
      </x:c>
      <x:c r="K569" s="11" t="n">
        <x:f>SUM(SalesLines!R1393,SalesLines!R1394,SalesLines!R1395,SalesLines!R1396)</x:f>
        <x:v>8</x:v>
      </x:c>
      <x:c r="L569" s="11" t="n">
        <x:f>SUM(SalesLines!S1393,SalesLines!S1394,SalesLines!S1395,SalesLines!S1396)</x:f>
        <x:v>1</x:v>
      </x:c>
      <x:c r="M569" s="8" t="n">
        <x:f>DATE(YEAR(C569),MONTH(C569),1)</x:f>
        <x:v>45809</x:v>
      </x:c>
    </x:row>
    <x:row r="570" ht="22" customHeight="1">
      <x:c r="A570" s="2" t="str">
        <x:v>O00566</x:v>
      </x:c>
      <x:c r="B570" s="2" t="str">
        <x:v>C0182</x:v>
      </x:c>
      <x:c r="C570" s="7" t="n">
        <x:v>45733</x:v>
      </x:c>
      <x:c r="D570" s="2" t="str">
        <x:v>Completed</x:v>
      </x:c>
      <x:c r="E570" s="2" t="str">
        <x:v>West</x:v>
      </x:c>
      <x:c r="F570" s="2" t="str">
        <x:v>Online</x:v>
      </x:c>
      <x:c r="G570" s="9" t="n">
        <x:f>SUM(SalesLines!Q1397,SalesLines!Q1398)</x:f>
        <x:v>1114.8</x:v>
      </x:c>
      <x:c r="H570" s="9" t="n">
        <x:f>SUM(SalesLines!M1397,SalesLines!M1398)</x:f>
        <x:v>1330</x:v>
      </x:c>
      <x:c r="I570" s="9" t="n">
        <x:f>SUM(SalesLines!N1397,SalesLines!N1398)</x:f>
        <x:v>215.20000000000002</x:v>
      </x:c>
      <x:c r="J570" s="9" t="n">
        <x:f>SUM(SalesLines!P1397,SalesLines!P1398)</x:f>
        <x:v>0</x:v>
      </x:c>
      <x:c r="K570" s="11" t="n">
        <x:f>SUM(SalesLines!R1397,SalesLines!R1398)</x:f>
        <x:v>5</x:v>
      </x:c>
      <x:c r="L570" s="11" t="n">
        <x:f>SUM(SalesLines!S1397,SalesLines!S1398)</x:f>
        <x:v>0</x:v>
      </x:c>
      <x:c r="M570" s="8" t="n">
        <x:f>DATE(YEAR(C570),MONTH(C570),1)</x:f>
        <x:v>45717</x:v>
      </x:c>
    </x:row>
    <x:row r="571" ht="22" customHeight="1">
      <x:c r="A571" s="2" t="str">
        <x:v>O00567</x:v>
      </x:c>
      <x:c r="B571" s="2" t="str">
        <x:v>C0257</x:v>
      </x:c>
      <x:c r="C571" s="7" t="n">
        <x:v>45857</x:v>
      </x:c>
      <x:c r="D571" s="2" t="str">
        <x:v>Completed</x:v>
      </x:c>
      <x:c r="E571" s="2" t="str">
        <x:v>North</x:v>
      </x:c>
      <x:c r="F571" s="2" t="str">
        <x:v>Store</x:v>
      </x:c>
      <x:c r="G571" s="9" t="n">
        <x:f>SUM(SalesLines!Q1399)</x:f>
        <x:v>28</x:v>
      </x:c>
      <x:c r="H571" s="9" t="n">
        <x:f>SUM(SalesLines!M1399)</x:f>
        <x:v>70</x:v>
      </x:c>
      <x:c r="I571" s="9" t="n">
        <x:f>SUM(SalesLines!N1399)</x:f>
        <x:v>14</x:v>
      </x:c>
      <x:c r="J571" s="9" t="n">
        <x:f>SUM(SalesLines!P1399)</x:f>
        <x:v>28</x:v>
      </x:c>
      <x:c r="K571" s="11" t="n">
        <x:f>SUM(SalesLines!R1399)</x:f>
        <x:v>2</x:v>
      </x:c>
      <x:c r="L571" s="11" t="n">
        <x:f>SUM(SalesLines!S1399)</x:f>
        <x:v>1</x:v>
      </x:c>
      <x:c r="M571" s="8" t="n">
        <x:f>DATE(YEAR(C571),MONTH(C571),1)</x:f>
        <x:v>45839</x:v>
      </x:c>
    </x:row>
    <x:row r="572" ht="22" customHeight="1">
      <x:c r="A572" s="2" t="str">
        <x:v>O00568</x:v>
      </x:c>
      <x:c r="B572" s="2" t="str">
        <x:v>C0286</x:v>
      </x:c>
      <x:c r="C572" s="7" t="n">
        <x:v>45672</x:v>
      </x:c>
      <x:c r="D572" s="2" t="str">
        <x:v>Completed</x:v>
      </x:c>
      <x:c r="E572" s="2" t="str">
        <x:v>West</x:v>
      </x:c>
      <x:c r="F572" s="2" t="str">
        <x:v>Store</x:v>
      </x:c>
      <x:c r="G572" s="9" t="n">
        <x:f>SUM(SalesLines!Q1400,SalesLines!Q1401)</x:f>
        <x:v>1385.2</x:v>
      </x:c>
      <x:c r="H572" s="9" t="n">
        <x:f>SUM(SalesLines!M1400,SalesLines!M1401)</x:f>
        <x:v>1476</x:v>
      </x:c>
      <x:c r="I572" s="9" t="n">
        <x:f>SUM(SalesLines!N1400,SalesLines!N1401)</x:f>
        <x:v>90.80000000000001</x:v>
      </x:c>
      <x:c r="J572" s="9" t="n">
        <x:f>SUM(SalesLines!P1400,SalesLines!P1401)</x:f>
        <x:v>0</x:v>
      </x:c>
      <x:c r="K572" s="11" t="n">
        <x:f>SUM(SalesLines!R1400,SalesLines!R1401)</x:f>
        <x:v>9</x:v>
      </x:c>
      <x:c r="L572" s="11" t="n">
        <x:f>SUM(SalesLines!S1400,SalesLines!S1401)</x:f>
        <x:v>0</x:v>
      </x:c>
      <x:c r="M572" s="8" t="n">
        <x:f>DATE(YEAR(C572),MONTH(C572),1)</x:f>
        <x:v>45658</x:v>
      </x:c>
    </x:row>
    <x:row r="573" ht="22" customHeight="1">
      <x:c r="A573" s="2" t="str">
        <x:v>O00569</x:v>
      </x:c>
      <x:c r="B573" s="2" t="str">
        <x:v>C0237</x:v>
      </x:c>
      <x:c r="C573" s="7" t="n">
        <x:v>45875</x:v>
      </x:c>
      <x:c r="D573" s="2" t="str">
        <x:v>Completed</x:v>
      </x:c>
      <x:c r="E573" s="2" t="str">
        <x:v>South</x:v>
      </x:c>
      <x:c r="F573" s="2" t="str">
        <x:v>Store</x:v>
      </x:c>
      <x:c r="G573" s="9" t="n">
        <x:f>SUM(SalesLines!Q1402,SalesLines!Q1403,SalesLines!Q1404,SalesLines!Q1405)</x:f>
        <x:v>575.25</x:v>
      </x:c>
      <x:c r="H573" s="9" t="n">
        <x:f>SUM(SalesLines!M1402,SalesLines!M1403,SalesLines!M1404,SalesLines!M1405)</x:f>
        <x:v>616</x:v>
      </x:c>
      <x:c r="I573" s="9" t="n">
        <x:f>SUM(SalesLines!N1402,SalesLines!N1403,SalesLines!N1404,SalesLines!N1405)</x:f>
        <x:v>40.75</x:v>
      </x:c>
      <x:c r="J573" s="9" t="n">
        <x:f>SUM(SalesLines!P1402,SalesLines!P1403,SalesLines!P1404,SalesLines!P1405)</x:f>
        <x:v>0</x:v>
      </x:c>
      <x:c r="K573" s="11" t="n">
        <x:f>SUM(SalesLines!R1402,SalesLines!R1403,SalesLines!R1404,SalesLines!R1405)</x:f>
        <x:v>7</x:v>
      </x:c>
      <x:c r="L573" s="11" t="n">
        <x:f>SUM(SalesLines!S1402,SalesLines!S1403,SalesLines!S1404,SalesLines!S1405)</x:f>
        <x:v>0</x:v>
      </x:c>
      <x:c r="M573" s="8" t="n">
        <x:f>DATE(YEAR(C573),MONTH(C573),1)</x:f>
        <x:v>45870</x:v>
      </x:c>
    </x:row>
    <x:row r="574" ht="22" customHeight="1">
      <x:c r="A574" s="2" t="str">
        <x:v>O00570</x:v>
      </x:c>
      <x:c r="B574" s="2" t="str">
        <x:v>C0138</x:v>
      </x:c>
      <x:c r="C574" s="7" t="n">
        <x:v>45850</x:v>
      </x:c>
      <x:c r="D574" s="2" t="str">
        <x:v>Completed</x:v>
      </x:c>
      <x:c r="E574" s="2" t="str">
        <x:v>South</x:v>
      </x:c>
      <x:c r="F574" s="2" t="str">
        <x:v>Online</x:v>
      </x:c>
      <x:c r="G574" s="9" t="n">
        <x:f>SUM(SalesLines!Q1406,SalesLines!Q1407,SalesLines!Q1408)</x:f>
        <x:v>1490.1</x:v>
      </x:c>
      <x:c r="H574" s="9" t="n">
        <x:f>SUM(SalesLines!M1406,SalesLines!M1407,SalesLines!M1408)</x:f>
        <x:v>1683</x:v>
      </x:c>
      <x:c r="I574" s="9" t="n">
        <x:f>SUM(SalesLines!N1406,SalesLines!N1407,SalesLines!N1408)</x:f>
        <x:v>192.89999999999998</x:v>
      </x:c>
      <x:c r="J574" s="9" t="n">
        <x:f>SUM(SalesLines!P1406,SalesLines!P1407,SalesLines!P1408)</x:f>
        <x:v>0</x:v>
      </x:c>
      <x:c r="K574" s="11" t="n">
        <x:f>SUM(SalesLines!R1406,SalesLines!R1407,SalesLines!R1408)</x:f>
        <x:v>11</x:v>
      </x:c>
      <x:c r="L574" s="11" t="n">
        <x:f>SUM(SalesLines!S1406,SalesLines!S1407,SalesLines!S1408)</x:f>
        <x:v>0</x:v>
      </x:c>
      <x:c r="M574" s="8" t="n">
        <x:f>DATE(YEAR(C574),MONTH(C574),1)</x:f>
        <x:v>45839</x:v>
      </x:c>
    </x:row>
    <x:row r="575" ht="22" customHeight="1">
      <x:c r="A575" s="2" t="str">
        <x:v>O00571</x:v>
      </x:c>
      <x:c r="B575" s="2" t="str">
        <x:v>C0198</x:v>
      </x:c>
      <x:c r="C575" s="7" t="n">
        <x:v>45957</x:v>
      </x:c>
      <x:c r="D575" s="2" t="str">
        <x:v>Completed</x:v>
      </x:c>
      <x:c r="E575" s="2" t="str">
        <x:v>West</x:v>
      </x:c>
      <x:c r="F575" s="2" t="str">
        <x:v>Store</x:v>
      </x:c>
      <x:c r="G575" s="9" t="n">
        <x:f>SUM(SalesLines!Q1409,SalesLines!Q1410)</x:f>
        <x:v>397.3</x:v>
      </x:c>
      <x:c r="H575" s="9" t="n">
        <x:f>SUM(SalesLines!M1409,SalesLines!M1410)</x:f>
        <x:v>434</x:v>
      </x:c>
      <x:c r="I575" s="9" t="n">
        <x:f>SUM(SalesLines!N1409,SalesLines!N1410)</x:f>
        <x:v>36.7</x:v>
      </x:c>
      <x:c r="J575" s="9" t="n">
        <x:f>SUM(SalesLines!P1409,SalesLines!P1410)</x:f>
        <x:v>0</x:v>
      </x:c>
      <x:c r="K575" s="11" t="n">
        <x:f>SUM(SalesLines!R1409,SalesLines!R1410)</x:f>
        <x:v>2</x:v>
      </x:c>
      <x:c r="L575" s="11" t="n">
        <x:f>SUM(SalesLines!S1409,SalesLines!S1410)</x:f>
        <x:v>0</x:v>
      </x:c>
      <x:c r="M575" s="8" t="n">
        <x:f>DATE(YEAR(C575),MONTH(C575),1)</x:f>
        <x:v>45931</x:v>
      </x:c>
    </x:row>
    <x:row r="576" ht="22" customHeight="1">
      <x:c r="A576" s="2" t="str">
        <x:v>O00572</x:v>
      </x:c>
      <x:c r="B576" s="2" t="str">
        <x:v>C0016</x:v>
      </x:c>
      <x:c r="C576" s="7" t="n">
        <x:v>45952</x:v>
      </x:c>
      <x:c r="D576" s="2" t="str">
        <x:v>Completed</x:v>
      </x:c>
      <x:c r="E576" s="2" t="str">
        <x:v>East</x:v>
      </x:c>
      <x:c r="F576" s="2" t="str">
        <x:v>Online</x:v>
      </x:c>
      <x:c r="G576" s="9" t="n">
        <x:f>SUM(SalesLines!Q1411,SalesLines!Q1412,SalesLines!Q1413)</x:f>
        <x:v>891.9</x:v>
      </x:c>
      <x:c r="H576" s="9" t="n">
        <x:f>SUM(SalesLines!M1411,SalesLines!M1412,SalesLines!M1413)</x:f>
        <x:v>900</x:v>
      </x:c>
      <x:c r="I576" s="9" t="n">
        <x:f>SUM(SalesLines!N1411,SalesLines!N1412,SalesLines!N1413)</x:f>
        <x:v>8.1</x:v>
      </x:c>
      <x:c r="J576" s="9" t="n">
        <x:f>SUM(SalesLines!P1411,SalesLines!P1412,SalesLines!P1413)</x:f>
        <x:v>0</x:v>
      </x:c>
      <x:c r="K576" s="11" t="n">
        <x:f>SUM(SalesLines!R1411,SalesLines!R1412,SalesLines!R1413)</x:f>
        <x:v>5</x:v>
      </x:c>
      <x:c r="L576" s="11" t="n">
        <x:f>SUM(SalesLines!S1411,SalesLines!S1412,SalesLines!S1413)</x:f>
        <x:v>0</x:v>
      </x:c>
      <x:c r="M576" s="8" t="n">
        <x:f>DATE(YEAR(C576),MONTH(C576),1)</x:f>
        <x:v>45931</x:v>
      </x:c>
    </x:row>
    <x:row r="577" ht="22" customHeight="1">
      <x:c r="A577" s="2" t="str">
        <x:v>O00573</x:v>
      </x:c>
      <x:c r="B577" s="2" t="str">
        <x:v>C0211</x:v>
      </x:c>
      <x:c r="C577" s="7" t="n">
        <x:v>45882</x:v>
      </x:c>
      <x:c r="D577" s="2" t="str">
        <x:v>Completed</x:v>
      </x:c>
      <x:c r="E577" s="2" t="str">
        <x:v>North</x:v>
      </x:c>
      <x:c r="F577" s="2" t="str">
        <x:v>Online</x:v>
      </x:c>
      <x:c r="G577" s="9" t="n">
        <x:f>SUM(SalesLines!Q1414,SalesLines!Q1415,SalesLines!Q1416)</x:f>
        <x:v>812</x:v>
      </x:c>
      <x:c r="H577" s="9" t="n">
        <x:f>SUM(SalesLines!M1414,SalesLines!M1415,SalesLines!M1416)</x:f>
        <x:v>1072</x:v>
      </x:c>
      <x:c r="I577" s="9" t="n">
        <x:f>SUM(SalesLines!N1414,SalesLines!N1415,SalesLines!N1416)</x:f>
        <x:v>63.2</x:v>
      </x:c>
      <x:c r="J577" s="9" t="n">
        <x:f>SUM(SalesLines!P1414,SalesLines!P1415,SalesLines!P1416)</x:f>
        <x:v>196.8</x:v>
      </x:c>
      <x:c r="K577" s="11" t="n">
        <x:f>SUM(SalesLines!R1414,SalesLines!R1415,SalesLines!R1416)</x:f>
        <x:v>8</x:v>
      </x:c>
      <x:c r="L577" s="11" t="n">
        <x:f>SUM(SalesLines!S1414,SalesLines!S1415,SalesLines!S1416)</x:f>
        <x:v>2</x:v>
      </x:c>
      <x:c r="M577" s="8" t="n">
        <x:f>DATE(YEAR(C577),MONTH(C577),1)</x:f>
        <x:v>45870</x:v>
      </x:c>
    </x:row>
    <x:row r="578" ht="22" customHeight="1">
      <x:c r="A578" s="2" t="str">
        <x:v>O00574</x:v>
      </x:c>
      <x:c r="B578" s="2" t="str">
        <x:v>C0249</x:v>
      </x:c>
      <x:c r="C578" s="7" t="n">
        <x:v>45701</x:v>
      </x:c>
      <x:c r="D578" s="2" t="str">
        <x:v>Completed</x:v>
      </x:c>
      <x:c r="E578" s="2" t="str">
        <x:v>North</x:v>
      </x:c>
      <x:c r="F578" s="2" t="str">
        <x:v>Store</x:v>
      </x:c>
      <x:c r="G578" s="9" t="n">
        <x:f>SUM(SalesLines!Q1417,SalesLines!Q1418)</x:f>
        <x:v>453.6</x:v>
      </x:c>
      <x:c r="H578" s="9" t="n">
        <x:f>SUM(SalesLines!M1417,SalesLines!M1418)</x:f>
        <x:v>486</x:v>
      </x:c>
      <x:c r="I578" s="9" t="n">
        <x:f>SUM(SalesLines!N1417,SalesLines!N1418)</x:f>
        <x:v>32.4</x:v>
      </x:c>
      <x:c r="J578" s="9" t="n">
        <x:f>SUM(SalesLines!P1417,SalesLines!P1418)</x:f>
        <x:v>0</x:v>
      </x:c>
      <x:c r="K578" s="11" t="n">
        <x:f>SUM(SalesLines!R1417,SalesLines!R1418)</x:f>
        <x:v>6</x:v>
      </x:c>
      <x:c r="L578" s="11" t="n">
        <x:f>SUM(SalesLines!S1417,SalesLines!S1418)</x:f>
        <x:v>0</x:v>
      </x:c>
      <x:c r="M578" s="8" t="n">
        <x:f>DATE(YEAR(C578),MONTH(C578),1)</x:f>
        <x:v>45689</x:v>
      </x:c>
    </x:row>
    <x:row r="579" ht="22" customHeight="1">
      <x:c r="A579" s="2" t="str">
        <x:v>O00575</x:v>
      </x:c>
      <x:c r="B579" s="2" t="str">
        <x:v>C0072</x:v>
      </x:c>
      <x:c r="C579" s="7" t="n">
        <x:v>45848</x:v>
      </x:c>
      <x:c r="D579" s="2" t="str">
        <x:v>Cancelled</x:v>
      </x:c>
      <x:c r="E579" s="2" t="str">
        <x:v>South</x:v>
      </x:c>
      <x:c r="F579" s="2" t="str">
        <x:v>Online</x:v>
      </x:c>
      <x:c r="G579" s="9" t="n">
        <x:f>SUM(SalesLines!Q1419)</x:f>
        <x:v>0</x:v>
      </x:c>
      <x:c r="H579" s="9" t="n">
        <x:f>SUM(SalesLines!M1419)</x:f>
        <x:v>0</x:v>
      </x:c>
      <x:c r="I579" s="9" t="n">
        <x:f>SUM(SalesLines!N1419)</x:f>
        <x:v>0</x:v>
      </x:c>
      <x:c r="J579" s="9" t="n">
        <x:f>SUM(SalesLines!P1419)</x:f>
        <x:v>0</x:v>
      </x:c>
      <x:c r="K579" s="11" t="n">
        <x:f>SUM(SalesLines!R1419)</x:f>
        <x:v>0</x:v>
      </x:c>
      <x:c r="L579" s="11" t="n">
        <x:f>SUM(SalesLines!S1419)</x:f>
        <x:v>0</x:v>
      </x:c>
      <x:c r="M579" s="8" t="n">
        <x:f>DATE(YEAR(C579),MONTH(C579),1)</x:f>
        <x:v>45839</x:v>
      </x:c>
    </x:row>
    <x:row r="580" ht="22" customHeight="1">
      <x:c r="A580" s="2" t="str">
        <x:v>O00576</x:v>
      </x:c>
      <x:c r="B580" s="2" t="str">
        <x:v>C0045</x:v>
      </x:c>
      <x:c r="C580" s="7" t="n">
        <x:v>45691</x:v>
      </x:c>
      <x:c r="D580" s="2" t="str">
        <x:v>Completed</x:v>
      </x:c>
      <x:c r="E580" s="2" t="str">
        <x:v>North</x:v>
      </x:c>
      <x:c r="F580" s="2" t="str">
        <x:v>Store</x:v>
      </x:c>
      <x:c r="G580" s="9" t="n">
        <x:f>SUM(SalesLines!Q1420,SalesLines!Q1421)</x:f>
        <x:v>446.5</x:v>
      </x:c>
      <x:c r="H580" s="9" t="n">
        <x:f>SUM(SalesLines!M1420,SalesLines!M1421)</x:f>
        <x:v>466</x:v>
      </x:c>
      <x:c r="I580" s="9" t="n">
        <x:f>SUM(SalesLines!N1420,SalesLines!N1421)</x:f>
        <x:v>19.5</x:v>
      </x:c>
      <x:c r="J580" s="9" t="n">
        <x:f>SUM(SalesLines!P1420,SalesLines!P1421)</x:f>
        <x:v>0</x:v>
      </x:c>
      <x:c r="K580" s="11" t="n">
        <x:f>SUM(SalesLines!R1420,SalesLines!R1421)</x:f>
        <x:v>4</x:v>
      </x:c>
      <x:c r="L580" s="11" t="n">
        <x:f>SUM(SalesLines!S1420,SalesLines!S1421)</x:f>
        <x:v>0</x:v>
      </x:c>
      <x:c r="M580" s="8" t="n">
        <x:f>DATE(YEAR(C580),MONTH(C580),1)</x:f>
        <x:v>45689</x:v>
      </x:c>
    </x:row>
    <x:row r="581" ht="22" customHeight="1">
      <x:c r="A581" s="2" t="str">
        <x:v>O00577</x:v>
      </x:c>
      <x:c r="B581" s="2" t="str">
        <x:v>C0116</x:v>
      </x:c>
      <x:c r="C581" s="7" t="n">
        <x:v>45922</x:v>
      </x:c>
      <x:c r="D581" s="2" t="str">
        <x:v>Completed</x:v>
      </x:c>
      <x:c r="E581" s="2" t="str">
        <x:v>West</x:v>
      </x:c>
      <x:c r="F581" s="2" t="str">
        <x:v>Store</x:v>
      </x:c>
      <x:c r="G581" s="9" t="n">
        <x:f>SUM(SalesLines!Q1422,SalesLines!Q1423)</x:f>
        <x:v>838.8</x:v>
      </x:c>
      <x:c r="H581" s="9" t="n">
        <x:f>SUM(SalesLines!M1422,SalesLines!M1423)</x:f>
        <x:v>932</x:v>
      </x:c>
      <x:c r="I581" s="9" t="n">
        <x:f>SUM(SalesLines!N1422,SalesLines!N1423)</x:f>
        <x:v>93.2</x:v>
      </x:c>
      <x:c r="J581" s="9" t="n">
        <x:f>SUM(SalesLines!P1422,SalesLines!P1423)</x:f>
        <x:v>0</x:v>
      </x:c>
      <x:c r="K581" s="11" t="n">
        <x:f>SUM(SalesLines!R1422,SalesLines!R1423)</x:f>
        <x:v>4</x:v>
      </x:c>
      <x:c r="L581" s="11" t="n">
        <x:f>SUM(SalesLines!S1422,SalesLines!S1423)</x:f>
        <x:v>0</x:v>
      </x:c>
      <x:c r="M581" s="8" t="n">
        <x:f>DATE(YEAR(C581),MONTH(C581),1)</x:f>
        <x:v>45901</x:v>
      </x:c>
    </x:row>
    <x:row r="582" ht="22" customHeight="1">
      <x:c r="A582" s="2" t="str">
        <x:v>O00578</x:v>
      </x:c>
      <x:c r="B582" s="2" t="str">
        <x:v>C0100</x:v>
      </x:c>
      <x:c r="C582" s="7" t="n">
        <x:v>45904</x:v>
      </x:c>
      <x:c r="D582" s="2" t="str">
        <x:v>Completed</x:v>
      </x:c>
      <x:c r="E582" s="2" t="str">
        <x:v>West</x:v>
      </x:c>
      <x:c r="F582" s="2" t="str">
        <x:v>Online</x:v>
      </x:c>
      <x:c r="G582" s="9" t="n">
        <x:f>SUM(SalesLines!Q1424,SalesLines!Q1425,SalesLines!Q1426)</x:f>
        <x:v>1240.5</x:v>
      </x:c>
      <x:c r="H582" s="9" t="n">
        <x:f>SUM(SalesLines!M1424,SalesLines!M1425,SalesLines!M1426)</x:f>
        <x:v>1413</x:v>
      </x:c>
      <x:c r="I582" s="9" t="n">
        <x:f>SUM(SalesLines!N1424,SalesLines!N1425,SalesLines!N1426)</x:f>
        <x:v>172.5</x:v>
      </x:c>
      <x:c r="J582" s="9" t="n">
        <x:f>SUM(SalesLines!P1424,SalesLines!P1425,SalesLines!P1426)</x:f>
        <x:v>0</x:v>
      </x:c>
      <x:c r="K582" s="11" t="n">
        <x:f>SUM(SalesLines!R1424,SalesLines!R1425,SalesLines!R1426)</x:f>
        <x:v>11</x:v>
      </x:c>
      <x:c r="L582" s="11" t="n">
        <x:f>SUM(SalesLines!S1424,SalesLines!S1425,SalesLines!S1426)</x:f>
        <x:v>0</x:v>
      </x:c>
      <x:c r="M582" s="8" t="n">
        <x:f>DATE(YEAR(C582),MONTH(C582),1)</x:f>
        <x:v>45901</x:v>
      </x:c>
    </x:row>
    <x:row r="583" ht="22" customHeight="1">
      <x:c r="A583" s="2" t="str">
        <x:v>O00579</x:v>
      </x:c>
      <x:c r="B583" s="2" t="str">
        <x:v>C0246</x:v>
      </x:c>
      <x:c r="C583" s="7" t="n">
        <x:v>45977</x:v>
      </x:c>
      <x:c r="D583" s="2" t="str">
        <x:v>Cancelled</x:v>
      </x:c>
      <x:c r="E583" s="2" t="str">
        <x:v>South</x:v>
      </x:c>
      <x:c r="F583" s="2" t="str">
        <x:v>Online</x:v>
      </x:c>
      <x:c r="G583" s="9" t="n">
        <x:f>SUM(SalesLines!Q1427,SalesLines!Q1428,SalesLines!Q1429,SalesLines!Q1430)</x:f>
        <x:v>0</x:v>
      </x:c>
      <x:c r="H583" s="9" t="n">
        <x:f>SUM(SalesLines!M1427,SalesLines!M1428,SalesLines!M1429,SalesLines!M1430)</x:f>
        <x:v>0</x:v>
      </x:c>
      <x:c r="I583" s="9" t="n">
        <x:f>SUM(SalesLines!N1427,SalesLines!N1428,SalesLines!N1429,SalesLines!N1430)</x:f>
        <x:v>0</x:v>
      </x:c>
      <x:c r="J583" s="9" t="n">
        <x:f>SUM(SalesLines!P1427,SalesLines!P1428,SalesLines!P1429,SalesLines!P1430)</x:f>
        <x:v>0</x:v>
      </x:c>
      <x:c r="K583" s="11" t="n">
        <x:f>SUM(SalesLines!R1427,SalesLines!R1428,SalesLines!R1429,SalesLines!R1430)</x:f>
        <x:v>0</x:v>
      </x:c>
      <x:c r="L583" s="11" t="n">
        <x:f>SUM(SalesLines!S1427,SalesLines!S1428,SalesLines!S1429,SalesLines!S1430)</x:f>
        <x:v>0</x:v>
      </x:c>
      <x:c r="M583" s="8" t="n">
        <x:f>DATE(YEAR(C583),MONTH(C583),1)</x:f>
        <x:v>45962</x:v>
      </x:c>
    </x:row>
    <x:row r="584" ht="22" customHeight="1">
      <x:c r="A584" s="2" t="str">
        <x:v>O00580</x:v>
      </x:c>
      <x:c r="B584" s="2" t="str">
        <x:v>C0042</x:v>
      </x:c>
      <x:c r="C584" s="7" t="n">
        <x:v>46012</x:v>
      </x:c>
      <x:c r="D584" s="2" t="str">
        <x:v>Completed</x:v>
      </x:c>
      <x:c r="E584" s="2" t="str">
        <x:v>South</x:v>
      </x:c>
      <x:c r="F584" s="2" t="str">
        <x:v>Online</x:v>
      </x:c>
      <x:c r="G584" s="9" t="n">
        <x:f>SUM(SalesLines!Q1431,SalesLines!Q1432)</x:f>
        <x:v>559.5</x:v>
      </x:c>
      <x:c r="H584" s="9" t="n">
        <x:f>SUM(SalesLines!M1431,SalesLines!M1432)</x:f>
        <x:v>570</x:v>
      </x:c>
      <x:c r="I584" s="9" t="n">
        <x:f>SUM(SalesLines!N1431,SalesLines!N1432)</x:f>
        <x:v>10.5</x:v>
      </x:c>
      <x:c r="J584" s="9" t="n">
        <x:f>SUM(SalesLines!P1431,SalesLines!P1432)</x:f>
        <x:v>0</x:v>
      </x:c>
      <x:c r="K584" s="11" t="n">
        <x:f>SUM(SalesLines!R1431,SalesLines!R1432)</x:f>
        <x:v>8</x:v>
      </x:c>
      <x:c r="L584" s="11" t="n">
        <x:f>SUM(SalesLines!S1431,SalesLines!S1432)</x:f>
        <x:v>0</x:v>
      </x:c>
      <x:c r="M584" s="8" t="n">
        <x:f>DATE(YEAR(C584),MONTH(C584),1)</x:f>
        <x:v>45992</x:v>
      </x:c>
    </x:row>
    <x:row r="585" ht="22" customHeight="1">
      <x:c r="A585" s="2" t="str">
        <x:v>O00581</x:v>
      </x:c>
      <x:c r="B585" s="2" t="str">
        <x:v>C0112</x:v>
      </x:c>
      <x:c r="C585" s="7" t="n">
        <x:v>45674</x:v>
      </x:c>
      <x:c r="D585" s="2" t="str">
        <x:v>Completed</x:v>
      </x:c>
      <x:c r="E585" s="2" t="str">
        <x:v>South</x:v>
      </x:c>
      <x:c r="F585" s="2" t="str">
        <x:v>Store</x:v>
      </x:c>
      <x:c r="G585" s="9" t="n">
        <x:f>SUM(SalesLines!Q1433,SalesLines!Q1434)</x:f>
        <x:v>842.2</x:v>
      </x:c>
      <x:c r="H585" s="9" t="n">
        <x:f>SUM(SalesLines!M1433,SalesLines!M1434)</x:f>
        <x:v>899</x:v>
      </x:c>
      <x:c r="I585" s="9" t="n">
        <x:f>SUM(SalesLines!N1433,SalesLines!N1434)</x:f>
        <x:v>56.800000000000004</x:v>
      </x:c>
      <x:c r="J585" s="9" t="n">
        <x:f>SUM(SalesLines!P1433,SalesLines!P1434)</x:f>
        <x:v>0</x:v>
      </x:c>
      <x:c r="K585" s="11" t="n">
        <x:f>SUM(SalesLines!R1433,SalesLines!R1434)</x:f>
        <x:v>6</x:v>
      </x:c>
      <x:c r="L585" s="11" t="n">
        <x:f>SUM(SalesLines!S1433,SalesLines!S1434)</x:f>
        <x:v>0</x:v>
      </x:c>
      <x:c r="M585" s="8" t="n">
        <x:f>DATE(YEAR(C585),MONTH(C585),1)</x:f>
        <x:v>45658</x:v>
      </x:c>
    </x:row>
    <x:row r="586" ht="22" customHeight="1">
      <x:c r="A586" s="2" t="str">
        <x:v>O00582</x:v>
      </x:c>
      <x:c r="B586" s="2" t="str">
        <x:v>C0091</x:v>
      </x:c>
      <x:c r="C586" s="7" t="n">
        <x:v>45909</x:v>
      </x:c>
      <x:c r="D586" s="2" t="str">
        <x:v>Completed</x:v>
      </x:c>
      <x:c r="E586" s="2" t="str">
        <x:v>North</x:v>
      </x:c>
      <x:c r="F586" s="2" t="str">
        <x:v>Online</x:v>
      </x:c>
      <x:c r="G586" s="9" t="n">
        <x:f>SUM(SalesLines!Q1435,SalesLines!Q1436,SalesLines!Q1437,SalesLines!Q1438)</x:f>
        <x:v>2861.9</x:v>
      </x:c>
      <x:c r="H586" s="9" t="n">
        <x:f>SUM(SalesLines!M1435,SalesLines!M1436,SalesLines!M1437,SalesLines!M1438)</x:f>
        <x:v>3141</x:v>
      </x:c>
      <x:c r="I586" s="9" t="n">
        <x:f>SUM(SalesLines!N1435,SalesLines!N1436,SalesLines!N1437,SalesLines!N1438)</x:f>
        <x:v>279.09999999999997</x:v>
      </x:c>
      <x:c r="J586" s="9" t="n">
        <x:f>SUM(SalesLines!P1435,SalesLines!P1436,SalesLines!P1437,SalesLines!P1438)</x:f>
        <x:v>0</x:v>
      </x:c>
      <x:c r="K586" s="11" t="n">
        <x:f>SUM(SalesLines!R1435,SalesLines!R1436,SalesLines!R1437,SalesLines!R1438)</x:f>
        <x:v>16</x:v>
      </x:c>
      <x:c r="L586" s="11" t="n">
        <x:f>SUM(SalesLines!S1435,SalesLines!S1436,SalesLines!S1437,SalesLines!S1438)</x:f>
        <x:v>0</x:v>
      </x:c>
      <x:c r="M586" s="8" t="n">
        <x:f>DATE(YEAR(C586),MONTH(C586),1)</x:f>
        <x:v>45901</x:v>
      </x:c>
    </x:row>
    <x:row r="587" ht="22" customHeight="1">
      <x:c r="A587" s="2" t="str">
        <x:v>O00583</x:v>
      </x:c>
      <x:c r="B587" s="2" t="str">
        <x:v>C0185</x:v>
      </x:c>
      <x:c r="C587" s="7" t="n">
        <x:v>45944</x:v>
      </x:c>
      <x:c r="D587" s="2" t="str">
        <x:v>Completed</x:v>
      </x:c>
      <x:c r="E587" s="2" t="str">
        <x:v>North</x:v>
      </x:c>
      <x:c r="F587" s="2" t="str">
        <x:v>Online</x:v>
      </x:c>
      <x:c r="G587" s="9" t="n">
        <x:f>SUM(SalesLines!Q1439)</x:f>
        <x:v>127.3</x:v>
      </x:c>
      <x:c r="H587" s="9" t="n">
        <x:f>SUM(SalesLines!M1439)</x:f>
        <x:v>134</x:v>
      </x:c>
      <x:c r="I587" s="9" t="n">
        <x:f>SUM(SalesLines!N1439)</x:f>
        <x:v>6.7</x:v>
      </x:c>
      <x:c r="J587" s="9" t="n">
        <x:f>SUM(SalesLines!P1439)</x:f>
        <x:v>0</x:v>
      </x:c>
      <x:c r="K587" s="11" t="n">
        <x:f>SUM(SalesLines!R1439)</x:f>
        <x:v>1</x:v>
      </x:c>
      <x:c r="L587" s="11" t="n">
        <x:f>SUM(SalesLines!S1439)</x:f>
        <x:v>0</x:v>
      </x:c>
      <x:c r="M587" s="8" t="n">
        <x:f>DATE(YEAR(C587),MONTH(C587),1)</x:f>
        <x:v>45931</x:v>
      </x:c>
    </x:row>
    <x:row r="588" ht="22" customHeight="1">
      <x:c r="A588" s="2" t="str">
        <x:v>O00584</x:v>
      </x:c>
      <x:c r="B588" s="2" t="str">
        <x:v>C0139</x:v>
      </x:c>
      <x:c r="C588" s="7" t="n">
        <x:v>45785</x:v>
      </x:c>
      <x:c r="D588" s="2" t="str">
        <x:v>Cancelled</x:v>
      </x:c>
      <x:c r="E588" s="2" t="str">
        <x:v>North</x:v>
      </x:c>
      <x:c r="F588" s="2" t="str">
        <x:v>Online</x:v>
      </x:c>
      <x:c r="G588" s="9" t="n">
        <x:f>SUM(SalesLines!Q1440,SalesLines!Q1441)</x:f>
        <x:v>0</x:v>
      </x:c>
      <x:c r="H588" s="9" t="n">
        <x:f>SUM(SalesLines!M1440,SalesLines!M1441)</x:f>
        <x:v>0</x:v>
      </x:c>
      <x:c r="I588" s="9" t="n">
        <x:f>SUM(SalesLines!N1440,SalesLines!N1441)</x:f>
        <x:v>0</x:v>
      </x:c>
      <x:c r="J588" s="9" t="n">
        <x:f>SUM(SalesLines!P1440,SalesLines!P1441)</x:f>
        <x:v>0</x:v>
      </x:c>
      <x:c r="K588" s="11" t="n">
        <x:f>SUM(SalesLines!R1440,SalesLines!R1441)</x:f>
        <x:v>0</x:v>
      </x:c>
      <x:c r="L588" s="11" t="n">
        <x:f>SUM(SalesLines!S1440,SalesLines!S1441)</x:f>
        <x:v>0</x:v>
      </x:c>
      <x:c r="M588" s="8" t="n">
        <x:f>DATE(YEAR(C588),MONTH(C588),1)</x:f>
        <x:v>45778</x:v>
      </x:c>
    </x:row>
    <x:row r="589" ht="22" customHeight="1">
      <x:c r="A589" s="2" t="str">
        <x:v>O00585</x:v>
      </x:c>
      <x:c r="B589" s="2" t="str">
        <x:v>C0174</x:v>
      </x:c>
      <x:c r="C589" s="7" t="n">
        <x:v>45852</x:v>
      </x:c>
      <x:c r="D589" s="2" t="str">
        <x:v>Cancelled</x:v>
      </x:c>
      <x:c r="E589" s="2" t="str">
        <x:v>South</x:v>
      </x:c>
      <x:c r="F589" s="2" t="str">
        <x:v>Store</x:v>
      </x:c>
      <x:c r="G589" s="9" t="n">
        <x:f>SUM(SalesLines!Q1442)</x:f>
        <x:v>0</x:v>
      </x:c>
      <x:c r="H589" s="9" t="n">
        <x:f>SUM(SalesLines!M1442)</x:f>
        <x:v>0</x:v>
      </x:c>
      <x:c r="I589" s="9" t="n">
        <x:f>SUM(SalesLines!N1442)</x:f>
        <x:v>0</x:v>
      </x:c>
      <x:c r="J589" s="9" t="n">
        <x:f>SUM(SalesLines!P1442)</x:f>
        <x:v>0</x:v>
      </x:c>
      <x:c r="K589" s="11" t="n">
        <x:f>SUM(SalesLines!R1442)</x:f>
        <x:v>0</x:v>
      </x:c>
      <x:c r="L589" s="11" t="n">
        <x:f>SUM(SalesLines!S1442)</x:f>
        <x:v>0</x:v>
      </x:c>
      <x:c r="M589" s="8" t="n">
        <x:f>DATE(YEAR(C589),MONTH(C589),1)</x:f>
        <x:v>45839</x:v>
      </x:c>
    </x:row>
    <x:row r="590" ht="22" customHeight="1">
      <x:c r="A590" s="2" t="str">
        <x:v>O00586</x:v>
      </x:c>
      <x:c r="B590" s="2" t="str">
        <x:v>C0012</x:v>
      </x:c>
      <x:c r="C590" s="7" t="n">
        <x:v>46006</x:v>
      </x:c>
      <x:c r="D590" s="2" t="str">
        <x:v>Completed</x:v>
      </x:c>
      <x:c r="E590" s="2" t="str">
        <x:v>West</x:v>
      </x:c>
      <x:c r="F590" s="2" t="str">
        <x:v>Store</x:v>
      </x:c>
      <x:c r="G590" s="9" t="n">
        <x:f>SUM(SalesLines!Q1443,SalesLines!Q1444,SalesLines!Q1445)</x:f>
        <x:v>1765.5</x:v>
      </x:c>
      <x:c r="H590" s="9" t="n">
        <x:f>SUM(SalesLines!M1443,SalesLines!M1444,SalesLines!M1445)</x:f>
        <x:v>2130</x:v>
      </x:c>
      <x:c r="I590" s="9" t="n">
        <x:f>SUM(SalesLines!N1443,SalesLines!N1444,SalesLines!N1445)</x:f>
        <x:v>364.5</x:v>
      </x:c>
      <x:c r="J590" s="9" t="n">
        <x:f>SUM(SalesLines!P1443,SalesLines!P1444,SalesLines!P1445)</x:f>
        <x:v>0</x:v>
      </x:c>
      <x:c r="K590" s="11" t="n">
        <x:f>SUM(SalesLines!R1443,SalesLines!R1444,SalesLines!R1445)</x:f>
        <x:v>12</x:v>
      </x:c>
      <x:c r="L590" s="11" t="n">
        <x:f>SUM(SalesLines!S1443,SalesLines!S1444,SalesLines!S1445)</x:f>
        <x:v>0</x:v>
      </x:c>
      <x:c r="M590" s="8" t="n">
        <x:f>DATE(YEAR(C590),MONTH(C590),1)</x:f>
        <x:v>45992</x:v>
      </x:c>
    </x:row>
    <x:row r="591" ht="22" customHeight="1">
      <x:c r="A591" s="2" t="str">
        <x:v>O00587</x:v>
      </x:c>
      <x:c r="B591" s="2" t="str">
        <x:v>C0146</x:v>
      </x:c>
      <x:c r="C591" s="7" t="n">
        <x:v>45807</x:v>
      </x:c>
      <x:c r="D591" s="2" t="str">
        <x:v>Completed</x:v>
      </x:c>
      <x:c r="E591" s="2" t="str">
        <x:v>South</x:v>
      </x:c>
      <x:c r="F591" s="2" t="str">
        <x:v>Store</x:v>
      </x:c>
      <x:c r="G591" s="9" t="n">
        <x:f>SUM(SalesLines!Q1446,SalesLines!Q1447,SalesLines!Q1448)</x:f>
        <x:v>1790.5</x:v>
      </x:c>
      <x:c r="H591" s="9" t="n">
        <x:f>SUM(SalesLines!M1446,SalesLines!M1447,SalesLines!M1448)</x:f>
        <x:v>1869</x:v>
      </x:c>
      <x:c r="I591" s="9" t="n">
        <x:f>SUM(SalesLines!N1446,SalesLines!N1447,SalesLines!N1448)</x:f>
        <x:v>78.5</x:v>
      </x:c>
      <x:c r="J591" s="9" t="n">
        <x:f>SUM(SalesLines!P1446,SalesLines!P1447,SalesLines!P1448)</x:f>
        <x:v>0</x:v>
      </x:c>
      <x:c r="K591" s="11" t="n">
        <x:f>SUM(SalesLines!R1446,SalesLines!R1447,SalesLines!R1448)</x:f>
        <x:v>9</x:v>
      </x:c>
      <x:c r="L591" s="11" t="n">
        <x:f>SUM(SalesLines!S1446,SalesLines!S1447,SalesLines!S1448)</x:f>
        <x:v>0</x:v>
      </x:c>
      <x:c r="M591" s="8" t="n">
        <x:f>DATE(YEAR(C591),MONTH(C591),1)</x:f>
        <x:v>45778</x:v>
      </x:c>
    </x:row>
    <x:row r="592" ht="22" customHeight="1">
      <x:c r="A592" s="2" t="str">
        <x:v>O00588</x:v>
      </x:c>
      <x:c r="B592" s="2" t="str">
        <x:v>C0062</x:v>
      </x:c>
      <x:c r="C592" s="7" t="n">
        <x:v>45800</x:v>
      </x:c>
      <x:c r="D592" s="2" t="str">
        <x:v>Completed</x:v>
      </x:c>
      <x:c r="E592" s="2" t="str">
        <x:v>West</x:v>
      </x:c>
      <x:c r="F592" s="2" t="str">
        <x:v>Store</x:v>
      </x:c>
      <x:c r="G592" s="9" t="n">
        <x:f>SUM(SalesLines!Q1449)</x:f>
        <x:v>249.6</x:v>
      </x:c>
      <x:c r="H592" s="9" t="n">
        <x:f>SUM(SalesLines!M1449)</x:f>
        <x:v>312</x:v>
      </x:c>
      <x:c r="I592" s="9" t="n">
        <x:f>SUM(SalesLines!N1449)</x:f>
        <x:v>62.400000000000006</x:v>
      </x:c>
      <x:c r="J592" s="9" t="n">
        <x:f>SUM(SalesLines!P1449)</x:f>
        <x:v>0</x:v>
      </x:c>
      <x:c r="K592" s="11" t="n">
        <x:f>SUM(SalesLines!R1449)</x:f>
        <x:v>4</x:v>
      </x:c>
      <x:c r="L592" s="11" t="n">
        <x:f>SUM(SalesLines!S1449)</x:f>
        <x:v>0</x:v>
      </x:c>
      <x:c r="M592" s="8" t="n">
        <x:f>DATE(YEAR(C592),MONTH(C592),1)</x:f>
        <x:v>45778</x:v>
      </x:c>
    </x:row>
    <x:row r="593" ht="22" customHeight="1">
      <x:c r="A593" s="2" t="str">
        <x:v>O00589</x:v>
      </x:c>
      <x:c r="B593" s="2" t="str">
        <x:v>C0127</x:v>
      </x:c>
      <x:c r="C593" s="7" t="n">
        <x:v>45867</x:v>
      </x:c>
      <x:c r="D593" s="2" t="str">
        <x:v>Completed</x:v>
      </x:c>
      <x:c r="E593" s="2" t="str">
        <x:v>East</x:v>
      </x:c>
      <x:c r="F593" s="2" t="str">
        <x:v>Online</x:v>
      </x:c>
      <x:c r="G593" s="9" t="n">
        <x:f>SUM(SalesLines!Q1450)</x:f>
        <x:v>480</x:v>
      </x:c>
      <x:c r="H593" s="9" t="n">
        <x:f>SUM(SalesLines!M1450)</x:f>
        <x:v>600</x:v>
      </x:c>
      <x:c r="I593" s="9" t="n">
        <x:f>SUM(SalesLines!N1450)</x:f>
        <x:v>120</x:v>
      </x:c>
      <x:c r="J593" s="9" t="n">
        <x:f>SUM(SalesLines!P1450)</x:f>
        <x:v>0</x:v>
      </x:c>
      <x:c r="K593" s="11" t="n">
        <x:f>SUM(SalesLines!R1450)</x:f>
        <x:v>2</x:v>
      </x:c>
      <x:c r="L593" s="11" t="n">
        <x:f>SUM(SalesLines!S1450)</x:f>
        <x:v>0</x:v>
      </x:c>
      <x:c r="M593" s="8" t="n">
        <x:f>DATE(YEAR(C593),MONTH(C593),1)</x:f>
        <x:v>45839</x:v>
      </x:c>
    </x:row>
    <x:row r="594" ht="22" customHeight="1">
      <x:c r="A594" s="2" t="str">
        <x:v>O00590</x:v>
      </x:c>
      <x:c r="B594" s="2" t="str">
        <x:v>C0204</x:v>
      </x:c>
      <x:c r="C594" s="7" t="n">
        <x:v>45815</x:v>
      </x:c>
      <x:c r="D594" s="2" t="str">
        <x:v>Completed</x:v>
      </x:c>
      <x:c r="E594" s="2" t="str">
        <x:v>South</x:v>
      </x:c>
      <x:c r="F594" s="2" t="str">
        <x:v>Online</x:v>
      </x:c>
      <x:c r="G594" s="9" t="n">
        <x:f>SUM(SalesLines!Q1451,SalesLines!Q1452,SalesLines!Q1453,SalesLines!Q1454)</x:f>
        <x:v>2021.4</x:v>
      </x:c>
      <x:c r="H594" s="9" t="n">
        <x:f>SUM(SalesLines!M1451,SalesLines!M1452,SalesLines!M1453,SalesLines!M1454)</x:f>
        <x:v>2046</x:v>
      </x:c>
      <x:c r="I594" s="9" t="n">
        <x:f>SUM(SalesLines!N1451,SalesLines!N1452,SalesLines!N1453,SalesLines!N1454)</x:f>
        <x:v>24.6</x:v>
      </x:c>
      <x:c r="J594" s="9" t="n">
        <x:f>SUM(SalesLines!P1451,SalesLines!P1452,SalesLines!P1453,SalesLines!P1454)</x:f>
        <x:v>0</x:v>
      </x:c>
      <x:c r="K594" s="11" t="n">
        <x:f>SUM(SalesLines!R1451,SalesLines!R1452,SalesLines!R1453,SalesLines!R1454)</x:f>
        <x:v>14</x:v>
      </x:c>
      <x:c r="L594" s="11" t="n">
        <x:f>SUM(SalesLines!S1451,SalesLines!S1452,SalesLines!S1453,SalesLines!S1454)</x:f>
        <x:v>0</x:v>
      </x:c>
      <x:c r="M594" s="8" t="n">
        <x:f>DATE(YEAR(C594),MONTH(C594),1)</x:f>
        <x:v>45809</x:v>
      </x:c>
    </x:row>
    <x:row r="595" ht="22" customHeight="1">
      <x:c r="A595" s="2" t="str">
        <x:v>O00591</x:v>
      </x:c>
      <x:c r="B595" s="2" t="str">
        <x:v>C0084</x:v>
      </x:c>
      <x:c r="C595" s="7" t="n">
        <x:v>45658</x:v>
      </x:c>
      <x:c r="D595" s="2" t="str">
        <x:v>Completed</x:v>
      </x:c>
      <x:c r="E595" s="2" t="str">
        <x:v>West</x:v>
      </x:c>
      <x:c r="F595" s="2" t="str">
        <x:v>Store</x:v>
      </x:c>
      <x:c r="G595" s="9" t="n">
        <x:f>SUM(SalesLines!Q1455,SalesLines!Q1456)</x:f>
        <x:v>1023.8</x:v>
      </x:c>
      <x:c r="H595" s="9" t="n">
        <x:f>SUM(SalesLines!M1455,SalesLines!M1456)</x:f>
        <x:v>1052</x:v>
      </x:c>
      <x:c r="I595" s="9" t="n">
        <x:f>SUM(SalesLines!N1455,SalesLines!N1456)</x:f>
        <x:v>28.200000000000003</x:v>
      </x:c>
      <x:c r="J595" s="9" t="n">
        <x:f>SUM(SalesLines!P1455,SalesLines!P1456)</x:f>
        <x:v>0</x:v>
      </x:c>
      <x:c r="K595" s="11" t="n">
        <x:f>SUM(SalesLines!R1455,SalesLines!R1456)</x:f>
        <x:v>7</x:v>
      </x:c>
      <x:c r="L595" s="11" t="n">
        <x:f>SUM(SalesLines!S1455,SalesLines!S1456)</x:f>
        <x:v>0</x:v>
      </x:c>
      <x:c r="M595" s="8" t="n">
        <x:f>DATE(YEAR(C595),MONTH(C595),1)</x:f>
        <x:v>45658</x:v>
      </x:c>
    </x:row>
    <x:row r="596" ht="22" customHeight="1">
      <x:c r="A596" s="2" t="str">
        <x:v>O00592</x:v>
      </x:c>
      <x:c r="B596" s="2" t="str">
        <x:v>C0228</x:v>
      </x:c>
      <x:c r="C596" s="7" t="n">
        <x:v>45819</x:v>
      </x:c>
      <x:c r="D596" s="2" t="str">
        <x:v>Completed</x:v>
      </x:c>
      <x:c r="E596" s="2" t="str">
        <x:v>East</x:v>
      </x:c>
      <x:c r="F596" s="2" t="str">
        <x:v>Online</x:v>
      </x:c>
      <x:c r="G596" s="9" t="n">
        <x:f>SUM(SalesLines!Q1457)</x:f>
        <x:v>0</x:v>
      </x:c>
      <x:c r="H596" s="9" t="n">
        <x:f>SUM(SalesLines!M1457)</x:f>
        <x:v>175</x:v>
      </x:c>
      <x:c r="I596" s="9" t="n">
        <x:f>SUM(SalesLines!N1457)</x:f>
        <x:v>8.75</x:v>
      </x:c>
      <x:c r="J596" s="9" t="n">
        <x:f>SUM(SalesLines!P1457)</x:f>
        <x:v>166.25</x:v>
      </x:c>
      <x:c r="K596" s="11" t="n">
        <x:f>SUM(SalesLines!R1457)</x:f>
        <x:v>5</x:v>
      </x:c>
      <x:c r="L596" s="11" t="n">
        <x:f>SUM(SalesLines!S1457)</x:f>
        <x:v>5</x:v>
      </x:c>
      <x:c r="M596" s="8" t="n">
        <x:f>DATE(YEAR(C596),MONTH(C596),1)</x:f>
        <x:v>45809</x:v>
      </x:c>
    </x:row>
    <x:row r="597" ht="22" customHeight="1">
      <x:c r="A597" s="2" t="str">
        <x:v>O00593</x:v>
      </x:c>
      <x:c r="B597" s="2" t="str">
        <x:v>C0206</x:v>
      </x:c>
      <x:c r="C597" s="7" t="n">
        <x:v>45785</x:v>
      </x:c>
      <x:c r="D597" s="2" t="str">
        <x:v>Completed</x:v>
      </x:c>
      <x:c r="E597" s="2" t="str">
        <x:v>West</x:v>
      </x:c>
      <x:c r="F597" s="2" t="str">
        <x:v>Store</x:v>
      </x:c>
      <x:c r="G597" s="9" t="n">
        <x:f>SUM(SalesLines!Q1458,SalesLines!Q1459)</x:f>
        <x:v>1515.85</x:v>
      </x:c>
      <x:c r="H597" s="9" t="n">
        <x:f>SUM(SalesLines!M1458,SalesLines!M1459)</x:f>
        <x:v>1609</x:v>
      </x:c>
      <x:c r="I597" s="9" t="n">
        <x:f>SUM(SalesLines!N1458,SalesLines!N1459)</x:f>
        <x:v>93.15</x:v>
      </x:c>
      <x:c r="J597" s="9" t="n">
        <x:f>SUM(SalesLines!P1458,SalesLines!P1459)</x:f>
        <x:v>0</x:v>
      </x:c>
      <x:c r="K597" s="11" t="n">
        <x:f>SUM(SalesLines!R1458,SalesLines!R1459)</x:f>
        <x:v>6</x:v>
      </x:c>
      <x:c r="L597" s="11" t="n">
        <x:f>SUM(SalesLines!S1458,SalesLines!S1459)</x:f>
        <x:v>0</x:v>
      </x:c>
      <x:c r="M597" s="8" t="n">
        <x:f>DATE(YEAR(C597),MONTH(C597),1)</x:f>
        <x:v>45778</x:v>
      </x:c>
    </x:row>
    <x:row r="598" ht="22" customHeight="1">
      <x:c r="A598" s="2" t="str">
        <x:v>O00594</x:v>
      </x:c>
      <x:c r="B598" s="2" t="str">
        <x:v>C0008</x:v>
      </x:c>
      <x:c r="C598" s="7" t="n">
        <x:v>45883</x:v>
      </x:c>
      <x:c r="D598" s="2" t="str">
        <x:v>Completed</x:v>
      </x:c>
      <x:c r="E598" s="2" t="str">
        <x:v>North</x:v>
      </x:c>
      <x:c r="F598" s="2" t="str">
        <x:v>Online</x:v>
      </x:c>
      <x:c r="G598" s="9" t="n">
        <x:f>SUM(SalesLines!Q1460)</x:f>
        <x:v>217.6</x:v>
      </x:c>
      <x:c r="H598" s="9" t="n">
        <x:f>SUM(SalesLines!M1460)</x:f>
        <x:v>272</x:v>
      </x:c>
      <x:c r="I598" s="9" t="n">
        <x:f>SUM(SalesLines!N1460)</x:f>
        <x:v>54.400000000000006</x:v>
      </x:c>
      <x:c r="J598" s="9" t="n">
        <x:f>SUM(SalesLines!P1460)</x:f>
        <x:v>0</x:v>
      </x:c>
      <x:c r="K598" s="11" t="n">
        <x:f>SUM(SalesLines!R1460)</x:f>
        <x:v>4</x:v>
      </x:c>
      <x:c r="L598" s="11" t="n">
        <x:f>SUM(SalesLines!S1460)</x:f>
        <x:v>0</x:v>
      </x:c>
      <x:c r="M598" s="8" t="n">
        <x:f>DATE(YEAR(C598),MONTH(C598),1)</x:f>
        <x:v>45870</x:v>
      </x:c>
    </x:row>
    <x:row r="599" ht="22" customHeight="1">
      <x:c r="A599" s="2" t="str">
        <x:v>O00595</x:v>
      </x:c>
      <x:c r="B599" s="2" t="str">
        <x:v>C0023</x:v>
      </x:c>
      <x:c r="C599" s="7" t="n">
        <x:v>45669</x:v>
      </x:c>
      <x:c r="D599" s="2" t="str">
        <x:v>Completed</x:v>
      </x:c>
      <x:c r="E599" s="2" t="str">
        <x:v>South</x:v>
      </x:c>
      <x:c r="F599" s="2" t="str">
        <x:v>Store</x:v>
      </x:c>
      <x:c r="G599" s="9" t="n">
        <x:f>SUM(SalesLines!Q1461,SalesLines!Q1462,SalesLines!Q1463,SalesLines!Q1464)</x:f>
        <x:v>977.2</x:v>
      </x:c>
      <x:c r="H599" s="9" t="n">
        <x:f>SUM(SalesLines!M1461,SalesLines!M1462,SalesLines!M1463,SalesLines!M1464)</x:f>
        <x:v>1183</x:v>
      </x:c>
      <x:c r="I599" s="9" t="n">
        <x:f>SUM(SalesLines!N1461,SalesLines!N1462,SalesLines!N1463,SalesLines!N1464)</x:f>
        <x:v>89.9</x:v>
      </x:c>
      <x:c r="J599" s="9" t="n">
        <x:f>SUM(SalesLines!P1461,SalesLines!P1462,SalesLines!P1463,SalesLines!P1464)</x:f>
        <x:v>115.89999999999999</x:v>
      </x:c>
      <x:c r="K599" s="11" t="n">
        <x:f>SUM(SalesLines!R1461,SalesLines!R1462,SalesLines!R1463,SalesLines!R1464)</x:f>
        <x:v>10</x:v>
      </x:c>
      <x:c r="L599" s="11" t="n">
        <x:f>SUM(SalesLines!S1461,SalesLines!S1462,SalesLines!S1463,SalesLines!S1464)</x:f>
        <x:v>1</x:v>
      </x:c>
      <x:c r="M599" s="8" t="n">
        <x:f>DATE(YEAR(C599),MONTH(C599),1)</x:f>
        <x:v>45658</x:v>
      </x:c>
    </x:row>
    <x:row r="600" ht="22" customHeight="1">
      <x:c r="A600" s="2" t="str">
        <x:v>O00596</x:v>
      </x:c>
      <x:c r="B600" s="2" t="str">
        <x:v>C0223</x:v>
      </x:c>
      <x:c r="C600" s="7" t="n">
        <x:v>45923</x:v>
      </x:c>
      <x:c r="D600" s="2" t="str">
        <x:v>Completed</x:v>
      </x:c>
      <x:c r="E600" s="2" t="str">
        <x:v>East</x:v>
      </x:c>
      <x:c r="F600" s="2" t="str">
        <x:v>Online</x:v>
      </x:c>
      <x:c r="G600" s="9" t="n">
        <x:f>SUM(SalesLines!Q1465,SalesLines!Q1466)</x:f>
        <x:v>1519.15</x:v>
      </x:c>
      <x:c r="H600" s="9" t="n">
        <x:f>SUM(SalesLines!M1465,SalesLines!M1466)</x:f>
        <x:v>1769</x:v>
      </x:c>
      <x:c r="I600" s="9" t="n">
        <x:f>SUM(SalesLines!N1465,SalesLines!N1466)</x:f>
        <x:v>249.85000000000002</x:v>
      </x:c>
      <x:c r="J600" s="9" t="n">
        <x:f>SUM(SalesLines!P1465,SalesLines!P1466)</x:f>
        <x:v>0</x:v>
      </x:c>
      <x:c r="K600" s="11" t="n">
        <x:f>SUM(SalesLines!R1465,SalesLines!R1466)</x:f>
        <x:v>7</x:v>
      </x:c>
      <x:c r="L600" s="11" t="n">
        <x:f>SUM(SalesLines!S1465,SalesLines!S1466)</x:f>
        <x:v>0</x:v>
      </x:c>
      <x:c r="M600" s="8" t="n">
        <x:f>DATE(YEAR(C600),MONTH(C600),1)</x:f>
        <x:v>45901</x:v>
      </x:c>
    </x:row>
    <x:row r="601" ht="22" customHeight="1">
      <x:c r="A601" s="2" t="str">
        <x:v>O00597</x:v>
      </x:c>
      <x:c r="B601" s="2" t="str">
        <x:v>C0036</x:v>
      </x:c>
      <x:c r="C601" s="7" t="n">
        <x:v>45971</x:v>
      </x:c>
      <x:c r="D601" s="2" t="str">
        <x:v>Completed</x:v>
      </x:c>
      <x:c r="E601" s="2" t="str">
        <x:v>West</x:v>
      </x:c>
      <x:c r="F601" s="2" t="str">
        <x:v>Store</x:v>
      </x:c>
      <x:c r="G601" s="9" t="n">
        <x:f>SUM(SalesLines!Q1467,SalesLines!Q1468,SalesLines!Q1469,SalesLines!Q1470)</x:f>
        <x:v>2048.85</x:v>
      </x:c>
      <x:c r="H601" s="9" t="n">
        <x:f>SUM(SalesLines!M1467,SalesLines!M1468,SalesLines!M1469,SalesLines!M1470)</x:f>
        <x:v>2307</x:v>
      </x:c>
      <x:c r="I601" s="9" t="n">
        <x:f>SUM(SalesLines!N1467,SalesLines!N1468,SalesLines!N1469,SalesLines!N1470)</x:f>
        <x:v>258.15</x:v>
      </x:c>
      <x:c r="J601" s="9" t="n">
        <x:f>SUM(SalesLines!P1467,SalesLines!P1468,SalesLines!P1469,SalesLines!P1470)</x:f>
        <x:v>0</x:v>
      </x:c>
      <x:c r="K601" s="11" t="n">
        <x:f>SUM(SalesLines!R1467,SalesLines!R1468,SalesLines!R1469,SalesLines!R1470)</x:f>
        <x:v>11</x:v>
      </x:c>
      <x:c r="L601" s="11" t="n">
        <x:f>SUM(SalesLines!S1467,SalesLines!S1468,SalesLines!S1469,SalesLines!S1470)</x:f>
        <x:v>0</x:v>
      </x:c>
      <x:c r="M601" s="8" t="n">
        <x:f>DATE(YEAR(C601),MONTH(C601),1)</x:f>
        <x:v>45962</x:v>
      </x:c>
    </x:row>
    <x:row r="602" ht="22" customHeight="1">
      <x:c r="A602" s="2" t="str">
        <x:v>O00598</x:v>
      </x:c>
      <x:c r="B602" s="2" t="str">
        <x:v>C0003</x:v>
      </x:c>
      <x:c r="C602" s="7" t="n">
        <x:v>45731</x:v>
      </x:c>
      <x:c r="D602" s="2" t="str">
        <x:v>Completed</x:v>
      </x:c>
      <x:c r="E602" s="2" t="str">
        <x:v>North</x:v>
      </x:c>
      <x:c r="F602" s="2" t="str">
        <x:v>Online</x:v>
      </x:c>
      <x:c r="G602" s="9" t="n">
        <x:f>SUM(SalesLines!Q1471,SalesLines!Q1472,SalesLines!Q1473,SalesLines!Q1474)</x:f>
        <x:v>1945.8</x:v>
      </x:c>
      <x:c r="H602" s="9" t="n">
        <x:f>SUM(SalesLines!M1471,SalesLines!M1472,SalesLines!M1473,SalesLines!M1474)</x:f>
        <x:v>2190</x:v>
      </x:c>
      <x:c r="I602" s="9" t="n">
        <x:f>SUM(SalesLines!N1471,SalesLines!N1472,SalesLines!N1473,SalesLines!N1474)</x:f>
        <x:v>244.20000000000002</x:v>
      </x:c>
      <x:c r="J602" s="9" t="n">
        <x:f>SUM(SalesLines!P1471,SalesLines!P1472,SalesLines!P1473,SalesLines!P1474)</x:f>
        <x:v>0</x:v>
      </x:c>
      <x:c r="K602" s="11" t="n">
        <x:f>SUM(SalesLines!R1471,SalesLines!R1472,SalesLines!R1473,SalesLines!R1474)</x:f>
        <x:v>12</x:v>
      </x:c>
      <x:c r="L602" s="11" t="n">
        <x:f>SUM(SalesLines!S1471,SalesLines!S1472,SalesLines!S1473,SalesLines!S1474)</x:f>
        <x:v>0</x:v>
      </x:c>
      <x:c r="M602" s="8" t="n">
        <x:f>DATE(YEAR(C602),MONTH(C602),1)</x:f>
        <x:v>45717</x:v>
      </x:c>
    </x:row>
    <x:row r="603" ht="22" customHeight="1">
      <x:c r="A603" s="2" t="str">
        <x:v>O00599</x:v>
      </x:c>
      <x:c r="B603" s="2" t="str">
        <x:v>C0112</x:v>
      </x:c>
      <x:c r="C603" s="7" t="n">
        <x:v>45718</x:v>
      </x:c>
      <x:c r="D603" s="2" t="str">
        <x:v>Completed</x:v>
      </x:c>
      <x:c r="E603" s="2" t="str">
        <x:v>South</x:v>
      </x:c>
      <x:c r="F603" s="2" t="str">
        <x:v>Online</x:v>
      </x:c>
      <x:c r="G603" s="9" t="n">
        <x:f>SUM(SalesLines!Q1475,SalesLines!Q1476,SalesLines!Q1477)</x:f>
        <x:v>2175.75</x:v>
      </x:c>
      <x:c r="H603" s="9" t="n">
        <x:f>SUM(SalesLines!M1475,SalesLines!M1476,SalesLines!M1477)</x:f>
        <x:v>2246</x:v>
      </x:c>
      <x:c r="I603" s="9" t="n">
        <x:f>SUM(SalesLines!N1475,SalesLines!N1476,SalesLines!N1477)</x:f>
        <x:v>70.25</x:v>
      </x:c>
      <x:c r="J603" s="9" t="n">
        <x:f>SUM(SalesLines!P1475,SalesLines!P1476,SalesLines!P1477)</x:f>
        <x:v>0</x:v>
      </x:c>
      <x:c r="K603" s="11" t="n">
        <x:f>SUM(SalesLines!R1475,SalesLines!R1476,SalesLines!R1477)</x:f>
        <x:v>14</x:v>
      </x:c>
      <x:c r="L603" s="11" t="n">
        <x:f>SUM(SalesLines!S1475,SalesLines!S1476,SalesLines!S1477)</x:f>
        <x:v>0</x:v>
      </x:c>
      <x:c r="M603" s="8" t="n">
        <x:f>DATE(YEAR(C603),MONTH(C603),1)</x:f>
        <x:v>45717</x:v>
      </x:c>
    </x:row>
    <x:row r="604" ht="22" customHeight="1">
      <x:c r="A604" s="2" t="str">
        <x:v>O00600</x:v>
      </x:c>
      <x:c r="B604" s="2" t="str">
        <x:v>C0146</x:v>
      </x:c>
      <x:c r="C604" s="7" t="n">
        <x:v>46018</x:v>
      </x:c>
      <x:c r="D604" s="2" t="str">
        <x:v>Completed</x:v>
      </x:c>
      <x:c r="E604" s="2" t="str">
        <x:v>South</x:v>
      </x:c>
      <x:c r="F604" s="2" t="str">
        <x:v>Store</x:v>
      </x:c>
      <x:c r="G604" s="9" t="n">
        <x:f>SUM(SalesLines!Q1478,SalesLines!Q1479,SalesLines!Q1480,SalesLines!Q1481)</x:f>
        <x:v>1777.8000000000002</x:v>
      </x:c>
      <x:c r="H604" s="9" t="n">
        <x:f>SUM(SalesLines!M1478,SalesLines!M1479,SalesLines!M1480,SalesLines!M1481)</x:f>
        <x:v>1998</x:v>
      </x:c>
      <x:c r="I604" s="9" t="n">
        <x:f>SUM(SalesLines!N1478,SalesLines!N1479,SalesLines!N1480,SalesLines!N1481)</x:f>
        <x:v>220.2</x:v>
      </x:c>
      <x:c r="J604" s="9" t="n">
        <x:f>SUM(SalesLines!P1478,SalesLines!P1479,SalesLines!P1480,SalesLines!P1481)</x:f>
        <x:v>0</x:v>
      </x:c>
      <x:c r="K604" s="11" t="n">
        <x:f>SUM(SalesLines!R1478,SalesLines!R1479,SalesLines!R1480,SalesLines!R1481)</x:f>
        <x:v>15</x:v>
      </x:c>
      <x:c r="L604" s="11" t="n">
        <x:f>SUM(SalesLines!S1478,SalesLines!S1479,SalesLines!S1480,SalesLines!S1481)</x:f>
        <x:v>0</x:v>
      </x:c>
      <x:c r="M604" s="8" t="n">
        <x:f>DATE(YEAR(C604),MONTH(C604),1)</x:f>
        <x:v>45992</x:v>
      </x:c>
    </x:row>
    <x:row r="605" ht="22" customHeight="1">
      <x:c r="A605" s="2" t="str">
        <x:v>O00601</x:v>
      </x:c>
      <x:c r="B605" s="2" t="str">
        <x:v>C0153</x:v>
      </x:c>
      <x:c r="C605" s="7" t="n">
        <x:v>45701</x:v>
      </x:c>
      <x:c r="D605" s="2" t="str">
        <x:v>Completed</x:v>
      </x:c>
      <x:c r="E605" s="2" t="str">
        <x:v>East</x:v>
      </x:c>
      <x:c r="F605" s="2" t="str">
        <x:v>Store</x:v>
      </x:c>
      <x:c r="G605" s="9" t="n">
        <x:f>SUM(SalesLines!Q1482,SalesLines!Q1483,SalesLines!Q1484,SalesLines!Q1485)</x:f>
        <x:v>1615</x:v>
      </x:c>
      <x:c r="H605" s="9" t="n">
        <x:f>SUM(SalesLines!M1482,SalesLines!M1483,SalesLines!M1484,SalesLines!M1485)</x:f>
        <x:v>1741</x:v>
      </x:c>
      <x:c r="I605" s="9" t="n">
        <x:f>SUM(SalesLines!N1482,SalesLines!N1483,SalesLines!N1484,SalesLines!N1485)</x:f>
        <x:v>49.05</x:v>
      </x:c>
      <x:c r="J605" s="9" t="n">
        <x:f>SUM(SalesLines!P1482,SalesLines!P1483,SalesLines!P1484,SalesLines!P1485)</x:f>
        <x:v>76.95</x:v>
      </x:c>
      <x:c r="K605" s="11" t="n">
        <x:f>SUM(SalesLines!R1482,SalesLines!R1483,SalesLines!R1484,SalesLines!R1485)</x:f>
        <x:v>8</x:v>
      </x:c>
      <x:c r="L605" s="11" t="n">
        <x:f>SUM(SalesLines!S1482,SalesLines!S1483,SalesLines!S1484,SalesLines!S1485)</x:f>
        <x:v>1</x:v>
      </x:c>
      <x:c r="M605" s="8" t="n">
        <x:f>DATE(YEAR(C605),MONTH(C605),1)</x:f>
        <x:v>45689</x:v>
      </x:c>
    </x:row>
    <x:row r="606" ht="22" customHeight="1">
      <x:c r="A606" s="2" t="str">
        <x:v>O00602</x:v>
      </x:c>
      <x:c r="B606" s="2" t="str">
        <x:v>C0202</x:v>
      </x:c>
      <x:c r="C606" s="7" t="n">
        <x:v>45711</x:v>
      </x:c>
      <x:c r="D606" s="2" t="str">
        <x:v>Completed</x:v>
      </x:c>
      <x:c r="E606" s="2" t="str">
        <x:v>South</x:v>
      </x:c>
      <x:c r="F606" s="2" t="str">
        <x:v>Online</x:v>
      </x:c>
      <x:c r="G606" s="9" t="n">
        <x:f>SUM(SalesLines!Q1486,SalesLines!Q1487,SalesLines!Q1488)</x:f>
        <x:v>2722.4</x:v>
      </x:c>
      <x:c r="H606" s="9" t="n">
        <x:f>SUM(SalesLines!M1486,SalesLines!M1487,SalesLines!M1488)</x:f>
        <x:v>3028</x:v>
      </x:c>
      <x:c r="I606" s="9" t="n">
        <x:f>SUM(SalesLines!N1486,SalesLines!N1487,SalesLines!N1488)</x:f>
        <x:v>305.6</x:v>
      </x:c>
      <x:c r="J606" s="9" t="n">
        <x:f>SUM(SalesLines!P1486,SalesLines!P1487,SalesLines!P1488)</x:f>
        <x:v>0</x:v>
      </x:c>
      <x:c r="K606" s="11" t="n">
        <x:f>SUM(SalesLines!R1486,SalesLines!R1487,SalesLines!R1488)</x:f>
        <x:v>11</x:v>
      </x:c>
      <x:c r="L606" s="11" t="n">
        <x:f>SUM(SalesLines!S1486,SalesLines!S1487,SalesLines!S1488)</x:f>
        <x:v>0</x:v>
      </x:c>
      <x:c r="M606" s="8" t="n">
        <x:f>DATE(YEAR(C606),MONTH(C606),1)</x:f>
        <x:v>45689</x:v>
      </x:c>
    </x:row>
    <x:row r="607" ht="22" customHeight="1">
      <x:c r="A607" s="2" t="str">
        <x:v>O00603</x:v>
      </x:c>
      <x:c r="B607" s="2" t="str">
        <x:v>C0039</x:v>
      </x:c>
      <x:c r="C607" s="7" t="n">
        <x:v>46011</x:v>
      </x:c>
      <x:c r="D607" s="2" t="str">
        <x:v>Completed</x:v>
      </x:c>
      <x:c r="E607" s="2" t="str">
        <x:v>North</x:v>
      </x:c>
      <x:c r="F607" s="2" t="str">
        <x:v>Store</x:v>
      </x:c>
      <x:c r="G607" s="9" t="n">
        <x:f>SUM(SalesLines!Q1489,SalesLines!Q1490,SalesLines!Q1491)</x:f>
        <x:v>1358.1</x:v>
      </x:c>
      <x:c r="H607" s="9" t="n">
        <x:f>SUM(SalesLines!M1489,SalesLines!M1490,SalesLines!M1491)</x:f>
        <x:v>1551</x:v>
      </x:c>
      <x:c r="I607" s="9" t="n">
        <x:f>SUM(SalesLines!N1489,SalesLines!N1490,SalesLines!N1491)</x:f>
        <x:v>192.9</x:v>
      </x:c>
      <x:c r="J607" s="9" t="n">
        <x:f>SUM(SalesLines!P1489,SalesLines!P1490,SalesLines!P1491)</x:f>
        <x:v>0</x:v>
      </x:c>
      <x:c r="K607" s="11" t="n">
        <x:f>SUM(SalesLines!R1489,SalesLines!R1490,SalesLines!R1491)</x:f>
        <x:v>12</x:v>
      </x:c>
      <x:c r="L607" s="11" t="n">
        <x:f>SUM(SalesLines!S1489,SalesLines!S1490,SalesLines!S1491)</x:f>
        <x:v>0</x:v>
      </x:c>
      <x:c r="M607" s="8" t="n">
        <x:f>DATE(YEAR(C607),MONTH(C607),1)</x:f>
        <x:v>45992</x:v>
      </x:c>
    </x:row>
    <x:row r="608" ht="22" customHeight="1">
      <x:c r="A608" s="2" t="str">
        <x:v>O00604</x:v>
      </x:c>
      <x:c r="B608" s="2" t="str">
        <x:v>C0011</x:v>
      </x:c>
      <x:c r="C608" s="7" t="n">
        <x:v>45682</x:v>
      </x:c>
      <x:c r="D608" s="2" t="str">
        <x:v>Completed</x:v>
      </x:c>
      <x:c r="E608" s="2" t="str">
        <x:v>North</x:v>
      </x:c>
      <x:c r="F608" s="2" t="str">
        <x:v>Store</x:v>
      </x:c>
      <x:c r="G608" s="9" t="n">
        <x:f>SUM(SalesLines!Q1492,SalesLines!Q1493,SalesLines!Q1494)</x:f>
        <x:v>2148.7</x:v>
      </x:c>
      <x:c r="H608" s="9" t="n">
        <x:f>SUM(SalesLines!M1492,SalesLines!M1493,SalesLines!M1494)</x:f>
        <x:v>2498</x:v>
      </x:c>
      <x:c r="I608" s="9" t="n">
        <x:f>SUM(SalesLines!N1492,SalesLines!N1493,SalesLines!N1494)</x:f>
        <x:v>349.3</x:v>
      </x:c>
      <x:c r="J608" s="9" t="n">
        <x:f>SUM(SalesLines!P1492,SalesLines!P1493,SalesLines!P1494)</x:f>
        <x:v>0</x:v>
      </x:c>
      <x:c r="K608" s="11" t="n">
        <x:f>SUM(SalesLines!R1492,SalesLines!R1493,SalesLines!R1494)</x:f>
        <x:v>12</x:v>
      </x:c>
      <x:c r="L608" s="11" t="n">
        <x:f>SUM(SalesLines!S1492,SalesLines!S1493,SalesLines!S1494)</x:f>
        <x:v>0</x:v>
      </x:c>
      <x:c r="M608" s="8" t="n">
        <x:f>DATE(YEAR(C608),MONTH(C608),1)</x:f>
        <x:v>45658</x:v>
      </x:c>
    </x:row>
    <x:row r="609" ht="22" customHeight="1">
      <x:c r="A609" s="2" t="str">
        <x:v>O00605</x:v>
      </x:c>
      <x:c r="B609" s="2" t="str">
        <x:v>C0244</x:v>
      </x:c>
      <x:c r="C609" s="7" t="n">
        <x:v>45990</x:v>
      </x:c>
      <x:c r="D609" s="2" t="str">
        <x:v>Completed</x:v>
      </x:c>
      <x:c r="E609" s="2" t="str">
        <x:v>South</x:v>
      </x:c>
      <x:c r="F609" s="2" t="str">
        <x:v>Store</x:v>
      </x:c>
      <x:c r="G609" s="9" t="n">
        <x:f>SUM(SalesLines!Q1495)</x:f>
        <x:v>107.19999999999999</x:v>
      </x:c>
      <x:c r="H609" s="9" t="n">
        <x:f>SUM(SalesLines!M1495)</x:f>
        <x:v>536</x:v>
      </x:c>
      <x:c r="I609" s="9" t="n">
        <x:f>SUM(SalesLines!N1495)</x:f>
        <x:v>107.2</x:v>
      </x:c>
      <x:c r="J609" s="9" t="n">
        <x:f>SUM(SalesLines!P1495)</x:f>
        <x:v>321.6</x:v>
      </x:c>
      <x:c r="K609" s="11" t="n">
        <x:f>SUM(SalesLines!R1495)</x:f>
        <x:v>4</x:v>
      </x:c>
      <x:c r="L609" s="11" t="n">
        <x:f>SUM(SalesLines!S1495)</x:f>
        <x:v>3</x:v>
      </x:c>
      <x:c r="M609" s="8" t="n">
        <x:f>DATE(YEAR(C609),MONTH(C609),1)</x:f>
        <x:v>45962</x:v>
      </x:c>
    </x:row>
    <x:row r="610" ht="22" customHeight="1">
      <x:c r="A610" s="2" t="str">
        <x:v>O00606</x:v>
      </x:c>
      <x:c r="B610" s="2" t="str">
        <x:v>C0051</x:v>
      </x:c>
      <x:c r="C610" s="7" t="n">
        <x:v>45690</x:v>
      </x:c>
      <x:c r="D610" s="2" t="str">
        <x:v>Completed</x:v>
      </x:c>
      <x:c r="E610" s="2" t="str">
        <x:v>West</x:v>
      </x:c>
      <x:c r="F610" s="2" t="str">
        <x:v>Store</x:v>
      </x:c>
      <x:c r="G610" s="9" t="n">
        <x:f>SUM(SalesLines!Q1496,SalesLines!Q1497,SalesLines!Q1498,SalesLines!Q1499)</x:f>
        <x:v>2128.8</x:v>
      </x:c>
      <x:c r="H610" s="9" t="n">
        <x:f>SUM(SalesLines!M1496,SalesLines!M1497,SalesLines!M1498,SalesLines!M1499)</x:f>
        <x:v>2420</x:v>
      </x:c>
      <x:c r="I610" s="9" t="n">
        <x:f>SUM(SalesLines!N1496,SalesLines!N1497,SalesLines!N1498,SalesLines!N1499)</x:f>
        <x:v>291.20000000000005</x:v>
      </x:c>
      <x:c r="J610" s="9" t="n">
        <x:f>SUM(SalesLines!P1496,SalesLines!P1497,SalesLines!P1498,SalesLines!P1499)</x:f>
        <x:v>0</x:v>
      </x:c>
      <x:c r="K610" s="11" t="n">
        <x:f>SUM(SalesLines!R1496,SalesLines!R1497,SalesLines!R1498,SalesLines!R1499)</x:f>
        <x:v>14</x:v>
      </x:c>
      <x:c r="L610" s="11" t="n">
        <x:f>SUM(SalesLines!S1496,SalesLines!S1497,SalesLines!S1498,SalesLines!S1499)</x:f>
        <x:v>0</x:v>
      </x:c>
      <x:c r="M610" s="8" t="n">
        <x:f>DATE(YEAR(C610),MONTH(C610),1)</x:f>
        <x:v>45689</x:v>
      </x:c>
    </x:row>
    <x:row r="611" ht="22" customHeight="1">
      <x:c r="A611" s="2" t="str">
        <x:v>O00607</x:v>
      </x:c>
      <x:c r="B611" s="2" t="str">
        <x:v>C0276</x:v>
      </x:c>
      <x:c r="C611" s="7" t="n">
        <x:v>45731</x:v>
      </x:c>
      <x:c r="D611" s="2" t="str">
        <x:v>Completed</x:v>
      </x:c>
      <x:c r="E611" s="2" t="str">
        <x:v>South</x:v>
      </x:c>
      <x:c r="F611" s="2" t="str">
        <x:v>Store</x:v>
      </x:c>
      <x:c r="G611" s="9" t="n">
        <x:f>SUM(SalesLines!Q1500,SalesLines!Q1501)</x:f>
        <x:v>2420.75</x:v>
      </x:c>
      <x:c r="H611" s="9" t="n">
        <x:f>SUM(SalesLines!M1500,SalesLines!M1501)</x:f>
        <x:v>2615</x:v>
      </x:c>
      <x:c r="I611" s="9" t="n">
        <x:f>SUM(SalesLines!N1500,SalesLines!N1501)</x:f>
        <x:v>194.25</x:v>
      </x:c>
      <x:c r="J611" s="9" t="n">
        <x:f>SUM(SalesLines!P1500,SalesLines!P1501)</x:f>
        <x:v>0</x:v>
      </x:c>
      <x:c r="K611" s="11" t="n">
        <x:f>SUM(SalesLines!R1500,SalesLines!R1501)</x:f>
        <x:v>10</x:v>
      </x:c>
      <x:c r="L611" s="11" t="n">
        <x:f>SUM(SalesLines!S1500,SalesLines!S1501)</x:f>
        <x:v>0</x:v>
      </x:c>
      <x:c r="M611" s="8" t="n">
        <x:f>DATE(YEAR(C611),MONTH(C611),1)</x:f>
        <x:v>45717</x:v>
      </x:c>
    </x:row>
    <x:row r="612" ht="22" customHeight="1">
      <x:c r="A612" s="2" t="str">
        <x:v>O00608</x:v>
      </x:c>
      <x:c r="B612" s="2" t="str">
        <x:v>C0250</x:v>
      </x:c>
      <x:c r="C612" s="7" t="n">
        <x:v>45914</x:v>
      </x:c>
      <x:c r="D612" s="2" t="str">
        <x:v>Completed</x:v>
      </x:c>
      <x:c r="E612" s="2" t="str">
        <x:v>West</x:v>
      </x:c>
      <x:c r="F612" s="2" t="str">
        <x:v>Online</x:v>
      </x:c>
      <x:c r="G612" s="9" t="n">
        <x:f>SUM(SalesLines!Q1502,SalesLines!Q1503,SalesLines!Q1504)</x:f>
        <x:v>2678.4</x:v>
      </x:c>
      <x:c r="H612" s="9" t="n">
        <x:f>SUM(SalesLines!M1502,SalesLines!M1503,SalesLines!M1504)</x:f>
        <x:v>3348</x:v>
      </x:c>
      <x:c r="I612" s="9" t="n">
        <x:f>SUM(SalesLines!N1502,SalesLines!N1503,SalesLines!N1504)</x:f>
        <x:v>669.6</x:v>
      </x:c>
      <x:c r="J612" s="9" t="n">
        <x:f>SUM(SalesLines!P1502,SalesLines!P1503,SalesLines!P1504)</x:f>
        <x:v>0</x:v>
      </x:c>
      <x:c r="K612" s="11" t="n">
        <x:f>SUM(SalesLines!R1502,SalesLines!R1503,SalesLines!R1504)</x:f>
        <x:v>13</x:v>
      </x:c>
      <x:c r="L612" s="11" t="n">
        <x:f>SUM(SalesLines!S1502,SalesLines!S1503,SalesLines!S1504)</x:f>
        <x:v>0</x:v>
      </x:c>
      <x:c r="M612" s="8" t="n">
        <x:f>DATE(YEAR(C612),MONTH(C612),1)</x:f>
        <x:v>45901</x:v>
      </x:c>
    </x:row>
    <x:row r="613" ht="22" customHeight="1">
      <x:c r="A613" s="2" t="str">
        <x:v>O00609</x:v>
      </x:c>
      <x:c r="B613" s="2" t="str">
        <x:v>C0247</x:v>
      </x:c>
      <x:c r="C613" s="7" t="n">
        <x:v>45818</x:v>
      </x:c>
      <x:c r="D613" s="2" t="str">
        <x:v>Completed</x:v>
      </x:c>
      <x:c r="E613" s="2" t="str">
        <x:v>North</x:v>
      </x:c>
      <x:c r="F613" s="2" t="str">
        <x:v>Online</x:v>
      </x:c>
      <x:c r="G613" s="9" t="n">
        <x:f>SUM(SalesLines!Q1505,SalesLines!Q1506)</x:f>
        <x:v>1367.6</x:v>
      </x:c>
      <x:c r="H613" s="9" t="n">
        <x:f>SUM(SalesLines!M1505,SalesLines!M1506)</x:f>
        <x:v>1476</x:v>
      </x:c>
      <x:c r="I613" s="9" t="n">
        <x:f>SUM(SalesLines!N1505,SalesLines!N1506)</x:f>
        <x:v>108.4</x:v>
      </x:c>
      <x:c r="J613" s="9" t="n">
        <x:f>SUM(SalesLines!P1505,SalesLines!P1506)</x:f>
        <x:v>0</x:v>
      </x:c>
      <x:c r="K613" s="11" t="n">
        <x:f>SUM(SalesLines!R1505,SalesLines!R1506)</x:f>
        <x:v>6</x:v>
      </x:c>
      <x:c r="L613" s="11" t="n">
        <x:f>SUM(SalesLines!S1505,SalesLines!S1506)</x:f>
        <x:v>0</x:v>
      </x:c>
      <x:c r="M613" s="8" t="n">
        <x:f>DATE(YEAR(C613),MONTH(C613),1)</x:f>
        <x:v>45809</x:v>
      </x:c>
    </x:row>
    <x:row r="614" ht="22" customHeight="1">
      <x:c r="A614" s="2" t="str">
        <x:v>O00610</x:v>
      </x:c>
      <x:c r="B614" s="2" t="str">
        <x:v>C0132</x:v>
      </x:c>
      <x:c r="C614" s="7" t="n">
        <x:v>45684</x:v>
      </x:c>
      <x:c r="D614" s="2" t="str">
        <x:v>Completed</x:v>
      </x:c>
      <x:c r="E614" s="2" t="str">
        <x:v>North</x:v>
      </x:c>
      <x:c r="F614" s="2" t="str">
        <x:v>Store</x:v>
      </x:c>
      <x:c r="G614" s="9" t="n">
        <x:f>SUM(SalesLines!Q1507,SalesLines!Q1508,SalesLines!Q1509,SalesLines!Q1510)</x:f>
        <x:v>2821.2</x:v>
      </x:c>
      <x:c r="H614" s="9" t="n">
        <x:f>SUM(SalesLines!M1507,SalesLines!M1508,SalesLines!M1509,SalesLines!M1510)</x:f>
        <x:v>3116</x:v>
      </x:c>
      <x:c r="I614" s="9" t="n">
        <x:f>SUM(SalesLines!N1507,SalesLines!N1508,SalesLines!N1509,SalesLines!N1510)</x:f>
        <x:v>294.8</x:v>
      </x:c>
      <x:c r="J614" s="9" t="n">
        <x:f>SUM(SalesLines!P1507,SalesLines!P1508,SalesLines!P1509,SalesLines!P1510)</x:f>
        <x:v>0</x:v>
      </x:c>
      <x:c r="K614" s="11" t="n">
        <x:f>SUM(SalesLines!R1507,SalesLines!R1508,SalesLines!R1509,SalesLines!R1510)</x:f>
        <x:v>11</x:v>
      </x:c>
      <x:c r="L614" s="11" t="n">
        <x:f>SUM(SalesLines!S1507,SalesLines!S1508,SalesLines!S1509,SalesLines!S1510)</x:f>
        <x:v>0</x:v>
      </x:c>
      <x:c r="M614" s="8" t="n">
        <x:f>DATE(YEAR(C614),MONTH(C614),1)</x:f>
        <x:v>45658</x:v>
      </x:c>
    </x:row>
    <x:row r="615" ht="22" customHeight="1">
      <x:c r="A615" s="2" t="str">
        <x:v>O00611</x:v>
      </x:c>
      <x:c r="B615" s="2" t="str">
        <x:v>C0211</x:v>
      </x:c>
      <x:c r="C615" s="7" t="n">
        <x:v>45956</x:v>
      </x:c>
      <x:c r="D615" s="2" t="str">
        <x:v>Completed</x:v>
      </x:c>
      <x:c r="E615" s="2" t="str">
        <x:v>North</x:v>
      </x:c>
      <x:c r="F615" s="2" t="str">
        <x:v>Store</x:v>
      </x:c>
      <x:c r="G615" s="9" t="n">
        <x:f>SUM(SalesLines!Q1511)</x:f>
        <x:v>203.2</x:v>
      </x:c>
      <x:c r="H615" s="9" t="n">
        <x:f>SUM(SalesLines!M1511)</x:f>
        <x:v>254</x:v>
      </x:c>
      <x:c r="I615" s="9" t="n">
        <x:f>SUM(SalesLines!N1511)</x:f>
        <x:v>50.800000000000004</x:v>
      </x:c>
      <x:c r="J615" s="9" t="n">
        <x:f>SUM(SalesLines!P1511)</x:f>
        <x:v>0</x:v>
      </x:c>
      <x:c r="K615" s="11" t="n">
        <x:f>SUM(SalesLines!R1511)</x:f>
        <x:v>1</x:v>
      </x:c>
      <x:c r="L615" s="11" t="n">
        <x:f>SUM(SalesLines!S1511)</x:f>
        <x:v>0</x:v>
      </x:c>
      <x:c r="M615" s="8" t="n">
        <x:f>DATE(YEAR(C615),MONTH(C615),1)</x:f>
        <x:v>45931</x:v>
      </x:c>
    </x:row>
    <x:row r="616" ht="22" customHeight="1">
      <x:c r="A616" s="2" t="str">
        <x:v>O00612</x:v>
      </x:c>
      <x:c r="B616" s="2" t="str">
        <x:v>C0093</x:v>
      </x:c>
      <x:c r="C616" s="7" t="n">
        <x:v>45980</x:v>
      </x:c>
      <x:c r="D616" s="2" t="str">
        <x:v>Completed</x:v>
      </x:c>
      <x:c r="E616" s="2" t="str">
        <x:v>North</x:v>
      </x:c>
      <x:c r="F616" s="2" t="str">
        <x:v>Online</x:v>
      </x:c>
      <x:c r="G616" s="9" t="n">
        <x:f>SUM(SalesLines!Q1512,SalesLines!Q1513,SalesLines!Q1514,SalesLines!Q1515)</x:f>
        <x:v>2737.7</x:v>
      </x:c>
      <x:c r="H616" s="9" t="n">
        <x:f>SUM(SalesLines!M1512,SalesLines!M1513,SalesLines!M1514,SalesLines!M1515)</x:f>
        <x:v>3029</x:v>
      </x:c>
      <x:c r="I616" s="9" t="n">
        <x:f>SUM(SalesLines!N1512,SalesLines!N1513,SalesLines!N1514,SalesLines!N1515)</x:f>
        <x:v>291.3</x:v>
      </x:c>
      <x:c r="J616" s="9" t="n">
        <x:f>SUM(SalesLines!P1512,SalesLines!P1513,SalesLines!P1514,SalesLines!P1515)</x:f>
        <x:v>0</x:v>
      </x:c>
      <x:c r="K616" s="11" t="n">
        <x:f>SUM(SalesLines!R1512,SalesLines!R1513,SalesLines!R1514,SalesLines!R1515)</x:f>
        <x:v>18</x:v>
      </x:c>
      <x:c r="L616" s="11" t="n">
        <x:f>SUM(SalesLines!S1512,SalesLines!S1513,SalesLines!S1514,SalesLines!S1515)</x:f>
        <x:v>0</x:v>
      </x:c>
      <x:c r="M616" s="8" t="n">
        <x:f>DATE(YEAR(C616),MONTH(C616),1)</x:f>
        <x:v>45962</x:v>
      </x:c>
    </x:row>
    <x:row r="617" ht="22" customHeight="1">
      <x:c r="A617" s="2" t="str">
        <x:v>O00613</x:v>
      </x:c>
      <x:c r="B617" s="2" t="str">
        <x:v>C0204</x:v>
      </x:c>
      <x:c r="C617" s="7" t="n">
        <x:v>45835</x:v>
      </x:c>
      <x:c r="D617" s="2" t="str">
        <x:v>Completed</x:v>
      </x:c>
      <x:c r="E617" s="2" t="str">
        <x:v>South</x:v>
      </x:c>
      <x:c r="F617" s="2" t="str">
        <x:v>Online</x:v>
      </x:c>
      <x:c r="G617" s="9" t="n">
        <x:f>SUM(SalesLines!Q1516,SalesLines!Q1517)</x:f>
        <x:v>759.1</x:v>
      </x:c>
      <x:c r="H617" s="9" t="n">
        <x:f>SUM(SalesLines!M1516,SalesLines!M1517)</x:f>
        <x:v>927</x:v>
      </x:c>
      <x:c r="I617" s="9" t="n">
        <x:f>SUM(SalesLines!N1516,SalesLines!N1517)</x:f>
        <x:v>167.9</x:v>
      </x:c>
      <x:c r="J617" s="9" t="n">
        <x:f>SUM(SalesLines!P1516,SalesLines!P1517)</x:f>
        <x:v>0</x:v>
      </x:c>
      <x:c r="K617" s="11" t="n">
        <x:f>SUM(SalesLines!R1516,SalesLines!R1517)</x:f>
        <x:v>9</x:v>
      </x:c>
      <x:c r="L617" s="11" t="n">
        <x:f>SUM(SalesLines!S1516,SalesLines!S1517)</x:f>
        <x:v>0</x:v>
      </x:c>
      <x:c r="M617" s="8" t="n">
        <x:f>DATE(YEAR(C617),MONTH(C617),1)</x:f>
        <x:v>45809</x:v>
      </x:c>
    </x:row>
    <x:row r="618" ht="22" customHeight="1">
      <x:c r="A618" s="2" t="str">
        <x:v>O00614</x:v>
      </x:c>
      <x:c r="B618" s="2" t="str">
        <x:v>C0147</x:v>
      </x:c>
      <x:c r="C618" s="7" t="n">
        <x:v>45786</x:v>
      </x:c>
      <x:c r="D618" s="2" t="str">
        <x:v>Completed</x:v>
      </x:c>
      <x:c r="E618" s="2" t="str">
        <x:v>East</x:v>
      </x:c>
      <x:c r="F618" s="2" t="str">
        <x:v>Online</x:v>
      </x:c>
      <x:c r="G618" s="9" t="n">
        <x:f>SUM(SalesLines!Q1518)</x:f>
        <x:v>179.1</x:v>
      </x:c>
      <x:c r="H618" s="9" t="n">
        <x:f>SUM(SalesLines!M1518)</x:f>
        <x:v>199</x:v>
      </x:c>
      <x:c r="I618" s="9" t="n">
        <x:f>SUM(SalesLines!N1518)</x:f>
        <x:v>19.900000000000002</x:v>
      </x:c>
      <x:c r="J618" s="9" t="n">
        <x:f>SUM(SalesLines!P1518)</x:f>
        <x:v>0</x:v>
      </x:c>
      <x:c r="K618" s="11" t="n">
        <x:f>SUM(SalesLines!R1518)</x:f>
        <x:v>1</x:v>
      </x:c>
      <x:c r="L618" s="11" t="n">
        <x:f>SUM(SalesLines!S1518)</x:f>
        <x:v>0</x:v>
      </x:c>
      <x:c r="M618" s="8" t="n">
        <x:f>DATE(YEAR(C618),MONTH(C618),1)</x:f>
        <x:v>45778</x:v>
      </x:c>
    </x:row>
    <x:row r="619" ht="22" customHeight="1">
      <x:c r="A619" s="2" t="str">
        <x:v>O00615</x:v>
      </x:c>
      <x:c r="B619" s="2" t="str">
        <x:v>C0102</x:v>
      </x:c>
      <x:c r="C619" s="7" t="n">
        <x:v>45695</x:v>
      </x:c>
      <x:c r="D619" s="2" t="str">
        <x:v>Completed</x:v>
      </x:c>
      <x:c r="E619" s="2" t="str">
        <x:v>North</x:v>
      </x:c>
      <x:c r="F619" s="2" t="str">
        <x:v>Online</x:v>
      </x:c>
      <x:c r="G619" s="9" t="n">
        <x:f>SUM(SalesLines!Q1519,SalesLines!Q1520,SalesLines!Q1521)</x:f>
        <x:v>1651.25</x:v>
      </x:c>
      <x:c r="H619" s="9" t="n">
        <x:f>SUM(SalesLines!M1519,SalesLines!M1520,SalesLines!M1521)</x:f>
        <x:v>1709</x:v>
      </x:c>
      <x:c r="I619" s="9" t="n">
        <x:f>SUM(SalesLines!N1519,SalesLines!N1520,SalesLines!N1521)</x:f>
        <x:v>57.75</x:v>
      </x:c>
      <x:c r="J619" s="9" t="n">
        <x:f>SUM(SalesLines!P1519,SalesLines!P1520,SalesLines!P1521)</x:f>
        <x:v>0</x:v>
      </x:c>
      <x:c r="K619" s="11" t="n">
        <x:f>SUM(SalesLines!R1519,SalesLines!R1520,SalesLines!R1521)</x:f>
        <x:v>9</x:v>
      </x:c>
      <x:c r="L619" s="11" t="n">
        <x:f>SUM(SalesLines!S1519,SalesLines!S1520,SalesLines!S1521)</x:f>
        <x:v>0</x:v>
      </x:c>
      <x:c r="M619" s="8" t="n">
        <x:f>DATE(YEAR(C619),MONTH(C619),1)</x:f>
        <x:v>45689</x:v>
      </x:c>
    </x:row>
    <x:row r="620" ht="22" customHeight="1">
      <x:c r="A620" s="2" t="str">
        <x:v>O00616</x:v>
      </x:c>
      <x:c r="B620" s="2" t="str">
        <x:v>C0139</x:v>
      </x:c>
      <x:c r="C620" s="7" t="n">
        <x:v>45963</x:v>
      </x:c>
      <x:c r="D620" s="2" t="str">
        <x:v>Completed</x:v>
      </x:c>
      <x:c r="E620" s="2" t="str">
        <x:v>North</x:v>
      </x:c>
      <x:c r="F620" s="2" t="str">
        <x:v>Store</x:v>
      </x:c>
      <x:c r="G620" s="9" t="n">
        <x:f>SUM(SalesLines!Q1522,SalesLines!Q1523,SalesLines!Q1524)</x:f>
        <x:v>2460.8</x:v>
      </x:c>
      <x:c r="H620" s="9" t="n">
        <x:f>SUM(SalesLines!M1522,SalesLines!M1523,SalesLines!M1524)</x:f>
        <x:v>2811</x:v>
      </x:c>
      <x:c r="I620" s="9" t="n">
        <x:f>SUM(SalesLines!N1522,SalesLines!N1523,SalesLines!N1524)</x:f>
        <x:v>350.20000000000005</x:v>
      </x:c>
      <x:c r="J620" s="9" t="n">
        <x:f>SUM(SalesLines!P1522,SalesLines!P1523,SalesLines!P1524)</x:f>
        <x:v>0</x:v>
      </x:c>
      <x:c r="K620" s="11" t="n">
        <x:f>SUM(SalesLines!R1522,SalesLines!R1523,SalesLines!R1524)</x:f>
        <x:v>14</x:v>
      </x:c>
      <x:c r="L620" s="11" t="n">
        <x:f>SUM(SalesLines!S1522,SalesLines!S1523,SalesLines!S1524)</x:f>
        <x:v>0</x:v>
      </x:c>
      <x:c r="M620" s="8" t="n">
        <x:f>DATE(YEAR(C620),MONTH(C620),1)</x:f>
        <x:v>45962</x:v>
      </x:c>
    </x:row>
    <x:row r="621" ht="22" customHeight="1">
      <x:c r="A621" s="2" t="str">
        <x:v>O00617</x:v>
      </x:c>
      <x:c r="B621" s="2" t="str">
        <x:v>C0103</x:v>
      </x:c>
      <x:c r="C621" s="7" t="n">
        <x:v>46016</x:v>
      </x:c>
      <x:c r="D621" s="2" t="str">
        <x:v>Completed</x:v>
      </x:c>
      <x:c r="E621" s="2" t="str">
        <x:v>West</x:v>
      </x:c>
      <x:c r="F621" s="2" t="str">
        <x:v>Online</x:v>
      </x:c>
      <x:c r="G621" s="9" t="n">
        <x:f>SUM(SalesLines!Q1525)</x:f>
        <x:v>588</x:v>
      </x:c>
      <x:c r="H621" s="9" t="n">
        <x:f>SUM(SalesLines!M1525)</x:f>
        <x:v>588</x:v>
      </x:c>
      <x:c r="I621" s="9" t="n">
        <x:f>SUM(SalesLines!N1525)</x:f>
        <x:v>0</x:v>
      </x:c>
      <x:c r="J621" s="9" t="n">
        <x:f>SUM(SalesLines!P1525)</x:f>
        <x:v>0</x:v>
      </x:c>
      <x:c r="K621" s="11" t="n">
        <x:f>SUM(SalesLines!R1525)</x:f>
        <x:v>3</x:v>
      </x:c>
      <x:c r="L621" s="11" t="n">
        <x:f>SUM(SalesLines!S1525)</x:f>
        <x:v>0</x:v>
      </x:c>
      <x:c r="M621" s="8" t="n">
        <x:f>DATE(YEAR(C621),MONTH(C621),1)</x:f>
        <x:v>45992</x:v>
      </x:c>
    </x:row>
    <x:row r="622" ht="22" customHeight="1">
      <x:c r="A622" s="2" t="str">
        <x:v>O00618</x:v>
      </x:c>
      <x:c r="B622" s="2" t="str">
        <x:v>C0238</x:v>
      </x:c>
      <x:c r="C622" s="7" t="n">
        <x:v>45997</x:v>
      </x:c>
      <x:c r="D622" s="2" t="str">
        <x:v>Completed</x:v>
      </x:c>
      <x:c r="E622" s="2" t="str">
        <x:v>East</x:v>
      </x:c>
      <x:c r="F622" s="2" t="str">
        <x:v>Store</x:v>
      </x:c>
      <x:c r="G622" s="9" t="n">
        <x:f>SUM(SalesLines!Q1526)</x:f>
        <x:v>488</x:v>
      </x:c>
      <x:c r="H622" s="9" t="n">
        <x:f>SUM(SalesLines!M1526)</x:f>
        <x:v>488</x:v>
      </x:c>
      <x:c r="I622" s="9" t="n">
        <x:f>SUM(SalesLines!N1526)</x:f>
        <x:v>0</x:v>
      </x:c>
      <x:c r="J622" s="9" t="n">
        <x:f>SUM(SalesLines!P1526)</x:f>
        <x:v>0</x:v>
      </x:c>
      <x:c r="K622" s="11" t="n">
        <x:f>SUM(SalesLines!R1526)</x:f>
        <x:v>4</x:v>
      </x:c>
      <x:c r="L622" s="11" t="n">
        <x:f>SUM(SalesLines!S1526)</x:f>
        <x:v>0</x:v>
      </x:c>
      <x:c r="M622" s="8" t="n">
        <x:f>DATE(YEAR(C622),MONTH(C622),1)</x:f>
        <x:v>45992</x:v>
      </x:c>
    </x:row>
    <x:row r="623" ht="22" customHeight="1">
      <x:c r="A623" s="2" t="str">
        <x:v>O00619</x:v>
      </x:c>
      <x:c r="B623" s="2" t="str">
        <x:v>C0246</x:v>
      </x:c>
      <x:c r="C623" s="7" t="n">
        <x:v>45990</x:v>
      </x:c>
      <x:c r="D623" s="2" t="str">
        <x:v>Completed</x:v>
      </x:c>
      <x:c r="E623" s="2" t="str">
        <x:v>South</x:v>
      </x:c>
      <x:c r="F623" s="2" t="str">
        <x:v>Online</x:v>
      </x:c>
      <x:c r="G623" s="9" t="n">
        <x:f>SUM(SalesLines!Q1527,SalesLines!Q1528,SalesLines!Q1529)</x:f>
        <x:v>1214.6</x:v>
      </x:c>
      <x:c r="H623" s="9" t="n">
        <x:f>SUM(SalesLines!M1527,SalesLines!M1528,SalesLines!M1529)</x:f>
        <x:v>1247</x:v>
      </x:c>
      <x:c r="I623" s="9" t="n">
        <x:f>SUM(SalesLines!N1527,SalesLines!N1528,SalesLines!N1529)</x:f>
        <x:v>32.4</x:v>
      </x:c>
      <x:c r="J623" s="9" t="n">
        <x:f>SUM(SalesLines!P1527,SalesLines!P1528,SalesLines!P1529)</x:f>
        <x:v>0</x:v>
      </x:c>
      <x:c r="K623" s="11" t="n">
        <x:f>SUM(SalesLines!R1527,SalesLines!R1528,SalesLines!R1529)</x:f>
        <x:v>7</x:v>
      </x:c>
      <x:c r="L623" s="11" t="n">
        <x:f>SUM(SalesLines!S1527,SalesLines!S1528,SalesLines!S1529)</x:f>
        <x:v>0</x:v>
      </x:c>
      <x:c r="M623" s="8" t="n">
        <x:f>DATE(YEAR(C623),MONTH(C623),1)</x:f>
        <x:v>45962</x:v>
      </x:c>
    </x:row>
    <x:row r="624" ht="22" customHeight="1">
      <x:c r="A624" s="2" t="str">
        <x:v>O00620</x:v>
      </x:c>
      <x:c r="B624" s="2" t="str">
        <x:v>C0207</x:v>
      </x:c>
      <x:c r="C624" s="7" t="n">
        <x:v>45785</x:v>
      </x:c>
      <x:c r="D624" s="2" t="str">
        <x:v>Completed</x:v>
      </x:c>
      <x:c r="E624" s="2" t="str">
        <x:v>South</x:v>
      </x:c>
      <x:c r="F624" s="2" t="str">
        <x:v>Online</x:v>
      </x:c>
      <x:c r="G624" s="9" t="n">
        <x:f>SUM(SalesLines!Q1530)</x:f>
        <x:v>705.6</x:v>
      </x:c>
      <x:c r="H624" s="9" t="n">
        <x:f>SUM(SalesLines!M1530)</x:f>
        <x:v>784</x:v>
      </x:c>
      <x:c r="I624" s="9" t="n">
        <x:f>SUM(SalesLines!N1530)</x:f>
        <x:v>78.4</x:v>
      </x:c>
      <x:c r="J624" s="9" t="n">
        <x:f>SUM(SalesLines!P1530)</x:f>
        <x:v>0</x:v>
      </x:c>
      <x:c r="K624" s="11" t="n">
        <x:f>SUM(SalesLines!R1530)</x:f>
        <x:v>4</x:v>
      </x:c>
      <x:c r="L624" s="11" t="n">
        <x:f>SUM(SalesLines!S1530)</x:f>
        <x:v>0</x:v>
      </x:c>
      <x:c r="M624" s="8" t="n">
        <x:f>DATE(YEAR(C624),MONTH(C624),1)</x:f>
        <x:v>45778</x:v>
      </x:c>
    </x:row>
    <x:row r="625" ht="22" customHeight="1">
      <x:c r="A625" s="2" t="str">
        <x:v>O00621</x:v>
      </x:c>
      <x:c r="B625" s="2" t="str">
        <x:v>C0262</x:v>
      </x:c>
      <x:c r="C625" s="7" t="n">
        <x:v>45664</x:v>
      </x:c>
      <x:c r="D625" s="2" t="str">
        <x:v>Completed</x:v>
      </x:c>
      <x:c r="E625" s="2" t="str">
        <x:v>West</x:v>
      </x:c>
      <x:c r="F625" s="2" t="str">
        <x:v>Online</x:v>
      </x:c>
      <x:c r="G625" s="9" t="n">
        <x:f>SUM(SalesLines!Q1531,SalesLines!Q1532,SalesLines!Q1533)</x:f>
        <x:v>635.3</x:v>
      </x:c>
      <x:c r="H625" s="9" t="n">
        <x:f>SUM(SalesLines!M1531,SalesLines!M1532,SalesLines!M1533)</x:f>
        <x:v>712</x:v>
      </x:c>
      <x:c r="I625" s="9" t="n">
        <x:f>SUM(SalesLines!N1531,SalesLines!N1532,SalesLines!N1533)</x:f>
        <x:v>76.7</x:v>
      </x:c>
      <x:c r="J625" s="9" t="n">
        <x:f>SUM(SalesLines!P1531,SalesLines!P1532,SalesLines!P1533)</x:f>
        <x:v>0</x:v>
      </x:c>
      <x:c r="K625" s="11" t="n">
        <x:f>SUM(SalesLines!R1531,SalesLines!R1532,SalesLines!R1533)</x:f>
        <x:v>6</x:v>
      </x:c>
      <x:c r="L625" s="11" t="n">
        <x:f>SUM(SalesLines!S1531,SalesLines!S1532,SalesLines!S1533)</x:f>
        <x:v>0</x:v>
      </x:c>
      <x:c r="M625" s="8" t="n">
        <x:f>DATE(YEAR(C625),MONTH(C625),1)</x:f>
        <x:v>45658</x:v>
      </x:c>
    </x:row>
    <x:row r="626" ht="22" customHeight="1">
      <x:c r="A626" s="2" t="str">
        <x:v>O00622</x:v>
      </x:c>
      <x:c r="B626" s="2" t="str">
        <x:v>C0131</x:v>
      </x:c>
      <x:c r="C626" s="7" t="n">
        <x:v>45741</x:v>
      </x:c>
      <x:c r="D626" s="2" t="str">
        <x:v>Completed</x:v>
      </x:c>
      <x:c r="E626" s="2" t="str">
        <x:v>West</x:v>
      </x:c>
      <x:c r="F626" s="2" t="str">
        <x:v>Online</x:v>
      </x:c>
      <x:c r="G626" s="9" t="n">
        <x:f>SUM(SalesLines!Q1534,SalesLines!Q1535,SalesLines!Q1536)</x:f>
        <x:v>588</x:v>
      </x:c>
      <x:c r="H626" s="9" t="n">
        <x:f>SUM(SalesLines!M1534,SalesLines!M1535,SalesLines!M1536)</x:f>
        <x:v>1344</x:v>
      </x:c>
      <x:c r="I626" s="9" t="n">
        <x:f>SUM(SalesLines!N1534,SalesLines!N1535,SalesLines!N1536)</x:f>
        <x:v>18.900000000000002</x:v>
      </x:c>
      <x:c r="J626" s="9" t="n">
        <x:f>SUM(SalesLines!P1534,SalesLines!P1535,SalesLines!P1536)</x:f>
        <x:v>737.1</x:v>
      </x:c>
      <x:c r="K626" s="11" t="n">
        <x:f>SUM(SalesLines!R1534,SalesLines!R1535,SalesLines!R1536)</x:f>
        <x:v>6</x:v>
      </x:c>
      <x:c r="L626" s="11" t="n">
        <x:f>SUM(SalesLines!S1534,SalesLines!S1535,SalesLines!S1536)</x:f>
        <x:v>4</x:v>
      </x:c>
      <x:c r="M626" s="8" t="n">
        <x:f>DATE(YEAR(C626),MONTH(C626),1)</x:f>
        <x:v>45717</x:v>
      </x:c>
    </x:row>
    <x:row r="627" ht="22" customHeight="1">
      <x:c r="A627" s="2" t="str">
        <x:v>O00623</x:v>
      </x:c>
      <x:c r="B627" s="2" t="str">
        <x:v>C0166</x:v>
      </x:c>
      <x:c r="C627" s="7" t="n">
        <x:v>45800</x:v>
      </x:c>
      <x:c r="D627" s="2" t="str">
        <x:v>Completed</x:v>
      </x:c>
      <x:c r="E627" s="2" t="str">
        <x:v>North</x:v>
      </x:c>
      <x:c r="F627" s="2" t="str">
        <x:v>Online</x:v>
      </x:c>
      <x:c r="G627" s="9" t="n">
        <x:f>SUM(SalesLines!Q1537)</x:f>
        <x:v>97.6</x:v>
      </x:c>
      <x:c r="H627" s="9" t="n">
        <x:f>SUM(SalesLines!M1537)</x:f>
        <x:v>122</x:v>
      </x:c>
      <x:c r="I627" s="9" t="n">
        <x:f>SUM(SalesLines!N1537)</x:f>
        <x:v>24.400000000000002</x:v>
      </x:c>
      <x:c r="J627" s="9" t="n">
        <x:f>SUM(SalesLines!P1537)</x:f>
        <x:v>0</x:v>
      </x:c>
      <x:c r="K627" s="11" t="n">
        <x:f>SUM(SalesLines!R1537)</x:f>
        <x:v>1</x:v>
      </x:c>
      <x:c r="L627" s="11" t="n">
        <x:f>SUM(SalesLines!S1537)</x:f>
        <x:v>0</x:v>
      </x:c>
      <x:c r="M627" s="8" t="n">
        <x:f>DATE(YEAR(C627),MONTH(C627),1)</x:f>
        <x:v>45778</x:v>
      </x:c>
    </x:row>
    <x:row r="628" ht="22" customHeight="1">
      <x:c r="A628" s="2" t="str">
        <x:v>O00624</x:v>
      </x:c>
      <x:c r="B628" s="2" t="str">
        <x:v>C0064</x:v>
      </x:c>
      <x:c r="C628" s="7" t="n">
        <x:v>45848</x:v>
      </x:c>
      <x:c r="D628" s="2" t="str">
        <x:v>Completed</x:v>
      </x:c>
      <x:c r="E628" s="2" t="str">
        <x:v>North</x:v>
      </x:c>
      <x:c r="F628" s="2" t="str">
        <x:v>Online</x:v>
      </x:c>
      <x:c r="G628" s="9" t="n">
        <x:f>SUM(SalesLines!Q1538,SalesLines!Q1539,SalesLines!Q1540,SalesLines!Q1541)</x:f>
        <x:v>1403.85</x:v>
      </x:c>
      <x:c r="H628" s="9" t="n">
        <x:f>SUM(SalesLines!M1538,SalesLines!M1539,SalesLines!M1540,SalesLines!M1541)</x:f>
        <x:v>2051</x:v>
      </x:c>
      <x:c r="I628" s="9" t="n">
        <x:f>SUM(SalesLines!N1538,SalesLines!N1539,SalesLines!N1540,SalesLines!N1541)</x:f>
        <x:v>296.6</x:v>
      </x:c>
      <x:c r="J628" s="9" t="n">
        <x:f>SUM(SalesLines!P1538,SalesLines!P1539,SalesLines!P1540,SalesLines!P1541)</x:f>
        <x:v>350.55</x:v>
      </x:c>
      <x:c r="K628" s="11" t="n">
        <x:f>SUM(SalesLines!R1538,SalesLines!R1539,SalesLines!R1540,SalesLines!R1541)</x:f>
        <x:v>12</x:v>
      </x:c>
      <x:c r="L628" s="11" t="n">
        <x:f>SUM(SalesLines!S1538,SalesLines!S1539,SalesLines!S1540,SalesLines!S1541)</x:f>
        <x:v>3</x:v>
      </x:c>
      <x:c r="M628" s="8" t="n">
        <x:f>DATE(YEAR(C628),MONTH(C628),1)</x:f>
        <x:v>45839</x:v>
      </x:c>
    </x:row>
    <x:row r="629" ht="22" customHeight="1">
      <x:c r="A629" s="2" t="str">
        <x:v>O00625</x:v>
      </x:c>
      <x:c r="B629" s="2" t="str">
        <x:v>C0002</x:v>
      </x:c>
      <x:c r="C629" s="7" t="n">
        <x:v>45737</x:v>
      </x:c>
      <x:c r="D629" s="2" t="str">
        <x:v>Completed</x:v>
      </x:c>
      <x:c r="E629" s="2" t="str">
        <x:v>West</x:v>
      </x:c>
      <x:c r="F629" s="2" t="str">
        <x:v>Store</x:v>
      </x:c>
      <x:c r="G629" s="9" t="n">
        <x:f>SUM(SalesLines!Q1542,SalesLines!Q1543,SalesLines!Q1544,SalesLines!Q1545)</x:f>
        <x:v>1482.35</x:v>
      </x:c>
      <x:c r="H629" s="9" t="n">
        <x:f>SUM(SalesLines!M1542,SalesLines!M1543,SalesLines!M1544,SalesLines!M1545)</x:f>
        <x:v>1638</x:v>
      </x:c>
      <x:c r="I629" s="9" t="n">
        <x:f>SUM(SalesLines!N1542,SalesLines!N1543,SalesLines!N1544,SalesLines!N1545)</x:f>
        <x:v>155.65</x:v>
      </x:c>
      <x:c r="J629" s="9" t="n">
        <x:f>SUM(SalesLines!P1542,SalesLines!P1543,SalesLines!P1544,SalesLines!P1545)</x:f>
        <x:v>0</x:v>
      </x:c>
      <x:c r="K629" s="11" t="n">
        <x:f>SUM(SalesLines!R1542,SalesLines!R1543,SalesLines!R1544,SalesLines!R1545)</x:f>
        <x:v>14</x:v>
      </x:c>
      <x:c r="L629" s="11" t="n">
        <x:f>SUM(SalesLines!S1542,SalesLines!S1543,SalesLines!S1544,SalesLines!S1545)</x:f>
        <x:v>0</x:v>
      </x:c>
      <x:c r="M629" s="8" t="n">
        <x:f>DATE(YEAR(C629),MONTH(C629),1)</x:f>
        <x:v>45717</x:v>
      </x:c>
    </x:row>
    <x:row r="630" ht="22" customHeight="1">
      <x:c r="A630" s="2" t="str">
        <x:v>O00626</x:v>
      </x:c>
      <x:c r="B630" s="2" t="str">
        <x:v>C0161</x:v>
      </x:c>
      <x:c r="C630" s="7" t="n">
        <x:v>45983</x:v>
      </x:c>
      <x:c r="D630" s="2" t="str">
        <x:v>Completed</x:v>
      </x:c>
      <x:c r="E630" s="2" t="str">
        <x:v>West</x:v>
      </x:c>
      <x:c r="F630" s="2" t="str">
        <x:v>Online</x:v>
      </x:c>
      <x:c r="G630" s="9" t="n">
        <x:f>SUM(SalesLines!Q1546,SalesLines!Q1547,SalesLines!Q1548,SalesLines!Q1549)</x:f>
        <x:v>1878.5</x:v>
      </x:c>
      <x:c r="H630" s="9" t="n">
        <x:f>SUM(SalesLines!M1546,SalesLines!M1547,SalesLines!M1548,SalesLines!M1549)</x:f>
        <x:v>2487</x:v>
      </x:c>
      <x:c r="I630" s="9" t="n">
        <x:f>SUM(SalesLines!N1546,SalesLines!N1547,SalesLines!N1548,SalesLines!N1549)</x:f>
        <x:v>59.900000000000006</x:v>
      </x:c>
      <x:c r="J630" s="9" t="n">
        <x:f>SUM(SalesLines!P1546,SalesLines!P1547,SalesLines!P1548,SalesLines!P1549)</x:f>
        <x:v>548.6</x:v>
      </x:c>
      <x:c r="K630" s="11" t="n">
        <x:f>SUM(SalesLines!R1546,SalesLines!R1547,SalesLines!R1548,SalesLines!R1549)</x:f>
        <x:v>13</x:v>
      </x:c>
      <x:c r="L630" s="11" t="n">
        <x:f>SUM(SalesLines!S1546,SalesLines!S1547,SalesLines!S1548,SalesLines!S1549)</x:f>
        <x:v>3</x:v>
      </x:c>
      <x:c r="M630" s="8" t="n">
        <x:f>DATE(YEAR(C630),MONTH(C630),1)</x:f>
        <x:v>45962</x:v>
      </x:c>
    </x:row>
    <x:row r="631" ht="22" customHeight="1">
      <x:c r="A631" s="2" t="str">
        <x:v>O00627</x:v>
      </x:c>
      <x:c r="B631" s="2" t="str">
        <x:v>C0110</x:v>
      </x:c>
      <x:c r="C631" s="7" t="n">
        <x:v>45758</x:v>
      </x:c>
      <x:c r="D631" s="2" t="str">
        <x:v>Completed</x:v>
      </x:c>
      <x:c r="E631" s="2" t="str">
        <x:v>West</x:v>
      </x:c>
      <x:c r="F631" s="2" t="str">
        <x:v>Online</x:v>
      </x:c>
      <x:c r="G631" s="9" t="n">
        <x:f>SUM(SalesLines!Q1550,SalesLines!Q1551)</x:f>
        <x:v>1305.4</x:v>
      </x:c>
      <x:c r="H631" s="9" t="n">
        <x:f>SUM(SalesLines!M1550,SalesLines!M1551)</x:f>
        <x:v>1436</x:v>
      </x:c>
      <x:c r="I631" s="9" t="n">
        <x:f>SUM(SalesLines!N1550,SalesLines!N1551)</x:f>
        <x:v>130.60000000000002</x:v>
      </x:c>
      <x:c r="J631" s="9" t="n">
        <x:f>SUM(SalesLines!P1550,SalesLines!P1551)</x:f>
        <x:v>0</x:v>
      </x:c>
      <x:c r="K631" s="11" t="n">
        <x:f>SUM(SalesLines!R1550,SalesLines!R1551)</x:f>
        <x:v>8</x:v>
      </x:c>
      <x:c r="L631" s="11" t="n">
        <x:f>SUM(SalesLines!S1550,SalesLines!S1551)</x:f>
        <x:v>0</x:v>
      </x:c>
      <x:c r="M631" s="8" t="n">
        <x:f>DATE(YEAR(C631),MONTH(C631),1)</x:f>
        <x:v>45748</x:v>
      </x:c>
    </x:row>
    <x:row r="632" ht="22" customHeight="1">
      <x:c r="A632" s="2" t="str">
        <x:v>O00628</x:v>
      </x:c>
      <x:c r="B632" s="2" t="str">
        <x:v>C0065</x:v>
      </x:c>
      <x:c r="C632" s="7" t="n">
        <x:v>45976</x:v>
      </x:c>
      <x:c r="D632" s="2" t="str">
        <x:v>Completed</x:v>
      </x:c>
      <x:c r="E632" s="2" t="str">
        <x:v>East</x:v>
      </x:c>
      <x:c r="F632" s="2" t="str">
        <x:v>Store</x:v>
      </x:c>
      <x:c r="G632" s="9" t="n">
        <x:f>SUM(SalesLines!Q1552,SalesLines!Q1553,SalesLines!Q1554,SalesLines!Q1555)</x:f>
        <x:v>3229.8999999999996</x:v>
      </x:c>
      <x:c r="H632" s="9" t="n">
        <x:f>SUM(SalesLines!M1552,SalesLines!M1553,SalesLines!M1554,SalesLines!M1555)</x:f>
        <x:v>3419</x:v>
      </x:c>
      <x:c r="I632" s="9" t="n">
        <x:f>SUM(SalesLines!N1552,SalesLines!N1553,SalesLines!N1554,SalesLines!N1555)</x:f>
        <x:v>189.10000000000002</x:v>
      </x:c>
      <x:c r="J632" s="9" t="n">
        <x:f>SUM(SalesLines!P1552,SalesLines!P1553,SalesLines!P1554,SalesLines!P1555)</x:f>
        <x:v>0</x:v>
      </x:c>
      <x:c r="K632" s="11" t="n">
        <x:f>SUM(SalesLines!R1552,SalesLines!R1553,SalesLines!R1554,SalesLines!R1555)</x:f>
        <x:v>17</x:v>
      </x:c>
      <x:c r="L632" s="11" t="n">
        <x:f>SUM(SalesLines!S1552,SalesLines!S1553,SalesLines!S1554,SalesLines!S1555)</x:f>
        <x:v>0</x:v>
      </x:c>
      <x:c r="M632" s="8" t="n">
        <x:f>DATE(YEAR(C632),MONTH(C632),1)</x:f>
        <x:v>45962</x:v>
      </x:c>
    </x:row>
    <x:row r="633" ht="22" customHeight="1">
      <x:c r="A633" s="2" t="str">
        <x:v>O00629</x:v>
      </x:c>
      <x:c r="B633" s="2" t="str">
        <x:v>C0177</x:v>
      </x:c>
      <x:c r="C633" s="7" t="n">
        <x:v>45755</x:v>
      </x:c>
      <x:c r="D633" s="2" t="str">
        <x:v>Completed</x:v>
      </x:c>
      <x:c r="E633" s="2" t="str">
        <x:v>West</x:v>
      </x:c>
      <x:c r="F633" s="2" t="str">
        <x:v>Store</x:v>
      </x:c>
      <x:c r="G633" s="9" t="n">
        <x:f>SUM(SalesLines!Q1556,SalesLines!Q1557,SalesLines!Q1558)</x:f>
        <x:v>1933</x:v>
      </x:c>
      <x:c r="H633" s="9" t="n">
        <x:f>SUM(SalesLines!M1556,SalesLines!M1557,SalesLines!M1558)</x:f>
        <x:v>2000</x:v>
      </x:c>
      <x:c r="I633" s="9" t="n">
        <x:f>SUM(SalesLines!N1556,SalesLines!N1557,SalesLines!N1558)</x:f>
        <x:v>67</x:v>
      </x:c>
      <x:c r="J633" s="9" t="n">
        <x:f>SUM(SalesLines!P1556,SalesLines!P1557,SalesLines!P1558)</x:f>
        <x:v>0</x:v>
      </x:c>
      <x:c r="K633" s="11" t="n">
        <x:f>SUM(SalesLines!R1556,SalesLines!R1557,SalesLines!R1558)</x:f>
        <x:v>10</x:v>
      </x:c>
      <x:c r="L633" s="11" t="n">
        <x:f>SUM(SalesLines!S1556,SalesLines!S1557,SalesLines!S1558)</x:f>
        <x:v>0</x:v>
      </x:c>
      <x:c r="M633" s="8" t="n">
        <x:f>DATE(YEAR(C633),MONTH(C633),1)</x:f>
        <x:v>45748</x:v>
      </x:c>
    </x:row>
    <x:row r="634" ht="22" customHeight="1">
      <x:c r="A634" s="2" t="str">
        <x:v>O00630</x:v>
      </x:c>
      <x:c r="B634" s="2" t="str">
        <x:v>C0083</x:v>
      </x:c>
      <x:c r="C634" s="7" t="n">
        <x:v>45830</x:v>
      </x:c>
      <x:c r="D634" s="2" t="str">
        <x:v>Completed</x:v>
      </x:c>
      <x:c r="E634" s="2" t="str">
        <x:v>West</x:v>
      </x:c>
      <x:c r="F634" s="2" t="str">
        <x:v>Store</x:v>
      </x:c>
      <x:c r="G634" s="9" t="n">
        <x:f>SUM(SalesLines!Q1559,SalesLines!Q1560,SalesLines!Q1561,SalesLines!Q1562)</x:f>
        <x:v>1553.1</x:v>
      </x:c>
      <x:c r="H634" s="9" t="n">
        <x:f>SUM(SalesLines!M1559,SalesLines!M1560,SalesLines!M1561,SalesLines!M1562)</x:f>
        <x:v>1622</x:v>
      </x:c>
      <x:c r="I634" s="9" t="n">
        <x:f>SUM(SalesLines!N1559,SalesLines!N1560,SalesLines!N1561,SalesLines!N1562)</x:f>
        <x:v>68.9</x:v>
      </x:c>
      <x:c r="J634" s="9" t="n">
        <x:f>SUM(SalesLines!P1559,SalesLines!P1560,SalesLines!P1561,SalesLines!P1562)</x:f>
        <x:v>0</x:v>
      </x:c>
      <x:c r="K634" s="11" t="n">
        <x:f>SUM(SalesLines!R1559,SalesLines!R1560,SalesLines!R1561,SalesLines!R1562)</x:f>
        <x:v>10</x:v>
      </x:c>
      <x:c r="L634" s="11" t="n">
        <x:f>SUM(SalesLines!S1559,SalesLines!S1560,SalesLines!S1561,SalesLines!S1562)</x:f>
        <x:v>0</x:v>
      </x:c>
      <x:c r="M634" s="8" t="n">
        <x:f>DATE(YEAR(C634),MONTH(C634),1)</x:f>
        <x:v>45809</x:v>
      </x:c>
    </x:row>
    <x:row r="635" ht="22" customHeight="1">
      <x:c r="A635" s="2" t="str">
        <x:v>O00631</x:v>
      </x:c>
      <x:c r="B635" s="2" t="str">
        <x:v>C0202</x:v>
      </x:c>
      <x:c r="C635" s="7" t="n">
        <x:v>45744</x:v>
      </x:c>
      <x:c r="D635" s="2" t="str">
        <x:v>Completed</x:v>
      </x:c>
      <x:c r="E635" s="2" t="str">
        <x:v>South</x:v>
      </x:c>
      <x:c r="F635" s="2" t="str">
        <x:v>Store</x:v>
      </x:c>
      <x:c r="G635" s="9" t="n">
        <x:f>SUM(SalesLines!Q1563,SalesLines!Q1564,SalesLines!Q1565,SalesLines!Q1566)</x:f>
        <x:v>1163.2</x:v>
      </x:c>
      <x:c r="H635" s="9" t="n">
        <x:f>SUM(SalesLines!M1563,SalesLines!M1564,SalesLines!M1565,SalesLines!M1566)</x:f>
        <x:v>1230</x:v>
      </x:c>
      <x:c r="I635" s="9" t="n">
        <x:f>SUM(SalesLines!N1563,SalesLines!N1564,SalesLines!N1565,SalesLines!N1566)</x:f>
        <x:v>66.80000000000001</x:v>
      </x:c>
      <x:c r="J635" s="9" t="n">
        <x:f>SUM(SalesLines!P1563,SalesLines!P1564,SalesLines!P1565,SalesLines!P1566)</x:f>
        <x:v>0</x:v>
      </x:c>
      <x:c r="K635" s="11" t="n">
        <x:f>SUM(SalesLines!R1563,SalesLines!R1564,SalesLines!R1565,SalesLines!R1566)</x:f>
        <x:v>6</x:v>
      </x:c>
      <x:c r="L635" s="11" t="n">
        <x:f>SUM(SalesLines!S1563,SalesLines!S1564,SalesLines!S1565,SalesLines!S1566)</x:f>
        <x:v>0</x:v>
      </x:c>
      <x:c r="M635" s="8" t="n">
        <x:f>DATE(YEAR(C635),MONTH(C635),1)</x:f>
        <x:v>45717</x:v>
      </x:c>
    </x:row>
    <x:row r="636" ht="22" customHeight="1">
      <x:c r="A636" s="2" t="str">
        <x:v>O00632</x:v>
      </x:c>
      <x:c r="B636" s="2" t="str">
        <x:v>C0268</x:v>
      </x:c>
      <x:c r="C636" s="7" t="n">
        <x:v>45920</x:v>
      </x:c>
      <x:c r="D636" s="2" t="str">
        <x:v>Completed</x:v>
      </x:c>
      <x:c r="E636" s="2" t="str">
        <x:v>North</x:v>
      </x:c>
      <x:c r="F636" s="2" t="str">
        <x:v>Store</x:v>
      </x:c>
      <x:c r="G636" s="9" t="n">
        <x:f>SUM(SalesLines!Q1567,SalesLines!Q1568,SalesLines!Q1569,SalesLines!Q1570)</x:f>
        <x:v>1080.9</x:v>
      </x:c>
      <x:c r="H636" s="9" t="n">
        <x:f>SUM(SalesLines!M1567,SalesLines!M1568,SalesLines!M1569,SalesLines!M1570)</x:f>
        <x:v>1200</x:v>
      </x:c>
      <x:c r="I636" s="9" t="n">
        <x:f>SUM(SalesLines!N1567,SalesLines!N1568,SalesLines!N1569,SalesLines!N1570)</x:f>
        <x:v>119.10000000000001</x:v>
      </x:c>
      <x:c r="J636" s="9" t="n">
        <x:f>SUM(SalesLines!P1567,SalesLines!P1568,SalesLines!P1569,SalesLines!P1570)</x:f>
        <x:v>0</x:v>
      </x:c>
      <x:c r="K636" s="11" t="n">
        <x:f>SUM(SalesLines!R1567,SalesLines!R1568,SalesLines!R1569,SalesLines!R1570)</x:f>
        <x:v>9</x:v>
      </x:c>
      <x:c r="L636" s="11" t="n">
        <x:f>SUM(SalesLines!S1567,SalesLines!S1568,SalesLines!S1569,SalesLines!S1570)</x:f>
        <x:v>0</x:v>
      </x:c>
      <x:c r="M636" s="8" t="n">
        <x:f>DATE(YEAR(C636),MONTH(C636),1)</x:f>
        <x:v>45901</x:v>
      </x:c>
    </x:row>
    <x:row r="637" ht="22" customHeight="1">
      <x:c r="A637" s="2" t="str">
        <x:v>O00633</x:v>
      </x:c>
      <x:c r="B637" s="2" t="str">
        <x:v>C0038</x:v>
      </x:c>
      <x:c r="C637" s="7" t="n">
        <x:v>46020</x:v>
      </x:c>
      <x:c r="D637" s="2" t="str">
        <x:v>Completed</x:v>
      </x:c>
      <x:c r="E637" s="2" t="str">
        <x:v>South</x:v>
      </x:c>
      <x:c r="F637" s="2" t="str">
        <x:v>Store</x:v>
      </x:c>
      <x:c r="G637" s="9" t="n">
        <x:f>SUM(SalesLines!Q1571,SalesLines!Q1572,SalesLines!Q1573)</x:f>
        <x:v>648.0999999999999</x:v>
      </x:c>
      <x:c r="H637" s="9" t="n">
        <x:f>SUM(SalesLines!M1571,SalesLines!M1572,SalesLines!M1573)</x:f>
        <x:v>1283</x:v>
      </x:c>
      <x:c r="I637" s="9" t="n">
        <x:f>SUM(SalesLines!N1571,SalesLines!N1572,SalesLines!N1573)</x:f>
        <x:v>76.30000000000001</x:v>
      </x:c>
      <x:c r="J637" s="9" t="n">
        <x:f>SUM(SalesLines!P1571,SalesLines!P1572,SalesLines!P1573)</x:f>
        <x:v>558.6</x:v>
      </x:c>
      <x:c r="K637" s="11" t="n">
        <x:f>SUM(SalesLines!R1571,SalesLines!R1572,SalesLines!R1573)</x:f>
        <x:v>8</x:v>
      </x:c>
      <x:c r="L637" s="11" t="n">
        <x:f>SUM(SalesLines!S1571,SalesLines!S1572,SalesLines!S1573)</x:f>
        <x:v>2</x:v>
      </x:c>
      <x:c r="M637" s="8" t="n">
        <x:f>DATE(YEAR(C637),MONTH(C637),1)</x:f>
        <x:v>45992</x:v>
      </x:c>
    </x:row>
    <x:row r="638" ht="22" customHeight="1">
      <x:c r="A638" s="2" t="str">
        <x:v>O00634</x:v>
      </x:c>
      <x:c r="B638" s="2" t="str">
        <x:v>C0187</x:v>
      </x:c>
      <x:c r="C638" s="7" t="n">
        <x:v>46009</x:v>
      </x:c>
      <x:c r="D638" s="2" t="str">
        <x:v>Completed</x:v>
      </x:c>
      <x:c r="E638" s="2" t="str">
        <x:v>North</x:v>
      </x:c>
      <x:c r="F638" s="2" t="str">
        <x:v>Store</x:v>
      </x:c>
      <x:c r="G638" s="9" t="n">
        <x:f>SUM(SalesLines!Q1574)</x:f>
        <x:v>156.8</x:v>
      </x:c>
      <x:c r="H638" s="9" t="n">
        <x:f>SUM(SalesLines!M1574)</x:f>
        <x:v>196</x:v>
      </x:c>
      <x:c r="I638" s="9" t="n">
        <x:f>SUM(SalesLines!N1574)</x:f>
        <x:v>39.2</x:v>
      </x:c>
      <x:c r="J638" s="9" t="n">
        <x:f>SUM(SalesLines!P1574)</x:f>
        <x:v>0</x:v>
      </x:c>
      <x:c r="K638" s="11" t="n">
        <x:f>SUM(SalesLines!R1574)</x:f>
        <x:v>1</x:v>
      </x:c>
      <x:c r="L638" s="11" t="n">
        <x:f>SUM(SalesLines!S1574)</x:f>
        <x:v>0</x:v>
      </x:c>
      <x:c r="M638" s="8" t="n">
        <x:f>DATE(YEAR(C638),MONTH(C638),1)</x:f>
        <x:v>45992</x:v>
      </x:c>
    </x:row>
    <x:row r="639" ht="22" customHeight="1">
      <x:c r="A639" s="2" t="str">
        <x:v>O00635</x:v>
      </x:c>
      <x:c r="B639" s="2" t="str">
        <x:v>C0126</x:v>
      </x:c>
      <x:c r="C639" s="7" t="n">
        <x:v>45914</x:v>
      </x:c>
      <x:c r="D639" s="2" t="str">
        <x:v>Completed</x:v>
      </x:c>
      <x:c r="E639" s="2" t="str">
        <x:v>South</x:v>
      </x:c>
      <x:c r="F639" s="2" t="str">
        <x:v>Online</x:v>
      </x:c>
      <x:c r="G639" s="9" t="n">
        <x:f>SUM(SalesLines!Q1575,SalesLines!Q1576,SalesLines!Q1577,SalesLines!Q1578)</x:f>
        <x:v>1306.2</x:v>
      </x:c>
      <x:c r="H639" s="9" t="n">
        <x:f>SUM(SalesLines!M1575,SalesLines!M1576,SalesLines!M1577,SalesLines!M1578)</x:f>
        <x:v>1887</x:v>
      </x:c>
      <x:c r="I639" s="9" t="n">
        <x:f>SUM(SalesLines!N1575,SalesLines!N1576,SalesLines!N1577,SalesLines!N1578)</x:f>
        <x:v>98.20000000000002</x:v>
      </x:c>
      <x:c r="J639" s="9" t="n">
        <x:f>SUM(SalesLines!P1575,SalesLines!P1576,SalesLines!P1577,SalesLines!P1578)</x:f>
        <x:v>482.59999999999997</x:v>
      </x:c>
      <x:c r="K639" s="11" t="n">
        <x:f>SUM(SalesLines!R1575,SalesLines!R1576,SalesLines!R1577,SalesLines!R1578)</x:f>
        <x:v>13</x:v>
      </x:c>
      <x:c r="L639" s="11" t="n">
        <x:f>SUM(SalesLines!S1575,SalesLines!S1576,SalesLines!S1577,SalesLines!S1578)</x:f>
        <x:v>2</x:v>
      </x:c>
      <x:c r="M639" s="8" t="n">
        <x:f>DATE(YEAR(C639),MONTH(C639),1)</x:f>
        <x:v>45901</x:v>
      </x:c>
    </x:row>
    <x:row r="640" ht="22" customHeight="1">
      <x:c r="A640" s="2" t="str">
        <x:v>O00636</x:v>
      </x:c>
      <x:c r="B640" s="2" t="str">
        <x:v>C0052</x:v>
      </x:c>
      <x:c r="C640" s="7" t="n">
        <x:v>45897</x:v>
      </x:c>
      <x:c r="D640" s="2" t="str">
        <x:v>Completed</x:v>
      </x:c>
      <x:c r="E640" s="2" t="str">
        <x:v>North</x:v>
      </x:c>
      <x:c r="F640" s="2" t="str">
        <x:v>Online</x:v>
      </x:c>
      <x:c r="G640" s="9" t="n">
        <x:f>SUM(SalesLines!Q1579)</x:f>
        <x:v>0</x:v>
      </x:c>
      <x:c r="H640" s="9" t="n">
        <x:f>SUM(SalesLines!M1579)</x:f>
        <x:v>300</x:v>
      </x:c>
      <x:c r="I640" s="9" t="n">
        <x:f>SUM(SalesLines!N1579)</x:f>
        <x:v>15</x:v>
      </x:c>
      <x:c r="J640" s="9" t="n">
        <x:f>SUM(SalesLines!P1579)</x:f>
        <x:v>285</x:v>
      </x:c>
      <x:c r="K640" s="11" t="n">
        <x:f>SUM(SalesLines!R1579)</x:f>
        <x:v>1</x:v>
      </x:c>
      <x:c r="L640" s="11" t="n">
        <x:f>SUM(SalesLines!S1579)</x:f>
        <x:v>1</x:v>
      </x:c>
      <x:c r="M640" s="8" t="n">
        <x:f>DATE(YEAR(C640),MONTH(C640),1)</x:f>
        <x:v>45870</x:v>
      </x:c>
    </x:row>
    <x:row r="641" ht="22" customHeight="1">
      <x:c r="A641" s="2" t="str">
        <x:v>O00637</x:v>
      </x:c>
      <x:c r="B641" s="2" t="str">
        <x:v>C0231</x:v>
      </x:c>
      <x:c r="C641" s="7" t="n">
        <x:v>45870</x:v>
      </x:c>
      <x:c r="D641" s="2" t="str">
        <x:v>Completed</x:v>
      </x:c>
      <x:c r="E641" s="2" t="str">
        <x:v>West</x:v>
      </x:c>
      <x:c r="F641" s="2" t="str">
        <x:v>Store</x:v>
      </x:c>
      <x:c r="G641" s="9" t="n">
        <x:f>SUM(SalesLines!Q1580,SalesLines!Q1581,SalesLines!Q1582,SalesLines!Q1583)</x:f>
        <x:v>2156.3999999999996</x:v>
      </x:c>
      <x:c r="H641" s="9" t="n">
        <x:f>SUM(SalesLines!M1580,SalesLines!M1581,SalesLines!M1582,SalesLines!M1583)</x:f>
        <x:v>2373</x:v>
      </x:c>
      <x:c r="I641" s="9" t="n">
        <x:f>SUM(SalesLines!N1580,SalesLines!N1581,SalesLines!N1582,SalesLines!N1583)</x:f>
        <x:v>216.60000000000002</x:v>
      </x:c>
      <x:c r="J641" s="9" t="n">
        <x:f>SUM(SalesLines!P1580,SalesLines!P1581,SalesLines!P1582,SalesLines!P1583)</x:f>
        <x:v>0</x:v>
      </x:c>
      <x:c r="K641" s="11" t="n">
        <x:f>SUM(SalesLines!R1580,SalesLines!R1581,SalesLines!R1582,SalesLines!R1583)</x:f>
        <x:v>16</x:v>
      </x:c>
      <x:c r="L641" s="11" t="n">
        <x:f>SUM(SalesLines!S1580,SalesLines!S1581,SalesLines!S1582,SalesLines!S1583)</x:f>
        <x:v>0</x:v>
      </x:c>
      <x:c r="M641" s="8" t="n">
        <x:f>DATE(YEAR(C641),MONTH(C641),1)</x:f>
        <x:v>45870</x:v>
      </x:c>
    </x:row>
    <x:row r="642" ht="22" customHeight="1">
      <x:c r="A642" s="2" t="str">
        <x:v>O00638</x:v>
      </x:c>
      <x:c r="B642" s="2" t="str">
        <x:v>C0085</x:v>
      </x:c>
      <x:c r="C642" s="7" t="n">
        <x:v>45999</x:v>
      </x:c>
      <x:c r="D642" s="2" t="str">
        <x:v>Completed</x:v>
      </x:c>
      <x:c r="E642" s="2" t="str">
        <x:v>South</x:v>
      </x:c>
      <x:c r="F642" s="2" t="str">
        <x:v>Store</x:v>
      </x:c>
      <x:c r="G642" s="9" t="n">
        <x:f>SUM(SalesLines!Q1584,SalesLines!Q1585,SalesLines!Q1586)</x:f>
        <x:v>481.5</x:v>
      </x:c>
      <x:c r="H642" s="9" t="n">
        <x:f>SUM(SalesLines!M1584,SalesLines!M1585,SalesLines!M1586)</x:f>
        <x:v>2058</x:v>
      </x:c>
      <x:c r="I642" s="9" t="n">
        <x:f>SUM(SalesLines!N1584,SalesLines!N1585,SalesLines!N1586)</x:f>
        <x:v>76.5</x:v>
      </x:c>
      <x:c r="J642" s="9" t="n">
        <x:f>SUM(SalesLines!P1584,SalesLines!P1585,SalesLines!P1586)</x:f>
        <x:v>1500</x:v>
      </x:c>
      <x:c r="K642" s="11" t="n">
        <x:f>SUM(SalesLines!R1584,SalesLines!R1585,SalesLines!R1586)</x:f>
        <x:v>12</x:v>
      </x:c>
      <x:c r="L642" s="11" t="n">
        <x:f>SUM(SalesLines!S1584,SalesLines!S1585,SalesLines!S1586)</x:f>
        <x:v>5</x:v>
      </x:c>
      <x:c r="M642" s="8" t="n">
        <x:f>DATE(YEAR(C642),MONTH(C642),1)</x:f>
        <x:v>45992</x:v>
      </x:c>
    </x:row>
    <x:row r="643" ht="22" customHeight="1">
      <x:c r="A643" s="2" t="str">
        <x:v>O00639</x:v>
      </x:c>
      <x:c r="B643" s="2" t="str">
        <x:v>C0170</x:v>
      </x:c>
      <x:c r="C643" s="7" t="n">
        <x:v>45817</x:v>
      </x:c>
      <x:c r="D643" s="2" t="str">
        <x:v>Completed</x:v>
      </x:c>
      <x:c r="E643" s="2" t="str">
        <x:v>East</x:v>
      </x:c>
      <x:c r="F643" s="2" t="str">
        <x:v>Online</x:v>
      </x:c>
      <x:c r="G643" s="9" t="n">
        <x:f>SUM(SalesLines!Q1587)</x:f>
        <x:v>1058.4</x:v>
      </x:c>
      <x:c r="H643" s="9" t="n">
        <x:f>SUM(SalesLines!M1587)</x:f>
        <x:v>1176</x:v>
      </x:c>
      <x:c r="I643" s="9" t="n">
        <x:f>SUM(SalesLines!N1587)</x:f>
        <x:v>117.60000000000001</x:v>
      </x:c>
      <x:c r="J643" s="9" t="n">
        <x:f>SUM(SalesLines!P1587)</x:f>
        <x:v>0</x:v>
      </x:c>
      <x:c r="K643" s="11" t="n">
        <x:f>SUM(SalesLines!R1587)</x:f>
        <x:v>4</x:v>
      </x:c>
      <x:c r="L643" s="11" t="n">
        <x:f>SUM(SalesLines!S1587)</x:f>
        <x:v>0</x:v>
      </x:c>
      <x:c r="M643" s="8" t="n">
        <x:f>DATE(YEAR(C643),MONTH(C643),1)</x:f>
        <x:v>45809</x:v>
      </x:c>
    </x:row>
    <x:row r="644" ht="22" customHeight="1">
      <x:c r="A644" s="2" t="str">
        <x:v>O00640</x:v>
      </x:c>
      <x:c r="B644" s="2" t="str">
        <x:v>C0136</x:v>
      </x:c>
      <x:c r="C644" s="7" t="n">
        <x:v>46015</x:v>
      </x:c>
      <x:c r="D644" s="2" t="str">
        <x:v>Completed</x:v>
      </x:c>
      <x:c r="E644" s="2" t="str">
        <x:v>West</x:v>
      </x:c>
      <x:c r="F644" s="2" t="str">
        <x:v>Online</x:v>
      </x:c>
      <x:c r="G644" s="9" t="n">
        <x:f>SUM(SalesLines!Q1588,SalesLines!Q1589)</x:f>
        <x:v>370.55</x:v>
      </x:c>
      <x:c r="H644" s="9" t="n">
        <x:f>SUM(SalesLines!M1588,SalesLines!M1589)</x:f>
        <x:v>383</x:v>
      </x:c>
      <x:c r="I644" s="9" t="n">
        <x:f>SUM(SalesLines!N1588,SalesLines!N1589)</x:f>
        <x:v>12.450000000000001</x:v>
      </x:c>
      <x:c r="J644" s="9" t="n">
        <x:f>SUM(SalesLines!P1588,SalesLines!P1589)</x:f>
        <x:v>0</x:v>
      </x:c>
      <x:c r="K644" s="11" t="n">
        <x:f>SUM(SalesLines!R1588,SalesLines!R1589)</x:f>
        <x:v>2</x:v>
      </x:c>
      <x:c r="L644" s="11" t="n">
        <x:f>SUM(SalesLines!S1588,SalesLines!S1589)</x:f>
        <x:v>0</x:v>
      </x:c>
      <x:c r="M644" s="8" t="n">
        <x:f>DATE(YEAR(C644),MONTH(C644),1)</x:f>
        <x:v>45992</x:v>
      </x:c>
    </x:row>
    <x:row r="645" ht="22" customHeight="1">
      <x:c r="A645" s="2" t="str">
        <x:v>O00641</x:v>
      </x:c>
      <x:c r="B645" s="2" t="str">
        <x:v>C0101</x:v>
      </x:c>
      <x:c r="C645" s="7" t="n">
        <x:v>45919</x:v>
      </x:c>
      <x:c r="D645" s="2" t="str">
        <x:v>Completed</x:v>
      </x:c>
      <x:c r="E645" s="2" t="str">
        <x:v>South</x:v>
      </x:c>
      <x:c r="F645" s="2" t="str">
        <x:v>Store</x:v>
      </x:c>
      <x:c r="G645" s="9" t="n">
        <x:f>SUM(SalesLines!Q1590,SalesLines!Q1591,SalesLines!Q1592,SalesLines!Q1593)</x:f>
        <x:v>793</x:v>
      </x:c>
      <x:c r="H645" s="9" t="n">
        <x:f>SUM(SalesLines!M1590,SalesLines!M1591,SalesLines!M1592,SalesLines!M1593)</x:f>
        <x:v>828</x:v>
      </x:c>
      <x:c r="I645" s="9" t="n">
        <x:f>SUM(SalesLines!N1590,SalesLines!N1591,SalesLines!N1592,SalesLines!N1593)</x:f>
        <x:v>35</x:v>
      </x:c>
      <x:c r="J645" s="9" t="n">
        <x:f>SUM(SalesLines!P1590,SalesLines!P1591,SalesLines!P1592,SalesLines!P1593)</x:f>
        <x:v>0</x:v>
      </x:c>
      <x:c r="K645" s="11" t="n">
        <x:f>SUM(SalesLines!R1590,SalesLines!R1591,SalesLines!R1592,SalesLines!R1593)</x:f>
        <x:v>8</x:v>
      </x:c>
      <x:c r="L645" s="11" t="n">
        <x:f>SUM(SalesLines!S1590,SalesLines!S1591,SalesLines!S1592,SalesLines!S1593)</x:f>
        <x:v>0</x:v>
      </x:c>
      <x:c r="M645" s="8" t="n">
        <x:f>DATE(YEAR(C645),MONTH(C645),1)</x:f>
        <x:v>45901</x:v>
      </x:c>
    </x:row>
    <x:row r="646" ht="22" customHeight="1">
      <x:c r="A646" s="2" t="str">
        <x:v>O00642</x:v>
      </x:c>
      <x:c r="B646" s="2" t="str">
        <x:v>C0286</x:v>
      </x:c>
      <x:c r="C646" s="7" t="n">
        <x:v>45712</x:v>
      </x:c>
      <x:c r="D646" s="2" t="str">
        <x:v>Completed</x:v>
      </x:c>
      <x:c r="E646" s="2" t="str">
        <x:v>West</x:v>
      </x:c>
      <x:c r="F646" s="2" t="str">
        <x:v>Store</x:v>
      </x:c>
      <x:c r="G646" s="9" t="n">
        <x:f>SUM(SalesLines!Q1594,SalesLines!Q1595,SalesLines!Q1596,SalesLines!Q1597)</x:f>
        <x:v>1585.5</x:v>
      </x:c>
      <x:c r="H646" s="9" t="n">
        <x:f>SUM(SalesLines!M1594,SalesLines!M1595,SalesLines!M1596,SalesLines!M1597)</x:f>
        <x:v>2511</x:v>
      </x:c>
      <x:c r="I646" s="9" t="n">
        <x:f>SUM(SalesLines!N1594,SalesLines!N1595,SalesLines!N1596,SalesLines!N1597)</x:f>
        <x:v>250.3</x:v>
      </x:c>
      <x:c r="J646" s="9" t="n">
        <x:f>SUM(SalesLines!P1594,SalesLines!P1595,SalesLines!P1596,SalesLines!P1597)</x:f>
        <x:v>675.2</x:v>
      </x:c>
      <x:c r="K646" s="11" t="n">
        <x:f>SUM(SalesLines!R1594,SalesLines!R1595,SalesLines!R1596,SalesLines!R1597)</x:f>
        <x:v>17</x:v>
      </x:c>
      <x:c r="L646" s="11" t="n">
        <x:f>SUM(SalesLines!S1594,SalesLines!S1595,SalesLines!S1596,SalesLines!S1597)</x:f>
        <x:v>4</x:v>
      </x:c>
      <x:c r="M646" s="8" t="n">
        <x:f>DATE(YEAR(C646),MONTH(C646),1)</x:f>
        <x:v>45689</x:v>
      </x:c>
    </x:row>
    <x:row r="647" ht="22" customHeight="1">
      <x:c r="A647" s="2" t="str">
        <x:v>O00643</x:v>
      </x:c>
      <x:c r="B647" s="2" t="str">
        <x:v>C0169</x:v>
      </x:c>
      <x:c r="C647" s="7" t="n">
        <x:v>45906</x:v>
      </x:c>
      <x:c r="D647" s="2" t="str">
        <x:v>Completed</x:v>
      </x:c>
      <x:c r="E647" s="2" t="str">
        <x:v>North</x:v>
      </x:c>
      <x:c r="F647" s="2" t="str">
        <x:v>Online</x:v>
      </x:c>
      <x:c r="G647" s="9" t="n">
        <x:f>SUM(SalesLines!Q1598,SalesLines!Q1599,SalesLines!Q1600)</x:f>
        <x:v>1568.8</x:v>
      </x:c>
      <x:c r="H647" s="9" t="n">
        <x:f>SUM(SalesLines!M1598,SalesLines!M1599,SalesLines!M1600)</x:f>
        <x:v>1799</x:v>
      </x:c>
      <x:c r="I647" s="9" t="n">
        <x:f>SUM(SalesLines!N1598,SalesLines!N1599,SalesLines!N1600)</x:f>
        <x:v>230.2</x:v>
      </x:c>
      <x:c r="J647" s="9" t="n">
        <x:f>SUM(SalesLines!P1598,SalesLines!P1599,SalesLines!P1600)</x:f>
        <x:v>0</x:v>
      </x:c>
      <x:c r="K647" s="11" t="n">
        <x:f>SUM(SalesLines!R1598,SalesLines!R1599,SalesLines!R1600)</x:f>
        <x:v>13</x:v>
      </x:c>
      <x:c r="L647" s="11" t="n">
        <x:f>SUM(SalesLines!S1598,SalesLines!S1599,SalesLines!S1600)</x:f>
        <x:v>0</x:v>
      </x:c>
      <x:c r="M647" s="8" t="n">
        <x:f>DATE(YEAR(C647),MONTH(C647),1)</x:f>
        <x:v>45901</x:v>
      </x:c>
    </x:row>
    <x:row r="648" ht="22" customHeight="1">
      <x:c r="A648" s="2" t="str">
        <x:v>O00644</x:v>
      </x:c>
      <x:c r="B648" s="2" t="str">
        <x:v>C0183</x:v>
      </x:c>
      <x:c r="C648" s="7" t="n">
        <x:v>45939</x:v>
      </x:c>
      <x:c r="D648" s="2" t="str">
        <x:v>Completed</x:v>
      </x:c>
      <x:c r="E648" s="2" t="str">
        <x:v>East</x:v>
      </x:c>
      <x:c r="F648" s="2" t="str">
        <x:v>Store</x:v>
      </x:c>
      <x:c r="G648" s="9" t="n">
        <x:f>SUM(SalesLines!Q1601,SalesLines!Q1602,SalesLines!Q1603)</x:f>
        <x:v>1257</x:v>
      </x:c>
      <x:c r="H648" s="9" t="n">
        <x:f>SUM(SalesLines!M1601,SalesLines!M1602,SalesLines!M1603)</x:f>
        <x:v>1589</x:v>
      </x:c>
      <x:c r="I648" s="9" t="n">
        <x:f>SUM(SalesLines!N1601,SalesLines!N1602,SalesLines!N1603)</x:f>
        <x:v>202.00000000000003</x:v>
      </x:c>
      <x:c r="J648" s="9" t="n">
        <x:f>SUM(SalesLines!P1601,SalesLines!P1602,SalesLines!P1603)</x:f>
        <x:v>130</x:v>
      </x:c>
      <x:c r="K648" s="11" t="n">
        <x:f>SUM(SalesLines!R1601,SalesLines!R1602,SalesLines!R1603)</x:f>
        <x:v>11</x:v>
      </x:c>
      <x:c r="L648" s="11" t="n">
        <x:f>SUM(SalesLines!S1601,SalesLines!S1602,SalesLines!S1603)</x:f>
        <x:v>2</x:v>
      </x:c>
      <x:c r="M648" s="8" t="n">
        <x:f>DATE(YEAR(C648),MONTH(C648),1)</x:f>
        <x:v>45931</x:v>
      </x:c>
    </x:row>
    <x:row r="649" ht="22" customHeight="1">
      <x:c r="A649" s="2" t="str">
        <x:v>O00645</x:v>
      </x:c>
      <x:c r="B649" s="2" t="str">
        <x:v>C0266</x:v>
      </x:c>
      <x:c r="C649" s="7" t="n">
        <x:v>45948</x:v>
      </x:c>
      <x:c r="D649" s="2" t="str">
        <x:v>Completed</x:v>
      </x:c>
      <x:c r="E649" s="2" t="str">
        <x:v>North</x:v>
      </x:c>
      <x:c r="F649" s="2" t="str">
        <x:v>Store</x:v>
      </x:c>
      <x:c r="G649" s="9" t="n">
        <x:f>SUM(SalesLines!Q1604,SalesLines!Q1605,SalesLines!Q1606)</x:f>
        <x:v>2542.5</x:v>
      </x:c>
      <x:c r="H649" s="9" t="n">
        <x:f>SUM(SalesLines!M1604,SalesLines!M1605,SalesLines!M1606)</x:f>
        <x:v>2798</x:v>
      </x:c>
      <x:c r="I649" s="9" t="n">
        <x:f>SUM(SalesLines!N1604,SalesLines!N1605,SalesLines!N1606)</x:f>
        <x:v>255.5</x:v>
      </x:c>
      <x:c r="J649" s="9" t="n">
        <x:f>SUM(SalesLines!P1604,SalesLines!P1605,SalesLines!P1606)</x:f>
        <x:v>0</x:v>
      </x:c>
      <x:c r="K649" s="11" t="n">
        <x:f>SUM(SalesLines!R1604,SalesLines!R1605,SalesLines!R1606)</x:f>
        <x:v>11</x:v>
      </x:c>
      <x:c r="L649" s="11" t="n">
        <x:f>SUM(SalesLines!S1604,SalesLines!S1605,SalesLines!S1606)</x:f>
        <x:v>0</x:v>
      </x:c>
      <x:c r="M649" s="8" t="n">
        <x:f>DATE(YEAR(C649),MONTH(C649),1)</x:f>
        <x:v>45931</x:v>
      </x:c>
    </x:row>
    <x:row r="650" ht="22" customHeight="1">
      <x:c r="A650" s="2" t="str">
        <x:v>O00646</x:v>
      </x:c>
      <x:c r="B650" s="2" t="str">
        <x:v>C0232</x:v>
      </x:c>
      <x:c r="C650" s="7" t="n">
        <x:v>45885</x:v>
      </x:c>
      <x:c r="D650" s="2" t="str">
        <x:v>Completed</x:v>
      </x:c>
      <x:c r="E650" s="2" t="str">
        <x:v>East</x:v>
      </x:c>
      <x:c r="F650" s="2" t="str">
        <x:v>Online</x:v>
      </x:c>
      <x:c r="G650" s="9" t="n">
        <x:f>SUM(SalesLines!Q1607)</x:f>
        <x:v>166.25</x:v>
      </x:c>
      <x:c r="H650" s="9" t="n">
        <x:f>SUM(SalesLines!M1607)</x:f>
        <x:v>175</x:v>
      </x:c>
      <x:c r="I650" s="9" t="n">
        <x:f>SUM(SalesLines!N1607)</x:f>
        <x:v>8.75</x:v>
      </x:c>
      <x:c r="J650" s="9" t="n">
        <x:f>SUM(SalesLines!P1607)</x:f>
        <x:v>0</x:v>
      </x:c>
      <x:c r="K650" s="11" t="n">
        <x:f>SUM(SalesLines!R1607)</x:f>
        <x:v>5</x:v>
      </x:c>
      <x:c r="L650" s="11" t="n">
        <x:f>SUM(SalesLines!S1607)</x:f>
        <x:v>0</x:v>
      </x:c>
      <x:c r="M650" s="8" t="n">
        <x:f>DATE(YEAR(C650),MONTH(C650),1)</x:f>
        <x:v>45870</x:v>
      </x:c>
    </x:row>
    <x:row r="651" ht="22" customHeight="1">
      <x:c r="A651" s="2" t="str">
        <x:v>O00647</x:v>
      </x:c>
      <x:c r="B651" s="2" t="str">
        <x:v>C0287</x:v>
      </x:c>
      <x:c r="C651" s="7" t="n">
        <x:v>45721</x:v>
      </x:c>
      <x:c r="D651" s="2" t="str">
        <x:v>Completed</x:v>
      </x:c>
      <x:c r="E651" s="2" t="str">
        <x:v>South</x:v>
      </x:c>
      <x:c r="F651" s="2" t="str">
        <x:v>Store</x:v>
      </x:c>
      <x:c r="G651" s="9" t="n">
        <x:f>SUM(SalesLines!Q1608,SalesLines!Q1609,SalesLines!Q1610)</x:f>
        <x:v>1334.25</x:v>
      </x:c>
      <x:c r="H651" s="9" t="n">
        <x:f>SUM(SalesLines!M1608,SalesLines!M1609,SalesLines!M1610)</x:f>
        <x:v>1605</x:v>
      </x:c>
      <x:c r="I651" s="9" t="n">
        <x:f>SUM(SalesLines!N1608,SalesLines!N1609,SalesLines!N1610)</x:f>
        <x:v>270.75</x:v>
      </x:c>
      <x:c r="J651" s="9" t="n">
        <x:f>SUM(SalesLines!P1608,SalesLines!P1609,SalesLines!P1610)</x:f>
        <x:v>0</x:v>
      </x:c>
      <x:c r="K651" s="11" t="n">
        <x:f>SUM(SalesLines!R1608,SalesLines!R1609,SalesLines!R1610)</x:f>
        <x:v>12</x:v>
      </x:c>
      <x:c r="L651" s="11" t="n">
        <x:f>SUM(SalesLines!S1608,SalesLines!S1609,SalesLines!S1610)</x:f>
        <x:v>0</x:v>
      </x:c>
      <x:c r="M651" s="8" t="n">
        <x:f>DATE(YEAR(C651),MONTH(C651),1)</x:f>
        <x:v>45717</x:v>
      </x:c>
    </x:row>
    <x:row r="652" ht="22" customHeight="1">
      <x:c r="A652" s="2" t="str">
        <x:v>O00648</x:v>
      </x:c>
      <x:c r="B652" s="2" t="str">
        <x:v>C0082</x:v>
      </x:c>
      <x:c r="C652" s="7" t="n">
        <x:v>45685</x:v>
      </x:c>
      <x:c r="D652" s="2" t="str">
        <x:v>Completed</x:v>
      </x:c>
      <x:c r="E652" s="2" t="str">
        <x:v>North</x:v>
      </x:c>
      <x:c r="F652" s="2" t="str">
        <x:v>Online</x:v>
      </x:c>
      <x:c r="G652" s="9" t="n">
        <x:f>SUM(SalesLines!Q1611,SalesLines!Q1612)</x:f>
        <x:v>646.7</x:v>
      </x:c>
      <x:c r="H652" s="9" t="n">
        <x:f>SUM(SalesLines!M1611,SalesLines!M1612)</x:f>
        <x:v>793</x:v>
      </x:c>
      <x:c r="I652" s="9" t="n">
        <x:f>SUM(SalesLines!N1611,SalesLines!N1612)</x:f>
        <x:v>146.3</x:v>
      </x:c>
      <x:c r="J652" s="9" t="n">
        <x:f>SUM(SalesLines!P1611,SalesLines!P1612)</x:f>
        <x:v>0</x:v>
      </x:c>
      <x:c r="K652" s="11" t="n">
        <x:f>SUM(SalesLines!R1611,SalesLines!R1612)</x:f>
        <x:v>6</x:v>
      </x:c>
      <x:c r="L652" s="11" t="n">
        <x:f>SUM(SalesLines!S1611,SalesLines!S1612)</x:f>
        <x:v>0</x:v>
      </x:c>
      <x:c r="M652" s="8" t="n">
        <x:f>DATE(YEAR(C652),MONTH(C652),1)</x:f>
        <x:v>45658</x:v>
      </x:c>
    </x:row>
    <x:row r="653" ht="22" customHeight="1">
      <x:c r="A653" s="2" t="str">
        <x:v>O00649</x:v>
      </x:c>
      <x:c r="B653" s="2" t="str">
        <x:v>C0231</x:v>
      </x:c>
      <x:c r="C653" s="7" t="n">
        <x:v>45682</x:v>
      </x:c>
      <x:c r="D653" s="2" t="str">
        <x:v>Completed</x:v>
      </x:c>
      <x:c r="E653" s="2" t="str">
        <x:v>West</x:v>
      </x:c>
      <x:c r="F653" s="2" t="str">
        <x:v>Store</x:v>
      </x:c>
      <x:c r="G653" s="9" t="n">
        <x:f>SUM(SalesLines!Q1613,SalesLines!Q1614,SalesLines!Q1615)</x:f>
        <x:v>1775.6</x:v>
      </x:c>
      <x:c r="H653" s="9" t="n">
        <x:f>SUM(SalesLines!M1613,SalesLines!M1614,SalesLines!M1615)</x:f>
        <x:v>2113</x:v>
      </x:c>
      <x:c r="I653" s="9" t="n">
        <x:f>SUM(SalesLines!N1613,SalesLines!N1614,SalesLines!N1615)</x:f>
        <x:v>337.4</x:v>
      </x:c>
      <x:c r="J653" s="9" t="n">
        <x:f>SUM(SalesLines!P1613,SalesLines!P1614,SalesLines!P1615)</x:f>
        <x:v>0</x:v>
      </x:c>
      <x:c r="K653" s="11" t="n">
        <x:f>SUM(SalesLines!R1613,SalesLines!R1614,SalesLines!R1615)</x:f>
        <x:v>9</x:v>
      </x:c>
      <x:c r="L653" s="11" t="n">
        <x:f>SUM(SalesLines!S1613,SalesLines!S1614,SalesLines!S1615)</x:f>
        <x:v>0</x:v>
      </x:c>
      <x:c r="M653" s="8" t="n">
        <x:f>DATE(YEAR(C653),MONTH(C653),1)</x:f>
        <x:v>45658</x:v>
      </x:c>
    </x:row>
    <x:row r="654" ht="22" customHeight="1">
      <x:c r="A654" s="2" t="str">
        <x:v>O00650</x:v>
      </x:c>
      <x:c r="B654" s="2" t="str">
        <x:v>C0098</x:v>
      </x:c>
      <x:c r="C654" s="7" t="n">
        <x:v>45895</x:v>
      </x:c>
      <x:c r="D654" s="2" t="str">
        <x:v>Completed</x:v>
      </x:c>
      <x:c r="E654" s="2" t="str">
        <x:v>West</x:v>
      </x:c>
      <x:c r="F654" s="2" t="str">
        <x:v>Store</x:v>
      </x:c>
      <x:c r="G654" s="9" t="n">
        <x:f>SUM(SalesLines!Q1616,SalesLines!Q1617)</x:f>
        <x:v>861.2</x:v>
      </x:c>
      <x:c r="H654" s="9" t="n">
        <x:f>SUM(SalesLines!M1616,SalesLines!M1617)</x:f>
        <x:v>970</x:v>
      </x:c>
      <x:c r="I654" s="9" t="n">
        <x:f>SUM(SalesLines!N1616,SalesLines!N1617)</x:f>
        <x:v>108.80000000000001</x:v>
      </x:c>
      <x:c r="J654" s="9" t="n">
        <x:f>SUM(SalesLines!P1616,SalesLines!P1617)</x:f>
        <x:v>0</x:v>
      </x:c>
      <x:c r="K654" s="11" t="n">
        <x:f>SUM(SalesLines!R1616,SalesLines!R1617)</x:f>
        <x:v>5</x:v>
      </x:c>
      <x:c r="L654" s="11" t="n">
        <x:f>SUM(SalesLines!S1616,SalesLines!S1617)</x:f>
        <x:v>0</x:v>
      </x:c>
      <x:c r="M654" s="8" t="n">
        <x:f>DATE(YEAR(C654),MONTH(C654),1)</x:f>
        <x:v>45870</x:v>
      </x:c>
    </x:row>
    <x:row r="655" ht="22" customHeight="1">
      <x:c r="A655" s="2" t="str">
        <x:v>O00651</x:v>
      </x:c>
      <x:c r="B655" s="2" t="str">
        <x:v>C0148</x:v>
      </x:c>
      <x:c r="C655" s="7" t="n">
        <x:v>45895</x:v>
      </x:c>
      <x:c r="D655" s="2" t="str">
        <x:v>Completed</x:v>
      </x:c>
      <x:c r="E655" s="2" t="str">
        <x:v>East</x:v>
      </x:c>
      <x:c r="F655" s="2" t="str">
        <x:v>Online</x:v>
      </x:c>
      <x:c r="G655" s="9" t="n">
        <x:f>SUM(SalesLines!Q1618)</x:f>
        <x:v>995</x:v>
      </x:c>
      <x:c r="H655" s="9" t="n">
        <x:f>SUM(SalesLines!M1618)</x:f>
        <x:v>995</x:v>
      </x:c>
      <x:c r="I655" s="9" t="n">
        <x:f>SUM(SalesLines!N1618)</x:f>
        <x:v>0</x:v>
      </x:c>
      <x:c r="J655" s="9" t="n">
        <x:f>SUM(SalesLines!P1618)</x:f>
        <x:v>0</x:v>
      </x:c>
      <x:c r="K655" s="11" t="n">
        <x:f>SUM(SalesLines!R1618)</x:f>
        <x:v>5</x:v>
      </x:c>
      <x:c r="L655" s="11" t="n">
        <x:f>SUM(SalesLines!S1618)</x:f>
        <x:v>0</x:v>
      </x:c>
      <x:c r="M655" s="8" t="n">
        <x:f>DATE(YEAR(C655),MONTH(C655),1)</x:f>
        <x:v>45870</x:v>
      </x:c>
    </x:row>
    <x:row r="656" ht="22" customHeight="1">
      <x:c r="A656" s="2" t="str">
        <x:v>O00652</x:v>
      </x:c>
      <x:c r="B656" s="2" t="str">
        <x:v>C0235</x:v>
      </x:c>
      <x:c r="C656" s="7" t="n">
        <x:v>45902</x:v>
      </x:c>
      <x:c r="D656" s="2" t="str">
        <x:v>Completed</x:v>
      </x:c>
      <x:c r="E656" s="2" t="str">
        <x:v>North</x:v>
      </x:c>
      <x:c r="F656" s="2" t="str">
        <x:v>Store</x:v>
      </x:c>
      <x:c r="G656" s="9" t="n">
        <x:f>SUM(SalesLines!Q1619)</x:f>
        <x:v>0</x:v>
      </x:c>
      <x:c r="H656" s="9" t="n">
        <x:f>SUM(SalesLines!M1619)</x:f>
        <x:v>633</x:v>
      </x:c>
      <x:c r="I656" s="9" t="n">
        <x:f>SUM(SalesLines!N1619)</x:f>
        <x:v>31.650000000000002</x:v>
      </x:c>
      <x:c r="J656" s="9" t="n">
        <x:f>SUM(SalesLines!P1619)</x:f>
        <x:v>601.35</x:v>
      </x:c>
      <x:c r="K656" s="11" t="n">
        <x:f>SUM(SalesLines!R1619)</x:f>
        <x:v>3</x:v>
      </x:c>
      <x:c r="L656" s="11" t="n">
        <x:f>SUM(SalesLines!S1619)</x:f>
        <x:v>3</x:v>
      </x:c>
      <x:c r="M656" s="8" t="n">
        <x:f>DATE(YEAR(C656),MONTH(C656),1)</x:f>
        <x:v>45901</x:v>
      </x:c>
    </x:row>
    <x:row r="657" ht="22" customHeight="1">
      <x:c r="A657" s="2" t="str">
        <x:v>O00653</x:v>
      </x:c>
      <x:c r="B657" s="2" t="str">
        <x:v>C0107</x:v>
      </x:c>
      <x:c r="C657" s="7" t="n">
        <x:v>45916</x:v>
      </x:c>
      <x:c r="D657" s="2" t="str">
        <x:v>Completed</x:v>
      </x:c>
      <x:c r="E657" s="2" t="str">
        <x:v>South</x:v>
      </x:c>
      <x:c r="F657" s="2" t="str">
        <x:v>Online</x:v>
      </x:c>
      <x:c r="G657" s="9" t="n">
        <x:f>SUM(SalesLines!Q1620,SalesLines!Q1621)</x:f>
        <x:v>1173</x:v>
      </x:c>
      <x:c r="H657" s="9" t="n">
        <x:f>SUM(SalesLines!M1620,SalesLines!M1621)</x:f>
        <x:v>1233</x:v>
      </x:c>
      <x:c r="I657" s="9" t="n">
        <x:f>SUM(SalesLines!N1620,SalesLines!N1621)</x:f>
        <x:v>60</x:v>
      </x:c>
      <x:c r="J657" s="9" t="n">
        <x:f>SUM(SalesLines!P1620,SalesLines!P1621)</x:f>
        <x:v>0</x:v>
      </x:c>
      <x:c r="K657" s="11" t="n">
        <x:f>SUM(SalesLines!R1620,SalesLines!R1621)</x:f>
        <x:v>5</x:v>
      </x:c>
      <x:c r="L657" s="11" t="n">
        <x:f>SUM(SalesLines!S1620,SalesLines!S1621)</x:f>
        <x:v>0</x:v>
      </x:c>
      <x:c r="M657" s="8" t="n">
        <x:f>DATE(YEAR(C657),MONTH(C657),1)</x:f>
        <x:v>45901</x:v>
      </x:c>
    </x:row>
    <x:row r="658" ht="22" customHeight="1">
      <x:c r="A658" s="2" t="str">
        <x:v>O00654</x:v>
      </x:c>
      <x:c r="B658" s="2" t="str">
        <x:v>C0021</x:v>
      </x:c>
      <x:c r="C658" s="7" t="n">
        <x:v>45833</x:v>
      </x:c>
      <x:c r="D658" s="2" t="str">
        <x:v>Completed</x:v>
      </x:c>
      <x:c r="E658" s="2" t="str">
        <x:v>West</x:v>
      </x:c>
      <x:c r="F658" s="2" t="str">
        <x:v>Online</x:v>
      </x:c>
      <x:c r="G658" s="9" t="n">
        <x:f>SUM(SalesLines!Q1622,SalesLines!Q1623,SalesLines!Q1624)</x:f>
        <x:v>1816.1</x:v>
      </x:c>
      <x:c r="H658" s="9" t="n">
        <x:f>SUM(SalesLines!M1622,SalesLines!M1623,SalesLines!M1624)</x:f>
        <x:v>2062</x:v>
      </x:c>
      <x:c r="I658" s="9" t="n">
        <x:f>SUM(SalesLines!N1622,SalesLines!N1623,SalesLines!N1624)</x:f>
        <x:v>245.9</x:v>
      </x:c>
      <x:c r="J658" s="9" t="n">
        <x:f>SUM(SalesLines!P1622,SalesLines!P1623,SalesLines!P1624)</x:f>
        <x:v>0</x:v>
      </x:c>
      <x:c r="K658" s="11" t="n">
        <x:f>SUM(SalesLines!R1622,SalesLines!R1623,SalesLines!R1624)</x:f>
        <x:v>13</x:v>
      </x:c>
      <x:c r="L658" s="11" t="n">
        <x:f>SUM(SalesLines!S1622,SalesLines!S1623,SalesLines!S1624)</x:f>
        <x:v>0</x:v>
      </x:c>
      <x:c r="M658" s="8" t="n">
        <x:f>DATE(YEAR(C658),MONTH(C658),1)</x:f>
        <x:v>45809</x:v>
      </x:c>
    </x:row>
    <x:row r="659" ht="22" customHeight="1">
      <x:c r="A659" s="2" t="str">
        <x:v>O00655</x:v>
      </x:c>
      <x:c r="B659" s="2" t="str">
        <x:v>C0174</x:v>
      </x:c>
      <x:c r="C659" s="7" t="n">
        <x:v>45957</x:v>
      </x:c>
      <x:c r="D659" s="2" t="str">
        <x:v>Completed</x:v>
      </x:c>
      <x:c r="E659" s="2" t="str">
        <x:v>South</x:v>
      </x:c>
      <x:c r="F659" s="2" t="str">
        <x:v>Store</x:v>
      </x:c>
      <x:c r="G659" s="9" t="n">
        <x:f>SUM(SalesLines!Q1625,SalesLines!Q1626)</x:f>
        <x:v>782.65</x:v>
      </x:c>
      <x:c r="H659" s="9" t="n">
        <x:f>SUM(SalesLines!M1625,SalesLines!M1626)</x:f>
        <x:v>811</x:v>
      </x:c>
      <x:c r="I659" s="9" t="n">
        <x:f>SUM(SalesLines!N1625,SalesLines!N1626)</x:f>
        <x:v>28.35</x:v>
      </x:c>
      <x:c r="J659" s="9" t="n">
        <x:f>SUM(SalesLines!P1625,SalesLines!P1626)</x:f>
        <x:v>0</x:v>
      </x:c>
      <x:c r="K659" s="11" t="n">
        <x:f>SUM(SalesLines!R1625,SalesLines!R1626)</x:f>
        <x:v>5</x:v>
      </x:c>
      <x:c r="L659" s="11" t="n">
        <x:f>SUM(SalesLines!S1625,SalesLines!S1626)</x:f>
        <x:v>0</x:v>
      </x:c>
      <x:c r="M659" s="8" t="n">
        <x:f>DATE(YEAR(C659),MONTH(C659),1)</x:f>
        <x:v>45931</x:v>
      </x:c>
    </x:row>
    <x:row r="660" ht="22" customHeight="1">
      <x:c r="A660" s="2" t="str">
        <x:v>O00656</x:v>
      </x:c>
      <x:c r="B660" s="2" t="str">
        <x:v>C0265</x:v>
      </x:c>
      <x:c r="C660" s="7" t="n">
        <x:v>45682</x:v>
      </x:c>
      <x:c r="D660" s="2" t="str">
        <x:v>Completed</x:v>
      </x:c>
      <x:c r="E660" s="2" t="str">
        <x:v>West</x:v>
      </x:c>
      <x:c r="F660" s="2" t="str">
        <x:v>Store</x:v>
      </x:c>
      <x:c r="G660" s="9" t="n">
        <x:f>SUM(SalesLines!Q1627)</x:f>
        <x:v>509.2</x:v>
      </x:c>
      <x:c r="H660" s="9" t="n">
        <x:f>SUM(SalesLines!M1627)</x:f>
        <x:v>536</x:v>
      </x:c>
      <x:c r="I660" s="9" t="n">
        <x:f>SUM(SalesLines!N1627)</x:f>
        <x:v>26.8</x:v>
      </x:c>
      <x:c r="J660" s="9" t="n">
        <x:f>SUM(SalesLines!P1627)</x:f>
        <x:v>0</x:v>
      </x:c>
      <x:c r="K660" s="11" t="n">
        <x:f>SUM(SalesLines!R1627)</x:f>
        <x:v>4</x:v>
      </x:c>
      <x:c r="L660" s="11" t="n">
        <x:f>SUM(SalesLines!S1627)</x:f>
        <x:v>0</x:v>
      </x:c>
      <x:c r="M660" s="8" t="n">
        <x:f>DATE(YEAR(C660),MONTH(C660),1)</x:f>
        <x:v>45658</x:v>
      </x:c>
    </x:row>
    <x:row r="661" ht="22" customHeight="1">
      <x:c r="A661" s="2" t="str">
        <x:v>O00657</x:v>
      </x:c>
      <x:c r="B661" s="2" t="str">
        <x:v>C0270</x:v>
      </x:c>
      <x:c r="C661" s="7" t="n">
        <x:v>45945</x:v>
      </x:c>
      <x:c r="D661" s="2" t="str">
        <x:v>Completed</x:v>
      </x:c>
      <x:c r="E661" s="2" t="str">
        <x:v>East</x:v>
      </x:c>
      <x:c r="F661" s="2" t="str">
        <x:v>Store</x:v>
      </x:c>
      <x:c r="G661" s="9" t="n">
        <x:f>SUM(SalesLines!Q1628)</x:f>
        <x:v>233.7</x:v>
      </x:c>
      <x:c r="H661" s="9" t="n">
        <x:f>SUM(SalesLines!M1628)</x:f>
        <x:v>246</x:v>
      </x:c>
      <x:c r="I661" s="9" t="n">
        <x:f>SUM(SalesLines!N1628)</x:f>
        <x:v>12.3</x:v>
      </x:c>
      <x:c r="J661" s="9" t="n">
        <x:f>SUM(SalesLines!P1628)</x:f>
        <x:v>0</x:v>
      </x:c>
      <x:c r="K661" s="11" t="n">
        <x:f>SUM(SalesLines!R1628)</x:f>
        <x:v>2</x:v>
      </x:c>
      <x:c r="L661" s="11" t="n">
        <x:f>SUM(SalesLines!S1628)</x:f>
        <x:v>0</x:v>
      </x:c>
      <x:c r="M661" s="8" t="n">
        <x:f>DATE(YEAR(C661),MONTH(C661),1)</x:f>
        <x:v>45931</x:v>
      </x:c>
    </x:row>
    <x:row r="662" ht="22" customHeight="1">
      <x:c r="A662" s="2" t="str">
        <x:v>O00658</x:v>
      </x:c>
      <x:c r="B662" s="2" t="str">
        <x:v>C0121</x:v>
      </x:c>
      <x:c r="C662" s="7" t="n">
        <x:v>45687</x:v>
      </x:c>
      <x:c r="D662" s="2" t="str">
        <x:v>Cancelled</x:v>
      </x:c>
      <x:c r="E662" s="2" t="str">
        <x:v>West</x:v>
      </x:c>
      <x:c r="F662" s="2" t="str">
        <x:v>Online</x:v>
      </x:c>
      <x:c r="G662" s="9" t="n">
        <x:f>SUM(SalesLines!Q1629,SalesLines!Q1630,SalesLines!Q1631,SalesLines!Q1632)</x:f>
        <x:v>0</x:v>
      </x:c>
      <x:c r="H662" s="9" t="n">
        <x:f>SUM(SalesLines!M1629,SalesLines!M1630,SalesLines!M1631,SalesLines!M1632)</x:f>
        <x:v>0</x:v>
      </x:c>
      <x:c r="I662" s="9" t="n">
        <x:f>SUM(SalesLines!N1629,SalesLines!N1630,SalesLines!N1631,SalesLines!N1632)</x:f>
        <x:v>0</x:v>
      </x:c>
      <x:c r="J662" s="9" t="n">
        <x:f>SUM(SalesLines!P1629,SalesLines!P1630,SalesLines!P1631,SalesLines!P1632)</x:f>
        <x:v>0</x:v>
      </x:c>
      <x:c r="K662" s="11" t="n">
        <x:f>SUM(SalesLines!R1629,SalesLines!R1630,SalesLines!R1631,SalesLines!R1632)</x:f>
        <x:v>0</x:v>
      </x:c>
      <x:c r="L662" s="11" t="n">
        <x:f>SUM(SalesLines!S1629,SalesLines!S1630,SalesLines!S1631,SalesLines!S1632)</x:f>
        <x:v>0</x:v>
      </x:c>
      <x:c r="M662" s="8" t="n">
        <x:f>DATE(YEAR(C662),MONTH(C662),1)</x:f>
        <x:v>45658</x:v>
      </x:c>
    </x:row>
    <x:row r="663" ht="22" customHeight="1">
      <x:c r="A663" s="2" t="str">
        <x:v>O00659</x:v>
      </x:c>
      <x:c r="B663" s="2" t="str">
        <x:v>C0003</x:v>
      </x:c>
      <x:c r="C663" s="7" t="n">
        <x:v>45662</x:v>
      </x:c>
      <x:c r="D663" s="2" t="str">
        <x:v>Completed</x:v>
      </x:c>
      <x:c r="E663" s="2" t="str">
        <x:v>North</x:v>
      </x:c>
      <x:c r="F663" s="2" t="str">
        <x:v>Store</x:v>
      </x:c>
      <x:c r="G663" s="9" t="n">
        <x:f>SUM(SalesLines!Q1633,SalesLines!Q1634)</x:f>
        <x:v>1154</x:v>
      </x:c>
      <x:c r="H663" s="9" t="n">
        <x:f>SUM(SalesLines!M1633,SalesLines!M1634)</x:f>
        <x:v>1546</x:v>
      </x:c>
      <x:c r="I663" s="9" t="n">
        <x:f>SUM(SalesLines!N1633,SalesLines!N1634)</x:f>
        <x:v>0</x:v>
      </x:c>
      <x:c r="J663" s="9" t="n">
        <x:f>SUM(SalesLines!P1633,SalesLines!P1634)</x:f>
        <x:v>392</x:v>
      </x:c>
      <x:c r="K663" s="11" t="n">
        <x:f>SUM(SalesLines!R1633,SalesLines!R1634)</x:f>
        <x:v>7</x:v>
      </x:c>
      <x:c r="L663" s="11" t="n">
        <x:f>SUM(SalesLines!S1633,SalesLines!S1634)</x:f>
        <x:v>2</x:v>
      </x:c>
      <x:c r="M663" s="8" t="n">
        <x:f>DATE(YEAR(C663),MONTH(C663),1)</x:f>
        <x:v>45658</x:v>
      </x:c>
    </x:row>
    <x:row r="664" ht="22" customHeight="1">
      <x:c r="A664" s="2" t="str">
        <x:v>O00660</x:v>
      </x:c>
      <x:c r="B664" s="2" t="str">
        <x:v>C0064</x:v>
      </x:c>
      <x:c r="C664" s="7" t="n">
        <x:v>46003</x:v>
      </x:c>
      <x:c r="D664" s="2" t="str">
        <x:v>Cancelled</x:v>
      </x:c>
      <x:c r="E664" s="2" t="str">
        <x:v>North</x:v>
      </x:c>
      <x:c r="F664" s="2" t="str">
        <x:v>Online</x:v>
      </x:c>
      <x:c r="G664" s="9" t="n">
        <x:f>SUM(SalesLines!Q1635)</x:f>
        <x:v>0</x:v>
      </x:c>
      <x:c r="H664" s="9" t="n">
        <x:f>SUM(SalesLines!M1635)</x:f>
        <x:v>0</x:v>
      </x:c>
      <x:c r="I664" s="9" t="n">
        <x:f>SUM(SalesLines!N1635)</x:f>
        <x:v>0</x:v>
      </x:c>
      <x:c r="J664" s="9" t="n">
        <x:f>SUM(SalesLines!P1635)</x:f>
        <x:v>0</x:v>
      </x:c>
      <x:c r="K664" s="11" t="n">
        <x:f>SUM(SalesLines!R1635)</x:f>
        <x:v>0</x:v>
      </x:c>
      <x:c r="L664" s="11" t="n">
        <x:f>SUM(SalesLines!S1635)</x:f>
        <x:v>0</x:v>
      </x:c>
      <x:c r="M664" s="8" t="n">
        <x:f>DATE(YEAR(C664),MONTH(C664),1)</x:f>
        <x:v>45992</x:v>
      </x:c>
    </x:row>
    <x:row r="665" ht="22" customHeight="1">
      <x:c r="A665" s="2" t="str">
        <x:v>O00661</x:v>
      </x:c>
      <x:c r="B665" s="2" t="str">
        <x:v>C0062</x:v>
      </x:c>
      <x:c r="C665" s="7" t="n">
        <x:v>45887</x:v>
      </x:c>
      <x:c r="D665" s="2" t="str">
        <x:v>Completed</x:v>
      </x:c>
      <x:c r="E665" s="2" t="str">
        <x:v>West</x:v>
      </x:c>
      <x:c r="F665" s="2" t="str">
        <x:v>Online</x:v>
      </x:c>
      <x:c r="G665" s="9" t="n">
        <x:f>SUM(SalesLines!Q1636,SalesLines!Q1637,SalesLines!Q1638)</x:f>
        <x:v>2284</x:v>
      </x:c>
      <x:c r="H665" s="9" t="n">
        <x:f>SUM(SalesLines!M1636,SalesLines!M1637,SalesLines!M1638)</x:f>
        <x:v>2592</x:v>
      </x:c>
      <x:c r="I665" s="9" t="n">
        <x:f>SUM(SalesLines!N1636,SalesLines!N1637,SalesLines!N1638)</x:f>
        <x:v>120</x:v>
      </x:c>
      <x:c r="J665" s="9" t="n">
        <x:f>SUM(SalesLines!P1636,SalesLines!P1637,SalesLines!P1638)</x:f>
        <x:v>188</x:v>
      </x:c>
      <x:c r="K665" s="11" t="n">
        <x:f>SUM(SalesLines!R1636,SalesLines!R1637,SalesLines!R1638)</x:f>
        <x:v>10</x:v>
      </x:c>
      <x:c r="L665" s="11" t="n">
        <x:f>SUM(SalesLines!S1636,SalesLines!S1637,SalesLines!S1638)</x:f>
        <x:v>1</x:v>
      </x:c>
      <x:c r="M665" s="8" t="n">
        <x:f>DATE(YEAR(C665),MONTH(C665),1)</x:f>
        <x:v>45870</x:v>
      </x:c>
    </x:row>
    <x:row r="666" ht="22" customHeight="1">
      <x:c r="A666" s="2" t="str">
        <x:v>O00662</x:v>
      </x:c>
      <x:c r="B666" s="2" t="str">
        <x:v>C0185</x:v>
      </x:c>
      <x:c r="C666" s="7" t="n">
        <x:v>45766</x:v>
      </x:c>
      <x:c r="D666" s="2" t="str">
        <x:v>Completed</x:v>
      </x:c>
      <x:c r="E666" s="2" t="str">
        <x:v>North</x:v>
      </x:c>
      <x:c r="F666" s="2" t="str">
        <x:v>Online</x:v>
      </x:c>
      <x:c r="G666" s="9" t="n">
        <x:f>SUM(SalesLines!Q1639,SalesLines!Q1640)</x:f>
        <x:v>947.2</x:v>
      </x:c>
      <x:c r="H666" s="9" t="n">
        <x:f>SUM(SalesLines!M1639,SalesLines!M1640)</x:f>
        <x:v>1104</x:v>
      </x:c>
      <x:c r="I666" s="9" t="n">
        <x:f>SUM(SalesLines!N1639,SalesLines!N1640)</x:f>
        <x:v>156.8</x:v>
      </x:c>
      <x:c r="J666" s="9" t="n">
        <x:f>SUM(SalesLines!P1639,SalesLines!P1640)</x:f>
        <x:v>0</x:v>
      </x:c>
      <x:c r="K666" s="11" t="n">
        <x:f>SUM(SalesLines!R1639,SalesLines!R1640)</x:f>
        <x:v>8</x:v>
      </x:c>
      <x:c r="L666" s="11" t="n">
        <x:f>SUM(SalesLines!S1639,SalesLines!S1640)</x:f>
        <x:v>0</x:v>
      </x:c>
      <x:c r="M666" s="8" t="n">
        <x:f>DATE(YEAR(C666),MONTH(C666),1)</x:f>
        <x:v>45748</x:v>
      </x:c>
    </x:row>
    <x:row r="667" ht="22" customHeight="1">
      <x:c r="A667" s="2" t="str">
        <x:v>O00663</x:v>
      </x:c>
      <x:c r="B667" s="2" t="str">
        <x:v>C0195</x:v>
      </x:c>
      <x:c r="C667" s="7" t="n">
        <x:v>45992</x:v>
      </x:c>
      <x:c r="D667" s="2" t="str">
        <x:v>Completed</x:v>
      </x:c>
      <x:c r="E667" s="2" t="str">
        <x:v>West</x:v>
      </x:c>
      <x:c r="F667" s="2" t="str">
        <x:v>Store</x:v>
      </x:c>
      <x:c r="G667" s="9" t="n">
        <x:f>SUM(SalesLines!Q1641,SalesLines!Q1642,SalesLines!Q1643)</x:f>
        <x:v>835.6</x:v>
      </x:c>
      <x:c r="H667" s="9" t="n">
        <x:f>SUM(SalesLines!M1641,SalesLines!M1642,SalesLines!M1643)</x:f>
        <x:v>947</x:v>
      </x:c>
      <x:c r="I667" s="9" t="n">
        <x:f>SUM(SalesLines!N1641,SalesLines!N1642,SalesLines!N1643)</x:f>
        <x:v>111.4</x:v>
      </x:c>
      <x:c r="J667" s="9" t="n">
        <x:f>SUM(SalesLines!P1641,SalesLines!P1642,SalesLines!P1643)</x:f>
        <x:v>0</x:v>
      </x:c>
      <x:c r="K667" s="11" t="n">
        <x:f>SUM(SalesLines!R1641,SalesLines!R1642,SalesLines!R1643)</x:f>
        <x:v>9</x:v>
      </x:c>
      <x:c r="L667" s="11" t="n">
        <x:f>SUM(SalesLines!S1641,SalesLines!S1642,SalesLines!S1643)</x:f>
        <x:v>0</x:v>
      </x:c>
      <x:c r="M667" s="8" t="n">
        <x:f>DATE(YEAR(C667),MONTH(C667),1)</x:f>
        <x:v>45992</x:v>
      </x:c>
    </x:row>
    <x:row r="668" ht="22" customHeight="1">
      <x:c r="A668" s="2" t="str">
        <x:v>O00664</x:v>
      </x:c>
      <x:c r="B668" s="2" t="str">
        <x:v>C0230</x:v>
      </x:c>
      <x:c r="C668" s="7" t="n">
        <x:v>45931</x:v>
      </x:c>
      <x:c r="D668" s="2" t="str">
        <x:v>Completed</x:v>
      </x:c>
      <x:c r="E668" s="2" t="str">
        <x:v>East</x:v>
      </x:c>
      <x:c r="F668" s="2" t="str">
        <x:v>Store</x:v>
      </x:c>
      <x:c r="G668" s="9" t="n">
        <x:f>SUM(SalesLines!Q1644)</x:f>
        <x:v>716.4</x:v>
      </x:c>
      <x:c r="H668" s="9" t="n">
        <x:f>SUM(SalesLines!M1644)</x:f>
        <x:v>796</x:v>
      </x:c>
      <x:c r="I668" s="9" t="n">
        <x:f>SUM(SalesLines!N1644)</x:f>
        <x:v>79.60000000000001</x:v>
      </x:c>
      <x:c r="J668" s="9" t="n">
        <x:f>SUM(SalesLines!P1644)</x:f>
        <x:v>0</x:v>
      </x:c>
      <x:c r="K668" s="11" t="n">
        <x:f>SUM(SalesLines!R1644)</x:f>
        <x:v>4</x:v>
      </x:c>
      <x:c r="L668" s="11" t="n">
        <x:f>SUM(SalesLines!S1644)</x:f>
        <x:v>0</x:v>
      </x:c>
      <x:c r="M668" s="8" t="n">
        <x:f>DATE(YEAR(C668),MONTH(C668),1)</x:f>
        <x:v>45931</x:v>
      </x:c>
    </x:row>
    <x:row r="669" ht="22" customHeight="1">
      <x:c r="A669" s="2" t="str">
        <x:v>O00665</x:v>
      </x:c>
      <x:c r="B669" s="2" t="str">
        <x:v>C0240</x:v>
      </x:c>
      <x:c r="C669" s="7" t="n">
        <x:v>45868</x:v>
      </x:c>
      <x:c r="D669" s="2" t="str">
        <x:v>Completed</x:v>
      </x:c>
      <x:c r="E669" s="2" t="str">
        <x:v>West</x:v>
      </x:c>
      <x:c r="F669" s="2" t="str">
        <x:v>Online</x:v>
      </x:c>
      <x:c r="G669" s="9" t="n">
        <x:f>SUM(SalesLines!Q1645,SalesLines!Q1646,SalesLines!Q1647)</x:f>
        <x:v>1951.8000000000002</x:v>
      </x:c>
      <x:c r="H669" s="9" t="n">
        <x:f>SUM(SalesLines!M1645,SalesLines!M1646,SalesLines!M1647)</x:f>
        <x:v>2100</x:v>
      </x:c>
      <x:c r="I669" s="9" t="n">
        <x:f>SUM(SalesLines!N1645,SalesLines!N1646,SalesLines!N1647)</x:f>
        <x:v>148.20000000000002</x:v>
      </x:c>
      <x:c r="J669" s="9" t="n">
        <x:f>SUM(SalesLines!P1645,SalesLines!P1646,SalesLines!P1647)</x:f>
        <x:v>0</x:v>
      </x:c>
      <x:c r="K669" s="11" t="n">
        <x:f>SUM(SalesLines!R1645,SalesLines!R1646,SalesLines!R1647)</x:f>
        <x:v>9</x:v>
      </x:c>
      <x:c r="L669" s="11" t="n">
        <x:f>SUM(SalesLines!S1645,SalesLines!S1646,SalesLines!S1647)</x:f>
        <x:v>0</x:v>
      </x:c>
      <x:c r="M669" s="8" t="n">
        <x:f>DATE(YEAR(C669),MONTH(C669),1)</x:f>
        <x:v>45839</x:v>
      </x:c>
    </x:row>
    <x:row r="670" ht="22" customHeight="1">
      <x:c r="A670" s="2" t="str">
        <x:v>O00666</x:v>
      </x:c>
      <x:c r="B670" s="2" t="str">
        <x:v>C0153</x:v>
      </x:c>
      <x:c r="C670" s="7" t="n">
        <x:v>45800</x:v>
      </x:c>
      <x:c r="D670" s="2" t="str">
        <x:v>Completed</x:v>
      </x:c>
      <x:c r="E670" s="2" t="str">
        <x:v>East</x:v>
      </x:c>
      <x:c r="F670" s="2" t="str">
        <x:v>Online</x:v>
      </x:c>
      <x:c r="G670" s="9" t="n">
        <x:f>SUM(SalesLines!Q1648,SalesLines!Q1649)</x:f>
        <x:v>684.4</x:v>
      </x:c>
      <x:c r="H670" s="9" t="n">
        <x:f>SUM(SalesLines!M1648,SalesLines!M1649)</x:f>
        <x:v>792</x:v>
      </x:c>
      <x:c r="I670" s="9" t="n">
        <x:f>SUM(SalesLines!N1648,SalesLines!N1649)</x:f>
        <x:v>107.60000000000001</x:v>
      </x:c>
      <x:c r="J670" s="9" t="n">
        <x:f>SUM(SalesLines!P1648,SalesLines!P1649)</x:f>
        <x:v>0</x:v>
      </x:c>
      <x:c r="K670" s="11" t="n">
        <x:f>SUM(SalesLines!R1648,SalesLines!R1649)</x:f>
        <x:v>3</x:v>
      </x:c>
      <x:c r="L670" s="11" t="n">
        <x:f>SUM(SalesLines!S1648,SalesLines!S1649)</x:f>
        <x:v>0</x:v>
      </x:c>
      <x:c r="M670" s="8" t="n">
        <x:f>DATE(YEAR(C670),MONTH(C670),1)</x:f>
        <x:v>45778</x:v>
      </x:c>
    </x:row>
    <x:row r="671" ht="22" customHeight="1">
      <x:c r="A671" s="2" t="str">
        <x:v>O00667</x:v>
      </x:c>
      <x:c r="B671" s="2" t="str">
        <x:v>C0253</x:v>
      </x:c>
      <x:c r="C671" s="7" t="n">
        <x:v>45987</x:v>
      </x:c>
      <x:c r="D671" s="2" t="str">
        <x:v>Cancelled</x:v>
      </x:c>
      <x:c r="E671" s="2" t="str">
        <x:v>North</x:v>
      </x:c>
      <x:c r="F671" s="2" t="str">
        <x:v>Online</x:v>
      </x:c>
      <x:c r="G671" s="9" t="n">
        <x:f>SUM(SalesLines!Q1650,SalesLines!Q1651,SalesLines!Q1652,SalesLines!Q1653)</x:f>
        <x:v>0</x:v>
      </x:c>
      <x:c r="H671" s="9" t="n">
        <x:f>SUM(SalesLines!M1650,SalesLines!M1651,SalesLines!M1652,SalesLines!M1653)</x:f>
        <x:v>0</x:v>
      </x:c>
      <x:c r="I671" s="9" t="n">
        <x:f>SUM(SalesLines!N1650,SalesLines!N1651,SalesLines!N1652,SalesLines!N1653)</x:f>
        <x:v>0</x:v>
      </x:c>
      <x:c r="J671" s="9" t="n">
        <x:f>SUM(SalesLines!P1650,SalesLines!P1651,SalesLines!P1652,SalesLines!P1653)</x:f>
        <x:v>0</x:v>
      </x:c>
      <x:c r="K671" s="11" t="n">
        <x:f>SUM(SalesLines!R1650,SalesLines!R1651,SalesLines!R1652,SalesLines!R1653)</x:f>
        <x:v>0</x:v>
      </x:c>
      <x:c r="L671" s="11" t="n">
        <x:f>SUM(SalesLines!S1650,SalesLines!S1651,SalesLines!S1652,SalesLines!S1653)</x:f>
        <x:v>0</x:v>
      </x:c>
      <x:c r="M671" s="8" t="n">
        <x:f>DATE(YEAR(C671),MONTH(C671),1)</x:f>
        <x:v>45962</x:v>
      </x:c>
    </x:row>
    <x:row r="672" ht="22" customHeight="1">
      <x:c r="A672" s="2" t="str">
        <x:v>O00668</x:v>
      </x:c>
      <x:c r="B672" s="2" t="str">
        <x:v>C0183</x:v>
      </x:c>
      <x:c r="C672" s="7" t="n">
        <x:v>45883</x:v>
      </x:c>
      <x:c r="D672" s="2" t="str">
        <x:v>Completed</x:v>
      </x:c>
      <x:c r="E672" s="2" t="str">
        <x:v>East</x:v>
      </x:c>
      <x:c r="F672" s="2" t="str">
        <x:v>Store</x:v>
      </x:c>
      <x:c r="G672" s="9" t="n">
        <x:f>SUM(SalesLines!Q1654)</x:f>
        <x:v>457.2</x:v>
      </x:c>
      <x:c r="H672" s="9" t="n">
        <x:f>SUM(SalesLines!M1654)</x:f>
        <x:v>508</x:v>
      </x:c>
      <x:c r="I672" s="9" t="n">
        <x:f>SUM(SalesLines!N1654)</x:f>
        <x:v>50.800000000000004</x:v>
      </x:c>
      <x:c r="J672" s="9" t="n">
        <x:f>SUM(SalesLines!P1654)</x:f>
        <x:v>0</x:v>
      </x:c>
      <x:c r="K672" s="11" t="n">
        <x:f>SUM(SalesLines!R1654)</x:f>
        <x:v>2</x:v>
      </x:c>
      <x:c r="L672" s="11" t="n">
        <x:f>SUM(SalesLines!S1654)</x:f>
        <x:v>0</x:v>
      </x:c>
      <x:c r="M672" s="8" t="n">
        <x:f>DATE(YEAR(C672),MONTH(C672),1)</x:f>
        <x:v>45870</x:v>
      </x:c>
    </x:row>
    <x:row r="673" ht="22" customHeight="1">
      <x:c r="A673" s="2" t="str">
        <x:v>O00669</x:v>
      </x:c>
      <x:c r="B673" s="2" t="str">
        <x:v>C0270</x:v>
      </x:c>
      <x:c r="C673" s="7" t="n">
        <x:v>45707</x:v>
      </x:c>
      <x:c r="D673" s="2" t="str">
        <x:v>Completed</x:v>
      </x:c>
      <x:c r="E673" s="2" t="str">
        <x:v>East</x:v>
      </x:c>
      <x:c r="F673" s="2" t="str">
        <x:v>Store</x:v>
      </x:c>
      <x:c r="G673" s="9" t="n">
        <x:f>SUM(SalesLines!Q1655,SalesLines!Q1656)</x:f>
        <x:v>1277.75</x:v>
      </x:c>
      <x:c r="H673" s="9" t="n">
        <x:f>SUM(SalesLines!M1655,SalesLines!M1656)</x:f>
        <x:v>2521</x:v>
      </x:c>
      <x:c r="I673" s="9" t="n">
        <x:f>SUM(SalesLines!N1655,SalesLines!N1656)</x:f>
        <x:v>126.05000000000001</x:v>
      </x:c>
      <x:c r="J673" s="9" t="n">
        <x:f>SUM(SalesLines!P1655,SalesLines!P1656)</x:f>
        <x:v>1117.2</x:v>
      </x:c>
      <x:c r="K673" s="11" t="n">
        <x:f>SUM(SalesLines!R1655,SalesLines!R1656)</x:f>
        <x:v>9</x:v>
      </x:c>
      <x:c r="L673" s="11" t="n">
        <x:f>SUM(SalesLines!S1655,SalesLines!S1656)</x:f>
        <x:v>4</x:v>
      </x:c>
      <x:c r="M673" s="8" t="n">
        <x:f>DATE(YEAR(C673),MONTH(C673),1)</x:f>
        <x:v>45689</x:v>
      </x:c>
    </x:row>
    <x:row r="674" ht="22" customHeight="1">
      <x:c r="A674" s="2" t="str">
        <x:v>O00670</x:v>
      </x:c>
      <x:c r="B674" s="2" t="str">
        <x:v>C0091</x:v>
      </x:c>
      <x:c r="C674" s="7" t="n">
        <x:v>45920</x:v>
      </x:c>
      <x:c r="D674" s="2" t="str">
        <x:v>Completed</x:v>
      </x:c>
      <x:c r="E674" s="2" t="str">
        <x:v>North</x:v>
      </x:c>
      <x:c r="F674" s="2" t="str">
        <x:v>Store</x:v>
      </x:c>
      <x:c r="G674" s="9" t="n">
        <x:f>SUM(SalesLines!Q1657,SalesLines!Q1658)</x:f>
        <x:v>1530.2</x:v>
      </x:c>
      <x:c r="H674" s="9" t="n">
        <x:f>SUM(SalesLines!M1657,SalesLines!M1658)</x:f>
        <x:v>1955</x:v>
      </x:c>
      <x:c r="I674" s="9" t="n">
        <x:f>SUM(SalesLines!N1657,SalesLines!N1658)</x:f>
        <x:v>256</x:v>
      </x:c>
      <x:c r="J674" s="9" t="n">
        <x:f>SUM(SalesLines!P1657,SalesLines!P1658)</x:f>
        <x:v>168.8</x:v>
      </x:c>
      <x:c r="K674" s="11" t="n">
        <x:f>SUM(SalesLines!R1657,SalesLines!R1658)</x:f>
        <x:v>8</x:v>
      </x:c>
      <x:c r="L674" s="11" t="n">
        <x:f>SUM(SalesLines!S1657,SalesLines!S1658)</x:f>
        <x:v>1</x:v>
      </x:c>
      <x:c r="M674" s="8" t="n">
        <x:f>DATE(YEAR(C674),MONTH(C674),1)</x:f>
        <x:v>45901</x:v>
      </x:c>
    </x:row>
    <x:row r="675" ht="22" customHeight="1">
      <x:c r="A675" s="2" t="str">
        <x:v>O00671</x:v>
      </x:c>
      <x:c r="B675" s="2" t="str">
        <x:v>C0009</x:v>
      </x:c>
      <x:c r="C675" s="7" t="n">
        <x:v>45851</x:v>
      </x:c>
      <x:c r="D675" s="2" t="str">
        <x:v>Completed</x:v>
      </x:c>
      <x:c r="E675" s="2" t="str">
        <x:v>South</x:v>
      </x:c>
      <x:c r="F675" s="2" t="str">
        <x:v>Store</x:v>
      </x:c>
      <x:c r="G675" s="9" t="n">
        <x:f>SUM(SalesLines!Q1659,SalesLines!Q1660,SalesLines!Q1661,SalesLines!Q1662)</x:f>
        <x:v>2552.2</x:v>
      </x:c>
      <x:c r="H675" s="9" t="n">
        <x:f>SUM(SalesLines!M1659,SalesLines!M1660,SalesLines!M1661,SalesLines!M1662)</x:f>
        <x:v>3764</x:v>
      </x:c>
      <x:c r="I675" s="9" t="n">
        <x:f>SUM(SalesLines!N1659,SalesLines!N1660,SalesLines!N1661,SalesLines!N1662)</x:f>
        <x:v>356.8</x:v>
      </x:c>
      <x:c r="J675" s="9" t="n">
        <x:f>SUM(SalesLines!P1659,SalesLines!P1660,SalesLines!P1661,SalesLines!P1662)</x:f>
        <x:v>855</x:v>
      </x:c>
      <x:c r="K675" s="11" t="n">
        <x:f>SUM(SalesLines!R1659,SalesLines!R1660,SalesLines!R1661,SalesLines!R1662)</x:f>
        <x:v>17</x:v>
      </x:c>
      <x:c r="L675" s="11" t="n">
        <x:f>SUM(SalesLines!S1659,SalesLines!S1660,SalesLines!S1661,SalesLines!S1662)</x:f>
        <x:v>3</x:v>
      </x:c>
      <x:c r="M675" s="8" t="n">
        <x:f>DATE(YEAR(C675),MONTH(C675),1)</x:f>
        <x:v>45839</x:v>
      </x:c>
    </x:row>
    <x:row r="676" ht="22" customHeight="1">
      <x:c r="A676" s="2" t="str">
        <x:v>O00672</x:v>
      </x:c>
      <x:c r="B676" s="2" t="str">
        <x:v>C0061</x:v>
      </x:c>
      <x:c r="C676" s="7" t="n">
        <x:v>45679</x:v>
      </x:c>
      <x:c r="D676" s="2" t="str">
        <x:v>Completed</x:v>
      </x:c>
      <x:c r="E676" s="2" t="str">
        <x:v>East</x:v>
      </x:c>
      <x:c r="F676" s="2" t="str">
        <x:v>Online</x:v>
      </x:c>
      <x:c r="G676" s="9" t="n">
        <x:f>SUM(SalesLines!Q1663,SalesLines!Q1664,SalesLines!Q1665)</x:f>
        <x:v>1829.6</x:v>
      </x:c>
      <x:c r="H676" s="9" t="n">
        <x:f>SUM(SalesLines!M1663,SalesLines!M1664,SalesLines!M1665)</x:f>
        <x:v>2140</x:v>
      </x:c>
      <x:c r="I676" s="9" t="n">
        <x:f>SUM(SalesLines!N1663,SalesLines!N1664,SalesLines!N1665)</x:f>
        <x:v>310.40000000000003</x:v>
      </x:c>
      <x:c r="J676" s="9" t="n">
        <x:f>SUM(SalesLines!P1663,SalesLines!P1664,SalesLines!P1665)</x:f>
        <x:v>0</x:v>
      </x:c>
      <x:c r="K676" s="11" t="n">
        <x:f>SUM(SalesLines!R1663,SalesLines!R1664,SalesLines!R1665)</x:f>
        <x:v>13</x:v>
      </x:c>
      <x:c r="L676" s="11" t="n">
        <x:f>SUM(SalesLines!S1663,SalesLines!S1664,SalesLines!S1665)</x:f>
        <x:v>0</x:v>
      </x:c>
      <x:c r="M676" s="8" t="n">
        <x:f>DATE(YEAR(C676),MONTH(C676),1)</x:f>
        <x:v>45658</x:v>
      </x:c>
    </x:row>
    <x:row r="677" ht="22" customHeight="1">
      <x:c r="A677" s="2" t="str">
        <x:v>O00673</x:v>
      </x:c>
      <x:c r="B677" s="2" t="str">
        <x:v>C0101</x:v>
      </x:c>
      <x:c r="C677" s="7" t="n">
        <x:v>45663</x:v>
      </x:c>
      <x:c r="D677" s="2" t="str">
        <x:v>Completed</x:v>
      </x:c>
      <x:c r="E677" s="2" t="str">
        <x:v>South</x:v>
      </x:c>
      <x:c r="F677" s="2" t="str">
        <x:v>Online</x:v>
      </x:c>
      <x:c r="G677" s="9" t="n">
        <x:f>SUM(SalesLines!Q1666,SalesLines!Q1667)</x:f>
        <x:v>723.25</x:v>
      </x:c>
      <x:c r="H677" s="9" t="n">
        <x:f>SUM(SalesLines!M1666,SalesLines!M1667)</x:f>
        <x:v>733</x:v>
      </x:c>
      <x:c r="I677" s="9" t="n">
        <x:f>SUM(SalesLines!N1666,SalesLines!N1667)</x:f>
        <x:v>9.75</x:v>
      </x:c>
      <x:c r="J677" s="9" t="n">
        <x:f>SUM(SalesLines!P1666,SalesLines!P1667)</x:f>
        <x:v>0</x:v>
      </x:c>
      <x:c r="K677" s="11" t="n">
        <x:f>SUM(SalesLines!R1666,SalesLines!R1667)</x:f>
        <x:v>5</x:v>
      </x:c>
      <x:c r="L677" s="11" t="n">
        <x:f>SUM(SalesLines!S1666,SalesLines!S1667)</x:f>
        <x:v>0</x:v>
      </x:c>
      <x:c r="M677" s="8" t="n">
        <x:f>DATE(YEAR(C677),MONTH(C677),1)</x:f>
        <x:v>45658</x:v>
      </x:c>
    </x:row>
    <x:row r="678" ht="22" customHeight="1">
      <x:c r="A678" s="2" t="str">
        <x:v>O00674</x:v>
      </x:c>
      <x:c r="B678" s="2" t="str">
        <x:v>C0250</x:v>
      </x:c>
      <x:c r="C678" s="7" t="n">
        <x:v>45883</x:v>
      </x:c>
      <x:c r="D678" s="2" t="str">
        <x:v>Completed</x:v>
      </x:c>
      <x:c r="E678" s="2" t="str">
        <x:v>West</x:v>
      </x:c>
      <x:c r="F678" s="2" t="str">
        <x:v>Online</x:v>
      </x:c>
      <x:c r="G678" s="9" t="n">
        <x:f>SUM(SalesLines!Q1668)</x:f>
        <x:v>306</x:v>
      </x:c>
      <x:c r="H678" s="9" t="n">
        <x:f>SUM(SalesLines!M1668)</x:f>
        <x:v>340</x:v>
      </x:c>
      <x:c r="I678" s="9" t="n">
        <x:f>SUM(SalesLines!N1668)</x:f>
        <x:v>34</x:v>
      </x:c>
      <x:c r="J678" s="9" t="n">
        <x:f>SUM(SalesLines!P1668)</x:f>
        <x:v>0</x:v>
      </x:c>
      <x:c r="K678" s="11" t="n">
        <x:f>SUM(SalesLines!R1668)</x:f>
        <x:v>5</x:v>
      </x:c>
      <x:c r="L678" s="11" t="n">
        <x:f>SUM(SalesLines!S1668)</x:f>
        <x:v>0</x:v>
      </x:c>
      <x:c r="M678" s="8" t="n">
        <x:f>DATE(YEAR(C678),MONTH(C678),1)</x:f>
        <x:v>45870</x:v>
      </x:c>
    </x:row>
    <x:row r="679" ht="22" customHeight="1">
      <x:c r="A679" s="2" t="str">
        <x:v>O00675</x:v>
      </x:c>
      <x:c r="B679" s="2" t="str">
        <x:v>C0080</x:v>
      </x:c>
      <x:c r="C679" s="7" t="n">
        <x:v>45983</x:v>
      </x:c>
      <x:c r="D679" s="2" t="str">
        <x:v>Completed</x:v>
      </x:c>
      <x:c r="E679" s="2" t="str">
        <x:v>East</x:v>
      </x:c>
      <x:c r="F679" s="2" t="str">
        <x:v>Store</x:v>
      </x:c>
      <x:c r="G679" s="9" t="n">
        <x:f>SUM(SalesLines!Q1669,SalesLines!Q1670)</x:f>
        <x:v>512.7</x:v>
      </x:c>
      <x:c r="H679" s="9" t="n">
        <x:f>SUM(SalesLines!M1669,SalesLines!M1670)</x:f>
        <x:v>525</x:v>
      </x:c>
      <x:c r="I679" s="9" t="n">
        <x:f>SUM(SalesLines!N1669,SalesLines!N1670)</x:f>
        <x:v>12.3</x:v>
      </x:c>
      <x:c r="J679" s="9" t="n">
        <x:f>SUM(SalesLines!P1669,SalesLines!P1670)</x:f>
        <x:v>0</x:v>
      </x:c>
      <x:c r="K679" s="11" t="n">
        <x:f>SUM(SalesLines!R1669,SalesLines!R1670)</x:f>
        <x:v>4</x:v>
      </x:c>
      <x:c r="L679" s="11" t="n">
        <x:f>SUM(SalesLines!S1669,SalesLines!S1670)</x:f>
        <x:v>0</x:v>
      </x:c>
      <x:c r="M679" s="8" t="n">
        <x:f>DATE(YEAR(C679),MONTH(C679),1)</x:f>
        <x:v>45962</x:v>
      </x:c>
    </x:row>
    <x:row r="680" ht="22" customHeight="1">
      <x:c r="A680" s="2" t="str">
        <x:v>O00676</x:v>
      </x:c>
      <x:c r="B680" s="2" t="str">
        <x:v>C0272</x:v>
      </x:c>
      <x:c r="C680" s="7" t="n">
        <x:v>45977</x:v>
      </x:c>
      <x:c r="D680" s="2" t="str">
        <x:v>Completed</x:v>
      </x:c>
      <x:c r="E680" s="2" t="str">
        <x:v>West</x:v>
      </x:c>
      <x:c r="F680" s="2" t="str">
        <x:v>Store</x:v>
      </x:c>
      <x:c r="G680" s="9" t="n">
        <x:f>SUM(SalesLines!Q1671,SalesLines!Q1672,SalesLines!Q1673)</x:f>
        <x:v>1695</x:v>
      </x:c>
      <x:c r="H680" s="9" t="n">
        <x:f>SUM(SalesLines!M1671,SalesLines!M1672,SalesLines!M1673)</x:f>
        <x:v>1785</x:v>
      </x:c>
      <x:c r="I680" s="9" t="n">
        <x:f>SUM(SalesLines!N1671,SalesLines!N1672,SalesLines!N1673)</x:f>
        <x:v>90</x:v>
      </x:c>
      <x:c r="J680" s="9" t="n">
        <x:f>SUM(SalesLines!P1671,SalesLines!P1672,SalesLines!P1673)</x:f>
        <x:v>0</x:v>
      </x:c>
      <x:c r="K680" s="11" t="n">
        <x:f>SUM(SalesLines!R1671,SalesLines!R1672,SalesLines!R1673)</x:f>
        <x:v>7</x:v>
      </x:c>
      <x:c r="L680" s="11" t="n">
        <x:f>SUM(SalesLines!S1671,SalesLines!S1672,SalesLines!S1673)</x:f>
        <x:v>0</x:v>
      </x:c>
      <x:c r="M680" s="8" t="n">
        <x:f>DATE(YEAR(C680),MONTH(C680),1)</x:f>
        <x:v>45962</x:v>
      </x:c>
    </x:row>
    <x:row r="681" ht="22" customHeight="1">
      <x:c r="A681" s="2" t="str">
        <x:v>O00677</x:v>
      </x:c>
      <x:c r="B681" s="2" t="str">
        <x:v>C0266</x:v>
      </x:c>
      <x:c r="C681" s="7" t="n">
        <x:v>45822</x:v>
      </x:c>
      <x:c r="D681" s="2" t="str">
        <x:v>Completed</x:v>
      </x:c>
      <x:c r="E681" s="2" t="str">
        <x:v>North</x:v>
      </x:c>
      <x:c r="F681" s="2" t="str">
        <x:v>Online</x:v>
      </x:c>
      <x:c r="G681" s="9" t="n">
        <x:f>SUM(SalesLines!Q1674,SalesLines!Q1675)</x:f>
        <x:v>1148</x:v>
      </x:c>
      <x:c r="H681" s="9" t="n">
        <x:f>SUM(SalesLines!M1674,SalesLines!M1675)</x:f>
        <x:v>1148</x:v>
      </x:c>
      <x:c r="I681" s="9" t="n">
        <x:f>SUM(SalesLines!N1674,SalesLines!N1675)</x:f>
        <x:v>0</x:v>
      </x:c>
      <x:c r="J681" s="9" t="n">
        <x:f>SUM(SalesLines!P1674,SalesLines!P1675)</x:f>
        <x:v>0</x:v>
      </x:c>
      <x:c r="K681" s="11" t="n">
        <x:f>SUM(SalesLines!R1674,SalesLines!R1675)</x:f>
        <x:v>6</x:v>
      </x:c>
      <x:c r="L681" s="11" t="n">
        <x:f>SUM(SalesLines!S1674,SalesLines!S1675)</x:f>
        <x:v>0</x:v>
      </x:c>
      <x:c r="M681" s="8" t="n">
        <x:f>DATE(YEAR(C681),MONTH(C681),1)</x:f>
        <x:v>45809</x:v>
      </x:c>
    </x:row>
    <x:row r="682" ht="22" customHeight="1">
      <x:c r="A682" s="2" t="str">
        <x:v>O00678</x:v>
      </x:c>
      <x:c r="B682" s="2" t="str">
        <x:v>C0122</x:v>
      </x:c>
      <x:c r="C682" s="7" t="n">
        <x:v>46002</x:v>
      </x:c>
      <x:c r="D682" s="2" t="str">
        <x:v>Completed</x:v>
      </x:c>
      <x:c r="E682" s="2" t="str">
        <x:v>North</x:v>
      </x:c>
      <x:c r="F682" s="2" t="str">
        <x:v>Store</x:v>
      </x:c>
      <x:c r="G682" s="9" t="n">
        <x:f>SUM(SalesLines!Q1676,SalesLines!Q1677)</x:f>
        <x:v>2082</x:v>
      </x:c>
      <x:c r="H682" s="9" t="n">
        <x:f>SUM(SalesLines!M1676,SalesLines!M1677)</x:f>
        <x:v>2180</x:v>
      </x:c>
      <x:c r="I682" s="9" t="n">
        <x:f>SUM(SalesLines!N1676,SalesLines!N1677)</x:f>
        <x:v>98</x:v>
      </x:c>
      <x:c r="J682" s="9" t="n">
        <x:f>SUM(SalesLines!P1676,SalesLines!P1677)</x:f>
        <x:v>0</x:v>
      </x:c>
      <x:c r="K682" s="11" t="n">
        <x:f>SUM(SalesLines!R1676,SalesLines!R1677)</x:f>
        <x:v>9</x:v>
      </x:c>
      <x:c r="L682" s="11" t="n">
        <x:f>SUM(SalesLines!S1676,SalesLines!S1677)</x:f>
        <x:v>0</x:v>
      </x:c>
      <x:c r="M682" s="8" t="n">
        <x:f>DATE(YEAR(C682),MONTH(C682),1)</x:f>
        <x:v>45992</x:v>
      </x:c>
    </x:row>
    <x:row r="683" ht="22" customHeight="1">
      <x:c r="A683" s="2" t="str">
        <x:v>O00679</x:v>
      </x:c>
      <x:c r="B683" s="2" t="str">
        <x:v>C0081</x:v>
      </x:c>
      <x:c r="C683" s="7" t="n">
        <x:v>45969</x:v>
      </x:c>
      <x:c r="D683" s="2" t="str">
        <x:v>Completed</x:v>
      </x:c>
      <x:c r="E683" s="2" t="str">
        <x:v>North</x:v>
      </x:c>
      <x:c r="F683" s="2" t="str">
        <x:v>Store</x:v>
      </x:c>
      <x:c r="G683" s="9" t="n">
        <x:f>SUM(SalesLines!Q1678,SalesLines!Q1679)</x:f>
        <x:v>915.6</x:v>
      </x:c>
      <x:c r="H683" s="9" t="n">
        <x:f>SUM(SalesLines!M1678,SalesLines!M1679)</x:f>
        <x:v>1112</x:v>
      </x:c>
      <x:c r="I683" s="9" t="n">
        <x:f>SUM(SalesLines!N1678,SalesLines!N1679)</x:f>
        <x:v>196.4</x:v>
      </x:c>
      <x:c r="J683" s="9" t="n">
        <x:f>SUM(SalesLines!P1678,SalesLines!P1679)</x:f>
        <x:v>0</x:v>
      </x:c>
      <x:c r="K683" s="11" t="n">
        <x:f>SUM(SalesLines!R1678,SalesLines!R1679)</x:f>
        <x:v>7</x:v>
      </x:c>
      <x:c r="L683" s="11" t="n">
        <x:f>SUM(SalesLines!S1678,SalesLines!S1679)</x:f>
        <x:v>0</x:v>
      </x:c>
      <x:c r="M683" s="8" t="n">
        <x:f>DATE(YEAR(C683),MONTH(C683),1)</x:f>
        <x:v>45962</x:v>
      </x:c>
    </x:row>
    <x:row r="684" ht="22" customHeight="1">
      <x:c r="A684" s="2" t="str">
        <x:v>O00680</x:v>
      </x:c>
      <x:c r="B684" s="2" t="str">
        <x:v>C0221</x:v>
      </x:c>
      <x:c r="C684" s="7" t="n">
        <x:v>45922</x:v>
      </x:c>
      <x:c r="D684" s="2" t="str">
        <x:v>Completed</x:v>
      </x:c>
      <x:c r="E684" s="2" t="str">
        <x:v>West</x:v>
      </x:c>
      <x:c r="F684" s="2" t="str">
        <x:v>Online</x:v>
      </x:c>
      <x:c r="G684" s="9" t="n">
        <x:f>SUM(SalesLines!Q1680)</x:f>
        <x:v>320</x:v>
      </x:c>
      <x:c r="H684" s="9" t="n">
        <x:f>SUM(SalesLines!M1680)</x:f>
        <x:v>320</x:v>
      </x:c>
      <x:c r="I684" s="9" t="n">
        <x:f>SUM(SalesLines!N1680)</x:f>
        <x:v>0</x:v>
      </x:c>
      <x:c r="J684" s="9" t="n">
        <x:f>SUM(SalesLines!P1680)</x:f>
        <x:v>0</x:v>
      </x:c>
      <x:c r="K684" s="11" t="n">
        <x:f>SUM(SalesLines!R1680)</x:f>
        <x:v>4</x:v>
      </x:c>
      <x:c r="L684" s="11" t="n">
        <x:f>SUM(SalesLines!S1680)</x:f>
        <x:v>0</x:v>
      </x:c>
      <x:c r="M684" s="8" t="n">
        <x:f>DATE(YEAR(C684),MONTH(C684),1)</x:f>
        <x:v>45901</x:v>
      </x:c>
    </x:row>
    <x:row r="685" ht="22" customHeight="1">
      <x:c r="A685" s="2" t="str">
        <x:v>O00681</x:v>
      </x:c>
      <x:c r="B685" s="2" t="str">
        <x:v>C0262</x:v>
      </x:c>
      <x:c r="C685" s="7" t="n">
        <x:v>45802</x:v>
      </x:c>
      <x:c r="D685" s="2" t="str">
        <x:v>Completed</x:v>
      </x:c>
      <x:c r="E685" s="2" t="str">
        <x:v>West</x:v>
      </x:c>
      <x:c r="F685" s="2" t="str">
        <x:v>Store</x:v>
      </x:c>
      <x:c r="G685" s="9" t="n">
        <x:f>SUM(SalesLines!Q1681,SalesLines!Q1682,SalesLines!Q1683,SalesLines!Q1684)</x:f>
        <x:v>2901</x:v>
      </x:c>
      <x:c r="H685" s="9" t="n">
        <x:f>SUM(SalesLines!M1681,SalesLines!M1682,SalesLines!M1683,SalesLines!M1684)</x:f>
        <x:v>3345</x:v>
      </x:c>
      <x:c r="I685" s="9" t="n">
        <x:f>SUM(SalesLines!N1681,SalesLines!N1682,SalesLines!N1683,SalesLines!N1684)</x:f>
        <x:v>444</x:v>
      </x:c>
      <x:c r="J685" s="9" t="n">
        <x:f>SUM(SalesLines!P1681,SalesLines!P1682,SalesLines!P1683,SalesLines!P1684)</x:f>
        <x:v>0</x:v>
      </x:c>
      <x:c r="K685" s="11" t="n">
        <x:f>SUM(SalesLines!R1681,SalesLines!R1682,SalesLines!R1683,SalesLines!R1684)</x:f>
        <x:v>14</x:v>
      </x:c>
      <x:c r="L685" s="11" t="n">
        <x:f>SUM(SalesLines!S1681,SalesLines!S1682,SalesLines!S1683,SalesLines!S1684)</x:f>
        <x:v>0</x:v>
      </x:c>
      <x:c r="M685" s="8" t="n">
        <x:f>DATE(YEAR(C685),MONTH(C685),1)</x:f>
        <x:v>45778</x:v>
      </x:c>
    </x:row>
    <x:row r="686" ht="22" customHeight="1">
      <x:c r="A686" s="2" t="str">
        <x:v>O00682</x:v>
      </x:c>
      <x:c r="B686" s="2" t="str">
        <x:v>C0266</x:v>
      </x:c>
      <x:c r="C686" s="7" t="n">
        <x:v>45897</x:v>
      </x:c>
      <x:c r="D686" s="2" t="str">
        <x:v>Completed</x:v>
      </x:c>
      <x:c r="E686" s="2" t="str">
        <x:v>North</x:v>
      </x:c>
      <x:c r="F686" s="2" t="str">
        <x:v>Store</x:v>
      </x:c>
      <x:c r="G686" s="9" t="n">
        <x:f>SUM(SalesLines!Q1685,SalesLines!Q1686,SalesLines!Q1687)</x:f>
        <x:v>1259.2</x:v>
      </x:c>
      <x:c r="H686" s="9" t="n">
        <x:f>SUM(SalesLines!M1685,SalesLines!M1686,SalesLines!M1687)</x:f>
        <x:v>1333</x:v>
      </x:c>
      <x:c r="I686" s="9" t="n">
        <x:f>SUM(SalesLines!N1685,SalesLines!N1686,SalesLines!N1687)</x:f>
        <x:v>73.8</x:v>
      </x:c>
      <x:c r="J686" s="9" t="n">
        <x:f>SUM(SalesLines!P1685,SalesLines!P1686,SalesLines!P1687)</x:f>
        <x:v>0</x:v>
      </x:c>
      <x:c r="K686" s="11" t="n">
        <x:f>SUM(SalesLines!R1685,SalesLines!R1686,SalesLines!R1687)</x:f>
        <x:v>7</x:v>
      </x:c>
      <x:c r="L686" s="11" t="n">
        <x:f>SUM(SalesLines!S1685,SalesLines!S1686,SalesLines!S1687)</x:f>
        <x:v>0</x:v>
      </x:c>
      <x:c r="M686" s="8" t="n">
        <x:f>DATE(YEAR(C686),MONTH(C686),1)</x:f>
        <x:v>45870</x:v>
      </x:c>
    </x:row>
    <x:row r="687" ht="22" customHeight="1">
      <x:c r="A687" s="2" t="str">
        <x:v>O00683</x:v>
      </x:c>
      <x:c r="B687" s="2" t="str">
        <x:v>C0174</x:v>
      </x:c>
      <x:c r="C687" s="7" t="n">
        <x:v>45952</x:v>
      </x:c>
      <x:c r="D687" s="2" t="str">
        <x:v>Completed</x:v>
      </x:c>
      <x:c r="E687" s="2" t="str">
        <x:v>South</x:v>
      </x:c>
      <x:c r="F687" s="2" t="str">
        <x:v>Store</x:v>
      </x:c>
      <x:c r="G687" s="9" t="n">
        <x:f>SUM(SalesLines!Q1688)</x:f>
        <x:v>454.4</x:v>
      </x:c>
      <x:c r="H687" s="9" t="n">
        <x:f>SUM(SalesLines!M1688)</x:f>
        <x:v>568</x:v>
      </x:c>
      <x:c r="I687" s="9" t="n">
        <x:f>SUM(SalesLines!N1688)</x:f>
        <x:v>113.60000000000001</x:v>
      </x:c>
      <x:c r="J687" s="9" t="n">
        <x:f>SUM(SalesLines!P1688)</x:f>
        <x:v>0</x:v>
      </x:c>
      <x:c r="K687" s="11" t="n">
        <x:f>SUM(SalesLines!R1688)</x:f>
        <x:v>2</x:v>
      </x:c>
      <x:c r="L687" s="11" t="n">
        <x:f>SUM(SalesLines!S1688)</x:f>
        <x:v>0</x:v>
      </x:c>
      <x:c r="M687" s="8" t="n">
        <x:f>DATE(YEAR(C687),MONTH(C687),1)</x:f>
        <x:v>45931</x:v>
      </x:c>
    </x:row>
    <x:row r="688" ht="22" customHeight="1">
      <x:c r="A688" s="2" t="str">
        <x:v>O00684</x:v>
      </x:c>
      <x:c r="B688" s="2" t="str">
        <x:v>C0230</x:v>
      </x:c>
      <x:c r="C688" s="7" t="n">
        <x:v>45718</x:v>
      </x:c>
      <x:c r="D688" s="2" t="str">
        <x:v>Completed</x:v>
      </x:c>
      <x:c r="E688" s="2" t="str">
        <x:v>East</x:v>
      </x:c>
      <x:c r="F688" s="2" t="str">
        <x:v>Store</x:v>
      </x:c>
      <x:c r="G688" s="9" t="n">
        <x:f>SUM(SalesLines!Q1689,SalesLines!Q1690,SalesLines!Q1691,SalesLines!Q1692)</x:f>
        <x:v>1845.55</x:v>
      </x:c>
      <x:c r="H688" s="9" t="n">
        <x:f>SUM(SalesLines!M1689,SalesLines!M1690,SalesLines!M1691,SalesLines!M1692)</x:f>
        <x:v>2142</x:v>
      </x:c>
      <x:c r="I688" s="9" t="n">
        <x:f>SUM(SalesLines!N1689,SalesLines!N1690,SalesLines!N1691,SalesLines!N1692)</x:f>
        <x:v>296.45</x:v>
      </x:c>
      <x:c r="J688" s="9" t="n">
        <x:f>SUM(SalesLines!P1689,SalesLines!P1690,SalesLines!P1691,SalesLines!P1692)</x:f>
        <x:v>0</x:v>
      </x:c>
      <x:c r="K688" s="11" t="n">
        <x:f>SUM(SalesLines!R1689,SalesLines!R1690,SalesLines!R1691,SalesLines!R1692)</x:f>
        <x:v>18</x:v>
      </x:c>
      <x:c r="L688" s="11" t="n">
        <x:f>SUM(SalesLines!S1689,SalesLines!S1690,SalesLines!S1691,SalesLines!S1692)</x:f>
        <x:v>0</x:v>
      </x:c>
      <x:c r="M688" s="8" t="n">
        <x:f>DATE(YEAR(C688),MONTH(C688),1)</x:f>
        <x:v>45717</x:v>
      </x:c>
    </x:row>
    <x:row r="689" ht="22" customHeight="1">
      <x:c r="A689" s="2" t="str">
        <x:v>O00685</x:v>
      </x:c>
      <x:c r="B689" s="2" t="str">
        <x:v>C0068</x:v>
      </x:c>
      <x:c r="C689" s="7" t="n">
        <x:v>45679</x:v>
      </x:c>
      <x:c r="D689" s="2" t="str">
        <x:v>Completed</x:v>
      </x:c>
      <x:c r="E689" s="2" t="str">
        <x:v>West</x:v>
      </x:c>
      <x:c r="F689" s="2" t="str">
        <x:v>Online</x:v>
      </x:c>
      <x:c r="G689" s="9" t="n">
        <x:f>SUM(SalesLines!Q1693,SalesLines!Q1694)</x:f>
        <x:v>550.8</x:v>
      </x:c>
      <x:c r="H689" s="9" t="n">
        <x:f>SUM(SalesLines!M1693,SalesLines!M1694)</x:f>
        <x:v>588</x:v>
      </x:c>
      <x:c r="I689" s="9" t="n">
        <x:f>SUM(SalesLines!N1693,SalesLines!N1694)</x:f>
        <x:v>37.2</x:v>
      </x:c>
      <x:c r="J689" s="9" t="n">
        <x:f>SUM(SalesLines!P1693,SalesLines!P1694)</x:f>
        <x:v>0</x:v>
      </x:c>
      <x:c r="K689" s="11" t="n">
        <x:f>SUM(SalesLines!R1693,SalesLines!R1694)</x:f>
        <x:v>5</x:v>
      </x:c>
      <x:c r="L689" s="11" t="n">
        <x:f>SUM(SalesLines!S1693,SalesLines!S1694)</x:f>
        <x:v>0</x:v>
      </x:c>
      <x:c r="M689" s="8" t="n">
        <x:f>DATE(YEAR(C689),MONTH(C689),1)</x:f>
        <x:v>45658</x:v>
      </x:c>
    </x:row>
    <x:row r="690" ht="22" customHeight="1">
      <x:c r="A690" s="2" t="str">
        <x:v>O00686</x:v>
      </x:c>
      <x:c r="B690" s="2" t="str">
        <x:v>C0227</x:v>
      </x:c>
      <x:c r="C690" s="7" t="n">
        <x:v>45939</x:v>
      </x:c>
      <x:c r="D690" s="2" t="str">
        <x:v>Completed</x:v>
      </x:c>
      <x:c r="E690" s="2" t="str">
        <x:v>East</x:v>
      </x:c>
      <x:c r="F690" s="2" t="str">
        <x:v>Store</x:v>
      </x:c>
      <x:c r="G690" s="9" t="n">
        <x:f>SUM(SalesLines!Q1695,SalesLines!Q1696,SalesLines!Q1697)</x:f>
        <x:v>1292.8</x:v>
      </x:c>
      <x:c r="H690" s="9" t="n">
        <x:f>SUM(SalesLines!M1695,SalesLines!M1696,SalesLines!M1697)</x:f>
        <x:v>1375</x:v>
      </x:c>
      <x:c r="I690" s="9" t="n">
        <x:f>SUM(SalesLines!N1695,SalesLines!N1696,SalesLines!N1697)</x:f>
        <x:v>82.2</x:v>
      </x:c>
      <x:c r="J690" s="9" t="n">
        <x:f>SUM(SalesLines!P1695,SalesLines!P1696,SalesLines!P1697)</x:f>
        <x:v>0</x:v>
      </x:c>
      <x:c r="K690" s="11" t="n">
        <x:f>SUM(SalesLines!R1695,SalesLines!R1696,SalesLines!R1697)</x:f>
        <x:v>9</x:v>
      </x:c>
      <x:c r="L690" s="11" t="n">
        <x:f>SUM(SalesLines!S1695,SalesLines!S1696,SalesLines!S1697)</x:f>
        <x:v>0</x:v>
      </x:c>
      <x:c r="M690" s="8" t="n">
        <x:f>DATE(YEAR(C690),MONTH(C690),1)</x:f>
        <x:v>45931</x:v>
      </x:c>
    </x:row>
    <x:row r="691" ht="22" customHeight="1">
      <x:c r="A691" s="2" t="str">
        <x:v>O00687</x:v>
      </x:c>
      <x:c r="B691" s="2" t="str">
        <x:v>C0056</x:v>
      </x:c>
      <x:c r="C691" s="7" t="n">
        <x:v>45827</x:v>
      </x:c>
      <x:c r="D691" s="2" t="str">
        <x:v>Completed</x:v>
      </x:c>
      <x:c r="E691" s="2" t="str">
        <x:v>North</x:v>
      </x:c>
      <x:c r="F691" s="2" t="str">
        <x:v>Online</x:v>
      </x:c>
      <x:c r="G691" s="9" t="n">
        <x:f>SUM(SalesLines!Q1698,SalesLines!Q1699,SalesLines!Q1700,SalesLines!Q1701)</x:f>
        <x:v>468.9</x:v>
      </x:c>
      <x:c r="H691" s="9" t="n">
        <x:f>SUM(SalesLines!M1698,SalesLines!M1699,SalesLines!M1700,SalesLines!M1701)</x:f>
        <x:v>1094</x:v>
      </x:c>
      <x:c r="I691" s="9" t="n">
        <x:f>SUM(SalesLines!N1698,SalesLines!N1699,SalesLines!N1700,SalesLines!N1701)</x:f>
        <x:v>85.5</x:v>
      </x:c>
      <x:c r="J691" s="9" t="n">
        <x:f>SUM(SalesLines!P1698,SalesLines!P1699,SalesLines!P1700,SalesLines!P1701)</x:f>
        <x:v>539.6</x:v>
      </x:c>
      <x:c r="K691" s="11" t="n">
        <x:f>SUM(SalesLines!R1698,SalesLines!R1699,SalesLines!R1700,SalesLines!R1701)</x:f>
        <x:v>7</x:v>
      </x:c>
      <x:c r="L691" s="11" t="n">
        <x:f>SUM(SalesLines!S1698,SalesLines!S1699,SalesLines!S1700,SalesLines!S1701)</x:f>
        <x:v>2</x:v>
      </x:c>
      <x:c r="M691" s="8" t="n">
        <x:f>DATE(YEAR(C691),MONTH(C691),1)</x:f>
        <x:v>45809</x:v>
      </x:c>
    </x:row>
    <x:row r="692" ht="22" customHeight="1">
      <x:c r="A692" s="2" t="str">
        <x:v>O00688</x:v>
      </x:c>
      <x:c r="B692" s="2" t="str">
        <x:v>C0097</x:v>
      </x:c>
      <x:c r="C692" s="7" t="n">
        <x:v>45909</x:v>
      </x:c>
      <x:c r="D692" s="2" t="str">
        <x:v>Completed</x:v>
      </x:c>
      <x:c r="E692" s="2" t="str">
        <x:v>West</x:v>
      </x:c>
      <x:c r="F692" s="2" t="str">
        <x:v>Store</x:v>
      </x:c>
      <x:c r="G692" s="9" t="n">
        <x:f>SUM(SalesLines!Q1702,SalesLines!Q1703,SalesLines!Q1704)</x:f>
        <x:v>1203.6</x:v>
      </x:c>
      <x:c r="H692" s="9" t="n">
        <x:f>SUM(SalesLines!M1702,SalesLines!M1703,SalesLines!M1704)</x:f>
        <x:v>1533</x:v>
      </x:c>
      <x:c r="I692" s="9" t="n">
        <x:f>SUM(SalesLines!N1702,SalesLines!N1703,SalesLines!N1704)</x:f>
        <x:v>80.4</x:v>
      </x:c>
      <x:c r="J692" s="9" t="n">
        <x:f>SUM(SalesLines!P1702,SalesLines!P1703,SalesLines!P1704)</x:f>
        <x:v>249</x:v>
      </x:c>
      <x:c r="K692" s="11" t="n">
        <x:f>SUM(SalesLines!R1702,SalesLines!R1703,SalesLines!R1704)</x:f>
        <x:v>7</x:v>
      </x:c>
      <x:c r="L692" s="11" t="n">
        <x:f>SUM(SalesLines!S1702,SalesLines!S1703,SalesLines!S1704)</x:f>
        <x:v>1</x:v>
      </x:c>
      <x:c r="M692" s="8" t="n">
        <x:f>DATE(YEAR(C692),MONTH(C692),1)</x:f>
        <x:v>45901</x:v>
      </x:c>
    </x:row>
    <x:row r="693" ht="22" customHeight="1">
      <x:c r="A693" s="2" t="str">
        <x:v>O00689</x:v>
      </x:c>
      <x:c r="B693" s="2" t="str">
        <x:v>C0291</x:v>
      </x:c>
      <x:c r="C693" s="7" t="n">
        <x:v>45802</x:v>
      </x:c>
      <x:c r="D693" s="2" t="str">
        <x:v>Completed</x:v>
      </x:c>
      <x:c r="E693" s="2" t="str">
        <x:v>North</x:v>
      </x:c>
      <x:c r="F693" s="2" t="str">
        <x:v>Online</x:v>
      </x:c>
      <x:c r="G693" s="9" t="n">
        <x:f>SUM(SalesLines!Q1705)</x:f>
        <x:v>837.9</x:v>
      </x:c>
      <x:c r="H693" s="9" t="n">
        <x:f>SUM(SalesLines!M1705)</x:f>
        <x:v>882</x:v>
      </x:c>
      <x:c r="I693" s="9" t="n">
        <x:f>SUM(SalesLines!N1705)</x:f>
        <x:v>44.1</x:v>
      </x:c>
      <x:c r="J693" s="9" t="n">
        <x:f>SUM(SalesLines!P1705)</x:f>
        <x:v>0</x:v>
      </x:c>
      <x:c r="K693" s="11" t="n">
        <x:f>SUM(SalesLines!R1705)</x:f>
        <x:v>3</x:v>
      </x:c>
      <x:c r="L693" s="11" t="n">
        <x:f>SUM(SalesLines!S1705)</x:f>
        <x:v>0</x:v>
      </x:c>
      <x:c r="M693" s="8" t="n">
        <x:f>DATE(YEAR(C693),MONTH(C693),1)</x:f>
        <x:v>45778</x:v>
      </x:c>
    </x:row>
    <x:row r="694" ht="22" customHeight="1">
      <x:c r="A694" s="2" t="str">
        <x:v>O00690</x:v>
      </x:c>
      <x:c r="B694" s="2" t="str">
        <x:v>C0219</x:v>
      </x:c>
      <x:c r="C694" s="7" t="n">
        <x:v>45673</x:v>
      </x:c>
      <x:c r="D694" s="2" t="str">
        <x:v>Completed</x:v>
      </x:c>
      <x:c r="E694" s="2" t="str">
        <x:v>East</x:v>
      </x:c>
      <x:c r="F694" s="2" t="str">
        <x:v>Online</x:v>
      </x:c>
      <x:c r="G694" s="9" t="n">
        <x:f>SUM(SalesLines!Q1706,SalesLines!Q1707,SalesLines!Q1708)</x:f>
        <x:v>2112.2</x:v>
      </x:c>
      <x:c r="H694" s="9" t="n">
        <x:f>SUM(SalesLines!M1706,SalesLines!M1707,SalesLines!M1708)</x:f>
        <x:v>2467</x:v>
      </x:c>
      <x:c r="I694" s="9" t="n">
        <x:f>SUM(SalesLines!N1706,SalesLines!N1707,SalesLines!N1708)</x:f>
        <x:v>354.8</x:v>
      </x:c>
      <x:c r="J694" s="9" t="n">
        <x:f>SUM(SalesLines!P1706,SalesLines!P1707,SalesLines!P1708)</x:f>
        <x:v>0</x:v>
      </x:c>
      <x:c r="K694" s="11" t="n">
        <x:f>SUM(SalesLines!R1706,SalesLines!R1707,SalesLines!R1708)</x:f>
        <x:v>13</x:v>
      </x:c>
      <x:c r="L694" s="11" t="n">
        <x:f>SUM(SalesLines!S1706,SalesLines!S1707,SalesLines!S1708)</x:f>
        <x:v>0</x:v>
      </x:c>
      <x:c r="M694" s="8" t="n">
        <x:f>DATE(YEAR(C694),MONTH(C694),1)</x:f>
        <x:v>45658</x:v>
      </x:c>
    </x:row>
    <x:row r="695" ht="22" customHeight="1">
      <x:c r="A695" s="2" t="str">
        <x:v>O00691</x:v>
      </x:c>
      <x:c r="B695" s="2" t="str">
        <x:v>C0254</x:v>
      </x:c>
      <x:c r="C695" s="7" t="n">
        <x:v>45722</x:v>
      </x:c>
      <x:c r="D695" s="2" t="str">
        <x:v>Completed</x:v>
      </x:c>
      <x:c r="E695" s="2" t="str">
        <x:v>East</x:v>
      </x:c>
      <x:c r="F695" s="2" t="str">
        <x:v>Online</x:v>
      </x:c>
      <x:c r="G695" s="9" t="n">
        <x:f>SUM(SalesLines!Q1709,SalesLines!Q1710,SalesLines!Q1711)</x:f>
        <x:v>755</x:v>
      </x:c>
      <x:c r="H695" s="9" t="n">
        <x:f>SUM(SalesLines!M1709,SalesLines!M1710,SalesLines!M1711)</x:f>
        <x:v>815</x:v>
      </x:c>
      <x:c r="I695" s="9" t="n">
        <x:f>SUM(SalesLines!N1709,SalesLines!N1710,SalesLines!N1711)</x:f>
        <x:v>60</x:v>
      </x:c>
      <x:c r="J695" s="9" t="n">
        <x:f>SUM(SalesLines!P1709,SalesLines!P1710,SalesLines!P1711)</x:f>
        <x:v>0</x:v>
      </x:c>
      <x:c r="K695" s="11" t="n">
        <x:f>SUM(SalesLines!R1709,SalesLines!R1710,SalesLines!R1711)</x:f>
        <x:v>4</x:v>
      </x:c>
      <x:c r="L695" s="11" t="n">
        <x:f>SUM(SalesLines!S1709,SalesLines!S1710,SalesLines!S1711)</x:f>
        <x:v>0</x:v>
      </x:c>
      <x:c r="M695" s="8" t="n">
        <x:f>DATE(YEAR(C695),MONTH(C695),1)</x:f>
        <x:v>45717</x:v>
      </x:c>
    </x:row>
    <x:row r="696" ht="22" customHeight="1">
      <x:c r="A696" s="2" t="str">
        <x:v>O00692</x:v>
      </x:c>
      <x:c r="B696" s="2" t="str">
        <x:v>C0129</x:v>
      </x:c>
      <x:c r="C696" s="7" t="n">
        <x:v>45699</x:v>
      </x:c>
      <x:c r="D696" s="2" t="str">
        <x:v>Completed</x:v>
      </x:c>
      <x:c r="E696" s="2" t="str">
        <x:v>North</x:v>
      </x:c>
      <x:c r="F696" s="2" t="str">
        <x:v>Store</x:v>
      </x:c>
      <x:c r="G696" s="9" t="n">
        <x:f>SUM(SalesLines!Q1712,SalesLines!Q1713)</x:f>
        <x:v>1773.3</x:v>
      </x:c>
      <x:c r="H696" s="9" t="n">
        <x:f>SUM(SalesLines!M1712,SalesLines!M1713)</x:f>
        <x:v>1919</x:v>
      </x:c>
      <x:c r="I696" s="9" t="n">
        <x:f>SUM(SalesLines!N1712,SalesLines!N1713)</x:f>
        <x:v>145.7</x:v>
      </x:c>
      <x:c r="J696" s="9" t="n">
        <x:f>SUM(SalesLines!P1712,SalesLines!P1713)</x:f>
        <x:v>0</x:v>
      </x:c>
      <x:c r="K696" s="11" t="n">
        <x:f>SUM(SalesLines!R1712,SalesLines!R1713)</x:f>
        <x:v>9</x:v>
      </x:c>
      <x:c r="L696" s="11" t="n">
        <x:f>SUM(SalesLines!S1712,SalesLines!S1713)</x:f>
        <x:v>0</x:v>
      </x:c>
      <x:c r="M696" s="8" t="n">
        <x:f>DATE(YEAR(C696),MONTH(C696),1)</x:f>
        <x:v>45689</x:v>
      </x:c>
    </x:row>
    <x:row r="697" ht="22" customHeight="1">
      <x:c r="A697" s="2" t="str">
        <x:v>O00693</x:v>
      </x:c>
      <x:c r="B697" s="2" t="str">
        <x:v>C0056</x:v>
      </x:c>
      <x:c r="C697" s="7" t="n">
        <x:v>45744</x:v>
      </x:c>
      <x:c r="D697" s="2" t="str">
        <x:v>Cancelled</x:v>
      </x:c>
      <x:c r="E697" s="2" t="str">
        <x:v>North</x:v>
      </x:c>
      <x:c r="F697" s="2" t="str">
        <x:v>Online</x:v>
      </x:c>
      <x:c r="G697" s="9" t="n">
        <x:f>SUM(SalesLines!Q1714,SalesLines!Q1715)</x:f>
        <x:v>0</x:v>
      </x:c>
      <x:c r="H697" s="9" t="n">
        <x:f>SUM(SalesLines!M1714,SalesLines!M1715)</x:f>
        <x:v>0</x:v>
      </x:c>
      <x:c r="I697" s="9" t="n">
        <x:f>SUM(SalesLines!N1714,SalesLines!N1715)</x:f>
        <x:v>0</x:v>
      </x:c>
      <x:c r="J697" s="9" t="n">
        <x:f>SUM(SalesLines!P1714,SalesLines!P1715)</x:f>
        <x:v>0</x:v>
      </x:c>
      <x:c r="K697" s="11" t="n">
        <x:f>SUM(SalesLines!R1714,SalesLines!R1715)</x:f>
        <x:v>0</x:v>
      </x:c>
      <x:c r="L697" s="11" t="n">
        <x:f>SUM(SalesLines!S1714,SalesLines!S1715)</x:f>
        <x:v>0</x:v>
      </x:c>
      <x:c r="M697" s="8" t="n">
        <x:f>DATE(YEAR(C697),MONTH(C697),1)</x:f>
        <x:v>45717</x:v>
      </x:c>
    </x:row>
    <x:row r="698" ht="22" customHeight="1">
      <x:c r="A698" s="2" t="str">
        <x:v>O00694</x:v>
      </x:c>
      <x:c r="B698" s="2" t="str">
        <x:v>C0154</x:v>
      </x:c>
      <x:c r="C698" s="7" t="n">
        <x:v>45956</x:v>
      </x:c>
      <x:c r="D698" s="2" t="str">
        <x:v>Completed</x:v>
      </x:c>
      <x:c r="E698" s="2" t="str">
        <x:v>North</x:v>
      </x:c>
      <x:c r="F698" s="2" t="str">
        <x:v>Online</x:v>
      </x:c>
      <x:c r="G698" s="9" t="n">
        <x:f>SUM(SalesLines!Q1716,SalesLines!Q1717)</x:f>
        <x:v>887</x:v>
      </x:c>
      <x:c r="H698" s="9" t="n">
        <x:f>SUM(SalesLines!M1716,SalesLines!M1717)</x:f>
        <x:v>954</x:v>
      </x:c>
      <x:c r="I698" s="9" t="n">
        <x:f>SUM(SalesLines!N1716,SalesLines!N1717)</x:f>
        <x:v>67</x:v>
      </x:c>
      <x:c r="J698" s="9" t="n">
        <x:f>SUM(SalesLines!P1716,SalesLines!P1717)</x:f>
        <x:v>0</x:v>
      </x:c>
      <x:c r="K698" s="11" t="n">
        <x:f>SUM(SalesLines!R1716,SalesLines!R1717)</x:f>
        <x:v>6</x:v>
      </x:c>
      <x:c r="L698" s="11" t="n">
        <x:f>SUM(SalesLines!S1716,SalesLines!S1717)</x:f>
        <x:v>0</x:v>
      </x:c>
      <x:c r="M698" s="8" t="n">
        <x:f>DATE(YEAR(C698),MONTH(C698),1)</x:f>
        <x:v>45931</x:v>
      </x:c>
    </x:row>
    <x:row r="699" ht="22" customHeight="1">
      <x:c r="A699" s="2" t="str">
        <x:v>O00695</x:v>
      </x:c>
      <x:c r="B699" s="2" t="str">
        <x:v>C0200</x:v>
      </x:c>
      <x:c r="C699" s="7" t="n">
        <x:v>45979</x:v>
      </x:c>
      <x:c r="D699" s="2" t="str">
        <x:v>Completed</x:v>
      </x:c>
      <x:c r="E699" s="2" t="str">
        <x:v>West</x:v>
      </x:c>
      <x:c r="F699" s="2" t="str">
        <x:v>Store</x:v>
      </x:c>
      <x:c r="G699" s="9" t="n">
        <x:f>SUM(SalesLines!Q1718)</x:f>
        <x:v>140.4</x:v>
      </x:c>
      <x:c r="H699" s="9" t="n">
        <x:f>SUM(SalesLines!M1718)</x:f>
        <x:v>156</x:v>
      </x:c>
      <x:c r="I699" s="9" t="n">
        <x:f>SUM(SalesLines!N1718)</x:f>
        <x:v>15.600000000000001</x:v>
      </x:c>
      <x:c r="J699" s="9" t="n">
        <x:f>SUM(SalesLines!P1718)</x:f>
        <x:v>0</x:v>
      </x:c>
      <x:c r="K699" s="11" t="n">
        <x:f>SUM(SalesLines!R1718)</x:f>
        <x:v>2</x:v>
      </x:c>
      <x:c r="L699" s="11" t="n">
        <x:f>SUM(SalesLines!S1718)</x:f>
        <x:v>0</x:v>
      </x:c>
      <x:c r="M699" s="8" t="n">
        <x:f>DATE(YEAR(C699),MONTH(C699),1)</x:f>
        <x:v>45962</x:v>
      </x:c>
    </x:row>
    <x:row r="700" ht="22" customHeight="1">
      <x:c r="A700" s="2" t="str">
        <x:v>O00696</x:v>
      </x:c>
      <x:c r="B700" s="2" t="str">
        <x:v>C0241</x:v>
      </x:c>
      <x:c r="C700" s="7" t="n">
        <x:v>45968</x:v>
      </x:c>
      <x:c r="D700" s="2" t="str">
        <x:v>Cancelled</x:v>
      </x:c>
      <x:c r="E700" s="2" t="str">
        <x:v>North</x:v>
      </x:c>
      <x:c r="F700" s="2" t="str">
        <x:v>Online</x:v>
      </x:c>
      <x:c r="G700" s="9" t="n">
        <x:f>SUM(SalesLines!Q1719)</x:f>
        <x:v>0</x:v>
      </x:c>
      <x:c r="H700" s="9" t="n">
        <x:f>SUM(SalesLines!M1719)</x:f>
        <x:v>0</x:v>
      </x:c>
      <x:c r="I700" s="9" t="n">
        <x:f>SUM(SalesLines!N1719)</x:f>
        <x:v>0</x:v>
      </x:c>
      <x:c r="J700" s="9" t="n">
        <x:f>SUM(SalesLines!P1719)</x:f>
        <x:v>0</x:v>
      </x:c>
      <x:c r="K700" s="11" t="n">
        <x:f>SUM(SalesLines!R1719)</x:f>
        <x:v>0</x:v>
      </x:c>
      <x:c r="L700" s="11" t="n">
        <x:f>SUM(SalesLines!S1719)</x:f>
        <x:v>0</x:v>
      </x:c>
      <x:c r="M700" s="8" t="n">
        <x:f>DATE(YEAR(C700),MONTH(C700),1)</x:f>
        <x:v>45962</x:v>
      </x:c>
    </x:row>
    <x:row r="701" ht="22" customHeight="1">
      <x:c r="A701" s="2" t="str">
        <x:v>O00697</x:v>
      </x:c>
      <x:c r="B701" s="2" t="str">
        <x:v>C0114</x:v>
      </x:c>
      <x:c r="C701" s="7" t="n">
        <x:v>45706</x:v>
      </x:c>
      <x:c r="D701" s="2" t="str">
        <x:v>Completed</x:v>
      </x:c>
      <x:c r="E701" s="2" t="str">
        <x:v>North</x:v>
      </x:c>
      <x:c r="F701" s="2" t="str">
        <x:v>Store</x:v>
      </x:c>
      <x:c r="G701" s="9" t="n">
        <x:f>SUM(SalesLines!Q1720,SalesLines!Q1721,SalesLines!Q1722)</x:f>
        <x:v>749.85</x:v>
      </x:c>
      <x:c r="H701" s="9" t="n">
        <x:f>SUM(SalesLines!M1720,SalesLines!M1721,SalesLines!M1722)</x:f>
        <x:v>842</x:v>
      </x:c>
      <x:c r="I701" s="9" t="n">
        <x:f>SUM(SalesLines!N1720,SalesLines!N1721,SalesLines!N1722)</x:f>
        <x:v>92.15</x:v>
      </x:c>
      <x:c r="J701" s="9" t="n">
        <x:f>SUM(SalesLines!P1720,SalesLines!P1721,SalesLines!P1722)</x:f>
        <x:v>0</x:v>
      </x:c>
      <x:c r="K701" s="11" t="n">
        <x:f>SUM(SalesLines!R1720,SalesLines!R1721,SalesLines!R1722)</x:f>
        <x:v>9</x:v>
      </x:c>
      <x:c r="L701" s="11" t="n">
        <x:f>SUM(SalesLines!S1720,SalesLines!S1721,SalesLines!S1722)</x:f>
        <x:v>0</x:v>
      </x:c>
      <x:c r="M701" s="8" t="n">
        <x:f>DATE(YEAR(C701),MONTH(C701),1)</x:f>
        <x:v>45689</x:v>
      </x:c>
    </x:row>
    <x:row r="702" ht="22" customHeight="1">
      <x:c r="A702" s="2" t="str">
        <x:v>O00698</x:v>
      </x:c>
      <x:c r="B702" s="2" t="str">
        <x:v>C0207</x:v>
      </x:c>
      <x:c r="C702" s="7" t="n">
        <x:v>45971</x:v>
      </x:c>
      <x:c r="D702" s="2" t="str">
        <x:v>Completed</x:v>
      </x:c>
      <x:c r="E702" s="2" t="str">
        <x:v>South</x:v>
      </x:c>
      <x:c r="F702" s="2" t="str">
        <x:v>Store</x:v>
      </x:c>
      <x:c r="G702" s="9" t="n">
        <x:f>SUM(SalesLines!Q1723,SalesLines!Q1724,SalesLines!Q1725,SalesLines!Q1726)</x:f>
        <x:v>3199.4500000000003</x:v>
      </x:c>
      <x:c r="H702" s="9" t="n">
        <x:f>SUM(SalesLines!M1723,SalesLines!M1724,SalesLines!M1725,SalesLines!M1726)</x:f>
        <x:v>3406</x:v>
      </x:c>
      <x:c r="I702" s="9" t="n">
        <x:f>SUM(SalesLines!N1723,SalesLines!N1724,SalesLines!N1725,SalesLines!N1726)</x:f>
        <x:v>206.55</x:v>
      </x:c>
      <x:c r="J702" s="9" t="n">
        <x:f>SUM(SalesLines!P1723,SalesLines!P1724,SalesLines!P1725,SalesLines!P1726)</x:f>
        <x:v>0</x:v>
      </x:c>
      <x:c r="K702" s="11" t="n">
        <x:f>SUM(SalesLines!R1723,SalesLines!R1724,SalesLines!R1725,SalesLines!R1726)</x:f>
        <x:v>14</x:v>
      </x:c>
      <x:c r="L702" s="11" t="n">
        <x:f>SUM(SalesLines!S1723,SalesLines!S1724,SalesLines!S1725,SalesLines!S1726)</x:f>
        <x:v>0</x:v>
      </x:c>
      <x:c r="M702" s="8" t="n">
        <x:f>DATE(YEAR(C702),MONTH(C702),1)</x:f>
        <x:v>45962</x:v>
      </x:c>
    </x:row>
    <x:row r="703" ht="22" customHeight="1">
      <x:c r="A703" s="2" t="str">
        <x:v>O00699</x:v>
      </x:c>
      <x:c r="B703" s="2" t="str">
        <x:v>C0261</x:v>
      </x:c>
      <x:c r="C703" s="7" t="n">
        <x:v>45958</x:v>
      </x:c>
      <x:c r="D703" s="2" t="str">
        <x:v>Completed</x:v>
      </x:c>
      <x:c r="E703" s="2" t="str">
        <x:v>West</x:v>
      </x:c>
      <x:c r="F703" s="2" t="str">
        <x:v>Store</x:v>
      </x:c>
      <x:c r="G703" s="9" t="n">
        <x:f>SUM(SalesLines!Q1727,SalesLines!Q1728)</x:f>
        <x:v>1704</x:v>
      </x:c>
      <x:c r="H703" s="9" t="n">
        <x:f>SUM(SalesLines!M1727,SalesLines!M1728)</x:f>
        <x:v>1765</x:v>
      </x:c>
      <x:c r="I703" s="9" t="n">
        <x:f>SUM(SalesLines!N1727,SalesLines!N1728)</x:f>
        <x:v>61</x:v>
      </x:c>
      <x:c r="J703" s="9" t="n">
        <x:f>SUM(SalesLines!P1727,SalesLines!P1728)</x:f>
        <x:v>0</x:v>
      </x:c>
      <x:c r="K703" s="11" t="n">
        <x:f>SUM(SalesLines!R1727,SalesLines!R1728)</x:f>
        <x:v>10</x:v>
      </x:c>
      <x:c r="L703" s="11" t="n">
        <x:f>SUM(SalesLines!S1727,SalesLines!S1728)</x:f>
        <x:v>0</x:v>
      </x:c>
      <x:c r="M703" s="8" t="n">
        <x:f>DATE(YEAR(C703),MONTH(C703),1)</x:f>
        <x:v>45931</x:v>
      </x:c>
    </x:row>
    <x:row r="704" ht="22" customHeight="1">
      <x:c r="A704" s="2" t="str">
        <x:v>O00700</x:v>
      </x:c>
      <x:c r="B704" s="2" t="str">
        <x:v>C0114</x:v>
      </x:c>
      <x:c r="C704" s="7" t="n">
        <x:v>45880</x:v>
      </x:c>
      <x:c r="D704" s="2" t="str">
        <x:v>Completed</x:v>
      </x:c>
      <x:c r="E704" s="2" t="str">
        <x:v>North</x:v>
      </x:c>
      <x:c r="F704" s="2" t="str">
        <x:v>Store</x:v>
      </x:c>
      <x:c r="G704" s="9" t="n">
        <x:f>SUM(SalesLines!Q1729)</x:f>
        <x:v>227.2</x:v>
      </x:c>
      <x:c r="H704" s="9" t="n">
        <x:f>SUM(SalesLines!M1729)</x:f>
        <x:v>284</x:v>
      </x:c>
      <x:c r="I704" s="9" t="n">
        <x:f>SUM(SalesLines!N1729)</x:f>
        <x:v>56.800000000000004</x:v>
      </x:c>
      <x:c r="J704" s="9" t="n">
        <x:f>SUM(SalesLines!P1729)</x:f>
        <x:v>0</x:v>
      </x:c>
      <x:c r="K704" s="11" t="n">
        <x:f>SUM(SalesLines!R1729)</x:f>
        <x:v>1</x:v>
      </x:c>
      <x:c r="L704" s="11" t="n">
        <x:f>SUM(SalesLines!S1729)</x:f>
        <x:v>0</x:v>
      </x:c>
      <x:c r="M704" s="8" t="n">
        <x:f>DATE(YEAR(C704),MONTH(C704),1)</x:f>
        <x:v>45870</x:v>
      </x:c>
    </x:row>
    <x:row r="705" ht="22" customHeight="1">
      <x:c r="A705" s="2" t="str">
        <x:v>O00701</x:v>
      </x:c>
      <x:c r="B705" s="2" t="str">
        <x:v>C0279</x:v>
      </x:c>
      <x:c r="C705" s="7" t="n">
        <x:v>45758</x:v>
      </x:c>
      <x:c r="D705" s="2" t="str">
        <x:v>Completed</x:v>
      </x:c>
      <x:c r="E705" s="2" t="str">
        <x:v>South</x:v>
      </x:c>
      <x:c r="F705" s="2" t="str">
        <x:v>Store</x:v>
      </x:c>
      <x:c r="G705" s="9" t="n">
        <x:f>SUM(SalesLines!Q1730,SalesLines!Q1731)</x:f>
        <x:v>1064.4</x:v>
      </x:c>
      <x:c r="H705" s="9" t="n">
        <x:f>SUM(SalesLines!M1730,SalesLines!M1731)</x:f>
        <x:v>1178</x:v>
      </x:c>
      <x:c r="I705" s="9" t="n">
        <x:f>SUM(SalesLines!N1730,SalesLines!N1731)</x:f>
        <x:v>113.60000000000001</x:v>
      </x:c>
      <x:c r="J705" s="9" t="n">
        <x:f>SUM(SalesLines!P1730,SalesLines!P1731)</x:f>
        <x:v>0</x:v>
      </x:c>
      <x:c r="K705" s="11" t="n">
        <x:f>SUM(SalesLines!R1730,SalesLines!R1731)</x:f>
        <x:v>7</x:v>
      </x:c>
      <x:c r="L705" s="11" t="n">
        <x:f>SUM(SalesLines!S1730,SalesLines!S1731)</x:f>
        <x:v>0</x:v>
      </x:c>
      <x:c r="M705" s="8" t="n">
        <x:f>DATE(YEAR(C705),MONTH(C705),1)</x:f>
        <x:v>45748</x:v>
      </x:c>
    </x:row>
    <x:row r="706" ht="22" customHeight="1">
      <x:c r="A706" s="2" t="str">
        <x:v>O00702</x:v>
      </x:c>
      <x:c r="B706" s="2" t="str">
        <x:v>C0112</x:v>
      </x:c>
      <x:c r="C706" s="7" t="n">
        <x:v>45903</x:v>
      </x:c>
      <x:c r="D706" s="2" t="str">
        <x:v>Completed</x:v>
      </x:c>
      <x:c r="E706" s="2" t="str">
        <x:v>South</x:v>
      </x:c>
      <x:c r="F706" s="2" t="str">
        <x:v>Store</x:v>
      </x:c>
      <x:c r="G706" s="9" t="n">
        <x:f>SUM(SalesLines!Q1732,SalesLines!Q1733)</x:f>
        <x:v>644.8</x:v>
      </x:c>
      <x:c r="H706" s="9" t="n">
        <x:f>SUM(SalesLines!M1732,SalesLines!M1733)</x:f>
        <x:v>806</x:v>
      </x:c>
      <x:c r="I706" s="9" t="n">
        <x:f>SUM(SalesLines!N1732,SalesLines!N1733)</x:f>
        <x:v>161.2</x:v>
      </x:c>
      <x:c r="J706" s="9" t="n">
        <x:f>SUM(SalesLines!P1732,SalesLines!P1733)</x:f>
        <x:v>0</x:v>
      </x:c>
      <x:c r="K706" s="11" t="n">
        <x:f>SUM(SalesLines!R1732,SalesLines!R1733)</x:f>
        <x:v>6</x:v>
      </x:c>
      <x:c r="L706" s="11" t="n">
        <x:f>SUM(SalesLines!S1732,SalesLines!S1733)</x:f>
        <x:v>0</x:v>
      </x:c>
      <x:c r="M706" s="8" t="n">
        <x:f>DATE(YEAR(C706),MONTH(C706),1)</x:f>
        <x:v>45901</x:v>
      </x:c>
    </x:row>
    <x:row r="707" ht="22" customHeight="1">
      <x:c r="A707" s="2" t="str">
        <x:v>O00703</x:v>
      </x:c>
      <x:c r="B707" s="2" t="str">
        <x:v>C0063</x:v>
      </x:c>
      <x:c r="C707" s="7" t="n">
        <x:v>45891</x:v>
      </x:c>
      <x:c r="D707" s="2" t="str">
        <x:v>Completed</x:v>
      </x:c>
      <x:c r="E707" s="2" t="str">
        <x:v>West</x:v>
      </x:c>
      <x:c r="F707" s="2" t="str">
        <x:v>Online</x:v>
      </x:c>
      <x:c r="G707" s="9" t="n">
        <x:f>SUM(SalesLines!Q1734,SalesLines!Q1735)</x:f>
        <x:v>410.45000000000005</x:v>
      </x:c>
      <x:c r="H707" s="9" t="n">
        <x:f>SUM(SalesLines!M1734,SalesLines!M1735)</x:f>
        <x:v>445</x:v>
      </x:c>
      <x:c r="I707" s="9" t="n">
        <x:f>SUM(SalesLines!N1734,SalesLines!N1735)</x:f>
        <x:v>34.550000000000004</x:v>
      </x:c>
      <x:c r="J707" s="9" t="n">
        <x:f>SUM(SalesLines!P1734,SalesLines!P1735)</x:f>
        <x:v>0</x:v>
      </x:c>
      <x:c r="K707" s="11" t="n">
        <x:f>SUM(SalesLines!R1734,SalesLines!R1735)</x:f>
        <x:v>3</x:v>
      </x:c>
      <x:c r="L707" s="11" t="n">
        <x:f>SUM(SalesLines!S1734,SalesLines!S1735)</x:f>
        <x:v>0</x:v>
      </x:c>
      <x:c r="M707" s="8" t="n">
        <x:f>DATE(YEAR(C707),MONTH(C707),1)</x:f>
        <x:v>45870</x:v>
      </x:c>
    </x:row>
    <x:row r="708" ht="22" customHeight="1">
      <x:c r="A708" s="2" t="str">
        <x:v>O00704</x:v>
      </x:c>
      <x:c r="B708" s="2" t="str">
        <x:v>C0037</x:v>
      </x:c>
      <x:c r="C708" s="7" t="n">
        <x:v>45812</x:v>
      </x:c>
      <x:c r="D708" s="2" t="str">
        <x:v>Completed</x:v>
      </x:c>
      <x:c r="E708" s="2" t="str">
        <x:v>East</x:v>
      </x:c>
      <x:c r="F708" s="2" t="str">
        <x:v>Online</x:v>
      </x:c>
      <x:c r="G708" s="9" t="n">
        <x:f>SUM(SalesLines!Q1736,SalesLines!Q1737)</x:f>
        <x:v>1147.1999999999998</x:v>
      </x:c>
      <x:c r="H708" s="9" t="n">
        <x:f>SUM(SalesLines!M1736,SalesLines!M1737)</x:f>
        <x:v>1340</x:v>
      </x:c>
      <x:c r="I708" s="9" t="n">
        <x:f>SUM(SalesLines!N1736,SalesLines!N1737)</x:f>
        <x:v>192.8</x:v>
      </x:c>
      <x:c r="J708" s="9" t="n">
        <x:f>SUM(SalesLines!P1736,SalesLines!P1737)</x:f>
        <x:v>0</x:v>
      </x:c>
      <x:c r="K708" s="11" t="n">
        <x:f>SUM(SalesLines!R1736,SalesLines!R1737)</x:f>
        <x:v>6</x:v>
      </x:c>
      <x:c r="L708" s="11" t="n">
        <x:f>SUM(SalesLines!S1736,SalesLines!S1737)</x:f>
        <x:v>0</x:v>
      </x:c>
      <x:c r="M708" s="8" t="n">
        <x:f>DATE(YEAR(C708),MONTH(C708),1)</x:f>
        <x:v>45809</x:v>
      </x:c>
    </x:row>
    <x:row r="709" ht="22" customHeight="1">
      <x:c r="A709" s="2" t="str">
        <x:v>O00705</x:v>
      </x:c>
      <x:c r="B709" s="2" t="str">
        <x:v>C0253</x:v>
      </x:c>
      <x:c r="C709" s="7" t="n">
        <x:v>45815</x:v>
      </x:c>
      <x:c r="D709" s="2" t="str">
        <x:v>Completed</x:v>
      </x:c>
      <x:c r="E709" s="2" t="str">
        <x:v>North</x:v>
      </x:c>
      <x:c r="F709" s="2" t="str">
        <x:v>Online</x:v>
      </x:c>
      <x:c r="G709" s="9" t="n">
        <x:f>SUM(SalesLines!Q1738,SalesLines!Q1739)</x:f>
        <x:v>814</x:v>
      </x:c>
      <x:c r="H709" s="9" t="n">
        <x:f>SUM(SalesLines!M1738,SalesLines!M1739)</x:f>
        <x:v>830</x:v>
      </x:c>
      <x:c r="I709" s="9" t="n">
        <x:f>SUM(SalesLines!N1738,SalesLines!N1739)</x:f>
        <x:v>16</x:v>
      </x:c>
      <x:c r="J709" s="9" t="n">
        <x:f>SUM(SalesLines!P1738,SalesLines!P1739)</x:f>
        <x:v>0</x:v>
      </x:c>
      <x:c r="K709" s="11" t="n">
        <x:f>SUM(SalesLines!R1738,SalesLines!R1739)</x:f>
        <x:v>7</x:v>
      </x:c>
      <x:c r="L709" s="11" t="n">
        <x:f>SUM(SalesLines!S1738,SalesLines!S1739)</x:f>
        <x:v>0</x:v>
      </x:c>
      <x:c r="M709" s="8" t="n">
        <x:f>DATE(YEAR(C709),MONTH(C709),1)</x:f>
        <x:v>45809</x:v>
      </x:c>
    </x:row>
    <x:row r="710" ht="22" customHeight="1">
      <x:c r="A710" s="2" t="str">
        <x:v>O00706</x:v>
      </x:c>
      <x:c r="B710" s="2" t="str">
        <x:v>C0229</x:v>
      </x:c>
      <x:c r="C710" s="7" t="n">
        <x:v>45985</x:v>
      </x:c>
      <x:c r="D710" s="2" t="str">
        <x:v>Completed</x:v>
      </x:c>
      <x:c r="E710" s="2" t="str">
        <x:v>East</x:v>
      </x:c>
      <x:c r="F710" s="2" t="str">
        <x:v>Online</x:v>
      </x:c>
      <x:c r="G710" s="9" t="n">
        <x:f>SUM(SalesLines!Q1740,SalesLines!Q1741)</x:f>
        <x:v>1473.6</x:v>
      </x:c>
      <x:c r="H710" s="9" t="n">
        <x:f>SUM(SalesLines!M1740,SalesLines!M1741)</x:f>
        <x:v>1700</x:v>
      </x:c>
      <x:c r="I710" s="9" t="n">
        <x:f>SUM(SalesLines!N1740,SalesLines!N1741)</x:f>
        <x:v>226.40000000000003</x:v>
      </x:c>
      <x:c r="J710" s="9" t="n">
        <x:f>SUM(SalesLines!P1740,SalesLines!P1741)</x:f>
        <x:v>0</x:v>
      </x:c>
      <x:c r="K710" s="11" t="n">
        <x:f>SUM(SalesLines!R1740,SalesLines!R1741)</x:f>
        <x:v>7</x:v>
      </x:c>
      <x:c r="L710" s="11" t="n">
        <x:f>SUM(SalesLines!S1740,SalesLines!S1741)</x:f>
        <x:v>0</x:v>
      </x:c>
      <x:c r="M710" s="8" t="n">
        <x:f>DATE(YEAR(C710),MONTH(C710),1)</x:f>
        <x:v>45962</x:v>
      </x:c>
    </x:row>
    <x:row r="711" ht="22" customHeight="1">
      <x:c r="A711" s="2" t="str">
        <x:v>O00707</x:v>
      </x:c>
      <x:c r="B711" s="2" t="str">
        <x:v>C0210</x:v>
      </x:c>
      <x:c r="C711" s="7" t="n">
        <x:v>45910</x:v>
      </x:c>
      <x:c r="D711" s="2" t="str">
        <x:v>Completed</x:v>
      </x:c>
      <x:c r="E711" s="2" t="str">
        <x:v>North</x:v>
      </x:c>
      <x:c r="F711" s="2" t="str">
        <x:v>Store</x:v>
      </x:c>
      <x:c r="G711" s="9" t="n">
        <x:f>SUM(SalesLines!Q1742,SalesLines!Q1743,SalesLines!Q1744)</x:f>
        <x:v>1471.6</x:v>
      </x:c>
      <x:c r="H711" s="9" t="n">
        <x:f>SUM(SalesLines!M1742,SalesLines!M1743,SalesLines!M1744)</x:f>
        <x:v>1580</x:v>
      </x:c>
      <x:c r="I711" s="9" t="n">
        <x:f>SUM(SalesLines!N1742,SalesLines!N1743,SalesLines!N1744)</x:f>
        <x:v>108.4</x:v>
      </x:c>
      <x:c r="J711" s="9" t="n">
        <x:f>SUM(SalesLines!P1742,SalesLines!P1743,SalesLines!P1744)</x:f>
        <x:v>0</x:v>
      </x:c>
      <x:c r="K711" s="11" t="n">
        <x:f>SUM(SalesLines!R1742,SalesLines!R1743,SalesLines!R1744)</x:f>
        <x:v>9</x:v>
      </x:c>
      <x:c r="L711" s="11" t="n">
        <x:f>SUM(SalesLines!S1742,SalesLines!S1743,SalesLines!S1744)</x:f>
        <x:v>0</x:v>
      </x:c>
      <x:c r="M711" s="8" t="n">
        <x:f>DATE(YEAR(C711),MONTH(C711),1)</x:f>
        <x:v>45901</x:v>
      </x:c>
    </x:row>
    <x:row r="712" ht="22" customHeight="1">
      <x:c r="A712" s="2" t="str">
        <x:v>O00708</x:v>
      </x:c>
      <x:c r="B712" s="2" t="str">
        <x:v>C0021</x:v>
      </x:c>
      <x:c r="C712" s="7" t="n">
        <x:v>45772</x:v>
      </x:c>
      <x:c r="D712" s="2" t="str">
        <x:v>Cancelled</x:v>
      </x:c>
      <x:c r="E712" s="2" t="str">
        <x:v>West</x:v>
      </x:c>
      <x:c r="F712" s="2" t="str">
        <x:v>Store</x:v>
      </x:c>
      <x:c r="G712" s="9" t="n">
        <x:f>SUM(SalesLines!Q1745)</x:f>
        <x:v>0</x:v>
      </x:c>
      <x:c r="H712" s="9" t="n">
        <x:f>SUM(SalesLines!M1745)</x:f>
        <x:v>0</x:v>
      </x:c>
      <x:c r="I712" s="9" t="n">
        <x:f>SUM(SalesLines!N1745)</x:f>
        <x:v>0</x:v>
      </x:c>
      <x:c r="J712" s="9" t="n">
        <x:f>SUM(SalesLines!P1745)</x:f>
        <x:v>0</x:v>
      </x:c>
      <x:c r="K712" s="11" t="n">
        <x:f>SUM(SalesLines!R1745)</x:f>
        <x:v>0</x:v>
      </x:c>
      <x:c r="L712" s="11" t="n">
        <x:f>SUM(SalesLines!S1745)</x:f>
        <x:v>0</x:v>
      </x:c>
      <x:c r="M712" s="8" t="n">
        <x:f>DATE(YEAR(C712),MONTH(C712),1)</x:f>
        <x:v>45748</x:v>
      </x:c>
    </x:row>
    <x:row r="713" ht="22" customHeight="1">
      <x:c r="A713" s="2" t="str">
        <x:v>O00709</x:v>
      </x:c>
      <x:c r="B713" s="2" t="str">
        <x:v>C0164</x:v>
      </x:c>
      <x:c r="C713" s="7" t="n">
        <x:v>45695</x:v>
      </x:c>
      <x:c r="D713" s="2" t="str">
        <x:v>Completed</x:v>
      </x:c>
      <x:c r="E713" s="2" t="str">
        <x:v>East</x:v>
      </x:c>
      <x:c r="F713" s="2" t="str">
        <x:v>Store</x:v>
      </x:c>
      <x:c r="G713" s="9" t="n">
        <x:f>SUM(SalesLines!Q1746,SalesLines!Q1747,SalesLines!Q1748)</x:f>
        <x:v>1296.8</x:v>
      </x:c>
      <x:c r="H713" s="9" t="n">
        <x:f>SUM(SalesLines!M1746,SalesLines!M1747,SalesLines!M1748)</x:f>
        <x:v>1621</x:v>
      </x:c>
      <x:c r="I713" s="9" t="n">
        <x:f>SUM(SalesLines!N1746,SalesLines!N1747,SalesLines!N1748)</x:f>
        <x:v>324.2</x:v>
      </x:c>
      <x:c r="J713" s="9" t="n">
        <x:f>SUM(SalesLines!P1746,SalesLines!P1747,SalesLines!P1748)</x:f>
        <x:v>0</x:v>
      </x:c>
      <x:c r="K713" s="11" t="n">
        <x:f>SUM(SalesLines!R1746,SalesLines!R1747,SalesLines!R1748)</x:f>
        <x:v>10</x:v>
      </x:c>
      <x:c r="L713" s="11" t="n">
        <x:f>SUM(SalesLines!S1746,SalesLines!S1747,SalesLines!S1748)</x:f>
        <x:v>0</x:v>
      </x:c>
      <x:c r="M713" s="8" t="n">
        <x:f>DATE(YEAR(C713),MONTH(C713),1)</x:f>
        <x:v>45689</x:v>
      </x:c>
    </x:row>
    <x:row r="714" ht="22" customHeight="1">
      <x:c r="A714" s="2" t="str">
        <x:v>O00710</x:v>
      </x:c>
      <x:c r="B714" s="2" t="str">
        <x:v>C0033</x:v>
      </x:c>
      <x:c r="C714" s="7" t="n">
        <x:v>45727</x:v>
      </x:c>
      <x:c r="D714" s="2" t="str">
        <x:v>Completed</x:v>
      </x:c>
      <x:c r="E714" s="2" t="str">
        <x:v>South</x:v>
      </x:c>
      <x:c r="F714" s="2" t="str">
        <x:v>Online</x:v>
      </x:c>
      <x:c r="G714" s="9" t="n">
        <x:f>SUM(SalesLines!Q1749,SalesLines!Q1750,SalesLines!Q1751)</x:f>
        <x:v>2202.25</x:v>
      </x:c>
      <x:c r="H714" s="9" t="n">
        <x:f>SUM(SalesLines!M1749,SalesLines!M1750,SalesLines!M1751)</x:f>
        <x:v>2411</x:v>
      </x:c>
      <x:c r="I714" s="9" t="n">
        <x:f>SUM(SalesLines!N1749,SalesLines!N1750,SalesLines!N1751)</x:f>
        <x:v>52.75</x:v>
      </x:c>
      <x:c r="J714" s="9" t="n">
        <x:f>SUM(SalesLines!P1749,SalesLines!P1750,SalesLines!P1751)</x:f>
        <x:v>156</x:v>
      </x:c>
      <x:c r="K714" s="11" t="n">
        <x:f>SUM(SalesLines!R1749,SalesLines!R1750,SalesLines!R1751)</x:f>
        <x:v>11</x:v>
      </x:c>
      <x:c r="L714" s="11" t="n">
        <x:f>SUM(SalesLines!S1749,SalesLines!S1750,SalesLines!S1751)</x:f>
        <x:v>2</x:v>
      </x:c>
      <x:c r="M714" s="8" t="n">
        <x:f>DATE(YEAR(C714),MONTH(C714),1)</x:f>
        <x:v>45717</x:v>
      </x:c>
    </x:row>
    <x:row r="715" ht="22" customHeight="1">
      <x:c r="A715" s="2" t="str">
        <x:v>O00711</x:v>
      </x:c>
      <x:c r="B715" s="2" t="str">
        <x:v>C0177</x:v>
      </x:c>
      <x:c r="C715" s="7" t="n">
        <x:v>46018</x:v>
      </x:c>
      <x:c r="D715" s="2" t="str">
        <x:v>Completed</x:v>
      </x:c>
      <x:c r="E715" s="2" t="str">
        <x:v>West</x:v>
      </x:c>
      <x:c r="F715" s="2" t="str">
        <x:v>Online</x:v>
      </x:c>
      <x:c r="G715" s="9" t="n">
        <x:f>SUM(SalesLines!Q1752)</x:f>
        <x:v>529.2</x:v>
      </x:c>
      <x:c r="H715" s="9" t="n">
        <x:f>SUM(SalesLines!M1752)</x:f>
        <x:v>588</x:v>
      </x:c>
      <x:c r="I715" s="9" t="n">
        <x:f>SUM(SalesLines!N1752)</x:f>
        <x:v>58.800000000000004</x:v>
      </x:c>
      <x:c r="J715" s="9" t="n">
        <x:f>SUM(SalesLines!P1752)</x:f>
        <x:v>0</x:v>
      </x:c>
      <x:c r="K715" s="11" t="n">
        <x:f>SUM(SalesLines!R1752)</x:f>
        <x:v>3</x:v>
      </x:c>
      <x:c r="L715" s="11" t="n">
        <x:f>SUM(SalesLines!S1752)</x:f>
        <x:v>0</x:v>
      </x:c>
      <x:c r="M715" s="8" t="n">
        <x:f>DATE(YEAR(C715),MONTH(C715),1)</x:f>
        <x:v>45992</x:v>
      </x:c>
    </x:row>
    <x:row r="716" ht="22" customHeight="1">
      <x:c r="A716" s="2" t="str">
        <x:v>O00712</x:v>
      </x:c>
      <x:c r="B716" s="2" t="str">
        <x:v>C0037</x:v>
      </x:c>
      <x:c r="C716" s="7" t="n">
        <x:v>45900</x:v>
      </x:c>
      <x:c r="D716" s="2" t="str">
        <x:v>Completed</x:v>
      </x:c>
      <x:c r="E716" s="2" t="str">
        <x:v>East</x:v>
      </x:c>
      <x:c r="F716" s="2" t="str">
        <x:v>Store</x:v>
      </x:c>
      <x:c r="G716" s="9" t="n">
        <x:f>SUM(SalesLines!Q1753,SalesLines!Q1754,SalesLines!Q1755,SalesLines!Q1756)</x:f>
        <x:v>2128.8</x:v>
      </x:c>
      <x:c r="H716" s="9" t="n">
        <x:f>SUM(SalesLines!M1753,SalesLines!M1754,SalesLines!M1755,SalesLines!M1756)</x:f>
        <x:v>2289</x:v>
      </x:c>
      <x:c r="I716" s="9" t="n">
        <x:f>SUM(SalesLines!N1753,SalesLines!N1754,SalesLines!N1755,SalesLines!N1756)</x:f>
        <x:v>160.2</x:v>
      </x:c>
      <x:c r="J716" s="9" t="n">
        <x:f>SUM(SalesLines!P1753,SalesLines!P1754,SalesLines!P1755,SalesLines!P1756)</x:f>
        <x:v>0</x:v>
      </x:c>
      <x:c r="K716" s="11" t="n">
        <x:f>SUM(SalesLines!R1753,SalesLines!R1754,SalesLines!R1755,SalesLines!R1756)</x:f>
        <x:v>11</x:v>
      </x:c>
      <x:c r="L716" s="11" t="n">
        <x:f>SUM(SalesLines!S1753,SalesLines!S1754,SalesLines!S1755,SalesLines!S1756)</x:f>
        <x:v>0</x:v>
      </x:c>
      <x:c r="M716" s="8" t="n">
        <x:f>DATE(YEAR(C716),MONTH(C716),1)</x:f>
        <x:v>45870</x:v>
      </x:c>
    </x:row>
    <x:row r="717" ht="22" customHeight="1">
      <x:c r="A717" s="2" t="str">
        <x:v>O00713</x:v>
      </x:c>
      <x:c r="B717" s="2" t="str">
        <x:v>C0046</x:v>
      </x:c>
      <x:c r="C717" s="7" t="n">
        <x:v>45928</x:v>
      </x:c>
      <x:c r="D717" s="2" t="str">
        <x:v>Completed</x:v>
      </x:c>
      <x:c r="E717" s="2" t="str">
        <x:v>West</x:v>
      </x:c>
      <x:c r="F717" s="2" t="str">
        <x:v>Online</x:v>
      </x:c>
      <x:c r="G717" s="9" t="n">
        <x:f>SUM(SalesLines!Q1757)</x:f>
        <x:v>187.2</x:v>
      </x:c>
      <x:c r="H717" s="9" t="n">
        <x:f>SUM(SalesLines!M1757)</x:f>
        <x:v>234</x:v>
      </x:c>
      <x:c r="I717" s="9" t="n">
        <x:f>SUM(SalesLines!N1757)</x:f>
        <x:v>46.800000000000004</x:v>
      </x:c>
      <x:c r="J717" s="9" t="n">
        <x:f>SUM(SalesLines!P1757)</x:f>
        <x:v>0</x:v>
      </x:c>
      <x:c r="K717" s="11" t="n">
        <x:f>SUM(SalesLines!R1757)</x:f>
        <x:v>3</x:v>
      </x:c>
      <x:c r="L717" s="11" t="n">
        <x:f>SUM(SalesLines!S1757)</x:f>
        <x:v>0</x:v>
      </x:c>
      <x:c r="M717" s="8" t="n">
        <x:f>DATE(YEAR(C717),MONTH(C717),1)</x:f>
        <x:v>45901</x:v>
      </x:c>
    </x:row>
    <x:row r="718" ht="22" customHeight="1">
      <x:c r="A718" s="2" t="str">
        <x:v>O00714</x:v>
      </x:c>
      <x:c r="B718" s="2" t="str">
        <x:v>C0121</x:v>
      </x:c>
      <x:c r="C718" s="7" t="n">
        <x:v>45694</x:v>
      </x:c>
      <x:c r="D718" s="2" t="str">
        <x:v>Completed</x:v>
      </x:c>
      <x:c r="E718" s="2" t="str">
        <x:v>West</x:v>
      </x:c>
      <x:c r="F718" s="2" t="str">
        <x:v>Online</x:v>
      </x:c>
      <x:c r="G718" s="9" t="n">
        <x:f>SUM(SalesLines!Q1758,SalesLines!Q1759,SalesLines!Q1760,SalesLines!Q1761)</x:f>
        <x:v>1235.1999999999998</x:v>
      </x:c>
      <x:c r="H718" s="9" t="n">
        <x:f>SUM(SalesLines!M1758,SalesLines!M1759,SalesLines!M1760,SalesLines!M1761)</x:f>
        <x:v>1716</x:v>
      </x:c>
      <x:c r="I718" s="9" t="n">
        <x:f>SUM(SalesLines!N1758,SalesLines!N1759,SalesLines!N1760,SalesLines!N1761)</x:f>
        <x:v>312</x:v>
      </x:c>
      <x:c r="J718" s="9" t="n">
        <x:f>SUM(SalesLines!P1758,SalesLines!P1759,SalesLines!P1760,SalesLines!P1761)</x:f>
        <x:v>168.8</x:v>
      </x:c>
      <x:c r="K718" s="11" t="n">
        <x:f>SUM(SalesLines!R1758,SalesLines!R1759,SalesLines!R1760,SalesLines!R1761)</x:f>
        <x:v>9</x:v>
      </x:c>
      <x:c r="L718" s="11" t="n">
        <x:f>SUM(SalesLines!S1758,SalesLines!S1759,SalesLines!S1760,SalesLines!S1761)</x:f>
        <x:v>1</x:v>
      </x:c>
      <x:c r="M718" s="8" t="n">
        <x:f>DATE(YEAR(C718),MONTH(C718),1)</x:f>
        <x:v>45689</x:v>
      </x:c>
    </x:row>
    <x:row r="719" ht="22" customHeight="1">
      <x:c r="A719" s="2" t="str">
        <x:v>O00715</x:v>
      </x:c>
      <x:c r="B719" s="2" t="str">
        <x:v>C0085</x:v>
      </x:c>
      <x:c r="C719" s="7" t="n">
        <x:v>45782</x:v>
      </x:c>
      <x:c r="D719" s="2" t="str">
        <x:v>Completed</x:v>
      </x:c>
      <x:c r="E719" s="2" t="str">
        <x:v>South</x:v>
      </x:c>
      <x:c r="F719" s="2" t="str">
        <x:v>Store</x:v>
      </x:c>
      <x:c r="G719" s="9" t="n">
        <x:f>SUM(SalesLines!Q1762,SalesLines!Q1763)</x:f>
        <x:v>521.4</x:v>
      </x:c>
      <x:c r="H719" s="9" t="n">
        <x:f>SUM(SalesLines!M1762,SalesLines!M1763)</x:f>
        <x:v>642</x:v>
      </x:c>
      <x:c r="I719" s="9" t="n">
        <x:f>SUM(SalesLines!N1762,SalesLines!N1763)</x:f>
        <x:v>120.60000000000001</x:v>
      </x:c>
      <x:c r="J719" s="9" t="n">
        <x:f>SUM(SalesLines!P1762,SalesLines!P1763)</x:f>
        <x:v>0</x:v>
      </x:c>
      <x:c r="K719" s="11" t="n">
        <x:f>SUM(SalesLines!R1762,SalesLines!R1763)</x:f>
        <x:v>4</x:v>
      </x:c>
      <x:c r="L719" s="11" t="n">
        <x:f>SUM(SalesLines!S1762,SalesLines!S1763)</x:f>
        <x:v>0</x:v>
      </x:c>
      <x:c r="M719" s="8" t="n">
        <x:f>DATE(YEAR(C719),MONTH(C719),1)</x:f>
        <x:v>45778</x:v>
      </x:c>
    </x:row>
    <x:row r="720" ht="22" customHeight="1">
      <x:c r="A720" s="2" t="str">
        <x:v>O00716</x:v>
      </x:c>
      <x:c r="B720" s="2" t="str">
        <x:v>C0113</x:v>
      </x:c>
      <x:c r="C720" s="7" t="n">
        <x:v>45853</x:v>
      </x:c>
      <x:c r="D720" s="2" t="str">
        <x:v>Completed</x:v>
      </x:c>
      <x:c r="E720" s="2" t="str">
        <x:v>South</x:v>
      </x:c>
      <x:c r="F720" s="2" t="str">
        <x:v>Store</x:v>
      </x:c>
      <x:c r="G720" s="9" t="n">
        <x:f>SUM(SalesLines!Q1764,SalesLines!Q1765)</x:f>
        <x:v>1183.2</x:v>
      </x:c>
      <x:c r="H720" s="9" t="n">
        <x:f>SUM(SalesLines!M1764,SalesLines!M1765)</x:f>
        <x:v>1479</x:v>
      </x:c>
      <x:c r="I720" s="9" t="n">
        <x:f>SUM(SalesLines!N1764,SalesLines!N1765)</x:f>
        <x:v>295.8</x:v>
      </x:c>
      <x:c r="J720" s="9" t="n">
        <x:f>SUM(SalesLines!P1764,SalesLines!P1765)</x:f>
        <x:v>0</x:v>
      </x:c>
      <x:c r="K720" s="11" t="n">
        <x:f>SUM(SalesLines!R1764,SalesLines!R1765)</x:f>
        <x:v>9</x:v>
      </x:c>
      <x:c r="L720" s="11" t="n">
        <x:f>SUM(SalesLines!S1764,SalesLines!S1765)</x:f>
        <x:v>0</x:v>
      </x:c>
      <x:c r="M720" s="8" t="n">
        <x:f>DATE(YEAR(C720),MONTH(C720),1)</x:f>
        <x:v>45839</x:v>
      </x:c>
    </x:row>
    <x:row r="721" ht="22" customHeight="1">
      <x:c r="A721" s="2" t="str">
        <x:v>O00717</x:v>
      </x:c>
      <x:c r="B721" s="2" t="str">
        <x:v>C0124</x:v>
      </x:c>
      <x:c r="C721" s="7" t="n">
        <x:v>45897</x:v>
      </x:c>
      <x:c r="D721" s="2" t="str">
        <x:v>Completed</x:v>
      </x:c>
      <x:c r="E721" s="2" t="str">
        <x:v>East</x:v>
      </x:c>
      <x:c r="F721" s="2" t="str">
        <x:v>Store</x:v>
      </x:c>
      <x:c r="G721" s="9" t="n">
        <x:f>SUM(SalesLines!Q1766,SalesLines!Q1767,SalesLines!Q1768)</x:f>
        <x:v>966.8</x:v>
      </x:c>
      <x:c r="H721" s="9" t="n">
        <x:f>SUM(SalesLines!M1766,SalesLines!M1767,SalesLines!M1768)</x:f>
        <x:v>1063</x:v>
      </x:c>
      <x:c r="I721" s="9" t="n">
        <x:f>SUM(SalesLines!N1766,SalesLines!N1767,SalesLines!N1768)</x:f>
        <x:v>96.20000000000002</x:v>
      </x:c>
      <x:c r="J721" s="9" t="n">
        <x:f>SUM(SalesLines!P1766,SalesLines!P1767,SalesLines!P1768)</x:f>
        <x:v>0</x:v>
      </x:c>
      <x:c r="K721" s="11" t="n">
        <x:f>SUM(SalesLines!R1766,SalesLines!R1767,SalesLines!R1768)</x:f>
        <x:v>5</x:v>
      </x:c>
      <x:c r="L721" s="11" t="n">
        <x:f>SUM(SalesLines!S1766,SalesLines!S1767,SalesLines!S1768)</x:f>
        <x:v>0</x:v>
      </x:c>
      <x:c r="M721" s="8" t="n">
        <x:f>DATE(YEAR(C721),MONTH(C721),1)</x:f>
        <x:v>45870</x:v>
      </x:c>
    </x:row>
    <x:row r="722" ht="22" customHeight="1">
      <x:c r="A722" s="2" t="str">
        <x:v>O00718</x:v>
      </x:c>
      <x:c r="B722" s="2" t="str">
        <x:v>C0259</x:v>
      </x:c>
      <x:c r="C722" s="7" t="n">
        <x:v>45821</x:v>
      </x:c>
      <x:c r="D722" s="2" t="str">
        <x:v>Completed</x:v>
      </x:c>
      <x:c r="E722" s="2" t="str">
        <x:v>North</x:v>
      </x:c>
      <x:c r="F722" s="2" t="str">
        <x:v>Online</x:v>
      </x:c>
      <x:c r="G722" s="9" t="n">
        <x:f>SUM(SalesLines!Q1769,SalesLines!Q1770,SalesLines!Q1771)</x:f>
        <x:v>584.25</x:v>
      </x:c>
      <x:c r="H722" s="9" t="n">
        <x:f>SUM(SalesLines!M1769,SalesLines!M1770,SalesLines!M1771)</x:f>
        <x:v>615</x:v>
      </x:c>
      <x:c r="I722" s="9" t="n">
        <x:f>SUM(SalesLines!N1769,SalesLines!N1770,SalesLines!N1771)</x:f>
        <x:v>30.75</x:v>
      </x:c>
      <x:c r="J722" s="9" t="n">
        <x:f>SUM(SalesLines!P1769,SalesLines!P1770,SalesLines!P1771)</x:f>
        <x:v>0</x:v>
      </x:c>
      <x:c r="K722" s="11" t="n">
        <x:f>SUM(SalesLines!R1769,SalesLines!R1770,SalesLines!R1771)</x:f>
        <x:v>11</x:v>
      </x:c>
      <x:c r="L722" s="11" t="n">
        <x:f>SUM(SalesLines!S1769,SalesLines!S1770,SalesLines!S1771)</x:f>
        <x:v>0</x:v>
      </x:c>
      <x:c r="M722" s="8" t="n">
        <x:f>DATE(YEAR(C722),MONTH(C722),1)</x:f>
        <x:v>45809</x:v>
      </x:c>
    </x:row>
    <x:row r="723" ht="22" customHeight="1">
      <x:c r="A723" s="2" t="str">
        <x:v>O00719</x:v>
      </x:c>
      <x:c r="B723" s="2" t="str">
        <x:v>C0247</x:v>
      </x:c>
      <x:c r="C723" s="7" t="n">
        <x:v>45855</x:v>
      </x:c>
      <x:c r="D723" s="2" t="str">
        <x:v>Completed</x:v>
      </x:c>
      <x:c r="E723" s="2" t="str">
        <x:v>North</x:v>
      </x:c>
      <x:c r="F723" s="2" t="str">
        <x:v>Online</x:v>
      </x:c>
      <x:c r="G723" s="9" t="n">
        <x:f>SUM(SalesLines!Q1772,SalesLines!Q1773,SalesLines!Q1774,SalesLines!Q1775)</x:f>
        <x:v>1753</x:v>
      </x:c>
      <x:c r="H723" s="9" t="n">
        <x:f>SUM(SalesLines!M1772,SalesLines!M1773,SalesLines!M1774,SalesLines!M1775)</x:f>
        <x:v>2009</x:v>
      </x:c>
      <x:c r="I723" s="9" t="n">
        <x:f>SUM(SalesLines!N1772,SalesLines!N1773,SalesLines!N1774,SalesLines!N1775)</x:f>
        <x:v>256</x:v>
      </x:c>
      <x:c r="J723" s="9" t="n">
        <x:f>SUM(SalesLines!P1772,SalesLines!P1773,SalesLines!P1774,SalesLines!P1775)</x:f>
        <x:v>0</x:v>
      </x:c>
      <x:c r="K723" s="11" t="n">
        <x:f>SUM(SalesLines!R1772,SalesLines!R1773,SalesLines!R1774,SalesLines!R1775)</x:f>
        <x:v>15</x:v>
      </x:c>
      <x:c r="L723" s="11" t="n">
        <x:f>SUM(SalesLines!S1772,SalesLines!S1773,SalesLines!S1774,SalesLines!S1775)</x:f>
        <x:v>0</x:v>
      </x:c>
      <x:c r="M723" s="8" t="n">
        <x:f>DATE(YEAR(C723),MONTH(C723),1)</x:f>
        <x:v>45839</x:v>
      </x:c>
    </x:row>
    <x:row r="724" ht="22" customHeight="1">
      <x:c r="A724" s="2" t="str">
        <x:v>O00720</x:v>
      </x:c>
      <x:c r="B724" s="2" t="str">
        <x:v>C0046</x:v>
      </x:c>
      <x:c r="C724" s="7" t="n">
        <x:v>45718</x:v>
      </x:c>
      <x:c r="D724" s="2" t="str">
        <x:v>Completed</x:v>
      </x:c>
      <x:c r="E724" s="2" t="str">
        <x:v>West</x:v>
      </x:c>
      <x:c r="F724" s="2" t="str">
        <x:v>Online</x:v>
      </x:c>
      <x:c r="G724" s="9" t="n">
        <x:f>SUM(SalesLines!Q1776,SalesLines!Q1777)</x:f>
        <x:v>1065.8</x:v>
      </x:c>
      <x:c r="H724" s="9" t="n">
        <x:f>SUM(SalesLines!M1776,SalesLines!M1777)</x:f>
        <x:v>1222</x:v>
      </x:c>
      <x:c r="I724" s="9" t="n">
        <x:f>SUM(SalesLines!N1776,SalesLines!N1777)</x:f>
        <x:v>156.2</x:v>
      </x:c>
      <x:c r="J724" s="9" t="n">
        <x:f>SUM(SalesLines!P1776,SalesLines!P1777)</x:f>
        <x:v>0</x:v>
      </x:c>
      <x:c r="K724" s="11" t="n">
        <x:f>SUM(SalesLines!R1776,SalesLines!R1777)</x:f>
        <x:v>8</x:v>
      </x:c>
      <x:c r="L724" s="11" t="n">
        <x:f>SUM(SalesLines!S1776,SalesLines!S1777)</x:f>
        <x:v>0</x:v>
      </x:c>
      <x:c r="M724" s="8" t="n">
        <x:f>DATE(YEAR(C724),MONTH(C724),1)</x:f>
        <x:v>45717</x:v>
      </x:c>
    </x:row>
    <x:row r="725" ht="22" customHeight="1">
      <x:c r="A725" s="2" t="str">
        <x:v>O00721</x:v>
      </x:c>
      <x:c r="B725" s="2" t="str">
        <x:v>C0123</x:v>
      </x:c>
      <x:c r="C725" s="7" t="n">
        <x:v>45986</x:v>
      </x:c>
      <x:c r="D725" s="2" t="str">
        <x:v>Completed</x:v>
      </x:c>
      <x:c r="E725" s="2" t="str">
        <x:v>East</x:v>
      </x:c>
      <x:c r="F725" s="2" t="str">
        <x:v>Online</x:v>
      </x:c>
      <x:c r="G725" s="9" t="n">
        <x:f>SUM(SalesLines!Q1778,SalesLines!Q1779,SalesLines!Q1780)</x:f>
        <x:v>528.55</x:v>
      </x:c>
      <x:c r="H725" s="9" t="n">
        <x:f>SUM(SalesLines!M1778,SalesLines!M1779,SalesLines!M1780)</x:f>
        <x:v>594</x:v>
      </x:c>
      <x:c r="I725" s="9" t="n">
        <x:f>SUM(SalesLines!N1778,SalesLines!N1779,SalesLines!N1780)</x:f>
        <x:v>65.45</x:v>
      </x:c>
      <x:c r="J725" s="9" t="n">
        <x:f>SUM(SalesLines!P1778,SalesLines!P1779,SalesLines!P1780)</x:f>
        <x:v>0</x:v>
      </x:c>
      <x:c r="K725" s="11" t="n">
        <x:f>SUM(SalesLines!R1778,SalesLines!R1779,SalesLines!R1780)</x:f>
        <x:v>6</x:v>
      </x:c>
      <x:c r="L725" s="11" t="n">
        <x:f>SUM(SalesLines!S1778,SalesLines!S1779,SalesLines!S1780)</x:f>
        <x:v>0</x:v>
      </x:c>
      <x:c r="M725" s="8" t="n">
        <x:f>DATE(YEAR(C725),MONTH(C725),1)</x:f>
        <x:v>45962</x:v>
      </x:c>
    </x:row>
    <x:row r="726" ht="22" customHeight="1">
      <x:c r="A726" s="2" t="str">
        <x:v>O00722</x:v>
      </x:c>
      <x:c r="B726" s="2" t="str">
        <x:v>C0260</x:v>
      </x:c>
      <x:c r="C726" s="7" t="n">
        <x:v>45766</x:v>
      </x:c>
      <x:c r="D726" s="2" t="str">
        <x:v>Completed</x:v>
      </x:c>
      <x:c r="E726" s="2" t="str">
        <x:v>South</x:v>
      </x:c>
      <x:c r="F726" s="2" t="str">
        <x:v>Online</x:v>
      </x:c>
      <x:c r="G726" s="9" t="n">
        <x:f>SUM(SalesLines!Q1781,SalesLines!Q1782)</x:f>
        <x:v>608.4</x:v>
      </x:c>
      <x:c r="H726" s="9" t="n">
        <x:f>SUM(SalesLines!M1781,SalesLines!M1782)</x:f>
        <x:v>676</x:v>
      </x:c>
      <x:c r="I726" s="9" t="n">
        <x:f>SUM(SalesLines!N1781,SalesLines!N1782)</x:f>
        <x:v>67.6</x:v>
      </x:c>
      <x:c r="J726" s="9" t="n">
        <x:f>SUM(SalesLines!P1781,SalesLines!P1782)</x:f>
        <x:v>0</x:v>
      </x:c>
      <x:c r="K726" s="11" t="n">
        <x:f>SUM(SalesLines!R1781,SalesLines!R1782)</x:f>
        <x:v>8</x:v>
      </x:c>
      <x:c r="L726" s="11" t="n">
        <x:f>SUM(SalesLines!S1781,SalesLines!S1782)</x:f>
        <x:v>0</x:v>
      </x:c>
      <x:c r="M726" s="8" t="n">
        <x:f>DATE(YEAR(C726),MONTH(C726),1)</x:f>
        <x:v>45748</x:v>
      </x:c>
    </x:row>
    <x:row r="727" ht="22" customHeight="1">
      <x:c r="A727" s="2" t="str">
        <x:v>O00723</x:v>
      </x:c>
      <x:c r="B727" s="2" t="str">
        <x:v>C0196</x:v>
      </x:c>
      <x:c r="C727" s="7" t="n">
        <x:v>46002</x:v>
      </x:c>
      <x:c r="D727" s="2" t="str">
        <x:v>Completed</x:v>
      </x:c>
      <x:c r="E727" s="2" t="str">
        <x:v>West</x:v>
      </x:c>
      <x:c r="F727" s="2" t="str">
        <x:v>Online</x:v>
      </x:c>
      <x:c r="G727" s="9" t="n">
        <x:f>SUM(SalesLines!Q1783,SalesLines!Q1784)</x:f>
        <x:v>458.6</x:v>
      </x:c>
      <x:c r="H727" s="9" t="n">
        <x:f>SUM(SalesLines!M1783,SalesLines!M1784)</x:f>
        <x:v>472</x:v>
      </x:c>
      <x:c r="I727" s="9" t="n">
        <x:f>SUM(SalesLines!N1783,SalesLines!N1784)</x:f>
        <x:v>13.4</x:v>
      </x:c>
      <x:c r="J727" s="9" t="n">
        <x:f>SUM(SalesLines!P1783,SalesLines!P1784)</x:f>
        <x:v>0</x:v>
      </x:c>
      <x:c r="K727" s="11" t="n">
        <x:f>SUM(SalesLines!R1783,SalesLines!R1784)</x:f>
        <x:v>5</x:v>
      </x:c>
      <x:c r="L727" s="11" t="n">
        <x:f>SUM(SalesLines!S1783,SalesLines!S1784)</x:f>
        <x:v>0</x:v>
      </x:c>
      <x:c r="M727" s="8" t="n">
        <x:f>DATE(YEAR(C727),MONTH(C727),1)</x:f>
        <x:v>45992</x:v>
      </x:c>
    </x:row>
    <x:row r="728" ht="22" customHeight="1">
      <x:c r="A728" s="2" t="str">
        <x:v>O00724</x:v>
      </x:c>
      <x:c r="B728" s="2" t="str">
        <x:v>C0058</x:v>
      </x:c>
      <x:c r="C728" s="7" t="n">
        <x:v>46008</x:v>
      </x:c>
      <x:c r="D728" s="2" t="str">
        <x:v>Completed</x:v>
      </x:c>
      <x:c r="E728" s="2" t="str">
        <x:v>North</x:v>
      </x:c>
      <x:c r="F728" s="2" t="str">
        <x:v>Store</x:v>
      </x:c>
      <x:c r="G728" s="9" t="n">
        <x:f>SUM(SalesLines!Q1785,SalesLines!Q1786,SalesLines!Q1787,SalesLines!Q1788)</x:f>
        <x:v>2190.75</x:v>
      </x:c>
      <x:c r="H728" s="9" t="n">
        <x:f>SUM(SalesLines!M1785,SalesLines!M1786,SalesLines!M1787,SalesLines!M1788)</x:f>
        <x:v>2337</x:v>
      </x:c>
      <x:c r="I728" s="9" t="n">
        <x:f>SUM(SalesLines!N1785,SalesLines!N1786,SalesLines!N1787,SalesLines!N1788)</x:f>
        <x:v>146.25</x:v>
      </x:c>
      <x:c r="J728" s="9" t="n">
        <x:f>SUM(SalesLines!P1785,SalesLines!P1786,SalesLines!P1787,SalesLines!P1788)</x:f>
        <x:v>0</x:v>
      </x:c>
      <x:c r="K728" s="11" t="n">
        <x:f>SUM(SalesLines!R1785,SalesLines!R1786,SalesLines!R1787,SalesLines!R1788)</x:f>
        <x:v>11</x:v>
      </x:c>
      <x:c r="L728" s="11" t="n">
        <x:f>SUM(SalesLines!S1785,SalesLines!S1786,SalesLines!S1787,SalesLines!S1788)</x:f>
        <x:v>0</x:v>
      </x:c>
      <x:c r="M728" s="8" t="n">
        <x:f>DATE(YEAR(C728),MONTH(C728),1)</x:f>
        <x:v>45992</x:v>
      </x:c>
    </x:row>
    <x:row r="729" ht="22" customHeight="1">
      <x:c r="A729" s="2" t="str">
        <x:v>O00725</x:v>
      </x:c>
      <x:c r="B729" s="2" t="str">
        <x:v>C0036</x:v>
      </x:c>
      <x:c r="C729" s="7" t="n">
        <x:v>45991</x:v>
      </x:c>
      <x:c r="D729" s="2" t="str">
        <x:v>Completed</x:v>
      </x:c>
      <x:c r="E729" s="2" t="str">
        <x:v>West</x:v>
      </x:c>
      <x:c r="F729" s="2" t="str">
        <x:v>Store</x:v>
      </x:c>
      <x:c r="G729" s="9" t="n">
        <x:f>SUM(SalesLines!Q1789)</x:f>
        <x:v>169.2</x:v>
      </x:c>
      <x:c r="H729" s="9" t="n">
        <x:f>SUM(SalesLines!M1789)</x:f>
        <x:v>188</x:v>
      </x:c>
      <x:c r="I729" s="9" t="n">
        <x:f>SUM(SalesLines!N1789)</x:f>
        <x:v>18.8</x:v>
      </x:c>
      <x:c r="J729" s="9" t="n">
        <x:f>SUM(SalesLines!P1789)</x:f>
        <x:v>0</x:v>
      </x:c>
      <x:c r="K729" s="11" t="n">
        <x:f>SUM(SalesLines!R1789)</x:f>
        <x:v>1</x:v>
      </x:c>
      <x:c r="L729" s="11" t="n">
        <x:f>SUM(SalesLines!S1789)</x:f>
        <x:v>0</x:v>
      </x:c>
      <x:c r="M729" s="8" t="n">
        <x:f>DATE(YEAR(C729),MONTH(C729),1)</x:f>
        <x:v>45962</x:v>
      </x:c>
    </x:row>
    <x:row r="730" ht="22" customHeight="1">
      <x:c r="A730" s="2" t="str">
        <x:v>O00726</x:v>
      </x:c>
      <x:c r="B730" s="2" t="str">
        <x:v>C0010</x:v>
      </x:c>
      <x:c r="C730" s="7" t="n">
        <x:v>45708</x:v>
      </x:c>
      <x:c r="D730" s="2" t="str">
        <x:v>Completed</x:v>
      </x:c>
      <x:c r="E730" s="2" t="str">
        <x:v>West</x:v>
      </x:c>
      <x:c r="F730" s="2" t="str">
        <x:v>Store</x:v>
      </x:c>
      <x:c r="G730" s="9" t="n">
        <x:f>SUM(SalesLines!Q1790,SalesLines!Q1791)</x:f>
        <x:v>341.55</x:v>
      </x:c>
      <x:c r="H730" s="9" t="n">
        <x:f>SUM(SalesLines!M1790,SalesLines!M1791)</x:f>
        <x:v>375</x:v>
      </x:c>
      <x:c r="I730" s="9" t="n">
        <x:f>SUM(SalesLines!N1790,SalesLines!N1791)</x:f>
        <x:v>33.45</x:v>
      </x:c>
      <x:c r="J730" s="9" t="n">
        <x:f>SUM(SalesLines!P1790,SalesLines!P1791)</x:f>
        <x:v>0</x:v>
      </x:c>
      <x:c r="K730" s="11" t="n">
        <x:f>SUM(SalesLines!R1790,SalesLines!R1791)</x:f>
        <x:v>2</x:v>
      </x:c>
      <x:c r="L730" s="11" t="n">
        <x:f>SUM(SalesLines!S1790,SalesLines!S1791)</x:f>
        <x:v>0</x:v>
      </x:c>
      <x:c r="M730" s="8" t="n">
        <x:f>DATE(YEAR(C730),MONTH(C730),1)</x:f>
        <x:v>45689</x:v>
      </x:c>
    </x:row>
    <x:row r="731" ht="22" customHeight="1">
      <x:c r="A731" s="2" t="str">
        <x:v>O00727</x:v>
      </x:c>
      <x:c r="B731" s="2" t="str">
        <x:v>C0264</x:v>
      </x:c>
      <x:c r="C731" s="7" t="n">
        <x:v>45812</x:v>
      </x:c>
      <x:c r="D731" s="2" t="str">
        <x:v>Completed</x:v>
      </x:c>
      <x:c r="E731" s="2" t="str">
        <x:v>South</x:v>
      </x:c>
      <x:c r="F731" s="2" t="str">
        <x:v>Store</x:v>
      </x:c>
      <x:c r="G731" s="9" t="n">
        <x:f>SUM(SalesLines!Q1792)</x:f>
        <x:v>72</x:v>
      </x:c>
      <x:c r="H731" s="9" t="n">
        <x:f>SUM(SalesLines!M1792)</x:f>
        <x:v>80</x:v>
      </x:c>
      <x:c r="I731" s="9" t="n">
        <x:f>SUM(SalesLines!N1792)</x:f>
        <x:v>8</x:v>
      </x:c>
      <x:c r="J731" s="9" t="n">
        <x:f>SUM(SalesLines!P1792)</x:f>
        <x:v>0</x:v>
      </x:c>
      <x:c r="K731" s="11" t="n">
        <x:f>SUM(SalesLines!R1792)</x:f>
        <x:v>1</x:v>
      </x:c>
      <x:c r="L731" s="11" t="n">
        <x:f>SUM(SalesLines!S1792)</x:f>
        <x:v>0</x:v>
      </x:c>
      <x:c r="M731" s="8" t="n">
        <x:f>DATE(YEAR(C731),MONTH(C731),1)</x:f>
        <x:v>45809</x:v>
      </x:c>
    </x:row>
    <x:row r="732" ht="22" customHeight="1">
      <x:c r="A732" s="2" t="str">
        <x:v>O00728</x:v>
      </x:c>
      <x:c r="B732" s="2" t="str">
        <x:v>C0069</x:v>
      </x:c>
      <x:c r="C732" s="7" t="n">
        <x:v>45783</x:v>
      </x:c>
      <x:c r="D732" s="2" t="str">
        <x:v>Completed</x:v>
      </x:c>
      <x:c r="E732" s="2" t="str">
        <x:v>South</x:v>
      </x:c>
      <x:c r="F732" s="2" t="str">
        <x:v>Store</x:v>
      </x:c>
      <x:c r="G732" s="9" t="n">
        <x:f>SUM(SalesLines!Q1793,SalesLines!Q1794,SalesLines!Q1795)</x:f>
        <x:v>2018.4</x:v>
      </x:c>
      <x:c r="H732" s="9" t="n">
        <x:f>SUM(SalesLines!M1793,SalesLines!M1794,SalesLines!M1795)</x:f>
        <x:v>2202</x:v>
      </x:c>
      <x:c r="I732" s="9" t="n">
        <x:f>SUM(SalesLines!N1793,SalesLines!N1794,SalesLines!N1795)</x:f>
        <x:v>183.6</x:v>
      </x:c>
      <x:c r="J732" s="9" t="n">
        <x:f>SUM(SalesLines!P1793,SalesLines!P1794,SalesLines!P1795)</x:f>
        <x:v>0</x:v>
      </x:c>
      <x:c r="K732" s="11" t="n">
        <x:f>SUM(SalesLines!R1793,SalesLines!R1794,SalesLines!R1795)</x:f>
        <x:v>12</x:v>
      </x:c>
      <x:c r="L732" s="11" t="n">
        <x:f>SUM(SalesLines!S1793,SalesLines!S1794,SalesLines!S1795)</x:f>
        <x:v>0</x:v>
      </x:c>
      <x:c r="M732" s="8" t="n">
        <x:f>DATE(YEAR(C732),MONTH(C732),1)</x:f>
        <x:v>45778</x:v>
      </x:c>
    </x:row>
    <x:row r="733" ht="22" customHeight="1">
      <x:c r="A733" s="2" t="str">
        <x:v>O00729</x:v>
      </x:c>
      <x:c r="B733" s="2" t="str">
        <x:v>C0294</x:v>
      </x:c>
      <x:c r="C733" s="7" t="n">
        <x:v>45908</x:v>
      </x:c>
      <x:c r="D733" s="2" t="str">
        <x:v>Completed</x:v>
      </x:c>
      <x:c r="E733" s="2" t="str">
        <x:v>South</x:v>
      </x:c>
      <x:c r="F733" s="2" t="str">
        <x:v>Store</x:v>
      </x:c>
      <x:c r="G733" s="9" t="n">
        <x:f>SUM(SalesLines!Q1796)</x:f>
        <x:v>222.3</x:v>
      </x:c>
      <x:c r="H733" s="9" t="n">
        <x:f>SUM(SalesLines!M1796)</x:f>
        <x:v>234</x:v>
      </x:c>
      <x:c r="I733" s="9" t="n">
        <x:f>SUM(SalesLines!N1796)</x:f>
        <x:v>11.700000000000001</x:v>
      </x:c>
      <x:c r="J733" s="9" t="n">
        <x:f>SUM(SalesLines!P1796)</x:f>
        <x:v>0</x:v>
      </x:c>
      <x:c r="K733" s="11" t="n">
        <x:f>SUM(SalesLines!R1796)</x:f>
        <x:v>3</x:v>
      </x:c>
      <x:c r="L733" s="11" t="n">
        <x:f>SUM(SalesLines!S1796)</x:f>
        <x:v>0</x:v>
      </x:c>
      <x:c r="M733" s="8" t="n">
        <x:f>DATE(YEAR(C733),MONTH(C733),1)</x:f>
        <x:v>45901</x:v>
      </x:c>
    </x:row>
    <x:row r="734" ht="22" customHeight="1">
      <x:c r="A734" s="2" t="str">
        <x:v>O00730</x:v>
      </x:c>
      <x:c r="B734" s="2" t="str">
        <x:v>C0278</x:v>
      </x:c>
      <x:c r="C734" s="7" t="n">
        <x:v>45674</x:v>
      </x:c>
      <x:c r="D734" s="2" t="str">
        <x:v>Completed</x:v>
      </x:c>
      <x:c r="E734" s="2" t="str">
        <x:v>North</x:v>
      </x:c>
      <x:c r="F734" s="2" t="str">
        <x:v>Store</x:v>
      </x:c>
      <x:c r="G734" s="9" t="n">
        <x:f>SUM(SalesLines!Q1797,SalesLines!Q1798,SalesLines!Q1799,SalesLines!Q1800)</x:f>
        <x:v>2260.6000000000004</x:v>
      </x:c>
      <x:c r="H734" s="9" t="n">
        <x:f>SUM(SalesLines!M1797,SalesLines!M1798,SalesLines!M1799,SalesLines!M1800)</x:f>
        <x:v>3183</x:v>
      </x:c>
      <x:c r="I734" s="9" t="n">
        <x:f>SUM(SalesLines!N1797,SalesLines!N1798,SalesLines!N1799,SalesLines!N1800)</x:f>
        <x:v>350</x:v>
      </x:c>
      <x:c r="J734" s="9" t="n">
        <x:f>SUM(SalesLines!P1797,SalesLines!P1798,SalesLines!P1799,SalesLines!P1800)</x:f>
        <x:v>572.4</x:v>
      </x:c>
      <x:c r="K734" s="11" t="n">
        <x:f>SUM(SalesLines!R1797,SalesLines!R1798,SalesLines!R1799,SalesLines!R1800)</x:f>
        <x:v>15</x:v>
      </x:c>
      <x:c r="L734" s="11" t="n">
        <x:f>SUM(SalesLines!S1797,SalesLines!S1798,SalesLines!S1799,SalesLines!S1800)</x:f>
        <x:v>3</x:v>
      </x:c>
      <x:c r="M734" s="8" t="n">
        <x:f>DATE(YEAR(C734),MONTH(C734),1)</x:f>
        <x:v>45658</x:v>
      </x:c>
    </x:row>
    <x:row r="735" ht="22" customHeight="1">
      <x:c r="A735" s="2" t="str">
        <x:v>O00731</x:v>
      </x:c>
      <x:c r="B735" s="2" t="str">
        <x:v>C0062</x:v>
      </x:c>
      <x:c r="C735" s="7" t="n">
        <x:v>45859</x:v>
      </x:c>
      <x:c r="D735" s="2" t="str">
        <x:v>Completed</x:v>
      </x:c>
      <x:c r="E735" s="2" t="str">
        <x:v>West</x:v>
      </x:c>
      <x:c r="F735" s="2" t="str">
        <x:v>Store</x:v>
      </x:c>
      <x:c r="G735" s="9" t="n">
        <x:f>SUM(SalesLines!Q1801,SalesLines!Q1802)</x:f>
        <x:v>243.4</x:v>
      </x:c>
      <x:c r="H735" s="9" t="n">
        <x:f>SUM(SalesLines!M1801,SalesLines!M1802)</x:f>
        <x:v>281</x:v>
      </x:c>
      <x:c r="I735" s="9" t="n">
        <x:f>SUM(SalesLines!N1801,SalesLines!N1802)</x:f>
        <x:v>37.6</x:v>
      </x:c>
      <x:c r="J735" s="9" t="n">
        <x:f>SUM(SalesLines!P1801,SalesLines!P1802)</x:f>
        <x:v>0</x:v>
      </x:c>
      <x:c r="K735" s="11" t="n">
        <x:f>SUM(SalesLines!R1801,SalesLines!R1802)</x:f>
        <x:v>2</x:v>
      </x:c>
      <x:c r="L735" s="11" t="n">
        <x:f>SUM(SalesLines!S1801,SalesLines!S1802)</x:f>
        <x:v>0</x:v>
      </x:c>
      <x:c r="M735" s="8" t="n">
        <x:f>DATE(YEAR(C735),MONTH(C735),1)</x:f>
        <x:v>45839</x:v>
      </x:c>
    </x:row>
    <x:row r="736" ht="22" customHeight="1">
      <x:c r="A736" s="2" t="str">
        <x:v>O00732</x:v>
      </x:c>
      <x:c r="B736" s="2" t="str">
        <x:v>C0280</x:v>
      </x:c>
      <x:c r="C736" s="7" t="n">
        <x:v>45931</x:v>
      </x:c>
      <x:c r="D736" s="2" t="str">
        <x:v>Completed</x:v>
      </x:c>
      <x:c r="E736" s="2" t="str">
        <x:v>North</x:v>
      </x:c>
      <x:c r="F736" s="2" t="str">
        <x:v>Store</x:v>
      </x:c>
      <x:c r="G736" s="9" t="n">
        <x:f>SUM(SalesLines!Q1803,SalesLines!Q1804,SalesLines!Q1805)</x:f>
        <x:v>1475.6000000000001</x:v>
      </x:c>
      <x:c r="H736" s="9" t="n">
        <x:f>SUM(SalesLines!M1803,SalesLines!M1804,SalesLines!M1805)</x:f>
        <x:v>1771</x:v>
      </x:c>
      <x:c r="I736" s="9" t="n">
        <x:f>SUM(SalesLines!N1803,SalesLines!N1804,SalesLines!N1805)</x:f>
        <x:v>295.40000000000003</x:v>
      </x:c>
      <x:c r="J736" s="9" t="n">
        <x:f>SUM(SalesLines!P1803,SalesLines!P1804,SalesLines!P1805)</x:f>
        <x:v>0</x:v>
      </x:c>
      <x:c r="K736" s="11" t="n">
        <x:f>SUM(SalesLines!R1803,SalesLines!R1804,SalesLines!R1805)</x:f>
        <x:v>9</x:v>
      </x:c>
      <x:c r="L736" s="11" t="n">
        <x:f>SUM(SalesLines!S1803,SalesLines!S1804,SalesLines!S1805)</x:f>
        <x:v>0</x:v>
      </x:c>
      <x:c r="M736" s="8" t="n">
        <x:f>DATE(YEAR(C736),MONTH(C736),1)</x:f>
        <x:v>45931</x:v>
      </x:c>
    </x:row>
    <x:row r="737" ht="22" customHeight="1">
      <x:c r="A737" s="2" t="str">
        <x:v>O00733</x:v>
      </x:c>
      <x:c r="B737" s="2" t="str">
        <x:v>C0188</x:v>
      </x:c>
      <x:c r="C737" s="7" t="n">
        <x:v>45947</x:v>
      </x:c>
      <x:c r="D737" s="2" t="str">
        <x:v>Completed</x:v>
      </x:c>
      <x:c r="E737" s="2" t="str">
        <x:v>South</x:v>
      </x:c>
      <x:c r="F737" s="2" t="str">
        <x:v>Store</x:v>
      </x:c>
      <x:c r="G737" s="9" t="n">
        <x:f>SUM(SalesLines!Q1806,SalesLines!Q1807,SalesLines!Q1808,SalesLines!Q1809)</x:f>
        <x:v>2115.2</x:v>
      </x:c>
      <x:c r="H737" s="9" t="n">
        <x:f>SUM(SalesLines!M1806,SalesLines!M1807,SalesLines!M1808,SalesLines!M1809)</x:f>
        <x:v>2122</x:v>
      </x:c>
      <x:c r="I737" s="9" t="n">
        <x:f>SUM(SalesLines!N1806,SalesLines!N1807,SalesLines!N1808,SalesLines!N1809)</x:f>
        <x:v>6.800000000000001</x:v>
      </x:c>
      <x:c r="J737" s="9" t="n">
        <x:f>SUM(SalesLines!P1806,SalesLines!P1807,SalesLines!P1808,SalesLines!P1809)</x:f>
        <x:v>0</x:v>
      </x:c>
      <x:c r="K737" s="11" t="n">
        <x:f>SUM(SalesLines!R1806,SalesLines!R1807,SalesLines!R1808,SalesLines!R1809)</x:f>
        <x:v>14</x:v>
      </x:c>
      <x:c r="L737" s="11" t="n">
        <x:f>SUM(SalesLines!S1806,SalesLines!S1807,SalesLines!S1808,SalesLines!S1809)</x:f>
        <x:v>0</x:v>
      </x:c>
      <x:c r="M737" s="8" t="n">
        <x:f>DATE(YEAR(C737),MONTH(C737),1)</x:f>
        <x:v>45931</x:v>
      </x:c>
    </x:row>
    <x:row r="738" ht="22" customHeight="1">
      <x:c r="A738" s="2" t="str">
        <x:v>O00734</x:v>
      </x:c>
      <x:c r="B738" s="2" t="str">
        <x:v>C0040</x:v>
      </x:c>
      <x:c r="C738" s="7" t="n">
        <x:v>45932</x:v>
      </x:c>
      <x:c r="D738" s="2" t="str">
        <x:v>Completed</x:v>
      </x:c>
      <x:c r="E738" s="2" t="str">
        <x:v>North</x:v>
      </x:c>
      <x:c r="F738" s="2" t="str">
        <x:v>Online</x:v>
      </x:c>
      <x:c r="G738" s="9" t="n">
        <x:f>SUM(SalesLines!Q1810,SalesLines!Q1811,SalesLines!Q1812,SalesLines!Q1813)</x:f>
        <x:v>1869.3</x:v>
      </x:c>
      <x:c r="H738" s="9" t="n">
        <x:f>SUM(SalesLines!M1810,SalesLines!M1811,SalesLines!M1812,SalesLines!M1813)</x:f>
        <x:v>2308</x:v>
      </x:c>
      <x:c r="I738" s="9" t="n">
        <x:f>SUM(SalesLines!N1810,SalesLines!N1811,SalesLines!N1812,SalesLines!N1813)</x:f>
        <x:v>230.8</x:v>
      </x:c>
      <x:c r="J738" s="9" t="n">
        <x:f>SUM(SalesLines!P1810,SalesLines!P1811,SalesLines!P1812,SalesLines!P1813)</x:f>
        <x:v>207.9</x:v>
      </x:c>
      <x:c r="K738" s="11" t="n">
        <x:f>SUM(SalesLines!R1810,SalesLines!R1811,SalesLines!R1812,SalesLines!R1813)</x:f>
        <x:v>9</x:v>
      </x:c>
      <x:c r="L738" s="11" t="n">
        <x:f>SUM(SalesLines!S1810,SalesLines!S1811,SalesLines!S1812,SalesLines!S1813)</x:f>
        <x:v>1</x:v>
      </x:c>
      <x:c r="M738" s="8" t="n">
        <x:f>DATE(YEAR(C738),MONTH(C738),1)</x:f>
        <x:v>45931</x:v>
      </x:c>
    </x:row>
    <x:row r="739" ht="22" customHeight="1">
      <x:c r="A739" s="2" t="str">
        <x:v>O00735</x:v>
      </x:c>
      <x:c r="B739" s="2" t="str">
        <x:v>C0123</x:v>
      </x:c>
      <x:c r="C739" s="7" t="n">
        <x:v>45676</x:v>
      </x:c>
      <x:c r="D739" s="2" t="str">
        <x:v>Completed</x:v>
      </x:c>
      <x:c r="E739" s="2" t="str">
        <x:v>East</x:v>
      </x:c>
      <x:c r="F739" s="2" t="str">
        <x:v>Online</x:v>
      </x:c>
      <x:c r="G739" s="9" t="n">
        <x:f>SUM(SalesLines!Q1814,SalesLines!Q1815,SalesLines!Q1816)</x:f>
        <x:v>1681.9</x:v>
      </x:c>
      <x:c r="H739" s="9" t="n">
        <x:f>SUM(SalesLines!M1814,SalesLines!M1815,SalesLines!M1816)</x:f>
        <x:v>1861</x:v>
      </x:c>
      <x:c r="I739" s="9" t="n">
        <x:f>SUM(SalesLines!N1814,SalesLines!N1815,SalesLines!N1816)</x:f>
        <x:v>179.1</x:v>
      </x:c>
      <x:c r="J739" s="9" t="n">
        <x:f>SUM(SalesLines!P1814,SalesLines!P1815,SalesLines!P1816)</x:f>
        <x:v>0</x:v>
      </x:c>
      <x:c r="K739" s="11" t="n">
        <x:f>SUM(SalesLines!R1814,SalesLines!R1815,SalesLines!R1816)</x:f>
        <x:v>11</x:v>
      </x:c>
      <x:c r="L739" s="11" t="n">
        <x:f>SUM(SalesLines!S1814,SalesLines!S1815,SalesLines!S1816)</x:f>
        <x:v>0</x:v>
      </x:c>
      <x:c r="M739" s="8" t="n">
        <x:f>DATE(YEAR(C739),MONTH(C739),1)</x:f>
        <x:v>45658</x:v>
      </x:c>
    </x:row>
    <x:row r="740" ht="22" customHeight="1">
      <x:c r="A740" s="2" t="str">
        <x:v>O00736</x:v>
      </x:c>
      <x:c r="B740" s="2" t="str">
        <x:v>C0039</x:v>
      </x:c>
      <x:c r="C740" s="7" t="n">
        <x:v>45827</x:v>
      </x:c>
      <x:c r="D740" s="2" t="str">
        <x:v>Completed</x:v>
      </x:c>
      <x:c r="E740" s="2" t="str">
        <x:v>North</x:v>
      </x:c>
      <x:c r="F740" s="2" t="str">
        <x:v>Store</x:v>
      </x:c>
      <x:c r="G740" s="9" t="n">
        <x:f>SUM(SalesLines!Q1817,SalesLines!Q1818,SalesLines!Q1819)</x:f>
        <x:v>1303.2</x:v>
      </x:c>
      <x:c r="H740" s="9" t="n">
        <x:f>SUM(SalesLines!M1817,SalesLines!M1818,SalesLines!M1819)</x:f>
        <x:v>1566</x:v>
      </x:c>
      <x:c r="I740" s="9" t="n">
        <x:f>SUM(SalesLines!N1817,SalesLines!N1818,SalesLines!N1819)</x:f>
        <x:v>227.8</x:v>
      </x:c>
      <x:c r="J740" s="9" t="n">
        <x:f>SUM(SalesLines!P1817,SalesLines!P1818,SalesLines!P1819)</x:f>
        <x:v>35</x:v>
      </x:c>
      <x:c r="K740" s="11" t="n">
        <x:f>SUM(SalesLines!R1817,SalesLines!R1818,SalesLines!R1819)</x:f>
        <x:v>8</x:v>
      </x:c>
      <x:c r="L740" s="11" t="n">
        <x:f>SUM(SalesLines!S1817,SalesLines!S1818,SalesLines!S1819)</x:f>
        <x:v>1</x:v>
      </x:c>
      <x:c r="M740" s="8" t="n">
        <x:f>DATE(YEAR(C740),MONTH(C740),1)</x:f>
        <x:v>45809</x:v>
      </x:c>
    </x:row>
    <x:row r="741" ht="22" customHeight="1">
      <x:c r="A741" s="2" t="str">
        <x:v>O00737</x:v>
      </x:c>
      <x:c r="B741" s="2" t="str">
        <x:v>C0161</x:v>
      </x:c>
      <x:c r="C741" s="7" t="n">
        <x:v>45950</x:v>
      </x:c>
      <x:c r="D741" s="2" t="str">
        <x:v>Completed</x:v>
      </x:c>
      <x:c r="E741" s="2" t="str">
        <x:v>West</x:v>
      </x:c>
      <x:c r="F741" s="2" t="str">
        <x:v>Store</x:v>
      </x:c>
      <x:c r="G741" s="9" t="n">
        <x:f>SUM(SalesLines!Q1820,SalesLines!Q1821,SalesLines!Q1822,SalesLines!Q1823)</x:f>
        <x:v>1213.8</x:v>
      </x:c>
      <x:c r="H741" s="9" t="n">
        <x:f>SUM(SalesLines!M1820,SalesLines!M1821,SalesLines!M1822,SalesLines!M1823)</x:f>
        <x:v>1248</x:v>
      </x:c>
      <x:c r="I741" s="9" t="n">
        <x:f>SUM(SalesLines!N1820,SalesLines!N1821,SalesLines!N1822,SalesLines!N1823)</x:f>
        <x:v>34.2</x:v>
      </x:c>
      <x:c r="J741" s="9" t="n">
        <x:f>SUM(SalesLines!P1820,SalesLines!P1821,SalesLines!P1822,SalesLines!P1823)</x:f>
        <x:v>0</x:v>
      </x:c>
      <x:c r="K741" s="11" t="n">
        <x:f>SUM(SalesLines!R1820,SalesLines!R1821,SalesLines!R1822,SalesLines!R1823)</x:f>
        <x:v>10</x:v>
      </x:c>
      <x:c r="L741" s="11" t="n">
        <x:f>SUM(SalesLines!S1820,SalesLines!S1821,SalesLines!S1822,SalesLines!S1823)</x:f>
        <x:v>0</x:v>
      </x:c>
      <x:c r="M741" s="8" t="n">
        <x:f>DATE(YEAR(C741),MONTH(C741),1)</x:f>
        <x:v>45931</x:v>
      </x:c>
    </x:row>
    <x:row r="742" ht="22" customHeight="1">
      <x:c r="A742" s="2" t="str">
        <x:v>O00738</x:v>
      </x:c>
      <x:c r="B742" s="2" t="str">
        <x:v>C0204</x:v>
      </x:c>
      <x:c r="C742" s="7" t="n">
        <x:v>45944</x:v>
      </x:c>
      <x:c r="D742" s="2" t="str">
        <x:v>Completed</x:v>
      </x:c>
      <x:c r="E742" s="2" t="str">
        <x:v>South</x:v>
      </x:c>
      <x:c r="F742" s="2" t="str">
        <x:v>Store</x:v>
      </x:c>
      <x:c r="G742" s="9" t="n">
        <x:f>SUM(SalesLines!Q1824)</x:f>
        <x:v>97.59999999999997</x:v>
      </x:c>
      <x:c r="H742" s="9" t="n">
        <x:f>SUM(SalesLines!M1824)</x:f>
        <x:v>610</x:v>
      </x:c>
      <x:c r="I742" s="9" t="n">
        <x:f>SUM(SalesLines!N1824)</x:f>
        <x:v>122</x:v>
      </x:c>
      <x:c r="J742" s="9" t="n">
        <x:f>SUM(SalesLines!P1824)</x:f>
        <x:v>390.40000000000003</x:v>
      </x:c>
      <x:c r="K742" s="11" t="n">
        <x:f>SUM(SalesLines!R1824)</x:f>
        <x:v>5</x:v>
      </x:c>
      <x:c r="L742" s="11" t="n">
        <x:f>SUM(SalesLines!S1824)</x:f>
        <x:v>4</x:v>
      </x:c>
      <x:c r="M742" s="8" t="n">
        <x:f>DATE(YEAR(C742),MONTH(C742),1)</x:f>
        <x:v>45931</x:v>
      </x:c>
    </x:row>
    <x:row r="743" ht="22" customHeight="1">
      <x:c r="A743" s="2" t="str">
        <x:v>O00739</x:v>
      </x:c>
      <x:c r="B743" s="2" t="str">
        <x:v>C0153</x:v>
      </x:c>
      <x:c r="C743" s="7" t="n">
        <x:v>45880</x:v>
      </x:c>
      <x:c r="D743" s="2" t="str">
        <x:v>Completed</x:v>
      </x:c>
      <x:c r="E743" s="2" t="str">
        <x:v>East</x:v>
      </x:c>
      <x:c r="F743" s="2" t="str">
        <x:v>Online</x:v>
      </x:c>
      <x:c r="G743" s="9" t="n">
        <x:f>SUM(SalesLines!Q1825)</x:f>
        <x:v>379.8</x:v>
      </x:c>
      <x:c r="H743" s="9" t="n">
        <x:f>SUM(SalesLines!M1825)</x:f>
        <x:v>422</x:v>
      </x:c>
      <x:c r="I743" s="9" t="n">
        <x:f>SUM(SalesLines!N1825)</x:f>
        <x:v>42.2</x:v>
      </x:c>
      <x:c r="J743" s="9" t="n">
        <x:f>SUM(SalesLines!P1825)</x:f>
        <x:v>0</x:v>
      </x:c>
      <x:c r="K743" s="11" t="n">
        <x:f>SUM(SalesLines!R1825)</x:f>
        <x:v>2</x:v>
      </x:c>
      <x:c r="L743" s="11" t="n">
        <x:f>SUM(SalesLines!S1825)</x:f>
        <x:v>0</x:v>
      </x:c>
      <x:c r="M743" s="8" t="n">
        <x:f>DATE(YEAR(C743),MONTH(C743),1)</x:f>
        <x:v>45870</x:v>
      </x:c>
    </x:row>
    <x:row r="744" ht="22" customHeight="1">
      <x:c r="A744" s="2" t="str">
        <x:v>O00740</x:v>
      </x:c>
      <x:c r="B744" s="2" t="str">
        <x:v>C0174</x:v>
      </x:c>
      <x:c r="C744" s="7" t="n">
        <x:v>45798</x:v>
      </x:c>
      <x:c r="D744" s="2" t="str">
        <x:v>Completed</x:v>
      </x:c>
      <x:c r="E744" s="2" t="str">
        <x:v>South</x:v>
      </x:c>
      <x:c r="F744" s="2" t="str">
        <x:v>Online</x:v>
      </x:c>
      <x:c r="G744" s="9" t="n">
        <x:f>SUM(SalesLines!Q1826,SalesLines!Q1827)</x:f>
        <x:v>1246.6</x:v>
      </x:c>
      <x:c r="H744" s="9" t="n">
        <x:f>SUM(SalesLines!M1826,SalesLines!M1827)</x:f>
        <x:v>1355</x:v>
      </x:c>
      <x:c r="I744" s="9" t="n">
        <x:f>SUM(SalesLines!N1826,SalesLines!N1827)</x:f>
        <x:v>108.4</x:v>
      </x:c>
      <x:c r="J744" s="9" t="n">
        <x:f>SUM(SalesLines!P1826,SalesLines!P1827)</x:f>
        <x:v>0</x:v>
      </x:c>
      <x:c r="K744" s="11" t="n">
        <x:f>SUM(SalesLines!R1826,SalesLines!R1827)</x:f>
        <x:v>5</x:v>
      </x:c>
      <x:c r="L744" s="11" t="n">
        <x:f>SUM(SalesLines!S1826,SalesLines!S1827)</x:f>
        <x:v>0</x:v>
      </x:c>
      <x:c r="M744" s="8" t="n">
        <x:f>DATE(YEAR(C744),MONTH(C744),1)</x:f>
        <x:v>45778</x:v>
      </x:c>
    </x:row>
    <x:row r="745" ht="22" customHeight="1">
      <x:c r="A745" s="2" t="str">
        <x:v>O00741</x:v>
      </x:c>
      <x:c r="B745" s="2" t="str">
        <x:v>C0108</x:v>
      </x:c>
      <x:c r="C745" s="7" t="n">
        <x:v>45950</x:v>
      </x:c>
      <x:c r="D745" s="2" t="str">
        <x:v>Completed</x:v>
      </x:c>
      <x:c r="E745" s="2" t="str">
        <x:v>East</x:v>
      </x:c>
      <x:c r="F745" s="2" t="str">
        <x:v>Online</x:v>
      </x:c>
      <x:c r="G745" s="9" t="n">
        <x:f>SUM(SalesLines!Q1828,SalesLines!Q1829,SalesLines!Q1830)</x:f>
        <x:v>628.05</x:v>
      </x:c>
      <x:c r="H745" s="9" t="n">
        <x:f>SUM(SalesLines!M1828,SalesLines!M1829,SalesLines!M1830)</x:f>
        <x:v>1229</x:v>
      </x:c>
      <x:c r="I745" s="9" t="n">
        <x:f>SUM(SalesLines!N1828,SalesLines!N1829,SalesLines!N1830)</x:f>
        <x:v>170.55</x:v>
      </x:c>
      <x:c r="J745" s="9" t="n">
        <x:f>SUM(SalesLines!P1828,SalesLines!P1829,SalesLines!P1830)</x:f>
        <x:v>430.40000000000003</x:v>
      </x:c>
      <x:c r="K745" s="11" t="n">
        <x:f>SUM(SalesLines!R1828,SalesLines!R1829,SalesLines!R1830)</x:f>
        <x:v>5</x:v>
      </x:c>
      <x:c r="L745" s="11" t="n">
        <x:f>SUM(SalesLines!S1828,SalesLines!S1829,SalesLines!S1830)</x:f>
        <x:v>2</x:v>
      </x:c>
      <x:c r="M745" s="8" t="n">
        <x:f>DATE(YEAR(C745),MONTH(C745),1)</x:f>
        <x:v>45931</x:v>
      </x:c>
    </x:row>
    <x:row r="746" ht="22" customHeight="1">
      <x:c r="A746" s="2" t="str">
        <x:v>O00742</x:v>
      </x:c>
      <x:c r="B746" s="2" t="str">
        <x:v>C0283</x:v>
      </x:c>
      <x:c r="C746" s="7" t="n">
        <x:v>45853</x:v>
      </x:c>
      <x:c r="D746" s="2" t="str">
        <x:v>Completed</x:v>
      </x:c>
      <x:c r="E746" s="2" t="str">
        <x:v>East</x:v>
      </x:c>
      <x:c r="F746" s="2" t="str">
        <x:v>Online</x:v>
      </x:c>
      <x:c r="G746" s="9" t="n">
        <x:f>SUM(SalesLines!Q1831)</x:f>
        <x:v>406.4</x:v>
      </x:c>
      <x:c r="H746" s="9" t="n">
        <x:f>SUM(SalesLines!M1831)</x:f>
        <x:v>508</x:v>
      </x:c>
      <x:c r="I746" s="9" t="n">
        <x:f>SUM(SalesLines!N1831)</x:f>
        <x:v>101.60000000000001</x:v>
      </x:c>
      <x:c r="J746" s="9" t="n">
        <x:f>SUM(SalesLines!P1831)</x:f>
        <x:v>0</x:v>
      </x:c>
      <x:c r="K746" s="11" t="n">
        <x:f>SUM(SalesLines!R1831)</x:f>
        <x:v>2</x:v>
      </x:c>
      <x:c r="L746" s="11" t="n">
        <x:f>SUM(SalesLines!S1831)</x:f>
        <x:v>0</x:v>
      </x:c>
      <x:c r="M746" s="8" t="n">
        <x:f>DATE(YEAR(C746),MONTH(C746),1)</x:f>
        <x:v>45839</x:v>
      </x:c>
    </x:row>
    <x:row r="747" ht="22" customHeight="1">
      <x:c r="A747" s="2" t="str">
        <x:v>O00743</x:v>
      </x:c>
      <x:c r="B747" s="2" t="str">
        <x:v>C0285</x:v>
      </x:c>
      <x:c r="C747" s="7" t="n">
        <x:v>45953</x:v>
      </x:c>
      <x:c r="D747" s="2" t="str">
        <x:v>Completed</x:v>
      </x:c>
      <x:c r="E747" s="2" t="str">
        <x:v>East</x:v>
      </x:c>
      <x:c r="F747" s="2" t="str">
        <x:v>Store</x:v>
      </x:c>
      <x:c r="G747" s="9" t="n">
        <x:f>SUM(SalesLines!Q1832,SalesLines!Q1833,SalesLines!Q1834)</x:f>
        <x:v>124.8</x:v>
      </x:c>
      <x:c r="H747" s="9" t="n">
        <x:f>SUM(SalesLines!M1832,SalesLines!M1833,SalesLines!M1834)</x:f>
        <x:v>531</x:v>
      </x:c>
      <x:c r="I747" s="9" t="n">
        <x:f>SUM(SalesLines!N1832,SalesLines!N1833,SalesLines!N1834)</x:f>
        <x:v>47.400000000000006</x:v>
      </x:c>
      <x:c r="J747" s="9" t="n">
        <x:f>SUM(SalesLines!P1832,SalesLines!P1833,SalesLines!P1834)</x:f>
        <x:v>358.8</x:v>
      </x:c>
      <x:c r="K747" s="11" t="n">
        <x:f>SUM(SalesLines!R1832,SalesLines!R1833,SalesLines!R1834)</x:f>
        <x:v>4</x:v>
      </x:c>
      <x:c r="L747" s="11" t="n">
        <x:f>SUM(SalesLines!S1832,SalesLines!S1833,SalesLines!S1834)</x:f>
        <x:v>2</x:v>
      </x:c>
      <x:c r="M747" s="8" t="n">
        <x:f>DATE(YEAR(C747),MONTH(C747),1)</x:f>
        <x:v>45931</x:v>
      </x:c>
    </x:row>
    <x:row r="748" ht="22" customHeight="1">
      <x:c r="A748" s="2" t="str">
        <x:v>O00744</x:v>
      </x:c>
      <x:c r="B748" s="2" t="str">
        <x:v>C0138</x:v>
      </x:c>
      <x:c r="C748" s="7" t="n">
        <x:v>45884</x:v>
      </x:c>
      <x:c r="D748" s="2" t="str">
        <x:v>Completed</x:v>
      </x:c>
      <x:c r="E748" s="2" t="str">
        <x:v>South</x:v>
      </x:c>
      <x:c r="F748" s="2" t="str">
        <x:v>Store</x:v>
      </x:c>
      <x:c r="G748" s="9" t="n">
        <x:f>SUM(SalesLines!Q1835,SalesLines!Q1836,SalesLines!Q1837)</x:f>
        <x:v>785.5999999999999</x:v>
      </x:c>
      <x:c r="H748" s="9" t="n">
        <x:f>SUM(SalesLines!M1835,SalesLines!M1836,SalesLines!M1837)</x:f>
        <x:v>922</x:v>
      </x:c>
      <x:c r="I748" s="9" t="n">
        <x:f>SUM(SalesLines!N1835,SalesLines!N1836,SalesLines!N1837)</x:f>
        <x:v>136.4</x:v>
      </x:c>
      <x:c r="J748" s="9" t="n">
        <x:f>SUM(SalesLines!P1835,SalesLines!P1836,SalesLines!P1837)</x:f>
        <x:v>0</x:v>
      </x:c>
      <x:c r="K748" s="11" t="n">
        <x:f>SUM(SalesLines!R1835,SalesLines!R1836,SalesLines!R1837)</x:f>
        <x:v>6</x:v>
      </x:c>
      <x:c r="L748" s="11" t="n">
        <x:f>SUM(SalesLines!S1835,SalesLines!S1836,SalesLines!S1837)</x:f>
        <x:v>0</x:v>
      </x:c>
      <x:c r="M748" s="8" t="n">
        <x:f>DATE(YEAR(C748),MONTH(C748),1)</x:f>
        <x:v>45870</x:v>
      </x:c>
    </x:row>
    <x:row r="749" ht="22" customHeight="1">
      <x:c r="A749" s="2" t="str">
        <x:v>O00745</x:v>
      </x:c>
      <x:c r="B749" s="2" t="str">
        <x:v>C0079</x:v>
      </x:c>
      <x:c r="C749" s="7" t="n">
        <x:v>45864</x:v>
      </x:c>
      <x:c r="D749" s="2" t="str">
        <x:v>Completed</x:v>
      </x:c>
      <x:c r="E749" s="2" t="str">
        <x:v>West</x:v>
      </x:c>
      <x:c r="F749" s="2" t="str">
        <x:v>Online</x:v>
      </x:c>
      <x:c r="G749" s="9" t="n">
        <x:f>SUM(SalesLines!Q1838)</x:f>
        <x:v>351</x:v>
      </x:c>
      <x:c r="H749" s="9" t="n">
        <x:f>SUM(SalesLines!M1838)</x:f>
        <x:v>390</x:v>
      </x:c>
      <x:c r="I749" s="9" t="n">
        <x:f>SUM(SalesLines!N1838)</x:f>
        <x:v>39</x:v>
      </x:c>
      <x:c r="J749" s="9" t="n">
        <x:f>SUM(SalesLines!P1838)</x:f>
        <x:v>0</x:v>
      </x:c>
      <x:c r="K749" s="11" t="n">
        <x:f>SUM(SalesLines!R1838)</x:f>
        <x:v>5</x:v>
      </x:c>
      <x:c r="L749" s="11" t="n">
        <x:f>SUM(SalesLines!S1838)</x:f>
        <x:v>0</x:v>
      </x:c>
      <x:c r="M749" s="8" t="n">
        <x:f>DATE(YEAR(C749),MONTH(C749),1)</x:f>
        <x:v>45839</x:v>
      </x:c>
    </x:row>
    <x:row r="750" ht="22" customHeight="1">
      <x:c r="A750" s="2" t="str">
        <x:v>O00746</x:v>
      </x:c>
      <x:c r="B750" s="2" t="str">
        <x:v>C0216</x:v>
      </x:c>
      <x:c r="C750" s="7" t="n">
        <x:v>45869</x:v>
      </x:c>
      <x:c r="D750" s="2" t="str">
        <x:v>Completed</x:v>
      </x:c>
      <x:c r="E750" s="2" t="str">
        <x:v>North</x:v>
      </x:c>
      <x:c r="F750" s="2" t="str">
        <x:v>Store</x:v>
      </x:c>
      <x:c r="G750" s="9" t="n">
        <x:f>SUM(SalesLines!Q1839,SalesLines!Q1840)</x:f>
        <x:v>968.4</x:v>
      </x:c>
      <x:c r="H750" s="9" t="n">
        <x:f>SUM(SalesLines!M1839,SalesLines!M1840)</x:f>
        <x:v>1491</x:v>
      </x:c>
      <x:c r="I750" s="9" t="n">
        <x:f>SUM(SalesLines!N1839,SalesLines!N1840)</x:f>
        <x:v>24.6</x:v>
      </x:c>
      <x:c r="J750" s="9" t="n">
        <x:f>SUM(SalesLines!P1839,SalesLines!P1840)</x:f>
        <x:v>498</x:v>
      </x:c>
      <x:c r="K750" s="11" t="n">
        <x:f>SUM(SalesLines!R1839,SalesLines!R1840)</x:f>
        <x:v>7</x:v>
      </x:c>
      <x:c r="L750" s="11" t="n">
        <x:f>SUM(SalesLines!S1839,SalesLines!S1840)</x:f>
        <x:v>2</x:v>
      </x:c>
      <x:c r="M750" s="8" t="n">
        <x:f>DATE(YEAR(C750),MONTH(C750),1)</x:f>
        <x:v>45839</x:v>
      </x:c>
    </x:row>
    <x:row r="751" ht="22" customHeight="1">
      <x:c r="A751" s="2" t="str">
        <x:v>O00747</x:v>
      </x:c>
      <x:c r="B751" s="2" t="str">
        <x:v>C0128</x:v>
      </x:c>
      <x:c r="C751" s="7" t="n">
        <x:v>45860</x:v>
      </x:c>
      <x:c r="D751" s="2" t="str">
        <x:v>Completed</x:v>
      </x:c>
      <x:c r="E751" s="2" t="str">
        <x:v>West</x:v>
      </x:c>
      <x:c r="F751" s="2" t="str">
        <x:v>Online</x:v>
      </x:c>
      <x:c r="G751" s="9" t="n">
        <x:f>SUM(SalesLines!Q1841,SalesLines!Q1842,SalesLines!Q1843)</x:f>
        <x:v>2494.6</x:v>
      </x:c>
      <x:c r="H751" s="9" t="n">
        <x:f>SUM(SalesLines!M1841,SalesLines!M1842,SalesLines!M1843)</x:f>
        <x:v>2523</x:v>
      </x:c>
      <x:c r="I751" s="9" t="n">
        <x:f>SUM(SalesLines!N1841,SalesLines!N1842,SalesLines!N1843)</x:f>
        <x:v>28.400000000000002</x:v>
      </x:c>
      <x:c r="J751" s="9" t="n">
        <x:f>SUM(SalesLines!P1841,SalesLines!P1842,SalesLines!P1843)</x:f>
        <x:v>0</x:v>
      </x:c>
      <x:c r="K751" s="11" t="n">
        <x:f>SUM(SalesLines!R1841,SalesLines!R1842,SalesLines!R1843)</x:f>
        <x:v>10</x:v>
      </x:c>
      <x:c r="L751" s="11" t="n">
        <x:f>SUM(SalesLines!S1841,SalesLines!S1842,SalesLines!S1843)</x:f>
        <x:v>0</x:v>
      </x:c>
      <x:c r="M751" s="8" t="n">
        <x:f>DATE(YEAR(C751),MONTH(C751),1)</x:f>
        <x:v>45839</x:v>
      </x:c>
    </x:row>
    <x:row r="752" ht="22" customHeight="1">
      <x:c r="A752" s="2" t="str">
        <x:v>O00748</x:v>
      </x:c>
      <x:c r="B752" s="2" t="str">
        <x:v>C0254</x:v>
      </x:c>
      <x:c r="C752" s="7" t="n">
        <x:v>45731</x:v>
      </x:c>
      <x:c r="D752" s="2" t="str">
        <x:v>Cancelled</x:v>
      </x:c>
      <x:c r="E752" s="2" t="str">
        <x:v>East</x:v>
      </x:c>
      <x:c r="F752" s="2" t="str">
        <x:v>Online</x:v>
      </x:c>
      <x:c r="G752" s="9" t="n">
        <x:f>SUM(SalesLines!Q1844)</x:f>
        <x:v>0</x:v>
      </x:c>
      <x:c r="H752" s="9" t="n">
        <x:f>SUM(SalesLines!M1844)</x:f>
        <x:v>0</x:v>
      </x:c>
      <x:c r="I752" s="9" t="n">
        <x:f>SUM(SalesLines!N1844)</x:f>
        <x:v>0</x:v>
      </x:c>
      <x:c r="J752" s="9" t="n">
        <x:f>SUM(SalesLines!P1844)</x:f>
        <x:v>0</x:v>
      </x:c>
      <x:c r="K752" s="11" t="n">
        <x:f>SUM(SalesLines!R1844)</x:f>
        <x:v>0</x:v>
      </x:c>
      <x:c r="L752" s="11" t="n">
        <x:f>SUM(SalesLines!S1844)</x:f>
        <x:v>0</x:v>
      </x:c>
      <x:c r="M752" s="8" t="n">
        <x:f>DATE(YEAR(C752),MONTH(C752),1)</x:f>
        <x:v>45717</x:v>
      </x:c>
    </x:row>
    <x:row r="753" ht="22" customHeight="1">
      <x:c r="A753" s="2" t="str">
        <x:v>O00749</x:v>
      </x:c>
      <x:c r="B753" s="2" t="str">
        <x:v>C0285</x:v>
      </x:c>
      <x:c r="C753" s="7" t="n">
        <x:v>45882</x:v>
      </x:c>
      <x:c r="D753" s="2" t="str">
        <x:v>Completed</x:v>
      </x:c>
      <x:c r="E753" s="2" t="str">
        <x:v>East</x:v>
      </x:c>
      <x:c r="F753" s="2" t="str">
        <x:v>Store</x:v>
      </x:c>
      <x:c r="G753" s="9" t="n">
        <x:f>SUM(SalesLines!Q1845,SalesLines!Q1846)</x:f>
        <x:v>436</x:v>
      </x:c>
      <x:c r="H753" s="9" t="n">
        <x:f>SUM(SalesLines!M1845,SalesLines!M1846)</x:f>
        <x:v>545</x:v>
      </x:c>
      <x:c r="I753" s="9" t="n">
        <x:f>SUM(SalesLines!N1845,SalesLines!N1846)</x:f>
        <x:v>109</x:v>
      </x:c>
      <x:c r="J753" s="9" t="n">
        <x:f>SUM(SalesLines!P1845,SalesLines!P1846)</x:f>
        <x:v>0</x:v>
      </x:c>
      <x:c r="K753" s="11" t="n">
        <x:f>SUM(SalesLines!R1845,SalesLines!R1846)</x:f>
        <x:v>9</x:v>
      </x:c>
      <x:c r="L753" s="11" t="n">
        <x:f>SUM(SalesLines!S1845,SalesLines!S1846)</x:f>
        <x:v>0</x:v>
      </x:c>
      <x:c r="M753" s="8" t="n">
        <x:f>DATE(YEAR(C753),MONTH(C753),1)</x:f>
        <x:v>45870</x:v>
      </x:c>
    </x:row>
    <x:row r="754" ht="22" customHeight="1">
      <x:c r="A754" s="2" t="str">
        <x:v>O00750</x:v>
      </x:c>
      <x:c r="B754" s="2" t="str">
        <x:v>C0144</x:v>
      </x:c>
      <x:c r="C754" s="7" t="n">
        <x:v>45876</x:v>
      </x:c>
      <x:c r="D754" s="2" t="str">
        <x:v>Cancelled</x:v>
      </x:c>
      <x:c r="E754" s="2" t="str">
        <x:v>North</x:v>
      </x:c>
      <x:c r="F754" s="2" t="str">
        <x:v>Store</x:v>
      </x:c>
      <x:c r="G754" s="9" t="n">
        <x:f>SUM(SalesLines!Q1847)</x:f>
        <x:v>0</x:v>
      </x:c>
      <x:c r="H754" s="9" t="n">
        <x:f>SUM(SalesLines!M1847)</x:f>
        <x:v>0</x:v>
      </x:c>
      <x:c r="I754" s="9" t="n">
        <x:f>SUM(SalesLines!N1847)</x:f>
        <x:v>0</x:v>
      </x:c>
      <x:c r="J754" s="9" t="n">
        <x:f>SUM(SalesLines!P1847)</x:f>
        <x:v>0</x:v>
      </x:c>
      <x:c r="K754" s="11" t="n">
        <x:f>SUM(SalesLines!R1847)</x:f>
        <x:v>0</x:v>
      </x:c>
      <x:c r="L754" s="11" t="n">
        <x:f>SUM(SalesLines!S1847)</x:f>
        <x:v>0</x:v>
      </x:c>
      <x:c r="M754" s="8" t="n">
        <x:f>DATE(YEAR(C754),MONTH(C754),1)</x:f>
        <x:v>45870</x:v>
      </x:c>
    </x:row>
    <x:row r="755" ht="22" customHeight="1">
      <x:c r="A755" s="2" t="str">
        <x:v>O00751</x:v>
      </x:c>
      <x:c r="B755" s="2" t="str">
        <x:v>C0023</x:v>
      </x:c>
      <x:c r="C755" s="7" t="n">
        <x:v>45820</x:v>
      </x:c>
      <x:c r="D755" s="2" t="str">
        <x:v>Completed</x:v>
      </x:c>
      <x:c r="E755" s="2" t="str">
        <x:v>South</x:v>
      </x:c>
      <x:c r="F755" s="2" t="str">
        <x:v>Store</x:v>
      </x:c>
      <x:c r="G755" s="9" t="n">
        <x:f>SUM(SalesLines!Q1848,SalesLines!Q1849,SalesLines!Q1850,SalesLines!Q1851)</x:f>
        <x:v>1573.35</x:v>
      </x:c>
      <x:c r="H755" s="9" t="n">
        <x:f>SUM(SalesLines!M1848,SalesLines!M1849,SalesLines!M1850,SalesLines!M1851)</x:f>
        <x:v>1674</x:v>
      </x:c>
      <x:c r="I755" s="9" t="n">
        <x:f>SUM(SalesLines!N1848,SalesLines!N1849,SalesLines!N1850,SalesLines!N1851)</x:f>
        <x:v>100.65</x:v>
      </x:c>
      <x:c r="J755" s="9" t="n">
        <x:f>SUM(SalesLines!P1848,SalesLines!P1849,SalesLines!P1850,SalesLines!P1851)</x:f>
        <x:v>0</x:v>
      </x:c>
      <x:c r="K755" s="11" t="n">
        <x:f>SUM(SalesLines!R1848,SalesLines!R1849,SalesLines!R1850,SalesLines!R1851)</x:f>
        <x:v>12</x:v>
      </x:c>
      <x:c r="L755" s="11" t="n">
        <x:f>SUM(SalesLines!S1848,SalesLines!S1849,SalesLines!S1850,SalesLines!S1851)</x:f>
        <x:v>0</x:v>
      </x:c>
      <x:c r="M755" s="8" t="n">
        <x:f>DATE(YEAR(C755),MONTH(C755),1)</x:f>
        <x:v>45809</x:v>
      </x:c>
    </x:row>
    <x:row r="756" ht="22" customHeight="1">
      <x:c r="A756" s="2" t="str">
        <x:v>O00752</x:v>
      </x:c>
      <x:c r="B756" s="2" t="str">
        <x:v>C0300</x:v>
      </x:c>
      <x:c r="C756" s="7" t="n">
        <x:v>45850</x:v>
      </x:c>
      <x:c r="D756" s="2" t="str">
        <x:v>Completed</x:v>
      </x:c>
      <x:c r="E756" s="2" t="str">
        <x:v>West</x:v>
      </x:c>
      <x:c r="F756" s="2" t="str">
        <x:v>Online</x:v>
      </x:c>
      <x:c r="G756" s="9" t="n">
        <x:f>SUM(SalesLines!Q1852,SalesLines!Q1853,SalesLines!Q1854)</x:f>
        <x:v>554.35</x:v>
      </x:c>
      <x:c r="H756" s="9" t="n">
        <x:f>SUM(SalesLines!M1852,SalesLines!M1853,SalesLines!M1854)</x:f>
        <x:v>578</x:v>
      </x:c>
      <x:c r="I756" s="9" t="n">
        <x:f>SUM(SalesLines!N1852,SalesLines!N1853,SalesLines!N1854)</x:f>
        <x:v>23.650000000000002</x:v>
      </x:c>
      <x:c r="J756" s="9" t="n">
        <x:f>SUM(SalesLines!P1852,SalesLines!P1853,SalesLines!P1854)</x:f>
        <x:v>0</x:v>
      </x:c>
      <x:c r="K756" s="11" t="n">
        <x:f>SUM(SalesLines!R1852,SalesLines!R1853,SalesLines!R1854)</x:f>
        <x:v>5</x:v>
      </x:c>
      <x:c r="L756" s="11" t="n">
        <x:f>SUM(SalesLines!S1852,SalesLines!S1853,SalesLines!S1854)</x:f>
        <x:v>0</x:v>
      </x:c>
      <x:c r="M756" s="8" t="n">
        <x:f>DATE(YEAR(C756),MONTH(C756),1)</x:f>
        <x:v>45839</x:v>
      </x:c>
    </x:row>
    <x:row r="757" ht="22" customHeight="1">
      <x:c r="A757" s="2" t="str">
        <x:v>O00753</x:v>
      </x:c>
      <x:c r="B757" s="2" t="str">
        <x:v>C0268</x:v>
      </x:c>
      <x:c r="C757" s="7" t="n">
        <x:v>45710</x:v>
      </x:c>
      <x:c r="D757" s="2" t="str">
        <x:v>Completed</x:v>
      </x:c>
      <x:c r="E757" s="2" t="str">
        <x:v>North</x:v>
      </x:c>
      <x:c r="F757" s="2" t="str">
        <x:v>Store</x:v>
      </x:c>
      <x:c r="G757" s="9" t="n">
        <x:f>SUM(SalesLines!Q1855,SalesLines!Q1856,SalesLines!Q1857,SalesLines!Q1858)</x:f>
        <x:v>1857.6</x:v>
      </x:c>
      <x:c r="H757" s="9" t="n">
        <x:f>SUM(SalesLines!M1855,SalesLines!M1856,SalesLines!M1857,SalesLines!M1858)</x:f>
        <x:v>2069</x:v>
      </x:c>
      <x:c r="I757" s="9" t="n">
        <x:f>SUM(SalesLines!N1855,SalesLines!N1856,SalesLines!N1857,SalesLines!N1858)</x:f>
        <x:v>211.40000000000003</x:v>
      </x:c>
      <x:c r="J757" s="9" t="n">
        <x:f>SUM(SalesLines!P1855,SalesLines!P1856,SalesLines!P1857,SalesLines!P1858)</x:f>
        <x:v>0</x:v>
      </x:c>
      <x:c r="K757" s="11" t="n">
        <x:f>SUM(SalesLines!R1855,SalesLines!R1856,SalesLines!R1857,SalesLines!R1858)</x:f>
        <x:v>13</x:v>
      </x:c>
      <x:c r="L757" s="11" t="n">
        <x:f>SUM(SalesLines!S1855,SalesLines!S1856,SalesLines!S1857,SalesLines!S1858)</x:f>
        <x:v>0</x:v>
      </x:c>
      <x:c r="M757" s="8" t="n">
        <x:f>DATE(YEAR(C757),MONTH(C757),1)</x:f>
        <x:v>45689</x:v>
      </x:c>
    </x:row>
    <x:row r="758" ht="22" customHeight="1">
      <x:c r="A758" s="2" t="str">
        <x:v>O00754</x:v>
      </x:c>
      <x:c r="B758" s="2" t="str">
        <x:v>C0129</x:v>
      </x:c>
      <x:c r="C758" s="7" t="n">
        <x:v>45727</x:v>
      </x:c>
      <x:c r="D758" s="2" t="str">
        <x:v>Completed</x:v>
      </x:c>
      <x:c r="E758" s="2" t="str">
        <x:v>North</x:v>
      </x:c>
      <x:c r="F758" s="2" t="str">
        <x:v>Online</x:v>
      </x:c>
      <x:c r="G758" s="9" t="n">
        <x:f>SUM(SalesLines!Q1859,SalesLines!Q1860,SalesLines!Q1861,SalesLines!Q1862)</x:f>
        <x:v>2607.7</x:v>
      </x:c>
      <x:c r="H758" s="9" t="n">
        <x:f>SUM(SalesLines!M1859,SalesLines!M1860,SalesLines!M1861,SalesLines!M1862)</x:f>
        <x:v>2679</x:v>
      </x:c>
      <x:c r="I758" s="9" t="n">
        <x:f>SUM(SalesLines!N1859,SalesLines!N1860,SalesLines!N1861,SalesLines!N1862)</x:f>
        <x:v>71.3</x:v>
      </x:c>
      <x:c r="J758" s="9" t="n">
        <x:f>SUM(SalesLines!P1859,SalesLines!P1860,SalesLines!P1861,SalesLines!P1862)</x:f>
        <x:v>0</x:v>
      </x:c>
      <x:c r="K758" s="11" t="n">
        <x:f>SUM(SalesLines!R1859,SalesLines!R1860,SalesLines!R1861,SalesLines!R1862)</x:f>
        <x:v>13</x:v>
      </x:c>
      <x:c r="L758" s="11" t="n">
        <x:f>SUM(SalesLines!S1859,SalesLines!S1860,SalesLines!S1861,SalesLines!S1862)</x:f>
        <x:v>0</x:v>
      </x:c>
      <x:c r="M758" s="8" t="n">
        <x:f>DATE(YEAR(C758),MONTH(C758),1)</x:f>
        <x:v>45717</x:v>
      </x:c>
    </x:row>
    <x:row r="759" ht="22" customHeight="1">
      <x:c r="A759" s="2" t="str">
        <x:v>O00755</x:v>
      </x:c>
      <x:c r="B759" s="2" t="str">
        <x:v>C0161</x:v>
      </x:c>
      <x:c r="C759" s="7" t="n">
        <x:v>45889</x:v>
      </x:c>
      <x:c r="D759" s="2" t="str">
        <x:v>Completed</x:v>
      </x:c>
      <x:c r="E759" s="2" t="str">
        <x:v>West</x:v>
      </x:c>
      <x:c r="F759" s="2" t="str">
        <x:v>Store</x:v>
      </x:c>
      <x:c r="G759" s="9" t="n">
        <x:f>SUM(SalesLines!Q1863,SalesLines!Q1864,SalesLines!Q1865,SalesLines!Q1866)</x:f>
        <x:v>1934.7</x:v>
      </x:c>
      <x:c r="H759" s="9" t="n">
        <x:f>SUM(SalesLines!M1863,SalesLines!M1864,SalesLines!M1865,SalesLines!M1866)</x:f>
        <x:v>2439</x:v>
      </x:c>
      <x:c r="I759" s="9" t="n">
        <x:f>SUM(SalesLines!N1863,SalesLines!N1864,SalesLines!N1865,SalesLines!N1866)</x:f>
        <x:v>219.3</x:v>
      </x:c>
      <x:c r="J759" s="9" t="n">
        <x:f>SUM(SalesLines!P1863,SalesLines!P1864,SalesLines!P1865,SalesLines!P1866)</x:f>
        <x:v>285</x:v>
      </x:c>
      <x:c r="K759" s="11" t="n">
        <x:f>SUM(SalesLines!R1863,SalesLines!R1864,SalesLines!R1865,SalesLines!R1866)</x:f>
        <x:v>13</x:v>
      </x:c>
      <x:c r="L759" s="11" t="n">
        <x:f>SUM(SalesLines!S1863,SalesLines!S1864,SalesLines!S1865,SalesLines!S1866)</x:f>
        <x:v>1</x:v>
      </x:c>
      <x:c r="M759" s="8" t="n">
        <x:f>DATE(YEAR(C759),MONTH(C759),1)</x:f>
        <x:v>45870</x:v>
      </x:c>
    </x:row>
    <x:row r="760" ht="22" customHeight="1">
      <x:c r="A760" s="2" t="str">
        <x:v>O00756</x:v>
      </x:c>
      <x:c r="B760" s="2" t="str">
        <x:v>C0091</x:v>
      </x:c>
      <x:c r="C760" s="7" t="n">
        <x:v>45862</x:v>
      </x:c>
      <x:c r="D760" s="2" t="str">
        <x:v>Completed</x:v>
      </x:c>
      <x:c r="E760" s="2" t="str">
        <x:v>North</x:v>
      </x:c>
      <x:c r="F760" s="2" t="str">
        <x:v>Store</x:v>
      </x:c>
      <x:c r="G760" s="9" t="n">
        <x:f>SUM(SalesLines!Q1867,SalesLines!Q1868,SalesLines!Q1869,SalesLines!Q1870)</x:f>
        <x:v>1646.7</x:v>
      </x:c>
      <x:c r="H760" s="9" t="n">
        <x:f>SUM(SalesLines!M1867,SalesLines!M1868,SalesLines!M1869,SalesLines!M1870)</x:f>
        <x:v>1911</x:v>
      </x:c>
      <x:c r="I760" s="9" t="n">
        <x:f>SUM(SalesLines!N1867,SalesLines!N1868,SalesLines!N1869,SalesLines!N1870)</x:f>
        <x:v>142.3</x:v>
      </x:c>
      <x:c r="J760" s="9" t="n">
        <x:f>SUM(SalesLines!P1867,SalesLines!P1868,SalesLines!P1869,SalesLines!P1870)</x:f>
        <x:v>122</x:v>
      </x:c>
      <x:c r="K760" s="11" t="n">
        <x:f>SUM(SalesLines!R1867,SalesLines!R1868,SalesLines!R1869,SalesLines!R1870)</x:f>
        <x:v>13</x:v>
      </x:c>
      <x:c r="L760" s="11" t="n">
        <x:f>SUM(SalesLines!S1867,SalesLines!S1868,SalesLines!S1869,SalesLines!S1870)</x:f>
        <x:v>1</x:v>
      </x:c>
      <x:c r="M760" s="8" t="n">
        <x:f>DATE(YEAR(C760),MONTH(C760),1)</x:f>
        <x:v>45839</x:v>
      </x:c>
    </x:row>
    <x:row r="761" ht="22" customHeight="1">
      <x:c r="A761" s="2" t="str">
        <x:v>O00757</x:v>
      </x:c>
      <x:c r="B761" s="2" t="str">
        <x:v>C0010</x:v>
      </x:c>
      <x:c r="C761" s="7" t="n">
        <x:v>45770</x:v>
      </x:c>
      <x:c r="D761" s="2" t="str">
        <x:v>Completed</x:v>
      </x:c>
      <x:c r="E761" s="2" t="str">
        <x:v>West</x:v>
      </x:c>
      <x:c r="F761" s="2" t="str">
        <x:v>Store</x:v>
      </x:c>
      <x:c r="G761" s="9" t="n">
        <x:f>SUM(SalesLines!Q1871,SalesLines!Q1872,SalesLines!Q1873,SalesLines!Q1874)</x:f>
        <x:v>2227.7</x:v>
      </x:c>
      <x:c r="H761" s="9" t="n">
        <x:f>SUM(SalesLines!M1871,SalesLines!M1872,SalesLines!M1873,SalesLines!M1874)</x:f>
        <x:v>2477</x:v>
      </x:c>
      <x:c r="I761" s="9" t="n">
        <x:f>SUM(SalesLines!N1871,SalesLines!N1872,SalesLines!N1873,SalesLines!N1874)</x:f>
        <x:v>249.3</x:v>
      </x:c>
      <x:c r="J761" s="9" t="n">
        <x:f>SUM(SalesLines!P1871,SalesLines!P1872,SalesLines!P1873,SalesLines!P1874)</x:f>
        <x:v>0</x:v>
      </x:c>
      <x:c r="K761" s="11" t="n">
        <x:f>SUM(SalesLines!R1871,SalesLines!R1872,SalesLines!R1873,SalesLines!R1874)</x:f>
        <x:v>16</x:v>
      </x:c>
      <x:c r="L761" s="11" t="n">
        <x:f>SUM(SalesLines!S1871,SalesLines!S1872,SalesLines!S1873,SalesLines!S1874)</x:f>
        <x:v>0</x:v>
      </x:c>
      <x:c r="M761" s="8" t="n">
        <x:f>DATE(YEAR(C761),MONTH(C761),1)</x:f>
        <x:v>45748</x:v>
      </x:c>
    </x:row>
    <x:row r="762" ht="22" customHeight="1">
      <x:c r="A762" s="2" t="str">
        <x:v>O00758</x:v>
      </x:c>
      <x:c r="B762" s="2" t="str">
        <x:v>C0168</x:v>
      </x:c>
      <x:c r="C762" s="7" t="n">
        <x:v>45951</x:v>
      </x:c>
      <x:c r="D762" s="2" t="str">
        <x:v>Completed</x:v>
      </x:c>
      <x:c r="E762" s="2" t="str">
        <x:v>North</x:v>
      </x:c>
      <x:c r="F762" s="2" t="str">
        <x:v>Store</x:v>
      </x:c>
      <x:c r="G762" s="9" t="n">
        <x:f>SUM(SalesLines!Q1875)</x:f>
        <x:v>584.25</x:v>
      </x:c>
      <x:c r="H762" s="9" t="n">
        <x:f>SUM(SalesLines!M1875)</x:f>
        <x:v>615</x:v>
      </x:c>
      <x:c r="I762" s="9" t="n">
        <x:f>SUM(SalesLines!N1875)</x:f>
        <x:v>30.75</x:v>
      </x:c>
      <x:c r="J762" s="9" t="n">
        <x:f>SUM(SalesLines!P1875)</x:f>
        <x:v>0</x:v>
      </x:c>
      <x:c r="K762" s="11" t="n">
        <x:f>SUM(SalesLines!R1875)</x:f>
        <x:v>5</x:v>
      </x:c>
      <x:c r="L762" s="11" t="n">
        <x:f>SUM(SalesLines!S1875)</x:f>
        <x:v>0</x:v>
      </x:c>
      <x:c r="M762" s="8" t="n">
        <x:f>DATE(YEAR(C762),MONTH(C762),1)</x:f>
        <x:v>45931</x:v>
      </x:c>
    </x:row>
    <x:row r="763" ht="22" customHeight="1">
      <x:c r="A763" s="2" t="str">
        <x:v>O00759</x:v>
      </x:c>
      <x:c r="B763" s="2" t="str">
        <x:v>C0126</x:v>
      </x:c>
      <x:c r="C763" s="7" t="n">
        <x:v>46014</x:v>
      </x:c>
      <x:c r="D763" s="2" t="str">
        <x:v>Completed</x:v>
      </x:c>
      <x:c r="E763" s="2" t="str">
        <x:v>South</x:v>
      </x:c>
      <x:c r="F763" s="2" t="str">
        <x:v>Online</x:v>
      </x:c>
      <x:c r="G763" s="9" t="n">
        <x:f>SUM(SalesLines!Q1876)</x:f>
        <x:v>350.55</x:v>
      </x:c>
      <x:c r="H763" s="9" t="n">
        <x:f>SUM(SalesLines!M1876)</x:f>
        <x:v>369</x:v>
      </x:c>
      <x:c r="I763" s="9" t="n">
        <x:f>SUM(SalesLines!N1876)</x:f>
        <x:v>18.45</x:v>
      </x:c>
      <x:c r="J763" s="9" t="n">
        <x:f>SUM(SalesLines!P1876)</x:f>
        <x:v>0</x:v>
      </x:c>
      <x:c r="K763" s="11" t="n">
        <x:f>SUM(SalesLines!R1876)</x:f>
        <x:v>3</x:v>
      </x:c>
      <x:c r="L763" s="11" t="n">
        <x:f>SUM(SalesLines!S1876)</x:f>
        <x:v>0</x:v>
      </x:c>
      <x:c r="M763" s="8" t="n">
        <x:f>DATE(YEAR(C763),MONTH(C763),1)</x:f>
        <x:v>45992</x:v>
      </x:c>
    </x:row>
    <x:row r="764" ht="22" customHeight="1">
      <x:c r="A764" s="2" t="str">
        <x:v>O00760</x:v>
      </x:c>
      <x:c r="B764" s="2" t="str">
        <x:v>C0259</x:v>
      </x:c>
      <x:c r="C764" s="7" t="n">
        <x:v>45945</x:v>
      </x:c>
      <x:c r="D764" s="2" t="str">
        <x:v>Completed</x:v>
      </x:c>
      <x:c r="E764" s="2" t="str">
        <x:v>North</x:v>
      </x:c>
      <x:c r="F764" s="2" t="str">
        <x:v>Store</x:v>
      </x:c>
      <x:c r="G764" s="9" t="n">
        <x:f>SUM(SalesLines!Q1877,SalesLines!Q1878)</x:f>
        <x:v>1506</x:v>
      </x:c>
      <x:c r="H764" s="9" t="n">
        <x:f>SUM(SalesLines!M1877,SalesLines!M1878)</x:f>
        <x:v>1840</x:v>
      </x:c>
      <x:c r="I764" s="9" t="n">
        <x:f>SUM(SalesLines!N1877,SalesLines!N1878)</x:f>
        <x:v>334</x:v>
      </x:c>
      <x:c r="J764" s="9" t="n">
        <x:f>SUM(SalesLines!P1877,SalesLines!P1878)</x:f>
        <x:v>0</x:v>
      </x:c>
      <x:c r="K764" s="11" t="n">
        <x:f>SUM(SalesLines!R1877,SalesLines!R1878)</x:f>
        <x:v>10</x:v>
      </x:c>
      <x:c r="L764" s="11" t="n">
        <x:f>SUM(SalesLines!S1877,SalesLines!S1878)</x:f>
        <x:v>0</x:v>
      </x:c>
      <x:c r="M764" s="8" t="n">
        <x:f>DATE(YEAR(C764),MONTH(C764),1)</x:f>
        <x:v>45931</x:v>
      </x:c>
    </x:row>
    <x:row r="765" ht="22" customHeight="1">
      <x:c r="A765" s="2" t="str">
        <x:v>O00761</x:v>
      </x:c>
      <x:c r="B765" s="2" t="str">
        <x:v>C0067</x:v>
      </x:c>
      <x:c r="C765" s="7" t="n">
        <x:v>46011</x:v>
      </x:c>
      <x:c r="D765" s="2" t="str">
        <x:v>Completed</x:v>
      </x:c>
      <x:c r="E765" s="2" t="str">
        <x:v>East</x:v>
      </x:c>
      <x:c r="F765" s="2" t="str">
        <x:v>Store</x:v>
      </x:c>
      <x:c r="G765" s="9" t="n">
        <x:f>SUM(SalesLines!Q1879)</x:f>
        <x:v>334.8</x:v>
      </x:c>
      <x:c r="H765" s="9" t="n">
        <x:f>SUM(SalesLines!M1879)</x:f>
        <x:v>372</x:v>
      </x:c>
      <x:c r="I765" s="9" t="n">
        <x:f>SUM(SalesLines!N1879)</x:f>
        <x:v>37.2</x:v>
      </x:c>
      <x:c r="J765" s="9" t="n">
        <x:f>SUM(SalesLines!P1879)</x:f>
        <x:v>0</x:v>
      </x:c>
      <x:c r="K765" s="11" t="n">
        <x:f>SUM(SalesLines!R1879)</x:f>
        <x:v>4</x:v>
      </x:c>
      <x:c r="L765" s="11" t="n">
        <x:f>SUM(SalesLines!S1879)</x:f>
        <x:v>0</x:v>
      </x:c>
      <x:c r="M765" s="8" t="n">
        <x:f>DATE(YEAR(C765),MONTH(C765),1)</x:f>
        <x:v>45992</x:v>
      </x:c>
    </x:row>
    <x:row r="766" ht="22" customHeight="1">
      <x:c r="A766" s="2" t="str">
        <x:v>O00762</x:v>
      </x:c>
      <x:c r="B766" s="2" t="str">
        <x:v>C0245</x:v>
      </x:c>
      <x:c r="C766" s="7" t="n">
        <x:v>45922</x:v>
      </x:c>
      <x:c r="D766" s="2" t="str">
        <x:v>Completed</x:v>
      </x:c>
      <x:c r="E766" s="2" t="str">
        <x:v>North</x:v>
      </x:c>
      <x:c r="F766" s="2" t="str">
        <x:v>Store</x:v>
      </x:c>
      <x:c r="G766" s="9" t="n">
        <x:f>SUM(SalesLines!Q1880)</x:f>
        <x:v>1176</x:v>
      </x:c>
      <x:c r="H766" s="9" t="n">
        <x:f>SUM(SalesLines!M1880)</x:f>
        <x:v>1470</x:v>
      </x:c>
      <x:c r="I766" s="9" t="n">
        <x:f>SUM(SalesLines!N1880)</x:f>
        <x:v>294</x:v>
      </x:c>
      <x:c r="J766" s="9" t="n">
        <x:f>SUM(SalesLines!P1880)</x:f>
        <x:v>0</x:v>
      </x:c>
      <x:c r="K766" s="11" t="n">
        <x:f>SUM(SalesLines!R1880)</x:f>
        <x:v>5</x:v>
      </x:c>
      <x:c r="L766" s="11" t="n">
        <x:f>SUM(SalesLines!S1880)</x:f>
        <x:v>0</x:v>
      </x:c>
      <x:c r="M766" s="8" t="n">
        <x:f>DATE(YEAR(C766),MONTH(C766),1)</x:f>
        <x:v>45901</x:v>
      </x:c>
    </x:row>
    <x:row r="767" ht="22" customHeight="1">
      <x:c r="A767" s="2" t="str">
        <x:v>O00763</x:v>
      </x:c>
      <x:c r="B767" s="2" t="str">
        <x:v>C0043</x:v>
      </x:c>
      <x:c r="C767" s="7" t="n">
        <x:v>45988</x:v>
      </x:c>
      <x:c r="D767" s="2" t="str">
        <x:v>Completed</x:v>
      </x:c>
      <x:c r="E767" s="2" t="str">
        <x:v>West</x:v>
      </x:c>
      <x:c r="F767" s="2" t="str">
        <x:v>Online</x:v>
      </x:c>
      <x:c r="G767" s="9" t="n">
        <x:f>SUM(SalesLines!Q1881,SalesLines!Q1882)</x:f>
        <x:v>2252</x:v>
      </x:c>
      <x:c r="H767" s="9" t="n">
        <x:f>SUM(SalesLines!M1881,SalesLines!M1882)</x:f>
        <x:v>2252</x:v>
      </x:c>
      <x:c r="I767" s="9" t="n">
        <x:f>SUM(SalesLines!N1881,SalesLines!N1882)</x:f>
        <x:v>0</x:v>
      </x:c>
      <x:c r="J767" s="9" t="n">
        <x:f>SUM(SalesLines!P1881,SalesLines!P1882)</x:f>
        <x:v>0</x:v>
      </x:c>
      <x:c r="K767" s="11" t="n">
        <x:f>SUM(SalesLines!R1881,SalesLines!R1882)</x:f>
        <x:v>9</x:v>
      </x:c>
      <x:c r="L767" s="11" t="n">
        <x:f>SUM(SalesLines!S1881,SalesLines!S1882)</x:f>
        <x:v>0</x:v>
      </x:c>
      <x:c r="M767" s="8" t="n">
        <x:f>DATE(YEAR(C767),MONTH(C767),1)</x:f>
        <x:v>45962</x:v>
      </x:c>
    </x:row>
    <x:row r="768" ht="22" customHeight="1">
      <x:c r="A768" s="2" t="str">
        <x:v>O00764</x:v>
      </x:c>
      <x:c r="B768" s="2" t="str">
        <x:v>C0147</x:v>
      </x:c>
      <x:c r="C768" s="7" t="n">
        <x:v>45893</x:v>
      </x:c>
      <x:c r="D768" s="2" t="str">
        <x:v>Completed</x:v>
      </x:c>
      <x:c r="E768" s="2" t="str">
        <x:v>East</x:v>
      </x:c>
      <x:c r="F768" s="2" t="str">
        <x:v>Store</x:v>
      </x:c>
      <x:c r="G768" s="9" t="n">
        <x:f>SUM(SalesLines!Q1883)</x:f>
        <x:v>80</x:v>
      </x:c>
      <x:c r="H768" s="9" t="n">
        <x:f>SUM(SalesLines!M1883)</x:f>
        <x:v>80</x:v>
      </x:c>
      <x:c r="I768" s="9" t="n">
        <x:f>SUM(SalesLines!N1883)</x:f>
        <x:v>0</x:v>
      </x:c>
      <x:c r="J768" s="9" t="n">
        <x:f>SUM(SalesLines!P1883)</x:f>
        <x:v>0</x:v>
      </x:c>
      <x:c r="K768" s="11" t="n">
        <x:f>SUM(SalesLines!R1883)</x:f>
        <x:v>1</x:v>
      </x:c>
      <x:c r="L768" s="11" t="n">
        <x:f>SUM(SalesLines!S1883)</x:f>
        <x:v>0</x:v>
      </x:c>
      <x:c r="M768" s="8" t="n">
        <x:f>DATE(YEAR(C768),MONTH(C768),1)</x:f>
        <x:v>45870</x:v>
      </x:c>
    </x:row>
    <x:row r="769" ht="22" customHeight="1">
      <x:c r="A769" s="2" t="str">
        <x:v>O00765</x:v>
      </x:c>
      <x:c r="B769" s="2" t="str">
        <x:v>C0196</x:v>
      </x:c>
      <x:c r="C769" s="7" t="n">
        <x:v>46004</x:v>
      </x:c>
      <x:c r="D769" s="2" t="str">
        <x:v>Completed</x:v>
      </x:c>
      <x:c r="E769" s="2" t="str">
        <x:v>West</x:v>
      </x:c>
      <x:c r="F769" s="2" t="str">
        <x:v>Store</x:v>
      </x:c>
      <x:c r="G769" s="9" t="n">
        <x:f>SUM(SalesLines!Q1884)</x:f>
        <x:v>254</x:v>
      </x:c>
      <x:c r="H769" s="9" t="n">
        <x:f>SUM(SalesLines!M1884)</x:f>
        <x:v>254</x:v>
      </x:c>
      <x:c r="I769" s="9" t="n">
        <x:f>SUM(SalesLines!N1884)</x:f>
        <x:v>0</x:v>
      </x:c>
      <x:c r="J769" s="9" t="n">
        <x:f>SUM(SalesLines!P1884)</x:f>
        <x:v>0</x:v>
      </x:c>
      <x:c r="K769" s="11" t="n">
        <x:f>SUM(SalesLines!R1884)</x:f>
        <x:v>1</x:v>
      </x:c>
      <x:c r="L769" s="11" t="n">
        <x:f>SUM(SalesLines!S1884)</x:f>
        <x:v>0</x:v>
      </x:c>
      <x:c r="M769" s="8" t="n">
        <x:f>DATE(YEAR(C769),MONTH(C769),1)</x:f>
        <x:v>45992</x:v>
      </x:c>
    </x:row>
    <x:row r="770" ht="22" customHeight="1">
      <x:c r="A770" s="2" t="str">
        <x:v>O00766</x:v>
      </x:c>
      <x:c r="B770" s="2" t="str">
        <x:v>C0220</x:v>
      </x:c>
      <x:c r="C770" s="7" t="n">
        <x:v>45992</x:v>
      </x:c>
      <x:c r="D770" s="2" t="str">
        <x:v>Completed</x:v>
      </x:c>
      <x:c r="E770" s="2" t="str">
        <x:v>North</x:v>
      </x:c>
      <x:c r="F770" s="2" t="str">
        <x:v>Online</x:v>
      </x:c>
      <x:c r="G770" s="9" t="n">
        <x:f>SUM(SalesLines!Q1885,SalesLines!Q1886)</x:f>
        <x:v>698.2</x:v>
      </x:c>
      <x:c r="H770" s="9" t="n">
        <x:f>SUM(SalesLines!M1885,SalesLines!M1886)</x:f>
        <x:v>824</x:v>
      </x:c>
      <x:c r="I770" s="9" t="n">
        <x:f>SUM(SalesLines!N1885,SalesLines!N1886)</x:f>
        <x:v>125.80000000000001</x:v>
      </x:c>
      <x:c r="J770" s="9" t="n">
        <x:f>SUM(SalesLines!P1885,SalesLines!P1886)</x:f>
        <x:v>0</x:v>
      </x:c>
      <x:c r="K770" s="11" t="n">
        <x:f>SUM(SalesLines!R1885,SalesLines!R1886)</x:f>
        <x:v>7</x:v>
      </x:c>
      <x:c r="L770" s="11" t="n">
        <x:f>SUM(SalesLines!S1885,SalesLines!S1886)</x:f>
        <x:v>0</x:v>
      </x:c>
      <x:c r="M770" s="8" t="n">
        <x:f>DATE(YEAR(C770),MONTH(C770),1)</x:f>
        <x:v>45992</x:v>
      </x:c>
    </x:row>
    <x:row r="771" ht="22" customHeight="1">
      <x:c r="A771" s="2" t="str">
        <x:v>O00767</x:v>
      </x:c>
      <x:c r="B771" s="2" t="str">
        <x:v>C0132</x:v>
      </x:c>
      <x:c r="C771" s="7" t="n">
        <x:v>45826</x:v>
      </x:c>
      <x:c r="D771" s="2" t="str">
        <x:v>Completed</x:v>
      </x:c>
      <x:c r="E771" s="2" t="str">
        <x:v>North</x:v>
      </x:c>
      <x:c r="F771" s="2" t="str">
        <x:v>Store</x:v>
      </x:c>
      <x:c r="G771" s="9" t="n">
        <x:f>SUM(SalesLines!Q1887,SalesLines!Q1888)</x:f>
        <x:v>289.8</x:v>
      </x:c>
      <x:c r="H771" s="9" t="n">
        <x:f>SUM(SalesLines!M1887,SalesLines!M1888)</x:f>
        <x:v>336</x:v>
      </x:c>
      <x:c r="I771" s="9" t="n">
        <x:f>SUM(SalesLines!N1887,SalesLines!N1888)</x:f>
        <x:v>46.2</x:v>
      </x:c>
      <x:c r="J771" s="9" t="n">
        <x:f>SUM(SalesLines!P1887,SalesLines!P1888)</x:f>
        <x:v>0</x:v>
      </x:c>
      <x:c r="K771" s="11" t="n">
        <x:f>SUM(SalesLines!R1887,SalesLines!R1888)</x:f>
        <x:v>4</x:v>
      </x:c>
      <x:c r="L771" s="11" t="n">
        <x:f>SUM(SalesLines!S1887,SalesLines!S1888)</x:f>
        <x:v>0</x:v>
      </x:c>
      <x:c r="M771" s="8" t="n">
        <x:f>DATE(YEAR(C771),MONTH(C771),1)</x:f>
        <x:v>45809</x:v>
      </x:c>
    </x:row>
    <x:row r="772" ht="22" customHeight="1">
      <x:c r="A772" s="2" t="str">
        <x:v>O00768</x:v>
      </x:c>
      <x:c r="B772" s="2" t="str">
        <x:v>C0287</x:v>
      </x:c>
      <x:c r="C772" s="7" t="n">
        <x:v>45882</x:v>
      </x:c>
      <x:c r="D772" s="2" t="str">
        <x:v>Completed</x:v>
      </x:c>
      <x:c r="E772" s="2" t="str">
        <x:v>South</x:v>
      </x:c>
      <x:c r="F772" s="2" t="str">
        <x:v>Store</x:v>
      </x:c>
      <x:c r="G772" s="9" t="n">
        <x:f>SUM(SalesLines!Q1889)</x:f>
        <x:v>129.6</x:v>
      </x:c>
      <x:c r="H772" s="9" t="n">
        <x:f>SUM(SalesLines!M1889)</x:f>
        <x:v>162</x:v>
      </x:c>
      <x:c r="I772" s="9" t="n">
        <x:f>SUM(SalesLines!N1889)</x:f>
        <x:v>32.4</x:v>
      </x:c>
      <x:c r="J772" s="9" t="n">
        <x:f>SUM(SalesLines!P1889)</x:f>
        <x:v>0</x:v>
      </x:c>
      <x:c r="K772" s="11" t="n">
        <x:f>SUM(SalesLines!R1889)</x:f>
        <x:v>2</x:v>
      </x:c>
      <x:c r="L772" s="11" t="n">
        <x:f>SUM(SalesLines!S1889)</x:f>
        <x:v>0</x:v>
      </x:c>
      <x:c r="M772" s="8" t="n">
        <x:f>DATE(YEAR(C772),MONTH(C772),1)</x:f>
        <x:v>45870</x:v>
      </x:c>
    </x:row>
    <x:row r="773" ht="22" customHeight="1">
      <x:c r="A773" s="2" t="str">
        <x:v>O00769</x:v>
      </x:c>
      <x:c r="B773" s="2" t="str">
        <x:v>C0107</x:v>
      </x:c>
      <x:c r="C773" s="7" t="n">
        <x:v>45890</x:v>
      </x:c>
      <x:c r="D773" s="2" t="str">
        <x:v>Completed</x:v>
      </x:c>
      <x:c r="E773" s="2" t="str">
        <x:v>South</x:v>
      </x:c>
      <x:c r="F773" s="2" t="str">
        <x:v>Online</x:v>
      </x:c>
      <x:c r="G773" s="9" t="n">
        <x:f>SUM(SalesLines!Q1890,SalesLines!Q1891)</x:f>
        <x:v>1210.5</x:v>
      </x:c>
      <x:c r="H773" s="9" t="n">
        <x:f>SUM(SalesLines!M1890,SalesLines!M1891)</x:f>
        <x:v>1737</x:v>
      </x:c>
      <x:c r="I773" s="9" t="n">
        <x:f>SUM(SalesLines!N1890,SalesLines!N1891)</x:f>
        <x:v>173.7</x:v>
      </x:c>
      <x:c r="J773" s="9" t="n">
        <x:f>SUM(SalesLines!P1890,SalesLines!P1891)</x:f>
        <x:v>352.8</x:v>
      </x:c>
      <x:c r="K773" s="11" t="n">
        <x:f>SUM(SalesLines!R1890,SalesLines!R1891)</x:f>
        <x:v>7</x:v>
      </x:c>
      <x:c r="L773" s="11" t="n">
        <x:f>SUM(SalesLines!S1890,SalesLines!S1891)</x:f>
        <x:v>2</x:v>
      </x:c>
      <x:c r="M773" s="8" t="n">
        <x:f>DATE(YEAR(C773),MONTH(C773),1)</x:f>
        <x:v>45870</x:v>
      </x:c>
    </x:row>
    <x:row r="774" ht="22" customHeight="1">
      <x:c r="A774" s="2" t="str">
        <x:v>O00770</x:v>
      </x:c>
      <x:c r="B774" s="2" t="str">
        <x:v>C0265</x:v>
      </x:c>
      <x:c r="C774" s="7" t="n">
        <x:v>45751</x:v>
      </x:c>
      <x:c r="D774" s="2" t="str">
        <x:v>Completed</x:v>
      </x:c>
      <x:c r="E774" s="2" t="str">
        <x:v>West</x:v>
      </x:c>
      <x:c r="F774" s="2" t="str">
        <x:v>Store</x:v>
      </x:c>
      <x:c r="G774" s="9" t="n">
        <x:f>SUM(SalesLines!Q1892)</x:f>
        <x:v>200.45</x:v>
      </x:c>
      <x:c r="H774" s="9" t="n">
        <x:f>SUM(SalesLines!M1892)</x:f>
        <x:v>211</x:v>
      </x:c>
      <x:c r="I774" s="9" t="n">
        <x:f>SUM(SalesLines!N1892)</x:f>
        <x:v>10.55</x:v>
      </x:c>
      <x:c r="J774" s="9" t="n">
        <x:f>SUM(SalesLines!P1892)</x:f>
        <x:v>0</x:v>
      </x:c>
      <x:c r="K774" s="11" t="n">
        <x:f>SUM(SalesLines!R1892)</x:f>
        <x:v>1</x:v>
      </x:c>
      <x:c r="L774" s="11" t="n">
        <x:f>SUM(SalesLines!S1892)</x:f>
        <x:v>0</x:v>
      </x:c>
      <x:c r="M774" s="8" t="n">
        <x:f>DATE(YEAR(C774),MONTH(C774),1)</x:f>
        <x:v>45748</x:v>
      </x:c>
    </x:row>
    <x:row r="775" ht="22" customHeight="1">
      <x:c r="A775" s="2" t="str">
        <x:v>O00771</x:v>
      </x:c>
      <x:c r="B775" s="2" t="str">
        <x:v>C0066</x:v>
      </x:c>
      <x:c r="C775" s="7" t="n">
        <x:v>45852</x:v>
      </x:c>
      <x:c r="D775" s="2" t="str">
        <x:v>Completed</x:v>
      </x:c>
      <x:c r="E775" s="2" t="str">
        <x:v>North</x:v>
      </x:c>
      <x:c r="F775" s="2" t="str">
        <x:v>Online</x:v>
      </x:c>
      <x:c r="G775" s="9" t="n">
        <x:f>SUM(SalesLines!Q1893,SalesLines!Q1894,SalesLines!Q1895)</x:f>
        <x:v>1124.4</x:v>
      </x:c>
      <x:c r="H775" s="9" t="n">
        <x:f>SUM(SalesLines!M1893,SalesLines!M1894,SalesLines!M1895)</x:f>
        <x:v>1257</x:v>
      </x:c>
      <x:c r="I775" s="9" t="n">
        <x:f>SUM(SalesLines!N1893,SalesLines!N1894,SalesLines!N1895)</x:f>
        <x:v>132.6</x:v>
      </x:c>
      <x:c r="J775" s="9" t="n">
        <x:f>SUM(SalesLines!P1893,SalesLines!P1894,SalesLines!P1895)</x:f>
        <x:v>0</x:v>
      </x:c>
      <x:c r="K775" s="11" t="n">
        <x:f>SUM(SalesLines!R1893,SalesLines!R1894,SalesLines!R1895)</x:f>
        <x:v>10</x:v>
      </x:c>
      <x:c r="L775" s="11" t="n">
        <x:f>SUM(SalesLines!S1893,SalesLines!S1894,SalesLines!S1895)</x:f>
        <x:v>0</x:v>
      </x:c>
      <x:c r="M775" s="8" t="n">
        <x:f>DATE(YEAR(C775),MONTH(C775),1)</x:f>
        <x:v>45839</x:v>
      </x:c>
    </x:row>
    <x:row r="776" ht="22" customHeight="1">
      <x:c r="A776" s="2" t="str">
        <x:v>O00772</x:v>
      </x:c>
      <x:c r="B776" s="2" t="str">
        <x:v>C0289</x:v>
      </x:c>
      <x:c r="C776" s="7" t="n">
        <x:v>45762</x:v>
      </x:c>
      <x:c r="D776" s="2" t="str">
        <x:v>Completed</x:v>
      </x:c>
      <x:c r="E776" s="2" t="str">
        <x:v>West</x:v>
      </x:c>
      <x:c r="F776" s="2" t="str">
        <x:v>Store</x:v>
      </x:c>
      <x:c r="G776" s="9" t="n">
        <x:f>SUM(SalesLines!Q1896,SalesLines!Q1897,SalesLines!Q1898,SalesLines!Q1899)</x:f>
        <x:v>1466</x:v>
      </x:c>
      <x:c r="H776" s="9" t="n">
        <x:f>SUM(SalesLines!M1896,SalesLines!M1897,SalesLines!M1898,SalesLines!M1899)</x:f>
        <x:v>2096</x:v>
      </x:c>
      <x:c r="I776" s="9" t="n">
        <x:f>SUM(SalesLines!N1896,SalesLines!N1897,SalesLines!N1898,SalesLines!N1899)</x:f>
        <x:v>350.70000000000005</x:v>
      </x:c>
      <x:c r="J776" s="9" t="n">
        <x:f>SUM(SalesLines!P1896,SalesLines!P1897,SalesLines!P1898,SalesLines!P1899)</x:f>
        <x:v>279.3</x:v>
      </x:c>
      <x:c r="K776" s="11" t="n">
        <x:f>SUM(SalesLines!R1896,SalesLines!R1897,SalesLines!R1898,SalesLines!R1899)</x:f>
        <x:v>10</x:v>
      </x:c>
      <x:c r="L776" s="11" t="n">
        <x:f>SUM(SalesLines!S1896,SalesLines!S1897,SalesLines!S1898,SalesLines!S1899)</x:f>
        <x:v>1</x:v>
      </x:c>
      <x:c r="M776" s="8" t="n">
        <x:f>DATE(YEAR(C776),MONTH(C776),1)</x:f>
        <x:v>45748</x:v>
      </x:c>
    </x:row>
    <x:row r="777" ht="22" customHeight="1">
      <x:c r="A777" s="2" t="str">
        <x:v>O00773</x:v>
      </x:c>
      <x:c r="B777" s="2" t="str">
        <x:v>C0227</x:v>
      </x:c>
      <x:c r="C777" s="7" t="n">
        <x:v>45933</x:v>
      </x:c>
      <x:c r="D777" s="2" t="str">
        <x:v>Completed</x:v>
      </x:c>
      <x:c r="E777" s="2" t="str">
        <x:v>East</x:v>
      </x:c>
      <x:c r="F777" s="2" t="str">
        <x:v>Online</x:v>
      </x:c>
      <x:c r="G777" s="9" t="n">
        <x:f>SUM(SalesLines!Q1900)</x:f>
        <x:v>163.2</x:v>
      </x:c>
      <x:c r="H777" s="9" t="n">
        <x:f>SUM(SalesLines!M1900)</x:f>
        <x:v>204</x:v>
      </x:c>
      <x:c r="I777" s="9" t="n">
        <x:f>SUM(SalesLines!N1900)</x:f>
        <x:v>40.800000000000004</x:v>
      </x:c>
      <x:c r="J777" s="9" t="n">
        <x:f>SUM(SalesLines!P1900)</x:f>
        <x:v>0</x:v>
      </x:c>
      <x:c r="K777" s="11" t="n">
        <x:f>SUM(SalesLines!R1900)</x:f>
        <x:v>3</x:v>
      </x:c>
      <x:c r="L777" s="11" t="n">
        <x:f>SUM(SalesLines!S1900)</x:f>
        <x:v>0</x:v>
      </x:c>
      <x:c r="M777" s="8" t="n">
        <x:f>DATE(YEAR(C777),MONTH(C777),1)</x:f>
        <x:v>45931</x:v>
      </x:c>
    </x:row>
    <x:row r="778" ht="22" customHeight="1">
      <x:c r="A778" s="2" t="str">
        <x:v>O00774</x:v>
      </x:c>
      <x:c r="B778" s="2" t="str">
        <x:v>C0222</x:v>
      </x:c>
      <x:c r="C778" s="7" t="n">
        <x:v>45683</x:v>
      </x:c>
      <x:c r="D778" s="2" t="str">
        <x:v>Cancelled</x:v>
      </x:c>
      <x:c r="E778" s="2" t="str">
        <x:v>East</x:v>
      </x:c>
      <x:c r="F778" s="2" t="str">
        <x:v>Online</x:v>
      </x:c>
      <x:c r="G778" s="9" t="n">
        <x:f>SUM(SalesLines!Q1901,SalesLines!Q1902,SalesLines!Q1903)</x:f>
        <x:v>0</x:v>
      </x:c>
      <x:c r="H778" s="9" t="n">
        <x:f>SUM(SalesLines!M1901,SalesLines!M1902,SalesLines!M1903)</x:f>
        <x:v>0</x:v>
      </x:c>
      <x:c r="I778" s="9" t="n">
        <x:f>SUM(SalesLines!N1901,SalesLines!N1902,SalesLines!N1903)</x:f>
        <x:v>0</x:v>
      </x:c>
      <x:c r="J778" s="9" t="n">
        <x:f>SUM(SalesLines!P1901,SalesLines!P1902,SalesLines!P1903)</x:f>
        <x:v>0</x:v>
      </x:c>
      <x:c r="K778" s="11" t="n">
        <x:f>SUM(SalesLines!R1901,SalesLines!R1902,SalesLines!R1903)</x:f>
        <x:v>0</x:v>
      </x:c>
      <x:c r="L778" s="11" t="n">
        <x:f>SUM(SalesLines!S1901,SalesLines!S1902,SalesLines!S1903)</x:f>
        <x:v>0</x:v>
      </x:c>
      <x:c r="M778" s="8" t="n">
        <x:f>DATE(YEAR(C778),MONTH(C778),1)</x:f>
        <x:v>45658</x:v>
      </x:c>
    </x:row>
    <x:row r="779" ht="22" customHeight="1">
      <x:c r="A779" s="2" t="str">
        <x:v>O00775</x:v>
      </x:c>
      <x:c r="B779" s="2" t="str">
        <x:v>C0030</x:v>
      </x:c>
      <x:c r="C779" s="7" t="n">
        <x:v>45759</x:v>
      </x:c>
      <x:c r="D779" s="2" t="str">
        <x:v>Completed</x:v>
      </x:c>
      <x:c r="E779" s="2" t="str">
        <x:v>South</x:v>
      </x:c>
      <x:c r="F779" s="2" t="str">
        <x:v>Online</x:v>
      </x:c>
      <x:c r="G779" s="9" t="n">
        <x:f>SUM(SalesLines!Q1904,SalesLines!Q1905,SalesLines!Q1906,SalesLines!Q1907)</x:f>
        <x:v>3463</x:v>
      </x:c>
      <x:c r="H779" s="9" t="n">
        <x:f>SUM(SalesLines!M1904,SalesLines!M1905,SalesLines!M1906,SalesLines!M1907)</x:f>
        <x:v>3828</x:v>
      </x:c>
      <x:c r="I779" s="9" t="n">
        <x:f>SUM(SalesLines!N1904,SalesLines!N1905,SalesLines!N1906,SalesLines!N1907)</x:f>
        <x:v>169</x:v>
      </x:c>
      <x:c r="J779" s="9" t="n">
        <x:f>SUM(SalesLines!P1904,SalesLines!P1905,SalesLines!P1906,SalesLines!P1907)</x:f>
        <x:v>196</x:v>
      </x:c>
      <x:c r="K779" s="11" t="n">
        <x:f>SUM(SalesLines!R1904,SalesLines!R1905,SalesLines!R1906,SalesLines!R1907)</x:f>
        <x:v>16</x:v>
      </x:c>
      <x:c r="L779" s="11" t="n">
        <x:f>SUM(SalesLines!S1904,SalesLines!S1905,SalesLines!S1906,SalesLines!S1907)</x:f>
        <x:v>1</x:v>
      </x:c>
      <x:c r="M779" s="8" t="n">
        <x:f>DATE(YEAR(C779),MONTH(C779),1)</x:f>
        <x:v>45748</x:v>
      </x:c>
    </x:row>
    <x:row r="780" ht="22" customHeight="1">
      <x:c r="A780" s="2" t="str">
        <x:v>O00776</x:v>
      </x:c>
      <x:c r="B780" s="2" t="str">
        <x:v>C0034</x:v>
      </x:c>
      <x:c r="C780" s="7" t="n">
        <x:v>45696</x:v>
      </x:c>
      <x:c r="D780" s="2" t="str">
        <x:v>Completed</x:v>
      </x:c>
      <x:c r="E780" s="2" t="str">
        <x:v>East</x:v>
      </x:c>
      <x:c r="F780" s="2" t="str">
        <x:v>Online</x:v>
      </x:c>
      <x:c r="G780" s="9" t="n">
        <x:f>SUM(SalesLines!Q1908)</x:f>
        <x:v>537.3</x:v>
      </x:c>
      <x:c r="H780" s="9" t="n">
        <x:f>SUM(SalesLines!M1908)</x:f>
        <x:v>597</x:v>
      </x:c>
      <x:c r="I780" s="9" t="n">
        <x:f>SUM(SalesLines!N1908)</x:f>
        <x:v>59.7</x:v>
      </x:c>
      <x:c r="J780" s="9" t="n">
        <x:f>SUM(SalesLines!P1908)</x:f>
        <x:v>0</x:v>
      </x:c>
      <x:c r="K780" s="11" t="n">
        <x:f>SUM(SalesLines!R1908)</x:f>
        <x:v>3</x:v>
      </x:c>
      <x:c r="L780" s="11" t="n">
        <x:f>SUM(SalesLines!S1908)</x:f>
        <x:v>0</x:v>
      </x:c>
      <x:c r="M780" s="8" t="n">
        <x:f>DATE(YEAR(C780),MONTH(C780),1)</x:f>
        <x:v>45689</x:v>
      </x:c>
    </x:row>
    <x:row r="781" ht="22" customHeight="1">
      <x:c r="A781" s="2" t="str">
        <x:v>O00777</x:v>
      </x:c>
      <x:c r="B781" s="2" t="str">
        <x:v>C0029</x:v>
      </x:c>
      <x:c r="C781" s="7" t="n">
        <x:v>46015</x:v>
      </x:c>
      <x:c r="D781" s="2" t="str">
        <x:v>Completed</x:v>
      </x:c>
      <x:c r="E781" s="2" t="str">
        <x:v>East</x:v>
      </x:c>
      <x:c r="F781" s="2" t="str">
        <x:v>Store</x:v>
      </x:c>
      <x:c r="G781" s="9" t="n">
        <x:f>SUM(SalesLines!Q1909,SalesLines!Q1910,SalesLines!Q1911)</x:f>
        <x:v>474.4</x:v>
      </x:c>
      <x:c r="H781" s="9" t="n">
        <x:f>SUM(SalesLines!M1909,SalesLines!M1910,SalesLines!M1911)</x:f>
        <x:v>500</x:v>
      </x:c>
      <x:c r="I781" s="9" t="n">
        <x:f>SUM(SalesLines!N1909,SalesLines!N1910,SalesLines!N1911)</x:f>
        <x:v>25.6</x:v>
      </x:c>
      <x:c r="J781" s="9" t="n">
        <x:f>SUM(SalesLines!P1909,SalesLines!P1910,SalesLines!P1911)</x:f>
        <x:v>0</x:v>
      </x:c>
      <x:c r="K781" s="11" t="n">
        <x:f>SUM(SalesLines!R1909,SalesLines!R1910,SalesLines!R1911)</x:f>
        <x:v>4</x:v>
      </x:c>
      <x:c r="L781" s="11" t="n">
        <x:f>SUM(SalesLines!S1909,SalesLines!S1910,SalesLines!S1911)</x:f>
        <x:v>0</x:v>
      </x:c>
      <x:c r="M781" s="8" t="n">
        <x:f>DATE(YEAR(C781),MONTH(C781),1)</x:f>
        <x:v>45992</x:v>
      </x:c>
    </x:row>
    <x:row r="782" ht="22" customHeight="1">
      <x:c r="A782" s="2" t="str">
        <x:v>O00778</x:v>
      </x:c>
      <x:c r="B782" s="2" t="str">
        <x:v>C0161</x:v>
      </x:c>
      <x:c r="C782" s="7" t="n">
        <x:v>45761</x:v>
      </x:c>
      <x:c r="D782" s="2" t="str">
        <x:v>Completed</x:v>
      </x:c>
      <x:c r="E782" s="2" t="str">
        <x:v>West</x:v>
      </x:c>
      <x:c r="F782" s="2" t="str">
        <x:v>Store</x:v>
      </x:c>
      <x:c r="G782" s="9" t="n">
        <x:f>SUM(SalesLines!Q1912,SalesLines!Q1913,SalesLines!Q1914,SalesLines!Q1915)</x:f>
        <x:v>1691.3999999999999</x:v>
      </x:c>
      <x:c r="H782" s="9" t="n">
        <x:f>SUM(SalesLines!M1912,SalesLines!M1913,SalesLines!M1914,SalesLines!M1915)</x:f>
        <x:v>1929</x:v>
      </x:c>
      <x:c r="I782" s="9" t="n">
        <x:f>SUM(SalesLines!N1912,SalesLines!N1913,SalesLines!N1914,SalesLines!N1915)</x:f>
        <x:v>237.60000000000002</x:v>
      </x:c>
      <x:c r="J782" s="9" t="n">
        <x:f>SUM(SalesLines!P1912,SalesLines!P1913,SalesLines!P1914,SalesLines!P1915)</x:f>
        <x:v>0</x:v>
      </x:c>
      <x:c r="K782" s="11" t="n">
        <x:f>SUM(SalesLines!R1912,SalesLines!R1913,SalesLines!R1914,SalesLines!R1915)</x:f>
        <x:v>10</x:v>
      </x:c>
      <x:c r="L782" s="11" t="n">
        <x:f>SUM(SalesLines!S1912,SalesLines!S1913,SalesLines!S1914,SalesLines!S1915)</x:f>
        <x:v>0</x:v>
      </x:c>
      <x:c r="M782" s="8" t="n">
        <x:f>DATE(YEAR(C782),MONTH(C782),1)</x:f>
        <x:v>45748</x:v>
      </x:c>
    </x:row>
    <x:row r="783" ht="22" customHeight="1">
      <x:c r="A783" s="2" t="str">
        <x:v>O00779</x:v>
      </x:c>
      <x:c r="B783" s="2" t="str">
        <x:v>C0187</x:v>
      </x:c>
      <x:c r="C783" s="7" t="n">
        <x:v>45972</x:v>
      </x:c>
      <x:c r="D783" s="2" t="str">
        <x:v>Cancelled</x:v>
      </x:c>
      <x:c r="E783" s="2" t="str">
        <x:v>North</x:v>
      </x:c>
      <x:c r="F783" s="2" t="str">
        <x:v>Online</x:v>
      </x:c>
      <x:c r="G783" s="9" t="n">
        <x:f>SUM(SalesLines!Q1916,SalesLines!Q1917,SalesLines!Q1918)</x:f>
        <x:v>0</x:v>
      </x:c>
      <x:c r="H783" s="9" t="n">
        <x:f>SUM(SalesLines!M1916,SalesLines!M1917,SalesLines!M1918)</x:f>
        <x:v>0</x:v>
      </x:c>
      <x:c r="I783" s="9" t="n">
        <x:f>SUM(SalesLines!N1916,SalesLines!N1917,SalesLines!N1918)</x:f>
        <x:v>0</x:v>
      </x:c>
      <x:c r="J783" s="9" t="n">
        <x:f>SUM(SalesLines!P1916,SalesLines!P1917,SalesLines!P1918)</x:f>
        <x:v>0</x:v>
      </x:c>
      <x:c r="K783" s="11" t="n">
        <x:f>SUM(SalesLines!R1916,SalesLines!R1917,SalesLines!R1918)</x:f>
        <x:v>0</x:v>
      </x:c>
      <x:c r="L783" s="11" t="n">
        <x:f>SUM(SalesLines!S1916,SalesLines!S1917,SalesLines!S1918)</x:f>
        <x:v>0</x:v>
      </x:c>
      <x:c r="M783" s="8" t="n">
        <x:f>DATE(YEAR(C783),MONTH(C783),1)</x:f>
        <x:v>45962</x:v>
      </x:c>
    </x:row>
    <x:row r="784" ht="22" customHeight="1">
      <x:c r="A784" s="2" t="str">
        <x:v>O00780</x:v>
      </x:c>
      <x:c r="B784" s="2" t="str">
        <x:v>C0080</x:v>
      </x:c>
      <x:c r="C784" s="7" t="n">
        <x:v>45722</x:v>
      </x:c>
      <x:c r="D784" s="2" t="str">
        <x:v>Completed</x:v>
      </x:c>
      <x:c r="E784" s="2" t="str">
        <x:v>East</x:v>
      </x:c>
      <x:c r="F784" s="2" t="str">
        <x:v>Online</x:v>
      </x:c>
      <x:c r="G784" s="9" t="n">
        <x:f>SUM(SalesLines!Q1919)</x:f>
        <x:v>685.8</x:v>
      </x:c>
      <x:c r="H784" s="9" t="n">
        <x:f>SUM(SalesLines!M1919)</x:f>
        <x:v>762</x:v>
      </x:c>
      <x:c r="I784" s="9" t="n">
        <x:f>SUM(SalesLines!N1919)</x:f>
        <x:v>76.2</x:v>
      </x:c>
      <x:c r="J784" s="9" t="n">
        <x:f>SUM(SalesLines!P1919)</x:f>
        <x:v>0</x:v>
      </x:c>
      <x:c r="K784" s="11" t="n">
        <x:f>SUM(SalesLines!R1919)</x:f>
        <x:v>3</x:v>
      </x:c>
      <x:c r="L784" s="11" t="n">
        <x:f>SUM(SalesLines!S1919)</x:f>
        <x:v>0</x:v>
      </x:c>
      <x:c r="M784" s="8" t="n">
        <x:f>DATE(YEAR(C784),MONTH(C784),1)</x:f>
        <x:v>45717</x:v>
      </x:c>
    </x:row>
    <x:row r="785" ht="22" customHeight="1">
      <x:c r="A785" s="2" t="str">
        <x:v>O00781</x:v>
      </x:c>
      <x:c r="B785" s="2" t="str">
        <x:v>C0252</x:v>
      </x:c>
      <x:c r="C785" s="7" t="n">
        <x:v>45658</x:v>
      </x:c>
      <x:c r="D785" s="2" t="str">
        <x:v>Completed</x:v>
      </x:c>
      <x:c r="E785" s="2" t="str">
        <x:v>West</x:v>
      </x:c>
      <x:c r="F785" s="2" t="str">
        <x:v>Online</x:v>
      </x:c>
      <x:c r="G785" s="9" t="n">
        <x:f>SUM(SalesLines!Q1920)</x:f>
        <x:v>514.9</x:v>
      </x:c>
      <x:c r="H785" s="9" t="n">
        <x:f>SUM(SalesLines!M1920)</x:f>
        <x:v>542</x:v>
      </x:c>
      <x:c r="I785" s="9" t="n">
        <x:f>SUM(SalesLines!N1920)</x:f>
        <x:v>27.1</x:v>
      </x:c>
      <x:c r="J785" s="9" t="n">
        <x:f>SUM(SalesLines!P1920)</x:f>
        <x:v>0</x:v>
      </x:c>
      <x:c r="K785" s="11" t="n">
        <x:f>SUM(SalesLines!R1920)</x:f>
        <x:v>2</x:v>
      </x:c>
      <x:c r="L785" s="11" t="n">
        <x:f>SUM(SalesLines!S1920)</x:f>
        <x:v>0</x:v>
      </x:c>
      <x:c r="M785" s="8" t="n">
        <x:f>DATE(YEAR(C785),MONTH(C785),1)</x:f>
        <x:v>45658</x:v>
      </x:c>
    </x:row>
    <x:row r="786" ht="22" customHeight="1">
      <x:c r="A786" s="2" t="str">
        <x:v>O00782</x:v>
      </x:c>
      <x:c r="B786" s="2" t="str">
        <x:v>C0042</x:v>
      </x:c>
      <x:c r="C786" s="7" t="n">
        <x:v>45979</x:v>
      </x:c>
      <x:c r="D786" s="2" t="str">
        <x:v>Completed</x:v>
      </x:c>
      <x:c r="E786" s="2" t="str">
        <x:v>South</x:v>
      </x:c>
      <x:c r="F786" s="2" t="str">
        <x:v>Store</x:v>
      </x:c>
      <x:c r="G786" s="9" t="n">
        <x:f>SUM(SalesLines!Q1921,SalesLines!Q1922,SalesLines!Q1923,SalesLines!Q1924)</x:f>
        <x:v>2410.75</x:v>
      </x:c>
      <x:c r="H786" s="9" t="n">
        <x:f>SUM(SalesLines!M1921,SalesLines!M1922,SalesLines!M1923,SalesLines!M1924)</x:f>
        <x:v>2615</x:v>
      </x:c>
      <x:c r="I786" s="9" t="n">
        <x:f>SUM(SalesLines!N1921,SalesLines!N1922,SalesLines!N1923,SalesLines!N1924)</x:f>
        <x:v>204.25</x:v>
      </x:c>
      <x:c r="J786" s="9" t="n">
        <x:f>SUM(SalesLines!P1921,SalesLines!P1922,SalesLines!P1923,SalesLines!P1924)</x:f>
        <x:v>0</x:v>
      </x:c>
      <x:c r="K786" s="11" t="n">
        <x:f>SUM(SalesLines!R1921,SalesLines!R1922,SalesLines!R1923,SalesLines!R1924)</x:f>
        <x:v>11</x:v>
      </x:c>
      <x:c r="L786" s="11" t="n">
        <x:f>SUM(SalesLines!S1921,SalesLines!S1922,SalesLines!S1923,SalesLines!S1924)</x:f>
        <x:v>0</x:v>
      </x:c>
      <x:c r="M786" s="8" t="n">
        <x:f>DATE(YEAR(C786),MONTH(C786),1)</x:f>
        <x:v>45962</x:v>
      </x:c>
    </x:row>
    <x:row r="787" ht="22" customHeight="1">
      <x:c r="A787" s="2" t="str">
        <x:v>O00783</x:v>
      </x:c>
      <x:c r="B787" s="2" t="str">
        <x:v>C0183</x:v>
      </x:c>
      <x:c r="C787" s="7" t="n">
        <x:v>45917</x:v>
      </x:c>
      <x:c r="D787" s="2" t="str">
        <x:v>Completed</x:v>
      </x:c>
      <x:c r="E787" s="2" t="str">
        <x:v>East</x:v>
      </x:c>
      <x:c r="F787" s="2" t="str">
        <x:v>Online</x:v>
      </x:c>
      <x:c r="G787" s="9" t="n">
        <x:f>SUM(SalesLines!Q1925,SalesLines!Q1926)</x:f>
        <x:v>905</x:v>
      </x:c>
      <x:c r="H787" s="9" t="n">
        <x:f>SUM(SalesLines!M1925,SalesLines!M1926)</x:f>
        <x:v>1039</x:v>
      </x:c>
      <x:c r="I787" s="9" t="n">
        <x:f>SUM(SalesLines!N1925,SalesLines!N1926)</x:f>
        <x:v>134</x:v>
      </x:c>
      <x:c r="J787" s="9" t="n">
        <x:f>SUM(SalesLines!P1925,SalesLines!P1926)</x:f>
        <x:v>0</x:v>
      </x:c>
      <x:c r="K787" s="11" t="n">
        <x:f>SUM(SalesLines!R1925,SalesLines!R1926)</x:f>
        <x:v>8</x:v>
      </x:c>
      <x:c r="L787" s="11" t="n">
        <x:f>SUM(SalesLines!S1925,SalesLines!S1926)</x:f>
        <x:v>0</x:v>
      </x:c>
      <x:c r="M787" s="8" t="n">
        <x:f>DATE(YEAR(C787),MONTH(C787),1)</x:f>
        <x:v>45901</x:v>
      </x:c>
    </x:row>
    <x:row r="788" ht="22" customHeight="1">
      <x:c r="A788" s="2" t="str">
        <x:v>O00784</x:v>
      </x:c>
      <x:c r="B788" s="2" t="str">
        <x:v>C0167</x:v>
      </x:c>
      <x:c r="C788" s="7" t="n">
        <x:v>45810</x:v>
      </x:c>
      <x:c r="D788" s="2" t="str">
        <x:v>Completed</x:v>
      </x:c>
      <x:c r="E788" s="2" t="str">
        <x:v>West</x:v>
      </x:c>
      <x:c r="F788" s="2" t="str">
        <x:v>Online</x:v>
      </x:c>
      <x:c r="G788" s="9" t="n">
        <x:f>SUM(SalesLines!Q1927,SalesLines!Q1928,SalesLines!Q1929)</x:f>
        <x:v>1117.2</x:v>
      </x:c>
      <x:c r="H788" s="9" t="n">
        <x:f>SUM(SalesLines!M1927,SalesLines!M1928,SalesLines!M1929)</x:f>
        <x:v>1176</x:v>
      </x:c>
      <x:c r="I788" s="9" t="n">
        <x:f>SUM(SalesLines!N1927,SalesLines!N1928,SalesLines!N1929)</x:f>
        <x:v>58.8</x:v>
      </x:c>
      <x:c r="J788" s="9" t="n">
        <x:f>SUM(SalesLines!P1927,SalesLines!P1928,SalesLines!P1929)</x:f>
        <x:v>0</x:v>
      </x:c>
      <x:c r="K788" s="11" t="n">
        <x:f>SUM(SalesLines!R1927,SalesLines!R1928,SalesLines!R1929)</x:f>
        <x:v>5</x:v>
      </x:c>
      <x:c r="L788" s="11" t="n">
        <x:f>SUM(SalesLines!S1927,SalesLines!S1928,SalesLines!S1929)</x:f>
        <x:v>0</x:v>
      </x:c>
      <x:c r="M788" s="8" t="n">
        <x:f>DATE(YEAR(C788),MONTH(C788),1)</x:f>
        <x:v>45809</x:v>
      </x:c>
    </x:row>
    <x:row r="789" ht="22" customHeight="1">
      <x:c r="A789" s="2" t="str">
        <x:v>O00785</x:v>
      </x:c>
      <x:c r="B789" s="2" t="str">
        <x:v>C0204</x:v>
      </x:c>
      <x:c r="C789" s="7" t="n">
        <x:v>45928</x:v>
      </x:c>
      <x:c r="D789" s="2" t="str">
        <x:v>Completed</x:v>
      </x:c>
      <x:c r="E789" s="2" t="str">
        <x:v>South</x:v>
      </x:c>
      <x:c r="F789" s="2" t="str">
        <x:v>Online</x:v>
      </x:c>
      <x:c r="G789" s="9" t="n">
        <x:f>SUM(SalesLines!Q1930,SalesLines!Q1931,SalesLines!Q1932,SalesLines!Q1933)</x:f>
        <x:v>1038.2</x:v>
      </x:c>
      <x:c r="H789" s="9" t="n">
        <x:f>SUM(SalesLines!M1930,SalesLines!M1931,SalesLines!M1932,SalesLines!M1933)</x:f>
        <x:v>1231</x:v>
      </x:c>
      <x:c r="I789" s="9" t="n">
        <x:f>SUM(SalesLines!N1930,SalesLines!N1931,SalesLines!N1932,SalesLines!N1933)</x:f>
        <x:v>192.8</x:v>
      </x:c>
      <x:c r="J789" s="9" t="n">
        <x:f>SUM(SalesLines!P1930,SalesLines!P1931,SalesLines!P1932,SalesLines!P1933)</x:f>
        <x:v>0</x:v>
      </x:c>
      <x:c r="K789" s="11" t="n">
        <x:f>SUM(SalesLines!R1930,SalesLines!R1931,SalesLines!R1932,SalesLines!R1933)</x:f>
        <x:v>10</x:v>
      </x:c>
      <x:c r="L789" s="11" t="n">
        <x:f>SUM(SalesLines!S1930,SalesLines!S1931,SalesLines!S1932,SalesLines!S1933)</x:f>
        <x:v>0</x:v>
      </x:c>
      <x:c r="M789" s="8" t="n">
        <x:f>DATE(YEAR(C789),MONTH(C789),1)</x:f>
        <x:v>45901</x:v>
      </x:c>
    </x:row>
    <x:row r="790" ht="22" customHeight="1">
      <x:c r="A790" s="2" t="str">
        <x:v>O00786</x:v>
      </x:c>
      <x:c r="B790" s="2" t="str">
        <x:v>C0064</x:v>
      </x:c>
      <x:c r="C790" s="7" t="n">
        <x:v>45979</x:v>
      </x:c>
      <x:c r="D790" s="2" t="str">
        <x:v>Completed</x:v>
      </x:c>
      <x:c r="E790" s="2" t="str">
        <x:v>North</x:v>
      </x:c>
      <x:c r="F790" s="2" t="str">
        <x:v>Store</x:v>
      </x:c>
      <x:c r="G790" s="9" t="n">
        <x:f>SUM(SalesLines!Q1934,SalesLines!Q1935,SalesLines!Q1936)</x:f>
        <x:v>1775.5</x:v>
      </x:c>
      <x:c r="H790" s="9" t="n">
        <x:f>SUM(SalesLines!M1934,SalesLines!M1935,SalesLines!M1936)</x:f>
        <x:v>1952</x:v>
      </x:c>
      <x:c r="I790" s="9" t="n">
        <x:f>SUM(SalesLines!N1934,SalesLines!N1935,SalesLines!N1936)</x:f>
        <x:v>176.5</x:v>
      </x:c>
      <x:c r="J790" s="9" t="n">
        <x:f>SUM(SalesLines!P1934,SalesLines!P1935,SalesLines!P1936)</x:f>
        <x:v>0</x:v>
      </x:c>
      <x:c r="K790" s="11" t="n">
        <x:f>SUM(SalesLines!R1934,SalesLines!R1935,SalesLines!R1936)</x:f>
        <x:v>10</x:v>
      </x:c>
      <x:c r="L790" s="11" t="n">
        <x:f>SUM(SalesLines!S1934,SalesLines!S1935,SalesLines!S1936)</x:f>
        <x:v>0</x:v>
      </x:c>
      <x:c r="M790" s="8" t="n">
        <x:f>DATE(YEAR(C790),MONTH(C790),1)</x:f>
        <x:v>45962</x:v>
      </x:c>
    </x:row>
    <x:row r="791" ht="22" customHeight="1">
      <x:c r="A791" s="2" t="str">
        <x:v>O00787</x:v>
      </x:c>
      <x:c r="B791" s="2" t="str">
        <x:v>C0254</x:v>
      </x:c>
      <x:c r="C791" s="7" t="n">
        <x:v>45777</x:v>
      </x:c>
      <x:c r="D791" s="2" t="str">
        <x:v>Cancelled</x:v>
      </x:c>
      <x:c r="E791" s="2" t="str">
        <x:v>East</x:v>
      </x:c>
      <x:c r="F791" s="2" t="str">
        <x:v>Store</x:v>
      </x:c>
      <x:c r="G791" s="9" t="n">
        <x:f>SUM(SalesLines!Q1937)</x:f>
        <x:v>0</x:v>
      </x:c>
      <x:c r="H791" s="9" t="n">
        <x:f>SUM(SalesLines!M1937)</x:f>
        <x:v>0</x:v>
      </x:c>
      <x:c r="I791" s="9" t="n">
        <x:f>SUM(SalesLines!N1937)</x:f>
        <x:v>0</x:v>
      </x:c>
      <x:c r="J791" s="9" t="n">
        <x:f>SUM(SalesLines!P1937)</x:f>
        <x:v>0</x:v>
      </x:c>
      <x:c r="K791" s="11" t="n">
        <x:f>SUM(SalesLines!R1937)</x:f>
        <x:v>0</x:v>
      </x:c>
      <x:c r="L791" s="11" t="n">
        <x:f>SUM(SalesLines!S1937)</x:f>
        <x:v>0</x:v>
      </x:c>
      <x:c r="M791" s="8" t="n">
        <x:f>DATE(YEAR(C791),MONTH(C791),1)</x:f>
        <x:v>45748</x:v>
      </x:c>
    </x:row>
    <x:row r="792" ht="22" customHeight="1">
      <x:c r="A792" s="2" t="str">
        <x:v>O00788</x:v>
      </x:c>
      <x:c r="B792" s="2" t="str">
        <x:v>C0272</x:v>
      </x:c>
      <x:c r="C792" s="7" t="n">
        <x:v>46006</x:v>
      </x:c>
      <x:c r="D792" s="2" t="str">
        <x:v>Completed</x:v>
      </x:c>
      <x:c r="E792" s="2" t="str">
        <x:v>West</x:v>
      </x:c>
      <x:c r="F792" s="2" t="str">
        <x:v>Store</x:v>
      </x:c>
      <x:c r="G792" s="9" t="n">
        <x:f>SUM(SalesLines!Q1938)</x:f>
        <x:v>718.2</x:v>
      </x:c>
      <x:c r="H792" s="9" t="n">
        <x:f>SUM(SalesLines!M1938)</x:f>
        <x:v>756</x:v>
      </x:c>
      <x:c r="I792" s="9" t="n">
        <x:f>SUM(SalesLines!N1938)</x:f>
        <x:v>37.800000000000004</x:v>
      </x:c>
      <x:c r="J792" s="9" t="n">
        <x:f>SUM(SalesLines!P1938)</x:f>
        <x:v>0</x:v>
      </x:c>
      <x:c r="K792" s="11" t="n">
        <x:f>SUM(SalesLines!R1938)</x:f>
        <x:v>4</x:v>
      </x:c>
      <x:c r="L792" s="11" t="n">
        <x:f>SUM(SalesLines!S1938)</x:f>
        <x:v>0</x:v>
      </x:c>
      <x:c r="M792" s="8" t="n">
        <x:f>DATE(YEAR(C792),MONTH(C792),1)</x:f>
        <x:v>45992</x:v>
      </x:c>
    </x:row>
    <x:row r="793" ht="22" customHeight="1">
      <x:c r="A793" s="2" t="str">
        <x:v>O00789</x:v>
      </x:c>
      <x:c r="B793" s="2" t="str">
        <x:v>C0066</x:v>
      </x:c>
      <x:c r="C793" s="7" t="n">
        <x:v>45690</x:v>
      </x:c>
      <x:c r="D793" s="2" t="str">
        <x:v>Completed</x:v>
      </x:c>
      <x:c r="E793" s="2" t="str">
        <x:v>North</x:v>
      </x:c>
      <x:c r="F793" s="2" t="str">
        <x:v>Online</x:v>
      </x:c>
      <x:c r="G793" s="9" t="n">
        <x:f>SUM(SalesLines!Q1939,SalesLines!Q1940)</x:f>
        <x:v>870.2</x:v>
      </x:c>
      <x:c r="H793" s="9" t="n">
        <x:f>SUM(SalesLines!M1939,SalesLines!M1940)</x:f>
        <x:v>1030</x:v>
      </x:c>
      <x:c r="I793" s="9" t="n">
        <x:f>SUM(SalesLines!N1939,SalesLines!N1940)</x:f>
        <x:v>159.8</x:v>
      </x:c>
      <x:c r="J793" s="9" t="n">
        <x:f>SUM(SalesLines!P1939,SalesLines!P1940)</x:f>
        <x:v>0</x:v>
      </x:c>
      <x:c r="K793" s="11" t="n">
        <x:f>SUM(SalesLines!R1939,SalesLines!R1940)</x:f>
        <x:v>4</x:v>
      </x:c>
      <x:c r="L793" s="11" t="n">
        <x:f>SUM(SalesLines!S1939,SalesLines!S1940)</x:f>
        <x:v>0</x:v>
      </x:c>
      <x:c r="M793" s="8" t="n">
        <x:f>DATE(YEAR(C793),MONTH(C793),1)</x:f>
        <x:v>45689</x:v>
      </x:c>
    </x:row>
    <x:row r="794" ht="22" customHeight="1">
      <x:c r="A794" s="2" t="str">
        <x:v>O00790</x:v>
      </x:c>
      <x:c r="B794" s="2" t="str">
        <x:v>C0090</x:v>
      </x:c>
      <x:c r="C794" s="7" t="n">
        <x:v>45847</x:v>
      </x:c>
      <x:c r="D794" s="2" t="str">
        <x:v>Completed</x:v>
      </x:c>
      <x:c r="E794" s="2" t="str">
        <x:v>West</x:v>
      </x:c>
      <x:c r="F794" s="2" t="str">
        <x:v>Online</x:v>
      </x:c>
      <x:c r="G794" s="9" t="n">
        <x:f>SUM(SalesLines!Q1941,SalesLines!Q1942)</x:f>
        <x:v>243</x:v>
      </x:c>
      <x:c r="H794" s="9" t="n">
        <x:f>SUM(SalesLines!M1941,SalesLines!M1942)</x:f>
        <x:v>366</x:v>
      </x:c>
      <x:c r="I794" s="9" t="n">
        <x:f>SUM(SalesLines!N1941,SalesLines!N1942)</x:f>
        <x:v>0</x:v>
      </x:c>
      <x:c r="J794" s="9" t="n">
        <x:f>SUM(SalesLines!P1941,SalesLines!P1942)</x:f>
        <x:v>123</x:v>
      </x:c>
      <x:c r="K794" s="11" t="n">
        <x:f>SUM(SalesLines!R1941,SalesLines!R1942)</x:f>
        <x:v>4</x:v>
      </x:c>
      <x:c r="L794" s="11" t="n">
        <x:f>SUM(SalesLines!S1941,SalesLines!S1942)</x:f>
        <x:v>1</x:v>
      </x:c>
      <x:c r="M794" s="8" t="n">
        <x:f>DATE(YEAR(C794),MONTH(C794),1)</x:f>
        <x:v>45839</x:v>
      </x:c>
    </x:row>
    <x:row r="795" ht="22" customHeight="1">
      <x:c r="A795" s="2" t="str">
        <x:v>O00791</x:v>
      </x:c>
      <x:c r="B795" s="2" t="str">
        <x:v>C0171</x:v>
      </x:c>
      <x:c r="C795" s="7" t="n">
        <x:v>46020</x:v>
      </x:c>
      <x:c r="D795" s="2" t="str">
        <x:v>Completed</x:v>
      </x:c>
      <x:c r="E795" s="2" t="str">
        <x:v>South</x:v>
      </x:c>
      <x:c r="F795" s="2" t="str">
        <x:v>Store</x:v>
      </x:c>
      <x:c r="G795" s="9" t="n">
        <x:f>SUM(SalesLines!Q1943,SalesLines!Q1944,SalesLines!Q1945,SalesLines!Q1946)</x:f>
        <x:v>717.6</x:v>
      </x:c>
      <x:c r="H795" s="9" t="n">
        <x:f>SUM(SalesLines!M1943,SalesLines!M1944,SalesLines!M1945,SalesLines!M1946)</x:f>
        <x:v>1007</x:v>
      </x:c>
      <x:c r="I795" s="9" t="n">
        <x:f>SUM(SalesLines!N1943,SalesLines!N1944,SalesLines!N1945,SalesLines!N1946)</x:f>
        <x:v>40.4</x:v>
      </x:c>
      <x:c r="J795" s="9" t="n">
        <x:f>SUM(SalesLines!P1943,SalesLines!P1944,SalesLines!P1945,SalesLines!P1946)</x:f>
        <x:v>249</x:v>
      </x:c>
      <x:c r="K795" s="11" t="n">
        <x:f>SUM(SalesLines!R1943,SalesLines!R1944,SalesLines!R1945,SalesLines!R1946)</x:f>
        <x:v>9</x:v>
      </x:c>
      <x:c r="L795" s="11" t="n">
        <x:f>SUM(SalesLines!S1943,SalesLines!S1944,SalesLines!S1945,SalesLines!S1946)</x:f>
        <x:v>1</x:v>
      </x:c>
      <x:c r="M795" s="8" t="n">
        <x:f>DATE(YEAR(C795),MONTH(C795),1)</x:f>
        <x:v>45992</x:v>
      </x:c>
    </x:row>
    <x:row r="796" ht="22" customHeight="1">
      <x:c r="A796" s="2" t="str">
        <x:v>O00792</x:v>
      </x:c>
      <x:c r="B796" s="2" t="str">
        <x:v>C0195</x:v>
      </x:c>
      <x:c r="C796" s="7" t="n">
        <x:v>45935</x:v>
      </x:c>
      <x:c r="D796" s="2" t="str">
        <x:v>Completed</x:v>
      </x:c>
      <x:c r="E796" s="2" t="str">
        <x:v>West</x:v>
      </x:c>
      <x:c r="F796" s="2" t="str">
        <x:v>Online</x:v>
      </x:c>
      <x:c r="G796" s="9" t="n">
        <x:f>SUM(SalesLines!Q1947,SalesLines!Q1948,SalesLines!Q1949,SalesLines!Q1950)</x:f>
        <x:v>1408</x:v>
      </x:c>
      <x:c r="H796" s="9" t="n">
        <x:f>SUM(SalesLines!M1947,SalesLines!M1948,SalesLines!M1949,SalesLines!M1950)</x:f>
        <x:v>1814</x:v>
      </x:c>
      <x:c r="I796" s="9" t="n">
        <x:f>SUM(SalesLines!N1947,SalesLines!N1948,SalesLines!N1949,SalesLines!N1950)</x:f>
        <x:v>222.7</x:v>
      </x:c>
      <x:c r="J796" s="9" t="n">
        <x:f>SUM(SalesLines!P1947,SalesLines!P1948,SalesLines!P1949,SalesLines!P1950)</x:f>
        <x:v>183.3</x:v>
      </x:c>
      <x:c r="K796" s="11" t="n">
        <x:f>SUM(SalesLines!R1947,SalesLines!R1948,SalesLines!R1949,SalesLines!R1950)</x:f>
        <x:v>12</x:v>
      </x:c>
      <x:c r="L796" s="11" t="n">
        <x:f>SUM(SalesLines!S1947,SalesLines!S1948,SalesLines!S1949,SalesLines!S1950)</x:f>
        <x:v>3</x:v>
      </x:c>
      <x:c r="M796" s="8" t="n">
        <x:f>DATE(YEAR(C796),MONTH(C796),1)</x:f>
        <x:v>45931</x:v>
      </x:c>
    </x:row>
    <x:row r="797" ht="22" customHeight="1">
      <x:c r="A797" s="2" t="str">
        <x:v>O00793</x:v>
      </x:c>
      <x:c r="B797" s="2" t="str">
        <x:v>C0085</x:v>
      </x:c>
      <x:c r="C797" s="7" t="n">
        <x:v>45827</x:v>
      </x:c>
      <x:c r="D797" s="2" t="str">
        <x:v>Completed</x:v>
      </x:c>
      <x:c r="E797" s="2" t="str">
        <x:v>South</x:v>
      </x:c>
      <x:c r="F797" s="2" t="str">
        <x:v>Online</x:v>
      </x:c>
      <x:c r="G797" s="9" t="n">
        <x:f>SUM(SalesLines!Q1951,SalesLines!Q1952,SalesLines!Q1953,SalesLines!Q1954)</x:f>
        <x:v>1364.4</x:v>
      </x:c>
      <x:c r="H797" s="9" t="n">
        <x:f>SUM(SalesLines!M1951,SalesLines!M1952,SalesLines!M1953,SalesLines!M1954)</x:f>
        <x:v>1592</x:v>
      </x:c>
      <x:c r="I797" s="9" t="n">
        <x:f>SUM(SalesLines!N1951,SalesLines!N1952,SalesLines!N1953,SalesLines!N1954)</x:f>
        <x:v>227.60000000000002</x:v>
      </x:c>
      <x:c r="J797" s="9" t="n">
        <x:f>SUM(SalesLines!P1951,SalesLines!P1952,SalesLines!P1953,SalesLines!P1954)</x:f>
        <x:v>0</x:v>
      </x:c>
      <x:c r="K797" s="11" t="n">
        <x:f>SUM(SalesLines!R1951,SalesLines!R1952,SalesLines!R1953,SalesLines!R1954)</x:f>
        <x:v>12</x:v>
      </x:c>
      <x:c r="L797" s="11" t="n">
        <x:f>SUM(SalesLines!S1951,SalesLines!S1952,SalesLines!S1953,SalesLines!S1954)</x:f>
        <x:v>0</x:v>
      </x:c>
      <x:c r="M797" s="8" t="n">
        <x:f>DATE(YEAR(C797),MONTH(C797),1)</x:f>
        <x:v>45809</x:v>
      </x:c>
    </x:row>
    <x:row r="798" ht="22" customHeight="1">
      <x:c r="A798" s="2" t="str">
        <x:v>O00794</x:v>
      </x:c>
      <x:c r="B798" s="2" t="str">
        <x:v>C0192</x:v>
      </x:c>
      <x:c r="C798" s="7" t="n">
        <x:v>45689</x:v>
      </x:c>
      <x:c r="D798" s="2" t="str">
        <x:v>Completed</x:v>
      </x:c>
      <x:c r="E798" s="2" t="str">
        <x:v>South</x:v>
      </x:c>
      <x:c r="F798" s="2" t="str">
        <x:v>Store</x:v>
      </x:c>
      <x:c r="G798" s="9" t="n">
        <x:f>SUM(SalesLines!Q1955)</x:f>
        <x:v>64</x:v>
      </x:c>
      <x:c r="H798" s="9" t="n">
        <x:f>SUM(SalesLines!M1955)</x:f>
        <x:v>80</x:v>
      </x:c>
      <x:c r="I798" s="9" t="n">
        <x:f>SUM(SalesLines!N1955)</x:f>
        <x:v>16</x:v>
      </x:c>
      <x:c r="J798" s="9" t="n">
        <x:f>SUM(SalesLines!P1955)</x:f>
        <x:v>0</x:v>
      </x:c>
      <x:c r="K798" s="11" t="n">
        <x:f>SUM(SalesLines!R1955)</x:f>
        <x:v>1</x:v>
      </x:c>
      <x:c r="L798" s="11" t="n">
        <x:f>SUM(SalesLines!S1955)</x:f>
        <x:v>0</x:v>
      </x:c>
      <x:c r="M798" s="8" t="n">
        <x:f>DATE(YEAR(C798),MONTH(C798),1)</x:f>
        <x:v>45689</x:v>
      </x:c>
    </x:row>
    <x:row r="799" ht="22" customHeight="1">
      <x:c r="A799" s="2" t="str">
        <x:v>O00795</x:v>
      </x:c>
      <x:c r="B799" s="2" t="str">
        <x:v>C0060</x:v>
      </x:c>
      <x:c r="C799" s="7" t="n">
        <x:v>45916</x:v>
      </x:c>
      <x:c r="D799" s="2" t="str">
        <x:v>Completed</x:v>
      </x:c>
      <x:c r="E799" s="2" t="str">
        <x:v>South</x:v>
      </x:c>
      <x:c r="F799" s="2" t="str">
        <x:v>Online</x:v>
      </x:c>
      <x:c r="G799" s="9" t="n">
        <x:f>SUM(SalesLines!Q1956,SalesLines!Q1957,SalesLines!Q1958)</x:f>
        <x:v>1153.1000000000001</x:v>
      </x:c>
      <x:c r="H799" s="9" t="n">
        <x:f>SUM(SalesLines!M1956,SalesLines!M1957,SalesLines!M1958)</x:f>
        <x:v>1276</x:v>
      </x:c>
      <x:c r="I799" s="9" t="n">
        <x:f>SUM(SalesLines!N1956,SalesLines!N1957,SalesLines!N1958)</x:f>
        <x:v>122.9</x:v>
      </x:c>
      <x:c r="J799" s="9" t="n">
        <x:f>SUM(SalesLines!P1956,SalesLines!P1957,SalesLines!P1958)</x:f>
        <x:v>0</x:v>
      </x:c>
      <x:c r="K799" s="11" t="n">
        <x:f>SUM(SalesLines!R1956,SalesLines!R1957,SalesLines!R1958)</x:f>
        <x:v>5</x:v>
      </x:c>
      <x:c r="L799" s="11" t="n">
        <x:f>SUM(SalesLines!S1956,SalesLines!S1957,SalesLines!S1958)</x:f>
        <x:v>0</x:v>
      </x:c>
      <x:c r="M799" s="8" t="n">
        <x:f>DATE(YEAR(C799),MONTH(C799),1)</x:f>
        <x:v>45901</x:v>
      </x:c>
    </x:row>
    <x:row r="800" ht="22" customHeight="1">
      <x:c r="A800" s="2" t="str">
        <x:v>O00796</x:v>
      </x:c>
      <x:c r="B800" s="2" t="str">
        <x:v>C0201</x:v>
      </x:c>
      <x:c r="C800" s="7" t="n">
        <x:v>45662</x:v>
      </x:c>
      <x:c r="D800" s="2" t="str">
        <x:v>Completed</x:v>
      </x:c>
      <x:c r="E800" s="2" t="str">
        <x:v>East</x:v>
      </x:c>
      <x:c r="F800" s="2" t="str">
        <x:v>Online</x:v>
      </x:c>
      <x:c r="G800" s="9" t="n">
        <x:f>SUM(SalesLines!Q1959)</x:f>
        <x:v>280.8</x:v>
      </x:c>
      <x:c r="H800" s="9" t="n">
        <x:f>SUM(SalesLines!M1959)</x:f>
        <x:v>312</x:v>
      </x:c>
      <x:c r="I800" s="9" t="n">
        <x:f>SUM(SalesLines!N1959)</x:f>
        <x:v>31.200000000000003</x:v>
      </x:c>
      <x:c r="J800" s="9" t="n">
        <x:f>SUM(SalesLines!P1959)</x:f>
        <x:v>0</x:v>
      </x:c>
      <x:c r="K800" s="11" t="n">
        <x:f>SUM(SalesLines!R1959)</x:f>
        <x:v>4</x:v>
      </x:c>
      <x:c r="L800" s="11" t="n">
        <x:f>SUM(SalesLines!S1959)</x:f>
        <x:v>0</x:v>
      </x:c>
      <x:c r="M800" s="8" t="n">
        <x:f>DATE(YEAR(C800),MONTH(C800),1)</x:f>
        <x:v>45658</x:v>
      </x:c>
    </x:row>
    <x:row r="801" ht="22" customHeight="1">
      <x:c r="A801" s="2" t="str">
        <x:v>O00797</x:v>
      </x:c>
      <x:c r="B801" s="2" t="str">
        <x:v>C0055</x:v>
      </x:c>
      <x:c r="C801" s="7" t="n">
        <x:v>45910</x:v>
      </x:c>
      <x:c r="D801" s="2" t="str">
        <x:v>Completed</x:v>
      </x:c>
      <x:c r="E801" s="2" t="str">
        <x:v>East</x:v>
      </x:c>
      <x:c r="F801" s="2" t="str">
        <x:v>Online</x:v>
      </x:c>
      <x:c r="G801" s="9" t="n">
        <x:f>SUM(SalesLines!Q1960)</x:f>
        <x:v>784</x:v>
      </x:c>
      <x:c r="H801" s="9" t="n">
        <x:f>SUM(SalesLines!M1960)</x:f>
        <x:v>980</x:v>
      </x:c>
      <x:c r="I801" s="9" t="n">
        <x:f>SUM(SalesLines!N1960)</x:f>
        <x:v>196</x:v>
      </x:c>
      <x:c r="J801" s="9" t="n">
        <x:f>SUM(SalesLines!P1960)</x:f>
        <x:v>0</x:v>
      </x:c>
      <x:c r="K801" s="11" t="n">
        <x:f>SUM(SalesLines!R1960)</x:f>
        <x:v>5</x:v>
      </x:c>
      <x:c r="L801" s="11" t="n">
        <x:f>SUM(SalesLines!S1960)</x:f>
        <x:v>0</x:v>
      </x:c>
      <x:c r="M801" s="8" t="n">
        <x:f>DATE(YEAR(C801),MONTH(C801),1)</x:f>
        <x:v>45901</x:v>
      </x:c>
    </x:row>
    <x:row r="802" ht="22" customHeight="1">
      <x:c r="A802" s="2" t="str">
        <x:v>O00798</x:v>
      </x:c>
      <x:c r="B802" s="2" t="str">
        <x:v>C0100</x:v>
      </x:c>
      <x:c r="C802" s="7" t="n">
        <x:v>45758</x:v>
      </x:c>
      <x:c r="D802" s="2" t="str">
        <x:v>Completed</x:v>
      </x:c>
      <x:c r="E802" s="2" t="str">
        <x:v>West</x:v>
      </x:c>
      <x:c r="F802" s="2" t="str">
        <x:v>Online</x:v>
      </x:c>
      <x:c r="G802" s="9" t="n">
        <x:f>SUM(SalesLines!Q1961,SalesLines!Q1962,SalesLines!Q1963)</x:f>
        <x:v>1818.6</x:v>
      </x:c>
      <x:c r="H802" s="9" t="n">
        <x:f>SUM(SalesLines!M1961,SalesLines!M1962,SalesLines!M1963)</x:f>
        <x:v>2100</x:v>
      </x:c>
      <x:c r="I802" s="9" t="n">
        <x:f>SUM(SalesLines!N1961,SalesLines!N1962,SalesLines!N1963)</x:f>
        <x:v>281.40000000000003</x:v>
      </x:c>
      <x:c r="J802" s="9" t="n">
        <x:f>SUM(SalesLines!P1961,SalesLines!P1962,SalesLines!P1963)</x:f>
        <x:v>0</x:v>
      </x:c>
      <x:c r="K802" s="11" t="n">
        <x:f>SUM(SalesLines!R1961,SalesLines!R1962,SalesLines!R1963)</x:f>
        <x:v>10</x:v>
      </x:c>
      <x:c r="L802" s="11" t="n">
        <x:f>SUM(SalesLines!S1961,SalesLines!S1962,SalesLines!S1963)</x:f>
        <x:v>0</x:v>
      </x:c>
      <x:c r="M802" s="8" t="n">
        <x:f>DATE(YEAR(C802),MONTH(C802),1)</x:f>
        <x:v>45748</x:v>
      </x:c>
    </x:row>
    <x:row r="803" ht="22" customHeight="1">
      <x:c r="A803" s="2" t="str">
        <x:v>O00799</x:v>
      </x:c>
      <x:c r="B803" s="2" t="str">
        <x:v>C0249</x:v>
      </x:c>
      <x:c r="C803" s="7" t="n">
        <x:v>45668</x:v>
      </x:c>
      <x:c r="D803" s="2" t="str">
        <x:v>Completed</x:v>
      </x:c>
      <x:c r="E803" s="2" t="str">
        <x:v>North</x:v>
      </x:c>
      <x:c r="F803" s="2" t="str">
        <x:v>Store</x:v>
      </x:c>
      <x:c r="G803" s="9" t="n">
        <x:f>SUM(SalesLines!Q1964)</x:f>
        <x:v>931</x:v>
      </x:c>
      <x:c r="H803" s="9" t="n">
        <x:f>SUM(SalesLines!M1964)</x:f>
        <x:v>980</x:v>
      </x:c>
      <x:c r="I803" s="9" t="n">
        <x:f>SUM(SalesLines!N1964)</x:f>
        <x:v>49</x:v>
      </x:c>
      <x:c r="J803" s="9" t="n">
        <x:f>SUM(SalesLines!P1964)</x:f>
        <x:v>0</x:v>
      </x:c>
      <x:c r="K803" s="11" t="n">
        <x:f>SUM(SalesLines!R1964)</x:f>
        <x:v>5</x:v>
      </x:c>
      <x:c r="L803" s="11" t="n">
        <x:f>SUM(SalesLines!S1964)</x:f>
        <x:v>0</x:v>
      </x:c>
      <x:c r="M803" s="8" t="n">
        <x:f>DATE(YEAR(C803),MONTH(C803),1)</x:f>
        <x:v>45658</x:v>
      </x:c>
    </x:row>
    <x:row r="804" ht="22" customHeight="1">
      <x:c r="A804" s="2" t="str">
        <x:v>O00800</x:v>
      </x:c>
      <x:c r="B804" s="2" t="str">
        <x:v>C0107</x:v>
      </x:c>
      <x:c r="C804" s="7" t="n">
        <x:v>45799</x:v>
      </x:c>
      <x:c r="D804" s="2" t="str">
        <x:v>Completed</x:v>
      </x:c>
      <x:c r="E804" s="2" t="str">
        <x:v>South</x:v>
      </x:c>
      <x:c r="F804" s="2" t="str">
        <x:v>Store</x:v>
      </x:c>
      <x:c r="G804" s="9" t="n">
        <x:f>SUM(SalesLines!Q1965,SalesLines!Q1966,SalesLines!Q1967)</x:f>
        <x:v>686.1</x:v>
      </x:c>
      <x:c r="H804" s="9" t="n">
        <x:f>SUM(SalesLines!M1965,SalesLines!M1966,SalesLines!M1967)</x:f>
        <x:v>803</x:v>
      </x:c>
      <x:c r="I804" s="9" t="n">
        <x:f>SUM(SalesLines!N1965,SalesLines!N1966,SalesLines!N1967)</x:f>
        <x:v>116.9</x:v>
      </x:c>
      <x:c r="J804" s="9" t="n">
        <x:f>SUM(SalesLines!P1965,SalesLines!P1966,SalesLines!P1967)</x:f>
        <x:v>0</x:v>
      </x:c>
      <x:c r="K804" s="11" t="n">
        <x:f>SUM(SalesLines!R1965,SalesLines!R1966,SalesLines!R1967)</x:f>
        <x:v>8</x:v>
      </x:c>
      <x:c r="L804" s="11" t="n">
        <x:f>SUM(SalesLines!S1965,SalesLines!S1966,SalesLines!S1967)</x:f>
        <x:v>0</x:v>
      </x:c>
      <x:c r="M804" s="8" t="n">
        <x:f>DATE(YEAR(C804),MONTH(C804),1)</x:f>
        <x:v>45778</x:v>
      </x:c>
    </x:row>
    <x:row r="805" ht="22" customHeight="1">
      <x:c r="A805" s="2" t="str">
        <x:v>O00801</x:v>
      </x:c>
      <x:c r="B805" s="2" t="str">
        <x:v>C0137</x:v>
      </x:c>
      <x:c r="C805" s="7" t="n">
        <x:v>45868</x:v>
      </x:c>
      <x:c r="D805" s="2" t="str">
        <x:v>Completed</x:v>
      </x:c>
      <x:c r="E805" s="2" t="str">
        <x:v>South</x:v>
      </x:c>
      <x:c r="F805" s="2" t="str">
        <x:v>Store</x:v>
      </x:c>
      <x:c r="G805" s="9" t="n">
        <x:f>SUM(SalesLines!Q1968,SalesLines!Q1969,SalesLines!Q1970,SalesLines!Q1971)</x:f>
        <x:v>2204.1</x:v>
      </x:c>
      <x:c r="H805" s="9" t="n">
        <x:f>SUM(SalesLines!M1968,SalesLines!M1969,SalesLines!M1970,SalesLines!M1971)</x:f>
        <x:v>2547</x:v>
      </x:c>
      <x:c r="I805" s="9" t="n">
        <x:f>SUM(SalesLines!N1968,SalesLines!N1969,SalesLines!N1970,SalesLines!N1971)</x:f>
        <x:v>342.9</x:v>
      </x:c>
      <x:c r="J805" s="9" t="n">
        <x:f>SUM(SalesLines!P1968,SalesLines!P1969,SalesLines!P1970,SalesLines!P1971)</x:f>
        <x:v>0</x:v>
      </x:c>
      <x:c r="K805" s="11" t="n">
        <x:f>SUM(SalesLines!R1968,SalesLines!R1969,SalesLines!R1970,SalesLines!R1971)</x:f>
        <x:v>12</x:v>
      </x:c>
      <x:c r="L805" s="11" t="n">
        <x:f>SUM(SalesLines!S1968,SalesLines!S1969,SalesLines!S1970,SalesLines!S1971)</x:f>
        <x:v>0</x:v>
      </x:c>
      <x:c r="M805" s="8" t="n">
        <x:f>DATE(YEAR(C805),MONTH(C805),1)</x:f>
        <x:v>45839</x:v>
      </x:c>
    </x:row>
    <x:row r="806" ht="22" customHeight="1">
      <x:c r="A806" s="2" t="str">
        <x:v>O00802</x:v>
      </x:c>
      <x:c r="B806" s="2" t="str">
        <x:v>C0156</x:v>
      </x:c>
      <x:c r="C806" s="7" t="n">
        <x:v>45999</x:v>
      </x:c>
      <x:c r="D806" s="2" t="str">
        <x:v>Completed</x:v>
      </x:c>
      <x:c r="E806" s="2" t="str">
        <x:v>South</x:v>
      </x:c>
      <x:c r="F806" s="2" t="str">
        <x:v>Online</x:v>
      </x:c>
      <x:c r="G806" s="9" t="n">
        <x:f>SUM(SalesLines!Q1972,SalesLines!Q1973,SalesLines!Q1974,SalesLines!Q1975)</x:f>
        <x:v>2845.05</x:v>
      </x:c>
      <x:c r="H806" s="9" t="n">
        <x:f>SUM(SalesLines!M1972,SalesLines!M1973,SalesLines!M1974,SalesLines!M1975)</x:f>
        <x:v>3190</x:v>
      </x:c>
      <x:c r="I806" s="9" t="n">
        <x:f>SUM(SalesLines!N1972,SalesLines!N1973,SalesLines!N1974,SalesLines!N1975)</x:f>
        <x:v>344.95000000000005</x:v>
      </x:c>
      <x:c r="J806" s="9" t="n">
        <x:f>SUM(SalesLines!P1972,SalesLines!P1973,SalesLines!P1974,SalesLines!P1975)</x:f>
        <x:v>0</x:v>
      </x:c>
      <x:c r="K806" s="11" t="n">
        <x:f>SUM(SalesLines!R1972,SalesLines!R1973,SalesLines!R1974,SalesLines!R1975)</x:f>
        <x:v>16</x:v>
      </x:c>
      <x:c r="L806" s="11" t="n">
        <x:f>SUM(SalesLines!S1972,SalesLines!S1973,SalesLines!S1974,SalesLines!S1975)</x:f>
        <x:v>0</x:v>
      </x:c>
      <x:c r="M806" s="8" t="n">
        <x:f>DATE(YEAR(C806),MONTH(C806),1)</x:f>
        <x:v>45992</x:v>
      </x:c>
    </x:row>
    <x:row r="807" ht="22" customHeight="1">
      <x:c r="A807" s="2" t="str">
        <x:v>O00803</x:v>
      </x:c>
      <x:c r="B807" s="2" t="str">
        <x:v>C0105</x:v>
      </x:c>
      <x:c r="C807" s="7" t="n">
        <x:v>45713</x:v>
      </x:c>
      <x:c r="D807" s="2" t="str">
        <x:v>Completed</x:v>
      </x:c>
      <x:c r="E807" s="2" t="str">
        <x:v>South</x:v>
      </x:c>
      <x:c r="F807" s="2" t="str">
        <x:v>Store</x:v>
      </x:c>
      <x:c r="G807" s="9" t="n">
        <x:f>SUM(SalesLines!Q1976,SalesLines!Q1977,SalesLines!Q1978,SalesLines!Q1979)</x:f>
        <x:v>2433.25</x:v>
      </x:c>
      <x:c r="H807" s="9" t="n">
        <x:f>SUM(SalesLines!M1976,SalesLines!M1977,SalesLines!M1978,SalesLines!M1979)</x:f>
        <x:v>3005</x:v>
      </x:c>
      <x:c r="I807" s="9" t="n">
        <x:f>SUM(SalesLines!N1976,SalesLines!N1977,SalesLines!N1978,SalesLines!N1979)</x:f>
        <x:v>571.75</x:v>
      </x:c>
      <x:c r="J807" s="9" t="n">
        <x:f>SUM(SalesLines!P1976,SalesLines!P1977,SalesLines!P1978,SalesLines!P1979)</x:f>
        <x:v>0</x:v>
      </x:c>
      <x:c r="K807" s="11" t="n">
        <x:f>SUM(SalesLines!R1976,SalesLines!R1977,SalesLines!R1978,SalesLines!R1979)</x:f>
        <x:v>13</x:v>
      </x:c>
      <x:c r="L807" s="11" t="n">
        <x:f>SUM(SalesLines!S1976,SalesLines!S1977,SalesLines!S1978,SalesLines!S1979)</x:f>
        <x:v>0</x:v>
      </x:c>
      <x:c r="M807" s="8" t="n">
        <x:f>DATE(YEAR(C807),MONTH(C807),1)</x:f>
        <x:v>45689</x:v>
      </x:c>
    </x:row>
    <x:row r="808" ht="22" customHeight="1">
      <x:c r="A808" s="2" t="str">
        <x:v>O00804</x:v>
      </x:c>
      <x:c r="B808" s="2" t="str">
        <x:v>C0267</x:v>
      </x:c>
      <x:c r="C808" s="7" t="n">
        <x:v>46000</x:v>
      </x:c>
      <x:c r="D808" s="2" t="str">
        <x:v>Completed</x:v>
      </x:c>
      <x:c r="E808" s="2" t="str">
        <x:v>West</x:v>
      </x:c>
      <x:c r="F808" s="2" t="str">
        <x:v>Store</x:v>
      </x:c>
      <x:c r="G808" s="9" t="n">
        <x:f>SUM(SalesLines!Q1980,SalesLines!Q1981)</x:f>
        <x:v>1761.8</x:v>
      </x:c>
      <x:c r="H808" s="9" t="n">
        <x:f>SUM(SalesLines!M1980,SalesLines!M1981)</x:f>
        <x:v>1847</x:v>
      </x:c>
      <x:c r="I808" s="9" t="n">
        <x:f>SUM(SalesLines!N1980,SalesLines!N1981)</x:f>
        <x:v>85.2</x:v>
      </x:c>
      <x:c r="J808" s="9" t="n">
        <x:f>SUM(SalesLines!P1980,SalesLines!P1981)</x:f>
        <x:v>0</x:v>
      </x:c>
      <x:c r="K808" s="11" t="n">
        <x:f>SUM(SalesLines!R1980,SalesLines!R1981)</x:f>
        <x:v>8</x:v>
      </x:c>
      <x:c r="L808" s="11" t="n">
        <x:f>SUM(SalesLines!S1980,SalesLines!S1981)</x:f>
        <x:v>0</x:v>
      </x:c>
      <x:c r="M808" s="8" t="n">
        <x:f>DATE(YEAR(C808),MONTH(C808),1)</x:f>
        <x:v>45992</x:v>
      </x:c>
    </x:row>
    <x:row r="809" ht="22" customHeight="1">
      <x:c r="A809" s="2" t="str">
        <x:v>O00805</x:v>
      </x:c>
      <x:c r="B809" s="2" t="str">
        <x:v>C0241</x:v>
      </x:c>
      <x:c r="C809" s="7" t="n">
        <x:v>45935</x:v>
      </x:c>
      <x:c r="D809" s="2" t="str">
        <x:v>Completed</x:v>
      </x:c>
      <x:c r="E809" s="2" t="str">
        <x:v>North</x:v>
      </x:c>
      <x:c r="F809" s="2" t="str">
        <x:v>Online</x:v>
      </x:c>
      <x:c r="G809" s="9" t="n">
        <x:f>SUM(SalesLines!Q1982)</x:f>
        <x:v>402</x:v>
      </x:c>
      <x:c r="H809" s="9" t="n">
        <x:f>SUM(SalesLines!M1982)</x:f>
        <x:v>402</x:v>
      </x:c>
      <x:c r="I809" s="9" t="n">
        <x:f>SUM(SalesLines!N1982)</x:f>
        <x:v>0</x:v>
      </x:c>
      <x:c r="J809" s="9" t="n">
        <x:f>SUM(SalesLines!P1982)</x:f>
        <x:v>0</x:v>
      </x:c>
      <x:c r="K809" s="11" t="n">
        <x:f>SUM(SalesLines!R1982)</x:f>
        <x:v>3</x:v>
      </x:c>
      <x:c r="L809" s="11" t="n">
        <x:f>SUM(SalesLines!S1982)</x:f>
        <x:v>0</x:v>
      </x:c>
      <x:c r="M809" s="8" t="n">
        <x:f>DATE(YEAR(C809),MONTH(C809),1)</x:f>
        <x:v>45931</x:v>
      </x:c>
    </x:row>
    <x:row r="810" ht="22" customHeight="1">
      <x:c r="A810" s="2" t="str">
        <x:v>O00806</x:v>
      </x:c>
      <x:c r="B810" s="2" t="str">
        <x:v>C0025</x:v>
      </x:c>
      <x:c r="C810" s="7" t="n">
        <x:v>45874</x:v>
      </x:c>
      <x:c r="D810" s="2" t="str">
        <x:v>Completed</x:v>
      </x:c>
      <x:c r="E810" s="2" t="str">
        <x:v>East</x:v>
      </x:c>
      <x:c r="F810" s="2" t="str">
        <x:v>Online</x:v>
      </x:c>
      <x:c r="G810" s="9" t="n">
        <x:f>SUM(SalesLines!Q1983)</x:f>
        <x:v>855</x:v>
      </x:c>
      <x:c r="H810" s="9" t="n">
        <x:f>SUM(SalesLines!M1983)</x:f>
        <x:v>900</x:v>
      </x:c>
      <x:c r="I810" s="9" t="n">
        <x:f>SUM(SalesLines!N1983)</x:f>
        <x:v>45</x:v>
      </x:c>
      <x:c r="J810" s="9" t="n">
        <x:f>SUM(SalesLines!P1983)</x:f>
        <x:v>0</x:v>
      </x:c>
      <x:c r="K810" s="11" t="n">
        <x:f>SUM(SalesLines!R1983)</x:f>
        <x:v>3</x:v>
      </x:c>
      <x:c r="L810" s="11" t="n">
        <x:f>SUM(SalesLines!S1983)</x:f>
        <x:v>0</x:v>
      </x:c>
      <x:c r="M810" s="8" t="n">
        <x:f>DATE(YEAR(C810),MONTH(C810),1)</x:f>
        <x:v>45870</x:v>
      </x:c>
    </x:row>
    <x:row r="811" ht="22" customHeight="1">
      <x:c r="A811" s="2" t="str">
        <x:v>O00807</x:v>
      </x:c>
      <x:c r="B811" s="2" t="str">
        <x:v>C0180</x:v>
      </x:c>
      <x:c r="C811" s="7" t="n">
        <x:v>45949</x:v>
      </x:c>
      <x:c r="D811" s="2" t="str">
        <x:v>Completed</x:v>
      </x:c>
      <x:c r="E811" s="2" t="str">
        <x:v>West</x:v>
      </x:c>
      <x:c r="F811" s="2" t="str">
        <x:v>Store</x:v>
      </x:c>
      <x:c r="G811" s="9" t="n">
        <x:f>SUM(SalesLines!Q1984)</x:f>
        <x:v>28</x:v>
      </x:c>
      <x:c r="H811" s="9" t="n">
        <x:f>SUM(SalesLines!M1984)</x:f>
        <x:v>105</x:v>
      </x:c>
      <x:c r="I811" s="9" t="n">
        <x:f>SUM(SalesLines!N1984)</x:f>
        <x:v>21</x:v>
      </x:c>
      <x:c r="J811" s="9" t="n">
        <x:f>SUM(SalesLines!P1984)</x:f>
        <x:v>56</x:v>
      </x:c>
      <x:c r="K811" s="11" t="n">
        <x:f>SUM(SalesLines!R1984)</x:f>
        <x:v>3</x:v>
      </x:c>
      <x:c r="L811" s="11" t="n">
        <x:f>SUM(SalesLines!S1984)</x:f>
        <x:v>2</x:v>
      </x:c>
      <x:c r="M811" s="8" t="n">
        <x:f>DATE(YEAR(C811),MONTH(C811),1)</x:f>
        <x:v>45931</x:v>
      </x:c>
    </x:row>
    <x:row r="812" ht="22" customHeight="1">
      <x:c r="A812" s="2" t="str">
        <x:v>O00808</x:v>
      </x:c>
      <x:c r="B812" s="2" t="str">
        <x:v>C0159</x:v>
      </x:c>
      <x:c r="C812" s="7" t="n">
        <x:v>45824</x:v>
      </x:c>
      <x:c r="D812" s="2" t="str">
        <x:v>Completed</x:v>
      </x:c>
      <x:c r="E812" s="2" t="str">
        <x:v>West</x:v>
      </x:c>
      <x:c r="F812" s="2" t="str">
        <x:v>Store</x:v>
      </x:c>
      <x:c r="G812" s="9" t="n">
        <x:f>SUM(SalesLines!Q1985,SalesLines!Q1986,SalesLines!Q1987)</x:f>
        <x:v>1357.05</x:v>
      </x:c>
      <x:c r="H812" s="9" t="n">
        <x:f>SUM(SalesLines!M1985,SalesLines!M1986,SalesLines!M1987)</x:f>
        <x:v>1440</x:v>
      </x:c>
      <x:c r="I812" s="9" t="n">
        <x:f>SUM(SalesLines!N1985,SalesLines!N1986,SalesLines!N1987)</x:f>
        <x:v>82.95</x:v>
      </x:c>
      <x:c r="J812" s="9" t="n">
        <x:f>SUM(SalesLines!P1985,SalesLines!P1986,SalesLines!P1987)</x:f>
        <x:v>0</x:v>
      </x:c>
      <x:c r="K812" s="11" t="n">
        <x:f>SUM(SalesLines!R1985,SalesLines!R1986,SalesLines!R1987)</x:f>
        <x:v>10</x:v>
      </x:c>
      <x:c r="L812" s="11" t="n">
        <x:f>SUM(SalesLines!S1985,SalesLines!S1986,SalesLines!S1987)</x:f>
        <x:v>0</x:v>
      </x:c>
      <x:c r="M812" s="8" t="n">
        <x:f>DATE(YEAR(C812),MONTH(C812),1)</x:f>
        <x:v>45809</x:v>
      </x:c>
    </x:row>
    <x:row r="813" ht="22" customHeight="1">
      <x:c r="A813" s="2" t="str">
        <x:v>O00809</x:v>
      </x:c>
      <x:c r="B813" s="2" t="str">
        <x:v>C0097</x:v>
      </x:c>
      <x:c r="C813" s="7" t="n">
        <x:v>45794</x:v>
      </x:c>
      <x:c r="D813" s="2" t="str">
        <x:v>Completed</x:v>
      </x:c>
      <x:c r="E813" s="2" t="str">
        <x:v>West</x:v>
      </x:c>
      <x:c r="F813" s="2" t="str">
        <x:v>Online</x:v>
      </x:c>
      <x:c r="G813" s="9" t="n">
        <x:f>SUM(SalesLines!Q1988)</x:f>
        <x:v>1176</x:v>
      </x:c>
      <x:c r="H813" s="9" t="n">
        <x:f>SUM(SalesLines!M1988)</x:f>
        <x:v>1470</x:v>
      </x:c>
      <x:c r="I813" s="9" t="n">
        <x:f>SUM(SalesLines!N1988)</x:f>
        <x:v>294</x:v>
      </x:c>
      <x:c r="J813" s="9" t="n">
        <x:f>SUM(SalesLines!P1988)</x:f>
        <x:v>0</x:v>
      </x:c>
      <x:c r="K813" s="11" t="n">
        <x:f>SUM(SalesLines!R1988)</x:f>
        <x:v>5</x:v>
      </x:c>
      <x:c r="L813" s="11" t="n">
        <x:f>SUM(SalesLines!S1988)</x:f>
        <x:v>0</x:v>
      </x:c>
      <x:c r="M813" s="8" t="n">
        <x:f>DATE(YEAR(C813),MONTH(C813),1)</x:f>
        <x:v>45778</x:v>
      </x:c>
    </x:row>
    <x:row r="814" ht="22" customHeight="1">
      <x:c r="A814" s="2" t="str">
        <x:v>O00810</x:v>
      </x:c>
      <x:c r="B814" s="2" t="str">
        <x:v>C0101</x:v>
      </x:c>
      <x:c r="C814" s="7" t="n">
        <x:v>45681</x:v>
      </x:c>
      <x:c r="D814" s="2" t="str">
        <x:v>Completed</x:v>
      </x:c>
      <x:c r="E814" s="2" t="str">
        <x:v>South</x:v>
      </x:c>
      <x:c r="F814" s="2" t="str">
        <x:v>Store</x:v>
      </x:c>
      <x:c r="G814" s="9" t="n">
        <x:f>SUM(SalesLines!Q1989,SalesLines!Q1990)</x:f>
        <x:v>582</x:v>
      </x:c>
      <x:c r="H814" s="9" t="n">
        <x:f>SUM(SalesLines!M1989,SalesLines!M1990)</x:f>
        <x:v>664</x:v>
      </x:c>
      <x:c r="I814" s="9" t="n">
        <x:f>SUM(SalesLines!N1989,SalesLines!N1990)</x:f>
        <x:v>82</x:v>
      </x:c>
      <x:c r="J814" s="9" t="n">
        <x:f>SUM(SalesLines!P1989,SalesLines!P1990)</x:f>
        <x:v>0</x:v>
      </x:c>
      <x:c r="K814" s="11" t="n">
        <x:f>SUM(SalesLines!R1989,SalesLines!R1990)</x:f>
        <x:v>4</x:v>
      </x:c>
      <x:c r="L814" s="11" t="n">
        <x:f>SUM(SalesLines!S1989,SalesLines!S1990)</x:f>
        <x:v>0</x:v>
      </x:c>
      <x:c r="M814" s="8" t="n">
        <x:f>DATE(YEAR(C814),MONTH(C814),1)</x:f>
        <x:v>45658</x:v>
      </x:c>
    </x:row>
    <x:row r="815" ht="22" customHeight="1">
      <x:c r="A815" s="2" t="str">
        <x:v>O00811</x:v>
      </x:c>
      <x:c r="B815" s="2" t="str">
        <x:v>C0136</x:v>
      </x:c>
      <x:c r="C815" s="7" t="n">
        <x:v>45821</x:v>
      </x:c>
      <x:c r="D815" s="2" t="str">
        <x:v>Completed</x:v>
      </x:c>
      <x:c r="E815" s="2" t="str">
        <x:v>West</x:v>
      </x:c>
      <x:c r="F815" s="2" t="str">
        <x:v>Store</x:v>
      </x:c>
      <x:c r="G815" s="9" t="n">
        <x:f>SUM(SalesLines!Q1991,SalesLines!Q1992,SalesLines!Q1993)</x:f>
        <x:v>1873.6</x:v>
      </x:c>
      <x:c r="H815" s="9" t="n">
        <x:f>SUM(SalesLines!M1991,SalesLines!M1992,SalesLines!M1993)</x:f>
        <x:v>2014</x:v>
      </x:c>
      <x:c r="I815" s="9" t="n">
        <x:f>SUM(SalesLines!N1991,SalesLines!N1992,SalesLines!N1993)</x:f>
        <x:v>140.4</x:v>
      </x:c>
      <x:c r="J815" s="9" t="n">
        <x:f>SUM(SalesLines!P1991,SalesLines!P1992,SalesLines!P1993)</x:f>
        <x:v>0</x:v>
      </x:c>
      <x:c r="K815" s="11" t="n">
        <x:f>SUM(SalesLines!R1991,SalesLines!R1992,SalesLines!R1993)</x:f>
        <x:v>13</x:v>
      </x:c>
      <x:c r="L815" s="11" t="n">
        <x:f>SUM(SalesLines!S1991,SalesLines!S1992,SalesLines!S1993)</x:f>
        <x:v>0</x:v>
      </x:c>
      <x:c r="M815" s="8" t="n">
        <x:f>DATE(YEAR(C815),MONTH(C815),1)</x:f>
        <x:v>45809</x:v>
      </x:c>
    </x:row>
    <x:row r="816" ht="22" customHeight="1">
      <x:c r="A816" s="2" t="str">
        <x:v>O00812</x:v>
      </x:c>
      <x:c r="B816" s="2" t="str">
        <x:v>C0264</x:v>
      </x:c>
      <x:c r="C816" s="7" t="n">
        <x:v>45684</x:v>
      </x:c>
      <x:c r="D816" s="2" t="str">
        <x:v>Completed</x:v>
      </x:c>
      <x:c r="E816" s="2" t="str">
        <x:v>South</x:v>
      </x:c>
      <x:c r="F816" s="2" t="str">
        <x:v>Store</x:v>
      </x:c>
      <x:c r="G816" s="9" t="n">
        <x:f>SUM(SalesLines!Q1994,SalesLines!Q1995)</x:f>
        <x:v>1420</x:v>
      </x:c>
      <x:c r="H816" s="9" t="n">
        <x:f>SUM(SalesLines!M1994,SalesLines!M1995)</x:f>
        <x:v>1501</x:v>
      </x:c>
      <x:c r="I816" s="9" t="n">
        <x:f>SUM(SalesLines!N1994,SalesLines!N1995)</x:f>
        <x:v>16.2</x:v>
      </x:c>
      <x:c r="J816" s="9" t="n">
        <x:f>SUM(SalesLines!P1994,SalesLines!P1995)</x:f>
        <x:v>64.8</x:v>
      </x:c>
      <x:c r="K816" s="11" t="n">
        <x:f>SUM(SalesLines!R1994,SalesLines!R1995)</x:f>
        <x:v>6</x:v>
      </x:c>
      <x:c r="L816" s="11" t="n">
        <x:f>SUM(SalesLines!S1994,SalesLines!S1995)</x:f>
        <x:v>1</x:v>
      </x:c>
      <x:c r="M816" s="8" t="n">
        <x:f>DATE(YEAR(C816),MONTH(C816),1)</x:f>
        <x:v>45658</x:v>
      </x:c>
    </x:row>
    <x:row r="817" ht="22" customHeight="1">
      <x:c r="A817" s="2" t="str">
        <x:v>O00813</x:v>
      </x:c>
      <x:c r="B817" s="2" t="str">
        <x:v>C0119</x:v>
      </x:c>
      <x:c r="C817" s="7" t="n">
        <x:v>45978</x:v>
      </x:c>
      <x:c r="D817" s="2" t="str">
        <x:v>Completed</x:v>
      </x:c>
      <x:c r="E817" s="2" t="str">
        <x:v>North</x:v>
      </x:c>
      <x:c r="F817" s="2" t="str">
        <x:v>Store</x:v>
      </x:c>
      <x:c r="G817" s="9" t="n">
        <x:f>SUM(SalesLines!Q1996,SalesLines!Q1997)</x:f>
        <x:v>333.25</x:v>
      </x:c>
      <x:c r="H817" s="9" t="n">
        <x:f>SUM(SalesLines!M1996,SalesLines!M1997)</x:f>
        <x:v>335</x:v>
      </x:c>
      <x:c r="I817" s="9" t="n">
        <x:f>SUM(SalesLines!N1996,SalesLines!N1997)</x:f>
        <x:v>1.75</x:v>
      </x:c>
      <x:c r="J817" s="9" t="n">
        <x:f>SUM(SalesLines!P1996,SalesLines!P1997)</x:f>
        <x:v>0</x:v>
      </x:c>
      <x:c r="K817" s="11" t="n">
        <x:f>SUM(SalesLines!R1996,SalesLines!R1997)</x:f>
        <x:v>2</x:v>
      </x:c>
      <x:c r="L817" s="11" t="n">
        <x:f>SUM(SalesLines!S1996,SalesLines!S1997)</x:f>
        <x:v>0</x:v>
      </x:c>
      <x:c r="M817" s="8" t="n">
        <x:f>DATE(YEAR(C817),MONTH(C817),1)</x:f>
        <x:v>45962</x:v>
      </x:c>
    </x:row>
    <x:row r="818" ht="22" customHeight="1">
      <x:c r="A818" s="2" t="str">
        <x:v>O00814</x:v>
      </x:c>
      <x:c r="B818" s="2" t="str">
        <x:v>C0098</x:v>
      </x:c>
      <x:c r="C818" s="7" t="n">
        <x:v>45989</x:v>
      </x:c>
      <x:c r="D818" s="2" t="str">
        <x:v>Completed</x:v>
      </x:c>
      <x:c r="E818" s="2" t="str">
        <x:v>West</x:v>
      </x:c>
      <x:c r="F818" s="2" t="str">
        <x:v>Online</x:v>
      </x:c>
      <x:c r="G818" s="9" t="n">
        <x:f>SUM(SalesLines!Q1998)</x:f>
        <x:v>204</x:v>
      </x:c>
      <x:c r="H818" s="9" t="n">
        <x:f>SUM(SalesLines!M1998)</x:f>
        <x:v>204</x:v>
      </x:c>
      <x:c r="I818" s="9" t="n">
        <x:f>SUM(SalesLines!N1998)</x:f>
        <x:v>0</x:v>
      </x:c>
      <x:c r="J818" s="9" t="n">
        <x:f>SUM(SalesLines!P1998)</x:f>
        <x:v>0</x:v>
      </x:c>
      <x:c r="K818" s="11" t="n">
        <x:f>SUM(SalesLines!R1998)</x:f>
        <x:v>3</x:v>
      </x:c>
      <x:c r="L818" s="11" t="n">
        <x:f>SUM(SalesLines!S1998)</x:f>
        <x:v>0</x:v>
      </x:c>
      <x:c r="M818" s="8" t="n">
        <x:f>DATE(YEAR(C818),MONTH(C818),1)</x:f>
        <x:v>45962</x:v>
      </x:c>
    </x:row>
    <x:row r="819" ht="22" customHeight="1">
      <x:c r="A819" s="2" t="str">
        <x:v>O00815</x:v>
      </x:c>
      <x:c r="B819" s="2" t="str">
        <x:v>C0180</x:v>
      </x:c>
      <x:c r="C819" s="7" t="n">
        <x:v>45884</x:v>
      </x:c>
      <x:c r="D819" s="2" t="str">
        <x:v>Completed</x:v>
      </x:c>
      <x:c r="E819" s="2" t="str">
        <x:v>West</x:v>
      </x:c>
      <x:c r="F819" s="2" t="str">
        <x:v>Online</x:v>
      </x:c>
      <x:c r="G819" s="9" t="n">
        <x:f>SUM(SalesLines!Q1999,SalesLines!Q2000)</x:f>
        <x:v>896.5</x:v>
      </x:c>
      <x:c r="H819" s="9" t="n">
        <x:f>SUM(SalesLines!M1999,SalesLines!M2000)</x:f>
        <x:v>930</x:v>
      </x:c>
      <x:c r="I819" s="9" t="n">
        <x:f>SUM(SalesLines!N1999,SalesLines!N2000)</x:f>
        <x:v>33.5</x:v>
      </x:c>
      <x:c r="J819" s="9" t="n">
        <x:f>SUM(SalesLines!P1999,SalesLines!P2000)</x:f>
        <x:v>0</x:v>
      </x:c>
      <x:c r="K819" s="11" t="n">
        <x:f>SUM(SalesLines!R1999,SalesLines!R2000)</x:f>
        <x:v>9</x:v>
      </x:c>
      <x:c r="L819" s="11" t="n">
        <x:f>SUM(SalesLines!S1999,SalesLines!S2000)</x:f>
        <x:v>0</x:v>
      </x:c>
      <x:c r="M819" s="8" t="n">
        <x:f>DATE(YEAR(C819),MONTH(C819),1)</x:f>
        <x:v>45870</x:v>
      </x:c>
    </x:row>
    <x:row r="820" ht="22" customHeight="1">
      <x:c r="A820" s="2" t="str">
        <x:v>O00816</x:v>
      </x:c>
      <x:c r="B820" s="2" t="str">
        <x:v>C0245</x:v>
      </x:c>
      <x:c r="C820" s="7" t="n">
        <x:v>45834</x:v>
      </x:c>
      <x:c r="D820" s="2" t="str">
        <x:v>Completed</x:v>
      </x:c>
      <x:c r="E820" s="2" t="str">
        <x:v>North</x:v>
      </x:c>
      <x:c r="F820" s="2" t="str">
        <x:v>Store</x:v>
      </x:c>
      <x:c r="G820" s="9" t="n">
        <x:f>SUM(SalesLines!Q2001,SalesLines!Q2002,SalesLines!Q2003)</x:f>
        <x:v>568.3</x:v>
      </x:c>
      <x:c r="H820" s="9" t="n">
        <x:f>SUM(SalesLines!M2001,SalesLines!M2002,SalesLines!M2003)</x:f>
        <x:v>583</x:v>
      </x:c>
      <x:c r="I820" s="9" t="n">
        <x:f>SUM(SalesLines!N2001,SalesLines!N2002,SalesLines!N2003)</x:f>
        <x:v>14.7</x:v>
      </x:c>
      <x:c r="J820" s="9" t="n">
        <x:f>SUM(SalesLines!P2001,SalesLines!P2002,SalesLines!P2003)</x:f>
        <x:v>0</x:v>
      </x:c>
      <x:c r="K820" s="11" t="n">
        <x:f>SUM(SalesLines!R2001,SalesLines!R2002,SalesLines!R2003)</x:f>
        <x:v>5</x:v>
      </x:c>
      <x:c r="L820" s="11" t="n">
        <x:f>SUM(SalesLines!S2001,SalesLines!S2002,SalesLines!S2003)</x:f>
        <x:v>0</x:v>
      </x:c>
      <x:c r="M820" s="8" t="n">
        <x:f>DATE(YEAR(C820),MONTH(C820),1)</x:f>
        <x:v>45809</x:v>
      </x:c>
    </x:row>
    <x:row r="821" ht="22" customHeight="1">
      <x:c r="A821" s="2" t="str">
        <x:v>O00817</x:v>
      </x:c>
      <x:c r="B821" s="2" t="str">
        <x:v>C0258</x:v>
      </x:c>
      <x:c r="C821" s="7" t="n">
        <x:v>45734</x:v>
      </x:c>
      <x:c r="D821" s="2" t="str">
        <x:v>Completed</x:v>
      </x:c>
      <x:c r="E821" s="2" t="str">
        <x:v>South</x:v>
      </x:c>
      <x:c r="F821" s="2" t="str">
        <x:v>Store</x:v>
      </x:c>
      <x:c r="G821" s="9" t="n">
        <x:f>SUM(SalesLines!Q2004,SalesLines!Q2005)</x:f>
        <x:v>428.8</x:v>
      </x:c>
      <x:c r="H821" s="9" t="n">
        <x:f>SUM(SalesLines!M2004,SalesLines!M2005)</x:f>
        <x:v>670</x:v>
      </x:c>
      <x:c r="I821" s="9" t="n">
        <x:f>SUM(SalesLines!N2004,SalesLines!N2005)</x:f>
        <x:v>107.2</x:v>
      </x:c>
      <x:c r="J821" s="9" t="n">
        <x:f>SUM(SalesLines!P2004,SalesLines!P2005)</x:f>
        <x:v>134</x:v>
      </x:c>
      <x:c r="K821" s="11" t="n">
        <x:f>SUM(SalesLines!R2004,SalesLines!R2005)</x:f>
        <x:v>5</x:v>
      </x:c>
      <x:c r="L821" s="11" t="n">
        <x:f>SUM(SalesLines!S2004,SalesLines!S2005)</x:f>
        <x:v>1</x:v>
      </x:c>
      <x:c r="M821" s="8" t="n">
        <x:f>DATE(YEAR(C821),MONTH(C821),1)</x:f>
        <x:v>45717</x:v>
      </x:c>
    </x:row>
    <x:row r="822" ht="22" customHeight="1">
      <x:c r="A822" s="2" t="str">
        <x:v>O00818</x:v>
      </x:c>
      <x:c r="B822" s="2" t="str">
        <x:v>C0067</x:v>
      </x:c>
      <x:c r="C822" s="7" t="n">
        <x:v>45940</x:v>
      </x:c>
      <x:c r="D822" s="2" t="str">
        <x:v>Completed</x:v>
      </x:c>
      <x:c r="E822" s="2" t="str">
        <x:v>East</x:v>
      </x:c>
      <x:c r="F822" s="2" t="str">
        <x:v>Store</x:v>
      </x:c>
      <x:c r="G822" s="9" t="n">
        <x:f>SUM(SalesLines!Q2006,SalesLines!Q2007,SalesLines!Q2008)</x:f>
        <x:v>1058.3999999999999</x:v>
      </x:c>
      <x:c r="H822" s="9" t="n">
        <x:f>SUM(SalesLines!M2006,SalesLines!M2007,SalesLines!M2008)</x:f>
        <x:v>1176</x:v>
      </x:c>
      <x:c r="I822" s="9" t="n">
        <x:f>SUM(SalesLines!N2006,SalesLines!N2007,SalesLines!N2008)</x:f>
        <x:v>117.60000000000001</x:v>
      </x:c>
      <x:c r="J822" s="9" t="n">
        <x:f>SUM(SalesLines!P2006,SalesLines!P2007,SalesLines!P2008)</x:f>
        <x:v>0</x:v>
      </x:c>
      <x:c r="K822" s="11" t="n">
        <x:f>SUM(SalesLines!R2006,SalesLines!R2007,SalesLines!R2008)</x:f>
        <x:v>9</x:v>
      </x:c>
      <x:c r="L822" s="11" t="n">
        <x:f>SUM(SalesLines!S2006,SalesLines!S2007,SalesLines!S2008)</x:f>
        <x:v>0</x:v>
      </x:c>
      <x:c r="M822" s="8" t="n">
        <x:f>DATE(YEAR(C822),MONTH(C822),1)</x:f>
        <x:v>45931</x:v>
      </x:c>
    </x:row>
    <x:row r="823" ht="22" customHeight="1">
      <x:c r="A823" s="2" t="str">
        <x:v>O00819</x:v>
      </x:c>
      <x:c r="B823" s="2" t="str">
        <x:v>C0252</x:v>
      </x:c>
      <x:c r="C823" s="7" t="n">
        <x:v>45798</x:v>
      </x:c>
      <x:c r="D823" s="2" t="str">
        <x:v>Cancelled</x:v>
      </x:c>
      <x:c r="E823" s="2" t="str">
        <x:v>West</x:v>
      </x:c>
      <x:c r="F823" s="2" t="str">
        <x:v>Online</x:v>
      </x:c>
      <x:c r="G823" s="9" t="n">
        <x:f>SUM(SalesLines!Q2009,SalesLines!Q2010)</x:f>
        <x:v>0</x:v>
      </x:c>
      <x:c r="H823" s="9" t="n">
        <x:f>SUM(SalesLines!M2009,SalesLines!M2010)</x:f>
        <x:v>0</x:v>
      </x:c>
      <x:c r="I823" s="9" t="n">
        <x:f>SUM(SalesLines!N2009,SalesLines!N2010)</x:f>
        <x:v>0</x:v>
      </x:c>
      <x:c r="J823" s="9" t="n">
        <x:f>SUM(SalesLines!P2009,SalesLines!P2010)</x:f>
        <x:v>0</x:v>
      </x:c>
      <x:c r="K823" s="11" t="n">
        <x:f>SUM(SalesLines!R2009,SalesLines!R2010)</x:f>
        <x:v>0</x:v>
      </x:c>
      <x:c r="L823" s="11" t="n">
        <x:f>SUM(SalesLines!S2009,SalesLines!S2010)</x:f>
        <x:v>0</x:v>
      </x:c>
      <x:c r="M823" s="8" t="n">
        <x:f>DATE(YEAR(C823),MONTH(C823),1)</x:f>
        <x:v>45778</x:v>
      </x:c>
    </x:row>
    <x:row r="824" ht="22" customHeight="1">
      <x:c r="A824" s="2" t="str">
        <x:v>O00820</x:v>
      </x:c>
      <x:c r="B824" s="2" t="str">
        <x:v>C0286</x:v>
      </x:c>
      <x:c r="C824" s="7" t="n">
        <x:v>46000</x:v>
      </x:c>
      <x:c r="D824" s="2" t="str">
        <x:v>Completed</x:v>
      </x:c>
      <x:c r="E824" s="2" t="str">
        <x:v>West</x:v>
      </x:c>
      <x:c r="F824" s="2" t="str">
        <x:v>Online</x:v>
      </x:c>
      <x:c r="G824" s="9" t="n">
        <x:f>SUM(SalesLines!Q2011,SalesLines!Q2012,SalesLines!Q2013,SalesLines!Q2014)</x:f>
        <x:v>3202.5</x:v>
      </x:c>
      <x:c r="H824" s="9" t="n">
        <x:f>SUM(SalesLines!M2011,SalesLines!M2012,SalesLines!M2013,SalesLines!M2014)</x:f>
        <x:v>3297</x:v>
      </x:c>
      <x:c r="I824" s="9" t="n">
        <x:f>SUM(SalesLines!N2011,SalesLines!N2012,SalesLines!N2013,SalesLines!N2014)</x:f>
        <x:v>94.5</x:v>
      </x:c>
      <x:c r="J824" s="9" t="n">
        <x:f>SUM(SalesLines!P2011,SalesLines!P2012,SalesLines!P2013,SalesLines!P2014)</x:f>
        <x:v>0</x:v>
      </x:c>
      <x:c r="K824" s="11" t="n">
        <x:f>SUM(SalesLines!R2011,SalesLines!R2012,SalesLines!R2013,SalesLines!R2014)</x:f>
        <x:v>12</x:v>
      </x:c>
      <x:c r="L824" s="11" t="n">
        <x:f>SUM(SalesLines!S2011,SalesLines!S2012,SalesLines!S2013,SalesLines!S2014)</x:f>
        <x:v>0</x:v>
      </x:c>
      <x:c r="M824" s="8" t="n">
        <x:f>DATE(YEAR(C824),MONTH(C824),1)</x:f>
        <x:v>45992</x:v>
      </x:c>
    </x:row>
    <x:row r="825" ht="22" customHeight="1">
      <x:c r="A825" s="2" t="str">
        <x:v>O00821</x:v>
      </x:c>
      <x:c r="B825" s="2" t="str">
        <x:v>C0180</x:v>
      </x:c>
      <x:c r="C825" s="7" t="n">
        <x:v>45766</x:v>
      </x:c>
      <x:c r="D825" s="2" t="str">
        <x:v>Completed</x:v>
      </x:c>
      <x:c r="E825" s="2" t="str">
        <x:v>West</x:v>
      </x:c>
      <x:c r="F825" s="2" t="str">
        <x:v>Store</x:v>
      </x:c>
      <x:c r="G825" s="9" t="n">
        <x:f>SUM(SalesLines!Q2015,SalesLines!Q2016)</x:f>
        <x:v>1146.4</x:v>
      </x:c>
      <x:c r="H825" s="9" t="n">
        <x:f>SUM(SalesLines!M2015,SalesLines!M2016)</x:f>
        <x:v>1244</x:v>
      </x:c>
      <x:c r="I825" s="9" t="n">
        <x:f>SUM(SalesLines!N2015,SalesLines!N2016)</x:f>
        <x:v>97.60000000000001</x:v>
      </x:c>
      <x:c r="J825" s="9" t="n">
        <x:f>SUM(SalesLines!P2015,SalesLines!P2016)</x:f>
        <x:v>0</x:v>
      </x:c>
      <x:c r="K825" s="11" t="n">
        <x:f>SUM(SalesLines!R2015,SalesLines!R2016)</x:f>
        <x:v>8</x:v>
      </x:c>
      <x:c r="L825" s="11" t="n">
        <x:f>SUM(SalesLines!S2015,SalesLines!S2016)</x:f>
        <x:v>0</x:v>
      </x:c>
      <x:c r="M825" s="8" t="n">
        <x:f>DATE(YEAR(C825),MONTH(C825),1)</x:f>
        <x:v>45748</x:v>
      </x:c>
    </x:row>
    <x:row r="826" ht="22" customHeight="1">
      <x:c r="A826" s="2" t="str">
        <x:v>O00822</x:v>
      </x:c>
      <x:c r="B826" s="2" t="str">
        <x:v>C0184</x:v>
      </x:c>
      <x:c r="C826" s="7" t="n">
        <x:v>45962</x:v>
      </x:c>
      <x:c r="D826" s="2" t="str">
        <x:v>Completed</x:v>
      </x:c>
      <x:c r="E826" s="2" t="str">
        <x:v>West</x:v>
      </x:c>
      <x:c r="F826" s="2" t="str">
        <x:v>Store</x:v>
      </x:c>
      <x:c r="G826" s="9" t="n">
        <x:f>SUM(SalesLines!Q2017,SalesLines!Q2018)</x:f>
        <x:v>847</x:v>
      </x:c>
      <x:c r="H826" s="9" t="n">
        <x:f>SUM(SalesLines!M2017,SalesLines!M2018)</x:f>
        <x:v>860</x:v>
      </x:c>
      <x:c r="I826" s="9" t="n">
        <x:f>SUM(SalesLines!N2017,SalesLines!N2018)</x:f>
        <x:v>13</x:v>
      </x:c>
      <x:c r="J826" s="9" t="n">
        <x:f>SUM(SalesLines!P2017,SalesLines!P2018)</x:f>
        <x:v>0</x:v>
      </x:c>
      <x:c r="K826" s="11" t="n">
        <x:f>SUM(SalesLines!R2017,SalesLines!R2018)</x:f>
        <x:v>6</x:v>
      </x:c>
      <x:c r="L826" s="11" t="n">
        <x:f>SUM(SalesLines!S2017,SalesLines!S2018)</x:f>
        <x:v>0</x:v>
      </x:c>
      <x:c r="M826" s="8" t="n">
        <x:f>DATE(YEAR(C826),MONTH(C826),1)</x:f>
        <x:v>45962</x:v>
      </x:c>
    </x:row>
    <x:row r="827" ht="22" customHeight="1">
      <x:c r="A827" s="2" t="str">
        <x:v>O00823</x:v>
      </x:c>
      <x:c r="B827" s="2" t="str">
        <x:v>C0067</x:v>
      </x:c>
      <x:c r="C827" s="7" t="n">
        <x:v>45995</x:v>
      </x:c>
      <x:c r="D827" s="2" t="str">
        <x:v>Completed</x:v>
      </x:c>
      <x:c r="E827" s="2" t="str">
        <x:v>East</x:v>
      </x:c>
      <x:c r="F827" s="2" t="str">
        <x:v>Store</x:v>
      </x:c>
      <x:c r="G827" s="9" t="n">
        <x:f>SUM(SalesLines!Q2019)</x:f>
        <x:v>160</x:v>
      </x:c>
      <x:c r="H827" s="9" t="n">
        <x:f>SUM(SalesLines!M2019)</x:f>
        <x:v>160</x:v>
      </x:c>
      <x:c r="I827" s="9" t="n">
        <x:f>SUM(SalesLines!N2019)</x:f>
        <x:v>0</x:v>
      </x:c>
      <x:c r="J827" s="9" t="n">
        <x:f>SUM(SalesLines!P2019)</x:f>
        <x:v>0</x:v>
      </x:c>
      <x:c r="K827" s="11" t="n">
        <x:f>SUM(SalesLines!R2019)</x:f>
        <x:v>2</x:v>
      </x:c>
      <x:c r="L827" s="11" t="n">
        <x:f>SUM(SalesLines!S2019)</x:f>
        <x:v>0</x:v>
      </x:c>
      <x:c r="M827" s="8" t="n">
        <x:f>DATE(YEAR(C827),MONTH(C827),1)</x:f>
        <x:v>45992</x:v>
      </x:c>
    </x:row>
    <x:row r="828" ht="22" customHeight="1">
      <x:c r="A828" s="2" t="str">
        <x:v>O00824</x:v>
      </x:c>
      <x:c r="B828" s="2" t="str">
        <x:v>C0065</x:v>
      </x:c>
      <x:c r="C828" s="7" t="n">
        <x:v>45737</x:v>
      </x:c>
      <x:c r="D828" s="2" t="str">
        <x:v>Completed</x:v>
      </x:c>
      <x:c r="E828" s="2" t="str">
        <x:v>East</x:v>
      </x:c>
      <x:c r="F828" s="2" t="str">
        <x:v>Store</x:v>
      </x:c>
      <x:c r="G828" s="9" t="n">
        <x:f>SUM(SalesLines!Q2020)</x:f>
        <x:v>122.4</x:v>
      </x:c>
      <x:c r="H828" s="9" t="n">
        <x:f>SUM(SalesLines!M2020)</x:f>
        <x:v>136</x:v>
      </x:c>
      <x:c r="I828" s="9" t="n">
        <x:f>SUM(SalesLines!N2020)</x:f>
        <x:v>13.600000000000001</x:v>
      </x:c>
      <x:c r="J828" s="9" t="n">
        <x:f>SUM(SalesLines!P2020)</x:f>
        <x:v>0</x:v>
      </x:c>
      <x:c r="K828" s="11" t="n">
        <x:f>SUM(SalesLines!R2020)</x:f>
        <x:v>2</x:v>
      </x:c>
      <x:c r="L828" s="11" t="n">
        <x:f>SUM(SalesLines!S2020)</x:f>
        <x:v>0</x:v>
      </x:c>
      <x:c r="M828" s="8" t="n">
        <x:f>DATE(YEAR(C828),MONTH(C828),1)</x:f>
        <x:v>45717</x:v>
      </x:c>
    </x:row>
    <x:row r="829" ht="22" customHeight="1">
      <x:c r="A829" s="2" t="str">
        <x:v>O00825</x:v>
      </x:c>
      <x:c r="B829" s="2" t="str">
        <x:v>C0109</x:v>
      </x:c>
      <x:c r="C829" s="7" t="n">
        <x:v>45852</x:v>
      </x:c>
      <x:c r="D829" s="2" t="str">
        <x:v>Completed</x:v>
      </x:c>
      <x:c r="E829" s="2" t="str">
        <x:v>West</x:v>
      </x:c>
      <x:c r="F829" s="2" t="str">
        <x:v>Store</x:v>
      </x:c>
      <x:c r="G829" s="9" t="n">
        <x:f>SUM(SalesLines!Q2021)</x:f>
        <x:v>756</x:v>
      </x:c>
      <x:c r="H829" s="9" t="n">
        <x:f>SUM(SalesLines!M2021)</x:f>
        <x:v>945</x:v>
      </x:c>
      <x:c r="I829" s="9" t="n">
        <x:f>SUM(SalesLines!N2021)</x:f>
        <x:v>189</x:v>
      </x:c>
      <x:c r="J829" s="9" t="n">
        <x:f>SUM(SalesLines!P2021)</x:f>
        <x:v>0</x:v>
      </x:c>
      <x:c r="K829" s="11" t="n">
        <x:f>SUM(SalesLines!R2021)</x:f>
        <x:v>5</x:v>
      </x:c>
      <x:c r="L829" s="11" t="n">
        <x:f>SUM(SalesLines!S2021)</x:f>
        <x:v>0</x:v>
      </x:c>
      <x:c r="M829" s="8" t="n">
        <x:f>DATE(YEAR(C829),MONTH(C829),1)</x:f>
        <x:v>45839</x:v>
      </x:c>
    </x:row>
    <x:row r="830" ht="22" customHeight="1">
      <x:c r="A830" s="2" t="str">
        <x:v>O00826</x:v>
      </x:c>
      <x:c r="B830" s="2" t="str">
        <x:v>C0235</x:v>
      </x:c>
      <x:c r="C830" s="7" t="n">
        <x:v>45767</x:v>
      </x:c>
      <x:c r="D830" s="2" t="str">
        <x:v>Completed</x:v>
      </x:c>
      <x:c r="E830" s="2" t="str">
        <x:v>North</x:v>
      </x:c>
      <x:c r="F830" s="2" t="str">
        <x:v>Store</x:v>
      </x:c>
      <x:c r="G830" s="9" t="n">
        <x:f>SUM(SalesLines!Q2022,SalesLines!Q2023,SalesLines!Q2024,SalesLines!Q2025)</x:f>
        <x:v>1275.8500000000001</x:v>
      </x:c>
      <x:c r="H830" s="9" t="n">
        <x:f>SUM(SalesLines!M2022,SalesLines!M2023,SalesLines!M2024,SalesLines!M2025)</x:f>
        <x:v>1362</x:v>
      </x:c>
      <x:c r="I830" s="9" t="n">
        <x:f>SUM(SalesLines!N2022,SalesLines!N2023,SalesLines!N2024,SalesLines!N2025)</x:f>
        <x:v>86.14999999999999</x:v>
      </x:c>
      <x:c r="J830" s="9" t="n">
        <x:f>SUM(SalesLines!P2022,SalesLines!P2023,SalesLines!P2024,SalesLines!P2025)</x:f>
        <x:v>0</x:v>
      </x:c>
      <x:c r="K830" s="11" t="n">
        <x:f>SUM(SalesLines!R2022,SalesLines!R2023,SalesLines!R2024,SalesLines!R2025)</x:f>
        <x:v>7</x:v>
      </x:c>
      <x:c r="L830" s="11" t="n">
        <x:f>SUM(SalesLines!S2022,SalesLines!S2023,SalesLines!S2024,SalesLines!S2025)</x:f>
        <x:v>0</x:v>
      </x:c>
      <x:c r="M830" s="8" t="n">
        <x:f>DATE(YEAR(C830),MONTH(C830),1)</x:f>
        <x:v>45748</x:v>
      </x:c>
    </x:row>
    <x:row r="831" ht="22" customHeight="1">
      <x:c r="A831" s="2" t="str">
        <x:v>O00827</x:v>
      </x:c>
      <x:c r="B831" s="2" t="str">
        <x:v>C0238</x:v>
      </x:c>
      <x:c r="C831" s="7" t="n">
        <x:v>45869</x:v>
      </x:c>
      <x:c r="D831" s="2" t="str">
        <x:v>Completed</x:v>
      </x:c>
      <x:c r="E831" s="2" t="str">
        <x:v>East</x:v>
      </x:c>
      <x:c r="F831" s="2" t="str">
        <x:v>Store</x:v>
      </x:c>
      <x:c r="G831" s="9" t="n">
        <x:f>SUM(SalesLines!Q2026,SalesLines!Q2027)</x:f>
        <x:v>517</x:v>
      </x:c>
      <x:c r="H831" s="9" t="n">
        <x:f>SUM(SalesLines!M2026,SalesLines!M2027)</x:f>
        <x:v>530</x:v>
      </x:c>
      <x:c r="I831" s="9" t="n">
        <x:f>SUM(SalesLines!N2026,SalesLines!N2027)</x:f>
        <x:v>13</x:v>
      </x:c>
      <x:c r="J831" s="9" t="n">
        <x:f>SUM(SalesLines!P2026,SalesLines!P2027)</x:f>
        <x:v>0</x:v>
      </x:c>
      <x:c r="K831" s="11" t="n">
        <x:f>SUM(SalesLines!R2026,SalesLines!R2027)</x:f>
        <x:v>7</x:v>
      </x:c>
      <x:c r="L831" s="11" t="n">
        <x:f>SUM(SalesLines!S2026,SalesLines!S2027)</x:f>
        <x:v>0</x:v>
      </x:c>
      <x:c r="M831" s="8" t="n">
        <x:f>DATE(YEAR(C831),MONTH(C831),1)</x:f>
        <x:v>45839</x:v>
      </x:c>
    </x:row>
    <x:row r="832" ht="22" customHeight="1">
      <x:c r="A832" s="2" t="str">
        <x:v>O00828</x:v>
      </x:c>
      <x:c r="B832" s="2" t="str">
        <x:v>C0075</x:v>
      </x:c>
      <x:c r="C832" s="7" t="n">
        <x:v>45866</x:v>
      </x:c>
      <x:c r="D832" s="2" t="str">
        <x:v>Completed</x:v>
      </x:c>
      <x:c r="E832" s="2" t="str">
        <x:v>South</x:v>
      </x:c>
      <x:c r="F832" s="2" t="str">
        <x:v>Online</x:v>
      </x:c>
      <x:c r="G832" s="9" t="n">
        <x:f>SUM(SalesLines!Q2028,SalesLines!Q2029,SalesLines!Q2030)</x:f>
        <x:v>1195.8000000000002</x:v>
      </x:c>
      <x:c r="H832" s="9" t="n">
        <x:f>SUM(SalesLines!M2028,SalesLines!M2029,SalesLines!M2030)</x:f>
        <x:v>1314</x:v>
      </x:c>
      <x:c r="I832" s="9" t="n">
        <x:f>SUM(SalesLines!N2028,SalesLines!N2029,SalesLines!N2030)</x:f>
        <x:v>118.20000000000002</x:v>
      </x:c>
      <x:c r="J832" s="9" t="n">
        <x:f>SUM(SalesLines!P2028,SalesLines!P2029,SalesLines!P2030)</x:f>
        <x:v>0</x:v>
      </x:c>
      <x:c r="K832" s="11" t="n">
        <x:f>SUM(SalesLines!R2028,SalesLines!R2029,SalesLines!R2030)</x:f>
        <x:v>9</x:v>
      </x:c>
      <x:c r="L832" s="11" t="n">
        <x:f>SUM(SalesLines!S2028,SalesLines!S2029,SalesLines!S2030)</x:f>
        <x:v>0</x:v>
      </x:c>
      <x:c r="M832" s="8" t="n">
        <x:f>DATE(YEAR(C832),MONTH(C832),1)</x:f>
        <x:v>45839</x:v>
      </x:c>
    </x:row>
    <x:row r="833" ht="22" customHeight="1">
      <x:c r="A833" s="2" t="str">
        <x:v>O00829</x:v>
      </x:c>
      <x:c r="B833" s="2" t="str">
        <x:v>C0192</x:v>
      </x:c>
      <x:c r="C833" s="7" t="n">
        <x:v>45982</x:v>
      </x:c>
      <x:c r="D833" s="2" t="str">
        <x:v>Completed</x:v>
      </x:c>
      <x:c r="E833" s="2" t="str">
        <x:v>South</x:v>
      </x:c>
      <x:c r="F833" s="2" t="str">
        <x:v>Online</x:v>
      </x:c>
      <x:c r="G833" s="9" t="n">
        <x:f>SUM(SalesLines!Q2031,SalesLines!Q2032,SalesLines!Q2033,SalesLines!Q2034)</x:f>
        <x:v>1641.15</x:v>
      </x:c>
      <x:c r="H833" s="9" t="n">
        <x:f>SUM(SalesLines!M2031,SalesLines!M2032,SalesLines!M2033,SalesLines!M2034)</x:f>
        <x:v>1994</x:v>
      </x:c>
      <x:c r="I833" s="9" t="n">
        <x:f>SUM(SalesLines!N2031,SalesLines!N2032,SalesLines!N2033,SalesLines!N2034)</x:f>
        <x:v>196.05</x:v>
      </x:c>
      <x:c r="J833" s="9" t="n">
        <x:f>SUM(SalesLines!P2031,SalesLines!P2032,SalesLines!P2033,SalesLines!P2034)</x:f>
        <x:v>156.8</x:v>
      </x:c>
      <x:c r="K833" s="11" t="n">
        <x:f>SUM(SalesLines!R2031,SalesLines!R2032,SalesLines!R2033,SalesLines!R2034)</x:f>
        <x:v>14</x:v>
      </x:c>
      <x:c r="L833" s="11" t="n">
        <x:f>SUM(SalesLines!S2031,SalesLines!S2032,SalesLines!S2033,SalesLines!S2034)</x:f>
        <x:v>1</x:v>
      </x:c>
      <x:c r="M833" s="8" t="n">
        <x:f>DATE(YEAR(C833),MONTH(C833),1)</x:f>
        <x:v>45962</x:v>
      </x:c>
    </x:row>
    <x:row r="834" ht="22" customHeight="1">
      <x:c r="A834" s="2" t="str">
        <x:v>O00830</x:v>
      </x:c>
      <x:c r="B834" s="2" t="str">
        <x:v>C0255</x:v>
      </x:c>
      <x:c r="C834" s="7" t="n">
        <x:v>45832</x:v>
      </x:c>
      <x:c r="D834" s="2" t="str">
        <x:v>Completed</x:v>
      </x:c>
      <x:c r="E834" s="2" t="str">
        <x:v>South</x:v>
      </x:c>
      <x:c r="F834" s="2" t="str">
        <x:v>Online</x:v>
      </x:c>
      <x:c r="G834" s="9" t="n">
        <x:f>SUM(SalesLines!Q2035,SalesLines!Q2036,SalesLines!Q2037)</x:f>
        <x:v>521.2</x:v>
      </x:c>
      <x:c r="H834" s="9" t="n">
        <x:f>SUM(SalesLines!M2035,SalesLines!M2036,SalesLines!M2037)</x:f>
        <x:v>609</x:v>
      </x:c>
      <x:c r="I834" s="9" t="n">
        <x:f>SUM(SalesLines!N2035,SalesLines!N2036,SalesLines!N2037)</x:f>
        <x:v>87.8</x:v>
      </x:c>
      <x:c r="J834" s="9" t="n">
        <x:f>SUM(SalesLines!P2035,SalesLines!P2036,SalesLines!P2037)</x:f>
        <x:v>0</x:v>
      </x:c>
      <x:c r="K834" s="11" t="n">
        <x:f>SUM(SalesLines!R2035,SalesLines!R2036,SalesLines!R2037)</x:f>
        <x:v>8</x:v>
      </x:c>
      <x:c r="L834" s="11" t="n">
        <x:f>SUM(SalesLines!S2035,SalesLines!S2036,SalesLines!S2037)</x:f>
        <x:v>0</x:v>
      </x:c>
      <x:c r="M834" s="8" t="n">
        <x:f>DATE(YEAR(C834),MONTH(C834),1)</x:f>
        <x:v>45809</x:v>
      </x:c>
    </x:row>
    <x:row r="835" ht="22" customHeight="1">
      <x:c r="A835" s="2" t="str">
        <x:v>O00831</x:v>
      </x:c>
      <x:c r="B835" s="2" t="str">
        <x:v>C0089</x:v>
      </x:c>
      <x:c r="C835" s="7" t="n">
        <x:v>45843</x:v>
      </x:c>
      <x:c r="D835" s="2" t="str">
        <x:v>Completed</x:v>
      </x:c>
      <x:c r="E835" s="2" t="str">
        <x:v>South</x:v>
      </x:c>
      <x:c r="F835" s="2" t="str">
        <x:v>Online</x:v>
      </x:c>
      <x:c r="G835" s="9" t="n">
        <x:f>SUM(SalesLines!Q2038,SalesLines!Q2039,SalesLines!Q2040)</x:f>
        <x:v>2095.5</x:v>
      </x:c>
      <x:c r="H835" s="9" t="n">
        <x:f>SUM(SalesLines!M2038,SalesLines!M2039,SalesLines!M2040)</x:f>
        <x:v>2286</x:v>
      </x:c>
      <x:c r="I835" s="9" t="n">
        <x:f>SUM(SalesLines!N2038,SalesLines!N2039,SalesLines!N2040)</x:f>
        <x:v>190.5</x:v>
      </x:c>
      <x:c r="J835" s="9" t="n">
        <x:f>SUM(SalesLines!P2038,SalesLines!P2039,SalesLines!P2040)</x:f>
        <x:v>0</x:v>
      </x:c>
      <x:c r="K835" s="11" t="n">
        <x:f>SUM(SalesLines!R2038,SalesLines!R2039,SalesLines!R2040)</x:f>
        <x:v>9</x:v>
      </x:c>
      <x:c r="L835" s="11" t="n">
        <x:f>SUM(SalesLines!S2038,SalesLines!S2039,SalesLines!S2040)</x:f>
        <x:v>0</x:v>
      </x:c>
      <x:c r="M835" s="8" t="n">
        <x:f>DATE(YEAR(C835),MONTH(C835),1)</x:f>
        <x:v>45839</x:v>
      </x:c>
    </x:row>
    <x:row r="836" ht="22" customHeight="1">
      <x:c r="A836" s="2" t="str">
        <x:v>O00832</x:v>
      </x:c>
      <x:c r="B836" s="2" t="str">
        <x:v>C0095</x:v>
      </x:c>
      <x:c r="C836" s="7" t="n">
        <x:v>45731</x:v>
      </x:c>
      <x:c r="D836" s="2" t="str">
        <x:v>Completed</x:v>
      </x:c>
      <x:c r="E836" s="2" t="str">
        <x:v>East</x:v>
      </x:c>
      <x:c r="F836" s="2" t="str">
        <x:v>Online</x:v>
      </x:c>
      <x:c r="G836" s="9" t="n">
        <x:f>SUM(SalesLines!Q2041,SalesLines!Q2042,SalesLines!Q2043,SalesLines!Q2044)</x:f>
        <x:v>1782.85</x:v>
      </x:c>
      <x:c r="H836" s="9" t="n">
        <x:f>SUM(SalesLines!M2041,SalesLines!M2042,SalesLines!M2043,SalesLines!M2044)</x:f>
        <x:v>2294</x:v>
      </x:c>
      <x:c r="I836" s="9" t="n">
        <x:f>SUM(SalesLines!N2041,SalesLines!N2042,SalesLines!N2043,SalesLines!N2044)</x:f>
        <x:v>252.75</x:v>
      </x:c>
      <x:c r="J836" s="9" t="n">
        <x:f>SUM(SalesLines!P2041,SalesLines!P2042,SalesLines!P2043,SalesLines!P2044)</x:f>
        <x:v>258.4</x:v>
      </x:c>
      <x:c r="K836" s="11" t="n">
        <x:f>SUM(SalesLines!R2041,SalesLines!R2042,SalesLines!R2043,SalesLines!R2044)</x:f>
        <x:v>16</x:v>
      </x:c>
      <x:c r="L836" s="11" t="n">
        <x:f>SUM(SalesLines!S2041,SalesLines!S2042,SalesLines!S2043,SalesLines!S2044)</x:f>
        <x:v>4</x:v>
      </x:c>
      <x:c r="M836" s="8" t="n">
        <x:f>DATE(YEAR(C836),MONTH(C836),1)</x:f>
        <x:v>45717</x:v>
      </x:c>
    </x:row>
    <x:row r="837" ht="22" customHeight="1">
      <x:c r="A837" s="2" t="str">
        <x:v>O00833</x:v>
      </x:c>
      <x:c r="B837" s="2" t="str">
        <x:v>C0056</x:v>
      </x:c>
      <x:c r="C837" s="7" t="n">
        <x:v>45776</x:v>
      </x:c>
      <x:c r="D837" s="2" t="str">
        <x:v>Completed</x:v>
      </x:c>
      <x:c r="E837" s="2" t="str">
        <x:v>North</x:v>
      </x:c>
      <x:c r="F837" s="2" t="str">
        <x:v>Store</x:v>
      </x:c>
      <x:c r="G837" s="9" t="n">
        <x:f>SUM(SalesLines!Q2045,SalesLines!Q2046,SalesLines!Q2047)</x:f>
        <x:v>1510.5</x:v>
      </x:c>
      <x:c r="H837" s="9" t="n">
        <x:f>SUM(SalesLines!M2045,SalesLines!M2046,SalesLines!M2047)</x:f>
        <x:v>1554</x:v>
      </x:c>
      <x:c r="I837" s="9" t="n">
        <x:f>SUM(SalesLines!N2045,SalesLines!N2046,SalesLines!N2047)</x:f>
        <x:v>43.5</x:v>
      </x:c>
      <x:c r="J837" s="9" t="n">
        <x:f>SUM(SalesLines!P2045,SalesLines!P2046,SalesLines!P2047)</x:f>
        <x:v>0</x:v>
      </x:c>
      <x:c r="K837" s="11" t="n">
        <x:f>SUM(SalesLines!R2045,SalesLines!R2046,SalesLines!R2047)</x:f>
        <x:v>10</x:v>
      </x:c>
      <x:c r="L837" s="11" t="n">
        <x:f>SUM(SalesLines!S2045,SalesLines!S2046,SalesLines!S2047)</x:f>
        <x:v>0</x:v>
      </x:c>
      <x:c r="M837" s="8" t="n">
        <x:f>DATE(YEAR(C837),MONTH(C837),1)</x:f>
        <x:v>45748</x:v>
      </x:c>
    </x:row>
    <x:row r="838" ht="22" customHeight="1">
      <x:c r="A838" s="2" t="str">
        <x:v>O00834</x:v>
      </x:c>
      <x:c r="B838" s="2" t="str">
        <x:v>C0107</x:v>
      </x:c>
      <x:c r="C838" s="7" t="n">
        <x:v>45824</x:v>
      </x:c>
      <x:c r="D838" s="2" t="str">
        <x:v>Cancelled</x:v>
      </x:c>
      <x:c r="E838" s="2" t="str">
        <x:v>South</x:v>
      </x:c>
      <x:c r="F838" s="2" t="str">
        <x:v>Online</x:v>
      </x:c>
      <x:c r="G838" s="9" t="n">
        <x:f>SUM(SalesLines!Q2048,SalesLines!Q2049,SalesLines!Q2050)</x:f>
        <x:v>0</x:v>
      </x:c>
      <x:c r="H838" s="9" t="n">
        <x:f>SUM(SalesLines!M2048,SalesLines!M2049,SalesLines!M2050)</x:f>
        <x:v>0</x:v>
      </x:c>
      <x:c r="I838" s="9" t="n">
        <x:f>SUM(SalesLines!N2048,SalesLines!N2049,SalesLines!N2050)</x:f>
        <x:v>0</x:v>
      </x:c>
      <x:c r="J838" s="9" t="n">
        <x:f>SUM(SalesLines!P2048,SalesLines!P2049,SalesLines!P2050)</x:f>
        <x:v>0</x:v>
      </x:c>
      <x:c r="K838" s="11" t="n">
        <x:f>SUM(SalesLines!R2048,SalesLines!R2049,SalesLines!R2050)</x:f>
        <x:v>0</x:v>
      </x:c>
      <x:c r="L838" s="11" t="n">
        <x:f>SUM(SalesLines!S2048,SalesLines!S2049,SalesLines!S2050)</x:f>
        <x:v>0</x:v>
      </x:c>
      <x:c r="M838" s="8" t="n">
        <x:f>DATE(YEAR(C838),MONTH(C838),1)</x:f>
        <x:v>45809</x:v>
      </x:c>
    </x:row>
    <x:row r="839" ht="22" customHeight="1">
      <x:c r="A839" s="2" t="str">
        <x:v>O00835</x:v>
      </x:c>
      <x:c r="B839" s="2" t="str">
        <x:v>C0145</x:v>
      </x:c>
      <x:c r="C839" s="7" t="n">
        <x:v>45904</x:v>
      </x:c>
      <x:c r="D839" s="2" t="str">
        <x:v>Completed</x:v>
      </x:c>
      <x:c r="E839" s="2" t="str">
        <x:v>West</x:v>
      </x:c>
      <x:c r="F839" s="2" t="str">
        <x:v>Online</x:v>
      </x:c>
      <x:c r="G839" s="9" t="n">
        <x:f>SUM(SalesLines!Q2051)</x:f>
        <x:v>117</x:v>
      </x:c>
      <x:c r="H839" s="9" t="n">
        <x:f>SUM(SalesLines!M2051)</x:f>
        <x:v>130</x:v>
      </x:c>
      <x:c r="I839" s="9" t="n">
        <x:f>SUM(SalesLines!N2051)</x:f>
        <x:v>13</x:v>
      </x:c>
      <x:c r="J839" s="9" t="n">
        <x:f>SUM(SalesLines!P2051)</x:f>
        <x:v>0</x:v>
      </x:c>
      <x:c r="K839" s="11" t="n">
        <x:f>SUM(SalesLines!R2051)</x:f>
        <x:v>2</x:v>
      </x:c>
      <x:c r="L839" s="11" t="n">
        <x:f>SUM(SalesLines!S2051)</x:f>
        <x:v>0</x:v>
      </x:c>
      <x:c r="M839" s="8" t="n">
        <x:f>DATE(YEAR(C839),MONTH(C839),1)</x:f>
        <x:v>45901</x:v>
      </x:c>
    </x:row>
    <x:row r="840" ht="22" customHeight="1">
      <x:c r="A840" s="2" t="str">
        <x:v>O00836</x:v>
      </x:c>
      <x:c r="B840" s="2" t="str">
        <x:v>C0291</x:v>
      </x:c>
      <x:c r="C840" s="7" t="n">
        <x:v>45942</x:v>
      </x:c>
      <x:c r="D840" s="2" t="str">
        <x:v>Completed</x:v>
      </x:c>
      <x:c r="E840" s="2" t="str">
        <x:v>North</x:v>
      </x:c>
      <x:c r="F840" s="2" t="str">
        <x:v>Store</x:v>
      </x:c>
      <x:c r="G840" s="9" t="n">
        <x:f>SUM(SalesLines!Q2052,SalesLines!Q2053,SalesLines!Q2054,SalesLines!Q2055)</x:f>
        <x:v>2926.25</x:v>
      </x:c>
      <x:c r="H840" s="9" t="n">
        <x:f>SUM(SalesLines!M2052,SalesLines!M2053,SalesLines!M2054,SalesLines!M2055)</x:f>
        <x:v>3302</x:v>
      </x:c>
      <x:c r="I840" s="9" t="n">
        <x:f>SUM(SalesLines!N2052,SalesLines!N2053,SalesLines!N2054,SalesLines!N2055)</x:f>
        <x:v>375.75</x:v>
      </x:c>
      <x:c r="J840" s="9" t="n">
        <x:f>SUM(SalesLines!P2052,SalesLines!P2053,SalesLines!P2054,SalesLines!P2055)</x:f>
        <x:v>0</x:v>
      </x:c>
      <x:c r="K840" s="11" t="n">
        <x:f>SUM(SalesLines!R2052,SalesLines!R2053,SalesLines!R2054,SalesLines!R2055)</x:f>
        <x:v>15</x:v>
      </x:c>
      <x:c r="L840" s="11" t="n">
        <x:f>SUM(SalesLines!S2052,SalesLines!S2053,SalesLines!S2054,SalesLines!S2055)</x:f>
        <x:v>0</x:v>
      </x:c>
      <x:c r="M840" s="8" t="n">
        <x:f>DATE(YEAR(C840),MONTH(C840),1)</x:f>
        <x:v>45931</x:v>
      </x:c>
    </x:row>
    <x:row r="841" ht="22" customHeight="1">
      <x:c r="A841" s="2" t="str">
        <x:v>O00837</x:v>
      </x:c>
      <x:c r="B841" s="2" t="str">
        <x:v>C0038</x:v>
      </x:c>
      <x:c r="C841" s="7" t="n">
        <x:v>45711</x:v>
      </x:c>
      <x:c r="D841" s="2" t="str">
        <x:v>Cancelled</x:v>
      </x:c>
      <x:c r="E841" s="2" t="str">
        <x:v>South</x:v>
      </x:c>
      <x:c r="F841" s="2" t="str">
        <x:v>Store</x:v>
      </x:c>
      <x:c r="G841" s="9" t="n">
        <x:f>SUM(SalesLines!Q2056,SalesLines!Q2057,SalesLines!Q2058)</x:f>
        <x:v>0</x:v>
      </x:c>
      <x:c r="H841" s="9" t="n">
        <x:f>SUM(SalesLines!M2056,SalesLines!M2057,SalesLines!M2058)</x:f>
        <x:v>0</x:v>
      </x:c>
      <x:c r="I841" s="9" t="n">
        <x:f>SUM(SalesLines!N2056,SalesLines!N2057,SalesLines!N2058)</x:f>
        <x:v>0</x:v>
      </x:c>
      <x:c r="J841" s="9" t="n">
        <x:f>SUM(SalesLines!P2056,SalesLines!P2057,SalesLines!P2058)</x:f>
        <x:v>0</x:v>
      </x:c>
      <x:c r="K841" s="11" t="n">
        <x:f>SUM(SalesLines!R2056,SalesLines!R2057,SalesLines!R2058)</x:f>
        <x:v>0</x:v>
      </x:c>
      <x:c r="L841" s="11" t="n">
        <x:f>SUM(SalesLines!S2056,SalesLines!S2057,SalesLines!S2058)</x:f>
        <x:v>0</x:v>
      </x:c>
      <x:c r="M841" s="8" t="n">
        <x:f>DATE(YEAR(C841),MONTH(C841),1)</x:f>
        <x:v>45689</x:v>
      </x:c>
    </x:row>
    <x:row r="842" ht="22" customHeight="1">
      <x:c r="A842" s="2" t="str">
        <x:v>O00838</x:v>
      </x:c>
      <x:c r="B842" s="2" t="str">
        <x:v>C0224</x:v>
      </x:c>
      <x:c r="C842" s="7" t="n">
        <x:v>45874</x:v>
      </x:c>
      <x:c r="D842" s="2" t="str">
        <x:v>Completed</x:v>
      </x:c>
      <x:c r="E842" s="2" t="str">
        <x:v>West</x:v>
      </x:c>
      <x:c r="F842" s="2" t="str">
        <x:v>Store</x:v>
      </x:c>
      <x:c r="G842" s="9" t="n">
        <x:f>SUM(SalesLines!Q2059,SalesLines!Q2060)</x:f>
        <x:v>2076.9</x:v>
      </x:c>
      <x:c r="H842" s="9" t="n">
        <x:f>SUM(SalesLines!M2059,SalesLines!M2060)</x:f>
        <x:v>2226</x:v>
      </x:c>
      <x:c r="I842" s="9" t="n">
        <x:f>SUM(SalesLines!N2059,SalesLines!N2060)</x:f>
        <x:v>149.10000000000002</x:v>
      </x:c>
      <x:c r="J842" s="9" t="n">
        <x:f>SUM(SalesLines!P2059,SalesLines!P2060)</x:f>
        <x:v>0</x:v>
      </x:c>
      <x:c r="K842" s="11" t="n">
        <x:f>SUM(SalesLines!R2059,SalesLines!R2060)</x:f>
        <x:v>9</x:v>
      </x:c>
      <x:c r="L842" s="11" t="n">
        <x:f>SUM(SalesLines!S2059,SalesLines!S2060)</x:f>
        <x:v>0</x:v>
      </x:c>
      <x:c r="M842" s="8" t="n">
        <x:f>DATE(YEAR(C842),MONTH(C842),1)</x:f>
        <x:v>45870</x:v>
      </x:c>
    </x:row>
    <x:row r="843" ht="22" customHeight="1">
      <x:c r="A843" s="2" t="str">
        <x:v>O00839</x:v>
      </x:c>
      <x:c r="B843" s="2" t="str">
        <x:v>C0217</x:v>
      </x:c>
      <x:c r="C843" s="7" t="n">
        <x:v>45825</x:v>
      </x:c>
      <x:c r="D843" s="2" t="str">
        <x:v>Completed</x:v>
      </x:c>
      <x:c r="E843" s="2" t="str">
        <x:v>South</x:v>
      </x:c>
      <x:c r="F843" s="2" t="str">
        <x:v>Store</x:v>
      </x:c>
      <x:c r="G843" s="9" t="n">
        <x:f>SUM(SalesLines!Q2061,SalesLines!Q2062)</x:f>
        <x:v>1388</x:v>
      </x:c>
      <x:c r="H843" s="9" t="n">
        <x:f>SUM(SalesLines!M2061,SalesLines!M2062)</x:f>
        <x:v>1482</x:v>
      </x:c>
      <x:c r="I843" s="9" t="n">
        <x:f>SUM(SalesLines!N2061,SalesLines!N2062)</x:f>
        <x:v>94</x:v>
      </x:c>
      <x:c r="J843" s="9" t="n">
        <x:f>SUM(SalesLines!P2061,SalesLines!P2062)</x:f>
        <x:v>0</x:v>
      </x:c>
      <x:c r="K843" s="11" t="n">
        <x:f>SUM(SalesLines!R2061,SalesLines!R2062)</x:f>
        <x:v>7</x:v>
      </x:c>
      <x:c r="L843" s="11" t="n">
        <x:f>SUM(SalesLines!S2061,SalesLines!S2062)</x:f>
        <x:v>0</x:v>
      </x:c>
      <x:c r="M843" s="8" t="n">
        <x:f>DATE(YEAR(C843),MONTH(C843),1)</x:f>
        <x:v>45809</x:v>
      </x:c>
    </x:row>
    <x:row r="844" ht="22" customHeight="1">
      <x:c r="A844" s="2" t="str">
        <x:v>O00840</x:v>
      </x:c>
      <x:c r="B844" s="2" t="str">
        <x:v>C0017</x:v>
      </x:c>
      <x:c r="C844" s="7" t="n">
        <x:v>45983</x:v>
      </x:c>
      <x:c r="D844" s="2" t="str">
        <x:v>Completed</x:v>
      </x:c>
      <x:c r="E844" s="2" t="str">
        <x:v>South</x:v>
      </x:c>
      <x:c r="F844" s="2" t="str">
        <x:v>Store</x:v>
      </x:c>
      <x:c r="G844" s="9" t="n">
        <x:f>SUM(SalesLines!Q2063)</x:f>
        <x:v>369</x:v>
      </x:c>
      <x:c r="H844" s="9" t="n">
        <x:f>SUM(SalesLines!M2063)</x:f>
        <x:v>369</x:v>
      </x:c>
      <x:c r="I844" s="9" t="n">
        <x:f>SUM(SalesLines!N2063)</x:f>
        <x:v>0</x:v>
      </x:c>
      <x:c r="J844" s="9" t="n">
        <x:f>SUM(SalesLines!P2063)</x:f>
        <x:v>0</x:v>
      </x:c>
      <x:c r="K844" s="11" t="n">
        <x:f>SUM(SalesLines!R2063)</x:f>
        <x:v>3</x:v>
      </x:c>
      <x:c r="L844" s="11" t="n">
        <x:f>SUM(SalesLines!S2063)</x:f>
        <x:v>0</x:v>
      </x:c>
      <x:c r="M844" s="8" t="n">
        <x:f>DATE(YEAR(C844),MONTH(C844),1)</x:f>
        <x:v>45962</x:v>
      </x:c>
    </x:row>
    <x:row r="845" ht="22" customHeight="1">
      <x:c r="A845" s="2" t="str">
        <x:v>O00841</x:v>
      </x:c>
      <x:c r="B845" s="2" t="str">
        <x:v>C0141</x:v>
      </x:c>
      <x:c r="C845" s="7" t="n">
        <x:v>45747</x:v>
      </x:c>
      <x:c r="D845" s="2" t="str">
        <x:v>Completed</x:v>
      </x:c>
      <x:c r="E845" s="2" t="str">
        <x:v>East</x:v>
      </x:c>
      <x:c r="F845" s="2" t="str">
        <x:v>Online</x:v>
      </x:c>
      <x:c r="G845" s="9" t="n">
        <x:f>SUM(SalesLines!Q2064)</x:f>
        <x:v>188</x:v>
      </x:c>
      <x:c r="H845" s="9" t="n">
        <x:f>SUM(SalesLines!M2064)</x:f>
        <x:v>188</x:v>
      </x:c>
      <x:c r="I845" s="9" t="n">
        <x:f>SUM(SalesLines!N2064)</x:f>
        <x:v>0</x:v>
      </x:c>
      <x:c r="J845" s="9" t="n">
        <x:f>SUM(SalesLines!P2064)</x:f>
        <x:v>0</x:v>
      </x:c>
      <x:c r="K845" s="11" t="n">
        <x:f>SUM(SalesLines!R2064)</x:f>
        <x:v>1</x:v>
      </x:c>
      <x:c r="L845" s="11" t="n">
        <x:f>SUM(SalesLines!S2064)</x:f>
        <x:v>0</x:v>
      </x:c>
      <x:c r="M845" s="8" t="n">
        <x:f>DATE(YEAR(C845),MONTH(C845),1)</x:f>
        <x:v>45717</x:v>
      </x:c>
    </x:row>
    <x:row r="846" ht="22" customHeight="1">
      <x:c r="A846" s="2" t="str">
        <x:v>O00842</x:v>
      </x:c>
      <x:c r="B846" s="2" t="str">
        <x:v>C0251</x:v>
      </x:c>
      <x:c r="C846" s="7" t="n">
        <x:v>45962</x:v>
      </x:c>
      <x:c r="D846" s="2" t="str">
        <x:v>Completed</x:v>
      </x:c>
      <x:c r="E846" s="2" t="str">
        <x:v>North</x:v>
      </x:c>
      <x:c r="F846" s="2" t="str">
        <x:v>Store</x:v>
      </x:c>
      <x:c r="G846" s="9" t="n">
        <x:f>SUM(SalesLines!Q2065,SalesLines!Q2066,SalesLines!Q2067,SalesLines!Q2068)</x:f>
        <x:v>1772.95</x:v>
      </x:c>
      <x:c r="H846" s="9" t="n">
        <x:f>SUM(SalesLines!M2065,SalesLines!M2066,SalesLines!M2067,SalesLines!M2068)</x:f>
        <x:v>1893</x:v>
      </x:c>
      <x:c r="I846" s="9" t="n">
        <x:f>SUM(SalesLines!N2065,SalesLines!N2066,SalesLines!N2067,SalesLines!N2068)</x:f>
        <x:v>120.05</x:v>
      </x:c>
      <x:c r="J846" s="9" t="n">
        <x:f>SUM(SalesLines!P2065,SalesLines!P2066,SalesLines!P2067,SalesLines!P2068)</x:f>
        <x:v>0</x:v>
      </x:c>
      <x:c r="K846" s="11" t="n">
        <x:f>SUM(SalesLines!R2065,SalesLines!R2066,SalesLines!R2067,SalesLines!R2068)</x:f>
        <x:v>10</x:v>
      </x:c>
      <x:c r="L846" s="11" t="n">
        <x:f>SUM(SalesLines!S2065,SalesLines!S2066,SalesLines!S2067,SalesLines!S2068)</x:f>
        <x:v>0</x:v>
      </x:c>
      <x:c r="M846" s="8" t="n">
        <x:f>DATE(YEAR(C846),MONTH(C846),1)</x:f>
        <x:v>45962</x:v>
      </x:c>
    </x:row>
    <x:row r="847" ht="22" customHeight="1">
      <x:c r="A847" s="2" t="str">
        <x:v>O00843</x:v>
      </x:c>
      <x:c r="B847" s="2" t="str">
        <x:v>C0062</x:v>
      </x:c>
      <x:c r="C847" s="7" t="n">
        <x:v>45969</x:v>
      </x:c>
      <x:c r="D847" s="2" t="str">
        <x:v>Completed</x:v>
      </x:c>
      <x:c r="E847" s="2" t="str">
        <x:v>West</x:v>
      </x:c>
      <x:c r="F847" s="2" t="str">
        <x:v>Online</x:v>
      </x:c>
      <x:c r="G847" s="9" t="n">
        <x:f>SUM(SalesLines!Q2069,SalesLines!Q2070,SalesLines!Q2071,SalesLines!Q2072)</x:f>
        <x:v>1950.4</x:v>
      </x:c>
      <x:c r="H847" s="9" t="n">
        <x:f>SUM(SalesLines!M2069,SalesLines!M2070,SalesLines!M2071,SalesLines!M2072)</x:f>
        <x:v>1986</x:v>
      </x:c>
      <x:c r="I847" s="9" t="n">
        <x:f>SUM(SalesLines!N2069,SalesLines!N2070,SalesLines!N2071,SalesLines!N2072)</x:f>
        <x:v>35.6</x:v>
      </x:c>
      <x:c r="J847" s="9" t="n">
        <x:f>SUM(SalesLines!P2069,SalesLines!P2070,SalesLines!P2071,SalesLines!P2072)</x:f>
        <x:v>0</x:v>
      </x:c>
      <x:c r="K847" s="11" t="n">
        <x:f>SUM(SalesLines!R2069,SalesLines!R2070,SalesLines!R2071,SalesLines!R2072)</x:f>
        <x:v>15</x:v>
      </x:c>
      <x:c r="L847" s="11" t="n">
        <x:f>SUM(SalesLines!S2069,SalesLines!S2070,SalesLines!S2071,SalesLines!S2072)</x:f>
        <x:v>0</x:v>
      </x:c>
      <x:c r="M847" s="8" t="n">
        <x:f>DATE(YEAR(C847),MONTH(C847),1)</x:f>
        <x:v>45962</x:v>
      </x:c>
    </x:row>
    <x:row r="848" ht="22" customHeight="1">
      <x:c r="A848" s="2" t="str">
        <x:v>O00844</x:v>
      </x:c>
      <x:c r="B848" s="2" t="str">
        <x:v>C0026</x:v>
      </x:c>
      <x:c r="C848" s="7" t="n">
        <x:v>46017</x:v>
      </x:c>
      <x:c r="D848" s="2" t="str">
        <x:v>Completed</x:v>
      </x:c>
      <x:c r="E848" s="2" t="str">
        <x:v>South</x:v>
      </x:c>
      <x:c r="F848" s="2" t="str">
        <x:v>Online</x:v>
      </x:c>
      <x:c r="G848" s="9" t="n">
        <x:f>SUM(SalesLines!Q2073,SalesLines!Q2074,SalesLines!Q2075)</x:f>
        <x:v>2196</x:v>
      </x:c>
      <x:c r="H848" s="9" t="n">
        <x:f>SUM(SalesLines!M2073,SalesLines!M2074,SalesLines!M2075)</x:f>
        <x:v>2384</x:v>
      </x:c>
      <x:c r="I848" s="9" t="n">
        <x:f>SUM(SalesLines!N2073,SalesLines!N2074,SalesLines!N2075)</x:f>
        <x:v>0</x:v>
      </x:c>
      <x:c r="J848" s="9" t="n">
        <x:f>SUM(SalesLines!P2073,SalesLines!P2074,SalesLines!P2075)</x:f>
        <x:v>188</x:v>
      </x:c>
      <x:c r="K848" s="11" t="n">
        <x:f>SUM(SalesLines!R2073,SalesLines!R2074,SalesLines!R2075)</x:f>
        <x:v>13</x:v>
      </x:c>
      <x:c r="L848" s="11" t="n">
        <x:f>SUM(SalesLines!S2073,SalesLines!S2074,SalesLines!S2075)</x:f>
        <x:v>1</x:v>
      </x:c>
      <x:c r="M848" s="8" t="n">
        <x:f>DATE(YEAR(C848),MONTH(C848),1)</x:f>
        <x:v>45992</x:v>
      </x:c>
    </x:row>
    <x:row r="849" ht="22" customHeight="1">
      <x:c r="A849" s="2" t="str">
        <x:v>O00845</x:v>
      </x:c>
      <x:c r="B849" s="2" t="str">
        <x:v>C0066</x:v>
      </x:c>
      <x:c r="C849" s="7" t="n">
        <x:v>45996</x:v>
      </x:c>
      <x:c r="D849" s="2" t="str">
        <x:v>Completed</x:v>
      </x:c>
      <x:c r="E849" s="2" t="str">
        <x:v>North</x:v>
      </x:c>
      <x:c r="F849" s="2" t="str">
        <x:v>Online</x:v>
      </x:c>
      <x:c r="G849" s="9" t="n">
        <x:f>SUM(SalesLines!Q2076,SalesLines!Q2077)</x:f>
        <x:v>1236.8000000000002</x:v>
      </x:c>
      <x:c r="H849" s="9" t="n">
        <x:f>SUM(SalesLines!M2076,SalesLines!M2077)</x:f>
        <x:v>1546</x:v>
      </x:c>
      <x:c r="I849" s="9" t="n">
        <x:f>SUM(SalesLines!N2076,SalesLines!N2077)</x:f>
        <x:v>309.20000000000005</x:v>
      </x:c>
      <x:c r="J849" s="9" t="n">
        <x:f>SUM(SalesLines!P2076,SalesLines!P2077)</x:f>
        <x:v>0</x:v>
      </x:c>
      <x:c r="K849" s="11" t="n">
        <x:f>SUM(SalesLines!R2076,SalesLines!R2077)</x:f>
        <x:v>7</x:v>
      </x:c>
      <x:c r="L849" s="11" t="n">
        <x:f>SUM(SalesLines!S2076,SalesLines!S2077)</x:f>
        <x:v>0</x:v>
      </x:c>
      <x:c r="M849" s="8" t="n">
        <x:f>DATE(YEAR(C849),MONTH(C849),1)</x:f>
        <x:v>45992</x:v>
      </x:c>
    </x:row>
    <x:row r="850" ht="22" customHeight="1">
      <x:c r="A850" s="2" t="str">
        <x:v>O00846</x:v>
      </x:c>
      <x:c r="B850" s="2" t="str">
        <x:v>C0227</x:v>
      </x:c>
      <x:c r="C850" s="7" t="n">
        <x:v>45739</x:v>
      </x:c>
      <x:c r="D850" s="2" t="str">
        <x:v>Completed</x:v>
      </x:c>
      <x:c r="E850" s="2" t="str">
        <x:v>East</x:v>
      </x:c>
      <x:c r="F850" s="2" t="str">
        <x:v>Store</x:v>
      </x:c>
      <x:c r="G850" s="9" t="n">
        <x:f>SUM(SalesLines!Q2078,SalesLines!Q2079,SalesLines!Q2080)</x:f>
        <x:v>478.5</x:v>
      </x:c>
      <x:c r="H850" s="9" t="n">
        <x:f>SUM(SalesLines!M2078,SalesLines!M2079,SalesLines!M2080)</x:f>
        <x:v>523</x:v>
      </x:c>
      <x:c r="I850" s="9" t="n">
        <x:f>SUM(SalesLines!N2078,SalesLines!N2079,SalesLines!N2080)</x:f>
        <x:v>44.5</x:v>
      </x:c>
      <x:c r="J850" s="9" t="n">
        <x:f>SUM(SalesLines!P2078,SalesLines!P2079,SalesLines!P2080)</x:f>
        <x:v>0</x:v>
      </x:c>
      <x:c r="K850" s="11" t="n">
        <x:f>SUM(SalesLines!R2078,SalesLines!R2079,SalesLines!R2080)</x:f>
        <x:v>3</x:v>
      </x:c>
      <x:c r="L850" s="11" t="n">
        <x:f>SUM(SalesLines!S2078,SalesLines!S2079,SalesLines!S2080)</x:f>
        <x:v>0</x:v>
      </x:c>
      <x:c r="M850" s="8" t="n">
        <x:f>DATE(YEAR(C850),MONTH(C850),1)</x:f>
        <x:v>45717</x:v>
      </x:c>
    </x:row>
    <x:row r="851" ht="22" customHeight="1">
      <x:c r="A851" s="2" t="str">
        <x:v>O00847</x:v>
      </x:c>
      <x:c r="B851" s="2" t="str">
        <x:v>C0187</x:v>
      </x:c>
      <x:c r="C851" s="7" t="n">
        <x:v>45765</x:v>
      </x:c>
      <x:c r="D851" s="2" t="str">
        <x:v>Completed</x:v>
      </x:c>
      <x:c r="E851" s="2" t="str">
        <x:v>North</x:v>
      </x:c>
      <x:c r="F851" s="2" t="str">
        <x:v>Online</x:v>
      </x:c>
      <x:c r="G851" s="9" t="n">
        <x:f>SUM(SalesLines!Q2081,SalesLines!Q2082)</x:f>
        <x:v>723.8</x:v>
      </x:c>
      <x:c r="H851" s="9" t="n">
        <x:f>SUM(SalesLines!M2081,SalesLines!M2082)</x:f>
        <x:v>752</x:v>
      </x:c>
      <x:c r="I851" s="9" t="n">
        <x:f>SUM(SalesLines!N2081,SalesLines!N2082)</x:f>
        <x:v>28.200000000000003</x:v>
      </x:c>
      <x:c r="J851" s="9" t="n">
        <x:f>SUM(SalesLines!P2081,SalesLines!P2082)</x:f>
        <x:v>0</x:v>
      </x:c>
      <x:c r="K851" s="11" t="n">
        <x:f>SUM(SalesLines!R2081,SalesLines!R2082)</x:f>
        <x:v>4</x:v>
      </x:c>
      <x:c r="L851" s="11" t="n">
        <x:f>SUM(SalesLines!S2081,SalesLines!S2082)</x:f>
        <x:v>0</x:v>
      </x:c>
      <x:c r="M851" s="8" t="n">
        <x:f>DATE(YEAR(C851),MONTH(C851),1)</x:f>
        <x:v>45748</x:v>
      </x:c>
    </x:row>
    <x:row r="852" ht="22" customHeight="1">
      <x:c r="A852" s="2" t="str">
        <x:v>O00848</x:v>
      </x:c>
      <x:c r="B852" s="2" t="str">
        <x:v>C0101</x:v>
      </x:c>
      <x:c r="C852" s="7" t="n">
        <x:v>45796</x:v>
      </x:c>
      <x:c r="D852" s="2" t="str">
        <x:v>Completed</x:v>
      </x:c>
      <x:c r="E852" s="2" t="str">
        <x:v>South</x:v>
      </x:c>
      <x:c r="F852" s="2" t="str">
        <x:v>Online</x:v>
      </x:c>
      <x:c r="G852" s="9" t="n">
        <x:f>SUM(SalesLines!Q2083)</x:f>
        <x:v>233.7</x:v>
      </x:c>
      <x:c r="H852" s="9" t="n">
        <x:f>SUM(SalesLines!M2083)</x:f>
        <x:v>246</x:v>
      </x:c>
      <x:c r="I852" s="9" t="n">
        <x:f>SUM(SalesLines!N2083)</x:f>
        <x:v>12.3</x:v>
      </x:c>
      <x:c r="J852" s="9" t="n">
        <x:f>SUM(SalesLines!P2083)</x:f>
        <x:v>0</x:v>
      </x:c>
      <x:c r="K852" s="11" t="n">
        <x:f>SUM(SalesLines!R2083)</x:f>
        <x:v>2</x:v>
      </x:c>
      <x:c r="L852" s="11" t="n">
        <x:f>SUM(SalesLines!S2083)</x:f>
        <x:v>0</x:v>
      </x:c>
      <x:c r="M852" s="8" t="n">
        <x:f>DATE(YEAR(C852),MONTH(C852),1)</x:f>
        <x:v>45778</x:v>
      </x:c>
    </x:row>
    <x:row r="853" ht="22" customHeight="1">
      <x:c r="A853" s="2" t="str">
        <x:v>O00849</x:v>
      </x:c>
      <x:c r="B853" s="2" t="str">
        <x:v>C0292</x:v>
      </x:c>
      <x:c r="C853" s="7" t="n">
        <x:v>45713</x:v>
      </x:c>
      <x:c r="D853" s="2" t="str">
        <x:v>Completed</x:v>
      </x:c>
      <x:c r="E853" s="2" t="str">
        <x:v>East</x:v>
      </x:c>
      <x:c r="F853" s="2" t="str">
        <x:v>Store</x:v>
      </x:c>
      <x:c r="G853" s="9" t="n">
        <x:f>SUM(SalesLines!Q2084,SalesLines!Q2085)</x:f>
        <x:v>730.65</x:v>
      </x:c>
      <x:c r="H853" s="9" t="n">
        <x:f>SUM(SalesLines!M2084,SalesLines!M2085)</x:f>
        <x:v>799</x:v>
      </x:c>
      <x:c r="I853" s="9" t="n">
        <x:f>SUM(SalesLines!N2084,SalesLines!N2085)</x:f>
        <x:v>68.35000000000001</x:v>
      </x:c>
      <x:c r="J853" s="9" t="n">
        <x:f>SUM(SalesLines!P2084,SalesLines!P2085)</x:f>
        <x:v>0</x:v>
      </x:c>
      <x:c r="K853" s="11" t="n">
        <x:f>SUM(SalesLines!R2084,SalesLines!R2085)</x:f>
        <x:v>3</x:v>
      </x:c>
      <x:c r="L853" s="11" t="n">
        <x:f>SUM(SalesLines!S2084,SalesLines!S2085)</x:f>
        <x:v>0</x:v>
      </x:c>
      <x:c r="M853" s="8" t="n">
        <x:f>DATE(YEAR(C853),MONTH(C853),1)</x:f>
        <x:v>45689</x:v>
      </x:c>
    </x:row>
    <x:row r="854" ht="22" customHeight="1">
      <x:c r="A854" s="2" t="str">
        <x:v>O00850</x:v>
      </x:c>
      <x:c r="B854" s="2" t="str">
        <x:v>C0011</x:v>
      </x:c>
      <x:c r="C854" s="7" t="n">
        <x:v>45979</x:v>
      </x:c>
      <x:c r="D854" s="2" t="str">
        <x:v>Completed</x:v>
      </x:c>
      <x:c r="E854" s="2" t="str">
        <x:v>North</x:v>
      </x:c>
      <x:c r="F854" s="2" t="str">
        <x:v>Online</x:v>
      </x:c>
      <x:c r="G854" s="9" t="n">
        <x:f>SUM(SalesLines!Q2086,SalesLines!Q2087)</x:f>
        <x:v>1704.3</x:v>
      </x:c>
      <x:c r="H854" s="9" t="n">
        <x:f>SUM(SalesLines!M2086,SalesLines!M2087)</x:f>
        <x:v>1794</x:v>
      </x:c>
      <x:c r="I854" s="9" t="n">
        <x:f>SUM(SalesLines!N2086,SalesLines!N2087)</x:f>
        <x:v>89.7</x:v>
      </x:c>
      <x:c r="J854" s="9" t="n">
        <x:f>SUM(SalesLines!P2086,SalesLines!P2087)</x:f>
        <x:v>0</x:v>
      </x:c>
      <x:c r="K854" s="11" t="n">
        <x:f>SUM(SalesLines!R2086,SalesLines!R2087)</x:f>
        <x:v>9</x:v>
      </x:c>
      <x:c r="L854" s="11" t="n">
        <x:f>SUM(SalesLines!S2086,SalesLines!S2087)</x:f>
        <x:v>0</x:v>
      </x:c>
      <x:c r="M854" s="8" t="n">
        <x:f>DATE(YEAR(C854),MONTH(C854),1)</x:f>
        <x:v>45962</x:v>
      </x:c>
    </x:row>
    <x:row r="855" ht="22" customHeight="1">
      <x:c r="A855" s="2" t="str">
        <x:v>O00851</x:v>
      </x:c>
      <x:c r="B855" s="2" t="str">
        <x:v>C0006</x:v>
      </x:c>
      <x:c r="C855" s="7" t="n">
        <x:v>45919</x:v>
      </x:c>
      <x:c r="D855" s="2" t="str">
        <x:v>Completed</x:v>
      </x:c>
      <x:c r="E855" s="2" t="str">
        <x:v>East</x:v>
      </x:c>
      <x:c r="F855" s="2" t="str">
        <x:v>Store</x:v>
      </x:c>
      <x:c r="G855" s="9" t="n">
        <x:f>SUM(SalesLines!Q2088,SalesLines!Q2089)</x:f>
        <x:v>1338</x:v>
      </x:c>
      <x:c r="H855" s="9" t="n">
        <x:f>SUM(SalesLines!M2088,SalesLines!M2089)</x:f>
        <x:v>1555</x:v>
      </x:c>
      <x:c r="I855" s="9" t="n">
        <x:f>SUM(SalesLines!N2088,SalesLines!N2089)</x:f>
        <x:v>217</x:v>
      </x:c>
      <x:c r="J855" s="9" t="n">
        <x:f>SUM(SalesLines!P2088,SalesLines!P2089)</x:f>
        <x:v>0</x:v>
      </x:c>
      <x:c r="K855" s="11" t="n">
        <x:f>SUM(SalesLines!R2088,SalesLines!R2089)</x:f>
        <x:v>10</x:v>
      </x:c>
      <x:c r="L855" s="11" t="n">
        <x:f>SUM(SalesLines!S2088,SalesLines!S2089)</x:f>
        <x:v>0</x:v>
      </x:c>
      <x:c r="M855" s="8" t="n">
        <x:f>DATE(YEAR(C855),MONTH(C855),1)</x:f>
        <x:v>45901</x:v>
      </x:c>
    </x:row>
    <x:row r="856" ht="22" customHeight="1">
      <x:c r="A856" s="2" t="str">
        <x:v>O00852</x:v>
      </x:c>
      <x:c r="B856" s="2" t="str">
        <x:v>C0039</x:v>
      </x:c>
      <x:c r="C856" s="7" t="n">
        <x:v>45987</x:v>
      </x:c>
      <x:c r="D856" s="2" t="str">
        <x:v>Cancelled</x:v>
      </x:c>
      <x:c r="E856" s="2" t="str">
        <x:v>North</x:v>
      </x:c>
      <x:c r="F856" s="2" t="str">
        <x:v>Online</x:v>
      </x:c>
      <x:c r="G856" s="9" t="n">
        <x:f>SUM(SalesLines!Q2090,SalesLines!Q2091)</x:f>
        <x:v>0</x:v>
      </x:c>
      <x:c r="H856" s="9" t="n">
        <x:f>SUM(SalesLines!M2090,SalesLines!M2091)</x:f>
        <x:v>0</x:v>
      </x:c>
      <x:c r="I856" s="9" t="n">
        <x:f>SUM(SalesLines!N2090,SalesLines!N2091)</x:f>
        <x:v>0</x:v>
      </x:c>
      <x:c r="J856" s="9" t="n">
        <x:f>SUM(SalesLines!P2090,SalesLines!P2091)</x:f>
        <x:v>0</x:v>
      </x:c>
      <x:c r="K856" s="11" t="n">
        <x:f>SUM(SalesLines!R2090,SalesLines!R2091)</x:f>
        <x:v>0</x:v>
      </x:c>
      <x:c r="L856" s="11" t="n">
        <x:f>SUM(SalesLines!S2090,SalesLines!S2091)</x:f>
        <x:v>0</x:v>
      </x:c>
      <x:c r="M856" s="8" t="n">
        <x:f>DATE(YEAR(C856),MONTH(C856),1)</x:f>
        <x:v>45962</x:v>
      </x:c>
    </x:row>
    <x:row r="857" ht="22" customHeight="1">
      <x:c r="A857" s="2" t="str">
        <x:v>O00853</x:v>
      </x:c>
      <x:c r="B857" s="2" t="str">
        <x:v>C0151</x:v>
      </x:c>
      <x:c r="C857" s="7" t="n">
        <x:v>45999</x:v>
      </x:c>
      <x:c r="D857" s="2" t="str">
        <x:v>Completed</x:v>
      </x:c>
      <x:c r="E857" s="2" t="str">
        <x:v>South</x:v>
      </x:c>
      <x:c r="F857" s="2" t="str">
        <x:v>Online</x:v>
      </x:c>
      <x:c r="G857" s="9" t="n">
        <x:f>SUM(SalesLines!Q2092)</x:f>
        <x:v>366</x:v>
      </x:c>
      <x:c r="H857" s="9" t="n">
        <x:f>SUM(SalesLines!M2092)</x:f>
        <x:v>366</x:v>
      </x:c>
      <x:c r="I857" s="9" t="n">
        <x:f>SUM(SalesLines!N2092)</x:f>
        <x:v>0</x:v>
      </x:c>
      <x:c r="J857" s="9" t="n">
        <x:f>SUM(SalesLines!P2092)</x:f>
        <x:v>0</x:v>
      </x:c>
      <x:c r="K857" s="11" t="n">
        <x:f>SUM(SalesLines!R2092)</x:f>
        <x:v>3</x:v>
      </x:c>
      <x:c r="L857" s="11" t="n">
        <x:f>SUM(SalesLines!S2092)</x:f>
        <x:v>0</x:v>
      </x:c>
      <x:c r="M857" s="8" t="n">
        <x:f>DATE(YEAR(C857),MONTH(C857),1)</x:f>
        <x:v>45992</x:v>
      </x:c>
    </x:row>
    <x:row r="858" ht="22" customHeight="1">
      <x:c r="A858" s="2" t="str">
        <x:v>O00854</x:v>
      </x:c>
      <x:c r="B858" s="2" t="str">
        <x:v>C0121</x:v>
      </x:c>
      <x:c r="C858" s="7" t="n">
        <x:v>45902</x:v>
      </x:c>
      <x:c r="D858" s="2" t="str">
        <x:v>Completed</x:v>
      </x:c>
      <x:c r="E858" s="2" t="str">
        <x:v>West</x:v>
      </x:c>
      <x:c r="F858" s="2" t="str">
        <x:v>Online</x:v>
      </x:c>
      <x:c r="G858" s="9" t="n">
        <x:f>SUM(SalesLines!Q2093,SalesLines!Q2094)</x:f>
        <x:v>807</x:v>
      </x:c>
      <x:c r="H858" s="9" t="n">
        <x:f>SUM(SalesLines!M2093,SalesLines!M2094)</x:f>
        <x:v>807</x:v>
      </x:c>
      <x:c r="I858" s="9" t="n">
        <x:f>SUM(SalesLines!N2093,SalesLines!N2094)</x:f>
        <x:v>0</x:v>
      </x:c>
      <x:c r="J858" s="9" t="n">
        <x:f>SUM(SalesLines!P2093,SalesLines!P2094)</x:f>
        <x:v>0</x:v>
      </x:c>
      <x:c r="K858" s="11" t="n">
        <x:f>SUM(SalesLines!R2093,SalesLines!R2094)</x:f>
        <x:v>6</x:v>
      </x:c>
      <x:c r="L858" s="11" t="n">
        <x:f>SUM(SalesLines!S2093,SalesLines!S2094)</x:f>
        <x:v>0</x:v>
      </x:c>
      <x:c r="M858" s="8" t="n">
        <x:f>DATE(YEAR(C858),MONTH(C858),1)</x:f>
        <x:v>45901</x:v>
      </x:c>
    </x:row>
    <x:row r="859" ht="22" customHeight="1">
      <x:c r="A859" s="2" t="str">
        <x:v>O00855</x:v>
      </x:c>
      <x:c r="B859" s="2" t="str">
        <x:v>C0244</x:v>
      </x:c>
      <x:c r="C859" s="7" t="n">
        <x:v>45752</x:v>
      </x:c>
      <x:c r="D859" s="2" t="str">
        <x:v>Completed</x:v>
      </x:c>
      <x:c r="E859" s="2" t="str">
        <x:v>South</x:v>
      </x:c>
      <x:c r="F859" s="2" t="str">
        <x:v>Online</x:v>
      </x:c>
      <x:c r="G859" s="9" t="n">
        <x:f>SUM(SalesLines!Q2095,SalesLines!Q2096,SalesLines!Q2097,SalesLines!Q2098)</x:f>
        <x:v>1623.05</x:v>
      </x:c>
      <x:c r="H859" s="9" t="n">
        <x:f>SUM(SalesLines!M2095,SalesLines!M2096,SalesLines!M2097,SalesLines!M2098)</x:f>
        <x:v>1649</x:v>
      </x:c>
      <x:c r="I859" s="9" t="n">
        <x:f>SUM(SalesLines!N2095,SalesLines!N2096,SalesLines!N2097,SalesLines!N2098)</x:f>
        <x:v>25.95</x:v>
      </x:c>
      <x:c r="J859" s="9" t="n">
        <x:f>SUM(SalesLines!P2095,SalesLines!P2096,SalesLines!P2097,SalesLines!P2098)</x:f>
        <x:v>0</x:v>
      </x:c>
      <x:c r="K859" s="11" t="n">
        <x:f>SUM(SalesLines!R2095,SalesLines!R2096,SalesLines!R2097,SalesLines!R2098)</x:f>
        <x:v>13</x:v>
      </x:c>
      <x:c r="L859" s="11" t="n">
        <x:f>SUM(SalesLines!S2095,SalesLines!S2096,SalesLines!S2097,SalesLines!S2098)</x:f>
        <x:v>0</x:v>
      </x:c>
      <x:c r="M859" s="8" t="n">
        <x:f>DATE(YEAR(C859),MONTH(C859),1)</x:f>
        <x:v>45748</x:v>
      </x:c>
    </x:row>
    <x:row r="860" ht="22" customHeight="1">
      <x:c r="A860" s="2" t="str">
        <x:v>O00856</x:v>
      </x:c>
      <x:c r="B860" s="2" t="str">
        <x:v>C0151</x:v>
      </x:c>
      <x:c r="C860" s="7" t="n">
        <x:v>45781</x:v>
      </x:c>
      <x:c r="D860" s="2" t="str">
        <x:v>Completed</x:v>
      </x:c>
      <x:c r="E860" s="2" t="str">
        <x:v>South</x:v>
      </x:c>
      <x:c r="F860" s="2" t="str">
        <x:v>Store</x:v>
      </x:c>
      <x:c r="G860" s="9" t="n">
        <x:f>SUM(SalesLines!Q2099,SalesLines!Q2100,SalesLines!Q2101)</x:f>
        <x:v>2588</x:v>
      </x:c>
      <x:c r="H860" s="9" t="n">
        <x:f>SUM(SalesLines!M2099,SalesLines!M2100,SalesLines!M2101)</x:f>
        <x:v>2983</x:v>
      </x:c>
      <x:c r="I860" s="9" t="n">
        <x:f>SUM(SalesLines!N2099,SalesLines!N2100,SalesLines!N2101)</x:f>
        <x:v>395</x:v>
      </x:c>
      <x:c r="J860" s="9" t="n">
        <x:f>SUM(SalesLines!P2099,SalesLines!P2100,SalesLines!P2101)</x:f>
        <x:v>0</x:v>
      </x:c>
      <x:c r="K860" s="11" t="n">
        <x:f>SUM(SalesLines!R2099,SalesLines!R2100,SalesLines!R2101)</x:f>
        <x:v>12</x:v>
      </x:c>
      <x:c r="L860" s="11" t="n">
        <x:f>SUM(SalesLines!S2099,SalesLines!S2100,SalesLines!S2101)</x:f>
        <x:v>0</x:v>
      </x:c>
      <x:c r="M860" s="8" t="n">
        <x:f>DATE(YEAR(C860),MONTH(C860),1)</x:f>
        <x:v>45778</x:v>
      </x:c>
    </x:row>
    <x:row r="861" ht="22" customHeight="1">
      <x:c r="A861" s="2" t="str">
        <x:v>O00857</x:v>
      </x:c>
      <x:c r="B861" s="2" t="str">
        <x:v>C0032</x:v>
      </x:c>
      <x:c r="C861" s="7" t="n">
        <x:v>45809</x:v>
      </x:c>
      <x:c r="D861" s="2" t="str">
        <x:v>Completed</x:v>
      </x:c>
      <x:c r="E861" s="2" t="str">
        <x:v>North</x:v>
      </x:c>
      <x:c r="F861" s="2" t="str">
        <x:v>Online</x:v>
      </x:c>
      <x:c r="G861" s="9" t="n">
        <x:f>SUM(SalesLines!Q2102,SalesLines!Q2103,SalesLines!Q2104)</x:f>
        <x:v>1871.7</x:v>
      </x:c>
      <x:c r="H861" s="9" t="n">
        <x:f>SUM(SalesLines!M2102,SalesLines!M2103,SalesLines!M2104)</x:f>
        <x:v>1972</x:v>
      </x:c>
      <x:c r="I861" s="9" t="n">
        <x:f>SUM(SalesLines!N2102,SalesLines!N2103,SalesLines!N2104)</x:f>
        <x:v>100.3</x:v>
      </x:c>
      <x:c r="J861" s="9" t="n">
        <x:f>SUM(SalesLines!P2102,SalesLines!P2103,SalesLines!P2104)</x:f>
        <x:v>0</x:v>
      </x:c>
      <x:c r="K861" s="11" t="n">
        <x:f>SUM(SalesLines!R2102,SalesLines!R2103,SalesLines!R2104)</x:f>
        <x:v>10</x:v>
      </x:c>
      <x:c r="L861" s="11" t="n">
        <x:f>SUM(SalesLines!S2102,SalesLines!S2103,SalesLines!S2104)</x:f>
        <x:v>0</x:v>
      </x:c>
      <x:c r="M861" s="8" t="n">
        <x:f>DATE(YEAR(C861),MONTH(C861),1)</x:f>
        <x:v>45809</x:v>
      </x:c>
    </x:row>
    <x:row r="862" ht="22" customHeight="1">
      <x:c r="A862" s="2" t="str">
        <x:v>O00858</x:v>
      </x:c>
      <x:c r="B862" s="2" t="str">
        <x:v>C0091</x:v>
      </x:c>
      <x:c r="C862" s="7" t="n">
        <x:v>45992</x:v>
      </x:c>
      <x:c r="D862" s="2" t="str">
        <x:v>Completed</x:v>
      </x:c>
      <x:c r="E862" s="2" t="str">
        <x:v>North</x:v>
      </x:c>
      <x:c r="F862" s="2" t="str">
        <x:v>Store</x:v>
      </x:c>
      <x:c r="G862" s="9" t="n">
        <x:f>SUM(SalesLines!Q2105,SalesLines!Q2106,SalesLines!Q2107,SalesLines!Q2108)</x:f>
        <x:v>1766.5500000000002</x:v>
      </x:c>
      <x:c r="H862" s="9" t="n">
        <x:f>SUM(SalesLines!M2105,SalesLines!M2106,SalesLines!M2107,SalesLines!M2108)</x:f>
        <x:v>1957</x:v>
      </x:c>
      <x:c r="I862" s="9" t="n">
        <x:f>SUM(SalesLines!N2105,SalesLines!N2106,SalesLines!N2107,SalesLines!N2108)</x:f>
        <x:v>190.45000000000002</x:v>
      </x:c>
      <x:c r="J862" s="9" t="n">
        <x:f>SUM(SalesLines!P2105,SalesLines!P2106,SalesLines!P2107,SalesLines!P2108)</x:f>
        <x:v>0</x:v>
      </x:c>
      <x:c r="K862" s="11" t="n">
        <x:f>SUM(SalesLines!R2105,SalesLines!R2106,SalesLines!R2107,SalesLines!R2108)</x:f>
        <x:v>14</x:v>
      </x:c>
      <x:c r="L862" s="11" t="n">
        <x:f>SUM(SalesLines!S2105,SalesLines!S2106,SalesLines!S2107,SalesLines!S2108)</x:f>
        <x:v>0</x:v>
      </x:c>
      <x:c r="M862" s="8" t="n">
        <x:f>DATE(YEAR(C862),MONTH(C862),1)</x:f>
        <x:v>45992</x:v>
      </x:c>
    </x:row>
    <x:row r="863" ht="22" customHeight="1">
      <x:c r="A863" s="2" t="str">
        <x:v>O00859</x:v>
      </x:c>
      <x:c r="B863" s="2" t="str">
        <x:v>C0004</x:v>
      </x:c>
      <x:c r="C863" s="7" t="n">
        <x:v>45940</x:v>
      </x:c>
      <x:c r="D863" s="2" t="str">
        <x:v>Cancelled</x:v>
      </x:c>
      <x:c r="E863" s="2" t="str">
        <x:v>North</x:v>
      </x:c>
      <x:c r="F863" s="2" t="str">
        <x:v>Online</x:v>
      </x:c>
      <x:c r="G863" s="9" t="n">
        <x:f>SUM(SalesLines!Q2109,SalesLines!Q2110,SalesLines!Q2111)</x:f>
        <x:v>0</x:v>
      </x:c>
      <x:c r="H863" s="9" t="n">
        <x:f>SUM(SalesLines!M2109,SalesLines!M2110,SalesLines!M2111)</x:f>
        <x:v>0</x:v>
      </x:c>
      <x:c r="I863" s="9" t="n">
        <x:f>SUM(SalesLines!N2109,SalesLines!N2110,SalesLines!N2111)</x:f>
        <x:v>0</x:v>
      </x:c>
      <x:c r="J863" s="9" t="n">
        <x:f>SUM(SalesLines!P2109,SalesLines!P2110,SalesLines!P2111)</x:f>
        <x:v>0</x:v>
      </x:c>
      <x:c r="K863" s="11" t="n">
        <x:f>SUM(SalesLines!R2109,SalesLines!R2110,SalesLines!R2111)</x:f>
        <x:v>0</x:v>
      </x:c>
      <x:c r="L863" s="11" t="n">
        <x:f>SUM(SalesLines!S2109,SalesLines!S2110,SalesLines!S2111)</x:f>
        <x:v>0</x:v>
      </x:c>
      <x:c r="M863" s="8" t="n">
        <x:f>DATE(YEAR(C863),MONTH(C863),1)</x:f>
        <x:v>45931</x:v>
      </x:c>
    </x:row>
    <x:row r="864" ht="22" customHeight="1">
      <x:c r="A864" s="2" t="str">
        <x:v>O00860</x:v>
      </x:c>
      <x:c r="B864" s="2" t="str">
        <x:v>C0140</x:v>
      </x:c>
      <x:c r="C864" s="7" t="n">
        <x:v>45665</x:v>
      </x:c>
      <x:c r="D864" s="2" t="str">
        <x:v>Completed</x:v>
      </x:c>
      <x:c r="E864" s="2" t="str">
        <x:v>East</x:v>
      </x:c>
      <x:c r="F864" s="2" t="str">
        <x:v>Online</x:v>
      </x:c>
      <x:c r="G864" s="9" t="n">
        <x:f>SUM(SalesLines!Q2112)</x:f>
        <x:v>554.4</x:v>
      </x:c>
      <x:c r="H864" s="9" t="n">
        <x:f>SUM(SalesLines!M2112)</x:f>
        <x:v>693</x:v>
      </x:c>
      <x:c r="I864" s="9" t="n">
        <x:f>SUM(SalesLines!N2112)</x:f>
        <x:v>138.6</x:v>
      </x:c>
      <x:c r="J864" s="9" t="n">
        <x:f>SUM(SalesLines!P2112)</x:f>
        <x:v>0</x:v>
      </x:c>
      <x:c r="K864" s="11" t="n">
        <x:f>SUM(SalesLines!R2112)</x:f>
        <x:v>3</x:v>
      </x:c>
      <x:c r="L864" s="11" t="n">
        <x:f>SUM(SalesLines!S2112)</x:f>
        <x:v>0</x:v>
      </x:c>
      <x:c r="M864" s="8" t="n">
        <x:f>DATE(YEAR(C864),MONTH(C864),1)</x:f>
        <x:v>45658</x:v>
      </x:c>
    </x:row>
    <x:row r="865" ht="22" customHeight="1">
      <x:c r="A865" s="2" t="str">
        <x:v>O00861</x:v>
      </x:c>
      <x:c r="B865" s="2" t="str">
        <x:v>C0102</x:v>
      </x:c>
      <x:c r="C865" s="7" t="n">
        <x:v>45937</x:v>
      </x:c>
      <x:c r="D865" s="2" t="str">
        <x:v>Completed</x:v>
      </x:c>
      <x:c r="E865" s="2" t="str">
        <x:v>North</x:v>
      </x:c>
      <x:c r="F865" s="2" t="str">
        <x:v>Online</x:v>
      </x:c>
      <x:c r="G865" s="9" t="n">
        <x:f>SUM(SalesLines!Q2113,SalesLines!Q2114,SalesLines!Q2115,SalesLines!Q2116)</x:f>
        <x:v>929.0500000000001</x:v>
      </x:c>
      <x:c r="H865" s="9" t="n">
        <x:f>SUM(SalesLines!M2113,SalesLines!M2114,SalesLines!M2115,SalesLines!M2116)</x:f>
        <x:v>982</x:v>
      </x:c>
      <x:c r="I865" s="9" t="n">
        <x:f>SUM(SalesLines!N2113,SalesLines!N2114,SalesLines!N2115,SalesLines!N2116)</x:f>
        <x:v>52.95</x:v>
      </x:c>
      <x:c r="J865" s="9" t="n">
        <x:f>SUM(SalesLines!P2113,SalesLines!P2114,SalesLines!P2115,SalesLines!P2116)</x:f>
        <x:v>0</x:v>
      </x:c>
      <x:c r="K865" s="11" t="n">
        <x:f>SUM(SalesLines!R2113,SalesLines!R2114,SalesLines!R2115,SalesLines!R2116)</x:f>
        <x:v>8</x:v>
      </x:c>
      <x:c r="L865" s="11" t="n">
        <x:f>SUM(SalesLines!S2113,SalesLines!S2114,SalesLines!S2115,SalesLines!S2116)</x:f>
        <x:v>0</x:v>
      </x:c>
      <x:c r="M865" s="8" t="n">
        <x:f>DATE(YEAR(C865),MONTH(C865),1)</x:f>
        <x:v>45931</x:v>
      </x:c>
    </x:row>
    <x:row r="866" ht="22" customHeight="1">
      <x:c r="A866" s="2" t="str">
        <x:v>O00862</x:v>
      </x:c>
      <x:c r="B866" s="2" t="str">
        <x:v>C0257</x:v>
      </x:c>
      <x:c r="C866" s="7" t="n">
        <x:v>45904</x:v>
      </x:c>
      <x:c r="D866" s="2" t="str">
        <x:v>Completed</x:v>
      </x:c>
      <x:c r="E866" s="2" t="str">
        <x:v>North</x:v>
      </x:c>
      <x:c r="F866" s="2" t="str">
        <x:v>Online</x:v>
      </x:c>
      <x:c r="G866" s="9" t="n">
        <x:f>SUM(SalesLines!Q2117)</x:f>
        <x:v>470.4</x:v>
      </x:c>
      <x:c r="H866" s="9" t="n">
        <x:f>SUM(SalesLines!M2117)</x:f>
        <x:v>588</x:v>
      </x:c>
      <x:c r="I866" s="9" t="n">
        <x:f>SUM(SalesLines!N2117)</x:f>
        <x:v>117.60000000000001</x:v>
      </x:c>
      <x:c r="J866" s="9" t="n">
        <x:f>SUM(SalesLines!P2117)</x:f>
        <x:v>0</x:v>
      </x:c>
      <x:c r="K866" s="11" t="n">
        <x:f>SUM(SalesLines!R2117)</x:f>
        <x:v>2</x:v>
      </x:c>
      <x:c r="L866" s="11" t="n">
        <x:f>SUM(SalesLines!S2117)</x:f>
        <x:v>0</x:v>
      </x:c>
      <x:c r="M866" s="8" t="n">
        <x:f>DATE(YEAR(C866),MONTH(C866),1)</x:f>
        <x:v>45901</x:v>
      </x:c>
    </x:row>
    <x:row r="867" ht="22" customHeight="1">
      <x:c r="A867" s="2" t="str">
        <x:v>O00863</x:v>
      </x:c>
      <x:c r="B867" s="2" t="str">
        <x:v>C0047</x:v>
      </x:c>
      <x:c r="C867" s="7" t="n">
        <x:v>45793</x:v>
      </x:c>
      <x:c r="D867" s="2" t="str">
        <x:v>Completed</x:v>
      </x:c>
      <x:c r="E867" s="2" t="str">
        <x:v>West</x:v>
      </x:c>
      <x:c r="F867" s="2" t="str">
        <x:v>Store</x:v>
      </x:c>
      <x:c r="G867" s="9" t="n">
        <x:f>SUM(SalesLines!Q2118,SalesLines!Q2119)</x:f>
        <x:v>64</x:v>
      </x:c>
      <x:c r="H867" s="9" t="n">
        <x:f>SUM(SalesLines!M2118,SalesLines!M2119)</x:f>
        <x:v>374</x:v>
      </x:c>
      <x:c r="I867" s="9" t="n">
        <x:f>SUM(SalesLines!N2118,SalesLines!N2119)</x:f>
        <x:v>45.400000000000006</x:v>
      </x:c>
      <x:c r="J867" s="9" t="n">
        <x:f>SUM(SalesLines!P2118,SalesLines!P2119)</x:f>
        <x:v>264.6</x:v>
      </x:c>
      <x:c r="K867" s="11" t="n">
        <x:f>SUM(SalesLines!R2118,SalesLines!R2119)</x:f>
        <x:v>2</x:v>
      </x:c>
      <x:c r="L867" s="11" t="n">
        <x:f>SUM(SalesLines!S2118,SalesLines!S2119)</x:f>
        <x:v>1</x:v>
      </x:c>
      <x:c r="M867" s="8" t="n">
        <x:f>DATE(YEAR(C867),MONTH(C867),1)</x:f>
        <x:v>45778</x:v>
      </x:c>
    </x:row>
    <x:row r="868" ht="22" customHeight="1">
      <x:c r="A868" s="2" t="str">
        <x:v>O00864</x:v>
      </x:c>
      <x:c r="B868" s="2" t="str">
        <x:v>C0173</x:v>
      </x:c>
      <x:c r="C868" s="7" t="n">
        <x:v>45705</x:v>
      </x:c>
      <x:c r="D868" s="2" t="str">
        <x:v>Completed</x:v>
      </x:c>
      <x:c r="E868" s="2" t="str">
        <x:v>West</x:v>
      </x:c>
      <x:c r="F868" s="2" t="str">
        <x:v>Store</x:v>
      </x:c>
      <x:c r="G868" s="9" t="n">
        <x:f>SUM(SalesLines!Q2120,SalesLines!Q2121)</x:f>
        <x:v>1030.6</x:v>
      </x:c>
      <x:c r="H868" s="9" t="n">
        <x:f>SUM(SalesLines!M2120,SalesLines!M2121)</x:f>
        <x:v>1040</x:v>
      </x:c>
      <x:c r="I868" s="9" t="n">
        <x:f>SUM(SalesLines!N2120,SalesLines!N2121)</x:f>
        <x:v>9.4</x:v>
      </x:c>
      <x:c r="J868" s="9" t="n">
        <x:f>SUM(SalesLines!P2120,SalesLines!P2121)</x:f>
        <x:v>0</x:v>
      </x:c>
      <x:c r="K868" s="11" t="n">
        <x:f>SUM(SalesLines!R2120,SalesLines!R2121)</x:f>
        <x:v>4</x:v>
      </x:c>
      <x:c r="L868" s="11" t="n">
        <x:f>SUM(SalesLines!S2120,SalesLines!S2121)</x:f>
        <x:v>0</x:v>
      </x:c>
      <x:c r="M868" s="8" t="n">
        <x:f>DATE(YEAR(C868),MONTH(C868),1)</x:f>
        <x:v>45689</x:v>
      </x:c>
    </x:row>
    <x:row r="869" ht="22" customHeight="1">
      <x:c r="A869" s="2" t="str">
        <x:v>O00865</x:v>
      </x:c>
      <x:c r="B869" s="2" t="str">
        <x:v>C0226</x:v>
      </x:c>
      <x:c r="C869" s="7" t="n">
        <x:v>45766</x:v>
      </x:c>
      <x:c r="D869" s="2" t="str">
        <x:v>Completed</x:v>
      </x:c>
      <x:c r="E869" s="2" t="str">
        <x:v>South</x:v>
      </x:c>
      <x:c r="F869" s="2" t="str">
        <x:v>Store</x:v>
      </x:c>
      <x:c r="G869" s="9" t="n">
        <x:f>SUM(SalesLines!Q2122)</x:f>
        <x:v>714.4</x:v>
      </x:c>
      <x:c r="H869" s="9" t="n">
        <x:f>SUM(SalesLines!M2122)</x:f>
        <x:v>752</x:v>
      </x:c>
      <x:c r="I869" s="9" t="n">
        <x:f>SUM(SalesLines!N2122)</x:f>
        <x:v>37.6</x:v>
      </x:c>
      <x:c r="J869" s="9" t="n">
        <x:f>SUM(SalesLines!P2122)</x:f>
        <x:v>0</x:v>
      </x:c>
      <x:c r="K869" s="11" t="n">
        <x:f>SUM(SalesLines!R2122)</x:f>
        <x:v>4</x:v>
      </x:c>
      <x:c r="L869" s="11" t="n">
        <x:f>SUM(SalesLines!S2122)</x:f>
        <x:v>0</x:v>
      </x:c>
      <x:c r="M869" s="8" t="n">
        <x:f>DATE(YEAR(C869),MONTH(C869),1)</x:f>
        <x:v>45748</x:v>
      </x:c>
    </x:row>
    <x:row r="870" ht="22" customHeight="1">
      <x:c r="A870" s="2" t="str">
        <x:v>O00866</x:v>
      </x:c>
      <x:c r="B870" s="2" t="str">
        <x:v>C0278</x:v>
      </x:c>
      <x:c r="C870" s="7" t="n">
        <x:v>45805</x:v>
      </x:c>
      <x:c r="D870" s="2" t="str">
        <x:v>Completed</x:v>
      </x:c>
      <x:c r="E870" s="2" t="str">
        <x:v>North</x:v>
      </x:c>
      <x:c r="F870" s="2" t="str">
        <x:v>Online</x:v>
      </x:c>
      <x:c r="G870" s="9" t="n">
        <x:f>SUM(SalesLines!Q2123)</x:f>
        <x:v>242.1</x:v>
      </x:c>
      <x:c r="H870" s="9" t="n">
        <x:f>SUM(SalesLines!M2123)</x:f>
        <x:v>538</x:v>
      </x:c>
      <x:c r="I870" s="9" t="n">
        <x:f>SUM(SalesLines!N2123)</x:f>
        <x:v>53.800000000000004</x:v>
      </x:c>
      <x:c r="J870" s="9" t="n">
        <x:f>SUM(SalesLines!P2123)</x:f>
        <x:v>242.1</x:v>
      </x:c>
      <x:c r="K870" s="11" t="n">
        <x:f>SUM(SalesLines!R2123)</x:f>
        <x:v>2</x:v>
      </x:c>
      <x:c r="L870" s="11" t="n">
        <x:f>SUM(SalesLines!S2123)</x:f>
        <x:v>1</x:v>
      </x:c>
      <x:c r="M870" s="8" t="n">
        <x:f>DATE(YEAR(C870),MONTH(C870),1)</x:f>
        <x:v>45778</x:v>
      </x:c>
    </x:row>
    <x:row r="871" ht="22" customHeight="1">
      <x:c r="A871" s="2" t="str">
        <x:v>O00867</x:v>
      </x:c>
      <x:c r="B871" s="2" t="str">
        <x:v>C0194</x:v>
      </x:c>
      <x:c r="C871" s="7" t="n">
        <x:v>45881</x:v>
      </x:c>
      <x:c r="D871" s="2" t="str">
        <x:v>Completed</x:v>
      </x:c>
      <x:c r="E871" s="2" t="str">
        <x:v>North</x:v>
      </x:c>
      <x:c r="F871" s="2" t="str">
        <x:v>Store</x:v>
      </x:c>
      <x:c r="G871" s="9" t="n">
        <x:f>SUM(SalesLines!Q2124,SalesLines!Q2125,SalesLines!Q2126)</x:f>
        <x:v>1865.5</x:v>
      </x:c>
      <x:c r="H871" s="9" t="n">
        <x:f>SUM(SalesLines!M2124,SalesLines!M2125,SalesLines!M2126)</x:f>
        <x:v>1929</x:v>
      </x:c>
      <x:c r="I871" s="9" t="n">
        <x:f>SUM(SalesLines!N2124,SalesLines!N2125,SalesLines!N2126)</x:f>
        <x:v>63.5</x:v>
      </x:c>
      <x:c r="J871" s="9" t="n">
        <x:f>SUM(SalesLines!P2124,SalesLines!P2125,SalesLines!P2126)</x:f>
        <x:v>0</x:v>
      </x:c>
      <x:c r="K871" s="11" t="n">
        <x:f>SUM(SalesLines!R2124,SalesLines!R2125,SalesLines!R2126)</x:f>
        <x:v>10</x:v>
      </x:c>
      <x:c r="L871" s="11" t="n">
        <x:f>SUM(SalesLines!S2124,SalesLines!S2125,SalesLines!S2126)</x:f>
        <x:v>0</x:v>
      </x:c>
      <x:c r="M871" s="8" t="n">
        <x:f>DATE(YEAR(C871),MONTH(C871),1)</x:f>
        <x:v>45870</x:v>
      </x:c>
    </x:row>
    <x:row r="872" ht="22" customHeight="1">
      <x:c r="A872" s="2" t="str">
        <x:v>O00868</x:v>
      </x:c>
      <x:c r="B872" s="2" t="str">
        <x:v>C0196</x:v>
      </x:c>
      <x:c r="C872" s="7" t="n">
        <x:v>45800</x:v>
      </x:c>
      <x:c r="D872" s="2" t="str">
        <x:v>Completed</x:v>
      </x:c>
      <x:c r="E872" s="2" t="str">
        <x:v>West</x:v>
      </x:c>
      <x:c r="F872" s="2" t="str">
        <x:v>Online</x:v>
      </x:c>
      <x:c r="G872" s="9" t="n">
        <x:f>SUM(SalesLines!Q2127,SalesLines!Q2128)</x:f>
        <x:v>392.9</x:v>
      </x:c>
      <x:c r="H872" s="9" t="n">
        <x:f>SUM(SalesLines!M2127,SalesLines!M2128)</x:f>
        <x:v>481</x:v>
      </x:c>
      <x:c r="I872" s="9" t="n">
        <x:f>SUM(SalesLines!N2127,SalesLines!N2128)</x:f>
        <x:v>88.1</x:v>
      </x:c>
      <x:c r="J872" s="9" t="n">
        <x:f>SUM(SalesLines!P2127,SalesLines!P2128)</x:f>
        <x:v>0</x:v>
      </x:c>
      <x:c r="K872" s="11" t="n">
        <x:f>SUM(SalesLines!R2127,SalesLines!R2128)</x:f>
        <x:v>6</x:v>
      </x:c>
      <x:c r="L872" s="11" t="n">
        <x:f>SUM(SalesLines!S2127,SalesLines!S2128)</x:f>
        <x:v>0</x:v>
      </x:c>
      <x:c r="M872" s="8" t="n">
        <x:f>DATE(YEAR(C872),MONTH(C872),1)</x:f>
        <x:v>45778</x:v>
      </x:c>
    </x:row>
    <x:row r="873" ht="22" customHeight="1">
      <x:c r="A873" s="2" t="str">
        <x:v>O00869</x:v>
      </x:c>
      <x:c r="B873" s="2" t="str">
        <x:v>C0210</x:v>
      </x:c>
      <x:c r="C873" s="7" t="n">
        <x:v>45941</x:v>
      </x:c>
      <x:c r="D873" s="2" t="str">
        <x:v>Completed</x:v>
      </x:c>
      <x:c r="E873" s="2" t="str">
        <x:v>North</x:v>
      </x:c>
      <x:c r="F873" s="2" t="str">
        <x:v>Online</x:v>
      </x:c>
      <x:c r="G873" s="9" t="n">
        <x:f>SUM(SalesLines!Q2129,SalesLines!Q2130,SalesLines!Q2131,SalesLines!Q2132)</x:f>
        <x:v>1542</x:v>
      </x:c>
      <x:c r="H873" s="9" t="n">
        <x:f>SUM(SalesLines!M2129,SalesLines!M2130,SalesLines!M2131,SalesLines!M2132)</x:f>
        <x:v>1632</x:v>
      </x:c>
      <x:c r="I873" s="9" t="n">
        <x:f>SUM(SalesLines!N2129,SalesLines!N2130,SalesLines!N2131,SalesLines!N2132)</x:f>
        <x:v>90</x:v>
      </x:c>
      <x:c r="J873" s="9" t="n">
        <x:f>SUM(SalesLines!P2129,SalesLines!P2130,SalesLines!P2131,SalesLines!P2132)</x:f>
        <x:v>0</x:v>
      </x:c>
      <x:c r="K873" s="11" t="n">
        <x:f>SUM(SalesLines!R2129,SalesLines!R2130,SalesLines!R2131,SalesLines!R2132)</x:f>
        <x:v>7</x:v>
      </x:c>
      <x:c r="L873" s="11" t="n">
        <x:f>SUM(SalesLines!S2129,SalesLines!S2130,SalesLines!S2131,SalesLines!S2132)</x:f>
        <x:v>0</x:v>
      </x:c>
      <x:c r="M873" s="8" t="n">
        <x:f>DATE(YEAR(C873),MONTH(C873),1)</x:f>
        <x:v>45931</x:v>
      </x:c>
    </x:row>
    <x:row r="874" ht="22" customHeight="1">
      <x:c r="A874" s="2" t="str">
        <x:v>O00870</x:v>
      </x:c>
      <x:c r="B874" s="2" t="str">
        <x:v>C0266</x:v>
      </x:c>
      <x:c r="C874" s="7" t="n">
        <x:v>45816</x:v>
      </x:c>
      <x:c r="D874" s="2" t="str">
        <x:v>Completed</x:v>
      </x:c>
      <x:c r="E874" s="2" t="str">
        <x:v>North</x:v>
      </x:c>
      <x:c r="F874" s="2" t="str">
        <x:v>Store</x:v>
      </x:c>
      <x:c r="G874" s="9" t="n">
        <x:f>SUM(SalesLines!Q2133,SalesLines!Q2134)</x:f>
        <x:v>1447.5</x:v>
      </x:c>
      <x:c r="H874" s="9" t="n">
        <x:f>SUM(SalesLines!M2133,SalesLines!M2134)</x:f>
        <x:v>1644</x:v>
      </x:c>
      <x:c r="I874" s="9" t="n">
        <x:f>SUM(SalesLines!N2133,SalesLines!N2134)</x:f>
        <x:v>196.5</x:v>
      </x:c>
      <x:c r="J874" s="9" t="n">
        <x:f>SUM(SalesLines!P2133,SalesLines!P2134)</x:f>
        <x:v>0</x:v>
      </x:c>
      <x:c r="K874" s="11" t="n">
        <x:f>SUM(SalesLines!R2133,SalesLines!R2134)</x:f>
        <x:v>6</x:v>
      </x:c>
      <x:c r="L874" s="11" t="n">
        <x:f>SUM(SalesLines!S2133,SalesLines!S2134)</x:f>
        <x:v>0</x:v>
      </x:c>
      <x:c r="M874" s="8" t="n">
        <x:f>DATE(YEAR(C874),MONTH(C874),1)</x:f>
        <x:v>45809</x:v>
      </x:c>
    </x:row>
    <x:row r="875" ht="22" customHeight="1">
      <x:c r="A875" s="2" t="str">
        <x:v>O00871</x:v>
      </x:c>
      <x:c r="B875" s="2" t="str">
        <x:v>C0017</x:v>
      </x:c>
      <x:c r="C875" s="7" t="n">
        <x:v>45982</x:v>
      </x:c>
      <x:c r="D875" s="2" t="str">
        <x:v>Completed</x:v>
      </x:c>
      <x:c r="E875" s="2" t="str">
        <x:v>South</x:v>
      </x:c>
      <x:c r="F875" s="2" t="str">
        <x:v>Store</x:v>
      </x:c>
      <x:c r="G875" s="9" t="n">
        <x:f>SUM(SalesLines!Q2135)</x:f>
        <x:v>214.4</x:v>
      </x:c>
      <x:c r="H875" s="9" t="n">
        <x:f>SUM(SalesLines!M2135)</x:f>
        <x:v>268</x:v>
      </x:c>
      <x:c r="I875" s="9" t="n">
        <x:f>SUM(SalesLines!N2135)</x:f>
        <x:v>53.6</x:v>
      </x:c>
      <x:c r="J875" s="9" t="n">
        <x:f>SUM(SalesLines!P2135)</x:f>
        <x:v>0</x:v>
      </x:c>
      <x:c r="K875" s="11" t="n">
        <x:f>SUM(SalesLines!R2135)</x:f>
        <x:v>2</x:v>
      </x:c>
      <x:c r="L875" s="11" t="n">
        <x:f>SUM(SalesLines!S2135)</x:f>
        <x:v>0</x:v>
      </x:c>
      <x:c r="M875" s="8" t="n">
        <x:f>DATE(YEAR(C875),MONTH(C875),1)</x:f>
        <x:v>45962</x:v>
      </x:c>
    </x:row>
    <x:row r="876" ht="22" customHeight="1">
      <x:c r="A876" s="2" t="str">
        <x:v>O00872</x:v>
      </x:c>
      <x:c r="B876" s="2" t="str">
        <x:v>C0299</x:v>
      </x:c>
      <x:c r="C876" s="7" t="n">
        <x:v>45904</x:v>
      </x:c>
      <x:c r="D876" s="2" t="str">
        <x:v>Completed</x:v>
      </x:c>
      <x:c r="E876" s="2" t="str">
        <x:v>North</x:v>
      </x:c>
      <x:c r="F876" s="2" t="str">
        <x:v>Store</x:v>
      </x:c>
      <x:c r="G876" s="9" t="n">
        <x:f>SUM(SalesLines!Q2136,SalesLines!Q2137,SalesLines!Q2138,SalesLines!Q2139)</x:f>
        <x:v>1285.7</x:v>
      </x:c>
      <x:c r="H876" s="9" t="n">
        <x:f>SUM(SalesLines!M2136,SalesLines!M2137,SalesLines!M2138,SalesLines!M2139)</x:f>
        <x:v>1369</x:v>
      </x:c>
      <x:c r="I876" s="9" t="n">
        <x:f>SUM(SalesLines!N2136,SalesLines!N2137,SalesLines!N2138,SalesLines!N2139)</x:f>
        <x:v>83.3</x:v>
      </x:c>
      <x:c r="J876" s="9" t="n">
        <x:f>SUM(SalesLines!P2136,SalesLines!P2137,SalesLines!P2138,SalesLines!P2139)</x:f>
        <x:v>0</x:v>
      </x:c>
      <x:c r="K876" s="11" t="n">
        <x:f>SUM(SalesLines!R2136,SalesLines!R2137,SalesLines!R2138,SalesLines!R2139)</x:f>
        <x:v>12</x:v>
      </x:c>
      <x:c r="L876" s="11" t="n">
        <x:f>SUM(SalesLines!S2136,SalesLines!S2137,SalesLines!S2138,SalesLines!S2139)</x:f>
        <x:v>0</x:v>
      </x:c>
      <x:c r="M876" s="8" t="n">
        <x:f>DATE(YEAR(C876),MONTH(C876),1)</x:f>
        <x:v>45901</x:v>
      </x:c>
    </x:row>
    <x:row r="877" ht="22" customHeight="1">
      <x:c r="A877" s="2" t="str">
        <x:v>O00873</x:v>
      </x:c>
      <x:c r="B877" s="2" t="str">
        <x:v>C0063</x:v>
      </x:c>
      <x:c r="C877" s="7" t="n">
        <x:v>45710</x:v>
      </x:c>
      <x:c r="D877" s="2" t="str">
        <x:v>Completed</x:v>
      </x:c>
      <x:c r="E877" s="2" t="str">
        <x:v>West</x:v>
      </x:c>
      <x:c r="F877" s="2" t="str">
        <x:v>Online</x:v>
      </x:c>
      <x:c r="G877" s="9" t="n">
        <x:f>SUM(SalesLines!Q2140,SalesLines!Q2141,SalesLines!Q2142)</x:f>
        <x:v>3090</x:v>
      </x:c>
      <x:c r="H877" s="9" t="n">
        <x:f>SUM(SalesLines!M2140,SalesLines!M2141,SalesLines!M2142)</x:f>
        <x:v>3240</x:v>
      </x:c>
      <x:c r="I877" s="9" t="n">
        <x:f>SUM(SalesLines!N2140,SalesLines!N2141,SalesLines!N2142)</x:f>
        <x:v>150</x:v>
      </x:c>
      <x:c r="J877" s="9" t="n">
        <x:f>SUM(SalesLines!P2140,SalesLines!P2141,SalesLines!P2142)</x:f>
        <x:v>0</x:v>
      </x:c>
      <x:c r="K877" s="11" t="n">
        <x:f>SUM(SalesLines!R2140,SalesLines!R2141,SalesLines!R2142)</x:f>
        <x:v>12</x:v>
      </x:c>
      <x:c r="L877" s="11" t="n">
        <x:f>SUM(SalesLines!S2140,SalesLines!S2141,SalesLines!S2142)</x:f>
        <x:v>0</x:v>
      </x:c>
      <x:c r="M877" s="8" t="n">
        <x:f>DATE(YEAR(C877),MONTH(C877),1)</x:f>
        <x:v>45689</x:v>
      </x:c>
    </x:row>
    <x:row r="878" ht="22" customHeight="1">
      <x:c r="A878" s="2" t="str">
        <x:v>O00874</x:v>
      </x:c>
      <x:c r="B878" s="2" t="str">
        <x:v>C0207</x:v>
      </x:c>
      <x:c r="C878" s="7" t="n">
        <x:v>45751</x:v>
      </x:c>
      <x:c r="D878" s="2" t="str">
        <x:v>Completed</x:v>
      </x:c>
      <x:c r="E878" s="2" t="str">
        <x:v>South</x:v>
      </x:c>
      <x:c r="F878" s="2" t="str">
        <x:v>Store</x:v>
      </x:c>
      <x:c r="G878" s="9" t="n">
        <x:f>SUM(SalesLines!Q2143,SalesLines!Q2144)</x:f>
        <x:v>804.3</x:v>
      </x:c>
      <x:c r="H878" s="9" t="n">
        <x:f>SUM(SalesLines!M2143,SalesLines!M2144)</x:f>
        <x:v>975</x:v>
      </x:c>
      <x:c r="I878" s="9" t="n">
        <x:f>SUM(SalesLines!N2143,SalesLines!N2144)</x:f>
        <x:v>170.70000000000002</x:v>
      </x:c>
      <x:c r="J878" s="9" t="n">
        <x:f>SUM(SalesLines!P2143,SalesLines!P2144)</x:f>
        <x:v>0</x:v>
      </x:c>
      <x:c r="K878" s="11" t="n">
        <x:f>SUM(SalesLines!R2143,SalesLines!R2144)</x:f>
        <x:v>5</x:v>
      </x:c>
      <x:c r="L878" s="11" t="n">
        <x:f>SUM(SalesLines!S2143,SalesLines!S2144)</x:f>
        <x:v>0</x:v>
      </x:c>
      <x:c r="M878" s="8" t="n">
        <x:f>DATE(YEAR(C878),MONTH(C878),1)</x:f>
        <x:v>45748</x:v>
      </x:c>
    </x:row>
    <x:row r="879" ht="22" customHeight="1">
      <x:c r="A879" s="2" t="str">
        <x:v>O00875</x:v>
      </x:c>
      <x:c r="B879" s="2" t="str">
        <x:v>C0173</x:v>
      </x:c>
      <x:c r="C879" s="7" t="n">
        <x:v>45668</x:v>
      </x:c>
      <x:c r="D879" s="2" t="str">
        <x:v>Completed</x:v>
      </x:c>
      <x:c r="E879" s="2" t="str">
        <x:v>West</x:v>
      </x:c>
      <x:c r="F879" s="2" t="str">
        <x:v>Online</x:v>
      </x:c>
      <x:c r="G879" s="9" t="n">
        <x:f>SUM(SalesLines!Q2145,SalesLines!Q2146,SalesLines!Q2147)</x:f>
        <x:v>1644</x:v>
      </x:c>
      <x:c r="H879" s="9" t="n">
        <x:f>SUM(SalesLines!M2145,SalesLines!M2146,SalesLines!M2147)</x:f>
        <x:v>1895</x:v>
      </x:c>
      <x:c r="I879" s="9" t="n">
        <x:f>SUM(SalesLines!N2145,SalesLines!N2146,SalesLines!N2147)</x:f>
        <x:v>251</x:v>
      </x:c>
      <x:c r="J879" s="9" t="n">
        <x:f>SUM(SalesLines!P2145,SalesLines!P2146,SalesLines!P2147)</x:f>
        <x:v>0</x:v>
      </x:c>
      <x:c r="K879" s="11" t="n">
        <x:f>SUM(SalesLines!R2145,SalesLines!R2146,SalesLines!R2147)</x:f>
        <x:v>15</x:v>
      </x:c>
      <x:c r="L879" s="11" t="n">
        <x:f>SUM(SalesLines!S2145,SalesLines!S2146,SalesLines!S2147)</x:f>
        <x:v>0</x:v>
      </x:c>
      <x:c r="M879" s="8" t="n">
        <x:f>DATE(YEAR(C879),MONTH(C879),1)</x:f>
        <x:v>45658</x:v>
      </x:c>
    </x:row>
    <x:row r="880" ht="22" customHeight="1">
      <x:c r="A880" s="2" t="str">
        <x:v>O00876</x:v>
      </x:c>
      <x:c r="B880" s="2" t="str">
        <x:v>C0122</x:v>
      </x:c>
      <x:c r="C880" s="7" t="n">
        <x:v>45880</x:v>
      </x:c>
      <x:c r="D880" s="2" t="str">
        <x:v>Completed</x:v>
      </x:c>
      <x:c r="E880" s="2" t="str">
        <x:v>North</x:v>
      </x:c>
      <x:c r="F880" s="2" t="str">
        <x:v>Online</x:v>
      </x:c>
      <x:c r="G880" s="9" t="n">
        <x:f>SUM(SalesLines!Q2148,SalesLines!Q2149,SalesLines!Q2150,SalesLines!Q2151)</x:f>
        <x:v>2766.2</x:v>
      </x:c>
      <x:c r="H880" s="9" t="n">
        <x:f>SUM(SalesLines!M2148,SalesLines!M2149,SalesLines!M2150,SalesLines!M2151)</x:f>
        <x:v>3016</x:v>
      </x:c>
      <x:c r="I880" s="9" t="n">
        <x:f>SUM(SalesLines!N2148,SalesLines!N2149,SalesLines!N2150,SalesLines!N2151)</x:f>
        <x:v>53.800000000000004</x:v>
      </x:c>
      <x:c r="J880" s="9" t="n">
        <x:f>SUM(SalesLines!P2148,SalesLines!P2149,SalesLines!P2150,SalesLines!P2151)</x:f>
        <x:v>196</x:v>
      </x:c>
      <x:c r="K880" s="11" t="n">
        <x:f>SUM(SalesLines!R2148,SalesLines!R2149,SalesLines!R2150,SalesLines!R2151)</x:f>
        <x:v>12</x:v>
      </x:c>
      <x:c r="L880" s="11" t="n">
        <x:f>SUM(SalesLines!S2148,SalesLines!S2149,SalesLines!S2150,SalesLines!S2151)</x:f>
        <x:v>1</x:v>
      </x:c>
      <x:c r="M880" s="8" t="n">
        <x:f>DATE(YEAR(C880),MONTH(C880),1)</x:f>
        <x:v>45870</x:v>
      </x:c>
    </x:row>
    <x:row r="881" ht="22" customHeight="1">
      <x:c r="A881" s="2" t="str">
        <x:v>O00877</x:v>
      </x:c>
      <x:c r="B881" s="2" t="str">
        <x:v>C0199</x:v>
      </x:c>
      <x:c r="C881" s="7" t="n">
        <x:v>45907</x:v>
      </x:c>
      <x:c r="D881" s="2" t="str">
        <x:v>Completed</x:v>
      </x:c>
      <x:c r="E881" s="2" t="str">
        <x:v>North</x:v>
      </x:c>
      <x:c r="F881" s="2" t="str">
        <x:v>Store</x:v>
      </x:c>
      <x:c r="G881" s="9" t="n">
        <x:f>SUM(SalesLines!Q2152)</x:f>
        <x:v>554.4</x:v>
      </x:c>
      <x:c r="H881" s="9" t="n">
        <x:f>SUM(SalesLines!M2152)</x:f>
        <x:v>693</x:v>
      </x:c>
      <x:c r="I881" s="9" t="n">
        <x:f>SUM(SalesLines!N2152)</x:f>
        <x:v>138.6</x:v>
      </x:c>
      <x:c r="J881" s="9" t="n">
        <x:f>SUM(SalesLines!P2152)</x:f>
        <x:v>0</x:v>
      </x:c>
      <x:c r="K881" s="11" t="n">
        <x:f>SUM(SalesLines!R2152)</x:f>
        <x:v>3</x:v>
      </x:c>
      <x:c r="L881" s="11" t="n">
        <x:f>SUM(SalesLines!S2152)</x:f>
        <x:v>0</x:v>
      </x:c>
      <x:c r="M881" s="8" t="n">
        <x:f>DATE(YEAR(C881),MONTH(C881),1)</x:f>
        <x:v>45901</x:v>
      </x:c>
    </x:row>
    <x:row r="882" ht="22" customHeight="1">
      <x:c r="A882" s="2" t="str">
        <x:v>O00878</x:v>
      </x:c>
      <x:c r="B882" s="2" t="str">
        <x:v>C0011</x:v>
      </x:c>
      <x:c r="C882" s="7" t="n">
        <x:v>45756</x:v>
      </x:c>
      <x:c r="D882" s="2" t="str">
        <x:v>Completed</x:v>
      </x:c>
      <x:c r="E882" s="2" t="str">
        <x:v>North</x:v>
      </x:c>
      <x:c r="F882" s="2" t="str">
        <x:v>Store</x:v>
      </x:c>
      <x:c r="G882" s="9" t="n">
        <x:f>SUM(SalesLines!Q2153,SalesLines!Q2154,SalesLines!Q2155)</x:f>
        <x:v>590.55</x:v>
      </x:c>
      <x:c r="H882" s="9" t="n">
        <x:f>SUM(SalesLines!M2153,SalesLines!M2154,SalesLines!M2155)</x:f>
        <x:v>726</x:v>
      </x:c>
      <x:c r="I882" s="9" t="n">
        <x:f>SUM(SalesLines!N2153,SalesLines!N2154,SalesLines!N2155)</x:f>
        <x:v>135.45</x:v>
      </x:c>
      <x:c r="J882" s="9" t="n">
        <x:f>SUM(SalesLines!P2153,SalesLines!P2154,SalesLines!P2155)</x:f>
        <x:v>0</x:v>
      </x:c>
      <x:c r="K882" s="11" t="n">
        <x:f>SUM(SalesLines!R2153,SalesLines!R2154,SalesLines!R2155)</x:f>
        <x:v>7</x:v>
      </x:c>
      <x:c r="L882" s="11" t="n">
        <x:f>SUM(SalesLines!S2153,SalesLines!S2154,SalesLines!S2155)</x:f>
        <x:v>0</x:v>
      </x:c>
      <x:c r="M882" s="8" t="n">
        <x:f>DATE(YEAR(C882),MONTH(C882),1)</x:f>
        <x:v>45748</x:v>
      </x:c>
    </x:row>
    <x:row r="883" ht="22" customHeight="1">
      <x:c r="A883" s="2" t="str">
        <x:v>O00879</x:v>
      </x:c>
      <x:c r="B883" s="2" t="str">
        <x:v>C0088</x:v>
      </x:c>
      <x:c r="C883" s="7" t="n">
        <x:v>45971</x:v>
      </x:c>
      <x:c r="D883" s="2" t="str">
        <x:v>Completed</x:v>
      </x:c>
      <x:c r="E883" s="2" t="str">
        <x:v>West</x:v>
      </x:c>
      <x:c r="F883" s="2" t="str">
        <x:v>Store</x:v>
      </x:c>
      <x:c r="G883" s="9" t="n">
        <x:f>SUM(SalesLines!Q2156)</x:f>
        <x:v>152</x:v>
      </x:c>
      <x:c r="H883" s="9" t="n">
        <x:f>SUM(SalesLines!M2156)</x:f>
        <x:v>160</x:v>
      </x:c>
      <x:c r="I883" s="9" t="n">
        <x:f>SUM(SalesLines!N2156)</x:f>
        <x:v>8</x:v>
      </x:c>
      <x:c r="J883" s="9" t="n">
        <x:f>SUM(SalesLines!P2156)</x:f>
        <x:v>0</x:v>
      </x:c>
      <x:c r="K883" s="11" t="n">
        <x:f>SUM(SalesLines!R2156)</x:f>
        <x:v>2</x:v>
      </x:c>
      <x:c r="L883" s="11" t="n">
        <x:f>SUM(SalesLines!S2156)</x:f>
        <x:v>0</x:v>
      </x:c>
      <x:c r="M883" s="8" t="n">
        <x:f>DATE(YEAR(C883),MONTH(C883),1)</x:f>
        <x:v>45962</x:v>
      </x:c>
    </x:row>
    <x:row r="884" ht="22" customHeight="1">
      <x:c r="A884" s="2" t="str">
        <x:v>O00880</x:v>
      </x:c>
      <x:c r="B884" s="2" t="str">
        <x:v>C0128</x:v>
      </x:c>
      <x:c r="C884" s="7" t="n">
        <x:v>45699</x:v>
      </x:c>
      <x:c r="D884" s="2" t="str">
        <x:v>Completed</x:v>
      </x:c>
      <x:c r="E884" s="2" t="str">
        <x:v>West</x:v>
      </x:c>
      <x:c r="F884" s="2" t="str">
        <x:v>Online</x:v>
      </x:c>
      <x:c r="G884" s="9" t="n">
        <x:f>SUM(SalesLines!Q2157)</x:f>
        <x:v>97.6</x:v>
      </x:c>
      <x:c r="H884" s="9" t="n">
        <x:f>SUM(SalesLines!M2157)</x:f>
        <x:v>122</x:v>
      </x:c>
      <x:c r="I884" s="9" t="n">
        <x:f>SUM(SalesLines!N2157)</x:f>
        <x:v>24.400000000000002</x:v>
      </x:c>
      <x:c r="J884" s="9" t="n">
        <x:f>SUM(SalesLines!P2157)</x:f>
        <x:v>0</x:v>
      </x:c>
      <x:c r="K884" s="11" t="n">
        <x:f>SUM(SalesLines!R2157)</x:f>
        <x:v>1</x:v>
      </x:c>
      <x:c r="L884" s="11" t="n">
        <x:f>SUM(SalesLines!S2157)</x:f>
        <x:v>0</x:v>
      </x:c>
      <x:c r="M884" s="8" t="n">
        <x:f>DATE(YEAR(C884),MONTH(C884),1)</x:f>
        <x:v>45689</x:v>
      </x:c>
    </x:row>
    <x:row r="885" ht="22" customHeight="1">
      <x:c r="A885" s="2" t="str">
        <x:v>O00881</x:v>
      </x:c>
      <x:c r="B885" s="2" t="str">
        <x:v>C0249</x:v>
      </x:c>
      <x:c r="C885" s="7" t="n">
        <x:v>45898</x:v>
      </x:c>
      <x:c r="D885" s="2" t="str">
        <x:v>Completed</x:v>
      </x:c>
      <x:c r="E885" s="2" t="str">
        <x:v>North</x:v>
      </x:c>
      <x:c r="F885" s="2" t="str">
        <x:v>Online</x:v>
      </x:c>
      <x:c r="G885" s="9" t="n">
        <x:f>SUM(SalesLines!Q2158)</x:f>
        <x:v>280.8</x:v>
      </x:c>
      <x:c r="H885" s="9" t="n">
        <x:f>SUM(SalesLines!M2158)</x:f>
        <x:v>312</x:v>
      </x:c>
      <x:c r="I885" s="9" t="n">
        <x:f>SUM(SalesLines!N2158)</x:f>
        <x:v>31.200000000000003</x:v>
      </x:c>
      <x:c r="J885" s="9" t="n">
        <x:f>SUM(SalesLines!P2158)</x:f>
        <x:v>0</x:v>
      </x:c>
      <x:c r="K885" s="11" t="n">
        <x:f>SUM(SalesLines!R2158)</x:f>
        <x:v>4</x:v>
      </x:c>
      <x:c r="L885" s="11" t="n">
        <x:f>SUM(SalesLines!S2158)</x:f>
        <x:v>0</x:v>
      </x:c>
      <x:c r="M885" s="8" t="n">
        <x:f>DATE(YEAR(C885),MONTH(C885),1)</x:f>
        <x:v>45870</x:v>
      </x:c>
    </x:row>
    <x:row r="886" ht="22" customHeight="1">
      <x:c r="A886" s="2" t="str">
        <x:v>O00882</x:v>
      </x:c>
      <x:c r="B886" s="2" t="str">
        <x:v>C0230</x:v>
      </x:c>
      <x:c r="C886" s="7" t="n">
        <x:v>45837</x:v>
      </x:c>
      <x:c r="D886" s="2" t="str">
        <x:v>Completed</x:v>
      </x:c>
      <x:c r="E886" s="2" t="str">
        <x:v>East</x:v>
      </x:c>
      <x:c r="F886" s="2" t="str">
        <x:v>Store</x:v>
      </x:c>
      <x:c r="G886" s="9" t="n">
        <x:f>SUM(SalesLines!Q2159,SalesLines!Q2160)</x:f>
        <x:v>527.5</x:v>
      </x:c>
      <x:c r="H886" s="9" t="n">
        <x:f>SUM(SalesLines!M2159,SalesLines!M2160)</x:f>
        <x:v>566</x:v>
      </x:c>
      <x:c r="I886" s="9" t="n">
        <x:f>SUM(SalesLines!N2159,SalesLines!N2160)</x:f>
        <x:v>38.5</x:v>
      </x:c>
      <x:c r="J886" s="9" t="n">
        <x:f>SUM(SalesLines!P2159,SalesLines!P2160)</x:f>
        <x:v>0</x:v>
      </x:c>
      <x:c r="K886" s="11" t="n">
        <x:f>SUM(SalesLines!R2159,SalesLines!R2160)</x:f>
        <x:v>3</x:v>
      </x:c>
      <x:c r="L886" s="11" t="n">
        <x:f>SUM(SalesLines!S2159,SalesLines!S2160)</x:f>
        <x:v>0</x:v>
      </x:c>
      <x:c r="M886" s="8" t="n">
        <x:f>DATE(YEAR(C886),MONTH(C886),1)</x:f>
        <x:v>45809</x:v>
      </x:c>
    </x:row>
    <x:row r="887" ht="22" customHeight="1">
      <x:c r="A887" s="2" t="str">
        <x:v>O00883</x:v>
      </x:c>
      <x:c r="B887" s="2" t="str">
        <x:v>C0205</x:v>
      </x:c>
      <x:c r="C887" s="7" t="n">
        <x:v>45808</x:v>
      </x:c>
      <x:c r="D887" s="2" t="str">
        <x:v>Completed</x:v>
      </x:c>
      <x:c r="E887" s="2" t="str">
        <x:v>West</x:v>
      </x:c>
      <x:c r="F887" s="2" t="str">
        <x:v>Store</x:v>
      </x:c>
      <x:c r="G887" s="9" t="n">
        <x:f>SUM(SalesLines!Q2161)</x:f>
        <x:v>107.2</x:v>
      </x:c>
      <x:c r="H887" s="9" t="n">
        <x:f>SUM(SalesLines!M2161)</x:f>
        <x:v>134</x:v>
      </x:c>
      <x:c r="I887" s="9" t="n">
        <x:f>SUM(SalesLines!N2161)</x:f>
        <x:v>26.8</x:v>
      </x:c>
      <x:c r="J887" s="9" t="n">
        <x:f>SUM(SalesLines!P2161)</x:f>
        <x:v>0</x:v>
      </x:c>
      <x:c r="K887" s="11" t="n">
        <x:f>SUM(SalesLines!R2161)</x:f>
        <x:v>1</x:v>
      </x:c>
      <x:c r="L887" s="11" t="n">
        <x:f>SUM(SalesLines!S2161)</x:f>
        <x:v>0</x:v>
      </x:c>
      <x:c r="M887" s="8" t="n">
        <x:f>DATE(YEAR(C887),MONTH(C887),1)</x:f>
        <x:v>45778</x:v>
      </x:c>
    </x:row>
    <x:row r="888" ht="22" customHeight="1">
      <x:c r="A888" s="2" t="str">
        <x:v>O00884</x:v>
      </x:c>
      <x:c r="B888" s="2" t="str">
        <x:v>C0125</x:v>
      </x:c>
      <x:c r="C888" s="7" t="n">
        <x:v>45957</x:v>
      </x:c>
      <x:c r="D888" s="2" t="str">
        <x:v>Cancelled</x:v>
      </x:c>
      <x:c r="E888" s="2" t="str">
        <x:v>South</x:v>
      </x:c>
      <x:c r="F888" s="2" t="str">
        <x:v>Online</x:v>
      </x:c>
      <x:c r="G888" s="9" t="n">
        <x:f>SUM(SalesLines!Q2162,SalesLines!Q2163)</x:f>
        <x:v>0</x:v>
      </x:c>
      <x:c r="H888" s="9" t="n">
        <x:f>SUM(SalesLines!M2162,SalesLines!M2163)</x:f>
        <x:v>0</x:v>
      </x:c>
      <x:c r="I888" s="9" t="n">
        <x:f>SUM(SalesLines!N2162,SalesLines!N2163)</x:f>
        <x:v>0</x:v>
      </x:c>
      <x:c r="J888" s="9" t="n">
        <x:f>SUM(SalesLines!P2162,SalesLines!P2163)</x:f>
        <x:v>0</x:v>
      </x:c>
      <x:c r="K888" s="11" t="n">
        <x:f>SUM(SalesLines!R2162,SalesLines!R2163)</x:f>
        <x:v>0</x:v>
      </x:c>
      <x:c r="L888" s="11" t="n">
        <x:f>SUM(SalesLines!S2162,SalesLines!S2163)</x:f>
        <x:v>0</x:v>
      </x:c>
      <x:c r="M888" s="8" t="n">
        <x:f>DATE(YEAR(C888),MONTH(C888),1)</x:f>
        <x:v>45931</x:v>
      </x:c>
    </x:row>
    <x:row r="889" ht="22" customHeight="1">
      <x:c r="A889" s="2" t="str">
        <x:v>O00885</x:v>
      </x:c>
      <x:c r="B889" s="2" t="str">
        <x:v>C0099</x:v>
      </x:c>
      <x:c r="C889" s="7" t="n">
        <x:v>45728</x:v>
      </x:c>
      <x:c r="D889" s="2" t="str">
        <x:v>Completed</x:v>
      </x:c>
      <x:c r="E889" s="2" t="str">
        <x:v>West</x:v>
      </x:c>
      <x:c r="F889" s="2" t="str">
        <x:v>Store</x:v>
      </x:c>
      <x:c r="G889" s="9" t="n">
        <x:f>SUM(SalesLines!Q2164)</x:f>
        <x:v>0</x:v>
      </x:c>
      <x:c r="H889" s="9" t="n">
        <x:f>SUM(SalesLines!M2164)</x:f>
        <x:v>294</x:v>
      </x:c>
      <x:c r="I889" s="9" t="n">
        <x:f>SUM(SalesLines!N2164)</x:f>
        <x:v>14.700000000000001</x:v>
      </x:c>
      <x:c r="J889" s="9" t="n">
        <x:f>SUM(SalesLines!P2164)</x:f>
        <x:v>279.3</x:v>
      </x:c>
      <x:c r="K889" s="11" t="n">
        <x:f>SUM(SalesLines!R2164)</x:f>
        <x:v>1</x:v>
      </x:c>
      <x:c r="L889" s="11" t="n">
        <x:f>SUM(SalesLines!S2164)</x:f>
        <x:v>1</x:v>
      </x:c>
      <x:c r="M889" s="8" t="n">
        <x:f>DATE(YEAR(C889),MONTH(C889),1)</x:f>
        <x:v>45717</x:v>
      </x:c>
    </x:row>
    <x:row r="890" ht="22" customHeight="1">
      <x:c r="A890" s="2" t="str">
        <x:v>O00886</x:v>
      </x:c>
      <x:c r="B890" s="2" t="str">
        <x:v>C0130</x:v>
      </x:c>
      <x:c r="C890" s="7" t="n">
        <x:v>45714</x:v>
      </x:c>
      <x:c r="D890" s="2" t="str">
        <x:v>Completed</x:v>
      </x:c>
      <x:c r="E890" s="2" t="str">
        <x:v>West</x:v>
      </x:c>
      <x:c r="F890" s="2" t="str">
        <x:v>Online</x:v>
      </x:c>
      <x:c r="G890" s="9" t="n">
        <x:f>SUM(SalesLines!Q2165,SalesLines!Q2166,SalesLines!Q2167)</x:f>
        <x:v>1195.35</x:v>
      </x:c>
      <x:c r="H890" s="9" t="n">
        <x:f>SUM(SalesLines!M2165,SalesLines!M2166,SalesLines!M2167)</x:f>
        <x:v>1695</x:v>
      </x:c>
      <x:c r="I890" s="9" t="n">
        <x:f>SUM(SalesLines!N2165,SalesLines!N2166,SalesLines!N2167)</x:f>
        <x:v>197.25</x:v>
      </x:c>
      <x:c r="J890" s="9" t="n">
        <x:f>SUM(SalesLines!P2165,SalesLines!P2166,SalesLines!P2167)</x:f>
        <x:v>302.40000000000003</x:v>
      </x:c>
      <x:c r="K890" s="11" t="n">
        <x:f>SUM(SalesLines!R2165,SalesLines!R2166,SalesLines!R2167)</x:f>
        <x:v>11</x:v>
      </x:c>
      <x:c r="L890" s="11" t="n">
        <x:f>SUM(SalesLines!S2165,SalesLines!S2166,SalesLines!S2167)</x:f>
        <x:v>2</x:v>
      </x:c>
      <x:c r="M890" s="8" t="n">
        <x:f>DATE(YEAR(C890),MONTH(C890),1)</x:f>
        <x:v>45689</x:v>
      </x:c>
    </x:row>
    <x:row r="891" ht="22" customHeight="1">
      <x:c r="A891" s="2" t="str">
        <x:v>O00887</x:v>
      </x:c>
      <x:c r="B891" s="2" t="str">
        <x:v>C0247</x:v>
      </x:c>
      <x:c r="C891" s="7" t="n">
        <x:v>45851</x:v>
      </x:c>
      <x:c r="D891" s="2" t="str">
        <x:v>Completed</x:v>
      </x:c>
      <x:c r="E891" s="2" t="str">
        <x:v>North</x:v>
      </x:c>
      <x:c r="F891" s="2" t="str">
        <x:v>Online</x:v>
      </x:c>
      <x:c r="G891" s="9" t="n">
        <x:f>SUM(SalesLines!Q2168,SalesLines!Q2169,SalesLines!Q2170)</x:f>
        <x:v>1619.35</x:v>
      </x:c>
      <x:c r="H891" s="9" t="n">
        <x:f>SUM(SalesLines!M2168,SalesLines!M2169,SalesLines!M2170)</x:f>
        <x:v>1751</x:v>
      </x:c>
      <x:c r="I891" s="9" t="n">
        <x:f>SUM(SalesLines!N2168,SalesLines!N2169,SalesLines!N2170)</x:f>
        <x:v>131.65</x:v>
      </x:c>
      <x:c r="J891" s="9" t="n">
        <x:f>SUM(SalesLines!P2168,SalesLines!P2169,SalesLines!P2170)</x:f>
        <x:v>0</x:v>
      </x:c>
      <x:c r="K891" s="11" t="n">
        <x:f>SUM(SalesLines!R2168,SalesLines!R2169,SalesLines!R2170)</x:f>
        <x:v>6</x:v>
      </x:c>
      <x:c r="L891" s="11" t="n">
        <x:f>SUM(SalesLines!S2168,SalesLines!S2169,SalesLines!S2170)</x:f>
        <x:v>0</x:v>
      </x:c>
      <x:c r="M891" s="8" t="n">
        <x:f>DATE(YEAR(C891),MONTH(C891),1)</x:f>
        <x:v>45839</x:v>
      </x:c>
    </x:row>
    <x:row r="892" ht="22" customHeight="1">
      <x:c r="A892" s="2" t="str">
        <x:v>O00888</x:v>
      </x:c>
      <x:c r="B892" s="2" t="str">
        <x:v>C0224</x:v>
      </x:c>
      <x:c r="C892" s="7" t="n">
        <x:v>45718</x:v>
      </x:c>
      <x:c r="D892" s="2" t="str">
        <x:v>Completed</x:v>
      </x:c>
      <x:c r="E892" s="2" t="str">
        <x:v>West</x:v>
      </x:c>
      <x:c r="F892" s="2" t="str">
        <x:v>Store</x:v>
      </x:c>
      <x:c r="G892" s="9" t="n">
        <x:f>SUM(SalesLines!Q2171,SalesLines!Q2172,SalesLines!Q2173,SalesLines!Q2174)</x:f>
        <x:v>1806.25</x:v>
      </x:c>
      <x:c r="H892" s="9" t="n">
        <x:f>SUM(SalesLines!M2171,SalesLines!M2172,SalesLines!M2173,SalesLines!M2174)</x:f>
        <x:v>2443</x:v>
      </x:c>
      <x:c r="I892" s="9" t="n">
        <x:f>SUM(SalesLines!N2171,SalesLines!N2172,SalesLines!N2173,SalesLines!N2174)</x:f>
        <x:v>154.15</x:v>
      </x:c>
      <x:c r="J892" s="9" t="n">
        <x:f>SUM(SalesLines!P2171,SalesLines!P2172,SalesLines!P2173,SalesLines!P2174)</x:f>
        <x:v>482.59999999999997</x:v>
      </x:c>
      <x:c r="K892" s="11" t="n">
        <x:f>SUM(SalesLines!R2171,SalesLines!R2172,SalesLines!R2173,SalesLines!R2174)</x:f>
        <x:v>11</x:v>
      </x:c>
      <x:c r="L892" s="11" t="n">
        <x:f>SUM(SalesLines!S2171,SalesLines!S2172,SalesLines!S2173,SalesLines!S2174)</x:f>
        <x:v>2</x:v>
      </x:c>
      <x:c r="M892" s="8" t="n">
        <x:f>DATE(YEAR(C892),MONTH(C892),1)</x:f>
        <x:v>45717</x:v>
      </x:c>
    </x:row>
    <x:row r="893" ht="22" customHeight="1">
      <x:c r="A893" s="2" t="str">
        <x:v>O00889</x:v>
      </x:c>
      <x:c r="B893" s="2" t="str">
        <x:v>C0177</x:v>
      </x:c>
      <x:c r="C893" s="7" t="n">
        <x:v>45910</x:v>
      </x:c>
      <x:c r="D893" s="2" t="str">
        <x:v>Completed</x:v>
      </x:c>
      <x:c r="E893" s="2" t="str">
        <x:v>West</x:v>
      </x:c>
      <x:c r="F893" s="2" t="str">
        <x:v>Store</x:v>
      </x:c>
      <x:c r="G893" s="9" t="n">
        <x:f>SUM(SalesLines!Q2175)</x:f>
        <x:v>492</x:v>
      </x:c>
      <x:c r="H893" s="9" t="n">
        <x:f>SUM(SalesLines!M2175)</x:f>
        <x:v>492</x:v>
      </x:c>
      <x:c r="I893" s="9" t="n">
        <x:f>SUM(SalesLines!N2175)</x:f>
        <x:v>0</x:v>
      </x:c>
      <x:c r="J893" s="9" t="n">
        <x:f>SUM(SalesLines!P2175)</x:f>
        <x:v>0</x:v>
      </x:c>
      <x:c r="K893" s="11" t="n">
        <x:f>SUM(SalesLines!R2175)</x:f>
        <x:v>4</x:v>
      </x:c>
      <x:c r="L893" s="11" t="n">
        <x:f>SUM(SalesLines!S2175)</x:f>
        <x:v>0</x:v>
      </x:c>
      <x:c r="M893" s="8" t="n">
        <x:f>DATE(YEAR(C893),MONTH(C893),1)</x:f>
        <x:v>45901</x:v>
      </x:c>
    </x:row>
    <x:row r="894" ht="22" customHeight="1">
      <x:c r="A894" s="2" t="str">
        <x:v>O00890</x:v>
      </x:c>
      <x:c r="B894" s="2" t="str">
        <x:v>C0107</x:v>
      </x:c>
      <x:c r="C894" s="7" t="n">
        <x:v>45910</x:v>
      </x:c>
      <x:c r="D894" s="2" t="str">
        <x:v>Completed</x:v>
      </x:c>
      <x:c r="E894" s="2" t="str">
        <x:v>South</x:v>
      </x:c>
      <x:c r="F894" s="2" t="str">
        <x:v>Online</x:v>
      </x:c>
      <x:c r="G894" s="9" t="n">
        <x:f>SUM(SalesLines!Q2176,SalesLines!Q2177,SalesLines!Q2178)</x:f>
        <x:v>1520.2</x:v>
      </x:c>
      <x:c r="H894" s="9" t="n">
        <x:f>SUM(SalesLines!M2176,SalesLines!M2177,SalesLines!M2178)</x:f>
        <x:v>1578</x:v>
      </x:c>
      <x:c r="I894" s="9" t="n">
        <x:f>SUM(SalesLines!N2176,SalesLines!N2177,SalesLines!N2178)</x:f>
        <x:v>57.8</x:v>
      </x:c>
      <x:c r="J894" s="9" t="n">
        <x:f>SUM(SalesLines!P2176,SalesLines!P2177,SalesLines!P2178)</x:f>
        <x:v>0</x:v>
      </x:c>
      <x:c r="K894" s="11" t="n">
        <x:f>SUM(SalesLines!R2176,SalesLines!R2177,SalesLines!R2178)</x:f>
        <x:v>8</x:v>
      </x:c>
      <x:c r="L894" s="11" t="n">
        <x:f>SUM(SalesLines!S2176,SalesLines!S2177,SalesLines!S2178)</x:f>
        <x:v>0</x:v>
      </x:c>
      <x:c r="M894" s="8" t="n">
        <x:f>DATE(YEAR(C894),MONTH(C894),1)</x:f>
        <x:v>45901</x:v>
      </x:c>
    </x:row>
    <x:row r="895" ht="22" customHeight="1">
      <x:c r="A895" s="2" t="str">
        <x:v>O00891</x:v>
      </x:c>
      <x:c r="B895" s="2" t="str">
        <x:v>C0197</x:v>
      </x:c>
      <x:c r="C895" s="7" t="n">
        <x:v>45825</x:v>
      </x:c>
      <x:c r="D895" s="2" t="str">
        <x:v>Completed</x:v>
      </x:c>
      <x:c r="E895" s="2" t="str">
        <x:v>East</x:v>
      </x:c>
      <x:c r="F895" s="2" t="str">
        <x:v>Store</x:v>
      </x:c>
      <x:c r="G895" s="9" t="n">
        <x:f>SUM(SalesLines!Q2179)</x:f>
        <x:v>405</x:v>
      </x:c>
      <x:c r="H895" s="9" t="n">
        <x:f>SUM(SalesLines!M2179)</x:f>
        <x:v>405</x:v>
      </x:c>
      <x:c r="I895" s="9" t="n">
        <x:f>SUM(SalesLines!N2179)</x:f>
        <x:v>0</x:v>
      </x:c>
      <x:c r="J895" s="9" t="n">
        <x:f>SUM(SalesLines!P2179)</x:f>
        <x:v>0</x:v>
      </x:c>
      <x:c r="K895" s="11" t="n">
        <x:f>SUM(SalesLines!R2179)</x:f>
        <x:v>5</x:v>
      </x:c>
      <x:c r="L895" s="11" t="n">
        <x:f>SUM(SalesLines!S2179)</x:f>
        <x:v>0</x:v>
      </x:c>
      <x:c r="M895" s="8" t="n">
        <x:f>DATE(YEAR(C895),MONTH(C895),1)</x:f>
        <x:v>45809</x:v>
      </x:c>
    </x:row>
    <x:row r="896" ht="22" customHeight="1">
      <x:c r="A896" s="2" t="str">
        <x:v>O00892</x:v>
      </x:c>
      <x:c r="B896" s="2" t="str">
        <x:v>C0104</x:v>
      </x:c>
      <x:c r="C896" s="7" t="n">
        <x:v>46016</x:v>
      </x:c>
      <x:c r="D896" s="2" t="str">
        <x:v>Completed</x:v>
      </x:c>
      <x:c r="E896" s="2" t="str">
        <x:v>North</x:v>
      </x:c>
      <x:c r="F896" s="2" t="str">
        <x:v>Online</x:v>
      </x:c>
      <x:c r="G896" s="9" t="n">
        <x:f>SUM(SalesLines!Q2180,SalesLines!Q2181,SalesLines!Q2182)</x:f>
        <x:v>2304.2</x:v>
      </x:c>
      <x:c r="H896" s="9" t="n">
        <x:f>SUM(SalesLines!M2180,SalesLines!M2181,SalesLines!M2182)</x:f>
        <x:v>2571</x:v>
      </x:c>
      <x:c r="I896" s="9" t="n">
        <x:f>SUM(SalesLines!N2180,SalesLines!N2181,SalesLines!N2182)</x:f>
        <x:v>266.8</x:v>
      </x:c>
      <x:c r="J896" s="9" t="n">
        <x:f>SUM(SalesLines!P2180,SalesLines!P2181,SalesLines!P2182)</x:f>
        <x:v>0</x:v>
      </x:c>
      <x:c r="K896" s="11" t="n">
        <x:f>SUM(SalesLines!R2180,SalesLines!R2181,SalesLines!R2182)</x:f>
        <x:v>12</x:v>
      </x:c>
      <x:c r="L896" s="11" t="n">
        <x:f>SUM(SalesLines!S2180,SalesLines!S2181,SalesLines!S2182)</x:f>
        <x:v>0</x:v>
      </x:c>
      <x:c r="M896" s="8" t="n">
        <x:f>DATE(YEAR(C896),MONTH(C896),1)</x:f>
        <x:v>45992</x:v>
      </x:c>
    </x:row>
    <x:row r="897" ht="22" customHeight="1">
      <x:c r="A897" s="2" t="str">
        <x:v>O00893</x:v>
      </x:c>
      <x:c r="B897" s="2" t="str">
        <x:v>C0191</x:v>
      </x:c>
      <x:c r="C897" s="7" t="n">
        <x:v>45981</x:v>
      </x:c>
      <x:c r="D897" s="2" t="str">
        <x:v>Completed</x:v>
      </x:c>
      <x:c r="E897" s="2" t="str">
        <x:v>North</x:v>
      </x:c>
      <x:c r="F897" s="2" t="str">
        <x:v>Store</x:v>
      </x:c>
      <x:c r="G897" s="9" t="n">
        <x:f>SUM(SalesLines!Q2183)</x:f>
        <x:v>398</x:v>
      </x:c>
      <x:c r="H897" s="9" t="n">
        <x:f>SUM(SalesLines!M2183)</x:f>
        <x:v>398</x:v>
      </x:c>
      <x:c r="I897" s="9" t="n">
        <x:f>SUM(SalesLines!N2183)</x:f>
        <x:v>0</x:v>
      </x:c>
      <x:c r="J897" s="9" t="n">
        <x:f>SUM(SalesLines!P2183)</x:f>
        <x:v>0</x:v>
      </x:c>
      <x:c r="K897" s="11" t="n">
        <x:f>SUM(SalesLines!R2183)</x:f>
        <x:v>2</x:v>
      </x:c>
      <x:c r="L897" s="11" t="n">
        <x:f>SUM(SalesLines!S2183)</x:f>
        <x:v>0</x:v>
      </x:c>
      <x:c r="M897" s="8" t="n">
        <x:f>DATE(YEAR(C897),MONTH(C897),1)</x:f>
        <x:v>45962</x:v>
      </x:c>
    </x:row>
    <x:row r="898" ht="22" customHeight="1">
      <x:c r="A898" s="2" t="str">
        <x:v>O00894</x:v>
      </x:c>
      <x:c r="B898" s="2" t="str">
        <x:v>C0063</x:v>
      </x:c>
      <x:c r="C898" s="7" t="n">
        <x:v>46011</x:v>
      </x:c>
      <x:c r="D898" s="2" t="str">
        <x:v>Completed</x:v>
      </x:c>
      <x:c r="E898" s="2" t="str">
        <x:v>West</x:v>
      </x:c>
      <x:c r="F898" s="2" t="str">
        <x:v>Store</x:v>
      </x:c>
      <x:c r="G898" s="9" t="n">
        <x:f>SUM(SalesLines!Q2184,SalesLines!Q2185,SalesLines!Q2186)</x:f>
        <x:v>1676.65</x:v>
      </x:c>
      <x:c r="H898" s="9" t="n">
        <x:f>SUM(SalesLines!M2184,SalesLines!M2185,SalesLines!M2186)</x:f>
        <x:v>1745</x:v>
      </x:c>
      <x:c r="I898" s="9" t="n">
        <x:f>SUM(SalesLines!N2184,SalesLines!N2185,SalesLines!N2186)</x:f>
        <x:v>68.35</x:v>
      </x:c>
      <x:c r="J898" s="9" t="n">
        <x:f>SUM(SalesLines!P2184,SalesLines!P2185,SalesLines!P2186)</x:f>
        <x:v>0</x:v>
      </x:c>
      <x:c r="K898" s="11" t="n">
        <x:f>SUM(SalesLines!R2184,SalesLines!R2185,SalesLines!R2186)</x:f>
        <x:v>11</x:v>
      </x:c>
      <x:c r="L898" s="11" t="n">
        <x:f>SUM(SalesLines!S2184,SalesLines!S2185,SalesLines!S2186)</x:f>
        <x:v>0</x:v>
      </x:c>
      <x:c r="M898" s="8" t="n">
        <x:f>DATE(YEAR(C898),MONTH(C898),1)</x:f>
        <x:v>45992</x:v>
      </x:c>
    </x:row>
    <x:row r="899" ht="22" customHeight="1">
      <x:c r="A899" s="2" t="str">
        <x:v>O00895</x:v>
      </x:c>
      <x:c r="B899" s="2" t="str">
        <x:v>C0029</x:v>
      </x:c>
      <x:c r="C899" s="7" t="n">
        <x:v>45711</x:v>
      </x:c>
      <x:c r="D899" s="2" t="str">
        <x:v>Completed</x:v>
      </x:c>
      <x:c r="E899" s="2" t="str">
        <x:v>East</x:v>
      </x:c>
      <x:c r="F899" s="2" t="str">
        <x:v>Store</x:v>
      </x:c>
      <x:c r="G899" s="9" t="n">
        <x:f>SUM(SalesLines!Q2187)</x:f>
        <x:v>415.8</x:v>
      </x:c>
      <x:c r="H899" s="9" t="n">
        <x:f>SUM(SalesLines!M2187)</x:f>
        <x:v>462</x:v>
      </x:c>
      <x:c r="I899" s="9" t="n">
        <x:f>SUM(SalesLines!N2187)</x:f>
        <x:v>46.2</x:v>
      </x:c>
      <x:c r="J899" s="9" t="n">
        <x:f>SUM(SalesLines!P2187)</x:f>
        <x:v>0</x:v>
      </x:c>
      <x:c r="K899" s="11" t="n">
        <x:f>SUM(SalesLines!R2187)</x:f>
        <x:v>2</x:v>
      </x:c>
      <x:c r="L899" s="11" t="n">
        <x:f>SUM(SalesLines!S2187)</x:f>
        <x:v>0</x:v>
      </x:c>
      <x:c r="M899" s="8" t="n">
        <x:f>DATE(YEAR(C899),MONTH(C899),1)</x:f>
        <x:v>45689</x:v>
      </x:c>
    </x:row>
    <x:row r="900" ht="22" customHeight="1">
      <x:c r="A900" s="2" t="str">
        <x:v>O00896</x:v>
      </x:c>
      <x:c r="B900" s="2" t="str">
        <x:v>C0041</x:v>
      </x:c>
      <x:c r="C900" s="7" t="n">
        <x:v>45716</x:v>
      </x:c>
      <x:c r="D900" s="2" t="str">
        <x:v>Completed</x:v>
      </x:c>
      <x:c r="E900" s="2" t="str">
        <x:v>West</x:v>
      </x:c>
      <x:c r="F900" s="2" t="str">
        <x:v>Store</x:v>
      </x:c>
      <x:c r="G900" s="9" t="n">
        <x:f>SUM(SalesLines!Q2188,SalesLines!Q2189)</x:f>
        <x:v>914.4</x:v>
      </x:c>
      <x:c r="H900" s="9" t="n">
        <x:f>SUM(SalesLines!M2188,SalesLines!M2189)</x:f>
        <x:v>934</x:v>
      </x:c>
      <x:c r="I900" s="9" t="n">
        <x:f>SUM(SalesLines!N2188,SalesLines!N2189)</x:f>
        <x:v>19.6</x:v>
      </x:c>
      <x:c r="J900" s="9" t="n">
        <x:f>SUM(SalesLines!P2188,SalesLines!P2189)</x:f>
        <x:v>0</x:v>
      </x:c>
      <x:c r="K900" s="11" t="n">
        <x:f>SUM(SalesLines!R2188,SalesLines!R2189)</x:f>
        <x:v>4</x:v>
      </x:c>
      <x:c r="L900" s="11" t="n">
        <x:f>SUM(SalesLines!S2188,SalesLines!S2189)</x:f>
        <x:v>0</x:v>
      </x:c>
      <x:c r="M900" s="8" t="n">
        <x:f>DATE(YEAR(C900),MONTH(C900),1)</x:f>
        <x:v>45689</x:v>
      </x:c>
    </x:row>
    <x:row r="901" ht="22" customHeight="1">
      <x:c r="A901" s="2" t="str">
        <x:v>O00897</x:v>
      </x:c>
      <x:c r="B901" s="2" t="str">
        <x:v>C0075</x:v>
      </x:c>
      <x:c r="C901" s="7" t="n">
        <x:v>45682</x:v>
      </x:c>
      <x:c r="D901" s="2" t="str">
        <x:v>Completed</x:v>
      </x:c>
      <x:c r="E901" s="2" t="str">
        <x:v>South</x:v>
      </x:c>
      <x:c r="F901" s="2" t="str">
        <x:v>Store</x:v>
      </x:c>
      <x:c r="G901" s="9" t="n">
        <x:f>SUM(SalesLines!Q2190,SalesLines!Q2191,SalesLines!Q2192)</x:f>
        <x:v>2237</x:v>
      </x:c>
      <x:c r="H901" s="9" t="n">
        <x:f>SUM(SalesLines!M2190,SalesLines!M2191,SalesLines!M2192)</x:f>
        <x:v>2508</x:v>
      </x:c>
      <x:c r="I901" s="9" t="n">
        <x:f>SUM(SalesLines!N2190,SalesLines!N2191,SalesLines!N2192)</x:f>
        <x:v>0</x:v>
      </x:c>
      <x:c r="J901" s="9" t="n">
        <x:f>SUM(SalesLines!P2190,SalesLines!P2191,SalesLines!P2192)</x:f>
        <x:v>271</x:v>
      </x:c>
      <x:c r="K901" s="11" t="n">
        <x:f>SUM(SalesLines!R2190,SalesLines!R2191,SalesLines!R2192)</x:f>
        <x:v>11</x:v>
      </x:c>
      <x:c r="L901" s="11" t="n">
        <x:f>SUM(SalesLines!S2190,SalesLines!S2191,SalesLines!S2192)</x:f>
        <x:v>1</x:v>
      </x:c>
      <x:c r="M901" s="8" t="n">
        <x:f>DATE(YEAR(C901),MONTH(C901),1)</x:f>
        <x:v>45658</x:v>
      </x:c>
    </x:row>
    <x:row r="902" ht="22" customHeight="1">
      <x:c r="A902" s="2" t="str">
        <x:v>O00898</x:v>
      </x:c>
      <x:c r="B902" s="2" t="str">
        <x:v>C0160</x:v>
      </x:c>
      <x:c r="C902" s="7" t="n">
        <x:v>45661</x:v>
      </x:c>
      <x:c r="D902" s="2" t="str">
        <x:v>Completed</x:v>
      </x:c>
      <x:c r="E902" s="2" t="str">
        <x:v>West</x:v>
      </x:c>
      <x:c r="F902" s="2" t="str">
        <x:v>Online</x:v>
      </x:c>
      <x:c r="G902" s="9" t="n">
        <x:f>SUM(SalesLines!Q2193,SalesLines!Q2194,SalesLines!Q2195)</x:f>
        <x:v>1110.7</x:v>
      </x:c>
      <x:c r="H902" s="9" t="n">
        <x:f>SUM(SalesLines!M2193,SalesLines!M2194,SalesLines!M2195)</x:f>
        <x:v>1518</x:v>
      </x:c>
      <x:c r="I902" s="9" t="n">
        <x:f>SUM(SalesLines!N2193,SalesLines!N2194,SalesLines!N2195)</x:f>
        <x:v>300.1</x:v>
      </x:c>
      <x:c r="J902" s="9" t="n">
        <x:f>SUM(SalesLines!P2193,SalesLines!P2194,SalesLines!P2195)</x:f>
        <x:v>107.2</x:v>
      </x:c>
      <x:c r="K902" s="11" t="n">
        <x:f>SUM(SalesLines!R2193,SalesLines!R2194,SalesLines!R2195)</x:f>
        <x:v>9</x:v>
      </x:c>
      <x:c r="L902" s="11" t="n">
        <x:f>SUM(SalesLines!S2193,SalesLines!S2194,SalesLines!S2195)</x:f>
        <x:v>1</x:v>
      </x:c>
      <x:c r="M902" s="8" t="n">
        <x:f>DATE(YEAR(C902),MONTH(C902),1)</x:f>
        <x:v>45658</x:v>
      </x:c>
    </x:row>
    <x:row r="903" ht="22" customHeight="1">
      <x:c r="A903" s="2" t="str">
        <x:v>O00899</x:v>
      </x:c>
      <x:c r="B903" s="2" t="str">
        <x:v>C0286</x:v>
      </x:c>
      <x:c r="C903" s="7" t="n">
        <x:v>46001</x:v>
      </x:c>
      <x:c r="D903" s="2" t="str">
        <x:v>Completed</x:v>
      </x:c>
      <x:c r="E903" s="2" t="str">
        <x:v>West</x:v>
      </x:c>
      <x:c r="F903" s="2" t="str">
        <x:v>Store</x:v>
      </x:c>
      <x:c r="G903" s="9" t="n">
        <x:f>SUM(SalesLines!Q2196)</x:f>
        <x:v>224.1</x:v>
      </x:c>
      <x:c r="H903" s="9" t="n">
        <x:f>SUM(SalesLines!M2196)</x:f>
        <x:v>249</x:v>
      </x:c>
      <x:c r="I903" s="9" t="n">
        <x:f>SUM(SalesLines!N2196)</x:f>
        <x:v>24.900000000000002</x:v>
      </x:c>
      <x:c r="J903" s="9" t="n">
        <x:f>SUM(SalesLines!P2196)</x:f>
        <x:v>0</x:v>
      </x:c>
      <x:c r="K903" s="11" t="n">
        <x:f>SUM(SalesLines!R2196)</x:f>
        <x:v>1</x:v>
      </x:c>
      <x:c r="L903" s="11" t="n">
        <x:f>SUM(SalesLines!S2196)</x:f>
        <x:v>0</x:v>
      </x:c>
      <x:c r="M903" s="8" t="n">
        <x:f>DATE(YEAR(C903),MONTH(C903),1)</x:f>
        <x:v>45992</x:v>
      </x:c>
    </x:row>
    <x:row r="904" ht="22" customHeight="1">
      <x:c r="A904" s="2" t="str">
        <x:v>O00900</x:v>
      </x:c>
      <x:c r="B904" s="2" t="str">
        <x:v>C0243</x:v>
      </x:c>
      <x:c r="C904" s="7" t="n">
        <x:v>45827</x:v>
      </x:c>
      <x:c r="D904" s="2" t="str">
        <x:v>Completed</x:v>
      </x:c>
      <x:c r="E904" s="2" t="str">
        <x:v>East</x:v>
      </x:c>
      <x:c r="F904" s="2" t="str">
        <x:v>Online</x:v>
      </x:c>
      <x:c r="G904" s="9" t="n">
        <x:f>SUM(SalesLines!Q2197)</x:f>
        <x:v>272</x:v>
      </x:c>
      <x:c r="H904" s="9" t="n">
        <x:f>SUM(SalesLines!M2197)</x:f>
        <x:v>272</x:v>
      </x:c>
      <x:c r="I904" s="9" t="n">
        <x:f>SUM(SalesLines!N2197)</x:f>
        <x:v>0</x:v>
      </x:c>
      <x:c r="J904" s="9" t="n">
        <x:f>SUM(SalesLines!P2197)</x:f>
        <x:v>0</x:v>
      </x:c>
      <x:c r="K904" s="11" t="n">
        <x:f>SUM(SalesLines!R2197)</x:f>
        <x:v>4</x:v>
      </x:c>
      <x:c r="L904" s="11" t="n">
        <x:f>SUM(SalesLines!S2197)</x:f>
        <x:v>0</x:v>
      </x:c>
      <x:c r="M904" s="8" t="n">
        <x:f>DATE(YEAR(C904),MONTH(C904),1)</x:f>
        <x:v>45809</x:v>
      </x:c>
    </x:row>
    <x:row r="905" ht="22" customHeight="1">
      <x:c r="A905" s="2" t="str">
        <x:v>O00901</x:v>
      </x:c>
      <x:c r="B905" s="2" t="str">
        <x:v>C0054</x:v>
      </x:c>
      <x:c r="C905" s="7" t="n">
        <x:v>45881</x:v>
      </x:c>
      <x:c r="D905" s="2" t="str">
        <x:v>Completed</x:v>
      </x:c>
      <x:c r="E905" s="2" t="str">
        <x:v>East</x:v>
      </x:c>
      <x:c r="F905" s="2" t="str">
        <x:v>Store</x:v>
      </x:c>
      <x:c r="G905" s="9" t="n">
        <x:f>SUM(SalesLines!Q2198,SalesLines!Q2199,SalesLines!Q2200,SalesLines!Q2201)</x:f>
        <x:v>2727.4</x:v>
      </x:c>
      <x:c r="H905" s="9" t="n">
        <x:f>SUM(SalesLines!M2198,SalesLines!M2199,SalesLines!M2200,SalesLines!M2201)</x:f>
        <x:v>2792</x:v>
      </x:c>
      <x:c r="I905" s="9" t="n">
        <x:f>SUM(SalesLines!N2198,SalesLines!N2199,SalesLines!N2200,SalesLines!N2201)</x:f>
        <x:v>64.60000000000001</x:v>
      </x:c>
      <x:c r="J905" s="9" t="n">
        <x:f>SUM(SalesLines!P2198,SalesLines!P2199,SalesLines!P2200,SalesLines!P2201)</x:f>
        <x:v>0</x:v>
      </x:c>
      <x:c r="K905" s="11" t="n">
        <x:f>SUM(SalesLines!R2198,SalesLines!R2199,SalesLines!R2200,SalesLines!R2201)</x:f>
        <x:v>16</x:v>
      </x:c>
      <x:c r="L905" s="11" t="n">
        <x:f>SUM(SalesLines!S2198,SalesLines!S2199,SalesLines!S2200,SalesLines!S2201)</x:f>
        <x:v>0</x:v>
      </x:c>
      <x:c r="M905" s="8" t="n">
        <x:f>DATE(YEAR(C905),MONTH(C905),1)</x:f>
        <x:v>45870</x:v>
      </x:c>
    </x:row>
    <x:row r="906" ht="22" customHeight="1">
      <x:c r="A906" s="2" t="str">
        <x:v>O00902</x:v>
      </x:c>
      <x:c r="B906" s="2" t="str">
        <x:v>C0030</x:v>
      </x:c>
      <x:c r="C906" s="7" t="n">
        <x:v>45831</x:v>
      </x:c>
      <x:c r="D906" s="2" t="str">
        <x:v>Completed</x:v>
      </x:c>
      <x:c r="E906" s="2" t="str">
        <x:v>South</x:v>
      </x:c>
      <x:c r="F906" s="2" t="str">
        <x:v>Online</x:v>
      </x:c>
      <x:c r="G906" s="9" t="n">
        <x:f>SUM(SalesLines!Q2202,SalesLines!Q2203,SalesLines!Q2204)</x:f>
        <x:v>1312.8</x:v>
      </x:c>
      <x:c r="H906" s="9" t="n">
        <x:f>SUM(SalesLines!M2202,SalesLines!M2203,SalesLines!M2204)</x:f>
        <x:v>1452</x:v>
      </x:c>
      <x:c r="I906" s="9" t="n">
        <x:f>SUM(SalesLines!N2202,SalesLines!N2203,SalesLines!N2204)</x:f>
        <x:v>69</x:v>
      </x:c>
      <x:c r="J906" s="9" t="n">
        <x:f>SUM(SalesLines!P2202,SalesLines!P2203,SalesLines!P2204)</x:f>
        <x:v>70.2</x:v>
      </x:c>
      <x:c r="K906" s="11" t="n">
        <x:f>SUM(SalesLines!R2202,SalesLines!R2203,SalesLines!R2204)</x:f>
        <x:v>9</x:v>
      </x:c>
      <x:c r="L906" s="11" t="n">
        <x:f>SUM(SalesLines!S2202,SalesLines!S2203,SalesLines!S2204)</x:f>
        <x:v>1</x:v>
      </x:c>
      <x:c r="M906" s="8" t="n">
        <x:f>DATE(YEAR(C906),MONTH(C906),1)</x:f>
        <x:v>45809</x:v>
      </x:c>
    </x:row>
    <x:row r="907" ht="22" customHeight="1">
      <x:c r="A907" s="2" t="str">
        <x:v>O00903</x:v>
      </x:c>
      <x:c r="B907" s="2" t="str">
        <x:v>C0089</x:v>
      </x:c>
      <x:c r="C907" s="7" t="n">
        <x:v>45813</x:v>
      </x:c>
      <x:c r="D907" s="2" t="str">
        <x:v>Completed</x:v>
      </x:c>
      <x:c r="E907" s="2" t="str">
        <x:v>South</x:v>
      </x:c>
      <x:c r="F907" s="2" t="str">
        <x:v>Online</x:v>
      </x:c>
      <x:c r="G907" s="9" t="n">
        <x:f>SUM(SalesLines!Q2205)</x:f>
        <x:v>558.6</x:v>
      </x:c>
      <x:c r="H907" s="9" t="n">
        <x:f>SUM(SalesLines!M2205)</x:f>
        <x:v>588</x:v>
      </x:c>
      <x:c r="I907" s="9" t="n">
        <x:f>SUM(SalesLines!N2205)</x:f>
        <x:v>29.400000000000002</x:v>
      </x:c>
      <x:c r="J907" s="9" t="n">
        <x:f>SUM(SalesLines!P2205)</x:f>
        <x:v>0</x:v>
      </x:c>
      <x:c r="K907" s="11" t="n">
        <x:f>SUM(SalesLines!R2205)</x:f>
        <x:v>2</x:v>
      </x:c>
      <x:c r="L907" s="11" t="n">
        <x:f>SUM(SalesLines!S2205)</x:f>
        <x:v>0</x:v>
      </x:c>
      <x:c r="M907" s="8" t="n">
        <x:f>DATE(YEAR(C907),MONTH(C907),1)</x:f>
        <x:v>45809</x:v>
      </x:c>
    </x:row>
    <x:row r="908" ht="22" customHeight="1">
      <x:c r="A908" s="2" t="str">
        <x:v>O00904</x:v>
      </x:c>
      <x:c r="B908" s="2" t="str">
        <x:v>C0182</x:v>
      </x:c>
      <x:c r="C908" s="7" t="n">
        <x:v>45987</x:v>
      </x:c>
      <x:c r="D908" s="2" t="str">
        <x:v>Completed</x:v>
      </x:c>
      <x:c r="E908" s="2" t="str">
        <x:v>West</x:v>
      </x:c>
      <x:c r="F908" s="2" t="str">
        <x:v>Store</x:v>
      </x:c>
      <x:c r="G908" s="9" t="n">
        <x:f>SUM(SalesLines!Q2206)</x:f>
        <x:v>378</x:v>
      </x:c>
      <x:c r="H908" s="9" t="n">
        <x:f>SUM(SalesLines!M2206)</x:f>
        <x:v>378</x:v>
      </x:c>
      <x:c r="I908" s="9" t="n">
        <x:f>SUM(SalesLines!N2206)</x:f>
        <x:v>0</x:v>
      </x:c>
      <x:c r="J908" s="9" t="n">
        <x:f>SUM(SalesLines!P2206)</x:f>
        <x:v>0</x:v>
      </x:c>
      <x:c r="K908" s="11" t="n">
        <x:f>SUM(SalesLines!R2206)</x:f>
        <x:v>2</x:v>
      </x:c>
      <x:c r="L908" s="11" t="n">
        <x:f>SUM(SalesLines!S2206)</x:f>
        <x:v>0</x:v>
      </x:c>
      <x:c r="M908" s="8" t="n">
        <x:f>DATE(YEAR(C908),MONTH(C908),1)</x:f>
        <x:v>45962</x:v>
      </x:c>
    </x:row>
    <x:row r="909" ht="22" customHeight="1">
      <x:c r="A909" s="2" t="str">
        <x:v>O00905</x:v>
      </x:c>
      <x:c r="B909" s="2" t="str">
        <x:v>C0149</x:v>
      </x:c>
      <x:c r="C909" s="7" t="n">
        <x:v>45912</x:v>
      </x:c>
      <x:c r="D909" s="2" t="str">
        <x:v>Completed</x:v>
      </x:c>
      <x:c r="E909" s="2" t="str">
        <x:v>East</x:v>
      </x:c>
      <x:c r="F909" s="2" t="str">
        <x:v>Store</x:v>
      </x:c>
      <x:c r="G909" s="9" t="n">
        <x:f>SUM(SalesLines!Q2207,SalesLines!Q2208)</x:f>
        <x:v>1521.3</x:v>
      </x:c>
      <x:c r="H909" s="9" t="n">
        <x:f>SUM(SalesLines!M2207,SalesLines!M2208)</x:f>
        <x:v>1626</x:v>
      </x:c>
      <x:c r="I909" s="9" t="n">
        <x:f>SUM(SalesLines!N2207,SalesLines!N2208)</x:f>
        <x:v>104.7</x:v>
      </x:c>
      <x:c r="J909" s="9" t="n">
        <x:f>SUM(SalesLines!P2207,SalesLines!P2208)</x:f>
        <x:v>0</x:v>
      </x:c>
      <x:c r="K909" s="11" t="n">
        <x:f>SUM(SalesLines!R2207,SalesLines!R2208)</x:f>
        <x:v>7</x:v>
      </x:c>
      <x:c r="L909" s="11" t="n">
        <x:f>SUM(SalesLines!S2207,SalesLines!S2208)</x:f>
        <x:v>0</x:v>
      </x:c>
      <x:c r="M909" s="8" t="n">
        <x:f>DATE(YEAR(C909),MONTH(C909),1)</x:f>
        <x:v>45901</x:v>
      </x:c>
    </x:row>
    <x:row r="910" ht="22" customHeight="1">
      <x:c r="A910" s="2" t="str">
        <x:v>O00906</x:v>
      </x:c>
      <x:c r="B910" s="2" t="str">
        <x:v>C0253</x:v>
      </x:c>
      <x:c r="C910" s="7" t="n">
        <x:v>45958</x:v>
      </x:c>
      <x:c r="D910" s="2" t="str">
        <x:v>Completed</x:v>
      </x:c>
      <x:c r="E910" s="2" t="str">
        <x:v>North</x:v>
      </x:c>
      <x:c r="F910" s="2" t="str">
        <x:v>Online</x:v>
      </x:c>
      <x:c r="G910" s="9" t="n">
        <x:f>SUM(SalesLines!Q2209)</x:f>
        <x:v>0</x:v>
      </x:c>
      <x:c r="H910" s="9" t="n">
        <x:f>SUM(SalesLines!M2209)</x:f>
        <x:v>123</x:v>
      </x:c>
      <x:c r="I910" s="9" t="n">
        <x:f>SUM(SalesLines!N2209)</x:f>
        <x:v>24.6</x:v>
      </x:c>
      <x:c r="J910" s="9" t="n">
        <x:f>SUM(SalesLines!P2209)</x:f>
        <x:v>98.4</x:v>
      </x:c>
      <x:c r="K910" s="11" t="n">
        <x:f>SUM(SalesLines!R2209)</x:f>
        <x:v>1</x:v>
      </x:c>
      <x:c r="L910" s="11" t="n">
        <x:f>SUM(SalesLines!S2209)</x:f>
        <x:v>1</x:v>
      </x:c>
      <x:c r="M910" s="8" t="n">
        <x:f>DATE(YEAR(C910),MONTH(C910),1)</x:f>
        <x:v>45931</x:v>
      </x:c>
    </x:row>
    <x:row r="911" ht="22" customHeight="1">
      <x:c r="A911" s="2" t="str">
        <x:v>O00907</x:v>
      </x:c>
      <x:c r="B911" s="2" t="str">
        <x:v>C0287</x:v>
      </x:c>
      <x:c r="C911" s="7" t="n">
        <x:v>45760</x:v>
      </x:c>
      <x:c r="D911" s="2" t="str">
        <x:v>Cancelled</x:v>
      </x:c>
      <x:c r="E911" s="2" t="str">
        <x:v>South</x:v>
      </x:c>
      <x:c r="F911" s="2" t="str">
        <x:v>Online</x:v>
      </x:c>
      <x:c r="G911" s="9" t="n">
        <x:f>SUM(SalesLines!Q2210,SalesLines!Q2211,SalesLines!Q2212)</x:f>
        <x:v>0</x:v>
      </x:c>
      <x:c r="H911" s="9" t="n">
        <x:f>SUM(SalesLines!M2210,SalesLines!M2211,SalesLines!M2212)</x:f>
        <x:v>0</x:v>
      </x:c>
      <x:c r="I911" s="9" t="n">
        <x:f>SUM(SalesLines!N2210,SalesLines!N2211,SalesLines!N2212)</x:f>
        <x:v>0</x:v>
      </x:c>
      <x:c r="J911" s="9" t="n">
        <x:f>SUM(SalesLines!P2210,SalesLines!P2211,SalesLines!P2212)</x:f>
        <x:v>0</x:v>
      </x:c>
      <x:c r="K911" s="11" t="n">
        <x:f>SUM(SalesLines!R2210,SalesLines!R2211,SalesLines!R2212)</x:f>
        <x:v>0</x:v>
      </x:c>
      <x:c r="L911" s="11" t="n">
        <x:f>SUM(SalesLines!S2210,SalesLines!S2211,SalesLines!S2212)</x:f>
        <x:v>0</x:v>
      </x:c>
      <x:c r="M911" s="8" t="n">
        <x:f>DATE(YEAR(C911),MONTH(C911),1)</x:f>
        <x:v>45748</x:v>
      </x:c>
    </x:row>
    <x:row r="912" ht="22" customHeight="1">
      <x:c r="A912" s="2" t="str">
        <x:v>O00908</x:v>
      </x:c>
      <x:c r="B912" s="2" t="str">
        <x:v>C0008</x:v>
      </x:c>
      <x:c r="C912" s="7" t="n">
        <x:v>45959</x:v>
      </x:c>
      <x:c r="D912" s="2" t="str">
        <x:v>Completed</x:v>
      </x:c>
      <x:c r="E912" s="2" t="str">
        <x:v>North</x:v>
      </x:c>
      <x:c r="F912" s="2" t="str">
        <x:v>Online</x:v>
      </x:c>
      <x:c r="G912" s="9" t="n">
        <x:f>SUM(SalesLines!Q2213,SalesLines!Q2214,SalesLines!Q2215,SalesLines!Q2216)</x:f>
        <x:v>1022.3000000000001</x:v>
      </x:c>
      <x:c r="H912" s="9" t="n">
        <x:f>SUM(SalesLines!M2213,SalesLines!M2214,SalesLines!M2215,SalesLines!M2216)</x:f>
        <x:v>1123</x:v>
      </x:c>
      <x:c r="I912" s="9" t="n">
        <x:f>SUM(SalesLines!N2213,SalesLines!N2214,SalesLines!N2215,SalesLines!N2216)</x:f>
        <x:v>100.70000000000002</x:v>
      </x:c>
      <x:c r="J912" s="9" t="n">
        <x:f>SUM(SalesLines!P2213,SalesLines!P2214,SalesLines!P2215,SalesLines!P2216)</x:f>
        <x:v>0</x:v>
      </x:c>
      <x:c r="K912" s="11" t="n">
        <x:f>SUM(SalesLines!R2213,SalesLines!R2214,SalesLines!R2215,SalesLines!R2216)</x:f>
        <x:v>10</x:v>
      </x:c>
      <x:c r="L912" s="11" t="n">
        <x:f>SUM(SalesLines!S2213,SalesLines!S2214,SalesLines!S2215,SalesLines!S2216)</x:f>
        <x:v>0</x:v>
      </x:c>
      <x:c r="M912" s="8" t="n">
        <x:f>DATE(YEAR(C912),MONTH(C912),1)</x:f>
        <x:v>45931</x:v>
      </x:c>
    </x:row>
    <x:row r="913" ht="22" customHeight="1">
      <x:c r="A913" s="2" t="str">
        <x:v>O00909</x:v>
      </x:c>
      <x:c r="B913" s="2" t="str">
        <x:v>C0265</x:v>
      </x:c>
      <x:c r="C913" s="7" t="n">
        <x:v>45861</x:v>
      </x:c>
      <x:c r="D913" s="2" t="str">
        <x:v>Completed</x:v>
      </x:c>
      <x:c r="E913" s="2" t="str">
        <x:v>West</x:v>
      </x:c>
      <x:c r="F913" s="2" t="str">
        <x:v>Online</x:v>
      </x:c>
      <x:c r="G913" s="9" t="n">
        <x:f>SUM(SalesLines!Q2217)</x:f>
        <x:v>292.5</x:v>
      </x:c>
      <x:c r="H913" s="9" t="n">
        <x:f>SUM(SalesLines!M2217)</x:f>
        <x:v>325</x:v>
      </x:c>
      <x:c r="I913" s="9" t="n">
        <x:f>SUM(SalesLines!N2217)</x:f>
        <x:v>32.5</x:v>
      </x:c>
      <x:c r="J913" s="9" t="n">
        <x:f>SUM(SalesLines!P2217)</x:f>
        <x:v>0</x:v>
      </x:c>
      <x:c r="K913" s="11" t="n">
        <x:f>SUM(SalesLines!R2217)</x:f>
        <x:v>5</x:v>
      </x:c>
      <x:c r="L913" s="11" t="n">
        <x:f>SUM(SalesLines!S2217)</x:f>
        <x:v>0</x:v>
      </x:c>
      <x:c r="M913" s="8" t="n">
        <x:f>DATE(YEAR(C913),MONTH(C913),1)</x:f>
        <x:v>45839</x:v>
      </x:c>
    </x:row>
    <x:row r="914" ht="22" customHeight="1">
      <x:c r="A914" s="2" t="str">
        <x:v>O00910</x:v>
      </x:c>
      <x:c r="B914" s="2" t="str">
        <x:v>C0062</x:v>
      </x:c>
      <x:c r="C914" s="7" t="n">
        <x:v>45821</x:v>
      </x:c>
      <x:c r="D914" s="2" t="str">
        <x:v>Completed</x:v>
      </x:c>
      <x:c r="E914" s="2" t="str">
        <x:v>West</x:v>
      </x:c>
      <x:c r="F914" s="2" t="str">
        <x:v>Online</x:v>
      </x:c>
      <x:c r="G914" s="9" t="n">
        <x:f>SUM(SalesLines!Q2218,SalesLines!Q2219)</x:f>
        <x:v>344</x:v>
      </x:c>
      <x:c r="H914" s="9" t="n">
        <x:f>SUM(SalesLines!M2218,SalesLines!M2219)</x:f>
        <x:v>348</x:v>
      </x:c>
      <x:c r="I914" s="9" t="n">
        <x:f>SUM(SalesLines!N2218,SalesLines!N2219)</x:f>
        <x:v>4</x:v>
      </x:c>
      <x:c r="J914" s="9" t="n">
        <x:f>SUM(SalesLines!P2218,SalesLines!P2219)</x:f>
        <x:v>0</x:v>
      </x:c>
      <x:c r="K914" s="11" t="n">
        <x:f>SUM(SalesLines!R2218,SalesLines!R2219)</x:f>
        <x:v>3</x:v>
      </x:c>
      <x:c r="L914" s="11" t="n">
        <x:f>SUM(SalesLines!S2218,SalesLines!S2219)</x:f>
        <x:v>0</x:v>
      </x:c>
      <x:c r="M914" s="8" t="n">
        <x:f>DATE(YEAR(C914),MONTH(C914),1)</x:f>
        <x:v>45809</x:v>
      </x:c>
    </x:row>
    <x:row r="915" ht="22" customHeight="1">
      <x:c r="A915" s="2" t="str">
        <x:v>O00911</x:v>
      </x:c>
      <x:c r="B915" s="2" t="str">
        <x:v>C0119</x:v>
      </x:c>
      <x:c r="C915" s="7" t="n">
        <x:v>45946</x:v>
      </x:c>
      <x:c r="D915" s="2" t="str">
        <x:v>Completed</x:v>
      </x:c>
      <x:c r="E915" s="2" t="str">
        <x:v>North</x:v>
      </x:c>
      <x:c r="F915" s="2" t="str">
        <x:v>Online</x:v>
      </x:c>
      <x:c r="G915" s="9" t="n">
        <x:f>SUM(SalesLines!Q2220,SalesLines!Q2221,SalesLines!Q2222,SalesLines!Q2223)</x:f>
        <x:v>1471.4</x:v>
      </x:c>
      <x:c r="H915" s="9" t="n">
        <x:f>SUM(SalesLines!M2220,SalesLines!M2221,SalesLines!M2222,SalesLines!M2223)</x:f>
        <x:v>1576</x:v>
      </x:c>
      <x:c r="I915" s="9" t="n">
        <x:f>SUM(SalesLines!N2220,SalesLines!N2221,SalesLines!N2222,SalesLines!N2223)</x:f>
        <x:v>104.60000000000001</x:v>
      </x:c>
      <x:c r="J915" s="9" t="n">
        <x:f>SUM(SalesLines!P2220,SalesLines!P2221,SalesLines!P2222,SalesLines!P2223)</x:f>
        <x:v>0</x:v>
      </x:c>
      <x:c r="K915" s="11" t="n">
        <x:f>SUM(SalesLines!R2220,SalesLines!R2221,SalesLines!R2222,SalesLines!R2223)</x:f>
        <x:v>17</x:v>
      </x:c>
      <x:c r="L915" s="11" t="n">
        <x:f>SUM(SalesLines!S2220,SalesLines!S2221,SalesLines!S2222,SalesLines!S2223)</x:f>
        <x:v>0</x:v>
      </x:c>
      <x:c r="M915" s="8" t="n">
        <x:f>DATE(YEAR(C915),MONTH(C915),1)</x:f>
        <x:v>45931</x:v>
      </x:c>
    </x:row>
    <x:row r="916" ht="22" customHeight="1">
      <x:c r="A916" s="2" t="str">
        <x:v>O00912</x:v>
      </x:c>
      <x:c r="B916" s="2" t="str">
        <x:v>C0036</x:v>
      </x:c>
      <x:c r="C916" s="7" t="n">
        <x:v>45950</x:v>
      </x:c>
      <x:c r="D916" s="2" t="str">
        <x:v>Completed</x:v>
      </x:c>
      <x:c r="E916" s="2" t="str">
        <x:v>West</x:v>
      </x:c>
      <x:c r="F916" s="2" t="str">
        <x:v>Store</x:v>
      </x:c>
      <x:c r="G916" s="9" t="n">
        <x:f>SUM(SalesLines!Q2224,SalesLines!Q2225)</x:f>
        <x:v>1135.15</x:v>
      </x:c>
      <x:c r="H916" s="9" t="n">
        <x:f>SUM(SalesLines!M2224,SalesLines!M2225)</x:f>
        <x:v>1628</x:v>
      </x:c>
      <x:c r="I916" s="9" t="n">
        <x:f>SUM(SalesLines!N2224,SalesLines!N2225)</x:f>
        <x:v>113.05000000000001</x:v>
      </x:c>
      <x:c r="J916" s="9" t="n">
        <x:f>SUM(SalesLines!P2224,SalesLines!P2225)</x:f>
        <x:v>379.8</x:v>
      </x:c>
      <x:c r="K916" s="11" t="n">
        <x:f>SUM(SalesLines!R2224,SalesLines!R2225)</x:f>
        <x:v>8</x:v>
      </x:c>
      <x:c r="L916" s="11" t="n">
        <x:f>SUM(SalesLines!S2224,SalesLines!S2225)</x:f>
        <x:v>2</x:v>
      </x:c>
      <x:c r="M916" s="8" t="n">
        <x:f>DATE(YEAR(C916),MONTH(C916),1)</x:f>
        <x:v>45931</x:v>
      </x:c>
    </x:row>
    <x:row r="917" ht="22" customHeight="1">
      <x:c r="A917" s="2" t="str">
        <x:v>O00913</x:v>
      </x:c>
      <x:c r="B917" s="2" t="str">
        <x:v>C0069</x:v>
      </x:c>
      <x:c r="C917" s="7" t="n">
        <x:v>45890</x:v>
      </x:c>
      <x:c r="D917" s="2" t="str">
        <x:v>Cancelled</x:v>
      </x:c>
      <x:c r="E917" s="2" t="str">
        <x:v>South</x:v>
      </x:c>
      <x:c r="F917" s="2" t="str">
        <x:v>Online</x:v>
      </x:c>
      <x:c r="G917" s="9" t="n">
        <x:f>SUM(SalesLines!Q2226)</x:f>
        <x:v>0</x:v>
      </x:c>
      <x:c r="H917" s="9" t="n">
        <x:f>SUM(SalesLines!M2226)</x:f>
        <x:v>0</x:v>
      </x:c>
      <x:c r="I917" s="9" t="n">
        <x:f>SUM(SalesLines!N2226)</x:f>
        <x:v>0</x:v>
      </x:c>
      <x:c r="J917" s="9" t="n">
        <x:f>SUM(SalesLines!P2226)</x:f>
        <x:v>0</x:v>
      </x:c>
      <x:c r="K917" s="11" t="n">
        <x:f>SUM(SalesLines!R2226)</x:f>
        <x:v>0</x:v>
      </x:c>
      <x:c r="L917" s="11" t="n">
        <x:f>SUM(SalesLines!S2226)</x:f>
        <x:v>0</x:v>
      </x:c>
      <x:c r="M917" s="8" t="n">
        <x:f>DATE(YEAR(C917),MONTH(C917),1)</x:f>
        <x:v>45870</x:v>
      </x:c>
    </x:row>
    <x:row r="918" ht="22" customHeight="1">
      <x:c r="A918" s="2" t="str">
        <x:v>O00914</x:v>
      </x:c>
      <x:c r="B918" s="2" t="str">
        <x:v>C0051</x:v>
      </x:c>
      <x:c r="C918" s="7" t="n">
        <x:v>45702</x:v>
      </x:c>
      <x:c r="D918" s="2" t="str">
        <x:v>Completed</x:v>
      </x:c>
      <x:c r="E918" s="2" t="str">
        <x:v>West</x:v>
      </x:c>
      <x:c r="F918" s="2" t="str">
        <x:v>Online</x:v>
      </x:c>
      <x:c r="G918" s="9" t="n">
        <x:f>SUM(SalesLines!Q2227,SalesLines!Q2228,SalesLines!Q2229,SalesLines!Q2230)</x:f>
        <x:v>1078.1</x:v>
      </x:c>
      <x:c r="H918" s="9" t="n">
        <x:f>SUM(SalesLines!M2227,SalesLines!M2228,SalesLines!M2229,SalesLines!M2230)</x:f>
        <x:v>1277</x:v>
      </x:c>
      <x:c r="I918" s="9" t="n">
        <x:f>SUM(SalesLines!N2227,SalesLines!N2228,SalesLines!N2229,SalesLines!N2230)</x:f>
        <x:v>198.9</x:v>
      </x:c>
      <x:c r="J918" s="9" t="n">
        <x:f>SUM(SalesLines!P2227,SalesLines!P2228,SalesLines!P2229,SalesLines!P2230)</x:f>
        <x:v>0</x:v>
      </x:c>
      <x:c r="K918" s="11" t="n">
        <x:f>SUM(SalesLines!R2227,SalesLines!R2228,SalesLines!R2229,SalesLines!R2230)</x:f>
        <x:v>10</x:v>
      </x:c>
      <x:c r="L918" s="11" t="n">
        <x:f>SUM(SalesLines!S2227,SalesLines!S2228,SalesLines!S2229,SalesLines!S2230)</x:f>
        <x:v>0</x:v>
      </x:c>
      <x:c r="M918" s="8" t="n">
        <x:f>DATE(YEAR(C918),MONTH(C918),1)</x:f>
        <x:v>45689</x:v>
      </x:c>
    </x:row>
    <x:row r="919" ht="22" customHeight="1">
      <x:c r="A919" s="2" t="str">
        <x:v>O00915</x:v>
      </x:c>
      <x:c r="B919" s="2" t="str">
        <x:v>C0225</x:v>
      </x:c>
      <x:c r="C919" s="7" t="n">
        <x:v>46001</x:v>
      </x:c>
      <x:c r="D919" s="2" t="str">
        <x:v>Completed</x:v>
      </x:c>
      <x:c r="E919" s="2" t="str">
        <x:v>North</x:v>
      </x:c>
      <x:c r="F919" s="2" t="str">
        <x:v>Store</x:v>
      </x:c>
      <x:c r="G919" s="9" t="n">
        <x:f>SUM(SalesLines!Q2231,SalesLines!Q2232,SalesLines!Q2233)</x:f>
        <x:v>2621.6</x:v>
      </x:c>
      <x:c r="H919" s="9" t="n">
        <x:f>SUM(SalesLines!M2231,SalesLines!M2232,SalesLines!M2233)</x:f>
        <x:v>2804</x:v>
      </x:c>
      <x:c r="I919" s="9" t="n">
        <x:f>SUM(SalesLines!N2231,SalesLines!N2232,SalesLines!N2233)</x:f>
        <x:v>182.4</x:v>
      </x:c>
      <x:c r="J919" s="9" t="n">
        <x:f>SUM(SalesLines!P2231,SalesLines!P2232,SalesLines!P2233)</x:f>
        <x:v>0</x:v>
      </x:c>
      <x:c r="K919" s="11" t="n">
        <x:f>SUM(SalesLines!R2231,SalesLines!R2232,SalesLines!R2233)</x:f>
        <x:v>14</x:v>
      </x:c>
      <x:c r="L919" s="11" t="n">
        <x:f>SUM(SalesLines!S2231,SalesLines!S2232,SalesLines!S2233)</x:f>
        <x:v>0</x:v>
      </x:c>
      <x:c r="M919" s="8" t="n">
        <x:f>DATE(YEAR(C919),MONTH(C919),1)</x:f>
        <x:v>45992</x:v>
      </x:c>
    </x:row>
    <x:row r="920" ht="22" customHeight="1">
      <x:c r="A920" s="2" t="str">
        <x:v>O00916</x:v>
      </x:c>
      <x:c r="B920" s="2" t="str">
        <x:v>C0124</x:v>
      </x:c>
      <x:c r="C920" s="7" t="n">
        <x:v>45668</x:v>
      </x:c>
      <x:c r="D920" s="2" t="str">
        <x:v>Completed</x:v>
      </x:c>
      <x:c r="E920" s="2" t="str">
        <x:v>East</x:v>
      </x:c>
      <x:c r="F920" s="2" t="str">
        <x:v>Online</x:v>
      </x:c>
      <x:c r="G920" s="9" t="n">
        <x:f>SUM(SalesLines!Q2234)</x:f>
        <x:v>931</x:v>
      </x:c>
      <x:c r="H920" s="9" t="n">
        <x:f>SUM(SalesLines!M2234)</x:f>
        <x:v>980</x:v>
      </x:c>
      <x:c r="I920" s="9" t="n">
        <x:f>SUM(SalesLines!N2234)</x:f>
        <x:v>49</x:v>
      </x:c>
      <x:c r="J920" s="9" t="n">
        <x:f>SUM(SalesLines!P2234)</x:f>
        <x:v>0</x:v>
      </x:c>
      <x:c r="K920" s="11" t="n">
        <x:f>SUM(SalesLines!R2234)</x:f>
        <x:v>5</x:v>
      </x:c>
      <x:c r="L920" s="11" t="n">
        <x:f>SUM(SalesLines!S2234)</x:f>
        <x:v>0</x:v>
      </x:c>
      <x:c r="M920" s="8" t="n">
        <x:f>DATE(YEAR(C920),MONTH(C920),1)</x:f>
        <x:v>45658</x:v>
      </x:c>
    </x:row>
    <x:row r="921" ht="22" customHeight="1">
      <x:c r="A921" s="2" t="str">
        <x:v>O00917</x:v>
      </x:c>
      <x:c r="B921" s="2" t="str">
        <x:v>C0071</x:v>
      </x:c>
      <x:c r="C921" s="7" t="n">
        <x:v>46020</x:v>
      </x:c>
      <x:c r="D921" s="2" t="str">
        <x:v>Completed</x:v>
      </x:c>
      <x:c r="E921" s="2" t="str">
        <x:v>West</x:v>
      </x:c>
      <x:c r="F921" s="2" t="str">
        <x:v>Store</x:v>
      </x:c>
      <x:c r="G921" s="9" t="n">
        <x:f>SUM(SalesLines!Q2235,SalesLines!Q2236)</x:f>
        <x:v>853.8</x:v>
      </x:c>
      <x:c r="H921" s="9" t="n">
        <x:f>SUM(SalesLines!M2235,SalesLines!M2236)</x:f>
        <x:v>894</x:v>
      </x:c>
      <x:c r="I921" s="9" t="n">
        <x:f>SUM(SalesLines!N2235,SalesLines!N2236)</x:f>
        <x:v>40.2</x:v>
      </x:c>
      <x:c r="J921" s="9" t="n">
        <x:f>SUM(SalesLines!P2235,SalesLines!P2236)</x:f>
        <x:v>0</x:v>
      </x:c>
      <x:c r="K921" s="11" t="n">
        <x:f>SUM(SalesLines!R2235,SalesLines!R2236)</x:f>
        <x:v>7</x:v>
      </x:c>
      <x:c r="L921" s="11" t="n">
        <x:f>SUM(SalesLines!S2235,SalesLines!S2236)</x:f>
        <x:v>0</x:v>
      </x:c>
      <x:c r="M921" s="8" t="n">
        <x:f>DATE(YEAR(C921),MONTH(C921),1)</x:f>
        <x:v>45992</x:v>
      </x:c>
    </x:row>
    <x:row r="922" ht="22" customHeight="1">
      <x:c r="A922" s="2" t="str">
        <x:v>O00918</x:v>
      </x:c>
      <x:c r="B922" s="2" t="str">
        <x:v>C0235</x:v>
      </x:c>
      <x:c r="C922" s="7" t="n">
        <x:v>45976</x:v>
      </x:c>
      <x:c r="D922" s="2" t="str">
        <x:v>Completed</x:v>
      </x:c>
      <x:c r="E922" s="2" t="str">
        <x:v>North</x:v>
      </x:c>
      <x:c r="F922" s="2" t="str">
        <x:v>Online</x:v>
      </x:c>
      <x:c r="G922" s="9" t="n">
        <x:f>SUM(SalesLines!Q2237,SalesLines!Q2238)</x:f>
        <x:v>1254.75</x:v>
      </x:c>
      <x:c r="H922" s="9" t="n">
        <x:f>SUM(SalesLines!M2237,SalesLines!M2238)</x:f>
        <x:v>1260</x:v>
      </x:c>
      <x:c r="I922" s="9" t="n">
        <x:f>SUM(SalesLines!N2237,SalesLines!N2238)</x:f>
        <x:v>5.25</x:v>
      </x:c>
      <x:c r="J922" s="9" t="n">
        <x:f>SUM(SalesLines!P2237,SalesLines!P2238)</x:f>
        <x:v>0</x:v>
      </x:c>
      <x:c r="K922" s="11" t="n">
        <x:f>SUM(SalesLines!R2237,SalesLines!R2238)</x:f>
        <x:v>8</x:v>
      </x:c>
      <x:c r="L922" s="11" t="n">
        <x:f>SUM(SalesLines!S2237,SalesLines!S2238)</x:f>
        <x:v>0</x:v>
      </x:c>
      <x:c r="M922" s="8" t="n">
        <x:f>DATE(YEAR(C922),MONTH(C922),1)</x:f>
        <x:v>45962</x:v>
      </x:c>
    </x:row>
    <x:row r="923" ht="22" customHeight="1">
      <x:c r="A923" s="2" t="str">
        <x:v>O00919</x:v>
      </x:c>
      <x:c r="B923" s="2" t="str">
        <x:v>C0264</x:v>
      </x:c>
      <x:c r="C923" s="7" t="n">
        <x:v>45779</x:v>
      </x:c>
      <x:c r="D923" s="2" t="str">
        <x:v>Completed</x:v>
      </x:c>
      <x:c r="E923" s="2" t="str">
        <x:v>South</x:v>
      </x:c>
      <x:c r="F923" s="2" t="str">
        <x:v>Online</x:v>
      </x:c>
      <x:c r="G923" s="9" t="n">
        <x:f>SUM(SalesLines!Q2239,SalesLines!Q2240)</x:f>
        <x:v>1335</x:v>
      </x:c>
      <x:c r="H923" s="9" t="n">
        <x:f>SUM(SalesLines!M2239,SalesLines!M2240)</x:f>
        <x:v>1335</x:v>
      </x:c>
      <x:c r="I923" s="9" t="n">
        <x:f>SUM(SalesLines!N2239,SalesLines!N2240)</x:f>
        <x:v>0</x:v>
      </x:c>
      <x:c r="J923" s="9" t="n">
        <x:f>SUM(SalesLines!P2239,SalesLines!P2240)</x:f>
        <x:v>0</x:v>
      </x:c>
      <x:c r="K923" s="11" t="n">
        <x:f>SUM(SalesLines!R2239,SalesLines!R2240)</x:f>
        <x:v>10</x:v>
      </x:c>
      <x:c r="L923" s="11" t="n">
        <x:f>SUM(SalesLines!S2239,SalesLines!S2240)</x:f>
        <x:v>0</x:v>
      </x:c>
      <x:c r="M923" s="8" t="n">
        <x:f>DATE(YEAR(C923),MONTH(C923),1)</x:f>
        <x:v>45778</x:v>
      </x:c>
    </x:row>
    <x:row r="924" ht="22" customHeight="1">
      <x:c r="A924" s="2" t="str">
        <x:v>O00920</x:v>
      </x:c>
      <x:c r="B924" s="2" t="str">
        <x:v>C0214</x:v>
      </x:c>
      <x:c r="C924" s="7" t="n">
        <x:v>45683</x:v>
      </x:c>
      <x:c r="D924" s="2" t="str">
        <x:v>Completed</x:v>
      </x:c>
      <x:c r="E924" s="2" t="str">
        <x:v>West</x:v>
      </x:c>
      <x:c r="F924" s="2" t="str">
        <x:v>Store</x:v>
      </x:c>
      <x:c r="G924" s="9" t="n">
        <x:f>SUM(SalesLines!Q2241,SalesLines!Q2242,SalesLines!Q2243)</x:f>
        <x:v>1476.2</x:v>
      </x:c>
      <x:c r="H924" s="9" t="n">
        <x:f>SUM(SalesLines!M2241,SalesLines!M2242,SalesLines!M2243)</x:f>
        <x:v>1526</x:v>
      </x:c>
      <x:c r="I924" s="9" t="n">
        <x:f>SUM(SalesLines!N2241,SalesLines!N2242,SalesLines!N2243)</x:f>
        <x:v>49.800000000000004</x:v>
      </x:c>
      <x:c r="J924" s="9" t="n">
        <x:f>SUM(SalesLines!P2241,SalesLines!P2242,SalesLines!P2243)</x:f>
        <x:v>0</x:v>
      </x:c>
      <x:c r="K924" s="11" t="n">
        <x:f>SUM(SalesLines!R2241,SalesLines!R2242,SalesLines!R2243)</x:f>
        <x:v>10</x:v>
      </x:c>
      <x:c r="L924" s="11" t="n">
        <x:f>SUM(SalesLines!S2241,SalesLines!S2242,SalesLines!S2243)</x:f>
        <x:v>0</x:v>
      </x:c>
      <x:c r="M924" s="8" t="n">
        <x:f>DATE(YEAR(C924),MONTH(C924),1)</x:f>
        <x:v>45658</x:v>
      </x:c>
    </x:row>
    <x:row r="925" ht="22" customHeight="1">
      <x:c r="A925" s="2" t="str">
        <x:v>O00921</x:v>
      </x:c>
      <x:c r="B925" s="2" t="str">
        <x:v>C0023</x:v>
      </x:c>
      <x:c r="C925" s="7" t="n">
        <x:v>45853</x:v>
      </x:c>
      <x:c r="D925" s="2" t="str">
        <x:v>Completed</x:v>
      </x:c>
      <x:c r="E925" s="2" t="str">
        <x:v>South</x:v>
      </x:c>
      <x:c r="F925" s="2" t="str">
        <x:v>Store</x:v>
      </x:c>
      <x:c r="G925" s="9" t="n">
        <x:f>SUM(SalesLines!Q2244,SalesLines!Q2245)</x:f>
        <x:v>1355</x:v>
      </x:c>
      <x:c r="H925" s="9" t="n">
        <x:f>SUM(SalesLines!M2244,SalesLines!M2245)</x:f>
        <x:v>1355</x:v>
      </x:c>
      <x:c r="I925" s="9" t="n">
        <x:f>SUM(SalesLines!N2244,SalesLines!N2245)</x:f>
        <x:v>0</x:v>
      </x:c>
      <x:c r="J925" s="9" t="n">
        <x:f>SUM(SalesLines!P2244,SalesLines!P2245)</x:f>
        <x:v>0</x:v>
      </x:c>
      <x:c r="K925" s="11" t="n">
        <x:f>SUM(SalesLines!R2244,SalesLines!R2245)</x:f>
        <x:v>7</x:v>
      </x:c>
      <x:c r="L925" s="11" t="n">
        <x:f>SUM(SalesLines!S2244,SalesLines!S2245)</x:f>
        <x:v>0</x:v>
      </x:c>
      <x:c r="M925" s="8" t="n">
        <x:f>DATE(YEAR(C925),MONTH(C925),1)</x:f>
        <x:v>45839</x:v>
      </x:c>
    </x:row>
    <x:row r="926" ht="22" customHeight="1">
      <x:c r="A926" s="2" t="str">
        <x:v>O00922</x:v>
      </x:c>
      <x:c r="B926" s="2" t="str">
        <x:v>C0235</x:v>
      </x:c>
      <x:c r="C926" s="7" t="n">
        <x:v>45822</x:v>
      </x:c>
      <x:c r="D926" s="2" t="str">
        <x:v>Completed</x:v>
      </x:c>
      <x:c r="E926" s="2" t="str">
        <x:v>North</x:v>
      </x:c>
      <x:c r="F926" s="2" t="str">
        <x:v>Online</x:v>
      </x:c>
      <x:c r="G926" s="9" t="n">
        <x:f>SUM(SalesLines!Q2246,SalesLines!Q2247,SalesLines!Q2248)</x:f>
        <x:v>1835</x:v>
      </x:c>
      <x:c r="H926" s="9" t="n">
        <x:f>SUM(SalesLines!M2246,SalesLines!M2247,SalesLines!M2248)</x:f>
        <x:v>1955</x:v>
      </x:c>
      <x:c r="I926" s="9" t="n">
        <x:f>SUM(SalesLines!N2246,SalesLines!N2247,SalesLines!N2248)</x:f>
        <x:v>120</x:v>
      </x:c>
      <x:c r="J926" s="9" t="n">
        <x:f>SUM(SalesLines!P2246,SalesLines!P2247,SalesLines!P2248)</x:f>
        <x:v>0</x:v>
      </x:c>
      <x:c r="K926" s="11" t="n">
        <x:f>SUM(SalesLines!R2246,SalesLines!R2247,SalesLines!R2248)</x:f>
        <x:v>8</x:v>
      </x:c>
      <x:c r="L926" s="11" t="n">
        <x:f>SUM(SalesLines!S2246,SalesLines!S2247,SalesLines!S2248)</x:f>
        <x:v>0</x:v>
      </x:c>
      <x:c r="M926" s="8" t="n">
        <x:f>DATE(YEAR(C926),MONTH(C926),1)</x:f>
        <x:v>45809</x:v>
      </x:c>
    </x:row>
    <x:row r="927" ht="22" customHeight="1">
      <x:c r="A927" s="2" t="str">
        <x:v>O00923</x:v>
      </x:c>
      <x:c r="B927" s="2" t="str">
        <x:v>C0131</x:v>
      </x:c>
      <x:c r="C927" s="7" t="n">
        <x:v>45959</x:v>
      </x:c>
      <x:c r="D927" s="2" t="str">
        <x:v>Completed</x:v>
      </x:c>
      <x:c r="E927" s="2" t="str">
        <x:v>West</x:v>
      </x:c>
      <x:c r="F927" s="2" t="str">
        <x:v>Store</x:v>
      </x:c>
      <x:c r="G927" s="9" t="n">
        <x:f>SUM(SalesLines!Q2249)</x:f>
        <x:v>511.1</x:v>
      </x:c>
      <x:c r="H927" s="9" t="n">
        <x:f>SUM(SalesLines!M2249)</x:f>
        <x:v>538</x:v>
      </x:c>
      <x:c r="I927" s="9" t="n">
        <x:f>SUM(SalesLines!N2249)</x:f>
        <x:v>26.900000000000002</x:v>
      </x:c>
      <x:c r="J927" s="9" t="n">
        <x:f>SUM(SalesLines!P2249)</x:f>
        <x:v>0</x:v>
      </x:c>
      <x:c r="K927" s="11" t="n">
        <x:f>SUM(SalesLines!R2249)</x:f>
        <x:v>2</x:v>
      </x:c>
      <x:c r="L927" s="11" t="n">
        <x:f>SUM(SalesLines!S2249)</x:f>
        <x:v>0</x:v>
      </x:c>
      <x:c r="M927" s="8" t="n">
        <x:f>DATE(YEAR(C927),MONTH(C927),1)</x:f>
        <x:v>45931</x:v>
      </x:c>
    </x:row>
    <x:row r="928" ht="22" customHeight="1">
      <x:c r="A928" s="2" t="str">
        <x:v>O00924</x:v>
      </x:c>
      <x:c r="B928" s="2" t="str">
        <x:v>C0203</x:v>
      </x:c>
      <x:c r="C928" s="7" t="n">
        <x:v>45968</x:v>
      </x:c>
      <x:c r="D928" s="2" t="str">
        <x:v>Completed</x:v>
      </x:c>
      <x:c r="E928" s="2" t="str">
        <x:v>South</x:v>
      </x:c>
      <x:c r="F928" s="2" t="str">
        <x:v>Store</x:v>
      </x:c>
      <x:c r="G928" s="9" t="n">
        <x:f>SUM(SalesLines!Q2250)</x:f>
        <x:v>908.8</x:v>
      </x:c>
      <x:c r="H928" s="9" t="n">
        <x:f>SUM(SalesLines!M2250)</x:f>
        <x:v>1136</x:v>
      </x:c>
      <x:c r="I928" s="9" t="n">
        <x:f>SUM(SalesLines!N2250)</x:f>
        <x:v>227.20000000000002</x:v>
      </x:c>
      <x:c r="J928" s="9" t="n">
        <x:f>SUM(SalesLines!P2250)</x:f>
        <x:v>0</x:v>
      </x:c>
      <x:c r="K928" s="11" t="n">
        <x:f>SUM(SalesLines!R2250)</x:f>
        <x:v>4</x:v>
      </x:c>
      <x:c r="L928" s="11" t="n">
        <x:f>SUM(SalesLines!S2250)</x:f>
        <x:v>0</x:v>
      </x:c>
      <x:c r="M928" s="8" t="n">
        <x:f>DATE(YEAR(C928),MONTH(C928),1)</x:f>
        <x:v>45962</x:v>
      </x:c>
    </x:row>
    <x:row r="929" ht="22" customHeight="1">
      <x:c r="A929" s="2" t="str">
        <x:v>O00925</x:v>
      </x:c>
      <x:c r="B929" s="2" t="str">
        <x:v>C0005</x:v>
      </x:c>
      <x:c r="C929" s="7" t="n">
        <x:v>45740</x:v>
      </x:c>
      <x:c r="D929" s="2" t="str">
        <x:v>Completed</x:v>
      </x:c>
      <x:c r="E929" s="2" t="str">
        <x:v>South</x:v>
      </x:c>
      <x:c r="F929" s="2" t="str">
        <x:v>Store</x:v>
      </x:c>
      <x:c r="G929" s="9" t="n">
        <x:f>SUM(SalesLines!Q2251,SalesLines!Q2252,SalesLines!Q2253,SalesLines!Q2254)</x:f>
        <x:v>1254.5</x:v>
      </x:c>
      <x:c r="H929" s="9" t="n">
        <x:f>SUM(SalesLines!M2251,SalesLines!M2252,SalesLines!M2253,SalesLines!M2254)</x:f>
        <x:v>1316</x:v>
      </x:c>
      <x:c r="I929" s="9" t="n">
        <x:f>SUM(SalesLines!N2251,SalesLines!N2252,SalesLines!N2253,SalesLines!N2254)</x:f>
        <x:v>61.5</x:v>
      </x:c>
      <x:c r="J929" s="9" t="n">
        <x:f>SUM(SalesLines!P2251,SalesLines!P2252,SalesLines!P2253,SalesLines!P2254)</x:f>
        <x:v>0</x:v>
      </x:c>
      <x:c r="K929" s="11" t="n">
        <x:f>SUM(SalesLines!R2251,SalesLines!R2252,SalesLines!R2253,SalesLines!R2254)</x:f>
        <x:v>13</x:v>
      </x:c>
      <x:c r="L929" s="11" t="n">
        <x:f>SUM(SalesLines!S2251,SalesLines!S2252,SalesLines!S2253,SalesLines!S2254)</x:f>
        <x:v>0</x:v>
      </x:c>
      <x:c r="M929" s="8" t="n">
        <x:f>DATE(YEAR(C929),MONTH(C929),1)</x:f>
        <x:v>45717</x:v>
      </x:c>
    </x:row>
    <x:row r="930" ht="22" customHeight="1">
      <x:c r="A930" s="2" t="str">
        <x:v>O00926</x:v>
      </x:c>
      <x:c r="B930" s="2" t="str">
        <x:v>C0300</x:v>
      </x:c>
      <x:c r="C930" s="7" t="n">
        <x:v>45717</x:v>
      </x:c>
      <x:c r="D930" s="2" t="str">
        <x:v>Cancelled</x:v>
      </x:c>
      <x:c r="E930" s="2" t="str">
        <x:v>West</x:v>
      </x:c>
      <x:c r="F930" s="2" t="str">
        <x:v>Online</x:v>
      </x:c>
      <x:c r="G930" s="9" t="n">
        <x:f>SUM(SalesLines!Q2255,SalesLines!Q2256)</x:f>
        <x:v>0</x:v>
      </x:c>
      <x:c r="H930" s="9" t="n">
        <x:f>SUM(SalesLines!M2255,SalesLines!M2256)</x:f>
        <x:v>0</x:v>
      </x:c>
      <x:c r="I930" s="9" t="n">
        <x:f>SUM(SalesLines!N2255,SalesLines!N2256)</x:f>
        <x:v>0</x:v>
      </x:c>
      <x:c r="J930" s="9" t="n">
        <x:f>SUM(SalesLines!P2255,SalesLines!P2256)</x:f>
        <x:v>0</x:v>
      </x:c>
      <x:c r="K930" s="11" t="n">
        <x:f>SUM(SalesLines!R2255,SalesLines!R2256)</x:f>
        <x:v>0</x:v>
      </x:c>
      <x:c r="L930" s="11" t="n">
        <x:f>SUM(SalesLines!S2255,SalesLines!S2256)</x:f>
        <x:v>0</x:v>
      </x:c>
      <x:c r="M930" s="8" t="n">
        <x:f>DATE(YEAR(C930),MONTH(C930),1)</x:f>
        <x:v>45717</x:v>
      </x:c>
    </x:row>
    <x:row r="931" ht="22" customHeight="1">
      <x:c r="A931" s="2" t="str">
        <x:v>O00927</x:v>
      </x:c>
      <x:c r="B931" s="2" t="str">
        <x:v>C0189</x:v>
      </x:c>
      <x:c r="C931" s="7" t="n">
        <x:v>45660</x:v>
      </x:c>
      <x:c r="D931" s="2" t="str">
        <x:v>Completed</x:v>
      </x:c>
      <x:c r="E931" s="2" t="str">
        <x:v>North</x:v>
      </x:c>
      <x:c r="F931" s="2" t="str">
        <x:v>Online</x:v>
      </x:c>
      <x:c r="G931" s="9" t="n">
        <x:f>SUM(SalesLines!Q2257,SalesLines!Q2258,SalesLines!Q2259)</x:f>
        <x:v>1388</x:v>
      </x:c>
      <x:c r="H931" s="9" t="n">
        <x:f>SUM(SalesLines!M2257,SalesLines!M2258,SalesLines!M2259)</x:f>
        <x:v>1492</x:v>
      </x:c>
      <x:c r="I931" s="9" t="n">
        <x:f>SUM(SalesLines!N2257,SalesLines!N2258,SalesLines!N2259)</x:f>
        <x:v>104.00000000000001</x:v>
      </x:c>
      <x:c r="J931" s="9" t="n">
        <x:f>SUM(SalesLines!P2257,SalesLines!P2258,SalesLines!P2259)</x:f>
        <x:v>0</x:v>
      </x:c>
      <x:c r="K931" s="11" t="n">
        <x:f>SUM(SalesLines!R2257,SalesLines!R2258,SalesLines!R2259)</x:f>
        <x:v>6</x:v>
      </x:c>
      <x:c r="L931" s="11" t="n">
        <x:f>SUM(SalesLines!S2257,SalesLines!S2258,SalesLines!S2259)</x:f>
        <x:v>0</x:v>
      </x:c>
      <x:c r="M931" s="8" t="n">
        <x:f>DATE(YEAR(C931),MONTH(C931),1)</x:f>
        <x:v>45658</x:v>
      </x:c>
    </x:row>
    <x:row r="932" ht="22" customHeight="1">
      <x:c r="A932" s="2" t="str">
        <x:v>O00928</x:v>
      </x:c>
      <x:c r="B932" s="2" t="str">
        <x:v>C0175</x:v>
      </x:c>
      <x:c r="C932" s="7" t="n">
        <x:v>45663</x:v>
      </x:c>
      <x:c r="D932" s="2" t="str">
        <x:v>Completed</x:v>
      </x:c>
      <x:c r="E932" s="2" t="str">
        <x:v>North</x:v>
      </x:c>
      <x:c r="F932" s="2" t="str">
        <x:v>Store</x:v>
      </x:c>
      <x:c r="G932" s="9" t="n">
        <x:f>SUM(SalesLines!Q2260,SalesLines!Q2261,SalesLines!Q2262)</x:f>
        <x:v>920</x:v>
      </x:c>
      <x:c r="H932" s="9" t="n">
        <x:f>SUM(SalesLines!M2260,SalesLines!M2261,SalesLines!M2262)</x:f>
        <x:v>988</x:v>
      </x:c>
      <x:c r="I932" s="9" t="n">
        <x:f>SUM(SalesLines!N2260,SalesLines!N2261,SalesLines!N2262)</x:f>
        <x:v>68</x:v>
      </x:c>
      <x:c r="J932" s="9" t="n">
        <x:f>SUM(SalesLines!P2260,SalesLines!P2261,SalesLines!P2262)</x:f>
        <x:v>0</x:v>
      </x:c>
      <x:c r="K932" s="11" t="n">
        <x:f>SUM(SalesLines!R2260,SalesLines!R2261,SalesLines!R2262)</x:f>
        <x:v>11</x:v>
      </x:c>
      <x:c r="L932" s="11" t="n">
        <x:f>SUM(SalesLines!S2260,SalesLines!S2261,SalesLines!S2262)</x:f>
        <x:v>0</x:v>
      </x:c>
      <x:c r="M932" s="8" t="n">
        <x:f>DATE(YEAR(C932),MONTH(C932),1)</x:f>
        <x:v>45658</x:v>
      </x:c>
    </x:row>
    <x:row r="933" ht="22" customHeight="1">
      <x:c r="A933" s="2" t="str">
        <x:v>O00929</x:v>
      </x:c>
      <x:c r="B933" s="2" t="str">
        <x:v>C0089</x:v>
      </x:c>
      <x:c r="C933" s="7" t="n">
        <x:v>45833</x:v>
      </x:c>
      <x:c r="D933" s="2" t="str">
        <x:v>Completed</x:v>
      </x:c>
      <x:c r="E933" s="2" t="str">
        <x:v>South</x:v>
      </x:c>
      <x:c r="F933" s="2" t="str">
        <x:v>Online</x:v>
      </x:c>
      <x:c r="G933" s="9" t="n">
        <x:f>SUM(SalesLines!Q2263)</x:f>
        <x:v>193.8</x:v>
      </x:c>
      <x:c r="H933" s="9" t="n">
        <x:f>SUM(SalesLines!M2263)</x:f>
        <x:v>204</x:v>
      </x:c>
      <x:c r="I933" s="9" t="n">
        <x:f>SUM(SalesLines!N2263)</x:f>
        <x:v>10.200000000000001</x:v>
      </x:c>
      <x:c r="J933" s="9" t="n">
        <x:f>SUM(SalesLines!P2263)</x:f>
        <x:v>0</x:v>
      </x:c>
      <x:c r="K933" s="11" t="n">
        <x:f>SUM(SalesLines!R2263)</x:f>
        <x:v>3</x:v>
      </x:c>
      <x:c r="L933" s="11" t="n">
        <x:f>SUM(SalesLines!S2263)</x:f>
        <x:v>0</x:v>
      </x:c>
      <x:c r="M933" s="8" t="n">
        <x:f>DATE(YEAR(C933),MONTH(C933),1)</x:f>
        <x:v>45809</x:v>
      </x:c>
    </x:row>
    <x:row r="934" ht="22" customHeight="1">
      <x:c r="A934" s="2" t="str">
        <x:v>O00930</x:v>
      </x:c>
      <x:c r="B934" s="2" t="str">
        <x:v>C0103</x:v>
      </x:c>
      <x:c r="C934" s="7" t="n">
        <x:v>45961</x:v>
      </x:c>
      <x:c r="D934" s="2" t="str">
        <x:v>Completed</x:v>
      </x:c>
      <x:c r="E934" s="2" t="str">
        <x:v>West</x:v>
      </x:c>
      <x:c r="F934" s="2" t="str">
        <x:v>Store</x:v>
      </x:c>
      <x:c r="G934" s="9" t="n">
        <x:f>SUM(SalesLines!Q2264,SalesLines!Q2265)</x:f>
        <x:v>643.05</x:v>
      </x:c>
      <x:c r="H934" s="9" t="n">
        <x:f>SUM(SalesLines!M2264,SalesLines!M2265)</x:f>
        <x:v>657</x:v>
      </x:c>
      <x:c r="I934" s="9" t="n">
        <x:f>SUM(SalesLines!N2264,SalesLines!N2265)</x:f>
        <x:v>13.950000000000001</x:v>
      </x:c>
      <x:c r="J934" s="9" t="n">
        <x:f>SUM(SalesLines!P2264,SalesLines!P2265)</x:f>
        <x:v>0</x:v>
      </x:c>
      <x:c r="K934" s="11" t="n">
        <x:f>SUM(SalesLines!R2264,SalesLines!R2265)</x:f>
        <x:v>5</x:v>
      </x:c>
      <x:c r="L934" s="11" t="n">
        <x:f>SUM(SalesLines!S2264,SalesLines!S2265)</x:f>
        <x:v>0</x:v>
      </x:c>
      <x:c r="M934" s="8" t="n">
        <x:f>DATE(YEAR(C934),MONTH(C934),1)</x:f>
        <x:v>45931</x:v>
      </x:c>
    </x:row>
    <x:row r="935" ht="22" customHeight="1">
      <x:c r="A935" s="2" t="str">
        <x:v>O00931</x:v>
      </x:c>
      <x:c r="B935" s="2" t="str">
        <x:v>C0173</x:v>
      </x:c>
      <x:c r="C935" s="7" t="n">
        <x:v>45839</x:v>
      </x:c>
      <x:c r="D935" s="2" t="str">
        <x:v>Completed</x:v>
      </x:c>
      <x:c r="E935" s="2" t="str">
        <x:v>West</x:v>
      </x:c>
      <x:c r="F935" s="2" t="str">
        <x:v>Online</x:v>
      </x:c>
      <x:c r="G935" s="9" t="n">
        <x:f>SUM(SalesLines!Q2266)</x:f>
        <x:v>251.1</x:v>
      </x:c>
      <x:c r="H935" s="9" t="n">
        <x:f>SUM(SalesLines!M2266)</x:f>
        <x:v>279</x:v>
      </x:c>
      <x:c r="I935" s="9" t="n">
        <x:f>SUM(SalesLines!N2266)</x:f>
        <x:v>27.900000000000002</x:v>
      </x:c>
      <x:c r="J935" s="9" t="n">
        <x:f>SUM(SalesLines!P2266)</x:f>
        <x:v>0</x:v>
      </x:c>
      <x:c r="K935" s="11" t="n">
        <x:f>SUM(SalesLines!R2266)</x:f>
        <x:v>3</x:v>
      </x:c>
      <x:c r="L935" s="11" t="n">
        <x:f>SUM(SalesLines!S2266)</x:f>
        <x:v>0</x:v>
      </x:c>
      <x:c r="M935" s="8" t="n">
        <x:f>DATE(YEAR(C935),MONTH(C935),1)</x:f>
        <x:v>45839</x:v>
      </x:c>
    </x:row>
    <x:row r="936" ht="22" customHeight="1">
      <x:c r="A936" s="2" t="str">
        <x:v>O00932</x:v>
      </x:c>
      <x:c r="B936" s="2" t="str">
        <x:v>C0143</x:v>
      </x:c>
      <x:c r="C936" s="7" t="n">
        <x:v>45808</x:v>
      </x:c>
      <x:c r="D936" s="2" t="str">
        <x:v>Completed</x:v>
      </x:c>
      <x:c r="E936" s="2" t="str">
        <x:v>West</x:v>
      </x:c>
      <x:c r="F936" s="2" t="str">
        <x:v>Store</x:v>
      </x:c>
      <x:c r="G936" s="9" t="n">
        <x:f>SUM(SalesLines!Q2267)</x:f>
        <x:v>300</x:v>
      </x:c>
      <x:c r="H936" s="9" t="n">
        <x:f>SUM(SalesLines!M2267)</x:f>
        <x:v>300</x:v>
      </x:c>
      <x:c r="I936" s="9" t="n">
        <x:f>SUM(SalesLines!N2267)</x:f>
        <x:v>0</x:v>
      </x:c>
      <x:c r="J936" s="9" t="n">
        <x:f>SUM(SalesLines!P2267)</x:f>
        <x:v>0</x:v>
      </x:c>
      <x:c r="K936" s="11" t="n">
        <x:f>SUM(SalesLines!R2267)</x:f>
        <x:v>1</x:v>
      </x:c>
      <x:c r="L936" s="11" t="n">
        <x:f>SUM(SalesLines!S2267)</x:f>
        <x:v>0</x:v>
      </x:c>
      <x:c r="M936" s="8" t="n">
        <x:f>DATE(YEAR(C936),MONTH(C936),1)</x:f>
        <x:v>45778</x:v>
      </x:c>
    </x:row>
    <x:row r="937" ht="22" customHeight="1">
      <x:c r="A937" s="2" t="str">
        <x:v>O00933</x:v>
      </x:c>
      <x:c r="B937" s="2" t="str">
        <x:v>C0216</x:v>
      </x:c>
      <x:c r="C937" s="7" t="n">
        <x:v>45675</x:v>
      </x:c>
      <x:c r="D937" s="2" t="str">
        <x:v>Completed</x:v>
      </x:c>
      <x:c r="E937" s="2" t="str">
        <x:v>North</x:v>
      </x:c>
      <x:c r="F937" s="2" t="str">
        <x:v>Store</x:v>
      </x:c>
      <x:c r="G937" s="9" t="n">
        <x:f>SUM(SalesLines!Q2268,SalesLines!Q2269)</x:f>
        <x:v>515</x:v>
      </x:c>
      <x:c r="H937" s="9" t="n">
        <x:f>SUM(SalesLines!M2268,SalesLines!M2269)</x:f>
        <x:v>515</x:v>
      </x:c>
      <x:c r="I937" s="9" t="n">
        <x:f>SUM(SalesLines!N2268,SalesLines!N2269)</x:f>
        <x:v>0</x:v>
      </x:c>
      <x:c r="J937" s="9" t="n">
        <x:f>SUM(SalesLines!P2268,SalesLines!P2269)</x:f>
        <x:v>0</x:v>
      </x:c>
      <x:c r="K937" s="11" t="n">
        <x:f>SUM(SalesLines!R2268,SalesLines!R2269)</x:f>
        <x:v>7</x:v>
      </x:c>
      <x:c r="L937" s="11" t="n">
        <x:f>SUM(SalesLines!S2268,SalesLines!S2269)</x:f>
        <x:v>0</x:v>
      </x:c>
      <x:c r="M937" s="8" t="n">
        <x:f>DATE(YEAR(C937),MONTH(C937),1)</x:f>
        <x:v>45658</x:v>
      </x:c>
    </x:row>
    <x:row r="938" ht="22" customHeight="1">
      <x:c r="A938" s="2" t="str">
        <x:v>O00934</x:v>
      </x:c>
      <x:c r="B938" s="2" t="str">
        <x:v>C0095</x:v>
      </x:c>
      <x:c r="C938" s="7" t="n">
        <x:v>45779</x:v>
      </x:c>
      <x:c r="D938" s="2" t="str">
        <x:v>Completed</x:v>
      </x:c>
      <x:c r="E938" s="2" t="str">
        <x:v>East</x:v>
      </x:c>
      <x:c r="F938" s="2" t="str">
        <x:v>Online</x:v>
      </x:c>
      <x:c r="G938" s="9" t="n">
        <x:f>SUM(SalesLines!Q2270,SalesLines!Q2271,SalesLines!Q2272)</x:f>
        <x:v>1518.8</x:v>
      </x:c>
      <x:c r="H938" s="9" t="n">
        <x:f>SUM(SalesLines!M2270,SalesLines!M2271,SalesLines!M2272)</x:f>
        <x:v>1785</x:v>
      </x:c>
      <x:c r="I938" s="9" t="n">
        <x:f>SUM(SalesLines!N2270,SalesLines!N2271,SalesLines!N2272)</x:f>
        <x:v>266.2</x:v>
      </x:c>
      <x:c r="J938" s="9" t="n">
        <x:f>SUM(SalesLines!P2270,SalesLines!P2271,SalesLines!P2272)</x:f>
        <x:v>0</x:v>
      </x:c>
      <x:c r="K938" s="11" t="n">
        <x:f>SUM(SalesLines!R2270,SalesLines!R2271,SalesLines!R2272)</x:f>
        <x:v>8</x:v>
      </x:c>
      <x:c r="L938" s="11" t="n">
        <x:f>SUM(SalesLines!S2270,SalesLines!S2271,SalesLines!S2272)</x:f>
        <x:v>0</x:v>
      </x:c>
      <x:c r="M938" s="8" t="n">
        <x:f>DATE(YEAR(C938),MONTH(C938),1)</x:f>
        <x:v>45778</x:v>
      </x:c>
    </x:row>
    <x:row r="939" ht="22" customHeight="1">
      <x:c r="A939" s="2" t="str">
        <x:v>O00935</x:v>
      </x:c>
      <x:c r="B939" s="2" t="str">
        <x:v>C0273</x:v>
      </x:c>
      <x:c r="C939" s="7" t="n">
        <x:v>45995</x:v>
      </x:c>
      <x:c r="D939" s="2" t="str">
        <x:v>Completed</x:v>
      </x:c>
      <x:c r="E939" s="2" t="str">
        <x:v>South</x:v>
      </x:c>
      <x:c r="F939" s="2" t="str">
        <x:v>Store</x:v>
      </x:c>
      <x:c r="G939" s="9" t="n">
        <x:f>SUM(SalesLines!Q2273,SalesLines!Q2274,SalesLines!Q2275,SalesLines!Q2276)</x:f>
        <x:v>1035.5</x:v>
      </x:c>
      <x:c r="H939" s="9" t="n">
        <x:f>SUM(SalesLines!M2273,SalesLines!M2274,SalesLines!M2275,SalesLines!M2276)</x:f>
        <x:v>1265</x:v>
      </x:c>
      <x:c r="I939" s="9" t="n">
        <x:f>SUM(SalesLines!N2273,SalesLines!N2274,SalesLines!N2275,SalesLines!N2276)</x:f>
        <x:v>229.5</x:v>
      </x:c>
      <x:c r="J939" s="9" t="n">
        <x:f>SUM(SalesLines!P2273,SalesLines!P2274,SalesLines!P2275,SalesLines!P2276)</x:f>
        <x:v>0</x:v>
      </x:c>
      <x:c r="K939" s="11" t="n">
        <x:f>SUM(SalesLines!R2273,SalesLines!R2274,SalesLines!R2275,SalesLines!R2276)</x:f>
        <x:v>10</x:v>
      </x:c>
      <x:c r="L939" s="11" t="n">
        <x:f>SUM(SalesLines!S2273,SalesLines!S2274,SalesLines!S2275,SalesLines!S2276)</x:f>
        <x:v>0</x:v>
      </x:c>
      <x:c r="M939" s="8" t="n">
        <x:f>DATE(YEAR(C939),MONTH(C939),1)</x:f>
        <x:v>45992</x:v>
      </x:c>
    </x:row>
    <x:row r="940" ht="22" customHeight="1">
      <x:c r="A940" s="2" t="str">
        <x:v>O00936</x:v>
      </x:c>
      <x:c r="B940" s="2" t="str">
        <x:v>C0182</x:v>
      </x:c>
      <x:c r="C940" s="7" t="n">
        <x:v>46020</x:v>
      </x:c>
      <x:c r="D940" s="2" t="str">
        <x:v>Completed</x:v>
      </x:c>
      <x:c r="E940" s="2" t="str">
        <x:v>West</x:v>
      </x:c>
      <x:c r="F940" s="2" t="str">
        <x:v>Online</x:v>
      </x:c>
      <x:c r="G940" s="9" t="n">
        <x:f>SUM(SalesLines!Q2277,SalesLines!Q2278)</x:f>
        <x:v>1674.6</x:v>
      </x:c>
      <x:c r="H940" s="9" t="n">
        <x:f>SUM(SalesLines!M2277,SalesLines!M2278)</x:f>
        <x:v>1812</x:v>
      </x:c>
      <x:c r="I940" s="9" t="n">
        <x:f>SUM(SalesLines!N2277,SalesLines!N2278)</x:f>
        <x:v>137.4</x:v>
      </x:c>
      <x:c r="J940" s="9" t="n">
        <x:f>SUM(SalesLines!P2277,SalesLines!P2278)</x:f>
        <x:v>0</x:v>
      </x:c>
      <x:c r="K940" s="11" t="n">
        <x:f>SUM(SalesLines!R2277,SalesLines!R2278)</x:f>
        <x:v>9</x:v>
      </x:c>
      <x:c r="L940" s="11" t="n">
        <x:f>SUM(SalesLines!S2277,SalesLines!S2278)</x:f>
        <x:v>0</x:v>
      </x:c>
      <x:c r="M940" s="8" t="n">
        <x:f>DATE(YEAR(C940),MONTH(C940),1)</x:f>
        <x:v>45992</x:v>
      </x:c>
    </x:row>
    <x:row r="941" ht="22" customHeight="1">
      <x:c r="A941" s="2" t="str">
        <x:v>O00937</x:v>
      </x:c>
      <x:c r="B941" s="2" t="str">
        <x:v>C0083</x:v>
      </x:c>
      <x:c r="C941" s="7" t="n">
        <x:v>45858</x:v>
      </x:c>
      <x:c r="D941" s="2" t="str">
        <x:v>Completed</x:v>
      </x:c>
      <x:c r="E941" s="2" t="str">
        <x:v>West</x:v>
      </x:c>
      <x:c r="F941" s="2" t="str">
        <x:v>Online</x:v>
      </x:c>
      <x:c r="G941" s="9" t="n">
        <x:f>SUM(SalesLines!Q2279,SalesLines!Q2280,SalesLines!Q2281,SalesLines!Q2282)</x:f>
        <x:v>1695.75</x:v>
      </x:c>
      <x:c r="H941" s="9" t="n">
        <x:f>SUM(SalesLines!M2279,SalesLines!M2280,SalesLines!M2281,SalesLines!M2282)</x:f>
        <x:v>2248</x:v>
      </x:c>
      <x:c r="I941" s="9" t="n">
        <x:f>SUM(SalesLines!N2279,SalesLines!N2280,SalesLines!N2281,SalesLines!N2282)</x:f>
        <x:v>249.85000000000002</x:v>
      </x:c>
      <x:c r="J941" s="9" t="n">
        <x:f>SUM(SalesLines!P2279,SalesLines!P2280,SalesLines!P2281,SalesLines!P2282)</x:f>
        <x:v>302.40000000000003</x:v>
      </x:c>
      <x:c r="K941" s="11" t="n">
        <x:f>SUM(SalesLines!R2279,SalesLines!R2280,SalesLines!R2281,SalesLines!R2282)</x:f>
        <x:v>12</x:v>
      </x:c>
      <x:c r="L941" s="11" t="n">
        <x:f>SUM(SalesLines!S2279,SalesLines!S2280,SalesLines!S2281,SalesLines!S2282)</x:f>
        <x:v>2</x:v>
      </x:c>
      <x:c r="M941" s="8" t="n">
        <x:f>DATE(YEAR(C941),MONTH(C941),1)</x:f>
        <x:v>45839</x:v>
      </x:c>
    </x:row>
    <x:row r="942" ht="22" customHeight="1">
      <x:c r="A942" s="2" t="str">
        <x:v>O00938</x:v>
      </x:c>
      <x:c r="B942" s="2" t="str">
        <x:v>C0209</x:v>
      </x:c>
      <x:c r="C942" s="7" t="n">
        <x:v>45810</x:v>
      </x:c>
      <x:c r="D942" s="2" t="str">
        <x:v>Completed</x:v>
      </x:c>
      <x:c r="E942" s="2" t="str">
        <x:v>West</x:v>
      </x:c>
      <x:c r="F942" s="2" t="str">
        <x:v>Store</x:v>
      </x:c>
      <x:c r="G942" s="9" t="n">
        <x:f>SUM(SalesLines!Q2283,SalesLines!Q2284,SalesLines!Q2285,SalesLines!Q2286)</x:f>
        <x:v>2450.1499999999996</x:v>
      </x:c>
      <x:c r="H942" s="9" t="n">
        <x:f>SUM(SalesLines!M2283,SalesLines!M2284,SalesLines!M2285,SalesLines!M2286)</x:f>
        <x:v>2572</x:v>
      </x:c>
      <x:c r="I942" s="9" t="n">
        <x:f>SUM(SalesLines!N2283,SalesLines!N2284,SalesLines!N2285,SalesLines!N2286)</x:f>
        <x:v>121.85000000000002</x:v>
      </x:c>
      <x:c r="J942" s="9" t="n">
        <x:f>SUM(SalesLines!P2283,SalesLines!P2284,SalesLines!P2285,SalesLines!P2286)</x:f>
        <x:v>0</x:v>
      </x:c>
      <x:c r="K942" s="11" t="n">
        <x:f>SUM(SalesLines!R2283,SalesLines!R2284,SalesLines!R2285,SalesLines!R2286)</x:f>
        <x:v>12</x:v>
      </x:c>
      <x:c r="L942" s="11" t="n">
        <x:f>SUM(SalesLines!S2283,SalesLines!S2284,SalesLines!S2285,SalesLines!S2286)</x:f>
        <x:v>0</x:v>
      </x:c>
      <x:c r="M942" s="8" t="n">
        <x:f>DATE(YEAR(C942),MONTH(C942),1)</x:f>
        <x:v>45809</x:v>
      </x:c>
    </x:row>
    <x:row r="943" ht="22" customHeight="1">
      <x:c r="A943" s="2" t="str">
        <x:v>O00939</x:v>
      </x:c>
      <x:c r="B943" s="2" t="str">
        <x:v>C0155</x:v>
      </x:c>
      <x:c r="C943" s="7" t="n">
        <x:v>45711</x:v>
      </x:c>
      <x:c r="D943" s="2" t="str">
        <x:v>Completed</x:v>
      </x:c>
      <x:c r="E943" s="2" t="str">
        <x:v>South</x:v>
      </x:c>
      <x:c r="F943" s="2" t="str">
        <x:v>Store</x:v>
      </x:c>
      <x:c r="G943" s="9" t="n">
        <x:f>SUM(SalesLines!Q2287,SalesLines!Q2288)</x:f>
        <x:v>1842.8</x:v>
      </x:c>
      <x:c r="H943" s="9" t="n">
        <x:f>SUM(SalesLines!M2287,SalesLines!M2288)</x:f>
        <x:v>1897</x:v>
      </x:c>
      <x:c r="I943" s="9" t="n">
        <x:f>SUM(SalesLines!N2287,SalesLines!N2288)</x:f>
        <x:v>54.2</x:v>
      </x:c>
      <x:c r="J943" s="9" t="n">
        <x:f>SUM(SalesLines!P2287,SalesLines!P2288)</x:f>
        <x:v>0</x:v>
      </x:c>
      <x:c r="K943" s="11" t="n">
        <x:f>SUM(SalesLines!R2287,SalesLines!R2288)</x:f>
        <x:v>7</x:v>
      </x:c>
      <x:c r="L943" s="11" t="n">
        <x:f>SUM(SalesLines!S2287,SalesLines!S2288)</x:f>
        <x:v>0</x:v>
      </x:c>
      <x:c r="M943" s="8" t="n">
        <x:f>DATE(YEAR(C943),MONTH(C943),1)</x:f>
        <x:v>45689</x:v>
      </x:c>
    </x:row>
    <x:row r="944" ht="22" customHeight="1">
      <x:c r="A944" s="2" t="str">
        <x:v>O00940</x:v>
      </x:c>
      <x:c r="B944" s="2" t="str">
        <x:v>C0223</x:v>
      </x:c>
      <x:c r="C944" s="7" t="n">
        <x:v>45843</x:v>
      </x:c>
      <x:c r="D944" s="2" t="str">
        <x:v>Completed</x:v>
      </x:c>
      <x:c r="E944" s="2" t="str">
        <x:v>East</x:v>
      </x:c>
      <x:c r="F944" s="2" t="str">
        <x:v>Online</x:v>
      </x:c>
      <x:c r="G944" s="9" t="n">
        <x:f>SUM(SalesLines!Q2289,SalesLines!Q2290)</x:f>
        <x:v>478.79999999999995</x:v>
      </x:c>
      <x:c r="H944" s="9" t="n">
        <x:f>SUM(SalesLines!M2289,SalesLines!M2290)</x:f>
        <x:v>563</x:v>
      </x:c>
      <x:c r="I944" s="9" t="n">
        <x:f>SUM(SalesLines!N2289,SalesLines!N2290)</x:f>
        <x:v>84.2</x:v>
      </x:c>
      <x:c r="J944" s="9" t="n">
        <x:f>SUM(SalesLines!P2289,SalesLines!P2290)</x:f>
        <x:v>0</x:v>
      </x:c>
      <x:c r="K944" s="11" t="n">
        <x:f>SUM(SalesLines!R2289,SalesLines!R2290)</x:f>
        <x:v>4</x:v>
      </x:c>
      <x:c r="L944" s="11" t="n">
        <x:f>SUM(SalesLines!S2289,SalesLines!S2290)</x:f>
        <x:v>0</x:v>
      </x:c>
      <x:c r="M944" s="8" t="n">
        <x:f>DATE(YEAR(C944),MONTH(C944),1)</x:f>
        <x:v>45839</x:v>
      </x:c>
    </x:row>
    <x:row r="945" ht="22" customHeight="1">
      <x:c r="A945" s="2" t="str">
        <x:v>O00941</x:v>
      </x:c>
      <x:c r="B945" s="2" t="str">
        <x:v>C0053</x:v>
      </x:c>
      <x:c r="C945" s="7" t="n">
        <x:v>46004</x:v>
      </x:c>
      <x:c r="D945" s="2" t="str">
        <x:v>Completed</x:v>
      </x:c>
      <x:c r="E945" s="2" t="str">
        <x:v>West</x:v>
      </x:c>
      <x:c r="F945" s="2" t="str">
        <x:v>Store</x:v>
      </x:c>
      <x:c r="G945" s="9" t="n">
        <x:f>SUM(SalesLines!Q2291,SalesLines!Q2292)</x:f>
        <x:v>704.85</x:v>
      </x:c>
      <x:c r="H945" s="9" t="n">
        <x:f>SUM(SalesLines!M2291,SalesLines!M2292)</x:f>
        <x:v>711</x:v>
      </x:c>
      <x:c r="I945" s="9" t="n">
        <x:f>SUM(SalesLines!N2291,SalesLines!N2292)</x:f>
        <x:v>6.15</x:v>
      </x:c>
      <x:c r="J945" s="9" t="n">
        <x:f>SUM(SalesLines!P2291,SalesLines!P2292)</x:f>
        <x:v>0</x:v>
      </x:c>
      <x:c r="K945" s="11" t="n">
        <x:f>SUM(SalesLines!R2291,SalesLines!R2292)</x:f>
        <x:v>4</x:v>
      </x:c>
      <x:c r="L945" s="11" t="n">
        <x:f>SUM(SalesLines!S2291,SalesLines!S2292)</x:f>
        <x:v>0</x:v>
      </x:c>
      <x:c r="M945" s="8" t="n">
        <x:f>DATE(YEAR(C945),MONTH(C945),1)</x:f>
        <x:v>45992</x:v>
      </x:c>
    </x:row>
    <x:row r="946" ht="22" customHeight="1">
      <x:c r="A946" s="2" t="str">
        <x:v>O00942</x:v>
      </x:c>
      <x:c r="B946" s="2" t="str">
        <x:v>C0128</x:v>
      </x:c>
      <x:c r="C946" s="7" t="n">
        <x:v>45879</x:v>
      </x:c>
      <x:c r="D946" s="2" t="str">
        <x:v>Completed</x:v>
      </x:c>
      <x:c r="E946" s="2" t="str">
        <x:v>West</x:v>
      </x:c>
      <x:c r="F946" s="2" t="str">
        <x:v>Store</x:v>
      </x:c>
      <x:c r="G946" s="9" t="n">
        <x:f>SUM(SalesLines!Q2293,SalesLines!Q2294,SalesLines!Q2295,SalesLines!Q2296)</x:f>
        <x:v>774.9</x:v>
      </x:c>
      <x:c r="H946" s="9" t="n">
        <x:f>SUM(SalesLines!M2293,SalesLines!M2294,SalesLines!M2295,SalesLines!M2296)</x:f>
        <x:v>830</x:v>
      </x:c>
      <x:c r="I946" s="9" t="n">
        <x:f>SUM(SalesLines!N2293,SalesLines!N2294,SalesLines!N2295,SalesLines!N2296)</x:f>
        <x:v>55.1</x:v>
      </x:c>
      <x:c r="J946" s="9" t="n">
        <x:f>SUM(SalesLines!P2293,SalesLines!P2294,SalesLines!P2295,SalesLines!P2296)</x:f>
        <x:v>0</x:v>
      </x:c>
      <x:c r="K946" s="11" t="n">
        <x:f>SUM(SalesLines!R2293,SalesLines!R2294,SalesLines!R2295,SalesLines!R2296)</x:f>
        <x:v>10</x:v>
      </x:c>
      <x:c r="L946" s="11" t="n">
        <x:f>SUM(SalesLines!S2293,SalesLines!S2294,SalesLines!S2295,SalesLines!S2296)</x:f>
        <x:v>0</x:v>
      </x:c>
      <x:c r="M946" s="8" t="n">
        <x:f>DATE(YEAR(C946),MONTH(C946),1)</x:f>
        <x:v>45870</x:v>
      </x:c>
    </x:row>
    <x:row r="947" ht="22" customHeight="1">
      <x:c r="A947" s="2" t="str">
        <x:v>O00943</x:v>
      </x:c>
      <x:c r="B947" s="2" t="str">
        <x:v>C0190</x:v>
      </x:c>
      <x:c r="C947" s="7" t="n">
        <x:v>45876</x:v>
      </x:c>
      <x:c r="D947" s="2" t="str">
        <x:v>Completed</x:v>
      </x:c>
      <x:c r="E947" s="2" t="str">
        <x:v>North</x:v>
      </x:c>
      <x:c r="F947" s="2" t="str">
        <x:v>Online</x:v>
      </x:c>
      <x:c r="G947" s="9" t="n">
        <x:f>SUM(SalesLines!Q2297,SalesLines!Q2298)</x:f>
        <x:v>548</x:v>
      </x:c>
      <x:c r="H947" s="9" t="n">
        <x:f>SUM(SalesLines!M2297,SalesLines!M2298)</x:f>
        <x:v>668</x:v>
      </x:c>
      <x:c r="I947" s="9" t="n">
        <x:f>SUM(SalesLines!N2297,SalesLines!N2298)</x:f>
        <x:v>120</x:v>
      </x:c>
      <x:c r="J947" s="9" t="n">
        <x:f>SUM(SalesLines!P2297,SalesLines!P2298)</x:f>
        <x:v>0</x:v>
      </x:c>
      <x:c r="K947" s="11" t="n">
        <x:f>SUM(SalesLines!R2297,SalesLines!R2298)</x:f>
        <x:v>3</x:v>
      </x:c>
      <x:c r="L947" s="11" t="n">
        <x:f>SUM(SalesLines!S2297,SalesLines!S2298)</x:f>
        <x:v>0</x:v>
      </x:c>
      <x:c r="M947" s="8" t="n">
        <x:f>DATE(YEAR(C947),MONTH(C947),1)</x:f>
        <x:v>45870</x:v>
      </x:c>
    </x:row>
    <x:row r="948" ht="22" customHeight="1">
      <x:c r="A948" s="2" t="str">
        <x:v>O00944</x:v>
      </x:c>
      <x:c r="B948" s="2" t="str">
        <x:v>C0061</x:v>
      </x:c>
      <x:c r="C948" s="7" t="n">
        <x:v>45929</x:v>
      </x:c>
      <x:c r="D948" s="2" t="str">
        <x:v>Completed</x:v>
      </x:c>
      <x:c r="E948" s="2" t="str">
        <x:v>East</x:v>
      </x:c>
      <x:c r="F948" s="2" t="str">
        <x:v>Online</x:v>
      </x:c>
      <x:c r="G948" s="9" t="n">
        <x:f>SUM(SalesLines!Q2299,SalesLines!Q2300)</x:f>
        <x:v>363.6</x:v>
      </x:c>
      <x:c r="H948" s="9" t="n">
        <x:f>SUM(SalesLines!M2299,SalesLines!M2300)</x:f>
        <x:v>404</x:v>
      </x:c>
      <x:c r="I948" s="9" t="n">
        <x:f>SUM(SalesLines!N2299,SalesLines!N2300)</x:f>
        <x:v>40.4</x:v>
      </x:c>
      <x:c r="J948" s="9" t="n">
        <x:f>SUM(SalesLines!P2299,SalesLines!P2300)</x:f>
        <x:v>0</x:v>
      </x:c>
      <x:c r="K948" s="11" t="n">
        <x:f>SUM(SalesLines!R2299,SalesLines!R2300)</x:f>
        <x:v>4</x:v>
      </x:c>
      <x:c r="L948" s="11" t="n">
        <x:f>SUM(SalesLines!S2299,SalesLines!S2300)</x:f>
        <x:v>0</x:v>
      </x:c>
      <x:c r="M948" s="8" t="n">
        <x:f>DATE(YEAR(C948),MONTH(C948),1)</x:f>
        <x:v>45901</x:v>
      </x:c>
    </x:row>
    <x:row r="949" ht="22" customHeight="1">
      <x:c r="A949" s="2" t="str">
        <x:v>O00945</x:v>
      </x:c>
      <x:c r="B949" s="2" t="str">
        <x:v>C0198</x:v>
      </x:c>
      <x:c r="C949" s="7" t="n">
        <x:v>45719</x:v>
      </x:c>
      <x:c r="D949" s="2" t="str">
        <x:v>Completed</x:v>
      </x:c>
      <x:c r="E949" s="2" t="str">
        <x:v>West</x:v>
      </x:c>
      <x:c r="F949" s="2" t="str">
        <x:v>Online</x:v>
      </x:c>
      <x:c r="G949" s="9" t="n">
        <x:f>SUM(SalesLines!Q2301,SalesLines!Q2302)</x:f>
        <x:v>1259</x:v>
      </x:c>
      <x:c r="H949" s="9" t="n">
        <x:f>SUM(SalesLines!M2301,SalesLines!M2302)</x:f>
        <x:v>1352</x:v>
      </x:c>
      <x:c r="I949" s="9" t="n">
        <x:f>SUM(SalesLines!N2301,SalesLines!N2302)</x:f>
        <x:v>93</x:v>
      </x:c>
      <x:c r="J949" s="9" t="n">
        <x:f>SUM(SalesLines!P2301,SalesLines!P2302)</x:f>
        <x:v>0</x:v>
      </x:c>
      <x:c r="K949" s="11" t="n">
        <x:f>SUM(SalesLines!R2301,SalesLines!R2302)</x:f>
        <x:v>6</x:v>
      </x:c>
      <x:c r="L949" s="11" t="n">
        <x:f>SUM(SalesLines!S2301,SalesLines!S2302)</x:f>
        <x:v>0</x:v>
      </x:c>
      <x:c r="M949" s="8" t="n">
        <x:f>DATE(YEAR(C949),MONTH(C949),1)</x:f>
        <x:v>45717</x:v>
      </x:c>
    </x:row>
    <x:row r="950" ht="22" customHeight="1">
      <x:c r="A950" s="2" t="str">
        <x:v>O00946</x:v>
      </x:c>
      <x:c r="B950" s="2" t="str">
        <x:v>C0159</x:v>
      </x:c>
      <x:c r="C950" s="7" t="n">
        <x:v>45799</x:v>
      </x:c>
      <x:c r="D950" s="2" t="str">
        <x:v>Completed</x:v>
      </x:c>
      <x:c r="E950" s="2" t="str">
        <x:v>West</x:v>
      </x:c>
      <x:c r="F950" s="2" t="str">
        <x:v>Store</x:v>
      </x:c>
      <x:c r="G950" s="9" t="n">
        <x:f>SUM(SalesLines!Q2303)</x:f>
        <x:v>243</x:v>
      </x:c>
      <x:c r="H950" s="9" t="n">
        <x:f>SUM(SalesLines!M2303)</x:f>
        <x:v>243</x:v>
      </x:c>
      <x:c r="I950" s="9" t="n">
        <x:f>SUM(SalesLines!N2303)</x:f>
        <x:v>0</x:v>
      </x:c>
      <x:c r="J950" s="9" t="n">
        <x:f>SUM(SalesLines!P2303)</x:f>
        <x:v>0</x:v>
      </x:c>
      <x:c r="K950" s="11" t="n">
        <x:f>SUM(SalesLines!R2303)</x:f>
        <x:v>3</x:v>
      </x:c>
      <x:c r="L950" s="11" t="n">
        <x:f>SUM(SalesLines!S2303)</x:f>
        <x:v>0</x:v>
      </x:c>
      <x:c r="M950" s="8" t="n">
        <x:f>DATE(YEAR(C950),MONTH(C950),1)</x:f>
        <x:v>45778</x:v>
      </x:c>
    </x:row>
    <x:row r="951" ht="22" customHeight="1">
      <x:c r="A951" s="2" t="str">
        <x:v>O00947</x:v>
      </x:c>
      <x:c r="B951" s="2" t="str">
        <x:v>C0084</x:v>
      </x:c>
      <x:c r="C951" s="7" t="n">
        <x:v>46011</x:v>
      </x:c>
      <x:c r="D951" s="2" t="str">
        <x:v>Completed</x:v>
      </x:c>
      <x:c r="E951" s="2" t="str">
        <x:v>West</x:v>
      </x:c>
      <x:c r="F951" s="2" t="str">
        <x:v>Store</x:v>
      </x:c>
      <x:c r="G951" s="9" t="n">
        <x:f>SUM(SalesLines!Q2304,SalesLines!Q2305)</x:f>
        <x:v>652.8</x:v>
      </x:c>
      <x:c r="H951" s="9" t="n">
        <x:f>SUM(SalesLines!M2304,SalesLines!M2305)</x:f>
        <x:v>816</x:v>
      </x:c>
      <x:c r="I951" s="9" t="n">
        <x:f>SUM(SalesLines!N2304,SalesLines!N2305)</x:f>
        <x:v>163.20000000000002</x:v>
      </x:c>
      <x:c r="J951" s="9" t="n">
        <x:f>SUM(SalesLines!P2304,SalesLines!P2305)</x:f>
        <x:v>0</x:v>
      </x:c>
      <x:c r="K951" s="11" t="n">
        <x:f>SUM(SalesLines!R2304,SalesLines!R2305)</x:f>
        <x:v>4</x:v>
      </x:c>
      <x:c r="L951" s="11" t="n">
        <x:f>SUM(SalesLines!S2304,SalesLines!S2305)</x:f>
        <x:v>0</x:v>
      </x:c>
      <x:c r="M951" s="8" t="n">
        <x:f>DATE(YEAR(C951),MONTH(C951),1)</x:f>
        <x:v>45992</x:v>
      </x:c>
    </x:row>
    <x:row r="952" ht="22" customHeight="1">
      <x:c r="A952" s="2" t="str">
        <x:v>O00948</x:v>
      </x:c>
      <x:c r="B952" s="2" t="str">
        <x:v>C0147</x:v>
      </x:c>
      <x:c r="C952" s="7" t="n">
        <x:v>45788</x:v>
      </x:c>
      <x:c r="D952" s="2" t="str">
        <x:v>Completed</x:v>
      </x:c>
      <x:c r="E952" s="2" t="str">
        <x:v>East</x:v>
      </x:c>
      <x:c r="F952" s="2" t="str">
        <x:v>Store</x:v>
      </x:c>
      <x:c r="G952" s="9" t="n">
        <x:f>SUM(SalesLines!Q2306)</x:f>
        <x:v>0</x:v>
      </x:c>
      <x:c r="H952" s="9" t="n">
        <x:f>SUM(SalesLines!M2306)</x:f>
        <x:v>369</x:v>
      </x:c>
      <x:c r="I952" s="9" t="n">
        <x:f>SUM(SalesLines!N2306)</x:f>
        <x:v>0</x:v>
      </x:c>
      <x:c r="J952" s="9" t="n">
        <x:f>SUM(SalesLines!P2306)</x:f>
        <x:v>369</x:v>
      </x:c>
      <x:c r="K952" s="11" t="n">
        <x:f>SUM(SalesLines!R2306)</x:f>
        <x:v>3</x:v>
      </x:c>
      <x:c r="L952" s="11" t="n">
        <x:f>SUM(SalesLines!S2306)</x:f>
        <x:v>3</x:v>
      </x:c>
      <x:c r="M952" s="8" t="n">
        <x:f>DATE(YEAR(C952),MONTH(C952),1)</x:f>
        <x:v>45778</x:v>
      </x:c>
    </x:row>
    <x:row r="953" ht="22" customHeight="1">
      <x:c r="A953" s="2" t="str">
        <x:v>O00949</x:v>
      </x:c>
      <x:c r="B953" s="2" t="str">
        <x:v>C0085</x:v>
      </x:c>
      <x:c r="C953" s="7" t="n">
        <x:v>45969</x:v>
      </x:c>
      <x:c r="D953" s="2" t="str">
        <x:v>Completed</x:v>
      </x:c>
      <x:c r="E953" s="2" t="str">
        <x:v>South</x:v>
      </x:c>
      <x:c r="F953" s="2" t="str">
        <x:v>Store</x:v>
      </x:c>
      <x:c r="G953" s="9" t="n">
        <x:f>SUM(SalesLines!Q2307,SalesLines!Q2308,SalesLines!Q2309)</x:f>
        <x:v>2512.05</x:v>
      </x:c>
      <x:c r="H953" s="9" t="n">
        <x:f>SUM(SalesLines!M2307,SalesLines!M2308,SalesLines!M2309)</x:f>
        <x:v>2886</x:v>
      </x:c>
      <x:c r="I953" s="9" t="n">
        <x:f>SUM(SalesLines!N2307,SalesLines!N2308,SalesLines!N2309)</x:f>
        <x:v>373.95000000000005</x:v>
      </x:c>
      <x:c r="J953" s="9" t="n">
        <x:f>SUM(SalesLines!P2307,SalesLines!P2308,SalesLines!P2309)</x:f>
        <x:v>0</x:v>
      </x:c>
      <x:c r="K953" s="11" t="n">
        <x:f>SUM(SalesLines!R2307,SalesLines!R2308,SalesLines!R2309)</x:f>
        <x:v>12</x:v>
      </x:c>
      <x:c r="L953" s="11" t="n">
        <x:f>SUM(SalesLines!S2307,SalesLines!S2308,SalesLines!S2309)</x:f>
        <x:v>0</x:v>
      </x:c>
      <x:c r="M953" s="8" t="n">
        <x:f>DATE(YEAR(C953),MONTH(C953),1)</x:f>
        <x:v>45962</x:v>
      </x:c>
    </x:row>
    <x:row r="954" ht="22" customHeight="1">
      <x:c r="A954" s="2" t="str">
        <x:v>O00950</x:v>
      </x:c>
      <x:c r="B954" s="2" t="str">
        <x:v>C0231</x:v>
      </x:c>
      <x:c r="C954" s="7" t="n">
        <x:v>45970</x:v>
      </x:c>
      <x:c r="D954" s="2" t="str">
        <x:v>Completed</x:v>
      </x:c>
      <x:c r="E954" s="2" t="str">
        <x:v>West</x:v>
      </x:c>
      <x:c r="F954" s="2" t="str">
        <x:v>Online</x:v>
      </x:c>
      <x:c r="G954" s="9" t="n">
        <x:f>SUM(SalesLines!Q2310,SalesLines!Q2311,SalesLines!Q2312,SalesLines!Q2313)</x:f>
        <x:v>1911.35</x:v>
      </x:c>
      <x:c r="H954" s="9" t="n">
        <x:f>SUM(SalesLines!M2310,SalesLines!M2311,SalesLines!M2312,SalesLines!M2313)</x:f>
        <x:v>1978</x:v>
      </x:c>
      <x:c r="I954" s="9" t="n">
        <x:f>SUM(SalesLines!N2310,SalesLines!N2311,SalesLines!N2312,SalesLines!N2313)</x:f>
        <x:v>66.65</x:v>
      </x:c>
      <x:c r="J954" s="9" t="n">
        <x:f>SUM(SalesLines!P2310,SalesLines!P2311,SalesLines!P2312,SalesLines!P2313)</x:f>
        <x:v>0</x:v>
      </x:c>
      <x:c r="K954" s="11" t="n">
        <x:f>SUM(SalesLines!R2310,SalesLines!R2311,SalesLines!R2312,SalesLines!R2313)</x:f>
        <x:v>12</x:v>
      </x:c>
      <x:c r="L954" s="11" t="n">
        <x:f>SUM(SalesLines!S2310,SalesLines!S2311,SalesLines!S2312,SalesLines!S2313)</x:f>
        <x:v>0</x:v>
      </x:c>
      <x:c r="M954" s="8" t="n">
        <x:f>DATE(YEAR(C954),MONTH(C954),1)</x:f>
        <x:v>45962</x:v>
      </x:c>
    </x:row>
    <x:row r="955" ht="22" customHeight="1">
      <x:c r="A955" s="2" t="str">
        <x:v>O00951</x:v>
      </x:c>
      <x:c r="B955" s="2" t="str">
        <x:v>C0066</x:v>
      </x:c>
      <x:c r="C955" s="7" t="n">
        <x:v>45706</x:v>
      </x:c>
      <x:c r="D955" s="2" t="str">
        <x:v>Completed</x:v>
      </x:c>
      <x:c r="E955" s="2" t="str">
        <x:v>North</x:v>
      </x:c>
      <x:c r="F955" s="2" t="str">
        <x:v>Store</x:v>
      </x:c>
      <x:c r="G955" s="9" t="n">
        <x:f>SUM(SalesLines!Q2314,SalesLines!Q2315)</x:f>
        <x:v>1608.2</x:v>
      </x:c>
      <x:c r="H955" s="9" t="n">
        <x:f>SUM(SalesLines!M2314,SalesLines!M2315)</x:f>
        <x:v>1648</x:v>
      </x:c>
      <x:c r="I955" s="9" t="n">
        <x:f>SUM(SalesLines!N2314,SalesLines!N2315)</x:f>
        <x:v>39.800000000000004</x:v>
      </x:c>
      <x:c r="J955" s="9" t="n">
        <x:f>SUM(SalesLines!P2314,SalesLines!P2315)</x:f>
        <x:v>0</x:v>
      </x:c>
      <x:c r="K955" s="11" t="n">
        <x:f>SUM(SalesLines!R2314,SalesLines!R2315)</x:f>
        <x:v>7</x:v>
      </x:c>
      <x:c r="L955" s="11" t="n">
        <x:f>SUM(SalesLines!S2314,SalesLines!S2315)</x:f>
        <x:v>0</x:v>
      </x:c>
      <x:c r="M955" s="8" t="n">
        <x:f>DATE(YEAR(C955),MONTH(C955),1)</x:f>
        <x:v>45689</x:v>
      </x:c>
    </x:row>
    <x:row r="956" ht="22" customHeight="1">
      <x:c r="A956" s="2" t="str">
        <x:v>O00952</x:v>
      </x:c>
      <x:c r="B956" s="2" t="str">
        <x:v>C0093</x:v>
      </x:c>
      <x:c r="C956" s="7" t="n">
        <x:v>45879</x:v>
      </x:c>
      <x:c r="D956" s="2" t="str">
        <x:v>Completed</x:v>
      </x:c>
      <x:c r="E956" s="2" t="str">
        <x:v>North</x:v>
      </x:c>
      <x:c r="F956" s="2" t="str">
        <x:v>Online</x:v>
      </x:c>
      <x:c r="G956" s="9" t="n">
        <x:f>SUM(SalesLines!Q2316,SalesLines!Q2317,SalesLines!Q2318)</x:f>
        <x:v>2681.25</x:v>
      </x:c>
      <x:c r="H956" s="9" t="n">
        <x:f>SUM(SalesLines!M2316,SalesLines!M2317,SalesLines!M2318)</x:f>
        <x:v>2871</x:v>
      </x:c>
      <x:c r="I956" s="9" t="n">
        <x:f>SUM(SalesLines!N2316,SalesLines!N2317,SalesLines!N2318)</x:f>
        <x:v>189.75</x:v>
      </x:c>
      <x:c r="J956" s="9" t="n">
        <x:f>SUM(SalesLines!P2316,SalesLines!P2317,SalesLines!P2318)</x:f>
        <x:v>0</x:v>
      </x:c>
      <x:c r="K956" s="11" t="n">
        <x:f>SUM(SalesLines!R2316,SalesLines!R2317,SalesLines!R2318)</x:f>
        <x:v>11</x:v>
      </x:c>
      <x:c r="L956" s="11" t="n">
        <x:f>SUM(SalesLines!S2316,SalesLines!S2317,SalesLines!S2318)</x:f>
        <x:v>0</x:v>
      </x:c>
      <x:c r="M956" s="8" t="n">
        <x:f>DATE(YEAR(C956),MONTH(C956),1)</x:f>
        <x:v>45870</x:v>
      </x:c>
    </x:row>
    <x:row r="957" ht="22" customHeight="1">
      <x:c r="A957" s="2" t="str">
        <x:v>O00953</x:v>
      </x:c>
      <x:c r="B957" s="2" t="str">
        <x:v>C0227</x:v>
      </x:c>
      <x:c r="C957" s="7" t="n">
        <x:v>46022</x:v>
      </x:c>
      <x:c r="D957" s="2" t="str">
        <x:v>Cancelled</x:v>
      </x:c>
      <x:c r="E957" s="2" t="str">
        <x:v>East</x:v>
      </x:c>
      <x:c r="F957" s="2" t="str">
        <x:v>Online</x:v>
      </x:c>
      <x:c r="G957" s="9" t="n">
        <x:f>SUM(SalesLines!Q2319,SalesLines!Q2320,SalesLines!Q2321)</x:f>
        <x:v>0</x:v>
      </x:c>
      <x:c r="H957" s="9" t="n">
        <x:f>SUM(SalesLines!M2319,SalesLines!M2320,SalesLines!M2321)</x:f>
        <x:v>0</x:v>
      </x:c>
      <x:c r="I957" s="9" t="n">
        <x:f>SUM(SalesLines!N2319,SalesLines!N2320,SalesLines!N2321)</x:f>
        <x:v>0</x:v>
      </x:c>
      <x:c r="J957" s="9" t="n">
        <x:f>SUM(SalesLines!P2319,SalesLines!P2320,SalesLines!P2321)</x:f>
        <x:v>0</x:v>
      </x:c>
      <x:c r="K957" s="11" t="n">
        <x:f>SUM(SalesLines!R2319,SalesLines!R2320,SalesLines!R2321)</x:f>
        <x:v>0</x:v>
      </x:c>
      <x:c r="L957" s="11" t="n">
        <x:f>SUM(SalesLines!S2319,SalesLines!S2320,SalesLines!S2321)</x:f>
        <x:v>0</x:v>
      </x:c>
      <x:c r="M957" s="8" t="n">
        <x:f>DATE(YEAR(C957),MONTH(C957),1)</x:f>
        <x:v>45992</x:v>
      </x:c>
    </x:row>
    <x:row r="958" ht="22" customHeight="1">
      <x:c r="A958" s="2" t="str">
        <x:v>O00954</x:v>
      </x:c>
      <x:c r="B958" s="2" t="str">
        <x:v>C0186</x:v>
      </x:c>
      <x:c r="C958" s="7" t="n">
        <x:v>45675</x:v>
      </x:c>
      <x:c r="D958" s="2" t="str">
        <x:v>Completed</x:v>
      </x:c>
      <x:c r="E958" s="2" t="str">
        <x:v>North</x:v>
      </x:c>
      <x:c r="F958" s="2" t="str">
        <x:v>Store</x:v>
      </x:c>
      <x:c r="G958" s="9" t="n">
        <x:f>SUM(SalesLines!Q2322,SalesLines!Q2323,SalesLines!Q2324,SalesLines!Q2325)</x:f>
        <x:v>931</x:v>
      </x:c>
      <x:c r="H958" s="9" t="n">
        <x:f>SUM(SalesLines!M2322,SalesLines!M2323,SalesLines!M2324,SalesLines!M2325)</x:f>
        <x:v>1119</x:v>
      </x:c>
      <x:c r="I958" s="9" t="n">
        <x:f>SUM(SalesLines!N2322,SalesLines!N2323,SalesLines!N2324,SalesLines!N2325)</x:f>
        <x:v>13</x:v>
      </x:c>
      <x:c r="J958" s="9" t="n">
        <x:f>SUM(SalesLines!P2322,SalesLines!P2323,SalesLines!P2324,SalesLines!P2325)</x:f>
        <x:v>175</x:v>
      </x:c>
      <x:c r="K958" s="11" t="n">
        <x:f>SUM(SalesLines!R2322,SalesLines!R2323,SalesLines!R2324,SalesLines!R2325)</x:f>
        <x:v>11</x:v>
      </x:c>
      <x:c r="L958" s="11" t="n">
        <x:f>SUM(SalesLines!S2322,SalesLines!S2323,SalesLines!S2324,SalesLines!S2325)</x:f>
        <x:v>5</x:v>
      </x:c>
      <x:c r="M958" s="8" t="n">
        <x:f>DATE(YEAR(C958),MONTH(C958),1)</x:f>
        <x:v>45658</x:v>
      </x:c>
    </x:row>
    <x:row r="959" ht="22" customHeight="1">
      <x:c r="A959" s="2" t="str">
        <x:v>O00955</x:v>
      </x:c>
      <x:c r="B959" s="2" t="str">
        <x:v>C0014</x:v>
      </x:c>
      <x:c r="C959" s="7" t="n">
        <x:v>45825</x:v>
      </x:c>
      <x:c r="D959" s="2" t="str">
        <x:v>Completed</x:v>
      </x:c>
      <x:c r="E959" s="2" t="str">
        <x:v>North</x:v>
      </x:c>
      <x:c r="F959" s="2" t="str">
        <x:v>Store</x:v>
      </x:c>
      <x:c r="G959" s="9" t="n">
        <x:f>SUM(SalesLines!Q2326,SalesLines!Q2327,SalesLines!Q2328)</x:f>
        <x:v>1257.3000000000002</x:v>
      </x:c>
      <x:c r="H959" s="9" t="n">
        <x:f>SUM(SalesLines!M2326,SalesLines!M2327,SalesLines!M2328)</x:f>
        <x:v>1314</x:v>
      </x:c>
      <x:c r="I959" s="9" t="n">
        <x:f>SUM(SalesLines!N2326,SalesLines!N2327,SalesLines!N2328)</x:f>
        <x:v>56.7</x:v>
      </x:c>
      <x:c r="J959" s="9" t="n">
        <x:f>SUM(SalesLines!P2326,SalesLines!P2327,SalesLines!P2328)</x:f>
        <x:v>0</x:v>
      </x:c>
      <x:c r="K959" s="11" t="n">
        <x:f>SUM(SalesLines!R2326,SalesLines!R2327,SalesLines!R2328)</x:f>
        <x:v>6</x:v>
      </x:c>
      <x:c r="L959" s="11" t="n">
        <x:f>SUM(SalesLines!S2326,SalesLines!S2327,SalesLines!S2328)</x:f>
        <x:v>0</x:v>
      </x:c>
      <x:c r="M959" s="8" t="n">
        <x:f>DATE(YEAR(C959),MONTH(C959),1)</x:f>
        <x:v>45809</x:v>
      </x:c>
    </x:row>
    <x:row r="960" ht="22" customHeight="1">
      <x:c r="A960" s="2" t="str">
        <x:v>O00956</x:v>
      </x:c>
      <x:c r="B960" s="2" t="str">
        <x:v>C0132</x:v>
      </x:c>
      <x:c r="C960" s="7" t="n">
        <x:v>45810</x:v>
      </x:c>
      <x:c r="D960" s="2" t="str">
        <x:v>Completed</x:v>
      </x:c>
      <x:c r="E960" s="2" t="str">
        <x:v>North</x:v>
      </x:c>
      <x:c r="F960" s="2" t="str">
        <x:v>Store</x:v>
      </x:c>
      <x:c r="G960" s="9" t="n">
        <x:f>SUM(SalesLines!Q2329,SalesLines!Q2330,SalesLines!Q2331,SalesLines!Q2332)</x:f>
        <x:v>939.3999999999999</x:v>
      </x:c>
      <x:c r="H960" s="9" t="n">
        <x:f>SUM(SalesLines!M2329,SalesLines!M2330,SalesLines!M2331,SalesLines!M2332)</x:f>
        <x:v>1010</x:v>
      </x:c>
      <x:c r="I960" s="9" t="n">
        <x:f>SUM(SalesLines!N2329,SalesLines!N2330,SalesLines!N2331,SalesLines!N2332)</x:f>
        <x:v>70.6</x:v>
      </x:c>
      <x:c r="J960" s="9" t="n">
        <x:f>SUM(SalesLines!P2329,SalesLines!P2330,SalesLines!P2331,SalesLines!P2332)</x:f>
        <x:v>0</x:v>
      </x:c>
      <x:c r="K960" s="11" t="n">
        <x:f>SUM(SalesLines!R2329,SalesLines!R2330,SalesLines!R2331,SalesLines!R2332)</x:f>
        <x:v>6</x:v>
      </x:c>
      <x:c r="L960" s="11" t="n">
        <x:f>SUM(SalesLines!S2329,SalesLines!S2330,SalesLines!S2331,SalesLines!S2332)</x:f>
        <x:v>0</x:v>
      </x:c>
      <x:c r="M960" s="8" t="n">
        <x:f>DATE(YEAR(C960),MONTH(C960),1)</x:f>
        <x:v>45809</x:v>
      </x:c>
    </x:row>
    <x:row r="961" ht="22" customHeight="1">
      <x:c r="A961" s="2" t="str">
        <x:v>O00957</x:v>
      </x:c>
      <x:c r="B961" s="2" t="str">
        <x:v>C0160</x:v>
      </x:c>
      <x:c r="C961" s="7" t="n">
        <x:v>45902</x:v>
      </x:c>
      <x:c r="D961" s="2" t="str">
        <x:v>Cancelled</x:v>
      </x:c>
      <x:c r="E961" s="2" t="str">
        <x:v>West</x:v>
      </x:c>
      <x:c r="F961" s="2" t="str">
        <x:v>Store</x:v>
      </x:c>
      <x:c r="G961" s="9" t="n">
        <x:f>SUM(SalesLines!Q2333,SalesLines!Q2334,SalesLines!Q2335,SalesLines!Q2336)</x:f>
        <x:v>0</x:v>
      </x:c>
      <x:c r="H961" s="9" t="n">
        <x:f>SUM(SalesLines!M2333,SalesLines!M2334,SalesLines!M2335,SalesLines!M2336)</x:f>
        <x:v>0</x:v>
      </x:c>
      <x:c r="I961" s="9" t="n">
        <x:f>SUM(SalesLines!N2333,SalesLines!N2334,SalesLines!N2335,SalesLines!N2336)</x:f>
        <x:v>0</x:v>
      </x:c>
      <x:c r="J961" s="9" t="n">
        <x:f>SUM(SalesLines!P2333,SalesLines!P2334,SalesLines!P2335,SalesLines!P2336)</x:f>
        <x:v>0</x:v>
      </x:c>
      <x:c r="K961" s="11" t="n">
        <x:f>SUM(SalesLines!R2333,SalesLines!R2334,SalesLines!R2335,SalesLines!R2336)</x:f>
        <x:v>0</x:v>
      </x:c>
      <x:c r="L961" s="11" t="n">
        <x:f>SUM(SalesLines!S2333,SalesLines!S2334,SalesLines!S2335,SalesLines!S2336)</x:f>
        <x:v>0</x:v>
      </x:c>
      <x:c r="M961" s="8" t="n">
        <x:f>DATE(YEAR(C961),MONTH(C961),1)</x:f>
        <x:v>45901</x:v>
      </x:c>
    </x:row>
    <x:row r="962" ht="22" customHeight="1">
      <x:c r="A962" s="2" t="str">
        <x:v>O00958</x:v>
      </x:c>
      <x:c r="B962" s="2" t="str">
        <x:v>C0241</x:v>
      </x:c>
      <x:c r="C962" s="7" t="n">
        <x:v>45813</x:v>
      </x:c>
      <x:c r="D962" s="2" t="str">
        <x:v>Completed</x:v>
      </x:c>
      <x:c r="E962" s="2" t="str">
        <x:v>North</x:v>
      </x:c>
      <x:c r="F962" s="2" t="str">
        <x:v>Online</x:v>
      </x:c>
      <x:c r="G962" s="9" t="n">
        <x:f>SUM(SalesLines!Q2337)</x:f>
        <x:v>320</x:v>
      </x:c>
      <x:c r="H962" s="9" t="n">
        <x:f>SUM(SalesLines!M2337)</x:f>
        <x:v>400</x:v>
      </x:c>
      <x:c r="I962" s="9" t="n">
        <x:f>SUM(SalesLines!N2337)</x:f>
        <x:v>80</x:v>
      </x:c>
      <x:c r="J962" s="9" t="n">
        <x:f>SUM(SalesLines!P2337)</x:f>
        <x:v>0</x:v>
      </x:c>
      <x:c r="K962" s="11" t="n">
        <x:f>SUM(SalesLines!R2337)</x:f>
        <x:v>5</x:v>
      </x:c>
      <x:c r="L962" s="11" t="n">
        <x:f>SUM(SalesLines!S2337)</x:f>
        <x:v>0</x:v>
      </x:c>
      <x:c r="M962" s="8" t="n">
        <x:f>DATE(YEAR(C962),MONTH(C962),1)</x:f>
        <x:v>45809</x:v>
      </x:c>
    </x:row>
    <x:row r="963" ht="22" customHeight="1">
      <x:c r="A963" s="2" t="str">
        <x:v>O00959</x:v>
      </x:c>
      <x:c r="B963" s="2" t="str">
        <x:v>C0235</x:v>
      </x:c>
      <x:c r="C963" s="7" t="n">
        <x:v>45743</x:v>
      </x:c>
      <x:c r="D963" s="2" t="str">
        <x:v>Completed</x:v>
      </x:c>
      <x:c r="E963" s="2" t="str">
        <x:v>North</x:v>
      </x:c>
      <x:c r="F963" s="2" t="str">
        <x:v>Online</x:v>
      </x:c>
      <x:c r="G963" s="9" t="n">
        <x:f>SUM(SalesLines!Q2338,SalesLines!Q2339,SalesLines!Q2340)</x:f>
        <x:v>733.8</x:v>
      </x:c>
      <x:c r="H963" s="9" t="n">
        <x:f>SUM(SalesLines!M2338,SalesLines!M2339,SalesLines!M2340)</x:f>
        <x:v>840</x:v>
      </x:c>
      <x:c r="I963" s="9" t="n">
        <x:f>SUM(SalesLines!N2338,SalesLines!N2339,SalesLines!N2340)</x:f>
        <x:v>106.2</x:v>
      </x:c>
      <x:c r="J963" s="9" t="n">
        <x:f>SUM(SalesLines!P2338,SalesLines!P2339,SalesLines!P2340)</x:f>
        <x:v>0</x:v>
      </x:c>
      <x:c r="K963" s="11" t="n">
        <x:f>SUM(SalesLines!R2338,SalesLines!R2339,SalesLines!R2340)</x:f>
        <x:v>9</x:v>
      </x:c>
      <x:c r="L963" s="11" t="n">
        <x:f>SUM(SalesLines!S2338,SalesLines!S2339,SalesLines!S2340)</x:f>
        <x:v>0</x:v>
      </x:c>
      <x:c r="M963" s="8" t="n">
        <x:f>DATE(YEAR(C963),MONTH(C963),1)</x:f>
        <x:v>45717</x:v>
      </x:c>
    </x:row>
    <x:row r="964" ht="22" customHeight="1">
      <x:c r="A964" s="2" t="str">
        <x:v>O00960</x:v>
      </x:c>
      <x:c r="B964" s="2" t="str">
        <x:v>C0034</x:v>
      </x:c>
      <x:c r="C964" s="7" t="n">
        <x:v>45909</x:v>
      </x:c>
      <x:c r="D964" s="2" t="str">
        <x:v>Completed</x:v>
      </x:c>
      <x:c r="E964" s="2" t="str">
        <x:v>East</x:v>
      </x:c>
      <x:c r="F964" s="2" t="str">
        <x:v>Online</x:v>
      </x:c>
      <x:c r="G964" s="9" t="n">
        <x:f>SUM(SalesLines!Q2341,SalesLines!Q2342,SalesLines!Q2343,SalesLines!Q2344)</x:f>
        <x:v>2334.5</x:v>
      </x:c>
      <x:c r="H964" s="9" t="n">
        <x:f>SUM(SalesLines!M2341,SalesLines!M2342,SalesLines!M2343,SalesLines!M2344)</x:f>
        <x:v>2684</x:v>
      </x:c>
      <x:c r="I964" s="9" t="n">
        <x:f>SUM(SalesLines!N2341,SalesLines!N2342,SalesLines!N2343,SalesLines!N2344)</x:f>
        <x:v>190.3</x:v>
      </x:c>
      <x:c r="J964" s="9" t="n">
        <x:f>SUM(SalesLines!P2341,SalesLines!P2342,SalesLines!P2343,SalesLines!P2344)</x:f>
        <x:v>159.20000000000002</x:v>
      </x:c>
      <x:c r="K964" s="11" t="n">
        <x:f>SUM(SalesLines!R2341,SalesLines!R2342,SalesLines!R2343,SalesLines!R2344)</x:f>
        <x:v>15</x:v>
      </x:c>
      <x:c r="L964" s="11" t="n">
        <x:f>SUM(SalesLines!S2341,SalesLines!S2342,SalesLines!S2343,SalesLines!S2344)</x:f>
        <x:v>1</x:v>
      </x:c>
      <x:c r="M964" s="8" t="n">
        <x:f>DATE(YEAR(C964),MONTH(C964),1)</x:f>
        <x:v>45901</x:v>
      </x:c>
    </x:row>
    <x:row r="965" ht="22" customHeight="1">
      <x:c r="A965" s="2" t="str">
        <x:v>O00961</x:v>
      </x:c>
      <x:c r="B965" s="2" t="str">
        <x:v>C0179</x:v>
      </x:c>
      <x:c r="C965" s="7" t="n">
        <x:v>45756</x:v>
      </x:c>
      <x:c r="D965" s="2" t="str">
        <x:v>Completed</x:v>
      </x:c>
      <x:c r="E965" s="2" t="str">
        <x:v>East</x:v>
      </x:c>
      <x:c r="F965" s="2" t="str">
        <x:v>Store</x:v>
      </x:c>
      <x:c r="G965" s="9" t="n">
        <x:f>SUM(SalesLines!Q2345,SalesLines!Q2346,SalesLines!Q2347,SalesLines!Q2348)</x:f>
        <x:v>2726.25</x:v>
      </x:c>
      <x:c r="H965" s="9" t="n">
        <x:f>SUM(SalesLines!M2345,SalesLines!M2346,SalesLines!M2347,SalesLines!M2348)</x:f>
        <x:v>2784</x:v>
      </x:c>
      <x:c r="I965" s="9" t="n">
        <x:f>SUM(SalesLines!N2345,SalesLines!N2346,SalesLines!N2347,SalesLines!N2348)</x:f>
        <x:v>57.75</x:v>
      </x:c>
      <x:c r="J965" s="9" t="n">
        <x:f>SUM(SalesLines!P2345,SalesLines!P2346,SalesLines!P2347,SalesLines!P2348)</x:f>
        <x:v>0</x:v>
      </x:c>
      <x:c r="K965" s="11" t="n">
        <x:f>SUM(SalesLines!R2345,SalesLines!R2346,SalesLines!R2347,SalesLines!R2348)</x:f>
        <x:v>16</x:v>
      </x:c>
      <x:c r="L965" s="11" t="n">
        <x:f>SUM(SalesLines!S2345,SalesLines!S2346,SalesLines!S2347,SalesLines!S2348)</x:f>
        <x:v>0</x:v>
      </x:c>
      <x:c r="M965" s="8" t="n">
        <x:f>DATE(YEAR(C965),MONTH(C965),1)</x:f>
        <x:v>45748</x:v>
      </x:c>
    </x:row>
    <x:row r="966" ht="22" customHeight="1">
      <x:c r="A966" s="2" t="str">
        <x:v>O00962</x:v>
      </x:c>
      <x:c r="B966" s="2" t="str">
        <x:v>C0195</x:v>
      </x:c>
      <x:c r="C966" s="7" t="n">
        <x:v>45830</x:v>
      </x:c>
      <x:c r="D966" s="2" t="str">
        <x:v>Completed</x:v>
      </x:c>
      <x:c r="E966" s="2" t="str">
        <x:v>West</x:v>
      </x:c>
      <x:c r="F966" s="2" t="str">
        <x:v>Online</x:v>
      </x:c>
      <x:c r="G966" s="9" t="n">
        <x:f>SUM(SalesLines!Q2349,SalesLines!Q2350,SalesLines!Q2351)</x:f>
        <x:v>2036.8</x:v>
      </x:c>
      <x:c r="H966" s="9" t="n">
        <x:f>SUM(SalesLines!M2349,SalesLines!M2350,SalesLines!M2351)</x:f>
        <x:v>2546</x:v>
      </x:c>
      <x:c r="I966" s="9" t="n">
        <x:f>SUM(SalesLines!N2349,SalesLines!N2350,SalesLines!N2351)</x:f>
        <x:v>509.2</x:v>
      </x:c>
      <x:c r="J966" s="9" t="n">
        <x:f>SUM(SalesLines!P2349,SalesLines!P2350,SalesLines!P2351)</x:f>
        <x:v>0</x:v>
      </x:c>
      <x:c r="K966" s="11" t="n">
        <x:f>SUM(SalesLines!R2349,SalesLines!R2350,SalesLines!R2351)</x:f>
        <x:v>12</x:v>
      </x:c>
      <x:c r="L966" s="11" t="n">
        <x:f>SUM(SalesLines!S2349,SalesLines!S2350,SalesLines!S2351)</x:f>
        <x:v>0</x:v>
      </x:c>
      <x:c r="M966" s="8" t="n">
        <x:f>DATE(YEAR(C966),MONTH(C966),1)</x:f>
        <x:v>45809</x:v>
      </x:c>
    </x:row>
    <x:row r="967" ht="22" customHeight="1">
      <x:c r="A967" s="2" t="str">
        <x:v>O00963</x:v>
      </x:c>
      <x:c r="B967" s="2" t="str">
        <x:v>C0126</x:v>
      </x:c>
      <x:c r="C967" s="7" t="n">
        <x:v>45871</x:v>
      </x:c>
      <x:c r="D967" s="2" t="str">
        <x:v>Completed</x:v>
      </x:c>
      <x:c r="E967" s="2" t="str">
        <x:v>South</x:v>
      </x:c>
      <x:c r="F967" s="2" t="str">
        <x:v>Online</x:v>
      </x:c>
      <x:c r="G967" s="9" t="n">
        <x:f>SUM(SalesLines!Q2352,SalesLines!Q2353,SalesLines!Q2354,SalesLines!Q2355)</x:f>
        <x:v>1979.8</x:v>
      </x:c>
      <x:c r="H967" s="9" t="n">
        <x:f>SUM(SalesLines!M2352,SalesLines!M2353,SalesLines!M2354,SalesLines!M2355)</x:f>
        <x:v>2084</x:v>
      </x:c>
      <x:c r="I967" s="9" t="n">
        <x:f>SUM(SalesLines!N2352,SalesLines!N2353,SalesLines!N2354,SalesLines!N2355)</x:f>
        <x:v>104.2</x:v>
      </x:c>
      <x:c r="J967" s="9" t="n">
        <x:f>SUM(SalesLines!P2352,SalesLines!P2353,SalesLines!P2354,SalesLines!P2355)</x:f>
        <x:v>0</x:v>
      </x:c>
      <x:c r="K967" s="11" t="n">
        <x:f>SUM(SalesLines!R2352,SalesLines!R2353,SalesLines!R2354,SalesLines!R2355)</x:f>
        <x:v>10</x:v>
      </x:c>
      <x:c r="L967" s="11" t="n">
        <x:f>SUM(SalesLines!S2352,SalesLines!S2353,SalesLines!S2354,SalesLines!S2355)</x:f>
        <x:v>0</x:v>
      </x:c>
      <x:c r="M967" s="8" t="n">
        <x:f>DATE(YEAR(C967),MONTH(C967),1)</x:f>
        <x:v>45870</x:v>
      </x:c>
    </x:row>
    <x:row r="968" ht="22" customHeight="1">
      <x:c r="A968" s="2" t="str">
        <x:v>O00964</x:v>
      </x:c>
      <x:c r="B968" s="2" t="str">
        <x:v>C0139</x:v>
      </x:c>
      <x:c r="C968" s="7" t="n">
        <x:v>45834</x:v>
      </x:c>
      <x:c r="D968" s="2" t="str">
        <x:v>Completed</x:v>
      </x:c>
      <x:c r="E968" s="2" t="str">
        <x:v>North</x:v>
      </x:c>
      <x:c r="F968" s="2" t="str">
        <x:v>Store</x:v>
      </x:c>
      <x:c r="G968" s="9" t="n">
        <x:f>SUM(SalesLines!Q2356)</x:f>
        <x:v>70.19999999999999</x:v>
      </x:c>
      <x:c r="H968" s="9" t="n">
        <x:f>SUM(SalesLines!M2356)</x:f>
        <x:v>390</x:v>
      </x:c>
      <x:c r="I968" s="9" t="n">
        <x:f>SUM(SalesLines!N2356)</x:f>
        <x:v>39</x:v>
      </x:c>
      <x:c r="J968" s="9" t="n">
        <x:f>SUM(SalesLines!P2356)</x:f>
        <x:v>280.8</x:v>
      </x:c>
      <x:c r="K968" s="11" t="n">
        <x:f>SUM(SalesLines!R2356)</x:f>
        <x:v>5</x:v>
      </x:c>
      <x:c r="L968" s="11" t="n">
        <x:f>SUM(SalesLines!S2356)</x:f>
        <x:v>4</x:v>
      </x:c>
      <x:c r="M968" s="8" t="n">
        <x:f>DATE(YEAR(C968),MONTH(C968),1)</x:f>
        <x:v>45809</x:v>
      </x:c>
    </x:row>
    <x:row r="969" ht="22" customHeight="1">
      <x:c r="A969" s="2" t="str">
        <x:v>O00965</x:v>
      </x:c>
      <x:c r="B969" s="2" t="str">
        <x:v>C0167</x:v>
      </x:c>
      <x:c r="C969" s="7" t="n">
        <x:v>45986</x:v>
      </x:c>
      <x:c r="D969" s="2" t="str">
        <x:v>Completed</x:v>
      </x:c>
      <x:c r="E969" s="2" t="str">
        <x:v>West</x:v>
      </x:c>
      <x:c r="F969" s="2" t="str">
        <x:v>Online</x:v>
      </x:c>
      <x:c r="G969" s="9" t="n">
        <x:f>SUM(SalesLines!Q2357,SalesLines!Q2358)</x:f>
        <x:v>792</x:v>
      </x:c>
      <x:c r="H969" s="9" t="n">
        <x:f>SUM(SalesLines!M2357,SalesLines!M2358)</x:f>
        <x:v>915</x:v>
      </x:c>
      <x:c r="I969" s="9" t="n">
        <x:f>SUM(SalesLines!N2357,SalesLines!N2358)</x:f>
        <x:v>123</x:v>
      </x:c>
      <x:c r="J969" s="9" t="n">
        <x:f>SUM(SalesLines!P2357,SalesLines!P2358)</x:f>
        <x:v>0</x:v>
      </x:c>
      <x:c r="K969" s="11" t="n">
        <x:f>SUM(SalesLines!R2357,SalesLines!R2358)</x:f>
        <x:v>6</x:v>
      </x:c>
      <x:c r="L969" s="11" t="n">
        <x:f>SUM(SalesLines!S2357,SalesLines!S2358)</x:f>
        <x:v>0</x:v>
      </x:c>
      <x:c r="M969" s="8" t="n">
        <x:f>DATE(YEAR(C969),MONTH(C969),1)</x:f>
        <x:v>45962</x:v>
      </x:c>
    </x:row>
    <x:row r="970" ht="22" customHeight="1">
      <x:c r="A970" s="2" t="str">
        <x:v>O00966</x:v>
      </x:c>
      <x:c r="B970" s="2" t="str">
        <x:v>C0275</x:v>
      </x:c>
      <x:c r="C970" s="7" t="n">
        <x:v>45866</x:v>
      </x:c>
      <x:c r="D970" s="2" t="str">
        <x:v>Completed</x:v>
      </x:c>
      <x:c r="E970" s="2" t="str">
        <x:v>East</x:v>
      </x:c>
      <x:c r="F970" s="2" t="str">
        <x:v>Store</x:v>
      </x:c>
      <x:c r="G970" s="9" t="n">
        <x:f>SUM(SalesLines!Q2359)</x:f>
        <x:v>329.4</x:v>
      </x:c>
      <x:c r="H970" s="9" t="n">
        <x:f>SUM(SalesLines!M2359)</x:f>
        <x:v>366</x:v>
      </x:c>
      <x:c r="I970" s="9" t="n">
        <x:f>SUM(SalesLines!N2359)</x:f>
        <x:v>36.6</x:v>
      </x:c>
      <x:c r="J970" s="9" t="n">
        <x:f>SUM(SalesLines!P2359)</x:f>
        <x:v>0</x:v>
      </x:c>
      <x:c r="K970" s="11" t="n">
        <x:f>SUM(SalesLines!R2359)</x:f>
        <x:v>3</x:v>
      </x:c>
      <x:c r="L970" s="11" t="n">
        <x:f>SUM(SalesLines!S2359)</x:f>
        <x:v>0</x:v>
      </x:c>
      <x:c r="M970" s="8" t="n">
        <x:f>DATE(YEAR(C970),MONTH(C970),1)</x:f>
        <x:v>45839</x:v>
      </x:c>
    </x:row>
    <x:row r="971" ht="22" customHeight="1">
      <x:c r="A971" s="2" t="str">
        <x:v>O00967</x:v>
      </x:c>
      <x:c r="B971" s="2" t="str">
        <x:v>C0132</x:v>
      </x:c>
      <x:c r="C971" s="7" t="n">
        <x:v>45719</x:v>
      </x:c>
      <x:c r="D971" s="2" t="str">
        <x:v>Completed</x:v>
      </x:c>
      <x:c r="E971" s="2" t="str">
        <x:v>North</x:v>
      </x:c>
      <x:c r="F971" s="2" t="str">
        <x:v>Online</x:v>
      </x:c>
      <x:c r="G971" s="9" t="n">
        <x:f>SUM(SalesLines!Q2360,SalesLines!Q2361,SalesLines!Q2362,SalesLines!Q2363)</x:f>
        <x:v>1986.1000000000001</x:v>
      </x:c>
      <x:c r="H971" s="9" t="n">
        <x:f>SUM(SalesLines!M2360,SalesLines!M2361,SalesLines!M2362,SalesLines!M2363)</x:f>
        <x:v>2189</x:v>
      </x:c>
      <x:c r="I971" s="9" t="n">
        <x:f>SUM(SalesLines!N2360,SalesLines!N2361,SalesLines!N2362,SalesLines!N2363)</x:f>
        <x:v>202.89999999999998</x:v>
      </x:c>
      <x:c r="J971" s="9" t="n">
        <x:f>SUM(SalesLines!P2360,SalesLines!P2361,SalesLines!P2362,SalesLines!P2363)</x:f>
        <x:v>0</x:v>
      </x:c>
      <x:c r="K971" s="11" t="n">
        <x:f>SUM(SalesLines!R2360,SalesLines!R2361,SalesLines!R2362,SalesLines!R2363)</x:f>
        <x:v>10</x:v>
      </x:c>
      <x:c r="L971" s="11" t="n">
        <x:f>SUM(SalesLines!S2360,SalesLines!S2361,SalesLines!S2362,SalesLines!S2363)</x:f>
        <x:v>0</x:v>
      </x:c>
      <x:c r="M971" s="8" t="n">
        <x:f>DATE(YEAR(C971),MONTH(C971),1)</x:f>
        <x:v>45717</x:v>
      </x:c>
    </x:row>
    <x:row r="972" ht="22" customHeight="1">
      <x:c r="A972" s="2" t="str">
        <x:v>O00968</x:v>
      </x:c>
      <x:c r="B972" s="2" t="str">
        <x:v>C0087</x:v>
      </x:c>
      <x:c r="C972" s="7" t="n">
        <x:v>45893</x:v>
      </x:c>
      <x:c r="D972" s="2" t="str">
        <x:v>Completed</x:v>
      </x:c>
      <x:c r="E972" s="2" t="str">
        <x:v>North</x:v>
      </x:c>
      <x:c r="F972" s="2" t="str">
        <x:v>Store</x:v>
      </x:c>
      <x:c r="G972" s="9" t="n">
        <x:f>SUM(SalesLines!Q2364,SalesLines!Q2365)</x:f>
        <x:v>1316.75</x:v>
      </x:c>
      <x:c r="H972" s="9" t="n">
        <x:f>SUM(SalesLines!M2364,SalesLines!M2365)</x:f>
        <x:v>1379</x:v>
      </x:c>
      <x:c r="I972" s="9" t="n">
        <x:f>SUM(SalesLines!N2364,SalesLines!N2365)</x:f>
        <x:v>62.25</x:v>
      </x:c>
      <x:c r="J972" s="9" t="n">
        <x:f>SUM(SalesLines!P2364,SalesLines!P2365)</x:f>
        <x:v>0</x:v>
      </x:c>
      <x:c r="K972" s="11" t="n">
        <x:f>SUM(SalesLines!R2364,SalesLines!R2365)</x:f>
        <x:v>6</x:v>
      </x:c>
      <x:c r="L972" s="11" t="n">
        <x:f>SUM(SalesLines!S2364,SalesLines!S2365)</x:f>
        <x:v>0</x:v>
      </x:c>
      <x:c r="M972" s="8" t="n">
        <x:f>DATE(YEAR(C972),MONTH(C972),1)</x:f>
        <x:v>45870</x:v>
      </x:c>
    </x:row>
    <x:row r="973" ht="22" customHeight="1">
      <x:c r="A973" s="2" t="str">
        <x:v>O00969</x:v>
      </x:c>
      <x:c r="B973" s="2" t="str">
        <x:v>C0149</x:v>
      </x:c>
      <x:c r="C973" s="7" t="n">
        <x:v>45990</x:v>
      </x:c>
      <x:c r="D973" s="2" t="str">
        <x:v>Completed</x:v>
      </x:c>
      <x:c r="E973" s="2" t="str">
        <x:v>East</x:v>
      </x:c>
      <x:c r="F973" s="2" t="str">
        <x:v>Online</x:v>
      </x:c>
      <x:c r="G973" s="9" t="n">
        <x:f>SUM(SalesLines!Q2366,SalesLines!Q2367)</x:f>
        <x:v>401</x:v>
      </x:c>
      <x:c r="H973" s="9" t="n">
        <x:f>SUM(SalesLines!M2366,SalesLines!M2367)</x:f>
        <x:v>481</x:v>
      </x:c>
      <x:c r="I973" s="9" t="n">
        <x:f>SUM(SalesLines!N2366,SalesLines!N2367)</x:f>
        <x:v>80</x:v>
      </x:c>
      <x:c r="J973" s="9" t="n">
        <x:f>SUM(SalesLines!P2366,SalesLines!P2367)</x:f>
        <x:v>0</x:v>
      </x:c>
      <x:c r="K973" s="11" t="n">
        <x:f>SUM(SalesLines!R2366,SalesLines!R2367)</x:f>
        <x:v>6</x:v>
      </x:c>
      <x:c r="L973" s="11" t="n">
        <x:f>SUM(SalesLines!S2366,SalesLines!S2367)</x:f>
        <x:v>0</x:v>
      </x:c>
      <x:c r="M973" s="8" t="n">
        <x:f>DATE(YEAR(C973),MONTH(C973),1)</x:f>
        <x:v>45962</x:v>
      </x:c>
    </x:row>
    <x:row r="974" ht="22" customHeight="1">
      <x:c r="A974" s="2" t="str">
        <x:v>O00970</x:v>
      </x:c>
      <x:c r="B974" s="2" t="str">
        <x:v>C0260</x:v>
      </x:c>
      <x:c r="C974" s="7" t="n">
        <x:v>45747</x:v>
      </x:c>
      <x:c r="D974" s="2" t="str">
        <x:v>Completed</x:v>
      </x:c>
      <x:c r="E974" s="2" t="str">
        <x:v>South</x:v>
      </x:c>
      <x:c r="F974" s="2" t="str">
        <x:v>Online</x:v>
      </x:c>
      <x:c r="G974" s="9" t="n">
        <x:f>SUM(SalesLines!Q2368,SalesLines!Q2369,SalesLines!Q2370)</x:f>
        <x:v>1990.5</x:v>
      </x:c>
      <x:c r="H974" s="9" t="n">
        <x:f>SUM(SalesLines!M2368,SalesLines!M2369,SalesLines!M2370)</x:f>
        <x:v>2060</x:v>
      </x:c>
      <x:c r="I974" s="9" t="n">
        <x:f>SUM(SalesLines!N2368,SalesLines!N2369,SalesLines!N2370)</x:f>
        <x:v>69.5</x:v>
      </x:c>
      <x:c r="J974" s="9" t="n">
        <x:f>SUM(SalesLines!P2368,SalesLines!P2369,SalesLines!P2370)</x:f>
        <x:v>0</x:v>
      </x:c>
      <x:c r="K974" s="11" t="n">
        <x:f>SUM(SalesLines!R2368,SalesLines!R2369,SalesLines!R2370)</x:f>
        <x:v>10</x:v>
      </x:c>
      <x:c r="L974" s="11" t="n">
        <x:f>SUM(SalesLines!S2368,SalesLines!S2369,SalesLines!S2370)</x:f>
        <x:v>0</x:v>
      </x:c>
      <x:c r="M974" s="8" t="n">
        <x:f>DATE(YEAR(C974),MONTH(C974),1)</x:f>
        <x:v>45717</x:v>
      </x:c>
    </x:row>
    <x:row r="975" ht="22" customHeight="1">
      <x:c r="A975" s="2" t="str">
        <x:v>O00971</x:v>
      </x:c>
      <x:c r="B975" s="2" t="str">
        <x:v>C0075</x:v>
      </x:c>
      <x:c r="C975" s="7" t="n">
        <x:v>45902</x:v>
      </x:c>
      <x:c r="D975" s="2" t="str">
        <x:v>Completed</x:v>
      </x:c>
      <x:c r="E975" s="2" t="str">
        <x:v>South</x:v>
      </x:c>
      <x:c r="F975" s="2" t="str">
        <x:v>Store</x:v>
      </x:c>
      <x:c r="G975" s="9" t="n">
        <x:f>SUM(SalesLines!Q2371,SalesLines!Q2372,SalesLines!Q2373)</x:f>
        <x:v>1609.7</x:v>
      </x:c>
      <x:c r="H975" s="9" t="n">
        <x:f>SUM(SalesLines!M2371,SalesLines!M2372,SalesLines!M2373)</x:f>
        <x:v>1726</x:v>
      </x:c>
      <x:c r="I975" s="9" t="n">
        <x:f>SUM(SalesLines!N2371,SalesLines!N2372,SalesLines!N2373)</x:f>
        <x:v>116.30000000000001</x:v>
      </x:c>
      <x:c r="J975" s="9" t="n">
        <x:f>SUM(SalesLines!P2371,SalesLines!P2372,SalesLines!P2373)</x:f>
        <x:v>0</x:v>
      </x:c>
      <x:c r="K975" s="11" t="n">
        <x:f>SUM(SalesLines!R2371,SalesLines!R2372,SalesLines!R2373)</x:f>
        <x:v>8</x:v>
      </x:c>
      <x:c r="L975" s="11" t="n">
        <x:f>SUM(SalesLines!S2371,SalesLines!S2372,SalesLines!S2373)</x:f>
        <x:v>0</x:v>
      </x:c>
      <x:c r="M975" s="8" t="n">
        <x:f>DATE(YEAR(C975),MONTH(C975),1)</x:f>
        <x:v>45901</x:v>
      </x:c>
    </x:row>
    <x:row r="976" ht="22" customHeight="1">
      <x:c r="A976" s="2" t="str">
        <x:v>O00972</x:v>
      </x:c>
      <x:c r="B976" s="2" t="str">
        <x:v>C0071</x:v>
      </x:c>
      <x:c r="C976" s="7" t="n">
        <x:v>45737</x:v>
      </x:c>
      <x:c r="D976" s="2" t="str">
        <x:v>Completed</x:v>
      </x:c>
      <x:c r="E976" s="2" t="str">
        <x:v>West</x:v>
      </x:c>
      <x:c r="F976" s="2" t="str">
        <x:v>Store</x:v>
      </x:c>
      <x:c r="G976" s="9" t="n">
        <x:f>SUM(SalesLines!Q2374,SalesLines!Q2375,SalesLines!Q2376,SalesLines!Q2377)</x:f>
        <x:v>2019.1499999999999</x:v>
      </x:c>
      <x:c r="H976" s="9" t="n">
        <x:f>SUM(SalesLines!M2374,SalesLines!M2375,SalesLines!M2376,SalesLines!M2377)</x:f>
        <x:v>2349</x:v>
      </x:c>
      <x:c r="I976" s="9" t="n">
        <x:f>SUM(SalesLines!N2374,SalesLines!N2375,SalesLines!N2376,SalesLines!N2377)</x:f>
        <x:v>329.85</x:v>
      </x:c>
      <x:c r="J976" s="9" t="n">
        <x:f>SUM(SalesLines!P2374,SalesLines!P2375,SalesLines!P2376,SalesLines!P2377)</x:f>
        <x:v>0</x:v>
      </x:c>
      <x:c r="K976" s="11" t="n">
        <x:f>SUM(SalesLines!R2374,SalesLines!R2375,SalesLines!R2376,SalesLines!R2377)</x:f>
        <x:v>10</x:v>
      </x:c>
      <x:c r="L976" s="11" t="n">
        <x:f>SUM(SalesLines!S2374,SalesLines!S2375,SalesLines!S2376,SalesLines!S2377)</x:f>
        <x:v>0</x:v>
      </x:c>
      <x:c r="M976" s="8" t="n">
        <x:f>DATE(YEAR(C976),MONTH(C976),1)</x:f>
        <x:v>45717</x:v>
      </x:c>
    </x:row>
    <x:row r="977" ht="22" customHeight="1">
      <x:c r="A977" s="2" t="str">
        <x:v>O00973</x:v>
      </x:c>
      <x:c r="B977" s="2" t="str">
        <x:v>C0135</x:v>
      </x:c>
      <x:c r="C977" s="7" t="n">
        <x:v>45847</x:v>
      </x:c>
      <x:c r="D977" s="2" t="str">
        <x:v>Completed</x:v>
      </x:c>
      <x:c r="E977" s="2" t="str">
        <x:v>West</x:v>
      </x:c>
      <x:c r="F977" s="2" t="str">
        <x:v>Online</x:v>
      </x:c>
      <x:c r="G977" s="9" t="n">
        <x:f>SUM(SalesLines!Q2378,SalesLines!Q2379,SalesLines!Q2380,SalesLines!Q2381)</x:f>
        <x:v>1511.6</x:v>
      </x:c>
      <x:c r="H977" s="9" t="n">
        <x:f>SUM(SalesLines!M2378,SalesLines!M2379,SalesLines!M2380,SalesLines!M2381)</x:f>
        <x:v>1731</x:v>
      </x:c>
      <x:c r="I977" s="9" t="n">
        <x:f>SUM(SalesLines!N2378,SalesLines!N2379,SalesLines!N2380,SalesLines!N2381)</x:f>
        <x:v>219.4</x:v>
      </x:c>
      <x:c r="J977" s="9" t="n">
        <x:f>SUM(SalesLines!P2378,SalesLines!P2379,SalesLines!P2380,SalesLines!P2381)</x:f>
        <x:v>0</x:v>
      </x:c>
      <x:c r="K977" s="11" t="n">
        <x:f>SUM(SalesLines!R2378,SalesLines!R2379,SalesLines!R2380,SalesLines!R2381)</x:f>
        <x:v>14</x:v>
      </x:c>
      <x:c r="L977" s="11" t="n">
        <x:f>SUM(SalesLines!S2378,SalesLines!S2379,SalesLines!S2380,SalesLines!S2381)</x:f>
        <x:v>0</x:v>
      </x:c>
      <x:c r="M977" s="8" t="n">
        <x:f>DATE(YEAR(C977),MONTH(C977),1)</x:f>
        <x:v>45839</x:v>
      </x:c>
    </x:row>
    <x:row r="978" ht="22" customHeight="1">
      <x:c r="A978" s="2" t="str">
        <x:v>O00974</x:v>
      </x:c>
      <x:c r="B978" s="2" t="str">
        <x:v>C0113</x:v>
      </x:c>
      <x:c r="C978" s="7" t="n">
        <x:v>45825</x:v>
      </x:c>
      <x:c r="D978" s="2" t="str">
        <x:v>Completed</x:v>
      </x:c>
      <x:c r="E978" s="2" t="str">
        <x:v>South</x:v>
      </x:c>
      <x:c r="F978" s="2" t="str">
        <x:v>Online</x:v>
      </x:c>
      <x:c r="G978" s="9" t="n">
        <x:f>SUM(SalesLines!Q2382,SalesLines!Q2383,SalesLines!Q2384)</x:f>
        <x:v>1946.1</x:v>
      </x:c>
      <x:c r="H978" s="9" t="n">
        <x:f>SUM(SalesLines!M2382,SalesLines!M2383,SalesLines!M2384)</x:f>
        <x:v>2155</x:v>
      </x:c>
      <x:c r="I978" s="9" t="n">
        <x:f>SUM(SalesLines!N2382,SalesLines!N2383,SalesLines!N2384)</x:f>
        <x:v>208.9</x:v>
      </x:c>
      <x:c r="J978" s="9" t="n">
        <x:f>SUM(SalesLines!P2382,SalesLines!P2383,SalesLines!P2384)</x:f>
        <x:v>0</x:v>
      </x:c>
      <x:c r="K978" s="11" t="n">
        <x:f>SUM(SalesLines!R2382,SalesLines!R2383,SalesLines!R2384)</x:f>
        <x:v>11</x:v>
      </x:c>
      <x:c r="L978" s="11" t="n">
        <x:f>SUM(SalesLines!S2382,SalesLines!S2383,SalesLines!S2384)</x:f>
        <x:v>0</x:v>
      </x:c>
      <x:c r="M978" s="8" t="n">
        <x:f>DATE(YEAR(C978),MONTH(C978),1)</x:f>
        <x:v>45809</x:v>
      </x:c>
    </x:row>
    <x:row r="979" ht="22" customHeight="1">
      <x:c r="A979" s="2" t="str">
        <x:v>O00975</x:v>
      </x:c>
      <x:c r="B979" s="2" t="str">
        <x:v>C0264</x:v>
      </x:c>
      <x:c r="C979" s="7" t="n">
        <x:v>45851</x:v>
      </x:c>
      <x:c r="D979" s="2" t="str">
        <x:v>Completed</x:v>
      </x:c>
      <x:c r="E979" s="2" t="str">
        <x:v>South</x:v>
      </x:c>
      <x:c r="F979" s="2" t="str">
        <x:v>Store</x:v>
      </x:c>
      <x:c r="G979" s="9" t="n">
        <x:f>SUM(SalesLines!Q2385,SalesLines!Q2386,SalesLines!Q2387,SalesLines!Q2388)</x:f>
        <x:v>1941.5</x:v>
      </x:c>
      <x:c r="H979" s="9" t="n">
        <x:f>SUM(SalesLines!M2385,SalesLines!M2386,SalesLines!M2387,SalesLines!M2388)</x:f>
        <x:v>2170</x:v>
      </x:c>
      <x:c r="I979" s="9" t="n">
        <x:f>SUM(SalesLines!N2385,SalesLines!N2386,SalesLines!N2387,SalesLines!N2388)</x:f>
        <x:v>228.50000000000003</x:v>
      </x:c>
      <x:c r="J979" s="9" t="n">
        <x:f>SUM(SalesLines!P2385,SalesLines!P2386,SalesLines!P2387,SalesLines!P2388)</x:f>
        <x:v>0</x:v>
      </x:c>
      <x:c r="K979" s="11" t="n">
        <x:f>SUM(SalesLines!R2385,SalesLines!R2386,SalesLines!R2387,SalesLines!R2388)</x:f>
        <x:v>10</x:v>
      </x:c>
      <x:c r="L979" s="11" t="n">
        <x:f>SUM(SalesLines!S2385,SalesLines!S2386,SalesLines!S2387,SalesLines!S2388)</x:f>
        <x:v>0</x:v>
      </x:c>
      <x:c r="M979" s="8" t="n">
        <x:f>DATE(YEAR(C979),MONTH(C979),1)</x:f>
        <x:v>45839</x:v>
      </x:c>
    </x:row>
    <x:row r="980" ht="22" customHeight="1">
      <x:c r="A980" s="2" t="str">
        <x:v>O00976</x:v>
      </x:c>
      <x:c r="B980" s="2" t="str">
        <x:v>C0046</x:v>
      </x:c>
      <x:c r="C980" s="7" t="n">
        <x:v>45912</x:v>
      </x:c>
      <x:c r="D980" s="2" t="str">
        <x:v>Completed</x:v>
      </x:c>
      <x:c r="E980" s="2" t="str">
        <x:v>West</x:v>
      </x:c>
      <x:c r="F980" s="2" t="str">
        <x:v>Store</x:v>
      </x:c>
      <x:c r="G980" s="9" t="n">
        <x:f>SUM(SalesLines!Q2389)</x:f>
        <x:v>453.6</x:v>
      </x:c>
      <x:c r="H980" s="9" t="n">
        <x:f>SUM(SalesLines!M2389)</x:f>
        <x:v>567</x:v>
      </x:c>
      <x:c r="I980" s="9" t="n">
        <x:f>SUM(SalesLines!N2389)</x:f>
        <x:v>113.4</x:v>
      </x:c>
      <x:c r="J980" s="9" t="n">
        <x:f>SUM(SalesLines!P2389)</x:f>
        <x:v>0</x:v>
      </x:c>
      <x:c r="K980" s="11" t="n">
        <x:f>SUM(SalesLines!R2389)</x:f>
        <x:v>3</x:v>
      </x:c>
      <x:c r="L980" s="11" t="n">
        <x:f>SUM(SalesLines!S2389)</x:f>
        <x:v>0</x:v>
      </x:c>
      <x:c r="M980" s="8" t="n">
        <x:f>DATE(YEAR(C980),MONTH(C980),1)</x:f>
        <x:v>45901</x:v>
      </x:c>
    </x:row>
    <x:row r="981" ht="22" customHeight="1">
      <x:c r="A981" s="2" t="str">
        <x:v>O00977</x:v>
      </x:c>
      <x:c r="B981" s="2" t="str">
        <x:v>C0170</x:v>
      </x:c>
      <x:c r="C981" s="7" t="n">
        <x:v>45890</x:v>
      </x:c>
      <x:c r="D981" s="2" t="str">
        <x:v>Completed</x:v>
      </x:c>
      <x:c r="E981" s="2" t="str">
        <x:v>East</x:v>
      </x:c>
      <x:c r="F981" s="2" t="str">
        <x:v>Store</x:v>
      </x:c>
      <x:c r="G981" s="9" t="n">
        <x:f>SUM(SalesLines!Q2390,SalesLines!Q2391,SalesLines!Q2392)</x:f>
        <x:v>1695.6</x:v>
      </x:c>
      <x:c r="H981" s="9" t="n">
        <x:f>SUM(SalesLines!M2390,SalesLines!M2391,SalesLines!M2392)</x:f>
        <x:v>1989</x:v>
      </x:c>
      <x:c r="I981" s="9" t="n">
        <x:f>SUM(SalesLines!N2390,SalesLines!N2391,SalesLines!N2392)</x:f>
        <x:v>293.4</x:v>
      </x:c>
      <x:c r="J981" s="9" t="n">
        <x:f>SUM(SalesLines!P2390,SalesLines!P2391,SalesLines!P2392)</x:f>
        <x:v>0</x:v>
      </x:c>
      <x:c r="K981" s="11" t="n">
        <x:f>SUM(SalesLines!R2390,SalesLines!R2391,SalesLines!R2392)</x:f>
        <x:v>10</x:v>
      </x:c>
      <x:c r="L981" s="11" t="n">
        <x:f>SUM(SalesLines!S2390,SalesLines!S2391,SalesLines!S2392)</x:f>
        <x:v>0</x:v>
      </x:c>
      <x:c r="M981" s="8" t="n">
        <x:f>DATE(YEAR(C981),MONTH(C981),1)</x:f>
        <x:v>45870</x:v>
      </x:c>
    </x:row>
    <x:row r="982" ht="22" customHeight="1">
      <x:c r="A982" s="2" t="str">
        <x:v>O00978</x:v>
      </x:c>
      <x:c r="B982" s="2" t="str">
        <x:v>C0281</x:v>
      </x:c>
      <x:c r="C982" s="7" t="n">
        <x:v>45658</x:v>
      </x:c>
      <x:c r="D982" s="2" t="str">
        <x:v>Completed</x:v>
      </x:c>
      <x:c r="E982" s="2" t="str">
        <x:v>North</x:v>
      </x:c>
      <x:c r="F982" s="2" t="str">
        <x:v>Online</x:v>
      </x:c>
      <x:c r="G982" s="9" t="n">
        <x:f>SUM(SalesLines!Q2393)</x:f>
        <x:v>255.55</x:v>
      </x:c>
      <x:c r="H982" s="9" t="n">
        <x:f>SUM(SalesLines!M2393)</x:f>
        <x:v>269</x:v>
      </x:c>
      <x:c r="I982" s="9" t="n">
        <x:f>SUM(SalesLines!N2393)</x:f>
        <x:v>13.450000000000001</x:v>
      </x:c>
      <x:c r="J982" s="9" t="n">
        <x:f>SUM(SalesLines!P2393)</x:f>
        <x:v>0</x:v>
      </x:c>
      <x:c r="K982" s="11" t="n">
        <x:f>SUM(SalesLines!R2393)</x:f>
        <x:v>1</x:v>
      </x:c>
      <x:c r="L982" s="11" t="n">
        <x:f>SUM(SalesLines!S2393)</x:f>
        <x:v>0</x:v>
      </x:c>
      <x:c r="M982" s="8" t="n">
        <x:f>DATE(YEAR(C982),MONTH(C982),1)</x:f>
        <x:v>45658</x:v>
      </x:c>
    </x:row>
    <x:row r="983" ht="22" customHeight="1">
      <x:c r="A983" s="2" t="str">
        <x:v>O00979</x:v>
      </x:c>
      <x:c r="B983" s="2" t="str">
        <x:v>C0168</x:v>
      </x:c>
      <x:c r="C983" s="7" t="n">
        <x:v>45892</x:v>
      </x:c>
      <x:c r="D983" s="2" t="str">
        <x:v>Completed</x:v>
      </x:c>
      <x:c r="E983" s="2" t="str">
        <x:v>North</x:v>
      </x:c>
      <x:c r="F983" s="2" t="str">
        <x:v>Store</x:v>
      </x:c>
      <x:c r="G983" s="9" t="n">
        <x:f>SUM(SalesLines!Q2394,SalesLines!Q2395,SalesLines!Q2396)</x:f>
        <x:v>1723.8</x:v>
      </x:c>
      <x:c r="H983" s="9" t="n">
        <x:f>SUM(SalesLines!M2394,SalesLines!M2395,SalesLines!M2396)</x:f>
        <x:v>1881</x:v>
      </x:c>
      <x:c r="I983" s="9" t="n">
        <x:f>SUM(SalesLines!N2394,SalesLines!N2395,SalesLines!N2396)</x:f>
        <x:v>157.2</x:v>
      </x:c>
      <x:c r="J983" s="9" t="n">
        <x:f>SUM(SalesLines!P2394,SalesLines!P2395,SalesLines!P2396)</x:f>
        <x:v>0</x:v>
      </x:c>
      <x:c r="K983" s="11" t="n">
        <x:f>SUM(SalesLines!R2394,SalesLines!R2395,SalesLines!R2396)</x:f>
        <x:v>11</x:v>
      </x:c>
      <x:c r="L983" s="11" t="n">
        <x:f>SUM(SalesLines!S2394,SalesLines!S2395,SalesLines!S2396)</x:f>
        <x:v>0</x:v>
      </x:c>
      <x:c r="M983" s="8" t="n">
        <x:f>DATE(YEAR(C983),MONTH(C983),1)</x:f>
        <x:v>45870</x:v>
      </x:c>
    </x:row>
    <x:row r="984" ht="22" customHeight="1">
      <x:c r="A984" s="2" t="str">
        <x:v>O00980</x:v>
      </x:c>
      <x:c r="B984" s="2" t="str">
        <x:v>C0255</x:v>
      </x:c>
      <x:c r="C984" s="7" t="n">
        <x:v>45732</x:v>
      </x:c>
      <x:c r="D984" s="2" t="str">
        <x:v>Completed</x:v>
      </x:c>
      <x:c r="E984" s="2" t="str">
        <x:v>South</x:v>
      </x:c>
      <x:c r="F984" s="2" t="str">
        <x:v>Store</x:v>
      </x:c>
      <x:c r="G984" s="9" t="n">
        <x:f>SUM(SalesLines!Q2397,SalesLines!Q2398,SalesLines!Q2399)</x:f>
        <x:v>336.8</x:v>
      </x:c>
      <x:c r="H984" s="9" t="n">
        <x:f>SUM(SalesLines!M2397,SalesLines!M2398,SalesLines!M2399)</x:f>
        <x:v>386</x:v>
      </x:c>
      <x:c r="I984" s="9" t="n">
        <x:f>SUM(SalesLines!N2397,SalesLines!N2398,SalesLines!N2399)</x:f>
        <x:v>49.2</x:v>
      </x:c>
      <x:c r="J984" s="9" t="n">
        <x:f>SUM(SalesLines!P2397,SalesLines!P2398,SalesLines!P2399)</x:f>
        <x:v>0</x:v>
      </x:c>
      <x:c r="K984" s="11" t="n">
        <x:f>SUM(SalesLines!R2397,SalesLines!R2398,SalesLines!R2399)</x:f>
        <x:v>6</x:v>
      </x:c>
      <x:c r="L984" s="11" t="n">
        <x:f>SUM(SalesLines!S2397,SalesLines!S2398,SalesLines!S2399)</x:f>
        <x:v>0</x:v>
      </x:c>
      <x:c r="M984" s="8" t="n">
        <x:f>DATE(YEAR(C984),MONTH(C984),1)</x:f>
        <x:v>45717</x:v>
      </x:c>
    </x:row>
    <x:row r="985" ht="22" customHeight="1">
      <x:c r="A985" s="2" t="str">
        <x:v>O00981</x:v>
      </x:c>
      <x:c r="B985" s="2" t="str">
        <x:v>C0174</x:v>
      </x:c>
      <x:c r="C985" s="7" t="n">
        <x:v>45928</x:v>
      </x:c>
      <x:c r="D985" s="2" t="str">
        <x:v>Completed</x:v>
      </x:c>
      <x:c r="E985" s="2" t="str">
        <x:v>South</x:v>
      </x:c>
      <x:c r="F985" s="2" t="str">
        <x:v>Online</x:v>
      </x:c>
      <x:c r="G985" s="9" t="n">
        <x:f>SUM(SalesLines!Q2400,SalesLines!Q2401)</x:f>
        <x:v>1053</x:v>
      </x:c>
      <x:c r="H985" s="9" t="n">
        <x:f>SUM(SalesLines!M2400,SalesLines!M2401)</x:f>
        <x:v>1254</x:v>
      </x:c>
      <x:c r="I985" s="9" t="n">
        <x:f>SUM(SalesLines!N2400,SalesLines!N2401)</x:f>
        <x:v>201.00000000000003</x:v>
      </x:c>
      <x:c r="J985" s="9" t="n">
        <x:f>SUM(SalesLines!P2400,SalesLines!P2401)</x:f>
        <x:v>0</x:v>
      </x:c>
      <x:c r="K985" s="11" t="n">
        <x:f>SUM(SalesLines!R2400,SalesLines!R2401)</x:f>
        <x:v>6</x:v>
      </x:c>
      <x:c r="L985" s="11" t="n">
        <x:f>SUM(SalesLines!S2400,SalesLines!S2401)</x:f>
        <x:v>0</x:v>
      </x:c>
      <x:c r="M985" s="8" t="n">
        <x:f>DATE(YEAR(C985),MONTH(C985),1)</x:f>
        <x:v>45901</x:v>
      </x:c>
    </x:row>
    <x:row r="986" ht="22" customHeight="1">
      <x:c r="A986" s="2" t="str">
        <x:v>O00982</x:v>
      </x:c>
      <x:c r="B986" s="2" t="str">
        <x:v>C0207</x:v>
      </x:c>
      <x:c r="C986" s="7" t="n">
        <x:v>45949</x:v>
      </x:c>
      <x:c r="D986" s="2" t="str">
        <x:v>Completed</x:v>
      </x:c>
      <x:c r="E986" s="2" t="str">
        <x:v>South</x:v>
      </x:c>
      <x:c r="F986" s="2" t="str">
        <x:v>Online</x:v>
      </x:c>
      <x:c r="G986" s="9" t="n">
        <x:f>SUM(SalesLines!Q2402,SalesLines!Q2403)</x:f>
        <x:v>335.4</x:v>
      </x:c>
      <x:c r="H986" s="9" t="n">
        <x:f>SUM(SalesLines!M2402,SalesLines!M2403)</x:f>
        <x:v>390</x:v>
      </x:c>
      <x:c r="I986" s="9" t="n">
        <x:f>SUM(SalesLines!N2402,SalesLines!N2403)</x:f>
        <x:v>54.60000000000001</x:v>
      </x:c>
      <x:c r="J986" s="9" t="n">
        <x:f>SUM(SalesLines!P2402,SalesLines!P2403)</x:f>
        <x:v>0</x:v>
      </x:c>
      <x:c r="K986" s="11" t="n">
        <x:f>SUM(SalesLines!R2402,SalesLines!R2403)</x:f>
        <x:v>5</x:v>
      </x:c>
      <x:c r="L986" s="11" t="n">
        <x:f>SUM(SalesLines!S2402,SalesLines!S2403)</x:f>
        <x:v>0</x:v>
      </x:c>
      <x:c r="M986" s="8" t="n">
        <x:f>DATE(YEAR(C986),MONTH(C986),1)</x:f>
        <x:v>45931</x:v>
      </x:c>
    </x:row>
    <x:row r="987" ht="22" customHeight="1">
      <x:c r="A987" s="2" t="str">
        <x:v>O00983</x:v>
      </x:c>
      <x:c r="B987" s="2" t="str">
        <x:v>C0064</x:v>
      </x:c>
      <x:c r="C987" s="7" t="n">
        <x:v>45803</x:v>
      </x:c>
      <x:c r="D987" s="2" t="str">
        <x:v>Completed</x:v>
      </x:c>
      <x:c r="E987" s="2" t="str">
        <x:v>North</x:v>
      </x:c>
      <x:c r="F987" s="2" t="str">
        <x:v>Online</x:v>
      </x:c>
      <x:c r="G987" s="9" t="n">
        <x:f>SUM(SalesLines!Q2404,SalesLines!Q2405,SalesLines!Q2406,SalesLines!Q2407)</x:f>
        <x:v>1918.05</x:v>
      </x:c>
      <x:c r="H987" s="9" t="n">
        <x:f>SUM(SalesLines!M2404,SalesLines!M2405,SalesLines!M2406,SalesLines!M2407)</x:f>
        <x:v>2054</x:v>
      </x:c>
      <x:c r="I987" s="9" t="n">
        <x:f>SUM(SalesLines!N2404,SalesLines!N2405,SalesLines!N2406,SalesLines!N2407)</x:f>
        <x:v>135.95</x:v>
      </x:c>
      <x:c r="J987" s="9" t="n">
        <x:f>SUM(SalesLines!P2404,SalesLines!P2405,SalesLines!P2406,SalesLines!P2407)</x:f>
        <x:v>0</x:v>
      </x:c>
      <x:c r="K987" s="11" t="n">
        <x:f>SUM(SalesLines!R2404,SalesLines!R2405,SalesLines!R2406,SalesLines!R2407)</x:f>
        <x:v>8</x:v>
      </x:c>
      <x:c r="L987" s="11" t="n">
        <x:f>SUM(SalesLines!S2404,SalesLines!S2405,SalesLines!S2406,SalesLines!S2407)</x:f>
        <x:v>0</x:v>
      </x:c>
      <x:c r="M987" s="8" t="n">
        <x:f>DATE(YEAR(C987),MONTH(C987),1)</x:f>
        <x:v>45778</x:v>
      </x:c>
    </x:row>
    <x:row r="988" ht="22" customHeight="1">
      <x:c r="A988" s="2" t="str">
        <x:v>O00984</x:v>
      </x:c>
      <x:c r="B988" s="2" t="str">
        <x:v>C0034</x:v>
      </x:c>
      <x:c r="C988" s="7" t="n">
        <x:v>45758</x:v>
      </x:c>
      <x:c r="D988" s="2" t="str">
        <x:v>Completed</x:v>
      </x:c>
      <x:c r="E988" s="2" t="str">
        <x:v>East</x:v>
      </x:c>
      <x:c r="F988" s="2" t="str">
        <x:v>Online</x:v>
      </x:c>
      <x:c r="G988" s="9" t="n">
        <x:f>SUM(SalesLines!Q2408,SalesLines!Q2409,SalesLines!Q2410)</x:f>
        <x:v>2570.7</x:v>
      </x:c>
      <x:c r="H988" s="9" t="n">
        <x:f>SUM(SalesLines!M2408,SalesLines!M2409,SalesLines!M2410)</x:f>
        <x:v>2706</x:v>
      </x:c>
      <x:c r="I988" s="9" t="n">
        <x:f>SUM(SalesLines!N2408,SalesLines!N2409,SalesLines!N2410)</x:f>
        <x:v>135.3</x:v>
      </x:c>
      <x:c r="J988" s="9" t="n">
        <x:f>SUM(SalesLines!P2408,SalesLines!P2409,SalesLines!P2410)</x:f>
        <x:v>0</x:v>
      </x:c>
      <x:c r="K988" s="11" t="n">
        <x:f>SUM(SalesLines!R2408,SalesLines!R2409,SalesLines!R2410)</x:f>
        <x:v>12</x:v>
      </x:c>
      <x:c r="L988" s="11" t="n">
        <x:f>SUM(SalesLines!S2408,SalesLines!S2409,SalesLines!S2410)</x:f>
        <x:v>0</x:v>
      </x:c>
      <x:c r="M988" s="8" t="n">
        <x:f>DATE(YEAR(C988),MONTH(C988),1)</x:f>
        <x:v>45748</x:v>
      </x:c>
    </x:row>
    <x:row r="989" ht="22" customHeight="1">
      <x:c r="A989" s="2" t="str">
        <x:v>O00985</x:v>
      </x:c>
      <x:c r="B989" s="2" t="str">
        <x:v>C0214</x:v>
      </x:c>
      <x:c r="C989" s="7" t="n">
        <x:v>45939</x:v>
      </x:c>
      <x:c r="D989" s="2" t="str">
        <x:v>Completed</x:v>
      </x:c>
      <x:c r="E989" s="2" t="str">
        <x:v>West</x:v>
      </x:c>
      <x:c r="F989" s="2" t="str">
        <x:v>Store</x:v>
      </x:c>
      <x:c r="G989" s="9" t="n">
        <x:f>SUM(SalesLines!Q2411,SalesLines!Q2412)</x:f>
        <x:v>2030.2</x:v>
      </x:c>
      <x:c r="H989" s="9" t="n">
        <x:f>SUM(SalesLines!M2411,SalesLines!M2412)</x:f>
        <x:v>2199</x:v>
      </x:c>
      <x:c r="I989" s="9" t="n">
        <x:f>SUM(SalesLines!N2411,SalesLines!N2412)</x:f>
        <x:v>168.8</x:v>
      </x:c>
      <x:c r="J989" s="9" t="n">
        <x:f>SUM(SalesLines!P2411,SalesLines!P2412)</x:f>
        <x:v>0</x:v>
      </x:c>
      <x:c r="K989" s="11" t="n">
        <x:f>SUM(SalesLines!R2411,SalesLines!R2412)</x:f>
        <x:v>9</x:v>
      </x:c>
      <x:c r="L989" s="11" t="n">
        <x:f>SUM(SalesLines!S2411,SalesLines!S2412)</x:f>
        <x:v>0</x:v>
      </x:c>
      <x:c r="M989" s="8" t="n">
        <x:f>DATE(YEAR(C989),MONTH(C989),1)</x:f>
        <x:v>45931</x:v>
      </x:c>
    </x:row>
    <x:row r="990" ht="22" customHeight="1">
      <x:c r="A990" s="2" t="str">
        <x:v>O00986</x:v>
      </x:c>
      <x:c r="B990" s="2" t="str">
        <x:v>C0072</x:v>
      </x:c>
      <x:c r="C990" s="7" t="n">
        <x:v>45762</x:v>
      </x:c>
      <x:c r="D990" s="2" t="str">
        <x:v>Completed</x:v>
      </x:c>
      <x:c r="E990" s="2" t="str">
        <x:v>South</x:v>
      </x:c>
      <x:c r="F990" s="2" t="str">
        <x:v>Store</x:v>
      </x:c>
      <x:c r="G990" s="9" t="n">
        <x:f>SUM(SalesLines!Q2413)</x:f>
        <x:v>1022.4</x:v>
      </x:c>
      <x:c r="H990" s="9" t="n">
        <x:f>SUM(SalesLines!M2413)</x:f>
        <x:v>1136</x:v>
      </x:c>
      <x:c r="I990" s="9" t="n">
        <x:f>SUM(SalesLines!N2413)</x:f>
        <x:v>113.60000000000001</x:v>
      </x:c>
      <x:c r="J990" s="9" t="n">
        <x:f>SUM(SalesLines!P2413)</x:f>
        <x:v>0</x:v>
      </x:c>
      <x:c r="K990" s="11" t="n">
        <x:f>SUM(SalesLines!R2413)</x:f>
        <x:v>4</x:v>
      </x:c>
      <x:c r="L990" s="11" t="n">
        <x:f>SUM(SalesLines!S2413)</x:f>
        <x:v>0</x:v>
      </x:c>
      <x:c r="M990" s="8" t="n">
        <x:f>DATE(YEAR(C990),MONTH(C990),1)</x:f>
        <x:v>45748</x:v>
      </x:c>
    </x:row>
    <x:row r="991" ht="22" customHeight="1">
      <x:c r="A991" s="2" t="str">
        <x:v>O00987</x:v>
      </x:c>
      <x:c r="B991" s="2" t="str">
        <x:v>C0204</x:v>
      </x:c>
      <x:c r="C991" s="7" t="n">
        <x:v>45848</x:v>
      </x:c>
      <x:c r="D991" s="2" t="str">
        <x:v>Completed</x:v>
      </x:c>
      <x:c r="E991" s="2" t="str">
        <x:v>South</x:v>
      </x:c>
      <x:c r="F991" s="2" t="str">
        <x:v>Store</x:v>
      </x:c>
      <x:c r="G991" s="9" t="n">
        <x:f>SUM(SalesLines!Q2414)</x:f>
        <x:v>658.35</x:v>
      </x:c>
      <x:c r="H991" s="9" t="n">
        <x:f>SUM(SalesLines!M2414)</x:f>
        <x:v>693</x:v>
      </x:c>
      <x:c r="I991" s="9" t="n">
        <x:f>SUM(SalesLines!N2414)</x:f>
        <x:v>34.65</x:v>
      </x:c>
      <x:c r="J991" s="9" t="n">
        <x:f>SUM(SalesLines!P2414)</x:f>
        <x:v>0</x:v>
      </x:c>
      <x:c r="K991" s="11" t="n">
        <x:f>SUM(SalesLines!R2414)</x:f>
        <x:v>3</x:v>
      </x:c>
      <x:c r="L991" s="11" t="n">
        <x:f>SUM(SalesLines!S2414)</x:f>
        <x:v>0</x:v>
      </x:c>
      <x:c r="M991" s="8" t="n">
        <x:f>DATE(YEAR(C991),MONTH(C991),1)</x:f>
        <x:v>45839</x:v>
      </x:c>
    </x:row>
    <x:row r="992" ht="22" customHeight="1">
      <x:c r="A992" s="2" t="str">
        <x:v>O00988</x:v>
      </x:c>
      <x:c r="B992" s="2" t="str">
        <x:v>C0134</x:v>
      </x:c>
      <x:c r="C992" s="7" t="n">
        <x:v>45775</x:v>
      </x:c>
      <x:c r="D992" s="2" t="str">
        <x:v>Completed</x:v>
      </x:c>
      <x:c r="E992" s="2" t="str">
        <x:v>North</x:v>
      </x:c>
      <x:c r="F992" s="2" t="str">
        <x:v>Store</x:v>
      </x:c>
      <x:c r="G992" s="9" t="n">
        <x:f>SUM(SalesLines!Q2415,SalesLines!Q2416)</x:f>
        <x:v>375.2</x:v>
      </x:c>
      <x:c r="H992" s="9" t="n">
        <x:f>SUM(SalesLines!M2415,SalesLines!M2416)</x:f>
        <x:v>402</x:v>
      </x:c>
      <x:c r="I992" s="9" t="n">
        <x:f>SUM(SalesLines!N2415,SalesLines!N2416)</x:f>
        <x:v>26.8</x:v>
      </x:c>
      <x:c r="J992" s="9" t="n">
        <x:f>SUM(SalesLines!P2415,SalesLines!P2416)</x:f>
        <x:v>0</x:v>
      </x:c>
      <x:c r="K992" s="11" t="n">
        <x:f>SUM(SalesLines!R2415,SalesLines!R2416)</x:f>
        <x:v>3</x:v>
      </x:c>
      <x:c r="L992" s="11" t="n">
        <x:f>SUM(SalesLines!S2415,SalesLines!S2416)</x:f>
        <x:v>0</x:v>
      </x:c>
      <x:c r="M992" s="8" t="n">
        <x:f>DATE(YEAR(C992),MONTH(C992),1)</x:f>
        <x:v>45748</x:v>
      </x:c>
    </x:row>
    <x:row r="993" ht="22" customHeight="1">
      <x:c r="A993" s="2" t="str">
        <x:v>O00989</x:v>
      </x:c>
      <x:c r="B993" s="2" t="str">
        <x:v>C0226</x:v>
      </x:c>
      <x:c r="C993" s="7" t="n">
        <x:v>45872</x:v>
      </x:c>
      <x:c r="D993" s="2" t="str">
        <x:v>Completed</x:v>
      </x:c>
      <x:c r="E993" s="2" t="str">
        <x:v>South</x:v>
      </x:c>
      <x:c r="F993" s="2" t="str">
        <x:v>Store</x:v>
      </x:c>
      <x:c r="G993" s="9" t="n">
        <x:f>SUM(SalesLines!Q2417,SalesLines!Q2418,SalesLines!Q2419,SalesLines!Q2420)</x:f>
        <x:v>2055.25</x:v>
      </x:c>
      <x:c r="H993" s="9" t="n">
        <x:f>SUM(SalesLines!M2417,SalesLines!M2418,SalesLines!M2419,SalesLines!M2420)</x:f>
        <x:v>2139</x:v>
      </x:c>
      <x:c r="I993" s="9" t="n">
        <x:f>SUM(SalesLines!N2417,SalesLines!N2418,SalesLines!N2419,SalesLines!N2420)</x:f>
        <x:v>83.75</x:v>
      </x:c>
      <x:c r="J993" s="9" t="n">
        <x:f>SUM(SalesLines!P2417,SalesLines!P2418,SalesLines!P2419,SalesLines!P2420)</x:f>
        <x:v>0</x:v>
      </x:c>
      <x:c r="K993" s="11" t="n">
        <x:f>SUM(SalesLines!R2417,SalesLines!R2418,SalesLines!R2419,SalesLines!R2420)</x:f>
        <x:v>15</x:v>
      </x:c>
      <x:c r="L993" s="11" t="n">
        <x:f>SUM(SalesLines!S2417,SalesLines!S2418,SalesLines!S2419,SalesLines!S2420)</x:f>
        <x:v>0</x:v>
      </x:c>
      <x:c r="M993" s="8" t="n">
        <x:f>DATE(YEAR(C993),MONTH(C993),1)</x:f>
        <x:v>45870</x:v>
      </x:c>
    </x:row>
    <x:row r="994" ht="22" customHeight="1">
      <x:c r="A994" s="2" t="str">
        <x:v>O00990</x:v>
      </x:c>
      <x:c r="B994" s="2" t="str">
        <x:v>C0007</x:v>
      </x:c>
      <x:c r="C994" s="7" t="n">
        <x:v>45744</x:v>
      </x:c>
      <x:c r="D994" s="2" t="str">
        <x:v>Completed</x:v>
      </x:c>
      <x:c r="E994" s="2" t="str">
        <x:v>North</x:v>
      </x:c>
      <x:c r="F994" s="2" t="str">
        <x:v>Online</x:v>
      </x:c>
      <x:c r="G994" s="9" t="n">
        <x:f>SUM(SalesLines!Q2421,SalesLines!Q2422,SalesLines!Q2423)</x:f>
        <x:v>2682.5</x:v>
      </x:c>
      <x:c r="H994" s="9" t="n">
        <x:f>SUM(SalesLines!M2421,SalesLines!M2422,SalesLines!M2423)</x:f>
        <x:v>2965</x:v>
      </x:c>
      <x:c r="I994" s="9" t="n">
        <x:f>SUM(SalesLines!N2421,SalesLines!N2422,SalesLines!N2423)</x:f>
        <x:v>282.5</x:v>
      </x:c>
      <x:c r="J994" s="9" t="n">
        <x:f>SUM(SalesLines!P2421,SalesLines!P2422,SalesLines!P2423)</x:f>
        <x:v>0</x:v>
      </x:c>
      <x:c r="K994" s="11" t="n">
        <x:f>SUM(SalesLines!R2421,SalesLines!R2422,SalesLines!R2423)</x:f>
        <x:v>14</x:v>
      </x:c>
      <x:c r="L994" s="11" t="n">
        <x:f>SUM(SalesLines!S2421,SalesLines!S2422,SalesLines!S2423)</x:f>
        <x:v>0</x:v>
      </x:c>
      <x:c r="M994" s="8" t="n">
        <x:f>DATE(YEAR(C994),MONTH(C994),1)</x:f>
        <x:v>45717</x:v>
      </x:c>
    </x:row>
    <x:row r="995" ht="22" customHeight="1">
      <x:c r="A995" s="2" t="str">
        <x:v>O00991</x:v>
      </x:c>
      <x:c r="B995" s="2" t="str">
        <x:v>C0062</x:v>
      </x:c>
      <x:c r="C995" s="7" t="n">
        <x:v>45834</x:v>
      </x:c>
      <x:c r="D995" s="2" t="str">
        <x:v>Completed</x:v>
      </x:c>
      <x:c r="E995" s="2" t="str">
        <x:v>West</x:v>
      </x:c>
      <x:c r="F995" s="2" t="str">
        <x:v>Online</x:v>
      </x:c>
      <x:c r="G995" s="9" t="n">
        <x:f>SUM(SalesLines!Q2424,SalesLines!Q2425)</x:f>
        <x:v>1061.8</x:v>
      </x:c>
      <x:c r="H995" s="9" t="n">
        <x:f>SUM(SalesLines!M2424,SalesLines!M2425)</x:f>
        <x:v>1169</x:v>
      </x:c>
      <x:c r="I995" s="9" t="n">
        <x:f>SUM(SalesLines!N2424,SalesLines!N2425)</x:f>
        <x:v>107.2</x:v>
      </x:c>
      <x:c r="J995" s="9" t="n">
        <x:f>SUM(SalesLines!P2424,SalesLines!P2425)</x:f>
        <x:v>0</x:v>
      </x:c>
      <x:c r="K995" s="11" t="n">
        <x:f>SUM(SalesLines!R2424,SalesLines!R2425)</x:f>
        <x:v>7</x:v>
      </x:c>
      <x:c r="L995" s="11" t="n">
        <x:f>SUM(SalesLines!S2424,SalesLines!S2425)</x:f>
        <x:v>0</x:v>
      </x:c>
      <x:c r="M995" s="8" t="n">
        <x:f>DATE(YEAR(C995),MONTH(C995),1)</x:f>
        <x:v>45809</x:v>
      </x:c>
    </x:row>
    <x:row r="996" ht="22" customHeight="1">
      <x:c r="A996" s="2" t="str">
        <x:v>O00992</x:v>
      </x:c>
      <x:c r="B996" s="2" t="str">
        <x:v>C0068</x:v>
      </x:c>
      <x:c r="C996" s="7" t="n">
        <x:v>45677</x:v>
      </x:c>
      <x:c r="D996" s="2" t="str">
        <x:v>Cancelled</x:v>
      </x:c>
      <x:c r="E996" s="2" t="str">
        <x:v>West</x:v>
      </x:c>
      <x:c r="F996" s="2" t="str">
        <x:v>Store</x:v>
      </x:c>
      <x:c r="G996" s="9" t="n">
        <x:f>SUM(SalesLines!Q2426,SalesLines!Q2427,SalesLines!Q2428)</x:f>
        <x:v>0</x:v>
      </x:c>
      <x:c r="H996" s="9" t="n">
        <x:f>SUM(SalesLines!M2426,SalesLines!M2427,SalesLines!M2428)</x:f>
        <x:v>0</x:v>
      </x:c>
      <x:c r="I996" s="9" t="n">
        <x:f>SUM(SalesLines!N2426,SalesLines!N2427,SalesLines!N2428)</x:f>
        <x:v>0</x:v>
      </x:c>
      <x:c r="J996" s="9" t="n">
        <x:f>SUM(SalesLines!P2426,SalesLines!P2427,SalesLines!P2428)</x:f>
        <x:v>0</x:v>
      </x:c>
      <x:c r="K996" s="11" t="n">
        <x:f>SUM(SalesLines!R2426,SalesLines!R2427,SalesLines!R2428)</x:f>
        <x:v>0</x:v>
      </x:c>
      <x:c r="L996" s="11" t="n">
        <x:f>SUM(SalesLines!S2426,SalesLines!S2427,SalesLines!S2428)</x:f>
        <x:v>0</x:v>
      </x:c>
      <x:c r="M996" s="8" t="n">
        <x:f>DATE(YEAR(C996),MONTH(C996),1)</x:f>
        <x:v>45658</x:v>
      </x:c>
    </x:row>
    <x:row r="997" ht="22" customHeight="1">
      <x:c r="A997" s="2" t="str">
        <x:v>O00993</x:v>
      </x:c>
      <x:c r="B997" s="2" t="str">
        <x:v>C0090</x:v>
      </x:c>
      <x:c r="C997" s="7" t="n">
        <x:v>45715</x:v>
      </x:c>
      <x:c r="D997" s="2" t="str">
        <x:v>Completed</x:v>
      </x:c>
      <x:c r="E997" s="2" t="str">
        <x:v>West</x:v>
      </x:c>
      <x:c r="F997" s="2" t="str">
        <x:v>Store</x:v>
      </x:c>
      <x:c r="G997" s="9" t="n">
        <x:f>SUM(SalesLines!Q2429,SalesLines!Q2430)</x:f>
        <x:v>226.7</x:v>
      </x:c>
      <x:c r="H997" s="9" t="n">
        <x:f>SUM(SalesLines!M2429,SalesLines!M2430)</x:f>
        <x:v>279</x:v>
      </x:c>
      <x:c r="I997" s="9" t="n">
        <x:f>SUM(SalesLines!N2429,SalesLines!N2430)</x:f>
        <x:v>52.300000000000004</x:v>
      </x:c>
      <x:c r="J997" s="9" t="n">
        <x:f>SUM(SalesLines!P2429,SalesLines!P2430)</x:f>
        <x:v>0</x:v>
      </x:c>
      <x:c r="K997" s="11" t="n">
        <x:f>SUM(SalesLines!R2429,SalesLines!R2430)</x:f>
        <x:v>3</x:v>
      </x:c>
      <x:c r="L997" s="11" t="n">
        <x:f>SUM(SalesLines!S2429,SalesLines!S2430)</x:f>
        <x:v>0</x:v>
      </x:c>
      <x:c r="M997" s="8" t="n">
        <x:f>DATE(YEAR(C997),MONTH(C997),1)</x:f>
        <x:v>45689</x:v>
      </x:c>
    </x:row>
    <x:row r="998" ht="22" customHeight="1">
      <x:c r="A998" s="2" t="str">
        <x:v>O00994</x:v>
      </x:c>
      <x:c r="B998" s="2" t="str">
        <x:v>C0194</x:v>
      </x:c>
      <x:c r="C998" s="7" t="n">
        <x:v>46016</x:v>
      </x:c>
      <x:c r="D998" s="2" t="str">
        <x:v>Completed</x:v>
      </x:c>
      <x:c r="E998" s="2" t="str">
        <x:v>North</x:v>
      </x:c>
      <x:c r="F998" s="2" t="str">
        <x:v>Store</x:v>
      </x:c>
      <x:c r="G998" s="9" t="n">
        <x:f>SUM(SalesLines!Q2431)</x:f>
        <x:v>567</x:v>
      </x:c>
      <x:c r="H998" s="9" t="n">
        <x:f>SUM(SalesLines!M2431)</x:f>
        <x:v>567</x:v>
      </x:c>
      <x:c r="I998" s="9" t="n">
        <x:f>SUM(SalesLines!N2431)</x:f>
        <x:v>0</x:v>
      </x:c>
      <x:c r="J998" s="9" t="n">
        <x:f>SUM(SalesLines!P2431)</x:f>
        <x:v>0</x:v>
      </x:c>
      <x:c r="K998" s="11" t="n">
        <x:f>SUM(SalesLines!R2431)</x:f>
        <x:v>3</x:v>
      </x:c>
      <x:c r="L998" s="11" t="n">
        <x:f>SUM(SalesLines!S2431)</x:f>
        <x:v>0</x:v>
      </x:c>
      <x:c r="M998" s="8" t="n">
        <x:f>DATE(YEAR(C998),MONTH(C998),1)</x:f>
        <x:v>45992</x:v>
      </x:c>
    </x:row>
    <x:row r="999" ht="22" customHeight="1">
      <x:c r="A999" s="2" t="str">
        <x:v>O00995</x:v>
      </x:c>
      <x:c r="B999" s="2" t="str">
        <x:v>C0109</x:v>
      </x:c>
      <x:c r="C999" s="7" t="n">
        <x:v>45993</x:v>
      </x:c>
      <x:c r="D999" s="2" t="str">
        <x:v>Completed</x:v>
      </x:c>
      <x:c r="E999" s="2" t="str">
        <x:v>West</x:v>
      </x:c>
      <x:c r="F999" s="2" t="str">
        <x:v>Online</x:v>
      </x:c>
      <x:c r="G999" s="9" t="n">
        <x:f>SUM(SalesLines!Q2432,SalesLines!Q2433)</x:f>
        <x:v>911.4000000000001</x:v>
      </x:c>
      <x:c r="H999" s="9" t="n">
        <x:f>SUM(SalesLines!M2432,SalesLines!M2433)</x:f>
        <x:v>980</x:v>
      </x:c>
      <x:c r="I999" s="9" t="n">
        <x:f>SUM(SalesLines!N2432,SalesLines!N2433)</x:f>
        <x:v>68.60000000000001</x:v>
      </x:c>
      <x:c r="J999" s="9" t="n">
        <x:f>SUM(SalesLines!P2432,SalesLines!P2433)</x:f>
        <x:v>0</x:v>
      </x:c>
      <x:c r="K999" s="11" t="n">
        <x:f>SUM(SalesLines!R2432,SalesLines!R2433)</x:f>
        <x:v>4</x:v>
      </x:c>
      <x:c r="L999" s="11" t="n">
        <x:f>SUM(SalesLines!S2432,SalesLines!S2433)</x:f>
        <x:v>0</x:v>
      </x:c>
      <x:c r="M999" s="8" t="n">
        <x:f>DATE(YEAR(C999),MONTH(C999),1)</x:f>
        <x:v>45992</x:v>
      </x:c>
    </x:row>
    <x:row r="1000" ht="22" customHeight="1">
      <x:c r="A1000" s="2" t="str">
        <x:v>O00996</x:v>
      </x:c>
      <x:c r="B1000" s="2" t="str">
        <x:v>C0182</x:v>
      </x:c>
      <x:c r="C1000" s="7" t="n">
        <x:v>45727</x:v>
      </x:c>
      <x:c r="D1000" s="2" t="str">
        <x:v>Completed</x:v>
      </x:c>
      <x:c r="E1000" s="2" t="str">
        <x:v>West</x:v>
      </x:c>
      <x:c r="F1000" s="2" t="str">
        <x:v>Store</x:v>
      </x:c>
      <x:c r="G1000" s="9" t="n">
        <x:f>SUM(SalesLines!Q2434)</x:f>
        <x:v>35</x:v>
      </x:c>
      <x:c r="H1000" s="9" t="n">
        <x:f>SUM(SalesLines!M2434)</x:f>
        <x:v>35</x:v>
      </x:c>
      <x:c r="I1000" s="9" t="n">
        <x:f>SUM(SalesLines!N2434)</x:f>
        <x:v>0</x:v>
      </x:c>
      <x:c r="J1000" s="9" t="n">
        <x:f>SUM(SalesLines!P2434)</x:f>
        <x:v>0</x:v>
      </x:c>
      <x:c r="K1000" s="11" t="n">
        <x:f>SUM(SalesLines!R2434)</x:f>
        <x:v>1</x:v>
      </x:c>
      <x:c r="L1000" s="11" t="n">
        <x:f>SUM(SalesLines!S2434)</x:f>
        <x:v>0</x:v>
      </x:c>
      <x:c r="M1000" s="8" t="n">
        <x:f>DATE(YEAR(C1000),MONTH(C1000),1)</x:f>
        <x:v>45717</x:v>
      </x:c>
    </x:row>
    <x:row r="1001" ht="22" customHeight="1">
      <x:c r="A1001" s="2" t="str">
        <x:v>O00997</x:v>
      </x:c>
      <x:c r="B1001" s="2" t="str">
        <x:v>C0079</x:v>
      </x:c>
      <x:c r="C1001" s="7" t="n">
        <x:v>45896</x:v>
      </x:c>
      <x:c r="D1001" s="2" t="str">
        <x:v>Completed</x:v>
      </x:c>
      <x:c r="E1001" s="2" t="str">
        <x:v>West</x:v>
      </x:c>
      <x:c r="F1001" s="2" t="str">
        <x:v>Store</x:v>
      </x:c>
      <x:c r="G1001" s="9" t="n">
        <x:f>SUM(SalesLines!Q2435)</x:f>
        <x:v>369.6</x:v>
      </x:c>
      <x:c r="H1001" s="9" t="n">
        <x:f>SUM(SalesLines!M2435)</x:f>
        <x:v>462</x:v>
      </x:c>
      <x:c r="I1001" s="9" t="n">
        <x:f>SUM(SalesLines!N2435)</x:f>
        <x:v>92.4</x:v>
      </x:c>
      <x:c r="J1001" s="9" t="n">
        <x:f>SUM(SalesLines!P2435)</x:f>
        <x:v>0</x:v>
      </x:c>
      <x:c r="K1001" s="11" t="n">
        <x:f>SUM(SalesLines!R2435)</x:f>
        <x:v>2</x:v>
      </x:c>
      <x:c r="L1001" s="11" t="n">
        <x:f>SUM(SalesLines!S2435)</x:f>
        <x:v>0</x:v>
      </x:c>
      <x:c r="M1001" s="8" t="n">
        <x:f>DATE(YEAR(C1001),MONTH(C1001),1)</x:f>
        <x:v>45870</x:v>
      </x:c>
    </x:row>
    <x:row r="1002" ht="22" customHeight="1">
      <x:c r="A1002" s="2" t="str">
        <x:v>O00998</x:v>
      </x:c>
      <x:c r="B1002" s="2" t="str">
        <x:v>C0110</x:v>
      </x:c>
      <x:c r="C1002" s="7" t="n">
        <x:v>45828</x:v>
      </x:c>
      <x:c r="D1002" s="2" t="str">
        <x:v>Completed</x:v>
      </x:c>
      <x:c r="E1002" s="2" t="str">
        <x:v>West</x:v>
      </x:c>
      <x:c r="F1002" s="2" t="str">
        <x:v>Online</x:v>
      </x:c>
      <x:c r="G1002" s="9" t="n">
        <x:f>SUM(SalesLines!Q2436)</x:f>
        <x:v>337.6</x:v>
      </x:c>
      <x:c r="H1002" s="9" t="n">
        <x:f>SUM(SalesLines!M2436)</x:f>
        <x:v>422</x:v>
      </x:c>
      <x:c r="I1002" s="9" t="n">
        <x:f>SUM(SalesLines!N2436)</x:f>
        <x:v>84.4</x:v>
      </x:c>
      <x:c r="J1002" s="9" t="n">
        <x:f>SUM(SalesLines!P2436)</x:f>
        <x:v>0</x:v>
      </x:c>
      <x:c r="K1002" s="11" t="n">
        <x:f>SUM(SalesLines!R2436)</x:f>
        <x:v>2</x:v>
      </x:c>
      <x:c r="L1002" s="11" t="n">
        <x:f>SUM(SalesLines!S2436)</x:f>
        <x:v>0</x:v>
      </x:c>
      <x:c r="M1002" s="8" t="n">
        <x:f>DATE(YEAR(C1002),MONTH(C1002),1)</x:f>
        <x:v>45809</x:v>
      </x:c>
    </x:row>
    <x:row r="1003" ht="22" customHeight="1">
      <x:c r="A1003" s="2" t="str">
        <x:v>O00999</x:v>
      </x:c>
      <x:c r="B1003" s="2" t="str">
        <x:v>C0233</x:v>
      </x:c>
      <x:c r="C1003" s="7" t="n">
        <x:v>45747</x:v>
      </x:c>
      <x:c r="D1003" s="2" t="str">
        <x:v>Completed</x:v>
      </x:c>
      <x:c r="E1003" s="2" t="str">
        <x:v>South</x:v>
      </x:c>
      <x:c r="F1003" s="2" t="str">
        <x:v>Store</x:v>
      </x:c>
      <x:c r="G1003" s="9" t="n">
        <x:f>SUM(SalesLines!Q2437)</x:f>
        <x:v>240</x:v>
      </x:c>
      <x:c r="H1003" s="9" t="n">
        <x:f>SUM(SalesLines!M2437)</x:f>
        <x:v>240</x:v>
      </x:c>
      <x:c r="I1003" s="9" t="n">
        <x:f>SUM(SalesLines!N2437)</x:f>
        <x:v>0</x:v>
      </x:c>
      <x:c r="J1003" s="9" t="n">
        <x:f>SUM(SalesLines!P2437)</x:f>
        <x:v>0</x:v>
      </x:c>
      <x:c r="K1003" s="11" t="n">
        <x:f>SUM(SalesLines!R2437)</x:f>
        <x:v>3</x:v>
      </x:c>
      <x:c r="L1003" s="11" t="n">
        <x:f>SUM(SalesLines!S2437)</x:f>
        <x:v>0</x:v>
      </x:c>
      <x:c r="M1003" s="8" t="n">
        <x:f>DATE(YEAR(C1003),MONTH(C1003),1)</x:f>
        <x:v>45717</x:v>
      </x:c>
    </x:row>
    <x:row r="1004" ht="22" customHeight="1">
      <x:c r="A1004" s="2" t="str">
        <x:v>O01000</x:v>
      </x:c>
      <x:c r="B1004" s="2" t="str">
        <x:v>C0171</x:v>
      </x:c>
      <x:c r="C1004" s="7" t="n">
        <x:v>45872</x:v>
      </x:c>
      <x:c r="D1004" s="2" t="str">
        <x:v>Completed</x:v>
      </x:c>
      <x:c r="E1004" s="2" t="str">
        <x:v>South</x:v>
      </x:c>
      <x:c r="F1004" s="2" t="str">
        <x:v>Online</x:v>
      </x:c>
      <x:c r="G1004" s="9" t="n">
        <x:f>SUM(SalesLines!Q2438,SalesLines!Q2439)</x:f>
        <x:v>444.9</x:v>
      </x:c>
      <x:c r="H1004" s="9" t="n">
        <x:f>SUM(SalesLines!M2438,SalesLines!M2439)</x:f>
        <x:v>483</x:v>
      </x:c>
      <x:c r="I1004" s="9" t="n">
        <x:f>SUM(SalesLines!N2438,SalesLines!N2439)</x:f>
        <x:v>38.1</x:v>
      </x:c>
      <x:c r="J1004" s="9" t="n">
        <x:f>SUM(SalesLines!P2438,SalesLines!P2439)</x:f>
        <x:v>0</x:v>
      </x:c>
      <x:c r="K1004" s="11" t="n">
        <x:f>SUM(SalesLines!R2438,SalesLines!R2439)</x:f>
        <x:v>6</x:v>
      </x:c>
      <x:c r="L1004" s="11" t="n">
        <x:f>SUM(SalesLines!S2438,SalesLines!S2439)</x:f>
        <x:v>0</x:v>
      </x:c>
      <x:c r="M1004" s="8" t="n">
        <x:f>DATE(YEAR(C1004),MONTH(C1004),1)</x:f>
        <x:v>45870</x:v>
      </x:c>
    </x:row>
    <x:row r="1005" ht="22" customHeight="1">
      <x:c r="A1005" s="2" t="str">
        <x:v>O01001</x:v>
      </x:c>
      <x:c r="B1005" s="2" t="str">
        <x:v>C0256</x:v>
      </x:c>
      <x:c r="C1005" s="7" t="n">
        <x:v>45812</x:v>
      </x:c>
      <x:c r="D1005" s="2" t="str">
        <x:v>Completed</x:v>
      </x:c>
      <x:c r="E1005" s="2" t="str">
        <x:v>North</x:v>
      </x:c>
      <x:c r="F1005" s="2" t="str">
        <x:v>Online</x:v>
      </x:c>
      <x:c r="G1005" s="9" t="n">
        <x:f>SUM(SalesLines!Q2440,SalesLines!Q2441,SalesLines!Q2442)</x:f>
        <x:v>682.2</x:v>
      </x:c>
      <x:c r="H1005" s="9" t="n">
        <x:f>SUM(SalesLines!M2440,SalesLines!M2441,SalesLines!M2442)</x:f>
        <x:v>826</x:v>
      </x:c>
      <x:c r="I1005" s="9" t="n">
        <x:f>SUM(SalesLines!N2440,SalesLines!N2441,SalesLines!N2442)</x:f>
        <x:v>89.4</x:v>
      </x:c>
      <x:c r="J1005" s="9" t="n">
        <x:f>SUM(SalesLines!P2440,SalesLines!P2441,SalesLines!P2442)</x:f>
        <x:v>54.400000000000006</x:v>
      </x:c>
      <x:c r="K1005" s="11" t="n">
        <x:f>SUM(SalesLines!R2440,SalesLines!R2441,SalesLines!R2442)</x:f>
        <x:v>5</x:v>
      </x:c>
      <x:c r="L1005" s="11" t="n">
        <x:f>SUM(SalesLines!S2440,SalesLines!S2441,SalesLines!S2442)</x:f>
        <x:v>1</x:v>
      </x:c>
      <x:c r="M1005" s="8" t="n">
        <x:f>DATE(YEAR(C1005),MONTH(C1005),1)</x:f>
        <x:v>45809</x:v>
      </x:c>
    </x:row>
    <x:row r="1006" ht="22" customHeight="1">
      <x:c r="A1006" s="2" t="str">
        <x:v>O01002</x:v>
      </x:c>
      <x:c r="B1006" s="2" t="str">
        <x:v>C0182</x:v>
      </x:c>
      <x:c r="C1006" s="7" t="n">
        <x:v>45809</x:v>
      </x:c>
      <x:c r="D1006" s="2" t="str">
        <x:v>Completed</x:v>
      </x:c>
      <x:c r="E1006" s="2" t="str">
        <x:v>West</x:v>
      </x:c>
      <x:c r="F1006" s="2" t="str">
        <x:v>Store</x:v>
      </x:c>
      <x:c r="G1006" s="9" t="n">
        <x:f>SUM(SalesLines!Q2443,SalesLines!Q2444,SalesLines!Q2445)</x:f>
        <x:v>959.9</x:v>
      </x:c>
      <x:c r="H1006" s="9" t="n">
        <x:f>SUM(SalesLines!M2443,SalesLines!M2444,SalesLines!M2445)</x:f>
        <x:v>1072</x:v>
      </x:c>
      <x:c r="I1006" s="9" t="n">
        <x:f>SUM(SalesLines!N2443,SalesLines!N2444,SalesLines!N2445)</x:f>
        <x:v>112.1</x:v>
      </x:c>
      <x:c r="J1006" s="9" t="n">
        <x:f>SUM(SalesLines!P2443,SalesLines!P2444,SalesLines!P2445)</x:f>
        <x:v>0</x:v>
      </x:c>
      <x:c r="K1006" s="11" t="n">
        <x:f>SUM(SalesLines!R2443,SalesLines!R2444,SalesLines!R2445)</x:f>
        <x:v>11</x:v>
      </x:c>
      <x:c r="L1006" s="11" t="n">
        <x:f>SUM(SalesLines!S2443,SalesLines!S2444,SalesLines!S2445)</x:f>
        <x:v>0</x:v>
      </x:c>
      <x:c r="M1006" s="8" t="n">
        <x:f>DATE(YEAR(C1006),MONTH(C1006),1)</x:f>
        <x:v>45809</x:v>
      </x:c>
    </x:row>
    <x:row r="1007" ht="22" customHeight="1">
      <x:c r="A1007" s="2" t="str">
        <x:v>O01003</x:v>
      </x:c>
      <x:c r="B1007" s="2" t="str">
        <x:v>C0063</x:v>
      </x:c>
      <x:c r="C1007" s="7" t="n">
        <x:v>45817</x:v>
      </x:c>
      <x:c r="D1007" s="2" t="str">
        <x:v>Completed</x:v>
      </x:c>
      <x:c r="E1007" s="2" t="str">
        <x:v>West</x:v>
      </x:c>
      <x:c r="F1007" s="2" t="str">
        <x:v>Store</x:v>
      </x:c>
      <x:c r="G1007" s="9" t="n">
        <x:f>SUM(SalesLines!Q2446)</x:f>
        <x:v>448.19999999999993</x:v>
      </x:c>
      <x:c r="H1007" s="9" t="n">
        <x:f>SUM(SalesLines!M2446)</x:f>
        <x:v>1245</x:v>
      </x:c>
      <x:c r="I1007" s="9" t="n">
        <x:f>SUM(SalesLines!N2446)</x:f>
        <x:v>124.5</x:v>
      </x:c>
      <x:c r="J1007" s="9" t="n">
        <x:f>SUM(SalesLines!P2446)</x:f>
        <x:v>672.3000000000001</x:v>
      </x:c>
      <x:c r="K1007" s="11" t="n">
        <x:f>SUM(SalesLines!R2446)</x:f>
        <x:v>5</x:v>
      </x:c>
      <x:c r="L1007" s="11" t="n">
        <x:f>SUM(SalesLines!S2446)</x:f>
        <x:v>3</x:v>
      </x:c>
      <x:c r="M1007" s="8" t="n">
        <x:f>DATE(YEAR(C1007),MONTH(C1007),1)</x:f>
        <x:v>45809</x:v>
      </x:c>
    </x:row>
    <x:row r="1008" ht="22" customHeight="1">
      <x:c r="A1008" s="2" t="str">
        <x:v>O01004</x:v>
      </x:c>
      <x:c r="B1008" s="2" t="str">
        <x:v>C0267</x:v>
      </x:c>
      <x:c r="C1008" s="7" t="n">
        <x:v>45912</x:v>
      </x:c>
      <x:c r="D1008" s="2" t="str">
        <x:v>Completed</x:v>
      </x:c>
      <x:c r="E1008" s="2" t="str">
        <x:v>West</x:v>
      </x:c>
      <x:c r="F1008" s="2" t="str">
        <x:v>Store</x:v>
      </x:c>
      <x:c r="G1008" s="9" t="n">
        <x:f>SUM(SalesLines!Q2447,SalesLines!Q2448,SalesLines!Q2449)</x:f>
        <x:v>735.5999999999999</x:v>
      </x:c>
      <x:c r="H1008" s="9" t="n">
        <x:f>SUM(SalesLines!M2447,SalesLines!M2448,SalesLines!M2449)</x:f>
        <x:v>788</x:v>
      </x:c>
      <x:c r="I1008" s="9" t="n">
        <x:f>SUM(SalesLines!N2447,SalesLines!N2448,SalesLines!N2449)</x:f>
        <x:v>52.400000000000006</x:v>
      </x:c>
      <x:c r="J1008" s="9" t="n">
        <x:f>SUM(SalesLines!P2447,SalesLines!P2448,SalesLines!P2449)</x:f>
        <x:v>0</x:v>
      </x:c>
      <x:c r="K1008" s="11" t="n">
        <x:f>SUM(SalesLines!R2447,SalesLines!R2448,SalesLines!R2449)</x:f>
        <x:v>8</x:v>
      </x:c>
      <x:c r="L1008" s="11" t="n">
        <x:f>SUM(SalesLines!S2447,SalesLines!S2448,SalesLines!S2449)</x:f>
        <x:v>0</x:v>
      </x:c>
      <x:c r="M1008" s="8" t="n">
        <x:f>DATE(YEAR(C1008),MONTH(C1008),1)</x:f>
        <x:v>45901</x:v>
      </x:c>
    </x:row>
    <x:row r="1009" ht="22" customHeight="1">
      <x:c r="A1009" s="2" t="str">
        <x:v>O01005</x:v>
      </x:c>
      <x:c r="B1009" s="2" t="str">
        <x:v>C0211</x:v>
      </x:c>
      <x:c r="C1009" s="7" t="n">
        <x:v>45809</x:v>
      </x:c>
      <x:c r="D1009" s="2" t="str">
        <x:v>Completed</x:v>
      </x:c>
      <x:c r="E1009" s="2" t="str">
        <x:v>North</x:v>
      </x:c>
      <x:c r="F1009" s="2" t="str">
        <x:v>Online</x:v>
      </x:c>
      <x:c r="G1009" s="9" t="n">
        <x:f>SUM(SalesLines!Q2450)</x:f>
        <x:v>940</x:v>
      </x:c>
      <x:c r="H1009" s="9" t="n">
        <x:f>SUM(SalesLines!M2450)</x:f>
        <x:v>940</x:v>
      </x:c>
      <x:c r="I1009" s="9" t="n">
        <x:f>SUM(SalesLines!N2450)</x:f>
        <x:v>0</x:v>
      </x:c>
      <x:c r="J1009" s="9" t="n">
        <x:f>SUM(SalesLines!P2450)</x:f>
        <x:v>0</x:v>
      </x:c>
      <x:c r="K1009" s="11" t="n">
        <x:f>SUM(SalesLines!R2450)</x:f>
        <x:v>5</x:v>
      </x:c>
      <x:c r="L1009" s="11" t="n">
        <x:f>SUM(SalesLines!S2450)</x:f>
        <x:v>0</x:v>
      </x:c>
      <x:c r="M1009" s="8" t="n">
        <x:f>DATE(YEAR(C1009),MONTH(C1009),1)</x:f>
        <x:v>45809</x:v>
      </x:c>
    </x:row>
    <x:row r="1010" ht="22" customHeight="1">
      <x:c r="A1010" s="2" t="str">
        <x:v>O01006</x:v>
      </x:c>
      <x:c r="B1010" s="2" t="str">
        <x:v>C0186</x:v>
      </x:c>
      <x:c r="C1010" s="7" t="n">
        <x:v>45771</x:v>
      </x:c>
      <x:c r="D1010" s="2" t="str">
        <x:v>Completed</x:v>
      </x:c>
      <x:c r="E1010" s="2" t="str">
        <x:v>North</x:v>
      </x:c>
      <x:c r="F1010" s="2" t="str">
        <x:v>Store</x:v>
      </x:c>
      <x:c r="G1010" s="9" t="n">
        <x:f>SUM(SalesLines!Q2451,SalesLines!Q2452)</x:f>
        <x:v>1154.4</x:v>
      </x:c>
      <x:c r="H1010" s="9" t="n">
        <x:f>SUM(SalesLines!M2451,SalesLines!M2452)</x:f>
        <x:v>1293</x:v>
      </x:c>
      <x:c r="I1010" s="9" t="n">
        <x:f>SUM(SalesLines!N2451,SalesLines!N2452)</x:f>
        <x:v>138.6</x:v>
      </x:c>
      <x:c r="J1010" s="9" t="n">
        <x:f>SUM(SalesLines!P2451,SalesLines!P2452)</x:f>
        <x:v>0</x:v>
      </x:c>
      <x:c r="K1010" s="11" t="n">
        <x:f>SUM(SalesLines!R2451,SalesLines!R2452)</x:f>
        <x:v>5</x:v>
      </x:c>
      <x:c r="L1010" s="11" t="n">
        <x:f>SUM(SalesLines!S2451,SalesLines!S2452)</x:f>
        <x:v>0</x:v>
      </x:c>
      <x:c r="M1010" s="8" t="n">
        <x:f>DATE(YEAR(C1010),MONTH(C1010),1)</x:f>
        <x:v>45748</x:v>
      </x:c>
    </x:row>
    <x:row r="1011" ht="22" customHeight="1">
      <x:c r="A1011" s="2" t="str">
        <x:v>O01007</x:v>
      </x:c>
      <x:c r="B1011" s="2" t="str">
        <x:v>C0242</x:v>
      </x:c>
      <x:c r="C1011" s="7" t="n">
        <x:v>45937</x:v>
      </x:c>
      <x:c r="D1011" s="2" t="str">
        <x:v>Completed</x:v>
      </x:c>
      <x:c r="E1011" s="2" t="str">
        <x:v>South</x:v>
      </x:c>
      <x:c r="F1011" s="2" t="str">
        <x:v>Store</x:v>
      </x:c>
      <x:c r="G1011" s="9" t="n">
        <x:f>SUM(SalesLines!Q2453,SalesLines!Q2454)</x:f>
        <x:v>510.3</x:v>
      </x:c>
      <x:c r="H1011" s="9" t="n">
        <x:f>SUM(SalesLines!M2453,SalesLines!M2454)</x:f>
        <x:v>602</x:v>
      </x:c>
      <x:c r="I1011" s="9" t="n">
        <x:f>SUM(SalesLines!N2453,SalesLines!N2454)</x:f>
        <x:v>56.7</x:v>
      </x:c>
      <x:c r="J1011" s="9" t="n">
        <x:f>SUM(SalesLines!P2453,SalesLines!P2454)</x:f>
        <x:v>35</x:v>
      </x:c>
      <x:c r="K1011" s="11" t="n">
        <x:f>SUM(SalesLines!R2453,SalesLines!R2454)</x:f>
        <x:v>4</x:v>
      </x:c>
      <x:c r="L1011" s="11" t="n">
        <x:f>SUM(SalesLines!S2453,SalesLines!S2454)</x:f>
        <x:v>1</x:v>
      </x:c>
      <x:c r="M1011" s="8" t="n">
        <x:f>DATE(YEAR(C1011),MONTH(C1011),1)</x:f>
        <x:v>45931</x:v>
      </x:c>
    </x:row>
    <x:row r="1012" ht="22" customHeight="1">
      <x:c r="A1012" s="2" t="str">
        <x:v>O01008</x:v>
      </x:c>
      <x:c r="B1012" s="2" t="str">
        <x:v>C0180</x:v>
      </x:c>
      <x:c r="C1012" s="7" t="n">
        <x:v>46007</x:v>
      </x:c>
      <x:c r="D1012" s="2" t="str">
        <x:v>Completed</x:v>
      </x:c>
      <x:c r="E1012" s="2" t="str">
        <x:v>West</x:v>
      </x:c>
      <x:c r="F1012" s="2" t="str">
        <x:v>Store</x:v>
      </x:c>
      <x:c r="G1012" s="9" t="n">
        <x:f>SUM(SalesLines!Q2455)</x:f>
        <x:v>304</x:v>
      </x:c>
      <x:c r="H1012" s="9" t="n">
        <x:f>SUM(SalesLines!M2455)</x:f>
        <x:v>320</x:v>
      </x:c>
      <x:c r="I1012" s="9" t="n">
        <x:f>SUM(SalesLines!N2455)</x:f>
        <x:v>16</x:v>
      </x:c>
      <x:c r="J1012" s="9" t="n">
        <x:f>SUM(SalesLines!P2455)</x:f>
        <x:v>0</x:v>
      </x:c>
      <x:c r="K1012" s="11" t="n">
        <x:f>SUM(SalesLines!R2455)</x:f>
        <x:v>4</x:v>
      </x:c>
      <x:c r="L1012" s="11" t="n">
        <x:f>SUM(SalesLines!S2455)</x:f>
        <x:v>0</x:v>
      </x:c>
      <x:c r="M1012" s="8" t="n">
        <x:f>DATE(YEAR(C1012),MONTH(C1012),1)</x:f>
        <x:v>45992</x:v>
      </x:c>
    </x:row>
    <x:row r="1013" ht="22" customHeight="1">
      <x:c r="A1013" s="2" t="str">
        <x:v>O01009</x:v>
      </x:c>
      <x:c r="B1013" s="2" t="str">
        <x:v>C0210</x:v>
      </x:c>
      <x:c r="C1013" s="7" t="n">
        <x:v>45714</x:v>
      </x:c>
      <x:c r="D1013" s="2" t="str">
        <x:v>Completed</x:v>
      </x:c>
      <x:c r="E1013" s="2" t="str">
        <x:v>North</x:v>
      </x:c>
      <x:c r="F1013" s="2" t="str">
        <x:v>Online</x:v>
      </x:c>
      <x:c r="G1013" s="9" t="n">
        <x:f>SUM(SalesLines!Q2456,SalesLines!Q2457,SalesLines!Q2458,SalesLines!Q2459)</x:f>
        <x:v>2135.8</x:v>
      </x:c>
      <x:c r="H1013" s="9" t="n">
        <x:f>SUM(SalesLines!M2456,SalesLines!M2457,SalesLines!M2458,SalesLines!M2459)</x:f>
        <x:v>2190</x:v>
      </x:c>
      <x:c r="I1013" s="9" t="n">
        <x:f>SUM(SalesLines!N2456,SalesLines!N2457,SalesLines!N2458,SalesLines!N2459)</x:f>
        <x:v>54.2</x:v>
      </x:c>
      <x:c r="J1013" s="9" t="n">
        <x:f>SUM(SalesLines!P2456,SalesLines!P2457,SalesLines!P2458,SalesLines!P2459)</x:f>
        <x:v>0</x:v>
      </x:c>
      <x:c r="K1013" s="11" t="n">
        <x:f>SUM(SalesLines!R2456,SalesLines!R2457,SalesLines!R2458,SalesLines!R2459)</x:f>
        <x:v>13</x:v>
      </x:c>
      <x:c r="L1013" s="11" t="n">
        <x:f>SUM(SalesLines!S2456,SalesLines!S2457,SalesLines!S2458,SalesLines!S2459)</x:f>
        <x:v>0</x:v>
      </x:c>
      <x:c r="M1013" s="8" t="n">
        <x:f>DATE(YEAR(C1013),MONTH(C1013),1)</x:f>
        <x:v>45689</x:v>
      </x:c>
    </x:row>
    <x:row r="1014" ht="22" customHeight="1">
      <x:c r="A1014" s="2" t="str">
        <x:v>O01010</x:v>
      </x:c>
      <x:c r="B1014" s="2" t="str">
        <x:v>C0174</x:v>
      </x:c>
      <x:c r="C1014" s="7" t="n">
        <x:v>45830</x:v>
      </x:c>
      <x:c r="D1014" s="2" t="str">
        <x:v>Completed</x:v>
      </x:c>
      <x:c r="E1014" s="2" t="str">
        <x:v>South</x:v>
      </x:c>
      <x:c r="F1014" s="2" t="str">
        <x:v>Store</x:v>
      </x:c>
      <x:c r="G1014" s="9" t="n">
        <x:f>SUM(SalesLines!Q2460,SalesLines!Q2461,SalesLines!Q2462)</x:f>
        <x:v>1521</x:v>
      </x:c>
      <x:c r="H1014" s="9" t="n">
        <x:f>SUM(SalesLines!M2460,SalesLines!M2461,SalesLines!M2462)</x:f>
        <x:v>1765</x:v>
      </x:c>
      <x:c r="I1014" s="9" t="n">
        <x:f>SUM(SalesLines!N2460,SalesLines!N2461,SalesLines!N2462)</x:f>
        <x:v>179</x:v>
      </x:c>
      <x:c r="J1014" s="9" t="n">
        <x:f>SUM(SalesLines!P2460,SalesLines!P2461,SalesLines!P2462)</x:f>
        <x:v>65</x:v>
      </x:c>
      <x:c r="K1014" s="11" t="n">
        <x:f>SUM(SalesLines!R2460,SalesLines!R2461,SalesLines!R2462)</x:f>
        <x:v>11</x:v>
      </x:c>
      <x:c r="L1014" s="11" t="n">
        <x:f>SUM(SalesLines!S2460,SalesLines!S2461,SalesLines!S2462)</x:f>
        <x:v>1</x:v>
      </x:c>
      <x:c r="M1014" s="8" t="n">
        <x:f>DATE(YEAR(C1014),MONTH(C1014),1)</x:f>
        <x:v>45809</x:v>
      </x:c>
    </x:row>
    <x:row r="1015" ht="22" customHeight="1">
      <x:c r="A1015" s="2" t="str">
        <x:v>O01011</x:v>
      </x:c>
      <x:c r="B1015" s="2" t="str">
        <x:v>C0037</x:v>
      </x:c>
      <x:c r="C1015" s="7" t="n">
        <x:v>45992</x:v>
      </x:c>
      <x:c r="D1015" s="2" t="str">
        <x:v>Cancelled</x:v>
      </x:c>
      <x:c r="E1015" s="2" t="str">
        <x:v>East</x:v>
      </x:c>
      <x:c r="F1015" s="2" t="str">
        <x:v>Store</x:v>
      </x:c>
      <x:c r="G1015" s="9" t="n">
        <x:f>SUM(SalesLines!Q2463,SalesLines!Q2464)</x:f>
        <x:v>0</x:v>
      </x:c>
      <x:c r="H1015" s="9" t="n">
        <x:f>SUM(SalesLines!M2463,SalesLines!M2464)</x:f>
        <x:v>0</x:v>
      </x:c>
      <x:c r="I1015" s="9" t="n">
        <x:f>SUM(SalesLines!N2463,SalesLines!N2464)</x:f>
        <x:v>0</x:v>
      </x:c>
      <x:c r="J1015" s="9" t="n">
        <x:f>SUM(SalesLines!P2463,SalesLines!P2464)</x:f>
        <x:v>0</x:v>
      </x:c>
      <x:c r="K1015" s="11" t="n">
        <x:f>SUM(SalesLines!R2463,SalesLines!R2464)</x:f>
        <x:v>0</x:v>
      </x:c>
      <x:c r="L1015" s="11" t="n">
        <x:f>SUM(SalesLines!S2463,SalesLines!S2464)</x:f>
        <x:v>0</x:v>
      </x:c>
      <x:c r="M1015" s="8" t="n">
        <x:f>DATE(YEAR(C1015),MONTH(C1015),1)</x:f>
        <x:v>45992</x:v>
      </x:c>
    </x:row>
    <x:row r="1016" ht="22" customHeight="1">
      <x:c r="A1016" s="2" t="str">
        <x:v>O01012</x:v>
      </x:c>
      <x:c r="B1016" s="2" t="str">
        <x:v>C0248</x:v>
      </x:c>
      <x:c r="C1016" s="7" t="n">
        <x:v>45845</x:v>
      </x:c>
      <x:c r="D1016" s="2" t="str">
        <x:v>Completed</x:v>
      </x:c>
      <x:c r="E1016" s="2" t="str">
        <x:v>East</x:v>
      </x:c>
      <x:c r="F1016" s="2" t="str">
        <x:v>Online</x:v>
      </x:c>
      <x:c r="G1016" s="9" t="n">
        <x:f>SUM(SalesLines!Q2465)</x:f>
        <x:v>320</x:v>
      </x:c>
      <x:c r="H1016" s="9" t="n">
        <x:f>SUM(SalesLines!M2465)</x:f>
        <x:v>320</x:v>
      </x:c>
      <x:c r="I1016" s="9" t="n">
        <x:f>SUM(SalesLines!N2465)</x:f>
        <x:v>0</x:v>
      </x:c>
      <x:c r="J1016" s="9" t="n">
        <x:f>SUM(SalesLines!P2465)</x:f>
        <x:v>0</x:v>
      </x:c>
      <x:c r="K1016" s="11" t="n">
        <x:f>SUM(SalesLines!R2465)</x:f>
        <x:v>4</x:v>
      </x:c>
      <x:c r="L1016" s="11" t="n">
        <x:f>SUM(SalesLines!S2465)</x:f>
        <x:v>0</x:v>
      </x:c>
      <x:c r="M1016" s="8" t="n">
        <x:f>DATE(YEAR(C1016),MONTH(C1016),1)</x:f>
        <x:v>45839</x:v>
      </x:c>
    </x:row>
    <x:row r="1017" ht="22" customHeight="1">
      <x:c r="A1017" s="2" t="str">
        <x:v>O01013</x:v>
      </x:c>
      <x:c r="B1017" s="2" t="str">
        <x:v>C0260</x:v>
      </x:c>
      <x:c r="C1017" s="7" t="n">
        <x:v>45848</x:v>
      </x:c>
      <x:c r="D1017" s="2" t="str">
        <x:v>Completed</x:v>
      </x:c>
      <x:c r="E1017" s="2" t="str">
        <x:v>South</x:v>
      </x:c>
      <x:c r="F1017" s="2" t="str">
        <x:v>Store</x:v>
      </x:c>
      <x:c r="G1017" s="9" t="n">
        <x:f>SUM(SalesLines!Q2466,SalesLines!Q2467)</x:f>
        <x:v>1190.9</x:v>
      </x:c>
      <x:c r="H1017" s="9" t="n">
        <x:f>SUM(SalesLines!M2466,SalesLines!M2467)</x:f>
        <x:v>1402</x:v>
      </x:c>
      <x:c r="I1017" s="9" t="n">
        <x:f>SUM(SalesLines!N2466,SalesLines!N2467)</x:f>
        <x:v>211.1</x:v>
      </x:c>
      <x:c r="J1017" s="9" t="n">
        <x:f>SUM(SalesLines!P2466,SalesLines!P2467)</x:f>
        <x:v>0</x:v>
      </x:c>
      <x:c r="K1017" s="11" t="n">
        <x:f>SUM(SalesLines!R2466,SalesLines!R2467)</x:f>
        <x:v>7</x:v>
      </x:c>
      <x:c r="L1017" s="11" t="n">
        <x:f>SUM(SalesLines!S2466,SalesLines!S2467)</x:f>
        <x:v>0</x:v>
      </x:c>
      <x:c r="M1017" s="8" t="n">
        <x:f>DATE(YEAR(C1017),MONTH(C1017),1)</x:f>
        <x:v>45839</x:v>
      </x:c>
    </x:row>
    <x:row r="1018" ht="22" customHeight="1">
      <x:c r="A1018" s="2" t="str">
        <x:v>O01014</x:v>
      </x:c>
      <x:c r="B1018" s="2" t="str">
        <x:v>C0294</x:v>
      </x:c>
      <x:c r="C1018" s="7" t="n">
        <x:v>45910</x:v>
      </x:c>
      <x:c r="D1018" s="2" t="str">
        <x:v>Completed</x:v>
      </x:c>
      <x:c r="E1018" s="2" t="str">
        <x:v>South</x:v>
      </x:c>
      <x:c r="F1018" s="2" t="str">
        <x:v>Store</x:v>
      </x:c>
      <x:c r="G1018" s="9" t="n">
        <x:f>SUM(SalesLines!Q2468,SalesLines!Q2469)</x:f>
        <x:v>1797</x:v>
      </x:c>
      <x:c r="H1018" s="9" t="n">
        <x:f>SUM(SalesLines!M2468,SalesLines!M2469)</x:f>
        <x:v>1797</x:v>
      </x:c>
      <x:c r="I1018" s="9" t="n">
        <x:f>SUM(SalesLines!N2468,SalesLines!N2469)</x:f>
        <x:v>0</x:v>
      </x:c>
      <x:c r="J1018" s="9" t="n">
        <x:f>SUM(SalesLines!P2468,SalesLines!P2469)</x:f>
        <x:v>0</x:v>
      </x:c>
      <x:c r="K1018" s="11" t="n">
        <x:f>SUM(SalesLines!R2468,SalesLines!R2469)</x:f>
        <x:v>8</x:v>
      </x:c>
      <x:c r="L1018" s="11" t="n">
        <x:f>SUM(SalesLines!S2468,SalesLines!S2469)</x:f>
        <x:v>0</x:v>
      </x:c>
      <x:c r="M1018" s="8" t="n">
        <x:f>DATE(YEAR(C1018),MONTH(C1018),1)</x:f>
        <x:v>45901</x:v>
      </x:c>
    </x:row>
    <x:row r="1019" ht="22" customHeight="1">
      <x:c r="A1019" s="2" t="str">
        <x:v>O01015</x:v>
      </x:c>
      <x:c r="B1019" s="2" t="str">
        <x:v>C0233</x:v>
      </x:c>
      <x:c r="C1019" s="7" t="n">
        <x:v>45779</x:v>
      </x:c>
      <x:c r="D1019" s="2" t="str">
        <x:v>Completed</x:v>
      </x:c>
      <x:c r="E1019" s="2" t="str">
        <x:v>South</x:v>
      </x:c>
      <x:c r="F1019" s="2" t="str">
        <x:v>Online</x:v>
      </x:c>
      <x:c r="G1019" s="9" t="n">
        <x:f>SUM(SalesLines!Q2470,SalesLines!Q2471,SalesLines!Q2472)</x:f>
        <x:v>1056.2</x:v>
      </x:c>
      <x:c r="H1019" s="9" t="n">
        <x:f>SUM(SalesLines!M2470,SalesLines!M2471,SalesLines!M2472)</x:f>
        <x:v>1122</x:v>
      </x:c>
      <x:c r="I1019" s="9" t="n">
        <x:f>SUM(SalesLines!N2470,SalesLines!N2471,SalesLines!N2472)</x:f>
        <x:v>65.80000000000001</x:v>
      </x:c>
      <x:c r="J1019" s="9" t="n">
        <x:f>SUM(SalesLines!P2470,SalesLines!P2471,SalesLines!P2472)</x:f>
        <x:v>0</x:v>
      </x:c>
      <x:c r="K1019" s="11" t="n">
        <x:f>SUM(SalesLines!R2470,SalesLines!R2471,SalesLines!R2472)</x:f>
        <x:v>6</x:v>
      </x:c>
      <x:c r="L1019" s="11" t="n">
        <x:f>SUM(SalesLines!S2470,SalesLines!S2471,SalesLines!S2472)</x:f>
        <x:v>0</x:v>
      </x:c>
      <x:c r="M1019" s="8" t="n">
        <x:f>DATE(YEAR(C1019),MONTH(C1019),1)</x:f>
        <x:v>45778</x:v>
      </x:c>
    </x:row>
    <x:row r="1020" ht="22" customHeight="1">
      <x:c r="A1020" s="2" t="str">
        <x:v>O01016</x:v>
      </x:c>
      <x:c r="B1020" s="2" t="str">
        <x:v>C0030</x:v>
      </x:c>
      <x:c r="C1020" s="7" t="n">
        <x:v>46004</x:v>
      </x:c>
      <x:c r="D1020" s="2" t="str">
        <x:v>Completed</x:v>
      </x:c>
      <x:c r="E1020" s="2" t="str">
        <x:v>South</x:v>
      </x:c>
      <x:c r="F1020" s="2" t="str">
        <x:v>Online</x:v>
      </x:c>
      <x:c r="G1020" s="9" t="n">
        <x:f>SUM(SalesLines!Q2473,SalesLines!Q2474,SalesLines!Q2475,SalesLines!Q2476)</x:f>
        <x:v>2443.3</x:v>
      </x:c>
      <x:c r="H1020" s="9" t="n">
        <x:f>SUM(SalesLines!M2473,SalesLines!M2474,SalesLines!M2475,SalesLines!M2476)</x:f>
        <x:v>2706</x:v>
      </x:c>
      <x:c r="I1020" s="9" t="n">
        <x:f>SUM(SalesLines!N2473,SalesLines!N2474,SalesLines!N2475,SalesLines!N2476)</x:f>
        <x:v>262.7</x:v>
      </x:c>
      <x:c r="J1020" s="9" t="n">
        <x:f>SUM(SalesLines!P2473,SalesLines!P2474,SalesLines!P2475,SalesLines!P2476)</x:f>
        <x:v>0</x:v>
      </x:c>
      <x:c r="K1020" s="11" t="n">
        <x:f>SUM(SalesLines!R2473,SalesLines!R2474,SalesLines!R2475,SalesLines!R2476)</x:f>
        <x:v>11</x:v>
      </x:c>
      <x:c r="L1020" s="11" t="n">
        <x:f>SUM(SalesLines!S2473,SalesLines!S2474,SalesLines!S2475,SalesLines!S2476)</x:f>
        <x:v>0</x:v>
      </x:c>
      <x:c r="M1020" s="8" t="n">
        <x:f>DATE(YEAR(C1020),MONTH(C1020),1)</x:f>
        <x:v>45992</x:v>
      </x:c>
    </x:row>
    <x:row r="1021" ht="22" customHeight="1">
      <x:c r="A1021" s="2" t="str">
        <x:v>O01017</x:v>
      </x:c>
      <x:c r="B1021" s="2" t="str">
        <x:v>C0075</x:v>
      </x:c>
      <x:c r="C1021" s="7" t="n">
        <x:v>46010</x:v>
      </x:c>
      <x:c r="D1021" s="2" t="str">
        <x:v>Completed</x:v>
      </x:c>
      <x:c r="E1021" s="2" t="str">
        <x:v>South</x:v>
      </x:c>
      <x:c r="F1021" s="2" t="str">
        <x:v>Online</x:v>
      </x:c>
      <x:c r="G1021" s="9" t="n">
        <x:f>SUM(SalesLines!Q2477,SalesLines!Q2478,SalesLines!Q2479)</x:f>
        <x:v>1537.8000000000002</x:v>
      </x:c>
      <x:c r="H1021" s="9" t="n">
        <x:f>SUM(SalesLines!M2477,SalesLines!M2478,SalesLines!M2479)</x:f>
        <x:v>1872</x:v>
      </x:c>
      <x:c r="I1021" s="9" t="n">
        <x:f>SUM(SalesLines!N2477,SalesLines!N2478,SalesLines!N2479)</x:f>
        <x:v>334.20000000000005</x:v>
      </x:c>
      <x:c r="J1021" s="9" t="n">
        <x:f>SUM(SalesLines!P2477,SalesLines!P2478,SalesLines!P2479)</x:f>
        <x:v>0</x:v>
      </x:c>
      <x:c r="K1021" s="11" t="n">
        <x:f>SUM(SalesLines!R2477,SalesLines!R2478,SalesLines!R2479)</x:f>
        <x:v>9</x:v>
      </x:c>
      <x:c r="L1021" s="11" t="n">
        <x:f>SUM(SalesLines!S2477,SalesLines!S2478,SalesLines!S2479)</x:f>
        <x:v>0</x:v>
      </x:c>
      <x:c r="M1021" s="8" t="n">
        <x:f>DATE(YEAR(C1021),MONTH(C1021),1)</x:f>
        <x:v>45992</x:v>
      </x:c>
    </x:row>
    <x:row r="1022" ht="22" customHeight="1">
      <x:c r="A1022" s="2" t="str">
        <x:v>O01018</x:v>
      </x:c>
      <x:c r="B1022" s="2" t="str">
        <x:v>C0003</x:v>
      </x:c>
      <x:c r="C1022" s="7" t="n">
        <x:v>45742</x:v>
      </x:c>
      <x:c r="D1022" s="2" t="str">
        <x:v>Completed</x:v>
      </x:c>
      <x:c r="E1022" s="2" t="str">
        <x:v>North</x:v>
      </x:c>
      <x:c r="F1022" s="2" t="str">
        <x:v>Online</x:v>
      </x:c>
      <x:c r="G1022" s="9" t="n">
        <x:f>SUM(SalesLines!Q2480,SalesLines!Q2481)</x:f>
        <x:v>1694.55</x:v>
      </x:c>
      <x:c r="H1022" s="9" t="n">
        <x:f>SUM(SalesLines!M2480,SalesLines!M2481)</x:f>
        <x:v>1941</x:v>
      </x:c>
      <x:c r="I1022" s="9" t="n">
        <x:f>SUM(SalesLines!N2480,SalesLines!N2481)</x:f>
        <x:v>246.45000000000002</x:v>
      </x:c>
      <x:c r="J1022" s="9" t="n">
        <x:f>SUM(SalesLines!P2480,SalesLines!P2481)</x:f>
        <x:v>0</x:v>
      </x:c>
      <x:c r="K1022" s="11" t="n">
        <x:f>SUM(SalesLines!R2480,SalesLines!R2481)</x:f>
        <x:v>9</x:v>
      </x:c>
      <x:c r="L1022" s="11" t="n">
        <x:f>SUM(SalesLines!S2480,SalesLines!S2481)</x:f>
        <x:v>0</x:v>
      </x:c>
      <x:c r="M1022" s="8" t="n">
        <x:f>DATE(YEAR(C1022),MONTH(C1022),1)</x:f>
        <x:v>45717</x:v>
      </x:c>
    </x:row>
    <x:row r="1023" ht="22" customHeight="1">
      <x:c r="A1023" s="2" t="str">
        <x:v>O01019</x:v>
      </x:c>
      <x:c r="B1023" s="2" t="str">
        <x:v>C0121</x:v>
      </x:c>
      <x:c r="C1023" s="7" t="n">
        <x:v>45841</x:v>
      </x:c>
      <x:c r="D1023" s="2" t="str">
        <x:v>Completed</x:v>
      </x:c>
      <x:c r="E1023" s="2" t="str">
        <x:v>West</x:v>
      </x:c>
      <x:c r="F1023" s="2" t="str">
        <x:v>Online</x:v>
      </x:c>
      <x:c r="G1023" s="9" t="n">
        <x:f>SUM(SalesLines!Q2482,SalesLines!Q2483)</x:f>
        <x:v>1594</x:v>
      </x:c>
      <x:c r="H1023" s="9" t="n">
        <x:f>SUM(SalesLines!M2482,SalesLines!M2483)</x:f>
        <x:v>1594</x:v>
      </x:c>
      <x:c r="I1023" s="9" t="n">
        <x:f>SUM(SalesLines!N2482,SalesLines!N2483)</x:f>
        <x:v>0</x:v>
      </x:c>
      <x:c r="J1023" s="9" t="n">
        <x:f>SUM(SalesLines!P2482,SalesLines!P2483)</x:f>
        <x:v>0</x:v>
      </x:c>
      <x:c r="K1023" s="11" t="n">
        <x:f>SUM(SalesLines!R2482,SalesLines!R2483)</x:f>
        <x:v>9</x:v>
      </x:c>
      <x:c r="L1023" s="11" t="n">
        <x:f>SUM(SalesLines!S2482,SalesLines!S2483)</x:f>
        <x:v>0</x:v>
      </x:c>
      <x:c r="M1023" s="8" t="n">
        <x:f>DATE(YEAR(C1023),MONTH(C1023),1)</x:f>
        <x:v>45839</x:v>
      </x:c>
    </x:row>
    <x:row r="1024" ht="22" customHeight="1">
      <x:c r="A1024" s="2" t="str">
        <x:v>O01020</x:v>
      </x:c>
      <x:c r="B1024" s="2" t="str">
        <x:v>C0242</x:v>
      </x:c>
      <x:c r="C1024" s="7" t="n">
        <x:v>45669</x:v>
      </x:c>
      <x:c r="D1024" s="2" t="str">
        <x:v>Completed</x:v>
      </x:c>
      <x:c r="E1024" s="2" t="str">
        <x:v>South</x:v>
      </x:c>
      <x:c r="F1024" s="2" t="str">
        <x:v>Store</x:v>
      </x:c>
      <x:c r="G1024" s="9" t="n">
        <x:f>SUM(SalesLines!Q2484,SalesLines!Q2485,SalesLines!Q2486,SalesLines!Q2487)</x:f>
        <x:v>2078</x:v>
      </x:c>
      <x:c r="H1024" s="9" t="n">
        <x:f>SUM(SalesLines!M2484,SalesLines!M2485,SalesLines!M2486,SalesLines!M2487)</x:f>
        <x:v>2308</x:v>
      </x:c>
      <x:c r="I1024" s="9" t="n">
        <x:f>SUM(SalesLines!N2484,SalesLines!N2485,SalesLines!N2486,SalesLines!N2487)</x:f>
        <x:v>230.00000000000003</x:v>
      </x:c>
      <x:c r="J1024" s="9" t="n">
        <x:f>SUM(SalesLines!P2484,SalesLines!P2485,SalesLines!P2486,SalesLines!P2487)</x:f>
        <x:v>0</x:v>
      </x:c>
      <x:c r="K1024" s="11" t="n">
        <x:f>SUM(SalesLines!R2484,SalesLines!R2485,SalesLines!R2486,SalesLines!R2487)</x:f>
        <x:v>12</x:v>
      </x:c>
      <x:c r="L1024" s="11" t="n">
        <x:f>SUM(SalesLines!S2484,SalesLines!S2485,SalesLines!S2486,SalesLines!S2487)</x:f>
        <x:v>0</x:v>
      </x:c>
      <x:c r="M1024" s="8" t="n">
        <x:f>DATE(YEAR(C1024),MONTH(C1024),1)</x:f>
        <x:v>45658</x:v>
      </x:c>
    </x:row>
    <x:row r="1025" ht="22" customHeight="1">
      <x:c r="A1025" s="2" t="str">
        <x:v>O01021</x:v>
      </x:c>
      <x:c r="B1025" s="2" t="str">
        <x:v>C0201</x:v>
      </x:c>
      <x:c r="C1025" s="7" t="n">
        <x:v>45864</x:v>
      </x:c>
      <x:c r="D1025" s="2" t="str">
        <x:v>Completed</x:v>
      </x:c>
      <x:c r="E1025" s="2" t="str">
        <x:v>East</x:v>
      </x:c>
      <x:c r="F1025" s="2" t="str">
        <x:v>Online</x:v>
      </x:c>
      <x:c r="G1025" s="9" t="n">
        <x:f>SUM(SalesLines!Q2488,SalesLines!Q2489,SalesLines!Q2490)</x:f>
        <x:v>1861.0000000000002</x:v>
      </x:c>
      <x:c r="H1025" s="9" t="n">
        <x:f>SUM(SalesLines!M2488,SalesLines!M2489,SalesLines!M2490)</x:f>
        <x:v>2216</x:v>
      </x:c>
      <x:c r="I1025" s="9" t="n">
        <x:f>SUM(SalesLines!N2488,SalesLines!N2489,SalesLines!N2490)</x:f>
        <x:v>355</x:v>
      </x:c>
      <x:c r="J1025" s="9" t="n">
        <x:f>SUM(SalesLines!P2488,SalesLines!P2489,SalesLines!P2490)</x:f>
        <x:v>0</x:v>
      </x:c>
      <x:c r="K1025" s="11" t="n">
        <x:f>SUM(SalesLines!R2488,SalesLines!R2489,SalesLines!R2490)</x:f>
        <x:v>10</x:v>
      </x:c>
      <x:c r="L1025" s="11" t="n">
        <x:f>SUM(SalesLines!S2488,SalesLines!S2489,SalesLines!S2490)</x:f>
        <x:v>0</x:v>
      </x:c>
      <x:c r="M1025" s="8" t="n">
        <x:f>DATE(YEAR(C1025),MONTH(C1025),1)</x:f>
        <x:v>45839</x:v>
      </x:c>
    </x:row>
    <x:row r="1026" ht="22" customHeight="1">
      <x:c r="A1026" s="2" t="str">
        <x:v>O01022</x:v>
      </x:c>
      <x:c r="B1026" s="2" t="str">
        <x:v>C0112</x:v>
      </x:c>
      <x:c r="C1026" s="7" t="n">
        <x:v>45841</x:v>
      </x:c>
      <x:c r="D1026" s="2" t="str">
        <x:v>Completed</x:v>
      </x:c>
      <x:c r="E1026" s="2" t="str">
        <x:v>South</x:v>
      </x:c>
      <x:c r="F1026" s="2" t="str">
        <x:v>Online</x:v>
      </x:c>
      <x:c r="G1026" s="9" t="n">
        <x:f>SUM(SalesLines!Q2491,SalesLines!Q2492,SalesLines!Q2493)</x:f>
        <x:v>740.7</x:v>
      </x:c>
      <x:c r="H1026" s="9" t="n">
        <x:f>SUM(SalesLines!M2491,SalesLines!M2492,SalesLines!M2493)</x:f>
        <x:v>1174</x:v>
      </x:c>
      <x:c r="I1026" s="9" t="n">
        <x:f>SUM(SalesLines!N2491,SalesLines!N2492,SalesLines!N2493)</x:f>
        <x:v>108.30000000000001</x:v>
      </x:c>
      <x:c r="J1026" s="9" t="n">
        <x:f>SUM(SalesLines!P2491,SalesLines!P2492,SalesLines!P2493)</x:f>
        <x:v>325</x:v>
      </x:c>
      <x:c r="K1026" s="11" t="n">
        <x:f>SUM(SalesLines!R2491,SalesLines!R2492,SalesLines!R2493)</x:f>
        <x:v>13</x:v>
      </x:c>
      <x:c r="L1026" s="11" t="n">
        <x:f>SUM(SalesLines!S2491,SalesLines!S2492,SalesLines!S2493)</x:f>
        <x:v>5</x:v>
      </x:c>
      <x:c r="M1026" s="8" t="n">
        <x:f>DATE(YEAR(C1026),MONTH(C1026),1)</x:f>
        <x:v>45839</x:v>
      </x:c>
    </x:row>
    <x:row r="1027" ht="22" customHeight="1">
      <x:c r="A1027" s="2" t="str">
        <x:v>O01023</x:v>
      </x:c>
      <x:c r="B1027" s="2" t="str">
        <x:v>C0181</x:v>
      </x:c>
      <x:c r="C1027" s="7" t="n">
        <x:v>45671</x:v>
      </x:c>
      <x:c r="D1027" s="2" t="str">
        <x:v>Completed</x:v>
      </x:c>
      <x:c r="E1027" s="2" t="str">
        <x:v>West</x:v>
      </x:c>
      <x:c r="F1027" s="2" t="str">
        <x:v>Store</x:v>
      </x:c>
      <x:c r="G1027" s="9" t="n">
        <x:f>SUM(SalesLines!Q2494)</x:f>
        <x:v>422</x:v>
      </x:c>
      <x:c r="H1027" s="9" t="n">
        <x:f>SUM(SalesLines!M2494)</x:f>
        <x:v>422</x:v>
      </x:c>
      <x:c r="I1027" s="9" t="n">
        <x:f>SUM(SalesLines!N2494)</x:f>
        <x:v>0</x:v>
      </x:c>
      <x:c r="J1027" s="9" t="n">
        <x:f>SUM(SalesLines!P2494)</x:f>
        <x:v>0</x:v>
      </x:c>
      <x:c r="K1027" s="11" t="n">
        <x:f>SUM(SalesLines!R2494)</x:f>
        <x:v>2</x:v>
      </x:c>
      <x:c r="L1027" s="11" t="n">
        <x:f>SUM(SalesLines!S2494)</x:f>
        <x:v>0</x:v>
      </x:c>
      <x:c r="M1027" s="8" t="n">
        <x:f>DATE(YEAR(C1027),MONTH(C1027),1)</x:f>
        <x:v>45658</x:v>
      </x:c>
    </x:row>
    <x:row r="1028" ht="22" customHeight="1">
      <x:c r="A1028" s="2" t="str">
        <x:v>O01024</x:v>
      </x:c>
      <x:c r="B1028" s="2" t="str">
        <x:v>C0124</x:v>
      </x:c>
      <x:c r="C1028" s="7" t="n">
        <x:v>45904</x:v>
      </x:c>
      <x:c r="D1028" s="2" t="str">
        <x:v>Cancelled</x:v>
      </x:c>
      <x:c r="E1028" s="2" t="str">
        <x:v>East</x:v>
      </x:c>
      <x:c r="F1028" s="2" t="str">
        <x:v>Online</x:v>
      </x:c>
      <x:c r="G1028" s="9" t="n">
        <x:f>SUM(SalesLines!Q2495,SalesLines!Q2496,SalesLines!Q2497)</x:f>
        <x:v>0</x:v>
      </x:c>
      <x:c r="H1028" s="9" t="n">
        <x:f>SUM(SalesLines!M2495,SalesLines!M2496,SalesLines!M2497)</x:f>
        <x:v>0</x:v>
      </x:c>
      <x:c r="I1028" s="9" t="n">
        <x:f>SUM(SalesLines!N2495,SalesLines!N2496,SalesLines!N2497)</x:f>
        <x:v>0</x:v>
      </x:c>
      <x:c r="J1028" s="9" t="n">
        <x:f>SUM(SalesLines!P2495,SalesLines!P2496,SalesLines!P2497)</x:f>
        <x:v>0</x:v>
      </x:c>
      <x:c r="K1028" s="11" t="n">
        <x:f>SUM(SalesLines!R2495,SalesLines!R2496,SalesLines!R2497)</x:f>
        <x:v>0</x:v>
      </x:c>
      <x:c r="L1028" s="11" t="n">
        <x:f>SUM(SalesLines!S2495,SalesLines!S2496,SalesLines!S2497)</x:f>
        <x:v>0</x:v>
      </x:c>
      <x:c r="M1028" s="8" t="n">
        <x:f>DATE(YEAR(C1028),MONTH(C1028),1)</x:f>
        <x:v>45901</x:v>
      </x:c>
    </x:row>
    <x:row r="1029" ht="22" customHeight="1">
      <x:c r="A1029" s="2" t="str">
        <x:v>O01025</x:v>
      </x:c>
      <x:c r="B1029" s="2" t="str">
        <x:v>C0060</x:v>
      </x:c>
      <x:c r="C1029" s="7" t="n">
        <x:v>45983</x:v>
      </x:c>
      <x:c r="D1029" s="2" t="str">
        <x:v>Completed</x:v>
      </x:c>
      <x:c r="E1029" s="2" t="str">
        <x:v>South</x:v>
      </x:c>
      <x:c r="F1029" s="2" t="str">
        <x:v>Online</x:v>
      </x:c>
      <x:c r="G1029" s="9" t="n">
        <x:f>SUM(SalesLines!Q2498)</x:f>
        <x:v>538</x:v>
      </x:c>
      <x:c r="H1029" s="9" t="n">
        <x:f>SUM(SalesLines!M2498)</x:f>
        <x:v>538</x:v>
      </x:c>
      <x:c r="I1029" s="9" t="n">
        <x:f>SUM(SalesLines!N2498)</x:f>
        <x:v>0</x:v>
      </x:c>
      <x:c r="J1029" s="9" t="n">
        <x:f>SUM(SalesLines!P2498)</x:f>
        <x:v>0</x:v>
      </x:c>
      <x:c r="K1029" s="11" t="n">
        <x:f>SUM(SalesLines!R2498)</x:f>
        <x:v>2</x:v>
      </x:c>
      <x:c r="L1029" s="11" t="n">
        <x:f>SUM(SalesLines!S2498)</x:f>
        <x:v>0</x:v>
      </x:c>
      <x:c r="M1029" s="8" t="n">
        <x:f>DATE(YEAR(C1029),MONTH(C1029),1)</x:f>
        <x:v>45962</x:v>
      </x:c>
    </x:row>
    <x:row r="1030" ht="22" customHeight="1">
      <x:c r="A1030" s="2" t="str">
        <x:v>O01026</x:v>
      </x:c>
      <x:c r="B1030" s="2" t="str">
        <x:v>C0094</x:v>
      </x:c>
      <x:c r="C1030" s="7" t="n">
        <x:v>45949</x:v>
      </x:c>
      <x:c r="D1030" s="2" t="str">
        <x:v>Completed</x:v>
      </x:c>
      <x:c r="E1030" s="2" t="str">
        <x:v>West</x:v>
      </x:c>
      <x:c r="F1030" s="2" t="str">
        <x:v>Store</x:v>
      </x:c>
      <x:c r="G1030" s="9" t="n">
        <x:f>SUM(SalesLines!Q2499,SalesLines!Q2500,SalesLines!Q2501,SalesLines!Q2502)</x:f>
        <x:v>3083.7</x:v>
      </x:c>
      <x:c r="H1030" s="9" t="n">
        <x:f>SUM(SalesLines!M2499,SalesLines!M2500,SalesLines!M2501,SalesLines!M2502)</x:f>
        <x:v>3398</x:v>
      </x:c>
      <x:c r="I1030" s="9" t="n">
        <x:f>SUM(SalesLines!N2499,SalesLines!N2500,SalesLines!N2501,SalesLines!N2502)</x:f>
        <x:v>314.3</x:v>
      </x:c>
      <x:c r="J1030" s="9" t="n">
        <x:f>SUM(SalesLines!P2499,SalesLines!P2500,SalesLines!P2501,SalesLines!P2502)</x:f>
        <x:v>0</x:v>
      </x:c>
      <x:c r="K1030" s="11" t="n">
        <x:f>SUM(SalesLines!R2499,SalesLines!R2500,SalesLines!R2501,SalesLines!R2502)</x:f>
        <x:v>13</x:v>
      </x:c>
      <x:c r="L1030" s="11" t="n">
        <x:f>SUM(SalesLines!S2499,SalesLines!S2500,SalesLines!S2501,SalesLines!S2502)</x:f>
        <x:v>0</x:v>
      </x:c>
      <x:c r="M1030" s="8" t="n">
        <x:f>DATE(YEAR(C1030),MONTH(C1030),1)</x:f>
        <x:v>45931</x:v>
      </x:c>
    </x:row>
    <x:row r="1031" ht="22" customHeight="1">
      <x:c r="A1031" s="2" t="str">
        <x:v>O01027</x:v>
      </x:c>
      <x:c r="B1031" s="2" t="str">
        <x:v>C0243</x:v>
      </x:c>
      <x:c r="C1031" s="7" t="n">
        <x:v>45788</x:v>
      </x:c>
      <x:c r="D1031" s="2" t="str">
        <x:v>Cancelled</x:v>
      </x:c>
      <x:c r="E1031" s="2" t="str">
        <x:v>East</x:v>
      </x:c>
      <x:c r="F1031" s="2" t="str">
        <x:v>Online</x:v>
      </x:c>
      <x:c r="G1031" s="9" t="n">
        <x:f>SUM(SalesLines!Q2503,SalesLines!Q2504,SalesLines!Q2505,SalesLines!Q2506)</x:f>
        <x:v>0</x:v>
      </x:c>
      <x:c r="H1031" s="9" t="n">
        <x:f>SUM(SalesLines!M2503,SalesLines!M2504,SalesLines!M2505,SalesLines!M2506)</x:f>
        <x:v>0</x:v>
      </x:c>
      <x:c r="I1031" s="9" t="n">
        <x:f>SUM(SalesLines!N2503,SalesLines!N2504,SalesLines!N2505,SalesLines!N2506)</x:f>
        <x:v>0</x:v>
      </x:c>
      <x:c r="J1031" s="9" t="n">
        <x:f>SUM(SalesLines!P2503,SalesLines!P2504,SalesLines!P2505,SalesLines!P2506)</x:f>
        <x:v>0</x:v>
      </x:c>
      <x:c r="K1031" s="11" t="n">
        <x:f>SUM(SalesLines!R2503,SalesLines!R2504,SalesLines!R2505,SalesLines!R2506)</x:f>
        <x:v>0</x:v>
      </x:c>
      <x:c r="L1031" s="11" t="n">
        <x:f>SUM(SalesLines!S2503,SalesLines!S2504,SalesLines!S2505,SalesLines!S2506)</x:f>
        <x:v>0</x:v>
      </x:c>
      <x:c r="M1031" s="8" t="n">
        <x:f>DATE(YEAR(C1031),MONTH(C1031),1)</x:f>
        <x:v>45778</x:v>
      </x:c>
    </x:row>
    <x:row r="1032" ht="22" customHeight="1">
      <x:c r="A1032" s="2" t="str">
        <x:v>O01028</x:v>
      </x:c>
      <x:c r="B1032" s="2" t="str">
        <x:v>C0162</x:v>
      </x:c>
      <x:c r="C1032" s="7" t="n">
        <x:v>45988</x:v>
      </x:c>
      <x:c r="D1032" s="2" t="str">
        <x:v>Completed</x:v>
      </x:c>
      <x:c r="E1032" s="2" t="str">
        <x:v>South</x:v>
      </x:c>
      <x:c r="F1032" s="2" t="str">
        <x:v>Online</x:v>
      </x:c>
      <x:c r="G1032" s="9" t="n">
        <x:f>SUM(SalesLines!Q2507,SalesLines!Q2508)</x:f>
        <x:v>865</x:v>
      </x:c>
      <x:c r="H1032" s="9" t="n">
        <x:f>SUM(SalesLines!M2507,SalesLines!M2508)</x:f>
        <x:v>878</x:v>
      </x:c>
      <x:c r="I1032" s="9" t="n">
        <x:f>SUM(SalesLines!N2507,SalesLines!N2508)</x:f>
        <x:v>13</x:v>
      </x:c>
      <x:c r="J1032" s="9" t="n">
        <x:f>SUM(SalesLines!P2507,SalesLines!P2508)</x:f>
        <x:v>0</x:v>
      </x:c>
      <x:c r="K1032" s="11" t="n">
        <x:f>SUM(SalesLines!R2507,SalesLines!R2508)</x:f>
        <x:v>4</x:v>
      </x:c>
      <x:c r="L1032" s="11" t="n">
        <x:f>SUM(SalesLines!S2507,SalesLines!S2508)</x:f>
        <x:v>0</x:v>
      </x:c>
      <x:c r="M1032" s="8" t="n">
        <x:f>DATE(YEAR(C1032),MONTH(C1032),1)</x:f>
        <x:v>45962</x:v>
      </x:c>
    </x:row>
    <x:row r="1033" ht="22" customHeight="1">
      <x:c r="A1033" s="2" t="str">
        <x:v>O01029</x:v>
      </x:c>
      <x:c r="B1033" s="2" t="str">
        <x:v>C0017</x:v>
      </x:c>
      <x:c r="C1033" s="7" t="n">
        <x:v>45988</x:v>
      </x:c>
      <x:c r="D1033" s="2" t="str">
        <x:v>Completed</x:v>
      </x:c>
      <x:c r="E1033" s="2" t="str">
        <x:v>South</x:v>
      </x:c>
      <x:c r="F1033" s="2" t="str">
        <x:v>Store</x:v>
      </x:c>
      <x:c r="G1033" s="9" t="n">
        <x:f>SUM(SalesLines!Q2509)</x:f>
        <x:v>860.8</x:v>
      </x:c>
      <x:c r="H1033" s="9" t="n">
        <x:f>SUM(SalesLines!M2509)</x:f>
        <x:v>1076</x:v>
      </x:c>
      <x:c r="I1033" s="9" t="n">
        <x:f>SUM(SalesLines!N2509)</x:f>
        <x:v>215.20000000000002</x:v>
      </x:c>
      <x:c r="J1033" s="9" t="n">
        <x:f>SUM(SalesLines!P2509)</x:f>
        <x:v>0</x:v>
      </x:c>
      <x:c r="K1033" s="11" t="n">
        <x:f>SUM(SalesLines!R2509)</x:f>
        <x:v>4</x:v>
      </x:c>
      <x:c r="L1033" s="11" t="n">
        <x:f>SUM(SalesLines!S2509)</x:f>
        <x:v>0</x:v>
      </x:c>
      <x:c r="M1033" s="8" t="n">
        <x:f>DATE(YEAR(C1033),MONTH(C1033),1)</x:f>
        <x:v>45962</x:v>
      </x:c>
    </x:row>
    <x:row r="1034" ht="22" customHeight="1">
      <x:c r="A1034" s="2" t="str">
        <x:v>O01030</x:v>
      </x:c>
      <x:c r="B1034" s="2" t="str">
        <x:v>C0157</x:v>
      </x:c>
      <x:c r="C1034" s="7" t="n">
        <x:v>45822</x:v>
      </x:c>
      <x:c r="D1034" s="2" t="str">
        <x:v>Completed</x:v>
      </x:c>
      <x:c r="E1034" s="2" t="str">
        <x:v>West</x:v>
      </x:c>
      <x:c r="F1034" s="2" t="str">
        <x:v>Online</x:v>
      </x:c>
      <x:c r="G1034" s="9" t="n">
        <x:f>SUM(SalesLines!Q2510,SalesLines!Q2511,SalesLines!Q2512,SalesLines!Q2513)</x:f>
        <x:v>1920</x:v>
      </x:c>
      <x:c r="H1034" s="9" t="n">
        <x:f>SUM(SalesLines!M2510,SalesLines!M2511,SalesLines!M2512,SalesLines!M2513)</x:f>
        <x:v>2150</x:v>
      </x:c>
      <x:c r="I1034" s="9" t="n">
        <x:f>SUM(SalesLines!N2510,SalesLines!N2511,SalesLines!N2512,SalesLines!N2513)</x:f>
        <x:v>230</x:v>
      </x:c>
      <x:c r="J1034" s="9" t="n">
        <x:f>SUM(SalesLines!P2510,SalesLines!P2511,SalesLines!P2512,SalesLines!P2513)</x:f>
        <x:v>0</x:v>
      </x:c>
      <x:c r="K1034" s="11" t="n">
        <x:f>SUM(SalesLines!R2510,SalesLines!R2511,SalesLines!R2512,SalesLines!R2513)</x:f>
        <x:v>13</x:v>
      </x:c>
      <x:c r="L1034" s="11" t="n">
        <x:f>SUM(SalesLines!S2510,SalesLines!S2511,SalesLines!S2512,SalesLines!S2513)</x:f>
        <x:v>0</x:v>
      </x:c>
      <x:c r="M1034" s="8" t="n">
        <x:f>DATE(YEAR(C1034),MONTH(C1034),1)</x:f>
        <x:v>45809</x:v>
      </x:c>
    </x:row>
    <x:row r="1035" ht="22" customHeight="1">
      <x:c r="A1035" s="2" t="str">
        <x:v>O01031</x:v>
      </x:c>
      <x:c r="B1035" s="2" t="str">
        <x:v>C0230</x:v>
      </x:c>
      <x:c r="C1035" s="7" t="n">
        <x:v>45891</x:v>
      </x:c>
      <x:c r="D1035" s="2" t="str">
        <x:v>Completed</x:v>
      </x:c>
      <x:c r="E1035" s="2" t="str">
        <x:v>East</x:v>
      </x:c>
      <x:c r="F1035" s="2" t="str">
        <x:v>Online</x:v>
      </x:c>
      <x:c r="G1035" s="9" t="n">
        <x:f>SUM(SalesLines!Q2514,SalesLines!Q2515,SalesLines!Q2516)</x:f>
        <x:v>737.2</x:v>
      </x:c>
      <x:c r="H1035" s="9" t="n">
        <x:f>SUM(SalesLines!M2514,SalesLines!M2515,SalesLines!M2516)</x:f>
        <x:v>834</x:v>
      </x:c>
      <x:c r="I1035" s="9" t="n">
        <x:f>SUM(SalesLines!N2514,SalesLines!N2515,SalesLines!N2516)</x:f>
        <x:v>96.80000000000001</x:v>
      </x:c>
      <x:c r="J1035" s="9" t="n">
        <x:f>SUM(SalesLines!P2514,SalesLines!P2515,SalesLines!P2516)</x:f>
        <x:v>0</x:v>
      </x:c>
      <x:c r="K1035" s="11" t="n">
        <x:f>SUM(SalesLines!R2514,SalesLines!R2515,SalesLines!R2516)</x:f>
        <x:v>7</x:v>
      </x:c>
      <x:c r="L1035" s="11" t="n">
        <x:f>SUM(SalesLines!S2514,SalesLines!S2515,SalesLines!S2516)</x:f>
        <x:v>0</x:v>
      </x:c>
      <x:c r="M1035" s="8" t="n">
        <x:f>DATE(YEAR(C1035),MONTH(C1035),1)</x:f>
        <x:v>45870</x:v>
      </x:c>
    </x:row>
    <x:row r="1036" ht="22" customHeight="1">
      <x:c r="A1036" s="2" t="str">
        <x:v>O01032</x:v>
      </x:c>
      <x:c r="B1036" s="2" t="str">
        <x:v>C0146</x:v>
      </x:c>
      <x:c r="C1036" s="7" t="n">
        <x:v>45753</x:v>
      </x:c>
      <x:c r="D1036" s="2" t="str">
        <x:v>Completed</x:v>
      </x:c>
      <x:c r="E1036" s="2" t="str">
        <x:v>South</x:v>
      </x:c>
      <x:c r="F1036" s="2" t="str">
        <x:v>Store</x:v>
      </x:c>
      <x:c r="G1036" s="9" t="n">
        <x:f>SUM(SalesLines!Q2517,SalesLines!Q2518,SalesLines!Q2519)</x:f>
        <x:v>2088</x:v>
      </x:c>
      <x:c r="H1036" s="9" t="n">
        <x:f>SUM(SalesLines!M2517,SalesLines!M2518,SalesLines!M2519)</x:f>
        <x:v>2320</x:v>
      </x:c>
      <x:c r="I1036" s="9" t="n">
        <x:f>SUM(SalesLines!N2517,SalesLines!N2518,SalesLines!N2519)</x:f>
        <x:v>232</x:v>
      </x:c>
      <x:c r="J1036" s="9" t="n">
        <x:f>SUM(SalesLines!P2517,SalesLines!P2518,SalesLines!P2519)</x:f>
        <x:v>0</x:v>
      </x:c>
      <x:c r="K1036" s="11" t="n">
        <x:f>SUM(SalesLines!R2517,SalesLines!R2518,SalesLines!R2519)</x:f>
        <x:v>10</x:v>
      </x:c>
      <x:c r="L1036" s="11" t="n">
        <x:f>SUM(SalesLines!S2517,SalesLines!S2518,SalesLines!S2519)</x:f>
        <x:v>0</x:v>
      </x:c>
      <x:c r="M1036" s="8" t="n">
        <x:f>DATE(YEAR(C1036),MONTH(C1036),1)</x:f>
        <x:v>45748</x:v>
      </x:c>
    </x:row>
    <x:row r="1037" ht="22" customHeight="1">
      <x:c r="A1037" s="2" t="str">
        <x:v>O01033</x:v>
      </x:c>
      <x:c r="B1037" s="2" t="str">
        <x:v>C0227</x:v>
      </x:c>
      <x:c r="C1037" s="7" t="n">
        <x:v>45758</x:v>
      </x:c>
      <x:c r="D1037" s="2" t="str">
        <x:v>Completed</x:v>
      </x:c>
      <x:c r="E1037" s="2" t="str">
        <x:v>East</x:v>
      </x:c>
      <x:c r="F1037" s="2" t="str">
        <x:v>Online</x:v>
      </x:c>
      <x:c r="G1037" s="9" t="n">
        <x:f>SUM(SalesLines!Q2520,SalesLines!Q2521)</x:f>
        <x:v>500.4</x:v>
      </x:c>
      <x:c r="H1037" s="9" t="n">
        <x:f>SUM(SalesLines!M2520,SalesLines!M2521)</x:f>
        <x:v>583</x:v>
      </x:c>
      <x:c r="I1037" s="9" t="n">
        <x:f>SUM(SalesLines!N2520,SalesLines!N2521)</x:f>
        <x:v>82.6</x:v>
      </x:c>
      <x:c r="J1037" s="9" t="n">
        <x:f>SUM(SalesLines!P2520,SalesLines!P2521)</x:f>
        <x:v>0</x:v>
      </x:c>
      <x:c r="K1037" s="11" t="n">
        <x:f>SUM(SalesLines!R2520,SalesLines!R2521)</x:f>
        <x:v>8</x:v>
      </x:c>
      <x:c r="L1037" s="11" t="n">
        <x:f>SUM(SalesLines!S2520,SalesLines!S2521)</x:f>
        <x:v>0</x:v>
      </x:c>
      <x:c r="M1037" s="8" t="n">
        <x:f>DATE(YEAR(C1037),MONTH(C1037),1)</x:f>
        <x:v>45748</x:v>
      </x:c>
    </x:row>
    <x:row r="1038" ht="22" customHeight="1">
      <x:c r="A1038" s="2" t="str">
        <x:v>O01034</x:v>
      </x:c>
      <x:c r="B1038" s="2" t="str">
        <x:v>C0002</x:v>
      </x:c>
      <x:c r="C1038" s="7" t="n">
        <x:v>45698</x:v>
      </x:c>
      <x:c r="D1038" s="2" t="str">
        <x:v>Completed</x:v>
      </x:c>
      <x:c r="E1038" s="2" t="str">
        <x:v>West</x:v>
      </x:c>
      <x:c r="F1038" s="2" t="str">
        <x:v>Online</x:v>
      </x:c>
      <x:c r="G1038" s="9" t="n">
        <x:f>SUM(SalesLines!Q2522)</x:f>
        <x:v>514.9</x:v>
      </x:c>
      <x:c r="H1038" s="9" t="n">
        <x:f>SUM(SalesLines!M2522)</x:f>
        <x:v>542</x:v>
      </x:c>
      <x:c r="I1038" s="9" t="n">
        <x:f>SUM(SalesLines!N2522)</x:f>
        <x:v>27.1</x:v>
      </x:c>
      <x:c r="J1038" s="9" t="n">
        <x:f>SUM(SalesLines!P2522)</x:f>
        <x:v>0</x:v>
      </x:c>
      <x:c r="K1038" s="11" t="n">
        <x:f>SUM(SalesLines!R2522)</x:f>
        <x:v>2</x:v>
      </x:c>
      <x:c r="L1038" s="11" t="n">
        <x:f>SUM(SalesLines!S2522)</x:f>
        <x:v>0</x:v>
      </x:c>
      <x:c r="M1038" s="8" t="n">
        <x:f>DATE(YEAR(C1038),MONTH(C1038),1)</x:f>
        <x:v>45689</x:v>
      </x:c>
    </x:row>
    <x:row r="1039" ht="22" customHeight="1">
      <x:c r="A1039" s="2" t="str">
        <x:v>O01035</x:v>
      </x:c>
      <x:c r="B1039" s="2" t="str">
        <x:v>C0279</x:v>
      </x:c>
      <x:c r="C1039" s="7" t="n">
        <x:v>45779</x:v>
      </x:c>
      <x:c r="D1039" s="2" t="str">
        <x:v>Completed</x:v>
      </x:c>
      <x:c r="E1039" s="2" t="str">
        <x:v>South</x:v>
      </x:c>
      <x:c r="F1039" s="2" t="str">
        <x:v>Online</x:v>
      </x:c>
      <x:c r="G1039" s="9" t="n">
        <x:f>SUM(SalesLines!Q2523)</x:f>
        <x:v>960</x:v>
      </x:c>
      <x:c r="H1039" s="9" t="n">
        <x:f>SUM(SalesLines!M2523)</x:f>
        <x:v>1200</x:v>
      </x:c>
      <x:c r="I1039" s="9" t="n">
        <x:f>SUM(SalesLines!N2523)</x:f>
        <x:v>240</x:v>
      </x:c>
      <x:c r="J1039" s="9" t="n">
        <x:f>SUM(SalesLines!P2523)</x:f>
        <x:v>0</x:v>
      </x:c>
      <x:c r="K1039" s="11" t="n">
        <x:f>SUM(SalesLines!R2523)</x:f>
        <x:v>4</x:v>
      </x:c>
      <x:c r="L1039" s="11" t="n">
        <x:f>SUM(SalesLines!S2523)</x:f>
        <x:v>0</x:v>
      </x:c>
      <x:c r="M1039" s="8" t="n">
        <x:f>DATE(YEAR(C1039),MONTH(C1039),1)</x:f>
        <x:v>45778</x:v>
      </x:c>
    </x:row>
    <x:row r="1040" ht="22" customHeight="1">
      <x:c r="A1040" s="2" t="str">
        <x:v>O01036</x:v>
      </x:c>
      <x:c r="B1040" s="2" t="str">
        <x:v>C0030</x:v>
      </x:c>
      <x:c r="C1040" s="7" t="n">
        <x:v>45756</x:v>
      </x:c>
      <x:c r="D1040" s="2" t="str">
        <x:v>Completed</x:v>
      </x:c>
      <x:c r="E1040" s="2" t="str">
        <x:v>South</x:v>
      </x:c>
      <x:c r="F1040" s="2" t="str">
        <x:v>Store</x:v>
      </x:c>
      <x:c r="G1040" s="9" t="n">
        <x:f>SUM(SalesLines!Q2524,SalesLines!Q2525,SalesLines!Q2526,SalesLines!Q2527)</x:f>
        <x:v>2006.1</x:v>
      </x:c>
      <x:c r="H1040" s="9" t="n">
        <x:f>SUM(SalesLines!M2524,SalesLines!M2525,SalesLines!M2526,SalesLines!M2527)</x:f>
        <x:v>2168</x:v>
      </x:c>
      <x:c r="I1040" s="9" t="n">
        <x:f>SUM(SalesLines!N2524,SalesLines!N2525,SalesLines!N2526,SalesLines!N2527)</x:f>
        <x:v>161.9</x:v>
      </x:c>
      <x:c r="J1040" s="9" t="n">
        <x:f>SUM(SalesLines!P2524,SalesLines!P2525,SalesLines!P2526,SalesLines!P2527)</x:f>
        <x:v>0</x:v>
      </x:c>
      <x:c r="K1040" s="11" t="n">
        <x:f>SUM(SalesLines!R2524,SalesLines!R2525,SalesLines!R2526,SalesLines!R2527)</x:f>
        <x:v>19</x:v>
      </x:c>
      <x:c r="L1040" s="11" t="n">
        <x:f>SUM(SalesLines!S2524,SalesLines!S2525,SalesLines!S2526,SalesLines!S2527)</x:f>
        <x:v>0</x:v>
      </x:c>
      <x:c r="M1040" s="8" t="n">
        <x:f>DATE(YEAR(C1040),MONTH(C1040),1)</x:f>
        <x:v>45748</x:v>
      </x:c>
    </x:row>
    <x:row r="1041" ht="22" customHeight="1">
      <x:c r="A1041" s="2" t="str">
        <x:v>O01037</x:v>
      </x:c>
      <x:c r="B1041" s="2" t="str">
        <x:v>C0218</x:v>
      </x:c>
      <x:c r="C1041" s="7" t="n">
        <x:v>45986</x:v>
      </x:c>
      <x:c r="D1041" s="2" t="str">
        <x:v>Completed</x:v>
      </x:c>
      <x:c r="E1041" s="2" t="str">
        <x:v>East</x:v>
      </x:c>
      <x:c r="F1041" s="2" t="str">
        <x:v>Store</x:v>
      </x:c>
      <x:c r="G1041" s="9" t="n">
        <x:f>SUM(SalesLines!Q2528,SalesLines!Q2529,SalesLines!Q2530)</x:f>
        <x:v>1164</x:v>
      </x:c>
      <x:c r="H1041" s="9" t="n">
        <x:f>SUM(SalesLines!M2528,SalesLines!M2529,SalesLines!M2530)</x:f>
        <x:v>1416</x:v>
      </x:c>
      <x:c r="I1041" s="9" t="n">
        <x:f>SUM(SalesLines!N2528,SalesLines!N2529,SalesLines!N2530)</x:f>
        <x:v>252</x:v>
      </x:c>
      <x:c r="J1041" s="9" t="n">
        <x:f>SUM(SalesLines!P2528,SalesLines!P2529,SalesLines!P2530)</x:f>
        <x:v>0</x:v>
      </x:c>
      <x:c r="K1041" s="11" t="n">
        <x:f>SUM(SalesLines!R2528,SalesLines!R2529,SalesLines!R2530)</x:f>
        <x:v>12</x:v>
      </x:c>
      <x:c r="L1041" s="11" t="n">
        <x:f>SUM(SalesLines!S2528,SalesLines!S2529,SalesLines!S2530)</x:f>
        <x:v>0</x:v>
      </x:c>
      <x:c r="M1041" s="8" t="n">
        <x:f>DATE(YEAR(C1041),MONTH(C1041),1)</x:f>
        <x:v>45962</x:v>
      </x:c>
    </x:row>
    <x:row r="1042" ht="22" customHeight="1">
      <x:c r="A1042" s="2" t="str">
        <x:v>O01038</x:v>
      </x:c>
      <x:c r="B1042" s="2" t="str">
        <x:v>C0123</x:v>
      </x:c>
      <x:c r="C1042" s="7" t="n">
        <x:v>45732</x:v>
      </x:c>
      <x:c r="D1042" s="2" t="str">
        <x:v>Completed</x:v>
      </x:c>
      <x:c r="E1042" s="2" t="str">
        <x:v>East</x:v>
      </x:c>
      <x:c r="F1042" s="2" t="str">
        <x:v>Store</x:v>
      </x:c>
      <x:c r="G1042" s="9" t="n">
        <x:f>SUM(SalesLines!Q2531)</x:f>
        <x:v>1136</x:v>
      </x:c>
      <x:c r="H1042" s="9" t="n">
        <x:f>SUM(SalesLines!M2531)</x:f>
        <x:v>1420</x:v>
      </x:c>
      <x:c r="I1042" s="9" t="n">
        <x:f>SUM(SalesLines!N2531)</x:f>
        <x:v>284</x:v>
      </x:c>
      <x:c r="J1042" s="9" t="n">
        <x:f>SUM(SalesLines!P2531)</x:f>
        <x:v>0</x:v>
      </x:c>
      <x:c r="K1042" s="11" t="n">
        <x:f>SUM(SalesLines!R2531)</x:f>
        <x:v>5</x:v>
      </x:c>
      <x:c r="L1042" s="11" t="n">
        <x:f>SUM(SalesLines!S2531)</x:f>
        <x:v>0</x:v>
      </x:c>
      <x:c r="M1042" s="8" t="n">
        <x:f>DATE(YEAR(C1042),MONTH(C1042),1)</x:f>
        <x:v>45717</x:v>
      </x:c>
    </x:row>
    <x:row r="1043" ht="22" customHeight="1">
      <x:c r="A1043" s="2" t="str">
        <x:v>O01039</x:v>
      </x:c>
      <x:c r="B1043" s="2" t="str">
        <x:v>C0243</x:v>
      </x:c>
      <x:c r="C1043" s="7" t="n">
        <x:v>45736</x:v>
      </x:c>
      <x:c r="D1043" s="2" t="str">
        <x:v>Completed</x:v>
      </x:c>
      <x:c r="E1043" s="2" t="str">
        <x:v>East</x:v>
      </x:c>
      <x:c r="F1043" s="2" t="str">
        <x:v>Store</x:v>
      </x:c>
      <x:c r="G1043" s="9" t="n">
        <x:f>SUM(SalesLines!Q2532,SalesLines!Q2533,SalesLines!Q2534,SalesLines!Q2535)</x:f>
        <x:v>1628.75</x:v>
      </x:c>
      <x:c r="H1043" s="9" t="n">
        <x:f>SUM(SalesLines!M2532,SalesLines!M2533,SalesLines!M2534,SalesLines!M2535)</x:f>
        <x:v>1663</x:v>
      </x:c>
      <x:c r="I1043" s="9" t="n">
        <x:f>SUM(SalesLines!N2532,SalesLines!N2533,SalesLines!N2534,SalesLines!N2535)</x:f>
        <x:v>34.25</x:v>
      </x:c>
      <x:c r="J1043" s="9" t="n">
        <x:f>SUM(SalesLines!P2532,SalesLines!P2533,SalesLines!P2534,SalesLines!P2535)</x:f>
        <x:v>0</x:v>
      </x:c>
      <x:c r="K1043" s="11" t="n">
        <x:f>SUM(SalesLines!R2532,SalesLines!R2533,SalesLines!R2534,SalesLines!R2535)</x:f>
        <x:v>14</x:v>
      </x:c>
      <x:c r="L1043" s="11" t="n">
        <x:f>SUM(SalesLines!S2532,SalesLines!S2533,SalesLines!S2534,SalesLines!S2535)</x:f>
        <x:v>0</x:v>
      </x:c>
      <x:c r="M1043" s="8" t="n">
        <x:f>DATE(YEAR(C1043),MONTH(C1043),1)</x:f>
        <x:v>45717</x:v>
      </x:c>
    </x:row>
    <x:row r="1044" ht="22" customHeight="1">
      <x:c r="A1044" s="2" t="str">
        <x:v>O01040</x:v>
      </x:c>
      <x:c r="B1044" s="2" t="str">
        <x:v>C0079</x:v>
      </x:c>
      <x:c r="C1044" s="7" t="n">
        <x:v>45986</x:v>
      </x:c>
      <x:c r="D1044" s="2" t="str">
        <x:v>Completed</x:v>
      </x:c>
      <x:c r="E1044" s="2" t="str">
        <x:v>West</x:v>
      </x:c>
      <x:c r="F1044" s="2" t="str">
        <x:v>Store</x:v>
      </x:c>
      <x:c r="G1044" s="9" t="n">
        <x:f>SUM(SalesLines!Q2536)</x:f>
        <x:v>744.8</x:v>
      </x:c>
      <x:c r="H1044" s="9" t="n">
        <x:f>SUM(SalesLines!M2536)</x:f>
        <x:v>784</x:v>
      </x:c>
      <x:c r="I1044" s="9" t="n">
        <x:f>SUM(SalesLines!N2536)</x:f>
        <x:v>39.2</x:v>
      </x:c>
      <x:c r="J1044" s="9" t="n">
        <x:f>SUM(SalesLines!P2536)</x:f>
        <x:v>0</x:v>
      </x:c>
      <x:c r="K1044" s="11" t="n">
        <x:f>SUM(SalesLines!R2536)</x:f>
        <x:v>4</x:v>
      </x:c>
      <x:c r="L1044" s="11" t="n">
        <x:f>SUM(SalesLines!S2536)</x:f>
        <x:v>0</x:v>
      </x:c>
      <x:c r="M1044" s="8" t="n">
        <x:f>DATE(YEAR(C1044),MONTH(C1044),1)</x:f>
        <x:v>45962</x:v>
      </x:c>
    </x:row>
    <x:row r="1045" ht="22" customHeight="1">
      <x:c r="A1045" s="2" t="str">
        <x:v>O01041</x:v>
      </x:c>
      <x:c r="B1045" s="2" t="str">
        <x:v>C0079</x:v>
      </x:c>
      <x:c r="C1045" s="7" t="n">
        <x:v>45719</x:v>
      </x:c>
      <x:c r="D1045" s="2" t="str">
        <x:v>Completed</x:v>
      </x:c>
      <x:c r="E1045" s="2" t="str">
        <x:v>West</x:v>
      </x:c>
      <x:c r="F1045" s="2" t="str">
        <x:v>Online</x:v>
      </x:c>
      <x:c r="G1045" s="9" t="n">
        <x:f>SUM(SalesLines!Q2537)</x:f>
        <x:v>254</x:v>
      </x:c>
      <x:c r="H1045" s="9" t="n">
        <x:f>SUM(SalesLines!M2537)</x:f>
        <x:v>254</x:v>
      </x:c>
      <x:c r="I1045" s="9" t="n">
        <x:f>SUM(SalesLines!N2537)</x:f>
        <x:v>0</x:v>
      </x:c>
      <x:c r="J1045" s="9" t="n">
        <x:f>SUM(SalesLines!P2537)</x:f>
        <x:v>0</x:v>
      </x:c>
      <x:c r="K1045" s="11" t="n">
        <x:f>SUM(SalesLines!R2537)</x:f>
        <x:v>1</x:v>
      </x:c>
      <x:c r="L1045" s="11" t="n">
        <x:f>SUM(SalesLines!S2537)</x:f>
        <x:v>0</x:v>
      </x:c>
      <x:c r="M1045" s="8" t="n">
        <x:f>DATE(YEAR(C1045),MONTH(C1045),1)</x:f>
        <x:v>45717</x:v>
      </x:c>
    </x:row>
    <x:row r="1046" ht="22" customHeight="1">
      <x:c r="A1046" s="2" t="str">
        <x:v>O01042</x:v>
      </x:c>
      <x:c r="B1046" s="2" t="str">
        <x:v>C0196</x:v>
      </x:c>
      <x:c r="C1046" s="7" t="n">
        <x:v>45757</x:v>
      </x:c>
      <x:c r="D1046" s="2" t="str">
        <x:v>Completed</x:v>
      </x:c>
      <x:c r="E1046" s="2" t="str">
        <x:v>West</x:v>
      </x:c>
      <x:c r="F1046" s="2" t="str">
        <x:v>Store</x:v>
      </x:c>
      <x:c r="G1046" s="9" t="n">
        <x:f>SUM(SalesLines!Q2538,SalesLines!Q2539,SalesLines!Q2540)</x:f>
        <x:v>376.65</x:v>
      </x:c>
      <x:c r="H1046" s="9" t="n">
        <x:f>SUM(SalesLines!M2538,SalesLines!M2539,SalesLines!M2540)</x:f>
        <x:v>399</x:v>
      </x:c>
      <x:c r="I1046" s="9" t="n">
        <x:f>SUM(SalesLines!N2538,SalesLines!N2539,SalesLines!N2540)</x:f>
        <x:v>22.35</x:v>
      </x:c>
      <x:c r="J1046" s="9" t="n">
        <x:f>SUM(SalesLines!P2538,SalesLines!P2539,SalesLines!P2540)</x:f>
        <x:v>0</x:v>
      </x:c>
      <x:c r="K1046" s="11" t="n">
        <x:f>SUM(SalesLines!R2538,SalesLines!R2539,SalesLines!R2540)</x:f>
        <x:v>5</x:v>
      </x:c>
      <x:c r="L1046" s="11" t="n">
        <x:f>SUM(SalesLines!S2538,SalesLines!S2539,SalesLines!S2540)</x:f>
        <x:v>0</x:v>
      </x:c>
      <x:c r="M1046" s="8" t="n">
        <x:f>DATE(YEAR(C1046),MONTH(C1046),1)</x:f>
        <x:v>45748</x:v>
      </x:c>
    </x:row>
    <x:row r="1047" ht="22" customHeight="1">
      <x:c r="A1047" s="2" t="str">
        <x:v>O01043</x:v>
      </x:c>
      <x:c r="B1047" s="2" t="str">
        <x:v>C0053</x:v>
      </x:c>
      <x:c r="C1047" s="7" t="n">
        <x:v>45843</x:v>
      </x:c>
      <x:c r="D1047" s="2" t="str">
        <x:v>Completed</x:v>
      </x:c>
      <x:c r="E1047" s="2" t="str">
        <x:v>West</x:v>
      </x:c>
      <x:c r="F1047" s="2" t="str">
        <x:v>Store</x:v>
      </x:c>
      <x:c r="G1047" s="9" t="n">
        <x:f>SUM(SalesLines!Q2541,SalesLines!Q2542)</x:f>
        <x:v>1217.4</x:v>
      </x:c>
      <x:c r="H1047" s="9" t="n">
        <x:f>SUM(SalesLines!M2541,SalesLines!M2542)</x:f>
        <x:v>1335</x:v>
      </x:c>
      <x:c r="I1047" s="9" t="n">
        <x:f>SUM(SalesLines!N2541,SalesLines!N2542)</x:f>
        <x:v>117.60000000000001</x:v>
      </x:c>
      <x:c r="J1047" s="9" t="n">
        <x:f>SUM(SalesLines!P2541,SalesLines!P2542)</x:f>
        <x:v>0</x:v>
      </x:c>
      <x:c r="K1047" s="11" t="n">
        <x:f>SUM(SalesLines!R2541,SalesLines!R2542)</x:f>
        <x:v>5</x:v>
      </x:c>
      <x:c r="L1047" s="11" t="n">
        <x:f>SUM(SalesLines!S2541,SalesLines!S2542)</x:f>
        <x:v>0</x:v>
      </x:c>
      <x:c r="M1047" s="8" t="n">
        <x:f>DATE(YEAR(C1047),MONTH(C1047),1)</x:f>
        <x:v>45839</x:v>
      </x:c>
    </x:row>
    <x:row r="1048" ht="22" customHeight="1">
      <x:c r="A1048" s="2" t="str">
        <x:v>O01044</x:v>
      </x:c>
      <x:c r="B1048" s="2" t="str">
        <x:v>C0101</x:v>
      </x:c>
      <x:c r="C1048" s="7" t="n">
        <x:v>46019</x:v>
      </x:c>
      <x:c r="D1048" s="2" t="str">
        <x:v>Completed</x:v>
      </x:c>
      <x:c r="E1048" s="2" t="str">
        <x:v>South</x:v>
      </x:c>
      <x:c r="F1048" s="2" t="str">
        <x:v>Online</x:v>
      </x:c>
      <x:c r="G1048" s="9" t="n">
        <x:f>SUM(SalesLines!Q2543,SalesLines!Q2544)</x:f>
        <x:v>612.8</x:v>
      </x:c>
      <x:c r="H1048" s="9" t="n">
        <x:f>SUM(SalesLines!M2543,SalesLines!M2544)</x:f>
        <x:v>766</x:v>
      </x:c>
      <x:c r="I1048" s="9" t="n">
        <x:f>SUM(SalesLines!N2543,SalesLines!N2544)</x:f>
        <x:v>153.2</x:v>
      </x:c>
      <x:c r="J1048" s="9" t="n">
        <x:f>SUM(SalesLines!P2543,SalesLines!P2544)</x:f>
        <x:v>0</x:v>
      </x:c>
      <x:c r="K1048" s="11" t="n">
        <x:f>SUM(SalesLines!R2543,SalesLines!R2544)</x:f>
        <x:v>7</x:v>
      </x:c>
      <x:c r="L1048" s="11" t="n">
        <x:f>SUM(SalesLines!S2543,SalesLines!S2544)</x:f>
        <x:v>0</x:v>
      </x:c>
      <x:c r="M1048" s="8" t="n">
        <x:f>DATE(YEAR(C1048),MONTH(C1048),1)</x:f>
        <x:v>45992</x:v>
      </x:c>
    </x:row>
    <x:row r="1049" ht="22" customHeight="1">
      <x:c r="A1049" s="2" t="str">
        <x:v>O01045</x:v>
      </x:c>
      <x:c r="B1049" s="2" t="str">
        <x:v>C0278</x:v>
      </x:c>
      <x:c r="C1049" s="7" t="n">
        <x:v>45890</x:v>
      </x:c>
      <x:c r="D1049" s="2" t="str">
        <x:v>Completed</x:v>
      </x:c>
      <x:c r="E1049" s="2" t="str">
        <x:v>North</x:v>
      </x:c>
      <x:c r="F1049" s="2" t="str">
        <x:v>Store</x:v>
      </x:c>
      <x:c r="G1049" s="9" t="n">
        <x:f>SUM(SalesLines!Q2545,SalesLines!Q2546)</x:f>
        <x:v>440.15</x:v>
      </x:c>
      <x:c r="H1049" s="9" t="n">
        <x:f>SUM(SalesLines!M2545,SalesLines!M2546)</x:f>
        <x:v>478</x:v>
      </x:c>
      <x:c r="I1049" s="9" t="n">
        <x:f>SUM(SalesLines!N2545,SalesLines!N2546)</x:f>
        <x:v>37.85</x:v>
      </x:c>
      <x:c r="J1049" s="9" t="n">
        <x:f>SUM(SalesLines!P2545,SalesLines!P2546)</x:f>
        <x:v>0</x:v>
      </x:c>
      <x:c r="K1049" s="11" t="n">
        <x:f>SUM(SalesLines!R2545,SalesLines!R2546)</x:f>
        <x:v>4</x:v>
      </x:c>
      <x:c r="L1049" s="11" t="n">
        <x:f>SUM(SalesLines!S2545,SalesLines!S2546)</x:f>
        <x:v>0</x:v>
      </x:c>
      <x:c r="M1049" s="8" t="n">
        <x:f>DATE(YEAR(C1049),MONTH(C1049),1)</x:f>
        <x:v>45870</x:v>
      </x:c>
    </x:row>
    <x:row r="1050" ht="22" customHeight="1">
      <x:c r="A1050" s="2" t="str">
        <x:v>O01046</x:v>
      </x:c>
      <x:c r="B1050" s="2" t="str">
        <x:v>C0292</x:v>
      </x:c>
      <x:c r="C1050" s="7" t="n">
        <x:v>45999</x:v>
      </x:c>
      <x:c r="D1050" s="2" t="str">
        <x:v>Completed</x:v>
      </x:c>
      <x:c r="E1050" s="2" t="str">
        <x:v>East</x:v>
      </x:c>
      <x:c r="F1050" s="2" t="str">
        <x:v>Online</x:v>
      </x:c>
      <x:c r="G1050" s="9" t="n">
        <x:f>SUM(SalesLines!Q2547,SalesLines!Q2548,SalesLines!Q2549)</x:f>
        <x:v>1441.8</x:v>
      </x:c>
      <x:c r="H1050" s="9" t="n">
        <x:f>SUM(SalesLines!M2547,SalesLines!M2548,SalesLines!M2549)</x:f>
        <x:v>1723</x:v>
      </x:c>
      <x:c r="I1050" s="9" t="n">
        <x:f>SUM(SalesLines!N2547,SalesLines!N2548,SalesLines!N2549)</x:f>
        <x:v>281.2</x:v>
      </x:c>
      <x:c r="J1050" s="9" t="n">
        <x:f>SUM(SalesLines!P2547,SalesLines!P2548,SalesLines!P2549)</x:f>
        <x:v>0</x:v>
      </x:c>
      <x:c r="K1050" s="11" t="n">
        <x:f>SUM(SalesLines!R2547,SalesLines!R2548,SalesLines!R2549)</x:f>
        <x:v>8</x:v>
      </x:c>
      <x:c r="L1050" s="11" t="n">
        <x:f>SUM(SalesLines!S2547,SalesLines!S2548,SalesLines!S2549)</x:f>
        <x:v>0</x:v>
      </x:c>
      <x:c r="M1050" s="8" t="n">
        <x:f>DATE(YEAR(C1050),MONTH(C1050),1)</x:f>
        <x:v>45992</x:v>
      </x:c>
    </x:row>
    <x:row r="1051" ht="22" customHeight="1">
      <x:c r="A1051" s="2" t="str">
        <x:v>O01047</x:v>
      </x:c>
      <x:c r="B1051" s="2" t="str">
        <x:v>C0231</x:v>
      </x:c>
      <x:c r="C1051" s="7" t="n">
        <x:v>45806</x:v>
      </x:c>
      <x:c r="D1051" s="2" t="str">
        <x:v>Cancelled</x:v>
      </x:c>
      <x:c r="E1051" s="2" t="str">
        <x:v>West</x:v>
      </x:c>
      <x:c r="F1051" s="2" t="str">
        <x:v>Online</x:v>
      </x:c>
      <x:c r="G1051" s="9" t="n">
        <x:f>SUM(SalesLines!Q2550,SalesLines!Q2551)</x:f>
        <x:v>0</x:v>
      </x:c>
      <x:c r="H1051" s="9" t="n">
        <x:f>SUM(SalesLines!M2550,SalesLines!M2551)</x:f>
        <x:v>0</x:v>
      </x:c>
      <x:c r="I1051" s="9" t="n">
        <x:f>SUM(SalesLines!N2550,SalesLines!N2551)</x:f>
        <x:v>0</x:v>
      </x:c>
      <x:c r="J1051" s="9" t="n">
        <x:f>SUM(SalesLines!P2550,SalesLines!P2551)</x:f>
        <x:v>0</x:v>
      </x:c>
      <x:c r="K1051" s="11" t="n">
        <x:f>SUM(SalesLines!R2550,SalesLines!R2551)</x:f>
        <x:v>0</x:v>
      </x:c>
      <x:c r="L1051" s="11" t="n">
        <x:f>SUM(SalesLines!S2550,SalesLines!S2551)</x:f>
        <x:v>0</x:v>
      </x:c>
      <x:c r="M1051" s="8" t="n">
        <x:f>DATE(YEAR(C1051),MONTH(C1051),1)</x:f>
        <x:v>45778</x:v>
      </x:c>
    </x:row>
    <x:row r="1052" ht="22" customHeight="1">
      <x:c r="A1052" s="2" t="str">
        <x:v>O01048</x:v>
      </x:c>
      <x:c r="B1052" s="2" t="str">
        <x:v>C0129</x:v>
      </x:c>
      <x:c r="C1052" s="7" t="n">
        <x:v>45900</x:v>
      </x:c>
      <x:c r="D1052" s="2" t="str">
        <x:v>Completed</x:v>
      </x:c>
      <x:c r="E1052" s="2" t="str">
        <x:v>North</x:v>
      </x:c>
      <x:c r="F1052" s="2" t="str">
        <x:v>Store</x:v>
      </x:c>
      <x:c r="G1052" s="9" t="n">
        <x:f>SUM(SalesLines!Q2552,SalesLines!Q2553,SalesLines!Q2554)</x:f>
        <x:v>1678.5</x:v>
      </x:c>
      <x:c r="H1052" s="9" t="n">
        <x:f>SUM(SalesLines!M2552,SalesLines!M2553,SalesLines!M2554)</x:f>
        <x:v>2090</x:v>
      </x:c>
      <x:c r="I1052" s="9" t="n">
        <x:f>SUM(SalesLines!N2552,SalesLines!N2553,SalesLines!N2554)</x:f>
        <x:v>411.5</x:v>
      </x:c>
      <x:c r="J1052" s="9" t="n">
        <x:f>SUM(SalesLines!P2552,SalesLines!P2553,SalesLines!P2554)</x:f>
        <x:v>0</x:v>
      </x:c>
      <x:c r="K1052" s="11" t="n">
        <x:f>SUM(SalesLines!R2552,SalesLines!R2553,SalesLines!R2554)</x:f>
        <x:v>11</x:v>
      </x:c>
      <x:c r="L1052" s="11" t="n">
        <x:f>SUM(SalesLines!S2552,SalesLines!S2553,SalesLines!S2554)</x:f>
        <x:v>0</x:v>
      </x:c>
      <x:c r="M1052" s="8" t="n">
        <x:f>DATE(YEAR(C1052),MONTH(C1052),1)</x:f>
        <x:v>45870</x:v>
      </x:c>
    </x:row>
    <x:row r="1053" ht="22" customHeight="1">
      <x:c r="A1053" s="2" t="str">
        <x:v>O01049</x:v>
      </x:c>
      <x:c r="B1053" s="2" t="str">
        <x:v>C0045</x:v>
      </x:c>
      <x:c r="C1053" s="7" t="n">
        <x:v>46003</x:v>
      </x:c>
      <x:c r="D1053" s="2" t="str">
        <x:v>Completed</x:v>
      </x:c>
      <x:c r="E1053" s="2" t="str">
        <x:v>North</x:v>
      </x:c>
      <x:c r="F1053" s="2" t="str">
        <x:v>Store</x:v>
      </x:c>
      <x:c r="G1053" s="9" t="n">
        <x:f>SUM(SalesLines!Q2555)</x:f>
        <x:v>302.4</x:v>
      </x:c>
      <x:c r="H1053" s="9" t="n">
        <x:f>SUM(SalesLines!M2555)</x:f>
        <x:v>378</x:v>
      </x:c>
      <x:c r="I1053" s="9" t="n">
        <x:f>SUM(SalesLines!N2555)</x:f>
        <x:v>75.60000000000001</x:v>
      </x:c>
      <x:c r="J1053" s="9" t="n">
        <x:f>SUM(SalesLines!P2555)</x:f>
        <x:v>0</x:v>
      </x:c>
      <x:c r="K1053" s="11" t="n">
        <x:f>SUM(SalesLines!R2555)</x:f>
        <x:v>2</x:v>
      </x:c>
      <x:c r="L1053" s="11" t="n">
        <x:f>SUM(SalesLines!S2555)</x:f>
        <x:v>0</x:v>
      </x:c>
      <x:c r="M1053" s="8" t="n">
        <x:f>DATE(YEAR(C1053),MONTH(C1053),1)</x:f>
        <x:v>45992</x:v>
      </x:c>
    </x:row>
    <x:row r="1054" ht="22" customHeight="1">
      <x:c r="A1054" s="2" t="str">
        <x:v>O01050</x:v>
      </x:c>
      <x:c r="B1054" s="2" t="str">
        <x:v>C0234</x:v>
      </x:c>
      <x:c r="C1054" s="7" t="n">
        <x:v>45804</x:v>
      </x:c>
      <x:c r="D1054" s="2" t="str">
        <x:v>Completed</x:v>
      </x:c>
      <x:c r="E1054" s="2" t="str">
        <x:v>West</x:v>
      </x:c>
      <x:c r="F1054" s="2" t="str">
        <x:v>Store</x:v>
      </x:c>
      <x:c r="G1054" s="9" t="n">
        <x:f>SUM(SalesLines!Q2556,SalesLines!Q2557,SalesLines!Q2558)</x:f>
        <x:v>862.95</x:v>
      </x:c>
      <x:c r="H1054" s="9" t="n">
        <x:f>SUM(SalesLines!M2556,SalesLines!M2557,SalesLines!M2558)</x:f>
        <x:v>952</x:v>
      </x:c>
      <x:c r="I1054" s="9" t="n">
        <x:f>SUM(SalesLines!N2556,SalesLines!N2557,SalesLines!N2558)</x:f>
        <x:v>89.05000000000001</x:v>
      </x:c>
      <x:c r="J1054" s="9" t="n">
        <x:f>SUM(SalesLines!P2556,SalesLines!P2557,SalesLines!P2558)</x:f>
        <x:v>0</x:v>
      </x:c>
      <x:c r="K1054" s="11" t="n">
        <x:f>SUM(SalesLines!R2556,SalesLines!R2557,SalesLines!R2558)</x:f>
        <x:v>5</x:v>
      </x:c>
      <x:c r="L1054" s="11" t="n">
        <x:f>SUM(SalesLines!S2556,SalesLines!S2557,SalesLines!S2558)</x:f>
        <x:v>0</x:v>
      </x:c>
      <x:c r="M1054" s="8" t="n">
        <x:f>DATE(YEAR(C1054),MONTH(C1054),1)</x:f>
        <x:v>45778</x:v>
      </x:c>
    </x:row>
    <x:row r="1055" ht="22" customHeight="1">
      <x:c r="A1055" s="2" t="str">
        <x:v>O01051</x:v>
      </x:c>
      <x:c r="B1055" s="2" t="str">
        <x:v>C0037</x:v>
      </x:c>
      <x:c r="C1055" s="7" t="n">
        <x:v>45839</x:v>
      </x:c>
      <x:c r="D1055" s="2" t="str">
        <x:v>Completed</x:v>
      </x:c>
      <x:c r="E1055" s="2" t="str">
        <x:v>East</x:v>
      </x:c>
      <x:c r="F1055" s="2" t="str">
        <x:v>Store</x:v>
      </x:c>
      <x:c r="G1055" s="9" t="n">
        <x:f>SUM(SalesLines!Q2559,SalesLines!Q2560,SalesLines!Q2561)</x:f>
        <x:v>1203.4</x:v>
      </x:c>
      <x:c r="H1055" s="9" t="n">
        <x:f>SUM(SalesLines!M2559,SalesLines!M2560,SalesLines!M2561)</x:f>
        <x:v>1229</x:v>
      </x:c>
      <x:c r="I1055" s="9" t="n">
        <x:f>SUM(SalesLines!N2559,SalesLines!N2560,SalesLines!N2561)</x:f>
        <x:v>25.6</x:v>
      </x:c>
      <x:c r="J1055" s="9" t="n">
        <x:f>SUM(SalesLines!P2559,SalesLines!P2560,SalesLines!P2561)</x:f>
        <x:v>0</x:v>
      </x:c>
      <x:c r="K1055" s="11" t="n">
        <x:f>SUM(SalesLines!R2559,SalesLines!R2560,SalesLines!R2561)</x:f>
        <x:v>9</x:v>
      </x:c>
      <x:c r="L1055" s="11" t="n">
        <x:f>SUM(SalesLines!S2559,SalesLines!S2560,SalesLines!S2561)</x:f>
        <x:v>0</x:v>
      </x:c>
      <x:c r="M1055" s="8" t="n">
        <x:f>DATE(YEAR(C1055),MONTH(C1055),1)</x:f>
        <x:v>45839</x:v>
      </x:c>
    </x:row>
    <x:row r="1056" ht="22" customHeight="1">
      <x:c r="A1056" s="2" t="str">
        <x:v>O01052</x:v>
      </x:c>
      <x:c r="B1056" s="2" t="str">
        <x:v>C0108</x:v>
      </x:c>
      <x:c r="C1056" s="7" t="n">
        <x:v>45913</x:v>
      </x:c>
      <x:c r="D1056" s="2" t="str">
        <x:v>Completed</x:v>
      </x:c>
      <x:c r="E1056" s="2" t="str">
        <x:v>East</x:v>
      </x:c>
      <x:c r="F1056" s="2" t="str">
        <x:v>Online</x:v>
      </x:c>
      <x:c r="G1056" s="9" t="n">
        <x:f>SUM(SalesLines!Q2562,SalesLines!Q2563,SalesLines!Q2564,SalesLines!Q2565)</x:f>
        <x:v>2571</x:v>
      </x:c>
      <x:c r="H1056" s="9" t="n">
        <x:f>SUM(SalesLines!M2562,SalesLines!M2563,SalesLines!M2564,SalesLines!M2565)</x:f>
        <x:v>2678</x:v>
      </x:c>
      <x:c r="I1056" s="9" t="n">
        <x:f>SUM(SalesLines!N2562,SalesLines!N2563,SalesLines!N2564,SalesLines!N2565)</x:f>
        <x:v>107</x:v>
      </x:c>
      <x:c r="J1056" s="9" t="n">
        <x:f>SUM(SalesLines!P2562,SalesLines!P2563,SalesLines!P2564,SalesLines!P2565)</x:f>
        <x:v>0</x:v>
      </x:c>
      <x:c r="K1056" s="11" t="n">
        <x:f>SUM(SalesLines!R2562,SalesLines!R2563,SalesLines!R2564,SalesLines!R2565)</x:f>
        <x:v>13</x:v>
      </x:c>
      <x:c r="L1056" s="11" t="n">
        <x:f>SUM(SalesLines!S2562,SalesLines!S2563,SalesLines!S2564,SalesLines!S2565)</x:f>
        <x:v>0</x:v>
      </x:c>
      <x:c r="M1056" s="8" t="n">
        <x:f>DATE(YEAR(C1056),MONTH(C1056),1)</x:f>
        <x:v>45901</x:v>
      </x:c>
    </x:row>
    <x:row r="1057" ht="22" customHeight="1">
      <x:c r="A1057" s="2" t="str">
        <x:v>O01053</x:v>
      </x:c>
      <x:c r="B1057" s="2" t="str">
        <x:v>C0183</x:v>
      </x:c>
      <x:c r="C1057" s="7" t="n">
        <x:v>45672</x:v>
      </x:c>
      <x:c r="D1057" s="2" t="str">
        <x:v>Completed</x:v>
      </x:c>
      <x:c r="E1057" s="2" t="str">
        <x:v>East</x:v>
      </x:c>
      <x:c r="F1057" s="2" t="str">
        <x:v>Online</x:v>
      </x:c>
      <x:c r="G1057" s="9" t="n">
        <x:f>SUM(SalesLines!Q2566,SalesLines!Q2567)</x:f>
        <x:v>1422.75</x:v>
      </x:c>
      <x:c r="H1057" s="9" t="n">
        <x:f>SUM(SalesLines!M2566,SalesLines!M2567)</x:f>
        <x:v>1545</x:v>
      </x:c>
      <x:c r="I1057" s="9" t="n">
        <x:f>SUM(SalesLines!N2566,SalesLines!N2567)</x:f>
        <x:v>122.25</x:v>
      </x:c>
      <x:c r="J1057" s="9" t="n">
        <x:f>SUM(SalesLines!P2566,SalesLines!P2567)</x:f>
        <x:v>0</x:v>
      </x:c>
      <x:c r="K1057" s="11" t="n">
        <x:f>SUM(SalesLines!R2566,SalesLines!R2567)</x:f>
        <x:v>6</x:v>
      </x:c>
      <x:c r="L1057" s="11" t="n">
        <x:f>SUM(SalesLines!S2566,SalesLines!S2567)</x:f>
        <x:v>0</x:v>
      </x:c>
      <x:c r="M1057" s="8" t="n">
        <x:f>DATE(YEAR(C1057),MONTH(C1057),1)</x:f>
        <x:v>45658</x:v>
      </x:c>
    </x:row>
    <x:row r="1058" ht="22" customHeight="1">
      <x:c r="A1058" s="2" t="str">
        <x:v>O01054</x:v>
      </x:c>
      <x:c r="B1058" s="2" t="str">
        <x:v>C0219</x:v>
      </x:c>
      <x:c r="C1058" s="7" t="n">
        <x:v>45937</x:v>
      </x:c>
      <x:c r="D1058" s="2" t="str">
        <x:v>Completed</x:v>
      </x:c>
      <x:c r="E1058" s="2" t="str">
        <x:v>East</x:v>
      </x:c>
      <x:c r="F1058" s="2" t="str">
        <x:v>Store</x:v>
      </x:c>
      <x:c r="G1058" s="9" t="n">
        <x:f>SUM(SalesLines!Q2568,SalesLines!Q2569,SalesLines!Q2570)</x:f>
        <x:v>1124.8</x:v>
      </x:c>
      <x:c r="H1058" s="9" t="n">
        <x:f>SUM(SalesLines!M2568,SalesLines!M2569,SalesLines!M2570)</x:f>
        <x:v>1660</x:v>
      </x:c>
      <x:c r="I1058" s="9" t="n">
        <x:f>SUM(SalesLines!N2568,SalesLines!N2569,SalesLines!N2570)</x:f>
        <x:v>332</x:v>
      </x:c>
      <x:c r="J1058" s="9" t="n">
        <x:f>SUM(SalesLines!P2568,SalesLines!P2569,SalesLines!P2570)</x:f>
        <x:v>203.20000000000002</x:v>
      </x:c>
      <x:c r="K1058" s="11" t="n">
        <x:f>SUM(SalesLines!R2568,SalesLines!R2569,SalesLines!R2570)</x:f>
        <x:v>10</x:v>
      </x:c>
      <x:c r="L1058" s="11" t="n">
        <x:f>SUM(SalesLines!S2568,SalesLines!S2569,SalesLines!S2570)</x:f>
        <x:v>1</x:v>
      </x:c>
      <x:c r="M1058" s="8" t="n">
        <x:f>DATE(YEAR(C1058),MONTH(C1058),1)</x:f>
        <x:v>45931</x:v>
      </x:c>
    </x:row>
    <x:row r="1059" ht="22" customHeight="1">
      <x:c r="A1059" s="2" t="str">
        <x:v>O01055</x:v>
      </x:c>
      <x:c r="B1059" s="2" t="str">
        <x:v>C0272</x:v>
      </x:c>
      <x:c r="C1059" s="7" t="n">
        <x:v>45752</x:v>
      </x:c>
      <x:c r="D1059" s="2" t="str">
        <x:v>Completed</x:v>
      </x:c>
      <x:c r="E1059" s="2" t="str">
        <x:v>West</x:v>
      </x:c>
      <x:c r="F1059" s="2" t="str">
        <x:v>Store</x:v>
      </x:c>
      <x:c r="G1059" s="9" t="n">
        <x:f>SUM(SalesLines!Q2571,SalesLines!Q2572,SalesLines!Q2573,SalesLines!Q2574)</x:f>
        <x:v>1896.1</x:v>
      </x:c>
      <x:c r="H1059" s="9" t="n">
        <x:f>SUM(SalesLines!M2571,SalesLines!M2572,SalesLines!M2573,SalesLines!M2574)</x:f>
        <x:v>2177</x:v>
      </x:c>
      <x:c r="I1059" s="9" t="n">
        <x:f>SUM(SalesLines!N2571,SalesLines!N2572,SalesLines!N2573,SalesLines!N2574)</x:f>
        <x:v>140.5</x:v>
      </x:c>
      <x:c r="J1059" s="9" t="n">
        <x:f>SUM(SalesLines!P2571,SalesLines!P2572,SalesLines!P2573,SalesLines!P2574)</x:f>
        <x:v>140.4</x:v>
      </x:c>
      <x:c r="K1059" s="11" t="n">
        <x:f>SUM(SalesLines!R2571,SalesLines!R2572,SalesLines!R2573,SalesLines!R2574)</x:f>
        <x:v>14</x:v>
      </x:c>
      <x:c r="L1059" s="11" t="n">
        <x:f>SUM(SalesLines!S2571,SalesLines!S2572,SalesLines!S2573,SalesLines!S2574)</x:f>
        <x:v>2</x:v>
      </x:c>
      <x:c r="M1059" s="8" t="n">
        <x:f>DATE(YEAR(C1059),MONTH(C1059),1)</x:f>
        <x:v>45748</x:v>
      </x:c>
    </x:row>
    <x:row r="1060" ht="22" customHeight="1">
      <x:c r="A1060" s="2" t="str">
        <x:v>O01056</x:v>
      </x:c>
      <x:c r="B1060" s="2" t="str">
        <x:v>C0007</x:v>
      </x:c>
      <x:c r="C1060" s="7" t="n">
        <x:v>45739</x:v>
      </x:c>
      <x:c r="D1060" s="2" t="str">
        <x:v>Completed</x:v>
      </x:c>
      <x:c r="E1060" s="2" t="str">
        <x:v>North</x:v>
      </x:c>
      <x:c r="F1060" s="2" t="str">
        <x:v>Store</x:v>
      </x:c>
      <x:c r="G1060" s="9" t="n">
        <x:f>SUM(SalesLines!Q2575,SalesLines!Q2576,SalesLines!Q2577,SalesLines!Q2578)</x:f>
        <x:v>1713.1</x:v>
      </x:c>
      <x:c r="H1060" s="9" t="n">
        <x:f>SUM(SalesLines!M2575,SalesLines!M2576,SalesLines!M2577,SalesLines!M2578)</x:f>
        <x:v>1976</x:v>
      </x:c>
      <x:c r="I1060" s="9" t="n">
        <x:f>SUM(SalesLines!N2575,SalesLines!N2576,SalesLines!N2577,SalesLines!N2578)</x:f>
        <x:v>43.300000000000004</x:v>
      </x:c>
      <x:c r="J1060" s="9" t="n">
        <x:f>SUM(SalesLines!P2575,SalesLines!P2576,SalesLines!P2577,SalesLines!P2578)</x:f>
        <x:v>219.6</x:v>
      </x:c>
      <x:c r="K1060" s="11" t="n">
        <x:f>SUM(SalesLines!R2575,SalesLines!R2576,SalesLines!R2577,SalesLines!R2578)</x:f>
        <x:v>13</x:v>
      </x:c>
      <x:c r="L1060" s="11" t="n">
        <x:f>SUM(SalesLines!S2575,SalesLines!S2576,SalesLines!S2577,SalesLines!S2578)</x:f>
        <x:v>2</x:v>
      </x:c>
      <x:c r="M1060" s="8" t="n">
        <x:f>DATE(YEAR(C1060),MONTH(C1060),1)</x:f>
        <x:v>45717</x:v>
      </x:c>
    </x:row>
    <x:row r="1061" ht="22" customHeight="1">
      <x:c r="A1061" s="2" t="str">
        <x:v>O01057</x:v>
      </x:c>
      <x:c r="B1061" s="2" t="str">
        <x:v>C0074</x:v>
      </x:c>
      <x:c r="C1061" s="7" t="n">
        <x:v>45854</x:v>
      </x:c>
      <x:c r="D1061" s="2" t="str">
        <x:v>Completed</x:v>
      </x:c>
      <x:c r="E1061" s="2" t="str">
        <x:v>South</x:v>
      </x:c>
      <x:c r="F1061" s="2" t="str">
        <x:v>Online</x:v>
      </x:c>
      <x:c r="G1061" s="9" t="n">
        <x:f>SUM(SalesLines!Q2579,SalesLines!Q2580)</x:f>
        <x:v>1209</x:v>
      </x:c>
      <x:c r="H1061" s="9" t="n">
        <x:f>SUM(SalesLines!M2579,SalesLines!M2580)</x:f>
        <x:v>1209</x:v>
      </x:c>
      <x:c r="I1061" s="9" t="n">
        <x:f>SUM(SalesLines!N2579,SalesLines!N2580)</x:f>
        <x:v>0</x:v>
      </x:c>
      <x:c r="J1061" s="9" t="n">
        <x:f>SUM(SalesLines!P2579,SalesLines!P2580)</x:f>
        <x:v>0</x:v>
      </x:c>
      <x:c r="K1061" s="11" t="n">
        <x:f>SUM(SalesLines!R2579,SalesLines!R2580)</x:f>
        <x:v>6</x:v>
      </x:c>
      <x:c r="L1061" s="11" t="n">
        <x:f>SUM(SalesLines!S2579,SalesLines!S2580)</x:f>
        <x:v>0</x:v>
      </x:c>
      <x:c r="M1061" s="8" t="n">
        <x:f>DATE(YEAR(C1061),MONTH(C1061),1)</x:f>
        <x:v>45839</x:v>
      </x:c>
    </x:row>
    <x:row r="1062" ht="22" customHeight="1">
      <x:c r="A1062" s="2" t="str">
        <x:v>O01058</x:v>
      </x:c>
      <x:c r="B1062" s="2" t="str">
        <x:v>C0248</x:v>
      </x:c>
      <x:c r="C1062" s="7" t="n">
        <x:v>45870</x:v>
      </x:c>
      <x:c r="D1062" s="2" t="str">
        <x:v>Completed</x:v>
      </x:c>
      <x:c r="E1062" s="2" t="str">
        <x:v>East</x:v>
      </x:c>
      <x:c r="F1062" s="2" t="str">
        <x:v>Online</x:v>
      </x:c>
      <x:c r="G1062" s="9" t="n">
        <x:f>SUM(SalesLines!Q2581,SalesLines!Q2582,SalesLines!Q2583)</x:f>
        <x:v>2346.7</x:v>
      </x:c>
      <x:c r="H1062" s="9" t="n">
        <x:f>SUM(SalesLines!M2581,SalesLines!M2582,SalesLines!M2583)</x:f>
        <x:v>2428</x:v>
      </x:c>
      <x:c r="I1062" s="9" t="n">
        <x:f>SUM(SalesLines!N2581,SalesLines!N2582,SalesLines!N2583)</x:f>
        <x:v>81.30000000000001</x:v>
      </x:c>
      <x:c r="J1062" s="9" t="n">
        <x:f>SUM(SalesLines!P2581,SalesLines!P2582,SalesLines!P2583)</x:f>
        <x:v>0</x:v>
      </x:c>
      <x:c r="K1062" s="11" t="n">
        <x:f>SUM(SalesLines!R2581,SalesLines!R2582,SalesLines!R2583)</x:f>
        <x:v>11</x:v>
      </x:c>
      <x:c r="L1062" s="11" t="n">
        <x:f>SUM(SalesLines!S2581,SalesLines!S2582,SalesLines!S2583)</x:f>
        <x:v>0</x:v>
      </x:c>
      <x:c r="M1062" s="8" t="n">
        <x:f>DATE(YEAR(C1062),MONTH(C1062),1)</x:f>
        <x:v>45870</x:v>
      </x:c>
    </x:row>
    <x:row r="1063" ht="22" customHeight="1">
      <x:c r="A1063" s="2" t="str">
        <x:v>O01059</x:v>
      </x:c>
      <x:c r="B1063" s="2" t="str">
        <x:v>C0201</x:v>
      </x:c>
      <x:c r="C1063" s="7" t="n">
        <x:v>45866</x:v>
      </x:c>
      <x:c r="D1063" s="2" t="str">
        <x:v>Completed</x:v>
      </x:c>
      <x:c r="E1063" s="2" t="str">
        <x:v>East</x:v>
      </x:c>
      <x:c r="F1063" s="2" t="str">
        <x:v>Online</x:v>
      </x:c>
      <x:c r="G1063" s="9" t="n">
        <x:f>SUM(SalesLines!Q2584)</x:f>
        <x:v>255.55</x:v>
      </x:c>
      <x:c r="H1063" s="9" t="n">
        <x:f>SUM(SalesLines!M2584)</x:f>
        <x:v>269</x:v>
      </x:c>
      <x:c r="I1063" s="9" t="n">
        <x:f>SUM(SalesLines!N2584)</x:f>
        <x:v>13.450000000000001</x:v>
      </x:c>
      <x:c r="J1063" s="9" t="n">
        <x:f>SUM(SalesLines!P2584)</x:f>
        <x:v>0</x:v>
      </x:c>
      <x:c r="K1063" s="11" t="n">
        <x:f>SUM(SalesLines!R2584)</x:f>
        <x:v>1</x:v>
      </x:c>
      <x:c r="L1063" s="11" t="n">
        <x:f>SUM(SalesLines!S2584)</x:f>
        <x:v>0</x:v>
      </x:c>
      <x:c r="M1063" s="8" t="n">
        <x:f>DATE(YEAR(C1063),MONTH(C1063),1)</x:f>
        <x:v>45839</x:v>
      </x:c>
    </x:row>
    <x:row r="1064" ht="22" customHeight="1">
      <x:c r="A1064" s="2" t="str">
        <x:v>O01060</x:v>
      </x:c>
      <x:c r="B1064" s="2" t="str">
        <x:v>C0105</x:v>
      </x:c>
      <x:c r="C1064" s="7" t="n">
        <x:v>46010</x:v>
      </x:c>
      <x:c r="D1064" s="2" t="str">
        <x:v>Completed</x:v>
      </x:c>
      <x:c r="E1064" s="2" t="str">
        <x:v>South</x:v>
      </x:c>
      <x:c r="F1064" s="2" t="str">
        <x:v>Online</x:v>
      </x:c>
      <x:c r="G1064" s="9" t="n">
        <x:f>SUM(SalesLines!Q2585)</x:f>
        <x:v>867.2</x:v>
      </x:c>
      <x:c r="H1064" s="9" t="n">
        <x:f>SUM(SalesLines!M2585)</x:f>
        <x:v>1084</x:v>
      </x:c>
      <x:c r="I1064" s="9" t="n">
        <x:f>SUM(SalesLines!N2585)</x:f>
        <x:v>216.8</x:v>
      </x:c>
      <x:c r="J1064" s="9" t="n">
        <x:f>SUM(SalesLines!P2585)</x:f>
        <x:v>0</x:v>
      </x:c>
      <x:c r="K1064" s="11" t="n">
        <x:f>SUM(SalesLines!R2585)</x:f>
        <x:v>4</x:v>
      </x:c>
      <x:c r="L1064" s="11" t="n">
        <x:f>SUM(SalesLines!S2585)</x:f>
        <x:v>0</x:v>
      </x:c>
      <x:c r="M1064" s="8" t="n">
        <x:f>DATE(YEAR(C1064),MONTH(C1064),1)</x:f>
        <x:v>45992</x:v>
      </x:c>
    </x:row>
    <x:row r="1065" ht="22" customHeight="1">
      <x:c r="A1065" s="2" t="str">
        <x:v>O01061</x:v>
      </x:c>
      <x:c r="B1065" s="2" t="str">
        <x:v>C0288</x:v>
      </x:c>
      <x:c r="C1065" s="7" t="n">
        <x:v>45676</x:v>
      </x:c>
      <x:c r="D1065" s="2" t="str">
        <x:v>Completed</x:v>
      </x:c>
      <x:c r="E1065" s="2" t="str">
        <x:v>East</x:v>
      </x:c>
      <x:c r="F1065" s="2" t="str">
        <x:v>Store</x:v>
      </x:c>
      <x:c r="G1065" s="9" t="n">
        <x:f>SUM(SalesLines!Q2586,SalesLines!Q2587,SalesLines!Q2588)</x:f>
        <x:v>705.6</x:v>
      </x:c>
      <x:c r="H1065" s="9" t="n">
        <x:f>SUM(SalesLines!M2586,SalesLines!M2587,SalesLines!M2588)</x:f>
        <x:v>2852</x:v>
      </x:c>
      <x:c r="I1065" s="9" t="n">
        <x:f>SUM(SalesLines!N2586,SalesLines!N2587,SalesLines!N2588)</x:f>
        <x:v>434.9</x:v>
      </x:c>
      <x:c r="J1065" s="9" t="n">
        <x:f>SUM(SalesLines!P2586,SalesLines!P2587,SalesLines!P2588)</x:f>
        <x:v>1711.5</x:v>
      </x:c>
      <x:c r="K1065" s="11" t="n">
        <x:f>SUM(SalesLines!R2586,SalesLines!R2587,SalesLines!R2588)</x:f>
        <x:v>13</x:v>
      </x:c>
      <x:c r="L1065" s="11" t="n">
        <x:f>SUM(SalesLines!S2586,SalesLines!S2587,SalesLines!S2588)</x:f>
        <x:v>10</x:v>
      </x:c>
      <x:c r="M1065" s="8" t="n">
        <x:f>DATE(YEAR(C1065),MONTH(C1065),1)</x:f>
        <x:v>45658</x:v>
      </x:c>
    </x:row>
    <x:row r="1066" ht="22" customHeight="1">
      <x:c r="A1066" s="2" t="str">
        <x:v>O01062</x:v>
      </x:c>
      <x:c r="B1066" s="2" t="str">
        <x:v>C0230</x:v>
      </x:c>
      <x:c r="C1066" s="7" t="n">
        <x:v>45840</x:v>
      </x:c>
      <x:c r="D1066" s="2" t="str">
        <x:v>Completed</x:v>
      </x:c>
      <x:c r="E1066" s="2" t="str">
        <x:v>East</x:v>
      </x:c>
      <x:c r="F1066" s="2" t="str">
        <x:v>Online</x:v>
      </x:c>
      <x:c r="G1066" s="9" t="n">
        <x:f>SUM(SalesLines!Q2589,SalesLines!Q2590,SalesLines!Q2591)</x:f>
        <x:v>1403.35</x:v>
      </x:c>
      <x:c r="H1066" s="9" t="n">
        <x:f>SUM(SalesLines!M2589,SalesLines!M2590,SalesLines!M2591)</x:f>
        <x:v>1490</x:v>
      </x:c>
      <x:c r="I1066" s="9" t="n">
        <x:f>SUM(SalesLines!N2589,SalesLines!N2590,SalesLines!N2591)</x:f>
        <x:v>86.65</x:v>
      </x:c>
      <x:c r="J1066" s="9" t="n">
        <x:f>SUM(SalesLines!P2589,SalesLines!P2590,SalesLines!P2591)</x:f>
        <x:v>0</x:v>
      </x:c>
      <x:c r="K1066" s="11" t="n">
        <x:f>SUM(SalesLines!R2589,SalesLines!R2590,SalesLines!R2591)</x:f>
        <x:v>10</x:v>
      </x:c>
      <x:c r="L1066" s="11" t="n">
        <x:f>SUM(SalesLines!S2589,SalesLines!S2590,SalesLines!S2591)</x:f>
        <x:v>0</x:v>
      </x:c>
      <x:c r="M1066" s="8" t="n">
        <x:f>DATE(YEAR(C1066),MONTH(C1066),1)</x:f>
        <x:v>45839</x:v>
      </x:c>
    </x:row>
    <x:row r="1067" ht="22" customHeight="1">
      <x:c r="A1067" s="2" t="str">
        <x:v>O01063</x:v>
      </x:c>
      <x:c r="B1067" s="2" t="str">
        <x:v>C0129</x:v>
      </x:c>
      <x:c r="C1067" s="7" t="n">
        <x:v>45674</x:v>
      </x:c>
      <x:c r="D1067" s="2" t="str">
        <x:v>Completed</x:v>
      </x:c>
      <x:c r="E1067" s="2" t="str">
        <x:v>North</x:v>
      </x:c>
      <x:c r="F1067" s="2" t="str">
        <x:v>Store</x:v>
      </x:c>
      <x:c r="G1067" s="9" t="n">
        <x:f>SUM(SalesLines!Q2592,SalesLines!Q2593,SalesLines!Q2594,SalesLines!Q2595)</x:f>
        <x:v>1165.5</x:v>
      </x:c>
      <x:c r="H1067" s="9" t="n">
        <x:f>SUM(SalesLines!M2592,SalesLines!M2593,SalesLines!M2594,SalesLines!M2595)</x:f>
        <x:v>1284</x:v>
      </x:c>
      <x:c r="I1067" s="9" t="n">
        <x:f>SUM(SalesLines!N2592,SalesLines!N2593,SalesLines!N2594,SalesLines!N2595)</x:f>
        <x:v>118.5</x:v>
      </x:c>
      <x:c r="J1067" s="9" t="n">
        <x:f>SUM(SalesLines!P2592,SalesLines!P2593,SalesLines!P2594,SalesLines!P2595)</x:f>
        <x:v>0</x:v>
      </x:c>
      <x:c r="K1067" s="11" t="n">
        <x:f>SUM(SalesLines!R2592,SalesLines!R2593,SalesLines!R2594,SalesLines!R2595)</x:f>
        <x:v>7</x:v>
      </x:c>
      <x:c r="L1067" s="11" t="n">
        <x:f>SUM(SalesLines!S2592,SalesLines!S2593,SalesLines!S2594,SalesLines!S2595)</x:f>
        <x:v>0</x:v>
      </x:c>
      <x:c r="M1067" s="8" t="n">
        <x:f>DATE(YEAR(C1067),MONTH(C1067),1)</x:f>
        <x:v>45658</x:v>
      </x:c>
    </x:row>
    <x:row r="1068" ht="22" customHeight="1">
      <x:c r="A1068" s="2" t="str">
        <x:v>O01064</x:v>
      </x:c>
      <x:c r="B1068" s="2" t="str">
        <x:v>C0014</x:v>
      </x:c>
      <x:c r="C1068" s="7" t="n">
        <x:v>45853</x:v>
      </x:c>
      <x:c r="D1068" s="2" t="str">
        <x:v>Completed</x:v>
      </x:c>
      <x:c r="E1068" s="2" t="str">
        <x:v>North</x:v>
      </x:c>
      <x:c r="F1068" s="2" t="str">
        <x:v>Online</x:v>
      </x:c>
      <x:c r="G1068" s="9" t="n">
        <x:f>SUM(SalesLines!Q2596,SalesLines!Q2597,SalesLines!Q2598)</x:f>
        <x:v>913</x:v>
      </x:c>
      <x:c r="H1068" s="9" t="n">
        <x:f>SUM(SalesLines!M2596,SalesLines!M2597,SalesLines!M2598)</x:f>
        <x:v>913</x:v>
      </x:c>
      <x:c r="I1068" s="9" t="n">
        <x:f>SUM(SalesLines!N2596,SalesLines!N2597,SalesLines!N2598)</x:f>
        <x:v>0</x:v>
      </x:c>
      <x:c r="J1068" s="9" t="n">
        <x:f>SUM(SalesLines!P2596,SalesLines!P2597,SalesLines!P2598)</x:f>
        <x:v>0</x:v>
      </x:c>
      <x:c r="K1068" s="11" t="n">
        <x:f>SUM(SalesLines!R2596,SalesLines!R2597,SalesLines!R2598)</x:f>
        <x:v>4</x:v>
      </x:c>
      <x:c r="L1068" s="11" t="n">
        <x:f>SUM(SalesLines!S2596,SalesLines!S2597,SalesLines!S2598)</x:f>
        <x:v>0</x:v>
      </x:c>
      <x:c r="M1068" s="8" t="n">
        <x:f>DATE(YEAR(C1068),MONTH(C1068),1)</x:f>
        <x:v>45839</x:v>
      </x:c>
    </x:row>
    <x:row r="1069" ht="22" customHeight="1">
      <x:c r="A1069" s="2" t="str">
        <x:v>O01065</x:v>
      </x:c>
      <x:c r="B1069" s="2" t="str">
        <x:v>C0196</x:v>
      </x:c>
      <x:c r="C1069" s="7" t="n">
        <x:v>45705</x:v>
      </x:c>
      <x:c r="D1069" s="2" t="str">
        <x:v>Completed</x:v>
      </x:c>
      <x:c r="E1069" s="2" t="str">
        <x:v>West</x:v>
      </x:c>
      <x:c r="F1069" s="2" t="str">
        <x:v>Store</x:v>
      </x:c>
      <x:c r="G1069" s="9" t="n">
        <x:f>SUM(SalesLines!Q2599,SalesLines!Q2600,SalesLines!Q2601,SalesLines!Q2602)</x:f>
        <x:v>2234.05</x:v>
      </x:c>
      <x:c r="H1069" s="9" t="n">
        <x:f>SUM(SalesLines!M2599,SalesLines!M2600,SalesLines!M2601,SalesLines!M2602)</x:f>
        <x:v>2545</x:v>
      </x:c>
      <x:c r="I1069" s="9" t="n">
        <x:f>SUM(SalesLines!N2599,SalesLines!N2600,SalesLines!N2601,SalesLines!N2602)</x:f>
        <x:v>249.20000000000002</x:v>
      </x:c>
      <x:c r="J1069" s="9" t="n">
        <x:f>SUM(SalesLines!P2599,SalesLines!P2600,SalesLines!P2601,SalesLines!P2602)</x:f>
        <x:v>61.75</x:v>
      </x:c>
      <x:c r="K1069" s="11" t="n">
        <x:f>SUM(SalesLines!R2599,SalesLines!R2600,SalesLines!R2601,SalesLines!R2602)</x:f>
        <x:v>12</x:v>
      </x:c>
      <x:c r="L1069" s="11" t="n">
        <x:f>SUM(SalesLines!S2599,SalesLines!S2600,SalesLines!S2601,SalesLines!S2602)</x:f>
        <x:v>1</x:v>
      </x:c>
      <x:c r="M1069" s="8" t="n">
        <x:f>DATE(YEAR(C1069),MONTH(C1069),1)</x:f>
        <x:v>45689</x:v>
      </x:c>
    </x:row>
    <x:row r="1070" ht="22" customHeight="1">
      <x:c r="A1070" s="2" t="str">
        <x:v>O01066</x:v>
      </x:c>
      <x:c r="B1070" s="2" t="str">
        <x:v>C0111</x:v>
      </x:c>
      <x:c r="C1070" s="7" t="n">
        <x:v>45953</x:v>
      </x:c>
      <x:c r="D1070" s="2" t="str">
        <x:v>Cancelled</x:v>
      </x:c>
      <x:c r="E1070" s="2" t="str">
        <x:v>South</x:v>
      </x:c>
      <x:c r="F1070" s="2" t="str">
        <x:v>Online</x:v>
      </x:c>
      <x:c r="G1070" s="9" t="n">
        <x:f>SUM(SalesLines!Q2603,SalesLines!Q2604)</x:f>
        <x:v>0</x:v>
      </x:c>
      <x:c r="H1070" s="9" t="n">
        <x:f>SUM(SalesLines!M2603,SalesLines!M2604)</x:f>
        <x:v>0</x:v>
      </x:c>
      <x:c r="I1070" s="9" t="n">
        <x:f>SUM(SalesLines!N2603,SalesLines!N2604)</x:f>
        <x:v>0</x:v>
      </x:c>
      <x:c r="J1070" s="9" t="n">
        <x:f>SUM(SalesLines!P2603,SalesLines!P2604)</x:f>
        <x:v>0</x:v>
      </x:c>
      <x:c r="K1070" s="11" t="n">
        <x:f>SUM(SalesLines!R2603,SalesLines!R2604)</x:f>
        <x:v>0</x:v>
      </x:c>
      <x:c r="L1070" s="11" t="n">
        <x:f>SUM(SalesLines!S2603,SalesLines!S2604)</x:f>
        <x:v>0</x:v>
      </x:c>
      <x:c r="M1070" s="8" t="n">
        <x:f>DATE(YEAR(C1070),MONTH(C1070),1)</x:f>
        <x:v>45931</x:v>
      </x:c>
    </x:row>
    <x:row r="1071" ht="22" customHeight="1">
      <x:c r="A1071" s="2" t="str">
        <x:v>O01067</x:v>
      </x:c>
      <x:c r="B1071" s="2" t="str">
        <x:v>C0287</x:v>
      </x:c>
      <x:c r="C1071" s="7" t="n">
        <x:v>45821</x:v>
      </x:c>
      <x:c r="D1071" s="2" t="str">
        <x:v>Completed</x:v>
      </x:c>
      <x:c r="E1071" s="2" t="str">
        <x:v>South</x:v>
      </x:c>
      <x:c r="F1071" s="2" t="str">
        <x:v>Store</x:v>
      </x:c>
      <x:c r="G1071" s="9" t="n">
        <x:f>SUM(SalesLines!Q2605,SalesLines!Q2606,SalesLines!Q2607,SalesLines!Q2608)</x:f>
        <x:v>1998.4</x:v>
      </x:c>
      <x:c r="H1071" s="9" t="n">
        <x:f>SUM(SalesLines!M2605,SalesLines!M2606,SalesLines!M2607,SalesLines!M2608)</x:f>
        <x:v>2519</x:v>
      </x:c>
      <x:c r="I1071" s="9" t="n">
        <x:f>SUM(SalesLines!N2605,SalesLines!N2606,SalesLines!N2607,SalesLines!N2608)</x:f>
        <x:v>305.4</x:v>
      </x:c>
      <x:c r="J1071" s="9" t="n">
        <x:f>SUM(SalesLines!P2605,SalesLines!P2606,SalesLines!P2607,SalesLines!P2608)</x:f>
        <x:v>215.20000000000002</x:v>
      </x:c>
      <x:c r="K1071" s="11" t="n">
        <x:f>SUM(SalesLines!R2605,SalesLines!R2606,SalesLines!R2607,SalesLines!R2608)</x:f>
        <x:v>14</x:v>
      </x:c>
      <x:c r="L1071" s="11" t="n">
        <x:f>SUM(SalesLines!S2605,SalesLines!S2606,SalesLines!S2607,SalesLines!S2608)</x:f>
        <x:v>1</x:v>
      </x:c>
      <x:c r="M1071" s="8" t="n">
        <x:f>DATE(YEAR(C1071),MONTH(C1071),1)</x:f>
        <x:v>45809</x:v>
      </x:c>
    </x:row>
    <x:row r="1072" ht="22" customHeight="1">
      <x:c r="A1072" s="2" t="str">
        <x:v>O01068</x:v>
      </x:c>
      <x:c r="B1072" s="2" t="str">
        <x:v>C0197</x:v>
      </x:c>
      <x:c r="C1072" s="7" t="n">
        <x:v>45959</x:v>
      </x:c>
      <x:c r="D1072" s="2" t="str">
        <x:v>Completed</x:v>
      </x:c>
      <x:c r="E1072" s="2" t="str">
        <x:v>East</x:v>
      </x:c>
      <x:c r="F1072" s="2" t="str">
        <x:v>Store</x:v>
      </x:c>
      <x:c r="G1072" s="9" t="n">
        <x:f>SUM(SalesLines!Q2609)</x:f>
        <x:v>288</x:v>
      </x:c>
      <x:c r="H1072" s="9" t="n">
        <x:f>SUM(SalesLines!M2609)</x:f>
        <x:v>320</x:v>
      </x:c>
      <x:c r="I1072" s="9" t="n">
        <x:f>SUM(SalesLines!N2609)</x:f>
        <x:v>32</x:v>
      </x:c>
      <x:c r="J1072" s="9" t="n">
        <x:f>SUM(SalesLines!P2609)</x:f>
        <x:v>0</x:v>
      </x:c>
      <x:c r="K1072" s="11" t="n">
        <x:f>SUM(SalesLines!R2609)</x:f>
        <x:v>4</x:v>
      </x:c>
      <x:c r="L1072" s="11" t="n">
        <x:f>SUM(SalesLines!S2609)</x:f>
        <x:v>0</x:v>
      </x:c>
      <x:c r="M1072" s="8" t="n">
        <x:f>DATE(YEAR(C1072),MONTH(C1072),1)</x:f>
        <x:v>45931</x:v>
      </x:c>
    </x:row>
    <x:row r="1073" ht="22" customHeight="1">
      <x:c r="A1073" s="2" t="str">
        <x:v>O01069</x:v>
      </x:c>
      <x:c r="B1073" s="2" t="str">
        <x:v>C0162</x:v>
      </x:c>
      <x:c r="C1073" s="7" t="n">
        <x:v>45945</x:v>
      </x:c>
      <x:c r="D1073" s="2" t="str">
        <x:v>Completed</x:v>
      </x:c>
      <x:c r="E1073" s="2" t="str">
        <x:v>South</x:v>
      </x:c>
      <x:c r="F1073" s="2" t="str">
        <x:v>Store</x:v>
      </x:c>
      <x:c r="G1073" s="9" t="n">
        <x:f>SUM(SalesLines!Q2610,SalesLines!Q2611,SalesLines!Q2612,SalesLines!Q2613)</x:f>
        <x:v>1073.0499999999997</x:v>
      </x:c>
      <x:c r="H1073" s="9" t="n">
        <x:f>SUM(SalesLines!M2610,SalesLines!M2611,SalesLines!M2612,SalesLines!M2613)</x:f>
        <x:v>1823</x:v>
      </x:c>
      <x:c r="I1073" s="9" t="n">
        <x:f>SUM(SalesLines!N2610,SalesLines!N2611,SalesLines!N2612,SalesLines!N2613)</x:f>
        <x:v>91.60000000000001</x:v>
      </x:c>
      <x:c r="J1073" s="9" t="n">
        <x:f>SUM(SalesLines!P2610,SalesLines!P2611,SalesLines!P2612,SalesLines!P2613)</x:f>
        <x:v>658.35</x:v>
      </x:c>
      <x:c r="K1073" s="11" t="n">
        <x:f>SUM(SalesLines!R2610,SalesLines!R2611,SalesLines!R2612,SalesLines!R2613)</x:f>
        <x:v>12</x:v>
      </x:c>
      <x:c r="L1073" s="11" t="n">
        <x:f>SUM(SalesLines!S2610,SalesLines!S2611,SalesLines!S2612,SalesLines!S2613)</x:f>
        <x:v>3</x:v>
      </x:c>
      <x:c r="M1073" s="8" t="n">
        <x:f>DATE(YEAR(C1073),MONTH(C1073),1)</x:f>
        <x:v>45931</x:v>
      </x:c>
    </x:row>
    <x:row r="1074" ht="22" customHeight="1">
      <x:c r="A1074" s="2" t="str">
        <x:v>O01070</x:v>
      </x:c>
      <x:c r="B1074" s="2" t="str">
        <x:v>C0059</x:v>
      </x:c>
      <x:c r="C1074" s="7" t="n">
        <x:v>45956</x:v>
      </x:c>
      <x:c r="D1074" s="2" t="str">
        <x:v>Completed</x:v>
      </x:c>
      <x:c r="E1074" s="2" t="str">
        <x:v>South</x:v>
      </x:c>
      <x:c r="F1074" s="2" t="str">
        <x:v>Store</x:v>
      </x:c>
      <x:c r="G1074" s="9" t="n">
        <x:f>SUM(SalesLines!Q2614,SalesLines!Q2615,SalesLines!Q2616)</x:f>
        <x:v>1213.1</x:v>
      </x:c>
      <x:c r="H1074" s="9" t="n">
        <x:f>SUM(SalesLines!M2614,SalesLines!M2615,SalesLines!M2616)</x:f>
        <x:v>1324</x:v>
      </x:c>
      <x:c r="I1074" s="9" t="n">
        <x:f>SUM(SalesLines!N2614,SalesLines!N2615,SalesLines!N2616)</x:f>
        <x:v>110.9</x:v>
      </x:c>
      <x:c r="J1074" s="9" t="n">
        <x:f>SUM(SalesLines!P2614,SalesLines!P2615,SalesLines!P2616)</x:f>
        <x:v>0</x:v>
      </x:c>
      <x:c r="K1074" s="11" t="n">
        <x:f>SUM(SalesLines!R2614,SalesLines!R2615,SalesLines!R2616)</x:f>
        <x:v>12</x:v>
      </x:c>
      <x:c r="L1074" s="11" t="n">
        <x:f>SUM(SalesLines!S2614,SalesLines!S2615,SalesLines!S2616)</x:f>
        <x:v>0</x:v>
      </x:c>
      <x:c r="M1074" s="8" t="n">
        <x:f>DATE(YEAR(C1074),MONTH(C1074),1)</x:f>
        <x:v>45931</x:v>
      </x:c>
    </x:row>
    <x:row r="1075" ht="22" customHeight="1">
      <x:c r="A1075" s="2" t="str">
        <x:v>O01071</x:v>
      </x:c>
      <x:c r="B1075" s="2" t="str">
        <x:v>C0117</x:v>
      </x:c>
      <x:c r="C1075" s="7" t="n">
        <x:v>45728</x:v>
      </x:c>
      <x:c r="D1075" s="2" t="str">
        <x:v>Cancelled</x:v>
      </x:c>
      <x:c r="E1075" s="2" t="str">
        <x:v>North</x:v>
      </x:c>
      <x:c r="F1075" s="2" t="str">
        <x:v>Store</x:v>
      </x:c>
      <x:c r="G1075" s="9" t="n">
        <x:f>SUM(SalesLines!Q2617)</x:f>
        <x:v>0</x:v>
      </x:c>
      <x:c r="H1075" s="9" t="n">
        <x:f>SUM(SalesLines!M2617)</x:f>
        <x:v>0</x:v>
      </x:c>
      <x:c r="I1075" s="9" t="n">
        <x:f>SUM(SalesLines!N2617)</x:f>
        <x:v>0</x:v>
      </x:c>
      <x:c r="J1075" s="9" t="n">
        <x:f>SUM(SalesLines!P2617)</x:f>
        <x:v>0</x:v>
      </x:c>
      <x:c r="K1075" s="11" t="n">
        <x:f>SUM(SalesLines!R2617)</x:f>
        <x:v>0</x:v>
      </x:c>
      <x:c r="L1075" s="11" t="n">
        <x:f>SUM(SalesLines!S2617)</x:f>
        <x:v>0</x:v>
      </x:c>
      <x:c r="M1075" s="8" t="n">
        <x:f>DATE(YEAR(C1075),MONTH(C1075),1)</x:f>
        <x:v>45717</x:v>
      </x:c>
    </x:row>
    <x:row r="1076" ht="22" customHeight="1">
      <x:c r="A1076" s="2" t="str">
        <x:v>O01072</x:v>
      </x:c>
      <x:c r="B1076" s="2" t="str">
        <x:v>C0196</x:v>
      </x:c>
      <x:c r="C1076" s="7" t="n">
        <x:v>46001</x:v>
      </x:c>
      <x:c r="D1076" s="2" t="str">
        <x:v>Completed</x:v>
      </x:c>
      <x:c r="E1076" s="2" t="str">
        <x:v>West</x:v>
      </x:c>
      <x:c r="F1076" s="2" t="str">
        <x:v>Online</x:v>
      </x:c>
      <x:c r="G1076" s="9" t="n">
        <x:f>SUM(SalesLines!Q2618,SalesLines!Q2619)</x:f>
        <x:v>1214.8</x:v>
      </x:c>
      <x:c r="H1076" s="9" t="n">
        <x:f>SUM(SalesLines!M2618,SalesLines!M2619)</x:f>
        <x:v>1298</x:v>
      </x:c>
      <x:c r="I1076" s="9" t="n">
        <x:f>SUM(SalesLines!N2618,SalesLines!N2619)</x:f>
        <x:v>83.2</x:v>
      </x:c>
      <x:c r="J1076" s="9" t="n">
        <x:f>SUM(SalesLines!P2618,SalesLines!P2619)</x:f>
        <x:v>0</x:v>
      </x:c>
      <x:c r="K1076" s="11" t="n">
        <x:f>SUM(SalesLines!R2618,SalesLines!R2619)</x:f>
        <x:v>5</x:v>
      </x:c>
      <x:c r="L1076" s="11" t="n">
        <x:f>SUM(SalesLines!S2618,SalesLines!S2619)</x:f>
        <x:v>0</x:v>
      </x:c>
      <x:c r="M1076" s="8" t="n">
        <x:f>DATE(YEAR(C1076),MONTH(C1076),1)</x:f>
        <x:v>45992</x:v>
      </x:c>
    </x:row>
    <x:row r="1077" ht="22" customHeight="1">
      <x:c r="A1077" s="2" t="str">
        <x:v>O01073</x:v>
      </x:c>
      <x:c r="B1077" s="2" t="str">
        <x:v>C0226</x:v>
      </x:c>
      <x:c r="C1077" s="7" t="n">
        <x:v>45845</x:v>
      </x:c>
      <x:c r="D1077" s="2" t="str">
        <x:v>Completed</x:v>
      </x:c>
      <x:c r="E1077" s="2" t="str">
        <x:v>South</x:v>
      </x:c>
      <x:c r="F1077" s="2" t="str">
        <x:v>Online</x:v>
      </x:c>
      <x:c r="G1077" s="9" t="n">
        <x:f>SUM(SalesLines!Q2620,SalesLines!Q2621,SalesLines!Q2622)</x:f>
        <x:v>829</x:v>
      </x:c>
      <x:c r="H1077" s="9" t="n">
        <x:f>SUM(SalesLines!M2620,SalesLines!M2621,SalesLines!M2622)</x:f>
        <x:v>1241</x:v>
      </x:c>
      <x:c r="I1077" s="9" t="n">
        <x:f>SUM(SalesLines!N2620,SalesLines!N2621,SalesLines!N2622)</x:f>
        <x:v>40</x:v>
      </x:c>
      <x:c r="J1077" s="9" t="n">
        <x:f>SUM(SalesLines!P2620,SalesLines!P2621,SalesLines!P2622)</x:f>
        <x:v>372</x:v>
      </x:c>
      <x:c r="K1077" s="11" t="n">
        <x:f>SUM(SalesLines!R2620,SalesLines!R2621,SalesLines!R2622)</x:f>
        <x:v>12</x:v>
      </x:c>
      <x:c r="L1077" s="11" t="n">
        <x:f>SUM(SalesLines!S2620,SalesLines!S2621,SalesLines!S2622)</x:f>
        <x:v>4</x:v>
      </x:c>
      <x:c r="M1077" s="8" t="n">
        <x:f>DATE(YEAR(C1077),MONTH(C1077),1)</x:f>
        <x:v>45839</x:v>
      </x:c>
    </x:row>
    <x:row r="1078" ht="22" customHeight="1">
      <x:c r="A1078" s="2" t="str">
        <x:v>O01074</x:v>
      </x:c>
      <x:c r="B1078" s="2" t="str">
        <x:v>C0066</x:v>
      </x:c>
      <x:c r="C1078" s="7" t="n">
        <x:v>45853</x:v>
      </x:c>
      <x:c r="D1078" s="2" t="str">
        <x:v>Completed</x:v>
      </x:c>
      <x:c r="E1078" s="2" t="str">
        <x:v>North</x:v>
      </x:c>
      <x:c r="F1078" s="2" t="str">
        <x:v>Store</x:v>
      </x:c>
      <x:c r="G1078" s="9" t="n">
        <x:f>SUM(SalesLines!Q2623,SalesLines!Q2624)</x:f>
        <x:v>558.4</x:v>
      </x:c>
      <x:c r="H1078" s="9" t="n">
        <x:f>SUM(SalesLines!M2623,SalesLines!M2624)</x:f>
        <x:v>698</x:v>
      </x:c>
      <x:c r="I1078" s="9" t="n">
        <x:f>SUM(SalesLines!N2623,SalesLines!N2624)</x:f>
        <x:v>139.6</x:v>
      </x:c>
      <x:c r="J1078" s="9" t="n">
        <x:f>SUM(SalesLines!P2623,SalesLines!P2624)</x:f>
        <x:v>0</x:v>
      </x:c>
      <x:c r="K1078" s="11" t="n">
        <x:f>SUM(SalesLines!R2623,SalesLines!R2624)</x:f>
        <x:v>6</x:v>
      </x:c>
      <x:c r="L1078" s="11" t="n">
        <x:f>SUM(SalesLines!S2623,SalesLines!S2624)</x:f>
        <x:v>0</x:v>
      </x:c>
      <x:c r="M1078" s="8" t="n">
        <x:f>DATE(YEAR(C1078),MONTH(C1078),1)</x:f>
        <x:v>45839</x:v>
      </x:c>
    </x:row>
    <x:row r="1079" ht="22" customHeight="1">
      <x:c r="A1079" s="2" t="str">
        <x:v>O01075</x:v>
      </x:c>
      <x:c r="B1079" s="2" t="str">
        <x:v>C0088</x:v>
      </x:c>
      <x:c r="C1079" s="7" t="n">
        <x:v>45798</x:v>
      </x:c>
      <x:c r="D1079" s="2" t="str">
        <x:v>Completed</x:v>
      </x:c>
      <x:c r="E1079" s="2" t="str">
        <x:v>West</x:v>
      </x:c>
      <x:c r="F1079" s="2" t="str">
        <x:v>Store</x:v>
      </x:c>
      <x:c r="G1079" s="9" t="n">
        <x:f>SUM(SalesLines!Q2625,SalesLines!Q2626,SalesLines!Q2627,SalesLines!Q2628)</x:f>
        <x:v>1743.7</x:v>
      </x:c>
      <x:c r="H1079" s="9" t="n">
        <x:f>SUM(SalesLines!M2625,SalesLines!M2626,SalesLines!M2627,SalesLines!M2628)</x:f>
        <x:v>1979</x:v>
      </x:c>
      <x:c r="I1079" s="9" t="n">
        <x:f>SUM(SalesLines!N2625,SalesLines!N2626,SalesLines!N2627,SalesLines!N2628)</x:f>
        <x:v>235.3</x:v>
      </x:c>
      <x:c r="J1079" s="9" t="n">
        <x:f>SUM(SalesLines!P2625,SalesLines!P2626,SalesLines!P2627,SalesLines!P2628)</x:f>
        <x:v>0</x:v>
      </x:c>
      <x:c r="K1079" s="11" t="n">
        <x:f>SUM(SalesLines!R2625,SalesLines!R2626,SalesLines!R2627,SalesLines!R2628)</x:f>
        <x:v>8</x:v>
      </x:c>
      <x:c r="L1079" s="11" t="n">
        <x:f>SUM(SalesLines!S2625,SalesLines!S2626,SalesLines!S2627,SalesLines!S2628)</x:f>
        <x:v>0</x:v>
      </x:c>
      <x:c r="M1079" s="8" t="n">
        <x:f>DATE(YEAR(C1079),MONTH(C1079),1)</x:f>
        <x:v>45778</x:v>
      </x:c>
    </x:row>
    <x:row r="1080" ht="22" customHeight="1">
      <x:c r="A1080" s="2" t="str">
        <x:v>O01076</x:v>
      </x:c>
      <x:c r="B1080" s="2" t="str">
        <x:v>C0184</x:v>
      </x:c>
      <x:c r="C1080" s="7" t="n">
        <x:v>45902</x:v>
      </x:c>
      <x:c r="D1080" s="2" t="str">
        <x:v>Completed</x:v>
      </x:c>
      <x:c r="E1080" s="2" t="str">
        <x:v>West</x:v>
      </x:c>
      <x:c r="F1080" s="2" t="str">
        <x:v>Online</x:v>
      </x:c>
      <x:c r="G1080" s="9" t="n">
        <x:f>SUM(SalesLines!Q2629)</x:f>
        <x:v>744.8</x:v>
      </x:c>
      <x:c r="H1080" s="9" t="n">
        <x:f>SUM(SalesLines!M2629)</x:f>
        <x:v>784</x:v>
      </x:c>
      <x:c r="I1080" s="9" t="n">
        <x:f>SUM(SalesLines!N2629)</x:f>
        <x:v>39.2</x:v>
      </x:c>
      <x:c r="J1080" s="9" t="n">
        <x:f>SUM(SalesLines!P2629)</x:f>
        <x:v>0</x:v>
      </x:c>
      <x:c r="K1080" s="11" t="n">
        <x:f>SUM(SalesLines!R2629)</x:f>
        <x:v>4</x:v>
      </x:c>
      <x:c r="L1080" s="11" t="n">
        <x:f>SUM(SalesLines!S2629)</x:f>
        <x:v>0</x:v>
      </x:c>
      <x:c r="M1080" s="8" t="n">
        <x:f>DATE(YEAR(C1080),MONTH(C1080),1)</x:f>
        <x:v>45901</x:v>
      </x:c>
    </x:row>
    <x:row r="1081" ht="22" customHeight="1">
      <x:c r="A1081" s="2" t="str">
        <x:v>O01077</x:v>
      </x:c>
      <x:c r="B1081" s="2" t="str">
        <x:v>C0099</x:v>
      </x:c>
      <x:c r="C1081" s="7" t="n">
        <x:v>45845</x:v>
      </x:c>
      <x:c r="D1081" s="2" t="str">
        <x:v>Completed</x:v>
      </x:c>
      <x:c r="E1081" s="2" t="str">
        <x:v>West</x:v>
      </x:c>
      <x:c r="F1081" s="2" t="str">
        <x:v>Online</x:v>
      </x:c>
      <x:c r="G1081" s="9" t="n">
        <x:f>SUM(SalesLines!Q2630,SalesLines!Q2631)</x:f>
        <x:v>1065.3</x:v>
      </x:c>
      <x:c r="H1081" s="9" t="n">
        <x:f>SUM(SalesLines!M2630,SalesLines!M2631)</x:f>
        <x:v>1539</x:v>
      </x:c>
      <x:c r="I1081" s="9" t="n">
        <x:f>SUM(SalesLines!N2630,SalesLines!N2631)</x:f>
        <x:v>123.15</x:v>
      </x:c>
      <x:c r="J1081" s="9" t="n">
        <x:f>SUM(SalesLines!P2630,SalesLines!P2631)</x:f>
        <x:v>350.55</x:v>
      </x:c>
      <x:c r="K1081" s="11" t="n">
        <x:f>SUM(SalesLines!R2630,SalesLines!R2631)</x:f>
        <x:v>9</x:v>
      </x:c>
      <x:c r="L1081" s="11" t="n">
        <x:f>SUM(SalesLines!S2630,SalesLines!S2631)</x:f>
        <x:v>3</x:v>
      </x:c>
      <x:c r="M1081" s="8" t="n">
        <x:f>DATE(YEAR(C1081),MONTH(C1081),1)</x:f>
        <x:v>45839</x:v>
      </x:c>
    </x:row>
    <x:row r="1082" ht="22" customHeight="1">
      <x:c r="A1082" s="2" t="str">
        <x:v>O01078</x:v>
      </x:c>
      <x:c r="B1082" s="2" t="str">
        <x:v>C0300</x:v>
      </x:c>
      <x:c r="C1082" s="7" t="n">
        <x:v>45958</x:v>
      </x:c>
      <x:c r="D1082" s="2" t="str">
        <x:v>Completed</x:v>
      </x:c>
      <x:c r="E1082" s="2" t="str">
        <x:v>West</x:v>
      </x:c>
      <x:c r="F1082" s="2" t="str">
        <x:v>Online</x:v>
      </x:c>
      <x:c r="G1082" s="9" t="n">
        <x:f>SUM(SalesLines!Q2632,SalesLines!Q2633,SalesLines!Q2634,SalesLines!Q2635)</x:f>
        <x:v>2610.25</x:v>
      </x:c>
      <x:c r="H1082" s="9" t="n">
        <x:f>SUM(SalesLines!M2632,SalesLines!M2633,SalesLines!M2634,SalesLines!M2635)</x:f>
        <x:v>2852</x:v>
      </x:c>
      <x:c r="I1082" s="9" t="n">
        <x:f>SUM(SalesLines!N2632,SalesLines!N2633,SalesLines!N2634,SalesLines!N2635)</x:f>
        <x:v>241.75</x:v>
      </x:c>
      <x:c r="J1082" s="9" t="n">
        <x:f>SUM(SalesLines!P2632,SalesLines!P2633,SalesLines!P2634,SalesLines!P2635)</x:f>
        <x:v>0</x:v>
      </x:c>
      <x:c r="K1082" s="11" t="n">
        <x:f>SUM(SalesLines!R2632,SalesLines!R2633,SalesLines!R2634,SalesLines!R2635)</x:f>
        <x:v>15</x:v>
      </x:c>
      <x:c r="L1082" s="11" t="n">
        <x:f>SUM(SalesLines!S2632,SalesLines!S2633,SalesLines!S2634,SalesLines!S2635)</x:f>
        <x:v>0</x:v>
      </x:c>
      <x:c r="M1082" s="8" t="n">
        <x:f>DATE(YEAR(C1082),MONTH(C1082),1)</x:f>
        <x:v>45931</x:v>
      </x:c>
    </x:row>
    <x:row r="1083" ht="22" customHeight="1">
      <x:c r="A1083" s="2" t="str">
        <x:v>O01079</x:v>
      </x:c>
      <x:c r="B1083" s="2" t="str">
        <x:v>C0289</x:v>
      </x:c>
      <x:c r="C1083" s="7" t="n">
        <x:v>45897</x:v>
      </x:c>
      <x:c r="D1083" s="2" t="str">
        <x:v>Completed</x:v>
      </x:c>
      <x:c r="E1083" s="2" t="str">
        <x:v>West</x:v>
      </x:c>
      <x:c r="F1083" s="2" t="str">
        <x:v>Store</x:v>
      </x:c>
      <x:c r="G1083" s="9" t="n">
        <x:f>SUM(SalesLines!Q2636,SalesLines!Q2637)</x:f>
        <x:v>296.1</x:v>
      </x:c>
      <x:c r="H1083" s="9" t="n">
        <x:f>SUM(SalesLines!M2636,SalesLines!M2637)</x:f>
        <x:v>360</x:v>
      </x:c>
      <x:c r="I1083" s="9" t="n">
        <x:f>SUM(SalesLines!N2636,SalesLines!N2637)</x:f>
        <x:v>63.900000000000006</x:v>
      </x:c>
      <x:c r="J1083" s="9" t="n">
        <x:f>SUM(SalesLines!P2636,SalesLines!P2637)</x:f>
        <x:v>0</x:v>
      </x:c>
      <x:c r="K1083" s="11" t="n">
        <x:f>SUM(SalesLines!R2636,SalesLines!R2637)</x:f>
        <x:v>4</x:v>
      </x:c>
      <x:c r="L1083" s="11" t="n">
        <x:f>SUM(SalesLines!S2636,SalesLines!S2637)</x:f>
        <x:v>0</x:v>
      </x:c>
      <x:c r="M1083" s="8" t="n">
        <x:f>DATE(YEAR(C1083),MONTH(C1083),1)</x:f>
        <x:v>45870</x:v>
      </x:c>
    </x:row>
    <x:row r="1084" ht="22" customHeight="1">
      <x:c r="A1084" s="2" t="str">
        <x:v>O01080</x:v>
      </x:c>
      <x:c r="B1084" s="2" t="str">
        <x:v>C0239</x:v>
      </x:c>
      <x:c r="C1084" s="7" t="n">
        <x:v>45767</x:v>
      </x:c>
      <x:c r="D1084" s="2" t="str">
        <x:v>Completed</x:v>
      </x:c>
      <x:c r="E1084" s="2" t="str">
        <x:v>South</x:v>
      </x:c>
      <x:c r="F1084" s="2" t="str">
        <x:v>Store</x:v>
      </x:c>
      <x:c r="G1084" s="9" t="n">
        <x:f>SUM(SalesLines!Q2638,SalesLines!Q2639)</x:f>
        <x:v>764.1</x:v>
      </x:c>
      <x:c r="H1084" s="9" t="n">
        <x:f>SUM(SalesLines!M2638,SalesLines!M2639)</x:f>
        <x:v>947</x:v>
      </x:c>
      <x:c r="I1084" s="9" t="n">
        <x:f>SUM(SalesLines!N2638,SalesLines!N2639)</x:f>
        <x:v>182.9</x:v>
      </x:c>
      <x:c r="J1084" s="9" t="n">
        <x:f>SUM(SalesLines!P2638,SalesLines!P2639)</x:f>
        <x:v>0</x:v>
      </x:c>
      <x:c r="K1084" s="11" t="n">
        <x:f>SUM(SalesLines!R2638,SalesLines!R2639)</x:f>
        <x:v>4</x:v>
      </x:c>
      <x:c r="L1084" s="11" t="n">
        <x:f>SUM(SalesLines!S2638,SalesLines!S2639)</x:f>
        <x:v>0</x:v>
      </x:c>
      <x:c r="M1084" s="8" t="n">
        <x:f>DATE(YEAR(C1084),MONTH(C1084),1)</x:f>
        <x:v>45748</x:v>
      </x:c>
    </x:row>
    <x:row r="1085" ht="22" customHeight="1">
      <x:c r="A1085" s="2" t="str">
        <x:v>O01081</x:v>
      </x:c>
      <x:c r="B1085" s="2" t="str">
        <x:v>C0239</x:v>
      </x:c>
      <x:c r="C1085" s="7" t="n">
        <x:v>45679</x:v>
      </x:c>
      <x:c r="D1085" s="2" t="str">
        <x:v>Completed</x:v>
      </x:c>
      <x:c r="E1085" s="2" t="str">
        <x:v>South</x:v>
      </x:c>
      <x:c r="F1085" s="2" t="str">
        <x:v>Store</x:v>
      </x:c>
      <x:c r="G1085" s="9" t="n">
        <x:f>SUM(SalesLines!Q2640,SalesLines!Q2641,SalesLines!Q2642)</x:f>
        <x:v>429.9</x:v>
      </x:c>
      <x:c r="H1085" s="9" t="n">
        <x:f>SUM(SalesLines!M2640,SalesLines!M2641,SalesLines!M2642)</x:f>
        <x:v>811</x:v>
      </x:c>
      <x:c r="I1085" s="9" t="n">
        <x:f>SUM(SalesLines!N2640,SalesLines!N2641,SalesLines!N2642)</x:f>
        <x:v>141.1</x:v>
      </x:c>
      <x:c r="J1085" s="9" t="n">
        <x:f>SUM(SalesLines!P2640,SalesLines!P2641,SalesLines!P2642)</x:f>
        <x:v>240</x:v>
      </x:c>
      <x:c r="K1085" s="11" t="n">
        <x:f>SUM(SalesLines!R2640,SalesLines!R2641,SalesLines!R2642)</x:f>
        <x:v>5</x:v>
      </x:c>
      <x:c r="L1085" s="11" t="n">
        <x:f>SUM(SalesLines!S2640,SalesLines!S2641,SalesLines!S2642)</x:f>
        <x:v>1</x:v>
      </x:c>
      <x:c r="M1085" s="8" t="n">
        <x:f>DATE(YEAR(C1085),MONTH(C1085),1)</x:f>
        <x:v>45658</x:v>
      </x:c>
    </x:row>
    <x:row r="1086" ht="22" customHeight="1">
      <x:c r="A1086" s="2" t="str">
        <x:v>O01082</x:v>
      </x:c>
      <x:c r="B1086" s="2" t="str">
        <x:v>C0164</x:v>
      </x:c>
      <x:c r="C1086" s="7" t="n">
        <x:v>45688</x:v>
      </x:c>
      <x:c r="D1086" s="2" t="str">
        <x:v>Completed</x:v>
      </x:c>
      <x:c r="E1086" s="2" t="str">
        <x:v>East</x:v>
      </x:c>
      <x:c r="F1086" s="2" t="str">
        <x:v>Online</x:v>
      </x:c>
      <x:c r="G1086" s="9" t="n">
        <x:f>SUM(SalesLines!Q2643,SalesLines!Q2644,SalesLines!Q2645)</x:f>
        <x:v>441.65</x:v>
      </x:c>
      <x:c r="H1086" s="9" t="n">
        <x:f>SUM(SalesLines!M2643,SalesLines!M2644,SalesLines!M2645)</x:f>
        <x:v>529</x:v>
      </x:c>
      <x:c r="I1086" s="9" t="n">
        <x:f>SUM(SalesLines!N2643,SalesLines!N2644,SalesLines!N2645)</x:f>
        <x:v>87.35000000000001</x:v>
      </x:c>
      <x:c r="J1086" s="9" t="n">
        <x:f>SUM(SalesLines!P2643,SalesLines!P2644,SalesLines!P2645)</x:f>
        <x:v>0</x:v>
      </x:c>
      <x:c r="K1086" s="11" t="n">
        <x:f>SUM(SalesLines!R2643,SalesLines!R2644,SalesLines!R2645)</x:f>
        <x:v>3</x:v>
      </x:c>
      <x:c r="L1086" s="11" t="n">
        <x:f>SUM(SalesLines!S2643,SalesLines!S2644,SalesLines!S2645)</x:f>
        <x:v>0</x:v>
      </x:c>
      <x:c r="M1086" s="8" t="n">
        <x:f>DATE(YEAR(C1086),MONTH(C1086),1)</x:f>
        <x:v>45658</x:v>
      </x:c>
    </x:row>
    <x:row r="1087" ht="22" customHeight="1">
      <x:c r="A1087" s="2" t="str">
        <x:v>O01083</x:v>
      </x:c>
      <x:c r="B1087" s="2" t="str">
        <x:v>C0127</x:v>
      </x:c>
      <x:c r="C1087" s="7" t="n">
        <x:v>45807</x:v>
      </x:c>
      <x:c r="D1087" s="2" t="str">
        <x:v>Completed</x:v>
      </x:c>
      <x:c r="E1087" s="2" t="str">
        <x:v>East</x:v>
      </x:c>
      <x:c r="F1087" s="2" t="str">
        <x:v>Online</x:v>
      </x:c>
      <x:c r="G1087" s="9" t="n">
        <x:f>SUM(SalesLines!Q2646,SalesLines!Q2647)</x:f>
        <x:v>417.59999999999997</x:v>
      </x:c>
      <x:c r="H1087" s="9" t="n">
        <x:f>SUM(SalesLines!M2646,SalesLines!M2647)</x:f>
        <x:v>471</x:v>
      </x:c>
      <x:c r="I1087" s="9" t="n">
        <x:f>SUM(SalesLines!N2646,SalesLines!N2647)</x:f>
        <x:v>53.400000000000006</x:v>
      </x:c>
      <x:c r="J1087" s="9" t="n">
        <x:f>SUM(SalesLines!P2646,SalesLines!P2647)</x:f>
        <x:v>0</x:v>
      </x:c>
      <x:c r="K1087" s="11" t="n">
        <x:f>SUM(SalesLines!R2646,SalesLines!R2647)</x:f>
        <x:v>5</x:v>
      </x:c>
      <x:c r="L1087" s="11" t="n">
        <x:f>SUM(SalesLines!S2646,SalesLines!S2647)</x:f>
        <x:v>0</x:v>
      </x:c>
      <x:c r="M1087" s="8" t="n">
        <x:f>DATE(YEAR(C1087),MONTH(C1087),1)</x:f>
        <x:v>45778</x:v>
      </x:c>
    </x:row>
    <x:row r="1088" ht="22" customHeight="1">
      <x:c r="A1088" s="2" t="str">
        <x:v>O01084</x:v>
      </x:c>
      <x:c r="B1088" s="2" t="str">
        <x:v>C0170</x:v>
      </x:c>
      <x:c r="C1088" s="7" t="n">
        <x:v>45798</x:v>
      </x:c>
      <x:c r="D1088" s="2" t="str">
        <x:v>Completed</x:v>
      </x:c>
      <x:c r="E1088" s="2" t="str">
        <x:v>East</x:v>
      </x:c>
      <x:c r="F1088" s="2" t="str">
        <x:v>Store</x:v>
      </x:c>
      <x:c r="G1088" s="9" t="n">
        <x:f>SUM(SalesLines!Q2648)</x:f>
        <x:v>535.8</x:v>
      </x:c>
      <x:c r="H1088" s="9" t="n">
        <x:f>SUM(SalesLines!M2648)</x:f>
        <x:v>564</x:v>
      </x:c>
      <x:c r="I1088" s="9" t="n">
        <x:f>SUM(SalesLines!N2648)</x:f>
        <x:v>28.200000000000003</x:v>
      </x:c>
      <x:c r="J1088" s="9" t="n">
        <x:f>SUM(SalesLines!P2648)</x:f>
        <x:v>0</x:v>
      </x:c>
      <x:c r="K1088" s="11" t="n">
        <x:f>SUM(SalesLines!R2648)</x:f>
        <x:v>3</x:v>
      </x:c>
      <x:c r="L1088" s="11" t="n">
        <x:f>SUM(SalesLines!S2648)</x:f>
        <x:v>0</x:v>
      </x:c>
      <x:c r="M1088" s="8" t="n">
        <x:f>DATE(YEAR(C1088),MONTH(C1088),1)</x:f>
        <x:v>45778</x:v>
      </x:c>
    </x:row>
    <x:row r="1089" ht="22" customHeight="1">
      <x:c r="A1089" s="2" t="str">
        <x:v>O01085</x:v>
      </x:c>
      <x:c r="B1089" s="2" t="str">
        <x:v>C0068</x:v>
      </x:c>
      <x:c r="C1089" s="7" t="n">
        <x:v>45750</x:v>
      </x:c>
      <x:c r="D1089" s="2" t="str">
        <x:v>Completed</x:v>
      </x:c>
      <x:c r="E1089" s="2" t="str">
        <x:v>West</x:v>
      </x:c>
      <x:c r="F1089" s="2" t="str">
        <x:v>Store</x:v>
      </x:c>
      <x:c r="G1089" s="9" t="n">
        <x:f>SUM(SalesLines!Q2649,SalesLines!Q2650,SalesLines!Q2651,SalesLines!Q2652)</x:f>
        <x:v>2181.8</x:v>
      </x:c>
      <x:c r="H1089" s="9" t="n">
        <x:f>SUM(SalesLines!M2649,SalesLines!M2650,SalesLines!M2651,SalesLines!M2652)</x:f>
        <x:v>2917</x:v>
      </x:c>
      <x:c r="I1089" s="9" t="n">
        <x:f>SUM(SalesLines!N2649,SalesLines!N2650,SalesLines!N2651,SalesLines!N2652)</x:f>
        <x:v>416.8</x:v>
      </x:c>
      <x:c r="J1089" s="9" t="n">
        <x:f>SUM(SalesLines!P2649,SalesLines!P2650,SalesLines!P2651,SalesLines!P2652)</x:f>
        <x:v>318.40000000000003</x:v>
      </x:c>
      <x:c r="K1089" s="11" t="n">
        <x:f>SUM(SalesLines!R2649,SalesLines!R2650,SalesLines!R2651,SalesLines!R2652)</x:f>
        <x:v>12</x:v>
      </x:c>
      <x:c r="L1089" s="11" t="n">
        <x:f>SUM(SalesLines!S2649,SalesLines!S2650,SalesLines!S2651,SalesLines!S2652)</x:f>
        <x:v>2</x:v>
      </x:c>
      <x:c r="M1089" s="8" t="n">
        <x:f>DATE(YEAR(C1089),MONTH(C1089),1)</x:f>
        <x:v>45748</x:v>
      </x:c>
    </x:row>
    <x:row r="1090" ht="22" customHeight="1">
      <x:c r="A1090" s="2" t="str">
        <x:v>O01086</x:v>
      </x:c>
      <x:c r="B1090" s="2" t="str">
        <x:v>C0187</x:v>
      </x:c>
      <x:c r="C1090" s="7" t="n">
        <x:v>45812</x:v>
      </x:c>
      <x:c r="D1090" s="2" t="str">
        <x:v>Completed</x:v>
      </x:c>
      <x:c r="E1090" s="2" t="str">
        <x:v>North</x:v>
      </x:c>
      <x:c r="F1090" s="2" t="str">
        <x:v>Store</x:v>
      </x:c>
      <x:c r="G1090" s="9" t="n">
        <x:f>SUM(SalesLines!Q2653,SalesLines!Q2654,SalesLines!Q2655)</x:f>
        <x:v>837.4</x:v>
      </x:c>
      <x:c r="H1090" s="9" t="n">
        <x:f>SUM(SalesLines!M2653,SalesLines!M2654,SalesLines!M2655)</x:f>
        <x:v>992</x:v>
      </x:c>
      <x:c r="I1090" s="9" t="n">
        <x:f>SUM(SalesLines!N2653,SalesLines!N2654,SalesLines!N2655)</x:f>
        <x:v>81.7</x:v>
      </x:c>
      <x:c r="J1090" s="9" t="n">
        <x:f>SUM(SalesLines!P2653,SalesLines!P2654,SalesLines!P2655)</x:f>
        <x:v>72.9</x:v>
      </x:c>
      <x:c r="K1090" s="11" t="n">
        <x:f>SUM(SalesLines!R2653,SalesLines!R2654,SalesLines!R2655)</x:f>
        <x:v>9</x:v>
      </x:c>
      <x:c r="L1090" s="11" t="n">
        <x:f>SUM(SalesLines!S2653,SalesLines!S2654,SalesLines!S2655)</x:f>
        <x:v>1</x:v>
      </x:c>
      <x:c r="M1090" s="8" t="n">
        <x:f>DATE(YEAR(C1090),MONTH(C1090),1)</x:f>
        <x:v>45809</x:v>
      </x:c>
    </x:row>
    <x:row r="1091" ht="22" customHeight="1">
      <x:c r="A1091" s="2" t="str">
        <x:v>O01087</x:v>
      </x:c>
      <x:c r="B1091" s="2" t="str">
        <x:v>C0046</x:v>
      </x:c>
      <x:c r="C1091" s="7" t="n">
        <x:v>46010</x:v>
      </x:c>
      <x:c r="D1091" s="2" t="str">
        <x:v>Completed</x:v>
      </x:c>
      <x:c r="E1091" s="2" t="str">
        <x:v>West</x:v>
      </x:c>
      <x:c r="F1091" s="2" t="str">
        <x:v>Store</x:v>
      </x:c>
      <x:c r="G1091" s="9" t="n">
        <x:f>SUM(SalesLines!Q2656,SalesLines!Q2657,SalesLines!Q2658)</x:f>
        <x:v>1758.1</x:v>
      </x:c>
      <x:c r="H1091" s="9" t="n">
        <x:f>SUM(SalesLines!M2656,SalesLines!M2657,SalesLines!M2658)</x:f>
        <x:v>1933</x:v>
      </x:c>
      <x:c r="I1091" s="9" t="n">
        <x:f>SUM(SalesLines!N2656,SalesLines!N2657,SalesLines!N2658)</x:f>
        <x:v>174.9</x:v>
      </x:c>
      <x:c r="J1091" s="9" t="n">
        <x:f>SUM(SalesLines!P2656,SalesLines!P2657,SalesLines!P2658)</x:f>
        <x:v>0</x:v>
      </x:c>
      <x:c r="K1091" s="11" t="n">
        <x:f>SUM(SalesLines!R2656,SalesLines!R2657,SalesLines!R2658)</x:f>
        <x:v>9</x:v>
      </x:c>
      <x:c r="L1091" s="11" t="n">
        <x:f>SUM(SalesLines!S2656,SalesLines!S2657,SalesLines!S2658)</x:f>
        <x:v>0</x:v>
      </x:c>
      <x:c r="M1091" s="8" t="n">
        <x:f>DATE(YEAR(C1091),MONTH(C1091),1)</x:f>
        <x:v>45992</x:v>
      </x:c>
    </x:row>
    <x:row r="1092" ht="22" customHeight="1">
      <x:c r="A1092" s="2" t="str">
        <x:v>O01088</x:v>
      </x:c>
      <x:c r="B1092" s="2" t="str">
        <x:v>C0216</x:v>
      </x:c>
      <x:c r="C1092" s="7" t="n">
        <x:v>45764</x:v>
      </x:c>
      <x:c r="D1092" s="2" t="str">
        <x:v>Completed</x:v>
      </x:c>
      <x:c r="E1092" s="2" t="str">
        <x:v>North</x:v>
      </x:c>
      <x:c r="F1092" s="2" t="str">
        <x:v>Store</x:v>
      </x:c>
      <x:c r="G1092" s="9" t="n">
        <x:f>SUM(SalesLines!Q2659,SalesLines!Q2660,SalesLines!Q2661,SalesLines!Q2662)</x:f>
        <x:v>2175</x:v>
      </x:c>
      <x:c r="H1092" s="9" t="n">
        <x:f>SUM(SalesLines!M2659,SalesLines!M2660,SalesLines!M2661,SalesLines!M2662)</x:f>
        <x:v>2695</x:v>
      </x:c>
      <x:c r="I1092" s="9" t="n">
        <x:f>SUM(SalesLines!N2659,SalesLines!N2660,SalesLines!N2661,SalesLines!N2662)</x:f>
        <x:v>369.6</x:v>
      </x:c>
      <x:c r="J1092" s="9" t="n">
        <x:f>SUM(SalesLines!P2659,SalesLines!P2660,SalesLines!P2661,SalesLines!P2662)</x:f>
        <x:v>150.4</x:v>
      </x:c>
      <x:c r="K1092" s="11" t="n">
        <x:f>SUM(SalesLines!R2659,SalesLines!R2660,SalesLines!R2661,SalesLines!R2662)</x:f>
        <x:v>11</x:v>
      </x:c>
      <x:c r="L1092" s="11" t="n">
        <x:f>SUM(SalesLines!S2659,SalesLines!S2660,SalesLines!S2661,SalesLines!S2662)</x:f>
        <x:v>1</x:v>
      </x:c>
      <x:c r="M1092" s="8" t="n">
        <x:f>DATE(YEAR(C1092),MONTH(C1092),1)</x:f>
        <x:v>45748</x:v>
      </x:c>
    </x:row>
    <x:row r="1093" ht="22" customHeight="1">
      <x:c r="A1093" s="2" t="str">
        <x:v>O01089</x:v>
      </x:c>
      <x:c r="B1093" s="2" t="str">
        <x:v>C0174</x:v>
      </x:c>
      <x:c r="C1093" s="7" t="n">
        <x:v>45966</x:v>
      </x:c>
      <x:c r="D1093" s="2" t="str">
        <x:v>Completed</x:v>
      </x:c>
      <x:c r="E1093" s="2" t="str">
        <x:v>South</x:v>
      </x:c>
      <x:c r="F1093" s="2" t="str">
        <x:v>Online</x:v>
      </x:c>
      <x:c r="G1093" s="9" t="n">
        <x:f>SUM(SalesLines!Q2663)</x:f>
        <x:v>897.75</x:v>
      </x:c>
      <x:c r="H1093" s="9" t="n">
        <x:f>SUM(SalesLines!M2663)</x:f>
        <x:v>945</x:v>
      </x:c>
      <x:c r="I1093" s="9" t="n">
        <x:f>SUM(SalesLines!N2663)</x:f>
        <x:v>47.25</x:v>
      </x:c>
      <x:c r="J1093" s="9" t="n">
        <x:f>SUM(SalesLines!P2663)</x:f>
        <x:v>0</x:v>
      </x:c>
      <x:c r="K1093" s="11" t="n">
        <x:f>SUM(SalesLines!R2663)</x:f>
        <x:v>5</x:v>
      </x:c>
      <x:c r="L1093" s="11" t="n">
        <x:f>SUM(SalesLines!S2663)</x:f>
        <x:v>0</x:v>
      </x:c>
      <x:c r="M1093" s="8" t="n">
        <x:f>DATE(YEAR(C1093),MONTH(C1093),1)</x:f>
        <x:v>45962</x:v>
      </x:c>
    </x:row>
    <x:row r="1094" ht="22" customHeight="1">
      <x:c r="A1094" s="2" t="str">
        <x:v>O01090</x:v>
      </x:c>
      <x:c r="B1094" s="2" t="str">
        <x:v>C0276</x:v>
      </x:c>
      <x:c r="C1094" s="7" t="n">
        <x:v>45733</x:v>
      </x:c>
      <x:c r="D1094" s="2" t="str">
        <x:v>Completed</x:v>
      </x:c>
      <x:c r="E1094" s="2" t="str">
        <x:v>South</x:v>
      </x:c>
      <x:c r="F1094" s="2" t="str">
        <x:v>Store</x:v>
      </x:c>
      <x:c r="G1094" s="9" t="n">
        <x:f>SUM(SalesLines!Q2664,SalesLines!Q2665)</x:f>
        <x:v>966.4</x:v>
      </x:c>
      <x:c r="H1094" s="9" t="n">
        <x:f>SUM(SalesLines!M2664,SalesLines!M2665)</x:f>
        <x:v>1081</x:v>
      </x:c>
      <x:c r="I1094" s="9" t="n">
        <x:f>SUM(SalesLines!N2664,SalesLines!N2665)</x:f>
        <x:v>114.60000000000001</x:v>
      </x:c>
      <x:c r="J1094" s="9" t="n">
        <x:f>SUM(SalesLines!P2664,SalesLines!P2665)</x:f>
        <x:v>0</x:v>
      </x:c>
      <x:c r="K1094" s="11" t="n">
        <x:f>SUM(SalesLines!R2664,SalesLines!R2665)</x:f>
        <x:v>5</x:v>
      </x:c>
      <x:c r="L1094" s="11" t="n">
        <x:f>SUM(SalesLines!S2664,SalesLines!S2665)</x:f>
        <x:v>0</x:v>
      </x:c>
      <x:c r="M1094" s="8" t="n">
        <x:f>DATE(YEAR(C1094),MONTH(C1094),1)</x:f>
        <x:v>45717</x:v>
      </x:c>
    </x:row>
    <x:row r="1095" ht="22" customHeight="1">
      <x:c r="A1095" s="2" t="str">
        <x:v>O01091</x:v>
      </x:c>
      <x:c r="B1095" s="2" t="str">
        <x:v>C0060</x:v>
      </x:c>
      <x:c r="C1095" s="7" t="n">
        <x:v>45696</x:v>
      </x:c>
      <x:c r="D1095" s="2" t="str">
        <x:v>Completed</x:v>
      </x:c>
      <x:c r="E1095" s="2" t="str">
        <x:v>South</x:v>
      </x:c>
      <x:c r="F1095" s="2" t="str">
        <x:v>Store</x:v>
      </x:c>
      <x:c r="G1095" s="9" t="n">
        <x:f>SUM(SalesLines!Q2666)</x:f>
        <x:v>295.2</x:v>
      </x:c>
      <x:c r="H1095" s="9" t="n">
        <x:f>SUM(SalesLines!M2666)</x:f>
        <x:v>369</x:v>
      </x:c>
      <x:c r="I1095" s="9" t="n">
        <x:f>SUM(SalesLines!N2666)</x:f>
        <x:v>73.8</x:v>
      </x:c>
      <x:c r="J1095" s="9" t="n">
        <x:f>SUM(SalesLines!P2666)</x:f>
        <x:v>0</x:v>
      </x:c>
      <x:c r="K1095" s="11" t="n">
        <x:f>SUM(SalesLines!R2666)</x:f>
        <x:v>3</x:v>
      </x:c>
      <x:c r="L1095" s="11" t="n">
        <x:f>SUM(SalesLines!S2666)</x:f>
        <x:v>0</x:v>
      </x:c>
      <x:c r="M1095" s="8" t="n">
        <x:f>DATE(YEAR(C1095),MONTH(C1095),1)</x:f>
        <x:v>45689</x:v>
      </x:c>
    </x:row>
    <x:row r="1096" ht="22" customHeight="1">
      <x:c r="A1096" s="2" t="str">
        <x:v>O01092</x:v>
      </x:c>
      <x:c r="B1096" s="2" t="str">
        <x:v>C0198</x:v>
      </x:c>
      <x:c r="C1096" s="7" t="n">
        <x:v>46010</x:v>
      </x:c>
      <x:c r="D1096" s="2" t="str">
        <x:v>Completed</x:v>
      </x:c>
      <x:c r="E1096" s="2" t="str">
        <x:v>West</x:v>
      </x:c>
      <x:c r="F1096" s="2" t="str">
        <x:v>Store</x:v>
      </x:c>
      <x:c r="G1096" s="9" t="n">
        <x:f>SUM(SalesLines!Q2667,SalesLines!Q2668,SalesLines!Q2669,SalesLines!Q2670)</x:f>
        <x:v>2128.4</x:v>
      </x:c>
      <x:c r="H1096" s="9" t="n">
        <x:f>SUM(SalesLines!M2667,SalesLines!M2668,SalesLines!M2669,SalesLines!M2670)</x:f>
        <x:v>2317</x:v>
      </x:c>
      <x:c r="I1096" s="9" t="n">
        <x:f>SUM(SalesLines!N2667,SalesLines!N2668,SalesLines!N2669,SalesLines!N2670)</x:f>
        <x:v>188.60000000000002</x:v>
      </x:c>
      <x:c r="J1096" s="9" t="n">
        <x:f>SUM(SalesLines!P2667,SalesLines!P2668,SalesLines!P2669,SalesLines!P2670)</x:f>
        <x:v>0</x:v>
      </x:c>
      <x:c r="K1096" s="11" t="n">
        <x:f>SUM(SalesLines!R2667,SalesLines!R2668,SalesLines!R2669,SalesLines!R2670)</x:f>
        <x:v>13</x:v>
      </x:c>
      <x:c r="L1096" s="11" t="n">
        <x:f>SUM(SalesLines!S2667,SalesLines!S2668,SalesLines!S2669,SalesLines!S2670)</x:f>
        <x:v>0</x:v>
      </x:c>
      <x:c r="M1096" s="8" t="n">
        <x:f>DATE(YEAR(C1096),MONTH(C1096),1)</x:f>
        <x:v>45992</x:v>
      </x:c>
    </x:row>
    <x:row r="1097" ht="22" customHeight="1">
      <x:c r="A1097" s="2" t="str">
        <x:v>O01093</x:v>
      </x:c>
      <x:c r="B1097" s="2" t="str">
        <x:v>C0205</x:v>
      </x:c>
      <x:c r="C1097" s="7" t="n">
        <x:v>45763</x:v>
      </x:c>
      <x:c r="D1097" s="2" t="str">
        <x:v>Completed</x:v>
      </x:c>
      <x:c r="E1097" s="2" t="str">
        <x:v>West</x:v>
      </x:c>
      <x:c r="F1097" s="2" t="str">
        <x:v>Store</x:v>
      </x:c>
      <x:c r="G1097" s="9" t="n">
        <x:f>SUM(SalesLines!Q2671,SalesLines!Q2672,SalesLines!Q2673)</x:f>
        <x:v>1461.5500000000002</x:v>
      </x:c>
      <x:c r="H1097" s="9" t="n">
        <x:f>SUM(SalesLines!M2671,SalesLines!M2672,SalesLines!M2673)</x:f>
        <x:v>1715</x:v>
      </x:c>
      <x:c r="I1097" s="9" t="n">
        <x:f>SUM(SalesLines!N2671,SalesLines!N2672,SalesLines!N2673)</x:f>
        <x:v>253.45000000000002</x:v>
      </x:c>
      <x:c r="J1097" s="9" t="n">
        <x:f>SUM(SalesLines!P2671,SalesLines!P2672,SalesLines!P2673)</x:f>
        <x:v>0</x:v>
      </x:c>
      <x:c r="K1097" s="11" t="n">
        <x:f>SUM(SalesLines!R2671,SalesLines!R2672,SalesLines!R2673)</x:f>
        <x:v>10</x:v>
      </x:c>
      <x:c r="L1097" s="11" t="n">
        <x:f>SUM(SalesLines!S2671,SalesLines!S2672,SalesLines!S2673)</x:f>
        <x:v>0</x:v>
      </x:c>
      <x:c r="M1097" s="8" t="n">
        <x:f>DATE(YEAR(C1097),MONTH(C1097),1)</x:f>
        <x:v>45748</x:v>
      </x:c>
    </x:row>
    <x:row r="1098" ht="22" customHeight="1">
      <x:c r="A1098" s="2" t="str">
        <x:v>O01094</x:v>
      </x:c>
      <x:c r="B1098" s="2" t="str">
        <x:v>C0259</x:v>
      </x:c>
      <x:c r="C1098" s="7" t="n">
        <x:v>45985</x:v>
      </x:c>
      <x:c r="D1098" s="2" t="str">
        <x:v>Completed</x:v>
      </x:c>
      <x:c r="E1098" s="2" t="str">
        <x:v>North</x:v>
      </x:c>
      <x:c r="F1098" s="2" t="str">
        <x:v>Store</x:v>
      </x:c>
      <x:c r="G1098" s="9" t="n">
        <x:f>SUM(SalesLines!Q2674,SalesLines!Q2675,SalesLines!Q2676,SalesLines!Q2677)</x:f>
        <x:v>2498.7</x:v>
      </x:c>
      <x:c r="H1098" s="9" t="n">
        <x:f>SUM(SalesLines!M2674,SalesLines!M2675,SalesLines!M2676,SalesLines!M2677)</x:f>
        <x:v>2814</x:v>
      </x:c>
      <x:c r="I1098" s="9" t="n">
        <x:f>SUM(SalesLines!N2674,SalesLines!N2675,SalesLines!N2676,SalesLines!N2677)</x:f>
        <x:v>315.3</x:v>
      </x:c>
      <x:c r="J1098" s="9" t="n">
        <x:f>SUM(SalesLines!P2674,SalesLines!P2675,SalesLines!P2676,SalesLines!P2677)</x:f>
        <x:v>0</x:v>
      </x:c>
      <x:c r="K1098" s="11" t="n">
        <x:f>SUM(SalesLines!R2674,SalesLines!R2675,SalesLines!R2676,SalesLines!R2677)</x:f>
        <x:v>11</x:v>
      </x:c>
      <x:c r="L1098" s="11" t="n">
        <x:f>SUM(SalesLines!S2674,SalesLines!S2675,SalesLines!S2676,SalesLines!S2677)</x:f>
        <x:v>0</x:v>
      </x:c>
      <x:c r="M1098" s="8" t="n">
        <x:f>DATE(YEAR(C1098),MONTH(C1098),1)</x:f>
        <x:v>45962</x:v>
      </x:c>
    </x:row>
    <x:row r="1099" ht="22" customHeight="1">
      <x:c r="A1099" s="2" t="str">
        <x:v>O01095</x:v>
      </x:c>
      <x:c r="B1099" s="2" t="str">
        <x:v>C0122</x:v>
      </x:c>
      <x:c r="C1099" s="7" t="n">
        <x:v>45993</x:v>
      </x:c>
      <x:c r="D1099" s="2" t="str">
        <x:v>Completed</x:v>
      </x:c>
      <x:c r="E1099" s="2" t="str">
        <x:v>North</x:v>
      </x:c>
      <x:c r="F1099" s="2" t="str">
        <x:v>Online</x:v>
      </x:c>
      <x:c r="G1099" s="9" t="n">
        <x:f>SUM(SalesLines!Q2678,SalesLines!Q2679,SalesLines!Q2680)</x:f>
        <x:v>1031.2</x:v>
      </x:c>
      <x:c r="H1099" s="9" t="n">
        <x:f>SUM(SalesLines!M2678,SalesLines!M2679,SalesLines!M2680)</x:f>
        <x:v>1352</x:v>
      </x:c>
      <x:c r="I1099" s="9" t="n">
        <x:f>SUM(SalesLines!N2678,SalesLines!N2679,SalesLines!N2680)</x:f>
        <x:v>244.8</x:v>
      </x:c>
      <x:c r="J1099" s="9" t="n">
        <x:f>SUM(SalesLines!P2678,SalesLines!P2679,SalesLines!P2680)</x:f>
        <x:v>76</x:v>
      </x:c>
      <x:c r="K1099" s="11" t="n">
        <x:f>SUM(SalesLines!R2678,SalesLines!R2679,SalesLines!R2680)</x:f>
        <x:v>7</x:v>
      </x:c>
      <x:c r="L1099" s="11" t="n">
        <x:f>SUM(SalesLines!S2678,SalesLines!S2679,SalesLines!S2680)</x:f>
        <x:v>1</x:v>
      </x:c>
      <x:c r="M1099" s="8" t="n">
        <x:f>DATE(YEAR(C1099),MONTH(C1099),1)</x:f>
        <x:v>45992</x:v>
      </x:c>
    </x:row>
    <x:row r="1100" ht="22" customHeight="1">
      <x:c r="A1100" s="2" t="str">
        <x:v>O01096</x:v>
      </x:c>
      <x:c r="B1100" s="2" t="str">
        <x:v>C0213</x:v>
      </x:c>
      <x:c r="C1100" s="7" t="n">
        <x:v>45720</x:v>
      </x:c>
      <x:c r="D1100" s="2" t="str">
        <x:v>Completed</x:v>
      </x:c>
      <x:c r="E1100" s="2" t="str">
        <x:v>East</x:v>
      </x:c>
      <x:c r="F1100" s="2" t="str">
        <x:v>Store</x:v>
      </x:c>
      <x:c r="G1100" s="9" t="n">
        <x:f>SUM(SalesLines!Q2681,SalesLines!Q2682,SalesLines!Q2683)</x:f>
        <x:v>1814.25</x:v>
      </x:c>
      <x:c r="H1100" s="9" t="n">
        <x:f>SUM(SalesLines!M2681,SalesLines!M2682,SalesLines!M2683)</x:f>
        <x:v>2025</x:v>
      </x:c>
      <x:c r="I1100" s="9" t="n">
        <x:f>SUM(SalesLines!N2681,SalesLines!N2682,SalesLines!N2683)</x:f>
        <x:v>210.75</x:v>
      </x:c>
      <x:c r="J1100" s="9" t="n">
        <x:f>SUM(SalesLines!P2681,SalesLines!P2682,SalesLines!P2683)</x:f>
        <x:v>0</x:v>
      </x:c>
      <x:c r="K1100" s="11" t="n">
        <x:f>SUM(SalesLines!R2681,SalesLines!R2682,SalesLines!R2683)</x:f>
        <x:v>9</x:v>
      </x:c>
      <x:c r="L1100" s="11" t="n">
        <x:f>SUM(SalesLines!S2681,SalesLines!S2682,SalesLines!S2683)</x:f>
        <x:v>0</x:v>
      </x:c>
      <x:c r="M1100" s="8" t="n">
        <x:f>DATE(YEAR(C1100),MONTH(C1100),1)</x:f>
        <x:v>45717</x:v>
      </x:c>
    </x:row>
    <x:row r="1101" ht="22" customHeight="1">
      <x:c r="A1101" s="2" t="str">
        <x:v>O01097</x:v>
      </x:c>
      <x:c r="B1101" s="2" t="str">
        <x:v>C0147</x:v>
      </x:c>
      <x:c r="C1101" s="7" t="n">
        <x:v>45811</x:v>
      </x:c>
      <x:c r="D1101" s="2" t="str">
        <x:v>Completed</x:v>
      </x:c>
      <x:c r="E1101" s="2" t="str">
        <x:v>East</x:v>
      </x:c>
      <x:c r="F1101" s="2" t="str">
        <x:v>Store</x:v>
      </x:c>
      <x:c r="G1101" s="9" t="n">
        <x:f>SUM(SalesLines!Q2684,SalesLines!Q2685,SalesLines!Q2686)</x:f>
        <x:v>945.45</x:v>
      </x:c>
      <x:c r="H1101" s="9" t="n">
        <x:f>SUM(SalesLines!M2684,SalesLines!M2685,SalesLines!M2686)</x:f>
        <x:v>1011</x:v>
      </x:c>
      <x:c r="I1101" s="9" t="n">
        <x:f>SUM(SalesLines!N2684,SalesLines!N2685,SalesLines!N2686)</x:f>
        <x:v>65.55</x:v>
      </x:c>
      <x:c r="J1101" s="9" t="n">
        <x:f>SUM(SalesLines!P2684,SalesLines!P2685,SalesLines!P2686)</x:f>
        <x:v>0</x:v>
      </x:c>
      <x:c r="K1101" s="11" t="n">
        <x:f>SUM(SalesLines!R2684,SalesLines!R2685,SalesLines!R2686)</x:f>
        <x:v>10</x:v>
      </x:c>
      <x:c r="L1101" s="11" t="n">
        <x:f>SUM(SalesLines!S2684,SalesLines!S2685,SalesLines!S2686)</x:f>
        <x:v>0</x:v>
      </x:c>
      <x:c r="M1101" s="8" t="n">
        <x:f>DATE(YEAR(C1101),MONTH(C1101),1)</x:f>
        <x:v>45809</x:v>
      </x:c>
    </x:row>
    <x:row r="1102" ht="22" customHeight="1">
      <x:c r="A1102" s="2" t="str">
        <x:v>O01098</x:v>
      </x:c>
      <x:c r="B1102" s="2" t="str">
        <x:v>C0038</x:v>
      </x:c>
      <x:c r="C1102" s="7" t="n">
        <x:v>45740</x:v>
      </x:c>
      <x:c r="D1102" s="2" t="str">
        <x:v>Completed</x:v>
      </x:c>
      <x:c r="E1102" s="2" t="str">
        <x:v>South</x:v>
      </x:c>
      <x:c r="F1102" s="2" t="str">
        <x:v>Store</x:v>
      </x:c>
      <x:c r="G1102" s="9" t="n">
        <x:f>SUM(SalesLines!Q2687,SalesLines!Q2688,SalesLines!Q2689,SalesLines!Q2690)</x:f>
        <x:v>896.1999999999999</x:v>
      </x:c>
      <x:c r="H1102" s="9" t="n">
        <x:f>SUM(SalesLines!M2687,SalesLines!M2688,SalesLines!M2689,SalesLines!M2690)</x:f>
        <x:v>1528</x:v>
      </x:c>
      <x:c r="I1102" s="9" t="n">
        <x:f>SUM(SalesLines!N2687,SalesLines!N2688,SalesLines!N2689,SalesLines!N2690)</x:f>
        <x:v>192.6</x:v>
      </x:c>
      <x:c r="J1102" s="9" t="n">
        <x:f>SUM(SalesLines!P2687,SalesLines!P2688,SalesLines!P2689,SalesLines!P2690)</x:f>
        <x:v>439.2</x:v>
      </x:c>
      <x:c r="K1102" s="11" t="n">
        <x:f>SUM(SalesLines!R2687,SalesLines!R2688,SalesLines!R2689,SalesLines!R2690)</x:f>
        <x:v>9</x:v>
      </x:c>
      <x:c r="L1102" s="11" t="n">
        <x:f>SUM(SalesLines!S2687,SalesLines!S2688,SalesLines!S2689,SalesLines!S2690)</x:f>
        <x:v>4</x:v>
      </x:c>
      <x:c r="M1102" s="8" t="n">
        <x:f>DATE(YEAR(C1102),MONTH(C1102),1)</x:f>
        <x:v>45717</x:v>
      </x:c>
    </x:row>
    <x:row r="1103" ht="22" customHeight="1">
      <x:c r="A1103" s="2" t="str">
        <x:v>O01099</x:v>
      </x:c>
      <x:c r="B1103" s="2" t="str">
        <x:v>C0152</x:v>
      </x:c>
      <x:c r="C1103" s="7" t="n">
        <x:v>45959</x:v>
      </x:c>
      <x:c r="D1103" s="2" t="str">
        <x:v>Completed</x:v>
      </x:c>
      <x:c r="E1103" s="2" t="str">
        <x:v>West</x:v>
      </x:c>
      <x:c r="F1103" s="2" t="str">
        <x:v>Online</x:v>
      </x:c>
      <x:c r="G1103" s="9" t="n">
        <x:f>SUM(SalesLines!Q2691)</x:f>
        <x:v>877.8</x:v>
      </x:c>
      <x:c r="H1103" s="9" t="n">
        <x:f>SUM(SalesLines!M2691)</x:f>
        <x:v>924</x:v>
      </x:c>
      <x:c r="I1103" s="9" t="n">
        <x:f>SUM(SalesLines!N2691)</x:f>
        <x:v>46.2</x:v>
      </x:c>
      <x:c r="J1103" s="9" t="n">
        <x:f>SUM(SalesLines!P2691)</x:f>
        <x:v>0</x:v>
      </x:c>
      <x:c r="K1103" s="11" t="n">
        <x:f>SUM(SalesLines!R2691)</x:f>
        <x:v>4</x:v>
      </x:c>
      <x:c r="L1103" s="11" t="n">
        <x:f>SUM(SalesLines!S2691)</x:f>
        <x:v>0</x:v>
      </x:c>
      <x:c r="M1103" s="8" t="n">
        <x:f>DATE(YEAR(C1103),MONTH(C1103),1)</x:f>
        <x:v>45931</x:v>
      </x:c>
    </x:row>
    <x:row r="1104" ht="22" customHeight="1">
      <x:c r="A1104" s="2" t="str">
        <x:v>O01100</x:v>
      </x:c>
      <x:c r="B1104" s="2" t="str">
        <x:v>C0035</x:v>
      </x:c>
      <x:c r="C1104" s="7" t="n">
        <x:v>45904</x:v>
      </x:c>
      <x:c r="D1104" s="2" t="str">
        <x:v>Completed</x:v>
      </x:c>
      <x:c r="E1104" s="2" t="str">
        <x:v>South</x:v>
      </x:c>
      <x:c r="F1104" s="2" t="str">
        <x:v>Store</x:v>
      </x:c>
      <x:c r="G1104" s="9" t="n">
        <x:f>SUM(SalesLines!Q2692)</x:f>
        <x:v>97.6</x:v>
      </x:c>
      <x:c r="H1104" s="9" t="n">
        <x:f>SUM(SalesLines!M2692)</x:f>
        <x:v>122</x:v>
      </x:c>
      <x:c r="I1104" s="9" t="n">
        <x:f>SUM(SalesLines!N2692)</x:f>
        <x:v>24.400000000000002</x:v>
      </x:c>
      <x:c r="J1104" s="9" t="n">
        <x:f>SUM(SalesLines!P2692)</x:f>
        <x:v>0</x:v>
      </x:c>
      <x:c r="K1104" s="11" t="n">
        <x:f>SUM(SalesLines!R2692)</x:f>
        <x:v>1</x:v>
      </x:c>
      <x:c r="L1104" s="11" t="n">
        <x:f>SUM(SalesLines!S2692)</x:f>
        <x:v>0</x:v>
      </x:c>
      <x:c r="M1104" s="8" t="n">
        <x:f>DATE(YEAR(C1104),MONTH(C1104),1)</x:f>
        <x:v>45901</x:v>
      </x:c>
    </x:row>
    <x:row r="1105" ht="22" customHeight="1">
      <x:c r="A1105" s="2" t="str">
        <x:v>O01101</x:v>
      </x:c>
      <x:c r="B1105" s="2" t="str">
        <x:v>C0258</x:v>
      </x:c>
      <x:c r="C1105" s="7" t="n">
        <x:v>45846</x:v>
      </x:c>
      <x:c r="D1105" s="2" t="str">
        <x:v>Completed</x:v>
      </x:c>
      <x:c r="E1105" s="2" t="str">
        <x:v>South</x:v>
      </x:c>
      <x:c r="F1105" s="2" t="str">
        <x:v>Store</x:v>
      </x:c>
      <x:c r="G1105" s="9" t="n">
        <x:f>SUM(SalesLines!Q2693,SalesLines!Q2694,SalesLines!Q2695)</x:f>
        <x:v>1210.2</x:v>
      </x:c>
      <x:c r="H1105" s="9" t="n">
        <x:f>SUM(SalesLines!M2693,SalesLines!M2694,SalesLines!M2695)</x:f>
        <x:v>1255</x:v>
      </x:c>
      <x:c r="I1105" s="9" t="n">
        <x:f>SUM(SalesLines!N2693,SalesLines!N2694,SalesLines!N2695)</x:f>
        <x:v>44.800000000000004</x:v>
      </x:c>
      <x:c r="J1105" s="9" t="n">
        <x:f>SUM(SalesLines!P2693,SalesLines!P2694,SalesLines!P2695)</x:f>
        <x:v>0</x:v>
      </x:c>
      <x:c r="K1105" s="11" t="n">
        <x:f>SUM(SalesLines!R2693,SalesLines!R2694,SalesLines!R2695)</x:f>
        <x:v>5</x:v>
      </x:c>
      <x:c r="L1105" s="11" t="n">
        <x:f>SUM(SalesLines!S2693,SalesLines!S2694,SalesLines!S2695)</x:f>
        <x:v>0</x:v>
      </x:c>
      <x:c r="M1105" s="8" t="n">
        <x:f>DATE(YEAR(C1105),MONTH(C1105),1)</x:f>
        <x:v>45839</x:v>
      </x:c>
    </x:row>
    <x:row r="1106" ht="22" customHeight="1">
      <x:c r="A1106" s="2" t="str">
        <x:v>O01102</x:v>
      </x:c>
      <x:c r="B1106" s="2" t="str">
        <x:v>C0039</x:v>
      </x:c>
      <x:c r="C1106" s="7" t="n">
        <x:v>45849</x:v>
      </x:c>
      <x:c r="D1106" s="2" t="str">
        <x:v>Completed</x:v>
      </x:c>
      <x:c r="E1106" s="2" t="str">
        <x:v>North</x:v>
      </x:c>
      <x:c r="F1106" s="2" t="str">
        <x:v>Store</x:v>
      </x:c>
      <x:c r="G1106" s="9" t="n">
        <x:f>SUM(SalesLines!Q2696,SalesLines!Q2697,SalesLines!Q2698)</x:f>
        <x:v>1102.05</x:v>
      </x:c>
      <x:c r="H1106" s="9" t="n">
        <x:f>SUM(SalesLines!M2696,SalesLines!M2697,SalesLines!M2698)</x:f>
        <x:v>1214</x:v>
      </x:c>
      <x:c r="I1106" s="9" t="n">
        <x:f>SUM(SalesLines!N2696,SalesLines!N2697,SalesLines!N2698)</x:f>
        <x:v>111.95000000000002</x:v>
      </x:c>
      <x:c r="J1106" s="9" t="n">
        <x:f>SUM(SalesLines!P2696,SalesLines!P2697,SalesLines!P2698)</x:f>
        <x:v>0</x:v>
      </x:c>
      <x:c r="K1106" s="11" t="n">
        <x:f>SUM(SalesLines!R2696,SalesLines!R2697,SalesLines!R2698)</x:f>
        <x:v>7</x:v>
      </x:c>
      <x:c r="L1106" s="11" t="n">
        <x:f>SUM(SalesLines!S2696,SalesLines!S2697,SalesLines!S2698)</x:f>
        <x:v>0</x:v>
      </x:c>
      <x:c r="M1106" s="8" t="n">
        <x:f>DATE(YEAR(C1106),MONTH(C1106),1)</x:f>
        <x:v>45839</x:v>
      </x:c>
    </x:row>
    <x:row r="1107" ht="22" customHeight="1">
      <x:c r="A1107" s="2" t="str">
        <x:v>O01103</x:v>
      </x:c>
      <x:c r="B1107" s="2" t="str">
        <x:v>C0182</x:v>
      </x:c>
      <x:c r="C1107" s="7" t="n">
        <x:v>45952</x:v>
      </x:c>
      <x:c r="D1107" s="2" t="str">
        <x:v>Completed</x:v>
      </x:c>
      <x:c r="E1107" s="2" t="str">
        <x:v>West</x:v>
      </x:c>
      <x:c r="F1107" s="2" t="str">
        <x:v>Online</x:v>
      </x:c>
      <x:c r="G1107" s="9" t="n">
        <x:f>SUM(SalesLines!Q2699)</x:f>
        <x:v>110.7</x:v>
      </x:c>
      <x:c r="H1107" s="9" t="n">
        <x:f>SUM(SalesLines!M2699)</x:f>
        <x:v>123</x:v>
      </x:c>
      <x:c r="I1107" s="9" t="n">
        <x:f>SUM(SalesLines!N2699)</x:f>
        <x:v>12.3</x:v>
      </x:c>
      <x:c r="J1107" s="9" t="n">
        <x:f>SUM(SalesLines!P2699)</x:f>
        <x:v>0</x:v>
      </x:c>
      <x:c r="K1107" s="11" t="n">
        <x:f>SUM(SalesLines!R2699)</x:f>
        <x:v>1</x:v>
      </x:c>
      <x:c r="L1107" s="11" t="n">
        <x:f>SUM(SalesLines!S2699)</x:f>
        <x:v>0</x:v>
      </x:c>
      <x:c r="M1107" s="8" t="n">
        <x:f>DATE(YEAR(C1107),MONTH(C1107),1)</x:f>
        <x:v>45931</x:v>
      </x:c>
    </x:row>
    <x:row r="1108" ht="22" customHeight="1">
      <x:c r="A1108" s="2" t="str">
        <x:v>O01104</x:v>
      </x:c>
      <x:c r="B1108" s="2" t="str">
        <x:v>C0045</x:v>
      </x:c>
      <x:c r="C1108" s="7" t="n">
        <x:v>45895</x:v>
      </x:c>
      <x:c r="D1108" s="2" t="str">
        <x:v>Completed</x:v>
      </x:c>
      <x:c r="E1108" s="2" t="str">
        <x:v>North</x:v>
      </x:c>
      <x:c r="F1108" s="2" t="str">
        <x:v>Store</x:v>
      </x:c>
      <x:c r="G1108" s="9" t="n">
        <x:f>SUM(SalesLines!Q2700,SalesLines!Q2701,SalesLines!Q2702,SalesLines!Q2703)</x:f>
        <x:v>1009</x:v>
      </x:c>
      <x:c r="H1108" s="9" t="n">
        <x:f>SUM(SalesLines!M2700,SalesLines!M2701,SalesLines!M2702,SalesLines!M2703)</x:f>
        <x:v>1115</x:v>
      </x:c>
      <x:c r="I1108" s="9" t="n">
        <x:f>SUM(SalesLines!N2700,SalesLines!N2701,SalesLines!N2702,SalesLines!N2703)</x:f>
        <x:v>106</x:v>
      </x:c>
      <x:c r="J1108" s="9" t="n">
        <x:f>SUM(SalesLines!P2700,SalesLines!P2701,SalesLines!P2702,SalesLines!P2703)</x:f>
        <x:v>0</x:v>
      </x:c>
      <x:c r="K1108" s="11" t="n">
        <x:f>SUM(SalesLines!R2700,SalesLines!R2701,SalesLines!R2702,SalesLines!R2703)</x:f>
        <x:v>11</x:v>
      </x:c>
      <x:c r="L1108" s="11" t="n">
        <x:f>SUM(SalesLines!S2700,SalesLines!S2701,SalesLines!S2702,SalesLines!S2703)</x:f>
        <x:v>0</x:v>
      </x:c>
      <x:c r="M1108" s="8" t="n">
        <x:f>DATE(YEAR(C1108),MONTH(C1108),1)</x:f>
        <x:v>45870</x:v>
      </x:c>
    </x:row>
    <x:row r="1109" ht="22" customHeight="1">
      <x:c r="A1109" s="2" t="str">
        <x:v>O01105</x:v>
      </x:c>
      <x:c r="B1109" s="2" t="str">
        <x:v>C0229</x:v>
      </x:c>
      <x:c r="C1109" s="7" t="n">
        <x:v>45715</x:v>
      </x:c>
      <x:c r="D1109" s="2" t="str">
        <x:v>Cancelled</x:v>
      </x:c>
      <x:c r="E1109" s="2" t="str">
        <x:v>East</x:v>
      </x:c>
      <x:c r="F1109" s="2" t="str">
        <x:v>Online</x:v>
      </x:c>
      <x:c r="G1109" s="9" t="n">
        <x:f>SUM(SalesLines!Q2704)</x:f>
        <x:v>0</x:v>
      </x:c>
      <x:c r="H1109" s="9" t="n">
        <x:f>SUM(SalesLines!M2704)</x:f>
        <x:v>0</x:v>
      </x:c>
      <x:c r="I1109" s="9" t="n">
        <x:f>SUM(SalesLines!N2704)</x:f>
        <x:v>0</x:v>
      </x:c>
      <x:c r="J1109" s="9" t="n">
        <x:f>SUM(SalesLines!P2704)</x:f>
        <x:v>0</x:v>
      </x:c>
      <x:c r="K1109" s="11" t="n">
        <x:f>SUM(SalesLines!R2704)</x:f>
        <x:v>0</x:v>
      </x:c>
      <x:c r="L1109" s="11" t="n">
        <x:f>SUM(SalesLines!S2704)</x:f>
        <x:v>0</x:v>
      </x:c>
      <x:c r="M1109" s="8" t="n">
        <x:f>DATE(YEAR(C1109),MONTH(C1109),1)</x:f>
        <x:v>45689</x:v>
      </x:c>
    </x:row>
    <x:row r="1110" ht="22" customHeight="1">
      <x:c r="A1110" s="2" t="str">
        <x:v>O01106</x:v>
      </x:c>
      <x:c r="B1110" s="2" t="str">
        <x:v>C0162</x:v>
      </x:c>
      <x:c r="C1110" s="7" t="n">
        <x:v>45757</x:v>
      </x:c>
      <x:c r="D1110" s="2" t="str">
        <x:v>Completed</x:v>
      </x:c>
      <x:c r="E1110" s="2" t="str">
        <x:v>South</x:v>
      </x:c>
      <x:c r="F1110" s="2" t="str">
        <x:v>Store</x:v>
      </x:c>
      <x:c r="G1110" s="9" t="n">
        <x:f>SUM(SalesLines!Q2705,SalesLines!Q2706,SalesLines!Q2707,SalesLines!Q2708)</x:f>
        <x:v>1018.7</x:v>
      </x:c>
      <x:c r="H1110" s="9" t="n">
        <x:f>SUM(SalesLines!M2705,SalesLines!M2706,SalesLines!M2707,SalesLines!M2708)</x:f>
        <x:v>1047</x:v>
      </x:c>
      <x:c r="I1110" s="9" t="n">
        <x:f>SUM(SalesLines!N2705,SalesLines!N2706,SalesLines!N2707,SalesLines!N2708)</x:f>
        <x:v>28.299999999999997</x:v>
      </x:c>
      <x:c r="J1110" s="9" t="n">
        <x:f>SUM(SalesLines!P2705,SalesLines!P2706,SalesLines!P2707,SalesLines!P2708)</x:f>
        <x:v>0</x:v>
      </x:c>
      <x:c r="K1110" s="11" t="n">
        <x:f>SUM(SalesLines!R2705,SalesLines!R2706,SalesLines!R2707,SalesLines!R2708)</x:f>
        <x:v>12</x:v>
      </x:c>
      <x:c r="L1110" s="11" t="n">
        <x:f>SUM(SalesLines!S2705,SalesLines!S2706,SalesLines!S2707,SalesLines!S2708)</x:f>
        <x:v>0</x:v>
      </x:c>
      <x:c r="M1110" s="8" t="n">
        <x:f>DATE(YEAR(C1110),MONTH(C1110),1)</x:f>
        <x:v>45748</x:v>
      </x:c>
    </x:row>
    <x:row r="1111" ht="22" customHeight="1">
      <x:c r="A1111" s="2" t="str">
        <x:v>O01107</x:v>
      </x:c>
      <x:c r="B1111" s="2" t="str">
        <x:v>C0265</x:v>
      </x:c>
      <x:c r="C1111" s="7" t="n">
        <x:v>45976</x:v>
      </x:c>
      <x:c r="D1111" s="2" t="str">
        <x:v>Completed</x:v>
      </x:c>
      <x:c r="E1111" s="2" t="str">
        <x:v>West</x:v>
      </x:c>
      <x:c r="F1111" s="2" t="str">
        <x:v>Store</x:v>
      </x:c>
      <x:c r="G1111" s="9" t="n">
        <x:f>SUM(SalesLines!Q2709,SalesLines!Q2710,SalesLines!Q2711,SalesLines!Q2712)</x:f>
        <x:v>2084.2</x:v>
      </x:c>
      <x:c r="H1111" s="9" t="n">
        <x:f>SUM(SalesLines!M2709,SalesLines!M2710,SalesLines!M2711,SalesLines!M2712)</x:f>
        <x:v>2140</x:v>
      </x:c>
      <x:c r="I1111" s="9" t="n">
        <x:f>SUM(SalesLines!N2709,SalesLines!N2710,SalesLines!N2711,SalesLines!N2712)</x:f>
        <x:v>55.800000000000004</x:v>
      </x:c>
      <x:c r="J1111" s="9" t="n">
        <x:f>SUM(SalesLines!P2709,SalesLines!P2710,SalesLines!P2711,SalesLines!P2712)</x:f>
        <x:v>0</x:v>
      </x:c>
      <x:c r="K1111" s="11" t="n">
        <x:f>SUM(SalesLines!R2709,SalesLines!R2710,SalesLines!R2711,SalesLines!R2712)</x:f>
        <x:v>13</x:v>
      </x:c>
      <x:c r="L1111" s="11" t="n">
        <x:f>SUM(SalesLines!S2709,SalesLines!S2710,SalesLines!S2711,SalesLines!S2712)</x:f>
        <x:v>0</x:v>
      </x:c>
      <x:c r="M1111" s="8" t="n">
        <x:f>DATE(YEAR(C1111),MONTH(C1111),1)</x:f>
        <x:v>45962</x:v>
      </x:c>
    </x:row>
    <x:row r="1112" ht="22" customHeight="1">
      <x:c r="A1112" s="2" t="str">
        <x:v>O01108</x:v>
      </x:c>
      <x:c r="B1112" s="2" t="str">
        <x:v>C0283</x:v>
      </x:c>
      <x:c r="C1112" s="7" t="n">
        <x:v>45788</x:v>
      </x:c>
      <x:c r="D1112" s="2" t="str">
        <x:v>Completed</x:v>
      </x:c>
      <x:c r="E1112" s="2" t="str">
        <x:v>East</x:v>
      </x:c>
      <x:c r="F1112" s="2" t="str">
        <x:v>Online</x:v>
      </x:c>
      <x:c r="G1112" s="9" t="n">
        <x:f>SUM(SalesLines!Q2713)</x:f>
        <x:v>1016</x:v>
      </x:c>
      <x:c r="H1112" s="9" t="n">
        <x:f>SUM(SalesLines!M2713)</x:f>
        <x:v>1270</x:v>
      </x:c>
      <x:c r="I1112" s="9" t="n">
        <x:f>SUM(SalesLines!N2713)</x:f>
        <x:v>254</x:v>
      </x:c>
      <x:c r="J1112" s="9" t="n">
        <x:f>SUM(SalesLines!P2713)</x:f>
        <x:v>0</x:v>
      </x:c>
      <x:c r="K1112" s="11" t="n">
        <x:f>SUM(SalesLines!R2713)</x:f>
        <x:v>5</x:v>
      </x:c>
      <x:c r="L1112" s="11" t="n">
        <x:f>SUM(SalesLines!S2713)</x:f>
        <x:v>0</x:v>
      </x:c>
      <x:c r="M1112" s="8" t="n">
        <x:f>DATE(YEAR(C1112),MONTH(C1112),1)</x:f>
        <x:v>45778</x:v>
      </x:c>
    </x:row>
    <x:row r="1113" ht="22" customHeight="1">
      <x:c r="A1113" s="2" t="str">
        <x:v>O01109</x:v>
      </x:c>
      <x:c r="B1113" s="2" t="str">
        <x:v>C0289</x:v>
      </x:c>
      <x:c r="C1113" s="7" t="n">
        <x:v>46017</x:v>
      </x:c>
      <x:c r="D1113" s="2" t="str">
        <x:v>Completed</x:v>
      </x:c>
      <x:c r="E1113" s="2" t="str">
        <x:v>West</x:v>
      </x:c>
      <x:c r="F1113" s="2" t="str">
        <x:v>Online</x:v>
      </x:c>
      <x:c r="G1113" s="9" t="n">
        <x:f>SUM(SalesLines!Q2714,SalesLines!Q2715,SalesLines!Q2716,SalesLines!Q2717)</x:f>
        <x:v>3659.4</x:v>
      </x:c>
      <x:c r="H1113" s="9" t="n">
        <x:f>SUM(SalesLines!M2714,SalesLines!M2715,SalesLines!M2716,SalesLines!M2717)</x:f>
        <x:v>3765</x:v>
      </x:c>
      <x:c r="I1113" s="9" t="n">
        <x:f>SUM(SalesLines!N2714,SalesLines!N2715,SalesLines!N2716,SalesLines!N2717)</x:f>
        <x:v>105.60000000000001</x:v>
      </x:c>
      <x:c r="J1113" s="9" t="n">
        <x:f>SUM(SalesLines!P2714,SalesLines!P2715,SalesLines!P2716,SalesLines!P2717)</x:f>
        <x:v>0</x:v>
      </x:c>
      <x:c r="K1113" s="11" t="n">
        <x:f>SUM(SalesLines!R2714,SalesLines!R2715,SalesLines!R2716,SalesLines!R2717)</x:f>
        <x:v>16</x:v>
      </x:c>
      <x:c r="L1113" s="11" t="n">
        <x:f>SUM(SalesLines!S2714,SalesLines!S2715,SalesLines!S2716,SalesLines!S2717)</x:f>
        <x:v>0</x:v>
      </x:c>
      <x:c r="M1113" s="8" t="n">
        <x:f>DATE(YEAR(C1113),MONTH(C1113),1)</x:f>
        <x:v>45992</x:v>
      </x:c>
    </x:row>
    <x:row r="1114" ht="22" customHeight="1">
      <x:c r="A1114" s="2" t="str">
        <x:v>O01110</x:v>
      </x:c>
      <x:c r="B1114" s="2" t="str">
        <x:v>C0270</x:v>
      </x:c>
      <x:c r="C1114" s="7" t="n">
        <x:v>45663</x:v>
      </x:c>
      <x:c r="D1114" s="2" t="str">
        <x:v>Completed</x:v>
      </x:c>
      <x:c r="E1114" s="2" t="str">
        <x:v>East</x:v>
      </x:c>
      <x:c r="F1114" s="2" t="str">
        <x:v>Online</x:v>
      </x:c>
      <x:c r="G1114" s="9" t="n">
        <x:f>SUM(SalesLines!Q2718)</x:f>
        <x:v>156</x:v>
      </x:c>
      <x:c r="H1114" s="9" t="n">
        <x:f>SUM(SalesLines!M2718)</x:f>
        <x:v>195</x:v>
      </x:c>
      <x:c r="I1114" s="9" t="n">
        <x:f>SUM(SalesLines!N2718)</x:f>
        <x:v>39</x:v>
      </x:c>
      <x:c r="J1114" s="9" t="n">
        <x:f>SUM(SalesLines!P2718)</x:f>
        <x:v>0</x:v>
      </x:c>
      <x:c r="K1114" s="11" t="n">
        <x:f>SUM(SalesLines!R2718)</x:f>
        <x:v>3</x:v>
      </x:c>
      <x:c r="L1114" s="11" t="n">
        <x:f>SUM(SalesLines!S2718)</x:f>
        <x:v>0</x:v>
      </x:c>
      <x:c r="M1114" s="8" t="n">
        <x:f>DATE(YEAR(C1114),MONTH(C1114),1)</x:f>
        <x:v>45658</x:v>
      </x:c>
    </x:row>
    <x:row r="1115" ht="22" customHeight="1">
      <x:c r="A1115" s="2" t="str">
        <x:v>O01111</x:v>
      </x:c>
      <x:c r="B1115" s="2" t="str">
        <x:v>C0036</x:v>
      </x:c>
      <x:c r="C1115" s="7" t="n">
        <x:v>45792</x:v>
      </x:c>
      <x:c r="D1115" s="2" t="str">
        <x:v>Completed</x:v>
      </x:c>
      <x:c r="E1115" s="2" t="str">
        <x:v>West</x:v>
      </x:c>
      <x:c r="F1115" s="2" t="str">
        <x:v>Online</x:v>
      </x:c>
      <x:c r="G1115" s="9" t="n">
        <x:f>SUM(SalesLines!Q2719,SalesLines!Q2720,SalesLines!Q2721)</x:f>
        <x:v>1991.1</x:v>
      </x:c>
      <x:c r="H1115" s="9" t="n">
        <x:f>SUM(SalesLines!M2719,SalesLines!M2720,SalesLines!M2721)</x:f>
        <x:v>2193</x:v>
      </x:c>
      <x:c r="I1115" s="9" t="n">
        <x:f>SUM(SalesLines!N2719,SalesLines!N2720,SalesLines!N2721)</x:f>
        <x:v>201.9</x:v>
      </x:c>
      <x:c r="J1115" s="9" t="n">
        <x:f>SUM(SalesLines!P2719,SalesLines!P2720,SalesLines!P2721)</x:f>
        <x:v>0</x:v>
      </x:c>
      <x:c r="K1115" s="11" t="n">
        <x:f>SUM(SalesLines!R2719,SalesLines!R2720,SalesLines!R2721)</x:f>
        <x:v>12</x:v>
      </x:c>
      <x:c r="L1115" s="11" t="n">
        <x:f>SUM(SalesLines!S2719,SalesLines!S2720,SalesLines!S2721)</x:f>
        <x:v>0</x:v>
      </x:c>
      <x:c r="M1115" s="8" t="n">
        <x:f>DATE(YEAR(C1115),MONTH(C1115),1)</x:f>
        <x:v>45778</x:v>
      </x:c>
    </x:row>
    <x:row r="1116" ht="22" customHeight="1">
      <x:c r="A1116" s="2" t="str">
        <x:v>O01112</x:v>
      </x:c>
      <x:c r="B1116" s="2" t="str">
        <x:v>C0221</x:v>
      </x:c>
      <x:c r="C1116" s="7" t="n">
        <x:v>45810</x:v>
      </x:c>
      <x:c r="D1116" s="2" t="str">
        <x:v>Completed</x:v>
      </x:c>
      <x:c r="E1116" s="2" t="str">
        <x:v>West</x:v>
      </x:c>
      <x:c r="F1116" s="2" t="str">
        <x:v>Store</x:v>
      </x:c>
      <x:c r="G1116" s="9" t="n">
        <x:f>SUM(SalesLines!Q2722)</x:f>
        <x:v>1002.25</x:v>
      </x:c>
      <x:c r="H1116" s="9" t="n">
        <x:f>SUM(SalesLines!M2722)</x:f>
        <x:v>1055</x:v>
      </x:c>
      <x:c r="I1116" s="9" t="n">
        <x:f>SUM(SalesLines!N2722)</x:f>
        <x:v>52.75</x:v>
      </x:c>
      <x:c r="J1116" s="9" t="n">
        <x:f>SUM(SalesLines!P2722)</x:f>
        <x:v>0</x:v>
      </x:c>
      <x:c r="K1116" s="11" t="n">
        <x:f>SUM(SalesLines!R2722)</x:f>
        <x:v>5</x:v>
      </x:c>
      <x:c r="L1116" s="11" t="n">
        <x:f>SUM(SalesLines!S2722)</x:f>
        <x:v>0</x:v>
      </x:c>
      <x:c r="M1116" s="8" t="n">
        <x:f>DATE(YEAR(C1116),MONTH(C1116),1)</x:f>
        <x:v>45809</x:v>
      </x:c>
    </x:row>
    <x:row r="1117" ht="22" customHeight="1">
      <x:c r="A1117" s="2" t="str">
        <x:v>O01113</x:v>
      </x:c>
      <x:c r="B1117" s="2" t="str">
        <x:v>C0221</x:v>
      </x:c>
      <x:c r="C1117" s="7" t="n">
        <x:v>45780</x:v>
      </x:c>
      <x:c r="D1117" s="2" t="str">
        <x:v>Completed</x:v>
      </x:c>
      <x:c r="E1117" s="2" t="str">
        <x:v>West</x:v>
      </x:c>
      <x:c r="F1117" s="2" t="str">
        <x:v>Store</x:v>
      </x:c>
      <x:c r="G1117" s="9" t="n">
        <x:f>SUM(SalesLines!Q2723,SalesLines!Q2724,SalesLines!Q2725)</x:f>
        <x:v>1237.8000000000002</x:v>
      </x:c>
      <x:c r="H1117" s="9" t="n">
        <x:f>SUM(SalesLines!M2723,SalesLines!M2724,SalesLines!M2725)</x:f>
        <x:v>1397</x:v>
      </x:c>
      <x:c r="I1117" s="9" t="n">
        <x:f>SUM(SalesLines!N2723,SalesLines!N2724,SalesLines!N2725)</x:f>
        <x:v>159.20000000000002</x:v>
      </x:c>
      <x:c r="J1117" s="9" t="n">
        <x:f>SUM(SalesLines!P2723,SalesLines!P2724,SalesLines!P2725)</x:f>
        <x:v>0</x:v>
      </x:c>
      <x:c r="K1117" s="11" t="n">
        <x:f>SUM(SalesLines!R2723,SalesLines!R2724,SalesLines!R2725)</x:f>
        <x:v>7</x:v>
      </x:c>
      <x:c r="L1117" s="11" t="n">
        <x:f>SUM(SalesLines!S2723,SalesLines!S2724,SalesLines!S2725)</x:f>
        <x:v>0</x:v>
      </x:c>
      <x:c r="M1117" s="8" t="n">
        <x:f>DATE(YEAR(C1117),MONTH(C1117),1)</x:f>
        <x:v>45778</x:v>
      </x:c>
    </x:row>
    <x:row r="1118" ht="22" customHeight="1">
      <x:c r="A1118" s="2" t="str">
        <x:v>O01114</x:v>
      </x:c>
      <x:c r="B1118" s="2" t="str">
        <x:v>C0156</x:v>
      </x:c>
      <x:c r="C1118" s="7" t="n">
        <x:v>45945</x:v>
      </x:c>
      <x:c r="D1118" s="2" t="str">
        <x:v>Completed</x:v>
      </x:c>
      <x:c r="E1118" s="2" t="str">
        <x:v>South</x:v>
      </x:c>
      <x:c r="F1118" s="2" t="str">
        <x:v>Store</x:v>
      </x:c>
      <x:c r="G1118" s="9" t="n">
        <x:f>SUM(SalesLines!Q2726,SalesLines!Q2727,SalesLines!Q2728,SalesLines!Q2729)</x:f>
        <x:v>1241.65</x:v>
      </x:c>
      <x:c r="H1118" s="9" t="n">
        <x:f>SUM(SalesLines!M2726,SalesLines!M2727,SalesLines!M2728,SalesLines!M2729)</x:f>
        <x:v>2416</x:v>
      </x:c>
      <x:c r="I1118" s="9" t="n">
        <x:f>SUM(SalesLines!N2726,SalesLines!N2727,SalesLines!N2728,SalesLines!N2729)</x:f>
        <x:v>144.55</x:v>
      </x:c>
      <x:c r="J1118" s="9" t="n">
        <x:f>SUM(SalesLines!P2726,SalesLines!P2727,SalesLines!P2728,SalesLines!P2729)</x:f>
        <x:v>1029.8</x:v>
      </x:c>
      <x:c r="K1118" s="11" t="n">
        <x:f>SUM(SalesLines!R2726,SalesLines!R2727,SalesLines!R2728,SalesLines!R2729)</x:f>
        <x:v>14</x:v>
      </x:c>
      <x:c r="L1118" s="11" t="n">
        <x:f>SUM(SalesLines!S2726,SalesLines!S2727,SalesLines!S2728,SalesLines!S2729)</x:f>
        <x:v>4</x:v>
      </x:c>
      <x:c r="M1118" s="8" t="n">
        <x:f>DATE(YEAR(C1118),MONTH(C1118),1)</x:f>
        <x:v>45931</x:v>
      </x:c>
    </x:row>
    <x:row r="1119" ht="22" customHeight="1">
      <x:c r="A1119" s="2" t="str">
        <x:v>O01115</x:v>
      </x:c>
      <x:c r="B1119" s="2" t="str">
        <x:v>C0220</x:v>
      </x:c>
      <x:c r="C1119" s="7" t="n">
        <x:v>45725</x:v>
      </x:c>
      <x:c r="D1119" s="2" t="str">
        <x:v>Completed</x:v>
      </x:c>
      <x:c r="E1119" s="2" t="str">
        <x:v>North</x:v>
      </x:c>
      <x:c r="F1119" s="2" t="str">
        <x:v>Store</x:v>
      </x:c>
      <x:c r="G1119" s="9" t="n">
        <x:f>SUM(SalesLines!Q2730,SalesLines!Q2731)</x:f>
        <x:v>544.8</x:v>
      </x:c>
      <x:c r="H1119" s="9" t="n">
        <x:f>SUM(SalesLines!M2730,SalesLines!M2731)</x:f>
        <x:v>681</x:v>
      </x:c>
      <x:c r="I1119" s="9" t="n">
        <x:f>SUM(SalesLines!N2730,SalesLines!N2731)</x:f>
        <x:v>136.20000000000002</x:v>
      </x:c>
      <x:c r="J1119" s="9" t="n">
        <x:f>SUM(SalesLines!P2730,SalesLines!P2731)</x:f>
        <x:v>0</x:v>
      </x:c>
      <x:c r="K1119" s="11" t="n">
        <x:f>SUM(SalesLines!R2730,SalesLines!R2731)</x:f>
        <x:v>5</x:v>
      </x:c>
      <x:c r="L1119" s="11" t="n">
        <x:f>SUM(SalesLines!S2730,SalesLines!S2731)</x:f>
        <x:v>0</x:v>
      </x:c>
      <x:c r="M1119" s="8" t="n">
        <x:f>DATE(YEAR(C1119),MONTH(C1119),1)</x:f>
        <x:v>45717</x:v>
      </x:c>
    </x:row>
    <x:row r="1120" ht="22" customHeight="1">
      <x:c r="A1120" s="2" t="str">
        <x:v>O01116</x:v>
      </x:c>
      <x:c r="B1120" s="2" t="str">
        <x:v>C0258</x:v>
      </x:c>
      <x:c r="C1120" s="7" t="n">
        <x:v>45913</x:v>
      </x:c>
      <x:c r="D1120" s="2" t="str">
        <x:v>Completed</x:v>
      </x:c>
      <x:c r="E1120" s="2" t="str">
        <x:v>South</x:v>
      </x:c>
      <x:c r="F1120" s="2" t="str">
        <x:v>Online</x:v>
      </x:c>
      <x:c r="G1120" s="9" t="n">
        <x:f>SUM(SalesLines!Q2732)</x:f>
        <x:v>351</x:v>
      </x:c>
      <x:c r="H1120" s="9" t="n">
        <x:f>SUM(SalesLines!M2732)</x:f>
        <x:v>390</x:v>
      </x:c>
      <x:c r="I1120" s="9" t="n">
        <x:f>SUM(SalesLines!N2732)</x:f>
        <x:v>39</x:v>
      </x:c>
      <x:c r="J1120" s="9" t="n">
        <x:f>SUM(SalesLines!P2732)</x:f>
        <x:v>0</x:v>
      </x:c>
      <x:c r="K1120" s="11" t="n">
        <x:f>SUM(SalesLines!R2732)</x:f>
        <x:v>5</x:v>
      </x:c>
      <x:c r="L1120" s="11" t="n">
        <x:f>SUM(SalesLines!S2732)</x:f>
        <x:v>0</x:v>
      </x:c>
      <x:c r="M1120" s="8" t="n">
        <x:f>DATE(YEAR(C1120),MONTH(C1120),1)</x:f>
        <x:v>45901</x:v>
      </x:c>
    </x:row>
    <x:row r="1121" ht="22" customHeight="1">
      <x:c r="A1121" s="2" t="str">
        <x:v>O01117</x:v>
      </x:c>
      <x:c r="B1121" s="2" t="str">
        <x:v>C0268</x:v>
      </x:c>
      <x:c r="C1121" s="7" t="n">
        <x:v>45872</x:v>
      </x:c>
      <x:c r="D1121" s="2" t="str">
        <x:v>Completed</x:v>
      </x:c>
      <x:c r="E1121" s="2" t="str">
        <x:v>North</x:v>
      </x:c>
      <x:c r="F1121" s="2" t="str">
        <x:v>Store</x:v>
      </x:c>
      <x:c r="G1121" s="9" t="n">
        <x:f>SUM(SalesLines!Q2733,SalesLines!Q2734,SalesLines!Q2735)</x:f>
        <x:v>857.3</x:v>
      </x:c>
      <x:c r="H1121" s="9" t="n">
        <x:f>SUM(SalesLines!M2733,SalesLines!M2734,SalesLines!M2735)</x:f>
        <x:v>1048</x:v>
      </x:c>
      <x:c r="I1121" s="9" t="n">
        <x:f>SUM(SalesLines!N2733,SalesLines!N2734,SalesLines!N2735)</x:f>
        <x:v>190.7</x:v>
      </x:c>
      <x:c r="J1121" s="9" t="n">
        <x:f>SUM(SalesLines!P2733,SalesLines!P2734,SalesLines!P2735)</x:f>
        <x:v>0</x:v>
      </x:c>
      <x:c r="K1121" s="11" t="n">
        <x:f>SUM(SalesLines!R2733,SalesLines!R2734,SalesLines!R2735)</x:f>
        <x:v>7</x:v>
      </x:c>
      <x:c r="L1121" s="11" t="n">
        <x:f>SUM(SalesLines!S2733,SalesLines!S2734,SalesLines!S2735)</x:f>
        <x:v>0</x:v>
      </x:c>
      <x:c r="M1121" s="8" t="n">
        <x:f>DATE(YEAR(C1121),MONTH(C1121),1)</x:f>
        <x:v>45870</x:v>
      </x:c>
    </x:row>
    <x:row r="1122" ht="22" customHeight="1">
      <x:c r="A1122" s="2" t="str">
        <x:v>O01118</x:v>
      </x:c>
      <x:c r="B1122" s="2" t="str">
        <x:v>C0034</x:v>
      </x:c>
      <x:c r="C1122" s="7" t="n">
        <x:v>45871</x:v>
      </x:c>
      <x:c r="D1122" s="2" t="str">
        <x:v>Completed</x:v>
      </x:c>
      <x:c r="E1122" s="2" t="str">
        <x:v>East</x:v>
      </x:c>
      <x:c r="F1122" s="2" t="str">
        <x:v>Store</x:v>
      </x:c>
      <x:c r="G1122" s="9" t="n">
        <x:f>SUM(SalesLines!Q2736,SalesLines!Q2737)</x:f>
        <x:v>1207.3</x:v>
      </x:c>
      <x:c r="H1122" s="9" t="n">
        <x:f>SUM(SalesLines!M2736,SalesLines!M2737)</x:f>
        <x:v>1267</x:v>
      </x:c>
      <x:c r="I1122" s="9" t="n">
        <x:f>SUM(SalesLines!N2736,SalesLines!N2737)</x:f>
        <x:v>59.7</x:v>
      </x:c>
      <x:c r="J1122" s="9" t="n">
        <x:f>SUM(SalesLines!P2736,SalesLines!P2737)</x:f>
        <x:v>0</x:v>
      </x:c>
      <x:c r="K1122" s="11" t="n">
        <x:f>SUM(SalesLines!R2736,SalesLines!R2737)</x:f>
        <x:v>8</x:v>
      </x:c>
      <x:c r="L1122" s="11" t="n">
        <x:f>SUM(SalesLines!S2736,SalesLines!S2737)</x:f>
        <x:v>0</x:v>
      </x:c>
      <x:c r="M1122" s="8" t="n">
        <x:f>DATE(YEAR(C1122),MONTH(C1122),1)</x:f>
        <x:v>45870</x:v>
      </x:c>
    </x:row>
    <x:row r="1123" ht="22" customHeight="1">
      <x:c r="A1123" s="2" t="str">
        <x:v>O01119</x:v>
      </x:c>
      <x:c r="B1123" s="2" t="str">
        <x:v>C0066</x:v>
      </x:c>
      <x:c r="C1123" s="7" t="n">
        <x:v>45669</x:v>
      </x:c>
      <x:c r="D1123" s="2" t="str">
        <x:v>Completed</x:v>
      </x:c>
      <x:c r="E1123" s="2" t="str">
        <x:v>North</x:v>
      </x:c>
      <x:c r="F1123" s="2" t="str">
        <x:v>Store</x:v>
      </x:c>
      <x:c r="G1123" s="9" t="n">
        <x:f>SUM(SalesLines!Q2738,SalesLines!Q2739,SalesLines!Q2740)</x:f>
        <x:v>1878.35</x:v>
      </x:c>
      <x:c r="H1123" s="9" t="n">
        <x:f>SUM(SalesLines!M2738,SalesLines!M2739,SalesLines!M2740)</x:f>
        <x:v>2083</x:v>
      </x:c>
      <x:c r="I1123" s="9" t="n">
        <x:f>SUM(SalesLines!N2738,SalesLines!N2739,SalesLines!N2740)</x:f>
        <x:v>204.65</x:v>
      </x:c>
      <x:c r="J1123" s="9" t="n">
        <x:f>SUM(SalesLines!P2738,SalesLines!P2739,SalesLines!P2740)</x:f>
        <x:v>0</x:v>
      </x:c>
      <x:c r="K1123" s="11" t="n">
        <x:f>SUM(SalesLines!R2738,SalesLines!R2739,SalesLines!R2740)</x:f>
        <x:v>10</x:v>
      </x:c>
      <x:c r="L1123" s="11" t="n">
        <x:f>SUM(SalesLines!S2738,SalesLines!S2739,SalesLines!S2740)</x:f>
        <x:v>0</x:v>
      </x:c>
      <x:c r="M1123" s="8" t="n">
        <x:f>DATE(YEAR(C1123),MONTH(C1123),1)</x:f>
        <x:v>45658</x:v>
      </x:c>
    </x:row>
    <x:row r="1124" ht="22" customHeight="1">
      <x:c r="A1124" s="2" t="str">
        <x:v>O01120</x:v>
      </x:c>
      <x:c r="B1124" s="2" t="str">
        <x:v>C0059</x:v>
      </x:c>
      <x:c r="C1124" s="7" t="n">
        <x:v>45923</x:v>
      </x:c>
      <x:c r="D1124" s="2" t="str">
        <x:v>Completed</x:v>
      </x:c>
      <x:c r="E1124" s="2" t="str">
        <x:v>South</x:v>
      </x:c>
      <x:c r="F1124" s="2" t="str">
        <x:v>Online</x:v>
      </x:c>
      <x:c r="G1124" s="9" t="n">
        <x:f>SUM(SalesLines!Q2741,SalesLines!Q2742)</x:f>
        <x:v>1951.2</x:v>
      </x:c>
      <x:c r="H1124" s="9" t="n">
        <x:f>SUM(SalesLines!M2741,SalesLines!M2742)</x:f>
        <x:v>2439</x:v>
      </x:c>
      <x:c r="I1124" s="9" t="n">
        <x:f>SUM(SalesLines!N2741,SalesLines!N2742)</x:f>
        <x:v>487.8</x:v>
      </x:c>
      <x:c r="J1124" s="9" t="n">
        <x:f>SUM(SalesLines!P2741,SalesLines!P2742)</x:f>
        <x:v>0</x:v>
      </x:c>
      <x:c r="K1124" s="11" t="n">
        <x:f>SUM(SalesLines!R2741,SalesLines!R2742)</x:f>
        <x:v>9</x:v>
      </x:c>
      <x:c r="L1124" s="11" t="n">
        <x:f>SUM(SalesLines!S2741,SalesLines!S2742)</x:f>
        <x:v>0</x:v>
      </x:c>
      <x:c r="M1124" s="8" t="n">
        <x:f>DATE(YEAR(C1124),MONTH(C1124),1)</x:f>
        <x:v>45901</x:v>
      </x:c>
    </x:row>
    <x:row r="1125" ht="22" customHeight="1">
      <x:c r="A1125" s="2" t="str">
        <x:v>O01121</x:v>
      </x:c>
      <x:c r="B1125" s="2" t="str">
        <x:v>C0150</x:v>
      </x:c>
      <x:c r="C1125" s="7" t="n">
        <x:v>45758</x:v>
      </x:c>
      <x:c r="D1125" s="2" t="str">
        <x:v>Completed</x:v>
      </x:c>
      <x:c r="E1125" s="2" t="str">
        <x:v>West</x:v>
      </x:c>
      <x:c r="F1125" s="2" t="str">
        <x:v>Online</x:v>
      </x:c>
      <x:c r="G1125" s="9" t="n">
        <x:f>SUM(SalesLines!Q2743,SalesLines!Q2744,SalesLines!Q2745)</x:f>
        <x:v>1292.1</x:v>
      </x:c>
      <x:c r="H1125" s="9" t="n">
        <x:f>SUM(SalesLines!M2743,SalesLines!M2744,SalesLines!M2745)</x:f>
        <x:v>1569</x:v>
      </x:c>
      <x:c r="I1125" s="9" t="n">
        <x:f>SUM(SalesLines!N2743,SalesLines!N2744,SalesLines!N2745)</x:f>
        <x:v>106.80000000000001</x:v>
      </x:c>
      <x:c r="J1125" s="9" t="n">
        <x:f>SUM(SalesLines!P2743,SalesLines!P2744,SalesLines!P2745)</x:f>
        <x:v>170.1</x:v>
      </x:c>
      <x:c r="K1125" s="11" t="n">
        <x:f>SUM(SalesLines!R2743,SalesLines!R2744,SalesLines!R2745)</x:f>
        <x:v>8</x:v>
      </x:c>
      <x:c r="L1125" s="11" t="n">
        <x:f>SUM(SalesLines!S2743,SalesLines!S2744,SalesLines!S2745)</x:f>
        <x:v>1</x:v>
      </x:c>
      <x:c r="M1125" s="8" t="n">
        <x:f>DATE(YEAR(C1125),MONTH(C1125),1)</x:f>
        <x:v>45748</x:v>
      </x:c>
    </x:row>
    <x:row r="1126" ht="22" customHeight="1">
      <x:c r="A1126" s="2" t="str">
        <x:v>O01122</x:v>
      </x:c>
      <x:c r="B1126" s="2" t="str">
        <x:v>C0057</x:v>
      </x:c>
      <x:c r="C1126" s="7" t="n">
        <x:v>45790</x:v>
      </x:c>
      <x:c r="D1126" s="2" t="str">
        <x:v>Completed</x:v>
      </x:c>
      <x:c r="E1126" s="2" t="str">
        <x:v>South</x:v>
      </x:c>
      <x:c r="F1126" s="2" t="str">
        <x:v>Store</x:v>
      </x:c>
      <x:c r="G1126" s="9" t="n">
        <x:f>SUM(SalesLines!Q2746,SalesLines!Q2747,SalesLines!Q2748)</x:f>
        <x:v>1916.4</x:v>
      </x:c>
      <x:c r="H1126" s="9" t="n">
        <x:f>SUM(SalesLines!M2746,SalesLines!M2747,SalesLines!M2748)</x:f>
        <x:v>1982</x:v>
      </x:c>
      <x:c r="I1126" s="9" t="n">
        <x:f>SUM(SalesLines!N2746,SalesLines!N2747,SalesLines!N2748)</x:f>
        <x:v>65.60000000000001</x:v>
      </x:c>
      <x:c r="J1126" s="9" t="n">
        <x:f>SUM(SalesLines!P2746,SalesLines!P2747,SalesLines!P2748)</x:f>
        <x:v>0</x:v>
      </x:c>
      <x:c r="K1126" s="11" t="n">
        <x:f>SUM(SalesLines!R2746,SalesLines!R2747,SalesLines!R2748)</x:f>
        <x:v>11</x:v>
      </x:c>
      <x:c r="L1126" s="11" t="n">
        <x:f>SUM(SalesLines!S2746,SalesLines!S2747,SalesLines!S2748)</x:f>
        <x:v>0</x:v>
      </x:c>
      <x:c r="M1126" s="8" t="n">
        <x:f>DATE(YEAR(C1126),MONTH(C1126),1)</x:f>
        <x:v>45778</x:v>
      </x:c>
    </x:row>
    <x:row r="1127" ht="22" customHeight="1">
      <x:c r="A1127" s="2" t="str">
        <x:v>O01123</x:v>
      </x:c>
      <x:c r="B1127" s="2" t="str">
        <x:v>C0044</x:v>
      </x:c>
      <x:c r="C1127" s="7" t="n">
        <x:v>45777</x:v>
      </x:c>
      <x:c r="D1127" s="2" t="str">
        <x:v>Completed</x:v>
      </x:c>
      <x:c r="E1127" s="2" t="str">
        <x:v>West</x:v>
      </x:c>
      <x:c r="F1127" s="2" t="str">
        <x:v>Store</x:v>
      </x:c>
      <x:c r="G1127" s="9" t="n">
        <x:f>SUM(SalesLines!Q2749,SalesLines!Q2750)</x:f>
        <x:v>558.6000000000001</x:v>
      </x:c>
      <x:c r="H1127" s="9" t="n">
        <x:f>SUM(SalesLines!M2749,SalesLines!M2750)</x:f>
        <x:v>1096</x:v>
      </x:c>
      <x:c r="I1127" s="9" t="n">
        <x:f>SUM(SalesLines!N2749,SalesLines!N2750)</x:f>
        <x:v>54.800000000000004</x:v>
      </x:c>
      <x:c r="J1127" s="9" t="n">
        <x:f>SUM(SalesLines!P2749,SalesLines!P2750)</x:f>
        <x:v>482.59999999999997</x:v>
      </x:c>
      <x:c r="K1127" s="11" t="n">
        <x:f>SUM(SalesLines!R2749,SalesLines!R2750)</x:f>
        <x:v>5</x:v>
      </x:c>
      <x:c r="L1127" s="11" t="n">
        <x:f>SUM(SalesLines!S2749,SalesLines!S2750)</x:f>
        <x:v>2</x:v>
      </x:c>
      <x:c r="M1127" s="8" t="n">
        <x:f>DATE(YEAR(C1127),MONTH(C1127),1)</x:f>
        <x:v>45748</x:v>
      </x:c>
    </x:row>
    <x:row r="1128" ht="22" customHeight="1">
      <x:c r="A1128" s="2" t="str">
        <x:v>O01124</x:v>
      </x:c>
      <x:c r="B1128" s="2" t="str">
        <x:v>C0296</x:v>
      </x:c>
      <x:c r="C1128" s="7" t="n">
        <x:v>45945</x:v>
      </x:c>
      <x:c r="D1128" s="2" t="str">
        <x:v>Completed</x:v>
      </x:c>
      <x:c r="E1128" s="2" t="str">
        <x:v>East</x:v>
      </x:c>
      <x:c r="F1128" s="2" t="str">
        <x:v>Store</x:v>
      </x:c>
      <x:c r="G1128" s="9" t="n">
        <x:f>SUM(SalesLines!Q2751,SalesLines!Q2752,SalesLines!Q2753)</x:f>
        <x:v>2026.1999999999998</x:v>
      </x:c>
      <x:c r="H1128" s="9" t="n">
        <x:f>SUM(SalesLines!M2751,SalesLines!M2752,SalesLines!M2753)</x:f>
        <x:v>2201</x:v>
      </x:c>
      <x:c r="I1128" s="9" t="n">
        <x:f>SUM(SalesLines!N2751,SalesLines!N2752,SalesLines!N2753)</x:f>
        <x:v>174.8</x:v>
      </x:c>
      <x:c r="J1128" s="9" t="n">
        <x:f>SUM(SalesLines!P2751,SalesLines!P2752,SalesLines!P2753)</x:f>
        <x:v>0</x:v>
      </x:c>
      <x:c r="K1128" s="11" t="n">
        <x:f>SUM(SalesLines!R2751,SalesLines!R2752,SalesLines!R2753)</x:f>
        <x:v>8</x:v>
      </x:c>
      <x:c r="L1128" s="11" t="n">
        <x:f>SUM(SalesLines!S2751,SalesLines!S2752,SalesLines!S2753)</x:f>
        <x:v>0</x:v>
      </x:c>
      <x:c r="M1128" s="8" t="n">
        <x:f>DATE(YEAR(C1128),MONTH(C1128),1)</x:f>
        <x:v>45931</x:v>
      </x:c>
    </x:row>
    <x:row r="1129" ht="22" customHeight="1">
      <x:c r="A1129" s="2" t="str">
        <x:v>O01125</x:v>
      </x:c>
      <x:c r="B1129" s="2" t="str">
        <x:v>C0283</x:v>
      </x:c>
      <x:c r="C1129" s="7" t="n">
        <x:v>45842</x:v>
      </x:c>
      <x:c r="D1129" s="2" t="str">
        <x:v>Completed</x:v>
      </x:c>
      <x:c r="E1129" s="2" t="str">
        <x:v>East</x:v>
      </x:c>
      <x:c r="F1129" s="2" t="str">
        <x:v>Online</x:v>
      </x:c>
      <x:c r="G1129" s="9" t="n">
        <x:f>SUM(SalesLines!Q2754,SalesLines!Q2755)</x:f>
        <x:v>237</x:v>
      </x:c>
      <x:c r="H1129" s="9" t="n">
        <x:f>SUM(SalesLines!M2754,SalesLines!M2755)</x:f>
        <x:v>270</x:v>
      </x:c>
      <x:c r="I1129" s="9" t="n">
        <x:f>SUM(SalesLines!N2754,SalesLines!N2755)</x:f>
        <x:v>33</x:v>
      </x:c>
      <x:c r="J1129" s="9" t="n">
        <x:f>SUM(SalesLines!P2754,SalesLines!P2755)</x:f>
        <x:v>0</x:v>
      </x:c>
      <x:c r="K1129" s="11" t="n">
        <x:f>SUM(SalesLines!R2754,SalesLines!R2755)</x:f>
        <x:v>6</x:v>
      </x:c>
      <x:c r="L1129" s="11" t="n">
        <x:f>SUM(SalesLines!S2754,SalesLines!S2755)</x:f>
        <x:v>0</x:v>
      </x:c>
      <x:c r="M1129" s="8" t="n">
        <x:f>DATE(YEAR(C1129),MONTH(C1129),1)</x:f>
        <x:v>45839</x:v>
      </x:c>
    </x:row>
    <x:row r="1130" ht="22" customHeight="1">
      <x:c r="A1130" s="2" t="str">
        <x:v>O01126</x:v>
      </x:c>
      <x:c r="B1130" s="2" t="str">
        <x:v>C0089</x:v>
      </x:c>
      <x:c r="C1130" s="7" t="n">
        <x:v>45889</x:v>
      </x:c>
      <x:c r="D1130" s="2" t="str">
        <x:v>Completed</x:v>
      </x:c>
      <x:c r="E1130" s="2" t="str">
        <x:v>South</x:v>
      </x:c>
      <x:c r="F1130" s="2" t="str">
        <x:v>Online</x:v>
      </x:c>
      <x:c r="G1130" s="9" t="n">
        <x:f>SUM(SalesLines!Q2756)</x:f>
        <x:v>259.2</x:v>
      </x:c>
      <x:c r="H1130" s="9" t="n">
        <x:f>SUM(SalesLines!M2756)</x:f>
        <x:v>324</x:v>
      </x:c>
      <x:c r="I1130" s="9" t="n">
        <x:f>SUM(SalesLines!N2756)</x:f>
        <x:v>64.8</x:v>
      </x:c>
      <x:c r="J1130" s="9" t="n">
        <x:f>SUM(SalesLines!P2756)</x:f>
        <x:v>0</x:v>
      </x:c>
      <x:c r="K1130" s="11" t="n">
        <x:f>SUM(SalesLines!R2756)</x:f>
        <x:v>4</x:v>
      </x:c>
      <x:c r="L1130" s="11" t="n">
        <x:f>SUM(SalesLines!S2756)</x:f>
        <x:v>0</x:v>
      </x:c>
      <x:c r="M1130" s="8" t="n">
        <x:f>DATE(YEAR(C1130),MONTH(C1130),1)</x:f>
        <x:v>45870</x:v>
      </x:c>
    </x:row>
    <x:row r="1131" ht="22" customHeight="1">
      <x:c r="A1131" s="2" t="str">
        <x:v>O01127</x:v>
      </x:c>
      <x:c r="B1131" s="2" t="str">
        <x:v>C0040</x:v>
      </x:c>
      <x:c r="C1131" s="7" t="n">
        <x:v>46017</x:v>
      </x:c>
      <x:c r="D1131" s="2" t="str">
        <x:v>Cancelled</x:v>
      </x:c>
      <x:c r="E1131" s="2" t="str">
        <x:v>North</x:v>
      </x:c>
      <x:c r="F1131" s="2" t="str">
        <x:v>Online</x:v>
      </x:c>
      <x:c r="G1131" s="9" t="n">
        <x:f>SUM(SalesLines!Q2757,SalesLines!Q2758,SalesLines!Q2759,SalesLines!Q2760)</x:f>
        <x:v>0</x:v>
      </x:c>
      <x:c r="H1131" s="9" t="n">
        <x:f>SUM(SalesLines!M2757,SalesLines!M2758,SalesLines!M2759,SalesLines!M2760)</x:f>
        <x:v>0</x:v>
      </x:c>
      <x:c r="I1131" s="9" t="n">
        <x:f>SUM(SalesLines!N2757,SalesLines!N2758,SalesLines!N2759,SalesLines!N2760)</x:f>
        <x:v>0</x:v>
      </x:c>
      <x:c r="J1131" s="9" t="n">
        <x:f>SUM(SalesLines!P2757,SalesLines!P2758,SalesLines!P2759,SalesLines!P2760)</x:f>
        <x:v>0</x:v>
      </x:c>
      <x:c r="K1131" s="11" t="n">
        <x:f>SUM(SalesLines!R2757,SalesLines!R2758,SalesLines!R2759,SalesLines!R2760)</x:f>
        <x:v>0</x:v>
      </x:c>
      <x:c r="L1131" s="11" t="n">
        <x:f>SUM(SalesLines!S2757,SalesLines!S2758,SalesLines!S2759,SalesLines!S2760)</x:f>
        <x:v>0</x:v>
      </x:c>
      <x:c r="M1131" s="8" t="n">
        <x:f>DATE(YEAR(C1131),MONTH(C1131),1)</x:f>
        <x:v>45992</x:v>
      </x:c>
    </x:row>
    <x:row r="1132" ht="22" customHeight="1">
      <x:c r="A1132" s="2" t="str">
        <x:v>O01128</x:v>
      </x:c>
      <x:c r="B1132" s="2" t="str">
        <x:v>C0181</x:v>
      </x:c>
      <x:c r="C1132" s="7" t="n">
        <x:v>45930</x:v>
      </x:c>
      <x:c r="D1132" s="2" t="str">
        <x:v>Completed</x:v>
      </x:c>
      <x:c r="E1132" s="2" t="str">
        <x:v>West</x:v>
      </x:c>
      <x:c r="F1132" s="2" t="str">
        <x:v>Online</x:v>
      </x:c>
      <x:c r="G1132" s="9" t="n">
        <x:f>SUM(SalesLines!Q2761)</x:f>
        <x:v>1039.5</x:v>
      </x:c>
      <x:c r="H1132" s="9" t="n">
        <x:f>SUM(SalesLines!M2761)</x:f>
        <x:v>1155</x:v>
      </x:c>
      <x:c r="I1132" s="9" t="n">
        <x:f>SUM(SalesLines!N2761)</x:f>
        <x:v>115.5</x:v>
      </x:c>
      <x:c r="J1132" s="9" t="n">
        <x:f>SUM(SalesLines!P2761)</x:f>
        <x:v>0</x:v>
      </x:c>
      <x:c r="K1132" s="11" t="n">
        <x:f>SUM(SalesLines!R2761)</x:f>
        <x:v>5</x:v>
      </x:c>
      <x:c r="L1132" s="11" t="n">
        <x:f>SUM(SalesLines!S2761)</x:f>
        <x:v>0</x:v>
      </x:c>
      <x:c r="M1132" s="8" t="n">
        <x:f>DATE(YEAR(C1132),MONTH(C1132),1)</x:f>
        <x:v>45901</x:v>
      </x:c>
    </x:row>
    <x:row r="1133" ht="22" customHeight="1">
      <x:c r="A1133" s="2" t="str">
        <x:v>O01129</x:v>
      </x:c>
      <x:c r="B1133" s="2" t="str">
        <x:v>C0204</x:v>
      </x:c>
      <x:c r="C1133" s="7" t="n">
        <x:v>45716</x:v>
      </x:c>
      <x:c r="D1133" s="2" t="str">
        <x:v>Completed</x:v>
      </x:c>
      <x:c r="E1133" s="2" t="str">
        <x:v>South</x:v>
      </x:c>
      <x:c r="F1133" s="2" t="str">
        <x:v>Store</x:v>
      </x:c>
      <x:c r="G1133" s="9" t="n">
        <x:f>SUM(SalesLines!Q2762,SalesLines!Q2763,SalesLines!Q2764,SalesLines!Q2765)</x:f>
        <x:v>1732.5</x:v>
      </x:c>
      <x:c r="H1133" s="9" t="n">
        <x:f>SUM(SalesLines!M2762,SalesLines!M2763,SalesLines!M2764,SalesLines!M2765)</x:f>
        <x:v>2820</x:v>
      </x:c>
      <x:c r="I1133" s="9" t="n">
        <x:f>SUM(SalesLines!N2762,SalesLines!N2763,SalesLines!N2764,SalesLines!N2765)</x:f>
        <x:v>3.5</x:v>
      </x:c>
      <x:c r="J1133" s="9" t="n">
        <x:f>SUM(SalesLines!P2762,SalesLines!P2763,SalesLines!P2764,SalesLines!P2765)</x:f>
        <x:v>1084</x:v>
      </x:c>
      <x:c r="K1133" s="11" t="n">
        <x:f>SUM(SalesLines!R2762,SalesLines!R2763,SalesLines!R2764,SalesLines!R2765)</x:f>
        <x:v>15</x:v>
      </x:c>
      <x:c r="L1133" s="11" t="n">
        <x:f>SUM(SalesLines!S2762,SalesLines!S2763,SalesLines!S2764,SalesLines!S2765)</x:f>
        <x:v>4</x:v>
      </x:c>
      <x:c r="M1133" s="8" t="n">
        <x:f>DATE(YEAR(C1133),MONTH(C1133),1)</x:f>
        <x:v>45689</x:v>
      </x:c>
    </x:row>
    <x:row r="1134" ht="22" customHeight="1">
      <x:c r="A1134" s="2" t="str">
        <x:v>O01130</x:v>
      </x:c>
      <x:c r="B1134" s="2" t="str">
        <x:v>C0238</x:v>
      </x:c>
      <x:c r="C1134" s="7" t="n">
        <x:v>45750</x:v>
      </x:c>
      <x:c r="D1134" s="2" t="str">
        <x:v>Completed</x:v>
      </x:c>
      <x:c r="E1134" s="2" t="str">
        <x:v>East</x:v>
      </x:c>
      <x:c r="F1134" s="2" t="str">
        <x:v>Store</x:v>
      </x:c>
      <x:c r="G1134" s="9" t="n">
        <x:f>SUM(SalesLines!Q2766)</x:f>
        <x:v>896.4</x:v>
      </x:c>
      <x:c r="H1134" s="9" t="n">
        <x:f>SUM(SalesLines!M2766)</x:f>
        <x:v>996</x:v>
      </x:c>
      <x:c r="I1134" s="9" t="n">
        <x:f>SUM(SalesLines!N2766)</x:f>
        <x:v>99.60000000000001</x:v>
      </x:c>
      <x:c r="J1134" s="9" t="n">
        <x:f>SUM(SalesLines!P2766)</x:f>
        <x:v>0</x:v>
      </x:c>
      <x:c r="K1134" s="11" t="n">
        <x:f>SUM(SalesLines!R2766)</x:f>
        <x:v>4</x:v>
      </x:c>
      <x:c r="L1134" s="11" t="n">
        <x:f>SUM(SalesLines!S2766)</x:f>
        <x:v>0</x:v>
      </x:c>
      <x:c r="M1134" s="8" t="n">
        <x:f>DATE(YEAR(C1134),MONTH(C1134),1)</x:f>
        <x:v>45748</x:v>
      </x:c>
    </x:row>
    <x:row r="1135" ht="22" customHeight="1">
      <x:c r="A1135" s="2" t="str">
        <x:v>O01131</x:v>
      </x:c>
      <x:c r="B1135" s="2" t="str">
        <x:v>C0077</x:v>
      </x:c>
      <x:c r="C1135" s="7" t="n">
        <x:v>45681</x:v>
      </x:c>
      <x:c r="D1135" s="2" t="str">
        <x:v>Completed</x:v>
      </x:c>
      <x:c r="E1135" s="2" t="str">
        <x:v>West</x:v>
      </x:c>
      <x:c r="F1135" s="2" t="str">
        <x:v>Store</x:v>
      </x:c>
      <x:c r="G1135" s="9" t="n">
        <x:f>SUM(SalesLines!Q2767,SalesLines!Q2768,SalesLines!Q2769)</x:f>
        <x:v>1350.2</x:v>
      </x:c>
      <x:c r="H1135" s="9" t="n">
        <x:f>SUM(SalesLines!M2767,SalesLines!M2768,SalesLines!M2769)</x:f>
        <x:v>1567</x:v>
      </x:c>
      <x:c r="I1135" s="9" t="n">
        <x:f>SUM(SalesLines!N2767,SalesLines!N2768,SalesLines!N2769)</x:f>
        <x:v>216.8</x:v>
      </x:c>
      <x:c r="J1135" s="9" t="n">
        <x:f>SUM(SalesLines!P2767,SalesLines!P2768,SalesLines!P2769)</x:f>
        <x:v>0</x:v>
      </x:c>
      <x:c r="K1135" s="11" t="n">
        <x:f>SUM(SalesLines!R2767,SalesLines!R2768,SalesLines!R2769)</x:f>
        <x:v>10</x:v>
      </x:c>
      <x:c r="L1135" s="11" t="n">
        <x:f>SUM(SalesLines!S2767,SalesLines!S2768,SalesLines!S2769)</x:f>
        <x:v>0</x:v>
      </x:c>
      <x:c r="M1135" s="8" t="n">
        <x:f>DATE(YEAR(C1135),MONTH(C1135),1)</x:f>
        <x:v>45658</x:v>
      </x:c>
    </x:row>
    <x:row r="1136" ht="22" customHeight="1">
      <x:c r="A1136" s="2" t="str">
        <x:v>O01132</x:v>
      </x:c>
      <x:c r="B1136" s="2" t="str">
        <x:v>C0227</x:v>
      </x:c>
      <x:c r="C1136" s="7" t="n">
        <x:v>45916</x:v>
      </x:c>
      <x:c r="D1136" s="2" t="str">
        <x:v>Completed</x:v>
      </x:c>
      <x:c r="E1136" s="2" t="str">
        <x:v>East</x:v>
      </x:c>
      <x:c r="F1136" s="2" t="str">
        <x:v>Online</x:v>
      </x:c>
      <x:c r="G1136" s="9" t="n">
        <x:f>SUM(SalesLines!Q2770)</x:f>
        <x:v>473.1</x:v>
      </x:c>
      <x:c r="H1136" s="9" t="n">
        <x:f>SUM(SalesLines!M2770)</x:f>
        <x:v>498</x:v>
      </x:c>
      <x:c r="I1136" s="9" t="n">
        <x:f>SUM(SalesLines!N2770)</x:f>
        <x:v>24.900000000000002</x:v>
      </x:c>
      <x:c r="J1136" s="9" t="n">
        <x:f>SUM(SalesLines!P2770)</x:f>
        <x:v>0</x:v>
      </x:c>
      <x:c r="K1136" s="11" t="n">
        <x:f>SUM(SalesLines!R2770)</x:f>
        <x:v>2</x:v>
      </x:c>
      <x:c r="L1136" s="11" t="n">
        <x:f>SUM(SalesLines!S2770)</x:f>
        <x:v>0</x:v>
      </x:c>
      <x:c r="M1136" s="8" t="n">
        <x:f>DATE(YEAR(C1136),MONTH(C1136),1)</x:f>
        <x:v>45901</x:v>
      </x:c>
    </x:row>
    <x:row r="1137" ht="22" customHeight="1">
      <x:c r="A1137" s="2" t="str">
        <x:v>O01133</x:v>
      </x:c>
      <x:c r="B1137" s="2" t="str">
        <x:v>C0244</x:v>
      </x:c>
      <x:c r="C1137" s="7" t="n">
        <x:v>45785</x:v>
      </x:c>
      <x:c r="D1137" s="2" t="str">
        <x:v>Completed</x:v>
      </x:c>
      <x:c r="E1137" s="2" t="str">
        <x:v>South</x:v>
      </x:c>
      <x:c r="F1137" s="2" t="str">
        <x:v>Store</x:v>
      </x:c>
      <x:c r="G1137" s="9" t="n">
        <x:f>SUM(SalesLines!Q2771,SalesLines!Q2772)</x:f>
        <x:v>338.05</x:v>
      </x:c>
      <x:c r="H1137" s="9" t="n">
        <x:f>SUM(SalesLines!M2771,SalesLines!M2772)</x:f>
        <x:v>377</x:v>
      </x:c>
      <x:c r="I1137" s="9" t="n">
        <x:f>SUM(SalesLines!N2771,SalesLines!N2772)</x:f>
        <x:v>38.95</x:v>
      </x:c>
      <x:c r="J1137" s="9" t="n">
        <x:f>SUM(SalesLines!P2771,SalesLines!P2772)</x:f>
        <x:v>0</x:v>
      </x:c>
      <x:c r="K1137" s="11" t="n">
        <x:f>SUM(SalesLines!R2771,SalesLines!R2772)</x:f>
        <x:v>4</x:v>
      </x:c>
      <x:c r="L1137" s="11" t="n">
        <x:f>SUM(SalesLines!S2771,SalesLines!S2772)</x:f>
        <x:v>0</x:v>
      </x:c>
      <x:c r="M1137" s="8" t="n">
        <x:f>DATE(YEAR(C1137),MONTH(C1137),1)</x:f>
        <x:v>45778</x:v>
      </x:c>
    </x:row>
    <x:row r="1138" ht="22" customHeight="1">
      <x:c r="A1138" s="2" t="str">
        <x:v>O01134</x:v>
      </x:c>
      <x:c r="B1138" s="2" t="str">
        <x:v>C0182</x:v>
      </x:c>
      <x:c r="C1138" s="7" t="n">
        <x:v>45705</x:v>
      </x:c>
      <x:c r="D1138" s="2" t="str">
        <x:v>Completed</x:v>
      </x:c>
      <x:c r="E1138" s="2" t="str">
        <x:v>West</x:v>
      </x:c>
      <x:c r="F1138" s="2" t="str">
        <x:v>Store</x:v>
      </x:c>
      <x:c r="G1138" s="9" t="n">
        <x:f>SUM(SalesLines!Q2773,SalesLines!Q2774,SalesLines!Q2775,SalesLines!Q2776)</x:f>
        <x:v>2417.45</x:v>
      </x:c>
      <x:c r="H1138" s="9" t="n">
        <x:f>SUM(SalesLines!M2773,SalesLines!M2774,SalesLines!M2775,SalesLines!M2776)</x:f>
        <x:v>2719</x:v>
      </x:c>
      <x:c r="I1138" s="9" t="n">
        <x:f>SUM(SalesLines!N2773,SalesLines!N2774,SalesLines!N2775,SalesLines!N2776)</x:f>
        <x:v>301.55</x:v>
      </x:c>
      <x:c r="J1138" s="9" t="n">
        <x:f>SUM(SalesLines!P2773,SalesLines!P2774,SalesLines!P2775,SalesLines!P2776)</x:f>
        <x:v>0</x:v>
      </x:c>
      <x:c r="K1138" s="11" t="n">
        <x:f>SUM(SalesLines!R2773,SalesLines!R2774,SalesLines!R2775,SalesLines!R2776)</x:f>
        <x:v>15</x:v>
      </x:c>
      <x:c r="L1138" s="11" t="n">
        <x:f>SUM(SalesLines!S2773,SalesLines!S2774,SalesLines!S2775,SalesLines!S2776)</x:f>
        <x:v>0</x:v>
      </x:c>
      <x:c r="M1138" s="8" t="n">
        <x:f>DATE(YEAR(C1138),MONTH(C1138),1)</x:f>
        <x:v>45689</x:v>
      </x:c>
    </x:row>
    <x:row r="1139" ht="22" customHeight="1">
      <x:c r="A1139" s="2" t="str">
        <x:v>O01135</x:v>
      </x:c>
      <x:c r="B1139" s="2" t="str">
        <x:v>C0058</x:v>
      </x:c>
      <x:c r="C1139" s="7" t="n">
        <x:v>45931</x:v>
      </x:c>
      <x:c r="D1139" s="2" t="str">
        <x:v>Completed</x:v>
      </x:c>
      <x:c r="E1139" s="2" t="str">
        <x:v>North</x:v>
      </x:c>
      <x:c r="F1139" s="2" t="str">
        <x:v>Store</x:v>
      </x:c>
      <x:c r="G1139" s="9" t="n">
        <x:f>SUM(SalesLines!Q2777,SalesLines!Q2778,SalesLines!Q2779)</x:f>
        <x:v>1540.4</x:v>
      </x:c>
      <x:c r="H1139" s="9" t="n">
        <x:f>SUM(SalesLines!M2777,SalesLines!M2778,SalesLines!M2779)</x:f>
        <x:v>1683</x:v>
      </x:c>
      <x:c r="I1139" s="9" t="n">
        <x:f>SUM(SalesLines!N2777,SalesLines!N2778,SalesLines!N2779)</x:f>
        <x:v>142.60000000000002</x:v>
      </x:c>
      <x:c r="J1139" s="9" t="n">
        <x:f>SUM(SalesLines!P2777,SalesLines!P2778,SalesLines!P2779)</x:f>
        <x:v>0</x:v>
      </x:c>
      <x:c r="K1139" s="11" t="n">
        <x:f>SUM(SalesLines!R2777,SalesLines!R2778,SalesLines!R2779)</x:f>
        <x:v>8</x:v>
      </x:c>
      <x:c r="L1139" s="11" t="n">
        <x:f>SUM(SalesLines!S2777,SalesLines!S2778,SalesLines!S2779)</x:f>
        <x:v>0</x:v>
      </x:c>
      <x:c r="M1139" s="8" t="n">
        <x:f>DATE(YEAR(C1139),MONTH(C1139),1)</x:f>
        <x:v>45931</x:v>
      </x:c>
    </x:row>
    <x:row r="1140" ht="22" customHeight="1">
      <x:c r="A1140" s="2" t="str">
        <x:v>O01136</x:v>
      </x:c>
      <x:c r="B1140" s="2" t="str">
        <x:v>C0292</x:v>
      </x:c>
      <x:c r="C1140" s="7" t="n">
        <x:v>45939</x:v>
      </x:c>
      <x:c r="D1140" s="2" t="str">
        <x:v>Completed</x:v>
      </x:c>
      <x:c r="E1140" s="2" t="str">
        <x:v>East</x:v>
      </x:c>
      <x:c r="F1140" s="2" t="str">
        <x:v>Store</x:v>
      </x:c>
      <x:c r="G1140" s="9" t="n">
        <x:f>SUM(SalesLines!Q2780,SalesLines!Q2781,SalesLines!Q2782,SalesLines!Q2783)</x:f>
        <x:v>2667.4</x:v>
      </x:c>
      <x:c r="H1140" s="9" t="n">
        <x:f>SUM(SalesLines!M2780,SalesLines!M2781,SalesLines!M2782,SalesLines!M2783)</x:f>
        <x:v>2927</x:v>
      </x:c>
      <x:c r="I1140" s="9" t="n">
        <x:f>SUM(SalesLines!N2780,SalesLines!N2781,SalesLines!N2782,SalesLines!N2783)</x:f>
        <x:v>171.25000000000003</x:v>
      </x:c>
      <x:c r="J1140" s="9" t="n">
        <x:f>SUM(SalesLines!P2780,SalesLines!P2781,SalesLines!P2782,SalesLines!P2783)</x:f>
        <x:v>88.35</x:v>
      </x:c>
      <x:c r="K1140" s="11" t="n">
        <x:f>SUM(SalesLines!R2780,SalesLines!R2781,SalesLines!R2782,SalesLines!R2783)</x:f>
        <x:v>11</x:v>
      </x:c>
      <x:c r="L1140" s="11" t="n">
        <x:f>SUM(SalesLines!S2780,SalesLines!S2781,SalesLines!S2782,SalesLines!S2783)</x:f>
        <x:v>1</x:v>
      </x:c>
      <x:c r="M1140" s="8" t="n">
        <x:f>DATE(YEAR(C1140),MONTH(C1140),1)</x:f>
        <x:v>45931</x:v>
      </x:c>
    </x:row>
    <x:row r="1141" ht="22" customHeight="1">
      <x:c r="A1141" s="2" t="str">
        <x:v>O01137</x:v>
      </x:c>
      <x:c r="B1141" s="2" t="str">
        <x:v>C0285</x:v>
      </x:c>
      <x:c r="C1141" s="7" t="n">
        <x:v>45784</x:v>
      </x:c>
      <x:c r="D1141" s="2" t="str">
        <x:v>Completed</x:v>
      </x:c>
      <x:c r="E1141" s="2" t="str">
        <x:v>East</x:v>
      </x:c>
      <x:c r="F1141" s="2" t="str">
        <x:v>Online</x:v>
      </x:c>
      <x:c r="G1141" s="9" t="n">
        <x:f>SUM(SalesLines!Q2784,SalesLines!Q2785,SalesLines!Q2786)</x:f>
        <x:v>1613.1999999999998</x:v>
      </x:c>
      <x:c r="H1141" s="9" t="n">
        <x:f>SUM(SalesLines!M2784,SalesLines!M2785,SalesLines!M2786)</x:f>
        <x:v>1864</x:v>
      </x:c>
      <x:c r="I1141" s="9" t="n">
        <x:f>SUM(SalesLines!N2784,SalesLines!N2785,SalesLines!N2786)</x:f>
        <x:v>250.8</x:v>
      </x:c>
      <x:c r="J1141" s="9" t="n">
        <x:f>SUM(SalesLines!P2784,SalesLines!P2785,SalesLines!P2786)</x:f>
        <x:v>0</x:v>
      </x:c>
      <x:c r="K1141" s="11" t="n">
        <x:f>SUM(SalesLines!R2784,SalesLines!R2785,SalesLines!R2786)</x:f>
        <x:v>11</x:v>
      </x:c>
      <x:c r="L1141" s="11" t="n">
        <x:f>SUM(SalesLines!S2784,SalesLines!S2785,SalesLines!S2786)</x:f>
        <x:v>0</x:v>
      </x:c>
      <x:c r="M1141" s="8" t="n">
        <x:f>DATE(YEAR(C1141),MONTH(C1141),1)</x:f>
        <x:v>45778</x:v>
      </x:c>
    </x:row>
    <x:row r="1142" ht="22" customHeight="1">
      <x:c r="A1142" s="2" t="str">
        <x:v>O01138</x:v>
      </x:c>
      <x:c r="B1142" s="2" t="str">
        <x:v>C0169</x:v>
      </x:c>
      <x:c r="C1142" s="7" t="n">
        <x:v>46006</x:v>
      </x:c>
      <x:c r="D1142" s="2" t="str">
        <x:v>Cancelled</x:v>
      </x:c>
      <x:c r="E1142" s="2" t="str">
        <x:v>North</x:v>
      </x:c>
      <x:c r="F1142" s="2" t="str">
        <x:v>Online</x:v>
      </x:c>
      <x:c r="G1142" s="9" t="n">
        <x:f>SUM(SalesLines!Q2787,SalesLines!Q2788,SalesLines!Q2789,SalesLines!Q2790)</x:f>
        <x:v>0</x:v>
      </x:c>
      <x:c r="H1142" s="9" t="n">
        <x:f>SUM(SalesLines!M2787,SalesLines!M2788,SalesLines!M2789,SalesLines!M2790)</x:f>
        <x:v>0</x:v>
      </x:c>
      <x:c r="I1142" s="9" t="n">
        <x:f>SUM(SalesLines!N2787,SalesLines!N2788,SalesLines!N2789,SalesLines!N2790)</x:f>
        <x:v>0</x:v>
      </x:c>
      <x:c r="J1142" s="9" t="n">
        <x:f>SUM(SalesLines!P2787,SalesLines!P2788,SalesLines!P2789,SalesLines!P2790)</x:f>
        <x:v>0</x:v>
      </x:c>
      <x:c r="K1142" s="11" t="n">
        <x:f>SUM(SalesLines!R2787,SalesLines!R2788,SalesLines!R2789,SalesLines!R2790)</x:f>
        <x:v>0</x:v>
      </x:c>
      <x:c r="L1142" s="11" t="n">
        <x:f>SUM(SalesLines!S2787,SalesLines!S2788,SalesLines!S2789,SalesLines!S2790)</x:f>
        <x:v>0</x:v>
      </x:c>
      <x:c r="M1142" s="8" t="n">
        <x:f>DATE(YEAR(C1142),MONTH(C1142),1)</x:f>
        <x:v>45992</x:v>
      </x:c>
    </x:row>
    <x:row r="1143" ht="22" customHeight="1">
      <x:c r="A1143" s="2" t="str">
        <x:v>O01139</x:v>
      </x:c>
      <x:c r="B1143" s="2" t="str">
        <x:v>C0231</x:v>
      </x:c>
      <x:c r="C1143" s="7" t="n">
        <x:v>45972</x:v>
      </x:c>
      <x:c r="D1143" s="2" t="str">
        <x:v>Completed</x:v>
      </x:c>
      <x:c r="E1143" s="2" t="str">
        <x:v>West</x:v>
      </x:c>
      <x:c r="F1143" s="2" t="str">
        <x:v>Online</x:v>
      </x:c>
      <x:c r="G1143" s="9" t="n">
        <x:f>SUM(SalesLines!Q2791)</x:f>
        <x:v>228</x:v>
      </x:c>
      <x:c r="H1143" s="9" t="n">
        <x:f>SUM(SalesLines!M2791)</x:f>
        <x:v>240</x:v>
      </x:c>
      <x:c r="I1143" s="9" t="n">
        <x:f>SUM(SalesLines!N2791)</x:f>
        <x:v>12</x:v>
      </x:c>
      <x:c r="J1143" s="9" t="n">
        <x:f>SUM(SalesLines!P2791)</x:f>
        <x:v>0</x:v>
      </x:c>
      <x:c r="K1143" s="11" t="n">
        <x:f>SUM(SalesLines!R2791)</x:f>
        <x:v>3</x:v>
      </x:c>
      <x:c r="L1143" s="11" t="n">
        <x:f>SUM(SalesLines!S2791)</x:f>
        <x:v>0</x:v>
      </x:c>
      <x:c r="M1143" s="8" t="n">
        <x:f>DATE(YEAR(C1143),MONTH(C1143),1)</x:f>
        <x:v>45962</x:v>
      </x:c>
    </x:row>
    <x:row r="1144" ht="22" customHeight="1">
      <x:c r="A1144" s="2" t="str">
        <x:v>O01140</x:v>
      </x:c>
      <x:c r="B1144" s="2" t="str">
        <x:v>C0030</x:v>
      </x:c>
      <x:c r="C1144" s="7" t="n">
        <x:v>45927</x:v>
      </x:c>
      <x:c r="D1144" s="2" t="str">
        <x:v>Completed</x:v>
      </x:c>
      <x:c r="E1144" s="2" t="str">
        <x:v>South</x:v>
      </x:c>
      <x:c r="F1144" s="2" t="str">
        <x:v>Online</x:v>
      </x:c>
      <x:c r="G1144" s="9" t="n">
        <x:f>SUM(SalesLines!Q2792,SalesLines!Q2793,SalesLines!Q2794)</x:f>
        <x:v>973.2</x:v>
      </x:c>
      <x:c r="H1144" s="9" t="n">
        <x:f>SUM(SalesLines!M2792,SalesLines!M2793,SalesLines!M2794)</x:f>
        <x:v>1111</x:v>
      </x:c>
      <x:c r="I1144" s="9" t="n">
        <x:f>SUM(SalesLines!N2792,SalesLines!N2793,SalesLines!N2794)</x:f>
        <x:v>137.8</x:v>
      </x:c>
      <x:c r="J1144" s="9" t="n">
        <x:f>SUM(SalesLines!P2792,SalesLines!P2793,SalesLines!P2794)</x:f>
        <x:v>0</x:v>
      </x:c>
      <x:c r="K1144" s="11" t="n">
        <x:f>SUM(SalesLines!R2792,SalesLines!R2793,SalesLines!R2794)</x:f>
        <x:v>9</x:v>
      </x:c>
      <x:c r="L1144" s="11" t="n">
        <x:f>SUM(SalesLines!S2792,SalesLines!S2793,SalesLines!S2794)</x:f>
        <x:v>0</x:v>
      </x:c>
      <x:c r="M1144" s="8" t="n">
        <x:f>DATE(YEAR(C1144),MONTH(C1144),1)</x:f>
        <x:v>45901</x:v>
      </x:c>
    </x:row>
    <x:row r="1145" ht="22" customHeight="1">
      <x:c r="A1145" s="2" t="str">
        <x:v>O01141</x:v>
      </x:c>
      <x:c r="B1145" s="2" t="str">
        <x:v>C0186</x:v>
      </x:c>
      <x:c r="C1145" s="7" t="n">
        <x:v>45931</x:v>
      </x:c>
      <x:c r="D1145" s="2" t="str">
        <x:v>Completed</x:v>
      </x:c>
      <x:c r="E1145" s="2" t="str">
        <x:v>North</x:v>
      </x:c>
      <x:c r="F1145" s="2" t="str">
        <x:v>Store</x:v>
      </x:c>
      <x:c r="G1145" s="9" t="n">
        <x:f>SUM(SalesLines!Q2795,SalesLines!Q2796)</x:f>
        <x:v>1034.4</x:v>
      </x:c>
      <x:c r="H1145" s="9" t="n">
        <x:f>SUM(SalesLines!M2795,SalesLines!M2796)</x:f>
        <x:v>1244</x:v>
      </x:c>
      <x:c r="I1145" s="9" t="n">
        <x:f>SUM(SalesLines!N2795,SalesLines!N2796)</x:f>
        <x:v>209.60000000000002</x:v>
      </x:c>
      <x:c r="J1145" s="9" t="n">
        <x:f>SUM(SalesLines!P2795,SalesLines!P2796)</x:f>
        <x:v>0</x:v>
      </x:c>
      <x:c r="K1145" s="11" t="n">
        <x:f>SUM(SalesLines!R2795,SalesLines!R2796)</x:f>
        <x:v>5</x:v>
      </x:c>
      <x:c r="L1145" s="11" t="n">
        <x:f>SUM(SalesLines!S2795,SalesLines!S2796)</x:f>
        <x:v>0</x:v>
      </x:c>
      <x:c r="M1145" s="8" t="n">
        <x:f>DATE(YEAR(C1145),MONTH(C1145),1)</x:f>
        <x:v>45931</x:v>
      </x:c>
    </x:row>
    <x:row r="1146" ht="22" customHeight="1">
      <x:c r="A1146" s="2" t="str">
        <x:v>O01142</x:v>
      </x:c>
      <x:c r="B1146" s="2" t="str">
        <x:v>C0095</x:v>
      </x:c>
      <x:c r="C1146" s="7" t="n">
        <x:v>45805</x:v>
      </x:c>
      <x:c r="D1146" s="2" t="str">
        <x:v>Completed</x:v>
      </x:c>
      <x:c r="E1146" s="2" t="str">
        <x:v>East</x:v>
      </x:c>
      <x:c r="F1146" s="2" t="str">
        <x:v>Online</x:v>
      </x:c>
      <x:c r="G1146" s="9" t="n">
        <x:f>SUM(SalesLines!Q2797,SalesLines!Q2798,SalesLines!Q2799,SalesLines!Q2800)</x:f>
        <x:v>1501.7000000000003</x:v>
      </x:c>
      <x:c r="H1146" s="9" t="n">
        <x:f>SUM(SalesLines!M2797,SalesLines!M2798,SalesLines!M2799,SalesLines!M2800)</x:f>
        <x:v>2854</x:v>
      </x:c>
      <x:c r="I1146" s="9" t="n">
        <x:f>SUM(SalesLines!N2797,SalesLines!N2798,SalesLines!N2799,SalesLines!N2800)</x:f>
        <x:v>515.45</x:v>
      </x:c>
      <x:c r="J1146" s="9" t="n">
        <x:f>SUM(SalesLines!P2797,SalesLines!P2798,SalesLines!P2799,SalesLines!P2800)</x:f>
        <x:v>836.85</x:v>
      </x:c>
      <x:c r="K1146" s="11" t="n">
        <x:f>SUM(SalesLines!R2797,SalesLines!R2798,SalesLines!R2799,SalesLines!R2800)</x:f>
        <x:v>12</x:v>
      </x:c>
      <x:c r="L1146" s="11" t="n">
        <x:f>SUM(SalesLines!S2797,SalesLines!S2798,SalesLines!S2799,SalesLines!S2800)</x:f>
        <x:v>4</x:v>
      </x:c>
      <x:c r="M1146" s="8" t="n">
        <x:f>DATE(YEAR(C1146),MONTH(C1146),1)</x:f>
        <x:v>45778</x:v>
      </x:c>
    </x:row>
    <x:row r="1147" ht="22" customHeight="1">
      <x:c r="A1147" s="2" t="str">
        <x:v>O01143</x:v>
      </x:c>
      <x:c r="B1147" s="2" t="str">
        <x:v>C0057</x:v>
      </x:c>
      <x:c r="C1147" s="7" t="n">
        <x:v>45901</x:v>
      </x:c>
      <x:c r="D1147" s="2" t="str">
        <x:v>Completed</x:v>
      </x:c>
      <x:c r="E1147" s="2" t="str">
        <x:v>South</x:v>
      </x:c>
      <x:c r="F1147" s="2" t="str">
        <x:v>Online</x:v>
      </x:c>
      <x:c r="G1147" s="9" t="n">
        <x:f>SUM(SalesLines!Q2801,SalesLines!Q2802,SalesLines!Q2803,SalesLines!Q2804)</x:f>
        <x:v>2938.3</x:v>
      </x:c>
      <x:c r="H1147" s="9" t="n">
        <x:f>SUM(SalesLines!M2801,SalesLines!M2802,SalesLines!M2803,SalesLines!M2804)</x:f>
        <x:v>3127</x:v>
      </x:c>
      <x:c r="I1147" s="9" t="n">
        <x:f>SUM(SalesLines!N2801,SalesLines!N2802,SalesLines!N2803,SalesLines!N2804)</x:f>
        <x:v>188.7</x:v>
      </x:c>
      <x:c r="J1147" s="9" t="n">
        <x:f>SUM(SalesLines!P2801,SalesLines!P2802,SalesLines!P2803,SalesLines!P2804)</x:f>
        <x:v>0</x:v>
      </x:c>
      <x:c r="K1147" s="11" t="n">
        <x:f>SUM(SalesLines!R2801,SalesLines!R2802,SalesLines!R2803,SalesLines!R2804)</x:f>
        <x:v>15</x:v>
      </x:c>
      <x:c r="L1147" s="11" t="n">
        <x:f>SUM(SalesLines!S2801,SalesLines!S2802,SalesLines!S2803,SalesLines!S2804)</x:f>
        <x:v>0</x:v>
      </x:c>
      <x:c r="M1147" s="8" t="n">
        <x:f>DATE(YEAR(C1147),MONTH(C1147),1)</x:f>
        <x:v>45901</x:v>
      </x:c>
    </x:row>
    <x:row r="1148" ht="22" customHeight="1">
      <x:c r="A1148" s="2" t="str">
        <x:v>O01144</x:v>
      </x:c>
      <x:c r="B1148" s="2" t="str">
        <x:v>C0198</x:v>
      </x:c>
      <x:c r="C1148" s="7" t="n">
        <x:v>45953</x:v>
      </x:c>
      <x:c r="D1148" s="2" t="str">
        <x:v>Completed</x:v>
      </x:c>
      <x:c r="E1148" s="2" t="str">
        <x:v>West</x:v>
      </x:c>
      <x:c r="F1148" s="2" t="str">
        <x:v>Store</x:v>
      </x:c>
      <x:c r="G1148" s="9" t="n">
        <x:f>SUM(SalesLines!Q2805,SalesLines!Q2806)</x:f>
        <x:v>1246.5</x:v>
      </x:c>
      <x:c r="H1148" s="9" t="n">
        <x:f>SUM(SalesLines!M2805,SalesLines!M2806)</x:f>
        <x:v>1287</x:v>
      </x:c>
      <x:c r="I1148" s="9" t="n">
        <x:f>SUM(SalesLines!N2805,SalesLines!N2806)</x:f>
        <x:v>40.5</x:v>
      </x:c>
      <x:c r="J1148" s="9" t="n">
        <x:f>SUM(SalesLines!P2805,SalesLines!P2806)</x:f>
        <x:v>0</x:v>
      </x:c>
      <x:c r="K1148" s="11" t="n">
        <x:f>SUM(SalesLines!R2805,SalesLines!R2806)</x:f>
        <x:v>8</x:v>
      </x:c>
      <x:c r="L1148" s="11" t="n">
        <x:f>SUM(SalesLines!S2805,SalesLines!S2806)</x:f>
        <x:v>0</x:v>
      </x:c>
      <x:c r="M1148" s="8" t="n">
        <x:f>DATE(YEAR(C1148),MONTH(C1148),1)</x:f>
        <x:v>45931</x:v>
      </x:c>
    </x:row>
    <x:row r="1149" ht="22" customHeight="1">
      <x:c r="A1149" s="2" t="str">
        <x:v>O01145</x:v>
      </x:c>
      <x:c r="B1149" s="2" t="str">
        <x:v>C0131</x:v>
      </x:c>
      <x:c r="C1149" s="7" t="n">
        <x:v>45908</x:v>
      </x:c>
      <x:c r="D1149" s="2" t="str">
        <x:v>Completed</x:v>
      </x:c>
      <x:c r="E1149" s="2" t="str">
        <x:v>West</x:v>
      </x:c>
      <x:c r="F1149" s="2" t="str">
        <x:v>Online</x:v>
      </x:c>
      <x:c r="G1149" s="9" t="n">
        <x:f>SUM(SalesLines!Q2807,SalesLines!Q2808,SalesLines!Q2809,SalesLines!Q2810)</x:f>
        <x:v>1596.4</x:v>
      </x:c>
      <x:c r="H1149" s="9" t="n">
        <x:f>SUM(SalesLines!M2807,SalesLines!M2808,SalesLines!M2809,SalesLines!M2810)</x:f>
        <x:v>1740</x:v>
      </x:c>
      <x:c r="I1149" s="9" t="n">
        <x:f>SUM(SalesLines!N2807,SalesLines!N2808,SalesLines!N2809,SalesLines!N2810)</x:f>
        <x:v>143.6</x:v>
      </x:c>
      <x:c r="J1149" s="9" t="n">
        <x:f>SUM(SalesLines!P2807,SalesLines!P2808,SalesLines!P2809,SalesLines!P2810)</x:f>
        <x:v>0</x:v>
      </x:c>
      <x:c r="K1149" s="11" t="n">
        <x:f>SUM(SalesLines!R2807,SalesLines!R2808,SalesLines!R2809,SalesLines!R2810)</x:f>
        <x:v>11</x:v>
      </x:c>
      <x:c r="L1149" s="11" t="n">
        <x:f>SUM(SalesLines!S2807,SalesLines!S2808,SalesLines!S2809,SalesLines!S2810)</x:f>
        <x:v>0</x:v>
      </x:c>
      <x:c r="M1149" s="8" t="n">
        <x:f>DATE(YEAR(C1149),MONTH(C1149),1)</x:f>
        <x:v>45901</x:v>
      </x:c>
    </x:row>
    <x:row r="1150" ht="22" customHeight="1">
      <x:c r="A1150" s="2" t="str">
        <x:v>O01146</x:v>
      </x:c>
      <x:c r="B1150" s="2" t="str">
        <x:v>C0241</x:v>
      </x:c>
      <x:c r="C1150" s="7" t="n">
        <x:v>45912</x:v>
      </x:c>
      <x:c r="D1150" s="2" t="str">
        <x:v>Cancelled</x:v>
      </x:c>
      <x:c r="E1150" s="2" t="str">
        <x:v>North</x:v>
      </x:c>
      <x:c r="F1150" s="2" t="str">
        <x:v>Online</x:v>
      </x:c>
      <x:c r="G1150" s="9" t="n">
        <x:f>SUM(SalesLines!Q2811,SalesLines!Q2812,SalesLines!Q2813)</x:f>
        <x:v>0</x:v>
      </x:c>
      <x:c r="H1150" s="9" t="n">
        <x:f>SUM(SalesLines!M2811,SalesLines!M2812,SalesLines!M2813)</x:f>
        <x:v>0</x:v>
      </x:c>
      <x:c r="I1150" s="9" t="n">
        <x:f>SUM(SalesLines!N2811,SalesLines!N2812,SalesLines!N2813)</x:f>
        <x:v>0</x:v>
      </x:c>
      <x:c r="J1150" s="9" t="n">
        <x:f>SUM(SalesLines!P2811,SalesLines!P2812,SalesLines!P2813)</x:f>
        <x:v>0</x:v>
      </x:c>
      <x:c r="K1150" s="11" t="n">
        <x:f>SUM(SalesLines!R2811,SalesLines!R2812,SalesLines!R2813)</x:f>
        <x:v>0</x:v>
      </x:c>
      <x:c r="L1150" s="11" t="n">
        <x:f>SUM(SalesLines!S2811,SalesLines!S2812,SalesLines!S2813)</x:f>
        <x:v>0</x:v>
      </x:c>
      <x:c r="M1150" s="8" t="n">
        <x:f>DATE(YEAR(C1150),MONTH(C1150),1)</x:f>
        <x:v>45901</x:v>
      </x:c>
    </x:row>
    <x:row r="1151" ht="22" customHeight="1">
      <x:c r="A1151" s="2" t="str">
        <x:v>O01147</x:v>
      </x:c>
      <x:c r="B1151" s="2" t="str">
        <x:v>C0138</x:v>
      </x:c>
      <x:c r="C1151" s="7" t="n">
        <x:v>45947</x:v>
      </x:c>
      <x:c r="D1151" s="2" t="str">
        <x:v>Completed</x:v>
      </x:c>
      <x:c r="E1151" s="2" t="str">
        <x:v>South</x:v>
      </x:c>
      <x:c r="F1151" s="2" t="str">
        <x:v>Store</x:v>
      </x:c>
      <x:c r="G1151" s="9" t="n">
        <x:f>SUM(SalesLines!Q2814,SalesLines!Q2815)</x:f>
        <x:v>592</x:v>
      </x:c>
      <x:c r="H1151" s="9" t="n">
        <x:f>SUM(SalesLines!M2814,SalesLines!M2815)</x:f>
        <x:v>740</x:v>
      </x:c>
      <x:c r="I1151" s="9" t="n">
        <x:f>SUM(SalesLines!N2814,SalesLines!N2815)</x:f>
        <x:v>148</x:v>
      </x:c>
      <x:c r="J1151" s="9" t="n">
        <x:f>SUM(SalesLines!P2814,SalesLines!P2815)</x:f>
        <x:v>0</x:v>
      </x:c>
      <x:c r="K1151" s="11" t="n">
        <x:f>SUM(SalesLines!R2814,SalesLines!R2815)</x:f>
        <x:v>7</x:v>
      </x:c>
      <x:c r="L1151" s="11" t="n">
        <x:f>SUM(SalesLines!S2814,SalesLines!S2815)</x:f>
        <x:v>0</x:v>
      </x:c>
      <x:c r="M1151" s="8" t="n">
        <x:f>DATE(YEAR(C1151),MONTH(C1151),1)</x:f>
        <x:v>45931</x:v>
      </x:c>
    </x:row>
    <x:row r="1152" ht="22" customHeight="1">
      <x:c r="A1152" s="2" t="str">
        <x:v>O01148</x:v>
      </x:c>
      <x:c r="B1152" s="2" t="str">
        <x:v>C0038</x:v>
      </x:c>
      <x:c r="C1152" s="7" t="n">
        <x:v>45799</x:v>
      </x:c>
      <x:c r="D1152" s="2" t="str">
        <x:v>Completed</x:v>
      </x:c>
      <x:c r="E1152" s="2" t="str">
        <x:v>South</x:v>
      </x:c>
      <x:c r="F1152" s="2" t="str">
        <x:v>Store</x:v>
      </x:c>
      <x:c r="G1152" s="9" t="n">
        <x:f>SUM(SalesLines!Q2816)</x:f>
        <x:v>168.8</x:v>
      </x:c>
      <x:c r="H1152" s="9" t="n">
        <x:f>SUM(SalesLines!M2816)</x:f>
        <x:v>211</x:v>
      </x:c>
      <x:c r="I1152" s="9" t="n">
        <x:f>SUM(SalesLines!N2816)</x:f>
        <x:v>42.2</x:v>
      </x:c>
      <x:c r="J1152" s="9" t="n">
        <x:f>SUM(SalesLines!P2816)</x:f>
        <x:v>0</x:v>
      </x:c>
      <x:c r="K1152" s="11" t="n">
        <x:f>SUM(SalesLines!R2816)</x:f>
        <x:v>1</x:v>
      </x:c>
      <x:c r="L1152" s="11" t="n">
        <x:f>SUM(SalesLines!S2816)</x:f>
        <x:v>0</x:v>
      </x:c>
      <x:c r="M1152" s="8" t="n">
        <x:f>DATE(YEAR(C1152),MONTH(C1152),1)</x:f>
        <x:v>45778</x:v>
      </x:c>
    </x:row>
    <x:row r="1153" ht="22" customHeight="1">
      <x:c r="A1153" s="2" t="str">
        <x:v>O01149</x:v>
      </x:c>
      <x:c r="B1153" s="2" t="str">
        <x:v>C0253</x:v>
      </x:c>
      <x:c r="C1153" s="7" t="n">
        <x:v>45943</x:v>
      </x:c>
      <x:c r="D1153" s="2" t="str">
        <x:v>Completed</x:v>
      </x:c>
      <x:c r="E1153" s="2" t="str">
        <x:v>North</x:v>
      </x:c>
      <x:c r="F1153" s="2" t="str">
        <x:v>Online</x:v>
      </x:c>
      <x:c r="G1153" s="9" t="n">
        <x:f>SUM(SalesLines!Q2817,SalesLines!Q2818,SalesLines!Q2819,SalesLines!Q2820)</x:f>
        <x:v>975.2</x:v>
      </x:c>
      <x:c r="H1153" s="9" t="n">
        <x:f>SUM(SalesLines!M2817,SalesLines!M2818,SalesLines!M2819,SalesLines!M2820)</x:f>
        <x:v>1088</x:v>
      </x:c>
      <x:c r="I1153" s="9" t="n">
        <x:f>SUM(SalesLines!N2817,SalesLines!N2818,SalesLines!N2819,SalesLines!N2820)</x:f>
        <x:v>112.80000000000001</x:v>
      </x:c>
      <x:c r="J1153" s="9" t="n">
        <x:f>SUM(SalesLines!P2817,SalesLines!P2818,SalesLines!P2819,SalesLines!P2820)</x:f>
        <x:v>0</x:v>
      </x:c>
      <x:c r="K1153" s="11" t="n">
        <x:f>SUM(SalesLines!R2817,SalesLines!R2818,SalesLines!R2819,SalesLines!R2820)</x:f>
        <x:v>10</x:v>
      </x:c>
      <x:c r="L1153" s="11" t="n">
        <x:f>SUM(SalesLines!S2817,SalesLines!S2818,SalesLines!S2819,SalesLines!S2820)</x:f>
        <x:v>0</x:v>
      </x:c>
      <x:c r="M1153" s="8" t="n">
        <x:f>DATE(YEAR(C1153),MONTH(C1153),1)</x:f>
        <x:v>45931</x:v>
      </x:c>
    </x:row>
    <x:row r="1154" ht="22" customHeight="1">
      <x:c r="A1154" s="2" t="str">
        <x:v>O01150</x:v>
      </x:c>
      <x:c r="B1154" s="2" t="str">
        <x:v>C0120</x:v>
      </x:c>
      <x:c r="C1154" s="7" t="n">
        <x:v>45830</x:v>
      </x:c>
      <x:c r="D1154" s="2" t="str">
        <x:v>Completed</x:v>
      </x:c>
      <x:c r="E1154" s="2" t="str">
        <x:v>South</x:v>
      </x:c>
      <x:c r="F1154" s="2" t="str">
        <x:v>Online</x:v>
      </x:c>
      <x:c r="G1154" s="9" t="n">
        <x:f>SUM(SalesLines!Q2821,SalesLines!Q2822)</x:f>
        <x:v>518.9</x:v>
      </x:c>
      <x:c r="H1154" s="9" t="n">
        <x:f>SUM(SalesLines!M2821,SalesLines!M2822)</x:f>
        <x:v>542</x:v>
      </x:c>
      <x:c r="I1154" s="9" t="n">
        <x:f>SUM(SalesLines!N2821,SalesLines!N2822)</x:f>
        <x:v>23.1</x:v>
      </x:c>
      <x:c r="J1154" s="9" t="n">
        <x:f>SUM(SalesLines!P2821,SalesLines!P2822)</x:f>
        <x:v>0</x:v>
      </x:c>
      <x:c r="K1154" s="11" t="n">
        <x:f>SUM(SalesLines!R2821,SalesLines!R2822)</x:f>
        <x:v>3</x:v>
      </x:c>
      <x:c r="L1154" s="11" t="n">
        <x:f>SUM(SalesLines!S2821,SalesLines!S2822)</x:f>
        <x:v>0</x:v>
      </x:c>
      <x:c r="M1154" s="8" t="n">
        <x:f>DATE(YEAR(C1154),MONTH(C1154),1)</x:f>
        <x:v>45809</x:v>
      </x:c>
    </x:row>
    <x:row r="1155" ht="22" customHeight="1">
      <x:c r="A1155" s="2" t="str">
        <x:v>O01151</x:v>
      </x:c>
      <x:c r="B1155" s="2" t="str">
        <x:v>C0155</x:v>
      </x:c>
      <x:c r="C1155" s="7" t="n">
        <x:v>46019</x:v>
      </x:c>
      <x:c r="D1155" s="2" t="str">
        <x:v>Completed</x:v>
      </x:c>
      <x:c r="E1155" s="2" t="str">
        <x:v>South</x:v>
      </x:c>
      <x:c r="F1155" s="2" t="str">
        <x:v>Online</x:v>
      </x:c>
      <x:c r="G1155" s="9" t="n">
        <x:f>SUM(SalesLines!Q2823,SalesLines!Q2824,SalesLines!Q2825,SalesLines!Q2826)</x:f>
        <x:v>1490.1</x:v>
      </x:c>
      <x:c r="H1155" s="9" t="n">
        <x:f>SUM(SalesLines!M2823,SalesLines!M2824,SalesLines!M2825,SalesLines!M2826)</x:f>
        <x:v>2283</x:v>
      </x:c>
      <x:c r="I1155" s="9" t="n">
        <x:f>SUM(SalesLines!N2823,SalesLines!N2824,SalesLines!N2825,SalesLines!N2826)</x:f>
        <x:v>244.60000000000002</x:v>
      </x:c>
      <x:c r="J1155" s="9" t="n">
        <x:f>SUM(SalesLines!P2823,SalesLines!P2824,SalesLines!P2825,SalesLines!P2826)</x:f>
        <x:v>548.3</x:v>
      </x:c>
      <x:c r="K1155" s="11" t="n">
        <x:f>SUM(SalesLines!R2823,SalesLines!R2824,SalesLines!R2825,SalesLines!R2826)</x:f>
        <x:v>9</x:v>
      </x:c>
      <x:c r="L1155" s="11" t="n">
        <x:f>SUM(SalesLines!S2823,SalesLines!S2824,SalesLines!S2825,SalesLines!S2826)</x:f>
        <x:v>2</x:v>
      </x:c>
      <x:c r="M1155" s="8" t="n">
        <x:f>DATE(YEAR(C1155),MONTH(C1155),1)</x:f>
        <x:v>45992</x:v>
      </x:c>
    </x:row>
    <x:row r="1156" ht="22" customHeight="1">
      <x:c r="A1156" s="2" t="str">
        <x:v>O01152</x:v>
      </x:c>
      <x:c r="B1156" s="2" t="str">
        <x:v>C0090</x:v>
      </x:c>
      <x:c r="C1156" s="7" t="n">
        <x:v>45949</x:v>
      </x:c>
      <x:c r="D1156" s="2" t="str">
        <x:v>Cancelled</x:v>
      </x:c>
      <x:c r="E1156" s="2" t="str">
        <x:v>West</x:v>
      </x:c>
      <x:c r="F1156" s="2" t="str">
        <x:v>Online</x:v>
      </x:c>
      <x:c r="G1156" s="9" t="n">
        <x:f>SUM(SalesLines!Q2827,SalesLines!Q2828)</x:f>
        <x:v>0</x:v>
      </x:c>
      <x:c r="H1156" s="9" t="n">
        <x:f>SUM(SalesLines!M2827,SalesLines!M2828)</x:f>
        <x:v>0</x:v>
      </x:c>
      <x:c r="I1156" s="9" t="n">
        <x:f>SUM(SalesLines!N2827,SalesLines!N2828)</x:f>
        <x:v>0</x:v>
      </x:c>
      <x:c r="J1156" s="9" t="n">
        <x:f>SUM(SalesLines!P2827,SalesLines!P2828)</x:f>
        <x:v>0</x:v>
      </x:c>
      <x:c r="K1156" s="11" t="n">
        <x:f>SUM(SalesLines!R2827,SalesLines!R2828)</x:f>
        <x:v>0</x:v>
      </x:c>
      <x:c r="L1156" s="11" t="n">
        <x:f>SUM(SalesLines!S2827,SalesLines!S2828)</x:f>
        <x:v>0</x:v>
      </x:c>
      <x:c r="M1156" s="8" t="n">
        <x:f>DATE(YEAR(C1156),MONTH(C1156),1)</x:f>
        <x:v>45931</x:v>
      </x:c>
    </x:row>
    <x:row r="1157" ht="22" customHeight="1">
      <x:c r="A1157" s="2" t="str">
        <x:v>O01153</x:v>
      </x:c>
      <x:c r="B1157" s="2" t="str">
        <x:v>C0239</x:v>
      </x:c>
      <x:c r="C1157" s="7" t="n">
        <x:v>45858</x:v>
      </x:c>
      <x:c r="D1157" s="2" t="str">
        <x:v>Completed</x:v>
      </x:c>
      <x:c r="E1157" s="2" t="str">
        <x:v>South</x:v>
      </x:c>
      <x:c r="F1157" s="2" t="str">
        <x:v>Store</x:v>
      </x:c>
      <x:c r="G1157" s="9" t="n">
        <x:f>SUM(SalesLines!Q2829,SalesLines!Q2830)</x:f>
        <x:v>732</x:v>
      </x:c>
      <x:c r="H1157" s="9" t="n">
        <x:f>SUM(SalesLines!M2829,SalesLines!M2830)</x:f>
        <x:v>865</x:v>
      </x:c>
      <x:c r="I1157" s="9" t="n">
        <x:f>SUM(SalesLines!N2829,SalesLines!N2830)</x:f>
        <x:v>133</x:v>
      </x:c>
      <x:c r="J1157" s="9" t="n">
        <x:f>SUM(SalesLines!P2829,SalesLines!P2830)</x:f>
        <x:v>0</x:v>
      </x:c>
      <x:c r="K1157" s="11" t="n">
        <x:f>SUM(SalesLines!R2829,SalesLines!R2830)</x:f>
        <x:v>10</x:v>
      </x:c>
      <x:c r="L1157" s="11" t="n">
        <x:f>SUM(SalesLines!S2829,SalesLines!S2830)</x:f>
        <x:v>0</x:v>
      </x:c>
      <x:c r="M1157" s="8" t="n">
        <x:f>DATE(YEAR(C1157),MONTH(C1157),1)</x:f>
        <x:v>45839</x:v>
      </x:c>
    </x:row>
    <x:row r="1158" ht="22" customHeight="1">
      <x:c r="A1158" s="2" t="str">
        <x:v>O01154</x:v>
      </x:c>
      <x:c r="B1158" s="2" t="str">
        <x:v>C0225</x:v>
      </x:c>
      <x:c r="C1158" s="7" t="n">
        <x:v>46000</x:v>
      </x:c>
      <x:c r="D1158" s="2" t="str">
        <x:v>Completed</x:v>
      </x:c>
      <x:c r="E1158" s="2" t="str">
        <x:v>North</x:v>
      </x:c>
      <x:c r="F1158" s="2" t="str">
        <x:v>Online</x:v>
      </x:c>
      <x:c r="G1158" s="9" t="n">
        <x:f>SUM(SalesLines!Q2831,SalesLines!Q2832)</x:f>
        <x:v>1657.5</x:v>
      </x:c>
      <x:c r="H1158" s="9" t="n">
        <x:f>SUM(SalesLines!M2831,SalesLines!M2832)</x:f>
        <x:v>1675</x:v>
      </x:c>
      <x:c r="I1158" s="9" t="n">
        <x:f>SUM(SalesLines!N2831,SalesLines!N2832)</x:f>
        <x:v>17.5</x:v>
      </x:c>
      <x:c r="J1158" s="9" t="n">
        <x:f>SUM(SalesLines!P2831,SalesLines!P2832)</x:f>
        <x:v>0</x:v>
      </x:c>
      <x:c r="K1158" s="11" t="n">
        <x:f>SUM(SalesLines!R2831,SalesLines!R2832)</x:f>
        <x:v>10</x:v>
      </x:c>
      <x:c r="L1158" s="11" t="n">
        <x:f>SUM(SalesLines!S2831,SalesLines!S2832)</x:f>
        <x:v>0</x:v>
      </x:c>
      <x:c r="M1158" s="8" t="n">
        <x:f>DATE(YEAR(C1158),MONTH(C1158),1)</x:f>
        <x:v>45992</x:v>
      </x:c>
    </x:row>
    <x:row r="1159" ht="22" customHeight="1">
      <x:c r="A1159" s="2" t="str">
        <x:v>O01155</x:v>
      </x:c>
      <x:c r="B1159" s="2" t="str">
        <x:v>C0197</x:v>
      </x:c>
      <x:c r="C1159" s="7" t="n">
        <x:v>45864</x:v>
      </x:c>
      <x:c r="D1159" s="2" t="str">
        <x:v>Completed</x:v>
      </x:c>
      <x:c r="E1159" s="2" t="str">
        <x:v>East</x:v>
      </x:c>
      <x:c r="F1159" s="2" t="str">
        <x:v>Online</x:v>
      </x:c>
      <x:c r="G1159" s="9" t="n">
        <x:f>SUM(SalesLines!Q2833,SalesLines!Q2834,SalesLines!Q2835)</x:f>
        <x:v>2174.2</x:v>
      </x:c>
      <x:c r="H1159" s="9" t="n">
        <x:f>SUM(SalesLines!M2833,SalesLines!M2834,SalesLines!M2835)</x:f>
        <x:v>2231</x:v>
      </x:c>
      <x:c r="I1159" s="9" t="n">
        <x:f>SUM(SalesLines!N2833,SalesLines!N2834,SalesLines!N2835)</x:f>
        <x:v>56.800000000000004</x:v>
      </x:c>
      <x:c r="J1159" s="9" t="n">
        <x:f>SUM(SalesLines!P2833,SalesLines!P2834,SalesLines!P2835)</x:f>
        <x:v>0</x:v>
      </x:c>
      <x:c r="K1159" s="11" t="n">
        <x:f>SUM(SalesLines!R2833,SalesLines!R2834,SalesLines!R2835)</x:f>
        <x:v>10</x:v>
      </x:c>
      <x:c r="L1159" s="11" t="n">
        <x:f>SUM(SalesLines!S2833,SalesLines!S2834,SalesLines!S2835)</x:f>
        <x:v>0</x:v>
      </x:c>
      <x:c r="M1159" s="8" t="n">
        <x:f>DATE(YEAR(C1159),MONTH(C1159),1)</x:f>
        <x:v>45839</x:v>
      </x:c>
    </x:row>
    <x:row r="1160" ht="22" customHeight="1">
      <x:c r="A1160" s="2" t="str">
        <x:v>O01156</x:v>
      </x:c>
      <x:c r="B1160" s="2" t="str">
        <x:v>C0081</x:v>
      </x:c>
      <x:c r="C1160" s="7" t="n">
        <x:v>45697</x:v>
      </x:c>
      <x:c r="D1160" s="2" t="str">
        <x:v>Completed</x:v>
      </x:c>
      <x:c r="E1160" s="2" t="str">
        <x:v>North</x:v>
      </x:c>
      <x:c r="F1160" s="2" t="str">
        <x:v>Store</x:v>
      </x:c>
      <x:c r="G1160" s="9" t="n">
        <x:f>SUM(SalesLines!Q2836,SalesLines!Q2837)</x:f>
        <x:v>874.35</x:v>
      </x:c>
      <x:c r="H1160" s="9" t="n">
        <x:f>SUM(SalesLines!M2836,SalesLines!M2837)</x:f>
        <x:v>933</x:v>
      </x:c>
      <x:c r="I1160" s="9" t="n">
        <x:f>SUM(SalesLines!N2836,SalesLines!N2837)</x:f>
        <x:v>58.65</x:v>
      </x:c>
      <x:c r="J1160" s="9" t="n">
        <x:f>SUM(SalesLines!P2836,SalesLines!P2837)</x:f>
        <x:v>0</x:v>
      </x:c>
      <x:c r="K1160" s="11" t="n">
        <x:f>SUM(SalesLines!R2836,SalesLines!R2837)</x:f>
        <x:v>6</x:v>
      </x:c>
      <x:c r="L1160" s="11" t="n">
        <x:f>SUM(SalesLines!S2836,SalesLines!S2837)</x:f>
        <x:v>0</x:v>
      </x:c>
      <x:c r="M1160" s="8" t="n">
        <x:f>DATE(YEAR(C1160),MONTH(C1160),1)</x:f>
        <x:v>45689</x:v>
      </x:c>
    </x:row>
    <x:row r="1161" ht="22" customHeight="1">
      <x:c r="A1161" s="2" t="str">
        <x:v>O01157</x:v>
      </x:c>
      <x:c r="B1161" s="2" t="str">
        <x:v>C0218</x:v>
      </x:c>
      <x:c r="C1161" s="7" t="n">
        <x:v>45893</x:v>
      </x:c>
      <x:c r="D1161" s="2" t="str">
        <x:v>Completed</x:v>
      </x:c>
      <x:c r="E1161" s="2" t="str">
        <x:v>East</x:v>
      </x:c>
      <x:c r="F1161" s="2" t="str">
        <x:v>Store</x:v>
      </x:c>
      <x:c r="G1161" s="9" t="n">
        <x:f>SUM(SalesLines!Q2838,SalesLines!Q2839)</x:f>
        <x:v>725.9</x:v>
      </x:c>
      <x:c r="H1161" s="9" t="n">
        <x:f>SUM(SalesLines!M2838,SalesLines!M2839)</x:f>
        <x:v>881</x:v>
      </x:c>
      <x:c r="I1161" s="9" t="n">
        <x:f>SUM(SalesLines!N2838,SalesLines!N2839)</x:f>
        <x:v>155.1</x:v>
      </x:c>
      <x:c r="J1161" s="9" t="n">
        <x:f>SUM(SalesLines!P2838,SalesLines!P2839)</x:f>
        <x:v>0</x:v>
      </x:c>
      <x:c r="K1161" s="11" t="n">
        <x:f>SUM(SalesLines!R2838,SalesLines!R2839)</x:f>
        <x:v>6</x:v>
      </x:c>
      <x:c r="L1161" s="11" t="n">
        <x:f>SUM(SalesLines!S2838,SalesLines!S2839)</x:f>
        <x:v>0</x:v>
      </x:c>
      <x:c r="M1161" s="8" t="n">
        <x:f>DATE(YEAR(C1161),MONTH(C1161),1)</x:f>
        <x:v>45870</x:v>
      </x:c>
    </x:row>
    <x:row r="1162" ht="22" customHeight="1">
      <x:c r="A1162" s="2" t="str">
        <x:v>O01158</x:v>
      </x:c>
      <x:c r="B1162" s="2" t="str">
        <x:v>C0120</x:v>
      </x:c>
      <x:c r="C1162" s="7" t="n">
        <x:v>45956</x:v>
      </x:c>
      <x:c r="D1162" s="2" t="str">
        <x:v>Completed</x:v>
      </x:c>
      <x:c r="E1162" s="2" t="str">
        <x:v>South</x:v>
      </x:c>
      <x:c r="F1162" s="2" t="str">
        <x:v>Online</x:v>
      </x:c>
      <x:c r="G1162" s="9" t="n">
        <x:f>SUM(SalesLines!Q2840)</x:f>
        <x:v>235.2</x:v>
      </x:c>
      <x:c r="H1162" s="9" t="n">
        <x:f>SUM(SalesLines!M2840)</x:f>
        <x:v>294</x:v>
      </x:c>
      <x:c r="I1162" s="9" t="n">
        <x:f>SUM(SalesLines!N2840)</x:f>
        <x:v>58.800000000000004</x:v>
      </x:c>
      <x:c r="J1162" s="9" t="n">
        <x:f>SUM(SalesLines!P2840)</x:f>
        <x:v>0</x:v>
      </x:c>
      <x:c r="K1162" s="11" t="n">
        <x:f>SUM(SalesLines!R2840)</x:f>
        <x:v>1</x:v>
      </x:c>
      <x:c r="L1162" s="11" t="n">
        <x:f>SUM(SalesLines!S2840)</x:f>
        <x:v>0</x:v>
      </x:c>
      <x:c r="M1162" s="8" t="n">
        <x:f>DATE(YEAR(C1162),MONTH(C1162),1)</x:f>
        <x:v>45931</x:v>
      </x:c>
    </x:row>
    <x:row r="1163" ht="22" customHeight="1">
      <x:c r="A1163" s="2" t="str">
        <x:v>O01159</x:v>
      </x:c>
      <x:c r="B1163" s="2" t="str">
        <x:v>C0044</x:v>
      </x:c>
      <x:c r="C1163" s="7" t="n">
        <x:v>45884</x:v>
      </x:c>
      <x:c r="D1163" s="2" t="str">
        <x:v>Completed</x:v>
      </x:c>
      <x:c r="E1163" s="2" t="str">
        <x:v>West</x:v>
      </x:c>
      <x:c r="F1163" s="2" t="str">
        <x:v>Online</x:v>
      </x:c>
      <x:c r="G1163" s="9" t="n">
        <x:f>SUM(SalesLines!Q2841,SalesLines!Q2842,SalesLines!Q2843,SalesLines!Q2844)</x:f>
        <x:v>1638.8</x:v>
      </x:c>
      <x:c r="H1163" s="9" t="n">
        <x:f>SUM(SalesLines!M2841,SalesLines!M2842,SalesLines!M2843,SalesLines!M2844)</x:f>
        <x:v>1940</x:v>
      </x:c>
      <x:c r="I1163" s="9" t="n">
        <x:f>SUM(SalesLines!N2841,SalesLines!N2842,SalesLines!N2843,SalesLines!N2844)</x:f>
        <x:v>105.20000000000002</x:v>
      </x:c>
      <x:c r="J1163" s="9" t="n">
        <x:f>SUM(SalesLines!P2841,SalesLines!P2842,SalesLines!P2843,SalesLines!P2844)</x:f>
        <x:v>196</x:v>
      </x:c>
      <x:c r="K1163" s="11" t="n">
        <x:f>SUM(SalesLines!R2841,SalesLines!R2842,SalesLines!R2843,SalesLines!R2844)</x:f>
        <x:v>12</x:v>
      </x:c>
      <x:c r="L1163" s="11" t="n">
        <x:f>SUM(SalesLines!S2841,SalesLines!S2842,SalesLines!S2843,SalesLines!S2844)</x:f>
        <x:v>1</x:v>
      </x:c>
      <x:c r="M1163" s="8" t="n">
        <x:f>DATE(YEAR(C1163),MONTH(C1163),1)</x:f>
        <x:v>45870</x:v>
      </x:c>
    </x:row>
    <x:row r="1164" ht="22" customHeight="1">
      <x:c r="A1164" s="2" t="str">
        <x:v>O01160</x:v>
      </x:c>
      <x:c r="B1164" s="2" t="str">
        <x:v>C0183</x:v>
      </x:c>
      <x:c r="C1164" s="7" t="n">
        <x:v>45835</x:v>
      </x:c>
      <x:c r="D1164" s="2" t="str">
        <x:v>Completed</x:v>
      </x:c>
      <x:c r="E1164" s="2" t="str">
        <x:v>East</x:v>
      </x:c>
      <x:c r="F1164" s="2" t="str">
        <x:v>Online</x:v>
      </x:c>
      <x:c r="G1164" s="9" t="n">
        <x:f>SUM(SalesLines!Q2845,SalesLines!Q2846,SalesLines!Q2847,SalesLines!Q2848)</x:f>
        <x:v>733.4499999999999</x:v>
      </x:c>
      <x:c r="H1164" s="9" t="n">
        <x:f>SUM(SalesLines!M2845,SalesLines!M2846,SalesLines!M2847,SalesLines!M2848)</x:f>
        <x:v>835</x:v>
      </x:c>
      <x:c r="I1164" s="9" t="n">
        <x:f>SUM(SalesLines!N2845,SalesLines!N2846,SalesLines!N2847,SalesLines!N2848)</x:f>
        <x:v>101.55000000000001</x:v>
      </x:c>
      <x:c r="J1164" s="9" t="n">
        <x:f>SUM(SalesLines!P2845,SalesLines!P2846,SalesLines!P2847,SalesLines!P2848)</x:f>
        <x:v>0</x:v>
      </x:c>
      <x:c r="K1164" s="11" t="n">
        <x:f>SUM(SalesLines!R2845,SalesLines!R2846,SalesLines!R2847,SalesLines!R2848)</x:f>
        <x:v>9</x:v>
      </x:c>
      <x:c r="L1164" s="11" t="n">
        <x:f>SUM(SalesLines!S2845,SalesLines!S2846,SalesLines!S2847,SalesLines!S2848)</x:f>
        <x:v>0</x:v>
      </x:c>
      <x:c r="M1164" s="8" t="n">
        <x:f>DATE(YEAR(C1164),MONTH(C1164),1)</x:f>
        <x:v>45809</x:v>
      </x:c>
    </x:row>
    <x:row r="1165" ht="22" customHeight="1">
      <x:c r="A1165" s="2" t="str">
        <x:v>O01161</x:v>
      </x:c>
      <x:c r="B1165" s="2" t="str">
        <x:v>C0224</x:v>
      </x:c>
      <x:c r="C1165" s="7" t="n">
        <x:v>45959</x:v>
      </x:c>
      <x:c r="D1165" s="2" t="str">
        <x:v>Completed</x:v>
      </x:c>
      <x:c r="E1165" s="2" t="str">
        <x:v>West</x:v>
      </x:c>
      <x:c r="F1165" s="2" t="str">
        <x:v>Online</x:v>
      </x:c>
      <x:c r="G1165" s="9" t="n">
        <x:f>SUM(SalesLines!Q2849,SalesLines!Q2850,SalesLines!Q2851)</x:f>
        <x:v>802.9</x:v>
      </x:c>
      <x:c r="H1165" s="9" t="n">
        <x:f>SUM(SalesLines!M2849,SalesLines!M2850,SalesLines!M2851)</x:f>
        <x:v>1087</x:v>
      </x:c>
      <x:c r="I1165" s="9" t="n">
        <x:f>SUM(SalesLines!N2849,SalesLines!N2850,SalesLines!N2851)</x:f>
        <x:v>94.2</x:v>
      </x:c>
      <x:c r="J1165" s="9" t="n">
        <x:f>SUM(SalesLines!P2849,SalesLines!P2850,SalesLines!P2851)</x:f>
        <x:v>189.9</x:v>
      </x:c>
      <x:c r="K1165" s="11" t="n">
        <x:f>SUM(SalesLines!R2849,SalesLines!R2850,SalesLines!R2851)</x:f>
        <x:v>11</x:v>
      </x:c>
      <x:c r="L1165" s="11" t="n">
        <x:f>SUM(SalesLines!S2849,SalesLines!S2850,SalesLines!S2851)</x:f>
        <x:v>1</x:v>
      </x:c>
      <x:c r="M1165" s="8" t="n">
        <x:f>DATE(YEAR(C1165),MONTH(C1165),1)</x:f>
        <x:v>45931</x:v>
      </x:c>
    </x:row>
    <x:row r="1166" ht="22" customHeight="1">
      <x:c r="A1166" s="2" t="str">
        <x:v>O01162</x:v>
      </x:c>
      <x:c r="B1166" s="2" t="str">
        <x:v>C0041</x:v>
      </x:c>
      <x:c r="C1166" s="7" t="n">
        <x:v>45778</x:v>
      </x:c>
      <x:c r="D1166" s="2" t="str">
        <x:v>Completed</x:v>
      </x:c>
      <x:c r="E1166" s="2" t="str">
        <x:v>West</x:v>
      </x:c>
      <x:c r="F1166" s="2" t="str">
        <x:v>Store</x:v>
      </x:c>
      <x:c r="G1166" s="9" t="n">
        <x:f>SUM(SalesLines!Q2852,SalesLines!Q2853,SalesLines!Q2854)</x:f>
        <x:v>1133.1</x:v>
      </x:c>
      <x:c r="H1166" s="9" t="n">
        <x:f>SUM(SalesLines!M2852,SalesLines!M2853,SalesLines!M2854)</x:f>
        <x:v>1335</x:v>
      </x:c>
      <x:c r="I1166" s="9" t="n">
        <x:f>SUM(SalesLines!N2852,SalesLines!N2853,SalesLines!N2854)</x:f>
        <x:v>201.9</x:v>
      </x:c>
      <x:c r="J1166" s="9" t="n">
        <x:f>SUM(SalesLines!P2852,SalesLines!P2853,SalesLines!P2854)</x:f>
        <x:v>0</x:v>
      </x:c>
      <x:c r="K1166" s="11" t="n">
        <x:f>SUM(SalesLines!R2852,SalesLines!R2853,SalesLines!R2854)</x:f>
        <x:v>9</x:v>
      </x:c>
      <x:c r="L1166" s="11" t="n">
        <x:f>SUM(SalesLines!S2852,SalesLines!S2853,SalesLines!S2854)</x:f>
        <x:v>0</x:v>
      </x:c>
      <x:c r="M1166" s="8" t="n">
        <x:f>DATE(YEAR(C1166),MONTH(C1166),1)</x:f>
        <x:v>45778</x:v>
      </x:c>
    </x:row>
    <x:row r="1167" ht="22" customHeight="1">
      <x:c r="A1167" s="2" t="str">
        <x:v>O01163</x:v>
      </x:c>
      <x:c r="B1167" s="2" t="str">
        <x:v>C0151</x:v>
      </x:c>
      <x:c r="C1167" s="7" t="n">
        <x:v>45851</x:v>
      </x:c>
      <x:c r="D1167" s="2" t="str">
        <x:v>Completed</x:v>
      </x:c>
      <x:c r="E1167" s="2" t="str">
        <x:v>South</x:v>
      </x:c>
      <x:c r="F1167" s="2" t="str">
        <x:v>Online</x:v>
      </x:c>
      <x:c r="G1167" s="9" t="n">
        <x:f>SUM(SalesLines!Q2855,SalesLines!Q2856)</x:f>
        <x:v>1492.5</x:v>
      </x:c>
      <x:c r="H1167" s="9" t="n">
        <x:f>SUM(SalesLines!M2855,SalesLines!M2856)</x:f>
        <x:v>1592</x:v>
      </x:c>
      <x:c r="I1167" s="9" t="n">
        <x:f>SUM(SalesLines!N2855,SalesLines!N2856)</x:f>
        <x:v>99.5</x:v>
      </x:c>
      <x:c r="J1167" s="9" t="n">
        <x:f>SUM(SalesLines!P2855,SalesLines!P2856)</x:f>
        <x:v>0</x:v>
      </x:c>
      <x:c r="K1167" s="11" t="n">
        <x:f>SUM(SalesLines!R2855,SalesLines!R2856)</x:f>
        <x:v>8</x:v>
      </x:c>
      <x:c r="L1167" s="11" t="n">
        <x:f>SUM(SalesLines!S2855,SalesLines!S2856)</x:f>
        <x:v>0</x:v>
      </x:c>
      <x:c r="M1167" s="8" t="n">
        <x:f>DATE(YEAR(C1167),MONTH(C1167),1)</x:f>
        <x:v>45839</x:v>
      </x:c>
    </x:row>
    <x:row r="1168" ht="22" customHeight="1">
      <x:c r="A1168" s="2" t="str">
        <x:v>O01164</x:v>
      </x:c>
      <x:c r="B1168" s="2" t="str">
        <x:v>C0215</x:v>
      </x:c>
      <x:c r="C1168" s="7" t="n">
        <x:v>45850</x:v>
      </x:c>
      <x:c r="D1168" s="2" t="str">
        <x:v>Completed</x:v>
      </x:c>
      <x:c r="E1168" s="2" t="str">
        <x:v>North</x:v>
      </x:c>
      <x:c r="F1168" s="2" t="str">
        <x:v>Store</x:v>
      </x:c>
      <x:c r="G1168" s="9" t="n">
        <x:f>SUM(SalesLines!Q2857,SalesLines!Q2858)</x:f>
        <x:v>1087.2</x:v>
      </x:c>
      <x:c r="H1168" s="9" t="n">
        <x:f>SUM(SalesLines!M2857,SalesLines!M2858)</x:f>
        <x:v>1128</x:v>
      </x:c>
      <x:c r="I1168" s="9" t="n">
        <x:f>SUM(SalesLines!N2857,SalesLines!N2858)</x:f>
        <x:v>40.800000000000004</x:v>
      </x:c>
      <x:c r="J1168" s="9" t="n">
        <x:f>SUM(SalesLines!P2857,SalesLines!P2858)</x:f>
        <x:v>0</x:v>
      </x:c>
      <x:c r="K1168" s="11" t="n">
        <x:f>SUM(SalesLines!R2857,SalesLines!R2858)</x:f>
        <x:v>7</x:v>
      </x:c>
      <x:c r="L1168" s="11" t="n">
        <x:f>SUM(SalesLines!S2857,SalesLines!S2858)</x:f>
        <x:v>0</x:v>
      </x:c>
      <x:c r="M1168" s="8" t="n">
        <x:f>DATE(YEAR(C1168),MONTH(C1168),1)</x:f>
        <x:v>45839</x:v>
      </x:c>
    </x:row>
    <x:row r="1169" ht="22" customHeight="1">
      <x:c r="A1169" s="2" t="str">
        <x:v>O01165</x:v>
      </x:c>
      <x:c r="B1169" s="2" t="str">
        <x:v>C0081</x:v>
      </x:c>
      <x:c r="C1169" s="7" t="n">
        <x:v>45962</x:v>
      </x:c>
      <x:c r="D1169" s="2" t="str">
        <x:v>Completed</x:v>
      </x:c>
      <x:c r="E1169" s="2" t="str">
        <x:v>North</x:v>
      </x:c>
      <x:c r="F1169" s="2" t="str">
        <x:v>Store</x:v>
      </x:c>
      <x:c r="G1169" s="9" t="n">
        <x:f>SUM(SalesLines!Q2859,SalesLines!Q2860,SalesLines!Q2861,SalesLines!Q2862)</x:f>
        <x:v>2817.05</x:v>
      </x:c>
      <x:c r="H1169" s="9" t="n">
        <x:f>SUM(SalesLines!M2859,SalesLines!M2860,SalesLines!M2861,SalesLines!M2862)</x:f>
        <x:v>3014</x:v>
      </x:c>
      <x:c r="I1169" s="9" t="n">
        <x:f>SUM(SalesLines!N2859,SalesLines!N2860,SalesLines!N2861,SalesLines!N2862)</x:f>
        <x:v>196.95000000000002</x:v>
      </x:c>
      <x:c r="J1169" s="9" t="n">
        <x:f>SUM(SalesLines!P2859,SalesLines!P2860,SalesLines!P2861,SalesLines!P2862)</x:f>
        <x:v>0</x:v>
      </x:c>
      <x:c r="K1169" s="11" t="n">
        <x:f>SUM(SalesLines!R2859,SalesLines!R2860,SalesLines!R2861,SalesLines!R2862)</x:f>
        <x:v>12</x:v>
      </x:c>
      <x:c r="L1169" s="11" t="n">
        <x:f>SUM(SalesLines!S2859,SalesLines!S2860,SalesLines!S2861,SalesLines!S2862)</x:f>
        <x:v>0</x:v>
      </x:c>
      <x:c r="M1169" s="8" t="n">
        <x:f>DATE(YEAR(C1169),MONTH(C1169),1)</x:f>
        <x:v>45962</x:v>
      </x:c>
    </x:row>
    <x:row r="1170" ht="22" customHeight="1">
      <x:c r="A1170" s="2" t="str">
        <x:v>O01166</x:v>
      </x:c>
      <x:c r="B1170" s="2" t="str">
        <x:v>C0120</x:v>
      </x:c>
      <x:c r="C1170" s="7" t="n">
        <x:v>45955</x:v>
      </x:c>
      <x:c r="D1170" s="2" t="str">
        <x:v>Completed</x:v>
      </x:c>
      <x:c r="E1170" s="2" t="str">
        <x:v>South</x:v>
      </x:c>
      <x:c r="F1170" s="2" t="str">
        <x:v>Online</x:v>
      </x:c>
      <x:c r="G1170" s="9" t="n">
        <x:f>SUM(SalesLines!Q2863)</x:f>
        <x:v>243.9</x:v>
      </x:c>
      <x:c r="H1170" s="9" t="n">
        <x:f>SUM(SalesLines!M2863)</x:f>
        <x:v>271</x:v>
      </x:c>
      <x:c r="I1170" s="9" t="n">
        <x:f>SUM(SalesLines!N2863)</x:f>
        <x:v>27.1</x:v>
      </x:c>
      <x:c r="J1170" s="9" t="n">
        <x:f>SUM(SalesLines!P2863)</x:f>
        <x:v>0</x:v>
      </x:c>
      <x:c r="K1170" s="11" t="n">
        <x:f>SUM(SalesLines!R2863)</x:f>
        <x:v>1</x:v>
      </x:c>
      <x:c r="L1170" s="11" t="n">
        <x:f>SUM(SalesLines!S2863)</x:f>
        <x:v>0</x:v>
      </x:c>
      <x:c r="M1170" s="8" t="n">
        <x:f>DATE(YEAR(C1170),MONTH(C1170),1)</x:f>
        <x:v>45931</x:v>
      </x:c>
    </x:row>
    <x:row r="1171" ht="22" customHeight="1">
      <x:c r="A1171" s="2" t="str">
        <x:v>O01167</x:v>
      </x:c>
      <x:c r="B1171" s="2" t="str">
        <x:v>C0222</x:v>
      </x:c>
      <x:c r="C1171" s="7" t="n">
        <x:v>46000</x:v>
      </x:c>
      <x:c r="D1171" s="2" t="str">
        <x:v>Completed</x:v>
      </x:c>
      <x:c r="E1171" s="2" t="str">
        <x:v>East</x:v>
      </x:c>
      <x:c r="F1171" s="2" t="str">
        <x:v>Store</x:v>
      </x:c>
      <x:c r="G1171" s="9" t="n">
        <x:f>SUM(SalesLines!Q2864,SalesLines!Q2865)</x:f>
        <x:v>1029</x:v>
      </x:c>
      <x:c r="H1171" s="9" t="n">
        <x:f>SUM(SalesLines!M2864,SalesLines!M2865)</x:f>
        <x:v>1029</x:v>
      </x:c>
      <x:c r="I1171" s="9" t="n">
        <x:f>SUM(SalesLines!N2864,SalesLines!N2865)</x:f>
        <x:v>0</x:v>
      </x:c>
      <x:c r="J1171" s="9" t="n">
        <x:f>SUM(SalesLines!P2864,SalesLines!P2865)</x:f>
        <x:v>0</x:v>
      </x:c>
      <x:c r="K1171" s="11" t="n">
        <x:f>SUM(SalesLines!R2864,SalesLines!R2865)</x:f>
        <x:v>8</x:v>
      </x:c>
      <x:c r="L1171" s="11" t="n">
        <x:f>SUM(SalesLines!S2864,SalesLines!S2865)</x:f>
        <x:v>0</x:v>
      </x:c>
      <x:c r="M1171" s="8" t="n">
        <x:f>DATE(YEAR(C1171),MONTH(C1171),1)</x:f>
        <x:v>45992</x:v>
      </x:c>
    </x:row>
    <x:row r="1172" ht="22" customHeight="1">
      <x:c r="A1172" s="2" t="str">
        <x:v>O01168</x:v>
      </x:c>
      <x:c r="B1172" s="2" t="str">
        <x:v>C0178</x:v>
      </x:c>
      <x:c r="C1172" s="7" t="n">
        <x:v>45950</x:v>
      </x:c>
      <x:c r="D1172" s="2" t="str">
        <x:v>Completed</x:v>
      </x:c>
      <x:c r="E1172" s="2" t="str">
        <x:v>East</x:v>
      </x:c>
      <x:c r="F1172" s="2" t="str">
        <x:v>Online</x:v>
      </x:c>
      <x:c r="G1172" s="9" t="n">
        <x:f>SUM(SalesLines!Q2866,SalesLines!Q2867)</x:f>
        <x:v>883.3</x:v>
      </x:c>
      <x:c r="H1172" s="9" t="n">
        <x:f>SUM(SalesLines!M2866,SalesLines!M2867)</x:f>
        <x:v>958</x:v>
      </x:c>
      <x:c r="I1172" s="9" t="n">
        <x:f>SUM(SalesLines!N2866,SalesLines!N2867)</x:f>
        <x:v>74.7</x:v>
      </x:c>
      <x:c r="J1172" s="9" t="n">
        <x:f>SUM(SalesLines!P2866,SalesLines!P2867)</x:f>
        <x:v>0</x:v>
      </x:c>
      <x:c r="K1172" s="11" t="n">
        <x:f>SUM(SalesLines!R2866,SalesLines!R2867)</x:f>
        <x:v>6</x:v>
      </x:c>
      <x:c r="L1172" s="11" t="n">
        <x:f>SUM(SalesLines!S2866,SalesLines!S2867)</x:f>
        <x:v>0</x:v>
      </x:c>
      <x:c r="M1172" s="8" t="n">
        <x:f>DATE(YEAR(C1172),MONTH(C1172),1)</x:f>
        <x:v>45931</x:v>
      </x:c>
    </x:row>
    <x:row r="1173" ht="22" customHeight="1">
      <x:c r="A1173" s="2" t="str">
        <x:v>O01169</x:v>
      </x:c>
      <x:c r="B1173" s="2" t="str">
        <x:v>C0150</x:v>
      </x:c>
      <x:c r="C1173" s="7" t="n">
        <x:v>45968</x:v>
      </x:c>
      <x:c r="D1173" s="2" t="str">
        <x:v>Completed</x:v>
      </x:c>
      <x:c r="E1173" s="2" t="str">
        <x:v>West</x:v>
      </x:c>
      <x:c r="F1173" s="2" t="str">
        <x:v>Online</x:v>
      </x:c>
      <x:c r="G1173" s="9" t="n">
        <x:f>SUM(SalesLines!Q2868,SalesLines!Q2869,SalesLines!Q2870,SalesLines!Q2871)</x:f>
        <x:v>1760.2</x:v>
      </x:c>
      <x:c r="H1173" s="9" t="n">
        <x:f>SUM(SalesLines!M2868,SalesLines!M2869,SalesLines!M2870,SalesLines!M2871)</x:f>
        <x:v>1931</x:v>
      </x:c>
      <x:c r="I1173" s="9" t="n">
        <x:f>SUM(SalesLines!N2868,SalesLines!N2869,SalesLines!N2870,SalesLines!N2871)</x:f>
        <x:v>170.8</x:v>
      </x:c>
      <x:c r="J1173" s="9" t="n">
        <x:f>SUM(SalesLines!P2868,SalesLines!P2869,SalesLines!P2870,SalesLines!P2871)</x:f>
        <x:v>0</x:v>
      </x:c>
      <x:c r="K1173" s="11" t="n">
        <x:f>SUM(SalesLines!R2868,SalesLines!R2869,SalesLines!R2870,SalesLines!R2871)</x:f>
        <x:v>10</x:v>
      </x:c>
      <x:c r="L1173" s="11" t="n">
        <x:f>SUM(SalesLines!S2868,SalesLines!S2869,SalesLines!S2870,SalesLines!S2871)</x:f>
        <x:v>0</x:v>
      </x:c>
      <x:c r="M1173" s="8" t="n">
        <x:f>DATE(YEAR(C1173),MONTH(C1173),1)</x:f>
        <x:v>45962</x:v>
      </x:c>
    </x:row>
    <x:row r="1174" ht="22" customHeight="1">
      <x:c r="A1174" s="2" t="str">
        <x:v>O01170</x:v>
      </x:c>
      <x:c r="B1174" s="2" t="str">
        <x:v>C0076</x:v>
      </x:c>
      <x:c r="C1174" s="7" t="n">
        <x:v>45724</x:v>
      </x:c>
      <x:c r="D1174" s="2" t="str">
        <x:v>Cancelled</x:v>
      </x:c>
      <x:c r="E1174" s="2" t="str">
        <x:v>East</x:v>
      </x:c>
      <x:c r="F1174" s="2" t="str">
        <x:v>Store</x:v>
      </x:c>
      <x:c r="G1174" s="9" t="n">
        <x:f>SUM(SalesLines!Q2872,SalesLines!Q2873)</x:f>
        <x:v>0</x:v>
      </x:c>
      <x:c r="H1174" s="9" t="n">
        <x:f>SUM(SalesLines!M2872,SalesLines!M2873)</x:f>
        <x:v>0</x:v>
      </x:c>
      <x:c r="I1174" s="9" t="n">
        <x:f>SUM(SalesLines!N2872,SalesLines!N2873)</x:f>
        <x:v>0</x:v>
      </x:c>
      <x:c r="J1174" s="9" t="n">
        <x:f>SUM(SalesLines!P2872,SalesLines!P2873)</x:f>
        <x:v>0</x:v>
      </x:c>
      <x:c r="K1174" s="11" t="n">
        <x:f>SUM(SalesLines!R2872,SalesLines!R2873)</x:f>
        <x:v>0</x:v>
      </x:c>
      <x:c r="L1174" s="11" t="n">
        <x:f>SUM(SalesLines!S2872,SalesLines!S2873)</x:f>
        <x:v>0</x:v>
      </x:c>
      <x:c r="M1174" s="8" t="n">
        <x:f>DATE(YEAR(C1174),MONTH(C1174),1)</x:f>
        <x:v>45717</x:v>
      </x:c>
    </x:row>
    <x:row r="1175" ht="22" customHeight="1">
      <x:c r="A1175" s="2" t="str">
        <x:v>O01171</x:v>
      </x:c>
      <x:c r="B1175" s="2" t="str">
        <x:v>C0176</x:v>
      </x:c>
      <x:c r="C1175" s="7" t="n">
        <x:v>45761</x:v>
      </x:c>
      <x:c r="D1175" s="2" t="str">
        <x:v>Completed</x:v>
      </x:c>
      <x:c r="E1175" s="2" t="str">
        <x:v>North</x:v>
      </x:c>
      <x:c r="F1175" s="2" t="str">
        <x:v>Store</x:v>
      </x:c>
      <x:c r="G1175" s="9" t="n">
        <x:f>SUM(SalesLines!Q2874,SalesLines!Q2875,SalesLines!Q2876,SalesLines!Q2877)</x:f>
        <x:v>2439.9</x:v>
      </x:c>
      <x:c r="H1175" s="9" t="n">
        <x:f>SUM(SalesLines!M2874,SalesLines!M2875,SalesLines!M2876,SalesLines!M2877)</x:f>
        <x:v>2552</x:v>
      </x:c>
      <x:c r="I1175" s="9" t="n">
        <x:f>SUM(SalesLines!N2874,SalesLines!N2875,SalesLines!N2876,SalesLines!N2877)</x:f>
        <x:v>112.10000000000001</x:v>
      </x:c>
      <x:c r="J1175" s="9" t="n">
        <x:f>SUM(SalesLines!P2874,SalesLines!P2875,SalesLines!P2876,SalesLines!P2877)</x:f>
        <x:v>0</x:v>
      </x:c>
      <x:c r="K1175" s="11" t="n">
        <x:f>SUM(SalesLines!R2874,SalesLines!R2875,SalesLines!R2876,SalesLines!R2877)</x:f>
        <x:v>14</x:v>
      </x:c>
      <x:c r="L1175" s="11" t="n">
        <x:f>SUM(SalesLines!S2874,SalesLines!S2875,SalesLines!S2876,SalesLines!S2877)</x:f>
        <x:v>0</x:v>
      </x:c>
      <x:c r="M1175" s="8" t="n">
        <x:f>DATE(YEAR(C1175),MONTH(C1175),1)</x:f>
        <x:v>45748</x:v>
      </x:c>
    </x:row>
    <x:row r="1176" ht="22" customHeight="1">
      <x:c r="A1176" s="2" t="str">
        <x:v>O01172</x:v>
      </x:c>
      <x:c r="B1176" s="2" t="str">
        <x:v>C0116</x:v>
      </x:c>
      <x:c r="C1176" s="7" t="n">
        <x:v>45891</x:v>
      </x:c>
      <x:c r="D1176" s="2" t="str">
        <x:v>Completed</x:v>
      </x:c>
      <x:c r="E1176" s="2" t="str">
        <x:v>West</x:v>
      </x:c>
      <x:c r="F1176" s="2" t="str">
        <x:v>Online</x:v>
      </x:c>
      <x:c r="G1176" s="9" t="n">
        <x:f>SUM(SalesLines!Q2878,SalesLines!Q2879,SalesLines!Q2880)</x:f>
        <x:v>1638.3999999999999</x:v>
      </x:c>
      <x:c r="H1176" s="9" t="n">
        <x:f>SUM(SalesLines!M2878,SalesLines!M2879,SalesLines!M2880)</x:f>
        <x:v>2048</x:v>
      </x:c>
      <x:c r="I1176" s="9" t="n">
        <x:f>SUM(SalesLines!N2878,SalesLines!N2879,SalesLines!N2880)</x:f>
        <x:v>409.6</x:v>
      </x:c>
      <x:c r="J1176" s="9" t="n">
        <x:f>SUM(SalesLines!P2878,SalesLines!P2879,SalesLines!P2880)</x:f>
        <x:v>0</x:v>
      </x:c>
      <x:c r="K1176" s="11" t="n">
        <x:f>SUM(SalesLines!R2878,SalesLines!R2879,SalesLines!R2880)</x:f>
        <x:v>9</x:v>
      </x:c>
      <x:c r="L1176" s="11" t="n">
        <x:f>SUM(SalesLines!S2878,SalesLines!S2879,SalesLines!S2880)</x:f>
        <x:v>0</x:v>
      </x:c>
      <x:c r="M1176" s="8" t="n">
        <x:f>DATE(YEAR(C1176),MONTH(C1176),1)</x:f>
        <x:v>45870</x:v>
      </x:c>
    </x:row>
    <x:row r="1177" ht="22" customHeight="1">
      <x:c r="A1177" s="2" t="str">
        <x:v>O01173</x:v>
      </x:c>
      <x:c r="B1177" s="2" t="str">
        <x:v>C0023</x:v>
      </x:c>
      <x:c r="C1177" s="7" t="n">
        <x:v>45931</x:v>
      </x:c>
      <x:c r="D1177" s="2" t="str">
        <x:v>Completed</x:v>
      </x:c>
      <x:c r="E1177" s="2" t="str">
        <x:v>South</x:v>
      </x:c>
      <x:c r="F1177" s="2" t="str">
        <x:v>Online</x:v>
      </x:c>
      <x:c r="G1177" s="9" t="n">
        <x:f>SUM(SalesLines!Q2881,SalesLines!Q2882)</x:f>
        <x:v>1841.6</x:v>
      </x:c>
      <x:c r="H1177" s="9" t="n">
        <x:f>SUM(SalesLines!M2881,SalesLines!M2882)</x:f>
        <x:v>2302</x:v>
      </x:c>
      <x:c r="I1177" s="9" t="n">
        <x:f>SUM(SalesLines!N2881,SalesLines!N2882)</x:f>
        <x:v>460.4</x:v>
      </x:c>
      <x:c r="J1177" s="9" t="n">
        <x:f>SUM(SalesLines!P2881,SalesLines!P2882)</x:f>
        <x:v>0</x:v>
      </x:c>
      <x:c r="K1177" s="11" t="n">
        <x:f>SUM(SalesLines!R2881,SalesLines!R2882)</x:f>
        <x:v>8</x:v>
      </x:c>
      <x:c r="L1177" s="11" t="n">
        <x:f>SUM(SalesLines!S2881,SalesLines!S2882)</x:f>
        <x:v>0</x:v>
      </x:c>
      <x:c r="M1177" s="8" t="n">
        <x:f>DATE(YEAR(C1177),MONTH(C1177),1)</x:f>
        <x:v>45931</x:v>
      </x:c>
    </x:row>
    <x:row r="1178" ht="22" customHeight="1">
      <x:c r="A1178" s="2" t="str">
        <x:v>O01174</x:v>
      </x:c>
      <x:c r="B1178" s="2" t="str">
        <x:v>C0219</x:v>
      </x:c>
      <x:c r="C1178" s="7" t="n">
        <x:v>45881</x:v>
      </x:c>
      <x:c r="D1178" s="2" t="str">
        <x:v>Completed</x:v>
      </x:c>
      <x:c r="E1178" s="2" t="str">
        <x:v>East</x:v>
      </x:c>
      <x:c r="F1178" s="2" t="str">
        <x:v>Store</x:v>
      </x:c>
      <x:c r="G1178" s="9" t="n">
        <x:f>SUM(SalesLines!Q2883)</x:f>
        <x:v>529.2</x:v>
      </x:c>
      <x:c r="H1178" s="9" t="n">
        <x:f>SUM(SalesLines!M2883)</x:f>
        <x:v>588</x:v>
      </x:c>
      <x:c r="I1178" s="9" t="n">
        <x:f>SUM(SalesLines!N2883)</x:f>
        <x:v>58.800000000000004</x:v>
      </x:c>
      <x:c r="J1178" s="9" t="n">
        <x:f>SUM(SalesLines!P2883)</x:f>
        <x:v>0</x:v>
      </x:c>
      <x:c r="K1178" s="11" t="n">
        <x:f>SUM(SalesLines!R2883)</x:f>
        <x:v>2</x:v>
      </x:c>
      <x:c r="L1178" s="11" t="n">
        <x:f>SUM(SalesLines!S2883)</x:f>
        <x:v>0</x:v>
      </x:c>
      <x:c r="M1178" s="8" t="n">
        <x:f>DATE(YEAR(C1178),MONTH(C1178),1)</x:f>
        <x:v>45870</x:v>
      </x:c>
    </x:row>
    <x:row r="1179" ht="22" customHeight="1">
      <x:c r="A1179" s="2" t="str">
        <x:v>O01175</x:v>
      </x:c>
      <x:c r="B1179" s="2" t="str">
        <x:v>C0291</x:v>
      </x:c>
      <x:c r="C1179" s="7" t="n">
        <x:v>45780</x:v>
      </x:c>
      <x:c r="D1179" s="2" t="str">
        <x:v>Completed</x:v>
      </x:c>
      <x:c r="E1179" s="2" t="str">
        <x:v>North</x:v>
      </x:c>
      <x:c r="F1179" s="2" t="str">
        <x:v>Store</x:v>
      </x:c>
      <x:c r="G1179" s="9" t="n">
        <x:f>SUM(SalesLines!Q2884,SalesLines!Q2885)</x:f>
        <x:v>1362</x:v>
      </x:c>
      <x:c r="H1179" s="9" t="n">
        <x:f>SUM(SalesLines!M2884,SalesLines!M2885)</x:f>
        <x:v>1362</x:v>
      </x:c>
      <x:c r="I1179" s="9" t="n">
        <x:f>SUM(SalesLines!N2884,SalesLines!N2885)</x:f>
        <x:v>0</x:v>
      </x:c>
      <x:c r="J1179" s="9" t="n">
        <x:f>SUM(SalesLines!P2884,SalesLines!P2885)</x:f>
        <x:v>0</x:v>
      </x:c>
      <x:c r="K1179" s="11" t="n">
        <x:f>SUM(SalesLines!R2884,SalesLines!R2885)</x:f>
        <x:v>7</x:v>
      </x:c>
      <x:c r="L1179" s="11" t="n">
        <x:f>SUM(SalesLines!S2884,SalesLines!S2885)</x:f>
        <x:v>0</x:v>
      </x:c>
      <x:c r="M1179" s="8" t="n">
        <x:f>DATE(YEAR(C1179),MONTH(C1179),1)</x:f>
        <x:v>45778</x:v>
      </x:c>
    </x:row>
    <x:row r="1180" ht="22" customHeight="1">
      <x:c r="A1180" s="2" t="str">
        <x:v>O01176</x:v>
      </x:c>
      <x:c r="B1180" s="2" t="str">
        <x:v>C0122</x:v>
      </x:c>
      <x:c r="C1180" s="7" t="n">
        <x:v>45874</x:v>
      </x:c>
      <x:c r="D1180" s="2" t="str">
        <x:v>Completed</x:v>
      </x:c>
      <x:c r="E1180" s="2" t="str">
        <x:v>North</x:v>
      </x:c>
      <x:c r="F1180" s="2" t="str">
        <x:v>Store</x:v>
      </x:c>
      <x:c r="G1180" s="9" t="n">
        <x:f>SUM(SalesLines!Q2886,SalesLines!Q2887,SalesLines!Q2888)</x:f>
        <x:v>1288.2</x:v>
      </x:c>
      <x:c r="H1180" s="9" t="n">
        <x:f>SUM(SalesLines!M2886,SalesLines!M2887,SalesLines!M2888)</x:f>
        <x:v>1457</x:v>
      </x:c>
      <x:c r="I1180" s="9" t="n">
        <x:f>SUM(SalesLines!N2886,SalesLines!N2887,SalesLines!N2888)</x:f>
        <x:v>168.8</x:v>
      </x:c>
      <x:c r="J1180" s="9" t="n">
        <x:f>SUM(SalesLines!P2886,SalesLines!P2887,SalesLines!P2888)</x:f>
        <x:v>0</x:v>
      </x:c>
      <x:c r="K1180" s="11" t="n">
        <x:f>SUM(SalesLines!R2886,SalesLines!R2887,SalesLines!R2888)</x:f>
        <x:v>9</x:v>
      </x:c>
      <x:c r="L1180" s="11" t="n">
        <x:f>SUM(SalesLines!S2886,SalesLines!S2887,SalesLines!S2888)</x:f>
        <x:v>0</x:v>
      </x:c>
      <x:c r="M1180" s="8" t="n">
        <x:f>DATE(YEAR(C1180),MONTH(C1180),1)</x:f>
        <x:v>45870</x:v>
      </x:c>
    </x:row>
    <x:row r="1181" ht="22" customHeight="1">
      <x:c r="A1181" s="2" t="str">
        <x:v>O01177</x:v>
      </x:c>
      <x:c r="B1181" s="2" t="str">
        <x:v>C0015</x:v>
      </x:c>
      <x:c r="C1181" s="7" t="n">
        <x:v>45893</x:v>
      </x:c>
      <x:c r="D1181" s="2" t="str">
        <x:v>Completed</x:v>
      </x:c>
      <x:c r="E1181" s="2" t="str">
        <x:v>West</x:v>
      </x:c>
      <x:c r="F1181" s="2" t="str">
        <x:v>Online</x:v>
      </x:c>
      <x:c r="G1181" s="9" t="n">
        <x:f>SUM(SalesLines!Q2889,SalesLines!Q2890)</x:f>
        <x:v>1029.8</x:v>
      </x:c>
      <x:c r="H1181" s="9" t="n">
        <x:f>SUM(SalesLines!M2889,SalesLines!M2890)</x:f>
        <x:v>1333</x:v>
      </x:c>
      <x:c r="I1181" s="9" t="n">
        <x:f>SUM(SalesLines!N2889,SalesLines!N2890)</x:f>
        <x:v>104</x:v>
      </x:c>
      <x:c r="J1181" s="9" t="n">
        <x:f>SUM(SalesLines!P2889,SalesLines!P2890)</x:f>
        <x:v>199.20000000000002</x:v>
      </x:c>
      <x:c r="K1181" s="11" t="n">
        <x:f>SUM(SalesLines!R2889,SalesLines!R2890)</x:f>
        <x:v>5</x:v>
      </x:c>
      <x:c r="L1181" s="11" t="n">
        <x:f>SUM(SalesLines!S2889,SalesLines!S2890)</x:f>
        <x:v>1</x:v>
      </x:c>
      <x:c r="M1181" s="8" t="n">
        <x:f>DATE(YEAR(C1181),MONTH(C1181),1)</x:f>
        <x:v>45870</x:v>
      </x:c>
    </x:row>
    <x:row r="1182" ht="22" customHeight="1">
      <x:c r="A1182" s="2" t="str">
        <x:v>O01178</x:v>
      </x:c>
      <x:c r="B1182" s="2" t="str">
        <x:v>C0013</x:v>
      </x:c>
      <x:c r="C1182" s="7" t="n">
        <x:v>45943</x:v>
      </x:c>
      <x:c r="D1182" s="2" t="str">
        <x:v>Completed</x:v>
      </x:c>
      <x:c r="E1182" s="2" t="str">
        <x:v>West</x:v>
      </x:c>
      <x:c r="F1182" s="2" t="str">
        <x:v>Store</x:v>
      </x:c>
      <x:c r="G1182" s="9" t="n">
        <x:f>SUM(SalesLines!Q2891,SalesLines!Q2892,SalesLines!Q2893)</x:f>
        <x:v>464.1</x:v>
      </x:c>
      <x:c r="H1182" s="9" t="n">
        <x:f>SUM(SalesLines!M2891,SalesLines!M2892,SalesLines!M2893)</x:f>
        <x:v>499</x:v>
      </x:c>
      <x:c r="I1182" s="9" t="n">
        <x:f>SUM(SalesLines!N2891,SalesLines!N2892,SalesLines!N2893)</x:f>
        <x:v>34.9</x:v>
      </x:c>
      <x:c r="J1182" s="9" t="n">
        <x:f>SUM(SalesLines!P2891,SalesLines!P2892,SalesLines!P2893)</x:f>
        <x:v>0</x:v>
      </x:c>
      <x:c r="K1182" s="11" t="n">
        <x:f>SUM(SalesLines!R2891,SalesLines!R2892,SalesLines!R2893)</x:f>
        <x:v>3</x:v>
      </x:c>
      <x:c r="L1182" s="11" t="n">
        <x:f>SUM(SalesLines!S2891,SalesLines!S2892,SalesLines!S2893)</x:f>
        <x:v>0</x:v>
      </x:c>
      <x:c r="M1182" s="8" t="n">
        <x:f>DATE(YEAR(C1182),MONTH(C1182),1)</x:f>
        <x:v>45931</x:v>
      </x:c>
    </x:row>
    <x:row r="1183" ht="22" customHeight="1">
      <x:c r="A1183" s="2" t="str">
        <x:v>O01179</x:v>
      </x:c>
      <x:c r="B1183" s="2" t="str">
        <x:v>C0252</x:v>
      </x:c>
      <x:c r="C1183" s="7" t="n">
        <x:v>45765</x:v>
      </x:c>
      <x:c r="D1183" s="2" t="str">
        <x:v>Completed</x:v>
      </x:c>
      <x:c r="E1183" s="2" t="str">
        <x:v>West</x:v>
      </x:c>
      <x:c r="F1183" s="2" t="str">
        <x:v>Online</x:v>
      </x:c>
      <x:c r="G1183" s="9" t="n">
        <x:f>SUM(SalesLines!Q2894,SalesLines!Q2895,SalesLines!Q2896,SalesLines!Q2897)</x:f>
        <x:v>1591</x:v>
      </x:c>
      <x:c r="H1183" s="9" t="n">
        <x:f>SUM(SalesLines!M2894,SalesLines!M2895,SalesLines!M2896,SalesLines!M2897)</x:f>
        <x:v>1737</x:v>
      </x:c>
      <x:c r="I1183" s="9" t="n">
        <x:f>SUM(SalesLines!N2894,SalesLines!N2895,SalesLines!N2896,SalesLines!N2897)</x:f>
        <x:v>146</x:v>
      </x:c>
      <x:c r="J1183" s="9" t="n">
        <x:f>SUM(SalesLines!P2894,SalesLines!P2895,SalesLines!P2896,SalesLines!P2897)</x:f>
        <x:v>0</x:v>
      </x:c>
      <x:c r="K1183" s="11" t="n">
        <x:f>SUM(SalesLines!R2894,SalesLines!R2895,SalesLines!R2896,SalesLines!R2897)</x:f>
        <x:v>8</x:v>
      </x:c>
      <x:c r="L1183" s="11" t="n">
        <x:f>SUM(SalesLines!S2894,SalesLines!S2895,SalesLines!S2896,SalesLines!S2897)</x:f>
        <x:v>0</x:v>
      </x:c>
      <x:c r="M1183" s="8" t="n">
        <x:f>DATE(YEAR(C1183),MONTH(C1183),1)</x:f>
        <x:v>45748</x:v>
      </x:c>
    </x:row>
    <x:row r="1184" ht="22" customHeight="1">
      <x:c r="A1184" s="2" t="str">
        <x:v>O01180</x:v>
      </x:c>
      <x:c r="B1184" s="2" t="str">
        <x:v>C0009</x:v>
      </x:c>
      <x:c r="C1184" s="7" t="n">
        <x:v>45839</x:v>
      </x:c>
      <x:c r="D1184" s="2" t="str">
        <x:v>Completed</x:v>
      </x:c>
      <x:c r="E1184" s="2" t="str">
        <x:v>South</x:v>
      </x:c>
      <x:c r="F1184" s="2" t="str">
        <x:v>Store</x:v>
      </x:c>
      <x:c r="G1184" s="9" t="n">
        <x:f>SUM(SalesLines!Q2898)</x:f>
        <x:v>463.6</x:v>
      </x:c>
      <x:c r="H1184" s="9" t="n">
        <x:f>SUM(SalesLines!M2898)</x:f>
        <x:v>488</x:v>
      </x:c>
      <x:c r="I1184" s="9" t="n">
        <x:f>SUM(SalesLines!N2898)</x:f>
        <x:v>24.400000000000002</x:v>
      </x:c>
      <x:c r="J1184" s="9" t="n">
        <x:f>SUM(SalesLines!P2898)</x:f>
        <x:v>0</x:v>
      </x:c>
      <x:c r="K1184" s="11" t="n">
        <x:f>SUM(SalesLines!R2898)</x:f>
        <x:v>4</x:v>
      </x:c>
      <x:c r="L1184" s="11" t="n">
        <x:f>SUM(SalesLines!S2898)</x:f>
        <x:v>0</x:v>
      </x:c>
      <x:c r="M1184" s="8" t="n">
        <x:f>DATE(YEAR(C1184),MONTH(C1184),1)</x:f>
        <x:v>45839</x:v>
      </x:c>
    </x:row>
    <x:row r="1185" ht="22" customHeight="1">
      <x:c r="A1185" s="2" t="str">
        <x:v>O01181</x:v>
      </x:c>
      <x:c r="B1185" s="2" t="str">
        <x:v>C0148</x:v>
      </x:c>
      <x:c r="C1185" s="7" t="n">
        <x:v>45998</x:v>
      </x:c>
      <x:c r="D1185" s="2" t="str">
        <x:v>Completed</x:v>
      </x:c>
      <x:c r="E1185" s="2" t="str">
        <x:v>East</x:v>
      </x:c>
      <x:c r="F1185" s="2" t="str">
        <x:v>Online</x:v>
      </x:c>
      <x:c r="G1185" s="9" t="n">
        <x:f>SUM(SalesLines!Q2899,SalesLines!Q2900)</x:f>
        <x:v>1831</x:v>
      </x:c>
      <x:c r="H1185" s="9" t="n">
        <x:f>SUM(SalesLines!M2899,SalesLines!M2900)</x:f>
        <x:v>1880</x:v>
      </x:c>
      <x:c r="I1185" s="9" t="n">
        <x:f>SUM(SalesLines!N2899,SalesLines!N2900)</x:f>
        <x:v>49</x:v>
      </x:c>
      <x:c r="J1185" s="9" t="n">
        <x:f>SUM(SalesLines!P2899,SalesLines!P2900)</x:f>
        <x:v>0</x:v>
      </x:c>
      <x:c r="K1185" s="11" t="n">
        <x:f>SUM(SalesLines!R2899,SalesLines!R2900)</x:f>
        <x:v>8</x:v>
      </x:c>
      <x:c r="L1185" s="11" t="n">
        <x:f>SUM(SalesLines!S2899,SalesLines!S2900)</x:f>
        <x:v>0</x:v>
      </x:c>
      <x:c r="M1185" s="8" t="n">
        <x:f>DATE(YEAR(C1185),MONTH(C1185),1)</x:f>
        <x:v>45992</x:v>
      </x:c>
    </x:row>
    <x:row r="1186" ht="22" customHeight="1">
      <x:c r="A1186" s="2" t="str">
        <x:v>O01182</x:v>
      </x:c>
      <x:c r="B1186" s="2" t="str">
        <x:v>C0216</x:v>
      </x:c>
      <x:c r="C1186" s="7" t="n">
        <x:v>45874</x:v>
      </x:c>
      <x:c r="D1186" s="2" t="str">
        <x:v>Completed</x:v>
      </x:c>
      <x:c r="E1186" s="2" t="str">
        <x:v>North</x:v>
      </x:c>
      <x:c r="F1186" s="2" t="str">
        <x:v>Online</x:v>
      </x:c>
      <x:c r="G1186" s="9" t="n">
        <x:f>SUM(SalesLines!Q2901,SalesLines!Q2902)</x:f>
        <x:v>700.2</x:v>
      </x:c>
      <x:c r="H1186" s="9" t="n">
        <x:f>SUM(SalesLines!M2901,SalesLines!M2902)</x:f>
        <x:v>778</x:v>
      </x:c>
      <x:c r="I1186" s="9" t="n">
        <x:f>SUM(SalesLines!N2901,SalesLines!N2902)</x:f>
        <x:v>77.80000000000001</x:v>
      </x:c>
      <x:c r="J1186" s="9" t="n">
        <x:f>SUM(SalesLines!P2901,SalesLines!P2902)</x:f>
        <x:v>0</x:v>
      </x:c>
      <x:c r="K1186" s="11" t="n">
        <x:f>SUM(SalesLines!R2901,SalesLines!R2902)</x:f>
        <x:v>7</x:v>
      </x:c>
      <x:c r="L1186" s="11" t="n">
        <x:f>SUM(SalesLines!S2901,SalesLines!S2902)</x:f>
        <x:v>0</x:v>
      </x:c>
      <x:c r="M1186" s="8" t="n">
        <x:f>DATE(YEAR(C1186),MONTH(C1186),1)</x:f>
        <x:v>45870</x:v>
      </x:c>
    </x:row>
    <x:row r="1187" ht="22" customHeight="1">
      <x:c r="A1187" s="2" t="str">
        <x:v>O01183</x:v>
      </x:c>
      <x:c r="B1187" s="2" t="str">
        <x:v>C0182</x:v>
      </x:c>
      <x:c r="C1187" s="7" t="n">
        <x:v>45953</x:v>
      </x:c>
      <x:c r="D1187" s="2" t="str">
        <x:v>Completed</x:v>
      </x:c>
      <x:c r="E1187" s="2" t="str">
        <x:v>West</x:v>
      </x:c>
      <x:c r="F1187" s="2" t="str">
        <x:v>Store</x:v>
      </x:c>
      <x:c r="G1187" s="9" t="n">
        <x:f>SUM(SalesLines!Q2903,SalesLines!Q2904,SalesLines!Q2905,SalesLines!Q2906)</x:f>
        <x:v>1381.35</x:v>
      </x:c>
      <x:c r="H1187" s="9" t="n">
        <x:f>SUM(SalesLines!M2903,SalesLines!M2904,SalesLines!M2905,SalesLines!M2906)</x:f>
        <x:v>1518</x:v>
      </x:c>
      <x:c r="I1187" s="9" t="n">
        <x:f>SUM(SalesLines!N2903,SalesLines!N2904,SalesLines!N2905,SalesLines!N2906)</x:f>
        <x:v>136.65</x:v>
      </x:c>
      <x:c r="J1187" s="9" t="n">
        <x:f>SUM(SalesLines!P2903,SalesLines!P2904,SalesLines!P2905,SalesLines!P2906)</x:f>
        <x:v>0</x:v>
      </x:c>
      <x:c r="K1187" s="11" t="n">
        <x:f>SUM(SalesLines!R2903,SalesLines!R2904,SalesLines!R2905,SalesLines!R2906)</x:f>
        <x:v>14</x:v>
      </x:c>
      <x:c r="L1187" s="11" t="n">
        <x:f>SUM(SalesLines!S2903,SalesLines!S2904,SalesLines!S2905,SalesLines!S2906)</x:f>
        <x:v>0</x:v>
      </x:c>
      <x:c r="M1187" s="8" t="n">
        <x:f>DATE(YEAR(C1187),MONTH(C1187),1)</x:f>
        <x:v>45931</x:v>
      </x:c>
    </x:row>
    <x:row r="1188" ht="22" customHeight="1">
      <x:c r="A1188" s="2" t="str">
        <x:v>O01184</x:v>
      </x:c>
      <x:c r="B1188" s="2" t="str">
        <x:v>C0106</x:v>
      </x:c>
      <x:c r="C1188" s="7" t="n">
        <x:v>45895</x:v>
      </x:c>
      <x:c r="D1188" s="2" t="str">
        <x:v>Completed</x:v>
      </x:c>
      <x:c r="E1188" s="2" t="str">
        <x:v>East</x:v>
      </x:c>
      <x:c r="F1188" s="2" t="str">
        <x:v>Store</x:v>
      </x:c>
      <x:c r="G1188" s="9" t="n">
        <x:f>SUM(SalesLines!Q2907,SalesLines!Q2908,SalesLines!Q2909,SalesLines!Q2910)</x:f>
        <x:v>1440</x:v>
      </x:c>
      <x:c r="H1188" s="9" t="n">
        <x:f>SUM(SalesLines!M2907,SalesLines!M2908,SalesLines!M2909,SalesLines!M2910)</x:f>
        <x:v>1976</x:v>
      </x:c>
      <x:c r="I1188" s="9" t="n">
        <x:f>SUM(SalesLines!N2907,SalesLines!N2908,SalesLines!N2909,SalesLines!N2910)</x:f>
        <x:v>68</x:v>
      </x:c>
      <x:c r="J1188" s="9" t="n">
        <x:f>SUM(SalesLines!P2907,SalesLines!P2908,SalesLines!P2909,SalesLines!P2910)</x:f>
        <x:v>468</x:v>
      </x:c>
      <x:c r="K1188" s="11" t="n">
        <x:f>SUM(SalesLines!R2907,SalesLines!R2908,SalesLines!R2909,SalesLines!R2910)</x:f>
        <x:v>16</x:v>
      </x:c>
      <x:c r="L1188" s="11" t="n">
        <x:f>SUM(SalesLines!S2907,SalesLines!S2908,SalesLines!S2909,SalesLines!S2910)</x:f>
        <x:v>6</x:v>
      </x:c>
      <x:c r="M1188" s="8" t="n">
        <x:f>DATE(YEAR(C1188),MONTH(C1188),1)</x:f>
        <x:v>45870</x:v>
      </x:c>
    </x:row>
    <x:row r="1189" ht="22" customHeight="1">
      <x:c r="A1189" s="2" t="str">
        <x:v>O01185</x:v>
      </x:c>
      <x:c r="B1189" s="2" t="str">
        <x:v>C0094</x:v>
      </x:c>
      <x:c r="C1189" s="7" t="n">
        <x:v>45958</x:v>
      </x:c>
      <x:c r="D1189" s="2" t="str">
        <x:v>Completed</x:v>
      </x:c>
      <x:c r="E1189" s="2" t="str">
        <x:v>West</x:v>
      </x:c>
      <x:c r="F1189" s="2" t="str">
        <x:v>Online</x:v>
      </x:c>
      <x:c r="G1189" s="9" t="n">
        <x:f>SUM(SalesLines!Q2911,SalesLines!Q2912,SalesLines!Q2913)</x:f>
        <x:v>1085.8</x:v>
      </x:c>
      <x:c r="H1189" s="9" t="n">
        <x:f>SUM(SalesLines!M2911,SalesLines!M2912,SalesLines!M2913)</x:f>
        <x:v>1284</x:v>
      </x:c>
      <x:c r="I1189" s="9" t="n">
        <x:f>SUM(SalesLines!N2911,SalesLines!N2912,SalesLines!N2913)</x:f>
        <x:v>76.2</x:v>
      </x:c>
      <x:c r="J1189" s="9" t="n">
        <x:f>SUM(SalesLines!P2911,SalesLines!P2912,SalesLines!P2913)</x:f>
        <x:v>122</x:v>
      </x:c>
      <x:c r="K1189" s="11" t="n">
        <x:f>SUM(SalesLines!R2911,SalesLines!R2912,SalesLines!R2913)</x:f>
        <x:v>9</x:v>
      </x:c>
      <x:c r="L1189" s="11" t="n">
        <x:f>SUM(SalesLines!S2911,SalesLines!S2912,SalesLines!S2913)</x:f>
        <x:v>1</x:v>
      </x:c>
      <x:c r="M1189" s="8" t="n">
        <x:f>DATE(YEAR(C1189),MONTH(C1189),1)</x:f>
        <x:v>45931</x:v>
      </x:c>
    </x:row>
    <x:row r="1190" ht="22" customHeight="1">
      <x:c r="A1190" s="2" t="str">
        <x:v>O01186</x:v>
      </x:c>
      <x:c r="B1190" s="2" t="str">
        <x:v>C0236</x:v>
      </x:c>
      <x:c r="C1190" s="7" t="n">
        <x:v>45821</x:v>
      </x:c>
      <x:c r="D1190" s="2" t="str">
        <x:v>Completed</x:v>
      </x:c>
      <x:c r="E1190" s="2" t="str">
        <x:v>West</x:v>
      </x:c>
      <x:c r="F1190" s="2" t="str">
        <x:v>Store</x:v>
      </x:c>
      <x:c r="G1190" s="9" t="n">
        <x:f>SUM(SalesLines!Q2914,SalesLines!Q2915,SalesLines!Q2916,SalesLines!Q2917)</x:f>
        <x:v>2500.2</x:v>
      </x:c>
      <x:c r="H1190" s="9" t="n">
        <x:f>SUM(SalesLines!M2914,SalesLines!M2915,SalesLines!M2916,SalesLines!M2917)</x:f>
        <x:v>2674</x:v>
      </x:c>
      <x:c r="I1190" s="9" t="n">
        <x:f>SUM(SalesLines!N2914,SalesLines!N2915,SalesLines!N2916,SalesLines!N2917)</x:f>
        <x:v>173.8</x:v>
      </x:c>
      <x:c r="J1190" s="9" t="n">
        <x:f>SUM(SalesLines!P2914,SalesLines!P2915,SalesLines!P2916,SalesLines!P2917)</x:f>
        <x:v>0</x:v>
      </x:c>
      <x:c r="K1190" s="11" t="n">
        <x:f>SUM(SalesLines!R2914,SalesLines!R2915,SalesLines!R2916,SalesLines!R2917)</x:f>
        <x:v>14</x:v>
      </x:c>
      <x:c r="L1190" s="11" t="n">
        <x:f>SUM(SalesLines!S2914,SalesLines!S2915,SalesLines!S2916,SalesLines!S2917)</x:f>
        <x:v>0</x:v>
      </x:c>
      <x:c r="M1190" s="8" t="n">
        <x:f>DATE(YEAR(C1190),MONTH(C1190),1)</x:f>
        <x:v>45809</x:v>
      </x:c>
    </x:row>
    <x:row r="1191" ht="22" customHeight="1">
      <x:c r="A1191" s="2" t="str">
        <x:v>O01187</x:v>
      </x:c>
      <x:c r="B1191" s="2" t="str">
        <x:v>C0292</x:v>
      </x:c>
      <x:c r="C1191" s="7" t="n">
        <x:v>45817</x:v>
      </x:c>
      <x:c r="D1191" s="2" t="str">
        <x:v>Completed</x:v>
      </x:c>
      <x:c r="E1191" s="2" t="str">
        <x:v>East</x:v>
      </x:c>
      <x:c r="F1191" s="2" t="str">
        <x:v>Store</x:v>
      </x:c>
      <x:c r="G1191" s="9" t="n">
        <x:f>SUM(SalesLines!Q2918)</x:f>
        <x:v>1425</x:v>
      </x:c>
      <x:c r="H1191" s="9" t="n">
        <x:f>SUM(SalesLines!M2918)</x:f>
        <x:v>1500</x:v>
      </x:c>
      <x:c r="I1191" s="9" t="n">
        <x:f>SUM(SalesLines!N2918)</x:f>
        <x:v>75</x:v>
      </x:c>
      <x:c r="J1191" s="9" t="n">
        <x:f>SUM(SalesLines!P2918)</x:f>
        <x:v>0</x:v>
      </x:c>
      <x:c r="K1191" s="11" t="n">
        <x:f>SUM(SalesLines!R2918)</x:f>
        <x:v>5</x:v>
      </x:c>
      <x:c r="L1191" s="11" t="n">
        <x:f>SUM(SalesLines!S2918)</x:f>
        <x:v>0</x:v>
      </x:c>
      <x:c r="M1191" s="8" t="n">
        <x:f>DATE(YEAR(C1191),MONTH(C1191),1)</x:f>
        <x:v>45809</x:v>
      </x:c>
    </x:row>
    <x:row r="1192" ht="22" customHeight="1">
      <x:c r="A1192" s="2" t="str">
        <x:v>O01188</x:v>
      </x:c>
      <x:c r="B1192" s="2" t="str">
        <x:v>C0088</x:v>
      </x:c>
      <x:c r="C1192" s="7" t="n">
        <x:v>45917</x:v>
      </x:c>
      <x:c r="D1192" s="2" t="str">
        <x:v>Completed</x:v>
      </x:c>
      <x:c r="E1192" s="2" t="str">
        <x:v>West</x:v>
      </x:c>
      <x:c r="F1192" s="2" t="str">
        <x:v>Store</x:v>
      </x:c>
      <x:c r="G1192" s="9" t="n">
        <x:f>SUM(SalesLines!Q2919,SalesLines!Q2920,SalesLines!Q2921)</x:f>
        <x:v>2169.6</x:v>
      </x:c>
      <x:c r="H1192" s="9" t="n">
        <x:f>SUM(SalesLines!M2919,SalesLines!M2920,SalesLines!M2921)</x:f>
        <x:v>2458</x:v>
      </x:c>
      <x:c r="I1192" s="9" t="n">
        <x:f>SUM(SalesLines!N2919,SalesLines!N2920,SalesLines!N2921)</x:f>
        <x:v>288.4</x:v>
      </x:c>
      <x:c r="J1192" s="9" t="n">
        <x:f>SUM(SalesLines!P2919,SalesLines!P2920,SalesLines!P2921)</x:f>
        <x:v>0</x:v>
      </x:c>
      <x:c r="K1192" s="11" t="n">
        <x:f>SUM(SalesLines!R2919,SalesLines!R2920,SalesLines!R2921)</x:f>
        <x:v>11</x:v>
      </x:c>
      <x:c r="L1192" s="11" t="n">
        <x:f>SUM(SalesLines!S2919,SalesLines!S2920,SalesLines!S2921)</x:f>
        <x:v>0</x:v>
      </x:c>
      <x:c r="M1192" s="8" t="n">
        <x:f>DATE(YEAR(C1192),MONTH(C1192),1)</x:f>
        <x:v>45901</x:v>
      </x:c>
    </x:row>
    <x:row r="1193" ht="22" customHeight="1">
      <x:c r="A1193" s="2" t="str">
        <x:v>O01189</x:v>
      </x:c>
      <x:c r="B1193" s="2" t="str">
        <x:v>C0146</x:v>
      </x:c>
      <x:c r="C1193" s="7" t="n">
        <x:v>45690</x:v>
      </x:c>
      <x:c r="D1193" s="2" t="str">
        <x:v>Completed</x:v>
      </x:c>
      <x:c r="E1193" s="2" t="str">
        <x:v>South</x:v>
      </x:c>
      <x:c r="F1193" s="2" t="str">
        <x:v>Online</x:v>
      </x:c>
      <x:c r="G1193" s="9" t="n">
        <x:f>SUM(SalesLines!Q2922)</x:f>
        <x:v>1143</x:v>
      </x:c>
      <x:c r="H1193" s="9" t="n">
        <x:f>SUM(SalesLines!M2922)</x:f>
        <x:v>1270</x:v>
      </x:c>
      <x:c r="I1193" s="9" t="n">
        <x:f>SUM(SalesLines!N2922)</x:f>
        <x:v>127</x:v>
      </x:c>
      <x:c r="J1193" s="9" t="n">
        <x:f>SUM(SalesLines!P2922)</x:f>
        <x:v>0</x:v>
      </x:c>
      <x:c r="K1193" s="11" t="n">
        <x:f>SUM(SalesLines!R2922)</x:f>
        <x:v>5</x:v>
      </x:c>
      <x:c r="L1193" s="11" t="n">
        <x:f>SUM(SalesLines!S2922)</x:f>
        <x:v>0</x:v>
      </x:c>
      <x:c r="M1193" s="8" t="n">
        <x:f>DATE(YEAR(C1193),MONTH(C1193),1)</x:f>
        <x:v>45689</x:v>
      </x:c>
    </x:row>
    <x:row r="1194" ht="22" customHeight="1">
      <x:c r="A1194" s="2" t="str">
        <x:v>O01190</x:v>
      </x:c>
      <x:c r="B1194" s="2" t="str">
        <x:v>C0188</x:v>
      </x:c>
      <x:c r="C1194" s="7" t="n">
        <x:v>45750</x:v>
      </x:c>
      <x:c r="D1194" s="2" t="str">
        <x:v>Completed</x:v>
      </x:c>
      <x:c r="E1194" s="2" t="str">
        <x:v>South</x:v>
      </x:c>
      <x:c r="F1194" s="2" t="str">
        <x:v>Online</x:v>
      </x:c>
      <x:c r="G1194" s="9" t="n">
        <x:f>SUM(SalesLines!Q2923)</x:f>
        <x:v>372.4</x:v>
      </x:c>
      <x:c r="H1194" s="9" t="n">
        <x:f>SUM(SalesLines!M2923)</x:f>
        <x:v>392</x:v>
      </x:c>
      <x:c r="I1194" s="9" t="n">
        <x:f>SUM(SalesLines!N2923)</x:f>
        <x:v>19.6</x:v>
      </x:c>
      <x:c r="J1194" s="9" t="n">
        <x:f>SUM(SalesLines!P2923)</x:f>
        <x:v>0</x:v>
      </x:c>
      <x:c r="K1194" s="11" t="n">
        <x:f>SUM(SalesLines!R2923)</x:f>
        <x:v>2</x:v>
      </x:c>
      <x:c r="L1194" s="11" t="n">
        <x:f>SUM(SalesLines!S2923)</x:f>
        <x:v>0</x:v>
      </x:c>
      <x:c r="M1194" s="8" t="n">
        <x:f>DATE(YEAR(C1194),MONTH(C1194),1)</x:f>
        <x:v>45748</x:v>
      </x:c>
    </x:row>
    <x:row r="1195" ht="22" customHeight="1">
      <x:c r="A1195" s="2" t="str">
        <x:v>O01191</x:v>
      </x:c>
      <x:c r="B1195" s="2" t="str">
        <x:v>C0176</x:v>
      </x:c>
      <x:c r="C1195" s="7" t="n">
        <x:v>45986</x:v>
      </x:c>
      <x:c r="D1195" s="2" t="str">
        <x:v>Completed</x:v>
      </x:c>
      <x:c r="E1195" s="2" t="str">
        <x:v>North</x:v>
      </x:c>
      <x:c r="F1195" s="2" t="str">
        <x:v>Online</x:v>
      </x:c>
      <x:c r="G1195" s="9" t="n">
        <x:f>SUM(SalesLines!Q2924,SalesLines!Q2925,SalesLines!Q2926)</x:f>
        <x:v>1666.05</x:v>
      </x:c>
      <x:c r="H1195" s="9" t="n">
        <x:f>SUM(SalesLines!M2924,SalesLines!M2925,SalesLines!M2926)</x:f>
        <x:v>1773</x:v>
      </x:c>
      <x:c r="I1195" s="9" t="n">
        <x:f>SUM(SalesLines!N2924,SalesLines!N2925,SalesLines!N2926)</x:f>
        <x:v>106.95</x:v>
      </x:c>
      <x:c r="J1195" s="9" t="n">
        <x:f>SUM(SalesLines!P2924,SalesLines!P2925,SalesLines!P2926)</x:f>
        <x:v>0</x:v>
      </x:c>
      <x:c r="K1195" s="11" t="n">
        <x:f>SUM(SalesLines!R2924,SalesLines!R2925,SalesLines!R2926)</x:f>
        <x:v>7</x:v>
      </x:c>
      <x:c r="L1195" s="11" t="n">
        <x:f>SUM(SalesLines!S2924,SalesLines!S2925,SalesLines!S2926)</x:f>
        <x:v>0</x:v>
      </x:c>
      <x:c r="M1195" s="8" t="n">
        <x:f>DATE(YEAR(C1195),MONTH(C1195),1)</x:f>
        <x:v>45962</x:v>
      </x:c>
    </x:row>
    <x:row r="1196" ht="22" customHeight="1">
      <x:c r="A1196" s="2" t="str">
        <x:v>O01192</x:v>
      </x:c>
      <x:c r="B1196" s="2" t="str">
        <x:v>C0260</x:v>
      </x:c>
      <x:c r="C1196" s="7" t="n">
        <x:v>45895</x:v>
      </x:c>
      <x:c r="D1196" s="2" t="str">
        <x:v>Completed</x:v>
      </x:c>
      <x:c r="E1196" s="2" t="str">
        <x:v>South</x:v>
      </x:c>
      <x:c r="F1196" s="2" t="str">
        <x:v>Online</x:v>
      </x:c>
      <x:c r="G1196" s="9" t="n">
        <x:f>SUM(SalesLines!Q2927,SalesLines!Q2928)</x:f>
        <x:v>902.8</x:v>
      </x:c>
      <x:c r="H1196" s="9" t="n">
        <x:f>SUM(SalesLines!M2927,SalesLines!M2928)</x:f>
        <x:v>1028</x:v>
      </x:c>
      <x:c r="I1196" s="9" t="n">
        <x:f>SUM(SalesLines!N2927,SalesLines!N2928)</x:f>
        <x:v>125.2</x:v>
      </x:c>
      <x:c r="J1196" s="9" t="n">
        <x:f>SUM(SalesLines!P2927,SalesLines!P2928)</x:f>
        <x:v>0</x:v>
      </x:c>
      <x:c r="K1196" s="11" t="n">
        <x:f>SUM(SalesLines!R2927,SalesLines!R2928)</x:f>
        <x:v>8</x:v>
      </x:c>
      <x:c r="L1196" s="11" t="n">
        <x:f>SUM(SalesLines!S2927,SalesLines!S2928)</x:f>
        <x:v>0</x:v>
      </x:c>
      <x:c r="M1196" s="8" t="n">
        <x:f>DATE(YEAR(C1196),MONTH(C1196),1)</x:f>
        <x:v>45870</x:v>
      </x:c>
    </x:row>
    <x:row r="1197" ht="22" customHeight="1">
      <x:c r="A1197" s="2" t="str">
        <x:v>O01193</x:v>
      </x:c>
      <x:c r="B1197" s="2" t="str">
        <x:v>C0158</x:v>
      </x:c>
      <x:c r="C1197" s="7" t="n">
        <x:v>45876</x:v>
      </x:c>
      <x:c r="D1197" s="2" t="str">
        <x:v>Completed</x:v>
      </x:c>
      <x:c r="E1197" s="2" t="str">
        <x:v>East</x:v>
      </x:c>
      <x:c r="F1197" s="2" t="str">
        <x:v>Online</x:v>
      </x:c>
      <x:c r="G1197" s="9" t="n">
        <x:f>SUM(SalesLines!Q2929)</x:f>
        <x:v>448.2</x:v>
      </x:c>
      <x:c r="H1197" s="9" t="n">
        <x:f>SUM(SalesLines!M2929)</x:f>
        <x:v>498</x:v>
      </x:c>
      <x:c r="I1197" s="9" t="n">
        <x:f>SUM(SalesLines!N2929)</x:f>
        <x:v>49.800000000000004</x:v>
      </x:c>
      <x:c r="J1197" s="9" t="n">
        <x:f>SUM(SalesLines!P2929)</x:f>
        <x:v>0</x:v>
      </x:c>
      <x:c r="K1197" s="11" t="n">
        <x:f>SUM(SalesLines!R2929)</x:f>
        <x:v>2</x:v>
      </x:c>
      <x:c r="L1197" s="11" t="n">
        <x:f>SUM(SalesLines!S2929)</x:f>
        <x:v>0</x:v>
      </x:c>
      <x:c r="M1197" s="8" t="n">
        <x:f>DATE(YEAR(C1197),MONTH(C1197),1)</x:f>
        <x:v>45870</x:v>
      </x:c>
    </x:row>
    <x:row r="1198" ht="22" customHeight="1">
      <x:c r="A1198" s="2" t="str">
        <x:v>O01194</x:v>
      </x:c>
      <x:c r="B1198" s="2" t="str">
        <x:v>C0119</x:v>
      </x:c>
      <x:c r="C1198" s="7" t="n">
        <x:v>45967</x:v>
      </x:c>
      <x:c r="D1198" s="2" t="str">
        <x:v>Completed</x:v>
      </x:c>
      <x:c r="E1198" s="2" t="str">
        <x:v>North</x:v>
      </x:c>
      <x:c r="F1198" s="2" t="str">
        <x:v>Online</x:v>
      </x:c>
      <x:c r="G1198" s="9" t="n">
        <x:f>SUM(SalesLines!Q2930)</x:f>
        <x:v>176.7</x:v>
      </x:c>
      <x:c r="H1198" s="9" t="n">
        <x:f>SUM(SalesLines!M2930)</x:f>
        <x:v>186</x:v>
      </x:c>
      <x:c r="I1198" s="9" t="n">
        <x:f>SUM(SalesLines!N2930)</x:f>
        <x:v>9.3</x:v>
      </x:c>
      <x:c r="J1198" s="9" t="n">
        <x:f>SUM(SalesLines!P2930)</x:f>
        <x:v>0</x:v>
      </x:c>
      <x:c r="K1198" s="11" t="n">
        <x:f>SUM(SalesLines!R2930)</x:f>
        <x:v>2</x:v>
      </x:c>
      <x:c r="L1198" s="11" t="n">
        <x:f>SUM(SalesLines!S2930)</x:f>
        <x:v>0</x:v>
      </x:c>
      <x:c r="M1198" s="8" t="n">
        <x:f>DATE(YEAR(C1198),MONTH(C1198),1)</x:f>
        <x:v>45962</x:v>
      </x:c>
    </x:row>
    <x:row r="1199" ht="22" customHeight="1">
      <x:c r="A1199" s="2" t="str">
        <x:v>O01195</x:v>
      </x:c>
      <x:c r="B1199" s="2" t="str">
        <x:v>C0265</x:v>
      </x:c>
      <x:c r="C1199" s="7" t="n">
        <x:v>45760</x:v>
      </x:c>
      <x:c r="D1199" s="2" t="str">
        <x:v>Completed</x:v>
      </x:c>
      <x:c r="E1199" s="2" t="str">
        <x:v>West</x:v>
      </x:c>
      <x:c r="F1199" s="2" t="str">
        <x:v>Online</x:v>
      </x:c>
      <x:c r="G1199" s="9" t="n">
        <x:f>SUM(SalesLines!Q2931,SalesLines!Q2932)</x:f>
        <x:v>842.4</x:v>
      </x:c>
      <x:c r="H1199" s="9" t="n">
        <x:f>SUM(SalesLines!M2931,SalesLines!M2932)</x:f>
        <x:v>978</x:v>
      </x:c>
      <x:c r="I1199" s="9" t="n">
        <x:f>SUM(SalesLines!N2931,SalesLines!N2932)</x:f>
        <x:v>135.60000000000002</x:v>
      </x:c>
      <x:c r="J1199" s="9" t="n">
        <x:f>SUM(SalesLines!P2931,SalesLines!P2932)</x:f>
        <x:v>0</x:v>
      </x:c>
      <x:c r="K1199" s="11" t="n">
        <x:f>SUM(SalesLines!R2931,SalesLines!R2932)</x:f>
        <x:v>4</x:v>
      </x:c>
      <x:c r="L1199" s="11" t="n">
        <x:f>SUM(SalesLines!S2931,SalesLines!S2932)</x:f>
        <x:v>0</x:v>
      </x:c>
      <x:c r="M1199" s="8" t="n">
        <x:f>DATE(YEAR(C1199),MONTH(C1199),1)</x:f>
        <x:v>45748</x:v>
      </x:c>
    </x:row>
    <x:row r="1200" ht="22" customHeight="1">
      <x:c r="A1200" s="2" t="str">
        <x:v>O01196</x:v>
      </x:c>
      <x:c r="B1200" s="2" t="str">
        <x:v>C0087</x:v>
      </x:c>
      <x:c r="C1200" s="7" t="n">
        <x:v>45979</x:v>
      </x:c>
      <x:c r="D1200" s="2" t="str">
        <x:v>Completed</x:v>
      </x:c>
      <x:c r="E1200" s="2" t="str">
        <x:v>North</x:v>
      </x:c>
      <x:c r="F1200" s="2" t="str">
        <x:v>Online</x:v>
      </x:c>
      <x:c r="G1200" s="9" t="n">
        <x:f>SUM(SalesLines!Q2933,SalesLines!Q2934)</x:f>
        <x:v>1244.5</x:v>
      </x:c>
      <x:c r="H1200" s="9" t="n">
        <x:f>SUM(SalesLines!M2933,SalesLines!M2934)</x:f>
        <x:v>1310</x:v>
      </x:c>
      <x:c r="I1200" s="9" t="n">
        <x:f>SUM(SalesLines!N2933,SalesLines!N2934)</x:f>
        <x:v>65.5</x:v>
      </x:c>
      <x:c r="J1200" s="9" t="n">
        <x:f>SUM(SalesLines!P2933,SalesLines!P2934)</x:f>
        <x:v>0</x:v>
      </x:c>
      <x:c r="K1200" s="11" t="n">
        <x:f>SUM(SalesLines!R2933,SalesLines!R2934)</x:f>
        <x:v>5</x:v>
      </x:c>
      <x:c r="L1200" s="11" t="n">
        <x:f>SUM(SalesLines!S2933,SalesLines!S2934)</x:f>
        <x:v>0</x:v>
      </x:c>
      <x:c r="M1200" s="8" t="n">
        <x:f>DATE(YEAR(C1200),MONTH(C1200),1)</x:f>
        <x:v>45962</x:v>
      </x:c>
    </x:row>
    <x:row r="1201" ht="22" customHeight="1">
      <x:c r="A1201" s="2" t="str">
        <x:v>O01197</x:v>
      </x:c>
      <x:c r="B1201" s="2" t="str">
        <x:v>C0063</x:v>
      </x:c>
      <x:c r="C1201" s="7" t="n">
        <x:v>45905</x:v>
      </x:c>
      <x:c r="D1201" s="2" t="str">
        <x:v>Completed</x:v>
      </x:c>
      <x:c r="E1201" s="2" t="str">
        <x:v>West</x:v>
      </x:c>
      <x:c r="F1201" s="2" t="str">
        <x:v>Store</x:v>
      </x:c>
      <x:c r="G1201" s="9" t="n">
        <x:f>SUM(SalesLines!Q2935,SalesLines!Q2936)</x:f>
        <x:v>550.8000000000001</x:v>
      </x:c>
      <x:c r="H1201" s="9" t="n">
        <x:f>SUM(SalesLines!M2935,SalesLines!M2936)</x:f>
        <x:v>883</x:v>
      </x:c>
      <x:c r="I1201" s="9" t="n">
        <x:f>SUM(SalesLines!N2935,SalesLines!N2936)</x:f>
        <x:v>88.30000000000001</x:v>
      </x:c>
      <x:c r="J1201" s="9" t="n">
        <x:f>SUM(SalesLines!P2935,SalesLines!P2936)</x:f>
        <x:v>243.9</x:v>
      </x:c>
      <x:c r="K1201" s="11" t="n">
        <x:f>SUM(SalesLines!R2935,SalesLines!R2936)</x:f>
        <x:v>5</x:v>
      </x:c>
      <x:c r="L1201" s="11" t="n">
        <x:f>SUM(SalesLines!S2935,SalesLines!S2936)</x:f>
        <x:v>1</x:v>
      </x:c>
      <x:c r="M1201" s="8" t="n">
        <x:f>DATE(YEAR(C1201),MONTH(C1201),1)</x:f>
        <x:v>45901</x:v>
      </x:c>
    </x:row>
    <x:row r="1202" ht="22" customHeight="1">
      <x:c r="A1202" s="2" t="str">
        <x:v>O01198</x:v>
      </x:c>
      <x:c r="B1202" s="2" t="str">
        <x:v>C0138</x:v>
      </x:c>
      <x:c r="C1202" s="7" t="n">
        <x:v>46020</x:v>
      </x:c>
      <x:c r="D1202" s="2" t="str">
        <x:v>Completed</x:v>
      </x:c>
      <x:c r="E1202" s="2" t="str">
        <x:v>South</x:v>
      </x:c>
      <x:c r="F1202" s="2" t="str">
        <x:v>Online</x:v>
      </x:c>
      <x:c r="G1202" s="9" t="n">
        <x:f>SUM(SalesLines!Q2937,SalesLines!Q2938,SalesLines!Q2939)</x:f>
        <x:v>1580.4</x:v>
      </x:c>
      <x:c r="H1202" s="9" t="n">
        <x:f>SUM(SalesLines!M2937,SalesLines!M2938,SalesLines!M2939)</x:f>
        <x:v>1814</x:v>
      </x:c>
      <x:c r="I1202" s="9" t="n">
        <x:f>SUM(SalesLines!N2937,SalesLines!N2938,SalesLines!N2939)</x:f>
        <x:v>233.6</x:v>
      </x:c>
      <x:c r="J1202" s="9" t="n">
        <x:f>SUM(SalesLines!P2937,SalesLines!P2938,SalesLines!P2939)</x:f>
        <x:v>0</x:v>
      </x:c>
      <x:c r="K1202" s="11" t="n">
        <x:f>SUM(SalesLines!R2937,SalesLines!R2938,SalesLines!R2939)</x:f>
        <x:v>9</x:v>
      </x:c>
      <x:c r="L1202" s="11" t="n">
        <x:f>SUM(SalesLines!S2937,SalesLines!S2938,SalesLines!S2939)</x:f>
        <x:v>0</x:v>
      </x:c>
      <x:c r="M1202" s="8" t="n">
        <x:f>DATE(YEAR(C1202),MONTH(C1202),1)</x:f>
        <x:v>45992</x:v>
      </x:c>
    </x:row>
    <x:row r="1203" ht="22" customHeight="1">
      <x:c r="A1203" s="2" t="str">
        <x:v>O01199</x:v>
      </x:c>
      <x:c r="B1203" s="2" t="str">
        <x:v>C0083</x:v>
      </x:c>
      <x:c r="C1203" s="7" t="n">
        <x:v>45781</x:v>
      </x:c>
      <x:c r="D1203" s="2" t="str">
        <x:v>Completed</x:v>
      </x:c>
      <x:c r="E1203" s="2" t="str">
        <x:v>West</x:v>
      </x:c>
      <x:c r="F1203" s="2" t="str">
        <x:v>Store</x:v>
      </x:c>
      <x:c r="G1203" s="9" t="n">
        <x:f>SUM(SalesLines!Q2940)</x:f>
        <x:v>255.6</x:v>
      </x:c>
      <x:c r="H1203" s="9" t="n">
        <x:f>SUM(SalesLines!M2940)</x:f>
        <x:v>284</x:v>
      </x:c>
      <x:c r="I1203" s="9" t="n">
        <x:f>SUM(SalesLines!N2940)</x:f>
        <x:v>28.400000000000002</x:v>
      </x:c>
      <x:c r="J1203" s="9" t="n">
        <x:f>SUM(SalesLines!P2940)</x:f>
        <x:v>0</x:v>
      </x:c>
      <x:c r="K1203" s="11" t="n">
        <x:f>SUM(SalesLines!R2940)</x:f>
        <x:v>1</x:v>
      </x:c>
      <x:c r="L1203" s="11" t="n">
        <x:f>SUM(SalesLines!S2940)</x:f>
        <x:v>0</x:v>
      </x:c>
      <x:c r="M1203" s="8" t="n">
        <x:f>DATE(YEAR(C1203),MONTH(C1203),1)</x:f>
        <x:v>45778</x:v>
      </x:c>
    </x:row>
    <x:row r="1204" ht="22" customHeight="1">
      <x:c r="A1204" s="2" t="str">
        <x:v>O01200</x:v>
      </x:c>
      <x:c r="B1204" s="2" t="str">
        <x:v>C0171</x:v>
      </x:c>
      <x:c r="C1204" s="7" t="n">
        <x:v>45750</x:v>
      </x:c>
      <x:c r="D1204" s="2" t="str">
        <x:v>Completed</x:v>
      </x:c>
      <x:c r="E1204" s="2" t="str">
        <x:v>South</x:v>
      </x:c>
      <x:c r="F1204" s="2" t="str">
        <x:v>Store</x:v>
      </x:c>
      <x:c r="G1204" s="9" t="n">
        <x:f>SUM(SalesLines!Q2941,SalesLines!Q2942)</x:f>
        <x:v>930.8</x:v>
      </x:c>
      <x:c r="H1204" s="9" t="n">
        <x:f>SUM(SalesLines!M2941,SalesLines!M2942)</x:f>
        <x:v>1064</x:v>
      </x:c>
      <x:c r="I1204" s="9" t="n">
        <x:f>SUM(SalesLines!N2941,SalesLines!N2942)</x:f>
        <x:v>133.20000000000002</x:v>
      </x:c>
      <x:c r="J1204" s="9" t="n">
        <x:f>SUM(SalesLines!P2941,SalesLines!P2942)</x:f>
        <x:v>0</x:v>
      </x:c>
      <x:c r="K1204" s="11" t="n">
        <x:f>SUM(SalesLines!R2941,SalesLines!R2942)</x:f>
        <x:v>6</x:v>
      </x:c>
      <x:c r="L1204" s="11" t="n">
        <x:f>SUM(SalesLines!S2941,SalesLines!S2942)</x:f>
        <x:v>0</x:v>
      </x:c>
      <x:c r="M1204" s="8" t="n">
        <x:f>DATE(YEAR(C1204),MONTH(C1204),1)</x:f>
        <x:v>45748</x:v>
      </x:c>
    </x:row>
    <x:row r="1205" ht="22" customHeight="1">
      <x:c r="A1205" s="2" t="str">
        <x:v>O01201</x:v>
      </x:c>
      <x:c r="B1205" s="2" t="str">
        <x:v>C0183</x:v>
      </x:c>
      <x:c r="C1205" s="7" t="n">
        <x:v>45761</x:v>
      </x:c>
      <x:c r="D1205" s="2" t="str">
        <x:v>Completed</x:v>
      </x:c>
      <x:c r="E1205" s="2" t="str">
        <x:v>East</x:v>
      </x:c>
      <x:c r="F1205" s="2" t="str">
        <x:v>Online</x:v>
      </x:c>
      <x:c r="G1205" s="9" t="n">
        <x:f>SUM(SalesLines!Q2943,SalesLines!Q2944,SalesLines!Q2945)</x:f>
        <x:v>1698.6</x:v>
      </x:c>
      <x:c r="H1205" s="9" t="n">
        <x:f>SUM(SalesLines!M2943,SalesLines!M2944,SalesLines!M2945)</x:f>
        <x:v>1875</x:v>
      </x:c>
      <x:c r="I1205" s="9" t="n">
        <x:f>SUM(SalesLines!N2943,SalesLines!N2944,SalesLines!N2945)</x:f>
        <x:v>176.4</x:v>
      </x:c>
      <x:c r="J1205" s="9" t="n">
        <x:f>SUM(SalesLines!P2943,SalesLines!P2944,SalesLines!P2945)</x:f>
        <x:v>0</x:v>
      </x:c>
      <x:c r="K1205" s="11" t="n">
        <x:f>SUM(SalesLines!R2943,SalesLines!R2944,SalesLines!R2945)</x:f>
        <x:v>7</x:v>
      </x:c>
      <x:c r="L1205" s="11" t="n">
        <x:f>SUM(SalesLines!S2943,SalesLines!S2944,SalesLines!S2945)</x:f>
        <x:v>0</x:v>
      </x:c>
      <x:c r="M1205" s="8" t="n">
        <x:f>DATE(YEAR(C1205),MONTH(C1205),1)</x:f>
        <x:v>45748</x:v>
      </x:c>
    </x:row>
    <x:row r="1206" ht="22" customHeight="1">
      <x:c r="A1206" s="2" t="str">
        <x:v>O01202</x:v>
      </x:c>
      <x:c r="B1206" s="2" t="str">
        <x:v>C0173</x:v>
      </x:c>
      <x:c r="C1206" s="7" t="n">
        <x:v>45897</x:v>
      </x:c>
      <x:c r="D1206" s="2" t="str">
        <x:v>Completed</x:v>
      </x:c>
      <x:c r="E1206" s="2" t="str">
        <x:v>West</x:v>
      </x:c>
      <x:c r="F1206" s="2" t="str">
        <x:v>Online</x:v>
      </x:c>
      <x:c r="G1206" s="9" t="n">
        <x:f>SUM(SalesLines!Q2946,SalesLines!Q2947)</x:f>
        <x:v>902.65</x:v>
      </x:c>
      <x:c r="H1206" s="9" t="n">
        <x:f>SUM(SalesLines!M2946,SalesLines!M2947)</x:f>
        <x:v>1013</x:v>
      </x:c>
      <x:c r="I1206" s="9" t="n">
        <x:f>SUM(SalesLines!N2946,SalesLines!N2947)</x:f>
        <x:v>110.35000000000001</x:v>
      </x:c>
      <x:c r="J1206" s="9" t="n">
        <x:f>SUM(SalesLines!P2946,SalesLines!P2947)</x:f>
        <x:v>0</x:v>
      </x:c>
      <x:c r="K1206" s="11" t="n">
        <x:f>SUM(SalesLines!R2946,SalesLines!R2947)</x:f>
        <x:v>7</x:v>
      </x:c>
      <x:c r="L1206" s="11" t="n">
        <x:f>SUM(SalesLines!S2946,SalesLines!S2947)</x:f>
        <x:v>0</x:v>
      </x:c>
      <x:c r="M1206" s="8" t="n">
        <x:f>DATE(YEAR(C1206),MONTH(C1206),1)</x:f>
        <x:v>45870</x:v>
      </x:c>
    </x:row>
    <x:row r="1207" ht="22" customHeight="1">
      <x:c r="A1207" s="2" t="str">
        <x:v>O01203</x:v>
      </x:c>
      <x:c r="B1207" s="2" t="str">
        <x:v>C0073</x:v>
      </x:c>
      <x:c r="C1207" s="7" t="n">
        <x:v>45911</x:v>
      </x:c>
      <x:c r="D1207" s="2" t="str">
        <x:v>Completed</x:v>
      </x:c>
      <x:c r="E1207" s="2" t="str">
        <x:v>South</x:v>
      </x:c>
      <x:c r="F1207" s="2" t="str">
        <x:v>Online</x:v>
      </x:c>
      <x:c r="G1207" s="9" t="n">
        <x:f>SUM(SalesLines!Q2948,SalesLines!Q2949)</x:f>
        <x:v>2028.6</x:v>
      </x:c>
      <x:c r="H1207" s="9" t="n">
        <x:f>SUM(SalesLines!M2948,SalesLines!M2949)</x:f>
        <x:v>2058</x:v>
      </x:c>
      <x:c r="I1207" s="9" t="n">
        <x:f>SUM(SalesLines!N2948,SalesLines!N2949)</x:f>
        <x:v>29.400000000000002</x:v>
      </x:c>
      <x:c r="J1207" s="9" t="n">
        <x:f>SUM(SalesLines!P2948,SalesLines!P2949)</x:f>
        <x:v>0</x:v>
      </x:c>
      <x:c r="K1207" s="11" t="n">
        <x:f>SUM(SalesLines!R2948,SalesLines!R2949)</x:f>
        <x:v>7</x:v>
      </x:c>
      <x:c r="L1207" s="11" t="n">
        <x:f>SUM(SalesLines!S2948,SalesLines!S2949)</x:f>
        <x:v>0</x:v>
      </x:c>
      <x:c r="M1207" s="8" t="n">
        <x:f>DATE(YEAR(C1207),MONTH(C1207),1)</x:f>
        <x:v>45901</x:v>
      </x:c>
    </x:row>
    <x:row r="1208" ht="22" customHeight="1">
      <x:c r="A1208" s="2" t="str">
        <x:v>O01204</x:v>
      </x:c>
      <x:c r="B1208" s="2" t="str">
        <x:v>C0111</x:v>
      </x:c>
      <x:c r="C1208" s="7" t="n">
        <x:v>45688</x:v>
      </x:c>
      <x:c r="D1208" s="2" t="str">
        <x:v>Completed</x:v>
      </x:c>
      <x:c r="E1208" s="2" t="str">
        <x:v>South</x:v>
      </x:c>
      <x:c r="F1208" s="2" t="str">
        <x:v>Online</x:v>
      </x:c>
      <x:c r="G1208" s="9" t="n">
        <x:f>SUM(SalesLines!Q2950)</x:f>
        <x:v>215.2</x:v>
      </x:c>
      <x:c r="H1208" s="9" t="n">
        <x:f>SUM(SalesLines!M2950)</x:f>
        <x:v>269</x:v>
      </x:c>
      <x:c r="I1208" s="9" t="n">
        <x:f>SUM(SalesLines!N2950)</x:f>
        <x:v>53.800000000000004</x:v>
      </x:c>
      <x:c r="J1208" s="9" t="n">
        <x:f>SUM(SalesLines!P2950)</x:f>
        <x:v>0</x:v>
      </x:c>
      <x:c r="K1208" s="11" t="n">
        <x:f>SUM(SalesLines!R2950)</x:f>
        <x:v>1</x:v>
      </x:c>
      <x:c r="L1208" s="11" t="n">
        <x:f>SUM(SalesLines!S2950)</x:f>
        <x:v>0</x:v>
      </x:c>
      <x:c r="M1208" s="8" t="n">
        <x:f>DATE(YEAR(C1208),MONTH(C1208),1)</x:f>
        <x:v>45658</x:v>
      </x:c>
    </x:row>
    <x:row r="1209" ht="22" customHeight="1">
      <x:c r="A1209" s="2" t="str">
        <x:v>O01205</x:v>
      </x:c>
      <x:c r="B1209" s="2" t="str">
        <x:v>C0110</x:v>
      </x:c>
      <x:c r="C1209" s="7" t="n">
        <x:v>45729</x:v>
      </x:c>
      <x:c r="D1209" s="2" t="str">
        <x:v>Completed</x:v>
      </x:c>
      <x:c r="E1209" s="2" t="str">
        <x:v>West</x:v>
      </x:c>
      <x:c r="F1209" s="2" t="str">
        <x:v>Online</x:v>
      </x:c>
      <x:c r="G1209" s="9" t="n">
        <x:f>SUM(SalesLines!Q2951,SalesLines!Q2952,SalesLines!Q2953)</x:f>
        <x:v>2241.2999999999997</x:v>
      </x:c>
      <x:c r="H1209" s="9" t="n">
        <x:f>SUM(SalesLines!M2951,SalesLines!M2952,SalesLines!M2953)</x:f>
        <x:v>2443</x:v>
      </x:c>
      <x:c r="I1209" s="9" t="n">
        <x:f>SUM(SalesLines!N2951,SalesLines!N2952,SalesLines!N2953)</x:f>
        <x:v>201.70000000000002</x:v>
      </x:c>
      <x:c r="J1209" s="9" t="n">
        <x:f>SUM(SalesLines!P2951,SalesLines!P2952,SalesLines!P2953)</x:f>
        <x:v>0</x:v>
      </x:c>
      <x:c r="K1209" s="11" t="n">
        <x:f>SUM(SalesLines!R2951,SalesLines!R2952,SalesLines!R2953)</x:f>
        <x:v>10</x:v>
      </x:c>
      <x:c r="L1209" s="11" t="n">
        <x:f>SUM(SalesLines!S2951,SalesLines!S2952,SalesLines!S2953)</x:f>
        <x:v>0</x:v>
      </x:c>
      <x:c r="M1209" s="8" t="n">
        <x:f>DATE(YEAR(C1209),MONTH(C1209),1)</x:f>
        <x:v>45717</x:v>
      </x:c>
    </x:row>
    <x:row r="1210" ht="22" customHeight="1">
      <x:c r="A1210" s="2" t="str">
        <x:v>O01206</x:v>
      </x:c>
      <x:c r="B1210" s="2" t="str">
        <x:v>C0227</x:v>
      </x:c>
      <x:c r="C1210" s="7" t="n">
        <x:v>45961</x:v>
      </x:c>
      <x:c r="D1210" s="2" t="str">
        <x:v>Completed</x:v>
      </x:c>
      <x:c r="E1210" s="2" t="str">
        <x:v>East</x:v>
      </x:c>
      <x:c r="F1210" s="2" t="str">
        <x:v>Store</x:v>
      </x:c>
      <x:c r="G1210" s="9" t="n">
        <x:f>SUM(SalesLines!Q2954,SalesLines!Q2955)</x:f>
        <x:v>492.05</x:v>
      </x:c>
      <x:c r="H1210" s="9" t="n">
        <x:f>SUM(SalesLines!M2954,SalesLines!M2955)</x:f>
        <x:v>535</x:v>
      </x:c>
      <x:c r="I1210" s="9" t="n">
        <x:f>SUM(SalesLines!N2954,SalesLines!N2955)</x:f>
        <x:v>42.95</x:v>
      </x:c>
      <x:c r="J1210" s="9" t="n">
        <x:f>SUM(SalesLines!P2954,SalesLines!P2955)</x:f>
        <x:v>0</x:v>
      </x:c>
      <x:c r="K1210" s="11" t="n">
        <x:f>SUM(SalesLines!R2954,SalesLines!R2955)</x:f>
        <x:v>5</x:v>
      </x:c>
      <x:c r="L1210" s="11" t="n">
        <x:f>SUM(SalesLines!S2954,SalesLines!S2955)</x:f>
        <x:v>0</x:v>
      </x:c>
      <x:c r="M1210" s="8" t="n">
        <x:f>DATE(YEAR(C1210),MONTH(C1210),1)</x:f>
        <x:v>45931</x:v>
      </x:c>
    </x:row>
    <x:row r="1211" ht="22" customHeight="1">
      <x:c r="A1211" s="2" t="str">
        <x:v>O01207</x:v>
      </x:c>
      <x:c r="B1211" s="2" t="str">
        <x:v>C0152</x:v>
      </x:c>
      <x:c r="C1211" s="7" t="n">
        <x:v>45847</x:v>
      </x:c>
      <x:c r="D1211" s="2" t="str">
        <x:v>Completed</x:v>
      </x:c>
      <x:c r="E1211" s="2" t="str">
        <x:v>West</x:v>
      </x:c>
      <x:c r="F1211" s="2" t="str">
        <x:v>Store</x:v>
      </x:c>
      <x:c r="G1211" s="9" t="n">
        <x:f>SUM(SalesLines!Q2956)</x:f>
        <x:v>470.4</x:v>
      </x:c>
      <x:c r="H1211" s="9" t="n">
        <x:f>SUM(SalesLines!M2956)</x:f>
        <x:v>588</x:v>
      </x:c>
      <x:c r="I1211" s="9" t="n">
        <x:f>SUM(SalesLines!N2956)</x:f>
        <x:v>117.60000000000001</x:v>
      </x:c>
      <x:c r="J1211" s="9" t="n">
        <x:f>SUM(SalesLines!P2956)</x:f>
        <x:v>0</x:v>
      </x:c>
      <x:c r="K1211" s="11" t="n">
        <x:f>SUM(SalesLines!R2956)</x:f>
        <x:v>2</x:v>
      </x:c>
      <x:c r="L1211" s="11" t="n">
        <x:f>SUM(SalesLines!S2956)</x:f>
        <x:v>0</x:v>
      </x:c>
      <x:c r="M1211" s="8" t="n">
        <x:f>DATE(YEAR(C1211),MONTH(C1211),1)</x:f>
        <x:v>45839</x:v>
      </x:c>
    </x:row>
    <x:row r="1212" ht="22" customHeight="1">
      <x:c r="A1212" s="2" t="str">
        <x:v>O01208</x:v>
      </x:c>
      <x:c r="B1212" s="2" t="str">
        <x:v>C0023</x:v>
      </x:c>
      <x:c r="C1212" s="7" t="n">
        <x:v>45864</x:v>
      </x:c>
      <x:c r="D1212" s="2" t="str">
        <x:v>Completed</x:v>
      </x:c>
      <x:c r="E1212" s="2" t="str">
        <x:v>South</x:v>
      </x:c>
      <x:c r="F1212" s="2" t="str">
        <x:v>Online</x:v>
      </x:c>
      <x:c r="G1212" s="9" t="n">
        <x:f>SUM(SalesLines!Q2957,SalesLines!Q2958,SalesLines!Q2959,SalesLines!Q2960)</x:f>
        <x:v>2059.65</x:v>
      </x:c>
      <x:c r="H1212" s="9" t="n">
        <x:f>SUM(SalesLines!M2957,SalesLines!M2958,SalesLines!M2959,SalesLines!M2960)</x:f>
        <x:v>2287</x:v>
      </x:c>
      <x:c r="I1212" s="9" t="n">
        <x:f>SUM(SalesLines!N2957,SalesLines!N2958,SalesLines!N2959,SalesLines!N2960)</x:f>
        <x:v>227.35000000000002</x:v>
      </x:c>
      <x:c r="J1212" s="9" t="n">
        <x:f>SUM(SalesLines!P2957,SalesLines!P2958,SalesLines!P2959,SalesLines!P2960)</x:f>
        <x:v>0</x:v>
      </x:c>
      <x:c r="K1212" s="11" t="n">
        <x:f>SUM(SalesLines!R2957,SalesLines!R2958,SalesLines!R2959,SalesLines!R2960)</x:f>
        <x:v>13</x:v>
      </x:c>
      <x:c r="L1212" s="11" t="n">
        <x:f>SUM(SalesLines!S2957,SalesLines!S2958,SalesLines!S2959,SalesLines!S2960)</x:f>
        <x:v>0</x:v>
      </x:c>
      <x:c r="M1212" s="8" t="n">
        <x:f>DATE(YEAR(C1212),MONTH(C1212),1)</x:f>
        <x:v>45839</x:v>
      </x:c>
    </x:row>
    <x:row r="1213" ht="22" customHeight="1">
      <x:c r="A1213" s="2" t="str">
        <x:v>O01209</x:v>
      </x:c>
      <x:c r="B1213" s="2" t="str">
        <x:v>C0156</x:v>
      </x:c>
      <x:c r="C1213" s="7" t="n">
        <x:v>45826</x:v>
      </x:c>
      <x:c r="D1213" s="2" t="str">
        <x:v>Completed</x:v>
      </x:c>
      <x:c r="E1213" s="2" t="str">
        <x:v>South</x:v>
      </x:c>
      <x:c r="F1213" s="2" t="str">
        <x:v>Store</x:v>
      </x:c>
      <x:c r="G1213" s="9" t="n">
        <x:f>SUM(SalesLines!Q2961)</x:f>
        <x:v>0</x:v>
      </x:c>
      <x:c r="H1213" s="9" t="n">
        <x:f>SUM(SalesLines!M2961)</x:f>
        <x:v>422</x:v>
      </x:c>
      <x:c r="I1213" s="9" t="n">
        <x:f>SUM(SalesLines!N2961)</x:f>
        <x:v>42.2</x:v>
      </x:c>
      <x:c r="J1213" s="9" t="n">
        <x:f>SUM(SalesLines!P2961)</x:f>
        <x:v>379.8</x:v>
      </x:c>
      <x:c r="K1213" s="11" t="n">
        <x:f>SUM(SalesLines!R2961)</x:f>
        <x:v>2</x:v>
      </x:c>
      <x:c r="L1213" s="11" t="n">
        <x:f>SUM(SalesLines!S2961)</x:f>
        <x:v>2</x:v>
      </x:c>
      <x:c r="M1213" s="8" t="n">
        <x:f>DATE(YEAR(C1213),MONTH(C1213),1)</x:f>
        <x:v>45809</x:v>
      </x:c>
    </x:row>
    <x:row r="1214" ht="22" customHeight="1">
      <x:c r="A1214" s="2" t="str">
        <x:v>O01210</x:v>
      </x:c>
      <x:c r="B1214" s="2" t="str">
        <x:v>C0139</x:v>
      </x:c>
      <x:c r="C1214" s="7" t="n">
        <x:v>45864</x:v>
      </x:c>
      <x:c r="D1214" s="2" t="str">
        <x:v>Completed</x:v>
      </x:c>
      <x:c r="E1214" s="2" t="str">
        <x:v>North</x:v>
      </x:c>
      <x:c r="F1214" s="2" t="str">
        <x:v>Online</x:v>
      </x:c>
      <x:c r="G1214" s="9" t="n">
        <x:f>SUM(SalesLines!Q2962,SalesLines!Q2963,SalesLines!Q2964)</x:f>
        <x:v>469.8</x:v>
      </x:c>
      <x:c r="H1214" s="9" t="n">
        <x:f>SUM(SalesLines!M2962,SalesLines!M2963,SalesLines!M2964)</x:f>
        <x:v>564</x:v>
      </x:c>
      <x:c r="I1214" s="9" t="n">
        <x:f>SUM(SalesLines!N2962,SalesLines!N2963,SalesLines!N2964)</x:f>
        <x:v>31.8</x:v>
      </x:c>
      <x:c r="J1214" s="9" t="n">
        <x:f>SUM(SalesLines!P2962,SalesLines!P2963,SalesLines!P2964)</x:f>
        <x:v>62.400000000000006</x:v>
      </x:c>
      <x:c r="K1214" s="11" t="n">
        <x:f>SUM(SalesLines!R2962,SalesLines!R2963,SalesLines!R2964)</x:f>
        <x:v>7</x:v>
      </x:c>
      <x:c r="L1214" s="11" t="n">
        <x:f>SUM(SalesLines!S2962,SalesLines!S2963,SalesLines!S2964)</x:f>
        <x:v>1</x:v>
      </x:c>
      <x:c r="M1214" s="8" t="n">
        <x:f>DATE(YEAR(C1214),MONTH(C1214),1)</x:f>
        <x:v>45839</x:v>
      </x:c>
    </x:row>
    <x:row r="1215" ht="22" customHeight="1">
      <x:c r="A1215" s="2" t="str">
        <x:v>O01211</x:v>
      </x:c>
      <x:c r="B1215" s="2" t="str">
        <x:v>C0158</x:v>
      </x:c>
      <x:c r="C1215" s="7" t="n">
        <x:v>45658</x:v>
      </x:c>
      <x:c r="D1215" s="2" t="str">
        <x:v>Completed</x:v>
      </x:c>
      <x:c r="E1215" s="2" t="str">
        <x:v>East</x:v>
      </x:c>
      <x:c r="F1215" s="2" t="str">
        <x:v>Store</x:v>
      </x:c>
      <x:c r="G1215" s="9" t="n">
        <x:f>SUM(SalesLines!Q2965,SalesLines!Q2966,SalesLines!Q2967,SalesLines!Q2968)</x:f>
        <x:v>1493.45</x:v>
      </x:c>
      <x:c r="H1215" s="9" t="n">
        <x:f>SUM(SalesLines!M2965,SalesLines!M2966,SalesLines!M2967,SalesLines!M2968)</x:f>
        <x:v>1512</x:v>
      </x:c>
      <x:c r="I1215" s="9" t="n">
        <x:f>SUM(SalesLines!N2965,SalesLines!N2966,SalesLines!N2967,SalesLines!N2968)</x:f>
        <x:v>18.55</x:v>
      </x:c>
      <x:c r="J1215" s="9" t="n">
        <x:f>SUM(SalesLines!P2965,SalesLines!P2966,SalesLines!P2967,SalesLines!P2968)</x:f>
        <x:v>0</x:v>
      </x:c>
      <x:c r="K1215" s="11" t="n">
        <x:f>SUM(SalesLines!R2965,SalesLines!R2966,SalesLines!R2967,SalesLines!R2968)</x:f>
        <x:v>11</x:v>
      </x:c>
      <x:c r="L1215" s="11" t="n">
        <x:f>SUM(SalesLines!S2965,SalesLines!S2966,SalesLines!S2967,SalesLines!S2968)</x:f>
        <x:v>0</x:v>
      </x:c>
      <x:c r="M1215" s="8" t="n">
        <x:f>DATE(YEAR(C1215),MONTH(C1215),1)</x:f>
        <x:v>45658</x:v>
      </x:c>
    </x:row>
    <x:row r="1216" ht="22" customHeight="1">
      <x:c r="A1216" s="2" t="str">
        <x:v>O01212</x:v>
      </x:c>
      <x:c r="B1216" s="2" t="str">
        <x:v>C0180</x:v>
      </x:c>
      <x:c r="C1216" s="7" t="n">
        <x:v>45933</x:v>
      </x:c>
      <x:c r="D1216" s="2" t="str">
        <x:v>Completed</x:v>
      </x:c>
      <x:c r="E1216" s="2" t="str">
        <x:v>West</x:v>
      </x:c>
      <x:c r="F1216" s="2" t="str">
        <x:v>Store</x:v>
      </x:c>
      <x:c r="G1216" s="9" t="n">
        <x:f>SUM(SalesLines!Q2969,SalesLines!Q2970,SalesLines!Q2971)</x:f>
        <x:v>846.6999999999999</x:v>
      </x:c>
      <x:c r="H1216" s="9" t="n">
        <x:f>SUM(SalesLines!M2969,SalesLines!M2970,SalesLines!M2971)</x:f>
        <x:v>1032</x:v>
      </x:c>
      <x:c r="I1216" s="9" t="n">
        <x:f>SUM(SalesLines!N2969,SalesLines!N2970,SalesLines!N2971)</x:f>
        <x:v>185.3</x:v>
      </x:c>
      <x:c r="J1216" s="9" t="n">
        <x:f>SUM(SalesLines!P2969,SalesLines!P2970,SalesLines!P2971)</x:f>
        <x:v>0</x:v>
      </x:c>
      <x:c r="K1216" s="11" t="n">
        <x:f>SUM(SalesLines!R2969,SalesLines!R2970,SalesLines!R2971)</x:f>
        <x:v>6</x:v>
      </x:c>
      <x:c r="L1216" s="11" t="n">
        <x:f>SUM(SalesLines!S2969,SalesLines!S2970,SalesLines!S2971)</x:f>
        <x:v>0</x:v>
      </x:c>
      <x:c r="M1216" s="8" t="n">
        <x:f>DATE(YEAR(C1216),MONTH(C1216),1)</x:f>
        <x:v>45931</x:v>
      </x:c>
    </x:row>
    <x:row r="1217" ht="22" customHeight="1">
      <x:c r="A1217" s="2" t="str">
        <x:v>O01213</x:v>
      </x:c>
      <x:c r="B1217" s="2" t="str">
        <x:v>C0003</x:v>
      </x:c>
      <x:c r="C1217" s="7" t="n">
        <x:v>45672</x:v>
      </x:c>
      <x:c r="D1217" s="2" t="str">
        <x:v>Completed</x:v>
      </x:c>
      <x:c r="E1217" s="2" t="str">
        <x:v>North</x:v>
      </x:c>
      <x:c r="F1217" s="2" t="str">
        <x:v>Online</x:v>
      </x:c>
      <x:c r="G1217" s="9" t="n">
        <x:f>SUM(SalesLines!Q2972)</x:f>
        <x:v>332.1</x:v>
      </x:c>
      <x:c r="H1217" s="9" t="n">
        <x:f>SUM(SalesLines!M2972)</x:f>
        <x:v>369</x:v>
      </x:c>
      <x:c r="I1217" s="9" t="n">
        <x:f>SUM(SalesLines!N2972)</x:f>
        <x:v>36.9</x:v>
      </x:c>
      <x:c r="J1217" s="9" t="n">
        <x:f>SUM(SalesLines!P2972)</x:f>
        <x:v>0</x:v>
      </x:c>
      <x:c r="K1217" s="11" t="n">
        <x:f>SUM(SalesLines!R2972)</x:f>
        <x:v>3</x:v>
      </x:c>
      <x:c r="L1217" s="11" t="n">
        <x:f>SUM(SalesLines!S2972)</x:f>
        <x:v>0</x:v>
      </x:c>
      <x:c r="M1217" s="8" t="n">
        <x:f>DATE(YEAR(C1217),MONTH(C1217),1)</x:f>
        <x:v>45658</x:v>
      </x:c>
    </x:row>
    <x:row r="1218" ht="22" customHeight="1">
      <x:c r="A1218" s="2" t="str">
        <x:v>O01214</x:v>
      </x:c>
      <x:c r="B1218" s="2" t="str">
        <x:v>C0261</x:v>
      </x:c>
      <x:c r="C1218" s="7" t="n">
        <x:v>45685</x:v>
      </x:c>
      <x:c r="D1218" s="2" t="str">
        <x:v>Completed</x:v>
      </x:c>
      <x:c r="E1218" s="2" t="str">
        <x:v>West</x:v>
      </x:c>
      <x:c r="F1218" s="2" t="str">
        <x:v>Online</x:v>
      </x:c>
      <x:c r="G1218" s="9" t="n">
        <x:f>SUM(SalesLines!Q2973,SalesLines!Q2974,SalesLines!Q2975)</x:f>
        <x:v>915.4</x:v>
      </x:c>
      <x:c r="H1218" s="9" t="n">
        <x:f>SUM(SalesLines!M2973,SalesLines!M2974,SalesLines!M2975)</x:f>
        <x:v>1092</x:v>
      </x:c>
      <x:c r="I1218" s="9" t="n">
        <x:f>SUM(SalesLines!N2973,SalesLines!N2974,SalesLines!N2975)</x:f>
        <x:v>66.80000000000001</x:v>
      </x:c>
      <x:c r="J1218" s="9" t="n">
        <x:f>SUM(SalesLines!P2973,SalesLines!P2974,SalesLines!P2975)</x:f>
        <x:v>109.8</x:v>
      </x:c>
      <x:c r="K1218" s="11" t="n">
        <x:f>SUM(SalesLines!R2973,SalesLines!R2974,SalesLines!R2975)</x:f>
        <x:v>10</x:v>
      </x:c>
      <x:c r="L1218" s="11" t="n">
        <x:f>SUM(SalesLines!S2973,SalesLines!S2974,SalesLines!S2975)</x:f>
        <x:v>1</x:v>
      </x:c>
      <x:c r="M1218" s="8" t="n">
        <x:f>DATE(YEAR(C1218),MONTH(C1218),1)</x:f>
        <x:v>45658</x:v>
      </x:c>
    </x:row>
    <x:row r="1219" ht="22" customHeight="1">
      <x:c r="A1219" s="2" t="str">
        <x:v>O01215</x:v>
      </x:c>
      <x:c r="B1219" s="2" t="str">
        <x:v>C0192</x:v>
      </x:c>
      <x:c r="C1219" s="7" t="n">
        <x:v>45677</x:v>
      </x:c>
      <x:c r="D1219" s="2" t="str">
        <x:v>Cancelled</x:v>
      </x:c>
      <x:c r="E1219" s="2" t="str">
        <x:v>South</x:v>
      </x:c>
      <x:c r="F1219" s="2" t="str">
        <x:v>Store</x:v>
      </x:c>
      <x:c r="G1219" s="9" t="n">
        <x:f>SUM(SalesLines!Q2976,SalesLines!Q2977,SalesLines!Q2978)</x:f>
        <x:v>0</x:v>
      </x:c>
      <x:c r="H1219" s="9" t="n">
        <x:f>SUM(SalesLines!M2976,SalesLines!M2977,SalesLines!M2978)</x:f>
        <x:v>0</x:v>
      </x:c>
      <x:c r="I1219" s="9" t="n">
        <x:f>SUM(SalesLines!N2976,SalesLines!N2977,SalesLines!N2978)</x:f>
        <x:v>0</x:v>
      </x:c>
      <x:c r="J1219" s="9" t="n">
        <x:f>SUM(SalesLines!P2976,SalesLines!P2977,SalesLines!P2978)</x:f>
        <x:v>0</x:v>
      </x:c>
      <x:c r="K1219" s="11" t="n">
        <x:f>SUM(SalesLines!R2976,SalesLines!R2977,SalesLines!R2978)</x:f>
        <x:v>0</x:v>
      </x:c>
      <x:c r="L1219" s="11" t="n">
        <x:f>SUM(SalesLines!S2976,SalesLines!S2977,SalesLines!S2978)</x:f>
        <x:v>0</x:v>
      </x:c>
      <x:c r="M1219" s="8" t="n">
        <x:f>DATE(YEAR(C1219),MONTH(C1219),1)</x:f>
        <x:v>45658</x:v>
      </x:c>
    </x:row>
    <x:row r="1220" ht="22" customHeight="1">
      <x:c r="A1220" s="2" t="str">
        <x:v>O01216</x:v>
      </x:c>
      <x:c r="B1220" s="2" t="str">
        <x:v>C0163</x:v>
      </x:c>
      <x:c r="C1220" s="7" t="n">
        <x:v>45799</x:v>
      </x:c>
      <x:c r="D1220" s="2" t="str">
        <x:v>Completed</x:v>
      </x:c>
      <x:c r="E1220" s="2" t="str">
        <x:v>South</x:v>
      </x:c>
      <x:c r="F1220" s="2" t="str">
        <x:v>Store</x:v>
      </x:c>
      <x:c r="G1220" s="9" t="n">
        <x:f>SUM(SalesLines!Q2979,SalesLines!Q2980,SalesLines!Q2981)</x:f>
        <x:v>1280</x:v>
      </x:c>
      <x:c r="H1220" s="9" t="n">
        <x:f>SUM(SalesLines!M2979,SalesLines!M2980,SalesLines!M2981)</x:f>
        <x:v>1396</x:v>
      </x:c>
      <x:c r="I1220" s="9" t="n">
        <x:f>SUM(SalesLines!N2979,SalesLines!N2980,SalesLines!N2981)</x:f>
        <x:v>116</x:v>
      </x:c>
      <x:c r="J1220" s="9" t="n">
        <x:f>SUM(SalesLines!P2979,SalesLines!P2980,SalesLines!P2981)</x:f>
        <x:v>0</x:v>
      </x:c>
      <x:c r="K1220" s="11" t="n">
        <x:f>SUM(SalesLines!R2979,SalesLines!R2980,SalesLines!R2981)</x:f>
        <x:v>8</x:v>
      </x:c>
      <x:c r="L1220" s="11" t="n">
        <x:f>SUM(SalesLines!S2979,SalesLines!S2980,SalesLines!S2981)</x:f>
        <x:v>0</x:v>
      </x:c>
      <x:c r="M1220" s="8" t="n">
        <x:f>DATE(YEAR(C1220),MONTH(C1220),1)</x:f>
        <x:v>45778</x:v>
      </x:c>
    </x:row>
    <x:row r="1221" ht="22" customHeight="1">
      <x:c r="A1221" s="2" t="str">
        <x:v>O01217</x:v>
      </x:c>
      <x:c r="B1221" s="2" t="str">
        <x:v>C0179</x:v>
      </x:c>
      <x:c r="C1221" s="7" t="n">
        <x:v>45734</x:v>
      </x:c>
      <x:c r="D1221" s="2" t="str">
        <x:v>Completed</x:v>
      </x:c>
      <x:c r="E1221" s="2" t="str">
        <x:v>East</x:v>
      </x:c>
      <x:c r="F1221" s="2" t="str">
        <x:v>Online</x:v>
      </x:c>
      <x:c r="G1221" s="9" t="n">
        <x:f>SUM(SalesLines!Q2982,SalesLines!Q2983,SalesLines!Q2984,SalesLines!Q2985)</x:f>
        <x:v>1881.8</x:v>
      </x:c>
      <x:c r="H1221" s="9" t="n">
        <x:f>SUM(SalesLines!M2982,SalesLines!M2983,SalesLines!M2984,SalesLines!M2985)</x:f>
        <x:v>1892</x:v>
      </x:c>
      <x:c r="I1221" s="9" t="n">
        <x:f>SUM(SalesLines!N2982,SalesLines!N2983,SalesLines!N2984,SalesLines!N2985)</x:f>
        <x:v>10.200000000000001</x:v>
      </x:c>
      <x:c r="J1221" s="9" t="n">
        <x:f>SUM(SalesLines!P2982,SalesLines!P2983,SalesLines!P2984,SalesLines!P2985)</x:f>
        <x:v>0</x:v>
      </x:c>
      <x:c r="K1221" s="11" t="n">
        <x:f>SUM(SalesLines!R2982,SalesLines!R2983,SalesLines!R2984,SalesLines!R2985)</x:f>
        <x:v>13</x:v>
      </x:c>
      <x:c r="L1221" s="11" t="n">
        <x:f>SUM(SalesLines!S2982,SalesLines!S2983,SalesLines!S2984,SalesLines!S2985)</x:f>
        <x:v>0</x:v>
      </x:c>
      <x:c r="M1221" s="8" t="n">
        <x:f>DATE(YEAR(C1221),MONTH(C1221),1)</x:f>
        <x:v>45717</x:v>
      </x:c>
    </x:row>
    <x:row r="1222" ht="22" customHeight="1">
      <x:c r="A1222" s="2" t="str">
        <x:v>O01218</x:v>
      </x:c>
      <x:c r="B1222" s="2" t="str">
        <x:v>C0006</x:v>
      </x:c>
      <x:c r="C1222" s="7" t="n">
        <x:v>45917</x:v>
      </x:c>
      <x:c r="D1222" s="2" t="str">
        <x:v>Completed</x:v>
      </x:c>
      <x:c r="E1222" s="2" t="str">
        <x:v>East</x:v>
      </x:c>
      <x:c r="F1222" s="2" t="str">
        <x:v>Store</x:v>
      </x:c>
      <x:c r="G1222" s="9" t="n">
        <x:f>SUM(SalesLines!Q2986,SalesLines!Q2987,SalesLines!Q2988)</x:f>
        <x:v>2766.75</x:v>
      </x:c>
      <x:c r="H1222" s="9" t="n">
        <x:f>SUM(SalesLines!M2986,SalesLines!M2987,SalesLines!M2988)</x:f>
        <x:v>2834</x:v>
      </x:c>
      <x:c r="I1222" s="9" t="n">
        <x:f>SUM(SalesLines!N2986,SalesLines!N2987,SalesLines!N2988)</x:f>
        <x:v>67.25</x:v>
      </x:c>
      <x:c r="J1222" s="9" t="n">
        <x:f>SUM(SalesLines!P2986,SalesLines!P2987,SalesLines!P2988)</x:f>
        <x:v>0</x:v>
      </x:c>
      <x:c r="K1222" s="11" t="n">
        <x:f>SUM(SalesLines!R2986,SalesLines!R2987,SalesLines!R2988)</x:f>
        <x:v>14</x:v>
      </x:c>
      <x:c r="L1222" s="11" t="n">
        <x:f>SUM(SalesLines!S2986,SalesLines!S2987,SalesLines!S2988)</x:f>
        <x:v>0</x:v>
      </x:c>
      <x:c r="M1222" s="8" t="n">
        <x:f>DATE(YEAR(C1222),MONTH(C1222),1)</x:f>
        <x:v>45901</x:v>
      </x:c>
    </x:row>
    <x:row r="1223" ht="22" customHeight="1">
      <x:c r="A1223" s="2" t="str">
        <x:v>O01219</x:v>
      </x:c>
      <x:c r="B1223" s="2" t="str">
        <x:v>C0139</x:v>
      </x:c>
      <x:c r="C1223" s="7" t="n">
        <x:v>45725</x:v>
      </x:c>
      <x:c r="D1223" s="2" t="str">
        <x:v>Completed</x:v>
      </x:c>
      <x:c r="E1223" s="2" t="str">
        <x:v>North</x:v>
      </x:c>
      <x:c r="F1223" s="2" t="str">
        <x:v>Store</x:v>
      </x:c>
      <x:c r="G1223" s="9" t="n">
        <x:f>SUM(SalesLines!Q2989)</x:f>
        <x:v>269</x:v>
      </x:c>
      <x:c r="H1223" s="9" t="n">
        <x:f>SUM(SalesLines!M2989)</x:f>
        <x:v>269</x:v>
      </x:c>
      <x:c r="I1223" s="9" t="n">
        <x:f>SUM(SalesLines!N2989)</x:f>
        <x:v>0</x:v>
      </x:c>
      <x:c r="J1223" s="9" t="n">
        <x:f>SUM(SalesLines!P2989)</x:f>
        <x:v>0</x:v>
      </x:c>
      <x:c r="K1223" s="11" t="n">
        <x:f>SUM(SalesLines!R2989)</x:f>
        <x:v>1</x:v>
      </x:c>
      <x:c r="L1223" s="11" t="n">
        <x:f>SUM(SalesLines!S2989)</x:f>
        <x:v>0</x:v>
      </x:c>
      <x:c r="M1223" s="8" t="n">
        <x:f>DATE(YEAR(C1223),MONTH(C1223),1)</x:f>
        <x:v>45717</x:v>
      </x:c>
    </x:row>
    <x:row r="1224" ht="22" customHeight="1">
      <x:c r="A1224" s="2" t="str">
        <x:v>O01220</x:v>
      </x:c>
      <x:c r="B1224" s="2" t="str">
        <x:v>C0094</x:v>
      </x:c>
      <x:c r="C1224" s="7" t="n">
        <x:v>45664</x:v>
      </x:c>
      <x:c r="D1224" s="2" t="str">
        <x:v>Completed</x:v>
      </x:c>
      <x:c r="E1224" s="2" t="str">
        <x:v>West</x:v>
      </x:c>
      <x:c r="F1224" s="2" t="str">
        <x:v>Store</x:v>
      </x:c>
      <x:c r="G1224" s="9" t="n">
        <x:f>SUM(SalesLines!Q2990,SalesLines!Q2991,SalesLines!Q2992,SalesLines!Q2993)</x:f>
        <x:v>2172.4</x:v>
      </x:c>
      <x:c r="H1224" s="9" t="n">
        <x:f>SUM(SalesLines!M2990,SalesLines!M2991,SalesLines!M2992,SalesLines!M2993)</x:f>
        <x:v>2444</x:v>
      </x:c>
      <x:c r="I1224" s="9" t="n">
        <x:f>SUM(SalesLines!N2990,SalesLines!N2991,SalesLines!N2992,SalesLines!N2993)</x:f>
        <x:v>271.6</x:v>
      </x:c>
      <x:c r="J1224" s="9" t="n">
        <x:f>SUM(SalesLines!P2990,SalesLines!P2991,SalesLines!P2992,SalesLines!P2993)</x:f>
        <x:v>0</x:v>
      </x:c>
      <x:c r="K1224" s="11" t="n">
        <x:f>SUM(SalesLines!R2990,SalesLines!R2991,SalesLines!R2992,SalesLines!R2993)</x:f>
        <x:v>14</x:v>
      </x:c>
      <x:c r="L1224" s="11" t="n">
        <x:f>SUM(SalesLines!S2990,SalesLines!S2991,SalesLines!S2992,SalesLines!S2993)</x:f>
        <x:v>0</x:v>
      </x:c>
      <x:c r="M1224" s="8" t="n">
        <x:f>DATE(YEAR(C1224),MONTH(C1224),1)</x:f>
        <x:v>45658</x:v>
      </x:c>
    </x:row>
    <x:row r="1225" ht="22" customHeight="1">
      <x:c r="A1225" s="2" t="str">
        <x:v>O01221</x:v>
      </x:c>
      <x:c r="B1225" s="2" t="str">
        <x:v>C0178</x:v>
      </x:c>
      <x:c r="C1225" s="7" t="n">
        <x:v>45864</x:v>
      </x:c>
      <x:c r="D1225" s="2" t="str">
        <x:v>Completed</x:v>
      </x:c>
      <x:c r="E1225" s="2" t="str">
        <x:v>East</x:v>
      </x:c>
      <x:c r="F1225" s="2" t="str">
        <x:v>Online</x:v>
      </x:c>
      <x:c r="G1225" s="9" t="n">
        <x:f>SUM(SalesLines!Q2994,SalesLines!Q2995)</x:f>
        <x:v>907.8</x:v>
      </x:c>
      <x:c r="H1225" s="9" t="n">
        <x:f>SUM(SalesLines!M2994,SalesLines!M2995)</x:f>
        <x:v>1214</x:v>
      </x:c>
      <x:c r="I1225" s="9" t="n">
        <x:f>SUM(SalesLines!N2994,SalesLines!N2995)</x:f>
        <x:v>75.2</x:v>
      </x:c>
      <x:c r="J1225" s="9" t="n">
        <x:f>SUM(SalesLines!P2994,SalesLines!P2995)</x:f>
        <x:v>231</x:v>
      </x:c>
      <x:c r="K1225" s="11" t="n">
        <x:f>SUM(SalesLines!R2994,SalesLines!R2995)</x:f>
        <x:v>6</x:v>
      </x:c>
      <x:c r="L1225" s="11" t="n">
        <x:f>SUM(SalesLines!S2994,SalesLines!S2995)</x:f>
        <x:v>1</x:v>
      </x:c>
      <x:c r="M1225" s="8" t="n">
        <x:f>DATE(YEAR(C1225),MONTH(C1225),1)</x:f>
        <x:v>45839</x:v>
      </x:c>
    </x:row>
    <x:row r="1226" ht="22" customHeight="1">
      <x:c r="A1226" s="2" t="str">
        <x:v>O01222</x:v>
      </x:c>
      <x:c r="B1226" s="2" t="str">
        <x:v>C0084</x:v>
      </x:c>
      <x:c r="C1226" s="7" t="n">
        <x:v>45869</x:v>
      </x:c>
      <x:c r="D1226" s="2" t="str">
        <x:v>Completed</x:v>
      </x:c>
      <x:c r="E1226" s="2" t="str">
        <x:v>West</x:v>
      </x:c>
      <x:c r="F1226" s="2" t="str">
        <x:v>Online</x:v>
      </x:c>
      <x:c r="G1226" s="9" t="n">
        <x:f>SUM(SalesLines!Q2996,SalesLines!Q2997)</x:f>
        <x:v>986.4</x:v>
      </x:c>
      <x:c r="H1226" s="9" t="n">
        <x:f>SUM(SalesLines!M2996,SalesLines!M2997)</x:f>
        <x:v>1096</x:v>
      </x:c>
      <x:c r="I1226" s="9" t="n">
        <x:f>SUM(SalesLines!N2996,SalesLines!N2997)</x:f>
        <x:v>109.60000000000001</x:v>
      </x:c>
      <x:c r="J1226" s="9" t="n">
        <x:f>SUM(SalesLines!P2996,SalesLines!P2997)</x:f>
        <x:v>0</x:v>
      </x:c>
      <x:c r="K1226" s="11" t="n">
        <x:f>SUM(SalesLines!R2996,SalesLines!R2997)</x:f>
        <x:v>5</x:v>
      </x:c>
      <x:c r="L1226" s="11" t="n">
        <x:f>SUM(SalesLines!S2996,SalesLines!S2997)</x:f>
        <x:v>0</x:v>
      </x:c>
      <x:c r="M1226" s="8" t="n">
        <x:f>DATE(YEAR(C1226),MONTH(C1226),1)</x:f>
        <x:v>45839</x:v>
      </x:c>
    </x:row>
    <x:row r="1227" ht="22" customHeight="1">
      <x:c r="A1227" s="2" t="str">
        <x:v>O01223</x:v>
      </x:c>
      <x:c r="B1227" s="2" t="str">
        <x:v>C0268</x:v>
      </x:c>
      <x:c r="C1227" s="7" t="n">
        <x:v>46005</x:v>
      </x:c>
      <x:c r="D1227" s="2" t="str">
        <x:v>Completed</x:v>
      </x:c>
      <x:c r="E1227" s="2" t="str">
        <x:v>North</x:v>
      </x:c>
      <x:c r="F1227" s="2" t="str">
        <x:v>Online</x:v>
      </x:c>
      <x:c r="G1227" s="9" t="n">
        <x:f>SUM(SalesLines!Q2998,SalesLines!Q2999)</x:f>
        <x:v>1608.4</x:v>
      </x:c>
      <x:c r="H1227" s="9" t="n">
        <x:f>SUM(SalesLines!M2998,SalesLines!M2999)</x:f>
        <x:v>1724</x:v>
      </x:c>
      <x:c r="I1227" s="9" t="n">
        <x:f>SUM(SalesLines!N2998,SalesLines!N2999)</x:f>
        <x:v>115.60000000000001</x:v>
      </x:c>
      <x:c r="J1227" s="9" t="n">
        <x:f>SUM(SalesLines!P2998,SalesLines!P2999)</x:f>
        <x:v>0</x:v>
      </x:c>
      <x:c r="K1227" s="11" t="n">
        <x:f>SUM(SalesLines!R2998,SalesLines!R2999)</x:f>
        <x:v>7</x:v>
      </x:c>
      <x:c r="L1227" s="11" t="n">
        <x:f>SUM(SalesLines!S2998,SalesLines!S2999)</x:f>
        <x:v>0</x:v>
      </x:c>
      <x:c r="M1227" s="8" t="n">
        <x:f>DATE(YEAR(C1227),MONTH(C1227),1)</x:f>
        <x:v>45992</x:v>
      </x:c>
    </x:row>
    <x:row r="1228" ht="22" customHeight="1">
      <x:c r="A1228" s="2" t="str">
        <x:v>O01224</x:v>
      </x:c>
      <x:c r="B1228" s="2" t="str">
        <x:v>C0076</x:v>
      </x:c>
      <x:c r="C1228" s="7" t="n">
        <x:v>45931</x:v>
      </x:c>
      <x:c r="D1228" s="2" t="str">
        <x:v>Completed</x:v>
      </x:c>
      <x:c r="E1228" s="2" t="str">
        <x:v>East</x:v>
      </x:c>
      <x:c r="F1228" s="2" t="str">
        <x:v>Online</x:v>
      </x:c>
      <x:c r="G1228" s="9" t="n">
        <x:f>SUM(SalesLines!Q3000,SalesLines!Q3001,SalesLines!Q3002,SalesLines!Q3003)</x:f>
        <x:v>2864.3999999999996</x:v>
      </x:c>
      <x:c r="H1228" s="9" t="n">
        <x:f>SUM(SalesLines!M3000,SalesLines!M3001,SalesLines!M3002,SalesLines!M3003)</x:f>
        <x:v>3027</x:v>
      </x:c>
      <x:c r="I1228" s="9" t="n">
        <x:f>SUM(SalesLines!N3000,SalesLines!N3001,SalesLines!N3002,SalesLines!N3003)</x:f>
        <x:v>162.60000000000002</x:v>
      </x:c>
      <x:c r="J1228" s="9" t="n">
        <x:f>SUM(SalesLines!P3000,SalesLines!P3001,SalesLines!P3002,SalesLines!P3003)</x:f>
        <x:v>0</x:v>
      </x:c>
      <x:c r="K1228" s="11" t="n">
        <x:f>SUM(SalesLines!R3000,SalesLines!R3001,SalesLines!R3002,SalesLines!R3003)</x:f>
        <x:v>13</x:v>
      </x:c>
      <x:c r="L1228" s="11" t="n">
        <x:f>SUM(SalesLines!S3000,SalesLines!S3001,SalesLines!S3002,SalesLines!S3003)</x:f>
        <x:v>0</x:v>
      </x:c>
      <x:c r="M1228" s="8" t="n">
        <x:f>DATE(YEAR(C1228),MONTH(C1228),1)</x:f>
        <x:v>45931</x:v>
      </x:c>
    </x:row>
    <x:row r="1229" ht="22" customHeight="1">
      <x:c r="A1229" s="2" t="str">
        <x:v>O01225</x:v>
      </x:c>
      <x:c r="B1229" s="2" t="str">
        <x:v>C0214</x:v>
      </x:c>
      <x:c r="C1229" s="7" t="n">
        <x:v>45943</x:v>
      </x:c>
      <x:c r="D1229" s="2" t="str">
        <x:v>Completed</x:v>
      </x:c>
      <x:c r="E1229" s="2" t="str">
        <x:v>West</x:v>
      </x:c>
      <x:c r="F1229" s="2" t="str">
        <x:v>Online</x:v>
      </x:c>
      <x:c r="G1229" s="9" t="n">
        <x:f>SUM(SalesLines!Q3004,SalesLines!Q3005,SalesLines!Q3006)</x:f>
        <x:v>1125.3</x:v>
      </x:c>
      <x:c r="H1229" s="9" t="n">
        <x:f>SUM(SalesLines!M3004,SalesLines!M3005,SalesLines!M3006)</x:f>
        <x:v>1469</x:v>
      </x:c>
      <x:c r="I1229" s="9" t="n">
        <x:f>SUM(SalesLines!N3004,SalesLines!N3005,SalesLines!N3006)</x:f>
        <x:v>59.7</x:v>
      </x:c>
      <x:c r="J1229" s="9" t="n">
        <x:f>SUM(SalesLines!P3004,SalesLines!P3005,SalesLines!P3006)</x:f>
        <x:v>284</x:v>
      </x:c>
      <x:c r="K1229" s="11" t="n">
        <x:f>SUM(SalesLines!R3004,SalesLines!R3005,SalesLines!R3006)</x:f>
        <x:v>6</x:v>
      </x:c>
      <x:c r="L1229" s="11" t="n">
        <x:f>SUM(SalesLines!S3004,SalesLines!S3005,SalesLines!S3006)</x:f>
        <x:v>1</x:v>
      </x:c>
      <x:c r="M1229" s="8" t="n">
        <x:f>DATE(YEAR(C1229),MONTH(C1229),1)</x:f>
        <x:v>45931</x:v>
      </x:c>
    </x:row>
    <x:row r="1230" ht="22" customHeight="1">
      <x:c r="A1230" s="2" t="str">
        <x:v>O01226</x:v>
      </x:c>
      <x:c r="B1230" s="2" t="str">
        <x:v>C0295</x:v>
      </x:c>
      <x:c r="C1230" s="7" t="n">
        <x:v>45697</x:v>
      </x:c>
      <x:c r="D1230" s="2" t="str">
        <x:v>Completed</x:v>
      </x:c>
      <x:c r="E1230" s="2" t="str">
        <x:v>West</x:v>
      </x:c>
      <x:c r="F1230" s="2" t="str">
        <x:v>Store</x:v>
      </x:c>
      <x:c r="G1230" s="9" t="n">
        <x:f>SUM(SalesLines!Q3007,SalesLines!Q3008,SalesLines!Q3009,SalesLines!Q3010)</x:f>
        <x:v>1581.5</x:v>
      </x:c>
      <x:c r="H1230" s="9" t="n">
        <x:f>SUM(SalesLines!M3007,SalesLines!M3008,SalesLines!M3009,SalesLines!M3010)</x:f>
        <x:v>1726</x:v>
      </x:c>
      <x:c r="I1230" s="9" t="n">
        <x:f>SUM(SalesLines!N3007,SalesLines!N3008,SalesLines!N3009,SalesLines!N3010)</x:f>
        <x:v>144.5</x:v>
      </x:c>
      <x:c r="J1230" s="9" t="n">
        <x:f>SUM(SalesLines!P3007,SalesLines!P3008,SalesLines!P3009,SalesLines!P3010)</x:f>
        <x:v>0</x:v>
      </x:c>
      <x:c r="K1230" s="11" t="n">
        <x:f>SUM(SalesLines!R3007,SalesLines!R3008,SalesLines!R3009,SalesLines!R3010)</x:f>
        <x:v>9</x:v>
      </x:c>
      <x:c r="L1230" s="11" t="n">
        <x:f>SUM(SalesLines!S3007,SalesLines!S3008,SalesLines!S3009,SalesLines!S3010)</x:f>
        <x:v>0</x:v>
      </x:c>
      <x:c r="M1230" s="8" t="n">
        <x:f>DATE(YEAR(C1230),MONTH(C1230),1)</x:f>
        <x:v>45689</x:v>
      </x:c>
    </x:row>
    <x:row r="1231" ht="22" customHeight="1">
      <x:c r="A1231" s="2" t="str">
        <x:v>O01227</x:v>
      </x:c>
      <x:c r="B1231" s="2" t="str">
        <x:v>C0206</x:v>
      </x:c>
      <x:c r="C1231" s="7" t="n">
        <x:v>45958</x:v>
      </x:c>
      <x:c r="D1231" s="2" t="str">
        <x:v>Completed</x:v>
      </x:c>
      <x:c r="E1231" s="2" t="str">
        <x:v>West</x:v>
      </x:c>
      <x:c r="F1231" s="2" t="str">
        <x:v>Store</x:v>
      </x:c>
      <x:c r="G1231" s="9" t="n">
        <x:f>SUM(SalesLines!Q3011,SalesLines!Q3012,SalesLines!Q3013,SalesLines!Q3014)</x:f>
        <x:v>895.05</x:v>
      </x:c>
      <x:c r="H1231" s="9" t="n">
        <x:f>SUM(SalesLines!M3011,SalesLines!M3012,SalesLines!M3013,SalesLines!M3014)</x:f>
        <x:v>915</x:v>
      </x:c>
      <x:c r="I1231" s="9" t="n">
        <x:f>SUM(SalesLines!N3011,SalesLines!N3012,SalesLines!N3013,SalesLines!N3014)</x:f>
        <x:v>19.950000000000003</x:v>
      </x:c>
      <x:c r="J1231" s="9" t="n">
        <x:f>SUM(SalesLines!P3011,SalesLines!P3012,SalesLines!P3013,SalesLines!P3014)</x:f>
        <x:v>0</x:v>
      </x:c>
      <x:c r="K1231" s="11" t="n">
        <x:f>SUM(SalesLines!R3011,SalesLines!R3012,SalesLines!R3013,SalesLines!R3014)</x:f>
        <x:v>9</x:v>
      </x:c>
      <x:c r="L1231" s="11" t="n">
        <x:f>SUM(SalesLines!S3011,SalesLines!S3012,SalesLines!S3013,SalesLines!S3014)</x:f>
        <x:v>0</x:v>
      </x:c>
      <x:c r="M1231" s="8" t="n">
        <x:f>DATE(YEAR(C1231),MONTH(C1231),1)</x:f>
        <x:v>45931</x:v>
      </x:c>
    </x:row>
    <x:row r="1232" ht="22" customHeight="1">
      <x:c r="A1232" s="2" t="str">
        <x:v>O01228</x:v>
      </x:c>
      <x:c r="B1232" s="2" t="str">
        <x:v>C0105</x:v>
      </x:c>
      <x:c r="C1232" s="7" t="n">
        <x:v>45699</x:v>
      </x:c>
      <x:c r="D1232" s="2" t="str">
        <x:v>Completed</x:v>
      </x:c>
      <x:c r="E1232" s="2" t="str">
        <x:v>South</x:v>
      </x:c>
      <x:c r="F1232" s="2" t="str">
        <x:v>Store</x:v>
      </x:c>
      <x:c r="G1232" s="9" t="n">
        <x:f>SUM(SalesLines!Q3015,SalesLines!Q3016,SalesLines!Q3017)</x:f>
        <x:v>1474.6</x:v>
      </x:c>
      <x:c r="H1232" s="9" t="n">
        <x:f>SUM(SalesLines!M3015,SalesLines!M3016,SalesLines!M3017)</x:f>
        <x:v>1698</x:v>
      </x:c>
      <x:c r="I1232" s="9" t="n">
        <x:f>SUM(SalesLines!N3015,SalesLines!N3016,SalesLines!N3017)</x:f>
        <x:v>223.40000000000003</x:v>
      </x:c>
      <x:c r="J1232" s="9" t="n">
        <x:f>SUM(SalesLines!P3015,SalesLines!P3016,SalesLines!P3017)</x:f>
        <x:v>0</x:v>
      </x:c>
      <x:c r="K1232" s="11" t="n">
        <x:f>SUM(SalesLines!R3015,SalesLines!R3016,SalesLines!R3017)</x:f>
        <x:v>10</x:v>
      </x:c>
      <x:c r="L1232" s="11" t="n">
        <x:f>SUM(SalesLines!S3015,SalesLines!S3016,SalesLines!S3017)</x:f>
        <x:v>0</x:v>
      </x:c>
      <x:c r="M1232" s="8" t="n">
        <x:f>DATE(YEAR(C1232),MONTH(C1232),1)</x:f>
        <x:v>45689</x:v>
      </x:c>
    </x:row>
    <x:row r="1233" ht="22" customHeight="1">
      <x:c r="A1233" s="2" t="str">
        <x:v>O01229</x:v>
      </x:c>
      <x:c r="B1233" s="2" t="str">
        <x:v>C0004</x:v>
      </x:c>
      <x:c r="C1233" s="7" t="n">
        <x:v>45812</x:v>
      </x:c>
      <x:c r="D1233" s="2" t="str">
        <x:v>Completed</x:v>
      </x:c>
      <x:c r="E1233" s="2" t="str">
        <x:v>North</x:v>
      </x:c>
      <x:c r="F1233" s="2" t="str">
        <x:v>Online</x:v>
      </x:c>
      <x:c r="G1233" s="9" t="n">
        <x:f>SUM(SalesLines!Q3018,SalesLines!Q3019,SalesLines!Q3020,SalesLines!Q3021)</x:f>
        <x:v>2848.2</x:v>
      </x:c>
      <x:c r="H1233" s="9" t="n">
        <x:f>SUM(SalesLines!M3018,SalesLines!M3019,SalesLines!M3020,SalesLines!M3021)</x:f>
        <x:v>3020</x:v>
      </x:c>
      <x:c r="I1233" s="9" t="n">
        <x:f>SUM(SalesLines!N3018,SalesLines!N3019,SalesLines!N3020,SalesLines!N3021)</x:f>
        <x:v>171.8</x:v>
      </x:c>
      <x:c r="J1233" s="9" t="n">
        <x:f>SUM(SalesLines!P3018,SalesLines!P3019,SalesLines!P3020,SalesLines!P3021)</x:f>
        <x:v>0</x:v>
      </x:c>
      <x:c r="K1233" s="11" t="n">
        <x:f>SUM(SalesLines!R3018,SalesLines!R3019,SalesLines!R3020,SalesLines!R3021)</x:f>
        <x:v>12</x:v>
      </x:c>
      <x:c r="L1233" s="11" t="n">
        <x:f>SUM(SalesLines!S3018,SalesLines!S3019,SalesLines!S3020,SalesLines!S3021)</x:f>
        <x:v>0</x:v>
      </x:c>
      <x:c r="M1233" s="8" t="n">
        <x:f>DATE(YEAR(C1233),MONTH(C1233),1)</x:f>
        <x:v>45809</x:v>
      </x:c>
    </x:row>
    <x:row r="1234" ht="22" customHeight="1">
      <x:c r="A1234" s="2" t="str">
        <x:v>O01230</x:v>
      </x:c>
      <x:c r="B1234" s="2" t="str">
        <x:v>C0256</x:v>
      </x:c>
      <x:c r="C1234" s="7" t="n">
        <x:v>45890</x:v>
      </x:c>
      <x:c r="D1234" s="2" t="str">
        <x:v>Completed</x:v>
      </x:c>
      <x:c r="E1234" s="2" t="str">
        <x:v>North</x:v>
      </x:c>
      <x:c r="F1234" s="2" t="str">
        <x:v>Online</x:v>
      </x:c>
      <x:c r="G1234" s="9" t="n">
        <x:f>SUM(SalesLines!Q3022,SalesLines!Q3023)</x:f>
        <x:v>1124.25</x:v>
      </x:c>
      <x:c r="H1234" s="9" t="n">
        <x:f>SUM(SalesLines!M3022,SalesLines!M3023)</x:f>
        <x:v>1215</x:v>
      </x:c>
      <x:c r="I1234" s="9" t="n">
        <x:f>SUM(SalesLines!N3022,SalesLines!N3023)</x:f>
        <x:v>90.75</x:v>
      </x:c>
      <x:c r="J1234" s="9" t="n">
        <x:f>SUM(SalesLines!P3022,SalesLines!P3023)</x:f>
        <x:v>0</x:v>
      </x:c>
      <x:c r="K1234" s="11" t="n">
        <x:f>SUM(SalesLines!R3022,SalesLines!R3023)</x:f>
        <x:v>7</x:v>
      </x:c>
      <x:c r="L1234" s="11" t="n">
        <x:f>SUM(SalesLines!S3022,SalesLines!S3023)</x:f>
        <x:v>0</x:v>
      </x:c>
      <x:c r="M1234" s="8" t="n">
        <x:f>DATE(YEAR(C1234),MONTH(C1234),1)</x:f>
        <x:v>45870</x:v>
      </x:c>
    </x:row>
    <x:row r="1235" ht="22" customHeight="1">
      <x:c r="A1235" s="2" t="str">
        <x:v>O01231</x:v>
      </x:c>
      <x:c r="B1235" s="2" t="str">
        <x:v>C0112</x:v>
      </x:c>
      <x:c r="C1235" s="7" t="n">
        <x:v>45701</x:v>
      </x:c>
      <x:c r="D1235" s="2" t="str">
        <x:v>Completed</x:v>
      </x:c>
      <x:c r="E1235" s="2" t="str">
        <x:v>South</x:v>
      </x:c>
      <x:c r="F1235" s="2" t="str">
        <x:v>Online</x:v>
      </x:c>
      <x:c r="G1235" s="9" t="n">
        <x:f>SUM(SalesLines!Q3024,SalesLines!Q3025,SalesLines!Q3026,SalesLines!Q3027)</x:f>
        <x:v>2880.4</x:v>
      </x:c>
      <x:c r="H1235" s="9" t="n">
        <x:f>SUM(SalesLines!M3024,SalesLines!M3025,SalesLines!M3026,SalesLines!M3027)</x:f>
        <x:v>3122</x:v>
      </x:c>
      <x:c r="I1235" s="9" t="n">
        <x:f>SUM(SalesLines!N3024,SalesLines!N3025,SalesLines!N3026,SalesLines!N3027)</x:f>
        <x:v>241.60000000000002</x:v>
      </x:c>
      <x:c r="J1235" s="9" t="n">
        <x:f>SUM(SalesLines!P3024,SalesLines!P3025,SalesLines!P3026,SalesLines!P3027)</x:f>
        <x:v>0</x:v>
      </x:c>
      <x:c r="K1235" s="11" t="n">
        <x:f>SUM(SalesLines!R3024,SalesLines!R3025,SalesLines!R3026,SalesLines!R3027)</x:f>
        <x:v>16</x:v>
      </x:c>
      <x:c r="L1235" s="11" t="n">
        <x:f>SUM(SalesLines!S3024,SalesLines!S3025,SalesLines!S3026,SalesLines!S3027)</x:f>
        <x:v>0</x:v>
      </x:c>
      <x:c r="M1235" s="8" t="n">
        <x:f>DATE(YEAR(C1235),MONTH(C1235),1)</x:f>
        <x:v>45689</x:v>
      </x:c>
    </x:row>
    <x:row r="1236" ht="22" customHeight="1">
      <x:c r="A1236" s="2" t="str">
        <x:v>O01232</x:v>
      </x:c>
      <x:c r="B1236" s="2" t="str">
        <x:v>C0271</x:v>
      </x:c>
      <x:c r="C1236" s="7" t="n">
        <x:v>46004</x:v>
      </x:c>
      <x:c r="D1236" s="2" t="str">
        <x:v>Completed</x:v>
      </x:c>
      <x:c r="E1236" s="2" t="str">
        <x:v>West</x:v>
      </x:c>
      <x:c r="F1236" s="2" t="str">
        <x:v>Store</x:v>
      </x:c>
      <x:c r="G1236" s="9" t="n">
        <x:f>SUM(SalesLines!Q3028)</x:f>
        <x:v>257.45</x:v>
      </x:c>
      <x:c r="H1236" s="9" t="n">
        <x:f>SUM(SalesLines!M3028)</x:f>
        <x:v>271</x:v>
      </x:c>
      <x:c r="I1236" s="9" t="n">
        <x:f>SUM(SalesLines!N3028)</x:f>
        <x:v>13.55</x:v>
      </x:c>
      <x:c r="J1236" s="9" t="n">
        <x:f>SUM(SalesLines!P3028)</x:f>
        <x:v>0</x:v>
      </x:c>
      <x:c r="K1236" s="11" t="n">
        <x:f>SUM(SalesLines!R3028)</x:f>
        <x:v>1</x:v>
      </x:c>
      <x:c r="L1236" s="11" t="n">
        <x:f>SUM(SalesLines!S3028)</x:f>
        <x:v>0</x:v>
      </x:c>
      <x:c r="M1236" s="8" t="n">
        <x:f>DATE(YEAR(C1236),MONTH(C1236),1)</x:f>
        <x:v>45992</x:v>
      </x:c>
    </x:row>
    <x:row r="1237" ht="22" customHeight="1">
      <x:c r="A1237" s="2" t="str">
        <x:v>O01233</x:v>
      </x:c>
      <x:c r="B1237" s="2" t="str">
        <x:v>C0263</x:v>
      </x:c>
      <x:c r="C1237" s="7" t="n">
        <x:v>45885</x:v>
      </x:c>
      <x:c r="D1237" s="2" t="str">
        <x:v>Completed</x:v>
      </x:c>
      <x:c r="E1237" s="2" t="str">
        <x:v>East</x:v>
      </x:c>
      <x:c r="F1237" s="2" t="str">
        <x:v>Online</x:v>
      </x:c>
      <x:c r="G1237" s="9" t="n">
        <x:f>SUM(SalesLines!Q3029,SalesLines!Q3030,SalesLines!Q3031)</x:f>
        <x:v>1565.6</x:v>
      </x:c>
      <x:c r="H1237" s="9" t="n">
        <x:f>SUM(SalesLines!M3029,SalesLines!M3030,SalesLines!M3031)</x:f>
        <x:v>1726</x:v>
      </x:c>
      <x:c r="I1237" s="9" t="n">
        <x:f>SUM(SalesLines!N3029,SalesLines!N3030,SalesLines!N3031)</x:f>
        <x:v>160.4</x:v>
      </x:c>
      <x:c r="J1237" s="9" t="n">
        <x:f>SUM(SalesLines!P3029,SalesLines!P3030,SalesLines!P3031)</x:f>
        <x:v>0</x:v>
      </x:c>
      <x:c r="K1237" s="11" t="n">
        <x:f>SUM(SalesLines!R3029,SalesLines!R3030,SalesLines!R3031)</x:f>
        <x:v>7</x:v>
      </x:c>
      <x:c r="L1237" s="11" t="n">
        <x:f>SUM(SalesLines!S3029,SalesLines!S3030,SalesLines!S3031)</x:f>
        <x:v>0</x:v>
      </x:c>
      <x:c r="M1237" s="8" t="n">
        <x:f>DATE(YEAR(C1237),MONTH(C1237),1)</x:f>
        <x:v>45870</x:v>
      </x:c>
    </x:row>
    <x:row r="1238" ht="22" customHeight="1">
      <x:c r="A1238" s="2" t="str">
        <x:v>O01234</x:v>
      </x:c>
      <x:c r="B1238" s="2" t="str">
        <x:v>C0152</x:v>
      </x:c>
      <x:c r="C1238" s="7" t="n">
        <x:v>45879</x:v>
      </x:c>
      <x:c r="D1238" s="2" t="str">
        <x:v>Completed</x:v>
      </x:c>
      <x:c r="E1238" s="2" t="str">
        <x:v>West</x:v>
      </x:c>
      <x:c r="F1238" s="2" t="str">
        <x:v>Online</x:v>
      </x:c>
      <x:c r="G1238" s="9" t="n">
        <x:f>SUM(SalesLines!Q3032,SalesLines!Q3033,SalesLines!Q3034,SalesLines!Q3035)</x:f>
        <x:v>703.9</x:v>
      </x:c>
      <x:c r="H1238" s="9" t="n">
        <x:f>SUM(SalesLines!M3032,SalesLines!M3033,SalesLines!M3034,SalesLines!M3035)</x:f>
        <x:v>2050</x:v>
      </x:c>
      <x:c r="I1238" s="9" t="n">
        <x:f>SUM(SalesLines!N3032,SalesLines!N3033,SalesLines!N3034,SalesLines!N3035)</x:f>
        <x:v>139.1</x:v>
      </x:c>
      <x:c r="J1238" s="9" t="n">
        <x:f>SUM(SalesLines!P3032,SalesLines!P3033,SalesLines!P3034,SalesLines!P3035)</x:f>
        <x:v>1207</x:v>
      </x:c>
      <x:c r="K1238" s="11" t="n">
        <x:f>SUM(SalesLines!R3032,SalesLines!R3033,SalesLines!R3034,SalesLines!R3035)</x:f>
        <x:v>8</x:v>
      </x:c>
      <x:c r="L1238" s="11" t="n">
        <x:f>SUM(SalesLines!S3032,SalesLines!S3033,SalesLines!S3034,SalesLines!S3035)</x:f>
        <x:v>5</x:v>
      </x:c>
      <x:c r="M1238" s="8" t="n">
        <x:f>DATE(YEAR(C1238),MONTH(C1238),1)</x:f>
        <x:v>45870</x:v>
      </x:c>
    </x:row>
    <x:row r="1239" ht="22" customHeight="1">
      <x:c r="A1239" s="2" t="str">
        <x:v>O01235</x:v>
      </x:c>
      <x:c r="B1239" s="2" t="str">
        <x:v>C0256</x:v>
      </x:c>
      <x:c r="C1239" s="7" t="n">
        <x:v>45681</x:v>
      </x:c>
      <x:c r="D1239" s="2" t="str">
        <x:v>Completed</x:v>
      </x:c>
      <x:c r="E1239" s="2" t="str">
        <x:v>North</x:v>
      </x:c>
      <x:c r="F1239" s="2" t="str">
        <x:v>Store</x:v>
      </x:c>
      <x:c r="G1239" s="9" t="n">
        <x:f>SUM(SalesLines!Q3036,SalesLines!Q3037)</x:f>
        <x:v>1670.4</x:v>
      </x:c>
      <x:c r="H1239" s="9" t="n">
        <x:f>SUM(SalesLines!M3036,SalesLines!M3037)</x:f>
        <x:v>1961</x:v>
      </x:c>
      <x:c r="I1239" s="9" t="n">
        <x:f>SUM(SalesLines!N3036,SalesLines!N3037)</x:f>
        <x:v>290.6</x:v>
      </x:c>
      <x:c r="J1239" s="9" t="n">
        <x:f>SUM(SalesLines!P3036,SalesLines!P3037)</x:f>
        <x:v>0</x:v>
      </x:c>
      <x:c r="K1239" s="11" t="n">
        <x:f>SUM(SalesLines!R3036,SalesLines!R3037)</x:f>
        <x:v>9</x:v>
      </x:c>
      <x:c r="L1239" s="11" t="n">
        <x:f>SUM(SalesLines!S3036,SalesLines!S3037)</x:f>
        <x:v>0</x:v>
      </x:c>
      <x:c r="M1239" s="8" t="n">
        <x:f>DATE(YEAR(C1239),MONTH(C1239),1)</x:f>
        <x:v>45658</x:v>
      </x:c>
    </x:row>
    <x:row r="1240" ht="22" customHeight="1">
      <x:c r="A1240" s="2" t="str">
        <x:v>O01236</x:v>
      </x:c>
      <x:c r="B1240" s="2" t="str">
        <x:v>C0276</x:v>
      </x:c>
      <x:c r="C1240" s="7" t="n">
        <x:v>45690</x:v>
      </x:c>
      <x:c r="D1240" s="2" t="str">
        <x:v>Completed</x:v>
      </x:c>
      <x:c r="E1240" s="2" t="str">
        <x:v>South</x:v>
      </x:c>
      <x:c r="F1240" s="2" t="str">
        <x:v>Online</x:v>
      </x:c>
      <x:c r="G1240" s="9" t="n">
        <x:f>SUM(SalesLines!Q3038,SalesLines!Q3039,SalesLines!Q3040,SalesLines!Q3041)</x:f>
        <x:v>1252.9</x:v>
      </x:c>
      <x:c r="H1240" s="9" t="n">
        <x:f>SUM(SalesLines!M3038,SalesLines!M3039,SalesLines!M3040,SalesLines!M3041)</x:f>
        <x:v>1340</x:v>
      </x:c>
      <x:c r="I1240" s="9" t="n">
        <x:f>SUM(SalesLines!N3038,SalesLines!N3039,SalesLines!N3040,SalesLines!N3041)</x:f>
        <x:v>87.1</x:v>
      </x:c>
      <x:c r="J1240" s="9" t="n">
        <x:f>SUM(SalesLines!P3038,SalesLines!P3039,SalesLines!P3040,SalesLines!P3041)</x:f>
        <x:v>0</x:v>
      </x:c>
      <x:c r="K1240" s="11" t="n">
        <x:f>SUM(SalesLines!R3038,SalesLines!R3039,SalesLines!R3040,SalesLines!R3041)</x:f>
        <x:v>7</x:v>
      </x:c>
      <x:c r="L1240" s="11" t="n">
        <x:f>SUM(SalesLines!S3038,SalesLines!S3039,SalesLines!S3040,SalesLines!S3041)</x:f>
        <x:v>0</x:v>
      </x:c>
      <x:c r="M1240" s="8" t="n">
        <x:f>DATE(YEAR(C1240),MONTH(C1240),1)</x:f>
        <x:v>45689</x:v>
      </x:c>
    </x:row>
    <x:row r="1241" ht="22" customHeight="1">
      <x:c r="A1241" s="2" t="str">
        <x:v>O01237</x:v>
      </x:c>
      <x:c r="B1241" s="2" t="str">
        <x:v>C0147</x:v>
      </x:c>
      <x:c r="C1241" s="7" t="n">
        <x:v>45862</x:v>
      </x:c>
      <x:c r="D1241" s="2" t="str">
        <x:v>Cancelled</x:v>
      </x:c>
      <x:c r="E1241" s="2" t="str">
        <x:v>East</x:v>
      </x:c>
      <x:c r="F1241" s="2" t="str">
        <x:v>Store</x:v>
      </x:c>
      <x:c r="G1241" s="9" t="n">
        <x:f>SUM(SalesLines!Q3042,SalesLines!Q3043)</x:f>
        <x:v>0</x:v>
      </x:c>
      <x:c r="H1241" s="9" t="n">
        <x:f>SUM(SalesLines!M3042,SalesLines!M3043)</x:f>
        <x:v>0</x:v>
      </x:c>
      <x:c r="I1241" s="9" t="n">
        <x:f>SUM(SalesLines!N3042,SalesLines!N3043)</x:f>
        <x:v>0</x:v>
      </x:c>
      <x:c r="J1241" s="9" t="n">
        <x:f>SUM(SalesLines!P3042,SalesLines!P3043)</x:f>
        <x:v>0</x:v>
      </x:c>
      <x:c r="K1241" s="11" t="n">
        <x:f>SUM(SalesLines!R3042,SalesLines!R3043)</x:f>
        <x:v>0</x:v>
      </x:c>
      <x:c r="L1241" s="11" t="n">
        <x:f>SUM(SalesLines!S3042,SalesLines!S3043)</x:f>
        <x:v>0</x:v>
      </x:c>
      <x:c r="M1241" s="8" t="n">
        <x:f>DATE(YEAR(C1241),MONTH(C1241),1)</x:f>
        <x:v>45839</x:v>
      </x:c>
    </x:row>
    <x:row r="1242" ht="22" customHeight="1">
      <x:c r="A1242" s="2" t="str">
        <x:v>O01238</x:v>
      </x:c>
      <x:c r="B1242" s="2" t="str">
        <x:v>C0129</x:v>
      </x:c>
      <x:c r="C1242" s="7" t="n">
        <x:v>45797</x:v>
      </x:c>
      <x:c r="D1242" s="2" t="str">
        <x:v>Completed</x:v>
      </x:c>
      <x:c r="E1242" s="2" t="str">
        <x:v>North</x:v>
      </x:c>
      <x:c r="F1242" s="2" t="str">
        <x:v>Online</x:v>
      </x:c>
      <x:c r="G1242" s="9" t="n">
        <x:f>SUM(SalesLines!Q3044,SalesLines!Q3045)</x:f>
        <x:v>1172</x:v>
      </x:c>
      <x:c r="H1242" s="9" t="n">
        <x:f>SUM(SalesLines!M3044,SalesLines!M3045)</x:f>
        <x:v>1240</x:v>
      </x:c>
      <x:c r="I1242" s="9" t="n">
        <x:f>SUM(SalesLines!N3044,SalesLines!N3045)</x:f>
        <x:v>68</x:v>
      </x:c>
      <x:c r="J1242" s="9" t="n">
        <x:f>SUM(SalesLines!P3044,SalesLines!P3045)</x:f>
        <x:v>0</x:v>
      </x:c>
      <x:c r="K1242" s="11" t="n">
        <x:f>SUM(SalesLines!R3044,SalesLines!R3045)</x:f>
        <x:v>8</x:v>
      </x:c>
      <x:c r="L1242" s="11" t="n">
        <x:f>SUM(SalesLines!S3044,SalesLines!S3045)</x:f>
        <x:v>0</x:v>
      </x:c>
      <x:c r="M1242" s="8" t="n">
        <x:f>DATE(YEAR(C1242),MONTH(C1242),1)</x:f>
        <x:v>45778</x:v>
      </x:c>
    </x:row>
    <x:row r="1243" ht="22" customHeight="1">
      <x:c r="A1243" s="2" t="str">
        <x:v>O01239</x:v>
      </x:c>
      <x:c r="B1243" s="2" t="str">
        <x:v>C0263</x:v>
      </x:c>
      <x:c r="C1243" s="7" t="n">
        <x:v>45793</x:v>
      </x:c>
      <x:c r="D1243" s="2" t="str">
        <x:v>Completed</x:v>
      </x:c>
      <x:c r="E1243" s="2" t="str">
        <x:v>East</x:v>
      </x:c>
      <x:c r="F1243" s="2" t="str">
        <x:v>Online</x:v>
      </x:c>
      <x:c r="G1243" s="9" t="n">
        <x:f>SUM(SalesLines!Q3046,SalesLines!Q3047,SalesLines!Q3048,SalesLines!Q3049)</x:f>
        <x:v>2048</x:v>
      </x:c>
      <x:c r="H1243" s="9" t="n">
        <x:f>SUM(SalesLines!M3046,SalesLines!M3047,SalesLines!M3048,SalesLines!M3049)</x:f>
        <x:v>2212</x:v>
      </x:c>
      <x:c r="I1243" s="9" t="n">
        <x:f>SUM(SalesLines!N3046,SalesLines!N3047,SalesLines!N3048,SalesLines!N3049)</x:f>
        <x:v>164.00000000000003</x:v>
      </x:c>
      <x:c r="J1243" s="9" t="n">
        <x:f>SUM(SalesLines!P3046,SalesLines!P3047,SalesLines!P3048,SalesLines!P3049)</x:f>
        <x:v>0</x:v>
      </x:c>
      <x:c r="K1243" s="11" t="n">
        <x:f>SUM(SalesLines!R3046,SalesLines!R3047,SalesLines!R3048,SalesLines!R3049)</x:f>
        <x:v>10</x:v>
      </x:c>
      <x:c r="L1243" s="11" t="n">
        <x:f>SUM(SalesLines!S3046,SalesLines!S3047,SalesLines!S3048,SalesLines!S3049)</x:f>
        <x:v>0</x:v>
      </x:c>
      <x:c r="M1243" s="8" t="n">
        <x:f>DATE(YEAR(C1243),MONTH(C1243),1)</x:f>
        <x:v>45778</x:v>
      </x:c>
    </x:row>
    <x:row r="1244" ht="22" customHeight="1">
      <x:c r="A1244" s="2" t="str">
        <x:v>O01240</x:v>
      </x:c>
      <x:c r="B1244" s="2" t="str">
        <x:v>C0063</x:v>
      </x:c>
      <x:c r="C1244" s="7" t="n">
        <x:v>46000</x:v>
      </x:c>
      <x:c r="D1244" s="2" t="str">
        <x:v>Completed</x:v>
      </x:c>
      <x:c r="E1244" s="2" t="str">
        <x:v>West</x:v>
      </x:c>
      <x:c r="F1244" s="2" t="str">
        <x:v>Store</x:v>
      </x:c>
      <x:c r="G1244" s="9" t="n">
        <x:f>SUM(SalesLines!Q3050,SalesLines!Q3051,SalesLines!Q3052)</x:f>
        <x:v>1544.4</x:v>
      </x:c>
      <x:c r="H1244" s="9" t="n">
        <x:f>SUM(SalesLines!M3050,SalesLines!M3051,SalesLines!M3052)</x:f>
        <x:v>1752</x:v>
      </x:c>
      <x:c r="I1244" s="9" t="n">
        <x:f>SUM(SalesLines!N3050,SalesLines!N3051,SalesLines!N3052)</x:f>
        <x:v>207.60000000000002</x:v>
      </x:c>
      <x:c r="J1244" s="9" t="n">
        <x:f>SUM(SalesLines!P3050,SalesLines!P3051,SalesLines!P3052)</x:f>
        <x:v>0</x:v>
      </x:c>
      <x:c r="K1244" s="11" t="n">
        <x:f>SUM(SalesLines!R3050,SalesLines!R3051,SalesLines!R3052)</x:f>
        <x:v>13</x:v>
      </x:c>
      <x:c r="L1244" s="11" t="n">
        <x:f>SUM(SalesLines!S3050,SalesLines!S3051,SalesLines!S3052)</x:f>
        <x:v>0</x:v>
      </x:c>
      <x:c r="M1244" s="8" t="n">
        <x:f>DATE(YEAR(C1244),MONTH(C1244),1)</x:f>
        <x:v>45992</x:v>
      </x:c>
    </x:row>
    <x:row r="1245" ht="22" customHeight="1">
      <x:c r="A1245" s="2" t="str">
        <x:v>O01241</x:v>
      </x:c>
      <x:c r="B1245" s="2" t="str">
        <x:v>C0017</x:v>
      </x:c>
      <x:c r="C1245" s="7" t="n">
        <x:v>45751</x:v>
      </x:c>
      <x:c r="D1245" s="2" t="str">
        <x:v>Completed</x:v>
      </x:c>
      <x:c r="E1245" s="2" t="str">
        <x:v>South</x:v>
      </x:c>
      <x:c r="F1245" s="2" t="str">
        <x:v>Store</x:v>
      </x:c>
      <x:c r="G1245" s="9" t="n">
        <x:f>SUM(SalesLines!Q3053)</x:f>
        <x:v>615</x:v>
      </x:c>
      <x:c r="H1245" s="9" t="n">
        <x:f>SUM(SalesLines!M3053)</x:f>
        <x:v>615</x:v>
      </x:c>
      <x:c r="I1245" s="9" t="n">
        <x:f>SUM(SalesLines!N3053)</x:f>
        <x:v>0</x:v>
      </x:c>
      <x:c r="J1245" s="9" t="n">
        <x:f>SUM(SalesLines!P3053)</x:f>
        <x:v>0</x:v>
      </x:c>
      <x:c r="K1245" s="11" t="n">
        <x:f>SUM(SalesLines!R3053)</x:f>
        <x:v>5</x:v>
      </x:c>
      <x:c r="L1245" s="11" t="n">
        <x:f>SUM(SalesLines!S3053)</x:f>
        <x:v>0</x:v>
      </x:c>
      <x:c r="M1245" s="8" t="n">
        <x:f>DATE(YEAR(C1245),MONTH(C1245),1)</x:f>
        <x:v>45748</x:v>
      </x:c>
    </x:row>
    <x:row r="1246" ht="22" customHeight="1">
      <x:c r="A1246" s="2" t="str">
        <x:v>O01242</x:v>
      </x:c>
      <x:c r="B1246" s="2" t="str">
        <x:v>C0224</x:v>
      </x:c>
      <x:c r="C1246" s="7" t="n">
        <x:v>45953</x:v>
      </x:c>
      <x:c r="D1246" s="2" t="str">
        <x:v>Completed</x:v>
      </x:c>
      <x:c r="E1246" s="2" t="str">
        <x:v>West</x:v>
      </x:c>
      <x:c r="F1246" s="2" t="str">
        <x:v>Online</x:v>
      </x:c>
      <x:c r="G1246" s="9" t="n">
        <x:f>SUM(SalesLines!Q3054,SalesLines!Q3055,SalesLines!Q3056)</x:f>
        <x:v>1710.2</x:v>
      </x:c>
      <x:c r="H1246" s="9" t="n">
        <x:f>SUM(SalesLines!M3054,SalesLines!M3055,SalesLines!M3056)</x:f>
        <x:v>1930</x:v>
      </x:c>
      <x:c r="I1246" s="9" t="n">
        <x:f>SUM(SalesLines!N3054,SalesLines!N3055,SalesLines!N3056)</x:f>
        <x:v>219.8</x:v>
      </x:c>
      <x:c r="J1246" s="9" t="n">
        <x:f>SUM(SalesLines!P3054,SalesLines!P3055,SalesLines!P3056)</x:f>
        <x:v>0</x:v>
      </x:c>
      <x:c r="K1246" s="11" t="n">
        <x:f>SUM(SalesLines!R3054,SalesLines!R3055,SalesLines!R3056)</x:f>
        <x:v>8</x:v>
      </x:c>
      <x:c r="L1246" s="11" t="n">
        <x:f>SUM(SalesLines!S3054,SalesLines!S3055,SalesLines!S3056)</x:f>
        <x:v>0</x:v>
      </x:c>
      <x:c r="M1246" s="8" t="n">
        <x:f>DATE(YEAR(C1246),MONTH(C1246),1)</x:f>
        <x:v>45931</x:v>
      </x:c>
    </x:row>
    <x:row r="1247" ht="22" customHeight="1">
      <x:c r="A1247" s="2" t="str">
        <x:v>O01243</x:v>
      </x:c>
      <x:c r="B1247" s="2" t="str">
        <x:v>C0079</x:v>
      </x:c>
      <x:c r="C1247" s="7" t="n">
        <x:v>45847</x:v>
      </x:c>
      <x:c r="D1247" s="2" t="str">
        <x:v>Completed</x:v>
      </x:c>
      <x:c r="E1247" s="2" t="str">
        <x:v>West</x:v>
      </x:c>
      <x:c r="F1247" s="2" t="str">
        <x:v>Online</x:v>
      </x:c>
      <x:c r="G1247" s="9" t="n">
        <x:f>SUM(SalesLines!Q3057,SalesLines!Q3058,SalesLines!Q3059,SalesLines!Q3060)</x:f>
        <x:v>1761.95</x:v>
      </x:c>
      <x:c r="H1247" s="9" t="n">
        <x:f>SUM(SalesLines!M3057,SalesLines!M3058,SalesLines!M3059,SalesLines!M3060)</x:f>
        <x:v>1879</x:v>
      </x:c>
      <x:c r="I1247" s="9" t="n">
        <x:f>SUM(SalesLines!N3057,SalesLines!N3058,SalesLines!N3059,SalesLines!N3060)</x:f>
        <x:v>117.05000000000001</x:v>
      </x:c>
      <x:c r="J1247" s="9" t="n">
        <x:f>SUM(SalesLines!P3057,SalesLines!P3058,SalesLines!P3059,SalesLines!P3060)</x:f>
        <x:v>0</x:v>
      </x:c>
      <x:c r="K1247" s="11" t="n">
        <x:f>SUM(SalesLines!R3057,SalesLines!R3058,SalesLines!R3059,SalesLines!R3060)</x:f>
        <x:v>8</x:v>
      </x:c>
      <x:c r="L1247" s="11" t="n">
        <x:f>SUM(SalesLines!S3057,SalesLines!S3058,SalesLines!S3059,SalesLines!S3060)</x:f>
        <x:v>0</x:v>
      </x:c>
      <x:c r="M1247" s="8" t="n">
        <x:f>DATE(YEAR(C1247),MONTH(C1247),1)</x:f>
        <x:v>45839</x:v>
      </x:c>
    </x:row>
    <x:row r="1248" ht="22" customHeight="1">
      <x:c r="A1248" s="2" t="str">
        <x:v>O01244</x:v>
      </x:c>
      <x:c r="B1248" s="2" t="str">
        <x:v>C0245</x:v>
      </x:c>
      <x:c r="C1248" s="7" t="n">
        <x:v>45966</x:v>
      </x:c>
      <x:c r="D1248" s="2" t="str">
        <x:v>Completed</x:v>
      </x:c>
      <x:c r="E1248" s="2" t="str">
        <x:v>North</x:v>
      </x:c>
      <x:c r="F1248" s="2" t="str">
        <x:v>Online</x:v>
      </x:c>
      <x:c r="G1248" s="9" t="n">
        <x:f>SUM(SalesLines!Q3061,SalesLines!Q3062)</x:f>
        <x:v>280.8</x:v>
      </x:c>
      <x:c r="H1248" s="9" t="n">
        <x:f>SUM(SalesLines!M3061,SalesLines!M3062)</x:f>
        <x:v>1074</x:v>
      </x:c>
      <x:c r="I1248" s="9" t="n">
        <x:f>SUM(SalesLines!N3061,SalesLines!N3062)</x:f>
        <x:v>31.200000000000003</x:v>
      </x:c>
      <x:c r="J1248" s="9" t="n">
        <x:f>SUM(SalesLines!P3061,SalesLines!P3062)</x:f>
        <x:v>762</x:v>
      </x:c>
      <x:c r="K1248" s="11" t="n">
        <x:f>SUM(SalesLines!R3061,SalesLines!R3062)</x:f>
        <x:v>7</x:v>
      </x:c>
      <x:c r="L1248" s="11" t="n">
        <x:f>SUM(SalesLines!S3061,SalesLines!S3062)</x:f>
        <x:v>3</x:v>
      </x:c>
      <x:c r="M1248" s="8" t="n">
        <x:f>DATE(YEAR(C1248),MONTH(C1248),1)</x:f>
        <x:v>45962</x:v>
      </x:c>
    </x:row>
    <x:row r="1249" ht="22" customHeight="1">
      <x:c r="A1249" s="2" t="str">
        <x:v>O01245</x:v>
      </x:c>
      <x:c r="B1249" s="2" t="str">
        <x:v>C0008</x:v>
      </x:c>
      <x:c r="C1249" s="7" t="n">
        <x:v>45984</x:v>
      </x:c>
      <x:c r="D1249" s="2" t="str">
        <x:v>Completed</x:v>
      </x:c>
      <x:c r="E1249" s="2" t="str">
        <x:v>North</x:v>
      </x:c>
      <x:c r="F1249" s="2" t="str">
        <x:v>Store</x:v>
      </x:c>
      <x:c r="G1249" s="9" t="n">
        <x:f>SUM(SalesLines!Q3063,SalesLines!Q3064,SalesLines!Q3065)</x:f>
        <x:v>1692.35</x:v>
      </x:c>
      <x:c r="H1249" s="9" t="n">
        <x:f>SUM(SalesLines!M3063,SalesLines!M3064,SalesLines!M3065)</x:f>
        <x:v>1750</x:v>
      </x:c>
      <x:c r="I1249" s="9" t="n">
        <x:f>SUM(SalesLines!N3063,SalesLines!N3064,SalesLines!N3065)</x:f>
        <x:v>57.650000000000006</x:v>
      </x:c>
      <x:c r="J1249" s="9" t="n">
        <x:f>SUM(SalesLines!P3063,SalesLines!P3064,SalesLines!P3065)</x:f>
        <x:v>0</x:v>
      </x:c>
      <x:c r="K1249" s="11" t="n">
        <x:f>SUM(SalesLines!R3063,SalesLines!R3064,SalesLines!R3065)</x:f>
        <x:v>11</x:v>
      </x:c>
      <x:c r="L1249" s="11" t="n">
        <x:f>SUM(SalesLines!S3063,SalesLines!S3064,SalesLines!S3065)</x:f>
        <x:v>0</x:v>
      </x:c>
      <x:c r="M1249" s="8" t="n">
        <x:f>DATE(YEAR(C1249),MONTH(C1249),1)</x:f>
        <x:v>45962</x:v>
      </x:c>
    </x:row>
    <x:row r="1250" ht="22" customHeight="1">
      <x:c r="A1250" s="2" t="str">
        <x:v>O01246</x:v>
      </x:c>
      <x:c r="B1250" s="2" t="str">
        <x:v>C0251</x:v>
      </x:c>
      <x:c r="C1250" s="7" t="n">
        <x:v>46021</x:v>
      </x:c>
      <x:c r="D1250" s="2" t="str">
        <x:v>Completed</x:v>
      </x:c>
      <x:c r="E1250" s="2" t="str">
        <x:v>North</x:v>
      </x:c>
      <x:c r="F1250" s="2" t="str">
        <x:v>Online</x:v>
      </x:c>
      <x:c r="G1250" s="9" t="n">
        <x:f>SUM(SalesLines!Q3066)</x:f>
        <x:v>83.7</x:v>
      </x:c>
      <x:c r="H1250" s="9" t="n">
        <x:f>SUM(SalesLines!M3066)</x:f>
        <x:v>93</x:v>
      </x:c>
      <x:c r="I1250" s="9" t="n">
        <x:f>SUM(SalesLines!N3066)</x:f>
        <x:v>9.3</x:v>
      </x:c>
      <x:c r="J1250" s="9" t="n">
        <x:f>SUM(SalesLines!P3066)</x:f>
        <x:v>0</x:v>
      </x:c>
      <x:c r="K1250" s="11" t="n">
        <x:f>SUM(SalesLines!R3066)</x:f>
        <x:v>1</x:v>
      </x:c>
      <x:c r="L1250" s="11" t="n">
        <x:f>SUM(SalesLines!S3066)</x:f>
        <x:v>0</x:v>
      </x:c>
      <x:c r="M1250" s="8" t="n">
        <x:f>DATE(YEAR(C1250),MONTH(C1250),1)</x:f>
        <x:v>45992</x:v>
      </x:c>
    </x:row>
    <x:row r="1251" ht="22" customHeight="1">
      <x:c r="A1251" s="2" t="str">
        <x:v>O01247</x:v>
      </x:c>
      <x:c r="B1251" s="2" t="str">
        <x:v>C0198</x:v>
      </x:c>
      <x:c r="C1251" s="7" t="n">
        <x:v>45890</x:v>
      </x:c>
      <x:c r="D1251" s="2" t="str">
        <x:v>Completed</x:v>
      </x:c>
      <x:c r="E1251" s="2" t="str">
        <x:v>West</x:v>
      </x:c>
      <x:c r="F1251" s="2" t="str">
        <x:v>Store</x:v>
      </x:c>
      <x:c r="G1251" s="9" t="n">
        <x:f>SUM(SalesLines!Q3067)</x:f>
        <x:v>207.9</x:v>
      </x:c>
      <x:c r="H1251" s="9" t="n">
        <x:f>SUM(SalesLines!M3067)</x:f>
        <x:v>231</x:v>
      </x:c>
      <x:c r="I1251" s="9" t="n">
        <x:f>SUM(SalesLines!N3067)</x:f>
        <x:v>23.1</x:v>
      </x:c>
      <x:c r="J1251" s="9" t="n">
        <x:f>SUM(SalesLines!P3067)</x:f>
        <x:v>0</x:v>
      </x:c>
      <x:c r="K1251" s="11" t="n">
        <x:f>SUM(SalesLines!R3067)</x:f>
        <x:v>1</x:v>
      </x:c>
      <x:c r="L1251" s="11" t="n">
        <x:f>SUM(SalesLines!S3067)</x:f>
        <x:v>0</x:v>
      </x:c>
      <x:c r="M1251" s="8" t="n">
        <x:f>DATE(YEAR(C1251),MONTH(C1251),1)</x:f>
        <x:v>45870</x:v>
      </x:c>
    </x:row>
    <x:row r="1252" ht="22" customHeight="1">
      <x:c r="A1252" s="2" t="str">
        <x:v>O01248</x:v>
      </x:c>
      <x:c r="B1252" s="2" t="str">
        <x:v>C0278</x:v>
      </x:c>
      <x:c r="C1252" s="7" t="n">
        <x:v>45754</x:v>
      </x:c>
      <x:c r="D1252" s="2" t="str">
        <x:v>Completed</x:v>
      </x:c>
      <x:c r="E1252" s="2" t="str">
        <x:v>North</x:v>
      </x:c>
      <x:c r="F1252" s="2" t="str">
        <x:v>Online</x:v>
      </x:c>
      <x:c r="G1252" s="9" t="n">
        <x:f>SUM(SalesLines!Q3068,SalesLines!Q3069,SalesLines!Q3070)</x:f>
        <x:v>1896</x:v>
      </x:c>
      <x:c r="H1252" s="9" t="n">
        <x:f>SUM(SalesLines!M3068,SalesLines!M3069,SalesLines!M3070)</x:f>
        <x:v>2043</x:v>
      </x:c>
      <x:c r="I1252" s="9" t="n">
        <x:f>SUM(SalesLines!N3068,SalesLines!N3069,SalesLines!N3070)</x:f>
        <x:v>147</x:v>
      </x:c>
      <x:c r="J1252" s="9" t="n">
        <x:f>SUM(SalesLines!P3068,SalesLines!P3069,SalesLines!P3070)</x:f>
        <x:v>0</x:v>
      </x:c>
      <x:c r="K1252" s="11" t="n">
        <x:f>SUM(SalesLines!R3068,SalesLines!R3069,SalesLines!R3070)</x:f>
        <x:v>8</x:v>
      </x:c>
      <x:c r="L1252" s="11" t="n">
        <x:f>SUM(SalesLines!S3068,SalesLines!S3069,SalesLines!S3070)</x:f>
        <x:v>0</x:v>
      </x:c>
      <x:c r="M1252" s="8" t="n">
        <x:f>DATE(YEAR(C1252),MONTH(C1252),1)</x:f>
        <x:v>45748</x:v>
      </x:c>
    </x:row>
    <x:row r="1253" ht="22" customHeight="1">
      <x:c r="A1253" s="2" t="str">
        <x:v>O01249</x:v>
      </x:c>
      <x:c r="B1253" s="2" t="str">
        <x:v>C0226</x:v>
      </x:c>
      <x:c r="C1253" s="7" t="n">
        <x:v>45858</x:v>
      </x:c>
      <x:c r="D1253" s="2" t="str">
        <x:v>Completed</x:v>
      </x:c>
      <x:c r="E1253" s="2" t="str">
        <x:v>South</x:v>
      </x:c>
      <x:c r="F1253" s="2" t="str">
        <x:v>Store</x:v>
      </x:c>
      <x:c r="G1253" s="9" t="n">
        <x:f>SUM(SalesLines!Q3071,SalesLines!Q3072,SalesLines!Q3073)</x:f>
        <x:v>1028.85</x:v>
      </x:c>
      <x:c r="H1253" s="9" t="n">
        <x:f>SUM(SalesLines!M3071,SalesLines!M3072,SalesLines!M3073)</x:f>
        <x:v>1282</x:v>
      </x:c>
      <x:c r="I1253" s="9" t="n">
        <x:f>SUM(SalesLines!N3071,SalesLines!N3072,SalesLines!N3073)</x:f>
        <x:v>64.10000000000001</x:v>
      </x:c>
      <x:c r="J1253" s="9" t="n">
        <x:f>SUM(SalesLines!P3071,SalesLines!P3072,SalesLines!P3073)</x:f>
        <x:v>189.04999999999998</x:v>
      </x:c>
      <x:c r="K1253" s="11" t="n">
        <x:f>SUM(SalesLines!R3071,SalesLines!R3072,SalesLines!R3073)</x:f>
        <x:v>9</x:v>
      </x:c>
      <x:c r="L1253" s="11" t="n">
        <x:f>SUM(SalesLines!S3071,SalesLines!S3072,SalesLines!S3073)</x:f>
        <x:v>1</x:v>
      </x:c>
      <x:c r="M1253" s="8" t="n">
        <x:f>DATE(YEAR(C1253),MONTH(C1253),1)</x:f>
        <x:v>45839</x:v>
      </x:c>
    </x:row>
    <x:row r="1254" ht="22" customHeight="1">
      <x:c r="A1254" s="2" t="str">
        <x:v>O01250</x:v>
      </x:c>
      <x:c r="B1254" s="2" t="str">
        <x:v>C0172</x:v>
      </x:c>
      <x:c r="C1254" s="7" t="n">
        <x:v>45735</x:v>
      </x:c>
      <x:c r="D1254" s="2" t="str">
        <x:v>Completed</x:v>
      </x:c>
      <x:c r="E1254" s="2" t="str">
        <x:v>North</x:v>
      </x:c>
      <x:c r="F1254" s="2" t="str">
        <x:v>Store</x:v>
      </x:c>
      <x:c r="G1254" s="9" t="n">
        <x:f>SUM(SalesLines!Q3074,SalesLines!Q3075,SalesLines!Q3076)</x:f>
        <x:v>1742.2</x:v>
      </x:c>
      <x:c r="H1254" s="9" t="n">
        <x:f>SUM(SalesLines!M3074,SalesLines!M3075,SalesLines!M3076)</x:f>
        <x:v>1925</x:v>
      </x:c>
      <x:c r="I1254" s="9" t="n">
        <x:f>SUM(SalesLines!N3074,SalesLines!N3075,SalesLines!N3076)</x:f>
        <x:v>182.8</x:v>
      </x:c>
      <x:c r="J1254" s="9" t="n">
        <x:f>SUM(SalesLines!P3074,SalesLines!P3075,SalesLines!P3076)</x:f>
        <x:v>0</x:v>
      </x:c>
      <x:c r="K1254" s="11" t="n">
        <x:f>SUM(SalesLines!R3074,SalesLines!R3075,SalesLines!R3076)</x:f>
        <x:v>11</x:v>
      </x:c>
      <x:c r="L1254" s="11" t="n">
        <x:f>SUM(SalesLines!S3074,SalesLines!S3075,SalesLines!S3076)</x:f>
        <x:v>0</x:v>
      </x:c>
      <x:c r="M1254" s="8" t="n">
        <x:f>DATE(YEAR(C1254),MONTH(C1254),1)</x:f>
        <x:v>45717</x:v>
      </x:c>
    </x:row>
    <x:row r="1255" ht="22" customHeight="1">
      <x:c r="A1255" s="2" t="str">
        <x:v>O01251</x:v>
      </x:c>
      <x:c r="B1255" s="2" t="str">
        <x:v>C0076</x:v>
      </x:c>
      <x:c r="C1255" s="7" t="n">
        <x:v>45879</x:v>
      </x:c>
      <x:c r="D1255" s="2" t="str">
        <x:v>Completed</x:v>
      </x:c>
      <x:c r="E1255" s="2" t="str">
        <x:v>East</x:v>
      </x:c>
      <x:c r="F1255" s="2" t="str">
        <x:v>Store</x:v>
      </x:c>
      <x:c r="G1255" s="9" t="n">
        <x:f>SUM(SalesLines!Q3077)</x:f>
        <x:v>279.3</x:v>
      </x:c>
      <x:c r="H1255" s="9" t="n">
        <x:f>SUM(SalesLines!M3077)</x:f>
        <x:v>294</x:v>
      </x:c>
      <x:c r="I1255" s="9" t="n">
        <x:f>SUM(SalesLines!N3077)</x:f>
        <x:v>14.700000000000001</x:v>
      </x:c>
      <x:c r="J1255" s="9" t="n">
        <x:f>SUM(SalesLines!P3077)</x:f>
        <x:v>0</x:v>
      </x:c>
      <x:c r="K1255" s="11" t="n">
        <x:f>SUM(SalesLines!R3077)</x:f>
        <x:v>1</x:v>
      </x:c>
      <x:c r="L1255" s="11" t="n">
        <x:f>SUM(SalesLines!S3077)</x:f>
        <x:v>0</x:v>
      </x:c>
      <x:c r="M1255" s="8" t="n">
        <x:f>DATE(YEAR(C1255),MONTH(C1255),1)</x:f>
        <x:v>45870</x:v>
      </x:c>
    </x:row>
    <x:row r="1256" ht="22" customHeight="1">
      <x:c r="A1256" s="2" t="str">
        <x:v>O01252</x:v>
      </x:c>
      <x:c r="B1256" s="2" t="str">
        <x:v>C0119</x:v>
      </x:c>
      <x:c r="C1256" s="7" t="n">
        <x:v>45969</x:v>
      </x:c>
      <x:c r="D1256" s="2" t="str">
        <x:v>Completed</x:v>
      </x:c>
      <x:c r="E1256" s="2" t="str">
        <x:v>North</x:v>
      </x:c>
      <x:c r="F1256" s="2" t="str">
        <x:v>Online</x:v>
      </x:c>
      <x:c r="G1256" s="9" t="n">
        <x:f>SUM(SalesLines!Q3078,SalesLines!Q3079)</x:f>
        <x:v>135.85</x:v>
      </x:c>
      <x:c r="H1256" s="9" t="n">
        <x:f>SUM(SalesLines!M3078,SalesLines!M3079)</x:f>
        <x:v>143</x:v>
      </x:c>
      <x:c r="I1256" s="9" t="n">
        <x:f>SUM(SalesLines!N3078,SalesLines!N3079)</x:f>
        <x:v>7.15</x:v>
      </x:c>
      <x:c r="J1256" s="9" t="n">
        <x:f>SUM(SalesLines!P3078,SalesLines!P3079)</x:f>
        <x:v>0</x:v>
      </x:c>
      <x:c r="K1256" s="11" t="n">
        <x:f>SUM(SalesLines!R3078,SalesLines!R3079)</x:f>
        <x:v>2</x:v>
      </x:c>
      <x:c r="L1256" s="11" t="n">
        <x:f>SUM(SalesLines!S3078,SalesLines!S3079)</x:f>
        <x:v>0</x:v>
      </x:c>
      <x:c r="M1256" s="8" t="n">
        <x:f>DATE(YEAR(C1256),MONTH(C1256),1)</x:f>
        <x:v>45962</x:v>
      </x:c>
    </x:row>
    <x:row r="1257" ht="22" customHeight="1">
      <x:c r="A1257" s="2" t="str">
        <x:v>O01253</x:v>
      </x:c>
      <x:c r="B1257" s="2" t="str">
        <x:v>C0009</x:v>
      </x:c>
      <x:c r="C1257" s="7" t="n">
        <x:v>45856</x:v>
      </x:c>
      <x:c r="D1257" s="2" t="str">
        <x:v>Completed</x:v>
      </x:c>
      <x:c r="E1257" s="2" t="str">
        <x:v>South</x:v>
      </x:c>
      <x:c r="F1257" s="2" t="str">
        <x:v>Store</x:v>
      </x:c>
      <x:c r="G1257" s="9" t="n">
        <x:f>SUM(SalesLines!Q3080)</x:f>
        <x:v>542</x:v>
      </x:c>
      <x:c r="H1257" s="9" t="n">
        <x:f>SUM(SalesLines!M3080)</x:f>
        <x:v>542</x:v>
      </x:c>
      <x:c r="I1257" s="9" t="n">
        <x:f>SUM(SalesLines!N3080)</x:f>
        <x:v>0</x:v>
      </x:c>
      <x:c r="J1257" s="9" t="n">
        <x:f>SUM(SalesLines!P3080)</x:f>
        <x:v>0</x:v>
      </x:c>
      <x:c r="K1257" s="11" t="n">
        <x:f>SUM(SalesLines!R3080)</x:f>
        <x:v>2</x:v>
      </x:c>
      <x:c r="L1257" s="11" t="n">
        <x:f>SUM(SalesLines!S3080)</x:f>
        <x:v>0</x:v>
      </x:c>
      <x:c r="M1257" s="8" t="n">
        <x:f>DATE(YEAR(C1257),MONTH(C1257),1)</x:f>
        <x:v>45839</x:v>
      </x:c>
    </x:row>
    <x:row r="1258" ht="22" customHeight="1">
      <x:c r="A1258" s="2" t="str">
        <x:v>O01254</x:v>
      </x:c>
      <x:c r="B1258" s="2" t="str">
        <x:v>C0048</x:v>
      </x:c>
      <x:c r="C1258" s="7" t="n">
        <x:v>45783</x:v>
      </x:c>
      <x:c r="D1258" s="2" t="str">
        <x:v>Completed</x:v>
      </x:c>
      <x:c r="E1258" s="2" t="str">
        <x:v>East</x:v>
      </x:c>
      <x:c r="F1258" s="2" t="str">
        <x:v>Online</x:v>
      </x:c>
      <x:c r="G1258" s="9" t="n">
        <x:f>SUM(SalesLines!Q3081,SalesLines!Q3082,SalesLines!Q3083,SalesLines!Q3084)</x:f>
        <x:v>1122.1</x:v>
      </x:c>
      <x:c r="H1258" s="9" t="n">
        <x:f>SUM(SalesLines!M3081,SalesLines!M3082,SalesLines!M3083,SalesLines!M3084)</x:f>
        <x:v>1226</x:v>
      </x:c>
      <x:c r="I1258" s="9" t="n">
        <x:f>SUM(SalesLines!N3081,SalesLines!N3082,SalesLines!N3083,SalesLines!N3084)</x:f>
        <x:v>103.9</x:v>
      </x:c>
      <x:c r="J1258" s="9" t="n">
        <x:f>SUM(SalesLines!P3081,SalesLines!P3082,SalesLines!P3083,SalesLines!P3084)</x:f>
        <x:v>0</x:v>
      </x:c>
      <x:c r="K1258" s="11" t="n">
        <x:f>SUM(SalesLines!R3081,SalesLines!R3082,SalesLines!R3083,SalesLines!R3084)</x:f>
        <x:v>9</x:v>
      </x:c>
      <x:c r="L1258" s="11" t="n">
        <x:f>SUM(SalesLines!S3081,SalesLines!S3082,SalesLines!S3083,SalesLines!S3084)</x:f>
        <x:v>0</x:v>
      </x:c>
      <x:c r="M1258" s="8" t="n">
        <x:f>DATE(YEAR(C1258),MONTH(C1258),1)</x:f>
        <x:v>45778</x:v>
      </x:c>
    </x:row>
    <x:row r="1259" ht="22" customHeight="1">
      <x:c r="A1259" s="2" t="str">
        <x:v>O01255</x:v>
      </x:c>
      <x:c r="B1259" s="2" t="str">
        <x:v>C0254</x:v>
      </x:c>
      <x:c r="C1259" s="7" t="n">
        <x:v>45865</x:v>
      </x:c>
      <x:c r="D1259" s="2" t="str">
        <x:v>Completed</x:v>
      </x:c>
      <x:c r="E1259" s="2" t="str">
        <x:v>East</x:v>
      </x:c>
      <x:c r="F1259" s="2" t="str">
        <x:v>Store</x:v>
      </x:c>
      <x:c r="G1259" s="9" t="n">
        <x:f>SUM(SalesLines!Q3085,SalesLines!Q3086,SalesLines!Q3087)</x:f>
        <x:v>889.2</x:v>
      </x:c>
      <x:c r="H1259" s="9" t="n">
        <x:f>SUM(SalesLines!M3085,SalesLines!M3086,SalesLines!M3087)</x:f>
        <x:v>1058</x:v>
      </x:c>
      <x:c r="I1259" s="9" t="n">
        <x:f>SUM(SalesLines!N3085,SalesLines!N3086,SalesLines!N3087)</x:f>
        <x:v>59</x:v>
      </x:c>
      <x:c r="J1259" s="9" t="n">
        <x:f>SUM(SalesLines!P3085,SalesLines!P3086,SalesLines!P3087)</x:f>
        <x:v>109.8</x:v>
      </x:c>
      <x:c r="K1259" s="11" t="n">
        <x:f>SUM(SalesLines!R3085,SalesLines!R3086,SalesLines!R3087)</x:f>
        <x:v>10</x:v>
      </x:c>
      <x:c r="L1259" s="11" t="n">
        <x:f>SUM(SalesLines!S3085,SalesLines!S3086,SalesLines!S3087)</x:f>
        <x:v>1</x:v>
      </x:c>
      <x:c r="M1259" s="8" t="n">
        <x:f>DATE(YEAR(C1259),MONTH(C1259),1)</x:f>
        <x:v>45839</x:v>
      </x:c>
    </x:row>
    <x:row r="1260" ht="22" customHeight="1">
      <x:c r="A1260" s="2" t="str">
        <x:v>O01256</x:v>
      </x:c>
      <x:c r="B1260" s="2" t="str">
        <x:v>C0082</x:v>
      </x:c>
      <x:c r="C1260" s="7" t="n">
        <x:v>45901</x:v>
      </x:c>
      <x:c r="D1260" s="2" t="str">
        <x:v>Completed</x:v>
      </x:c>
      <x:c r="E1260" s="2" t="str">
        <x:v>North</x:v>
      </x:c>
      <x:c r="F1260" s="2" t="str">
        <x:v>Online</x:v>
      </x:c>
      <x:c r="G1260" s="9" t="n">
        <x:f>SUM(SalesLines!Q3088,SalesLines!Q3089,SalesLines!Q3090,SalesLines!Q3091)</x:f>
        <x:v>2732.3</x:v>
      </x:c>
      <x:c r="H1260" s="9" t="n">
        <x:f>SUM(SalesLines!M3088,SalesLines!M3089,SalesLines!M3090,SalesLines!M3091)</x:f>
        <x:v>2999</x:v>
      </x:c>
      <x:c r="I1260" s="9" t="n">
        <x:f>SUM(SalesLines!N3088,SalesLines!N3089,SalesLines!N3090,SalesLines!N3091)</x:f>
        <x:v>266.7</x:v>
      </x:c>
      <x:c r="J1260" s="9" t="n">
        <x:f>SUM(SalesLines!P3088,SalesLines!P3089,SalesLines!P3090,SalesLines!P3091)</x:f>
        <x:v>0</x:v>
      </x:c>
      <x:c r="K1260" s="11" t="n">
        <x:f>SUM(SalesLines!R3088,SalesLines!R3089,SalesLines!R3090,SalesLines!R3091)</x:f>
        <x:v>13</x:v>
      </x:c>
      <x:c r="L1260" s="11" t="n">
        <x:f>SUM(SalesLines!S3088,SalesLines!S3089,SalesLines!S3090,SalesLines!S3091)</x:f>
        <x:v>0</x:v>
      </x:c>
      <x:c r="M1260" s="8" t="n">
        <x:f>DATE(YEAR(C1260),MONTH(C1260),1)</x:f>
        <x:v>45901</x:v>
      </x:c>
    </x:row>
    <x:row r="1261" ht="22" customHeight="1">
      <x:c r="A1261" s="2" t="str">
        <x:v>O01257</x:v>
      </x:c>
      <x:c r="B1261" s="2" t="str">
        <x:v>C0110</x:v>
      </x:c>
      <x:c r="C1261" s="7" t="n">
        <x:v>46011</x:v>
      </x:c>
      <x:c r="D1261" s="2" t="str">
        <x:v>Completed</x:v>
      </x:c>
      <x:c r="E1261" s="2" t="str">
        <x:v>West</x:v>
      </x:c>
      <x:c r="F1261" s="2" t="str">
        <x:v>Online</x:v>
      </x:c>
      <x:c r="G1261" s="9" t="n">
        <x:f>SUM(SalesLines!Q3092,SalesLines!Q3093,SalesLines!Q3094,SalesLines!Q3095)</x:f>
        <x:v>2268.85</x:v>
      </x:c>
      <x:c r="H1261" s="9" t="n">
        <x:f>SUM(SalesLines!M3092,SalesLines!M3093,SalesLines!M3094,SalesLines!M3095)</x:f>
        <x:v>2531</x:v>
      </x:c>
      <x:c r="I1261" s="9" t="n">
        <x:f>SUM(SalesLines!N3092,SalesLines!N3093,SalesLines!N3094,SalesLines!N3095)</x:f>
        <x:v>262.15</x:v>
      </x:c>
      <x:c r="J1261" s="9" t="n">
        <x:f>SUM(SalesLines!P3092,SalesLines!P3093,SalesLines!P3094,SalesLines!P3095)</x:f>
        <x:v>0</x:v>
      </x:c>
      <x:c r="K1261" s="11" t="n">
        <x:f>SUM(SalesLines!R3092,SalesLines!R3093,SalesLines!R3094,SalesLines!R3095)</x:f>
        <x:v>13</x:v>
      </x:c>
      <x:c r="L1261" s="11" t="n">
        <x:f>SUM(SalesLines!S3092,SalesLines!S3093,SalesLines!S3094,SalesLines!S3095)</x:f>
        <x:v>0</x:v>
      </x:c>
      <x:c r="M1261" s="8" t="n">
        <x:f>DATE(YEAR(C1261),MONTH(C1261),1)</x:f>
        <x:v>45992</x:v>
      </x:c>
    </x:row>
    <x:row r="1262" ht="22" customHeight="1">
      <x:c r="A1262" s="2" t="str">
        <x:v>O01258</x:v>
      </x:c>
      <x:c r="B1262" s="2" t="str">
        <x:v>C0088</x:v>
      </x:c>
      <x:c r="C1262" s="7" t="n">
        <x:v>45814</x:v>
      </x:c>
      <x:c r="D1262" s="2" t="str">
        <x:v>Completed</x:v>
      </x:c>
      <x:c r="E1262" s="2" t="str">
        <x:v>West</x:v>
      </x:c>
      <x:c r="F1262" s="2" t="str">
        <x:v>Online</x:v>
      </x:c>
      <x:c r="G1262" s="9" t="n">
        <x:f>SUM(SalesLines!Q3096,SalesLines!Q3097,SalesLines!Q3098)</x:f>
        <x:v>1308.8</x:v>
      </x:c>
      <x:c r="H1262" s="9" t="n">
        <x:f>SUM(SalesLines!M3096,SalesLines!M3097,SalesLines!M3098)</x:f>
        <x:v>1363</x:v>
      </x:c>
      <x:c r="I1262" s="9" t="n">
        <x:f>SUM(SalesLines!N3096,SalesLines!N3097,SalesLines!N3098)</x:f>
        <x:v>54.2</x:v>
      </x:c>
      <x:c r="J1262" s="9" t="n">
        <x:f>SUM(SalesLines!P3096,SalesLines!P3097,SalesLines!P3098)</x:f>
        <x:v>0</x:v>
      </x:c>
      <x:c r="K1262" s="11" t="n">
        <x:f>SUM(SalesLines!R3096,SalesLines!R3097,SalesLines!R3098)</x:f>
        <x:v>10</x:v>
      </x:c>
      <x:c r="L1262" s="11" t="n">
        <x:f>SUM(SalesLines!S3096,SalesLines!S3097,SalesLines!S3098)</x:f>
        <x:v>0</x:v>
      </x:c>
      <x:c r="M1262" s="8" t="n">
        <x:f>DATE(YEAR(C1262),MONTH(C1262),1)</x:f>
        <x:v>45809</x:v>
      </x:c>
    </x:row>
    <x:row r="1263" ht="22" customHeight="1">
      <x:c r="A1263" s="2" t="str">
        <x:v>O01259</x:v>
      </x:c>
      <x:c r="B1263" s="2" t="str">
        <x:v>C0110</x:v>
      </x:c>
      <x:c r="C1263" s="7" t="n">
        <x:v>46001</x:v>
      </x:c>
      <x:c r="D1263" s="2" t="str">
        <x:v>Completed</x:v>
      </x:c>
      <x:c r="E1263" s="2" t="str">
        <x:v>West</x:v>
      </x:c>
      <x:c r="F1263" s="2" t="str">
        <x:v>Online</x:v>
      </x:c>
      <x:c r="G1263" s="9" t="n">
        <x:f>SUM(SalesLines!Q3099,SalesLines!Q3100,SalesLines!Q3101)</x:f>
        <x:v>679.6500000000001</x:v>
      </x:c>
      <x:c r="H1263" s="9" t="n">
        <x:f>SUM(SalesLines!M3099,SalesLines!M3100,SalesLines!M3101)</x:f>
        <x:v>769</x:v>
      </x:c>
      <x:c r="I1263" s="9" t="n">
        <x:f>SUM(SalesLines!N3099,SalesLines!N3100,SalesLines!N3101)</x:f>
        <x:v>89.35000000000001</x:v>
      </x:c>
      <x:c r="J1263" s="9" t="n">
        <x:f>SUM(SalesLines!P3099,SalesLines!P3100,SalesLines!P3101)</x:f>
        <x:v>0</x:v>
      </x:c>
      <x:c r="K1263" s="11" t="n">
        <x:f>SUM(SalesLines!R3099,SalesLines!R3100,SalesLines!R3101)</x:f>
        <x:v>3</x:v>
      </x:c>
      <x:c r="L1263" s="11" t="n">
        <x:f>SUM(SalesLines!S3099,SalesLines!S3100,SalesLines!S3101)</x:f>
        <x:v>0</x:v>
      </x:c>
      <x:c r="M1263" s="8" t="n">
        <x:f>DATE(YEAR(C1263),MONTH(C1263),1)</x:f>
        <x:v>45992</x:v>
      </x:c>
    </x:row>
    <x:row r="1264" ht="22" customHeight="1">
      <x:c r="A1264" s="2" t="str">
        <x:v>O01260</x:v>
      </x:c>
      <x:c r="B1264" s="2" t="str">
        <x:v>C0091</x:v>
      </x:c>
      <x:c r="C1264" s="7" t="n">
        <x:v>45688</x:v>
      </x:c>
      <x:c r="D1264" s="2" t="str">
        <x:v>Completed</x:v>
      </x:c>
      <x:c r="E1264" s="2" t="str">
        <x:v>North</x:v>
      </x:c>
      <x:c r="F1264" s="2" t="str">
        <x:v>Online</x:v>
      </x:c>
      <x:c r="G1264" s="9" t="n">
        <x:f>SUM(SalesLines!Q3102)</x:f>
        <x:v>975.6</x:v>
      </x:c>
      <x:c r="H1264" s="9" t="n">
        <x:f>SUM(SalesLines!M3102)</x:f>
        <x:v>1084</x:v>
      </x:c>
      <x:c r="I1264" s="9" t="n">
        <x:f>SUM(SalesLines!N3102)</x:f>
        <x:v>108.4</x:v>
      </x:c>
      <x:c r="J1264" s="9" t="n">
        <x:f>SUM(SalesLines!P3102)</x:f>
        <x:v>0</x:v>
      </x:c>
      <x:c r="K1264" s="11" t="n">
        <x:f>SUM(SalesLines!R3102)</x:f>
        <x:v>4</x:v>
      </x:c>
      <x:c r="L1264" s="11" t="n">
        <x:f>SUM(SalesLines!S3102)</x:f>
        <x:v>0</x:v>
      </x:c>
      <x:c r="M1264" s="8" t="n">
        <x:f>DATE(YEAR(C1264),MONTH(C1264),1)</x:f>
        <x:v>45658</x:v>
      </x:c>
    </x:row>
    <x:row r="1265" ht="22" customHeight="1">
      <x:c r="A1265" s="2" t="str">
        <x:v>O01261</x:v>
      </x:c>
      <x:c r="B1265" s="2" t="str">
        <x:v>C0138</x:v>
      </x:c>
      <x:c r="C1265" s="7" t="n">
        <x:v>45938</x:v>
      </x:c>
      <x:c r="D1265" s="2" t="str">
        <x:v>Completed</x:v>
      </x:c>
      <x:c r="E1265" s="2" t="str">
        <x:v>South</x:v>
      </x:c>
      <x:c r="F1265" s="2" t="str">
        <x:v>Online</x:v>
      </x:c>
      <x:c r="G1265" s="9" t="n">
        <x:f>SUM(SalesLines!Q3103,SalesLines!Q3104)</x:f>
        <x:v>641</x:v>
      </x:c>
      <x:c r="H1265" s="9" t="n">
        <x:f>SUM(SalesLines!M3103,SalesLines!M3104)</x:f>
        <x:v>641</x:v>
      </x:c>
      <x:c r="I1265" s="9" t="n">
        <x:f>SUM(SalesLines!N3103,SalesLines!N3104)</x:f>
        <x:v>0</x:v>
      </x:c>
      <x:c r="J1265" s="9" t="n">
        <x:f>SUM(SalesLines!P3103,SalesLines!P3104)</x:f>
        <x:v>0</x:v>
      </x:c>
      <x:c r="K1265" s="11" t="n">
        <x:f>SUM(SalesLines!R3103,SalesLines!R3104)</x:f>
        <x:v>5</x:v>
      </x:c>
      <x:c r="L1265" s="11" t="n">
        <x:f>SUM(SalesLines!S3103,SalesLines!S3104)</x:f>
        <x:v>0</x:v>
      </x:c>
      <x:c r="M1265" s="8" t="n">
        <x:f>DATE(YEAR(C1265),MONTH(C1265),1)</x:f>
        <x:v>45931</x:v>
      </x:c>
    </x:row>
    <x:row r="1266" ht="22" customHeight="1">
      <x:c r="A1266" s="2" t="str">
        <x:v>O01262</x:v>
      </x:c>
      <x:c r="B1266" s="2" t="str">
        <x:v>C0030</x:v>
      </x:c>
      <x:c r="C1266" s="7" t="n">
        <x:v>45744</x:v>
      </x:c>
      <x:c r="D1266" s="2" t="str">
        <x:v>Completed</x:v>
      </x:c>
      <x:c r="E1266" s="2" t="str">
        <x:v>South</x:v>
      </x:c>
      <x:c r="F1266" s="2" t="str">
        <x:v>Store</x:v>
      </x:c>
      <x:c r="G1266" s="9" t="n">
        <x:f>SUM(SalesLines!Q3105,SalesLines!Q3106)</x:f>
        <x:v>844.2</x:v>
      </x:c>
      <x:c r="H1266" s="9" t="n">
        <x:f>SUM(SalesLines!M3105,SalesLines!M3106)</x:f>
        <x:v>1017</x:v>
      </x:c>
      <x:c r="I1266" s="9" t="n">
        <x:f>SUM(SalesLines!N3105,SalesLines!N3106)</x:f>
        <x:v>172.8</x:v>
      </x:c>
      <x:c r="J1266" s="9" t="n">
        <x:f>SUM(SalesLines!P3105,SalesLines!P3106)</x:f>
        <x:v>0</x:v>
      </x:c>
      <x:c r="K1266" s="11" t="n">
        <x:f>SUM(SalesLines!R3105,SalesLines!R3106)</x:f>
        <x:v>6</x:v>
      </x:c>
      <x:c r="L1266" s="11" t="n">
        <x:f>SUM(SalesLines!S3105,SalesLines!S3106)</x:f>
        <x:v>0</x:v>
      </x:c>
      <x:c r="M1266" s="8" t="n">
        <x:f>DATE(YEAR(C1266),MONTH(C1266),1)</x:f>
        <x:v>45717</x:v>
      </x:c>
    </x:row>
    <x:row r="1267" ht="22" customHeight="1">
      <x:c r="A1267" s="2" t="str">
        <x:v>O01263</x:v>
      </x:c>
      <x:c r="B1267" s="2" t="str">
        <x:v>C0199</x:v>
      </x:c>
      <x:c r="C1267" s="7" t="n">
        <x:v>45737</x:v>
      </x:c>
      <x:c r="D1267" s="2" t="str">
        <x:v>Completed</x:v>
      </x:c>
      <x:c r="E1267" s="2" t="str">
        <x:v>North</x:v>
      </x:c>
      <x:c r="F1267" s="2" t="str">
        <x:v>Store</x:v>
      </x:c>
      <x:c r="G1267" s="9" t="n">
        <x:f>SUM(SalesLines!Q3107,SalesLines!Q3108,SalesLines!Q3109,SalesLines!Q3110)</x:f>
        <x:v>994.8499999999999</x:v>
      </x:c>
      <x:c r="H1267" s="9" t="n">
        <x:f>SUM(SalesLines!M3107,SalesLines!M3108,SalesLines!M3109,SalesLines!M3110)</x:f>
        <x:v>2782</x:v>
      </x:c>
      <x:c r="I1267" s="9" t="n">
        <x:f>SUM(SalesLines!N3107,SalesLines!N3108,SalesLines!N3109,SalesLines!N3110)</x:f>
        <x:v>247.65000000000003</x:v>
      </x:c>
      <x:c r="J1267" s="9" t="n">
        <x:f>SUM(SalesLines!P3107,SalesLines!P3108,SalesLines!P3109,SalesLines!P3110)</x:f>
        <x:v>1539.5</x:v>
      </x:c>
      <x:c r="K1267" s="11" t="n">
        <x:f>SUM(SalesLines!R3107,SalesLines!R3108,SalesLines!R3109,SalesLines!R3110)</x:f>
        <x:v>11</x:v>
      </x:c>
      <x:c r="L1267" s="11" t="n">
        <x:f>SUM(SalesLines!S3107,SalesLines!S3108,SalesLines!S3109,SalesLines!S3110)</x:f>
        <x:v>7</x:v>
      </x:c>
      <x:c r="M1267" s="8" t="n">
        <x:f>DATE(YEAR(C1267),MONTH(C1267),1)</x:f>
        <x:v>45717</x:v>
      </x:c>
    </x:row>
    <x:row r="1268" ht="22" customHeight="1">
      <x:c r="A1268" s="2" t="str">
        <x:v>O01264</x:v>
      </x:c>
      <x:c r="B1268" s="2" t="str">
        <x:v>C0269</x:v>
      </x:c>
      <x:c r="C1268" s="7" t="n">
        <x:v>45689</x:v>
      </x:c>
      <x:c r="D1268" s="2" t="str">
        <x:v>Completed</x:v>
      </x:c>
      <x:c r="E1268" s="2" t="str">
        <x:v>East</x:v>
      </x:c>
      <x:c r="F1268" s="2" t="str">
        <x:v>Store</x:v>
      </x:c>
      <x:c r="G1268" s="9" t="n">
        <x:f>SUM(SalesLines!Q3111,SalesLines!Q3112,SalesLines!Q3113)</x:f>
        <x:v>1239.3000000000002</x:v>
      </x:c>
      <x:c r="H1268" s="9" t="n">
        <x:f>SUM(SalesLines!M3111,SalesLines!M3112,SalesLines!M3113)</x:f>
        <x:v>1363</x:v>
      </x:c>
      <x:c r="I1268" s="9" t="n">
        <x:f>SUM(SalesLines!N3111,SalesLines!N3112,SalesLines!N3113)</x:f>
        <x:v>123.69999999999999</x:v>
      </x:c>
      <x:c r="J1268" s="9" t="n">
        <x:f>SUM(SalesLines!P3111,SalesLines!P3112,SalesLines!P3113)</x:f>
        <x:v>0</x:v>
      </x:c>
      <x:c r="K1268" s="11" t="n">
        <x:f>SUM(SalesLines!R3111,SalesLines!R3112,SalesLines!R3113)</x:f>
        <x:v>5</x:v>
      </x:c>
      <x:c r="L1268" s="11" t="n">
        <x:f>SUM(SalesLines!S3111,SalesLines!S3112,SalesLines!S3113)</x:f>
        <x:v>0</x:v>
      </x:c>
      <x:c r="M1268" s="8" t="n">
        <x:f>DATE(YEAR(C1268),MONTH(C1268),1)</x:f>
        <x:v>45689</x:v>
      </x:c>
    </x:row>
    <x:row r="1269" ht="22" customHeight="1">
      <x:c r="A1269" s="2" t="str">
        <x:v>O01265</x:v>
      </x:c>
      <x:c r="B1269" s="2" t="str">
        <x:v>C0210</x:v>
      </x:c>
      <x:c r="C1269" s="7" t="n">
        <x:v>45997</x:v>
      </x:c>
      <x:c r="D1269" s="2" t="str">
        <x:v>Completed</x:v>
      </x:c>
      <x:c r="E1269" s="2" t="str">
        <x:v>North</x:v>
      </x:c>
      <x:c r="F1269" s="2" t="str">
        <x:v>Store</x:v>
      </x:c>
      <x:c r="G1269" s="9" t="n">
        <x:f>SUM(SalesLines!Q3114,SalesLines!Q3115)</x:f>
        <x:v>373.75</x:v>
      </x:c>
      <x:c r="H1269" s="9" t="n">
        <x:f>SUM(SalesLines!M3114,SalesLines!M3115)</x:f>
        <x:v>390</x:v>
      </x:c>
      <x:c r="I1269" s="9" t="n">
        <x:f>SUM(SalesLines!N3114,SalesLines!N3115)</x:f>
        <x:v>16.25</x:v>
      </x:c>
      <x:c r="J1269" s="9" t="n">
        <x:f>SUM(SalesLines!P3114,SalesLines!P3115)</x:f>
        <x:v>0</x:v>
      </x:c>
      <x:c r="K1269" s="11" t="n">
        <x:f>SUM(SalesLines!R3114,SalesLines!R3115)</x:f>
        <x:v>6</x:v>
      </x:c>
      <x:c r="L1269" s="11" t="n">
        <x:f>SUM(SalesLines!S3114,SalesLines!S3115)</x:f>
        <x:v>0</x:v>
      </x:c>
      <x:c r="M1269" s="8" t="n">
        <x:f>DATE(YEAR(C1269),MONTH(C1269),1)</x:f>
        <x:v>45992</x:v>
      </x:c>
    </x:row>
    <x:row r="1270" ht="22" customHeight="1">
      <x:c r="A1270" s="2" t="str">
        <x:v>O01266</x:v>
      </x:c>
      <x:c r="B1270" s="2" t="str">
        <x:v>C0087</x:v>
      </x:c>
      <x:c r="C1270" s="7" t="n">
        <x:v>45764</x:v>
      </x:c>
      <x:c r="D1270" s="2" t="str">
        <x:v>Completed</x:v>
      </x:c>
      <x:c r="E1270" s="2" t="str">
        <x:v>North</x:v>
      </x:c>
      <x:c r="F1270" s="2" t="str">
        <x:v>Store</x:v>
      </x:c>
      <x:c r="G1270" s="9" t="n">
        <x:f>SUM(SalesLines!Q3116,SalesLines!Q3117)</x:f>
        <x:v>1076</x:v>
      </x:c>
      <x:c r="H1270" s="9" t="n">
        <x:f>SUM(SalesLines!M3116,SalesLines!M3117)</x:f>
        <x:v>1270</x:v>
      </x:c>
      <x:c r="I1270" s="9" t="n">
        <x:f>SUM(SalesLines!N3116,SalesLines!N3117)</x:f>
        <x:v>194</x:v>
      </x:c>
      <x:c r="J1270" s="9" t="n">
        <x:f>SUM(SalesLines!P3116,SalesLines!P3117)</x:f>
        <x:v>0</x:v>
      </x:c>
      <x:c r="K1270" s="11" t="n">
        <x:f>SUM(SalesLines!R3116,SalesLines!R3117)</x:f>
        <x:v>7</x:v>
      </x:c>
      <x:c r="L1270" s="11" t="n">
        <x:f>SUM(SalesLines!S3116,SalesLines!S3117)</x:f>
        <x:v>0</x:v>
      </x:c>
      <x:c r="M1270" s="8" t="n">
        <x:f>DATE(YEAR(C1270),MONTH(C1270),1)</x:f>
        <x:v>45748</x:v>
      </x:c>
    </x:row>
    <x:row r="1271" ht="22" customHeight="1">
      <x:c r="A1271" s="2" t="str">
        <x:v>O01267</x:v>
      </x:c>
      <x:c r="B1271" s="2" t="str">
        <x:v>C0222</x:v>
      </x:c>
      <x:c r="C1271" s="7" t="n">
        <x:v>45731</x:v>
      </x:c>
      <x:c r="D1271" s="2" t="str">
        <x:v>Completed</x:v>
      </x:c>
      <x:c r="E1271" s="2" t="str">
        <x:v>East</x:v>
      </x:c>
      <x:c r="F1271" s="2" t="str">
        <x:v>Store</x:v>
      </x:c>
      <x:c r="G1271" s="9" t="n">
        <x:f>SUM(SalesLines!Q3118,SalesLines!Q3119,SalesLines!Q3120)</x:f>
        <x:v>781</x:v>
      </x:c>
      <x:c r="H1271" s="9" t="n">
        <x:f>SUM(SalesLines!M3118,SalesLines!M3119,SalesLines!M3120)</x:f>
        <x:v>859</x:v>
      </x:c>
      <x:c r="I1271" s="9" t="n">
        <x:f>SUM(SalesLines!N3118,SalesLines!N3119,SalesLines!N3120)</x:f>
        <x:v>78</x:v>
      </x:c>
      <x:c r="J1271" s="9" t="n">
        <x:f>SUM(SalesLines!P3118,SalesLines!P3119,SalesLines!P3120)</x:f>
        <x:v>0</x:v>
      </x:c>
      <x:c r="K1271" s="11" t="n">
        <x:f>SUM(SalesLines!R3118,SalesLines!R3119,SalesLines!R3120)</x:f>
        <x:v>6</x:v>
      </x:c>
      <x:c r="L1271" s="11" t="n">
        <x:f>SUM(SalesLines!S3118,SalesLines!S3119,SalesLines!S3120)</x:f>
        <x:v>0</x:v>
      </x:c>
      <x:c r="M1271" s="8" t="n">
        <x:f>DATE(YEAR(C1271),MONTH(C1271),1)</x:f>
        <x:v>45717</x:v>
      </x:c>
    </x:row>
    <x:row r="1272" ht="22" customHeight="1">
      <x:c r="A1272" s="2" t="str">
        <x:v>O01268</x:v>
      </x:c>
      <x:c r="B1272" s="2" t="str">
        <x:v>C0192</x:v>
      </x:c>
      <x:c r="C1272" s="7" t="n">
        <x:v>46004</x:v>
      </x:c>
      <x:c r="D1272" s="2" t="str">
        <x:v>Completed</x:v>
      </x:c>
      <x:c r="E1272" s="2" t="str">
        <x:v>South</x:v>
      </x:c>
      <x:c r="F1272" s="2" t="str">
        <x:v>Online</x:v>
      </x:c>
      <x:c r="G1272" s="9" t="n">
        <x:f>SUM(SalesLines!Q3121,SalesLines!Q3122,SalesLines!Q3123)</x:f>
        <x:v>1365.95</x:v>
      </x:c>
      <x:c r="H1272" s="9" t="n">
        <x:f>SUM(SalesLines!M3121,SalesLines!M3122,SalesLines!M3123)</x:f>
        <x:v>1370</x:v>
      </x:c>
      <x:c r="I1272" s="9" t="n">
        <x:f>SUM(SalesLines!N3121,SalesLines!N3122,SalesLines!N3123)</x:f>
        <x:v>4.05</x:v>
      </x:c>
      <x:c r="J1272" s="9" t="n">
        <x:f>SUM(SalesLines!P3121,SalesLines!P3122,SalesLines!P3123)</x:f>
        <x:v>0</x:v>
      </x:c>
      <x:c r="K1272" s="11" t="n">
        <x:f>SUM(SalesLines!R3121,SalesLines!R3122,SalesLines!R3123)</x:f>
        <x:v>7</x:v>
      </x:c>
      <x:c r="L1272" s="11" t="n">
        <x:f>SUM(SalesLines!S3121,SalesLines!S3122,SalesLines!S3123)</x:f>
        <x:v>0</x:v>
      </x:c>
      <x:c r="M1272" s="8" t="n">
        <x:f>DATE(YEAR(C1272),MONTH(C1272),1)</x:f>
        <x:v>45992</x:v>
      </x:c>
    </x:row>
    <x:row r="1273" ht="22" customHeight="1">
      <x:c r="A1273" s="2" t="str">
        <x:v>O01269</x:v>
      </x:c>
      <x:c r="B1273" s="2" t="str">
        <x:v>C0225</x:v>
      </x:c>
      <x:c r="C1273" s="7" t="n">
        <x:v>45817</x:v>
      </x:c>
      <x:c r="D1273" s="2" t="str">
        <x:v>Completed</x:v>
      </x:c>
      <x:c r="E1273" s="2" t="str">
        <x:v>North</x:v>
      </x:c>
      <x:c r="F1273" s="2" t="str">
        <x:v>Online</x:v>
      </x:c>
      <x:c r="G1273" s="9" t="n">
        <x:f>SUM(SalesLines!Q3124,SalesLines!Q3125)</x:f>
        <x:v>447.4</x:v>
      </x:c>
      <x:c r="H1273" s="9" t="n">
        <x:f>SUM(SalesLines!M3124,SalesLines!M3125)</x:f>
        <x:v>512</x:v>
      </x:c>
      <x:c r="I1273" s="9" t="n">
        <x:f>SUM(SalesLines!N3124,SalesLines!N3125)</x:f>
        <x:v>64.60000000000001</x:v>
      </x:c>
      <x:c r="J1273" s="9" t="n">
        <x:f>SUM(SalesLines!P3124,SalesLines!P3125)</x:f>
        <x:v>0</x:v>
      </x:c>
      <x:c r="K1273" s="11" t="n">
        <x:f>SUM(SalesLines!R3124,SalesLines!R3125)</x:f>
        <x:v>3</x:v>
      </x:c>
      <x:c r="L1273" s="11" t="n">
        <x:f>SUM(SalesLines!S3124,SalesLines!S3125)</x:f>
        <x:v>0</x:v>
      </x:c>
      <x:c r="M1273" s="8" t="n">
        <x:f>DATE(YEAR(C1273),MONTH(C1273),1)</x:f>
        <x:v>45809</x:v>
      </x:c>
    </x:row>
    <x:row r="1274" ht="22" customHeight="1">
      <x:c r="A1274" s="2" t="str">
        <x:v>O01270</x:v>
      </x:c>
      <x:c r="B1274" s="2" t="str">
        <x:v>C0238</x:v>
      </x:c>
      <x:c r="C1274" s="7" t="n">
        <x:v>45910</x:v>
      </x:c>
      <x:c r="D1274" s="2" t="str">
        <x:v>Cancelled</x:v>
      </x:c>
      <x:c r="E1274" s="2" t="str">
        <x:v>East</x:v>
      </x:c>
      <x:c r="F1274" s="2" t="str">
        <x:v>Online</x:v>
      </x:c>
      <x:c r="G1274" s="9" t="n">
        <x:f>SUM(SalesLines!Q3126,SalesLines!Q3127,SalesLines!Q3128,SalesLines!Q3129)</x:f>
        <x:v>0</x:v>
      </x:c>
      <x:c r="H1274" s="9" t="n">
        <x:f>SUM(SalesLines!M3126,SalesLines!M3127,SalesLines!M3128,SalesLines!M3129)</x:f>
        <x:v>0</x:v>
      </x:c>
      <x:c r="I1274" s="9" t="n">
        <x:f>SUM(SalesLines!N3126,SalesLines!N3127,SalesLines!N3128,SalesLines!N3129)</x:f>
        <x:v>0</x:v>
      </x:c>
      <x:c r="J1274" s="9" t="n">
        <x:f>SUM(SalesLines!P3126,SalesLines!P3127,SalesLines!P3128,SalesLines!P3129)</x:f>
        <x:v>0</x:v>
      </x:c>
      <x:c r="K1274" s="11" t="n">
        <x:f>SUM(SalesLines!R3126,SalesLines!R3127,SalesLines!R3128,SalesLines!R3129)</x:f>
        <x:v>0</x:v>
      </x:c>
      <x:c r="L1274" s="11" t="n">
        <x:f>SUM(SalesLines!S3126,SalesLines!S3127,SalesLines!S3128,SalesLines!S3129)</x:f>
        <x:v>0</x:v>
      </x:c>
      <x:c r="M1274" s="8" t="n">
        <x:f>DATE(YEAR(C1274),MONTH(C1274),1)</x:f>
        <x:v>45901</x:v>
      </x:c>
    </x:row>
    <x:row r="1275" ht="22" customHeight="1">
      <x:c r="A1275" s="2" t="str">
        <x:v>O01271</x:v>
      </x:c>
      <x:c r="B1275" s="2" t="str">
        <x:v>C0054</x:v>
      </x:c>
      <x:c r="C1275" s="7" t="n">
        <x:v>45893</x:v>
      </x:c>
      <x:c r="D1275" s="2" t="str">
        <x:v>Cancelled</x:v>
      </x:c>
      <x:c r="E1275" s="2" t="str">
        <x:v>East</x:v>
      </x:c>
      <x:c r="F1275" s="2" t="str">
        <x:v>Store</x:v>
      </x:c>
      <x:c r="G1275" s="9" t="n">
        <x:f>SUM(SalesLines!Q3130)</x:f>
        <x:v>0</x:v>
      </x:c>
      <x:c r="H1275" s="9" t="n">
        <x:f>SUM(SalesLines!M3130)</x:f>
        <x:v>0</x:v>
      </x:c>
      <x:c r="I1275" s="9" t="n">
        <x:f>SUM(SalesLines!N3130)</x:f>
        <x:v>0</x:v>
      </x:c>
      <x:c r="J1275" s="9" t="n">
        <x:f>SUM(SalesLines!P3130)</x:f>
        <x:v>0</x:v>
      </x:c>
      <x:c r="K1275" s="11" t="n">
        <x:f>SUM(SalesLines!R3130)</x:f>
        <x:v>0</x:v>
      </x:c>
      <x:c r="L1275" s="11" t="n">
        <x:f>SUM(SalesLines!S3130)</x:f>
        <x:v>0</x:v>
      </x:c>
      <x:c r="M1275" s="8" t="n">
        <x:f>DATE(YEAR(C1275),MONTH(C1275),1)</x:f>
        <x:v>45870</x:v>
      </x:c>
    </x:row>
    <x:row r="1276" ht="22" customHeight="1">
      <x:c r="A1276" s="2" t="str">
        <x:v>O01272</x:v>
      </x:c>
      <x:c r="B1276" s="2" t="str">
        <x:v>C0194</x:v>
      </x:c>
      <x:c r="C1276" s="7" t="n">
        <x:v>45975</x:v>
      </x:c>
      <x:c r="D1276" s="2" t="str">
        <x:v>Completed</x:v>
      </x:c>
      <x:c r="E1276" s="2" t="str">
        <x:v>North</x:v>
      </x:c>
      <x:c r="F1276" s="2" t="str">
        <x:v>Store</x:v>
      </x:c>
      <x:c r="G1276" s="9" t="n">
        <x:f>SUM(SalesLines!Q3131,SalesLines!Q3132,SalesLines!Q3133)</x:f>
        <x:v>1441.6</x:v>
      </x:c>
      <x:c r="H1276" s="9" t="n">
        <x:f>SUM(SalesLines!M3131,SalesLines!M3132,SalesLines!M3133)</x:f>
        <x:v>1722</x:v>
      </x:c>
      <x:c r="I1276" s="9" t="n">
        <x:f>SUM(SalesLines!N3131,SalesLines!N3132,SalesLines!N3133)</x:f>
        <x:v>280.4</x:v>
      </x:c>
      <x:c r="J1276" s="9" t="n">
        <x:f>SUM(SalesLines!P3131,SalesLines!P3132,SalesLines!P3133)</x:f>
        <x:v>0</x:v>
      </x:c>
      <x:c r="K1276" s="11" t="n">
        <x:f>SUM(SalesLines!R3131,SalesLines!R3132,SalesLines!R3133)</x:f>
        <x:v>11</x:v>
      </x:c>
      <x:c r="L1276" s="11" t="n">
        <x:f>SUM(SalesLines!S3131,SalesLines!S3132,SalesLines!S3133)</x:f>
        <x:v>0</x:v>
      </x:c>
      <x:c r="M1276" s="8" t="n">
        <x:f>DATE(YEAR(C1276),MONTH(C1276),1)</x:f>
        <x:v>45962</x:v>
      </x:c>
    </x:row>
    <x:row r="1277" ht="22" customHeight="1">
      <x:c r="A1277" s="2" t="str">
        <x:v>O01273</x:v>
      </x:c>
      <x:c r="B1277" s="2" t="str">
        <x:v>C0145</x:v>
      </x:c>
      <x:c r="C1277" s="7" t="n">
        <x:v>46009</x:v>
      </x:c>
      <x:c r="D1277" s="2" t="str">
        <x:v>Completed</x:v>
      </x:c>
      <x:c r="E1277" s="2" t="str">
        <x:v>West</x:v>
      </x:c>
      <x:c r="F1277" s="2" t="str">
        <x:v>Store</x:v>
      </x:c>
      <x:c r="G1277" s="9" t="n">
        <x:f>SUM(SalesLines!Q3134)</x:f>
        <x:v>537.3</x:v>
      </x:c>
      <x:c r="H1277" s="9" t="n">
        <x:f>SUM(SalesLines!M3134)</x:f>
        <x:v>597</x:v>
      </x:c>
      <x:c r="I1277" s="9" t="n">
        <x:f>SUM(SalesLines!N3134)</x:f>
        <x:v>59.7</x:v>
      </x:c>
      <x:c r="J1277" s="9" t="n">
        <x:f>SUM(SalesLines!P3134)</x:f>
        <x:v>0</x:v>
      </x:c>
      <x:c r="K1277" s="11" t="n">
        <x:f>SUM(SalesLines!R3134)</x:f>
        <x:v>3</x:v>
      </x:c>
      <x:c r="L1277" s="11" t="n">
        <x:f>SUM(SalesLines!S3134)</x:f>
        <x:v>0</x:v>
      </x:c>
      <x:c r="M1277" s="8" t="n">
        <x:f>DATE(YEAR(C1277),MONTH(C1277),1)</x:f>
        <x:v>45992</x:v>
      </x:c>
    </x:row>
    <x:row r="1278" ht="22" customHeight="1">
      <x:c r="A1278" s="2" t="str">
        <x:v>O01274</x:v>
      </x:c>
      <x:c r="B1278" s="2" t="str">
        <x:v>C0099</x:v>
      </x:c>
      <x:c r="C1278" s="7" t="n">
        <x:v>45811</x:v>
      </x:c>
      <x:c r="D1278" s="2" t="str">
        <x:v>Completed</x:v>
      </x:c>
      <x:c r="E1278" s="2" t="str">
        <x:v>West</x:v>
      </x:c>
      <x:c r="F1278" s="2" t="str">
        <x:v>Online</x:v>
      </x:c>
      <x:c r="G1278" s="9" t="n">
        <x:f>SUM(SalesLines!Q3135,SalesLines!Q3136)</x:f>
        <x:v>1619.7</x:v>
      </x:c>
      <x:c r="H1278" s="9" t="n">
        <x:f>SUM(SalesLines!M3135,SalesLines!M3136)</x:f>
        <x:v>1689</x:v>
      </x:c>
      <x:c r="I1278" s="9" t="n">
        <x:f>SUM(SalesLines!N3135,SalesLines!N3136)</x:f>
        <x:v>69.3</x:v>
      </x:c>
      <x:c r="J1278" s="9" t="n">
        <x:f>SUM(SalesLines!P3135,SalesLines!P3136)</x:f>
        <x:v>0</x:v>
      </x:c>
      <x:c r="K1278" s="11" t="n">
        <x:f>SUM(SalesLines!R3135,SalesLines!R3136)</x:f>
        <x:v>7</x:v>
      </x:c>
      <x:c r="L1278" s="11" t="n">
        <x:f>SUM(SalesLines!S3135,SalesLines!S3136)</x:f>
        <x:v>0</x:v>
      </x:c>
      <x:c r="M1278" s="8" t="n">
        <x:f>DATE(YEAR(C1278),MONTH(C1278),1)</x:f>
        <x:v>45809</x:v>
      </x:c>
    </x:row>
    <x:row r="1279" ht="22" customHeight="1">
      <x:c r="A1279" s="2" t="str">
        <x:v>O01275</x:v>
      </x:c>
      <x:c r="B1279" s="2" t="str">
        <x:v>C0129</x:v>
      </x:c>
      <x:c r="C1279" s="7" t="n">
        <x:v>45912</x:v>
      </x:c>
      <x:c r="D1279" s="2" t="str">
        <x:v>Completed</x:v>
      </x:c>
      <x:c r="E1279" s="2" t="str">
        <x:v>North</x:v>
      </x:c>
      <x:c r="F1279" s="2" t="str">
        <x:v>Online</x:v>
      </x:c>
      <x:c r="G1279" s="9" t="n">
        <x:f>SUM(SalesLines!Q3137,SalesLines!Q3138)</x:f>
        <x:v>483</x:v>
      </x:c>
      <x:c r="H1279" s="9" t="n">
        <x:f>SUM(SalesLines!M3137,SalesLines!M3138)</x:f>
        <x:v>500</x:v>
      </x:c>
      <x:c r="I1279" s="9" t="n">
        <x:f>SUM(SalesLines!N3137,SalesLines!N3138)</x:f>
        <x:v>17</x:v>
      </x:c>
      <x:c r="J1279" s="9" t="n">
        <x:f>SUM(SalesLines!P3137,SalesLines!P3138)</x:f>
        <x:v>0</x:v>
      </x:c>
      <x:c r="K1279" s="11" t="n">
        <x:f>SUM(SalesLines!R3137,SalesLines!R3138)</x:f>
        <x:v>7</x:v>
      </x:c>
      <x:c r="L1279" s="11" t="n">
        <x:f>SUM(SalesLines!S3137,SalesLines!S3138)</x:f>
        <x:v>0</x:v>
      </x:c>
      <x:c r="M1279" s="8" t="n">
        <x:f>DATE(YEAR(C1279),MONTH(C1279),1)</x:f>
        <x:v>45901</x:v>
      </x:c>
    </x:row>
    <x:row r="1280" ht="22" customHeight="1">
      <x:c r="A1280" s="2" t="str">
        <x:v>O01276</x:v>
      </x:c>
      <x:c r="B1280" s="2" t="str">
        <x:v>C0013</x:v>
      </x:c>
      <x:c r="C1280" s="7" t="n">
        <x:v>45697</x:v>
      </x:c>
      <x:c r="D1280" s="2" t="str">
        <x:v>Completed</x:v>
      </x:c>
      <x:c r="E1280" s="2" t="str">
        <x:v>West</x:v>
      </x:c>
      <x:c r="F1280" s="2" t="str">
        <x:v>Online</x:v>
      </x:c>
      <x:c r="G1280" s="9" t="n">
        <x:f>SUM(SalesLines!Q3139,SalesLines!Q3140,SalesLines!Q3141,SalesLines!Q3142)</x:f>
        <x:v>537.7</x:v>
      </x:c>
      <x:c r="H1280" s="9" t="n">
        <x:f>SUM(SalesLines!M3139,SalesLines!M3140,SalesLines!M3141,SalesLines!M3142)</x:f>
        <x:v>613</x:v>
      </x:c>
      <x:c r="I1280" s="9" t="n">
        <x:f>SUM(SalesLines!N3139,SalesLines!N3140,SalesLines!N3141,SalesLines!N3142)</x:f>
        <x:v>75.3</x:v>
      </x:c>
      <x:c r="J1280" s="9" t="n">
        <x:f>SUM(SalesLines!P3139,SalesLines!P3140,SalesLines!P3141,SalesLines!P3142)</x:f>
        <x:v>0</x:v>
      </x:c>
      <x:c r="K1280" s="11" t="n">
        <x:f>SUM(SalesLines!R3139,SalesLines!R3140,SalesLines!R3141,SalesLines!R3142)</x:f>
        <x:v>15</x:v>
      </x:c>
      <x:c r="L1280" s="11" t="n">
        <x:f>SUM(SalesLines!S3139,SalesLines!S3140,SalesLines!S3141,SalesLines!S3142)</x:f>
        <x:v>0</x:v>
      </x:c>
      <x:c r="M1280" s="8" t="n">
        <x:f>DATE(YEAR(C1280),MONTH(C1280),1)</x:f>
        <x:v>45689</x:v>
      </x:c>
    </x:row>
    <x:row r="1281" ht="22" customHeight="1">
      <x:c r="A1281" s="2" t="str">
        <x:v>O01277</x:v>
      </x:c>
      <x:c r="B1281" s="2" t="str">
        <x:v>C0004</x:v>
      </x:c>
      <x:c r="C1281" s="7" t="n">
        <x:v>45704</x:v>
      </x:c>
      <x:c r="D1281" s="2" t="str">
        <x:v>Completed</x:v>
      </x:c>
      <x:c r="E1281" s="2" t="str">
        <x:v>North</x:v>
      </x:c>
      <x:c r="F1281" s="2" t="str">
        <x:v>Store</x:v>
      </x:c>
      <x:c r="G1281" s="9" t="n">
        <x:f>SUM(SalesLines!Q3143)</x:f>
        <x:v>1349</x:v>
      </x:c>
      <x:c r="H1281" s="9" t="n">
        <x:f>SUM(SalesLines!M3143)</x:f>
        <x:v>1420</x:v>
      </x:c>
      <x:c r="I1281" s="9" t="n">
        <x:f>SUM(SalesLines!N3143)</x:f>
        <x:v>71</x:v>
      </x:c>
      <x:c r="J1281" s="9" t="n">
        <x:f>SUM(SalesLines!P3143)</x:f>
        <x:v>0</x:v>
      </x:c>
      <x:c r="K1281" s="11" t="n">
        <x:f>SUM(SalesLines!R3143)</x:f>
        <x:v>5</x:v>
      </x:c>
      <x:c r="L1281" s="11" t="n">
        <x:f>SUM(SalesLines!S3143)</x:f>
        <x:v>0</x:v>
      </x:c>
      <x:c r="M1281" s="8" t="n">
        <x:f>DATE(YEAR(C1281),MONTH(C1281),1)</x:f>
        <x:v>45689</x:v>
      </x:c>
    </x:row>
    <x:row r="1282" ht="22" customHeight="1">
      <x:c r="A1282" s="2" t="str">
        <x:v>O01278</x:v>
      </x:c>
      <x:c r="B1282" s="2" t="str">
        <x:v>C0139</x:v>
      </x:c>
      <x:c r="C1282" s="7" t="n">
        <x:v>45936</x:v>
      </x:c>
      <x:c r="D1282" s="2" t="str">
        <x:v>Completed</x:v>
      </x:c>
      <x:c r="E1282" s="2" t="str">
        <x:v>North</x:v>
      </x:c>
      <x:c r="F1282" s="2" t="str">
        <x:v>Store</x:v>
      </x:c>
      <x:c r="G1282" s="9" t="n">
        <x:f>SUM(SalesLines!Q3144)</x:f>
        <x:v>243.9</x:v>
      </x:c>
      <x:c r="H1282" s="9" t="n">
        <x:f>SUM(SalesLines!M3144)</x:f>
        <x:v>271</x:v>
      </x:c>
      <x:c r="I1282" s="9" t="n">
        <x:f>SUM(SalesLines!N3144)</x:f>
        <x:v>27.1</x:v>
      </x:c>
      <x:c r="J1282" s="9" t="n">
        <x:f>SUM(SalesLines!P3144)</x:f>
        <x:v>0</x:v>
      </x:c>
      <x:c r="K1282" s="11" t="n">
        <x:f>SUM(SalesLines!R3144)</x:f>
        <x:v>1</x:v>
      </x:c>
      <x:c r="L1282" s="11" t="n">
        <x:f>SUM(SalesLines!S3144)</x:f>
        <x:v>0</x:v>
      </x:c>
      <x:c r="M1282" s="8" t="n">
        <x:f>DATE(YEAR(C1282),MONTH(C1282),1)</x:f>
        <x:v>45931</x:v>
      </x:c>
    </x:row>
    <x:row r="1283" ht="22" customHeight="1">
      <x:c r="A1283" s="2" t="str">
        <x:v>O01279</x:v>
      </x:c>
      <x:c r="B1283" s="2" t="str">
        <x:v>C0036</x:v>
      </x:c>
      <x:c r="C1283" s="7" t="n">
        <x:v>45797</x:v>
      </x:c>
      <x:c r="D1283" s="2" t="str">
        <x:v>Completed</x:v>
      </x:c>
      <x:c r="E1283" s="2" t="str">
        <x:v>West</x:v>
      </x:c>
      <x:c r="F1283" s="2" t="str">
        <x:v>Store</x:v>
      </x:c>
      <x:c r="G1283" s="9" t="n">
        <x:f>SUM(SalesLines!Q3145,SalesLines!Q3146)</x:f>
        <x:v>1380.75</x:v>
      </x:c>
      <x:c r="H1283" s="9" t="n">
        <x:f>SUM(SalesLines!M3145,SalesLines!M3146)</x:f>
        <x:v>1401</x:v>
      </x:c>
      <x:c r="I1283" s="9" t="n">
        <x:f>SUM(SalesLines!N3145,SalesLines!N3146)</x:f>
        <x:v>20.25</x:v>
      </x:c>
      <x:c r="J1283" s="9" t="n">
        <x:f>SUM(SalesLines!P3145,SalesLines!P3146)</x:f>
        <x:v>0</x:v>
      </x:c>
      <x:c r="K1283" s="11" t="n">
        <x:f>SUM(SalesLines!R3145,SalesLines!R3146)</x:f>
        <x:v>9</x:v>
      </x:c>
      <x:c r="L1283" s="11" t="n">
        <x:f>SUM(SalesLines!S3145,SalesLines!S3146)</x:f>
        <x:v>0</x:v>
      </x:c>
      <x:c r="M1283" s="8" t="n">
        <x:f>DATE(YEAR(C1283),MONTH(C1283),1)</x:f>
        <x:v>45778</x:v>
      </x:c>
    </x:row>
    <x:row r="1284" ht="22" customHeight="1">
      <x:c r="A1284" s="2" t="str">
        <x:v>O01280</x:v>
      </x:c>
      <x:c r="B1284" s="2" t="str">
        <x:v>C0074</x:v>
      </x:c>
      <x:c r="C1284" s="7" t="n">
        <x:v>45704</x:v>
      </x:c>
      <x:c r="D1284" s="2" t="str">
        <x:v>Cancelled</x:v>
      </x:c>
      <x:c r="E1284" s="2" t="str">
        <x:v>South</x:v>
      </x:c>
      <x:c r="F1284" s="2" t="str">
        <x:v>Online</x:v>
      </x:c>
      <x:c r="G1284" s="9" t="n">
        <x:f>SUM(SalesLines!Q3147,SalesLines!Q3148)</x:f>
        <x:v>0</x:v>
      </x:c>
      <x:c r="H1284" s="9" t="n">
        <x:f>SUM(SalesLines!M3147,SalesLines!M3148)</x:f>
        <x:v>0</x:v>
      </x:c>
      <x:c r="I1284" s="9" t="n">
        <x:f>SUM(SalesLines!N3147,SalesLines!N3148)</x:f>
        <x:v>0</x:v>
      </x:c>
      <x:c r="J1284" s="9" t="n">
        <x:f>SUM(SalesLines!P3147,SalesLines!P3148)</x:f>
        <x:v>0</x:v>
      </x:c>
      <x:c r="K1284" s="11" t="n">
        <x:f>SUM(SalesLines!R3147,SalesLines!R3148)</x:f>
        <x:v>0</x:v>
      </x:c>
      <x:c r="L1284" s="11" t="n">
        <x:f>SUM(SalesLines!S3147,SalesLines!S3148)</x:f>
        <x:v>0</x:v>
      </x:c>
      <x:c r="M1284" s="8" t="n">
        <x:f>DATE(YEAR(C1284),MONTH(C1284),1)</x:f>
        <x:v>45689</x:v>
      </x:c>
    </x:row>
    <x:row r="1285" ht="22" customHeight="1">
      <x:c r="A1285" s="2" t="str">
        <x:v>O01281</x:v>
      </x:c>
      <x:c r="B1285" s="2" t="str">
        <x:v>C0171</x:v>
      </x:c>
      <x:c r="C1285" s="7" t="n">
        <x:v>45908</x:v>
      </x:c>
      <x:c r="D1285" s="2" t="str">
        <x:v>Completed</x:v>
      </x:c>
      <x:c r="E1285" s="2" t="str">
        <x:v>South</x:v>
      </x:c>
      <x:c r="F1285" s="2" t="str">
        <x:v>Store</x:v>
      </x:c>
      <x:c r="G1285" s="9" t="n">
        <x:f>SUM(SalesLines!Q3149,SalesLines!Q3150)</x:f>
        <x:v>726</x:v>
      </x:c>
      <x:c r="H1285" s="9" t="n">
        <x:f>SUM(SalesLines!M3149,SalesLines!M3150)</x:f>
        <x:v>726</x:v>
      </x:c>
      <x:c r="I1285" s="9" t="n">
        <x:f>SUM(SalesLines!N3149,SalesLines!N3150)</x:f>
        <x:v>0</x:v>
      </x:c>
      <x:c r="J1285" s="9" t="n">
        <x:f>SUM(SalesLines!P3149,SalesLines!P3150)</x:f>
        <x:v>0</x:v>
      </x:c>
      <x:c r="K1285" s="11" t="n">
        <x:f>SUM(SalesLines!R3149,SalesLines!R3150)</x:f>
        <x:v>3</x:v>
      </x:c>
      <x:c r="L1285" s="11" t="n">
        <x:f>SUM(SalesLines!S3149,SalesLines!S3150)</x:f>
        <x:v>0</x:v>
      </x:c>
      <x:c r="M1285" s="8" t="n">
        <x:f>DATE(YEAR(C1285),MONTH(C1285),1)</x:f>
        <x:v>45901</x:v>
      </x:c>
    </x:row>
    <x:row r="1286" ht="22" customHeight="1">
      <x:c r="A1286" s="2" t="str">
        <x:v>O01282</x:v>
      </x:c>
      <x:c r="B1286" s="2" t="str">
        <x:v>C0132</x:v>
      </x:c>
      <x:c r="C1286" s="7" t="n">
        <x:v>45818</x:v>
      </x:c>
      <x:c r="D1286" s="2" t="str">
        <x:v>Completed</x:v>
      </x:c>
      <x:c r="E1286" s="2" t="str">
        <x:v>North</x:v>
      </x:c>
      <x:c r="F1286" s="2" t="str">
        <x:v>Online</x:v>
      </x:c>
      <x:c r="G1286" s="9" t="n">
        <x:f>SUM(SalesLines!Q3151)</x:f>
        <x:v>0</x:v>
      </x:c>
      <x:c r="H1286" s="9" t="n">
        <x:f>SUM(SalesLines!M3151)</x:f>
        <x:v>465</x:v>
      </x:c>
      <x:c r="I1286" s="9" t="n">
        <x:f>SUM(SalesLines!N3151)</x:f>
        <x:v>0</x:v>
      </x:c>
      <x:c r="J1286" s="9" t="n">
        <x:f>SUM(SalesLines!P3151)</x:f>
        <x:v>465</x:v>
      </x:c>
      <x:c r="K1286" s="11" t="n">
        <x:f>SUM(SalesLines!R3151)</x:f>
        <x:v>5</x:v>
      </x:c>
      <x:c r="L1286" s="11" t="n">
        <x:f>SUM(SalesLines!S3151)</x:f>
        <x:v>5</x:v>
      </x:c>
      <x:c r="M1286" s="8" t="n">
        <x:f>DATE(YEAR(C1286),MONTH(C1286),1)</x:f>
        <x:v>45809</x:v>
      </x:c>
    </x:row>
    <x:row r="1287" ht="22" customHeight="1">
      <x:c r="A1287" s="2" t="str">
        <x:v>O01283</x:v>
      </x:c>
      <x:c r="B1287" s="2" t="str">
        <x:v>C0094</x:v>
      </x:c>
      <x:c r="C1287" s="7" t="n">
        <x:v>45754</x:v>
      </x:c>
      <x:c r="D1287" s="2" t="str">
        <x:v>Completed</x:v>
      </x:c>
      <x:c r="E1287" s="2" t="str">
        <x:v>West</x:v>
      </x:c>
      <x:c r="F1287" s="2" t="str">
        <x:v>Store</x:v>
      </x:c>
      <x:c r="G1287" s="9" t="n">
        <x:f>SUM(SalesLines!Q3152)</x:f>
        <x:v>603</x:v>
      </x:c>
      <x:c r="H1287" s="9" t="n">
        <x:f>SUM(SalesLines!M3152)</x:f>
        <x:v>670</x:v>
      </x:c>
      <x:c r="I1287" s="9" t="n">
        <x:f>SUM(SalesLines!N3152)</x:f>
        <x:v>67</x:v>
      </x:c>
      <x:c r="J1287" s="9" t="n">
        <x:f>SUM(SalesLines!P3152)</x:f>
        <x:v>0</x:v>
      </x:c>
      <x:c r="K1287" s="11" t="n">
        <x:f>SUM(SalesLines!R3152)</x:f>
        <x:v>5</x:v>
      </x:c>
      <x:c r="L1287" s="11" t="n">
        <x:f>SUM(SalesLines!S3152)</x:f>
        <x:v>0</x:v>
      </x:c>
      <x:c r="M1287" s="8" t="n">
        <x:f>DATE(YEAR(C1287),MONTH(C1287),1)</x:f>
        <x:v>45748</x:v>
      </x:c>
    </x:row>
    <x:row r="1288" ht="22" customHeight="1">
      <x:c r="A1288" s="2" t="str">
        <x:v>O01284</x:v>
      </x:c>
      <x:c r="B1288" s="2" t="str">
        <x:v>C0063</x:v>
      </x:c>
      <x:c r="C1288" s="7" t="n">
        <x:v>45815</x:v>
      </x:c>
      <x:c r="D1288" s="2" t="str">
        <x:v>Completed</x:v>
      </x:c>
      <x:c r="E1288" s="2" t="str">
        <x:v>West</x:v>
      </x:c>
      <x:c r="F1288" s="2" t="str">
        <x:v>Store</x:v>
      </x:c>
      <x:c r="G1288" s="9" t="n">
        <x:f>SUM(SalesLines!Q3153,SalesLines!Q3154,SalesLines!Q3155)</x:f>
        <x:v>586.6500000000001</x:v>
      </x:c>
      <x:c r="H1288" s="9" t="n">
        <x:f>SUM(SalesLines!M3153,SalesLines!M3154,SalesLines!M3155)</x:f>
        <x:v>1405</x:v>
      </x:c>
      <x:c r="I1288" s="9" t="n">
        <x:f>SUM(SalesLines!N3153,SalesLines!N3154,SalesLines!N3155)</x:f>
        <x:v>130.55</x:v>
      </x:c>
      <x:c r="J1288" s="9" t="n">
        <x:f>SUM(SalesLines!P3153,SalesLines!P3154,SalesLines!P3155)</x:f>
        <x:v>687.8</x:v>
      </x:c>
      <x:c r="K1288" s="11" t="n">
        <x:f>SUM(SalesLines!R3153,SalesLines!R3154,SalesLines!R3155)</x:f>
        <x:v>10</x:v>
      </x:c>
      <x:c r="L1288" s="11" t="n">
        <x:f>SUM(SalesLines!S3153,SalesLines!S3154,SalesLines!S3155)</x:f>
        <x:v>4</x:v>
      </x:c>
      <x:c r="M1288" s="8" t="n">
        <x:f>DATE(YEAR(C1288),MONTH(C1288),1)</x:f>
        <x:v>45809</x:v>
      </x:c>
    </x:row>
    <x:row r="1289" ht="22" customHeight="1">
      <x:c r="A1289" s="2" t="str">
        <x:v>O01285</x:v>
      </x:c>
      <x:c r="B1289" s="2" t="str">
        <x:v>C0241</x:v>
      </x:c>
      <x:c r="C1289" s="7" t="n">
        <x:v>45955</x:v>
      </x:c>
      <x:c r="D1289" s="2" t="str">
        <x:v>Completed</x:v>
      </x:c>
      <x:c r="E1289" s="2" t="str">
        <x:v>North</x:v>
      </x:c>
      <x:c r="F1289" s="2" t="str">
        <x:v>Online</x:v>
      </x:c>
      <x:c r="G1289" s="9" t="n">
        <x:f>SUM(SalesLines!Q3156,SalesLines!Q3157,SalesLines!Q3158)</x:f>
        <x:v>345.6</x:v>
      </x:c>
      <x:c r="H1289" s="9" t="n">
        <x:f>SUM(SalesLines!M3156,SalesLines!M3157,SalesLines!M3158)</x:f>
        <x:v>449</x:v>
      </x:c>
      <x:c r="I1289" s="9" t="n">
        <x:f>SUM(SalesLines!N3156,SalesLines!N3157,SalesLines!N3158)</x:f>
        <x:v>51.400000000000006</x:v>
      </x:c>
      <x:c r="J1289" s="9" t="n">
        <x:f>SUM(SalesLines!P3156,SalesLines!P3157,SalesLines!P3158)</x:f>
        <x:v>52</x:v>
      </x:c>
      <x:c r="K1289" s="11" t="n">
        <x:f>SUM(SalesLines!R3156,SalesLines!R3157,SalesLines!R3158)</x:f>
        <x:v>7</x:v>
      </x:c>
      <x:c r="L1289" s="11" t="n">
        <x:f>SUM(SalesLines!S3156,SalesLines!S3157,SalesLines!S3158)</x:f>
        <x:v>1</x:v>
      </x:c>
      <x:c r="M1289" s="8" t="n">
        <x:f>DATE(YEAR(C1289),MONTH(C1289),1)</x:f>
        <x:v>45931</x:v>
      </x:c>
    </x:row>
    <x:row r="1290" ht="22" customHeight="1">
      <x:c r="A1290" s="2" t="str">
        <x:v>O01286</x:v>
      </x:c>
      <x:c r="B1290" s="2" t="str">
        <x:v>C0027</x:v>
      </x:c>
      <x:c r="C1290" s="7" t="n">
        <x:v>45945</x:v>
      </x:c>
      <x:c r="D1290" s="2" t="str">
        <x:v>Completed</x:v>
      </x:c>
      <x:c r="E1290" s="2" t="str">
        <x:v>North</x:v>
      </x:c>
      <x:c r="F1290" s="2" t="str">
        <x:v>Store</x:v>
      </x:c>
      <x:c r="G1290" s="9" t="n">
        <x:f>SUM(SalesLines!Q3159)</x:f>
        <x:v>219.6</x:v>
      </x:c>
      <x:c r="H1290" s="9" t="n">
        <x:f>SUM(SalesLines!M3159)</x:f>
        <x:v>244</x:v>
      </x:c>
      <x:c r="I1290" s="9" t="n">
        <x:f>SUM(SalesLines!N3159)</x:f>
        <x:v>24.400000000000002</x:v>
      </x:c>
      <x:c r="J1290" s="9" t="n">
        <x:f>SUM(SalesLines!P3159)</x:f>
        <x:v>0</x:v>
      </x:c>
      <x:c r="K1290" s="11" t="n">
        <x:f>SUM(SalesLines!R3159)</x:f>
        <x:v>2</x:v>
      </x:c>
      <x:c r="L1290" s="11" t="n">
        <x:f>SUM(SalesLines!S3159)</x:f>
        <x:v>0</x:v>
      </x:c>
      <x:c r="M1290" s="8" t="n">
        <x:f>DATE(YEAR(C1290),MONTH(C1290),1)</x:f>
        <x:v>45931</x:v>
      </x:c>
    </x:row>
    <x:row r="1291" ht="22" customHeight="1">
      <x:c r="A1291" s="2" t="str">
        <x:v>O01287</x:v>
      </x:c>
      <x:c r="B1291" s="2" t="str">
        <x:v>C0168</x:v>
      </x:c>
      <x:c r="C1291" s="7" t="n">
        <x:v>45770</x:v>
      </x:c>
      <x:c r="D1291" s="2" t="str">
        <x:v>Completed</x:v>
      </x:c>
      <x:c r="E1291" s="2" t="str">
        <x:v>North</x:v>
      </x:c>
      <x:c r="F1291" s="2" t="str">
        <x:v>Store</x:v>
      </x:c>
      <x:c r="G1291" s="9" t="n">
        <x:f>SUM(SalesLines!Q3160)</x:f>
        <x:v>433.6</x:v>
      </x:c>
      <x:c r="H1291" s="9" t="n">
        <x:f>SUM(SalesLines!M3160)</x:f>
        <x:v>542</x:v>
      </x:c>
      <x:c r="I1291" s="9" t="n">
        <x:f>SUM(SalesLines!N3160)</x:f>
        <x:v>108.4</x:v>
      </x:c>
      <x:c r="J1291" s="9" t="n">
        <x:f>SUM(SalesLines!P3160)</x:f>
        <x:v>0</x:v>
      </x:c>
      <x:c r="K1291" s="11" t="n">
        <x:f>SUM(SalesLines!R3160)</x:f>
        <x:v>2</x:v>
      </x:c>
      <x:c r="L1291" s="11" t="n">
        <x:f>SUM(SalesLines!S3160)</x:f>
        <x:v>0</x:v>
      </x:c>
      <x:c r="M1291" s="8" t="n">
        <x:f>DATE(YEAR(C1291),MONTH(C1291),1)</x:f>
        <x:v>45748</x:v>
      </x:c>
    </x:row>
    <x:row r="1292" ht="22" customHeight="1">
      <x:c r="A1292" s="2" t="str">
        <x:v>O01288</x:v>
      </x:c>
      <x:c r="B1292" s="2" t="str">
        <x:v>C0292</x:v>
      </x:c>
      <x:c r="C1292" s="7" t="n">
        <x:v>45948</x:v>
      </x:c>
      <x:c r="D1292" s="2" t="str">
        <x:v>Completed</x:v>
      </x:c>
      <x:c r="E1292" s="2" t="str">
        <x:v>East</x:v>
      </x:c>
      <x:c r="F1292" s="2" t="str">
        <x:v>Store</x:v>
      </x:c>
      <x:c r="G1292" s="9" t="n">
        <x:f>SUM(SalesLines!Q3161)</x:f>
        <x:v>473.1</x:v>
      </x:c>
      <x:c r="H1292" s="9" t="n">
        <x:f>SUM(SalesLines!M3161)</x:f>
        <x:v>498</x:v>
      </x:c>
      <x:c r="I1292" s="9" t="n">
        <x:f>SUM(SalesLines!N3161)</x:f>
        <x:v>24.900000000000002</x:v>
      </x:c>
      <x:c r="J1292" s="9" t="n">
        <x:f>SUM(SalesLines!P3161)</x:f>
        <x:v>0</x:v>
      </x:c>
      <x:c r="K1292" s="11" t="n">
        <x:f>SUM(SalesLines!R3161)</x:f>
        <x:v>2</x:v>
      </x:c>
      <x:c r="L1292" s="11" t="n">
        <x:f>SUM(SalesLines!S3161)</x:f>
        <x:v>0</x:v>
      </x:c>
      <x:c r="M1292" s="8" t="n">
        <x:f>DATE(YEAR(C1292),MONTH(C1292),1)</x:f>
        <x:v>45931</x:v>
      </x:c>
    </x:row>
    <x:row r="1293" ht="22" customHeight="1">
      <x:c r="A1293" s="2" t="str">
        <x:v>O01289</x:v>
      </x:c>
      <x:c r="B1293" s="2" t="str">
        <x:v>C0217</x:v>
      </x:c>
      <x:c r="C1293" s="7" t="n">
        <x:v>45753</x:v>
      </x:c>
      <x:c r="D1293" s="2" t="str">
        <x:v>Completed</x:v>
      </x:c>
      <x:c r="E1293" s="2" t="str">
        <x:v>South</x:v>
      </x:c>
      <x:c r="F1293" s="2" t="str">
        <x:v>Store</x:v>
      </x:c>
      <x:c r="G1293" s="9" t="n">
        <x:f>SUM(SalesLines!Q3162,SalesLines!Q3163,SalesLines!Q3164,SalesLines!Q3165)</x:f>
        <x:v>2267.2</x:v>
      </x:c>
      <x:c r="H1293" s="9" t="n">
        <x:f>SUM(SalesLines!M3162,SalesLines!M3163,SalesLines!M3164,SalesLines!M3165)</x:f>
        <x:v>2557</x:v>
      </x:c>
      <x:c r="I1293" s="9" t="n">
        <x:f>SUM(SalesLines!N3162,SalesLines!N3163,SalesLines!N3164,SalesLines!N3165)</x:f>
        <x:v>289.8</x:v>
      </x:c>
      <x:c r="J1293" s="9" t="n">
        <x:f>SUM(SalesLines!P3162,SalesLines!P3163,SalesLines!P3164,SalesLines!P3165)</x:f>
        <x:v>0</x:v>
      </x:c>
      <x:c r="K1293" s="11" t="n">
        <x:f>SUM(SalesLines!R3162,SalesLines!R3163,SalesLines!R3164,SalesLines!R3165)</x:f>
        <x:v>16</x:v>
      </x:c>
      <x:c r="L1293" s="11" t="n">
        <x:f>SUM(SalesLines!S3162,SalesLines!S3163,SalesLines!S3164,SalesLines!S3165)</x:f>
        <x:v>0</x:v>
      </x:c>
      <x:c r="M1293" s="8" t="n">
        <x:f>DATE(YEAR(C1293),MONTH(C1293),1)</x:f>
        <x:v>45748</x:v>
      </x:c>
    </x:row>
    <x:row r="1294" ht="22" customHeight="1">
      <x:c r="A1294" s="2" t="str">
        <x:v>O01290</x:v>
      </x:c>
      <x:c r="B1294" s="2" t="str">
        <x:v>C0252</x:v>
      </x:c>
      <x:c r="C1294" s="7" t="n">
        <x:v>45936</x:v>
      </x:c>
      <x:c r="D1294" s="2" t="str">
        <x:v>Completed</x:v>
      </x:c>
      <x:c r="E1294" s="2" t="str">
        <x:v>West</x:v>
      </x:c>
      <x:c r="F1294" s="2" t="str">
        <x:v>Online</x:v>
      </x:c>
      <x:c r="G1294" s="9" t="n">
        <x:f>SUM(SalesLines!Q3166,SalesLines!Q3167,SalesLines!Q3168)</x:f>
        <x:v>734.1999999999999</x:v>
      </x:c>
      <x:c r="H1294" s="9" t="n">
        <x:f>SUM(SalesLines!M3166,SalesLines!M3167,SalesLines!M3168)</x:f>
        <x:v>1303</x:v>
      </x:c>
      <x:c r="I1294" s="9" t="n">
        <x:f>SUM(SalesLines!N3166,SalesLines!N3167,SalesLines!N3168)</x:f>
        <x:v>207</x:v>
      </x:c>
      <x:c r="J1294" s="9" t="n">
        <x:f>SUM(SalesLines!P3166,SalesLines!P3167,SalesLines!P3168)</x:f>
        <x:v>361.8</x:v>
      </x:c>
      <x:c r="K1294" s="11" t="n">
        <x:f>SUM(SalesLines!R3166,SalesLines!R3167,SalesLines!R3168)</x:f>
        <x:v>9</x:v>
      </x:c>
      <x:c r="L1294" s="11" t="n">
        <x:f>SUM(SalesLines!S3166,SalesLines!S3167,SalesLines!S3168)</x:f>
        <x:v>3</x:v>
      </x:c>
      <x:c r="M1294" s="8" t="n">
        <x:f>DATE(YEAR(C1294),MONTH(C1294),1)</x:f>
        <x:v>45931</x:v>
      </x:c>
    </x:row>
    <x:row r="1295" ht="22" customHeight="1">
      <x:c r="A1295" s="2" t="str">
        <x:v>O01291</x:v>
      </x:c>
      <x:c r="B1295" s="2" t="str">
        <x:v>C0125</x:v>
      </x:c>
      <x:c r="C1295" s="7" t="n">
        <x:v>45918</x:v>
      </x:c>
      <x:c r="D1295" s="2" t="str">
        <x:v>Completed</x:v>
      </x:c>
      <x:c r="E1295" s="2" t="str">
        <x:v>South</x:v>
      </x:c>
      <x:c r="F1295" s="2" t="str">
        <x:v>Online</x:v>
      </x:c>
      <x:c r="G1295" s="9" t="n">
        <x:f>SUM(SalesLines!Q3169,SalesLines!Q3170)</x:f>
        <x:v>1263</x:v>
      </x:c>
      <x:c r="H1295" s="9" t="n">
        <x:f>SUM(SalesLines!M3169,SalesLines!M3170)</x:f>
        <x:v>1263</x:v>
      </x:c>
      <x:c r="I1295" s="9" t="n">
        <x:f>SUM(SalesLines!N3169,SalesLines!N3170)</x:f>
        <x:v>0</x:v>
      </x:c>
      <x:c r="J1295" s="9" t="n">
        <x:f>SUM(SalesLines!P3169,SalesLines!P3170)</x:f>
        <x:v>0</x:v>
      </x:c>
      <x:c r="K1295" s="11" t="n">
        <x:f>SUM(SalesLines!R3169,SalesLines!R3170)</x:f>
        <x:v>7</x:v>
      </x:c>
      <x:c r="L1295" s="11" t="n">
        <x:f>SUM(SalesLines!S3169,SalesLines!S3170)</x:f>
        <x:v>0</x:v>
      </x:c>
      <x:c r="M1295" s="8" t="n">
        <x:f>DATE(YEAR(C1295),MONTH(C1295),1)</x:f>
        <x:v>45901</x:v>
      </x:c>
    </x:row>
    <x:row r="1296" ht="22" customHeight="1">
      <x:c r="A1296" s="2" t="str">
        <x:v>O01292</x:v>
      </x:c>
      <x:c r="B1296" s="2" t="str">
        <x:v>C0159</x:v>
      </x:c>
      <x:c r="C1296" s="7" t="n">
        <x:v>45697</x:v>
      </x:c>
      <x:c r="D1296" s="2" t="str">
        <x:v>Completed</x:v>
      </x:c>
      <x:c r="E1296" s="2" t="str">
        <x:v>West</x:v>
      </x:c>
      <x:c r="F1296" s="2" t="str">
        <x:v>Store</x:v>
      </x:c>
      <x:c r="G1296" s="9" t="n">
        <x:f>SUM(SalesLines!Q3171)</x:f>
        <x:v>846</x:v>
      </x:c>
      <x:c r="H1296" s="9" t="n">
        <x:f>SUM(SalesLines!M3171)</x:f>
        <x:v>940</x:v>
      </x:c>
      <x:c r="I1296" s="9" t="n">
        <x:f>SUM(SalesLines!N3171)</x:f>
        <x:v>94</x:v>
      </x:c>
      <x:c r="J1296" s="9" t="n">
        <x:f>SUM(SalesLines!P3171)</x:f>
        <x:v>0</x:v>
      </x:c>
      <x:c r="K1296" s="11" t="n">
        <x:f>SUM(SalesLines!R3171)</x:f>
        <x:v>5</x:v>
      </x:c>
      <x:c r="L1296" s="11" t="n">
        <x:f>SUM(SalesLines!S3171)</x:f>
        <x:v>0</x:v>
      </x:c>
      <x:c r="M1296" s="8" t="n">
        <x:f>DATE(YEAR(C1296),MONTH(C1296),1)</x:f>
        <x:v>45689</x:v>
      </x:c>
    </x:row>
    <x:row r="1297" ht="22" customHeight="1">
      <x:c r="A1297" s="2" t="str">
        <x:v>O01293</x:v>
      </x:c>
      <x:c r="B1297" s="2" t="str">
        <x:v>C0197</x:v>
      </x:c>
      <x:c r="C1297" s="7" t="n">
        <x:v>45755</x:v>
      </x:c>
      <x:c r="D1297" s="2" t="str">
        <x:v>Completed</x:v>
      </x:c>
      <x:c r="E1297" s="2" t="str">
        <x:v>East</x:v>
      </x:c>
      <x:c r="F1297" s="2" t="str">
        <x:v>Store</x:v>
      </x:c>
      <x:c r="G1297" s="9" t="n">
        <x:f>SUM(SalesLines!Q3172,SalesLines!Q3173,SalesLines!Q3174,SalesLines!Q3175)</x:f>
        <x:v>1706.0500000000002</x:v>
      </x:c>
      <x:c r="H1297" s="9" t="n">
        <x:f>SUM(SalesLines!M3172,SalesLines!M3173,SalesLines!M3174,SalesLines!M3175)</x:f>
        <x:v>1931</x:v>
      </x:c>
      <x:c r="I1297" s="9" t="n">
        <x:f>SUM(SalesLines!N3172,SalesLines!N3173,SalesLines!N3174,SalesLines!N3175)</x:f>
        <x:v>224.95000000000002</x:v>
      </x:c>
      <x:c r="J1297" s="9" t="n">
        <x:f>SUM(SalesLines!P3172,SalesLines!P3173,SalesLines!P3174,SalesLines!P3175)</x:f>
        <x:v>0</x:v>
      </x:c>
      <x:c r="K1297" s="11" t="n">
        <x:f>SUM(SalesLines!R3172,SalesLines!R3173,SalesLines!R3174,SalesLines!R3175)</x:f>
        <x:v>13</x:v>
      </x:c>
      <x:c r="L1297" s="11" t="n">
        <x:f>SUM(SalesLines!S3172,SalesLines!S3173,SalesLines!S3174,SalesLines!S3175)</x:f>
        <x:v>0</x:v>
      </x:c>
      <x:c r="M1297" s="8" t="n">
        <x:f>DATE(YEAR(C1297),MONTH(C1297),1)</x:f>
        <x:v>45748</x:v>
      </x:c>
    </x:row>
    <x:row r="1298" ht="22" customHeight="1">
      <x:c r="A1298" s="2" t="str">
        <x:v>O01294</x:v>
      </x:c>
      <x:c r="B1298" s="2" t="str">
        <x:v>C0071</x:v>
      </x:c>
      <x:c r="C1298" s="7" t="n">
        <x:v>45690</x:v>
      </x:c>
      <x:c r="D1298" s="2" t="str">
        <x:v>Completed</x:v>
      </x:c>
      <x:c r="E1298" s="2" t="str">
        <x:v>West</x:v>
      </x:c>
      <x:c r="F1298" s="2" t="str">
        <x:v>Store</x:v>
      </x:c>
      <x:c r="G1298" s="9" t="n">
        <x:f>SUM(SalesLines!Q3176)</x:f>
        <x:v>33.25</x:v>
      </x:c>
      <x:c r="H1298" s="9" t="n">
        <x:f>SUM(SalesLines!M3176)</x:f>
        <x:v>35</x:v>
      </x:c>
      <x:c r="I1298" s="9" t="n">
        <x:f>SUM(SalesLines!N3176)</x:f>
        <x:v>1.75</x:v>
      </x:c>
      <x:c r="J1298" s="9" t="n">
        <x:f>SUM(SalesLines!P3176)</x:f>
        <x:v>0</x:v>
      </x:c>
      <x:c r="K1298" s="11" t="n">
        <x:f>SUM(SalesLines!R3176)</x:f>
        <x:v>1</x:v>
      </x:c>
      <x:c r="L1298" s="11" t="n">
        <x:f>SUM(SalesLines!S3176)</x:f>
        <x:v>0</x:v>
      </x:c>
      <x:c r="M1298" s="8" t="n">
        <x:f>DATE(YEAR(C1298),MONTH(C1298),1)</x:f>
        <x:v>45689</x:v>
      </x:c>
    </x:row>
    <x:row r="1299" ht="22" customHeight="1">
      <x:c r="A1299" s="2" t="str">
        <x:v>O01295</x:v>
      </x:c>
      <x:c r="B1299" s="2" t="str">
        <x:v>C0162</x:v>
      </x:c>
      <x:c r="C1299" s="7" t="n">
        <x:v>45818</x:v>
      </x:c>
      <x:c r="D1299" s="2" t="str">
        <x:v>Completed</x:v>
      </x:c>
      <x:c r="E1299" s="2" t="str">
        <x:v>South</x:v>
      </x:c>
      <x:c r="F1299" s="2" t="str">
        <x:v>Store</x:v>
      </x:c>
      <x:c r="G1299" s="9" t="n">
        <x:f>SUM(SalesLines!Q3177)</x:f>
        <x:v>1022.2</x:v>
      </x:c>
      <x:c r="H1299" s="9" t="n">
        <x:f>SUM(SalesLines!M3177)</x:f>
        <x:v>1076</x:v>
      </x:c>
      <x:c r="I1299" s="9" t="n">
        <x:f>SUM(SalesLines!N3177)</x:f>
        <x:v>53.800000000000004</x:v>
      </x:c>
      <x:c r="J1299" s="9" t="n">
        <x:f>SUM(SalesLines!P3177)</x:f>
        <x:v>0</x:v>
      </x:c>
      <x:c r="K1299" s="11" t="n">
        <x:f>SUM(SalesLines!R3177)</x:f>
        <x:v>4</x:v>
      </x:c>
      <x:c r="L1299" s="11" t="n">
        <x:f>SUM(SalesLines!S3177)</x:f>
        <x:v>0</x:v>
      </x:c>
      <x:c r="M1299" s="8" t="n">
        <x:f>DATE(YEAR(C1299),MONTH(C1299),1)</x:f>
        <x:v>45809</x:v>
      </x:c>
    </x:row>
    <x:row r="1300" ht="22" customHeight="1">
      <x:c r="A1300" s="2" t="str">
        <x:v>O01296</x:v>
      </x:c>
      <x:c r="B1300" s="2" t="str">
        <x:v>C0293</x:v>
      </x:c>
      <x:c r="C1300" s="7" t="n">
        <x:v>45663</x:v>
      </x:c>
      <x:c r="D1300" s="2" t="str">
        <x:v>Completed</x:v>
      </x:c>
      <x:c r="E1300" s="2" t="str">
        <x:v>North</x:v>
      </x:c>
      <x:c r="F1300" s="2" t="str">
        <x:v>Online</x:v>
      </x:c>
      <x:c r="G1300" s="9" t="n">
        <x:f>SUM(SalesLines!Q3178,SalesLines!Q3179,SalesLines!Q3180,SalesLines!Q3181)</x:f>
        <x:v>1091.9499999999998</x:v>
      </x:c>
      <x:c r="H1300" s="9" t="n">
        <x:f>SUM(SalesLines!M3178,SalesLines!M3179,SalesLines!M3180,SalesLines!M3181)</x:f>
        <x:v>1481</x:v>
      </x:c>
      <x:c r="I1300" s="9" t="n">
        <x:f>SUM(SalesLines!N3178,SalesLines!N3179,SalesLines!N3180,SalesLines!N3181)</x:f>
        <x:v>50.650000000000006</x:v>
      </x:c>
      <x:c r="J1300" s="9" t="n">
        <x:f>SUM(SalesLines!P3178,SalesLines!P3179,SalesLines!P3180,SalesLines!P3181)</x:f>
        <x:v>338.40000000000003</x:v>
      </x:c>
      <x:c r="K1300" s="11" t="n">
        <x:f>SUM(SalesLines!R3178,SalesLines!R3179,SalesLines!R3180,SalesLines!R3181)</x:f>
        <x:v>8</x:v>
      </x:c>
      <x:c r="L1300" s="11" t="n">
        <x:f>SUM(SalesLines!S3178,SalesLines!S3179,SalesLines!S3180,SalesLines!S3181)</x:f>
        <x:v>2</x:v>
      </x:c>
      <x:c r="M1300" s="8" t="n">
        <x:f>DATE(YEAR(C1300),MONTH(C1300),1)</x:f>
        <x:v>45658</x:v>
      </x:c>
    </x:row>
    <x:row r="1301" ht="22" customHeight="1">
      <x:c r="A1301" s="2" t="str">
        <x:v>O01297</x:v>
      </x:c>
      <x:c r="B1301" s="2" t="str">
        <x:v>C0261</x:v>
      </x:c>
      <x:c r="C1301" s="7" t="n">
        <x:v>45939</x:v>
      </x:c>
      <x:c r="D1301" s="2" t="str">
        <x:v>Cancelled</x:v>
      </x:c>
      <x:c r="E1301" s="2" t="str">
        <x:v>West</x:v>
      </x:c>
      <x:c r="F1301" s="2" t="str">
        <x:v>Store</x:v>
      </x:c>
      <x:c r="G1301" s="9" t="n">
        <x:f>SUM(SalesLines!Q3182)</x:f>
        <x:v>0</x:v>
      </x:c>
      <x:c r="H1301" s="9" t="n">
        <x:f>SUM(SalesLines!M3182)</x:f>
        <x:v>0</x:v>
      </x:c>
      <x:c r="I1301" s="9" t="n">
        <x:f>SUM(SalesLines!N3182)</x:f>
        <x:v>0</x:v>
      </x:c>
      <x:c r="J1301" s="9" t="n">
        <x:f>SUM(SalesLines!P3182)</x:f>
        <x:v>0</x:v>
      </x:c>
      <x:c r="K1301" s="11" t="n">
        <x:f>SUM(SalesLines!R3182)</x:f>
        <x:v>0</x:v>
      </x:c>
      <x:c r="L1301" s="11" t="n">
        <x:f>SUM(SalesLines!S3182)</x:f>
        <x:v>0</x:v>
      </x:c>
      <x:c r="M1301" s="8" t="n">
        <x:f>DATE(YEAR(C1301),MONTH(C1301),1)</x:f>
        <x:v>45931</x:v>
      </x:c>
    </x:row>
    <x:row r="1302" ht="22" customHeight="1">
      <x:c r="A1302" s="2" t="str">
        <x:v>O01298</x:v>
      </x:c>
      <x:c r="B1302" s="2" t="str">
        <x:v>C0179</x:v>
      </x:c>
      <x:c r="C1302" s="7" t="n">
        <x:v>45960</x:v>
      </x:c>
      <x:c r="D1302" s="2" t="str">
        <x:v>Cancelled</x:v>
      </x:c>
      <x:c r="E1302" s="2" t="str">
        <x:v>East</x:v>
      </x:c>
      <x:c r="F1302" s="2" t="str">
        <x:v>Store</x:v>
      </x:c>
      <x:c r="G1302" s="9" t="n">
        <x:f>SUM(SalesLines!Q3183,SalesLines!Q3184,SalesLines!Q3185,SalesLines!Q3186)</x:f>
        <x:v>0</x:v>
      </x:c>
      <x:c r="H1302" s="9" t="n">
        <x:f>SUM(SalesLines!M3183,SalesLines!M3184,SalesLines!M3185,SalesLines!M3186)</x:f>
        <x:v>0</x:v>
      </x:c>
      <x:c r="I1302" s="9" t="n">
        <x:f>SUM(SalesLines!N3183,SalesLines!N3184,SalesLines!N3185,SalesLines!N3186)</x:f>
        <x:v>0</x:v>
      </x:c>
      <x:c r="J1302" s="9" t="n">
        <x:f>SUM(SalesLines!P3183,SalesLines!P3184,SalesLines!P3185,SalesLines!P3186)</x:f>
        <x:v>0</x:v>
      </x:c>
      <x:c r="K1302" s="11" t="n">
        <x:f>SUM(SalesLines!R3183,SalesLines!R3184,SalesLines!R3185,SalesLines!R3186)</x:f>
        <x:v>0</x:v>
      </x:c>
      <x:c r="L1302" s="11" t="n">
        <x:f>SUM(SalesLines!S3183,SalesLines!S3184,SalesLines!S3185,SalesLines!S3186)</x:f>
        <x:v>0</x:v>
      </x:c>
      <x:c r="M1302" s="8" t="n">
        <x:f>DATE(YEAR(C1302),MONTH(C1302),1)</x:f>
        <x:v>45931</x:v>
      </x:c>
    </x:row>
    <x:row r="1303" ht="22" customHeight="1">
      <x:c r="A1303" s="2" t="str">
        <x:v>O01299</x:v>
      </x:c>
      <x:c r="B1303" s="2" t="str">
        <x:v>C0251</x:v>
      </x:c>
      <x:c r="C1303" s="7" t="n">
        <x:v>45947</x:v>
      </x:c>
      <x:c r="D1303" s="2" t="str">
        <x:v>Completed</x:v>
      </x:c>
      <x:c r="E1303" s="2" t="str">
        <x:v>North</x:v>
      </x:c>
      <x:c r="F1303" s="2" t="str">
        <x:v>Online</x:v>
      </x:c>
      <x:c r="G1303" s="9" t="n">
        <x:f>SUM(SalesLines!Q3187,SalesLines!Q3188)</x:f>
        <x:v>291.5</x:v>
      </x:c>
      <x:c r="H1303" s="9" t="n">
        <x:f>SUM(SalesLines!M3187,SalesLines!M3188)</x:f>
        <x:v>309</x:v>
      </x:c>
      <x:c r="I1303" s="9" t="n">
        <x:f>SUM(SalesLines!N3187,SalesLines!N3188)</x:f>
        <x:v>17.5</x:v>
      </x:c>
      <x:c r="J1303" s="9" t="n">
        <x:f>SUM(SalesLines!P3187,SalesLines!P3188)</x:f>
        <x:v>0</x:v>
      </x:c>
      <x:c r="K1303" s="11" t="n">
        <x:f>SUM(SalesLines!R3187,SalesLines!R3188)</x:f>
        <x:v>6</x:v>
      </x:c>
      <x:c r="L1303" s="11" t="n">
        <x:f>SUM(SalesLines!S3187,SalesLines!S3188)</x:f>
        <x:v>0</x:v>
      </x:c>
      <x:c r="M1303" s="8" t="n">
        <x:f>DATE(YEAR(C1303),MONTH(C1303),1)</x:f>
        <x:v>45931</x:v>
      </x:c>
    </x:row>
    <x:row r="1304" ht="22" customHeight="1">
      <x:c r="A1304" s="2" t="str">
        <x:v>O01300</x:v>
      </x:c>
      <x:c r="B1304" s="2" t="str">
        <x:v>C0061</x:v>
      </x:c>
      <x:c r="C1304" s="7" t="n">
        <x:v>45697</x:v>
      </x:c>
      <x:c r="D1304" s="2" t="str">
        <x:v>Completed</x:v>
      </x:c>
      <x:c r="E1304" s="2" t="str">
        <x:v>East</x:v>
      </x:c>
      <x:c r="F1304" s="2" t="str">
        <x:v>Store</x:v>
      </x:c>
      <x:c r="G1304" s="9" t="n">
        <x:f>SUM(SalesLines!Q3189)</x:f>
        <x:v>70</x:v>
      </x:c>
      <x:c r="H1304" s="9" t="n">
        <x:f>SUM(SalesLines!M3189)</x:f>
        <x:v>70</x:v>
      </x:c>
      <x:c r="I1304" s="9" t="n">
        <x:f>SUM(SalesLines!N3189)</x:f>
        <x:v>0</x:v>
      </x:c>
      <x:c r="J1304" s="9" t="n">
        <x:f>SUM(SalesLines!P3189)</x:f>
        <x:v>0</x:v>
      </x:c>
      <x:c r="K1304" s="11" t="n">
        <x:f>SUM(SalesLines!R3189)</x:f>
        <x:v>2</x:v>
      </x:c>
      <x:c r="L1304" s="11" t="n">
        <x:f>SUM(SalesLines!S3189)</x:f>
        <x:v>0</x:v>
      </x:c>
      <x:c r="M1304" s="8" t="n">
        <x:f>DATE(YEAR(C1304),MONTH(C1304),1)</x:f>
        <x:v>45689</x:v>
      </x:c>
    </x:row>
    <x:row r="1305" ht="22" customHeight="1">
      <x:c r="A1305" s="2" t="str">
        <x:v>O01301</x:v>
      </x:c>
      <x:c r="B1305" s="2" t="str">
        <x:v>C0090</x:v>
      </x:c>
      <x:c r="C1305" s="7" t="n">
        <x:v>45995</x:v>
      </x:c>
      <x:c r="D1305" s="2" t="str">
        <x:v>Completed</x:v>
      </x:c>
      <x:c r="E1305" s="2" t="str">
        <x:v>West</x:v>
      </x:c>
      <x:c r="F1305" s="2" t="str">
        <x:v>Store</x:v>
      </x:c>
      <x:c r="G1305" s="9" t="n">
        <x:f>SUM(SalesLines!Q3190)</x:f>
        <x:v>162</x:v>
      </x:c>
      <x:c r="H1305" s="9" t="n">
        <x:f>SUM(SalesLines!M3190)</x:f>
        <x:v>162</x:v>
      </x:c>
      <x:c r="I1305" s="9" t="n">
        <x:f>SUM(SalesLines!N3190)</x:f>
        <x:v>0</x:v>
      </x:c>
      <x:c r="J1305" s="9" t="n">
        <x:f>SUM(SalesLines!P3190)</x:f>
        <x:v>0</x:v>
      </x:c>
      <x:c r="K1305" s="11" t="n">
        <x:f>SUM(SalesLines!R3190)</x:f>
        <x:v>2</x:v>
      </x:c>
      <x:c r="L1305" s="11" t="n">
        <x:f>SUM(SalesLines!S3190)</x:f>
        <x:v>0</x:v>
      </x:c>
      <x:c r="M1305" s="8" t="n">
        <x:f>DATE(YEAR(C1305),MONTH(C1305),1)</x:f>
        <x:v>45992</x:v>
      </x:c>
    </x:row>
    <x:row r="1306" ht="22" customHeight="1">
      <x:c r="A1306" s="2" t="str">
        <x:v>O01302</x:v>
      </x:c>
      <x:c r="B1306" s="2" t="str">
        <x:v>C0227</x:v>
      </x:c>
      <x:c r="C1306" s="7" t="n">
        <x:v>45740</x:v>
      </x:c>
      <x:c r="D1306" s="2" t="str">
        <x:v>Completed</x:v>
      </x:c>
      <x:c r="E1306" s="2" t="str">
        <x:v>East</x:v>
      </x:c>
      <x:c r="F1306" s="2" t="str">
        <x:v>Store</x:v>
      </x:c>
      <x:c r="G1306" s="9" t="n">
        <x:f>SUM(SalesLines!Q3191)</x:f>
        <x:v>588</x:v>
      </x:c>
      <x:c r="H1306" s="9" t="n">
        <x:f>SUM(SalesLines!M3191)</x:f>
        <x:v>588</x:v>
      </x:c>
      <x:c r="I1306" s="9" t="n">
        <x:f>SUM(SalesLines!N3191)</x:f>
        <x:v>0</x:v>
      </x:c>
      <x:c r="J1306" s="9" t="n">
        <x:f>SUM(SalesLines!P3191)</x:f>
        <x:v>0</x:v>
      </x:c>
      <x:c r="K1306" s="11" t="n">
        <x:f>SUM(SalesLines!R3191)</x:f>
        <x:v>3</x:v>
      </x:c>
      <x:c r="L1306" s="11" t="n">
        <x:f>SUM(SalesLines!S3191)</x:f>
        <x:v>0</x:v>
      </x:c>
      <x:c r="M1306" s="8" t="n">
        <x:f>DATE(YEAR(C1306),MONTH(C1306),1)</x:f>
        <x:v>45717</x:v>
      </x:c>
    </x:row>
    <x:row r="1307" ht="22" customHeight="1">
      <x:c r="A1307" s="2" t="str">
        <x:v>O01303</x:v>
      </x:c>
      <x:c r="B1307" s="2" t="str">
        <x:v>C0059</x:v>
      </x:c>
      <x:c r="C1307" s="7" t="n">
        <x:v>45779</x:v>
      </x:c>
      <x:c r="D1307" s="2" t="str">
        <x:v>Completed</x:v>
      </x:c>
      <x:c r="E1307" s="2" t="str">
        <x:v>South</x:v>
      </x:c>
      <x:c r="F1307" s="2" t="str">
        <x:v>Store</x:v>
      </x:c>
      <x:c r="G1307" s="9" t="n">
        <x:f>SUM(SalesLines!Q3192,SalesLines!Q3193,SalesLines!Q3194,SalesLines!Q3195)</x:f>
        <x:v>1540.5</x:v>
      </x:c>
      <x:c r="H1307" s="9" t="n">
        <x:f>SUM(SalesLines!M3192,SalesLines!M3193,SalesLines!M3194,SalesLines!M3195)</x:f>
        <x:v>2076</x:v>
      </x:c>
      <x:c r="I1307" s="9" t="n">
        <x:f>SUM(SalesLines!N3192,SalesLines!N3193,SalesLines!N3194,SalesLines!N3195)</x:f>
        <x:v>250.5</x:v>
      </x:c>
      <x:c r="J1307" s="9" t="n">
        <x:f>SUM(SalesLines!P3192,SalesLines!P3193,SalesLines!P3194,SalesLines!P3195)</x:f>
        <x:v>285</x:v>
      </x:c>
      <x:c r="K1307" s="11" t="n">
        <x:f>SUM(SalesLines!R3192,SalesLines!R3193,SalesLines!R3194,SalesLines!R3195)</x:f>
        <x:v>13</x:v>
      </x:c>
      <x:c r="L1307" s="11" t="n">
        <x:f>SUM(SalesLines!S3192,SalesLines!S3193,SalesLines!S3194,SalesLines!S3195)</x:f>
        <x:v>1</x:v>
      </x:c>
      <x:c r="M1307" s="8" t="n">
        <x:f>DATE(YEAR(C1307),MONTH(C1307),1)</x:f>
        <x:v>45778</x:v>
      </x:c>
    </x:row>
    <x:row r="1308" ht="22" customHeight="1">
      <x:c r="A1308" s="2" t="str">
        <x:v>O01304</x:v>
      </x:c>
      <x:c r="B1308" s="2" t="str">
        <x:v>C0277</x:v>
      </x:c>
      <x:c r="C1308" s="7" t="n">
        <x:v>45967</x:v>
      </x:c>
      <x:c r="D1308" s="2" t="str">
        <x:v>Completed</x:v>
      </x:c>
      <x:c r="E1308" s="2" t="str">
        <x:v>West</x:v>
      </x:c>
      <x:c r="F1308" s="2" t="str">
        <x:v>Online</x:v>
      </x:c>
      <x:c r="G1308" s="9" t="n">
        <x:f>SUM(SalesLines!Q3196,SalesLines!Q3197,SalesLines!Q3198,SalesLines!Q3199)</x:f>
        <x:v>2309.7</x:v>
      </x:c>
      <x:c r="H1308" s="9" t="n">
        <x:f>SUM(SalesLines!M3196,SalesLines!M3197,SalesLines!M3198,SalesLines!M3199)</x:f>
        <x:v>2485</x:v>
      </x:c>
      <x:c r="I1308" s="9" t="n">
        <x:f>SUM(SalesLines!N3196,SalesLines!N3197,SalesLines!N3198,SalesLines!N3199)</x:f>
        <x:v>175.3</x:v>
      </x:c>
      <x:c r="J1308" s="9" t="n">
        <x:f>SUM(SalesLines!P3196,SalesLines!P3197,SalesLines!P3198,SalesLines!P3199)</x:f>
        <x:v>0</x:v>
      </x:c>
      <x:c r="K1308" s="11" t="n">
        <x:f>SUM(SalesLines!R3196,SalesLines!R3197,SalesLines!R3198,SalesLines!R3199)</x:f>
        <x:v>14</x:v>
      </x:c>
      <x:c r="L1308" s="11" t="n">
        <x:f>SUM(SalesLines!S3196,SalesLines!S3197,SalesLines!S3198,SalesLines!S3199)</x:f>
        <x:v>0</x:v>
      </x:c>
      <x:c r="M1308" s="8" t="n">
        <x:f>DATE(YEAR(C1308),MONTH(C1308),1)</x:f>
        <x:v>45962</x:v>
      </x:c>
    </x:row>
    <x:row r="1309" ht="22" customHeight="1">
      <x:c r="A1309" s="2" t="str">
        <x:v>O01305</x:v>
      </x:c>
      <x:c r="B1309" s="2" t="str">
        <x:v>C0069</x:v>
      </x:c>
      <x:c r="C1309" s="7" t="n">
        <x:v>45965</x:v>
      </x:c>
      <x:c r="D1309" s="2" t="str">
        <x:v>Completed</x:v>
      </x:c>
      <x:c r="E1309" s="2" t="str">
        <x:v>South</x:v>
      </x:c>
      <x:c r="F1309" s="2" t="str">
        <x:v>Online</x:v>
      </x:c>
      <x:c r="G1309" s="9" t="n">
        <x:f>SUM(SalesLines!Q3200)</x:f>
        <x:v>68</x:v>
      </x:c>
      <x:c r="H1309" s="9" t="n">
        <x:f>SUM(SalesLines!M3200)</x:f>
        <x:v>68</x:v>
      </x:c>
      <x:c r="I1309" s="9" t="n">
        <x:f>SUM(SalesLines!N3200)</x:f>
        <x:v>0</x:v>
      </x:c>
      <x:c r="J1309" s="9" t="n">
        <x:f>SUM(SalesLines!P3200)</x:f>
        <x:v>0</x:v>
      </x:c>
      <x:c r="K1309" s="11" t="n">
        <x:f>SUM(SalesLines!R3200)</x:f>
        <x:v>1</x:v>
      </x:c>
      <x:c r="L1309" s="11" t="n">
        <x:f>SUM(SalesLines!S3200)</x:f>
        <x:v>0</x:v>
      </x:c>
      <x:c r="M1309" s="8" t="n">
        <x:f>DATE(YEAR(C1309),MONTH(C1309),1)</x:f>
        <x:v>45962</x:v>
      </x:c>
    </x:row>
    <x:row r="1310" ht="22" customHeight="1">
      <x:c r="A1310" s="2" t="str">
        <x:v>O01306</x:v>
      </x:c>
      <x:c r="B1310" s="2" t="str">
        <x:v>C0040</x:v>
      </x:c>
      <x:c r="C1310" s="7" t="n">
        <x:v>45874</x:v>
      </x:c>
      <x:c r="D1310" s="2" t="str">
        <x:v>Completed</x:v>
      </x:c>
      <x:c r="E1310" s="2" t="str">
        <x:v>North</x:v>
      </x:c>
      <x:c r="F1310" s="2" t="str">
        <x:v>Store</x:v>
      </x:c>
      <x:c r="G1310" s="9" t="n">
        <x:f>SUM(SalesLines!Q3201)</x:f>
        <x:v>66.5</x:v>
      </x:c>
      <x:c r="H1310" s="9" t="n">
        <x:f>SUM(SalesLines!M3201)</x:f>
        <x:v>70</x:v>
      </x:c>
      <x:c r="I1310" s="9" t="n">
        <x:f>SUM(SalesLines!N3201)</x:f>
        <x:v>3.5</x:v>
      </x:c>
      <x:c r="J1310" s="9" t="n">
        <x:f>SUM(SalesLines!P3201)</x:f>
        <x:v>0</x:v>
      </x:c>
      <x:c r="K1310" s="11" t="n">
        <x:f>SUM(SalesLines!R3201)</x:f>
        <x:v>2</x:v>
      </x:c>
      <x:c r="L1310" s="11" t="n">
        <x:f>SUM(SalesLines!S3201)</x:f>
        <x:v>0</x:v>
      </x:c>
      <x:c r="M1310" s="8" t="n">
        <x:f>DATE(YEAR(C1310),MONTH(C1310),1)</x:f>
        <x:v>45870</x:v>
      </x:c>
    </x:row>
    <x:row r="1311" ht="22" customHeight="1">
      <x:c r="A1311" s="2" t="str">
        <x:v>O01307</x:v>
      </x:c>
      <x:c r="B1311" s="2" t="str">
        <x:v>C0013</x:v>
      </x:c>
      <x:c r="C1311" s="7" t="n">
        <x:v>45804</x:v>
      </x:c>
      <x:c r="D1311" s="2" t="str">
        <x:v>Completed</x:v>
      </x:c>
      <x:c r="E1311" s="2" t="str">
        <x:v>West</x:v>
      </x:c>
      <x:c r="F1311" s="2" t="str">
        <x:v>Store</x:v>
      </x:c>
      <x:c r="G1311" s="9" t="n">
        <x:f>SUM(SalesLines!Q3202)</x:f>
        <x:v>796.8</x:v>
      </x:c>
      <x:c r="H1311" s="9" t="n">
        <x:f>SUM(SalesLines!M3202)</x:f>
        <x:v>996</x:v>
      </x:c>
      <x:c r="I1311" s="9" t="n">
        <x:f>SUM(SalesLines!N3202)</x:f>
        <x:v>199.20000000000002</x:v>
      </x:c>
      <x:c r="J1311" s="9" t="n">
        <x:f>SUM(SalesLines!P3202)</x:f>
        <x:v>0</x:v>
      </x:c>
      <x:c r="K1311" s="11" t="n">
        <x:f>SUM(SalesLines!R3202)</x:f>
        <x:v>4</x:v>
      </x:c>
      <x:c r="L1311" s="11" t="n">
        <x:f>SUM(SalesLines!S3202)</x:f>
        <x:v>0</x:v>
      </x:c>
      <x:c r="M1311" s="8" t="n">
        <x:f>DATE(YEAR(C1311),MONTH(C1311),1)</x:f>
        <x:v>45778</x:v>
      </x:c>
    </x:row>
    <x:row r="1312" ht="22" customHeight="1">
      <x:c r="A1312" s="2" t="str">
        <x:v>O01308</x:v>
      </x:c>
      <x:c r="B1312" s="2" t="str">
        <x:v>C0193</x:v>
      </x:c>
      <x:c r="C1312" s="7" t="n">
        <x:v>45956</x:v>
      </x:c>
      <x:c r="D1312" s="2" t="str">
        <x:v>Completed</x:v>
      </x:c>
      <x:c r="E1312" s="2" t="str">
        <x:v>East</x:v>
      </x:c>
      <x:c r="F1312" s="2" t="str">
        <x:v>Online</x:v>
      </x:c>
      <x:c r="G1312" s="9" t="n">
        <x:f>SUM(SalesLines!Q3203,SalesLines!Q3204,SalesLines!Q3205,SalesLines!Q3206)</x:f>
        <x:v>622</x:v>
      </x:c>
      <x:c r="H1312" s="9" t="n">
        <x:f>SUM(SalesLines!M3203,SalesLines!M3204,SalesLines!M3205,SalesLines!M3206)</x:f>
        <x:v>1410</x:v>
      </x:c>
      <x:c r="I1312" s="9" t="n">
        <x:f>SUM(SalesLines!N3203,SalesLines!N3204,SalesLines!N3205,SalesLines!N3206)</x:f>
        <x:v>252</x:v>
      </x:c>
      <x:c r="J1312" s="9" t="n">
        <x:f>SUM(SalesLines!P3203,SalesLines!P3204,SalesLines!P3205,SalesLines!P3206)</x:f>
        <x:v>536</x:v>
      </x:c>
      <x:c r="K1312" s="11" t="n">
        <x:f>SUM(SalesLines!R3203,SalesLines!R3204,SalesLines!R3205,SalesLines!R3206)</x:f>
        <x:v>11</x:v>
      </x:c>
      <x:c r="L1312" s="11" t="n">
        <x:f>SUM(SalesLines!S3203,SalesLines!S3204,SalesLines!S3205,SalesLines!S3206)</x:f>
        <x:v>5</x:v>
      </x:c>
      <x:c r="M1312" s="8" t="n">
        <x:f>DATE(YEAR(C1312),MONTH(C1312),1)</x:f>
        <x:v>45931</x:v>
      </x:c>
    </x:row>
    <x:row r="1313" ht="22" customHeight="1">
      <x:c r="A1313" s="2" t="str">
        <x:v>O01309</x:v>
      </x:c>
      <x:c r="B1313" s="2" t="str">
        <x:v>C0092</x:v>
      </x:c>
      <x:c r="C1313" s="7" t="n">
        <x:v>45710</x:v>
      </x:c>
      <x:c r="D1313" s="2" t="str">
        <x:v>Completed</x:v>
      </x:c>
      <x:c r="E1313" s="2" t="str">
        <x:v>East</x:v>
      </x:c>
      <x:c r="F1313" s="2" t="str">
        <x:v>Online</x:v>
      </x:c>
      <x:c r="G1313" s="9" t="n">
        <x:f>SUM(SalesLines!Q3207,SalesLines!Q3208,SalesLines!Q3209)</x:f>
        <x:v>1405.9</x:v>
      </x:c>
      <x:c r="H1313" s="9" t="n">
        <x:f>SUM(SalesLines!M3207,SalesLines!M3208,SalesLines!M3209)</x:f>
        <x:v>1592</x:v>
      </x:c>
      <x:c r="I1313" s="9" t="n">
        <x:f>SUM(SalesLines!N3207,SalesLines!N3208,SalesLines!N3209)</x:f>
        <x:v>186.10000000000002</x:v>
      </x:c>
      <x:c r="J1313" s="9" t="n">
        <x:f>SUM(SalesLines!P3207,SalesLines!P3208,SalesLines!P3209)</x:f>
        <x:v>0</x:v>
      </x:c>
      <x:c r="K1313" s="11" t="n">
        <x:f>SUM(SalesLines!R3207,SalesLines!R3208,SalesLines!R3209)</x:f>
        <x:v>8</x:v>
      </x:c>
      <x:c r="L1313" s="11" t="n">
        <x:f>SUM(SalesLines!S3207,SalesLines!S3208,SalesLines!S3209)</x:f>
        <x:v>0</x:v>
      </x:c>
      <x:c r="M1313" s="8" t="n">
        <x:f>DATE(YEAR(C1313),MONTH(C1313),1)</x:f>
        <x:v>45689</x:v>
      </x:c>
    </x:row>
    <x:row r="1314" ht="22" customHeight="1">
      <x:c r="A1314" s="2" t="str">
        <x:v>O01310</x:v>
      </x:c>
      <x:c r="B1314" s="2" t="str">
        <x:v>C0140</x:v>
      </x:c>
      <x:c r="C1314" s="7" t="n">
        <x:v>45955</x:v>
      </x:c>
      <x:c r="D1314" s="2" t="str">
        <x:v>Completed</x:v>
      </x:c>
      <x:c r="E1314" s="2" t="str">
        <x:v>East</x:v>
      </x:c>
      <x:c r="F1314" s="2" t="str">
        <x:v>Store</x:v>
      </x:c>
      <x:c r="G1314" s="9" t="n">
        <x:f>SUM(SalesLines!Q3210,SalesLines!Q3211,SalesLines!Q3212,SalesLines!Q3213)</x:f>
        <x:v>1859.3</x:v>
      </x:c>
      <x:c r="H1314" s="9" t="n">
        <x:f>SUM(SalesLines!M3210,SalesLines!M3211,SalesLines!M3212,SalesLines!M3213)</x:f>
        <x:v>1994</x:v>
      </x:c>
      <x:c r="I1314" s="9" t="n">
        <x:f>SUM(SalesLines!N3210,SalesLines!N3211,SalesLines!N3212,SalesLines!N3213)</x:f>
        <x:v>134.7</x:v>
      </x:c>
      <x:c r="J1314" s="9" t="n">
        <x:f>SUM(SalesLines!P3210,SalesLines!P3211,SalesLines!P3212,SalesLines!P3213)</x:f>
        <x:v>0</x:v>
      </x:c>
      <x:c r="K1314" s="11" t="n">
        <x:f>SUM(SalesLines!R3210,SalesLines!R3211,SalesLines!R3212,SalesLines!R3213)</x:f>
        <x:v>8</x:v>
      </x:c>
      <x:c r="L1314" s="11" t="n">
        <x:f>SUM(SalesLines!S3210,SalesLines!S3211,SalesLines!S3212,SalesLines!S3213)</x:f>
        <x:v>0</x:v>
      </x:c>
      <x:c r="M1314" s="8" t="n">
        <x:f>DATE(YEAR(C1314),MONTH(C1314),1)</x:f>
        <x:v>45931</x:v>
      </x:c>
    </x:row>
    <x:row r="1315" ht="22" customHeight="1">
      <x:c r="A1315" s="2" t="str">
        <x:v>O01311</x:v>
      </x:c>
      <x:c r="B1315" s="2" t="str">
        <x:v>C0162</x:v>
      </x:c>
      <x:c r="C1315" s="7" t="n">
        <x:v>45853</x:v>
      </x:c>
      <x:c r="D1315" s="2" t="str">
        <x:v>Completed</x:v>
      </x:c>
      <x:c r="E1315" s="2" t="str">
        <x:v>South</x:v>
      </x:c>
      <x:c r="F1315" s="2" t="str">
        <x:v>Store</x:v>
      </x:c>
      <x:c r="G1315" s="9" t="n">
        <x:f>SUM(SalesLines!Q3214,SalesLines!Q3215,SalesLines!Q3216)</x:f>
        <x:v>1077.55</x:v>
      </x:c>
      <x:c r="H1315" s="9" t="n">
        <x:f>SUM(SalesLines!M3214,SalesLines!M3215,SalesLines!M3216)</x:f>
        <x:v>1235</x:v>
      </x:c>
      <x:c r="I1315" s="9" t="n">
        <x:f>SUM(SalesLines!N3214,SalesLines!N3215,SalesLines!N3216)</x:f>
        <x:v>157.45000000000002</x:v>
      </x:c>
      <x:c r="J1315" s="9" t="n">
        <x:f>SUM(SalesLines!P3214,SalesLines!P3215,SalesLines!P3216)</x:f>
        <x:v>0</x:v>
      </x:c>
      <x:c r="K1315" s="11" t="n">
        <x:f>SUM(SalesLines!R3214,SalesLines!R3215,SalesLines!R3216)</x:f>
        <x:v>7</x:v>
      </x:c>
      <x:c r="L1315" s="11" t="n">
        <x:f>SUM(SalesLines!S3214,SalesLines!S3215,SalesLines!S3216)</x:f>
        <x:v>0</x:v>
      </x:c>
      <x:c r="M1315" s="8" t="n">
        <x:f>DATE(YEAR(C1315),MONTH(C1315),1)</x:f>
        <x:v>45839</x:v>
      </x:c>
    </x:row>
    <x:row r="1316" ht="22" customHeight="1">
      <x:c r="A1316" s="2" t="str">
        <x:v>O01312</x:v>
      </x:c>
      <x:c r="B1316" s="2" t="str">
        <x:v>C0246</x:v>
      </x:c>
      <x:c r="C1316" s="7" t="n">
        <x:v>45950</x:v>
      </x:c>
      <x:c r="D1316" s="2" t="str">
        <x:v>Completed</x:v>
      </x:c>
      <x:c r="E1316" s="2" t="str">
        <x:v>South</x:v>
      </x:c>
      <x:c r="F1316" s="2" t="str">
        <x:v>Store</x:v>
      </x:c>
      <x:c r="G1316" s="9" t="n">
        <x:f>SUM(SalesLines!Q3217)</x:f>
        <x:v>255.6</x:v>
      </x:c>
      <x:c r="H1316" s="9" t="n">
        <x:f>SUM(SalesLines!M3217)</x:f>
        <x:v>284</x:v>
      </x:c>
      <x:c r="I1316" s="9" t="n">
        <x:f>SUM(SalesLines!N3217)</x:f>
        <x:v>28.400000000000002</x:v>
      </x:c>
      <x:c r="J1316" s="9" t="n">
        <x:f>SUM(SalesLines!P3217)</x:f>
        <x:v>0</x:v>
      </x:c>
      <x:c r="K1316" s="11" t="n">
        <x:f>SUM(SalesLines!R3217)</x:f>
        <x:v>1</x:v>
      </x:c>
      <x:c r="L1316" s="11" t="n">
        <x:f>SUM(SalesLines!S3217)</x:f>
        <x:v>0</x:v>
      </x:c>
      <x:c r="M1316" s="8" t="n">
        <x:f>DATE(YEAR(C1316),MONTH(C1316),1)</x:f>
        <x:v>45931</x:v>
      </x:c>
    </x:row>
    <x:row r="1317" ht="22" customHeight="1">
      <x:c r="A1317" s="2" t="str">
        <x:v>O01313</x:v>
      </x:c>
      <x:c r="B1317" s="2" t="str">
        <x:v>C0287</x:v>
      </x:c>
      <x:c r="C1317" s="7" t="n">
        <x:v>45718</x:v>
      </x:c>
      <x:c r="D1317" s="2" t="str">
        <x:v>Completed</x:v>
      </x:c>
      <x:c r="E1317" s="2" t="str">
        <x:v>South</x:v>
      </x:c>
      <x:c r="F1317" s="2" t="str">
        <x:v>Online</x:v>
      </x:c>
      <x:c r="G1317" s="9" t="n">
        <x:f>SUM(SalesLines!Q3218)</x:f>
        <x:v>184.8</x:v>
      </x:c>
      <x:c r="H1317" s="9" t="n">
        <x:f>SUM(SalesLines!M3218)</x:f>
        <x:v>231</x:v>
      </x:c>
      <x:c r="I1317" s="9" t="n">
        <x:f>SUM(SalesLines!N3218)</x:f>
        <x:v>46.2</x:v>
      </x:c>
      <x:c r="J1317" s="9" t="n">
        <x:f>SUM(SalesLines!P3218)</x:f>
        <x:v>0</x:v>
      </x:c>
      <x:c r="K1317" s="11" t="n">
        <x:f>SUM(SalesLines!R3218)</x:f>
        <x:v>1</x:v>
      </x:c>
      <x:c r="L1317" s="11" t="n">
        <x:f>SUM(SalesLines!S3218)</x:f>
        <x:v>0</x:v>
      </x:c>
      <x:c r="M1317" s="8" t="n">
        <x:f>DATE(YEAR(C1317),MONTH(C1317),1)</x:f>
        <x:v>45717</x:v>
      </x:c>
    </x:row>
    <x:row r="1318" ht="22" customHeight="1">
      <x:c r="A1318" s="2" t="str">
        <x:v>O01314</x:v>
      </x:c>
      <x:c r="B1318" s="2" t="str">
        <x:v>C0008</x:v>
      </x:c>
      <x:c r="C1318" s="7" t="n">
        <x:v>45899</x:v>
      </x:c>
      <x:c r="D1318" s="2" t="str">
        <x:v>Completed</x:v>
      </x:c>
      <x:c r="E1318" s="2" t="str">
        <x:v>North</x:v>
      </x:c>
      <x:c r="F1318" s="2" t="str">
        <x:v>Online</x:v>
      </x:c>
      <x:c r="G1318" s="9" t="n">
        <x:f>SUM(SalesLines!Q3219,SalesLines!Q3220,SalesLines!Q3221,SalesLines!Q3222)</x:f>
        <x:v>1782.1</x:v>
      </x:c>
      <x:c r="H1318" s="9" t="n">
        <x:f>SUM(SalesLines!M3219,SalesLines!M3220,SalesLines!M3221,SalesLines!M3222)</x:f>
        <x:v>2343</x:v>
      </x:c>
      <x:c r="I1318" s="9" t="n">
        <x:f>SUM(SalesLines!N3219,SalesLines!N3220,SalesLines!N3221,SalesLines!N3222)</x:f>
        <x:v>248.89999999999998</x:v>
      </x:c>
      <x:c r="J1318" s="9" t="n">
        <x:f>SUM(SalesLines!P3219,SalesLines!P3220,SalesLines!P3221,SalesLines!P3222)</x:f>
        <x:v>312</x:v>
      </x:c>
      <x:c r="K1318" s="11" t="n">
        <x:f>SUM(SalesLines!R3219,SalesLines!R3220,SalesLines!R3221,SalesLines!R3222)</x:f>
        <x:v>17</x:v>
      </x:c>
      <x:c r="L1318" s="11" t="n">
        <x:f>SUM(SalesLines!S3219,SalesLines!S3220,SalesLines!S3221,SalesLines!S3222)</x:f>
        <x:v>4</x:v>
      </x:c>
      <x:c r="M1318" s="8" t="n">
        <x:f>DATE(YEAR(C1318),MONTH(C1318),1)</x:f>
        <x:v>45870</x:v>
      </x:c>
    </x:row>
    <x:row r="1319" ht="22" customHeight="1">
      <x:c r="A1319" s="2" t="str">
        <x:v>O01315</x:v>
      </x:c>
      <x:c r="B1319" s="2" t="str">
        <x:v>C0233</x:v>
      </x:c>
      <x:c r="C1319" s="7" t="n">
        <x:v>45919</x:v>
      </x:c>
      <x:c r="D1319" s="2" t="str">
        <x:v>Completed</x:v>
      </x:c>
      <x:c r="E1319" s="2" t="str">
        <x:v>South</x:v>
      </x:c>
      <x:c r="F1319" s="2" t="str">
        <x:v>Store</x:v>
      </x:c>
      <x:c r="G1319" s="9" t="n">
        <x:f>SUM(SalesLines!Q3223,SalesLines!Q3224,SalesLines!Q3225,SalesLines!Q3226)</x:f>
        <x:v>1250.2</x:v>
      </x:c>
      <x:c r="H1319" s="9" t="n">
        <x:f>SUM(SalesLines!M3223,SalesLines!M3224,SalesLines!M3225,SalesLines!M3226)</x:f>
        <x:v>2729</x:v>
      </x:c>
      <x:c r="I1319" s="9" t="n">
        <x:f>SUM(SalesLines!N3223,SalesLines!N3224,SalesLines!N3225,SalesLines!N3226)</x:f>
        <x:v>72.60000000000001</x:v>
      </x:c>
      <x:c r="J1319" s="9" t="n">
        <x:f>SUM(SalesLines!P3223,SalesLines!P3224,SalesLines!P3225,SalesLines!P3226)</x:f>
        <x:v>1406.2</x:v>
      </x:c>
      <x:c r="K1319" s="11" t="n">
        <x:f>SUM(SalesLines!R3223,SalesLines!R3224,SalesLines!R3225,SalesLines!R3226)</x:f>
        <x:v>14</x:v>
      </x:c>
      <x:c r="L1319" s="11" t="n">
        <x:f>SUM(SalesLines!S3223,SalesLines!S3224,SalesLines!S3225,SalesLines!S3226)</x:f>
        <x:v>6</x:v>
      </x:c>
      <x:c r="M1319" s="8" t="n">
        <x:f>DATE(YEAR(C1319),MONTH(C1319),1)</x:f>
        <x:v>45901</x:v>
      </x:c>
    </x:row>
    <x:row r="1320" ht="22" customHeight="1">
      <x:c r="A1320" s="2" t="str">
        <x:v>O01316</x:v>
      </x:c>
      <x:c r="B1320" s="2" t="str">
        <x:v>C0202</x:v>
      </x:c>
      <x:c r="C1320" s="7" t="n">
        <x:v>45735</x:v>
      </x:c>
      <x:c r="D1320" s="2" t="str">
        <x:v>Cancelled</x:v>
      </x:c>
      <x:c r="E1320" s="2" t="str">
        <x:v>South</x:v>
      </x:c>
      <x:c r="F1320" s="2" t="str">
        <x:v>Store</x:v>
      </x:c>
      <x:c r="G1320" s="9" t="n">
        <x:f>SUM(SalesLines!Q3227,SalesLines!Q3228,SalesLines!Q3229,SalesLines!Q3230)</x:f>
        <x:v>0</x:v>
      </x:c>
      <x:c r="H1320" s="9" t="n">
        <x:f>SUM(SalesLines!M3227,SalesLines!M3228,SalesLines!M3229,SalesLines!M3230)</x:f>
        <x:v>0</x:v>
      </x:c>
      <x:c r="I1320" s="9" t="n">
        <x:f>SUM(SalesLines!N3227,SalesLines!N3228,SalesLines!N3229,SalesLines!N3230)</x:f>
        <x:v>0</x:v>
      </x:c>
      <x:c r="J1320" s="9" t="n">
        <x:f>SUM(SalesLines!P3227,SalesLines!P3228,SalesLines!P3229,SalesLines!P3230)</x:f>
        <x:v>0</x:v>
      </x:c>
      <x:c r="K1320" s="11" t="n">
        <x:f>SUM(SalesLines!R3227,SalesLines!R3228,SalesLines!R3229,SalesLines!R3230)</x:f>
        <x:v>0</x:v>
      </x:c>
      <x:c r="L1320" s="11" t="n">
        <x:f>SUM(SalesLines!S3227,SalesLines!S3228,SalesLines!S3229,SalesLines!S3230)</x:f>
        <x:v>0</x:v>
      </x:c>
      <x:c r="M1320" s="8" t="n">
        <x:f>DATE(YEAR(C1320),MONTH(C1320),1)</x:f>
        <x:v>45717</x:v>
      </x:c>
    </x:row>
    <x:row r="1321" ht="22" customHeight="1">
      <x:c r="A1321" s="2" t="str">
        <x:v>O01317</x:v>
      </x:c>
      <x:c r="B1321" s="2" t="str">
        <x:v>C0110</x:v>
      </x:c>
      <x:c r="C1321" s="7" t="n">
        <x:v>45862</x:v>
      </x:c>
      <x:c r="D1321" s="2" t="str">
        <x:v>Completed</x:v>
      </x:c>
      <x:c r="E1321" s="2" t="str">
        <x:v>West</x:v>
      </x:c>
      <x:c r="F1321" s="2" t="str">
        <x:v>Online</x:v>
      </x:c>
      <x:c r="G1321" s="9" t="n">
        <x:f>SUM(SalesLines!Q3231)</x:f>
        <x:v>284</x:v>
      </x:c>
      <x:c r="H1321" s="9" t="n">
        <x:f>SUM(SalesLines!M3231)</x:f>
        <x:v>284</x:v>
      </x:c>
      <x:c r="I1321" s="9" t="n">
        <x:f>SUM(SalesLines!N3231)</x:f>
        <x:v>0</x:v>
      </x:c>
      <x:c r="J1321" s="9" t="n">
        <x:f>SUM(SalesLines!P3231)</x:f>
        <x:v>0</x:v>
      </x:c>
      <x:c r="K1321" s="11" t="n">
        <x:f>SUM(SalesLines!R3231)</x:f>
        <x:v>1</x:v>
      </x:c>
      <x:c r="L1321" s="11" t="n">
        <x:f>SUM(SalesLines!S3231)</x:f>
        <x:v>0</x:v>
      </x:c>
      <x:c r="M1321" s="8" t="n">
        <x:f>DATE(YEAR(C1321),MONTH(C1321),1)</x:f>
        <x:v>45839</x:v>
      </x:c>
    </x:row>
    <x:row r="1322" ht="22" customHeight="1">
      <x:c r="A1322" s="2" t="str">
        <x:v>O01318</x:v>
      </x:c>
      <x:c r="B1322" s="2" t="str">
        <x:v>C0097</x:v>
      </x:c>
      <x:c r="C1322" s="7" t="n">
        <x:v>46006</x:v>
      </x:c>
      <x:c r="D1322" s="2" t="str">
        <x:v>Cancelled</x:v>
      </x:c>
      <x:c r="E1322" s="2" t="str">
        <x:v>West</x:v>
      </x:c>
      <x:c r="F1322" s="2" t="str">
        <x:v>Online</x:v>
      </x:c>
      <x:c r="G1322" s="9" t="n">
        <x:f>SUM(SalesLines!Q3232,SalesLines!Q3233)</x:f>
        <x:v>0</x:v>
      </x:c>
      <x:c r="H1322" s="9" t="n">
        <x:f>SUM(SalesLines!M3232,SalesLines!M3233)</x:f>
        <x:v>0</x:v>
      </x:c>
      <x:c r="I1322" s="9" t="n">
        <x:f>SUM(SalesLines!N3232,SalesLines!N3233)</x:f>
        <x:v>0</x:v>
      </x:c>
      <x:c r="J1322" s="9" t="n">
        <x:f>SUM(SalesLines!P3232,SalesLines!P3233)</x:f>
        <x:v>0</x:v>
      </x:c>
      <x:c r="K1322" s="11" t="n">
        <x:f>SUM(SalesLines!R3232,SalesLines!R3233)</x:f>
        <x:v>0</x:v>
      </x:c>
      <x:c r="L1322" s="11" t="n">
        <x:f>SUM(SalesLines!S3232,SalesLines!S3233)</x:f>
        <x:v>0</x:v>
      </x:c>
      <x:c r="M1322" s="8" t="n">
        <x:f>DATE(YEAR(C1322),MONTH(C1322),1)</x:f>
        <x:v>45992</x:v>
      </x:c>
    </x:row>
    <x:row r="1323" ht="22" customHeight="1">
      <x:c r="A1323" s="2" t="str">
        <x:v>O01319</x:v>
      </x:c>
      <x:c r="B1323" s="2" t="str">
        <x:v>C0029</x:v>
      </x:c>
      <x:c r="C1323" s="7" t="n">
        <x:v>45998</x:v>
      </x:c>
      <x:c r="D1323" s="2" t="str">
        <x:v>Completed</x:v>
      </x:c>
      <x:c r="E1323" s="2" t="str">
        <x:v>East</x:v>
      </x:c>
      <x:c r="F1323" s="2" t="str">
        <x:v>Online</x:v>
      </x:c>
      <x:c r="G1323" s="9" t="n">
        <x:f>SUM(SalesLines!Q3234,SalesLines!Q3235,SalesLines!Q3236,SalesLines!Q3237)</x:f>
        <x:v>1893.85</x:v>
      </x:c>
      <x:c r="H1323" s="9" t="n">
        <x:f>SUM(SalesLines!M3234,SalesLines!M3235,SalesLines!M3236,SalesLines!M3237)</x:f>
        <x:v>2067</x:v>
      </x:c>
      <x:c r="I1323" s="9" t="n">
        <x:f>SUM(SalesLines!N3234,SalesLines!N3235,SalesLines!N3236,SalesLines!N3237)</x:f>
        <x:v>173.15</x:v>
      </x:c>
      <x:c r="J1323" s="9" t="n">
        <x:f>SUM(SalesLines!P3234,SalesLines!P3235,SalesLines!P3236,SalesLines!P3237)</x:f>
        <x:v>0</x:v>
      </x:c>
      <x:c r="K1323" s="11" t="n">
        <x:f>SUM(SalesLines!R3234,SalesLines!R3235,SalesLines!R3236,SalesLines!R3237)</x:f>
        <x:v>12</x:v>
      </x:c>
      <x:c r="L1323" s="11" t="n">
        <x:f>SUM(SalesLines!S3234,SalesLines!S3235,SalesLines!S3236,SalesLines!S3237)</x:f>
        <x:v>0</x:v>
      </x:c>
      <x:c r="M1323" s="8" t="n">
        <x:f>DATE(YEAR(C1323),MONTH(C1323),1)</x:f>
        <x:v>45992</x:v>
      </x:c>
    </x:row>
    <x:row r="1324" ht="22" customHeight="1">
      <x:c r="A1324" s="2" t="str">
        <x:v>O01320</x:v>
      </x:c>
      <x:c r="B1324" s="2" t="str">
        <x:v>C0277</x:v>
      </x:c>
      <x:c r="C1324" s="7" t="n">
        <x:v>45735</x:v>
      </x:c>
      <x:c r="D1324" s="2" t="str">
        <x:v>Completed</x:v>
      </x:c>
      <x:c r="E1324" s="2" t="str">
        <x:v>West</x:v>
      </x:c>
      <x:c r="F1324" s="2" t="str">
        <x:v>Online</x:v>
      </x:c>
      <x:c r="G1324" s="9" t="n">
        <x:f>SUM(SalesLines!Q3238,SalesLines!Q3239,SalesLines!Q3240)</x:f>
        <x:v>774.2</x:v>
      </x:c>
      <x:c r="H1324" s="9" t="n">
        <x:f>SUM(SalesLines!M3238,SalesLines!M3239,SalesLines!M3240)</x:f>
        <x:v>820</x:v>
      </x:c>
      <x:c r="I1324" s="9" t="n">
        <x:f>SUM(SalesLines!N3238,SalesLines!N3239,SalesLines!N3240)</x:f>
        <x:v>45.8</x:v>
      </x:c>
      <x:c r="J1324" s="9" t="n">
        <x:f>SUM(SalesLines!P3238,SalesLines!P3239,SalesLines!P3240)</x:f>
        <x:v>0</x:v>
      </x:c>
      <x:c r="K1324" s="11" t="n">
        <x:f>SUM(SalesLines!R3238,SalesLines!R3239,SalesLines!R3240)</x:f>
        <x:v>8</x:v>
      </x:c>
      <x:c r="L1324" s="11" t="n">
        <x:f>SUM(SalesLines!S3238,SalesLines!S3239,SalesLines!S3240)</x:f>
        <x:v>0</x:v>
      </x:c>
      <x:c r="M1324" s="8" t="n">
        <x:f>DATE(YEAR(C1324),MONTH(C1324),1)</x:f>
        <x:v>45717</x:v>
      </x:c>
    </x:row>
    <x:row r="1325" ht="22" customHeight="1">
      <x:c r="A1325" s="2" t="str">
        <x:v>O01321</x:v>
      </x:c>
      <x:c r="B1325" s="2" t="str">
        <x:v>C0078</x:v>
      </x:c>
      <x:c r="C1325" s="7" t="n">
        <x:v>45774</x:v>
      </x:c>
      <x:c r="D1325" s="2" t="str">
        <x:v>Completed</x:v>
      </x:c>
      <x:c r="E1325" s="2" t="str">
        <x:v>West</x:v>
      </x:c>
      <x:c r="F1325" s="2" t="str">
        <x:v>Online</x:v>
      </x:c>
      <x:c r="G1325" s="9" t="n">
        <x:f>SUM(SalesLines!Q3241,SalesLines!Q3242,SalesLines!Q3243)</x:f>
        <x:v>1934.6</x:v>
      </x:c>
      <x:c r="H1325" s="9" t="n">
        <x:f>SUM(SalesLines!M3241,SalesLines!M3242,SalesLines!M3243)</x:f>
        <x:v>2278</x:v>
      </x:c>
      <x:c r="I1325" s="9" t="n">
        <x:f>SUM(SalesLines!N3241,SalesLines!N3242,SalesLines!N3243)</x:f>
        <x:v>64.1</x:v>
      </x:c>
      <x:c r="J1325" s="9" t="n">
        <x:f>SUM(SalesLines!P3241,SalesLines!P3242,SalesLines!P3243)</x:f>
        <x:v>279.3</x:v>
      </x:c>
      <x:c r="K1325" s="11" t="n">
        <x:f>SUM(SalesLines!R3241,SalesLines!R3242,SalesLines!R3243)</x:f>
        <x:v>12</x:v>
      </x:c>
      <x:c r="L1325" s="11" t="n">
        <x:f>SUM(SalesLines!S3241,SalesLines!S3242,SalesLines!S3243)</x:f>
        <x:v>1</x:v>
      </x:c>
      <x:c r="M1325" s="8" t="n">
        <x:f>DATE(YEAR(C1325),MONTH(C1325),1)</x:f>
        <x:v>45748</x:v>
      </x:c>
    </x:row>
    <x:row r="1326" ht="22" customHeight="1">
      <x:c r="A1326" s="2" t="str">
        <x:v>O01322</x:v>
      </x:c>
      <x:c r="B1326" s="2" t="str">
        <x:v>C0276</x:v>
      </x:c>
      <x:c r="C1326" s="7" t="n">
        <x:v>45909</x:v>
      </x:c>
      <x:c r="D1326" s="2" t="str">
        <x:v>Completed</x:v>
      </x:c>
      <x:c r="E1326" s="2" t="str">
        <x:v>South</x:v>
      </x:c>
      <x:c r="F1326" s="2" t="str">
        <x:v>Store</x:v>
      </x:c>
      <x:c r="G1326" s="9" t="n">
        <x:f>SUM(SalesLines!Q3244,SalesLines!Q3245,SalesLines!Q3246)</x:f>
        <x:v>1897.3999999999999</x:v>
      </x:c>
      <x:c r="H1326" s="9" t="n">
        <x:f>SUM(SalesLines!M3244,SalesLines!M3245,SalesLines!M3246)</x:f>
        <x:v>2056</x:v>
      </x:c>
      <x:c r="I1326" s="9" t="n">
        <x:f>SUM(SalesLines!N3244,SalesLines!N3245,SalesLines!N3246)</x:f>
        <x:v>158.60000000000002</x:v>
      </x:c>
      <x:c r="J1326" s="9" t="n">
        <x:f>SUM(SalesLines!P3244,SalesLines!P3245,SalesLines!P3246)</x:f>
        <x:v>0</x:v>
      </x:c>
      <x:c r="K1326" s="11" t="n">
        <x:f>SUM(SalesLines!R3244,SalesLines!R3245,SalesLines!R3246)</x:f>
        <x:v>13</x:v>
      </x:c>
      <x:c r="L1326" s="11" t="n">
        <x:f>SUM(SalesLines!S3244,SalesLines!S3245,SalesLines!S3246)</x:f>
        <x:v>0</x:v>
      </x:c>
      <x:c r="M1326" s="8" t="n">
        <x:f>DATE(YEAR(C1326),MONTH(C1326),1)</x:f>
        <x:v>45901</x:v>
      </x:c>
    </x:row>
    <x:row r="1327" ht="22" customHeight="1">
      <x:c r="A1327" s="2" t="str">
        <x:v>O01323</x:v>
      </x:c>
      <x:c r="B1327" s="2" t="str">
        <x:v>C0071</x:v>
      </x:c>
      <x:c r="C1327" s="7" t="n">
        <x:v>45661</x:v>
      </x:c>
      <x:c r="D1327" s="2" t="str">
        <x:v>Completed</x:v>
      </x:c>
      <x:c r="E1327" s="2" t="str">
        <x:v>West</x:v>
      </x:c>
      <x:c r="F1327" s="2" t="str">
        <x:v>Online</x:v>
      </x:c>
      <x:c r="G1327" s="9" t="n">
        <x:f>SUM(SalesLines!Q3247)</x:f>
        <x:v>510.3</x:v>
      </x:c>
      <x:c r="H1327" s="9" t="n">
        <x:f>SUM(SalesLines!M3247)</x:f>
        <x:v>567</x:v>
      </x:c>
      <x:c r="I1327" s="9" t="n">
        <x:f>SUM(SalesLines!N3247)</x:f>
        <x:v>56.7</x:v>
      </x:c>
      <x:c r="J1327" s="9" t="n">
        <x:f>SUM(SalesLines!P3247)</x:f>
        <x:v>0</x:v>
      </x:c>
      <x:c r="K1327" s="11" t="n">
        <x:f>SUM(SalesLines!R3247)</x:f>
        <x:v>3</x:v>
      </x:c>
      <x:c r="L1327" s="11" t="n">
        <x:f>SUM(SalesLines!S3247)</x:f>
        <x:v>0</x:v>
      </x:c>
      <x:c r="M1327" s="8" t="n">
        <x:f>DATE(YEAR(C1327),MONTH(C1327),1)</x:f>
        <x:v>45658</x:v>
      </x:c>
    </x:row>
    <x:row r="1328" ht="22" customHeight="1">
      <x:c r="A1328" s="2" t="str">
        <x:v>O01324</x:v>
      </x:c>
      <x:c r="B1328" s="2" t="str">
        <x:v>C0122</x:v>
      </x:c>
      <x:c r="C1328" s="7" t="n">
        <x:v>45813</x:v>
      </x:c>
      <x:c r="D1328" s="2" t="str">
        <x:v>Completed</x:v>
      </x:c>
      <x:c r="E1328" s="2" t="str">
        <x:v>North</x:v>
      </x:c>
      <x:c r="F1328" s="2" t="str">
        <x:v>Online</x:v>
      </x:c>
      <x:c r="G1328" s="9" t="n">
        <x:f>SUM(SalesLines!Q3248)</x:f>
        <x:v>627.2</x:v>
      </x:c>
      <x:c r="H1328" s="9" t="n">
        <x:f>SUM(SalesLines!M3248)</x:f>
        <x:v>784</x:v>
      </x:c>
      <x:c r="I1328" s="9" t="n">
        <x:f>SUM(SalesLines!N3248)</x:f>
        <x:v>156.8</x:v>
      </x:c>
      <x:c r="J1328" s="9" t="n">
        <x:f>SUM(SalesLines!P3248)</x:f>
        <x:v>0</x:v>
      </x:c>
      <x:c r="K1328" s="11" t="n">
        <x:f>SUM(SalesLines!R3248)</x:f>
        <x:v>4</x:v>
      </x:c>
      <x:c r="L1328" s="11" t="n">
        <x:f>SUM(SalesLines!S3248)</x:f>
        <x:v>0</x:v>
      </x:c>
      <x:c r="M1328" s="8" t="n">
        <x:f>DATE(YEAR(C1328),MONTH(C1328),1)</x:f>
        <x:v>45809</x:v>
      </x:c>
    </x:row>
    <x:row r="1329" ht="22" customHeight="1">
      <x:c r="A1329" s="2" t="str">
        <x:v>O01325</x:v>
      </x:c>
      <x:c r="B1329" s="2" t="str">
        <x:v>C0198</x:v>
      </x:c>
      <x:c r="C1329" s="7" t="n">
        <x:v>45811</x:v>
      </x:c>
      <x:c r="D1329" s="2" t="str">
        <x:v>Completed</x:v>
      </x:c>
      <x:c r="E1329" s="2" t="str">
        <x:v>West</x:v>
      </x:c>
      <x:c r="F1329" s="2" t="str">
        <x:v>Online</x:v>
      </x:c>
      <x:c r="G1329" s="9" t="n">
        <x:f>SUM(SalesLines!Q3249,SalesLines!Q3250)</x:f>
        <x:v>1124.1</x:v>
      </x:c>
      <x:c r="H1329" s="9" t="n">
        <x:f>SUM(SalesLines!M3249,SalesLines!M3250)</x:f>
        <x:v>1249</x:v>
      </x:c>
      <x:c r="I1329" s="9" t="n">
        <x:f>SUM(SalesLines!N3249,SalesLines!N3250)</x:f>
        <x:v>124.9</x:v>
      </x:c>
      <x:c r="J1329" s="9" t="n">
        <x:f>SUM(SalesLines!P3249,SalesLines!P3250)</x:f>
        <x:v>0</x:v>
      </x:c>
      <x:c r="K1329" s="11" t="n">
        <x:f>SUM(SalesLines!R3249,SalesLines!R3250)</x:f>
        <x:v>6</x:v>
      </x:c>
      <x:c r="L1329" s="11" t="n">
        <x:f>SUM(SalesLines!S3249,SalesLines!S3250)</x:f>
        <x:v>0</x:v>
      </x:c>
      <x:c r="M1329" s="8" t="n">
        <x:f>DATE(YEAR(C1329),MONTH(C1329),1)</x:f>
        <x:v>45809</x:v>
      </x:c>
    </x:row>
    <x:row r="1330" ht="22" customHeight="1">
      <x:c r="A1330" s="2" t="str">
        <x:v>O01326</x:v>
      </x:c>
      <x:c r="B1330" s="2" t="str">
        <x:v>C0204</x:v>
      </x:c>
      <x:c r="C1330" s="7" t="n">
        <x:v>45888</x:v>
      </x:c>
      <x:c r="D1330" s="2" t="str">
        <x:v>Completed</x:v>
      </x:c>
      <x:c r="E1330" s="2" t="str">
        <x:v>South</x:v>
      </x:c>
      <x:c r="F1330" s="2" t="str">
        <x:v>Store</x:v>
      </x:c>
      <x:c r="G1330" s="9" t="n">
        <x:f>SUM(SalesLines!Q3251,SalesLines!Q3252)</x:f>
        <x:v>1246.8000000000002</x:v>
      </x:c>
      <x:c r="H1330" s="9" t="n">
        <x:f>SUM(SalesLines!M3251,SalesLines!M3252)</x:f>
        <x:v>1488</x:v>
      </x:c>
      <x:c r="I1330" s="9" t="n">
        <x:f>SUM(SalesLines!N3251,SalesLines!N3252)</x:f>
        <x:v>241.20000000000002</x:v>
      </x:c>
      <x:c r="J1330" s="9" t="n">
        <x:f>SUM(SalesLines!P3251,SalesLines!P3252)</x:f>
        <x:v>0</x:v>
      </x:c>
      <x:c r="K1330" s="11" t="n">
        <x:f>SUM(SalesLines!R3251,SalesLines!R3252)</x:f>
        <x:v>7</x:v>
      </x:c>
      <x:c r="L1330" s="11" t="n">
        <x:f>SUM(SalesLines!S3251,SalesLines!S3252)</x:f>
        <x:v>0</x:v>
      </x:c>
      <x:c r="M1330" s="8" t="n">
        <x:f>DATE(YEAR(C1330),MONTH(C1330),1)</x:f>
        <x:v>45870</x:v>
      </x:c>
    </x:row>
    <x:row r="1331" ht="22" customHeight="1">
      <x:c r="A1331" s="2" t="str">
        <x:v>O01327</x:v>
      </x:c>
      <x:c r="B1331" s="2" t="str">
        <x:v>C0205</x:v>
      </x:c>
      <x:c r="C1331" s="7" t="n">
        <x:v>45790</x:v>
      </x:c>
      <x:c r="D1331" s="2" t="str">
        <x:v>Completed</x:v>
      </x:c>
      <x:c r="E1331" s="2" t="str">
        <x:v>West</x:v>
      </x:c>
      <x:c r="F1331" s="2" t="str">
        <x:v>Online</x:v>
      </x:c>
      <x:c r="G1331" s="9" t="n">
        <x:f>SUM(SalesLines!Q3253,SalesLines!Q3254,SalesLines!Q3255,SalesLines!Q3256)</x:f>
        <x:v>1380.3</x:v>
      </x:c>
      <x:c r="H1331" s="9" t="n">
        <x:f>SUM(SalesLines!M3253,SalesLines!M3254,SalesLines!M3255,SalesLines!M3256)</x:f>
        <x:v>1492</x:v>
      </x:c>
      <x:c r="I1331" s="9" t="n">
        <x:f>SUM(SalesLines!N3253,SalesLines!N3254,SalesLines!N3255,SalesLines!N3256)</x:f>
        <x:v>111.7</x:v>
      </x:c>
      <x:c r="J1331" s="9" t="n">
        <x:f>SUM(SalesLines!P3253,SalesLines!P3254,SalesLines!P3255,SalesLines!P3256)</x:f>
        <x:v>0</x:v>
      </x:c>
      <x:c r="K1331" s="11" t="n">
        <x:f>SUM(SalesLines!R3253,SalesLines!R3254,SalesLines!R3255,SalesLines!R3256)</x:f>
        <x:v>9</x:v>
      </x:c>
      <x:c r="L1331" s="11" t="n">
        <x:f>SUM(SalesLines!S3253,SalesLines!S3254,SalesLines!S3255,SalesLines!S3256)</x:f>
        <x:v>0</x:v>
      </x:c>
      <x:c r="M1331" s="8" t="n">
        <x:f>DATE(YEAR(C1331),MONTH(C1331),1)</x:f>
        <x:v>45778</x:v>
      </x:c>
    </x:row>
    <x:row r="1332" ht="22" customHeight="1">
      <x:c r="A1332" s="2" t="str">
        <x:v>O01328</x:v>
      </x:c>
      <x:c r="B1332" s="2" t="str">
        <x:v>C0058</x:v>
      </x:c>
      <x:c r="C1332" s="7" t="n">
        <x:v>45872</x:v>
      </x:c>
      <x:c r="D1332" s="2" t="str">
        <x:v>Completed</x:v>
      </x:c>
      <x:c r="E1332" s="2" t="str">
        <x:v>North</x:v>
      </x:c>
      <x:c r="F1332" s="2" t="str">
        <x:v>Store</x:v>
      </x:c>
      <x:c r="G1332" s="9" t="n">
        <x:f>SUM(SalesLines!Q3257,SalesLines!Q3258,SalesLines!Q3259)</x:f>
        <x:v>903.3</x:v>
      </x:c>
      <x:c r="H1332" s="9" t="n">
        <x:f>SUM(SalesLines!M3257,SalesLines!M3258,SalesLines!M3259)</x:f>
        <x:v>1056</x:v>
      </x:c>
      <x:c r="I1332" s="9" t="n">
        <x:f>SUM(SalesLines!N3257,SalesLines!N3258,SalesLines!N3259)</x:f>
        <x:v>152.70000000000002</x:v>
      </x:c>
      <x:c r="J1332" s="9" t="n">
        <x:f>SUM(SalesLines!P3257,SalesLines!P3258,SalesLines!P3259)</x:f>
        <x:v>0</x:v>
      </x:c>
      <x:c r="K1332" s="11" t="n">
        <x:f>SUM(SalesLines!R3257,SalesLines!R3258,SalesLines!R3259)</x:f>
        <x:v>9</x:v>
      </x:c>
      <x:c r="L1332" s="11" t="n">
        <x:f>SUM(SalesLines!S3257,SalesLines!S3258,SalesLines!S3259)</x:f>
        <x:v>0</x:v>
      </x:c>
      <x:c r="M1332" s="8" t="n">
        <x:f>DATE(YEAR(C1332),MONTH(C1332),1)</x:f>
        <x:v>45870</x:v>
      </x:c>
    </x:row>
    <x:row r="1333" ht="22" customHeight="1">
      <x:c r="A1333" s="2" t="str">
        <x:v>O01329</x:v>
      </x:c>
      <x:c r="B1333" s="2" t="str">
        <x:v>C0079</x:v>
      </x:c>
      <x:c r="C1333" s="7" t="n">
        <x:v>45703</x:v>
      </x:c>
      <x:c r="D1333" s="2" t="str">
        <x:v>Completed</x:v>
      </x:c>
      <x:c r="E1333" s="2" t="str">
        <x:v>West</x:v>
      </x:c>
      <x:c r="F1333" s="2" t="str">
        <x:v>Store</x:v>
      </x:c>
      <x:c r="G1333" s="9" t="n">
        <x:f>SUM(SalesLines!Q3260,SalesLines!Q3261)</x:f>
        <x:v>969.2</x:v>
      </x:c>
      <x:c r="H1333" s="9" t="n">
        <x:f>SUM(SalesLines!M3260,SalesLines!M3261)</x:f>
        <x:v>1138</x:v>
      </x:c>
      <x:c r="I1333" s="9" t="n">
        <x:f>SUM(SalesLines!N3260,SalesLines!N3261)</x:f>
        <x:v>168.8</x:v>
      </x:c>
      <x:c r="J1333" s="9" t="n">
        <x:f>SUM(SalesLines!P3260,SalesLines!P3261)</x:f>
        <x:v>0</x:v>
      </x:c>
      <x:c r="K1333" s="11" t="n">
        <x:f>SUM(SalesLines!R3260,SalesLines!R3261)</x:f>
        <x:v>5</x:v>
      </x:c>
      <x:c r="L1333" s="11" t="n">
        <x:f>SUM(SalesLines!S3260,SalesLines!S3261)</x:f>
        <x:v>0</x:v>
      </x:c>
      <x:c r="M1333" s="8" t="n">
        <x:f>DATE(YEAR(C1333),MONTH(C1333),1)</x:f>
        <x:v>45689</x:v>
      </x:c>
    </x:row>
    <x:row r="1334" ht="22" customHeight="1">
      <x:c r="A1334" s="2" t="str">
        <x:v>O01330</x:v>
      </x:c>
      <x:c r="B1334" s="2" t="str">
        <x:v>C0178</x:v>
      </x:c>
      <x:c r="C1334" s="7" t="n">
        <x:v>45701</x:v>
      </x:c>
      <x:c r="D1334" s="2" t="str">
        <x:v>Cancelled</x:v>
      </x:c>
      <x:c r="E1334" s="2" t="str">
        <x:v>East</x:v>
      </x:c>
      <x:c r="F1334" s="2" t="str">
        <x:v>Store</x:v>
      </x:c>
      <x:c r="G1334" s="9" t="n">
        <x:f>SUM(SalesLines!Q3262,SalesLines!Q3263,SalesLines!Q3264)</x:f>
        <x:v>0</x:v>
      </x:c>
      <x:c r="H1334" s="9" t="n">
        <x:f>SUM(SalesLines!M3262,SalesLines!M3263,SalesLines!M3264)</x:f>
        <x:v>0</x:v>
      </x:c>
      <x:c r="I1334" s="9" t="n">
        <x:f>SUM(SalesLines!N3262,SalesLines!N3263,SalesLines!N3264)</x:f>
        <x:v>0</x:v>
      </x:c>
      <x:c r="J1334" s="9" t="n">
        <x:f>SUM(SalesLines!P3262,SalesLines!P3263,SalesLines!P3264)</x:f>
        <x:v>0</x:v>
      </x:c>
      <x:c r="K1334" s="11" t="n">
        <x:f>SUM(SalesLines!R3262,SalesLines!R3263,SalesLines!R3264)</x:f>
        <x:v>0</x:v>
      </x:c>
      <x:c r="L1334" s="11" t="n">
        <x:f>SUM(SalesLines!S3262,SalesLines!S3263,SalesLines!S3264)</x:f>
        <x:v>0</x:v>
      </x:c>
      <x:c r="M1334" s="8" t="n">
        <x:f>DATE(YEAR(C1334),MONTH(C1334),1)</x:f>
        <x:v>45689</x:v>
      </x:c>
    </x:row>
    <x:row r="1335" ht="22" customHeight="1">
      <x:c r="A1335" s="2" t="str">
        <x:v>O01331</x:v>
      </x:c>
      <x:c r="B1335" s="2" t="str">
        <x:v>C0155</x:v>
      </x:c>
      <x:c r="C1335" s="7" t="n">
        <x:v>45882</x:v>
      </x:c>
      <x:c r="D1335" s="2" t="str">
        <x:v>Completed</x:v>
      </x:c>
      <x:c r="E1335" s="2" t="str">
        <x:v>South</x:v>
      </x:c>
      <x:c r="F1335" s="2" t="str">
        <x:v>Online</x:v>
      </x:c>
      <x:c r="G1335" s="9" t="n">
        <x:f>SUM(SalesLines!Q3265)</x:f>
        <x:v>1084</x:v>
      </x:c>
      <x:c r="H1335" s="9" t="n">
        <x:f>SUM(SalesLines!M3265)</x:f>
        <x:v>1355</x:v>
      </x:c>
      <x:c r="I1335" s="9" t="n">
        <x:f>SUM(SalesLines!N3265)</x:f>
        <x:v>271</x:v>
      </x:c>
      <x:c r="J1335" s="9" t="n">
        <x:f>SUM(SalesLines!P3265)</x:f>
        <x:v>0</x:v>
      </x:c>
      <x:c r="K1335" s="11" t="n">
        <x:f>SUM(SalesLines!R3265)</x:f>
        <x:v>5</x:v>
      </x:c>
      <x:c r="L1335" s="11" t="n">
        <x:f>SUM(SalesLines!S3265)</x:f>
        <x:v>0</x:v>
      </x:c>
      <x:c r="M1335" s="8" t="n">
        <x:f>DATE(YEAR(C1335),MONTH(C1335),1)</x:f>
        <x:v>45870</x:v>
      </x:c>
    </x:row>
    <x:row r="1336" ht="22" customHeight="1">
      <x:c r="A1336" s="2" t="str">
        <x:v>O01332</x:v>
      </x:c>
      <x:c r="B1336" s="2" t="str">
        <x:v>C0048</x:v>
      </x:c>
      <x:c r="C1336" s="7" t="n">
        <x:v>45902</x:v>
      </x:c>
      <x:c r="D1336" s="2" t="str">
        <x:v>Completed</x:v>
      </x:c>
      <x:c r="E1336" s="2" t="str">
        <x:v>East</x:v>
      </x:c>
      <x:c r="F1336" s="2" t="str">
        <x:v>Online</x:v>
      </x:c>
      <x:c r="G1336" s="9" t="n">
        <x:f>SUM(SalesLines!Q3266)</x:f>
        <x:v>636.5</x:v>
      </x:c>
      <x:c r="H1336" s="9" t="n">
        <x:f>SUM(SalesLines!M3266)</x:f>
        <x:v>670</x:v>
      </x:c>
      <x:c r="I1336" s="9" t="n">
        <x:f>SUM(SalesLines!N3266)</x:f>
        <x:v>33.5</x:v>
      </x:c>
      <x:c r="J1336" s="9" t="n">
        <x:f>SUM(SalesLines!P3266)</x:f>
        <x:v>0</x:v>
      </x:c>
      <x:c r="K1336" s="11" t="n">
        <x:f>SUM(SalesLines!R3266)</x:f>
        <x:v>5</x:v>
      </x:c>
      <x:c r="L1336" s="11" t="n">
        <x:f>SUM(SalesLines!S3266)</x:f>
        <x:v>0</x:v>
      </x:c>
      <x:c r="M1336" s="8" t="n">
        <x:f>DATE(YEAR(C1336),MONTH(C1336),1)</x:f>
        <x:v>45901</x:v>
      </x:c>
    </x:row>
    <x:row r="1337" ht="22" customHeight="1">
      <x:c r="A1337" s="2" t="str">
        <x:v>O01333</x:v>
      </x:c>
      <x:c r="B1337" s="2" t="str">
        <x:v>C0028</x:v>
      </x:c>
      <x:c r="C1337" s="7" t="n">
        <x:v>45854</x:v>
      </x:c>
      <x:c r="D1337" s="2" t="str">
        <x:v>Completed</x:v>
      </x:c>
      <x:c r="E1337" s="2" t="str">
        <x:v>West</x:v>
      </x:c>
      <x:c r="F1337" s="2" t="str">
        <x:v>Store</x:v>
      </x:c>
      <x:c r="G1337" s="9" t="n">
        <x:f>SUM(SalesLines!Q3267,SalesLines!Q3268)</x:f>
        <x:v>1651</x:v>
      </x:c>
      <x:c r="H1337" s="9" t="n">
        <x:f>SUM(SalesLines!M3267,SalesLines!M3268)</x:f>
        <x:v>1922</x:v>
      </x:c>
      <x:c r="I1337" s="9" t="n">
        <x:f>SUM(SalesLines!N3267,SalesLines!N3268)</x:f>
        <x:v>271</x:v>
      </x:c>
      <x:c r="J1337" s="9" t="n">
        <x:f>SUM(SalesLines!P3267,SalesLines!P3268)</x:f>
        <x:v>0</x:v>
      </x:c>
      <x:c r="K1337" s="11" t="n">
        <x:f>SUM(SalesLines!R3267,SalesLines!R3268)</x:f>
        <x:v>8</x:v>
      </x:c>
      <x:c r="L1337" s="11" t="n">
        <x:f>SUM(SalesLines!S3267,SalesLines!S3268)</x:f>
        <x:v>0</x:v>
      </x:c>
      <x:c r="M1337" s="8" t="n">
        <x:f>DATE(YEAR(C1337),MONTH(C1337),1)</x:f>
        <x:v>45839</x:v>
      </x:c>
    </x:row>
    <x:row r="1338" ht="22" customHeight="1">
      <x:c r="A1338" s="2" t="str">
        <x:v>O01334</x:v>
      </x:c>
      <x:c r="B1338" s="2" t="str">
        <x:v>C0128</x:v>
      </x:c>
      <x:c r="C1338" s="7" t="n">
        <x:v>45885</x:v>
      </x:c>
      <x:c r="D1338" s="2" t="str">
        <x:v>Completed</x:v>
      </x:c>
      <x:c r="E1338" s="2" t="str">
        <x:v>West</x:v>
      </x:c>
      <x:c r="F1338" s="2" t="str">
        <x:v>Store</x:v>
      </x:c>
      <x:c r="G1338" s="9" t="n">
        <x:f>SUM(SalesLines!Q3269)</x:f>
        <x:v>332.1</x:v>
      </x:c>
      <x:c r="H1338" s="9" t="n">
        <x:f>SUM(SalesLines!M3269)</x:f>
        <x:v>369</x:v>
      </x:c>
      <x:c r="I1338" s="9" t="n">
        <x:f>SUM(SalesLines!N3269)</x:f>
        <x:v>36.9</x:v>
      </x:c>
      <x:c r="J1338" s="9" t="n">
        <x:f>SUM(SalesLines!P3269)</x:f>
        <x:v>0</x:v>
      </x:c>
      <x:c r="K1338" s="11" t="n">
        <x:f>SUM(SalesLines!R3269)</x:f>
        <x:v>3</x:v>
      </x:c>
      <x:c r="L1338" s="11" t="n">
        <x:f>SUM(SalesLines!S3269)</x:f>
        <x:v>0</x:v>
      </x:c>
      <x:c r="M1338" s="8" t="n">
        <x:f>DATE(YEAR(C1338),MONTH(C1338),1)</x:f>
        <x:v>45870</x:v>
      </x:c>
    </x:row>
    <x:row r="1339" ht="22" customHeight="1">
      <x:c r="A1339" s="2" t="str">
        <x:v>O01335</x:v>
      </x:c>
      <x:c r="B1339" s="2" t="str">
        <x:v>C0053</x:v>
      </x:c>
      <x:c r="C1339" s="7" t="n">
        <x:v>45696</x:v>
      </x:c>
      <x:c r="D1339" s="2" t="str">
        <x:v>Completed</x:v>
      </x:c>
      <x:c r="E1339" s="2" t="str">
        <x:v>West</x:v>
      </x:c>
      <x:c r="F1339" s="2" t="str">
        <x:v>Online</x:v>
      </x:c>
      <x:c r="G1339" s="9" t="n">
        <x:f>SUM(SalesLines!Q3270)</x:f>
        <x:v>224.1</x:v>
      </x:c>
      <x:c r="H1339" s="9" t="n">
        <x:f>SUM(SalesLines!M3270)</x:f>
        <x:v>249</x:v>
      </x:c>
      <x:c r="I1339" s="9" t="n">
        <x:f>SUM(SalesLines!N3270)</x:f>
        <x:v>24.900000000000002</x:v>
      </x:c>
      <x:c r="J1339" s="9" t="n">
        <x:f>SUM(SalesLines!P3270)</x:f>
        <x:v>0</x:v>
      </x:c>
      <x:c r="K1339" s="11" t="n">
        <x:f>SUM(SalesLines!R3270)</x:f>
        <x:v>1</x:v>
      </x:c>
      <x:c r="L1339" s="11" t="n">
        <x:f>SUM(SalesLines!S3270)</x:f>
        <x:v>0</x:v>
      </x:c>
      <x:c r="M1339" s="8" t="n">
        <x:f>DATE(YEAR(C1339),MONTH(C1339),1)</x:f>
        <x:v>45689</x:v>
      </x:c>
    </x:row>
    <x:row r="1340" ht="22" customHeight="1">
      <x:c r="A1340" s="2" t="str">
        <x:v>O01336</x:v>
      </x:c>
      <x:c r="B1340" s="2" t="str">
        <x:v>C0242</x:v>
      </x:c>
      <x:c r="C1340" s="7" t="n">
        <x:v>45912</x:v>
      </x:c>
      <x:c r="D1340" s="2" t="str">
        <x:v>Completed</x:v>
      </x:c>
      <x:c r="E1340" s="2" t="str">
        <x:v>South</x:v>
      </x:c>
      <x:c r="F1340" s="2" t="str">
        <x:v>Online</x:v>
      </x:c>
      <x:c r="G1340" s="9" t="n">
        <x:f>SUM(SalesLines!Q3271)</x:f>
        <x:v>228</x:v>
      </x:c>
      <x:c r="H1340" s="9" t="n">
        <x:f>SUM(SalesLines!M3271)</x:f>
        <x:v>240</x:v>
      </x:c>
      <x:c r="I1340" s="9" t="n">
        <x:f>SUM(SalesLines!N3271)</x:f>
        <x:v>12</x:v>
      </x:c>
      <x:c r="J1340" s="9" t="n">
        <x:f>SUM(SalesLines!P3271)</x:f>
        <x:v>0</x:v>
      </x:c>
      <x:c r="K1340" s="11" t="n">
        <x:f>SUM(SalesLines!R3271)</x:f>
        <x:v>3</x:v>
      </x:c>
      <x:c r="L1340" s="11" t="n">
        <x:f>SUM(SalesLines!S3271)</x:f>
        <x:v>0</x:v>
      </x:c>
      <x:c r="M1340" s="8" t="n">
        <x:f>DATE(YEAR(C1340),MONTH(C1340),1)</x:f>
        <x:v>45901</x:v>
      </x:c>
    </x:row>
    <x:row r="1341" ht="22" customHeight="1">
      <x:c r="A1341" s="2" t="str">
        <x:v>O01337</x:v>
      </x:c>
      <x:c r="B1341" s="2" t="str">
        <x:v>C0175</x:v>
      </x:c>
      <x:c r="C1341" s="7" t="n">
        <x:v>45888</x:v>
      </x:c>
      <x:c r="D1341" s="2" t="str">
        <x:v>Completed</x:v>
      </x:c>
      <x:c r="E1341" s="2" t="str">
        <x:v>North</x:v>
      </x:c>
      <x:c r="F1341" s="2" t="str">
        <x:v>Store</x:v>
      </x:c>
      <x:c r="G1341" s="9" t="n">
        <x:f>SUM(SalesLines!Q3272)</x:f>
        <x:v>600</x:v>
      </x:c>
      <x:c r="H1341" s="9" t="n">
        <x:f>SUM(SalesLines!M3272)</x:f>
        <x:v>600</x:v>
      </x:c>
      <x:c r="I1341" s="9" t="n">
        <x:f>SUM(SalesLines!N3272)</x:f>
        <x:v>0</x:v>
      </x:c>
      <x:c r="J1341" s="9" t="n">
        <x:f>SUM(SalesLines!P3272)</x:f>
        <x:v>0</x:v>
      </x:c>
      <x:c r="K1341" s="11" t="n">
        <x:f>SUM(SalesLines!R3272)</x:f>
        <x:v>2</x:v>
      </x:c>
      <x:c r="L1341" s="11" t="n">
        <x:f>SUM(SalesLines!S3272)</x:f>
        <x:v>0</x:v>
      </x:c>
      <x:c r="M1341" s="8" t="n">
        <x:f>DATE(YEAR(C1341),MONTH(C1341),1)</x:f>
        <x:v>45870</x:v>
      </x:c>
    </x:row>
    <x:row r="1342" ht="22" customHeight="1">
      <x:c r="A1342" s="2" t="str">
        <x:v>O01338</x:v>
      </x:c>
      <x:c r="B1342" s="2" t="str">
        <x:v>C0288</x:v>
      </x:c>
      <x:c r="C1342" s="7" t="n">
        <x:v>45677</x:v>
      </x:c>
      <x:c r="D1342" s="2" t="str">
        <x:v>Cancelled</x:v>
      </x:c>
      <x:c r="E1342" s="2" t="str">
        <x:v>East</x:v>
      </x:c>
      <x:c r="F1342" s="2" t="str">
        <x:v>Store</x:v>
      </x:c>
      <x:c r="G1342" s="9" t="n">
        <x:f>SUM(SalesLines!Q3273,SalesLines!Q3274)</x:f>
        <x:v>0</x:v>
      </x:c>
      <x:c r="H1342" s="9" t="n">
        <x:f>SUM(SalesLines!M3273,SalesLines!M3274)</x:f>
        <x:v>0</x:v>
      </x:c>
      <x:c r="I1342" s="9" t="n">
        <x:f>SUM(SalesLines!N3273,SalesLines!N3274)</x:f>
        <x:v>0</x:v>
      </x:c>
      <x:c r="J1342" s="9" t="n">
        <x:f>SUM(SalesLines!P3273,SalesLines!P3274)</x:f>
        <x:v>0</x:v>
      </x:c>
      <x:c r="K1342" s="11" t="n">
        <x:f>SUM(SalesLines!R3273,SalesLines!R3274)</x:f>
        <x:v>0</x:v>
      </x:c>
      <x:c r="L1342" s="11" t="n">
        <x:f>SUM(SalesLines!S3273,SalesLines!S3274)</x:f>
        <x:v>0</x:v>
      </x:c>
      <x:c r="M1342" s="8" t="n">
        <x:f>DATE(YEAR(C1342),MONTH(C1342),1)</x:f>
        <x:v>45658</x:v>
      </x:c>
    </x:row>
    <x:row r="1343" ht="22" customHeight="1">
      <x:c r="A1343" s="2" t="str">
        <x:v>O01339</x:v>
      </x:c>
      <x:c r="B1343" s="2" t="str">
        <x:v>C0028</x:v>
      </x:c>
      <x:c r="C1343" s="7" t="n">
        <x:v>45932</x:v>
      </x:c>
      <x:c r="D1343" s="2" t="str">
        <x:v>Completed</x:v>
      </x:c>
      <x:c r="E1343" s="2" t="str">
        <x:v>West</x:v>
      </x:c>
      <x:c r="F1343" s="2" t="str">
        <x:v>Online</x:v>
      </x:c>
      <x:c r="G1343" s="9" t="n">
        <x:f>SUM(SalesLines!Q3275,SalesLines!Q3276)</x:f>
        <x:v>1122.9</x:v>
      </x:c>
      <x:c r="H1343" s="9" t="n">
        <x:f>SUM(SalesLines!M3275,SalesLines!M3276)</x:f>
        <x:v>1182</x:v>
      </x:c>
      <x:c r="I1343" s="9" t="n">
        <x:f>SUM(SalesLines!N3275,SalesLines!N3276)</x:f>
        <x:v>59.10000000000001</x:v>
      </x:c>
      <x:c r="J1343" s="9" t="n">
        <x:f>SUM(SalesLines!P3275,SalesLines!P3276)</x:f>
        <x:v>0</x:v>
      </x:c>
      <x:c r="K1343" s="11" t="n">
        <x:f>SUM(SalesLines!R3275,SalesLines!R3276)</x:f>
        <x:v>6</x:v>
      </x:c>
      <x:c r="L1343" s="11" t="n">
        <x:f>SUM(SalesLines!S3275,SalesLines!S3276)</x:f>
        <x:v>0</x:v>
      </x:c>
      <x:c r="M1343" s="8" t="n">
        <x:f>DATE(YEAR(C1343),MONTH(C1343),1)</x:f>
        <x:v>45931</x:v>
      </x:c>
    </x:row>
    <x:row r="1344" ht="22" customHeight="1">
      <x:c r="A1344" s="2" t="str">
        <x:v>O01340</x:v>
      </x:c>
      <x:c r="B1344" s="2" t="str">
        <x:v>C0184</x:v>
      </x:c>
      <x:c r="C1344" s="7" t="n">
        <x:v>45832</x:v>
      </x:c>
      <x:c r="D1344" s="2" t="str">
        <x:v>Completed</x:v>
      </x:c>
      <x:c r="E1344" s="2" t="str">
        <x:v>West</x:v>
      </x:c>
      <x:c r="F1344" s="2" t="str">
        <x:v>Store</x:v>
      </x:c>
      <x:c r="G1344" s="9" t="n">
        <x:f>SUM(SalesLines!Q3277,SalesLines!Q3278,SalesLines!Q3279,SalesLines!Q3280)</x:f>
        <x:v>2307.6</x:v>
      </x:c>
      <x:c r="H1344" s="9" t="n">
        <x:f>SUM(SalesLines!M3277,SalesLines!M3278,SalesLines!M3279,SalesLines!M3280)</x:f>
        <x:v>2429</x:v>
      </x:c>
      <x:c r="I1344" s="9" t="n">
        <x:f>SUM(SalesLines!N3277,SalesLines!N3278,SalesLines!N3279,SalesLines!N3280)</x:f>
        <x:v>121.4</x:v>
      </x:c>
      <x:c r="J1344" s="9" t="n">
        <x:f>SUM(SalesLines!P3277,SalesLines!P3278,SalesLines!P3279,SalesLines!P3280)</x:f>
        <x:v>0</x:v>
      </x:c>
      <x:c r="K1344" s="11" t="n">
        <x:f>SUM(SalesLines!R3277,SalesLines!R3278,SalesLines!R3279,SalesLines!R3280)</x:f>
        <x:v>12</x:v>
      </x:c>
      <x:c r="L1344" s="11" t="n">
        <x:f>SUM(SalesLines!S3277,SalesLines!S3278,SalesLines!S3279,SalesLines!S3280)</x:f>
        <x:v>0</x:v>
      </x:c>
      <x:c r="M1344" s="8" t="n">
        <x:f>DATE(YEAR(C1344),MONTH(C1344),1)</x:f>
        <x:v>45809</x:v>
      </x:c>
    </x:row>
    <x:row r="1345" ht="22" customHeight="1">
      <x:c r="A1345" s="2" t="str">
        <x:v>O01341</x:v>
      </x:c>
      <x:c r="B1345" s="2" t="str">
        <x:v>C0225</x:v>
      </x:c>
      <x:c r="C1345" s="7" t="n">
        <x:v>45685</x:v>
      </x:c>
      <x:c r="D1345" s="2" t="str">
        <x:v>Completed</x:v>
      </x:c>
      <x:c r="E1345" s="2" t="str">
        <x:v>North</x:v>
      </x:c>
      <x:c r="F1345" s="2" t="str">
        <x:v>Store</x:v>
      </x:c>
      <x:c r="G1345" s="9" t="n">
        <x:f>SUM(SalesLines!Q3281)</x:f>
        <x:v>1002.25</x:v>
      </x:c>
      <x:c r="H1345" s="9" t="n">
        <x:f>SUM(SalesLines!M3281)</x:f>
        <x:v>1055</x:v>
      </x:c>
      <x:c r="I1345" s="9" t="n">
        <x:f>SUM(SalesLines!N3281)</x:f>
        <x:v>52.75</x:v>
      </x:c>
      <x:c r="J1345" s="9" t="n">
        <x:f>SUM(SalesLines!P3281)</x:f>
        <x:v>0</x:v>
      </x:c>
      <x:c r="K1345" s="11" t="n">
        <x:f>SUM(SalesLines!R3281)</x:f>
        <x:v>5</x:v>
      </x:c>
      <x:c r="L1345" s="11" t="n">
        <x:f>SUM(SalesLines!S3281)</x:f>
        <x:v>0</x:v>
      </x:c>
      <x:c r="M1345" s="8" t="n">
        <x:f>DATE(YEAR(C1345),MONTH(C1345),1)</x:f>
        <x:v>45658</x:v>
      </x:c>
    </x:row>
    <x:row r="1346" ht="22" customHeight="1">
      <x:c r="A1346" s="2" t="str">
        <x:v>O01342</x:v>
      </x:c>
      <x:c r="B1346" s="2" t="str">
        <x:v>C0225</x:v>
      </x:c>
      <x:c r="C1346" s="7" t="n">
        <x:v>45731</x:v>
      </x:c>
      <x:c r="D1346" s="2" t="str">
        <x:v>Completed</x:v>
      </x:c>
      <x:c r="E1346" s="2" t="str">
        <x:v>North</x:v>
      </x:c>
      <x:c r="F1346" s="2" t="str">
        <x:v>Online</x:v>
      </x:c>
      <x:c r="G1346" s="9" t="n">
        <x:f>SUM(SalesLines!Q3282,SalesLines!Q3283)</x:f>
        <x:v>1066.6</x:v>
      </x:c>
      <x:c r="H1346" s="9" t="n">
        <x:f>SUM(SalesLines!M3282,SalesLines!M3283)</x:f>
        <x:v>1096</x:v>
      </x:c>
      <x:c r="I1346" s="9" t="n">
        <x:f>SUM(SalesLines!N3282,SalesLines!N3283)</x:f>
        <x:v>29.400000000000002</x:v>
      </x:c>
      <x:c r="J1346" s="9" t="n">
        <x:f>SUM(SalesLines!P3282,SalesLines!P3283)</x:f>
        <x:v>0</x:v>
      </x:c>
      <x:c r="K1346" s="11" t="n">
        <x:f>SUM(SalesLines!R3282,SalesLines!R3283)</x:f>
        <x:v>4</x:v>
      </x:c>
      <x:c r="L1346" s="11" t="n">
        <x:f>SUM(SalesLines!S3282,SalesLines!S3283)</x:f>
        <x:v>0</x:v>
      </x:c>
      <x:c r="M1346" s="8" t="n">
        <x:f>DATE(YEAR(C1346),MONTH(C1346),1)</x:f>
        <x:v>45717</x:v>
      </x:c>
    </x:row>
    <x:row r="1347" ht="22" customHeight="1">
      <x:c r="A1347" s="2" t="str">
        <x:v>O01343</x:v>
      </x:c>
      <x:c r="B1347" s="2" t="str">
        <x:v>C0205</x:v>
      </x:c>
      <x:c r="C1347" s="7" t="n">
        <x:v>45713</x:v>
      </x:c>
      <x:c r="D1347" s="2" t="str">
        <x:v>Cancelled</x:v>
      </x:c>
      <x:c r="E1347" s="2" t="str">
        <x:v>West</x:v>
      </x:c>
      <x:c r="F1347" s="2" t="str">
        <x:v>Store</x:v>
      </x:c>
      <x:c r="G1347" s="9" t="n">
        <x:f>SUM(SalesLines!Q3284,SalesLines!Q3285,SalesLines!Q3286,SalesLines!Q3287)</x:f>
        <x:v>0</x:v>
      </x:c>
      <x:c r="H1347" s="9" t="n">
        <x:f>SUM(SalesLines!M3284,SalesLines!M3285,SalesLines!M3286,SalesLines!M3287)</x:f>
        <x:v>0</x:v>
      </x:c>
      <x:c r="I1347" s="9" t="n">
        <x:f>SUM(SalesLines!N3284,SalesLines!N3285,SalesLines!N3286,SalesLines!N3287)</x:f>
        <x:v>0</x:v>
      </x:c>
      <x:c r="J1347" s="9" t="n">
        <x:f>SUM(SalesLines!P3284,SalesLines!P3285,SalesLines!P3286,SalesLines!P3287)</x:f>
        <x:v>0</x:v>
      </x:c>
      <x:c r="K1347" s="11" t="n">
        <x:f>SUM(SalesLines!R3284,SalesLines!R3285,SalesLines!R3286,SalesLines!R3287)</x:f>
        <x:v>0</x:v>
      </x:c>
      <x:c r="L1347" s="11" t="n">
        <x:f>SUM(SalesLines!S3284,SalesLines!S3285,SalesLines!S3286,SalesLines!S3287)</x:f>
        <x:v>0</x:v>
      </x:c>
      <x:c r="M1347" s="8" t="n">
        <x:f>DATE(YEAR(C1347),MONTH(C1347),1)</x:f>
        <x:v>45689</x:v>
      </x:c>
    </x:row>
    <x:row r="1348" ht="22" customHeight="1">
      <x:c r="A1348" s="2" t="str">
        <x:v>O01344</x:v>
      </x:c>
      <x:c r="B1348" s="2" t="str">
        <x:v>C0119</x:v>
      </x:c>
      <x:c r="C1348" s="7" t="n">
        <x:v>45948</x:v>
      </x:c>
      <x:c r="D1348" s="2" t="str">
        <x:v>Completed</x:v>
      </x:c>
      <x:c r="E1348" s="2" t="str">
        <x:v>North</x:v>
      </x:c>
      <x:c r="F1348" s="2" t="str">
        <x:v>Online</x:v>
      </x:c>
      <x:c r="G1348" s="9" t="n">
        <x:f>SUM(SalesLines!Q3288,SalesLines!Q3289,SalesLines!Q3290,SalesLines!Q3291)</x:f>
        <x:v>2224.5</x:v>
      </x:c>
      <x:c r="H1348" s="9" t="n">
        <x:f>SUM(SalesLines!M3288,SalesLines!M3289,SalesLines!M3290,SalesLines!M3291)</x:f>
        <x:v>2353</x:v>
      </x:c>
      <x:c r="I1348" s="9" t="n">
        <x:f>SUM(SalesLines!N3288,SalesLines!N3289,SalesLines!N3290,SalesLines!N3291)</x:f>
        <x:v>128.5</x:v>
      </x:c>
      <x:c r="J1348" s="9" t="n">
        <x:f>SUM(SalesLines!P3288,SalesLines!P3289,SalesLines!P3290,SalesLines!P3291)</x:f>
        <x:v>0</x:v>
      </x:c>
      <x:c r="K1348" s="11" t="n">
        <x:f>SUM(SalesLines!R3288,SalesLines!R3289,SalesLines!R3290,SalesLines!R3291)</x:f>
        <x:v>13</x:v>
      </x:c>
      <x:c r="L1348" s="11" t="n">
        <x:f>SUM(SalesLines!S3288,SalesLines!S3289,SalesLines!S3290,SalesLines!S3291)</x:f>
        <x:v>0</x:v>
      </x:c>
      <x:c r="M1348" s="8" t="n">
        <x:f>DATE(YEAR(C1348),MONTH(C1348),1)</x:f>
        <x:v>45931</x:v>
      </x:c>
    </x:row>
    <x:row r="1349" ht="22" customHeight="1">
      <x:c r="A1349" s="2" t="str">
        <x:v>O01345</x:v>
      </x:c>
      <x:c r="B1349" s="2" t="str">
        <x:v>C0027</x:v>
      </x:c>
      <x:c r="C1349" s="7" t="n">
        <x:v>45677</x:v>
      </x:c>
      <x:c r="D1349" s="2" t="str">
        <x:v>Completed</x:v>
      </x:c>
      <x:c r="E1349" s="2" t="str">
        <x:v>North</x:v>
      </x:c>
      <x:c r="F1349" s="2" t="str">
        <x:v>Store</x:v>
      </x:c>
      <x:c r="G1349" s="9" t="n">
        <x:f>SUM(SalesLines!Q3292,SalesLines!Q3293,SalesLines!Q3294)</x:f>
        <x:v>1182.5500000000002</x:v>
      </x:c>
      <x:c r="H1349" s="9" t="n">
        <x:f>SUM(SalesLines!M3292,SalesLines!M3293,SalesLines!M3294)</x:f>
        <x:v>1241</x:v>
      </x:c>
      <x:c r="I1349" s="9" t="n">
        <x:f>SUM(SalesLines!N3292,SalesLines!N3293,SalesLines!N3294)</x:f>
        <x:v>58.45</x:v>
      </x:c>
      <x:c r="J1349" s="9" t="n">
        <x:f>SUM(SalesLines!P3292,SalesLines!P3293,SalesLines!P3294)</x:f>
        <x:v>0</x:v>
      </x:c>
      <x:c r="K1349" s="11" t="n">
        <x:f>SUM(SalesLines!R3292,SalesLines!R3293,SalesLines!R3294)</x:f>
        <x:v>10</x:v>
      </x:c>
      <x:c r="L1349" s="11" t="n">
        <x:f>SUM(SalesLines!S3292,SalesLines!S3293,SalesLines!S3294)</x:f>
        <x:v>0</x:v>
      </x:c>
      <x:c r="M1349" s="8" t="n">
        <x:f>DATE(YEAR(C1349),MONTH(C1349),1)</x:f>
        <x:v>45658</x:v>
      </x:c>
    </x:row>
    <x:row r="1350" ht="22" customHeight="1">
      <x:c r="A1350" s="2" t="str">
        <x:v>O01346</x:v>
      </x:c>
      <x:c r="B1350" s="2" t="str">
        <x:v>C0133</x:v>
      </x:c>
      <x:c r="C1350" s="7" t="n">
        <x:v>45933</x:v>
      </x:c>
      <x:c r="D1350" s="2" t="str">
        <x:v>Completed</x:v>
      </x:c>
      <x:c r="E1350" s="2" t="str">
        <x:v>South</x:v>
      </x:c>
      <x:c r="F1350" s="2" t="str">
        <x:v>Store</x:v>
      </x:c>
      <x:c r="G1350" s="9" t="n">
        <x:f>SUM(SalesLines!Q3295,SalesLines!Q3296,SalesLines!Q3297,SalesLines!Q3298)</x:f>
        <x:v>2340.9</x:v>
      </x:c>
      <x:c r="H1350" s="9" t="n">
        <x:f>SUM(SalesLines!M3295,SalesLines!M3296,SalesLines!M3297,SalesLines!M3298)</x:f>
        <x:v>2508</x:v>
      </x:c>
      <x:c r="I1350" s="9" t="n">
        <x:f>SUM(SalesLines!N3295,SalesLines!N3296,SalesLines!N3297,SalesLines!N3298)</x:f>
        <x:v>167.1</x:v>
      </x:c>
      <x:c r="J1350" s="9" t="n">
        <x:f>SUM(SalesLines!P3295,SalesLines!P3296,SalesLines!P3297,SalesLines!P3298)</x:f>
        <x:v>0</x:v>
      </x:c>
      <x:c r="K1350" s="11" t="n">
        <x:f>SUM(SalesLines!R3295,SalesLines!R3296,SalesLines!R3297,SalesLines!R3298)</x:f>
        <x:v>16</x:v>
      </x:c>
      <x:c r="L1350" s="11" t="n">
        <x:f>SUM(SalesLines!S3295,SalesLines!S3296,SalesLines!S3297,SalesLines!S3298)</x:f>
        <x:v>0</x:v>
      </x:c>
      <x:c r="M1350" s="8" t="n">
        <x:f>DATE(YEAR(C1350),MONTH(C1350),1)</x:f>
        <x:v>45931</x:v>
      </x:c>
    </x:row>
    <x:row r="1351" ht="22" customHeight="1">
      <x:c r="A1351" s="2" t="str">
        <x:v>O01347</x:v>
      </x:c>
      <x:c r="B1351" s="2" t="str">
        <x:v>C0047</x:v>
      </x:c>
      <x:c r="C1351" s="7" t="n">
        <x:v>45860</x:v>
      </x:c>
      <x:c r="D1351" s="2" t="str">
        <x:v>Completed</x:v>
      </x:c>
      <x:c r="E1351" s="2" t="str">
        <x:v>West</x:v>
      </x:c>
      <x:c r="F1351" s="2" t="str">
        <x:v>Store</x:v>
      </x:c>
      <x:c r="G1351" s="9" t="n">
        <x:f>SUM(SalesLines!Q3299,SalesLines!Q3300,SalesLines!Q3301)</x:f>
        <x:v>409.35</x:v>
      </x:c>
      <x:c r="H1351" s="9" t="n">
        <x:f>SUM(SalesLines!M3299,SalesLines!M3300,SalesLines!M3301)</x:f>
        <x:v>449</x:v>
      </x:c>
      <x:c r="I1351" s="9" t="n">
        <x:f>SUM(SalesLines!N3299,SalesLines!N3300,SalesLines!N3301)</x:f>
        <x:v>39.650000000000006</x:v>
      </x:c>
      <x:c r="J1351" s="9" t="n">
        <x:f>SUM(SalesLines!P3299,SalesLines!P3300,SalesLines!P3301)</x:f>
        <x:v>0</x:v>
      </x:c>
      <x:c r="K1351" s="11" t="n">
        <x:f>SUM(SalesLines!R3299,SalesLines!R3300,SalesLines!R3301)</x:f>
        <x:v>7</x:v>
      </x:c>
      <x:c r="L1351" s="11" t="n">
        <x:f>SUM(SalesLines!S3299,SalesLines!S3300,SalesLines!S3301)</x:f>
        <x:v>0</x:v>
      </x:c>
      <x:c r="M1351" s="8" t="n">
        <x:f>DATE(YEAR(C1351),MONTH(C1351),1)</x:f>
        <x:v>45839</x:v>
      </x:c>
    </x:row>
    <x:row r="1352" ht="22" customHeight="1">
      <x:c r="A1352" s="2" t="str">
        <x:v>O01348</x:v>
      </x:c>
      <x:c r="B1352" s="2" t="str">
        <x:v>C0009</x:v>
      </x:c>
      <x:c r="C1352" s="7" t="n">
        <x:v>45862</x:v>
      </x:c>
      <x:c r="D1352" s="2" t="str">
        <x:v>Completed</x:v>
      </x:c>
      <x:c r="E1352" s="2" t="str">
        <x:v>South</x:v>
      </x:c>
      <x:c r="F1352" s="2" t="str">
        <x:v>Store</x:v>
      </x:c>
      <x:c r="G1352" s="9" t="n">
        <x:f>SUM(SalesLines!Q3302,SalesLines!Q3303,SalesLines!Q3304,SalesLines!Q3305)</x:f>
        <x:v>1183.95</x:v>
      </x:c>
      <x:c r="H1352" s="9" t="n">
        <x:f>SUM(SalesLines!M3302,SalesLines!M3303,SalesLines!M3304,SalesLines!M3305)</x:f>
        <x:v>1374</x:v>
      </x:c>
      <x:c r="I1352" s="9" t="n">
        <x:f>SUM(SalesLines!N3302,SalesLines!N3303,SalesLines!N3304,SalesLines!N3305)</x:f>
        <x:v>190.05</x:v>
      </x:c>
      <x:c r="J1352" s="9" t="n">
        <x:f>SUM(SalesLines!P3302,SalesLines!P3303,SalesLines!P3304,SalesLines!P3305)</x:f>
        <x:v>0</x:v>
      </x:c>
      <x:c r="K1352" s="11" t="n">
        <x:f>SUM(SalesLines!R3302,SalesLines!R3303,SalesLines!R3304,SalesLines!R3305)</x:f>
        <x:v>11</x:v>
      </x:c>
      <x:c r="L1352" s="11" t="n">
        <x:f>SUM(SalesLines!S3302,SalesLines!S3303,SalesLines!S3304,SalesLines!S3305)</x:f>
        <x:v>0</x:v>
      </x:c>
      <x:c r="M1352" s="8" t="n">
        <x:f>DATE(YEAR(C1352),MONTH(C1352),1)</x:f>
        <x:v>45839</x:v>
      </x:c>
    </x:row>
    <x:row r="1353" ht="22" customHeight="1">
      <x:c r="A1353" s="2" t="str">
        <x:v>O01349</x:v>
      </x:c>
      <x:c r="B1353" s="2" t="str">
        <x:v>C0297</x:v>
      </x:c>
      <x:c r="C1353" s="7" t="n">
        <x:v>45863</x:v>
      </x:c>
      <x:c r="D1353" s="2" t="str">
        <x:v>Completed</x:v>
      </x:c>
      <x:c r="E1353" s="2" t="str">
        <x:v>East</x:v>
      </x:c>
      <x:c r="F1353" s="2" t="str">
        <x:v>Online</x:v>
      </x:c>
      <x:c r="G1353" s="9" t="n">
        <x:f>SUM(SalesLines!Q3306,SalesLines!Q3307,SalesLines!Q3308,SalesLines!Q3309)</x:f>
        <x:v>2541.3999999999996</x:v>
      </x:c>
      <x:c r="H1353" s="9" t="n">
        <x:f>SUM(SalesLines!M3306,SalesLines!M3307,SalesLines!M3308,SalesLines!M3309)</x:f>
        <x:v>2816</x:v>
      </x:c>
      <x:c r="I1353" s="9" t="n">
        <x:f>SUM(SalesLines!N3306,SalesLines!N3307,SalesLines!N3308,SalesLines!N3309)</x:f>
        <x:v>274.6</x:v>
      </x:c>
      <x:c r="J1353" s="9" t="n">
        <x:f>SUM(SalesLines!P3306,SalesLines!P3307,SalesLines!P3308,SalesLines!P3309)</x:f>
        <x:v>0</x:v>
      </x:c>
      <x:c r="K1353" s="11" t="n">
        <x:f>SUM(SalesLines!R3306,SalesLines!R3307,SalesLines!R3308,SalesLines!R3309)</x:f>
        <x:v>16</x:v>
      </x:c>
      <x:c r="L1353" s="11" t="n">
        <x:f>SUM(SalesLines!S3306,SalesLines!S3307,SalesLines!S3308,SalesLines!S3309)</x:f>
        <x:v>0</x:v>
      </x:c>
      <x:c r="M1353" s="8" t="n">
        <x:f>DATE(YEAR(C1353),MONTH(C1353),1)</x:f>
        <x:v>45839</x:v>
      </x:c>
    </x:row>
    <x:row r="1354" ht="22" customHeight="1">
      <x:c r="A1354" s="2" t="str">
        <x:v>O01350</x:v>
      </x:c>
      <x:c r="B1354" s="2" t="str">
        <x:v>C0184</x:v>
      </x:c>
      <x:c r="C1354" s="7" t="n">
        <x:v>45981</x:v>
      </x:c>
      <x:c r="D1354" s="2" t="str">
        <x:v>Completed</x:v>
      </x:c>
      <x:c r="E1354" s="2" t="str">
        <x:v>West</x:v>
      </x:c>
      <x:c r="F1354" s="2" t="str">
        <x:v>Store</x:v>
      </x:c>
      <x:c r="G1354" s="9" t="n">
        <x:f>SUM(SalesLines!Q3310)</x:f>
        <x:v>94.5</x:v>
      </x:c>
      <x:c r="H1354" s="9" t="n">
        <x:f>SUM(SalesLines!M3310)</x:f>
        <x:v>175</x:v>
      </x:c>
      <x:c r="I1354" s="9" t="n">
        <x:f>SUM(SalesLines!N3310)</x:f>
        <x:v>17.5</x:v>
      </x:c>
      <x:c r="J1354" s="9" t="n">
        <x:f>SUM(SalesLines!P3310)</x:f>
        <x:v>63</x:v>
      </x:c>
      <x:c r="K1354" s="11" t="n">
        <x:f>SUM(SalesLines!R3310)</x:f>
        <x:v>5</x:v>
      </x:c>
      <x:c r="L1354" s="11" t="n">
        <x:f>SUM(SalesLines!S3310)</x:f>
        <x:v>2</x:v>
      </x:c>
      <x:c r="M1354" s="8" t="n">
        <x:f>DATE(YEAR(C1354),MONTH(C1354),1)</x:f>
        <x:v>45962</x:v>
      </x:c>
    </x:row>
    <x:row r="1355" ht="22" customHeight="1">
      <x:c r="A1355" s="2" t="str">
        <x:v>O01351</x:v>
      </x:c>
      <x:c r="B1355" s="2" t="str">
        <x:v>C0255</x:v>
      </x:c>
      <x:c r="C1355" s="7" t="n">
        <x:v>45907</x:v>
      </x:c>
      <x:c r="D1355" s="2" t="str">
        <x:v>Completed</x:v>
      </x:c>
      <x:c r="E1355" s="2" t="str">
        <x:v>South</x:v>
      </x:c>
      <x:c r="F1355" s="2" t="str">
        <x:v>Store</x:v>
      </x:c>
      <x:c r="G1355" s="9" t="n">
        <x:f>SUM(SalesLines!Q3311,SalesLines!Q3312,SalesLines!Q3313)</x:f>
        <x:v>1121.4</x:v>
      </x:c>
      <x:c r="H1355" s="9" t="n">
        <x:f>SUM(SalesLines!M3311,SalesLines!M3312,SalesLines!M3313)</x:f>
        <x:v>1239</x:v>
      </x:c>
      <x:c r="I1355" s="9" t="n">
        <x:f>SUM(SalesLines!N3311,SalesLines!N3312,SalesLines!N3313)</x:f>
        <x:v>117.60000000000001</x:v>
      </x:c>
      <x:c r="J1355" s="9" t="n">
        <x:f>SUM(SalesLines!P3311,SalesLines!P3312,SalesLines!P3313)</x:f>
        <x:v>0</x:v>
      </x:c>
      <x:c r="K1355" s="11" t="n">
        <x:f>SUM(SalesLines!R3311,SalesLines!R3312,SalesLines!R3313)</x:f>
        <x:v>7</x:v>
      </x:c>
      <x:c r="L1355" s="11" t="n">
        <x:f>SUM(SalesLines!S3311,SalesLines!S3312,SalesLines!S3313)</x:f>
        <x:v>0</x:v>
      </x:c>
      <x:c r="M1355" s="8" t="n">
        <x:f>DATE(YEAR(C1355),MONTH(C1355),1)</x:f>
        <x:v>45901</x:v>
      </x:c>
    </x:row>
    <x:row r="1356" ht="22" customHeight="1">
      <x:c r="A1356" s="2" t="str">
        <x:v>O01352</x:v>
      </x:c>
      <x:c r="B1356" s="2" t="str">
        <x:v>C0230</x:v>
      </x:c>
      <x:c r="C1356" s="7" t="n">
        <x:v>45773</x:v>
      </x:c>
      <x:c r="D1356" s="2" t="str">
        <x:v>Completed</x:v>
      </x:c>
      <x:c r="E1356" s="2" t="str">
        <x:v>East</x:v>
      </x:c>
      <x:c r="F1356" s="2" t="str">
        <x:v>Store</x:v>
      </x:c>
      <x:c r="G1356" s="9" t="n">
        <x:f>SUM(SalesLines!Q3314,SalesLines!Q3315,SalesLines!Q3316,SalesLines!Q3317)</x:f>
        <x:v>2223.7</x:v>
      </x:c>
      <x:c r="H1356" s="9" t="n">
        <x:f>SUM(SalesLines!M3314,SalesLines!M3315,SalesLines!M3316,SalesLines!M3317)</x:f>
        <x:v>2566</x:v>
      </x:c>
      <x:c r="I1356" s="9" t="n">
        <x:f>SUM(SalesLines!N3314,SalesLines!N3315,SalesLines!N3316,SalesLines!N3317)</x:f>
        <x:v>342.3</x:v>
      </x:c>
      <x:c r="J1356" s="9" t="n">
        <x:f>SUM(SalesLines!P3314,SalesLines!P3315,SalesLines!P3316,SalesLines!P3317)</x:f>
        <x:v>0</x:v>
      </x:c>
      <x:c r="K1356" s="11" t="n">
        <x:f>SUM(SalesLines!R3314,SalesLines!R3315,SalesLines!R3316,SalesLines!R3317)</x:f>
        <x:v>11</x:v>
      </x:c>
      <x:c r="L1356" s="11" t="n">
        <x:f>SUM(SalesLines!S3314,SalesLines!S3315,SalesLines!S3316,SalesLines!S3317)</x:f>
        <x:v>0</x:v>
      </x:c>
      <x:c r="M1356" s="8" t="n">
        <x:f>DATE(YEAR(C1356),MONTH(C1356),1)</x:f>
        <x:v>45748</x:v>
      </x:c>
    </x:row>
    <x:row r="1357" ht="22" customHeight="1">
      <x:c r="A1357" s="2" t="str">
        <x:v>O01353</x:v>
      </x:c>
      <x:c r="B1357" s="2" t="str">
        <x:v>C0023</x:v>
      </x:c>
      <x:c r="C1357" s="7" t="n">
        <x:v>45724</x:v>
      </x:c>
      <x:c r="D1357" s="2" t="str">
        <x:v>Completed</x:v>
      </x:c>
      <x:c r="E1357" s="2" t="str">
        <x:v>South</x:v>
      </x:c>
      <x:c r="F1357" s="2" t="str">
        <x:v>Online</x:v>
      </x:c>
      <x:c r="G1357" s="9" t="n">
        <x:f>SUM(SalesLines!Q3318)</x:f>
        <x:v>610</x:v>
      </x:c>
      <x:c r="H1357" s="9" t="n">
        <x:f>SUM(SalesLines!M3318)</x:f>
        <x:v>610</x:v>
      </x:c>
      <x:c r="I1357" s="9" t="n">
        <x:f>SUM(SalesLines!N3318)</x:f>
        <x:v>0</x:v>
      </x:c>
      <x:c r="J1357" s="9" t="n">
        <x:f>SUM(SalesLines!P3318)</x:f>
        <x:v>0</x:v>
      </x:c>
      <x:c r="K1357" s="11" t="n">
        <x:f>SUM(SalesLines!R3318)</x:f>
        <x:v>5</x:v>
      </x:c>
      <x:c r="L1357" s="11" t="n">
        <x:f>SUM(SalesLines!S3318)</x:f>
        <x:v>0</x:v>
      </x:c>
      <x:c r="M1357" s="8" t="n">
        <x:f>DATE(YEAR(C1357),MONTH(C1357),1)</x:f>
        <x:v>45717</x:v>
      </x:c>
    </x:row>
    <x:row r="1358" ht="22" customHeight="1">
      <x:c r="A1358" s="2" t="str">
        <x:v>O01354</x:v>
      </x:c>
      <x:c r="B1358" s="2" t="str">
        <x:v>C0296</x:v>
      </x:c>
      <x:c r="C1358" s="7" t="n">
        <x:v>45903</x:v>
      </x:c>
      <x:c r="D1358" s="2" t="str">
        <x:v>Completed</x:v>
      </x:c>
      <x:c r="E1358" s="2" t="str">
        <x:v>East</x:v>
      </x:c>
      <x:c r="F1358" s="2" t="str">
        <x:v>Online</x:v>
      </x:c>
      <x:c r="G1358" s="9" t="n">
        <x:f>SUM(SalesLines!Q3319,SalesLines!Q3320,SalesLines!Q3321,SalesLines!Q3322)</x:f>
        <x:v>3491.2</x:v>
      </x:c>
      <x:c r="H1358" s="9" t="n">
        <x:f>SUM(SalesLines!M3319,SalesLines!M3320,SalesLines!M3321,SalesLines!M3322)</x:f>
        <x:v>3855</x:v>
      </x:c>
      <x:c r="I1358" s="9" t="n">
        <x:f>SUM(SalesLines!N3319,SalesLines!N3320,SalesLines!N3321,SalesLines!N3322)</x:f>
        <x:v>363.8</x:v>
      </x:c>
      <x:c r="J1358" s="9" t="n">
        <x:f>SUM(SalesLines!P3319,SalesLines!P3320,SalesLines!P3321,SalesLines!P3322)</x:f>
        <x:v>0</x:v>
      </x:c>
      <x:c r="K1358" s="11" t="n">
        <x:f>SUM(SalesLines!R3319,SalesLines!R3320,SalesLines!R3321,SalesLines!R3322)</x:f>
        <x:v>18</x:v>
      </x:c>
      <x:c r="L1358" s="11" t="n">
        <x:f>SUM(SalesLines!S3319,SalesLines!S3320,SalesLines!S3321,SalesLines!S3322)</x:f>
        <x:v>0</x:v>
      </x:c>
      <x:c r="M1358" s="8" t="n">
        <x:f>DATE(YEAR(C1358),MONTH(C1358),1)</x:f>
        <x:v>45901</x:v>
      </x:c>
    </x:row>
    <x:row r="1359" ht="22" customHeight="1">
      <x:c r="A1359" s="2" t="str">
        <x:v>O01355</x:v>
      </x:c>
      <x:c r="B1359" s="2" t="str">
        <x:v>C0009</x:v>
      </x:c>
      <x:c r="C1359" s="7" t="n">
        <x:v>45790</x:v>
      </x:c>
      <x:c r="D1359" s="2" t="str">
        <x:v>Completed</x:v>
      </x:c>
      <x:c r="E1359" s="2" t="str">
        <x:v>South</x:v>
      </x:c>
      <x:c r="F1359" s="2" t="str">
        <x:v>Online</x:v>
      </x:c>
      <x:c r="G1359" s="9" t="n">
        <x:f>SUM(SalesLines!Q3323)</x:f>
        <x:v>430.4</x:v>
      </x:c>
      <x:c r="H1359" s="9" t="n">
        <x:f>SUM(SalesLines!M3323)</x:f>
        <x:v>538</x:v>
      </x:c>
      <x:c r="I1359" s="9" t="n">
        <x:f>SUM(SalesLines!N3323)</x:f>
        <x:v>107.60000000000001</x:v>
      </x:c>
      <x:c r="J1359" s="9" t="n">
        <x:f>SUM(SalesLines!P3323)</x:f>
        <x:v>0</x:v>
      </x:c>
      <x:c r="K1359" s="11" t="n">
        <x:f>SUM(SalesLines!R3323)</x:f>
        <x:v>2</x:v>
      </x:c>
      <x:c r="L1359" s="11" t="n">
        <x:f>SUM(SalesLines!S3323)</x:f>
        <x:v>0</x:v>
      </x:c>
      <x:c r="M1359" s="8" t="n">
        <x:f>DATE(YEAR(C1359),MONTH(C1359),1)</x:f>
        <x:v>45778</x:v>
      </x:c>
    </x:row>
    <x:row r="1360" ht="22" customHeight="1">
      <x:c r="A1360" s="2" t="str">
        <x:v>O01356</x:v>
      </x:c>
      <x:c r="B1360" s="2" t="str">
        <x:v>C0161</x:v>
      </x:c>
      <x:c r="C1360" s="7" t="n">
        <x:v>45689</x:v>
      </x:c>
      <x:c r="D1360" s="2" t="str">
        <x:v>Completed</x:v>
      </x:c>
      <x:c r="E1360" s="2" t="str">
        <x:v>West</x:v>
      </x:c>
      <x:c r="F1360" s="2" t="str">
        <x:v>Store</x:v>
      </x:c>
      <x:c r="G1360" s="9" t="n">
        <x:f>SUM(SalesLines!Q3324,SalesLines!Q3325,SalesLines!Q3326)</x:f>
        <x:v>796.25</x:v>
      </x:c>
      <x:c r="H1360" s="9" t="n">
        <x:f>SUM(SalesLines!M3324,SalesLines!M3325,SalesLines!M3326)</x:f>
        <x:v>943</x:v>
      </x:c>
      <x:c r="I1360" s="9" t="n">
        <x:f>SUM(SalesLines!N3324,SalesLines!N3325,SalesLines!N3326)</x:f>
        <x:v>146.75</x:v>
      </x:c>
      <x:c r="J1360" s="9" t="n">
        <x:f>SUM(SalesLines!P3324,SalesLines!P3325,SalesLines!P3326)</x:f>
        <x:v>0</x:v>
      </x:c>
      <x:c r="K1360" s="11" t="n">
        <x:f>SUM(SalesLines!R3324,SalesLines!R3325,SalesLines!R3326)</x:f>
        <x:v>9</x:v>
      </x:c>
      <x:c r="L1360" s="11" t="n">
        <x:f>SUM(SalesLines!S3324,SalesLines!S3325,SalesLines!S3326)</x:f>
        <x:v>0</x:v>
      </x:c>
      <x:c r="M1360" s="8" t="n">
        <x:f>DATE(YEAR(C1360),MONTH(C1360),1)</x:f>
        <x:v>45689</x:v>
      </x:c>
    </x:row>
    <x:row r="1361" ht="22" customHeight="1">
      <x:c r="A1361" s="2" t="str">
        <x:v>O01357</x:v>
      </x:c>
      <x:c r="B1361" s="2" t="str">
        <x:v>C0257</x:v>
      </x:c>
      <x:c r="C1361" s="7" t="n">
        <x:v>45856</x:v>
      </x:c>
      <x:c r="D1361" s="2" t="str">
        <x:v>Completed</x:v>
      </x:c>
      <x:c r="E1361" s="2" t="str">
        <x:v>North</x:v>
      </x:c>
      <x:c r="F1361" s="2" t="str">
        <x:v>Store</x:v>
      </x:c>
      <x:c r="G1361" s="9" t="n">
        <x:f>SUM(SalesLines!Q3327,SalesLines!Q3328)</x:f>
        <x:v>1713.9</x:v>
      </x:c>
      <x:c r="H1361" s="9" t="n">
        <x:f>SUM(SalesLines!M3327,SalesLines!M3328)</x:f>
        <x:v>1741</x:v>
      </x:c>
      <x:c r="I1361" s="9" t="n">
        <x:f>SUM(SalesLines!N3327,SalesLines!N3328)</x:f>
        <x:v>27.1</x:v>
      </x:c>
      <x:c r="J1361" s="9" t="n">
        <x:f>SUM(SalesLines!P3327,SalesLines!P3328)</x:f>
        <x:v>0</x:v>
      </x:c>
      <x:c r="K1361" s="11" t="n">
        <x:f>SUM(SalesLines!R3327,SalesLines!R3328)</x:f>
        <x:v>6</x:v>
      </x:c>
      <x:c r="L1361" s="11" t="n">
        <x:f>SUM(SalesLines!S3327,SalesLines!S3328)</x:f>
        <x:v>0</x:v>
      </x:c>
      <x:c r="M1361" s="8" t="n">
        <x:f>DATE(YEAR(C1361),MONTH(C1361),1)</x:f>
        <x:v>45839</x:v>
      </x:c>
    </x:row>
    <x:row r="1362" ht="22" customHeight="1">
      <x:c r="A1362" s="2" t="str">
        <x:v>O01358</x:v>
      </x:c>
      <x:c r="B1362" s="2" t="str">
        <x:v>C0129</x:v>
      </x:c>
      <x:c r="C1362" s="7" t="n">
        <x:v>45901</x:v>
      </x:c>
      <x:c r="D1362" s="2" t="str">
        <x:v>Cancelled</x:v>
      </x:c>
      <x:c r="E1362" s="2" t="str">
        <x:v>North</x:v>
      </x:c>
      <x:c r="F1362" s="2" t="str">
        <x:v>Store</x:v>
      </x:c>
      <x:c r="G1362" s="9" t="n">
        <x:f>SUM(SalesLines!Q3329,SalesLines!Q3330,SalesLines!Q3331)</x:f>
        <x:v>0</x:v>
      </x:c>
      <x:c r="H1362" s="9" t="n">
        <x:f>SUM(SalesLines!M3329,SalesLines!M3330,SalesLines!M3331)</x:f>
        <x:v>0</x:v>
      </x:c>
      <x:c r="I1362" s="9" t="n">
        <x:f>SUM(SalesLines!N3329,SalesLines!N3330,SalesLines!N3331)</x:f>
        <x:v>0</x:v>
      </x:c>
      <x:c r="J1362" s="9" t="n">
        <x:f>SUM(SalesLines!P3329,SalesLines!P3330,SalesLines!P3331)</x:f>
        <x:v>0</x:v>
      </x:c>
      <x:c r="K1362" s="11" t="n">
        <x:f>SUM(SalesLines!R3329,SalesLines!R3330,SalesLines!R3331)</x:f>
        <x:v>0</x:v>
      </x:c>
      <x:c r="L1362" s="11" t="n">
        <x:f>SUM(SalesLines!S3329,SalesLines!S3330,SalesLines!S3331)</x:f>
        <x:v>0</x:v>
      </x:c>
      <x:c r="M1362" s="8" t="n">
        <x:f>DATE(YEAR(C1362),MONTH(C1362),1)</x:f>
        <x:v>45901</x:v>
      </x:c>
    </x:row>
    <x:row r="1363" ht="22" customHeight="1">
      <x:c r="A1363" s="2" t="str">
        <x:v>O01359</x:v>
      </x:c>
      <x:c r="B1363" s="2" t="str">
        <x:v>C0191</x:v>
      </x:c>
      <x:c r="C1363" s="7" t="n">
        <x:v>46010</x:v>
      </x:c>
      <x:c r="D1363" s="2" t="str">
        <x:v>Completed</x:v>
      </x:c>
      <x:c r="E1363" s="2" t="str">
        <x:v>North</x:v>
      </x:c>
      <x:c r="F1363" s="2" t="str">
        <x:v>Online</x:v>
      </x:c>
      <x:c r="G1363" s="9" t="n">
        <x:f>SUM(SalesLines!Q3332,SalesLines!Q3333,SalesLines!Q3334,SalesLines!Q3335)</x:f>
        <x:v>2167</x:v>
      </x:c>
      <x:c r="H1363" s="9" t="n">
        <x:f>SUM(SalesLines!M3332,SalesLines!M3333,SalesLines!M3334,SalesLines!M3335)</x:f>
        <x:v>2360</x:v>
      </x:c>
      <x:c r="I1363" s="9" t="n">
        <x:f>SUM(SalesLines!N3332,SalesLines!N3333,SalesLines!N3334,SalesLines!N3335)</x:f>
        <x:v>193</x:v>
      </x:c>
      <x:c r="J1363" s="9" t="n">
        <x:f>SUM(SalesLines!P3332,SalesLines!P3333,SalesLines!P3334,SalesLines!P3335)</x:f>
        <x:v>0</x:v>
      </x:c>
      <x:c r="K1363" s="11" t="n">
        <x:f>SUM(SalesLines!R3332,SalesLines!R3333,SalesLines!R3334,SalesLines!R3335)</x:f>
        <x:v>9</x:v>
      </x:c>
      <x:c r="L1363" s="11" t="n">
        <x:f>SUM(SalesLines!S3332,SalesLines!S3333,SalesLines!S3334,SalesLines!S3335)</x:f>
        <x:v>0</x:v>
      </x:c>
      <x:c r="M1363" s="8" t="n">
        <x:f>DATE(YEAR(C1363),MONTH(C1363),1)</x:f>
        <x:v>45992</x:v>
      </x:c>
    </x:row>
    <x:row r="1364" ht="22" customHeight="1">
      <x:c r="A1364" s="2" t="str">
        <x:v>O01360</x:v>
      </x:c>
      <x:c r="B1364" s="2" t="str">
        <x:v>C0142</x:v>
      </x:c>
      <x:c r="C1364" s="7" t="n">
        <x:v>45816</x:v>
      </x:c>
      <x:c r="D1364" s="2" t="str">
        <x:v>Completed</x:v>
      </x:c>
      <x:c r="E1364" s="2" t="str">
        <x:v>West</x:v>
      </x:c>
      <x:c r="F1364" s="2" t="str">
        <x:v>Online</x:v>
      </x:c>
      <x:c r="G1364" s="9" t="n">
        <x:f>SUM(SalesLines!Q3336)</x:f>
        <x:v>376</x:v>
      </x:c>
      <x:c r="H1364" s="9" t="n">
        <x:f>SUM(SalesLines!M3336)</x:f>
        <x:v>376</x:v>
      </x:c>
      <x:c r="I1364" s="9" t="n">
        <x:f>SUM(SalesLines!N3336)</x:f>
        <x:v>0</x:v>
      </x:c>
      <x:c r="J1364" s="9" t="n">
        <x:f>SUM(SalesLines!P3336)</x:f>
        <x:v>0</x:v>
      </x:c>
      <x:c r="K1364" s="11" t="n">
        <x:f>SUM(SalesLines!R3336)</x:f>
        <x:v>2</x:v>
      </x:c>
      <x:c r="L1364" s="11" t="n">
        <x:f>SUM(SalesLines!S3336)</x:f>
        <x:v>0</x:v>
      </x:c>
      <x:c r="M1364" s="8" t="n">
        <x:f>DATE(YEAR(C1364),MONTH(C1364),1)</x:f>
        <x:v>45809</x:v>
      </x:c>
    </x:row>
    <x:row r="1365" ht="22" customHeight="1">
      <x:c r="A1365" s="2" t="str">
        <x:v>O01361</x:v>
      </x:c>
      <x:c r="B1365" s="2" t="str">
        <x:v>C0050</x:v>
      </x:c>
      <x:c r="C1365" s="7" t="n">
        <x:v>45865</x:v>
      </x:c>
      <x:c r="D1365" s="2" t="str">
        <x:v>Completed</x:v>
      </x:c>
      <x:c r="E1365" s="2" t="str">
        <x:v>North</x:v>
      </x:c>
      <x:c r="F1365" s="2" t="str">
        <x:v>Online</x:v>
      </x:c>
      <x:c r="G1365" s="9" t="n">
        <x:f>SUM(SalesLines!Q3337,SalesLines!Q3338,SalesLines!Q3339)</x:f>
        <x:v>518.7</x:v>
      </x:c>
      <x:c r="H1365" s="9" t="n">
        <x:f>SUM(SalesLines!M3337,SalesLines!M3338,SalesLines!M3339)</x:f>
        <x:v>546</x:v>
      </x:c>
      <x:c r="I1365" s="9" t="n">
        <x:f>SUM(SalesLines!N3337,SalesLines!N3338,SalesLines!N3339)</x:f>
        <x:v>27.3</x:v>
      </x:c>
      <x:c r="J1365" s="9" t="n">
        <x:f>SUM(SalesLines!P3337,SalesLines!P3338,SalesLines!P3339)</x:f>
        <x:v>0</x:v>
      </x:c>
      <x:c r="K1365" s="11" t="n">
        <x:f>SUM(SalesLines!R3337,SalesLines!R3338,SalesLines!R3339)</x:f>
        <x:v>5</x:v>
      </x:c>
      <x:c r="L1365" s="11" t="n">
        <x:f>SUM(SalesLines!S3337,SalesLines!S3338,SalesLines!S3339)</x:f>
        <x:v>0</x:v>
      </x:c>
      <x:c r="M1365" s="8" t="n">
        <x:f>DATE(YEAR(C1365),MONTH(C1365),1)</x:f>
        <x:v>45839</x:v>
      </x:c>
    </x:row>
    <x:row r="1366" ht="22" customHeight="1">
      <x:c r="A1366" s="2" t="str">
        <x:v>O01362</x:v>
      </x:c>
      <x:c r="B1366" s="2" t="str">
        <x:v>C0245</x:v>
      </x:c>
      <x:c r="C1366" s="7" t="n">
        <x:v>45786</x:v>
      </x:c>
      <x:c r="D1366" s="2" t="str">
        <x:v>Completed</x:v>
      </x:c>
      <x:c r="E1366" s="2" t="str">
        <x:v>North</x:v>
      </x:c>
      <x:c r="F1366" s="2" t="str">
        <x:v>Online</x:v>
      </x:c>
      <x:c r="G1366" s="9" t="n">
        <x:f>SUM(SalesLines!Q3340)</x:f>
        <x:v>433.6</x:v>
      </x:c>
      <x:c r="H1366" s="9" t="n">
        <x:f>SUM(SalesLines!M3340)</x:f>
        <x:v>542</x:v>
      </x:c>
      <x:c r="I1366" s="9" t="n">
        <x:f>SUM(SalesLines!N3340)</x:f>
        <x:v>108.4</x:v>
      </x:c>
      <x:c r="J1366" s="9" t="n">
        <x:f>SUM(SalesLines!P3340)</x:f>
        <x:v>0</x:v>
      </x:c>
      <x:c r="K1366" s="11" t="n">
        <x:f>SUM(SalesLines!R3340)</x:f>
        <x:v>2</x:v>
      </x:c>
      <x:c r="L1366" s="11" t="n">
        <x:f>SUM(SalesLines!S3340)</x:f>
        <x:v>0</x:v>
      </x:c>
      <x:c r="M1366" s="8" t="n">
        <x:f>DATE(YEAR(C1366),MONTH(C1366),1)</x:f>
        <x:v>45778</x:v>
      </x:c>
    </x:row>
    <x:row r="1367" ht="22" customHeight="1">
      <x:c r="A1367" s="2" t="str">
        <x:v>O01363</x:v>
      </x:c>
      <x:c r="B1367" s="2" t="str">
        <x:v>C0300</x:v>
      </x:c>
      <x:c r="C1367" s="7" t="n">
        <x:v>45986</x:v>
      </x:c>
      <x:c r="D1367" s="2" t="str">
        <x:v>Completed</x:v>
      </x:c>
      <x:c r="E1367" s="2" t="str">
        <x:v>West</x:v>
      </x:c>
      <x:c r="F1367" s="2" t="str">
        <x:v>Online</x:v>
      </x:c>
      <x:c r="G1367" s="9" t="n">
        <x:f>SUM(SalesLines!Q3341,SalesLines!Q3342,SalesLines!Q3343)</x:f>
        <x:v>1755.65</x:v>
      </x:c>
      <x:c r="H1367" s="9" t="n">
        <x:f>SUM(SalesLines!M3341,SalesLines!M3342,SalesLines!M3343)</x:f>
        <x:v>1793</x:v>
      </x:c>
      <x:c r="I1367" s="9" t="n">
        <x:f>SUM(SalesLines!N3341,SalesLines!N3342,SalesLines!N3343)</x:f>
        <x:v>37.35</x:v>
      </x:c>
      <x:c r="J1367" s="9" t="n">
        <x:f>SUM(SalesLines!P3341,SalesLines!P3342,SalesLines!P3343)</x:f>
        <x:v>0</x:v>
      </x:c>
      <x:c r="K1367" s="11" t="n">
        <x:f>SUM(SalesLines!R3341,SalesLines!R3342,SalesLines!R3343)</x:f>
        <x:v>8</x:v>
      </x:c>
      <x:c r="L1367" s="11" t="n">
        <x:f>SUM(SalesLines!S3341,SalesLines!S3342,SalesLines!S3343)</x:f>
        <x:v>0</x:v>
      </x:c>
      <x:c r="M1367" s="8" t="n">
        <x:f>DATE(YEAR(C1367),MONTH(C1367),1)</x:f>
        <x:v>45962</x:v>
      </x:c>
    </x:row>
    <x:row r="1368" ht="22" customHeight="1">
      <x:c r="A1368" s="2" t="str">
        <x:v>O01364</x:v>
      </x:c>
      <x:c r="B1368" s="2" t="str">
        <x:v>C0117</x:v>
      </x:c>
      <x:c r="C1368" s="7" t="n">
        <x:v>45872</x:v>
      </x:c>
      <x:c r="D1368" s="2" t="str">
        <x:v>Completed</x:v>
      </x:c>
      <x:c r="E1368" s="2" t="str">
        <x:v>North</x:v>
      </x:c>
      <x:c r="F1368" s="2" t="str">
        <x:v>Store</x:v>
      </x:c>
      <x:c r="G1368" s="9" t="n">
        <x:f>SUM(SalesLines!Q3344,SalesLines!Q3345)</x:f>
        <x:v>374.3</x:v>
      </x:c>
      <x:c r="H1368" s="9" t="n">
        <x:f>SUM(SalesLines!M3344,SalesLines!M3345)</x:f>
        <x:v>394</x:v>
      </x:c>
      <x:c r="I1368" s="9" t="n">
        <x:f>SUM(SalesLines!N3344,SalesLines!N3345)</x:f>
        <x:v>19.7</x:v>
      </x:c>
      <x:c r="J1368" s="9" t="n">
        <x:f>SUM(SalesLines!P3344,SalesLines!P3345)</x:f>
        <x:v>0</x:v>
      </x:c>
      <x:c r="K1368" s="11" t="n">
        <x:f>SUM(SalesLines!R3344,SalesLines!R3345)</x:f>
        <x:v>6</x:v>
      </x:c>
      <x:c r="L1368" s="11" t="n">
        <x:f>SUM(SalesLines!S3344,SalesLines!S3345)</x:f>
        <x:v>0</x:v>
      </x:c>
      <x:c r="M1368" s="8" t="n">
        <x:f>DATE(YEAR(C1368),MONTH(C1368),1)</x:f>
        <x:v>45870</x:v>
      </x:c>
    </x:row>
    <x:row r="1369" ht="22" customHeight="1">
      <x:c r="A1369" s="2" t="str">
        <x:v>O01365</x:v>
      </x:c>
      <x:c r="B1369" s="2" t="str">
        <x:v>C0163</x:v>
      </x:c>
      <x:c r="C1369" s="7" t="n">
        <x:v>45869</x:v>
      </x:c>
      <x:c r="D1369" s="2" t="str">
        <x:v>Completed</x:v>
      </x:c>
      <x:c r="E1369" s="2" t="str">
        <x:v>South</x:v>
      </x:c>
      <x:c r="F1369" s="2" t="str">
        <x:v>Store</x:v>
      </x:c>
      <x:c r="G1369" s="9" t="n">
        <x:f>SUM(SalesLines!Q3346,SalesLines!Q3347,SalesLines!Q3348,SalesLines!Q3349)</x:f>
        <x:v>364.6</x:v>
      </x:c>
      <x:c r="H1369" s="9" t="n">
        <x:f>SUM(SalesLines!M3346,SalesLines!M3347,SalesLines!M3348,SalesLines!M3349)</x:f>
        <x:v>1962</x:v>
      </x:c>
      <x:c r="I1369" s="9" t="n">
        <x:f>SUM(SalesLines!N3346,SalesLines!N3347,SalesLines!N3348,SalesLines!N3349)</x:f>
        <x:v>143.9</x:v>
      </x:c>
      <x:c r="J1369" s="9" t="n">
        <x:f>SUM(SalesLines!P3346,SalesLines!P3347,SalesLines!P3348,SalesLines!P3349)</x:f>
        <x:v>1453.5</x:v>
      </x:c>
      <x:c r="K1369" s="11" t="n">
        <x:f>SUM(SalesLines!R3346,SalesLines!R3347,SalesLines!R3348,SalesLines!R3349)</x:f>
        <x:v>11</x:v>
      </x:c>
      <x:c r="L1369" s="11" t="n">
        <x:f>SUM(SalesLines!S3346,SalesLines!S3347,SalesLines!S3348,SalesLines!S3349)</x:f>
        <x:v>8</x:v>
      </x:c>
      <x:c r="M1369" s="8" t="n">
        <x:f>DATE(YEAR(C1369),MONTH(C1369),1)</x:f>
        <x:v>45839</x:v>
      </x:c>
    </x:row>
    <x:row r="1370" ht="22" customHeight="1">
      <x:c r="A1370" s="2" t="str">
        <x:v>O01366</x:v>
      </x:c>
      <x:c r="B1370" s="2" t="str">
        <x:v>C0216</x:v>
      </x:c>
      <x:c r="C1370" s="7" t="n">
        <x:v>45956</x:v>
      </x:c>
      <x:c r="D1370" s="2" t="str">
        <x:v>Completed</x:v>
      </x:c>
      <x:c r="E1370" s="2" t="str">
        <x:v>North</x:v>
      </x:c>
      <x:c r="F1370" s="2" t="str">
        <x:v>Online</x:v>
      </x:c>
      <x:c r="G1370" s="9" t="n">
        <x:f>SUM(SalesLines!Q3350,SalesLines!Q3351,SalesLines!Q3352,SalesLines!Q3353)</x:f>
        <x:v>1933.65</x:v>
      </x:c>
      <x:c r="H1370" s="9" t="n">
        <x:f>SUM(SalesLines!M3350,SalesLines!M3351,SalesLines!M3352,SalesLines!M3353)</x:f>
        <x:v>2088</x:v>
      </x:c>
      <x:c r="I1370" s="9" t="n">
        <x:f>SUM(SalesLines!N3350,SalesLines!N3351,SalesLines!N3352,SalesLines!N3353)</x:f>
        <x:v>154.35</x:v>
      </x:c>
      <x:c r="J1370" s="9" t="n">
        <x:f>SUM(SalesLines!P3350,SalesLines!P3351,SalesLines!P3352,SalesLines!P3353)</x:f>
        <x:v>0</x:v>
      </x:c>
      <x:c r="K1370" s="11" t="n">
        <x:f>SUM(SalesLines!R3350,SalesLines!R3351,SalesLines!R3352,SalesLines!R3353)</x:f>
        <x:v>14</x:v>
      </x:c>
      <x:c r="L1370" s="11" t="n">
        <x:f>SUM(SalesLines!S3350,SalesLines!S3351,SalesLines!S3352,SalesLines!S3353)</x:f>
        <x:v>0</x:v>
      </x:c>
      <x:c r="M1370" s="8" t="n">
        <x:f>DATE(YEAR(C1370),MONTH(C1370),1)</x:f>
        <x:v>45931</x:v>
      </x:c>
    </x:row>
    <x:row r="1371" ht="22" customHeight="1">
      <x:c r="A1371" s="2" t="str">
        <x:v>O01367</x:v>
      </x:c>
      <x:c r="B1371" s="2" t="str">
        <x:v>C0035</x:v>
      </x:c>
      <x:c r="C1371" s="7" t="n">
        <x:v>45749</x:v>
      </x:c>
      <x:c r="D1371" s="2" t="str">
        <x:v>Completed</x:v>
      </x:c>
      <x:c r="E1371" s="2" t="str">
        <x:v>South</x:v>
      </x:c>
      <x:c r="F1371" s="2" t="str">
        <x:v>Online</x:v>
      </x:c>
      <x:c r="G1371" s="9" t="n">
        <x:f>SUM(SalesLines!Q3354)</x:f>
        <x:v>1287.25</x:v>
      </x:c>
      <x:c r="H1371" s="9" t="n">
        <x:f>SUM(SalesLines!M3354)</x:f>
        <x:v>1355</x:v>
      </x:c>
      <x:c r="I1371" s="9" t="n">
        <x:f>SUM(SalesLines!N3354)</x:f>
        <x:v>67.75</x:v>
      </x:c>
      <x:c r="J1371" s="9" t="n">
        <x:f>SUM(SalesLines!P3354)</x:f>
        <x:v>0</x:v>
      </x:c>
      <x:c r="K1371" s="11" t="n">
        <x:f>SUM(SalesLines!R3354)</x:f>
        <x:v>5</x:v>
      </x:c>
      <x:c r="L1371" s="11" t="n">
        <x:f>SUM(SalesLines!S3354)</x:f>
        <x:v>0</x:v>
      </x:c>
      <x:c r="M1371" s="8" t="n">
        <x:f>DATE(YEAR(C1371),MONTH(C1371),1)</x:f>
        <x:v>45748</x:v>
      </x:c>
    </x:row>
    <x:row r="1372" ht="22" customHeight="1">
      <x:c r="A1372" s="2" t="str">
        <x:v>O01368</x:v>
      </x:c>
      <x:c r="B1372" s="2" t="str">
        <x:v>C0060</x:v>
      </x:c>
      <x:c r="C1372" s="7" t="n">
        <x:v>45891</x:v>
      </x:c>
      <x:c r="D1372" s="2" t="str">
        <x:v>Completed</x:v>
      </x:c>
      <x:c r="E1372" s="2" t="str">
        <x:v>South</x:v>
      </x:c>
      <x:c r="F1372" s="2" t="str">
        <x:v>Store</x:v>
      </x:c>
      <x:c r="G1372" s="9" t="n">
        <x:f>SUM(SalesLines!Q3355,SalesLines!Q3356,SalesLines!Q3357,SalesLines!Q3358)</x:f>
        <x:v>1302.8</x:v>
      </x:c>
      <x:c r="H1372" s="9" t="n">
        <x:f>SUM(SalesLines!M3355,SalesLines!M3356,SalesLines!M3357,SalesLines!M3358)</x:f>
        <x:v>1706</x:v>
      </x:c>
      <x:c r="I1372" s="9" t="n">
        <x:f>SUM(SalesLines!N3355,SalesLines!N3356,SalesLines!N3357,SalesLines!N3358)</x:f>
        <x:v>209.4</x:v>
      </x:c>
      <x:c r="J1372" s="9" t="n">
        <x:f>SUM(SalesLines!P3355,SalesLines!P3356,SalesLines!P3357,SalesLines!P3358)</x:f>
        <x:v>193.79999999999998</x:v>
      </x:c>
      <x:c r="K1372" s="11" t="n">
        <x:f>SUM(SalesLines!R3355,SalesLines!R3356,SalesLines!R3357,SalesLines!R3358)</x:f>
        <x:v>14</x:v>
      </x:c>
      <x:c r="L1372" s="11" t="n">
        <x:f>SUM(SalesLines!S3355,SalesLines!S3356,SalesLines!S3357,SalesLines!S3358)</x:f>
        <x:v>3</x:v>
      </x:c>
      <x:c r="M1372" s="8" t="n">
        <x:f>DATE(YEAR(C1372),MONTH(C1372),1)</x:f>
        <x:v>45870</x:v>
      </x:c>
    </x:row>
    <x:row r="1373" ht="22" customHeight="1">
      <x:c r="A1373" s="2" t="str">
        <x:v>O01369</x:v>
      </x:c>
      <x:c r="B1373" s="2" t="str">
        <x:v>C0220</x:v>
      </x:c>
      <x:c r="C1373" s="7" t="n">
        <x:v>46013</x:v>
      </x:c>
      <x:c r="D1373" s="2" t="str">
        <x:v>Completed</x:v>
      </x:c>
      <x:c r="E1373" s="2" t="str">
        <x:v>North</x:v>
      </x:c>
      <x:c r="F1373" s="2" t="str">
        <x:v>Online</x:v>
      </x:c>
      <x:c r="G1373" s="9" t="n">
        <x:f>SUM(SalesLines!Q3359)</x:f>
        <x:v>230.85</x:v>
      </x:c>
      <x:c r="H1373" s="9" t="n">
        <x:f>SUM(SalesLines!M3359)</x:f>
        <x:v>243</x:v>
      </x:c>
      <x:c r="I1373" s="9" t="n">
        <x:f>SUM(SalesLines!N3359)</x:f>
        <x:v>12.15</x:v>
      </x:c>
      <x:c r="J1373" s="9" t="n">
        <x:f>SUM(SalesLines!P3359)</x:f>
        <x:v>0</x:v>
      </x:c>
      <x:c r="K1373" s="11" t="n">
        <x:f>SUM(SalesLines!R3359)</x:f>
        <x:v>3</x:v>
      </x:c>
      <x:c r="L1373" s="11" t="n">
        <x:f>SUM(SalesLines!S3359)</x:f>
        <x:v>0</x:v>
      </x:c>
      <x:c r="M1373" s="8" t="n">
        <x:f>DATE(YEAR(C1373),MONTH(C1373),1)</x:f>
        <x:v>45992</x:v>
      </x:c>
    </x:row>
    <x:row r="1374" ht="22" customHeight="1">
      <x:c r="A1374" s="2" t="str">
        <x:v>O01370</x:v>
      </x:c>
      <x:c r="B1374" s="2" t="str">
        <x:v>C0169</x:v>
      </x:c>
      <x:c r="C1374" s="7" t="n">
        <x:v>45720</x:v>
      </x:c>
      <x:c r="D1374" s="2" t="str">
        <x:v>Cancelled</x:v>
      </x:c>
      <x:c r="E1374" s="2" t="str">
        <x:v>North</x:v>
      </x:c>
      <x:c r="F1374" s="2" t="str">
        <x:v>Store</x:v>
      </x:c>
      <x:c r="G1374" s="9" t="n">
        <x:f>SUM(SalesLines!Q3360)</x:f>
        <x:v>0</x:v>
      </x:c>
      <x:c r="H1374" s="9" t="n">
        <x:f>SUM(SalesLines!M3360)</x:f>
        <x:v>0</x:v>
      </x:c>
      <x:c r="I1374" s="9" t="n">
        <x:f>SUM(SalesLines!N3360)</x:f>
        <x:v>0</x:v>
      </x:c>
      <x:c r="J1374" s="9" t="n">
        <x:f>SUM(SalesLines!P3360)</x:f>
        <x:v>0</x:v>
      </x:c>
      <x:c r="K1374" s="11" t="n">
        <x:f>SUM(SalesLines!R3360)</x:f>
        <x:v>0</x:v>
      </x:c>
      <x:c r="L1374" s="11" t="n">
        <x:f>SUM(SalesLines!S3360)</x:f>
        <x:v>0</x:v>
      </x:c>
      <x:c r="M1374" s="8" t="n">
        <x:f>DATE(YEAR(C1374),MONTH(C1374),1)</x:f>
        <x:v>45717</x:v>
      </x:c>
    </x:row>
    <x:row r="1375" ht="22" customHeight="1">
      <x:c r="A1375" s="2" t="str">
        <x:v>O01371</x:v>
      </x:c>
      <x:c r="B1375" s="2" t="str">
        <x:v>C0095</x:v>
      </x:c>
      <x:c r="C1375" s="7" t="n">
        <x:v>45693</x:v>
      </x:c>
      <x:c r="D1375" s="2" t="str">
        <x:v>Completed</x:v>
      </x:c>
      <x:c r="E1375" s="2" t="str">
        <x:v>East</x:v>
      </x:c>
      <x:c r="F1375" s="2" t="str">
        <x:v>Store</x:v>
      </x:c>
      <x:c r="G1375" s="9" t="n">
        <x:f>SUM(SalesLines!Q3361,SalesLines!Q3362,SalesLines!Q3363)</x:f>
        <x:v>1004.8</x:v>
      </x:c>
      <x:c r="H1375" s="9" t="n">
        <x:f>SUM(SalesLines!M3361,SalesLines!M3362,SalesLines!M3363)</x:f>
        <x:v>1856</x:v>
      </x:c>
      <x:c r="I1375" s="9" t="n">
        <x:f>SUM(SalesLines!N3361,SalesLines!N3362,SalesLines!N3363)</x:f>
        <x:v>281.20000000000005</x:v>
      </x:c>
      <x:c r="J1375" s="9" t="n">
        <x:f>SUM(SalesLines!P3361,SalesLines!P3362,SalesLines!P3363)</x:f>
        <x:v>570</x:v>
      </x:c>
      <x:c r="K1375" s="11" t="n">
        <x:f>SUM(SalesLines!R3361,SalesLines!R3362,SalesLines!R3363)</x:f>
        <x:v>10</x:v>
      </x:c>
      <x:c r="L1375" s="11" t="n">
        <x:f>SUM(SalesLines!S3361,SalesLines!S3362,SalesLines!S3363)</x:f>
        <x:v>2</x:v>
      </x:c>
      <x:c r="M1375" s="8" t="n">
        <x:f>DATE(YEAR(C1375),MONTH(C1375),1)</x:f>
        <x:v>45689</x:v>
      </x:c>
    </x:row>
    <x:row r="1376" ht="22" customHeight="1">
      <x:c r="A1376" s="2" t="str">
        <x:v>O01372</x:v>
      </x:c>
      <x:c r="B1376" s="2" t="str">
        <x:v>C0142</x:v>
      </x:c>
      <x:c r="C1376" s="7" t="n">
        <x:v>45736</x:v>
      </x:c>
      <x:c r="D1376" s="2" t="str">
        <x:v>Cancelled</x:v>
      </x:c>
      <x:c r="E1376" s="2" t="str">
        <x:v>West</x:v>
      </x:c>
      <x:c r="F1376" s="2" t="str">
        <x:v>Online</x:v>
      </x:c>
      <x:c r="G1376" s="9" t="n">
        <x:f>SUM(SalesLines!Q3364,SalesLines!Q3365,SalesLines!Q3366)</x:f>
        <x:v>0</x:v>
      </x:c>
      <x:c r="H1376" s="9" t="n">
        <x:f>SUM(SalesLines!M3364,SalesLines!M3365,SalesLines!M3366)</x:f>
        <x:v>0</x:v>
      </x:c>
      <x:c r="I1376" s="9" t="n">
        <x:f>SUM(SalesLines!N3364,SalesLines!N3365,SalesLines!N3366)</x:f>
        <x:v>0</x:v>
      </x:c>
      <x:c r="J1376" s="9" t="n">
        <x:f>SUM(SalesLines!P3364,SalesLines!P3365,SalesLines!P3366)</x:f>
        <x:v>0</x:v>
      </x:c>
      <x:c r="K1376" s="11" t="n">
        <x:f>SUM(SalesLines!R3364,SalesLines!R3365,SalesLines!R3366)</x:f>
        <x:v>0</x:v>
      </x:c>
      <x:c r="L1376" s="11" t="n">
        <x:f>SUM(SalesLines!S3364,SalesLines!S3365,SalesLines!S3366)</x:f>
        <x:v>0</x:v>
      </x:c>
      <x:c r="M1376" s="8" t="n">
        <x:f>DATE(YEAR(C1376),MONTH(C1376),1)</x:f>
        <x:v>45717</x:v>
      </x:c>
    </x:row>
    <x:row r="1377" ht="22" customHeight="1">
      <x:c r="A1377" s="2" t="str">
        <x:v>O01373</x:v>
      </x:c>
      <x:c r="B1377" s="2" t="str">
        <x:v>C0047</x:v>
      </x:c>
      <x:c r="C1377" s="7" t="n">
        <x:v>45830</x:v>
      </x:c>
      <x:c r="D1377" s="2" t="str">
        <x:v>Completed</x:v>
      </x:c>
      <x:c r="E1377" s="2" t="str">
        <x:v>West</x:v>
      </x:c>
      <x:c r="F1377" s="2" t="str">
        <x:v>Online</x:v>
      </x:c>
      <x:c r="G1377" s="9" t="n">
        <x:f>SUM(SalesLines!Q3367,SalesLines!Q3368,SalesLines!Q3369)</x:f>
        <x:v>1182.7</x:v>
      </x:c>
      <x:c r="H1377" s="9" t="n">
        <x:f>SUM(SalesLines!M3367,SalesLines!M3368,SalesLines!M3369)</x:f>
        <x:v>1278</x:v>
      </x:c>
      <x:c r="I1377" s="9" t="n">
        <x:f>SUM(SalesLines!N3367,SalesLines!N3368,SalesLines!N3369)</x:f>
        <x:v>95.30000000000001</x:v>
      </x:c>
      <x:c r="J1377" s="9" t="n">
        <x:f>SUM(SalesLines!P3367,SalesLines!P3368,SalesLines!P3369)</x:f>
        <x:v>0</x:v>
      </x:c>
      <x:c r="K1377" s="11" t="n">
        <x:f>SUM(SalesLines!R3367,SalesLines!R3368,SalesLines!R3369)</x:f>
        <x:v>12</x:v>
      </x:c>
      <x:c r="L1377" s="11" t="n">
        <x:f>SUM(SalesLines!S3367,SalesLines!S3368,SalesLines!S3369)</x:f>
        <x:v>0</x:v>
      </x:c>
      <x:c r="M1377" s="8" t="n">
        <x:f>DATE(YEAR(C1377),MONTH(C1377),1)</x:f>
        <x:v>45809</x:v>
      </x:c>
    </x:row>
    <x:row r="1378" ht="22" customHeight="1">
      <x:c r="A1378" s="2" t="str">
        <x:v>O01374</x:v>
      </x:c>
      <x:c r="B1378" s="2" t="str">
        <x:v>C0147</x:v>
      </x:c>
      <x:c r="C1378" s="7" t="n">
        <x:v>45921</x:v>
      </x:c>
      <x:c r="D1378" s="2" t="str">
        <x:v>Completed</x:v>
      </x:c>
      <x:c r="E1378" s="2" t="str">
        <x:v>East</x:v>
      </x:c>
      <x:c r="F1378" s="2" t="str">
        <x:v>Store</x:v>
      </x:c>
      <x:c r="G1378" s="9" t="n">
        <x:f>SUM(SalesLines!Q3370,SalesLines!Q3371,SalesLines!Q3372)</x:f>
        <x:v>768.65</x:v>
      </x:c>
      <x:c r="H1378" s="9" t="n">
        <x:f>SUM(SalesLines!M3370,SalesLines!M3371,SalesLines!M3372)</x:f>
        <x:v>1543</x:v>
      </x:c>
      <x:c r="I1378" s="9" t="n">
        <x:f>SUM(SalesLines!N3370,SalesLines!N3371,SalesLines!N3372)</x:f>
        <x:v>27.35</x:v>
      </x:c>
      <x:c r="J1378" s="9" t="n">
        <x:f>SUM(SalesLines!P3370,SalesLines!P3371,SalesLines!P3372)</x:f>
        <x:v>747</x:v>
      </x:c>
      <x:c r="K1378" s="11" t="n">
        <x:f>SUM(SalesLines!R3370,SalesLines!R3371,SalesLines!R3372)</x:f>
        <x:v>9</x:v>
      </x:c>
      <x:c r="L1378" s="11" t="n">
        <x:f>SUM(SalesLines!S3370,SalesLines!S3371,SalesLines!S3372)</x:f>
        <x:v>3</x:v>
      </x:c>
      <x:c r="M1378" s="8" t="n">
        <x:f>DATE(YEAR(C1378),MONTH(C1378),1)</x:f>
        <x:v>45901</x:v>
      </x:c>
    </x:row>
    <x:row r="1379" ht="22" customHeight="1">
      <x:c r="A1379" s="2" t="str">
        <x:v>O01375</x:v>
      </x:c>
      <x:c r="B1379" s="2" t="str">
        <x:v>C0005</x:v>
      </x:c>
      <x:c r="C1379" s="7" t="n">
        <x:v>45774</x:v>
      </x:c>
      <x:c r="D1379" s="2" t="str">
        <x:v>Completed</x:v>
      </x:c>
      <x:c r="E1379" s="2" t="str">
        <x:v>South</x:v>
      </x:c>
      <x:c r="F1379" s="2" t="str">
        <x:v>Online</x:v>
      </x:c>
      <x:c r="G1379" s="9" t="n">
        <x:f>SUM(SalesLines!Q3373,SalesLines!Q3374,SalesLines!Q3375)</x:f>
        <x:v>900.8</x:v>
      </x:c>
      <x:c r="H1379" s="9" t="n">
        <x:f>SUM(SalesLines!M3373,SalesLines!M3374,SalesLines!M3375)</x:f>
        <x:v>941</x:v>
      </x:c>
      <x:c r="I1379" s="9" t="n">
        <x:f>SUM(SalesLines!N3373,SalesLines!N3374,SalesLines!N3375)</x:f>
        <x:v>40.2</x:v>
      </x:c>
      <x:c r="J1379" s="9" t="n">
        <x:f>SUM(SalesLines!P3373,SalesLines!P3374,SalesLines!P3375)</x:f>
        <x:v>0</x:v>
      </x:c>
      <x:c r="K1379" s="11" t="n">
        <x:f>SUM(SalesLines!R3373,SalesLines!R3374,SalesLines!R3375)</x:f>
        <x:v>9</x:v>
      </x:c>
      <x:c r="L1379" s="11" t="n">
        <x:f>SUM(SalesLines!S3373,SalesLines!S3374,SalesLines!S3375)</x:f>
        <x:v>0</x:v>
      </x:c>
      <x:c r="M1379" s="8" t="n">
        <x:f>DATE(YEAR(C1379),MONTH(C1379),1)</x:f>
        <x:v>45748</x:v>
      </x:c>
    </x:row>
    <x:row r="1380" ht="22" customHeight="1">
      <x:c r="A1380" s="2" t="str">
        <x:v>O01376</x:v>
      </x:c>
      <x:c r="B1380" s="2" t="str">
        <x:v>C0054</x:v>
      </x:c>
      <x:c r="C1380" s="7" t="n">
        <x:v>45793</x:v>
      </x:c>
      <x:c r="D1380" s="2" t="str">
        <x:v>Completed</x:v>
      </x:c>
      <x:c r="E1380" s="2" t="str">
        <x:v>East</x:v>
      </x:c>
      <x:c r="F1380" s="2" t="str">
        <x:v>Online</x:v>
      </x:c>
      <x:c r="G1380" s="9" t="n">
        <x:f>SUM(SalesLines!Q3376,SalesLines!Q3377,SalesLines!Q3378)</x:f>
        <x:v>1312.3</x:v>
      </x:c>
      <x:c r="H1380" s="9" t="n">
        <x:f>SUM(SalesLines!M3376,SalesLines!M3377,SalesLines!M3378)</x:f>
        <x:v>1707</x:v>
      </x:c>
      <x:c r="I1380" s="9" t="n">
        <x:f>SUM(SalesLines!N3376,SalesLines!N3377,SalesLines!N3378)</x:f>
        <x:v>225.9</x:v>
      </x:c>
      <x:c r="J1380" s="9" t="n">
        <x:f>SUM(SalesLines!P3376,SalesLines!P3377,SalesLines!P3378)</x:f>
        <x:v>168.8</x:v>
      </x:c>
      <x:c r="K1380" s="11" t="n">
        <x:f>SUM(SalesLines!R3376,SalesLines!R3377,SalesLines!R3378)</x:f>
        <x:v>9</x:v>
      </x:c>
      <x:c r="L1380" s="11" t="n">
        <x:f>SUM(SalesLines!S3376,SalesLines!S3377,SalesLines!S3378)</x:f>
        <x:v>1</x:v>
      </x:c>
      <x:c r="M1380" s="8" t="n">
        <x:f>DATE(YEAR(C1380),MONTH(C1380),1)</x:f>
        <x:v>45778</x:v>
      </x:c>
    </x:row>
    <x:row r="1381" ht="22" customHeight="1">
      <x:c r="A1381" s="2" t="str">
        <x:v>O01377</x:v>
      </x:c>
      <x:c r="B1381" s="2" t="str">
        <x:v>C0261</x:v>
      </x:c>
      <x:c r="C1381" s="7" t="n">
        <x:v>45946</x:v>
      </x:c>
      <x:c r="D1381" s="2" t="str">
        <x:v>Cancelled</x:v>
      </x:c>
      <x:c r="E1381" s="2" t="str">
        <x:v>West</x:v>
      </x:c>
      <x:c r="F1381" s="2" t="str">
        <x:v>Store</x:v>
      </x:c>
      <x:c r="G1381" s="9" t="n">
        <x:f>SUM(SalesLines!Q3379,SalesLines!Q3380,SalesLines!Q3381)</x:f>
        <x:v>0</x:v>
      </x:c>
      <x:c r="H1381" s="9" t="n">
        <x:f>SUM(SalesLines!M3379,SalesLines!M3380,SalesLines!M3381)</x:f>
        <x:v>0</x:v>
      </x:c>
      <x:c r="I1381" s="9" t="n">
        <x:f>SUM(SalesLines!N3379,SalesLines!N3380,SalesLines!N3381)</x:f>
        <x:v>0</x:v>
      </x:c>
      <x:c r="J1381" s="9" t="n">
        <x:f>SUM(SalesLines!P3379,SalesLines!P3380,SalesLines!P3381)</x:f>
        <x:v>0</x:v>
      </x:c>
      <x:c r="K1381" s="11" t="n">
        <x:f>SUM(SalesLines!R3379,SalesLines!R3380,SalesLines!R3381)</x:f>
        <x:v>0</x:v>
      </x:c>
      <x:c r="L1381" s="11" t="n">
        <x:f>SUM(SalesLines!S3379,SalesLines!S3380,SalesLines!S3381)</x:f>
        <x:v>0</x:v>
      </x:c>
      <x:c r="M1381" s="8" t="n">
        <x:f>DATE(YEAR(C1381),MONTH(C1381),1)</x:f>
        <x:v>45931</x:v>
      </x:c>
    </x:row>
    <x:row r="1382" ht="22" customHeight="1">
      <x:c r="A1382" s="2" t="str">
        <x:v>O01378</x:v>
      </x:c>
      <x:c r="B1382" s="2" t="str">
        <x:v>C0198</x:v>
      </x:c>
      <x:c r="C1382" s="7" t="n">
        <x:v>45842</x:v>
      </x:c>
      <x:c r="D1382" s="2" t="str">
        <x:v>Completed</x:v>
      </x:c>
      <x:c r="E1382" s="2" t="str">
        <x:v>West</x:v>
      </x:c>
      <x:c r="F1382" s="2" t="str">
        <x:v>Online</x:v>
      </x:c>
      <x:c r="G1382" s="9" t="n">
        <x:f>SUM(SalesLines!Q3382,SalesLines!Q3383,SalesLines!Q3384,SalesLines!Q3385)</x:f>
        <x:v>958.95</x:v>
      </x:c>
      <x:c r="H1382" s="9" t="n">
        <x:f>SUM(SalesLines!M3382,SalesLines!M3383,SalesLines!M3384,SalesLines!M3385)</x:f>
        <x:v>1053</x:v>
      </x:c>
      <x:c r="I1382" s="9" t="n">
        <x:f>SUM(SalesLines!N3382,SalesLines!N3383,SalesLines!N3384,SalesLines!N3385)</x:f>
        <x:v>94.05000000000001</x:v>
      </x:c>
      <x:c r="J1382" s="9" t="n">
        <x:f>SUM(SalesLines!P3382,SalesLines!P3383,SalesLines!P3384,SalesLines!P3385)</x:f>
        <x:v>0</x:v>
      </x:c>
      <x:c r="K1382" s="11" t="n">
        <x:f>SUM(SalesLines!R3382,SalesLines!R3383,SalesLines!R3384,SalesLines!R3385)</x:f>
        <x:v>5</x:v>
      </x:c>
      <x:c r="L1382" s="11" t="n">
        <x:f>SUM(SalesLines!S3382,SalesLines!S3383,SalesLines!S3384,SalesLines!S3385)</x:f>
        <x:v>0</x:v>
      </x:c>
      <x:c r="M1382" s="8" t="n">
        <x:f>DATE(YEAR(C1382),MONTH(C1382),1)</x:f>
        <x:v>45839</x:v>
      </x:c>
    </x:row>
    <x:row r="1383" ht="22" customHeight="1">
      <x:c r="A1383" s="2" t="str">
        <x:v>O01379</x:v>
      </x:c>
      <x:c r="B1383" s="2" t="str">
        <x:v>C0045</x:v>
      </x:c>
      <x:c r="C1383" s="7" t="n">
        <x:v>45751</x:v>
      </x:c>
      <x:c r="D1383" s="2" t="str">
        <x:v>Completed</x:v>
      </x:c>
      <x:c r="E1383" s="2" t="str">
        <x:v>North</x:v>
      </x:c>
      <x:c r="F1383" s="2" t="str">
        <x:v>Store</x:v>
      </x:c>
      <x:c r="G1383" s="9" t="n">
        <x:f>SUM(SalesLines!Q3386,SalesLines!Q3387,SalesLines!Q3388,SalesLines!Q3389)</x:f>
        <x:v>889</x:v>
      </x:c>
      <x:c r="H1383" s="9" t="n">
        <x:f>SUM(SalesLines!M3386,SalesLines!M3387,SalesLines!M3388,SalesLines!M3389)</x:f>
        <x:v>1019</x:v>
      </x:c>
      <x:c r="I1383" s="9" t="n">
        <x:f>SUM(SalesLines!N3386,SalesLines!N3387,SalesLines!N3388,SalesLines!N3389)</x:f>
        <x:v>130</x:v>
      </x:c>
      <x:c r="J1383" s="9" t="n">
        <x:f>SUM(SalesLines!P3386,SalesLines!P3387,SalesLines!P3388,SalesLines!P3389)</x:f>
        <x:v>0</x:v>
      </x:c>
      <x:c r="K1383" s="11" t="n">
        <x:f>SUM(SalesLines!R3386,SalesLines!R3387,SalesLines!R3388,SalesLines!R3389)</x:f>
        <x:v>9</x:v>
      </x:c>
      <x:c r="L1383" s="11" t="n">
        <x:f>SUM(SalesLines!S3386,SalesLines!S3387,SalesLines!S3388,SalesLines!S3389)</x:f>
        <x:v>0</x:v>
      </x:c>
      <x:c r="M1383" s="8" t="n">
        <x:f>DATE(YEAR(C1383),MONTH(C1383),1)</x:f>
        <x:v>45748</x:v>
      </x:c>
    </x:row>
    <x:row r="1384" ht="22" customHeight="1">
      <x:c r="A1384" s="2" t="str">
        <x:v>O01380</x:v>
      </x:c>
      <x:c r="B1384" s="2" t="str">
        <x:v>C0270</x:v>
      </x:c>
      <x:c r="C1384" s="7" t="n">
        <x:v>45668</x:v>
      </x:c>
      <x:c r="D1384" s="2" t="str">
        <x:v>Completed</x:v>
      </x:c>
      <x:c r="E1384" s="2" t="str">
        <x:v>East</x:v>
      </x:c>
      <x:c r="F1384" s="2" t="str">
        <x:v>Online</x:v>
      </x:c>
      <x:c r="G1384" s="9" t="n">
        <x:f>SUM(SalesLines!Q3390,SalesLines!Q3391)</x:f>
        <x:v>495.6</x:v>
      </x:c>
      <x:c r="H1384" s="9" t="n">
        <x:f>SUM(SalesLines!M3390,SalesLines!M3391)</x:f>
        <x:v>525</x:v>
      </x:c>
      <x:c r="I1384" s="9" t="n">
        <x:f>SUM(SalesLines!N3390,SalesLines!N3391)</x:f>
        <x:v>29.400000000000002</x:v>
      </x:c>
      <x:c r="J1384" s="9" t="n">
        <x:f>SUM(SalesLines!P3390,SalesLines!P3391)</x:f>
        <x:v>0</x:v>
      </x:c>
      <x:c r="K1384" s="11" t="n">
        <x:f>SUM(SalesLines!R3390,SalesLines!R3391)</x:f>
        <x:v>2</x:v>
      </x:c>
      <x:c r="L1384" s="11" t="n">
        <x:f>SUM(SalesLines!S3390,SalesLines!S3391)</x:f>
        <x:v>0</x:v>
      </x:c>
      <x:c r="M1384" s="8" t="n">
        <x:f>DATE(YEAR(C1384),MONTH(C1384),1)</x:f>
        <x:v>45658</x:v>
      </x:c>
    </x:row>
    <x:row r="1385" ht="22" customHeight="1">
      <x:c r="A1385" s="2" t="str">
        <x:v>O01381</x:v>
      </x:c>
      <x:c r="B1385" s="2" t="str">
        <x:v>C0001</x:v>
      </x:c>
      <x:c r="C1385" s="7" t="n">
        <x:v>45816</x:v>
      </x:c>
      <x:c r="D1385" s="2" t="str">
        <x:v>Completed</x:v>
      </x:c>
      <x:c r="E1385" s="2" t="str">
        <x:v>East</x:v>
      </x:c>
      <x:c r="F1385" s="2" t="str">
        <x:v>Store</x:v>
      </x:c>
      <x:c r="G1385" s="9" t="n">
        <x:f>SUM(SalesLines!Q3392)</x:f>
        <x:v>94.5</x:v>
      </x:c>
      <x:c r="H1385" s="9" t="n">
        <x:f>SUM(SalesLines!M3392)</x:f>
        <x:v>105</x:v>
      </x:c>
      <x:c r="I1385" s="9" t="n">
        <x:f>SUM(SalesLines!N3392)</x:f>
        <x:v>10.5</x:v>
      </x:c>
      <x:c r="J1385" s="9" t="n">
        <x:f>SUM(SalesLines!P3392)</x:f>
        <x:v>0</x:v>
      </x:c>
      <x:c r="K1385" s="11" t="n">
        <x:f>SUM(SalesLines!R3392)</x:f>
        <x:v>3</x:v>
      </x:c>
      <x:c r="L1385" s="11" t="n">
        <x:f>SUM(SalesLines!S3392)</x:f>
        <x:v>0</x:v>
      </x:c>
      <x:c r="M1385" s="8" t="n">
        <x:f>DATE(YEAR(C1385),MONTH(C1385),1)</x:f>
        <x:v>45809</x:v>
      </x:c>
    </x:row>
    <x:row r="1386" ht="22" customHeight="1">
      <x:c r="A1386" s="2" t="str">
        <x:v>O01382</x:v>
      </x:c>
      <x:c r="B1386" s="2" t="str">
        <x:v>C0075</x:v>
      </x:c>
      <x:c r="C1386" s="7" t="n">
        <x:v>45772</x:v>
      </x:c>
      <x:c r="D1386" s="2" t="str">
        <x:v>Completed</x:v>
      </x:c>
      <x:c r="E1386" s="2" t="str">
        <x:v>South</x:v>
      </x:c>
      <x:c r="F1386" s="2" t="str">
        <x:v>Store</x:v>
      </x:c>
      <x:c r="G1386" s="9" t="n">
        <x:f>SUM(SalesLines!Q3393,SalesLines!Q3394,SalesLines!Q3395,SalesLines!Q3396)</x:f>
        <x:v>1839.8</x:v>
      </x:c>
      <x:c r="H1386" s="9" t="n">
        <x:f>SUM(SalesLines!M3393,SalesLines!M3394,SalesLines!M3395,SalesLines!M3396)</x:f>
        <x:v>1912</x:v>
      </x:c>
      <x:c r="I1386" s="9" t="n">
        <x:f>SUM(SalesLines!N3393,SalesLines!N3394,SalesLines!N3395,SalesLines!N3396)</x:f>
        <x:v>72.2</x:v>
      </x:c>
      <x:c r="J1386" s="9" t="n">
        <x:f>SUM(SalesLines!P3393,SalesLines!P3394,SalesLines!P3395,SalesLines!P3396)</x:f>
        <x:v>0</x:v>
      </x:c>
      <x:c r="K1386" s="11" t="n">
        <x:f>SUM(SalesLines!R3393,SalesLines!R3394,SalesLines!R3395,SalesLines!R3396)</x:f>
        <x:v>14</x:v>
      </x:c>
      <x:c r="L1386" s="11" t="n">
        <x:f>SUM(SalesLines!S3393,SalesLines!S3394,SalesLines!S3395,SalesLines!S3396)</x:f>
        <x:v>0</x:v>
      </x:c>
      <x:c r="M1386" s="8" t="n">
        <x:f>DATE(YEAR(C1386),MONTH(C1386),1)</x:f>
        <x:v>45748</x:v>
      </x:c>
    </x:row>
    <x:row r="1387" ht="22" customHeight="1">
      <x:c r="A1387" s="2" t="str">
        <x:v>O01383</x:v>
      </x:c>
      <x:c r="B1387" s="2" t="str">
        <x:v>C0146</x:v>
      </x:c>
      <x:c r="C1387" s="7" t="n">
        <x:v>45859</x:v>
      </x:c>
      <x:c r="D1387" s="2" t="str">
        <x:v>Completed</x:v>
      </x:c>
      <x:c r="E1387" s="2" t="str">
        <x:v>South</x:v>
      </x:c>
      <x:c r="F1387" s="2" t="str">
        <x:v>Store</x:v>
      </x:c>
      <x:c r="G1387" s="9" t="n">
        <x:f>SUM(SalesLines!Q3397,SalesLines!Q3398,SalesLines!Q3399)</x:f>
        <x:v>870.5999999999999</x:v>
      </x:c>
      <x:c r="H1387" s="9" t="n">
        <x:f>SUM(SalesLines!M3397,SalesLines!M3398,SalesLines!M3399)</x:f>
        <x:v>1086</x:v>
      </x:c>
      <x:c r="I1387" s="9" t="n">
        <x:f>SUM(SalesLines!N3397,SalesLines!N3398,SalesLines!N3399)</x:f>
        <x:v>122.4</x:v>
      </x:c>
      <x:c r="J1387" s="9" t="n">
        <x:f>SUM(SalesLines!P3397,SalesLines!P3398,SalesLines!P3399)</x:f>
        <x:v>93</x:v>
      </x:c>
      <x:c r="K1387" s="11" t="n">
        <x:f>SUM(SalesLines!R3397,SalesLines!R3398,SalesLines!R3399)</x:f>
        <x:v>5</x:v>
      </x:c>
      <x:c r="L1387" s="11" t="n">
        <x:f>SUM(SalesLines!S3397,SalesLines!S3398,SalesLines!S3399)</x:f>
        <x:v>1</x:v>
      </x:c>
      <x:c r="M1387" s="8" t="n">
        <x:f>DATE(YEAR(C1387),MONTH(C1387),1)</x:f>
        <x:v>45839</x:v>
      </x:c>
    </x:row>
    <x:row r="1388" ht="22" customHeight="1">
      <x:c r="A1388" s="2" t="str">
        <x:v>O01384</x:v>
      </x:c>
      <x:c r="B1388" s="2" t="str">
        <x:v>C0085</x:v>
      </x:c>
      <x:c r="C1388" s="7" t="n">
        <x:v>45709</x:v>
      </x:c>
      <x:c r="D1388" s="2" t="str">
        <x:v>Completed</x:v>
      </x:c>
      <x:c r="E1388" s="2" t="str">
        <x:v>South</x:v>
      </x:c>
      <x:c r="F1388" s="2" t="str">
        <x:v>Online</x:v>
      </x:c>
      <x:c r="G1388" s="9" t="n">
        <x:f>SUM(SalesLines!Q3400,SalesLines!Q3401,SalesLines!Q3402,SalesLines!Q3403)</x:f>
        <x:v>1925.6</x:v>
      </x:c>
      <x:c r="H1388" s="9" t="n">
        <x:f>SUM(SalesLines!M3400,SalesLines!M3401,SalesLines!M3402,SalesLines!M3403)</x:f>
        <x:v>2206</x:v>
      </x:c>
      <x:c r="I1388" s="9" t="n">
        <x:f>SUM(SalesLines!N3400,SalesLines!N3401,SalesLines!N3402,SalesLines!N3403)</x:f>
        <x:v>280.40000000000003</x:v>
      </x:c>
      <x:c r="J1388" s="9" t="n">
        <x:f>SUM(SalesLines!P3400,SalesLines!P3401,SalesLines!P3402,SalesLines!P3403)</x:f>
        <x:v>0</x:v>
      </x:c>
      <x:c r="K1388" s="11" t="n">
        <x:f>SUM(SalesLines!R3400,SalesLines!R3401,SalesLines!R3402,SalesLines!R3403)</x:f>
        <x:v>14</x:v>
      </x:c>
      <x:c r="L1388" s="11" t="n">
        <x:f>SUM(SalesLines!S3400,SalesLines!S3401,SalesLines!S3402,SalesLines!S3403)</x:f>
        <x:v>0</x:v>
      </x:c>
      <x:c r="M1388" s="8" t="n">
        <x:f>DATE(YEAR(C1388),MONTH(C1388),1)</x:f>
        <x:v>45689</x:v>
      </x:c>
    </x:row>
    <x:row r="1389" ht="22" customHeight="1">
      <x:c r="A1389" s="2" t="str">
        <x:v>O01385</x:v>
      </x:c>
      <x:c r="B1389" s="2" t="str">
        <x:v>C0033</x:v>
      </x:c>
      <x:c r="C1389" s="7" t="n">
        <x:v>45759</x:v>
      </x:c>
      <x:c r="D1389" s="2" t="str">
        <x:v>Completed</x:v>
      </x:c>
      <x:c r="E1389" s="2" t="str">
        <x:v>South</x:v>
      </x:c>
      <x:c r="F1389" s="2" t="str">
        <x:v>Store</x:v>
      </x:c>
      <x:c r="G1389" s="9" t="n">
        <x:f>SUM(SalesLines!Q3404,SalesLines!Q3405,SalesLines!Q3406)</x:f>
        <x:v>492.2</x:v>
      </x:c>
      <x:c r="H1389" s="9" t="n">
        <x:f>SUM(SalesLines!M3404,SalesLines!M3405,SalesLines!M3406)</x:f>
        <x:v>540</x:v>
      </x:c>
      <x:c r="I1389" s="9" t="n">
        <x:f>SUM(SalesLines!N3404,SalesLines!N3405,SalesLines!N3406)</x:f>
        <x:v>14.55</x:v>
      </x:c>
      <x:c r="J1389" s="9" t="n">
        <x:f>SUM(SalesLines!P3404,SalesLines!P3405,SalesLines!P3406)</x:f>
        <x:v>33.25</x:v>
      </x:c>
      <x:c r="K1389" s="11" t="n">
        <x:f>SUM(SalesLines!R3404,SalesLines!R3405,SalesLines!R3406)</x:f>
        <x:v>6</x:v>
      </x:c>
      <x:c r="L1389" s="11" t="n">
        <x:f>SUM(SalesLines!S3404,SalesLines!S3405,SalesLines!S3406)</x:f>
        <x:v>1</x:v>
      </x:c>
      <x:c r="M1389" s="8" t="n">
        <x:f>DATE(YEAR(C1389),MONTH(C1389),1)</x:f>
        <x:v>45748</x:v>
      </x:c>
    </x:row>
    <x:row r="1390" ht="22" customHeight="1">
      <x:c r="A1390" s="2" t="str">
        <x:v>O01386</x:v>
      </x:c>
      <x:c r="B1390" s="2" t="str">
        <x:v>C0247</x:v>
      </x:c>
      <x:c r="C1390" s="7" t="n">
        <x:v>45971</x:v>
      </x:c>
      <x:c r="D1390" s="2" t="str">
        <x:v>Completed</x:v>
      </x:c>
      <x:c r="E1390" s="2" t="str">
        <x:v>North</x:v>
      </x:c>
      <x:c r="F1390" s="2" t="str">
        <x:v>Store</x:v>
      </x:c>
      <x:c r="G1390" s="9" t="n">
        <x:f>SUM(SalesLines!Q3407,SalesLines!Q3408,SalesLines!Q3409,SalesLines!Q3410)</x:f>
        <x:v>1303.75</x:v>
      </x:c>
      <x:c r="H1390" s="9" t="n">
        <x:f>SUM(SalesLines!M3407,SalesLines!M3408,SalesLines!M3409,SalesLines!M3410)</x:f>
        <x:v>1529</x:v>
      </x:c>
      <x:c r="I1390" s="9" t="n">
        <x:f>SUM(SalesLines!N3407,SalesLines!N3408,SalesLines!N3409,SalesLines!N3410)</x:f>
        <x:v>148.3</x:v>
      </x:c>
      <x:c r="J1390" s="9" t="n">
        <x:f>SUM(SalesLines!P3407,SalesLines!P3408,SalesLines!P3409,SalesLines!P3410)</x:f>
        <x:v>76.95</x:v>
      </x:c>
      <x:c r="K1390" s="11" t="n">
        <x:f>SUM(SalesLines!R3407,SalesLines!R3408,SalesLines!R3409,SalesLines!R3410)</x:f>
        <x:v>11</x:v>
      </x:c>
      <x:c r="L1390" s="11" t="n">
        <x:f>SUM(SalesLines!S3407,SalesLines!S3408,SalesLines!S3409,SalesLines!S3410)</x:f>
        <x:v>1</x:v>
      </x:c>
      <x:c r="M1390" s="8" t="n">
        <x:f>DATE(YEAR(C1390),MONTH(C1390),1)</x:f>
        <x:v>45962</x:v>
      </x:c>
    </x:row>
    <x:row r="1391" ht="22" customHeight="1">
      <x:c r="A1391" s="2" t="str">
        <x:v>O01387</x:v>
      </x:c>
      <x:c r="B1391" s="2" t="str">
        <x:v>C0266</x:v>
      </x:c>
      <x:c r="C1391" s="7" t="n">
        <x:v>45834</x:v>
      </x:c>
      <x:c r="D1391" s="2" t="str">
        <x:v>Completed</x:v>
      </x:c>
      <x:c r="E1391" s="2" t="str">
        <x:v>North</x:v>
      </x:c>
      <x:c r="F1391" s="2" t="str">
        <x:v>Online</x:v>
      </x:c>
      <x:c r="G1391" s="9" t="n">
        <x:f>SUM(SalesLines!Q3411,SalesLines!Q3412,SalesLines!Q3413,SalesLines!Q3414)</x:f>
        <x:v>692.8500000000001</x:v>
      </x:c>
      <x:c r="H1391" s="9" t="n">
        <x:f>SUM(SalesLines!M3411,SalesLines!M3412,SalesLines!M3413,SalesLines!M3414)</x:f>
        <x:v>744</x:v>
      </x:c>
      <x:c r="I1391" s="9" t="n">
        <x:f>SUM(SalesLines!N3411,SalesLines!N3412,SalesLines!N3413,SalesLines!N3414)</x:f>
        <x:v>51.150000000000006</x:v>
      </x:c>
      <x:c r="J1391" s="9" t="n">
        <x:f>SUM(SalesLines!P3411,SalesLines!P3412,SalesLines!P3413,SalesLines!P3414)</x:f>
        <x:v>0</x:v>
      </x:c>
      <x:c r="K1391" s="11" t="n">
        <x:f>SUM(SalesLines!R3411,SalesLines!R3412,SalesLines!R3413,SalesLines!R3414)</x:f>
        <x:v>6</x:v>
      </x:c>
      <x:c r="L1391" s="11" t="n">
        <x:f>SUM(SalesLines!S3411,SalesLines!S3412,SalesLines!S3413,SalesLines!S3414)</x:f>
        <x:v>0</x:v>
      </x:c>
      <x:c r="M1391" s="8" t="n">
        <x:f>DATE(YEAR(C1391),MONTH(C1391),1)</x:f>
        <x:v>45809</x:v>
      </x:c>
    </x:row>
    <x:row r="1392" ht="22" customHeight="1">
      <x:c r="A1392" s="2" t="str">
        <x:v>O01388</x:v>
      </x:c>
      <x:c r="B1392" s="2" t="str">
        <x:v>C0038</x:v>
      </x:c>
      <x:c r="C1392" s="7" t="n">
        <x:v>45688</x:v>
      </x:c>
      <x:c r="D1392" s="2" t="str">
        <x:v>Completed</x:v>
      </x:c>
      <x:c r="E1392" s="2" t="str">
        <x:v>South</x:v>
      </x:c>
      <x:c r="F1392" s="2" t="str">
        <x:v>Online</x:v>
      </x:c>
      <x:c r="G1392" s="9" t="n">
        <x:f>SUM(SalesLines!Q3415)</x:f>
        <x:v>975.6</x:v>
      </x:c>
      <x:c r="H1392" s="9" t="n">
        <x:f>SUM(SalesLines!M3415)</x:f>
        <x:v>1084</x:v>
      </x:c>
      <x:c r="I1392" s="9" t="n">
        <x:f>SUM(SalesLines!N3415)</x:f>
        <x:v>108.4</x:v>
      </x:c>
      <x:c r="J1392" s="9" t="n">
        <x:f>SUM(SalesLines!P3415)</x:f>
        <x:v>0</x:v>
      </x:c>
      <x:c r="K1392" s="11" t="n">
        <x:f>SUM(SalesLines!R3415)</x:f>
        <x:v>4</x:v>
      </x:c>
      <x:c r="L1392" s="11" t="n">
        <x:f>SUM(SalesLines!S3415)</x:f>
        <x:v>0</x:v>
      </x:c>
      <x:c r="M1392" s="8" t="n">
        <x:f>DATE(YEAR(C1392),MONTH(C1392),1)</x:f>
        <x:v>45658</x:v>
      </x:c>
    </x:row>
    <x:row r="1393" ht="22" customHeight="1">
      <x:c r="A1393" s="2" t="str">
        <x:v>O01389</x:v>
      </x:c>
      <x:c r="B1393" s="2" t="str">
        <x:v>C0018</x:v>
      </x:c>
      <x:c r="C1393" s="7" t="n">
        <x:v>45939</x:v>
      </x:c>
      <x:c r="D1393" s="2" t="str">
        <x:v>Completed</x:v>
      </x:c>
      <x:c r="E1393" s="2" t="str">
        <x:v>North</x:v>
      </x:c>
      <x:c r="F1393" s="2" t="str">
        <x:v>Online</x:v>
      </x:c>
      <x:c r="G1393" s="9" t="n">
        <x:f>SUM(SalesLines!Q3416)</x:f>
        <x:v>120.6</x:v>
      </x:c>
      <x:c r="H1393" s="9" t="n">
        <x:f>SUM(SalesLines!M3416)</x:f>
        <x:v>134</x:v>
      </x:c>
      <x:c r="I1393" s="9" t="n">
        <x:f>SUM(SalesLines!N3416)</x:f>
        <x:v>13.4</x:v>
      </x:c>
      <x:c r="J1393" s="9" t="n">
        <x:f>SUM(SalesLines!P3416)</x:f>
        <x:v>0</x:v>
      </x:c>
      <x:c r="K1393" s="11" t="n">
        <x:f>SUM(SalesLines!R3416)</x:f>
        <x:v>1</x:v>
      </x:c>
      <x:c r="L1393" s="11" t="n">
        <x:f>SUM(SalesLines!S3416)</x:f>
        <x:v>0</x:v>
      </x:c>
      <x:c r="M1393" s="8" t="n">
        <x:f>DATE(YEAR(C1393),MONTH(C1393),1)</x:f>
        <x:v>45931</x:v>
      </x:c>
    </x:row>
    <x:row r="1394" ht="22" customHeight="1">
      <x:c r="A1394" s="2" t="str">
        <x:v>O01390</x:v>
      </x:c>
      <x:c r="B1394" s="2" t="str">
        <x:v>C0279</x:v>
      </x:c>
      <x:c r="C1394" s="7" t="n">
        <x:v>45705</x:v>
      </x:c>
      <x:c r="D1394" s="2" t="str">
        <x:v>Completed</x:v>
      </x:c>
      <x:c r="E1394" s="2" t="str">
        <x:v>South</x:v>
      </x:c>
      <x:c r="F1394" s="2" t="str">
        <x:v>Store</x:v>
      </x:c>
      <x:c r="G1394" s="9" t="n">
        <x:f>SUM(SalesLines!Q3417)</x:f>
        <x:v>1176</x:v>
      </x:c>
      <x:c r="H1394" s="9" t="n">
        <x:f>SUM(SalesLines!M3417)</x:f>
        <x:v>1470</x:v>
      </x:c>
      <x:c r="I1394" s="9" t="n">
        <x:f>SUM(SalesLines!N3417)</x:f>
        <x:v>294</x:v>
      </x:c>
      <x:c r="J1394" s="9" t="n">
        <x:f>SUM(SalesLines!P3417)</x:f>
        <x:v>0</x:v>
      </x:c>
      <x:c r="K1394" s="11" t="n">
        <x:f>SUM(SalesLines!R3417)</x:f>
        <x:v>5</x:v>
      </x:c>
      <x:c r="L1394" s="11" t="n">
        <x:f>SUM(SalesLines!S3417)</x:f>
        <x:v>0</x:v>
      </x:c>
      <x:c r="M1394" s="8" t="n">
        <x:f>DATE(YEAR(C1394),MONTH(C1394),1)</x:f>
        <x:v>45689</x:v>
      </x:c>
    </x:row>
    <x:row r="1395" ht="22" customHeight="1">
      <x:c r="A1395" s="2" t="str">
        <x:v>O01391</x:v>
      </x:c>
      <x:c r="B1395" s="2" t="str">
        <x:v>C0029</x:v>
      </x:c>
      <x:c r="C1395" s="7" t="n">
        <x:v>45665</x:v>
      </x:c>
      <x:c r="D1395" s="2" t="str">
        <x:v>Completed</x:v>
      </x:c>
      <x:c r="E1395" s="2" t="str">
        <x:v>East</x:v>
      </x:c>
      <x:c r="F1395" s="2" t="str">
        <x:v>Store</x:v>
      </x:c>
      <x:c r="G1395" s="9" t="n">
        <x:f>SUM(SalesLines!Q3418)</x:f>
        <x:v>186.2</x:v>
      </x:c>
      <x:c r="H1395" s="9" t="n">
        <x:f>SUM(SalesLines!M3418)</x:f>
        <x:v>196</x:v>
      </x:c>
      <x:c r="I1395" s="9" t="n">
        <x:f>SUM(SalesLines!N3418)</x:f>
        <x:v>9.8</x:v>
      </x:c>
      <x:c r="J1395" s="9" t="n">
        <x:f>SUM(SalesLines!P3418)</x:f>
        <x:v>0</x:v>
      </x:c>
      <x:c r="K1395" s="11" t="n">
        <x:f>SUM(SalesLines!R3418)</x:f>
        <x:v>1</x:v>
      </x:c>
      <x:c r="L1395" s="11" t="n">
        <x:f>SUM(SalesLines!S3418)</x:f>
        <x:v>0</x:v>
      </x:c>
      <x:c r="M1395" s="8" t="n">
        <x:f>DATE(YEAR(C1395),MONTH(C1395),1)</x:f>
        <x:v>45658</x:v>
      </x:c>
    </x:row>
    <x:row r="1396" ht="22" customHeight="1">
      <x:c r="A1396" s="2" t="str">
        <x:v>O01392</x:v>
      </x:c>
      <x:c r="B1396" s="2" t="str">
        <x:v>C0169</x:v>
      </x:c>
      <x:c r="C1396" s="7" t="n">
        <x:v>45845</x:v>
      </x:c>
      <x:c r="D1396" s="2" t="str">
        <x:v>Completed</x:v>
      </x:c>
      <x:c r="E1396" s="2" t="str">
        <x:v>North</x:v>
      </x:c>
      <x:c r="F1396" s="2" t="str">
        <x:v>Store</x:v>
      </x:c>
      <x:c r="G1396" s="9" t="n">
        <x:f>SUM(SalesLines!Q3419,SalesLines!Q3420,SalesLines!Q3421)</x:f>
        <x:v>2070</x:v>
      </x:c>
      <x:c r="H1396" s="9" t="n">
        <x:f>SUM(SalesLines!M3419,SalesLines!M3420,SalesLines!M3421)</x:f>
        <x:v>2283</x:v>
      </x:c>
      <x:c r="I1396" s="9" t="n">
        <x:f>SUM(SalesLines!N3419,SalesLines!N3420,SalesLines!N3421)</x:f>
        <x:v>213</x:v>
      </x:c>
      <x:c r="J1396" s="9" t="n">
        <x:f>SUM(SalesLines!P3419,SalesLines!P3420,SalesLines!P3421)</x:f>
        <x:v>0</x:v>
      </x:c>
      <x:c r="K1396" s="11" t="n">
        <x:f>SUM(SalesLines!R3419,SalesLines!R3420,SalesLines!R3421)</x:f>
        <x:v>10</x:v>
      </x:c>
      <x:c r="L1396" s="11" t="n">
        <x:f>SUM(SalesLines!S3419,SalesLines!S3420,SalesLines!S3421)</x:f>
        <x:v>0</x:v>
      </x:c>
      <x:c r="M1396" s="8" t="n">
        <x:f>DATE(YEAR(C1396),MONTH(C1396),1)</x:f>
        <x:v>45839</x:v>
      </x:c>
    </x:row>
    <x:row r="1397" ht="22" customHeight="1">
      <x:c r="A1397" s="2" t="str">
        <x:v>O01393</x:v>
      </x:c>
      <x:c r="B1397" s="2" t="str">
        <x:v>C0183</x:v>
      </x:c>
      <x:c r="C1397" s="7" t="n">
        <x:v>45914</x:v>
      </x:c>
      <x:c r="D1397" s="2" t="str">
        <x:v>Completed</x:v>
      </x:c>
      <x:c r="E1397" s="2" t="str">
        <x:v>East</x:v>
      </x:c>
      <x:c r="F1397" s="2" t="str">
        <x:v>Online</x:v>
      </x:c>
      <x:c r="G1397" s="9" t="n">
        <x:f>SUM(SalesLines!Q3422,SalesLines!Q3423)</x:f>
        <x:v>694.4</x:v>
      </x:c>
      <x:c r="H1397" s="9" t="n">
        <x:f>SUM(SalesLines!M3422,SalesLines!M3423)</x:f>
        <x:v>808</x:v>
      </x:c>
      <x:c r="I1397" s="9" t="n">
        <x:f>SUM(SalesLines!N3422,SalesLines!N3423)</x:f>
        <x:v>113.60000000000001</x:v>
      </x:c>
      <x:c r="J1397" s="9" t="n">
        <x:f>SUM(SalesLines!P3422,SalesLines!P3423)</x:f>
        <x:v>0</x:v>
      </x:c>
      <x:c r="K1397" s="11" t="n">
        <x:f>SUM(SalesLines!R3422,SalesLines!R3423)</x:f>
        <x:v>5</x:v>
      </x:c>
      <x:c r="L1397" s="11" t="n">
        <x:f>SUM(SalesLines!S3422,SalesLines!S3423)</x:f>
        <x:v>0</x:v>
      </x:c>
      <x:c r="M1397" s="8" t="n">
        <x:f>DATE(YEAR(C1397),MONTH(C1397),1)</x:f>
        <x:v>45901</x:v>
      </x:c>
    </x:row>
    <x:row r="1398" ht="22" customHeight="1">
      <x:c r="A1398" s="2" t="str">
        <x:v>O01394</x:v>
      </x:c>
      <x:c r="B1398" s="2" t="str">
        <x:v>C0187</x:v>
      </x:c>
      <x:c r="C1398" s="7" t="n">
        <x:v>45761</x:v>
      </x:c>
      <x:c r="D1398" s="2" t="str">
        <x:v>Cancelled</x:v>
      </x:c>
      <x:c r="E1398" s="2" t="str">
        <x:v>North</x:v>
      </x:c>
      <x:c r="F1398" s="2" t="str">
        <x:v>Store</x:v>
      </x:c>
      <x:c r="G1398" s="9" t="n">
        <x:f>SUM(SalesLines!Q3424,SalesLines!Q3425,SalesLines!Q3426)</x:f>
        <x:v>0</x:v>
      </x:c>
      <x:c r="H1398" s="9" t="n">
        <x:f>SUM(SalesLines!M3424,SalesLines!M3425,SalesLines!M3426)</x:f>
        <x:v>0</x:v>
      </x:c>
      <x:c r="I1398" s="9" t="n">
        <x:f>SUM(SalesLines!N3424,SalesLines!N3425,SalesLines!N3426)</x:f>
        <x:v>0</x:v>
      </x:c>
      <x:c r="J1398" s="9" t="n">
        <x:f>SUM(SalesLines!P3424,SalesLines!P3425,SalesLines!P3426)</x:f>
        <x:v>0</x:v>
      </x:c>
      <x:c r="K1398" s="11" t="n">
        <x:f>SUM(SalesLines!R3424,SalesLines!R3425,SalesLines!R3426)</x:f>
        <x:v>0</x:v>
      </x:c>
      <x:c r="L1398" s="11" t="n">
        <x:f>SUM(SalesLines!S3424,SalesLines!S3425,SalesLines!S3426)</x:f>
        <x:v>0</x:v>
      </x:c>
      <x:c r="M1398" s="8" t="n">
        <x:f>DATE(YEAR(C1398),MONTH(C1398),1)</x:f>
        <x:v>45748</x:v>
      </x:c>
    </x:row>
    <x:row r="1399" ht="22" customHeight="1">
      <x:c r="A1399" s="2" t="str">
        <x:v>O01395</x:v>
      </x:c>
      <x:c r="B1399" s="2" t="str">
        <x:v>C0215</x:v>
      </x:c>
      <x:c r="C1399" s="7" t="n">
        <x:v>45690</x:v>
      </x:c>
      <x:c r="D1399" s="2" t="str">
        <x:v>Completed</x:v>
      </x:c>
      <x:c r="E1399" s="2" t="str">
        <x:v>North</x:v>
      </x:c>
      <x:c r="F1399" s="2" t="str">
        <x:v>Store</x:v>
      </x:c>
      <x:c r="G1399" s="9" t="n">
        <x:f>SUM(SalesLines!Q3427,SalesLines!Q3428,SalesLines!Q3429,SalesLines!Q3430)</x:f>
        <x:v>1983.5</x:v>
      </x:c>
      <x:c r="H1399" s="9" t="n">
        <x:f>SUM(SalesLines!M3427,SalesLines!M3428,SalesLines!M3429,SalesLines!M3430)</x:f>
        <x:v>2585</x:v>
      </x:c>
      <x:c r="I1399" s="9" t="n">
        <x:f>SUM(SalesLines!N3427,SalesLines!N3428,SalesLines!N3429,SalesLines!N3430)</x:f>
        <x:v>229.1</x:v>
      </x:c>
      <x:c r="J1399" s="9" t="n">
        <x:f>SUM(SalesLines!P3427,SalesLines!P3428,SalesLines!P3429,SalesLines!P3430)</x:f>
        <x:v>372.4</x:v>
      </x:c>
      <x:c r="K1399" s="11" t="n">
        <x:f>SUM(SalesLines!R3427,SalesLines!R3428,SalesLines!R3429,SalesLines!R3430)</x:f>
        <x:v>14</x:v>
      </x:c>
      <x:c r="L1399" s="11" t="n">
        <x:f>SUM(SalesLines!S3427,SalesLines!S3428,SalesLines!S3429,SalesLines!S3430)</x:f>
        <x:v>2</x:v>
      </x:c>
      <x:c r="M1399" s="8" t="n">
        <x:f>DATE(YEAR(C1399),MONTH(C1399),1)</x:f>
        <x:v>45689</x:v>
      </x:c>
    </x:row>
    <x:row r="1400" ht="22" customHeight="1">
      <x:c r="A1400" s="2" t="str">
        <x:v>O01396</x:v>
      </x:c>
      <x:c r="B1400" s="2" t="str">
        <x:v>C0113</x:v>
      </x:c>
      <x:c r="C1400" s="7" t="n">
        <x:v>45974</x:v>
      </x:c>
      <x:c r="D1400" s="2" t="str">
        <x:v>Cancelled</x:v>
      </x:c>
      <x:c r="E1400" s="2" t="str">
        <x:v>South</x:v>
      </x:c>
      <x:c r="F1400" s="2" t="str">
        <x:v>Store</x:v>
      </x:c>
      <x:c r="G1400" s="9" t="n">
        <x:f>SUM(SalesLines!Q3431)</x:f>
        <x:v>0</x:v>
      </x:c>
      <x:c r="H1400" s="9" t="n">
        <x:f>SUM(SalesLines!M3431)</x:f>
        <x:v>0</x:v>
      </x:c>
      <x:c r="I1400" s="9" t="n">
        <x:f>SUM(SalesLines!N3431)</x:f>
        <x:v>0</x:v>
      </x:c>
      <x:c r="J1400" s="9" t="n">
        <x:f>SUM(SalesLines!P3431)</x:f>
        <x:v>0</x:v>
      </x:c>
      <x:c r="K1400" s="11" t="n">
        <x:f>SUM(SalesLines!R3431)</x:f>
        <x:v>0</x:v>
      </x:c>
      <x:c r="L1400" s="11" t="n">
        <x:f>SUM(SalesLines!S3431)</x:f>
        <x:v>0</x:v>
      </x:c>
      <x:c r="M1400" s="8" t="n">
        <x:f>DATE(YEAR(C1400),MONTH(C1400),1)</x:f>
        <x:v>45962</x:v>
      </x:c>
    </x:row>
    <x:row r="1401" ht="22" customHeight="1">
      <x:c r="A1401" s="2" t="str">
        <x:v>O01397</x:v>
      </x:c>
      <x:c r="B1401" s="2" t="str">
        <x:v>C0081</x:v>
      </x:c>
      <x:c r="C1401" s="7" t="n">
        <x:v>45916</x:v>
      </x:c>
      <x:c r="D1401" s="2" t="str">
        <x:v>Cancelled</x:v>
      </x:c>
      <x:c r="E1401" s="2" t="str">
        <x:v>North</x:v>
      </x:c>
      <x:c r="F1401" s="2" t="str">
        <x:v>Store</x:v>
      </x:c>
      <x:c r="G1401" s="9" t="n">
        <x:f>SUM(SalesLines!Q3432,SalesLines!Q3433,SalesLines!Q3434,SalesLines!Q3435)</x:f>
        <x:v>0</x:v>
      </x:c>
      <x:c r="H1401" s="9" t="n">
        <x:f>SUM(SalesLines!M3432,SalesLines!M3433,SalesLines!M3434,SalesLines!M3435)</x:f>
        <x:v>0</x:v>
      </x:c>
      <x:c r="I1401" s="9" t="n">
        <x:f>SUM(SalesLines!N3432,SalesLines!N3433,SalesLines!N3434,SalesLines!N3435)</x:f>
        <x:v>0</x:v>
      </x:c>
      <x:c r="J1401" s="9" t="n">
        <x:f>SUM(SalesLines!P3432,SalesLines!P3433,SalesLines!P3434,SalesLines!P3435)</x:f>
        <x:v>0</x:v>
      </x:c>
      <x:c r="K1401" s="11" t="n">
        <x:f>SUM(SalesLines!R3432,SalesLines!R3433,SalesLines!R3434,SalesLines!R3435)</x:f>
        <x:v>0</x:v>
      </x:c>
      <x:c r="L1401" s="11" t="n">
        <x:f>SUM(SalesLines!S3432,SalesLines!S3433,SalesLines!S3434,SalesLines!S3435)</x:f>
        <x:v>0</x:v>
      </x:c>
      <x:c r="M1401" s="8" t="n">
        <x:f>DATE(YEAR(C1401),MONTH(C1401),1)</x:f>
        <x:v>45901</x:v>
      </x:c>
    </x:row>
    <x:row r="1402" ht="22" customHeight="1">
      <x:c r="A1402" s="2" t="str">
        <x:v>O01398</x:v>
      </x:c>
      <x:c r="B1402" s="2" t="str">
        <x:v>C0264</x:v>
      </x:c>
      <x:c r="C1402" s="7" t="n">
        <x:v>45818</x:v>
      </x:c>
      <x:c r="D1402" s="2" t="str">
        <x:v>Completed</x:v>
      </x:c>
      <x:c r="E1402" s="2" t="str">
        <x:v>South</x:v>
      </x:c>
      <x:c r="F1402" s="2" t="str">
        <x:v>Online</x:v>
      </x:c>
      <x:c r="G1402" s="9" t="n">
        <x:f>SUM(SalesLines!Q3436,SalesLines!Q3437)</x:f>
        <x:v>1461.6</x:v>
      </x:c>
      <x:c r="H1402" s="9" t="n">
        <x:f>SUM(SalesLines!M3436,SalesLines!M3437)</x:f>
        <x:v>1614</x:v>
      </x:c>
      <x:c r="I1402" s="9" t="n">
        <x:f>SUM(SalesLines!N3436,SalesLines!N3437)</x:f>
        <x:v>152.4</x:v>
      </x:c>
      <x:c r="J1402" s="9" t="n">
        <x:f>SUM(SalesLines!P3436,SalesLines!P3437)</x:f>
        <x:v>0</x:v>
      </x:c>
      <x:c r="K1402" s="11" t="n">
        <x:f>SUM(SalesLines!R3436,SalesLines!R3437)</x:f>
        <x:v>6</x:v>
      </x:c>
      <x:c r="L1402" s="11" t="n">
        <x:f>SUM(SalesLines!S3436,SalesLines!S3437)</x:f>
        <x:v>0</x:v>
      </x:c>
      <x:c r="M1402" s="8" t="n">
        <x:f>DATE(YEAR(C1402),MONTH(C1402),1)</x:f>
        <x:v>45809</x:v>
      </x:c>
    </x:row>
    <x:row r="1403" ht="22" customHeight="1">
      <x:c r="A1403" s="2" t="str">
        <x:v>O01399</x:v>
      </x:c>
      <x:c r="B1403" s="2" t="str">
        <x:v>C0141</x:v>
      </x:c>
      <x:c r="C1403" s="7" t="n">
        <x:v>45881</x:v>
      </x:c>
      <x:c r="D1403" s="2" t="str">
        <x:v>Completed</x:v>
      </x:c>
      <x:c r="E1403" s="2" t="str">
        <x:v>East</x:v>
      </x:c>
      <x:c r="F1403" s="2" t="str">
        <x:v>Online</x:v>
      </x:c>
      <x:c r="G1403" s="9" t="n">
        <x:f>SUM(SalesLines!Q3438)</x:f>
        <x:v>104</x:v>
      </x:c>
      <x:c r="H1403" s="9" t="n">
        <x:f>SUM(SalesLines!M3438)</x:f>
        <x:v>130</x:v>
      </x:c>
      <x:c r="I1403" s="9" t="n">
        <x:f>SUM(SalesLines!N3438)</x:f>
        <x:v>26</x:v>
      </x:c>
      <x:c r="J1403" s="9" t="n">
        <x:f>SUM(SalesLines!P3438)</x:f>
        <x:v>0</x:v>
      </x:c>
      <x:c r="K1403" s="11" t="n">
        <x:f>SUM(SalesLines!R3438)</x:f>
        <x:v>2</x:v>
      </x:c>
      <x:c r="L1403" s="11" t="n">
        <x:f>SUM(SalesLines!S3438)</x:f>
        <x:v>0</x:v>
      </x:c>
      <x:c r="M1403" s="8" t="n">
        <x:f>DATE(YEAR(C1403),MONTH(C1403),1)</x:f>
        <x:v>45870</x:v>
      </x:c>
    </x:row>
    <x:row r="1404" ht="22" customHeight="1">
      <x:c r="A1404" s="2" t="str">
        <x:v>O01400</x:v>
      </x:c>
      <x:c r="B1404" s="2" t="str">
        <x:v>C0147</x:v>
      </x:c>
      <x:c r="C1404" s="7" t="n">
        <x:v>46020</x:v>
      </x:c>
      <x:c r="D1404" s="2" t="str">
        <x:v>Completed</x:v>
      </x:c>
      <x:c r="E1404" s="2" t="str">
        <x:v>East</x:v>
      </x:c>
      <x:c r="F1404" s="2" t="str">
        <x:v>Online</x:v>
      </x:c>
      <x:c r="G1404" s="9" t="n">
        <x:f>SUM(SalesLines!Q3439,SalesLines!Q3440)</x:f>
        <x:v>2263.7</x:v>
      </x:c>
      <x:c r="H1404" s="9" t="n">
        <x:f>SUM(SalesLines!M3439,SalesLines!M3440)</x:f>
        <x:v>2554</x:v>
      </x:c>
      <x:c r="I1404" s="9" t="n">
        <x:f>SUM(SalesLines!N3439,SalesLines!N3440)</x:f>
        <x:v>290.3</x:v>
      </x:c>
      <x:c r="J1404" s="9" t="n">
        <x:f>SUM(SalesLines!P3439,SalesLines!P3440)</x:f>
        <x:v>0</x:v>
      </x:c>
      <x:c r="K1404" s="11" t="n">
        <x:f>SUM(SalesLines!R3439,SalesLines!R3440)</x:f>
        <x:v>9</x:v>
      </x:c>
      <x:c r="L1404" s="11" t="n">
        <x:f>SUM(SalesLines!S3439,SalesLines!S3440)</x:f>
        <x:v>0</x:v>
      </x:c>
      <x:c r="M1404" s="8" t="n">
        <x:f>DATE(YEAR(C1404),MONTH(C1404),1)</x:f>
        <x:v>45992</x:v>
      </x:c>
    </x:row>
    <x:row r="1405" ht="22" customHeight="1">
      <x:c r="A1405" s="2" t="str">
        <x:v>O01401</x:v>
      </x:c>
      <x:c r="B1405" s="2" t="str">
        <x:v>C0053</x:v>
      </x:c>
      <x:c r="C1405" s="7" t="n">
        <x:v>45694</x:v>
      </x:c>
      <x:c r="D1405" s="2" t="str">
        <x:v>Completed</x:v>
      </x:c>
      <x:c r="E1405" s="2" t="str">
        <x:v>West</x:v>
      </x:c>
      <x:c r="F1405" s="2" t="str">
        <x:v>Store</x:v>
      </x:c>
      <x:c r="G1405" s="9" t="n">
        <x:f>SUM(SalesLines!Q3441,SalesLines!Q3442,SalesLines!Q3443,SalesLines!Q3444)</x:f>
        <x:v>1256.6</x:v>
      </x:c>
      <x:c r="H1405" s="9" t="n">
        <x:f>SUM(SalesLines!M3441,SalesLines!M3442,SalesLines!M3443,SalesLines!M3444)</x:f>
        <x:v>1661</x:v>
      </x:c>
      <x:c r="I1405" s="9" t="n">
        <x:f>SUM(SalesLines!N3441,SalesLines!N3442,SalesLines!N3443,SalesLines!N3444)</x:f>
        <x:v>96.60000000000001</x:v>
      </x:c>
      <x:c r="J1405" s="9" t="n">
        <x:f>SUM(SalesLines!P3441,SalesLines!P3442,SalesLines!P3443,SalesLines!P3444)</x:f>
        <x:v>307.8</x:v>
      </x:c>
      <x:c r="K1405" s="11" t="n">
        <x:f>SUM(SalesLines!R3441,SalesLines!R3442,SalesLines!R3443,SalesLines!R3444)</x:f>
        <x:v>11</x:v>
      </x:c>
      <x:c r="L1405" s="11" t="n">
        <x:f>SUM(SalesLines!S3441,SalesLines!S3442,SalesLines!S3443,SalesLines!S3444)</x:f>
        <x:v>4</x:v>
      </x:c>
      <x:c r="M1405" s="8" t="n">
        <x:f>DATE(YEAR(C1405),MONTH(C1405),1)</x:f>
        <x:v>45689</x:v>
      </x:c>
    </x:row>
    <x:row r="1406" ht="22" customHeight="1">
      <x:c r="A1406" s="2" t="str">
        <x:v>O01402</x:v>
      </x:c>
      <x:c r="B1406" s="2" t="str">
        <x:v>C0278</x:v>
      </x:c>
      <x:c r="C1406" s="7" t="n">
        <x:v>45763</x:v>
      </x:c>
      <x:c r="D1406" s="2" t="str">
        <x:v>Completed</x:v>
      </x:c>
      <x:c r="E1406" s="2" t="str">
        <x:v>North</x:v>
      </x:c>
      <x:c r="F1406" s="2" t="str">
        <x:v>Online</x:v>
      </x:c>
      <x:c r="G1406" s="9" t="n">
        <x:f>SUM(SalesLines!Q3445)</x:f>
        <x:v>350.55</x:v>
      </x:c>
      <x:c r="H1406" s="9" t="n">
        <x:f>SUM(SalesLines!M3445)</x:f>
        <x:v>369</x:v>
      </x:c>
      <x:c r="I1406" s="9" t="n">
        <x:f>SUM(SalesLines!N3445)</x:f>
        <x:v>18.45</x:v>
      </x:c>
      <x:c r="J1406" s="9" t="n">
        <x:f>SUM(SalesLines!P3445)</x:f>
        <x:v>0</x:v>
      </x:c>
      <x:c r="K1406" s="11" t="n">
        <x:f>SUM(SalesLines!R3445)</x:f>
        <x:v>3</x:v>
      </x:c>
      <x:c r="L1406" s="11" t="n">
        <x:f>SUM(SalesLines!S3445)</x:f>
        <x:v>0</x:v>
      </x:c>
      <x:c r="M1406" s="8" t="n">
        <x:f>DATE(YEAR(C1406),MONTH(C1406),1)</x:f>
        <x:v>45748</x:v>
      </x:c>
    </x:row>
    <x:row r="1407" ht="22" customHeight="1">
      <x:c r="A1407" s="2" t="str">
        <x:v>O01403</x:v>
      </x:c>
      <x:c r="B1407" s="2" t="str">
        <x:v>C0071</x:v>
      </x:c>
      <x:c r="C1407" s="7" t="n">
        <x:v>45708</x:v>
      </x:c>
      <x:c r="D1407" s="2" t="str">
        <x:v>Completed</x:v>
      </x:c>
      <x:c r="E1407" s="2" t="str">
        <x:v>West</x:v>
      </x:c>
      <x:c r="F1407" s="2" t="str">
        <x:v>Store</x:v>
      </x:c>
      <x:c r="G1407" s="9" t="n">
        <x:f>SUM(SalesLines!Q3446)</x:f>
        <x:v>0</x:v>
      </x:c>
      <x:c r="H1407" s="9" t="n">
        <x:f>SUM(SalesLines!M3446)</x:f>
        <x:v>80</x:v>
      </x:c>
      <x:c r="I1407" s="9" t="n">
        <x:f>SUM(SalesLines!N3446)</x:f>
        <x:v>8</x:v>
      </x:c>
      <x:c r="J1407" s="9" t="n">
        <x:f>SUM(SalesLines!P3446)</x:f>
        <x:v>72</x:v>
      </x:c>
      <x:c r="K1407" s="11" t="n">
        <x:f>SUM(SalesLines!R3446)</x:f>
        <x:v>1</x:v>
      </x:c>
      <x:c r="L1407" s="11" t="n">
        <x:f>SUM(SalesLines!S3446)</x:f>
        <x:v>1</x:v>
      </x:c>
      <x:c r="M1407" s="8" t="n">
        <x:f>DATE(YEAR(C1407),MONTH(C1407),1)</x:f>
        <x:v>45689</x:v>
      </x:c>
    </x:row>
    <x:row r="1408" ht="22" customHeight="1">
      <x:c r="A1408" s="2" t="str">
        <x:v>O01404</x:v>
      </x:c>
      <x:c r="B1408" s="2" t="str">
        <x:v>C0045</x:v>
      </x:c>
      <x:c r="C1408" s="7" t="n">
        <x:v>45742</x:v>
      </x:c>
      <x:c r="D1408" s="2" t="str">
        <x:v>Completed</x:v>
      </x:c>
      <x:c r="E1408" s="2" t="str">
        <x:v>North</x:v>
      </x:c>
      <x:c r="F1408" s="2" t="str">
        <x:v>Online</x:v>
      </x:c>
      <x:c r="G1408" s="9" t="n">
        <x:f>SUM(SalesLines!Q3447)</x:f>
        <x:v>192</x:v>
      </x:c>
      <x:c r="H1408" s="9" t="n">
        <x:f>SUM(SalesLines!M3447)</x:f>
        <x:v>240</x:v>
      </x:c>
      <x:c r="I1408" s="9" t="n">
        <x:f>SUM(SalesLines!N3447)</x:f>
        <x:v>48</x:v>
      </x:c>
      <x:c r="J1408" s="9" t="n">
        <x:f>SUM(SalesLines!P3447)</x:f>
        <x:v>0</x:v>
      </x:c>
      <x:c r="K1408" s="11" t="n">
        <x:f>SUM(SalesLines!R3447)</x:f>
        <x:v>3</x:v>
      </x:c>
      <x:c r="L1408" s="11" t="n">
        <x:f>SUM(SalesLines!S3447)</x:f>
        <x:v>0</x:v>
      </x:c>
      <x:c r="M1408" s="8" t="n">
        <x:f>DATE(YEAR(C1408),MONTH(C1408),1)</x:f>
        <x:v>45717</x:v>
      </x:c>
    </x:row>
    <x:row r="1409" ht="22" customHeight="1">
      <x:c r="A1409" s="2" t="str">
        <x:v>O01405</x:v>
      </x:c>
      <x:c r="B1409" s="2" t="str">
        <x:v>C0274</x:v>
      </x:c>
      <x:c r="C1409" s="7" t="n">
        <x:v>45820</x:v>
      </x:c>
      <x:c r="D1409" s="2" t="str">
        <x:v>Cancelled</x:v>
      </x:c>
      <x:c r="E1409" s="2" t="str">
        <x:v>North</x:v>
      </x:c>
      <x:c r="F1409" s="2" t="str">
        <x:v>Online</x:v>
      </x:c>
      <x:c r="G1409" s="9" t="n">
        <x:f>SUM(SalesLines!Q3448)</x:f>
        <x:v>0</x:v>
      </x:c>
      <x:c r="H1409" s="9" t="n">
        <x:f>SUM(SalesLines!M3448)</x:f>
        <x:v>0</x:v>
      </x:c>
      <x:c r="I1409" s="9" t="n">
        <x:f>SUM(SalesLines!N3448)</x:f>
        <x:v>0</x:v>
      </x:c>
      <x:c r="J1409" s="9" t="n">
        <x:f>SUM(SalesLines!P3448)</x:f>
        <x:v>0</x:v>
      </x:c>
      <x:c r="K1409" s="11" t="n">
        <x:f>SUM(SalesLines!R3448)</x:f>
        <x:v>0</x:v>
      </x:c>
      <x:c r="L1409" s="11" t="n">
        <x:f>SUM(SalesLines!S3448)</x:f>
        <x:v>0</x:v>
      </x:c>
      <x:c r="M1409" s="8" t="n">
        <x:f>DATE(YEAR(C1409),MONTH(C1409),1)</x:f>
        <x:v>45809</x:v>
      </x:c>
    </x:row>
    <x:row r="1410" ht="22" customHeight="1">
      <x:c r="A1410" s="2" t="str">
        <x:v>O01406</x:v>
      </x:c>
      <x:c r="B1410" s="2" t="str">
        <x:v>C0269</x:v>
      </x:c>
      <x:c r="C1410" s="7" t="n">
        <x:v>45971</x:v>
      </x:c>
      <x:c r="D1410" s="2" t="str">
        <x:v>Completed</x:v>
      </x:c>
      <x:c r="E1410" s="2" t="str">
        <x:v>East</x:v>
      </x:c>
      <x:c r="F1410" s="2" t="str">
        <x:v>Store</x:v>
      </x:c>
      <x:c r="G1410" s="9" t="n">
        <x:f>SUM(SalesLines!Q3449,SalesLines!Q3450,SalesLines!Q3451)</x:f>
        <x:v>496.35</x:v>
      </x:c>
      <x:c r="H1410" s="9" t="n">
        <x:f>SUM(SalesLines!M3449,SalesLines!M3450,SalesLines!M3451)</x:f>
        <x:v>774</x:v>
      </x:c>
      <x:c r="I1410" s="9" t="n">
        <x:f>SUM(SalesLines!N3449,SalesLines!N3450,SalesLines!N3451)</x:f>
        <x:v>43.95</x:v>
      </x:c>
      <x:c r="J1410" s="9" t="n">
        <x:f>SUM(SalesLines!P3449,SalesLines!P3450,SalesLines!P3451)</x:f>
        <x:v>233.7</x:v>
      </x:c>
      <x:c r="K1410" s="11" t="n">
        <x:f>SUM(SalesLines!R3449,SalesLines!R3450,SalesLines!R3451)</x:f>
        <x:v>7</x:v>
      </x:c>
      <x:c r="L1410" s="11" t="n">
        <x:f>SUM(SalesLines!S3449,SalesLines!S3450,SalesLines!S3451)</x:f>
        <x:v>2</x:v>
      </x:c>
      <x:c r="M1410" s="8" t="n">
        <x:f>DATE(YEAR(C1410),MONTH(C1410),1)</x:f>
        <x:v>45962</x:v>
      </x:c>
    </x:row>
    <x:row r="1411" ht="22" customHeight="1">
      <x:c r="A1411" s="2" t="str">
        <x:v>O01407</x:v>
      </x:c>
      <x:c r="B1411" s="2" t="str">
        <x:v>C0007</x:v>
      </x:c>
      <x:c r="C1411" s="7" t="n">
        <x:v>45869</x:v>
      </x:c>
      <x:c r="D1411" s="2" t="str">
        <x:v>Completed</x:v>
      </x:c>
      <x:c r="E1411" s="2" t="str">
        <x:v>North</x:v>
      </x:c>
      <x:c r="F1411" s="2" t="str">
        <x:v>Store</x:v>
      </x:c>
      <x:c r="G1411" s="9" t="n">
        <x:f>SUM(SalesLines!Q3452,SalesLines!Q3453)</x:f>
        <x:v>379.6</x:v>
      </x:c>
      <x:c r="H1411" s="9" t="n">
        <x:f>SUM(SalesLines!M3452,SalesLines!M3453)</x:f>
        <x:v>450</x:v>
      </x:c>
      <x:c r="I1411" s="9" t="n">
        <x:f>SUM(SalesLines!N3452,SalesLines!N3453)</x:f>
        <x:v>70.4</x:v>
      </x:c>
      <x:c r="J1411" s="9" t="n">
        <x:f>SUM(SalesLines!P3452,SalesLines!P3453)</x:f>
        <x:v>0</x:v>
      </x:c>
      <x:c r="K1411" s="11" t="n">
        <x:f>SUM(SalesLines!R3452,SalesLines!R3453)</x:f>
        <x:v>2</x:v>
      </x:c>
      <x:c r="L1411" s="11" t="n">
        <x:f>SUM(SalesLines!S3452,SalesLines!S3453)</x:f>
        <x:v>0</x:v>
      </x:c>
      <x:c r="M1411" s="8" t="n">
        <x:f>DATE(YEAR(C1411),MONTH(C1411),1)</x:f>
        <x:v>45839</x:v>
      </x:c>
    </x:row>
    <x:row r="1412" ht="22" customHeight="1">
      <x:c r="A1412" s="2" t="str">
        <x:v>O01408</x:v>
      </x:c>
      <x:c r="B1412" s="2" t="str">
        <x:v>C0053</x:v>
      </x:c>
      <x:c r="C1412" s="7" t="n">
        <x:v>45745</x:v>
      </x:c>
      <x:c r="D1412" s="2" t="str">
        <x:v>Completed</x:v>
      </x:c>
      <x:c r="E1412" s="2" t="str">
        <x:v>West</x:v>
      </x:c>
      <x:c r="F1412" s="2" t="str">
        <x:v>Store</x:v>
      </x:c>
      <x:c r="G1412" s="9" t="n">
        <x:f>SUM(SalesLines!Q3454,SalesLines!Q3455,SalesLines!Q3456)</x:f>
        <x:v>1394.4</x:v>
      </x:c>
      <x:c r="H1412" s="9" t="n">
        <x:f>SUM(SalesLines!M3454,SalesLines!M3455,SalesLines!M3456)</x:f>
        <x:v>1946</x:v>
      </x:c>
      <x:c r="I1412" s="9" t="n">
        <x:f>SUM(SalesLines!N3454,SalesLines!N3455,SalesLines!N3456)</x:f>
        <x:v>364.8</x:v>
      </x:c>
      <x:c r="J1412" s="9" t="n">
        <x:f>SUM(SalesLines!P3454,SalesLines!P3455,SalesLines!P3456)</x:f>
        <x:v>186.8</x:v>
      </x:c>
      <x:c r="K1412" s="11" t="n">
        <x:f>SUM(SalesLines!R3454,SalesLines!R3455,SalesLines!R3456)</x:f>
        <x:v>10</x:v>
      </x:c>
      <x:c r="L1412" s="11" t="n">
        <x:f>SUM(SalesLines!S3454,SalesLines!S3455,SalesLines!S3456)</x:f>
        <x:v>2</x:v>
      </x:c>
      <x:c r="M1412" s="8" t="n">
        <x:f>DATE(YEAR(C1412),MONTH(C1412),1)</x:f>
        <x:v>45717</x:v>
      </x:c>
    </x:row>
    <x:row r="1413" ht="22" customHeight="1">
      <x:c r="A1413" s="2" t="str">
        <x:v>O01409</x:v>
      </x:c>
      <x:c r="B1413" s="2" t="str">
        <x:v>C0095</x:v>
      </x:c>
      <x:c r="C1413" s="7" t="n">
        <x:v>45885</x:v>
      </x:c>
      <x:c r="D1413" s="2" t="str">
        <x:v>Cancelled</x:v>
      </x:c>
      <x:c r="E1413" s="2" t="str">
        <x:v>East</x:v>
      </x:c>
      <x:c r="F1413" s="2" t="str">
        <x:v>Online</x:v>
      </x:c>
      <x:c r="G1413" s="9" t="n">
        <x:f>SUM(SalesLines!Q3457)</x:f>
        <x:v>0</x:v>
      </x:c>
      <x:c r="H1413" s="9" t="n">
        <x:f>SUM(SalesLines!M3457)</x:f>
        <x:v>0</x:v>
      </x:c>
      <x:c r="I1413" s="9" t="n">
        <x:f>SUM(SalesLines!N3457)</x:f>
        <x:v>0</x:v>
      </x:c>
      <x:c r="J1413" s="9" t="n">
        <x:f>SUM(SalesLines!P3457)</x:f>
        <x:v>0</x:v>
      </x:c>
      <x:c r="K1413" s="11" t="n">
        <x:f>SUM(SalesLines!R3457)</x:f>
        <x:v>0</x:v>
      </x:c>
      <x:c r="L1413" s="11" t="n">
        <x:f>SUM(SalesLines!S3457)</x:f>
        <x:v>0</x:v>
      </x:c>
      <x:c r="M1413" s="8" t="n">
        <x:f>DATE(YEAR(C1413),MONTH(C1413),1)</x:f>
        <x:v>45870</x:v>
      </x:c>
    </x:row>
    <x:row r="1414" ht="22" customHeight="1">
      <x:c r="A1414" s="2" t="str">
        <x:v>O01410</x:v>
      </x:c>
      <x:c r="B1414" s="2" t="str">
        <x:v>C0090</x:v>
      </x:c>
      <x:c r="C1414" s="7" t="n">
        <x:v>45792</x:v>
      </x:c>
      <x:c r="D1414" s="2" t="str">
        <x:v>Completed</x:v>
      </x:c>
      <x:c r="E1414" s="2" t="str">
        <x:v>West</x:v>
      </x:c>
      <x:c r="F1414" s="2" t="str">
        <x:v>Online</x:v>
      </x:c>
      <x:c r="G1414" s="9" t="n">
        <x:f>SUM(SalesLines!Q3458,SalesLines!Q3459)</x:f>
        <x:v>1026</x:v>
      </x:c>
      <x:c r="H1414" s="9" t="n">
        <x:f>SUM(SalesLines!M3458,SalesLines!M3459)</x:f>
        <x:v>1618</x:v>
      </x:c>
      <x:c r="I1414" s="9" t="n">
        <x:f>SUM(SalesLines!N3458,SalesLines!N3459)</x:f>
        <x:v>80.9</x:v>
      </x:c>
      <x:c r="J1414" s="9" t="n">
        <x:f>SUM(SalesLines!P3458,SalesLines!P3459)</x:f>
        <x:v>511.09999999999997</x:v>
      </x:c>
      <x:c r="K1414" s="11" t="n">
        <x:f>SUM(SalesLines!R3458,SalesLines!R3459)</x:f>
        <x:v>6</x:v>
      </x:c>
      <x:c r="L1414" s="11" t="n">
        <x:f>SUM(SalesLines!S3458,SalesLines!S3459)</x:f>
        <x:v>2</x:v>
      </x:c>
      <x:c r="M1414" s="8" t="n">
        <x:f>DATE(YEAR(C1414),MONTH(C1414),1)</x:f>
        <x:v>45778</x:v>
      </x:c>
    </x:row>
    <x:row r="1415" ht="22" customHeight="1">
      <x:c r="A1415" s="2" t="str">
        <x:v>O01411</x:v>
      </x:c>
      <x:c r="B1415" s="2" t="str">
        <x:v>C0092</x:v>
      </x:c>
      <x:c r="C1415" s="7" t="n">
        <x:v>45937</x:v>
      </x:c>
      <x:c r="D1415" s="2" t="str">
        <x:v>Completed</x:v>
      </x:c>
      <x:c r="E1415" s="2" t="str">
        <x:v>East</x:v>
      </x:c>
      <x:c r="F1415" s="2" t="str">
        <x:v>Online</x:v>
      </x:c>
      <x:c r="G1415" s="9" t="n">
        <x:f>SUM(SalesLines!Q3460,SalesLines!Q3461,SalesLines!Q3462,SalesLines!Q3463)</x:f>
        <x:v>1390.9</x:v>
      </x:c>
      <x:c r="H1415" s="9" t="n">
        <x:f>SUM(SalesLines!M3460,SalesLines!M3461,SalesLines!M3462,SalesLines!M3463)</x:f>
        <x:v>1457</x:v>
      </x:c>
      <x:c r="I1415" s="9" t="n">
        <x:f>SUM(SalesLines!N3460,SalesLines!N3461,SalesLines!N3462,SalesLines!N3463)</x:f>
        <x:v>66.1</x:v>
      </x:c>
      <x:c r="J1415" s="9" t="n">
        <x:f>SUM(SalesLines!P3460,SalesLines!P3461,SalesLines!P3462,SalesLines!P3463)</x:f>
        <x:v>0</x:v>
      </x:c>
      <x:c r="K1415" s="11" t="n">
        <x:f>SUM(SalesLines!R3460,SalesLines!R3461,SalesLines!R3462,SalesLines!R3463)</x:f>
        <x:v>12</x:v>
      </x:c>
      <x:c r="L1415" s="11" t="n">
        <x:f>SUM(SalesLines!S3460,SalesLines!S3461,SalesLines!S3462,SalesLines!S3463)</x:f>
        <x:v>0</x:v>
      </x:c>
      <x:c r="M1415" s="8" t="n">
        <x:f>DATE(YEAR(C1415),MONTH(C1415),1)</x:f>
        <x:v>45931</x:v>
      </x:c>
    </x:row>
    <x:row r="1416" ht="22" customHeight="1">
      <x:c r="A1416" s="2" t="str">
        <x:v>O01412</x:v>
      </x:c>
      <x:c r="B1416" s="2" t="str">
        <x:v>C0156</x:v>
      </x:c>
      <x:c r="C1416" s="7" t="n">
        <x:v>46002</x:v>
      </x:c>
      <x:c r="D1416" s="2" t="str">
        <x:v>Completed</x:v>
      </x:c>
      <x:c r="E1416" s="2" t="str">
        <x:v>South</x:v>
      </x:c>
      <x:c r="F1416" s="2" t="str">
        <x:v>Online</x:v>
      </x:c>
      <x:c r="G1416" s="9" t="n">
        <x:f>SUM(SalesLines!Q3464,SalesLines!Q3465,SalesLines!Q3466,SalesLines!Q3467)</x:f>
        <x:v>1384.3</x:v>
      </x:c>
      <x:c r="H1416" s="9" t="n">
        <x:f>SUM(SalesLines!M3464,SalesLines!M3465,SalesLines!M3466,SalesLines!M3467)</x:f>
        <x:v>1522</x:v>
      </x:c>
      <x:c r="I1416" s="9" t="n">
        <x:f>SUM(SalesLines!N3464,SalesLines!N3465,SalesLines!N3466,SalesLines!N3467)</x:f>
        <x:v>137.70000000000002</x:v>
      </x:c>
      <x:c r="J1416" s="9" t="n">
        <x:f>SUM(SalesLines!P3464,SalesLines!P3465,SalesLines!P3466,SalesLines!P3467)</x:f>
        <x:v>0</x:v>
      </x:c>
      <x:c r="K1416" s="11" t="n">
        <x:f>SUM(SalesLines!R3464,SalesLines!R3465,SalesLines!R3466,SalesLines!R3467)</x:f>
        <x:v>11</x:v>
      </x:c>
      <x:c r="L1416" s="11" t="n">
        <x:f>SUM(SalesLines!S3464,SalesLines!S3465,SalesLines!S3466,SalesLines!S3467)</x:f>
        <x:v>0</x:v>
      </x:c>
      <x:c r="M1416" s="8" t="n">
        <x:f>DATE(YEAR(C1416),MONTH(C1416),1)</x:f>
        <x:v>45992</x:v>
      </x:c>
    </x:row>
    <x:row r="1417" ht="22" customHeight="1">
      <x:c r="A1417" s="2" t="str">
        <x:v>O01413</x:v>
      </x:c>
      <x:c r="B1417" s="2" t="str">
        <x:v>C0206</x:v>
      </x:c>
      <x:c r="C1417" s="7" t="n">
        <x:v>45932</x:v>
      </x:c>
      <x:c r="D1417" s="2" t="str">
        <x:v>Completed</x:v>
      </x:c>
      <x:c r="E1417" s="2" t="str">
        <x:v>West</x:v>
      </x:c>
      <x:c r="F1417" s="2" t="str">
        <x:v>Store</x:v>
      </x:c>
      <x:c r="G1417" s="9" t="n">
        <x:f>SUM(SalesLines!Q3468,SalesLines!Q3469)</x:f>
        <x:v>580.4</x:v>
      </x:c>
      <x:c r="H1417" s="9" t="n">
        <x:f>SUM(SalesLines!M3468,SalesLines!M3469)</x:f>
        <x:v>708</x:v>
      </x:c>
      <x:c r="I1417" s="9" t="n">
        <x:f>SUM(SalesLines!N3468,SalesLines!N3469)</x:f>
        <x:v>127.60000000000001</x:v>
      </x:c>
      <x:c r="J1417" s="9" t="n">
        <x:f>SUM(SalesLines!P3468,SalesLines!P3469)</x:f>
        <x:v>0</x:v>
      </x:c>
      <x:c r="K1417" s="11" t="n">
        <x:f>SUM(SalesLines!R3468,SalesLines!R3469)</x:f>
        <x:v>6</x:v>
      </x:c>
      <x:c r="L1417" s="11" t="n">
        <x:f>SUM(SalesLines!S3468,SalesLines!S3469)</x:f>
        <x:v>0</x:v>
      </x:c>
      <x:c r="M1417" s="8" t="n">
        <x:f>DATE(YEAR(C1417),MONTH(C1417),1)</x:f>
        <x:v>45931</x:v>
      </x:c>
    </x:row>
    <x:row r="1418" ht="22" customHeight="1">
      <x:c r="A1418" s="2" t="str">
        <x:v>O01414</x:v>
      </x:c>
      <x:c r="B1418" s="2" t="str">
        <x:v>C0018</x:v>
      </x:c>
      <x:c r="C1418" s="7" t="n">
        <x:v>46005</x:v>
      </x:c>
      <x:c r="D1418" s="2" t="str">
        <x:v>Completed</x:v>
      </x:c>
      <x:c r="E1418" s="2" t="str">
        <x:v>North</x:v>
      </x:c>
      <x:c r="F1418" s="2" t="str">
        <x:v>Online</x:v>
      </x:c>
      <x:c r="G1418" s="9" t="n">
        <x:f>SUM(SalesLines!Q3470)</x:f>
        <x:v>650.4</x:v>
      </x:c>
      <x:c r="H1418" s="9" t="n">
        <x:f>SUM(SalesLines!M3470)</x:f>
        <x:v>813</x:v>
      </x:c>
      <x:c r="I1418" s="9" t="n">
        <x:f>SUM(SalesLines!N3470)</x:f>
        <x:v>162.60000000000002</x:v>
      </x:c>
      <x:c r="J1418" s="9" t="n">
        <x:f>SUM(SalesLines!P3470)</x:f>
        <x:v>0</x:v>
      </x:c>
      <x:c r="K1418" s="11" t="n">
        <x:f>SUM(SalesLines!R3470)</x:f>
        <x:v>3</x:v>
      </x:c>
      <x:c r="L1418" s="11" t="n">
        <x:f>SUM(SalesLines!S3470)</x:f>
        <x:v>0</x:v>
      </x:c>
      <x:c r="M1418" s="8" t="n">
        <x:f>DATE(YEAR(C1418),MONTH(C1418),1)</x:f>
        <x:v>45992</x:v>
      </x:c>
    </x:row>
    <x:row r="1419" ht="22" customHeight="1">
      <x:c r="A1419" s="2" t="str">
        <x:v>O01415</x:v>
      </x:c>
      <x:c r="B1419" s="2" t="str">
        <x:v>C0204</x:v>
      </x:c>
      <x:c r="C1419" s="7" t="n">
        <x:v>45704</x:v>
      </x:c>
      <x:c r="D1419" s="2" t="str">
        <x:v>Completed</x:v>
      </x:c>
      <x:c r="E1419" s="2" t="str">
        <x:v>South</x:v>
      </x:c>
      <x:c r="F1419" s="2" t="str">
        <x:v>Store</x:v>
      </x:c>
      <x:c r="G1419" s="9" t="n">
        <x:f>SUM(SalesLines!Q3471,SalesLines!Q3472)</x:f>
        <x:v>1323</x:v>
      </x:c>
      <x:c r="H1419" s="9" t="n">
        <x:f>SUM(SalesLines!M3471,SalesLines!M3472)</x:f>
        <x:v>1323</x:v>
      </x:c>
      <x:c r="I1419" s="9" t="n">
        <x:f>SUM(SalesLines!N3471,SalesLines!N3472)</x:f>
        <x:v>0</x:v>
      </x:c>
      <x:c r="J1419" s="9" t="n">
        <x:f>SUM(SalesLines!P3471,SalesLines!P3472)</x:f>
        <x:v>0</x:v>
      </x:c>
      <x:c r="K1419" s="11" t="n">
        <x:f>SUM(SalesLines!R3471,SalesLines!R3472)</x:f>
        <x:v>7</x:v>
      </x:c>
      <x:c r="L1419" s="11" t="n">
        <x:f>SUM(SalesLines!S3471,SalesLines!S3472)</x:f>
        <x:v>0</x:v>
      </x:c>
      <x:c r="M1419" s="8" t="n">
        <x:f>DATE(YEAR(C1419),MONTH(C1419),1)</x:f>
        <x:v>45689</x:v>
      </x:c>
    </x:row>
    <x:row r="1420" ht="22" customHeight="1">
      <x:c r="A1420" s="2" t="str">
        <x:v>O01416</x:v>
      </x:c>
      <x:c r="B1420" s="2" t="str">
        <x:v>C0173</x:v>
      </x:c>
      <x:c r="C1420" s="7" t="n">
        <x:v>45895</x:v>
      </x:c>
      <x:c r="D1420" s="2" t="str">
        <x:v>Completed</x:v>
      </x:c>
      <x:c r="E1420" s="2" t="str">
        <x:v>West</x:v>
      </x:c>
      <x:c r="F1420" s="2" t="str">
        <x:v>Online</x:v>
      </x:c>
      <x:c r="G1420" s="9" t="n">
        <x:f>SUM(SalesLines!Q3473,SalesLines!Q3474)</x:f>
        <x:v>621.8</x:v>
      </x:c>
      <x:c r="H1420" s="9" t="n">
        <x:f>SUM(SalesLines!M3473,SalesLines!M3474)</x:f>
        <x:v>727</x:v>
      </x:c>
      <x:c r="I1420" s="9" t="n">
        <x:f>SUM(SalesLines!N3473,SalesLines!N3474)</x:f>
        <x:v>105.2</x:v>
      </x:c>
      <x:c r="J1420" s="9" t="n">
        <x:f>SUM(SalesLines!P3473,SalesLines!P3474)</x:f>
        <x:v>0</x:v>
      </x:c>
      <x:c r="K1420" s="11" t="n">
        <x:f>SUM(SalesLines!R3473,SalesLines!R3474)</x:f>
        <x:v>8</x:v>
      </x:c>
      <x:c r="L1420" s="11" t="n">
        <x:f>SUM(SalesLines!S3473,SalesLines!S3474)</x:f>
        <x:v>0</x:v>
      </x:c>
      <x:c r="M1420" s="8" t="n">
        <x:f>DATE(YEAR(C1420),MONTH(C1420),1)</x:f>
        <x:v>45870</x:v>
      </x:c>
    </x:row>
    <x:row r="1421" ht="22" customHeight="1">
      <x:c r="A1421" s="2" t="str">
        <x:v>O01417</x:v>
      </x:c>
      <x:c r="B1421" s="2" t="str">
        <x:v>C0138</x:v>
      </x:c>
      <x:c r="C1421" s="7" t="n">
        <x:v>45776</x:v>
      </x:c>
      <x:c r="D1421" s="2" t="str">
        <x:v>Completed</x:v>
      </x:c>
      <x:c r="E1421" s="2" t="str">
        <x:v>South</x:v>
      </x:c>
      <x:c r="F1421" s="2" t="str">
        <x:v>Store</x:v>
      </x:c>
      <x:c r="G1421" s="9" t="n">
        <x:f>SUM(SalesLines!Q3475)</x:f>
        <x:v>1277.75</x:v>
      </x:c>
      <x:c r="H1421" s="9" t="n">
        <x:f>SUM(SalesLines!M3475)</x:f>
        <x:v>1345</x:v>
      </x:c>
      <x:c r="I1421" s="9" t="n">
        <x:f>SUM(SalesLines!N3475)</x:f>
        <x:v>67.25</x:v>
      </x:c>
      <x:c r="J1421" s="9" t="n">
        <x:f>SUM(SalesLines!P3475)</x:f>
        <x:v>0</x:v>
      </x:c>
      <x:c r="K1421" s="11" t="n">
        <x:f>SUM(SalesLines!R3475)</x:f>
        <x:v>5</x:v>
      </x:c>
      <x:c r="L1421" s="11" t="n">
        <x:f>SUM(SalesLines!S3475)</x:f>
        <x:v>0</x:v>
      </x:c>
      <x:c r="M1421" s="8" t="n">
        <x:f>DATE(YEAR(C1421),MONTH(C1421),1)</x:f>
        <x:v>45748</x:v>
      </x:c>
    </x:row>
    <x:row r="1422" ht="22" customHeight="1">
      <x:c r="A1422" s="2" t="str">
        <x:v>O01418</x:v>
      </x:c>
      <x:c r="B1422" s="2" t="str">
        <x:v>C0222</x:v>
      </x:c>
      <x:c r="C1422" s="7" t="n">
        <x:v>45783</x:v>
      </x:c>
      <x:c r="D1422" s="2" t="str">
        <x:v>Completed</x:v>
      </x:c>
      <x:c r="E1422" s="2" t="str">
        <x:v>East</x:v>
      </x:c>
      <x:c r="F1422" s="2" t="str">
        <x:v>Store</x:v>
      </x:c>
      <x:c r="G1422" s="9" t="n">
        <x:f>SUM(SalesLines!Q3476)</x:f>
        <x:v>807</x:v>
      </x:c>
      <x:c r="H1422" s="9" t="n">
        <x:f>SUM(SalesLines!M3476)</x:f>
        <x:v>807</x:v>
      </x:c>
      <x:c r="I1422" s="9" t="n">
        <x:f>SUM(SalesLines!N3476)</x:f>
        <x:v>0</x:v>
      </x:c>
      <x:c r="J1422" s="9" t="n">
        <x:f>SUM(SalesLines!P3476)</x:f>
        <x:v>0</x:v>
      </x:c>
      <x:c r="K1422" s="11" t="n">
        <x:f>SUM(SalesLines!R3476)</x:f>
        <x:v>3</x:v>
      </x:c>
      <x:c r="L1422" s="11" t="n">
        <x:f>SUM(SalesLines!S3476)</x:f>
        <x:v>0</x:v>
      </x:c>
      <x:c r="M1422" s="8" t="n">
        <x:f>DATE(YEAR(C1422),MONTH(C1422),1)</x:f>
        <x:v>45778</x:v>
      </x:c>
    </x:row>
    <x:row r="1423" ht="22" customHeight="1">
      <x:c r="A1423" s="2" t="str">
        <x:v>O01419</x:v>
      </x:c>
      <x:c r="B1423" s="2" t="str">
        <x:v>C0086</x:v>
      </x:c>
      <x:c r="C1423" s="7" t="n">
        <x:v>45697</x:v>
      </x:c>
      <x:c r="D1423" s="2" t="str">
        <x:v>Completed</x:v>
      </x:c>
      <x:c r="E1423" s="2" t="str">
        <x:v>North</x:v>
      </x:c>
      <x:c r="F1423" s="2" t="str">
        <x:v>Online</x:v>
      </x:c>
      <x:c r="G1423" s="9" t="n">
        <x:f>SUM(SalesLines!Q3477)</x:f>
        <x:v>509.2</x:v>
      </x:c>
      <x:c r="H1423" s="9" t="n">
        <x:f>SUM(SalesLines!M3477)</x:f>
        <x:v>536</x:v>
      </x:c>
      <x:c r="I1423" s="9" t="n">
        <x:f>SUM(SalesLines!N3477)</x:f>
        <x:v>26.8</x:v>
      </x:c>
      <x:c r="J1423" s="9" t="n">
        <x:f>SUM(SalesLines!P3477)</x:f>
        <x:v>0</x:v>
      </x:c>
      <x:c r="K1423" s="11" t="n">
        <x:f>SUM(SalesLines!R3477)</x:f>
        <x:v>4</x:v>
      </x:c>
      <x:c r="L1423" s="11" t="n">
        <x:f>SUM(SalesLines!S3477)</x:f>
        <x:v>0</x:v>
      </x:c>
      <x:c r="M1423" s="8" t="n">
        <x:f>DATE(YEAR(C1423),MONTH(C1423),1)</x:f>
        <x:v>45689</x:v>
      </x:c>
    </x:row>
    <x:row r="1424" ht="22" customHeight="1">
      <x:c r="A1424" s="2" t="str">
        <x:v>O01420</x:v>
      </x:c>
      <x:c r="B1424" s="2" t="str">
        <x:v>C0244</x:v>
      </x:c>
      <x:c r="C1424" s="7" t="n">
        <x:v>45774</x:v>
      </x:c>
      <x:c r="D1424" s="2" t="str">
        <x:v>Cancelled</x:v>
      </x:c>
      <x:c r="E1424" s="2" t="str">
        <x:v>South</x:v>
      </x:c>
      <x:c r="F1424" s="2" t="str">
        <x:v>Store</x:v>
      </x:c>
      <x:c r="G1424" s="9" t="n">
        <x:f>SUM(SalesLines!Q3478,SalesLines!Q3479,SalesLines!Q3480,SalesLines!Q3481)</x:f>
        <x:v>0</x:v>
      </x:c>
      <x:c r="H1424" s="9" t="n">
        <x:f>SUM(SalesLines!M3478,SalesLines!M3479,SalesLines!M3480,SalesLines!M3481)</x:f>
        <x:v>0</x:v>
      </x:c>
      <x:c r="I1424" s="9" t="n">
        <x:f>SUM(SalesLines!N3478,SalesLines!N3479,SalesLines!N3480,SalesLines!N3481)</x:f>
        <x:v>0</x:v>
      </x:c>
      <x:c r="J1424" s="9" t="n">
        <x:f>SUM(SalesLines!P3478,SalesLines!P3479,SalesLines!P3480,SalesLines!P3481)</x:f>
        <x:v>0</x:v>
      </x:c>
      <x:c r="K1424" s="11" t="n">
        <x:f>SUM(SalesLines!R3478,SalesLines!R3479,SalesLines!R3480,SalesLines!R3481)</x:f>
        <x:v>0</x:v>
      </x:c>
      <x:c r="L1424" s="11" t="n">
        <x:f>SUM(SalesLines!S3478,SalesLines!S3479,SalesLines!S3480,SalesLines!S3481)</x:f>
        <x:v>0</x:v>
      </x:c>
      <x:c r="M1424" s="8" t="n">
        <x:f>DATE(YEAR(C1424),MONTH(C1424),1)</x:f>
        <x:v>45748</x:v>
      </x:c>
    </x:row>
    <x:row r="1425" ht="22" customHeight="1">
      <x:c r="A1425" s="2" t="str">
        <x:v>O01421</x:v>
      </x:c>
      <x:c r="B1425" s="2" t="str">
        <x:v>C0026</x:v>
      </x:c>
      <x:c r="C1425" s="7" t="n">
        <x:v>45700</x:v>
      </x:c>
      <x:c r="D1425" s="2" t="str">
        <x:v>Completed</x:v>
      </x:c>
      <x:c r="E1425" s="2" t="str">
        <x:v>South</x:v>
      </x:c>
      <x:c r="F1425" s="2" t="str">
        <x:v>Store</x:v>
      </x:c>
      <x:c r="G1425" s="9" t="n">
        <x:f>SUM(SalesLines!Q3482)</x:f>
        <x:v>402</x:v>
      </x:c>
      <x:c r="H1425" s="9" t="n">
        <x:f>SUM(SalesLines!M3482)</x:f>
        <x:v>402</x:v>
      </x:c>
      <x:c r="I1425" s="9" t="n">
        <x:f>SUM(SalesLines!N3482)</x:f>
        <x:v>0</x:v>
      </x:c>
      <x:c r="J1425" s="9" t="n">
        <x:f>SUM(SalesLines!P3482)</x:f>
        <x:v>0</x:v>
      </x:c>
      <x:c r="K1425" s="11" t="n">
        <x:f>SUM(SalesLines!R3482)</x:f>
        <x:v>3</x:v>
      </x:c>
      <x:c r="L1425" s="11" t="n">
        <x:f>SUM(SalesLines!S3482)</x:f>
        <x:v>0</x:v>
      </x:c>
      <x:c r="M1425" s="8" t="n">
        <x:f>DATE(YEAR(C1425),MONTH(C1425),1)</x:f>
        <x:v>45689</x:v>
      </x:c>
    </x:row>
    <x:row r="1426" ht="22" customHeight="1">
      <x:c r="A1426" s="2" t="str">
        <x:v>O01422</x:v>
      </x:c>
      <x:c r="B1426" s="2" t="str">
        <x:v>C0224</x:v>
      </x:c>
      <x:c r="C1426" s="7" t="n">
        <x:v>45914</x:v>
      </x:c>
      <x:c r="D1426" s="2" t="str">
        <x:v>Completed</x:v>
      </x:c>
      <x:c r="E1426" s="2" t="str">
        <x:v>West</x:v>
      </x:c>
      <x:c r="F1426" s="2" t="str">
        <x:v>Store</x:v>
      </x:c>
      <x:c r="G1426" s="9" t="n">
        <x:f>SUM(SalesLines!Q3483,SalesLines!Q3484)</x:f>
        <x:v>317.4</x:v>
      </x:c>
      <x:c r="H1426" s="9" t="n">
        <x:f>SUM(SalesLines!M3483,SalesLines!M3484)</x:f>
        <x:v>366</x:v>
      </x:c>
      <x:c r="I1426" s="9" t="n">
        <x:f>SUM(SalesLines!N3483,SalesLines!N3484)</x:f>
        <x:v>48.6</x:v>
      </x:c>
      <x:c r="J1426" s="9" t="n">
        <x:f>SUM(SalesLines!P3483,SalesLines!P3484)</x:f>
        <x:v>0</x:v>
      </x:c>
      <x:c r="K1426" s="11" t="n">
        <x:f>SUM(SalesLines!R3483,SalesLines!R3484)</x:f>
        <x:v>4</x:v>
      </x:c>
      <x:c r="L1426" s="11" t="n">
        <x:f>SUM(SalesLines!S3483,SalesLines!S3484)</x:f>
        <x:v>0</x:v>
      </x:c>
      <x:c r="M1426" s="8" t="n">
        <x:f>DATE(YEAR(C1426),MONTH(C1426),1)</x:f>
        <x:v>45901</x:v>
      </x:c>
    </x:row>
    <x:row r="1427" ht="22" customHeight="1">
      <x:c r="A1427" s="2" t="str">
        <x:v>O01423</x:v>
      </x:c>
      <x:c r="B1427" s="2" t="str">
        <x:v>C0264</x:v>
      </x:c>
      <x:c r="C1427" s="7" t="n">
        <x:v>45684</x:v>
      </x:c>
      <x:c r="D1427" s="2" t="str">
        <x:v>Completed</x:v>
      </x:c>
      <x:c r="E1427" s="2" t="str">
        <x:v>South</x:v>
      </x:c>
      <x:c r="F1427" s="2" t="str">
        <x:v>Online</x:v>
      </x:c>
      <x:c r="G1427" s="9" t="n">
        <x:f>SUM(SalesLines!Q3485,SalesLines!Q3486)</x:f>
        <x:v>539.4</x:v>
      </x:c>
      <x:c r="H1427" s="9" t="n">
        <x:f>SUM(SalesLines!M3485,SalesLines!M3486)</x:f>
        <x:v>648</x:v>
      </x:c>
      <x:c r="I1427" s="9" t="n">
        <x:f>SUM(SalesLines!N3485,SalesLines!N3486)</x:f>
        <x:v>108.60000000000001</x:v>
      </x:c>
      <x:c r="J1427" s="9" t="n">
        <x:f>SUM(SalesLines!P3485,SalesLines!P3486)</x:f>
        <x:v>0</x:v>
      </x:c>
      <x:c r="K1427" s="11" t="n">
        <x:f>SUM(SalesLines!R3485,SalesLines!R3486)</x:f>
        <x:v>6</x:v>
      </x:c>
      <x:c r="L1427" s="11" t="n">
        <x:f>SUM(SalesLines!S3485,SalesLines!S3486)</x:f>
        <x:v>0</x:v>
      </x:c>
      <x:c r="M1427" s="8" t="n">
        <x:f>DATE(YEAR(C1427),MONTH(C1427),1)</x:f>
        <x:v>45658</x:v>
      </x:c>
    </x:row>
    <x:row r="1428" ht="22" customHeight="1">
      <x:c r="A1428" s="2" t="str">
        <x:v>O01424</x:v>
      </x:c>
      <x:c r="B1428" s="2" t="str">
        <x:v>C0049</x:v>
      </x:c>
      <x:c r="C1428" s="7" t="n">
        <x:v>45840</x:v>
      </x:c>
      <x:c r="D1428" s="2" t="str">
        <x:v>Completed</x:v>
      </x:c>
      <x:c r="E1428" s="2" t="str">
        <x:v>North</x:v>
      </x:c>
      <x:c r="F1428" s="2" t="str">
        <x:v>Store</x:v>
      </x:c>
      <x:c r="G1428" s="9" t="n">
        <x:f>SUM(SalesLines!Q3487)</x:f>
        <x:v>312</x:v>
      </x:c>
      <x:c r="H1428" s="9" t="n">
        <x:f>SUM(SalesLines!M3487)</x:f>
        <x:v>312</x:v>
      </x:c>
      <x:c r="I1428" s="9" t="n">
        <x:f>SUM(SalesLines!N3487)</x:f>
        <x:v>0</x:v>
      </x:c>
      <x:c r="J1428" s="9" t="n">
        <x:f>SUM(SalesLines!P3487)</x:f>
        <x:v>0</x:v>
      </x:c>
      <x:c r="K1428" s="11" t="n">
        <x:f>SUM(SalesLines!R3487)</x:f>
        <x:v>4</x:v>
      </x:c>
      <x:c r="L1428" s="11" t="n">
        <x:f>SUM(SalesLines!S3487)</x:f>
        <x:v>0</x:v>
      </x:c>
      <x:c r="M1428" s="8" t="n">
        <x:f>DATE(YEAR(C1428),MONTH(C1428),1)</x:f>
        <x:v>45839</x:v>
      </x:c>
    </x:row>
    <x:row r="1429" ht="22" customHeight="1">
      <x:c r="A1429" s="2" t="str">
        <x:v>O01425</x:v>
      </x:c>
      <x:c r="B1429" s="2" t="str">
        <x:v>C0050</x:v>
      </x:c>
      <x:c r="C1429" s="7" t="n">
        <x:v>45844</x:v>
      </x:c>
      <x:c r="D1429" s="2" t="str">
        <x:v>Completed</x:v>
      </x:c>
      <x:c r="E1429" s="2" t="str">
        <x:v>North</x:v>
      </x:c>
      <x:c r="F1429" s="2" t="str">
        <x:v>Store</x:v>
      </x:c>
      <x:c r="G1429" s="9" t="n">
        <x:f>SUM(SalesLines!Q3488)</x:f>
        <x:v>358.2</x:v>
      </x:c>
      <x:c r="H1429" s="9" t="n">
        <x:f>SUM(SalesLines!M3488)</x:f>
        <x:v>398</x:v>
      </x:c>
      <x:c r="I1429" s="9" t="n">
        <x:f>SUM(SalesLines!N3488)</x:f>
        <x:v>39.800000000000004</x:v>
      </x:c>
      <x:c r="J1429" s="9" t="n">
        <x:f>SUM(SalesLines!P3488)</x:f>
        <x:v>0</x:v>
      </x:c>
      <x:c r="K1429" s="11" t="n">
        <x:f>SUM(SalesLines!R3488)</x:f>
        <x:v>2</x:v>
      </x:c>
      <x:c r="L1429" s="11" t="n">
        <x:f>SUM(SalesLines!S3488)</x:f>
        <x:v>0</x:v>
      </x:c>
      <x:c r="M1429" s="8" t="n">
        <x:f>DATE(YEAR(C1429),MONTH(C1429),1)</x:f>
        <x:v>45839</x:v>
      </x:c>
    </x:row>
    <x:row r="1430" ht="22" customHeight="1">
      <x:c r="A1430" s="2" t="str">
        <x:v>O01426</x:v>
      </x:c>
      <x:c r="B1430" s="2" t="str">
        <x:v>C0179</x:v>
      </x:c>
      <x:c r="C1430" s="7" t="n">
        <x:v>45949</x:v>
      </x:c>
      <x:c r="D1430" s="2" t="str">
        <x:v>Completed</x:v>
      </x:c>
      <x:c r="E1430" s="2" t="str">
        <x:v>East</x:v>
      </x:c>
      <x:c r="F1430" s="2" t="str">
        <x:v>Online</x:v>
      </x:c>
      <x:c r="G1430" s="9" t="n">
        <x:f>SUM(SalesLines!Q3489,SalesLines!Q3490,SalesLines!Q3491,SalesLines!Q3492)</x:f>
        <x:v>2865.7999999999997</x:v>
      </x:c>
      <x:c r="H1430" s="9" t="n">
        <x:f>SUM(SalesLines!M3489,SalesLines!M3490,SalesLines!M3491,SalesLines!M3492)</x:f>
        <x:v>3388</x:v>
      </x:c>
      <x:c r="I1430" s="9" t="n">
        <x:f>SUM(SalesLines!N3489,SalesLines!N3490,SalesLines!N3491,SalesLines!N3492)</x:f>
        <x:v>257.6</x:v>
      </x:c>
      <x:c r="J1430" s="9" t="n">
        <x:f>SUM(SalesLines!P3489,SalesLines!P3490,SalesLines!P3491,SalesLines!P3492)</x:f>
        <x:v>264.6</x:v>
      </x:c>
      <x:c r="K1430" s="11" t="n">
        <x:f>SUM(SalesLines!R3489,SalesLines!R3490,SalesLines!R3491,SalesLines!R3492)</x:f>
        <x:v>12</x:v>
      </x:c>
      <x:c r="L1430" s="11" t="n">
        <x:f>SUM(SalesLines!S3489,SalesLines!S3490,SalesLines!S3491,SalesLines!S3492)</x:f>
        <x:v>1</x:v>
      </x:c>
      <x:c r="M1430" s="8" t="n">
        <x:f>DATE(YEAR(C1430),MONTH(C1430),1)</x:f>
        <x:v>45931</x:v>
      </x:c>
    </x:row>
    <x:row r="1431" ht="22" customHeight="1">
      <x:c r="A1431" s="2" t="str">
        <x:v>O01427</x:v>
      </x:c>
      <x:c r="B1431" s="2" t="str">
        <x:v>C0041</x:v>
      </x:c>
      <x:c r="C1431" s="7" t="n">
        <x:v>45971</x:v>
      </x:c>
      <x:c r="D1431" s="2" t="str">
        <x:v>Completed</x:v>
      </x:c>
      <x:c r="E1431" s="2" t="str">
        <x:v>West</x:v>
      </x:c>
      <x:c r="F1431" s="2" t="str">
        <x:v>Online</x:v>
      </x:c>
      <x:c r="G1431" s="9" t="n">
        <x:f>SUM(SalesLines!Q3493,SalesLines!Q3494)</x:f>
        <x:v>299.5</x:v>
      </x:c>
      <x:c r="H1431" s="9" t="n">
        <x:f>SUM(SalesLines!M3493,SalesLines!M3494)</x:f>
        <x:v>303</x:v>
      </x:c>
      <x:c r="I1431" s="9" t="n">
        <x:f>SUM(SalesLines!N3493,SalesLines!N3494)</x:f>
        <x:v>3.5</x:v>
      </x:c>
      <x:c r="J1431" s="9" t="n">
        <x:f>SUM(SalesLines!P3493,SalesLines!P3494)</x:f>
        <x:v>0</x:v>
      </x:c>
      <x:c r="K1431" s="11" t="n">
        <x:f>SUM(SalesLines!R3493,SalesLines!R3494)</x:f>
        <x:v>3</x:v>
      </x:c>
      <x:c r="L1431" s="11" t="n">
        <x:f>SUM(SalesLines!S3493,SalesLines!S3494)</x:f>
        <x:v>0</x:v>
      </x:c>
      <x:c r="M1431" s="8" t="n">
        <x:f>DATE(YEAR(C1431),MONTH(C1431),1)</x:f>
        <x:v>45962</x:v>
      </x:c>
    </x:row>
    <x:row r="1432" ht="22" customHeight="1">
      <x:c r="A1432" s="2" t="str">
        <x:v>O01428</x:v>
      </x:c>
      <x:c r="B1432" s="2" t="str">
        <x:v>C0076</x:v>
      </x:c>
      <x:c r="C1432" s="7" t="n">
        <x:v>46019</x:v>
      </x:c>
      <x:c r="D1432" s="2" t="str">
        <x:v>Completed</x:v>
      </x:c>
      <x:c r="E1432" s="2" t="str">
        <x:v>East</x:v>
      </x:c>
      <x:c r="F1432" s="2" t="str">
        <x:v>Store</x:v>
      </x:c>
      <x:c r="G1432" s="9" t="n">
        <x:f>SUM(SalesLines!Q3495,SalesLines!Q3496,SalesLines!Q3497,SalesLines!Q3498)</x:f>
        <x:v>1731.1999999999998</x:v>
      </x:c>
      <x:c r="H1432" s="9" t="n">
        <x:f>SUM(SalesLines!M3495,SalesLines!M3496,SalesLines!M3497,SalesLines!M3498)</x:f>
        <x:v>2666</x:v>
      </x:c>
      <x:c r="I1432" s="9" t="n">
        <x:f>SUM(SalesLines!N3495,SalesLines!N3496,SalesLines!N3497,SalesLines!N3498)</x:f>
        <x:v>364.80000000000007</x:v>
      </x:c>
      <x:c r="J1432" s="9" t="n">
        <x:f>SUM(SalesLines!P3495,SalesLines!P3496,SalesLines!P3497,SalesLines!P3498)</x:f>
        <x:v>570</x:v>
      </x:c>
      <x:c r="K1432" s="11" t="n">
        <x:f>SUM(SalesLines!R3495,SalesLines!R3496,SalesLines!R3497,SalesLines!R3498)</x:f>
        <x:v>10</x:v>
      </x:c>
      <x:c r="L1432" s="11" t="n">
        <x:f>SUM(SalesLines!S3495,SalesLines!S3496,SalesLines!S3497,SalesLines!S3498)</x:f>
        <x:v>2</x:v>
      </x:c>
      <x:c r="M1432" s="8" t="n">
        <x:f>DATE(YEAR(C1432),MONTH(C1432),1)</x:f>
        <x:v>45992</x:v>
      </x:c>
    </x:row>
    <x:row r="1433" ht="22" customHeight="1">
      <x:c r="A1433" s="2" t="str">
        <x:v>O01429</x:v>
      </x:c>
      <x:c r="B1433" s="2" t="str">
        <x:v>C0062</x:v>
      </x:c>
      <x:c r="C1433" s="7" t="n">
        <x:v>45719</x:v>
      </x:c>
      <x:c r="D1433" s="2" t="str">
        <x:v>Completed</x:v>
      </x:c>
      <x:c r="E1433" s="2" t="str">
        <x:v>West</x:v>
      </x:c>
      <x:c r="F1433" s="2" t="str">
        <x:v>Store</x:v>
      </x:c>
      <x:c r="G1433" s="9" t="n">
        <x:f>SUM(SalesLines!Q3499,SalesLines!Q3500)</x:f>
        <x:v>699.3</x:v>
      </x:c>
      <x:c r="H1433" s="9" t="n">
        <x:f>SUM(SalesLines!M3499,SalesLines!M3500)</x:f>
        <x:v>756</x:v>
      </x:c>
      <x:c r="I1433" s="9" t="n">
        <x:f>SUM(SalesLines!N3499,SalesLines!N3500)</x:f>
        <x:v>56.7</x:v>
      </x:c>
      <x:c r="J1433" s="9" t="n">
        <x:f>SUM(SalesLines!P3499,SalesLines!P3500)</x:f>
        <x:v>0</x:v>
      </x:c>
      <x:c r="K1433" s="11" t="n">
        <x:f>SUM(SalesLines!R3499,SalesLines!R3500)</x:f>
        <x:v>4</x:v>
      </x:c>
      <x:c r="L1433" s="11" t="n">
        <x:f>SUM(SalesLines!S3499,SalesLines!S3500)</x:f>
        <x:v>0</x:v>
      </x:c>
      <x:c r="M1433" s="8" t="n">
        <x:f>DATE(YEAR(C1433),MONTH(C1433),1)</x:f>
        <x:v>45717</x:v>
      </x:c>
    </x:row>
    <x:row r="1434" ht="22" customHeight="1">
      <x:c r="A1434" s="2" t="str">
        <x:v>O01430</x:v>
      </x:c>
      <x:c r="B1434" s="2" t="str">
        <x:v>C0031</x:v>
      </x:c>
      <x:c r="C1434" s="7" t="n">
        <x:v>45856</x:v>
      </x:c>
      <x:c r="D1434" s="2" t="str">
        <x:v>Cancelled</x:v>
      </x:c>
      <x:c r="E1434" s="2" t="str">
        <x:v>South</x:v>
      </x:c>
      <x:c r="F1434" s="2" t="str">
        <x:v>Store</x:v>
      </x:c>
      <x:c r="G1434" s="9" t="n">
        <x:f>SUM(SalesLines!Q3501,SalesLines!Q3502)</x:f>
        <x:v>0</x:v>
      </x:c>
      <x:c r="H1434" s="9" t="n">
        <x:f>SUM(SalesLines!M3501,SalesLines!M3502)</x:f>
        <x:v>0</x:v>
      </x:c>
      <x:c r="I1434" s="9" t="n">
        <x:f>SUM(SalesLines!N3501,SalesLines!N3502)</x:f>
        <x:v>0</x:v>
      </x:c>
      <x:c r="J1434" s="9" t="n">
        <x:f>SUM(SalesLines!P3501,SalesLines!P3502)</x:f>
        <x:v>0</x:v>
      </x:c>
      <x:c r="K1434" s="11" t="n">
        <x:f>SUM(SalesLines!R3501,SalesLines!R3502)</x:f>
        <x:v>0</x:v>
      </x:c>
      <x:c r="L1434" s="11" t="n">
        <x:f>SUM(SalesLines!S3501,SalesLines!S3502)</x:f>
        <x:v>0</x:v>
      </x:c>
      <x:c r="M1434" s="8" t="n">
        <x:f>DATE(YEAR(C1434),MONTH(C1434),1)</x:f>
        <x:v>45839</x:v>
      </x:c>
    </x:row>
    <x:row r="1435" ht="22" customHeight="1">
      <x:c r="A1435" s="2" t="str">
        <x:v>O01431</x:v>
      </x:c>
      <x:c r="B1435" s="2" t="str">
        <x:v>C0293</x:v>
      </x:c>
      <x:c r="C1435" s="7" t="n">
        <x:v>45915</x:v>
      </x:c>
      <x:c r="D1435" s="2" t="str">
        <x:v>Completed</x:v>
      </x:c>
      <x:c r="E1435" s="2" t="str">
        <x:v>North</x:v>
      </x:c>
      <x:c r="F1435" s="2" t="str">
        <x:v>Store</x:v>
      </x:c>
      <x:c r="G1435" s="9" t="n">
        <x:f>SUM(SalesLines!Q3503,SalesLines!Q3504,SalesLines!Q3505,SalesLines!Q3506)</x:f>
        <x:v>2710.6</x:v>
      </x:c>
      <x:c r="H1435" s="9" t="n">
        <x:f>SUM(SalesLines!M3503,SalesLines!M3504,SalesLines!M3505,SalesLines!M3506)</x:f>
        <x:v>3095</x:v>
      </x:c>
      <x:c r="I1435" s="9" t="n">
        <x:f>SUM(SalesLines!N3503,SalesLines!N3504,SalesLines!N3505,SalesLines!N3506)</x:f>
        <x:v>155.8</x:v>
      </x:c>
      <x:c r="J1435" s="9" t="n">
        <x:f>SUM(SalesLines!P3503,SalesLines!P3504,SalesLines!P3505,SalesLines!P3506)</x:f>
        <x:v>228.6</x:v>
      </x:c>
      <x:c r="K1435" s="11" t="n">
        <x:f>SUM(SalesLines!R3503,SalesLines!R3504,SalesLines!R3505,SalesLines!R3506)</x:f>
        <x:v>13</x:v>
      </x:c>
      <x:c r="L1435" s="11" t="n">
        <x:f>SUM(SalesLines!S3503,SalesLines!S3504,SalesLines!S3505,SalesLines!S3506)</x:f>
        <x:v>1</x:v>
      </x:c>
      <x:c r="M1435" s="8" t="n">
        <x:f>DATE(YEAR(C1435),MONTH(C1435),1)</x:f>
        <x:v>45901</x:v>
      </x:c>
    </x:row>
    <x:row r="1436" ht="22" customHeight="1">
      <x:c r="A1436" s="2" t="str">
        <x:v>O01432</x:v>
      </x:c>
      <x:c r="B1436" s="2" t="str">
        <x:v>C0195</x:v>
      </x:c>
      <x:c r="C1436" s="7" t="n">
        <x:v>45770</x:v>
      </x:c>
      <x:c r="D1436" s="2" t="str">
        <x:v>Completed</x:v>
      </x:c>
      <x:c r="E1436" s="2" t="str">
        <x:v>West</x:v>
      </x:c>
      <x:c r="F1436" s="2" t="str">
        <x:v>Online</x:v>
      </x:c>
      <x:c r="G1436" s="9" t="n">
        <x:f>SUM(SalesLines!Q3507,SalesLines!Q3508)</x:f>
        <x:v>1152</x:v>
      </x:c>
      <x:c r="H1436" s="9" t="n">
        <x:f>SUM(SalesLines!M3507,SalesLines!M3508)</x:f>
        <x:v>1440</x:v>
      </x:c>
      <x:c r="I1436" s="9" t="n">
        <x:f>SUM(SalesLines!N3507,SalesLines!N3508)</x:f>
        <x:v>288</x:v>
      </x:c>
      <x:c r="J1436" s="9" t="n">
        <x:f>SUM(SalesLines!P3507,SalesLines!P3508)</x:f>
        <x:v>0</x:v>
      </x:c>
      <x:c r="K1436" s="11" t="n">
        <x:f>SUM(SalesLines!R3507,SalesLines!R3508)</x:f>
        <x:v>7</x:v>
      </x:c>
      <x:c r="L1436" s="11" t="n">
        <x:f>SUM(SalesLines!S3507,SalesLines!S3508)</x:f>
        <x:v>0</x:v>
      </x:c>
      <x:c r="M1436" s="8" t="n">
        <x:f>DATE(YEAR(C1436),MONTH(C1436),1)</x:f>
        <x:v>45748</x:v>
      </x:c>
    </x:row>
    <x:row r="1437" ht="22" customHeight="1">
      <x:c r="A1437" s="2" t="str">
        <x:v>O01433</x:v>
      </x:c>
      <x:c r="B1437" s="2" t="str">
        <x:v>C0265</x:v>
      </x:c>
      <x:c r="C1437" s="7" t="n">
        <x:v>45674</x:v>
      </x:c>
      <x:c r="D1437" s="2" t="str">
        <x:v>Completed</x:v>
      </x:c>
      <x:c r="E1437" s="2" t="str">
        <x:v>West</x:v>
      </x:c>
      <x:c r="F1437" s="2" t="str">
        <x:v>Online</x:v>
      </x:c>
      <x:c r="G1437" s="9" t="n">
        <x:f>SUM(SalesLines!Q3509)</x:f>
        <x:v>-2.842170943040401e-14</x:v>
      </x:c>
      <x:c r="H1437" s="9" t="n">
        <x:f>SUM(SalesLines!M3509)</x:f>
        <x:v>249</x:v>
      </x:c>
      <x:c r="I1437" s="9" t="n">
        <x:f>SUM(SalesLines!N3509)</x:f>
        <x:v>49.800000000000004</x:v>
      </x:c>
      <x:c r="J1437" s="9" t="n">
        <x:f>SUM(SalesLines!P3509)</x:f>
        <x:v>199.20000000000002</x:v>
      </x:c>
      <x:c r="K1437" s="11" t="n">
        <x:f>SUM(SalesLines!R3509)</x:f>
        <x:v>1</x:v>
      </x:c>
      <x:c r="L1437" s="11" t="n">
        <x:f>SUM(SalesLines!S3509)</x:f>
        <x:v>1</x:v>
      </x:c>
      <x:c r="M1437" s="8" t="n">
        <x:f>DATE(YEAR(C1437),MONTH(C1437),1)</x:f>
        <x:v>45658</x:v>
      </x:c>
    </x:row>
    <x:row r="1438" ht="22" customHeight="1">
      <x:c r="A1438" s="2" t="str">
        <x:v>O01434</x:v>
      </x:c>
      <x:c r="B1438" s="2" t="str">
        <x:v>C0021</x:v>
      </x:c>
      <x:c r="C1438" s="7" t="n">
        <x:v>45945</x:v>
      </x:c>
      <x:c r="D1438" s="2" t="str">
        <x:v>Cancelled</x:v>
      </x:c>
      <x:c r="E1438" s="2" t="str">
        <x:v>West</x:v>
      </x:c>
      <x:c r="F1438" s="2" t="str">
        <x:v>Store</x:v>
      </x:c>
      <x:c r="G1438" s="9" t="n">
        <x:f>SUM(SalesLines!Q3510)</x:f>
        <x:v>0</x:v>
      </x:c>
      <x:c r="H1438" s="9" t="n">
        <x:f>SUM(SalesLines!M3510)</x:f>
        <x:v>0</x:v>
      </x:c>
      <x:c r="I1438" s="9" t="n">
        <x:f>SUM(SalesLines!N3510)</x:f>
        <x:v>0</x:v>
      </x:c>
      <x:c r="J1438" s="9" t="n">
        <x:f>SUM(SalesLines!P3510)</x:f>
        <x:v>0</x:v>
      </x:c>
      <x:c r="K1438" s="11" t="n">
        <x:f>SUM(SalesLines!R3510)</x:f>
        <x:v>0</x:v>
      </x:c>
      <x:c r="L1438" s="11" t="n">
        <x:f>SUM(SalesLines!S3510)</x:f>
        <x:v>0</x:v>
      </x:c>
      <x:c r="M1438" s="8" t="n">
        <x:f>DATE(YEAR(C1438),MONTH(C1438),1)</x:f>
        <x:v>45931</x:v>
      </x:c>
    </x:row>
    <x:row r="1439" ht="22" customHeight="1">
      <x:c r="A1439" s="2" t="str">
        <x:v>O01435</x:v>
      </x:c>
      <x:c r="B1439" s="2" t="str">
        <x:v>C0070</x:v>
      </x:c>
      <x:c r="C1439" s="7" t="n">
        <x:v>45734</x:v>
      </x:c>
      <x:c r="D1439" s="2" t="str">
        <x:v>Completed</x:v>
      </x:c>
      <x:c r="E1439" s="2" t="str">
        <x:v>West</x:v>
      </x:c>
      <x:c r="F1439" s="2" t="str">
        <x:v>Online</x:v>
      </x:c>
      <x:c r="G1439" s="9" t="n">
        <x:f>SUM(SalesLines!Q3511,SalesLines!Q3512,SalesLines!Q3513,SalesLines!Q3514)</x:f>
        <x:v>1224.2</x:v>
      </x:c>
      <x:c r="H1439" s="9" t="n">
        <x:f>SUM(SalesLines!M3511,SalesLines!M3512,SalesLines!M3513,SalesLines!M3514)</x:f>
        <x:v>1500</x:v>
      </x:c>
      <x:c r="I1439" s="9" t="n">
        <x:f>SUM(SalesLines!N3511,SalesLines!N3512,SalesLines!N3513,SalesLines!N3514)</x:f>
        <x:v>39.25</x:v>
      </x:c>
      <x:c r="J1439" s="9" t="n">
        <x:f>SUM(SalesLines!P3511,SalesLines!P3512,SalesLines!P3513,SalesLines!P3514)</x:f>
        <x:v>236.54999999999998</x:v>
      </x:c>
      <x:c r="K1439" s="11" t="n">
        <x:f>SUM(SalesLines!R3511,SalesLines!R3512,SalesLines!R3513,SalesLines!R3514)</x:f>
        <x:v>15</x:v>
      </x:c>
      <x:c r="L1439" s="11" t="n">
        <x:f>SUM(SalesLines!S3511,SalesLines!S3512,SalesLines!S3513,SalesLines!S3514)</x:f>
        <x:v>1</x:v>
      </x:c>
      <x:c r="M1439" s="8" t="n">
        <x:f>DATE(YEAR(C1439),MONTH(C1439),1)</x:f>
        <x:v>45717</x:v>
      </x:c>
    </x:row>
    <x:row r="1440" ht="22" customHeight="1">
      <x:c r="A1440" s="2" t="str">
        <x:v>O01436</x:v>
      </x:c>
      <x:c r="B1440" s="2" t="str">
        <x:v>C0229</x:v>
      </x:c>
      <x:c r="C1440" s="7" t="n">
        <x:v>45794</x:v>
      </x:c>
      <x:c r="D1440" s="2" t="str">
        <x:v>Completed</x:v>
      </x:c>
      <x:c r="E1440" s="2" t="str">
        <x:v>East</x:v>
      </x:c>
      <x:c r="F1440" s="2" t="str">
        <x:v>Online</x:v>
      </x:c>
      <x:c r="G1440" s="9" t="n">
        <x:f>SUM(SalesLines!Q3515,SalesLines!Q3516)</x:f>
        <x:v>324.9</x:v>
      </x:c>
      <x:c r="H1440" s="9" t="n">
        <x:f>SUM(SalesLines!M3515,SalesLines!M3516)</x:f>
        <x:v>361</x:v>
      </x:c>
      <x:c r="I1440" s="9" t="n">
        <x:f>SUM(SalesLines!N3515,SalesLines!N3516)</x:f>
        <x:v>36.1</x:v>
      </x:c>
      <x:c r="J1440" s="9" t="n">
        <x:f>SUM(SalesLines!P3515,SalesLines!P3516)</x:f>
        <x:v>0</x:v>
      </x:c>
      <x:c r="K1440" s="11" t="n">
        <x:f>SUM(SalesLines!R3515,SalesLines!R3516)</x:f>
        <x:v>3</x:v>
      </x:c>
      <x:c r="L1440" s="11" t="n">
        <x:f>SUM(SalesLines!S3515,SalesLines!S3516)</x:f>
        <x:v>0</x:v>
      </x:c>
      <x:c r="M1440" s="8" t="n">
        <x:f>DATE(YEAR(C1440),MONTH(C1440),1)</x:f>
        <x:v>45778</x:v>
      </x:c>
    </x:row>
    <x:row r="1441" ht="22" customHeight="1">
      <x:c r="A1441" s="2" t="str">
        <x:v>O01437</x:v>
      </x:c>
      <x:c r="B1441" s="2" t="str">
        <x:v>C0094</x:v>
      </x:c>
      <x:c r="C1441" s="7" t="n">
        <x:v>45999</x:v>
      </x:c>
      <x:c r="D1441" s="2" t="str">
        <x:v>Completed</x:v>
      </x:c>
      <x:c r="E1441" s="2" t="str">
        <x:v>West</x:v>
      </x:c>
      <x:c r="F1441" s="2" t="str">
        <x:v>Online</x:v>
      </x:c>
      <x:c r="G1441" s="9" t="n">
        <x:f>SUM(SalesLines!Q3517,SalesLines!Q3518,SalesLines!Q3519)</x:f>
        <x:v>2584.2</x:v>
      </x:c>
      <x:c r="H1441" s="9" t="n">
        <x:f>SUM(SalesLines!M3517,SalesLines!M3518,SalesLines!M3519)</x:f>
        <x:v>3027</x:v>
      </x:c>
      <x:c r="I1441" s="9" t="n">
        <x:f>SUM(SalesLines!N3517,SalesLines!N3518,SalesLines!N3519)</x:f>
        <x:v>442.80000000000007</x:v>
      </x:c>
      <x:c r="J1441" s="9" t="n">
        <x:f>SUM(SalesLines!P3517,SalesLines!P3518,SalesLines!P3519)</x:f>
        <x:v>0</x:v>
      </x:c>
      <x:c r="K1441" s="11" t="n">
        <x:f>SUM(SalesLines!R3517,SalesLines!R3518,SalesLines!R3519)</x:f>
        <x:v>11</x:v>
      </x:c>
      <x:c r="L1441" s="11" t="n">
        <x:f>SUM(SalesLines!S3517,SalesLines!S3518,SalesLines!S3519)</x:f>
        <x:v>0</x:v>
      </x:c>
      <x:c r="M1441" s="8" t="n">
        <x:f>DATE(YEAR(C1441),MONTH(C1441),1)</x:f>
        <x:v>45992</x:v>
      </x:c>
    </x:row>
    <x:row r="1442" ht="22" customHeight="1">
      <x:c r="A1442" s="2" t="str">
        <x:v>O01438</x:v>
      </x:c>
      <x:c r="B1442" s="2" t="str">
        <x:v>C0264</x:v>
      </x:c>
      <x:c r="C1442" s="7" t="n">
        <x:v>45748</x:v>
      </x:c>
      <x:c r="D1442" s="2" t="str">
        <x:v>Completed</x:v>
      </x:c>
      <x:c r="E1442" s="2" t="str">
        <x:v>South</x:v>
      </x:c>
      <x:c r="F1442" s="2" t="str">
        <x:v>Store</x:v>
      </x:c>
      <x:c r="G1442" s="9" t="n">
        <x:f>SUM(SalesLines!Q3520,SalesLines!Q3521,SalesLines!Q3522)</x:f>
        <x:v>1774.1499999999999</x:v>
      </x:c>
      <x:c r="H1442" s="9" t="n">
        <x:f>SUM(SalesLines!M3520,SalesLines!M3521,SalesLines!M3522)</x:f>
        <x:v>1910</x:v>
      </x:c>
      <x:c r="I1442" s="9" t="n">
        <x:f>SUM(SalesLines!N3520,SalesLines!N3521,SalesLines!N3522)</x:f>
        <x:v>135.85000000000002</x:v>
      </x:c>
      <x:c r="J1442" s="9" t="n">
        <x:f>SUM(SalesLines!P3520,SalesLines!P3521,SalesLines!P3522)</x:f>
        <x:v>0</x:v>
      </x:c>
      <x:c r="K1442" s="11" t="n">
        <x:f>SUM(SalesLines!R3520,SalesLines!R3521,SalesLines!R3522)</x:f>
        <x:v>10</x:v>
      </x:c>
      <x:c r="L1442" s="11" t="n">
        <x:f>SUM(SalesLines!S3520,SalesLines!S3521,SalesLines!S3522)</x:f>
        <x:v>0</x:v>
      </x:c>
      <x:c r="M1442" s="8" t="n">
        <x:f>DATE(YEAR(C1442),MONTH(C1442),1)</x:f>
        <x:v>45748</x:v>
      </x:c>
    </x:row>
    <x:row r="1443" ht="22" customHeight="1">
      <x:c r="A1443" s="2" t="str">
        <x:v>O01439</x:v>
      </x:c>
      <x:c r="B1443" s="2" t="str">
        <x:v>C0177</x:v>
      </x:c>
      <x:c r="C1443" s="7" t="n">
        <x:v>45876</x:v>
      </x:c>
      <x:c r="D1443" s="2" t="str">
        <x:v>Completed</x:v>
      </x:c>
      <x:c r="E1443" s="2" t="str">
        <x:v>West</x:v>
      </x:c>
      <x:c r="F1443" s="2" t="str">
        <x:v>Store</x:v>
      </x:c>
      <x:c r="G1443" s="9" t="n">
        <x:f>SUM(SalesLines!Q3523,SalesLines!Q3524,SalesLines!Q3525)</x:f>
        <x:v>1267.6</x:v>
      </x:c>
      <x:c r="H1443" s="9" t="n">
        <x:f>SUM(SalesLines!M3523,SalesLines!M3524,SalesLines!M3525)</x:f>
        <x:v>1666</x:v>
      </x:c>
      <x:c r="I1443" s="9" t="n">
        <x:f>SUM(SalesLines!N3523,SalesLines!N3524,SalesLines!N3525)</x:f>
        <x:v>161.85</x:v>
      </x:c>
      <x:c r="J1443" s="9" t="n">
        <x:f>SUM(SalesLines!P3523,SalesLines!P3524,SalesLines!P3525)</x:f>
        <x:v>236.54999999999998</x:v>
      </x:c>
      <x:c r="K1443" s="11" t="n">
        <x:f>SUM(SalesLines!R3523,SalesLines!R3524,SalesLines!R3525)</x:f>
        <x:v>9</x:v>
      </x:c>
      <x:c r="L1443" s="11" t="n">
        <x:f>SUM(SalesLines!S3523,SalesLines!S3524,SalesLines!S3525)</x:f>
        <x:v>1</x:v>
      </x:c>
      <x:c r="M1443" s="8" t="n">
        <x:f>DATE(YEAR(C1443),MONTH(C1443),1)</x:f>
        <x:v>45870</x:v>
      </x:c>
    </x:row>
    <x:row r="1444" ht="22" customHeight="1">
      <x:c r="A1444" s="2" t="str">
        <x:v>O01440</x:v>
      </x:c>
      <x:c r="B1444" s="2" t="str">
        <x:v>C0106</x:v>
      </x:c>
      <x:c r="C1444" s="7" t="n">
        <x:v>45673</x:v>
      </x:c>
      <x:c r="D1444" s="2" t="str">
        <x:v>Completed</x:v>
      </x:c>
      <x:c r="E1444" s="2" t="str">
        <x:v>East</x:v>
      </x:c>
      <x:c r="F1444" s="2" t="str">
        <x:v>Store</x:v>
      </x:c>
      <x:c r="G1444" s="9" t="n">
        <x:f>SUM(SalesLines!Q3526,SalesLines!Q3527,SalesLines!Q3528)</x:f>
        <x:v>1991.9</x:v>
      </x:c>
      <x:c r="H1444" s="9" t="n">
        <x:f>SUM(SalesLines!M3526,SalesLines!M3527,SalesLines!M3528)</x:f>
        <x:v>2535</x:v>
      </x:c>
      <x:c r="I1444" s="9" t="n">
        <x:f>SUM(SalesLines!N3526,SalesLines!N3527,SalesLines!N3528)</x:f>
        <x:v>79.5</x:v>
      </x:c>
      <x:c r="J1444" s="9" t="n">
        <x:f>SUM(SalesLines!P3526,SalesLines!P3527,SalesLines!P3528)</x:f>
        <x:v>463.59999999999997</x:v>
      </x:c>
      <x:c r="K1444" s="11" t="n">
        <x:f>SUM(SalesLines!R3526,SalesLines!R3527,SalesLines!R3528)</x:f>
        <x:v>15</x:v>
      </x:c>
      <x:c r="L1444" s="11" t="n">
        <x:f>SUM(SalesLines!S3526,SalesLines!S3527,SalesLines!S3528)</x:f>
        <x:v>4</x:v>
      </x:c>
      <x:c r="M1444" s="8" t="n">
        <x:f>DATE(YEAR(C1444),MONTH(C1444),1)</x:f>
        <x:v>45658</x:v>
      </x:c>
    </x:row>
    <x:row r="1445" ht="22" customHeight="1">
      <x:c r="A1445" s="2" t="str">
        <x:v>O01441</x:v>
      </x:c>
      <x:c r="B1445" s="2" t="str">
        <x:v>C0208</x:v>
      </x:c>
      <x:c r="C1445" s="7" t="n">
        <x:v>45984</x:v>
      </x:c>
      <x:c r="D1445" s="2" t="str">
        <x:v>Completed</x:v>
      </x:c>
      <x:c r="E1445" s="2" t="str">
        <x:v>East</x:v>
      </x:c>
      <x:c r="F1445" s="2" t="str">
        <x:v>Online</x:v>
      </x:c>
      <x:c r="G1445" s="9" t="n">
        <x:f>SUM(SalesLines!Q3529,SalesLines!Q3530,SalesLines!Q3531,SalesLines!Q3532)</x:f>
        <x:v>1386.9</x:v>
      </x:c>
      <x:c r="H1445" s="9" t="n">
        <x:f>SUM(SalesLines!M3529,SalesLines!M3530,SalesLines!M3531,SalesLines!M3532)</x:f>
        <x:v>1449</x:v>
      </x:c>
      <x:c r="I1445" s="9" t="n">
        <x:f>SUM(SalesLines!N3529,SalesLines!N3530,SalesLines!N3531,SalesLines!N3532)</x:f>
        <x:v>62.1</x:v>
      </x:c>
      <x:c r="J1445" s="9" t="n">
        <x:f>SUM(SalesLines!P3529,SalesLines!P3530,SalesLines!P3531,SalesLines!P3532)</x:f>
        <x:v>0</x:v>
      </x:c>
      <x:c r="K1445" s="11" t="n">
        <x:f>SUM(SalesLines!R3529,SalesLines!R3530,SalesLines!R3531,SalesLines!R3532)</x:f>
        <x:v>9</x:v>
      </x:c>
      <x:c r="L1445" s="11" t="n">
        <x:f>SUM(SalesLines!S3529,SalesLines!S3530,SalesLines!S3531,SalesLines!S3532)</x:f>
        <x:v>0</x:v>
      </x:c>
      <x:c r="M1445" s="8" t="n">
        <x:f>DATE(YEAR(C1445),MONTH(C1445),1)</x:f>
        <x:v>45962</x:v>
      </x:c>
    </x:row>
    <x:row r="1446" ht="22" customHeight="1">
      <x:c r="A1446" s="2" t="str">
        <x:v>O01442</x:v>
      </x:c>
      <x:c r="B1446" s="2" t="str">
        <x:v>C0240</x:v>
      </x:c>
      <x:c r="C1446" s="7" t="n">
        <x:v>45910</x:v>
      </x:c>
      <x:c r="D1446" s="2" t="str">
        <x:v>Completed</x:v>
      </x:c>
      <x:c r="E1446" s="2" t="str">
        <x:v>West</x:v>
      </x:c>
      <x:c r="F1446" s="2" t="str">
        <x:v>Online</x:v>
      </x:c>
      <x:c r="G1446" s="9" t="n">
        <x:f>SUM(SalesLines!Q3533,SalesLines!Q3534,SalesLines!Q3535,SalesLines!Q3536)</x:f>
        <x:v>2592.55</x:v>
      </x:c>
      <x:c r="H1446" s="9" t="n">
        <x:f>SUM(SalesLines!M3533,SalesLines!M3534,SalesLines!M3535,SalesLines!M3536)</x:f>
        <x:v>3122</x:v>
      </x:c>
      <x:c r="I1446" s="9" t="n">
        <x:f>SUM(SalesLines!N3533,SalesLines!N3534,SalesLines!N3535,SalesLines!N3536)</x:f>
        <x:v>529.45</x:v>
      </x:c>
      <x:c r="J1446" s="9" t="n">
        <x:f>SUM(SalesLines!P3533,SalesLines!P3534,SalesLines!P3535,SalesLines!P3536)</x:f>
        <x:v>0</x:v>
      </x:c>
      <x:c r="K1446" s="11" t="n">
        <x:f>SUM(SalesLines!R3533,SalesLines!R3534,SalesLines!R3535,SalesLines!R3536)</x:f>
        <x:v>14</x:v>
      </x:c>
      <x:c r="L1446" s="11" t="n">
        <x:f>SUM(SalesLines!S3533,SalesLines!S3534,SalesLines!S3535,SalesLines!S3536)</x:f>
        <x:v>0</x:v>
      </x:c>
      <x:c r="M1446" s="8" t="n">
        <x:f>DATE(YEAR(C1446),MONTH(C1446),1)</x:f>
        <x:v>45901</x:v>
      </x:c>
    </x:row>
    <x:row r="1447" ht="22" customHeight="1">
      <x:c r="A1447" s="2" t="str">
        <x:v>O01443</x:v>
      </x:c>
      <x:c r="B1447" s="2" t="str">
        <x:v>C0043</x:v>
      </x:c>
      <x:c r="C1447" s="7" t="n">
        <x:v>45808</x:v>
      </x:c>
      <x:c r="D1447" s="2" t="str">
        <x:v>Completed</x:v>
      </x:c>
      <x:c r="E1447" s="2" t="str">
        <x:v>West</x:v>
      </x:c>
      <x:c r="F1447" s="2" t="str">
        <x:v>Online</x:v>
      </x:c>
      <x:c r="G1447" s="9" t="n">
        <x:f>SUM(SalesLines!Q3537,SalesLines!Q3538)</x:f>
        <x:v>703.7</x:v>
      </x:c>
      <x:c r="H1447" s="9" t="n">
        <x:f>SUM(SalesLines!M3537,SalesLines!M3538)</x:f>
        <x:v>767</x:v>
      </x:c>
      <x:c r="I1447" s="9" t="n">
        <x:f>SUM(SalesLines!N3537,SalesLines!N3538)</x:f>
        <x:v>63.300000000000004</x:v>
      </x:c>
      <x:c r="J1447" s="9" t="n">
        <x:f>SUM(SalesLines!P3537,SalesLines!P3538)</x:f>
        <x:v>0</x:v>
      </x:c>
      <x:c r="K1447" s="11" t="n">
        <x:f>SUM(SalesLines!R3537,SalesLines!R3538)</x:f>
        <x:v>4</x:v>
      </x:c>
      <x:c r="L1447" s="11" t="n">
        <x:f>SUM(SalesLines!S3537,SalesLines!S3538)</x:f>
        <x:v>0</x:v>
      </x:c>
      <x:c r="M1447" s="8" t="n">
        <x:f>DATE(YEAR(C1447),MONTH(C1447),1)</x:f>
        <x:v>45778</x:v>
      </x:c>
    </x:row>
    <x:row r="1448" ht="22" customHeight="1">
      <x:c r="A1448" s="2" t="str">
        <x:v>O01444</x:v>
      </x:c>
      <x:c r="B1448" s="2" t="str">
        <x:v>C0046</x:v>
      </x:c>
      <x:c r="C1448" s="7" t="n">
        <x:v>45819</x:v>
      </x:c>
      <x:c r="D1448" s="2" t="str">
        <x:v>Completed</x:v>
      </x:c>
      <x:c r="E1448" s="2" t="str">
        <x:v>West</x:v>
      </x:c>
      <x:c r="F1448" s="2" t="str">
        <x:v>Online</x:v>
      </x:c>
      <x:c r="G1448" s="9" t="n">
        <x:f>SUM(SalesLines!Q3539,SalesLines!Q3540,SalesLines!Q3541)</x:f>
        <x:v>1710.25</x:v>
      </x:c>
      <x:c r="H1448" s="9" t="n">
        <x:f>SUM(SalesLines!M3539,SalesLines!M3540,SalesLines!M3541)</x:f>
        <x:v>1867</x:v>
      </x:c>
      <x:c r="I1448" s="9" t="n">
        <x:f>SUM(SalesLines!N3539,SalesLines!N3540,SalesLines!N3541)</x:f>
        <x:v>156.75</x:v>
      </x:c>
      <x:c r="J1448" s="9" t="n">
        <x:f>SUM(SalesLines!P3539,SalesLines!P3540,SalesLines!P3541)</x:f>
        <x:v>0</x:v>
      </x:c>
      <x:c r="K1448" s="11" t="n">
        <x:f>SUM(SalesLines!R3539,SalesLines!R3540,SalesLines!R3541)</x:f>
        <x:v>8</x:v>
      </x:c>
      <x:c r="L1448" s="11" t="n">
        <x:f>SUM(SalesLines!S3539,SalesLines!S3540,SalesLines!S3541)</x:f>
        <x:v>0</x:v>
      </x:c>
      <x:c r="M1448" s="8" t="n">
        <x:f>DATE(YEAR(C1448),MONTH(C1448),1)</x:f>
        <x:v>45809</x:v>
      </x:c>
    </x:row>
    <x:row r="1449" ht="22" customHeight="1">
      <x:c r="A1449" s="2" t="str">
        <x:v>O01445</x:v>
      </x:c>
      <x:c r="B1449" s="2" t="str">
        <x:v>C0056</x:v>
      </x:c>
      <x:c r="C1449" s="7" t="n">
        <x:v>45939</x:v>
      </x:c>
      <x:c r="D1449" s="2" t="str">
        <x:v>Completed</x:v>
      </x:c>
      <x:c r="E1449" s="2" t="str">
        <x:v>North</x:v>
      </x:c>
      <x:c r="F1449" s="2" t="str">
        <x:v>Store</x:v>
      </x:c>
      <x:c r="G1449" s="9" t="n">
        <x:f>SUM(SalesLines!Q3542,SalesLines!Q3543,SalesLines!Q3544)</x:f>
        <x:v>1603.6</x:v>
      </x:c>
      <x:c r="H1449" s="9" t="n">
        <x:f>SUM(SalesLines!M3542,SalesLines!M3543,SalesLines!M3544)</x:f>
        <x:v>1919</x:v>
      </x:c>
      <x:c r="I1449" s="9" t="n">
        <x:f>SUM(SalesLines!N3542,SalesLines!N3543,SalesLines!N3544)</x:f>
        <x:v>107.5</x:v>
      </x:c>
      <x:c r="J1449" s="9" t="n">
        <x:f>SUM(SalesLines!P3542,SalesLines!P3543,SalesLines!P3544)</x:f>
        <x:v>207.9</x:v>
      </x:c>
      <x:c r="K1449" s="11" t="n">
        <x:f>SUM(SalesLines!R3542,SalesLines!R3543,SalesLines!R3544)</x:f>
        <x:v>7</x:v>
      </x:c>
      <x:c r="L1449" s="11" t="n">
        <x:f>SUM(SalesLines!S3542,SalesLines!S3543,SalesLines!S3544)</x:f>
        <x:v>1</x:v>
      </x:c>
      <x:c r="M1449" s="8" t="n">
        <x:f>DATE(YEAR(C1449),MONTH(C1449),1)</x:f>
        <x:v>45931</x:v>
      </x:c>
    </x:row>
    <x:row r="1450" ht="22" customHeight="1">
      <x:c r="A1450" s="2" t="str">
        <x:v>O01446</x:v>
      </x:c>
      <x:c r="B1450" s="2" t="str">
        <x:v>C0190</x:v>
      </x:c>
      <x:c r="C1450" s="7" t="n">
        <x:v>45960</x:v>
      </x:c>
      <x:c r="D1450" s="2" t="str">
        <x:v>Completed</x:v>
      </x:c>
      <x:c r="E1450" s="2" t="str">
        <x:v>North</x:v>
      </x:c>
      <x:c r="F1450" s="2" t="str">
        <x:v>Store</x:v>
      </x:c>
      <x:c r="G1450" s="9" t="n">
        <x:f>SUM(SalesLines!Q3545)</x:f>
        <x:v>219.6</x:v>
      </x:c>
      <x:c r="H1450" s="9" t="n">
        <x:f>SUM(SalesLines!M3545)</x:f>
        <x:v>244</x:v>
      </x:c>
      <x:c r="I1450" s="9" t="n">
        <x:f>SUM(SalesLines!N3545)</x:f>
        <x:v>24.400000000000002</x:v>
      </x:c>
      <x:c r="J1450" s="9" t="n">
        <x:f>SUM(SalesLines!P3545)</x:f>
        <x:v>0</x:v>
      </x:c>
      <x:c r="K1450" s="11" t="n">
        <x:f>SUM(SalesLines!R3545)</x:f>
        <x:v>2</x:v>
      </x:c>
      <x:c r="L1450" s="11" t="n">
        <x:f>SUM(SalesLines!S3545)</x:f>
        <x:v>0</x:v>
      </x:c>
      <x:c r="M1450" s="8" t="n">
        <x:f>DATE(YEAR(C1450),MONTH(C1450),1)</x:f>
        <x:v>45931</x:v>
      </x:c>
    </x:row>
    <x:row r="1451" ht="22" customHeight="1">
      <x:c r="A1451" s="2" t="str">
        <x:v>O01447</x:v>
      </x:c>
      <x:c r="B1451" s="2" t="str">
        <x:v>C0249</x:v>
      </x:c>
      <x:c r="C1451" s="7" t="n">
        <x:v>46020</x:v>
      </x:c>
      <x:c r="D1451" s="2" t="str">
        <x:v>Completed</x:v>
      </x:c>
      <x:c r="E1451" s="2" t="str">
        <x:v>North</x:v>
      </x:c>
      <x:c r="F1451" s="2" t="str">
        <x:v>Online</x:v>
      </x:c>
      <x:c r="G1451" s="9" t="n">
        <x:f>SUM(SalesLines!Q3546)</x:f>
        <x:v>233.7</x:v>
      </x:c>
      <x:c r="H1451" s="9" t="n">
        <x:f>SUM(SalesLines!M3546)</x:f>
        <x:v>492</x:v>
      </x:c>
      <x:c r="I1451" s="9" t="n">
        <x:f>SUM(SalesLines!N3546)</x:f>
        <x:v>24.6</x:v>
      </x:c>
      <x:c r="J1451" s="9" t="n">
        <x:f>SUM(SalesLines!P3546)</x:f>
        <x:v>233.7</x:v>
      </x:c>
      <x:c r="K1451" s="11" t="n">
        <x:f>SUM(SalesLines!R3546)</x:f>
        <x:v>4</x:v>
      </x:c>
      <x:c r="L1451" s="11" t="n">
        <x:f>SUM(SalesLines!S3546)</x:f>
        <x:v>2</x:v>
      </x:c>
      <x:c r="M1451" s="8" t="n">
        <x:f>DATE(YEAR(C1451),MONTH(C1451),1)</x:f>
        <x:v>45992</x:v>
      </x:c>
    </x:row>
    <x:row r="1452" ht="22" customHeight="1">
      <x:c r="A1452" s="2" t="str">
        <x:v>O01448</x:v>
      </x:c>
      <x:c r="B1452" s="2" t="str">
        <x:v>C0052</x:v>
      </x:c>
      <x:c r="C1452" s="7" t="n">
        <x:v>45890</x:v>
      </x:c>
      <x:c r="D1452" s="2" t="str">
        <x:v>Completed</x:v>
      </x:c>
      <x:c r="E1452" s="2" t="str">
        <x:v>North</x:v>
      </x:c>
      <x:c r="F1452" s="2" t="str">
        <x:v>Online</x:v>
      </x:c>
      <x:c r="G1452" s="9" t="n">
        <x:f>SUM(SalesLines!Q3547,SalesLines!Q3548)</x:f>
        <x:v>342.8</x:v>
      </x:c>
      <x:c r="H1452" s="9" t="n">
        <x:f>SUM(SalesLines!M3547,SalesLines!M3548)</x:f>
        <x:v>370</x:v>
      </x:c>
      <x:c r="I1452" s="9" t="n">
        <x:f>SUM(SalesLines!N3547,SalesLines!N3548)</x:f>
        <x:v>27.200000000000003</x:v>
      </x:c>
      <x:c r="J1452" s="9" t="n">
        <x:f>SUM(SalesLines!P3547,SalesLines!P3548)</x:f>
        <x:v>0</x:v>
      </x:c>
      <x:c r="K1452" s="11" t="n">
        <x:f>SUM(SalesLines!R3547,SalesLines!R3548)</x:f>
        <x:v>5</x:v>
      </x:c>
      <x:c r="L1452" s="11" t="n">
        <x:f>SUM(SalesLines!S3547,SalesLines!S3548)</x:f>
        <x:v>0</x:v>
      </x:c>
      <x:c r="M1452" s="8" t="n">
        <x:f>DATE(YEAR(C1452),MONTH(C1452),1)</x:f>
        <x:v>45870</x:v>
      </x:c>
    </x:row>
    <x:row r="1453" ht="22" customHeight="1">
      <x:c r="A1453" s="2" t="str">
        <x:v>O01449</x:v>
      </x:c>
      <x:c r="B1453" s="2" t="str">
        <x:v>C0252</x:v>
      </x:c>
      <x:c r="C1453" s="7" t="n">
        <x:v>45668</x:v>
      </x:c>
      <x:c r="D1453" s="2" t="str">
        <x:v>Completed</x:v>
      </x:c>
      <x:c r="E1453" s="2" t="str">
        <x:v>West</x:v>
      </x:c>
      <x:c r="F1453" s="2" t="str">
        <x:v>Store</x:v>
      </x:c>
      <x:c r="G1453" s="9" t="n">
        <x:f>SUM(SalesLines!Q3549,SalesLines!Q3550)</x:f>
        <x:v>1752.8</x:v>
      </x:c>
      <x:c r="H1453" s="9" t="n">
        <x:f>SUM(SalesLines!M3549,SalesLines!M3550)</x:f>
        <x:v>2097</x:v>
      </x:c>
      <x:c r="I1453" s="9" t="n">
        <x:f>SUM(SalesLines!N3549,SalesLines!N3550)</x:f>
        <x:v>344.2</x:v>
      </x:c>
      <x:c r="J1453" s="9" t="n">
        <x:f>SUM(SalesLines!P3549,SalesLines!P3550)</x:f>
        <x:v>0</x:v>
      </x:c>
      <x:c r="K1453" s="11" t="n">
        <x:f>SUM(SalesLines!R3549,SalesLines!R3550)</x:f>
        <x:v>9</x:v>
      </x:c>
      <x:c r="L1453" s="11" t="n">
        <x:f>SUM(SalesLines!S3549,SalesLines!S3550)</x:f>
        <x:v>0</x:v>
      </x:c>
      <x:c r="M1453" s="8" t="n">
        <x:f>DATE(YEAR(C1453),MONTH(C1453),1)</x:f>
        <x:v>45658</x:v>
      </x:c>
    </x:row>
    <x:row r="1454" ht="22" customHeight="1">
      <x:c r="A1454" s="2" t="str">
        <x:v>O01450</x:v>
      </x:c>
      <x:c r="B1454" s="2" t="str">
        <x:v>C0251</x:v>
      </x:c>
      <x:c r="C1454" s="7" t="n">
        <x:v>45753</x:v>
      </x:c>
      <x:c r="D1454" s="2" t="str">
        <x:v>Completed</x:v>
      </x:c>
      <x:c r="E1454" s="2" t="str">
        <x:v>North</x:v>
      </x:c>
      <x:c r="F1454" s="2" t="str">
        <x:v>Online</x:v>
      </x:c>
      <x:c r="G1454" s="9" t="n">
        <x:f>SUM(SalesLines!Q3551,SalesLines!Q3552,SalesLines!Q3553,SalesLines!Q3554)</x:f>
        <x:v>2099.6</x:v>
      </x:c>
      <x:c r="H1454" s="9" t="n">
        <x:f>SUM(SalesLines!M3551,SalesLines!M3552,SalesLines!M3553,SalesLines!M3554)</x:f>
        <x:v>2370</x:v>
      </x:c>
      <x:c r="I1454" s="9" t="n">
        <x:f>SUM(SalesLines!N3551,SalesLines!N3552,SalesLines!N3553,SalesLines!N3554)</x:f>
        <x:v>270.40000000000003</x:v>
      </x:c>
      <x:c r="J1454" s="9" t="n">
        <x:f>SUM(SalesLines!P3551,SalesLines!P3552,SalesLines!P3553,SalesLines!P3554)</x:f>
        <x:v>0</x:v>
      </x:c>
      <x:c r="K1454" s="11" t="n">
        <x:f>SUM(SalesLines!R3551,SalesLines!R3552,SalesLines!R3553,SalesLines!R3554)</x:f>
        <x:v>14</x:v>
      </x:c>
      <x:c r="L1454" s="11" t="n">
        <x:f>SUM(SalesLines!S3551,SalesLines!S3552,SalesLines!S3553,SalesLines!S3554)</x:f>
        <x:v>0</x:v>
      </x:c>
      <x:c r="M1454" s="8" t="n">
        <x:f>DATE(YEAR(C1454),MONTH(C1454),1)</x:f>
        <x:v>45748</x:v>
      </x:c>
    </x:row>
    <x:row r="1455" ht="22" customHeight="1">
      <x:c r="A1455" s="2" t="str">
        <x:v>O01451</x:v>
      </x:c>
      <x:c r="B1455" s="2" t="str">
        <x:v>C0266</x:v>
      </x:c>
      <x:c r="C1455" s="7" t="n">
        <x:v>45959</x:v>
      </x:c>
      <x:c r="D1455" s="2" t="str">
        <x:v>Completed</x:v>
      </x:c>
      <x:c r="E1455" s="2" t="str">
        <x:v>North</x:v>
      </x:c>
      <x:c r="F1455" s="2" t="str">
        <x:v>Online</x:v>
      </x:c>
      <x:c r="G1455" s="9" t="n">
        <x:f>SUM(SalesLines!Q3555)</x:f>
        <x:v>1277.75</x:v>
      </x:c>
      <x:c r="H1455" s="9" t="n">
        <x:f>SUM(SalesLines!M3555)</x:f>
        <x:v>1345</x:v>
      </x:c>
      <x:c r="I1455" s="9" t="n">
        <x:f>SUM(SalesLines!N3555)</x:f>
        <x:v>67.25</x:v>
      </x:c>
      <x:c r="J1455" s="9" t="n">
        <x:f>SUM(SalesLines!P3555)</x:f>
        <x:v>0</x:v>
      </x:c>
      <x:c r="K1455" s="11" t="n">
        <x:f>SUM(SalesLines!R3555)</x:f>
        <x:v>5</x:v>
      </x:c>
      <x:c r="L1455" s="11" t="n">
        <x:f>SUM(SalesLines!S3555)</x:f>
        <x:v>0</x:v>
      </x:c>
      <x:c r="M1455" s="8" t="n">
        <x:f>DATE(YEAR(C1455),MONTH(C1455),1)</x:f>
        <x:v>45931</x:v>
      </x:c>
    </x:row>
    <x:row r="1456" ht="22" customHeight="1">
      <x:c r="A1456" s="2" t="str">
        <x:v>O01452</x:v>
      </x:c>
      <x:c r="B1456" s="2" t="str">
        <x:v>C0183</x:v>
      </x:c>
      <x:c r="C1456" s="7" t="n">
        <x:v>45969</x:v>
      </x:c>
      <x:c r="D1456" s="2" t="str">
        <x:v>Cancelled</x:v>
      </x:c>
      <x:c r="E1456" s="2" t="str">
        <x:v>East</x:v>
      </x:c>
      <x:c r="F1456" s="2" t="str">
        <x:v>Online</x:v>
      </x:c>
      <x:c r="G1456" s="9" t="n">
        <x:f>SUM(SalesLines!Q3556,SalesLines!Q3557,SalesLines!Q3558,SalesLines!Q3559)</x:f>
        <x:v>0</x:v>
      </x:c>
      <x:c r="H1456" s="9" t="n">
        <x:f>SUM(SalesLines!M3556,SalesLines!M3557,SalesLines!M3558,SalesLines!M3559)</x:f>
        <x:v>0</x:v>
      </x:c>
      <x:c r="I1456" s="9" t="n">
        <x:f>SUM(SalesLines!N3556,SalesLines!N3557,SalesLines!N3558,SalesLines!N3559)</x:f>
        <x:v>0</x:v>
      </x:c>
      <x:c r="J1456" s="9" t="n">
        <x:f>SUM(SalesLines!P3556,SalesLines!P3557,SalesLines!P3558,SalesLines!P3559)</x:f>
        <x:v>0</x:v>
      </x:c>
      <x:c r="K1456" s="11" t="n">
        <x:f>SUM(SalesLines!R3556,SalesLines!R3557,SalesLines!R3558,SalesLines!R3559)</x:f>
        <x:v>0</x:v>
      </x:c>
      <x:c r="L1456" s="11" t="n">
        <x:f>SUM(SalesLines!S3556,SalesLines!S3557,SalesLines!S3558,SalesLines!S3559)</x:f>
        <x:v>0</x:v>
      </x:c>
      <x:c r="M1456" s="8" t="n">
        <x:f>DATE(YEAR(C1456),MONTH(C1456),1)</x:f>
        <x:v>45962</x:v>
      </x:c>
    </x:row>
    <x:row r="1457" ht="22" customHeight="1">
      <x:c r="A1457" s="2" t="str">
        <x:v>O01453</x:v>
      </x:c>
      <x:c r="B1457" s="2" t="str">
        <x:v>C0262</x:v>
      </x:c>
      <x:c r="C1457" s="7" t="n">
        <x:v>45903</x:v>
      </x:c>
      <x:c r="D1457" s="2" t="str">
        <x:v>Completed</x:v>
      </x:c>
      <x:c r="E1457" s="2" t="str">
        <x:v>West</x:v>
      </x:c>
      <x:c r="F1457" s="2" t="str">
        <x:v>Online</x:v>
      </x:c>
      <x:c r="G1457" s="9" t="n">
        <x:f>SUM(SalesLines!Q3560,SalesLines!Q3561,SalesLines!Q3562)</x:f>
        <x:v>1510.35</x:v>
      </x:c>
      <x:c r="H1457" s="9" t="n">
        <x:f>SUM(SalesLines!M3560,SalesLines!M3561,SalesLines!M3562)</x:f>
        <x:v>1551</x:v>
      </x:c>
      <x:c r="I1457" s="9" t="n">
        <x:f>SUM(SalesLines!N3560,SalesLines!N3561,SalesLines!N3562)</x:f>
        <x:v>40.650000000000006</x:v>
      </x:c>
      <x:c r="J1457" s="9" t="n">
        <x:f>SUM(SalesLines!P3560,SalesLines!P3561,SalesLines!P3562)</x:f>
        <x:v>0</x:v>
      </x:c>
      <x:c r="K1457" s="11" t="n">
        <x:f>SUM(SalesLines!R3560,SalesLines!R3561,SalesLines!R3562)</x:f>
        <x:v>10</x:v>
      </x:c>
      <x:c r="L1457" s="11" t="n">
        <x:f>SUM(SalesLines!S3560,SalesLines!S3561,SalesLines!S3562)</x:f>
        <x:v>0</x:v>
      </x:c>
      <x:c r="M1457" s="8" t="n">
        <x:f>DATE(YEAR(C1457),MONTH(C1457),1)</x:f>
        <x:v>45901</x:v>
      </x:c>
    </x:row>
    <x:row r="1458" ht="22" customHeight="1">
      <x:c r="A1458" s="2" t="str">
        <x:v>O01454</x:v>
      </x:c>
      <x:c r="B1458" s="2" t="str">
        <x:v>C0083</x:v>
      </x:c>
      <x:c r="C1458" s="7" t="n">
        <x:v>45751</x:v>
      </x:c>
      <x:c r="D1458" s="2" t="str">
        <x:v>Completed</x:v>
      </x:c>
      <x:c r="E1458" s="2" t="str">
        <x:v>West</x:v>
      </x:c>
      <x:c r="F1458" s="2" t="str">
        <x:v>Online</x:v>
      </x:c>
      <x:c r="G1458" s="9" t="n">
        <x:f>SUM(SalesLines!Q3563)</x:f>
        <x:v>-2.842170943040401e-14</x:v>
      </x:c>
      <x:c r="H1458" s="9" t="n">
        <x:f>SUM(SalesLines!M3563)</x:f>
        <x:v>234</x:v>
      </x:c>
      <x:c r="I1458" s="9" t="n">
        <x:f>SUM(SalesLines!N3563)</x:f>
        <x:v>46.800000000000004</x:v>
      </x:c>
      <x:c r="J1458" s="9" t="n">
        <x:f>SUM(SalesLines!P3563)</x:f>
        <x:v>187.20000000000002</x:v>
      </x:c>
      <x:c r="K1458" s="11" t="n">
        <x:f>SUM(SalesLines!R3563)</x:f>
        <x:v>3</x:v>
      </x:c>
      <x:c r="L1458" s="11" t="n">
        <x:f>SUM(SalesLines!S3563)</x:f>
        <x:v>3</x:v>
      </x:c>
      <x:c r="M1458" s="8" t="n">
        <x:f>DATE(YEAR(C1458),MONTH(C1458),1)</x:f>
        <x:v>45748</x:v>
      </x:c>
    </x:row>
    <x:row r="1459" ht="22" customHeight="1">
      <x:c r="A1459" s="2" t="str">
        <x:v>O01455</x:v>
      </x:c>
      <x:c r="B1459" s="2" t="str">
        <x:v>C0285</x:v>
      </x:c>
      <x:c r="C1459" s="7" t="n">
        <x:v>45891</x:v>
      </x:c>
      <x:c r="D1459" s="2" t="str">
        <x:v>Completed</x:v>
      </x:c>
      <x:c r="E1459" s="2" t="str">
        <x:v>East</x:v>
      </x:c>
      <x:c r="F1459" s="2" t="str">
        <x:v>Store</x:v>
      </x:c>
      <x:c r="G1459" s="9" t="n">
        <x:f>SUM(SalesLines!Q3564,SalesLines!Q3565,SalesLines!Q3566)</x:f>
        <x:v>1476.4</x:v>
      </x:c>
      <x:c r="H1459" s="9" t="n">
        <x:f>SUM(SalesLines!M3564,SalesLines!M3565,SalesLines!M3566)</x:f>
        <x:v>1855</x:v>
      </x:c>
      <x:c r="I1459" s="9" t="n">
        <x:f>SUM(SalesLines!N3564,SalesLines!N3565,SalesLines!N3566)</x:f>
        <x:v>107.60000000000001</x:v>
      </x:c>
      <x:c r="J1459" s="9" t="n">
        <x:f>SUM(SalesLines!P3564,SalesLines!P3565,SalesLines!P3566)</x:f>
        <x:v>271</x:v>
      </x:c>
      <x:c r="K1459" s="11" t="n">
        <x:f>SUM(SalesLines!R3564,SalesLines!R3565,SalesLines!R3566)</x:f>
        <x:v>7</x:v>
      </x:c>
      <x:c r="L1459" s="11" t="n">
        <x:f>SUM(SalesLines!S3564,SalesLines!S3565,SalesLines!S3566)</x:f>
        <x:v>1</x:v>
      </x:c>
      <x:c r="M1459" s="8" t="n">
        <x:f>DATE(YEAR(C1459),MONTH(C1459),1)</x:f>
        <x:v>45870</x:v>
      </x:c>
    </x:row>
    <x:row r="1460" ht="22" customHeight="1">
      <x:c r="A1460" s="2" t="str">
        <x:v>O01456</x:v>
      </x:c>
      <x:c r="B1460" s="2" t="str">
        <x:v>C0219</x:v>
      </x:c>
      <x:c r="C1460" s="7" t="n">
        <x:v>45838</x:v>
      </x:c>
      <x:c r="D1460" s="2" t="str">
        <x:v>Completed</x:v>
      </x:c>
      <x:c r="E1460" s="2" t="str">
        <x:v>East</x:v>
      </x:c>
      <x:c r="F1460" s="2" t="str">
        <x:v>Store</x:v>
      </x:c>
      <x:c r="G1460" s="9" t="n">
        <x:f>SUM(SalesLines!Q3567,SalesLines!Q3568,SalesLines!Q3569)</x:f>
        <x:v>1686.4</x:v>
      </x:c>
      <x:c r="H1460" s="9" t="n">
        <x:f>SUM(SalesLines!M3567,SalesLines!M3568,SalesLines!M3569)</x:f>
        <x:v>1976</x:v>
      </x:c>
      <x:c r="I1460" s="9" t="n">
        <x:f>SUM(SalesLines!N3567,SalesLines!N3568,SalesLines!N3569)</x:f>
        <x:v>289.6</x:v>
      </x:c>
      <x:c r="J1460" s="9" t="n">
        <x:f>SUM(SalesLines!P3567,SalesLines!P3568,SalesLines!P3569)</x:f>
        <x:v>0</x:v>
      </x:c>
      <x:c r="K1460" s="11" t="n">
        <x:f>SUM(SalesLines!R3567,SalesLines!R3568,SalesLines!R3569)</x:f>
        <x:v>10</x:v>
      </x:c>
      <x:c r="L1460" s="11" t="n">
        <x:f>SUM(SalesLines!S3567,SalesLines!S3568,SalesLines!S3569)</x:f>
        <x:v>0</x:v>
      </x:c>
      <x:c r="M1460" s="8" t="n">
        <x:f>DATE(YEAR(C1460),MONTH(C1460),1)</x:f>
        <x:v>45809</x:v>
      </x:c>
    </x:row>
    <x:row r="1461" ht="22" customHeight="1">
      <x:c r="A1461" s="2" t="str">
        <x:v>O01457</x:v>
      </x:c>
      <x:c r="B1461" s="2" t="str">
        <x:v>C0248</x:v>
      </x:c>
      <x:c r="C1461" s="7" t="n">
        <x:v>45827</x:v>
      </x:c>
      <x:c r="D1461" s="2" t="str">
        <x:v>Completed</x:v>
      </x:c>
      <x:c r="E1461" s="2" t="str">
        <x:v>East</x:v>
      </x:c>
      <x:c r="F1461" s="2" t="str">
        <x:v>Store</x:v>
      </x:c>
      <x:c r="G1461" s="9" t="n">
        <x:f>SUM(SalesLines!Q3570,SalesLines!Q3571)</x:f>
        <x:v>1779</x:v>
      </x:c>
      <x:c r="H1461" s="9" t="n">
        <x:f>SUM(SalesLines!M3570,SalesLines!M3571)</x:f>
        <x:v>1824</x:v>
      </x:c>
      <x:c r="I1461" s="9" t="n">
        <x:f>SUM(SalesLines!N3570,SalesLines!N3571)</x:f>
        <x:v>45</x:v>
      </x:c>
      <x:c r="J1461" s="9" t="n">
        <x:f>SUM(SalesLines!P3570,SalesLines!P3571)</x:f>
        <x:v>0</x:v>
      </x:c>
      <x:c r="K1461" s="11" t="n">
        <x:f>SUM(SalesLines!R3570,SalesLines!R3571)</x:f>
        <x:v>7</x:v>
      </x:c>
      <x:c r="L1461" s="11" t="n">
        <x:f>SUM(SalesLines!S3570,SalesLines!S3571)</x:f>
        <x:v>0</x:v>
      </x:c>
      <x:c r="M1461" s="8" t="n">
        <x:f>DATE(YEAR(C1461),MONTH(C1461),1)</x:f>
        <x:v>45809</x:v>
      </x:c>
    </x:row>
    <x:row r="1462" ht="22" customHeight="1">
      <x:c r="A1462" s="2" t="str">
        <x:v>O01458</x:v>
      </x:c>
      <x:c r="B1462" s="2" t="str">
        <x:v>C0038</x:v>
      </x:c>
      <x:c r="C1462" s="7" t="n">
        <x:v>45986</x:v>
      </x:c>
      <x:c r="D1462" s="2" t="str">
        <x:v>Completed</x:v>
      </x:c>
      <x:c r="E1462" s="2" t="str">
        <x:v>South</x:v>
      </x:c>
      <x:c r="F1462" s="2" t="str">
        <x:v>Online</x:v>
      </x:c>
      <x:c r="G1462" s="9" t="n">
        <x:f>SUM(SalesLines!Q3572,SalesLines!Q3573,SalesLines!Q3574,SalesLines!Q3575)</x:f>
        <x:v>1511.1</x:v>
      </x:c>
      <x:c r="H1462" s="9" t="n">
        <x:f>SUM(SalesLines!M3572,SalesLines!M3573,SalesLines!M3574,SalesLines!M3575)</x:f>
        <x:v>1726</x:v>
      </x:c>
      <x:c r="I1462" s="9" t="n">
        <x:f>SUM(SalesLines!N3572,SalesLines!N3573,SalesLines!N3574,SalesLines!N3575)</x:f>
        <x:v>214.9</x:v>
      </x:c>
      <x:c r="J1462" s="9" t="n">
        <x:f>SUM(SalesLines!P3572,SalesLines!P3573,SalesLines!P3574,SalesLines!P3575)</x:f>
        <x:v>0</x:v>
      </x:c>
      <x:c r="K1462" s="11" t="n">
        <x:f>SUM(SalesLines!R3572,SalesLines!R3573,SalesLines!R3574,SalesLines!R3575)</x:f>
        <x:v>13</x:v>
      </x:c>
      <x:c r="L1462" s="11" t="n">
        <x:f>SUM(SalesLines!S3572,SalesLines!S3573,SalesLines!S3574,SalesLines!S3575)</x:f>
        <x:v>0</x:v>
      </x:c>
      <x:c r="M1462" s="8" t="n">
        <x:f>DATE(YEAR(C1462),MONTH(C1462),1)</x:f>
        <x:v>45962</x:v>
      </x:c>
    </x:row>
    <x:row r="1463" ht="22" customHeight="1">
      <x:c r="A1463" s="2" t="str">
        <x:v>O01459</x:v>
      </x:c>
      <x:c r="B1463" s="2" t="str">
        <x:v>C0158</x:v>
      </x:c>
      <x:c r="C1463" s="7" t="n">
        <x:v>45757</x:v>
      </x:c>
      <x:c r="D1463" s="2" t="str">
        <x:v>Completed</x:v>
      </x:c>
      <x:c r="E1463" s="2" t="str">
        <x:v>East</x:v>
      </x:c>
      <x:c r="F1463" s="2" t="str">
        <x:v>Online</x:v>
      </x:c>
      <x:c r="G1463" s="9" t="n">
        <x:f>SUM(SalesLines!Q3576)</x:f>
        <x:v>129.20000000000002</x:v>
      </x:c>
      <x:c r="H1463" s="9" t="n">
        <x:f>SUM(SalesLines!M3576)</x:f>
        <x:v>340</x:v>
      </x:c>
      <x:c r="I1463" s="9" t="n">
        <x:f>SUM(SalesLines!N3576)</x:f>
        <x:v>17</x:v>
      </x:c>
      <x:c r="J1463" s="9" t="n">
        <x:f>SUM(SalesLines!P3576)</x:f>
        <x:v>193.79999999999998</x:v>
      </x:c>
      <x:c r="K1463" s="11" t="n">
        <x:f>SUM(SalesLines!R3576)</x:f>
        <x:v>5</x:v>
      </x:c>
      <x:c r="L1463" s="11" t="n">
        <x:f>SUM(SalesLines!S3576)</x:f>
        <x:v>3</x:v>
      </x:c>
      <x:c r="M1463" s="8" t="n">
        <x:f>DATE(YEAR(C1463),MONTH(C1463),1)</x:f>
        <x:v>45748</x:v>
      </x:c>
    </x:row>
    <x:row r="1464" ht="22" customHeight="1">
      <x:c r="A1464" s="2" t="str">
        <x:v>O01460</x:v>
      </x:c>
      <x:c r="B1464" s="2" t="str">
        <x:v>C0109</x:v>
      </x:c>
      <x:c r="C1464" s="7" t="n">
        <x:v>45910</x:v>
      </x:c>
      <x:c r="D1464" s="2" t="str">
        <x:v>Completed</x:v>
      </x:c>
      <x:c r="E1464" s="2" t="str">
        <x:v>West</x:v>
      </x:c>
      <x:c r="F1464" s="2" t="str">
        <x:v>Online</x:v>
      </x:c>
      <x:c r="G1464" s="9" t="n">
        <x:f>SUM(SalesLines!Q3577,SalesLines!Q3578,SalesLines!Q3579)</x:f>
        <x:v>926.35</x:v>
      </x:c>
      <x:c r="H1464" s="9" t="n">
        <x:f>SUM(SalesLines!M3577,SalesLines!M3578,SalesLines!M3579)</x:f>
        <x:v>969</x:v>
      </x:c>
      <x:c r="I1464" s="9" t="n">
        <x:f>SUM(SalesLines!N3577,SalesLines!N3578,SalesLines!N3579)</x:f>
        <x:v>42.65</x:v>
      </x:c>
      <x:c r="J1464" s="9" t="n">
        <x:f>SUM(SalesLines!P3577,SalesLines!P3578,SalesLines!P3579)</x:f>
        <x:v>0</x:v>
      </x:c>
      <x:c r="K1464" s="11" t="n">
        <x:f>SUM(SalesLines!R3577,SalesLines!R3578,SalesLines!R3579)</x:f>
        <x:v>5</x:v>
      </x:c>
      <x:c r="L1464" s="11" t="n">
        <x:f>SUM(SalesLines!S3577,SalesLines!S3578,SalesLines!S3579)</x:f>
        <x:v>0</x:v>
      </x:c>
      <x:c r="M1464" s="8" t="n">
        <x:f>DATE(YEAR(C1464),MONTH(C1464),1)</x:f>
        <x:v>45901</x:v>
      </x:c>
    </x:row>
    <x:row r="1465" ht="22" customHeight="1">
      <x:c r="A1465" s="2" t="str">
        <x:v>O01461</x:v>
      </x:c>
      <x:c r="B1465" s="2" t="str">
        <x:v>C0100</x:v>
      </x:c>
      <x:c r="C1465" s="7" t="n">
        <x:v>45771</x:v>
      </x:c>
      <x:c r="D1465" s="2" t="str">
        <x:v>Completed</x:v>
      </x:c>
      <x:c r="E1465" s="2" t="str">
        <x:v>West</x:v>
      </x:c>
      <x:c r="F1465" s="2" t="str">
        <x:v>Store</x:v>
      </x:c>
      <x:c r="G1465" s="9" t="n">
        <x:f>SUM(SalesLines!Q3580,SalesLines!Q3581,SalesLines!Q3582,SalesLines!Q3583)</x:f>
        <x:v>2538.5</x:v>
      </x:c>
      <x:c r="H1465" s="9" t="n">
        <x:f>SUM(SalesLines!M3580,SalesLines!M3581,SalesLines!M3582,SalesLines!M3583)</x:f>
        <x:v>2787</x:v>
      </x:c>
      <x:c r="I1465" s="9" t="n">
        <x:f>SUM(SalesLines!N3580,SalesLines!N3581,SalesLines!N3582,SalesLines!N3583)</x:f>
        <x:v>248.5</x:v>
      </x:c>
      <x:c r="J1465" s="9" t="n">
        <x:f>SUM(SalesLines!P3580,SalesLines!P3581,SalesLines!P3582,SalesLines!P3583)</x:f>
        <x:v>0</x:v>
      </x:c>
      <x:c r="K1465" s="11" t="n">
        <x:f>SUM(SalesLines!R3580,SalesLines!R3581,SalesLines!R3582,SalesLines!R3583)</x:f>
        <x:v>15</x:v>
      </x:c>
      <x:c r="L1465" s="11" t="n">
        <x:f>SUM(SalesLines!S3580,SalesLines!S3581,SalesLines!S3582,SalesLines!S3583)</x:f>
        <x:v>0</x:v>
      </x:c>
      <x:c r="M1465" s="8" t="n">
        <x:f>DATE(YEAR(C1465),MONTH(C1465),1)</x:f>
        <x:v>45748</x:v>
      </x:c>
    </x:row>
    <x:row r="1466" ht="22" customHeight="1">
      <x:c r="A1466" s="2" t="str">
        <x:v>O01462</x:v>
      </x:c>
      <x:c r="B1466" s="2" t="str">
        <x:v>C0256</x:v>
      </x:c>
      <x:c r="C1466" s="7" t="n">
        <x:v>45983</x:v>
      </x:c>
      <x:c r="D1466" s="2" t="str">
        <x:v>Completed</x:v>
      </x:c>
      <x:c r="E1466" s="2" t="str">
        <x:v>North</x:v>
      </x:c>
      <x:c r="F1466" s="2" t="str">
        <x:v>Online</x:v>
      </x:c>
      <x:c r="G1466" s="9" t="n">
        <x:f>SUM(SalesLines!Q3584,SalesLines!Q3585,SalesLines!Q3586)</x:f>
        <x:v>1008.1999999999999</x:v>
      </x:c>
      <x:c r="H1466" s="9" t="n">
        <x:f>SUM(SalesLines!M3584,SalesLines!M3585,SalesLines!M3586)</x:f>
        <x:v>1254</x:v>
      </x:c>
      <x:c r="I1466" s="9" t="n">
        <x:f>SUM(SalesLines!N3584,SalesLines!N3585,SalesLines!N3586)</x:f>
        <x:v>46.800000000000004</x:v>
      </x:c>
      <x:c r="J1466" s="9" t="n">
        <x:f>SUM(SalesLines!P3584,SalesLines!P3585,SalesLines!P3586)</x:f>
        <x:v>199</x:v>
      </x:c>
      <x:c r="K1466" s="11" t="n">
        <x:f>SUM(SalesLines!R3584,SalesLines!R3585,SalesLines!R3586)</x:f>
        <x:v>7</x:v>
      </x:c>
      <x:c r="L1466" s="11" t="n">
        <x:f>SUM(SalesLines!S3584,SalesLines!S3585,SalesLines!S3586)</x:f>
        <x:v>1</x:v>
      </x:c>
      <x:c r="M1466" s="8" t="n">
        <x:f>DATE(YEAR(C1466),MONTH(C1466),1)</x:f>
        <x:v>45962</x:v>
      </x:c>
    </x:row>
    <x:row r="1467" ht="22" customHeight="1">
      <x:c r="A1467" s="2" t="str">
        <x:v>O01463</x:v>
      </x:c>
      <x:c r="B1467" s="2" t="str">
        <x:v>C0004</x:v>
      </x:c>
      <x:c r="C1467" s="7" t="n">
        <x:v>45984</x:v>
      </x:c>
      <x:c r="D1467" s="2" t="str">
        <x:v>Completed</x:v>
      </x:c>
      <x:c r="E1467" s="2" t="str">
        <x:v>North</x:v>
      </x:c>
      <x:c r="F1467" s="2" t="str">
        <x:v>Online</x:v>
      </x:c>
      <x:c r="G1467" s="9" t="n">
        <x:f>SUM(SalesLines!Q3587,SalesLines!Q3588,SalesLines!Q3589,SalesLines!Q3590)</x:f>
        <x:v>2496.3</x:v>
      </x:c>
      <x:c r="H1467" s="9" t="n">
        <x:f>SUM(SalesLines!M3587,SalesLines!M3588,SalesLines!M3589,SalesLines!M3590)</x:f>
        <x:v>2692</x:v>
      </x:c>
      <x:c r="I1467" s="9" t="n">
        <x:f>SUM(SalesLines!N3587,SalesLines!N3588,SalesLines!N3589,SalesLines!N3590)</x:f>
        <x:v>195.7</x:v>
      </x:c>
      <x:c r="J1467" s="9" t="n">
        <x:f>SUM(SalesLines!P3587,SalesLines!P3588,SalesLines!P3589,SalesLines!P3590)</x:f>
        <x:v>0</x:v>
      </x:c>
      <x:c r="K1467" s="11" t="n">
        <x:f>SUM(SalesLines!R3587,SalesLines!R3588,SalesLines!R3589,SalesLines!R3590)</x:f>
        <x:v>13</x:v>
      </x:c>
      <x:c r="L1467" s="11" t="n">
        <x:f>SUM(SalesLines!S3587,SalesLines!S3588,SalesLines!S3589,SalesLines!S3590)</x:f>
        <x:v>0</x:v>
      </x:c>
      <x:c r="M1467" s="8" t="n">
        <x:f>DATE(YEAR(C1467),MONTH(C1467),1)</x:f>
        <x:v>45962</x:v>
      </x:c>
    </x:row>
    <x:row r="1468" ht="22" customHeight="1">
      <x:c r="A1468" s="2" t="str">
        <x:v>O01464</x:v>
      </x:c>
      <x:c r="B1468" s="2" t="str">
        <x:v>C0120</x:v>
      </x:c>
      <x:c r="C1468" s="7" t="n">
        <x:v>45672</x:v>
      </x:c>
      <x:c r="D1468" s="2" t="str">
        <x:v>Completed</x:v>
      </x:c>
      <x:c r="E1468" s="2" t="str">
        <x:v>South</x:v>
      </x:c>
      <x:c r="F1468" s="2" t="str">
        <x:v>Store</x:v>
      </x:c>
      <x:c r="G1468" s="9" t="n">
        <x:f>SUM(SalesLines!Q3591)</x:f>
        <x:v>529.2</x:v>
      </x:c>
      <x:c r="H1468" s="9" t="n">
        <x:f>SUM(SalesLines!M3591)</x:f>
        <x:v>588</x:v>
      </x:c>
      <x:c r="I1468" s="9" t="n">
        <x:f>SUM(SalesLines!N3591)</x:f>
        <x:v>58.800000000000004</x:v>
      </x:c>
      <x:c r="J1468" s="9" t="n">
        <x:f>SUM(SalesLines!P3591)</x:f>
        <x:v>0</x:v>
      </x:c>
      <x:c r="K1468" s="11" t="n">
        <x:f>SUM(SalesLines!R3591)</x:f>
        <x:v>2</x:v>
      </x:c>
      <x:c r="L1468" s="11" t="n">
        <x:f>SUM(SalesLines!S3591)</x:f>
        <x:v>0</x:v>
      </x:c>
      <x:c r="M1468" s="8" t="n">
        <x:f>DATE(YEAR(C1468),MONTH(C1468),1)</x:f>
        <x:v>45658</x:v>
      </x:c>
    </x:row>
    <x:row r="1469" ht="22" customHeight="1">
      <x:c r="A1469" s="2" t="str">
        <x:v>O01465</x:v>
      </x:c>
      <x:c r="B1469" s="2" t="str">
        <x:v>C0031</x:v>
      </x:c>
      <x:c r="C1469" s="7" t="n">
        <x:v>45866</x:v>
      </x:c>
      <x:c r="D1469" s="2" t="str">
        <x:v>Completed</x:v>
      </x:c>
      <x:c r="E1469" s="2" t="str">
        <x:v>South</x:v>
      </x:c>
      <x:c r="F1469" s="2" t="str">
        <x:v>Online</x:v>
      </x:c>
      <x:c r="G1469" s="9" t="n">
        <x:f>SUM(SalesLines!Q3592)</x:f>
        <x:v>940</x:v>
      </x:c>
      <x:c r="H1469" s="9" t="n">
        <x:f>SUM(SalesLines!M3592)</x:f>
        <x:v>940</x:v>
      </x:c>
      <x:c r="I1469" s="9" t="n">
        <x:f>SUM(SalesLines!N3592)</x:f>
        <x:v>0</x:v>
      </x:c>
      <x:c r="J1469" s="9" t="n">
        <x:f>SUM(SalesLines!P3592)</x:f>
        <x:v>0</x:v>
      </x:c>
      <x:c r="K1469" s="11" t="n">
        <x:f>SUM(SalesLines!R3592)</x:f>
        <x:v>5</x:v>
      </x:c>
      <x:c r="L1469" s="11" t="n">
        <x:f>SUM(SalesLines!S3592)</x:f>
        <x:v>0</x:v>
      </x:c>
      <x:c r="M1469" s="8" t="n">
        <x:f>DATE(YEAR(C1469),MONTH(C1469),1)</x:f>
        <x:v>45839</x:v>
      </x:c>
    </x:row>
    <x:row r="1470" ht="22" customHeight="1">
      <x:c r="A1470" s="2" t="str">
        <x:v>O01466</x:v>
      </x:c>
      <x:c r="B1470" s="2" t="str">
        <x:v>C0193</x:v>
      </x:c>
      <x:c r="C1470" s="7" t="n">
        <x:v>45854</x:v>
      </x:c>
      <x:c r="D1470" s="2" t="str">
        <x:v>Completed</x:v>
      </x:c>
      <x:c r="E1470" s="2" t="str">
        <x:v>East</x:v>
      </x:c>
      <x:c r="F1470" s="2" t="str">
        <x:v>Store</x:v>
      </x:c>
      <x:c r="G1470" s="9" t="n">
        <x:f>SUM(SalesLines!Q3593,SalesLines!Q3594,SalesLines!Q3595,SalesLines!Q3596)</x:f>
        <x:v>3383.7</x:v>
      </x:c>
      <x:c r="H1470" s="9" t="n">
        <x:f>SUM(SalesLines!M3593,SalesLines!M3594,SalesLines!M3595,SalesLines!M3596)</x:f>
        <x:v>3463</x:v>
      </x:c>
      <x:c r="I1470" s="9" t="n">
        <x:f>SUM(SalesLines!N3593,SalesLines!N3594,SalesLines!N3595,SalesLines!N3596)</x:f>
        <x:v>79.3</x:v>
      </x:c>
      <x:c r="J1470" s="9" t="n">
        <x:f>SUM(SalesLines!P3593,SalesLines!P3594,SalesLines!P3595,SalesLines!P3596)</x:f>
        <x:v>0</x:v>
      </x:c>
      <x:c r="K1470" s="11" t="n">
        <x:f>SUM(SalesLines!R3593,SalesLines!R3594,SalesLines!R3595,SalesLines!R3596)</x:f>
        <x:v>15</x:v>
      </x:c>
      <x:c r="L1470" s="11" t="n">
        <x:f>SUM(SalesLines!S3593,SalesLines!S3594,SalesLines!S3595,SalesLines!S3596)</x:f>
        <x:v>0</x:v>
      </x:c>
      <x:c r="M1470" s="8" t="n">
        <x:f>DATE(YEAR(C1470),MONTH(C1470),1)</x:f>
        <x:v>45839</x:v>
      </x:c>
    </x:row>
    <x:row r="1471" ht="22" customHeight="1">
      <x:c r="A1471" s="2" t="str">
        <x:v>O01467</x:v>
      </x:c>
      <x:c r="B1471" s="2" t="str">
        <x:v>C0011</x:v>
      </x:c>
      <x:c r="C1471" s="7" t="n">
        <x:v>45686</x:v>
      </x:c>
      <x:c r="D1471" s="2" t="str">
        <x:v>Completed</x:v>
      </x:c>
      <x:c r="E1471" s="2" t="str">
        <x:v>North</x:v>
      </x:c>
      <x:c r="F1471" s="2" t="str">
        <x:v>Online</x:v>
      </x:c>
      <x:c r="G1471" s="9" t="n">
        <x:f>SUM(SalesLines!Q3597)</x:f>
        <x:v>308.75</x:v>
      </x:c>
      <x:c r="H1471" s="9" t="n">
        <x:f>SUM(SalesLines!M3597)</x:f>
        <x:v>325</x:v>
      </x:c>
      <x:c r="I1471" s="9" t="n">
        <x:f>SUM(SalesLines!N3597)</x:f>
        <x:v>16.25</x:v>
      </x:c>
      <x:c r="J1471" s="9" t="n">
        <x:f>SUM(SalesLines!P3597)</x:f>
        <x:v>0</x:v>
      </x:c>
      <x:c r="K1471" s="11" t="n">
        <x:f>SUM(SalesLines!R3597)</x:f>
        <x:v>5</x:v>
      </x:c>
      <x:c r="L1471" s="11" t="n">
        <x:f>SUM(SalesLines!S3597)</x:f>
        <x:v>0</x:v>
      </x:c>
      <x:c r="M1471" s="8" t="n">
        <x:f>DATE(YEAR(C1471),MONTH(C1471),1)</x:f>
        <x:v>45658</x:v>
      </x:c>
    </x:row>
    <x:row r="1472" ht="22" customHeight="1">
      <x:c r="A1472" s="2" t="str">
        <x:v>O01468</x:v>
      </x:c>
      <x:c r="B1472" s="2" t="str">
        <x:v>C0239</x:v>
      </x:c>
      <x:c r="C1472" s="7" t="n">
        <x:v>45789</x:v>
      </x:c>
      <x:c r="D1472" s="2" t="str">
        <x:v>Completed</x:v>
      </x:c>
      <x:c r="E1472" s="2" t="str">
        <x:v>South</x:v>
      </x:c>
      <x:c r="F1472" s="2" t="str">
        <x:v>Online</x:v>
      </x:c>
      <x:c r="G1472" s="9" t="n">
        <x:f>SUM(SalesLines!Q3598)</x:f>
        <x:v>940</x:v>
      </x:c>
      <x:c r="H1472" s="9" t="n">
        <x:f>SUM(SalesLines!M3598)</x:f>
        <x:v>940</x:v>
      </x:c>
      <x:c r="I1472" s="9" t="n">
        <x:f>SUM(SalesLines!N3598)</x:f>
        <x:v>0</x:v>
      </x:c>
      <x:c r="J1472" s="9" t="n">
        <x:f>SUM(SalesLines!P3598)</x:f>
        <x:v>0</x:v>
      </x:c>
      <x:c r="K1472" s="11" t="n">
        <x:f>SUM(SalesLines!R3598)</x:f>
        <x:v>5</x:v>
      </x:c>
      <x:c r="L1472" s="11" t="n">
        <x:f>SUM(SalesLines!S3598)</x:f>
        <x:v>0</x:v>
      </x:c>
      <x:c r="M1472" s="8" t="n">
        <x:f>DATE(YEAR(C1472),MONTH(C1472),1)</x:f>
        <x:v>45778</x:v>
      </x:c>
    </x:row>
    <x:row r="1473" ht="22" customHeight="1">
      <x:c r="A1473" s="2" t="str">
        <x:v>O01469</x:v>
      </x:c>
      <x:c r="B1473" s="2" t="str">
        <x:v>C0124</x:v>
      </x:c>
      <x:c r="C1473" s="7" t="n">
        <x:v>45948</x:v>
      </x:c>
      <x:c r="D1473" s="2" t="str">
        <x:v>Cancelled</x:v>
      </x:c>
      <x:c r="E1473" s="2" t="str">
        <x:v>East</x:v>
      </x:c>
      <x:c r="F1473" s="2" t="str">
        <x:v>Online</x:v>
      </x:c>
      <x:c r="G1473" s="9" t="n">
        <x:f>SUM(SalesLines!Q3599,SalesLines!Q3600,SalesLines!Q3601)</x:f>
        <x:v>0</x:v>
      </x:c>
      <x:c r="H1473" s="9" t="n">
        <x:f>SUM(SalesLines!M3599,SalesLines!M3600,SalesLines!M3601)</x:f>
        <x:v>0</x:v>
      </x:c>
      <x:c r="I1473" s="9" t="n">
        <x:f>SUM(SalesLines!N3599,SalesLines!N3600,SalesLines!N3601)</x:f>
        <x:v>0</x:v>
      </x:c>
      <x:c r="J1473" s="9" t="n">
        <x:f>SUM(SalesLines!P3599,SalesLines!P3600,SalesLines!P3601)</x:f>
        <x:v>0</x:v>
      </x:c>
      <x:c r="K1473" s="11" t="n">
        <x:f>SUM(SalesLines!R3599,SalesLines!R3600,SalesLines!R3601)</x:f>
        <x:v>0</x:v>
      </x:c>
      <x:c r="L1473" s="11" t="n">
        <x:f>SUM(SalesLines!S3599,SalesLines!S3600,SalesLines!S3601)</x:f>
        <x:v>0</x:v>
      </x:c>
      <x:c r="M1473" s="8" t="n">
        <x:f>DATE(YEAR(C1473),MONTH(C1473),1)</x:f>
        <x:v>45931</x:v>
      </x:c>
    </x:row>
    <x:row r="1474" ht="22" customHeight="1">
      <x:c r="A1474" s="2" t="str">
        <x:v>O01470</x:v>
      </x:c>
      <x:c r="B1474" s="2" t="str">
        <x:v>C0115</x:v>
      </x:c>
      <x:c r="C1474" s="7" t="n">
        <x:v>45672</x:v>
      </x:c>
      <x:c r="D1474" s="2" t="str">
        <x:v>Completed</x:v>
      </x:c>
      <x:c r="E1474" s="2" t="str">
        <x:v>North</x:v>
      </x:c>
      <x:c r="F1474" s="2" t="str">
        <x:v>Store</x:v>
      </x:c>
      <x:c r="G1474" s="9" t="n">
        <x:f>SUM(SalesLines!Q3602,SalesLines!Q3603)</x:f>
        <x:v>953.1</x:v>
      </x:c>
      <x:c r="H1474" s="9" t="n">
        <x:f>SUM(SalesLines!M3602,SalesLines!M3603)</x:f>
        <x:v>1059</x:v>
      </x:c>
      <x:c r="I1474" s="9" t="n">
        <x:f>SUM(SalesLines!N3602,SalesLines!N3603)</x:f>
        <x:v>105.9</x:v>
      </x:c>
      <x:c r="J1474" s="9" t="n">
        <x:f>SUM(SalesLines!P3602,SalesLines!P3603)</x:f>
        <x:v>0</x:v>
      </x:c>
      <x:c r="K1474" s="11" t="n">
        <x:f>SUM(SalesLines!R3602,SalesLines!R3603)</x:f>
        <x:v>7</x:v>
      </x:c>
      <x:c r="L1474" s="11" t="n">
        <x:f>SUM(SalesLines!S3602,SalesLines!S3603)</x:f>
        <x:v>0</x:v>
      </x:c>
      <x:c r="M1474" s="8" t="n">
        <x:f>DATE(YEAR(C1474),MONTH(C1474),1)</x:f>
        <x:v>45658</x:v>
      </x:c>
    </x:row>
    <x:row r="1475" ht="22" customHeight="1">
      <x:c r="A1475" s="2" t="str">
        <x:v>O01471</x:v>
      </x:c>
      <x:c r="B1475" s="2" t="str">
        <x:v>C0144</x:v>
      </x:c>
      <x:c r="C1475" s="7" t="n">
        <x:v>45658</x:v>
      </x:c>
      <x:c r="D1475" s="2" t="str">
        <x:v>Completed</x:v>
      </x:c>
      <x:c r="E1475" s="2" t="str">
        <x:v>North</x:v>
      </x:c>
      <x:c r="F1475" s="2" t="str">
        <x:v>Store</x:v>
      </x:c>
      <x:c r="G1475" s="9" t="n">
        <x:f>SUM(SalesLines!Q3604,SalesLines!Q3605,SalesLines!Q3606)</x:f>
        <x:v>1049.8</x:v>
      </x:c>
      <x:c r="H1475" s="9" t="n">
        <x:f>SUM(SalesLines!M3604,SalesLines!M3605,SalesLines!M3606)</x:f>
        <x:v>1128</x:v>
      </x:c>
      <x:c r="I1475" s="9" t="n">
        <x:f>SUM(SalesLines!N3604,SalesLines!N3605,SalesLines!N3606)</x:f>
        <x:v>78.2</x:v>
      </x:c>
      <x:c r="J1475" s="9" t="n">
        <x:f>SUM(SalesLines!P3604,SalesLines!P3605,SalesLines!P3606)</x:f>
        <x:v>0</x:v>
      </x:c>
      <x:c r="K1475" s="11" t="n">
        <x:f>SUM(SalesLines!R3604,SalesLines!R3605,SalesLines!R3606)</x:f>
        <x:v>10</x:v>
      </x:c>
      <x:c r="L1475" s="11" t="n">
        <x:f>SUM(SalesLines!S3604,SalesLines!S3605,SalesLines!S3606)</x:f>
        <x:v>0</x:v>
      </x:c>
      <x:c r="M1475" s="8" t="n">
        <x:f>DATE(YEAR(C1475),MONTH(C1475),1)</x:f>
        <x:v>45658</x:v>
      </x:c>
    </x:row>
    <x:row r="1476" ht="22" customHeight="1">
      <x:c r="A1476" s="2" t="str">
        <x:v>O01472</x:v>
      </x:c>
      <x:c r="B1476" s="2" t="str">
        <x:v>C0273</x:v>
      </x:c>
      <x:c r="C1476" s="7" t="n">
        <x:v>45739</x:v>
      </x:c>
      <x:c r="D1476" s="2" t="str">
        <x:v>Cancelled</x:v>
      </x:c>
      <x:c r="E1476" s="2" t="str">
        <x:v>South</x:v>
      </x:c>
      <x:c r="F1476" s="2" t="str">
        <x:v>Store</x:v>
      </x:c>
      <x:c r="G1476" s="9" t="n">
        <x:f>SUM(SalesLines!Q3607,SalesLines!Q3608)</x:f>
        <x:v>0</x:v>
      </x:c>
      <x:c r="H1476" s="9" t="n">
        <x:f>SUM(SalesLines!M3607,SalesLines!M3608)</x:f>
        <x:v>0</x:v>
      </x:c>
      <x:c r="I1476" s="9" t="n">
        <x:f>SUM(SalesLines!N3607,SalesLines!N3608)</x:f>
        <x:v>0</x:v>
      </x:c>
      <x:c r="J1476" s="9" t="n">
        <x:f>SUM(SalesLines!P3607,SalesLines!P3608)</x:f>
        <x:v>0</x:v>
      </x:c>
      <x:c r="K1476" s="11" t="n">
        <x:f>SUM(SalesLines!R3607,SalesLines!R3608)</x:f>
        <x:v>0</x:v>
      </x:c>
      <x:c r="L1476" s="11" t="n">
        <x:f>SUM(SalesLines!S3607,SalesLines!S3608)</x:f>
        <x:v>0</x:v>
      </x:c>
      <x:c r="M1476" s="8" t="n">
        <x:f>DATE(YEAR(C1476),MONTH(C1476),1)</x:f>
        <x:v>45717</x:v>
      </x:c>
    </x:row>
    <x:row r="1477" ht="22" customHeight="1">
      <x:c r="A1477" s="2" t="str">
        <x:v>O01473</x:v>
      </x:c>
      <x:c r="B1477" s="2" t="str">
        <x:v>C0077</x:v>
      </x:c>
      <x:c r="C1477" s="7" t="n">
        <x:v>46019</x:v>
      </x:c>
      <x:c r="D1477" s="2" t="str">
        <x:v>Completed</x:v>
      </x:c>
      <x:c r="E1477" s="2" t="str">
        <x:v>West</x:v>
      </x:c>
      <x:c r="F1477" s="2" t="str">
        <x:v>Online</x:v>
      </x:c>
      <x:c r="G1477" s="9" t="n">
        <x:f>SUM(SalesLines!Q3609,SalesLines!Q3610,SalesLines!Q3611,SalesLines!Q3612)</x:f>
        <x:v>1094.4</x:v>
      </x:c>
      <x:c r="H1477" s="9" t="n">
        <x:f>SUM(SalesLines!M3609,SalesLines!M3610,SalesLines!M3611,SalesLines!M3612)</x:f>
        <x:v>1216</x:v>
      </x:c>
      <x:c r="I1477" s="9" t="n">
        <x:f>SUM(SalesLines!N3609,SalesLines!N3610,SalesLines!N3611,SalesLines!N3612)</x:f>
        <x:v>121.60000000000001</x:v>
      </x:c>
      <x:c r="J1477" s="9" t="n">
        <x:f>SUM(SalesLines!P3609,SalesLines!P3610,SalesLines!P3611,SalesLines!P3612)</x:f>
        <x:v>0</x:v>
      </x:c>
      <x:c r="K1477" s="11" t="n">
        <x:f>SUM(SalesLines!R3609,SalesLines!R3610,SalesLines!R3611,SalesLines!R3612)</x:f>
        <x:v>8</x:v>
      </x:c>
      <x:c r="L1477" s="11" t="n">
        <x:f>SUM(SalesLines!S3609,SalesLines!S3610,SalesLines!S3611,SalesLines!S3612)</x:f>
        <x:v>0</x:v>
      </x:c>
      <x:c r="M1477" s="8" t="n">
        <x:f>DATE(YEAR(C1477),MONTH(C1477),1)</x:f>
        <x:v>45992</x:v>
      </x:c>
    </x:row>
    <x:row r="1478" ht="22" customHeight="1">
      <x:c r="A1478" s="2" t="str">
        <x:v>O01474</x:v>
      </x:c>
      <x:c r="B1478" s="2" t="str">
        <x:v>C0142</x:v>
      </x:c>
      <x:c r="C1478" s="7" t="n">
        <x:v>45914</x:v>
      </x:c>
      <x:c r="D1478" s="2" t="str">
        <x:v>Completed</x:v>
      </x:c>
      <x:c r="E1478" s="2" t="str">
        <x:v>West</x:v>
      </x:c>
      <x:c r="F1478" s="2" t="str">
        <x:v>Store</x:v>
      </x:c>
      <x:c r="G1478" s="9" t="n">
        <x:f>SUM(SalesLines!Q3613,SalesLines!Q3614,SalesLines!Q3615,SalesLines!Q3616)</x:f>
        <x:v>1177.5</x:v>
      </x:c>
      <x:c r="H1478" s="9" t="n">
        <x:f>SUM(SalesLines!M3613,SalesLines!M3614,SalesLines!M3615,SalesLines!M3616)</x:f>
        <x:v>1320</x:v>
      </x:c>
      <x:c r="I1478" s="9" t="n">
        <x:f>SUM(SalesLines!N3613,SalesLines!N3614,SalesLines!N3615,SalesLines!N3616)</x:f>
        <x:v>142.5</x:v>
      </x:c>
      <x:c r="J1478" s="9" t="n">
        <x:f>SUM(SalesLines!P3613,SalesLines!P3614,SalesLines!P3615,SalesLines!P3616)</x:f>
        <x:v>0</x:v>
      </x:c>
      <x:c r="K1478" s="11" t="n">
        <x:f>SUM(SalesLines!R3613,SalesLines!R3614,SalesLines!R3615,SalesLines!R3616)</x:f>
        <x:v>11</x:v>
      </x:c>
      <x:c r="L1478" s="11" t="n">
        <x:f>SUM(SalesLines!S3613,SalesLines!S3614,SalesLines!S3615,SalesLines!S3616)</x:f>
        <x:v>0</x:v>
      </x:c>
      <x:c r="M1478" s="8" t="n">
        <x:f>DATE(YEAR(C1478),MONTH(C1478),1)</x:f>
        <x:v>45901</x:v>
      </x:c>
    </x:row>
    <x:row r="1479" ht="22" customHeight="1">
      <x:c r="A1479" s="2" t="str">
        <x:v>O01475</x:v>
      </x:c>
      <x:c r="B1479" s="2" t="str">
        <x:v>C0093</x:v>
      </x:c>
      <x:c r="C1479" s="7" t="n">
        <x:v>45741</x:v>
      </x:c>
      <x:c r="D1479" s="2" t="str">
        <x:v>Cancelled</x:v>
      </x:c>
      <x:c r="E1479" s="2" t="str">
        <x:v>North</x:v>
      </x:c>
      <x:c r="F1479" s="2" t="str">
        <x:v>Online</x:v>
      </x:c>
      <x:c r="G1479" s="9" t="n">
        <x:f>SUM(SalesLines!Q3617,SalesLines!Q3618)</x:f>
        <x:v>0</x:v>
      </x:c>
      <x:c r="H1479" s="9" t="n">
        <x:f>SUM(SalesLines!M3617,SalesLines!M3618)</x:f>
        <x:v>0</x:v>
      </x:c>
      <x:c r="I1479" s="9" t="n">
        <x:f>SUM(SalesLines!N3617,SalesLines!N3618)</x:f>
        <x:v>0</x:v>
      </x:c>
      <x:c r="J1479" s="9" t="n">
        <x:f>SUM(SalesLines!P3617,SalesLines!P3618)</x:f>
        <x:v>0</x:v>
      </x:c>
      <x:c r="K1479" s="11" t="n">
        <x:f>SUM(SalesLines!R3617,SalesLines!R3618)</x:f>
        <x:v>0</x:v>
      </x:c>
      <x:c r="L1479" s="11" t="n">
        <x:f>SUM(SalesLines!S3617,SalesLines!S3618)</x:f>
        <x:v>0</x:v>
      </x:c>
      <x:c r="M1479" s="8" t="n">
        <x:f>DATE(YEAR(C1479),MONTH(C1479),1)</x:f>
        <x:v>45717</x:v>
      </x:c>
    </x:row>
    <x:row r="1480" ht="22" customHeight="1">
      <x:c r="A1480" s="2" t="str">
        <x:v>O01476</x:v>
      </x:c>
      <x:c r="B1480" s="2" t="str">
        <x:v>C0108</x:v>
      </x:c>
      <x:c r="C1480" s="7" t="n">
        <x:v>45980</x:v>
      </x:c>
      <x:c r="D1480" s="2" t="str">
        <x:v>Completed</x:v>
      </x:c>
      <x:c r="E1480" s="2" t="str">
        <x:v>East</x:v>
      </x:c>
      <x:c r="F1480" s="2" t="str">
        <x:v>Store</x:v>
      </x:c>
      <x:c r="G1480" s="9" t="n">
        <x:f>SUM(SalesLines!Q3619,SalesLines!Q3620,SalesLines!Q3621,SalesLines!Q3622)</x:f>
        <x:v>1475.15</x:v>
      </x:c>
      <x:c r="H1480" s="9" t="n">
        <x:f>SUM(SalesLines!M3619,SalesLines!M3620,SalesLines!M3621,SalesLines!M3622)</x:f>
        <x:v>1616</x:v>
      </x:c>
      <x:c r="I1480" s="9" t="n">
        <x:f>SUM(SalesLines!N3619,SalesLines!N3620,SalesLines!N3621,SalesLines!N3622)</x:f>
        <x:v>140.85000000000002</x:v>
      </x:c>
      <x:c r="J1480" s="9" t="n">
        <x:f>SUM(SalesLines!P3619,SalesLines!P3620,SalesLines!P3621,SalesLines!P3622)</x:f>
        <x:v>0</x:v>
      </x:c>
      <x:c r="K1480" s="11" t="n">
        <x:f>SUM(SalesLines!R3619,SalesLines!R3620,SalesLines!R3621,SalesLines!R3622)</x:f>
        <x:v>12</x:v>
      </x:c>
      <x:c r="L1480" s="11" t="n">
        <x:f>SUM(SalesLines!S3619,SalesLines!S3620,SalesLines!S3621,SalesLines!S3622)</x:f>
        <x:v>0</x:v>
      </x:c>
      <x:c r="M1480" s="8" t="n">
        <x:f>DATE(YEAR(C1480),MONTH(C1480),1)</x:f>
        <x:v>45962</x:v>
      </x:c>
    </x:row>
    <x:row r="1481" ht="22" customHeight="1">
      <x:c r="A1481" s="2" t="str">
        <x:v>O01477</x:v>
      </x:c>
      <x:c r="B1481" s="2" t="str">
        <x:v>C0264</x:v>
      </x:c>
      <x:c r="C1481" s="7" t="n">
        <x:v>45753</x:v>
      </x:c>
      <x:c r="D1481" s="2" t="str">
        <x:v>Completed</x:v>
      </x:c>
      <x:c r="E1481" s="2" t="str">
        <x:v>South</x:v>
      </x:c>
      <x:c r="F1481" s="2" t="str">
        <x:v>Store</x:v>
      </x:c>
      <x:c r="G1481" s="9" t="n">
        <x:f>SUM(SalesLines!Q3623)</x:f>
        <x:v>720</x:v>
      </x:c>
      <x:c r="H1481" s="9" t="n">
        <x:f>SUM(SalesLines!M3623)</x:f>
        <x:v>900</x:v>
      </x:c>
      <x:c r="I1481" s="9" t="n">
        <x:f>SUM(SalesLines!N3623)</x:f>
        <x:v>180</x:v>
      </x:c>
      <x:c r="J1481" s="9" t="n">
        <x:f>SUM(SalesLines!P3623)</x:f>
        <x:v>0</x:v>
      </x:c>
      <x:c r="K1481" s="11" t="n">
        <x:f>SUM(SalesLines!R3623)</x:f>
        <x:v>3</x:v>
      </x:c>
      <x:c r="L1481" s="11" t="n">
        <x:f>SUM(SalesLines!S3623)</x:f>
        <x:v>0</x:v>
      </x:c>
      <x:c r="M1481" s="8" t="n">
        <x:f>DATE(YEAR(C1481),MONTH(C1481),1)</x:f>
        <x:v>45748</x:v>
      </x:c>
    </x:row>
    <x:row r="1482" ht="22" customHeight="1">
      <x:c r="A1482" s="2" t="str">
        <x:v>O01478</x:v>
      </x:c>
      <x:c r="B1482" s="2" t="str">
        <x:v>C0160</x:v>
      </x:c>
      <x:c r="C1482" s="7" t="n">
        <x:v>45886</x:v>
      </x:c>
      <x:c r="D1482" s="2" t="str">
        <x:v>Completed</x:v>
      </x:c>
      <x:c r="E1482" s="2" t="str">
        <x:v>West</x:v>
      </x:c>
      <x:c r="F1482" s="2" t="str">
        <x:v>Store</x:v>
      </x:c>
      <x:c r="G1482" s="9" t="n">
        <x:f>SUM(SalesLines!Q3624,SalesLines!Q3625)</x:f>
        <x:v>777.2</x:v>
      </x:c>
      <x:c r="H1482" s="9" t="n">
        <x:f>SUM(SalesLines!M3624,SalesLines!M3625)</x:f>
        <x:v>938</x:v>
      </x:c>
      <x:c r="I1482" s="9" t="n">
        <x:f>SUM(SalesLines!N3624,SalesLines!N3625)</x:f>
        <x:v>160.8</x:v>
      </x:c>
      <x:c r="J1482" s="9" t="n">
        <x:f>SUM(SalesLines!P3624,SalesLines!P3625)</x:f>
        <x:v>0</x:v>
      </x:c>
      <x:c r="K1482" s="11" t="n">
        <x:f>SUM(SalesLines!R3624,SalesLines!R3625)</x:f>
        <x:v>7</x:v>
      </x:c>
      <x:c r="L1482" s="11" t="n">
        <x:f>SUM(SalesLines!S3624,SalesLines!S3625)</x:f>
        <x:v>0</x:v>
      </x:c>
      <x:c r="M1482" s="8" t="n">
        <x:f>DATE(YEAR(C1482),MONTH(C1482),1)</x:f>
        <x:v>45870</x:v>
      </x:c>
    </x:row>
    <x:row r="1483" ht="22" customHeight="1">
      <x:c r="A1483" s="2" t="str">
        <x:v>O01479</x:v>
      </x:c>
      <x:c r="B1483" s="2" t="str">
        <x:v>C0051</x:v>
      </x:c>
      <x:c r="C1483" s="7" t="n">
        <x:v>45812</x:v>
      </x:c>
      <x:c r="D1483" s="2" t="str">
        <x:v>Completed</x:v>
      </x:c>
      <x:c r="E1483" s="2" t="str">
        <x:v>West</x:v>
      </x:c>
      <x:c r="F1483" s="2" t="str">
        <x:v>Online</x:v>
      </x:c>
      <x:c r="G1483" s="9" t="n">
        <x:f>SUM(SalesLines!Q3626,SalesLines!Q3627,SalesLines!Q3628)</x:f>
        <x:v>2144.8</x:v>
      </x:c>
      <x:c r="H1483" s="9" t="n">
        <x:f>SUM(SalesLines!M3626,SalesLines!M3627,SalesLines!M3628)</x:f>
        <x:v>2380</x:v>
      </x:c>
      <x:c r="I1483" s="9" t="n">
        <x:f>SUM(SalesLines!N3626,SalesLines!N3627,SalesLines!N3628)</x:f>
        <x:v>235.20000000000002</x:v>
      </x:c>
      <x:c r="J1483" s="9" t="n">
        <x:f>SUM(SalesLines!P3626,SalesLines!P3627,SalesLines!P3628)</x:f>
        <x:v>0</x:v>
      </x:c>
      <x:c r="K1483" s="11" t="n">
        <x:f>SUM(SalesLines!R3626,SalesLines!R3627,SalesLines!R3628)</x:f>
        <x:v>9</x:v>
      </x:c>
      <x:c r="L1483" s="11" t="n">
        <x:f>SUM(SalesLines!S3626,SalesLines!S3627,SalesLines!S3628)</x:f>
        <x:v>0</x:v>
      </x:c>
      <x:c r="M1483" s="8" t="n">
        <x:f>DATE(YEAR(C1483),MONTH(C1483),1)</x:f>
        <x:v>45809</x:v>
      </x:c>
    </x:row>
    <x:row r="1484" ht="22" customHeight="1">
      <x:c r="A1484" s="2" t="str">
        <x:v>O01480</x:v>
      </x:c>
      <x:c r="B1484" s="2" t="str">
        <x:v>C0282</x:v>
      </x:c>
      <x:c r="C1484" s="7" t="n">
        <x:v>45907</x:v>
      </x:c>
      <x:c r="D1484" s="2" t="str">
        <x:v>Completed</x:v>
      </x:c>
      <x:c r="E1484" s="2" t="str">
        <x:v>East</x:v>
      </x:c>
      <x:c r="F1484" s="2" t="str">
        <x:v>Online</x:v>
      </x:c>
      <x:c r="G1484" s="9" t="n">
        <x:f>SUM(SalesLines!Q3629,SalesLines!Q3630,SalesLines!Q3631)</x:f>
        <x:v>861.75</x:v>
      </x:c>
      <x:c r="H1484" s="9" t="n">
        <x:f>SUM(SalesLines!M3629,SalesLines!M3630,SalesLines!M3631)</x:f>
        <x:v>883</x:v>
      </x:c>
      <x:c r="I1484" s="9" t="n">
        <x:f>SUM(SalesLines!N3629,SalesLines!N3630,SalesLines!N3631)</x:f>
        <x:v>21.25</x:v>
      </x:c>
      <x:c r="J1484" s="9" t="n">
        <x:f>SUM(SalesLines!P3629,SalesLines!P3630,SalesLines!P3631)</x:f>
        <x:v>0</x:v>
      </x:c>
      <x:c r="K1484" s="11" t="n">
        <x:f>SUM(SalesLines!R3629,SalesLines!R3630,SalesLines!R3631)</x:f>
        <x:v>6</x:v>
      </x:c>
      <x:c r="L1484" s="11" t="n">
        <x:f>SUM(SalesLines!S3629,SalesLines!S3630,SalesLines!S3631)</x:f>
        <x:v>0</x:v>
      </x:c>
      <x:c r="M1484" s="8" t="n">
        <x:f>DATE(YEAR(C1484),MONTH(C1484),1)</x:f>
        <x:v>45901</x:v>
      </x:c>
    </x:row>
    <x:row r="1485" ht="22" customHeight="1">
      <x:c r="A1485" s="2" t="str">
        <x:v>O01481</x:v>
      </x:c>
      <x:c r="B1485" s="2" t="str">
        <x:v>C0233</x:v>
      </x:c>
      <x:c r="C1485" s="7" t="n">
        <x:v>46000</x:v>
      </x:c>
      <x:c r="D1485" s="2" t="str">
        <x:v>Completed</x:v>
      </x:c>
      <x:c r="E1485" s="2" t="str">
        <x:v>South</x:v>
      </x:c>
      <x:c r="F1485" s="2" t="str">
        <x:v>Store</x:v>
      </x:c>
      <x:c r="G1485" s="9" t="n">
        <x:f>SUM(SalesLines!Q3632,SalesLines!Q3633,SalesLines!Q3634,SalesLines!Q3635)</x:f>
        <x:v>2421.7000000000003</x:v>
      </x:c>
      <x:c r="H1485" s="9" t="n">
        <x:f>SUM(SalesLines!M3632,SalesLines!M3633,SalesLines!M3634,SalesLines!M3635)</x:f>
        <x:v>2735</x:v>
      </x:c>
      <x:c r="I1485" s="9" t="n">
        <x:f>SUM(SalesLines!N3632,SalesLines!N3633,SalesLines!N3634,SalesLines!N3635)</x:f>
        <x:v>313.30000000000007</x:v>
      </x:c>
      <x:c r="J1485" s="9" t="n">
        <x:f>SUM(SalesLines!P3632,SalesLines!P3633,SalesLines!P3634,SalesLines!P3635)</x:f>
        <x:v>0</x:v>
      </x:c>
      <x:c r="K1485" s="11" t="n">
        <x:f>SUM(SalesLines!R3632,SalesLines!R3633,SalesLines!R3634,SalesLines!R3635)</x:f>
        <x:v>16</x:v>
      </x:c>
      <x:c r="L1485" s="11" t="n">
        <x:f>SUM(SalesLines!S3632,SalesLines!S3633,SalesLines!S3634,SalesLines!S3635)</x:f>
        <x:v>0</x:v>
      </x:c>
      <x:c r="M1485" s="8" t="n">
        <x:f>DATE(YEAR(C1485),MONTH(C1485),1)</x:f>
        <x:v>45992</x:v>
      </x:c>
    </x:row>
    <x:row r="1486" ht="22" customHeight="1">
      <x:c r="A1486" s="2" t="str">
        <x:v>O01482</x:v>
      </x:c>
      <x:c r="B1486" s="2" t="str">
        <x:v>C0052</x:v>
      </x:c>
      <x:c r="C1486" s="7" t="n">
        <x:v>45841</x:v>
      </x:c>
      <x:c r="D1486" s="2" t="str">
        <x:v>Cancelled</x:v>
      </x:c>
      <x:c r="E1486" s="2" t="str">
        <x:v>North</x:v>
      </x:c>
      <x:c r="F1486" s="2" t="str">
        <x:v>Store</x:v>
      </x:c>
      <x:c r="G1486" s="9" t="n">
        <x:f>SUM(SalesLines!Q3636,SalesLines!Q3637,SalesLines!Q3638,SalesLines!Q3639)</x:f>
        <x:v>0</x:v>
      </x:c>
      <x:c r="H1486" s="9" t="n">
        <x:f>SUM(SalesLines!M3636,SalesLines!M3637,SalesLines!M3638,SalesLines!M3639)</x:f>
        <x:v>0</x:v>
      </x:c>
      <x:c r="I1486" s="9" t="n">
        <x:f>SUM(SalesLines!N3636,SalesLines!N3637,SalesLines!N3638,SalesLines!N3639)</x:f>
        <x:v>0</x:v>
      </x:c>
      <x:c r="J1486" s="9" t="n">
        <x:f>SUM(SalesLines!P3636,SalesLines!P3637,SalesLines!P3638,SalesLines!P3639)</x:f>
        <x:v>0</x:v>
      </x:c>
      <x:c r="K1486" s="11" t="n">
        <x:f>SUM(SalesLines!R3636,SalesLines!R3637,SalesLines!R3638,SalesLines!R3639)</x:f>
        <x:v>0</x:v>
      </x:c>
      <x:c r="L1486" s="11" t="n">
        <x:f>SUM(SalesLines!S3636,SalesLines!S3637,SalesLines!S3638,SalesLines!S3639)</x:f>
        <x:v>0</x:v>
      </x:c>
      <x:c r="M1486" s="8" t="n">
        <x:f>DATE(YEAR(C1486),MONTH(C1486),1)</x:f>
        <x:v>45839</x:v>
      </x:c>
    </x:row>
    <x:row r="1487" ht="22" customHeight="1">
      <x:c r="A1487" s="2" t="str">
        <x:v>O01483</x:v>
      </x:c>
      <x:c r="B1487" s="2" t="str">
        <x:v>C0178</x:v>
      </x:c>
      <x:c r="C1487" s="7" t="n">
        <x:v>45892</x:v>
      </x:c>
      <x:c r="D1487" s="2" t="str">
        <x:v>Completed</x:v>
      </x:c>
      <x:c r="E1487" s="2" t="str">
        <x:v>East</x:v>
      </x:c>
      <x:c r="F1487" s="2" t="str">
        <x:v>Online</x:v>
      </x:c>
      <x:c r="G1487" s="9" t="n">
        <x:f>SUM(SalesLines!Q3640)</x:f>
        <x:v>645.6</x:v>
      </x:c>
      <x:c r="H1487" s="9" t="n">
        <x:f>SUM(SalesLines!M3640)</x:f>
        <x:v>807</x:v>
      </x:c>
      <x:c r="I1487" s="9" t="n">
        <x:f>SUM(SalesLines!N3640)</x:f>
        <x:v>161.4</x:v>
      </x:c>
      <x:c r="J1487" s="9" t="n">
        <x:f>SUM(SalesLines!P3640)</x:f>
        <x:v>0</x:v>
      </x:c>
      <x:c r="K1487" s="11" t="n">
        <x:f>SUM(SalesLines!R3640)</x:f>
        <x:v>3</x:v>
      </x:c>
      <x:c r="L1487" s="11" t="n">
        <x:f>SUM(SalesLines!S3640)</x:f>
        <x:v>0</x:v>
      </x:c>
      <x:c r="M1487" s="8" t="n">
        <x:f>DATE(YEAR(C1487),MONTH(C1487),1)</x:f>
        <x:v>45870</x:v>
      </x:c>
    </x:row>
    <x:row r="1488" ht="22" customHeight="1">
      <x:c r="A1488" s="2" t="str">
        <x:v>O01484</x:v>
      </x:c>
      <x:c r="B1488" s="2" t="str">
        <x:v>C0055</x:v>
      </x:c>
      <x:c r="C1488" s="7" t="n">
        <x:v>45702</x:v>
      </x:c>
      <x:c r="D1488" s="2" t="str">
        <x:v>Completed</x:v>
      </x:c>
      <x:c r="E1488" s="2" t="str">
        <x:v>East</x:v>
      </x:c>
      <x:c r="F1488" s="2" t="str">
        <x:v>Store</x:v>
      </x:c>
      <x:c r="G1488" s="9" t="n">
        <x:f>SUM(SalesLines!Q3641)</x:f>
        <x:v>1420</x:v>
      </x:c>
      <x:c r="H1488" s="9" t="n">
        <x:f>SUM(SalesLines!M3641)</x:f>
        <x:v>1420</x:v>
      </x:c>
      <x:c r="I1488" s="9" t="n">
        <x:f>SUM(SalesLines!N3641)</x:f>
        <x:v>0</x:v>
      </x:c>
      <x:c r="J1488" s="9" t="n">
        <x:f>SUM(SalesLines!P3641)</x:f>
        <x:v>0</x:v>
      </x:c>
      <x:c r="K1488" s="11" t="n">
        <x:f>SUM(SalesLines!R3641)</x:f>
        <x:v>5</x:v>
      </x:c>
      <x:c r="L1488" s="11" t="n">
        <x:f>SUM(SalesLines!S3641)</x:f>
        <x:v>0</x:v>
      </x:c>
      <x:c r="M1488" s="8" t="n">
        <x:f>DATE(YEAR(C1488),MONTH(C1488),1)</x:f>
        <x:v>45689</x:v>
      </x:c>
    </x:row>
    <x:row r="1489" ht="22" customHeight="1">
      <x:c r="A1489" s="2" t="str">
        <x:v>O01485</x:v>
      </x:c>
      <x:c r="B1489" s="2" t="str">
        <x:v>C0081</x:v>
      </x:c>
      <x:c r="C1489" s="7" t="n">
        <x:v>45671</x:v>
      </x:c>
      <x:c r="D1489" s="2" t="str">
        <x:v>Completed</x:v>
      </x:c>
      <x:c r="E1489" s="2" t="str">
        <x:v>North</x:v>
      </x:c>
      <x:c r="F1489" s="2" t="str">
        <x:v>Online</x:v>
      </x:c>
      <x:c r="G1489" s="9" t="n">
        <x:f>SUM(SalesLines!Q3642)</x:f>
        <x:v>538</x:v>
      </x:c>
      <x:c r="H1489" s="9" t="n">
        <x:f>SUM(SalesLines!M3642)</x:f>
        <x:v>538</x:v>
      </x:c>
      <x:c r="I1489" s="9" t="n">
        <x:f>SUM(SalesLines!N3642)</x:f>
        <x:v>0</x:v>
      </x:c>
      <x:c r="J1489" s="9" t="n">
        <x:f>SUM(SalesLines!P3642)</x:f>
        <x:v>0</x:v>
      </x:c>
      <x:c r="K1489" s="11" t="n">
        <x:f>SUM(SalesLines!R3642)</x:f>
        <x:v>2</x:v>
      </x:c>
      <x:c r="L1489" s="11" t="n">
        <x:f>SUM(SalesLines!S3642)</x:f>
        <x:v>0</x:v>
      </x:c>
      <x:c r="M1489" s="8" t="n">
        <x:f>DATE(YEAR(C1489),MONTH(C1489),1)</x:f>
        <x:v>45658</x:v>
      </x:c>
    </x:row>
    <x:row r="1490" ht="22" customHeight="1">
      <x:c r="A1490" s="2" t="str">
        <x:v>O01486</x:v>
      </x:c>
      <x:c r="B1490" s="2" t="str">
        <x:v>C0074</x:v>
      </x:c>
      <x:c r="C1490" s="7" t="n">
        <x:v>45701</x:v>
      </x:c>
      <x:c r="D1490" s="2" t="str">
        <x:v>Completed</x:v>
      </x:c>
      <x:c r="E1490" s="2" t="str">
        <x:v>South</x:v>
      </x:c>
      <x:c r="F1490" s="2" t="str">
        <x:v>Store</x:v>
      </x:c>
      <x:c r="G1490" s="9" t="n">
        <x:f>SUM(SalesLines!Q3643)</x:f>
        <x:v>405</x:v>
      </x:c>
      <x:c r="H1490" s="9" t="n">
        <x:f>SUM(SalesLines!M3643)</x:f>
        <x:v>405</x:v>
      </x:c>
      <x:c r="I1490" s="9" t="n">
        <x:f>SUM(SalesLines!N3643)</x:f>
        <x:v>0</x:v>
      </x:c>
      <x:c r="J1490" s="9" t="n">
        <x:f>SUM(SalesLines!P3643)</x:f>
        <x:v>0</x:v>
      </x:c>
      <x:c r="K1490" s="11" t="n">
        <x:f>SUM(SalesLines!R3643)</x:f>
        <x:v>5</x:v>
      </x:c>
      <x:c r="L1490" s="11" t="n">
        <x:f>SUM(SalesLines!S3643)</x:f>
        <x:v>0</x:v>
      </x:c>
      <x:c r="M1490" s="8" t="n">
        <x:f>DATE(YEAR(C1490),MONTH(C1490),1)</x:f>
        <x:v>45689</x:v>
      </x:c>
    </x:row>
    <x:row r="1491" ht="22" customHeight="1">
      <x:c r="A1491" s="2" t="str">
        <x:v>O01487</x:v>
      </x:c>
      <x:c r="B1491" s="2" t="str">
        <x:v>C0165</x:v>
      </x:c>
      <x:c r="C1491" s="7" t="n">
        <x:v>45780</x:v>
      </x:c>
      <x:c r="D1491" s="2" t="str">
        <x:v>Completed</x:v>
      </x:c>
      <x:c r="E1491" s="2" t="str">
        <x:v>West</x:v>
      </x:c>
      <x:c r="F1491" s="2" t="str">
        <x:v>Online</x:v>
      </x:c>
      <x:c r="G1491" s="9" t="n">
        <x:f>SUM(SalesLines!Q3644)</x:f>
        <x:v>0</x:v>
      </x:c>
      <x:c r="H1491" s="9" t="n">
        <x:f>SUM(SalesLines!M3644)</x:f>
        <x:v>268</x:v>
      </x:c>
      <x:c r="I1491" s="9" t="n">
        <x:f>SUM(SalesLines!N3644)</x:f>
        <x:v>0</x:v>
      </x:c>
      <x:c r="J1491" s="9" t="n">
        <x:f>SUM(SalesLines!P3644)</x:f>
        <x:v>268</x:v>
      </x:c>
      <x:c r="K1491" s="11" t="n">
        <x:f>SUM(SalesLines!R3644)</x:f>
        <x:v>2</x:v>
      </x:c>
      <x:c r="L1491" s="11" t="n">
        <x:f>SUM(SalesLines!S3644)</x:f>
        <x:v>2</x:v>
      </x:c>
      <x:c r="M1491" s="8" t="n">
        <x:f>DATE(YEAR(C1491),MONTH(C1491),1)</x:f>
        <x:v>45778</x:v>
      </x:c>
    </x:row>
    <x:row r="1492" ht="22" customHeight="1">
      <x:c r="A1492" s="2" t="str">
        <x:v>O01488</x:v>
      </x:c>
      <x:c r="B1492" s="2" t="str">
        <x:v>C0120</x:v>
      </x:c>
      <x:c r="C1492" s="7" t="n">
        <x:v>45874</x:v>
      </x:c>
      <x:c r="D1492" s="2" t="str">
        <x:v>Completed</x:v>
      </x:c>
      <x:c r="E1492" s="2" t="str">
        <x:v>South</x:v>
      </x:c>
      <x:c r="F1492" s="2" t="str">
        <x:v>Online</x:v>
      </x:c>
      <x:c r="G1492" s="9" t="n">
        <x:f>SUM(SalesLines!Q3645,SalesLines!Q3646,SalesLines!Q3647,SalesLines!Q3648)</x:f>
        <x:v>1396.5</x:v>
      </x:c>
      <x:c r="H1492" s="9" t="n">
        <x:f>SUM(SalesLines!M3645,SalesLines!M3646,SalesLines!M3647,SalesLines!M3648)</x:f>
        <x:v>1695</x:v>
      </x:c>
      <x:c r="I1492" s="9" t="n">
        <x:f>SUM(SalesLines!N3645,SalesLines!N3646,SalesLines!N3647,SalesLines!N3648)</x:f>
        <x:v>298.5</x:v>
      </x:c>
      <x:c r="J1492" s="9" t="n">
        <x:f>SUM(SalesLines!P3645,SalesLines!P3646,SalesLines!P3647,SalesLines!P3648)</x:f>
        <x:v>0</x:v>
      </x:c>
      <x:c r="K1492" s="11" t="n">
        <x:f>SUM(SalesLines!R3645,SalesLines!R3646,SalesLines!R3647,SalesLines!R3648)</x:f>
        <x:v>11</x:v>
      </x:c>
      <x:c r="L1492" s="11" t="n">
        <x:f>SUM(SalesLines!S3645,SalesLines!S3646,SalesLines!S3647,SalesLines!S3648)</x:f>
        <x:v>0</x:v>
      </x:c>
      <x:c r="M1492" s="8" t="n">
        <x:f>DATE(YEAR(C1492),MONTH(C1492),1)</x:f>
        <x:v>45870</x:v>
      </x:c>
    </x:row>
    <x:row r="1493" ht="22" customHeight="1">
      <x:c r="A1493" s="2" t="str">
        <x:v>O01489</x:v>
      </x:c>
      <x:c r="B1493" s="2" t="str">
        <x:v>C0294</x:v>
      </x:c>
      <x:c r="C1493" s="7" t="n">
        <x:v>45869</x:v>
      </x:c>
      <x:c r="D1493" s="2" t="str">
        <x:v>Completed</x:v>
      </x:c>
      <x:c r="E1493" s="2" t="str">
        <x:v>South</x:v>
      </x:c>
      <x:c r="F1493" s="2" t="str">
        <x:v>Online</x:v>
      </x:c>
      <x:c r="G1493" s="9" t="n">
        <x:f>SUM(SalesLines!Q3649,SalesLines!Q3650,SalesLines!Q3651,SalesLines!Q3652)</x:f>
        <x:v>1630.4499999999998</x:v>
      </x:c>
      <x:c r="H1493" s="9" t="n">
        <x:f>SUM(SalesLines!M3649,SalesLines!M3650,SalesLines!M3651,SalesLines!M3652)</x:f>
        <x:v>2114</x:v>
      </x:c>
      <x:c r="I1493" s="9" t="n">
        <x:f>SUM(SalesLines!N3649,SalesLines!N3650,SalesLines!N3651,SalesLines!N3652)</x:f>
        <x:v>259.45</x:v>
      </x:c>
      <x:c r="J1493" s="9" t="n">
        <x:f>SUM(SalesLines!P3649,SalesLines!P3650,SalesLines!P3651,SalesLines!P3652)</x:f>
        <x:v>224.1</x:v>
      </x:c>
      <x:c r="K1493" s="11" t="n">
        <x:f>SUM(SalesLines!R3649,SalesLines!R3650,SalesLines!R3651,SalesLines!R3652)</x:f>
        <x:v>13</x:v>
      </x:c>
      <x:c r="L1493" s="11" t="n">
        <x:f>SUM(SalesLines!S3649,SalesLines!S3650,SalesLines!S3651,SalesLines!S3652)</x:f>
        <x:v>1</x:v>
      </x:c>
      <x:c r="M1493" s="8" t="n">
        <x:f>DATE(YEAR(C1493),MONTH(C1493),1)</x:f>
        <x:v>45839</x:v>
      </x:c>
    </x:row>
    <x:row r="1494" ht="22" customHeight="1">
      <x:c r="A1494" s="2" t="str">
        <x:v>O01490</x:v>
      </x:c>
      <x:c r="B1494" s="2" t="str">
        <x:v>C0053</x:v>
      </x:c>
      <x:c r="C1494" s="7" t="n">
        <x:v>45940</x:v>
      </x:c>
      <x:c r="D1494" s="2" t="str">
        <x:v>Completed</x:v>
      </x:c>
      <x:c r="E1494" s="2" t="str">
        <x:v>West</x:v>
      </x:c>
      <x:c r="F1494" s="2" t="str">
        <x:v>Online</x:v>
      </x:c>
      <x:c r="G1494" s="9" t="n">
        <x:f>SUM(SalesLines!Q3653)</x:f>
        <x:v>390</x:v>
      </x:c>
      <x:c r="H1494" s="9" t="n">
        <x:f>SUM(SalesLines!M3653)</x:f>
        <x:v>390</x:v>
      </x:c>
      <x:c r="I1494" s="9" t="n">
        <x:f>SUM(SalesLines!N3653)</x:f>
        <x:v>0</x:v>
      </x:c>
      <x:c r="J1494" s="9" t="n">
        <x:f>SUM(SalesLines!P3653)</x:f>
        <x:v>0</x:v>
      </x:c>
      <x:c r="K1494" s="11" t="n">
        <x:f>SUM(SalesLines!R3653)</x:f>
        <x:v>5</x:v>
      </x:c>
      <x:c r="L1494" s="11" t="n">
        <x:f>SUM(SalesLines!S3653)</x:f>
        <x:v>0</x:v>
      </x:c>
      <x:c r="M1494" s="8" t="n">
        <x:f>DATE(YEAR(C1494),MONTH(C1494),1)</x:f>
        <x:v>45931</x:v>
      </x:c>
    </x:row>
    <x:row r="1495" ht="22" customHeight="1">
      <x:c r="A1495" s="2" t="str">
        <x:v>O01491</x:v>
      </x:c>
      <x:c r="B1495" s="2" t="str">
        <x:v>C0193</x:v>
      </x:c>
      <x:c r="C1495" s="7" t="n">
        <x:v>45815</x:v>
      </x:c>
      <x:c r="D1495" s="2" t="str">
        <x:v>Completed</x:v>
      </x:c>
      <x:c r="E1495" s="2" t="str">
        <x:v>East</x:v>
      </x:c>
      <x:c r="F1495" s="2" t="str">
        <x:v>Store</x:v>
      </x:c>
      <x:c r="G1495" s="9" t="n">
        <x:f>SUM(SalesLines!Q3654,SalesLines!Q3655)</x:f>
        <x:v>558.6</x:v>
      </x:c>
      <x:c r="H1495" s="9" t="n">
        <x:f>SUM(SalesLines!M3654,SalesLines!M3655)</x:f>
        <x:v>928</x:v>
      </x:c>
      <x:c r="I1495" s="9" t="n">
        <x:f>SUM(SalesLines!N3654,SalesLines!N3655)</x:f>
        <x:v>63.400000000000006</x:v>
      </x:c>
      <x:c r="J1495" s="9" t="n">
        <x:f>SUM(SalesLines!P3654,SalesLines!P3655)</x:f>
        <x:v>306</x:v>
      </x:c>
      <x:c r="K1495" s="11" t="n">
        <x:f>SUM(SalesLines!R3654,SalesLines!R3655)</x:f>
        <x:v>7</x:v>
      </x:c>
      <x:c r="L1495" s="11" t="n">
        <x:f>SUM(SalesLines!S3654,SalesLines!S3655)</x:f>
        <x:v>5</x:v>
      </x:c>
      <x:c r="M1495" s="8" t="n">
        <x:f>DATE(YEAR(C1495),MONTH(C1495),1)</x:f>
        <x:v>45809</x:v>
      </x:c>
    </x:row>
    <x:row r="1496" ht="22" customHeight="1">
      <x:c r="A1496" s="2" t="str">
        <x:v>O01492</x:v>
      </x:c>
      <x:c r="B1496" s="2" t="str">
        <x:v>C0032</x:v>
      </x:c>
      <x:c r="C1496" s="7" t="n">
        <x:v>45839</x:v>
      </x:c>
      <x:c r="D1496" s="2" t="str">
        <x:v>Completed</x:v>
      </x:c>
      <x:c r="E1496" s="2" t="str">
        <x:v>North</x:v>
      </x:c>
      <x:c r="F1496" s="2" t="str">
        <x:v>Store</x:v>
      </x:c>
      <x:c r="G1496" s="9" t="n">
        <x:f>SUM(SalesLines!Q3656,SalesLines!Q3657)</x:f>
        <x:v>1595.1</x:v>
      </x:c>
      <x:c r="H1496" s="9" t="n">
        <x:f>SUM(SalesLines!M3656,SalesLines!M3657)</x:f>
        <x:v>1862</x:v>
      </x:c>
      <x:c r="I1496" s="9" t="n">
        <x:f>SUM(SalesLines!N3656,SalesLines!N3657)</x:f>
        <x:v>266.9</x:v>
      </x:c>
      <x:c r="J1496" s="9" t="n">
        <x:f>SUM(SalesLines!P3656,SalesLines!P3657)</x:f>
        <x:v>0</x:v>
      </x:c>
      <x:c r="K1496" s="11" t="n">
        <x:f>SUM(SalesLines!R3656,SalesLines!R3657)</x:f>
        <x:v>8</x:v>
      </x:c>
      <x:c r="L1496" s="11" t="n">
        <x:f>SUM(SalesLines!S3656,SalesLines!S3657)</x:f>
        <x:v>0</x:v>
      </x:c>
      <x:c r="M1496" s="8" t="n">
        <x:f>DATE(YEAR(C1496),MONTH(C1496),1)</x:f>
        <x:v>45839</x:v>
      </x:c>
    </x:row>
    <x:row r="1497" ht="22" customHeight="1">
      <x:c r="A1497" s="2" t="str">
        <x:v>O01493</x:v>
      </x:c>
      <x:c r="B1497" s="2" t="str">
        <x:v>C0121</x:v>
      </x:c>
      <x:c r="C1497" s="7" t="n">
        <x:v>45830</x:v>
      </x:c>
      <x:c r="D1497" s="2" t="str">
        <x:v>Completed</x:v>
      </x:c>
      <x:c r="E1497" s="2" t="str">
        <x:v>West</x:v>
      </x:c>
      <x:c r="F1497" s="2" t="str">
        <x:v>Online</x:v>
      </x:c>
      <x:c r="G1497" s="9" t="n">
        <x:f>SUM(SalesLines!Q3658,SalesLines!Q3659,SalesLines!Q3660,SalesLines!Q3661)</x:f>
        <x:v>1839.05</x:v>
      </x:c>
      <x:c r="H1497" s="9" t="n">
        <x:f>SUM(SalesLines!M3658,SalesLines!M3659,SalesLines!M3660,SalesLines!M3661)</x:f>
        <x:v>1923</x:v>
      </x:c>
      <x:c r="I1497" s="9" t="n">
        <x:f>SUM(SalesLines!N3658,SalesLines!N3659,SalesLines!N3660,SalesLines!N3661)</x:f>
        <x:v>83.95</x:v>
      </x:c>
      <x:c r="J1497" s="9" t="n">
        <x:f>SUM(SalesLines!P3658,SalesLines!P3659,SalesLines!P3660,SalesLines!P3661)</x:f>
        <x:v>0</x:v>
      </x:c>
      <x:c r="K1497" s="11" t="n">
        <x:f>SUM(SalesLines!R3658,SalesLines!R3659,SalesLines!R3660,SalesLines!R3661)</x:f>
        <x:v>14</x:v>
      </x:c>
      <x:c r="L1497" s="11" t="n">
        <x:f>SUM(SalesLines!S3658,SalesLines!S3659,SalesLines!S3660,SalesLines!S3661)</x:f>
        <x:v>0</x:v>
      </x:c>
      <x:c r="M1497" s="8" t="n">
        <x:f>DATE(YEAR(C1497),MONTH(C1497),1)</x:f>
        <x:v>45809</x:v>
      </x:c>
    </x:row>
    <x:row r="1498" ht="22" customHeight="1">
      <x:c r="A1498" s="2" t="str">
        <x:v>O01494</x:v>
      </x:c>
      <x:c r="B1498" s="2" t="str">
        <x:v>C0044</x:v>
      </x:c>
      <x:c r="C1498" s="7" t="n">
        <x:v>45927</x:v>
      </x:c>
      <x:c r="D1498" s="2" t="str">
        <x:v>Completed</x:v>
      </x:c>
      <x:c r="E1498" s="2" t="str">
        <x:v>West</x:v>
      </x:c>
      <x:c r="F1498" s="2" t="str">
        <x:v>Store</x:v>
      </x:c>
      <x:c r="G1498" s="9" t="n">
        <x:f>SUM(SalesLines!Q3662)</x:f>
        <x:v>359.1</x:v>
      </x:c>
      <x:c r="H1498" s="9" t="n">
        <x:f>SUM(SalesLines!M3662)</x:f>
        <x:v>378</x:v>
      </x:c>
      <x:c r="I1498" s="9" t="n">
        <x:f>SUM(SalesLines!N3662)</x:f>
        <x:v>18.900000000000002</x:v>
      </x:c>
      <x:c r="J1498" s="9" t="n">
        <x:f>SUM(SalesLines!P3662)</x:f>
        <x:v>0</x:v>
      </x:c>
      <x:c r="K1498" s="11" t="n">
        <x:f>SUM(SalesLines!R3662)</x:f>
        <x:v>2</x:v>
      </x:c>
      <x:c r="L1498" s="11" t="n">
        <x:f>SUM(SalesLines!S3662)</x:f>
        <x:v>0</x:v>
      </x:c>
      <x:c r="M1498" s="8" t="n">
        <x:f>DATE(YEAR(C1498),MONTH(C1498),1)</x:f>
        <x:v>45901</x:v>
      </x:c>
    </x:row>
    <x:row r="1499" ht="22" customHeight="1">
      <x:c r="A1499" s="2" t="str">
        <x:v>O01495</x:v>
      </x:c>
      <x:c r="B1499" s="2" t="str">
        <x:v>C0137</x:v>
      </x:c>
      <x:c r="C1499" s="7" t="n">
        <x:v>45725</x:v>
      </x:c>
      <x:c r="D1499" s="2" t="str">
        <x:v>Completed</x:v>
      </x:c>
      <x:c r="E1499" s="2" t="str">
        <x:v>South</x:v>
      </x:c>
      <x:c r="F1499" s="2" t="str">
        <x:v>Store</x:v>
      </x:c>
      <x:c r="G1499" s="9" t="n">
        <x:f>SUM(SalesLines!Q3663,SalesLines!Q3664,SalesLines!Q3665,SalesLines!Q3666)</x:f>
        <x:v>1554.3500000000001</x:v>
      </x:c>
      <x:c r="H1499" s="9" t="n">
        <x:f>SUM(SalesLines!M3663,SalesLines!M3664,SalesLines!M3665,SalesLines!M3666)</x:f>
        <x:v>1892</x:v>
      </x:c>
      <x:c r="I1499" s="9" t="n">
        <x:f>SUM(SalesLines!N3663,SalesLines!N3664,SalesLines!N3665,SalesLines!N3666)</x:f>
        <x:v>227.85000000000002</x:v>
      </x:c>
      <x:c r="J1499" s="9" t="n">
        <x:f>SUM(SalesLines!P3663,SalesLines!P3664,SalesLines!P3665,SalesLines!P3666)</x:f>
        <x:v>109.8</x:v>
      </x:c>
      <x:c r="K1499" s="11" t="n">
        <x:f>SUM(SalesLines!R3663,SalesLines!R3664,SalesLines!R3665,SalesLines!R3666)</x:f>
        <x:v>11</x:v>
      </x:c>
      <x:c r="L1499" s="11" t="n">
        <x:f>SUM(SalesLines!S3663,SalesLines!S3664,SalesLines!S3665,SalesLines!S3666)</x:f>
        <x:v>1</x:v>
      </x:c>
      <x:c r="M1499" s="8" t="n">
        <x:f>DATE(YEAR(C1499),MONTH(C1499),1)</x:f>
        <x:v>45717</x:v>
      </x:c>
    </x:row>
    <x:row r="1500" ht="22" customHeight="1">
      <x:c r="A1500" s="2" t="str">
        <x:v>O01496</x:v>
      </x:c>
      <x:c r="B1500" s="2" t="str">
        <x:v>C0067</x:v>
      </x:c>
      <x:c r="C1500" s="7" t="n">
        <x:v>46004</x:v>
      </x:c>
      <x:c r="D1500" s="2" t="str">
        <x:v>Completed</x:v>
      </x:c>
      <x:c r="E1500" s="2" t="str">
        <x:v>East</x:v>
      </x:c>
      <x:c r="F1500" s="2" t="str">
        <x:v>Store</x:v>
      </x:c>
      <x:c r="G1500" s="9" t="n">
        <x:f>SUM(SalesLines!Q3667,SalesLines!Q3668,SalesLines!Q3669)</x:f>
        <x:v>2286.9</x:v>
      </x:c>
      <x:c r="H1500" s="9" t="n">
        <x:f>SUM(SalesLines!M3667,SalesLines!M3668,SalesLines!M3669)</x:f>
        <x:v>2540</x:v>
      </x:c>
      <x:c r="I1500" s="9" t="n">
        <x:f>SUM(SalesLines!N3667,SalesLines!N3668,SalesLines!N3669)</x:f>
        <x:v>253.10000000000002</x:v>
      </x:c>
      <x:c r="J1500" s="9" t="n">
        <x:f>SUM(SalesLines!P3667,SalesLines!P3668,SalesLines!P3669)</x:f>
        <x:v>0</x:v>
      </x:c>
      <x:c r="K1500" s="11" t="n">
        <x:f>SUM(SalesLines!R3667,SalesLines!R3668,SalesLines!R3669)</x:f>
        <x:v>10</x:v>
      </x:c>
      <x:c r="L1500" s="11" t="n">
        <x:f>SUM(SalesLines!S3667,SalesLines!S3668,SalesLines!S3669)</x:f>
        <x:v>0</x:v>
      </x:c>
      <x:c r="M1500" s="8" t="n">
        <x:f>DATE(YEAR(C1500),MONTH(C1500),1)</x:f>
        <x:v>45992</x:v>
      </x:c>
    </x:row>
    <x:row r="1501" ht="22" customHeight="1">
      <x:c r="A1501" s="2" t="str">
        <x:v>O01497</x:v>
      </x:c>
      <x:c r="B1501" s="2" t="str">
        <x:v>C0248</x:v>
      </x:c>
      <x:c r="C1501" s="7" t="n">
        <x:v>45702</x:v>
      </x:c>
      <x:c r="D1501" s="2" t="str">
        <x:v>Completed</x:v>
      </x:c>
      <x:c r="E1501" s="2" t="str">
        <x:v>East</x:v>
      </x:c>
      <x:c r="F1501" s="2" t="str">
        <x:v>Online</x:v>
      </x:c>
      <x:c r="G1501" s="9" t="n">
        <x:f>SUM(SalesLines!Q3670,SalesLines!Q3671,SalesLines!Q3672,SalesLines!Q3673)</x:f>
        <x:v>2763</x:v>
      </x:c>
      <x:c r="H1501" s="9" t="n">
        <x:f>SUM(SalesLines!M3670,SalesLines!M3671,SalesLines!M3672,SalesLines!M3673)</x:f>
        <x:v>3087</x:v>
      </x:c>
      <x:c r="I1501" s="9" t="n">
        <x:f>SUM(SalesLines!N3670,SalesLines!N3671,SalesLines!N3672,SalesLines!N3673)</x:f>
        <x:v>324</x:v>
      </x:c>
      <x:c r="J1501" s="9" t="n">
        <x:f>SUM(SalesLines!P3670,SalesLines!P3671,SalesLines!P3672,SalesLines!P3673)</x:f>
        <x:v>0</x:v>
      </x:c>
      <x:c r="K1501" s="11" t="n">
        <x:f>SUM(SalesLines!R3670,SalesLines!R3671,SalesLines!R3672,SalesLines!R3673)</x:f>
        <x:v>12</x:v>
      </x:c>
      <x:c r="L1501" s="11" t="n">
        <x:f>SUM(SalesLines!S3670,SalesLines!S3671,SalesLines!S3672,SalesLines!S3673)</x:f>
        <x:v>0</x:v>
      </x:c>
      <x:c r="M1501" s="8" t="n">
        <x:f>DATE(YEAR(C1501),MONTH(C1501),1)</x:f>
        <x:v>45689</x:v>
      </x:c>
    </x:row>
    <x:row r="1502" ht="22" customHeight="1">
      <x:c r="A1502" s="2" t="str">
        <x:v>O01498</x:v>
      </x:c>
      <x:c r="B1502" s="2" t="str">
        <x:v>C0030</x:v>
      </x:c>
      <x:c r="C1502" s="7" t="n">
        <x:v>45968</x:v>
      </x:c>
      <x:c r="D1502" s="2" t="str">
        <x:v>Completed</x:v>
      </x:c>
      <x:c r="E1502" s="2" t="str">
        <x:v>South</x:v>
      </x:c>
      <x:c r="F1502" s="2" t="str">
        <x:v>Online</x:v>
      </x:c>
      <x:c r="G1502" s="9" t="n">
        <x:f>SUM(SalesLines!Q3674,SalesLines!Q3675)</x:f>
        <x:v>830.3</x:v>
      </x:c>
      <x:c r="H1502" s="9" t="n">
        <x:f>SUM(SalesLines!M3674,SalesLines!M3675)</x:f>
        <x:v>874</x:v>
      </x:c>
      <x:c r="I1502" s="9" t="n">
        <x:f>SUM(SalesLines!N3674,SalesLines!N3675)</x:f>
        <x:v>43.7</x:v>
      </x:c>
      <x:c r="J1502" s="9" t="n">
        <x:f>SUM(SalesLines!P3674,SalesLines!P3675)</x:f>
        <x:v>0</x:v>
      </x:c>
      <x:c r="K1502" s="11" t="n">
        <x:f>SUM(SalesLines!R3674,SalesLines!R3675)</x:f>
        <x:v>4</x:v>
      </x:c>
      <x:c r="L1502" s="11" t="n">
        <x:f>SUM(SalesLines!S3674,SalesLines!S3675)</x:f>
        <x:v>0</x:v>
      </x:c>
      <x:c r="M1502" s="8" t="n">
        <x:f>DATE(YEAR(C1502),MONTH(C1502),1)</x:f>
        <x:v>45962</x:v>
      </x:c>
    </x:row>
    <x:row r="1503" ht="22" customHeight="1">
      <x:c r="A1503" s="2" t="str">
        <x:v>O01499</x:v>
      </x:c>
      <x:c r="B1503" s="2" t="str">
        <x:v>C0051</x:v>
      </x:c>
      <x:c r="C1503" s="7" t="n">
        <x:v>45825</x:v>
      </x:c>
      <x:c r="D1503" s="2" t="str">
        <x:v>Cancelled</x:v>
      </x:c>
      <x:c r="E1503" s="2" t="str">
        <x:v>West</x:v>
      </x:c>
      <x:c r="F1503" s="2" t="str">
        <x:v>Store</x:v>
      </x:c>
      <x:c r="G1503" s="9" t="n">
        <x:f>SUM(SalesLines!Q3676,SalesLines!Q3677,SalesLines!Q3678)</x:f>
        <x:v>0</x:v>
      </x:c>
      <x:c r="H1503" s="9" t="n">
        <x:f>SUM(SalesLines!M3676,SalesLines!M3677,SalesLines!M3678)</x:f>
        <x:v>0</x:v>
      </x:c>
      <x:c r="I1503" s="9" t="n">
        <x:f>SUM(SalesLines!N3676,SalesLines!N3677,SalesLines!N3678)</x:f>
        <x:v>0</x:v>
      </x:c>
      <x:c r="J1503" s="9" t="n">
        <x:f>SUM(SalesLines!P3676,SalesLines!P3677,SalesLines!P3678)</x:f>
        <x:v>0</x:v>
      </x:c>
      <x:c r="K1503" s="11" t="n">
        <x:f>SUM(SalesLines!R3676,SalesLines!R3677,SalesLines!R3678)</x:f>
        <x:v>0</x:v>
      </x:c>
      <x:c r="L1503" s="11" t="n">
        <x:f>SUM(SalesLines!S3676,SalesLines!S3677,SalesLines!S3678)</x:f>
        <x:v>0</x:v>
      </x:c>
      <x:c r="M1503" s="8" t="n">
        <x:f>DATE(YEAR(C1503),MONTH(C1503),1)</x:f>
        <x:v>45809</x:v>
      </x:c>
    </x:row>
    <x:row r="1504" ht="22" customHeight="1">
      <x:c r="A1504" s="2" t="str">
        <x:v>O01500</x:v>
      </x:c>
      <x:c r="B1504" s="2" t="str">
        <x:v>C0183</x:v>
      </x:c>
      <x:c r="C1504" s="7" t="n">
        <x:v>45947</x:v>
      </x:c>
      <x:c r="D1504" s="2" t="str">
        <x:v>Completed</x:v>
      </x:c>
      <x:c r="E1504" s="2" t="str">
        <x:v>East</x:v>
      </x:c>
      <x:c r="F1504" s="2" t="str">
        <x:v>Store</x:v>
      </x:c>
      <x:c r="G1504" s="9" t="n">
        <x:f>SUM(SalesLines!Q3679,SalesLines!Q3680,SalesLines!Q3681)</x:f>
        <x:v>422.7</x:v>
      </x:c>
      <x:c r="H1504" s="9" t="n">
        <x:f>SUM(SalesLines!M3679,SalesLines!M3680,SalesLines!M3681)</x:f>
        <x:v>456</x:v>
      </x:c>
      <x:c r="I1504" s="9" t="n">
        <x:f>SUM(SalesLines!N3679,SalesLines!N3680,SalesLines!N3681)</x:f>
        <x:v>33.3</x:v>
      </x:c>
      <x:c r="J1504" s="9" t="n">
        <x:f>SUM(SalesLines!P3679,SalesLines!P3680,SalesLines!P3681)</x:f>
        <x:v>0</x:v>
      </x:c>
      <x:c r="K1504" s="11" t="n">
        <x:f>SUM(SalesLines!R3679,SalesLines!R3680,SalesLines!R3681)</x:f>
        <x:v>5</x:v>
      </x:c>
      <x:c r="L1504" s="11" t="n">
        <x:f>SUM(SalesLines!S3679,SalesLines!S3680,SalesLines!S3681)</x:f>
        <x:v>0</x:v>
      </x:c>
      <x:c r="M1504" s="8" t="n">
        <x:f>DATE(YEAR(C1504),MONTH(C1504),1)</x:f>
        <x:v>45931</x:v>
      </x:c>
    </x:row>
    <x:row r="1505" ht="22" customHeight="1">
      <x:c r="A1505" s="2" t="str">
        <x:v>O01501</x:v>
      </x:c>
      <x:c r="B1505" s="2" t="str">
        <x:v>C0226</x:v>
      </x:c>
      <x:c r="C1505" s="7" t="n">
        <x:v>46007</x:v>
      </x:c>
      <x:c r="D1505" s="2" t="str">
        <x:v>Completed</x:v>
      </x:c>
      <x:c r="E1505" s="2" t="str">
        <x:v>South</x:v>
      </x:c>
      <x:c r="F1505" s="2" t="str">
        <x:v>Online</x:v>
      </x:c>
      <x:c r="G1505" s="9" t="n">
        <x:f>SUM(SalesLines!Q3682,SalesLines!Q3683)</x:f>
        <x:v>1474.1999999999998</x:v>
      </x:c>
      <x:c r="H1505" s="9" t="n">
        <x:f>SUM(SalesLines!M3682,SalesLines!M3683)</x:f>
        <x:v>1638</x:v>
      </x:c>
      <x:c r="I1505" s="9" t="n">
        <x:f>SUM(SalesLines!N3682,SalesLines!N3683)</x:f>
        <x:v>163.8</x:v>
      </x:c>
      <x:c r="J1505" s="9" t="n">
        <x:f>SUM(SalesLines!P3682,SalesLines!P3683)</x:f>
        <x:v>0</x:v>
      </x:c>
      <x:c r="K1505" s="11" t="n">
        <x:f>SUM(SalesLines!R3682,SalesLines!R3683)</x:f>
        <x:v>7</x:v>
      </x:c>
      <x:c r="L1505" s="11" t="n">
        <x:f>SUM(SalesLines!S3682,SalesLines!S3683)</x:f>
        <x:v>0</x:v>
      </x:c>
      <x:c r="M1505" s="8" t="n">
        <x:f>DATE(YEAR(C1505),MONTH(C1505),1)</x:f>
        <x:v>45992</x:v>
      </x:c>
    </x:row>
    <x:row r="1506" ht="22" customHeight="1">
      <x:c r="A1506" s="2" t="str">
        <x:v>O01502</x:v>
      </x:c>
      <x:c r="B1506" s="2" t="str">
        <x:v>C0212</x:v>
      </x:c>
      <x:c r="C1506" s="7" t="n">
        <x:v>46003</x:v>
      </x:c>
      <x:c r="D1506" s="2" t="str">
        <x:v>Completed</x:v>
      </x:c>
      <x:c r="E1506" s="2" t="str">
        <x:v>East</x:v>
      </x:c>
      <x:c r="F1506" s="2" t="str">
        <x:v>Online</x:v>
      </x:c>
      <x:c r="G1506" s="9" t="n">
        <x:f>SUM(SalesLines!Q3684,SalesLines!Q3685,SalesLines!Q3686,SalesLines!Q3687)</x:f>
        <x:v>1962.8</x:v>
      </x:c>
      <x:c r="H1506" s="9" t="n">
        <x:f>SUM(SalesLines!M3684,SalesLines!M3685,SalesLines!M3686,SalesLines!M3687)</x:f>
        <x:v>2044</x:v>
      </x:c>
      <x:c r="I1506" s="9" t="n">
        <x:f>SUM(SalesLines!N3684,SalesLines!N3685,SalesLines!N3686,SalesLines!N3687)</x:f>
        <x:v>81.2</x:v>
      </x:c>
      <x:c r="J1506" s="9" t="n">
        <x:f>SUM(SalesLines!P3684,SalesLines!P3685,SalesLines!P3686,SalesLines!P3687)</x:f>
        <x:v>0</x:v>
      </x:c>
      <x:c r="K1506" s="11" t="n">
        <x:f>SUM(SalesLines!R3684,SalesLines!R3685,SalesLines!R3686,SalesLines!R3687)</x:f>
        <x:v>15</x:v>
      </x:c>
      <x:c r="L1506" s="11" t="n">
        <x:f>SUM(SalesLines!S3684,SalesLines!S3685,SalesLines!S3686,SalesLines!S3687)</x:f>
        <x:v>0</x:v>
      </x:c>
      <x:c r="M1506" s="8" t="n">
        <x:f>DATE(YEAR(C1506),MONTH(C1506),1)</x:f>
        <x:v>45992</x:v>
      </x:c>
    </x:row>
    <x:row r="1507" ht="22" customHeight="1">
      <x:c r="A1507" s="2" t="str">
        <x:v>O01503</x:v>
      </x:c>
      <x:c r="B1507" s="2" t="str">
        <x:v>C0158</x:v>
      </x:c>
      <x:c r="C1507" s="7" t="n">
        <x:v>45942</x:v>
      </x:c>
      <x:c r="D1507" s="2" t="str">
        <x:v>Cancelled</x:v>
      </x:c>
      <x:c r="E1507" s="2" t="str">
        <x:v>East</x:v>
      </x:c>
      <x:c r="F1507" s="2" t="str">
        <x:v>Online</x:v>
      </x:c>
      <x:c r="G1507" s="9" t="n">
        <x:f>SUM(SalesLines!Q3688,SalesLines!Q3689)</x:f>
        <x:v>0</x:v>
      </x:c>
      <x:c r="H1507" s="9" t="n">
        <x:f>SUM(SalesLines!M3688,SalesLines!M3689)</x:f>
        <x:v>0</x:v>
      </x:c>
      <x:c r="I1507" s="9" t="n">
        <x:f>SUM(SalesLines!N3688,SalesLines!N3689)</x:f>
        <x:v>0</x:v>
      </x:c>
      <x:c r="J1507" s="9" t="n">
        <x:f>SUM(SalesLines!P3688,SalesLines!P3689)</x:f>
        <x:v>0</x:v>
      </x:c>
      <x:c r="K1507" s="11" t="n">
        <x:f>SUM(SalesLines!R3688,SalesLines!R3689)</x:f>
        <x:v>0</x:v>
      </x:c>
      <x:c r="L1507" s="11" t="n">
        <x:f>SUM(SalesLines!S3688,SalesLines!S3689)</x:f>
        <x:v>0</x:v>
      </x:c>
      <x:c r="M1507" s="8" t="n">
        <x:f>DATE(YEAR(C1507),MONTH(C1507),1)</x:f>
        <x:v>45931</x:v>
      </x:c>
    </x:row>
    <x:row r="1508" ht="22" customHeight="1">
      <x:c r="A1508" s="2" t="str">
        <x:v>O01504</x:v>
      </x:c>
      <x:c r="B1508" s="2" t="str">
        <x:v>C0102</x:v>
      </x:c>
      <x:c r="C1508" s="7" t="n">
        <x:v>45677</x:v>
      </x:c>
      <x:c r="D1508" s="2" t="str">
        <x:v>Completed</x:v>
      </x:c>
      <x:c r="E1508" s="2" t="str">
        <x:v>North</x:v>
      </x:c>
      <x:c r="F1508" s="2" t="str">
        <x:v>Store</x:v>
      </x:c>
      <x:c r="G1508" s="9" t="n">
        <x:f>SUM(SalesLines!Q3690)</x:f>
        <x:v>157.5</x:v>
      </x:c>
      <x:c r="H1508" s="9" t="n">
        <x:f>SUM(SalesLines!M3690)</x:f>
        <x:v>175</x:v>
      </x:c>
      <x:c r="I1508" s="9" t="n">
        <x:f>SUM(SalesLines!N3690)</x:f>
        <x:v>17.5</x:v>
      </x:c>
      <x:c r="J1508" s="9" t="n">
        <x:f>SUM(SalesLines!P3690)</x:f>
        <x:v>0</x:v>
      </x:c>
      <x:c r="K1508" s="11" t="n">
        <x:f>SUM(SalesLines!R3690)</x:f>
        <x:v>5</x:v>
      </x:c>
      <x:c r="L1508" s="11" t="n">
        <x:f>SUM(SalesLines!S3690)</x:f>
        <x:v>0</x:v>
      </x:c>
      <x:c r="M1508" s="8" t="n">
        <x:f>DATE(YEAR(C1508),MONTH(C1508),1)</x:f>
        <x:v>45658</x:v>
      </x:c>
    </x:row>
    <x:row r="1509" ht="22" customHeight="1">
      <x:c r="A1509" s="2" t="str">
        <x:v>O01505</x:v>
      </x:c>
      <x:c r="B1509" s="2" t="str">
        <x:v>C0239</x:v>
      </x:c>
      <x:c r="C1509" s="7" t="n">
        <x:v>45689</x:v>
      </x:c>
      <x:c r="D1509" s="2" t="str">
        <x:v>Completed</x:v>
      </x:c>
      <x:c r="E1509" s="2" t="str">
        <x:v>South</x:v>
      </x:c>
      <x:c r="F1509" s="2" t="str">
        <x:v>Online</x:v>
      </x:c>
      <x:c r="G1509" s="9" t="n">
        <x:f>SUM(SalesLines!Q3691,SalesLines!Q3692,SalesLines!Q3693,SalesLines!Q3694)</x:f>
        <x:v>965.9</x:v>
      </x:c>
      <x:c r="H1509" s="9" t="n">
        <x:f>SUM(SalesLines!M3691,SalesLines!M3692,SalesLines!M3693,SalesLines!M3694)</x:f>
        <x:v>1001</x:v>
      </x:c>
      <x:c r="I1509" s="9" t="n">
        <x:f>SUM(SalesLines!N3691,SalesLines!N3692,SalesLines!N3693,SalesLines!N3694)</x:f>
        <x:v>35.1</x:v>
      </x:c>
      <x:c r="J1509" s="9" t="n">
        <x:f>SUM(SalesLines!P3691,SalesLines!P3692,SalesLines!P3693,SalesLines!P3694)</x:f>
        <x:v>0</x:v>
      </x:c>
      <x:c r="K1509" s="11" t="n">
        <x:f>SUM(SalesLines!R3691,SalesLines!R3692,SalesLines!R3693,SalesLines!R3694)</x:f>
        <x:v>12</x:v>
      </x:c>
      <x:c r="L1509" s="11" t="n">
        <x:f>SUM(SalesLines!S3691,SalesLines!S3692,SalesLines!S3693,SalesLines!S3694)</x:f>
        <x:v>0</x:v>
      </x:c>
      <x:c r="M1509" s="8" t="n">
        <x:f>DATE(YEAR(C1509),MONTH(C1509),1)</x:f>
        <x:v>45689</x:v>
      </x:c>
    </x:row>
    <x:row r="1510" ht="22" customHeight="1">
      <x:c r="A1510" s="2" t="str">
        <x:v>O01506</x:v>
      </x:c>
      <x:c r="B1510" s="2" t="str">
        <x:v>C0129</x:v>
      </x:c>
      <x:c r="C1510" s="7" t="n">
        <x:v>45764</x:v>
      </x:c>
      <x:c r="D1510" s="2" t="str">
        <x:v>Completed</x:v>
      </x:c>
      <x:c r="E1510" s="2" t="str">
        <x:v>North</x:v>
      </x:c>
      <x:c r="F1510" s="2" t="str">
        <x:v>Online</x:v>
      </x:c>
      <x:c r="G1510" s="9" t="n">
        <x:f>SUM(SalesLines!Q3695)</x:f>
        <x:v>169.2</x:v>
      </x:c>
      <x:c r="H1510" s="9" t="n">
        <x:f>SUM(SalesLines!M3695)</x:f>
        <x:v>188</x:v>
      </x:c>
      <x:c r="I1510" s="9" t="n">
        <x:f>SUM(SalesLines!N3695)</x:f>
        <x:v>18.8</x:v>
      </x:c>
      <x:c r="J1510" s="9" t="n">
        <x:f>SUM(SalesLines!P3695)</x:f>
        <x:v>0</x:v>
      </x:c>
      <x:c r="K1510" s="11" t="n">
        <x:f>SUM(SalesLines!R3695)</x:f>
        <x:v>1</x:v>
      </x:c>
      <x:c r="L1510" s="11" t="n">
        <x:f>SUM(SalesLines!S3695)</x:f>
        <x:v>0</x:v>
      </x:c>
      <x:c r="M1510" s="8" t="n">
        <x:f>DATE(YEAR(C1510),MONTH(C1510),1)</x:f>
        <x:v>45748</x:v>
      </x:c>
    </x:row>
    <x:row r="1511" ht="22" customHeight="1">
      <x:c r="A1511" s="2" t="str">
        <x:v>O01507</x:v>
      </x:c>
      <x:c r="B1511" s="2" t="str">
        <x:v>C0236</x:v>
      </x:c>
      <x:c r="C1511" s="7" t="n">
        <x:v>45793</x:v>
      </x:c>
      <x:c r="D1511" s="2" t="str">
        <x:v>Completed</x:v>
      </x:c>
      <x:c r="E1511" s="2" t="str">
        <x:v>West</x:v>
      </x:c>
      <x:c r="F1511" s="2" t="str">
        <x:v>Online</x:v>
      </x:c>
      <x:c r="G1511" s="9" t="n">
        <x:f>SUM(SalesLines!Q3696,SalesLines!Q3697,SalesLines!Q3698,SalesLines!Q3699)</x:f>
        <x:v>1872.6</x:v>
      </x:c>
      <x:c r="H1511" s="9" t="n">
        <x:f>SUM(SalesLines!M3696,SalesLines!M3697,SalesLines!M3698,SalesLines!M3699)</x:f>
        <x:v>2055</x:v>
      </x:c>
      <x:c r="I1511" s="9" t="n">
        <x:f>SUM(SalesLines!N3696,SalesLines!N3697,SalesLines!N3698,SalesLines!N3699)</x:f>
        <x:v>182.39999999999998</x:v>
      </x:c>
      <x:c r="J1511" s="9" t="n">
        <x:f>SUM(SalesLines!P3696,SalesLines!P3697,SalesLines!P3698,SalesLines!P3699)</x:f>
        <x:v>0</x:v>
      </x:c>
      <x:c r="K1511" s="11" t="n">
        <x:f>SUM(SalesLines!R3696,SalesLines!R3697,SalesLines!R3698,SalesLines!R3699)</x:f>
        <x:v>12</x:v>
      </x:c>
      <x:c r="L1511" s="11" t="n">
        <x:f>SUM(SalesLines!S3696,SalesLines!S3697,SalesLines!S3698,SalesLines!S3699)</x:f>
        <x:v>0</x:v>
      </x:c>
      <x:c r="M1511" s="8" t="n">
        <x:f>DATE(YEAR(C1511),MONTH(C1511),1)</x:f>
        <x:v>45778</x:v>
      </x:c>
    </x:row>
    <x:row r="1512" ht="22" customHeight="1">
      <x:c r="A1512" s="2" t="str">
        <x:v>O01508</x:v>
      </x:c>
      <x:c r="B1512" s="2" t="str">
        <x:v>C0140</x:v>
      </x:c>
      <x:c r="C1512" s="7" t="n">
        <x:v>45981</x:v>
      </x:c>
      <x:c r="D1512" s="2" t="str">
        <x:v>Completed</x:v>
      </x:c>
      <x:c r="E1512" s="2" t="str">
        <x:v>East</x:v>
      </x:c>
      <x:c r="F1512" s="2" t="str">
        <x:v>Store</x:v>
      </x:c>
      <x:c r="G1512" s="9" t="n">
        <x:f>SUM(SalesLines!Q3700)</x:f>
        <x:v>104</x:v>
      </x:c>
      <x:c r="H1512" s="9" t="n">
        <x:f>SUM(SalesLines!M3700)</x:f>
        <x:v>130</x:v>
      </x:c>
      <x:c r="I1512" s="9" t="n">
        <x:f>SUM(SalesLines!N3700)</x:f>
        <x:v>26</x:v>
      </x:c>
      <x:c r="J1512" s="9" t="n">
        <x:f>SUM(SalesLines!P3700)</x:f>
        <x:v>0</x:v>
      </x:c>
      <x:c r="K1512" s="11" t="n">
        <x:f>SUM(SalesLines!R3700)</x:f>
        <x:v>2</x:v>
      </x:c>
      <x:c r="L1512" s="11" t="n">
        <x:f>SUM(SalesLines!S3700)</x:f>
        <x:v>0</x:v>
      </x:c>
      <x:c r="M1512" s="8" t="n">
        <x:f>DATE(YEAR(C1512),MONTH(C1512),1)</x:f>
        <x:v>45962</x:v>
      </x:c>
    </x:row>
    <x:row r="1513" ht="22" customHeight="1">
      <x:c r="A1513" s="2" t="str">
        <x:v>O01509</x:v>
      </x:c>
      <x:c r="B1513" s="2" t="str">
        <x:v>C0007</x:v>
      </x:c>
      <x:c r="C1513" s="7" t="n">
        <x:v>45686</x:v>
      </x:c>
      <x:c r="D1513" s="2" t="str">
        <x:v>Completed</x:v>
      </x:c>
      <x:c r="E1513" s="2" t="str">
        <x:v>North</x:v>
      </x:c>
      <x:c r="F1513" s="2" t="str">
        <x:v>Store</x:v>
      </x:c>
      <x:c r="G1513" s="9" t="n">
        <x:f>SUM(SalesLines!Q3701,SalesLines!Q3702,SalesLines!Q3703)</x:f>
        <x:v>1569</x:v>
      </x:c>
      <x:c r="H1513" s="9" t="n">
        <x:f>SUM(SalesLines!M3701,SalesLines!M3702,SalesLines!M3703)</x:f>
        <x:v>2207</x:v>
      </x:c>
      <x:c r="I1513" s="9" t="n">
        <x:f>SUM(SalesLines!N3701,SalesLines!N3702,SalesLines!N3703)</x:f>
        <x:v>422.8</x:v>
      </x:c>
      <x:c r="J1513" s="9" t="n">
        <x:f>SUM(SalesLines!P3701,SalesLines!P3702,SalesLines!P3703)</x:f>
        <x:v>215.20000000000002</x:v>
      </x:c>
      <x:c r="K1513" s="11" t="n">
        <x:f>SUM(SalesLines!R3701,SalesLines!R3702,SalesLines!R3703)</x:f>
        <x:v>11</x:v>
      </x:c>
      <x:c r="L1513" s="11" t="n">
        <x:f>SUM(SalesLines!S3701,SalesLines!S3702,SalesLines!S3703)</x:f>
        <x:v>1</x:v>
      </x:c>
      <x:c r="M1513" s="8" t="n">
        <x:f>DATE(YEAR(C1513),MONTH(C1513),1)</x:f>
        <x:v>45658</x:v>
      </x:c>
    </x:row>
    <x:row r="1514" ht="22" customHeight="1">
      <x:c r="A1514" s="2" t="str">
        <x:v>O01510</x:v>
      </x:c>
      <x:c r="B1514" s="2" t="str">
        <x:v>C0142</x:v>
      </x:c>
      <x:c r="C1514" s="7" t="n">
        <x:v>45980</x:v>
      </x:c>
      <x:c r="D1514" s="2" t="str">
        <x:v>Completed</x:v>
      </x:c>
      <x:c r="E1514" s="2" t="str">
        <x:v>West</x:v>
      </x:c>
      <x:c r="F1514" s="2" t="str">
        <x:v>Store</x:v>
      </x:c>
      <x:c r="G1514" s="9" t="n">
        <x:f>SUM(SalesLines!Q3704,SalesLines!Q3705,SalesLines!Q3706,SalesLines!Q3707)</x:f>
        <x:v>1518.9499999999998</x:v>
      </x:c>
      <x:c r="H1514" s="9" t="n">
        <x:f>SUM(SalesLines!M3704,SalesLines!M3705,SalesLines!M3706,SalesLines!M3707)</x:f>
        <x:v>1836</x:v>
      </x:c>
      <x:c r="I1514" s="9" t="n">
        <x:f>SUM(SalesLines!N3704,SalesLines!N3705,SalesLines!N3706,SalesLines!N3707)</x:f>
        <x:v>166.65</x:v>
      </x:c>
      <x:c r="J1514" s="9" t="n">
        <x:f>SUM(SalesLines!P3704,SalesLines!P3705,SalesLines!P3706,SalesLines!P3707)</x:f>
        <x:v>150.4</x:v>
      </x:c>
      <x:c r="K1514" s="11" t="n">
        <x:f>SUM(SalesLines!R3704,SalesLines!R3705,SalesLines!R3706,SalesLines!R3707)</x:f>
        <x:v>15</x:v>
      </x:c>
      <x:c r="L1514" s="11" t="n">
        <x:f>SUM(SalesLines!S3704,SalesLines!S3705,SalesLines!S3706,SalesLines!S3707)</x:f>
        <x:v>1</x:v>
      </x:c>
      <x:c r="M1514" s="8" t="n">
        <x:f>DATE(YEAR(C1514),MONTH(C1514),1)</x:f>
        <x:v>45962</x:v>
      </x:c>
    </x:row>
    <x:row r="1515" ht="22" customHeight="1">
      <x:c r="A1515" s="2" t="str">
        <x:v>O01511</x:v>
      </x:c>
      <x:c r="B1515" s="2" t="str">
        <x:v>C0012</x:v>
      </x:c>
      <x:c r="C1515" s="7" t="n">
        <x:v>45843</x:v>
      </x:c>
      <x:c r="D1515" s="2" t="str">
        <x:v>Completed</x:v>
      </x:c>
      <x:c r="E1515" s="2" t="str">
        <x:v>West</x:v>
      </x:c>
      <x:c r="F1515" s="2" t="str">
        <x:v>Online</x:v>
      </x:c>
      <x:c r="G1515" s="9" t="n">
        <x:f>SUM(SalesLines!Q3708)</x:f>
        <x:v>175.5</x:v>
      </x:c>
      <x:c r="H1515" s="9" t="n">
        <x:f>SUM(SalesLines!M3708)</x:f>
        <x:v>260</x:v>
      </x:c>
      <x:c r="I1515" s="9" t="n">
        <x:f>SUM(SalesLines!N3708)</x:f>
        <x:v>26</x:v>
      </x:c>
      <x:c r="J1515" s="9" t="n">
        <x:f>SUM(SalesLines!P3708)</x:f>
        <x:v>58.5</x:v>
      </x:c>
      <x:c r="K1515" s="11" t="n">
        <x:f>SUM(SalesLines!R3708)</x:f>
        <x:v>4</x:v>
      </x:c>
      <x:c r="L1515" s="11" t="n">
        <x:f>SUM(SalesLines!S3708)</x:f>
        <x:v>1</x:v>
      </x:c>
      <x:c r="M1515" s="8" t="n">
        <x:f>DATE(YEAR(C1515),MONTH(C1515),1)</x:f>
        <x:v>45839</x:v>
      </x:c>
    </x:row>
    <x:row r="1516" ht="22" customHeight="1">
      <x:c r="A1516" s="2" t="str">
        <x:v>O01512</x:v>
      </x:c>
      <x:c r="B1516" s="2" t="str">
        <x:v>C0073</x:v>
      </x:c>
      <x:c r="C1516" s="7" t="n">
        <x:v>45694</x:v>
      </x:c>
      <x:c r="D1516" s="2" t="str">
        <x:v>Completed</x:v>
      </x:c>
      <x:c r="E1516" s="2" t="str">
        <x:v>South</x:v>
      </x:c>
      <x:c r="F1516" s="2" t="str">
        <x:v>Store</x:v>
      </x:c>
      <x:c r="G1516" s="9" t="n">
        <x:f>SUM(SalesLines!Q3709,SalesLines!Q3710)</x:f>
        <x:v>774</x:v>
      </x:c>
      <x:c r="H1516" s="9" t="n">
        <x:f>SUM(SalesLines!M3709,SalesLines!M3710)</x:f>
        <x:v>860</x:v>
      </x:c>
      <x:c r="I1516" s="9" t="n">
        <x:f>SUM(SalesLines!N3709,SalesLines!N3710)</x:f>
        <x:v>86</x:v>
      </x:c>
      <x:c r="J1516" s="9" t="n">
        <x:f>SUM(SalesLines!P3709,SalesLines!P3710)</x:f>
        <x:v>0</x:v>
      </x:c>
      <x:c r="K1516" s="11" t="n">
        <x:f>SUM(SalesLines!R3709,SalesLines!R3710)</x:f>
        <x:v>6</x:v>
      </x:c>
      <x:c r="L1516" s="11" t="n">
        <x:f>SUM(SalesLines!S3709,SalesLines!S3710)</x:f>
        <x:v>0</x:v>
      </x:c>
      <x:c r="M1516" s="8" t="n">
        <x:f>DATE(YEAR(C1516),MONTH(C1516),1)</x:f>
        <x:v>45689</x:v>
      </x:c>
    </x:row>
    <x:row r="1517" ht="22" customHeight="1">
      <x:c r="A1517" s="2" t="str">
        <x:v>O01513</x:v>
      </x:c>
      <x:c r="B1517" s="2" t="str">
        <x:v>C0179</x:v>
      </x:c>
      <x:c r="C1517" s="7" t="n">
        <x:v>45682</x:v>
      </x:c>
      <x:c r="D1517" s="2" t="str">
        <x:v>Completed</x:v>
      </x:c>
      <x:c r="E1517" s="2" t="str">
        <x:v>East</x:v>
      </x:c>
      <x:c r="F1517" s="2" t="str">
        <x:v>Online</x:v>
      </x:c>
      <x:c r="G1517" s="9" t="n">
        <x:f>SUM(SalesLines!Q3711,SalesLines!Q3712,SalesLines!Q3713,SalesLines!Q3714)</x:f>
        <x:v>826.05</x:v>
      </x:c>
      <x:c r="H1517" s="9" t="n">
        <x:f>SUM(SalesLines!M3711,SalesLines!M3712,SalesLines!M3713,SalesLines!M3714)</x:f>
        <x:v>928</x:v>
      </x:c>
      <x:c r="I1517" s="9" t="n">
        <x:f>SUM(SalesLines!N3711,SalesLines!N3712,SalesLines!N3713,SalesLines!N3714)</x:f>
        <x:v>101.95000000000002</x:v>
      </x:c>
      <x:c r="J1517" s="9" t="n">
        <x:f>SUM(SalesLines!P3711,SalesLines!P3712,SalesLines!P3713,SalesLines!P3714)</x:f>
        <x:v>0</x:v>
      </x:c>
      <x:c r="K1517" s="11" t="n">
        <x:f>SUM(SalesLines!R3711,SalesLines!R3712,SalesLines!R3713,SalesLines!R3714)</x:f>
        <x:v>8</x:v>
      </x:c>
      <x:c r="L1517" s="11" t="n">
        <x:f>SUM(SalesLines!S3711,SalesLines!S3712,SalesLines!S3713,SalesLines!S3714)</x:f>
        <x:v>0</x:v>
      </x:c>
      <x:c r="M1517" s="8" t="n">
        <x:f>DATE(YEAR(C1517),MONTH(C1517),1)</x:f>
        <x:v>45658</x:v>
      </x:c>
    </x:row>
    <x:row r="1518" ht="22" customHeight="1">
      <x:c r="A1518" s="2" t="str">
        <x:v>O01514</x:v>
      </x:c>
      <x:c r="B1518" s="2" t="str">
        <x:v>C0007</x:v>
      </x:c>
      <x:c r="C1518" s="7" t="n">
        <x:v>45753</x:v>
      </x:c>
      <x:c r="D1518" s="2" t="str">
        <x:v>Completed</x:v>
      </x:c>
      <x:c r="E1518" s="2" t="str">
        <x:v>North</x:v>
      </x:c>
      <x:c r="F1518" s="2" t="str">
        <x:v>Store</x:v>
      </x:c>
      <x:c r="G1518" s="9" t="n">
        <x:f>SUM(SalesLines!Q3715,SalesLines!Q3716)</x:f>
        <x:v>490</x:v>
      </x:c>
      <x:c r="H1518" s="9" t="n">
        <x:f>SUM(SalesLines!M3715,SalesLines!M3716)</x:f>
        <x:v>518</x:v>
      </x:c>
      <x:c r="I1518" s="9" t="n">
        <x:f>SUM(SalesLines!N3715,SalesLines!N3716)</x:f>
        <x:v>28</x:v>
      </x:c>
      <x:c r="J1518" s="9" t="n">
        <x:f>SUM(SalesLines!P3715,SalesLines!P3716)</x:f>
        <x:v>0</x:v>
      </x:c>
      <x:c r="K1518" s="11" t="n">
        <x:f>SUM(SalesLines!R3715,SalesLines!R3716)</x:f>
        <x:v>6</x:v>
      </x:c>
      <x:c r="L1518" s="11" t="n">
        <x:f>SUM(SalesLines!S3715,SalesLines!S3716)</x:f>
        <x:v>0</x:v>
      </x:c>
      <x:c r="M1518" s="8" t="n">
        <x:f>DATE(YEAR(C1518),MONTH(C1518),1)</x:f>
        <x:v>45748</x:v>
      </x:c>
    </x:row>
    <x:row r="1519" ht="22" customHeight="1">
      <x:c r="A1519" s="2" t="str">
        <x:v>O01515</x:v>
      </x:c>
      <x:c r="B1519" s="2" t="str">
        <x:v>C0265</x:v>
      </x:c>
      <x:c r="C1519" s="7" t="n">
        <x:v>45661</x:v>
      </x:c>
      <x:c r="D1519" s="2" t="str">
        <x:v>Completed</x:v>
      </x:c>
      <x:c r="E1519" s="2" t="str">
        <x:v>West</x:v>
      </x:c>
      <x:c r="F1519" s="2" t="str">
        <x:v>Online</x:v>
      </x:c>
      <x:c r="G1519" s="9" t="n">
        <x:f>SUM(SalesLines!Q3717,SalesLines!Q3718,SalesLines!Q3719,SalesLines!Q3720)</x:f>
        <x:v>1452.2</x:v>
      </x:c>
      <x:c r="H1519" s="9" t="n">
        <x:f>SUM(SalesLines!M3717,SalesLines!M3718,SalesLines!M3719,SalesLines!M3720)</x:f>
        <x:v>1992</x:v>
      </x:c>
      <x:c r="I1519" s="9" t="n">
        <x:f>SUM(SalesLines!N3717,SalesLines!N3718,SalesLines!N3719,SalesLines!N3720)</x:f>
        <x:v>187</x:v>
      </x:c>
      <x:c r="J1519" s="9" t="n">
        <x:f>SUM(SalesLines!P3717,SalesLines!P3718,SalesLines!P3719,SalesLines!P3720)</x:f>
        <x:v>352.8</x:v>
      </x:c>
      <x:c r="K1519" s="11" t="n">
        <x:f>SUM(SalesLines!R3717,SalesLines!R3718,SalesLines!R3719,SalesLines!R3720)</x:f>
        <x:v>13</x:v>
      </x:c>
      <x:c r="L1519" s="11" t="n">
        <x:f>SUM(SalesLines!S3717,SalesLines!S3718,SalesLines!S3719,SalesLines!S3720)</x:f>
        <x:v>2</x:v>
      </x:c>
      <x:c r="M1519" s="8" t="n">
        <x:f>DATE(YEAR(C1519),MONTH(C1519),1)</x:f>
        <x:v>45658</x:v>
      </x:c>
    </x:row>
    <x:row r="1520" ht="22" customHeight="1">
      <x:c r="A1520" s="2" t="str">
        <x:v>O01516</x:v>
      </x:c>
      <x:c r="B1520" s="2" t="str">
        <x:v>C0024</x:v>
      </x:c>
      <x:c r="C1520" s="7" t="n">
        <x:v>45712</x:v>
      </x:c>
      <x:c r="D1520" s="2" t="str">
        <x:v>Completed</x:v>
      </x:c>
      <x:c r="E1520" s="2" t="str">
        <x:v>South</x:v>
      </x:c>
      <x:c r="F1520" s="2" t="str">
        <x:v>Store</x:v>
      </x:c>
      <x:c r="G1520" s="9" t="n">
        <x:f>SUM(SalesLines!Q3721,SalesLines!Q3722)</x:f>
        <x:v>1166.4</x:v>
      </x:c>
      <x:c r="H1520" s="9" t="n">
        <x:f>SUM(SalesLines!M3721,SalesLines!M3722)</x:f>
        <x:v>1296</x:v>
      </x:c>
      <x:c r="I1520" s="9" t="n">
        <x:f>SUM(SalesLines!N3721,SalesLines!N3722)</x:f>
        <x:v>129.60000000000002</x:v>
      </x:c>
      <x:c r="J1520" s="9" t="n">
        <x:f>SUM(SalesLines!P3721,SalesLines!P3722)</x:f>
        <x:v>0</x:v>
      </x:c>
      <x:c r="K1520" s="11" t="n">
        <x:f>SUM(SalesLines!R3721,SalesLines!R3722)</x:f>
        <x:v>6</x:v>
      </x:c>
      <x:c r="L1520" s="11" t="n">
        <x:f>SUM(SalesLines!S3721,SalesLines!S3722)</x:f>
        <x:v>0</x:v>
      </x:c>
      <x:c r="M1520" s="8" t="n">
        <x:f>DATE(YEAR(C1520),MONTH(C1520),1)</x:f>
        <x:v>45689</x:v>
      </x:c>
    </x:row>
    <x:row r="1521" ht="22" customHeight="1">
      <x:c r="A1521" s="2" t="str">
        <x:v>O01517</x:v>
      </x:c>
      <x:c r="B1521" s="2" t="str">
        <x:v>C0054</x:v>
      </x:c>
      <x:c r="C1521" s="7" t="n">
        <x:v>45864</x:v>
      </x:c>
      <x:c r="D1521" s="2" t="str">
        <x:v>Completed</x:v>
      </x:c>
      <x:c r="E1521" s="2" t="str">
        <x:v>East</x:v>
      </x:c>
      <x:c r="F1521" s="2" t="str">
        <x:v>Online</x:v>
      </x:c>
      <x:c r="G1521" s="9" t="n">
        <x:f>SUM(SalesLines!Q3723)</x:f>
        <x:v>340.2</x:v>
      </x:c>
      <x:c r="H1521" s="9" t="n">
        <x:f>SUM(SalesLines!M3723)</x:f>
        <x:v>378</x:v>
      </x:c>
      <x:c r="I1521" s="9" t="n">
        <x:f>SUM(SalesLines!N3723)</x:f>
        <x:v>37.800000000000004</x:v>
      </x:c>
      <x:c r="J1521" s="9" t="n">
        <x:f>SUM(SalesLines!P3723)</x:f>
        <x:v>0</x:v>
      </x:c>
      <x:c r="K1521" s="11" t="n">
        <x:f>SUM(SalesLines!R3723)</x:f>
        <x:v>2</x:v>
      </x:c>
      <x:c r="L1521" s="11" t="n">
        <x:f>SUM(SalesLines!S3723)</x:f>
        <x:v>0</x:v>
      </x:c>
      <x:c r="M1521" s="8" t="n">
        <x:f>DATE(YEAR(C1521),MONTH(C1521),1)</x:f>
        <x:v>45839</x:v>
      </x:c>
    </x:row>
    <x:row r="1522" ht="22" customHeight="1">
      <x:c r="A1522" s="2" t="str">
        <x:v>O01518</x:v>
      </x:c>
      <x:c r="B1522" s="2" t="str">
        <x:v>C0012</x:v>
      </x:c>
      <x:c r="C1522" s="7" t="n">
        <x:v>45847</x:v>
      </x:c>
      <x:c r="D1522" s="2" t="str">
        <x:v>Cancelled</x:v>
      </x:c>
      <x:c r="E1522" s="2" t="str">
        <x:v>West</x:v>
      </x:c>
      <x:c r="F1522" s="2" t="str">
        <x:v>Store</x:v>
      </x:c>
      <x:c r="G1522" s="9" t="n">
        <x:f>SUM(SalesLines!Q3724,SalesLines!Q3725,SalesLines!Q3726,SalesLines!Q3727)</x:f>
        <x:v>0</x:v>
      </x:c>
      <x:c r="H1522" s="9" t="n">
        <x:f>SUM(SalesLines!M3724,SalesLines!M3725,SalesLines!M3726,SalesLines!M3727)</x:f>
        <x:v>0</x:v>
      </x:c>
      <x:c r="I1522" s="9" t="n">
        <x:f>SUM(SalesLines!N3724,SalesLines!N3725,SalesLines!N3726,SalesLines!N3727)</x:f>
        <x:v>0</x:v>
      </x:c>
      <x:c r="J1522" s="9" t="n">
        <x:f>SUM(SalesLines!P3724,SalesLines!P3725,SalesLines!P3726,SalesLines!P3727)</x:f>
        <x:v>0</x:v>
      </x:c>
      <x:c r="K1522" s="11" t="n">
        <x:f>SUM(SalesLines!R3724,SalesLines!R3725,SalesLines!R3726,SalesLines!R3727)</x:f>
        <x:v>0</x:v>
      </x:c>
      <x:c r="L1522" s="11" t="n">
        <x:f>SUM(SalesLines!S3724,SalesLines!S3725,SalesLines!S3726,SalesLines!S3727)</x:f>
        <x:v>0</x:v>
      </x:c>
      <x:c r="M1522" s="8" t="n">
        <x:f>DATE(YEAR(C1522),MONTH(C1522),1)</x:f>
        <x:v>45839</x:v>
      </x:c>
    </x:row>
    <x:row r="1523" ht="22" customHeight="1">
      <x:c r="A1523" s="2" t="str">
        <x:v>O01519</x:v>
      </x:c>
      <x:c r="B1523" s="2" t="str">
        <x:v>C0156</x:v>
      </x:c>
      <x:c r="C1523" s="7" t="n">
        <x:v>45926</x:v>
      </x:c>
      <x:c r="D1523" s="2" t="str">
        <x:v>Completed</x:v>
      </x:c>
      <x:c r="E1523" s="2" t="str">
        <x:v>South</x:v>
      </x:c>
      <x:c r="F1523" s="2" t="str">
        <x:v>Online</x:v>
      </x:c>
      <x:c r="G1523" s="9" t="n">
        <x:f>SUM(SalesLines!Q3728)</x:f>
        <x:v>441.75</x:v>
      </x:c>
      <x:c r="H1523" s="9" t="n">
        <x:f>SUM(SalesLines!M3728)</x:f>
        <x:v>465</x:v>
      </x:c>
      <x:c r="I1523" s="9" t="n">
        <x:f>SUM(SalesLines!N3728)</x:f>
        <x:v>23.25</x:v>
      </x:c>
      <x:c r="J1523" s="9" t="n">
        <x:f>SUM(SalesLines!P3728)</x:f>
        <x:v>0</x:v>
      </x:c>
      <x:c r="K1523" s="11" t="n">
        <x:f>SUM(SalesLines!R3728)</x:f>
        <x:v>5</x:v>
      </x:c>
      <x:c r="L1523" s="11" t="n">
        <x:f>SUM(SalesLines!S3728)</x:f>
        <x:v>0</x:v>
      </x:c>
      <x:c r="M1523" s="8" t="n">
        <x:f>DATE(YEAR(C1523),MONTH(C1523),1)</x:f>
        <x:v>45901</x:v>
      </x:c>
    </x:row>
    <x:row r="1524" ht="22" customHeight="1">
      <x:c r="A1524" s="2" t="str">
        <x:v>O01520</x:v>
      </x:c>
      <x:c r="B1524" s="2" t="str">
        <x:v>C0084</x:v>
      </x:c>
      <x:c r="C1524" s="7" t="n">
        <x:v>45996</x:v>
      </x:c>
      <x:c r="D1524" s="2" t="str">
        <x:v>Completed</x:v>
      </x:c>
      <x:c r="E1524" s="2" t="str">
        <x:v>West</x:v>
      </x:c>
      <x:c r="F1524" s="2" t="str">
        <x:v>Online</x:v>
      </x:c>
      <x:c r="G1524" s="9" t="n">
        <x:f>SUM(SalesLines!Q3729,SalesLines!Q3730)</x:f>
        <x:v>865.4</x:v>
      </x:c>
      <x:c r="H1524" s="9" t="n">
        <x:f>SUM(SalesLines!M3729,SalesLines!M3730)</x:f>
        <x:v>902</x:v>
      </x:c>
      <x:c r="I1524" s="9" t="n">
        <x:f>SUM(SalesLines!N3729,SalesLines!N3730)</x:f>
        <x:v>36.6</x:v>
      </x:c>
      <x:c r="J1524" s="9" t="n">
        <x:f>SUM(SalesLines!P3729,SalesLines!P3730)</x:f>
        <x:v>0</x:v>
      </x:c>
      <x:c r="K1524" s="11" t="n">
        <x:f>SUM(SalesLines!R3729,SalesLines!R3730)</x:f>
        <x:v>7</x:v>
      </x:c>
      <x:c r="L1524" s="11" t="n">
        <x:f>SUM(SalesLines!S3729,SalesLines!S3730)</x:f>
        <x:v>0</x:v>
      </x:c>
      <x:c r="M1524" s="8" t="n">
        <x:f>DATE(YEAR(C1524),MONTH(C1524),1)</x:f>
        <x:v>45992</x:v>
      </x:c>
    </x:row>
    <x:row r="1525" ht="22" customHeight="1">
      <x:c r="A1525" s="2" t="str">
        <x:v>O01521</x:v>
      </x:c>
      <x:c r="B1525" s="2" t="str">
        <x:v>C0009</x:v>
      </x:c>
      <x:c r="C1525" s="7" t="n">
        <x:v>45970</x:v>
      </x:c>
      <x:c r="D1525" s="2" t="str">
        <x:v>Cancelled</x:v>
      </x:c>
      <x:c r="E1525" s="2" t="str">
        <x:v>South</x:v>
      </x:c>
      <x:c r="F1525" s="2" t="str">
        <x:v>Store</x:v>
      </x:c>
      <x:c r="G1525" s="9" t="n">
        <x:f>SUM(SalesLines!Q3731,SalesLines!Q3732,SalesLines!Q3733)</x:f>
        <x:v>0</x:v>
      </x:c>
      <x:c r="H1525" s="9" t="n">
        <x:f>SUM(SalesLines!M3731,SalesLines!M3732,SalesLines!M3733)</x:f>
        <x:v>0</x:v>
      </x:c>
      <x:c r="I1525" s="9" t="n">
        <x:f>SUM(SalesLines!N3731,SalesLines!N3732,SalesLines!N3733)</x:f>
        <x:v>0</x:v>
      </x:c>
      <x:c r="J1525" s="9" t="n">
        <x:f>SUM(SalesLines!P3731,SalesLines!P3732,SalesLines!P3733)</x:f>
        <x:v>0</x:v>
      </x:c>
      <x:c r="K1525" s="11" t="n">
        <x:f>SUM(SalesLines!R3731,SalesLines!R3732,SalesLines!R3733)</x:f>
        <x:v>0</x:v>
      </x:c>
      <x:c r="L1525" s="11" t="n">
        <x:f>SUM(SalesLines!S3731,SalesLines!S3732,SalesLines!S3733)</x:f>
        <x:v>0</x:v>
      </x:c>
      <x:c r="M1525" s="8" t="n">
        <x:f>DATE(YEAR(C1525),MONTH(C1525),1)</x:f>
        <x:v>45962</x:v>
      </x:c>
    </x:row>
    <x:row r="1526" ht="22" customHeight="1">
      <x:c r="A1526" s="2" t="str">
        <x:v>O01522</x:v>
      </x:c>
      <x:c r="B1526" s="2" t="str">
        <x:v>C0291</x:v>
      </x:c>
      <x:c r="C1526" s="7" t="n">
        <x:v>45841</x:v>
      </x:c>
      <x:c r="D1526" s="2" t="str">
        <x:v>Completed</x:v>
      </x:c>
      <x:c r="E1526" s="2" t="str">
        <x:v>North</x:v>
      </x:c>
      <x:c r="F1526" s="2" t="str">
        <x:v>Store</x:v>
      </x:c>
      <x:c r="G1526" s="9" t="n">
        <x:f>SUM(SalesLines!Q3734)</x:f>
        <x:v>68</x:v>
      </x:c>
      <x:c r="H1526" s="9" t="n">
        <x:f>SUM(SalesLines!M3734)</x:f>
        <x:v>68</x:v>
      </x:c>
      <x:c r="I1526" s="9" t="n">
        <x:f>SUM(SalesLines!N3734)</x:f>
        <x:v>0</x:v>
      </x:c>
      <x:c r="J1526" s="9" t="n">
        <x:f>SUM(SalesLines!P3734)</x:f>
        <x:v>0</x:v>
      </x:c>
      <x:c r="K1526" s="11" t="n">
        <x:f>SUM(SalesLines!R3734)</x:f>
        <x:v>1</x:v>
      </x:c>
      <x:c r="L1526" s="11" t="n">
        <x:f>SUM(SalesLines!S3734)</x:f>
        <x:v>0</x:v>
      </x:c>
      <x:c r="M1526" s="8" t="n">
        <x:f>DATE(YEAR(C1526),MONTH(C1526),1)</x:f>
        <x:v>45839</x:v>
      </x:c>
    </x:row>
    <x:row r="1527" ht="22" customHeight="1">
      <x:c r="A1527" s="2" t="str">
        <x:v>O01523</x:v>
      </x:c>
      <x:c r="B1527" s="2" t="str">
        <x:v>C0142</x:v>
      </x:c>
      <x:c r="C1527" s="7" t="n">
        <x:v>45728</x:v>
      </x:c>
      <x:c r="D1527" s="2" t="str">
        <x:v>Completed</x:v>
      </x:c>
      <x:c r="E1527" s="2" t="str">
        <x:v>West</x:v>
      </x:c>
      <x:c r="F1527" s="2" t="str">
        <x:v>Online</x:v>
      </x:c>
      <x:c r="G1527" s="9" t="n">
        <x:f>SUM(SalesLines!Q3735,SalesLines!Q3736,SalesLines!Q3737)</x:f>
        <x:v>840.2</x:v>
      </x:c>
      <x:c r="H1527" s="9" t="n">
        <x:f>SUM(SalesLines!M3735,SalesLines!M3736,SalesLines!M3737)</x:f>
        <x:v>997</x:v>
      </x:c>
      <x:c r="I1527" s="9" t="n">
        <x:f>SUM(SalesLines!N3735,SalesLines!N3736,SalesLines!N3737)</x:f>
        <x:v>156.8</x:v>
      </x:c>
      <x:c r="J1527" s="9" t="n">
        <x:f>SUM(SalesLines!P3735,SalesLines!P3736,SalesLines!P3737)</x:f>
        <x:v>0</x:v>
      </x:c>
      <x:c r="K1527" s="11" t="n">
        <x:f>SUM(SalesLines!R3735,SalesLines!R3736,SalesLines!R3737)</x:f>
        <x:v>5</x:v>
      </x:c>
      <x:c r="L1527" s="11" t="n">
        <x:f>SUM(SalesLines!S3735,SalesLines!S3736,SalesLines!S3737)</x:f>
        <x:v>0</x:v>
      </x:c>
      <x:c r="M1527" s="8" t="n">
        <x:f>DATE(YEAR(C1527),MONTH(C1527),1)</x:f>
        <x:v>45717</x:v>
      </x:c>
    </x:row>
    <x:row r="1528" ht="22" customHeight="1">
      <x:c r="A1528" s="2" t="str">
        <x:v>O01524</x:v>
      </x:c>
      <x:c r="B1528" s="2" t="str">
        <x:v>C0153</x:v>
      </x:c>
      <x:c r="C1528" s="7" t="n">
        <x:v>45749</x:v>
      </x:c>
      <x:c r="D1528" s="2" t="str">
        <x:v>Completed</x:v>
      </x:c>
      <x:c r="E1528" s="2" t="str">
        <x:v>East</x:v>
      </x:c>
      <x:c r="F1528" s="2" t="str">
        <x:v>Online</x:v>
      </x:c>
      <x:c r="G1528" s="9" t="n">
        <x:f>SUM(SalesLines!Q3738,SalesLines!Q3739,SalesLines!Q3740,SalesLines!Q3741)</x:f>
        <x:v>1994.4499999999998</x:v>
      </x:c>
      <x:c r="H1528" s="9" t="n">
        <x:f>SUM(SalesLines!M3738,SalesLines!M3739,SalesLines!M3740,SalesLines!M3741)</x:f>
        <x:v>2232</x:v>
      </x:c>
      <x:c r="I1528" s="9" t="n">
        <x:f>SUM(SalesLines!N3738,SalesLines!N3739,SalesLines!N3740,SalesLines!N3741)</x:f>
        <x:v>237.55</x:v>
      </x:c>
      <x:c r="J1528" s="9" t="n">
        <x:f>SUM(SalesLines!P3738,SalesLines!P3739,SalesLines!P3740,SalesLines!P3741)</x:f>
        <x:v>0</x:v>
      </x:c>
      <x:c r="K1528" s="11" t="n">
        <x:f>SUM(SalesLines!R3738,SalesLines!R3739,SalesLines!R3740,SalesLines!R3741)</x:f>
        <x:v>15</x:v>
      </x:c>
      <x:c r="L1528" s="11" t="n">
        <x:f>SUM(SalesLines!S3738,SalesLines!S3739,SalesLines!S3740,SalesLines!S3741)</x:f>
        <x:v>0</x:v>
      </x:c>
      <x:c r="M1528" s="8" t="n">
        <x:f>DATE(YEAR(C1528),MONTH(C1528),1)</x:f>
        <x:v>45748</x:v>
      </x:c>
    </x:row>
    <x:row r="1529" ht="22" customHeight="1">
      <x:c r="A1529" s="2" t="str">
        <x:v>O01525</x:v>
      </x:c>
      <x:c r="B1529" s="2" t="str">
        <x:v>C0282</x:v>
      </x:c>
      <x:c r="C1529" s="7" t="n">
        <x:v>45822</x:v>
      </x:c>
      <x:c r="D1529" s="2" t="str">
        <x:v>Completed</x:v>
      </x:c>
      <x:c r="E1529" s="2" t="str">
        <x:v>East</x:v>
      </x:c>
      <x:c r="F1529" s="2" t="str">
        <x:v>Online</x:v>
      </x:c>
      <x:c r="G1529" s="9" t="n">
        <x:f>SUM(SalesLines!Q3742)</x:f>
        <x:v>244.8</x:v>
      </x:c>
      <x:c r="H1529" s="9" t="n">
        <x:f>SUM(SalesLines!M3742)</x:f>
        <x:v>272</x:v>
      </x:c>
      <x:c r="I1529" s="9" t="n">
        <x:f>SUM(SalesLines!N3742)</x:f>
        <x:v>27.200000000000003</x:v>
      </x:c>
      <x:c r="J1529" s="9" t="n">
        <x:f>SUM(SalesLines!P3742)</x:f>
        <x:v>0</x:v>
      </x:c>
      <x:c r="K1529" s="11" t="n">
        <x:f>SUM(SalesLines!R3742)</x:f>
        <x:v>4</x:v>
      </x:c>
      <x:c r="L1529" s="11" t="n">
        <x:f>SUM(SalesLines!S3742)</x:f>
        <x:v>0</x:v>
      </x:c>
      <x:c r="M1529" s="8" t="n">
        <x:f>DATE(YEAR(C1529),MONTH(C1529),1)</x:f>
        <x:v>45809</x:v>
      </x:c>
    </x:row>
    <x:row r="1530" ht="22" customHeight="1">
      <x:c r="A1530" s="2" t="str">
        <x:v>O01526</x:v>
      </x:c>
      <x:c r="B1530" s="2" t="str">
        <x:v>C0279</x:v>
      </x:c>
      <x:c r="C1530" s="7" t="n">
        <x:v>45938</x:v>
      </x:c>
      <x:c r="D1530" s="2" t="str">
        <x:v>Completed</x:v>
      </x:c>
      <x:c r="E1530" s="2" t="str">
        <x:v>South</x:v>
      </x:c>
      <x:c r="F1530" s="2" t="str">
        <x:v>Online</x:v>
      </x:c>
      <x:c r="G1530" s="9" t="n">
        <x:f>SUM(SalesLines!Q3743)</x:f>
        <x:v>0</x:v>
      </x:c>
      <x:c r="H1530" s="9" t="n">
        <x:f>SUM(SalesLines!M3743)</x:f>
        <x:v>462</x:v>
      </x:c>
      <x:c r="I1530" s="9" t="n">
        <x:f>SUM(SalesLines!N3743)</x:f>
        <x:v>46.2</x:v>
      </x:c>
      <x:c r="J1530" s="9" t="n">
        <x:f>SUM(SalesLines!P3743)</x:f>
        <x:v>415.8</x:v>
      </x:c>
      <x:c r="K1530" s="11" t="n">
        <x:f>SUM(SalesLines!R3743)</x:f>
        <x:v>2</x:v>
      </x:c>
      <x:c r="L1530" s="11" t="n">
        <x:f>SUM(SalesLines!S3743)</x:f>
        <x:v>2</x:v>
      </x:c>
      <x:c r="M1530" s="8" t="n">
        <x:f>DATE(YEAR(C1530),MONTH(C1530),1)</x:f>
        <x:v>45931</x:v>
      </x:c>
    </x:row>
    <x:row r="1531" ht="22" customHeight="1">
      <x:c r="A1531" s="2" t="str">
        <x:v>O01527</x:v>
      </x:c>
      <x:c r="B1531" s="2" t="str">
        <x:v>C0031</x:v>
      </x:c>
      <x:c r="C1531" s="7" t="n">
        <x:v>45895</x:v>
      </x:c>
      <x:c r="D1531" s="2" t="str">
        <x:v>Completed</x:v>
      </x:c>
      <x:c r="E1531" s="2" t="str">
        <x:v>South</x:v>
      </x:c>
      <x:c r="F1531" s="2" t="str">
        <x:v>Store</x:v>
      </x:c>
      <x:c r="G1531" s="9" t="n">
        <x:f>SUM(SalesLines!Q3744)</x:f>
        <x:v>207.9</x:v>
      </x:c>
      <x:c r="H1531" s="9" t="n">
        <x:f>SUM(SalesLines!M3744)</x:f>
        <x:v>231</x:v>
      </x:c>
      <x:c r="I1531" s="9" t="n">
        <x:f>SUM(SalesLines!N3744)</x:f>
        <x:v>23.1</x:v>
      </x:c>
      <x:c r="J1531" s="9" t="n">
        <x:f>SUM(SalesLines!P3744)</x:f>
        <x:v>0</x:v>
      </x:c>
      <x:c r="K1531" s="11" t="n">
        <x:f>SUM(SalesLines!R3744)</x:f>
        <x:v>1</x:v>
      </x:c>
      <x:c r="L1531" s="11" t="n">
        <x:f>SUM(SalesLines!S3744)</x:f>
        <x:v>0</x:v>
      </x:c>
      <x:c r="M1531" s="8" t="n">
        <x:f>DATE(YEAR(C1531),MONTH(C1531),1)</x:f>
        <x:v>45870</x:v>
      </x:c>
    </x:row>
    <x:row r="1532" ht="22" customHeight="1">
      <x:c r="A1532" s="2" t="str">
        <x:v>O01528</x:v>
      </x:c>
      <x:c r="B1532" s="2" t="str">
        <x:v>C0089</x:v>
      </x:c>
      <x:c r="C1532" s="7" t="n">
        <x:v>45993</x:v>
      </x:c>
      <x:c r="D1532" s="2" t="str">
        <x:v>Completed</x:v>
      </x:c>
      <x:c r="E1532" s="2" t="str">
        <x:v>South</x:v>
      </x:c>
      <x:c r="F1532" s="2" t="str">
        <x:v>Online</x:v>
      </x:c>
      <x:c r="G1532" s="9" t="n">
        <x:f>SUM(SalesLines!Q3745,SalesLines!Q3746)</x:f>
        <x:v>1200.8</x:v>
      </x:c>
      <x:c r="H1532" s="9" t="n">
        <x:f>SUM(SalesLines!M3745,SalesLines!M3746)</x:f>
        <x:v>1264</x:v>
      </x:c>
      <x:c r="I1532" s="9" t="n">
        <x:f>SUM(SalesLines!N3745,SalesLines!N3746)</x:f>
        <x:v>63.2</x:v>
      </x:c>
      <x:c r="J1532" s="9" t="n">
        <x:f>SUM(SalesLines!P3745,SalesLines!P3746)</x:f>
        <x:v>0</x:v>
      </x:c>
      <x:c r="K1532" s="11" t="n">
        <x:f>SUM(SalesLines!R3745,SalesLines!R3746)</x:f>
        <x:v>9</x:v>
      </x:c>
      <x:c r="L1532" s="11" t="n">
        <x:f>SUM(SalesLines!S3745,SalesLines!S3746)</x:f>
        <x:v>0</x:v>
      </x:c>
      <x:c r="M1532" s="8" t="n">
        <x:f>DATE(YEAR(C1532),MONTH(C1532),1)</x:f>
        <x:v>45992</x:v>
      </x:c>
    </x:row>
    <x:row r="1533" ht="22" customHeight="1">
      <x:c r="A1533" s="2" t="str">
        <x:v>O01529</x:v>
      </x:c>
      <x:c r="B1533" s="2" t="str">
        <x:v>C0036</x:v>
      </x:c>
      <x:c r="C1533" s="7" t="n">
        <x:v>45935</x:v>
      </x:c>
      <x:c r="D1533" s="2" t="str">
        <x:v>Completed</x:v>
      </x:c>
      <x:c r="E1533" s="2" t="str">
        <x:v>West</x:v>
      </x:c>
      <x:c r="F1533" s="2" t="str">
        <x:v>Store</x:v>
      </x:c>
      <x:c r="G1533" s="9" t="n">
        <x:f>SUM(SalesLines!Q3747,SalesLines!Q3748,SalesLines!Q3749,SalesLines!Q3750)</x:f>
        <x:v>1501.7</x:v>
      </x:c>
      <x:c r="H1533" s="9" t="n">
        <x:f>SUM(SalesLines!M3747,SalesLines!M3748,SalesLines!M3749,SalesLines!M3750)</x:f>
        <x:v>1694</x:v>
      </x:c>
      <x:c r="I1533" s="9" t="n">
        <x:f>SUM(SalesLines!N3747,SalesLines!N3748,SalesLines!N3749,SalesLines!N3750)</x:f>
        <x:v>192.3</x:v>
      </x:c>
      <x:c r="J1533" s="9" t="n">
        <x:f>SUM(SalesLines!P3747,SalesLines!P3748,SalesLines!P3749,SalesLines!P3750)</x:f>
        <x:v>0</x:v>
      </x:c>
      <x:c r="K1533" s="11" t="n">
        <x:f>SUM(SalesLines!R3747,SalesLines!R3748,SalesLines!R3749,SalesLines!R3750)</x:f>
        <x:v>8</x:v>
      </x:c>
      <x:c r="L1533" s="11" t="n">
        <x:f>SUM(SalesLines!S3747,SalesLines!S3748,SalesLines!S3749,SalesLines!S3750)</x:f>
        <x:v>0</x:v>
      </x:c>
      <x:c r="M1533" s="8" t="n">
        <x:f>DATE(YEAR(C1533),MONTH(C1533),1)</x:f>
        <x:v>45931</x:v>
      </x:c>
    </x:row>
    <x:row r="1534" ht="22" customHeight="1">
      <x:c r="A1534" s="2" t="str">
        <x:v>O01530</x:v>
      </x:c>
      <x:c r="B1534" s="2" t="str">
        <x:v>C0241</x:v>
      </x:c>
      <x:c r="C1534" s="7" t="n">
        <x:v>45773</x:v>
      </x:c>
      <x:c r="D1534" s="2" t="str">
        <x:v>Cancelled</x:v>
      </x:c>
      <x:c r="E1534" s="2" t="str">
        <x:v>North</x:v>
      </x:c>
      <x:c r="F1534" s="2" t="str">
        <x:v>Store</x:v>
      </x:c>
      <x:c r="G1534" s="9" t="n">
        <x:f>SUM(SalesLines!Q3751,SalesLines!Q3752,SalesLines!Q3753)</x:f>
        <x:v>0</x:v>
      </x:c>
      <x:c r="H1534" s="9" t="n">
        <x:f>SUM(SalesLines!M3751,SalesLines!M3752,SalesLines!M3753)</x:f>
        <x:v>0</x:v>
      </x:c>
      <x:c r="I1534" s="9" t="n">
        <x:f>SUM(SalesLines!N3751,SalesLines!N3752,SalesLines!N3753)</x:f>
        <x:v>0</x:v>
      </x:c>
      <x:c r="J1534" s="9" t="n">
        <x:f>SUM(SalesLines!P3751,SalesLines!P3752,SalesLines!P3753)</x:f>
        <x:v>0</x:v>
      </x:c>
      <x:c r="K1534" s="11" t="n">
        <x:f>SUM(SalesLines!R3751,SalesLines!R3752,SalesLines!R3753)</x:f>
        <x:v>0</x:v>
      </x:c>
      <x:c r="L1534" s="11" t="n">
        <x:f>SUM(SalesLines!S3751,SalesLines!S3752,SalesLines!S3753)</x:f>
        <x:v>0</x:v>
      </x:c>
      <x:c r="M1534" s="8" t="n">
        <x:f>DATE(YEAR(C1534),MONTH(C1534),1)</x:f>
        <x:v>45748</x:v>
      </x:c>
    </x:row>
    <x:row r="1535" ht="22" customHeight="1">
      <x:c r="A1535" s="2" t="str">
        <x:v>O01531</x:v>
      </x:c>
      <x:c r="B1535" s="2" t="str">
        <x:v>C0141</x:v>
      </x:c>
      <x:c r="C1535" s="7" t="n">
        <x:v>45761</x:v>
      </x:c>
      <x:c r="D1535" s="2" t="str">
        <x:v>Completed</x:v>
      </x:c>
      <x:c r="E1535" s="2" t="str">
        <x:v>East</x:v>
      </x:c>
      <x:c r="F1535" s="2" t="str">
        <x:v>Online</x:v>
      </x:c>
      <x:c r="G1535" s="9" t="n">
        <x:f>SUM(SalesLines!Q3754,SalesLines!Q3755,SalesLines!Q3756)</x:f>
        <x:v>1241</x:v>
      </x:c>
      <x:c r="H1535" s="9" t="n">
        <x:f>SUM(SalesLines!M3754,SalesLines!M3755,SalesLines!M3756)</x:f>
        <x:v>1321</x:v>
      </x:c>
      <x:c r="I1535" s="9" t="n">
        <x:f>SUM(SalesLines!N3754,SalesLines!N3755,SalesLines!N3756)</x:f>
        <x:v>80.00000000000001</x:v>
      </x:c>
      <x:c r="J1535" s="9" t="n">
        <x:f>SUM(SalesLines!P3754,SalesLines!P3755,SalesLines!P3756)</x:f>
        <x:v>0</x:v>
      </x:c>
      <x:c r="K1535" s="11" t="n">
        <x:f>SUM(SalesLines!R3754,SalesLines!R3755,SalesLines!R3756)</x:f>
        <x:v>9</x:v>
      </x:c>
      <x:c r="L1535" s="11" t="n">
        <x:f>SUM(SalesLines!S3754,SalesLines!S3755,SalesLines!S3756)</x:f>
        <x:v>0</x:v>
      </x:c>
      <x:c r="M1535" s="8" t="n">
        <x:f>DATE(YEAR(C1535),MONTH(C1535),1)</x:f>
        <x:v>45748</x:v>
      </x:c>
    </x:row>
    <x:row r="1536" ht="22" customHeight="1">
      <x:c r="A1536" s="2" t="str">
        <x:v>O01532</x:v>
      </x:c>
      <x:c r="B1536" s="2" t="str">
        <x:v>C0278</x:v>
      </x:c>
      <x:c r="C1536" s="7" t="n">
        <x:v>45745</x:v>
      </x:c>
      <x:c r="D1536" s="2" t="str">
        <x:v>Cancelled</x:v>
      </x:c>
      <x:c r="E1536" s="2" t="str">
        <x:v>North</x:v>
      </x:c>
      <x:c r="F1536" s="2" t="str">
        <x:v>Store</x:v>
      </x:c>
      <x:c r="G1536" s="9" t="n">
        <x:f>SUM(SalesLines!Q3757,SalesLines!Q3758)</x:f>
        <x:v>0</x:v>
      </x:c>
      <x:c r="H1536" s="9" t="n">
        <x:f>SUM(SalesLines!M3757,SalesLines!M3758)</x:f>
        <x:v>0</x:v>
      </x:c>
      <x:c r="I1536" s="9" t="n">
        <x:f>SUM(SalesLines!N3757,SalesLines!N3758)</x:f>
        <x:v>0</x:v>
      </x:c>
      <x:c r="J1536" s="9" t="n">
        <x:f>SUM(SalesLines!P3757,SalesLines!P3758)</x:f>
        <x:v>0</x:v>
      </x:c>
      <x:c r="K1536" s="11" t="n">
        <x:f>SUM(SalesLines!R3757,SalesLines!R3758)</x:f>
        <x:v>0</x:v>
      </x:c>
      <x:c r="L1536" s="11" t="n">
        <x:f>SUM(SalesLines!S3757,SalesLines!S3758)</x:f>
        <x:v>0</x:v>
      </x:c>
      <x:c r="M1536" s="8" t="n">
        <x:f>DATE(YEAR(C1536),MONTH(C1536),1)</x:f>
        <x:v>45717</x:v>
      </x:c>
    </x:row>
    <x:row r="1537" ht="22" customHeight="1">
      <x:c r="A1537" s="2" t="str">
        <x:v>O01533</x:v>
      </x:c>
      <x:c r="B1537" s="2" t="str">
        <x:v>C0211</x:v>
      </x:c>
      <x:c r="C1537" s="7" t="n">
        <x:v>45813</x:v>
      </x:c>
      <x:c r="D1537" s="2" t="str">
        <x:v>Completed</x:v>
      </x:c>
      <x:c r="E1537" s="2" t="str">
        <x:v>North</x:v>
      </x:c>
      <x:c r="F1537" s="2" t="str">
        <x:v>Online</x:v>
      </x:c>
      <x:c r="G1537" s="9" t="n">
        <x:f>SUM(SalesLines!Q3759,SalesLines!Q3760)</x:f>
        <x:v>271</x:v>
      </x:c>
      <x:c r="H1537" s="9" t="n">
        <x:f>SUM(SalesLines!M3759,SalesLines!M3760)</x:f>
        <x:v>904</x:v>
      </x:c>
      <x:c r="I1537" s="9" t="n">
        <x:f>SUM(SalesLines!N3759,SalesLines!N3760)</x:f>
        <x:v>0</x:v>
      </x:c>
      <x:c r="J1537" s="9" t="n">
        <x:f>SUM(SalesLines!P3759,SalesLines!P3760)</x:f>
        <x:v>633</x:v>
      </x:c>
      <x:c r="K1537" s="11" t="n">
        <x:f>SUM(SalesLines!R3759,SalesLines!R3760)</x:f>
        <x:v>4</x:v>
      </x:c>
      <x:c r="L1537" s="11" t="n">
        <x:f>SUM(SalesLines!S3759,SalesLines!S3760)</x:f>
        <x:v>3</x:v>
      </x:c>
      <x:c r="M1537" s="8" t="n">
        <x:f>DATE(YEAR(C1537),MONTH(C1537),1)</x:f>
        <x:v>45809</x:v>
      </x:c>
    </x:row>
    <x:row r="1538" ht="22" customHeight="1">
      <x:c r="A1538" s="2" t="str">
        <x:v>O01534</x:v>
      </x:c>
      <x:c r="B1538" s="2" t="str">
        <x:v>C0267</x:v>
      </x:c>
      <x:c r="C1538" s="7" t="n">
        <x:v>45866</x:v>
      </x:c>
      <x:c r="D1538" s="2" t="str">
        <x:v>Completed</x:v>
      </x:c>
      <x:c r="E1538" s="2" t="str">
        <x:v>West</x:v>
      </x:c>
      <x:c r="F1538" s="2" t="str">
        <x:v>Online</x:v>
      </x:c>
      <x:c r="G1538" s="9" t="n">
        <x:f>SUM(SalesLines!Q3761,SalesLines!Q3762)</x:f>
        <x:v>1168.1999999999998</x:v>
      </x:c>
      <x:c r="H1538" s="9" t="n">
        <x:f>SUM(SalesLines!M3761,SalesLines!M3762)</x:f>
        <x:v>1298</x:v>
      </x:c>
      <x:c r="I1538" s="9" t="n">
        <x:f>SUM(SalesLines!N3761,SalesLines!N3762)</x:f>
        <x:v>129.8</x:v>
      </x:c>
      <x:c r="J1538" s="9" t="n">
        <x:f>SUM(SalesLines!P3761,SalesLines!P3762)</x:f>
        <x:v>0</x:v>
      </x:c>
      <x:c r="K1538" s="11" t="n">
        <x:f>SUM(SalesLines!R3761,SalesLines!R3762)</x:f>
        <x:v>7</x:v>
      </x:c>
      <x:c r="L1538" s="11" t="n">
        <x:f>SUM(SalesLines!S3761,SalesLines!S3762)</x:f>
        <x:v>0</x:v>
      </x:c>
      <x:c r="M1538" s="8" t="n">
        <x:f>DATE(YEAR(C1538),MONTH(C1538),1)</x:f>
        <x:v>45839</x:v>
      </x:c>
    </x:row>
    <x:row r="1539" ht="22" customHeight="1">
      <x:c r="A1539" s="2" t="str">
        <x:v>O01535</x:v>
      </x:c>
      <x:c r="B1539" s="2" t="str">
        <x:v>C0040</x:v>
      </x:c>
      <x:c r="C1539" s="7" t="n">
        <x:v>46014</x:v>
      </x:c>
      <x:c r="D1539" s="2" t="str">
        <x:v>Completed</x:v>
      </x:c>
      <x:c r="E1539" s="2" t="str">
        <x:v>North</x:v>
      </x:c>
      <x:c r="F1539" s="2" t="str">
        <x:v>Online</x:v>
      </x:c>
      <x:c r="G1539" s="9" t="n">
        <x:f>SUM(SalesLines!Q3763,SalesLines!Q3764,SalesLines!Q3765,SalesLines!Q3766)</x:f>
        <x:v>3300.3</x:v>
      </x:c>
      <x:c r="H1539" s="9" t="n">
        <x:f>SUM(SalesLines!M3763,SalesLines!M3764,SalesLines!M3765,SalesLines!M3766)</x:f>
        <x:v>3667</x:v>
      </x:c>
      <x:c r="I1539" s="9" t="n">
        <x:f>SUM(SalesLines!N3763,SalesLines!N3764,SalesLines!N3765,SalesLines!N3766)</x:f>
        <x:v>366.7</x:v>
      </x:c>
      <x:c r="J1539" s="9" t="n">
        <x:f>SUM(SalesLines!P3763,SalesLines!P3764,SalesLines!P3765,SalesLines!P3766)</x:f>
        <x:v>0</x:v>
      </x:c>
      <x:c r="K1539" s="11" t="n">
        <x:f>SUM(SalesLines!R3763,SalesLines!R3764,SalesLines!R3765,SalesLines!R3766)</x:f>
        <x:v>19</x:v>
      </x:c>
      <x:c r="L1539" s="11" t="n">
        <x:f>SUM(SalesLines!S3763,SalesLines!S3764,SalesLines!S3765,SalesLines!S3766)</x:f>
        <x:v>0</x:v>
      </x:c>
      <x:c r="M1539" s="8" t="n">
        <x:f>DATE(YEAR(C1539),MONTH(C1539),1)</x:f>
        <x:v>45992</x:v>
      </x:c>
    </x:row>
    <x:row r="1540" ht="22" customHeight="1">
      <x:c r="A1540" s="2" t="str">
        <x:v>O01536</x:v>
      </x:c>
      <x:c r="B1540" s="2" t="str">
        <x:v>C0285</x:v>
      </x:c>
      <x:c r="C1540" s="7" t="n">
        <x:v>45894</x:v>
      </x:c>
      <x:c r="D1540" s="2" t="str">
        <x:v>Completed</x:v>
      </x:c>
      <x:c r="E1540" s="2" t="str">
        <x:v>East</x:v>
      </x:c>
      <x:c r="F1540" s="2" t="str">
        <x:v>Store</x:v>
      </x:c>
      <x:c r="G1540" s="9" t="n">
        <x:f>SUM(SalesLines!Q3767,SalesLines!Q3768,SalesLines!Q3769,SalesLines!Q3770)</x:f>
        <x:v>3126.6</x:v>
      </x:c>
      <x:c r="H1540" s="9" t="n">
        <x:f>SUM(SalesLines!M3767,SalesLines!M3768,SalesLines!M3769,SalesLines!M3770)</x:f>
        <x:v>3223</x:v>
      </x:c>
      <x:c r="I1540" s="9" t="n">
        <x:f>SUM(SalesLines!N3767,SalesLines!N3768,SalesLines!N3769,SalesLines!N3770)</x:f>
        <x:v>96.4</x:v>
      </x:c>
      <x:c r="J1540" s="9" t="n">
        <x:f>SUM(SalesLines!P3767,SalesLines!P3768,SalesLines!P3769,SalesLines!P3770)</x:f>
        <x:v>0</x:v>
      </x:c>
      <x:c r="K1540" s="11" t="n">
        <x:f>SUM(SalesLines!R3767,SalesLines!R3768,SalesLines!R3769,SalesLines!R3770)</x:f>
        <x:v>18</x:v>
      </x:c>
      <x:c r="L1540" s="11" t="n">
        <x:f>SUM(SalesLines!S3767,SalesLines!S3768,SalesLines!S3769,SalesLines!S3770)</x:f>
        <x:v>0</x:v>
      </x:c>
      <x:c r="M1540" s="8" t="n">
        <x:f>DATE(YEAR(C1540),MONTH(C1540),1)</x:f>
        <x:v>45870</x:v>
      </x:c>
    </x:row>
    <x:row r="1541" ht="22" customHeight="1">
      <x:c r="A1541" s="2" t="str">
        <x:v>O01537</x:v>
      </x:c>
      <x:c r="B1541" s="2" t="str">
        <x:v>C0132</x:v>
      </x:c>
      <x:c r="C1541" s="7" t="n">
        <x:v>45861</x:v>
      </x:c>
      <x:c r="D1541" s="2" t="str">
        <x:v>Completed</x:v>
      </x:c>
      <x:c r="E1541" s="2" t="str">
        <x:v>North</x:v>
      </x:c>
      <x:c r="F1541" s="2" t="str">
        <x:v>Online</x:v>
      </x:c>
      <x:c r="G1541" s="9" t="n">
        <x:f>SUM(SalesLines!Q3771,SalesLines!Q3772,SalesLines!Q3773,SalesLines!Q3774)</x:f>
        <x:v>856.05</x:v>
      </x:c>
      <x:c r="H1541" s="9" t="n">
        <x:f>SUM(SalesLines!M3771,SalesLines!M3772,SalesLines!M3773,SalesLines!M3774)</x:f>
        <x:v>1884</x:v>
      </x:c>
      <x:c r="I1541" s="9" t="n">
        <x:f>SUM(SalesLines!N3771,SalesLines!N3772,SalesLines!N3773,SalesLines!N3774)</x:f>
        <x:v>31.950000000000003</x:v>
      </x:c>
      <x:c r="J1541" s="9" t="n">
        <x:f>SUM(SalesLines!P3771,SalesLines!P3772,SalesLines!P3773,SalesLines!P3774)</x:f>
        <x:v>996</x:v>
      </x:c>
      <x:c r="K1541" s="11" t="n">
        <x:f>SUM(SalesLines!R3771,SalesLines!R3772,SalesLines!R3773,SalesLines!R3774)</x:f>
        <x:v>10</x:v>
      </x:c>
      <x:c r="L1541" s="11" t="n">
        <x:f>SUM(SalesLines!S3771,SalesLines!S3772,SalesLines!S3773,SalesLines!S3774)</x:f>
        <x:v>4</x:v>
      </x:c>
      <x:c r="M1541" s="8" t="n">
        <x:f>DATE(YEAR(C1541),MONTH(C1541),1)</x:f>
        <x:v>45839</x:v>
      </x:c>
    </x:row>
    <x:row r="1542" ht="22" customHeight="1">
      <x:c r="A1542" s="2" t="str">
        <x:v>O01538</x:v>
      </x:c>
      <x:c r="B1542" s="2" t="str">
        <x:v>C0081</x:v>
      </x:c>
      <x:c r="C1542" s="7" t="n">
        <x:v>45946</x:v>
      </x:c>
      <x:c r="D1542" s="2" t="str">
        <x:v>Completed</x:v>
      </x:c>
      <x:c r="E1542" s="2" t="str">
        <x:v>North</x:v>
      </x:c>
      <x:c r="F1542" s="2" t="str">
        <x:v>Store</x:v>
      </x:c>
      <x:c r="G1542" s="9" t="n">
        <x:f>SUM(SalesLines!Q3775,SalesLines!Q3776,SalesLines!Q3777,SalesLines!Q3778)</x:f>
        <x:v>1881.5</x:v>
      </x:c>
      <x:c r="H1542" s="9" t="n">
        <x:f>SUM(SalesLines!M3775,SalesLines!M3776,SalesLines!M3777,SalesLines!M3778)</x:f>
        <x:v>2057</x:v>
      </x:c>
      <x:c r="I1542" s="9" t="n">
        <x:f>SUM(SalesLines!N3775,SalesLines!N3776,SalesLines!N3777,SalesLines!N3778)</x:f>
        <x:v>175.5</x:v>
      </x:c>
      <x:c r="J1542" s="9" t="n">
        <x:f>SUM(SalesLines!P3775,SalesLines!P3776,SalesLines!P3777,SalesLines!P3778)</x:f>
        <x:v>0</x:v>
      </x:c>
      <x:c r="K1542" s="11" t="n">
        <x:f>SUM(SalesLines!R3775,SalesLines!R3776,SalesLines!R3777,SalesLines!R3778)</x:f>
        <x:v>13</x:v>
      </x:c>
      <x:c r="L1542" s="11" t="n">
        <x:f>SUM(SalesLines!S3775,SalesLines!S3776,SalesLines!S3777,SalesLines!S3778)</x:f>
        <x:v>0</x:v>
      </x:c>
      <x:c r="M1542" s="8" t="n">
        <x:f>DATE(YEAR(C1542),MONTH(C1542),1)</x:f>
        <x:v>45931</x:v>
      </x:c>
    </x:row>
    <x:row r="1543" ht="22" customHeight="1">
      <x:c r="A1543" s="2" t="str">
        <x:v>O01539</x:v>
      </x:c>
      <x:c r="B1543" s="2" t="str">
        <x:v>C0149</x:v>
      </x:c>
      <x:c r="C1543" s="7" t="n">
        <x:v>45863</x:v>
      </x:c>
      <x:c r="D1543" s="2" t="str">
        <x:v>Completed</x:v>
      </x:c>
      <x:c r="E1543" s="2" t="str">
        <x:v>East</x:v>
      </x:c>
      <x:c r="F1543" s="2" t="str">
        <x:v>Online</x:v>
      </x:c>
      <x:c r="G1543" s="9" t="n">
        <x:f>SUM(SalesLines!Q3779,SalesLines!Q3780,SalesLines!Q3781)</x:f>
        <x:v>1258.6999999999998</x:v>
      </x:c>
      <x:c r="H1543" s="9" t="n">
        <x:f>SUM(SalesLines!M3779,SalesLines!M3780,SalesLines!M3781)</x:f>
        <x:v>1708</x:v>
      </x:c>
      <x:c r="I1543" s="9" t="n">
        <x:f>SUM(SalesLines!N3779,SalesLines!N3780,SalesLines!N3781)</x:f>
        <x:v>207.20000000000002</x:v>
      </x:c>
      <x:c r="J1543" s="9" t="n">
        <x:f>SUM(SalesLines!P3779,SalesLines!P3780,SalesLines!P3781)</x:f>
        <x:v>242.1</x:v>
      </x:c>
      <x:c r="K1543" s="11" t="n">
        <x:f>SUM(SalesLines!R3779,SalesLines!R3780,SalesLines!R3781)</x:f>
        <x:v>7</x:v>
      </x:c>
      <x:c r="L1543" s="11" t="n">
        <x:f>SUM(SalesLines!S3779,SalesLines!S3780,SalesLines!S3781)</x:f>
        <x:v>1</x:v>
      </x:c>
      <x:c r="M1543" s="8" t="n">
        <x:f>DATE(YEAR(C1543),MONTH(C1543),1)</x:f>
        <x:v>45839</x:v>
      </x:c>
    </x:row>
    <x:row r="1544" ht="22" customHeight="1">
      <x:c r="A1544" s="2" t="str">
        <x:v>O01540</x:v>
      </x:c>
      <x:c r="B1544" s="2" t="str">
        <x:v>C0116</x:v>
      </x:c>
      <x:c r="C1544" s="7" t="n">
        <x:v>45934</x:v>
      </x:c>
      <x:c r="D1544" s="2" t="str">
        <x:v>Completed</x:v>
      </x:c>
      <x:c r="E1544" s="2" t="str">
        <x:v>West</x:v>
      </x:c>
      <x:c r="F1544" s="2" t="str">
        <x:v>Store</x:v>
      </x:c>
      <x:c r="G1544" s="9" t="n">
        <x:f>SUM(SalesLines!Q3782,SalesLines!Q3783,SalesLines!Q3784)</x:f>
        <x:v>1386.15</x:v>
      </x:c>
      <x:c r="H1544" s="9" t="n">
        <x:f>SUM(SalesLines!M3782,SalesLines!M3783,SalesLines!M3784)</x:f>
        <x:v>1479</x:v>
      </x:c>
      <x:c r="I1544" s="9" t="n">
        <x:f>SUM(SalesLines!N3782,SalesLines!N3783,SalesLines!N3784)</x:f>
        <x:v>92.85000000000001</x:v>
      </x:c>
      <x:c r="J1544" s="9" t="n">
        <x:f>SUM(SalesLines!P3782,SalesLines!P3783,SalesLines!P3784)</x:f>
        <x:v>0</x:v>
      </x:c>
      <x:c r="K1544" s="11" t="n">
        <x:f>SUM(SalesLines!R3782,SalesLines!R3783,SalesLines!R3784)</x:f>
        <x:v>9</x:v>
      </x:c>
      <x:c r="L1544" s="11" t="n">
        <x:f>SUM(SalesLines!S3782,SalesLines!S3783,SalesLines!S3784)</x:f>
        <x:v>0</x:v>
      </x:c>
      <x:c r="M1544" s="8" t="n">
        <x:f>DATE(YEAR(C1544),MONTH(C1544),1)</x:f>
        <x:v>45931</x:v>
      </x:c>
    </x:row>
    <x:row r="1545" ht="22" customHeight="1">
      <x:c r="A1545" s="2" t="str">
        <x:v>O01541</x:v>
      </x:c>
      <x:c r="B1545" s="2" t="str">
        <x:v>C0177</x:v>
      </x:c>
      <x:c r="C1545" s="7" t="n">
        <x:v>45833</x:v>
      </x:c>
      <x:c r="D1545" s="2" t="str">
        <x:v>Completed</x:v>
      </x:c>
      <x:c r="E1545" s="2" t="str">
        <x:v>West</x:v>
      </x:c>
      <x:c r="F1545" s="2" t="str">
        <x:v>Online</x:v>
      </x:c>
      <x:c r="G1545" s="9" t="n">
        <x:f>SUM(SalesLines!Q3785,SalesLines!Q3786,SalesLines!Q3787)</x:f>
        <x:v>1787.5</x:v>
      </x:c>
      <x:c r="H1545" s="9" t="n">
        <x:f>SUM(SalesLines!M3785,SalesLines!M3786,SalesLines!M3787)</x:f>
        <x:v>1923</x:v>
      </x:c>
      <x:c r="I1545" s="9" t="n">
        <x:f>SUM(SalesLines!N3785,SalesLines!N3786,SalesLines!N3787)</x:f>
        <x:v>135.5</x:v>
      </x:c>
      <x:c r="J1545" s="9" t="n">
        <x:f>SUM(SalesLines!P3785,SalesLines!P3786,SalesLines!P3787)</x:f>
        <x:v>0</x:v>
      </x:c>
      <x:c r="K1545" s="11" t="n">
        <x:f>SUM(SalesLines!R3785,SalesLines!R3786,SalesLines!R3787)</x:f>
        <x:v>8</x:v>
      </x:c>
      <x:c r="L1545" s="11" t="n">
        <x:f>SUM(SalesLines!S3785,SalesLines!S3786,SalesLines!S3787)</x:f>
        <x:v>0</x:v>
      </x:c>
      <x:c r="M1545" s="8" t="n">
        <x:f>DATE(YEAR(C1545),MONTH(C1545),1)</x:f>
        <x:v>45809</x:v>
      </x:c>
    </x:row>
    <x:row r="1546" ht="22" customHeight="1">
      <x:c r="A1546" s="2" t="str">
        <x:v>O01542</x:v>
      </x:c>
      <x:c r="B1546" s="2" t="str">
        <x:v>C0184</x:v>
      </x:c>
      <x:c r="C1546" s="7" t="n">
        <x:v>45951</x:v>
      </x:c>
      <x:c r="D1546" s="2" t="str">
        <x:v>Completed</x:v>
      </x:c>
      <x:c r="E1546" s="2" t="str">
        <x:v>West</x:v>
      </x:c>
      <x:c r="F1546" s="2" t="str">
        <x:v>Online</x:v>
      </x:c>
      <x:c r="G1546" s="9" t="n">
        <x:f>SUM(SalesLines!Q3788,SalesLines!Q3789,SalesLines!Q3790,SalesLines!Q3791)</x:f>
        <x:v>2607.9</x:v>
      </x:c>
      <x:c r="H1546" s="9" t="n">
        <x:f>SUM(SalesLines!M3788,SalesLines!M3789,SalesLines!M3790,SalesLines!M3791)</x:f>
        <x:v>2833</x:v>
      </x:c>
      <x:c r="I1546" s="9" t="n">
        <x:f>SUM(SalesLines!N3788,SalesLines!N3789,SalesLines!N3790,SalesLines!N3791)</x:f>
        <x:v>225.1</x:v>
      </x:c>
      <x:c r="J1546" s="9" t="n">
        <x:f>SUM(SalesLines!P3788,SalesLines!P3789,SalesLines!P3790,SalesLines!P3791)</x:f>
        <x:v>0</x:v>
      </x:c>
      <x:c r="K1546" s="11" t="n">
        <x:f>SUM(SalesLines!R3788,SalesLines!R3789,SalesLines!R3790,SalesLines!R3791)</x:f>
        <x:v>15</x:v>
      </x:c>
      <x:c r="L1546" s="11" t="n">
        <x:f>SUM(SalesLines!S3788,SalesLines!S3789,SalesLines!S3790,SalesLines!S3791)</x:f>
        <x:v>0</x:v>
      </x:c>
      <x:c r="M1546" s="8" t="n">
        <x:f>DATE(YEAR(C1546),MONTH(C1546),1)</x:f>
        <x:v>45931</x:v>
      </x:c>
    </x:row>
    <x:row r="1547" ht="22" customHeight="1">
      <x:c r="A1547" s="2" t="str">
        <x:v>O01543</x:v>
      </x:c>
      <x:c r="B1547" s="2" t="str">
        <x:v>C0269</x:v>
      </x:c>
      <x:c r="C1547" s="7" t="n">
        <x:v>45995</x:v>
      </x:c>
      <x:c r="D1547" s="2" t="str">
        <x:v>Completed</x:v>
      </x:c>
      <x:c r="E1547" s="2" t="str">
        <x:v>East</x:v>
      </x:c>
      <x:c r="F1547" s="2" t="str">
        <x:v>Store</x:v>
      </x:c>
      <x:c r="G1547" s="9" t="n">
        <x:f>SUM(SalesLines!Q3792,SalesLines!Q3793)</x:f>
        <x:v>909.6</x:v>
      </x:c>
      <x:c r="H1547" s="9" t="n">
        <x:f>SUM(SalesLines!M3792,SalesLines!M3793)</x:f>
        <x:v>978</x:v>
      </x:c>
      <x:c r="I1547" s="9" t="n">
        <x:f>SUM(SalesLines!N3792,SalesLines!N3793)</x:f>
        <x:v>68.4</x:v>
      </x:c>
      <x:c r="J1547" s="9" t="n">
        <x:f>SUM(SalesLines!P3792,SalesLines!P3793)</x:f>
        <x:v>0</x:v>
      </x:c>
      <x:c r="K1547" s="11" t="n">
        <x:f>SUM(SalesLines!R3792,SalesLines!R3793)</x:f>
        <x:v>7</x:v>
      </x:c>
      <x:c r="L1547" s="11" t="n">
        <x:f>SUM(SalesLines!S3792,SalesLines!S3793)</x:f>
        <x:v>0</x:v>
      </x:c>
      <x:c r="M1547" s="8" t="n">
        <x:f>DATE(YEAR(C1547),MONTH(C1547),1)</x:f>
        <x:v>45992</x:v>
      </x:c>
    </x:row>
    <x:row r="1548" ht="22" customHeight="1">
      <x:c r="A1548" s="2" t="str">
        <x:v>O01544</x:v>
      </x:c>
      <x:c r="B1548" s="2" t="str">
        <x:v>C0221</x:v>
      </x:c>
      <x:c r="C1548" s="7" t="n">
        <x:v>45891</x:v>
      </x:c>
      <x:c r="D1548" s="2" t="str">
        <x:v>Completed</x:v>
      </x:c>
      <x:c r="E1548" s="2" t="str">
        <x:v>West</x:v>
      </x:c>
      <x:c r="F1548" s="2" t="str">
        <x:v>Store</x:v>
      </x:c>
      <x:c r="G1548" s="9" t="n">
        <x:f>SUM(SalesLines!Q3794)</x:f>
        <x:v>600</x:v>
      </x:c>
      <x:c r="H1548" s="9" t="n">
        <x:f>SUM(SalesLines!M3794)</x:f>
        <x:v>600</x:v>
      </x:c>
      <x:c r="I1548" s="9" t="n">
        <x:f>SUM(SalesLines!N3794)</x:f>
        <x:v>0</x:v>
      </x:c>
      <x:c r="J1548" s="9" t="n">
        <x:f>SUM(SalesLines!P3794)</x:f>
        <x:v>0</x:v>
      </x:c>
      <x:c r="K1548" s="11" t="n">
        <x:f>SUM(SalesLines!R3794)</x:f>
        <x:v>2</x:v>
      </x:c>
      <x:c r="L1548" s="11" t="n">
        <x:f>SUM(SalesLines!S3794)</x:f>
        <x:v>0</x:v>
      </x:c>
      <x:c r="M1548" s="8" t="n">
        <x:f>DATE(YEAR(C1548),MONTH(C1548),1)</x:f>
        <x:v>45870</x:v>
      </x:c>
    </x:row>
    <x:row r="1549" ht="22" customHeight="1">
      <x:c r="A1549" s="2" t="str">
        <x:v>O01545</x:v>
      </x:c>
      <x:c r="B1549" s="2" t="str">
        <x:v>C0228</x:v>
      </x:c>
      <x:c r="C1549" s="7" t="n">
        <x:v>45795</x:v>
      </x:c>
      <x:c r="D1549" s="2" t="str">
        <x:v>Completed</x:v>
      </x:c>
      <x:c r="E1549" s="2" t="str">
        <x:v>East</x:v>
      </x:c>
      <x:c r="F1549" s="2" t="str">
        <x:v>Online</x:v>
      </x:c>
      <x:c r="G1549" s="9" t="n">
        <x:f>SUM(SalesLines!Q3795,SalesLines!Q3796)</x:f>
        <x:v>1259.1999999999998</x:v>
      </x:c>
      <x:c r="H1549" s="9" t="n">
        <x:f>SUM(SalesLines!M3795,SalesLines!M3796)</x:f>
        <x:v>1574</x:v>
      </x:c>
      <x:c r="I1549" s="9" t="n">
        <x:f>SUM(SalesLines!N3795,SalesLines!N3796)</x:f>
        <x:v>314.8</x:v>
      </x:c>
      <x:c r="J1549" s="9" t="n">
        <x:f>SUM(SalesLines!P3795,SalesLines!P3796)</x:f>
        <x:v>0</x:v>
      </x:c>
      <x:c r="K1549" s="11" t="n">
        <x:f>SUM(SalesLines!R3795,SalesLines!R3796)</x:f>
        <x:v>6</x:v>
      </x:c>
      <x:c r="L1549" s="11" t="n">
        <x:f>SUM(SalesLines!S3795,SalesLines!S3796)</x:f>
        <x:v>0</x:v>
      </x:c>
      <x:c r="M1549" s="8" t="n">
        <x:f>DATE(YEAR(C1549),MONTH(C1549),1)</x:f>
        <x:v>45778</x:v>
      </x:c>
    </x:row>
    <x:row r="1550" ht="22" customHeight="1">
      <x:c r="A1550" s="2" t="str">
        <x:v>O01546</x:v>
      </x:c>
      <x:c r="B1550" s="2" t="str">
        <x:v>C0191</x:v>
      </x:c>
      <x:c r="C1550" s="7" t="n">
        <x:v>45723</x:v>
      </x:c>
      <x:c r="D1550" s="2" t="str">
        <x:v>Completed</x:v>
      </x:c>
      <x:c r="E1550" s="2" t="str">
        <x:v>North</x:v>
      </x:c>
      <x:c r="F1550" s="2" t="str">
        <x:v>Online</x:v>
      </x:c>
      <x:c r="G1550" s="9" t="n">
        <x:f>SUM(SalesLines!Q3797,SalesLines!Q3798,SalesLines!Q3799,SalesLines!Q3800)</x:f>
        <x:v>2857.8</x:v>
      </x:c>
      <x:c r="H1550" s="9" t="n">
        <x:f>SUM(SalesLines!M3797,SalesLines!M3798,SalesLines!M3799,SalesLines!M3800)</x:f>
        <x:v>3285</x:v>
      </x:c>
      <x:c r="I1550" s="9" t="n">
        <x:f>SUM(SalesLines!N3797,SalesLines!N3798,SalesLines!N3799,SalesLines!N3800)</x:f>
        <x:v>427.2</x:v>
      </x:c>
      <x:c r="J1550" s="9" t="n">
        <x:f>SUM(SalesLines!P3797,SalesLines!P3798,SalesLines!P3799,SalesLines!P3800)</x:f>
        <x:v>0</x:v>
      </x:c>
      <x:c r="K1550" s="11" t="n">
        <x:f>SUM(SalesLines!R3797,SalesLines!R3798,SalesLines!R3799,SalesLines!R3800)</x:f>
        <x:v>13</x:v>
      </x:c>
      <x:c r="L1550" s="11" t="n">
        <x:f>SUM(SalesLines!S3797,SalesLines!S3798,SalesLines!S3799,SalesLines!S3800)</x:f>
        <x:v>0</x:v>
      </x:c>
      <x:c r="M1550" s="8" t="n">
        <x:f>DATE(YEAR(C1550),MONTH(C1550),1)</x:f>
        <x:v>45717</x:v>
      </x:c>
    </x:row>
    <x:row r="1551" ht="22" customHeight="1">
      <x:c r="A1551" s="2" t="str">
        <x:v>O01547</x:v>
      </x:c>
      <x:c r="B1551" s="2" t="str">
        <x:v>C0197</x:v>
      </x:c>
      <x:c r="C1551" s="7" t="n">
        <x:v>45919</x:v>
      </x:c>
      <x:c r="D1551" s="2" t="str">
        <x:v>Completed</x:v>
      </x:c>
      <x:c r="E1551" s="2" t="str">
        <x:v>East</x:v>
      </x:c>
      <x:c r="F1551" s="2" t="str">
        <x:v>Online</x:v>
      </x:c>
      <x:c r="G1551" s="9" t="n">
        <x:f>SUM(SalesLines!Q3801,SalesLines!Q3802,SalesLines!Q3803)</x:f>
        <x:v>2092.25</x:v>
      </x:c>
      <x:c r="H1551" s="9" t="n">
        <x:f>SUM(SalesLines!M3801,SalesLines!M3802,SalesLines!M3803)</x:f>
        <x:v>2906</x:v>
      </x:c>
      <x:c r="I1551" s="9" t="n">
        <x:f>SUM(SalesLines!N3801,SalesLines!N3802,SalesLines!N3803)</x:f>
        <x:v>57.75</x:v>
      </x:c>
      <x:c r="J1551" s="9" t="n">
        <x:f>SUM(SalesLines!P3801,SalesLines!P3802,SalesLines!P3803)</x:f>
        <x:v>756</x:v>
      </x:c>
      <x:c r="K1551" s="11" t="n">
        <x:f>SUM(SalesLines!R3801,SalesLines!R3802,SalesLines!R3803)</x:f>
        <x:v>14</x:v>
      </x:c>
      <x:c r="L1551" s="11" t="n">
        <x:f>SUM(SalesLines!S3801,SalesLines!S3802,SalesLines!S3803)</x:f>
        <x:v>4</x:v>
      </x:c>
      <x:c r="M1551" s="8" t="n">
        <x:f>DATE(YEAR(C1551),MONTH(C1551),1)</x:f>
        <x:v>45901</x:v>
      </x:c>
    </x:row>
    <x:row r="1552" ht="22" customHeight="1">
      <x:c r="A1552" s="2" t="str">
        <x:v>O01548</x:v>
      </x:c>
      <x:c r="B1552" s="2" t="str">
        <x:v>C0015</x:v>
      </x:c>
      <x:c r="C1552" s="7" t="n">
        <x:v>45972</x:v>
      </x:c>
      <x:c r="D1552" s="2" t="str">
        <x:v>Completed</x:v>
      </x:c>
      <x:c r="E1552" s="2" t="str">
        <x:v>West</x:v>
      </x:c>
      <x:c r="F1552" s="2" t="str">
        <x:v>Store</x:v>
      </x:c>
      <x:c r="G1552" s="9" t="n">
        <x:f>SUM(SalesLines!Q3804,SalesLines!Q3805)</x:f>
        <x:v>384.5</x:v>
      </x:c>
      <x:c r="H1552" s="9" t="n">
        <x:f>SUM(SalesLines!M3804,SalesLines!M3805)</x:f>
        <x:v>469</x:v>
      </x:c>
      <x:c r="I1552" s="9" t="n">
        <x:f>SUM(SalesLines!N3804,SalesLines!N3805)</x:f>
        <x:v>84.5</x:v>
      </x:c>
      <x:c r="J1552" s="9" t="n">
        <x:f>SUM(SalesLines!P3804,SalesLines!P3805)</x:f>
        <x:v>0</x:v>
      </x:c>
      <x:c r="K1552" s="11" t="n">
        <x:f>SUM(SalesLines!R3804,SalesLines!R3805)</x:f>
        <x:v>3</x:v>
      </x:c>
      <x:c r="L1552" s="11" t="n">
        <x:f>SUM(SalesLines!S3804,SalesLines!S3805)</x:f>
        <x:v>0</x:v>
      </x:c>
      <x:c r="M1552" s="8" t="n">
        <x:f>DATE(YEAR(C1552),MONTH(C1552),1)</x:f>
        <x:v>45962</x:v>
      </x:c>
    </x:row>
    <x:row r="1553" ht="22" customHeight="1">
      <x:c r="A1553" s="2" t="str">
        <x:v>O01549</x:v>
      </x:c>
      <x:c r="B1553" s="2" t="str">
        <x:v>C0209</x:v>
      </x:c>
      <x:c r="C1553" s="7" t="n">
        <x:v>45932</x:v>
      </x:c>
      <x:c r="D1553" s="2" t="str">
        <x:v>Completed</x:v>
      </x:c>
      <x:c r="E1553" s="2" t="str">
        <x:v>West</x:v>
      </x:c>
      <x:c r="F1553" s="2" t="str">
        <x:v>Online</x:v>
      </x:c>
      <x:c r="G1553" s="9" t="n">
        <x:f>SUM(SalesLines!Q3806)</x:f>
        <x:v>233.7</x:v>
      </x:c>
      <x:c r="H1553" s="9" t="n">
        <x:f>SUM(SalesLines!M3806)</x:f>
        <x:v>246</x:v>
      </x:c>
      <x:c r="I1553" s="9" t="n">
        <x:f>SUM(SalesLines!N3806)</x:f>
        <x:v>12.3</x:v>
      </x:c>
      <x:c r="J1553" s="9" t="n">
        <x:f>SUM(SalesLines!P3806)</x:f>
        <x:v>0</x:v>
      </x:c>
      <x:c r="K1553" s="11" t="n">
        <x:f>SUM(SalesLines!R3806)</x:f>
        <x:v>2</x:v>
      </x:c>
      <x:c r="L1553" s="11" t="n">
        <x:f>SUM(SalesLines!S3806)</x:f>
        <x:v>0</x:v>
      </x:c>
      <x:c r="M1553" s="8" t="n">
        <x:f>DATE(YEAR(C1553),MONTH(C1553),1)</x:f>
        <x:v>45931</x:v>
      </x:c>
    </x:row>
    <x:row r="1554" ht="22" customHeight="1">
      <x:c r="A1554" s="2" t="str">
        <x:v>O01550</x:v>
      </x:c>
      <x:c r="B1554" s="2" t="str">
        <x:v>C0109</x:v>
      </x:c>
      <x:c r="C1554" s="7" t="n">
        <x:v>45975</x:v>
      </x:c>
      <x:c r="D1554" s="2" t="str">
        <x:v>Completed</x:v>
      </x:c>
      <x:c r="E1554" s="2" t="str">
        <x:v>West</x:v>
      </x:c>
      <x:c r="F1554" s="2" t="str">
        <x:v>Online</x:v>
      </x:c>
      <x:c r="G1554" s="9" t="n">
        <x:f>SUM(SalesLines!Q3807,SalesLines!Q3808,SalesLines!Q3809,SalesLines!Q3810)</x:f>
        <x:v>3526.7</x:v>
      </x:c>
      <x:c r="H1554" s="9" t="n">
        <x:f>SUM(SalesLines!M3807,SalesLines!M3808,SalesLines!M3809,SalesLines!M3810)</x:f>
        <x:v>3756</x:v>
      </x:c>
      <x:c r="I1554" s="9" t="n">
        <x:f>SUM(SalesLines!N3807,SalesLines!N3808,SalesLines!N3809,SalesLines!N3810)</x:f>
        <x:v>229.3</x:v>
      </x:c>
      <x:c r="J1554" s="9" t="n">
        <x:f>SUM(SalesLines!P3807,SalesLines!P3808,SalesLines!P3809,SalesLines!P3810)</x:f>
        <x:v>0</x:v>
      </x:c>
      <x:c r="K1554" s="11" t="n">
        <x:f>SUM(SalesLines!R3807,SalesLines!R3808,SalesLines!R3809,SalesLines!R3810)</x:f>
        <x:v>15</x:v>
      </x:c>
      <x:c r="L1554" s="11" t="n">
        <x:f>SUM(SalesLines!S3807,SalesLines!S3808,SalesLines!S3809,SalesLines!S3810)</x:f>
        <x:v>0</x:v>
      </x:c>
      <x:c r="M1554" s="8" t="n">
        <x:f>DATE(YEAR(C1554),MONTH(C1554),1)</x:f>
        <x:v>45962</x:v>
      </x:c>
    </x:row>
    <x:row r="1555" ht="22" customHeight="1">
      <x:c r="A1555" s="2" t="str">
        <x:v>O01551</x:v>
      </x:c>
      <x:c r="B1555" s="2" t="str">
        <x:v>C0197</x:v>
      </x:c>
      <x:c r="C1555" s="7" t="n">
        <x:v>45887</x:v>
      </x:c>
      <x:c r="D1555" s="2" t="str">
        <x:v>Completed</x:v>
      </x:c>
      <x:c r="E1555" s="2" t="str">
        <x:v>East</x:v>
      </x:c>
      <x:c r="F1555" s="2" t="str">
        <x:v>Online</x:v>
      </x:c>
      <x:c r="G1555" s="9" t="n">
        <x:f>SUM(SalesLines!Q3811,SalesLines!Q3812,SalesLines!Q3813,SalesLines!Q3814)</x:f>
        <x:v>1526.65</x:v>
      </x:c>
      <x:c r="H1555" s="9" t="n">
        <x:f>SUM(SalesLines!M3811,SalesLines!M3812,SalesLines!M3813,SalesLines!M3814)</x:f>
        <x:v>1641</x:v>
      </x:c>
      <x:c r="I1555" s="9" t="n">
        <x:f>SUM(SalesLines!N3811,SalesLines!N3812,SalesLines!N3813,SalesLines!N3814)</x:f>
        <x:v>114.35000000000001</x:v>
      </x:c>
      <x:c r="J1555" s="9" t="n">
        <x:f>SUM(SalesLines!P3811,SalesLines!P3812,SalesLines!P3813,SalesLines!P3814)</x:f>
        <x:v>0</x:v>
      </x:c>
      <x:c r="K1555" s="11" t="n">
        <x:f>SUM(SalesLines!R3811,SalesLines!R3812,SalesLines!R3813,SalesLines!R3814)</x:f>
        <x:v>11</x:v>
      </x:c>
      <x:c r="L1555" s="11" t="n">
        <x:f>SUM(SalesLines!S3811,SalesLines!S3812,SalesLines!S3813,SalesLines!S3814)</x:f>
        <x:v>0</x:v>
      </x:c>
      <x:c r="M1555" s="8" t="n">
        <x:f>DATE(YEAR(C1555),MONTH(C1555),1)</x:f>
        <x:v>45870</x:v>
      </x:c>
    </x:row>
    <x:row r="1556" ht="22" customHeight="1">
      <x:c r="A1556" s="2" t="str">
        <x:v>O01552</x:v>
      </x:c>
      <x:c r="B1556" s="2" t="str">
        <x:v>C0070</x:v>
      </x:c>
      <x:c r="C1556" s="7" t="n">
        <x:v>45984</x:v>
      </x:c>
      <x:c r="D1556" s="2" t="str">
        <x:v>Completed</x:v>
      </x:c>
      <x:c r="E1556" s="2" t="str">
        <x:v>West</x:v>
      </x:c>
      <x:c r="F1556" s="2" t="str">
        <x:v>Store</x:v>
      </x:c>
      <x:c r="G1556" s="9" t="n">
        <x:f>SUM(SalesLines!Q3815,SalesLines!Q3816)</x:f>
        <x:v>1485.75</x:v>
      </x:c>
      <x:c r="H1556" s="9" t="n">
        <x:f>SUM(SalesLines!M3815,SalesLines!M3816)</x:f>
        <x:v>1533</x:v>
      </x:c>
      <x:c r="I1556" s="9" t="n">
        <x:f>SUM(SalesLines!N3815,SalesLines!N3816)</x:f>
        <x:v>47.25</x:v>
      </x:c>
      <x:c r="J1556" s="9" t="n">
        <x:f>SUM(SalesLines!P3815,SalesLines!P3816)</x:f>
        <x:v>0</x:v>
      </x:c>
      <x:c r="K1556" s="11" t="n">
        <x:f>SUM(SalesLines!R3815,SalesLines!R3816)</x:f>
        <x:v>8</x:v>
      </x:c>
      <x:c r="L1556" s="11" t="n">
        <x:f>SUM(SalesLines!S3815,SalesLines!S3816)</x:f>
        <x:v>0</x:v>
      </x:c>
      <x:c r="M1556" s="8" t="n">
        <x:f>DATE(YEAR(C1556),MONTH(C1556),1)</x:f>
        <x:v>45962</x:v>
      </x:c>
    </x:row>
    <x:row r="1557" ht="22" customHeight="1">
      <x:c r="A1557" s="2" t="str">
        <x:v>O01553</x:v>
      </x:c>
      <x:c r="B1557" s="2" t="str">
        <x:v>C0253</x:v>
      </x:c>
      <x:c r="C1557" s="7" t="n">
        <x:v>45942</x:v>
      </x:c>
      <x:c r="D1557" s="2" t="str">
        <x:v>Completed</x:v>
      </x:c>
      <x:c r="E1557" s="2" t="str">
        <x:v>North</x:v>
      </x:c>
      <x:c r="F1557" s="2" t="str">
        <x:v>Online</x:v>
      </x:c>
      <x:c r="G1557" s="9" t="n">
        <x:f>SUM(SalesLines!Q3817,SalesLines!Q3818)</x:f>
        <x:v>383.85</x:v>
      </x:c>
      <x:c r="H1557" s="9" t="n">
        <x:f>SUM(SalesLines!M3817,SalesLines!M3818)</x:f>
        <x:v>447</x:v>
      </x:c>
      <x:c r="I1557" s="9" t="n">
        <x:f>SUM(SalesLines!N3817,SalesLines!N3818)</x:f>
        <x:v>63.150000000000006</x:v>
      </x:c>
      <x:c r="J1557" s="9" t="n">
        <x:f>SUM(SalesLines!P3817,SalesLines!P3818)</x:f>
        <x:v>0</x:v>
      </x:c>
      <x:c r="K1557" s="11" t="n">
        <x:f>SUM(SalesLines!R3817,SalesLines!R3818)</x:f>
        <x:v>9</x:v>
      </x:c>
      <x:c r="L1557" s="11" t="n">
        <x:f>SUM(SalesLines!S3817,SalesLines!S3818)</x:f>
        <x:v>0</x:v>
      </x:c>
      <x:c r="M1557" s="8" t="n">
        <x:f>DATE(YEAR(C1557),MONTH(C1557),1)</x:f>
        <x:v>45931</x:v>
      </x:c>
    </x:row>
    <x:row r="1558" ht="22" customHeight="1">
      <x:c r="A1558" s="2" t="str">
        <x:v>O01554</x:v>
      </x:c>
      <x:c r="B1558" s="2" t="str">
        <x:v>C0046</x:v>
      </x:c>
      <x:c r="C1558" s="7" t="n">
        <x:v>45810</x:v>
      </x:c>
      <x:c r="D1558" s="2" t="str">
        <x:v>Completed</x:v>
      </x:c>
      <x:c r="E1558" s="2" t="str">
        <x:v>West</x:v>
      </x:c>
      <x:c r="F1558" s="2" t="str">
        <x:v>Online</x:v>
      </x:c>
      <x:c r="G1558" s="9" t="n">
        <x:f>SUM(SalesLines!Q3819)</x:f>
        <x:v>120.6</x:v>
      </x:c>
      <x:c r="H1558" s="9" t="n">
        <x:f>SUM(SalesLines!M3819)</x:f>
        <x:v>134</x:v>
      </x:c>
      <x:c r="I1558" s="9" t="n">
        <x:f>SUM(SalesLines!N3819)</x:f>
        <x:v>13.4</x:v>
      </x:c>
      <x:c r="J1558" s="9" t="n">
        <x:f>SUM(SalesLines!P3819)</x:f>
        <x:v>0</x:v>
      </x:c>
      <x:c r="K1558" s="11" t="n">
        <x:f>SUM(SalesLines!R3819)</x:f>
        <x:v>1</x:v>
      </x:c>
      <x:c r="L1558" s="11" t="n">
        <x:f>SUM(SalesLines!S3819)</x:f>
        <x:v>0</x:v>
      </x:c>
      <x:c r="M1558" s="8" t="n">
        <x:f>DATE(YEAR(C1558),MONTH(C1558),1)</x:f>
        <x:v>45809</x:v>
      </x:c>
    </x:row>
    <x:row r="1559" ht="22" customHeight="1">
      <x:c r="A1559" s="2" t="str">
        <x:v>O01555</x:v>
      </x:c>
      <x:c r="B1559" s="2" t="str">
        <x:v>C0104</x:v>
      </x:c>
      <x:c r="C1559" s="7" t="n">
        <x:v>45687</x:v>
      </x:c>
      <x:c r="D1559" s="2" t="str">
        <x:v>Completed</x:v>
      </x:c>
      <x:c r="E1559" s="2" t="str">
        <x:v>North</x:v>
      </x:c>
      <x:c r="F1559" s="2" t="str">
        <x:v>Store</x:v>
      </x:c>
      <x:c r="G1559" s="9" t="n">
        <x:f>SUM(SalesLines!Q3820,SalesLines!Q3821,SalesLines!Q3822)</x:f>
        <x:v>1410.2</x:v>
      </x:c>
      <x:c r="H1559" s="9" t="n">
        <x:f>SUM(SalesLines!M3820,SalesLines!M3821,SalesLines!M3822)</x:f>
        <x:v>1472</x:v>
      </x:c>
      <x:c r="I1559" s="9" t="n">
        <x:f>SUM(SalesLines!N3820,SalesLines!N3821,SalesLines!N3822)</x:f>
        <x:v>61.8</x:v>
      </x:c>
      <x:c r="J1559" s="9" t="n">
        <x:f>SUM(SalesLines!P3820,SalesLines!P3821,SalesLines!P3822)</x:f>
        <x:v>0</x:v>
      </x:c>
      <x:c r="K1559" s="11" t="n">
        <x:f>SUM(SalesLines!R3820,SalesLines!R3821,SalesLines!R3822)</x:f>
        <x:v>9</x:v>
      </x:c>
      <x:c r="L1559" s="11" t="n">
        <x:f>SUM(SalesLines!S3820,SalesLines!S3821,SalesLines!S3822)</x:f>
        <x:v>0</x:v>
      </x:c>
      <x:c r="M1559" s="8" t="n">
        <x:f>DATE(YEAR(C1559),MONTH(C1559),1)</x:f>
        <x:v>45658</x:v>
      </x:c>
    </x:row>
    <x:row r="1560" ht="22" customHeight="1">
      <x:c r="A1560" s="2" t="str">
        <x:v>O01556</x:v>
      </x:c>
      <x:c r="B1560" s="2" t="str">
        <x:v>C0217</x:v>
      </x:c>
      <x:c r="C1560" s="7" t="n">
        <x:v>45711</x:v>
      </x:c>
      <x:c r="D1560" s="2" t="str">
        <x:v>Completed</x:v>
      </x:c>
      <x:c r="E1560" s="2" t="str">
        <x:v>South</x:v>
      </x:c>
      <x:c r="F1560" s="2" t="str">
        <x:v>Store</x:v>
      </x:c>
      <x:c r="G1560" s="9" t="n">
        <x:f>SUM(SalesLines!Q3823)</x:f>
        <x:v>122</x:v>
      </x:c>
      <x:c r="H1560" s="9" t="n">
        <x:f>SUM(SalesLines!M3823)</x:f>
        <x:v>122</x:v>
      </x:c>
      <x:c r="I1560" s="9" t="n">
        <x:f>SUM(SalesLines!N3823)</x:f>
        <x:v>0</x:v>
      </x:c>
      <x:c r="J1560" s="9" t="n">
        <x:f>SUM(SalesLines!P3823)</x:f>
        <x:v>0</x:v>
      </x:c>
      <x:c r="K1560" s="11" t="n">
        <x:f>SUM(SalesLines!R3823)</x:f>
        <x:v>1</x:v>
      </x:c>
      <x:c r="L1560" s="11" t="n">
        <x:f>SUM(SalesLines!S3823)</x:f>
        <x:v>0</x:v>
      </x:c>
      <x:c r="M1560" s="8" t="n">
        <x:f>DATE(YEAR(C1560),MONTH(C1560),1)</x:f>
        <x:v>45689</x:v>
      </x:c>
    </x:row>
    <x:row r="1561" ht="22" customHeight="1">
      <x:c r="A1561" s="2" t="str">
        <x:v>O01557</x:v>
      </x:c>
      <x:c r="B1561" s="2" t="str">
        <x:v>C0139</x:v>
      </x:c>
      <x:c r="C1561" s="7" t="n">
        <x:v>45842</x:v>
      </x:c>
      <x:c r="D1561" s="2" t="str">
        <x:v>Completed</x:v>
      </x:c>
      <x:c r="E1561" s="2" t="str">
        <x:v>North</x:v>
      </x:c>
      <x:c r="F1561" s="2" t="str">
        <x:v>Online</x:v>
      </x:c>
      <x:c r="G1561" s="9" t="n">
        <x:f>SUM(SalesLines!Q3824,SalesLines!Q3825,SalesLines!Q3826)</x:f>
        <x:v>473.45000000000005</x:v>
      </x:c>
      <x:c r="H1561" s="9" t="n">
        <x:f>SUM(SalesLines!M3824,SalesLines!M3825,SalesLines!M3826)</x:f>
        <x:v>506</x:v>
      </x:c>
      <x:c r="I1561" s="9" t="n">
        <x:f>SUM(SalesLines!N3824,SalesLines!N3825,SalesLines!N3826)</x:f>
        <x:v>32.550000000000004</x:v>
      </x:c>
      <x:c r="J1561" s="9" t="n">
        <x:f>SUM(SalesLines!P3824,SalesLines!P3825,SalesLines!P3826)</x:f>
        <x:v>0</x:v>
      </x:c>
      <x:c r="K1561" s="11" t="n">
        <x:f>SUM(SalesLines!R3824,SalesLines!R3825,SalesLines!R3826)</x:f>
        <x:v>5</x:v>
      </x:c>
      <x:c r="L1561" s="11" t="n">
        <x:f>SUM(SalesLines!S3824,SalesLines!S3825,SalesLines!S3826)</x:f>
        <x:v>0</x:v>
      </x:c>
      <x:c r="M1561" s="8" t="n">
        <x:f>DATE(YEAR(C1561),MONTH(C1561),1)</x:f>
        <x:v>45839</x:v>
      </x:c>
    </x:row>
    <x:row r="1562" ht="22" customHeight="1">
      <x:c r="A1562" s="2" t="str">
        <x:v>O01558</x:v>
      </x:c>
      <x:c r="B1562" s="2" t="str">
        <x:v>C0257</x:v>
      </x:c>
      <x:c r="C1562" s="7" t="n">
        <x:v>45696</x:v>
      </x:c>
      <x:c r="D1562" s="2" t="str">
        <x:v>Completed</x:v>
      </x:c>
      <x:c r="E1562" s="2" t="str">
        <x:v>North</x:v>
      </x:c>
      <x:c r="F1562" s="2" t="str">
        <x:v>Store</x:v>
      </x:c>
      <x:c r="G1562" s="9" t="n">
        <x:f>SUM(SalesLines!Q3827,SalesLines!Q3828,SalesLines!Q3829,SalesLines!Q3830)</x:f>
        <x:v>1404.3999999999999</x:v>
      </x:c>
      <x:c r="H1562" s="9" t="n">
        <x:f>SUM(SalesLines!M3827,SalesLines!M3828,SalesLines!M3829,SalesLines!M3830)</x:f>
        <x:v>1651</x:v>
      </x:c>
      <x:c r="I1562" s="9" t="n">
        <x:f>SUM(SalesLines!N3827,SalesLines!N3828,SalesLines!N3829,SalesLines!N3830)</x:f>
        <x:v>246.60000000000002</x:v>
      </x:c>
      <x:c r="J1562" s="9" t="n">
        <x:f>SUM(SalesLines!P3827,SalesLines!P3828,SalesLines!P3829,SalesLines!P3830)</x:f>
        <x:v>0</x:v>
      </x:c>
      <x:c r="K1562" s="11" t="n">
        <x:f>SUM(SalesLines!R3827,SalesLines!R3828,SalesLines!R3829,SalesLines!R3830)</x:f>
        <x:v>8</x:v>
      </x:c>
      <x:c r="L1562" s="11" t="n">
        <x:f>SUM(SalesLines!S3827,SalesLines!S3828,SalesLines!S3829,SalesLines!S3830)</x:f>
        <x:v>0</x:v>
      </x:c>
      <x:c r="M1562" s="8" t="n">
        <x:f>DATE(YEAR(C1562),MONTH(C1562),1)</x:f>
        <x:v>45689</x:v>
      </x:c>
    </x:row>
    <x:row r="1563" ht="22" customHeight="1">
      <x:c r="A1563" s="2" t="str">
        <x:v>O01559</x:v>
      </x:c>
      <x:c r="B1563" s="2" t="str">
        <x:v>C0099</x:v>
      </x:c>
      <x:c r="C1563" s="7" t="n">
        <x:v>45723</x:v>
      </x:c>
      <x:c r="D1563" s="2" t="str">
        <x:v>Completed</x:v>
      </x:c>
      <x:c r="E1563" s="2" t="str">
        <x:v>West</x:v>
      </x:c>
      <x:c r="F1563" s="2" t="str">
        <x:v>Online</x:v>
      </x:c>
      <x:c r="G1563" s="9" t="n">
        <x:f>SUM(SalesLines!Q3831)</x:f>
        <x:v>203.2</x:v>
      </x:c>
      <x:c r="H1563" s="9" t="n">
        <x:f>SUM(SalesLines!M3831)</x:f>
        <x:v>254</x:v>
      </x:c>
      <x:c r="I1563" s="9" t="n">
        <x:f>SUM(SalesLines!N3831)</x:f>
        <x:v>50.800000000000004</x:v>
      </x:c>
      <x:c r="J1563" s="9" t="n">
        <x:f>SUM(SalesLines!P3831)</x:f>
        <x:v>0</x:v>
      </x:c>
      <x:c r="K1563" s="11" t="n">
        <x:f>SUM(SalesLines!R3831)</x:f>
        <x:v>1</x:v>
      </x:c>
      <x:c r="L1563" s="11" t="n">
        <x:f>SUM(SalesLines!S3831)</x:f>
        <x:v>0</x:v>
      </x:c>
      <x:c r="M1563" s="8" t="n">
        <x:f>DATE(YEAR(C1563),MONTH(C1563),1)</x:f>
        <x:v>45717</x:v>
      </x:c>
    </x:row>
    <x:row r="1564" ht="22" customHeight="1">
      <x:c r="A1564" s="2" t="str">
        <x:v>O01560</x:v>
      </x:c>
      <x:c r="B1564" s="2" t="str">
        <x:v>C0294</x:v>
      </x:c>
      <x:c r="C1564" s="7" t="n">
        <x:v>45972</x:v>
      </x:c>
      <x:c r="D1564" s="2" t="str">
        <x:v>Completed</x:v>
      </x:c>
      <x:c r="E1564" s="2" t="str">
        <x:v>South</x:v>
      </x:c>
      <x:c r="F1564" s="2" t="str">
        <x:v>Online</x:v>
      </x:c>
      <x:c r="G1564" s="9" t="n">
        <x:f>SUM(SalesLines!Q3832,SalesLines!Q3833,SalesLines!Q3834)</x:f>
        <x:v>2098.2</x:v>
      </x:c>
      <x:c r="H1564" s="9" t="n">
        <x:f>SUM(SalesLines!M3832,SalesLines!M3833,SalesLines!M3834)</x:f>
        <x:v>2454</x:v>
      </x:c>
      <x:c r="I1564" s="9" t="n">
        <x:f>SUM(SalesLines!N3832,SalesLines!N3833,SalesLines!N3834)</x:f>
        <x:v>355.8</x:v>
      </x:c>
      <x:c r="J1564" s="9" t="n">
        <x:f>SUM(SalesLines!P3832,SalesLines!P3833,SalesLines!P3834)</x:f>
        <x:v>0</x:v>
      </x:c>
      <x:c r="K1564" s="11" t="n">
        <x:f>SUM(SalesLines!R3832,SalesLines!R3833,SalesLines!R3834)</x:f>
        <x:v>9</x:v>
      </x:c>
      <x:c r="L1564" s="11" t="n">
        <x:f>SUM(SalesLines!S3832,SalesLines!S3833,SalesLines!S3834)</x:f>
        <x:v>0</x:v>
      </x:c>
      <x:c r="M1564" s="8" t="n">
        <x:f>DATE(YEAR(C1564),MONTH(C1564),1)</x:f>
        <x:v>45962</x:v>
      </x:c>
    </x:row>
    <x:row r="1565" ht="22" customHeight="1">
      <x:c r="A1565" s="2" t="str">
        <x:v>O01561</x:v>
      </x:c>
      <x:c r="B1565" s="2" t="str">
        <x:v>C0047</x:v>
      </x:c>
      <x:c r="C1565" s="7" t="n">
        <x:v>45768</x:v>
      </x:c>
      <x:c r="D1565" s="2" t="str">
        <x:v>Completed</x:v>
      </x:c>
      <x:c r="E1565" s="2" t="str">
        <x:v>West</x:v>
      </x:c>
      <x:c r="F1565" s="2" t="str">
        <x:v>Store</x:v>
      </x:c>
      <x:c r="G1565" s="9" t="n">
        <x:f>SUM(SalesLines!Q3835,SalesLines!Q3836)</x:f>
        <x:v>1634</x:v>
      </x:c>
      <x:c r="H1565" s="9" t="n">
        <x:f>SUM(SalesLines!M3835,SalesLines!M3836)</x:f>
        <x:v>1936</x:v>
      </x:c>
      <x:c r="I1565" s="9" t="n">
        <x:f>SUM(SalesLines!N3835,SalesLines!N3836)</x:f>
        <x:v>302</x:v>
      </x:c>
      <x:c r="J1565" s="9" t="n">
        <x:f>SUM(SalesLines!P3835,SalesLines!P3836)</x:f>
        <x:v>0</x:v>
      </x:c>
      <x:c r="K1565" s="11" t="n">
        <x:f>SUM(SalesLines!R3835,SalesLines!R3836)</x:f>
        <x:v>7</x:v>
      </x:c>
      <x:c r="L1565" s="11" t="n">
        <x:f>SUM(SalesLines!S3835,SalesLines!S3836)</x:f>
        <x:v>0</x:v>
      </x:c>
      <x:c r="M1565" s="8" t="n">
        <x:f>DATE(YEAR(C1565),MONTH(C1565),1)</x:f>
        <x:v>45748</x:v>
      </x:c>
    </x:row>
    <x:row r="1566" ht="22" customHeight="1">
      <x:c r="A1566" s="2" t="str">
        <x:v>O01562</x:v>
      </x:c>
      <x:c r="B1566" s="2" t="str">
        <x:v>C0294</x:v>
      </x:c>
      <x:c r="C1566" s="7" t="n">
        <x:v>45768</x:v>
      </x:c>
      <x:c r="D1566" s="2" t="str">
        <x:v>Completed</x:v>
      </x:c>
      <x:c r="E1566" s="2" t="str">
        <x:v>South</x:v>
      </x:c>
      <x:c r="F1566" s="2" t="str">
        <x:v>Store</x:v>
      </x:c>
      <x:c r="G1566" s="9" t="n">
        <x:f>SUM(SalesLines!Q3837)</x:f>
        <x:v>1143</x:v>
      </x:c>
      <x:c r="H1566" s="9" t="n">
        <x:f>SUM(SalesLines!M3837)</x:f>
        <x:v>1270</x:v>
      </x:c>
      <x:c r="I1566" s="9" t="n">
        <x:f>SUM(SalesLines!N3837)</x:f>
        <x:v>127</x:v>
      </x:c>
      <x:c r="J1566" s="9" t="n">
        <x:f>SUM(SalesLines!P3837)</x:f>
        <x:v>0</x:v>
      </x:c>
      <x:c r="K1566" s="11" t="n">
        <x:f>SUM(SalesLines!R3837)</x:f>
        <x:v>5</x:v>
      </x:c>
      <x:c r="L1566" s="11" t="n">
        <x:f>SUM(SalesLines!S3837)</x:f>
        <x:v>0</x:v>
      </x:c>
      <x:c r="M1566" s="8" t="n">
        <x:f>DATE(YEAR(C1566),MONTH(C1566),1)</x:f>
        <x:v>45748</x:v>
      </x:c>
    </x:row>
    <x:row r="1567" ht="22" customHeight="1">
      <x:c r="A1567" s="2" t="str">
        <x:v>O01563</x:v>
      </x:c>
      <x:c r="B1567" s="2" t="str">
        <x:v>C0130</x:v>
      </x:c>
      <x:c r="C1567" s="7" t="n">
        <x:v>45728</x:v>
      </x:c>
      <x:c r="D1567" s="2" t="str">
        <x:v>Completed</x:v>
      </x:c>
      <x:c r="E1567" s="2" t="str">
        <x:v>West</x:v>
      </x:c>
      <x:c r="F1567" s="2" t="str">
        <x:v>Store</x:v>
      </x:c>
      <x:c r="G1567" s="9" t="n">
        <x:f>SUM(SalesLines!Q3838,SalesLines!Q3839)</x:f>
        <x:v>2050.5</x:v>
      </x:c>
      <x:c r="H1567" s="9" t="n">
        <x:f>SUM(SalesLines!M3838,SalesLines!M3839)</x:f>
        <x:v>2145</x:v>
      </x:c>
      <x:c r="I1567" s="9" t="n">
        <x:f>SUM(SalesLines!N3838,SalesLines!N3839)</x:f>
        <x:v>94.5</x:v>
      </x:c>
      <x:c r="J1567" s="9" t="n">
        <x:f>SUM(SalesLines!P3838,SalesLines!P3839)</x:f>
        <x:v>0</x:v>
      </x:c>
      <x:c r="K1567" s="11" t="n">
        <x:f>SUM(SalesLines!R3838,SalesLines!R3839)</x:f>
        <x:v>9</x:v>
      </x:c>
      <x:c r="L1567" s="11" t="n">
        <x:f>SUM(SalesLines!S3838,SalesLines!S3839)</x:f>
        <x:v>0</x:v>
      </x:c>
      <x:c r="M1567" s="8" t="n">
        <x:f>DATE(YEAR(C1567),MONTH(C1567),1)</x:f>
        <x:v>45717</x:v>
      </x:c>
    </x:row>
    <x:row r="1568" ht="22" customHeight="1">
      <x:c r="A1568" s="2" t="str">
        <x:v>O01564</x:v>
      </x:c>
      <x:c r="B1568" s="2" t="str">
        <x:v>C0291</x:v>
      </x:c>
      <x:c r="C1568" s="7" t="n">
        <x:v>45815</x:v>
      </x:c>
      <x:c r="D1568" s="2" t="str">
        <x:v>Completed</x:v>
      </x:c>
      <x:c r="E1568" s="2" t="str">
        <x:v>North</x:v>
      </x:c>
      <x:c r="F1568" s="2" t="str">
        <x:v>Store</x:v>
      </x:c>
      <x:c r="G1568" s="9" t="n">
        <x:f>SUM(SalesLines!Q3840,SalesLines!Q3841,SalesLines!Q3842,SalesLines!Q3843)</x:f>
        <x:v>2276.1000000000004</x:v>
      </x:c>
      <x:c r="H1568" s="9" t="n">
        <x:f>SUM(SalesLines!M3840,SalesLines!M3841,SalesLines!M3842,SalesLines!M3843)</x:f>
        <x:v>2728</x:v>
      </x:c>
      <x:c r="I1568" s="9" t="n">
        <x:f>SUM(SalesLines!N3840,SalesLines!N3841,SalesLines!N3842,SalesLines!N3843)</x:f>
        <x:v>252.90000000000003</x:v>
      </x:c>
      <x:c r="J1568" s="9" t="n">
        <x:f>SUM(SalesLines!P3840,SalesLines!P3841,SalesLines!P3842,SalesLines!P3843)</x:f>
        <x:v>199</x:v>
      </x:c>
      <x:c r="K1568" s="11" t="n">
        <x:f>SUM(SalesLines!R3840,SalesLines!R3841,SalesLines!R3842,SalesLines!R3843)</x:f>
        <x:v>12</x:v>
      </x:c>
      <x:c r="L1568" s="11" t="n">
        <x:f>SUM(SalesLines!S3840,SalesLines!S3841,SalesLines!S3842,SalesLines!S3843)</x:f>
        <x:v>1</x:v>
      </x:c>
      <x:c r="M1568" s="8" t="n">
        <x:f>DATE(YEAR(C1568),MONTH(C1568),1)</x:f>
        <x:v>45809</x:v>
      </x:c>
    </x:row>
    <x:row r="1569" ht="22" customHeight="1">
      <x:c r="A1569" s="2" t="str">
        <x:v>O01565</x:v>
      </x:c>
      <x:c r="B1569" s="2" t="str">
        <x:v>C0192</x:v>
      </x:c>
      <x:c r="C1569" s="7" t="n">
        <x:v>45995</x:v>
      </x:c>
      <x:c r="D1569" s="2" t="str">
        <x:v>Completed</x:v>
      </x:c>
      <x:c r="E1569" s="2" t="str">
        <x:v>South</x:v>
      </x:c>
      <x:c r="F1569" s="2" t="str">
        <x:v>Store</x:v>
      </x:c>
      <x:c r="G1569" s="9" t="n">
        <x:f>SUM(SalesLines!Q3844,SalesLines!Q3845)</x:f>
        <x:v>1119</x:v>
      </x:c>
      <x:c r="H1569" s="9" t="n">
        <x:f>SUM(SalesLines!M3844,SalesLines!M3845)</x:f>
        <x:v>1356</x:v>
      </x:c>
      <x:c r="I1569" s="9" t="n">
        <x:f>SUM(SalesLines!N3844,SalesLines!N3845)</x:f>
        <x:v>49</x:v>
      </x:c>
      <x:c r="J1569" s="9" t="n">
        <x:f>SUM(SalesLines!P3844,SalesLines!P3845)</x:f>
        <x:v>188</x:v>
      </x:c>
      <x:c r="K1569" s="11" t="n">
        <x:f>SUM(SalesLines!R3844,SalesLines!R3845)</x:f>
        <x:v>7</x:v>
      </x:c>
      <x:c r="L1569" s="11" t="n">
        <x:f>SUM(SalesLines!S3844,SalesLines!S3845)</x:f>
        <x:v>1</x:v>
      </x:c>
      <x:c r="M1569" s="8" t="n">
        <x:f>DATE(YEAR(C1569),MONTH(C1569),1)</x:f>
        <x:v>45992</x:v>
      </x:c>
    </x:row>
    <x:row r="1570" ht="22" customHeight="1">
      <x:c r="A1570" s="2" t="str">
        <x:v>O01566</x:v>
      </x:c>
      <x:c r="B1570" s="2" t="str">
        <x:v>C0017</x:v>
      </x:c>
      <x:c r="C1570" s="7" t="n">
        <x:v>45839</x:v>
      </x:c>
      <x:c r="D1570" s="2" t="str">
        <x:v>Completed</x:v>
      </x:c>
      <x:c r="E1570" s="2" t="str">
        <x:v>South</x:v>
      </x:c>
      <x:c r="F1570" s="2" t="str">
        <x:v>Store</x:v>
      </x:c>
      <x:c r="G1570" s="9" t="n">
        <x:f>SUM(SalesLines!Q3846,SalesLines!Q3847,SalesLines!Q3848,SalesLines!Q3849)</x:f>
        <x:v>1106.2</x:v>
      </x:c>
      <x:c r="H1570" s="9" t="n">
        <x:f>SUM(SalesLines!M3846,SalesLines!M3847,SalesLines!M3848,SalesLines!M3849)</x:f>
        <x:v>1289</x:v>
      </x:c>
      <x:c r="I1570" s="9" t="n">
        <x:f>SUM(SalesLines!N3846,SalesLines!N3847,SalesLines!N3848,SalesLines!N3849)</x:f>
        <x:v>182.8</x:v>
      </x:c>
      <x:c r="J1570" s="9" t="n">
        <x:f>SUM(SalesLines!P3846,SalesLines!P3847,SalesLines!P3848,SalesLines!P3849)</x:f>
        <x:v>0</x:v>
      </x:c>
      <x:c r="K1570" s="11" t="n">
        <x:f>SUM(SalesLines!R3846,SalesLines!R3847,SalesLines!R3848,SalesLines!R3849)</x:f>
        <x:v>10</x:v>
      </x:c>
      <x:c r="L1570" s="11" t="n">
        <x:f>SUM(SalesLines!S3846,SalesLines!S3847,SalesLines!S3848,SalesLines!S3849)</x:f>
        <x:v>0</x:v>
      </x:c>
      <x:c r="M1570" s="8" t="n">
        <x:f>DATE(YEAR(C1570),MONTH(C1570),1)</x:f>
        <x:v>45839</x:v>
      </x:c>
    </x:row>
    <x:row r="1571" ht="22" customHeight="1">
      <x:c r="A1571" s="2" t="str">
        <x:v>O01567</x:v>
      </x:c>
      <x:c r="B1571" s="2" t="str">
        <x:v>C0102</x:v>
      </x:c>
      <x:c r="C1571" s="7" t="n">
        <x:v>45836</x:v>
      </x:c>
      <x:c r="D1571" s="2" t="str">
        <x:v>Completed</x:v>
      </x:c>
      <x:c r="E1571" s="2" t="str">
        <x:v>North</x:v>
      </x:c>
      <x:c r="F1571" s="2" t="str">
        <x:v>Store</x:v>
      </x:c>
      <x:c r="G1571" s="9" t="n">
        <x:f>SUM(SalesLines!Q3850,SalesLines!Q3851,SalesLines!Q3852,SalesLines!Q3853)</x:f>
        <x:v>1263.5</x:v>
      </x:c>
      <x:c r="H1571" s="9" t="n">
        <x:f>SUM(SalesLines!M3850,SalesLines!M3851,SalesLines!M3852,SalesLines!M3853)</x:f>
        <x:v>1473</x:v>
      </x:c>
      <x:c r="I1571" s="9" t="n">
        <x:f>SUM(SalesLines!N3850,SalesLines!N3851,SalesLines!N3852,SalesLines!N3853)</x:f>
        <x:v>209.50000000000003</x:v>
      </x:c>
      <x:c r="J1571" s="9" t="n">
        <x:f>SUM(SalesLines!P3850,SalesLines!P3851,SalesLines!P3852,SalesLines!P3853)</x:f>
        <x:v>0</x:v>
      </x:c>
      <x:c r="K1571" s="11" t="n">
        <x:f>SUM(SalesLines!R3850,SalesLines!R3851,SalesLines!R3852,SalesLines!R3853)</x:f>
        <x:v>8</x:v>
      </x:c>
      <x:c r="L1571" s="11" t="n">
        <x:f>SUM(SalesLines!S3850,SalesLines!S3851,SalesLines!S3852,SalesLines!S3853)</x:f>
        <x:v>0</x:v>
      </x:c>
      <x:c r="M1571" s="8" t="n">
        <x:f>DATE(YEAR(C1571),MONTH(C1571),1)</x:f>
        <x:v>45809</x:v>
      </x:c>
    </x:row>
    <x:row r="1572" ht="22" customHeight="1">
      <x:c r="A1572" s="2" t="str">
        <x:v>O01568</x:v>
      </x:c>
      <x:c r="B1572" s="2" t="str">
        <x:v>C0027</x:v>
      </x:c>
      <x:c r="C1572" s="7" t="n">
        <x:v>45820</x:v>
      </x:c>
      <x:c r="D1572" s="2" t="str">
        <x:v>Completed</x:v>
      </x:c>
      <x:c r="E1572" s="2" t="str">
        <x:v>North</x:v>
      </x:c>
      <x:c r="F1572" s="2" t="str">
        <x:v>Online</x:v>
      </x:c>
      <x:c r="G1572" s="9" t="n">
        <x:f>SUM(SalesLines!Q3854,SalesLines!Q3855,SalesLines!Q3856)</x:f>
        <x:v>966.8</x:v>
      </x:c>
      <x:c r="H1572" s="9" t="n">
        <x:f>SUM(SalesLines!M3854,SalesLines!M3855,SalesLines!M3856)</x:f>
        <x:v>1112</x:v>
      </x:c>
      <x:c r="I1572" s="9" t="n">
        <x:f>SUM(SalesLines!N3854,SalesLines!N3855,SalesLines!N3856)</x:f>
        <x:v>145.2</x:v>
      </x:c>
      <x:c r="J1572" s="9" t="n">
        <x:f>SUM(SalesLines!P3854,SalesLines!P3855,SalesLines!P3856)</x:f>
        <x:v>0</x:v>
      </x:c>
      <x:c r="K1572" s="11" t="n">
        <x:f>SUM(SalesLines!R3854,SalesLines!R3855,SalesLines!R3856)</x:f>
        <x:v>14</x:v>
      </x:c>
      <x:c r="L1572" s="11" t="n">
        <x:f>SUM(SalesLines!S3854,SalesLines!S3855,SalesLines!S3856)</x:f>
        <x:v>0</x:v>
      </x:c>
      <x:c r="M1572" s="8" t="n">
        <x:f>DATE(YEAR(C1572),MONTH(C1572),1)</x:f>
        <x:v>45809</x:v>
      </x:c>
    </x:row>
    <x:row r="1573" ht="22" customHeight="1">
      <x:c r="A1573" s="2" t="str">
        <x:v>O01569</x:v>
      </x:c>
      <x:c r="B1573" s="2" t="str">
        <x:v>C0119</x:v>
      </x:c>
      <x:c r="C1573" s="7" t="n">
        <x:v>45887</x:v>
      </x:c>
      <x:c r="D1573" s="2" t="str">
        <x:v>Completed</x:v>
      </x:c>
      <x:c r="E1573" s="2" t="str">
        <x:v>North</x:v>
      </x:c>
      <x:c r="F1573" s="2" t="str">
        <x:v>Online</x:v>
      </x:c>
      <x:c r="G1573" s="9" t="n">
        <x:f>SUM(SalesLines!Q3857,SalesLines!Q3858,SalesLines!Q3859,SalesLines!Q3860)</x:f>
        <x:v>1388.7</x:v>
      </x:c>
      <x:c r="H1573" s="9" t="n">
        <x:f>SUM(SalesLines!M3857,SalesLines!M3858,SalesLines!M3859,SalesLines!M3860)</x:f>
        <x:v>2187</x:v>
      </x:c>
      <x:c r="I1573" s="9" t="n">
        <x:f>SUM(SalesLines!N3857,SalesLines!N3858,SalesLines!N3859,SalesLines!N3860)</x:f>
        <x:v>251.10000000000002</x:v>
      </x:c>
      <x:c r="J1573" s="9" t="n">
        <x:f>SUM(SalesLines!P3857,SalesLines!P3858,SalesLines!P3859,SalesLines!P3860)</x:f>
        <x:v>547.1999999999999</x:v>
      </x:c>
      <x:c r="K1573" s="11" t="n">
        <x:f>SUM(SalesLines!R3857,SalesLines!R3858,SalesLines!R3859,SalesLines!R3860)</x:f>
        <x:v>11</x:v>
      </x:c>
      <x:c r="L1573" s="11" t="n">
        <x:f>SUM(SalesLines!S3857,SalesLines!S3858,SalesLines!S3859,SalesLines!S3860)</x:f>
        <x:v>3</x:v>
      </x:c>
      <x:c r="M1573" s="8" t="n">
        <x:f>DATE(YEAR(C1573),MONTH(C1573),1)</x:f>
        <x:v>45870</x:v>
      </x:c>
    </x:row>
    <x:row r="1574" ht="22" customHeight="1">
      <x:c r="A1574" s="2" t="str">
        <x:v>O01570</x:v>
      </x:c>
      <x:c r="B1574" s="2" t="str">
        <x:v>C0146</x:v>
      </x:c>
      <x:c r="C1574" s="7" t="n">
        <x:v>45853</x:v>
      </x:c>
      <x:c r="D1574" s="2" t="str">
        <x:v>Completed</x:v>
      </x:c>
      <x:c r="E1574" s="2" t="str">
        <x:v>South</x:v>
      </x:c>
      <x:c r="F1574" s="2" t="str">
        <x:v>Store</x:v>
      </x:c>
      <x:c r="G1574" s="9" t="n">
        <x:f>SUM(SalesLines!Q3861,SalesLines!Q3862,SalesLines!Q3863,SalesLines!Q3864)</x:f>
        <x:v>2340.8999999999996</x:v>
      </x:c>
      <x:c r="H1574" s="9" t="n">
        <x:f>SUM(SalesLines!M3861,SalesLines!M3862,SalesLines!M3863,SalesLines!M3864)</x:f>
        <x:v>2574</x:v>
      </x:c>
      <x:c r="I1574" s="9" t="n">
        <x:f>SUM(SalesLines!N3861,SalesLines!N3862,SalesLines!N3863,SalesLines!N3864)</x:f>
        <x:v>233.10000000000002</x:v>
      </x:c>
      <x:c r="J1574" s="9" t="n">
        <x:f>SUM(SalesLines!P3861,SalesLines!P3862,SalesLines!P3863,SalesLines!P3864)</x:f>
        <x:v>0</x:v>
      </x:c>
      <x:c r="K1574" s="11" t="n">
        <x:f>SUM(SalesLines!R3861,SalesLines!R3862,SalesLines!R3863,SalesLines!R3864)</x:f>
        <x:v>12</x:v>
      </x:c>
      <x:c r="L1574" s="11" t="n">
        <x:f>SUM(SalesLines!S3861,SalesLines!S3862,SalesLines!S3863,SalesLines!S3864)</x:f>
        <x:v>0</x:v>
      </x:c>
      <x:c r="M1574" s="8" t="n">
        <x:f>DATE(YEAR(C1574),MONTH(C1574),1)</x:f>
        <x:v>45839</x:v>
      </x:c>
    </x:row>
    <x:row r="1575" ht="22" customHeight="1">
      <x:c r="A1575" s="2" t="str">
        <x:v>O01571</x:v>
      </x:c>
      <x:c r="B1575" s="2" t="str">
        <x:v>C0092</x:v>
      </x:c>
      <x:c r="C1575" s="7" t="n">
        <x:v>46021</x:v>
      </x:c>
      <x:c r="D1575" s="2" t="str">
        <x:v>Completed</x:v>
      </x:c>
      <x:c r="E1575" s="2" t="str">
        <x:v>East</x:v>
      </x:c>
      <x:c r="F1575" s="2" t="str">
        <x:v>Online</x:v>
      </x:c>
      <x:c r="G1575" s="9" t="n">
        <x:f>SUM(SalesLines!Q3865,SalesLines!Q3866,SalesLines!Q3867)</x:f>
        <x:v>680</x:v>
      </x:c>
      <x:c r="H1575" s="9" t="n">
        <x:f>SUM(SalesLines!M3865,SalesLines!M3866,SalesLines!M3867)</x:f>
        <x:v>758</x:v>
      </x:c>
      <x:c r="I1575" s="9" t="n">
        <x:f>SUM(SalesLines!N3865,SalesLines!N3866,SalesLines!N3867)</x:f>
        <x:v>78</x:v>
      </x:c>
      <x:c r="J1575" s="9" t="n">
        <x:f>SUM(SalesLines!P3865,SalesLines!P3866,SalesLines!P3867)</x:f>
        <x:v>0</x:v>
      </x:c>
      <x:c r="K1575" s="11" t="n">
        <x:f>SUM(SalesLines!R3865,SalesLines!R3866,SalesLines!R3867)</x:f>
        <x:v>8</x:v>
      </x:c>
      <x:c r="L1575" s="11" t="n">
        <x:f>SUM(SalesLines!S3865,SalesLines!S3866,SalesLines!S3867)</x:f>
        <x:v>0</x:v>
      </x:c>
      <x:c r="M1575" s="8" t="n">
        <x:f>DATE(YEAR(C1575),MONTH(C1575),1)</x:f>
        <x:v>45992</x:v>
      </x:c>
    </x:row>
    <x:row r="1576" ht="22" customHeight="1">
      <x:c r="A1576" s="2" t="str">
        <x:v>O01572</x:v>
      </x:c>
      <x:c r="B1576" s="2" t="str">
        <x:v>C0079</x:v>
      </x:c>
      <x:c r="C1576" s="7" t="n">
        <x:v>45976</x:v>
      </x:c>
      <x:c r="D1576" s="2" t="str">
        <x:v>Completed</x:v>
      </x:c>
      <x:c r="E1576" s="2" t="str">
        <x:v>West</x:v>
      </x:c>
      <x:c r="F1576" s="2" t="str">
        <x:v>Store</x:v>
      </x:c>
      <x:c r="G1576" s="9" t="n">
        <x:f>SUM(SalesLines!Q3868,SalesLines!Q3869,SalesLines!Q3870)</x:f>
        <x:v>1836.7</x:v>
      </x:c>
      <x:c r="H1576" s="9" t="n">
        <x:f>SUM(SalesLines!M3868,SalesLines!M3869,SalesLines!M3870)</x:f>
        <x:v>2034</x:v>
      </x:c>
      <x:c r="I1576" s="9" t="n">
        <x:f>SUM(SalesLines!N3868,SalesLines!N3869,SalesLines!N3870)</x:f>
        <x:v>197.3</x:v>
      </x:c>
      <x:c r="J1576" s="9" t="n">
        <x:f>SUM(SalesLines!P3868,SalesLines!P3869,SalesLines!P3870)</x:f>
        <x:v>0</x:v>
      </x:c>
      <x:c r="K1576" s="11" t="n">
        <x:f>SUM(SalesLines!R3868,SalesLines!R3869,SalesLines!R3870)</x:f>
        <x:v>10</x:v>
      </x:c>
      <x:c r="L1576" s="11" t="n">
        <x:f>SUM(SalesLines!S3868,SalesLines!S3869,SalesLines!S3870)</x:f>
        <x:v>0</x:v>
      </x:c>
      <x:c r="M1576" s="8" t="n">
        <x:f>DATE(YEAR(C1576),MONTH(C1576),1)</x:f>
        <x:v>45962</x:v>
      </x:c>
    </x:row>
    <x:row r="1577" ht="22" customHeight="1">
      <x:c r="A1577" s="2" t="str">
        <x:v>O01573</x:v>
      </x:c>
      <x:c r="B1577" s="2" t="str">
        <x:v>C0268</x:v>
      </x:c>
      <x:c r="C1577" s="7" t="n">
        <x:v>45962</x:v>
      </x:c>
      <x:c r="D1577" s="2" t="str">
        <x:v>Completed</x:v>
      </x:c>
      <x:c r="E1577" s="2" t="str">
        <x:v>North</x:v>
      </x:c>
      <x:c r="F1577" s="2" t="str">
        <x:v>Online</x:v>
      </x:c>
      <x:c r="G1577" s="9" t="n">
        <x:f>SUM(SalesLines!Q3871,SalesLines!Q3872,SalesLines!Q3873)</x:f>
        <x:v>1152.1</x:v>
      </x:c>
      <x:c r="H1577" s="9" t="n">
        <x:f>SUM(SalesLines!M3871,SalesLines!M3872,SalesLines!M3873)</x:f>
        <x:v>1254</x:v>
      </x:c>
      <x:c r="I1577" s="9" t="n">
        <x:f>SUM(SalesLines!N3871,SalesLines!N3872,SalesLines!N3873)</x:f>
        <x:v>101.9</x:v>
      </x:c>
      <x:c r="J1577" s="9" t="n">
        <x:f>SUM(SalesLines!P3871,SalesLines!P3872,SalesLines!P3873)</x:f>
        <x:v>0</x:v>
      </x:c>
      <x:c r="K1577" s="11" t="n">
        <x:f>SUM(SalesLines!R3871,SalesLines!R3872,SalesLines!R3873)</x:f>
        <x:v>10</x:v>
      </x:c>
      <x:c r="L1577" s="11" t="n">
        <x:f>SUM(SalesLines!S3871,SalesLines!S3872,SalesLines!S3873)</x:f>
        <x:v>0</x:v>
      </x:c>
      <x:c r="M1577" s="8" t="n">
        <x:f>DATE(YEAR(C1577),MONTH(C1577),1)</x:f>
        <x:v>45962</x:v>
      </x:c>
    </x:row>
    <x:row r="1578" ht="22" customHeight="1">
      <x:c r="A1578" s="2" t="str">
        <x:v>O01574</x:v>
      </x:c>
      <x:c r="B1578" s="2" t="str">
        <x:v>C0294</x:v>
      </x:c>
      <x:c r="C1578" s="7" t="n">
        <x:v>45985</x:v>
      </x:c>
      <x:c r="D1578" s="2" t="str">
        <x:v>Completed</x:v>
      </x:c>
      <x:c r="E1578" s="2" t="str">
        <x:v>South</x:v>
      </x:c>
      <x:c r="F1578" s="2" t="str">
        <x:v>Online</x:v>
      </x:c>
      <x:c r="G1578" s="9" t="n">
        <x:f>SUM(SalesLines!Q3874,SalesLines!Q3875,SalesLines!Q3876,SalesLines!Q3877)</x:f>
        <x:v>1495.5</x:v>
      </x:c>
      <x:c r="H1578" s="9" t="n">
        <x:f>SUM(SalesLines!M3874,SalesLines!M3875,SalesLines!M3876,SalesLines!M3877)</x:f>
        <x:v>1794</x:v>
      </x:c>
      <x:c r="I1578" s="9" t="n">
        <x:f>SUM(SalesLines!N3874,SalesLines!N3875,SalesLines!N3876,SalesLines!N3877)</x:f>
        <x:v>298.5</x:v>
      </x:c>
      <x:c r="J1578" s="9" t="n">
        <x:f>SUM(SalesLines!P3874,SalesLines!P3875,SalesLines!P3876,SalesLines!P3877)</x:f>
        <x:v>0</x:v>
      </x:c>
      <x:c r="K1578" s="11" t="n">
        <x:f>SUM(SalesLines!R3874,SalesLines!R3875,SalesLines!R3876,SalesLines!R3877)</x:f>
        <x:v>13</x:v>
      </x:c>
      <x:c r="L1578" s="11" t="n">
        <x:f>SUM(SalesLines!S3874,SalesLines!S3875,SalesLines!S3876,SalesLines!S3877)</x:f>
        <x:v>0</x:v>
      </x:c>
      <x:c r="M1578" s="8" t="n">
        <x:f>DATE(YEAR(C1578),MONTH(C1578),1)</x:f>
        <x:v>45962</x:v>
      </x:c>
    </x:row>
    <x:row r="1579" ht="22" customHeight="1">
      <x:c r="A1579" s="2" t="str">
        <x:v>O01575</x:v>
      </x:c>
      <x:c r="B1579" s="2" t="str">
        <x:v>C0215</x:v>
      </x:c>
      <x:c r="C1579" s="7" t="n">
        <x:v>45965</x:v>
      </x:c>
      <x:c r="D1579" s="2" t="str">
        <x:v>Completed</x:v>
      </x:c>
      <x:c r="E1579" s="2" t="str">
        <x:v>North</x:v>
      </x:c>
      <x:c r="F1579" s="2" t="str">
        <x:v>Store</x:v>
      </x:c>
      <x:c r="G1579" s="9" t="n">
        <x:f>SUM(SalesLines!Q3878,SalesLines!Q3879,SalesLines!Q3880)</x:f>
        <x:v>2184.05</x:v>
      </x:c>
      <x:c r="H1579" s="9" t="n">
        <x:f>SUM(SalesLines!M3878,SalesLines!M3879,SalesLines!M3880)</x:f>
        <x:v>2299</x:v>
      </x:c>
      <x:c r="I1579" s="9" t="n">
        <x:f>SUM(SalesLines!N3878,SalesLines!N3879,SalesLines!N3880)</x:f>
        <x:v>114.94999999999999</x:v>
      </x:c>
      <x:c r="J1579" s="9" t="n">
        <x:f>SUM(SalesLines!P3878,SalesLines!P3879,SalesLines!P3880)</x:f>
        <x:v>0</x:v>
      </x:c>
      <x:c r="K1579" s="11" t="n">
        <x:f>SUM(SalesLines!R3878,SalesLines!R3879,SalesLines!R3880)</x:f>
        <x:v>12</x:v>
      </x:c>
      <x:c r="L1579" s="11" t="n">
        <x:f>SUM(SalesLines!S3878,SalesLines!S3879,SalesLines!S3880)</x:f>
        <x:v>0</x:v>
      </x:c>
      <x:c r="M1579" s="8" t="n">
        <x:f>DATE(YEAR(C1579),MONTH(C1579),1)</x:f>
        <x:v>45962</x:v>
      </x:c>
    </x:row>
    <x:row r="1580" ht="22" customHeight="1">
      <x:c r="A1580" s="2" t="str">
        <x:v>O01576</x:v>
      </x:c>
      <x:c r="B1580" s="2" t="str">
        <x:v>C0232</x:v>
      </x:c>
      <x:c r="C1580" s="7" t="n">
        <x:v>45944</x:v>
      </x:c>
      <x:c r="D1580" s="2" t="str">
        <x:v>Cancelled</x:v>
      </x:c>
      <x:c r="E1580" s="2" t="str">
        <x:v>East</x:v>
      </x:c>
      <x:c r="F1580" s="2" t="str">
        <x:v>Store</x:v>
      </x:c>
      <x:c r="G1580" s="9" t="n">
        <x:f>SUM(SalesLines!Q3881,SalesLines!Q3882)</x:f>
        <x:v>0</x:v>
      </x:c>
      <x:c r="H1580" s="9" t="n">
        <x:f>SUM(SalesLines!M3881,SalesLines!M3882)</x:f>
        <x:v>0</x:v>
      </x:c>
      <x:c r="I1580" s="9" t="n">
        <x:f>SUM(SalesLines!N3881,SalesLines!N3882)</x:f>
        <x:v>0</x:v>
      </x:c>
      <x:c r="J1580" s="9" t="n">
        <x:f>SUM(SalesLines!P3881,SalesLines!P3882)</x:f>
        <x:v>0</x:v>
      </x:c>
      <x:c r="K1580" s="11" t="n">
        <x:f>SUM(SalesLines!R3881,SalesLines!R3882)</x:f>
        <x:v>0</x:v>
      </x:c>
      <x:c r="L1580" s="11" t="n">
        <x:f>SUM(SalesLines!S3881,SalesLines!S3882)</x:f>
        <x:v>0</x:v>
      </x:c>
      <x:c r="M1580" s="8" t="n">
        <x:f>DATE(YEAR(C1580),MONTH(C1580),1)</x:f>
        <x:v>45931</x:v>
      </x:c>
    </x:row>
    <x:row r="1581" ht="22" customHeight="1">
      <x:c r="A1581" s="2" t="str">
        <x:v>O01577</x:v>
      </x:c>
      <x:c r="B1581" s="2" t="str">
        <x:v>C0136</x:v>
      </x:c>
      <x:c r="C1581" s="7" t="n">
        <x:v>45888</x:v>
      </x:c>
      <x:c r="D1581" s="2" t="str">
        <x:v>Completed</x:v>
      </x:c>
      <x:c r="E1581" s="2" t="str">
        <x:v>West</x:v>
      </x:c>
      <x:c r="F1581" s="2" t="str">
        <x:v>Store</x:v>
      </x:c>
      <x:c r="G1581" s="9" t="n">
        <x:f>SUM(SalesLines!Q3883,SalesLines!Q3884,SalesLines!Q3885)</x:f>
        <x:v>957.6999999999999</x:v>
      </x:c>
      <x:c r="H1581" s="9" t="n">
        <x:f>SUM(SalesLines!M3883,SalesLines!M3884,SalesLines!M3885)</x:f>
        <x:v>1585</x:v>
      </x:c>
      <x:c r="I1581" s="9" t="n">
        <x:f>SUM(SalesLines!N3883,SalesLines!N3884,SalesLines!N3885)</x:f>
        <x:v>68.7</x:v>
      </x:c>
      <x:c r="J1581" s="9" t="n">
        <x:f>SUM(SalesLines!P3883,SalesLines!P3884,SalesLines!P3885)</x:f>
        <x:v>558.6</x:v>
      </x:c>
      <x:c r="K1581" s="11" t="n">
        <x:f>SUM(SalesLines!R3883,SalesLines!R3884,SalesLines!R3885)</x:f>
        <x:v>8</x:v>
      </x:c>
      <x:c r="L1581" s="11" t="n">
        <x:f>SUM(SalesLines!S3883,SalesLines!S3884,SalesLines!S3885)</x:f>
        <x:v>2</x:v>
      </x:c>
      <x:c r="M1581" s="8" t="n">
        <x:f>DATE(YEAR(C1581),MONTH(C1581),1)</x:f>
        <x:v>45870</x:v>
      </x:c>
    </x:row>
    <x:row r="1582" ht="22" customHeight="1">
      <x:c r="A1582" s="2" t="str">
        <x:v>O01578</x:v>
      </x:c>
      <x:c r="B1582" s="2" t="str">
        <x:v>C0047</x:v>
      </x:c>
      <x:c r="C1582" s="7" t="n">
        <x:v>45958</x:v>
      </x:c>
      <x:c r="D1582" s="2" t="str">
        <x:v>Completed</x:v>
      </x:c>
      <x:c r="E1582" s="2" t="str">
        <x:v>West</x:v>
      </x:c>
      <x:c r="F1582" s="2" t="str">
        <x:v>Online</x:v>
      </x:c>
      <x:c r="G1582" s="9" t="n">
        <x:f>SUM(SalesLines!Q3886,SalesLines!Q3887,SalesLines!Q3888,SalesLines!Q3889)</x:f>
        <x:v>1953.65</x:v>
      </x:c>
      <x:c r="H1582" s="9" t="n">
        <x:f>SUM(SalesLines!M3886,SalesLines!M3887,SalesLines!M3888,SalesLines!M3889)</x:f>
        <x:v>2825</x:v>
      </x:c>
      <x:c r="I1582" s="9" t="n">
        <x:f>SUM(SalesLines!N3886,SalesLines!N3887,SalesLines!N3888,SalesLines!N3889)</x:f>
        <x:v>213</x:v>
      </x:c>
      <x:c r="J1582" s="9" t="n">
        <x:f>SUM(SalesLines!P3886,SalesLines!P3887,SalesLines!P3888,SalesLines!P3889)</x:f>
        <x:v>658.35</x:v>
      </x:c>
      <x:c r="K1582" s="11" t="n">
        <x:f>SUM(SalesLines!R3886,SalesLines!R3887,SalesLines!R3888,SalesLines!R3889)</x:f>
        <x:v>12</x:v>
      </x:c>
      <x:c r="L1582" s="11" t="n">
        <x:f>SUM(SalesLines!S3886,SalesLines!S3887,SalesLines!S3888,SalesLines!S3889)</x:f>
        <x:v>3</x:v>
      </x:c>
      <x:c r="M1582" s="8" t="n">
        <x:f>DATE(YEAR(C1582),MONTH(C1582),1)</x:f>
        <x:v>45931</x:v>
      </x:c>
    </x:row>
    <x:row r="1583" ht="22" customHeight="1">
      <x:c r="A1583" s="2" t="str">
        <x:v>O01579</x:v>
      </x:c>
      <x:c r="B1583" s="2" t="str">
        <x:v>C0205</x:v>
      </x:c>
      <x:c r="C1583" s="7" t="n">
        <x:v>45725</x:v>
      </x:c>
      <x:c r="D1583" s="2" t="str">
        <x:v>Completed</x:v>
      </x:c>
      <x:c r="E1583" s="2" t="str">
        <x:v>West</x:v>
      </x:c>
      <x:c r="F1583" s="2" t="str">
        <x:v>Store</x:v>
      </x:c>
      <x:c r="G1583" s="9" t="n">
        <x:f>SUM(SalesLines!Q3890)</x:f>
        <x:v>0</x:v>
      </x:c>
      <x:c r="H1583" s="9" t="n">
        <x:f>SUM(SalesLines!M3890)</x:f>
        <x:v>254</x:v>
      </x:c>
      <x:c r="I1583" s="9" t="n">
        <x:f>SUM(SalesLines!N3890)</x:f>
        <x:v>25.400000000000002</x:v>
      </x:c>
      <x:c r="J1583" s="9" t="n">
        <x:f>SUM(SalesLines!P3890)</x:f>
        <x:v>228.6</x:v>
      </x:c>
      <x:c r="K1583" s="11" t="n">
        <x:f>SUM(SalesLines!R3890)</x:f>
        <x:v>1</x:v>
      </x:c>
      <x:c r="L1583" s="11" t="n">
        <x:f>SUM(SalesLines!S3890)</x:f>
        <x:v>1</x:v>
      </x:c>
      <x:c r="M1583" s="8" t="n">
        <x:f>DATE(YEAR(C1583),MONTH(C1583),1)</x:f>
        <x:v>45717</x:v>
      </x:c>
    </x:row>
    <x:row r="1584" ht="22" customHeight="1">
      <x:c r="A1584" s="2" t="str">
        <x:v>O01580</x:v>
      </x:c>
      <x:c r="B1584" s="2" t="str">
        <x:v>C0223</x:v>
      </x:c>
      <x:c r="C1584" s="7" t="n">
        <x:v>45994</x:v>
      </x:c>
      <x:c r="D1584" s="2" t="str">
        <x:v>Completed</x:v>
      </x:c>
      <x:c r="E1584" s="2" t="str">
        <x:v>East</x:v>
      </x:c>
      <x:c r="F1584" s="2" t="str">
        <x:v>Store</x:v>
      </x:c>
      <x:c r="G1584" s="9" t="n">
        <x:f>SUM(SalesLines!Q3891)</x:f>
        <x:v>176.7</x:v>
      </x:c>
      <x:c r="H1584" s="9" t="n">
        <x:f>SUM(SalesLines!M3891)</x:f>
        <x:v>186</x:v>
      </x:c>
      <x:c r="I1584" s="9" t="n">
        <x:f>SUM(SalesLines!N3891)</x:f>
        <x:v>9.3</x:v>
      </x:c>
      <x:c r="J1584" s="9" t="n">
        <x:f>SUM(SalesLines!P3891)</x:f>
        <x:v>0</x:v>
      </x:c>
      <x:c r="K1584" s="11" t="n">
        <x:f>SUM(SalesLines!R3891)</x:f>
        <x:v>2</x:v>
      </x:c>
      <x:c r="L1584" s="11" t="n">
        <x:f>SUM(SalesLines!S3891)</x:f>
        <x:v>0</x:v>
      </x:c>
      <x:c r="M1584" s="8" t="n">
        <x:f>DATE(YEAR(C1584),MONTH(C1584),1)</x:f>
        <x:v>45992</x:v>
      </x:c>
    </x:row>
    <x:row r="1585" ht="22" customHeight="1">
      <x:c r="A1585" s="2" t="str">
        <x:v>O01581</x:v>
      </x:c>
      <x:c r="B1585" s="2" t="str">
        <x:v>C0203</x:v>
      </x:c>
      <x:c r="C1585" s="7" t="n">
        <x:v>45884</x:v>
      </x:c>
      <x:c r="D1585" s="2" t="str">
        <x:v>Completed</x:v>
      </x:c>
      <x:c r="E1585" s="2" t="str">
        <x:v>South</x:v>
      </x:c>
      <x:c r="F1585" s="2" t="str">
        <x:v>Online</x:v>
      </x:c>
      <x:c r="G1585" s="9" t="n">
        <x:f>SUM(SalesLines!Q3892,SalesLines!Q3893,SalesLines!Q3894)</x:f>
        <x:v>1474.1</x:v>
      </x:c>
      <x:c r="H1585" s="9" t="n">
        <x:f>SUM(SalesLines!M3892,SalesLines!M3893,SalesLines!M3894)</x:f>
        <x:v>1531</x:v>
      </x:c>
      <x:c r="I1585" s="9" t="n">
        <x:f>SUM(SalesLines!N3892,SalesLines!N3893,SalesLines!N3894)</x:f>
        <x:v>56.900000000000006</x:v>
      </x:c>
      <x:c r="J1585" s="9" t="n">
        <x:f>SUM(SalesLines!P3892,SalesLines!P3893,SalesLines!P3894)</x:f>
        <x:v>0</x:v>
      </x:c>
      <x:c r="K1585" s="11" t="n">
        <x:f>SUM(SalesLines!R3892,SalesLines!R3893,SalesLines!R3894)</x:f>
        <x:v>10</x:v>
      </x:c>
      <x:c r="L1585" s="11" t="n">
        <x:f>SUM(SalesLines!S3892,SalesLines!S3893,SalesLines!S3894)</x:f>
        <x:v>0</x:v>
      </x:c>
      <x:c r="M1585" s="8" t="n">
        <x:f>DATE(YEAR(C1585),MONTH(C1585),1)</x:f>
        <x:v>45870</x:v>
      </x:c>
    </x:row>
    <x:row r="1586" ht="22" customHeight="1">
      <x:c r="A1586" s="2" t="str">
        <x:v>O01582</x:v>
      </x:c>
      <x:c r="B1586" s="2" t="str">
        <x:v>C0182</x:v>
      </x:c>
      <x:c r="C1586" s="7" t="n">
        <x:v>45878</x:v>
      </x:c>
      <x:c r="D1586" s="2" t="str">
        <x:v>Completed</x:v>
      </x:c>
      <x:c r="E1586" s="2" t="str">
        <x:v>West</x:v>
      </x:c>
      <x:c r="F1586" s="2" t="str">
        <x:v>Online</x:v>
      </x:c>
      <x:c r="G1586" s="9" t="n">
        <x:f>SUM(SalesLines!Q3895,SalesLines!Q3896,SalesLines!Q3897)</x:f>
        <x:v>2339.2</x:v>
      </x:c>
      <x:c r="H1586" s="9" t="n">
        <x:f>SUM(SalesLines!M3895,SalesLines!M3896,SalesLines!M3897)</x:f>
        <x:v>2585</x:v>
      </x:c>
      <x:c r="I1586" s="9" t="n">
        <x:f>SUM(SalesLines!N3895,SalesLines!N3896,SalesLines!N3897)</x:f>
        <x:v>245.8</x:v>
      </x:c>
      <x:c r="J1586" s="9" t="n">
        <x:f>SUM(SalesLines!P3895,SalesLines!P3896,SalesLines!P3897)</x:f>
        <x:v>0</x:v>
      </x:c>
      <x:c r="K1586" s="11" t="n">
        <x:f>SUM(SalesLines!R3895,SalesLines!R3896,SalesLines!R3897)</x:f>
        <x:v>10</x:v>
      </x:c>
      <x:c r="L1586" s="11" t="n">
        <x:f>SUM(SalesLines!S3895,SalesLines!S3896,SalesLines!S3897)</x:f>
        <x:v>0</x:v>
      </x:c>
      <x:c r="M1586" s="8" t="n">
        <x:f>DATE(YEAR(C1586),MONTH(C1586),1)</x:f>
        <x:v>45870</x:v>
      </x:c>
    </x:row>
    <x:row r="1587" ht="22" customHeight="1">
      <x:c r="A1587" s="2" t="str">
        <x:v>O01583</x:v>
      </x:c>
      <x:c r="B1587" s="2" t="str">
        <x:v>C0134</x:v>
      </x:c>
      <x:c r="C1587" s="7" t="n">
        <x:v>45741</x:v>
      </x:c>
      <x:c r="D1587" s="2" t="str">
        <x:v>Completed</x:v>
      </x:c>
      <x:c r="E1587" s="2" t="str">
        <x:v>North</x:v>
      </x:c>
      <x:c r="F1587" s="2" t="str">
        <x:v>Online</x:v>
      </x:c>
      <x:c r="G1587" s="9" t="n">
        <x:f>SUM(SalesLines!Q3898,SalesLines!Q3899,SalesLines!Q3900,SalesLines!Q3901)</x:f>
        <x:v>1112.1999999999998</x:v>
      </x:c>
      <x:c r="H1587" s="9" t="n">
        <x:f>SUM(SalesLines!M3898,SalesLines!M3899,SalesLines!M3900,SalesLines!M3901)</x:f>
        <x:v>1258</x:v>
      </x:c>
      <x:c r="I1587" s="9" t="n">
        <x:f>SUM(SalesLines!N3898,SalesLines!N3899,SalesLines!N3900,SalesLines!N3901)</x:f>
        <x:v>51.3</x:v>
      </x:c>
      <x:c r="J1587" s="9" t="n">
        <x:f>SUM(SalesLines!P3898,SalesLines!P3899,SalesLines!P3900,SalesLines!P3901)</x:f>
        <x:v>94.5</x:v>
      </x:c>
      <x:c r="K1587" s="11" t="n">
        <x:f>SUM(SalesLines!R3898,SalesLines!R3899,SalesLines!R3900,SalesLines!R3901)</x:f>
        <x:v>14</x:v>
      </x:c>
      <x:c r="L1587" s="11" t="n">
        <x:f>SUM(SalesLines!S3898,SalesLines!S3899,SalesLines!S3900,SalesLines!S3901)</x:f>
        <x:v>3</x:v>
      </x:c>
      <x:c r="M1587" s="8" t="n">
        <x:f>DATE(YEAR(C1587),MONTH(C1587),1)</x:f>
        <x:v>45717</x:v>
      </x:c>
    </x:row>
    <x:row r="1588" ht="22" customHeight="1">
      <x:c r="A1588" s="2" t="str">
        <x:v>O01584</x:v>
      </x:c>
      <x:c r="B1588" s="2" t="str">
        <x:v>C0240</x:v>
      </x:c>
      <x:c r="C1588" s="7" t="n">
        <x:v>45713</x:v>
      </x:c>
      <x:c r="D1588" s="2" t="str">
        <x:v>Completed</x:v>
      </x:c>
      <x:c r="E1588" s="2" t="str">
        <x:v>West</x:v>
      </x:c>
      <x:c r="F1588" s="2" t="str">
        <x:v>Online</x:v>
      </x:c>
      <x:c r="G1588" s="9" t="n">
        <x:f>SUM(SalesLines!Q3902,SalesLines!Q3903)</x:f>
        <x:v>886.9</x:v>
      </x:c>
      <x:c r="H1588" s="9" t="n">
        <x:f>SUM(SalesLines!M3902,SalesLines!M3903)</x:f>
        <x:v>914</x:v>
      </x:c>
      <x:c r="I1588" s="9" t="n">
        <x:f>SUM(SalesLines!N3902,SalesLines!N3903)</x:f>
        <x:v>27.1</x:v>
      </x:c>
      <x:c r="J1588" s="9" t="n">
        <x:f>SUM(SalesLines!P3902,SalesLines!P3903)</x:f>
        <x:v>0</x:v>
      </x:c>
      <x:c r="K1588" s="11" t="n">
        <x:f>SUM(SalesLines!R3902,SalesLines!R3903)</x:f>
        <x:v>6</x:v>
      </x:c>
      <x:c r="L1588" s="11" t="n">
        <x:f>SUM(SalesLines!S3902,SalesLines!S3903)</x:f>
        <x:v>0</x:v>
      </x:c>
      <x:c r="M1588" s="8" t="n">
        <x:f>DATE(YEAR(C1588),MONTH(C1588),1)</x:f>
        <x:v>45689</x:v>
      </x:c>
    </x:row>
    <x:row r="1589" ht="22" customHeight="1">
      <x:c r="A1589" s="2" t="str">
        <x:v>O01585</x:v>
      </x:c>
      <x:c r="B1589" s="2" t="str">
        <x:v>C0051</x:v>
      </x:c>
      <x:c r="C1589" s="7" t="n">
        <x:v>45987</x:v>
      </x:c>
      <x:c r="D1589" s="2" t="str">
        <x:v>Completed</x:v>
      </x:c>
      <x:c r="E1589" s="2" t="str">
        <x:v>West</x:v>
      </x:c>
      <x:c r="F1589" s="2" t="str">
        <x:v>Online</x:v>
      </x:c>
      <x:c r="G1589" s="9" t="n">
        <x:f>SUM(SalesLines!Q3904)</x:f>
        <x:v>249</x:v>
      </x:c>
      <x:c r="H1589" s="9" t="n">
        <x:f>SUM(SalesLines!M3904)</x:f>
        <x:v>249</x:v>
      </x:c>
      <x:c r="I1589" s="9" t="n">
        <x:f>SUM(SalesLines!N3904)</x:f>
        <x:v>0</x:v>
      </x:c>
      <x:c r="J1589" s="9" t="n">
        <x:f>SUM(SalesLines!P3904)</x:f>
        <x:v>0</x:v>
      </x:c>
      <x:c r="K1589" s="11" t="n">
        <x:f>SUM(SalesLines!R3904)</x:f>
        <x:v>1</x:v>
      </x:c>
      <x:c r="L1589" s="11" t="n">
        <x:f>SUM(SalesLines!S3904)</x:f>
        <x:v>0</x:v>
      </x:c>
      <x:c r="M1589" s="8" t="n">
        <x:f>DATE(YEAR(C1589),MONTH(C1589),1)</x:f>
        <x:v>45962</x:v>
      </x:c>
    </x:row>
    <x:row r="1590" ht="22" customHeight="1">
      <x:c r="A1590" s="2" t="str">
        <x:v>O01586</x:v>
      </x:c>
      <x:c r="B1590" s="2" t="str">
        <x:v>C0267</x:v>
      </x:c>
      <x:c r="C1590" s="7" t="n">
        <x:v>45952</x:v>
      </x:c>
      <x:c r="D1590" s="2" t="str">
        <x:v>Completed</x:v>
      </x:c>
      <x:c r="E1590" s="2" t="str">
        <x:v>West</x:v>
      </x:c>
      <x:c r="F1590" s="2" t="str">
        <x:v>Store</x:v>
      </x:c>
      <x:c r="G1590" s="9" t="n">
        <x:f>SUM(SalesLines!Q3905,SalesLines!Q3906,SalesLines!Q3907,SalesLines!Q3908)</x:f>
        <x:v>2094.1</x:v>
      </x:c>
      <x:c r="H1590" s="9" t="n">
        <x:f>SUM(SalesLines!M3905,SalesLines!M3906,SalesLines!M3907,SalesLines!M3908)</x:f>
        <x:v>2344</x:v>
      </x:c>
      <x:c r="I1590" s="9" t="n">
        <x:f>SUM(SalesLines!N3905,SalesLines!N3906,SalesLines!N3907,SalesLines!N3908)</x:f>
        <x:v>249.9</x:v>
      </x:c>
      <x:c r="J1590" s="9" t="n">
        <x:f>SUM(SalesLines!P3905,SalesLines!P3906,SalesLines!P3907,SalesLines!P3908)</x:f>
        <x:v>0</x:v>
      </x:c>
      <x:c r="K1590" s="11" t="n">
        <x:f>SUM(SalesLines!R3905,SalesLines!R3906,SalesLines!R3907,SalesLines!R3908)</x:f>
        <x:v>13</x:v>
      </x:c>
      <x:c r="L1590" s="11" t="n">
        <x:f>SUM(SalesLines!S3905,SalesLines!S3906,SalesLines!S3907,SalesLines!S3908)</x:f>
        <x:v>0</x:v>
      </x:c>
      <x:c r="M1590" s="8" t="n">
        <x:f>DATE(YEAR(C1590),MONTH(C1590),1)</x:f>
        <x:v>45931</x:v>
      </x:c>
    </x:row>
    <x:row r="1591" ht="22" customHeight="1">
      <x:c r="A1591" s="2" t="str">
        <x:v>O01587</x:v>
      </x:c>
      <x:c r="B1591" s="2" t="str">
        <x:v>C0141</x:v>
      </x:c>
      <x:c r="C1591" s="7" t="n">
        <x:v>45772</x:v>
      </x:c>
      <x:c r="D1591" s="2" t="str">
        <x:v>Completed</x:v>
      </x:c>
      <x:c r="E1591" s="2" t="str">
        <x:v>East</x:v>
      </x:c>
      <x:c r="F1591" s="2" t="str">
        <x:v>Store</x:v>
      </x:c>
      <x:c r="G1591" s="9" t="n">
        <x:f>SUM(SalesLines!Q3909,SalesLines!Q3910)</x:f>
        <x:v>1076</x:v>
      </x:c>
      <x:c r="H1591" s="9" t="n">
        <x:f>SUM(SalesLines!M3909,SalesLines!M3910)</x:f>
        <x:v>1415</x:v>
      </x:c>
      <x:c r="I1591" s="9" t="n">
        <x:f>SUM(SalesLines!N3909,SalesLines!N3910)</x:f>
        <x:v>269</x:v>
      </x:c>
      <x:c r="J1591" s="9" t="n">
        <x:f>SUM(SalesLines!P3909,SalesLines!P3910)</x:f>
        <x:v>70</x:v>
      </x:c>
      <x:c r="K1591" s="11" t="n">
        <x:f>SUM(SalesLines!R3909,SalesLines!R3910)</x:f>
        <x:v>7</x:v>
      </x:c>
      <x:c r="L1591" s="11" t="n">
        <x:f>SUM(SalesLines!S3909,SalesLines!S3910)</x:f>
        <x:v>2</x:v>
      </x:c>
      <x:c r="M1591" s="8" t="n">
        <x:f>DATE(YEAR(C1591),MONTH(C1591),1)</x:f>
        <x:v>45748</x:v>
      </x:c>
    </x:row>
    <x:row r="1592" ht="22" customHeight="1">
      <x:c r="A1592" s="2" t="str">
        <x:v>O01588</x:v>
      </x:c>
      <x:c r="B1592" s="2" t="str">
        <x:v>C0227</x:v>
      </x:c>
      <x:c r="C1592" s="7" t="n">
        <x:v>45706</x:v>
      </x:c>
      <x:c r="D1592" s="2" t="str">
        <x:v>Completed</x:v>
      </x:c>
      <x:c r="E1592" s="2" t="str">
        <x:v>East</x:v>
      </x:c>
      <x:c r="F1592" s="2" t="str">
        <x:v>Store</x:v>
      </x:c>
      <x:c r="G1592" s="9" t="n">
        <x:f>SUM(SalesLines!Q3911,SalesLines!Q3912,SalesLines!Q3913)</x:f>
        <x:v>2377.2</x:v>
      </x:c>
      <x:c r="H1592" s="9" t="n">
        <x:f>SUM(SalesLines!M3911,SalesLines!M3912,SalesLines!M3913)</x:f>
        <x:v>3293</x:v>
      </x:c>
      <x:c r="I1592" s="9" t="n">
        <x:f>SUM(SalesLines!N3911,SalesLines!N3912,SalesLines!N3913)</x:f>
        <x:v>482.20000000000005</x:v>
      </x:c>
      <x:c r="J1592" s="9" t="n">
        <x:f>SUM(SalesLines!P3911,SalesLines!P3912,SalesLines!P3913)</x:f>
        <x:v>433.6</x:v>
      </x:c>
      <x:c r="K1592" s="11" t="n">
        <x:f>SUM(SalesLines!R3911,SalesLines!R3912,SalesLines!R3913)</x:f>
        <x:v>12</x:v>
      </x:c>
      <x:c r="L1592" s="11" t="n">
        <x:f>SUM(SalesLines!S3911,SalesLines!S3912,SalesLines!S3913)</x:f>
        <x:v>2</x:v>
      </x:c>
      <x:c r="M1592" s="8" t="n">
        <x:f>DATE(YEAR(C1592),MONTH(C1592),1)</x:f>
        <x:v>45689</x:v>
      </x:c>
    </x:row>
    <x:row r="1593" ht="22" customHeight="1">
      <x:c r="A1593" s="2" t="str">
        <x:v>O01589</x:v>
      </x:c>
      <x:c r="B1593" s="2" t="str">
        <x:v>C0026</x:v>
      </x:c>
      <x:c r="C1593" s="7" t="n">
        <x:v>45884</x:v>
      </x:c>
      <x:c r="D1593" s="2" t="str">
        <x:v>Completed</x:v>
      </x:c>
      <x:c r="E1593" s="2" t="str">
        <x:v>South</x:v>
      </x:c>
      <x:c r="F1593" s="2" t="str">
        <x:v>Online</x:v>
      </x:c>
      <x:c r="G1593" s="9" t="n">
        <x:f>SUM(SalesLines!Q3914,SalesLines!Q3915)</x:f>
        <x:v>1762.65</x:v>
      </x:c>
      <x:c r="H1593" s="9" t="n">
        <x:f>SUM(SalesLines!M3914,SalesLines!M3915)</x:f>
        <x:v>1803</x:v>
      </x:c>
      <x:c r="I1593" s="9" t="n">
        <x:f>SUM(SalesLines!N3914,SalesLines!N3915)</x:f>
        <x:v>40.35</x:v>
      </x:c>
      <x:c r="J1593" s="9" t="n">
        <x:f>SUM(SalesLines!P3914,SalesLines!P3915)</x:f>
        <x:v>0</x:v>
      </x:c>
      <x:c r="K1593" s="11" t="n">
        <x:f>SUM(SalesLines!R3914,SalesLines!R3915)</x:f>
        <x:v>7</x:v>
      </x:c>
      <x:c r="L1593" s="11" t="n">
        <x:f>SUM(SalesLines!S3914,SalesLines!S3915)</x:f>
        <x:v>0</x:v>
      </x:c>
      <x:c r="M1593" s="8" t="n">
        <x:f>DATE(YEAR(C1593),MONTH(C1593),1)</x:f>
        <x:v>45870</x:v>
      </x:c>
    </x:row>
    <x:row r="1594" ht="22" customHeight="1">
      <x:c r="A1594" s="2" t="str">
        <x:v>O01590</x:v>
      </x:c>
      <x:c r="B1594" s="2" t="str">
        <x:v>C0019</x:v>
      </x:c>
      <x:c r="C1594" s="7" t="n">
        <x:v>45678</x:v>
      </x:c>
      <x:c r="D1594" s="2" t="str">
        <x:v>Completed</x:v>
      </x:c>
      <x:c r="E1594" s="2" t="str">
        <x:v>North</x:v>
      </x:c>
      <x:c r="F1594" s="2" t="str">
        <x:v>Store</x:v>
      </x:c>
      <x:c r="G1594" s="9" t="n">
        <x:f>SUM(SalesLines!Q3916,SalesLines!Q3917,SalesLines!Q3918,SalesLines!Q3919)</x:f>
        <x:v>1126.1999999999998</x:v>
      </x:c>
      <x:c r="H1594" s="9" t="n">
        <x:f>SUM(SalesLines!M3916,SalesLines!M3917,SalesLines!M3918,SalesLines!M3919)</x:f>
        <x:v>1478</x:v>
      </x:c>
      <x:c r="I1594" s="9" t="n">
        <x:f>SUM(SalesLines!N3916,SalesLines!N3917,SalesLines!N3918,SalesLines!N3919)</x:f>
        <x:v>152.60000000000002</x:v>
      </x:c>
      <x:c r="J1594" s="9" t="n">
        <x:f>SUM(SalesLines!P3916,SalesLines!P3917,SalesLines!P3918,SalesLines!P3919)</x:f>
        <x:v>199.20000000000002</x:v>
      </x:c>
      <x:c r="K1594" s="11" t="n">
        <x:f>SUM(SalesLines!R3916,SalesLines!R3917,SalesLines!R3918,SalesLines!R3919)</x:f>
        <x:v>6</x:v>
      </x:c>
      <x:c r="L1594" s="11" t="n">
        <x:f>SUM(SalesLines!S3916,SalesLines!S3917,SalesLines!S3918,SalesLines!S3919)</x:f>
        <x:v>1</x:v>
      </x:c>
      <x:c r="M1594" s="8" t="n">
        <x:f>DATE(YEAR(C1594),MONTH(C1594),1)</x:f>
        <x:v>45658</x:v>
      </x:c>
    </x:row>
    <x:row r="1595" ht="22" customHeight="1">
      <x:c r="A1595" s="2" t="str">
        <x:v>O01591</x:v>
      </x:c>
      <x:c r="B1595" s="2" t="str">
        <x:v>C0131</x:v>
      </x:c>
      <x:c r="C1595" s="7" t="n">
        <x:v>45856</x:v>
      </x:c>
      <x:c r="D1595" s="2" t="str">
        <x:v>Completed</x:v>
      </x:c>
      <x:c r="E1595" s="2" t="str">
        <x:v>West</x:v>
      </x:c>
      <x:c r="F1595" s="2" t="str">
        <x:v>Online</x:v>
      </x:c>
      <x:c r="G1595" s="9" t="n">
        <x:f>SUM(SalesLines!Q3920,SalesLines!Q3921,SalesLines!Q3922)</x:f>
        <x:v>1183</x:v>
      </x:c>
      <x:c r="H1595" s="9" t="n">
        <x:f>SUM(SalesLines!M3920,SalesLines!M3921,SalesLines!M3922)</x:f>
        <x:v>1420</x:v>
      </x:c>
      <x:c r="I1595" s="9" t="n">
        <x:f>SUM(SalesLines!N3920,SalesLines!N3921,SalesLines!N3922)</x:f>
        <x:v>237.00000000000003</x:v>
      </x:c>
      <x:c r="J1595" s="9" t="n">
        <x:f>SUM(SalesLines!P3920,SalesLines!P3921,SalesLines!P3922)</x:f>
        <x:v>0</x:v>
      </x:c>
      <x:c r="K1595" s="11" t="n">
        <x:f>SUM(SalesLines!R3920,SalesLines!R3921,SalesLines!R3922)</x:f>
        <x:v>7</x:v>
      </x:c>
      <x:c r="L1595" s="11" t="n">
        <x:f>SUM(SalesLines!S3920,SalesLines!S3921,SalesLines!S3922)</x:f>
        <x:v>0</x:v>
      </x:c>
      <x:c r="M1595" s="8" t="n">
        <x:f>DATE(YEAR(C1595),MONTH(C1595),1)</x:f>
        <x:v>45839</x:v>
      </x:c>
    </x:row>
    <x:row r="1596" ht="22" customHeight="1">
      <x:c r="A1596" s="2" t="str">
        <x:v>O01592</x:v>
      </x:c>
      <x:c r="B1596" s="2" t="str">
        <x:v>C0212</x:v>
      </x:c>
      <x:c r="C1596" s="7" t="n">
        <x:v>45883</x:v>
      </x:c>
      <x:c r="D1596" s="2" t="str">
        <x:v>Completed</x:v>
      </x:c>
      <x:c r="E1596" s="2" t="str">
        <x:v>East</x:v>
      </x:c>
      <x:c r="F1596" s="2" t="str">
        <x:v>Store</x:v>
      </x:c>
      <x:c r="G1596" s="9" t="n">
        <x:f>SUM(SalesLines!Q3923)</x:f>
        <x:v>347.7</x:v>
      </x:c>
      <x:c r="H1596" s="9" t="n">
        <x:f>SUM(SalesLines!M3923)</x:f>
        <x:v>366</x:v>
      </x:c>
      <x:c r="I1596" s="9" t="n">
        <x:f>SUM(SalesLines!N3923)</x:f>
        <x:v>18.3</x:v>
      </x:c>
      <x:c r="J1596" s="9" t="n">
        <x:f>SUM(SalesLines!P3923)</x:f>
        <x:v>0</x:v>
      </x:c>
      <x:c r="K1596" s="11" t="n">
        <x:f>SUM(SalesLines!R3923)</x:f>
        <x:v>3</x:v>
      </x:c>
      <x:c r="L1596" s="11" t="n">
        <x:f>SUM(SalesLines!S3923)</x:f>
        <x:v>0</x:v>
      </x:c>
      <x:c r="M1596" s="8" t="n">
        <x:f>DATE(YEAR(C1596),MONTH(C1596),1)</x:f>
        <x:v>45870</x:v>
      </x:c>
    </x:row>
    <x:row r="1597" ht="22" customHeight="1">
      <x:c r="A1597" s="2" t="str">
        <x:v>O01593</x:v>
      </x:c>
      <x:c r="B1597" s="2" t="str">
        <x:v>C0105</x:v>
      </x:c>
      <x:c r="C1597" s="7" t="n">
        <x:v>45803</x:v>
      </x:c>
      <x:c r="D1597" s="2" t="str">
        <x:v>Cancelled</x:v>
      </x:c>
      <x:c r="E1597" s="2" t="str">
        <x:v>South</x:v>
      </x:c>
      <x:c r="F1597" s="2" t="str">
        <x:v>Store</x:v>
      </x:c>
      <x:c r="G1597" s="9" t="n">
        <x:f>SUM(SalesLines!Q3924,SalesLines!Q3925,SalesLines!Q3926,SalesLines!Q3927)</x:f>
        <x:v>0</x:v>
      </x:c>
      <x:c r="H1597" s="9" t="n">
        <x:f>SUM(SalesLines!M3924,SalesLines!M3925,SalesLines!M3926,SalesLines!M3927)</x:f>
        <x:v>0</x:v>
      </x:c>
      <x:c r="I1597" s="9" t="n">
        <x:f>SUM(SalesLines!N3924,SalesLines!N3925,SalesLines!N3926,SalesLines!N3927)</x:f>
        <x:v>0</x:v>
      </x:c>
      <x:c r="J1597" s="9" t="n">
        <x:f>SUM(SalesLines!P3924,SalesLines!P3925,SalesLines!P3926,SalesLines!P3927)</x:f>
        <x:v>0</x:v>
      </x:c>
      <x:c r="K1597" s="11" t="n">
        <x:f>SUM(SalesLines!R3924,SalesLines!R3925,SalesLines!R3926,SalesLines!R3927)</x:f>
        <x:v>0</x:v>
      </x:c>
      <x:c r="L1597" s="11" t="n">
        <x:f>SUM(SalesLines!S3924,SalesLines!S3925,SalesLines!S3926,SalesLines!S3927)</x:f>
        <x:v>0</x:v>
      </x:c>
      <x:c r="M1597" s="8" t="n">
        <x:f>DATE(YEAR(C1597),MONTH(C1597),1)</x:f>
        <x:v>45778</x:v>
      </x:c>
    </x:row>
    <x:row r="1598" ht="22" customHeight="1">
      <x:c r="A1598" s="2" t="str">
        <x:v>O01594</x:v>
      </x:c>
      <x:c r="B1598" s="2" t="str">
        <x:v>C0218</x:v>
      </x:c>
      <x:c r="C1598" s="7" t="n">
        <x:v>45919</x:v>
      </x:c>
      <x:c r="D1598" s="2" t="str">
        <x:v>Cancelled</x:v>
      </x:c>
      <x:c r="E1598" s="2" t="str">
        <x:v>East</x:v>
      </x:c>
      <x:c r="F1598" s="2" t="str">
        <x:v>Store</x:v>
      </x:c>
      <x:c r="G1598" s="9" t="n">
        <x:f>SUM(SalesLines!Q3928,SalesLines!Q3929)</x:f>
        <x:v>0</x:v>
      </x:c>
      <x:c r="H1598" s="9" t="n">
        <x:f>SUM(SalesLines!M3928,SalesLines!M3929)</x:f>
        <x:v>0</x:v>
      </x:c>
      <x:c r="I1598" s="9" t="n">
        <x:f>SUM(SalesLines!N3928,SalesLines!N3929)</x:f>
        <x:v>0</x:v>
      </x:c>
      <x:c r="J1598" s="9" t="n">
        <x:f>SUM(SalesLines!P3928,SalesLines!P3929)</x:f>
        <x:v>0</x:v>
      </x:c>
      <x:c r="K1598" s="11" t="n">
        <x:f>SUM(SalesLines!R3928,SalesLines!R3929)</x:f>
        <x:v>0</x:v>
      </x:c>
      <x:c r="L1598" s="11" t="n">
        <x:f>SUM(SalesLines!S3928,SalesLines!S3929)</x:f>
        <x:v>0</x:v>
      </x:c>
      <x:c r="M1598" s="8" t="n">
        <x:f>DATE(YEAR(C1598),MONTH(C1598),1)</x:f>
        <x:v>45901</x:v>
      </x:c>
    </x:row>
    <x:row r="1599" ht="22" customHeight="1">
      <x:c r="A1599" s="2" t="str">
        <x:v>O01595</x:v>
      </x:c>
      <x:c r="B1599" s="2" t="str">
        <x:v>C0059</x:v>
      </x:c>
      <x:c r="C1599" s="7" t="n">
        <x:v>45831</x:v>
      </x:c>
      <x:c r="D1599" s="2" t="str">
        <x:v>Completed</x:v>
      </x:c>
      <x:c r="E1599" s="2" t="str">
        <x:v>South</x:v>
      </x:c>
      <x:c r="F1599" s="2" t="str">
        <x:v>Store</x:v>
      </x:c>
      <x:c r="G1599" s="9" t="n">
        <x:f>SUM(SalesLines!Q3930,SalesLines!Q3931,SalesLines!Q3932)</x:f>
        <x:v>2313.05</x:v>
      </x:c>
      <x:c r="H1599" s="9" t="n">
        <x:f>SUM(SalesLines!M3930,SalesLines!M3931,SalesLines!M3932)</x:f>
        <x:v>2425</x:v>
      </x:c>
      <x:c r="I1599" s="9" t="n">
        <x:f>SUM(SalesLines!N3930,SalesLines!N3931,SalesLines!N3932)</x:f>
        <x:v>111.95</x:v>
      </x:c>
      <x:c r="J1599" s="9" t="n">
        <x:f>SUM(SalesLines!P3930,SalesLines!P3931,SalesLines!P3932)</x:f>
        <x:v>0</x:v>
      </x:c>
      <x:c r="K1599" s="11" t="n">
        <x:f>SUM(SalesLines!R3930,SalesLines!R3931,SalesLines!R3932)</x:f>
        <x:v>11</x:v>
      </x:c>
      <x:c r="L1599" s="11" t="n">
        <x:f>SUM(SalesLines!S3930,SalesLines!S3931,SalesLines!S3932)</x:f>
        <x:v>0</x:v>
      </x:c>
      <x:c r="M1599" s="8" t="n">
        <x:f>DATE(YEAR(C1599),MONTH(C1599),1)</x:f>
        <x:v>45809</x:v>
      </x:c>
    </x:row>
    <x:row r="1600" ht="22" customHeight="1">
      <x:c r="A1600" s="2" t="str">
        <x:v>O01596</x:v>
      </x:c>
      <x:c r="B1600" s="2" t="str">
        <x:v>C0158</x:v>
      </x:c>
      <x:c r="C1600" s="7" t="n">
        <x:v>45954</x:v>
      </x:c>
      <x:c r="D1600" s="2" t="str">
        <x:v>Completed</x:v>
      </x:c>
      <x:c r="E1600" s="2" t="str">
        <x:v>East</x:v>
      </x:c>
      <x:c r="F1600" s="2" t="str">
        <x:v>Online</x:v>
      </x:c>
      <x:c r="G1600" s="9" t="n">
        <x:f>SUM(SalesLines!Q3933,SalesLines!Q3934,SalesLines!Q3935,SalesLines!Q3936)</x:f>
        <x:v>1379.1</x:v>
      </x:c>
      <x:c r="H1600" s="9" t="n">
        <x:f>SUM(SalesLines!M3933,SalesLines!M3934,SalesLines!M3935,SalesLines!M3936)</x:f>
        <x:v>1481</x:v>
      </x:c>
      <x:c r="I1600" s="9" t="n">
        <x:f>SUM(SalesLines!N3933,SalesLines!N3934,SalesLines!N3935,SalesLines!N3936)</x:f>
        <x:v>101.9</x:v>
      </x:c>
      <x:c r="J1600" s="9" t="n">
        <x:f>SUM(SalesLines!P3933,SalesLines!P3934,SalesLines!P3935,SalesLines!P3936)</x:f>
        <x:v>0</x:v>
      </x:c>
      <x:c r="K1600" s="11" t="n">
        <x:f>SUM(SalesLines!R3933,SalesLines!R3934,SalesLines!R3935,SalesLines!R3936)</x:f>
        <x:v>12</x:v>
      </x:c>
      <x:c r="L1600" s="11" t="n">
        <x:f>SUM(SalesLines!S3933,SalesLines!S3934,SalesLines!S3935,SalesLines!S3936)</x:f>
        <x:v>0</x:v>
      </x:c>
      <x:c r="M1600" s="8" t="n">
        <x:f>DATE(YEAR(C1600),MONTH(C1600),1)</x:f>
        <x:v>45931</x:v>
      </x:c>
    </x:row>
    <x:row r="1601" ht="22" customHeight="1">
      <x:c r="A1601" s="2" t="str">
        <x:v>O01597</x:v>
      </x:c>
      <x:c r="B1601" s="2" t="str">
        <x:v>C0031</x:v>
      </x:c>
      <x:c r="C1601" s="7" t="n">
        <x:v>45961</x:v>
      </x:c>
      <x:c r="D1601" s="2" t="str">
        <x:v>Completed</x:v>
      </x:c>
      <x:c r="E1601" s="2" t="str">
        <x:v>South</x:v>
      </x:c>
      <x:c r="F1601" s="2" t="str">
        <x:v>Online</x:v>
      </x:c>
      <x:c r="G1601" s="9" t="n">
        <x:f>SUM(SalesLines!Q3937,SalesLines!Q3938,SalesLines!Q3939)</x:f>
        <x:v>1507.6</x:v>
      </x:c>
      <x:c r="H1601" s="9" t="n">
        <x:f>SUM(SalesLines!M3937,SalesLines!M3938,SalesLines!M3939)</x:f>
        <x:v>1604</x:v>
      </x:c>
      <x:c r="I1601" s="9" t="n">
        <x:f>SUM(SalesLines!N3937,SalesLines!N3938,SalesLines!N3939)</x:f>
        <x:v>96.4</x:v>
      </x:c>
      <x:c r="J1601" s="9" t="n">
        <x:f>SUM(SalesLines!P3937,SalesLines!P3938,SalesLines!P3939)</x:f>
        <x:v>0</x:v>
      </x:c>
      <x:c r="K1601" s="11" t="n">
        <x:f>SUM(SalesLines!R3937,SalesLines!R3938,SalesLines!R3939)</x:f>
        <x:v>9</x:v>
      </x:c>
      <x:c r="L1601" s="11" t="n">
        <x:f>SUM(SalesLines!S3937,SalesLines!S3938,SalesLines!S3939)</x:f>
        <x:v>0</x:v>
      </x:c>
      <x:c r="M1601" s="8" t="n">
        <x:f>DATE(YEAR(C1601),MONTH(C1601),1)</x:f>
        <x:v>45931</x:v>
      </x:c>
    </x:row>
    <x:row r="1602" ht="22" customHeight="1">
      <x:c r="A1602" s="2" t="str">
        <x:v>O01598</x:v>
      </x:c>
      <x:c r="B1602" s="2" t="str">
        <x:v>C0143</x:v>
      </x:c>
      <x:c r="C1602" s="7" t="n">
        <x:v>45716</x:v>
      </x:c>
      <x:c r="D1602" s="2" t="str">
        <x:v>Completed</x:v>
      </x:c>
      <x:c r="E1602" s="2" t="str">
        <x:v>West</x:v>
      </x:c>
      <x:c r="F1602" s="2" t="str">
        <x:v>Online</x:v>
      </x:c>
      <x:c r="G1602" s="9" t="n">
        <x:f>SUM(SalesLines!Q3940)</x:f>
        <x:v>361.8</x:v>
      </x:c>
      <x:c r="H1602" s="9" t="n">
        <x:f>SUM(SalesLines!M3940)</x:f>
        <x:v>402</x:v>
      </x:c>
      <x:c r="I1602" s="9" t="n">
        <x:f>SUM(SalesLines!N3940)</x:f>
        <x:v>40.2</x:v>
      </x:c>
      <x:c r="J1602" s="9" t="n">
        <x:f>SUM(SalesLines!P3940)</x:f>
        <x:v>0</x:v>
      </x:c>
      <x:c r="K1602" s="11" t="n">
        <x:f>SUM(SalesLines!R3940)</x:f>
        <x:v>3</x:v>
      </x:c>
      <x:c r="L1602" s="11" t="n">
        <x:f>SUM(SalesLines!S3940)</x:f>
        <x:v>0</x:v>
      </x:c>
      <x:c r="M1602" s="8" t="n">
        <x:f>DATE(YEAR(C1602),MONTH(C1602),1)</x:f>
        <x:v>45689</x:v>
      </x:c>
    </x:row>
    <x:row r="1603" ht="22" customHeight="1">
      <x:c r="A1603" s="2" t="str">
        <x:v>O01599</x:v>
      </x:c>
      <x:c r="B1603" s="2" t="str">
        <x:v>C0084</x:v>
      </x:c>
      <x:c r="C1603" s="7" t="n">
        <x:v>45928</x:v>
      </x:c>
      <x:c r="D1603" s="2" t="str">
        <x:v>Completed</x:v>
      </x:c>
      <x:c r="E1603" s="2" t="str">
        <x:v>West</x:v>
      </x:c>
      <x:c r="F1603" s="2" t="str">
        <x:v>Store</x:v>
      </x:c>
      <x:c r="G1603" s="9" t="n">
        <x:f>SUM(SalesLines!Q3941,SalesLines!Q3942,SalesLines!Q3943)</x:f>
        <x:v>1051.7</x:v>
      </x:c>
      <x:c r="H1603" s="9" t="n">
        <x:f>SUM(SalesLines!M3941,SalesLines!M3942,SalesLines!M3943)</x:f>
        <x:v>1120</x:v>
      </x:c>
      <x:c r="I1603" s="9" t="n">
        <x:f>SUM(SalesLines!N3941,SalesLines!N3942,SalesLines!N3943)</x:f>
        <x:v>68.30000000000001</x:v>
      </x:c>
      <x:c r="J1603" s="9" t="n">
        <x:f>SUM(SalesLines!P3941,SalesLines!P3942,SalesLines!P3943)</x:f>
        <x:v>0</x:v>
      </x:c>
      <x:c r="K1603" s="11" t="n">
        <x:f>SUM(SalesLines!R3941,SalesLines!R3942,SalesLines!R3943)</x:f>
        <x:v>7</x:v>
      </x:c>
      <x:c r="L1603" s="11" t="n">
        <x:f>SUM(SalesLines!S3941,SalesLines!S3942,SalesLines!S3943)</x:f>
        <x:v>0</x:v>
      </x:c>
      <x:c r="M1603" s="8" t="n">
        <x:f>DATE(YEAR(C1603),MONTH(C1603),1)</x:f>
        <x:v>45901</x:v>
      </x:c>
    </x:row>
    <x:row r="1604" ht="22" customHeight="1">
      <x:c r="A1604" s="2" t="str">
        <x:v>O01600</x:v>
      </x:c>
      <x:c r="B1604" s="2" t="str">
        <x:v>C0233</x:v>
      </x:c>
      <x:c r="C1604" s="7" t="n">
        <x:v>45761</x:v>
      </x:c>
      <x:c r="D1604" s="2" t="str">
        <x:v>Completed</x:v>
      </x:c>
      <x:c r="E1604" s="2" t="str">
        <x:v>South</x:v>
      </x:c>
      <x:c r="F1604" s="2" t="str">
        <x:v>Online</x:v>
      </x:c>
      <x:c r="G1604" s="9" t="n">
        <x:f>SUM(SalesLines!Q3944,SalesLines!Q3945,SalesLines!Q3946)</x:f>
        <x:v>933.75</x:v>
      </x:c>
      <x:c r="H1604" s="9" t="n">
        <x:f>SUM(SalesLines!M3944,SalesLines!M3945,SalesLines!M3946)</x:f>
        <x:v>1115</x:v>
      </x:c>
      <x:c r="I1604" s="9" t="n">
        <x:f>SUM(SalesLines!N3944,SalesLines!N3945,SalesLines!N3946)</x:f>
        <x:v>149.75</x:v>
      </x:c>
      <x:c r="J1604" s="9" t="n">
        <x:f>SUM(SalesLines!P3944,SalesLines!P3945,SalesLines!P3946)</x:f>
        <x:v>31.5</x:v>
      </x:c>
      <x:c r="K1604" s="11" t="n">
        <x:f>SUM(SalesLines!R3944,SalesLines!R3945,SalesLines!R3946)</x:f>
        <x:v>11</x:v>
      </x:c>
      <x:c r="L1604" s="11" t="n">
        <x:f>SUM(SalesLines!S3944,SalesLines!S3945,SalesLines!S3946)</x:f>
        <x:v>1</x:v>
      </x:c>
      <x:c r="M1604" s="8" t="n">
        <x:f>DATE(YEAR(C1604),MONTH(C1604),1)</x:f>
        <x:v>45748</x:v>
      </x:c>
    </x:row>
    <x:row r="1605" ht="22" customHeight="1">
      <x:c r="A1605" s="2" t="str">
        <x:v>O01601</x:v>
      </x:c>
      <x:c r="B1605" s="2" t="str">
        <x:v>C0244</x:v>
      </x:c>
      <x:c r="C1605" s="7" t="n">
        <x:v>45803</x:v>
      </x:c>
      <x:c r="D1605" s="2" t="str">
        <x:v>Completed</x:v>
      </x:c>
      <x:c r="E1605" s="2" t="str">
        <x:v>South</x:v>
      </x:c>
      <x:c r="F1605" s="2" t="str">
        <x:v>Online</x:v>
      </x:c>
      <x:c r="G1605" s="9" t="n">
        <x:f>SUM(SalesLines!Q3947)</x:f>
        <x:v>609.6</x:v>
      </x:c>
      <x:c r="H1605" s="9" t="n">
        <x:f>SUM(SalesLines!M3947)</x:f>
        <x:v>762</x:v>
      </x:c>
      <x:c r="I1605" s="9" t="n">
        <x:f>SUM(SalesLines!N3947)</x:f>
        <x:v>152.4</x:v>
      </x:c>
      <x:c r="J1605" s="9" t="n">
        <x:f>SUM(SalesLines!P3947)</x:f>
        <x:v>0</x:v>
      </x:c>
      <x:c r="K1605" s="11" t="n">
        <x:f>SUM(SalesLines!R3947)</x:f>
        <x:v>3</x:v>
      </x:c>
      <x:c r="L1605" s="11" t="n">
        <x:f>SUM(SalesLines!S3947)</x:f>
        <x:v>0</x:v>
      </x:c>
      <x:c r="M1605" s="8" t="n">
        <x:f>DATE(YEAR(C1605),MONTH(C1605),1)</x:f>
        <x:v>45778</x:v>
      </x:c>
    </x:row>
    <x:row r="1606" ht="22" customHeight="1">
      <x:c r="A1606" s="2" t="str">
        <x:v>O01602</x:v>
      </x:c>
      <x:c r="B1606" s="2" t="str">
        <x:v>C0277</x:v>
      </x:c>
      <x:c r="C1606" s="7" t="n">
        <x:v>45742</x:v>
      </x:c>
      <x:c r="D1606" s="2" t="str">
        <x:v>Completed</x:v>
      </x:c>
      <x:c r="E1606" s="2" t="str">
        <x:v>West</x:v>
      </x:c>
      <x:c r="F1606" s="2" t="str">
        <x:v>Store</x:v>
      </x:c>
      <x:c r="G1606" s="9" t="n">
        <x:f>SUM(SalesLines!Q3948,SalesLines!Q3949)</x:f>
        <x:v>1671.5</x:v>
      </x:c>
      <x:c r="H1606" s="9" t="n">
        <x:f>SUM(SalesLines!M3948,SalesLines!M3949)</x:f>
        <x:v>1735</x:v>
      </x:c>
      <x:c r="I1606" s="9" t="n">
        <x:f>SUM(SalesLines!N3948,SalesLines!N3949)</x:f>
        <x:v>63.5</x:v>
      </x:c>
      <x:c r="J1606" s="9" t="n">
        <x:f>SUM(SalesLines!P3948,SalesLines!P3949)</x:f>
        <x:v>0</x:v>
      </x:c>
      <x:c r="K1606" s="11" t="n">
        <x:f>SUM(SalesLines!R3948,SalesLines!R3949)</x:f>
        <x:v>10</x:v>
      </x:c>
      <x:c r="L1606" s="11" t="n">
        <x:f>SUM(SalesLines!S3948,SalesLines!S3949)</x:f>
        <x:v>0</x:v>
      </x:c>
      <x:c r="M1606" s="8" t="n">
        <x:f>DATE(YEAR(C1606),MONTH(C1606),1)</x:f>
        <x:v>45717</x:v>
      </x:c>
    </x:row>
    <x:row r="1607" ht="22" customHeight="1">
      <x:c r="A1607" s="2" t="str">
        <x:v>O01603</x:v>
      </x:c>
      <x:c r="B1607" s="2" t="str">
        <x:v>C0157</x:v>
      </x:c>
      <x:c r="C1607" s="7" t="n">
        <x:v>45829</x:v>
      </x:c>
      <x:c r="D1607" s="2" t="str">
        <x:v>Completed</x:v>
      </x:c>
      <x:c r="E1607" s="2" t="str">
        <x:v>West</x:v>
      </x:c>
      <x:c r="F1607" s="2" t="str">
        <x:v>Store</x:v>
      </x:c>
      <x:c r="G1607" s="9" t="n">
        <x:f>SUM(SalesLines!Q3950,SalesLines!Q3951)</x:f>
        <x:v>1011.1500000000001</x:v>
      </x:c>
      <x:c r="H1607" s="9" t="n">
        <x:f>SUM(SalesLines!M3950,SalesLines!M3951)</x:f>
        <x:v>1113</x:v>
      </x:c>
      <x:c r="I1607" s="9" t="n">
        <x:f>SUM(SalesLines!N3950,SalesLines!N3951)</x:f>
        <x:v>101.85000000000001</x:v>
      </x:c>
      <x:c r="J1607" s="9" t="n">
        <x:f>SUM(SalesLines!P3950,SalesLines!P3951)</x:f>
        <x:v>0</x:v>
      </x:c>
      <x:c r="K1607" s="11" t="n">
        <x:f>SUM(SalesLines!R3950,SalesLines!R3951)</x:f>
        <x:v>5</x:v>
      </x:c>
      <x:c r="L1607" s="11" t="n">
        <x:f>SUM(SalesLines!S3950,SalesLines!S3951)</x:f>
        <x:v>0</x:v>
      </x:c>
      <x:c r="M1607" s="8" t="n">
        <x:f>DATE(YEAR(C1607),MONTH(C1607),1)</x:f>
        <x:v>45809</x:v>
      </x:c>
    </x:row>
    <x:row r="1608" ht="22" customHeight="1">
      <x:c r="A1608" s="2" t="str">
        <x:v>O01604</x:v>
      </x:c>
      <x:c r="B1608" s="2" t="str">
        <x:v>C0144</x:v>
      </x:c>
      <x:c r="C1608" s="7" t="n">
        <x:v>45812</x:v>
      </x:c>
      <x:c r="D1608" s="2" t="str">
        <x:v>Completed</x:v>
      </x:c>
      <x:c r="E1608" s="2" t="str">
        <x:v>North</x:v>
      </x:c>
      <x:c r="F1608" s="2" t="str">
        <x:v>Store</x:v>
      </x:c>
      <x:c r="G1608" s="9" t="n">
        <x:f>SUM(SalesLines!Q3952)</x:f>
        <x:v>66.5</x:v>
      </x:c>
      <x:c r="H1608" s="9" t="n">
        <x:f>SUM(SalesLines!M3952)</x:f>
        <x:v>70</x:v>
      </x:c>
      <x:c r="I1608" s="9" t="n">
        <x:f>SUM(SalesLines!N3952)</x:f>
        <x:v>3.5</x:v>
      </x:c>
      <x:c r="J1608" s="9" t="n">
        <x:f>SUM(SalesLines!P3952)</x:f>
        <x:v>0</x:v>
      </x:c>
      <x:c r="K1608" s="11" t="n">
        <x:f>SUM(SalesLines!R3952)</x:f>
        <x:v>2</x:v>
      </x:c>
      <x:c r="L1608" s="11" t="n">
        <x:f>SUM(SalesLines!S3952)</x:f>
        <x:v>0</x:v>
      </x:c>
      <x:c r="M1608" s="8" t="n">
        <x:f>DATE(YEAR(C1608),MONTH(C1608),1)</x:f>
        <x:v>45809</x:v>
      </x:c>
    </x:row>
    <x:row r="1609" ht="22" customHeight="1">
      <x:c r="A1609" s="2" t="str">
        <x:v>O01605</x:v>
      </x:c>
      <x:c r="B1609" s="2" t="str">
        <x:v>C0219</x:v>
      </x:c>
      <x:c r="C1609" s="7" t="n">
        <x:v>45956</x:v>
      </x:c>
      <x:c r="D1609" s="2" t="str">
        <x:v>Completed</x:v>
      </x:c>
      <x:c r="E1609" s="2" t="str">
        <x:v>East</x:v>
      </x:c>
      <x:c r="F1609" s="2" t="str">
        <x:v>Online</x:v>
      </x:c>
      <x:c r="G1609" s="9" t="n">
        <x:f>SUM(SalesLines!Q3953,SalesLines!Q3954)</x:f>
        <x:v>400.4</x:v>
      </x:c>
      <x:c r="H1609" s="9" t="n">
        <x:f>SUM(SalesLines!M3953,SalesLines!M3954)</x:f>
        <x:v>454</x:v>
      </x:c>
      <x:c r="I1609" s="9" t="n">
        <x:f>SUM(SalesLines!N3953,SalesLines!N3954)</x:f>
        <x:v>53.6</x:v>
      </x:c>
      <x:c r="J1609" s="9" t="n">
        <x:f>SUM(SalesLines!P3953,SalesLines!P3954)</x:f>
        <x:v>0</x:v>
      </x:c>
      <x:c r="K1609" s="11" t="n">
        <x:f>SUM(SalesLines!R3953,SalesLines!R3954)</x:f>
        <x:v>4</x:v>
      </x:c>
      <x:c r="L1609" s="11" t="n">
        <x:f>SUM(SalesLines!S3953,SalesLines!S3954)</x:f>
        <x:v>0</x:v>
      </x:c>
      <x:c r="M1609" s="8" t="n">
        <x:f>DATE(YEAR(C1609),MONTH(C1609),1)</x:f>
        <x:v>45931</x:v>
      </x:c>
    </x:row>
    <x:row r="1610" ht="22" customHeight="1">
      <x:c r="A1610" s="2" t="str">
        <x:v>O01606</x:v>
      </x:c>
      <x:c r="B1610" s="2" t="str">
        <x:v>C0175</x:v>
      </x:c>
      <x:c r="C1610" s="7" t="n">
        <x:v>45748</x:v>
      </x:c>
      <x:c r="D1610" s="2" t="str">
        <x:v>Completed</x:v>
      </x:c>
      <x:c r="E1610" s="2" t="str">
        <x:v>North</x:v>
      </x:c>
      <x:c r="F1610" s="2" t="str">
        <x:v>Store</x:v>
      </x:c>
      <x:c r="G1610" s="9" t="n">
        <x:f>SUM(SalesLines!Q3955,SalesLines!Q3956,SalesLines!Q3957)</x:f>
        <x:v>2481.8</x:v>
      </x:c>
      <x:c r="H1610" s="9" t="n">
        <x:f>SUM(SalesLines!M3955,SalesLines!M3956,SalesLines!M3957)</x:f>
        <x:v>2717</x:v>
      </x:c>
      <x:c r="I1610" s="9" t="n">
        <x:f>SUM(SalesLines!N3955,SalesLines!N3956,SalesLines!N3957)</x:f>
        <x:v>235.20000000000002</x:v>
      </x:c>
      <x:c r="J1610" s="9" t="n">
        <x:f>SUM(SalesLines!P3955,SalesLines!P3956,SalesLines!P3957)</x:f>
        <x:v>0</x:v>
      </x:c>
      <x:c r="K1610" s="11" t="n">
        <x:f>SUM(SalesLines!R3955,SalesLines!R3956,SalesLines!R3957)</x:f>
        <x:v>10</x:v>
      </x:c>
      <x:c r="L1610" s="11" t="n">
        <x:f>SUM(SalesLines!S3955,SalesLines!S3956,SalesLines!S3957)</x:f>
        <x:v>0</x:v>
      </x:c>
      <x:c r="M1610" s="8" t="n">
        <x:f>DATE(YEAR(C1610),MONTH(C1610),1)</x:f>
        <x:v>45748</x:v>
      </x:c>
    </x:row>
    <x:row r="1611" ht="22" customHeight="1">
      <x:c r="A1611" s="2" t="str">
        <x:v>O01607</x:v>
      </x:c>
      <x:c r="B1611" s="2" t="str">
        <x:v>C0163</x:v>
      </x:c>
      <x:c r="C1611" s="7" t="n">
        <x:v>45784</x:v>
      </x:c>
      <x:c r="D1611" s="2" t="str">
        <x:v>Cancelled</x:v>
      </x:c>
      <x:c r="E1611" s="2" t="str">
        <x:v>South</x:v>
      </x:c>
      <x:c r="F1611" s="2" t="str">
        <x:v>Online</x:v>
      </x:c>
      <x:c r="G1611" s="9" t="n">
        <x:f>SUM(SalesLines!Q3958)</x:f>
        <x:v>0</x:v>
      </x:c>
      <x:c r="H1611" s="9" t="n">
        <x:f>SUM(SalesLines!M3958)</x:f>
        <x:v>0</x:v>
      </x:c>
      <x:c r="I1611" s="9" t="n">
        <x:f>SUM(SalesLines!N3958)</x:f>
        <x:v>0</x:v>
      </x:c>
      <x:c r="J1611" s="9" t="n">
        <x:f>SUM(SalesLines!P3958)</x:f>
        <x:v>0</x:v>
      </x:c>
      <x:c r="K1611" s="11" t="n">
        <x:f>SUM(SalesLines!R3958)</x:f>
        <x:v>0</x:v>
      </x:c>
      <x:c r="L1611" s="11" t="n">
        <x:f>SUM(SalesLines!S3958)</x:f>
        <x:v>0</x:v>
      </x:c>
      <x:c r="M1611" s="8" t="n">
        <x:f>DATE(YEAR(C1611),MONTH(C1611),1)</x:f>
        <x:v>45778</x:v>
      </x:c>
    </x:row>
    <x:row r="1612" ht="22" customHeight="1">
      <x:c r="A1612" s="2" t="str">
        <x:v>O01608</x:v>
      </x:c>
      <x:c r="B1612" s="2" t="str">
        <x:v>C0189</x:v>
      </x:c>
      <x:c r="C1612" s="7" t="n">
        <x:v>45945</x:v>
      </x:c>
      <x:c r="D1612" s="2" t="str">
        <x:v>Completed</x:v>
      </x:c>
      <x:c r="E1612" s="2" t="str">
        <x:v>North</x:v>
      </x:c>
      <x:c r="F1612" s="2" t="str">
        <x:v>Online</x:v>
      </x:c>
      <x:c r="G1612" s="9" t="n">
        <x:f>SUM(SalesLines!Q3959)</x:f>
        <x:v>1355</x:v>
      </x:c>
      <x:c r="H1612" s="9" t="n">
        <x:f>SUM(SalesLines!M3959)</x:f>
        <x:v>1355</x:v>
      </x:c>
      <x:c r="I1612" s="9" t="n">
        <x:f>SUM(SalesLines!N3959)</x:f>
        <x:v>0</x:v>
      </x:c>
      <x:c r="J1612" s="9" t="n">
        <x:f>SUM(SalesLines!P3959)</x:f>
        <x:v>0</x:v>
      </x:c>
      <x:c r="K1612" s="11" t="n">
        <x:f>SUM(SalesLines!R3959)</x:f>
        <x:v>5</x:v>
      </x:c>
      <x:c r="L1612" s="11" t="n">
        <x:f>SUM(SalesLines!S3959)</x:f>
        <x:v>0</x:v>
      </x:c>
      <x:c r="M1612" s="8" t="n">
        <x:f>DATE(YEAR(C1612),MONTH(C1612),1)</x:f>
        <x:v>45931</x:v>
      </x:c>
    </x:row>
    <x:row r="1613" ht="22" customHeight="1">
      <x:c r="A1613" s="2" t="str">
        <x:v>O01609</x:v>
      </x:c>
      <x:c r="B1613" s="2" t="str">
        <x:v>C0075</x:v>
      </x:c>
      <x:c r="C1613" s="7" t="n">
        <x:v>45902</x:v>
      </x:c>
      <x:c r="D1613" s="2" t="str">
        <x:v>Completed</x:v>
      </x:c>
      <x:c r="E1613" s="2" t="str">
        <x:v>South</x:v>
      </x:c>
      <x:c r="F1613" s="2" t="str">
        <x:v>Store</x:v>
      </x:c>
      <x:c r="G1613" s="9" t="n">
        <x:f>SUM(SalesLines!Q3960,SalesLines!Q3961)</x:f>
        <x:v>1218</x:v>
      </x:c>
      <x:c r="H1613" s="9" t="n">
        <x:f>SUM(SalesLines!M3960,SalesLines!M3961)</x:f>
        <x:v>1218</x:v>
      </x:c>
      <x:c r="I1613" s="9" t="n">
        <x:f>SUM(SalesLines!N3960,SalesLines!N3961)</x:f>
        <x:v>0</x:v>
      </x:c>
      <x:c r="J1613" s="9" t="n">
        <x:f>SUM(SalesLines!P3960,SalesLines!P3961)</x:f>
        <x:v>0</x:v>
      </x:c>
      <x:c r="K1613" s="11" t="n">
        <x:f>SUM(SalesLines!R3960,SalesLines!R3961)</x:f>
        <x:v>6</x:v>
      </x:c>
      <x:c r="L1613" s="11" t="n">
        <x:f>SUM(SalesLines!S3960,SalesLines!S3961)</x:f>
        <x:v>0</x:v>
      </x:c>
      <x:c r="M1613" s="8" t="n">
        <x:f>DATE(YEAR(C1613),MONTH(C1613),1)</x:f>
        <x:v>45901</x:v>
      </x:c>
    </x:row>
    <x:row r="1614" ht="22" customHeight="1">
      <x:c r="A1614" s="2" t="str">
        <x:v>O01610</x:v>
      </x:c>
      <x:c r="B1614" s="2" t="str">
        <x:v>C0080</x:v>
      </x:c>
      <x:c r="C1614" s="7" t="n">
        <x:v>45700</x:v>
      </x:c>
      <x:c r="D1614" s="2" t="str">
        <x:v>Completed</x:v>
      </x:c>
      <x:c r="E1614" s="2" t="str">
        <x:v>East</x:v>
      </x:c>
      <x:c r="F1614" s="2" t="str">
        <x:v>Store</x:v>
      </x:c>
      <x:c r="G1614" s="9" t="n">
        <x:f>SUM(SalesLines!Q3962,SalesLines!Q3963,SalesLines!Q3964,SalesLines!Q3965)</x:f>
        <x:v>2595.3</x:v>
      </x:c>
      <x:c r="H1614" s="9" t="n">
        <x:f>SUM(SalesLines!M3962,SalesLines!M3963,SalesLines!M3964,SalesLines!M3965)</x:f>
        <x:v>3183</x:v>
      </x:c>
      <x:c r="I1614" s="9" t="n">
        <x:f>SUM(SalesLines!N3962,SalesLines!N3963,SalesLines!N3964,SalesLines!N3965)</x:f>
        <x:v>587.7</x:v>
      </x:c>
      <x:c r="J1614" s="9" t="n">
        <x:f>SUM(SalesLines!P3962,SalesLines!P3963,SalesLines!P3964,SalesLines!P3965)</x:f>
        <x:v>0</x:v>
      </x:c>
      <x:c r="K1614" s="11" t="n">
        <x:f>SUM(SalesLines!R3962,SalesLines!R3963,SalesLines!R3964,SalesLines!R3965)</x:f>
        <x:v>14</x:v>
      </x:c>
      <x:c r="L1614" s="11" t="n">
        <x:f>SUM(SalesLines!S3962,SalesLines!S3963,SalesLines!S3964,SalesLines!S3965)</x:f>
        <x:v>0</x:v>
      </x:c>
      <x:c r="M1614" s="8" t="n">
        <x:f>DATE(YEAR(C1614),MONTH(C1614),1)</x:f>
        <x:v>45689</x:v>
      </x:c>
    </x:row>
    <x:row r="1615" ht="22" customHeight="1">
      <x:c r="A1615" s="2" t="str">
        <x:v>O01611</x:v>
      </x:c>
      <x:c r="B1615" s="2" t="str">
        <x:v>C0153</x:v>
      </x:c>
      <x:c r="C1615" s="7" t="n">
        <x:v>45801</x:v>
      </x:c>
      <x:c r="D1615" s="2" t="str">
        <x:v>Cancelled</x:v>
      </x:c>
      <x:c r="E1615" s="2" t="str">
        <x:v>East</x:v>
      </x:c>
      <x:c r="F1615" s="2" t="str">
        <x:v>Store</x:v>
      </x:c>
      <x:c r="G1615" s="9" t="n">
        <x:f>SUM(SalesLines!Q3966,SalesLines!Q3967)</x:f>
        <x:v>0</x:v>
      </x:c>
      <x:c r="H1615" s="9" t="n">
        <x:f>SUM(SalesLines!M3966,SalesLines!M3967)</x:f>
        <x:v>0</x:v>
      </x:c>
      <x:c r="I1615" s="9" t="n">
        <x:f>SUM(SalesLines!N3966,SalesLines!N3967)</x:f>
        <x:v>0</x:v>
      </x:c>
      <x:c r="J1615" s="9" t="n">
        <x:f>SUM(SalesLines!P3966,SalesLines!P3967)</x:f>
        <x:v>0</x:v>
      </x:c>
      <x:c r="K1615" s="11" t="n">
        <x:f>SUM(SalesLines!R3966,SalesLines!R3967)</x:f>
        <x:v>0</x:v>
      </x:c>
      <x:c r="L1615" s="11" t="n">
        <x:f>SUM(SalesLines!S3966,SalesLines!S3967)</x:f>
        <x:v>0</x:v>
      </x:c>
      <x:c r="M1615" s="8" t="n">
        <x:f>DATE(YEAR(C1615),MONTH(C1615),1)</x:f>
        <x:v>45778</x:v>
      </x:c>
    </x:row>
    <x:row r="1616" ht="22" customHeight="1">
      <x:c r="A1616" s="2" t="str">
        <x:v>O01612</x:v>
      </x:c>
      <x:c r="B1616" s="2" t="str">
        <x:v>C0054</x:v>
      </x:c>
      <x:c r="C1616" s="7" t="n">
        <x:v>45880</x:v>
      </x:c>
      <x:c r="D1616" s="2" t="str">
        <x:v>Completed</x:v>
      </x:c>
      <x:c r="E1616" s="2" t="str">
        <x:v>East</x:v>
      </x:c>
      <x:c r="F1616" s="2" t="str">
        <x:v>Online</x:v>
      </x:c>
      <x:c r="G1616" s="9" t="n">
        <x:f>SUM(SalesLines!Q3968)</x:f>
        <x:v>126</x:v>
      </x:c>
      <x:c r="H1616" s="9" t="n">
        <x:f>SUM(SalesLines!M3968)</x:f>
        <x:v>140</x:v>
      </x:c>
      <x:c r="I1616" s="9" t="n">
        <x:f>SUM(SalesLines!N3968)</x:f>
        <x:v>14</x:v>
      </x:c>
      <x:c r="J1616" s="9" t="n">
        <x:f>SUM(SalesLines!P3968)</x:f>
        <x:v>0</x:v>
      </x:c>
      <x:c r="K1616" s="11" t="n">
        <x:f>SUM(SalesLines!R3968)</x:f>
        <x:v>4</x:v>
      </x:c>
      <x:c r="L1616" s="11" t="n">
        <x:f>SUM(SalesLines!S3968)</x:f>
        <x:v>0</x:v>
      </x:c>
      <x:c r="M1616" s="8" t="n">
        <x:f>DATE(YEAR(C1616),MONTH(C1616),1)</x:f>
        <x:v>45870</x:v>
      </x:c>
    </x:row>
    <x:row r="1617" ht="22" customHeight="1">
      <x:c r="A1617" s="2" t="str">
        <x:v>O01613</x:v>
      </x:c>
      <x:c r="B1617" s="2" t="str">
        <x:v>C0263</x:v>
      </x:c>
      <x:c r="C1617" s="7" t="n">
        <x:v>45902</x:v>
      </x:c>
      <x:c r="D1617" s="2" t="str">
        <x:v>Completed</x:v>
      </x:c>
      <x:c r="E1617" s="2" t="str">
        <x:v>East</x:v>
      </x:c>
      <x:c r="F1617" s="2" t="str">
        <x:v>Online</x:v>
      </x:c>
      <x:c r="G1617" s="9" t="n">
        <x:f>SUM(SalesLines!Q3969,SalesLines!Q3970)</x:f>
        <x:v>2294.5</x:v>
      </x:c>
      <x:c r="H1617" s="9" t="n">
        <x:f>SUM(SalesLines!M3969,SalesLines!M3970)</x:f>
        <x:v>2429</x:v>
      </x:c>
      <x:c r="I1617" s="9" t="n">
        <x:f>SUM(SalesLines!N3969,SalesLines!N3970)</x:f>
        <x:v>134.5</x:v>
      </x:c>
      <x:c r="J1617" s="9" t="n">
        <x:f>SUM(SalesLines!P3969,SalesLines!P3970)</x:f>
        <x:v>0</x:v>
      </x:c>
      <x:c r="K1617" s="11" t="n">
        <x:f>SUM(SalesLines!R3969,SalesLines!R3970)</x:f>
        <x:v>9</x:v>
      </x:c>
      <x:c r="L1617" s="11" t="n">
        <x:f>SUM(SalesLines!S3969,SalesLines!S3970)</x:f>
        <x:v>0</x:v>
      </x:c>
      <x:c r="M1617" s="8" t="n">
        <x:f>DATE(YEAR(C1617),MONTH(C1617),1)</x:f>
        <x:v>45901</x:v>
      </x:c>
    </x:row>
    <x:row r="1618" ht="22" customHeight="1">
      <x:c r="A1618" s="2" t="str">
        <x:v>O01614</x:v>
      </x:c>
      <x:c r="B1618" s="2" t="str">
        <x:v>C0076</x:v>
      </x:c>
      <x:c r="C1618" s="7" t="n">
        <x:v>45893</x:v>
      </x:c>
      <x:c r="D1618" s="2" t="str">
        <x:v>Completed</x:v>
      </x:c>
      <x:c r="E1618" s="2" t="str">
        <x:v>East</x:v>
      </x:c>
      <x:c r="F1618" s="2" t="str">
        <x:v>Store</x:v>
      </x:c>
      <x:c r="G1618" s="9" t="n">
        <x:f>SUM(SalesLines!Q3971,SalesLines!Q3972)</x:f>
        <x:v>1083.8</x:v>
      </x:c>
      <x:c r="H1618" s="9" t="n">
        <x:f>SUM(SalesLines!M3971,SalesLines!M3972)</x:f>
        <x:v>1287</x:v>
      </x:c>
      <x:c r="I1618" s="9" t="n">
        <x:f>SUM(SalesLines!N3971,SalesLines!N3972)</x:f>
        <x:v>203.20000000000002</x:v>
      </x:c>
      <x:c r="J1618" s="9" t="n">
        <x:f>SUM(SalesLines!P3971,SalesLines!P3972)</x:f>
        <x:v>0</x:v>
      </x:c>
      <x:c r="K1618" s="11" t="n">
        <x:f>SUM(SalesLines!R3971,SalesLines!R3972)</x:f>
        <x:v>5</x:v>
      </x:c>
      <x:c r="L1618" s="11" t="n">
        <x:f>SUM(SalesLines!S3971,SalesLines!S3972)</x:f>
        <x:v>0</x:v>
      </x:c>
      <x:c r="M1618" s="8" t="n">
        <x:f>DATE(YEAR(C1618),MONTH(C1618),1)</x:f>
        <x:v>45870</x:v>
      </x:c>
    </x:row>
    <x:row r="1619" ht="22" customHeight="1">
      <x:c r="A1619" s="2" t="str">
        <x:v>O01615</x:v>
      </x:c>
      <x:c r="B1619" s="2" t="str">
        <x:v>C0080</x:v>
      </x:c>
      <x:c r="C1619" s="7" t="n">
        <x:v>45862</x:v>
      </x:c>
      <x:c r="D1619" s="2" t="str">
        <x:v>Completed</x:v>
      </x:c>
      <x:c r="E1619" s="2" t="str">
        <x:v>East</x:v>
      </x:c>
      <x:c r="F1619" s="2" t="str">
        <x:v>Online</x:v>
      </x:c>
      <x:c r="G1619" s="9" t="n">
        <x:f>SUM(SalesLines!Q3973,SalesLines!Q3974,SalesLines!Q3975,SalesLines!Q3976)</x:f>
        <x:v>2547.25</x:v>
      </x:c>
      <x:c r="H1619" s="9" t="n">
        <x:f>SUM(SalesLines!M3973,SalesLines!M3974,SalesLines!M3975,SalesLines!M3976)</x:f>
        <x:v>3707</x:v>
      </x:c>
      <x:c r="I1619" s="9" t="n">
        <x:f>SUM(SalesLines!N3973,SalesLines!N3974,SalesLines!N3975,SalesLines!N3976)</x:f>
        <x:v>375.75</x:v>
      </x:c>
      <x:c r="J1619" s="9" t="n">
        <x:f>SUM(SalesLines!P3973,SalesLines!P3974,SalesLines!P3975,SalesLines!P3976)</x:f>
        <x:v>784</x:v>
      </x:c>
      <x:c r="K1619" s="11" t="n">
        <x:f>SUM(SalesLines!R3973,SalesLines!R3974,SalesLines!R3975,SalesLines!R3976)</x:f>
        <x:v>18</x:v>
      </x:c>
      <x:c r="L1619" s="11" t="n">
        <x:f>SUM(SalesLines!S3973,SalesLines!S3974,SalesLines!S3975,SalesLines!S3976)</x:f>
        <x:v>5</x:v>
      </x:c>
      <x:c r="M1619" s="8" t="n">
        <x:f>DATE(YEAR(C1619),MONTH(C1619),1)</x:f>
        <x:v>45839</x:v>
      </x:c>
    </x:row>
    <x:row r="1620" ht="22" customHeight="1">
      <x:c r="A1620" s="2" t="str">
        <x:v>O01616</x:v>
      </x:c>
      <x:c r="B1620" s="2" t="str">
        <x:v>C0161</x:v>
      </x:c>
      <x:c r="C1620" s="7" t="n">
        <x:v>45927</x:v>
      </x:c>
      <x:c r="D1620" s="2" t="str">
        <x:v>Completed</x:v>
      </x:c>
      <x:c r="E1620" s="2" t="str">
        <x:v>West</x:v>
      </x:c>
      <x:c r="F1620" s="2" t="str">
        <x:v>Store</x:v>
      </x:c>
      <x:c r="G1620" s="9" t="n">
        <x:f>SUM(SalesLines!Q3977)</x:f>
        <x:v>945.25</x:v>
      </x:c>
      <x:c r="H1620" s="9" t="n">
        <x:f>SUM(SalesLines!M3977)</x:f>
        <x:v>995</x:v>
      </x:c>
      <x:c r="I1620" s="9" t="n">
        <x:f>SUM(SalesLines!N3977)</x:f>
        <x:v>49.75</x:v>
      </x:c>
      <x:c r="J1620" s="9" t="n">
        <x:f>SUM(SalesLines!P3977)</x:f>
        <x:v>0</x:v>
      </x:c>
      <x:c r="K1620" s="11" t="n">
        <x:f>SUM(SalesLines!R3977)</x:f>
        <x:v>5</x:v>
      </x:c>
      <x:c r="L1620" s="11" t="n">
        <x:f>SUM(SalesLines!S3977)</x:f>
        <x:v>0</x:v>
      </x:c>
      <x:c r="M1620" s="8" t="n">
        <x:f>DATE(YEAR(C1620),MONTH(C1620),1)</x:f>
        <x:v>45901</x:v>
      </x:c>
    </x:row>
    <x:row r="1621" ht="22" customHeight="1">
      <x:c r="A1621" s="2" t="str">
        <x:v>O01617</x:v>
      </x:c>
      <x:c r="B1621" s="2" t="str">
        <x:v>C0072</x:v>
      </x:c>
      <x:c r="C1621" s="7" t="n">
        <x:v>45856</x:v>
      </x:c>
      <x:c r="D1621" s="2" t="str">
        <x:v>Completed</x:v>
      </x:c>
      <x:c r="E1621" s="2" t="str">
        <x:v>South</x:v>
      </x:c>
      <x:c r="F1621" s="2" t="str">
        <x:v>Store</x:v>
      </x:c>
      <x:c r="G1621" s="9" t="n">
        <x:f>SUM(SalesLines!Q3978,SalesLines!Q3979,SalesLines!Q3980,SalesLines!Q3981)</x:f>
        <x:v>2873.3</x:v>
      </x:c>
      <x:c r="H1621" s="9" t="n">
        <x:f>SUM(SalesLines!M3978,SalesLines!M3979,SalesLines!M3980,SalesLines!M3981)</x:f>
        <x:v>3574</x:v>
      </x:c>
      <x:c r="I1621" s="9" t="n">
        <x:f>SUM(SalesLines!N3978,SalesLines!N3979,SalesLines!N3980,SalesLines!N3981)</x:f>
        <x:v>230.3</x:v>
      </x:c>
      <x:c r="J1621" s="9" t="n">
        <x:f>SUM(SalesLines!P3978,SalesLines!P3979,SalesLines!P3980,SalesLines!P3981)</x:f>
        <x:v>470.40000000000003</x:v>
      </x:c>
      <x:c r="K1621" s="11" t="n">
        <x:f>SUM(SalesLines!R3978,SalesLines!R3979,SalesLines!R3980,SalesLines!R3981)</x:f>
        <x:v>16</x:v>
      </x:c>
      <x:c r="L1621" s="11" t="n">
        <x:f>SUM(SalesLines!S3978,SalesLines!S3979,SalesLines!S3980,SalesLines!S3981)</x:f>
        <x:v>3</x:v>
      </x:c>
      <x:c r="M1621" s="8" t="n">
        <x:f>DATE(YEAR(C1621),MONTH(C1621),1)</x:f>
        <x:v>45839</x:v>
      </x:c>
    </x:row>
    <x:row r="1622" ht="22" customHeight="1">
      <x:c r="A1622" s="2" t="str">
        <x:v>O01618</x:v>
      </x:c>
      <x:c r="B1622" s="2" t="str">
        <x:v>C0119</x:v>
      </x:c>
      <x:c r="C1622" s="7" t="n">
        <x:v>46009</x:v>
      </x:c>
      <x:c r="D1622" s="2" t="str">
        <x:v>Completed</x:v>
      </x:c>
      <x:c r="E1622" s="2" t="str">
        <x:v>North</x:v>
      </x:c>
      <x:c r="F1622" s="2" t="str">
        <x:v>Online</x:v>
      </x:c>
      <x:c r="G1622" s="9" t="n">
        <x:f>SUM(SalesLines!Q3982,SalesLines!Q3983,SalesLines!Q3984)</x:f>
        <x:v>716.85</x:v>
      </x:c>
      <x:c r="H1622" s="9" t="n">
        <x:f>SUM(SalesLines!M3982,SalesLines!M3983,SalesLines!M3984)</x:f>
        <x:v>854</x:v>
      </x:c>
      <x:c r="I1622" s="9" t="n">
        <x:f>SUM(SalesLines!N3982,SalesLines!N3983,SalesLines!N3984)</x:f>
        <x:v>61.15</x:v>
      </x:c>
      <x:c r="J1622" s="9" t="n">
        <x:f>SUM(SalesLines!P3982,SalesLines!P3983,SalesLines!P3984)</x:f>
        <x:v>76</x:v>
      </x:c>
      <x:c r="K1622" s="11" t="n">
        <x:f>SUM(SalesLines!R3982,SalesLines!R3983,SalesLines!R3984)</x:f>
        <x:v>10</x:v>
      </x:c>
      <x:c r="L1622" s="11" t="n">
        <x:f>SUM(SalesLines!S3982,SalesLines!S3983,SalesLines!S3984)</x:f>
        <x:v>1</x:v>
      </x:c>
      <x:c r="M1622" s="8" t="n">
        <x:f>DATE(YEAR(C1622),MONTH(C1622),1)</x:f>
        <x:v>45992</x:v>
      </x:c>
    </x:row>
    <x:row r="1623" ht="22" customHeight="1">
      <x:c r="A1623" s="2" t="str">
        <x:v>O01619</x:v>
      </x:c>
      <x:c r="B1623" s="2" t="str">
        <x:v>C0095</x:v>
      </x:c>
      <x:c r="C1623" s="7" t="n">
        <x:v>45691</x:v>
      </x:c>
      <x:c r="D1623" s="2" t="str">
        <x:v>Completed</x:v>
      </x:c>
      <x:c r="E1623" s="2" t="str">
        <x:v>East</x:v>
      </x:c>
      <x:c r="F1623" s="2" t="str">
        <x:v>Online</x:v>
      </x:c>
      <x:c r="G1623" s="9" t="n">
        <x:f>SUM(SalesLines!Q3985,SalesLines!Q3986,SalesLines!Q3987)</x:f>
        <x:v>1069.25</x:v>
      </x:c>
      <x:c r="H1623" s="9" t="n">
        <x:f>SUM(SalesLines!M3985,SalesLines!M3986,SalesLines!M3987)</x:f>
        <x:v>1279</x:v>
      </x:c>
      <x:c r="I1623" s="9" t="n">
        <x:f>SUM(SalesLines!N3985,SalesLines!N3986,SalesLines!N3987)</x:f>
        <x:v>81.75</x:v>
      </x:c>
      <x:c r="J1623" s="9" t="n">
        <x:f>SUM(SalesLines!P3985,SalesLines!P3986,SalesLines!P3987)</x:f>
        <x:v>128</x:v>
      </x:c>
      <x:c r="K1623" s="11" t="n">
        <x:f>SUM(SalesLines!R3985,SalesLines!R3986,SalesLines!R3987)</x:f>
        <x:v>10</x:v>
      </x:c>
      <x:c r="L1623" s="11" t="n">
        <x:f>SUM(SalesLines!S3985,SalesLines!S3986,SalesLines!S3987)</x:f>
        <x:v>2</x:v>
      </x:c>
      <x:c r="M1623" s="8" t="n">
        <x:f>DATE(YEAR(C1623),MONTH(C1623),1)</x:f>
        <x:v>45689</x:v>
      </x:c>
    </x:row>
    <x:row r="1624" ht="22" customHeight="1">
      <x:c r="A1624" s="2" t="str">
        <x:v>O01620</x:v>
      </x:c>
      <x:c r="B1624" s="2" t="str">
        <x:v>C0296</x:v>
      </x:c>
      <x:c r="C1624" s="7" t="n">
        <x:v>45705</x:v>
      </x:c>
      <x:c r="D1624" s="2" t="str">
        <x:v>Completed</x:v>
      </x:c>
      <x:c r="E1624" s="2" t="str">
        <x:v>East</x:v>
      </x:c>
      <x:c r="F1624" s="2" t="str">
        <x:v>Store</x:v>
      </x:c>
      <x:c r="G1624" s="9" t="n">
        <x:f>SUM(SalesLines!Q3988,SalesLines!Q3989)</x:f>
        <x:v>747.5999999999999</x:v>
      </x:c>
      <x:c r="H1624" s="9" t="n">
        <x:f>SUM(SalesLines!M3988,SalesLines!M3989)</x:f>
        <x:v>1344</x:v>
      </x:c>
      <x:c r="I1624" s="9" t="n">
        <x:f>SUM(SalesLines!N3988,SalesLines!N3989)</x:f>
        <x:v>85.2</x:v>
      </x:c>
      <x:c r="J1624" s="9" t="n">
        <x:f>SUM(SalesLines!P3988,SalesLines!P3989)</x:f>
        <x:v>511.2</x:v>
      </x:c>
      <x:c r="K1624" s="11" t="n">
        <x:f>SUM(SalesLines!R3988,SalesLines!R3989)</x:f>
        <x:v>7</x:v>
      </x:c>
      <x:c r="L1624" s="11" t="n">
        <x:f>SUM(SalesLines!S3988,SalesLines!S3989)</x:f>
        <x:v>2</x:v>
      </x:c>
      <x:c r="M1624" s="8" t="n">
        <x:f>DATE(YEAR(C1624),MONTH(C1624),1)</x:f>
        <x:v>45689</x:v>
      </x:c>
    </x:row>
    <x:row r="1625" ht="22" customHeight="1">
      <x:c r="A1625" s="2" t="str">
        <x:v>O01621</x:v>
      </x:c>
      <x:c r="B1625" s="2" t="str">
        <x:v>C0134</x:v>
      </x:c>
      <x:c r="C1625" s="7" t="n">
        <x:v>45662</x:v>
      </x:c>
      <x:c r="D1625" s="2" t="str">
        <x:v>Completed</x:v>
      </x:c>
      <x:c r="E1625" s="2" t="str">
        <x:v>North</x:v>
      </x:c>
      <x:c r="F1625" s="2" t="str">
        <x:v>Online</x:v>
      </x:c>
      <x:c r="G1625" s="9" t="n">
        <x:f>SUM(SalesLines!Q3990,SalesLines!Q3991,SalesLines!Q3992)</x:f>
        <x:v>1158.4</x:v>
      </x:c>
      <x:c r="H1625" s="9" t="n">
        <x:f>SUM(SalesLines!M3990,SalesLines!M3991,SalesLines!M3992)</x:f>
        <x:v>1393</x:v>
      </x:c>
      <x:c r="I1625" s="9" t="n">
        <x:f>SUM(SalesLines!N3990,SalesLines!N3991,SalesLines!N3992)</x:f>
        <x:v>234.6</x:v>
      </x:c>
      <x:c r="J1625" s="9" t="n">
        <x:f>SUM(SalesLines!P3990,SalesLines!P3991,SalesLines!P3992)</x:f>
        <x:v>0</x:v>
      </x:c>
      <x:c r="K1625" s="11" t="n">
        <x:f>SUM(SalesLines!R3990,SalesLines!R3991,SalesLines!R3992)</x:f>
        <x:v>9</x:v>
      </x:c>
      <x:c r="L1625" s="11" t="n">
        <x:f>SUM(SalesLines!S3990,SalesLines!S3991,SalesLines!S3992)</x:f>
        <x:v>0</x:v>
      </x:c>
      <x:c r="M1625" s="8" t="n">
        <x:f>DATE(YEAR(C1625),MONTH(C1625),1)</x:f>
        <x:v>45658</x:v>
      </x:c>
    </x:row>
    <x:row r="1626" ht="22" customHeight="1">
      <x:c r="A1626" s="2" t="str">
        <x:v>O01622</x:v>
      </x:c>
      <x:c r="B1626" s="2" t="str">
        <x:v>C0162</x:v>
      </x:c>
      <x:c r="C1626" s="7" t="n">
        <x:v>46006</x:v>
      </x:c>
      <x:c r="D1626" s="2" t="str">
        <x:v>Completed</x:v>
      </x:c>
      <x:c r="E1626" s="2" t="str">
        <x:v>South</x:v>
      </x:c>
      <x:c r="F1626" s="2" t="str">
        <x:v>Store</x:v>
      </x:c>
      <x:c r="G1626" s="9" t="n">
        <x:f>SUM(SalesLines!Q3993,SalesLines!Q3994)</x:f>
        <x:v>567.45</x:v>
      </x:c>
      <x:c r="H1626" s="9" t="n">
        <x:f>SUM(SalesLines!M3993,SalesLines!M3994)</x:f>
        <x:v>657</x:v>
      </x:c>
      <x:c r="I1626" s="9" t="n">
        <x:f>SUM(SalesLines!N3993,SalesLines!N3994)</x:f>
        <x:v>89.55000000000001</x:v>
      </x:c>
      <x:c r="J1626" s="9" t="n">
        <x:f>SUM(SalesLines!P3993,SalesLines!P3994)</x:f>
        <x:v>0</x:v>
      </x:c>
      <x:c r="K1626" s="11" t="n">
        <x:f>SUM(SalesLines!R3993,SalesLines!R3994)</x:f>
        <x:v>5</x:v>
      </x:c>
      <x:c r="L1626" s="11" t="n">
        <x:f>SUM(SalesLines!S3993,SalesLines!S3994)</x:f>
        <x:v>0</x:v>
      </x:c>
      <x:c r="M1626" s="8" t="n">
        <x:f>DATE(YEAR(C1626),MONTH(C1626),1)</x:f>
        <x:v>45992</x:v>
      </x:c>
    </x:row>
    <x:row r="1627" ht="22" customHeight="1">
      <x:c r="A1627" s="2" t="str">
        <x:v>O01623</x:v>
      </x:c>
      <x:c r="B1627" s="2" t="str">
        <x:v>C0050</x:v>
      </x:c>
      <x:c r="C1627" s="7" t="n">
        <x:v>45976</x:v>
      </x:c>
      <x:c r="D1627" s="2" t="str">
        <x:v>Completed</x:v>
      </x:c>
      <x:c r="E1627" s="2" t="str">
        <x:v>North</x:v>
      </x:c>
      <x:c r="F1627" s="2" t="str">
        <x:v>Store</x:v>
      </x:c>
      <x:c r="G1627" s="9" t="n">
        <x:f>SUM(SalesLines!Q3995,SalesLines!Q3996,SalesLines!Q3997,SalesLines!Q3998)</x:f>
        <x:v>1093</x:v>
      </x:c>
      <x:c r="H1627" s="9" t="n">
        <x:f>SUM(SalesLines!M3995,SalesLines!M3996,SalesLines!M3997,SalesLines!M3998)</x:f>
        <x:v>1180</x:v>
      </x:c>
      <x:c r="I1627" s="9" t="n">
        <x:f>SUM(SalesLines!N3995,SalesLines!N3996,SalesLines!N3997,SalesLines!N3998)</x:f>
        <x:v>87</x:v>
      </x:c>
      <x:c r="J1627" s="9" t="n">
        <x:f>SUM(SalesLines!P3995,SalesLines!P3996,SalesLines!P3997,SalesLines!P3998)</x:f>
        <x:v>0</x:v>
      </x:c>
      <x:c r="K1627" s="11" t="n">
        <x:f>SUM(SalesLines!R3995,SalesLines!R3996,SalesLines!R3997,SalesLines!R3998)</x:f>
        <x:v>9</x:v>
      </x:c>
      <x:c r="L1627" s="11" t="n">
        <x:f>SUM(SalesLines!S3995,SalesLines!S3996,SalesLines!S3997,SalesLines!S3998)</x:f>
        <x:v>0</x:v>
      </x:c>
      <x:c r="M1627" s="8" t="n">
        <x:f>DATE(YEAR(C1627),MONTH(C1627),1)</x:f>
        <x:v>45962</x:v>
      </x:c>
    </x:row>
    <x:row r="1628" ht="22" customHeight="1">
      <x:c r="A1628" s="2" t="str">
        <x:v>O01624</x:v>
      </x:c>
      <x:c r="B1628" s="2" t="str">
        <x:v>C0116</x:v>
      </x:c>
      <x:c r="C1628" s="7" t="n">
        <x:v>45973</x:v>
      </x:c>
      <x:c r="D1628" s="2" t="str">
        <x:v>Completed</x:v>
      </x:c>
      <x:c r="E1628" s="2" t="str">
        <x:v>West</x:v>
      </x:c>
      <x:c r="F1628" s="2" t="str">
        <x:v>Online</x:v>
      </x:c>
      <x:c r="G1628" s="9" t="n">
        <x:f>SUM(SalesLines!Q3999)</x:f>
        <x:v>0</x:v>
      </x:c>
      <x:c r="H1628" s="9" t="n">
        <x:f>SUM(SalesLines!M3999)</x:f>
        <x:v>156</x:v>
      </x:c>
      <x:c r="I1628" s="9" t="n">
        <x:f>SUM(SalesLines!N3999)</x:f>
        <x:v>0</x:v>
      </x:c>
      <x:c r="J1628" s="9" t="n">
        <x:f>SUM(SalesLines!P3999)</x:f>
        <x:v>156</x:v>
      </x:c>
      <x:c r="K1628" s="11" t="n">
        <x:f>SUM(SalesLines!R3999)</x:f>
        <x:v>2</x:v>
      </x:c>
      <x:c r="L1628" s="11" t="n">
        <x:f>SUM(SalesLines!S3999)</x:f>
        <x:v>2</x:v>
      </x:c>
      <x:c r="M1628" s="8" t="n">
        <x:f>DATE(YEAR(C1628),MONTH(C1628),1)</x:f>
        <x:v>45962</x:v>
      </x:c>
    </x:row>
    <x:row r="1629" ht="22" customHeight="1">
      <x:c r="A1629" s="2" t="str">
        <x:v>O01625</x:v>
      </x:c>
      <x:c r="B1629" s="2" t="str">
        <x:v>C0114</x:v>
      </x:c>
      <x:c r="C1629" s="7" t="n">
        <x:v>45662</x:v>
      </x:c>
      <x:c r="D1629" s="2" t="str">
        <x:v>Completed</x:v>
      </x:c>
      <x:c r="E1629" s="2" t="str">
        <x:v>North</x:v>
      </x:c>
      <x:c r="F1629" s="2" t="str">
        <x:v>Online</x:v>
      </x:c>
      <x:c r="G1629" s="9" t="n">
        <x:f>SUM(SalesLines!Q4000,SalesLines!Q4001,SalesLines!Q4002)</x:f>
        <x:v>639</x:v>
      </x:c>
      <x:c r="H1629" s="9" t="n">
        <x:f>SUM(SalesLines!M4000,SalesLines!M4001,SalesLines!M4002)</x:f>
        <x:v>719</x:v>
      </x:c>
      <x:c r="I1629" s="9" t="n">
        <x:f>SUM(SalesLines!N4000,SalesLines!N4001,SalesLines!N4002)</x:f>
        <x:v>80</x:v>
      </x:c>
      <x:c r="J1629" s="9" t="n">
        <x:f>SUM(SalesLines!P4000,SalesLines!P4001,SalesLines!P4002)</x:f>
        <x:v>0</x:v>
      </x:c>
      <x:c r="K1629" s="11" t="n">
        <x:f>SUM(SalesLines!R4000,SalesLines!R4001,SalesLines!R4002)</x:f>
        <x:v>8</x:v>
      </x:c>
      <x:c r="L1629" s="11" t="n">
        <x:f>SUM(SalesLines!S4000,SalesLines!S4001,SalesLines!S4002)</x:f>
        <x:v>0</x:v>
      </x:c>
      <x:c r="M1629" s="8" t="n">
        <x:f>DATE(YEAR(C1629),MONTH(C1629),1)</x:f>
        <x:v>45658</x:v>
      </x:c>
    </x:row>
    <x:row r="1630" ht="22" customHeight="1">
      <x:c r="A1630" s="2" t="str">
        <x:v>O01626</x:v>
      </x:c>
      <x:c r="B1630" s="2" t="str">
        <x:v>C0218</x:v>
      </x:c>
      <x:c r="C1630" s="7" t="n">
        <x:v>45883</x:v>
      </x:c>
      <x:c r="D1630" s="2" t="str">
        <x:v>Completed</x:v>
      </x:c>
      <x:c r="E1630" s="2" t="str">
        <x:v>East</x:v>
      </x:c>
      <x:c r="F1630" s="2" t="str">
        <x:v>Store</x:v>
      </x:c>
      <x:c r="G1630" s="9" t="n">
        <x:f>SUM(SalesLines!Q4003)</x:f>
        <x:v>609.6</x:v>
      </x:c>
      <x:c r="H1630" s="9" t="n">
        <x:f>SUM(SalesLines!M4003)</x:f>
        <x:v>762</x:v>
      </x:c>
      <x:c r="I1630" s="9" t="n">
        <x:f>SUM(SalesLines!N4003)</x:f>
        <x:v>152.4</x:v>
      </x:c>
      <x:c r="J1630" s="9" t="n">
        <x:f>SUM(SalesLines!P4003)</x:f>
        <x:v>0</x:v>
      </x:c>
      <x:c r="K1630" s="11" t="n">
        <x:f>SUM(SalesLines!R4003)</x:f>
        <x:v>3</x:v>
      </x:c>
      <x:c r="L1630" s="11" t="n">
        <x:f>SUM(SalesLines!S4003)</x:f>
        <x:v>0</x:v>
      </x:c>
      <x:c r="M1630" s="8" t="n">
        <x:f>DATE(YEAR(C1630),MONTH(C1630),1)</x:f>
        <x:v>45870</x:v>
      </x:c>
    </x:row>
    <x:row r="1631" ht="22" customHeight="1">
      <x:c r="A1631" s="2" t="str">
        <x:v>O01627</x:v>
      </x:c>
      <x:c r="B1631" s="2" t="str">
        <x:v>C0274</x:v>
      </x:c>
      <x:c r="C1631" s="7" t="n">
        <x:v>45773</x:v>
      </x:c>
      <x:c r="D1631" s="2" t="str">
        <x:v>Completed</x:v>
      </x:c>
      <x:c r="E1631" s="2" t="str">
        <x:v>North</x:v>
      </x:c>
      <x:c r="F1631" s="2" t="str">
        <x:v>Store</x:v>
      </x:c>
      <x:c r="G1631" s="9" t="n">
        <x:f>SUM(SalesLines!Q4004,SalesLines!Q4005)</x:f>
        <x:v>1117.8</x:v>
      </x:c>
      <x:c r="H1631" s="9" t="n">
        <x:f>SUM(SalesLines!M4004,SalesLines!M4005)</x:f>
        <x:v>1128</x:v>
      </x:c>
      <x:c r="I1631" s="9" t="n">
        <x:f>SUM(SalesLines!N4004,SalesLines!N4005)</x:f>
        <x:v>10.200000000000001</x:v>
      </x:c>
      <x:c r="J1631" s="9" t="n">
        <x:f>SUM(SalesLines!P4004,SalesLines!P4005)</x:f>
        <x:v>0</x:v>
      </x:c>
      <x:c r="K1631" s="11" t="n">
        <x:f>SUM(SalesLines!R4004,SalesLines!R4005)</x:f>
        <x:v>7</x:v>
      </x:c>
      <x:c r="L1631" s="11" t="n">
        <x:f>SUM(SalesLines!S4004,SalesLines!S4005)</x:f>
        <x:v>0</x:v>
      </x:c>
      <x:c r="M1631" s="8" t="n">
        <x:f>DATE(YEAR(C1631),MONTH(C1631),1)</x:f>
        <x:v>45748</x:v>
      </x:c>
    </x:row>
    <x:row r="1632" ht="22" customHeight="1">
      <x:c r="A1632" s="2" t="str">
        <x:v>O01628</x:v>
      </x:c>
      <x:c r="B1632" s="2" t="str">
        <x:v>C0167</x:v>
      </x:c>
      <x:c r="C1632" s="7" t="n">
        <x:v>45661</x:v>
      </x:c>
      <x:c r="D1632" s="2" t="str">
        <x:v>Completed</x:v>
      </x:c>
      <x:c r="E1632" s="2" t="str">
        <x:v>West</x:v>
      </x:c>
      <x:c r="F1632" s="2" t="str">
        <x:v>Store</x:v>
      </x:c>
      <x:c r="G1632" s="9" t="n">
        <x:f>SUM(SalesLines!Q4006)</x:f>
        <x:v>467.4</x:v>
      </x:c>
      <x:c r="H1632" s="9" t="n">
        <x:f>SUM(SalesLines!M4006)</x:f>
        <x:v>492</x:v>
      </x:c>
      <x:c r="I1632" s="9" t="n">
        <x:f>SUM(SalesLines!N4006)</x:f>
        <x:v>24.6</x:v>
      </x:c>
      <x:c r="J1632" s="9" t="n">
        <x:f>SUM(SalesLines!P4006)</x:f>
        <x:v>0</x:v>
      </x:c>
      <x:c r="K1632" s="11" t="n">
        <x:f>SUM(SalesLines!R4006)</x:f>
        <x:v>4</x:v>
      </x:c>
      <x:c r="L1632" s="11" t="n">
        <x:f>SUM(SalesLines!S4006)</x:f>
        <x:v>0</x:v>
      </x:c>
      <x:c r="M1632" s="8" t="n">
        <x:f>DATE(YEAR(C1632),MONTH(C1632),1)</x:f>
        <x:v>45658</x:v>
      </x:c>
    </x:row>
    <x:row r="1633" ht="22" customHeight="1">
      <x:c r="A1633" s="2" t="str">
        <x:v>O01629</x:v>
      </x:c>
      <x:c r="B1633" s="2" t="str">
        <x:v>C0240</x:v>
      </x:c>
      <x:c r="C1633" s="7" t="n">
        <x:v>45671</x:v>
      </x:c>
      <x:c r="D1633" s="2" t="str">
        <x:v>Completed</x:v>
      </x:c>
      <x:c r="E1633" s="2" t="str">
        <x:v>West</x:v>
      </x:c>
      <x:c r="F1633" s="2" t="str">
        <x:v>Store</x:v>
      </x:c>
      <x:c r="G1633" s="9" t="n">
        <x:f>SUM(SalesLines!Q4007,SalesLines!Q4008)</x:f>
        <x:v>128</x:v>
      </x:c>
      <x:c r="H1633" s="9" t="n">
        <x:f>SUM(SalesLines!M4007,SalesLines!M4008)</x:f>
        <x:v>135</x:v>
      </x:c>
      <x:c r="I1633" s="9" t="n">
        <x:f>SUM(SalesLines!N4007,SalesLines!N4008)</x:f>
        <x:v>7</x:v>
      </x:c>
      <x:c r="J1633" s="9" t="n">
        <x:f>SUM(SalesLines!P4007,SalesLines!P4008)</x:f>
        <x:v>0</x:v>
      </x:c>
      <x:c r="K1633" s="11" t="n">
        <x:f>SUM(SalesLines!R4007,SalesLines!R4008)</x:f>
        <x:v>3</x:v>
      </x:c>
      <x:c r="L1633" s="11" t="n">
        <x:f>SUM(SalesLines!S4007,SalesLines!S4008)</x:f>
        <x:v>0</x:v>
      </x:c>
      <x:c r="M1633" s="8" t="n">
        <x:f>DATE(YEAR(C1633),MONTH(C1633),1)</x:f>
        <x:v>45658</x:v>
      </x:c>
    </x:row>
    <x:row r="1634" ht="22" customHeight="1">
      <x:c r="A1634" s="2" t="str">
        <x:v>O01630</x:v>
      </x:c>
      <x:c r="B1634" s="2" t="str">
        <x:v>C0111</x:v>
      </x:c>
      <x:c r="C1634" s="7" t="n">
        <x:v>45815</x:v>
      </x:c>
      <x:c r="D1634" s="2" t="str">
        <x:v>Completed</x:v>
      </x:c>
      <x:c r="E1634" s="2" t="str">
        <x:v>South</x:v>
      </x:c>
      <x:c r="F1634" s="2" t="str">
        <x:v>Online</x:v>
      </x:c>
      <x:c r="G1634" s="9" t="n">
        <x:f>SUM(SalesLines!Q4009,SalesLines!Q4010,SalesLines!Q4011,SalesLines!Q4012)</x:f>
        <x:v>1783.4</x:v>
      </x:c>
      <x:c r="H1634" s="9" t="n">
        <x:f>SUM(SalesLines!M4009,SalesLines!M4010,SalesLines!M4011,SalesLines!M4012)</x:f>
        <x:v>2259</x:v>
      </x:c>
      <x:c r="I1634" s="9" t="n">
        <x:f>SUM(SalesLines!N4009,SalesLines!N4010,SalesLines!N4011,SalesLines!N4012)</x:f>
        <x:v>382.6</x:v>
      </x:c>
      <x:c r="J1634" s="9" t="n">
        <x:f>SUM(SalesLines!P4009,SalesLines!P4010,SalesLines!P4011,SalesLines!P4012)</x:f>
        <x:v>93</x:v>
      </x:c>
      <x:c r="K1634" s="11" t="n">
        <x:f>SUM(SalesLines!R4009,SalesLines!R4010,SalesLines!R4011,SalesLines!R4012)</x:f>
        <x:v>13</x:v>
      </x:c>
      <x:c r="L1634" s="11" t="n">
        <x:f>SUM(SalesLines!S4009,SalesLines!S4010,SalesLines!S4011,SalesLines!S4012)</x:f>
        <x:v>1</x:v>
      </x:c>
      <x:c r="M1634" s="8" t="n">
        <x:f>DATE(YEAR(C1634),MONTH(C1634),1)</x:f>
        <x:v>45809</x:v>
      </x:c>
    </x:row>
    <x:row r="1635" ht="22" customHeight="1">
      <x:c r="A1635" s="2" t="str">
        <x:v>O01631</x:v>
      </x:c>
      <x:c r="B1635" s="2" t="str">
        <x:v>C0015</x:v>
      </x:c>
      <x:c r="C1635" s="7" t="n">
        <x:v>45812</x:v>
      </x:c>
      <x:c r="D1635" s="2" t="str">
        <x:v>Completed</x:v>
      </x:c>
      <x:c r="E1635" s="2" t="str">
        <x:v>West</x:v>
      </x:c>
      <x:c r="F1635" s="2" t="str">
        <x:v>Store</x:v>
      </x:c>
      <x:c r="G1635" s="9" t="n">
        <x:f>SUM(SalesLines!Q4013,SalesLines!Q4014,SalesLines!Q4015)</x:f>
        <x:v>451.4</x:v>
      </x:c>
      <x:c r="H1635" s="9" t="n">
        <x:f>SUM(SalesLines!M4013,SalesLines!M4014,SalesLines!M4015)</x:f>
        <x:v>575</x:v>
      </x:c>
      <x:c r="I1635" s="9" t="n">
        <x:f>SUM(SalesLines!N4013,SalesLines!N4014,SalesLines!N4015)</x:f>
        <x:v>50.7</x:v>
      </x:c>
      <x:c r="J1635" s="9" t="n">
        <x:f>SUM(SalesLines!P4013,SalesLines!P4014,SalesLines!P4015)</x:f>
        <x:v>72.9</x:v>
      </x:c>
      <x:c r="K1635" s="11" t="n">
        <x:f>SUM(SalesLines!R4013,SalesLines!R4014,SalesLines!R4015)</x:f>
        <x:v>6</x:v>
      </x:c>
      <x:c r="L1635" s="11" t="n">
        <x:f>SUM(SalesLines!S4013,SalesLines!S4014,SalesLines!S4015)</x:f>
        <x:v>1</x:v>
      </x:c>
      <x:c r="M1635" s="8" t="n">
        <x:f>DATE(YEAR(C1635),MONTH(C1635),1)</x:f>
        <x:v>45809</x:v>
      </x:c>
    </x:row>
    <x:row r="1636" ht="22" customHeight="1">
      <x:c r="A1636" s="2" t="str">
        <x:v>O01632</x:v>
      </x:c>
      <x:c r="B1636" s="2" t="str">
        <x:v>C0087</x:v>
      </x:c>
      <x:c r="C1636" s="7" t="n">
        <x:v>45770</x:v>
      </x:c>
      <x:c r="D1636" s="2" t="str">
        <x:v>Completed</x:v>
      </x:c>
      <x:c r="E1636" s="2" t="str">
        <x:v>North</x:v>
      </x:c>
      <x:c r="F1636" s="2" t="str">
        <x:v>Online</x:v>
      </x:c>
      <x:c r="G1636" s="9" t="n">
        <x:f>SUM(SalesLines!Q4016,SalesLines!Q4017)</x:f>
        <x:v>1500.05</x:v>
      </x:c>
      <x:c r="H1636" s="9" t="n">
        <x:f>SUM(SalesLines!M4016,SalesLines!M4017)</x:f>
        <x:v>1579</x:v>
      </x:c>
      <x:c r="I1636" s="9" t="n">
        <x:f>SUM(SalesLines!N4016,SalesLines!N4017)</x:f>
        <x:v>78.95</x:v>
      </x:c>
      <x:c r="J1636" s="9" t="n">
        <x:f>SUM(SalesLines!P4016,SalesLines!P4017)</x:f>
        <x:v>0</x:v>
      </x:c>
      <x:c r="K1636" s="11" t="n">
        <x:f>SUM(SalesLines!R4016,SalesLines!R4017)</x:f>
        <x:v>8</x:v>
      </x:c>
      <x:c r="L1636" s="11" t="n">
        <x:f>SUM(SalesLines!S4016,SalesLines!S4017)</x:f>
        <x:v>0</x:v>
      </x:c>
      <x:c r="M1636" s="8" t="n">
        <x:f>DATE(YEAR(C1636),MONTH(C1636),1)</x:f>
        <x:v>45748</x:v>
      </x:c>
    </x:row>
    <x:row r="1637" ht="22" customHeight="1">
      <x:c r="A1637" s="2" t="str">
        <x:v>O01633</x:v>
      </x:c>
      <x:c r="B1637" s="2" t="str">
        <x:v>C0237</x:v>
      </x:c>
      <x:c r="C1637" s="7" t="n">
        <x:v>45692</x:v>
      </x:c>
      <x:c r="D1637" s="2" t="str">
        <x:v>Completed</x:v>
      </x:c>
      <x:c r="E1637" s="2" t="str">
        <x:v>South</x:v>
      </x:c>
      <x:c r="F1637" s="2" t="str">
        <x:v>Store</x:v>
      </x:c>
      <x:c r="G1637" s="9" t="n">
        <x:f>SUM(SalesLines!Q4018,SalesLines!Q4019,SalesLines!Q4020,SalesLines!Q4021)</x:f>
        <x:v>1716.8</x:v>
      </x:c>
      <x:c r="H1637" s="9" t="n">
        <x:f>SUM(SalesLines!M4018,SalesLines!M4019,SalesLines!M4020,SalesLines!M4021)</x:f>
        <x:v>3322</x:v>
      </x:c>
      <x:c r="I1637" s="9" t="n">
        <x:f>SUM(SalesLines!N4018,SalesLines!N4019,SalesLines!N4020,SalesLines!N4021)</x:f>
        <x:v>238.8</x:v>
      </x:c>
      <x:c r="J1637" s="9" t="n">
        <x:f>SUM(SalesLines!P4018,SalesLines!P4019,SalesLines!P4020,SalesLines!P4021)</x:f>
        <x:v>1366.4</x:v>
      </x:c>
      <x:c r="K1637" s="11" t="n">
        <x:f>SUM(SalesLines!R4018,SalesLines!R4019,SalesLines!R4020,SalesLines!R4021)</x:f>
        <x:v>14</x:v>
      </x:c>
      <x:c r="L1637" s="11" t="n">
        <x:f>SUM(SalesLines!S4018,SalesLines!S4019,SalesLines!S4020,SalesLines!S4021)</x:f>
        <x:v>6</x:v>
      </x:c>
      <x:c r="M1637" s="8" t="n">
        <x:f>DATE(YEAR(C1637),MONTH(C1637),1)</x:f>
        <x:v>45689</x:v>
      </x:c>
    </x:row>
    <x:row r="1638" ht="22" customHeight="1">
      <x:c r="A1638" s="2" t="str">
        <x:v>O01634</x:v>
      </x:c>
      <x:c r="B1638" s="2" t="str">
        <x:v>C0151</x:v>
      </x:c>
      <x:c r="C1638" s="7" t="n">
        <x:v>45833</x:v>
      </x:c>
      <x:c r="D1638" s="2" t="str">
        <x:v>Completed</x:v>
      </x:c>
      <x:c r="E1638" s="2" t="str">
        <x:v>South</x:v>
      </x:c>
      <x:c r="F1638" s="2" t="str">
        <x:v>Store</x:v>
      </x:c>
      <x:c r="G1638" s="9" t="n">
        <x:f>SUM(SalesLines!Q4022)</x:f>
        <x:v>378.1</x:v>
      </x:c>
      <x:c r="H1638" s="9" t="n">
        <x:f>SUM(SalesLines!M4022)</x:f>
        <x:v>398</x:v>
      </x:c>
      <x:c r="I1638" s="9" t="n">
        <x:f>SUM(SalesLines!N4022)</x:f>
        <x:v>19.900000000000002</x:v>
      </x:c>
      <x:c r="J1638" s="9" t="n">
        <x:f>SUM(SalesLines!P4022)</x:f>
        <x:v>0</x:v>
      </x:c>
      <x:c r="K1638" s="11" t="n">
        <x:f>SUM(SalesLines!R4022)</x:f>
        <x:v>2</x:v>
      </x:c>
      <x:c r="L1638" s="11" t="n">
        <x:f>SUM(SalesLines!S4022)</x:f>
        <x:v>0</x:v>
      </x:c>
      <x:c r="M1638" s="8" t="n">
        <x:f>DATE(YEAR(C1638),MONTH(C1638),1)</x:f>
        <x:v>45809</x:v>
      </x:c>
    </x:row>
    <x:row r="1639" ht="22" customHeight="1">
      <x:c r="A1639" s="2" t="str">
        <x:v>O01635</x:v>
      </x:c>
      <x:c r="B1639" s="2" t="str">
        <x:v>C0199</x:v>
      </x:c>
      <x:c r="C1639" s="7" t="n">
        <x:v>45755</x:v>
      </x:c>
      <x:c r="D1639" s="2" t="str">
        <x:v>Completed</x:v>
      </x:c>
      <x:c r="E1639" s="2" t="str">
        <x:v>North</x:v>
      </x:c>
      <x:c r="F1639" s="2" t="str">
        <x:v>Online</x:v>
      </x:c>
      <x:c r="G1639" s="9" t="n">
        <x:f>SUM(SalesLines!Q4023,SalesLines!Q4024,SalesLines!Q4025,SalesLines!Q4026)</x:f>
        <x:v>1558.65</x:v>
      </x:c>
      <x:c r="H1639" s="9" t="n">
        <x:f>SUM(SalesLines!M4023,SalesLines!M4024,SalesLines!M4025,SalesLines!M4026)</x:f>
        <x:v>1799</x:v>
      </x:c>
      <x:c r="I1639" s="9" t="n">
        <x:f>SUM(SalesLines!N4023,SalesLines!N4024,SalesLines!N4025,SalesLines!N4026)</x:f>
        <x:v>240.35000000000002</x:v>
      </x:c>
      <x:c r="J1639" s="9" t="n">
        <x:f>SUM(SalesLines!P4023,SalesLines!P4024,SalesLines!P4025,SalesLines!P4026)</x:f>
        <x:v>0</x:v>
      </x:c>
      <x:c r="K1639" s="11" t="n">
        <x:f>SUM(SalesLines!R4023,SalesLines!R4024,SalesLines!R4025,SalesLines!R4026)</x:f>
        <x:v>14</x:v>
      </x:c>
      <x:c r="L1639" s="11" t="n">
        <x:f>SUM(SalesLines!S4023,SalesLines!S4024,SalesLines!S4025,SalesLines!S4026)</x:f>
        <x:v>0</x:v>
      </x:c>
      <x:c r="M1639" s="8" t="n">
        <x:f>DATE(YEAR(C1639),MONTH(C1639),1)</x:f>
        <x:v>45748</x:v>
      </x:c>
    </x:row>
    <x:row r="1640" ht="22" customHeight="1">
      <x:c r="A1640" s="2" t="str">
        <x:v>O01636</x:v>
      </x:c>
      <x:c r="B1640" s="2" t="str">
        <x:v>C0097</x:v>
      </x:c>
      <x:c r="C1640" s="7" t="n">
        <x:v>45780</x:v>
      </x:c>
      <x:c r="D1640" s="2" t="str">
        <x:v>Completed</x:v>
      </x:c>
      <x:c r="E1640" s="2" t="str">
        <x:v>West</x:v>
      </x:c>
      <x:c r="F1640" s="2" t="str">
        <x:v>Online</x:v>
      </x:c>
      <x:c r="G1640" s="9" t="n">
        <x:f>SUM(SalesLines!Q4027)</x:f>
        <x:v>623.7</x:v>
      </x:c>
      <x:c r="H1640" s="9" t="n">
        <x:f>SUM(SalesLines!M4027)</x:f>
        <x:v>693</x:v>
      </x:c>
      <x:c r="I1640" s="9" t="n">
        <x:f>SUM(SalesLines!N4027)</x:f>
        <x:v>69.3</x:v>
      </x:c>
      <x:c r="J1640" s="9" t="n">
        <x:f>SUM(SalesLines!P4027)</x:f>
        <x:v>0</x:v>
      </x:c>
      <x:c r="K1640" s="11" t="n">
        <x:f>SUM(SalesLines!R4027)</x:f>
        <x:v>3</x:v>
      </x:c>
      <x:c r="L1640" s="11" t="n">
        <x:f>SUM(SalesLines!S4027)</x:f>
        <x:v>0</x:v>
      </x:c>
      <x:c r="M1640" s="8" t="n">
        <x:f>DATE(YEAR(C1640),MONTH(C1640),1)</x:f>
        <x:v>45778</x:v>
      </x:c>
    </x:row>
    <x:row r="1641" ht="22" customHeight="1">
      <x:c r="A1641" s="2" t="str">
        <x:v>O01637</x:v>
      </x:c>
      <x:c r="B1641" s="2" t="str">
        <x:v>C0221</x:v>
      </x:c>
      <x:c r="C1641" s="7" t="n">
        <x:v>45983</x:v>
      </x:c>
      <x:c r="D1641" s="2" t="str">
        <x:v>Completed</x:v>
      </x:c>
      <x:c r="E1641" s="2" t="str">
        <x:v>West</x:v>
      </x:c>
      <x:c r="F1641" s="2" t="str">
        <x:v>Store</x:v>
      </x:c>
      <x:c r="G1641" s="9" t="n">
        <x:f>SUM(SalesLines!Q4028,SalesLines!Q4029)</x:f>
        <x:v>1943.2</x:v>
      </x:c>
      <x:c r="H1641" s="9" t="n">
        <x:f>SUM(SalesLines!M4028,SalesLines!M4029)</x:f>
        <x:v>2160</x:v>
      </x:c>
      <x:c r="I1641" s="9" t="n">
        <x:f>SUM(SalesLines!N4028,SalesLines!N4029)</x:f>
        <x:v>216.8</x:v>
      </x:c>
      <x:c r="J1641" s="9" t="n">
        <x:f>SUM(SalesLines!P4028,SalesLines!P4029)</x:f>
        <x:v>0</x:v>
      </x:c>
      <x:c r="K1641" s="11" t="n">
        <x:f>SUM(SalesLines!R4028,SalesLines!R4029)</x:f>
        <x:v>8</x:v>
      </x:c>
      <x:c r="L1641" s="11" t="n">
        <x:f>SUM(SalesLines!S4028,SalesLines!S4029)</x:f>
        <x:v>0</x:v>
      </x:c>
      <x:c r="M1641" s="8" t="n">
        <x:f>DATE(YEAR(C1641),MONTH(C1641),1)</x:f>
        <x:v>45962</x:v>
      </x:c>
    </x:row>
    <x:row r="1642" ht="22" customHeight="1">
      <x:c r="A1642" s="2" t="str">
        <x:v>O01638</x:v>
      </x:c>
      <x:c r="B1642" s="2" t="str">
        <x:v>C0051</x:v>
      </x:c>
      <x:c r="C1642" s="7" t="n">
        <x:v>45922</x:v>
      </x:c>
      <x:c r="D1642" s="2" t="str">
        <x:v>Completed</x:v>
      </x:c>
      <x:c r="E1642" s="2" t="str">
        <x:v>West</x:v>
      </x:c>
      <x:c r="F1642" s="2" t="str">
        <x:v>Store</x:v>
      </x:c>
      <x:c r="G1642" s="9" t="n">
        <x:f>SUM(SalesLines!Q4030,SalesLines!Q4031,SalesLines!Q4032)</x:f>
        <x:v>1071</x:v>
      </x:c>
      <x:c r="H1642" s="9" t="n">
        <x:f>SUM(SalesLines!M4030,SalesLines!M4031,SalesLines!M4032)</x:f>
        <x:v>1087</x:v>
      </x:c>
      <x:c r="I1642" s="9" t="n">
        <x:f>SUM(SalesLines!N4030,SalesLines!N4031,SalesLines!N4032)</x:f>
        <x:v>16</x:v>
      </x:c>
      <x:c r="J1642" s="9" t="n">
        <x:f>SUM(SalesLines!P4030,SalesLines!P4031,SalesLines!P4032)</x:f>
        <x:v>0</x:v>
      </x:c>
      <x:c r="K1642" s="11" t="n">
        <x:f>SUM(SalesLines!R4030,SalesLines!R4031,SalesLines!R4032)</x:f>
        <x:v>8</x:v>
      </x:c>
      <x:c r="L1642" s="11" t="n">
        <x:f>SUM(SalesLines!S4030,SalesLines!S4031,SalesLines!S4032)</x:f>
        <x:v>0</x:v>
      </x:c>
      <x:c r="M1642" s="8" t="n">
        <x:f>DATE(YEAR(C1642),MONTH(C1642),1)</x:f>
        <x:v>45901</x:v>
      </x:c>
    </x:row>
    <x:row r="1643" ht="22" customHeight="1">
      <x:c r="A1643" s="2" t="str">
        <x:v>O01639</x:v>
      </x:c>
      <x:c r="B1643" s="2" t="str">
        <x:v>C0001</x:v>
      </x:c>
      <x:c r="C1643" s="7" t="n">
        <x:v>45930</x:v>
      </x:c>
      <x:c r="D1643" s="2" t="str">
        <x:v>Completed</x:v>
      </x:c>
      <x:c r="E1643" s="2" t="str">
        <x:v>East</x:v>
      </x:c>
      <x:c r="F1643" s="2" t="str">
        <x:v>Store</x:v>
      </x:c>
      <x:c r="G1643" s="9" t="n">
        <x:f>SUM(SalesLines!Q4033)</x:f>
        <x:v>484.2</x:v>
      </x:c>
      <x:c r="H1643" s="9" t="n">
        <x:f>SUM(SalesLines!M4033)</x:f>
        <x:v>538</x:v>
      </x:c>
      <x:c r="I1643" s="9" t="n">
        <x:f>SUM(SalesLines!N4033)</x:f>
        <x:v>53.800000000000004</x:v>
      </x:c>
      <x:c r="J1643" s="9" t="n">
        <x:f>SUM(SalesLines!P4033)</x:f>
        <x:v>0</x:v>
      </x:c>
      <x:c r="K1643" s="11" t="n">
        <x:f>SUM(SalesLines!R4033)</x:f>
        <x:v>2</x:v>
      </x:c>
      <x:c r="L1643" s="11" t="n">
        <x:f>SUM(SalesLines!S4033)</x:f>
        <x:v>0</x:v>
      </x:c>
      <x:c r="M1643" s="8" t="n">
        <x:f>DATE(YEAR(C1643),MONTH(C1643),1)</x:f>
        <x:v>45901</x:v>
      </x:c>
    </x:row>
    <x:row r="1644" ht="22" customHeight="1">
      <x:c r="A1644" s="2" t="str">
        <x:v>O01640</x:v>
      </x:c>
      <x:c r="B1644" s="2" t="str">
        <x:v>C0071</x:v>
      </x:c>
      <x:c r="C1644" s="7" t="n">
        <x:v>45779</x:v>
      </x:c>
      <x:c r="D1644" s="2" t="str">
        <x:v>Completed</x:v>
      </x:c>
      <x:c r="E1644" s="2" t="str">
        <x:v>West</x:v>
      </x:c>
      <x:c r="F1644" s="2" t="str">
        <x:v>Store</x:v>
      </x:c>
      <x:c r="G1644" s="9" t="n">
        <x:f>SUM(SalesLines!Q4034,SalesLines!Q4035,SalesLines!Q4036,SalesLines!Q4037)</x:f>
        <x:v>2161.65</x:v>
      </x:c>
      <x:c r="H1644" s="9" t="n">
        <x:f>SUM(SalesLines!M4034,SalesLines!M4035,SalesLines!M4036,SalesLines!M4037)</x:f>
        <x:v>2592</x:v>
      </x:c>
      <x:c r="I1644" s="9" t="n">
        <x:f>SUM(SalesLines!N4034,SalesLines!N4035,SalesLines!N4036,SalesLines!N4037)</x:f>
        <x:v>367.95</x:v>
      </x:c>
      <x:c r="J1644" s="9" t="n">
        <x:f>SUM(SalesLines!P4034,SalesLines!P4035,SalesLines!P4036,SalesLines!P4037)</x:f>
        <x:v>62.400000000000006</x:v>
      </x:c>
      <x:c r="K1644" s="11" t="n">
        <x:f>SUM(SalesLines!R4034,SalesLines!R4035,SalesLines!R4036,SalesLines!R4037)</x:f>
        <x:v>15</x:v>
      </x:c>
      <x:c r="L1644" s="11" t="n">
        <x:f>SUM(SalesLines!S4034,SalesLines!S4035,SalesLines!S4036,SalesLines!S4037)</x:f>
        <x:v>1</x:v>
      </x:c>
      <x:c r="M1644" s="8" t="n">
        <x:f>DATE(YEAR(C1644),MONTH(C1644),1)</x:f>
        <x:v>45778</x:v>
      </x:c>
    </x:row>
    <x:row r="1645" ht="22" customHeight="1">
      <x:c r="A1645" s="2" t="str">
        <x:v>O01641</x:v>
      </x:c>
      <x:c r="B1645" s="2" t="str">
        <x:v>C0147</x:v>
      </x:c>
      <x:c r="C1645" s="7" t="n">
        <x:v>45898</x:v>
      </x:c>
      <x:c r="D1645" s="2" t="str">
        <x:v>Completed</x:v>
      </x:c>
      <x:c r="E1645" s="2" t="str">
        <x:v>East</x:v>
      </x:c>
      <x:c r="F1645" s="2" t="str">
        <x:v>Online</x:v>
      </x:c>
      <x:c r="G1645" s="9" t="n">
        <x:f>SUM(SalesLines!Q4038,SalesLines!Q4039,SalesLines!Q4040,SalesLines!Q4041)</x:f>
        <x:v>1117.2</x:v>
      </x:c>
      <x:c r="H1645" s="9" t="n">
        <x:f>SUM(SalesLines!M4038,SalesLines!M4039,SalesLines!M4040,SalesLines!M4041)</x:f>
        <x:v>1297</x:v>
      </x:c>
      <x:c r="I1645" s="9" t="n">
        <x:f>SUM(SalesLines!N4038,SalesLines!N4039,SalesLines!N4040,SalesLines!N4041)</x:f>
        <x:v>179.8</x:v>
      </x:c>
      <x:c r="J1645" s="9" t="n">
        <x:f>SUM(SalesLines!P4038,SalesLines!P4039,SalesLines!P4040,SalesLines!P4041)</x:f>
        <x:v>0</x:v>
      </x:c>
      <x:c r="K1645" s="11" t="n">
        <x:f>SUM(SalesLines!R4038,SalesLines!R4039,SalesLines!R4040,SalesLines!R4041)</x:f>
        <x:v>8</x:v>
      </x:c>
      <x:c r="L1645" s="11" t="n">
        <x:f>SUM(SalesLines!S4038,SalesLines!S4039,SalesLines!S4040,SalesLines!S4041)</x:f>
        <x:v>0</x:v>
      </x:c>
      <x:c r="M1645" s="8" t="n">
        <x:f>DATE(YEAR(C1645),MONTH(C1645),1)</x:f>
        <x:v>45870</x:v>
      </x:c>
    </x:row>
    <x:row r="1646" ht="22" customHeight="1">
      <x:c r="A1646" s="2" t="str">
        <x:v>O01642</x:v>
      </x:c>
      <x:c r="B1646" s="2" t="str">
        <x:v>C0219</x:v>
      </x:c>
      <x:c r="C1646" s="7" t="n">
        <x:v>45662</x:v>
      </x:c>
      <x:c r="D1646" s="2" t="str">
        <x:v>Completed</x:v>
      </x:c>
      <x:c r="E1646" s="2" t="str">
        <x:v>East</x:v>
      </x:c>
      <x:c r="F1646" s="2" t="str">
        <x:v>Online</x:v>
      </x:c>
      <x:c r="G1646" s="9" t="n">
        <x:f>SUM(SalesLines!Q4042,SalesLines!Q4043,SalesLines!Q4044,SalesLines!Q4045)</x:f>
        <x:v>1336.8</x:v>
      </x:c>
      <x:c r="H1646" s="9" t="n">
        <x:f>SUM(SalesLines!M4042,SalesLines!M4043,SalesLines!M4044,SalesLines!M4045)</x:f>
        <x:v>1405</x:v>
      </x:c>
      <x:c r="I1646" s="9" t="n">
        <x:f>SUM(SalesLines!N4042,SalesLines!N4043,SalesLines!N4044,SalesLines!N4045)</x:f>
        <x:v>68.2</x:v>
      </x:c>
      <x:c r="J1646" s="9" t="n">
        <x:f>SUM(SalesLines!P4042,SalesLines!P4043,SalesLines!P4044,SalesLines!P4045)</x:f>
        <x:v>0</x:v>
      </x:c>
      <x:c r="K1646" s="11" t="n">
        <x:f>SUM(SalesLines!R4042,SalesLines!R4043,SalesLines!R4044,SalesLines!R4045)</x:f>
        <x:v>10</x:v>
      </x:c>
      <x:c r="L1646" s="11" t="n">
        <x:f>SUM(SalesLines!S4042,SalesLines!S4043,SalesLines!S4044,SalesLines!S4045)</x:f>
        <x:v>0</x:v>
      </x:c>
      <x:c r="M1646" s="8" t="n">
        <x:f>DATE(YEAR(C1646),MONTH(C1646),1)</x:f>
        <x:v>45658</x:v>
      </x:c>
    </x:row>
    <x:row r="1647" ht="22" customHeight="1">
      <x:c r="A1647" s="2" t="str">
        <x:v>O01643</x:v>
      </x:c>
      <x:c r="B1647" s="2" t="str">
        <x:v>C0008</x:v>
      </x:c>
      <x:c r="C1647" s="7" t="n">
        <x:v>45819</x:v>
      </x:c>
      <x:c r="D1647" s="2" t="str">
        <x:v>Completed</x:v>
      </x:c>
      <x:c r="E1647" s="2" t="str">
        <x:v>North</x:v>
      </x:c>
      <x:c r="F1647" s="2" t="str">
        <x:v>Store</x:v>
      </x:c>
      <x:c r="G1647" s="9" t="n">
        <x:f>SUM(SalesLines!Q4046)</x:f>
        <x:v>453.6</x:v>
      </x:c>
      <x:c r="H1647" s="9" t="n">
        <x:f>SUM(SalesLines!M4046)</x:f>
        <x:v>567</x:v>
      </x:c>
      <x:c r="I1647" s="9" t="n">
        <x:f>SUM(SalesLines!N4046)</x:f>
        <x:v>113.4</x:v>
      </x:c>
      <x:c r="J1647" s="9" t="n">
        <x:f>SUM(SalesLines!P4046)</x:f>
        <x:v>0</x:v>
      </x:c>
      <x:c r="K1647" s="11" t="n">
        <x:f>SUM(SalesLines!R4046)</x:f>
        <x:v>3</x:v>
      </x:c>
      <x:c r="L1647" s="11" t="n">
        <x:f>SUM(SalesLines!S4046)</x:f>
        <x:v>0</x:v>
      </x:c>
      <x:c r="M1647" s="8" t="n">
        <x:f>DATE(YEAR(C1647),MONTH(C1647),1)</x:f>
        <x:v>45809</x:v>
      </x:c>
    </x:row>
    <x:row r="1648" ht="22" customHeight="1">
      <x:c r="A1648" s="2" t="str">
        <x:v>O01644</x:v>
      </x:c>
      <x:c r="B1648" s="2" t="str">
        <x:v>C0272</x:v>
      </x:c>
      <x:c r="C1648" s="7" t="n">
        <x:v>45761</x:v>
      </x:c>
      <x:c r="D1648" s="2" t="str">
        <x:v>Completed</x:v>
      </x:c>
      <x:c r="E1648" s="2" t="str">
        <x:v>West</x:v>
      </x:c>
      <x:c r="F1648" s="2" t="str">
        <x:v>Store</x:v>
      </x:c>
      <x:c r="G1648" s="9" t="n">
        <x:f>SUM(SalesLines!Q4047,SalesLines!Q4048,SalesLines!Q4049,SalesLines!Q4050)</x:f>
        <x:v>1806.5500000000002</x:v>
      </x:c>
      <x:c r="H1648" s="9" t="n">
        <x:f>SUM(SalesLines!M4047,SalesLines!M4048,SalesLines!M4049,SalesLines!M4050)</x:f>
        <x:v>2088</x:v>
      </x:c>
      <x:c r="I1648" s="9" t="n">
        <x:f>SUM(SalesLines!N4047,SalesLines!N4048,SalesLines!N4049,SalesLines!N4050)</x:f>
        <x:v>171.65</x:v>
      </x:c>
      <x:c r="J1648" s="9" t="n">
        <x:f>SUM(SalesLines!P4047,SalesLines!P4048,SalesLines!P4049,SalesLines!P4050)</x:f>
        <x:v>109.8</x:v>
      </x:c>
      <x:c r="K1648" s="11" t="n">
        <x:f>SUM(SalesLines!R4047,SalesLines!R4048,SalesLines!R4049,SalesLines!R4050)</x:f>
        <x:v>10</x:v>
      </x:c>
      <x:c r="L1648" s="11" t="n">
        <x:f>SUM(SalesLines!S4047,SalesLines!S4048,SalesLines!S4049,SalesLines!S4050)</x:f>
        <x:v>1</x:v>
      </x:c>
      <x:c r="M1648" s="8" t="n">
        <x:f>DATE(YEAR(C1648),MONTH(C1648),1)</x:f>
        <x:v>45748</x:v>
      </x:c>
    </x:row>
    <x:row r="1649" ht="22" customHeight="1">
      <x:c r="A1649" s="2" t="str">
        <x:v>O01645</x:v>
      </x:c>
      <x:c r="B1649" s="2" t="str">
        <x:v>C0224</x:v>
      </x:c>
      <x:c r="C1649" s="7" t="n">
        <x:v>45973</x:v>
      </x:c>
      <x:c r="D1649" s="2" t="str">
        <x:v>Completed</x:v>
      </x:c>
      <x:c r="E1649" s="2" t="str">
        <x:v>West</x:v>
      </x:c>
      <x:c r="F1649" s="2" t="str">
        <x:v>Store</x:v>
      </x:c>
      <x:c r="G1649" s="9" t="n">
        <x:f>SUM(SalesLines!Q4051,SalesLines!Q4052,SalesLines!Q4053,SalesLines!Q4054)</x:f>
        <x:v>1881.2</x:v>
      </x:c>
      <x:c r="H1649" s="9" t="n">
        <x:f>SUM(SalesLines!M4051,SalesLines!M4052,SalesLines!M4053,SalesLines!M4054)</x:f>
        <x:v>1991</x:v>
      </x:c>
      <x:c r="I1649" s="9" t="n">
        <x:f>SUM(SalesLines!N4051,SalesLines!N4052,SalesLines!N4053,SalesLines!N4054)</x:f>
        <x:v>109.80000000000001</x:v>
      </x:c>
      <x:c r="J1649" s="9" t="n">
        <x:f>SUM(SalesLines!P4051,SalesLines!P4052,SalesLines!P4053,SalesLines!P4054)</x:f>
        <x:v>0</x:v>
      </x:c>
      <x:c r="K1649" s="11" t="n">
        <x:f>SUM(SalesLines!R4051,SalesLines!R4052,SalesLines!R4053,SalesLines!R4054)</x:f>
        <x:v>10</x:v>
      </x:c>
      <x:c r="L1649" s="11" t="n">
        <x:f>SUM(SalesLines!S4051,SalesLines!S4052,SalesLines!S4053,SalesLines!S4054)</x:f>
        <x:v>0</x:v>
      </x:c>
      <x:c r="M1649" s="8" t="n">
        <x:f>DATE(YEAR(C1649),MONTH(C1649),1)</x:f>
        <x:v>45962</x:v>
      </x:c>
    </x:row>
    <x:row r="1650" ht="22" customHeight="1">
      <x:c r="A1650" s="2" t="str">
        <x:v>O01646</x:v>
      </x:c>
      <x:c r="B1650" s="2" t="str">
        <x:v>C0298</x:v>
      </x:c>
      <x:c r="C1650" s="7" t="n">
        <x:v>45681</x:v>
      </x:c>
      <x:c r="D1650" s="2" t="str">
        <x:v>Completed</x:v>
      </x:c>
      <x:c r="E1650" s="2" t="str">
        <x:v>North</x:v>
      </x:c>
      <x:c r="F1650" s="2" t="str">
        <x:v>Store</x:v>
      </x:c>
      <x:c r="G1650" s="9" t="n">
        <x:f>SUM(SalesLines!Q4055,SalesLines!Q4056)</x:f>
        <x:v>1296.3</x:v>
      </x:c>
      <x:c r="H1650" s="9" t="n">
        <x:f>SUM(SalesLines!M4055,SalesLines!M4056)</x:f>
        <x:v>1620</x:v>
      </x:c>
      <x:c r="I1650" s="9" t="n">
        <x:f>SUM(SalesLines!N4055,SalesLines!N4056)</x:f>
        <x:v>104.25</x:v>
      </x:c>
      <x:c r="J1650" s="9" t="n">
        <x:f>SUM(SalesLines!P4055,SalesLines!P4056)</x:f>
        <x:v>219.45</x:v>
      </x:c>
      <x:c r="K1650" s="11" t="n">
        <x:f>SUM(SalesLines!R4055,SalesLines!R4056)</x:f>
        <x:v>10</x:v>
      </x:c>
      <x:c r="L1650" s="11" t="n">
        <x:f>SUM(SalesLines!S4055,SalesLines!S4056)</x:f>
        <x:v>1</x:v>
      </x:c>
      <x:c r="M1650" s="8" t="n">
        <x:f>DATE(YEAR(C1650),MONTH(C1650),1)</x:f>
        <x:v>45658</x:v>
      </x:c>
    </x:row>
    <x:row r="1651" ht="22" customHeight="1">
      <x:c r="A1651" s="2" t="str">
        <x:v>O01647</x:v>
      </x:c>
      <x:c r="B1651" s="2" t="str">
        <x:v>C0262</x:v>
      </x:c>
      <x:c r="C1651" s="7" t="n">
        <x:v>46012</x:v>
      </x:c>
      <x:c r="D1651" s="2" t="str">
        <x:v>Cancelled</x:v>
      </x:c>
      <x:c r="E1651" s="2" t="str">
        <x:v>West</x:v>
      </x:c>
      <x:c r="F1651" s="2" t="str">
        <x:v>Store</x:v>
      </x:c>
      <x:c r="G1651" s="9" t="n">
        <x:f>SUM(SalesLines!Q4057,SalesLines!Q4058,SalesLines!Q4059,SalesLines!Q4060)</x:f>
        <x:v>0</x:v>
      </x:c>
      <x:c r="H1651" s="9" t="n">
        <x:f>SUM(SalesLines!M4057,SalesLines!M4058,SalesLines!M4059,SalesLines!M4060)</x:f>
        <x:v>0</x:v>
      </x:c>
      <x:c r="I1651" s="9" t="n">
        <x:f>SUM(SalesLines!N4057,SalesLines!N4058,SalesLines!N4059,SalesLines!N4060)</x:f>
        <x:v>0</x:v>
      </x:c>
      <x:c r="J1651" s="9" t="n">
        <x:f>SUM(SalesLines!P4057,SalesLines!P4058,SalesLines!P4059,SalesLines!P4060)</x:f>
        <x:v>0</x:v>
      </x:c>
      <x:c r="K1651" s="11" t="n">
        <x:f>SUM(SalesLines!R4057,SalesLines!R4058,SalesLines!R4059,SalesLines!R4060)</x:f>
        <x:v>0</x:v>
      </x:c>
      <x:c r="L1651" s="11" t="n">
        <x:f>SUM(SalesLines!S4057,SalesLines!S4058,SalesLines!S4059,SalesLines!S4060)</x:f>
        <x:v>0</x:v>
      </x:c>
      <x:c r="M1651" s="8" t="n">
        <x:f>DATE(YEAR(C1651),MONTH(C1651),1)</x:f>
        <x:v>45992</x:v>
      </x:c>
    </x:row>
    <x:row r="1652" ht="22" customHeight="1">
      <x:c r="A1652" s="2" t="str">
        <x:v>O01648</x:v>
      </x:c>
      <x:c r="B1652" s="2" t="str">
        <x:v>C0050</x:v>
      </x:c>
      <x:c r="C1652" s="7" t="n">
        <x:v>45836</x:v>
      </x:c>
      <x:c r="D1652" s="2" t="str">
        <x:v>Completed</x:v>
      </x:c>
      <x:c r="E1652" s="2" t="str">
        <x:v>North</x:v>
      </x:c>
      <x:c r="F1652" s="2" t="str">
        <x:v>Online</x:v>
      </x:c>
      <x:c r="G1652" s="9" t="n">
        <x:f>SUM(SalesLines!Q4061,SalesLines!Q4062,SalesLines!Q4063)</x:f>
        <x:v>1309.8500000000001</x:v>
      </x:c>
      <x:c r="H1652" s="9" t="n">
        <x:f>SUM(SalesLines!M4061,SalesLines!M4062,SalesLines!M4063)</x:f>
        <x:v>1594</x:v>
      </x:c>
      <x:c r="I1652" s="9" t="n">
        <x:f>SUM(SalesLines!N4061,SalesLines!N4062,SalesLines!N4063)</x:f>
        <x:v>284.15000000000003</x:v>
      </x:c>
      <x:c r="J1652" s="9" t="n">
        <x:f>SUM(SalesLines!P4061,SalesLines!P4062,SalesLines!P4063)</x:f>
        <x:v>0</x:v>
      </x:c>
      <x:c r="K1652" s="11" t="n">
        <x:f>SUM(SalesLines!R4061,SalesLines!R4062,SalesLines!R4063)</x:f>
        <x:v>9</x:v>
      </x:c>
      <x:c r="L1652" s="11" t="n">
        <x:f>SUM(SalesLines!S4061,SalesLines!S4062,SalesLines!S4063)</x:f>
        <x:v>0</x:v>
      </x:c>
      <x:c r="M1652" s="8" t="n">
        <x:f>DATE(YEAR(C1652),MONTH(C1652),1)</x:f>
        <x:v>45809</x:v>
      </x:c>
    </x:row>
    <x:row r="1653" ht="22" customHeight="1">
      <x:c r="A1653" s="2" t="str">
        <x:v>O01649</x:v>
      </x:c>
      <x:c r="B1653" s="2" t="str">
        <x:v>C0043</x:v>
      </x:c>
      <x:c r="C1653" s="7" t="n">
        <x:v>45823</x:v>
      </x:c>
      <x:c r="D1653" s="2" t="str">
        <x:v>Completed</x:v>
      </x:c>
      <x:c r="E1653" s="2" t="str">
        <x:v>West</x:v>
      </x:c>
      <x:c r="F1653" s="2" t="str">
        <x:v>Online</x:v>
      </x:c>
      <x:c r="G1653" s="9" t="n">
        <x:f>SUM(SalesLines!Q4064,SalesLines!Q4065,SalesLines!Q4066,SalesLines!Q4067)</x:f>
        <x:v>1087.7</x:v>
      </x:c>
      <x:c r="H1653" s="9" t="n">
        <x:f>SUM(SalesLines!M4064,SalesLines!M4065,SalesLines!M4066,SalesLines!M4067)</x:f>
        <x:v>2711</x:v>
      </x:c>
      <x:c r="I1653" s="9" t="n">
        <x:f>SUM(SalesLines!N4064,SalesLines!N4065,SalesLines!N4066,SalesLines!N4067)</x:f>
        <x:v>339.7</x:v>
      </x:c>
      <x:c r="J1653" s="9" t="n">
        <x:f>SUM(SalesLines!P4064,SalesLines!P4065,SalesLines!P4066,SalesLines!P4067)</x:f>
        <x:v>1283.6</x:v>
      </x:c>
      <x:c r="K1653" s="11" t="n">
        <x:f>SUM(SalesLines!R4064,SalesLines!R4065,SalesLines!R4066,SalesLines!R4067)</x:f>
        <x:v>14</x:v>
      </x:c>
      <x:c r="L1653" s="11" t="n">
        <x:f>SUM(SalesLines!S4064,SalesLines!S4065,SalesLines!S4066,SalesLines!S4067)</x:f>
        <x:v>6</x:v>
      </x:c>
      <x:c r="M1653" s="8" t="n">
        <x:f>DATE(YEAR(C1653),MONTH(C1653),1)</x:f>
        <x:v>45809</x:v>
      </x:c>
    </x:row>
    <x:row r="1654" ht="22" customHeight="1">
      <x:c r="A1654" s="2" t="str">
        <x:v>O01650</x:v>
      </x:c>
      <x:c r="B1654" s="2" t="str">
        <x:v>C0283</x:v>
      </x:c>
      <x:c r="C1654" s="7" t="n">
        <x:v>45890</x:v>
      </x:c>
      <x:c r="D1654" s="2" t="str">
        <x:v>Completed</x:v>
      </x:c>
      <x:c r="E1654" s="2" t="str">
        <x:v>East</x:v>
      </x:c>
      <x:c r="F1654" s="2" t="str">
        <x:v>Online</x:v>
      </x:c>
      <x:c r="G1654" s="9" t="n">
        <x:f>SUM(SalesLines!Q4068)</x:f>
        <x:v>122.4</x:v>
      </x:c>
      <x:c r="H1654" s="9" t="n">
        <x:f>SUM(SalesLines!M4068)</x:f>
        <x:v>136</x:v>
      </x:c>
      <x:c r="I1654" s="9" t="n">
        <x:f>SUM(SalesLines!N4068)</x:f>
        <x:v>13.600000000000001</x:v>
      </x:c>
      <x:c r="J1654" s="9" t="n">
        <x:f>SUM(SalesLines!P4068)</x:f>
        <x:v>0</x:v>
      </x:c>
      <x:c r="K1654" s="11" t="n">
        <x:f>SUM(SalesLines!R4068)</x:f>
        <x:v>2</x:v>
      </x:c>
      <x:c r="L1654" s="11" t="n">
        <x:f>SUM(SalesLines!S4068)</x:f>
        <x:v>0</x:v>
      </x:c>
      <x:c r="M1654" s="8" t="n">
        <x:f>DATE(YEAR(C1654),MONTH(C1654),1)</x:f>
        <x:v>45870</x:v>
      </x:c>
    </x:row>
    <x:row r="1655" ht="22" customHeight="1">
      <x:c r="A1655" s="2" t="str">
        <x:v>O01651</x:v>
      </x:c>
      <x:c r="B1655" s="2" t="str">
        <x:v>C0281</x:v>
      </x:c>
      <x:c r="C1655" s="7" t="n">
        <x:v>45816</x:v>
      </x:c>
      <x:c r="D1655" s="2" t="str">
        <x:v>Completed</x:v>
      </x:c>
      <x:c r="E1655" s="2" t="str">
        <x:v>North</x:v>
      </x:c>
      <x:c r="F1655" s="2" t="str">
        <x:v>Online</x:v>
      </x:c>
      <x:c r="G1655" s="9" t="n">
        <x:f>SUM(SalesLines!Q4069,SalesLines!Q4070,SalesLines!Q4071)</x:f>
        <x:v>715</x:v>
      </x:c>
      <x:c r="H1655" s="9" t="n">
        <x:f>SUM(SalesLines!M4069,SalesLines!M4070,SalesLines!M4071)</x:f>
        <x:v>715</x:v>
      </x:c>
      <x:c r="I1655" s="9" t="n">
        <x:f>SUM(SalesLines!N4069,SalesLines!N4070,SalesLines!N4071)</x:f>
        <x:v>0</x:v>
      </x:c>
      <x:c r="J1655" s="9" t="n">
        <x:f>SUM(SalesLines!P4069,SalesLines!P4070,SalesLines!P4071)</x:f>
        <x:v>0</x:v>
      </x:c>
      <x:c r="K1655" s="11" t="n">
        <x:f>SUM(SalesLines!R4069,SalesLines!R4070,SalesLines!R4071)</x:f>
        <x:v>6</x:v>
      </x:c>
      <x:c r="L1655" s="11" t="n">
        <x:f>SUM(SalesLines!S4069,SalesLines!S4070,SalesLines!S4071)</x:f>
        <x:v>0</x:v>
      </x:c>
      <x:c r="M1655" s="8" t="n">
        <x:f>DATE(YEAR(C1655),MONTH(C1655),1)</x:f>
        <x:v>45809</x:v>
      </x:c>
    </x:row>
    <x:row r="1656" ht="22" customHeight="1">
      <x:c r="A1656" s="2" t="str">
        <x:v>O01652</x:v>
      </x:c>
      <x:c r="B1656" s="2" t="str">
        <x:v>C0273</x:v>
      </x:c>
      <x:c r="C1656" s="7" t="n">
        <x:v>45945</x:v>
      </x:c>
      <x:c r="D1656" s="2" t="str">
        <x:v>Completed</x:v>
      </x:c>
      <x:c r="E1656" s="2" t="str">
        <x:v>South</x:v>
      </x:c>
      <x:c r="F1656" s="2" t="str">
        <x:v>Store</x:v>
      </x:c>
      <x:c r="G1656" s="9" t="n">
        <x:f>SUM(SalesLines!Q4072,SalesLines!Q4073,SalesLines!Q4074,SalesLines!Q4075)</x:f>
        <x:v>2523.95</x:v>
      </x:c>
      <x:c r="H1656" s="9" t="n">
        <x:f>SUM(SalesLines!M4072,SalesLines!M4073,SalesLines!M4074,SalesLines!M4075)</x:f>
        <x:v>2969</x:v>
      </x:c>
      <x:c r="I1656" s="9" t="n">
        <x:f>SUM(SalesLines!N4072,SalesLines!N4073,SalesLines!N4074,SalesLines!N4075)</x:f>
        <x:v>445.05</x:v>
      </x:c>
      <x:c r="J1656" s="9" t="n">
        <x:f>SUM(SalesLines!P4072,SalesLines!P4073,SalesLines!P4074,SalesLines!P4075)</x:f>
        <x:v>0</x:v>
      </x:c>
      <x:c r="K1656" s="11" t="n">
        <x:f>SUM(SalesLines!R4072,SalesLines!R4073,SalesLines!R4074,SalesLines!R4075)</x:f>
        <x:v>12</x:v>
      </x:c>
      <x:c r="L1656" s="11" t="n">
        <x:f>SUM(SalesLines!S4072,SalesLines!S4073,SalesLines!S4074,SalesLines!S4075)</x:f>
        <x:v>0</x:v>
      </x:c>
      <x:c r="M1656" s="8" t="n">
        <x:f>DATE(YEAR(C1656),MONTH(C1656),1)</x:f>
        <x:v>45931</x:v>
      </x:c>
    </x:row>
    <x:row r="1657" ht="22" customHeight="1">
      <x:c r="A1657" s="2" t="str">
        <x:v>O01653</x:v>
      </x:c>
      <x:c r="B1657" s="2" t="str">
        <x:v>C0199</x:v>
      </x:c>
      <x:c r="C1657" s="7" t="n">
        <x:v>45673</x:v>
      </x:c>
      <x:c r="D1657" s="2" t="str">
        <x:v>Completed</x:v>
      </x:c>
      <x:c r="E1657" s="2" t="str">
        <x:v>North</x:v>
      </x:c>
      <x:c r="F1657" s="2" t="str">
        <x:v>Store</x:v>
      </x:c>
      <x:c r="G1657" s="9" t="n">
        <x:f>SUM(SalesLines!Q4076,SalesLines!Q4077,SalesLines!Q4078)</x:f>
        <x:v>2368.3</x:v>
      </x:c>
      <x:c r="H1657" s="9" t="n">
        <x:f>SUM(SalesLines!M4076,SalesLines!M4077,SalesLines!M4078)</x:f>
        <x:v>2482</x:v>
      </x:c>
      <x:c r="I1657" s="9" t="n">
        <x:f>SUM(SalesLines!N4076,SalesLines!N4077,SalesLines!N4078)</x:f>
        <x:v>113.7</x:v>
      </x:c>
      <x:c r="J1657" s="9" t="n">
        <x:f>SUM(SalesLines!P4076,SalesLines!P4077,SalesLines!P4078)</x:f>
        <x:v>0</x:v>
      </x:c>
      <x:c r="K1657" s="11" t="n">
        <x:f>SUM(SalesLines!R4076,SalesLines!R4077,SalesLines!R4078)</x:f>
        <x:v>13</x:v>
      </x:c>
      <x:c r="L1657" s="11" t="n">
        <x:f>SUM(SalesLines!S4076,SalesLines!S4077,SalesLines!S4078)</x:f>
        <x:v>0</x:v>
      </x:c>
      <x:c r="M1657" s="8" t="n">
        <x:f>DATE(YEAR(C1657),MONTH(C1657),1)</x:f>
        <x:v>45658</x:v>
      </x:c>
    </x:row>
    <x:row r="1658" ht="22" customHeight="1">
      <x:c r="A1658" s="2" t="str">
        <x:v>O01654</x:v>
      </x:c>
      <x:c r="B1658" s="2" t="str">
        <x:v>C0177</x:v>
      </x:c>
      <x:c r="C1658" s="7" t="n">
        <x:v>45980</x:v>
      </x:c>
      <x:c r="D1658" s="2" t="str">
        <x:v>Completed</x:v>
      </x:c>
      <x:c r="E1658" s="2" t="str">
        <x:v>West</x:v>
      </x:c>
      <x:c r="F1658" s="2" t="str">
        <x:v>Online</x:v>
      </x:c>
      <x:c r="G1658" s="9" t="n">
        <x:f>SUM(SalesLines!Q4079,SalesLines!Q4080,SalesLines!Q4081)</x:f>
        <x:v>1354</x:v>
      </x:c>
      <x:c r="H1658" s="9" t="n">
        <x:f>SUM(SalesLines!M4079,SalesLines!M4080,SalesLines!M4081)</x:f>
        <x:v>1421</x:v>
      </x:c>
      <x:c r="I1658" s="9" t="n">
        <x:f>SUM(SalesLines!N4079,SalesLines!N4080,SalesLines!N4081)</x:f>
        <x:v>67</x:v>
      </x:c>
      <x:c r="J1658" s="9" t="n">
        <x:f>SUM(SalesLines!P4079,SalesLines!P4080,SalesLines!P4081)</x:f>
        <x:v>0</x:v>
      </x:c>
      <x:c r="K1658" s="11" t="n">
        <x:f>SUM(SalesLines!R4079,SalesLines!R4080,SalesLines!R4081)</x:f>
        <x:v>12</x:v>
      </x:c>
      <x:c r="L1658" s="11" t="n">
        <x:f>SUM(SalesLines!S4079,SalesLines!S4080,SalesLines!S4081)</x:f>
        <x:v>0</x:v>
      </x:c>
      <x:c r="M1658" s="8" t="n">
        <x:f>DATE(YEAR(C1658),MONTH(C1658),1)</x:f>
        <x:v>45962</x:v>
      </x:c>
    </x:row>
    <x:row r="1659" ht="22" customHeight="1">
      <x:c r="A1659" s="2" t="str">
        <x:v>O01655</x:v>
      </x:c>
      <x:c r="B1659" s="2" t="str">
        <x:v>C0244</x:v>
      </x:c>
      <x:c r="C1659" s="7" t="n">
        <x:v>45925</x:v>
      </x:c>
      <x:c r="D1659" s="2" t="str">
        <x:v>Completed</x:v>
      </x:c>
      <x:c r="E1659" s="2" t="str">
        <x:v>South</x:v>
      </x:c>
      <x:c r="F1659" s="2" t="str">
        <x:v>Store</x:v>
      </x:c>
      <x:c r="G1659" s="9" t="n">
        <x:f>SUM(SalesLines!Q4082,SalesLines!Q4083,SalesLines!Q4084,SalesLines!Q4085)</x:f>
        <x:v>2578</x:v>
      </x:c>
      <x:c r="H1659" s="9" t="n">
        <x:f>SUM(SalesLines!M4082,SalesLines!M4083,SalesLines!M4084,SalesLines!M4085)</x:f>
        <x:v>2867</x:v>
      </x:c>
      <x:c r="I1659" s="9" t="n">
        <x:f>SUM(SalesLines!N4082,SalesLines!N4083,SalesLines!N4084,SalesLines!N4085)</x:f>
        <x:v>289</x:v>
      </x:c>
      <x:c r="J1659" s="9" t="n">
        <x:f>SUM(SalesLines!P4082,SalesLines!P4083,SalesLines!P4084,SalesLines!P4085)</x:f>
        <x:v>0</x:v>
      </x:c>
      <x:c r="K1659" s="11" t="n">
        <x:f>SUM(SalesLines!R4082,SalesLines!R4083,SalesLines!R4084,SalesLines!R4085)</x:f>
        <x:v>14</x:v>
      </x:c>
      <x:c r="L1659" s="11" t="n">
        <x:f>SUM(SalesLines!S4082,SalesLines!S4083,SalesLines!S4084,SalesLines!S4085)</x:f>
        <x:v>0</x:v>
      </x:c>
      <x:c r="M1659" s="8" t="n">
        <x:f>DATE(YEAR(C1659),MONTH(C1659),1)</x:f>
        <x:v>45901</x:v>
      </x:c>
    </x:row>
    <x:row r="1660" ht="22" customHeight="1">
      <x:c r="A1660" s="2" t="str">
        <x:v>O01656</x:v>
      </x:c>
      <x:c r="B1660" s="2" t="str">
        <x:v>C0169</x:v>
      </x:c>
      <x:c r="C1660" s="7" t="n">
        <x:v>46014</x:v>
      </x:c>
      <x:c r="D1660" s="2" t="str">
        <x:v>Completed</x:v>
      </x:c>
      <x:c r="E1660" s="2" t="str">
        <x:v>North</x:v>
      </x:c>
      <x:c r="F1660" s="2" t="str">
        <x:v>Online</x:v>
      </x:c>
      <x:c r="G1660" s="9" t="n">
        <x:f>SUM(SalesLines!Q4086)</x:f>
        <x:v>0</x:v>
      </x:c>
      <x:c r="H1660" s="9" t="n">
        <x:f>SUM(SalesLines!M4086)</x:f>
        <x:v>844</x:v>
      </x:c>
      <x:c r="I1660" s="9" t="n">
        <x:f>SUM(SalesLines!N4086)</x:f>
        <x:v>0</x:v>
      </x:c>
      <x:c r="J1660" s="9" t="n">
        <x:f>SUM(SalesLines!P4086)</x:f>
        <x:v>844</x:v>
      </x:c>
      <x:c r="K1660" s="11" t="n">
        <x:f>SUM(SalesLines!R4086)</x:f>
        <x:v>4</x:v>
      </x:c>
      <x:c r="L1660" s="11" t="n">
        <x:f>SUM(SalesLines!S4086)</x:f>
        <x:v>4</x:v>
      </x:c>
      <x:c r="M1660" s="8" t="n">
        <x:f>DATE(YEAR(C1660),MONTH(C1660),1)</x:f>
        <x:v>45992</x:v>
      </x:c>
    </x:row>
    <x:row r="1661" ht="22" customHeight="1">
      <x:c r="A1661" s="2" t="str">
        <x:v>O01657</x:v>
      </x:c>
      <x:c r="B1661" s="2" t="str">
        <x:v>C0092</x:v>
      </x:c>
      <x:c r="C1661" s="7" t="n">
        <x:v>45928</x:v>
      </x:c>
      <x:c r="D1661" s="2" t="str">
        <x:v>Completed</x:v>
      </x:c>
      <x:c r="E1661" s="2" t="str">
        <x:v>East</x:v>
      </x:c>
      <x:c r="F1661" s="2" t="str">
        <x:v>Online</x:v>
      </x:c>
      <x:c r="G1661" s="9" t="n">
        <x:f>SUM(SalesLines!Q4087,SalesLines!Q4088,SalesLines!Q4089,SalesLines!Q4090)</x:f>
        <x:v>2554.2999999999997</x:v>
      </x:c>
      <x:c r="H1661" s="9" t="n">
        <x:f>SUM(SalesLines!M4087,SalesLines!M4088,SalesLines!M4089,SalesLines!M4090)</x:f>
        <x:v>2696</x:v>
      </x:c>
      <x:c r="I1661" s="9" t="n">
        <x:f>SUM(SalesLines!N4087,SalesLines!N4088,SalesLines!N4089,SalesLines!N4090)</x:f>
        <x:v>141.70000000000002</x:v>
      </x:c>
      <x:c r="J1661" s="9" t="n">
        <x:f>SUM(SalesLines!P4087,SalesLines!P4088,SalesLines!P4089,SalesLines!P4090)</x:f>
        <x:v>0</x:v>
      </x:c>
      <x:c r="K1661" s="11" t="n">
        <x:f>SUM(SalesLines!R4087,SalesLines!R4088,SalesLines!R4089,SalesLines!R4090)</x:f>
        <x:v>12</x:v>
      </x:c>
      <x:c r="L1661" s="11" t="n">
        <x:f>SUM(SalesLines!S4087,SalesLines!S4088,SalesLines!S4089,SalesLines!S4090)</x:f>
        <x:v>0</x:v>
      </x:c>
      <x:c r="M1661" s="8" t="n">
        <x:f>DATE(YEAR(C1661),MONTH(C1661),1)</x:f>
        <x:v>45901</x:v>
      </x:c>
    </x:row>
    <x:row r="1662" ht="22" customHeight="1">
      <x:c r="A1662" s="2" t="str">
        <x:v>O01658</x:v>
      </x:c>
      <x:c r="B1662" s="2" t="str">
        <x:v>C0133</x:v>
      </x:c>
      <x:c r="C1662" s="7" t="n">
        <x:v>45671</x:v>
      </x:c>
      <x:c r="D1662" s="2" t="str">
        <x:v>Completed</x:v>
      </x:c>
      <x:c r="E1662" s="2" t="str">
        <x:v>South</x:v>
      </x:c>
      <x:c r="F1662" s="2" t="str">
        <x:v>Online</x:v>
      </x:c>
      <x:c r="G1662" s="9" t="n">
        <x:f>SUM(SalesLines!Q4091,SalesLines!Q4092)</x:f>
        <x:v>891.1999999999999</x:v>
      </x:c>
      <x:c r="H1662" s="9" t="n">
        <x:f>SUM(SalesLines!M4091,SalesLines!M4092)</x:f>
        <x:v>1020</x:v>
      </x:c>
      <x:c r="I1662" s="9" t="n">
        <x:f>SUM(SalesLines!N4091,SalesLines!N4092)</x:f>
        <x:v>128.8</x:v>
      </x:c>
      <x:c r="J1662" s="9" t="n">
        <x:f>SUM(SalesLines!P4091,SalesLines!P4092)</x:f>
        <x:v>0</x:v>
      </x:c>
      <x:c r="K1662" s="11" t="n">
        <x:f>SUM(SalesLines!R4091,SalesLines!R4092)</x:f>
        <x:v>6</x:v>
      </x:c>
      <x:c r="L1662" s="11" t="n">
        <x:f>SUM(SalesLines!S4091,SalesLines!S4092)</x:f>
        <x:v>0</x:v>
      </x:c>
      <x:c r="M1662" s="8" t="n">
        <x:f>DATE(YEAR(C1662),MONTH(C1662),1)</x:f>
        <x:v>45658</x:v>
      </x:c>
    </x:row>
    <x:row r="1663" ht="22" customHeight="1">
      <x:c r="A1663" s="2" t="str">
        <x:v>O01659</x:v>
      </x:c>
      <x:c r="B1663" s="2" t="str">
        <x:v>C0282</x:v>
      </x:c>
      <x:c r="C1663" s="7" t="n">
        <x:v>45762</x:v>
      </x:c>
      <x:c r="D1663" s="2" t="str">
        <x:v>Completed</x:v>
      </x:c>
      <x:c r="E1663" s="2" t="str">
        <x:v>East</x:v>
      </x:c>
      <x:c r="F1663" s="2" t="str">
        <x:v>Store</x:v>
      </x:c>
      <x:c r="G1663" s="9" t="n">
        <x:f>SUM(SalesLines!Q4093,SalesLines!Q4094)</x:f>
        <x:v>739.5</x:v>
      </x:c>
      <x:c r="H1663" s="9" t="n">
        <x:f>SUM(SalesLines!M4093,SalesLines!M4094)</x:f>
        <x:v>770</x:v>
      </x:c>
      <x:c r="I1663" s="9" t="n">
        <x:f>SUM(SalesLines!N4093,SalesLines!N4094)</x:f>
        <x:v>30.5</x:v>
      </x:c>
      <x:c r="J1663" s="9" t="n">
        <x:f>SUM(SalesLines!P4093,SalesLines!P4094)</x:f>
        <x:v>0</x:v>
      </x:c>
      <x:c r="K1663" s="11" t="n">
        <x:f>SUM(SalesLines!R4093,SalesLines!R4094)</x:f>
        <x:v>7</x:v>
      </x:c>
      <x:c r="L1663" s="11" t="n">
        <x:f>SUM(SalesLines!S4093,SalesLines!S4094)</x:f>
        <x:v>0</x:v>
      </x:c>
      <x:c r="M1663" s="8" t="n">
        <x:f>DATE(YEAR(C1663),MONTH(C1663),1)</x:f>
        <x:v>45748</x:v>
      </x:c>
    </x:row>
    <x:row r="1664" ht="22" customHeight="1">
      <x:c r="A1664" s="2" t="str">
        <x:v>O01660</x:v>
      </x:c>
      <x:c r="B1664" s="2" t="str">
        <x:v>C0167</x:v>
      </x:c>
      <x:c r="C1664" s="7" t="n">
        <x:v>45723</x:v>
      </x:c>
      <x:c r="D1664" s="2" t="str">
        <x:v>Completed</x:v>
      </x:c>
      <x:c r="E1664" s="2" t="str">
        <x:v>West</x:v>
      </x:c>
      <x:c r="F1664" s="2" t="str">
        <x:v>Online</x:v>
      </x:c>
      <x:c r="G1664" s="9" t="n">
        <x:f>SUM(SalesLines!Q4095,SalesLines!Q4096)</x:f>
        <x:v>564</x:v>
      </x:c>
      <x:c r="H1664" s="9" t="n">
        <x:f>SUM(SalesLines!M4095,SalesLines!M4096)</x:f>
        <x:v>705</x:v>
      </x:c>
      <x:c r="I1664" s="9" t="n">
        <x:f>SUM(SalesLines!N4095,SalesLines!N4096)</x:f>
        <x:v>141</x:v>
      </x:c>
      <x:c r="J1664" s="9" t="n">
        <x:f>SUM(SalesLines!P4095,SalesLines!P4096)</x:f>
        <x:v>0</x:v>
      </x:c>
      <x:c r="K1664" s="11" t="n">
        <x:f>SUM(SalesLines!R4095,SalesLines!R4096)</x:f>
        <x:v>6</x:v>
      </x:c>
      <x:c r="L1664" s="11" t="n">
        <x:f>SUM(SalesLines!S4095,SalesLines!S4096)</x:f>
        <x:v>0</x:v>
      </x:c>
      <x:c r="M1664" s="8" t="n">
        <x:f>DATE(YEAR(C1664),MONTH(C1664),1)</x:f>
        <x:v>45717</x:v>
      </x:c>
    </x:row>
    <x:row r="1665" ht="22" customHeight="1">
      <x:c r="A1665" s="2" t="str">
        <x:v>O01661</x:v>
      </x:c>
      <x:c r="B1665" s="2" t="str">
        <x:v>C0134</x:v>
      </x:c>
      <x:c r="C1665" s="7" t="n">
        <x:v>45691</x:v>
      </x:c>
      <x:c r="D1665" s="2" t="str">
        <x:v>Cancelled</x:v>
      </x:c>
      <x:c r="E1665" s="2" t="str">
        <x:v>North</x:v>
      </x:c>
      <x:c r="F1665" s="2" t="str">
        <x:v>Online</x:v>
      </x:c>
      <x:c r="G1665" s="9" t="n">
        <x:f>SUM(SalesLines!Q4097,SalesLines!Q4098)</x:f>
        <x:v>0</x:v>
      </x:c>
      <x:c r="H1665" s="9" t="n">
        <x:f>SUM(SalesLines!M4097,SalesLines!M4098)</x:f>
        <x:v>0</x:v>
      </x:c>
      <x:c r="I1665" s="9" t="n">
        <x:f>SUM(SalesLines!N4097,SalesLines!N4098)</x:f>
        <x:v>0</x:v>
      </x:c>
      <x:c r="J1665" s="9" t="n">
        <x:f>SUM(SalesLines!P4097,SalesLines!P4098)</x:f>
        <x:v>0</x:v>
      </x:c>
      <x:c r="K1665" s="11" t="n">
        <x:f>SUM(SalesLines!R4097,SalesLines!R4098)</x:f>
        <x:v>0</x:v>
      </x:c>
      <x:c r="L1665" s="11" t="n">
        <x:f>SUM(SalesLines!S4097,SalesLines!S4098)</x:f>
        <x:v>0</x:v>
      </x:c>
      <x:c r="M1665" s="8" t="n">
        <x:f>DATE(YEAR(C1665),MONTH(C1665),1)</x:f>
        <x:v>45689</x:v>
      </x:c>
    </x:row>
    <x:row r="1666" ht="22" customHeight="1">
      <x:c r="A1666" s="2" t="str">
        <x:v>O01662</x:v>
      </x:c>
      <x:c r="B1666" s="2" t="str">
        <x:v>C0047</x:v>
      </x:c>
      <x:c r="C1666" s="7" t="n">
        <x:v>45902</x:v>
      </x:c>
      <x:c r="D1666" s="2" t="str">
        <x:v>Completed</x:v>
      </x:c>
      <x:c r="E1666" s="2" t="str">
        <x:v>West</x:v>
      </x:c>
      <x:c r="F1666" s="2" t="str">
        <x:v>Store</x:v>
      </x:c>
      <x:c r="G1666" s="9" t="n">
        <x:f>SUM(SalesLines!Q4099,SalesLines!Q4100)</x:f>
        <x:v>509.2</x:v>
      </x:c>
      <x:c r="H1666" s="9" t="n">
        <x:f>SUM(SalesLines!M4099,SalesLines!M4100)</x:f>
        <x:v>785</x:v>
      </x:c>
      <x:c r="I1666" s="9" t="n">
        <x:f>SUM(SalesLines!N4099,SalesLines!N4100)</x:f>
        <x:v>26.8</x:v>
      </x:c>
      <x:c r="J1666" s="9" t="n">
        <x:f>SUM(SalesLines!P4099,SalesLines!P4100)</x:f>
        <x:v>249</x:v>
      </x:c>
      <x:c r="K1666" s="11" t="n">
        <x:f>SUM(SalesLines!R4099,SalesLines!R4100)</x:f>
        <x:v>5</x:v>
      </x:c>
      <x:c r="L1666" s="11" t="n">
        <x:f>SUM(SalesLines!S4099,SalesLines!S4100)</x:f>
        <x:v>1</x:v>
      </x:c>
      <x:c r="M1666" s="8" t="n">
        <x:f>DATE(YEAR(C1666),MONTH(C1666),1)</x:f>
        <x:v>45901</x:v>
      </x:c>
    </x:row>
    <x:row r="1667" ht="22" customHeight="1">
      <x:c r="A1667" s="2" t="str">
        <x:v>O01663</x:v>
      </x:c>
      <x:c r="B1667" s="2" t="str">
        <x:v>C0298</x:v>
      </x:c>
      <x:c r="C1667" s="7" t="n">
        <x:v>45795</x:v>
      </x:c>
      <x:c r="D1667" s="2" t="str">
        <x:v>Completed</x:v>
      </x:c>
      <x:c r="E1667" s="2" t="str">
        <x:v>North</x:v>
      </x:c>
      <x:c r="F1667" s="2" t="str">
        <x:v>Online</x:v>
      </x:c>
      <x:c r="G1667" s="9" t="n">
        <x:f>SUM(SalesLines!Q4101)</x:f>
        <x:v>441.75</x:v>
      </x:c>
      <x:c r="H1667" s="9" t="n">
        <x:f>SUM(SalesLines!M4101)</x:f>
        <x:v>465</x:v>
      </x:c>
      <x:c r="I1667" s="9" t="n">
        <x:f>SUM(SalesLines!N4101)</x:f>
        <x:v>23.25</x:v>
      </x:c>
      <x:c r="J1667" s="9" t="n">
        <x:f>SUM(SalesLines!P4101)</x:f>
        <x:v>0</x:v>
      </x:c>
      <x:c r="K1667" s="11" t="n">
        <x:f>SUM(SalesLines!R4101)</x:f>
        <x:v>5</x:v>
      </x:c>
      <x:c r="L1667" s="11" t="n">
        <x:f>SUM(SalesLines!S4101)</x:f>
        <x:v>0</x:v>
      </x:c>
      <x:c r="M1667" s="8" t="n">
        <x:f>DATE(YEAR(C1667),MONTH(C1667),1)</x:f>
        <x:v>45778</x:v>
      </x:c>
    </x:row>
    <x:row r="1668" ht="22" customHeight="1">
      <x:c r="A1668" s="2" t="str">
        <x:v>O01664</x:v>
      </x:c>
      <x:c r="B1668" s="2" t="str">
        <x:v>C0245</x:v>
      </x:c>
      <x:c r="C1668" s="7" t="n">
        <x:v>45686</x:v>
      </x:c>
      <x:c r="D1668" s="2" t="str">
        <x:v>Completed</x:v>
      </x:c>
      <x:c r="E1668" s="2" t="str">
        <x:v>North</x:v>
      </x:c>
      <x:c r="F1668" s="2" t="str">
        <x:v>Store</x:v>
      </x:c>
      <x:c r="G1668" s="9" t="n">
        <x:f>SUM(SalesLines!Q4102,SalesLines!Q4103,SalesLines!Q4104,SalesLines!Q4105)</x:f>
        <x:v>1338</x:v>
      </x:c>
      <x:c r="H1668" s="9" t="n">
        <x:f>SUM(SalesLines!M4102,SalesLines!M4103,SalesLines!M4104,SalesLines!M4105)</x:f>
        <x:v>1398</x:v>
      </x:c>
      <x:c r="I1668" s="9" t="n">
        <x:f>SUM(SalesLines!N4102,SalesLines!N4103,SalesLines!N4104,SalesLines!N4105)</x:f>
        <x:v>60</x:v>
      </x:c>
      <x:c r="J1668" s="9" t="n">
        <x:f>SUM(SalesLines!P4102,SalesLines!P4103,SalesLines!P4104,SalesLines!P4105)</x:f>
        <x:v>0</x:v>
      </x:c>
      <x:c r="K1668" s="11" t="n">
        <x:f>SUM(SalesLines!R4102,SalesLines!R4103,SalesLines!R4104,SalesLines!R4105)</x:f>
        <x:v>8</x:v>
      </x:c>
      <x:c r="L1668" s="11" t="n">
        <x:f>SUM(SalesLines!S4102,SalesLines!S4103,SalesLines!S4104,SalesLines!S4105)</x:f>
        <x:v>0</x:v>
      </x:c>
      <x:c r="M1668" s="8" t="n">
        <x:f>DATE(YEAR(C1668),MONTH(C1668),1)</x:f>
        <x:v>45658</x:v>
      </x:c>
    </x:row>
    <x:row r="1669" ht="22" customHeight="1">
      <x:c r="A1669" s="2" t="str">
        <x:v>O01665</x:v>
      </x:c>
      <x:c r="B1669" s="2" t="str">
        <x:v>C0195</x:v>
      </x:c>
      <x:c r="C1669" s="7" t="n">
        <x:v>45713</x:v>
      </x:c>
      <x:c r="D1669" s="2" t="str">
        <x:v>Completed</x:v>
      </x:c>
      <x:c r="E1669" s="2" t="str">
        <x:v>West</x:v>
      </x:c>
      <x:c r="F1669" s="2" t="str">
        <x:v>Online</x:v>
      </x:c>
      <x:c r="G1669" s="9" t="n">
        <x:f>SUM(SalesLines!Q4106,SalesLines!Q4107)</x:f>
        <x:v>779.2</x:v>
      </x:c>
      <x:c r="H1669" s="9" t="n">
        <x:f>SUM(SalesLines!M4106,SalesLines!M4107)</x:f>
        <x:v>1238</x:v>
      </x:c>
      <x:c r="I1669" s="9" t="n">
        <x:f>SUM(SalesLines!N4106,SalesLines!N4107)</x:f>
        <x:v>56.800000000000004</x:v>
      </x:c>
      <x:c r="J1669" s="9" t="n">
        <x:f>SUM(SalesLines!P4106,SalesLines!P4107)</x:f>
        <x:v>402</x:v>
      </x:c>
      <x:c r="K1669" s="11" t="n">
        <x:f>SUM(SalesLines!R4106,SalesLines!R4107)</x:f>
        <x:v>7</x:v>
      </x:c>
      <x:c r="L1669" s="11" t="n">
        <x:f>SUM(SalesLines!S4106,SalesLines!S4107)</x:f>
        <x:v>3</x:v>
      </x:c>
      <x:c r="M1669" s="8" t="n">
        <x:f>DATE(YEAR(C1669),MONTH(C1669),1)</x:f>
        <x:v>45689</x:v>
      </x:c>
    </x:row>
    <x:row r="1670" ht="22" customHeight="1">
      <x:c r="A1670" s="2" t="str">
        <x:v>O01666</x:v>
      </x:c>
      <x:c r="B1670" s="2" t="str">
        <x:v>C0224</x:v>
      </x:c>
      <x:c r="C1670" s="7" t="n">
        <x:v>45687</x:v>
      </x:c>
      <x:c r="D1670" s="2" t="str">
        <x:v>Completed</x:v>
      </x:c>
      <x:c r="E1670" s="2" t="str">
        <x:v>West</x:v>
      </x:c>
      <x:c r="F1670" s="2" t="str">
        <x:v>Store</x:v>
      </x:c>
      <x:c r="G1670" s="9" t="n">
        <x:f>SUM(SalesLines!Q4108)</x:f>
        <x:v>192</x:v>
      </x:c>
      <x:c r="H1670" s="9" t="n">
        <x:f>SUM(SalesLines!M4108)</x:f>
        <x:v>240</x:v>
      </x:c>
      <x:c r="I1670" s="9" t="n">
        <x:f>SUM(SalesLines!N4108)</x:f>
        <x:v>48</x:v>
      </x:c>
      <x:c r="J1670" s="9" t="n">
        <x:f>SUM(SalesLines!P4108)</x:f>
        <x:v>0</x:v>
      </x:c>
      <x:c r="K1670" s="11" t="n">
        <x:f>SUM(SalesLines!R4108)</x:f>
        <x:v>3</x:v>
      </x:c>
      <x:c r="L1670" s="11" t="n">
        <x:f>SUM(SalesLines!S4108)</x:f>
        <x:v>0</x:v>
      </x:c>
      <x:c r="M1670" s="8" t="n">
        <x:f>DATE(YEAR(C1670),MONTH(C1670),1)</x:f>
        <x:v>45658</x:v>
      </x:c>
    </x:row>
    <x:row r="1671" ht="22" customHeight="1">
      <x:c r="A1671" s="2" t="str">
        <x:v>O01667</x:v>
      </x:c>
      <x:c r="B1671" s="2" t="str">
        <x:v>C0115</x:v>
      </x:c>
      <x:c r="C1671" s="7" t="n">
        <x:v>45750</x:v>
      </x:c>
      <x:c r="D1671" s="2" t="str">
        <x:v>Cancelled</x:v>
      </x:c>
      <x:c r="E1671" s="2" t="str">
        <x:v>North</x:v>
      </x:c>
      <x:c r="F1671" s="2" t="str">
        <x:v>Online</x:v>
      </x:c>
      <x:c r="G1671" s="9" t="n">
        <x:f>SUM(SalesLines!Q4109,SalesLines!Q4110,SalesLines!Q4111,SalesLines!Q4112)</x:f>
        <x:v>0</x:v>
      </x:c>
      <x:c r="H1671" s="9" t="n">
        <x:f>SUM(SalesLines!M4109,SalesLines!M4110,SalesLines!M4111,SalesLines!M4112)</x:f>
        <x:v>0</x:v>
      </x:c>
      <x:c r="I1671" s="9" t="n">
        <x:f>SUM(SalesLines!N4109,SalesLines!N4110,SalesLines!N4111,SalesLines!N4112)</x:f>
        <x:v>0</x:v>
      </x:c>
      <x:c r="J1671" s="9" t="n">
        <x:f>SUM(SalesLines!P4109,SalesLines!P4110,SalesLines!P4111,SalesLines!P4112)</x:f>
        <x:v>0</x:v>
      </x:c>
      <x:c r="K1671" s="11" t="n">
        <x:f>SUM(SalesLines!R4109,SalesLines!R4110,SalesLines!R4111,SalesLines!R4112)</x:f>
        <x:v>0</x:v>
      </x:c>
      <x:c r="L1671" s="11" t="n">
        <x:f>SUM(SalesLines!S4109,SalesLines!S4110,SalesLines!S4111,SalesLines!S4112)</x:f>
        <x:v>0</x:v>
      </x:c>
      <x:c r="M1671" s="8" t="n">
        <x:f>DATE(YEAR(C1671),MONTH(C1671),1)</x:f>
        <x:v>45748</x:v>
      </x:c>
    </x:row>
    <x:row r="1672" ht="22" customHeight="1">
      <x:c r="A1672" s="2" t="str">
        <x:v>O01668</x:v>
      </x:c>
      <x:c r="B1672" s="2" t="str">
        <x:v>C0193</x:v>
      </x:c>
      <x:c r="C1672" s="7" t="n">
        <x:v>45732</x:v>
      </x:c>
      <x:c r="D1672" s="2" t="str">
        <x:v>Completed</x:v>
      </x:c>
      <x:c r="E1672" s="2" t="str">
        <x:v>East</x:v>
      </x:c>
      <x:c r="F1672" s="2" t="str">
        <x:v>Online</x:v>
      </x:c>
      <x:c r="G1672" s="9" t="n">
        <x:f>SUM(SalesLines!Q4113,SalesLines!Q4114,SalesLines!Q4115)</x:f>
        <x:v>1821.8</x:v>
      </x:c>
      <x:c r="H1672" s="9" t="n">
        <x:f>SUM(SalesLines!M4113,SalesLines!M4114,SalesLines!M4115)</x:f>
        <x:v>1936</x:v>
      </x:c>
      <x:c r="I1672" s="9" t="n">
        <x:f>SUM(SalesLines!N4113,SalesLines!N4114,SalesLines!N4115)</x:f>
        <x:v>114.2</x:v>
      </x:c>
      <x:c r="J1672" s="9" t="n">
        <x:f>SUM(SalesLines!P4113,SalesLines!P4114,SalesLines!P4115)</x:f>
        <x:v>0</x:v>
      </x:c>
      <x:c r="K1672" s="11" t="n">
        <x:f>SUM(SalesLines!R4113,SalesLines!R4114,SalesLines!R4115)</x:f>
        <x:v>9</x:v>
      </x:c>
      <x:c r="L1672" s="11" t="n">
        <x:f>SUM(SalesLines!S4113,SalesLines!S4114,SalesLines!S4115)</x:f>
        <x:v>0</x:v>
      </x:c>
      <x:c r="M1672" s="8" t="n">
        <x:f>DATE(YEAR(C1672),MONTH(C1672),1)</x:f>
        <x:v>45717</x:v>
      </x:c>
    </x:row>
    <x:row r="1673" ht="22" customHeight="1">
      <x:c r="A1673" s="2" t="str">
        <x:v>O01669</x:v>
      </x:c>
      <x:c r="B1673" s="2" t="str">
        <x:v>C0094</x:v>
      </x:c>
      <x:c r="C1673" s="7" t="n">
        <x:v>45769</x:v>
      </x:c>
      <x:c r="D1673" s="2" t="str">
        <x:v>Completed</x:v>
      </x:c>
      <x:c r="E1673" s="2" t="str">
        <x:v>West</x:v>
      </x:c>
      <x:c r="F1673" s="2" t="str">
        <x:v>Store</x:v>
      </x:c>
      <x:c r="G1673" s="9" t="n">
        <x:f>SUM(SalesLines!Q4116)</x:f>
        <x:v>1058.4</x:v>
      </x:c>
      <x:c r="H1673" s="9" t="n">
        <x:f>SUM(SalesLines!M4116)</x:f>
        <x:v>1176</x:v>
      </x:c>
      <x:c r="I1673" s="9" t="n">
        <x:f>SUM(SalesLines!N4116)</x:f>
        <x:v>117.60000000000001</x:v>
      </x:c>
      <x:c r="J1673" s="9" t="n">
        <x:f>SUM(SalesLines!P4116)</x:f>
        <x:v>0</x:v>
      </x:c>
      <x:c r="K1673" s="11" t="n">
        <x:f>SUM(SalesLines!R4116)</x:f>
        <x:v>4</x:v>
      </x:c>
      <x:c r="L1673" s="11" t="n">
        <x:f>SUM(SalesLines!S4116)</x:f>
        <x:v>0</x:v>
      </x:c>
      <x:c r="M1673" s="8" t="n">
        <x:f>DATE(YEAR(C1673),MONTH(C1673),1)</x:f>
        <x:v>45748</x:v>
      </x:c>
    </x:row>
    <x:row r="1674" ht="22" customHeight="1">
      <x:c r="A1674" s="2" t="str">
        <x:v>O01670</x:v>
      </x:c>
      <x:c r="B1674" s="2" t="str">
        <x:v>C0291</x:v>
      </x:c>
      <x:c r="C1674" s="7" t="n">
        <x:v>45816</x:v>
      </x:c>
      <x:c r="D1674" s="2" t="str">
        <x:v>Completed</x:v>
      </x:c>
      <x:c r="E1674" s="2" t="str">
        <x:v>North</x:v>
      </x:c>
      <x:c r="F1674" s="2" t="str">
        <x:v>Store</x:v>
      </x:c>
      <x:c r="G1674" s="9" t="n">
        <x:f>SUM(SalesLines!Q4117)</x:f>
        <x:v>372</x:v>
      </x:c>
      <x:c r="H1674" s="9" t="n">
        <x:f>SUM(SalesLines!M4117)</x:f>
        <x:v>372</x:v>
      </x:c>
      <x:c r="I1674" s="9" t="n">
        <x:f>SUM(SalesLines!N4117)</x:f>
        <x:v>0</x:v>
      </x:c>
      <x:c r="J1674" s="9" t="n">
        <x:f>SUM(SalesLines!P4117)</x:f>
        <x:v>0</x:v>
      </x:c>
      <x:c r="K1674" s="11" t="n">
        <x:f>SUM(SalesLines!R4117)</x:f>
        <x:v>4</x:v>
      </x:c>
      <x:c r="L1674" s="11" t="n">
        <x:f>SUM(SalesLines!S4117)</x:f>
        <x:v>0</x:v>
      </x:c>
      <x:c r="M1674" s="8" t="n">
        <x:f>DATE(YEAR(C1674),MONTH(C1674),1)</x:f>
        <x:v>45809</x:v>
      </x:c>
    </x:row>
    <x:row r="1675" ht="22" customHeight="1">
      <x:c r="A1675" s="2" t="str">
        <x:v>O01671</x:v>
      </x:c>
      <x:c r="B1675" s="2" t="str">
        <x:v>C0190</x:v>
      </x:c>
      <x:c r="C1675" s="7" t="n">
        <x:v>45785</x:v>
      </x:c>
      <x:c r="D1675" s="2" t="str">
        <x:v>Completed</x:v>
      </x:c>
      <x:c r="E1675" s="2" t="str">
        <x:v>North</x:v>
      </x:c>
      <x:c r="F1675" s="2" t="str">
        <x:v>Online</x:v>
      </x:c>
      <x:c r="G1675" s="9" t="n">
        <x:f>SUM(SalesLines!Q4118,SalesLines!Q4119,SalesLines!Q4120,SalesLines!Q4121)</x:f>
        <x:v>2371.8</x:v>
      </x:c>
      <x:c r="H1675" s="9" t="n">
        <x:f>SUM(SalesLines!M4118,SalesLines!M4119,SalesLines!M4120,SalesLines!M4121)</x:f>
        <x:v>2676</x:v>
      </x:c>
      <x:c r="I1675" s="9" t="n">
        <x:f>SUM(SalesLines!N4118,SalesLines!N4119,SalesLines!N4120,SalesLines!N4121)</x:f>
        <x:v>304.20000000000005</x:v>
      </x:c>
      <x:c r="J1675" s="9" t="n">
        <x:f>SUM(SalesLines!P4118,SalesLines!P4119,SalesLines!P4120,SalesLines!P4121)</x:f>
        <x:v>0</x:v>
      </x:c>
      <x:c r="K1675" s="11" t="n">
        <x:f>SUM(SalesLines!R4118,SalesLines!R4119,SalesLines!R4120,SalesLines!R4121)</x:f>
        <x:v>15</x:v>
      </x:c>
      <x:c r="L1675" s="11" t="n">
        <x:f>SUM(SalesLines!S4118,SalesLines!S4119,SalesLines!S4120,SalesLines!S4121)</x:f>
        <x:v>0</x:v>
      </x:c>
      <x:c r="M1675" s="8" t="n">
        <x:f>DATE(YEAR(C1675),MONTH(C1675),1)</x:f>
        <x:v>45778</x:v>
      </x:c>
    </x:row>
    <x:row r="1676" ht="22" customHeight="1">
      <x:c r="A1676" s="2" t="str">
        <x:v>O01672</x:v>
      </x:c>
      <x:c r="B1676" s="2" t="str">
        <x:v>C0072</x:v>
      </x:c>
      <x:c r="C1676" s="7" t="n">
        <x:v>46005</x:v>
      </x:c>
      <x:c r="D1676" s="2" t="str">
        <x:v>Completed</x:v>
      </x:c>
      <x:c r="E1676" s="2" t="str">
        <x:v>South</x:v>
      </x:c>
      <x:c r="F1676" s="2" t="str">
        <x:v>Store</x:v>
      </x:c>
      <x:c r="G1676" s="9" t="n">
        <x:f>SUM(SalesLines!Q4122)</x:f>
        <x:v>0</x:v>
      </x:c>
      <x:c r="H1676" s="9" t="n">
        <x:f>SUM(SalesLines!M4122)</x:f>
        <x:v>93</x:v>
      </x:c>
      <x:c r="I1676" s="9" t="n">
        <x:f>SUM(SalesLines!N4122)</x:f>
        <x:v>0</x:v>
      </x:c>
      <x:c r="J1676" s="9" t="n">
        <x:f>SUM(SalesLines!P4122)</x:f>
        <x:v>93</x:v>
      </x:c>
      <x:c r="K1676" s="11" t="n">
        <x:f>SUM(SalesLines!R4122)</x:f>
        <x:v>1</x:v>
      </x:c>
      <x:c r="L1676" s="11" t="n">
        <x:f>SUM(SalesLines!S4122)</x:f>
        <x:v>1</x:v>
      </x:c>
      <x:c r="M1676" s="8" t="n">
        <x:f>DATE(YEAR(C1676),MONTH(C1676),1)</x:f>
        <x:v>45992</x:v>
      </x:c>
    </x:row>
    <x:row r="1677" ht="22" customHeight="1">
      <x:c r="A1677" s="2" t="str">
        <x:v>O01673</x:v>
      </x:c>
      <x:c r="B1677" s="2" t="str">
        <x:v>C0152</x:v>
      </x:c>
      <x:c r="C1677" s="7" t="n">
        <x:v>45784</x:v>
      </x:c>
      <x:c r="D1677" s="2" t="str">
        <x:v>Completed</x:v>
      </x:c>
      <x:c r="E1677" s="2" t="str">
        <x:v>West</x:v>
      </x:c>
      <x:c r="F1677" s="2" t="str">
        <x:v>Store</x:v>
      </x:c>
      <x:c r="G1677" s="9" t="n">
        <x:f>SUM(SalesLines!Q4123,SalesLines!Q4124,SalesLines!Q4125,SalesLines!Q4126)</x:f>
        <x:v>2825.6</x:v>
      </x:c>
      <x:c r="H1677" s="9" t="n">
        <x:f>SUM(SalesLines!M4123,SalesLines!M4124,SalesLines!M4125,SalesLines!M4126)</x:f>
        <x:v>3151</x:v>
      </x:c>
      <x:c r="I1677" s="9" t="n">
        <x:f>SUM(SalesLines!N4123,SalesLines!N4124,SalesLines!N4125,SalesLines!N4126)</x:f>
        <x:v>325.4</x:v>
      </x:c>
      <x:c r="J1677" s="9" t="n">
        <x:f>SUM(SalesLines!P4123,SalesLines!P4124,SalesLines!P4125,SalesLines!P4126)</x:f>
        <x:v>0</x:v>
      </x:c>
      <x:c r="K1677" s="11" t="n">
        <x:f>SUM(SalesLines!R4123,SalesLines!R4124,SalesLines!R4125,SalesLines!R4126)</x:f>
        <x:v>13</x:v>
      </x:c>
      <x:c r="L1677" s="11" t="n">
        <x:f>SUM(SalesLines!S4123,SalesLines!S4124,SalesLines!S4125,SalesLines!S4126)</x:f>
        <x:v>0</x:v>
      </x:c>
      <x:c r="M1677" s="8" t="n">
        <x:f>DATE(YEAR(C1677),MONTH(C1677),1)</x:f>
        <x:v>45778</x:v>
      </x:c>
    </x:row>
    <x:row r="1678" ht="22" customHeight="1">
      <x:c r="A1678" s="2" t="str">
        <x:v>O01674</x:v>
      </x:c>
      <x:c r="B1678" s="2" t="str">
        <x:v>C0071</x:v>
      </x:c>
      <x:c r="C1678" s="7" t="n">
        <x:v>45855</x:v>
      </x:c>
      <x:c r="D1678" s="2" t="str">
        <x:v>Completed</x:v>
      </x:c>
      <x:c r="E1678" s="2" t="str">
        <x:v>West</x:v>
      </x:c>
      <x:c r="F1678" s="2" t="str">
        <x:v>Store</x:v>
      </x:c>
      <x:c r="G1678" s="9" t="n">
        <x:f>SUM(SalesLines!Q4127,SalesLines!Q4128)</x:f>
        <x:v>234</x:v>
      </x:c>
      <x:c r="H1678" s="9" t="n">
        <x:f>SUM(SalesLines!M4127,SalesLines!M4128)</x:f>
        <x:v>518</x:v>
      </x:c>
      <x:c r="I1678" s="9" t="n">
        <x:f>SUM(SalesLines!N4127,SalesLines!N4128)</x:f>
        <x:v>28.400000000000002</x:v>
      </x:c>
      <x:c r="J1678" s="9" t="n">
        <x:f>SUM(SalesLines!P4127,SalesLines!P4128)</x:f>
        <x:v>255.6</x:v>
      </x:c>
      <x:c r="K1678" s="11" t="n">
        <x:f>SUM(SalesLines!R4127,SalesLines!R4128)</x:f>
        <x:v>4</x:v>
      </x:c>
      <x:c r="L1678" s="11" t="n">
        <x:f>SUM(SalesLines!S4127,SalesLines!S4128)</x:f>
        <x:v>1</x:v>
      </x:c>
      <x:c r="M1678" s="8" t="n">
        <x:f>DATE(YEAR(C1678),MONTH(C1678),1)</x:f>
        <x:v>45839</x:v>
      </x:c>
    </x:row>
    <x:row r="1679" ht="22" customHeight="1">
      <x:c r="A1679" s="2" t="str">
        <x:v>O01675</x:v>
      </x:c>
      <x:c r="B1679" s="2" t="str">
        <x:v>C0080</x:v>
      </x:c>
      <x:c r="C1679" s="7" t="n">
        <x:v>45718</x:v>
      </x:c>
      <x:c r="D1679" s="2" t="str">
        <x:v>Completed</x:v>
      </x:c>
      <x:c r="E1679" s="2" t="str">
        <x:v>East</x:v>
      </x:c>
      <x:c r="F1679" s="2" t="str">
        <x:v>Store</x:v>
      </x:c>
      <x:c r="G1679" s="9" t="n">
        <x:f>SUM(SalesLines!Q4129)</x:f>
        <x:v>224.1</x:v>
      </x:c>
      <x:c r="H1679" s="9" t="n">
        <x:f>SUM(SalesLines!M4129)</x:f>
        <x:v>249</x:v>
      </x:c>
      <x:c r="I1679" s="9" t="n">
        <x:f>SUM(SalesLines!N4129)</x:f>
        <x:v>24.900000000000002</x:v>
      </x:c>
      <x:c r="J1679" s="9" t="n">
        <x:f>SUM(SalesLines!P4129)</x:f>
        <x:v>0</x:v>
      </x:c>
      <x:c r="K1679" s="11" t="n">
        <x:f>SUM(SalesLines!R4129)</x:f>
        <x:v>1</x:v>
      </x:c>
      <x:c r="L1679" s="11" t="n">
        <x:f>SUM(SalesLines!S4129)</x:f>
        <x:v>0</x:v>
      </x:c>
      <x:c r="M1679" s="8" t="n">
        <x:f>DATE(YEAR(C1679),MONTH(C1679),1)</x:f>
        <x:v>45717</x:v>
      </x:c>
    </x:row>
    <x:row r="1680" ht="22" customHeight="1">
      <x:c r="A1680" s="2" t="str">
        <x:v>O01676</x:v>
      </x:c>
      <x:c r="B1680" s="2" t="str">
        <x:v>C0275</x:v>
      </x:c>
      <x:c r="C1680" s="7" t="n">
        <x:v>46017</x:v>
      </x:c>
      <x:c r="D1680" s="2" t="str">
        <x:v>Completed</x:v>
      </x:c>
      <x:c r="E1680" s="2" t="str">
        <x:v>East</x:v>
      </x:c>
      <x:c r="F1680" s="2" t="str">
        <x:v>Store</x:v>
      </x:c>
      <x:c r="G1680" s="9" t="n">
        <x:f>SUM(SalesLines!Q4130,SalesLines!Q4131)</x:f>
        <x:v>1374.2</x:v>
      </x:c>
      <x:c r="H1680" s="9" t="n">
        <x:f>SUM(SalesLines!M4130,SalesLines!M4131)</x:f>
        <x:v>1414</x:v>
      </x:c>
      <x:c r="I1680" s="9" t="n">
        <x:f>SUM(SalesLines!N4130,SalesLines!N4131)</x:f>
        <x:v>39.800000000000004</x:v>
      </x:c>
      <x:c r="J1680" s="9" t="n">
        <x:f>SUM(SalesLines!P4130,SalesLines!P4131)</x:f>
        <x:v>0</x:v>
      </x:c>
      <x:c r="K1680" s="11" t="n">
        <x:f>SUM(SalesLines!R4130,SalesLines!R4131)</x:f>
        <x:v>6</x:v>
      </x:c>
      <x:c r="L1680" s="11" t="n">
        <x:f>SUM(SalesLines!S4130,SalesLines!S4131)</x:f>
        <x:v>0</x:v>
      </x:c>
      <x:c r="M1680" s="8" t="n">
        <x:f>DATE(YEAR(C1680),MONTH(C1680),1)</x:f>
        <x:v>45992</x:v>
      </x:c>
    </x:row>
    <x:row r="1681" ht="22" customHeight="1">
      <x:c r="A1681" s="2" t="str">
        <x:v>O01677</x:v>
      </x:c>
      <x:c r="B1681" s="2" t="str">
        <x:v>C0048</x:v>
      </x:c>
      <x:c r="C1681" s="7" t="n">
        <x:v>45759</x:v>
      </x:c>
      <x:c r="D1681" s="2" t="str">
        <x:v>Completed</x:v>
      </x:c>
      <x:c r="E1681" s="2" t="str">
        <x:v>East</x:v>
      </x:c>
      <x:c r="F1681" s="2" t="str">
        <x:v>Online</x:v>
      </x:c>
      <x:c r="G1681" s="9" t="n">
        <x:f>SUM(SalesLines!Q4132,SalesLines!Q4133)</x:f>
        <x:v>446.4</x:v>
      </x:c>
      <x:c r="H1681" s="9" t="n">
        <x:f>SUM(SalesLines!M4132,SalesLines!M4133)</x:f>
        <x:v>558</x:v>
      </x:c>
      <x:c r="I1681" s="9" t="n">
        <x:f>SUM(SalesLines!N4132,SalesLines!N4133)</x:f>
        <x:v>111.6</x:v>
      </x:c>
      <x:c r="J1681" s="9" t="n">
        <x:f>SUM(SalesLines!P4132,SalesLines!P4133)</x:f>
        <x:v>0</x:v>
      </x:c>
      <x:c r="K1681" s="11" t="n">
        <x:f>SUM(SalesLines!R4132,SalesLines!R4133)</x:f>
        <x:v>7</x:v>
      </x:c>
      <x:c r="L1681" s="11" t="n">
        <x:f>SUM(SalesLines!S4132,SalesLines!S4133)</x:f>
        <x:v>0</x:v>
      </x:c>
      <x:c r="M1681" s="8" t="n">
        <x:f>DATE(YEAR(C1681),MONTH(C1681),1)</x:f>
        <x:v>45748</x:v>
      </x:c>
    </x:row>
    <x:row r="1682" ht="22" customHeight="1">
      <x:c r="A1682" s="2" t="str">
        <x:v>O01678</x:v>
      </x:c>
      <x:c r="B1682" s="2" t="str">
        <x:v>C0087</x:v>
      </x:c>
      <x:c r="C1682" s="7" t="n">
        <x:v>45676</x:v>
      </x:c>
      <x:c r="D1682" s="2" t="str">
        <x:v>Completed</x:v>
      </x:c>
      <x:c r="E1682" s="2" t="str">
        <x:v>North</x:v>
      </x:c>
      <x:c r="F1682" s="2" t="str">
        <x:v>Online</x:v>
      </x:c>
      <x:c r="G1682" s="9" t="n">
        <x:f>SUM(SalesLines!Q4134,SalesLines!Q4135)</x:f>
        <x:v>1002.25</x:v>
      </x:c>
      <x:c r="H1682" s="9" t="n">
        <x:f>SUM(SalesLines!M4134,SalesLines!M4135)</x:f>
        <x:v>1148</x:v>
      </x:c>
      <x:c r="I1682" s="9" t="n">
        <x:f>SUM(SalesLines!N4134,SalesLines!N4135)</x:f>
        <x:v>62.05</x:v>
      </x:c>
      <x:c r="J1682" s="9" t="n">
        <x:f>SUM(SalesLines!P4134,SalesLines!P4135)</x:f>
        <x:v>83.7</x:v>
      </x:c>
      <x:c r="K1682" s="11" t="n">
        <x:f>SUM(SalesLines!R4134,SalesLines!R4135)</x:f>
        <x:v>6</x:v>
      </x:c>
      <x:c r="L1682" s="11" t="n">
        <x:f>SUM(SalesLines!S4134,SalesLines!S4135)</x:f>
        <x:v>1</x:v>
      </x:c>
      <x:c r="M1682" s="8" t="n">
        <x:f>DATE(YEAR(C1682),MONTH(C1682),1)</x:f>
        <x:v>45658</x:v>
      </x:c>
    </x:row>
    <x:row r="1683" ht="22" customHeight="1">
      <x:c r="A1683" s="2" t="str">
        <x:v>O01679</x:v>
      </x:c>
      <x:c r="B1683" s="2" t="str">
        <x:v>C0200</x:v>
      </x:c>
      <x:c r="C1683" s="7" t="n">
        <x:v>45930</x:v>
      </x:c>
      <x:c r="D1683" s="2" t="str">
        <x:v>Completed</x:v>
      </x:c>
      <x:c r="E1683" s="2" t="str">
        <x:v>West</x:v>
      </x:c>
      <x:c r="F1683" s="2" t="str">
        <x:v>Online</x:v>
      </x:c>
      <x:c r="G1683" s="9" t="n">
        <x:f>SUM(SalesLines!Q4136,SalesLines!Q4137,SalesLines!Q4138,SalesLines!Q4139)</x:f>
        <x:v>1090.35</x:v>
      </x:c>
      <x:c r="H1683" s="9" t="n">
        <x:f>SUM(SalesLines!M4136,SalesLines!M4137,SalesLines!M4138,SalesLines!M4139)</x:f>
        <x:v>1236</x:v>
      </x:c>
      <x:c r="I1683" s="9" t="n">
        <x:f>SUM(SalesLines!N4136,SalesLines!N4137,SalesLines!N4138,SalesLines!N4139)</x:f>
        <x:v>80.85</x:v>
      </x:c>
      <x:c r="J1683" s="9" t="n">
        <x:f>SUM(SalesLines!P4136,SalesLines!P4137,SalesLines!P4138,SalesLines!P4139)</x:f>
        <x:v>64.8</x:v>
      </x:c>
      <x:c r="K1683" s="11" t="n">
        <x:f>SUM(SalesLines!R4136,SalesLines!R4137,SalesLines!R4138,SalesLines!R4139)</x:f>
        <x:v>10</x:v>
      </x:c>
      <x:c r="L1683" s="11" t="n">
        <x:f>SUM(SalesLines!S4136,SalesLines!S4137,SalesLines!S4138,SalesLines!S4139)</x:f>
        <x:v>1</x:v>
      </x:c>
      <x:c r="M1683" s="8" t="n">
        <x:f>DATE(YEAR(C1683),MONTH(C1683),1)</x:f>
        <x:v>45901</x:v>
      </x:c>
    </x:row>
    <x:row r="1684" ht="22" customHeight="1">
      <x:c r="A1684" s="2" t="str">
        <x:v>O01680</x:v>
      </x:c>
      <x:c r="B1684" s="2" t="str">
        <x:v>C0156</x:v>
      </x:c>
      <x:c r="C1684" s="7" t="n">
        <x:v>45683</x:v>
      </x:c>
      <x:c r="D1684" s="2" t="str">
        <x:v>Cancelled</x:v>
      </x:c>
      <x:c r="E1684" s="2" t="str">
        <x:v>South</x:v>
      </x:c>
      <x:c r="F1684" s="2" t="str">
        <x:v>Online</x:v>
      </x:c>
      <x:c r="G1684" s="9" t="n">
        <x:f>SUM(SalesLines!Q4140,SalesLines!Q4141,SalesLines!Q4142)</x:f>
        <x:v>0</x:v>
      </x:c>
      <x:c r="H1684" s="9" t="n">
        <x:f>SUM(SalesLines!M4140,SalesLines!M4141,SalesLines!M4142)</x:f>
        <x:v>0</x:v>
      </x:c>
      <x:c r="I1684" s="9" t="n">
        <x:f>SUM(SalesLines!N4140,SalesLines!N4141,SalesLines!N4142)</x:f>
        <x:v>0</x:v>
      </x:c>
      <x:c r="J1684" s="9" t="n">
        <x:f>SUM(SalesLines!P4140,SalesLines!P4141,SalesLines!P4142)</x:f>
        <x:v>0</x:v>
      </x:c>
      <x:c r="K1684" s="11" t="n">
        <x:f>SUM(SalesLines!R4140,SalesLines!R4141,SalesLines!R4142)</x:f>
        <x:v>0</x:v>
      </x:c>
      <x:c r="L1684" s="11" t="n">
        <x:f>SUM(SalesLines!S4140,SalesLines!S4141,SalesLines!S4142)</x:f>
        <x:v>0</x:v>
      </x:c>
      <x:c r="M1684" s="8" t="n">
        <x:f>DATE(YEAR(C1684),MONTH(C1684),1)</x:f>
        <x:v>45658</x:v>
      </x:c>
    </x:row>
    <x:row r="1685" ht="22" customHeight="1">
      <x:c r="A1685" s="2" t="str">
        <x:v>O01681</x:v>
      </x:c>
      <x:c r="B1685" s="2" t="str">
        <x:v>C0024</x:v>
      </x:c>
      <x:c r="C1685" s="7" t="n">
        <x:v>45700</x:v>
      </x:c>
      <x:c r="D1685" s="2" t="str">
        <x:v>Completed</x:v>
      </x:c>
      <x:c r="E1685" s="2" t="str">
        <x:v>South</x:v>
      </x:c>
      <x:c r="F1685" s="2" t="str">
        <x:v>Online</x:v>
      </x:c>
      <x:c r="G1685" s="9" t="n">
        <x:f>SUM(SalesLines!Q4143)</x:f>
        <x:v>324</x:v>
      </x:c>
      <x:c r="H1685" s="9" t="n">
        <x:f>SUM(SalesLines!M4143)</x:f>
        <x:v>324</x:v>
      </x:c>
      <x:c r="I1685" s="9" t="n">
        <x:f>SUM(SalesLines!N4143)</x:f>
        <x:v>0</x:v>
      </x:c>
      <x:c r="J1685" s="9" t="n">
        <x:f>SUM(SalesLines!P4143)</x:f>
        <x:v>0</x:v>
      </x:c>
      <x:c r="K1685" s="11" t="n">
        <x:f>SUM(SalesLines!R4143)</x:f>
        <x:v>4</x:v>
      </x:c>
      <x:c r="L1685" s="11" t="n">
        <x:f>SUM(SalesLines!S4143)</x:f>
        <x:v>0</x:v>
      </x:c>
      <x:c r="M1685" s="8" t="n">
        <x:f>DATE(YEAR(C1685),MONTH(C1685),1)</x:f>
        <x:v>45689</x:v>
      </x:c>
    </x:row>
    <x:row r="1686" ht="22" customHeight="1">
      <x:c r="A1686" s="2" t="str">
        <x:v>O01682</x:v>
      </x:c>
      <x:c r="B1686" s="2" t="str">
        <x:v>C0227</x:v>
      </x:c>
      <x:c r="C1686" s="7" t="n">
        <x:v>45730</x:v>
      </x:c>
      <x:c r="D1686" s="2" t="str">
        <x:v>Completed</x:v>
      </x:c>
      <x:c r="E1686" s="2" t="str">
        <x:v>East</x:v>
      </x:c>
      <x:c r="F1686" s="2" t="str">
        <x:v>Online</x:v>
      </x:c>
      <x:c r="G1686" s="9" t="n">
        <x:f>SUM(SalesLines!Q4144,SalesLines!Q4145,SalesLines!Q4146)</x:f>
        <x:v>1105</x:v>
      </x:c>
      <x:c r="H1686" s="9" t="n">
        <x:f>SUM(SalesLines!M4144,SalesLines!M4145,SalesLines!M4146)</x:f>
        <x:v>1256</x:v>
      </x:c>
      <x:c r="I1686" s="9" t="n">
        <x:f>SUM(SalesLines!N4144,SalesLines!N4145,SalesLines!N4146)</x:f>
        <x:v>151</x:v>
      </x:c>
      <x:c r="J1686" s="9" t="n">
        <x:f>SUM(SalesLines!P4144,SalesLines!P4145,SalesLines!P4146)</x:f>
        <x:v>0</x:v>
      </x:c>
      <x:c r="K1686" s="11" t="n">
        <x:f>SUM(SalesLines!R4144,SalesLines!R4145,SalesLines!R4146)</x:f>
        <x:v>6</x:v>
      </x:c>
      <x:c r="L1686" s="11" t="n">
        <x:f>SUM(SalesLines!S4144,SalesLines!S4145,SalesLines!S4146)</x:f>
        <x:v>0</x:v>
      </x:c>
      <x:c r="M1686" s="8" t="n">
        <x:f>DATE(YEAR(C1686),MONTH(C1686),1)</x:f>
        <x:v>45717</x:v>
      </x:c>
    </x:row>
    <x:row r="1687" ht="22" customHeight="1">
      <x:c r="A1687" s="2" t="str">
        <x:v>O01683</x:v>
      </x:c>
      <x:c r="B1687" s="2" t="str">
        <x:v>C0154</x:v>
      </x:c>
      <x:c r="C1687" s="7" t="n">
        <x:v>45770</x:v>
      </x:c>
      <x:c r="D1687" s="2" t="str">
        <x:v>Cancelled</x:v>
      </x:c>
      <x:c r="E1687" s="2" t="str">
        <x:v>North</x:v>
      </x:c>
      <x:c r="F1687" s="2" t="str">
        <x:v>Store</x:v>
      </x:c>
      <x:c r="G1687" s="9" t="n">
        <x:f>SUM(SalesLines!Q4147,SalesLines!Q4148,SalesLines!Q4149)</x:f>
        <x:v>0</x:v>
      </x:c>
      <x:c r="H1687" s="9" t="n">
        <x:f>SUM(SalesLines!M4147,SalesLines!M4148,SalesLines!M4149)</x:f>
        <x:v>0</x:v>
      </x:c>
      <x:c r="I1687" s="9" t="n">
        <x:f>SUM(SalesLines!N4147,SalesLines!N4148,SalesLines!N4149)</x:f>
        <x:v>0</x:v>
      </x:c>
      <x:c r="J1687" s="9" t="n">
        <x:f>SUM(SalesLines!P4147,SalesLines!P4148,SalesLines!P4149)</x:f>
        <x:v>0</x:v>
      </x:c>
      <x:c r="K1687" s="11" t="n">
        <x:f>SUM(SalesLines!R4147,SalesLines!R4148,SalesLines!R4149)</x:f>
        <x:v>0</x:v>
      </x:c>
      <x:c r="L1687" s="11" t="n">
        <x:f>SUM(SalesLines!S4147,SalesLines!S4148,SalesLines!S4149)</x:f>
        <x:v>0</x:v>
      </x:c>
      <x:c r="M1687" s="8" t="n">
        <x:f>DATE(YEAR(C1687),MONTH(C1687),1)</x:f>
        <x:v>45748</x:v>
      </x:c>
    </x:row>
    <x:row r="1688" ht="22" customHeight="1">
      <x:c r="A1688" s="2" t="str">
        <x:v>O01684</x:v>
      </x:c>
      <x:c r="B1688" s="2" t="str">
        <x:v>C0206</x:v>
      </x:c>
      <x:c r="C1688" s="7" t="n">
        <x:v>45912</x:v>
      </x:c>
      <x:c r="D1688" s="2" t="str">
        <x:v>Completed</x:v>
      </x:c>
      <x:c r="E1688" s="2" t="str">
        <x:v>West</x:v>
      </x:c>
      <x:c r="F1688" s="2" t="str">
        <x:v>Online</x:v>
      </x:c>
      <x:c r="G1688" s="9" t="n">
        <x:f>SUM(SalesLines!Q4150,SalesLines!Q4151,SalesLines!Q4152)</x:f>
        <x:v>1433.6</x:v>
      </x:c>
      <x:c r="H1688" s="9" t="n">
        <x:f>SUM(SalesLines!M4150,SalesLines!M4151,SalesLines!M4152)</x:f>
        <x:v>1524</x:v>
      </x:c>
      <x:c r="I1688" s="9" t="n">
        <x:f>SUM(SalesLines!N4150,SalesLines!N4151,SalesLines!N4152)</x:f>
        <x:v>90.4</x:v>
      </x:c>
      <x:c r="J1688" s="9" t="n">
        <x:f>SUM(SalesLines!P4150,SalesLines!P4151,SalesLines!P4152)</x:f>
        <x:v>0</x:v>
      </x:c>
      <x:c r="K1688" s="11" t="n">
        <x:f>SUM(SalesLines!R4150,SalesLines!R4151,SalesLines!R4152)</x:f>
        <x:v>10</x:v>
      </x:c>
      <x:c r="L1688" s="11" t="n">
        <x:f>SUM(SalesLines!S4150,SalesLines!S4151,SalesLines!S4152)</x:f>
        <x:v>0</x:v>
      </x:c>
      <x:c r="M1688" s="8" t="n">
        <x:f>DATE(YEAR(C1688),MONTH(C1688),1)</x:f>
        <x:v>45901</x:v>
      </x:c>
    </x:row>
    <x:row r="1689" ht="22" customHeight="1">
      <x:c r="A1689" s="2" t="str">
        <x:v>O01685</x:v>
      </x:c>
      <x:c r="B1689" s="2" t="str">
        <x:v>C0111</x:v>
      </x:c>
      <x:c r="C1689" s="7" t="n">
        <x:v>45756</x:v>
      </x:c>
      <x:c r="D1689" s="2" t="str">
        <x:v>Completed</x:v>
      </x:c>
      <x:c r="E1689" s="2" t="str">
        <x:v>South</x:v>
      </x:c>
      <x:c r="F1689" s="2" t="str">
        <x:v>Online</x:v>
      </x:c>
      <x:c r="G1689" s="9" t="n">
        <x:f>SUM(SalesLines!Q4153,SalesLines!Q4154)</x:f>
        <x:v>1566.1</x:v>
      </x:c>
      <x:c r="H1689" s="9" t="n">
        <x:f>SUM(SalesLines!M4153,SalesLines!M4154)</x:f>
        <x:v>1593</x:v>
      </x:c>
      <x:c r="I1689" s="9" t="n">
        <x:f>SUM(SalesLines!N4153,SalesLines!N4154)</x:f>
        <x:v>26.900000000000002</x:v>
      </x:c>
      <x:c r="J1689" s="9" t="n">
        <x:f>SUM(SalesLines!P4153,SalesLines!P4154)</x:f>
        <x:v>0</x:v>
      </x:c>
      <x:c r="K1689" s="11" t="n">
        <x:f>SUM(SalesLines!R4153,SalesLines!R4154)</x:f>
        <x:v>7</x:v>
      </x:c>
      <x:c r="L1689" s="11" t="n">
        <x:f>SUM(SalesLines!S4153,SalesLines!S4154)</x:f>
        <x:v>0</x:v>
      </x:c>
      <x:c r="M1689" s="8" t="n">
        <x:f>DATE(YEAR(C1689),MONTH(C1689),1)</x:f>
        <x:v>45748</x:v>
      </x:c>
    </x:row>
    <x:row r="1690" ht="22" customHeight="1">
      <x:c r="A1690" s="2" t="str">
        <x:v>O01686</x:v>
      </x:c>
      <x:c r="B1690" s="2" t="str">
        <x:v>C0023</x:v>
      </x:c>
      <x:c r="C1690" s="7" t="n">
        <x:v>45845</x:v>
      </x:c>
      <x:c r="D1690" s="2" t="str">
        <x:v>Completed</x:v>
      </x:c>
      <x:c r="E1690" s="2" t="str">
        <x:v>South</x:v>
      </x:c>
      <x:c r="F1690" s="2" t="str">
        <x:v>Online</x:v>
      </x:c>
      <x:c r="G1690" s="9" t="n">
        <x:f>SUM(SalesLines!Q4155,SalesLines!Q4156,SalesLines!Q4157)</x:f>
        <x:v>1124.4</x:v>
      </x:c>
      <x:c r="H1690" s="9" t="n">
        <x:f>SUM(SalesLines!M4155,SalesLines!M4156,SalesLines!M4157)</x:f>
        <x:v>1173</x:v>
      </x:c>
      <x:c r="I1690" s="9" t="n">
        <x:f>SUM(SalesLines!N4155,SalesLines!N4156,SalesLines!N4157)</x:f>
        <x:v>48.6</x:v>
      </x:c>
      <x:c r="J1690" s="9" t="n">
        <x:f>SUM(SalesLines!P4155,SalesLines!P4156,SalesLines!P4157)</x:f>
        <x:v>0</x:v>
      </x:c>
      <x:c r="K1690" s="11" t="n">
        <x:f>SUM(SalesLines!R4155,SalesLines!R4156,SalesLines!R4157)</x:f>
        <x:v>7</x:v>
      </x:c>
      <x:c r="L1690" s="11" t="n">
        <x:f>SUM(SalesLines!S4155,SalesLines!S4156,SalesLines!S4157)</x:f>
        <x:v>0</x:v>
      </x:c>
      <x:c r="M1690" s="8" t="n">
        <x:f>DATE(YEAR(C1690),MONTH(C1690),1)</x:f>
        <x:v>45839</x:v>
      </x:c>
    </x:row>
    <x:row r="1691" ht="22" customHeight="1">
      <x:c r="A1691" s="2" t="str">
        <x:v>O01687</x:v>
      </x:c>
      <x:c r="B1691" s="2" t="str">
        <x:v>C0139</x:v>
      </x:c>
      <x:c r="C1691" s="7" t="n">
        <x:v>45981</x:v>
      </x:c>
      <x:c r="D1691" s="2" t="str">
        <x:v>Completed</x:v>
      </x:c>
      <x:c r="E1691" s="2" t="str">
        <x:v>North</x:v>
      </x:c>
      <x:c r="F1691" s="2" t="str">
        <x:v>Online</x:v>
      </x:c>
      <x:c r="G1691" s="9" t="n">
        <x:f>SUM(SalesLines!Q4158)</x:f>
        <x:v>72</x:v>
      </x:c>
      <x:c r="H1691" s="9" t="n">
        <x:f>SUM(SalesLines!M4158)</x:f>
        <x:v>80</x:v>
      </x:c>
      <x:c r="I1691" s="9" t="n">
        <x:f>SUM(SalesLines!N4158)</x:f>
        <x:v>8</x:v>
      </x:c>
      <x:c r="J1691" s="9" t="n">
        <x:f>SUM(SalesLines!P4158)</x:f>
        <x:v>0</x:v>
      </x:c>
      <x:c r="K1691" s="11" t="n">
        <x:f>SUM(SalesLines!R4158)</x:f>
        <x:v>1</x:v>
      </x:c>
      <x:c r="L1691" s="11" t="n">
        <x:f>SUM(SalesLines!S4158)</x:f>
        <x:v>0</x:v>
      </x:c>
      <x:c r="M1691" s="8" t="n">
        <x:f>DATE(YEAR(C1691),MONTH(C1691),1)</x:f>
        <x:v>45962</x:v>
      </x:c>
    </x:row>
    <x:row r="1692" ht="22" customHeight="1">
      <x:c r="A1692" s="2" t="str">
        <x:v>O01688</x:v>
      </x:c>
      <x:c r="B1692" s="2" t="str">
        <x:v>C0259</x:v>
      </x:c>
      <x:c r="C1692" s="7" t="n">
        <x:v>45849</x:v>
      </x:c>
      <x:c r="D1692" s="2" t="str">
        <x:v>Completed</x:v>
      </x:c>
      <x:c r="E1692" s="2" t="str">
        <x:v>North</x:v>
      </x:c>
      <x:c r="F1692" s="2" t="str">
        <x:v>Online</x:v>
      </x:c>
      <x:c r="G1692" s="9" t="n">
        <x:f>SUM(SalesLines!Q4159)</x:f>
        <x:v>685.8</x:v>
      </x:c>
      <x:c r="H1692" s="9" t="n">
        <x:f>SUM(SalesLines!M4159)</x:f>
        <x:v>762</x:v>
      </x:c>
      <x:c r="I1692" s="9" t="n">
        <x:f>SUM(SalesLines!N4159)</x:f>
        <x:v>76.2</x:v>
      </x:c>
      <x:c r="J1692" s="9" t="n">
        <x:f>SUM(SalesLines!P4159)</x:f>
        <x:v>0</x:v>
      </x:c>
      <x:c r="K1692" s="11" t="n">
        <x:f>SUM(SalesLines!R4159)</x:f>
        <x:v>3</x:v>
      </x:c>
      <x:c r="L1692" s="11" t="n">
        <x:f>SUM(SalesLines!S4159)</x:f>
        <x:v>0</x:v>
      </x:c>
      <x:c r="M1692" s="8" t="n">
        <x:f>DATE(YEAR(C1692),MONTH(C1692),1)</x:f>
        <x:v>45839</x:v>
      </x:c>
    </x:row>
    <x:row r="1693" ht="22" customHeight="1">
      <x:c r="A1693" s="2" t="str">
        <x:v>O01689</x:v>
      </x:c>
      <x:c r="B1693" s="2" t="str">
        <x:v>C0257</x:v>
      </x:c>
      <x:c r="C1693" s="7" t="n">
        <x:v>45912</x:v>
      </x:c>
      <x:c r="D1693" s="2" t="str">
        <x:v>Completed</x:v>
      </x:c>
      <x:c r="E1693" s="2" t="str">
        <x:v>North</x:v>
      </x:c>
      <x:c r="F1693" s="2" t="str">
        <x:v>Online</x:v>
      </x:c>
      <x:c r="G1693" s="9" t="n">
        <x:f>SUM(SalesLines!Q4160,SalesLines!Q4161)</x:f>
        <x:v>606.4</x:v>
      </x:c>
      <x:c r="H1693" s="9" t="n">
        <x:f>SUM(SalesLines!M4160,SalesLines!M4161)</x:f>
        <x:v>724</x:v>
      </x:c>
      <x:c r="I1693" s="9" t="n">
        <x:f>SUM(SalesLines!N4160,SalesLines!N4161)</x:f>
        <x:v>117.60000000000001</x:v>
      </x:c>
      <x:c r="J1693" s="9" t="n">
        <x:f>SUM(SalesLines!P4160,SalesLines!P4161)</x:f>
        <x:v>0</x:v>
      </x:c>
      <x:c r="K1693" s="11" t="n">
        <x:f>SUM(SalesLines!R4160,SalesLines!R4161)</x:f>
        <x:v>4</x:v>
      </x:c>
      <x:c r="L1693" s="11" t="n">
        <x:f>SUM(SalesLines!S4160,SalesLines!S4161)</x:f>
        <x:v>0</x:v>
      </x:c>
      <x:c r="M1693" s="8" t="n">
        <x:f>DATE(YEAR(C1693),MONTH(C1693),1)</x:f>
        <x:v>45901</x:v>
      </x:c>
    </x:row>
    <x:row r="1694" ht="22" customHeight="1">
      <x:c r="A1694" s="2" t="str">
        <x:v>O01690</x:v>
      </x:c>
      <x:c r="B1694" s="2" t="str">
        <x:v>C0140</x:v>
      </x:c>
      <x:c r="C1694" s="7" t="n">
        <x:v>45803</x:v>
      </x:c>
      <x:c r="D1694" s="2" t="str">
        <x:v>Completed</x:v>
      </x:c>
      <x:c r="E1694" s="2" t="str">
        <x:v>East</x:v>
      </x:c>
      <x:c r="F1694" s="2" t="str">
        <x:v>Online</x:v>
      </x:c>
      <x:c r="G1694" s="9" t="n">
        <x:f>SUM(SalesLines!Q4162,SalesLines!Q4163,SalesLines!Q4164,SalesLines!Q4165)</x:f>
        <x:v>1490.5499999999997</x:v>
      </x:c>
      <x:c r="H1694" s="9" t="n">
        <x:f>SUM(SalesLines!M4162,SalesLines!M4163,SalesLines!M4164,SalesLines!M4165)</x:f>
        <x:v>1737</x:v>
      </x:c>
      <x:c r="I1694" s="9" t="n">
        <x:f>SUM(SalesLines!N4162,SalesLines!N4163,SalesLines!N4164,SalesLines!N4165)</x:f>
        <x:v>246.45000000000002</x:v>
      </x:c>
      <x:c r="J1694" s="9" t="n">
        <x:f>SUM(SalesLines!P4162,SalesLines!P4163,SalesLines!P4164,SalesLines!P4165)</x:f>
        <x:v>0</x:v>
      </x:c>
      <x:c r="K1694" s="11" t="n">
        <x:f>SUM(SalesLines!R4162,SalesLines!R4163,SalesLines!R4164,SalesLines!R4165)</x:f>
        <x:v>13</x:v>
      </x:c>
      <x:c r="L1694" s="11" t="n">
        <x:f>SUM(SalesLines!S4162,SalesLines!S4163,SalesLines!S4164,SalesLines!S4165)</x:f>
        <x:v>0</x:v>
      </x:c>
      <x:c r="M1694" s="8" t="n">
        <x:f>DATE(YEAR(C1694),MONTH(C1694),1)</x:f>
        <x:v>45778</x:v>
      </x:c>
    </x:row>
    <x:row r="1695" ht="22" customHeight="1">
      <x:c r="A1695" s="2" t="str">
        <x:v>O01691</x:v>
      </x:c>
      <x:c r="B1695" s="2" t="str">
        <x:v>C0182</x:v>
      </x:c>
      <x:c r="C1695" s="7" t="n">
        <x:v>45671</x:v>
      </x:c>
      <x:c r="D1695" s="2" t="str">
        <x:v>Completed</x:v>
      </x:c>
      <x:c r="E1695" s="2" t="str">
        <x:v>West</x:v>
      </x:c>
      <x:c r="F1695" s="2" t="str">
        <x:v>Store</x:v>
      </x:c>
      <x:c r="G1695" s="9" t="n">
        <x:f>SUM(SalesLines!Q4166,SalesLines!Q4167,SalesLines!Q4168)</x:f>
        <x:v>918.3</x:v>
      </x:c>
      <x:c r="H1695" s="9" t="n">
        <x:f>SUM(SalesLines!M4166,SalesLines!M4167,SalesLines!M4168)</x:f>
        <x:v>977</x:v>
      </x:c>
      <x:c r="I1695" s="9" t="n">
        <x:f>SUM(SalesLines!N4166,SalesLines!N4167,SalesLines!N4168)</x:f>
        <x:v>58.7</x:v>
      </x:c>
      <x:c r="J1695" s="9" t="n">
        <x:f>SUM(SalesLines!P4166,SalesLines!P4167,SalesLines!P4168)</x:f>
        <x:v>0</x:v>
      </x:c>
      <x:c r="K1695" s="11" t="n">
        <x:f>SUM(SalesLines!R4166,SalesLines!R4167,SalesLines!R4168)</x:f>
        <x:v>8</x:v>
      </x:c>
      <x:c r="L1695" s="11" t="n">
        <x:f>SUM(SalesLines!S4166,SalesLines!S4167,SalesLines!S4168)</x:f>
        <x:v>0</x:v>
      </x:c>
      <x:c r="M1695" s="8" t="n">
        <x:f>DATE(YEAR(C1695),MONTH(C1695),1)</x:f>
        <x:v>45658</x:v>
      </x:c>
    </x:row>
    <x:row r="1696" ht="22" customHeight="1">
      <x:c r="A1696" s="2" t="str">
        <x:v>O01692</x:v>
      </x:c>
      <x:c r="B1696" s="2" t="str">
        <x:v>C0169</x:v>
      </x:c>
      <x:c r="C1696" s="7" t="n">
        <x:v>45908</x:v>
      </x:c>
      <x:c r="D1696" s="2" t="str">
        <x:v>Completed</x:v>
      </x:c>
      <x:c r="E1696" s="2" t="str">
        <x:v>North</x:v>
      </x:c>
      <x:c r="F1696" s="2" t="str">
        <x:v>Online</x:v>
      </x:c>
      <x:c r="G1696" s="9" t="n">
        <x:f>SUM(SalesLines!Q4169,SalesLines!Q4170,SalesLines!Q4171,SalesLines!Q4172)</x:f>
        <x:v>1863.8000000000002</x:v>
      </x:c>
      <x:c r="H1696" s="9" t="n">
        <x:f>SUM(SalesLines!M4169,SalesLines!M4170,SalesLines!M4171,SalesLines!M4172)</x:f>
        <x:v>1996</x:v>
      </x:c>
      <x:c r="I1696" s="9" t="n">
        <x:f>SUM(SalesLines!N4169,SalesLines!N4170,SalesLines!N4171,SalesLines!N4172)</x:f>
        <x:v>132.20000000000002</x:v>
      </x:c>
      <x:c r="J1696" s="9" t="n">
        <x:f>SUM(SalesLines!P4169,SalesLines!P4170,SalesLines!P4171,SalesLines!P4172)</x:f>
        <x:v>0</x:v>
      </x:c>
      <x:c r="K1696" s="11" t="n">
        <x:f>SUM(SalesLines!R4169,SalesLines!R4170,SalesLines!R4171,SalesLines!R4172)</x:f>
        <x:v>13</x:v>
      </x:c>
      <x:c r="L1696" s="11" t="n">
        <x:f>SUM(SalesLines!S4169,SalesLines!S4170,SalesLines!S4171,SalesLines!S4172)</x:f>
        <x:v>0</x:v>
      </x:c>
      <x:c r="M1696" s="8" t="n">
        <x:f>DATE(YEAR(C1696),MONTH(C1696),1)</x:f>
        <x:v>45901</x:v>
      </x:c>
    </x:row>
    <x:row r="1697" ht="22" customHeight="1">
      <x:c r="A1697" s="2" t="str">
        <x:v>O01693</x:v>
      </x:c>
      <x:c r="B1697" s="2" t="str">
        <x:v>C0128</x:v>
      </x:c>
      <x:c r="C1697" s="7" t="n">
        <x:v>45830</x:v>
      </x:c>
      <x:c r="D1697" s="2" t="str">
        <x:v>Completed</x:v>
      </x:c>
      <x:c r="E1697" s="2" t="str">
        <x:v>West</x:v>
      </x:c>
      <x:c r="F1697" s="2" t="str">
        <x:v>Store</x:v>
      </x:c>
      <x:c r="G1697" s="9" t="n">
        <x:f>SUM(SalesLines!Q4173,SalesLines!Q4174,SalesLines!Q4175)</x:f>
        <x:v>2712</x:v>
      </x:c>
      <x:c r="H1697" s="9" t="n">
        <x:f>SUM(SalesLines!M4173,SalesLines!M4174,SalesLines!M4175)</x:f>
        <x:v>2888</x:v>
      </x:c>
      <x:c r="I1697" s="9" t="n">
        <x:f>SUM(SalesLines!N4173,SalesLines!N4174,SalesLines!N4175)</x:f>
        <x:v>176</x:v>
      </x:c>
      <x:c r="J1697" s="9" t="n">
        <x:f>SUM(SalesLines!P4173,SalesLines!P4174,SalesLines!P4175)</x:f>
        <x:v>0</x:v>
      </x:c>
      <x:c r="K1697" s="11" t="n">
        <x:f>SUM(SalesLines!R4173,SalesLines!R4174,SalesLines!R4175)</x:f>
        <x:v>13</x:v>
      </x:c>
      <x:c r="L1697" s="11" t="n">
        <x:f>SUM(SalesLines!S4173,SalesLines!S4174,SalesLines!S4175)</x:f>
        <x:v>0</x:v>
      </x:c>
      <x:c r="M1697" s="8" t="n">
        <x:f>DATE(YEAR(C1697),MONTH(C1697),1)</x:f>
        <x:v>45809</x:v>
      </x:c>
    </x:row>
    <x:row r="1698" ht="22" customHeight="1">
      <x:c r="A1698" s="2" t="str">
        <x:v>O01694</x:v>
      </x:c>
      <x:c r="B1698" s="2" t="str">
        <x:v>C0093</x:v>
      </x:c>
      <x:c r="C1698" s="7" t="n">
        <x:v>45938</x:v>
      </x:c>
      <x:c r="D1698" s="2" t="str">
        <x:v>Completed</x:v>
      </x:c>
      <x:c r="E1698" s="2" t="str">
        <x:v>North</x:v>
      </x:c>
      <x:c r="F1698" s="2" t="str">
        <x:v>Online</x:v>
      </x:c>
      <x:c r="G1698" s="9" t="n">
        <x:f>SUM(SalesLines!Q4176)</x:f>
        <x:v>255.6</x:v>
      </x:c>
      <x:c r="H1698" s="9" t="n">
        <x:f>SUM(SalesLines!M4176)</x:f>
        <x:v>568</x:v>
      </x:c>
      <x:c r="I1698" s="9" t="n">
        <x:f>SUM(SalesLines!N4176)</x:f>
        <x:v>56.800000000000004</x:v>
      </x:c>
      <x:c r="J1698" s="9" t="n">
        <x:f>SUM(SalesLines!P4176)</x:f>
        <x:v>255.6</x:v>
      </x:c>
      <x:c r="K1698" s="11" t="n">
        <x:f>SUM(SalesLines!R4176)</x:f>
        <x:v>2</x:v>
      </x:c>
      <x:c r="L1698" s="11" t="n">
        <x:f>SUM(SalesLines!S4176)</x:f>
        <x:v>1</x:v>
      </x:c>
      <x:c r="M1698" s="8" t="n">
        <x:f>DATE(YEAR(C1698),MONTH(C1698),1)</x:f>
        <x:v>45931</x:v>
      </x:c>
    </x:row>
    <x:row r="1699" ht="22" customHeight="1">
      <x:c r="A1699" s="2" t="str">
        <x:v>O01695</x:v>
      </x:c>
      <x:c r="B1699" s="2" t="str">
        <x:v>C0010</x:v>
      </x:c>
      <x:c r="C1699" s="7" t="n">
        <x:v>45776</x:v>
      </x:c>
      <x:c r="D1699" s="2" t="str">
        <x:v>Cancelled</x:v>
      </x:c>
      <x:c r="E1699" s="2" t="str">
        <x:v>West</x:v>
      </x:c>
      <x:c r="F1699" s="2" t="str">
        <x:v>Store</x:v>
      </x:c>
      <x:c r="G1699" s="9" t="n">
        <x:f>SUM(SalesLines!Q4177,SalesLines!Q4178)</x:f>
        <x:v>0</x:v>
      </x:c>
      <x:c r="H1699" s="9" t="n">
        <x:f>SUM(SalesLines!M4177,SalesLines!M4178)</x:f>
        <x:v>0</x:v>
      </x:c>
      <x:c r="I1699" s="9" t="n">
        <x:f>SUM(SalesLines!N4177,SalesLines!N4178)</x:f>
        <x:v>0</x:v>
      </x:c>
      <x:c r="J1699" s="9" t="n">
        <x:f>SUM(SalesLines!P4177,SalesLines!P4178)</x:f>
        <x:v>0</x:v>
      </x:c>
      <x:c r="K1699" s="11" t="n">
        <x:f>SUM(SalesLines!R4177,SalesLines!R4178)</x:f>
        <x:v>0</x:v>
      </x:c>
      <x:c r="L1699" s="11" t="n">
        <x:f>SUM(SalesLines!S4177,SalesLines!S4178)</x:f>
        <x:v>0</x:v>
      </x:c>
      <x:c r="M1699" s="8" t="n">
        <x:f>DATE(YEAR(C1699),MONTH(C1699),1)</x:f>
        <x:v>45748</x:v>
      </x:c>
    </x:row>
    <x:row r="1700" ht="22" customHeight="1">
      <x:c r="A1700" s="2" t="str">
        <x:v>O01696</x:v>
      </x:c>
      <x:c r="B1700" s="2" t="str">
        <x:v>C0240</x:v>
      </x:c>
      <x:c r="C1700" s="7" t="n">
        <x:v>45671</x:v>
      </x:c>
      <x:c r="D1700" s="2" t="str">
        <x:v>Completed</x:v>
      </x:c>
      <x:c r="E1700" s="2" t="str">
        <x:v>West</x:v>
      </x:c>
      <x:c r="F1700" s="2" t="str">
        <x:v>Online</x:v>
      </x:c>
      <x:c r="G1700" s="9" t="n">
        <x:f>SUM(SalesLines!Q4179,SalesLines!Q4180)</x:f>
        <x:v>493.6</x:v>
      </x:c>
      <x:c r="H1700" s="9" t="n">
        <x:f>SUM(SalesLines!M4179,SalesLines!M4180)</x:f>
        <x:v>617</x:v>
      </x:c>
      <x:c r="I1700" s="9" t="n">
        <x:f>SUM(SalesLines!N4179,SalesLines!N4180)</x:f>
        <x:v>123.4</x:v>
      </x:c>
      <x:c r="J1700" s="9" t="n">
        <x:f>SUM(SalesLines!P4179,SalesLines!P4180)</x:f>
        <x:v>0</x:v>
      </x:c>
      <x:c r="K1700" s="11" t="n">
        <x:f>SUM(SalesLines!R4179,SalesLines!R4180)</x:f>
        <x:v>5</x:v>
      </x:c>
      <x:c r="L1700" s="11" t="n">
        <x:f>SUM(SalesLines!S4179,SalesLines!S4180)</x:f>
        <x:v>0</x:v>
      </x:c>
      <x:c r="M1700" s="8" t="n">
        <x:f>DATE(YEAR(C1700),MONTH(C1700),1)</x:f>
        <x:v>45658</x:v>
      </x:c>
    </x:row>
    <x:row r="1701" ht="22" customHeight="1">
      <x:c r="A1701" s="2" t="str">
        <x:v>O01697</x:v>
      </x:c>
      <x:c r="B1701" s="2" t="str">
        <x:v>C0022</x:v>
      </x:c>
      <x:c r="C1701" s="7" t="n">
        <x:v>45809</x:v>
      </x:c>
      <x:c r="D1701" s="2" t="str">
        <x:v>Completed</x:v>
      </x:c>
      <x:c r="E1701" s="2" t="str">
        <x:v>East</x:v>
      </x:c>
      <x:c r="F1701" s="2" t="str">
        <x:v>Online</x:v>
      </x:c>
      <x:c r="G1701" s="9" t="n">
        <x:f>SUM(SalesLines!Q4181,SalesLines!Q4182,SalesLines!Q4183)</x:f>
        <x:v>769.1999999999999</x:v>
      </x:c>
      <x:c r="H1701" s="9" t="n">
        <x:f>SUM(SalesLines!M4181,SalesLines!M4182,SalesLines!M4183)</x:f>
        <x:v>830</x:v>
      </x:c>
      <x:c r="I1701" s="9" t="n">
        <x:f>SUM(SalesLines!N4181,SalesLines!N4182,SalesLines!N4183)</x:f>
        <x:v>60.800000000000004</x:v>
      </x:c>
      <x:c r="J1701" s="9" t="n">
        <x:f>SUM(SalesLines!P4181,SalesLines!P4182,SalesLines!P4183)</x:f>
        <x:v>0</x:v>
      </x:c>
      <x:c r="K1701" s="11" t="n">
        <x:f>SUM(SalesLines!R4181,SalesLines!R4182,SalesLines!R4183)</x:f>
        <x:v>9</x:v>
      </x:c>
      <x:c r="L1701" s="11" t="n">
        <x:f>SUM(SalesLines!S4181,SalesLines!S4182,SalesLines!S4183)</x:f>
        <x:v>0</x:v>
      </x:c>
      <x:c r="M1701" s="8" t="n">
        <x:f>DATE(YEAR(C1701),MONTH(C1701),1)</x:f>
        <x:v>45809</x:v>
      </x:c>
    </x:row>
    <x:row r="1702" ht="22" customHeight="1">
      <x:c r="A1702" s="2" t="str">
        <x:v>O01698</x:v>
      </x:c>
      <x:c r="B1702" s="2" t="str">
        <x:v>C0016</x:v>
      </x:c>
      <x:c r="C1702" s="7" t="n">
        <x:v>45936</x:v>
      </x:c>
      <x:c r="D1702" s="2" t="str">
        <x:v>Completed</x:v>
      </x:c>
      <x:c r="E1702" s="2" t="str">
        <x:v>East</x:v>
      </x:c>
      <x:c r="F1702" s="2" t="str">
        <x:v>Online</x:v>
      </x:c>
      <x:c r="G1702" s="9" t="n">
        <x:f>SUM(SalesLines!Q4184,SalesLines!Q4185,SalesLines!Q4186,SalesLines!Q4187)</x:f>
        <x:v>1808.2</x:v>
      </x:c>
      <x:c r="H1702" s="9" t="n">
        <x:f>SUM(SalesLines!M4184,SalesLines!M4185,SalesLines!M4186,SalesLines!M4187)</x:f>
        <x:v>1877</x:v>
      </x:c>
      <x:c r="I1702" s="9" t="n">
        <x:f>SUM(SalesLines!N4184,SalesLines!N4185,SalesLines!N4186,SalesLines!N4187)</x:f>
        <x:v>68.80000000000001</x:v>
      </x:c>
      <x:c r="J1702" s="9" t="n">
        <x:f>SUM(SalesLines!P4184,SalesLines!P4185,SalesLines!P4186,SalesLines!P4187)</x:f>
        <x:v>0</x:v>
      </x:c>
      <x:c r="K1702" s="11" t="n">
        <x:f>SUM(SalesLines!R4184,SalesLines!R4185,SalesLines!R4186,SalesLines!R4187)</x:f>
        <x:v>11</x:v>
      </x:c>
      <x:c r="L1702" s="11" t="n">
        <x:f>SUM(SalesLines!S4184,SalesLines!S4185,SalesLines!S4186,SalesLines!S4187)</x:f>
        <x:v>0</x:v>
      </x:c>
      <x:c r="M1702" s="8" t="n">
        <x:f>DATE(YEAR(C1702),MONTH(C1702),1)</x:f>
        <x:v>45931</x:v>
      </x:c>
    </x:row>
    <x:row r="1703" ht="22" customHeight="1">
      <x:c r="A1703" s="2" t="str">
        <x:v>O01699</x:v>
      </x:c>
      <x:c r="B1703" s="2" t="str">
        <x:v>C0066</x:v>
      </x:c>
      <x:c r="C1703" s="7" t="n">
        <x:v>45994</x:v>
      </x:c>
      <x:c r="D1703" s="2" t="str">
        <x:v>Completed</x:v>
      </x:c>
      <x:c r="E1703" s="2" t="str">
        <x:v>North</x:v>
      </x:c>
      <x:c r="F1703" s="2" t="str">
        <x:v>Store</x:v>
      </x:c>
      <x:c r="G1703" s="9" t="n">
        <x:f>SUM(SalesLines!Q4188,SalesLines!Q4189)</x:f>
        <x:v>1096.8</x:v>
      </x:c>
      <x:c r="H1703" s="9" t="n">
        <x:f>SUM(SalesLines!M4188,SalesLines!M4189)</x:f>
        <x:v>1300</x:v>
      </x:c>
      <x:c r="I1703" s="9" t="n">
        <x:f>SUM(SalesLines!N4188,SalesLines!N4189)</x:f>
        <x:v>203.20000000000002</x:v>
      </x:c>
      <x:c r="J1703" s="9" t="n">
        <x:f>SUM(SalesLines!P4188,SalesLines!P4189)</x:f>
        <x:v>0</x:v>
      </x:c>
      <x:c r="K1703" s="11" t="n">
        <x:f>SUM(SalesLines!R4188,SalesLines!R4189)</x:f>
        <x:v>5</x:v>
      </x:c>
      <x:c r="L1703" s="11" t="n">
        <x:f>SUM(SalesLines!S4188,SalesLines!S4189)</x:f>
        <x:v>0</x:v>
      </x:c>
      <x:c r="M1703" s="8" t="n">
        <x:f>DATE(YEAR(C1703),MONTH(C1703),1)</x:f>
        <x:v>45992</x:v>
      </x:c>
    </x:row>
    <x:row r="1704" ht="22" customHeight="1">
      <x:c r="A1704" s="2" t="str">
        <x:v>O01700</x:v>
      </x:c>
      <x:c r="B1704" s="2" t="str">
        <x:v>C0282</x:v>
      </x:c>
      <x:c r="C1704" s="7" t="n">
        <x:v>45965</x:v>
      </x:c>
      <x:c r="D1704" s="2" t="str">
        <x:v>Completed</x:v>
      </x:c>
      <x:c r="E1704" s="2" t="str">
        <x:v>East</x:v>
      </x:c>
      <x:c r="F1704" s="2" t="str">
        <x:v>Online</x:v>
      </x:c>
      <x:c r="G1704" s="9" t="n">
        <x:f>SUM(SalesLines!Q4190,SalesLines!Q4191,SalesLines!Q4192,SalesLines!Q4193)</x:f>
        <x:v>2861.3</x:v>
      </x:c>
      <x:c r="H1704" s="9" t="n">
        <x:f>SUM(SalesLines!M4190,SalesLines!M4191,SalesLines!M4192,SalesLines!M4193)</x:f>
        <x:v>3301</x:v>
      </x:c>
      <x:c r="I1704" s="9" t="n">
        <x:f>SUM(SalesLines!N4190,SalesLines!N4191,SalesLines!N4192,SalesLines!N4193)</x:f>
        <x:v>439.70000000000005</x:v>
      </x:c>
      <x:c r="J1704" s="9" t="n">
        <x:f>SUM(SalesLines!P4190,SalesLines!P4191,SalesLines!P4192,SalesLines!P4193)</x:f>
        <x:v>0</x:v>
      </x:c>
      <x:c r="K1704" s="11" t="n">
        <x:f>SUM(SalesLines!R4190,SalesLines!R4191,SalesLines!R4192,SalesLines!R4193)</x:f>
        <x:v>14</x:v>
      </x:c>
      <x:c r="L1704" s="11" t="n">
        <x:f>SUM(SalesLines!S4190,SalesLines!S4191,SalesLines!S4192,SalesLines!S4193)</x:f>
        <x:v>0</x:v>
      </x:c>
      <x:c r="M1704" s="8" t="n">
        <x:f>DATE(YEAR(C1704),MONTH(C1704),1)</x:f>
        <x:v>45962</x:v>
      </x:c>
    </x:row>
    <x:row r="1705" ht="22" customHeight="1">
      <x:c r="A1705" s="2" t="str">
        <x:v>O01701</x:v>
      </x:c>
      <x:c r="B1705" s="2" t="str">
        <x:v>C0158</x:v>
      </x:c>
      <x:c r="C1705" s="7" t="n">
        <x:v>45826</x:v>
      </x:c>
      <x:c r="D1705" s="2" t="str">
        <x:v>Cancelled</x:v>
      </x:c>
      <x:c r="E1705" s="2" t="str">
        <x:v>East</x:v>
      </x:c>
      <x:c r="F1705" s="2" t="str">
        <x:v>Store</x:v>
      </x:c>
      <x:c r="G1705" s="9" t="n">
        <x:f>SUM(SalesLines!Q4194)</x:f>
        <x:v>0</x:v>
      </x:c>
      <x:c r="H1705" s="9" t="n">
        <x:f>SUM(SalesLines!M4194)</x:f>
        <x:v>0</x:v>
      </x:c>
      <x:c r="I1705" s="9" t="n">
        <x:f>SUM(SalesLines!N4194)</x:f>
        <x:v>0</x:v>
      </x:c>
      <x:c r="J1705" s="9" t="n">
        <x:f>SUM(SalesLines!P4194)</x:f>
        <x:v>0</x:v>
      </x:c>
      <x:c r="K1705" s="11" t="n">
        <x:f>SUM(SalesLines!R4194)</x:f>
        <x:v>0</x:v>
      </x:c>
      <x:c r="L1705" s="11" t="n">
        <x:f>SUM(SalesLines!S4194)</x:f>
        <x:v>0</x:v>
      </x:c>
      <x:c r="M1705" s="8" t="n">
        <x:f>DATE(YEAR(C1705),MONTH(C1705),1)</x:f>
        <x:v>45809</x:v>
      </x:c>
    </x:row>
    <x:row r="1706" ht="22" customHeight="1">
      <x:c r="A1706" s="2" t="str">
        <x:v>O01702</x:v>
      </x:c>
      <x:c r="B1706" s="2" t="str">
        <x:v>C0208</x:v>
      </x:c>
      <x:c r="C1706" s="7" t="n">
        <x:v>45884</x:v>
      </x:c>
      <x:c r="D1706" s="2" t="str">
        <x:v>Completed</x:v>
      </x:c>
      <x:c r="E1706" s="2" t="str">
        <x:v>East</x:v>
      </x:c>
      <x:c r="F1706" s="2" t="str">
        <x:v>Online</x:v>
      </x:c>
      <x:c r="G1706" s="9" t="n">
        <x:f>SUM(SalesLines!Q4195,SalesLines!Q4196)</x:f>
        <x:v>371</x:v>
      </x:c>
      <x:c r="H1706" s="9" t="n">
        <x:f>SUM(SalesLines!M4195,SalesLines!M4196)</x:f>
        <x:v>406</x:v>
      </x:c>
      <x:c r="I1706" s="9" t="n">
        <x:f>SUM(SalesLines!N4195,SalesLines!N4196)</x:f>
        <x:v>35</x:v>
      </x:c>
      <x:c r="J1706" s="9" t="n">
        <x:f>SUM(SalesLines!P4195,SalesLines!P4196)</x:f>
        <x:v>0</x:v>
      </x:c>
      <x:c r="K1706" s="11" t="n">
        <x:f>SUM(SalesLines!R4195,SalesLines!R4196)</x:f>
        <x:v>6</x:v>
      </x:c>
      <x:c r="L1706" s="11" t="n">
        <x:f>SUM(SalesLines!S4195,SalesLines!S4196)</x:f>
        <x:v>0</x:v>
      </x:c>
      <x:c r="M1706" s="8" t="n">
        <x:f>DATE(YEAR(C1706),MONTH(C1706),1)</x:f>
        <x:v>45870</x:v>
      </x:c>
    </x:row>
    <x:row r="1707" ht="22" customHeight="1">
      <x:c r="A1707" s="2" t="str">
        <x:v>O01703</x:v>
      </x:c>
      <x:c r="B1707" s="2" t="str">
        <x:v>C0071</x:v>
      </x:c>
      <x:c r="C1707" s="7" t="n">
        <x:v>45868</x:v>
      </x:c>
      <x:c r="D1707" s="2" t="str">
        <x:v>Completed</x:v>
      </x:c>
      <x:c r="E1707" s="2" t="str">
        <x:v>West</x:v>
      </x:c>
      <x:c r="F1707" s="2" t="str">
        <x:v>Online</x:v>
      </x:c>
      <x:c r="G1707" s="9" t="n">
        <x:f>SUM(SalesLines!Q4197,SalesLines!Q4198)</x:f>
        <x:v>572</x:v>
      </x:c>
      <x:c r="H1707" s="9" t="n">
        <x:f>SUM(SalesLines!M4197,SalesLines!M4198)</x:f>
        <x:v>593</x:v>
      </x:c>
      <x:c r="I1707" s="9" t="n">
        <x:f>SUM(SalesLines!N4197,SalesLines!N4198)</x:f>
        <x:v>21</x:v>
      </x:c>
      <x:c r="J1707" s="9" t="n">
        <x:f>SUM(SalesLines!P4197,SalesLines!P4198)</x:f>
        <x:v>0</x:v>
      </x:c>
      <x:c r="K1707" s="11" t="n">
        <x:f>SUM(SalesLines!R4197,SalesLines!R4198)</x:f>
        <x:v>7</x:v>
      </x:c>
      <x:c r="L1707" s="11" t="n">
        <x:f>SUM(SalesLines!S4197,SalesLines!S4198)</x:f>
        <x:v>0</x:v>
      </x:c>
      <x:c r="M1707" s="8" t="n">
        <x:f>DATE(YEAR(C1707),MONTH(C1707),1)</x:f>
        <x:v>45839</x:v>
      </x:c>
    </x:row>
    <x:row r="1708" ht="22" customHeight="1">
      <x:c r="A1708" s="2" t="str">
        <x:v>O01704</x:v>
      </x:c>
      <x:c r="B1708" s="2" t="str">
        <x:v>C0058</x:v>
      </x:c>
      <x:c r="C1708" s="7" t="n">
        <x:v>45920</x:v>
      </x:c>
      <x:c r="D1708" s="2" t="str">
        <x:v>Completed</x:v>
      </x:c>
      <x:c r="E1708" s="2" t="str">
        <x:v>North</x:v>
      </x:c>
      <x:c r="F1708" s="2" t="str">
        <x:v>Online</x:v>
      </x:c>
      <x:c r="G1708" s="9" t="n">
        <x:f>SUM(SalesLines!Q4199,SalesLines!Q4200)</x:f>
        <x:v>874.35</x:v>
      </x:c>
      <x:c r="H1708" s="9" t="n">
        <x:f>SUM(SalesLines!M4199,SalesLines!M4200)</x:f>
        <x:v>933</x:v>
      </x:c>
      <x:c r="I1708" s="9" t="n">
        <x:f>SUM(SalesLines!N4199,SalesLines!N4200)</x:f>
        <x:v>58.65</x:v>
      </x:c>
      <x:c r="J1708" s="9" t="n">
        <x:f>SUM(SalesLines!P4199,SalesLines!P4200)</x:f>
        <x:v>0</x:v>
      </x:c>
      <x:c r="K1708" s="11" t="n">
        <x:f>SUM(SalesLines!R4199,SalesLines!R4200)</x:f>
        <x:v>6</x:v>
      </x:c>
      <x:c r="L1708" s="11" t="n">
        <x:f>SUM(SalesLines!S4199,SalesLines!S4200)</x:f>
        <x:v>0</x:v>
      </x:c>
      <x:c r="M1708" s="8" t="n">
        <x:f>DATE(YEAR(C1708),MONTH(C1708),1)</x:f>
        <x:v>45901</x:v>
      </x:c>
    </x:row>
    <x:row r="1709" ht="22" customHeight="1">
      <x:c r="A1709" s="2" t="str">
        <x:v>O01705</x:v>
      </x:c>
      <x:c r="B1709" s="2" t="str">
        <x:v>C0169</x:v>
      </x:c>
      <x:c r="C1709" s="7" t="n">
        <x:v>45819</x:v>
      </x:c>
      <x:c r="D1709" s="2" t="str">
        <x:v>Completed</x:v>
      </x:c>
      <x:c r="E1709" s="2" t="str">
        <x:v>North</x:v>
      </x:c>
      <x:c r="F1709" s="2" t="str">
        <x:v>Online</x:v>
      </x:c>
      <x:c r="G1709" s="9" t="n">
        <x:f>SUM(SalesLines!Q4201)</x:f>
        <x:v>877.8</x:v>
      </x:c>
      <x:c r="H1709" s="9" t="n">
        <x:f>SUM(SalesLines!M4201)</x:f>
        <x:v>924</x:v>
      </x:c>
      <x:c r="I1709" s="9" t="n">
        <x:f>SUM(SalesLines!N4201)</x:f>
        <x:v>46.2</x:v>
      </x:c>
      <x:c r="J1709" s="9" t="n">
        <x:f>SUM(SalesLines!P4201)</x:f>
        <x:v>0</x:v>
      </x:c>
      <x:c r="K1709" s="11" t="n">
        <x:f>SUM(SalesLines!R4201)</x:f>
        <x:v>4</x:v>
      </x:c>
      <x:c r="L1709" s="11" t="n">
        <x:f>SUM(SalesLines!S4201)</x:f>
        <x:v>0</x:v>
      </x:c>
      <x:c r="M1709" s="8" t="n">
        <x:f>DATE(YEAR(C1709),MONTH(C1709),1)</x:f>
        <x:v>45809</x:v>
      </x:c>
    </x:row>
    <x:row r="1710" ht="22" customHeight="1">
      <x:c r="A1710" s="2" t="str">
        <x:v>O01706</x:v>
      </x:c>
      <x:c r="B1710" s="2" t="str">
        <x:v>C0221</x:v>
      </x:c>
      <x:c r="C1710" s="7" t="n">
        <x:v>45789</x:v>
      </x:c>
      <x:c r="D1710" s="2" t="str">
        <x:v>Completed</x:v>
      </x:c>
      <x:c r="E1710" s="2" t="str">
        <x:v>West</x:v>
      </x:c>
      <x:c r="F1710" s="2" t="str">
        <x:v>Online</x:v>
      </x:c>
      <x:c r="G1710" s="9" t="n">
        <x:f>SUM(SalesLines!Q4202,SalesLines!Q4203,SalesLines!Q4204,SalesLines!Q4205)</x:f>
        <x:v>647.5999999999999</x:v>
      </x:c>
      <x:c r="H1710" s="9" t="n">
        <x:f>SUM(SalesLines!M4202,SalesLines!M4203,SalesLines!M4204,SalesLines!M4205)</x:f>
        <x:v>1711</x:v>
      </x:c>
      <x:c r="I1710" s="9" t="n">
        <x:f>SUM(SalesLines!N4202,SalesLines!N4203,SalesLines!N4204,SalesLines!N4205)</x:f>
        <x:v>310.15000000000003</x:v>
      </x:c>
      <x:c r="J1710" s="9" t="n">
        <x:f>SUM(SalesLines!P4202,SalesLines!P4203,SalesLines!P4204,SalesLines!P4205)</x:f>
        <x:v>753.25</x:v>
      </x:c>
      <x:c r="K1710" s="11" t="n">
        <x:f>SUM(SalesLines!R4202,SalesLines!R4203,SalesLines!R4204,SalesLines!R4205)</x:f>
        <x:v>8</x:v>
      </x:c>
      <x:c r="L1710" s="11" t="n">
        <x:f>SUM(SalesLines!S4202,SalesLines!S4203,SalesLines!S4204,SalesLines!S4205)</x:f>
        <x:v>4</x:v>
      </x:c>
      <x:c r="M1710" s="8" t="n">
        <x:f>DATE(YEAR(C1710),MONTH(C1710),1)</x:f>
        <x:v>45778</x:v>
      </x:c>
    </x:row>
    <x:row r="1711" ht="22" customHeight="1">
      <x:c r="A1711" s="2" t="str">
        <x:v>O01707</x:v>
      </x:c>
      <x:c r="B1711" s="2" t="str">
        <x:v>C0086</x:v>
      </x:c>
      <x:c r="C1711" s="7" t="n">
        <x:v>45984</x:v>
      </x:c>
      <x:c r="D1711" s="2" t="str">
        <x:v>Completed</x:v>
      </x:c>
      <x:c r="E1711" s="2" t="str">
        <x:v>North</x:v>
      </x:c>
      <x:c r="F1711" s="2" t="str">
        <x:v>Online</x:v>
      </x:c>
      <x:c r="G1711" s="9" t="n">
        <x:f>SUM(SalesLines!Q4206,SalesLines!Q4207,SalesLines!Q4208)</x:f>
        <x:v>1678.8</x:v>
      </x:c>
      <x:c r="H1711" s="9" t="n">
        <x:f>SUM(SalesLines!M4206,SalesLines!M4207,SalesLines!M4208)</x:f>
        <x:v>2037</x:v>
      </x:c>
      <x:c r="I1711" s="9" t="n">
        <x:f>SUM(SalesLines!N4206,SalesLines!N4207,SalesLines!N4208)</x:f>
        <x:v>358.20000000000005</x:v>
      </x:c>
      <x:c r="J1711" s="9" t="n">
        <x:f>SUM(SalesLines!P4206,SalesLines!P4207,SalesLines!P4208)</x:f>
        <x:v>0</x:v>
      </x:c>
      <x:c r="K1711" s="11" t="n">
        <x:f>SUM(SalesLines!R4206,SalesLines!R4207,SalesLines!R4208)</x:f>
        <x:v>11</x:v>
      </x:c>
      <x:c r="L1711" s="11" t="n">
        <x:f>SUM(SalesLines!S4206,SalesLines!S4207,SalesLines!S4208)</x:f>
        <x:v>0</x:v>
      </x:c>
      <x:c r="M1711" s="8" t="n">
        <x:f>DATE(YEAR(C1711),MONTH(C1711),1)</x:f>
        <x:v>45962</x:v>
      </x:c>
    </x:row>
    <x:row r="1712" ht="22" customHeight="1">
      <x:c r="A1712" s="2" t="str">
        <x:v>O01708</x:v>
      </x:c>
      <x:c r="B1712" s="2" t="str">
        <x:v>C0062</x:v>
      </x:c>
      <x:c r="C1712" s="7" t="n">
        <x:v>45658</x:v>
      </x:c>
      <x:c r="D1712" s="2" t="str">
        <x:v>Completed</x:v>
      </x:c>
      <x:c r="E1712" s="2" t="str">
        <x:v>West</x:v>
      </x:c>
      <x:c r="F1712" s="2" t="str">
        <x:v>Online</x:v>
      </x:c>
      <x:c r="G1712" s="9" t="n">
        <x:f>SUM(SalesLines!Q4209,SalesLines!Q4210,SalesLines!Q4211)</x:f>
        <x:v>1024.4</x:v>
      </x:c>
      <x:c r="H1712" s="9" t="n">
        <x:f>SUM(SalesLines!M4209,SalesLines!M4210,SalesLines!M4211)</x:f>
        <x:v>1186</x:v>
      </x:c>
      <x:c r="I1712" s="9" t="n">
        <x:f>SUM(SalesLines!N4209,SalesLines!N4210,SalesLines!N4211)</x:f>
        <x:v>161.60000000000002</x:v>
      </x:c>
      <x:c r="J1712" s="9" t="n">
        <x:f>SUM(SalesLines!P4209,SalesLines!P4210,SalesLines!P4211)</x:f>
        <x:v>0</x:v>
      </x:c>
      <x:c r="K1712" s="11" t="n">
        <x:f>SUM(SalesLines!R4209,SalesLines!R4210,SalesLines!R4211)</x:f>
        <x:v>8</x:v>
      </x:c>
      <x:c r="L1712" s="11" t="n">
        <x:f>SUM(SalesLines!S4209,SalesLines!S4210,SalesLines!S4211)</x:f>
        <x:v>0</x:v>
      </x:c>
      <x:c r="M1712" s="8" t="n">
        <x:f>DATE(YEAR(C1712),MONTH(C1712),1)</x:f>
        <x:v>45658</x:v>
      </x:c>
    </x:row>
    <x:row r="1713" ht="22" customHeight="1">
      <x:c r="A1713" s="2" t="str">
        <x:v>O01709</x:v>
      </x:c>
      <x:c r="B1713" s="2" t="str">
        <x:v>C0100</x:v>
      </x:c>
      <x:c r="C1713" s="7" t="n">
        <x:v>45996</x:v>
      </x:c>
      <x:c r="D1713" s="2" t="str">
        <x:v>Completed</x:v>
      </x:c>
      <x:c r="E1713" s="2" t="str">
        <x:v>West</x:v>
      </x:c>
      <x:c r="F1713" s="2" t="str">
        <x:v>Store</x:v>
      </x:c>
      <x:c r="G1713" s="9" t="n">
        <x:f>SUM(SalesLines!Q4212,SalesLines!Q4213,SalesLines!Q4214)</x:f>
        <x:v>2058</x:v>
      </x:c>
      <x:c r="H1713" s="9" t="n">
        <x:f>SUM(SalesLines!M4212,SalesLines!M4213,SalesLines!M4214)</x:f>
        <x:v>2460</x:v>
      </x:c>
      <x:c r="I1713" s="9" t="n">
        <x:f>SUM(SalesLines!N4212,SalesLines!N4213,SalesLines!N4214)</x:f>
        <x:v>402</x:v>
      </x:c>
      <x:c r="J1713" s="9" t="n">
        <x:f>SUM(SalesLines!P4212,SalesLines!P4213,SalesLines!P4214)</x:f>
        <x:v>0</x:v>
      </x:c>
      <x:c r="K1713" s="11" t="n">
        <x:f>SUM(SalesLines!R4212,SalesLines!R4213,SalesLines!R4214)</x:f>
        <x:v>13</x:v>
      </x:c>
      <x:c r="L1713" s="11" t="n">
        <x:f>SUM(SalesLines!S4212,SalesLines!S4213,SalesLines!S4214)</x:f>
        <x:v>0</x:v>
      </x:c>
      <x:c r="M1713" s="8" t="n">
        <x:f>DATE(YEAR(C1713),MONTH(C1713),1)</x:f>
        <x:v>45992</x:v>
      </x:c>
    </x:row>
    <x:row r="1714" ht="22" customHeight="1">
      <x:c r="A1714" s="2" t="str">
        <x:v>O01710</x:v>
      </x:c>
      <x:c r="B1714" s="2" t="str">
        <x:v>C0172</x:v>
      </x:c>
      <x:c r="C1714" s="7" t="n">
        <x:v>45988</x:v>
      </x:c>
      <x:c r="D1714" s="2" t="str">
        <x:v>Completed</x:v>
      </x:c>
      <x:c r="E1714" s="2" t="str">
        <x:v>North</x:v>
      </x:c>
      <x:c r="F1714" s="2" t="str">
        <x:v>Online</x:v>
      </x:c>
      <x:c r="G1714" s="9" t="n">
        <x:f>SUM(SalesLines!Q4215,SalesLines!Q4216,SalesLines!Q4217)</x:f>
        <x:v>1790.2</x:v>
      </x:c>
      <x:c r="H1714" s="9" t="n">
        <x:f>SUM(SalesLines!M4215,SalesLines!M4216,SalesLines!M4217)</x:f>
        <x:v>1844</x:v>
      </x:c>
      <x:c r="I1714" s="9" t="n">
        <x:f>SUM(SalesLines!N4215,SalesLines!N4216,SalesLines!N4217)</x:f>
        <x:v>53.800000000000004</x:v>
      </x:c>
      <x:c r="J1714" s="9" t="n">
        <x:f>SUM(SalesLines!P4215,SalesLines!P4216,SalesLines!P4217)</x:f>
        <x:v>0</x:v>
      </x:c>
      <x:c r="K1714" s="11" t="n">
        <x:f>SUM(SalesLines!R4215,SalesLines!R4216,SalesLines!R4217)</x:f>
        <x:v>8</x:v>
      </x:c>
      <x:c r="L1714" s="11" t="n">
        <x:f>SUM(SalesLines!S4215,SalesLines!S4216,SalesLines!S4217)</x:f>
        <x:v>0</x:v>
      </x:c>
      <x:c r="M1714" s="8" t="n">
        <x:f>DATE(YEAR(C1714),MONTH(C1714),1)</x:f>
        <x:v>45962</x:v>
      </x:c>
    </x:row>
    <x:row r="1715" ht="22" customHeight="1">
      <x:c r="A1715" s="2" t="str">
        <x:v>O01711</x:v>
      </x:c>
      <x:c r="B1715" s="2" t="str">
        <x:v>C0275</x:v>
      </x:c>
      <x:c r="C1715" s="7" t="n">
        <x:v>45810</x:v>
      </x:c>
      <x:c r="D1715" s="2" t="str">
        <x:v>Completed</x:v>
      </x:c>
      <x:c r="E1715" s="2" t="str">
        <x:v>East</x:v>
      </x:c>
      <x:c r="F1715" s="2" t="str">
        <x:v>Online</x:v>
      </x:c>
      <x:c r="G1715" s="9" t="n">
        <x:f>SUM(SalesLines!Q4218,SalesLines!Q4219)</x:f>
        <x:v>448.9</x:v>
      </x:c>
      <x:c r="H1715" s="9" t="n">
        <x:f>SUM(SalesLines!M4218,SalesLines!M4219)</x:f>
        <x:v>515</x:v>
      </x:c>
      <x:c r="I1715" s="9" t="n">
        <x:f>SUM(SalesLines!N4218,SalesLines!N4219)</x:f>
        <x:v>66.10000000000001</x:v>
      </x:c>
      <x:c r="J1715" s="9" t="n">
        <x:f>SUM(SalesLines!P4218,SalesLines!P4219)</x:f>
        <x:v>0</x:v>
      </x:c>
      <x:c r="K1715" s="11" t="n">
        <x:f>SUM(SalesLines!R4218,SalesLines!R4219)</x:f>
        <x:v>3</x:v>
      </x:c>
      <x:c r="L1715" s="11" t="n">
        <x:f>SUM(SalesLines!S4218,SalesLines!S4219)</x:f>
        <x:v>0</x:v>
      </x:c>
      <x:c r="M1715" s="8" t="n">
        <x:f>DATE(YEAR(C1715),MONTH(C1715),1)</x:f>
        <x:v>45809</x:v>
      </x:c>
    </x:row>
    <x:row r="1716" ht="22" customHeight="1">
      <x:c r="A1716" s="2" t="str">
        <x:v>O01712</x:v>
      </x:c>
      <x:c r="B1716" s="2" t="str">
        <x:v>C0083</x:v>
      </x:c>
      <x:c r="C1716" s="7" t="n">
        <x:v>45718</x:v>
      </x:c>
      <x:c r="D1716" s="2" t="str">
        <x:v>Completed</x:v>
      </x:c>
      <x:c r="E1716" s="2" t="str">
        <x:v>West</x:v>
      </x:c>
      <x:c r="F1716" s="2" t="str">
        <x:v>Store</x:v>
      </x:c>
      <x:c r="G1716" s="9" t="n">
        <x:f>SUM(SalesLines!Q4220)</x:f>
        <x:v>470.4</x:v>
      </x:c>
      <x:c r="H1716" s="9" t="n">
        <x:f>SUM(SalesLines!M4220)</x:f>
        <x:v>588</x:v>
      </x:c>
      <x:c r="I1716" s="9" t="n">
        <x:f>SUM(SalesLines!N4220)</x:f>
        <x:v>117.60000000000001</x:v>
      </x:c>
      <x:c r="J1716" s="9" t="n">
        <x:f>SUM(SalesLines!P4220)</x:f>
        <x:v>0</x:v>
      </x:c>
      <x:c r="K1716" s="11" t="n">
        <x:f>SUM(SalesLines!R4220)</x:f>
        <x:v>2</x:v>
      </x:c>
      <x:c r="L1716" s="11" t="n">
        <x:f>SUM(SalesLines!S4220)</x:f>
        <x:v>0</x:v>
      </x:c>
      <x:c r="M1716" s="8" t="n">
        <x:f>DATE(YEAR(C1716),MONTH(C1716),1)</x:f>
        <x:v>45717</x:v>
      </x:c>
    </x:row>
    <x:row r="1717" ht="22" customHeight="1">
      <x:c r="A1717" s="2" t="str">
        <x:v>O01713</x:v>
      </x:c>
      <x:c r="B1717" s="2" t="str">
        <x:v>C0119</x:v>
      </x:c>
      <x:c r="C1717" s="7" t="n">
        <x:v>45692</x:v>
      </x:c>
      <x:c r="D1717" s="2" t="str">
        <x:v>Completed</x:v>
      </x:c>
      <x:c r="E1717" s="2" t="str">
        <x:v>North</x:v>
      </x:c>
      <x:c r="F1717" s="2" t="str">
        <x:v>Store</x:v>
      </x:c>
      <x:c r="G1717" s="9" t="n">
        <x:f>SUM(SalesLines!Q4221)</x:f>
        <x:v>230.85</x:v>
      </x:c>
      <x:c r="H1717" s="9" t="n">
        <x:f>SUM(SalesLines!M4221)</x:f>
        <x:v>243</x:v>
      </x:c>
      <x:c r="I1717" s="9" t="n">
        <x:f>SUM(SalesLines!N4221)</x:f>
        <x:v>12.15</x:v>
      </x:c>
      <x:c r="J1717" s="9" t="n">
        <x:f>SUM(SalesLines!P4221)</x:f>
        <x:v>0</x:v>
      </x:c>
      <x:c r="K1717" s="11" t="n">
        <x:f>SUM(SalesLines!R4221)</x:f>
        <x:v>3</x:v>
      </x:c>
      <x:c r="L1717" s="11" t="n">
        <x:f>SUM(SalesLines!S4221)</x:f>
        <x:v>0</x:v>
      </x:c>
      <x:c r="M1717" s="8" t="n">
        <x:f>DATE(YEAR(C1717),MONTH(C1717),1)</x:f>
        <x:v>45689</x:v>
      </x:c>
    </x:row>
    <x:row r="1718" ht="22" customHeight="1">
      <x:c r="A1718" s="2" t="str">
        <x:v>O01714</x:v>
      </x:c>
      <x:c r="B1718" s="2" t="str">
        <x:v>C0285</x:v>
      </x:c>
      <x:c r="C1718" s="7" t="n">
        <x:v>45912</x:v>
      </x:c>
      <x:c r="D1718" s="2" t="str">
        <x:v>Completed</x:v>
      </x:c>
      <x:c r="E1718" s="2" t="str">
        <x:v>East</x:v>
      </x:c>
      <x:c r="F1718" s="2" t="str">
        <x:v>Online</x:v>
      </x:c>
      <x:c r="G1718" s="9" t="n">
        <x:f>SUM(SalesLines!Q4222,SalesLines!Q4223,SalesLines!Q4224)</x:f>
        <x:v>2201</x:v>
      </x:c>
      <x:c r="H1718" s="9" t="n">
        <x:f>SUM(SalesLines!M4222,SalesLines!M4223,SalesLines!M4224)</x:f>
        <x:v>2248</x:v>
      </x:c>
      <x:c r="I1718" s="9" t="n">
        <x:f>SUM(SalesLines!N4222,SalesLines!N4223,SalesLines!N4224)</x:f>
        <x:v>47</x:v>
      </x:c>
      <x:c r="J1718" s="9" t="n">
        <x:f>SUM(SalesLines!P4222,SalesLines!P4223,SalesLines!P4224)</x:f>
        <x:v>0</x:v>
      </x:c>
      <x:c r="K1718" s="11" t="n">
        <x:f>SUM(SalesLines!R4222,SalesLines!R4223,SalesLines!R4224)</x:f>
        <x:v>13</x:v>
      </x:c>
      <x:c r="L1718" s="11" t="n">
        <x:f>SUM(SalesLines!S4222,SalesLines!S4223,SalesLines!S4224)</x:f>
        <x:v>0</x:v>
      </x:c>
      <x:c r="M1718" s="8" t="n">
        <x:f>DATE(YEAR(C1718),MONTH(C1718),1)</x:f>
        <x:v>45901</x:v>
      </x:c>
    </x:row>
    <x:row r="1719" ht="22" customHeight="1">
      <x:c r="A1719" s="2" t="str">
        <x:v>O01715</x:v>
      </x:c>
      <x:c r="B1719" s="2" t="str">
        <x:v>C0075</x:v>
      </x:c>
      <x:c r="C1719" s="7" t="n">
        <x:v>45993</x:v>
      </x:c>
      <x:c r="D1719" s="2" t="str">
        <x:v>Completed</x:v>
      </x:c>
      <x:c r="E1719" s="2" t="str">
        <x:v>South</x:v>
      </x:c>
      <x:c r="F1719" s="2" t="str">
        <x:v>Store</x:v>
      </x:c>
      <x:c r="G1719" s="9" t="n">
        <x:f>SUM(SalesLines!Q4225)</x:f>
        <x:v>672.3</x:v>
      </x:c>
      <x:c r="H1719" s="9" t="n">
        <x:f>SUM(SalesLines!M4225)</x:f>
        <x:v>747</x:v>
      </x:c>
      <x:c r="I1719" s="9" t="n">
        <x:f>SUM(SalesLines!N4225)</x:f>
        <x:v>74.7</x:v>
      </x:c>
      <x:c r="J1719" s="9" t="n">
        <x:f>SUM(SalesLines!P4225)</x:f>
        <x:v>0</x:v>
      </x:c>
      <x:c r="K1719" s="11" t="n">
        <x:f>SUM(SalesLines!R4225)</x:f>
        <x:v>3</x:v>
      </x:c>
      <x:c r="L1719" s="11" t="n">
        <x:f>SUM(SalesLines!S4225)</x:f>
        <x:v>0</x:v>
      </x:c>
      <x:c r="M1719" s="8" t="n">
        <x:f>DATE(YEAR(C1719),MONTH(C1719),1)</x:f>
        <x:v>45992</x:v>
      </x:c>
    </x:row>
    <x:row r="1720" ht="22" customHeight="1">
      <x:c r="A1720" s="2" t="str">
        <x:v>O01716</x:v>
      </x:c>
      <x:c r="B1720" s="2" t="str">
        <x:v>C0183</x:v>
      </x:c>
      <x:c r="C1720" s="7" t="n">
        <x:v>45725</x:v>
      </x:c>
      <x:c r="D1720" s="2" t="str">
        <x:v>Completed</x:v>
      </x:c>
      <x:c r="E1720" s="2" t="str">
        <x:v>East</x:v>
      </x:c>
      <x:c r="F1720" s="2" t="str">
        <x:v>Online</x:v>
      </x:c>
      <x:c r="G1720" s="9" t="n">
        <x:f>SUM(SalesLines!Q4226,SalesLines!Q4227)</x:f>
        <x:v>400.79999999999995</x:v>
      </x:c>
      <x:c r="H1720" s="9" t="n">
        <x:f>SUM(SalesLines!M4226,SalesLines!M4227)</x:f>
        <x:v>610</x:v>
      </x:c>
      <x:c r="I1720" s="9" t="n">
        <x:f>SUM(SalesLines!N4226,SalesLines!N4227)</x:f>
        <x:v>84.4</x:v>
      </x:c>
      <x:c r="J1720" s="9" t="n">
        <x:f>SUM(SalesLines!P4226,SalesLines!P4227)</x:f>
        <x:v>124.80000000000001</x:v>
      </x:c>
      <x:c r="K1720" s="11" t="n">
        <x:f>SUM(SalesLines!R4226,SalesLines!R4227)</x:f>
        <x:v>5</x:v>
      </x:c>
      <x:c r="L1720" s="11" t="n">
        <x:f>SUM(SalesLines!S4226,SalesLines!S4227)</x:f>
        <x:v>2</x:v>
      </x:c>
      <x:c r="M1720" s="8" t="n">
        <x:f>DATE(YEAR(C1720),MONTH(C1720),1)</x:f>
        <x:v>45717</x:v>
      </x:c>
    </x:row>
    <x:row r="1721" ht="22" customHeight="1">
      <x:c r="A1721" s="2" t="str">
        <x:v>O01717</x:v>
      </x:c>
      <x:c r="B1721" s="2" t="str">
        <x:v>C0180</x:v>
      </x:c>
      <x:c r="C1721" s="7" t="n">
        <x:v>45948</x:v>
      </x:c>
      <x:c r="D1721" s="2" t="str">
        <x:v>Completed</x:v>
      </x:c>
      <x:c r="E1721" s="2" t="str">
        <x:v>West</x:v>
      </x:c>
      <x:c r="F1721" s="2" t="str">
        <x:v>Online</x:v>
      </x:c>
      <x:c r="G1721" s="9" t="n">
        <x:f>SUM(SalesLines!Q4228,SalesLines!Q4229,SalesLines!Q4230,SalesLines!Q4231)</x:f>
        <x:v>2357.45</x:v>
      </x:c>
      <x:c r="H1721" s="9" t="n">
        <x:f>SUM(SalesLines!M4228,SalesLines!M4229,SalesLines!M4230,SalesLines!M4231)</x:f>
        <x:v>2610</x:v>
      </x:c>
      <x:c r="I1721" s="9" t="n">
        <x:f>SUM(SalesLines!N4228,SalesLines!N4229,SalesLines!N4230,SalesLines!N4231)</x:f>
        <x:v>252.55</x:v>
      </x:c>
      <x:c r="J1721" s="9" t="n">
        <x:f>SUM(SalesLines!P4228,SalesLines!P4229,SalesLines!P4230,SalesLines!P4231)</x:f>
        <x:v>0</x:v>
      </x:c>
      <x:c r="K1721" s="11" t="n">
        <x:f>SUM(SalesLines!R4228,SalesLines!R4229,SalesLines!R4230,SalesLines!R4231)</x:f>
        <x:v>11</x:v>
      </x:c>
      <x:c r="L1721" s="11" t="n">
        <x:f>SUM(SalesLines!S4228,SalesLines!S4229,SalesLines!S4230,SalesLines!S4231)</x:f>
        <x:v>0</x:v>
      </x:c>
      <x:c r="M1721" s="8" t="n">
        <x:f>DATE(YEAR(C1721),MONTH(C1721),1)</x:f>
        <x:v>45931</x:v>
      </x:c>
    </x:row>
    <x:row r="1722" ht="22" customHeight="1">
      <x:c r="A1722" s="2" t="str">
        <x:v>O01718</x:v>
      </x:c>
      <x:c r="B1722" s="2" t="str">
        <x:v>C0192</x:v>
      </x:c>
      <x:c r="C1722" s="7" t="n">
        <x:v>45749</x:v>
      </x:c>
      <x:c r="D1722" s="2" t="str">
        <x:v>Completed</x:v>
      </x:c>
      <x:c r="E1722" s="2" t="str">
        <x:v>South</x:v>
      </x:c>
      <x:c r="F1722" s="2" t="str">
        <x:v>Online</x:v>
      </x:c>
      <x:c r="G1722" s="9" t="n">
        <x:f>SUM(SalesLines!Q4232)</x:f>
        <x:v>187.2</x:v>
      </x:c>
      <x:c r="H1722" s="9" t="n">
        <x:f>SUM(SalesLines!M4232)</x:f>
        <x:v>234</x:v>
      </x:c>
      <x:c r="I1722" s="9" t="n">
        <x:f>SUM(SalesLines!N4232)</x:f>
        <x:v>46.800000000000004</x:v>
      </x:c>
      <x:c r="J1722" s="9" t="n">
        <x:f>SUM(SalesLines!P4232)</x:f>
        <x:v>0</x:v>
      </x:c>
      <x:c r="K1722" s="11" t="n">
        <x:f>SUM(SalesLines!R4232)</x:f>
        <x:v>3</x:v>
      </x:c>
      <x:c r="L1722" s="11" t="n">
        <x:f>SUM(SalesLines!S4232)</x:f>
        <x:v>0</x:v>
      </x:c>
      <x:c r="M1722" s="8" t="n">
        <x:f>DATE(YEAR(C1722),MONTH(C1722),1)</x:f>
        <x:v>45748</x:v>
      </x:c>
    </x:row>
    <x:row r="1723" ht="22" customHeight="1">
      <x:c r="A1723" s="2" t="str">
        <x:v>O01719</x:v>
      </x:c>
      <x:c r="B1723" s="2" t="str">
        <x:v>C0214</x:v>
      </x:c>
      <x:c r="C1723" s="7" t="n">
        <x:v>45786</x:v>
      </x:c>
      <x:c r="D1723" s="2" t="str">
        <x:v>Completed</x:v>
      </x:c>
      <x:c r="E1723" s="2" t="str">
        <x:v>West</x:v>
      </x:c>
      <x:c r="F1723" s="2" t="str">
        <x:v>Online</x:v>
      </x:c>
      <x:c r="G1723" s="9" t="n">
        <x:f>SUM(SalesLines!Q4233)</x:f>
        <x:v>193.8</x:v>
      </x:c>
      <x:c r="H1723" s="9" t="n">
        <x:f>SUM(SalesLines!M4233)</x:f>
        <x:v>204</x:v>
      </x:c>
      <x:c r="I1723" s="9" t="n">
        <x:f>SUM(SalesLines!N4233)</x:f>
        <x:v>10.200000000000001</x:v>
      </x:c>
      <x:c r="J1723" s="9" t="n">
        <x:f>SUM(SalesLines!P4233)</x:f>
        <x:v>0</x:v>
      </x:c>
      <x:c r="K1723" s="11" t="n">
        <x:f>SUM(SalesLines!R4233)</x:f>
        <x:v>3</x:v>
      </x:c>
      <x:c r="L1723" s="11" t="n">
        <x:f>SUM(SalesLines!S4233)</x:f>
        <x:v>0</x:v>
      </x:c>
      <x:c r="M1723" s="8" t="n">
        <x:f>DATE(YEAR(C1723),MONTH(C1723),1)</x:f>
        <x:v>45778</x:v>
      </x:c>
    </x:row>
    <x:row r="1724" ht="22" customHeight="1">
      <x:c r="A1724" s="2" t="str">
        <x:v>O01720</x:v>
      </x:c>
      <x:c r="B1724" s="2" t="str">
        <x:v>C0268</x:v>
      </x:c>
      <x:c r="C1724" s="7" t="n">
        <x:v>45975</x:v>
      </x:c>
      <x:c r="D1724" s="2" t="str">
        <x:v>Completed</x:v>
      </x:c>
      <x:c r="E1724" s="2" t="str">
        <x:v>North</x:v>
      </x:c>
      <x:c r="F1724" s="2" t="str">
        <x:v>Store</x:v>
      </x:c>
      <x:c r="G1724" s="9" t="n">
        <x:f>SUM(SalesLines!Q4234)</x:f>
        <x:v>756.2</x:v>
      </x:c>
      <x:c r="H1724" s="9" t="n">
        <x:f>SUM(SalesLines!M4234)</x:f>
        <x:v>796</x:v>
      </x:c>
      <x:c r="I1724" s="9" t="n">
        <x:f>SUM(SalesLines!N4234)</x:f>
        <x:v>39.800000000000004</x:v>
      </x:c>
      <x:c r="J1724" s="9" t="n">
        <x:f>SUM(SalesLines!P4234)</x:f>
        <x:v>0</x:v>
      </x:c>
      <x:c r="K1724" s="11" t="n">
        <x:f>SUM(SalesLines!R4234)</x:f>
        <x:v>4</x:v>
      </x:c>
      <x:c r="L1724" s="11" t="n">
        <x:f>SUM(SalesLines!S4234)</x:f>
        <x:v>0</x:v>
      </x:c>
      <x:c r="M1724" s="8" t="n">
        <x:f>DATE(YEAR(C1724),MONTH(C1724),1)</x:f>
        <x:v>45962</x:v>
      </x:c>
    </x:row>
    <x:row r="1725" ht="22" customHeight="1">
      <x:c r="A1725" s="2" t="str">
        <x:v>O01721</x:v>
      </x:c>
      <x:c r="B1725" s="2" t="str">
        <x:v>C0139</x:v>
      </x:c>
      <x:c r="C1725" s="7" t="n">
        <x:v>45688</x:v>
      </x:c>
      <x:c r="D1725" s="2" t="str">
        <x:v>Cancelled</x:v>
      </x:c>
      <x:c r="E1725" s="2" t="str">
        <x:v>North</x:v>
      </x:c>
      <x:c r="F1725" s="2" t="str">
        <x:v>Store</x:v>
      </x:c>
      <x:c r="G1725" s="9" t="n">
        <x:f>SUM(SalesLines!Q4235)</x:f>
        <x:v>0</x:v>
      </x:c>
      <x:c r="H1725" s="9" t="n">
        <x:f>SUM(SalesLines!M4235)</x:f>
        <x:v>0</x:v>
      </x:c>
      <x:c r="I1725" s="9" t="n">
        <x:f>SUM(SalesLines!N4235)</x:f>
        <x:v>0</x:v>
      </x:c>
      <x:c r="J1725" s="9" t="n">
        <x:f>SUM(SalesLines!P4235)</x:f>
        <x:v>0</x:v>
      </x:c>
      <x:c r="K1725" s="11" t="n">
        <x:f>SUM(SalesLines!R4235)</x:f>
        <x:v>0</x:v>
      </x:c>
      <x:c r="L1725" s="11" t="n">
        <x:f>SUM(SalesLines!S4235)</x:f>
        <x:v>0</x:v>
      </x:c>
      <x:c r="M1725" s="8" t="n">
        <x:f>DATE(YEAR(C1725),MONTH(C1725),1)</x:f>
        <x:v>45658</x:v>
      </x:c>
    </x:row>
    <x:row r="1726" ht="22" customHeight="1">
      <x:c r="A1726" s="2" t="str">
        <x:v>O01722</x:v>
      </x:c>
      <x:c r="B1726" s="2" t="str">
        <x:v>C0271</x:v>
      </x:c>
      <x:c r="C1726" s="7" t="n">
        <x:v>46008</x:v>
      </x:c>
      <x:c r="D1726" s="2" t="str">
        <x:v>Completed</x:v>
      </x:c>
      <x:c r="E1726" s="2" t="str">
        <x:v>West</x:v>
      </x:c>
      <x:c r="F1726" s="2" t="str">
        <x:v>Online</x:v>
      </x:c>
      <x:c r="G1726" s="9" t="n">
        <x:f>SUM(SalesLines!Q4236,SalesLines!Q4237,SalesLines!Q4238,SalesLines!Q4239)</x:f>
        <x:v>1299.6</x:v>
      </x:c>
      <x:c r="H1726" s="9" t="n">
        <x:f>SUM(SalesLines!M4236,SalesLines!M4237,SalesLines!M4238,SalesLines!M4239)</x:f>
        <x:v>1444</x:v>
      </x:c>
      <x:c r="I1726" s="9" t="n">
        <x:f>SUM(SalesLines!N4236,SalesLines!N4237,SalesLines!N4238,SalesLines!N4239)</x:f>
        <x:v>144.4</x:v>
      </x:c>
      <x:c r="J1726" s="9" t="n">
        <x:f>SUM(SalesLines!P4236,SalesLines!P4237,SalesLines!P4238,SalesLines!P4239)</x:f>
        <x:v>0</x:v>
      </x:c>
      <x:c r="K1726" s="11" t="n">
        <x:f>SUM(SalesLines!R4236,SalesLines!R4237,SalesLines!R4238,SalesLines!R4239)</x:f>
        <x:v>9</x:v>
      </x:c>
      <x:c r="L1726" s="11" t="n">
        <x:f>SUM(SalesLines!S4236,SalesLines!S4237,SalesLines!S4238,SalesLines!S4239)</x:f>
        <x:v>0</x:v>
      </x:c>
      <x:c r="M1726" s="8" t="n">
        <x:f>DATE(YEAR(C1726),MONTH(C1726),1)</x:f>
        <x:v>45992</x:v>
      </x:c>
    </x:row>
    <x:row r="1727" ht="22" customHeight="1">
      <x:c r="A1727" s="2" t="str">
        <x:v>O01723</x:v>
      </x:c>
      <x:c r="B1727" s="2" t="str">
        <x:v>C0158</x:v>
      </x:c>
      <x:c r="C1727" s="7" t="n">
        <x:v>45931</x:v>
      </x:c>
      <x:c r="D1727" s="2" t="str">
        <x:v>Completed</x:v>
      </x:c>
      <x:c r="E1727" s="2" t="str">
        <x:v>East</x:v>
      </x:c>
      <x:c r="F1727" s="2" t="str">
        <x:v>Online</x:v>
      </x:c>
      <x:c r="G1727" s="9" t="n">
        <x:f>SUM(SalesLines!Q4240,SalesLines!Q4241,SalesLines!Q4242,SalesLines!Q4243)</x:f>
        <x:v>1232.3</x:v>
      </x:c>
      <x:c r="H1727" s="9" t="n">
        <x:f>SUM(SalesLines!M4240,SalesLines!M4241,SalesLines!M4242,SalesLines!M4243)</x:f>
        <x:v>1447</x:v>
      </x:c>
      <x:c r="I1727" s="9" t="n">
        <x:f>SUM(SalesLines!N4240,SalesLines!N4241,SalesLines!N4242,SalesLines!N4243)</x:f>
        <x:v>214.7</x:v>
      </x:c>
      <x:c r="J1727" s="9" t="n">
        <x:f>SUM(SalesLines!P4240,SalesLines!P4241,SalesLines!P4242,SalesLines!P4243)</x:f>
        <x:v>0</x:v>
      </x:c>
      <x:c r="K1727" s="11" t="n">
        <x:f>SUM(SalesLines!R4240,SalesLines!R4241,SalesLines!R4242,SalesLines!R4243)</x:f>
        <x:v>9</x:v>
      </x:c>
      <x:c r="L1727" s="11" t="n">
        <x:f>SUM(SalesLines!S4240,SalesLines!S4241,SalesLines!S4242,SalesLines!S4243)</x:f>
        <x:v>0</x:v>
      </x:c>
      <x:c r="M1727" s="8" t="n">
        <x:f>DATE(YEAR(C1727),MONTH(C1727),1)</x:f>
        <x:v>45931</x:v>
      </x:c>
    </x:row>
    <x:row r="1728" ht="22" customHeight="1">
      <x:c r="A1728" s="2" t="str">
        <x:v>O01724</x:v>
      </x:c>
      <x:c r="B1728" s="2" t="str">
        <x:v>C0254</x:v>
      </x:c>
      <x:c r="C1728" s="7" t="n">
        <x:v>45688</x:v>
      </x:c>
      <x:c r="D1728" s="2" t="str">
        <x:v>Completed</x:v>
      </x:c>
      <x:c r="E1728" s="2" t="str">
        <x:v>East</x:v>
      </x:c>
      <x:c r="F1728" s="2" t="str">
        <x:v>Online</x:v>
      </x:c>
      <x:c r="G1728" s="9" t="n">
        <x:f>SUM(SalesLines!Q4244,SalesLines!Q4245,SalesLines!Q4246)</x:f>
        <x:v>2565.7</x:v>
      </x:c>
      <x:c r="H1728" s="9" t="n">
        <x:f>SUM(SalesLines!M4244,SalesLines!M4245,SalesLines!M4246)</x:f>
        <x:v>3039</x:v>
      </x:c>
      <x:c r="I1728" s="9" t="n">
        <x:f>SUM(SalesLines!N4244,SalesLines!N4245,SalesLines!N4246)</x:f>
        <x:v>473.3</x:v>
      </x:c>
      <x:c r="J1728" s="9" t="n">
        <x:f>SUM(SalesLines!P4244,SalesLines!P4245,SalesLines!P4246)</x:f>
        <x:v>0</x:v>
      </x:c>
      <x:c r="K1728" s="11" t="n">
        <x:f>SUM(SalesLines!R4244,SalesLines!R4245,SalesLines!R4246)</x:f>
        <x:v>14</x:v>
      </x:c>
      <x:c r="L1728" s="11" t="n">
        <x:f>SUM(SalesLines!S4244,SalesLines!S4245,SalesLines!S4246)</x:f>
        <x:v>0</x:v>
      </x:c>
      <x:c r="M1728" s="8" t="n">
        <x:f>DATE(YEAR(C1728),MONTH(C1728),1)</x:f>
        <x:v>45658</x:v>
      </x:c>
    </x:row>
    <x:row r="1729" ht="22" customHeight="1">
      <x:c r="A1729" s="2" t="str">
        <x:v>O01725</x:v>
      </x:c>
      <x:c r="B1729" s="2" t="str">
        <x:v>C0157</x:v>
      </x:c>
      <x:c r="C1729" s="7" t="n">
        <x:v>46008</x:v>
      </x:c>
      <x:c r="D1729" s="2" t="str">
        <x:v>Completed</x:v>
      </x:c>
      <x:c r="E1729" s="2" t="str">
        <x:v>West</x:v>
      </x:c>
      <x:c r="F1729" s="2" t="str">
        <x:v>Online</x:v>
      </x:c>
      <x:c r="G1729" s="9" t="n">
        <x:f>SUM(SalesLines!Q4247)</x:f>
        <x:v>402</x:v>
      </x:c>
      <x:c r="H1729" s="9" t="n">
        <x:f>SUM(SalesLines!M4247)</x:f>
        <x:v>670</x:v>
      </x:c>
      <x:c r="I1729" s="9" t="n">
        <x:f>SUM(SalesLines!N4247)</x:f>
        <x:v>0</x:v>
      </x:c>
      <x:c r="J1729" s="9" t="n">
        <x:f>SUM(SalesLines!P4247)</x:f>
        <x:v>268</x:v>
      </x:c>
      <x:c r="K1729" s="11" t="n">
        <x:f>SUM(SalesLines!R4247)</x:f>
        <x:v>5</x:v>
      </x:c>
      <x:c r="L1729" s="11" t="n">
        <x:f>SUM(SalesLines!S4247)</x:f>
        <x:v>2</x:v>
      </x:c>
      <x:c r="M1729" s="8" t="n">
        <x:f>DATE(YEAR(C1729),MONTH(C1729),1)</x:f>
        <x:v>45992</x:v>
      </x:c>
    </x:row>
    <x:row r="1730" ht="22" customHeight="1">
      <x:c r="A1730" s="2" t="str">
        <x:v>O01726</x:v>
      </x:c>
      <x:c r="B1730" s="2" t="str">
        <x:v>C0245</x:v>
      </x:c>
      <x:c r="C1730" s="7" t="n">
        <x:v>45908</x:v>
      </x:c>
      <x:c r="D1730" s="2" t="str">
        <x:v>Completed</x:v>
      </x:c>
      <x:c r="E1730" s="2" t="str">
        <x:v>North</x:v>
      </x:c>
      <x:c r="F1730" s="2" t="str">
        <x:v>Online</x:v>
      </x:c>
      <x:c r="G1730" s="9" t="n">
        <x:f>SUM(SalesLines!Q4248)</x:f>
        <x:v>200.45</x:v>
      </x:c>
      <x:c r="H1730" s="9" t="n">
        <x:f>SUM(SalesLines!M4248)</x:f>
        <x:v>211</x:v>
      </x:c>
      <x:c r="I1730" s="9" t="n">
        <x:f>SUM(SalesLines!N4248)</x:f>
        <x:v>10.55</x:v>
      </x:c>
      <x:c r="J1730" s="9" t="n">
        <x:f>SUM(SalesLines!P4248)</x:f>
        <x:v>0</x:v>
      </x:c>
      <x:c r="K1730" s="11" t="n">
        <x:f>SUM(SalesLines!R4248)</x:f>
        <x:v>1</x:v>
      </x:c>
      <x:c r="L1730" s="11" t="n">
        <x:f>SUM(SalesLines!S4248)</x:f>
        <x:v>0</x:v>
      </x:c>
      <x:c r="M1730" s="8" t="n">
        <x:f>DATE(YEAR(C1730),MONTH(C1730),1)</x:f>
        <x:v>45901</x:v>
      </x:c>
    </x:row>
    <x:row r="1731" ht="22" customHeight="1">
      <x:c r="A1731" s="2" t="str">
        <x:v>O01727</x:v>
      </x:c>
      <x:c r="B1731" s="2" t="str">
        <x:v>C0149</x:v>
      </x:c>
      <x:c r="C1731" s="7" t="n">
        <x:v>45748</x:v>
      </x:c>
      <x:c r="D1731" s="2" t="str">
        <x:v>Completed</x:v>
      </x:c>
      <x:c r="E1731" s="2" t="str">
        <x:v>East</x:v>
      </x:c>
      <x:c r="F1731" s="2" t="str">
        <x:v>Store</x:v>
      </x:c>
      <x:c r="G1731" s="9" t="n">
        <x:f>SUM(SalesLines!Q4249)</x:f>
        <x:v>300.8</x:v>
      </x:c>
      <x:c r="H1731" s="9" t="n">
        <x:f>SUM(SalesLines!M4249)</x:f>
        <x:v>376</x:v>
      </x:c>
      <x:c r="I1731" s="9" t="n">
        <x:f>SUM(SalesLines!N4249)</x:f>
        <x:v>75.2</x:v>
      </x:c>
      <x:c r="J1731" s="9" t="n">
        <x:f>SUM(SalesLines!P4249)</x:f>
        <x:v>0</x:v>
      </x:c>
      <x:c r="K1731" s="11" t="n">
        <x:f>SUM(SalesLines!R4249)</x:f>
        <x:v>2</x:v>
      </x:c>
      <x:c r="L1731" s="11" t="n">
        <x:f>SUM(SalesLines!S4249)</x:f>
        <x:v>0</x:v>
      </x:c>
      <x:c r="M1731" s="8" t="n">
        <x:f>DATE(YEAR(C1731),MONTH(C1731),1)</x:f>
        <x:v>45748</x:v>
      </x:c>
    </x:row>
    <x:row r="1732" ht="22" customHeight="1">
      <x:c r="A1732" s="2" t="str">
        <x:v>O01728</x:v>
      </x:c>
      <x:c r="B1732" s="2" t="str">
        <x:v>C0262</x:v>
      </x:c>
      <x:c r="C1732" s="7" t="n">
        <x:v>45782</x:v>
      </x:c>
      <x:c r="D1732" s="2" t="str">
        <x:v>Completed</x:v>
      </x:c>
      <x:c r="E1732" s="2" t="str">
        <x:v>West</x:v>
      </x:c>
      <x:c r="F1732" s="2" t="str">
        <x:v>Store</x:v>
      </x:c>
      <x:c r="G1732" s="9" t="n">
        <x:f>SUM(SalesLines!Q4250,SalesLines!Q4251,SalesLines!Q4252,SalesLines!Q4253)</x:f>
        <x:v>1015.65</x:v>
      </x:c>
      <x:c r="H1732" s="9" t="n">
        <x:f>SUM(SalesLines!M4250,SalesLines!M4251,SalesLines!M4252,SalesLines!M4253)</x:f>
        <x:v>1320</x:v>
      </x:c>
      <x:c r="I1732" s="9" t="n">
        <x:f>SUM(SalesLines!N4250,SalesLines!N4251,SalesLines!N4252,SalesLines!N4253)</x:f>
        <x:v>75.75</x:v>
      </x:c>
      <x:c r="J1732" s="9" t="n">
        <x:f>SUM(SalesLines!P4250,SalesLines!P4251,SalesLines!P4252,SalesLines!P4253)</x:f>
        <x:v>228.6</x:v>
      </x:c>
      <x:c r="K1732" s="11" t="n">
        <x:f>SUM(SalesLines!R4250,SalesLines!R4251,SalesLines!R4252,SalesLines!R4253)</x:f>
        <x:v>6</x:v>
      </x:c>
      <x:c r="L1732" s="11" t="n">
        <x:f>SUM(SalesLines!S4250,SalesLines!S4251,SalesLines!S4252,SalesLines!S4253)</x:f>
        <x:v>1</x:v>
      </x:c>
      <x:c r="M1732" s="8" t="n">
        <x:f>DATE(YEAR(C1732),MONTH(C1732),1)</x:f>
        <x:v>45778</x:v>
      </x:c>
    </x:row>
    <x:row r="1733" ht="22" customHeight="1">
      <x:c r="A1733" s="2" t="str">
        <x:v>O01729</x:v>
      </x:c>
      <x:c r="B1733" s="2" t="str">
        <x:v>C0133</x:v>
      </x:c>
      <x:c r="C1733" s="7" t="n">
        <x:v>45701</x:v>
      </x:c>
      <x:c r="D1733" s="2" t="str">
        <x:v>Completed</x:v>
      </x:c>
      <x:c r="E1733" s="2" t="str">
        <x:v>South</x:v>
      </x:c>
      <x:c r="F1733" s="2" t="str">
        <x:v>Store</x:v>
      </x:c>
      <x:c r="G1733" s="9" t="n">
        <x:f>SUM(SalesLines!Q4254,SalesLines!Q4255)</x:f>
        <x:v>633.8</x:v>
      </x:c>
      <x:c r="H1733" s="9" t="n">
        <x:f>SUM(SalesLines!M4254,SalesLines!M4255)</x:f>
        <x:v>853</x:v>
      </x:c>
      <x:c r="I1733" s="9" t="n">
        <x:f>SUM(SalesLines!N4254,SalesLines!N4255)</x:f>
        <x:v>146.3</x:v>
      </x:c>
      <x:c r="J1733" s="9" t="n">
        <x:f>SUM(SalesLines!P4254,SalesLines!P4255)</x:f>
        <x:v>72.9</x:v>
      </x:c>
      <x:c r="K1733" s="11" t="n">
        <x:f>SUM(SalesLines!R4254,SalesLines!R4255)</x:f>
        <x:v>8</x:v>
      </x:c>
      <x:c r="L1733" s="11" t="n">
        <x:f>SUM(SalesLines!S4254,SalesLines!S4255)</x:f>
        <x:v>1</x:v>
      </x:c>
      <x:c r="M1733" s="8" t="n">
        <x:f>DATE(YEAR(C1733),MONTH(C1733),1)</x:f>
        <x:v>45689</x:v>
      </x:c>
    </x:row>
    <x:row r="1734" ht="22" customHeight="1">
      <x:c r="A1734" s="2" t="str">
        <x:v>O01730</x:v>
      </x:c>
      <x:c r="B1734" s="2" t="str">
        <x:v>C0077</x:v>
      </x:c>
      <x:c r="C1734" s="7" t="n">
        <x:v>45828</x:v>
      </x:c>
      <x:c r="D1734" s="2" t="str">
        <x:v>Completed</x:v>
      </x:c>
      <x:c r="E1734" s="2" t="str">
        <x:v>West</x:v>
      </x:c>
      <x:c r="F1734" s="2" t="str">
        <x:v>Store</x:v>
      </x:c>
      <x:c r="G1734" s="9" t="n">
        <x:f>SUM(SalesLines!Q4256,SalesLines!Q4257,SalesLines!Q4258,SalesLines!Q4259)</x:f>
        <x:v>2443.8</x:v>
      </x:c>
      <x:c r="H1734" s="9" t="n">
        <x:f>SUM(SalesLines!M4256,SalesLines!M4257,SalesLines!M4258,SalesLines!M4259)</x:f>
        <x:v>2706</x:v>
      </x:c>
      <x:c r="I1734" s="9" t="n">
        <x:f>SUM(SalesLines!N4256,SalesLines!N4257,SalesLines!N4258,SalesLines!N4259)</x:f>
        <x:v>262.20000000000005</x:v>
      </x:c>
      <x:c r="J1734" s="9" t="n">
        <x:f>SUM(SalesLines!P4256,SalesLines!P4257,SalesLines!P4258,SalesLines!P4259)</x:f>
        <x:v>0</x:v>
      </x:c>
      <x:c r="K1734" s="11" t="n">
        <x:f>SUM(SalesLines!R4256,SalesLines!R4257,SalesLines!R4258,SalesLines!R4259)</x:f>
        <x:v>12</x:v>
      </x:c>
      <x:c r="L1734" s="11" t="n">
        <x:f>SUM(SalesLines!S4256,SalesLines!S4257,SalesLines!S4258,SalesLines!S4259)</x:f>
        <x:v>0</x:v>
      </x:c>
      <x:c r="M1734" s="8" t="n">
        <x:f>DATE(YEAR(C1734),MONTH(C1734),1)</x:f>
        <x:v>45809</x:v>
      </x:c>
    </x:row>
    <x:row r="1735" ht="22" customHeight="1">
      <x:c r="A1735" s="2" t="str">
        <x:v>O01731</x:v>
      </x:c>
      <x:c r="B1735" s="2" t="str">
        <x:v>C0202</x:v>
      </x:c>
      <x:c r="C1735" s="7" t="n">
        <x:v>45894</x:v>
      </x:c>
      <x:c r="D1735" s="2" t="str">
        <x:v>Completed</x:v>
      </x:c>
      <x:c r="E1735" s="2" t="str">
        <x:v>South</x:v>
      </x:c>
      <x:c r="F1735" s="2" t="str">
        <x:v>Store</x:v>
      </x:c>
      <x:c r="G1735" s="9" t="n">
        <x:f>SUM(SalesLines!Q4260,SalesLines!Q4261,SalesLines!Q4262,SalesLines!Q4263)</x:f>
        <x:v>3176.85</x:v>
      </x:c>
      <x:c r="H1735" s="9" t="n">
        <x:f>SUM(SalesLines!M4260,SalesLines!M4261,SalesLines!M4262,SalesLines!M4263)</x:f>
        <x:v>3493</x:v>
      </x:c>
      <x:c r="I1735" s="9" t="n">
        <x:f>SUM(SalesLines!N4260,SalesLines!N4261,SalesLines!N4262,SalesLines!N4263)</x:f>
        <x:v>316.15</x:v>
      </x:c>
      <x:c r="J1735" s="9" t="n">
        <x:f>SUM(SalesLines!P4260,SalesLines!P4261,SalesLines!P4262,SalesLines!P4263)</x:f>
        <x:v>0</x:v>
      </x:c>
      <x:c r="K1735" s="11" t="n">
        <x:f>SUM(SalesLines!R4260,SalesLines!R4261,SalesLines!R4262,SalesLines!R4263)</x:f>
        <x:v>14</x:v>
      </x:c>
      <x:c r="L1735" s="11" t="n">
        <x:f>SUM(SalesLines!S4260,SalesLines!S4261,SalesLines!S4262,SalesLines!S4263)</x:f>
        <x:v>0</x:v>
      </x:c>
      <x:c r="M1735" s="8" t="n">
        <x:f>DATE(YEAR(C1735),MONTH(C1735),1)</x:f>
        <x:v>45870</x:v>
      </x:c>
    </x:row>
    <x:row r="1736" ht="22" customHeight="1">
      <x:c r="A1736" s="2" t="str">
        <x:v>O01732</x:v>
      </x:c>
      <x:c r="B1736" s="2" t="str">
        <x:v>C0182</x:v>
      </x:c>
      <x:c r="C1736" s="7" t="n">
        <x:v>45734</x:v>
      </x:c>
      <x:c r="D1736" s="2" t="str">
        <x:v>Completed</x:v>
      </x:c>
      <x:c r="E1736" s="2" t="str">
        <x:v>West</x:v>
      </x:c>
      <x:c r="F1736" s="2" t="str">
        <x:v>Store</x:v>
      </x:c>
      <x:c r="G1736" s="9" t="n">
        <x:f>SUM(SalesLines!Q4264,SalesLines!Q4265)</x:f>
        <x:v>1194.8</x:v>
      </x:c>
      <x:c r="H1736" s="9" t="n">
        <x:f>SUM(SalesLines!M4264,SalesLines!M4265)</x:f>
        <x:v>1394</x:v>
      </x:c>
      <x:c r="I1736" s="9" t="n">
        <x:f>SUM(SalesLines!N4264,SalesLines!N4265)</x:f>
        <x:v>199.20000000000002</x:v>
      </x:c>
      <x:c r="J1736" s="9" t="n">
        <x:f>SUM(SalesLines!P4264,SalesLines!P4265)</x:f>
        <x:v>0</x:v>
      </x:c>
      <x:c r="K1736" s="11" t="n">
        <x:f>SUM(SalesLines!R4264,SalesLines!R4265)</x:f>
        <x:v>6</x:v>
      </x:c>
      <x:c r="L1736" s="11" t="n">
        <x:f>SUM(SalesLines!S4264,SalesLines!S4265)</x:f>
        <x:v>0</x:v>
      </x:c>
      <x:c r="M1736" s="8" t="n">
        <x:f>DATE(YEAR(C1736),MONTH(C1736),1)</x:f>
        <x:v>45717</x:v>
      </x:c>
    </x:row>
    <x:row r="1737" ht="22" customHeight="1">
      <x:c r="A1737" s="2" t="str">
        <x:v>O01733</x:v>
      </x:c>
      <x:c r="B1737" s="2" t="str">
        <x:v>C0192</x:v>
      </x:c>
      <x:c r="C1737" s="7" t="n">
        <x:v>45896</x:v>
      </x:c>
      <x:c r="D1737" s="2" t="str">
        <x:v>Completed</x:v>
      </x:c>
      <x:c r="E1737" s="2" t="str">
        <x:v>South</x:v>
      </x:c>
      <x:c r="F1737" s="2" t="str">
        <x:v>Online</x:v>
      </x:c>
      <x:c r="G1737" s="9" t="n">
        <x:f>SUM(SalesLines!Q4266,SalesLines!Q4267)</x:f>
        <x:v>555.9</x:v>
      </x:c>
      <x:c r="H1737" s="9" t="n">
        <x:f>SUM(SalesLines!M4266,SalesLines!M4267)</x:f>
        <x:v>661</x:v>
      </x:c>
      <x:c r="I1737" s="9" t="n">
        <x:f>SUM(SalesLines!N4266,SalesLines!N4267)</x:f>
        <x:v>105.1</x:v>
      </x:c>
      <x:c r="J1737" s="9" t="n">
        <x:f>SUM(SalesLines!P4266,SalesLines!P4267)</x:f>
        <x:v>0</x:v>
      </x:c>
      <x:c r="K1737" s="11" t="n">
        <x:f>SUM(SalesLines!R4266,SalesLines!R4267)</x:f>
        <x:v>6</x:v>
      </x:c>
      <x:c r="L1737" s="11" t="n">
        <x:f>SUM(SalesLines!S4266,SalesLines!S4267)</x:f>
        <x:v>0</x:v>
      </x:c>
      <x:c r="M1737" s="8" t="n">
        <x:f>DATE(YEAR(C1737),MONTH(C1737),1)</x:f>
        <x:v>45870</x:v>
      </x:c>
    </x:row>
    <x:row r="1738" ht="22" customHeight="1">
      <x:c r="A1738" s="2" t="str">
        <x:v>O01734</x:v>
      </x:c>
      <x:c r="B1738" s="2" t="str">
        <x:v>C0172</x:v>
      </x:c>
      <x:c r="C1738" s="7" t="n">
        <x:v>45867</x:v>
      </x:c>
      <x:c r="D1738" s="2" t="str">
        <x:v>Completed</x:v>
      </x:c>
      <x:c r="E1738" s="2" t="str">
        <x:v>North</x:v>
      </x:c>
      <x:c r="F1738" s="2" t="str">
        <x:v>Online</x:v>
      </x:c>
      <x:c r="G1738" s="9" t="n">
        <x:f>SUM(SalesLines!Q4268,SalesLines!Q4269,SalesLines!Q4270,SalesLines!Q4271)</x:f>
        <x:v>2071.8</x:v>
      </x:c>
      <x:c r="H1738" s="9" t="n">
        <x:f>SUM(SalesLines!M4268,SalesLines!M4269,SalesLines!M4270,SalesLines!M4271)</x:f>
        <x:v>2118</x:v>
      </x:c>
      <x:c r="I1738" s="9" t="n">
        <x:f>SUM(SalesLines!N4268,SalesLines!N4269,SalesLines!N4270,SalesLines!N4271)</x:f>
        <x:v>46.2</x:v>
      </x:c>
      <x:c r="J1738" s="9" t="n">
        <x:f>SUM(SalesLines!P4268,SalesLines!P4269,SalesLines!P4270,SalesLines!P4271)</x:f>
        <x:v>0</x:v>
      </x:c>
      <x:c r="K1738" s="11" t="n">
        <x:f>SUM(SalesLines!R4268,SalesLines!R4269,SalesLines!R4270,SalesLines!R4271)</x:f>
        <x:v>12</x:v>
      </x:c>
      <x:c r="L1738" s="11" t="n">
        <x:f>SUM(SalesLines!S4268,SalesLines!S4269,SalesLines!S4270,SalesLines!S4271)</x:f>
        <x:v>0</x:v>
      </x:c>
      <x:c r="M1738" s="8" t="n">
        <x:f>DATE(YEAR(C1738),MONTH(C1738),1)</x:f>
        <x:v>45839</x:v>
      </x:c>
    </x:row>
    <x:row r="1739" ht="22" customHeight="1">
      <x:c r="A1739" s="2" t="str">
        <x:v>O01735</x:v>
      </x:c>
      <x:c r="B1739" s="2" t="str">
        <x:v>C0299</x:v>
      </x:c>
      <x:c r="C1739" s="7" t="n">
        <x:v>45701</x:v>
      </x:c>
      <x:c r="D1739" s="2" t="str">
        <x:v>Completed</x:v>
      </x:c>
      <x:c r="E1739" s="2" t="str">
        <x:v>North</x:v>
      </x:c>
      <x:c r="F1739" s="2" t="str">
        <x:v>Online</x:v>
      </x:c>
      <x:c r="G1739" s="9" t="n">
        <x:f>SUM(SalesLines!Q4272,SalesLines!Q4273)</x:f>
        <x:v>876.6</x:v>
      </x:c>
      <x:c r="H1739" s="9" t="n">
        <x:f>SUM(SalesLines!M4272,SalesLines!M4273)</x:f>
        <x:v>890</x:v>
      </x:c>
      <x:c r="I1739" s="9" t="n">
        <x:f>SUM(SalesLines!N4272,SalesLines!N4273)</x:f>
        <x:v>13.4</x:v>
      </x:c>
      <x:c r="J1739" s="9" t="n">
        <x:f>SUM(SalesLines!P4272,SalesLines!P4273)</x:f>
        <x:v>0</x:v>
      </x:c>
      <x:c r="K1739" s="11" t="n">
        <x:f>SUM(SalesLines!R4272,SalesLines!R4273)</x:f>
        <x:v>5</x:v>
      </x:c>
      <x:c r="L1739" s="11" t="n">
        <x:f>SUM(SalesLines!S4272,SalesLines!S4273)</x:f>
        <x:v>0</x:v>
      </x:c>
      <x:c r="M1739" s="8" t="n">
        <x:f>DATE(YEAR(C1739),MONTH(C1739),1)</x:f>
        <x:v>45689</x:v>
      </x:c>
    </x:row>
    <x:row r="1740" ht="22" customHeight="1">
      <x:c r="A1740" s="2" t="str">
        <x:v>O01736</x:v>
      </x:c>
      <x:c r="B1740" s="2" t="str">
        <x:v>C0192</x:v>
      </x:c>
      <x:c r="C1740" s="7" t="n">
        <x:v>45715</x:v>
      </x:c>
      <x:c r="D1740" s="2" t="str">
        <x:v>Completed</x:v>
      </x:c>
      <x:c r="E1740" s="2" t="str">
        <x:v>South</x:v>
      </x:c>
      <x:c r="F1740" s="2" t="str">
        <x:v>Online</x:v>
      </x:c>
      <x:c r="G1740" s="9" t="n">
        <x:f>SUM(SalesLines!Q4274,SalesLines!Q4275,SalesLines!Q4276,SalesLines!Q4277)</x:f>
        <x:v>2033.25</x:v>
      </x:c>
      <x:c r="H1740" s="9" t="n">
        <x:f>SUM(SalesLines!M4274,SalesLines!M4275,SalesLines!M4276,SalesLines!M4277)</x:f>
        <x:v>2153</x:v>
      </x:c>
      <x:c r="I1740" s="9" t="n">
        <x:f>SUM(SalesLines!N4274,SalesLines!N4275,SalesLines!N4276,SalesLines!N4277)</x:f>
        <x:v>119.75</x:v>
      </x:c>
      <x:c r="J1740" s="9" t="n">
        <x:f>SUM(SalesLines!P4274,SalesLines!P4275,SalesLines!P4276,SalesLines!P4277)</x:f>
        <x:v>0</x:v>
      </x:c>
      <x:c r="K1740" s="11" t="n">
        <x:f>SUM(SalesLines!R4274,SalesLines!R4275,SalesLines!R4276,SalesLines!R4277)</x:f>
        <x:v>12</x:v>
      </x:c>
      <x:c r="L1740" s="11" t="n">
        <x:f>SUM(SalesLines!S4274,SalesLines!S4275,SalesLines!S4276,SalesLines!S4277)</x:f>
        <x:v>0</x:v>
      </x:c>
      <x:c r="M1740" s="8" t="n">
        <x:f>DATE(YEAR(C1740),MONTH(C1740),1)</x:f>
        <x:v>45689</x:v>
      </x:c>
    </x:row>
    <x:row r="1741" ht="22" customHeight="1">
      <x:c r="A1741" s="2" t="str">
        <x:v>O01737</x:v>
      </x:c>
      <x:c r="B1741" s="2" t="str">
        <x:v>C0286</x:v>
      </x:c>
      <x:c r="C1741" s="7" t="n">
        <x:v>45788</x:v>
      </x:c>
      <x:c r="D1741" s="2" t="str">
        <x:v>Completed</x:v>
      </x:c>
      <x:c r="E1741" s="2" t="str">
        <x:v>West</x:v>
      </x:c>
      <x:c r="F1741" s="2" t="str">
        <x:v>Online</x:v>
      </x:c>
      <x:c r="G1741" s="9" t="n">
        <x:f>SUM(SalesLines!Q4278,SalesLines!Q4279)</x:f>
        <x:v>810.8000000000001</x:v>
      </x:c>
      <x:c r="H1741" s="9" t="n">
        <x:f>SUM(SalesLines!M4278,SalesLines!M4279)</x:f>
        <x:v>988</x:v>
      </x:c>
      <x:c r="I1741" s="9" t="n">
        <x:f>SUM(SalesLines!N4278,SalesLines!N4279)</x:f>
        <x:v>177.20000000000002</x:v>
      </x:c>
      <x:c r="J1741" s="9" t="n">
        <x:f>SUM(SalesLines!P4278,SalesLines!P4279)</x:f>
        <x:v>0</x:v>
      </x:c>
      <x:c r="K1741" s="11" t="n">
        <x:f>SUM(SalesLines!R4278,SalesLines!R4279)</x:f>
        <x:v>7</x:v>
      </x:c>
      <x:c r="L1741" s="11" t="n">
        <x:f>SUM(SalesLines!S4278,SalesLines!S4279)</x:f>
        <x:v>0</x:v>
      </x:c>
      <x:c r="M1741" s="8" t="n">
        <x:f>DATE(YEAR(C1741),MONTH(C1741),1)</x:f>
        <x:v>45778</x:v>
      </x:c>
    </x:row>
    <x:row r="1742" ht="22" customHeight="1">
      <x:c r="A1742" s="2" t="str">
        <x:v>O01738</x:v>
      </x:c>
      <x:c r="B1742" s="2" t="str">
        <x:v>C0212</x:v>
      </x:c>
      <x:c r="C1742" s="7" t="n">
        <x:v>45727</x:v>
      </x:c>
      <x:c r="D1742" s="2" t="str">
        <x:v>Completed</x:v>
      </x:c>
      <x:c r="E1742" s="2" t="str">
        <x:v>East</x:v>
      </x:c>
      <x:c r="F1742" s="2" t="str">
        <x:v>Store</x:v>
      </x:c>
      <x:c r="G1742" s="9" t="n">
        <x:f>SUM(SalesLines!Q4280,SalesLines!Q4281,SalesLines!Q4282)</x:f>
        <x:v>1196.1</x:v>
      </x:c>
      <x:c r="H1742" s="9" t="n">
        <x:f>SUM(SalesLines!M4280,SalesLines!M4281,SalesLines!M4282)</x:f>
        <x:v>1380</x:v>
      </x:c>
      <x:c r="I1742" s="9" t="n">
        <x:f>SUM(SalesLines!N4280,SalesLines!N4281,SalesLines!N4282)</x:f>
        <x:v>183.9</x:v>
      </x:c>
      <x:c r="J1742" s="9" t="n">
        <x:f>SUM(SalesLines!P4280,SalesLines!P4281,SalesLines!P4282)</x:f>
        <x:v>0</x:v>
      </x:c>
      <x:c r="K1742" s="11" t="n">
        <x:f>SUM(SalesLines!R4280,SalesLines!R4281,SalesLines!R4282)</x:f>
        <x:v>7</x:v>
      </x:c>
      <x:c r="L1742" s="11" t="n">
        <x:f>SUM(SalesLines!S4280,SalesLines!S4281,SalesLines!S4282)</x:f>
        <x:v>0</x:v>
      </x:c>
      <x:c r="M1742" s="8" t="n">
        <x:f>DATE(YEAR(C1742),MONTH(C1742),1)</x:f>
        <x:v>45717</x:v>
      </x:c>
    </x:row>
    <x:row r="1743" ht="22" customHeight="1">
      <x:c r="A1743" s="2" t="str">
        <x:v>O01739</x:v>
      </x:c>
      <x:c r="B1743" s="2" t="str">
        <x:v>C0293</x:v>
      </x:c>
      <x:c r="C1743" s="7" t="n">
        <x:v>45939</x:v>
      </x:c>
      <x:c r="D1743" s="2" t="str">
        <x:v>Completed</x:v>
      </x:c>
      <x:c r="E1743" s="2" t="str">
        <x:v>North</x:v>
      </x:c>
      <x:c r="F1743" s="2" t="str">
        <x:v>Store</x:v>
      </x:c>
      <x:c r="G1743" s="9" t="n">
        <x:f>SUM(SalesLines!Q4283,SalesLines!Q4284,SalesLines!Q4285,SalesLines!Q4286)</x:f>
        <x:v>2167.4</x:v>
      </x:c>
      <x:c r="H1743" s="9" t="n">
        <x:f>SUM(SalesLines!M4283,SalesLines!M4284,SalesLines!M4285,SalesLines!M4286)</x:f>
        <x:v>2606</x:v>
      </x:c>
      <x:c r="I1743" s="9" t="n">
        <x:f>SUM(SalesLines!N4283,SalesLines!N4284,SalesLines!N4285,SalesLines!N4286)</x:f>
        <x:v>170.60000000000002</x:v>
      </x:c>
      <x:c r="J1743" s="9" t="n">
        <x:f>SUM(SalesLines!P4283,SalesLines!P4284,SalesLines!P4285,SalesLines!P4286)</x:f>
        <x:v>268</x:v>
      </x:c>
      <x:c r="K1743" s="11" t="n">
        <x:f>SUM(SalesLines!R4283,SalesLines!R4284,SalesLines!R4285,SalesLines!R4286)</x:f>
        <x:v>15</x:v>
      </x:c>
      <x:c r="L1743" s="11" t="n">
        <x:f>SUM(SalesLines!S4283,SalesLines!S4284,SalesLines!S4285,SalesLines!S4286)</x:f>
        <x:v>2</x:v>
      </x:c>
      <x:c r="M1743" s="8" t="n">
        <x:f>DATE(YEAR(C1743),MONTH(C1743),1)</x:f>
        <x:v>45931</x:v>
      </x:c>
    </x:row>
    <x:row r="1744" ht="22" customHeight="1">
      <x:c r="A1744" s="2" t="str">
        <x:v>O01740</x:v>
      </x:c>
      <x:c r="B1744" s="2" t="str">
        <x:v>C0168</x:v>
      </x:c>
      <x:c r="C1744" s="7" t="n">
        <x:v>45733</x:v>
      </x:c>
      <x:c r="D1744" s="2" t="str">
        <x:v>Completed</x:v>
      </x:c>
      <x:c r="E1744" s="2" t="str">
        <x:v>North</x:v>
      </x:c>
      <x:c r="F1744" s="2" t="str">
        <x:v>Store</x:v>
      </x:c>
      <x:c r="G1744" s="9" t="n">
        <x:f>SUM(SalesLines!Q4287,SalesLines!Q4288)</x:f>
        <x:v>760.1</x:v>
      </x:c>
      <x:c r="H1744" s="9" t="n">
        <x:f>SUM(SalesLines!M4287,SalesLines!M4288)</x:f>
        <x:v>787</x:v>
      </x:c>
      <x:c r="I1744" s="9" t="n">
        <x:f>SUM(SalesLines!N4287,SalesLines!N4288)</x:f>
        <x:v>26.900000000000002</x:v>
      </x:c>
      <x:c r="J1744" s="9" t="n">
        <x:f>SUM(SalesLines!P4287,SalesLines!P4288)</x:f>
        <x:v>0</x:v>
      </x:c>
      <x:c r="K1744" s="11" t="n">
        <x:f>SUM(SalesLines!R4287,SalesLines!R4288)</x:f>
        <x:v>3</x:v>
      </x:c>
      <x:c r="L1744" s="11" t="n">
        <x:f>SUM(SalesLines!S4287,SalesLines!S4288)</x:f>
        <x:v>0</x:v>
      </x:c>
      <x:c r="M1744" s="8" t="n">
        <x:f>DATE(YEAR(C1744),MONTH(C1744),1)</x:f>
        <x:v>45717</x:v>
      </x:c>
    </x:row>
    <x:row r="1745" ht="22" customHeight="1">
      <x:c r="A1745" s="2" t="str">
        <x:v>O01741</x:v>
      </x:c>
      <x:c r="B1745" s="2" t="str">
        <x:v>C0184</x:v>
      </x:c>
      <x:c r="C1745" s="7" t="n">
        <x:v>45738</x:v>
      </x:c>
      <x:c r="D1745" s="2" t="str">
        <x:v>Completed</x:v>
      </x:c>
      <x:c r="E1745" s="2" t="str">
        <x:v>West</x:v>
      </x:c>
      <x:c r="F1745" s="2" t="str">
        <x:v>Online</x:v>
      </x:c>
      <x:c r="G1745" s="9" t="n">
        <x:f>SUM(SalesLines!Q4289,SalesLines!Q4290)</x:f>
        <x:v>366.6</x:v>
      </x:c>
      <x:c r="H1745" s="9" t="n">
        <x:f>SUM(SalesLines!M4289,SalesLines!M4290)</x:f>
        <x:v>397</x:v>
      </x:c>
      <x:c r="I1745" s="9" t="n">
        <x:f>SUM(SalesLines!N4289,SalesLines!N4290)</x:f>
        <x:v>30.400000000000002</x:v>
      </x:c>
      <x:c r="J1745" s="9" t="n">
        <x:f>SUM(SalesLines!P4289,SalesLines!P4290)</x:f>
        <x:v>0</x:v>
      </x:c>
      <x:c r="K1745" s="11" t="n">
        <x:f>SUM(SalesLines!R4289,SalesLines!R4290)</x:f>
        <x:v>3</x:v>
      </x:c>
      <x:c r="L1745" s="11" t="n">
        <x:f>SUM(SalesLines!S4289,SalesLines!S4290)</x:f>
        <x:v>0</x:v>
      </x:c>
      <x:c r="M1745" s="8" t="n">
        <x:f>DATE(YEAR(C1745),MONTH(C1745),1)</x:f>
        <x:v>45717</x:v>
      </x:c>
    </x:row>
    <x:row r="1746" ht="22" customHeight="1">
      <x:c r="A1746" s="2" t="str">
        <x:v>O01742</x:v>
      </x:c>
      <x:c r="B1746" s="2" t="str">
        <x:v>C0214</x:v>
      </x:c>
      <x:c r="C1746" s="7" t="n">
        <x:v>45924</x:v>
      </x:c>
      <x:c r="D1746" s="2" t="str">
        <x:v>Completed</x:v>
      </x:c>
      <x:c r="E1746" s="2" t="str">
        <x:v>West</x:v>
      </x:c>
      <x:c r="F1746" s="2" t="str">
        <x:v>Store</x:v>
      </x:c>
      <x:c r="G1746" s="9" t="n">
        <x:f>SUM(SalesLines!Q4291,SalesLines!Q4292,SalesLines!Q4293,SalesLines!Q4294)</x:f>
        <x:v>514.2</x:v>
      </x:c>
      <x:c r="H1746" s="9" t="n">
        <x:f>SUM(SalesLines!M4291,SalesLines!M4292,SalesLines!M4293,SalesLines!M4294)</x:f>
        <x:v>1118</x:v>
      </x:c>
      <x:c r="I1746" s="9" t="n">
        <x:f>SUM(SalesLines!N4291,SalesLines!N4292,SalesLines!N4293,SalesLines!N4294)</x:f>
        <x:v>177.4</x:v>
      </x:c>
      <x:c r="J1746" s="9" t="n">
        <x:f>SUM(SalesLines!P4291,SalesLines!P4292,SalesLines!P4293,SalesLines!P4294)</x:f>
        <x:v>426.40000000000003</x:v>
      </x:c>
      <x:c r="K1746" s="11" t="n">
        <x:f>SUM(SalesLines!R4291,SalesLines!R4292,SalesLines!R4293,SalesLines!R4294)</x:f>
        <x:v>8</x:v>
      </x:c>
      <x:c r="L1746" s="11" t="n">
        <x:f>SUM(SalesLines!S4291,SalesLines!S4292,SalesLines!S4293,SalesLines!S4294)</x:f>
        <x:v>3</x:v>
      </x:c>
      <x:c r="M1746" s="8" t="n">
        <x:f>DATE(YEAR(C1746),MONTH(C1746),1)</x:f>
        <x:v>45901</x:v>
      </x:c>
    </x:row>
    <x:row r="1747" ht="22" customHeight="1">
      <x:c r="A1747" s="2" t="str">
        <x:v>O01743</x:v>
      </x:c>
      <x:c r="B1747" s="2" t="str">
        <x:v>C0226</x:v>
      </x:c>
      <x:c r="C1747" s="7" t="n">
        <x:v>45823</x:v>
      </x:c>
      <x:c r="D1747" s="2" t="str">
        <x:v>Completed</x:v>
      </x:c>
      <x:c r="E1747" s="2" t="str">
        <x:v>South</x:v>
      </x:c>
      <x:c r="F1747" s="2" t="str">
        <x:v>Store</x:v>
      </x:c>
      <x:c r="G1747" s="9" t="n">
        <x:f>SUM(SalesLines!Q4295,SalesLines!Q4296,SalesLines!Q4297)</x:f>
        <x:v>1547.6</x:v>
      </x:c>
      <x:c r="H1747" s="9" t="n">
        <x:f>SUM(SalesLines!M4295,SalesLines!M4296,SalesLines!M4297)</x:f>
        <x:v>1953</x:v>
      </x:c>
      <x:c r="I1747" s="9" t="n">
        <x:f>SUM(SalesLines!N4295,SalesLines!N4296,SalesLines!N4297)</x:f>
        <x:v>202.20000000000002</x:v>
      </x:c>
      <x:c r="J1747" s="9" t="n">
        <x:f>SUM(SalesLines!P4295,SalesLines!P4296,SalesLines!P4297)</x:f>
        <x:v>203.20000000000002</x:v>
      </x:c>
      <x:c r="K1747" s="11" t="n">
        <x:f>SUM(SalesLines!R4295,SalesLines!R4296,SalesLines!R4297)</x:f>
        <x:v>10</x:v>
      </x:c>
      <x:c r="L1747" s="11" t="n">
        <x:f>SUM(SalesLines!S4295,SalesLines!S4296,SalesLines!S4297)</x:f>
        <x:v>1</x:v>
      </x:c>
      <x:c r="M1747" s="8" t="n">
        <x:f>DATE(YEAR(C1747),MONTH(C1747),1)</x:f>
        <x:v>45809</x:v>
      </x:c>
    </x:row>
    <x:row r="1748" ht="22" customHeight="1">
      <x:c r="A1748" s="2" t="str">
        <x:v>O01744</x:v>
      </x:c>
      <x:c r="B1748" s="2" t="str">
        <x:v>C0191</x:v>
      </x:c>
      <x:c r="C1748" s="7" t="n">
        <x:v>45860</x:v>
      </x:c>
      <x:c r="D1748" s="2" t="str">
        <x:v>Completed</x:v>
      </x:c>
      <x:c r="E1748" s="2" t="str">
        <x:v>North</x:v>
      </x:c>
      <x:c r="F1748" s="2" t="str">
        <x:v>Online</x:v>
      </x:c>
      <x:c r="G1748" s="9" t="n">
        <x:f>SUM(SalesLines!Q4298)</x:f>
        <x:v>685.8</x:v>
      </x:c>
      <x:c r="H1748" s="9" t="n">
        <x:f>SUM(SalesLines!M4298)</x:f>
        <x:v>762</x:v>
      </x:c>
      <x:c r="I1748" s="9" t="n">
        <x:f>SUM(SalesLines!N4298)</x:f>
        <x:v>76.2</x:v>
      </x:c>
      <x:c r="J1748" s="9" t="n">
        <x:f>SUM(SalesLines!P4298)</x:f>
        <x:v>0</x:v>
      </x:c>
      <x:c r="K1748" s="11" t="n">
        <x:f>SUM(SalesLines!R4298)</x:f>
        <x:v>3</x:v>
      </x:c>
      <x:c r="L1748" s="11" t="n">
        <x:f>SUM(SalesLines!S4298)</x:f>
        <x:v>0</x:v>
      </x:c>
      <x:c r="M1748" s="8" t="n">
        <x:f>DATE(YEAR(C1748),MONTH(C1748),1)</x:f>
        <x:v>45839</x:v>
      </x:c>
    </x:row>
    <x:row r="1749" ht="22" customHeight="1">
      <x:c r="A1749" s="2" t="str">
        <x:v>O01745</x:v>
      </x:c>
      <x:c r="B1749" s="2" t="str">
        <x:v>C0101</x:v>
      </x:c>
      <x:c r="C1749" s="7" t="n">
        <x:v>45783</x:v>
      </x:c>
      <x:c r="D1749" s="2" t="str">
        <x:v>Cancelled</x:v>
      </x:c>
      <x:c r="E1749" s="2" t="str">
        <x:v>South</x:v>
      </x:c>
      <x:c r="F1749" s="2" t="str">
        <x:v>Store</x:v>
      </x:c>
      <x:c r="G1749" s="9" t="n">
        <x:f>SUM(SalesLines!Q4299)</x:f>
        <x:v>0</x:v>
      </x:c>
      <x:c r="H1749" s="9" t="n">
        <x:f>SUM(SalesLines!M4299)</x:f>
        <x:v>0</x:v>
      </x:c>
      <x:c r="I1749" s="9" t="n">
        <x:f>SUM(SalesLines!N4299)</x:f>
        <x:v>0</x:v>
      </x:c>
      <x:c r="J1749" s="9" t="n">
        <x:f>SUM(SalesLines!P4299)</x:f>
        <x:v>0</x:v>
      </x:c>
      <x:c r="K1749" s="11" t="n">
        <x:f>SUM(SalesLines!R4299)</x:f>
        <x:v>0</x:v>
      </x:c>
      <x:c r="L1749" s="11" t="n">
        <x:f>SUM(SalesLines!S4299)</x:f>
        <x:v>0</x:v>
      </x:c>
      <x:c r="M1749" s="8" t="n">
        <x:f>DATE(YEAR(C1749),MONTH(C1749),1)</x:f>
        <x:v>45778</x:v>
      </x:c>
    </x:row>
    <x:row r="1750" ht="22" customHeight="1">
      <x:c r="A1750" s="2" t="str">
        <x:v>O01746</x:v>
      </x:c>
      <x:c r="B1750" s="2" t="str">
        <x:v>C0237</x:v>
      </x:c>
      <x:c r="C1750" s="7" t="n">
        <x:v>45781</x:v>
      </x:c>
      <x:c r="D1750" s="2" t="str">
        <x:v>Completed</x:v>
      </x:c>
      <x:c r="E1750" s="2" t="str">
        <x:v>South</x:v>
      </x:c>
      <x:c r="F1750" s="2" t="str">
        <x:v>Store</x:v>
      </x:c>
      <x:c r="G1750" s="9" t="n">
        <x:f>SUM(SalesLines!Q4300,SalesLines!Q4301)</x:f>
        <x:v>291.2</x:v>
      </x:c>
      <x:c r="H1750" s="9" t="n">
        <x:f>SUM(SalesLines!M4300,SalesLines!M4301)</x:f>
        <x:v>415</x:v>
      </x:c>
      <x:c r="I1750" s="9" t="n">
        <x:f>SUM(SalesLines!N4300,SalesLines!N4301)</x:f>
        <x:v>55.800000000000004</x:v>
      </x:c>
      <x:c r="J1750" s="9" t="n">
        <x:f>SUM(SalesLines!P4300,SalesLines!P4301)</x:f>
        <x:v>68</x:v>
      </x:c>
      <x:c r="K1750" s="11" t="n">
        <x:f>SUM(SalesLines!R4300,SalesLines!R4301)</x:f>
        <x:v>5</x:v>
      </x:c>
      <x:c r="L1750" s="11" t="n">
        <x:f>SUM(SalesLines!S4300,SalesLines!S4301)</x:f>
        <x:v>1</x:v>
      </x:c>
      <x:c r="M1750" s="8" t="n">
        <x:f>DATE(YEAR(C1750),MONTH(C1750),1)</x:f>
        <x:v>45778</x:v>
      </x:c>
    </x:row>
    <x:row r="1751" ht="22" customHeight="1">
      <x:c r="A1751" s="2" t="str">
        <x:v>O01747</x:v>
      </x:c>
      <x:c r="B1751" s="2" t="str">
        <x:v>C0138</x:v>
      </x:c>
      <x:c r="C1751" s="7" t="n">
        <x:v>45847</x:v>
      </x:c>
      <x:c r="D1751" s="2" t="str">
        <x:v>Completed</x:v>
      </x:c>
      <x:c r="E1751" s="2" t="str">
        <x:v>South</x:v>
      </x:c>
      <x:c r="F1751" s="2" t="str">
        <x:v>Store</x:v>
      </x:c>
      <x:c r="G1751" s="9" t="n">
        <x:f>SUM(SalesLines!Q4302,SalesLines!Q4303,SalesLines!Q4304)</x:f>
        <x:v>2146.2</x:v>
      </x:c>
      <x:c r="H1751" s="9" t="n">
        <x:f>SUM(SalesLines!M4302,SalesLines!M4303,SalesLines!M4304)</x:f>
        <x:v>2243</x:v>
      </x:c>
      <x:c r="I1751" s="9" t="n">
        <x:f>SUM(SalesLines!N4302,SalesLines!N4303,SalesLines!N4304)</x:f>
        <x:v>96.80000000000001</x:v>
      </x:c>
      <x:c r="J1751" s="9" t="n">
        <x:f>SUM(SalesLines!P4302,SalesLines!P4303,SalesLines!P4304)</x:f>
        <x:v>0</x:v>
      </x:c>
      <x:c r="K1751" s="11" t="n">
        <x:f>SUM(SalesLines!R4302,SalesLines!R4303,SalesLines!R4304)</x:f>
        <x:v>13</x:v>
      </x:c>
      <x:c r="L1751" s="11" t="n">
        <x:f>SUM(SalesLines!S4302,SalesLines!S4303,SalesLines!S4304)</x:f>
        <x:v>0</x:v>
      </x:c>
      <x:c r="M1751" s="8" t="n">
        <x:f>DATE(YEAR(C1751),MONTH(C1751),1)</x:f>
        <x:v>45839</x:v>
      </x:c>
    </x:row>
    <x:row r="1752" ht="22" customHeight="1">
      <x:c r="A1752" s="2" t="str">
        <x:v>O01748</x:v>
      </x:c>
      <x:c r="B1752" s="2" t="str">
        <x:v>C0215</x:v>
      </x:c>
      <x:c r="C1752" s="7" t="n">
        <x:v>45909</x:v>
      </x:c>
      <x:c r="D1752" s="2" t="str">
        <x:v>Cancelled</x:v>
      </x:c>
      <x:c r="E1752" s="2" t="str">
        <x:v>North</x:v>
      </x:c>
      <x:c r="F1752" s="2" t="str">
        <x:v>Online</x:v>
      </x:c>
      <x:c r="G1752" s="9" t="n">
        <x:f>SUM(SalesLines!Q4305)</x:f>
        <x:v>0</x:v>
      </x:c>
      <x:c r="H1752" s="9" t="n">
        <x:f>SUM(SalesLines!M4305)</x:f>
        <x:v>0</x:v>
      </x:c>
      <x:c r="I1752" s="9" t="n">
        <x:f>SUM(SalesLines!N4305)</x:f>
        <x:v>0</x:v>
      </x:c>
      <x:c r="J1752" s="9" t="n">
        <x:f>SUM(SalesLines!P4305)</x:f>
        <x:v>0</x:v>
      </x:c>
      <x:c r="K1752" s="11" t="n">
        <x:f>SUM(SalesLines!R4305)</x:f>
        <x:v>0</x:v>
      </x:c>
      <x:c r="L1752" s="11" t="n">
        <x:f>SUM(SalesLines!S4305)</x:f>
        <x:v>0</x:v>
      </x:c>
      <x:c r="M1752" s="8" t="n">
        <x:f>DATE(YEAR(C1752),MONTH(C1752),1)</x:f>
        <x:v>45901</x:v>
      </x:c>
    </x:row>
    <x:row r="1753" ht="22" customHeight="1">
      <x:c r="A1753" s="2" t="str">
        <x:v>O01749</x:v>
      </x:c>
      <x:c r="B1753" s="2" t="str">
        <x:v>C0265</x:v>
      </x:c>
      <x:c r="C1753" s="7" t="n">
        <x:v>45801</x:v>
      </x:c>
      <x:c r="D1753" s="2" t="str">
        <x:v>Cancelled</x:v>
      </x:c>
      <x:c r="E1753" s="2" t="str">
        <x:v>West</x:v>
      </x:c>
      <x:c r="F1753" s="2" t="str">
        <x:v>Online</x:v>
      </x:c>
      <x:c r="G1753" s="9" t="n">
        <x:f>SUM(SalesLines!Q4306,SalesLines!Q4307,SalesLines!Q4308)</x:f>
        <x:v>0</x:v>
      </x:c>
      <x:c r="H1753" s="9" t="n">
        <x:f>SUM(SalesLines!M4306,SalesLines!M4307,SalesLines!M4308)</x:f>
        <x:v>0</x:v>
      </x:c>
      <x:c r="I1753" s="9" t="n">
        <x:f>SUM(SalesLines!N4306,SalesLines!N4307,SalesLines!N4308)</x:f>
        <x:v>0</x:v>
      </x:c>
      <x:c r="J1753" s="9" t="n">
        <x:f>SUM(SalesLines!P4306,SalesLines!P4307,SalesLines!P4308)</x:f>
        <x:v>0</x:v>
      </x:c>
      <x:c r="K1753" s="11" t="n">
        <x:f>SUM(SalesLines!R4306,SalesLines!R4307,SalesLines!R4308)</x:f>
        <x:v>0</x:v>
      </x:c>
      <x:c r="L1753" s="11" t="n">
        <x:f>SUM(SalesLines!S4306,SalesLines!S4307,SalesLines!S4308)</x:f>
        <x:v>0</x:v>
      </x:c>
      <x:c r="M1753" s="8" t="n">
        <x:f>DATE(YEAR(C1753),MONTH(C1753),1)</x:f>
        <x:v>45778</x:v>
      </x:c>
    </x:row>
    <x:row r="1754" ht="22" customHeight="1">
      <x:c r="A1754" s="2" t="str">
        <x:v>O01750</x:v>
      </x:c>
      <x:c r="B1754" s="2" t="str">
        <x:v>C0124</x:v>
      </x:c>
      <x:c r="C1754" s="7" t="n">
        <x:v>45984</x:v>
      </x:c>
      <x:c r="D1754" s="2" t="str">
        <x:v>Completed</x:v>
      </x:c>
      <x:c r="E1754" s="2" t="str">
        <x:v>East</x:v>
      </x:c>
      <x:c r="F1754" s="2" t="str">
        <x:v>Store</x:v>
      </x:c>
      <x:c r="G1754" s="9" t="n">
        <x:f>SUM(SalesLines!Q4309,SalesLines!Q4310,SalesLines!Q4311)</x:f>
        <x:v>589.2</x:v>
      </x:c>
      <x:c r="H1754" s="9" t="n">
        <x:f>SUM(SalesLines!M4309,SalesLines!M4310,SalesLines!M4311)</x:f>
        <x:v>927</x:v>
      </x:c>
      <x:c r="I1754" s="9" t="n">
        <x:f>SUM(SalesLines!N4309,SalesLines!N4310,SalesLines!N4311)</x:f>
        <x:v>118.35000000000001</x:v>
      </x:c>
      <x:c r="J1754" s="9" t="n">
        <x:f>SUM(SalesLines!P4309,SalesLines!P4310,SalesLines!P4311)</x:f>
        <x:v>219.45</x:v>
      </x:c>
      <x:c r="K1754" s="11" t="n">
        <x:f>SUM(SalesLines!R4309,SalesLines!R4310,SalesLines!R4311)</x:f>
        <x:v>9</x:v>
      </x:c>
      <x:c r="L1754" s="11" t="n">
        <x:f>SUM(SalesLines!S4309,SalesLines!S4310,SalesLines!S4311)</x:f>
        <x:v>1</x:v>
      </x:c>
      <x:c r="M1754" s="8" t="n">
        <x:f>DATE(YEAR(C1754),MONTH(C1754),1)</x:f>
        <x:v>45962</x:v>
      </x:c>
    </x:row>
    <x:row r="1755" ht="22" customHeight="1">
      <x:c r="A1755" s="2" t="str">
        <x:v>O01751</x:v>
      </x:c>
      <x:c r="B1755" s="2" t="str">
        <x:v>C0041</x:v>
      </x:c>
      <x:c r="C1755" s="7" t="n">
        <x:v>45836</x:v>
      </x:c>
      <x:c r="D1755" s="2" t="str">
        <x:v>Completed</x:v>
      </x:c>
      <x:c r="E1755" s="2" t="str">
        <x:v>West</x:v>
      </x:c>
      <x:c r="F1755" s="2" t="str">
        <x:v>Store</x:v>
      </x:c>
      <x:c r="G1755" s="9" t="n">
        <x:f>SUM(SalesLines!Q4312,SalesLines!Q4313,SalesLines!Q4314)</x:f>
        <x:v>870.6</x:v>
      </x:c>
      <x:c r="H1755" s="9" t="n">
        <x:f>SUM(SalesLines!M4312,SalesLines!M4313,SalesLines!M4314)</x:f>
        <x:v>1012</x:v>
      </x:c>
      <x:c r="I1755" s="9" t="n">
        <x:f>SUM(SalesLines!N4312,SalesLines!N4313,SalesLines!N4314)</x:f>
        <x:v>141.4</x:v>
      </x:c>
      <x:c r="J1755" s="9" t="n">
        <x:f>SUM(SalesLines!P4312,SalesLines!P4313,SalesLines!P4314)</x:f>
        <x:v>0</x:v>
      </x:c>
      <x:c r="K1755" s="11" t="n">
        <x:f>SUM(SalesLines!R4312,SalesLines!R4313,SalesLines!R4314)</x:f>
        <x:v>8</x:v>
      </x:c>
      <x:c r="L1755" s="11" t="n">
        <x:f>SUM(SalesLines!S4312,SalesLines!S4313,SalesLines!S4314)</x:f>
        <x:v>0</x:v>
      </x:c>
      <x:c r="M1755" s="8" t="n">
        <x:f>DATE(YEAR(C1755),MONTH(C1755),1)</x:f>
        <x:v>45809</x:v>
      </x:c>
    </x:row>
    <x:row r="1756" ht="22" customHeight="1">
      <x:c r="A1756" s="2" t="str">
        <x:v>O01752</x:v>
      </x:c>
      <x:c r="B1756" s="2" t="str">
        <x:v>C0267</x:v>
      </x:c>
      <x:c r="C1756" s="7" t="n">
        <x:v>45844</x:v>
      </x:c>
      <x:c r="D1756" s="2" t="str">
        <x:v>Completed</x:v>
      </x:c>
      <x:c r="E1756" s="2" t="str">
        <x:v>West</x:v>
      </x:c>
      <x:c r="F1756" s="2" t="str">
        <x:v>Store</x:v>
      </x:c>
      <x:c r="G1756" s="9" t="n">
        <x:f>SUM(SalesLines!Q4315,SalesLines!Q4316,SalesLines!Q4317)</x:f>
        <x:v>1385.45</x:v>
      </x:c>
      <x:c r="H1756" s="9" t="n">
        <x:f>SUM(SalesLines!M4315,SalesLines!M4316,SalesLines!M4317)</x:f>
        <x:v>1457</x:v>
      </x:c>
      <x:c r="I1756" s="9" t="n">
        <x:f>SUM(SalesLines!N4315,SalesLines!N4316,SalesLines!N4317)</x:f>
        <x:v>71.55</x:v>
      </x:c>
      <x:c r="J1756" s="9" t="n">
        <x:f>SUM(SalesLines!P4315,SalesLines!P4316,SalesLines!P4317)</x:f>
        <x:v>0</x:v>
      </x:c>
      <x:c r="K1756" s="11" t="n">
        <x:f>SUM(SalesLines!R4315,SalesLines!R4316,SalesLines!R4317)</x:f>
        <x:v>9</x:v>
      </x:c>
      <x:c r="L1756" s="11" t="n">
        <x:f>SUM(SalesLines!S4315,SalesLines!S4316,SalesLines!S4317)</x:f>
        <x:v>0</x:v>
      </x:c>
      <x:c r="M1756" s="8" t="n">
        <x:f>DATE(YEAR(C1756),MONTH(C1756),1)</x:f>
        <x:v>45839</x:v>
      </x:c>
    </x:row>
    <x:row r="1757" ht="22" customHeight="1">
      <x:c r="A1757" s="2" t="str">
        <x:v>O01753</x:v>
      </x:c>
      <x:c r="B1757" s="2" t="str">
        <x:v>C0227</x:v>
      </x:c>
      <x:c r="C1757" s="7" t="n">
        <x:v>45920</x:v>
      </x:c>
      <x:c r="D1757" s="2" t="str">
        <x:v>Completed</x:v>
      </x:c>
      <x:c r="E1757" s="2" t="str">
        <x:v>East</x:v>
      </x:c>
      <x:c r="F1757" s="2" t="str">
        <x:v>Online</x:v>
      </x:c>
      <x:c r="G1757" s="9" t="n">
        <x:f>SUM(SalesLines!Q4318,SalesLines!Q4319)</x:f>
        <x:v>1043</x:v>
      </x:c>
      <x:c r="H1757" s="9" t="n">
        <x:f>SUM(SalesLines!M4318,SalesLines!M4319)</x:f>
        <x:v>1043</x:v>
      </x:c>
      <x:c r="I1757" s="9" t="n">
        <x:f>SUM(SalesLines!N4318,SalesLines!N4319)</x:f>
        <x:v>0</x:v>
      </x:c>
      <x:c r="J1757" s="9" t="n">
        <x:f>SUM(SalesLines!P4318,SalesLines!P4319)</x:f>
        <x:v>0</x:v>
      </x:c>
      <x:c r="K1757" s="11" t="n">
        <x:f>SUM(SalesLines!R4318,SalesLines!R4319)</x:f>
        <x:v>5</x:v>
      </x:c>
      <x:c r="L1757" s="11" t="n">
        <x:f>SUM(SalesLines!S4318,SalesLines!S4319)</x:f>
        <x:v>0</x:v>
      </x:c>
      <x:c r="M1757" s="8" t="n">
        <x:f>DATE(YEAR(C1757),MONTH(C1757),1)</x:f>
        <x:v>45901</x:v>
      </x:c>
    </x:row>
    <x:row r="1758" ht="22" customHeight="1">
      <x:c r="A1758" s="2" t="str">
        <x:v>O01754</x:v>
      </x:c>
      <x:c r="B1758" s="2" t="str">
        <x:v>C0287</x:v>
      </x:c>
      <x:c r="C1758" s="7" t="n">
        <x:v>46009</x:v>
      </x:c>
      <x:c r="D1758" s="2" t="str">
        <x:v>Completed</x:v>
      </x:c>
      <x:c r="E1758" s="2" t="str">
        <x:v>South</x:v>
      </x:c>
      <x:c r="F1758" s="2" t="str">
        <x:v>Store</x:v>
      </x:c>
      <x:c r="G1758" s="9" t="n">
        <x:f>SUM(SalesLines!Q4320,SalesLines!Q4321)</x:f>
        <x:v>452.75</x:v>
      </x:c>
      <x:c r="H1758" s="9" t="n">
        <x:f>SUM(SalesLines!M4320,SalesLines!M4321)</x:f>
        <x:v>473</x:v>
      </x:c>
      <x:c r="I1758" s="9" t="n">
        <x:f>SUM(SalesLines!N4320,SalesLines!N4321)</x:f>
        <x:v>20.25</x:v>
      </x:c>
      <x:c r="J1758" s="9" t="n">
        <x:f>SUM(SalesLines!P4320,SalesLines!P4321)</x:f>
        <x:v>0</x:v>
      </x:c>
      <x:c r="K1758" s="11" t="n">
        <x:f>SUM(SalesLines!R4320,SalesLines!R4321)</x:f>
        <x:v>6</x:v>
      </x:c>
      <x:c r="L1758" s="11" t="n">
        <x:f>SUM(SalesLines!S4320,SalesLines!S4321)</x:f>
        <x:v>0</x:v>
      </x:c>
      <x:c r="M1758" s="8" t="n">
        <x:f>DATE(YEAR(C1758),MONTH(C1758),1)</x:f>
        <x:v>45992</x:v>
      </x:c>
    </x:row>
    <x:row r="1759" ht="22" customHeight="1">
      <x:c r="A1759" s="2" t="str">
        <x:v>O01755</x:v>
      </x:c>
      <x:c r="B1759" s="2" t="str">
        <x:v>C0232</x:v>
      </x:c>
      <x:c r="C1759" s="7" t="n">
        <x:v>45838</x:v>
      </x:c>
      <x:c r="D1759" s="2" t="str">
        <x:v>Completed</x:v>
      </x:c>
      <x:c r="E1759" s="2" t="str">
        <x:v>East</x:v>
      </x:c>
      <x:c r="F1759" s="2" t="str">
        <x:v>Online</x:v>
      </x:c>
      <x:c r="G1759" s="9" t="n">
        <x:f>SUM(SalesLines!Q4322,SalesLines!Q4323)</x:f>
        <x:v>1465.2</x:v>
      </x:c>
      <x:c r="H1759" s="9" t="n">
        <x:f>SUM(SalesLines!M4322,SalesLines!M4323)</x:f>
        <x:v>1514</x:v>
      </x:c>
      <x:c r="I1759" s="9" t="n">
        <x:f>SUM(SalesLines!N4322,SalesLines!N4323)</x:f>
        <x:v>48.800000000000004</x:v>
      </x:c>
      <x:c r="J1759" s="9" t="n">
        <x:f>SUM(SalesLines!P4322,SalesLines!P4323)</x:f>
        <x:v>0</x:v>
      </x:c>
      <x:c r="K1759" s="11" t="n">
        <x:f>SUM(SalesLines!R4322,SalesLines!R4323)</x:f>
        <x:v>7</x:v>
      </x:c>
      <x:c r="L1759" s="11" t="n">
        <x:f>SUM(SalesLines!S4322,SalesLines!S4323)</x:f>
        <x:v>0</x:v>
      </x:c>
      <x:c r="M1759" s="8" t="n">
        <x:f>DATE(YEAR(C1759),MONTH(C1759),1)</x:f>
        <x:v>45809</x:v>
      </x:c>
    </x:row>
    <x:row r="1760" ht="22" customHeight="1">
      <x:c r="A1760" s="2" t="str">
        <x:v>O01756</x:v>
      </x:c>
      <x:c r="B1760" s="2" t="str">
        <x:v>C0202</x:v>
      </x:c>
      <x:c r="C1760" s="7" t="n">
        <x:v>45991</x:v>
      </x:c>
      <x:c r="D1760" s="2" t="str">
        <x:v>Completed</x:v>
      </x:c>
      <x:c r="E1760" s="2" t="str">
        <x:v>South</x:v>
      </x:c>
      <x:c r="F1760" s="2" t="str">
        <x:v>Online</x:v>
      </x:c>
      <x:c r="G1760" s="9" t="n">
        <x:f>SUM(SalesLines!Q4324,SalesLines!Q4325,SalesLines!Q4326)</x:f>
        <x:v>1795.4</x:v>
      </x:c>
      <x:c r="H1760" s="9" t="n">
        <x:f>SUM(SalesLines!M4324,SalesLines!M4325,SalesLines!M4326)</x:f>
        <x:v>1849</x:v>
      </x:c>
      <x:c r="I1760" s="9" t="n">
        <x:f>SUM(SalesLines!N4324,SalesLines!N4325,SalesLines!N4326)</x:f>
        <x:v>53.6</x:v>
      </x:c>
      <x:c r="J1760" s="9" t="n">
        <x:f>SUM(SalesLines!P4324,SalesLines!P4325,SalesLines!P4326)</x:f>
        <x:v>0</x:v>
      </x:c>
      <x:c r="K1760" s="11" t="n">
        <x:f>SUM(SalesLines!R4324,SalesLines!R4325,SalesLines!R4326)</x:f>
        <x:v>11</x:v>
      </x:c>
      <x:c r="L1760" s="11" t="n">
        <x:f>SUM(SalesLines!S4324,SalesLines!S4325,SalesLines!S4326)</x:f>
        <x:v>0</x:v>
      </x:c>
      <x:c r="M1760" s="8" t="n">
        <x:f>DATE(YEAR(C1760),MONTH(C1760),1)</x:f>
        <x:v>45962</x:v>
      </x:c>
    </x:row>
    <x:row r="1761" ht="22" customHeight="1">
      <x:c r="A1761" s="2" t="str">
        <x:v>O01757</x:v>
      </x:c>
      <x:c r="B1761" s="2" t="str">
        <x:v>C0127</x:v>
      </x:c>
      <x:c r="C1761" s="7" t="n">
        <x:v>45787</x:v>
      </x:c>
      <x:c r="D1761" s="2" t="str">
        <x:v>Completed</x:v>
      </x:c>
      <x:c r="E1761" s="2" t="str">
        <x:v>East</x:v>
      </x:c>
      <x:c r="F1761" s="2" t="str">
        <x:v>Store</x:v>
      </x:c>
      <x:c r="G1761" s="9" t="n">
        <x:f>SUM(SalesLines!Q4327)</x:f>
        <x:v>844</x:v>
      </x:c>
      <x:c r="H1761" s="9" t="n">
        <x:f>SUM(SalesLines!M4327)</x:f>
        <x:v>844</x:v>
      </x:c>
      <x:c r="I1761" s="9" t="n">
        <x:f>SUM(SalesLines!N4327)</x:f>
        <x:v>0</x:v>
      </x:c>
      <x:c r="J1761" s="9" t="n">
        <x:f>SUM(SalesLines!P4327)</x:f>
        <x:v>0</x:v>
      </x:c>
      <x:c r="K1761" s="11" t="n">
        <x:f>SUM(SalesLines!R4327)</x:f>
        <x:v>4</x:v>
      </x:c>
      <x:c r="L1761" s="11" t="n">
        <x:f>SUM(SalesLines!S4327)</x:f>
        <x:v>0</x:v>
      </x:c>
      <x:c r="M1761" s="8" t="n">
        <x:f>DATE(YEAR(C1761),MONTH(C1761),1)</x:f>
        <x:v>45778</x:v>
      </x:c>
    </x:row>
    <x:row r="1762" ht="22" customHeight="1">
      <x:c r="A1762" s="2" t="str">
        <x:v>O01758</x:v>
      </x:c>
      <x:c r="B1762" s="2" t="str">
        <x:v>C0167</x:v>
      </x:c>
      <x:c r="C1762" s="7" t="n">
        <x:v>46011</x:v>
      </x:c>
      <x:c r="D1762" s="2" t="str">
        <x:v>Cancelled</x:v>
      </x:c>
      <x:c r="E1762" s="2" t="str">
        <x:v>West</x:v>
      </x:c>
      <x:c r="F1762" s="2" t="str">
        <x:v>Store</x:v>
      </x:c>
      <x:c r="G1762" s="9" t="n">
        <x:f>SUM(SalesLines!Q4328,SalesLines!Q4329,SalesLines!Q4330)</x:f>
        <x:v>0</x:v>
      </x:c>
      <x:c r="H1762" s="9" t="n">
        <x:f>SUM(SalesLines!M4328,SalesLines!M4329,SalesLines!M4330)</x:f>
        <x:v>0</x:v>
      </x:c>
      <x:c r="I1762" s="9" t="n">
        <x:f>SUM(SalesLines!N4328,SalesLines!N4329,SalesLines!N4330)</x:f>
        <x:v>0</x:v>
      </x:c>
      <x:c r="J1762" s="9" t="n">
        <x:f>SUM(SalesLines!P4328,SalesLines!P4329,SalesLines!P4330)</x:f>
        <x:v>0</x:v>
      </x:c>
      <x:c r="K1762" s="11" t="n">
        <x:f>SUM(SalesLines!R4328,SalesLines!R4329,SalesLines!R4330)</x:f>
        <x:v>0</x:v>
      </x:c>
      <x:c r="L1762" s="11" t="n">
        <x:f>SUM(SalesLines!S4328,SalesLines!S4329,SalesLines!S4330)</x:f>
        <x:v>0</x:v>
      </x:c>
      <x:c r="M1762" s="8" t="n">
        <x:f>DATE(YEAR(C1762),MONTH(C1762),1)</x:f>
        <x:v>45992</x:v>
      </x:c>
    </x:row>
    <x:row r="1763" ht="22" customHeight="1">
      <x:c r="A1763" s="2" t="str">
        <x:v>O01759</x:v>
      </x:c>
      <x:c r="B1763" s="2" t="str">
        <x:v>C0288</x:v>
      </x:c>
      <x:c r="C1763" s="7" t="n">
        <x:v>45966</x:v>
      </x:c>
      <x:c r="D1763" s="2" t="str">
        <x:v>Completed</x:v>
      </x:c>
      <x:c r="E1763" s="2" t="str">
        <x:v>East</x:v>
      </x:c>
      <x:c r="F1763" s="2" t="str">
        <x:v>Store</x:v>
      </x:c>
      <x:c r="G1763" s="9" t="n">
        <x:f>SUM(SalesLines!Q4331,SalesLines!Q4332,SalesLines!Q4333,SalesLines!Q4334)</x:f>
        <x:v>1714.1</x:v>
      </x:c>
      <x:c r="H1763" s="9" t="n">
        <x:f>SUM(SalesLines!M4331,SalesLines!M4332,SalesLines!M4333,SalesLines!M4334)</x:f>
        <x:v>2457</x:v>
      </x:c>
      <x:c r="I1763" s="9" t="n">
        <x:f>SUM(SalesLines!N4331,SalesLines!N4332,SalesLines!N4333,SalesLines!N4334)</x:f>
        <x:v>231.70000000000002</x:v>
      </x:c>
      <x:c r="J1763" s="9" t="n">
        <x:f>SUM(SalesLines!P4331,SalesLines!P4332,SalesLines!P4333,SalesLines!P4334)</x:f>
        <x:v>511.2</x:v>
      </x:c>
      <x:c r="K1763" s="11" t="n">
        <x:f>SUM(SalesLines!R4331,SalesLines!R4332,SalesLines!R4333,SalesLines!R4334)</x:f>
        <x:v>14</x:v>
      </x:c>
      <x:c r="L1763" s="11" t="n">
        <x:f>SUM(SalesLines!S4331,SalesLines!S4332,SalesLines!S4333,SalesLines!S4334)</x:f>
        <x:v>2</x:v>
      </x:c>
      <x:c r="M1763" s="8" t="n">
        <x:f>DATE(YEAR(C1763),MONTH(C1763),1)</x:f>
        <x:v>45962</x:v>
      </x:c>
    </x:row>
    <x:row r="1764" ht="22" customHeight="1">
      <x:c r="A1764" s="2" t="str">
        <x:v>O01760</x:v>
      </x:c>
      <x:c r="B1764" s="2" t="str">
        <x:v>C0174</x:v>
      </x:c>
      <x:c r="C1764" s="7" t="n">
        <x:v>45938</x:v>
      </x:c>
      <x:c r="D1764" s="2" t="str">
        <x:v>Completed</x:v>
      </x:c>
      <x:c r="E1764" s="2" t="str">
        <x:v>South</x:v>
      </x:c>
      <x:c r="F1764" s="2" t="str">
        <x:v>Online</x:v>
      </x:c>
      <x:c r="G1764" s="9" t="n">
        <x:f>SUM(SalesLines!Q4335,SalesLines!Q4336)</x:f>
        <x:v>372.2</x:v>
      </x:c>
      <x:c r="H1764" s="9" t="n">
        <x:f>SUM(SalesLines!M4335,SalesLines!M4336)</x:f>
        <x:v>382</x:v>
      </x:c>
      <x:c r="I1764" s="9" t="n">
        <x:f>SUM(SalesLines!N4335,SalesLines!N4336)</x:f>
        <x:v>9.8</x:v>
      </x:c>
      <x:c r="J1764" s="9" t="n">
        <x:f>SUM(SalesLines!P4335,SalesLines!P4336)</x:f>
        <x:v>0</x:v>
      </x:c>
      <x:c r="K1764" s="11" t="n">
        <x:f>SUM(SalesLines!R4335,SalesLines!R4336)</x:f>
        <x:v>3</x:v>
      </x:c>
      <x:c r="L1764" s="11" t="n">
        <x:f>SUM(SalesLines!S4335,SalesLines!S4336)</x:f>
        <x:v>0</x:v>
      </x:c>
      <x:c r="M1764" s="8" t="n">
        <x:f>DATE(YEAR(C1764),MONTH(C1764),1)</x:f>
        <x:v>45931</x:v>
      </x:c>
    </x:row>
    <x:row r="1765" ht="22" customHeight="1">
      <x:c r="A1765" s="2" t="str">
        <x:v>O01761</x:v>
      </x:c>
      <x:c r="B1765" s="2" t="str">
        <x:v>C0058</x:v>
      </x:c>
      <x:c r="C1765" s="7" t="n">
        <x:v>45674</x:v>
      </x:c>
      <x:c r="D1765" s="2" t="str">
        <x:v>Completed</x:v>
      </x:c>
      <x:c r="E1765" s="2" t="str">
        <x:v>North</x:v>
      </x:c>
      <x:c r="F1765" s="2" t="str">
        <x:v>Store</x:v>
      </x:c>
      <x:c r="G1765" s="9" t="n">
        <x:f>SUM(SalesLines!Q4337,SalesLines!Q4338)</x:f>
        <x:v>634.4</x:v>
      </x:c>
      <x:c r="H1765" s="9" t="n">
        <x:f>SUM(SalesLines!M4337,SalesLines!M4338)</x:f>
        <x:v>793</x:v>
      </x:c>
      <x:c r="I1765" s="9" t="n">
        <x:f>SUM(SalesLines!N4337,SalesLines!N4338)</x:f>
        <x:v>158.60000000000002</x:v>
      </x:c>
      <x:c r="J1765" s="9" t="n">
        <x:f>SUM(SalesLines!P4337,SalesLines!P4338)</x:f>
        <x:v>0</x:v>
      </x:c>
      <x:c r="K1765" s="11" t="n">
        <x:f>SUM(SalesLines!R4337,SalesLines!R4338)</x:f>
        <x:v>5</x:v>
      </x:c>
      <x:c r="L1765" s="11" t="n">
        <x:f>SUM(SalesLines!S4337,SalesLines!S4338)</x:f>
        <x:v>0</x:v>
      </x:c>
      <x:c r="M1765" s="8" t="n">
        <x:f>DATE(YEAR(C1765),MONTH(C1765),1)</x:f>
        <x:v>45658</x:v>
      </x:c>
    </x:row>
    <x:row r="1766" ht="22" customHeight="1">
      <x:c r="A1766" s="2" t="str">
        <x:v>O01762</x:v>
      </x:c>
      <x:c r="B1766" s="2" t="str">
        <x:v>C0141</x:v>
      </x:c>
      <x:c r="C1766" s="7" t="n">
        <x:v>45848</x:v>
      </x:c>
      <x:c r="D1766" s="2" t="str">
        <x:v>Completed</x:v>
      </x:c>
      <x:c r="E1766" s="2" t="str">
        <x:v>East</x:v>
      </x:c>
      <x:c r="F1766" s="2" t="str">
        <x:v>Online</x:v>
      </x:c>
      <x:c r="G1766" s="9" t="n">
        <x:f>SUM(SalesLines!Q4339)</x:f>
        <x:v>241.2</x:v>
      </x:c>
      <x:c r="H1766" s="9" t="n">
        <x:f>SUM(SalesLines!M4339)</x:f>
        <x:v>268</x:v>
      </x:c>
      <x:c r="I1766" s="9" t="n">
        <x:f>SUM(SalesLines!N4339)</x:f>
        <x:v>26.8</x:v>
      </x:c>
      <x:c r="J1766" s="9" t="n">
        <x:f>SUM(SalesLines!P4339)</x:f>
        <x:v>0</x:v>
      </x:c>
      <x:c r="K1766" s="11" t="n">
        <x:f>SUM(SalesLines!R4339)</x:f>
        <x:v>2</x:v>
      </x:c>
      <x:c r="L1766" s="11" t="n">
        <x:f>SUM(SalesLines!S4339)</x:f>
        <x:v>0</x:v>
      </x:c>
      <x:c r="M1766" s="8" t="n">
        <x:f>DATE(YEAR(C1766),MONTH(C1766),1)</x:f>
        <x:v>45839</x:v>
      </x:c>
    </x:row>
    <x:row r="1767" ht="22" customHeight="1">
      <x:c r="A1767" s="2" t="str">
        <x:v>O01763</x:v>
      </x:c>
      <x:c r="B1767" s="2" t="str">
        <x:v>C0293</x:v>
      </x:c>
      <x:c r="C1767" s="7" t="n">
        <x:v>45765</x:v>
      </x:c>
      <x:c r="D1767" s="2" t="str">
        <x:v>Completed</x:v>
      </x:c>
      <x:c r="E1767" s="2" t="str">
        <x:v>North</x:v>
      </x:c>
      <x:c r="F1767" s="2" t="str">
        <x:v>Store</x:v>
      </x:c>
      <x:c r="G1767" s="9" t="n">
        <x:f>SUM(SalesLines!Q4340,SalesLines!Q4341,SalesLines!Q4342)</x:f>
        <x:v>2944.7999999999997</x:v>
      </x:c>
      <x:c r="H1767" s="9" t="n">
        <x:f>SUM(SalesLines!M4340,SalesLines!M4341,SalesLines!M4342)</x:f>
        <x:v>3096</x:v>
      </x:c>
      <x:c r="I1767" s="9" t="n">
        <x:f>SUM(SalesLines!N4340,SalesLines!N4341,SalesLines!N4342)</x:f>
        <x:v>151.20000000000002</x:v>
      </x:c>
      <x:c r="J1767" s="9" t="n">
        <x:f>SUM(SalesLines!P4340,SalesLines!P4341,SalesLines!P4342)</x:f>
        <x:v>0</x:v>
      </x:c>
      <x:c r="K1767" s="11" t="n">
        <x:f>SUM(SalesLines!R4340,SalesLines!R4341,SalesLines!R4342)</x:f>
        <x:v>12</x:v>
      </x:c>
      <x:c r="L1767" s="11" t="n">
        <x:f>SUM(SalesLines!S4340,SalesLines!S4341,SalesLines!S4342)</x:f>
        <x:v>0</x:v>
      </x:c>
      <x:c r="M1767" s="8" t="n">
        <x:f>DATE(YEAR(C1767),MONTH(C1767),1)</x:f>
        <x:v>45748</x:v>
      </x:c>
    </x:row>
    <x:row r="1768" ht="22" customHeight="1">
      <x:c r="A1768" s="2" t="str">
        <x:v>O01764</x:v>
      </x:c>
      <x:c r="B1768" s="2" t="str">
        <x:v>C0127</x:v>
      </x:c>
      <x:c r="C1768" s="7" t="n">
        <x:v>45706</x:v>
      </x:c>
      <x:c r="D1768" s="2" t="str">
        <x:v>Completed</x:v>
      </x:c>
      <x:c r="E1768" s="2" t="str">
        <x:v>East</x:v>
      </x:c>
      <x:c r="F1768" s="2" t="str">
        <x:v>Online</x:v>
      </x:c>
      <x:c r="G1768" s="9" t="n">
        <x:f>SUM(SalesLines!Q4343,SalesLines!Q4344,SalesLines!Q4345,SalesLines!Q4346)</x:f>
        <x:v>1688.25</x:v>
      </x:c>
      <x:c r="H1768" s="9" t="n">
        <x:f>SUM(SalesLines!M4343,SalesLines!M4344,SalesLines!M4345,SalesLines!M4346)</x:f>
        <x:v>1735</x:v>
      </x:c>
      <x:c r="I1768" s="9" t="n">
        <x:f>SUM(SalesLines!N4343,SalesLines!N4344,SalesLines!N4345,SalesLines!N4346)</x:f>
        <x:v>46.75</x:v>
      </x:c>
      <x:c r="J1768" s="9" t="n">
        <x:f>SUM(SalesLines!P4343,SalesLines!P4344,SalesLines!P4345,SalesLines!P4346)</x:f>
        <x:v>0</x:v>
      </x:c>
      <x:c r="K1768" s="11" t="n">
        <x:f>SUM(SalesLines!R4343,SalesLines!R4344,SalesLines!R4345,SalesLines!R4346)</x:f>
        <x:v>8</x:v>
      </x:c>
      <x:c r="L1768" s="11" t="n">
        <x:f>SUM(SalesLines!S4343,SalesLines!S4344,SalesLines!S4345,SalesLines!S4346)</x:f>
        <x:v>0</x:v>
      </x:c>
      <x:c r="M1768" s="8" t="n">
        <x:f>DATE(YEAR(C1768),MONTH(C1768),1)</x:f>
        <x:v>45689</x:v>
      </x:c>
    </x:row>
    <x:row r="1769" ht="22" customHeight="1">
      <x:c r="A1769" s="2" t="str">
        <x:v>O01765</x:v>
      </x:c>
      <x:c r="B1769" s="2" t="str">
        <x:v>C0097</x:v>
      </x:c>
      <x:c r="C1769" s="7" t="n">
        <x:v>45672</x:v>
      </x:c>
      <x:c r="D1769" s="2" t="str">
        <x:v>Completed</x:v>
      </x:c>
      <x:c r="E1769" s="2" t="str">
        <x:v>West</x:v>
      </x:c>
      <x:c r="F1769" s="2" t="str">
        <x:v>Online</x:v>
      </x:c>
      <x:c r="G1769" s="9" t="n">
        <x:f>SUM(SalesLines!Q4347,SalesLines!Q4348,SalesLines!Q4349)</x:f>
        <x:v>1493.8</x:v>
      </x:c>
      <x:c r="H1769" s="9" t="n">
        <x:f>SUM(SalesLines!M4347,SalesLines!M4348,SalesLines!M4349)</x:f>
        <x:v>1706</x:v>
      </x:c>
      <x:c r="I1769" s="9" t="n">
        <x:f>SUM(SalesLines!N4347,SalesLines!N4348,SalesLines!N4349)</x:f>
        <x:v>212.2</x:v>
      </x:c>
      <x:c r="J1769" s="9" t="n">
        <x:f>SUM(SalesLines!P4347,SalesLines!P4348,SalesLines!P4349)</x:f>
        <x:v>0</x:v>
      </x:c>
      <x:c r="K1769" s="11" t="n">
        <x:f>SUM(SalesLines!R4347,SalesLines!R4348,SalesLines!R4349)</x:f>
        <x:v>12</x:v>
      </x:c>
      <x:c r="L1769" s="11" t="n">
        <x:f>SUM(SalesLines!S4347,SalesLines!S4348,SalesLines!S4349)</x:f>
        <x:v>0</x:v>
      </x:c>
      <x:c r="M1769" s="8" t="n">
        <x:f>DATE(YEAR(C1769),MONTH(C1769),1)</x:f>
        <x:v>45658</x:v>
      </x:c>
    </x:row>
    <x:row r="1770" ht="22" customHeight="1">
      <x:c r="A1770" s="2" t="str">
        <x:v>O01766</x:v>
      </x:c>
      <x:c r="B1770" s="2" t="str">
        <x:v>C0022</x:v>
      </x:c>
      <x:c r="C1770" s="7" t="n">
        <x:v>45697</x:v>
      </x:c>
      <x:c r="D1770" s="2" t="str">
        <x:v>Cancelled</x:v>
      </x:c>
      <x:c r="E1770" s="2" t="str">
        <x:v>East</x:v>
      </x:c>
      <x:c r="F1770" s="2" t="str">
        <x:v>Store</x:v>
      </x:c>
      <x:c r="G1770" s="9" t="n">
        <x:f>SUM(SalesLines!Q4350,SalesLines!Q4351,SalesLines!Q4352,SalesLines!Q4353)</x:f>
        <x:v>0</x:v>
      </x:c>
      <x:c r="H1770" s="9" t="n">
        <x:f>SUM(SalesLines!M4350,SalesLines!M4351,SalesLines!M4352,SalesLines!M4353)</x:f>
        <x:v>0</x:v>
      </x:c>
      <x:c r="I1770" s="9" t="n">
        <x:f>SUM(SalesLines!N4350,SalesLines!N4351,SalesLines!N4352,SalesLines!N4353)</x:f>
        <x:v>0</x:v>
      </x:c>
      <x:c r="J1770" s="9" t="n">
        <x:f>SUM(SalesLines!P4350,SalesLines!P4351,SalesLines!P4352,SalesLines!P4353)</x:f>
        <x:v>0</x:v>
      </x:c>
      <x:c r="K1770" s="11" t="n">
        <x:f>SUM(SalesLines!R4350,SalesLines!R4351,SalesLines!R4352,SalesLines!R4353)</x:f>
        <x:v>0</x:v>
      </x:c>
      <x:c r="L1770" s="11" t="n">
        <x:f>SUM(SalesLines!S4350,SalesLines!S4351,SalesLines!S4352,SalesLines!S4353)</x:f>
        <x:v>0</x:v>
      </x:c>
      <x:c r="M1770" s="8" t="n">
        <x:f>DATE(YEAR(C1770),MONTH(C1770),1)</x:f>
        <x:v>45689</x:v>
      </x:c>
    </x:row>
    <x:row r="1771" ht="22" customHeight="1">
      <x:c r="A1771" s="2" t="str">
        <x:v>O01767</x:v>
      </x:c>
      <x:c r="B1771" s="2" t="str">
        <x:v>C0131</x:v>
      </x:c>
      <x:c r="C1771" s="7" t="n">
        <x:v>45903</x:v>
      </x:c>
      <x:c r="D1771" s="2" t="str">
        <x:v>Completed</x:v>
      </x:c>
      <x:c r="E1771" s="2" t="str">
        <x:v>West</x:v>
      </x:c>
      <x:c r="F1771" s="2" t="str">
        <x:v>Store</x:v>
      </x:c>
      <x:c r="G1771" s="9" t="n">
        <x:f>SUM(SalesLines!Q4354,SalesLines!Q4355,SalesLines!Q4356,SalesLines!Q4357)</x:f>
        <x:v>2382.2</x:v>
      </x:c>
      <x:c r="H1771" s="9" t="n">
        <x:f>SUM(SalesLines!M4354,SalesLines!M4355,SalesLines!M4356,SalesLines!M4357)</x:f>
        <x:v>2430</x:v>
      </x:c>
      <x:c r="I1771" s="9" t="n">
        <x:f>SUM(SalesLines!N4354,SalesLines!N4355,SalesLines!N4356,SalesLines!N4357)</x:f>
        <x:v>47.800000000000004</x:v>
      </x:c>
      <x:c r="J1771" s="9" t="n">
        <x:f>SUM(SalesLines!P4354,SalesLines!P4355,SalesLines!P4356,SalesLines!P4357)</x:f>
        <x:v>0</x:v>
      </x:c>
      <x:c r="K1771" s="11" t="n">
        <x:f>SUM(SalesLines!R4354,SalesLines!R4355,SalesLines!R4356,SalesLines!R4357)</x:f>
        <x:v>12</x:v>
      </x:c>
      <x:c r="L1771" s="11" t="n">
        <x:f>SUM(SalesLines!S4354,SalesLines!S4355,SalesLines!S4356,SalesLines!S4357)</x:f>
        <x:v>0</x:v>
      </x:c>
      <x:c r="M1771" s="8" t="n">
        <x:f>DATE(YEAR(C1771),MONTH(C1771),1)</x:f>
        <x:v>45901</x:v>
      </x:c>
    </x:row>
    <x:row r="1772" ht="22" customHeight="1">
      <x:c r="A1772" s="2" t="str">
        <x:v>O01768</x:v>
      </x:c>
      <x:c r="B1772" s="2" t="str">
        <x:v>C0300</x:v>
      </x:c>
      <x:c r="C1772" s="7" t="n">
        <x:v>45721</x:v>
      </x:c>
      <x:c r="D1772" s="2" t="str">
        <x:v>Completed</x:v>
      </x:c>
      <x:c r="E1772" s="2" t="str">
        <x:v>West</x:v>
      </x:c>
      <x:c r="F1772" s="2" t="str">
        <x:v>Online</x:v>
      </x:c>
      <x:c r="G1772" s="9" t="n">
        <x:f>SUM(SalesLines!Q4358,SalesLines!Q4359,SalesLines!Q4360)</x:f>
        <x:v>1251.55</x:v>
      </x:c>
      <x:c r="H1772" s="9" t="n">
        <x:f>SUM(SalesLines!M4358,SalesLines!M4359,SalesLines!M4360)</x:f>
        <x:v>1311</x:v>
      </x:c>
      <x:c r="I1772" s="9" t="n">
        <x:f>SUM(SalesLines!N4358,SalesLines!N4359,SalesLines!N4360)</x:f>
        <x:v>59.45</x:v>
      </x:c>
      <x:c r="J1772" s="9" t="n">
        <x:f>SUM(SalesLines!P4358,SalesLines!P4359,SalesLines!P4360)</x:f>
        <x:v>0</x:v>
      </x:c>
      <x:c r="K1772" s="11" t="n">
        <x:f>SUM(SalesLines!R4358,SalesLines!R4359,SalesLines!R4360)</x:f>
        <x:v>10</x:v>
      </x:c>
      <x:c r="L1772" s="11" t="n">
        <x:f>SUM(SalesLines!S4358,SalesLines!S4359,SalesLines!S4360)</x:f>
        <x:v>0</x:v>
      </x:c>
      <x:c r="M1772" s="8" t="n">
        <x:f>DATE(YEAR(C1772),MONTH(C1772),1)</x:f>
        <x:v>45717</x:v>
      </x:c>
    </x:row>
    <x:row r="1773" ht="22" customHeight="1">
      <x:c r="A1773" s="2" t="str">
        <x:v>O01769</x:v>
      </x:c>
      <x:c r="B1773" s="2" t="str">
        <x:v>C0270</x:v>
      </x:c>
      <x:c r="C1773" s="7" t="n">
        <x:v>45915</x:v>
      </x:c>
      <x:c r="D1773" s="2" t="str">
        <x:v>Completed</x:v>
      </x:c>
      <x:c r="E1773" s="2" t="str">
        <x:v>East</x:v>
      </x:c>
      <x:c r="F1773" s="2" t="str">
        <x:v>Online</x:v>
      </x:c>
      <x:c r="G1773" s="9" t="n">
        <x:f>SUM(SalesLines!Q4361,SalesLines!Q4362,SalesLines!Q4363)</x:f>
        <x:v>563.4</x:v>
      </x:c>
      <x:c r="H1773" s="9" t="n">
        <x:f>SUM(SalesLines!M4361,SalesLines!M4362,SalesLines!M4363)</x:f>
        <x:v>957</x:v>
      </x:c>
      <x:c r="I1773" s="9" t="n">
        <x:f>SUM(SalesLines!N4361,SalesLines!N4362,SalesLines!N4363)</x:f>
        <x:v>108.60000000000001</x:v>
      </x:c>
      <x:c r="J1773" s="9" t="n">
        <x:f>SUM(SalesLines!P4361,SalesLines!P4362,SalesLines!P4363)</x:f>
        <x:v>285</x:v>
      </x:c>
      <x:c r="K1773" s="11" t="n">
        <x:f>SUM(SalesLines!R4361,SalesLines!R4362,SalesLines!R4363)</x:f>
        <x:v>6</x:v>
      </x:c>
      <x:c r="L1773" s="11" t="n">
        <x:f>SUM(SalesLines!S4361,SalesLines!S4362,SalesLines!S4363)</x:f>
        <x:v>1</x:v>
      </x:c>
      <x:c r="M1773" s="8" t="n">
        <x:f>DATE(YEAR(C1773),MONTH(C1773),1)</x:f>
        <x:v>45901</x:v>
      </x:c>
    </x:row>
    <x:row r="1774" ht="22" customHeight="1">
      <x:c r="A1774" s="2" t="str">
        <x:v>O01770</x:v>
      </x:c>
      <x:c r="B1774" s="2" t="str">
        <x:v>C0292</x:v>
      </x:c>
      <x:c r="C1774" s="7" t="n">
        <x:v>45674</x:v>
      </x:c>
      <x:c r="D1774" s="2" t="str">
        <x:v>Completed</x:v>
      </x:c>
      <x:c r="E1774" s="2" t="str">
        <x:v>East</x:v>
      </x:c>
      <x:c r="F1774" s="2" t="str">
        <x:v>Online</x:v>
      </x:c>
      <x:c r="G1774" s="9" t="n">
        <x:f>SUM(SalesLines!Q4364,SalesLines!Q4365,SalesLines!Q4366,SalesLines!Q4367)</x:f>
        <x:v>1654.5</x:v>
      </x:c>
      <x:c r="H1774" s="9" t="n">
        <x:f>SUM(SalesLines!M4364,SalesLines!M4365,SalesLines!M4366,SalesLines!M4367)</x:f>
        <x:v>1924</x:v>
      </x:c>
      <x:c r="I1774" s="9" t="n">
        <x:f>SUM(SalesLines!N4364,SalesLines!N4365,SalesLines!N4366,SalesLines!N4367)</x:f>
        <x:v>269.5</x:v>
      </x:c>
      <x:c r="J1774" s="9" t="n">
        <x:f>SUM(SalesLines!P4364,SalesLines!P4365,SalesLines!P4366,SalesLines!P4367)</x:f>
        <x:v>0</x:v>
      </x:c>
      <x:c r="K1774" s="11" t="n">
        <x:f>SUM(SalesLines!R4364,SalesLines!R4365,SalesLines!R4366,SalesLines!R4367)</x:f>
        <x:v>14</x:v>
      </x:c>
      <x:c r="L1774" s="11" t="n">
        <x:f>SUM(SalesLines!S4364,SalesLines!S4365,SalesLines!S4366,SalesLines!S4367)</x:f>
        <x:v>0</x:v>
      </x:c>
      <x:c r="M1774" s="8" t="n">
        <x:f>DATE(YEAR(C1774),MONTH(C1774),1)</x:f>
        <x:v>45658</x:v>
      </x:c>
    </x:row>
    <x:row r="1775" ht="22" customHeight="1">
      <x:c r="A1775" s="2" t="str">
        <x:v>O01771</x:v>
      </x:c>
      <x:c r="B1775" s="2" t="str">
        <x:v>C0086</x:v>
      </x:c>
      <x:c r="C1775" s="7" t="n">
        <x:v>45986</x:v>
      </x:c>
      <x:c r="D1775" s="2" t="str">
        <x:v>Completed</x:v>
      </x:c>
      <x:c r="E1775" s="2" t="str">
        <x:v>North</x:v>
      </x:c>
      <x:c r="F1775" s="2" t="str">
        <x:v>Store</x:v>
      </x:c>
      <x:c r="G1775" s="9" t="n">
        <x:f>SUM(SalesLines!Q4368)</x:f>
        <x:v>1016</x:v>
      </x:c>
      <x:c r="H1775" s="9" t="n">
        <x:f>SUM(SalesLines!M4368)</x:f>
        <x:v>1270</x:v>
      </x:c>
      <x:c r="I1775" s="9" t="n">
        <x:f>SUM(SalesLines!N4368)</x:f>
        <x:v>254</x:v>
      </x:c>
      <x:c r="J1775" s="9" t="n">
        <x:f>SUM(SalesLines!P4368)</x:f>
        <x:v>0</x:v>
      </x:c>
      <x:c r="K1775" s="11" t="n">
        <x:f>SUM(SalesLines!R4368)</x:f>
        <x:v>5</x:v>
      </x:c>
      <x:c r="L1775" s="11" t="n">
        <x:f>SUM(SalesLines!S4368)</x:f>
        <x:v>0</x:v>
      </x:c>
      <x:c r="M1775" s="8" t="n">
        <x:f>DATE(YEAR(C1775),MONTH(C1775),1)</x:f>
        <x:v>45962</x:v>
      </x:c>
    </x:row>
    <x:row r="1776" ht="22" customHeight="1">
      <x:c r="A1776" s="2" t="str">
        <x:v>O01772</x:v>
      </x:c>
      <x:c r="B1776" s="2" t="str">
        <x:v>C0108</x:v>
      </x:c>
      <x:c r="C1776" s="7" t="n">
        <x:v>45978</x:v>
      </x:c>
      <x:c r="D1776" s="2" t="str">
        <x:v>Completed</x:v>
      </x:c>
      <x:c r="E1776" s="2" t="str">
        <x:v>East</x:v>
      </x:c>
      <x:c r="F1776" s="2" t="str">
        <x:v>Store</x:v>
      </x:c>
      <x:c r="G1776" s="9" t="n">
        <x:f>SUM(SalesLines!Q4369,SalesLines!Q4370,SalesLines!Q4371,SalesLines!Q4372)</x:f>
        <x:v>2038.8</x:v>
      </x:c>
      <x:c r="H1776" s="9" t="n">
        <x:f>SUM(SalesLines!M4369,SalesLines!M4370,SalesLines!M4371,SalesLines!M4372)</x:f>
        <x:v>2492</x:v>
      </x:c>
      <x:c r="I1776" s="9" t="n">
        <x:f>SUM(SalesLines!N4369,SalesLines!N4370,SalesLines!N4371,SalesLines!N4372)</x:f>
        <x:v>453.20000000000005</x:v>
      </x:c>
      <x:c r="J1776" s="9" t="n">
        <x:f>SUM(SalesLines!P4369,SalesLines!P4370,SalesLines!P4371,SalesLines!P4372)</x:f>
        <x:v>0</x:v>
      </x:c>
      <x:c r="K1776" s="11" t="n">
        <x:f>SUM(SalesLines!R4369,SalesLines!R4370,SalesLines!R4371,SalesLines!R4372)</x:f>
        <x:v>13</x:v>
      </x:c>
      <x:c r="L1776" s="11" t="n">
        <x:f>SUM(SalesLines!S4369,SalesLines!S4370,SalesLines!S4371,SalesLines!S4372)</x:f>
        <x:v>0</x:v>
      </x:c>
      <x:c r="M1776" s="8" t="n">
        <x:f>DATE(YEAR(C1776),MONTH(C1776),1)</x:f>
        <x:v>45962</x:v>
      </x:c>
    </x:row>
    <x:row r="1777" ht="22" customHeight="1">
      <x:c r="A1777" s="2" t="str">
        <x:v>O01773</x:v>
      </x:c>
      <x:c r="B1777" s="2" t="str">
        <x:v>C0283</x:v>
      </x:c>
      <x:c r="C1777" s="7" t="n">
        <x:v>45851</x:v>
      </x:c>
      <x:c r="D1777" s="2" t="str">
        <x:v>Completed</x:v>
      </x:c>
      <x:c r="E1777" s="2" t="str">
        <x:v>East</x:v>
      </x:c>
      <x:c r="F1777" s="2" t="str">
        <x:v>Online</x:v>
      </x:c>
      <x:c r="G1777" s="9" t="n">
        <x:f>SUM(SalesLines!Q4373,SalesLines!Q4374,SalesLines!Q4375)</x:f>
        <x:v>1371.25</x:v>
      </x:c>
      <x:c r="H1777" s="9" t="n">
        <x:f>SUM(SalesLines!M4373,SalesLines!M4374,SalesLines!M4375)</x:f>
        <x:v>1465</x:v>
      </x:c>
      <x:c r="I1777" s="9" t="n">
        <x:f>SUM(SalesLines!N4373,SalesLines!N4374,SalesLines!N4375)</x:f>
        <x:v>93.75</x:v>
      </x:c>
      <x:c r="J1777" s="9" t="n">
        <x:f>SUM(SalesLines!P4373,SalesLines!P4374,SalesLines!P4375)</x:f>
        <x:v>0</x:v>
      </x:c>
      <x:c r="K1777" s="11" t="n">
        <x:f>SUM(SalesLines!R4373,SalesLines!R4374,SalesLines!R4375)</x:f>
        <x:v>12</x:v>
      </x:c>
      <x:c r="L1777" s="11" t="n">
        <x:f>SUM(SalesLines!S4373,SalesLines!S4374,SalesLines!S4375)</x:f>
        <x:v>0</x:v>
      </x:c>
      <x:c r="M1777" s="8" t="n">
        <x:f>DATE(YEAR(C1777),MONTH(C1777),1)</x:f>
        <x:v>45839</x:v>
      </x:c>
    </x:row>
    <x:row r="1778" ht="22" customHeight="1">
      <x:c r="A1778" s="2" t="str">
        <x:v>O01774</x:v>
      </x:c>
      <x:c r="B1778" s="2" t="str">
        <x:v>C0138</x:v>
      </x:c>
      <x:c r="C1778" s="7" t="n">
        <x:v>45798</x:v>
      </x:c>
      <x:c r="D1778" s="2" t="str">
        <x:v>Completed</x:v>
      </x:c>
      <x:c r="E1778" s="2" t="str">
        <x:v>South</x:v>
      </x:c>
      <x:c r="F1778" s="2" t="str">
        <x:v>Online</x:v>
      </x:c>
      <x:c r="G1778" s="9" t="n">
        <x:f>SUM(SalesLines!Q4376,SalesLines!Q4377,SalesLines!Q4378)</x:f>
        <x:v>679.75</x:v>
      </x:c>
      <x:c r="H1778" s="9" t="n">
        <x:f>SUM(SalesLines!M4376,SalesLines!M4377,SalesLines!M4378)</x:f>
        <x:v>925</x:v>
      </x:c>
      <x:c r="I1778" s="9" t="n">
        <x:f>SUM(SalesLines!N4376,SalesLines!N4377,SalesLines!N4378)</x:f>
        <x:v>66.15</x:v>
      </x:c>
      <x:c r="J1778" s="9" t="n">
        <x:f>SUM(SalesLines!P4376,SalesLines!P4377,SalesLines!P4378)</x:f>
        <x:v>179.1</x:v>
      </x:c>
      <x:c r="K1778" s="11" t="n">
        <x:f>SUM(SalesLines!R4376,SalesLines!R4377,SalesLines!R4378)</x:f>
        <x:v>7</x:v>
      </x:c>
      <x:c r="L1778" s="11" t="n">
        <x:f>SUM(SalesLines!S4376,SalesLines!S4377,SalesLines!S4378)</x:f>
        <x:v>1</x:v>
      </x:c>
      <x:c r="M1778" s="8" t="n">
        <x:f>DATE(YEAR(C1778),MONTH(C1778),1)</x:f>
        <x:v>45778</x:v>
      </x:c>
    </x:row>
    <x:row r="1779" ht="22" customHeight="1">
      <x:c r="A1779" s="2" t="str">
        <x:v>O01775</x:v>
      </x:c>
      <x:c r="B1779" s="2" t="str">
        <x:v>C0265</x:v>
      </x:c>
      <x:c r="C1779" s="7" t="n">
        <x:v>45658</x:v>
      </x:c>
      <x:c r="D1779" s="2" t="str">
        <x:v>Completed</x:v>
      </x:c>
      <x:c r="E1779" s="2" t="str">
        <x:v>West</x:v>
      </x:c>
      <x:c r="F1779" s="2" t="str">
        <x:v>Online</x:v>
      </x:c>
      <x:c r="G1779" s="9" t="n">
        <x:f>SUM(SalesLines!Q4379,SalesLines!Q4380,SalesLines!Q4381,SalesLines!Q4382)</x:f>
        <x:v>1971.95</x:v>
      </x:c>
      <x:c r="H1779" s="9" t="n">
        <x:f>SUM(SalesLines!M4379,SalesLines!M4380,SalesLines!M4381,SalesLines!M4382)</x:f>
        <x:v>2098</x:v>
      </x:c>
      <x:c r="I1779" s="9" t="n">
        <x:f>SUM(SalesLines!N4379,SalesLines!N4380,SalesLines!N4381,SalesLines!N4382)</x:f>
        <x:v>126.05000000000001</x:v>
      </x:c>
      <x:c r="J1779" s="9" t="n">
        <x:f>SUM(SalesLines!P4379,SalesLines!P4380,SalesLines!P4381,SalesLines!P4382)</x:f>
        <x:v>0</x:v>
      </x:c>
      <x:c r="K1779" s="11" t="n">
        <x:f>SUM(SalesLines!R4379,SalesLines!R4380,SalesLines!R4381,SalesLines!R4382)</x:f>
        <x:v>12</x:v>
      </x:c>
      <x:c r="L1779" s="11" t="n">
        <x:f>SUM(SalesLines!S4379,SalesLines!S4380,SalesLines!S4381,SalesLines!S4382)</x:f>
        <x:v>0</x:v>
      </x:c>
      <x:c r="M1779" s="8" t="n">
        <x:f>DATE(YEAR(C1779),MONTH(C1779),1)</x:f>
        <x:v>45658</x:v>
      </x:c>
    </x:row>
    <x:row r="1780" ht="22" customHeight="1">
      <x:c r="A1780" s="2" t="str">
        <x:v>O01776</x:v>
      </x:c>
      <x:c r="B1780" s="2" t="str">
        <x:v>C0288</x:v>
      </x:c>
      <x:c r="C1780" s="7" t="n">
        <x:v>45666</x:v>
      </x:c>
      <x:c r="D1780" s="2" t="str">
        <x:v>Completed</x:v>
      </x:c>
      <x:c r="E1780" s="2" t="str">
        <x:v>East</x:v>
      </x:c>
      <x:c r="F1780" s="2" t="str">
        <x:v>Online</x:v>
      </x:c>
      <x:c r="G1780" s="9" t="n">
        <x:f>SUM(SalesLines!Q4383,SalesLines!Q4384,SalesLines!Q4385,SalesLines!Q4386)</x:f>
        <x:v>2580.3</x:v>
      </x:c>
      <x:c r="H1780" s="9" t="n">
        <x:f>SUM(SalesLines!M4383,SalesLines!M4384,SalesLines!M4385,SalesLines!M4386)</x:f>
        <x:v>2964</x:v>
      </x:c>
      <x:c r="I1780" s="9" t="n">
        <x:f>SUM(SalesLines!N4383,SalesLines!N4384,SalesLines!N4385,SalesLines!N4386)</x:f>
        <x:v>383.7</x:v>
      </x:c>
      <x:c r="J1780" s="9" t="n">
        <x:f>SUM(SalesLines!P4383,SalesLines!P4384,SalesLines!P4385,SalesLines!P4386)</x:f>
        <x:v>0</x:v>
      </x:c>
      <x:c r="K1780" s="11" t="n">
        <x:f>SUM(SalesLines!R4383,SalesLines!R4384,SalesLines!R4385,SalesLines!R4386)</x:f>
        <x:v>14</x:v>
      </x:c>
      <x:c r="L1780" s="11" t="n">
        <x:f>SUM(SalesLines!S4383,SalesLines!S4384,SalesLines!S4385,SalesLines!S4386)</x:f>
        <x:v>0</x:v>
      </x:c>
      <x:c r="M1780" s="8" t="n">
        <x:f>DATE(YEAR(C1780),MONTH(C1780),1)</x:f>
        <x:v>45658</x:v>
      </x:c>
    </x:row>
    <x:row r="1781" ht="22" customHeight="1">
      <x:c r="A1781" s="2" t="str">
        <x:v>O01777</x:v>
      </x:c>
      <x:c r="B1781" s="2" t="str">
        <x:v>C0098</x:v>
      </x:c>
      <x:c r="C1781" s="7" t="n">
        <x:v>46018</x:v>
      </x:c>
      <x:c r="D1781" s="2" t="str">
        <x:v>Completed</x:v>
      </x:c>
      <x:c r="E1781" s="2" t="str">
        <x:v>West</x:v>
      </x:c>
      <x:c r="F1781" s="2" t="str">
        <x:v>Store</x:v>
      </x:c>
      <x:c r="G1781" s="9" t="n">
        <x:f>SUM(SalesLines!Q4387)</x:f>
        <x:v>68</x:v>
      </x:c>
      <x:c r="H1781" s="9" t="n">
        <x:f>SUM(SalesLines!M4387)</x:f>
        <x:v>68</x:v>
      </x:c>
      <x:c r="I1781" s="9" t="n">
        <x:f>SUM(SalesLines!N4387)</x:f>
        <x:v>0</x:v>
      </x:c>
      <x:c r="J1781" s="9" t="n">
        <x:f>SUM(SalesLines!P4387)</x:f>
        <x:v>0</x:v>
      </x:c>
      <x:c r="K1781" s="11" t="n">
        <x:f>SUM(SalesLines!R4387)</x:f>
        <x:v>1</x:v>
      </x:c>
      <x:c r="L1781" s="11" t="n">
        <x:f>SUM(SalesLines!S4387)</x:f>
        <x:v>0</x:v>
      </x:c>
      <x:c r="M1781" s="8" t="n">
        <x:f>DATE(YEAR(C1781),MONTH(C1781),1)</x:f>
        <x:v>45992</x:v>
      </x:c>
    </x:row>
    <x:row r="1782" ht="22" customHeight="1">
      <x:c r="A1782" s="2" t="str">
        <x:v>O01778</x:v>
      </x:c>
      <x:c r="B1782" s="2" t="str">
        <x:v>C0201</x:v>
      </x:c>
      <x:c r="C1782" s="7" t="n">
        <x:v>45915</x:v>
      </x:c>
      <x:c r="D1782" s="2" t="str">
        <x:v>Completed</x:v>
      </x:c>
      <x:c r="E1782" s="2" t="str">
        <x:v>East</x:v>
      </x:c>
      <x:c r="F1782" s="2" t="str">
        <x:v>Online</x:v>
      </x:c>
      <x:c r="G1782" s="9" t="n">
        <x:f>SUM(SalesLines!Q4388,SalesLines!Q4389,SalesLines!Q4390)</x:f>
        <x:v>2955</x:v>
      </x:c>
      <x:c r="H1782" s="9" t="n">
        <x:f>SUM(SalesLines!M4388,SalesLines!M4389,SalesLines!M4390)</x:f>
        <x:v>3026</x:v>
      </x:c>
      <x:c r="I1782" s="9" t="n">
        <x:f>SUM(SalesLines!N4388,SalesLines!N4389,SalesLines!N4390)</x:f>
        <x:v>71</x:v>
      </x:c>
      <x:c r="J1782" s="9" t="n">
        <x:f>SUM(SalesLines!P4388,SalesLines!P4389,SalesLines!P4390)</x:f>
        <x:v>0</x:v>
      </x:c>
      <x:c r="K1782" s="11" t="n">
        <x:f>SUM(SalesLines!R4388,SalesLines!R4389,SalesLines!R4390)</x:f>
        <x:v>12</x:v>
      </x:c>
      <x:c r="L1782" s="11" t="n">
        <x:f>SUM(SalesLines!S4388,SalesLines!S4389,SalesLines!S4390)</x:f>
        <x:v>0</x:v>
      </x:c>
      <x:c r="M1782" s="8" t="n">
        <x:f>DATE(YEAR(C1782),MONTH(C1782),1)</x:f>
        <x:v>45901</x:v>
      </x:c>
    </x:row>
    <x:row r="1783" ht="22" customHeight="1">
      <x:c r="A1783" s="2" t="str">
        <x:v>O01779</x:v>
      </x:c>
      <x:c r="B1783" s="2" t="str">
        <x:v>C0297</x:v>
      </x:c>
      <x:c r="C1783" s="7" t="n">
        <x:v>45726</x:v>
      </x:c>
      <x:c r="D1783" s="2" t="str">
        <x:v>Completed</x:v>
      </x:c>
      <x:c r="E1783" s="2" t="str">
        <x:v>East</x:v>
      </x:c>
      <x:c r="F1783" s="2" t="str">
        <x:v>Online</x:v>
      </x:c>
      <x:c r="G1783" s="9" t="n">
        <x:f>SUM(SalesLines!Q4391,SalesLines!Q4392,SalesLines!Q4393,SalesLines!Q4394)</x:f>
        <x:v>734</x:v>
      </x:c>
      <x:c r="H1783" s="9" t="n">
        <x:f>SUM(SalesLines!M4391,SalesLines!M4392,SalesLines!M4393,SalesLines!M4394)</x:f>
        <x:v>767</x:v>
      </x:c>
      <x:c r="I1783" s="9" t="n">
        <x:f>SUM(SalesLines!N4391,SalesLines!N4392,SalesLines!N4393,SalesLines!N4394)</x:f>
        <x:v>33</x:v>
      </x:c>
      <x:c r="J1783" s="9" t="n">
        <x:f>SUM(SalesLines!P4391,SalesLines!P4392,SalesLines!P4393,SalesLines!P4394)</x:f>
        <x:v>0</x:v>
      </x:c>
      <x:c r="K1783" s="11" t="n">
        <x:f>SUM(SalesLines!R4391,SalesLines!R4392,SalesLines!R4393,SalesLines!R4394)</x:f>
        <x:v>4</x:v>
      </x:c>
      <x:c r="L1783" s="11" t="n">
        <x:f>SUM(SalesLines!S4391,SalesLines!S4392,SalesLines!S4393,SalesLines!S4394)</x:f>
        <x:v>0</x:v>
      </x:c>
      <x:c r="M1783" s="8" t="n">
        <x:f>DATE(YEAR(C1783),MONTH(C1783),1)</x:f>
        <x:v>45717</x:v>
      </x:c>
    </x:row>
    <x:row r="1784" ht="22" customHeight="1">
      <x:c r="A1784" s="2" t="str">
        <x:v>O01780</x:v>
      </x:c>
      <x:c r="B1784" s="2" t="str">
        <x:v>C0245</x:v>
      </x:c>
      <x:c r="C1784" s="7" t="n">
        <x:v>45985</x:v>
      </x:c>
      <x:c r="D1784" s="2" t="str">
        <x:v>Completed</x:v>
      </x:c>
      <x:c r="E1784" s="2" t="str">
        <x:v>North</x:v>
      </x:c>
      <x:c r="F1784" s="2" t="str">
        <x:v>Store</x:v>
      </x:c>
      <x:c r="G1784" s="9" t="n">
        <x:f>SUM(SalesLines!Q4395,SalesLines!Q4396,SalesLines!Q4397)</x:f>
        <x:v>1377.9</x:v>
      </x:c>
      <x:c r="H1784" s="9" t="n">
        <x:f>SUM(SalesLines!M4395,SalesLines!M4396,SalesLines!M4397)</x:f>
        <x:v>1449</x:v>
      </x:c>
      <x:c r="I1784" s="9" t="n">
        <x:f>SUM(SalesLines!N4395,SalesLines!N4396,SalesLines!N4397)</x:f>
        <x:v>71.10000000000001</x:v>
      </x:c>
      <x:c r="J1784" s="9" t="n">
        <x:f>SUM(SalesLines!P4395,SalesLines!P4396,SalesLines!P4397)</x:f>
        <x:v>0</x:v>
      </x:c>
      <x:c r="K1784" s="11" t="n">
        <x:f>SUM(SalesLines!R4395,SalesLines!R4396,SalesLines!R4397)</x:f>
        <x:v>10</x:v>
      </x:c>
      <x:c r="L1784" s="11" t="n">
        <x:f>SUM(SalesLines!S4395,SalesLines!S4396,SalesLines!S4397)</x:f>
        <x:v>0</x:v>
      </x:c>
      <x:c r="M1784" s="8" t="n">
        <x:f>DATE(YEAR(C1784),MONTH(C1784),1)</x:f>
        <x:v>45962</x:v>
      </x:c>
    </x:row>
    <x:row r="1785" ht="22" customHeight="1">
      <x:c r="A1785" s="2" t="str">
        <x:v>O01781</x:v>
      </x:c>
      <x:c r="B1785" s="2" t="str">
        <x:v>C0074</x:v>
      </x:c>
      <x:c r="C1785" s="7" t="n">
        <x:v>46000</x:v>
      </x:c>
      <x:c r="D1785" s="2" t="str">
        <x:v>Completed</x:v>
      </x:c>
      <x:c r="E1785" s="2" t="str">
        <x:v>South</x:v>
      </x:c>
      <x:c r="F1785" s="2" t="str">
        <x:v>Store</x:v>
      </x:c>
      <x:c r="G1785" s="9" t="n">
        <x:f>SUM(SalesLines!Q4398,SalesLines!Q4399,SalesLines!Q4400)</x:f>
        <x:v>1605.2</x:v>
      </x:c>
      <x:c r="H1785" s="9" t="n">
        <x:f>SUM(SalesLines!M4398,SalesLines!M4399,SalesLines!M4400)</x:f>
        <x:v>1946</x:v>
      </x:c>
      <x:c r="I1785" s="9" t="n">
        <x:f>SUM(SalesLines!N4398,SalesLines!N4399,SalesLines!N4400)</x:f>
        <x:v>171.6</x:v>
      </x:c>
      <x:c r="J1785" s="9" t="n">
        <x:f>SUM(SalesLines!P4398,SalesLines!P4399,SalesLines!P4400)</x:f>
        <x:v>169.20000000000002</x:v>
      </x:c>
      <x:c r="K1785" s="11" t="n">
        <x:f>SUM(SalesLines!R4398,SalesLines!R4399,SalesLines!R4400)</x:f>
        <x:v>10</x:v>
      </x:c>
      <x:c r="L1785" s="11" t="n">
        <x:f>SUM(SalesLines!S4398,SalesLines!S4399,SalesLines!S4400)</x:f>
        <x:v>1</x:v>
      </x:c>
      <x:c r="M1785" s="8" t="n">
        <x:f>DATE(YEAR(C1785),MONTH(C1785),1)</x:f>
        <x:v>45992</x:v>
      </x:c>
    </x:row>
    <x:row r="1786" ht="22" customHeight="1">
      <x:c r="A1786" s="2" t="str">
        <x:v>O01782</x:v>
      </x:c>
      <x:c r="B1786" s="2" t="str">
        <x:v>C0119</x:v>
      </x:c>
      <x:c r="C1786" s="7" t="n">
        <x:v>45870</x:v>
      </x:c>
      <x:c r="D1786" s="2" t="str">
        <x:v>Completed</x:v>
      </x:c>
      <x:c r="E1786" s="2" t="str">
        <x:v>North</x:v>
      </x:c>
      <x:c r="F1786" s="2" t="str">
        <x:v>Store</x:v>
      </x:c>
      <x:c r="G1786" s="9" t="n">
        <x:f>SUM(SalesLines!Q4401,SalesLines!Q4402,SalesLines!Q4403,SalesLines!Q4404)</x:f>
        <x:v>1700.85</x:v>
      </x:c>
      <x:c r="H1786" s="9" t="n">
        <x:f>SUM(SalesLines!M4401,SalesLines!M4402,SalesLines!M4403,SalesLines!M4404)</x:f>
        <x:v>1941</x:v>
      </x:c>
      <x:c r="I1786" s="9" t="n">
        <x:f>SUM(SalesLines!N4401,SalesLines!N4402,SalesLines!N4403,SalesLines!N4404)</x:f>
        <x:v>240.15</x:v>
      </x:c>
      <x:c r="J1786" s="9" t="n">
        <x:f>SUM(SalesLines!P4401,SalesLines!P4402,SalesLines!P4403,SalesLines!P4404)</x:f>
        <x:v>0</x:v>
      </x:c>
      <x:c r="K1786" s="11" t="n">
        <x:f>SUM(SalesLines!R4401,SalesLines!R4402,SalesLines!R4403,SalesLines!R4404)</x:f>
        <x:v>10</x:v>
      </x:c>
      <x:c r="L1786" s="11" t="n">
        <x:f>SUM(SalesLines!S4401,SalesLines!S4402,SalesLines!S4403,SalesLines!S4404)</x:f>
        <x:v>0</x:v>
      </x:c>
      <x:c r="M1786" s="8" t="n">
        <x:f>DATE(YEAR(C1786),MONTH(C1786),1)</x:f>
        <x:v>45870</x:v>
      </x:c>
    </x:row>
    <x:row r="1787" ht="22" customHeight="1">
      <x:c r="A1787" s="2" t="str">
        <x:v>O01783</x:v>
      </x:c>
      <x:c r="B1787" s="2" t="str">
        <x:v>C0016</x:v>
      </x:c>
      <x:c r="C1787" s="7" t="n">
        <x:v>45827</x:v>
      </x:c>
      <x:c r="D1787" s="2" t="str">
        <x:v>Completed</x:v>
      </x:c>
      <x:c r="E1787" s="2" t="str">
        <x:v>East</x:v>
      </x:c>
      <x:c r="F1787" s="2" t="str">
        <x:v>Online</x:v>
      </x:c>
      <x:c r="G1787" s="9" t="n">
        <x:f>SUM(SalesLines!Q4405)</x:f>
        <x:v>539.6</x:v>
      </x:c>
      <x:c r="H1787" s="9" t="n">
        <x:f>SUM(SalesLines!M4405)</x:f>
        <x:v>568</x:v>
      </x:c>
      <x:c r="I1787" s="9" t="n">
        <x:f>SUM(SalesLines!N4405)</x:f>
        <x:v>28.400000000000002</x:v>
      </x:c>
      <x:c r="J1787" s="9" t="n">
        <x:f>SUM(SalesLines!P4405)</x:f>
        <x:v>0</x:v>
      </x:c>
      <x:c r="K1787" s="11" t="n">
        <x:f>SUM(SalesLines!R4405)</x:f>
        <x:v>2</x:v>
      </x:c>
      <x:c r="L1787" s="11" t="n">
        <x:f>SUM(SalesLines!S4405)</x:f>
        <x:v>0</x:v>
      </x:c>
      <x:c r="M1787" s="8" t="n">
        <x:f>DATE(YEAR(C1787),MONTH(C1787),1)</x:f>
        <x:v>45809</x:v>
      </x:c>
    </x:row>
    <x:row r="1788" ht="22" customHeight="1">
      <x:c r="A1788" s="2" t="str">
        <x:v>O01784</x:v>
      </x:c>
      <x:c r="B1788" s="2" t="str">
        <x:v>C0233</x:v>
      </x:c>
      <x:c r="C1788" s="7" t="n">
        <x:v>45897</x:v>
      </x:c>
      <x:c r="D1788" s="2" t="str">
        <x:v>Completed</x:v>
      </x:c>
      <x:c r="E1788" s="2" t="str">
        <x:v>South</x:v>
      </x:c>
      <x:c r="F1788" s="2" t="str">
        <x:v>Online</x:v>
      </x:c>
      <x:c r="G1788" s="9" t="n">
        <x:f>SUM(SalesLines!Q4406)</x:f>
        <x:v>372</x:v>
      </x:c>
      <x:c r="H1788" s="9" t="n">
        <x:f>SUM(SalesLines!M4406)</x:f>
        <x:v>465</x:v>
      </x:c>
      <x:c r="I1788" s="9" t="n">
        <x:f>SUM(SalesLines!N4406)</x:f>
        <x:v>93</x:v>
      </x:c>
      <x:c r="J1788" s="9" t="n">
        <x:f>SUM(SalesLines!P4406)</x:f>
        <x:v>0</x:v>
      </x:c>
      <x:c r="K1788" s="11" t="n">
        <x:f>SUM(SalesLines!R4406)</x:f>
        <x:v>5</x:v>
      </x:c>
      <x:c r="L1788" s="11" t="n">
        <x:f>SUM(SalesLines!S4406)</x:f>
        <x:v>0</x:v>
      </x:c>
      <x:c r="M1788" s="8" t="n">
        <x:f>DATE(YEAR(C1788),MONTH(C1788),1)</x:f>
        <x:v>45870</x:v>
      </x:c>
    </x:row>
    <x:row r="1789" ht="22" customHeight="1">
      <x:c r="A1789" s="2" t="str">
        <x:v>O01785</x:v>
      </x:c>
      <x:c r="B1789" s="2" t="str">
        <x:v>C0097</x:v>
      </x:c>
      <x:c r="C1789" s="7" t="n">
        <x:v>45686</x:v>
      </x:c>
      <x:c r="D1789" s="2" t="str">
        <x:v>Completed</x:v>
      </x:c>
      <x:c r="E1789" s="2" t="str">
        <x:v>West</x:v>
      </x:c>
      <x:c r="F1789" s="2" t="str">
        <x:v>Store</x:v>
      </x:c>
      <x:c r="G1789" s="9" t="n">
        <x:f>SUM(SalesLines!Q4407)</x:f>
        <x:v>184.8</x:v>
      </x:c>
      <x:c r="H1789" s="9" t="n">
        <x:f>SUM(SalesLines!M4407)</x:f>
        <x:v>231</x:v>
      </x:c>
      <x:c r="I1789" s="9" t="n">
        <x:f>SUM(SalesLines!N4407)</x:f>
        <x:v>46.2</x:v>
      </x:c>
      <x:c r="J1789" s="9" t="n">
        <x:f>SUM(SalesLines!P4407)</x:f>
        <x:v>0</x:v>
      </x:c>
      <x:c r="K1789" s="11" t="n">
        <x:f>SUM(SalesLines!R4407)</x:f>
        <x:v>1</x:v>
      </x:c>
      <x:c r="L1789" s="11" t="n">
        <x:f>SUM(SalesLines!S4407)</x:f>
        <x:v>0</x:v>
      </x:c>
      <x:c r="M1789" s="8" t="n">
        <x:f>DATE(YEAR(C1789),MONTH(C1789),1)</x:f>
        <x:v>45658</x:v>
      </x:c>
    </x:row>
    <x:row r="1790" ht="22" customHeight="1">
      <x:c r="A1790" s="2" t="str">
        <x:v>O01786</x:v>
      </x:c>
      <x:c r="B1790" s="2" t="str">
        <x:v>C0055</x:v>
      </x:c>
      <x:c r="C1790" s="7" t="n">
        <x:v>45950</x:v>
      </x:c>
      <x:c r="D1790" s="2" t="str">
        <x:v>Completed</x:v>
      </x:c>
      <x:c r="E1790" s="2" t="str">
        <x:v>East</x:v>
      </x:c>
      <x:c r="F1790" s="2" t="str">
        <x:v>Store</x:v>
      </x:c>
      <x:c r="G1790" s="9" t="n">
        <x:f>SUM(SalesLines!Q4408)</x:f>
        <x:v>0</x:v>
      </x:c>
      <x:c r="H1790" s="9" t="n">
        <x:f>SUM(SalesLines!M4408)</x:f>
        <x:v>402</x:v>
      </x:c>
      <x:c r="I1790" s="9" t="n">
        <x:f>SUM(SalesLines!N4408)</x:f>
        <x:v>80.4</x:v>
      </x:c>
      <x:c r="J1790" s="9" t="n">
        <x:f>SUM(SalesLines!P4408)</x:f>
        <x:v>321.6</x:v>
      </x:c>
      <x:c r="K1790" s="11" t="n">
        <x:f>SUM(SalesLines!R4408)</x:f>
        <x:v>3</x:v>
      </x:c>
      <x:c r="L1790" s="11" t="n">
        <x:f>SUM(SalesLines!S4408)</x:f>
        <x:v>3</x:v>
      </x:c>
      <x:c r="M1790" s="8" t="n">
        <x:f>DATE(YEAR(C1790),MONTH(C1790),1)</x:f>
        <x:v>45931</x:v>
      </x:c>
    </x:row>
    <x:row r="1791" ht="22" customHeight="1">
      <x:c r="A1791" s="2" t="str">
        <x:v>O01787</x:v>
      </x:c>
      <x:c r="B1791" s="2" t="str">
        <x:v>C0289</x:v>
      </x:c>
      <x:c r="C1791" s="7" t="n">
        <x:v>45973</x:v>
      </x:c>
      <x:c r="D1791" s="2" t="str">
        <x:v>Completed</x:v>
      </x:c>
      <x:c r="E1791" s="2" t="str">
        <x:v>West</x:v>
      </x:c>
      <x:c r="F1791" s="2" t="str">
        <x:v>Store</x:v>
      </x:c>
      <x:c r="G1791" s="9" t="n">
        <x:f>SUM(SalesLines!Q4409,SalesLines!Q4410,SalesLines!Q4411)</x:f>
        <x:v>1369.6</x:v>
      </x:c>
      <x:c r="H1791" s="9" t="n">
        <x:f>SUM(SalesLines!M4409,SalesLines!M4410,SalesLines!M4411)</x:f>
        <x:v>1493</x:v>
      </x:c>
      <x:c r="I1791" s="9" t="n">
        <x:f>SUM(SalesLines!N4409,SalesLines!N4410,SalesLines!N4411)</x:f>
        <x:v>123.4</x:v>
      </x:c>
      <x:c r="J1791" s="9" t="n">
        <x:f>SUM(SalesLines!P4409,SalesLines!P4410,SalesLines!P4411)</x:f>
        <x:v>0</x:v>
      </x:c>
      <x:c r="K1791" s="11" t="n">
        <x:f>SUM(SalesLines!R4409,SalesLines!R4410,SalesLines!R4411)</x:f>
        <x:v>11</x:v>
      </x:c>
      <x:c r="L1791" s="11" t="n">
        <x:f>SUM(SalesLines!S4409,SalesLines!S4410,SalesLines!S4411)</x:f>
        <x:v>0</x:v>
      </x:c>
      <x:c r="M1791" s="8" t="n">
        <x:f>DATE(YEAR(C1791),MONTH(C1791),1)</x:f>
        <x:v>45962</x:v>
      </x:c>
    </x:row>
    <x:row r="1792" ht="22" customHeight="1">
      <x:c r="A1792" s="2" t="str">
        <x:v>O01788</x:v>
      </x:c>
      <x:c r="B1792" s="2" t="str">
        <x:v>C0244</x:v>
      </x:c>
      <x:c r="C1792" s="7" t="n">
        <x:v>45788</x:v>
      </x:c>
      <x:c r="D1792" s="2" t="str">
        <x:v>Completed</x:v>
      </x:c>
      <x:c r="E1792" s="2" t="str">
        <x:v>South</x:v>
      </x:c>
      <x:c r="F1792" s="2" t="str">
        <x:v>Online</x:v>
      </x:c>
      <x:c r="G1792" s="9" t="n">
        <x:f>SUM(SalesLines!Q4412,SalesLines!Q4413)</x:f>
        <x:v>1006.1</x:v>
      </x:c>
      <x:c r="H1792" s="9" t="n">
        <x:f>SUM(SalesLines!M4412,SalesLines!M4413)</x:f>
        <x:v>1132</x:v>
      </x:c>
      <x:c r="I1792" s="9" t="n">
        <x:f>SUM(SalesLines!N4412,SalesLines!N4413)</x:f>
        <x:v>125.9</x:v>
      </x:c>
      <x:c r="J1792" s="9" t="n">
        <x:f>SUM(SalesLines!P4412,SalesLines!P4413)</x:f>
        <x:v>0</x:v>
      </x:c>
      <x:c r="K1792" s="11" t="n">
        <x:f>SUM(SalesLines!R4412,SalesLines!R4413)</x:f>
        <x:v>7</x:v>
      </x:c>
      <x:c r="L1792" s="11" t="n">
        <x:f>SUM(SalesLines!S4412,SalesLines!S4413)</x:f>
        <x:v>0</x:v>
      </x:c>
      <x:c r="M1792" s="8" t="n">
        <x:f>DATE(YEAR(C1792),MONTH(C1792),1)</x:f>
        <x:v>45778</x:v>
      </x:c>
    </x:row>
    <x:row r="1793" ht="22" customHeight="1">
      <x:c r="A1793" s="2" t="str">
        <x:v>O01789</x:v>
      </x:c>
      <x:c r="B1793" s="2" t="str">
        <x:v>C0029</x:v>
      </x:c>
      <x:c r="C1793" s="7" t="n">
        <x:v>45924</x:v>
      </x:c>
      <x:c r="D1793" s="2" t="str">
        <x:v>Completed</x:v>
      </x:c>
      <x:c r="E1793" s="2" t="str">
        <x:v>East</x:v>
      </x:c>
      <x:c r="F1793" s="2" t="str">
        <x:v>Online</x:v>
      </x:c>
      <x:c r="G1793" s="9" t="n">
        <x:f>SUM(SalesLines!Q4414,SalesLines!Q4415,SalesLines!Q4416)</x:f>
        <x:v>320.1</x:v>
      </x:c>
      <x:c r="H1793" s="9" t="n">
        <x:f>SUM(SalesLines!M4414,SalesLines!M4415,SalesLines!M4416)</x:f>
        <x:v>539</x:v>
      </x:c>
      <x:c r="I1793" s="9" t="n">
        <x:f>SUM(SalesLines!N4414,SalesLines!N4415,SalesLines!N4416)</x:f>
        <x:v>23.900000000000002</x:v>
      </x:c>
      <x:c r="J1793" s="9" t="n">
        <x:f>SUM(SalesLines!P4414,SalesLines!P4415,SalesLines!P4416)</x:f>
        <x:v>195</x:v>
      </x:c>
      <x:c r="K1793" s="11" t="n">
        <x:f>SUM(SalesLines!R4414,SalesLines!R4415,SalesLines!R4416)</x:f>
        <x:v>6</x:v>
      </x:c>
      <x:c r="L1793" s="11" t="n">
        <x:f>SUM(SalesLines!S4414,SalesLines!S4415,SalesLines!S4416)</x:f>
        <x:v>3</x:v>
      </x:c>
      <x:c r="M1793" s="8" t="n">
        <x:f>DATE(YEAR(C1793),MONTH(C1793),1)</x:f>
        <x:v>45901</x:v>
      </x:c>
    </x:row>
    <x:row r="1794" ht="22" customHeight="1">
      <x:c r="A1794" s="2" t="str">
        <x:v>O01790</x:v>
      </x:c>
      <x:c r="B1794" s="2" t="str">
        <x:v>C0082</x:v>
      </x:c>
      <x:c r="C1794" s="7" t="n">
        <x:v>45754</x:v>
      </x:c>
      <x:c r="D1794" s="2" t="str">
        <x:v>Completed</x:v>
      </x:c>
      <x:c r="E1794" s="2" t="str">
        <x:v>North</x:v>
      </x:c>
      <x:c r="F1794" s="2" t="str">
        <x:v>Online</x:v>
      </x:c>
      <x:c r="G1794" s="9" t="n">
        <x:f>SUM(SalesLines!Q4417,SalesLines!Q4418,SalesLines!Q4419)</x:f>
        <x:v>1256.85</x:v>
      </x:c>
      <x:c r="H1794" s="9" t="n">
        <x:f>SUM(SalesLines!M4417,SalesLines!M4418,SalesLines!M4419)</x:f>
        <x:v>1591</x:v>
      </x:c>
      <x:c r="I1794" s="9" t="n">
        <x:f>SUM(SalesLines!N4417,SalesLines!N4418,SalesLines!N4419)</x:f>
        <x:v>79.55000000000001</x:v>
      </x:c>
      <x:c r="J1794" s="9" t="n">
        <x:f>SUM(SalesLines!P4417,SalesLines!P4418,SalesLines!P4419)</x:f>
        <x:v>254.6</x:v>
      </x:c>
      <x:c r="K1794" s="11" t="n">
        <x:f>SUM(SalesLines!R4417,SalesLines!R4418,SalesLines!R4419)</x:f>
        <x:v>8</x:v>
      </x:c>
      <x:c r="L1794" s="11" t="n">
        <x:f>SUM(SalesLines!S4417,SalesLines!S4418,SalesLines!S4419)</x:f>
        <x:v>2</x:v>
      </x:c>
      <x:c r="M1794" s="8" t="n">
        <x:f>DATE(YEAR(C1794),MONTH(C1794),1)</x:f>
        <x:v>45748</x:v>
      </x:c>
    </x:row>
    <x:row r="1795" ht="22" customHeight="1">
      <x:c r="A1795" s="2" t="str">
        <x:v>O01791</x:v>
      </x:c>
      <x:c r="B1795" s="2" t="str">
        <x:v>C0204</x:v>
      </x:c>
      <x:c r="C1795" s="7" t="n">
        <x:v>46011</x:v>
      </x:c>
      <x:c r="D1795" s="2" t="str">
        <x:v>Completed</x:v>
      </x:c>
      <x:c r="E1795" s="2" t="str">
        <x:v>South</x:v>
      </x:c>
      <x:c r="F1795" s="2" t="str">
        <x:v>Store</x:v>
      </x:c>
      <x:c r="G1795" s="9" t="n">
        <x:f>SUM(SalesLines!Q4420,SalesLines!Q4421,SalesLines!Q4422,SalesLines!Q4423)</x:f>
        <x:v>1775.1</x:v>
      </x:c>
      <x:c r="H1795" s="9" t="n">
        <x:f>SUM(SalesLines!M4420,SalesLines!M4421,SalesLines!M4422,SalesLines!M4423)</x:f>
        <x:v>2179</x:v>
      </x:c>
      <x:c r="I1795" s="9" t="n">
        <x:f>SUM(SalesLines!N4420,SalesLines!N4421,SalesLines!N4422,SalesLines!N4423)</x:f>
        <x:v>179.8</x:v>
      </x:c>
      <x:c r="J1795" s="9" t="n">
        <x:f>SUM(SalesLines!P4420,SalesLines!P4421,SalesLines!P4422,SalesLines!P4423)</x:f>
        <x:v>224.1</x:v>
      </x:c>
      <x:c r="K1795" s="11" t="n">
        <x:f>SUM(SalesLines!R4420,SalesLines!R4421,SalesLines!R4422,SalesLines!R4423)</x:f>
        <x:v>10</x:v>
      </x:c>
      <x:c r="L1795" s="11" t="n">
        <x:f>SUM(SalesLines!S4420,SalesLines!S4421,SalesLines!S4422,SalesLines!S4423)</x:f>
        <x:v>1</x:v>
      </x:c>
      <x:c r="M1795" s="8" t="n">
        <x:f>DATE(YEAR(C1795),MONTH(C1795),1)</x:f>
        <x:v>45992</x:v>
      </x:c>
    </x:row>
    <x:row r="1796" ht="22" customHeight="1">
      <x:c r="A1796" s="2" t="str">
        <x:v>O01792</x:v>
      </x:c>
      <x:c r="B1796" s="2" t="str">
        <x:v>C0031</x:v>
      </x:c>
      <x:c r="C1796" s="7" t="n">
        <x:v>45976</x:v>
      </x:c>
      <x:c r="D1796" s="2" t="str">
        <x:v>Completed</x:v>
      </x:c>
      <x:c r="E1796" s="2" t="str">
        <x:v>South</x:v>
      </x:c>
      <x:c r="F1796" s="2" t="str">
        <x:v>Store</x:v>
      </x:c>
      <x:c r="G1796" s="9" t="n">
        <x:f>SUM(SalesLines!Q4424,SalesLines!Q4425,SalesLines!Q4426)</x:f>
        <x:v>1554.7</x:v>
      </x:c>
      <x:c r="H1796" s="9" t="n">
        <x:f>SUM(SalesLines!M4424,SalesLines!M4425,SalesLines!M4426)</x:f>
        <x:v>1838</x:v>
      </x:c>
      <x:c r="I1796" s="9" t="n">
        <x:f>SUM(SalesLines!N4424,SalesLines!N4425,SalesLines!N4426)</x:f>
        <x:v>283.3</x:v>
      </x:c>
      <x:c r="J1796" s="9" t="n">
        <x:f>SUM(SalesLines!P4424,SalesLines!P4425,SalesLines!P4426)</x:f>
        <x:v>0</x:v>
      </x:c>
      <x:c r="K1796" s="11" t="n">
        <x:f>SUM(SalesLines!R4424,SalesLines!R4425,SalesLines!R4426)</x:f>
        <x:v>12</x:v>
      </x:c>
      <x:c r="L1796" s="11" t="n">
        <x:f>SUM(SalesLines!S4424,SalesLines!S4425,SalesLines!S4426)</x:f>
        <x:v>0</x:v>
      </x:c>
      <x:c r="M1796" s="8" t="n">
        <x:f>DATE(YEAR(C1796),MONTH(C1796),1)</x:f>
        <x:v>45962</x:v>
      </x:c>
    </x:row>
    <x:row r="1797" ht="22" customHeight="1">
      <x:c r="A1797" s="2" t="str">
        <x:v>O01793</x:v>
      </x:c>
      <x:c r="B1797" s="2" t="str">
        <x:v>C0088</x:v>
      </x:c>
      <x:c r="C1797" s="7" t="n">
        <x:v>45721</x:v>
      </x:c>
      <x:c r="D1797" s="2" t="str">
        <x:v>Completed</x:v>
      </x:c>
      <x:c r="E1797" s="2" t="str">
        <x:v>West</x:v>
      </x:c>
      <x:c r="F1797" s="2" t="str">
        <x:v>Store</x:v>
      </x:c>
      <x:c r="G1797" s="9" t="n">
        <x:f>SUM(SalesLines!Q4427,SalesLines!Q4428,SalesLines!Q4429)</x:f>
        <x:v>2075.65</x:v>
      </x:c>
      <x:c r="H1797" s="9" t="n">
        <x:f>SUM(SalesLines!M4427,SalesLines!M4428,SalesLines!M4429)</x:f>
        <x:v>2143</x:v>
      </x:c>
      <x:c r="I1797" s="9" t="n">
        <x:f>SUM(SalesLines!N4427,SalesLines!N4428,SalesLines!N4429)</x:f>
        <x:v>67.35000000000001</x:v>
      </x:c>
      <x:c r="J1797" s="9" t="n">
        <x:f>SUM(SalesLines!P4427,SalesLines!P4428,SalesLines!P4429)</x:f>
        <x:v>0</x:v>
      </x:c>
      <x:c r="K1797" s="11" t="n">
        <x:f>SUM(SalesLines!R4427,SalesLines!R4428,SalesLines!R4429)</x:f>
        <x:v>9</x:v>
      </x:c>
      <x:c r="L1797" s="11" t="n">
        <x:f>SUM(SalesLines!S4427,SalesLines!S4428,SalesLines!S4429)</x:f>
        <x:v>0</x:v>
      </x:c>
      <x:c r="M1797" s="8" t="n">
        <x:f>DATE(YEAR(C1797),MONTH(C1797),1)</x:f>
        <x:v>45717</x:v>
      </x:c>
    </x:row>
    <x:row r="1798" ht="22" customHeight="1">
      <x:c r="A1798" s="2" t="str">
        <x:v>O01794</x:v>
      </x:c>
      <x:c r="B1798" s="2" t="str">
        <x:v>C0022</x:v>
      </x:c>
      <x:c r="C1798" s="7" t="n">
        <x:v>45897</x:v>
      </x:c>
      <x:c r="D1798" s="2" t="str">
        <x:v>Completed</x:v>
      </x:c>
      <x:c r="E1798" s="2" t="str">
        <x:v>East</x:v>
      </x:c>
      <x:c r="F1798" s="2" t="str">
        <x:v>Online</x:v>
      </x:c>
      <x:c r="G1798" s="9" t="n">
        <x:f>SUM(SalesLines!Q4430,SalesLines!Q4431)</x:f>
        <x:v>667.3</x:v>
      </x:c>
      <x:c r="H1798" s="9" t="n">
        <x:f>SUM(SalesLines!M4430,SalesLines!M4431)</x:f>
        <x:v>857</x:v>
      </x:c>
      <x:c r="I1798" s="9" t="n">
        <x:f>SUM(SalesLines!N4430,SalesLines!N4431)</x:f>
        <x:v>59.7</x:v>
      </x:c>
      <x:c r="J1798" s="9" t="n">
        <x:f>SUM(SalesLines!P4430,SalesLines!P4431)</x:f>
        <x:v>130</x:v>
      </x:c>
      <x:c r="K1798" s="11" t="n">
        <x:f>SUM(SalesLines!R4430,SalesLines!R4431)</x:f>
        <x:v>7</x:v>
      </x:c>
      <x:c r="L1798" s="11" t="n">
        <x:f>SUM(SalesLines!S4430,SalesLines!S4431)</x:f>
        <x:v>2</x:v>
      </x:c>
      <x:c r="M1798" s="8" t="n">
        <x:f>DATE(YEAR(C1798),MONTH(C1798),1)</x:f>
        <x:v>45870</x:v>
      </x:c>
    </x:row>
    <x:row r="1799" ht="22" customHeight="1">
      <x:c r="A1799" s="2" t="str">
        <x:v>O01795</x:v>
      </x:c>
      <x:c r="B1799" s="2" t="str">
        <x:v>C0183</x:v>
      </x:c>
      <x:c r="C1799" s="7" t="n">
        <x:v>45957</x:v>
      </x:c>
      <x:c r="D1799" s="2" t="str">
        <x:v>Completed</x:v>
      </x:c>
      <x:c r="E1799" s="2" t="str">
        <x:v>East</x:v>
      </x:c>
      <x:c r="F1799" s="2" t="str">
        <x:v>Store</x:v>
      </x:c>
      <x:c r="G1799" s="9" t="n">
        <x:f>SUM(SalesLines!Q4432,SalesLines!Q4433,SalesLines!Q4434)</x:f>
        <x:v>1025.6</x:v>
      </x:c>
      <x:c r="H1799" s="9" t="n">
        <x:f>SUM(SalesLines!M4432,SalesLines!M4433,SalesLines!M4434)</x:f>
        <x:v>1039</x:v>
      </x:c>
      <x:c r="I1799" s="9" t="n">
        <x:f>SUM(SalesLines!N4432,SalesLines!N4433,SalesLines!N4434)</x:f>
        <x:v>13.4</x:v>
      </x:c>
      <x:c r="J1799" s="9" t="n">
        <x:f>SUM(SalesLines!P4432,SalesLines!P4433,SalesLines!P4434)</x:f>
        <x:v>0</x:v>
      </x:c>
      <x:c r="K1799" s="11" t="n">
        <x:f>SUM(SalesLines!R4432,SalesLines!R4433,SalesLines!R4434)</x:f>
        <x:v>8</x:v>
      </x:c>
      <x:c r="L1799" s="11" t="n">
        <x:f>SUM(SalesLines!S4432,SalesLines!S4433,SalesLines!S4434)</x:f>
        <x:v>0</x:v>
      </x:c>
      <x:c r="M1799" s="8" t="n">
        <x:f>DATE(YEAR(C1799),MONTH(C1799),1)</x:f>
        <x:v>45931</x:v>
      </x:c>
    </x:row>
    <x:row r="1800" ht="22" customHeight="1">
      <x:c r="A1800" s="2" t="str">
        <x:v>O01796</x:v>
      </x:c>
      <x:c r="B1800" s="2" t="str">
        <x:v>C0279</x:v>
      </x:c>
      <x:c r="C1800" s="7" t="n">
        <x:v>45686</x:v>
      </x:c>
      <x:c r="D1800" s="2" t="str">
        <x:v>Cancelled</x:v>
      </x:c>
      <x:c r="E1800" s="2" t="str">
        <x:v>South</x:v>
      </x:c>
      <x:c r="F1800" s="2" t="str">
        <x:v>Online</x:v>
      </x:c>
      <x:c r="G1800" s="9" t="n">
        <x:f>SUM(SalesLines!Q4435,SalesLines!Q4436,SalesLines!Q4437,SalesLines!Q4438)</x:f>
        <x:v>0</x:v>
      </x:c>
      <x:c r="H1800" s="9" t="n">
        <x:f>SUM(SalesLines!M4435,SalesLines!M4436,SalesLines!M4437,SalesLines!M4438)</x:f>
        <x:v>0</x:v>
      </x:c>
      <x:c r="I1800" s="9" t="n">
        <x:f>SUM(SalesLines!N4435,SalesLines!N4436,SalesLines!N4437,SalesLines!N4438)</x:f>
        <x:v>0</x:v>
      </x:c>
      <x:c r="J1800" s="9" t="n">
        <x:f>SUM(SalesLines!P4435,SalesLines!P4436,SalesLines!P4437,SalesLines!P4438)</x:f>
        <x:v>0</x:v>
      </x:c>
      <x:c r="K1800" s="11" t="n">
        <x:f>SUM(SalesLines!R4435,SalesLines!R4436,SalesLines!R4437,SalesLines!R4438)</x:f>
        <x:v>0</x:v>
      </x:c>
      <x:c r="L1800" s="11" t="n">
        <x:f>SUM(SalesLines!S4435,SalesLines!S4436,SalesLines!S4437,SalesLines!S4438)</x:f>
        <x:v>0</x:v>
      </x:c>
      <x:c r="M1800" s="8" t="n">
        <x:f>DATE(YEAR(C1800),MONTH(C1800),1)</x:f>
        <x:v>45658</x:v>
      </x:c>
    </x:row>
    <x:row r="1801" ht="22" customHeight="1">
      <x:c r="A1801" s="2" t="str">
        <x:v>O01797</x:v>
      </x:c>
      <x:c r="B1801" s="2" t="str">
        <x:v>C0293</x:v>
      </x:c>
      <x:c r="C1801" s="7" t="n">
        <x:v>45878</x:v>
      </x:c>
      <x:c r="D1801" s="2" t="str">
        <x:v>Completed</x:v>
      </x:c>
      <x:c r="E1801" s="2" t="str">
        <x:v>North</x:v>
      </x:c>
      <x:c r="F1801" s="2" t="str">
        <x:v>Online</x:v>
      </x:c>
      <x:c r="G1801" s="9" t="n">
        <x:f>SUM(SalesLines!Q4439,SalesLines!Q4440,SalesLines!Q4441,SalesLines!Q4442)</x:f>
        <x:v>2645.4</x:v>
      </x:c>
      <x:c r="H1801" s="9" t="n">
        <x:f>SUM(SalesLines!M4439,SalesLines!M4440,SalesLines!M4441,SalesLines!M4442)</x:f>
        <x:v>2927</x:v>
      </x:c>
      <x:c r="I1801" s="9" t="n">
        <x:f>SUM(SalesLines!N4439,SalesLines!N4440,SalesLines!N4441,SalesLines!N4442)</x:f>
        <x:v>281.6</x:v>
      </x:c>
      <x:c r="J1801" s="9" t="n">
        <x:f>SUM(SalesLines!P4439,SalesLines!P4440,SalesLines!P4441,SalesLines!P4442)</x:f>
        <x:v>0</x:v>
      </x:c>
      <x:c r="K1801" s="11" t="n">
        <x:f>SUM(SalesLines!R4439,SalesLines!R4440,SalesLines!R4441,SalesLines!R4442)</x:f>
        <x:v>15</x:v>
      </x:c>
      <x:c r="L1801" s="11" t="n">
        <x:f>SUM(SalesLines!S4439,SalesLines!S4440,SalesLines!S4441,SalesLines!S4442)</x:f>
        <x:v>0</x:v>
      </x:c>
      <x:c r="M1801" s="8" t="n">
        <x:f>DATE(YEAR(C1801),MONTH(C1801),1)</x:f>
        <x:v>45870</x:v>
      </x:c>
    </x:row>
    <x:row r="1802" ht="22" customHeight="1">
      <x:c r="A1802" s="2" t="str">
        <x:v>O01798</x:v>
      </x:c>
      <x:c r="B1802" s="2" t="str">
        <x:v>C0262</x:v>
      </x:c>
      <x:c r="C1802" s="7" t="n">
        <x:v>45890</x:v>
      </x:c>
      <x:c r="D1802" s="2" t="str">
        <x:v>Completed</x:v>
      </x:c>
      <x:c r="E1802" s="2" t="str">
        <x:v>West</x:v>
      </x:c>
      <x:c r="F1802" s="2" t="str">
        <x:v>Online</x:v>
      </x:c>
      <x:c r="G1802" s="9" t="n">
        <x:f>SUM(SalesLines!Q4443,SalesLines!Q4444)</x:f>
        <x:v>1025.7</x:v>
      </x:c>
      <x:c r="H1802" s="9" t="n">
        <x:f>SUM(SalesLines!M4443,SalesLines!M4444)</x:f>
        <x:v>1095</x:v>
      </x:c>
      <x:c r="I1802" s="9" t="n">
        <x:f>SUM(SalesLines!N4443,SalesLines!N4444)</x:f>
        <x:v>69.3</x:v>
      </x:c>
      <x:c r="J1802" s="9" t="n">
        <x:f>SUM(SalesLines!P4443,SalesLines!P4444)</x:f>
        <x:v>0</x:v>
      </x:c>
      <x:c r="K1802" s="11" t="n">
        <x:f>SUM(SalesLines!R4443,SalesLines!R4444)</x:f>
        <x:v>6</x:v>
      </x:c>
      <x:c r="L1802" s="11" t="n">
        <x:f>SUM(SalesLines!S4443,SalesLines!S4444)</x:f>
        <x:v>0</x:v>
      </x:c>
      <x:c r="M1802" s="8" t="n">
        <x:f>DATE(YEAR(C1802),MONTH(C1802),1)</x:f>
        <x:v>45870</x:v>
      </x:c>
    </x:row>
    <x:row r="1803" ht="22" customHeight="1">
      <x:c r="A1803" s="2" t="str">
        <x:v>O01799</x:v>
      </x:c>
      <x:c r="B1803" s="2" t="str">
        <x:v>C0288</x:v>
      </x:c>
      <x:c r="C1803" s="7" t="n">
        <x:v>45954</x:v>
      </x:c>
      <x:c r="D1803" s="2" t="str">
        <x:v>Completed</x:v>
      </x:c>
      <x:c r="E1803" s="2" t="str">
        <x:v>East</x:v>
      </x:c>
      <x:c r="F1803" s="2" t="str">
        <x:v>Store</x:v>
      </x:c>
      <x:c r="G1803" s="9" t="n">
        <x:f>SUM(SalesLines!Q4445,SalesLines!Q4446,SalesLines!Q4447)</x:f>
        <x:v>699.5</x:v>
      </x:c>
      <x:c r="H1803" s="9" t="n">
        <x:f>SUM(SalesLines!M4445,SalesLines!M4446,SalesLines!M4447)</x:f>
        <x:v>766</x:v>
      </x:c>
      <x:c r="I1803" s="9" t="n">
        <x:f>SUM(SalesLines!N4445,SalesLines!N4446,SalesLines!N4447)</x:f>
        <x:v>66.5</x:v>
      </x:c>
      <x:c r="J1803" s="9" t="n">
        <x:f>SUM(SalesLines!P4445,SalesLines!P4446,SalesLines!P4447)</x:f>
        <x:v>0</x:v>
      </x:c>
      <x:c r="K1803" s="11" t="n">
        <x:f>SUM(SalesLines!R4445,SalesLines!R4446,SalesLines!R4447)</x:f>
        <x:v>5</x:v>
      </x:c>
      <x:c r="L1803" s="11" t="n">
        <x:f>SUM(SalesLines!S4445,SalesLines!S4446,SalesLines!S4447)</x:f>
        <x:v>0</x:v>
      </x:c>
      <x:c r="M1803" s="8" t="n">
        <x:f>DATE(YEAR(C1803),MONTH(C1803),1)</x:f>
        <x:v>45931</x:v>
      </x:c>
    </x:row>
    <x:row r="1804" ht="22" customHeight="1">
      <x:c r="A1804" s="2" t="str">
        <x:v>O01800</x:v>
      </x:c>
      <x:c r="B1804" s="2" t="str">
        <x:v>C0194</x:v>
      </x:c>
      <x:c r="C1804" s="7" t="n">
        <x:v>45701</x:v>
      </x:c>
      <x:c r="D1804" s="2" t="str">
        <x:v>Completed</x:v>
      </x:c>
      <x:c r="E1804" s="2" t="str">
        <x:v>North</x:v>
      </x:c>
      <x:c r="F1804" s="2" t="str">
        <x:v>Online</x:v>
      </x:c>
      <x:c r="G1804" s="9" t="n">
        <x:f>SUM(SalesLines!Q4448,SalesLines!Q4449,SalesLines!Q4450)</x:f>
        <x:v>2085.6</x:v>
      </x:c>
      <x:c r="H1804" s="9" t="n">
        <x:f>SUM(SalesLines!M4448,SalesLines!M4449,SalesLines!M4450)</x:f>
        <x:v>2448</x:v>
      </x:c>
      <x:c r="I1804" s="9" t="n">
        <x:f>SUM(SalesLines!N4448,SalesLines!N4449,SalesLines!N4450)</x:f>
        <x:v>176.20000000000002</x:v>
      </x:c>
      <x:c r="J1804" s="9" t="n">
        <x:f>SUM(SalesLines!P4448,SalesLines!P4449,SalesLines!P4450)</x:f>
        <x:v>186.2</x:v>
      </x:c>
      <x:c r="K1804" s="11" t="n">
        <x:f>SUM(SalesLines!R4448,SalesLines!R4449,SalesLines!R4450)</x:f>
        <x:v>9</x:v>
      </x:c>
      <x:c r="L1804" s="11" t="n">
        <x:f>SUM(SalesLines!S4448,SalesLines!S4449,SalesLines!S4450)</x:f>
        <x:v>1</x:v>
      </x:c>
      <x:c r="M1804" s="8" t="n">
        <x:f>DATE(YEAR(C1804),MONTH(C1804),1)</x:f>
        <x:v>45689</x:v>
      </x:c>
    </x:row>
  </x:sheetData>
  <x:pageMargins left="0.7" right="0.7" top="0.75" bottom="0.75" header="0.3" footer="0.3"/>
  <x:tableParts count="1">
    <x:tablePart xmlns:r="http://schemas.openxmlformats.org/officeDocument/2006/relationships" r:id="R5c6b9fa885c449c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5" t="str">
        <x:v>Sales line calculations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</x:row>
    <x:row r="3" ht="22" customHeight="1">
      <x:c r="A3" s="4" t="str">
        <x:v>Source: analysis/fact_order_lines.csv, joined from the five clean CSVs. One row per valid line.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4" customHeight="1">
      <x:c r="A4" s="14" t="str">
        <x:v>Line ID</x:v>
      </x:c>
      <x:c r="B4" s="14" t="str">
        <x:v>Order ID</x:v>
      </x:c>
      <x:c r="C4" s="14" t="str">
        <x:v>Order date</x:v>
      </x:c>
      <x:c r="D4" s="14" t="str">
        <x:v>Status</x:v>
      </x:c>
      <x:c r="E4" s="14" t="str">
        <x:v>Region</x:v>
      </x:c>
      <x:c r="F4" s="14" t="str">
        <x:v>Channel</x:v>
      </x:c>
      <x:c r="G4" s="14" t="str">
        <x:v>Category</x:v>
      </x:c>
      <x:c r="H4" s="14" t="str">
        <x:v>Product</x:v>
      </x:c>
      <x:c r="I4" s="14" t="str">
        <x:v>Quantity</x:v>
      </x:c>
      <x:c r="J4" s="14" t="str">
        <x:v>Unit price (USD)</x:v>
      </x:c>
      <x:c r="K4" s="14" t="str">
        <x:v>Discount rate</x:v>
      </x:c>
      <x:c r="L4" s="14" t="str">
        <x:v>Returned units</x:v>
      </x:c>
      <x:c r="M4" s="14" t="str">
        <x:v>Gross sales</x:v>
      </x:c>
      <x:c r="N4" s="14" t="str">
        <x:v>Discounts</x:v>
      </x:c>
      <x:c r="O4" s="14" t="str">
        <x:v>Before returns</x:v>
      </x:c>
      <x:c r="P4" s="14" t="str">
        <x:v>Refunds</x:v>
      </x:c>
      <x:c r="Q4" s="14" t="str">
        <x:v>Net sales</x:v>
      </x:c>
      <x:c r="R4" s="14" t="str">
        <x:v>Sold units (KPI)</x:v>
      </x:c>
      <x:c r="S4" s="14" t="str">
        <x:v>Returned units (KPI)</x:v>
      </x:c>
      <x:c r="T4" s="14" t="str">
        <x:v>Order month</x:v>
      </x:c>
    </x:row>
    <x:row r="5" ht="22" customHeight="1">
      <x:c r="A5" s="2" t="str">
        <x:v>L000001</x:v>
      </x:c>
      <x:c r="B5" s="2" t="str">
        <x:v>O00001</x:v>
      </x:c>
      <x:c r="C5" s="7" t="n">
        <x:v>45741</x:v>
      </x:c>
      <x:c r="D5" s="2" t="str">
        <x:v>Completed</x:v>
      </x:c>
      <x:c r="E5" s="2" t="str">
        <x:v>South</x:v>
      </x:c>
      <x:c r="F5" s="2" t="str">
        <x:v>Store</x:v>
      </x:c>
      <x:c r="G5" s="2" t="str">
        <x:v>Furniture</x:v>
      </x:c>
      <x:c r="H5" s="2" t="str">
        <x:v>Chair 010</x:v>
      </x:c>
      <x:c r="I5" s="11" t="n">
        <x:v>1</x:v>
      </x:c>
      <x:c r="J5" s="9" t="n">
        <x:v>211</x:v>
      </x:c>
      <x:c r="K5" s="10" t="n">
        <x:v>0.2</x:v>
      </x:c>
      <x:c r="L5" s="11" t="n">
        <x:v>0</x:v>
      </x:c>
      <x:c r="M5" s="9" t="n">
        <x:f>IF(D5="Completed",I5*J5,0)</x:f>
        <x:v>211</x:v>
      </x:c>
      <x:c r="N5" s="9" t="n">
        <x:f>M5*K5</x:f>
        <x:v>42.2</x:v>
      </x:c>
      <x:c r="O5" s="9" t="n">
        <x:f>M5-N5</x:f>
        <x:v>168.8</x:v>
      </x:c>
      <x:c r="P5" s="9" t="n">
        <x:f>IF(D5="Completed",L5*J5*(1-K5),0)</x:f>
        <x:v>0</x:v>
      </x:c>
      <x:c r="Q5" s="9" t="n">
        <x:f>O5-P5</x:f>
        <x:v>168.8</x:v>
      </x:c>
      <x:c r="R5" s="11" t="n">
        <x:f>IF(D5="Completed",I5,0)</x:f>
        <x:v>1</x:v>
      </x:c>
      <x:c r="S5" s="11" t="n">
        <x:f>IF(D5="Completed",L5,0)</x:f>
        <x:v>0</x:v>
      </x:c>
      <x:c r="T5" s="8" t="n">
        <x:f>DATE(YEAR(C5),MONTH(C5),1)</x:f>
        <x:v>45717</x:v>
      </x:c>
    </x:row>
    <x:row r="6" ht="22" customHeight="1">
      <x:c r="A6" s="2" t="str">
        <x:v>L000002</x:v>
      </x:c>
      <x:c r="B6" s="2" t="str">
        <x:v>O00002</x:v>
      </x:c>
      <x:c r="C6" s="7" t="n">
        <x:v>45898</x:v>
      </x:c>
      <x:c r="D6" s="2" t="str">
        <x:v>Completed</x:v>
      </x:c>
      <x:c r="E6" s="2" t="str">
        <x:v>West</x:v>
      </x:c>
      <x:c r="F6" s="2" t="str">
        <x:v>Store</x:v>
      </x:c>
      <x:c r="G6" s="2" t="str">
        <x:v>Furniture</x:v>
      </x:c>
      <x:c r="H6" s="2" t="str">
        <x:v>Desk 016</x:v>
      </x:c>
      <x:c r="I6" s="11" t="n">
        <x:v>1</x:v>
      </x:c>
      <x:c r="J6" s="9" t="n">
        <x:v>231</x:v>
      </x:c>
      <x:c r="K6" s="10" t="n">
        <x:v>0.1</x:v>
      </x:c>
      <x:c r="L6" s="11" t="n">
        <x:v>0</x:v>
      </x:c>
      <x:c r="M6" s="9" t="n">
        <x:f>IF(D6="Completed",I6*J6,0)</x:f>
        <x:v>231</x:v>
      </x:c>
      <x:c r="N6" s="9" t="n">
        <x:f>M6*K6</x:f>
        <x:v>23.1</x:v>
      </x:c>
      <x:c r="O6" s="9" t="n">
        <x:f>M6-N6</x:f>
        <x:v>207.9</x:v>
      </x:c>
      <x:c r="P6" s="9" t="n">
        <x:f>IF(D6="Completed",L6*J6*(1-K6),0)</x:f>
        <x:v>0</x:v>
      </x:c>
      <x:c r="Q6" s="9" t="n">
        <x:f>O6-P6</x:f>
        <x:v>207.9</x:v>
      </x:c>
      <x:c r="R6" s="11" t="n">
        <x:f>IF(D6="Completed",I6,0)</x:f>
        <x:v>1</x:v>
      </x:c>
      <x:c r="S6" s="11" t="n">
        <x:f>IF(D6="Completed",L6,0)</x:f>
        <x:v>0</x:v>
      </x:c>
      <x:c r="T6" s="8" t="n">
        <x:f>DATE(YEAR(C6),MONTH(C6),1)</x:f>
        <x:v>45870</x:v>
      </x:c>
    </x:row>
    <x:row r="7" ht="22" customHeight="1">
      <x:c r="A7" s="2" t="str">
        <x:v>L000003</x:v>
      </x:c>
      <x:c r="B7" s="2" t="str">
        <x:v>O00003</x:v>
      </x:c>
      <x:c r="C7" s="7" t="n">
        <x:v>45877</x:v>
      </x:c>
      <x:c r="D7" s="2" t="str">
        <x:v>Completed</x:v>
      </x:c>
      <x:c r="E7" s="2" t="str">
        <x:v>South</x:v>
      </x:c>
      <x:c r="F7" s="2" t="str">
        <x:v>Store</x:v>
      </x:c>
      <x:c r="G7" s="2" t="str">
        <x:v>Furniture</x:v>
      </x:c>
      <x:c r="H7" s="2" t="str">
        <x:v>Desk 024</x:v>
      </x:c>
      <x:c r="I7" s="11" t="n">
        <x:v>3</x:v>
      </x:c>
      <x:c r="J7" s="9" t="n">
        <x:v>81</x:v>
      </x:c>
      <x:c r="K7" s="10" t="n">
        <x:v>0.05</x:v>
      </x:c>
      <x:c r="L7" s="11" t="n">
        <x:v>0</x:v>
      </x:c>
      <x:c r="M7" s="9" t="n">
        <x:f>IF(D7="Completed",I7*J7,0)</x:f>
        <x:v>243</x:v>
      </x:c>
      <x:c r="N7" s="9" t="n">
        <x:f>M7*K7</x:f>
        <x:v>12.15</x:v>
      </x:c>
      <x:c r="O7" s="9" t="n">
        <x:f>M7-N7</x:f>
        <x:v>230.85</x:v>
      </x:c>
      <x:c r="P7" s="9" t="n">
        <x:f>IF(D7="Completed",L7*J7*(1-K7),0)</x:f>
        <x:v>0</x:v>
      </x:c>
      <x:c r="Q7" s="9" t="n">
        <x:f>O7-P7</x:f>
        <x:v>230.85</x:v>
      </x:c>
      <x:c r="R7" s="11" t="n">
        <x:f>IF(D7="Completed",I7,0)</x:f>
        <x:v>3</x:v>
      </x:c>
      <x:c r="S7" s="11" t="n">
        <x:f>IF(D7="Completed",L7,0)</x:f>
        <x:v>0</x:v>
      </x:c>
      <x:c r="T7" s="8" t="n">
        <x:f>DATE(YEAR(C7),MONTH(C7),1)</x:f>
        <x:v>45870</x:v>
      </x:c>
    </x:row>
    <x:row r="8" ht="22" customHeight="1">
      <x:c r="A8" s="2" t="str">
        <x:v>L000004</x:v>
      </x:c>
      <x:c r="B8" s="2" t="str">
        <x:v>O00003</x:v>
      </x:c>
      <x:c r="C8" s="7" t="n">
        <x:v>45877</x:v>
      </x:c>
      <x:c r="D8" s="2" t="str">
        <x:v>Completed</x:v>
      </x:c>
      <x:c r="E8" s="2" t="str">
        <x:v>South</x:v>
      </x:c>
      <x:c r="F8" s="2" t="str">
        <x:v>Store</x:v>
      </x:c>
      <x:c r="G8" s="2" t="str">
        <x:v>Furniture</x:v>
      </x:c>
      <x:c r="H8" s="2" t="str">
        <x:v>Desk 012</x:v>
      </x:c>
      <x:c r="I8" s="11" t="n">
        <x:v>3</x:v>
      </x:c>
      <x:c r="J8" s="9" t="n">
        <x:v>134</x:v>
      </x:c>
      <x:c r="K8" s="10" t="n">
        <x:v>0.05</x:v>
      </x:c>
      <x:c r="L8" s="11" t="n">
        <x:v>0</x:v>
      </x:c>
      <x:c r="M8" s="9" t="n">
        <x:f>IF(D8="Completed",I8*J8,0)</x:f>
        <x:v>402</x:v>
      </x:c>
      <x:c r="N8" s="9" t="n">
        <x:f>M8*K8</x:f>
        <x:v>20.1</x:v>
      </x:c>
      <x:c r="O8" s="9" t="n">
        <x:f>M8-N8</x:f>
        <x:v>381.9</x:v>
      </x:c>
      <x:c r="P8" s="9" t="n">
        <x:f>IF(D8="Completed",L8*J8*(1-K8),0)</x:f>
        <x:v>0</x:v>
      </x:c>
      <x:c r="Q8" s="9" t="n">
        <x:f>O8-P8</x:f>
        <x:v>381.9</x:v>
      </x:c>
      <x:c r="R8" s="11" t="n">
        <x:f>IF(D8="Completed",I8,0)</x:f>
        <x:v>3</x:v>
      </x:c>
      <x:c r="S8" s="11" t="n">
        <x:f>IF(D8="Completed",L8,0)</x:f>
        <x:v>0</x:v>
      </x:c>
      <x:c r="T8" s="8" t="n">
        <x:f>DATE(YEAR(C8),MONTH(C8),1)</x:f>
        <x:v>45870</x:v>
      </x:c>
    </x:row>
    <x:row r="9" ht="22" customHeight="1">
      <x:c r="A9" s="2" t="str">
        <x:v>L000005</x:v>
      </x:c>
      <x:c r="B9" s="2" t="str">
        <x:v>O00003</x:v>
      </x:c>
      <x:c r="C9" s="7" t="n">
        <x:v>45877</x:v>
      </x:c>
      <x:c r="D9" s="2" t="str">
        <x:v>Completed</x:v>
      </x:c>
      <x:c r="E9" s="2" t="str">
        <x:v>South</x:v>
      </x:c>
      <x:c r="F9" s="2" t="str">
        <x:v>Store</x:v>
      </x:c>
      <x:c r="G9" s="2" t="str">
        <x:v>Lighting</x:v>
      </x:c>
      <x:c r="H9" s="2" t="str">
        <x:v>Lamp 009</x:v>
      </x:c>
      <x:c r="I9" s="11" t="n">
        <x:v>2</x:v>
      </x:c>
      <x:c r="J9" s="9" t="n">
        <x:v>93</x:v>
      </x:c>
      <x:c r="K9" s="10" t="n">
        <x:v>0.05</x:v>
      </x:c>
      <x:c r="L9" s="11" t="n">
        <x:v>0</x:v>
      </x:c>
      <x:c r="M9" s="9" t="n">
        <x:f>IF(D9="Completed",I9*J9,0)</x:f>
        <x:v>186</x:v>
      </x:c>
      <x:c r="N9" s="9" t="n">
        <x:f>M9*K9</x:f>
        <x:v>9.3</x:v>
      </x:c>
      <x:c r="O9" s="9" t="n">
        <x:f>M9-N9</x:f>
        <x:v>176.7</x:v>
      </x:c>
      <x:c r="P9" s="9" t="n">
        <x:f>IF(D9="Completed",L9*J9*(1-K9),0)</x:f>
        <x:v>0</x:v>
      </x:c>
      <x:c r="Q9" s="9" t="n">
        <x:f>O9-P9</x:f>
        <x:v>176.7</x:v>
      </x:c>
      <x:c r="R9" s="11" t="n">
        <x:f>IF(D9="Completed",I9,0)</x:f>
        <x:v>2</x:v>
      </x:c>
      <x:c r="S9" s="11" t="n">
        <x:f>IF(D9="Completed",L9,0)</x:f>
        <x:v>0</x:v>
      </x:c>
      <x:c r="T9" s="8" t="n">
        <x:f>DATE(YEAR(C9),MONTH(C9),1)</x:f>
        <x:v>45870</x:v>
      </x:c>
    </x:row>
    <x:row r="10" ht="22" customHeight="1">
      <x:c r="A10" s="2" t="str">
        <x:v>L000006</x:v>
      </x:c>
      <x:c r="B10" s="2" t="str">
        <x:v>O00004</x:v>
      </x:c>
      <x:c r="C10" s="7" t="n">
        <x:v>45974</x:v>
      </x:c>
      <x:c r="D10" s="2" t="str">
        <x:v>Completed</x:v>
      </x:c>
      <x:c r="E10" s="2" t="str">
        <x:v>South</x:v>
      </x:c>
      <x:c r="F10" s="2" t="str">
        <x:v>Store</x:v>
      </x:c>
      <x:c r="G10" s="2" t="str">
        <x:v>Furniture</x:v>
      </x:c>
      <x:c r="H10" s="2" t="str">
        <x:v>Chair 022</x:v>
      </x:c>
      <x:c r="I10" s="11" t="n">
        <x:v>2</x:v>
      </x:c>
      <x:c r="J10" s="9" t="n">
        <x:v>134</x:v>
      </x:c>
      <x:c r="K10" s="10" t="n">
        <x:v>0.2</x:v>
      </x:c>
      <x:c r="L10" s="11" t="n">
        <x:v>0</x:v>
      </x:c>
      <x:c r="M10" s="9" t="n">
        <x:f>IF(D10="Completed",I10*J10,0)</x:f>
        <x:v>268</x:v>
      </x:c>
      <x:c r="N10" s="9" t="n">
        <x:f>M10*K10</x:f>
        <x:v>53.6</x:v>
      </x:c>
      <x:c r="O10" s="9" t="n">
        <x:f>M10-N10</x:f>
        <x:v>214.4</x:v>
      </x:c>
      <x:c r="P10" s="9" t="n">
        <x:f>IF(D10="Completed",L10*J10*(1-K10),0)</x:f>
        <x:v>0</x:v>
      </x:c>
      <x:c r="Q10" s="9" t="n">
        <x:f>O10-P10</x:f>
        <x:v>214.4</x:v>
      </x:c>
      <x:c r="R10" s="11" t="n">
        <x:f>IF(D10="Completed",I10,0)</x:f>
        <x:v>2</x:v>
      </x:c>
      <x:c r="S10" s="11" t="n">
        <x:f>IF(D10="Completed",L10,0)</x:f>
        <x:v>0</x:v>
      </x:c>
      <x:c r="T10" s="8" t="n">
        <x:f>DATE(YEAR(C10),MONTH(C10),1)</x:f>
        <x:v>45962</x:v>
      </x:c>
    </x:row>
    <x:row r="11" ht="22" customHeight="1">
      <x:c r="A11" s="2" t="str">
        <x:v>L000007</x:v>
      </x:c>
      <x:c r="B11" s="2" t="str">
        <x:v>O00004</x:v>
      </x:c>
      <x:c r="C11" s="7" t="n">
        <x:v>45974</x:v>
      </x:c>
      <x:c r="D11" s="2" t="str">
        <x:v>Completed</x:v>
      </x:c>
      <x:c r="E11" s="2" t="str">
        <x:v>South</x:v>
      </x:c>
      <x:c r="F11" s="2" t="str">
        <x:v>Store</x:v>
      </x:c>
      <x:c r="G11" s="2" t="str">
        <x:v>Furniture</x:v>
      </x:c>
      <x:c r="H11" s="2" t="str">
        <x:v>Chair 002</x:v>
      </x:c>
      <x:c r="I11" s="11" t="n">
        <x:v>1</x:v>
      </x:c>
      <x:c r="J11" s="9" t="n">
        <x:v>284</x:v>
      </x:c>
      <x:c r="K11" s="10" t="n">
        <x:v>0.05</x:v>
      </x:c>
      <x:c r="L11" s="11" t="n">
        <x:v>0</x:v>
      </x:c>
      <x:c r="M11" s="9" t="n">
        <x:f>IF(D11="Completed",I11*J11,0)</x:f>
        <x:v>284</x:v>
      </x:c>
      <x:c r="N11" s="9" t="n">
        <x:f>M11*K11</x:f>
        <x:v>14.200000000000001</x:v>
      </x:c>
      <x:c r="O11" s="9" t="n">
        <x:f>M11-N11</x:f>
        <x:v>269.8</x:v>
      </x:c>
      <x:c r="P11" s="9" t="n">
        <x:f>IF(D11="Completed",L11*J11*(1-K11),0)</x:f>
        <x:v>0</x:v>
      </x:c>
      <x:c r="Q11" s="9" t="n">
        <x:f>O11-P11</x:f>
        <x:v>269.8</x:v>
      </x:c>
      <x:c r="R11" s="11" t="n">
        <x:f>IF(D11="Completed",I11,0)</x:f>
        <x:v>1</x:v>
      </x:c>
      <x:c r="S11" s="11" t="n">
        <x:f>IF(D11="Completed",L11,0)</x:f>
        <x:v>0</x:v>
      </x:c>
      <x:c r="T11" s="8" t="n">
        <x:f>DATE(YEAR(C11),MONTH(C11),1)</x:f>
        <x:v>45962</x:v>
      </x:c>
    </x:row>
    <x:row r="12" ht="22" customHeight="1">
      <x:c r="A12" s="2" t="str">
        <x:v>L000008</x:v>
      </x:c>
      <x:c r="B12" s="2" t="str">
        <x:v>O00004</x:v>
      </x:c>
      <x:c r="C12" s="7" t="n">
        <x:v>45974</x:v>
      </x:c>
      <x:c r="D12" s="2" t="str">
        <x:v>Completed</x:v>
      </x:c>
      <x:c r="E12" s="2" t="str">
        <x:v>South</x:v>
      </x:c>
      <x:c r="F12" s="2" t="str">
        <x:v>Store</x:v>
      </x:c>
      <x:c r="G12" s="2" t="str">
        <x:v>Furniture</x:v>
      </x:c>
      <x:c r="H12" s="2" t="str">
        <x:v>Chair 018</x:v>
      </x:c>
      <x:c r="I12" s="11" t="n">
        <x:v>1</x:v>
      </x:c>
      <x:c r="J12" s="9" t="n">
        <x:v>269</x:v>
      </x:c>
      <x:c r="K12" s="10" t="n">
        <x:v>0</x:v>
      </x:c>
      <x:c r="L12" s="11" t="n">
        <x:v>0</x:v>
      </x:c>
      <x:c r="M12" s="9" t="n">
        <x:f>IF(D12="Completed",I12*J12,0)</x:f>
        <x:v>269</x:v>
      </x:c>
      <x:c r="N12" s="9" t="n">
        <x:f>M12*K12</x:f>
        <x:v>0</x:v>
      </x:c>
      <x:c r="O12" s="9" t="n">
        <x:f>M12-N12</x:f>
        <x:v>269</x:v>
      </x:c>
      <x:c r="P12" s="9" t="n">
        <x:f>IF(D12="Completed",L12*J12*(1-K12),0)</x:f>
        <x:v>0</x:v>
      </x:c>
      <x:c r="Q12" s="9" t="n">
        <x:f>O12-P12</x:f>
        <x:v>269</x:v>
      </x:c>
      <x:c r="R12" s="11" t="n">
        <x:f>IF(D12="Completed",I12,0)</x:f>
        <x:v>1</x:v>
      </x:c>
      <x:c r="S12" s="11" t="n">
        <x:f>IF(D12="Completed",L12,0)</x:f>
        <x:v>0</x:v>
      </x:c>
      <x:c r="T12" s="8" t="n">
        <x:f>DATE(YEAR(C12),MONTH(C12),1)</x:f>
        <x:v>45962</x:v>
      </x:c>
    </x:row>
    <x:row r="13" ht="22" customHeight="1">
      <x:c r="A13" s="2" t="str">
        <x:v>L000009</x:v>
      </x:c>
      <x:c r="B13" s="2" t="str">
        <x:v>O00005</x:v>
      </x:c>
      <x:c r="C13" s="7" t="n">
        <x:v>45946</x:v>
      </x:c>
      <x:c r="D13" s="2" t="str">
        <x:v>Completed</x:v>
      </x:c>
      <x:c r="E13" s="2" t="str">
        <x:v>East</x:v>
      </x:c>
      <x:c r="F13" s="2" t="str">
        <x:v>Store</x:v>
      </x:c>
      <x:c r="G13" s="2" t="str">
        <x:v>Furniture</x:v>
      </x:c>
      <x:c r="H13" s="2" t="str">
        <x:v>Chair 006</x:v>
      </x:c>
      <x:c r="I13" s="11" t="n">
        <x:v>2</x:v>
      </x:c>
      <x:c r="J13" s="9" t="n">
        <x:v>196</x:v>
      </x:c>
      <x:c r="K13" s="10" t="n">
        <x:v>0.2</x:v>
      </x:c>
      <x:c r="L13" s="11" t="n">
        <x:v>0</x:v>
      </x:c>
      <x:c r="M13" s="9" t="n">
        <x:f>IF(D13="Completed",I13*J13,0)</x:f>
        <x:v>392</x:v>
      </x:c>
      <x:c r="N13" s="9" t="n">
        <x:f>M13*K13</x:f>
        <x:v>78.4</x:v>
      </x:c>
      <x:c r="O13" s="9" t="n">
        <x:f>M13-N13</x:f>
        <x:v>313.6</x:v>
      </x:c>
      <x:c r="P13" s="9" t="n">
        <x:f>IF(D13="Completed",L13*J13*(1-K13),0)</x:f>
        <x:v>0</x:v>
      </x:c>
      <x:c r="Q13" s="9" t="n">
        <x:f>O13-P13</x:f>
        <x:v>313.6</x:v>
      </x:c>
      <x:c r="R13" s="11" t="n">
        <x:f>IF(D13="Completed",I13,0)</x:f>
        <x:v>2</x:v>
      </x:c>
      <x:c r="S13" s="11" t="n">
        <x:f>IF(D13="Completed",L13,0)</x:f>
        <x:v>0</x:v>
      </x:c>
      <x:c r="T13" s="8" t="n">
        <x:f>DATE(YEAR(C13),MONTH(C13),1)</x:f>
        <x:v>45931</x:v>
      </x:c>
    </x:row>
    <x:row r="14" ht="22" customHeight="1">
      <x:c r="A14" s="2" t="str">
        <x:v>L000010</x:v>
      </x:c>
      <x:c r="B14" s="2" t="str">
        <x:v>O00005</x:v>
      </x:c>
      <x:c r="C14" s="7" t="n">
        <x:v>45946</x:v>
      </x:c>
      <x:c r="D14" s="2" t="str">
        <x:v>Completed</x:v>
      </x:c>
      <x:c r="E14" s="2" t="str">
        <x:v>East</x:v>
      </x:c>
      <x:c r="F14" s="2" t="str">
        <x:v>Store</x:v>
      </x:c>
      <x:c r="G14" s="2" t="str">
        <x:v>Furniture</x:v>
      </x:c>
      <x:c r="H14" s="2" t="str">
        <x:v>Desk 008</x:v>
      </x:c>
      <x:c r="I14" s="11" t="n">
        <x:v>2</x:v>
      </x:c>
      <x:c r="J14" s="9" t="n">
        <x:v>188</x:v>
      </x:c>
      <x:c r="K14" s="10" t="n">
        <x:v>0.1</x:v>
      </x:c>
      <x:c r="L14" s="11" t="n">
        <x:v>0</x:v>
      </x:c>
      <x:c r="M14" s="9" t="n">
        <x:f>IF(D14="Completed",I14*J14,0)</x:f>
        <x:v>376</x:v>
      </x:c>
      <x:c r="N14" s="9" t="n">
        <x:f>M14*K14</x:f>
        <x:v>37.6</x:v>
      </x:c>
      <x:c r="O14" s="9" t="n">
        <x:f>M14-N14</x:f>
        <x:v>338.4</x:v>
      </x:c>
      <x:c r="P14" s="9" t="n">
        <x:f>IF(D14="Completed",L14*J14*(1-K14),0)</x:f>
        <x:v>0</x:v>
      </x:c>
      <x:c r="Q14" s="9" t="n">
        <x:f>O14-P14</x:f>
        <x:v>338.4</x:v>
      </x:c>
      <x:c r="R14" s="11" t="n">
        <x:f>IF(D14="Completed",I14,0)</x:f>
        <x:v>2</x:v>
      </x:c>
      <x:c r="S14" s="11" t="n">
        <x:f>IF(D14="Completed",L14,0)</x:f>
        <x:v>0</x:v>
      </x:c>
      <x:c r="T14" s="8" t="n">
        <x:f>DATE(YEAR(C14),MONTH(C14),1)</x:f>
        <x:v>45931</x:v>
      </x:c>
    </x:row>
    <x:row r="15" ht="22" customHeight="1">
      <x:c r="A15" s="2" t="str">
        <x:v>L000011</x:v>
      </x:c>
      <x:c r="B15" s="2" t="str">
        <x:v>O00005</x:v>
      </x:c>
      <x:c r="C15" s="7" t="n">
        <x:v>45946</x:v>
      </x:c>
      <x:c r="D15" s="2" t="str">
        <x:v>Completed</x:v>
      </x:c>
      <x:c r="E15" s="2" t="str">
        <x:v>East</x:v>
      </x:c>
      <x:c r="F15" s="2" t="str">
        <x:v>Store</x:v>
      </x:c>
      <x:c r="G15" s="2" t="str">
        <x:v>Storage</x:v>
      </x:c>
      <x:c r="H15" s="2" t="str">
        <x:v>Shelf 019</x:v>
      </x:c>
      <x:c r="I15" s="11" t="n">
        <x:v>5</x:v>
      </x:c>
      <x:c r="J15" s="9" t="n">
        <x:v>78</x:v>
      </x:c>
      <x:c r="K15" s="10" t="n">
        <x:v>0.2</x:v>
      </x:c>
      <x:c r="L15" s="11" t="n">
        <x:v>0</x:v>
      </x:c>
      <x:c r="M15" s="9" t="n">
        <x:f>IF(D15="Completed",I15*J15,0)</x:f>
        <x:v>390</x:v>
      </x:c>
      <x:c r="N15" s="9" t="n">
        <x:f>M15*K15</x:f>
        <x:v>78</x:v>
      </x:c>
      <x:c r="O15" s="9" t="n">
        <x:f>M15-N15</x:f>
        <x:v>312</x:v>
      </x:c>
      <x:c r="P15" s="9" t="n">
        <x:f>IF(D15="Completed",L15*J15*(1-K15),0)</x:f>
        <x:v>0</x:v>
      </x:c>
      <x:c r="Q15" s="9" t="n">
        <x:f>O15-P15</x:f>
        <x:v>312</x:v>
      </x:c>
      <x:c r="R15" s="11" t="n">
        <x:f>IF(D15="Completed",I15,0)</x:f>
        <x:v>5</x:v>
      </x:c>
      <x:c r="S15" s="11" t="n">
        <x:f>IF(D15="Completed",L15,0)</x:f>
        <x:v>0</x:v>
      </x:c>
      <x:c r="T15" s="8" t="n">
        <x:f>DATE(YEAR(C15),MONTH(C15),1)</x:f>
        <x:v>45931</x:v>
      </x:c>
    </x:row>
    <x:row r="16" ht="22" customHeight="1">
      <x:c r="A16" s="2" t="str">
        <x:v>L000012</x:v>
      </x:c>
      <x:c r="B16" s="2" t="str">
        <x:v>O00005</x:v>
      </x:c>
      <x:c r="C16" s="7" t="n">
        <x:v>45946</x:v>
      </x:c>
      <x:c r="D16" s="2" t="str">
        <x:v>Completed</x:v>
      </x:c>
      <x:c r="E16" s="2" t="str">
        <x:v>East</x:v>
      </x:c>
      <x:c r="F16" s="2" t="str">
        <x:v>Store</x:v>
      </x:c>
      <x:c r="G16" s="2" t="str">
        <x:v>Storage</x:v>
      </x:c>
      <x:c r="H16" s="2" t="str">
        <x:v>Shelf 007</x:v>
      </x:c>
      <x:c r="I16" s="11" t="n">
        <x:v>3</x:v>
      </x:c>
      <x:c r="J16" s="9" t="n">
        <x:v>35</x:v>
      </x:c>
      <x:c r="K16" s="10" t="n">
        <x:v>0.05</x:v>
      </x:c>
      <x:c r="L16" s="11" t="n">
        <x:v>0</x:v>
      </x:c>
      <x:c r="M16" s="9" t="n">
        <x:f>IF(D16="Completed",I16*J16,0)</x:f>
        <x:v>105</x:v>
      </x:c>
      <x:c r="N16" s="9" t="n">
        <x:f>M16*K16</x:f>
        <x:v>5.25</x:v>
      </x:c>
      <x:c r="O16" s="9" t="n">
        <x:f>M16-N16</x:f>
        <x:v>99.75</x:v>
      </x:c>
      <x:c r="P16" s="9" t="n">
        <x:f>IF(D16="Completed",L16*J16*(1-K16),0)</x:f>
        <x:v>0</x:v>
      </x:c>
      <x:c r="Q16" s="9" t="n">
        <x:f>O16-P16</x:f>
        <x:v>99.75</x:v>
      </x:c>
      <x:c r="R16" s="11" t="n">
        <x:f>IF(D16="Completed",I16,0)</x:f>
        <x:v>3</x:v>
      </x:c>
      <x:c r="S16" s="11" t="n">
        <x:f>IF(D16="Completed",L16,0)</x:f>
        <x:v>0</x:v>
      </x:c>
      <x:c r="T16" s="8" t="n">
        <x:f>DATE(YEAR(C16),MONTH(C16),1)</x:f>
        <x:v>45931</x:v>
      </x:c>
    </x:row>
    <x:row r="17" ht="22" customHeight="1">
      <x:c r="A17" s="2" t="str">
        <x:v>L000013</x:v>
      </x:c>
      <x:c r="B17" s="2" t="str">
        <x:v>O00006</x:v>
      </x:c>
      <x:c r="C17" s="7" t="n">
        <x:v>45944</x:v>
      </x:c>
      <x:c r="D17" s="2" t="str">
        <x:v>Cancelled</x:v>
      </x:c>
      <x:c r="E17" s="2" t="str">
        <x:v>North</x:v>
      </x:c>
      <x:c r="F17" s="2" t="str">
        <x:v>Online</x:v>
      </x:c>
      <x:c r="G17" s="2" t="str">
        <x:v>Lighting</x:v>
      </x:c>
      <x:c r="H17" s="2" t="str">
        <x:v>Lamp 013</x:v>
      </x:c>
      <x:c r="I17" s="11" t="n">
        <x:v>2</x:v>
      </x:c>
      <x:c r="J17" s="9" t="n">
        <x:v>271</x:v>
      </x:c>
      <x:c r="K17" s="10" t="n">
        <x:v>0</x:v>
      </x:c>
      <x:c r="L17" s="11" t="n">
        <x:v>0</x:v>
      </x:c>
      <x:c r="M17" s="9" t="n">
        <x:f>IF(D17="Completed",I17*J17,0)</x:f>
        <x:v>0</x:v>
      </x:c>
      <x:c r="N17" s="9" t="n">
        <x:f>M17*K17</x:f>
        <x:v>0</x:v>
      </x:c>
      <x:c r="O17" s="9" t="n">
        <x:f>M17-N17</x:f>
        <x:v>0</x:v>
      </x:c>
      <x:c r="P17" s="9" t="n">
        <x:f>IF(D17="Completed",L17*J17*(1-K17),0)</x:f>
        <x:v>0</x:v>
      </x:c>
      <x:c r="Q17" s="9" t="n">
        <x:f>O17-P17</x:f>
        <x:v>0</x:v>
      </x:c>
      <x:c r="R17" s="11" t="n">
        <x:f>IF(D17="Completed",I17,0)</x:f>
        <x:v>0</x:v>
      </x:c>
      <x:c r="S17" s="11" t="n">
        <x:f>IF(D17="Completed",L17,0)</x:f>
        <x:v>0</x:v>
      </x:c>
      <x:c r="T17" s="8" t="n">
        <x:f>DATE(YEAR(C17),MONTH(C17),1)</x:f>
        <x:v>45931</x:v>
      </x:c>
    </x:row>
    <x:row r="18" ht="22" customHeight="1">
      <x:c r="A18" s="2" t="str">
        <x:v>L000014</x:v>
      </x:c>
      <x:c r="B18" s="2" t="str">
        <x:v>O00006</x:v>
      </x:c>
      <x:c r="C18" s="7" t="n">
        <x:v>45944</x:v>
      </x:c>
      <x:c r="D18" s="2" t="str">
        <x:v>Cancelled</x:v>
      </x:c>
      <x:c r="E18" s="2" t="str">
        <x:v>North</x:v>
      </x:c>
      <x:c r="F18" s="2" t="str">
        <x:v>Online</x:v>
      </x:c>
      <x:c r="G18" s="2" t="str">
        <x:v>Furniture</x:v>
      </x:c>
      <x:c r="H18" s="2" t="str">
        <x:v>Desk 012</x:v>
      </x:c>
      <x:c r="I18" s="11" t="n">
        <x:v>1</x:v>
      </x:c>
      <x:c r="J18" s="9" t="n">
        <x:v>134</x:v>
      </x:c>
      <x:c r="K18" s="10" t="n">
        <x:v>0.2</x:v>
      </x:c>
      <x:c r="L18" s="11" t="n">
        <x:v>0</x:v>
      </x:c>
      <x:c r="M18" s="9" t="n">
        <x:f>IF(D18="Completed",I18*J18,0)</x:f>
        <x:v>0</x:v>
      </x:c>
      <x:c r="N18" s="9" t="n">
        <x:f>M18*K18</x:f>
        <x:v>0</x:v>
      </x:c>
      <x:c r="O18" s="9" t="n">
        <x:f>M18-N18</x:f>
        <x:v>0</x:v>
      </x:c>
      <x:c r="P18" s="9" t="n">
        <x:f>IF(D18="Completed",L18*J18*(1-K18),0)</x:f>
        <x:v>0</x:v>
      </x:c>
      <x:c r="Q18" s="9" t="n">
        <x:f>O18-P18</x:f>
        <x:v>0</x:v>
      </x:c>
      <x:c r="R18" s="11" t="n">
        <x:f>IF(D18="Completed",I18,0)</x:f>
        <x:v>0</x:v>
      </x:c>
      <x:c r="S18" s="11" t="n">
        <x:f>IF(D18="Completed",L18,0)</x:f>
        <x:v>0</x:v>
      </x:c>
      <x:c r="T18" s="8" t="n">
        <x:f>DATE(YEAR(C18),MONTH(C18),1)</x:f>
        <x:v>45931</x:v>
      </x:c>
    </x:row>
    <x:row r="19" ht="22" customHeight="1">
      <x:c r="A19" s="2" t="str">
        <x:v>L000015</x:v>
      </x:c>
      <x:c r="B19" s="2" t="str">
        <x:v>O00006</x:v>
      </x:c>
      <x:c r="C19" s="7" t="n">
        <x:v>45944</x:v>
      </x:c>
      <x:c r="D19" s="2" t="str">
        <x:v>Cancelled</x:v>
      </x:c>
      <x:c r="E19" s="2" t="str">
        <x:v>North</x:v>
      </x:c>
      <x:c r="F19" s="2" t="str">
        <x:v>Online</x:v>
      </x:c>
      <x:c r="G19" s="2" t="str">
        <x:v>Furniture</x:v>
      </x:c>
      <x:c r="H19" s="2" t="str">
        <x:v>Chair 018</x:v>
      </x:c>
      <x:c r="I19" s="11" t="n">
        <x:v>2</x:v>
      </x:c>
      <x:c r="J19" s="9" t="n">
        <x:v>269</x:v>
      </x:c>
      <x:c r="K19" s="10" t="n">
        <x:v>0</x:v>
      </x:c>
      <x:c r="L19" s="11" t="n">
        <x:v>0</x:v>
      </x:c>
      <x:c r="M19" s="9" t="n">
        <x:f>IF(D19="Completed",I19*J19,0)</x:f>
        <x:v>0</x:v>
      </x:c>
      <x:c r="N19" s="9" t="n">
        <x:f>M19*K19</x:f>
        <x:v>0</x:v>
      </x:c>
      <x:c r="O19" s="9" t="n">
        <x:f>M19-N19</x:f>
        <x:v>0</x:v>
      </x:c>
      <x:c r="P19" s="9" t="n">
        <x:f>IF(D19="Completed",L19*J19*(1-K19),0)</x:f>
        <x:v>0</x:v>
      </x:c>
      <x:c r="Q19" s="9" t="n">
        <x:f>O19-P19</x:f>
        <x:v>0</x:v>
      </x:c>
      <x:c r="R19" s="11" t="n">
        <x:f>IF(D19="Completed",I19,0)</x:f>
        <x:v>0</x:v>
      </x:c>
      <x:c r="S19" s="11" t="n">
        <x:f>IF(D19="Completed",L19,0)</x:f>
        <x:v>0</x:v>
      </x:c>
      <x:c r="T19" s="8" t="n">
        <x:f>DATE(YEAR(C19),MONTH(C19),1)</x:f>
        <x:v>45931</x:v>
      </x:c>
    </x:row>
    <x:row r="20" ht="22" customHeight="1">
      <x:c r="A20" s="2" t="str">
        <x:v>L000016</x:v>
      </x:c>
      <x:c r="B20" s="2" t="str">
        <x:v>O00007</x:v>
      </x:c>
      <x:c r="C20" s="7" t="n">
        <x:v>45970</x:v>
      </x:c>
      <x:c r="D20" s="2" t="str">
        <x:v>Completed</x:v>
      </x:c>
      <x:c r="E20" s="2" t="str">
        <x:v>East</x:v>
      </x:c>
      <x:c r="F20" s="2" t="str">
        <x:v>Online</x:v>
      </x:c>
      <x:c r="G20" s="2" t="str">
        <x:v>Furniture</x:v>
      </x:c>
      <x:c r="H20" s="2" t="str">
        <x:v>Desk 020</x:v>
      </x:c>
      <x:c r="I20" s="11" t="n">
        <x:v>3</x:v>
      </x:c>
      <x:c r="J20" s="9" t="n">
        <x:v>189</x:v>
      </x:c>
      <x:c r="K20" s="10" t="n">
        <x:v>0.1</x:v>
      </x:c>
      <x:c r="L20" s="11" t="n">
        <x:v>0</x:v>
      </x:c>
      <x:c r="M20" s="9" t="n">
        <x:f>IF(D20="Completed",I20*J20,0)</x:f>
        <x:v>567</x:v>
      </x:c>
      <x:c r="N20" s="9" t="n">
        <x:f>M20*K20</x:f>
        <x:v>56.7</x:v>
      </x:c>
      <x:c r="O20" s="9" t="n">
        <x:f>M20-N20</x:f>
        <x:v>510.3</x:v>
      </x:c>
      <x:c r="P20" s="9" t="n">
        <x:f>IF(D20="Completed",L20*J20*(1-K20),0)</x:f>
        <x:v>0</x:v>
      </x:c>
      <x:c r="Q20" s="9" t="n">
        <x:f>O20-P20</x:f>
        <x:v>510.3</x:v>
      </x:c>
      <x:c r="R20" s="11" t="n">
        <x:f>IF(D20="Completed",I20,0)</x:f>
        <x:v>3</x:v>
      </x:c>
      <x:c r="S20" s="11" t="n">
        <x:f>IF(D20="Completed",L20,0)</x:f>
        <x:v>0</x:v>
      </x:c>
      <x:c r="T20" s="8" t="n">
        <x:f>DATE(YEAR(C20),MONTH(C20),1)</x:f>
        <x:v>45962</x:v>
      </x:c>
    </x:row>
    <x:row r="21" ht="22" customHeight="1">
      <x:c r="A21" s="2" t="str">
        <x:v>L000017</x:v>
      </x:c>
      <x:c r="B21" s="2" t="str">
        <x:v>O00007</x:v>
      </x:c>
      <x:c r="C21" s="7" t="n">
        <x:v>45970</x:v>
      </x:c>
      <x:c r="D21" s="2" t="str">
        <x:v>Completed</x:v>
      </x:c>
      <x:c r="E21" s="2" t="str">
        <x:v>East</x:v>
      </x:c>
      <x:c r="F21" s="2" t="str">
        <x:v>Online</x:v>
      </x:c>
      <x:c r="G21" s="2" t="str">
        <x:v>Furniture</x:v>
      </x:c>
      <x:c r="H21" s="2" t="str">
        <x:v>Chair 006</x:v>
      </x:c>
      <x:c r="I21" s="11" t="n">
        <x:v>2</x:v>
      </x:c>
      <x:c r="J21" s="9" t="n">
        <x:v>196</x:v>
      </x:c>
      <x:c r="K21" s="10" t="n">
        <x:v>0</x:v>
      </x:c>
      <x:c r="L21" s="11" t="n">
        <x:v>0</x:v>
      </x:c>
      <x:c r="M21" s="9" t="n">
        <x:f>IF(D21="Completed",I21*J21,0)</x:f>
        <x:v>392</x:v>
      </x:c>
      <x:c r="N21" s="9" t="n">
        <x:f>M21*K21</x:f>
        <x:v>0</x:v>
      </x:c>
      <x:c r="O21" s="9" t="n">
        <x:f>M21-N21</x:f>
        <x:v>392</x:v>
      </x:c>
      <x:c r="P21" s="9" t="n">
        <x:f>IF(D21="Completed",L21*J21*(1-K21),0)</x:f>
        <x:v>0</x:v>
      </x:c>
      <x:c r="Q21" s="9" t="n">
        <x:f>O21-P21</x:f>
        <x:v>392</x:v>
      </x:c>
      <x:c r="R21" s="11" t="n">
        <x:f>IF(D21="Completed",I21,0)</x:f>
        <x:v>2</x:v>
      </x:c>
      <x:c r="S21" s="11" t="n">
        <x:f>IF(D21="Completed",L21,0)</x:f>
        <x:v>0</x:v>
      </x:c>
      <x:c r="T21" s="8" t="n">
        <x:f>DATE(YEAR(C21),MONTH(C21),1)</x:f>
        <x:v>45962</x:v>
      </x:c>
    </x:row>
    <x:row r="22" ht="22" customHeight="1">
      <x:c r="A22" s="2" t="str">
        <x:v>L000018</x:v>
      </x:c>
      <x:c r="B22" s="2" t="str">
        <x:v>O00008</x:v>
      </x:c>
      <x:c r="C22" s="7" t="n">
        <x:v>45733</x:v>
      </x:c>
      <x:c r="D22" s="2" t="str">
        <x:v>Completed</x:v>
      </x:c>
      <x:c r="E22" s="2" t="str">
        <x:v>West</x:v>
      </x:c>
      <x:c r="F22" s="2" t="str">
        <x:v>Online</x:v>
      </x:c>
      <x:c r="G22" s="2" t="str">
        <x:v>Lighting</x:v>
      </x:c>
      <x:c r="H22" s="2" t="str">
        <x:v>Lamp 005</x:v>
      </x:c>
      <x:c r="I22" s="11" t="n">
        <x:v>2</x:v>
      </x:c>
      <x:c r="J22" s="9" t="n">
        <x:v>65</x:v>
      </x:c>
      <x:c r="K22" s="10" t="n">
        <x:v>0</x:v>
      </x:c>
      <x:c r="L22" s="11" t="n">
        <x:v>0</x:v>
      </x:c>
      <x:c r="M22" s="9" t="n">
        <x:f>IF(D22="Completed",I22*J22,0)</x:f>
        <x:v>130</x:v>
      </x:c>
      <x:c r="N22" s="9" t="n">
        <x:f>M22*K22</x:f>
        <x:v>0</x:v>
      </x:c>
      <x:c r="O22" s="9" t="n">
        <x:f>M22-N22</x:f>
        <x:v>130</x:v>
      </x:c>
      <x:c r="P22" s="9" t="n">
        <x:f>IF(D22="Completed",L22*J22*(1-K22),0)</x:f>
        <x:v>0</x:v>
      </x:c>
      <x:c r="Q22" s="9" t="n">
        <x:f>O22-P22</x:f>
        <x:v>130</x:v>
      </x:c>
      <x:c r="R22" s="11" t="n">
        <x:f>IF(D22="Completed",I22,0)</x:f>
        <x:v>2</x:v>
      </x:c>
      <x:c r="S22" s="11" t="n">
        <x:f>IF(D22="Completed",L22,0)</x:f>
        <x:v>0</x:v>
      </x:c>
      <x:c r="T22" s="8" t="n">
        <x:f>DATE(YEAR(C22),MONTH(C22),1)</x:f>
        <x:v>45717</x:v>
      </x:c>
    </x:row>
    <x:row r="23" ht="22" customHeight="1">
      <x:c r="A23" s="2" t="str">
        <x:v>L000019</x:v>
      </x:c>
      <x:c r="B23" s="2" t="str">
        <x:v>O00008</x:v>
      </x:c>
      <x:c r="C23" s="7" t="n">
        <x:v>45733</x:v>
      </x:c>
      <x:c r="D23" s="2" t="str">
        <x:v>Completed</x:v>
      </x:c>
      <x:c r="E23" s="2" t="str">
        <x:v>West</x:v>
      </x:c>
      <x:c r="F23" s="2" t="str">
        <x:v>Online</x:v>
      </x:c>
      <x:c r="G23" s="2" t="str">
        <x:v>Furniture</x:v>
      </x:c>
      <x:c r="H23" s="2" t="str">
        <x:v>Chair 002</x:v>
      </x:c>
      <x:c r="I23" s="11" t="n">
        <x:v>1</x:v>
      </x:c>
      <x:c r="J23" s="9" t="n">
        <x:v>284</x:v>
      </x:c>
      <x:c r="K23" s="10" t="n">
        <x:v>0.1</x:v>
      </x:c>
      <x:c r="L23" s="11" t="n">
        <x:v>0</x:v>
      </x:c>
      <x:c r="M23" s="9" t="n">
        <x:f>IF(D23="Completed",I23*J23,0)</x:f>
        <x:v>284</x:v>
      </x:c>
      <x:c r="N23" s="9" t="n">
        <x:f>M23*K23</x:f>
        <x:v>28.400000000000002</x:v>
      </x:c>
      <x:c r="O23" s="9" t="n">
        <x:f>M23-N23</x:f>
        <x:v>255.6</x:v>
      </x:c>
      <x:c r="P23" s="9" t="n">
        <x:f>IF(D23="Completed",L23*J23*(1-K23),0)</x:f>
        <x:v>0</x:v>
      </x:c>
      <x:c r="Q23" s="9" t="n">
        <x:f>O23-P23</x:f>
        <x:v>255.6</x:v>
      </x:c>
      <x:c r="R23" s="11" t="n">
        <x:f>IF(D23="Completed",I23,0)</x:f>
        <x:v>1</x:v>
      </x:c>
      <x:c r="S23" s="11" t="n">
        <x:f>IF(D23="Completed",L23,0)</x:f>
        <x:v>0</x:v>
      </x:c>
      <x:c r="T23" s="8" t="n">
        <x:f>DATE(YEAR(C23),MONTH(C23),1)</x:f>
        <x:v>45717</x:v>
      </x:c>
    </x:row>
    <x:row r="24" ht="22" customHeight="1">
      <x:c r="A24" s="2" t="str">
        <x:v>L000020</x:v>
      </x:c>
      <x:c r="B24" s="2" t="str">
        <x:v>O00009</x:v>
      </x:c>
      <x:c r="C24" s="7" t="n">
        <x:v>45965</x:v>
      </x:c>
      <x:c r="D24" s="2" t="str">
        <x:v>Completed</x:v>
      </x:c>
      <x:c r="E24" s="2" t="str">
        <x:v>West</x:v>
      </x:c>
      <x:c r="F24" s="2" t="str">
        <x:v>Online</x:v>
      </x:c>
      <x:c r="G24" s="2" t="str">
        <x:v>Lighting</x:v>
      </x:c>
      <x:c r="H24" s="2" t="str">
        <x:v>Lamp 009</x:v>
      </x:c>
      <x:c r="I24" s="11" t="n">
        <x:v>4</x:v>
      </x:c>
      <x:c r="J24" s="9" t="n">
        <x:v>93</x:v>
      </x:c>
      <x:c r="K24" s="10" t="n">
        <x:v>0</x:v>
      </x:c>
      <x:c r="L24" s="11" t="n">
        <x:v>0</x:v>
      </x:c>
      <x:c r="M24" s="9" t="n">
        <x:f>IF(D24="Completed",I24*J24,0)</x:f>
        <x:v>372</x:v>
      </x:c>
      <x:c r="N24" s="9" t="n">
        <x:f>M24*K24</x:f>
        <x:v>0</x:v>
      </x:c>
      <x:c r="O24" s="9" t="n">
        <x:f>M24-N24</x:f>
        <x:v>372</x:v>
      </x:c>
      <x:c r="P24" s="9" t="n">
        <x:f>IF(D24="Completed",L24*J24*(1-K24),0)</x:f>
        <x:v>0</x:v>
      </x:c>
      <x:c r="Q24" s="9" t="n">
        <x:f>O24-P24</x:f>
        <x:v>372</x:v>
      </x:c>
      <x:c r="R24" s="11" t="n">
        <x:f>IF(D24="Completed",I24,0)</x:f>
        <x:v>4</x:v>
      </x:c>
      <x:c r="S24" s="11" t="n">
        <x:f>IF(D24="Completed",L24,0)</x:f>
        <x:v>0</x:v>
      </x:c>
      <x:c r="T24" s="8" t="n">
        <x:f>DATE(YEAR(C24),MONTH(C24),1)</x:f>
        <x:v>45962</x:v>
      </x:c>
    </x:row>
    <x:row r="25" ht="22" customHeight="1">
      <x:c r="A25" s="2" t="str">
        <x:v>L000021</x:v>
      </x:c>
      <x:c r="B25" s="2" t="str">
        <x:v>O00009</x:v>
      </x:c>
      <x:c r="C25" s="7" t="n">
        <x:v>45965</x:v>
      </x:c>
      <x:c r="D25" s="2" t="str">
        <x:v>Completed</x:v>
      </x:c>
      <x:c r="E25" s="2" t="str">
        <x:v>West</x:v>
      </x:c>
      <x:c r="F25" s="2" t="str">
        <x:v>Online</x:v>
      </x:c>
      <x:c r="G25" s="2" t="str">
        <x:v>Storage</x:v>
      </x:c>
      <x:c r="H25" s="2" t="str">
        <x:v>Shelf 007</x:v>
      </x:c>
      <x:c r="I25" s="11" t="n">
        <x:v>3</x:v>
      </x:c>
      <x:c r="J25" s="9" t="n">
        <x:v>35</x:v>
      </x:c>
      <x:c r="K25" s="10" t="n">
        <x:v>0.05</x:v>
      </x:c>
      <x:c r="L25" s="11" t="n">
        <x:v>0</x:v>
      </x:c>
      <x:c r="M25" s="9" t="n">
        <x:f>IF(D25="Completed",I25*J25,0)</x:f>
        <x:v>105</x:v>
      </x:c>
      <x:c r="N25" s="9" t="n">
        <x:f>M25*K25</x:f>
        <x:v>5.25</x:v>
      </x:c>
      <x:c r="O25" s="9" t="n">
        <x:f>M25-N25</x:f>
        <x:v>99.75</x:v>
      </x:c>
      <x:c r="P25" s="9" t="n">
        <x:f>IF(D25="Completed",L25*J25*(1-K25),0)</x:f>
        <x:v>0</x:v>
      </x:c>
      <x:c r="Q25" s="9" t="n">
        <x:f>O25-P25</x:f>
        <x:v>99.75</x:v>
      </x:c>
      <x:c r="R25" s="11" t="n">
        <x:f>IF(D25="Completed",I25,0)</x:f>
        <x:v>3</x:v>
      </x:c>
      <x:c r="S25" s="11" t="n">
        <x:f>IF(D25="Completed",L25,0)</x:f>
        <x:v>0</x:v>
      </x:c>
      <x:c r="T25" s="8" t="n">
        <x:f>DATE(YEAR(C25),MONTH(C25),1)</x:f>
        <x:v>45962</x:v>
      </x:c>
    </x:row>
    <x:row r="26" ht="22" customHeight="1">
      <x:c r="A26" s="2" t="str">
        <x:v>L000022</x:v>
      </x:c>
      <x:c r="B26" s="2" t="str">
        <x:v>O00010</x:v>
      </x:c>
      <x:c r="C26" s="7" t="n">
        <x:v>45841</x:v>
      </x:c>
      <x:c r="D26" s="2" t="str">
        <x:v>Completed</x:v>
      </x:c>
      <x:c r="E26" s="2" t="str">
        <x:v>West</x:v>
      </x:c>
      <x:c r="F26" s="2" t="str">
        <x:v>Store</x:v>
      </x:c>
      <x:c r="G26" s="2" t="str">
        <x:v>Storage</x:v>
      </x:c>
      <x:c r="H26" s="2" t="str">
        <x:v>Shelf 003</x:v>
      </x:c>
      <x:c r="I26" s="11" t="n">
        <x:v>4</x:v>
      </x:c>
      <x:c r="J26" s="9" t="n">
        <x:v>199</x:v>
      </x:c>
      <x:c r="K26" s="10" t="n">
        <x:v>0</x:v>
      </x:c>
      <x:c r="L26" s="11" t="n">
        <x:v>0</x:v>
      </x:c>
      <x:c r="M26" s="9" t="n">
        <x:f>IF(D26="Completed",I26*J26,0)</x:f>
        <x:v>796</x:v>
      </x:c>
      <x:c r="N26" s="9" t="n">
        <x:f>M26*K26</x:f>
        <x:v>0</x:v>
      </x:c>
      <x:c r="O26" s="9" t="n">
        <x:f>M26-N26</x:f>
        <x:v>796</x:v>
      </x:c>
      <x:c r="P26" s="9" t="n">
        <x:f>IF(D26="Completed",L26*J26*(1-K26),0)</x:f>
        <x:v>0</x:v>
      </x:c>
      <x:c r="Q26" s="9" t="n">
        <x:f>O26-P26</x:f>
        <x:v>796</x:v>
      </x:c>
      <x:c r="R26" s="11" t="n">
        <x:f>IF(D26="Completed",I26,0)</x:f>
        <x:v>4</x:v>
      </x:c>
      <x:c r="S26" s="11" t="n">
        <x:f>IF(D26="Completed",L26,0)</x:f>
        <x:v>0</x:v>
      </x:c>
      <x:c r="T26" s="8" t="n">
        <x:f>DATE(YEAR(C26),MONTH(C26),1)</x:f>
        <x:v>45839</x:v>
      </x:c>
    </x:row>
    <x:row r="27" ht="22" customHeight="1">
      <x:c r="A27" s="2" t="str">
        <x:v>L000023</x:v>
      </x:c>
      <x:c r="B27" s="2" t="str">
        <x:v>O00011</x:v>
      </x:c>
      <x:c r="C27" s="7" t="n">
        <x:v>45950</x:v>
      </x:c>
      <x:c r="D27" s="2" t="str">
        <x:v>Completed</x:v>
      </x:c>
      <x:c r="E27" s="2" t="str">
        <x:v>North</x:v>
      </x:c>
      <x:c r="F27" s="2" t="str">
        <x:v>Store</x:v>
      </x:c>
      <x:c r="G27" s="2" t="str">
        <x:v>Furniture</x:v>
      </x:c>
      <x:c r="H27" s="2" t="str">
        <x:v>Chair 010</x:v>
      </x:c>
      <x:c r="I27" s="11" t="n">
        <x:v>2</x:v>
      </x:c>
      <x:c r="J27" s="9" t="n">
        <x:v>211</x:v>
      </x:c>
      <x:c r="K27" s="10" t="n">
        <x:v>0.05</x:v>
      </x:c>
      <x:c r="L27" s="11" t="n">
        <x:v>0</x:v>
      </x:c>
      <x:c r="M27" s="9" t="n">
        <x:f>IF(D27="Completed",I27*J27,0)</x:f>
        <x:v>422</x:v>
      </x:c>
      <x:c r="N27" s="9" t="n">
        <x:f>M27*K27</x:f>
        <x:v>21.1</x:v>
      </x:c>
      <x:c r="O27" s="9" t="n">
        <x:f>M27-N27</x:f>
        <x:v>400.9</x:v>
      </x:c>
      <x:c r="P27" s="9" t="n">
        <x:f>IF(D27="Completed",L27*J27*(1-K27),0)</x:f>
        <x:v>0</x:v>
      </x:c>
      <x:c r="Q27" s="9" t="n">
        <x:f>O27-P27</x:f>
        <x:v>400.9</x:v>
      </x:c>
      <x:c r="R27" s="11" t="n">
        <x:f>IF(D27="Completed",I27,0)</x:f>
        <x:v>2</x:v>
      </x:c>
      <x:c r="S27" s="11" t="n">
        <x:f>IF(D27="Completed",L27,0)</x:f>
        <x:v>0</x:v>
      </x:c>
      <x:c r="T27" s="8" t="n">
        <x:f>DATE(YEAR(C27),MONTH(C27),1)</x:f>
        <x:v>45931</x:v>
      </x:c>
    </x:row>
    <x:row r="28" ht="22" customHeight="1">
      <x:c r="A28" s="2" t="str">
        <x:v>L000024</x:v>
      </x:c>
      <x:c r="B28" s="2" t="str">
        <x:v>O00011</x:v>
      </x:c>
      <x:c r="C28" s="7" t="n">
        <x:v>45950</x:v>
      </x:c>
      <x:c r="D28" s="2" t="str">
        <x:v>Completed</x:v>
      </x:c>
      <x:c r="E28" s="2" t="str">
        <x:v>North</x:v>
      </x:c>
      <x:c r="F28" s="2" t="str">
        <x:v>Store</x:v>
      </x:c>
      <x:c r="G28" s="2" t="str">
        <x:v>Furniture</x:v>
      </x:c>
      <x:c r="H28" s="2" t="str">
        <x:v>Desk 020</x:v>
      </x:c>
      <x:c r="I28" s="11" t="n">
        <x:v>1</x:v>
      </x:c>
      <x:c r="J28" s="9" t="n">
        <x:v>189</x:v>
      </x:c>
      <x:c r="K28" s="10" t="n">
        <x:v>0.1</x:v>
      </x:c>
      <x:c r="L28" s="11" t="n">
        <x:v>1</x:v>
      </x:c>
      <x:c r="M28" s="9" t="n">
        <x:f>IF(D28="Completed",I28*J28,0)</x:f>
        <x:v>189</x:v>
      </x:c>
      <x:c r="N28" s="9" t="n">
        <x:f>M28*K28</x:f>
        <x:v>18.900000000000002</x:v>
      </x:c>
      <x:c r="O28" s="9" t="n">
        <x:f>M28-N28</x:f>
        <x:v>170.1</x:v>
      </x:c>
      <x:c r="P28" s="9" t="n">
        <x:f>IF(D28="Completed",L28*J28*(1-K28),0)</x:f>
        <x:v>170.1</x:v>
      </x:c>
      <x:c r="Q28" s="9" t="n">
        <x:f>O28-P28</x:f>
        <x:v>0</x:v>
      </x:c>
      <x:c r="R28" s="11" t="n">
        <x:f>IF(D28="Completed",I28,0)</x:f>
        <x:v>1</x:v>
      </x:c>
      <x:c r="S28" s="11" t="n">
        <x:f>IF(D28="Completed",L28,0)</x:f>
        <x:v>1</x:v>
      </x:c>
      <x:c r="T28" s="8" t="n">
        <x:f>DATE(YEAR(C28),MONTH(C28),1)</x:f>
        <x:v>45931</x:v>
      </x:c>
    </x:row>
    <x:row r="29" ht="22" customHeight="1">
      <x:c r="A29" s="2" t="str">
        <x:v>L000025</x:v>
      </x:c>
      <x:c r="B29" s="2" t="str">
        <x:v>O00011</x:v>
      </x:c>
      <x:c r="C29" s="7" t="n">
        <x:v>45950</x:v>
      </x:c>
      <x:c r="D29" s="2" t="str">
        <x:v>Completed</x:v>
      </x:c>
      <x:c r="E29" s="2" t="str">
        <x:v>North</x:v>
      </x:c>
      <x:c r="F29" s="2" t="str">
        <x:v>Store</x:v>
      </x:c>
      <x:c r="G29" s="2" t="str">
        <x:v>Furniture</x:v>
      </x:c>
      <x:c r="H29" s="2" t="str">
        <x:v>Chair 014</x:v>
      </x:c>
      <x:c r="I29" s="11" t="n">
        <x:v>5</x:v>
      </x:c>
      <x:c r="J29" s="9" t="n">
        <x:v>294</x:v>
      </x:c>
      <x:c r="K29" s="10" t="n">
        <x:v>0</x:v>
      </x:c>
      <x:c r="L29" s="11" t="n">
        <x:v>0</x:v>
      </x:c>
      <x:c r="M29" s="9" t="n">
        <x:f>IF(D29="Completed",I29*J29,0)</x:f>
        <x:v>1470</x:v>
      </x:c>
      <x:c r="N29" s="9" t="n">
        <x:f>M29*K29</x:f>
        <x:v>0</x:v>
      </x:c>
      <x:c r="O29" s="9" t="n">
        <x:f>M29-N29</x:f>
        <x:v>1470</x:v>
      </x:c>
      <x:c r="P29" s="9" t="n">
        <x:f>IF(D29="Completed",L29*J29*(1-K29),0)</x:f>
        <x:v>0</x:v>
      </x:c>
      <x:c r="Q29" s="9" t="n">
        <x:f>O29-P29</x:f>
        <x:v>1470</x:v>
      </x:c>
      <x:c r="R29" s="11" t="n">
        <x:f>IF(D29="Completed",I29,0)</x:f>
        <x:v>5</x:v>
      </x:c>
      <x:c r="S29" s="11" t="n">
        <x:f>IF(D29="Completed",L29,0)</x:f>
        <x:v>0</x:v>
      </x:c>
      <x:c r="T29" s="8" t="n">
        <x:f>DATE(YEAR(C29),MONTH(C29),1)</x:f>
        <x:v>45931</x:v>
      </x:c>
    </x:row>
    <x:row r="30" ht="22" customHeight="1">
      <x:c r="A30" s="2" t="str">
        <x:v>L000026</x:v>
      </x:c>
      <x:c r="B30" s="2" t="str">
        <x:v>O00011</x:v>
      </x:c>
      <x:c r="C30" s="7" t="n">
        <x:v>45950</x:v>
      </x:c>
      <x:c r="D30" s="2" t="str">
        <x:v>Completed</x:v>
      </x:c>
      <x:c r="E30" s="2" t="str">
        <x:v>North</x:v>
      </x:c>
      <x:c r="F30" s="2" t="str">
        <x:v>Store</x:v>
      </x:c>
      <x:c r="G30" s="2" t="str">
        <x:v>Lighting</x:v>
      </x:c>
      <x:c r="H30" s="2" t="str">
        <x:v>Lamp 021</x:v>
      </x:c>
      <x:c r="I30" s="11" t="n">
        <x:v>3</x:v>
      </x:c>
      <x:c r="J30" s="9" t="n">
        <x:v>249</x:v>
      </x:c>
      <x:c r="K30" s="10" t="n">
        <x:v>0.05</x:v>
      </x:c>
      <x:c r="L30" s="11" t="n">
        <x:v>1</x:v>
      </x:c>
      <x:c r="M30" s="9" t="n">
        <x:f>IF(D30="Completed",I30*J30,0)</x:f>
        <x:v>747</x:v>
      </x:c>
      <x:c r="N30" s="9" t="n">
        <x:f>M30*K30</x:f>
        <x:v>37.35</x:v>
      </x:c>
      <x:c r="O30" s="9" t="n">
        <x:f>M30-N30</x:f>
        <x:v>709.65</x:v>
      </x:c>
      <x:c r="P30" s="9" t="n">
        <x:f>IF(D30="Completed",L30*J30*(1-K30),0)</x:f>
        <x:v>236.54999999999998</x:v>
      </x:c>
      <x:c r="Q30" s="9" t="n">
        <x:f>O30-P30</x:f>
        <x:v>473.1</x:v>
      </x:c>
      <x:c r="R30" s="11" t="n">
        <x:f>IF(D30="Completed",I30,0)</x:f>
        <x:v>3</x:v>
      </x:c>
      <x:c r="S30" s="11" t="n">
        <x:f>IF(D30="Completed",L30,0)</x:f>
        <x:v>1</x:v>
      </x:c>
      <x:c r="T30" s="8" t="n">
        <x:f>DATE(YEAR(C30),MONTH(C30),1)</x:f>
        <x:v>45931</x:v>
      </x:c>
    </x:row>
    <x:row r="31" ht="22" customHeight="1">
      <x:c r="A31" s="2" t="str">
        <x:v>L000027</x:v>
      </x:c>
      <x:c r="B31" s="2" t="str">
        <x:v>O00012</x:v>
      </x:c>
      <x:c r="C31" s="7" t="n">
        <x:v>45993</x:v>
      </x:c>
      <x:c r="D31" s="2" t="str">
        <x:v>Completed</x:v>
      </x:c>
      <x:c r="E31" s="2" t="str">
        <x:v>North</x:v>
      </x:c>
      <x:c r="F31" s="2" t="str">
        <x:v>Online</x:v>
      </x:c>
      <x:c r="G31" s="2" t="str">
        <x:v>Furniture</x:v>
      </x:c>
      <x:c r="H31" s="2" t="str">
        <x:v>Desk 020</x:v>
      </x:c>
      <x:c r="I31" s="11" t="n">
        <x:v>2</x:v>
      </x:c>
      <x:c r="J31" s="9" t="n">
        <x:v>189</x:v>
      </x:c>
      <x:c r="K31" s="10" t="n">
        <x:v>0.2</x:v>
      </x:c>
      <x:c r="L31" s="11" t="n">
        <x:v>0</x:v>
      </x:c>
      <x:c r="M31" s="9" t="n">
        <x:f>IF(D31="Completed",I31*J31,0)</x:f>
        <x:v>378</x:v>
      </x:c>
      <x:c r="N31" s="9" t="n">
        <x:f>M31*K31</x:f>
        <x:v>75.60000000000001</x:v>
      </x:c>
      <x:c r="O31" s="9" t="n">
        <x:f>M31-N31</x:f>
        <x:v>302.4</x:v>
      </x:c>
      <x:c r="P31" s="9" t="n">
        <x:f>IF(D31="Completed",L31*J31*(1-K31),0)</x:f>
        <x:v>0</x:v>
      </x:c>
      <x:c r="Q31" s="9" t="n">
        <x:f>O31-P31</x:f>
        <x:v>302.4</x:v>
      </x:c>
      <x:c r="R31" s="11" t="n">
        <x:f>IF(D31="Completed",I31,0)</x:f>
        <x:v>2</x:v>
      </x:c>
      <x:c r="S31" s="11" t="n">
        <x:f>IF(D31="Completed",L31,0)</x:f>
        <x:v>0</x:v>
      </x:c>
      <x:c r="T31" s="8" t="n">
        <x:f>DATE(YEAR(C31),MONTH(C31),1)</x:f>
        <x:v>45992</x:v>
      </x:c>
    </x:row>
    <x:row r="32" ht="22" customHeight="1">
      <x:c r="A32" s="2" t="str">
        <x:v>L000028</x:v>
      </x:c>
      <x:c r="B32" s="2" t="str">
        <x:v>O00012</x:v>
      </x:c>
      <x:c r="C32" s="7" t="n">
        <x:v>45993</x:v>
      </x:c>
      <x:c r="D32" s="2" t="str">
        <x:v>Completed</x:v>
      </x:c>
      <x:c r="E32" s="2" t="str">
        <x:v>North</x:v>
      </x:c>
      <x:c r="F32" s="2" t="str">
        <x:v>Online</x:v>
      </x:c>
      <x:c r="G32" s="2" t="str">
        <x:v>Storage</x:v>
      </x:c>
      <x:c r="H32" s="2" t="str">
        <x:v>Shelf 019</x:v>
      </x:c>
      <x:c r="I32" s="11" t="n">
        <x:v>3</x:v>
      </x:c>
      <x:c r="J32" s="9" t="n">
        <x:v>78</x:v>
      </x:c>
      <x:c r="K32" s="10" t="n">
        <x:v>0.2</x:v>
      </x:c>
      <x:c r="L32" s="11" t="n">
        <x:v>0</x:v>
      </x:c>
      <x:c r="M32" s="9" t="n">
        <x:f>IF(D32="Completed",I32*J32,0)</x:f>
        <x:v>234</x:v>
      </x:c>
      <x:c r="N32" s="9" t="n">
        <x:f>M32*K32</x:f>
        <x:v>46.800000000000004</x:v>
      </x:c>
      <x:c r="O32" s="9" t="n">
        <x:f>M32-N32</x:f>
        <x:v>187.2</x:v>
      </x:c>
      <x:c r="P32" s="9" t="n">
        <x:f>IF(D32="Completed",L32*J32*(1-K32),0)</x:f>
        <x:v>0</x:v>
      </x:c>
      <x:c r="Q32" s="9" t="n">
        <x:f>O32-P32</x:f>
        <x:v>187.2</x:v>
      </x:c>
      <x:c r="R32" s="11" t="n">
        <x:f>IF(D32="Completed",I32,0)</x:f>
        <x:v>3</x:v>
      </x:c>
      <x:c r="S32" s="11" t="n">
        <x:f>IF(D32="Completed",L32,0)</x:f>
        <x:v>0</x:v>
      </x:c>
      <x:c r="T32" s="8" t="n">
        <x:f>DATE(YEAR(C32),MONTH(C32),1)</x:f>
        <x:v>45992</x:v>
      </x:c>
    </x:row>
    <x:row r="33" ht="22" customHeight="1">
      <x:c r="A33" s="2" t="str">
        <x:v>L000029</x:v>
      </x:c>
      <x:c r="B33" s="2" t="str">
        <x:v>O00012</x:v>
      </x:c>
      <x:c r="C33" s="7" t="n">
        <x:v>45993</x:v>
      </x:c>
      <x:c r="D33" s="2" t="str">
        <x:v>Completed</x:v>
      </x:c>
      <x:c r="E33" s="2" t="str">
        <x:v>North</x:v>
      </x:c>
      <x:c r="F33" s="2" t="str">
        <x:v>Online</x:v>
      </x:c>
      <x:c r="G33" s="2" t="str">
        <x:v>Lighting</x:v>
      </x:c>
      <x:c r="H33" s="2" t="str">
        <x:v>Lamp 001</x:v>
      </x:c>
      <x:c r="I33" s="11" t="n">
        <x:v>4</x:v>
      </x:c>
      <x:c r="J33" s="9" t="n">
        <x:v>122</x:v>
      </x:c>
      <x:c r="K33" s="10" t="n">
        <x:v>0.05</x:v>
      </x:c>
      <x:c r="L33" s="11" t="n">
        <x:v>0</x:v>
      </x:c>
      <x:c r="M33" s="9" t="n">
        <x:f>IF(D33="Completed",I33*J33,0)</x:f>
        <x:v>488</x:v>
      </x:c>
      <x:c r="N33" s="9" t="n">
        <x:f>M33*K33</x:f>
        <x:v>24.400000000000002</x:v>
      </x:c>
      <x:c r="O33" s="9" t="n">
        <x:f>M33-N33</x:f>
        <x:v>463.6</x:v>
      </x:c>
      <x:c r="P33" s="9" t="n">
        <x:f>IF(D33="Completed",L33*J33*(1-K33),0)</x:f>
        <x:v>0</x:v>
      </x:c>
      <x:c r="Q33" s="9" t="n">
        <x:f>O33-P33</x:f>
        <x:v>463.6</x:v>
      </x:c>
      <x:c r="R33" s="11" t="n">
        <x:f>IF(D33="Completed",I33,0)</x:f>
        <x:v>4</x:v>
      </x:c>
      <x:c r="S33" s="11" t="n">
        <x:f>IF(D33="Completed",L33,0)</x:f>
        <x:v>0</x:v>
      </x:c>
      <x:c r="T33" s="8" t="n">
        <x:f>DATE(YEAR(C33),MONTH(C33),1)</x:f>
        <x:v>45992</x:v>
      </x:c>
    </x:row>
    <x:row r="34" ht="22" customHeight="1">
      <x:c r="A34" s="2" t="str">
        <x:v>L000030</x:v>
      </x:c>
      <x:c r="B34" s="2" t="str">
        <x:v>O00012</x:v>
      </x:c>
      <x:c r="C34" s="7" t="n">
        <x:v>45993</x:v>
      </x:c>
      <x:c r="D34" s="2" t="str">
        <x:v>Completed</x:v>
      </x:c>
      <x:c r="E34" s="2" t="str">
        <x:v>North</x:v>
      </x:c>
      <x:c r="F34" s="2" t="str">
        <x:v>Online</x:v>
      </x:c>
      <x:c r="G34" s="2" t="str">
        <x:v>Storage</x:v>
      </x:c>
      <x:c r="H34" s="2" t="str">
        <x:v>Shelf 023</x:v>
      </x:c>
      <x:c r="I34" s="11" t="n">
        <x:v>4</x:v>
      </x:c>
      <x:c r="J34" s="9" t="n">
        <x:v>68</x:v>
      </x:c>
      <x:c r="K34" s="10" t="n">
        <x:v>0</x:v>
      </x:c>
      <x:c r="L34" s="11" t="n">
        <x:v>0</x:v>
      </x:c>
      <x:c r="M34" s="9" t="n">
        <x:f>IF(D34="Completed",I34*J34,0)</x:f>
        <x:v>272</x:v>
      </x:c>
      <x:c r="N34" s="9" t="n">
        <x:f>M34*K34</x:f>
        <x:v>0</x:v>
      </x:c>
      <x:c r="O34" s="9" t="n">
        <x:f>M34-N34</x:f>
        <x:v>272</x:v>
      </x:c>
      <x:c r="P34" s="9" t="n">
        <x:f>IF(D34="Completed",L34*J34*(1-K34),0)</x:f>
        <x:v>0</x:v>
      </x:c>
      <x:c r="Q34" s="9" t="n">
        <x:f>O34-P34</x:f>
        <x:v>272</x:v>
      </x:c>
      <x:c r="R34" s="11" t="n">
        <x:f>IF(D34="Completed",I34,0)</x:f>
        <x:v>4</x:v>
      </x:c>
      <x:c r="S34" s="11" t="n">
        <x:f>IF(D34="Completed",L34,0)</x:f>
        <x:v>0</x:v>
      </x:c>
      <x:c r="T34" s="8" t="n">
        <x:f>DATE(YEAR(C34),MONTH(C34),1)</x:f>
        <x:v>45992</x:v>
      </x:c>
    </x:row>
    <x:row r="35" ht="22" customHeight="1">
      <x:c r="A35" s="2" t="str">
        <x:v>L000031</x:v>
      </x:c>
      <x:c r="B35" s="2" t="str">
        <x:v>O00013</x:v>
      </x:c>
      <x:c r="C35" s="7" t="n">
        <x:v>45800</x:v>
      </x:c>
      <x:c r="D35" s="2" t="str">
        <x:v>Completed</x:v>
      </x:c>
      <x:c r="E35" s="2" t="str">
        <x:v>West</x:v>
      </x:c>
      <x:c r="F35" s="2" t="str">
        <x:v>Online</x:v>
      </x:c>
      <x:c r="G35" s="2" t="str">
        <x:v>Furniture</x:v>
      </x:c>
      <x:c r="H35" s="2" t="str">
        <x:v>Chair 022</x:v>
      </x:c>
      <x:c r="I35" s="11" t="n">
        <x:v>2</x:v>
      </x:c>
      <x:c r="J35" s="9" t="n">
        <x:v>134</x:v>
      </x:c>
      <x:c r="K35" s="10" t="n">
        <x:v>0.2</x:v>
      </x:c>
      <x:c r="L35" s="11" t="n">
        <x:v>0</x:v>
      </x:c>
      <x:c r="M35" s="9" t="n">
        <x:f>IF(D35="Completed",I35*J35,0)</x:f>
        <x:v>268</x:v>
      </x:c>
      <x:c r="N35" s="9" t="n">
        <x:f>M35*K35</x:f>
        <x:v>53.6</x:v>
      </x:c>
      <x:c r="O35" s="9" t="n">
        <x:f>M35-N35</x:f>
        <x:v>214.4</x:v>
      </x:c>
      <x:c r="P35" s="9" t="n">
        <x:f>IF(D35="Completed",L35*J35*(1-K35),0)</x:f>
        <x:v>0</x:v>
      </x:c>
      <x:c r="Q35" s="9" t="n">
        <x:f>O35-P35</x:f>
        <x:v>214.4</x:v>
      </x:c>
      <x:c r="R35" s="11" t="n">
        <x:f>IF(D35="Completed",I35,0)</x:f>
        <x:v>2</x:v>
      </x:c>
      <x:c r="S35" s="11" t="n">
        <x:f>IF(D35="Completed",L35,0)</x:f>
        <x:v>0</x:v>
      </x:c>
      <x:c r="T35" s="8" t="n">
        <x:f>DATE(YEAR(C35),MONTH(C35),1)</x:f>
        <x:v>45778</x:v>
      </x:c>
    </x:row>
    <x:row r="36" ht="22" customHeight="1">
      <x:c r="A36" s="2" t="str">
        <x:v>L000032</x:v>
      </x:c>
      <x:c r="B36" s="2" t="str">
        <x:v>O00014</x:v>
      </x:c>
      <x:c r="C36" s="7" t="n">
        <x:v>45848</x:v>
      </x:c>
      <x:c r="D36" s="2" t="str">
        <x:v>Completed</x:v>
      </x:c>
      <x:c r="E36" s="2" t="str">
        <x:v>North</x:v>
      </x:c>
      <x:c r="F36" s="2" t="str">
        <x:v>Online</x:v>
      </x:c>
      <x:c r="G36" s="2" t="str">
        <x:v>Storage</x:v>
      </x:c>
      <x:c r="H36" s="2" t="str">
        <x:v>Shelf 011</x:v>
      </x:c>
      <x:c r="I36" s="11" t="n">
        <x:v>4</x:v>
      </x:c>
      <x:c r="J36" s="9" t="n">
        <x:v>80</x:v>
      </x:c>
      <x:c r="K36" s="10" t="n">
        <x:v>0.05</x:v>
      </x:c>
      <x:c r="L36" s="11" t="n">
        <x:v>4</x:v>
      </x:c>
      <x:c r="M36" s="9" t="n">
        <x:f>IF(D36="Completed",I36*J36,0)</x:f>
        <x:v>320</x:v>
      </x:c>
      <x:c r="N36" s="9" t="n">
        <x:f>M36*K36</x:f>
        <x:v>16</x:v>
      </x:c>
      <x:c r="O36" s="9" t="n">
        <x:f>M36-N36</x:f>
        <x:v>304</x:v>
      </x:c>
      <x:c r="P36" s="9" t="n">
        <x:f>IF(D36="Completed",L36*J36*(1-K36),0)</x:f>
        <x:v>304</x:v>
      </x:c>
      <x:c r="Q36" s="9" t="n">
        <x:f>O36-P36</x:f>
        <x:v>0</x:v>
      </x:c>
      <x:c r="R36" s="11" t="n">
        <x:f>IF(D36="Completed",I36,0)</x:f>
        <x:v>4</x:v>
      </x:c>
      <x:c r="S36" s="11" t="n">
        <x:f>IF(D36="Completed",L36,0)</x:f>
        <x:v>4</x:v>
      </x:c>
      <x:c r="T36" s="8" t="n">
        <x:f>DATE(YEAR(C36),MONTH(C36),1)</x:f>
        <x:v>45839</x:v>
      </x:c>
    </x:row>
    <x:row r="37" ht="22" customHeight="1">
      <x:c r="A37" s="2" t="str">
        <x:v>L000033</x:v>
      </x:c>
      <x:c r="B37" s="2" t="str">
        <x:v>O00015</x:v>
      </x:c>
      <x:c r="C37" s="7" t="n">
        <x:v>45881</x:v>
      </x:c>
      <x:c r="D37" s="2" t="str">
        <x:v>Completed</x:v>
      </x:c>
      <x:c r="E37" s="2" t="str">
        <x:v>North</x:v>
      </x:c>
      <x:c r="F37" s="2" t="str">
        <x:v>Store</x:v>
      </x:c>
      <x:c r="G37" s="2" t="str">
        <x:v>Furniture</x:v>
      </x:c>
      <x:c r="H37" s="2" t="str">
        <x:v>Desk 008</x:v>
      </x:c>
      <x:c r="I37" s="11" t="n">
        <x:v>1</x:v>
      </x:c>
      <x:c r="J37" s="9" t="n">
        <x:v>188</x:v>
      </x:c>
      <x:c r="K37" s="10" t="n">
        <x:v>0.1</x:v>
      </x:c>
      <x:c r="L37" s="11" t="n">
        <x:v>0</x:v>
      </x:c>
      <x:c r="M37" s="9" t="n">
        <x:f>IF(D37="Completed",I37*J37,0)</x:f>
        <x:v>188</x:v>
      </x:c>
      <x:c r="N37" s="9" t="n">
        <x:f>M37*K37</x:f>
        <x:v>18.8</x:v>
      </x:c>
      <x:c r="O37" s="9" t="n">
        <x:f>M37-N37</x:f>
        <x:v>169.2</x:v>
      </x:c>
      <x:c r="P37" s="9" t="n">
        <x:f>IF(D37="Completed",L37*J37*(1-K37),0)</x:f>
        <x:v>0</x:v>
      </x:c>
      <x:c r="Q37" s="9" t="n">
        <x:f>O37-P37</x:f>
        <x:v>169.2</x:v>
      </x:c>
      <x:c r="R37" s="11" t="n">
        <x:f>IF(D37="Completed",I37,0)</x:f>
        <x:v>1</x:v>
      </x:c>
      <x:c r="S37" s="11" t="n">
        <x:f>IF(D37="Completed",L37,0)</x:f>
        <x:v>0</x:v>
      </x:c>
      <x:c r="T37" s="8" t="n">
        <x:f>DATE(YEAR(C37),MONTH(C37),1)</x:f>
        <x:v>45870</x:v>
      </x:c>
    </x:row>
    <x:row r="38" ht="22" customHeight="1">
      <x:c r="A38" s="2" t="str">
        <x:v>L000034</x:v>
      </x:c>
      <x:c r="B38" s="2" t="str">
        <x:v>O00015</x:v>
      </x:c>
      <x:c r="C38" s="7" t="n">
        <x:v>45881</x:v>
      </x:c>
      <x:c r="D38" s="2" t="str">
        <x:v>Completed</x:v>
      </x:c>
      <x:c r="E38" s="2" t="str">
        <x:v>North</x:v>
      </x:c>
      <x:c r="F38" s="2" t="str">
        <x:v>Store</x:v>
      </x:c>
      <x:c r="G38" s="2" t="str">
        <x:v>Furniture</x:v>
      </x:c>
      <x:c r="H38" s="2" t="str">
        <x:v>Chair 018</x:v>
      </x:c>
      <x:c r="I38" s="11" t="n">
        <x:v>4</x:v>
      </x:c>
      <x:c r="J38" s="9" t="n">
        <x:v>269</x:v>
      </x:c>
      <x:c r="K38" s="10" t="n">
        <x:v>0.2</x:v>
      </x:c>
      <x:c r="L38" s="11" t="n">
        <x:v>0</x:v>
      </x:c>
      <x:c r="M38" s="9" t="n">
        <x:f>IF(D38="Completed",I38*J38,0)</x:f>
        <x:v>1076</x:v>
      </x:c>
      <x:c r="N38" s="9" t="n">
        <x:f>M38*K38</x:f>
        <x:v>215.20000000000002</x:v>
      </x:c>
      <x:c r="O38" s="9" t="n">
        <x:f>M38-N38</x:f>
        <x:v>860.8</x:v>
      </x:c>
      <x:c r="P38" s="9" t="n">
        <x:f>IF(D38="Completed",L38*J38*(1-K38),0)</x:f>
        <x:v>0</x:v>
      </x:c>
      <x:c r="Q38" s="9" t="n">
        <x:f>O38-P38</x:f>
        <x:v>860.8</x:v>
      </x:c>
      <x:c r="R38" s="11" t="n">
        <x:f>IF(D38="Completed",I38,0)</x:f>
        <x:v>4</x:v>
      </x:c>
      <x:c r="S38" s="11" t="n">
        <x:f>IF(D38="Completed",L38,0)</x:f>
        <x:v>0</x:v>
      </x:c>
      <x:c r="T38" s="8" t="n">
        <x:f>DATE(YEAR(C38),MONTH(C38),1)</x:f>
        <x:v>45870</x:v>
      </x:c>
    </x:row>
    <x:row r="39" ht="22" customHeight="1">
      <x:c r="A39" s="2" t="str">
        <x:v>L000035</x:v>
      </x:c>
      <x:c r="B39" s="2" t="str">
        <x:v>O00015</x:v>
      </x:c>
      <x:c r="C39" s="7" t="n">
        <x:v>45881</x:v>
      </x:c>
      <x:c r="D39" s="2" t="str">
        <x:v>Completed</x:v>
      </x:c>
      <x:c r="E39" s="2" t="str">
        <x:v>North</x:v>
      </x:c>
      <x:c r="F39" s="2" t="str">
        <x:v>Store</x:v>
      </x:c>
      <x:c r="G39" s="2" t="str">
        <x:v>Lighting</x:v>
      </x:c>
      <x:c r="H39" s="2" t="str">
        <x:v>Lamp 021</x:v>
      </x:c>
      <x:c r="I39" s="11" t="n">
        <x:v>2</x:v>
      </x:c>
      <x:c r="J39" s="9" t="n">
        <x:v>249</x:v>
      </x:c>
      <x:c r="K39" s="10" t="n">
        <x:v>0</x:v>
      </x:c>
      <x:c r="L39" s="11" t="n">
        <x:v>0</x:v>
      </x:c>
      <x:c r="M39" s="9" t="n">
        <x:f>IF(D39="Completed",I39*J39,0)</x:f>
        <x:v>498</x:v>
      </x:c>
      <x:c r="N39" s="9" t="n">
        <x:f>M39*K39</x:f>
        <x:v>0</x:v>
      </x:c>
      <x:c r="O39" s="9" t="n">
        <x:f>M39-N39</x:f>
        <x:v>498</x:v>
      </x:c>
      <x:c r="P39" s="9" t="n">
        <x:f>IF(D39="Completed",L39*J39*(1-K39),0)</x:f>
        <x:v>0</x:v>
      </x:c>
      <x:c r="Q39" s="9" t="n">
        <x:f>O39-P39</x:f>
        <x:v>498</x:v>
      </x:c>
      <x:c r="R39" s="11" t="n">
        <x:f>IF(D39="Completed",I39,0)</x:f>
        <x:v>2</x:v>
      </x:c>
      <x:c r="S39" s="11" t="n">
        <x:f>IF(D39="Completed",L39,0)</x:f>
        <x:v>0</x:v>
      </x:c>
      <x:c r="T39" s="8" t="n">
        <x:f>DATE(YEAR(C39),MONTH(C39),1)</x:f>
        <x:v>45870</x:v>
      </x:c>
    </x:row>
    <x:row r="40" ht="22" customHeight="1">
      <x:c r="A40" s="2" t="str">
        <x:v>L000036</x:v>
      </x:c>
      <x:c r="B40" s="2" t="str">
        <x:v>O00015</x:v>
      </x:c>
      <x:c r="C40" s="7" t="n">
        <x:v>45881</x:v>
      </x:c>
      <x:c r="D40" s="2" t="str">
        <x:v>Completed</x:v>
      </x:c>
      <x:c r="E40" s="2" t="str">
        <x:v>North</x:v>
      </x:c>
      <x:c r="F40" s="2" t="str">
        <x:v>Store</x:v>
      </x:c>
      <x:c r="G40" s="2" t="str">
        <x:v>Furniture</x:v>
      </x:c>
      <x:c r="H40" s="2" t="str">
        <x:v>Chair 014</x:v>
      </x:c>
      <x:c r="I40" s="11" t="n">
        <x:v>5</x:v>
      </x:c>
      <x:c r="J40" s="9" t="n">
        <x:v>294</x:v>
      </x:c>
      <x:c r="K40" s="10" t="n">
        <x:v>0.05</x:v>
      </x:c>
      <x:c r="L40" s="11" t="n">
        <x:v>0</x:v>
      </x:c>
      <x:c r="M40" s="9" t="n">
        <x:f>IF(D40="Completed",I40*J40,0)</x:f>
        <x:v>1470</x:v>
      </x:c>
      <x:c r="N40" s="9" t="n">
        <x:f>M40*K40</x:f>
        <x:v>73.5</x:v>
      </x:c>
      <x:c r="O40" s="9" t="n">
        <x:f>M40-N40</x:f>
        <x:v>1396.5</x:v>
      </x:c>
      <x:c r="P40" s="9" t="n">
        <x:f>IF(D40="Completed",L40*J40*(1-K40),0)</x:f>
        <x:v>0</x:v>
      </x:c>
      <x:c r="Q40" s="9" t="n">
        <x:f>O40-P40</x:f>
        <x:v>1396.5</x:v>
      </x:c>
      <x:c r="R40" s="11" t="n">
        <x:f>IF(D40="Completed",I40,0)</x:f>
        <x:v>5</x:v>
      </x:c>
      <x:c r="S40" s="11" t="n">
        <x:f>IF(D40="Completed",L40,0)</x:f>
        <x:v>0</x:v>
      </x:c>
      <x:c r="T40" s="8" t="n">
        <x:f>DATE(YEAR(C40),MONTH(C40),1)</x:f>
        <x:v>45870</x:v>
      </x:c>
    </x:row>
    <x:row r="41" ht="22" customHeight="1">
      <x:c r="A41" s="2" t="str">
        <x:v>L000037</x:v>
      </x:c>
      <x:c r="B41" s="2" t="str">
        <x:v>O00016</x:v>
      </x:c>
      <x:c r="C41" s="7" t="n">
        <x:v>45809</x:v>
      </x:c>
      <x:c r="D41" s="2" t="str">
        <x:v>Completed</x:v>
      </x:c>
      <x:c r="E41" s="2" t="str">
        <x:v>East</x:v>
      </x:c>
      <x:c r="F41" s="2" t="str">
        <x:v>Store</x:v>
      </x:c>
      <x:c r="G41" s="2" t="str">
        <x:v>Furniture</x:v>
      </x:c>
      <x:c r="H41" s="2" t="str">
        <x:v>Chair 006</x:v>
      </x:c>
      <x:c r="I41" s="11" t="n">
        <x:v>4</x:v>
      </x:c>
      <x:c r="J41" s="9" t="n">
        <x:v>196</x:v>
      </x:c>
      <x:c r="K41" s="10" t="n">
        <x:v>0.1</x:v>
      </x:c>
      <x:c r="L41" s="11" t="n">
        <x:v>0</x:v>
      </x:c>
      <x:c r="M41" s="9" t="n">
        <x:f>IF(D41="Completed",I41*J41,0)</x:f>
        <x:v>784</x:v>
      </x:c>
      <x:c r="N41" s="9" t="n">
        <x:f>M41*K41</x:f>
        <x:v>78.4</x:v>
      </x:c>
      <x:c r="O41" s="9" t="n">
        <x:f>M41-N41</x:f>
        <x:v>705.6</x:v>
      </x:c>
      <x:c r="P41" s="9" t="n">
        <x:f>IF(D41="Completed",L41*J41*(1-K41),0)</x:f>
        <x:v>0</x:v>
      </x:c>
      <x:c r="Q41" s="9" t="n">
        <x:f>O41-P41</x:f>
        <x:v>705.6</x:v>
      </x:c>
      <x:c r="R41" s="11" t="n">
        <x:f>IF(D41="Completed",I41,0)</x:f>
        <x:v>4</x:v>
      </x:c>
      <x:c r="S41" s="11" t="n">
        <x:f>IF(D41="Completed",L41,0)</x:f>
        <x:v>0</x:v>
      </x:c>
      <x:c r="T41" s="8" t="n">
        <x:f>DATE(YEAR(C41),MONTH(C41),1)</x:f>
        <x:v>45809</x:v>
      </x:c>
    </x:row>
    <x:row r="42" ht="22" customHeight="1">
      <x:c r="A42" s="2" t="str">
        <x:v>L000038</x:v>
      </x:c>
      <x:c r="B42" s="2" t="str">
        <x:v>O00016</x:v>
      </x:c>
      <x:c r="C42" s="7" t="n">
        <x:v>45809</x:v>
      </x:c>
      <x:c r="D42" s="2" t="str">
        <x:v>Completed</x:v>
      </x:c>
      <x:c r="E42" s="2" t="str">
        <x:v>East</x:v>
      </x:c>
      <x:c r="F42" s="2" t="str">
        <x:v>Store</x:v>
      </x:c>
      <x:c r="G42" s="2" t="str">
        <x:v>Furniture</x:v>
      </x:c>
      <x:c r="H42" s="2" t="str">
        <x:v>Desk 016</x:v>
      </x:c>
      <x:c r="I42" s="11" t="n">
        <x:v>3</x:v>
      </x:c>
      <x:c r="J42" s="9" t="n">
        <x:v>231</x:v>
      </x:c>
      <x:c r="K42" s="10" t="n">
        <x:v>0.05</x:v>
      </x:c>
      <x:c r="L42" s="11" t="n">
        <x:v>0</x:v>
      </x:c>
      <x:c r="M42" s="9" t="n">
        <x:f>IF(D42="Completed",I42*J42,0)</x:f>
        <x:v>693</x:v>
      </x:c>
      <x:c r="N42" s="9" t="n">
        <x:f>M42*K42</x:f>
        <x:v>34.65</x:v>
      </x:c>
      <x:c r="O42" s="9" t="n">
        <x:f>M42-N42</x:f>
        <x:v>658.35</x:v>
      </x:c>
      <x:c r="P42" s="9" t="n">
        <x:f>IF(D42="Completed",L42*J42*(1-K42),0)</x:f>
        <x:v>0</x:v>
      </x:c>
      <x:c r="Q42" s="9" t="n">
        <x:f>O42-P42</x:f>
        <x:v>658.35</x:v>
      </x:c>
      <x:c r="R42" s="11" t="n">
        <x:f>IF(D42="Completed",I42,0)</x:f>
        <x:v>3</x:v>
      </x:c>
      <x:c r="S42" s="11" t="n">
        <x:f>IF(D42="Completed",L42,0)</x:f>
        <x:v>0</x:v>
      </x:c>
      <x:c r="T42" s="8" t="n">
        <x:f>DATE(YEAR(C42),MONTH(C42),1)</x:f>
        <x:v>45809</x:v>
      </x:c>
    </x:row>
    <x:row r="43" ht="22" customHeight="1">
      <x:c r="A43" s="2" t="str">
        <x:v>L000039</x:v>
      </x:c>
      <x:c r="B43" s="2" t="str">
        <x:v>O00016</x:v>
      </x:c>
      <x:c r="C43" s="7" t="n">
        <x:v>45809</x:v>
      </x:c>
      <x:c r="D43" s="2" t="str">
        <x:v>Completed</x:v>
      </x:c>
      <x:c r="E43" s="2" t="str">
        <x:v>East</x:v>
      </x:c>
      <x:c r="F43" s="2" t="str">
        <x:v>Store</x:v>
      </x:c>
      <x:c r="G43" s="2" t="str">
        <x:v>Lighting</x:v>
      </x:c>
      <x:c r="H43" s="2" t="str">
        <x:v>Lamp 021</x:v>
      </x:c>
      <x:c r="I43" s="11" t="n">
        <x:v>2</x:v>
      </x:c>
      <x:c r="J43" s="9" t="n">
        <x:v>249</x:v>
      </x:c>
      <x:c r="K43" s="10" t="n">
        <x:v>0.05</x:v>
      </x:c>
      <x:c r="L43" s="11" t="n">
        <x:v>0</x:v>
      </x:c>
      <x:c r="M43" s="9" t="n">
        <x:f>IF(D43="Completed",I43*J43,0)</x:f>
        <x:v>498</x:v>
      </x:c>
      <x:c r="N43" s="9" t="n">
        <x:f>M43*K43</x:f>
        <x:v>24.900000000000002</x:v>
      </x:c>
      <x:c r="O43" s="9" t="n">
        <x:f>M43-N43</x:f>
        <x:v>473.1</x:v>
      </x:c>
      <x:c r="P43" s="9" t="n">
        <x:f>IF(D43="Completed",L43*J43*(1-K43),0)</x:f>
        <x:v>0</x:v>
      </x:c>
      <x:c r="Q43" s="9" t="n">
        <x:f>O43-P43</x:f>
        <x:v>473.1</x:v>
      </x:c>
      <x:c r="R43" s="11" t="n">
        <x:f>IF(D43="Completed",I43,0)</x:f>
        <x:v>2</x:v>
      </x:c>
      <x:c r="S43" s="11" t="n">
        <x:f>IF(D43="Completed",L43,0)</x:f>
        <x:v>0</x:v>
      </x:c>
      <x:c r="T43" s="8" t="n">
        <x:f>DATE(YEAR(C43),MONTH(C43),1)</x:f>
        <x:v>45809</x:v>
      </x:c>
    </x:row>
    <x:row r="44" ht="22" customHeight="1">
      <x:c r="A44" s="2" t="str">
        <x:v>L000040</x:v>
      </x:c>
      <x:c r="B44" s="2" t="str">
        <x:v>O00017</x:v>
      </x:c>
      <x:c r="C44" s="7" t="n">
        <x:v>45930</x:v>
      </x:c>
      <x:c r="D44" s="2" t="str">
        <x:v>Completed</x:v>
      </x:c>
      <x:c r="E44" s="2" t="str">
        <x:v>West</x:v>
      </x:c>
      <x:c r="F44" s="2" t="str">
        <x:v>Store</x:v>
      </x:c>
      <x:c r="G44" s="2" t="str">
        <x:v>Furniture</x:v>
      </x:c>
      <x:c r="H44" s="2" t="str">
        <x:v>Desk 012</x:v>
      </x:c>
      <x:c r="I44" s="11" t="n">
        <x:v>3</x:v>
      </x:c>
      <x:c r="J44" s="9" t="n">
        <x:v>134</x:v>
      </x:c>
      <x:c r="K44" s="10" t="n">
        <x:v>0.2</x:v>
      </x:c>
      <x:c r="L44" s="11" t="n">
        <x:v>0</x:v>
      </x:c>
      <x:c r="M44" s="9" t="n">
        <x:f>IF(D44="Completed",I44*J44,0)</x:f>
        <x:v>402</x:v>
      </x:c>
      <x:c r="N44" s="9" t="n">
        <x:f>M44*K44</x:f>
        <x:v>80.4</x:v>
      </x:c>
      <x:c r="O44" s="9" t="n">
        <x:f>M44-N44</x:f>
        <x:v>321.6</x:v>
      </x:c>
      <x:c r="P44" s="9" t="n">
        <x:f>IF(D44="Completed",L44*J44*(1-K44),0)</x:f>
        <x:v>0</x:v>
      </x:c>
      <x:c r="Q44" s="9" t="n">
        <x:f>O44-P44</x:f>
        <x:v>321.6</x:v>
      </x:c>
      <x:c r="R44" s="11" t="n">
        <x:f>IF(D44="Completed",I44,0)</x:f>
        <x:v>3</x:v>
      </x:c>
      <x:c r="S44" s="11" t="n">
        <x:f>IF(D44="Completed",L44,0)</x:f>
        <x:v>0</x:v>
      </x:c>
      <x:c r="T44" s="8" t="n">
        <x:f>DATE(YEAR(C44),MONTH(C44),1)</x:f>
        <x:v>45901</x:v>
      </x:c>
    </x:row>
    <x:row r="45" ht="22" customHeight="1">
      <x:c r="A45" s="2" t="str">
        <x:v>L000041</x:v>
      </x:c>
      <x:c r="B45" s="2" t="str">
        <x:v>O00017</x:v>
      </x:c>
      <x:c r="C45" s="7" t="n">
        <x:v>45930</x:v>
      </x:c>
      <x:c r="D45" s="2" t="str">
        <x:v>Completed</x:v>
      </x:c>
      <x:c r="E45" s="2" t="str">
        <x:v>West</x:v>
      </x:c>
      <x:c r="F45" s="2" t="str">
        <x:v>Store</x:v>
      </x:c>
      <x:c r="G45" s="2" t="str">
        <x:v>Furniture</x:v>
      </x:c>
      <x:c r="H45" s="2" t="str">
        <x:v>Desk 024</x:v>
      </x:c>
      <x:c r="I45" s="11" t="n">
        <x:v>2</x:v>
      </x:c>
      <x:c r="J45" s="9" t="n">
        <x:v>81</x:v>
      </x:c>
      <x:c r="K45" s="10" t="n">
        <x:v>0.05</x:v>
      </x:c>
      <x:c r="L45" s="11" t="n">
        <x:v>0</x:v>
      </x:c>
      <x:c r="M45" s="9" t="n">
        <x:f>IF(D45="Completed",I45*J45,0)</x:f>
        <x:v>162</x:v>
      </x:c>
      <x:c r="N45" s="9" t="n">
        <x:f>M45*K45</x:f>
        <x:v>8.1</x:v>
      </x:c>
      <x:c r="O45" s="9" t="n">
        <x:f>M45-N45</x:f>
        <x:v>153.9</x:v>
      </x:c>
      <x:c r="P45" s="9" t="n">
        <x:f>IF(D45="Completed",L45*J45*(1-K45),0)</x:f>
        <x:v>0</x:v>
      </x:c>
      <x:c r="Q45" s="9" t="n">
        <x:f>O45-P45</x:f>
        <x:v>153.9</x:v>
      </x:c>
      <x:c r="R45" s="11" t="n">
        <x:f>IF(D45="Completed",I45,0)</x:f>
        <x:v>2</x:v>
      </x:c>
      <x:c r="S45" s="11" t="n">
        <x:f>IF(D45="Completed",L45,0)</x:f>
        <x:v>0</x:v>
      </x:c>
      <x:c r="T45" s="8" t="n">
        <x:f>DATE(YEAR(C45),MONTH(C45),1)</x:f>
        <x:v>45901</x:v>
      </x:c>
    </x:row>
    <x:row r="46" ht="22" customHeight="1">
      <x:c r="A46" s="2" t="str">
        <x:v>L000042</x:v>
      </x:c>
      <x:c r="B46" s="2" t="str">
        <x:v>O00017</x:v>
      </x:c>
      <x:c r="C46" s="7" t="n">
        <x:v>45930</x:v>
      </x:c>
      <x:c r="D46" s="2" t="str">
        <x:v>Completed</x:v>
      </x:c>
      <x:c r="E46" s="2" t="str">
        <x:v>West</x:v>
      </x:c>
      <x:c r="F46" s="2" t="str">
        <x:v>Store</x:v>
      </x:c>
      <x:c r="G46" s="2" t="str">
        <x:v>Furniture</x:v>
      </x:c>
      <x:c r="H46" s="2" t="str">
        <x:v>Chair 002</x:v>
      </x:c>
      <x:c r="I46" s="11" t="n">
        <x:v>5</x:v>
      </x:c>
      <x:c r="J46" s="9" t="n">
        <x:v>284</x:v>
      </x:c>
      <x:c r="K46" s="10" t="n">
        <x:v>0.05</x:v>
      </x:c>
      <x:c r="L46" s="11" t="n">
        <x:v>0</x:v>
      </x:c>
      <x:c r="M46" s="9" t="n">
        <x:f>IF(D46="Completed",I46*J46,0)</x:f>
        <x:v>1420</x:v>
      </x:c>
      <x:c r="N46" s="9" t="n">
        <x:f>M46*K46</x:f>
        <x:v>71</x:v>
      </x:c>
      <x:c r="O46" s="9" t="n">
        <x:f>M46-N46</x:f>
        <x:v>1349</x:v>
      </x:c>
      <x:c r="P46" s="9" t="n">
        <x:f>IF(D46="Completed",L46*J46*(1-K46),0)</x:f>
        <x:v>0</x:v>
      </x:c>
      <x:c r="Q46" s="9" t="n">
        <x:f>O46-P46</x:f>
        <x:v>1349</x:v>
      </x:c>
      <x:c r="R46" s="11" t="n">
        <x:f>IF(D46="Completed",I46,0)</x:f>
        <x:v>5</x:v>
      </x:c>
      <x:c r="S46" s="11" t="n">
        <x:f>IF(D46="Completed",L46,0)</x:f>
        <x:v>0</x:v>
      </x:c>
      <x:c r="T46" s="8" t="n">
        <x:f>DATE(YEAR(C46),MONTH(C46),1)</x:f>
        <x:v>45901</x:v>
      </x:c>
    </x:row>
    <x:row r="47" ht="22" customHeight="1">
      <x:c r="A47" s="2" t="str">
        <x:v>L000043</x:v>
      </x:c>
      <x:c r="B47" s="2" t="str">
        <x:v>O00018</x:v>
      </x:c>
      <x:c r="C47" s="7" t="n">
        <x:v>45712</x:v>
      </x:c>
      <x:c r="D47" s="2" t="str">
        <x:v>Completed</x:v>
      </x:c>
      <x:c r="E47" s="2" t="str">
        <x:v>East</x:v>
      </x:c>
      <x:c r="F47" s="2" t="str">
        <x:v>Online</x:v>
      </x:c>
      <x:c r="G47" s="2" t="str">
        <x:v>Lighting</x:v>
      </x:c>
      <x:c r="H47" s="2" t="str">
        <x:v>Lamp 005</x:v>
      </x:c>
      <x:c r="I47" s="11" t="n">
        <x:v>5</x:v>
      </x:c>
      <x:c r="J47" s="9" t="n">
        <x:v>65</x:v>
      </x:c>
      <x:c r="K47" s="10" t="n">
        <x:v>0</x:v>
      </x:c>
      <x:c r="L47" s="11" t="n">
        <x:v>0</x:v>
      </x:c>
      <x:c r="M47" s="9" t="n">
        <x:f>IF(D47="Completed",I47*J47,0)</x:f>
        <x:v>325</x:v>
      </x:c>
      <x:c r="N47" s="9" t="n">
        <x:f>M47*K47</x:f>
        <x:v>0</x:v>
      </x:c>
      <x:c r="O47" s="9" t="n">
        <x:f>M47-N47</x:f>
        <x:v>325</x:v>
      </x:c>
      <x:c r="P47" s="9" t="n">
        <x:f>IF(D47="Completed",L47*J47*(1-K47),0)</x:f>
        <x:v>0</x:v>
      </x:c>
      <x:c r="Q47" s="9" t="n">
        <x:f>O47-P47</x:f>
        <x:v>325</x:v>
      </x:c>
      <x:c r="R47" s="11" t="n">
        <x:f>IF(D47="Completed",I47,0)</x:f>
        <x:v>5</x:v>
      </x:c>
      <x:c r="S47" s="11" t="n">
        <x:f>IF(D47="Completed",L47,0)</x:f>
        <x:v>0</x:v>
      </x:c>
      <x:c r="T47" s="8" t="n">
        <x:f>DATE(YEAR(C47),MONTH(C47),1)</x:f>
        <x:v>45689</x:v>
      </x:c>
    </x:row>
    <x:row r="48" ht="22" customHeight="1">
      <x:c r="A48" s="2" t="str">
        <x:v>L000044</x:v>
      </x:c>
      <x:c r="B48" s="2" t="str">
        <x:v>O00018</x:v>
      </x:c>
      <x:c r="C48" s="7" t="n">
        <x:v>45712</x:v>
      </x:c>
      <x:c r="D48" s="2" t="str">
        <x:v>Completed</x:v>
      </x:c>
      <x:c r="E48" s="2" t="str">
        <x:v>East</x:v>
      </x:c>
      <x:c r="F48" s="2" t="str">
        <x:v>Online</x:v>
      </x:c>
      <x:c r="G48" s="2" t="str">
        <x:v>Furniture</x:v>
      </x:c>
      <x:c r="H48" s="2" t="str">
        <x:v>Desk 012</x:v>
      </x:c>
      <x:c r="I48" s="11" t="n">
        <x:v>3</x:v>
      </x:c>
      <x:c r="J48" s="9" t="n">
        <x:v>134</x:v>
      </x:c>
      <x:c r="K48" s="10" t="n">
        <x:v>0</x:v>
      </x:c>
      <x:c r="L48" s="11" t="n">
        <x:v>0</x:v>
      </x:c>
      <x:c r="M48" s="9" t="n">
        <x:f>IF(D48="Completed",I48*J48,0)</x:f>
        <x:v>402</x:v>
      </x:c>
      <x:c r="N48" s="9" t="n">
        <x:f>M48*K48</x:f>
        <x:v>0</x:v>
      </x:c>
      <x:c r="O48" s="9" t="n">
        <x:f>M48-N48</x:f>
        <x:v>402</x:v>
      </x:c>
      <x:c r="P48" s="9" t="n">
        <x:f>IF(D48="Completed",L48*J48*(1-K48),0)</x:f>
        <x:v>0</x:v>
      </x:c>
      <x:c r="Q48" s="9" t="n">
        <x:f>O48-P48</x:f>
        <x:v>402</x:v>
      </x:c>
      <x:c r="R48" s="11" t="n">
        <x:f>IF(D48="Completed",I48,0)</x:f>
        <x:v>3</x:v>
      </x:c>
      <x:c r="S48" s="11" t="n">
        <x:f>IF(D48="Completed",L48,0)</x:f>
        <x:v>0</x:v>
      </x:c>
      <x:c r="T48" s="8" t="n">
        <x:f>DATE(YEAR(C48),MONTH(C48),1)</x:f>
        <x:v>45689</x:v>
      </x:c>
    </x:row>
    <x:row r="49" ht="22" customHeight="1">
      <x:c r="A49" s="2" t="str">
        <x:v>L000045</x:v>
      </x:c>
      <x:c r="B49" s="2" t="str">
        <x:v>O00018</x:v>
      </x:c>
      <x:c r="C49" s="7" t="n">
        <x:v>45712</x:v>
      </x:c>
      <x:c r="D49" s="2" t="str">
        <x:v>Completed</x:v>
      </x:c>
      <x:c r="E49" s="2" t="str">
        <x:v>East</x:v>
      </x:c>
      <x:c r="F49" s="2" t="str">
        <x:v>Online</x:v>
      </x:c>
      <x:c r="G49" s="2" t="str">
        <x:v>Furniture</x:v>
      </x:c>
      <x:c r="H49" s="2" t="str">
        <x:v>Desk 020</x:v>
      </x:c>
      <x:c r="I49" s="11" t="n">
        <x:v>3</x:v>
      </x:c>
      <x:c r="J49" s="9" t="n">
        <x:v>189</x:v>
      </x:c>
      <x:c r="K49" s="10" t="n">
        <x:v>0.05</x:v>
      </x:c>
      <x:c r="L49" s="11" t="n">
        <x:v>2</x:v>
      </x:c>
      <x:c r="M49" s="9" t="n">
        <x:f>IF(D49="Completed",I49*J49,0)</x:f>
        <x:v>567</x:v>
      </x:c>
      <x:c r="N49" s="9" t="n">
        <x:f>M49*K49</x:f>
        <x:v>28.35</x:v>
      </x:c>
      <x:c r="O49" s="9" t="n">
        <x:f>M49-N49</x:f>
        <x:v>538.65</x:v>
      </x:c>
      <x:c r="P49" s="9" t="n">
        <x:f>IF(D49="Completed",L49*J49*(1-K49),0)</x:f>
        <x:v>359.09999999999997</x:v>
      </x:c>
      <x:c r="Q49" s="9" t="n">
        <x:f>O49-P49</x:f>
        <x:v>179.55</x:v>
      </x:c>
      <x:c r="R49" s="11" t="n">
        <x:f>IF(D49="Completed",I49,0)</x:f>
        <x:v>3</x:v>
      </x:c>
      <x:c r="S49" s="11" t="n">
        <x:f>IF(D49="Completed",L49,0)</x:f>
        <x:v>2</x:v>
      </x:c>
      <x:c r="T49" s="8" t="n">
        <x:f>DATE(YEAR(C49),MONTH(C49),1)</x:f>
        <x:v>45689</x:v>
      </x:c>
    </x:row>
    <x:row r="50" ht="22" customHeight="1">
      <x:c r="A50" s="2" t="str">
        <x:v>L000046</x:v>
      </x:c>
      <x:c r="B50" s="2" t="str">
        <x:v>O00019</x:v>
      </x:c>
      <x:c r="C50" s="7" t="n">
        <x:v>45962</x:v>
      </x:c>
      <x:c r="D50" s="2" t="str">
        <x:v>Completed</x:v>
      </x:c>
      <x:c r="E50" s="2" t="str">
        <x:v>North</x:v>
      </x:c>
      <x:c r="F50" s="2" t="str">
        <x:v>Online</x:v>
      </x:c>
      <x:c r="G50" s="2" t="str">
        <x:v>Storage</x:v>
      </x:c>
      <x:c r="H50" s="2" t="str">
        <x:v>Shelf 015</x:v>
      </x:c>
      <x:c r="I50" s="11" t="n">
        <x:v>3</x:v>
      </x:c>
      <x:c r="J50" s="9" t="n">
        <x:v>254</x:v>
      </x:c>
      <x:c r="K50" s="10" t="n">
        <x:v>0.05</x:v>
      </x:c>
      <x:c r="L50" s="11" t="n">
        <x:v>0</x:v>
      </x:c>
      <x:c r="M50" s="9" t="n">
        <x:f>IF(D50="Completed",I50*J50,0)</x:f>
        <x:v>762</x:v>
      </x:c>
      <x:c r="N50" s="9" t="n">
        <x:f>M50*K50</x:f>
        <x:v>38.1</x:v>
      </x:c>
      <x:c r="O50" s="9" t="n">
        <x:f>M50-N50</x:f>
        <x:v>723.9</x:v>
      </x:c>
      <x:c r="P50" s="9" t="n">
        <x:f>IF(D50="Completed",L50*J50*(1-K50),0)</x:f>
        <x:v>0</x:v>
      </x:c>
      <x:c r="Q50" s="9" t="n">
        <x:f>O50-P50</x:f>
        <x:v>723.9</x:v>
      </x:c>
      <x:c r="R50" s="11" t="n">
        <x:f>IF(D50="Completed",I50,0)</x:f>
        <x:v>3</x:v>
      </x:c>
      <x:c r="S50" s="11" t="n">
        <x:f>IF(D50="Completed",L50,0)</x:f>
        <x:v>0</x:v>
      </x:c>
      <x:c r="T50" s="8" t="n">
        <x:f>DATE(YEAR(C50),MONTH(C50),1)</x:f>
        <x:v>45962</x:v>
      </x:c>
    </x:row>
    <x:row r="51" ht="22" customHeight="1">
      <x:c r="A51" s="2" t="str">
        <x:v>L000047</x:v>
      </x:c>
      <x:c r="B51" s="2" t="str">
        <x:v>O00020</x:v>
      </x:c>
      <x:c r="C51" s="7" t="n">
        <x:v>45740</x:v>
      </x:c>
      <x:c r="D51" s="2" t="str">
        <x:v>Completed</x:v>
      </x:c>
      <x:c r="E51" s="2" t="str">
        <x:v>East</x:v>
      </x:c>
      <x:c r="F51" s="2" t="str">
        <x:v>Store</x:v>
      </x:c>
      <x:c r="G51" s="2" t="str">
        <x:v>Furniture</x:v>
      </x:c>
      <x:c r="H51" s="2" t="str">
        <x:v>Chair 010</x:v>
      </x:c>
      <x:c r="I51" s="11" t="n">
        <x:v>2</x:v>
      </x:c>
      <x:c r="J51" s="9" t="n">
        <x:v>211</x:v>
      </x:c>
      <x:c r="K51" s="10" t="n">
        <x:v>0</x:v>
      </x:c>
      <x:c r="L51" s="11" t="n">
        <x:v>2</x:v>
      </x:c>
      <x:c r="M51" s="9" t="n">
        <x:f>IF(D51="Completed",I51*J51,0)</x:f>
        <x:v>422</x:v>
      </x:c>
      <x:c r="N51" s="9" t="n">
        <x:f>M51*K51</x:f>
        <x:v>0</x:v>
      </x:c>
      <x:c r="O51" s="9" t="n">
        <x:f>M51-N51</x:f>
        <x:v>422</x:v>
      </x:c>
      <x:c r="P51" s="9" t="n">
        <x:f>IF(D51="Completed",L51*J51*(1-K51),0)</x:f>
        <x:v>422</x:v>
      </x:c>
      <x:c r="Q51" s="9" t="n">
        <x:f>O51-P51</x:f>
        <x:v>0</x:v>
      </x:c>
      <x:c r="R51" s="11" t="n">
        <x:f>IF(D51="Completed",I51,0)</x:f>
        <x:v>2</x:v>
      </x:c>
      <x:c r="S51" s="11" t="n">
        <x:f>IF(D51="Completed",L51,0)</x:f>
        <x:v>2</x:v>
      </x:c>
      <x:c r="T51" s="8" t="n">
        <x:f>DATE(YEAR(C51),MONTH(C51),1)</x:f>
        <x:v>45717</x:v>
      </x:c>
    </x:row>
    <x:row r="52" ht="22" customHeight="1">
      <x:c r="A52" s="2" t="str">
        <x:v>L000048</x:v>
      </x:c>
      <x:c r="B52" s="2" t="str">
        <x:v>O00020</x:v>
      </x:c>
      <x:c r="C52" s="7" t="n">
        <x:v>45740</x:v>
      </x:c>
      <x:c r="D52" s="2" t="str">
        <x:v>Completed</x:v>
      </x:c>
      <x:c r="E52" s="2" t="str">
        <x:v>East</x:v>
      </x:c>
      <x:c r="F52" s="2" t="str">
        <x:v>Store</x:v>
      </x:c>
      <x:c r="G52" s="2" t="str">
        <x:v>Furniture</x:v>
      </x:c>
      <x:c r="H52" s="2" t="str">
        <x:v>Desk 016</x:v>
      </x:c>
      <x:c r="I52" s="11" t="n">
        <x:v>2</x:v>
      </x:c>
      <x:c r="J52" s="9" t="n">
        <x:v>231</x:v>
      </x:c>
      <x:c r="K52" s="10" t="n">
        <x:v>0.1</x:v>
      </x:c>
      <x:c r="L52" s="11" t="n">
        <x:v>0</x:v>
      </x:c>
      <x:c r="M52" s="9" t="n">
        <x:f>IF(D52="Completed",I52*J52,0)</x:f>
        <x:v>462</x:v>
      </x:c>
      <x:c r="N52" s="9" t="n">
        <x:f>M52*K52</x:f>
        <x:v>46.2</x:v>
      </x:c>
      <x:c r="O52" s="9" t="n">
        <x:f>M52-N52</x:f>
        <x:v>415.8</x:v>
      </x:c>
      <x:c r="P52" s="9" t="n">
        <x:f>IF(D52="Completed",L52*J52*(1-K52),0)</x:f>
        <x:v>0</x:v>
      </x:c>
      <x:c r="Q52" s="9" t="n">
        <x:f>O52-P52</x:f>
        <x:v>415.8</x:v>
      </x:c>
      <x:c r="R52" s="11" t="n">
        <x:f>IF(D52="Completed",I52,0)</x:f>
        <x:v>2</x:v>
      </x:c>
      <x:c r="S52" s="11" t="n">
        <x:f>IF(D52="Completed",L52,0)</x:f>
        <x:v>0</x:v>
      </x:c>
      <x:c r="T52" s="8" t="n">
        <x:f>DATE(YEAR(C52),MONTH(C52),1)</x:f>
        <x:v>45717</x:v>
      </x:c>
    </x:row>
    <x:row r="53" ht="22" customHeight="1">
      <x:c r="A53" s="2" t="str">
        <x:v>L000049</x:v>
      </x:c>
      <x:c r="B53" s="2" t="str">
        <x:v>O00020</x:v>
      </x:c>
      <x:c r="C53" s="7" t="n">
        <x:v>45740</x:v>
      </x:c>
      <x:c r="D53" s="2" t="str">
        <x:v>Completed</x:v>
      </x:c>
      <x:c r="E53" s="2" t="str">
        <x:v>East</x:v>
      </x:c>
      <x:c r="F53" s="2" t="str">
        <x:v>Store</x:v>
      </x:c>
      <x:c r="G53" s="2" t="str">
        <x:v>Lighting</x:v>
      </x:c>
      <x:c r="H53" s="2" t="str">
        <x:v>Lamp 009</x:v>
      </x:c>
      <x:c r="I53" s="11" t="n">
        <x:v>4</x:v>
      </x:c>
      <x:c r="J53" s="9" t="n">
        <x:v>93</x:v>
      </x:c>
      <x:c r="K53" s="10" t="n">
        <x:v>0</x:v>
      </x:c>
      <x:c r="L53" s="11" t="n">
        <x:v>0</x:v>
      </x:c>
      <x:c r="M53" s="9" t="n">
        <x:f>IF(D53="Completed",I53*J53,0)</x:f>
        <x:v>372</x:v>
      </x:c>
      <x:c r="N53" s="9" t="n">
        <x:f>M53*K53</x:f>
        <x:v>0</x:v>
      </x:c>
      <x:c r="O53" s="9" t="n">
        <x:f>M53-N53</x:f>
        <x:v>372</x:v>
      </x:c>
      <x:c r="P53" s="9" t="n">
        <x:f>IF(D53="Completed",L53*J53*(1-K53),0)</x:f>
        <x:v>0</x:v>
      </x:c>
      <x:c r="Q53" s="9" t="n">
        <x:f>O53-P53</x:f>
        <x:v>372</x:v>
      </x:c>
      <x:c r="R53" s="11" t="n">
        <x:f>IF(D53="Completed",I53,0)</x:f>
        <x:v>4</x:v>
      </x:c>
      <x:c r="S53" s="11" t="n">
        <x:f>IF(D53="Completed",L53,0)</x:f>
        <x:v>0</x:v>
      </x:c>
      <x:c r="T53" s="8" t="n">
        <x:f>DATE(YEAR(C53),MONTH(C53),1)</x:f>
        <x:v>45717</x:v>
      </x:c>
    </x:row>
    <x:row r="54" ht="22" customHeight="1">
      <x:c r="A54" s="2" t="str">
        <x:v>L000050</x:v>
      </x:c>
      <x:c r="B54" s="2" t="str">
        <x:v>O00021</x:v>
      </x:c>
      <x:c r="C54" s="7" t="n">
        <x:v>45906</x:v>
      </x:c>
      <x:c r="D54" s="2" t="str">
        <x:v>Completed</x:v>
      </x:c>
      <x:c r="E54" s="2" t="str">
        <x:v>North</x:v>
      </x:c>
      <x:c r="F54" s="2" t="str">
        <x:v>Store</x:v>
      </x:c>
      <x:c r="G54" s="2" t="str">
        <x:v>Furniture</x:v>
      </x:c>
      <x:c r="H54" s="2" t="str">
        <x:v>Chair 022</x:v>
      </x:c>
      <x:c r="I54" s="11" t="n">
        <x:v>1</x:v>
      </x:c>
      <x:c r="J54" s="9" t="n">
        <x:v>134</x:v>
      </x:c>
      <x:c r="K54" s="10" t="n">
        <x:v>0.1</x:v>
      </x:c>
      <x:c r="L54" s="11" t="n">
        <x:v>0</x:v>
      </x:c>
      <x:c r="M54" s="9" t="n">
        <x:f>IF(D54="Completed",I54*J54,0)</x:f>
        <x:v>134</x:v>
      </x:c>
      <x:c r="N54" s="9" t="n">
        <x:f>M54*K54</x:f>
        <x:v>13.4</x:v>
      </x:c>
      <x:c r="O54" s="9" t="n">
        <x:f>M54-N54</x:f>
        <x:v>120.6</x:v>
      </x:c>
      <x:c r="P54" s="9" t="n">
        <x:f>IF(D54="Completed",L54*J54*(1-K54),0)</x:f>
        <x:v>0</x:v>
      </x:c>
      <x:c r="Q54" s="9" t="n">
        <x:f>O54-P54</x:f>
        <x:v>120.6</x:v>
      </x:c>
      <x:c r="R54" s="11" t="n">
        <x:f>IF(D54="Completed",I54,0)</x:f>
        <x:v>1</x:v>
      </x:c>
      <x:c r="S54" s="11" t="n">
        <x:f>IF(D54="Completed",L54,0)</x:f>
        <x:v>0</x:v>
      </x:c>
      <x:c r="T54" s="8" t="n">
        <x:f>DATE(YEAR(C54),MONTH(C54),1)</x:f>
        <x:v>45901</x:v>
      </x:c>
    </x:row>
    <x:row r="55" ht="22" customHeight="1">
      <x:c r="A55" s="2" t="str">
        <x:v>L000051</x:v>
      </x:c>
      <x:c r="B55" s="2" t="str">
        <x:v>O00021</x:v>
      </x:c>
      <x:c r="C55" s="7" t="n">
        <x:v>45906</x:v>
      </x:c>
      <x:c r="D55" s="2" t="str">
        <x:v>Completed</x:v>
      </x:c>
      <x:c r="E55" s="2" t="str">
        <x:v>North</x:v>
      </x:c>
      <x:c r="F55" s="2" t="str">
        <x:v>Store</x:v>
      </x:c>
      <x:c r="G55" s="2" t="str">
        <x:v>Furniture</x:v>
      </x:c>
      <x:c r="H55" s="2" t="str">
        <x:v>Desk 008</x:v>
      </x:c>
      <x:c r="I55" s="11" t="n">
        <x:v>3</x:v>
      </x:c>
      <x:c r="J55" s="9" t="n">
        <x:v>188</x:v>
      </x:c>
      <x:c r="K55" s="10" t="n">
        <x:v>0.2</x:v>
      </x:c>
      <x:c r="L55" s="11" t="n">
        <x:v>0</x:v>
      </x:c>
      <x:c r="M55" s="9" t="n">
        <x:f>IF(D55="Completed",I55*J55,0)</x:f>
        <x:v>564</x:v>
      </x:c>
      <x:c r="N55" s="9" t="n">
        <x:f>M55*K55</x:f>
        <x:v>112.80000000000001</x:v>
      </x:c>
      <x:c r="O55" s="9" t="n">
        <x:f>M55-N55</x:f>
        <x:v>451.2</x:v>
      </x:c>
      <x:c r="P55" s="9" t="n">
        <x:f>IF(D55="Completed",L55*J55*(1-K55),0)</x:f>
        <x:v>0</x:v>
      </x:c>
      <x:c r="Q55" s="9" t="n">
        <x:f>O55-P55</x:f>
        <x:v>451.2</x:v>
      </x:c>
      <x:c r="R55" s="11" t="n">
        <x:f>IF(D55="Completed",I55,0)</x:f>
        <x:v>3</x:v>
      </x:c>
      <x:c r="S55" s="11" t="n">
        <x:f>IF(D55="Completed",L55,0)</x:f>
        <x:v>0</x:v>
      </x:c>
      <x:c r="T55" s="8" t="n">
        <x:f>DATE(YEAR(C55),MONTH(C55),1)</x:f>
        <x:v>45901</x:v>
      </x:c>
    </x:row>
    <x:row r="56" ht="22" customHeight="1">
      <x:c r="A56" s="2" t="str">
        <x:v>L000052</x:v>
      </x:c>
      <x:c r="B56" s="2" t="str">
        <x:v>O00022</x:v>
      </x:c>
      <x:c r="C56" s="7" t="n">
        <x:v>45951</x:v>
      </x:c>
      <x:c r="D56" s="2" t="str">
        <x:v>Completed</x:v>
      </x:c>
      <x:c r="E56" s="2" t="str">
        <x:v>North</x:v>
      </x:c>
      <x:c r="F56" s="2" t="str">
        <x:v>Store</x:v>
      </x:c>
      <x:c r="G56" s="2" t="str">
        <x:v>Lighting</x:v>
      </x:c>
      <x:c r="H56" s="2" t="str">
        <x:v>Lamp 009</x:v>
      </x:c>
      <x:c r="I56" s="11" t="n">
        <x:v>5</x:v>
      </x:c>
      <x:c r="J56" s="9" t="n">
        <x:v>93</x:v>
      </x:c>
      <x:c r="K56" s="10" t="n">
        <x:v>0.1</x:v>
      </x:c>
      <x:c r="L56" s="11" t="n">
        <x:v>1</x:v>
      </x:c>
      <x:c r="M56" s="9" t="n">
        <x:f>IF(D56="Completed",I56*J56,0)</x:f>
        <x:v>465</x:v>
      </x:c>
      <x:c r="N56" s="9" t="n">
        <x:f>M56*K56</x:f>
        <x:v>46.5</x:v>
      </x:c>
      <x:c r="O56" s="9" t="n">
        <x:f>M56-N56</x:f>
        <x:v>418.5</x:v>
      </x:c>
      <x:c r="P56" s="9" t="n">
        <x:f>IF(D56="Completed",L56*J56*(1-K56),0)</x:f>
        <x:v>83.7</x:v>
      </x:c>
      <x:c r="Q56" s="9" t="n">
        <x:f>O56-P56</x:f>
        <x:v>334.8</x:v>
      </x:c>
      <x:c r="R56" s="11" t="n">
        <x:f>IF(D56="Completed",I56,0)</x:f>
        <x:v>5</x:v>
      </x:c>
      <x:c r="S56" s="11" t="n">
        <x:f>IF(D56="Completed",L56,0)</x:f>
        <x:v>1</x:v>
      </x:c>
      <x:c r="T56" s="8" t="n">
        <x:f>DATE(YEAR(C56),MONTH(C56),1)</x:f>
        <x:v>45931</x:v>
      </x:c>
    </x:row>
    <x:row r="57" ht="22" customHeight="1">
      <x:c r="A57" s="2" t="str">
        <x:v>L000053</x:v>
      </x:c>
      <x:c r="B57" s="2" t="str">
        <x:v>O00022</x:v>
      </x:c>
      <x:c r="C57" s="7" t="n">
        <x:v>45951</x:v>
      </x:c>
      <x:c r="D57" s="2" t="str">
        <x:v>Completed</x:v>
      </x:c>
      <x:c r="E57" s="2" t="str">
        <x:v>North</x:v>
      </x:c>
      <x:c r="F57" s="2" t="str">
        <x:v>Store</x:v>
      </x:c>
      <x:c r="G57" s="2" t="str">
        <x:v>Storage</x:v>
      </x:c>
      <x:c r="H57" s="2" t="str">
        <x:v>Shelf 011</x:v>
      </x:c>
      <x:c r="I57" s="11" t="n">
        <x:v>3</x:v>
      </x:c>
      <x:c r="J57" s="9" t="n">
        <x:v>80</x:v>
      </x:c>
      <x:c r="K57" s="10" t="n">
        <x:v>0.1</x:v>
      </x:c>
      <x:c r="L57" s="11" t="n">
        <x:v>0</x:v>
      </x:c>
      <x:c r="M57" s="9" t="n">
        <x:f>IF(D57="Completed",I57*J57,0)</x:f>
        <x:v>240</x:v>
      </x:c>
      <x:c r="N57" s="9" t="n">
        <x:f>M57*K57</x:f>
        <x:v>24</x:v>
      </x:c>
      <x:c r="O57" s="9" t="n">
        <x:f>M57-N57</x:f>
        <x:v>216</x:v>
      </x:c>
      <x:c r="P57" s="9" t="n">
        <x:f>IF(D57="Completed",L57*J57*(1-K57),0)</x:f>
        <x:v>0</x:v>
      </x:c>
      <x:c r="Q57" s="9" t="n">
        <x:f>O57-P57</x:f>
        <x:v>216</x:v>
      </x:c>
      <x:c r="R57" s="11" t="n">
        <x:f>IF(D57="Completed",I57,0)</x:f>
        <x:v>3</x:v>
      </x:c>
      <x:c r="S57" s="11" t="n">
        <x:f>IF(D57="Completed",L57,0)</x:f>
        <x:v>0</x:v>
      </x:c>
      <x:c r="T57" s="8" t="n">
        <x:f>DATE(YEAR(C57),MONTH(C57),1)</x:f>
        <x:v>45931</x:v>
      </x:c>
    </x:row>
    <x:row r="58" ht="22" customHeight="1">
      <x:c r="A58" s="2" t="str">
        <x:v>L000054</x:v>
      </x:c>
      <x:c r="B58" s="2" t="str">
        <x:v>O00022</x:v>
      </x:c>
      <x:c r="C58" s="7" t="n">
        <x:v>45951</x:v>
      </x:c>
      <x:c r="D58" s="2" t="str">
        <x:v>Completed</x:v>
      </x:c>
      <x:c r="E58" s="2" t="str">
        <x:v>North</x:v>
      </x:c>
      <x:c r="F58" s="2" t="str">
        <x:v>Store</x:v>
      </x:c>
      <x:c r="G58" s="2" t="str">
        <x:v>Furniture</x:v>
      </x:c>
      <x:c r="H58" s="2" t="str">
        <x:v>Desk 012</x:v>
      </x:c>
      <x:c r="I58" s="11" t="n">
        <x:v>4</x:v>
      </x:c>
      <x:c r="J58" s="9" t="n">
        <x:v>134</x:v>
      </x:c>
      <x:c r="K58" s="10" t="n">
        <x:v>0</x:v>
      </x:c>
      <x:c r="L58" s="11" t="n">
        <x:v>0</x:v>
      </x:c>
      <x:c r="M58" s="9" t="n">
        <x:f>IF(D58="Completed",I58*J58,0)</x:f>
        <x:v>536</x:v>
      </x:c>
      <x:c r="N58" s="9" t="n">
        <x:f>M58*K58</x:f>
        <x:v>0</x:v>
      </x:c>
      <x:c r="O58" s="9" t="n">
        <x:f>M58-N58</x:f>
        <x:v>536</x:v>
      </x:c>
      <x:c r="P58" s="9" t="n">
        <x:f>IF(D58="Completed",L58*J58*(1-K58),0)</x:f>
        <x:v>0</x:v>
      </x:c>
      <x:c r="Q58" s="9" t="n">
        <x:f>O58-P58</x:f>
        <x:v>536</x:v>
      </x:c>
      <x:c r="R58" s="11" t="n">
        <x:f>IF(D58="Completed",I58,0)</x:f>
        <x:v>4</x:v>
      </x:c>
      <x:c r="S58" s="11" t="n">
        <x:f>IF(D58="Completed",L58,0)</x:f>
        <x:v>0</x:v>
      </x:c>
      <x:c r="T58" s="8" t="n">
        <x:f>DATE(YEAR(C58),MONTH(C58),1)</x:f>
        <x:v>45931</x:v>
      </x:c>
    </x:row>
    <x:row r="59" ht="22" customHeight="1">
      <x:c r="A59" s="2" t="str">
        <x:v>L000055</x:v>
      </x:c>
      <x:c r="B59" s="2" t="str">
        <x:v>O00023</x:v>
      </x:c>
      <x:c r="C59" s="7" t="n">
        <x:v>45720</x:v>
      </x:c>
      <x:c r="D59" s="2" t="str">
        <x:v>Completed</x:v>
      </x:c>
      <x:c r="E59" s="2" t="str">
        <x:v>West</x:v>
      </x:c>
      <x:c r="F59" s="2" t="str">
        <x:v>Online</x:v>
      </x:c>
      <x:c r="G59" s="2" t="str">
        <x:v>Storage</x:v>
      </x:c>
      <x:c r="H59" s="2" t="str">
        <x:v>Shelf 023</x:v>
      </x:c>
      <x:c r="I59" s="11" t="n">
        <x:v>3</x:v>
      </x:c>
      <x:c r="J59" s="9" t="n">
        <x:v>68</x:v>
      </x:c>
      <x:c r="K59" s="10" t="n">
        <x:v>0.05</x:v>
      </x:c>
      <x:c r="L59" s="11" t="n">
        <x:v>0</x:v>
      </x:c>
      <x:c r="M59" s="9" t="n">
        <x:f>IF(D59="Completed",I59*J59,0)</x:f>
        <x:v>204</x:v>
      </x:c>
      <x:c r="N59" s="9" t="n">
        <x:f>M59*K59</x:f>
        <x:v>10.200000000000001</x:v>
      </x:c>
      <x:c r="O59" s="9" t="n">
        <x:f>M59-N59</x:f>
        <x:v>193.8</x:v>
      </x:c>
      <x:c r="P59" s="9" t="n">
        <x:f>IF(D59="Completed",L59*J59*(1-K59),0)</x:f>
        <x:v>0</x:v>
      </x:c>
      <x:c r="Q59" s="9" t="n">
        <x:f>O59-P59</x:f>
        <x:v>193.8</x:v>
      </x:c>
      <x:c r="R59" s="11" t="n">
        <x:f>IF(D59="Completed",I59,0)</x:f>
        <x:v>3</x:v>
      </x:c>
      <x:c r="S59" s="11" t="n">
        <x:f>IF(D59="Completed",L59,0)</x:f>
        <x:v>0</x:v>
      </x:c>
      <x:c r="T59" s="8" t="n">
        <x:f>DATE(YEAR(C59),MONTH(C59),1)</x:f>
        <x:v>45717</x:v>
      </x:c>
    </x:row>
    <x:row r="60" ht="22" customHeight="1">
      <x:c r="A60" s="2" t="str">
        <x:v>L000056</x:v>
      </x:c>
      <x:c r="B60" s="2" t="str">
        <x:v>O00023</x:v>
      </x:c>
      <x:c r="C60" s="7" t="n">
        <x:v>45720</x:v>
      </x:c>
      <x:c r="D60" s="2" t="str">
        <x:v>Completed</x:v>
      </x:c>
      <x:c r="E60" s="2" t="str">
        <x:v>West</x:v>
      </x:c>
      <x:c r="F60" s="2" t="str">
        <x:v>Online</x:v>
      </x:c>
      <x:c r="G60" s="2" t="str">
        <x:v>Storage</x:v>
      </x:c>
      <x:c r="H60" s="2" t="str">
        <x:v>Shelf 011</x:v>
      </x:c>
      <x:c r="I60" s="11" t="n">
        <x:v>2</x:v>
      </x:c>
      <x:c r="J60" s="9" t="n">
        <x:v>80</x:v>
      </x:c>
      <x:c r="K60" s="10" t="n">
        <x:v>0.1</x:v>
      </x:c>
      <x:c r="L60" s="11" t="n">
        <x:v>0</x:v>
      </x:c>
      <x:c r="M60" s="9" t="n">
        <x:f>IF(D60="Completed",I60*J60,0)</x:f>
        <x:v>160</x:v>
      </x:c>
      <x:c r="N60" s="9" t="n">
        <x:f>M60*K60</x:f>
        <x:v>16</x:v>
      </x:c>
      <x:c r="O60" s="9" t="n">
        <x:f>M60-N60</x:f>
        <x:v>144</x:v>
      </x:c>
      <x:c r="P60" s="9" t="n">
        <x:f>IF(D60="Completed",L60*J60*(1-K60),0)</x:f>
        <x:v>0</x:v>
      </x:c>
      <x:c r="Q60" s="9" t="n">
        <x:f>O60-P60</x:f>
        <x:v>144</x:v>
      </x:c>
      <x:c r="R60" s="11" t="n">
        <x:f>IF(D60="Completed",I60,0)</x:f>
        <x:v>2</x:v>
      </x:c>
      <x:c r="S60" s="11" t="n">
        <x:f>IF(D60="Completed",L60,0)</x:f>
        <x:v>0</x:v>
      </x:c>
      <x:c r="T60" s="8" t="n">
        <x:f>DATE(YEAR(C60),MONTH(C60),1)</x:f>
        <x:v>45717</x:v>
      </x:c>
    </x:row>
    <x:row r="61" ht="22" customHeight="1">
      <x:c r="A61" s="2" t="str">
        <x:v>L000057</x:v>
      </x:c>
      <x:c r="B61" s="2" t="str">
        <x:v>O00024</x:v>
      </x:c>
      <x:c r="C61" s="7" t="n">
        <x:v>45787</x:v>
      </x:c>
      <x:c r="D61" s="2" t="str">
        <x:v>Cancelled</x:v>
      </x:c>
      <x:c r="E61" s="2" t="str">
        <x:v>West</x:v>
      </x:c>
      <x:c r="F61" s="2" t="str">
        <x:v>Online</x:v>
      </x:c>
      <x:c r="G61" s="2" t="str">
        <x:v>Lighting</x:v>
      </x:c>
      <x:c r="H61" s="2" t="str">
        <x:v>Lamp 001</x:v>
      </x:c>
      <x:c r="I61" s="11" t="n">
        <x:v>4</x:v>
      </x:c>
      <x:c r="J61" s="9" t="n">
        <x:v>122</x:v>
      </x:c>
      <x:c r="K61" s="10" t="n">
        <x:v>0</x:v>
      </x:c>
      <x:c r="L61" s="11" t="n">
        <x:v>0</x:v>
      </x:c>
      <x:c r="M61" s="9" t="n">
        <x:f>IF(D61="Completed",I61*J61,0)</x:f>
        <x:v>0</x:v>
      </x:c>
      <x:c r="N61" s="9" t="n">
        <x:f>M61*K61</x:f>
        <x:v>0</x:v>
      </x:c>
      <x:c r="O61" s="9" t="n">
        <x:f>M61-N61</x:f>
        <x:v>0</x:v>
      </x:c>
      <x:c r="P61" s="9" t="n">
        <x:f>IF(D61="Completed",L61*J61*(1-K61),0)</x:f>
        <x:v>0</x:v>
      </x:c>
      <x:c r="Q61" s="9" t="n">
        <x:f>O61-P61</x:f>
        <x:v>0</x:v>
      </x:c>
      <x:c r="R61" s="11" t="n">
        <x:f>IF(D61="Completed",I61,0)</x:f>
        <x:v>0</x:v>
      </x:c>
      <x:c r="S61" s="11" t="n">
        <x:f>IF(D61="Completed",L61,0)</x:f>
        <x:v>0</x:v>
      </x:c>
      <x:c r="T61" s="8" t="n">
        <x:f>DATE(YEAR(C61),MONTH(C61),1)</x:f>
        <x:v>45778</x:v>
      </x:c>
    </x:row>
    <x:row r="62" ht="22" customHeight="1">
      <x:c r="A62" s="2" t="str">
        <x:v>L000058</x:v>
      </x:c>
      <x:c r="B62" s="2" t="str">
        <x:v>O00024</x:v>
      </x:c>
      <x:c r="C62" s="7" t="n">
        <x:v>45787</x:v>
      </x:c>
      <x:c r="D62" s="2" t="str">
        <x:v>Cancelled</x:v>
      </x:c>
      <x:c r="E62" s="2" t="str">
        <x:v>West</x:v>
      </x:c>
      <x:c r="F62" s="2" t="str">
        <x:v>Online</x:v>
      </x:c>
      <x:c r="G62" s="2" t="str">
        <x:v>Furniture</x:v>
      </x:c>
      <x:c r="H62" s="2" t="str">
        <x:v>Chair 006</x:v>
      </x:c>
      <x:c r="I62" s="11" t="n">
        <x:v>3</x:v>
      </x:c>
      <x:c r="J62" s="9" t="n">
        <x:v>196</x:v>
      </x:c>
      <x:c r="K62" s="10" t="n">
        <x:v>0.2</x:v>
      </x:c>
      <x:c r="L62" s="11" t="n">
        <x:v>0</x:v>
      </x:c>
      <x:c r="M62" s="9" t="n">
        <x:f>IF(D62="Completed",I62*J62,0)</x:f>
        <x:v>0</x:v>
      </x:c>
      <x:c r="N62" s="9" t="n">
        <x:f>M62*K62</x:f>
        <x:v>0</x:v>
      </x:c>
      <x:c r="O62" s="9" t="n">
        <x:f>M62-N62</x:f>
        <x:v>0</x:v>
      </x:c>
      <x:c r="P62" s="9" t="n">
        <x:f>IF(D62="Completed",L62*J62*(1-K62),0)</x:f>
        <x:v>0</x:v>
      </x:c>
      <x:c r="Q62" s="9" t="n">
        <x:f>O62-P62</x:f>
        <x:v>0</x:v>
      </x:c>
      <x:c r="R62" s="11" t="n">
        <x:f>IF(D62="Completed",I62,0)</x:f>
        <x:v>0</x:v>
      </x:c>
      <x:c r="S62" s="11" t="n">
        <x:f>IF(D62="Completed",L62,0)</x:f>
        <x:v>0</x:v>
      </x:c>
      <x:c r="T62" s="8" t="n">
        <x:f>DATE(YEAR(C62),MONTH(C62),1)</x:f>
        <x:v>45778</x:v>
      </x:c>
    </x:row>
    <x:row r="63" ht="22" customHeight="1">
      <x:c r="A63" s="2" t="str">
        <x:v>L000059</x:v>
      </x:c>
      <x:c r="B63" s="2" t="str">
        <x:v>O00025</x:v>
      </x:c>
      <x:c r="C63" s="7" t="n">
        <x:v>45994</x:v>
      </x:c>
      <x:c r="D63" s="2" t="str">
        <x:v>Completed</x:v>
      </x:c>
      <x:c r="E63" s="2" t="str">
        <x:v>South</x:v>
      </x:c>
      <x:c r="F63" s="2" t="str">
        <x:v>Online</x:v>
      </x:c>
      <x:c r="G63" s="2" t="str">
        <x:v>Storage</x:v>
      </x:c>
      <x:c r="H63" s="2" t="str">
        <x:v>Shelf 015</x:v>
      </x:c>
      <x:c r="I63" s="11" t="n">
        <x:v>4</x:v>
      </x:c>
      <x:c r="J63" s="9" t="n">
        <x:v>254</x:v>
      </x:c>
      <x:c r="K63" s="10" t="n">
        <x:v>0.05</x:v>
      </x:c>
      <x:c r="L63" s="11" t="n">
        <x:v>0</x:v>
      </x:c>
      <x:c r="M63" s="9" t="n">
        <x:f>IF(D63="Completed",I63*J63,0)</x:f>
        <x:v>1016</x:v>
      </x:c>
      <x:c r="N63" s="9" t="n">
        <x:f>M63*K63</x:f>
        <x:v>50.800000000000004</x:v>
      </x:c>
      <x:c r="O63" s="9" t="n">
        <x:f>M63-N63</x:f>
        <x:v>965.2</x:v>
      </x:c>
      <x:c r="P63" s="9" t="n">
        <x:f>IF(D63="Completed",L63*J63*(1-K63),0)</x:f>
        <x:v>0</x:v>
      </x:c>
      <x:c r="Q63" s="9" t="n">
        <x:f>O63-P63</x:f>
        <x:v>965.2</x:v>
      </x:c>
      <x:c r="R63" s="11" t="n">
        <x:f>IF(D63="Completed",I63,0)</x:f>
        <x:v>4</x:v>
      </x:c>
      <x:c r="S63" s="11" t="n">
        <x:f>IF(D63="Completed",L63,0)</x:f>
        <x:v>0</x:v>
      </x:c>
      <x:c r="T63" s="8" t="n">
        <x:f>DATE(YEAR(C63),MONTH(C63),1)</x:f>
        <x:v>45992</x:v>
      </x:c>
    </x:row>
    <x:row r="64" ht="22" customHeight="1">
      <x:c r="A64" s="2" t="str">
        <x:v>L000060</x:v>
      </x:c>
      <x:c r="B64" s="2" t="str">
        <x:v>O00026</x:v>
      </x:c>
      <x:c r="C64" s="7" t="n">
        <x:v>45793</x:v>
      </x:c>
      <x:c r="D64" s="2" t="str">
        <x:v>Completed</x:v>
      </x:c>
      <x:c r="E64" s="2" t="str">
        <x:v>West</x:v>
      </x:c>
      <x:c r="F64" s="2" t="str">
        <x:v>Store</x:v>
      </x:c>
      <x:c r="G64" s="2" t="str">
        <x:v>Storage</x:v>
      </x:c>
      <x:c r="H64" s="2" t="str">
        <x:v>Shelf 011</x:v>
      </x:c>
      <x:c r="I64" s="11" t="n">
        <x:v>1</x:v>
      </x:c>
      <x:c r="J64" s="9" t="n">
        <x:v>80</x:v>
      </x:c>
      <x:c r="K64" s="10" t="n">
        <x:v>0.2</x:v>
      </x:c>
      <x:c r="L64" s="11" t="n">
        <x:v>0</x:v>
      </x:c>
      <x:c r="M64" s="9" t="n">
        <x:f>IF(D64="Completed",I64*J64,0)</x:f>
        <x:v>80</x:v>
      </x:c>
      <x:c r="N64" s="9" t="n">
        <x:f>M64*K64</x:f>
        <x:v>16</x:v>
      </x:c>
      <x:c r="O64" s="9" t="n">
        <x:f>M64-N64</x:f>
        <x:v>64</x:v>
      </x:c>
      <x:c r="P64" s="9" t="n">
        <x:f>IF(D64="Completed",L64*J64*(1-K64),0)</x:f>
        <x:v>0</x:v>
      </x:c>
      <x:c r="Q64" s="9" t="n">
        <x:f>O64-P64</x:f>
        <x:v>64</x:v>
      </x:c>
      <x:c r="R64" s="11" t="n">
        <x:f>IF(D64="Completed",I64,0)</x:f>
        <x:v>1</x:v>
      </x:c>
      <x:c r="S64" s="11" t="n">
        <x:f>IF(D64="Completed",L64,0)</x:f>
        <x:v>0</x:v>
      </x:c>
      <x:c r="T64" s="8" t="n">
        <x:f>DATE(YEAR(C64),MONTH(C64),1)</x:f>
        <x:v>45778</x:v>
      </x:c>
    </x:row>
    <x:row r="65" ht="22" customHeight="1">
      <x:c r="A65" s="2" t="str">
        <x:v>L000061</x:v>
      </x:c>
      <x:c r="B65" s="2" t="str">
        <x:v>O00026</x:v>
      </x:c>
      <x:c r="C65" s="7" t="n">
        <x:v>45793</x:v>
      </x:c>
      <x:c r="D65" s="2" t="str">
        <x:v>Completed</x:v>
      </x:c>
      <x:c r="E65" s="2" t="str">
        <x:v>West</x:v>
      </x:c>
      <x:c r="F65" s="2" t="str">
        <x:v>Store</x:v>
      </x:c>
      <x:c r="G65" s="2" t="str">
        <x:v>Furniture</x:v>
      </x:c>
      <x:c r="H65" s="2" t="str">
        <x:v>Desk 008</x:v>
      </x:c>
      <x:c r="I65" s="11" t="n">
        <x:v>1</x:v>
      </x:c>
      <x:c r="J65" s="9" t="n">
        <x:v>188</x:v>
      </x:c>
      <x:c r="K65" s="10" t="n">
        <x:v>0</x:v>
      </x:c>
      <x:c r="L65" s="11" t="n">
        <x:v>0</x:v>
      </x:c>
      <x:c r="M65" s="9" t="n">
        <x:f>IF(D65="Completed",I65*J65,0)</x:f>
        <x:v>188</x:v>
      </x:c>
      <x:c r="N65" s="9" t="n">
        <x:f>M65*K65</x:f>
        <x:v>0</x:v>
      </x:c>
      <x:c r="O65" s="9" t="n">
        <x:f>M65-N65</x:f>
        <x:v>188</x:v>
      </x:c>
      <x:c r="P65" s="9" t="n">
        <x:f>IF(D65="Completed",L65*J65*(1-K65),0)</x:f>
        <x:v>0</x:v>
      </x:c>
      <x:c r="Q65" s="9" t="n">
        <x:f>O65-P65</x:f>
        <x:v>188</x:v>
      </x:c>
      <x:c r="R65" s="11" t="n">
        <x:f>IF(D65="Completed",I65,0)</x:f>
        <x:v>1</x:v>
      </x:c>
      <x:c r="S65" s="11" t="n">
        <x:f>IF(D65="Completed",L65,0)</x:f>
        <x:v>0</x:v>
      </x:c>
      <x:c r="T65" s="8" t="n">
        <x:f>DATE(YEAR(C65),MONTH(C65),1)</x:f>
        <x:v>45778</x:v>
      </x:c>
    </x:row>
    <x:row r="66" ht="22" customHeight="1">
      <x:c r="A66" s="2" t="str">
        <x:v>L000062</x:v>
      </x:c>
      <x:c r="B66" s="2" t="str">
        <x:v>O00027</x:v>
      </x:c>
      <x:c r="C66" s="7" t="n">
        <x:v>45796</x:v>
      </x:c>
      <x:c r="D66" s="2" t="str">
        <x:v>Completed</x:v>
      </x:c>
      <x:c r="E66" s="2" t="str">
        <x:v>East</x:v>
      </x:c>
      <x:c r="F66" s="2" t="str">
        <x:v>Online</x:v>
      </x:c>
      <x:c r="G66" s="2" t="str">
        <x:v>Lighting</x:v>
      </x:c>
      <x:c r="H66" s="2" t="str">
        <x:v>Lamp 017</x:v>
      </x:c>
      <x:c r="I66" s="11" t="n">
        <x:v>1</x:v>
      </x:c>
      <x:c r="J66" s="9" t="n">
        <x:v>300</x:v>
      </x:c>
      <x:c r="K66" s="10" t="n">
        <x:v>0.05</x:v>
      </x:c>
      <x:c r="L66" s="11" t="n">
        <x:v>0</x:v>
      </x:c>
      <x:c r="M66" s="9" t="n">
        <x:f>IF(D66="Completed",I66*J66,0)</x:f>
        <x:v>300</x:v>
      </x:c>
      <x:c r="N66" s="9" t="n">
        <x:f>M66*K66</x:f>
        <x:v>15</x:v>
      </x:c>
      <x:c r="O66" s="9" t="n">
        <x:f>M66-N66</x:f>
        <x:v>285</x:v>
      </x:c>
      <x:c r="P66" s="9" t="n">
        <x:f>IF(D66="Completed",L66*J66*(1-K66),0)</x:f>
        <x:v>0</x:v>
      </x:c>
      <x:c r="Q66" s="9" t="n">
        <x:f>O66-P66</x:f>
        <x:v>285</x:v>
      </x:c>
      <x:c r="R66" s="11" t="n">
        <x:f>IF(D66="Completed",I66,0)</x:f>
        <x:v>1</x:v>
      </x:c>
      <x:c r="S66" s="11" t="n">
        <x:f>IF(D66="Completed",L66,0)</x:f>
        <x:v>0</x:v>
      </x:c>
      <x:c r="T66" s="8" t="n">
        <x:f>DATE(YEAR(C66),MONTH(C66),1)</x:f>
        <x:v>45778</x:v>
      </x:c>
    </x:row>
    <x:row r="67" ht="22" customHeight="1">
      <x:c r="A67" s="2" t="str">
        <x:v>L000063</x:v>
      </x:c>
      <x:c r="B67" s="2" t="str">
        <x:v>O00027</x:v>
      </x:c>
      <x:c r="C67" s="7" t="n">
        <x:v>45796</x:v>
      </x:c>
      <x:c r="D67" s="2" t="str">
        <x:v>Completed</x:v>
      </x:c>
      <x:c r="E67" s="2" t="str">
        <x:v>East</x:v>
      </x:c>
      <x:c r="F67" s="2" t="str">
        <x:v>Online</x:v>
      </x:c>
      <x:c r="G67" s="2" t="str">
        <x:v>Lighting</x:v>
      </x:c>
      <x:c r="H67" s="2" t="str">
        <x:v>Lamp 001</x:v>
      </x:c>
      <x:c r="I67" s="11" t="n">
        <x:v>5</x:v>
      </x:c>
      <x:c r="J67" s="9" t="n">
        <x:v>122</x:v>
      </x:c>
      <x:c r="K67" s="10" t="n">
        <x:v>0</x:v>
      </x:c>
      <x:c r="L67" s="11" t="n">
        <x:v>0</x:v>
      </x:c>
      <x:c r="M67" s="9" t="n">
        <x:f>IF(D67="Completed",I67*J67,0)</x:f>
        <x:v>610</x:v>
      </x:c>
      <x:c r="N67" s="9" t="n">
        <x:f>M67*K67</x:f>
        <x:v>0</x:v>
      </x:c>
      <x:c r="O67" s="9" t="n">
        <x:f>M67-N67</x:f>
        <x:v>610</x:v>
      </x:c>
      <x:c r="P67" s="9" t="n">
        <x:f>IF(D67="Completed",L67*J67*(1-K67),0)</x:f>
        <x:v>0</x:v>
      </x:c>
      <x:c r="Q67" s="9" t="n">
        <x:f>O67-P67</x:f>
        <x:v>610</x:v>
      </x:c>
      <x:c r="R67" s="11" t="n">
        <x:f>IF(D67="Completed",I67,0)</x:f>
        <x:v>5</x:v>
      </x:c>
      <x:c r="S67" s="11" t="n">
        <x:f>IF(D67="Completed",L67,0)</x:f>
        <x:v>0</x:v>
      </x:c>
      <x:c r="T67" s="8" t="n">
        <x:f>DATE(YEAR(C67),MONTH(C67),1)</x:f>
        <x:v>45778</x:v>
      </x:c>
    </x:row>
    <x:row r="68" ht="22" customHeight="1">
      <x:c r="A68" s="2" t="str">
        <x:v>L000064</x:v>
      </x:c>
      <x:c r="B68" s="2" t="str">
        <x:v>O00028</x:v>
      </x:c>
      <x:c r="C68" s="7" t="n">
        <x:v>45769</x:v>
      </x:c>
      <x:c r="D68" s="2" t="str">
        <x:v>Completed</x:v>
      </x:c>
      <x:c r="E68" s="2" t="str">
        <x:v>South</x:v>
      </x:c>
      <x:c r="F68" s="2" t="str">
        <x:v>Store</x:v>
      </x:c>
      <x:c r="G68" s="2" t="str">
        <x:v>Furniture</x:v>
      </x:c>
      <x:c r="H68" s="2" t="str">
        <x:v>Chair 010</x:v>
      </x:c>
      <x:c r="I68" s="11" t="n">
        <x:v>3</x:v>
      </x:c>
      <x:c r="J68" s="9" t="n">
        <x:v>211</x:v>
      </x:c>
      <x:c r="K68" s="10" t="n">
        <x:v>0</x:v>
      </x:c>
      <x:c r="L68" s="11" t="n">
        <x:v>0</x:v>
      </x:c>
      <x:c r="M68" s="9" t="n">
        <x:f>IF(D68="Completed",I68*J68,0)</x:f>
        <x:v>633</x:v>
      </x:c>
      <x:c r="N68" s="9" t="n">
        <x:f>M68*K68</x:f>
        <x:v>0</x:v>
      </x:c>
      <x:c r="O68" s="9" t="n">
        <x:f>M68-N68</x:f>
        <x:v>633</x:v>
      </x:c>
      <x:c r="P68" s="9" t="n">
        <x:f>IF(D68="Completed",L68*J68*(1-K68),0)</x:f>
        <x:v>0</x:v>
      </x:c>
      <x:c r="Q68" s="9" t="n">
        <x:f>O68-P68</x:f>
        <x:v>633</x:v>
      </x:c>
      <x:c r="R68" s="11" t="n">
        <x:f>IF(D68="Completed",I68,0)</x:f>
        <x:v>3</x:v>
      </x:c>
      <x:c r="S68" s="11" t="n">
        <x:f>IF(D68="Completed",L68,0)</x:f>
        <x:v>0</x:v>
      </x:c>
      <x:c r="T68" s="8" t="n">
        <x:f>DATE(YEAR(C68),MONTH(C68),1)</x:f>
        <x:v>45748</x:v>
      </x:c>
    </x:row>
    <x:row r="69" ht="22" customHeight="1">
      <x:c r="A69" s="2" t="str">
        <x:v>L000065</x:v>
      </x:c>
      <x:c r="B69" s="2" t="str">
        <x:v>O00028</x:v>
      </x:c>
      <x:c r="C69" s="7" t="n">
        <x:v>45769</x:v>
      </x:c>
      <x:c r="D69" s="2" t="str">
        <x:v>Completed</x:v>
      </x:c>
      <x:c r="E69" s="2" t="str">
        <x:v>South</x:v>
      </x:c>
      <x:c r="F69" s="2" t="str">
        <x:v>Store</x:v>
      </x:c>
      <x:c r="G69" s="2" t="str">
        <x:v>Storage</x:v>
      </x:c>
      <x:c r="H69" s="2" t="str">
        <x:v>Shelf 003</x:v>
      </x:c>
      <x:c r="I69" s="11" t="n">
        <x:v>1</x:v>
      </x:c>
      <x:c r="J69" s="9" t="n">
        <x:v>199</x:v>
      </x:c>
      <x:c r="K69" s="10" t="n">
        <x:v>0</x:v>
      </x:c>
      <x:c r="L69" s="11" t="n">
        <x:v>0</x:v>
      </x:c>
      <x:c r="M69" s="9" t="n">
        <x:f>IF(D69="Completed",I69*J69,0)</x:f>
        <x:v>199</x:v>
      </x:c>
      <x:c r="N69" s="9" t="n">
        <x:f>M69*K69</x:f>
        <x:v>0</x:v>
      </x:c>
      <x:c r="O69" s="9" t="n">
        <x:f>M69-N69</x:f>
        <x:v>199</x:v>
      </x:c>
      <x:c r="P69" s="9" t="n">
        <x:f>IF(D69="Completed",L69*J69*(1-K69),0)</x:f>
        <x:v>0</x:v>
      </x:c>
      <x:c r="Q69" s="9" t="n">
        <x:f>O69-P69</x:f>
        <x:v>199</x:v>
      </x:c>
      <x:c r="R69" s="11" t="n">
        <x:f>IF(D69="Completed",I69,0)</x:f>
        <x:v>1</x:v>
      </x:c>
      <x:c r="S69" s="11" t="n">
        <x:f>IF(D69="Completed",L69,0)</x:f>
        <x:v>0</x:v>
      </x:c>
      <x:c r="T69" s="8" t="n">
        <x:f>DATE(YEAR(C69),MONTH(C69),1)</x:f>
        <x:v>45748</x:v>
      </x:c>
    </x:row>
    <x:row r="70" ht="22" customHeight="1">
      <x:c r="A70" s="2" t="str">
        <x:v>L000066</x:v>
      </x:c>
      <x:c r="B70" s="2" t="str">
        <x:v>O00028</x:v>
      </x:c>
      <x:c r="C70" s="7" t="n">
        <x:v>45769</x:v>
      </x:c>
      <x:c r="D70" s="2" t="str">
        <x:v>Completed</x:v>
      </x:c>
      <x:c r="E70" s="2" t="str">
        <x:v>South</x:v>
      </x:c>
      <x:c r="F70" s="2" t="str">
        <x:v>Store</x:v>
      </x:c>
      <x:c r="G70" s="2" t="str">
        <x:v>Furniture</x:v>
      </x:c>
      <x:c r="H70" s="2" t="str">
        <x:v>Desk 024</x:v>
      </x:c>
      <x:c r="I70" s="11" t="n">
        <x:v>3</x:v>
      </x:c>
      <x:c r="J70" s="9" t="n">
        <x:v>81</x:v>
      </x:c>
      <x:c r="K70" s="10" t="n">
        <x:v>0.05</x:v>
      </x:c>
      <x:c r="L70" s="11" t="n">
        <x:v>0</x:v>
      </x:c>
      <x:c r="M70" s="9" t="n">
        <x:f>IF(D70="Completed",I70*J70,0)</x:f>
        <x:v>243</x:v>
      </x:c>
      <x:c r="N70" s="9" t="n">
        <x:f>M70*K70</x:f>
        <x:v>12.15</x:v>
      </x:c>
      <x:c r="O70" s="9" t="n">
        <x:f>M70-N70</x:f>
        <x:v>230.85</x:v>
      </x:c>
      <x:c r="P70" s="9" t="n">
        <x:f>IF(D70="Completed",L70*J70*(1-K70),0)</x:f>
        <x:v>0</x:v>
      </x:c>
      <x:c r="Q70" s="9" t="n">
        <x:f>O70-P70</x:f>
        <x:v>230.85</x:v>
      </x:c>
      <x:c r="R70" s="11" t="n">
        <x:f>IF(D70="Completed",I70,0)</x:f>
        <x:v>3</x:v>
      </x:c>
      <x:c r="S70" s="11" t="n">
        <x:f>IF(D70="Completed",L70,0)</x:f>
        <x:v>0</x:v>
      </x:c>
      <x:c r="T70" s="8" t="n">
        <x:f>DATE(YEAR(C70),MONTH(C70),1)</x:f>
        <x:v>45748</x:v>
      </x:c>
    </x:row>
    <x:row r="71" ht="22" customHeight="1">
      <x:c r="A71" s="2" t="str">
        <x:v>L000067</x:v>
      </x:c>
      <x:c r="B71" s="2" t="str">
        <x:v>O00029</x:v>
      </x:c>
      <x:c r="C71" s="7" t="n">
        <x:v>45991</x:v>
      </x:c>
      <x:c r="D71" s="2" t="str">
        <x:v>Completed</x:v>
      </x:c>
      <x:c r="E71" s="2" t="str">
        <x:v>East</x:v>
      </x:c>
      <x:c r="F71" s="2" t="str">
        <x:v>Store</x:v>
      </x:c>
      <x:c r="G71" s="2" t="str">
        <x:v>Furniture</x:v>
      </x:c>
      <x:c r="H71" s="2" t="str">
        <x:v>Desk 016</x:v>
      </x:c>
      <x:c r="I71" s="11" t="n">
        <x:v>2</x:v>
      </x:c>
      <x:c r="J71" s="9" t="n">
        <x:v>231</x:v>
      </x:c>
      <x:c r="K71" s="10" t="n">
        <x:v>0.05</x:v>
      </x:c>
      <x:c r="L71" s="11" t="n">
        <x:v>0</x:v>
      </x:c>
      <x:c r="M71" s="9" t="n">
        <x:f>IF(D71="Completed",I71*J71,0)</x:f>
        <x:v>462</x:v>
      </x:c>
      <x:c r="N71" s="9" t="n">
        <x:f>M71*K71</x:f>
        <x:v>23.1</x:v>
      </x:c>
      <x:c r="O71" s="9" t="n">
        <x:f>M71-N71</x:f>
        <x:v>438.9</x:v>
      </x:c>
      <x:c r="P71" s="9" t="n">
        <x:f>IF(D71="Completed",L71*J71*(1-K71),0)</x:f>
        <x:v>0</x:v>
      </x:c>
      <x:c r="Q71" s="9" t="n">
        <x:f>O71-P71</x:f>
        <x:v>438.9</x:v>
      </x:c>
      <x:c r="R71" s="11" t="n">
        <x:f>IF(D71="Completed",I71,0)</x:f>
        <x:v>2</x:v>
      </x:c>
      <x:c r="S71" s="11" t="n">
        <x:f>IF(D71="Completed",L71,0)</x:f>
        <x:v>0</x:v>
      </x:c>
      <x:c r="T71" s="8" t="n">
        <x:f>DATE(YEAR(C71),MONTH(C71),1)</x:f>
        <x:v>45962</x:v>
      </x:c>
    </x:row>
    <x:row r="72" ht="22" customHeight="1">
      <x:c r="A72" s="2" t="str">
        <x:v>L000068</x:v>
      </x:c>
      <x:c r="B72" s="2" t="str">
        <x:v>O00029</x:v>
      </x:c>
      <x:c r="C72" s="7" t="n">
        <x:v>45991</x:v>
      </x:c>
      <x:c r="D72" s="2" t="str">
        <x:v>Completed</x:v>
      </x:c>
      <x:c r="E72" s="2" t="str">
        <x:v>East</x:v>
      </x:c>
      <x:c r="F72" s="2" t="str">
        <x:v>Store</x:v>
      </x:c>
      <x:c r="G72" s="2" t="str">
        <x:v>Storage</x:v>
      </x:c>
      <x:c r="H72" s="2" t="str">
        <x:v>Shelf 019</x:v>
      </x:c>
      <x:c r="I72" s="11" t="n">
        <x:v>4</x:v>
      </x:c>
      <x:c r="J72" s="9" t="n">
        <x:v>78</x:v>
      </x:c>
      <x:c r="K72" s="10" t="n">
        <x:v>0</x:v>
      </x:c>
      <x:c r="L72" s="11" t="n">
        <x:v>0</x:v>
      </x:c>
      <x:c r="M72" s="9" t="n">
        <x:f>IF(D72="Completed",I72*J72,0)</x:f>
        <x:v>312</x:v>
      </x:c>
      <x:c r="N72" s="9" t="n">
        <x:f>M72*K72</x:f>
        <x:v>0</x:v>
      </x:c>
      <x:c r="O72" s="9" t="n">
        <x:f>M72-N72</x:f>
        <x:v>312</x:v>
      </x:c>
      <x:c r="P72" s="9" t="n">
        <x:f>IF(D72="Completed",L72*J72*(1-K72),0)</x:f>
        <x:v>0</x:v>
      </x:c>
      <x:c r="Q72" s="9" t="n">
        <x:f>O72-P72</x:f>
        <x:v>312</x:v>
      </x:c>
      <x:c r="R72" s="11" t="n">
        <x:f>IF(D72="Completed",I72,0)</x:f>
        <x:v>4</x:v>
      </x:c>
      <x:c r="S72" s="11" t="n">
        <x:f>IF(D72="Completed",L72,0)</x:f>
        <x:v>0</x:v>
      </x:c>
      <x:c r="T72" s="8" t="n">
        <x:f>DATE(YEAR(C72),MONTH(C72),1)</x:f>
        <x:v>45962</x:v>
      </x:c>
    </x:row>
    <x:row r="73" ht="22" customHeight="1">
      <x:c r="A73" s="2" t="str">
        <x:v>L000069</x:v>
      </x:c>
      <x:c r="B73" s="2" t="str">
        <x:v>O00030</x:v>
      </x:c>
      <x:c r="C73" s="7" t="n">
        <x:v>46002</x:v>
      </x:c>
      <x:c r="D73" s="2" t="str">
        <x:v>Completed</x:v>
      </x:c>
      <x:c r="E73" s="2" t="str">
        <x:v>East</x:v>
      </x:c>
      <x:c r="F73" s="2" t="str">
        <x:v>Online</x:v>
      </x:c>
      <x:c r="G73" s="2" t="str">
        <x:v>Lighting</x:v>
      </x:c>
      <x:c r="H73" s="2" t="str">
        <x:v>Lamp 017</x:v>
      </x:c>
      <x:c r="I73" s="11" t="n">
        <x:v>1</x:v>
      </x:c>
      <x:c r="J73" s="9" t="n">
        <x:v>300</x:v>
      </x:c>
      <x:c r="K73" s="10" t="n">
        <x:v>0</x:v>
      </x:c>
      <x:c r="L73" s="11" t="n">
        <x:v>0</x:v>
      </x:c>
      <x:c r="M73" s="9" t="n">
        <x:f>IF(D73="Completed",I73*J73,0)</x:f>
        <x:v>300</x:v>
      </x:c>
      <x:c r="N73" s="9" t="n">
        <x:f>M73*K73</x:f>
        <x:v>0</x:v>
      </x:c>
      <x:c r="O73" s="9" t="n">
        <x:f>M73-N73</x:f>
        <x:v>300</x:v>
      </x:c>
      <x:c r="P73" s="9" t="n">
        <x:f>IF(D73="Completed",L73*J73*(1-K73),0)</x:f>
        <x:v>0</x:v>
      </x:c>
      <x:c r="Q73" s="9" t="n">
        <x:f>O73-P73</x:f>
        <x:v>300</x:v>
      </x:c>
      <x:c r="R73" s="11" t="n">
        <x:f>IF(D73="Completed",I73,0)</x:f>
        <x:v>1</x:v>
      </x:c>
      <x:c r="S73" s="11" t="n">
        <x:f>IF(D73="Completed",L73,0)</x:f>
        <x:v>0</x:v>
      </x:c>
      <x:c r="T73" s="8" t="n">
        <x:f>DATE(YEAR(C73),MONTH(C73),1)</x:f>
        <x:v>45992</x:v>
      </x:c>
    </x:row>
    <x:row r="74" ht="22" customHeight="1">
      <x:c r="A74" s="2" t="str">
        <x:v>L000070</x:v>
      </x:c>
      <x:c r="B74" s="2" t="str">
        <x:v>O00030</x:v>
      </x:c>
      <x:c r="C74" s="7" t="n">
        <x:v>46002</x:v>
      </x:c>
      <x:c r="D74" s="2" t="str">
        <x:v>Completed</x:v>
      </x:c>
      <x:c r="E74" s="2" t="str">
        <x:v>East</x:v>
      </x:c>
      <x:c r="F74" s="2" t="str">
        <x:v>Online</x:v>
      </x:c>
      <x:c r="G74" s="2" t="str">
        <x:v>Lighting</x:v>
      </x:c>
      <x:c r="H74" s="2" t="str">
        <x:v>Lamp 005</x:v>
      </x:c>
      <x:c r="I74" s="11" t="n">
        <x:v>5</x:v>
      </x:c>
      <x:c r="J74" s="9" t="n">
        <x:v>65</x:v>
      </x:c>
      <x:c r="K74" s="10" t="n">
        <x:v>0.2</x:v>
      </x:c>
      <x:c r="L74" s="11" t="n">
        <x:v>0</x:v>
      </x:c>
      <x:c r="M74" s="9" t="n">
        <x:f>IF(D74="Completed",I74*J74,0)</x:f>
        <x:v>325</x:v>
      </x:c>
      <x:c r="N74" s="9" t="n">
        <x:f>M74*K74</x:f>
        <x:v>65</x:v>
      </x:c>
      <x:c r="O74" s="9" t="n">
        <x:f>M74-N74</x:f>
        <x:v>260</x:v>
      </x:c>
      <x:c r="P74" s="9" t="n">
        <x:f>IF(D74="Completed",L74*J74*(1-K74),0)</x:f>
        <x:v>0</x:v>
      </x:c>
      <x:c r="Q74" s="9" t="n">
        <x:f>O74-P74</x:f>
        <x:v>260</x:v>
      </x:c>
      <x:c r="R74" s="11" t="n">
        <x:f>IF(D74="Completed",I74,0)</x:f>
        <x:v>5</x:v>
      </x:c>
      <x:c r="S74" s="11" t="n">
        <x:f>IF(D74="Completed",L74,0)</x:f>
        <x:v>0</x:v>
      </x:c>
      <x:c r="T74" s="8" t="n">
        <x:f>DATE(YEAR(C74),MONTH(C74),1)</x:f>
        <x:v>45992</x:v>
      </x:c>
    </x:row>
    <x:row r="75" ht="22" customHeight="1">
      <x:c r="A75" s="2" t="str">
        <x:v>L000071</x:v>
      </x:c>
      <x:c r="B75" s="2" t="str">
        <x:v>O00030</x:v>
      </x:c>
      <x:c r="C75" s="7" t="n">
        <x:v>46002</x:v>
      </x:c>
      <x:c r="D75" s="2" t="str">
        <x:v>Completed</x:v>
      </x:c>
      <x:c r="E75" s="2" t="str">
        <x:v>East</x:v>
      </x:c>
      <x:c r="F75" s="2" t="str">
        <x:v>Online</x:v>
      </x:c>
      <x:c r="G75" s="2" t="str">
        <x:v>Storage</x:v>
      </x:c>
      <x:c r="H75" s="2" t="str">
        <x:v>Shelf 023</x:v>
      </x:c>
      <x:c r="I75" s="11" t="n">
        <x:v>2</x:v>
      </x:c>
      <x:c r="J75" s="9" t="n">
        <x:v>68</x:v>
      </x:c>
      <x:c r="K75" s="10" t="n">
        <x:v>0.2</x:v>
      </x:c>
      <x:c r="L75" s="11" t="n">
        <x:v>0</x:v>
      </x:c>
      <x:c r="M75" s="9" t="n">
        <x:f>IF(D75="Completed",I75*J75,0)</x:f>
        <x:v>136</x:v>
      </x:c>
      <x:c r="N75" s="9" t="n">
        <x:f>M75*K75</x:f>
        <x:v>27.200000000000003</x:v>
      </x:c>
      <x:c r="O75" s="9" t="n">
        <x:f>M75-N75</x:f>
        <x:v>108.8</x:v>
      </x:c>
      <x:c r="P75" s="9" t="n">
        <x:f>IF(D75="Completed",L75*J75*(1-K75),0)</x:f>
        <x:v>0</x:v>
      </x:c>
      <x:c r="Q75" s="9" t="n">
        <x:f>O75-P75</x:f>
        <x:v>108.8</x:v>
      </x:c>
      <x:c r="R75" s="11" t="n">
        <x:f>IF(D75="Completed",I75,0)</x:f>
        <x:v>2</x:v>
      </x:c>
      <x:c r="S75" s="11" t="n">
        <x:f>IF(D75="Completed",L75,0)</x:f>
        <x:v>0</x:v>
      </x:c>
      <x:c r="T75" s="8" t="n">
        <x:f>DATE(YEAR(C75),MONTH(C75),1)</x:f>
        <x:v>45992</x:v>
      </x:c>
    </x:row>
    <x:row r="76" ht="22" customHeight="1">
      <x:c r="A76" s="2" t="str">
        <x:v>L000072</x:v>
      </x:c>
      <x:c r="B76" s="2" t="str">
        <x:v>O00030</x:v>
      </x:c>
      <x:c r="C76" s="7" t="n">
        <x:v>46002</x:v>
      </x:c>
      <x:c r="D76" s="2" t="str">
        <x:v>Completed</x:v>
      </x:c>
      <x:c r="E76" s="2" t="str">
        <x:v>East</x:v>
      </x:c>
      <x:c r="F76" s="2" t="str">
        <x:v>Online</x:v>
      </x:c>
      <x:c r="G76" s="2" t="str">
        <x:v>Furniture</x:v>
      </x:c>
      <x:c r="H76" s="2" t="str">
        <x:v>Desk 008</x:v>
      </x:c>
      <x:c r="I76" s="11" t="n">
        <x:v>5</x:v>
      </x:c>
      <x:c r="J76" s="9" t="n">
        <x:v>188</x:v>
      </x:c>
      <x:c r="K76" s="10" t="n">
        <x:v>0</x:v>
      </x:c>
      <x:c r="L76" s="11" t="n">
        <x:v>0</x:v>
      </x:c>
      <x:c r="M76" s="9" t="n">
        <x:f>IF(D76="Completed",I76*J76,0)</x:f>
        <x:v>940</x:v>
      </x:c>
      <x:c r="N76" s="9" t="n">
        <x:f>M76*K76</x:f>
        <x:v>0</x:v>
      </x:c>
      <x:c r="O76" s="9" t="n">
        <x:f>M76-N76</x:f>
        <x:v>940</x:v>
      </x:c>
      <x:c r="P76" s="9" t="n">
        <x:f>IF(D76="Completed",L76*J76*(1-K76),0)</x:f>
        <x:v>0</x:v>
      </x:c>
      <x:c r="Q76" s="9" t="n">
        <x:f>O76-P76</x:f>
        <x:v>940</x:v>
      </x:c>
      <x:c r="R76" s="11" t="n">
        <x:f>IF(D76="Completed",I76,0)</x:f>
        <x:v>5</x:v>
      </x:c>
      <x:c r="S76" s="11" t="n">
        <x:f>IF(D76="Completed",L76,0)</x:f>
        <x:v>0</x:v>
      </x:c>
      <x:c r="T76" s="8" t="n">
        <x:f>DATE(YEAR(C76),MONTH(C76),1)</x:f>
        <x:v>45992</x:v>
      </x:c>
    </x:row>
    <x:row r="77" ht="22" customHeight="1">
      <x:c r="A77" s="2" t="str">
        <x:v>L000073</x:v>
      </x:c>
      <x:c r="B77" s="2" t="str">
        <x:v>O00031</x:v>
      </x:c>
      <x:c r="C77" s="7" t="n">
        <x:v>45969</x:v>
      </x:c>
      <x:c r="D77" s="2" t="str">
        <x:v>Completed</x:v>
      </x:c>
      <x:c r="E77" s="2" t="str">
        <x:v>West</x:v>
      </x:c>
      <x:c r="F77" s="2" t="str">
        <x:v>Store</x:v>
      </x:c>
      <x:c r="G77" s="2" t="str">
        <x:v>Furniture</x:v>
      </x:c>
      <x:c r="H77" s="2" t="str">
        <x:v>Desk 008</x:v>
      </x:c>
      <x:c r="I77" s="11" t="n">
        <x:v>4</x:v>
      </x:c>
      <x:c r="J77" s="9" t="n">
        <x:v>188</x:v>
      </x:c>
      <x:c r="K77" s="10" t="n">
        <x:v>0.2</x:v>
      </x:c>
      <x:c r="L77" s="11" t="n">
        <x:v>0</x:v>
      </x:c>
      <x:c r="M77" s="9" t="n">
        <x:f>IF(D77="Completed",I77*J77,0)</x:f>
        <x:v>752</x:v>
      </x:c>
      <x:c r="N77" s="9" t="n">
        <x:f>M77*K77</x:f>
        <x:v>150.4</x:v>
      </x:c>
      <x:c r="O77" s="9" t="n">
        <x:f>M77-N77</x:f>
        <x:v>601.6</x:v>
      </x:c>
      <x:c r="P77" s="9" t="n">
        <x:f>IF(D77="Completed",L77*J77*(1-K77),0)</x:f>
        <x:v>0</x:v>
      </x:c>
      <x:c r="Q77" s="9" t="n">
        <x:f>O77-P77</x:f>
        <x:v>601.6</x:v>
      </x:c>
      <x:c r="R77" s="11" t="n">
        <x:f>IF(D77="Completed",I77,0)</x:f>
        <x:v>4</x:v>
      </x:c>
      <x:c r="S77" s="11" t="n">
        <x:f>IF(D77="Completed",L77,0)</x:f>
        <x:v>0</x:v>
      </x:c>
      <x:c r="T77" s="8" t="n">
        <x:f>DATE(YEAR(C77),MONTH(C77),1)</x:f>
        <x:v>45962</x:v>
      </x:c>
    </x:row>
    <x:row r="78" ht="22" customHeight="1">
      <x:c r="A78" s="2" t="str">
        <x:v>L000074</x:v>
      </x:c>
      <x:c r="B78" s="2" t="str">
        <x:v>O00032</x:v>
      </x:c>
      <x:c r="C78" s="7" t="n">
        <x:v>45875</x:v>
      </x:c>
      <x:c r="D78" s="2" t="str">
        <x:v>Cancelled</x:v>
      </x:c>
      <x:c r="E78" s="2" t="str">
        <x:v>South</x:v>
      </x:c>
      <x:c r="F78" s="2" t="str">
        <x:v>Store</x:v>
      </x:c>
      <x:c r="G78" s="2" t="str">
        <x:v>Furniture</x:v>
      </x:c>
      <x:c r="H78" s="2" t="str">
        <x:v>Chair 022</x:v>
      </x:c>
      <x:c r="I78" s="11" t="n">
        <x:v>2</x:v>
      </x:c>
      <x:c r="J78" s="9" t="n">
        <x:v>134</x:v>
      </x:c>
      <x:c r="K78" s="10" t="n">
        <x:v>0.1</x:v>
      </x:c>
      <x:c r="L78" s="11" t="n">
        <x:v>0</x:v>
      </x:c>
      <x:c r="M78" s="9" t="n">
        <x:f>IF(D78="Completed",I78*J78,0)</x:f>
        <x:v>0</x:v>
      </x:c>
      <x:c r="N78" s="9" t="n">
        <x:f>M78*K78</x:f>
        <x:v>0</x:v>
      </x:c>
      <x:c r="O78" s="9" t="n">
        <x:f>M78-N78</x:f>
        <x:v>0</x:v>
      </x:c>
      <x:c r="P78" s="9" t="n">
        <x:f>IF(D78="Completed",L78*J78*(1-K78),0)</x:f>
        <x:v>0</x:v>
      </x:c>
      <x:c r="Q78" s="9" t="n">
        <x:f>O78-P78</x:f>
        <x:v>0</x:v>
      </x:c>
      <x:c r="R78" s="11" t="n">
        <x:f>IF(D78="Completed",I78,0)</x:f>
        <x:v>0</x:v>
      </x:c>
      <x:c r="S78" s="11" t="n">
        <x:f>IF(D78="Completed",L78,0)</x:f>
        <x:v>0</x:v>
      </x:c>
      <x:c r="T78" s="8" t="n">
        <x:f>DATE(YEAR(C78),MONTH(C78),1)</x:f>
        <x:v>45870</x:v>
      </x:c>
    </x:row>
    <x:row r="79" ht="22" customHeight="1">
      <x:c r="A79" s="2" t="str">
        <x:v>L000075</x:v>
      </x:c>
      <x:c r="B79" s="2" t="str">
        <x:v>O00032</x:v>
      </x:c>
      <x:c r="C79" s="7" t="n">
        <x:v>45875</x:v>
      </x:c>
      <x:c r="D79" s="2" t="str">
        <x:v>Cancelled</x:v>
      </x:c>
      <x:c r="E79" s="2" t="str">
        <x:v>South</x:v>
      </x:c>
      <x:c r="F79" s="2" t="str">
        <x:v>Store</x:v>
      </x:c>
      <x:c r="G79" s="2" t="str">
        <x:v>Lighting</x:v>
      </x:c>
      <x:c r="H79" s="2" t="str">
        <x:v>Lamp 017</x:v>
      </x:c>
      <x:c r="I79" s="11" t="n">
        <x:v>3</x:v>
      </x:c>
      <x:c r="J79" s="9" t="n">
        <x:v>300</x:v>
      </x:c>
      <x:c r="K79" s="10" t="n">
        <x:v>0.05</x:v>
      </x:c>
      <x:c r="L79" s="11" t="n">
        <x:v>0</x:v>
      </x:c>
      <x:c r="M79" s="9" t="n">
        <x:f>IF(D79="Completed",I79*J79,0)</x:f>
        <x:v>0</x:v>
      </x:c>
      <x:c r="N79" s="9" t="n">
        <x:f>M79*K79</x:f>
        <x:v>0</x:v>
      </x:c>
      <x:c r="O79" s="9" t="n">
        <x:f>M79-N79</x:f>
        <x:v>0</x:v>
      </x:c>
      <x:c r="P79" s="9" t="n">
        <x:f>IF(D79="Completed",L79*J79*(1-K79),0)</x:f>
        <x:v>0</x:v>
      </x:c>
      <x:c r="Q79" s="9" t="n">
        <x:f>O79-P79</x:f>
        <x:v>0</x:v>
      </x:c>
      <x:c r="R79" s="11" t="n">
        <x:f>IF(D79="Completed",I79,0)</x:f>
        <x:v>0</x:v>
      </x:c>
      <x:c r="S79" s="11" t="n">
        <x:f>IF(D79="Completed",L79,0)</x:f>
        <x:v>0</x:v>
      </x:c>
      <x:c r="T79" s="8" t="n">
        <x:f>DATE(YEAR(C79),MONTH(C79),1)</x:f>
        <x:v>45870</x:v>
      </x:c>
    </x:row>
    <x:row r="80" ht="22" customHeight="1">
      <x:c r="A80" s="2" t="str">
        <x:v>L000076</x:v>
      </x:c>
      <x:c r="B80" s="2" t="str">
        <x:v>O00032</x:v>
      </x:c>
      <x:c r="C80" s="7" t="n">
        <x:v>45875</x:v>
      </x:c>
      <x:c r="D80" s="2" t="str">
        <x:v>Cancelled</x:v>
      </x:c>
      <x:c r="E80" s="2" t="str">
        <x:v>South</x:v>
      </x:c>
      <x:c r="F80" s="2" t="str">
        <x:v>Store</x:v>
      </x:c>
      <x:c r="G80" s="2" t="str">
        <x:v>Lighting</x:v>
      </x:c>
      <x:c r="H80" s="2" t="str">
        <x:v>Lamp 009</x:v>
      </x:c>
      <x:c r="I80" s="11" t="n">
        <x:v>2</x:v>
      </x:c>
      <x:c r="J80" s="9" t="n">
        <x:v>93</x:v>
      </x:c>
      <x:c r="K80" s="10" t="n">
        <x:v>0.2</x:v>
      </x:c>
      <x:c r="L80" s="11" t="n">
        <x:v>0</x:v>
      </x:c>
      <x:c r="M80" s="9" t="n">
        <x:f>IF(D80="Completed",I80*J80,0)</x:f>
        <x:v>0</x:v>
      </x:c>
      <x:c r="N80" s="9" t="n">
        <x:f>M80*K80</x:f>
        <x:v>0</x:v>
      </x:c>
      <x:c r="O80" s="9" t="n">
        <x:f>M80-N80</x:f>
        <x:v>0</x:v>
      </x:c>
      <x:c r="P80" s="9" t="n">
        <x:f>IF(D80="Completed",L80*J80*(1-K80),0)</x:f>
        <x:v>0</x:v>
      </x:c>
      <x:c r="Q80" s="9" t="n">
        <x:f>O80-P80</x:f>
        <x:v>0</x:v>
      </x:c>
      <x:c r="R80" s="11" t="n">
        <x:f>IF(D80="Completed",I80,0)</x:f>
        <x:v>0</x:v>
      </x:c>
      <x:c r="S80" s="11" t="n">
        <x:f>IF(D80="Completed",L80,0)</x:f>
        <x:v>0</x:v>
      </x:c>
      <x:c r="T80" s="8" t="n">
        <x:f>DATE(YEAR(C80),MONTH(C80),1)</x:f>
        <x:v>45870</x:v>
      </x:c>
    </x:row>
    <x:row r="81" ht="22" customHeight="1">
      <x:c r="A81" s="2" t="str">
        <x:v>L000077</x:v>
      </x:c>
      <x:c r="B81" s="2" t="str">
        <x:v>O00033</x:v>
      </x:c>
      <x:c r="C81" s="7" t="n">
        <x:v>45956</x:v>
      </x:c>
      <x:c r="D81" s="2" t="str">
        <x:v>Cancelled</x:v>
      </x:c>
      <x:c r="E81" s="2" t="str">
        <x:v>North</x:v>
      </x:c>
      <x:c r="F81" s="2" t="str">
        <x:v>Store</x:v>
      </x:c>
      <x:c r="G81" s="2" t="str">
        <x:v>Storage</x:v>
      </x:c>
      <x:c r="H81" s="2" t="str">
        <x:v>Shelf 019</x:v>
      </x:c>
      <x:c r="I81" s="11" t="n">
        <x:v>4</x:v>
      </x:c>
      <x:c r="J81" s="9" t="n">
        <x:v>78</x:v>
      </x:c>
      <x:c r="K81" s="10" t="n">
        <x:v>0.2</x:v>
      </x:c>
      <x:c r="L81" s="11" t="n">
        <x:v>0</x:v>
      </x:c>
      <x:c r="M81" s="9" t="n">
        <x:f>IF(D81="Completed",I81*J81,0)</x:f>
        <x:v>0</x:v>
      </x:c>
      <x:c r="N81" s="9" t="n">
        <x:f>M81*K81</x:f>
        <x:v>0</x:v>
      </x:c>
      <x:c r="O81" s="9" t="n">
        <x:f>M81-N81</x:f>
        <x:v>0</x:v>
      </x:c>
      <x:c r="P81" s="9" t="n">
        <x:f>IF(D81="Completed",L81*J81*(1-K81),0)</x:f>
        <x:v>0</x:v>
      </x:c>
      <x:c r="Q81" s="9" t="n">
        <x:f>O81-P81</x:f>
        <x:v>0</x:v>
      </x:c>
      <x:c r="R81" s="11" t="n">
        <x:f>IF(D81="Completed",I81,0)</x:f>
        <x:v>0</x:v>
      </x:c>
      <x:c r="S81" s="11" t="n">
        <x:f>IF(D81="Completed",L81,0)</x:f>
        <x:v>0</x:v>
      </x:c>
      <x:c r="T81" s="8" t="n">
        <x:f>DATE(YEAR(C81),MONTH(C81),1)</x:f>
        <x:v>45931</x:v>
      </x:c>
    </x:row>
    <x:row r="82" ht="22" customHeight="1">
      <x:c r="A82" s="2" t="str">
        <x:v>L000078</x:v>
      </x:c>
      <x:c r="B82" s="2" t="str">
        <x:v>O00033</x:v>
      </x:c>
      <x:c r="C82" s="7" t="n">
        <x:v>45956</x:v>
      </x:c>
      <x:c r="D82" s="2" t="str">
        <x:v>Cancelled</x:v>
      </x:c>
      <x:c r="E82" s="2" t="str">
        <x:v>North</x:v>
      </x:c>
      <x:c r="F82" s="2" t="str">
        <x:v>Store</x:v>
      </x:c>
      <x:c r="G82" s="2" t="str">
        <x:v>Lighting</x:v>
      </x:c>
      <x:c r="H82" s="2" t="str">
        <x:v>Lamp 021</x:v>
      </x:c>
      <x:c r="I82" s="11" t="n">
        <x:v>1</x:v>
      </x:c>
      <x:c r="J82" s="9" t="n">
        <x:v>249</x:v>
      </x:c>
      <x:c r="K82" s="10" t="n">
        <x:v>0.05</x:v>
      </x:c>
      <x:c r="L82" s="11" t="n">
        <x:v>0</x:v>
      </x:c>
      <x:c r="M82" s="9" t="n">
        <x:f>IF(D82="Completed",I82*J82,0)</x:f>
        <x:v>0</x:v>
      </x:c>
      <x:c r="N82" s="9" t="n">
        <x:f>M82*K82</x:f>
        <x:v>0</x:v>
      </x:c>
      <x:c r="O82" s="9" t="n">
        <x:f>M82-N82</x:f>
        <x:v>0</x:v>
      </x:c>
      <x:c r="P82" s="9" t="n">
        <x:f>IF(D82="Completed",L82*J82*(1-K82),0)</x:f>
        <x:v>0</x:v>
      </x:c>
      <x:c r="Q82" s="9" t="n">
        <x:f>O82-P82</x:f>
        <x:v>0</x:v>
      </x:c>
      <x:c r="R82" s="11" t="n">
        <x:f>IF(D82="Completed",I82,0)</x:f>
        <x:v>0</x:v>
      </x:c>
      <x:c r="S82" s="11" t="n">
        <x:f>IF(D82="Completed",L82,0)</x:f>
        <x:v>0</x:v>
      </x:c>
      <x:c r="T82" s="8" t="n">
        <x:f>DATE(YEAR(C82),MONTH(C82),1)</x:f>
        <x:v>45931</x:v>
      </x:c>
    </x:row>
    <x:row r="83" ht="22" customHeight="1">
      <x:c r="A83" s="2" t="str">
        <x:v>L000079</x:v>
      </x:c>
      <x:c r="B83" s="2" t="str">
        <x:v>O00033</x:v>
      </x:c>
      <x:c r="C83" s="7" t="n">
        <x:v>45956</x:v>
      </x:c>
      <x:c r="D83" s="2" t="str">
        <x:v>Cancelled</x:v>
      </x:c>
      <x:c r="E83" s="2" t="str">
        <x:v>North</x:v>
      </x:c>
      <x:c r="F83" s="2" t="str">
        <x:v>Store</x:v>
      </x:c>
      <x:c r="G83" s="2" t="str">
        <x:v>Lighting</x:v>
      </x:c>
      <x:c r="H83" s="2" t="str">
        <x:v>Lamp 017</x:v>
      </x:c>
      <x:c r="I83" s="11" t="n">
        <x:v>1</x:v>
      </x:c>
      <x:c r="J83" s="9" t="n">
        <x:v>300</x:v>
      </x:c>
      <x:c r="K83" s="10" t="n">
        <x:v>0.05</x:v>
      </x:c>
      <x:c r="L83" s="11" t="n">
        <x:v>0</x:v>
      </x:c>
      <x:c r="M83" s="9" t="n">
        <x:f>IF(D83="Completed",I83*J83,0)</x:f>
        <x:v>0</x:v>
      </x:c>
      <x:c r="N83" s="9" t="n">
        <x:f>M83*K83</x:f>
        <x:v>0</x:v>
      </x:c>
      <x:c r="O83" s="9" t="n">
        <x:f>M83-N83</x:f>
        <x:v>0</x:v>
      </x:c>
      <x:c r="P83" s="9" t="n">
        <x:f>IF(D83="Completed",L83*J83*(1-K83),0)</x:f>
        <x:v>0</x:v>
      </x:c>
      <x:c r="Q83" s="9" t="n">
        <x:f>O83-P83</x:f>
        <x:v>0</x:v>
      </x:c>
      <x:c r="R83" s="11" t="n">
        <x:f>IF(D83="Completed",I83,0)</x:f>
        <x:v>0</x:v>
      </x:c>
      <x:c r="S83" s="11" t="n">
        <x:f>IF(D83="Completed",L83,0)</x:f>
        <x:v>0</x:v>
      </x:c>
      <x:c r="T83" s="8" t="n">
        <x:f>DATE(YEAR(C83),MONTH(C83),1)</x:f>
        <x:v>45931</x:v>
      </x:c>
    </x:row>
    <x:row r="84" ht="22" customHeight="1">
      <x:c r="A84" s="2" t="str">
        <x:v>L000080</x:v>
      </x:c>
      <x:c r="B84" s="2" t="str">
        <x:v>O00033</x:v>
      </x:c>
      <x:c r="C84" s="7" t="n">
        <x:v>45956</x:v>
      </x:c>
      <x:c r="D84" s="2" t="str">
        <x:v>Cancelled</x:v>
      </x:c>
      <x:c r="E84" s="2" t="str">
        <x:v>North</x:v>
      </x:c>
      <x:c r="F84" s="2" t="str">
        <x:v>Store</x:v>
      </x:c>
      <x:c r="G84" s="2" t="str">
        <x:v>Storage</x:v>
      </x:c>
      <x:c r="H84" s="2" t="str">
        <x:v>Shelf 007</x:v>
      </x:c>
      <x:c r="I84" s="11" t="n">
        <x:v>1</x:v>
      </x:c>
      <x:c r="J84" s="9" t="n">
        <x:v>35</x:v>
      </x:c>
      <x:c r="K84" s="10" t="n">
        <x:v>0.05</x:v>
      </x:c>
      <x:c r="L84" s="11" t="n">
        <x:v>0</x:v>
      </x:c>
      <x:c r="M84" s="9" t="n">
        <x:f>IF(D84="Completed",I84*J84,0)</x:f>
        <x:v>0</x:v>
      </x:c>
      <x:c r="N84" s="9" t="n">
        <x:f>M84*K84</x:f>
        <x:v>0</x:v>
      </x:c>
      <x:c r="O84" s="9" t="n">
        <x:f>M84-N84</x:f>
        <x:v>0</x:v>
      </x:c>
      <x:c r="P84" s="9" t="n">
        <x:f>IF(D84="Completed",L84*J84*(1-K84),0)</x:f>
        <x:v>0</x:v>
      </x:c>
      <x:c r="Q84" s="9" t="n">
        <x:f>O84-P84</x:f>
        <x:v>0</x:v>
      </x:c>
      <x:c r="R84" s="11" t="n">
        <x:f>IF(D84="Completed",I84,0)</x:f>
        <x:v>0</x:v>
      </x:c>
      <x:c r="S84" s="11" t="n">
        <x:f>IF(D84="Completed",L84,0)</x:f>
        <x:v>0</x:v>
      </x:c>
      <x:c r="T84" s="8" t="n">
        <x:f>DATE(YEAR(C84),MONTH(C84),1)</x:f>
        <x:v>45931</x:v>
      </x:c>
    </x:row>
    <x:row r="85" ht="22" customHeight="1">
      <x:c r="A85" s="2" t="str">
        <x:v>L000081</x:v>
      </x:c>
      <x:c r="B85" s="2" t="str">
        <x:v>O00034</x:v>
      </x:c>
      <x:c r="C85" s="7" t="n">
        <x:v>45805</x:v>
      </x:c>
      <x:c r="D85" s="2" t="str">
        <x:v>Completed</x:v>
      </x:c>
      <x:c r="E85" s="2" t="str">
        <x:v>East</x:v>
      </x:c>
      <x:c r="F85" s="2" t="str">
        <x:v>Online</x:v>
      </x:c>
      <x:c r="G85" s="2" t="str">
        <x:v>Furniture</x:v>
      </x:c>
      <x:c r="H85" s="2" t="str">
        <x:v>Desk 024</x:v>
      </x:c>
      <x:c r="I85" s="11" t="n">
        <x:v>5</x:v>
      </x:c>
      <x:c r="J85" s="9" t="n">
        <x:v>81</x:v>
      </x:c>
      <x:c r="K85" s="10" t="n">
        <x:v>0.2</x:v>
      </x:c>
      <x:c r="L85" s="11" t="n">
        <x:v>0</x:v>
      </x:c>
      <x:c r="M85" s="9" t="n">
        <x:f>IF(D85="Completed",I85*J85,0)</x:f>
        <x:v>405</x:v>
      </x:c>
      <x:c r="N85" s="9" t="n">
        <x:f>M85*K85</x:f>
        <x:v>81</x:v>
      </x:c>
      <x:c r="O85" s="9" t="n">
        <x:f>M85-N85</x:f>
        <x:v>324</x:v>
      </x:c>
      <x:c r="P85" s="9" t="n">
        <x:f>IF(D85="Completed",L85*J85*(1-K85),0)</x:f>
        <x:v>0</x:v>
      </x:c>
      <x:c r="Q85" s="9" t="n">
        <x:f>O85-P85</x:f>
        <x:v>324</x:v>
      </x:c>
      <x:c r="R85" s="11" t="n">
        <x:f>IF(D85="Completed",I85,0)</x:f>
        <x:v>5</x:v>
      </x:c>
      <x:c r="S85" s="11" t="n">
        <x:f>IF(D85="Completed",L85,0)</x:f>
        <x:v>0</x:v>
      </x:c>
      <x:c r="T85" s="8" t="n">
        <x:f>DATE(YEAR(C85),MONTH(C85),1)</x:f>
        <x:v>45778</x:v>
      </x:c>
    </x:row>
    <x:row r="86" ht="22" customHeight="1">
      <x:c r="A86" s="2" t="str">
        <x:v>L000082</x:v>
      </x:c>
      <x:c r="B86" s="2" t="str">
        <x:v>O00035</x:v>
      </x:c>
      <x:c r="C86" s="7" t="n">
        <x:v>45660</x:v>
      </x:c>
      <x:c r="D86" s="2" t="str">
        <x:v>Completed</x:v>
      </x:c>
      <x:c r="E86" s="2" t="str">
        <x:v>East</x:v>
      </x:c>
      <x:c r="F86" s="2" t="str">
        <x:v>Online</x:v>
      </x:c>
      <x:c r="G86" s="2" t="str">
        <x:v>Storage</x:v>
      </x:c>
      <x:c r="H86" s="2" t="str">
        <x:v>Shelf 003</x:v>
      </x:c>
      <x:c r="I86" s="11" t="n">
        <x:v>2</x:v>
      </x:c>
      <x:c r="J86" s="9" t="n">
        <x:v>199</x:v>
      </x:c>
      <x:c r="K86" s="10" t="n">
        <x:v>0.05</x:v>
      </x:c>
      <x:c r="L86" s="11" t="n">
        <x:v>0</x:v>
      </x:c>
      <x:c r="M86" s="9" t="n">
        <x:f>IF(D86="Completed",I86*J86,0)</x:f>
        <x:v>398</x:v>
      </x:c>
      <x:c r="N86" s="9" t="n">
        <x:f>M86*K86</x:f>
        <x:v>19.900000000000002</x:v>
      </x:c>
      <x:c r="O86" s="9" t="n">
        <x:f>M86-N86</x:f>
        <x:v>378.1</x:v>
      </x:c>
      <x:c r="P86" s="9" t="n">
        <x:f>IF(D86="Completed",L86*J86*(1-K86),0)</x:f>
        <x:v>0</x:v>
      </x:c>
      <x:c r="Q86" s="9" t="n">
        <x:f>O86-P86</x:f>
        <x:v>378.1</x:v>
      </x:c>
      <x:c r="R86" s="11" t="n">
        <x:f>IF(D86="Completed",I86,0)</x:f>
        <x:v>2</x:v>
      </x:c>
      <x:c r="S86" s="11" t="n">
        <x:f>IF(D86="Completed",L86,0)</x:f>
        <x:v>0</x:v>
      </x:c>
      <x:c r="T86" s="8" t="n">
        <x:f>DATE(YEAR(C86),MONTH(C86),1)</x:f>
        <x:v>45658</x:v>
      </x:c>
    </x:row>
    <x:row r="87" ht="22" customHeight="1">
      <x:c r="A87" s="2" t="str">
        <x:v>L000083</x:v>
      </x:c>
      <x:c r="B87" s="2" t="str">
        <x:v>O00036</x:v>
      </x:c>
      <x:c r="C87" s="7" t="n">
        <x:v>45763</x:v>
      </x:c>
      <x:c r="D87" s="2" t="str">
        <x:v>Completed</x:v>
      </x:c>
      <x:c r="E87" s="2" t="str">
        <x:v>East</x:v>
      </x:c>
      <x:c r="F87" s="2" t="str">
        <x:v>Online</x:v>
      </x:c>
      <x:c r="G87" s="2" t="str">
        <x:v>Storage</x:v>
      </x:c>
      <x:c r="H87" s="2" t="str">
        <x:v>Shelf 019</x:v>
      </x:c>
      <x:c r="I87" s="11" t="n">
        <x:v>1</x:v>
      </x:c>
      <x:c r="J87" s="9" t="n">
        <x:v>78</x:v>
      </x:c>
      <x:c r="K87" s="10" t="n">
        <x:v>0</x:v>
      </x:c>
      <x:c r="L87" s="11" t="n">
        <x:v>0</x:v>
      </x:c>
      <x:c r="M87" s="9" t="n">
        <x:f>IF(D87="Completed",I87*J87,0)</x:f>
        <x:v>78</x:v>
      </x:c>
      <x:c r="N87" s="9" t="n">
        <x:f>M87*K87</x:f>
        <x:v>0</x:v>
      </x:c>
      <x:c r="O87" s="9" t="n">
        <x:f>M87-N87</x:f>
        <x:v>78</x:v>
      </x:c>
      <x:c r="P87" s="9" t="n">
        <x:f>IF(D87="Completed",L87*J87*(1-K87),0)</x:f>
        <x:v>0</x:v>
      </x:c>
      <x:c r="Q87" s="9" t="n">
        <x:f>O87-P87</x:f>
        <x:v>78</x:v>
      </x:c>
      <x:c r="R87" s="11" t="n">
        <x:f>IF(D87="Completed",I87,0)</x:f>
        <x:v>1</x:v>
      </x:c>
      <x:c r="S87" s="11" t="n">
        <x:f>IF(D87="Completed",L87,0)</x:f>
        <x:v>0</x:v>
      </x:c>
      <x:c r="T87" s="8" t="n">
        <x:f>DATE(YEAR(C87),MONTH(C87),1)</x:f>
        <x:v>45748</x:v>
      </x:c>
    </x:row>
    <x:row r="88" ht="22" customHeight="1">
      <x:c r="A88" s="2" t="str">
        <x:v>L000084</x:v>
      </x:c>
      <x:c r="B88" s="2" t="str">
        <x:v>O00036</x:v>
      </x:c>
      <x:c r="C88" s="7" t="n">
        <x:v>45763</x:v>
      </x:c>
      <x:c r="D88" s="2" t="str">
        <x:v>Completed</x:v>
      </x:c>
      <x:c r="E88" s="2" t="str">
        <x:v>East</x:v>
      </x:c>
      <x:c r="F88" s="2" t="str">
        <x:v>Online</x:v>
      </x:c>
      <x:c r="G88" s="2" t="str">
        <x:v>Furniture</x:v>
      </x:c>
      <x:c r="H88" s="2" t="str">
        <x:v>Desk 004</x:v>
      </x:c>
      <x:c r="I88" s="11" t="n">
        <x:v>5</x:v>
      </x:c>
      <x:c r="J88" s="9" t="n">
        <x:v>123</x:v>
      </x:c>
      <x:c r="K88" s="10" t="n">
        <x:v>0.2</x:v>
      </x:c>
      <x:c r="L88" s="11" t="n">
        <x:v>0</x:v>
      </x:c>
      <x:c r="M88" s="9" t="n">
        <x:f>IF(D88="Completed",I88*J88,0)</x:f>
        <x:v>615</x:v>
      </x:c>
      <x:c r="N88" s="9" t="n">
        <x:f>M88*K88</x:f>
        <x:v>123</x:v>
      </x:c>
      <x:c r="O88" s="9" t="n">
        <x:f>M88-N88</x:f>
        <x:v>492</x:v>
      </x:c>
      <x:c r="P88" s="9" t="n">
        <x:f>IF(D88="Completed",L88*J88*(1-K88),0)</x:f>
        <x:v>0</x:v>
      </x:c>
      <x:c r="Q88" s="9" t="n">
        <x:f>O88-P88</x:f>
        <x:v>492</x:v>
      </x:c>
      <x:c r="R88" s="11" t="n">
        <x:f>IF(D88="Completed",I88,0)</x:f>
        <x:v>5</x:v>
      </x:c>
      <x:c r="S88" s="11" t="n">
        <x:f>IF(D88="Completed",L88,0)</x:f>
        <x:v>0</x:v>
      </x:c>
      <x:c r="T88" s="8" t="n">
        <x:f>DATE(YEAR(C88),MONTH(C88),1)</x:f>
        <x:v>45748</x:v>
      </x:c>
    </x:row>
    <x:row r="89" ht="22" customHeight="1">
      <x:c r="A89" s="2" t="str">
        <x:v>L000085</x:v>
      </x:c>
      <x:c r="B89" s="2" t="str">
        <x:v>O00036</x:v>
      </x:c>
      <x:c r="C89" s="7" t="n">
        <x:v>45763</x:v>
      </x:c>
      <x:c r="D89" s="2" t="str">
        <x:v>Completed</x:v>
      </x:c>
      <x:c r="E89" s="2" t="str">
        <x:v>East</x:v>
      </x:c>
      <x:c r="F89" s="2" t="str">
        <x:v>Online</x:v>
      </x:c>
      <x:c r="G89" s="2" t="str">
        <x:v>Storage</x:v>
      </x:c>
      <x:c r="H89" s="2" t="str">
        <x:v>Shelf 023</x:v>
      </x:c>
      <x:c r="I89" s="11" t="n">
        <x:v>4</x:v>
      </x:c>
      <x:c r="J89" s="9" t="n">
        <x:v>68</x:v>
      </x:c>
      <x:c r="K89" s="10" t="n">
        <x:v>0.1</x:v>
      </x:c>
      <x:c r="L89" s="11" t="n">
        <x:v>0</x:v>
      </x:c>
      <x:c r="M89" s="9" t="n">
        <x:f>IF(D89="Completed",I89*J89,0)</x:f>
        <x:v>272</x:v>
      </x:c>
      <x:c r="N89" s="9" t="n">
        <x:f>M89*K89</x:f>
        <x:v>27.200000000000003</x:v>
      </x:c>
      <x:c r="O89" s="9" t="n">
        <x:f>M89-N89</x:f>
        <x:v>244.8</x:v>
      </x:c>
      <x:c r="P89" s="9" t="n">
        <x:f>IF(D89="Completed",L89*J89*(1-K89),0)</x:f>
        <x:v>0</x:v>
      </x:c>
      <x:c r="Q89" s="9" t="n">
        <x:f>O89-P89</x:f>
        <x:v>244.8</x:v>
      </x:c>
      <x:c r="R89" s="11" t="n">
        <x:f>IF(D89="Completed",I89,0)</x:f>
        <x:v>4</x:v>
      </x:c>
      <x:c r="S89" s="11" t="n">
        <x:f>IF(D89="Completed",L89,0)</x:f>
        <x:v>0</x:v>
      </x:c>
      <x:c r="T89" s="8" t="n">
        <x:f>DATE(YEAR(C89),MONTH(C89),1)</x:f>
        <x:v>45748</x:v>
      </x:c>
    </x:row>
    <x:row r="90" ht="22" customHeight="1">
      <x:c r="A90" s="2" t="str">
        <x:v>L000086</x:v>
      </x:c>
      <x:c r="B90" s="2" t="str">
        <x:v>O00036</x:v>
      </x:c>
      <x:c r="C90" s="7" t="n">
        <x:v>45763</x:v>
      </x:c>
      <x:c r="D90" s="2" t="str">
        <x:v>Completed</x:v>
      </x:c>
      <x:c r="E90" s="2" t="str">
        <x:v>East</x:v>
      </x:c>
      <x:c r="F90" s="2" t="str">
        <x:v>Online</x:v>
      </x:c>
      <x:c r="G90" s="2" t="str">
        <x:v>Storage</x:v>
      </x:c>
      <x:c r="H90" s="2" t="str">
        <x:v>Shelf 015</x:v>
      </x:c>
      <x:c r="I90" s="11" t="n">
        <x:v>3</x:v>
      </x:c>
      <x:c r="J90" s="9" t="n">
        <x:v>254</x:v>
      </x:c>
      <x:c r="K90" s="10" t="n">
        <x:v>0.2</x:v>
      </x:c>
      <x:c r="L90" s="11" t="n">
        <x:v>0</x:v>
      </x:c>
      <x:c r="M90" s="9" t="n">
        <x:f>IF(D90="Completed",I90*J90,0)</x:f>
        <x:v>762</x:v>
      </x:c>
      <x:c r="N90" s="9" t="n">
        <x:f>M90*K90</x:f>
        <x:v>152.4</x:v>
      </x:c>
      <x:c r="O90" s="9" t="n">
        <x:f>M90-N90</x:f>
        <x:v>609.6</x:v>
      </x:c>
      <x:c r="P90" s="9" t="n">
        <x:f>IF(D90="Completed",L90*J90*(1-K90),0)</x:f>
        <x:v>0</x:v>
      </x:c>
      <x:c r="Q90" s="9" t="n">
        <x:f>O90-P90</x:f>
        <x:v>609.6</x:v>
      </x:c>
      <x:c r="R90" s="11" t="n">
        <x:f>IF(D90="Completed",I90,0)</x:f>
        <x:v>3</x:v>
      </x:c>
      <x:c r="S90" s="11" t="n">
        <x:f>IF(D90="Completed",L90,0)</x:f>
        <x:v>0</x:v>
      </x:c>
      <x:c r="T90" s="8" t="n">
        <x:f>DATE(YEAR(C90),MONTH(C90),1)</x:f>
        <x:v>45748</x:v>
      </x:c>
    </x:row>
    <x:row r="91" ht="22" customHeight="1">
      <x:c r="A91" s="2" t="str">
        <x:v>L000087</x:v>
      </x:c>
      <x:c r="B91" s="2" t="str">
        <x:v>O00037</x:v>
      </x:c>
      <x:c r="C91" s="7" t="n">
        <x:v>45829</x:v>
      </x:c>
      <x:c r="D91" s="2" t="str">
        <x:v>Completed</x:v>
      </x:c>
      <x:c r="E91" s="2" t="str">
        <x:v>West</x:v>
      </x:c>
      <x:c r="F91" s="2" t="str">
        <x:v>Online</x:v>
      </x:c>
      <x:c r="G91" s="2" t="str">
        <x:v>Furniture</x:v>
      </x:c>
      <x:c r="H91" s="2" t="str">
        <x:v>Desk 004</x:v>
      </x:c>
      <x:c r="I91" s="11" t="n">
        <x:v>3</x:v>
      </x:c>
      <x:c r="J91" s="9" t="n">
        <x:v>123</x:v>
      </x:c>
      <x:c r="K91" s="10" t="n">
        <x:v>0.05</x:v>
      </x:c>
      <x:c r="L91" s="11" t="n">
        <x:v>1</x:v>
      </x:c>
      <x:c r="M91" s="9" t="n">
        <x:f>IF(D91="Completed",I91*J91,0)</x:f>
        <x:v>369</x:v>
      </x:c>
      <x:c r="N91" s="9" t="n">
        <x:f>M91*K91</x:f>
        <x:v>18.45</x:v>
      </x:c>
      <x:c r="O91" s="9" t="n">
        <x:f>M91-N91</x:f>
        <x:v>350.55</x:v>
      </x:c>
      <x:c r="P91" s="9" t="n">
        <x:f>IF(D91="Completed",L91*J91*(1-K91),0)</x:f>
        <x:v>116.85</x:v>
      </x:c>
      <x:c r="Q91" s="9" t="n">
        <x:f>O91-P91</x:f>
        <x:v>233.70000000000002</x:v>
      </x:c>
      <x:c r="R91" s="11" t="n">
        <x:f>IF(D91="Completed",I91,0)</x:f>
        <x:v>3</x:v>
      </x:c>
      <x:c r="S91" s="11" t="n">
        <x:f>IF(D91="Completed",L91,0)</x:f>
        <x:v>1</x:v>
      </x:c>
      <x:c r="T91" s="8" t="n">
        <x:f>DATE(YEAR(C91),MONTH(C91),1)</x:f>
        <x:v>45809</x:v>
      </x:c>
    </x:row>
    <x:row r="92" ht="22" customHeight="1">
      <x:c r="A92" s="2" t="str">
        <x:v>L000088</x:v>
      </x:c>
      <x:c r="B92" s="2" t="str">
        <x:v>O00037</x:v>
      </x:c>
      <x:c r="C92" s="7" t="n">
        <x:v>45829</x:v>
      </x:c>
      <x:c r="D92" s="2" t="str">
        <x:v>Completed</x:v>
      </x:c>
      <x:c r="E92" s="2" t="str">
        <x:v>West</x:v>
      </x:c>
      <x:c r="F92" s="2" t="str">
        <x:v>Online</x:v>
      </x:c>
      <x:c r="G92" s="2" t="str">
        <x:v>Furniture</x:v>
      </x:c>
      <x:c r="H92" s="2" t="str">
        <x:v>Desk 016</x:v>
      </x:c>
      <x:c r="I92" s="11" t="n">
        <x:v>3</x:v>
      </x:c>
      <x:c r="J92" s="9" t="n">
        <x:v>231</x:v>
      </x:c>
      <x:c r="K92" s="10" t="n">
        <x:v>0</x:v>
      </x:c>
      <x:c r="L92" s="11" t="n">
        <x:v>0</x:v>
      </x:c>
      <x:c r="M92" s="9" t="n">
        <x:f>IF(D92="Completed",I92*J92,0)</x:f>
        <x:v>693</x:v>
      </x:c>
      <x:c r="N92" s="9" t="n">
        <x:f>M92*K92</x:f>
        <x:v>0</x:v>
      </x:c>
      <x:c r="O92" s="9" t="n">
        <x:f>M92-N92</x:f>
        <x:v>693</x:v>
      </x:c>
      <x:c r="P92" s="9" t="n">
        <x:f>IF(D92="Completed",L92*J92*(1-K92),0)</x:f>
        <x:v>0</x:v>
      </x:c>
      <x:c r="Q92" s="9" t="n">
        <x:f>O92-P92</x:f>
        <x:v>693</x:v>
      </x:c>
      <x:c r="R92" s="11" t="n">
        <x:f>IF(D92="Completed",I92,0)</x:f>
        <x:v>3</x:v>
      </x:c>
      <x:c r="S92" s="11" t="n">
        <x:f>IF(D92="Completed",L92,0)</x:f>
        <x:v>0</x:v>
      </x:c>
      <x:c r="T92" s="8" t="n">
        <x:f>DATE(YEAR(C92),MONTH(C92),1)</x:f>
        <x:v>45809</x:v>
      </x:c>
    </x:row>
    <x:row r="93" ht="22" customHeight="1">
      <x:c r="A93" s="2" t="str">
        <x:v>L000089</x:v>
      </x:c>
      <x:c r="B93" s="2" t="str">
        <x:v>O00037</x:v>
      </x:c>
      <x:c r="C93" s="7" t="n">
        <x:v>45829</x:v>
      </x:c>
      <x:c r="D93" s="2" t="str">
        <x:v>Completed</x:v>
      </x:c>
      <x:c r="E93" s="2" t="str">
        <x:v>West</x:v>
      </x:c>
      <x:c r="F93" s="2" t="str">
        <x:v>Online</x:v>
      </x:c>
      <x:c r="G93" s="2" t="str">
        <x:v>Furniture</x:v>
      </x:c>
      <x:c r="H93" s="2" t="str">
        <x:v>Desk 008</x:v>
      </x:c>
      <x:c r="I93" s="11" t="n">
        <x:v>3</x:v>
      </x:c>
      <x:c r="J93" s="9" t="n">
        <x:v>188</x:v>
      </x:c>
      <x:c r="K93" s="10" t="n">
        <x:v>0</x:v>
      </x:c>
      <x:c r="L93" s="11" t="n">
        <x:v>0</x:v>
      </x:c>
      <x:c r="M93" s="9" t="n">
        <x:f>IF(D93="Completed",I93*J93,0)</x:f>
        <x:v>564</x:v>
      </x:c>
      <x:c r="N93" s="9" t="n">
        <x:f>M93*K93</x:f>
        <x:v>0</x:v>
      </x:c>
      <x:c r="O93" s="9" t="n">
        <x:f>M93-N93</x:f>
        <x:v>564</x:v>
      </x:c>
      <x:c r="P93" s="9" t="n">
        <x:f>IF(D93="Completed",L93*J93*(1-K93),0)</x:f>
        <x:v>0</x:v>
      </x:c>
      <x:c r="Q93" s="9" t="n">
        <x:f>O93-P93</x:f>
        <x:v>564</x:v>
      </x:c>
      <x:c r="R93" s="11" t="n">
        <x:f>IF(D93="Completed",I93,0)</x:f>
        <x:v>3</x:v>
      </x:c>
      <x:c r="S93" s="11" t="n">
        <x:f>IF(D93="Completed",L93,0)</x:f>
        <x:v>0</x:v>
      </x:c>
      <x:c r="T93" s="8" t="n">
        <x:f>DATE(YEAR(C93),MONTH(C93),1)</x:f>
        <x:v>45809</x:v>
      </x:c>
    </x:row>
    <x:row r="94" ht="22" customHeight="1">
      <x:c r="A94" s="2" t="str">
        <x:v>L000090</x:v>
      </x:c>
      <x:c r="B94" s="2" t="str">
        <x:v>O00037</x:v>
      </x:c>
      <x:c r="C94" s="7" t="n">
        <x:v>45829</x:v>
      </x:c>
      <x:c r="D94" s="2" t="str">
        <x:v>Completed</x:v>
      </x:c>
      <x:c r="E94" s="2" t="str">
        <x:v>West</x:v>
      </x:c>
      <x:c r="F94" s="2" t="str">
        <x:v>Online</x:v>
      </x:c>
      <x:c r="G94" s="2" t="str">
        <x:v>Storage</x:v>
      </x:c>
      <x:c r="H94" s="2" t="str">
        <x:v>Shelf 011</x:v>
      </x:c>
      <x:c r="I94" s="11" t="n">
        <x:v>3</x:v>
      </x:c>
      <x:c r="J94" s="9" t="n">
        <x:v>80</x:v>
      </x:c>
      <x:c r="K94" s="10" t="n">
        <x:v>0.1</x:v>
      </x:c>
      <x:c r="L94" s="11" t="n">
        <x:v>0</x:v>
      </x:c>
      <x:c r="M94" s="9" t="n">
        <x:f>IF(D94="Completed",I94*J94,0)</x:f>
        <x:v>240</x:v>
      </x:c>
      <x:c r="N94" s="9" t="n">
        <x:f>M94*K94</x:f>
        <x:v>24</x:v>
      </x:c>
      <x:c r="O94" s="9" t="n">
        <x:f>M94-N94</x:f>
        <x:v>216</x:v>
      </x:c>
      <x:c r="P94" s="9" t="n">
        <x:f>IF(D94="Completed",L94*J94*(1-K94),0)</x:f>
        <x:v>0</x:v>
      </x:c>
      <x:c r="Q94" s="9" t="n">
        <x:f>O94-P94</x:f>
        <x:v>216</x:v>
      </x:c>
      <x:c r="R94" s="11" t="n">
        <x:f>IF(D94="Completed",I94,0)</x:f>
        <x:v>3</x:v>
      </x:c>
      <x:c r="S94" s="11" t="n">
        <x:f>IF(D94="Completed",L94,0)</x:f>
        <x:v>0</x:v>
      </x:c>
      <x:c r="T94" s="8" t="n">
        <x:f>DATE(YEAR(C94),MONTH(C94),1)</x:f>
        <x:v>45809</x:v>
      </x:c>
    </x:row>
    <x:row r="95" ht="22" customHeight="1">
      <x:c r="A95" s="2" t="str">
        <x:v>L000091</x:v>
      </x:c>
      <x:c r="B95" s="2" t="str">
        <x:v>O00038</x:v>
      </x:c>
      <x:c r="C95" s="7" t="n">
        <x:v>45715</x:v>
      </x:c>
      <x:c r="D95" s="2" t="str">
        <x:v>Completed</x:v>
      </x:c>
      <x:c r="E95" s="2" t="str">
        <x:v>West</x:v>
      </x:c>
      <x:c r="F95" s="2" t="str">
        <x:v>Store</x:v>
      </x:c>
      <x:c r="G95" s="2" t="str">
        <x:v>Storage</x:v>
      </x:c>
      <x:c r="H95" s="2" t="str">
        <x:v>Shelf 007</x:v>
      </x:c>
      <x:c r="I95" s="11" t="n">
        <x:v>1</x:v>
      </x:c>
      <x:c r="J95" s="9" t="n">
        <x:v>35</x:v>
      </x:c>
      <x:c r="K95" s="10" t="n">
        <x:v>0.05</x:v>
      </x:c>
      <x:c r="L95" s="11" t="n">
        <x:v>0</x:v>
      </x:c>
      <x:c r="M95" s="9" t="n">
        <x:f>IF(D95="Completed",I95*J95,0)</x:f>
        <x:v>35</x:v>
      </x:c>
      <x:c r="N95" s="9" t="n">
        <x:f>M95*K95</x:f>
        <x:v>1.75</x:v>
      </x:c>
      <x:c r="O95" s="9" t="n">
        <x:f>M95-N95</x:f>
        <x:v>33.25</x:v>
      </x:c>
      <x:c r="P95" s="9" t="n">
        <x:f>IF(D95="Completed",L95*J95*(1-K95),0)</x:f>
        <x:v>0</x:v>
      </x:c>
      <x:c r="Q95" s="9" t="n">
        <x:f>O95-P95</x:f>
        <x:v>33.25</x:v>
      </x:c>
      <x:c r="R95" s="11" t="n">
        <x:f>IF(D95="Completed",I95,0)</x:f>
        <x:v>1</x:v>
      </x:c>
      <x:c r="S95" s="11" t="n">
        <x:f>IF(D95="Completed",L95,0)</x:f>
        <x:v>0</x:v>
      </x:c>
      <x:c r="T95" s="8" t="n">
        <x:f>DATE(YEAR(C95),MONTH(C95),1)</x:f>
        <x:v>45689</x:v>
      </x:c>
    </x:row>
    <x:row r="96" ht="22" customHeight="1">
      <x:c r="A96" s="2" t="str">
        <x:v>L000092</x:v>
      </x:c>
      <x:c r="B96" s="2" t="str">
        <x:v>O00039</x:v>
      </x:c>
      <x:c r="C96" s="7" t="n">
        <x:v>45688</x:v>
      </x:c>
      <x:c r="D96" s="2" t="str">
        <x:v>Completed</x:v>
      </x:c>
      <x:c r="E96" s="2" t="str">
        <x:v>West</x:v>
      </x:c>
      <x:c r="F96" s="2" t="str">
        <x:v>Online</x:v>
      </x:c>
      <x:c r="G96" s="2" t="str">
        <x:v>Furniture</x:v>
      </x:c>
      <x:c r="H96" s="2" t="str">
        <x:v>Chair 006</x:v>
      </x:c>
      <x:c r="I96" s="11" t="n">
        <x:v>3</x:v>
      </x:c>
      <x:c r="J96" s="9" t="n">
        <x:v>196</x:v>
      </x:c>
      <x:c r="K96" s="10" t="n">
        <x:v>0.05</x:v>
      </x:c>
      <x:c r="L96" s="11" t="n">
        <x:v>0</x:v>
      </x:c>
      <x:c r="M96" s="9" t="n">
        <x:f>IF(D96="Completed",I96*J96,0)</x:f>
        <x:v>588</x:v>
      </x:c>
      <x:c r="N96" s="9" t="n">
        <x:f>M96*K96</x:f>
        <x:v>29.400000000000002</x:v>
      </x:c>
      <x:c r="O96" s="9" t="n">
        <x:f>M96-N96</x:f>
        <x:v>558.6</x:v>
      </x:c>
      <x:c r="P96" s="9" t="n">
        <x:f>IF(D96="Completed",L96*J96*(1-K96),0)</x:f>
        <x:v>0</x:v>
      </x:c>
      <x:c r="Q96" s="9" t="n">
        <x:f>O96-P96</x:f>
        <x:v>558.6</x:v>
      </x:c>
      <x:c r="R96" s="11" t="n">
        <x:f>IF(D96="Completed",I96,0)</x:f>
        <x:v>3</x:v>
      </x:c>
      <x:c r="S96" s="11" t="n">
        <x:f>IF(D96="Completed",L96,0)</x:f>
        <x:v>0</x:v>
      </x:c>
      <x:c r="T96" s="8" t="n">
        <x:f>DATE(YEAR(C96),MONTH(C96),1)</x:f>
        <x:v>45658</x:v>
      </x:c>
    </x:row>
    <x:row r="97" ht="22" customHeight="1">
      <x:c r="A97" s="2" t="str">
        <x:v>L000093</x:v>
      </x:c>
      <x:c r="B97" s="2" t="str">
        <x:v>O00040</x:v>
      </x:c>
      <x:c r="C97" s="7" t="n">
        <x:v>45877</x:v>
      </x:c>
      <x:c r="D97" s="2" t="str">
        <x:v>Completed</x:v>
      </x:c>
      <x:c r="E97" s="2" t="str">
        <x:v>South</x:v>
      </x:c>
      <x:c r="F97" s="2" t="str">
        <x:v>Store</x:v>
      </x:c>
      <x:c r="G97" s="2" t="str">
        <x:v>Storage</x:v>
      </x:c>
      <x:c r="H97" s="2" t="str">
        <x:v>Shelf 007</x:v>
      </x:c>
      <x:c r="I97" s="11" t="n">
        <x:v>5</x:v>
      </x:c>
      <x:c r="J97" s="9" t="n">
        <x:v>35</x:v>
      </x:c>
      <x:c r="K97" s="10" t="n">
        <x:v>0</x:v>
      </x:c>
      <x:c r="L97" s="11" t="n">
        <x:v>0</x:v>
      </x:c>
      <x:c r="M97" s="9" t="n">
        <x:f>IF(D97="Completed",I97*J97,0)</x:f>
        <x:v>175</x:v>
      </x:c>
      <x:c r="N97" s="9" t="n">
        <x:f>M97*K97</x:f>
        <x:v>0</x:v>
      </x:c>
      <x:c r="O97" s="9" t="n">
        <x:f>M97-N97</x:f>
        <x:v>175</x:v>
      </x:c>
      <x:c r="P97" s="9" t="n">
        <x:f>IF(D97="Completed",L97*J97*(1-K97),0)</x:f>
        <x:v>0</x:v>
      </x:c>
      <x:c r="Q97" s="9" t="n">
        <x:f>O97-P97</x:f>
        <x:v>175</x:v>
      </x:c>
      <x:c r="R97" s="11" t="n">
        <x:f>IF(D97="Completed",I97,0)</x:f>
        <x:v>5</x:v>
      </x:c>
      <x:c r="S97" s="11" t="n">
        <x:f>IF(D97="Completed",L97,0)</x:f>
        <x:v>0</x:v>
      </x:c>
      <x:c r="T97" s="8" t="n">
        <x:f>DATE(YEAR(C97),MONTH(C97),1)</x:f>
        <x:v>45870</x:v>
      </x:c>
    </x:row>
    <x:row r="98" ht="22" customHeight="1">
      <x:c r="A98" s="2" t="str">
        <x:v>L000094</x:v>
      </x:c>
      <x:c r="B98" s="2" t="str">
        <x:v>O00040</x:v>
      </x:c>
      <x:c r="C98" s="7" t="n">
        <x:v>45877</x:v>
      </x:c>
      <x:c r="D98" s="2" t="str">
        <x:v>Completed</x:v>
      </x:c>
      <x:c r="E98" s="2" t="str">
        <x:v>South</x:v>
      </x:c>
      <x:c r="F98" s="2" t="str">
        <x:v>Store</x:v>
      </x:c>
      <x:c r="G98" s="2" t="str">
        <x:v>Lighting</x:v>
      </x:c>
      <x:c r="H98" s="2" t="str">
        <x:v>Lamp 009</x:v>
      </x:c>
      <x:c r="I98" s="11" t="n">
        <x:v>1</x:v>
      </x:c>
      <x:c r="J98" s="9" t="n">
        <x:v>93</x:v>
      </x:c>
      <x:c r="K98" s="10" t="n">
        <x:v>0.05</x:v>
      </x:c>
      <x:c r="L98" s="11" t="n">
        <x:v>1</x:v>
      </x:c>
      <x:c r="M98" s="9" t="n">
        <x:f>IF(D98="Completed",I98*J98,0)</x:f>
        <x:v>93</x:v>
      </x:c>
      <x:c r="N98" s="9" t="n">
        <x:f>M98*K98</x:f>
        <x:v>4.65</x:v>
      </x:c>
      <x:c r="O98" s="9" t="n">
        <x:f>M98-N98</x:f>
        <x:v>88.35</x:v>
      </x:c>
      <x:c r="P98" s="9" t="n">
        <x:f>IF(D98="Completed",L98*J98*(1-K98),0)</x:f>
        <x:v>88.35</x:v>
      </x:c>
      <x:c r="Q98" s="9" t="n">
        <x:f>O98-P98</x:f>
        <x:v>0</x:v>
      </x:c>
      <x:c r="R98" s="11" t="n">
        <x:f>IF(D98="Completed",I98,0)</x:f>
        <x:v>1</x:v>
      </x:c>
      <x:c r="S98" s="11" t="n">
        <x:f>IF(D98="Completed",L98,0)</x:f>
        <x:v>1</x:v>
      </x:c>
      <x:c r="T98" s="8" t="n">
        <x:f>DATE(YEAR(C98),MONTH(C98),1)</x:f>
        <x:v>45870</x:v>
      </x:c>
    </x:row>
    <x:row r="99" ht="22" customHeight="1">
      <x:c r="A99" s="2" t="str">
        <x:v>L000095</x:v>
      </x:c>
      <x:c r="B99" s="2" t="str">
        <x:v>O00040</x:v>
      </x:c>
      <x:c r="C99" s="7" t="n">
        <x:v>45877</x:v>
      </x:c>
      <x:c r="D99" s="2" t="str">
        <x:v>Completed</x:v>
      </x:c>
      <x:c r="E99" s="2" t="str">
        <x:v>South</x:v>
      </x:c>
      <x:c r="F99" s="2" t="str">
        <x:v>Store</x:v>
      </x:c>
      <x:c r="G99" s="2" t="str">
        <x:v>Furniture</x:v>
      </x:c>
      <x:c r="H99" s="2" t="str">
        <x:v>Chair 014</x:v>
      </x:c>
      <x:c r="I99" s="11" t="n">
        <x:v>3</x:v>
      </x:c>
      <x:c r="J99" s="9" t="n">
        <x:v>294</x:v>
      </x:c>
      <x:c r="K99" s="10" t="n">
        <x:v>0.1</x:v>
      </x:c>
      <x:c r="L99" s="11" t="n">
        <x:v>0</x:v>
      </x:c>
      <x:c r="M99" s="9" t="n">
        <x:f>IF(D99="Completed",I99*J99,0)</x:f>
        <x:v>882</x:v>
      </x:c>
      <x:c r="N99" s="9" t="n">
        <x:f>M99*K99</x:f>
        <x:v>88.2</x:v>
      </x:c>
      <x:c r="O99" s="9" t="n">
        <x:f>M99-N99</x:f>
        <x:v>793.8</x:v>
      </x:c>
      <x:c r="P99" s="9" t="n">
        <x:f>IF(D99="Completed",L99*J99*(1-K99),0)</x:f>
        <x:v>0</x:v>
      </x:c>
      <x:c r="Q99" s="9" t="n">
        <x:f>O99-P99</x:f>
        <x:v>793.8</x:v>
      </x:c>
      <x:c r="R99" s="11" t="n">
        <x:f>IF(D99="Completed",I99,0)</x:f>
        <x:v>3</x:v>
      </x:c>
      <x:c r="S99" s="11" t="n">
        <x:f>IF(D99="Completed",L99,0)</x:f>
        <x:v>0</x:v>
      </x:c>
      <x:c r="T99" s="8" t="n">
        <x:f>DATE(YEAR(C99),MONTH(C99),1)</x:f>
        <x:v>45870</x:v>
      </x:c>
    </x:row>
    <x:row r="100" ht="22" customHeight="1">
      <x:c r="A100" s="2" t="str">
        <x:v>L000096</x:v>
      </x:c>
      <x:c r="B100" s="2" t="str">
        <x:v>O00041</x:v>
      </x:c>
      <x:c r="C100" s="7" t="n">
        <x:v>45945</x:v>
      </x:c>
      <x:c r="D100" s="2" t="str">
        <x:v>Cancelled</x:v>
      </x:c>
      <x:c r="E100" s="2" t="str">
        <x:v>West</x:v>
      </x:c>
      <x:c r="F100" s="2" t="str">
        <x:v>Store</x:v>
      </x:c>
      <x:c r="G100" s="2" t="str">
        <x:v>Furniture</x:v>
      </x:c>
      <x:c r="H100" s="2" t="str">
        <x:v>Chair 010</x:v>
      </x:c>
      <x:c r="I100" s="11" t="n">
        <x:v>1</x:v>
      </x:c>
      <x:c r="J100" s="9" t="n">
        <x:v>211</x:v>
      </x:c>
      <x:c r="K100" s="10" t="n">
        <x:v>0.1</x:v>
      </x:c>
      <x:c r="L100" s="11" t="n">
        <x:v>0</x:v>
      </x:c>
      <x:c r="M100" s="9" t="n">
        <x:f>IF(D100="Completed",I100*J100,0)</x:f>
        <x:v>0</x:v>
      </x:c>
      <x:c r="N100" s="9" t="n">
        <x:f>M100*K100</x:f>
        <x:v>0</x:v>
      </x:c>
      <x:c r="O100" s="9" t="n">
        <x:f>M100-N100</x:f>
        <x:v>0</x:v>
      </x:c>
      <x:c r="P100" s="9" t="n">
        <x:f>IF(D100="Completed",L100*J100*(1-K100),0)</x:f>
        <x:v>0</x:v>
      </x:c>
      <x:c r="Q100" s="9" t="n">
        <x:f>O100-P100</x:f>
        <x:v>0</x:v>
      </x:c>
      <x:c r="R100" s="11" t="n">
        <x:f>IF(D100="Completed",I100,0)</x:f>
        <x:v>0</x:v>
      </x:c>
      <x:c r="S100" s="11" t="n">
        <x:f>IF(D100="Completed",L100,0)</x:f>
        <x:v>0</x:v>
      </x:c>
      <x:c r="T100" s="8" t="n">
        <x:f>DATE(YEAR(C100),MONTH(C100),1)</x:f>
        <x:v>45931</x:v>
      </x:c>
    </x:row>
    <x:row r="101" ht="22" customHeight="1">
      <x:c r="A101" s="2" t="str">
        <x:v>L000097</x:v>
      </x:c>
      <x:c r="B101" s="2" t="str">
        <x:v>O00041</x:v>
      </x:c>
      <x:c r="C101" s="7" t="n">
        <x:v>45945</x:v>
      </x:c>
      <x:c r="D101" s="2" t="str">
        <x:v>Cancelled</x:v>
      </x:c>
      <x:c r="E101" s="2" t="str">
        <x:v>West</x:v>
      </x:c>
      <x:c r="F101" s="2" t="str">
        <x:v>Store</x:v>
      </x:c>
      <x:c r="G101" s="2" t="str">
        <x:v>Furniture</x:v>
      </x:c>
      <x:c r="H101" s="2" t="str">
        <x:v>Desk 008</x:v>
      </x:c>
      <x:c r="I101" s="11" t="n">
        <x:v>3</x:v>
      </x:c>
      <x:c r="J101" s="9" t="n">
        <x:v>188</x:v>
      </x:c>
      <x:c r="K101" s="10" t="n">
        <x:v>0.1</x:v>
      </x:c>
      <x:c r="L101" s="11" t="n">
        <x:v>0</x:v>
      </x:c>
      <x:c r="M101" s="9" t="n">
        <x:f>IF(D101="Completed",I101*J101,0)</x:f>
        <x:v>0</x:v>
      </x:c>
      <x:c r="N101" s="9" t="n">
        <x:f>M101*K101</x:f>
        <x:v>0</x:v>
      </x:c>
      <x:c r="O101" s="9" t="n">
        <x:f>M101-N101</x:f>
        <x:v>0</x:v>
      </x:c>
      <x:c r="P101" s="9" t="n">
        <x:f>IF(D101="Completed",L101*J101*(1-K101),0)</x:f>
        <x:v>0</x:v>
      </x:c>
      <x:c r="Q101" s="9" t="n">
        <x:f>O101-P101</x:f>
        <x:v>0</x:v>
      </x:c>
      <x:c r="R101" s="11" t="n">
        <x:f>IF(D101="Completed",I101,0)</x:f>
        <x:v>0</x:v>
      </x:c>
      <x:c r="S101" s="11" t="n">
        <x:f>IF(D101="Completed",L101,0)</x:f>
        <x:v>0</x:v>
      </x:c>
      <x:c r="T101" s="8" t="n">
        <x:f>DATE(YEAR(C101),MONTH(C101),1)</x:f>
        <x:v>45931</x:v>
      </x:c>
    </x:row>
    <x:row r="102" ht="22" customHeight="1">
      <x:c r="A102" s="2" t="str">
        <x:v>L000098</x:v>
      </x:c>
      <x:c r="B102" s="2" t="str">
        <x:v>O00041</x:v>
      </x:c>
      <x:c r="C102" s="7" t="n">
        <x:v>45945</x:v>
      </x:c>
      <x:c r="D102" s="2" t="str">
        <x:v>Cancelled</x:v>
      </x:c>
      <x:c r="E102" s="2" t="str">
        <x:v>West</x:v>
      </x:c>
      <x:c r="F102" s="2" t="str">
        <x:v>Store</x:v>
      </x:c>
      <x:c r="G102" s="2" t="str">
        <x:v>Storage</x:v>
      </x:c>
      <x:c r="H102" s="2" t="str">
        <x:v>Shelf 015</x:v>
      </x:c>
      <x:c r="I102" s="11" t="n">
        <x:v>1</x:v>
      </x:c>
      <x:c r="J102" s="9" t="n">
        <x:v>254</x:v>
      </x:c>
      <x:c r="K102" s="10" t="n">
        <x:v>0.2</x:v>
      </x:c>
      <x:c r="L102" s="11" t="n">
        <x:v>0</x:v>
      </x:c>
      <x:c r="M102" s="9" t="n">
        <x:f>IF(D102="Completed",I102*J102,0)</x:f>
        <x:v>0</x:v>
      </x:c>
      <x:c r="N102" s="9" t="n">
        <x:f>M102*K102</x:f>
        <x:v>0</x:v>
      </x:c>
      <x:c r="O102" s="9" t="n">
        <x:f>M102-N102</x:f>
        <x:v>0</x:v>
      </x:c>
      <x:c r="P102" s="9" t="n">
        <x:f>IF(D102="Completed",L102*J102*(1-K102),0)</x:f>
        <x:v>0</x:v>
      </x:c>
      <x:c r="Q102" s="9" t="n">
        <x:f>O102-P102</x:f>
        <x:v>0</x:v>
      </x:c>
      <x:c r="R102" s="11" t="n">
        <x:f>IF(D102="Completed",I102,0)</x:f>
        <x:v>0</x:v>
      </x:c>
      <x:c r="S102" s="11" t="n">
        <x:f>IF(D102="Completed",L102,0)</x:f>
        <x:v>0</x:v>
      </x:c>
      <x:c r="T102" s="8" t="n">
        <x:f>DATE(YEAR(C102),MONTH(C102),1)</x:f>
        <x:v>45931</x:v>
      </x:c>
    </x:row>
    <x:row r="103" ht="22" customHeight="1">
      <x:c r="A103" s="2" t="str">
        <x:v>L000099</x:v>
      </x:c>
      <x:c r="B103" s="2" t="str">
        <x:v>O00042</x:v>
      </x:c>
      <x:c r="C103" s="7" t="n">
        <x:v>45833</x:v>
      </x:c>
      <x:c r="D103" s="2" t="str">
        <x:v>Completed</x:v>
      </x:c>
      <x:c r="E103" s="2" t="str">
        <x:v>North</x:v>
      </x:c>
      <x:c r="F103" s="2" t="str">
        <x:v>Online</x:v>
      </x:c>
      <x:c r="G103" s="2" t="str">
        <x:v>Lighting</x:v>
      </x:c>
      <x:c r="H103" s="2" t="str">
        <x:v>Lamp 021</x:v>
      </x:c>
      <x:c r="I103" s="11" t="n">
        <x:v>2</x:v>
      </x:c>
      <x:c r="J103" s="9" t="n">
        <x:v>249</x:v>
      </x:c>
      <x:c r="K103" s="10" t="n">
        <x:v>0.05</x:v>
      </x:c>
      <x:c r="L103" s="11" t="n">
        <x:v>0</x:v>
      </x:c>
      <x:c r="M103" s="9" t="n">
        <x:f>IF(D103="Completed",I103*J103,0)</x:f>
        <x:v>498</x:v>
      </x:c>
      <x:c r="N103" s="9" t="n">
        <x:f>M103*K103</x:f>
        <x:v>24.900000000000002</x:v>
      </x:c>
      <x:c r="O103" s="9" t="n">
        <x:f>M103-N103</x:f>
        <x:v>473.1</x:v>
      </x:c>
      <x:c r="P103" s="9" t="n">
        <x:f>IF(D103="Completed",L103*J103*(1-K103),0)</x:f>
        <x:v>0</x:v>
      </x:c>
      <x:c r="Q103" s="9" t="n">
        <x:f>O103-P103</x:f>
        <x:v>473.1</x:v>
      </x:c>
      <x:c r="R103" s="11" t="n">
        <x:f>IF(D103="Completed",I103,0)</x:f>
        <x:v>2</x:v>
      </x:c>
      <x:c r="S103" s="11" t="n">
        <x:f>IF(D103="Completed",L103,0)</x:f>
        <x:v>0</x:v>
      </x:c>
      <x:c r="T103" s="8" t="n">
        <x:f>DATE(YEAR(C103),MONTH(C103),1)</x:f>
        <x:v>45809</x:v>
      </x:c>
    </x:row>
    <x:row r="104" ht="22" customHeight="1">
      <x:c r="A104" s="2" t="str">
        <x:v>L000100</x:v>
      </x:c>
      <x:c r="B104" s="2" t="str">
        <x:v>O00042</x:v>
      </x:c>
      <x:c r="C104" s="7" t="n">
        <x:v>45833</x:v>
      </x:c>
      <x:c r="D104" s="2" t="str">
        <x:v>Completed</x:v>
      </x:c>
      <x:c r="E104" s="2" t="str">
        <x:v>North</x:v>
      </x:c>
      <x:c r="F104" s="2" t="str">
        <x:v>Online</x:v>
      </x:c>
      <x:c r="G104" s="2" t="str">
        <x:v>Storage</x:v>
      </x:c>
      <x:c r="H104" s="2" t="str">
        <x:v>Shelf 003</x:v>
      </x:c>
      <x:c r="I104" s="11" t="n">
        <x:v>5</x:v>
      </x:c>
      <x:c r="J104" s="9" t="n">
        <x:v>199</x:v>
      </x:c>
      <x:c r="K104" s="10" t="n">
        <x:v>0.2</x:v>
      </x:c>
      <x:c r="L104" s="11" t="n">
        <x:v>0</x:v>
      </x:c>
      <x:c r="M104" s="9" t="n">
        <x:f>IF(D104="Completed",I104*J104,0)</x:f>
        <x:v>995</x:v>
      </x:c>
      <x:c r="N104" s="9" t="n">
        <x:f>M104*K104</x:f>
        <x:v>199</x:v>
      </x:c>
      <x:c r="O104" s="9" t="n">
        <x:f>M104-N104</x:f>
        <x:v>796</x:v>
      </x:c>
      <x:c r="P104" s="9" t="n">
        <x:f>IF(D104="Completed",L104*J104*(1-K104),0)</x:f>
        <x:v>0</x:v>
      </x:c>
      <x:c r="Q104" s="9" t="n">
        <x:f>O104-P104</x:f>
        <x:v>796</x:v>
      </x:c>
      <x:c r="R104" s="11" t="n">
        <x:f>IF(D104="Completed",I104,0)</x:f>
        <x:v>5</x:v>
      </x:c>
      <x:c r="S104" s="11" t="n">
        <x:f>IF(D104="Completed",L104,0)</x:f>
        <x:v>0</x:v>
      </x:c>
      <x:c r="T104" s="8" t="n">
        <x:f>DATE(YEAR(C104),MONTH(C104),1)</x:f>
        <x:v>45809</x:v>
      </x:c>
    </x:row>
    <x:row r="105" ht="22" customHeight="1">
      <x:c r="A105" s="2" t="str">
        <x:v>L000101</x:v>
      </x:c>
      <x:c r="B105" s="2" t="str">
        <x:v>O00043</x:v>
      </x:c>
      <x:c r="C105" s="7" t="n">
        <x:v>45883</x:v>
      </x:c>
      <x:c r="D105" s="2" t="str">
        <x:v>Completed</x:v>
      </x:c>
      <x:c r="E105" s="2" t="str">
        <x:v>North</x:v>
      </x:c>
      <x:c r="F105" s="2" t="str">
        <x:v>Online</x:v>
      </x:c>
      <x:c r="G105" s="2" t="str">
        <x:v>Storage</x:v>
      </x:c>
      <x:c r="H105" s="2" t="str">
        <x:v>Shelf 019</x:v>
      </x:c>
      <x:c r="I105" s="11" t="n">
        <x:v>2</x:v>
      </x:c>
      <x:c r="J105" s="9" t="n">
        <x:v>78</x:v>
      </x:c>
      <x:c r="K105" s="10" t="n">
        <x:v>0.05</x:v>
      </x:c>
      <x:c r="L105" s="11" t="n">
        <x:v>0</x:v>
      </x:c>
      <x:c r="M105" s="9" t="n">
        <x:f>IF(D105="Completed",I105*J105,0)</x:f>
        <x:v>156</x:v>
      </x:c>
      <x:c r="N105" s="9" t="n">
        <x:f>M105*K105</x:f>
        <x:v>7.800000000000001</x:v>
      </x:c>
      <x:c r="O105" s="9" t="n">
        <x:f>M105-N105</x:f>
        <x:v>148.2</x:v>
      </x:c>
      <x:c r="P105" s="9" t="n">
        <x:f>IF(D105="Completed",L105*J105*(1-K105),0)</x:f>
        <x:v>0</x:v>
      </x:c>
      <x:c r="Q105" s="9" t="n">
        <x:f>O105-P105</x:f>
        <x:v>148.2</x:v>
      </x:c>
      <x:c r="R105" s="11" t="n">
        <x:f>IF(D105="Completed",I105,0)</x:f>
        <x:v>2</x:v>
      </x:c>
      <x:c r="S105" s="11" t="n">
        <x:f>IF(D105="Completed",L105,0)</x:f>
        <x:v>0</x:v>
      </x:c>
      <x:c r="T105" s="8" t="n">
        <x:f>DATE(YEAR(C105),MONTH(C105),1)</x:f>
        <x:v>45870</x:v>
      </x:c>
    </x:row>
    <x:row r="106" ht="22" customHeight="1">
      <x:c r="A106" s="2" t="str">
        <x:v>L000102</x:v>
      </x:c>
      <x:c r="B106" s="2" t="str">
        <x:v>O00044</x:v>
      </x:c>
      <x:c r="C106" s="7" t="n">
        <x:v>45934</x:v>
      </x:c>
      <x:c r="D106" s="2" t="str">
        <x:v>Completed</x:v>
      </x:c>
      <x:c r="E106" s="2" t="str">
        <x:v>South</x:v>
      </x:c>
      <x:c r="F106" s="2" t="str">
        <x:v>Store</x:v>
      </x:c>
      <x:c r="G106" s="2" t="str">
        <x:v>Furniture</x:v>
      </x:c>
      <x:c r="H106" s="2" t="str">
        <x:v>Chair 014</x:v>
      </x:c>
      <x:c r="I106" s="11" t="n">
        <x:v>5</x:v>
      </x:c>
      <x:c r="J106" s="9" t="n">
        <x:v>294</x:v>
      </x:c>
      <x:c r="K106" s="10" t="n">
        <x:v>0</x:v>
      </x:c>
      <x:c r="L106" s="11" t="n">
        <x:v>0</x:v>
      </x:c>
      <x:c r="M106" s="9" t="n">
        <x:f>IF(D106="Completed",I106*J106,0)</x:f>
        <x:v>1470</x:v>
      </x:c>
      <x:c r="N106" s="9" t="n">
        <x:f>M106*K106</x:f>
        <x:v>0</x:v>
      </x:c>
      <x:c r="O106" s="9" t="n">
        <x:f>M106-N106</x:f>
        <x:v>1470</x:v>
      </x:c>
      <x:c r="P106" s="9" t="n">
        <x:f>IF(D106="Completed",L106*J106*(1-K106),0)</x:f>
        <x:v>0</x:v>
      </x:c>
      <x:c r="Q106" s="9" t="n">
        <x:f>O106-P106</x:f>
        <x:v>1470</x:v>
      </x:c>
      <x:c r="R106" s="11" t="n">
        <x:f>IF(D106="Completed",I106,0)</x:f>
        <x:v>5</x:v>
      </x:c>
      <x:c r="S106" s="11" t="n">
        <x:f>IF(D106="Completed",L106,0)</x:f>
        <x:v>0</x:v>
      </x:c>
      <x:c r="T106" s="8" t="n">
        <x:f>DATE(YEAR(C106),MONTH(C106),1)</x:f>
        <x:v>45931</x:v>
      </x:c>
    </x:row>
    <x:row r="107" ht="22" customHeight="1">
      <x:c r="A107" s="2" t="str">
        <x:v>L000103</x:v>
      </x:c>
      <x:c r="B107" s="2" t="str">
        <x:v>O00044</x:v>
      </x:c>
      <x:c r="C107" s="7" t="n">
        <x:v>45934</x:v>
      </x:c>
      <x:c r="D107" s="2" t="str">
        <x:v>Completed</x:v>
      </x:c>
      <x:c r="E107" s="2" t="str">
        <x:v>South</x:v>
      </x:c>
      <x:c r="F107" s="2" t="str">
        <x:v>Store</x:v>
      </x:c>
      <x:c r="G107" s="2" t="str">
        <x:v>Lighting</x:v>
      </x:c>
      <x:c r="H107" s="2" t="str">
        <x:v>Lamp 001</x:v>
      </x:c>
      <x:c r="I107" s="11" t="n">
        <x:v>3</x:v>
      </x:c>
      <x:c r="J107" s="9" t="n">
        <x:v>122</x:v>
      </x:c>
      <x:c r="K107" s="10" t="n">
        <x:v>0.1</x:v>
      </x:c>
      <x:c r="L107" s="11" t="n">
        <x:v>0</x:v>
      </x:c>
      <x:c r="M107" s="9" t="n">
        <x:f>IF(D107="Completed",I107*J107,0)</x:f>
        <x:v>366</x:v>
      </x:c>
      <x:c r="N107" s="9" t="n">
        <x:f>M107*K107</x:f>
        <x:v>36.6</x:v>
      </x:c>
      <x:c r="O107" s="9" t="n">
        <x:f>M107-N107</x:f>
        <x:v>329.4</x:v>
      </x:c>
      <x:c r="P107" s="9" t="n">
        <x:f>IF(D107="Completed",L107*J107*(1-K107),0)</x:f>
        <x:v>0</x:v>
      </x:c>
      <x:c r="Q107" s="9" t="n">
        <x:f>O107-P107</x:f>
        <x:v>329.4</x:v>
      </x:c>
      <x:c r="R107" s="11" t="n">
        <x:f>IF(D107="Completed",I107,0)</x:f>
        <x:v>3</x:v>
      </x:c>
      <x:c r="S107" s="11" t="n">
        <x:f>IF(D107="Completed",L107,0)</x:f>
        <x:v>0</x:v>
      </x:c>
      <x:c r="T107" s="8" t="n">
        <x:f>DATE(YEAR(C107),MONTH(C107),1)</x:f>
        <x:v>45931</x:v>
      </x:c>
    </x:row>
    <x:row r="108" ht="22" customHeight="1">
      <x:c r="A108" s="2" t="str">
        <x:v>L000104</x:v>
      </x:c>
      <x:c r="B108" s="2" t="str">
        <x:v>O00044</x:v>
      </x:c>
      <x:c r="C108" s="7" t="n">
        <x:v>45934</x:v>
      </x:c>
      <x:c r="D108" s="2" t="str">
        <x:v>Completed</x:v>
      </x:c>
      <x:c r="E108" s="2" t="str">
        <x:v>South</x:v>
      </x:c>
      <x:c r="F108" s="2" t="str">
        <x:v>Store</x:v>
      </x:c>
      <x:c r="G108" s="2" t="str">
        <x:v>Furniture</x:v>
      </x:c>
      <x:c r="H108" s="2" t="str">
        <x:v>Chair 002</x:v>
      </x:c>
      <x:c r="I108" s="11" t="n">
        <x:v>1</x:v>
      </x:c>
      <x:c r="J108" s="9" t="n">
        <x:v>284</x:v>
      </x:c>
      <x:c r="K108" s="10" t="n">
        <x:v>0.05</x:v>
      </x:c>
      <x:c r="L108" s="11" t="n">
        <x:v>0</x:v>
      </x:c>
      <x:c r="M108" s="9" t="n">
        <x:f>IF(D108="Completed",I108*J108,0)</x:f>
        <x:v>284</x:v>
      </x:c>
      <x:c r="N108" s="9" t="n">
        <x:f>M108*K108</x:f>
        <x:v>14.200000000000001</x:v>
      </x:c>
      <x:c r="O108" s="9" t="n">
        <x:f>M108-N108</x:f>
        <x:v>269.8</x:v>
      </x:c>
      <x:c r="P108" s="9" t="n">
        <x:f>IF(D108="Completed",L108*J108*(1-K108),0)</x:f>
        <x:v>0</x:v>
      </x:c>
      <x:c r="Q108" s="9" t="n">
        <x:f>O108-P108</x:f>
        <x:v>269.8</x:v>
      </x:c>
      <x:c r="R108" s="11" t="n">
        <x:f>IF(D108="Completed",I108,0)</x:f>
        <x:v>1</x:v>
      </x:c>
      <x:c r="S108" s="11" t="n">
        <x:f>IF(D108="Completed",L108,0)</x:f>
        <x:v>0</x:v>
      </x:c>
      <x:c r="T108" s="8" t="n">
        <x:f>DATE(YEAR(C108),MONTH(C108),1)</x:f>
        <x:v>45931</x:v>
      </x:c>
    </x:row>
    <x:row r="109" ht="22" customHeight="1">
      <x:c r="A109" s="2" t="str">
        <x:v>L000105</x:v>
      </x:c>
      <x:c r="B109" s="2" t="str">
        <x:v>O00045</x:v>
      </x:c>
      <x:c r="C109" s="7" t="n">
        <x:v>45894</x:v>
      </x:c>
      <x:c r="D109" s="2" t="str">
        <x:v>Completed</x:v>
      </x:c>
      <x:c r="E109" s="2" t="str">
        <x:v>West</x:v>
      </x:c>
      <x:c r="F109" s="2" t="str">
        <x:v>Store</x:v>
      </x:c>
      <x:c r="G109" s="2" t="str">
        <x:v>Lighting</x:v>
      </x:c>
      <x:c r="H109" s="2" t="str">
        <x:v>Lamp 017</x:v>
      </x:c>
      <x:c r="I109" s="11" t="n">
        <x:v>2</x:v>
      </x:c>
      <x:c r="J109" s="9" t="n">
        <x:v>300</x:v>
      </x:c>
      <x:c r="K109" s="10" t="n">
        <x:v>0.05</x:v>
      </x:c>
      <x:c r="L109" s="11" t="n">
        <x:v>0</x:v>
      </x:c>
      <x:c r="M109" s="9" t="n">
        <x:f>IF(D109="Completed",I109*J109,0)</x:f>
        <x:v>600</x:v>
      </x:c>
      <x:c r="N109" s="9" t="n">
        <x:f>M109*K109</x:f>
        <x:v>30</x:v>
      </x:c>
      <x:c r="O109" s="9" t="n">
        <x:f>M109-N109</x:f>
        <x:v>570</x:v>
      </x:c>
      <x:c r="P109" s="9" t="n">
        <x:f>IF(D109="Completed",L109*J109*(1-K109),0)</x:f>
        <x:v>0</x:v>
      </x:c>
      <x:c r="Q109" s="9" t="n">
        <x:f>O109-P109</x:f>
        <x:v>570</x:v>
      </x:c>
      <x:c r="R109" s="11" t="n">
        <x:f>IF(D109="Completed",I109,0)</x:f>
        <x:v>2</x:v>
      </x:c>
      <x:c r="S109" s="11" t="n">
        <x:f>IF(D109="Completed",L109,0)</x:f>
        <x:v>0</x:v>
      </x:c>
      <x:c r="T109" s="8" t="n">
        <x:f>DATE(YEAR(C109),MONTH(C109),1)</x:f>
        <x:v>45870</x:v>
      </x:c>
    </x:row>
    <x:row r="110" ht="22" customHeight="1">
      <x:c r="A110" s="2" t="str">
        <x:v>L000106</x:v>
      </x:c>
      <x:c r="B110" s="2" t="str">
        <x:v>O00045</x:v>
      </x:c>
      <x:c r="C110" s="7" t="n">
        <x:v>45894</x:v>
      </x:c>
      <x:c r="D110" s="2" t="str">
        <x:v>Completed</x:v>
      </x:c>
      <x:c r="E110" s="2" t="str">
        <x:v>West</x:v>
      </x:c>
      <x:c r="F110" s="2" t="str">
        <x:v>Store</x:v>
      </x:c>
      <x:c r="G110" s="2" t="str">
        <x:v>Furniture</x:v>
      </x:c>
      <x:c r="H110" s="2" t="str">
        <x:v>Chair 014</x:v>
      </x:c>
      <x:c r="I110" s="11" t="n">
        <x:v>1</x:v>
      </x:c>
      <x:c r="J110" s="9" t="n">
        <x:v>294</x:v>
      </x:c>
      <x:c r="K110" s="10" t="n">
        <x:v>0</x:v>
      </x:c>
      <x:c r="L110" s="11" t="n">
        <x:v>0</x:v>
      </x:c>
      <x:c r="M110" s="9" t="n">
        <x:f>IF(D110="Completed",I110*J110,0)</x:f>
        <x:v>294</x:v>
      </x:c>
      <x:c r="N110" s="9" t="n">
        <x:f>M110*K110</x:f>
        <x:v>0</x:v>
      </x:c>
      <x:c r="O110" s="9" t="n">
        <x:f>M110-N110</x:f>
        <x:v>294</x:v>
      </x:c>
      <x:c r="P110" s="9" t="n">
        <x:f>IF(D110="Completed",L110*J110*(1-K110),0)</x:f>
        <x:v>0</x:v>
      </x:c>
      <x:c r="Q110" s="9" t="n">
        <x:f>O110-P110</x:f>
        <x:v>294</x:v>
      </x:c>
      <x:c r="R110" s="11" t="n">
        <x:f>IF(D110="Completed",I110,0)</x:f>
        <x:v>1</x:v>
      </x:c>
      <x:c r="S110" s="11" t="n">
        <x:f>IF(D110="Completed",L110,0)</x:f>
        <x:v>0</x:v>
      </x:c>
      <x:c r="T110" s="8" t="n">
        <x:f>DATE(YEAR(C110),MONTH(C110),1)</x:f>
        <x:v>45870</x:v>
      </x:c>
    </x:row>
    <x:row r="111" ht="22" customHeight="1">
      <x:c r="A111" s="2" t="str">
        <x:v>L000107</x:v>
      </x:c>
      <x:c r="B111" s="2" t="str">
        <x:v>O00045</x:v>
      </x:c>
      <x:c r="C111" s="7" t="n">
        <x:v>45894</x:v>
      </x:c>
      <x:c r="D111" s="2" t="str">
        <x:v>Completed</x:v>
      </x:c>
      <x:c r="E111" s="2" t="str">
        <x:v>West</x:v>
      </x:c>
      <x:c r="F111" s="2" t="str">
        <x:v>Store</x:v>
      </x:c>
      <x:c r="G111" s="2" t="str">
        <x:v>Furniture</x:v>
      </x:c>
      <x:c r="H111" s="2" t="str">
        <x:v>Chair 018</x:v>
      </x:c>
      <x:c r="I111" s="11" t="n">
        <x:v>2</x:v>
      </x:c>
      <x:c r="J111" s="9" t="n">
        <x:v>269</x:v>
      </x:c>
      <x:c r="K111" s="10" t="n">
        <x:v>0.05</x:v>
      </x:c>
      <x:c r="L111" s="11" t="n">
        <x:v>0</x:v>
      </x:c>
      <x:c r="M111" s="9" t="n">
        <x:f>IF(D111="Completed",I111*J111,0)</x:f>
        <x:v>538</x:v>
      </x:c>
      <x:c r="N111" s="9" t="n">
        <x:f>M111*K111</x:f>
        <x:v>26.900000000000002</x:v>
      </x:c>
      <x:c r="O111" s="9" t="n">
        <x:f>M111-N111</x:f>
        <x:v>511.1</x:v>
      </x:c>
      <x:c r="P111" s="9" t="n">
        <x:f>IF(D111="Completed",L111*J111*(1-K111),0)</x:f>
        <x:v>0</x:v>
      </x:c>
      <x:c r="Q111" s="9" t="n">
        <x:f>O111-P111</x:f>
        <x:v>511.1</x:v>
      </x:c>
      <x:c r="R111" s="11" t="n">
        <x:f>IF(D111="Completed",I111,0)</x:f>
        <x:v>2</x:v>
      </x:c>
      <x:c r="S111" s="11" t="n">
        <x:f>IF(D111="Completed",L111,0)</x:f>
        <x:v>0</x:v>
      </x:c>
      <x:c r="T111" s="8" t="n">
        <x:f>DATE(YEAR(C111),MONTH(C111),1)</x:f>
        <x:v>45870</x:v>
      </x:c>
    </x:row>
    <x:row r="112" ht="22" customHeight="1">
      <x:c r="A112" s="2" t="str">
        <x:v>L000108</x:v>
      </x:c>
      <x:c r="B112" s="2" t="str">
        <x:v>O00046</x:v>
      </x:c>
      <x:c r="C112" s="7" t="n">
        <x:v>45755</x:v>
      </x:c>
      <x:c r="D112" s="2" t="str">
        <x:v>Completed</x:v>
      </x:c>
      <x:c r="E112" s="2" t="str">
        <x:v>East</x:v>
      </x:c>
      <x:c r="F112" s="2" t="str">
        <x:v>Online</x:v>
      </x:c>
      <x:c r="G112" s="2" t="str">
        <x:v>Furniture</x:v>
      </x:c>
      <x:c r="H112" s="2" t="str">
        <x:v>Desk 016</x:v>
      </x:c>
      <x:c r="I112" s="11" t="n">
        <x:v>4</x:v>
      </x:c>
      <x:c r="J112" s="9" t="n">
        <x:v>231</x:v>
      </x:c>
      <x:c r="K112" s="10" t="n">
        <x:v>0.05</x:v>
      </x:c>
      <x:c r="L112" s="11" t="n">
        <x:v>0</x:v>
      </x:c>
      <x:c r="M112" s="9" t="n">
        <x:f>IF(D112="Completed",I112*J112,0)</x:f>
        <x:v>924</x:v>
      </x:c>
      <x:c r="N112" s="9" t="n">
        <x:f>M112*K112</x:f>
        <x:v>46.2</x:v>
      </x:c>
      <x:c r="O112" s="9" t="n">
        <x:f>M112-N112</x:f>
        <x:v>877.8</x:v>
      </x:c>
      <x:c r="P112" s="9" t="n">
        <x:f>IF(D112="Completed",L112*J112*(1-K112),0)</x:f>
        <x:v>0</x:v>
      </x:c>
      <x:c r="Q112" s="9" t="n">
        <x:f>O112-P112</x:f>
        <x:v>877.8</x:v>
      </x:c>
      <x:c r="R112" s="11" t="n">
        <x:f>IF(D112="Completed",I112,0)</x:f>
        <x:v>4</x:v>
      </x:c>
      <x:c r="S112" s="11" t="n">
        <x:f>IF(D112="Completed",L112,0)</x:f>
        <x:v>0</x:v>
      </x:c>
      <x:c r="T112" s="8" t="n">
        <x:f>DATE(YEAR(C112),MONTH(C112),1)</x:f>
        <x:v>45748</x:v>
      </x:c>
    </x:row>
    <x:row r="113" ht="22" customHeight="1">
      <x:c r="A113" s="2" t="str">
        <x:v>L000109</x:v>
      </x:c>
      <x:c r="B113" s="2" t="str">
        <x:v>O00047</x:v>
      </x:c>
      <x:c r="C113" s="7" t="n">
        <x:v>45815</x:v>
      </x:c>
      <x:c r="D113" s="2" t="str">
        <x:v>Completed</x:v>
      </x:c>
      <x:c r="E113" s="2" t="str">
        <x:v>East</x:v>
      </x:c>
      <x:c r="F113" s="2" t="str">
        <x:v>Store</x:v>
      </x:c>
      <x:c r="G113" s="2" t="str">
        <x:v>Furniture</x:v>
      </x:c>
      <x:c r="H113" s="2" t="str">
        <x:v>Chair 006</x:v>
      </x:c>
      <x:c r="I113" s="11" t="n">
        <x:v>4</x:v>
      </x:c>
      <x:c r="J113" s="9" t="n">
        <x:v>196</x:v>
      </x:c>
      <x:c r="K113" s="10" t="n">
        <x:v>0.05</x:v>
      </x:c>
      <x:c r="L113" s="11" t="n">
        <x:v>0</x:v>
      </x:c>
      <x:c r="M113" s="9" t="n">
        <x:f>IF(D113="Completed",I113*J113,0)</x:f>
        <x:v>784</x:v>
      </x:c>
      <x:c r="N113" s="9" t="n">
        <x:f>M113*K113</x:f>
        <x:v>39.2</x:v>
      </x:c>
      <x:c r="O113" s="9" t="n">
        <x:f>M113-N113</x:f>
        <x:v>744.8</x:v>
      </x:c>
      <x:c r="P113" s="9" t="n">
        <x:f>IF(D113="Completed",L113*J113*(1-K113),0)</x:f>
        <x:v>0</x:v>
      </x:c>
      <x:c r="Q113" s="9" t="n">
        <x:f>O113-P113</x:f>
        <x:v>744.8</x:v>
      </x:c>
      <x:c r="R113" s="11" t="n">
        <x:f>IF(D113="Completed",I113,0)</x:f>
        <x:v>4</x:v>
      </x:c>
      <x:c r="S113" s="11" t="n">
        <x:f>IF(D113="Completed",L113,0)</x:f>
        <x:v>0</x:v>
      </x:c>
      <x:c r="T113" s="8" t="n">
        <x:f>DATE(YEAR(C113),MONTH(C113),1)</x:f>
        <x:v>45809</x:v>
      </x:c>
    </x:row>
    <x:row r="114" ht="22" customHeight="1">
      <x:c r="A114" s="2" t="str">
        <x:v>L000110</x:v>
      </x:c>
      <x:c r="B114" s="2" t="str">
        <x:v>O00047</x:v>
      </x:c>
      <x:c r="C114" s="7" t="n">
        <x:v>45815</x:v>
      </x:c>
      <x:c r="D114" s="2" t="str">
        <x:v>Completed</x:v>
      </x:c>
      <x:c r="E114" s="2" t="str">
        <x:v>East</x:v>
      </x:c>
      <x:c r="F114" s="2" t="str">
        <x:v>Store</x:v>
      </x:c>
      <x:c r="G114" s="2" t="str">
        <x:v>Furniture</x:v>
      </x:c>
      <x:c r="H114" s="2" t="str">
        <x:v>Chair 018</x:v>
      </x:c>
      <x:c r="I114" s="11" t="n">
        <x:v>5</x:v>
      </x:c>
      <x:c r="J114" s="9" t="n">
        <x:v>269</x:v>
      </x:c>
      <x:c r="K114" s="10" t="n">
        <x:v>0.05</x:v>
      </x:c>
      <x:c r="L114" s="11" t="n">
        <x:v>0</x:v>
      </x:c>
      <x:c r="M114" s="9" t="n">
        <x:f>IF(D114="Completed",I114*J114,0)</x:f>
        <x:v>1345</x:v>
      </x:c>
      <x:c r="N114" s="9" t="n">
        <x:f>M114*K114</x:f>
        <x:v>67.25</x:v>
      </x:c>
      <x:c r="O114" s="9" t="n">
        <x:f>M114-N114</x:f>
        <x:v>1277.75</x:v>
      </x:c>
      <x:c r="P114" s="9" t="n">
        <x:f>IF(D114="Completed",L114*J114*(1-K114),0)</x:f>
        <x:v>0</x:v>
      </x:c>
      <x:c r="Q114" s="9" t="n">
        <x:f>O114-P114</x:f>
        <x:v>1277.75</x:v>
      </x:c>
      <x:c r="R114" s="11" t="n">
        <x:f>IF(D114="Completed",I114,0)</x:f>
        <x:v>5</x:v>
      </x:c>
      <x:c r="S114" s="11" t="n">
        <x:f>IF(D114="Completed",L114,0)</x:f>
        <x:v>0</x:v>
      </x:c>
      <x:c r="T114" s="8" t="n">
        <x:f>DATE(YEAR(C114),MONTH(C114),1)</x:f>
        <x:v>45809</x:v>
      </x:c>
    </x:row>
    <x:row r="115" ht="22" customHeight="1">
      <x:c r="A115" s="2" t="str">
        <x:v>L000111</x:v>
      </x:c>
      <x:c r="B115" s="2" t="str">
        <x:v>O00047</x:v>
      </x:c>
      <x:c r="C115" s="7" t="n">
        <x:v>45815</x:v>
      </x:c>
      <x:c r="D115" s="2" t="str">
        <x:v>Completed</x:v>
      </x:c>
      <x:c r="E115" s="2" t="str">
        <x:v>East</x:v>
      </x:c>
      <x:c r="F115" s="2" t="str">
        <x:v>Store</x:v>
      </x:c>
      <x:c r="G115" s="2" t="str">
        <x:v>Lighting</x:v>
      </x:c>
      <x:c r="H115" s="2" t="str">
        <x:v>Lamp 005</x:v>
      </x:c>
      <x:c r="I115" s="11" t="n">
        <x:v>1</x:v>
      </x:c>
      <x:c r="J115" s="9" t="n">
        <x:v>65</x:v>
      </x:c>
      <x:c r="K115" s="10" t="n">
        <x:v>0.1</x:v>
      </x:c>
      <x:c r="L115" s="11" t="n">
        <x:v>0</x:v>
      </x:c>
      <x:c r="M115" s="9" t="n">
        <x:f>IF(D115="Completed",I115*J115,0)</x:f>
        <x:v>65</x:v>
      </x:c>
      <x:c r="N115" s="9" t="n">
        <x:f>M115*K115</x:f>
        <x:v>6.5</x:v>
      </x:c>
      <x:c r="O115" s="9" t="n">
        <x:f>M115-N115</x:f>
        <x:v>58.5</x:v>
      </x:c>
      <x:c r="P115" s="9" t="n">
        <x:f>IF(D115="Completed",L115*J115*(1-K115),0)</x:f>
        <x:v>0</x:v>
      </x:c>
      <x:c r="Q115" s="9" t="n">
        <x:f>O115-P115</x:f>
        <x:v>58.5</x:v>
      </x:c>
      <x:c r="R115" s="11" t="n">
        <x:f>IF(D115="Completed",I115,0)</x:f>
        <x:v>1</x:v>
      </x:c>
      <x:c r="S115" s="11" t="n">
        <x:f>IF(D115="Completed",L115,0)</x:f>
        <x:v>0</x:v>
      </x:c>
      <x:c r="T115" s="8" t="n">
        <x:f>DATE(YEAR(C115),MONTH(C115),1)</x:f>
        <x:v>45809</x:v>
      </x:c>
    </x:row>
    <x:row r="116" ht="22" customHeight="1">
      <x:c r="A116" s="2" t="str">
        <x:v>L000112</x:v>
      </x:c>
      <x:c r="B116" s="2" t="str">
        <x:v>O00047</x:v>
      </x:c>
      <x:c r="C116" s="7" t="n">
        <x:v>45815</x:v>
      </x:c>
      <x:c r="D116" s="2" t="str">
        <x:v>Completed</x:v>
      </x:c>
      <x:c r="E116" s="2" t="str">
        <x:v>East</x:v>
      </x:c>
      <x:c r="F116" s="2" t="str">
        <x:v>Store</x:v>
      </x:c>
      <x:c r="G116" s="2" t="str">
        <x:v>Furniture</x:v>
      </x:c>
      <x:c r="H116" s="2" t="str">
        <x:v>Desk 004</x:v>
      </x:c>
      <x:c r="I116" s="11" t="n">
        <x:v>2</x:v>
      </x:c>
      <x:c r="J116" s="9" t="n">
        <x:v>123</x:v>
      </x:c>
      <x:c r="K116" s="10" t="n">
        <x:v>0</x:v>
      </x:c>
      <x:c r="L116" s="11" t="n">
        <x:v>0</x:v>
      </x:c>
      <x:c r="M116" s="9" t="n">
        <x:f>IF(D116="Completed",I116*J116,0)</x:f>
        <x:v>246</x:v>
      </x:c>
      <x:c r="N116" s="9" t="n">
        <x:f>M116*K116</x:f>
        <x:v>0</x:v>
      </x:c>
      <x:c r="O116" s="9" t="n">
        <x:f>M116-N116</x:f>
        <x:v>246</x:v>
      </x:c>
      <x:c r="P116" s="9" t="n">
        <x:f>IF(D116="Completed",L116*J116*(1-K116),0)</x:f>
        <x:v>0</x:v>
      </x:c>
      <x:c r="Q116" s="9" t="n">
        <x:f>O116-P116</x:f>
        <x:v>246</x:v>
      </x:c>
      <x:c r="R116" s="11" t="n">
        <x:f>IF(D116="Completed",I116,0)</x:f>
        <x:v>2</x:v>
      </x:c>
      <x:c r="S116" s="11" t="n">
        <x:f>IF(D116="Completed",L116,0)</x:f>
        <x:v>0</x:v>
      </x:c>
      <x:c r="T116" s="8" t="n">
        <x:f>DATE(YEAR(C116),MONTH(C116),1)</x:f>
        <x:v>45809</x:v>
      </x:c>
    </x:row>
    <x:row r="117" ht="22" customHeight="1">
      <x:c r="A117" s="2" t="str">
        <x:v>L000113</x:v>
      </x:c>
      <x:c r="B117" s="2" t="str">
        <x:v>O00048</x:v>
      </x:c>
      <x:c r="C117" s="7" t="n">
        <x:v>45991</x:v>
      </x:c>
      <x:c r="D117" s="2" t="str">
        <x:v>Completed</x:v>
      </x:c>
      <x:c r="E117" s="2" t="str">
        <x:v>West</x:v>
      </x:c>
      <x:c r="F117" s="2" t="str">
        <x:v>Online</x:v>
      </x:c>
      <x:c r="G117" s="2" t="str">
        <x:v>Furniture</x:v>
      </x:c>
      <x:c r="H117" s="2" t="str">
        <x:v>Chair 006</x:v>
      </x:c>
      <x:c r="I117" s="11" t="n">
        <x:v>1</x:v>
      </x:c>
      <x:c r="J117" s="9" t="n">
        <x:v>196</x:v>
      </x:c>
      <x:c r="K117" s="10" t="n">
        <x:v>0.1</x:v>
      </x:c>
      <x:c r="L117" s="11" t="n">
        <x:v>0</x:v>
      </x:c>
      <x:c r="M117" s="9" t="n">
        <x:f>IF(D117="Completed",I117*J117,0)</x:f>
        <x:v>196</x:v>
      </x:c>
      <x:c r="N117" s="9" t="n">
        <x:f>M117*K117</x:f>
        <x:v>19.6</x:v>
      </x:c>
      <x:c r="O117" s="9" t="n">
        <x:f>M117-N117</x:f>
        <x:v>176.4</x:v>
      </x:c>
      <x:c r="P117" s="9" t="n">
        <x:f>IF(D117="Completed",L117*J117*(1-K117),0)</x:f>
        <x:v>0</x:v>
      </x:c>
      <x:c r="Q117" s="9" t="n">
        <x:f>O117-P117</x:f>
        <x:v>176.4</x:v>
      </x:c>
      <x:c r="R117" s="11" t="n">
        <x:f>IF(D117="Completed",I117,0)</x:f>
        <x:v>1</x:v>
      </x:c>
      <x:c r="S117" s="11" t="n">
        <x:f>IF(D117="Completed",L117,0)</x:f>
        <x:v>0</x:v>
      </x:c>
      <x:c r="T117" s="8" t="n">
        <x:f>DATE(YEAR(C117),MONTH(C117),1)</x:f>
        <x:v>45962</x:v>
      </x:c>
    </x:row>
    <x:row r="118" ht="22" customHeight="1">
      <x:c r="A118" s="2" t="str">
        <x:v>L000114</x:v>
      </x:c>
      <x:c r="B118" s="2" t="str">
        <x:v>O00048</x:v>
      </x:c>
      <x:c r="C118" s="7" t="n">
        <x:v>45991</x:v>
      </x:c>
      <x:c r="D118" s="2" t="str">
        <x:v>Completed</x:v>
      </x:c>
      <x:c r="E118" s="2" t="str">
        <x:v>West</x:v>
      </x:c>
      <x:c r="F118" s="2" t="str">
        <x:v>Online</x:v>
      </x:c>
      <x:c r="G118" s="2" t="str">
        <x:v>Furniture</x:v>
      </x:c>
      <x:c r="H118" s="2" t="str">
        <x:v>Chair 010</x:v>
      </x:c>
      <x:c r="I118" s="11" t="n">
        <x:v>5</x:v>
      </x:c>
      <x:c r="J118" s="9" t="n">
        <x:v>211</x:v>
      </x:c>
      <x:c r="K118" s="10" t="n">
        <x:v>0.1</x:v>
      </x:c>
      <x:c r="L118" s="11" t="n">
        <x:v>0</x:v>
      </x:c>
      <x:c r="M118" s="9" t="n">
        <x:f>IF(D118="Completed",I118*J118,0)</x:f>
        <x:v>1055</x:v>
      </x:c>
      <x:c r="N118" s="9" t="n">
        <x:f>M118*K118</x:f>
        <x:v>105.5</x:v>
      </x:c>
      <x:c r="O118" s="9" t="n">
        <x:f>M118-N118</x:f>
        <x:v>949.5</x:v>
      </x:c>
      <x:c r="P118" s="9" t="n">
        <x:f>IF(D118="Completed",L118*J118*(1-K118),0)</x:f>
        <x:v>0</x:v>
      </x:c>
      <x:c r="Q118" s="9" t="n">
        <x:f>O118-P118</x:f>
        <x:v>949.5</x:v>
      </x:c>
      <x:c r="R118" s="11" t="n">
        <x:f>IF(D118="Completed",I118,0)</x:f>
        <x:v>5</x:v>
      </x:c>
      <x:c r="S118" s="11" t="n">
        <x:f>IF(D118="Completed",L118,0)</x:f>
        <x:v>0</x:v>
      </x:c>
      <x:c r="T118" s="8" t="n">
        <x:f>DATE(YEAR(C118),MONTH(C118),1)</x:f>
        <x:v>45962</x:v>
      </x:c>
    </x:row>
    <x:row r="119" ht="22" customHeight="1">
      <x:c r="A119" s="2" t="str">
        <x:v>L000115</x:v>
      </x:c>
      <x:c r="B119" s="2" t="str">
        <x:v>O00049</x:v>
      </x:c>
      <x:c r="C119" s="7" t="n">
        <x:v>45759</x:v>
      </x:c>
      <x:c r="D119" s="2" t="str">
        <x:v>Completed</x:v>
      </x:c>
      <x:c r="E119" s="2" t="str">
        <x:v>North</x:v>
      </x:c>
      <x:c r="F119" s="2" t="str">
        <x:v>Store</x:v>
      </x:c>
      <x:c r="G119" s="2" t="str">
        <x:v>Furniture</x:v>
      </x:c>
      <x:c r="H119" s="2" t="str">
        <x:v>Chair 006</x:v>
      </x:c>
      <x:c r="I119" s="11" t="n">
        <x:v>4</x:v>
      </x:c>
      <x:c r="J119" s="9" t="n">
        <x:v>196</x:v>
      </x:c>
      <x:c r="K119" s="10" t="n">
        <x:v>0</x:v>
      </x:c>
      <x:c r="L119" s="11" t="n">
        <x:v>0</x:v>
      </x:c>
      <x:c r="M119" s="9" t="n">
        <x:f>IF(D119="Completed",I119*J119,0)</x:f>
        <x:v>784</x:v>
      </x:c>
      <x:c r="N119" s="9" t="n">
        <x:f>M119*K119</x:f>
        <x:v>0</x:v>
      </x:c>
      <x:c r="O119" s="9" t="n">
        <x:f>M119-N119</x:f>
        <x:v>784</x:v>
      </x:c>
      <x:c r="P119" s="9" t="n">
        <x:f>IF(D119="Completed",L119*J119*(1-K119),0)</x:f>
        <x:v>0</x:v>
      </x:c>
      <x:c r="Q119" s="9" t="n">
        <x:f>O119-P119</x:f>
        <x:v>784</x:v>
      </x:c>
      <x:c r="R119" s="11" t="n">
        <x:f>IF(D119="Completed",I119,0)</x:f>
        <x:v>4</x:v>
      </x:c>
      <x:c r="S119" s="11" t="n">
        <x:f>IF(D119="Completed",L119,0)</x:f>
        <x:v>0</x:v>
      </x:c>
      <x:c r="T119" s="8" t="n">
        <x:f>DATE(YEAR(C119),MONTH(C119),1)</x:f>
        <x:v>45748</x:v>
      </x:c>
    </x:row>
    <x:row r="120" ht="22" customHeight="1">
      <x:c r="A120" s="2" t="str">
        <x:v>L000116</x:v>
      </x:c>
      <x:c r="B120" s="2" t="str">
        <x:v>O00049</x:v>
      </x:c>
      <x:c r="C120" s="7" t="n">
        <x:v>45759</x:v>
      </x:c>
      <x:c r="D120" s="2" t="str">
        <x:v>Completed</x:v>
      </x:c>
      <x:c r="E120" s="2" t="str">
        <x:v>North</x:v>
      </x:c>
      <x:c r="F120" s="2" t="str">
        <x:v>Store</x:v>
      </x:c>
      <x:c r="G120" s="2" t="str">
        <x:v>Furniture</x:v>
      </x:c>
      <x:c r="H120" s="2" t="str">
        <x:v>Chair 022</x:v>
      </x:c>
      <x:c r="I120" s="11" t="n">
        <x:v>4</x:v>
      </x:c>
      <x:c r="J120" s="9" t="n">
        <x:v>134</x:v>
      </x:c>
      <x:c r="K120" s="10" t="n">
        <x:v>0.05</x:v>
      </x:c>
      <x:c r="L120" s="11" t="n">
        <x:v>3</x:v>
      </x:c>
      <x:c r="M120" s="9" t="n">
        <x:f>IF(D120="Completed",I120*J120,0)</x:f>
        <x:v>536</x:v>
      </x:c>
      <x:c r="N120" s="9" t="n">
        <x:f>M120*K120</x:f>
        <x:v>26.8</x:v>
      </x:c>
      <x:c r="O120" s="9" t="n">
        <x:f>M120-N120</x:f>
        <x:v>509.2</x:v>
      </x:c>
      <x:c r="P120" s="9" t="n">
        <x:f>IF(D120="Completed",L120*J120*(1-K120),0)</x:f>
        <x:v>381.9</x:v>
      </x:c>
      <x:c r="Q120" s="9" t="n">
        <x:f>O120-P120</x:f>
        <x:v>127.30000000000001</x:v>
      </x:c>
      <x:c r="R120" s="11" t="n">
        <x:f>IF(D120="Completed",I120,0)</x:f>
        <x:v>4</x:v>
      </x:c>
      <x:c r="S120" s="11" t="n">
        <x:f>IF(D120="Completed",L120,0)</x:f>
        <x:v>3</x:v>
      </x:c>
      <x:c r="T120" s="8" t="n">
        <x:f>DATE(YEAR(C120),MONTH(C120),1)</x:f>
        <x:v>45748</x:v>
      </x:c>
    </x:row>
    <x:row r="121" ht="22" customHeight="1">
      <x:c r="A121" s="2" t="str">
        <x:v>L000117</x:v>
      </x:c>
      <x:c r="B121" s="2" t="str">
        <x:v>O00050</x:v>
      </x:c>
      <x:c r="C121" s="7" t="n">
        <x:v>45756</x:v>
      </x:c>
      <x:c r="D121" s="2" t="str">
        <x:v>Completed</x:v>
      </x:c>
      <x:c r="E121" s="2" t="str">
        <x:v>North</x:v>
      </x:c>
      <x:c r="F121" s="2" t="str">
        <x:v>Online</x:v>
      </x:c>
      <x:c r="G121" s="2" t="str">
        <x:v>Furniture</x:v>
      </x:c>
      <x:c r="H121" s="2" t="str">
        <x:v>Chair 018</x:v>
      </x:c>
      <x:c r="I121" s="11" t="n">
        <x:v>1</x:v>
      </x:c>
      <x:c r="J121" s="9" t="n">
        <x:v>269</x:v>
      </x:c>
      <x:c r="K121" s="10" t="n">
        <x:v>0</x:v>
      </x:c>
      <x:c r="L121" s="11" t="n">
        <x:v>0</x:v>
      </x:c>
      <x:c r="M121" s="9" t="n">
        <x:f>IF(D121="Completed",I121*J121,0)</x:f>
        <x:v>269</x:v>
      </x:c>
      <x:c r="N121" s="9" t="n">
        <x:f>M121*K121</x:f>
        <x:v>0</x:v>
      </x:c>
      <x:c r="O121" s="9" t="n">
        <x:f>M121-N121</x:f>
        <x:v>269</x:v>
      </x:c>
      <x:c r="P121" s="9" t="n">
        <x:f>IF(D121="Completed",L121*J121*(1-K121),0)</x:f>
        <x:v>0</x:v>
      </x:c>
      <x:c r="Q121" s="9" t="n">
        <x:f>O121-P121</x:f>
        <x:v>269</x:v>
      </x:c>
      <x:c r="R121" s="11" t="n">
        <x:f>IF(D121="Completed",I121,0)</x:f>
        <x:v>1</x:v>
      </x:c>
      <x:c r="S121" s="11" t="n">
        <x:f>IF(D121="Completed",L121,0)</x:f>
        <x:v>0</x:v>
      </x:c>
      <x:c r="T121" s="8" t="n">
        <x:f>DATE(YEAR(C121),MONTH(C121),1)</x:f>
        <x:v>45748</x:v>
      </x:c>
    </x:row>
    <x:row r="122" ht="22" customHeight="1">
      <x:c r="A122" s="2" t="str">
        <x:v>L000118</x:v>
      </x:c>
      <x:c r="B122" s="2" t="str">
        <x:v>O00050</x:v>
      </x:c>
      <x:c r="C122" s="7" t="n">
        <x:v>45756</x:v>
      </x:c>
      <x:c r="D122" s="2" t="str">
        <x:v>Completed</x:v>
      </x:c>
      <x:c r="E122" s="2" t="str">
        <x:v>North</x:v>
      </x:c>
      <x:c r="F122" s="2" t="str">
        <x:v>Online</x:v>
      </x:c>
      <x:c r="G122" s="2" t="str">
        <x:v>Lighting</x:v>
      </x:c>
      <x:c r="H122" s="2" t="str">
        <x:v>Lamp 001</x:v>
      </x:c>
      <x:c r="I122" s="11" t="n">
        <x:v>5</x:v>
      </x:c>
      <x:c r="J122" s="9" t="n">
        <x:v>122</x:v>
      </x:c>
      <x:c r="K122" s="10" t="n">
        <x:v>0.2</x:v>
      </x:c>
      <x:c r="L122" s="11" t="n">
        <x:v>0</x:v>
      </x:c>
      <x:c r="M122" s="9" t="n">
        <x:f>IF(D122="Completed",I122*J122,0)</x:f>
        <x:v>610</x:v>
      </x:c>
      <x:c r="N122" s="9" t="n">
        <x:f>M122*K122</x:f>
        <x:v>122</x:v>
      </x:c>
      <x:c r="O122" s="9" t="n">
        <x:f>M122-N122</x:f>
        <x:v>488</x:v>
      </x:c>
      <x:c r="P122" s="9" t="n">
        <x:f>IF(D122="Completed",L122*J122*(1-K122),0)</x:f>
        <x:v>0</x:v>
      </x:c>
      <x:c r="Q122" s="9" t="n">
        <x:f>O122-P122</x:f>
        <x:v>488</x:v>
      </x:c>
      <x:c r="R122" s="11" t="n">
        <x:f>IF(D122="Completed",I122,0)</x:f>
        <x:v>5</x:v>
      </x:c>
      <x:c r="S122" s="11" t="n">
        <x:f>IF(D122="Completed",L122,0)</x:f>
        <x:v>0</x:v>
      </x:c>
      <x:c r="T122" s="8" t="n">
        <x:f>DATE(YEAR(C122),MONTH(C122),1)</x:f>
        <x:v>45748</x:v>
      </x:c>
    </x:row>
    <x:row r="123" ht="22" customHeight="1">
      <x:c r="A123" s="2" t="str">
        <x:v>L000119</x:v>
      </x:c>
      <x:c r="B123" s="2" t="str">
        <x:v>O00051</x:v>
      </x:c>
      <x:c r="C123" s="7" t="n">
        <x:v>45834</x:v>
      </x:c>
      <x:c r="D123" s="2" t="str">
        <x:v>Completed</x:v>
      </x:c>
      <x:c r="E123" s="2" t="str">
        <x:v>East</x:v>
      </x:c>
      <x:c r="F123" s="2" t="str">
        <x:v>Store</x:v>
      </x:c>
      <x:c r="G123" s="2" t="str">
        <x:v>Furniture</x:v>
      </x:c>
      <x:c r="H123" s="2" t="str">
        <x:v>Desk 016</x:v>
      </x:c>
      <x:c r="I123" s="11" t="n">
        <x:v>5</x:v>
      </x:c>
      <x:c r="J123" s="9" t="n">
        <x:v>231</x:v>
      </x:c>
      <x:c r="K123" s="10" t="n">
        <x:v>0.05</x:v>
      </x:c>
      <x:c r="L123" s="11" t="n">
        <x:v>0</x:v>
      </x:c>
      <x:c r="M123" s="9" t="n">
        <x:f>IF(D123="Completed",I123*J123,0)</x:f>
        <x:v>1155</x:v>
      </x:c>
      <x:c r="N123" s="9" t="n">
        <x:f>M123*K123</x:f>
        <x:v>57.75</x:v>
      </x:c>
      <x:c r="O123" s="9" t="n">
        <x:f>M123-N123</x:f>
        <x:v>1097.25</x:v>
      </x:c>
      <x:c r="P123" s="9" t="n">
        <x:f>IF(D123="Completed",L123*J123*(1-K123),0)</x:f>
        <x:v>0</x:v>
      </x:c>
      <x:c r="Q123" s="9" t="n">
        <x:f>O123-P123</x:f>
        <x:v>1097.25</x:v>
      </x:c>
      <x:c r="R123" s="11" t="n">
        <x:f>IF(D123="Completed",I123,0)</x:f>
        <x:v>5</x:v>
      </x:c>
      <x:c r="S123" s="11" t="n">
        <x:f>IF(D123="Completed",L123,0)</x:f>
        <x:v>0</x:v>
      </x:c>
      <x:c r="T123" s="8" t="n">
        <x:f>DATE(YEAR(C123),MONTH(C123),1)</x:f>
        <x:v>45809</x:v>
      </x:c>
    </x:row>
    <x:row r="124" ht="22" customHeight="1">
      <x:c r="A124" s="2" t="str">
        <x:v>L000120</x:v>
      </x:c>
      <x:c r="B124" s="2" t="str">
        <x:v>O00051</x:v>
      </x:c>
      <x:c r="C124" s="7" t="n">
        <x:v>45834</x:v>
      </x:c>
      <x:c r="D124" s="2" t="str">
        <x:v>Completed</x:v>
      </x:c>
      <x:c r="E124" s="2" t="str">
        <x:v>East</x:v>
      </x:c>
      <x:c r="F124" s="2" t="str">
        <x:v>Store</x:v>
      </x:c>
      <x:c r="G124" s="2" t="str">
        <x:v>Lighting</x:v>
      </x:c>
      <x:c r="H124" s="2" t="str">
        <x:v>Lamp 009</x:v>
      </x:c>
      <x:c r="I124" s="11" t="n">
        <x:v>5</x:v>
      </x:c>
      <x:c r="J124" s="9" t="n">
        <x:v>93</x:v>
      </x:c>
      <x:c r="K124" s="10" t="n">
        <x:v>0.2</x:v>
      </x:c>
      <x:c r="L124" s="11" t="n">
        <x:v>0</x:v>
      </x:c>
      <x:c r="M124" s="9" t="n">
        <x:f>IF(D124="Completed",I124*J124,0)</x:f>
        <x:v>465</x:v>
      </x:c>
      <x:c r="N124" s="9" t="n">
        <x:f>M124*K124</x:f>
        <x:v>93</x:v>
      </x:c>
      <x:c r="O124" s="9" t="n">
        <x:f>M124-N124</x:f>
        <x:v>372</x:v>
      </x:c>
      <x:c r="P124" s="9" t="n">
        <x:f>IF(D124="Completed",L124*J124*(1-K124),0)</x:f>
        <x:v>0</x:v>
      </x:c>
      <x:c r="Q124" s="9" t="n">
        <x:f>O124-P124</x:f>
        <x:v>372</x:v>
      </x:c>
      <x:c r="R124" s="11" t="n">
        <x:f>IF(D124="Completed",I124,0)</x:f>
        <x:v>5</x:v>
      </x:c>
      <x:c r="S124" s="11" t="n">
        <x:f>IF(D124="Completed",L124,0)</x:f>
        <x:v>0</x:v>
      </x:c>
      <x:c r="T124" s="8" t="n">
        <x:f>DATE(YEAR(C124),MONTH(C124),1)</x:f>
        <x:v>45809</x:v>
      </x:c>
    </x:row>
    <x:row r="125" ht="22" customHeight="1">
      <x:c r="A125" s="2" t="str">
        <x:v>L000121</x:v>
      </x:c>
      <x:c r="B125" s="2" t="str">
        <x:v>O00051</x:v>
      </x:c>
      <x:c r="C125" s="7" t="n">
        <x:v>45834</x:v>
      </x:c>
      <x:c r="D125" s="2" t="str">
        <x:v>Completed</x:v>
      </x:c>
      <x:c r="E125" s="2" t="str">
        <x:v>East</x:v>
      </x:c>
      <x:c r="F125" s="2" t="str">
        <x:v>Store</x:v>
      </x:c>
      <x:c r="G125" s="2" t="str">
        <x:v>Furniture</x:v>
      </x:c>
      <x:c r="H125" s="2" t="str">
        <x:v>Desk 008</x:v>
      </x:c>
      <x:c r="I125" s="11" t="n">
        <x:v>4</x:v>
      </x:c>
      <x:c r="J125" s="9" t="n">
        <x:v>188</x:v>
      </x:c>
      <x:c r="K125" s="10" t="n">
        <x:v>0.1</x:v>
      </x:c>
      <x:c r="L125" s="11" t="n">
        <x:v>0</x:v>
      </x:c>
      <x:c r="M125" s="9" t="n">
        <x:f>IF(D125="Completed",I125*J125,0)</x:f>
        <x:v>752</x:v>
      </x:c>
      <x:c r="N125" s="9" t="n">
        <x:f>M125*K125</x:f>
        <x:v>75.2</x:v>
      </x:c>
      <x:c r="O125" s="9" t="n">
        <x:f>M125-N125</x:f>
        <x:v>676.8</x:v>
      </x:c>
      <x:c r="P125" s="9" t="n">
        <x:f>IF(D125="Completed",L125*J125*(1-K125),0)</x:f>
        <x:v>0</x:v>
      </x:c>
      <x:c r="Q125" s="9" t="n">
        <x:f>O125-P125</x:f>
        <x:v>676.8</x:v>
      </x:c>
      <x:c r="R125" s="11" t="n">
        <x:f>IF(D125="Completed",I125,0)</x:f>
        <x:v>4</x:v>
      </x:c>
      <x:c r="S125" s="11" t="n">
        <x:f>IF(D125="Completed",L125,0)</x:f>
        <x:v>0</x:v>
      </x:c>
      <x:c r="T125" s="8" t="n">
        <x:f>DATE(YEAR(C125),MONTH(C125),1)</x:f>
        <x:v>45809</x:v>
      </x:c>
    </x:row>
    <x:row r="126" ht="22" customHeight="1">
      <x:c r="A126" s="2" t="str">
        <x:v>L000122</x:v>
      </x:c>
      <x:c r="B126" s="2" t="str">
        <x:v>O00052</x:v>
      </x:c>
      <x:c r="C126" s="7" t="n">
        <x:v>45972</x:v>
      </x:c>
      <x:c r="D126" s="2" t="str">
        <x:v>Completed</x:v>
      </x:c>
      <x:c r="E126" s="2" t="str">
        <x:v>West</x:v>
      </x:c>
      <x:c r="F126" s="2" t="str">
        <x:v>Store</x:v>
      </x:c>
      <x:c r="G126" s="2" t="str">
        <x:v>Furniture</x:v>
      </x:c>
      <x:c r="H126" s="2" t="str">
        <x:v>Chair 014</x:v>
      </x:c>
      <x:c r="I126" s="11" t="n">
        <x:v>3</x:v>
      </x:c>
      <x:c r="J126" s="9" t="n">
        <x:v>294</x:v>
      </x:c>
      <x:c r="K126" s="10" t="n">
        <x:v>0.1</x:v>
      </x:c>
      <x:c r="L126" s="11" t="n">
        <x:v>0</x:v>
      </x:c>
      <x:c r="M126" s="9" t="n">
        <x:f>IF(D126="Completed",I126*J126,0)</x:f>
        <x:v>882</x:v>
      </x:c>
      <x:c r="N126" s="9" t="n">
        <x:f>M126*K126</x:f>
        <x:v>88.2</x:v>
      </x:c>
      <x:c r="O126" s="9" t="n">
        <x:f>M126-N126</x:f>
        <x:v>793.8</x:v>
      </x:c>
      <x:c r="P126" s="9" t="n">
        <x:f>IF(D126="Completed",L126*J126*(1-K126),0)</x:f>
        <x:v>0</x:v>
      </x:c>
      <x:c r="Q126" s="9" t="n">
        <x:f>O126-P126</x:f>
        <x:v>793.8</x:v>
      </x:c>
      <x:c r="R126" s="11" t="n">
        <x:f>IF(D126="Completed",I126,0)</x:f>
        <x:v>3</x:v>
      </x:c>
      <x:c r="S126" s="11" t="n">
        <x:f>IF(D126="Completed",L126,0)</x:f>
        <x:v>0</x:v>
      </x:c>
      <x:c r="T126" s="8" t="n">
        <x:f>DATE(YEAR(C126),MONTH(C126),1)</x:f>
        <x:v>45962</x:v>
      </x:c>
    </x:row>
    <x:row r="127" ht="22" customHeight="1">
      <x:c r="A127" s="2" t="str">
        <x:v>L000123</x:v>
      </x:c>
      <x:c r="B127" s="2" t="str">
        <x:v>O00053</x:v>
      </x:c>
      <x:c r="C127" s="7" t="n">
        <x:v>45899</x:v>
      </x:c>
      <x:c r="D127" s="2" t="str">
        <x:v>Completed</x:v>
      </x:c>
      <x:c r="E127" s="2" t="str">
        <x:v>North</x:v>
      </x:c>
      <x:c r="F127" s="2" t="str">
        <x:v>Store</x:v>
      </x:c>
      <x:c r="G127" s="2" t="str">
        <x:v>Storage</x:v>
      </x:c>
      <x:c r="H127" s="2" t="str">
        <x:v>Shelf 015</x:v>
      </x:c>
      <x:c r="I127" s="11" t="n">
        <x:v>1</x:v>
      </x:c>
      <x:c r="J127" s="9" t="n">
        <x:v>254</x:v>
      </x:c>
      <x:c r="K127" s="10" t="n">
        <x:v>0.2</x:v>
      </x:c>
      <x:c r="L127" s="11" t="n">
        <x:v>0</x:v>
      </x:c>
      <x:c r="M127" s="9" t="n">
        <x:f>IF(D127="Completed",I127*J127,0)</x:f>
        <x:v>254</x:v>
      </x:c>
      <x:c r="N127" s="9" t="n">
        <x:f>M127*K127</x:f>
        <x:v>50.800000000000004</x:v>
      </x:c>
      <x:c r="O127" s="9" t="n">
        <x:f>M127-N127</x:f>
        <x:v>203.2</x:v>
      </x:c>
      <x:c r="P127" s="9" t="n">
        <x:f>IF(D127="Completed",L127*J127*(1-K127),0)</x:f>
        <x:v>0</x:v>
      </x:c>
      <x:c r="Q127" s="9" t="n">
        <x:f>O127-P127</x:f>
        <x:v>203.2</x:v>
      </x:c>
      <x:c r="R127" s="11" t="n">
        <x:f>IF(D127="Completed",I127,0)</x:f>
        <x:v>1</x:v>
      </x:c>
      <x:c r="S127" s="11" t="n">
        <x:f>IF(D127="Completed",L127,0)</x:f>
        <x:v>0</x:v>
      </x:c>
      <x:c r="T127" s="8" t="n">
        <x:f>DATE(YEAR(C127),MONTH(C127),1)</x:f>
        <x:v>45870</x:v>
      </x:c>
    </x:row>
    <x:row r="128" ht="22" customHeight="1">
      <x:c r="A128" s="2" t="str">
        <x:v>L000124</x:v>
      </x:c>
      <x:c r="B128" s="2" t="str">
        <x:v>O00053</x:v>
      </x:c>
      <x:c r="C128" s="7" t="n">
        <x:v>45899</x:v>
      </x:c>
      <x:c r="D128" s="2" t="str">
        <x:v>Completed</x:v>
      </x:c>
      <x:c r="E128" s="2" t="str">
        <x:v>North</x:v>
      </x:c>
      <x:c r="F128" s="2" t="str">
        <x:v>Store</x:v>
      </x:c>
      <x:c r="G128" s="2" t="str">
        <x:v>Lighting</x:v>
      </x:c>
      <x:c r="H128" s="2" t="str">
        <x:v>Lamp 017</x:v>
      </x:c>
      <x:c r="I128" s="11" t="n">
        <x:v>4</x:v>
      </x:c>
      <x:c r="J128" s="9" t="n">
        <x:v>300</x:v>
      </x:c>
      <x:c r="K128" s="10" t="n">
        <x:v>0.2</x:v>
      </x:c>
      <x:c r="L128" s="11" t="n">
        <x:v>0</x:v>
      </x:c>
      <x:c r="M128" s="9" t="n">
        <x:f>IF(D128="Completed",I128*J128,0)</x:f>
        <x:v>1200</x:v>
      </x:c>
      <x:c r="N128" s="9" t="n">
        <x:f>M128*K128</x:f>
        <x:v>240</x:v>
      </x:c>
      <x:c r="O128" s="9" t="n">
        <x:f>M128-N128</x:f>
        <x:v>960</x:v>
      </x:c>
      <x:c r="P128" s="9" t="n">
        <x:f>IF(D128="Completed",L128*J128*(1-K128),0)</x:f>
        <x:v>0</x:v>
      </x:c>
      <x:c r="Q128" s="9" t="n">
        <x:f>O128-P128</x:f>
        <x:v>960</x:v>
      </x:c>
      <x:c r="R128" s="11" t="n">
        <x:f>IF(D128="Completed",I128,0)</x:f>
        <x:v>4</x:v>
      </x:c>
      <x:c r="S128" s="11" t="n">
        <x:f>IF(D128="Completed",L128,0)</x:f>
        <x:v>0</x:v>
      </x:c>
      <x:c r="T128" s="8" t="n">
        <x:f>DATE(YEAR(C128),MONTH(C128),1)</x:f>
        <x:v>45870</x:v>
      </x:c>
    </x:row>
    <x:row r="129" ht="22" customHeight="1">
      <x:c r="A129" s="2" t="str">
        <x:v>L000125</x:v>
      </x:c>
      <x:c r="B129" s="2" t="str">
        <x:v>O00053</x:v>
      </x:c>
      <x:c r="C129" s="7" t="n">
        <x:v>45899</x:v>
      </x:c>
      <x:c r="D129" s="2" t="str">
        <x:v>Completed</x:v>
      </x:c>
      <x:c r="E129" s="2" t="str">
        <x:v>North</x:v>
      </x:c>
      <x:c r="F129" s="2" t="str">
        <x:v>Store</x:v>
      </x:c>
      <x:c r="G129" s="2" t="str">
        <x:v>Furniture</x:v>
      </x:c>
      <x:c r="H129" s="2" t="str">
        <x:v>Desk 024</x:v>
      </x:c>
      <x:c r="I129" s="11" t="n">
        <x:v>5</x:v>
      </x:c>
      <x:c r="J129" s="9" t="n">
        <x:v>81</x:v>
      </x:c>
      <x:c r="K129" s="10" t="n">
        <x:v>0</x:v>
      </x:c>
      <x:c r="L129" s="11" t="n">
        <x:v>0</x:v>
      </x:c>
      <x:c r="M129" s="9" t="n">
        <x:f>IF(D129="Completed",I129*J129,0)</x:f>
        <x:v>405</x:v>
      </x:c>
      <x:c r="N129" s="9" t="n">
        <x:f>M129*K129</x:f>
        <x:v>0</x:v>
      </x:c>
      <x:c r="O129" s="9" t="n">
        <x:f>M129-N129</x:f>
        <x:v>405</x:v>
      </x:c>
      <x:c r="P129" s="9" t="n">
        <x:f>IF(D129="Completed",L129*J129*(1-K129),0)</x:f>
        <x:v>0</x:v>
      </x:c>
      <x:c r="Q129" s="9" t="n">
        <x:f>O129-P129</x:f>
        <x:v>405</x:v>
      </x:c>
      <x:c r="R129" s="11" t="n">
        <x:f>IF(D129="Completed",I129,0)</x:f>
        <x:v>5</x:v>
      </x:c>
      <x:c r="S129" s="11" t="n">
        <x:f>IF(D129="Completed",L129,0)</x:f>
        <x:v>0</x:v>
      </x:c>
      <x:c r="T129" s="8" t="n">
        <x:f>DATE(YEAR(C129),MONTH(C129),1)</x:f>
        <x:v>45870</x:v>
      </x:c>
    </x:row>
    <x:row r="130" ht="22" customHeight="1">
      <x:c r="A130" s="2" t="str">
        <x:v>L000126</x:v>
      </x:c>
      <x:c r="B130" s="2" t="str">
        <x:v>O00054</x:v>
      </x:c>
      <x:c r="C130" s="7" t="n">
        <x:v>45781</x:v>
      </x:c>
      <x:c r="D130" s="2" t="str">
        <x:v>Completed</x:v>
      </x:c>
      <x:c r="E130" s="2" t="str">
        <x:v>South</x:v>
      </x:c>
      <x:c r="F130" s="2" t="str">
        <x:v>Online</x:v>
      </x:c>
      <x:c r="G130" s="2" t="str">
        <x:v>Storage</x:v>
      </x:c>
      <x:c r="H130" s="2" t="str">
        <x:v>Shelf 007</x:v>
      </x:c>
      <x:c r="I130" s="11" t="n">
        <x:v>1</x:v>
      </x:c>
      <x:c r="J130" s="9" t="n">
        <x:v>35</x:v>
      </x:c>
      <x:c r="K130" s="10" t="n">
        <x:v>0</x:v>
      </x:c>
      <x:c r="L130" s="11" t="n">
        <x:v>0</x:v>
      </x:c>
      <x:c r="M130" s="9" t="n">
        <x:f>IF(D130="Completed",I130*J130,0)</x:f>
        <x:v>35</x:v>
      </x:c>
      <x:c r="N130" s="9" t="n">
        <x:f>M130*K130</x:f>
        <x:v>0</x:v>
      </x:c>
      <x:c r="O130" s="9" t="n">
        <x:f>M130-N130</x:f>
        <x:v>35</x:v>
      </x:c>
      <x:c r="P130" s="9" t="n">
        <x:f>IF(D130="Completed",L130*J130*(1-K130),0)</x:f>
        <x:v>0</x:v>
      </x:c>
      <x:c r="Q130" s="9" t="n">
        <x:f>O130-P130</x:f>
        <x:v>35</x:v>
      </x:c>
      <x:c r="R130" s="11" t="n">
        <x:f>IF(D130="Completed",I130,0)</x:f>
        <x:v>1</x:v>
      </x:c>
      <x:c r="S130" s="11" t="n">
        <x:f>IF(D130="Completed",L130,0)</x:f>
        <x:v>0</x:v>
      </x:c>
      <x:c r="T130" s="8" t="n">
        <x:f>DATE(YEAR(C130),MONTH(C130),1)</x:f>
        <x:v>45778</x:v>
      </x:c>
    </x:row>
    <x:row r="131" ht="22" customHeight="1">
      <x:c r="A131" s="2" t="str">
        <x:v>L000127</x:v>
      </x:c>
      <x:c r="B131" s="2" t="str">
        <x:v>O00054</x:v>
      </x:c>
      <x:c r="C131" s="7" t="n">
        <x:v>45781</x:v>
      </x:c>
      <x:c r="D131" s="2" t="str">
        <x:v>Completed</x:v>
      </x:c>
      <x:c r="E131" s="2" t="str">
        <x:v>South</x:v>
      </x:c>
      <x:c r="F131" s="2" t="str">
        <x:v>Online</x:v>
      </x:c>
      <x:c r="G131" s="2" t="str">
        <x:v>Lighting</x:v>
      </x:c>
      <x:c r="H131" s="2" t="str">
        <x:v>Lamp 001</x:v>
      </x:c>
      <x:c r="I131" s="11" t="n">
        <x:v>3</x:v>
      </x:c>
      <x:c r="J131" s="9" t="n">
        <x:v>122</x:v>
      </x:c>
      <x:c r="K131" s="10" t="n">
        <x:v>0.2</x:v>
      </x:c>
      <x:c r="L131" s="11" t="n">
        <x:v>0</x:v>
      </x:c>
      <x:c r="M131" s="9" t="n">
        <x:f>IF(D131="Completed",I131*J131,0)</x:f>
        <x:v>366</x:v>
      </x:c>
      <x:c r="N131" s="9" t="n">
        <x:f>M131*K131</x:f>
        <x:v>73.2</x:v>
      </x:c>
      <x:c r="O131" s="9" t="n">
        <x:f>M131-N131</x:f>
        <x:v>292.8</x:v>
      </x:c>
      <x:c r="P131" s="9" t="n">
        <x:f>IF(D131="Completed",L131*J131*(1-K131),0)</x:f>
        <x:v>0</x:v>
      </x:c>
      <x:c r="Q131" s="9" t="n">
        <x:f>O131-P131</x:f>
        <x:v>292.8</x:v>
      </x:c>
      <x:c r="R131" s="11" t="n">
        <x:f>IF(D131="Completed",I131,0)</x:f>
        <x:v>3</x:v>
      </x:c>
      <x:c r="S131" s="11" t="n">
        <x:f>IF(D131="Completed",L131,0)</x:f>
        <x:v>0</x:v>
      </x:c>
      <x:c r="T131" s="8" t="n">
        <x:f>DATE(YEAR(C131),MONTH(C131),1)</x:f>
        <x:v>45778</x:v>
      </x:c>
    </x:row>
    <x:row r="132" ht="22" customHeight="1">
      <x:c r="A132" s="2" t="str">
        <x:v>L000128</x:v>
      </x:c>
      <x:c r="B132" s="2" t="str">
        <x:v>O00055</x:v>
      </x:c>
      <x:c r="C132" s="7" t="n">
        <x:v>45829</x:v>
      </x:c>
      <x:c r="D132" s="2" t="str">
        <x:v>Completed</x:v>
      </x:c>
      <x:c r="E132" s="2" t="str">
        <x:v>South</x:v>
      </x:c>
      <x:c r="F132" s="2" t="str">
        <x:v>Store</x:v>
      </x:c>
      <x:c r="G132" s="2" t="str">
        <x:v>Furniture</x:v>
      </x:c>
      <x:c r="H132" s="2" t="str">
        <x:v>Chair 002</x:v>
      </x:c>
      <x:c r="I132" s="11" t="n">
        <x:v>4</x:v>
      </x:c>
      <x:c r="J132" s="9" t="n">
        <x:v>284</x:v>
      </x:c>
      <x:c r="K132" s="10" t="n">
        <x:v>0.2</x:v>
      </x:c>
      <x:c r="L132" s="11" t="n">
        <x:v>0</x:v>
      </x:c>
      <x:c r="M132" s="9" t="n">
        <x:f>IF(D132="Completed",I132*J132,0)</x:f>
        <x:v>1136</x:v>
      </x:c>
      <x:c r="N132" s="9" t="n">
        <x:f>M132*K132</x:f>
        <x:v>227.20000000000002</x:v>
      </x:c>
      <x:c r="O132" s="9" t="n">
        <x:f>M132-N132</x:f>
        <x:v>908.8</x:v>
      </x:c>
      <x:c r="P132" s="9" t="n">
        <x:f>IF(D132="Completed",L132*J132*(1-K132),0)</x:f>
        <x:v>0</x:v>
      </x:c>
      <x:c r="Q132" s="9" t="n">
        <x:f>O132-P132</x:f>
        <x:v>908.8</x:v>
      </x:c>
      <x:c r="R132" s="11" t="n">
        <x:f>IF(D132="Completed",I132,0)</x:f>
        <x:v>4</x:v>
      </x:c>
      <x:c r="S132" s="11" t="n">
        <x:f>IF(D132="Completed",L132,0)</x:f>
        <x:v>0</x:v>
      </x:c>
      <x:c r="T132" s="8" t="n">
        <x:f>DATE(YEAR(C132),MONTH(C132),1)</x:f>
        <x:v>45809</x:v>
      </x:c>
    </x:row>
    <x:row r="133" ht="22" customHeight="1">
      <x:c r="A133" s="2" t="str">
        <x:v>L000129</x:v>
      </x:c>
      <x:c r="B133" s="2" t="str">
        <x:v>O00056</x:v>
      </x:c>
      <x:c r="C133" s="7" t="n">
        <x:v>45766</x:v>
      </x:c>
      <x:c r="D133" s="2" t="str">
        <x:v>Completed</x:v>
      </x:c>
      <x:c r="E133" s="2" t="str">
        <x:v>West</x:v>
      </x:c>
      <x:c r="F133" s="2" t="str">
        <x:v>Store</x:v>
      </x:c>
      <x:c r="G133" s="2" t="str">
        <x:v>Furniture</x:v>
      </x:c>
      <x:c r="H133" s="2" t="str">
        <x:v>Chair 002</x:v>
      </x:c>
      <x:c r="I133" s="11" t="n">
        <x:v>4</x:v>
      </x:c>
      <x:c r="J133" s="9" t="n">
        <x:v>284</x:v>
      </x:c>
      <x:c r="K133" s="10" t="n">
        <x:v>0.2</x:v>
      </x:c>
      <x:c r="L133" s="11" t="n">
        <x:v>0</x:v>
      </x:c>
      <x:c r="M133" s="9" t="n">
        <x:f>IF(D133="Completed",I133*J133,0)</x:f>
        <x:v>1136</x:v>
      </x:c>
      <x:c r="N133" s="9" t="n">
        <x:f>M133*K133</x:f>
        <x:v>227.20000000000002</x:v>
      </x:c>
      <x:c r="O133" s="9" t="n">
        <x:f>M133-N133</x:f>
        <x:v>908.8</x:v>
      </x:c>
      <x:c r="P133" s="9" t="n">
        <x:f>IF(D133="Completed",L133*J133*(1-K133),0)</x:f>
        <x:v>0</x:v>
      </x:c>
      <x:c r="Q133" s="9" t="n">
        <x:f>O133-P133</x:f>
        <x:v>908.8</x:v>
      </x:c>
      <x:c r="R133" s="11" t="n">
        <x:f>IF(D133="Completed",I133,0)</x:f>
        <x:v>4</x:v>
      </x:c>
      <x:c r="S133" s="11" t="n">
        <x:f>IF(D133="Completed",L133,0)</x:f>
        <x:v>0</x:v>
      </x:c>
      <x:c r="T133" s="8" t="n">
        <x:f>DATE(YEAR(C133),MONTH(C133),1)</x:f>
        <x:v>45748</x:v>
      </x:c>
    </x:row>
    <x:row r="134" ht="22" customHeight="1">
      <x:c r="A134" s="2" t="str">
        <x:v>L000130</x:v>
      </x:c>
      <x:c r="B134" s="2" t="str">
        <x:v>O00056</x:v>
      </x:c>
      <x:c r="C134" s="7" t="n">
        <x:v>45766</x:v>
      </x:c>
      <x:c r="D134" s="2" t="str">
        <x:v>Completed</x:v>
      </x:c>
      <x:c r="E134" s="2" t="str">
        <x:v>West</x:v>
      </x:c>
      <x:c r="F134" s="2" t="str">
        <x:v>Store</x:v>
      </x:c>
      <x:c r="G134" s="2" t="str">
        <x:v>Lighting</x:v>
      </x:c>
      <x:c r="H134" s="2" t="str">
        <x:v>Lamp 021</x:v>
      </x:c>
      <x:c r="I134" s="11" t="n">
        <x:v>1</x:v>
      </x:c>
      <x:c r="J134" s="9" t="n">
        <x:v>249</x:v>
      </x:c>
      <x:c r="K134" s="10" t="n">
        <x:v>0.05</x:v>
      </x:c>
      <x:c r="L134" s="11" t="n">
        <x:v>0</x:v>
      </x:c>
      <x:c r="M134" s="9" t="n">
        <x:f>IF(D134="Completed",I134*J134,0)</x:f>
        <x:v>249</x:v>
      </x:c>
      <x:c r="N134" s="9" t="n">
        <x:f>M134*K134</x:f>
        <x:v>12.450000000000001</x:v>
      </x:c>
      <x:c r="O134" s="9" t="n">
        <x:f>M134-N134</x:f>
        <x:v>236.55</x:v>
      </x:c>
      <x:c r="P134" s="9" t="n">
        <x:f>IF(D134="Completed",L134*J134*(1-K134),0)</x:f>
        <x:v>0</x:v>
      </x:c>
      <x:c r="Q134" s="9" t="n">
        <x:f>O134-P134</x:f>
        <x:v>236.55</x:v>
      </x:c>
      <x:c r="R134" s="11" t="n">
        <x:f>IF(D134="Completed",I134,0)</x:f>
        <x:v>1</x:v>
      </x:c>
      <x:c r="S134" s="11" t="n">
        <x:f>IF(D134="Completed",L134,0)</x:f>
        <x:v>0</x:v>
      </x:c>
      <x:c r="T134" s="8" t="n">
        <x:f>DATE(YEAR(C134),MONTH(C134),1)</x:f>
        <x:v>45748</x:v>
      </x:c>
    </x:row>
    <x:row r="135" ht="22" customHeight="1">
      <x:c r="A135" s="2" t="str">
        <x:v>L000131</x:v>
      </x:c>
      <x:c r="B135" s="2" t="str">
        <x:v>O00056</x:v>
      </x:c>
      <x:c r="C135" s="7" t="n">
        <x:v>45766</x:v>
      </x:c>
      <x:c r="D135" s="2" t="str">
        <x:v>Completed</x:v>
      </x:c>
      <x:c r="E135" s="2" t="str">
        <x:v>West</x:v>
      </x:c>
      <x:c r="F135" s="2" t="str">
        <x:v>Store</x:v>
      </x:c>
      <x:c r="G135" s="2" t="str">
        <x:v>Storage</x:v>
      </x:c>
      <x:c r="H135" s="2" t="str">
        <x:v>Shelf 003</x:v>
      </x:c>
      <x:c r="I135" s="11" t="n">
        <x:v>2</x:v>
      </x:c>
      <x:c r="J135" s="9" t="n">
        <x:v>199</x:v>
      </x:c>
      <x:c r="K135" s="10" t="n">
        <x:v>0.1</x:v>
      </x:c>
      <x:c r="L135" s="11" t="n">
        <x:v>0</x:v>
      </x:c>
      <x:c r="M135" s="9" t="n">
        <x:f>IF(D135="Completed",I135*J135,0)</x:f>
        <x:v>398</x:v>
      </x:c>
      <x:c r="N135" s="9" t="n">
        <x:f>M135*K135</x:f>
        <x:v>39.800000000000004</x:v>
      </x:c>
      <x:c r="O135" s="9" t="n">
        <x:f>M135-N135</x:f>
        <x:v>358.2</x:v>
      </x:c>
      <x:c r="P135" s="9" t="n">
        <x:f>IF(D135="Completed",L135*J135*(1-K135),0)</x:f>
        <x:v>0</x:v>
      </x:c>
      <x:c r="Q135" s="9" t="n">
        <x:f>O135-P135</x:f>
        <x:v>358.2</x:v>
      </x:c>
      <x:c r="R135" s="11" t="n">
        <x:f>IF(D135="Completed",I135,0)</x:f>
        <x:v>2</x:v>
      </x:c>
      <x:c r="S135" s="11" t="n">
        <x:f>IF(D135="Completed",L135,0)</x:f>
        <x:v>0</x:v>
      </x:c>
      <x:c r="T135" s="8" t="n">
        <x:f>DATE(YEAR(C135),MONTH(C135),1)</x:f>
        <x:v>45748</x:v>
      </x:c>
    </x:row>
    <x:row r="136" ht="22" customHeight="1">
      <x:c r="A136" s="2" t="str">
        <x:v>L000132</x:v>
      </x:c>
      <x:c r="B136" s="2" t="str">
        <x:v>O00057</x:v>
      </x:c>
      <x:c r="C136" s="7" t="n">
        <x:v>45880</x:v>
      </x:c>
      <x:c r="D136" s="2" t="str">
        <x:v>Completed</x:v>
      </x:c>
      <x:c r="E136" s="2" t="str">
        <x:v>East</x:v>
      </x:c>
      <x:c r="F136" s="2" t="str">
        <x:v>Store</x:v>
      </x:c>
      <x:c r="G136" s="2" t="str">
        <x:v>Furniture</x:v>
      </x:c>
      <x:c r="H136" s="2" t="str">
        <x:v>Desk 004</x:v>
      </x:c>
      <x:c r="I136" s="11" t="n">
        <x:v>1</x:v>
      </x:c>
      <x:c r="J136" s="9" t="n">
        <x:v>123</x:v>
      </x:c>
      <x:c r="K136" s="10" t="n">
        <x:v>0.05</x:v>
      </x:c>
      <x:c r="L136" s="11" t="n">
        <x:v>0</x:v>
      </x:c>
      <x:c r="M136" s="9" t="n">
        <x:f>IF(D136="Completed",I136*J136,0)</x:f>
        <x:v>123</x:v>
      </x:c>
      <x:c r="N136" s="9" t="n">
        <x:f>M136*K136</x:f>
        <x:v>6.15</x:v>
      </x:c>
      <x:c r="O136" s="9" t="n">
        <x:f>M136-N136</x:f>
        <x:v>116.85</x:v>
      </x:c>
      <x:c r="P136" s="9" t="n">
        <x:f>IF(D136="Completed",L136*J136*(1-K136),0)</x:f>
        <x:v>0</x:v>
      </x:c>
      <x:c r="Q136" s="9" t="n">
        <x:f>O136-P136</x:f>
        <x:v>116.85</x:v>
      </x:c>
      <x:c r="R136" s="11" t="n">
        <x:f>IF(D136="Completed",I136,0)</x:f>
        <x:v>1</x:v>
      </x:c>
      <x:c r="S136" s="11" t="n">
        <x:f>IF(D136="Completed",L136,0)</x:f>
        <x:v>0</x:v>
      </x:c>
      <x:c r="T136" s="8" t="n">
        <x:f>DATE(YEAR(C136),MONTH(C136),1)</x:f>
        <x:v>45870</x:v>
      </x:c>
    </x:row>
    <x:row r="137" ht="22" customHeight="1">
      <x:c r="A137" s="2" t="str">
        <x:v>L000133</x:v>
      </x:c>
      <x:c r="B137" s="2" t="str">
        <x:v>O00057</x:v>
      </x:c>
      <x:c r="C137" s="7" t="n">
        <x:v>45880</x:v>
      </x:c>
      <x:c r="D137" s="2" t="str">
        <x:v>Completed</x:v>
      </x:c>
      <x:c r="E137" s="2" t="str">
        <x:v>East</x:v>
      </x:c>
      <x:c r="F137" s="2" t="str">
        <x:v>Store</x:v>
      </x:c>
      <x:c r="G137" s="2" t="str">
        <x:v>Lighting</x:v>
      </x:c>
      <x:c r="H137" s="2" t="str">
        <x:v>Lamp 001</x:v>
      </x:c>
      <x:c r="I137" s="11" t="n">
        <x:v>3</x:v>
      </x:c>
      <x:c r="J137" s="9" t="n">
        <x:v>122</x:v>
      </x:c>
      <x:c r="K137" s="10" t="n">
        <x:v>0.2</x:v>
      </x:c>
      <x:c r="L137" s="11" t="n">
        <x:v>0</x:v>
      </x:c>
      <x:c r="M137" s="9" t="n">
        <x:f>IF(D137="Completed",I137*J137,0)</x:f>
        <x:v>366</x:v>
      </x:c>
      <x:c r="N137" s="9" t="n">
        <x:f>M137*K137</x:f>
        <x:v>73.2</x:v>
      </x:c>
      <x:c r="O137" s="9" t="n">
        <x:f>M137-N137</x:f>
        <x:v>292.8</x:v>
      </x:c>
      <x:c r="P137" s="9" t="n">
        <x:f>IF(D137="Completed",L137*J137*(1-K137),0)</x:f>
        <x:v>0</x:v>
      </x:c>
      <x:c r="Q137" s="9" t="n">
        <x:f>O137-P137</x:f>
        <x:v>292.8</x:v>
      </x:c>
      <x:c r="R137" s="11" t="n">
        <x:f>IF(D137="Completed",I137,0)</x:f>
        <x:v>3</x:v>
      </x:c>
      <x:c r="S137" s="11" t="n">
        <x:f>IF(D137="Completed",L137,0)</x:f>
        <x:v>0</x:v>
      </x:c>
      <x:c r="T137" s="8" t="n">
        <x:f>DATE(YEAR(C137),MONTH(C137),1)</x:f>
        <x:v>45870</x:v>
      </x:c>
    </x:row>
    <x:row r="138" ht="22" customHeight="1">
      <x:c r="A138" s="2" t="str">
        <x:v>L000134</x:v>
      </x:c>
      <x:c r="B138" s="2" t="str">
        <x:v>O00057</x:v>
      </x:c>
      <x:c r="C138" s="7" t="n">
        <x:v>45880</x:v>
      </x:c>
      <x:c r="D138" s="2" t="str">
        <x:v>Completed</x:v>
      </x:c>
      <x:c r="E138" s="2" t="str">
        <x:v>East</x:v>
      </x:c>
      <x:c r="F138" s="2" t="str">
        <x:v>Store</x:v>
      </x:c>
      <x:c r="G138" s="2" t="str">
        <x:v>Storage</x:v>
      </x:c>
      <x:c r="H138" s="2" t="str">
        <x:v>Shelf 023</x:v>
      </x:c>
      <x:c r="I138" s="11" t="n">
        <x:v>3</x:v>
      </x:c>
      <x:c r="J138" s="9" t="n">
        <x:v>68</x:v>
      </x:c>
      <x:c r="K138" s="10" t="n">
        <x:v>0.2</x:v>
      </x:c>
      <x:c r="L138" s="11" t="n">
        <x:v>0</x:v>
      </x:c>
      <x:c r="M138" s="9" t="n">
        <x:f>IF(D138="Completed",I138*J138,0)</x:f>
        <x:v>204</x:v>
      </x:c>
      <x:c r="N138" s="9" t="n">
        <x:f>M138*K138</x:f>
        <x:v>40.800000000000004</x:v>
      </x:c>
      <x:c r="O138" s="9" t="n">
        <x:f>M138-N138</x:f>
        <x:v>163.2</x:v>
      </x:c>
      <x:c r="P138" s="9" t="n">
        <x:f>IF(D138="Completed",L138*J138*(1-K138),0)</x:f>
        <x:v>0</x:v>
      </x:c>
      <x:c r="Q138" s="9" t="n">
        <x:f>O138-P138</x:f>
        <x:v>163.2</x:v>
      </x:c>
      <x:c r="R138" s="11" t="n">
        <x:f>IF(D138="Completed",I138,0)</x:f>
        <x:v>3</x:v>
      </x:c>
      <x:c r="S138" s="11" t="n">
        <x:f>IF(D138="Completed",L138,0)</x:f>
        <x:v>0</x:v>
      </x:c>
      <x:c r="T138" s="8" t="n">
        <x:f>DATE(YEAR(C138),MONTH(C138),1)</x:f>
        <x:v>45870</x:v>
      </x:c>
    </x:row>
    <x:row r="139" ht="22" customHeight="1">
      <x:c r="A139" s="2" t="str">
        <x:v>L000135</x:v>
      </x:c>
      <x:c r="B139" s="2" t="str">
        <x:v>O00058</x:v>
      </x:c>
      <x:c r="C139" s="7" t="n">
        <x:v>45766</x:v>
      </x:c>
      <x:c r="D139" s="2" t="str">
        <x:v>Completed</x:v>
      </x:c>
      <x:c r="E139" s="2" t="str">
        <x:v>South</x:v>
      </x:c>
      <x:c r="F139" s="2" t="str">
        <x:v>Store</x:v>
      </x:c>
      <x:c r="G139" s="2" t="str">
        <x:v>Lighting</x:v>
      </x:c>
      <x:c r="H139" s="2" t="str">
        <x:v>Lamp 005</x:v>
      </x:c>
      <x:c r="I139" s="11" t="n">
        <x:v>3</x:v>
      </x:c>
      <x:c r="J139" s="9" t="n">
        <x:v>65</x:v>
      </x:c>
      <x:c r="K139" s="10" t="n">
        <x:v>0.05</x:v>
      </x:c>
      <x:c r="L139" s="11" t="n">
        <x:v>0</x:v>
      </x:c>
      <x:c r="M139" s="9" t="n">
        <x:f>IF(D139="Completed",I139*J139,0)</x:f>
        <x:v>195</x:v>
      </x:c>
      <x:c r="N139" s="9" t="n">
        <x:f>M139*K139</x:f>
        <x:v>9.75</x:v>
      </x:c>
      <x:c r="O139" s="9" t="n">
        <x:f>M139-N139</x:f>
        <x:v>185.25</x:v>
      </x:c>
      <x:c r="P139" s="9" t="n">
        <x:f>IF(D139="Completed",L139*J139*(1-K139),0)</x:f>
        <x:v>0</x:v>
      </x:c>
      <x:c r="Q139" s="9" t="n">
        <x:f>O139-P139</x:f>
        <x:v>185.25</x:v>
      </x:c>
      <x:c r="R139" s="11" t="n">
        <x:f>IF(D139="Completed",I139,0)</x:f>
        <x:v>3</x:v>
      </x:c>
      <x:c r="S139" s="11" t="n">
        <x:f>IF(D139="Completed",L139,0)</x:f>
        <x:v>0</x:v>
      </x:c>
      <x:c r="T139" s="8" t="n">
        <x:f>DATE(YEAR(C139),MONTH(C139),1)</x:f>
        <x:v>45748</x:v>
      </x:c>
    </x:row>
    <x:row r="140" ht="22" customHeight="1">
      <x:c r="A140" s="2" t="str">
        <x:v>L000136</x:v>
      </x:c>
      <x:c r="B140" s="2" t="str">
        <x:v>O00058</x:v>
      </x:c>
      <x:c r="C140" s="7" t="n">
        <x:v>45766</x:v>
      </x:c>
      <x:c r="D140" s="2" t="str">
        <x:v>Completed</x:v>
      </x:c>
      <x:c r="E140" s="2" t="str">
        <x:v>South</x:v>
      </x:c>
      <x:c r="F140" s="2" t="str">
        <x:v>Store</x:v>
      </x:c>
      <x:c r="G140" s="2" t="str">
        <x:v>Storage</x:v>
      </x:c>
      <x:c r="H140" s="2" t="str">
        <x:v>Shelf 003</x:v>
      </x:c>
      <x:c r="I140" s="11" t="n">
        <x:v>2</x:v>
      </x:c>
      <x:c r="J140" s="9" t="n">
        <x:v>199</x:v>
      </x:c>
      <x:c r="K140" s="10" t="n">
        <x:v>0.05</x:v>
      </x:c>
      <x:c r="L140" s="11" t="n">
        <x:v>0</x:v>
      </x:c>
      <x:c r="M140" s="9" t="n">
        <x:f>IF(D140="Completed",I140*J140,0)</x:f>
        <x:v>398</x:v>
      </x:c>
      <x:c r="N140" s="9" t="n">
        <x:f>M140*K140</x:f>
        <x:v>19.900000000000002</x:v>
      </x:c>
      <x:c r="O140" s="9" t="n">
        <x:f>M140-N140</x:f>
        <x:v>378.1</x:v>
      </x:c>
      <x:c r="P140" s="9" t="n">
        <x:f>IF(D140="Completed",L140*J140*(1-K140),0)</x:f>
        <x:v>0</x:v>
      </x:c>
      <x:c r="Q140" s="9" t="n">
        <x:f>O140-P140</x:f>
        <x:v>378.1</x:v>
      </x:c>
      <x:c r="R140" s="11" t="n">
        <x:f>IF(D140="Completed",I140,0)</x:f>
        <x:v>2</x:v>
      </x:c>
      <x:c r="S140" s="11" t="n">
        <x:f>IF(D140="Completed",L140,0)</x:f>
        <x:v>0</x:v>
      </x:c>
      <x:c r="T140" s="8" t="n">
        <x:f>DATE(YEAR(C140),MONTH(C140),1)</x:f>
        <x:v>45748</x:v>
      </x:c>
    </x:row>
    <x:row r="141" ht="22" customHeight="1">
      <x:c r="A141" s="2" t="str">
        <x:v>L000137</x:v>
      </x:c>
      <x:c r="B141" s="2" t="str">
        <x:v>O00058</x:v>
      </x:c>
      <x:c r="C141" s="7" t="n">
        <x:v>45766</x:v>
      </x:c>
      <x:c r="D141" s="2" t="str">
        <x:v>Completed</x:v>
      </x:c>
      <x:c r="E141" s="2" t="str">
        <x:v>South</x:v>
      </x:c>
      <x:c r="F141" s="2" t="str">
        <x:v>Store</x:v>
      </x:c>
      <x:c r="G141" s="2" t="str">
        <x:v>Lighting</x:v>
      </x:c>
      <x:c r="H141" s="2" t="str">
        <x:v>Lamp 001</x:v>
      </x:c>
      <x:c r="I141" s="11" t="n">
        <x:v>5</x:v>
      </x:c>
      <x:c r="J141" s="9" t="n">
        <x:v>122</x:v>
      </x:c>
      <x:c r="K141" s="10" t="n">
        <x:v>0.1</x:v>
      </x:c>
      <x:c r="L141" s="11" t="n">
        <x:v>0</x:v>
      </x:c>
      <x:c r="M141" s="9" t="n">
        <x:f>IF(D141="Completed",I141*J141,0)</x:f>
        <x:v>610</x:v>
      </x:c>
      <x:c r="N141" s="9" t="n">
        <x:f>M141*K141</x:f>
        <x:v>61</x:v>
      </x:c>
      <x:c r="O141" s="9" t="n">
        <x:f>M141-N141</x:f>
        <x:v>549</x:v>
      </x:c>
      <x:c r="P141" s="9" t="n">
        <x:f>IF(D141="Completed",L141*J141*(1-K141),0)</x:f>
        <x:v>0</x:v>
      </x:c>
      <x:c r="Q141" s="9" t="n">
        <x:f>O141-P141</x:f>
        <x:v>549</x:v>
      </x:c>
      <x:c r="R141" s="11" t="n">
        <x:f>IF(D141="Completed",I141,0)</x:f>
        <x:v>5</x:v>
      </x:c>
      <x:c r="S141" s="11" t="n">
        <x:f>IF(D141="Completed",L141,0)</x:f>
        <x:v>0</x:v>
      </x:c>
      <x:c r="T141" s="8" t="n">
        <x:f>DATE(YEAR(C141),MONTH(C141),1)</x:f>
        <x:v>45748</x:v>
      </x:c>
    </x:row>
    <x:row r="142" ht="22" customHeight="1">
      <x:c r="A142" s="2" t="str">
        <x:v>L000138</x:v>
      </x:c>
      <x:c r="B142" s="2" t="str">
        <x:v>O00059</x:v>
      </x:c>
      <x:c r="C142" s="7" t="n">
        <x:v>45828</x:v>
      </x:c>
      <x:c r="D142" s="2" t="str">
        <x:v>Completed</x:v>
      </x:c>
      <x:c r="E142" s="2" t="str">
        <x:v>West</x:v>
      </x:c>
      <x:c r="F142" s="2" t="str">
        <x:v>Store</x:v>
      </x:c>
      <x:c r="G142" s="2" t="str">
        <x:v>Furniture</x:v>
      </x:c>
      <x:c r="H142" s="2" t="str">
        <x:v>Chair 014</x:v>
      </x:c>
      <x:c r="I142" s="11" t="n">
        <x:v>1</x:v>
      </x:c>
      <x:c r="J142" s="9" t="n">
        <x:v>294</x:v>
      </x:c>
      <x:c r="K142" s="10" t="n">
        <x:v>0</x:v>
      </x:c>
      <x:c r="L142" s="11" t="n">
        <x:v>1</x:v>
      </x:c>
      <x:c r="M142" s="9" t="n">
        <x:f>IF(D142="Completed",I142*J142,0)</x:f>
        <x:v>294</x:v>
      </x:c>
      <x:c r="N142" s="9" t="n">
        <x:f>M142*K142</x:f>
        <x:v>0</x:v>
      </x:c>
      <x:c r="O142" s="9" t="n">
        <x:f>M142-N142</x:f>
        <x:v>294</x:v>
      </x:c>
      <x:c r="P142" s="9" t="n">
        <x:f>IF(D142="Completed",L142*J142*(1-K142),0)</x:f>
        <x:v>294</x:v>
      </x:c>
      <x:c r="Q142" s="9" t="n">
        <x:f>O142-P142</x:f>
        <x:v>0</x:v>
      </x:c>
      <x:c r="R142" s="11" t="n">
        <x:f>IF(D142="Completed",I142,0)</x:f>
        <x:v>1</x:v>
      </x:c>
      <x:c r="S142" s="11" t="n">
        <x:f>IF(D142="Completed",L142,0)</x:f>
        <x:v>1</x:v>
      </x:c>
      <x:c r="T142" s="8" t="n">
        <x:f>DATE(YEAR(C142),MONTH(C142),1)</x:f>
        <x:v>45809</x:v>
      </x:c>
    </x:row>
    <x:row r="143" ht="22" customHeight="1">
      <x:c r="A143" s="2" t="str">
        <x:v>L000139</x:v>
      </x:c>
      <x:c r="B143" s="2" t="str">
        <x:v>O00059</x:v>
      </x:c>
      <x:c r="C143" s="7" t="n">
        <x:v>45828</x:v>
      </x:c>
      <x:c r="D143" s="2" t="str">
        <x:v>Completed</x:v>
      </x:c>
      <x:c r="E143" s="2" t="str">
        <x:v>West</x:v>
      </x:c>
      <x:c r="F143" s="2" t="str">
        <x:v>Store</x:v>
      </x:c>
      <x:c r="G143" s="2" t="str">
        <x:v>Furniture</x:v>
      </x:c>
      <x:c r="H143" s="2" t="str">
        <x:v>Desk 016</x:v>
      </x:c>
      <x:c r="I143" s="11" t="n">
        <x:v>1</x:v>
      </x:c>
      <x:c r="J143" s="9" t="n">
        <x:v>231</x:v>
      </x:c>
      <x:c r="K143" s="10" t="n">
        <x:v>0.05</x:v>
      </x:c>
      <x:c r="L143" s="11" t="n">
        <x:v>0</x:v>
      </x:c>
      <x:c r="M143" s="9" t="n">
        <x:f>IF(D143="Completed",I143*J143,0)</x:f>
        <x:v>231</x:v>
      </x:c>
      <x:c r="N143" s="9" t="n">
        <x:f>M143*K143</x:f>
        <x:v>11.55</x:v>
      </x:c>
      <x:c r="O143" s="9" t="n">
        <x:f>M143-N143</x:f>
        <x:v>219.45</x:v>
      </x:c>
      <x:c r="P143" s="9" t="n">
        <x:f>IF(D143="Completed",L143*J143*(1-K143),0)</x:f>
        <x:v>0</x:v>
      </x:c>
      <x:c r="Q143" s="9" t="n">
        <x:f>O143-P143</x:f>
        <x:v>219.45</x:v>
      </x:c>
      <x:c r="R143" s="11" t="n">
        <x:f>IF(D143="Completed",I143,0)</x:f>
        <x:v>1</x:v>
      </x:c>
      <x:c r="S143" s="11" t="n">
        <x:f>IF(D143="Completed",L143,0)</x:f>
        <x:v>0</x:v>
      </x:c>
      <x:c r="T143" s="8" t="n">
        <x:f>DATE(YEAR(C143),MONTH(C143),1)</x:f>
        <x:v>45809</x:v>
      </x:c>
    </x:row>
    <x:row r="144" ht="22" customHeight="1">
      <x:c r="A144" s="2" t="str">
        <x:v>L000140</x:v>
      </x:c>
      <x:c r="B144" s="2" t="str">
        <x:v>O00059</x:v>
      </x:c>
      <x:c r="C144" s="7" t="n">
        <x:v>45828</x:v>
      </x:c>
      <x:c r="D144" s="2" t="str">
        <x:v>Completed</x:v>
      </x:c>
      <x:c r="E144" s="2" t="str">
        <x:v>West</x:v>
      </x:c>
      <x:c r="F144" s="2" t="str">
        <x:v>Store</x:v>
      </x:c>
      <x:c r="G144" s="2" t="str">
        <x:v>Furniture</x:v>
      </x:c>
      <x:c r="H144" s="2" t="str">
        <x:v>Desk 016</x:v>
      </x:c>
      <x:c r="I144" s="11" t="n">
        <x:v>2</x:v>
      </x:c>
      <x:c r="J144" s="9" t="n">
        <x:v>231</x:v>
      </x:c>
      <x:c r="K144" s="10" t="n">
        <x:v>0.05</x:v>
      </x:c>
      <x:c r="L144" s="11" t="n">
        <x:v>0</x:v>
      </x:c>
      <x:c r="M144" s="9" t="n">
        <x:f>IF(D144="Completed",I144*J144,0)</x:f>
        <x:v>462</x:v>
      </x:c>
      <x:c r="N144" s="9" t="n">
        <x:f>M144*K144</x:f>
        <x:v>23.1</x:v>
      </x:c>
      <x:c r="O144" s="9" t="n">
        <x:f>M144-N144</x:f>
        <x:v>438.9</x:v>
      </x:c>
      <x:c r="P144" s="9" t="n">
        <x:f>IF(D144="Completed",L144*J144*(1-K144),0)</x:f>
        <x:v>0</x:v>
      </x:c>
      <x:c r="Q144" s="9" t="n">
        <x:f>O144-P144</x:f>
        <x:v>438.9</x:v>
      </x:c>
      <x:c r="R144" s="11" t="n">
        <x:f>IF(D144="Completed",I144,0)</x:f>
        <x:v>2</x:v>
      </x:c>
      <x:c r="S144" s="11" t="n">
        <x:f>IF(D144="Completed",L144,0)</x:f>
        <x:v>0</x:v>
      </x:c>
      <x:c r="T144" s="8" t="n">
        <x:f>DATE(YEAR(C144),MONTH(C144),1)</x:f>
        <x:v>45809</x:v>
      </x:c>
    </x:row>
    <x:row r="145" ht="22" customHeight="1">
      <x:c r="A145" s="2" t="str">
        <x:v>L000141</x:v>
      </x:c>
      <x:c r="B145" s="2" t="str">
        <x:v>O00059</x:v>
      </x:c>
      <x:c r="C145" s="7" t="n">
        <x:v>45828</x:v>
      </x:c>
      <x:c r="D145" s="2" t="str">
        <x:v>Completed</x:v>
      </x:c>
      <x:c r="E145" s="2" t="str">
        <x:v>West</x:v>
      </x:c>
      <x:c r="F145" s="2" t="str">
        <x:v>Store</x:v>
      </x:c>
      <x:c r="G145" s="2" t="str">
        <x:v>Furniture</x:v>
      </x:c>
      <x:c r="H145" s="2" t="str">
        <x:v>Chair 022</x:v>
      </x:c>
      <x:c r="I145" s="11" t="n">
        <x:v>2</x:v>
      </x:c>
      <x:c r="J145" s="9" t="n">
        <x:v>134</x:v>
      </x:c>
      <x:c r="K145" s="10" t="n">
        <x:v>0</x:v>
      </x:c>
      <x:c r="L145" s="11" t="n">
        <x:v>0</x:v>
      </x:c>
      <x:c r="M145" s="9" t="n">
        <x:f>IF(D145="Completed",I145*J145,0)</x:f>
        <x:v>268</x:v>
      </x:c>
      <x:c r="N145" s="9" t="n">
        <x:f>M145*K145</x:f>
        <x:v>0</x:v>
      </x:c>
      <x:c r="O145" s="9" t="n">
        <x:f>M145-N145</x:f>
        <x:v>268</x:v>
      </x:c>
      <x:c r="P145" s="9" t="n">
        <x:f>IF(D145="Completed",L145*J145*(1-K145),0)</x:f>
        <x:v>0</x:v>
      </x:c>
      <x:c r="Q145" s="9" t="n">
        <x:f>O145-P145</x:f>
        <x:v>268</x:v>
      </x:c>
      <x:c r="R145" s="11" t="n">
        <x:f>IF(D145="Completed",I145,0)</x:f>
        <x:v>2</x:v>
      </x:c>
      <x:c r="S145" s="11" t="n">
        <x:f>IF(D145="Completed",L145,0)</x:f>
        <x:v>0</x:v>
      </x:c>
      <x:c r="T145" s="8" t="n">
        <x:f>DATE(YEAR(C145),MONTH(C145),1)</x:f>
        <x:v>45809</x:v>
      </x:c>
    </x:row>
    <x:row r="146" ht="22" customHeight="1">
      <x:c r="A146" s="2" t="str">
        <x:v>L000142</x:v>
      </x:c>
      <x:c r="B146" s="2" t="str">
        <x:v>O00060</x:v>
      </x:c>
      <x:c r="C146" s="7" t="n">
        <x:v>45999</x:v>
      </x:c>
      <x:c r="D146" s="2" t="str">
        <x:v>Completed</x:v>
      </x:c>
      <x:c r="E146" s="2" t="str">
        <x:v>East</x:v>
      </x:c>
      <x:c r="F146" s="2" t="str">
        <x:v>Online</x:v>
      </x:c>
      <x:c r="G146" s="2" t="str">
        <x:v>Storage</x:v>
      </x:c>
      <x:c r="H146" s="2" t="str">
        <x:v>Shelf 003</x:v>
      </x:c>
      <x:c r="I146" s="11" t="n">
        <x:v>4</x:v>
      </x:c>
      <x:c r="J146" s="9" t="n">
        <x:v>199</x:v>
      </x:c>
      <x:c r="K146" s="10" t="n">
        <x:v>0.2</x:v>
      </x:c>
      <x:c r="L146" s="11" t="n">
        <x:v>0</x:v>
      </x:c>
      <x:c r="M146" s="9" t="n">
        <x:f>IF(D146="Completed",I146*J146,0)</x:f>
        <x:v>796</x:v>
      </x:c>
      <x:c r="N146" s="9" t="n">
        <x:f>M146*K146</x:f>
        <x:v>159.20000000000002</x:v>
      </x:c>
      <x:c r="O146" s="9" t="n">
        <x:f>M146-N146</x:f>
        <x:v>636.8</x:v>
      </x:c>
      <x:c r="P146" s="9" t="n">
        <x:f>IF(D146="Completed",L146*J146*(1-K146),0)</x:f>
        <x:v>0</x:v>
      </x:c>
      <x:c r="Q146" s="9" t="n">
        <x:f>O146-P146</x:f>
        <x:v>636.8</x:v>
      </x:c>
      <x:c r="R146" s="11" t="n">
        <x:f>IF(D146="Completed",I146,0)</x:f>
        <x:v>4</x:v>
      </x:c>
      <x:c r="S146" s="11" t="n">
        <x:f>IF(D146="Completed",L146,0)</x:f>
        <x:v>0</x:v>
      </x:c>
      <x:c r="T146" s="8" t="n">
        <x:f>DATE(YEAR(C146),MONTH(C146),1)</x:f>
        <x:v>45992</x:v>
      </x:c>
    </x:row>
    <x:row r="147" ht="22" customHeight="1">
      <x:c r="A147" s="2" t="str">
        <x:v>L000143</x:v>
      </x:c>
      <x:c r="B147" s="2" t="str">
        <x:v>O00060</x:v>
      </x:c>
      <x:c r="C147" s="7" t="n">
        <x:v>45999</x:v>
      </x:c>
      <x:c r="D147" s="2" t="str">
        <x:v>Completed</x:v>
      </x:c>
      <x:c r="E147" s="2" t="str">
        <x:v>East</x:v>
      </x:c>
      <x:c r="F147" s="2" t="str">
        <x:v>Online</x:v>
      </x:c>
      <x:c r="G147" s="2" t="str">
        <x:v>Storage</x:v>
      </x:c>
      <x:c r="H147" s="2" t="str">
        <x:v>Shelf 015</x:v>
      </x:c>
      <x:c r="I147" s="11" t="n">
        <x:v>5</x:v>
      </x:c>
      <x:c r="J147" s="9" t="n">
        <x:v>254</x:v>
      </x:c>
      <x:c r="K147" s="10" t="n">
        <x:v>0.1</x:v>
      </x:c>
      <x:c r="L147" s="11" t="n">
        <x:v>0</x:v>
      </x:c>
      <x:c r="M147" s="9" t="n">
        <x:f>IF(D147="Completed",I147*J147,0)</x:f>
        <x:v>1270</x:v>
      </x:c>
      <x:c r="N147" s="9" t="n">
        <x:f>M147*K147</x:f>
        <x:v>127</x:v>
      </x:c>
      <x:c r="O147" s="9" t="n">
        <x:f>M147-N147</x:f>
        <x:v>1143</x:v>
      </x:c>
      <x:c r="P147" s="9" t="n">
        <x:f>IF(D147="Completed",L147*J147*(1-K147),0)</x:f>
        <x:v>0</x:v>
      </x:c>
      <x:c r="Q147" s="9" t="n">
        <x:f>O147-P147</x:f>
        <x:v>1143</x:v>
      </x:c>
      <x:c r="R147" s="11" t="n">
        <x:f>IF(D147="Completed",I147,0)</x:f>
        <x:v>5</x:v>
      </x:c>
      <x:c r="S147" s="11" t="n">
        <x:f>IF(D147="Completed",L147,0)</x:f>
        <x:v>0</x:v>
      </x:c>
      <x:c r="T147" s="8" t="n">
        <x:f>DATE(YEAR(C147),MONTH(C147),1)</x:f>
        <x:v>45992</x:v>
      </x:c>
    </x:row>
    <x:row r="148" ht="22" customHeight="1">
      <x:c r="A148" s="2" t="str">
        <x:v>L000144</x:v>
      </x:c>
      <x:c r="B148" s="2" t="str">
        <x:v>O00061</x:v>
      </x:c>
      <x:c r="C148" s="7" t="n">
        <x:v>45946</x:v>
      </x:c>
      <x:c r="D148" s="2" t="str">
        <x:v>Completed</x:v>
      </x:c>
      <x:c r="E148" s="2" t="str">
        <x:v>South</x:v>
      </x:c>
      <x:c r="F148" s="2" t="str">
        <x:v>Online</x:v>
      </x:c>
      <x:c r="G148" s="2" t="str">
        <x:v>Furniture</x:v>
      </x:c>
      <x:c r="H148" s="2" t="str">
        <x:v>Desk 008</x:v>
      </x:c>
      <x:c r="I148" s="11" t="n">
        <x:v>4</x:v>
      </x:c>
      <x:c r="J148" s="9" t="n">
        <x:v>188</x:v>
      </x:c>
      <x:c r="K148" s="10" t="n">
        <x:v>0.05</x:v>
      </x:c>
      <x:c r="L148" s="11" t="n">
        <x:v>0</x:v>
      </x:c>
      <x:c r="M148" s="9" t="n">
        <x:f>IF(D148="Completed",I148*J148,0)</x:f>
        <x:v>752</x:v>
      </x:c>
      <x:c r="N148" s="9" t="n">
        <x:f>M148*K148</x:f>
        <x:v>37.6</x:v>
      </x:c>
      <x:c r="O148" s="9" t="n">
        <x:f>M148-N148</x:f>
        <x:v>714.4</x:v>
      </x:c>
      <x:c r="P148" s="9" t="n">
        <x:f>IF(D148="Completed",L148*J148*(1-K148),0)</x:f>
        <x:v>0</x:v>
      </x:c>
      <x:c r="Q148" s="9" t="n">
        <x:f>O148-P148</x:f>
        <x:v>714.4</x:v>
      </x:c>
      <x:c r="R148" s="11" t="n">
        <x:f>IF(D148="Completed",I148,0)</x:f>
        <x:v>4</x:v>
      </x:c>
      <x:c r="S148" s="11" t="n">
        <x:f>IF(D148="Completed",L148,0)</x:f>
        <x:v>0</x:v>
      </x:c>
      <x:c r="T148" s="8" t="n">
        <x:f>DATE(YEAR(C148),MONTH(C148),1)</x:f>
        <x:v>45931</x:v>
      </x:c>
    </x:row>
    <x:row r="149" ht="22" customHeight="1">
      <x:c r="A149" s="2" t="str">
        <x:v>L000145</x:v>
      </x:c>
      <x:c r="B149" s="2" t="str">
        <x:v>O00062</x:v>
      </x:c>
      <x:c r="C149" s="7" t="n">
        <x:v>45799</x:v>
      </x:c>
      <x:c r="D149" s="2" t="str">
        <x:v>Completed</x:v>
      </x:c>
      <x:c r="E149" s="2" t="str">
        <x:v>West</x:v>
      </x:c>
      <x:c r="F149" s="2" t="str">
        <x:v>Store</x:v>
      </x:c>
      <x:c r="G149" s="2" t="str">
        <x:v>Furniture</x:v>
      </x:c>
      <x:c r="H149" s="2" t="str">
        <x:v>Chair 006</x:v>
      </x:c>
      <x:c r="I149" s="11" t="n">
        <x:v>3</x:v>
      </x:c>
      <x:c r="J149" s="9" t="n">
        <x:v>196</x:v>
      </x:c>
      <x:c r="K149" s="10" t="n">
        <x:v>0.1</x:v>
      </x:c>
      <x:c r="L149" s="11" t="n">
        <x:v>0</x:v>
      </x:c>
      <x:c r="M149" s="9" t="n">
        <x:f>IF(D149="Completed",I149*J149,0)</x:f>
        <x:v>588</x:v>
      </x:c>
      <x:c r="N149" s="9" t="n">
        <x:f>M149*K149</x:f>
        <x:v>58.800000000000004</x:v>
      </x:c>
      <x:c r="O149" s="9" t="n">
        <x:f>M149-N149</x:f>
        <x:v>529.2</x:v>
      </x:c>
      <x:c r="P149" s="9" t="n">
        <x:f>IF(D149="Completed",L149*J149*(1-K149),0)</x:f>
        <x:v>0</x:v>
      </x:c>
      <x:c r="Q149" s="9" t="n">
        <x:f>O149-P149</x:f>
        <x:v>529.2</x:v>
      </x:c>
      <x:c r="R149" s="11" t="n">
        <x:f>IF(D149="Completed",I149,0)</x:f>
        <x:v>3</x:v>
      </x:c>
      <x:c r="S149" s="11" t="n">
        <x:f>IF(D149="Completed",L149,0)</x:f>
        <x:v>0</x:v>
      </x:c>
      <x:c r="T149" s="8" t="n">
        <x:f>DATE(YEAR(C149),MONTH(C149),1)</x:f>
        <x:v>45778</x:v>
      </x:c>
    </x:row>
    <x:row r="150" ht="22" customHeight="1">
      <x:c r="A150" s="2" t="str">
        <x:v>L000146</x:v>
      </x:c>
      <x:c r="B150" s="2" t="str">
        <x:v>O00063</x:v>
      </x:c>
      <x:c r="C150" s="7" t="n">
        <x:v>45831</x:v>
      </x:c>
      <x:c r="D150" s="2" t="str">
        <x:v>Completed</x:v>
      </x:c>
      <x:c r="E150" s="2" t="str">
        <x:v>North</x:v>
      </x:c>
      <x:c r="F150" s="2" t="str">
        <x:v>Online</x:v>
      </x:c>
      <x:c r="G150" s="2" t="str">
        <x:v>Storage</x:v>
      </x:c>
      <x:c r="H150" s="2" t="str">
        <x:v>Shelf 007</x:v>
      </x:c>
      <x:c r="I150" s="11" t="n">
        <x:v>2</x:v>
      </x:c>
      <x:c r="J150" s="9" t="n">
        <x:v>35</x:v>
      </x:c>
      <x:c r="K150" s="10" t="n">
        <x:v>0.2</x:v>
      </x:c>
      <x:c r="L150" s="11" t="n">
        <x:v>0</x:v>
      </x:c>
      <x:c r="M150" s="9" t="n">
        <x:f>IF(D150="Completed",I150*J150,0)</x:f>
        <x:v>70</x:v>
      </x:c>
      <x:c r="N150" s="9" t="n">
        <x:f>M150*K150</x:f>
        <x:v>14</x:v>
      </x:c>
      <x:c r="O150" s="9" t="n">
        <x:f>M150-N150</x:f>
        <x:v>56</x:v>
      </x:c>
      <x:c r="P150" s="9" t="n">
        <x:f>IF(D150="Completed",L150*J150*(1-K150),0)</x:f>
        <x:v>0</x:v>
      </x:c>
      <x:c r="Q150" s="9" t="n">
        <x:f>O150-P150</x:f>
        <x:v>56</x:v>
      </x:c>
      <x:c r="R150" s="11" t="n">
        <x:f>IF(D150="Completed",I150,0)</x:f>
        <x:v>2</x:v>
      </x:c>
      <x:c r="S150" s="11" t="n">
        <x:f>IF(D150="Completed",L150,0)</x:f>
        <x:v>0</x:v>
      </x:c>
      <x:c r="T150" s="8" t="n">
        <x:f>DATE(YEAR(C150),MONTH(C150),1)</x:f>
        <x:v>45809</x:v>
      </x:c>
    </x:row>
    <x:row r="151" ht="22" customHeight="1">
      <x:c r="A151" s="2" t="str">
        <x:v>L000147</x:v>
      </x:c>
      <x:c r="B151" s="2" t="str">
        <x:v>O00063</x:v>
      </x:c>
      <x:c r="C151" s="7" t="n">
        <x:v>45831</x:v>
      </x:c>
      <x:c r="D151" s="2" t="str">
        <x:v>Completed</x:v>
      </x:c>
      <x:c r="E151" s="2" t="str">
        <x:v>North</x:v>
      </x:c>
      <x:c r="F151" s="2" t="str">
        <x:v>Online</x:v>
      </x:c>
      <x:c r="G151" s="2" t="str">
        <x:v>Lighting</x:v>
      </x:c>
      <x:c r="H151" s="2" t="str">
        <x:v>Lamp 001</x:v>
      </x:c>
      <x:c r="I151" s="11" t="n">
        <x:v>5</x:v>
      </x:c>
      <x:c r="J151" s="9" t="n">
        <x:v>122</x:v>
      </x:c>
      <x:c r="K151" s="10" t="n">
        <x:v>0.1</x:v>
      </x:c>
      <x:c r="L151" s="11" t="n">
        <x:v>0</x:v>
      </x:c>
      <x:c r="M151" s="9" t="n">
        <x:f>IF(D151="Completed",I151*J151,0)</x:f>
        <x:v>610</x:v>
      </x:c>
      <x:c r="N151" s="9" t="n">
        <x:f>M151*K151</x:f>
        <x:v>61</x:v>
      </x:c>
      <x:c r="O151" s="9" t="n">
        <x:f>M151-N151</x:f>
        <x:v>549</x:v>
      </x:c>
      <x:c r="P151" s="9" t="n">
        <x:f>IF(D151="Completed",L151*J151*(1-K151),0)</x:f>
        <x:v>0</x:v>
      </x:c>
      <x:c r="Q151" s="9" t="n">
        <x:f>O151-P151</x:f>
        <x:v>549</x:v>
      </x:c>
      <x:c r="R151" s="11" t="n">
        <x:f>IF(D151="Completed",I151,0)</x:f>
        <x:v>5</x:v>
      </x:c>
      <x:c r="S151" s="11" t="n">
        <x:f>IF(D151="Completed",L151,0)</x:f>
        <x:v>0</x:v>
      </x:c>
      <x:c r="T151" s="8" t="n">
        <x:f>DATE(YEAR(C151),MONTH(C151),1)</x:f>
        <x:v>45809</x:v>
      </x:c>
    </x:row>
    <x:row r="152" ht="22" customHeight="1">
      <x:c r="A152" s="2" t="str">
        <x:v>L000148</x:v>
      </x:c>
      <x:c r="B152" s="2" t="str">
        <x:v>O00064</x:v>
      </x:c>
      <x:c r="C152" s="7" t="n">
        <x:v>45802</x:v>
      </x:c>
      <x:c r="D152" s="2" t="str">
        <x:v>Completed</x:v>
      </x:c>
      <x:c r="E152" s="2" t="str">
        <x:v>East</x:v>
      </x:c>
      <x:c r="F152" s="2" t="str">
        <x:v>Online</x:v>
      </x:c>
      <x:c r="G152" s="2" t="str">
        <x:v>Furniture</x:v>
      </x:c>
      <x:c r="H152" s="2" t="str">
        <x:v>Chair 018</x:v>
      </x:c>
      <x:c r="I152" s="11" t="n">
        <x:v>4</x:v>
      </x:c>
      <x:c r="J152" s="9" t="n">
        <x:v>269</x:v>
      </x:c>
      <x:c r="K152" s="10" t="n">
        <x:v>0.05</x:v>
      </x:c>
      <x:c r="L152" s="11" t="n">
        <x:v>0</x:v>
      </x:c>
      <x:c r="M152" s="9" t="n">
        <x:f>IF(D152="Completed",I152*J152,0)</x:f>
        <x:v>1076</x:v>
      </x:c>
      <x:c r="N152" s="9" t="n">
        <x:f>M152*K152</x:f>
        <x:v>53.800000000000004</x:v>
      </x:c>
      <x:c r="O152" s="9" t="n">
        <x:f>M152-N152</x:f>
        <x:v>1022.2</x:v>
      </x:c>
      <x:c r="P152" s="9" t="n">
        <x:f>IF(D152="Completed",L152*J152*(1-K152),0)</x:f>
        <x:v>0</x:v>
      </x:c>
      <x:c r="Q152" s="9" t="n">
        <x:f>O152-P152</x:f>
        <x:v>1022.2</x:v>
      </x:c>
      <x:c r="R152" s="11" t="n">
        <x:f>IF(D152="Completed",I152,0)</x:f>
        <x:v>4</x:v>
      </x:c>
      <x:c r="S152" s="11" t="n">
        <x:f>IF(D152="Completed",L152,0)</x:f>
        <x:v>0</x:v>
      </x:c>
      <x:c r="T152" s="8" t="n">
        <x:f>DATE(YEAR(C152),MONTH(C152),1)</x:f>
        <x:v>45778</x:v>
      </x:c>
    </x:row>
    <x:row r="153" ht="22" customHeight="1">
      <x:c r="A153" s="2" t="str">
        <x:v>L000149</x:v>
      </x:c>
      <x:c r="B153" s="2" t="str">
        <x:v>O00064</x:v>
      </x:c>
      <x:c r="C153" s="7" t="n">
        <x:v>45802</x:v>
      </x:c>
      <x:c r="D153" s="2" t="str">
        <x:v>Completed</x:v>
      </x:c>
      <x:c r="E153" s="2" t="str">
        <x:v>East</x:v>
      </x:c>
      <x:c r="F153" s="2" t="str">
        <x:v>Online</x:v>
      </x:c>
      <x:c r="G153" s="2" t="str">
        <x:v>Furniture</x:v>
      </x:c>
      <x:c r="H153" s="2" t="str">
        <x:v>Chair 010</x:v>
      </x:c>
      <x:c r="I153" s="11" t="n">
        <x:v>4</x:v>
      </x:c>
      <x:c r="J153" s="9" t="n">
        <x:v>211</x:v>
      </x:c>
      <x:c r="K153" s="10" t="n">
        <x:v>0.1</x:v>
      </x:c>
      <x:c r="L153" s="11" t="n">
        <x:v>0</x:v>
      </x:c>
      <x:c r="M153" s="9" t="n">
        <x:f>IF(D153="Completed",I153*J153,0)</x:f>
        <x:v>844</x:v>
      </x:c>
      <x:c r="N153" s="9" t="n">
        <x:f>M153*K153</x:f>
        <x:v>84.4</x:v>
      </x:c>
      <x:c r="O153" s="9" t="n">
        <x:f>M153-N153</x:f>
        <x:v>759.6</x:v>
      </x:c>
      <x:c r="P153" s="9" t="n">
        <x:f>IF(D153="Completed",L153*J153*(1-K153),0)</x:f>
        <x:v>0</x:v>
      </x:c>
      <x:c r="Q153" s="9" t="n">
        <x:f>O153-P153</x:f>
        <x:v>759.6</x:v>
      </x:c>
      <x:c r="R153" s="11" t="n">
        <x:f>IF(D153="Completed",I153,0)</x:f>
        <x:v>4</x:v>
      </x:c>
      <x:c r="S153" s="11" t="n">
        <x:f>IF(D153="Completed",L153,0)</x:f>
        <x:v>0</x:v>
      </x:c>
      <x:c r="T153" s="8" t="n">
        <x:f>DATE(YEAR(C153),MONTH(C153),1)</x:f>
        <x:v>45778</x:v>
      </x:c>
    </x:row>
    <x:row r="154" ht="22" customHeight="1">
      <x:c r="A154" s="2" t="str">
        <x:v>L000150</x:v>
      </x:c>
      <x:c r="B154" s="2" t="str">
        <x:v>O00065</x:v>
      </x:c>
      <x:c r="C154" s="7" t="n">
        <x:v>46008</x:v>
      </x:c>
      <x:c r="D154" s="2" t="str">
        <x:v>Completed</x:v>
      </x:c>
      <x:c r="E154" s="2" t="str">
        <x:v>North</x:v>
      </x:c>
      <x:c r="F154" s="2" t="str">
        <x:v>Online</x:v>
      </x:c>
      <x:c r="G154" s="2" t="str">
        <x:v>Furniture</x:v>
      </x:c>
      <x:c r="H154" s="2" t="str">
        <x:v>Chair 010</x:v>
      </x:c>
      <x:c r="I154" s="11" t="n">
        <x:v>1</x:v>
      </x:c>
      <x:c r="J154" s="9" t="n">
        <x:v>211</x:v>
      </x:c>
      <x:c r="K154" s="10" t="n">
        <x:v>0.2</x:v>
      </x:c>
      <x:c r="L154" s="11" t="n">
        <x:v>0</x:v>
      </x:c>
      <x:c r="M154" s="9" t="n">
        <x:f>IF(D154="Completed",I154*J154,0)</x:f>
        <x:v>211</x:v>
      </x:c>
      <x:c r="N154" s="9" t="n">
        <x:f>M154*K154</x:f>
        <x:v>42.2</x:v>
      </x:c>
      <x:c r="O154" s="9" t="n">
        <x:f>M154-N154</x:f>
        <x:v>168.8</x:v>
      </x:c>
      <x:c r="P154" s="9" t="n">
        <x:f>IF(D154="Completed",L154*J154*(1-K154),0)</x:f>
        <x:v>0</x:v>
      </x:c>
      <x:c r="Q154" s="9" t="n">
        <x:f>O154-P154</x:f>
        <x:v>168.8</x:v>
      </x:c>
      <x:c r="R154" s="11" t="n">
        <x:f>IF(D154="Completed",I154,0)</x:f>
        <x:v>1</x:v>
      </x:c>
      <x:c r="S154" s="11" t="n">
        <x:f>IF(D154="Completed",L154,0)</x:f>
        <x:v>0</x:v>
      </x:c>
      <x:c r="T154" s="8" t="n">
        <x:f>DATE(YEAR(C154),MONTH(C154),1)</x:f>
        <x:v>45992</x:v>
      </x:c>
    </x:row>
    <x:row r="155" ht="22" customHeight="1">
      <x:c r="A155" s="2" t="str">
        <x:v>L000151</x:v>
      </x:c>
      <x:c r="B155" s="2" t="str">
        <x:v>O00065</x:v>
      </x:c>
      <x:c r="C155" s="7" t="n">
        <x:v>46008</x:v>
      </x:c>
      <x:c r="D155" s="2" t="str">
        <x:v>Completed</x:v>
      </x:c>
      <x:c r="E155" s="2" t="str">
        <x:v>North</x:v>
      </x:c>
      <x:c r="F155" s="2" t="str">
        <x:v>Online</x:v>
      </x:c>
      <x:c r="G155" s="2" t="str">
        <x:v>Lighting</x:v>
      </x:c>
      <x:c r="H155" s="2" t="str">
        <x:v>Lamp 013</x:v>
      </x:c>
      <x:c r="I155" s="11" t="n">
        <x:v>2</x:v>
      </x:c>
      <x:c r="J155" s="9" t="n">
        <x:v>271</x:v>
      </x:c>
      <x:c r="K155" s="10" t="n">
        <x:v>0.2</x:v>
      </x:c>
      <x:c r="L155" s="11" t="n">
        <x:v>0</x:v>
      </x:c>
      <x:c r="M155" s="9" t="n">
        <x:f>IF(D155="Completed",I155*J155,0)</x:f>
        <x:v>542</x:v>
      </x:c>
      <x:c r="N155" s="9" t="n">
        <x:f>M155*K155</x:f>
        <x:v>108.4</x:v>
      </x:c>
      <x:c r="O155" s="9" t="n">
        <x:f>M155-N155</x:f>
        <x:v>433.6</x:v>
      </x:c>
      <x:c r="P155" s="9" t="n">
        <x:f>IF(D155="Completed",L155*J155*(1-K155),0)</x:f>
        <x:v>0</x:v>
      </x:c>
      <x:c r="Q155" s="9" t="n">
        <x:f>O155-P155</x:f>
        <x:v>433.6</x:v>
      </x:c>
      <x:c r="R155" s="11" t="n">
        <x:f>IF(D155="Completed",I155,0)</x:f>
        <x:v>2</x:v>
      </x:c>
      <x:c r="S155" s="11" t="n">
        <x:f>IF(D155="Completed",L155,0)</x:f>
        <x:v>0</x:v>
      </x:c>
      <x:c r="T155" s="8" t="n">
        <x:f>DATE(YEAR(C155),MONTH(C155),1)</x:f>
        <x:v>45992</x:v>
      </x:c>
    </x:row>
    <x:row r="156" ht="22" customHeight="1">
      <x:c r="A156" s="2" t="str">
        <x:v>L000152</x:v>
      </x:c>
      <x:c r="B156" s="2" t="str">
        <x:v>O00065</x:v>
      </x:c>
      <x:c r="C156" s="7" t="n">
        <x:v>46008</x:v>
      </x:c>
      <x:c r="D156" s="2" t="str">
        <x:v>Completed</x:v>
      </x:c>
      <x:c r="E156" s="2" t="str">
        <x:v>North</x:v>
      </x:c>
      <x:c r="F156" s="2" t="str">
        <x:v>Online</x:v>
      </x:c>
      <x:c r="G156" s="2" t="str">
        <x:v>Furniture</x:v>
      </x:c>
      <x:c r="H156" s="2" t="str">
        <x:v>Chair 010</x:v>
      </x:c>
      <x:c r="I156" s="11" t="n">
        <x:v>4</x:v>
      </x:c>
      <x:c r="J156" s="9" t="n">
        <x:v>211</x:v>
      </x:c>
      <x:c r="K156" s="10" t="n">
        <x:v>0.2</x:v>
      </x:c>
      <x:c r="L156" s="11" t="n">
        <x:v>0</x:v>
      </x:c>
      <x:c r="M156" s="9" t="n">
        <x:f>IF(D156="Completed",I156*J156,0)</x:f>
        <x:v>844</x:v>
      </x:c>
      <x:c r="N156" s="9" t="n">
        <x:f>M156*K156</x:f>
        <x:v>168.8</x:v>
      </x:c>
      <x:c r="O156" s="9" t="n">
        <x:f>M156-N156</x:f>
        <x:v>675.2</x:v>
      </x:c>
      <x:c r="P156" s="9" t="n">
        <x:f>IF(D156="Completed",L156*J156*(1-K156),0)</x:f>
        <x:v>0</x:v>
      </x:c>
      <x:c r="Q156" s="9" t="n">
        <x:f>O156-P156</x:f>
        <x:v>675.2</x:v>
      </x:c>
      <x:c r="R156" s="11" t="n">
        <x:f>IF(D156="Completed",I156,0)</x:f>
        <x:v>4</x:v>
      </x:c>
      <x:c r="S156" s="11" t="n">
        <x:f>IF(D156="Completed",L156,0)</x:f>
        <x:v>0</x:v>
      </x:c>
      <x:c r="T156" s="8" t="n">
        <x:f>DATE(YEAR(C156),MONTH(C156),1)</x:f>
        <x:v>45992</x:v>
      </x:c>
    </x:row>
    <x:row r="157" ht="22" customHeight="1">
      <x:c r="A157" s="2" t="str">
        <x:v>L000153</x:v>
      </x:c>
      <x:c r="B157" s="2" t="str">
        <x:v>O00066</x:v>
      </x:c>
      <x:c r="C157" s="7" t="n">
        <x:v>45936</x:v>
      </x:c>
      <x:c r="D157" s="2" t="str">
        <x:v>Completed</x:v>
      </x:c>
      <x:c r="E157" s="2" t="str">
        <x:v>East</x:v>
      </x:c>
      <x:c r="F157" s="2" t="str">
        <x:v>Online</x:v>
      </x:c>
      <x:c r="G157" s="2" t="str">
        <x:v>Lighting</x:v>
      </x:c>
      <x:c r="H157" s="2" t="str">
        <x:v>Lamp 017</x:v>
      </x:c>
      <x:c r="I157" s="11" t="n">
        <x:v>1</x:v>
      </x:c>
      <x:c r="J157" s="9" t="n">
        <x:v>300</x:v>
      </x:c>
      <x:c r="K157" s="10" t="n">
        <x:v>0.1</x:v>
      </x:c>
      <x:c r="L157" s="11" t="n">
        <x:v>0</x:v>
      </x:c>
      <x:c r="M157" s="9" t="n">
        <x:f>IF(D157="Completed",I157*J157,0)</x:f>
        <x:v>300</x:v>
      </x:c>
      <x:c r="N157" s="9" t="n">
        <x:f>M157*K157</x:f>
        <x:v>30</x:v>
      </x:c>
      <x:c r="O157" s="9" t="n">
        <x:f>M157-N157</x:f>
        <x:v>270</x:v>
      </x:c>
      <x:c r="P157" s="9" t="n">
        <x:f>IF(D157="Completed",L157*J157*(1-K157),0)</x:f>
        <x:v>0</x:v>
      </x:c>
      <x:c r="Q157" s="9" t="n">
        <x:f>O157-P157</x:f>
        <x:v>270</x:v>
      </x:c>
      <x:c r="R157" s="11" t="n">
        <x:f>IF(D157="Completed",I157,0)</x:f>
        <x:v>1</x:v>
      </x:c>
      <x:c r="S157" s="11" t="n">
        <x:f>IF(D157="Completed",L157,0)</x:f>
        <x:v>0</x:v>
      </x:c>
      <x:c r="T157" s="8" t="n">
        <x:f>DATE(YEAR(C157),MONTH(C157),1)</x:f>
        <x:v>45931</x:v>
      </x:c>
    </x:row>
    <x:row r="158" ht="22" customHeight="1">
      <x:c r="A158" s="2" t="str">
        <x:v>L000154</x:v>
      </x:c>
      <x:c r="B158" s="2" t="str">
        <x:v>O00066</x:v>
      </x:c>
      <x:c r="C158" s="7" t="n">
        <x:v>45936</x:v>
      </x:c>
      <x:c r="D158" s="2" t="str">
        <x:v>Completed</x:v>
      </x:c>
      <x:c r="E158" s="2" t="str">
        <x:v>East</x:v>
      </x:c>
      <x:c r="F158" s="2" t="str">
        <x:v>Online</x:v>
      </x:c>
      <x:c r="G158" s="2" t="str">
        <x:v>Lighting</x:v>
      </x:c>
      <x:c r="H158" s="2" t="str">
        <x:v>Lamp 009</x:v>
      </x:c>
      <x:c r="I158" s="11" t="n">
        <x:v>5</x:v>
      </x:c>
      <x:c r="J158" s="9" t="n">
        <x:v>93</x:v>
      </x:c>
      <x:c r="K158" s="10" t="n">
        <x:v>0.05</x:v>
      </x:c>
      <x:c r="L158" s="11" t="n">
        <x:v>0</x:v>
      </x:c>
      <x:c r="M158" s="9" t="n">
        <x:f>IF(D158="Completed",I158*J158,0)</x:f>
        <x:v>465</x:v>
      </x:c>
      <x:c r="N158" s="9" t="n">
        <x:f>M158*K158</x:f>
        <x:v>23.25</x:v>
      </x:c>
      <x:c r="O158" s="9" t="n">
        <x:f>M158-N158</x:f>
        <x:v>441.75</x:v>
      </x:c>
      <x:c r="P158" s="9" t="n">
        <x:f>IF(D158="Completed",L158*J158*(1-K158),0)</x:f>
        <x:v>0</x:v>
      </x:c>
      <x:c r="Q158" s="9" t="n">
        <x:f>O158-P158</x:f>
        <x:v>441.75</x:v>
      </x:c>
      <x:c r="R158" s="11" t="n">
        <x:f>IF(D158="Completed",I158,0)</x:f>
        <x:v>5</x:v>
      </x:c>
      <x:c r="S158" s="11" t="n">
        <x:f>IF(D158="Completed",L158,0)</x:f>
        <x:v>0</x:v>
      </x:c>
      <x:c r="T158" s="8" t="n">
        <x:f>DATE(YEAR(C158),MONTH(C158),1)</x:f>
        <x:v>45931</x:v>
      </x:c>
    </x:row>
    <x:row r="159" ht="22" customHeight="1">
      <x:c r="A159" s="2" t="str">
        <x:v>L000155</x:v>
      </x:c>
      <x:c r="B159" s="2" t="str">
        <x:v>O00066</x:v>
      </x:c>
      <x:c r="C159" s="7" t="n">
        <x:v>45936</x:v>
      </x:c>
      <x:c r="D159" s="2" t="str">
        <x:v>Completed</x:v>
      </x:c>
      <x:c r="E159" s="2" t="str">
        <x:v>East</x:v>
      </x:c>
      <x:c r="F159" s="2" t="str">
        <x:v>Online</x:v>
      </x:c>
      <x:c r="G159" s="2" t="str">
        <x:v>Furniture</x:v>
      </x:c>
      <x:c r="H159" s="2" t="str">
        <x:v>Desk 016</x:v>
      </x:c>
      <x:c r="I159" s="11" t="n">
        <x:v>5</x:v>
      </x:c>
      <x:c r="J159" s="9" t="n">
        <x:v>231</x:v>
      </x:c>
      <x:c r="K159" s="10" t="n">
        <x:v>0.05</x:v>
      </x:c>
      <x:c r="L159" s="11" t="n">
        <x:v>0</x:v>
      </x:c>
      <x:c r="M159" s="9" t="n">
        <x:f>IF(D159="Completed",I159*J159,0)</x:f>
        <x:v>1155</x:v>
      </x:c>
      <x:c r="N159" s="9" t="n">
        <x:f>M159*K159</x:f>
        <x:v>57.75</x:v>
      </x:c>
      <x:c r="O159" s="9" t="n">
        <x:f>M159-N159</x:f>
        <x:v>1097.25</x:v>
      </x:c>
      <x:c r="P159" s="9" t="n">
        <x:f>IF(D159="Completed",L159*J159*(1-K159),0)</x:f>
        <x:v>0</x:v>
      </x:c>
      <x:c r="Q159" s="9" t="n">
        <x:f>O159-P159</x:f>
        <x:v>1097.25</x:v>
      </x:c>
      <x:c r="R159" s="11" t="n">
        <x:f>IF(D159="Completed",I159,0)</x:f>
        <x:v>5</x:v>
      </x:c>
      <x:c r="S159" s="11" t="n">
        <x:f>IF(D159="Completed",L159,0)</x:f>
        <x:v>0</x:v>
      </x:c>
      <x:c r="T159" s="8" t="n">
        <x:f>DATE(YEAR(C159),MONTH(C159),1)</x:f>
        <x:v>45931</x:v>
      </x:c>
    </x:row>
    <x:row r="160" ht="22" customHeight="1">
      <x:c r="A160" s="2" t="str">
        <x:v>L000156</x:v>
      </x:c>
      <x:c r="B160" s="2" t="str">
        <x:v>O00067</x:v>
      </x:c>
      <x:c r="C160" s="7" t="n">
        <x:v>45874</x:v>
      </x:c>
      <x:c r="D160" s="2" t="str">
        <x:v>Completed</x:v>
      </x:c>
      <x:c r="E160" s="2" t="str">
        <x:v>North</x:v>
      </x:c>
      <x:c r="F160" s="2" t="str">
        <x:v>Online</x:v>
      </x:c>
      <x:c r="G160" s="2" t="str">
        <x:v>Lighting</x:v>
      </x:c>
      <x:c r="H160" s="2" t="str">
        <x:v>Lamp 017</x:v>
      </x:c>
      <x:c r="I160" s="11" t="n">
        <x:v>5</x:v>
      </x:c>
      <x:c r="J160" s="9" t="n">
        <x:v>300</x:v>
      </x:c>
      <x:c r="K160" s="10" t="n">
        <x:v>0</x:v>
      </x:c>
      <x:c r="L160" s="11" t="n">
        <x:v>0</x:v>
      </x:c>
      <x:c r="M160" s="9" t="n">
        <x:f>IF(D160="Completed",I160*J160,0)</x:f>
        <x:v>1500</x:v>
      </x:c>
      <x:c r="N160" s="9" t="n">
        <x:f>M160*K160</x:f>
        <x:v>0</x:v>
      </x:c>
      <x:c r="O160" s="9" t="n">
        <x:f>M160-N160</x:f>
        <x:v>1500</x:v>
      </x:c>
      <x:c r="P160" s="9" t="n">
        <x:f>IF(D160="Completed",L160*J160*(1-K160),0)</x:f>
        <x:v>0</x:v>
      </x:c>
      <x:c r="Q160" s="9" t="n">
        <x:f>O160-P160</x:f>
        <x:v>1500</x:v>
      </x:c>
      <x:c r="R160" s="11" t="n">
        <x:f>IF(D160="Completed",I160,0)</x:f>
        <x:v>5</x:v>
      </x:c>
      <x:c r="S160" s="11" t="n">
        <x:f>IF(D160="Completed",L160,0)</x:f>
        <x:v>0</x:v>
      </x:c>
      <x:c r="T160" s="8" t="n">
        <x:f>DATE(YEAR(C160),MONTH(C160),1)</x:f>
        <x:v>45870</x:v>
      </x:c>
    </x:row>
    <x:row r="161" ht="22" customHeight="1">
      <x:c r="A161" s="2" t="str">
        <x:v>L000157</x:v>
      </x:c>
      <x:c r="B161" s="2" t="str">
        <x:v>O00067</x:v>
      </x:c>
      <x:c r="C161" s="7" t="n">
        <x:v>45874</x:v>
      </x:c>
      <x:c r="D161" s="2" t="str">
        <x:v>Completed</x:v>
      </x:c>
      <x:c r="E161" s="2" t="str">
        <x:v>North</x:v>
      </x:c>
      <x:c r="F161" s="2" t="str">
        <x:v>Online</x:v>
      </x:c>
      <x:c r="G161" s="2" t="str">
        <x:v>Storage</x:v>
      </x:c>
      <x:c r="H161" s="2" t="str">
        <x:v>Shelf 019</x:v>
      </x:c>
      <x:c r="I161" s="11" t="n">
        <x:v>4</x:v>
      </x:c>
      <x:c r="J161" s="9" t="n">
        <x:v>78</x:v>
      </x:c>
      <x:c r="K161" s="10" t="n">
        <x:v>0</x:v>
      </x:c>
      <x:c r="L161" s="11" t="n">
        <x:v>0</x:v>
      </x:c>
      <x:c r="M161" s="9" t="n">
        <x:f>IF(D161="Completed",I161*J161,0)</x:f>
        <x:v>312</x:v>
      </x:c>
      <x:c r="N161" s="9" t="n">
        <x:f>M161*K161</x:f>
        <x:v>0</x:v>
      </x:c>
      <x:c r="O161" s="9" t="n">
        <x:f>M161-N161</x:f>
        <x:v>312</x:v>
      </x:c>
      <x:c r="P161" s="9" t="n">
        <x:f>IF(D161="Completed",L161*J161*(1-K161),0)</x:f>
        <x:v>0</x:v>
      </x:c>
      <x:c r="Q161" s="9" t="n">
        <x:f>O161-P161</x:f>
        <x:v>312</x:v>
      </x:c>
      <x:c r="R161" s="11" t="n">
        <x:f>IF(D161="Completed",I161,0)</x:f>
        <x:v>4</x:v>
      </x:c>
      <x:c r="S161" s="11" t="n">
        <x:f>IF(D161="Completed",L161,0)</x:f>
        <x:v>0</x:v>
      </x:c>
      <x:c r="T161" s="8" t="n">
        <x:f>DATE(YEAR(C161),MONTH(C161),1)</x:f>
        <x:v>45870</x:v>
      </x:c>
    </x:row>
    <x:row r="162" ht="22" customHeight="1">
      <x:c r="A162" s="2" t="str">
        <x:v>L000158</x:v>
      </x:c>
      <x:c r="B162" s="2" t="str">
        <x:v>O00067</x:v>
      </x:c>
      <x:c r="C162" s="7" t="n">
        <x:v>45874</x:v>
      </x:c>
      <x:c r="D162" s="2" t="str">
        <x:v>Completed</x:v>
      </x:c>
      <x:c r="E162" s="2" t="str">
        <x:v>North</x:v>
      </x:c>
      <x:c r="F162" s="2" t="str">
        <x:v>Online</x:v>
      </x:c>
      <x:c r="G162" s="2" t="str">
        <x:v>Storage</x:v>
      </x:c>
      <x:c r="H162" s="2" t="str">
        <x:v>Shelf 011</x:v>
      </x:c>
      <x:c r="I162" s="11" t="n">
        <x:v>5</x:v>
      </x:c>
      <x:c r="J162" s="9" t="n">
        <x:v>80</x:v>
      </x:c>
      <x:c r="K162" s="10" t="n">
        <x:v>0.2</x:v>
      </x:c>
      <x:c r="L162" s="11" t="n">
        <x:v>2</x:v>
      </x:c>
      <x:c r="M162" s="9" t="n">
        <x:f>IF(D162="Completed",I162*J162,0)</x:f>
        <x:v>400</x:v>
      </x:c>
      <x:c r="N162" s="9" t="n">
        <x:f>M162*K162</x:f>
        <x:v>80</x:v>
      </x:c>
      <x:c r="O162" s="9" t="n">
        <x:f>M162-N162</x:f>
        <x:v>320</x:v>
      </x:c>
      <x:c r="P162" s="9" t="n">
        <x:f>IF(D162="Completed",L162*J162*(1-K162),0)</x:f>
        <x:v>128</x:v>
      </x:c>
      <x:c r="Q162" s="9" t="n">
        <x:f>O162-P162</x:f>
        <x:v>192</x:v>
      </x:c>
      <x:c r="R162" s="11" t="n">
        <x:f>IF(D162="Completed",I162,0)</x:f>
        <x:v>5</x:v>
      </x:c>
      <x:c r="S162" s="11" t="n">
        <x:f>IF(D162="Completed",L162,0)</x:f>
        <x:v>2</x:v>
      </x:c>
      <x:c r="T162" s="8" t="n">
        <x:f>DATE(YEAR(C162),MONTH(C162),1)</x:f>
        <x:v>45870</x:v>
      </x:c>
    </x:row>
    <x:row r="163" ht="22" customHeight="1">
      <x:c r="A163" s="2" t="str">
        <x:v>L000159</x:v>
      </x:c>
      <x:c r="B163" s="2" t="str">
        <x:v>O00067</x:v>
      </x:c>
      <x:c r="C163" s="7" t="n">
        <x:v>45874</x:v>
      </x:c>
      <x:c r="D163" s="2" t="str">
        <x:v>Completed</x:v>
      </x:c>
      <x:c r="E163" s="2" t="str">
        <x:v>North</x:v>
      </x:c>
      <x:c r="F163" s="2" t="str">
        <x:v>Online</x:v>
      </x:c>
      <x:c r="G163" s="2" t="str">
        <x:v>Furniture</x:v>
      </x:c>
      <x:c r="H163" s="2" t="str">
        <x:v>Desk 024</x:v>
      </x:c>
      <x:c r="I163" s="11" t="n">
        <x:v>1</x:v>
      </x:c>
      <x:c r="J163" s="9" t="n">
        <x:v>81</x:v>
      </x:c>
      <x:c r="K163" s="10" t="n">
        <x:v>0.2</x:v>
      </x:c>
      <x:c r="L163" s="11" t="n">
        <x:v>0</x:v>
      </x:c>
      <x:c r="M163" s="9" t="n">
        <x:f>IF(D163="Completed",I163*J163,0)</x:f>
        <x:v>81</x:v>
      </x:c>
      <x:c r="N163" s="9" t="n">
        <x:f>M163*K163</x:f>
        <x:v>16.2</x:v>
      </x:c>
      <x:c r="O163" s="9" t="n">
        <x:f>M163-N163</x:f>
        <x:v>64.8</x:v>
      </x:c>
      <x:c r="P163" s="9" t="n">
        <x:f>IF(D163="Completed",L163*J163*(1-K163),0)</x:f>
        <x:v>0</x:v>
      </x:c>
      <x:c r="Q163" s="9" t="n">
        <x:f>O163-P163</x:f>
        <x:v>64.8</x:v>
      </x:c>
      <x:c r="R163" s="11" t="n">
        <x:f>IF(D163="Completed",I163,0)</x:f>
        <x:v>1</x:v>
      </x:c>
      <x:c r="S163" s="11" t="n">
        <x:f>IF(D163="Completed",L163,0)</x:f>
        <x:v>0</x:v>
      </x:c>
      <x:c r="T163" s="8" t="n">
        <x:f>DATE(YEAR(C163),MONTH(C163),1)</x:f>
        <x:v>45870</x:v>
      </x:c>
    </x:row>
    <x:row r="164" ht="22" customHeight="1">
      <x:c r="A164" s="2" t="str">
        <x:v>L000160</x:v>
      </x:c>
      <x:c r="B164" s="2" t="str">
        <x:v>O00068</x:v>
      </x:c>
      <x:c r="C164" s="7" t="n">
        <x:v>45837</x:v>
      </x:c>
      <x:c r="D164" s="2" t="str">
        <x:v>Completed</x:v>
      </x:c>
      <x:c r="E164" s="2" t="str">
        <x:v>South</x:v>
      </x:c>
      <x:c r="F164" s="2" t="str">
        <x:v>Online</x:v>
      </x:c>
      <x:c r="G164" s="2" t="str">
        <x:v>Furniture</x:v>
      </x:c>
      <x:c r="H164" s="2" t="str">
        <x:v>Desk 004</x:v>
      </x:c>
      <x:c r="I164" s="11" t="n">
        <x:v>3</x:v>
      </x:c>
      <x:c r="J164" s="9" t="n">
        <x:v>123</x:v>
      </x:c>
      <x:c r="K164" s="10" t="n">
        <x:v>0.05</x:v>
      </x:c>
      <x:c r="L164" s="11" t="n">
        <x:v>0</x:v>
      </x:c>
      <x:c r="M164" s="9" t="n">
        <x:f>IF(D164="Completed",I164*J164,0)</x:f>
        <x:v>369</x:v>
      </x:c>
      <x:c r="N164" s="9" t="n">
        <x:f>M164*K164</x:f>
        <x:v>18.45</x:v>
      </x:c>
      <x:c r="O164" s="9" t="n">
        <x:f>M164-N164</x:f>
        <x:v>350.55</x:v>
      </x:c>
      <x:c r="P164" s="9" t="n">
        <x:f>IF(D164="Completed",L164*J164*(1-K164),0)</x:f>
        <x:v>0</x:v>
      </x:c>
      <x:c r="Q164" s="9" t="n">
        <x:f>O164-P164</x:f>
        <x:v>350.55</x:v>
      </x:c>
      <x:c r="R164" s="11" t="n">
        <x:f>IF(D164="Completed",I164,0)</x:f>
        <x:v>3</x:v>
      </x:c>
      <x:c r="S164" s="11" t="n">
        <x:f>IF(D164="Completed",L164,0)</x:f>
        <x:v>0</x:v>
      </x:c>
      <x:c r="T164" s="8" t="n">
        <x:f>DATE(YEAR(C164),MONTH(C164),1)</x:f>
        <x:v>45809</x:v>
      </x:c>
    </x:row>
    <x:row r="165" ht="22" customHeight="1">
      <x:c r="A165" s="2" t="str">
        <x:v>L000161</x:v>
      </x:c>
      <x:c r="B165" s="2" t="str">
        <x:v>O00068</x:v>
      </x:c>
      <x:c r="C165" s="7" t="n">
        <x:v>45837</x:v>
      </x:c>
      <x:c r="D165" s="2" t="str">
        <x:v>Completed</x:v>
      </x:c>
      <x:c r="E165" s="2" t="str">
        <x:v>South</x:v>
      </x:c>
      <x:c r="F165" s="2" t="str">
        <x:v>Online</x:v>
      </x:c>
      <x:c r="G165" s="2" t="str">
        <x:v>Storage</x:v>
      </x:c>
      <x:c r="H165" s="2" t="str">
        <x:v>Shelf 023</x:v>
      </x:c>
      <x:c r="I165" s="11" t="n">
        <x:v>3</x:v>
      </x:c>
      <x:c r="J165" s="9" t="n">
        <x:v>68</x:v>
      </x:c>
      <x:c r="K165" s="10" t="n">
        <x:v>0</x:v>
      </x:c>
      <x:c r="L165" s="11" t="n">
        <x:v>0</x:v>
      </x:c>
      <x:c r="M165" s="9" t="n">
        <x:f>IF(D165="Completed",I165*J165,0)</x:f>
        <x:v>204</x:v>
      </x:c>
      <x:c r="N165" s="9" t="n">
        <x:f>M165*K165</x:f>
        <x:v>0</x:v>
      </x:c>
      <x:c r="O165" s="9" t="n">
        <x:f>M165-N165</x:f>
        <x:v>204</x:v>
      </x:c>
      <x:c r="P165" s="9" t="n">
        <x:f>IF(D165="Completed",L165*J165*(1-K165),0)</x:f>
        <x:v>0</x:v>
      </x:c>
      <x:c r="Q165" s="9" t="n">
        <x:f>O165-P165</x:f>
        <x:v>204</x:v>
      </x:c>
      <x:c r="R165" s="11" t="n">
        <x:f>IF(D165="Completed",I165,0)</x:f>
        <x:v>3</x:v>
      </x:c>
      <x:c r="S165" s="11" t="n">
        <x:f>IF(D165="Completed",L165,0)</x:f>
        <x:v>0</x:v>
      </x:c>
      <x:c r="T165" s="8" t="n">
        <x:f>DATE(YEAR(C165),MONTH(C165),1)</x:f>
        <x:v>45809</x:v>
      </x:c>
    </x:row>
    <x:row r="166" ht="22" customHeight="1">
      <x:c r="A166" s="2" t="str">
        <x:v>L000162</x:v>
      </x:c>
      <x:c r="B166" s="2" t="str">
        <x:v>O00068</x:v>
      </x:c>
      <x:c r="C166" s="7" t="n">
        <x:v>45837</x:v>
      </x:c>
      <x:c r="D166" s="2" t="str">
        <x:v>Completed</x:v>
      </x:c>
      <x:c r="E166" s="2" t="str">
        <x:v>South</x:v>
      </x:c>
      <x:c r="F166" s="2" t="str">
        <x:v>Online</x:v>
      </x:c>
      <x:c r="G166" s="2" t="str">
        <x:v>Furniture</x:v>
      </x:c>
      <x:c r="H166" s="2" t="str">
        <x:v>Desk 012</x:v>
      </x:c>
      <x:c r="I166" s="11" t="n">
        <x:v>5</x:v>
      </x:c>
      <x:c r="J166" s="9" t="n">
        <x:v>134</x:v>
      </x:c>
      <x:c r="K166" s="10" t="n">
        <x:v>0.1</x:v>
      </x:c>
      <x:c r="L166" s="11" t="n">
        <x:v>0</x:v>
      </x:c>
      <x:c r="M166" s="9" t="n">
        <x:f>IF(D166="Completed",I166*J166,0)</x:f>
        <x:v>670</x:v>
      </x:c>
      <x:c r="N166" s="9" t="n">
        <x:f>M166*K166</x:f>
        <x:v>67</x:v>
      </x:c>
      <x:c r="O166" s="9" t="n">
        <x:f>M166-N166</x:f>
        <x:v>603</x:v>
      </x:c>
      <x:c r="P166" s="9" t="n">
        <x:f>IF(D166="Completed",L166*J166*(1-K166),0)</x:f>
        <x:v>0</x:v>
      </x:c>
      <x:c r="Q166" s="9" t="n">
        <x:f>O166-P166</x:f>
        <x:v>603</x:v>
      </x:c>
      <x:c r="R166" s="11" t="n">
        <x:f>IF(D166="Completed",I166,0)</x:f>
        <x:v>5</x:v>
      </x:c>
      <x:c r="S166" s="11" t="n">
        <x:f>IF(D166="Completed",L166,0)</x:f>
        <x:v>0</x:v>
      </x:c>
      <x:c r="T166" s="8" t="n">
        <x:f>DATE(YEAR(C166),MONTH(C166),1)</x:f>
        <x:v>45809</x:v>
      </x:c>
    </x:row>
    <x:row r="167" ht="22" customHeight="1">
      <x:c r="A167" s="2" t="str">
        <x:v>L000163</x:v>
      </x:c>
      <x:c r="B167" s="2" t="str">
        <x:v>O00069</x:v>
      </x:c>
      <x:c r="C167" s="7" t="n">
        <x:v>45992</x:v>
      </x:c>
      <x:c r="D167" s="2" t="str">
        <x:v>Completed</x:v>
      </x:c>
      <x:c r="E167" s="2" t="str">
        <x:v>North</x:v>
      </x:c>
      <x:c r="F167" s="2" t="str">
        <x:v>Store</x:v>
      </x:c>
      <x:c r="G167" s="2" t="str">
        <x:v>Lighting</x:v>
      </x:c>
      <x:c r="H167" s="2" t="str">
        <x:v>Lamp 009</x:v>
      </x:c>
      <x:c r="I167" s="11" t="n">
        <x:v>5</x:v>
      </x:c>
      <x:c r="J167" s="9" t="n">
        <x:v>93</x:v>
      </x:c>
      <x:c r="K167" s="10" t="n">
        <x:v>0.1</x:v>
      </x:c>
      <x:c r="L167" s="11" t="n">
        <x:v>0</x:v>
      </x:c>
      <x:c r="M167" s="9" t="n">
        <x:f>IF(D167="Completed",I167*J167,0)</x:f>
        <x:v>465</x:v>
      </x:c>
      <x:c r="N167" s="9" t="n">
        <x:f>M167*K167</x:f>
        <x:v>46.5</x:v>
      </x:c>
      <x:c r="O167" s="9" t="n">
        <x:f>M167-N167</x:f>
        <x:v>418.5</x:v>
      </x:c>
      <x:c r="P167" s="9" t="n">
        <x:f>IF(D167="Completed",L167*J167*(1-K167),0)</x:f>
        <x:v>0</x:v>
      </x:c>
      <x:c r="Q167" s="9" t="n">
        <x:f>O167-P167</x:f>
        <x:v>418.5</x:v>
      </x:c>
      <x:c r="R167" s="11" t="n">
        <x:f>IF(D167="Completed",I167,0)</x:f>
        <x:v>5</x:v>
      </x:c>
      <x:c r="S167" s="11" t="n">
        <x:f>IF(D167="Completed",L167,0)</x:f>
        <x:v>0</x:v>
      </x:c>
      <x:c r="T167" s="8" t="n">
        <x:f>DATE(YEAR(C167),MONTH(C167),1)</x:f>
        <x:v>45992</x:v>
      </x:c>
    </x:row>
    <x:row r="168" ht="22" customHeight="1">
      <x:c r="A168" s="2" t="str">
        <x:v>L000164</x:v>
      </x:c>
      <x:c r="B168" s="2" t="str">
        <x:v>O00069</x:v>
      </x:c>
      <x:c r="C168" s="7" t="n">
        <x:v>45992</x:v>
      </x:c>
      <x:c r="D168" s="2" t="str">
        <x:v>Completed</x:v>
      </x:c>
      <x:c r="E168" s="2" t="str">
        <x:v>North</x:v>
      </x:c>
      <x:c r="F168" s="2" t="str">
        <x:v>Store</x:v>
      </x:c>
      <x:c r="G168" s="2" t="str">
        <x:v>Furniture</x:v>
      </x:c>
      <x:c r="H168" s="2" t="str">
        <x:v>Desk 012</x:v>
      </x:c>
      <x:c r="I168" s="11" t="n">
        <x:v>3</x:v>
      </x:c>
      <x:c r="J168" s="9" t="n">
        <x:v>134</x:v>
      </x:c>
      <x:c r="K168" s="10" t="n">
        <x:v>0.1</x:v>
      </x:c>
      <x:c r="L168" s="11" t="n">
        <x:v>0</x:v>
      </x:c>
      <x:c r="M168" s="9" t="n">
        <x:f>IF(D168="Completed",I168*J168,0)</x:f>
        <x:v>402</x:v>
      </x:c>
      <x:c r="N168" s="9" t="n">
        <x:f>M168*K168</x:f>
        <x:v>40.2</x:v>
      </x:c>
      <x:c r="O168" s="9" t="n">
        <x:f>M168-N168</x:f>
        <x:v>361.8</x:v>
      </x:c>
      <x:c r="P168" s="9" t="n">
        <x:f>IF(D168="Completed",L168*J168*(1-K168),0)</x:f>
        <x:v>0</x:v>
      </x:c>
      <x:c r="Q168" s="9" t="n">
        <x:f>O168-P168</x:f>
        <x:v>361.8</x:v>
      </x:c>
      <x:c r="R168" s="11" t="n">
        <x:f>IF(D168="Completed",I168,0)</x:f>
        <x:v>3</x:v>
      </x:c>
      <x:c r="S168" s="11" t="n">
        <x:f>IF(D168="Completed",L168,0)</x:f>
        <x:v>0</x:v>
      </x:c>
      <x:c r="T168" s="8" t="n">
        <x:f>DATE(YEAR(C168),MONTH(C168),1)</x:f>
        <x:v>45992</x:v>
      </x:c>
    </x:row>
    <x:row r="169" ht="22" customHeight="1">
      <x:c r="A169" s="2" t="str">
        <x:v>L000165</x:v>
      </x:c>
      <x:c r="B169" s="2" t="str">
        <x:v>O00070</x:v>
      </x:c>
      <x:c r="C169" s="7" t="n">
        <x:v>45976</x:v>
      </x:c>
      <x:c r="D169" s="2" t="str">
        <x:v>Completed</x:v>
      </x:c>
      <x:c r="E169" s="2" t="str">
        <x:v>East</x:v>
      </x:c>
      <x:c r="F169" s="2" t="str">
        <x:v>Online</x:v>
      </x:c>
      <x:c r="G169" s="2" t="str">
        <x:v>Furniture</x:v>
      </x:c>
      <x:c r="H169" s="2" t="str">
        <x:v>Desk 024</x:v>
      </x:c>
      <x:c r="I169" s="11" t="n">
        <x:v>1</x:v>
      </x:c>
      <x:c r="J169" s="9" t="n">
        <x:v>81</x:v>
      </x:c>
      <x:c r="K169" s="10" t="n">
        <x:v>0.1</x:v>
      </x:c>
      <x:c r="L169" s="11" t="n">
        <x:v>1</x:v>
      </x:c>
      <x:c r="M169" s="9" t="n">
        <x:f>IF(D169="Completed",I169*J169,0)</x:f>
        <x:v>81</x:v>
      </x:c>
      <x:c r="N169" s="9" t="n">
        <x:f>M169*K169</x:f>
        <x:v>8.1</x:v>
      </x:c>
      <x:c r="O169" s="9" t="n">
        <x:f>M169-N169</x:f>
        <x:v>72.9</x:v>
      </x:c>
      <x:c r="P169" s="9" t="n">
        <x:f>IF(D169="Completed",L169*J169*(1-K169),0)</x:f>
        <x:v>72.9</x:v>
      </x:c>
      <x:c r="Q169" s="9" t="n">
        <x:f>O169-P169</x:f>
        <x:v>0</x:v>
      </x:c>
      <x:c r="R169" s="11" t="n">
        <x:f>IF(D169="Completed",I169,0)</x:f>
        <x:v>1</x:v>
      </x:c>
      <x:c r="S169" s="11" t="n">
        <x:f>IF(D169="Completed",L169,0)</x:f>
        <x:v>1</x:v>
      </x:c>
      <x:c r="T169" s="8" t="n">
        <x:f>DATE(YEAR(C169),MONTH(C169),1)</x:f>
        <x:v>45962</x:v>
      </x:c>
    </x:row>
    <x:row r="170" ht="22" customHeight="1">
      <x:c r="A170" s="2" t="str">
        <x:v>L000166</x:v>
      </x:c>
      <x:c r="B170" s="2" t="str">
        <x:v>O00070</x:v>
      </x:c>
      <x:c r="C170" s="7" t="n">
        <x:v>45976</x:v>
      </x:c>
      <x:c r="D170" s="2" t="str">
        <x:v>Completed</x:v>
      </x:c>
      <x:c r="E170" s="2" t="str">
        <x:v>East</x:v>
      </x:c>
      <x:c r="F170" s="2" t="str">
        <x:v>Online</x:v>
      </x:c>
      <x:c r="G170" s="2" t="str">
        <x:v>Furniture</x:v>
      </x:c>
      <x:c r="H170" s="2" t="str">
        <x:v>Chair 010</x:v>
      </x:c>
      <x:c r="I170" s="11" t="n">
        <x:v>2</x:v>
      </x:c>
      <x:c r="J170" s="9" t="n">
        <x:v>211</x:v>
      </x:c>
      <x:c r="K170" s="10" t="n">
        <x:v>0.1</x:v>
      </x:c>
      <x:c r="L170" s="11" t="n">
        <x:v>2</x:v>
      </x:c>
      <x:c r="M170" s="9" t="n">
        <x:f>IF(D170="Completed",I170*J170,0)</x:f>
        <x:v>422</x:v>
      </x:c>
      <x:c r="N170" s="9" t="n">
        <x:f>M170*K170</x:f>
        <x:v>42.2</x:v>
      </x:c>
      <x:c r="O170" s="9" t="n">
        <x:f>M170-N170</x:f>
        <x:v>379.8</x:v>
      </x:c>
      <x:c r="P170" s="9" t="n">
        <x:f>IF(D170="Completed",L170*J170*(1-K170),0)</x:f>
        <x:v>379.8</x:v>
      </x:c>
      <x:c r="Q170" s="9" t="n">
        <x:f>O170-P170</x:f>
        <x:v>0</x:v>
      </x:c>
      <x:c r="R170" s="11" t="n">
        <x:f>IF(D170="Completed",I170,0)</x:f>
        <x:v>2</x:v>
      </x:c>
      <x:c r="S170" s="11" t="n">
        <x:f>IF(D170="Completed",L170,0)</x:f>
        <x:v>2</x:v>
      </x:c>
      <x:c r="T170" s="8" t="n">
        <x:f>DATE(YEAR(C170),MONTH(C170),1)</x:f>
        <x:v>45962</x:v>
      </x:c>
    </x:row>
    <x:row r="171" ht="22" customHeight="1">
      <x:c r="A171" s="2" t="str">
        <x:v>L000167</x:v>
      </x:c>
      <x:c r="B171" s="2" t="str">
        <x:v>O00070</x:v>
      </x:c>
      <x:c r="C171" s="7" t="n">
        <x:v>45976</x:v>
      </x:c>
      <x:c r="D171" s="2" t="str">
        <x:v>Completed</x:v>
      </x:c>
      <x:c r="E171" s="2" t="str">
        <x:v>East</x:v>
      </x:c>
      <x:c r="F171" s="2" t="str">
        <x:v>Online</x:v>
      </x:c>
      <x:c r="G171" s="2" t="str">
        <x:v>Furniture</x:v>
      </x:c>
      <x:c r="H171" s="2" t="str">
        <x:v>Chair 002</x:v>
      </x:c>
      <x:c r="I171" s="11" t="n">
        <x:v>5</x:v>
      </x:c>
      <x:c r="J171" s="9" t="n">
        <x:v>284</x:v>
      </x:c>
      <x:c r="K171" s="10" t="n">
        <x:v>0.2</x:v>
      </x:c>
      <x:c r="L171" s="11" t="n">
        <x:v>0</x:v>
      </x:c>
      <x:c r="M171" s="9" t="n">
        <x:f>IF(D171="Completed",I171*J171,0)</x:f>
        <x:v>1420</x:v>
      </x:c>
      <x:c r="N171" s="9" t="n">
        <x:f>M171*K171</x:f>
        <x:v>284</x:v>
      </x:c>
      <x:c r="O171" s="9" t="n">
        <x:f>M171-N171</x:f>
        <x:v>1136</x:v>
      </x:c>
      <x:c r="P171" s="9" t="n">
        <x:f>IF(D171="Completed",L171*J171*(1-K171),0)</x:f>
        <x:v>0</x:v>
      </x:c>
      <x:c r="Q171" s="9" t="n">
        <x:f>O171-P171</x:f>
        <x:v>1136</x:v>
      </x:c>
      <x:c r="R171" s="11" t="n">
        <x:f>IF(D171="Completed",I171,0)</x:f>
        <x:v>5</x:v>
      </x:c>
      <x:c r="S171" s="11" t="n">
        <x:f>IF(D171="Completed",L171,0)</x:f>
        <x:v>0</x:v>
      </x:c>
      <x:c r="T171" s="8" t="n">
        <x:f>DATE(YEAR(C171),MONTH(C171),1)</x:f>
        <x:v>45962</x:v>
      </x:c>
    </x:row>
    <x:row r="172" ht="22" customHeight="1">
      <x:c r="A172" s="2" t="str">
        <x:v>L000168</x:v>
      </x:c>
      <x:c r="B172" s="2" t="str">
        <x:v>O00071</x:v>
      </x:c>
      <x:c r="C172" s="7" t="n">
        <x:v>45704</x:v>
      </x:c>
      <x:c r="D172" s="2" t="str">
        <x:v>Completed</x:v>
      </x:c>
      <x:c r="E172" s="2" t="str">
        <x:v>West</x:v>
      </x:c>
      <x:c r="F172" s="2" t="str">
        <x:v>Store</x:v>
      </x:c>
      <x:c r="G172" s="2" t="str">
        <x:v>Furniture</x:v>
      </x:c>
      <x:c r="H172" s="2" t="str">
        <x:v>Desk 004</x:v>
      </x:c>
      <x:c r="I172" s="11" t="n">
        <x:v>5</x:v>
      </x:c>
      <x:c r="J172" s="9" t="n">
        <x:v>123</x:v>
      </x:c>
      <x:c r="K172" s="10" t="n">
        <x:v>0</x:v>
      </x:c>
      <x:c r="L172" s="11" t="n">
        <x:v>0</x:v>
      </x:c>
      <x:c r="M172" s="9" t="n">
        <x:f>IF(D172="Completed",I172*J172,0)</x:f>
        <x:v>615</x:v>
      </x:c>
      <x:c r="N172" s="9" t="n">
        <x:f>M172*K172</x:f>
        <x:v>0</x:v>
      </x:c>
      <x:c r="O172" s="9" t="n">
        <x:f>M172-N172</x:f>
        <x:v>615</x:v>
      </x:c>
      <x:c r="P172" s="9" t="n">
        <x:f>IF(D172="Completed",L172*J172*(1-K172),0)</x:f>
        <x:v>0</x:v>
      </x:c>
      <x:c r="Q172" s="9" t="n">
        <x:f>O172-P172</x:f>
        <x:v>615</x:v>
      </x:c>
      <x:c r="R172" s="11" t="n">
        <x:f>IF(D172="Completed",I172,0)</x:f>
        <x:v>5</x:v>
      </x:c>
      <x:c r="S172" s="11" t="n">
        <x:f>IF(D172="Completed",L172,0)</x:f>
        <x:v>0</x:v>
      </x:c>
      <x:c r="T172" s="8" t="n">
        <x:f>DATE(YEAR(C172),MONTH(C172),1)</x:f>
        <x:v>45689</x:v>
      </x:c>
    </x:row>
    <x:row r="173" ht="22" customHeight="1">
      <x:c r="A173" s="2" t="str">
        <x:v>L000169</x:v>
      </x:c>
      <x:c r="B173" s="2" t="str">
        <x:v>O00072</x:v>
      </x:c>
      <x:c r="C173" s="7" t="n">
        <x:v>45658</x:v>
      </x:c>
      <x:c r="D173" s="2" t="str">
        <x:v>Cancelled</x:v>
      </x:c>
      <x:c r="E173" s="2" t="str">
        <x:v>East</x:v>
      </x:c>
      <x:c r="F173" s="2" t="str">
        <x:v>Store</x:v>
      </x:c>
      <x:c r="G173" s="2" t="str">
        <x:v>Lighting</x:v>
      </x:c>
      <x:c r="H173" s="2" t="str">
        <x:v>Lamp 013</x:v>
      </x:c>
      <x:c r="I173" s="11" t="n">
        <x:v>5</x:v>
      </x:c>
      <x:c r="J173" s="9" t="n">
        <x:v>271</x:v>
      </x:c>
      <x:c r="K173" s="10" t="n">
        <x:v>0.2</x:v>
      </x:c>
      <x:c r="L173" s="11" t="n">
        <x:v>0</x:v>
      </x:c>
      <x:c r="M173" s="9" t="n">
        <x:f>IF(D173="Completed",I173*J173,0)</x:f>
        <x:v>0</x:v>
      </x:c>
      <x:c r="N173" s="9" t="n">
        <x:f>M173*K173</x:f>
        <x:v>0</x:v>
      </x:c>
      <x:c r="O173" s="9" t="n">
        <x:f>M173-N173</x:f>
        <x:v>0</x:v>
      </x:c>
      <x:c r="P173" s="9" t="n">
        <x:f>IF(D173="Completed",L173*J173*(1-K173),0)</x:f>
        <x:v>0</x:v>
      </x:c>
      <x:c r="Q173" s="9" t="n">
        <x:f>O173-P173</x:f>
        <x:v>0</x:v>
      </x:c>
      <x:c r="R173" s="11" t="n">
        <x:f>IF(D173="Completed",I173,0)</x:f>
        <x:v>0</x:v>
      </x:c>
      <x:c r="S173" s="11" t="n">
        <x:f>IF(D173="Completed",L173,0)</x:f>
        <x:v>0</x:v>
      </x:c>
      <x:c r="T173" s="8" t="n">
        <x:f>DATE(YEAR(C173),MONTH(C173),1)</x:f>
        <x:v>45658</x:v>
      </x:c>
    </x:row>
    <x:row r="174" ht="22" customHeight="1">
      <x:c r="A174" s="2" t="str">
        <x:v>L000170</x:v>
      </x:c>
      <x:c r="B174" s="2" t="str">
        <x:v>O00072</x:v>
      </x:c>
      <x:c r="C174" s="7" t="n">
        <x:v>45658</x:v>
      </x:c>
      <x:c r="D174" s="2" t="str">
        <x:v>Cancelled</x:v>
      </x:c>
      <x:c r="E174" s="2" t="str">
        <x:v>East</x:v>
      </x:c>
      <x:c r="F174" s="2" t="str">
        <x:v>Store</x:v>
      </x:c>
      <x:c r="G174" s="2" t="str">
        <x:v>Lighting</x:v>
      </x:c>
      <x:c r="H174" s="2" t="str">
        <x:v>Lamp 009</x:v>
      </x:c>
      <x:c r="I174" s="11" t="n">
        <x:v>1</x:v>
      </x:c>
      <x:c r="J174" s="9" t="n">
        <x:v>93</x:v>
      </x:c>
      <x:c r="K174" s="10" t="n">
        <x:v>0.1</x:v>
      </x:c>
      <x:c r="L174" s="11" t="n">
        <x:v>0</x:v>
      </x:c>
      <x:c r="M174" s="9" t="n">
        <x:f>IF(D174="Completed",I174*J174,0)</x:f>
        <x:v>0</x:v>
      </x:c>
      <x:c r="N174" s="9" t="n">
        <x:f>M174*K174</x:f>
        <x:v>0</x:v>
      </x:c>
      <x:c r="O174" s="9" t="n">
        <x:f>M174-N174</x:f>
        <x:v>0</x:v>
      </x:c>
      <x:c r="P174" s="9" t="n">
        <x:f>IF(D174="Completed",L174*J174*(1-K174),0)</x:f>
        <x:v>0</x:v>
      </x:c>
      <x:c r="Q174" s="9" t="n">
        <x:f>O174-P174</x:f>
        <x:v>0</x:v>
      </x:c>
      <x:c r="R174" s="11" t="n">
        <x:f>IF(D174="Completed",I174,0)</x:f>
        <x:v>0</x:v>
      </x:c>
      <x:c r="S174" s="11" t="n">
        <x:f>IF(D174="Completed",L174,0)</x:f>
        <x:v>0</x:v>
      </x:c>
      <x:c r="T174" s="8" t="n">
        <x:f>DATE(YEAR(C174),MONTH(C174),1)</x:f>
        <x:v>45658</x:v>
      </x:c>
    </x:row>
    <x:row r="175" ht="22" customHeight="1">
      <x:c r="A175" s="2" t="str">
        <x:v>L000171</x:v>
      </x:c>
      <x:c r="B175" s="2" t="str">
        <x:v>O00073</x:v>
      </x:c>
      <x:c r="C175" s="7" t="n">
        <x:v>45995</x:v>
      </x:c>
      <x:c r="D175" s="2" t="str">
        <x:v>Cancelled</x:v>
      </x:c>
      <x:c r="E175" s="2" t="str">
        <x:v>West</x:v>
      </x:c>
      <x:c r="F175" s="2" t="str">
        <x:v>Online</x:v>
      </x:c>
      <x:c r="G175" s="2" t="str">
        <x:v>Furniture</x:v>
      </x:c>
      <x:c r="H175" s="2" t="str">
        <x:v>Desk 008</x:v>
      </x:c>
      <x:c r="I175" s="11" t="n">
        <x:v>4</x:v>
      </x:c>
      <x:c r="J175" s="9" t="n">
        <x:v>188</x:v>
      </x:c>
      <x:c r="K175" s="10" t="n">
        <x:v>0</x:v>
      </x:c>
      <x:c r="L175" s="11" t="n">
        <x:v>0</x:v>
      </x:c>
      <x:c r="M175" s="9" t="n">
        <x:f>IF(D175="Completed",I175*J175,0)</x:f>
        <x:v>0</x:v>
      </x:c>
      <x:c r="N175" s="9" t="n">
        <x:f>M175*K175</x:f>
        <x:v>0</x:v>
      </x:c>
      <x:c r="O175" s="9" t="n">
        <x:f>M175-N175</x:f>
        <x:v>0</x:v>
      </x:c>
      <x:c r="P175" s="9" t="n">
        <x:f>IF(D175="Completed",L175*J175*(1-K175),0)</x:f>
        <x:v>0</x:v>
      </x:c>
      <x:c r="Q175" s="9" t="n">
        <x:f>O175-P175</x:f>
        <x:v>0</x:v>
      </x:c>
      <x:c r="R175" s="11" t="n">
        <x:f>IF(D175="Completed",I175,0)</x:f>
        <x:v>0</x:v>
      </x:c>
      <x:c r="S175" s="11" t="n">
        <x:f>IF(D175="Completed",L175,0)</x:f>
        <x:v>0</x:v>
      </x:c>
      <x:c r="T175" s="8" t="n">
        <x:f>DATE(YEAR(C175),MONTH(C175),1)</x:f>
        <x:v>45992</x:v>
      </x:c>
    </x:row>
    <x:row r="176" ht="22" customHeight="1">
      <x:c r="A176" s="2" t="str">
        <x:v>L000172</x:v>
      </x:c>
      <x:c r="B176" s="2" t="str">
        <x:v>O00073</x:v>
      </x:c>
      <x:c r="C176" s="7" t="n">
        <x:v>45995</x:v>
      </x:c>
      <x:c r="D176" s="2" t="str">
        <x:v>Cancelled</x:v>
      </x:c>
      <x:c r="E176" s="2" t="str">
        <x:v>West</x:v>
      </x:c>
      <x:c r="F176" s="2" t="str">
        <x:v>Online</x:v>
      </x:c>
      <x:c r="G176" s="2" t="str">
        <x:v>Storage</x:v>
      </x:c>
      <x:c r="H176" s="2" t="str">
        <x:v>Shelf 003</x:v>
      </x:c>
      <x:c r="I176" s="11" t="n">
        <x:v>3</x:v>
      </x:c>
      <x:c r="J176" s="9" t="n">
        <x:v>199</x:v>
      </x:c>
      <x:c r="K176" s="10" t="n">
        <x:v>0.05</x:v>
      </x:c>
      <x:c r="L176" s="11" t="n">
        <x:v>0</x:v>
      </x:c>
      <x:c r="M176" s="9" t="n">
        <x:f>IF(D176="Completed",I176*J176,0)</x:f>
        <x:v>0</x:v>
      </x:c>
      <x:c r="N176" s="9" t="n">
        <x:f>M176*K176</x:f>
        <x:v>0</x:v>
      </x:c>
      <x:c r="O176" s="9" t="n">
        <x:f>M176-N176</x:f>
        <x:v>0</x:v>
      </x:c>
      <x:c r="P176" s="9" t="n">
        <x:f>IF(D176="Completed",L176*J176*(1-K176),0)</x:f>
        <x:v>0</x:v>
      </x:c>
      <x:c r="Q176" s="9" t="n">
        <x:f>O176-P176</x:f>
        <x:v>0</x:v>
      </x:c>
      <x:c r="R176" s="11" t="n">
        <x:f>IF(D176="Completed",I176,0)</x:f>
        <x:v>0</x:v>
      </x:c>
      <x:c r="S176" s="11" t="n">
        <x:f>IF(D176="Completed",L176,0)</x:f>
        <x:v>0</x:v>
      </x:c>
      <x:c r="T176" s="8" t="n">
        <x:f>DATE(YEAR(C176),MONTH(C176),1)</x:f>
        <x:v>45992</x:v>
      </x:c>
    </x:row>
    <x:row r="177" ht="22" customHeight="1">
      <x:c r="A177" s="2" t="str">
        <x:v>L000173</x:v>
      </x:c>
      <x:c r="B177" s="2" t="str">
        <x:v>O00074</x:v>
      </x:c>
      <x:c r="C177" s="7" t="n">
        <x:v>45953</x:v>
      </x:c>
      <x:c r="D177" s="2" t="str">
        <x:v>Completed</x:v>
      </x:c>
      <x:c r="E177" s="2" t="str">
        <x:v>South</x:v>
      </x:c>
      <x:c r="F177" s="2" t="str">
        <x:v>Store</x:v>
      </x:c>
      <x:c r="G177" s="2" t="str">
        <x:v>Storage</x:v>
      </x:c>
      <x:c r="H177" s="2" t="str">
        <x:v>Shelf 019</x:v>
      </x:c>
      <x:c r="I177" s="11" t="n">
        <x:v>2</x:v>
      </x:c>
      <x:c r="J177" s="9" t="n">
        <x:v>78</x:v>
      </x:c>
      <x:c r="K177" s="10" t="n">
        <x:v>0.1</x:v>
      </x:c>
      <x:c r="L177" s="11" t="n">
        <x:v>0</x:v>
      </x:c>
      <x:c r="M177" s="9" t="n">
        <x:f>IF(D177="Completed",I177*J177,0)</x:f>
        <x:v>156</x:v>
      </x:c>
      <x:c r="N177" s="9" t="n">
        <x:f>M177*K177</x:f>
        <x:v>15.600000000000001</x:v>
      </x:c>
      <x:c r="O177" s="9" t="n">
        <x:f>M177-N177</x:f>
        <x:v>140.4</x:v>
      </x:c>
      <x:c r="P177" s="9" t="n">
        <x:f>IF(D177="Completed",L177*J177*(1-K177),0)</x:f>
        <x:v>0</x:v>
      </x:c>
      <x:c r="Q177" s="9" t="n">
        <x:f>O177-P177</x:f>
        <x:v>140.4</x:v>
      </x:c>
      <x:c r="R177" s="11" t="n">
        <x:f>IF(D177="Completed",I177,0)</x:f>
        <x:v>2</x:v>
      </x:c>
      <x:c r="S177" s="11" t="n">
        <x:f>IF(D177="Completed",L177,0)</x:f>
        <x:v>0</x:v>
      </x:c>
      <x:c r="T177" s="8" t="n">
        <x:f>DATE(YEAR(C177),MONTH(C177),1)</x:f>
        <x:v>45931</x:v>
      </x:c>
    </x:row>
    <x:row r="178" ht="22" customHeight="1">
      <x:c r="A178" s="2" t="str">
        <x:v>L000174</x:v>
      </x:c>
      <x:c r="B178" s="2" t="str">
        <x:v>O00074</x:v>
      </x:c>
      <x:c r="C178" s="7" t="n">
        <x:v>45953</x:v>
      </x:c>
      <x:c r="D178" s="2" t="str">
        <x:v>Completed</x:v>
      </x:c>
      <x:c r="E178" s="2" t="str">
        <x:v>South</x:v>
      </x:c>
      <x:c r="F178" s="2" t="str">
        <x:v>Store</x:v>
      </x:c>
      <x:c r="G178" s="2" t="str">
        <x:v>Furniture</x:v>
      </x:c>
      <x:c r="H178" s="2" t="str">
        <x:v>Desk 008</x:v>
      </x:c>
      <x:c r="I178" s="11" t="n">
        <x:v>2</x:v>
      </x:c>
      <x:c r="J178" s="9" t="n">
        <x:v>188</x:v>
      </x:c>
      <x:c r="K178" s="10" t="n">
        <x:v>0.1</x:v>
      </x:c>
      <x:c r="L178" s="11" t="n">
        <x:v>0</x:v>
      </x:c>
      <x:c r="M178" s="9" t="n">
        <x:f>IF(D178="Completed",I178*J178,0)</x:f>
        <x:v>376</x:v>
      </x:c>
      <x:c r="N178" s="9" t="n">
        <x:f>M178*K178</x:f>
        <x:v>37.6</x:v>
      </x:c>
      <x:c r="O178" s="9" t="n">
        <x:f>M178-N178</x:f>
        <x:v>338.4</x:v>
      </x:c>
      <x:c r="P178" s="9" t="n">
        <x:f>IF(D178="Completed",L178*J178*(1-K178),0)</x:f>
        <x:v>0</x:v>
      </x:c>
      <x:c r="Q178" s="9" t="n">
        <x:f>O178-P178</x:f>
        <x:v>338.4</x:v>
      </x:c>
      <x:c r="R178" s="11" t="n">
        <x:f>IF(D178="Completed",I178,0)</x:f>
        <x:v>2</x:v>
      </x:c>
      <x:c r="S178" s="11" t="n">
        <x:f>IF(D178="Completed",L178,0)</x:f>
        <x:v>0</x:v>
      </x:c>
      <x:c r="T178" s="8" t="n">
        <x:f>DATE(YEAR(C178),MONTH(C178),1)</x:f>
        <x:v>45931</x:v>
      </x:c>
    </x:row>
    <x:row r="179" ht="22" customHeight="1">
      <x:c r="A179" s="2" t="str">
        <x:v>L000175</x:v>
      </x:c>
      <x:c r="B179" s="2" t="str">
        <x:v>O00074</x:v>
      </x:c>
      <x:c r="C179" s="7" t="n">
        <x:v>45953</x:v>
      </x:c>
      <x:c r="D179" s="2" t="str">
        <x:v>Completed</x:v>
      </x:c>
      <x:c r="E179" s="2" t="str">
        <x:v>South</x:v>
      </x:c>
      <x:c r="F179" s="2" t="str">
        <x:v>Store</x:v>
      </x:c>
      <x:c r="G179" s="2" t="str">
        <x:v>Furniture</x:v>
      </x:c>
      <x:c r="H179" s="2" t="str">
        <x:v>Desk 020</x:v>
      </x:c>
      <x:c r="I179" s="11" t="n">
        <x:v>3</x:v>
      </x:c>
      <x:c r="J179" s="9" t="n">
        <x:v>189</x:v>
      </x:c>
      <x:c r="K179" s="10" t="n">
        <x:v>0.1</x:v>
      </x:c>
      <x:c r="L179" s="11" t="n">
        <x:v>0</x:v>
      </x:c>
      <x:c r="M179" s="9" t="n">
        <x:f>IF(D179="Completed",I179*J179,0)</x:f>
        <x:v>567</x:v>
      </x:c>
      <x:c r="N179" s="9" t="n">
        <x:f>M179*K179</x:f>
        <x:v>56.7</x:v>
      </x:c>
      <x:c r="O179" s="9" t="n">
        <x:f>M179-N179</x:f>
        <x:v>510.3</x:v>
      </x:c>
      <x:c r="P179" s="9" t="n">
        <x:f>IF(D179="Completed",L179*J179*(1-K179),0)</x:f>
        <x:v>0</x:v>
      </x:c>
      <x:c r="Q179" s="9" t="n">
        <x:f>O179-P179</x:f>
        <x:v>510.3</x:v>
      </x:c>
      <x:c r="R179" s="11" t="n">
        <x:f>IF(D179="Completed",I179,0)</x:f>
        <x:v>3</x:v>
      </x:c>
      <x:c r="S179" s="11" t="n">
        <x:f>IF(D179="Completed",L179,0)</x:f>
        <x:v>0</x:v>
      </x:c>
      <x:c r="T179" s="8" t="n">
        <x:f>DATE(YEAR(C179),MONTH(C179),1)</x:f>
        <x:v>45931</x:v>
      </x:c>
    </x:row>
    <x:row r="180" ht="22" customHeight="1">
      <x:c r="A180" s="2" t="str">
        <x:v>L000176</x:v>
      </x:c>
      <x:c r="B180" s="2" t="str">
        <x:v>O00075</x:v>
      </x:c>
      <x:c r="C180" s="7" t="n">
        <x:v>45967</x:v>
      </x:c>
      <x:c r="D180" s="2" t="str">
        <x:v>Completed</x:v>
      </x:c>
      <x:c r="E180" s="2" t="str">
        <x:v>North</x:v>
      </x:c>
      <x:c r="F180" s="2" t="str">
        <x:v>Store</x:v>
      </x:c>
      <x:c r="G180" s="2" t="str">
        <x:v>Lighting</x:v>
      </x:c>
      <x:c r="H180" s="2" t="str">
        <x:v>Lamp 001</x:v>
      </x:c>
      <x:c r="I180" s="11" t="n">
        <x:v>2</x:v>
      </x:c>
      <x:c r="J180" s="9" t="n">
        <x:v>122</x:v>
      </x:c>
      <x:c r="K180" s="10" t="n">
        <x:v>0.2</x:v>
      </x:c>
      <x:c r="L180" s="11" t="n">
        <x:v>0</x:v>
      </x:c>
      <x:c r="M180" s="9" t="n">
        <x:f>IF(D180="Completed",I180*J180,0)</x:f>
        <x:v>244</x:v>
      </x:c>
      <x:c r="N180" s="9" t="n">
        <x:f>M180*K180</x:f>
        <x:v>48.800000000000004</x:v>
      </x:c>
      <x:c r="O180" s="9" t="n">
        <x:f>M180-N180</x:f>
        <x:v>195.2</x:v>
      </x:c>
      <x:c r="P180" s="9" t="n">
        <x:f>IF(D180="Completed",L180*J180*(1-K180),0)</x:f>
        <x:v>0</x:v>
      </x:c>
      <x:c r="Q180" s="9" t="n">
        <x:f>O180-P180</x:f>
        <x:v>195.2</x:v>
      </x:c>
      <x:c r="R180" s="11" t="n">
        <x:f>IF(D180="Completed",I180,0)</x:f>
        <x:v>2</x:v>
      </x:c>
      <x:c r="S180" s="11" t="n">
        <x:f>IF(D180="Completed",L180,0)</x:f>
        <x:v>0</x:v>
      </x:c>
      <x:c r="T180" s="8" t="n">
        <x:f>DATE(YEAR(C180),MONTH(C180),1)</x:f>
        <x:v>45962</x:v>
      </x:c>
    </x:row>
    <x:row r="181" ht="22" customHeight="1">
      <x:c r="A181" s="2" t="str">
        <x:v>L000177</x:v>
      </x:c>
      <x:c r="B181" s="2" t="str">
        <x:v>O00075</x:v>
      </x:c>
      <x:c r="C181" s="7" t="n">
        <x:v>45967</x:v>
      </x:c>
      <x:c r="D181" s="2" t="str">
        <x:v>Completed</x:v>
      </x:c>
      <x:c r="E181" s="2" t="str">
        <x:v>North</x:v>
      </x:c>
      <x:c r="F181" s="2" t="str">
        <x:v>Store</x:v>
      </x:c>
      <x:c r="G181" s="2" t="str">
        <x:v>Lighting</x:v>
      </x:c>
      <x:c r="H181" s="2" t="str">
        <x:v>Lamp 009</x:v>
      </x:c>
      <x:c r="I181" s="11" t="n">
        <x:v>4</x:v>
      </x:c>
      <x:c r="J181" s="9" t="n">
        <x:v>93</x:v>
      </x:c>
      <x:c r="K181" s="10" t="n">
        <x:v>0.05</x:v>
      </x:c>
      <x:c r="L181" s="11" t="n">
        <x:v>0</x:v>
      </x:c>
      <x:c r="M181" s="9" t="n">
        <x:f>IF(D181="Completed",I181*J181,0)</x:f>
        <x:v>372</x:v>
      </x:c>
      <x:c r="N181" s="9" t="n">
        <x:f>M181*K181</x:f>
        <x:v>18.6</x:v>
      </x:c>
      <x:c r="O181" s="9" t="n">
        <x:f>M181-N181</x:f>
        <x:v>353.4</x:v>
      </x:c>
      <x:c r="P181" s="9" t="n">
        <x:f>IF(D181="Completed",L181*J181*(1-K181),0)</x:f>
        <x:v>0</x:v>
      </x:c>
      <x:c r="Q181" s="9" t="n">
        <x:f>O181-P181</x:f>
        <x:v>353.4</x:v>
      </x:c>
      <x:c r="R181" s="11" t="n">
        <x:f>IF(D181="Completed",I181,0)</x:f>
        <x:v>4</x:v>
      </x:c>
      <x:c r="S181" s="11" t="n">
        <x:f>IF(D181="Completed",L181,0)</x:f>
        <x:v>0</x:v>
      </x:c>
      <x:c r="T181" s="8" t="n">
        <x:f>DATE(YEAR(C181),MONTH(C181),1)</x:f>
        <x:v>45962</x:v>
      </x:c>
    </x:row>
    <x:row r="182" ht="22" customHeight="1">
      <x:c r="A182" s="2" t="str">
        <x:v>L000178</x:v>
      </x:c>
      <x:c r="B182" s="2" t="str">
        <x:v>O00075</x:v>
      </x:c>
      <x:c r="C182" s="7" t="n">
        <x:v>45967</x:v>
      </x:c>
      <x:c r="D182" s="2" t="str">
        <x:v>Completed</x:v>
      </x:c>
      <x:c r="E182" s="2" t="str">
        <x:v>North</x:v>
      </x:c>
      <x:c r="F182" s="2" t="str">
        <x:v>Store</x:v>
      </x:c>
      <x:c r="G182" s="2" t="str">
        <x:v>Lighting</x:v>
      </x:c>
      <x:c r="H182" s="2" t="str">
        <x:v>Lamp 017</x:v>
      </x:c>
      <x:c r="I182" s="11" t="n">
        <x:v>1</x:v>
      </x:c>
      <x:c r="J182" s="9" t="n">
        <x:v>300</x:v>
      </x:c>
      <x:c r="K182" s="10" t="n">
        <x:v>0.1</x:v>
      </x:c>
      <x:c r="L182" s="11" t="n">
        <x:v>0</x:v>
      </x:c>
      <x:c r="M182" s="9" t="n">
        <x:f>IF(D182="Completed",I182*J182,0)</x:f>
        <x:v>300</x:v>
      </x:c>
      <x:c r="N182" s="9" t="n">
        <x:f>M182*K182</x:f>
        <x:v>30</x:v>
      </x:c>
      <x:c r="O182" s="9" t="n">
        <x:f>M182-N182</x:f>
        <x:v>270</x:v>
      </x:c>
      <x:c r="P182" s="9" t="n">
        <x:f>IF(D182="Completed",L182*J182*(1-K182),0)</x:f>
        <x:v>0</x:v>
      </x:c>
      <x:c r="Q182" s="9" t="n">
        <x:f>O182-P182</x:f>
        <x:v>270</x:v>
      </x:c>
      <x:c r="R182" s="11" t="n">
        <x:f>IF(D182="Completed",I182,0)</x:f>
        <x:v>1</x:v>
      </x:c>
      <x:c r="S182" s="11" t="n">
        <x:f>IF(D182="Completed",L182,0)</x:f>
        <x:v>0</x:v>
      </x:c>
      <x:c r="T182" s="8" t="n">
        <x:f>DATE(YEAR(C182),MONTH(C182),1)</x:f>
        <x:v>45962</x:v>
      </x:c>
    </x:row>
    <x:row r="183" ht="22" customHeight="1">
      <x:c r="A183" s="2" t="str">
        <x:v>L000179</x:v>
      </x:c>
      <x:c r="B183" s="2" t="str">
        <x:v>O00076</x:v>
      </x:c>
      <x:c r="C183" s="7" t="n">
        <x:v>45659</x:v>
      </x:c>
      <x:c r="D183" s="2" t="str">
        <x:v>Completed</x:v>
      </x:c>
      <x:c r="E183" s="2" t="str">
        <x:v>East</x:v>
      </x:c>
      <x:c r="F183" s="2" t="str">
        <x:v>Online</x:v>
      </x:c>
      <x:c r="G183" s="2" t="str">
        <x:v>Furniture</x:v>
      </x:c>
      <x:c r="H183" s="2" t="str">
        <x:v>Desk 024</x:v>
      </x:c>
      <x:c r="I183" s="11" t="n">
        <x:v>4</x:v>
      </x:c>
      <x:c r="J183" s="9" t="n">
        <x:v>81</x:v>
      </x:c>
      <x:c r="K183" s="10" t="n">
        <x:v>0.2</x:v>
      </x:c>
      <x:c r="L183" s="11" t="n">
        <x:v>0</x:v>
      </x:c>
      <x:c r="M183" s="9" t="n">
        <x:f>IF(D183="Completed",I183*J183,0)</x:f>
        <x:v>324</x:v>
      </x:c>
      <x:c r="N183" s="9" t="n">
        <x:f>M183*K183</x:f>
        <x:v>64.8</x:v>
      </x:c>
      <x:c r="O183" s="9" t="n">
        <x:f>M183-N183</x:f>
        <x:v>259.2</x:v>
      </x:c>
      <x:c r="P183" s="9" t="n">
        <x:f>IF(D183="Completed",L183*J183*(1-K183),0)</x:f>
        <x:v>0</x:v>
      </x:c>
      <x:c r="Q183" s="9" t="n">
        <x:f>O183-P183</x:f>
        <x:v>259.2</x:v>
      </x:c>
      <x:c r="R183" s="11" t="n">
        <x:f>IF(D183="Completed",I183,0)</x:f>
        <x:v>4</x:v>
      </x:c>
      <x:c r="S183" s="11" t="n">
        <x:f>IF(D183="Completed",L183,0)</x:f>
        <x:v>0</x:v>
      </x:c>
      <x:c r="T183" s="8" t="n">
        <x:f>DATE(YEAR(C183),MONTH(C183),1)</x:f>
        <x:v>45658</x:v>
      </x:c>
    </x:row>
    <x:row r="184" ht="22" customHeight="1">
      <x:c r="A184" s="2" t="str">
        <x:v>L000180</x:v>
      </x:c>
      <x:c r="B184" s="2" t="str">
        <x:v>O00076</x:v>
      </x:c>
      <x:c r="C184" s="7" t="n">
        <x:v>45659</x:v>
      </x:c>
      <x:c r="D184" s="2" t="str">
        <x:v>Completed</x:v>
      </x:c>
      <x:c r="E184" s="2" t="str">
        <x:v>East</x:v>
      </x:c>
      <x:c r="F184" s="2" t="str">
        <x:v>Online</x:v>
      </x:c>
      <x:c r="G184" s="2" t="str">
        <x:v>Furniture</x:v>
      </x:c>
      <x:c r="H184" s="2" t="str">
        <x:v>Desk 012</x:v>
      </x:c>
      <x:c r="I184" s="11" t="n">
        <x:v>4</x:v>
      </x:c>
      <x:c r="J184" s="9" t="n">
        <x:v>134</x:v>
      </x:c>
      <x:c r="K184" s="10" t="n">
        <x:v>0.1</x:v>
      </x:c>
      <x:c r="L184" s="11" t="n">
        <x:v>0</x:v>
      </x:c>
      <x:c r="M184" s="9" t="n">
        <x:f>IF(D184="Completed",I184*J184,0)</x:f>
        <x:v>536</x:v>
      </x:c>
      <x:c r="N184" s="9" t="n">
        <x:f>M184*K184</x:f>
        <x:v>53.6</x:v>
      </x:c>
      <x:c r="O184" s="9" t="n">
        <x:f>M184-N184</x:f>
        <x:v>482.4</x:v>
      </x:c>
      <x:c r="P184" s="9" t="n">
        <x:f>IF(D184="Completed",L184*J184*(1-K184),0)</x:f>
        <x:v>0</x:v>
      </x:c>
      <x:c r="Q184" s="9" t="n">
        <x:f>O184-P184</x:f>
        <x:v>482.4</x:v>
      </x:c>
      <x:c r="R184" s="11" t="n">
        <x:f>IF(D184="Completed",I184,0)</x:f>
        <x:v>4</x:v>
      </x:c>
      <x:c r="S184" s="11" t="n">
        <x:f>IF(D184="Completed",L184,0)</x:f>
        <x:v>0</x:v>
      </x:c>
      <x:c r="T184" s="8" t="n">
        <x:f>DATE(YEAR(C184),MONTH(C184),1)</x:f>
        <x:v>45658</x:v>
      </x:c>
    </x:row>
    <x:row r="185" ht="22" customHeight="1">
      <x:c r="A185" s="2" t="str">
        <x:v>L000181</x:v>
      </x:c>
      <x:c r="B185" s="2" t="str">
        <x:v>O00076</x:v>
      </x:c>
      <x:c r="C185" s="7" t="n">
        <x:v>45659</x:v>
      </x:c>
      <x:c r="D185" s="2" t="str">
        <x:v>Completed</x:v>
      </x:c>
      <x:c r="E185" s="2" t="str">
        <x:v>East</x:v>
      </x:c>
      <x:c r="F185" s="2" t="str">
        <x:v>Online</x:v>
      </x:c>
      <x:c r="G185" s="2" t="str">
        <x:v>Storage</x:v>
      </x:c>
      <x:c r="H185" s="2" t="str">
        <x:v>Shelf 007</x:v>
      </x:c>
      <x:c r="I185" s="11" t="n">
        <x:v>2</x:v>
      </x:c>
      <x:c r="J185" s="9" t="n">
        <x:v>35</x:v>
      </x:c>
      <x:c r="K185" s="10" t="n">
        <x:v>0.2</x:v>
      </x:c>
      <x:c r="L185" s="11" t="n">
        <x:v>0</x:v>
      </x:c>
      <x:c r="M185" s="9" t="n">
        <x:f>IF(D185="Completed",I185*J185,0)</x:f>
        <x:v>70</x:v>
      </x:c>
      <x:c r="N185" s="9" t="n">
        <x:f>M185*K185</x:f>
        <x:v>14</x:v>
      </x:c>
      <x:c r="O185" s="9" t="n">
        <x:f>M185-N185</x:f>
        <x:v>56</x:v>
      </x:c>
      <x:c r="P185" s="9" t="n">
        <x:f>IF(D185="Completed",L185*J185*(1-K185),0)</x:f>
        <x:v>0</x:v>
      </x:c>
      <x:c r="Q185" s="9" t="n">
        <x:f>O185-P185</x:f>
        <x:v>56</x:v>
      </x:c>
      <x:c r="R185" s="11" t="n">
        <x:f>IF(D185="Completed",I185,0)</x:f>
        <x:v>2</x:v>
      </x:c>
      <x:c r="S185" s="11" t="n">
        <x:f>IF(D185="Completed",L185,0)</x:f>
        <x:v>0</x:v>
      </x:c>
      <x:c r="T185" s="8" t="n">
        <x:f>DATE(YEAR(C185),MONTH(C185),1)</x:f>
        <x:v>45658</x:v>
      </x:c>
    </x:row>
    <x:row r="186" ht="22" customHeight="1">
      <x:c r="A186" s="2" t="str">
        <x:v>L000182</x:v>
      </x:c>
      <x:c r="B186" s="2" t="str">
        <x:v>O00077</x:v>
      </x:c>
      <x:c r="C186" s="7" t="n">
        <x:v>45983</x:v>
      </x:c>
      <x:c r="D186" s="2" t="str">
        <x:v>Cancelled</x:v>
      </x:c>
      <x:c r="E186" s="2" t="str">
        <x:v>North</x:v>
      </x:c>
      <x:c r="F186" s="2" t="str">
        <x:v>Store</x:v>
      </x:c>
      <x:c r="G186" s="2" t="str">
        <x:v>Furniture</x:v>
      </x:c>
      <x:c r="H186" s="2" t="str">
        <x:v>Chair 018</x:v>
      </x:c>
      <x:c r="I186" s="11" t="n">
        <x:v>3</x:v>
      </x:c>
      <x:c r="J186" s="9" t="n">
        <x:v>269</x:v>
      </x:c>
      <x:c r="K186" s="10" t="n">
        <x:v>0.1</x:v>
      </x:c>
      <x:c r="L186" s="11" t="n">
        <x:v>0</x:v>
      </x:c>
      <x:c r="M186" s="9" t="n">
        <x:f>IF(D186="Completed",I186*J186,0)</x:f>
        <x:v>0</x:v>
      </x:c>
      <x:c r="N186" s="9" t="n">
        <x:f>M186*K186</x:f>
        <x:v>0</x:v>
      </x:c>
      <x:c r="O186" s="9" t="n">
        <x:f>M186-N186</x:f>
        <x:v>0</x:v>
      </x:c>
      <x:c r="P186" s="9" t="n">
        <x:f>IF(D186="Completed",L186*J186*(1-K186),0)</x:f>
        <x:v>0</x:v>
      </x:c>
      <x:c r="Q186" s="9" t="n">
        <x:f>O186-P186</x:f>
        <x:v>0</x:v>
      </x:c>
      <x:c r="R186" s="11" t="n">
        <x:f>IF(D186="Completed",I186,0)</x:f>
        <x:v>0</x:v>
      </x:c>
      <x:c r="S186" s="11" t="n">
        <x:f>IF(D186="Completed",L186,0)</x:f>
        <x:v>0</x:v>
      </x:c>
      <x:c r="T186" s="8" t="n">
        <x:f>DATE(YEAR(C186),MONTH(C186),1)</x:f>
        <x:v>45962</x:v>
      </x:c>
    </x:row>
    <x:row r="187" ht="22" customHeight="1">
      <x:c r="A187" s="2" t="str">
        <x:v>L000183</x:v>
      </x:c>
      <x:c r="B187" s="2" t="str">
        <x:v>O00077</x:v>
      </x:c>
      <x:c r="C187" s="7" t="n">
        <x:v>45983</x:v>
      </x:c>
      <x:c r="D187" s="2" t="str">
        <x:v>Cancelled</x:v>
      </x:c>
      <x:c r="E187" s="2" t="str">
        <x:v>North</x:v>
      </x:c>
      <x:c r="F187" s="2" t="str">
        <x:v>Store</x:v>
      </x:c>
      <x:c r="G187" s="2" t="str">
        <x:v>Furniture</x:v>
      </x:c>
      <x:c r="H187" s="2" t="str">
        <x:v>Desk 008</x:v>
      </x:c>
      <x:c r="I187" s="11" t="n">
        <x:v>2</x:v>
      </x:c>
      <x:c r="J187" s="9" t="n">
        <x:v>188</x:v>
      </x:c>
      <x:c r="K187" s="10" t="n">
        <x:v>0.05</x:v>
      </x:c>
      <x:c r="L187" s="11" t="n">
        <x:v>0</x:v>
      </x:c>
      <x:c r="M187" s="9" t="n">
        <x:f>IF(D187="Completed",I187*J187,0)</x:f>
        <x:v>0</x:v>
      </x:c>
      <x:c r="N187" s="9" t="n">
        <x:f>M187*K187</x:f>
        <x:v>0</x:v>
      </x:c>
      <x:c r="O187" s="9" t="n">
        <x:f>M187-N187</x:f>
        <x:v>0</x:v>
      </x:c>
      <x:c r="P187" s="9" t="n">
        <x:f>IF(D187="Completed",L187*J187*(1-K187),0)</x:f>
        <x:v>0</x:v>
      </x:c>
      <x:c r="Q187" s="9" t="n">
        <x:f>O187-P187</x:f>
        <x:v>0</x:v>
      </x:c>
      <x:c r="R187" s="11" t="n">
        <x:f>IF(D187="Completed",I187,0)</x:f>
        <x:v>0</x:v>
      </x:c>
      <x:c r="S187" s="11" t="n">
        <x:f>IF(D187="Completed",L187,0)</x:f>
        <x:v>0</x:v>
      </x:c>
      <x:c r="T187" s="8" t="n">
        <x:f>DATE(YEAR(C187),MONTH(C187),1)</x:f>
        <x:v>45962</x:v>
      </x:c>
    </x:row>
    <x:row r="188" ht="22" customHeight="1">
      <x:c r="A188" s="2" t="str">
        <x:v>L000184</x:v>
      </x:c>
      <x:c r="B188" s="2" t="str">
        <x:v>O00077</x:v>
      </x:c>
      <x:c r="C188" s="7" t="n">
        <x:v>45983</x:v>
      </x:c>
      <x:c r="D188" s="2" t="str">
        <x:v>Cancelled</x:v>
      </x:c>
      <x:c r="E188" s="2" t="str">
        <x:v>North</x:v>
      </x:c>
      <x:c r="F188" s="2" t="str">
        <x:v>Store</x:v>
      </x:c>
      <x:c r="G188" s="2" t="str">
        <x:v>Furniture</x:v>
      </x:c>
      <x:c r="H188" s="2" t="str">
        <x:v>Desk 020</x:v>
      </x:c>
      <x:c r="I188" s="11" t="n">
        <x:v>4</x:v>
      </x:c>
      <x:c r="J188" s="9" t="n">
        <x:v>189</x:v>
      </x:c>
      <x:c r="K188" s="10" t="n">
        <x:v>0</x:v>
      </x:c>
      <x:c r="L188" s="11" t="n">
        <x:v>0</x:v>
      </x:c>
      <x:c r="M188" s="9" t="n">
        <x:f>IF(D188="Completed",I188*J188,0)</x:f>
        <x:v>0</x:v>
      </x:c>
      <x:c r="N188" s="9" t="n">
        <x:f>M188*K188</x:f>
        <x:v>0</x:v>
      </x:c>
      <x:c r="O188" s="9" t="n">
        <x:f>M188-N188</x:f>
        <x:v>0</x:v>
      </x:c>
      <x:c r="P188" s="9" t="n">
        <x:f>IF(D188="Completed",L188*J188*(1-K188),0)</x:f>
        <x:v>0</x:v>
      </x:c>
      <x:c r="Q188" s="9" t="n">
        <x:f>O188-P188</x:f>
        <x:v>0</x:v>
      </x:c>
      <x:c r="R188" s="11" t="n">
        <x:f>IF(D188="Completed",I188,0)</x:f>
        <x:v>0</x:v>
      </x:c>
      <x:c r="S188" s="11" t="n">
        <x:f>IF(D188="Completed",L188,0)</x:f>
        <x:v>0</x:v>
      </x:c>
      <x:c r="T188" s="8" t="n">
        <x:f>DATE(YEAR(C188),MONTH(C188),1)</x:f>
        <x:v>45962</x:v>
      </x:c>
    </x:row>
    <x:row r="189" ht="22" customHeight="1">
      <x:c r="A189" s="2" t="str">
        <x:v>L000185</x:v>
      </x:c>
      <x:c r="B189" s="2" t="str">
        <x:v>O00077</x:v>
      </x:c>
      <x:c r="C189" s="7" t="n">
        <x:v>45983</x:v>
      </x:c>
      <x:c r="D189" s="2" t="str">
        <x:v>Cancelled</x:v>
      </x:c>
      <x:c r="E189" s="2" t="str">
        <x:v>North</x:v>
      </x:c>
      <x:c r="F189" s="2" t="str">
        <x:v>Store</x:v>
      </x:c>
      <x:c r="G189" s="2" t="str">
        <x:v>Storage</x:v>
      </x:c>
      <x:c r="H189" s="2" t="str">
        <x:v>Shelf 015</x:v>
      </x:c>
      <x:c r="I189" s="11" t="n">
        <x:v>1</x:v>
      </x:c>
      <x:c r="J189" s="9" t="n">
        <x:v>254</x:v>
      </x:c>
      <x:c r="K189" s="10" t="n">
        <x:v>0.1</x:v>
      </x:c>
      <x:c r="L189" s="11" t="n">
        <x:v>0</x:v>
      </x:c>
      <x:c r="M189" s="9" t="n">
        <x:f>IF(D189="Completed",I189*J189,0)</x:f>
        <x:v>0</x:v>
      </x:c>
      <x:c r="N189" s="9" t="n">
        <x:f>M189*K189</x:f>
        <x:v>0</x:v>
      </x:c>
      <x:c r="O189" s="9" t="n">
        <x:f>M189-N189</x:f>
        <x:v>0</x:v>
      </x:c>
      <x:c r="P189" s="9" t="n">
        <x:f>IF(D189="Completed",L189*J189*(1-K189),0)</x:f>
        <x:v>0</x:v>
      </x:c>
      <x:c r="Q189" s="9" t="n">
        <x:f>O189-P189</x:f>
        <x:v>0</x:v>
      </x:c>
      <x:c r="R189" s="11" t="n">
        <x:f>IF(D189="Completed",I189,0)</x:f>
        <x:v>0</x:v>
      </x:c>
      <x:c r="S189" s="11" t="n">
        <x:f>IF(D189="Completed",L189,0)</x:f>
        <x:v>0</x:v>
      </x:c>
      <x:c r="T189" s="8" t="n">
        <x:f>DATE(YEAR(C189),MONTH(C189),1)</x:f>
        <x:v>45962</x:v>
      </x:c>
    </x:row>
    <x:row r="190" ht="22" customHeight="1">
      <x:c r="A190" s="2" t="str">
        <x:v>L000186</x:v>
      </x:c>
      <x:c r="B190" s="2" t="str">
        <x:v>O00078</x:v>
      </x:c>
      <x:c r="C190" s="7" t="n">
        <x:v>45924</x:v>
      </x:c>
      <x:c r="D190" s="2" t="str">
        <x:v>Completed</x:v>
      </x:c>
      <x:c r="E190" s="2" t="str">
        <x:v>West</x:v>
      </x:c>
      <x:c r="F190" s="2" t="str">
        <x:v>Online</x:v>
      </x:c>
      <x:c r="G190" s="2" t="str">
        <x:v>Storage</x:v>
      </x:c>
      <x:c r="H190" s="2" t="str">
        <x:v>Shelf 023</x:v>
      </x:c>
      <x:c r="I190" s="11" t="n">
        <x:v>4</x:v>
      </x:c>
      <x:c r="J190" s="9" t="n">
        <x:v>68</x:v>
      </x:c>
      <x:c r="K190" s="10" t="n">
        <x:v>0</x:v>
      </x:c>
      <x:c r="L190" s="11" t="n">
        <x:v>0</x:v>
      </x:c>
      <x:c r="M190" s="9" t="n">
        <x:f>IF(D190="Completed",I190*J190,0)</x:f>
        <x:v>272</x:v>
      </x:c>
      <x:c r="N190" s="9" t="n">
        <x:f>M190*K190</x:f>
        <x:v>0</x:v>
      </x:c>
      <x:c r="O190" s="9" t="n">
        <x:f>M190-N190</x:f>
        <x:v>272</x:v>
      </x:c>
      <x:c r="P190" s="9" t="n">
        <x:f>IF(D190="Completed",L190*J190*(1-K190),0)</x:f>
        <x:v>0</x:v>
      </x:c>
      <x:c r="Q190" s="9" t="n">
        <x:f>O190-P190</x:f>
        <x:v>272</x:v>
      </x:c>
      <x:c r="R190" s="11" t="n">
        <x:f>IF(D190="Completed",I190,0)</x:f>
        <x:v>4</x:v>
      </x:c>
      <x:c r="S190" s="11" t="n">
        <x:f>IF(D190="Completed",L190,0)</x:f>
        <x:v>0</x:v>
      </x:c>
      <x:c r="T190" s="8" t="n">
        <x:f>DATE(YEAR(C190),MONTH(C190),1)</x:f>
        <x:v>45901</x:v>
      </x:c>
    </x:row>
    <x:row r="191" ht="22" customHeight="1">
      <x:c r="A191" s="2" t="str">
        <x:v>L000187</x:v>
      </x:c>
      <x:c r="B191" s="2" t="str">
        <x:v>O00078</x:v>
      </x:c>
      <x:c r="C191" s="7" t="n">
        <x:v>45924</x:v>
      </x:c>
      <x:c r="D191" s="2" t="str">
        <x:v>Completed</x:v>
      </x:c>
      <x:c r="E191" s="2" t="str">
        <x:v>West</x:v>
      </x:c>
      <x:c r="F191" s="2" t="str">
        <x:v>Online</x:v>
      </x:c>
      <x:c r="G191" s="2" t="str">
        <x:v>Furniture</x:v>
      </x:c>
      <x:c r="H191" s="2" t="str">
        <x:v>Desk 012</x:v>
      </x:c>
      <x:c r="I191" s="11" t="n">
        <x:v>1</x:v>
      </x:c>
      <x:c r="J191" s="9" t="n">
        <x:v>134</x:v>
      </x:c>
      <x:c r="K191" s="10" t="n">
        <x:v>0</x:v>
      </x:c>
      <x:c r="L191" s="11" t="n">
        <x:v>0</x:v>
      </x:c>
      <x:c r="M191" s="9" t="n">
        <x:f>IF(D191="Completed",I191*J191,0)</x:f>
        <x:v>134</x:v>
      </x:c>
      <x:c r="N191" s="9" t="n">
        <x:f>M191*K191</x:f>
        <x:v>0</x:v>
      </x:c>
      <x:c r="O191" s="9" t="n">
        <x:f>M191-N191</x:f>
        <x:v>134</x:v>
      </x:c>
      <x:c r="P191" s="9" t="n">
        <x:f>IF(D191="Completed",L191*J191*(1-K191),0)</x:f>
        <x:v>0</x:v>
      </x:c>
      <x:c r="Q191" s="9" t="n">
        <x:f>O191-P191</x:f>
        <x:v>134</x:v>
      </x:c>
      <x:c r="R191" s="11" t="n">
        <x:f>IF(D191="Completed",I191,0)</x:f>
        <x:v>1</x:v>
      </x:c>
      <x:c r="S191" s="11" t="n">
        <x:f>IF(D191="Completed",L191,0)</x:f>
        <x:v>0</x:v>
      </x:c>
      <x:c r="T191" s="8" t="n">
        <x:f>DATE(YEAR(C191),MONTH(C191),1)</x:f>
        <x:v>45901</x:v>
      </x:c>
    </x:row>
    <x:row r="192" ht="22" customHeight="1">
      <x:c r="A192" s="2" t="str">
        <x:v>L000188</x:v>
      </x:c>
      <x:c r="B192" s="2" t="str">
        <x:v>O00078</x:v>
      </x:c>
      <x:c r="C192" s="7" t="n">
        <x:v>45924</x:v>
      </x:c>
      <x:c r="D192" s="2" t="str">
        <x:v>Completed</x:v>
      </x:c>
      <x:c r="E192" s="2" t="str">
        <x:v>West</x:v>
      </x:c>
      <x:c r="F192" s="2" t="str">
        <x:v>Online</x:v>
      </x:c>
      <x:c r="G192" s="2" t="str">
        <x:v>Furniture</x:v>
      </x:c>
      <x:c r="H192" s="2" t="str">
        <x:v>Desk 004</x:v>
      </x:c>
      <x:c r="I192" s="11" t="n">
        <x:v>1</x:v>
      </x:c>
      <x:c r="J192" s="9" t="n">
        <x:v>123</x:v>
      </x:c>
      <x:c r="K192" s="10" t="n">
        <x:v>0.05</x:v>
      </x:c>
      <x:c r="L192" s="11" t="n">
        <x:v>0</x:v>
      </x:c>
      <x:c r="M192" s="9" t="n">
        <x:f>IF(D192="Completed",I192*J192,0)</x:f>
        <x:v>123</x:v>
      </x:c>
      <x:c r="N192" s="9" t="n">
        <x:f>M192*K192</x:f>
        <x:v>6.15</x:v>
      </x:c>
      <x:c r="O192" s="9" t="n">
        <x:f>M192-N192</x:f>
        <x:v>116.85</x:v>
      </x:c>
      <x:c r="P192" s="9" t="n">
        <x:f>IF(D192="Completed",L192*J192*(1-K192),0)</x:f>
        <x:v>0</x:v>
      </x:c>
      <x:c r="Q192" s="9" t="n">
        <x:f>O192-P192</x:f>
        <x:v>116.85</x:v>
      </x:c>
      <x:c r="R192" s="11" t="n">
        <x:f>IF(D192="Completed",I192,0)</x:f>
        <x:v>1</x:v>
      </x:c>
      <x:c r="S192" s="11" t="n">
        <x:f>IF(D192="Completed",L192,0)</x:f>
        <x:v>0</x:v>
      </x:c>
      <x:c r="T192" s="8" t="n">
        <x:f>DATE(YEAR(C192),MONTH(C192),1)</x:f>
        <x:v>45901</x:v>
      </x:c>
    </x:row>
    <x:row r="193" ht="22" customHeight="1">
      <x:c r="A193" s="2" t="str">
        <x:v>L000189</x:v>
      </x:c>
      <x:c r="B193" s="2" t="str">
        <x:v>O00078</x:v>
      </x:c>
      <x:c r="C193" s="7" t="n">
        <x:v>45924</x:v>
      </x:c>
      <x:c r="D193" s="2" t="str">
        <x:v>Completed</x:v>
      </x:c>
      <x:c r="E193" s="2" t="str">
        <x:v>West</x:v>
      </x:c>
      <x:c r="F193" s="2" t="str">
        <x:v>Online</x:v>
      </x:c>
      <x:c r="G193" s="2" t="str">
        <x:v>Storage</x:v>
      </x:c>
      <x:c r="H193" s="2" t="str">
        <x:v>Shelf 007</x:v>
      </x:c>
      <x:c r="I193" s="11" t="n">
        <x:v>3</x:v>
      </x:c>
      <x:c r="J193" s="9" t="n">
        <x:v>35</x:v>
      </x:c>
      <x:c r="K193" s="10" t="n">
        <x:v>0.2</x:v>
      </x:c>
      <x:c r="L193" s="11" t="n">
        <x:v>0</x:v>
      </x:c>
      <x:c r="M193" s="9" t="n">
        <x:f>IF(D193="Completed",I193*J193,0)</x:f>
        <x:v>105</x:v>
      </x:c>
      <x:c r="N193" s="9" t="n">
        <x:f>M193*K193</x:f>
        <x:v>21</x:v>
      </x:c>
      <x:c r="O193" s="9" t="n">
        <x:f>M193-N193</x:f>
        <x:v>84</x:v>
      </x:c>
      <x:c r="P193" s="9" t="n">
        <x:f>IF(D193="Completed",L193*J193*(1-K193),0)</x:f>
        <x:v>0</x:v>
      </x:c>
      <x:c r="Q193" s="9" t="n">
        <x:f>O193-P193</x:f>
        <x:v>84</x:v>
      </x:c>
      <x:c r="R193" s="11" t="n">
        <x:f>IF(D193="Completed",I193,0)</x:f>
        <x:v>3</x:v>
      </x:c>
      <x:c r="S193" s="11" t="n">
        <x:f>IF(D193="Completed",L193,0)</x:f>
        <x:v>0</x:v>
      </x:c>
      <x:c r="T193" s="8" t="n">
        <x:f>DATE(YEAR(C193),MONTH(C193),1)</x:f>
        <x:v>45901</x:v>
      </x:c>
    </x:row>
    <x:row r="194" ht="22" customHeight="1">
      <x:c r="A194" s="2" t="str">
        <x:v>L000190</x:v>
      </x:c>
      <x:c r="B194" s="2" t="str">
        <x:v>O00079</x:v>
      </x:c>
      <x:c r="C194" s="7" t="n">
        <x:v>45823</x:v>
      </x:c>
      <x:c r="D194" s="2" t="str">
        <x:v>Completed</x:v>
      </x:c>
      <x:c r="E194" s="2" t="str">
        <x:v>East</x:v>
      </x:c>
      <x:c r="F194" s="2" t="str">
        <x:v>Online</x:v>
      </x:c>
      <x:c r="G194" s="2" t="str">
        <x:v>Lighting</x:v>
      </x:c>
      <x:c r="H194" s="2" t="str">
        <x:v>Lamp 017</x:v>
      </x:c>
      <x:c r="I194" s="11" t="n">
        <x:v>3</x:v>
      </x:c>
      <x:c r="J194" s="9" t="n">
        <x:v>300</x:v>
      </x:c>
      <x:c r="K194" s="10" t="n">
        <x:v>0.05</x:v>
      </x:c>
      <x:c r="L194" s="11" t="n">
        <x:v>0</x:v>
      </x:c>
      <x:c r="M194" s="9" t="n">
        <x:f>IF(D194="Completed",I194*J194,0)</x:f>
        <x:v>900</x:v>
      </x:c>
      <x:c r="N194" s="9" t="n">
        <x:f>M194*K194</x:f>
        <x:v>45</x:v>
      </x:c>
      <x:c r="O194" s="9" t="n">
        <x:f>M194-N194</x:f>
        <x:v>855</x:v>
      </x:c>
      <x:c r="P194" s="9" t="n">
        <x:f>IF(D194="Completed",L194*J194*(1-K194),0)</x:f>
        <x:v>0</x:v>
      </x:c>
      <x:c r="Q194" s="9" t="n">
        <x:f>O194-P194</x:f>
        <x:v>855</x:v>
      </x:c>
      <x:c r="R194" s="11" t="n">
        <x:f>IF(D194="Completed",I194,0)</x:f>
        <x:v>3</x:v>
      </x:c>
      <x:c r="S194" s="11" t="n">
        <x:f>IF(D194="Completed",L194,0)</x:f>
        <x:v>0</x:v>
      </x:c>
      <x:c r="T194" s="8" t="n">
        <x:f>DATE(YEAR(C194),MONTH(C194),1)</x:f>
        <x:v>45809</x:v>
      </x:c>
    </x:row>
    <x:row r="195" ht="22" customHeight="1">
      <x:c r="A195" s="2" t="str">
        <x:v>L000191</x:v>
      </x:c>
      <x:c r="B195" s="2" t="str">
        <x:v>O00079</x:v>
      </x:c>
      <x:c r="C195" s="7" t="n">
        <x:v>45823</x:v>
      </x:c>
      <x:c r="D195" s="2" t="str">
        <x:v>Completed</x:v>
      </x:c>
      <x:c r="E195" s="2" t="str">
        <x:v>East</x:v>
      </x:c>
      <x:c r="F195" s="2" t="str">
        <x:v>Online</x:v>
      </x:c>
      <x:c r="G195" s="2" t="str">
        <x:v>Lighting</x:v>
      </x:c>
      <x:c r="H195" s="2" t="str">
        <x:v>Lamp 021</x:v>
      </x:c>
      <x:c r="I195" s="11" t="n">
        <x:v>5</x:v>
      </x:c>
      <x:c r="J195" s="9" t="n">
        <x:v>249</x:v>
      </x:c>
      <x:c r="K195" s="10" t="n">
        <x:v>0.2</x:v>
      </x:c>
      <x:c r="L195" s="11" t="n">
        <x:v>0</x:v>
      </x:c>
      <x:c r="M195" s="9" t="n">
        <x:f>IF(D195="Completed",I195*J195,0)</x:f>
        <x:v>1245</x:v>
      </x:c>
      <x:c r="N195" s="9" t="n">
        <x:f>M195*K195</x:f>
        <x:v>249</x:v>
      </x:c>
      <x:c r="O195" s="9" t="n">
        <x:f>M195-N195</x:f>
        <x:v>996</x:v>
      </x:c>
      <x:c r="P195" s="9" t="n">
        <x:f>IF(D195="Completed",L195*J195*(1-K195),0)</x:f>
        <x:v>0</x:v>
      </x:c>
      <x:c r="Q195" s="9" t="n">
        <x:f>O195-P195</x:f>
        <x:v>996</x:v>
      </x:c>
      <x:c r="R195" s="11" t="n">
        <x:f>IF(D195="Completed",I195,0)</x:f>
        <x:v>5</x:v>
      </x:c>
      <x:c r="S195" s="11" t="n">
        <x:f>IF(D195="Completed",L195,0)</x:f>
        <x:v>0</x:v>
      </x:c>
      <x:c r="T195" s="8" t="n">
        <x:f>DATE(YEAR(C195),MONTH(C195),1)</x:f>
        <x:v>45809</x:v>
      </x:c>
    </x:row>
    <x:row r="196" ht="22" customHeight="1">
      <x:c r="A196" s="2" t="str">
        <x:v>L000192</x:v>
      </x:c>
      <x:c r="B196" s="2" t="str">
        <x:v>O00079</x:v>
      </x:c>
      <x:c r="C196" s="7" t="n">
        <x:v>45823</x:v>
      </x:c>
      <x:c r="D196" s="2" t="str">
        <x:v>Completed</x:v>
      </x:c>
      <x:c r="E196" s="2" t="str">
        <x:v>East</x:v>
      </x:c>
      <x:c r="F196" s="2" t="str">
        <x:v>Online</x:v>
      </x:c>
      <x:c r="G196" s="2" t="str">
        <x:v>Furniture</x:v>
      </x:c>
      <x:c r="H196" s="2" t="str">
        <x:v>Chair 022</x:v>
      </x:c>
      <x:c r="I196" s="11" t="n">
        <x:v>4</x:v>
      </x:c>
      <x:c r="J196" s="9" t="n">
        <x:v>134</x:v>
      </x:c>
      <x:c r="K196" s="10" t="n">
        <x:v>0.05</x:v>
      </x:c>
      <x:c r="L196" s="11" t="n">
        <x:v>0</x:v>
      </x:c>
      <x:c r="M196" s="9" t="n">
        <x:f>IF(D196="Completed",I196*J196,0)</x:f>
        <x:v>536</x:v>
      </x:c>
      <x:c r="N196" s="9" t="n">
        <x:f>M196*K196</x:f>
        <x:v>26.8</x:v>
      </x:c>
      <x:c r="O196" s="9" t="n">
        <x:f>M196-N196</x:f>
        <x:v>509.2</x:v>
      </x:c>
      <x:c r="P196" s="9" t="n">
        <x:f>IF(D196="Completed",L196*J196*(1-K196),0)</x:f>
        <x:v>0</x:v>
      </x:c>
      <x:c r="Q196" s="9" t="n">
        <x:f>O196-P196</x:f>
        <x:v>509.2</x:v>
      </x:c>
      <x:c r="R196" s="11" t="n">
        <x:f>IF(D196="Completed",I196,0)</x:f>
        <x:v>4</x:v>
      </x:c>
      <x:c r="S196" s="11" t="n">
        <x:f>IF(D196="Completed",L196,0)</x:f>
        <x:v>0</x:v>
      </x:c>
      <x:c r="T196" s="8" t="n">
        <x:f>DATE(YEAR(C196),MONTH(C196),1)</x:f>
        <x:v>45809</x:v>
      </x:c>
    </x:row>
    <x:row r="197" ht="22" customHeight="1">
      <x:c r="A197" s="2" t="str">
        <x:v>L000193</x:v>
      </x:c>
      <x:c r="B197" s="2" t="str">
        <x:v>O00080</x:v>
      </x:c>
      <x:c r="C197" s="7" t="n">
        <x:v>45896</x:v>
      </x:c>
      <x:c r="D197" s="2" t="str">
        <x:v>Completed</x:v>
      </x:c>
      <x:c r="E197" s="2" t="str">
        <x:v>West</x:v>
      </x:c>
      <x:c r="F197" s="2" t="str">
        <x:v>Store</x:v>
      </x:c>
      <x:c r="G197" s="2" t="str">
        <x:v>Furniture</x:v>
      </x:c>
      <x:c r="H197" s="2" t="str">
        <x:v>Desk 004</x:v>
      </x:c>
      <x:c r="I197" s="11" t="n">
        <x:v>1</x:v>
      </x:c>
      <x:c r="J197" s="9" t="n">
        <x:v>123</x:v>
      </x:c>
      <x:c r="K197" s="10" t="n">
        <x:v>0.1</x:v>
      </x:c>
      <x:c r="L197" s="11" t="n">
        <x:v>0</x:v>
      </x:c>
      <x:c r="M197" s="9" t="n">
        <x:f>IF(D197="Completed",I197*J197,0)</x:f>
        <x:v>123</x:v>
      </x:c>
      <x:c r="N197" s="9" t="n">
        <x:f>M197*K197</x:f>
        <x:v>12.3</x:v>
      </x:c>
      <x:c r="O197" s="9" t="n">
        <x:f>M197-N197</x:f>
        <x:v>110.7</x:v>
      </x:c>
      <x:c r="P197" s="9" t="n">
        <x:f>IF(D197="Completed",L197*J197*(1-K197),0)</x:f>
        <x:v>0</x:v>
      </x:c>
      <x:c r="Q197" s="9" t="n">
        <x:f>O197-P197</x:f>
        <x:v>110.7</x:v>
      </x:c>
      <x:c r="R197" s="11" t="n">
        <x:f>IF(D197="Completed",I197,0)</x:f>
        <x:v>1</x:v>
      </x:c>
      <x:c r="S197" s="11" t="n">
        <x:f>IF(D197="Completed",L197,0)</x:f>
        <x:v>0</x:v>
      </x:c>
      <x:c r="T197" s="8" t="n">
        <x:f>DATE(YEAR(C197),MONTH(C197),1)</x:f>
        <x:v>45870</x:v>
      </x:c>
    </x:row>
    <x:row r="198" ht="22" customHeight="1">
      <x:c r="A198" s="2" t="str">
        <x:v>L000194</x:v>
      </x:c>
      <x:c r="B198" s="2" t="str">
        <x:v>O00080</x:v>
      </x:c>
      <x:c r="C198" s="7" t="n">
        <x:v>45896</x:v>
      </x:c>
      <x:c r="D198" s="2" t="str">
        <x:v>Completed</x:v>
      </x:c>
      <x:c r="E198" s="2" t="str">
        <x:v>West</x:v>
      </x:c>
      <x:c r="F198" s="2" t="str">
        <x:v>Store</x:v>
      </x:c>
      <x:c r="G198" s="2" t="str">
        <x:v>Furniture</x:v>
      </x:c>
      <x:c r="H198" s="2" t="str">
        <x:v>Chair 018</x:v>
      </x:c>
      <x:c r="I198" s="11" t="n">
        <x:v>3</x:v>
      </x:c>
      <x:c r="J198" s="9" t="n">
        <x:v>269</x:v>
      </x:c>
      <x:c r="K198" s="10" t="n">
        <x:v>0.05</x:v>
      </x:c>
      <x:c r="L198" s="11" t="n">
        <x:v>0</x:v>
      </x:c>
      <x:c r="M198" s="9" t="n">
        <x:f>IF(D198="Completed",I198*J198,0)</x:f>
        <x:v>807</x:v>
      </x:c>
      <x:c r="N198" s="9" t="n">
        <x:f>M198*K198</x:f>
        <x:v>40.35</x:v>
      </x:c>
      <x:c r="O198" s="9" t="n">
        <x:f>M198-N198</x:f>
        <x:v>766.65</x:v>
      </x:c>
      <x:c r="P198" s="9" t="n">
        <x:f>IF(D198="Completed",L198*J198*(1-K198),0)</x:f>
        <x:v>0</x:v>
      </x:c>
      <x:c r="Q198" s="9" t="n">
        <x:f>O198-P198</x:f>
        <x:v>766.65</x:v>
      </x:c>
      <x:c r="R198" s="11" t="n">
        <x:f>IF(D198="Completed",I198,0)</x:f>
        <x:v>3</x:v>
      </x:c>
      <x:c r="S198" s="11" t="n">
        <x:f>IF(D198="Completed",L198,0)</x:f>
        <x:v>0</x:v>
      </x:c>
      <x:c r="T198" s="8" t="n">
        <x:f>DATE(YEAR(C198),MONTH(C198),1)</x:f>
        <x:v>45870</x:v>
      </x:c>
    </x:row>
    <x:row r="199" ht="22" customHeight="1">
      <x:c r="A199" s="2" t="str">
        <x:v>L000195</x:v>
      </x:c>
      <x:c r="B199" s="2" t="str">
        <x:v>O00081</x:v>
      </x:c>
      <x:c r="C199" s="7" t="n">
        <x:v>45813</x:v>
      </x:c>
      <x:c r="D199" s="2" t="str">
        <x:v>Completed</x:v>
      </x:c>
      <x:c r="E199" s="2" t="str">
        <x:v>West</x:v>
      </x:c>
      <x:c r="F199" s="2" t="str">
        <x:v>Online</x:v>
      </x:c>
      <x:c r="G199" s="2" t="str">
        <x:v>Furniture</x:v>
      </x:c>
      <x:c r="H199" s="2" t="str">
        <x:v>Desk 016</x:v>
      </x:c>
      <x:c r="I199" s="11" t="n">
        <x:v>2</x:v>
      </x:c>
      <x:c r="J199" s="9" t="n">
        <x:v>231</x:v>
      </x:c>
      <x:c r="K199" s="10" t="n">
        <x:v>0.2</x:v>
      </x:c>
      <x:c r="L199" s="11" t="n">
        <x:v>0</x:v>
      </x:c>
      <x:c r="M199" s="9" t="n">
        <x:f>IF(D199="Completed",I199*J199,0)</x:f>
        <x:v>462</x:v>
      </x:c>
      <x:c r="N199" s="9" t="n">
        <x:f>M199*K199</x:f>
        <x:v>92.4</x:v>
      </x:c>
      <x:c r="O199" s="9" t="n">
        <x:f>M199-N199</x:f>
        <x:v>369.6</x:v>
      </x:c>
      <x:c r="P199" s="9" t="n">
        <x:f>IF(D199="Completed",L199*J199*(1-K199),0)</x:f>
        <x:v>0</x:v>
      </x:c>
      <x:c r="Q199" s="9" t="n">
        <x:f>O199-P199</x:f>
        <x:v>369.6</x:v>
      </x:c>
      <x:c r="R199" s="11" t="n">
        <x:f>IF(D199="Completed",I199,0)</x:f>
        <x:v>2</x:v>
      </x:c>
      <x:c r="S199" s="11" t="n">
        <x:f>IF(D199="Completed",L199,0)</x:f>
        <x:v>0</x:v>
      </x:c>
      <x:c r="T199" s="8" t="n">
        <x:f>DATE(YEAR(C199),MONTH(C199),1)</x:f>
        <x:v>45809</x:v>
      </x:c>
    </x:row>
    <x:row r="200" ht="22" customHeight="1">
      <x:c r="A200" s="2" t="str">
        <x:v>L000196</x:v>
      </x:c>
      <x:c r="B200" s="2" t="str">
        <x:v>O00081</x:v>
      </x:c>
      <x:c r="C200" s="7" t="n">
        <x:v>45813</x:v>
      </x:c>
      <x:c r="D200" s="2" t="str">
        <x:v>Completed</x:v>
      </x:c>
      <x:c r="E200" s="2" t="str">
        <x:v>West</x:v>
      </x:c>
      <x:c r="F200" s="2" t="str">
        <x:v>Online</x:v>
      </x:c>
      <x:c r="G200" s="2" t="str">
        <x:v>Furniture</x:v>
      </x:c>
      <x:c r="H200" s="2" t="str">
        <x:v>Desk 004</x:v>
      </x:c>
      <x:c r="I200" s="11" t="n">
        <x:v>2</x:v>
      </x:c>
      <x:c r="J200" s="9" t="n">
        <x:v>123</x:v>
      </x:c>
      <x:c r="K200" s="10" t="n">
        <x:v>0.1</x:v>
      </x:c>
      <x:c r="L200" s="11" t="n">
        <x:v>0</x:v>
      </x:c>
      <x:c r="M200" s="9" t="n">
        <x:f>IF(D200="Completed",I200*J200,0)</x:f>
        <x:v>246</x:v>
      </x:c>
      <x:c r="N200" s="9" t="n">
        <x:f>M200*K200</x:f>
        <x:v>24.6</x:v>
      </x:c>
      <x:c r="O200" s="9" t="n">
        <x:f>M200-N200</x:f>
        <x:v>221.4</x:v>
      </x:c>
      <x:c r="P200" s="9" t="n">
        <x:f>IF(D200="Completed",L200*J200*(1-K200),0)</x:f>
        <x:v>0</x:v>
      </x:c>
      <x:c r="Q200" s="9" t="n">
        <x:f>O200-P200</x:f>
        <x:v>221.4</x:v>
      </x:c>
      <x:c r="R200" s="11" t="n">
        <x:f>IF(D200="Completed",I200,0)</x:f>
        <x:v>2</x:v>
      </x:c>
      <x:c r="S200" s="11" t="n">
        <x:f>IF(D200="Completed",L200,0)</x:f>
        <x:v>0</x:v>
      </x:c>
      <x:c r="T200" s="8" t="n">
        <x:f>DATE(YEAR(C200),MONTH(C200),1)</x:f>
        <x:v>45809</x:v>
      </x:c>
    </x:row>
    <x:row r="201" ht="22" customHeight="1">
      <x:c r="A201" s="2" t="str">
        <x:v>L000197</x:v>
      </x:c>
      <x:c r="B201" s="2" t="str">
        <x:v>O00081</x:v>
      </x:c>
      <x:c r="C201" s="7" t="n">
        <x:v>45813</x:v>
      </x:c>
      <x:c r="D201" s="2" t="str">
        <x:v>Completed</x:v>
      </x:c>
      <x:c r="E201" s="2" t="str">
        <x:v>West</x:v>
      </x:c>
      <x:c r="F201" s="2" t="str">
        <x:v>Online</x:v>
      </x:c>
      <x:c r="G201" s="2" t="str">
        <x:v>Lighting</x:v>
      </x:c>
      <x:c r="H201" s="2" t="str">
        <x:v>Lamp 005</x:v>
      </x:c>
      <x:c r="I201" s="11" t="n">
        <x:v>5</x:v>
      </x:c>
      <x:c r="J201" s="9" t="n">
        <x:v>65</x:v>
      </x:c>
      <x:c r="K201" s="10" t="n">
        <x:v>0.1</x:v>
      </x:c>
      <x:c r="L201" s="11" t="n">
        <x:v>0</x:v>
      </x:c>
      <x:c r="M201" s="9" t="n">
        <x:f>IF(D201="Completed",I201*J201,0)</x:f>
        <x:v>325</x:v>
      </x:c>
      <x:c r="N201" s="9" t="n">
        <x:f>M201*K201</x:f>
        <x:v>32.5</x:v>
      </x:c>
      <x:c r="O201" s="9" t="n">
        <x:f>M201-N201</x:f>
        <x:v>292.5</x:v>
      </x:c>
      <x:c r="P201" s="9" t="n">
        <x:f>IF(D201="Completed",L201*J201*(1-K201),0)</x:f>
        <x:v>0</x:v>
      </x:c>
      <x:c r="Q201" s="9" t="n">
        <x:f>O201-P201</x:f>
        <x:v>292.5</x:v>
      </x:c>
      <x:c r="R201" s="11" t="n">
        <x:f>IF(D201="Completed",I201,0)</x:f>
        <x:v>5</x:v>
      </x:c>
      <x:c r="S201" s="11" t="n">
        <x:f>IF(D201="Completed",L201,0)</x:f>
        <x:v>0</x:v>
      </x:c>
      <x:c r="T201" s="8" t="n">
        <x:f>DATE(YEAR(C201),MONTH(C201),1)</x:f>
        <x:v>45809</x:v>
      </x:c>
    </x:row>
    <x:row r="202" ht="22" customHeight="1">
      <x:c r="A202" s="2" t="str">
        <x:v>L000198</x:v>
      </x:c>
      <x:c r="B202" s="2" t="str">
        <x:v>O00081</x:v>
      </x:c>
      <x:c r="C202" s="7" t="n">
        <x:v>45813</x:v>
      </x:c>
      <x:c r="D202" s="2" t="str">
        <x:v>Completed</x:v>
      </x:c>
      <x:c r="E202" s="2" t="str">
        <x:v>West</x:v>
      </x:c>
      <x:c r="F202" s="2" t="str">
        <x:v>Online</x:v>
      </x:c>
      <x:c r="G202" s="2" t="str">
        <x:v>Lighting</x:v>
      </x:c>
      <x:c r="H202" s="2" t="str">
        <x:v>Lamp 001</x:v>
      </x:c>
      <x:c r="I202" s="11" t="n">
        <x:v>1</x:v>
      </x:c>
      <x:c r="J202" s="9" t="n">
        <x:v>122</x:v>
      </x:c>
      <x:c r="K202" s="10" t="n">
        <x:v>0.1</x:v>
      </x:c>
      <x:c r="L202" s="11" t="n">
        <x:v>0</x:v>
      </x:c>
      <x:c r="M202" s="9" t="n">
        <x:f>IF(D202="Completed",I202*J202,0)</x:f>
        <x:v>122</x:v>
      </x:c>
      <x:c r="N202" s="9" t="n">
        <x:f>M202*K202</x:f>
        <x:v>12.200000000000001</x:v>
      </x:c>
      <x:c r="O202" s="9" t="n">
        <x:f>M202-N202</x:f>
        <x:v>109.8</x:v>
      </x:c>
      <x:c r="P202" s="9" t="n">
        <x:f>IF(D202="Completed",L202*J202*(1-K202),0)</x:f>
        <x:v>0</x:v>
      </x:c>
      <x:c r="Q202" s="9" t="n">
        <x:f>O202-P202</x:f>
        <x:v>109.8</x:v>
      </x:c>
      <x:c r="R202" s="11" t="n">
        <x:f>IF(D202="Completed",I202,0)</x:f>
        <x:v>1</x:v>
      </x:c>
      <x:c r="S202" s="11" t="n">
        <x:f>IF(D202="Completed",L202,0)</x:f>
        <x:v>0</x:v>
      </x:c>
      <x:c r="T202" s="8" t="n">
        <x:f>DATE(YEAR(C202),MONTH(C202),1)</x:f>
        <x:v>45809</x:v>
      </x:c>
    </x:row>
    <x:row r="203" ht="22" customHeight="1">
      <x:c r="A203" s="2" t="str">
        <x:v>L000199</x:v>
      </x:c>
      <x:c r="B203" s="2" t="str">
        <x:v>O00082</x:v>
      </x:c>
      <x:c r="C203" s="7" t="n">
        <x:v>45754</x:v>
      </x:c>
      <x:c r="D203" s="2" t="str">
        <x:v>Completed</x:v>
      </x:c>
      <x:c r="E203" s="2" t="str">
        <x:v>North</x:v>
      </x:c>
      <x:c r="F203" s="2" t="str">
        <x:v>Online</x:v>
      </x:c>
      <x:c r="G203" s="2" t="str">
        <x:v>Furniture</x:v>
      </x:c>
      <x:c r="H203" s="2" t="str">
        <x:v>Desk 012</x:v>
      </x:c>
      <x:c r="I203" s="11" t="n">
        <x:v>2</x:v>
      </x:c>
      <x:c r="J203" s="9" t="n">
        <x:v>134</x:v>
      </x:c>
      <x:c r="K203" s="10" t="n">
        <x:v>0.1</x:v>
      </x:c>
      <x:c r="L203" s="11" t="n">
        <x:v>0</x:v>
      </x:c>
      <x:c r="M203" s="9" t="n">
        <x:f>IF(D203="Completed",I203*J203,0)</x:f>
        <x:v>268</x:v>
      </x:c>
      <x:c r="N203" s="9" t="n">
        <x:f>M203*K203</x:f>
        <x:v>26.8</x:v>
      </x:c>
      <x:c r="O203" s="9" t="n">
        <x:f>M203-N203</x:f>
        <x:v>241.2</x:v>
      </x:c>
      <x:c r="P203" s="9" t="n">
        <x:f>IF(D203="Completed",L203*J203*(1-K203),0)</x:f>
        <x:v>0</x:v>
      </x:c>
      <x:c r="Q203" s="9" t="n">
        <x:f>O203-P203</x:f>
        <x:v>241.2</x:v>
      </x:c>
      <x:c r="R203" s="11" t="n">
        <x:f>IF(D203="Completed",I203,0)</x:f>
        <x:v>2</x:v>
      </x:c>
      <x:c r="S203" s="11" t="n">
        <x:f>IF(D203="Completed",L203,0)</x:f>
        <x:v>0</x:v>
      </x:c>
      <x:c r="T203" s="8" t="n">
        <x:f>DATE(YEAR(C203),MONTH(C203),1)</x:f>
        <x:v>45748</x:v>
      </x:c>
    </x:row>
    <x:row r="204" ht="22" customHeight="1">
      <x:c r="A204" s="2" t="str">
        <x:v>L000200</x:v>
      </x:c>
      <x:c r="B204" s="2" t="str">
        <x:v>O00082</x:v>
      </x:c>
      <x:c r="C204" s="7" t="n">
        <x:v>45754</x:v>
      </x:c>
      <x:c r="D204" s="2" t="str">
        <x:v>Completed</x:v>
      </x:c>
      <x:c r="E204" s="2" t="str">
        <x:v>North</x:v>
      </x:c>
      <x:c r="F204" s="2" t="str">
        <x:v>Online</x:v>
      </x:c>
      <x:c r="G204" s="2" t="str">
        <x:v>Lighting</x:v>
      </x:c>
      <x:c r="H204" s="2" t="str">
        <x:v>Lamp 001</x:v>
      </x:c>
      <x:c r="I204" s="11" t="n">
        <x:v>5</x:v>
      </x:c>
      <x:c r="J204" s="9" t="n">
        <x:v>122</x:v>
      </x:c>
      <x:c r="K204" s="10" t="n">
        <x:v>0.1</x:v>
      </x:c>
      <x:c r="L204" s="11" t="n">
        <x:v>0</x:v>
      </x:c>
      <x:c r="M204" s="9" t="n">
        <x:f>IF(D204="Completed",I204*J204,0)</x:f>
        <x:v>610</x:v>
      </x:c>
      <x:c r="N204" s="9" t="n">
        <x:f>M204*K204</x:f>
        <x:v>61</x:v>
      </x:c>
      <x:c r="O204" s="9" t="n">
        <x:f>M204-N204</x:f>
        <x:v>549</x:v>
      </x:c>
      <x:c r="P204" s="9" t="n">
        <x:f>IF(D204="Completed",L204*J204*(1-K204),0)</x:f>
        <x:v>0</x:v>
      </x:c>
      <x:c r="Q204" s="9" t="n">
        <x:f>O204-P204</x:f>
        <x:v>549</x:v>
      </x:c>
      <x:c r="R204" s="11" t="n">
        <x:f>IF(D204="Completed",I204,0)</x:f>
        <x:v>5</x:v>
      </x:c>
      <x:c r="S204" s="11" t="n">
        <x:f>IF(D204="Completed",L204,0)</x:f>
        <x:v>0</x:v>
      </x:c>
      <x:c r="T204" s="8" t="n">
        <x:f>DATE(YEAR(C204),MONTH(C204),1)</x:f>
        <x:v>45748</x:v>
      </x:c>
    </x:row>
    <x:row r="205" ht="22" customHeight="1">
      <x:c r="A205" s="2" t="str">
        <x:v>L000201</x:v>
      </x:c>
      <x:c r="B205" s="2" t="str">
        <x:v>O00082</x:v>
      </x:c>
      <x:c r="C205" s="7" t="n">
        <x:v>45754</x:v>
      </x:c>
      <x:c r="D205" s="2" t="str">
        <x:v>Completed</x:v>
      </x:c>
      <x:c r="E205" s="2" t="str">
        <x:v>North</x:v>
      </x:c>
      <x:c r="F205" s="2" t="str">
        <x:v>Online</x:v>
      </x:c>
      <x:c r="G205" s="2" t="str">
        <x:v>Lighting</x:v>
      </x:c>
      <x:c r="H205" s="2" t="str">
        <x:v>Lamp 005</x:v>
      </x:c>
      <x:c r="I205" s="11" t="n">
        <x:v>4</x:v>
      </x:c>
      <x:c r="J205" s="9" t="n">
        <x:v>65</x:v>
      </x:c>
      <x:c r="K205" s="10" t="n">
        <x:v>0.2</x:v>
      </x:c>
      <x:c r="L205" s="11" t="n">
        <x:v>0</x:v>
      </x:c>
      <x:c r="M205" s="9" t="n">
        <x:f>IF(D205="Completed",I205*J205,0)</x:f>
        <x:v>260</x:v>
      </x:c>
      <x:c r="N205" s="9" t="n">
        <x:f>M205*K205</x:f>
        <x:v>52</x:v>
      </x:c>
      <x:c r="O205" s="9" t="n">
        <x:f>M205-N205</x:f>
        <x:v>208</x:v>
      </x:c>
      <x:c r="P205" s="9" t="n">
        <x:f>IF(D205="Completed",L205*J205*(1-K205),0)</x:f>
        <x:v>0</x:v>
      </x:c>
      <x:c r="Q205" s="9" t="n">
        <x:f>O205-P205</x:f>
        <x:v>208</x:v>
      </x:c>
      <x:c r="R205" s="11" t="n">
        <x:f>IF(D205="Completed",I205,0)</x:f>
        <x:v>4</x:v>
      </x:c>
      <x:c r="S205" s="11" t="n">
        <x:f>IF(D205="Completed",L205,0)</x:f>
        <x:v>0</x:v>
      </x:c>
      <x:c r="T205" s="8" t="n">
        <x:f>DATE(YEAR(C205),MONTH(C205),1)</x:f>
        <x:v>45748</x:v>
      </x:c>
    </x:row>
    <x:row r="206" ht="22" customHeight="1">
      <x:c r="A206" s="2" t="str">
        <x:v>L000202</x:v>
      </x:c>
      <x:c r="B206" s="2" t="str">
        <x:v>O00082</x:v>
      </x:c>
      <x:c r="C206" s="7" t="n">
        <x:v>45754</x:v>
      </x:c>
      <x:c r="D206" s="2" t="str">
        <x:v>Completed</x:v>
      </x:c>
      <x:c r="E206" s="2" t="str">
        <x:v>North</x:v>
      </x:c>
      <x:c r="F206" s="2" t="str">
        <x:v>Online</x:v>
      </x:c>
      <x:c r="G206" s="2" t="str">
        <x:v>Furniture</x:v>
      </x:c>
      <x:c r="H206" s="2" t="str">
        <x:v>Chair 010</x:v>
      </x:c>
      <x:c r="I206" s="11" t="n">
        <x:v>3</x:v>
      </x:c>
      <x:c r="J206" s="9" t="n">
        <x:v>211</x:v>
      </x:c>
      <x:c r="K206" s="10" t="n">
        <x:v>0.2</x:v>
      </x:c>
      <x:c r="L206" s="11" t="n">
        <x:v>0</x:v>
      </x:c>
      <x:c r="M206" s="9" t="n">
        <x:f>IF(D206="Completed",I206*J206,0)</x:f>
        <x:v>633</x:v>
      </x:c>
      <x:c r="N206" s="9" t="n">
        <x:f>M206*K206</x:f>
        <x:v>126.60000000000001</x:v>
      </x:c>
      <x:c r="O206" s="9" t="n">
        <x:f>M206-N206</x:f>
        <x:v>506.4</x:v>
      </x:c>
      <x:c r="P206" s="9" t="n">
        <x:f>IF(D206="Completed",L206*J206*(1-K206),0)</x:f>
        <x:v>0</x:v>
      </x:c>
      <x:c r="Q206" s="9" t="n">
        <x:f>O206-P206</x:f>
        <x:v>506.4</x:v>
      </x:c>
      <x:c r="R206" s="11" t="n">
        <x:f>IF(D206="Completed",I206,0)</x:f>
        <x:v>3</x:v>
      </x:c>
      <x:c r="S206" s="11" t="n">
        <x:f>IF(D206="Completed",L206,0)</x:f>
        <x:v>0</x:v>
      </x:c>
      <x:c r="T206" s="8" t="n">
        <x:f>DATE(YEAR(C206),MONTH(C206),1)</x:f>
        <x:v>45748</x:v>
      </x:c>
    </x:row>
    <x:row r="207" ht="22" customHeight="1">
      <x:c r="A207" s="2" t="str">
        <x:v>L000203</x:v>
      </x:c>
      <x:c r="B207" s="2" t="str">
        <x:v>O00083</x:v>
      </x:c>
      <x:c r="C207" s="7" t="n">
        <x:v>45696</x:v>
      </x:c>
      <x:c r="D207" s="2" t="str">
        <x:v>Completed</x:v>
      </x:c>
      <x:c r="E207" s="2" t="str">
        <x:v>West</x:v>
      </x:c>
      <x:c r="F207" s="2" t="str">
        <x:v>Store</x:v>
      </x:c>
      <x:c r="G207" s="2" t="str">
        <x:v>Furniture</x:v>
      </x:c>
      <x:c r="H207" s="2" t="str">
        <x:v>Chair 010</x:v>
      </x:c>
      <x:c r="I207" s="11" t="n">
        <x:v>3</x:v>
      </x:c>
      <x:c r="J207" s="9" t="n">
        <x:v>211</x:v>
      </x:c>
      <x:c r="K207" s="10" t="n">
        <x:v>0.1</x:v>
      </x:c>
      <x:c r="L207" s="11" t="n">
        <x:v>0</x:v>
      </x:c>
      <x:c r="M207" s="9" t="n">
        <x:f>IF(D207="Completed",I207*J207,0)</x:f>
        <x:v>633</x:v>
      </x:c>
      <x:c r="N207" s="9" t="n">
        <x:f>M207*K207</x:f>
        <x:v>63.300000000000004</x:v>
      </x:c>
      <x:c r="O207" s="9" t="n">
        <x:f>M207-N207</x:f>
        <x:v>569.7</x:v>
      </x:c>
      <x:c r="P207" s="9" t="n">
        <x:f>IF(D207="Completed",L207*J207*(1-K207),0)</x:f>
        <x:v>0</x:v>
      </x:c>
      <x:c r="Q207" s="9" t="n">
        <x:f>O207-P207</x:f>
        <x:v>569.7</x:v>
      </x:c>
      <x:c r="R207" s="11" t="n">
        <x:f>IF(D207="Completed",I207,0)</x:f>
        <x:v>3</x:v>
      </x:c>
      <x:c r="S207" s="11" t="n">
        <x:f>IF(D207="Completed",L207,0)</x:f>
        <x:v>0</x:v>
      </x:c>
      <x:c r="T207" s="8" t="n">
        <x:f>DATE(YEAR(C207),MONTH(C207),1)</x:f>
        <x:v>45689</x:v>
      </x:c>
    </x:row>
    <x:row r="208" ht="22" customHeight="1">
      <x:c r="A208" s="2" t="str">
        <x:v>L000204</x:v>
      </x:c>
      <x:c r="B208" s="2" t="str">
        <x:v>O00083</x:v>
      </x:c>
      <x:c r="C208" s="7" t="n">
        <x:v>45696</x:v>
      </x:c>
      <x:c r="D208" s="2" t="str">
        <x:v>Completed</x:v>
      </x:c>
      <x:c r="E208" s="2" t="str">
        <x:v>West</x:v>
      </x:c>
      <x:c r="F208" s="2" t="str">
        <x:v>Store</x:v>
      </x:c>
      <x:c r="G208" s="2" t="str">
        <x:v>Lighting</x:v>
      </x:c>
      <x:c r="H208" s="2" t="str">
        <x:v>Lamp 013</x:v>
      </x:c>
      <x:c r="I208" s="11" t="n">
        <x:v>4</x:v>
      </x:c>
      <x:c r="J208" s="9" t="n">
        <x:v>271</x:v>
      </x:c>
      <x:c r="K208" s="10" t="n">
        <x:v>0.2</x:v>
      </x:c>
      <x:c r="L208" s="11" t="n">
        <x:v>3</x:v>
      </x:c>
      <x:c r="M208" s="9" t="n">
        <x:f>IF(D208="Completed",I208*J208,0)</x:f>
        <x:v>1084</x:v>
      </x:c>
      <x:c r="N208" s="9" t="n">
        <x:f>M208*K208</x:f>
        <x:v>216.8</x:v>
      </x:c>
      <x:c r="O208" s="9" t="n">
        <x:f>M208-N208</x:f>
        <x:v>867.2</x:v>
      </x:c>
      <x:c r="P208" s="9" t="n">
        <x:f>IF(D208="Completed",L208*J208*(1-K208),0)</x:f>
        <x:v>650.4000000000001</x:v>
      </x:c>
      <x:c r="Q208" s="9" t="n">
        <x:f>O208-P208</x:f>
        <x:v>216.79999999999995</x:v>
      </x:c>
      <x:c r="R208" s="11" t="n">
        <x:f>IF(D208="Completed",I208,0)</x:f>
        <x:v>4</x:v>
      </x:c>
      <x:c r="S208" s="11" t="n">
        <x:f>IF(D208="Completed",L208,0)</x:f>
        <x:v>3</x:v>
      </x:c>
      <x:c r="T208" s="8" t="n">
        <x:f>DATE(YEAR(C208),MONTH(C208),1)</x:f>
        <x:v>45689</x:v>
      </x:c>
    </x:row>
    <x:row r="209" ht="22" customHeight="1">
      <x:c r="A209" s="2" t="str">
        <x:v>L000205</x:v>
      </x:c>
      <x:c r="B209" s="2" t="str">
        <x:v>O00084</x:v>
      </x:c>
      <x:c r="C209" s="7" t="n">
        <x:v>45835</x:v>
      </x:c>
      <x:c r="D209" s="2" t="str">
        <x:v>Completed</x:v>
      </x:c>
      <x:c r="E209" s="2" t="str">
        <x:v>East</x:v>
      </x:c>
      <x:c r="F209" s="2" t="str">
        <x:v>Store</x:v>
      </x:c>
      <x:c r="G209" s="2" t="str">
        <x:v>Furniture</x:v>
      </x:c>
      <x:c r="H209" s="2" t="str">
        <x:v>Desk 004</x:v>
      </x:c>
      <x:c r="I209" s="11" t="n">
        <x:v>5</x:v>
      </x:c>
      <x:c r="J209" s="9" t="n">
        <x:v>123</x:v>
      </x:c>
      <x:c r="K209" s="10" t="n">
        <x:v>0.05</x:v>
      </x:c>
      <x:c r="L209" s="11" t="n">
        <x:v>0</x:v>
      </x:c>
      <x:c r="M209" s="9" t="n">
        <x:f>IF(D209="Completed",I209*J209,0)</x:f>
        <x:v>615</x:v>
      </x:c>
      <x:c r="N209" s="9" t="n">
        <x:f>M209*K209</x:f>
        <x:v>30.75</x:v>
      </x:c>
      <x:c r="O209" s="9" t="n">
        <x:f>M209-N209</x:f>
        <x:v>584.25</x:v>
      </x:c>
      <x:c r="P209" s="9" t="n">
        <x:f>IF(D209="Completed",L209*J209*(1-K209),0)</x:f>
        <x:v>0</x:v>
      </x:c>
      <x:c r="Q209" s="9" t="n">
        <x:f>O209-P209</x:f>
        <x:v>584.25</x:v>
      </x:c>
      <x:c r="R209" s="11" t="n">
        <x:f>IF(D209="Completed",I209,0)</x:f>
        <x:v>5</x:v>
      </x:c>
      <x:c r="S209" s="11" t="n">
        <x:f>IF(D209="Completed",L209,0)</x:f>
        <x:v>0</x:v>
      </x:c>
      <x:c r="T209" s="8" t="n">
        <x:f>DATE(YEAR(C209),MONTH(C209),1)</x:f>
        <x:v>45809</x:v>
      </x:c>
    </x:row>
    <x:row r="210" ht="22" customHeight="1">
      <x:c r="A210" s="2" t="str">
        <x:v>L000206</x:v>
      </x:c>
      <x:c r="B210" s="2" t="str">
        <x:v>O00084</x:v>
      </x:c>
      <x:c r="C210" s="7" t="n">
        <x:v>45835</x:v>
      </x:c>
      <x:c r="D210" s="2" t="str">
        <x:v>Completed</x:v>
      </x:c>
      <x:c r="E210" s="2" t="str">
        <x:v>East</x:v>
      </x:c>
      <x:c r="F210" s="2" t="str">
        <x:v>Store</x:v>
      </x:c>
      <x:c r="G210" s="2" t="str">
        <x:v>Storage</x:v>
      </x:c>
      <x:c r="H210" s="2" t="str">
        <x:v>Shelf 007</x:v>
      </x:c>
      <x:c r="I210" s="11" t="n">
        <x:v>5</x:v>
      </x:c>
      <x:c r="J210" s="9" t="n">
        <x:v>35</x:v>
      </x:c>
      <x:c r="K210" s="10" t="n">
        <x:v>0.1</x:v>
      </x:c>
      <x:c r="L210" s="11" t="n">
        <x:v>5</x:v>
      </x:c>
      <x:c r="M210" s="9" t="n">
        <x:f>IF(D210="Completed",I210*J210,0)</x:f>
        <x:v>175</x:v>
      </x:c>
      <x:c r="N210" s="9" t="n">
        <x:f>M210*K210</x:f>
        <x:v>17.5</x:v>
      </x:c>
      <x:c r="O210" s="9" t="n">
        <x:f>M210-N210</x:f>
        <x:v>157.5</x:v>
      </x:c>
      <x:c r="P210" s="9" t="n">
        <x:f>IF(D210="Completed",L210*J210*(1-K210),0)</x:f>
        <x:v>157.5</x:v>
      </x:c>
      <x:c r="Q210" s="9" t="n">
        <x:f>O210-P210</x:f>
        <x:v>0</x:v>
      </x:c>
      <x:c r="R210" s="11" t="n">
        <x:f>IF(D210="Completed",I210,0)</x:f>
        <x:v>5</x:v>
      </x:c>
      <x:c r="S210" s="11" t="n">
        <x:f>IF(D210="Completed",L210,0)</x:f>
        <x:v>5</x:v>
      </x:c>
      <x:c r="T210" s="8" t="n">
        <x:f>DATE(YEAR(C210),MONTH(C210),1)</x:f>
        <x:v>45809</x:v>
      </x:c>
    </x:row>
    <x:row r="211" ht="22" customHeight="1">
      <x:c r="A211" s="2" t="str">
        <x:v>L000207</x:v>
      </x:c>
      <x:c r="B211" s="2" t="str">
        <x:v>O00084</x:v>
      </x:c>
      <x:c r="C211" s="7" t="n">
        <x:v>45835</x:v>
      </x:c>
      <x:c r="D211" s="2" t="str">
        <x:v>Completed</x:v>
      </x:c>
      <x:c r="E211" s="2" t="str">
        <x:v>East</x:v>
      </x:c>
      <x:c r="F211" s="2" t="str">
        <x:v>Store</x:v>
      </x:c>
      <x:c r="G211" s="2" t="str">
        <x:v>Furniture</x:v>
      </x:c>
      <x:c r="H211" s="2" t="str">
        <x:v>Chair 022</x:v>
      </x:c>
      <x:c r="I211" s="11" t="n">
        <x:v>5</x:v>
      </x:c>
      <x:c r="J211" s="9" t="n">
        <x:v>134</x:v>
      </x:c>
      <x:c r="K211" s="10" t="n">
        <x:v>0.2</x:v>
      </x:c>
      <x:c r="L211" s="11" t="n">
        <x:v>0</x:v>
      </x:c>
      <x:c r="M211" s="9" t="n">
        <x:f>IF(D211="Completed",I211*J211,0)</x:f>
        <x:v>670</x:v>
      </x:c>
      <x:c r="N211" s="9" t="n">
        <x:f>M211*K211</x:f>
        <x:v>134</x:v>
      </x:c>
      <x:c r="O211" s="9" t="n">
        <x:f>M211-N211</x:f>
        <x:v>536</x:v>
      </x:c>
      <x:c r="P211" s="9" t="n">
        <x:f>IF(D211="Completed",L211*J211*(1-K211),0)</x:f>
        <x:v>0</x:v>
      </x:c>
      <x:c r="Q211" s="9" t="n">
        <x:f>O211-P211</x:f>
        <x:v>536</x:v>
      </x:c>
      <x:c r="R211" s="11" t="n">
        <x:f>IF(D211="Completed",I211,0)</x:f>
        <x:v>5</x:v>
      </x:c>
      <x:c r="S211" s="11" t="n">
        <x:f>IF(D211="Completed",L211,0)</x:f>
        <x:v>0</x:v>
      </x:c>
      <x:c r="T211" s="8" t="n">
        <x:f>DATE(YEAR(C211),MONTH(C211),1)</x:f>
        <x:v>45809</x:v>
      </x:c>
    </x:row>
    <x:row r="212" ht="22" customHeight="1">
      <x:c r="A212" s="2" t="str">
        <x:v>L000208</x:v>
      </x:c>
      <x:c r="B212" s="2" t="str">
        <x:v>O00084</x:v>
      </x:c>
      <x:c r="C212" s="7" t="n">
        <x:v>45835</x:v>
      </x:c>
      <x:c r="D212" s="2" t="str">
        <x:v>Completed</x:v>
      </x:c>
      <x:c r="E212" s="2" t="str">
        <x:v>East</x:v>
      </x:c>
      <x:c r="F212" s="2" t="str">
        <x:v>Store</x:v>
      </x:c>
      <x:c r="G212" s="2" t="str">
        <x:v>Furniture</x:v>
      </x:c>
      <x:c r="H212" s="2" t="str">
        <x:v>Desk 024</x:v>
      </x:c>
      <x:c r="I212" s="11" t="n">
        <x:v>3</x:v>
      </x:c>
      <x:c r="J212" s="9" t="n">
        <x:v>81</x:v>
      </x:c>
      <x:c r="K212" s="10" t="n">
        <x:v>0.1</x:v>
      </x:c>
      <x:c r="L212" s="11" t="n">
        <x:v>0</x:v>
      </x:c>
      <x:c r="M212" s="9" t="n">
        <x:f>IF(D212="Completed",I212*J212,0)</x:f>
        <x:v>243</x:v>
      </x:c>
      <x:c r="N212" s="9" t="n">
        <x:f>M212*K212</x:f>
        <x:v>24.3</x:v>
      </x:c>
      <x:c r="O212" s="9" t="n">
        <x:f>M212-N212</x:f>
        <x:v>218.7</x:v>
      </x:c>
      <x:c r="P212" s="9" t="n">
        <x:f>IF(D212="Completed",L212*J212*(1-K212),0)</x:f>
        <x:v>0</x:v>
      </x:c>
      <x:c r="Q212" s="9" t="n">
        <x:f>O212-P212</x:f>
        <x:v>218.7</x:v>
      </x:c>
      <x:c r="R212" s="11" t="n">
        <x:f>IF(D212="Completed",I212,0)</x:f>
        <x:v>3</x:v>
      </x:c>
      <x:c r="S212" s="11" t="n">
        <x:f>IF(D212="Completed",L212,0)</x:f>
        <x:v>0</x:v>
      </x:c>
      <x:c r="T212" s="8" t="n">
        <x:f>DATE(YEAR(C212),MONTH(C212),1)</x:f>
        <x:v>45809</x:v>
      </x:c>
    </x:row>
    <x:row r="213" ht="22" customHeight="1">
      <x:c r="A213" s="2" t="str">
        <x:v>L000209</x:v>
      </x:c>
      <x:c r="B213" s="2" t="str">
        <x:v>O00085</x:v>
      </x:c>
      <x:c r="C213" s="7" t="n">
        <x:v>45743</x:v>
      </x:c>
      <x:c r="D213" s="2" t="str">
        <x:v>Completed</x:v>
      </x:c>
      <x:c r="E213" s="2" t="str">
        <x:v>East</x:v>
      </x:c>
      <x:c r="F213" s="2" t="str">
        <x:v>Store</x:v>
      </x:c>
      <x:c r="G213" s="2" t="str">
        <x:v>Furniture</x:v>
      </x:c>
      <x:c r="H213" s="2" t="str">
        <x:v>Desk 016</x:v>
      </x:c>
      <x:c r="I213" s="11" t="n">
        <x:v>5</x:v>
      </x:c>
      <x:c r="J213" s="9" t="n">
        <x:v>231</x:v>
      </x:c>
      <x:c r="K213" s="10" t="n">
        <x:v>0.05</x:v>
      </x:c>
      <x:c r="L213" s="11" t="n">
        <x:v>0</x:v>
      </x:c>
      <x:c r="M213" s="9" t="n">
        <x:f>IF(D213="Completed",I213*J213,0)</x:f>
        <x:v>1155</x:v>
      </x:c>
      <x:c r="N213" s="9" t="n">
        <x:f>M213*K213</x:f>
        <x:v>57.75</x:v>
      </x:c>
      <x:c r="O213" s="9" t="n">
        <x:f>M213-N213</x:f>
        <x:v>1097.25</x:v>
      </x:c>
      <x:c r="P213" s="9" t="n">
        <x:f>IF(D213="Completed",L213*J213*(1-K213),0)</x:f>
        <x:v>0</x:v>
      </x:c>
      <x:c r="Q213" s="9" t="n">
        <x:f>O213-P213</x:f>
        <x:v>1097.25</x:v>
      </x:c>
      <x:c r="R213" s="11" t="n">
        <x:f>IF(D213="Completed",I213,0)</x:f>
        <x:v>5</x:v>
      </x:c>
      <x:c r="S213" s="11" t="n">
        <x:f>IF(D213="Completed",L213,0)</x:f>
        <x:v>0</x:v>
      </x:c>
      <x:c r="T213" s="8" t="n">
        <x:f>DATE(YEAR(C213),MONTH(C213),1)</x:f>
        <x:v>45717</x:v>
      </x:c>
    </x:row>
    <x:row r="214" ht="22" customHeight="1">
      <x:c r="A214" s="2" t="str">
        <x:v>L000210</x:v>
      </x:c>
      <x:c r="B214" s="2" t="str">
        <x:v>O00086</x:v>
      </x:c>
      <x:c r="C214" s="7" t="n">
        <x:v>45684</x:v>
      </x:c>
      <x:c r="D214" s="2" t="str">
        <x:v>Completed</x:v>
      </x:c>
      <x:c r="E214" s="2" t="str">
        <x:v>South</x:v>
      </x:c>
      <x:c r="F214" s="2" t="str">
        <x:v>Online</x:v>
      </x:c>
      <x:c r="G214" s="2" t="str">
        <x:v>Lighting</x:v>
      </x:c>
      <x:c r="H214" s="2" t="str">
        <x:v>Lamp 021</x:v>
      </x:c>
      <x:c r="I214" s="11" t="n">
        <x:v>3</x:v>
      </x:c>
      <x:c r="J214" s="9" t="n">
        <x:v>249</x:v>
      </x:c>
      <x:c r="K214" s="10" t="n">
        <x:v>0.05</x:v>
      </x:c>
      <x:c r="L214" s="11" t="n">
        <x:v>0</x:v>
      </x:c>
      <x:c r="M214" s="9" t="n">
        <x:f>IF(D214="Completed",I214*J214,0)</x:f>
        <x:v>747</x:v>
      </x:c>
      <x:c r="N214" s="9" t="n">
        <x:f>M214*K214</x:f>
        <x:v>37.35</x:v>
      </x:c>
      <x:c r="O214" s="9" t="n">
        <x:f>M214-N214</x:f>
        <x:v>709.65</x:v>
      </x:c>
      <x:c r="P214" s="9" t="n">
        <x:f>IF(D214="Completed",L214*J214*(1-K214),0)</x:f>
        <x:v>0</x:v>
      </x:c>
      <x:c r="Q214" s="9" t="n">
        <x:f>O214-P214</x:f>
        <x:v>709.65</x:v>
      </x:c>
      <x:c r="R214" s="11" t="n">
        <x:f>IF(D214="Completed",I214,0)</x:f>
        <x:v>3</x:v>
      </x:c>
      <x:c r="S214" s="11" t="n">
        <x:f>IF(D214="Completed",L214,0)</x:f>
        <x:v>0</x:v>
      </x:c>
      <x:c r="T214" s="8" t="n">
        <x:f>DATE(YEAR(C214),MONTH(C214),1)</x:f>
        <x:v>45658</x:v>
      </x:c>
    </x:row>
    <x:row r="215" ht="22" customHeight="1">
      <x:c r="A215" s="2" t="str">
        <x:v>L000211</x:v>
      </x:c>
      <x:c r="B215" s="2" t="str">
        <x:v>O00086</x:v>
      </x:c>
      <x:c r="C215" s="7" t="n">
        <x:v>45684</x:v>
      </x:c>
      <x:c r="D215" s="2" t="str">
        <x:v>Completed</x:v>
      </x:c>
      <x:c r="E215" s="2" t="str">
        <x:v>South</x:v>
      </x:c>
      <x:c r="F215" s="2" t="str">
        <x:v>Online</x:v>
      </x:c>
      <x:c r="G215" s="2" t="str">
        <x:v>Furniture</x:v>
      </x:c>
      <x:c r="H215" s="2" t="str">
        <x:v>Desk 024</x:v>
      </x:c>
      <x:c r="I215" s="11" t="n">
        <x:v>1</x:v>
      </x:c>
      <x:c r="J215" s="9" t="n">
        <x:v>81</x:v>
      </x:c>
      <x:c r="K215" s="10" t="n">
        <x:v>0.05</x:v>
      </x:c>
      <x:c r="L215" s="11" t="n">
        <x:v>0</x:v>
      </x:c>
      <x:c r="M215" s="9" t="n">
        <x:f>IF(D215="Completed",I215*J215,0)</x:f>
        <x:v>81</x:v>
      </x:c>
      <x:c r="N215" s="9" t="n">
        <x:f>M215*K215</x:f>
        <x:v>4.05</x:v>
      </x:c>
      <x:c r="O215" s="9" t="n">
        <x:f>M215-N215</x:f>
        <x:v>76.95</x:v>
      </x:c>
      <x:c r="P215" s="9" t="n">
        <x:f>IF(D215="Completed",L215*J215*(1-K215),0)</x:f>
        <x:v>0</x:v>
      </x:c>
      <x:c r="Q215" s="9" t="n">
        <x:f>O215-P215</x:f>
        <x:v>76.95</x:v>
      </x:c>
      <x:c r="R215" s="11" t="n">
        <x:f>IF(D215="Completed",I215,0)</x:f>
        <x:v>1</x:v>
      </x:c>
      <x:c r="S215" s="11" t="n">
        <x:f>IF(D215="Completed",L215,0)</x:f>
        <x:v>0</x:v>
      </x:c>
      <x:c r="T215" s="8" t="n">
        <x:f>DATE(YEAR(C215),MONTH(C215),1)</x:f>
        <x:v>45658</x:v>
      </x:c>
    </x:row>
    <x:row r="216" ht="22" customHeight="1">
      <x:c r="A216" s="2" t="str">
        <x:v>L000212</x:v>
      </x:c>
      <x:c r="B216" s="2" t="str">
        <x:v>O00087</x:v>
      </x:c>
      <x:c r="C216" s="7" t="n">
        <x:v>45943</x:v>
      </x:c>
      <x:c r="D216" s="2" t="str">
        <x:v>Completed</x:v>
      </x:c>
      <x:c r="E216" s="2" t="str">
        <x:v>North</x:v>
      </x:c>
      <x:c r="F216" s="2" t="str">
        <x:v>Online</x:v>
      </x:c>
      <x:c r="G216" s="2" t="str">
        <x:v>Lighting</x:v>
      </x:c>
      <x:c r="H216" s="2" t="str">
        <x:v>Lamp 001</x:v>
      </x:c>
      <x:c r="I216" s="11" t="n">
        <x:v>2</x:v>
      </x:c>
      <x:c r="J216" s="9" t="n">
        <x:v>122</x:v>
      </x:c>
      <x:c r="K216" s="10" t="n">
        <x:v>0.2</x:v>
      </x:c>
      <x:c r="L216" s="11" t="n">
        <x:v>0</x:v>
      </x:c>
      <x:c r="M216" s="9" t="n">
        <x:f>IF(D216="Completed",I216*J216,0)</x:f>
        <x:v>244</x:v>
      </x:c>
      <x:c r="N216" s="9" t="n">
        <x:f>M216*K216</x:f>
        <x:v>48.800000000000004</x:v>
      </x:c>
      <x:c r="O216" s="9" t="n">
        <x:f>M216-N216</x:f>
        <x:v>195.2</x:v>
      </x:c>
      <x:c r="P216" s="9" t="n">
        <x:f>IF(D216="Completed",L216*J216*(1-K216),0)</x:f>
        <x:v>0</x:v>
      </x:c>
      <x:c r="Q216" s="9" t="n">
        <x:f>O216-P216</x:f>
        <x:v>195.2</x:v>
      </x:c>
      <x:c r="R216" s="11" t="n">
        <x:f>IF(D216="Completed",I216,0)</x:f>
        <x:v>2</x:v>
      </x:c>
      <x:c r="S216" s="11" t="n">
        <x:f>IF(D216="Completed",L216,0)</x:f>
        <x:v>0</x:v>
      </x:c>
      <x:c r="T216" s="8" t="n">
        <x:f>DATE(YEAR(C216),MONTH(C216),1)</x:f>
        <x:v>45931</x:v>
      </x:c>
    </x:row>
    <x:row r="217" ht="22" customHeight="1">
      <x:c r="A217" s="2" t="str">
        <x:v>L000213</x:v>
      </x:c>
      <x:c r="B217" s="2" t="str">
        <x:v>O00088</x:v>
      </x:c>
      <x:c r="C217" s="7" t="n">
        <x:v>45766</x:v>
      </x:c>
      <x:c r="D217" s="2" t="str">
        <x:v>Completed</x:v>
      </x:c>
      <x:c r="E217" s="2" t="str">
        <x:v>East</x:v>
      </x:c>
      <x:c r="F217" s="2" t="str">
        <x:v>Store</x:v>
      </x:c>
      <x:c r="G217" s="2" t="str">
        <x:v>Furniture</x:v>
      </x:c>
      <x:c r="H217" s="2" t="str">
        <x:v>Chair 022</x:v>
      </x:c>
      <x:c r="I217" s="11" t="n">
        <x:v>4</x:v>
      </x:c>
      <x:c r="J217" s="9" t="n">
        <x:v>134</x:v>
      </x:c>
      <x:c r="K217" s="10" t="n">
        <x:v>0</x:v>
      </x:c>
      <x:c r="L217" s="11" t="n">
        <x:v>0</x:v>
      </x:c>
      <x:c r="M217" s="9" t="n">
        <x:f>IF(D217="Completed",I217*J217,0)</x:f>
        <x:v>536</x:v>
      </x:c>
      <x:c r="N217" s="9" t="n">
        <x:f>M217*K217</x:f>
        <x:v>0</x:v>
      </x:c>
      <x:c r="O217" s="9" t="n">
        <x:f>M217-N217</x:f>
        <x:v>536</x:v>
      </x:c>
      <x:c r="P217" s="9" t="n">
        <x:f>IF(D217="Completed",L217*J217*(1-K217),0)</x:f>
        <x:v>0</x:v>
      </x:c>
      <x:c r="Q217" s="9" t="n">
        <x:f>O217-P217</x:f>
        <x:v>536</x:v>
      </x:c>
      <x:c r="R217" s="11" t="n">
        <x:f>IF(D217="Completed",I217,0)</x:f>
        <x:v>4</x:v>
      </x:c>
      <x:c r="S217" s="11" t="n">
        <x:f>IF(D217="Completed",L217,0)</x:f>
        <x:v>0</x:v>
      </x:c>
      <x:c r="T217" s="8" t="n">
        <x:f>DATE(YEAR(C217),MONTH(C217),1)</x:f>
        <x:v>45748</x:v>
      </x:c>
    </x:row>
    <x:row r="218" ht="22" customHeight="1">
      <x:c r="A218" s="2" t="str">
        <x:v>L000214</x:v>
      </x:c>
      <x:c r="B218" s="2" t="str">
        <x:v>O00089</x:v>
      </x:c>
      <x:c r="C218" s="7" t="n">
        <x:v>45881</x:v>
      </x:c>
      <x:c r="D218" s="2" t="str">
        <x:v>Completed</x:v>
      </x:c>
      <x:c r="E218" s="2" t="str">
        <x:v>West</x:v>
      </x:c>
      <x:c r="F218" s="2" t="str">
        <x:v>Store</x:v>
      </x:c>
      <x:c r="G218" s="2" t="str">
        <x:v>Lighting</x:v>
      </x:c>
      <x:c r="H218" s="2" t="str">
        <x:v>Lamp 021</x:v>
      </x:c>
      <x:c r="I218" s="11" t="n">
        <x:v>2</x:v>
      </x:c>
      <x:c r="J218" s="9" t="n">
        <x:v>249</x:v>
      </x:c>
      <x:c r="K218" s="10" t="n">
        <x:v>0.2</x:v>
      </x:c>
      <x:c r="L218" s="11" t="n">
        <x:v>0</x:v>
      </x:c>
      <x:c r="M218" s="9" t="n">
        <x:f>IF(D218="Completed",I218*J218,0)</x:f>
        <x:v>498</x:v>
      </x:c>
      <x:c r="N218" s="9" t="n">
        <x:f>M218*K218</x:f>
        <x:v>99.60000000000001</x:v>
      </x:c>
      <x:c r="O218" s="9" t="n">
        <x:f>M218-N218</x:f>
        <x:v>398.4</x:v>
      </x:c>
      <x:c r="P218" s="9" t="n">
        <x:f>IF(D218="Completed",L218*J218*(1-K218),0)</x:f>
        <x:v>0</x:v>
      </x:c>
      <x:c r="Q218" s="9" t="n">
        <x:f>O218-P218</x:f>
        <x:v>398.4</x:v>
      </x:c>
      <x:c r="R218" s="11" t="n">
        <x:f>IF(D218="Completed",I218,0)</x:f>
        <x:v>2</x:v>
      </x:c>
      <x:c r="S218" s="11" t="n">
        <x:f>IF(D218="Completed",L218,0)</x:f>
        <x:v>0</x:v>
      </x:c>
      <x:c r="T218" s="8" t="n">
        <x:f>DATE(YEAR(C218),MONTH(C218),1)</x:f>
        <x:v>45870</x:v>
      </x:c>
    </x:row>
    <x:row r="219" ht="22" customHeight="1">
      <x:c r="A219" s="2" t="str">
        <x:v>L000215</x:v>
      </x:c>
      <x:c r="B219" s="2" t="str">
        <x:v>O00090</x:v>
      </x:c>
      <x:c r="C219" s="7" t="n">
        <x:v>46018</x:v>
      </x:c>
      <x:c r="D219" s="2" t="str">
        <x:v>Completed</x:v>
      </x:c>
      <x:c r="E219" s="2" t="str">
        <x:v>South</x:v>
      </x:c>
      <x:c r="F219" s="2" t="str">
        <x:v>Online</x:v>
      </x:c>
      <x:c r="G219" s="2" t="str">
        <x:v>Furniture</x:v>
      </x:c>
      <x:c r="H219" s="2" t="str">
        <x:v>Chair 018</x:v>
      </x:c>
      <x:c r="I219" s="11" t="n">
        <x:v>3</x:v>
      </x:c>
      <x:c r="J219" s="9" t="n">
        <x:v>269</x:v>
      </x:c>
      <x:c r="K219" s="10" t="n">
        <x:v>0</x:v>
      </x:c>
      <x:c r="L219" s="11" t="n">
        <x:v>0</x:v>
      </x:c>
      <x:c r="M219" s="9" t="n">
        <x:f>IF(D219="Completed",I219*J219,0)</x:f>
        <x:v>807</x:v>
      </x:c>
      <x:c r="N219" s="9" t="n">
        <x:f>M219*K219</x:f>
        <x:v>0</x:v>
      </x:c>
      <x:c r="O219" s="9" t="n">
        <x:f>M219-N219</x:f>
        <x:v>807</x:v>
      </x:c>
      <x:c r="P219" s="9" t="n">
        <x:f>IF(D219="Completed",L219*J219*(1-K219),0)</x:f>
        <x:v>0</x:v>
      </x:c>
      <x:c r="Q219" s="9" t="n">
        <x:f>O219-P219</x:f>
        <x:v>807</x:v>
      </x:c>
      <x:c r="R219" s="11" t="n">
        <x:f>IF(D219="Completed",I219,0)</x:f>
        <x:v>3</x:v>
      </x:c>
      <x:c r="S219" s="11" t="n">
        <x:f>IF(D219="Completed",L219,0)</x:f>
        <x:v>0</x:v>
      </x:c>
      <x:c r="T219" s="8" t="n">
        <x:f>DATE(YEAR(C219),MONTH(C219),1)</x:f>
        <x:v>45992</x:v>
      </x:c>
    </x:row>
    <x:row r="220" ht="22" customHeight="1">
      <x:c r="A220" s="2" t="str">
        <x:v>L000216</x:v>
      </x:c>
      <x:c r="B220" s="2" t="str">
        <x:v>O00090</x:v>
      </x:c>
      <x:c r="C220" s="7" t="n">
        <x:v>46018</x:v>
      </x:c>
      <x:c r="D220" s="2" t="str">
        <x:v>Completed</x:v>
      </x:c>
      <x:c r="E220" s="2" t="str">
        <x:v>South</x:v>
      </x:c>
      <x:c r="F220" s="2" t="str">
        <x:v>Online</x:v>
      </x:c>
      <x:c r="G220" s="2" t="str">
        <x:v>Lighting</x:v>
      </x:c>
      <x:c r="H220" s="2" t="str">
        <x:v>Lamp 013</x:v>
      </x:c>
      <x:c r="I220" s="11" t="n">
        <x:v>1</x:v>
      </x:c>
      <x:c r="J220" s="9" t="n">
        <x:v>271</x:v>
      </x:c>
      <x:c r="K220" s="10" t="n">
        <x:v>0.05</x:v>
      </x:c>
      <x:c r="L220" s="11" t="n">
        <x:v>0</x:v>
      </x:c>
      <x:c r="M220" s="9" t="n">
        <x:f>IF(D220="Completed",I220*J220,0)</x:f>
        <x:v>271</x:v>
      </x:c>
      <x:c r="N220" s="9" t="n">
        <x:f>M220*K220</x:f>
        <x:v>13.55</x:v>
      </x:c>
      <x:c r="O220" s="9" t="n">
        <x:f>M220-N220</x:f>
        <x:v>257.45</x:v>
      </x:c>
      <x:c r="P220" s="9" t="n">
        <x:f>IF(D220="Completed",L220*J220*(1-K220),0)</x:f>
        <x:v>0</x:v>
      </x:c>
      <x:c r="Q220" s="9" t="n">
        <x:f>O220-P220</x:f>
        <x:v>257.45</x:v>
      </x:c>
      <x:c r="R220" s="11" t="n">
        <x:f>IF(D220="Completed",I220,0)</x:f>
        <x:v>1</x:v>
      </x:c>
      <x:c r="S220" s="11" t="n">
        <x:f>IF(D220="Completed",L220,0)</x:f>
        <x:v>0</x:v>
      </x:c>
      <x:c r="T220" s="8" t="n">
        <x:f>DATE(YEAR(C220),MONTH(C220),1)</x:f>
        <x:v>45992</x:v>
      </x:c>
    </x:row>
    <x:row r="221" ht="22" customHeight="1">
      <x:c r="A221" s="2" t="str">
        <x:v>L000217</x:v>
      </x:c>
      <x:c r="B221" s="2" t="str">
        <x:v>O00090</x:v>
      </x:c>
      <x:c r="C221" s="7" t="n">
        <x:v>46018</x:v>
      </x:c>
      <x:c r="D221" s="2" t="str">
        <x:v>Completed</x:v>
      </x:c>
      <x:c r="E221" s="2" t="str">
        <x:v>South</x:v>
      </x:c>
      <x:c r="F221" s="2" t="str">
        <x:v>Online</x:v>
      </x:c>
      <x:c r="G221" s="2" t="str">
        <x:v>Furniture</x:v>
      </x:c>
      <x:c r="H221" s="2" t="str">
        <x:v>Desk 004</x:v>
      </x:c>
      <x:c r="I221" s="11" t="n">
        <x:v>1</x:v>
      </x:c>
      <x:c r="J221" s="9" t="n">
        <x:v>123</x:v>
      </x:c>
      <x:c r="K221" s="10" t="n">
        <x:v>0.05</x:v>
      </x:c>
      <x:c r="L221" s="11" t="n">
        <x:v>0</x:v>
      </x:c>
      <x:c r="M221" s="9" t="n">
        <x:f>IF(D221="Completed",I221*J221,0)</x:f>
        <x:v>123</x:v>
      </x:c>
      <x:c r="N221" s="9" t="n">
        <x:f>M221*K221</x:f>
        <x:v>6.15</x:v>
      </x:c>
      <x:c r="O221" s="9" t="n">
        <x:f>M221-N221</x:f>
        <x:v>116.85</x:v>
      </x:c>
      <x:c r="P221" s="9" t="n">
        <x:f>IF(D221="Completed",L221*J221*(1-K221),0)</x:f>
        <x:v>0</x:v>
      </x:c>
      <x:c r="Q221" s="9" t="n">
        <x:f>O221-P221</x:f>
        <x:v>116.85</x:v>
      </x:c>
      <x:c r="R221" s="11" t="n">
        <x:f>IF(D221="Completed",I221,0)</x:f>
        <x:v>1</x:v>
      </x:c>
      <x:c r="S221" s="11" t="n">
        <x:f>IF(D221="Completed",L221,0)</x:f>
        <x:v>0</x:v>
      </x:c>
      <x:c r="T221" s="8" t="n">
        <x:f>DATE(YEAR(C221),MONTH(C221),1)</x:f>
        <x:v>45992</x:v>
      </x:c>
    </x:row>
    <x:row r="222" ht="22" customHeight="1">
      <x:c r="A222" s="2" t="str">
        <x:v>L000218</x:v>
      </x:c>
      <x:c r="B222" s="2" t="str">
        <x:v>O00091</x:v>
      </x:c>
      <x:c r="C222" s="7" t="n">
        <x:v>45892</x:v>
      </x:c>
      <x:c r="D222" s="2" t="str">
        <x:v>Completed</x:v>
      </x:c>
      <x:c r="E222" s="2" t="str">
        <x:v>West</x:v>
      </x:c>
      <x:c r="F222" s="2" t="str">
        <x:v>Store</x:v>
      </x:c>
      <x:c r="G222" s="2" t="str">
        <x:v>Furniture</x:v>
      </x:c>
      <x:c r="H222" s="2" t="str">
        <x:v>Chair 002</x:v>
      </x:c>
      <x:c r="I222" s="11" t="n">
        <x:v>4</x:v>
      </x:c>
      <x:c r="J222" s="9" t="n">
        <x:v>284</x:v>
      </x:c>
      <x:c r="K222" s="10" t="n">
        <x:v>0</x:v>
      </x:c>
      <x:c r="L222" s="11" t="n">
        <x:v>0</x:v>
      </x:c>
      <x:c r="M222" s="9" t="n">
        <x:f>IF(D222="Completed",I222*J222,0)</x:f>
        <x:v>1136</x:v>
      </x:c>
      <x:c r="N222" s="9" t="n">
        <x:f>M222*K222</x:f>
        <x:v>0</x:v>
      </x:c>
      <x:c r="O222" s="9" t="n">
        <x:f>M222-N222</x:f>
        <x:v>1136</x:v>
      </x:c>
      <x:c r="P222" s="9" t="n">
        <x:f>IF(D222="Completed",L222*J222*(1-K222),0)</x:f>
        <x:v>0</x:v>
      </x:c>
      <x:c r="Q222" s="9" t="n">
        <x:f>O222-P222</x:f>
        <x:v>1136</x:v>
      </x:c>
      <x:c r="R222" s="11" t="n">
        <x:f>IF(D222="Completed",I222,0)</x:f>
        <x:v>4</x:v>
      </x:c>
      <x:c r="S222" s="11" t="n">
        <x:f>IF(D222="Completed",L222,0)</x:f>
        <x:v>0</x:v>
      </x:c>
      <x:c r="T222" s="8" t="n">
        <x:f>DATE(YEAR(C222),MONTH(C222),1)</x:f>
        <x:v>45870</x:v>
      </x:c>
    </x:row>
    <x:row r="223" ht="22" customHeight="1">
      <x:c r="A223" s="2" t="str">
        <x:v>L000219</x:v>
      </x:c>
      <x:c r="B223" s="2" t="str">
        <x:v>O00091</x:v>
      </x:c>
      <x:c r="C223" s="7" t="n">
        <x:v>45892</x:v>
      </x:c>
      <x:c r="D223" s="2" t="str">
        <x:v>Completed</x:v>
      </x:c>
      <x:c r="E223" s="2" t="str">
        <x:v>West</x:v>
      </x:c>
      <x:c r="F223" s="2" t="str">
        <x:v>Store</x:v>
      </x:c>
      <x:c r="G223" s="2" t="str">
        <x:v>Furniture</x:v>
      </x:c>
      <x:c r="H223" s="2" t="str">
        <x:v>Chair 018</x:v>
      </x:c>
      <x:c r="I223" s="11" t="n">
        <x:v>4</x:v>
      </x:c>
      <x:c r="J223" s="9" t="n">
        <x:v>269</x:v>
      </x:c>
      <x:c r="K223" s="10" t="n">
        <x:v>0.05</x:v>
      </x:c>
      <x:c r="L223" s="11" t="n">
        <x:v>0</x:v>
      </x:c>
      <x:c r="M223" s="9" t="n">
        <x:f>IF(D223="Completed",I223*J223,0)</x:f>
        <x:v>1076</x:v>
      </x:c>
      <x:c r="N223" s="9" t="n">
        <x:f>M223*K223</x:f>
        <x:v>53.800000000000004</x:v>
      </x:c>
      <x:c r="O223" s="9" t="n">
        <x:f>M223-N223</x:f>
        <x:v>1022.2</x:v>
      </x:c>
      <x:c r="P223" s="9" t="n">
        <x:f>IF(D223="Completed",L223*J223*(1-K223),0)</x:f>
        <x:v>0</x:v>
      </x:c>
      <x:c r="Q223" s="9" t="n">
        <x:f>O223-P223</x:f>
        <x:v>1022.2</x:v>
      </x:c>
      <x:c r="R223" s="11" t="n">
        <x:f>IF(D223="Completed",I223,0)</x:f>
        <x:v>4</x:v>
      </x:c>
      <x:c r="S223" s="11" t="n">
        <x:f>IF(D223="Completed",L223,0)</x:f>
        <x:v>0</x:v>
      </x:c>
      <x:c r="T223" s="8" t="n">
        <x:f>DATE(YEAR(C223),MONTH(C223),1)</x:f>
        <x:v>45870</x:v>
      </x:c>
    </x:row>
    <x:row r="224" ht="22" customHeight="1">
      <x:c r="A224" s="2" t="str">
        <x:v>L000220</x:v>
      </x:c>
      <x:c r="B224" s="2" t="str">
        <x:v>O00091</x:v>
      </x:c>
      <x:c r="C224" s="7" t="n">
        <x:v>45892</x:v>
      </x:c>
      <x:c r="D224" s="2" t="str">
        <x:v>Completed</x:v>
      </x:c>
      <x:c r="E224" s="2" t="str">
        <x:v>West</x:v>
      </x:c>
      <x:c r="F224" s="2" t="str">
        <x:v>Store</x:v>
      </x:c>
      <x:c r="G224" s="2" t="str">
        <x:v>Furniture</x:v>
      </x:c>
      <x:c r="H224" s="2" t="str">
        <x:v>Chair 022</x:v>
      </x:c>
      <x:c r="I224" s="11" t="n">
        <x:v>5</x:v>
      </x:c>
      <x:c r="J224" s="9" t="n">
        <x:v>134</x:v>
      </x:c>
      <x:c r="K224" s="10" t="n">
        <x:v>0.2</x:v>
      </x:c>
      <x:c r="L224" s="11" t="n">
        <x:v>0</x:v>
      </x:c>
      <x:c r="M224" s="9" t="n">
        <x:f>IF(D224="Completed",I224*J224,0)</x:f>
        <x:v>670</x:v>
      </x:c>
      <x:c r="N224" s="9" t="n">
        <x:f>M224*K224</x:f>
        <x:v>134</x:v>
      </x:c>
      <x:c r="O224" s="9" t="n">
        <x:f>M224-N224</x:f>
        <x:v>536</x:v>
      </x:c>
      <x:c r="P224" s="9" t="n">
        <x:f>IF(D224="Completed",L224*J224*(1-K224),0)</x:f>
        <x:v>0</x:v>
      </x:c>
      <x:c r="Q224" s="9" t="n">
        <x:f>O224-P224</x:f>
        <x:v>536</x:v>
      </x:c>
      <x:c r="R224" s="11" t="n">
        <x:f>IF(D224="Completed",I224,0)</x:f>
        <x:v>5</x:v>
      </x:c>
      <x:c r="S224" s="11" t="n">
        <x:f>IF(D224="Completed",L224,0)</x:f>
        <x:v>0</x:v>
      </x:c>
      <x:c r="T224" s="8" t="n">
        <x:f>DATE(YEAR(C224),MONTH(C224),1)</x:f>
        <x:v>45870</x:v>
      </x:c>
    </x:row>
    <x:row r="225" ht="22" customHeight="1">
      <x:c r="A225" s="2" t="str">
        <x:v>L000221</x:v>
      </x:c>
      <x:c r="B225" s="2" t="str">
        <x:v>O00091</x:v>
      </x:c>
      <x:c r="C225" s="7" t="n">
        <x:v>45892</x:v>
      </x:c>
      <x:c r="D225" s="2" t="str">
        <x:v>Completed</x:v>
      </x:c>
      <x:c r="E225" s="2" t="str">
        <x:v>West</x:v>
      </x:c>
      <x:c r="F225" s="2" t="str">
        <x:v>Store</x:v>
      </x:c>
      <x:c r="G225" s="2" t="str">
        <x:v>Lighting</x:v>
      </x:c>
      <x:c r="H225" s="2" t="str">
        <x:v>Lamp 021</x:v>
      </x:c>
      <x:c r="I225" s="11" t="n">
        <x:v>1</x:v>
      </x:c>
      <x:c r="J225" s="9" t="n">
        <x:v>249</x:v>
      </x:c>
      <x:c r="K225" s="10" t="n">
        <x:v>0</x:v>
      </x:c>
      <x:c r="L225" s="11" t="n">
        <x:v>0</x:v>
      </x:c>
      <x:c r="M225" s="9" t="n">
        <x:f>IF(D225="Completed",I225*J225,0)</x:f>
        <x:v>249</x:v>
      </x:c>
      <x:c r="N225" s="9" t="n">
        <x:f>M225*K225</x:f>
        <x:v>0</x:v>
      </x:c>
      <x:c r="O225" s="9" t="n">
        <x:f>M225-N225</x:f>
        <x:v>249</x:v>
      </x:c>
      <x:c r="P225" s="9" t="n">
        <x:f>IF(D225="Completed",L225*J225*(1-K225),0)</x:f>
        <x:v>0</x:v>
      </x:c>
      <x:c r="Q225" s="9" t="n">
        <x:f>O225-P225</x:f>
        <x:v>249</x:v>
      </x:c>
      <x:c r="R225" s="11" t="n">
        <x:f>IF(D225="Completed",I225,0)</x:f>
        <x:v>1</x:v>
      </x:c>
      <x:c r="S225" s="11" t="n">
        <x:f>IF(D225="Completed",L225,0)</x:f>
        <x:v>0</x:v>
      </x:c>
      <x:c r="T225" s="8" t="n">
        <x:f>DATE(YEAR(C225),MONTH(C225),1)</x:f>
        <x:v>45870</x:v>
      </x:c>
    </x:row>
    <x:row r="226" ht="22" customHeight="1">
      <x:c r="A226" s="2" t="str">
        <x:v>L000222</x:v>
      </x:c>
      <x:c r="B226" s="2" t="str">
        <x:v>O00092</x:v>
      </x:c>
      <x:c r="C226" s="7" t="n">
        <x:v>45724</x:v>
      </x:c>
      <x:c r="D226" s="2" t="str">
        <x:v>Cancelled</x:v>
      </x:c>
      <x:c r="E226" s="2" t="str">
        <x:v>West</x:v>
      </x:c>
      <x:c r="F226" s="2" t="str">
        <x:v>Store</x:v>
      </x:c>
      <x:c r="G226" s="2" t="str">
        <x:v>Furniture</x:v>
      </x:c>
      <x:c r="H226" s="2" t="str">
        <x:v>Chair 006</x:v>
      </x:c>
      <x:c r="I226" s="11" t="n">
        <x:v>3</x:v>
      </x:c>
      <x:c r="J226" s="9" t="n">
        <x:v>196</x:v>
      </x:c>
      <x:c r="K226" s="10" t="n">
        <x:v>0</x:v>
      </x:c>
      <x:c r="L226" s="11" t="n">
        <x:v>0</x:v>
      </x:c>
      <x:c r="M226" s="9" t="n">
        <x:f>IF(D226="Completed",I226*J226,0)</x:f>
        <x:v>0</x:v>
      </x:c>
      <x:c r="N226" s="9" t="n">
        <x:f>M226*K226</x:f>
        <x:v>0</x:v>
      </x:c>
      <x:c r="O226" s="9" t="n">
        <x:f>M226-N226</x:f>
        <x:v>0</x:v>
      </x:c>
      <x:c r="P226" s="9" t="n">
        <x:f>IF(D226="Completed",L226*J226*(1-K226),0)</x:f>
        <x:v>0</x:v>
      </x:c>
      <x:c r="Q226" s="9" t="n">
        <x:f>O226-P226</x:f>
        <x:v>0</x:v>
      </x:c>
      <x:c r="R226" s="11" t="n">
        <x:f>IF(D226="Completed",I226,0)</x:f>
        <x:v>0</x:v>
      </x:c>
      <x:c r="S226" s="11" t="n">
        <x:f>IF(D226="Completed",L226,0)</x:f>
        <x:v>0</x:v>
      </x:c>
      <x:c r="T226" s="8" t="n">
        <x:f>DATE(YEAR(C226),MONTH(C226),1)</x:f>
        <x:v>45717</x:v>
      </x:c>
    </x:row>
    <x:row r="227" ht="22" customHeight="1">
      <x:c r="A227" s="2" t="str">
        <x:v>L000223</x:v>
      </x:c>
      <x:c r="B227" s="2" t="str">
        <x:v>O00092</x:v>
      </x:c>
      <x:c r="C227" s="7" t="n">
        <x:v>45724</x:v>
      </x:c>
      <x:c r="D227" s="2" t="str">
        <x:v>Cancelled</x:v>
      </x:c>
      <x:c r="E227" s="2" t="str">
        <x:v>West</x:v>
      </x:c>
      <x:c r="F227" s="2" t="str">
        <x:v>Store</x:v>
      </x:c>
      <x:c r="G227" s="2" t="str">
        <x:v>Storage</x:v>
      </x:c>
      <x:c r="H227" s="2" t="str">
        <x:v>Shelf 015</x:v>
      </x:c>
      <x:c r="I227" s="11" t="n">
        <x:v>1</x:v>
      </x:c>
      <x:c r="J227" s="9" t="n">
        <x:v>254</x:v>
      </x:c>
      <x:c r="K227" s="10" t="n">
        <x:v>0.2</x:v>
      </x:c>
      <x:c r="L227" s="11" t="n">
        <x:v>0</x:v>
      </x:c>
      <x:c r="M227" s="9" t="n">
        <x:f>IF(D227="Completed",I227*J227,0)</x:f>
        <x:v>0</x:v>
      </x:c>
      <x:c r="N227" s="9" t="n">
        <x:f>M227*K227</x:f>
        <x:v>0</x:v>
      </x:c>
      <x:c r="O227" s="9" t="n">
        <x:f>M227-N227</x:f>
        <x:v>0</x:v>
      </x:c>
      <x:c r="P227" s="9" t="n">
        <x:f>IF(D227="Completed",L227*J227*(1-K227),0)</x:f>
        <x:v>0</x:v>
      </x:c>
      <x:c r="Q227" s="9" t="n">
        <x:f>O227-P227</x:f>
        <x:v>0</x:v>
      </x:c>
      <x:c r="R227" s="11" t="n">
        <x:f>IF(D227="Completed",I227,0)</x:f>
        <x:v>0</x:v>
      </x:c>
      <x:c r="S227" s="11" t="n">
        <x:f>IF(D227="Completed",L227,0)</x:f>
        <x:v>0</x:v>
      </x:c>
      <x:c r="T227" s="8" t="n">
        <x:f>DATE(YEAR(C227),MONTH(C227),1)</x:f>
        <x:v>45717</x:v>
      </x:c>
    </x:row>
    <x:row r="228" ht="22" customHeight="1">
      <x:c r="A228" s="2" t="str">
        <x:v>L000224</x:v>
      </x:c>
      <x:c r="B228" s="2" t="str">
        <x:v>O00093</x:v>
      </x:c>
      <x:c r="C228" s="7" t="n">
        <x:v>45873</x:v>
      </x:c>
      <x:c r="D228" s="2" t="str">
        <x:v>Completed</x:v>
      </x:c>
      <x:c r="E228" s="2" t="str">
        <x:v>East</x:v>
      </x:c>
      <x:c r="F228" s="2" t="str">
        <x:v>Store</x:v>
      </x:c>
      <x:c r="G228" s="2" t="str">
        <x:v>Lighting</x:v>
      </x:c>
      <x:c r="H228" s="2" t="str">
        <x:v>Lamp 009</x:v>
      </x:c>
      <x:c r="I228" s="11" t="n">
        <x:v>1</x:v>
      </x:c>
      <x:c r="J228" s="9" t="n">
        <x:v>93</x:v>
      </x:c>
      <x:c r="K228" s="10" t="n">
        <x:v>0.1</x:v>
      </x:c>
      <x:c r="L228" s="11" t="n">
        <x:v>0</x:v>
      </x:c>
      <x:c r="M228" s="9" t="n">
        <x:f>IF(D228="Completed",I228*J228,0)</x:f>
        <x:v>93</x:v>
      </x:c>
      <x:c r="N228" s="9" t="n">
        <x:f>M228*K228</x:f>
        <x:v>9.3</x:v>
      </x:c>
      <x:c r="O228" s="9" t="n">
        <x:f>M228-N228</x:f>
        <x:v>83.7</x:v>
      </x:c>
      <x:c r="P228" s="9" t="n">
        <x:f>IF(D228="Completed",L228*J228*(1-K228),0)</x:f>
        <x:v>0</x:v>
      </x:c>
      <x:c r="Q228" s="9" t="n">
        <x:f>O228-P228</x:f>
        <x:v>83.7</x:v>
      </x:c>
      <x:c r="R228" s="11" t="n">
        <x:f>IF(D228="Completed",I228,0)</x:f>
        <x:v>1</x:v>
      </x:c>
      <x:c r="S228" s="11" t="n">
        <x:f>IF(D228="Completed",L228,0)</x:f>
        <x:v>0</x:v>
      </x:c>
      <x:c r="T228" s="8" t="n">
        <x:f>DATE(YEAR(C228),MONTH(C228),1)</x:f>
        <x:v>45870</x:v>
      </x:c>
    </x:row>
    <x:row r="229" ht="22" customHeight="1">
      <x:c r="A229" s="2" t="str">
        <x:v>L000225</x:v>
      </x:c>
      <x:c r="B229" s="2" t="str">
        <x:v>O00093</x:v>
      </x:c>
      <x:c r="C229" s="7" t="n">
        <x:v>45873</x:v>
      </x:c>
      <x:c r="D229" s="2" t="str">
        <x:v>Completed</x:v>
      </x:c>
      <x:c r="E229" s="2" t="str">
        <x:v>East</x:v>
      </x:c>
      <x:c r="F229" s="2" t="str">
        <x:v>Store</x:v>
      </x:c>
      <x:c r="G229" s="2" t="str">
        <x:v>Furniture</x:v>
      </x:c>
      <x:c r="H229" s="2" t="str">
        <x:v>Desk 004</x:v>
      </x:c>
      <x:c r="I229" s="11" t="n">
        <x:v>3</x:v>
      </x:c>
      <x:c r="J229" s="9" t="n">
        <x:v>123</x:v>
      </x:c>
      <x:c r="K229" s="10" t="n">
        <x:v>0.1</x:v>
      </x:c>
      <x:c r="L229" s="11" t="n">
        <x:v>0</x:v>
      </x:c>
      <x:c r="M229" s="9" t="n">
        <x:f>IF(D229="Completed",I229*J229,0)</x:f>
        <x:v>369</x:v>
      </x:c>
      <x:c r="N229" s="9" t="n">
        <x:f>M229*K229</x:f>
        <x:v>36.9</x:v>
      </x:c>
      <x:c r="O229" s="9" t="n">
        <x:f>M229-N229</x:f>
        <x:v>332.1</x:v>
      </x:c>
      <x:c r="P229" s="9" t="n">
        <x:f>IF(D229="Completed",L229*J229*(1-K229),0)</x:f>
        <x:v>0</x:v>
      </x:c>
      <x:c r="Q229" s="9" t="n">
        <x:f>O229-P229</x:f>
        <x:v>332.1</x:v>
      </x:c>
      <x:c r="R229" s="11" t="n">
        <x:f>IF(D229="Completed",I229,0)</x:f>
        <x:v>3</x:v>
      </x:c>
      <x:c r="S229" s="11" t="n">
        <x:f>IF(D229="Completed",L229,0)</x:f>
        <x:v>0</x:v>
      </x:c>
      <x:c r="T229" s="8" t="n">
        <x:f>DATE(YEAR(C229),MONTH(C229),1)</x:f>
        <x:v>45870</x:v>
      </x:c>
    </x:row>
    <x:row r="230" ht="22" customHeight="1">
      <x:c r="A230" s="2" t="str">
        <x:v>L000226</x:v>
      </x:c>
      <x:c r="B230" s="2" t="str">
        <x:v>O00094</x:v>
      </x:c>
      <x:c r="C230" s="7" t="n">
        <x:v>45822</x:v>
      </x:c>
      <x:c r="D230" s="2" t="str">
        <x:v>Completed</x:v>
      </x:c>
      <x:c r="E230" s="2" t="str">
        <x:v>North</x:v>
      </x:c>
      <x:c r="F230" s="2" t="str">
        <x:v>Store</x:v>
      </x:c>
      <x:c r="G230" s="2" t="str">
        <x:v>Storage</x:v>
      </x:c>
      <x:c r="H230" s="2" t="str">
        <x:v>Shelf 011</x:v>
      </x:c>
      <x:c r="I230" s="11" t="n">
        <x:v>3</x:v>
      </x:c>
      <x:c r="J230" s="9" t="n">
        <x:v>80</x:v>
      </x:c>
      <x:c r="K230" s="10" t="n">
        <x:v>0.2</x:v>
      </x:c>
      <x:c r="L230" s="11" t="n">
        <x:v>0</x:v>
      </x:c>
      <x:c r="M230" s="9" t="n">
        <x:f>IF(D230="Completed",I230*J230,0)</x:f>
        <x:v>240</x:v>
      </x:c>
      <x:c r="N230" s="9" t="n">
        <x:f>M230*K230</x:f>
        <x:v>48</x:v>
      </x:c>
      <x:c r="O230" s="9" t="n">
        <x:f>M230-N230</x:f>
        <x:v>192</x:v>
      </x:c>
      <x:c r="P230" s="9" t="n">
        <x:f>IF(D230="Completed",L230*J230*(1-K230),0)</x:f>
        <x:v>0</x:v>
      </x:c>
      <x:c r="Q230" s="9" t="n">
        <x:f>O230-P230</x:f>
        <x:v>192</x:v>
      </x:c>
      <x:c r="R230" s="11" t="n">
        <x:f>IF(D230="Completed",I230,0)</x:f>
        <x:v>3</x:v>
      </x:c>
      <x:c r="S230" s="11" t="n">
        <x:f>IF(D230="Completed",L230,0)</x:f>
        <x:v>0</x:v>
      </x:c>
      <x:c r="T230" s="8" t="n">
        <x:f>DATE(YEAR(C230),MONTH(C230),1)</x:f>
        <x:v>45809</x:v>
      </x:c>
    </x:row>
    <x:row r="231" ht="22" customHeight="1">
      <x:c r="A231" s="2" t="str">
        <x:v>L000227</x:v>
      </x:c>
      <x:c r="B231" s="2" t="str">
        <x:v>O00094</x:v>
      </x:c>
      <x:c r="C231" s="7" t="n">
        <x:v>45822</x:v>
      </x:c>
      <x:c r="D231" s="2" t="str">
        <x:v>Completed</x:v>
      </x:c>
      <x:c r="E231" s="2" t="str">
        <x:v>North</x:v>
      </x:c>
      <x:c r="F231" s="2" t="str">
        <x:v>Store</x:v>
      </x:c>
      <x:c r="G231" s="2" t="str">
        <x:v>Furniture</x:v>
      </x:c>
      <x:c r="H231" s="2" t="str">
        <x:v>Chair 010</x:v>
      </x:c>
      <x:c r="I231" s="11" t="n">
        <x:v>1</x:v>
      </x:c>
      <x:c r="J231" s="9" t="n">
        <x:v>211</x:v>
      </x:c>
      <x:c r="K231" s="10" t="n">
        <x:v>0.05</x:v>
      </x:c>
      <x:c r="L231" s="11" t="n">
        <x:v>0</x:v>
      </x:c>
      <x:c r="M231" s="9" t="n">
        <x:f>IF(D231="Completed",I231*J231,0)</x:f>
        <x:v>211</x:v>
      </x:c>
      <x:c r="N231" s="9" t="n">
        <x:f>M231*K231</x:f>
        <x:v>10.55</x:v>
      </x:c>
      <x:c r="O231" s="9" t="n">
        <x:f>M231-N231</x:f>
        <x:v>200.45</x:v>
      </x:c>
      <x:c r="P231" s="9" t="n">
        <x:f>IF(D231="Completed",L231*J231*(1-K231),0)</x:f>
        <x:v>0</x:v>
      </x:c>
      <x:c r="Q231" s="9" t="n">
        <x:f>O231-P231</x:f>
        <x:v>200.45</x:v>
      </x:c>
      <x:c r="R231" s="11" t="n">
        <x:f>IF(D231="Completed",I231,0)</x:f>
        <x:v>1</x:v>
      </x:c>
      <x:c r="S231" s="11" t="n">
        <x:f>IF(D231="Completed",L231,0)</x:f>
        <x:v>0</x:v>
      </x:c>
      <x:c r="T231" s="8" t="n">
        <x:f>DATE(YEAR(C231),MONTH(C231),1)</x:f>
        <x:v>45809</x:v>
      </x:c>
    </x:row>
    <x:row r="232" ht="22" customHeight="1">
      <x:c r="A232" s="2" t="str">
        <x:v>L000228</x:v>
      </x:c>
      <x:c r="B232" s="2" t="str">
        <x:v>O00094</x:v>
      </x:c>
      <x:c r="C232" s="7" t="n">
        <x:v>45822</x:v>
      </x:c>
      <x:c r="D232" s="2" t="str">
        <x:v>Completed</x:v>
      </x:c>
      <x:c r="E232" s="2" t="str">
        <x:v>North</x:v>
      </x:c>
      <x:c r="F232" s="2" t="str">
        <x:v>Store</x:v>
      </x:c>
      <x:c r="G232" s="2" t="str">
        <x:v>Storage</x:v>
      </x:c>
      <x:c r="H232" s="2" t="str">
        <x:v>Shelf 019</x:v>
      </x:c>
      <x:c r="I232" s="11" t="n">
        <x:v>1</x:v>
      </x:c>
      <x:c r="J232" s="9" t="n">
        <x:v>78</x:v>
      </x:c>
      <x:c r="K232" s="10" t="n">
        <x:v>0</x:v>
      </x:c>
      <x:c r="L232" s="11" t="n">
        <x:v>0</x:v>
      </x:c>
      <x:c r="M232" s="9" t="n">
        <x:f>IF(D232="Completed",I232*J232,0)</x:f>
        <x:v>78</x:v>
      </x:c>
      <x:c r="N232" s="9" t="n">
        <x:f>M232*K232</x:f>
        <x:v>0</x:v>
      </x:c>
      <x:c r="O232" s="9" t="n">
        <x:f>M232-N232</x:f>
        <x:v>78</x:v>
      </x:c>
      <x:c r="P232" s="9" t="n">
        <x:f>IF(D232="Completed",L232*J232*(1-K232),0)</x:f>
        <x:v>0</x:v>
      </x:c>
      <x:c r="Q232" s="9" t="n">
        <x:f>O232-P232</x:f>
        <x:v>78</x:v>
      </x:c>
      <x:c r="R232" s="11" t="n">
        <x:f>IF(D232="Completed",I232,0)</x:f>
        <x:v>1</x:v>
      </x:c>
      <x:c r="S232" s="11" t="n">
        <x:f>IF(D232="Completed",L232,0)</x:f>
        <x:v>0</x:v>
      </x:c>
      <x:c r="T232" s="8" t="n">
        <x:f>DATE(YEAR(C232),MONTH(C232),1)</x:f>
        <x:v>45809</x:v>
      </x:c>
    </x:row>
    <x:row r="233" ht="22" customHeight="1">
      <x:c r="A233" s="2" t="str">
        <x:v>L000229</x:v>
      </x:c>
      <x:c r="B233" s="2" t="str">
        <x:v>O00095</x:v>
      </x:c>
      <x:c r="C233" s="7" t="n">
        <x:v>45735</x:v>
      </x:c>
      <x:c r="D233" s="2" t="str">
        <x:v>Completed</x:v>
      </x:c>
      <x:c r="E233" s="2" t="str">
        <x:v>North</x:v>
      </x:c>
      <x:c r="F233" s="2" t="str">
        <x:v>Online</x:v>
      </x:c>
      <x:c r="G233" s="2" t="str">
        <x:v>Furniture</x:v>
      </x:c>
      <x:c r="H233" s="2" t="str">
        <x:v>Desk 008</x:v>
      </x:c>
      <x:c r="I233" s="11" t="n">
        <x:v>2</x:v>
      </x:c>
      <x:c r="J233" s="9" t="n">
        <x:v>188</x:v>
      </x:c>
      <x:c r="K233" s="10" t="n">
        <x:v>0.05</x:v>
      </x:c>
      <x:c r="L233" s="11" t="n">
        <x:v>0</x:v>
      </x:c>
      <x:c r="M233" s="9" t="n">
        <x:f>IF(D233="Completed",I233*J233,0)</x:f>
        <x:v>376</x:v>
      </x:c>
      <x:c r="N233" s="9" t="n">
        <x:f>M233*K233</x:f>
        <x:v>18.8</x:v>
      </x:c>
      <x:c r="O233" s="9" t="n">
        <x:f>M233-N233</x:f>
        <x:v>357.2</x:v>
      </x:c>
      <x:c r="P233" s="9" t="n">
        <x:f>IF(D233="Completed",L233*J233*(1-K233),0)</x:f>
        <x:v>0</x:v>
      </x:c>
      <x:c r="Q233" s="9" t="n">
        <x:f>O233-P233</x:f>
        <x:v>357.2</x:v>
      </x:c>
      <x:c r="R233" s="11" t="n">
        <x:f>IF(D233="Completed",I233,0)</x:f>
        <x:v>2</x:v>
      </x:c>
      <x:c r="S233" s="11" t="n">
        <x:f>IF(D233="Completed",L233,0)</x:f>
        <x:v>0</x:v>
      </x:c>
      <x:c r="T233" s="8" t="n">
        <x:f>DATE(YEAR(C233),MONTH(C233),1)</x:f>
        <x:v>45717</x:v>
      </x:c>
    </x:row>
    <x:row r="234" ht="22" customHeight="1">
      <x:c r="A234" s="2" t="str">
        <x:v>L000230</x:v>
      </x:c>
      <x:c r="B234" s="2" t="str">
        <x:v>O00096</x:v>
      </x:c>
      <x:c r="C234" s="7" t="n">
        <x:v>45954</x:v>
      </x:c>
      <x:c r="D234" s="2" t="str">
        <x:v>Completed</x:v>
      </x:c>
      <x:c r="E234" s="2" t="str">
        <x:v>East</x:v>
      </x:c>
      <x:c r="F234" s="2" t="str">
        <x:v>Online</x:v>
      </x:c>
      <x:c r="G234" s="2" t="str">
        <x:v>Lighting</x:v>
      </x:c>
      <x:c r="H234" s="2" t="str">
        <x:v>Lamp 013</x:v>
      </x:c>
      <x:c r="I234" s="11" t="n">
        <x:v>4</x:v>
      </x:c>
      <x:c r="J234" s="9" t="n">
        <x:v>271</x:v>
      </x:c>
      <x:c r="K234" s="10" t="n">
        <x:v>0.05</x:v>
      </x:c>
      <x:c r="L234" s="11" t="n">
        <x:v>0</x:v>
      </x:c>
      <x:c r="M234" s="9" t="n">
        <x:f>IF(D234="Completed",I234*J234,0)</x:f>
        <x:v>1084</x:v>
      </x:c>
      <x:c r="N234" s="9" t="n">
        <x:f>M234*K234</x:f>
        <x:v>54.2</x:v>
      </x:c>
      <x:c r="O234" s="9" t="n">
        <x:f>M234-N234</x:f>
        <x:v>1029.8</x:v>
      </x:c>
      <x:c r="P234" s="9" t="n">
        <x:f>IF(D234="Completed",L234*J234*(1-K234),0)</x:f>
        <x:v>0</x:v>
      </x:c>
      <x:c r="Q234" s="9" t="n">
        <x:f>O234-P234</x:f>
        <x:v>1029.8</x:v>
      </x:c>
      <x:c r="R234" s="11" t="n">
        <x:f>IF(D234="Completed",I234,0)</x:f>
        <x:v>4</x:v>
      </x:c>
      <x:c r="S234" s="11" t="n">
        <x:f>IF(D234="Completed",L234,0)</x:f>
        <x:v>0</x:v>
      </x:c>
      <x:c r="T234" s="8" t="n">
        <x:f>DATE(YEAR(C234),MONTH(C234),1)</x:f>
        <x:v>45931</x:v>
      </x:c>
    </x:row>
    <x:row r="235" ht="22" customHeight="1">
      <x:c r="A235" s="2" t="str">
        <x:v>L000231</x:v>
      </x:c>
      <x:c r="B235" s="2" t="str">
        <x:v>O00096</x:v>
      </x:c>
      <x:c r="C235" s="7" t="n">
        <x:v>45954</x:v>
      </x:c>
      <x:c r="D235" s="2" t="str">
        <x:v>Completed</x:v>
      </x:c>
      <x:c r="E235" s="2" t="str">
        <x:v>East</x:v>
      </x:c>
      <x:c r="F235" s="2" t="str">
        <x:v>Online</x:v>
      </x:c>
      <x:c r="G235" s="2" t="str">
        <x:v>Furniture</x:v>
      </x:c>
      <x:c r="H235" s="2" t="str">
        <x:v>Desk 004</x:v>
      </x:c>
      <x:c r="I235" s="11" t="n">
        <x:v>2</x:v>
      </x:c>
      <x:c r="J235" s="9" t="n">
        <x:v>123</x:v>
      </x:c>
      <x:c r="K235" s="10" t="n">
        <x:v>0.1</x:v>
      </x:c>
      <x:c r="L235" s="11" t="n">
        <x:v>0</x:v>
      </x:c>
      <x:c r="M235" s="9" t="n">
        <x:f>IF(D235="Completed",I235*J235,0)</x:f>
        <x:v>246</x:v>
      </x:c>
      <x:c r="N235" s="9" t="n">
        <x:f>M235*K235</x:f>
        <x:v>24.6</x:v>
      </x:c>
      <x:c r="O235" s="9" t="n">
        <x:f>M235-N235</x:f>
        <x:v>221.4</x:v>
      </x:c>
      <x:c r="P235" s="9" t="n">
        <x:f>IF(D235="Completed",L235*J235*(1-K235),0)</x:f>
        <x:v>0</x:v>
      </x:c>
      <x:c r="Q235" s="9" t="n">
        <x:f>O235-P235</x:f>
        <x:v>221.4</x:v>
      </x:c>
      <x:c r="R235" s="11" t="n">
        <x:f>IF(D235="Completed",I235,0)</x:f>
        <x:v>2</x:v>
      </x:c>
      <x:c r="S235" s="11" t="n">
        <x:f>IF(D235="Completed",L235,0)</x:f>
        <x:v>0</x:v>
      </x:c>
      <x:c r="T235" s="8" t="n">
        <x:f>DATE(YEAR(C235),MONTH(C235),1)</x:f>
        <x:v>45931</x:v>
      </x:c>
    </x:row>
    <x:row r="236" ht="22" customHeight="1">
      <x:c r="A236" s="2" t="str">
        <x:v>L000232</x:v>
      </x:c>
      <x:c r="B236" s="2" t="str">
        <x:v>O00097</x:v>
      </x:c>
      <x:c r="C236" s="7" t="n">
        <x:v>45780</x:v>
      </x:c>
      <x:c r="D236" s="2" t="str">
        <x:v>Completed</x:v>
      </x:c>
      <x:c r="E236" s="2" t="str">
        <x:v>North</x:v>
      </x:c>
      <x:c r="F236" s="2" t="str">
        <x:v>Store</x:v>
      </x:c>
      <x:c r="G236" s="2" t="str">
        <x:v>Storage</x:v>
      </x:c>
      <x:c r="H236" s="2" t="str">
        <x:v>Shelf 007</x:v>
      </x:c>
      <x:c r="I236" s="11" t="n">
        <x:v>4</x:v>
      </x:c>
      <x:c r="J236" s="9" t="n">
        <x:v>35</x:v>
      </x:c>
      <x:c r="K236" s="10" t="n">
        <x:v>0.05</x:v>
      </x:c>
      <x:c r="L236" s="11" t="n">
        <x:v>0</x:v>
      </x:c>
      <x:c r="M236" s="9" t="n">
        <x:f>IF(D236="Completed",I236*J236,0)</x:f>
        <x:v>140</x:v>
      </x:c>
      <x:c r="N236" s="9" t="n">
        <x:f>M236*K236</x:f>
        <x:v>7</x:v>
      </x:c>
      <x:c r="O236" s="9" t="n">
        <x:f>M236-N236</x:f>
        <x:v>133</x:v>
      </x:c>
      <x:c r="P236" s="9" t="n">
        <x:f>IF(D236="Completed",L236*J236*(1-K236),0)</x:f>
        <x:v>0</x:v>
      </x:c>
      <x:c r="Q236" s="9" t="n">
        <x:f>O236-P236</x:f>
        <x:v>133</x:v>
      </x:c>
      <x:c r="R236" s="11" t="n">
        <x:f>IF(D236="Completed",I236,0)</x:f>
        <x:v>4</x:v>
      </x:c>
      <x:c r="S236" s="11" t="n">
        <x:f>IF(D236="Completed",L236,0)</x:f>
        <x:v>0</x:v>
      </x:c>
      <x:c r="T236" s="8" t="n">
        <x:f>DATE(YEAR(C236),MONTH(C236),1)</x:f>
        <x:v>45778</x:v>
      </x:c>
    </x:row>
    <x:row r="237" ht="22" customHeight="1">
      <x:c r="A237" s="2" t="str">
        <x:v>L000233</x:v>
      </x:c>
      <x:c r="B237" s="2" t="str">
        <x:v>O00097</x:v>
      </x:c>
      <x:c r="C237" s="7" t="n">
        <x:v>45780</x:v>
      </x:c>
      <x:c r="D237" s="2" t="str">
        <x:v>Completed</x:v>
      </x:c>
      <x:c r="E237" s="2" t="str">
        <x:v>North</x:v>
      </x:c>
      <x:c r="F237" s="2" t="str">
        <x:v>Store</x:v>
      </x:c>
      <x:c r="G237" s="2" t="str">
        <x:v>Furniture</x:v>
      </x:c>
      <x:c r="H237" s="2" t="str">
        <x:v>Desk 020</x:v>
      </x:c>
      <x:c r="I237" s="11" t="n">
        <x:v>3</x:v>
      </x:c>
      <x:c r="J237" s="9" t="n">
        <x:v>189</x:v>
      </x:c>
      <x:c r="K237" s="10" t="n">
        <x:v>0.05</x:v>
      </x:c>
      <x:c r="L237" s="11" t="n">
        <x:v>0</x:v>
      </x:c>
      <x:c r="M237" s="9" t="n">
        <x:f>IF(D237="Completed",I237*J237,0)</x:f>
        <x:v>567</x:v>
      </x:c>
      <x:c r="N237" s="9" t="n">
        <x:f>M237*K237</x:f>
        <x:v>28.35</x:v>
      </x:c>
      <x:c r="O237" s="9" t="n">
        <x:f>M237-N237</x:f>
        <x:v>538.65</x:v>
      </x:c>
      <x:c r="P237" s="9" t="n">
        <x:f>IF(D237="Completed",L237*J237*(1-K237),0)</x:f>
        <x:v>0</x:v>
      </x:c>
      <x:c r="Q237" s="9" t="n">
        <x:f>O237-P237</x:f>
        <x:v>538.65</x:v>
      </x:c>
      <x:c r="R237" s="11" t="n">
        <x:f>IF(D237="Completed",I237,0)</x:f>
        <x:v>3</x:v>
      </x:c>
      <x:c r="S237" s="11" t="n">
        <x:f>IF(D237="Completed",L237,0)</x:f>
        <x:v>0</x:v>
      </x:c>
      <x:c r="T237" s="8" t="n">
        <x:f>DATE(YEAR(C237),MONTH(C237),1)</x:f>
        <x:v>45778</x:v>
      </x:c>
    </x:row>
    <x:row r="238" ht="22" customHeight="1">
      <x:c r="A238" s="2" t="str">
        <x:v>L000234</x:v>
      </x:c>
      <x:c r="B238" s="2" t="str">
        <x:v>O00097</x:v>
      </x:c>
      <x:c r="C238" s="7" t="n">
        <x:v>45780</x:v>
      </x:c>
      <x:c r="D238" s="2" t="str">
        <x:v>Completed</x:v>
      </x:c>
      <x:c r="E238" s="2" t="str">
        <x:v>North</x:v>
      </x:c>
      <x:c r="F238" s="2" t="str">
        <x:v>Store</x:v>
      </x:c>
      <x:c r="G238" s="2" t="str">
        <x:v>Furniture</x:v>
      </x:c>
      <x:c r="H238" s="2" t="str">
        <x:v>Desk 020</x:v>
      </x:c>
      <x:c r="I238" s="11" t="n">
        <x:v>4</x:v>
      </x:c>
      <x:c r="J238" s="9" t="n">
        <x:v>189</x:v>
      </x:c>
      <x:c r="K238" s="10" t="n">
        <x:v>0.05</x:v>
      </x:c>
      <x:c r="L238" s="11" t="n">
        <x:v>0</x:v>
      </x:c>
      <x:c r="M238" s="9" t="n">
        <x:f>IF(D238="Completed",I238*J238,0)</x:f>
        <x:v>756</x:v>
      </x:c>
      <x:c r="N238" s="9" t="n">
        <x:f>M238*K238</x:f>
        <x:v>37.800000000000004</x:v>
      </x:c>
      <x:c r="O238" s="9" t="n">
        <x:f>M238-N238</x:f>
        <x:v>718.2</x:v>
      </x:c>
      <x:c r="P238" s="9" t="n">
        <x:f>IF(D238="Completed",L238*J238*(1-K238),0)</x:f>
        <x:v>0</x:v>
      </x:c>
      <x:c r="Q238" s="9" t="n">
        <x:f>O238-P238</x:f>
        <x:v>718.2</x:v>
      </x:c>
      <x:c r="R238" s="11" t="n">
        <x:f>IF(D238="Completed",I238,0)</x:f>
        <x:v>4</x:v>
      </x:c>
      <x:c r="S238" s="11" t="n">
        <x:f>IF(D238="Completed",L238,0)</x:f>
        <x:v>0</x:v>
      </x:c>
      <x:c r="T238" s="8" t="n">
        <x:f>DATE(YEAR(C238),MONTH(C238),1)</x:f>
        <x:v>45778</x:v>
      </x:c>
    </x:row>
    <x:row r="239" ht="22" customHeight="1">
      <x:c r="A239" s="2" t="str">
        <x:v>L000235</x:v>
      </x:c>
      <x:c r="B239" s="2" t="str">
        <x:v>O00098</x:v>
      </x:c>
      <x:c r="C239" s="7" t="n">
        <x:v>45836</x:v>
      </x:c>
      <x:c r="D239" s="2" t="str">
        <x:v>Completed</x:v>
      </x:c>
      <x:c r="E239" s="2" t="str">
        <x:v>North</x:v>
      </x:c>
      <x:c r="F239" s="2" t="str">
        <x:v>Online</x:v>
      </x:c>
      <x:c r="G239" s="2" t="str">
        <x:v>Furniture</x:v>
      </x:c>
      <x:c r="H239" s="2" t="str">
        <x:v>Chair 014</x:v>
      </x:c>
      <x:c r="I239" s="11" t="n">
        <x:v>5</x:v>
      </x:c>
      <x:c r="J239" s="9" t="n">
        <x:v>294</x:v>
      </x:c>
      <x:c r="K239" s="10" t="n">
        <x:v>0.05</x:v>
      </x:c>
      <x:c r="L239" s="11" t="n">
        <x:v>0</x:v>
      </x:c>
      <x:c r="M239" s="9" t="n">
        <x:f>IF(D239="Completed",I239*J239,0)</x:f>
        <x:v>1470</x:v>
      </x:c>
      <x:c r="N239" s="9" t="n">
        <x:f>M239*K239</x:f>
        <x:v>73.5</x:v>
      </x:c>
      <x:c r="O239" s="9" t="n">
        <x:f>M239-N239</x:f>
        <x:v>1396.5</x:v>
      </x:c>
      <x:c r="P239" s="9" t="n">
        <x:f>IF(D239="Completed",L239*J239*(1-K239),0)</x:f>
        <x:v>0</x:v>
      </x:c>
      <x:c r="Q239" s="9" t="n">
        <x:f>O239-P239</x:f>
        <x:v>1396.5</x:v>
      </x:c>
      <x:c r="R239" s="11" t="n">
        <x:f>IF(D239="Completed",I239,0)</x:f>
        <x:v>5</x:v>
      </x:c>
      <x:c r="S239" s="11" t="n">
        <x:f>IF(D239="Completed",L239,0)</x:f>
        <x:v>0</x:v>
      </x:c>
      <x:c r="T239" s="8" t="n">
        <x:f>DATE(YEAR(C239),MONTH(C239),1)</x:f>
        <x:v>45809</x:v>
      </x:c>
    </x:row>
    <x:row r="240" ht="22" customHeight="1">
      <x:c r="A240" s="2" t="str">
        <x:v>L000236</x:v>
      </x:c>
      <x:c r="B240" s="2" t="str">
        <x:v>O00098</x:v>
      </x:c>
      <x:c r="C240" s="7" t="n">
        <x:v>45836</x:v>
      </x:c>
      <x:c r="D240" s="2" t="str">
        <x:v>Completed</x:v>
      </x:c>
      <x:c r="E240" s="2" t="str">
        <x:v>North</x:v>
      </x:c>
      <x:c r="F240" s="2" t="str">
        <x:v>Online</x:v>
      </x:c>
      <x:c r="G240" s="2" t="str">
        <x:v>Furniture</x:v>
      </x:c>
      <x:c r="H240" s="2" t="str">
        <x:v>Desk 024</x:v>
      </x:c>
      <x:c r="I240" s="11" t="n">
        <x:v>3</x:v>
      </x:c>
      <x:c r="J240" s="9" t="n">
        <x:v>81</x:v>
      </x:c>
      <x:c r="K240" s="10" t="n">
        <x:v>0</x:v>
      </x:c>
      <x:c r="L240" s="11" t="n">
        <x:v>0</x:v>
      </x:c>
      <x:c r="M240" s="9" t="n">
        <x:f>IF(D240="Completed",I240*J240,0)</x:f>
        <x:v>243</x:v>
      </x:c>
      <x:c r="N240" s="9" t="n">
        <x:f>M240*K240</x:f>
        <x:v>0</x:v>
      </x:c>
      <x:c r="O240" s="9" t="n">
        <x:f>M240-N240</x:f>
        <x:v>243</x:v>
      </x:c>
      <x:c r="P240" s="9" t="n">
        <x:f>IF(D240="Completed",L240*J240*(1-K240),0)</x:f>
        <x:v>0</x:v>
      </x:c>
      <x:c r="Q240" s="9" t="n">
        <x:f>O240-P240</x:f>
        <x:v>243</x:v>
      </x:c>
      <x:c r="R240" s="11" t="n">
        <x:f>IF(D240="Completed",I240,0)</x:f>
        <x:v>3</x:v>
      </x:c>
      <x:c r="S240" s="11" t="n">
        <x:f>IF(D240="Completed",L240,0)</x:f>
        <x:v>0</x:v>
      </x:c>
      <x:c r="T240" s="8" t="n">
        <x:f>DATE(YEAR(C240),MONTH(C240),1)</x:f>
        <x:v>45809</x:v>
      </x:c>
    </x:row>
    <x:row r="241" ht="22" customHeight="1">
      <x:c r="A241" s="2" t="str">
        <x:v>L000237</x:v>
      </x:c>
      <x:c r="B241" s="2" t="str">
        <x:v>O00098</x:v>
      </x:c>
      <x:c r="C241" s="7" t="n">
        <x:v>45836</x:v>
      </x:c>
      <x:c r="D241" s="2" t="str">
        <x:v>Completed</x:v>
      </x:c>
      <x:c r="E241" s="2" t="str">
        <x:v>North</x:v>
      </x:c>
      <x:c r="F241" s="2" t="str">
        <x:v>Online</x:v>
      </x:c>
      <x:c r="G241" s="2" t="str">
        <x:v>Furniture</x:v>
      </x:c>
      <x:c r="H241" s="2" t="str">
        <x:v>Desk 020</x:v>
      </x:c>
      <x:c r="I241" s="11" t="n">
        <x:v>4</x:v>
      </x:c>
      <x:c r="J241" s="9" t="n">
        <x:v>189</x:v>
      </x:c>
      <x:c r="K241" s="10" t="n">
        <x:v>0</x:v>
      </x:c>
      <x:c r="L241" s="11" t="n">
        <x:v>0</x:v>
      </x:c>
      <x:c r="M241" s="9" t="n">
        <x:f>IF(D241="Completed",I241*J241,0)</x:f>
        <x:v>756</x:v>
      </x:c>
      <x:c r="N241" s="9" t="n">
        <x:f>M241*K241</x:f>
        <x:v>0</x:v>
      </x:c>
      <x:c r="O241" s="9" t="n">
        <x:f>M241-N241</x:f>
        <x:v>756</x:v>
      </x:c>
      <x:c r="P241" s="9" t="n">
        <x:f>IF(D241="Completed",L241*J241*(1-K241),0)</x:f>
        <x:v>0</x:v>
      </x:c>
      <x:c r="Q241" s="9" t="n">
        <x:f>O241-P241</x:f>
        <x:v>756</x:v>
      </x:c>
      <x:c r="R241" s="11" t="n">
        <x:f>IF(D241="Completed",I241,0)</x:f>
        <x:v>4</x:v>
      </x:c>
      <x:c r="S241" s="11" t="n">
        <x:f>IF(D241="Completed",L241,0)</x:f>
        <x:v>0</x:v>
      </x:c>
      <x:c r="T241" s="8" t="n">
        <x:f>DATE(YEAR(C241),MONTH(C241),1)</x:f>
        <x:v>45809</x:v>
      </x:c>
    </x:row>
    <x:row r="242" ht="22" customHeight="1">
      <x:c r="A242" s="2" t="str">
        <x:v>L000238</x:v>
      </x:c>
      <x:c r="B242" s="2" t="str">
        <x:v>O00098</x:v>
      </x:c>
      <x:c r="C242" s="7" t="n">
        <x:v>45836</x:v>
      </x:c>
      <x:c r="D242" s="2" t="str">
        <x:v>Completed</x:v>
      </x:c>
      <x:c r="E242" s="2" t="str">
        <x:v>North</x:v>
      </x:c>
      <x:c r="F242" s="2" t="str">
        <x:v>Online</x:v>
      </x:c>
      <x:c r="G242" s="2" t="str">
        <x:v>Storage</x:v>
      </x:c>
      <x:c r="H242" s="2" t="str">
        <x:v>Shelf 019</x:v>
      </x:c>
      <x:c r="I242" s="11" t="n">
        <x:v>2</x:v>
      </x:c>
      <x:c r="J242" s="9" t="n">
        <x:v>78</x:v>
      </x:c>
      <x:c r="K242" s="10" t="n">
        <x:v>0.05</x:v>
      </x:c>
      <x:c r="L242" s="11" t="n">
        <x:v>0</x:v>
      </x:c>
      <x:c r="M242" s="9" t="n">
        <x:f>IF(D242="Completed",I242*J242,0)</x:f>
        <x:v>156</x:v>
      </x:c>
      <x:c r="N242" s="9" t="n">
        <x:f>M242*K242</x:f>
        <x:v>7.800000000000001</x:v>
      </x:c>
      <x:c r="O242" s="9" t="n">
        <x:f>M242-N242</x:f>
        <x:v>148.2</x:v>
      </x:c>
      <x:c r="P242" s="9" t="n">
        <x:f>IF(D242="Completed",L242*J242*(1-K242),0)</x:f>
        <x:v>0</x:v>
      </x:c>
      <x:c r="Q242" s="9" t="n">
        <x:f>O242-P242</x:f>
        <x:v>148.2</x:v>
      </x:c>
      <x:c r="R242" s="11" t="n">
        <x:f>IF(D242="Completed",I242,0)</x:f>
        <x:v>2</x:v>
      </x:c>
      <x:c r="S242" s="11" t="n">
        <x:f>IF(D242="Completed",L242,0)</x:f>
        <x:v>0</x:v>
      </x:c>
      <x:c r="T242" s="8" t="n">
        <x:f>DATE(YEAR(C242),MONTH(C242),1)</x:f>
        <x:v>45809</x:v>
      </x:c>
    </x:row>
    <x:row r="243" ht="22" customHeight="1">
      <x:c r="A243" s="2" t="str">
        <x:v>L000239</x:v>
      </x:c>
      <x:c r="B243" s="2" t="str">
        <x:v>O00099</x:v>
      </x:c>
      <x:c r="C243" s="7" t="n">
        <x:v>46014</x:v>
      </x:c>
      <x:c r="D243" s="2" t="str">
        <x:v>Completed</x:v>
      </x:c>
      <x:c r="E243" s="2" t="str">
        <x:v>North</x:v>
      </x:c>
      <x:c r="F243" s="2" t="str">
        <x:v>Online</x:v>
      </x:c>
      <x:c r="G243" s="2" t="str">
        <x:v>Lighting</x:v>
      </x:c>
      <x:c r="H243" s="2" t="str">
        <x:v>Lamp 021</x:v>
      </x:c>
      <x:c r="I243" s="11" t="n">
        <x:v>1</x:v>
      </x:c>
      <x:c r="J243" s="9" t="n">
        <x:v>249</x:v>
      </x:c>
      <x:c r="K243" s="10" t="n">
        <x:v>0</x:v>
      </x:c>
      <x:c r="L243" s="11" t="n">
        <x:v>0</x:v>
      </x:c>
      <x:c r="M243" s="9" t="n">
        <x:f>IF(D243="Completed",I243*J243,0)</x:f>
        <x:v>249</x:v>
      </x:c>
      <x:c r="N243" s="9" t="n">
        <x:f>M243*K243</x:f>
        <x:v>0</x:v>
      </x:c>
      <x:c r="O243" s="9" t="n">
        <x:f>M243-N243</x:f>
        <x:v>249</x:v>
      </x:c>
      <x:c r="P243" s="9" t="n">
        <x:f>IF(D243="Completed",L243*J243*(1-K243),0)</x:f>
        <x:v>0</x:v>
      </x:c>
      <x:c r="Q243" s="9" t="n">
        <x:f>O243-P243</x:f>
        <x:v>249</x:v>
      </x:c>
      <x:c r="R243" s="11" t="n">
        <x:f>IF(D243="Completed",I243,0)</x:f>
        <x:v>1</x:v>
      </x:c>
      <x:c r="S243" s="11" t="n">
        <x:f>IF(D243="Completed",L243,0)</x:f>
        <x:v>0</x:v>
      </x:c>
      <x:c r="T243" s="8" t="n">
        <x:f>DATE(YEAR(C243),MONTH(C243),1)</x:f>
        <x:v>45992</x:v>
      </x:c>
    </x:row>
    <x:row r="244" ht="22" customHeight="1">
      <x:c r="A244" s="2" t="str">
        <x:v>L000240</x:v>
      </x:c>
      <x:c r="B244" s="2" t="str">
        <x:v>O00099</x:v>
      </x:c>
      <x:c r="C244" s="7" t="n">
        <x:v>46014</x:v>
      </x:c>
      <x:c r="D244" s="2" t="str">
        <x:v>Completed</x:v>
      </x:c>
      <x:c r="E244" s="2" t="str">
        <x:v>North</x:v>
      </x:c>
      <x:c r="F244" s="2" t="str">
        <x:v>Online</x:v>
      </x:c>
      <x:c r="G244" s="2" t="str">
        <x:v>Furniture</x:v>
      </x:c>
      <x:c r="H244" s="2" t="str">
        <x:v>Chair 018</x:v>
      </x:c>
      <x:c r="I244" s="11" t="n">
        <x:v>5</x:v>
      </x:c>
      <x:c r="J244" s="9" t="n">
        <x:v>269</x:v>
      </x:c>
      <x:c r="K244" s="10" t="n">
        <x:v>0.05</x:v>
      </x:c>
      <x:c r="L244" s="11" t="n">
        <x:v>0</x:v>
      </x:c>
      <x:c r="M244" s="9" t="n">
        <x:f>IF(D244="Completed",I244*J244,0)</x:f>
        <x:v>1345</x:v>
      </x:c>
      <x:c r="N244" s="9" t="n">
        <x:f>M244*K244</x:f>
        <x:v>67.25</x:v>
      </x:c>
      <x:c r="O244" s="9" t="n">
        <x:f>M244-N244</x:f>
        <x:v>1277.75</x:v>
      </x:c>
      <x:c r="P244" s="9" t="n">
        <x:f>IF(D244="Completed",L244*J244*(1-K244),0)</x:f>
        <x:v>0</x:v>
      </x:c>
      <x:c r="Q244" s="9" t="n">
        <x:f>O244-P244</x:f>
        <x:v>1277.75</x:v>
      </x:c>
      <x:c r="R244" s="11" t="n">
        <x:f>IF(D244="Completed",I244,0)</x:f>
        <x:v>5</x:v>
      </x:c>
      <x:c r="S244" s="11" t="n">
        <x:f>IF(D244="Completed",L244,0)</x:f>
        <x:v>0</x:v>
      </x:c>
      <x:c r="T244" s="8" t="n">
        <x:f>DATE(YEAR(C244),MONTH(C244),1)</x:f>
        <x:v>45992</x:v>
      </x:c>
    </x:row>
    <x:row r="245" ht="22" customHeight="1">
      <x:c r="A245" s="2" t="str">
        <x:v>L000241</x:v>
      </x:c>
      <x:c r="B245" s="2" t="str">
        <x:v>O00099</x:v>
      </x:c>
      <x:c r="C245" s="7" t="n">
        <x:v>46014</x:v>
      </x:c>
      <x:c r="D245" s="2" t="str">
        <x:v>Completed</x:v>
      </x:c>
      <x:c r="E245" s="2" t="str">
        <x:v>North</x:v>
      </x:c>
      <x:c r="F245" s="2" t="str">
        <x:v>Online</x:v>
      </x:c>
      <x:c r="G245" s="2" t="str">
        <x:v>Storage</x:v>
      </x:c>
      <x:c r="H245" s="2" t="str">
        <x:v>Shelf 019</x:v>
      </x:c>
      <x:c r="I245" s="11" t="n">
        <x:v>1</x:v>
      </x:c>
      <x:c r="J245" s="9" t="n">
        <x:v>78</x:v>
      </x:c>
      <x:c r="K245" s="10" t="n">
        <x:v>0.05</x:v>
      </x:c>
      <x:c r="L245" s="11" t="n">
        <x:v>0</x:v>
      </x:c>
      <x:c r="M245" s="9" t="n">
        <x:f>IF(D245="Completed",I245*J245,0)</x:f>
        <x:v>78</x:v>
      </x:c>
      <x:c r="N245" s="9" t="n">
        <x:f>M245*K245</x:f>
        <x:v>3.9000000000000004</x:v>
      </x:c>
      <x:c r="O245" s="9" t="n">
        <x:f>M245-N245</x:f>
        <x:v>74.1</x:v>
      </x:c>
      <x:c r="P245" s="9" t="n">
        <x:f>IF(D245="Completed",L245*J245*(1-K245),0)</x:f>
        <x:v>0</x:v>
      </x:c>
      <x:c r="Q245" s="9" t="n">
        <x:f>O245-P245</x:f>
        <x:v>74.1</x:v>
      </x:c>
      <x:c r="R245" s="11" t="n">
        <x:f>IF(D245="Completed",I245,0)</x:f>
        <x:v>1</x:v>
      </x:c>
      <x:c r="S245" s="11" t="n">
        <x:f>IF(D245="Completed",L245,0)</x:f>
        <x:v>0</x:v>
      </x:c>
      <x:c r="T245" s="8" t="n">
        <x:f>DATE(YEAR(C245),MONTH(C245),1)</x:f>
        <x:v>45992</x:v>
      </x:c>
    </x:row>
    <x:row r="246" ht="22" customHeight="1">
      <x:c r="A246" s="2" t="str">
        <x:v>L000242</x:v>
      </x:c>
      <x:c r="B246" s="2" t="str">
        <x:v>O00099</x:v>
      </x:c>
      <x:c r="C246" s="7" t="n">
        <x:v>46014</x:v>
      </x:c>
      <x:c r="D246" s="2" t="str">
        <x:v>Completed</x:v>
      </x:c>
      <x:c r="E246" s="2" t="str">
        <x:v>North</x:v>
      </x:c>
      <x:c r="F246" s="2" t="str">
        <x:v>Online</x:v>
      </x:c>
      <x:c r="G246" s="2" t="str">
        <x:v>Storage</x:v>
      </x:c>
      <x:c r="H246" s="2" t="str">
        <x:v>Shelf 019</x:v>
      </x:c>
      <x:c r="I246" s="11" t="n">
        <x:v>4</x:v>
      </x:c>
      <x:c r="J246" s="9" t="n">
        <x:v>78</x:v>
      </x:c>
      <x:c r="K246" s="10" t="n">
        <x:v>0.05</x:v>
      </x:c>
      <x:c r="L246" s="11" t="n">
        <x:v>0</x:v>
      </x:c>
      <x:c r="M246" s="9" t="n">
        <x:f>IF(D246="Completed",I246*J246,0)</x:f>
        <x:v>312</x:v>
      </x:c>
      <x:c r="N246" s="9" t="n">
        <x:f>M246*K246</x:f>
        <x:v>15.600000000000001</x:v>
      </x:c>
      <x:c r="O246" s="9" t="n">
        <x:f>M246-N246</x:f>
        <x:v>296.4</x:v>
      </x:c>
      <x:c r="P246" s="9" t="n">
        <x:f>IF(D246="Completed",L246*J246*(1-K246),0)</x:f>
        <x:v>0</x:v>
      </x:c>
      <x:c r="Q246" s="9" t="n">
        <x:f>O246-P246</x:f>
        <x:v>296.4</x:v>
      </x:c>
      <x:c r="R246" s="11" t="n">
        <x:f>IF(D246="Completed",I246,0)</x:f>
        <x:v>4</x:v>
      </x:c>
      <x:c r="S246" s="11" t="n">
        <x:f>IF(D246="Completed",L246,0)</x:f>
        <x:v>0</x:v>
      </x:c>
      <x:c r="T246" s="8" t="n">
        <x:f>DATE(YEAR(C246),MONTH(C246),1)</x:f>
        <x:v>45992</x:v>
      </x:c>
    </x:row>
    <x:row r="247" ht="22" customHeight="1">
      <x:c r="A247" s="2" t="str">
        <x:v>L000243</x:v>
      </x:c>
      <x:c r="B247" s="2" t="str">
        <x:v>O00100</x:v>
      </x:c>
      <x:c r="C247" s="7" t="n">
        <x:v>45673</x:v>
      </x:c>
      <x:c r="D247" s="2" t="str">
        <x:v>Completed</x:v>
      </x:c>
      <x:c r="E247" s="2" t="str">
        <x:v>East</x:v>
      </x:c>
      <x:c r="F247" s="2" t="str">
        <x:v>Online</x:v>
      </x:c>
      <x:c r="G247" s="2" t="str">
        <x:v>Storage</x:v>
      </x:c>
      <x:c r="H247" s="2" t="str">
        <x:v>Shelf 019</x:v>
      </x:c>
      <x:c r="I247" s="11" t="n">
        <x:v>3</x:v>
      </x:c>
      <x:c r="J247" s="9" t="n">
        <x:v>78</x:v>
      </x:c>
      <x:c r="K247" s="10" t="n">
        <x:v>0</x:v>
      </x:c>
      <x:c r="L247" s="11" t="n">
        <x:v>0</x:v>
      </x:c>
      <x:c r="M247" s="9" t="n">
        <x:f>IF(D247="Completed",I247*J247,0)</x:f>
        <x:v>234</x:v>
      </x:c>
      <x:c r="N247" s="9" t="n">
        <x:f>M247*K247</x:f>
        <x:v>0</x:v>
      </x:c>
      <x:c r="O247" s="9" t="n">
        <x:f>M247-N247</x:f>
        <x:v>234</x:v>
      </x:c>
      <x:c r="P247" s="9" t="n">
        <x:f>IF(D247="Completed",L247*J247*(1-K247),0)</x:f>
        <x:v>0</x:v>
      </x:c>
      <x:c r="Q247" s="9" t="n">
        <x:f>O247-P247</x:f>
        <x:v>234</x:v>
      </x:c>
      <x:c r="R247" s="11" t="n">
        <x:f>IF(D247="Completed",I247,0)</x:f>
        <x:v>3</x:v>
      </x:c>
      <x:c r="S247" s="11" t="n">
        <x:f>IF(D247="Completed",L247,0)</x:f>
        <x:v>0</x:v>
      </x:c>
      <x:c r="T247" s="8" t="n">
        <x:f>DATE(YEAR(C247),MONTH(C247),1)</x:f>
        <x:v>45658</x:v>
      </x:c>
    </x:row>
    <x:row r="248" ht="22" customHeight="1">
      <x:c r="A248" s="2" t="str">
        <x:v>L000244</x:v>
      </x:c>
      <x:c r="B248" s="2" t="str">
        <x:v>O00100</x:v>
      </x:c>
      <x:c r="C248" s="7" t="n">
        <x:v>45673</x:v>
      </x:c>
      <x:c r="D248" s="2" t="str">
        <x:v>Completed</x:v>
      </x:c>
      <x:c r="E248" s="2" t="str">
        <x:v>East</x:v>
      </x:c>
      <x:c r="F248" s="2" t="str">
        <x:v>Online</x:v>
      </x:c>
      <x:c r="G248" s="2" t="str">
        <x:v>Storage</x:v>
      </x:c>
      <x:c r="H248" s="2" t="str">
        <x:v>Shelf 015</x:v>
      </x:c>
      <x:c r="I248" s="11" t="n">
        <x:v>4</x:v>
      </x:c>
      <x:c r="J248" s="9" t="n">
        <x:v>254</x:v>
      </x:c>
      <x:c r="K248" s="10" t="n">
        <x:v>0.1</x:v>
      </x:c>
      <x:c r="L248" s="11" t="n">
        <x:v>0</x:v>
      </x:c>
      <x:c r="M248" s="9" t="n">
        <x:f>IF(D248="Completed",I248*J248,0)</x:f>
        <x:v>1016</x:v>
      </x:c>
      <x:c r="N248" s="9" t="n">
        <x:f>M248*K248</x:f>
        <x:v>101.60000000000001</x:v>
      </x:c>
      <x:c r="O248" s="9" t="n">
        <x:f>M248-N248</x:f>
        <x:v>914.4</x:v>
      </x:c>
      <x:c r="P248" s="9" t="n">
        <x:f>IF(D248="Completed",L248*J248*(1-K248),0)</x:f>
        <x:v>0</x:v>
      </x:c>
      <x:c r="Q248" s="9" t="n">
        <x:f>O248-P248</x:f>
        <x:v>914.4</x:v>
      </x:c>
      <x:c r="R248" s="11" t="n">
        <x:f>IF(D248="Completed",I248,0)</x:f>
        <x:v>4</x:v>
      </x:c>
      <x:c r="S248" s="11" t="n">
        <x:f>IF(D248="Completed",L248,0)</x:f>
        <x:v>0</x:v>
      </x:c>
      <x:c r="T248" s="8" t="n">
        <x:f>DATE(YEAR(C248),MONTH(C248),1)</x:f>
        <x:v>45658</x:v>
      </x:c>
    </x:row>
    <x:row r="249" ht="22" customHeight="1">
      <x:c r="A249" s="2" t="str">
        <x:v>L000245</x:v>
      </x:c>
      <x:c r="B249" s="2" t="str">
        <x:v>O00100</x:v>
      </x:c>
      <x:c r="C249" s="7" t="n">
        <x:v>45673</x:v>
      </x:c>
      <x:c r="D249" s="2" t="str">
        <x:v>Completed</x:v>
      </x:c>
      <x:c r="E249" s="2" t="str">
        <x:v>East</x:v>
      </x:c>
      <x:c r="F249" s="2" t="str">
        <x:v>Online</x:v>
      </x:c>
      <x:c r="G249" s="2" t="str">
        <x:v>Furniture</x:v>
      </x:c>
      <x:c r="H249" s="2" t="str">
        <x:v>Chair 014</x:v>
      </x:c>
      <x:c r="I249" s="11" t="n">
        <x:v>2</x:v>
      </x:c>
      <x:c r="J249" s="9" t="n">
        <x:v>294</x:v>
      </x:c>
      <x:c r="K249" s="10" t="n">
        <x:v>0.2</x:v>
      </x:c>
      <x:c r="L249" s="11" t="n">
        <x:v>0</x:v>
      </x:c>
      <x:c r="M249" s="9" t="n">
        <x:f>IF(D249="Completed",I249*J249,0)</x:f>
        <x:v>588</x:v>
      </x:c>
      <x:c r="N249" s="9" t="n">
        <x:f>M249*K249</x:f>
        <x:v>117.60000000000001</x:v>
      </x:c>
      <x:c r="O249" s="9" t="n">
        <x:f>M249-N249</x:f>
        <x:v>470.4</x:v>
      </x:c>
      <x:c r="P249" s="9" t="n">
        <x:f>IF(D249="Completed",L249*J249*(1-K249),0)</x:f>
        <x:v>0</x:v>
      </x:c>
      <x:c r="Q249" s="9" t="n">
        <x:f>O249-P249</x:f>
        <x:v>470.4</x:v>
      </x:c>
      <x:c r="R249" s="11" t="n">
        <x:f>IF(D249="Completed",I249,0)</x:f>
        <x:v>2</x:v>
      </x:c>
      <x:c r="S249" s="11" t="n">
        <x:f>IF(D249="Completed",L249,0)</x:f>
        <x:v>0</x:v>
      </x:c>
      <x:c r="T249" s="8" t="n">
        <x:f>DATE(YEAR(C249),MONTH(C249),1)</x:f>
        <x:v>45658</x:v>
      </x:c>
    </x:row>
    <x:row r="250" ht="22" customHeight="1">
      <x:c r="A250" s="2" t="str">
        <x:v>L000246</x:v>
      </x:c>
      <x:c r="B250" s="2" t="str">
        <x:v>O00101</x:v>
      </x:c>
      <x:c r="C250" s="7" t="n">
        <x:v>45769</x:v>
      </x:c>
      <x:c r="D250" s="2" t="str">
        <x:v>Completed</x:v>
      </x:c>
      <x:c r="E250" s="2" t="str">
        <x:v>East</x:v>
      </x:c>
      <x:c r="F250" s="2" t="str">
        <x:v>Store</x:v>
      </x:c>
      <x:c r="G250" s="2" t="str">
        <x:v>Lighting</x:v>
      </x:c>
      <x:c r="H250" s="2" t="str">
        <x:v>Lamp 013</x:v>
      </x:c>
      <x:c r="I250" s="11" t="n">
        <x:v>3</x:v>
      </x:c>
      <x:c r="J250" s="9" t="n">
        <x:v>271</x:v>
      </x:c>
      <x:c r="K250" s="10" t="n">
        <x:v>0.2</x:v>
      </x:c>
      <x:c r="L250" s="11" t="n">
        <x:v>0</x:v>
      </x:c>
      <x:c r="M250" s="9" t="n">
        <x:f>IF(D250="Completed",I250*J250,0)</x:f>
        <x:v>813</x:v>
      </x:c>
      <x:c r="N250" s="9" t="n">
        <x:f>M250*K250</x:f>
        <x:v>162.60000000000002</x:v>
      </x:c>
      <x:c r="O250" s="9" t="n">
        <x:f>M250-N250</x:f>
        <x:v>650.4</x:v>
      </x:c>
      <x:c r="P250" s="9" t="n">
        <x:f>IF(D250="Completed",L250*J250*(1-K250),0)</x:f>
        <x:v>0</x:v>
      </x:c>
      <x:c r="Q250" s="9" t="n">
        <x:f>O250-P250</x:f>
        <x:v>650.4</x:v>
      </x:c>
      <x:c r="R250" s="11" t="n">
        <x:f>IF(D250="Completed",I250,0)</x:f>
        <x:v>3</x:v>
      </x:c>
      <x:c r="S250" s="11" t="n">
        <x:f>IF(D250="Completed",L250,0)</x:f>
        <x:v>0</x:v>
      </x:c>
      <x:c r="T250" s="8" t="n">
        <x:f>DATE(YEAR(C250),MONTH(C250),1)</x:f>
        <x:v>45748</x:v>
      </x:c>
    </x:row>
    <x:row r="251" ht="22" customHeight="1">
      <x:c r="A251" s="2" t="str">
        <x:v>L000247</x:v>
      </x:c>
      <x:c r="B251" s="2" t="str">
        <x:v>O00102</x:v>
      </x:c>
      <x:c r="C251" s="7" t="n">
        <x:v>45935</x:v>
      </x:c>
      <x:c r="D251" s="2" t="str">
        <x:v>Completed</x:v>
      </x:c>
      <x:c r="E251" s="2" t="str">
        <x:v>North</x:v>
      </x:c>
      <x:c r="F251" s="2" t="str">
        <x:v>Store</x:v>
      </x:c>
      <x:c r="G251" s="2" t="str">
        <x:v>Storage</x:v>
      </x:c>
      <x:c r="H251" s="2" t="str">
        <x:v>Shelf 019</x:v>
      </x:c>
      <x:c r="I251" s="11" t="n">
        <x:v>5</x:v>
      </x:c>
      <x:c r="J251" s="9" t="n">
        <x:v>78</x:v>
      </x:c>
      <x:c r="K251" s="10" t="n">
        <x:v>0</x:v>
      </x:c>
      <x:c r="L251" s="11" t="n">
        <x:v>0</x:v>
      </x:c>
      <x:c r="M251" s="9" t="n">
        <x:f>IF(D251="Completed",I251*J251,0)</x:f>
        <x:v>390</x:v>
      </x:c>
      <x:c r="N251" s="9" t="n">
        <x:f>M251*K251</x:f>
        <x:v>0</x:v>
      </x:c>
      <x:c r="O251" s="9" t="n">
        <x:f>M251-N251</x:f>
        <x:v>390</x:v>
      </x:c>
      <x:c r="P251" s="9" t="n">
        <x:f>IF(D251="Completed",L251*J251*(1-K251),0)</x:f>
        <x:v>0</x:v>
      </x:c>
      <x:c r="Q251" s="9" t="n">
        <x:f>O251-P251</x:f>
        <x:v>390</x:v>
      </x:c>
      <x:c r="R251" s="11" t="n">
        <x:f>IF(D251="Completed",I251,0)</x:f>
        <x:v>5</x:v>
      </x:c>
      <x:c r="S251" s="11" t="n">
        <x:f>IF(D251="Completed",L251,0)</x:f>
        <x:v>0</x:v>
      </x:c>
      <x:c r="T251" s="8" t="n">
        <x:f>DATE(YEAR(C251),MONTH(C251),1)</x:f>
        <x:v>45931</x:v>
      </x:c>
    </x:row>
    <x:row r="252" ht="22" customHeight="1">
      <x:c r="A252" s="2" t="str">
        <x:v>L000248</x:v>
      </x:c>
      <x:c r="B252" s="2" t="str">
        <x:v>O00103</x:v>
      </x:c>
      <x:c r="C252" s="7" t="n">
        <x:v>45915</x:v>
      </x:c>
      <x:c r="D252" s="2" t="str">
        <x:v>Completed</x:v>
      </x:c>
      <x:c r="E252" s="2" t="str">
        <x:v>South</x:v>
      </x:c>
      <x:c r="F252" s="2" t="str">
        <x:v>Online</x:v>
      </x:c>
      <x:c r="G252" s="2" t="str">
        <x:v>Furniture</x:v>
      </x:c>
      <x:c r="H252" s="2" t="str">
        <x:v>Desk 008</x:v>
      </x:c>
      <x:c r="I252" s="11" t="n">
        <x:v>3</x:v>
      </x:c>
      <x:c r="J252" s="9" t="n">
        <x:v>188</x:v>
      </x:c>
      <x:c r="K252" s="10" t="n">
        <x:v>0.05</x:v>
      </x:c>
      <x:c r="L252" s="11" t="n">
        <x:v>2</x:v>
      </x:c>
      <x:c r="M252" s="9" t="n">
        <x:f>IF(D252="Completed",I252*J252,0)</x:f>
        <x:v>564</x:v>
      </x:c>
      <x:c r="N252" s="9" t="n">
        <x:f>M252*K252</x:f>
        <x:v>28.200000000000003</x:v>
      </x:c>
      <x:c r="O252" s="9" t="n">
        <x:f>M252-N252</x:f>
        <x:v>535.8</x:v>
      </x:c>
      <x:c r="P252" s="9" t="n">
        <x:f>IF(D252="Completed",L252*J252*(1-K252),0)</x:f>
        <x:v>357.2</x:v>
      </x:c>
      <x:c r="Q252" s="9" t="n">
        <x:f>O252-P252</x:f>
        <x:v>178.59999999999997</x:v>
      </x:c>
      <x:c r="R252" s="11" t="n">
        <x:f>IF(D252="Completed",I252,0)</x:f>
        <x:v>3</x:v>
      </x:c>
      <x:c r="S252" s="11" t="n">
        <x:f>IF(D252="Completed",L252,0)</x:f>
        <x:v>2</x:v>
      </x:c>
      <x:c r="T252" s="8" t="n">
        <x:f>DATE(YEAR(C252),MONTH(C252),1)</x:f>
        <x:v>45901</x:v>
      </x:c>
    </x:row>
    <x:row r="253" ht="22" customHeight="1">
      <x:c r="A253" s="2" t="str">
        <x:v>L000249</x:v>
      </x:c>
      <x:c r="B253" s="2" t="str">
        <x:v>O00103</x:v>
      </x:c>
      <x:c r="C253" s="7" t="n">
        <x:v>45915</x:v>
      </x:c>
      <x:c r="D253" s="2" t="str">
        <x:v>Completed</x:v>
      </x:c>
      <x:c r="E253" s="2" t="str">
        <x:v>South</x:v>
      </x:c>
      <x:c r="F253" s="2" t="str">
        <x:v>Online</x:v>
      </x:c>
      <x:c r="G253" s="2" t="str">
        <x:v>Lighting</x:v>
      </x:c>
      <x:c r="H253" s="2" t="str">
        <x:v>Lamp 013</x:v>
      </x:c>
      <x:c r="I253" s="11" t="n">
        <x:v>5</x:v>
      </x:c>
      <x:c r="J253" s="9" t="n">
        <x:v>271</x:v>
      </x:c>
      <x:c r="K253" s="10" t="n">
        <x:v>0.1</x:v>
      </x:c>
      <x:c r="L253" s="11" t="n">
        <x:v>0</x:v>
      </x:c>
      <x:c r="M253" s="9" t="n">
        <x:f>IF(D253="Completed",I253*J253,0)</x:f>
        <x:v>1355</x:v>
      </x:c>
      <x:c r="N253" s="9" t="n">
        <x:f>M253*K253</x:f>
        <x:v>135.5</x:v>
      </x:c>
      <x:c r="O253" s="9" t="n">
        <x:f>M253-N253</x:f>
        <x:v>1219.5</x:v>
      </x:c>
      <x:c r="P253" s="9" t="n">
        <x:f>IF(D253="Completed",L253*J253*(1-K253),0)</x:f>
        <x:v>0</x:v>
      </x:c>
      <x:c r="Q253" s="9" t="n">
        <x:f>O253-P253</x:f>
        <x:v>1219.5</x:v>
      </x:c>
      <x:c r="R253" s="11" t="n">
        <x:f>IF(D253="Completed",I253,0)</x:f>
        <x:v>5</x:v>
      </x:c>
      <x:c r="S253" s="11" t="n">
        <x:f>IF(D253="Completed",L253,0)</x:f>
        <x:v>0</x:v>
      </x:c>
      <x:c r="T253" s="8" t="n">
        <x:f>DATE(YEAR(C253),MONTH(C253),1)</x:f>
        <x:v>45901</x:v>
      </x:c>
    </x:row>
    <x:row r="254" ht="22" customHeight="1">
      <x:c r="A254" s="2" t="str">
        <x:v>L000250</x:v>
      </x:c>
      <x:c r="B254" s="2" t="str">
        <x:v>O00104</x:v>
      </x:c>
      <x:c r="C254" s="7" t="n">
        <x:v>46019</x:v>
      </x:c>
      <x:c r="D254" s="2" t="str">
        <x:v>Completed</x:v>
      </x:c>
      <x:c r="E254" s="2" t="str">
        <x:v>East</x:v>
      </x:c>
      <x:c r="F254" s="2" t="str">
        <x:v>Online</x:v>
      </x:c>
      <x:c r="G254" s="2" t="str">
        <x:v>Storage</x:v>
      </x:c>
      <x:c r="H254" s="2" t="str">
        <x:v>Shelf 011</x:v>
      </x:c>
      <x:c r="I254" s="11" t="n">
        <x:v>4</x:v>
      </x:c>
      <x:c r="J254" s="9" t="n">
        <x:v>80</x:v>
      </x:c>
      <x:c r="K254" s="10" t="n">
        <x:v>0.1</x:v>
      </x:c>
      <x:c r="L254" s="11" t="n">
        <x:v>0</x:v>
      </x:c>
      <x:c r="M254" s="9" t="n">
        <x:f>IF(D254="Completed",I254*J254,0)</x:f>
        <x:v>320</x:v>
      </x:c>
      <x:c r="N254" s="9" t="n">
        <x:f>M254*K254</x:f>
        <x:v>32</x:v>
      </x:c>
      <x:c r="O254" s="9" t="n">
        <x:f>M254-N254</x:f>
        <x:v>288</x:v>
      </x:c>
      <x:c r="P254" s="9" t="n">
        <x:f>IF(D254="Completed",L254*J254*(1-K254),0)</x:f>
        <x:v>0</x:v>
      </x:c>
      <x:c r="Q254" s="9" t="n">
        <x:f>O254-P254</x:f>
        <x:v>288</x:v>
      </x:c>
      <x:c r="R254" s="11" t="n">
        <x:f>IF(D254="Completed",I254,0)</x:f>
        <x:v>4</x:v>
      </x:c>
      <x:c r="S254" s="11" t="n">
        <x:f>IF(D254="Completed",L254,0)</x:f>
        <x:v>0</x:v>
      </x:c>
      <x:c r="T254" s="8" t="n">
        <x:f>DATE(YEAR(C254),MONTH(C254),1)</x:f>
        <x:v>45992</x:v>
      </x:c>
    </x:row>
    <x:row r="255" ht="22" customHeight="1">
      <x:c r="A255" s="2" t="str">
        <x:v>L000251</x:v>
      </x:c>
      <x:c r="B255" s="2" t="str">
        <x:v>O00104</x:v>
      </x:c>
      <x:c r="C255" s="7" t="n">
        <x:v>46019</x:v>
      </x:c>
      <x:c r="D255" s="2" t="str">
        <x:v>Completed</x:v>
      </x:c>
      <x:c r="E255" s="2" t="str">
        <x:v>East</x:v>
      </x:c>
      <x:c r="F255" s="2" t="str">
        <x:v>Online</x:v>
      </x:c>
      <x:c r="G255" s="2" t="str">
        <x:v>Storage</x:v>
      </x:c>
      <x:c r="H255" s="2" t="str">
        <x:v>Shelf 011</x:v>
      </x:c>
      <x:c r="I255" s="11" t="n">
        <x:v>5</x:v>
      </x:c>
      <x:c r="J255" s="9" t="n">
        <x:v>80</x:v>
      </x:c>
      <x:c r="K255" s="10" t="n">
        <x:v>0.2</x:v>
      </x:c>
      <x:c r="L255" s="11" t="n">
        <x:v>0</x:v>
      </x:c>
      <x:c r="M255" s="9" t="n">
        <x:f>IF(D255="Completed",I255*J255,0)</x:f>
        <x:v>400</x:v>
      </x:c>
      <x:c r="N255" s="9" t="n">
        <x:f>M255*K255</x:f>
        <x:v>80</x:v>
      </x:c>
      <x:c r="O255" s="9" t="n">
        <x:f>M255-N255</x:f>
        <x:v>320</x:v>
      </x:c>
      <x:c r="P255" s="9" t="n">
        <x:f>IF(D255="Completed",L255*J255*(1-K255),0)</x:f>
        <x:v>0</x:v>
      </x:c>
      <x:c r="Q255" s="9" t="n">
        <x:f>O255-P255</x:f>
        <x:v>320</x:v>
      </x:c>
      <x:c r="R255" s="11" t="n">
        <x:f>IF(D255="Completed",I255,0)</x:f>
        <x:v>5</x:v>
      </x:c>
      <x:c r="S255" s="11" t="n">
        <x:f>IF(D255="Completed",L255,0)</x:f>
        <x:v>0</x:v>
      </x:c>
      <x:c r="T255" s="8" t="n">
        <x:f>DATE(YEAR(C255),MONTH(C255),1)</x:f>
        <x:v>45992</x:v>
      </x:c>
    </x:row>
    <x:row r="256" ht="22" customHeight="1">
      <x:c r="A256" s="2" t="str">
        <x:v>L000252</x:v>
      </x:c>
      <x:c r="B256" s="2" t="str">
        <x:v>O00104</x:v>
      </x:c>
      <x:c r="C256" s="7" t="n">
        <x:v>46019</x:v>
      </x:c>
      <x:c r="D256" s="2" t="str">
        <x:v>Completed</x:v>
      </x:c>
      <x:c r="E256" s="2" t="str">
        <x:v>East</x:v>
      </x:c>
      <x:c r="F256" s="2" t="str">
        <x:v>Online</x:v>
      </x:c>
      <x:c r="G256" s="2" t="str">
        <x:v>Furniture</x:v>
      </x:c>
      <x:c r="H256" s="2" t="str">
        <x:v>Desk 016</x:v>
      </x:c>
      <x:c r="I256" s="11" t="n">
        <x:v>4</x:v>
      </x:c>
      <x:c r="J256" s="9" t="n">
        <x:v>231</x:v>
      </x:c>
      <x:c r="K256" s="10" t="n">
        <x:v>0.1</x:v>
      </x:c>
      <x:c r="L256" s="11" t="n">
        <x:v>0</x:v>
      </x:c>
      <x:c r="M256" s="9" t="n">
        <x:f>IF(D256="Completed",I256*J256,0)</x:f>
        <x:v>924</x:v>
      </x:c>
      <x:c r="N256" s="9" t="n">
        <x:f>M256*K256</x:f>
        <x:v>92.4</x:v>
      </x:c>
      <x:c r="O256" s="9" t="n">
        <x:f>M256-N256</x:f>
        <x:v>831.6</x:v>
      </x:c>
      <x:c r="P256" s="9" t="n">
        <x:f>IF(D256="Completed",L256*J256*(1-K256),0)</x:f>
        <x:v>0</x:v>
      </x:c>
      <x:c r="Q256" s="9" t="n">
        <x:f>O256-P256</x:f>
        <x:v>831.6</x:v>
      </x:c>
      <x:c r="R256" s="11" t="n">
        <x:f>IF(D256="Completed",I256,0)</x:f>
        <x:v>4</x:v>
      </x:c>
      <x:c r="S256" s="11" t="n">
        <x:f>IF(D256="Completed",L256,0)</x:f>
        <x:v>0</x:v>
      </x:c>
      <x:c r="T256" s="8" t="n">
        <x:f>DATE(YEAR(C256),MONTH(C256),1)</x:f>
        <x:v>45992</x:v>
      </x:c>
    </x:row>
    <x:row r="257" ht="22" customHeight="1">
      <x:c r="A257" s="2" t="str">
        <x:v>L000253</x:v>
      </x:c>
      <x:c r="B257" s="2" t="str">
        <x:v>O00105</x:v>
      </x:c>
      <x:c r="C257" s="7" t="n">
        <x:v>45968</x:v>
      </x:c>
      <x:c r="D257" s="2" t="str">
        <x:v>Completed</x:v>
      </x:c>
      <x:c r="E257" s="2" t="str">
        <x:v>North</x:v>
      </x:c>
      <x:c r="F257" s="2" t="str">
        <x:v>Store</x:v>
      </x:c>
      <x:c r="G257" s="2" t="str">
        <x:v>Lighting</x:v>
      </x:c>
      <x:c r="H257" s="2" t="str">
        <x:v>Lamp 021</x:v>
      </x:c>
      <x:c r="I257" s="11" t="n">
        <x:v>2</x:v>
      </x:c>
      <x:c r="J257" s="9" t="n">
        <x:v>249</x:v>
      </x:c>
      <x:c r="K257" s="10" t="n">
        <x:v>0.2</x:v>
      </x:c>
      <x:c r="L257" s="11" t="n">
        <x:v>0</x:v>
      </x:c>
      <x:c r="M257" s="9" t="n">
        <x:f>IF(D257="Completed",I257*J257,0)</x:f>
        <x:v>498</x:v>
      </x:c>
      <x:c r="N257" s="9" t="n">
        <x:f>M257*K257</x:f>
        <x:v>99.60000000000001</x:v>
      </x:c>
      <x:c r="O257" s="9" t="n">
        <x:f>M257-N257</x:f>
        <x:v>398.4</x:v>
      </x:c>
      <x:c r="P257" s="9" t="n">
        <x:f>IF(D257="Completed",L257*J257*(1-K257),0)</x:f>
        <x:v>0</x:v>
      </x:c>
      <x:c r="Q257" s="9" t="n">
        <x:f>O257-P257</x:f>
        <x:v>398.4</x:v>
      </x:c>
      <x:c r="R257" s="11" t="n">
        <x:f>IF(D257="Completed",I257,0)</x:f>
        <x:v>2</x:v>
      </x:c>
      <x:c r="S257" s="11" t="n">
        <x:f>IF(D257="Completed",L257,0)</x:f>
        <x:v>0</x:v>
      </x:c>
      <x:c r="T257" s="8" t="n">
        <x:f>DATE(YEAR(C257),MONTH(C257),1)</x:f>
        <x:v>45962</x:v>
      </x:c>
    </x:row>
    <x:row r="258" ht="22" customHeight="1">
      <x:c r="A258" s="2" t="str">
        <x:v>L000254</x:v>
      </x:c>
      <x:c r="B258" s="2" t="str">
        <x:v>O00106</x:v>
      </x:c>
      <x:c r="C258" s="7" t="n">
        <x:v>45942</x:v>
      </x:c>
      <x:c r="D258" s="2" t="str">
        <x:v>Completed</x:v>
      </x:c>
      <x:c r="E258" s="2" t="str">
        <x:v>East</x:v>
      </x:c>
      <x:c r="F258" s="2" t="str">
        <x:v>Store</x:v>
      </x:c>
      <x:c r="G258" s="2" t="str">
        <x:v>Furniture</x:v>
      </x:c>
      <x:c r="H258" s="2" t="str">
        <x:v>Chair 010</x:v>
      </x:c>
      <x:c r="I258" s="11" t="n">
        <x:v>5</x:v>
      </x:c>
      <x:c r="J258" s="9" t="n">
        <x:v>211</x:v>
      </x:c>
      <x:c r="K258" s="10" t="n">
        <x:v>0.1</x:v>
      </x:c>
      <x:c r="L258" s="11" t="n">
        <x:v>0</x:v>
      </x:c>
      <x:c r="M258" s="9" t="n">
        <x:f>IF(D258="Completed",I258*J258,0)</x:f>
        <x:v>1055</x:v>
      </x:c>
      <x:c r="N258" s="9" t="n">
        <x:f>M258*K258</x:f>
        <x:v>105.5</x:v>
      </x:c>
      <x:c r="O258" s="9" t="n">
        <x:f>M258-N258</x:f>
        <x:v>949.5</x:v>
      </x:c>
      <x:c r="P258" s="9" t="n">
        <x:f>IF(D258="Completed",L258*J258*(1-K258),0)</x:f>
        <x:v>0</x:v>
      </x:c>
      <x:c r="Q258" s="9" t="n">
        <x:f>O258-P258</x:f>
        <x:v>949.5</x:v>
      </x:c>
      <x:c r="R258" s="11" t="n">
        <x:f>IF(D258="Completed",I258,0)</x:f>
        <x:v>5</x:v>
      </x:c>
      <x:c r="S258" s="11" t="n">
        <x:f>IF(D258="Completed",L258,0)</x:f>
        <x:v>0</x:v>
      </x:c>
      <x:c r="T258" s="8" t="n">
        <x:f>DATE(YEAR(C258),MONTH(C258),1)</x:f>
        <x:v>45931</x:v>
      </x:c>
    </x:row>
    <x:row r="259" ht="22" customHeight="1">
      <x:c r="A259" s="2" t="str">
        <x:v>L000255</x:v>
      </x:c>
      <x:c r="B259" s="2" t="str">
        <x:v>O00106</x:v>
      </x:c>
      <x:c r="C259" s="7" t="n">
        <x:v>45942</x:v>
      </x:c>
      <x:c r="D259" s="2" t="str">
        <x:v>Completed</x:v>
      </x:c>
      <x:c r="E259" s="2" t="str">
        <x:v>East</x:v>
      </x:c>
      <x:c r="F259" s="2" t="str">
        <x:v>Store</x:v>
      </x:c>
      <x:c r="G259" s="2" t="str">
        <x:v>Lighting</x:v>
      </x:c>
      <x:c r="H259" s="2" t="str">
        <x:v>Lamp 021</x:v>
      </x:c>
      <x:c r="I259" s="11" t="n">
        <x:v>2</x:v>
      </x:c>
      <x:c r="J259" s="9" t="n">
        <x:v>249</x:v>
      </x:c>
      <x:c r="K259" s="10" t="n">
        <x:v>0.2</x:v>
      </x:c>
      <x:c r="L259" s="11" t="n">
        <x:v>0</x:v>
      </x:c>
      <x:c r="M259" s="9" t="n">
        <x:f>IF(D259="Completed",I259*J259,0)</x:f>
        <x:v>498</x:v>
      </x:c>
      <x:c r="N259" s="9" t="n">
        <x:f>M259*K259</x:f>
        <x:v>99.60000000000001</x:v>
      </x:c>
      <x:c r="O259" s="9" t="n">
        <x:f>M259-N259</x:f>
        <x:v>398.4</x:v>
      </x:c>
      <x:c r="P259" s="9" t="n">
        <x:f>IF(D259="Completed",L259*J259*(1-K259),0)</x:f>
        <x:v>0</x:v>
      </x:c>
      <x:c r="Q259" s="9" t="n">
        <x:f>O259-P259</x:f>
        <x:v>398.4</x:v>
      </x:c>
      <x:c r="R259" s="11" t="n">
        <x:f>IF(D259="Completed",I259,0)</x:f>
        <x:v>2</x:v>
      </x:c>
      <x:c r="S259" s="11" t="n">
        <x:f>IF(D259="Completed",L259,0)</x:f>
        <x:v>0</x:v>
      </x:c>
      <x:c r="T259" s="8" t="n">
        <x:f>DATE(YEAR(C259),MONTH(C259),1)</x:f>
        <x:v>45931</x:v>
      </x:c>
    </x:row>
    <x:row r="260" ht="22" customHeight="1">
      <x:c r="A260" s="2" t="str">
        <x:v>L000256</x:v>
      </x:c>
      <x:c r="B260" s="2" t="str">
        <x:v>O00107</x:v>
      </x:c>
      <x:c r="C260" s="7" t="n">
        <x:v>45797</x:v>
      </x:c>
      <x:c r="D260" s="2" t="str">
        <x:v>Completed</x:v>
      </x:c>
      <x:c r="E260" s="2" t="str">
        <x:v>South</x:v>
      </x:c>
      <x:c r="F260" s="2" t="str">
        <x:v>Store</x:v>
      </x:c>
      <x:c r="G260" s="2" t="str">
        <x:v>Storage</x:v>
      </x:c>
      <x:c r="H260" s="2" t="str">
        <x:v>Shelf 023</x:v>
      </x:c>
      <x:c r="I260" s="11" t="n">
        <x:v>1</x:v>
      </x:c>
      <x:c r="J260" s="9" t="n">
        <x:v>68</x:v>
      </x:c>
      <x:c r="K260" s="10" t="n">
        <x:v>0.1</x:v>
      </x:c>
      <x:c r="L260" s="11" t="n">
        <x:v>0</x:v>
      </x:c>
      <x:c r="M260" s="9" t="n">
        <x:f>IF(D260="Completed",I260*J260,0)</x:f>
        <x:v>68</x:v>
      </x:c>
      <x:c r="N260" s="9" t="n">
        <x:f>M260*K260</x:f>
        <x:v>6.800000000000001</x:v>
      </x:c>
      <x:c r="O260" s="9" t="n">
        <x:f>M260-N260</x:f>
        <x:v>61.2</x:v>
      </x:c>
      <x:c r="P260" s="9" t="n">
        <x:f>IF(D260="Completed",L260*J260*(1-K260),0)</x:f>
        <x:v>0</x:v>
      </x:c>
      <x:c r="Q260" s="9" t="n">
        <x:f>O260-P260</x:f>
        <x:v>61.2</x:v>
      </x:c>
      <x:c r="R260" s="11" t="n">
        <x:f>IF(D260="Completed",I260,0)</x:f>
        <x:v>1</x:v>
      </x:c>
      <x:c r="S260" s="11" t="n">
        <x:f>IF(D260="Completed",L260,0)</x:f>
        <x:v>0</x:v>
      </x:c>
      <x:c r="T260" s="8" t="n">
        <x:f>DATE(YEAR(C260),MONTH(C260),1)</x:f>
        <x:v>45778</x:v>
      </x:c>
    </x:row>
    <x:row r="261" ht="22" customHeight="1">
      <x:c r="A261" s="2" t="str">
        <x:v>L000257</x:v>
      </x:c>
      <x:c r="B261" s="2" t="str">
        <x:v>O00108</x:v>
      </x:c>
      <x:c r="C261" s="7" t="n">
        <x:v>45837</x:v>
      </x:c>
      <x:c r="D261" s="2" t="str">
        <x:v>Completed</x:v>
      </x:c>
      <x:c r="E261" s="2" t="str">
        <x:v>West</x:v>
      </x:c>
      <x:c r="F261" s="2" t="str">
        <x:v>Store</x:v>
      </x:c>
      <x:c r="G261" s="2" t="str">
        <x:v>Lighting</x:v>
      </x:c>
      <x:c r="H261" s="2" t="str">
        <x:v>Lamp 013</x:v>
      </x:c>
      <x:c r="I261" s="11" t="n">
        <x:v>5</x:v>
      </x:c>
      <x:c r="J261" s="9" t="n">
        <x:v>271</x:v>
      </x:c>
      <x:c r="K261" s="10" t="n">
        <x:v>0</x:v>
      </x:c>
      <x:c r="L261" s="11" t="n">
        <x:v>0</x:v>
      </x:c>
      <x:c r="M261" s="9" t="n">
        <x:f>IF(D261="Completed",I261*J261,0)</x:f>
        <x:v>1355</x:v>
      </x:c>
      <x:c r="N261" s="9" t="n">
        <x:f>M261*K261</x:f>
        <x:v>0</x:v>
      </x:c>
      <x:c r="O261" s="9" t="n">
        <x:f>M261-N261</x:f>
        <x:v>1355</x:v>
      </x:c>
      <x:c r="P261" s="9" t="n">
        <x:f>IF(D261="Completed",L261*J261*(1-K261),0)</x:f>
        <x:v>0</x:v>
      </x:c>
      <x:c r="Q261" s="9" t="n">
        <x:f>O261-P261</x:f>
        <x:v>1355</x:v>
      </x:c>
      <x:c r="R261" s="11" t="n">
        <x:f>IF(D261="Completed",I261,0)</x:f>
        <x:v>5</x:v>
      </x:c>
      <x:c r="S261" s="11" t="n">
        <x:f>IF(D261="Completed",L261,0)</x:f>
        <x:v>0</x:v>
      </x:c>
      <x:c r="T261" s="8" t="n">
        <x:f>DATE(YEAR(C261),MONTH(C261),1)</x:f>
        <x:v>45809</x:v>
      </x:c>
    </x:row>
    <x:row r="262" ht="22" customHeight="1">
      <x:c r="A262" s="2" t="str">
        <x:v>L000258</x:v>
      </x:c>
      <x:c r="B262" s="2" t="str">
        <x:v>O00108</x:v>
      </x:c>
      <x:c r="C262" s="7" t="n">
        <x:v>45837</x:v>
      </x:c>
      <x:c r="D262" s="2" t="str">
        <x:v>Completed</x:v>
      </x:c>
      <x:c r="E262" s="2" t="str">
        <x:v>West</x:v>
      </x:c>
      <x:c r="F262" s="2" t="str">
        <x:v>Store</x:v>
      </x:c>
      <x:c r="G262" s="2" t="str">
        <x:v>Lighting</x:v>
      </x:c>
      <x:c r="H262" s="2" t="str">
        <x:v>Lamp 021</x:v>
      </x:c>
      <x:c r="I262" s="11" t="n">
        <x:v>1</x:v>
      </x:c>
      <x:c r="J262" s="9" t="n">
        <x:v>249</x:v>
      </x:c>
      <x:c r="K262" s="10" t="n">
        <x:v>0</x:v>
      </x:c>
      <x:c r="L262" s="11" t="n">
        <x:v>0</x:v>
      </x:c>
      <x:c r="M262" s="9" t="n">
        <x:f>IF(D262="Completed",I262*J262,0)</x:f>
        <x:v>249</x:v>
      </x:c>
      <x:c r="N262" s="9" t="n">
        <x:f>M262*K262</x:f>
        <x:v>0</x:v>
      </x:c>
      <x:c r="O262" s="9" t="n">
        <x:f>M262-N262</x:f>
        <x:v>249</x:v>
      </x:c>
      <x:c r="P262" s="9" t="n">
        <x:f>IF(D262="Completed",L262*J262*(1-K262),0)</x:f>
        <x:v>0</x:v>
      </x:c>
      <x:c r="Q262" s="9" t="n">
        <x:f>O262-P262</x:f>
        <x:v>249</x:v>
      </x:c>
      <x:c r="R262" s="11" t="n">
        <x:f>IF(D262="Completed",I262,0)</x:f>
        <x:v>1</x:v>
      </x:c>
      <x:c r="S262" s="11" t="n">
        <x:f>IF(D262="Completed",L262,0)</x:f>
        <x:v>0</x:v>
      </x:c>
      <x:c r="T262" s="8" t="n">
        <x:f>DATE(YEAR(C262),MONTH(C262),1)</x:f>
        <x:v>45809</x:v>
      </x:c>
    </x:row>
    <x:row r="263" ht="22" customHeight="1">
      <x:c r="A263" s="2" t="str">
        <x:v>L000259</x:v>
      </x:c>
      <x:c r="B263" s="2" t="str">
        <x:v>O00109</x:v>
      </x:c>
      <x:c r="C263" s="7" t="n">
        <x:v>46017</x:v>
      </x:c>
      <x:c r="D263" s="2" t="str">
        <x:v>Cancelled</x:v>
      </x:c>
      <x:c r="E263" s="2" t="str">
        <x:v>West</x:v>
      </x:c>
      <x:c r="F263" s="2" t="str">
        <x:v>Online</x:v>
      </x:c>
      <x:c r="G263" s="2" t="str">
        <x:v>Furniture</x:v>
      </x:c>
      <x:c r="H263" s="2" t="str">
        <x:v>Chair 014</x:v>
      </x:c>
      <x:c r="I263" s="11" t="n">
        <x:v>4</x:v>
      </x:c>
      <x:c r="J263" s="9" t="n">
        <x:v>294</x:v>
      </x:c>
      <x:c r="K263" s="10" t="n">
        <x:v>0</x:v>
      </x:c>
      <x:c r="L263" s="11" t="n">
        <x:v>0</x:v>
      </x:c>
      <x:c r="M263" s="9" t="n">
        <x:f>IF(D263="Completed",I263*J263,0)</x:f>
        <x:v>0</x:v>
      </x:c>
      <x:c r="N263" s="9" t="n">
        <x:f>M263*K263</x:f>
        <x:v>0</x:v>
      </x:c>
      <x:c r="O263" s="9" t="n">
        <x:f>M263-N263</x:f>
        <x:v>0</x:v>
      </x:c>
      <x:c r="P263" s="9" t="n">
        <x:f>IF(D263="Completed",L263*J263*(1-K263),0)</x:f>
        <x:v>0</x:v>
      </x:c>
      <x:c r="Q263" s="9" t="n">
        <x:f>O263-P263</x:f>
        <x:v>0</x:v>
      </x:c>
      <x:c r="R263" s="11" t="n">
        <x:f>IF(D263="Completed",I263,0)</x:f>
        <x:v>0</x:v>
      </x:c>
      <x:c r="S263" s="11" t="n">
        <x:f>IF(D263="Completed",L263,0)</x:f>
        <x:v>0</x:v>
      </x:c>
      <x:c r="T263" s="8" t="n">
        <x:f>DATE(YEAR(C263),MONTH(C263),1)</x:f>
        <x:v>45992</x:v>
      </x:c>
    </x:row>
    <x:row r="264" ht="22" customHeight="1">
      <x:c r="A264" s="2" t="str">
        <x:v>L000260</x:v>
      </x:c>
      <x:c r="B264" s="2" t="str">
        <x:v>O00109</x:v>
      </x:c>
      <x:c r="C264" s="7" t="n">
        <x:v>46017</x:v>
      </x:c>
      <x:c r="D264" s="2" t="str">
        <x:v>Cancelled</x:v>
      </x:c>
      <x:c r="E264" s="2" t="str">
        <x:v>West</x:v>
      </x:c>
      <x:c r="F264" s="2" t="str">
        <x:v>Online</x:v>
      </x:c>
      <x:c r="G264" s="2" t="str">
        <x:v>Storage</x:v>
      </x:c>
      <x:c r="H264" s="2" t="str">
        <x:v>Shelf 023</x:v>
      </x:c>
      <x:c r="I264" s="11" t="n">
        <x:v>5</x:v>
      </x:c>
      <x:c r="J264" s="9" t="n">
        <x:v>68</x:v>
      </x:c>
      <x:c r="K264" s="10" t="n">
        <x:v>0.2</x:v>
      </x:c>
      <x:c r="L264" s="11" t="n">
        <x:v>0</x:v>
      </x:c>
      <x:c r="M264" s="9" t="n">
        <x:f>IF(D264="Completed",I264*J264,0)</x:f>
        <x:v>0</x:v>
      </x:c>
      <x:c r="N264" s="9" t="n">
        <x:f>M264*K264</x:f>
        <x:v>0</x:v>
      </x:c>
      <x:c r="O264" s="9" t="n">
        <x:f>M264-N264</x:f>
        <x:v>0</x:v>
      </x:c>
      <x:c r="P264" s="9" t="n">
        <x:f>IF(D264="Completed",L264*J264*(1-K264),0)</x:f>
        <x:v>0</x:v>
      </x:c>
      <x:c r="Q264" s="9" t="n">
        <x:f>O264-P264</x:f>
        <x:v>0</x:v>
      </x:c>
      <x:c r="R264" s="11" t="n">
        <x:f>IF(D264="Completed",I264,0)</x:f>
        <x:v>0</x:v>
      </x:c>
      <x:c r="S264" s="11" t="n">
        <x:f>IF(D264="Completed",L264,0)</x:f>
        <x:v>0</x:v>
      </x:c>
      <x:c r="T264" s="8" t="n">
        <x:f>DATE(YEAR(C264),MONTH(C264),1)</x:f>
        <x:v>45992</x:v>
      </x:c>
    </x:row>
    <x:row r="265" ht="22" customHeight="1">
      <x:c r="A265" s="2" t="str">
        <x:v>L000261</x:v>
      </x:c>
      <x:c r="B265" s="2" t="str">
        <x:v>O00109</x:v>
      </x:c>
      <x:c r="C265" s="7" t="n">
        <x:v>46017</x:v>
      </x:c>
      <x:c r="D265" s="2" t="str">
        <x:v>Cancelled</x:v>
      </x:c>
      <x:c r="E265" s="2" t="str">
        <x:v>West</x:v>
      </x:c>
      <x:c r="F265" s="2" t="str">
        <x:v>Online</x:v>
      </x:c>
      <x:c r="G265" s="2" t="str">
        <x:v>Storage</x:v>
      </x:c>
      <x:c r="H265" s="2" t="str">
        <x:v>Shelf 011</x:v>
      </x:c>
      <x:c r="I265" s="11" t="n">
        <x:v>2</x:v>
      </x:c>
      <x:c r="J265" s="9" t="n">
        <x:v>80</x:v>
      </x:c>
      <x:c r="K265" s="10" t="n">
        <x:v>0.1</x:v>
      </x:c>
      <x:c r="L265" s="11" t="n">
        <x:v>0</x:v>
      </x:c>
      <x:c r="M265" s="9" t="n">
        <x:f>IF(D265="Completed",I265*J265,0)</x:f>
        <x:v>0</x:v>
      </x:c>
      <x:c r="N265" s="9" t="n">
        <x:f>M265*K265</x:f>
        <x:v>0</x:v>
      </x:c>
      <x:c r="O265" s="9" t="n">
        <x:f>M265-N265</x:f>
        <x:v>0</x:v>
      </x:c>
      <x:c r="P265" s="9" t="n">
        <x:f>IF(D265="Completed",L265*J265*(1-K265),0)</x:f>
        <x:v>0</x:v>
      </x:c>
      <x:c r="Q265" s="9" t="n">
        <x:f>O265-P265</x:f>
        <x:v>0</x:v>
      </x:c>
      <x:c r="R265" s="11" t="n">
        <x:f>IF(D265="Completed",I265,0)</x:f>
        <x:v>0</x:v>
      </x:c>
      <x:c r="S265" s="11" t="n">
        <x:f>IF(D265="Completed",L265,0)</x:f>
        <x:v>0</x:v>
      </x:c>
      <x:c r="T265" s="8" t="n">
        <x:f>DATE(YEAR(C265),MONTH(C265),1)</x:f>
        <x:v>45992</x:v>
      </x:c>
    </x:row>
    <x:row r="266" ht="22" customHeight="1">
      <x:c r="A266" s="2" t="str">
        <x:v>L000262</x:v>
      </x:c>
      <x:c r="B266" s="2" t="str">
        <x:v>O00110</x:v>
      </x:c>
      <x:c r="C266" s="7" t="n">
        <x:v>45866</x:v>
      </x:c>
      <x:c r="D266" s="2" t="str">
        <x:v>Completed</x:v>
      </x:c>
      <x:c r="E266" s="2" t="str">
        <x:v>East</x:v>
      </x:c>
      <x:c r="F266" s="2" t="str">
        <x:v>Online</x:v>
      </x:c>
      <x:c r="G266" s="2" t="str">
        <x:v>Storage</x:v>
      </x:c>
      <x:c r="H266" s="2" t="str">
        <x:v>Shelf 019</x:v>
      </x:c>
      <x:c r="I266" s="11" t="n">
        <x:v>4</x:v>
      </x:c>
      <x:c r="J266" s="9" t="n">
        <x:v>78</x:v>
      </x:c>
      <x:c r="K266" s="10" t="n">
        <x:v>0.1</x:v>
      </x:c>
      <x:c r="L266" s="11" t="n">
        <x:v>0</x:v>
      </x:c>
      <x:c r="M266" s="9" t="n">
        <x:f>IF(D266="Completed",I266*J266,0)</x:f>
        <x:v>312</x:v>
      </x:c>
      <x:c r="N266" s="9" t="n">
        <x:f>M266*K266</x:f>
        <x:v>31.200000000000003</x:v>
      </x:c>
      <x:c r="O266" s="9" t="n">
        <x:f>M266-N266</x:f>
        <x:v>280.8</x:v>
      </x:c>
      <x:c r="P266" s="9" t="n">
        <x:f>IF(D266="Completed",L266*J266*(1-K266),0)</x:f>
        <x:v>0</x:v>
      </x:c>
      <x:c r="Q266" s="9" t="n">
        <x:f>O266-P266</x:f>
        <x:v>280.8</x:v>
      </x:c>
      <x:c r="R266" s="11" t="n">
        <x:f>IF(D266="Completed",I266,0)</x:f>
        <x:v>4</x:v>
      </x:c>
      <x:c r="S266" s="11" t="n">
        <x:f>IF(D266="Completed",L266,0)</x:f>
        <x:v>0</x:v>
      </x:c>
      <x:c r="T266" s="8" t="n">
        <x:f>DATE(YEAR(C266),MONTH(C266),1)</x:f>
        <x:v>45839</x:v>
      </x:c>
    </x:row>
    <x:row r="267" ht="22" customHeight="1">
      <x:c r="A267" s="2" t="str">
        <x:v>L000263</x:v>
      </x:c>
      <x:c r="B267" s="2" t="str">
        <x:v>O00110</x:v>
      </x:c>
      <x:c r="C267" s="7" t="n">
        <x:v>45866</x:v>
      </x:c>
      <x:c r="D267" s="2" t="str">
        <x:v>Completed</x:v>
      </x:c>
      <x:c r="E267" s="2" t="str">
        <x:v>East</x:v>
      </x:c>
      <x:c r="F267" s="2" t="str">
        <x:v>Online</x:v>
      </x:c>
      <x:c r="G267" s="2" t="str">
        <x:v>Furniture</x:v>
      </x:c>
      <x:c r="H267" s="2" t="str">
        <x:v>Chair 014</x:v>
      </x:c>
      <x:c r="I267" s="11" t="n">
        <x:v>5</x:v>
      </x:c>
      <x:c r="J267" s="9" t="n">
        <x:v>294</x:v>
      </x:c>
      <x:c r="K267" s="10" t="n">
        <x:v>0.1</x:v>
      </x:c>
      <x:c r="L267" s="11" t="n">
        <x:v>0</x:v>
      </x:c>
      <x:c r="M267" s="9" t="n">
        <x:f>IF(D267="Completed",I267*J267,0)</x:f>
        <x:v>1470</x:v>
      </x:c>
      <x:c r="N267" s="9" t="n">
        <x:f>M267*K267</x:f>
        <x:v>147</x:v>
      </x:c>
      <x:c r="O267" s="9" t="n">
        <x:f>M267-N267</x:f>
        <x:v>1323</x:v>
      </x:c>
      <x:c r="P267" s="9" t="n">
        <x:f>IF(D267="Completed",L267*J267*(1-K267),0)</x:f>
        <x:v>0</x:v>
      </x:c>
      <x:c r="Q267" s="9" t="n">
        <x:f>O267-P267</x:f>
        <x:v>1323</x:v>
      </x:c>
      <x:c r="R267" s="11" t="n">
        <x:f>IF(D267="Completed",I267,0)</x:f>
        <x:v>5</x:v>
      </x:c>
      <x:c r="S267" s="11" t="n">
        <x:f>IF(D267="Completed",L267,0)</x:f>
        <x:v>0</x:v>
      </x:c>
      <x:c r="T267" s="8" t="n">
        <x:f>DATE(YEAR(C267),MONTH(C267),1)</x:f>
        <x:v>45839</x:v>
      </x:c>
    </x:row>
    <x:row r="268" ht="22" customHeight="1">
      <x:c r="A268" s="2" t="str">
        <x:v>L000264</x:v>
      </x:c>
      <x:c r="B268" s="2" t="str">
        <x:v>O00111</x:v>
      </x:c>
      <x:c r="C268" s="7" t="n">
        <x:v>45673</x:v>
      </x:c>
      <x:c r="D268" s="2" t="str">
        <x:v>Completed</x:v>
      </x:c>
      <x:c r="E268" s="2" t="str">
        <x:v>West</x:v>
      </x:c>
      <x:c r="F268" s="2" t="str">
        <x:v>Online</x:v>
      </x:c>
      <x:c r="G268" s="2" t="str">
        <x:v>Furniture</x:v>
      </x:c>
      <x:c r="H268" s="2" t="str">
        <x:v>Chair 018</x:v>
      </x:c>
      <x:c r="I268" s="11" t="n">
        <x:v>4</x:v>
      </x:c>
      <x:c r="J268" s="9" t="n">
        <x:v>269</x:v>
      </x:c>
      <x:c r="K268" s="10" t="n">
        <x:v>0.05</x:v>
      </x:c>
      <x:c r="L268" s="11" t="n">
        <x:v>0</x:v>
      </x:c>
      <x:c r="M268" s="9" t="n">
        <x:f>IF(D268="Completed",I268*J268,0)</x:f>
        <x:v>1076</x:v>
      </x:c>
      <x:c r="N268" s="9" t="n">
        <x:f>M268*K268</x:f>
        <x:v>53.800000000000004</x:v>
      </x:c>
      <x:c r="O268" s="9" t="n">
        <x:f>M268-N268</x:f>
        <x:v>1022.2</x:v>
      </x:c>
      <x:c r="P268" s="9" t="n">
        <x:f>IF(D268="Completed",L268*J268*(1-K268),0)</x:f>
        <x:v>0</x:v>
      </x:c>
      <x:c r="Q268" s="9" t="n">
        <x:f>O268-P268</x:f>
        <x:v>1022.2</x:v>
      </x:c>
      <x:c r="R268" s="11" t="n">
        <x:f>IF(D268="Completed",I268,0)</x:f>
        <x:v>4</x:v>
      </x:c>
      <x:c r="S268" s="11" t="n">
        <x:f>IF(D268="Completed",L268,0)</x:f>
        <x:v>0</x:v>
      </x:c>
      <x:c r="T268" s="8" t="n">
        <x:f>DATE(YEAR(C268),MONTH(C268),1)</x:f>
        <x:v>45658</x:v>
      </x:c>
    </x:row>
    <x:row r="269" ht="22" customHeight="1">
      <x:c r="A269" s="2" t="str">
        <x:v>L000265</x:v>
      </x:c>
      <x:c r="B269" s="2" t="str">
        <x:v>O00112</x:v>
      </x:c>
      <x:c r="C269" s="7" t="n">
        <x:v>45953</x:v>
      </x:c>
      <x:c r="D269" s="2" t="str">
        <x:v>Completed</x:v>
      </x:c>
      <x:c r="E269" s="2" t="str">
        <x:v>South</x:v>
      </x:c>
      <x:c r="F269" s="2" t="str">
        <x:v>Online</x:v>
      </x:c>
      <x:c r="G269" s="2" t="str">
        <x:v>Furniture</x:v>
      </x:c>
      <x:c r="H269" s="2" t="str">
        <x:v>Desk 024</x:v>
      </x:c>
      <x:c r="I269" s="11" t="n">
        <x:v>4</x:v>
      </x:c>
      <x:c r="J269" s="9" t="n">
        <x:v>81</x:v>
      </x:c>
      <x:c r="K269" s="10" t="n">
        <x:v>0.1</x:v>
      </x:c>
      <x:c r="L269" s="11" t="n">
        <x:v>0</x:v>
      </x:c>
      <x:c r="M269" s="9" t="n">
        <x:f>IF(D269="Completed",I269*J269,0)</x:f>
        <x:v>324</x:v>
      </x:c>
      <x:c r="N269" s="9" t="n">
        <x:f>M269*K269</x:f>
        <x:v>32.4</x:v>
      </x:c>
      <x:c r="O269" s="9" t="n">
        <x:f>M269-N269</x:f>
        <x:v>291.6</x:v>
      </x:c>
      <x:c r="P269" s="9" t="n">
        <x:f>IF(D269="Completed",L269*J269*(1-K269),0)</x:f>
        <x:v>0</x:v>
      </x:c>
      <x:c r="Q269" s="9" t="n">
        <x:f>O269-P269</x:f>
        <x:v>291.6</x:v>
      </x:c>
      <x:c r="R269" s="11" t="n">
        <x:f>IF(D269="Completed",I269,0)</x:f>
        <x:v>4</x:v>
      </x:c>
      <x:c r="S269" s="11" t="n">
        <x:f>IF(D269="Completed",L269,0)</x:f>
        <x:v>0</x:v>
      </x:c>
      <x:c r="T269" s="8" t="n">
        <x:f>DATE(YEAR(C269),MONTH(C269),1)</x:f>
        <x:v>45931</x:v>
      </x:c>
    </x:row>
    <x:row r="270" ht="22" customHeight="1">
      <x:c r="A270" s="2" t="str">
        <x:v>L000266</x:v>
      </x:c>
      <x:c r="B270" s="2" t="str">
        <x:v>O00112</x:v>
      </x:c>
      <x:c r="C270" s="7" t="n">
        <x:v>45953</x:v>
      </x:c>
      <x:c r="D270" s="2" t="str">
        <x:v>Completed</x:v>
      </x:c>
      <x:c r="E270" s="2" t="str">
        <x:v>South</x:v>
      </x:c>
      <x:c r="F270" s="2" t="str">
        <x:v>Online</x:v>
      </x:c>
      <x:c r="G270" s="2" t="str">
        <x:v>Storage</x:v>
      </x:c>
      <x:c r="H270" s="2" t="str">
        <x:v>Shelf 015</x:v>
      </x:c>
      <x:c r="I270" s="11" t="n">
        <x:v>2</x:v>
      </x:c>
      <x:c r="J270" s="9" t="n">
        <x:v>254</x:v>
      </x:c>
      <x:c r="K270" s="10" t="n">
        <x:v>0.1</x:v>
      </x:c>
      <x:c r="L270" s="11" t="n">
        <x:v>0</x:v>
      </x:c>
      <x:c r="M270" s="9" t="n">
        <x:f>IF(D270="Completed",I270*J270,0)</x:f>
        <x:v>508</x:v>
      </x:c>
      <x:c r="N270" s="9" t="n">
        <x:f>M270*K270</x:f>
        <x:v>50.800000000000004</x:v>
      </x:c>
      <x:c r="O270" s="9" t="n">
        <x:f>M270-N270</x:f>
        <x:v>457.2</x:v>
      </x:c>
      <x:c r="P270" s="9" t="n">
        <x:f>IF(D270="Completed",L270*J270*(1-K270),0)</x:f>
        <x:v>0</x:v>
      </x:c>
      <x:c r="Q270" s="9" t="n">
        <x:f>O270-P270</x:f>
        <x:v>457.2</x:v>
      </x:c>
      <x:c r="R270" s="11" t="n">
        <x:f>IF(D270="Completed",I270,0)</x:f>
        <x:v>2</x:v>
      </x:c>
      <x:c r="S270" s="11" t="n">
        <x:f>IF(D270="Completed",L270,0)</x:f>
        <x:v>0</x:v>
      </x:c>
      <x:c r="T270" s="8" t="n">
        <x:f>DATE(YEAR(C270),MONTH(C270),1)</x:f>
        <x:v>45931</x:v>
      </x:c>
    </x:row>
    <x:row r="271" ht="22" customHeight="1">
      <x:c r="A271" s="2" t="str">
        <x:v>L000267</x:v>
      </x:c>
      <x:c r="B271" s="2" t="str">
        <x:v>O00113</x:v>
      </x:c>
      <x:c r="C271" s="7" t="n">
        <x:v>45834</x:v>
      </x:c>
      <x:c r="D271" s="2" t="str">
        <x:v>Completed</x:v>
      </x:c>
      <x:c r="E271" s="2" t="str">
        <x:v>South</x:v>
      </x:c>
      <x:c r="F271" s="2" t="str">
        <x:v>Store</x:v>
      </x:c>
      <x:c r="G271" s="2" t="str">
        <x:v>Lighting</x:v>
      </x:c>
      <x:c r="H271" s="2" t="str">
        <x:v>Lamp 017</x:v>
      </x:c>
      <x:c r="I271" s="11" t="n">
        <x:v>2</x:v>
      </x:c>
      <x:c r="J271" s="9" t="n">
        <x:v>300</x:v>
      </x:c>
      <x:c r="K271" s="10" t="n">
        <x:v>0.05</x:v>
      </x:c>
      <x:c r="L271" s="11" t="n">
        <x:v>0</x:v>
      </x:c>
      <x:c r="M271" s="9" t="n">
        <x:f>IF(D271="Completed",I271*J271,0)</x:f>
        <x:v>600</x:v>
      </x:c>
      <x:c r="N271" s="9" t="n">
        <x:f>M271*K271</x:f>
        <x:v>30</x:v>
      </x:c>
      <x:c r="O271" s="9" t="n">
        <x:f>M271-N271</x:f>
        <x:v>570</x:v>
      </x:c>
      <x:c r="P271" s="9" t="n">
        <x:f>IF(D271="Completed",L271*J271*(1-K271),0)</x:f>
        <x:v>0</x:v>
      </x:c>
      <x:c r="Q271" s="9" t="n">
        <x:f>O271-P271</x:f>
        <x:v>570</x:v>
      </x:c>
      <x:c r="R271" s="11" t="n">
        <x:f>IF(D271="Completed",I271,0)</x:f>
        <x:v>2</x:v>
      </x:c>
      <x:c r="S271" s="11" t="n">
        <x:f>IF(D271="Completed",L271,0)</x:f>
        <x:v>0</x:v>
      </x:c>
      <x:c r="T271" s="8" t="n">
        <x:f>DATE(YEAR(C271),MONTH(C271),1)</x:f>
        <x:v>45809</x:v>
      </x:c>
    </x:row>
    <x:row r="272" ht="22" customHeight="1">
      <x:c r="A272" s="2" t="str">
        <x:v>L000268</x:v>
      </x:c>
      <x:c r="B272" s="2" t="str">
        <x:v>O00113</x:v>
      </x:c>
      <x:c r="C272" s="7" t="n">
        <x:v>45834</x:v>
      </x:c>
      <x:c r="D272" s="2" t="str">
        <x:v>Completed</x:v>
      </x:c>
      <x:c r="E272" s="2" t="str">
        <x:v>South</x:v>
      </x:c>
      <x:c r="F272" s="2" t="str">
        <x:v>Store</x:v>
      </x:c>
      <x:c r="G272" s="2" t="str">
        <x:v>Lighting</x:v>
      </x:c>
      <x:c r="H272" s="2" t="str">
        <x:v>Lamp 017</x:v>
      </x:c>
      <x:c r="I272" s="11" t="n">
        <x:v>3</x:v>
      </x:c>
      <x:c r="J272" s="9" t="n">
        <x:v>300</x:v>
      </x:c>
      <x:c r="K272" s="10" t="n">
        <x:v>0.2</x:v>
      </x:c>
      <x:c r="L272" s="11" t="n">
        <x:v>0</x:v>
      </x:c>
      <x:c r="M272" s="9" t="n">
        <x:f>IF(D272="Completed",I272*J272,0)</x:f>
        <x:v>900</x:v>
      </x:c>
      <x:c r="N272" s="9" t="n">
        <x:f>M272*K272</x:f>
        <x:v>180</x:v>
      </x:c>
      <x:c r="O272" s="9" t="n">
        <x:f>M272-N272</x:f>
        <x:v>720</x:v>
      </x:c>
      <x:c r="P272" s="9" t="n">
        <x:f>IF(D272="Completed",L272*J272*(1-K272),0)</x:f>
        <x:v>0</x:v>
      </x:c>
      <x:c r="Q272" s="9" t="n">
        <x:f>O272-P272</x:f>
        <x:v>720</x:v>
      </x:c>
      <x:c r="R272" s="11" t="n">
        <x:f>IF(D272="Completed",I272,0)</x:f>
        <x:v>3</x:v>
      </x:c>
      <x:c r="S272" s="11" t="n">
        <x:f>IF(D272="Completed",L272,0)</x:f>
        <x:v>0</x:v>
      </x:c>
      <x:c r="T272" s="8" t="n">
        <x:f>DATE(YEAR(C272),MONTH(C272),1)</x:f>
        <x:v>45809</x:v>
      </x:c>
    </x:row>
    <x:row r="273" ht="22" customHeight="1">
      <x:c r="A273" s="2" t="str">
        <x:v>L000269</x:v>
      </x:c>
      <x:c r="B273" s="2" t="str">
        <x:v>O00114</x:v>
      </x:c>
      <x:c r="C273" s="7" t="n">
        <x:v>45684</x:v>
      </x:c>
      <x:c r="D273" s="2" t="str">
        <x:v>Completed</x:v>
      </x:c>
      <x:c r="E273" s="2" t="str">
        <x:v>South</x:v>
      </x:c>
      <x:c r="F273" s="2" t="str">
        <x:v>Online</x:v>
      </x:c>
      <x:c r="G273" s="2" t="str">
        <x:v>Furniture</x:v>
      </x:c>
      <x:c r="H273" s="2" t="str">
        <x:v>Desk 024</x:v>
      </x:c>
      <x:c r="I273" s="11" t="n">
        <x:v>2</x:v>
      </x:c>
      <x:c r="J273" s="9" t="n">
        <x:v>81</x:v>
      </x:c>
      <x:c r="K273" s="10" t="n">
        <x:v>0</x:v>
      </x:c>
      <x:c r="L273" s="11" t="n">
        <x:v>0</x:v>
      </x:c>
      <x:c r="M273" s="9" t="n">
        <x:f>IF(D273="Completed",I273*J273,0)</x:f>
        <x:v>162</x:v>
      </x:c>
      <x:c r="N273" s="9" t="n">
        <x:f>M273*K273</x:f>
        <x:v>0</x:v>
      </x:c>
      <x:c r="O273" s="9" t="n">
        <x:f>M273-N273</x:f>
        <x:v>162</x:v>
      </x:c>
      <x:c r="P273" s="9" t="n">
        <x:f>IF(D273="Completed",L273*J273*(1-K273),0)</x:f>
        <x:v>0</x:v>
      </x:c>
      <x:c r="Q273" s="9" t="n">
        <x:f>O273-P273</x:f>
        <x:v>162</x:v>
      </x:c>
      <x:c r="R273" s="11" t="n">
        <x:f>IF(D273="Completed",I273,0)</x:f>
        <x:v>2</x:v>
      </x:c>
      <x:c r="S273" s="11" t="n">
        <x:f>IF(D273="Completed",L273,0)</x:f>
        <x:v>0</x:v>
      </x:c>
      <x:c r="T273" s="8" t="n">
        <x:f>DATE(YEAR(C273),MONTH(C273),1)</x:f>
        <x:v>45658</x:v>
      </x:c>
    </x:row>
    <x:row r="274" ht="22" customHeight="1">
      <x:c r="A274" s="2" t="str">
        <x:v>L000270</x:v>
      </x:c>
      <x:c r="B274" s="2" t="str">
        <x:v>O00115</x:v>
      </x:c>
      <x:c r="C274" s="7" t="n">
        <x:v>45665</x:v>
      </x:c>
      <x:c r="D274" s="2" t="str">
        <x:v>Cancelled</x:v>
      </x:c>
      <x:c r="E274" s="2" t="str">
        <x:v>North</x:v>
      </x:c>
      <x:c r="F274" s="2" t="str">
        <x:v>Online</x:v>
      </x:c>
      <x:c r="G274" s="2" t="str">
        <x:v>Furniture</x:v>
      </x:c>
      <x:c r="H274" s="2" t="str">
        <x:v>Chair 006</x:v>
      </x:c>
      <x:c r="I274" s="11" t="n">
        <x:v>2</x:v>
      </x:c>
      <x:c r="J274" s="9" t="n">
        <x:v>196</x:v>
      </x:c>
      <x:c r="K274" s="10" t="n">
        <x:v>0.1</x:v>
      </x:c>
      <x:c r="L274" s="11" t="n">
        <x:v>0</x:v>
      </x:c>
      <x:c r="M274" s="9" t="n">
        <x:f>IF(D274="Completed",I274*J274,0)</x:f>
        <x:v>0</x:v>
      </x:c>
      <x:c r="N274" s="9" t="n">
        <x:f>M274*K274</x:f>
        <x:v>0</x:v>
      </x:c>
      <x:c r="O274" s="9" t="n">
        <x:f>M274-N274</x:f>
        <x:v>0</x:v>
      </x:c>
      <x:c r="P274" s="9" t="n">
        <x:f>IF(D274="Completed",L274*J274*(1-K274),0)</x:f>
        <x:v>0</x:v>
      </x:c>
      <x:c r="Q274" s="9" t="n">
        <x:f>O274-P274</x:f>
        <x:v>0</x:v>
      </x:c>
      <x:c r="R274" s="11" t="n">
        <x:f>IF(D274="Completed",I274,0)</x:f>
        <x:v>0</x:v>
      </x:c>
      <x:c r="S274" s="11" t="n">
        <x:f>IF(D274="Completed",L274,0)</x:f>
        <x:v>0</x:v>
      </x:c>
      <x:c r="T274" s="8" t="n">
        <x:f>DATE(YEAR(C274),MONTH(C274),1)</x:f>
        <x:v>45658</x:v>
      </x:c>
    </x:row>
    <x:row r="275" ht="22" customHeight="1">
      <x:c r="A275" s="2" t="str">
        <x:v>L000271</x:v>
      </x:c>
      <x:c r="B275" s="2" t="str">
        <x:v>O00115</x:v>
      </x:c>
      <x:c r="C275" s="7" t="n">
        <x:v>45665</x:v>
      </x:c>
      <x:c r="D275" s="2" t="str">
        <x:v>Cancelled</x:v>
      </x:c>
      <x:c r="E275" s="2" t="str">
        <x:v>North</x:v>
      </x:c>
      <x:c r="F275" s="2" t="str">
        <x:v>Online</x:v>
      </x:c>
      <x:c r="G275" s="2" t="str">
        <x:v>Furniture</x:v>
      </x:c>
      <x:c r="H275" s="2" t="str">
        <x:v>Desk 012</x:v>
      </x:c>
      <x:c r="I275" s="11" t="n">
        <x:v>1</x:v>
      </x:c>
      <x:c r="J275" s="9" t="n">
        <x:v>134</x:v>
      </x:c>
      <x:c r="K275" s="10" t="n">
        <x:v>0</x:v>
      </x:c>
      <x:c r="L275" s="11" t="n">
        <x:v>0</x:v>
      </x:c>
      <x:c r="M275" s="9" t="n">
        <x:f>IF(D275="Completed",I275*J275,0)</x:f>
        <x:v>0</x:v>
      </x:c>
      <x:c r="N275" s="9" t="n">
        <x:f>M275*K275</x:f>
        <x:v>0</x:v>
      </x:c>
      <x:c r="O275" s="9" t="n">
        <x:f>M275-N275</x:f>
        <x:v>0</x:v>
      </x:c>
      <x:c r="P275" s="9" t="n">
        <x:f>IF(D275="Completed",L275*J275*(1-K275),0)</x:f>
        <x:v>0</x:v>
      </x:c>
      <x:c r="Q275" s="9" t="n">
        <x:f>O275-P275</x:f>
        <x:v>0</x:v>
      </x:c>
      <x:c r="R275" s="11" t="n">
        <x:f>IF(D275="Completed",I275,0)</x:f>
        <x:v>0</x:v>
      </x:c>
      <x:c r="S275" s="11" t="n">
        <x:f>IF(D275="Completed",L275,0)</x:f>
        <x:v>0</x:v>
      </x:c>
      <x:c r="T275" s="8" t="n">
        <x:f>DATE(YEAR(C275),MONTH(C275),1)</x:f>
        <x:v>45658</x:v>
      </x:c>
    </x:row>
    <x:row r="276" ht="22" customHeight="1">
      <x:c r="A276" s="2" t="str">
        <x:v>L000272</x:v>
      </x:c>
      <x:c r="B276" s="2" t="str">
        <x:v>O00116</x:v>
      </x:c>
      <x:c r="C276" s="7" t="n">
        <x:v>45957</x:v>
      </x:c>
      <x:c r="D276" s="2" t="str">
        <x:v>Completed</x:v>
      </x:c>
      <x:c r="E276" s="2" t="str">
        <x:v>South</x:v>
      </x:c>
      <x:c r="F276" s="2" t="str">
        <x:v>Online</x:v>
      </x:c>
      <x:c r="G276" s="2" t="str">
        <x:v>Furniture</x:v>
      </x:c>
      <x:c r="H276" s="2" t="str">
        <x:v>Desk 016</x:v>
      </x:c>
      <x:c r="I276" s="11" t="n">
        <x:v>4</x:v>
      </x:c>
      <x:c r="J276" s="9" t="n">
        <x:v>231</x:v>
      </x:c>
      <x:c r="K276" s="10" t="n">
        <x:v>0.1</x:v>
      </x:c>
      <x:c r="L276" s="11" t="n">
        <x:v>0</x:v>
      </x:c>
      <x:c r="M276" s="9" t="n">
        <x:f>IF(D276="Completed",I276*J276,0)</x:f>
        <x:v>924</x:v>
      </x:c>
      <x:c r="N276" s="9" t="n">
        <x:f>M276*K276</x:f>
        <x:v>92.4</x:v>
      </x:c>
      <x:c r="O276" s="9" t="n">
        <x:f>M276-N276</x:f>
        <x:v>831.6</x:v>
      </x:c>
      <x:c r="P276" s="9" t="n">
        <x:f>IF(D276="Completed",L276*J276*(1-K276),0)</x:f>
        <x:v>0</x:v>
      </x:c>
      <x:c r="Q276" s="9" t="n">
        <x:f>O276-P276</x:f>
        <x:v>831.6</x:v>
      </x:c>
      <x:c r="R276" s="11" t="n">
        <x:f>IF(D276="Completed",I276,0)</x:f>
        <x:v>4</x:v>
      </x:c>
      <x:c r="S276" s="11" t="n">
        <x:f>IF(D276="Completed",L276,0)</x:f>
        <x:v>0</x:v>
      </x:c>
      <x:c r="T276" s="8" t="n">
        <x:f>DATE(YEAR(C276),MONTH(C276),1)</x:f>
        <x:v>45931</x:v>
      </x:c>
    </x:row>
    <x:row r="277" ht="22" customHeight="1">
      <x:c r="A277" s="2" t="str">
        <x:v>L000273</x:v>
      </x:c>
      <x:c r="B277" s="2" t="str">
        <x:v>O00116</x:v>
      </x:c>
      <x:c r="C277" s="7" t="n">
        <x:v>45957</x:v>
      </x:c>
      <x:c r="D277" s="2" t="str">
        <x:v>Completed</x:v>
      </x:c>
      <x:c r="E277" s="2" t="str">
        <x:v>South</x:v>
      </x:c>
      <x:c r="F277" s="2" t="str">
        <x:v>Online</x:v>
      </x:c>
      <x:c r="G277" s="2" t="str">
        <x:v>Furniture</x:v>
      </x:c>
      <x:c r="H277" s="2" t="str">
        <x:v>Desk 012</x:v>
      </x:c>
      <x:c r="I277" s="11" t="n">
        <x:v>5</x:v>
      </x:c>
      <x:c r="J277" s="9" t="n">
        <x:v>134</x:v>
      </x:c>
      <x:c r="K277" s="10" t="n">
        <x:v>0.2</x:v>
      </x:c>
      <x:c r="L277" s="11" t="n">
        <x:v>0</x:v>
      </x:c>
      <x:c r="M277" s="9" t="n">
        <x:f>IF(D277="Completed",I277*J277,0)</x:f>
        <x:v>670</x:v>
      </x:c>
      <x:c r="N277" s="9" t="n">
        <x:f>M277*K277</x:f>
        <x:v>134</x:v>
      </x:c>
      <x:c r="O277" s="9" t="n">
        <x:f>M277-N277</x:f>
        <x:v>536</x:v>
      </x:c>
      <x:c r="P277" s="9" t="n">
        <x:f>IF(D277="Completed",L277*J277*(1-K277),0)</x:f>
        <x:v>0</x:v>
      </x:c>
      <x:c r="Q277" s="9" t="n">
        <x:f>O277-P277</x:f>
        <x:v>536</x:v>
      </x:c>
      <x:c r="R277" s="11" t="n">
        <x:f>IF(D277="Completed",I277,0)</x:f>
        <x:v>5</x:v>
      </x:c>
      <x:c r="S277" s="11" t="n">
        <x:f>IF(D277="Completed",L277,0)</x:f>
        <x:v>0</x:v>
      </x:c>
      <x:c r="T277" s="8" t="n">
        <x:f>DATE(YEAR(C277),MONTH(C277),1)</x:f>
        <x:v>45931</x:v>
      </x:c>
    </x:row>
    <x:row r="278" ht="22" customHeight="1">
      <x:c r="A278" s="2" t="str">
        <x:v>L000274</x:v>
      </x:c>
      <x:c r="B278" s="2" t="str">
        <x:v>O00117</x:v>
      </x:c>
      <x:c r="C278" s="7" t="n">
        <x:v>45863</x:v>
      </x:c>
      <x:c r="D278" s="2" t="str">
        <x:v>Cancelled</x:v>
      </x:c>
      <x:c r="E278" s="2" t="str">
        <x:v>East</x:v>
      </x:c>
      <x:c r="F278" s="2" t="str">
        <x:v>Online</x:v>
      </x:c>
      <x:c r="G278" s="2" t="str">
        <x:v>Lighting</x:v>
      </x:c>
      <x:c r="H278" s="2" t="str">
        <x:v>Lamp 001</x:v>
      </x:c>
      <x:c r="I278" s="11" t="n">
        <x:v>2</x:v>
      </x:c>
      <x:c r="J278" s="9" t="n">
        <x:v>122</x:v>
      </x:c>
      <x:c r="K278" s="10" t="n">
        <x:v>0.2</x:v>
      </x:c>
      <x:c r="L278" s="11" t="n">
        <x:v>0</x:v>
      </x:c>
      <x:c r="M278" s="9" t="n">
        <x:f>IF(D278="Completed",I278*J278,0)</x:f>
        <x:v>0</x:v>
      </x:c>
      <x:c r="N278" s="9" t="n">
        <x:f>M278*K278</x:f>
        <x:v>0</x:v>
      </x:c>
      <x:c r="O278" s="9" t="n">
        <x:f>M278-N278</x:f>
        <x:v>0</x:v>
      </x:c>
      <x:c r="P278" s="9" t="n">
        <x:f>IF(D278="Completed",L278*J278*(1-K278),0)</x:f>
        <x:v>0</x:v>
      </x:c>
      <x:c r="Q278" s="9" t="n">
        <x:f>O278-P278</x:f>
        <x:v>0</x:v>
      </x:c>
      <x:c r="R278" s="11" t="n">
        <x:f>IF(D278="Completed",I278,0)</x:f>
        <x:v>0</x:v>
      </x:c>
      <x:c r="S278" s="11" t="n">
        <x:f>IF(D278="Completed",L278,0)</x:f>
        <x:v>0</x:v>
      </x:c>
      <x:c r="T278" s="8" t="n">
        <x:f>DATE(YEAR(C278),MONTH(C278),1)</x:f>
        <x:v>45839</x:v>
      </x:c>
    </x:row>
    <x:row r="279" ht="22" customHeight="1">
      <x:c r="A279" s="2" t="str">
        <x:v>L000275</x:v>
      </x:c>
      <x:c r="B279" s="2" t="str">
        <x:v>O00117</x:v>
      </x:c>
      <x:c r="C279" s="7" t="n">
        <x:v>45863</x:v>
      </x:c>
      <x:c r="D279" s="2" t="str">
        <x:v>Cancelled</x:v>
      </x:c>
      <x:c r="E279" s="2" t="str">
        <x:v>East</x:v>
      </x:c>
      <x:c r="F279" s="2" t="str">
        <x:v>Online</x:v>
      </x:c>
      <x:c r="G279" s="2" t="str">
        <x:v>Furniture</x:v>
      </x:c>
      <x:c r="H279" s="2" t="str">
        <x:v>Chair 002</x:v>
      </x:c>
      <x:c r="I279" s="11" t="n">
        <x:v>3</x:v>
      </x:c>
      <x:c r="J279" s="9" t="n">
        <x:v>284</x:v>
      </x:c>
      <x:c r="K279" s="10" t="n">
        <x:v>0.2</x:v>
      </x:c>
      <x:c r="L279" s="11" t="n">
        <x:v>0</x:v>
      </x:c>
      <x:c r="M279" s="9" t="n">
        <x:f>IF(D279="Completed",I279*J279,0)</x:f>
        <x:v>0</x:v>
      </x:c>
      <x:c r="N279" s="9" t="n">
        <x:f>M279*K279</x:f>
        <x:v>0</x:v>
      </x:c>
      <x:c r="O279" s="9" t="n">
        <x:f>M279-N279</x:f>
        <x:v>0</x:v>
      </x:c>
      <x:c r="P279" s="9" t="n">
        <x:f>IF(D279="Completed",L279*J279*(1-K279),0)</x:f>
        <x:v>0</x:v>
      </x:c>
      <x:c r="Q279" s="9" t="n">
        <x:f>O279-P279</x:f>
        <x:v>0</x:v>
      </x:c>
      <x:c r="R279" s="11" t="n">
        <x:f>IF(D279="Completed",I279,0)</x:f>
        <x:v>0</x:v>
      </x:c>
      <x:c r="S279" s="11" t="n">
        <x:f>IF(D279="Completed",L279,0)</x:f>
        <x:v>0</x:v>
      </x:c>
      <x:c r="T279" s="8" t="n">
        <x:f>DATE(YEAR(C279),MONTH(C279),1)</x:f>
        <x:v>45839</x:v>
      </x:c>
    </x:row>
    <x:row r="280" ht="22" customHeight="1">
      <x:c r="A280" s="2" t="str">
        <x:v>L000276</x:v>
      </x:c>
      <x:c r="B280" s="2" t="str">
        <x:v>O00117</x:v>
      </x:c>
      <x:c r="C280" s="7" t="n">
        <x:v>45863</x:v>
      </x:c>
      <x:c r="D280" s="2" t="str">
        <x:v>Cancelled</x:v>
      </x:c>
      <x:c r="E280" s="2" t="str">
        <x:v>East</x:v>
      </x:c>
      <x:c r="F280" s="2" t="str">
        <x:v>Online</x:v>
      </x:c>
      <x:c r="G280" s="2" t="str">
        <x:v>Lighting</x:v>
      </x:c>
      <x:c r="H280" s="2" t="str">
        <x:v>Lamp 021</x:v>
      </x:c>
      <x:c r="I280" s="11" t="n">
        <x:v>4</x:v>
      </x:c>
      <x:c r="J280" s="9" t="n">
        <x:v>249</x:v>
      </x:c>
      <x:c r="K280" s="10" t="n">
        <x:v>0</x:v>
      </x:c>
      <x:c r="L280" s="11" t="n">
        <x:v>0</x:v>
      </x:c>
      <x:c r="M280" s="9" t="n">
        <x:f>IF(D280="Completed",I280*J280,0)</x:f>
        <x:v>0</x:v>
      </x:c>
      <x:c r="N280" s="9" t="n">
        <x:f>M280*K280</x:f>
        <x:v>0</x:v>
      </x:c>
      <x:c r="O280" s="9" t="n">
        <x:f>M280-N280</x:f>
        <x:v>0</x:v>
      </x:c>
      <x:c r="P280" s="9" t="n">
        <x:f>IF(D280="Completed",L280*J280*(1-K280),0)</x:f>
        <x:v>0</x:v>
      </x:c>
      <x:c r="Q280" s="9" t="n">
        <x:f>O280-P280</x:f>
        <x:v>0</x:v>
      </x:c>
      <x:c r="R280" s="11" t="n">
        <x:f>IF(D280="Completed",I280,0)</x:f>
        <x:v>0</x:v>
      </x:c>
      <x:c r="S280" s="11" t="n">
        <x:f>IF(D280="Completed",L280,0)</x:f>
        <x:v>0</x:v>
      </x:c>
      <x:c r="T280" s="8" t="n">
        <x:f>DATE(YEAR(C280),MONTH(C280),1)</x:f>
        <x:v>45839</x:v>
      </x:c>
    </x:row>
    <x:row r="281" ht="22" customHeight="1">
      <x:c r="A281" s="2" t="str">
        <x:v>L000277</x:v>
      </x:c>
      <x:c r="B281" s="2" t="str">
        <x:v>O00118</x:v>
      </x:c>
      <x:c r="C281" s="7" t="n">
        <x:v>45866</x:v>
      </x:c>
      <x:c r="D281" s="2" t="str">
        <x:v>Completed</x:v>
      </x:c>
      <x:c r="E281" s="2" t="str">
        <x:v>North</x:v>
      </x:c>
      <x:c r="F281" s="2" t="str">
        <x:v>Store</x:v>
      </x:c>
      <x:c r="G281" s="2" t="str">
        <x:v>Furniture</x:v>
      </x:c>
      <x:c r="H281" s="2" t="str">
        <x:v>Chair 010</x:v>
      </x:c>
      <x:c r="I281" s="11" t="n">
        <x:v>5</x:v>
      </x:c>
      <x:c r="J281" s="9" t="n">
        <x:v>211</x:v>
      </x:c>
      <x:c r="K281" s="10" t="n">
        <x:v>0.1</x:v>
      </x:c>
      <x:c r="L281" s="11" t="n">
        <x:v>0</x:v>
      </x:c>
      <x:c r="M281" s="9" t="n">
        <x:f>IF(D281="Completed",I281*J281,0)</x:f>
        <x:v>1055</x:v>
      </x:c>
      <x:c r="N281" s="9" t="n">
        <x:f>M281*K281</x:f>
        <x:v>105.5</x:v>
      </x:c>
      <x:c r="O281" s="9" t="n">
        <x:f>M281-N281</x:f>
        <x:v>949.5</x:v>
      </x:c>
      <x:c r="P281" s="9" t="n">
        <x:f>IF(D281="Completed",L281*J281*(1-K281),0)</x:f>
        <x:v>0</x:v>
      </x:c>
      <x:c r="Q281" s="9" t="n">
        <x:f>O281-P281</x:f>
        <x:v>949.5</x:v>
      </x:c>
      <x:c r="R281" s="11" t="n">
        <x:f>IF(D281="Completed",I281,0)</x:f>
        <x:v>5</x:v>
      </x:c>
      <x:c r="S281" s="11" t="n">
        <x:f>IF(D281="Completed",L281,0)</x:f>
        <x:v>0</x:v>
      </x:c>
      <x:c r="T281" s="8" t="n">
        <x:f>DATE(YEAR(C281),MONTH(C281),1)</x:f>
        <x:v>45839</x:v>
      </x:c>
    </x:row>
    <x:row r="282" ht="22" customHeight="1">
      <x:c r="A282" s="2" t="str">
        <x:v>L000278</x:v>
      </x:c>
      <x:c r="B282" s="2" t="str">
        <x:v>O00119</x:v>
      </x:c>
      <x:c r="C282" s="7" t="n">
        <x:v>45837</x:v>
      </x:c>
      <x:c r="D282" s="2" t="str">
        <x:v>Completed</x:v>
      </x:c>
      <x:c r="E282" s="2" t="str">
        <x:v>East</x:v>
      </x:c>
      <x:c r="F282" s="2" t="str">
        <x:v>Online</x:v>
      </x:c>
      <x:c r="G282" s="2" t="str">
        <x:v>Lighting</x:v>
      </x:c>
      <x:c r="H282" s="2" t="str">
        <x:v>Lamp 009</x:v>
      </x:c>
      <x:c r="I282" s="11" t="n">
        <x:v>1</x:v>
      </x:c>
      <x:c r="J282" s="9" t="n">
        <x:v>93</x:v>
      </x:c>
      <x:c r="K282" s="10" t="n">
        <x:v>0.1</x:v>
      </x:c>
      <x:c r="L282" s="11" t="n">
        <x:v>0</x:v>
      </x:c>
      <x:c r="M282" s="9" t="n">
        <x:f>IF(D282="Completed",I282*J282,0)</x:f>
        <x:v>93</x:v>
      </x:c>
      <x:c r="N282" s="9" t="n">
        <x:f>M282*K282</x:f>
        <x:v>9.3</x:v>
      </x:c>
      <x:c r="O282" s="9" t="n">
        <x:f>M282-N282</x:f>
        <x:v>83.7</x:v>
      </x:c>
      <x:c r="P282" s="9" t="n">
        <x:f>IF(D282="Completed",L282*J282*(1-K282),0)</x:f>
        <x:v>0</x:v>
      </x:c>
      <x:c r="Q282" s="9" t="n">
        <x:f>O282-P282</x:f>
        <x:v>83.7</x:v>
      </x:c>
      <x:c r="R282" s="11" t="n">
        <x:f>IF(D282="Completed",I282,0)</x:f>
        <x:v>1</x:v>
      </x:c>
      <x:c r="S282" s="11" t="n">
        <x:f>IF(D282="Completed",L282,0)</x:f>
        <x:v>0</x:v>
      </x:c>
      <x:c r="T282" s="8" t="n">
        <x:f>DATE(YEAR(C282),MONTH(C282),1)</x:f>
        <x:v>45809</x:v>
      </x:c>
    </x:row>
    <x:row r="283" ht="22" customHeight="1">
      <x:c r="A283" s="2" t="str">
        <x:v>L000279</x:v>
      </x:c>
      <x:c r="B283" s="2" t="str">
        <x:v>O00119</x:v>
      </x:c>
      <x:c r="C283" s="7" t="n">
        <x:v>45837</x:v>
      </x:c>
      <x:c r="D283" s="2" t="str">
        <x:v>Completed</x:v>
      </x:c>
      <x:c r="E283" s="2" t="str">
        <x:v>East</x:v>
      </x:c>
      <x:c r="F283" s="2" t="str">
        <x:v>Online</x:v>
      </x:c>
      <x:c r="G283" s="2" t="str">
        <x:v>Furniture</x:v>
      </x:c>
      <x:c r="H283" s="2" t="str">
        <x:v>Desk 008</x:v>
      </x:c>
      <x:c r="I283" s="11" t="n">
        <x:v>5</x:v>
      </x:c>
      <x:c r="J283" s="9" t="n">
        <x:v>188</x:v>
      </x:c>
      <x:c r="K283" s="10" t="n">
        <x:v>0.1</x:v>
      </x:c>
      <x:c r="L283" s="11" t="n">
        <x:v>0</x:v>
      </x:c>
      <x:c r="M283" s="9" t="n">
        <x:f>IF(D283="Completed",I283*J283,0)</x:f>
        <x:v>940</x:v>
      </x:c>
      <x:c r="N283" s="9" t="n">
        <x:f>M283*K283</x:f>
        <x:v>94</x:v>
      </x:c>
      <x:c r="O283" s="9" t="n">
        <x:f>M283-N283</x:f>
        <x:v>846</x:v>
      </x:c>
      <x:c r="P283" s="9" t="n">
        <x:f>IF(D283="Completed",L283*J283*(1-K283),0)</x:f>
        <x:v>0</x:v>
      </x:c>
      <x:c r="Q283" s="9" t="n">
        <x:f>O283-P283</x:f>
        <x:v>846</x:v>
      </x:c>
      <x:c r="R283" s="11" t="n">
        <x:f>IF(D283="Completed",I283,0)</x:f>
        <x:v>5</x:v>
      </x:c>
      <x:c r="S283" s="11" t="n">
        <x:f>IF(D283="Completed",L283,0)</x:f>
        <x:v>0</x:v>
      </x:c>
      <x:c r="T283" s="8" t="n">
        <x:f>DATE(YEAR(C283),MONTH(C283),1)</x:f>
        <x:v>45809</x:v>
      </x:c>
    </x:row>
    <x:row r="284" ht="22" customHeight="1">
      <x:c r="A284" s="2" t="str">
        <x:v>L000280</x:v>
      </x:c>
      <x:c r="B284" s="2" t="str">
        <x:v>O00119</x:v>
      </x:c>
      <x:c r="C284" s="7" t="n">
        <x:v>45837</x:v>
      </x:c>
      <x:c r="D284" s="2" t="str">
        <x:v>Completed</x:v>
      </x:c>
      <x:c r="E284" s="2" t="str">
        <x:v>East</x:v>
      </x:c>
      <x:c r="F284" s="2" t="str">
        <x:v>Online</x:v>
      </x:c>
      <x:c r="G284" s="2" t="str">
        <x:v>Furniture</x:v>
      </x:c>
      <x:c r="H284" s="2" t="str">
        <x:v>Desk 016</x:v>
      </x:c>
      <x:c r="I284" s="11" t="n">
        <x:v>5</x:v>
      </x:c>
      <x:c r="J284" s="9" t="n">
        <x:v>231</x:v>
      </x:c>
      <x:c r="K284" s="10" t="n">
        <x:v>0.2</x:v>
      </x:c>
      <x:c r="L284" s="11" t="n">
        <x:v>1</x:v>
      </x:c>
      <x:c r="M284" s="9" t="n">
        <x:f>IF(D284="Completed",I284*J284,0)</x:f>
        <x:v>1155</x:v>
      </x:c>
      <x:c r="N284" s="9" t="n">
        <x:f>M284*K284</x:f>
        <x:v>231</x:v>
      </x:c>
      <x:c r="O284" s="9" t="n">
        <x:f>M284-N284</x:f>
        <x:v>924</x:v>
      </x:c>
      <x:c r="P284" s="9" t="n">
        <x:f>IF(D284="Completed",L284*J284*(1-K284),0)</x:f>
        <x:v>184.8</x:v>
      </x:c>
      <x:c r="Q284" s="9" t="n">
        <x:f>O284-P284</x:f>
        <x:v>739.2</x:v>
      </x:c>
      <x:c r="R284" s="11" t="n">
        <x:f>IF(D284="Completed",I284,0)</x:f>
        <x:v>5</x:v>
      </x:c>
      <x:c r="S284" s="11" t="n">
        <x:f>IF(D284="Completed",L284,0)</x:f>
        <x:v>1</x:v>
      </x:c>
      <x:c r="T284" s="8" t="n">
        <x:f>DATE(YEAR(C284),MONTH(C284),1)</x:f>
        <x:v>45809</x:v>
      </x:c>
    </x:row>
    <x:row r="285" ht="22" customHeight="1">
      <x:c r="A285" s="2" t="str">
        <x:v>L000281</x:v>
      </x:c>
      <x:c r="B285" s="2" t="str">
        <x:v>O00120</x:v>
      </x:c>
      <x:c r="C285" s="7" t="n">
        <x:v>45923</x:v>
      </x:c>
      <x:c r="D285" s="2" t="str">
        <x:v>Completed</x:v>
      </x:c>
      <x:c r="E285" s="2" t="str">
        <x:v>North</x:v>
      </x:c>
      <x:c r="F285" s="2" t="str">
        <x:v>Online</x:v>
      </x:c>
      <x:c r="G285" s="2" t="str">
        <x:v>Storage</x:v>
      </x:c>
      <x:c r="H285" s="2" t="str">
        <x:v>Shelf 003</x:v>
      </x:c>
      <x:c r="I285" s="11" t="n">
        <x:v>2</x:v>
      </x:c>
      <x:c r="J285" s="9" t="n">
        <x:v>199</x:v>
      </x:c>
      <x:c r="K285" s="10" t="n">
        <x:v>0.2</x:v>
      </x:c>
      <x:c r="L285" s="11" t="n">
        <x:v>0</x:v>
      </x:c>
      <x:c r="M285" s="9" t="n">
        <x:f>IF(D285="Completed",I285*J285,0)</x:f>
        <x:v>398</x:v>
      </x:c>
      <x:c r="N285" s="9" t="n">
        <x:f>M285*K285</x:f>
        <x:v>79.60000000000001</x:v>
      </x:c>
      <x:c r="O285" s="9" t="n">
        <x:f>M285-N285</x:f>
        <x:v>318.4</x:v>
      </x:c>
      <x:c r="P285" s="9" t="n">
        <x:f>IF(D285="Completed",L285*J285*(1-K285),0)</x:f>
        <x:v>0</x:v>
      </x:c>
      <x:c r="Q285" s="9" t="n">
        <x:f>O285-P285</x:f>
        <x:v>318.4</x:v>
      </x:c>
      <x:c r="R285" s="11" t="n">
        <x:f>IF(D285="Completed",I285,0)</x:f>
        <x:v>2</x:v>
      </x:c>
      <x:c r="S285" s="11" t="n">
        <x:f>IF(D285="Completed",L285,0)</x:f>
        <x:v>0</x:v>
      </x:c>
      <x:c r="T285" s="8" t="n">
        <x:f>DATE(YEAR(C285),MONTH(C285),1)</x:f>
        <x:v>45901</x:v>
      </x:c>
    </x:row>
    <x:row r="286" ht="22" customHeight="1">
      <x:c r="A286" s="2" t="str">
        <x:v>L000282</x:v>
      </x:c>
      <x:c r="B286" s="2" t="str">
        <x:v>O00120</x:v>
      </x:c>
      <x:c r="C286" s="7" t="n">
        <x:v>45923</x:v>
      </x:c>
      <x:c r="D286" s="2" t="str">
        <x:v>Completed</x:v>
      </x:c>
      <x:c r="E286" s="2" t="str">
        <x:v>North</x:v>
      </x:c>
      <x:c r="F286" s="2" t="str">
        <x:v>Online</x:v>
      </x:c>
      <x:c r="G286" s="2" t="str">
        <x:v>Furniture</x:v>
      </x:c>
      <x:c r="H286" s="2" t="str">
        <x:v>Desk 008</x:v>
      </x:c>
      <x:c r="I286" s="11" t="n">
        <x:v>4</x:v>
      </x:c>
      <x:c r="J286" s="9" t="n">
        <x:v>188</x:v>
      </x:c>
      <x:c r="K286" s="10" t="n">
        <x:v>0.05</x:v>
      </x:c>
      <x:c r="L286" s="11" t="n">
        <x:v>0</x:v>
      </x:c>
      <x:c r="M286" s="9" t="n">
        <x:f>IF(D286="Completed",I286*J286,0)</x:f>
        <x:v>752</x:v>
      </x:c>
      <x:c r="N286" s="9" t="n">
        <x:f>M286*K286</x:f>
        <x:v>37.6</x:v>
      </x:c>
      <x:c r="O286" s="9" t="n">
        <x:f>M286-N286</x:f>
        <x:v>714.4</x:v>
      </x:c>
      <x:c r="P286" s="9" t="n">
        <x:f>IF(D286="Completed",L286*J286*(1-K286),0)</x:f>
        <x:v>0</x:v>
      </x:c>
      <x:c r="Q286" s="9" t="n">
        <x:f>O286-P286</x:f>
        <x:v>714.4</x:v>
      </x:c>
      <x:c r="R286" s="11" t="n">
        <x:f>IF(D286="Completed",I286,0)</x:f>
        <x:v>4</x:v>
      </x:c>
      <x:c r="S286" s="11" t="n">
        <x:f>IF(D286="Completed",L286,0)</x:f>
        <x:v>0</x:v>
      </x:c>
      <x:c r="T286" s="8" t="n">
        <x:f>DATE(YEAR(C286),MONTH(C286),1)</x:f>
        <x:v>45901</x:v>
      </x:c>
    </x:row>
    <x:row r="287" ht="22" customHeight="1">
      <x:c r="A287" s="2" t="str">
        <x:v>L000283</x:v>
      </x:c>
      <x:c r="B287" s="2" t="str">
        <x:v>O00121</x:v>
      </x:c>
      <x:c r="C287" s="7" t="n">
        <x:v>45730</x:v>
      </x:c>
      <x:c r="D287" s="2" t="str">
        <x:v>Completed</x:v>
      </x:c>
      <x:c r="E287" s="2" t="str">
        <x:v>West</x:v>
      </x:c>
      <x:c r="F287" s="2" t="str">
        <x:v>Online</x:v>
      </x:c>
      <x:c r="G287" s="2" t="str">
        <x:v>Furniture</x:v>
      </x:c>
      <x:c r="H287" s="2" t="str">
        <x:v>Desk 012</x:v>
      </x:c>
      <x:c r="I287" s="11" t="n">
        <x:v>5</x:v>
      </x:c>
      <x:c r="J287" s="9" t="n">
        <x:v>134</x:v>
      </x:c>
      <x:c r="K287" s="10" t="n">
        <x:v>0</x:v>
      </x:c>
      <x:c r="L287" s="11" t="n">
        <x:v>0</x:v>
      </x:c>
      <x:c r="M287" s="9" t="n">
        <x:f>IF(D287="Completed",I287*J287,0)</x:f>
        <x:v>670</x:v>
      </x:c>
      <x:c r="N287" s="9" t="n">
        <x:f>M287*K287</x:f>
        <x:v>0</x:v>
      </x:c>
      <x:c r="O287" s="9" t="n">
        <x:f>M287-N287</x:f>
        <x:v>670</x:v>
      </x:c>
      <x:c r="P287" s="9" t="n">
        <x:f>IF(D287="Completed",L287*J287*(1-K287),0)</x:f>
        <x:v>0</x:v>
      </x:c>
      <x:c r="Q287" s="9" t="n">
        <x:f>O287-P287</x:f>
        <x:v>670</x:v>
      </x:c>
      <x:c r="R287" s="11" t="n">
        <x:f>IF(D287="Completed",I287,0)</x:f>
        <x:v>5</x:v>
      </x:c>
      <x:c r="S287" s="11" t="n">
        <x:f>IF(D287="Completed",L287,0)</x:f>
        <x:v>0</x:v>
      </x:c>
      <x:c r="T287" s="8" t="n">
        <x:f>DATE(YEAR(C287),MONTH(C287),1)</x:f>
        <x:v>45717</x:v>
      </x:c>
    </x:row>
    <x:row r="288" ht="22" customHeight="1">
      <x:c r="A288" s="2" t="str">
        <x:v>L000284</x:v>
      </x:c>
      <x:c r="B288" s="2" t="str">
        <x:v>O00121</x:v>
      </x:c>
      <x:c r="C288" s="7" t="n">
        <x:v>45730</x:v>
      </x:c>
      <x:c r="D288" s="2" t="str">
        <x:v>Completed</x:v>
      </x:c>
      <x:c r="E288" s="2" t="str">
        <x:v>West</x:v>
      </x:c>
      <x:c r="F288" s="2" t="str">
        <x:v>Online</x:v>
      </x:c>
      <x:c r="G288" s="2" t="str">
        <x:v>Furniture</x:v>
      </x:c>
      <x:c r="H288" s="2" t="str">
        <x:v>Chair 018</x:v>
      </x:c>
      <x:c r="I288" s="11" t="n">
        <x:v>2</x:v>
      </x:c>
      <x:c r="J288" s="9" t="n">
        <x:v>269</x:v>
      </x:c>
      <x:c r="K288" s="10" t="n">
        <x:v>0.2</x:v>
      </x:c>
      <x:c r="L288" s="11" t="n">
        <x:v>0</x:v>
      </x:c>
      <x:c r="M288" s="9" t="n">
        <x:f>IF(D288="Completed",I288*J288,0)</x:f>
        <x:v>538</x:v>
      </x:c>
      <x:c r="N288" s="9" t="n">
        <x:f>M288*K288</x:f>
        <x:v>107.60000000000001</x:v>
      </x:c>
      <x:c r="O288" s="9" t="n">
        <x:f>M288-N288</x:f>
        <x:v>430.4</x:v>
      </x:c>
      <x:c r="P288" s="9" t="n">
        <x:f>IF(D288="Completed",L288*J288*(1-K288),0)</x:f>
        <x:v>0</x:v>
      </x:c>
      <x:c r="Q288" s="9" t="n">
        <x:f>O288-P288</x:f>
        <x:v>430.4</x:v>
      </x:c>
      <x:c r="R288" s="11" t="n">
        <x:f>IF(D288="Completed",I288,0)</x:f>
        <x:v>2</x:v>
      </x:c>
      <x:c r="S288" s="11" t="n">
        <x:f>IF(D288="Completed",L288,0)</x:f>
        <x:v>0</x:v>
      </x:c>
      <x:c r="T288" s="8" t="n">
        <x:f>DATE(YEAR(C288),MONTH(C288),1)</x:f>
        <x:v>45717</x:v>
      </x:c>
    </x:row>
    <x:row r="289" ht="22" customHeight="1">
      <x:c r="A289" s="2" t="str">
        <x:v>L000285</x:v>
      </x:c>
      <x:c r="B289" s="2" t="str">
        <x:v>O00122</x:v>
      </x:c>
      <x:c r="C289" s="7" t="n">
        <x:v>45869</x:v>
      </x:c>
      <x:c r="D289" s="2" t="str">
        <x:v>Completed</x:v>
      </x:c>
      <x:c r="E289" s="2" t="str">
        <x:v>West</x:v>
      </x:c>
      <x:c r="F289" s="2" t="str">
        <x:v>Store</x:v>
      </x:c>
      <x:c r="G289" s="2" t="str">
        <x:v>Lighting</x:v>
      </x:c>
      <x:c r="H289" s="2" t="str">
        <x:v>Lamp 021</x:v>
      </x:c>
      <x:c r="I289" s="11" t="n">
        <x:v>5</x:v>
      </x:c>
      <x:c r="J289" s="9" t="n">
        <x:v>249</x:v>
      </x:c>
      <x:c r="K289" s="10" t="n">
        <x:v>0</x:v>
      </x:c>
      <x:c r="L289" s="11" t="n">
        <x:v>0</x:v>
      </x:c>
      <x:c r="M289" s="9" t="n">
        <x:f>IF(D289="Completed",I289*J289,0)</x:f>
        <x:v>1245</x:v>
      </x:c>
      <x:c r="N289" s="9" t="n">
        <x:f>M289*K289</x:f>
        <x:v>0</x:v>
      </x:c>
      <x:c r="O289" s="9" t="n">
        <x:f>M289-N289</x:f>
        <x:v>1245</x:v>
      </x:c>
      <x:c r="P289" s="9" t="n">
        <x:f>IF(D289="Completed",L289*J289*(1-K289),0)</x:f>
        <x:v>0</x:v>
      </x:c>
      <x:c r="Q289" s="9" t="n">
        <x:f>O289-P289</x:f>
        <x:v>1245</x:v>
      </x:c>
      <x:c r="R289" s="11" t="n">
        <x:f>IF(D289="Completed",I289,0)</x:f>
        <x:v>5</x:v>
      </x:c>
      <x:c r="S289" s="11" t="n">
        <x:f>IF(D289="Completed",L289,0)</x:f>
        <x:v>0</x:v>
      </x:c>
      <x:c r="T289" s="8" t="n">
        <x:f>DATE(YEAR(C289),MONTH(C289),1)</x:f>
        <x:v>45839</x:v>
      </x:c>
    </x:row>
    <x:row r="290" ht="22" customHeight="1">
      <x:c r="A290" s="2" t="str">
        <x:v>L000286</x:v>
      </x:c>
      <x:c r="B290" s="2" t="str">
        <x:v>O00122</x:v>
      </x:c>
      <x:c r="C290" s="7" t="n">
        <x:v>45869</x:v>
      </x:c>
      <x:c r="D290" s="2" t="str">
        <x:v>Completed</x:v>
      </x:c>
      <x:c r="E290" s="2" t="str">
        <x:v>West</x:v>
      </x:c>
      <x:c r="F290" s="2" t="str">
        <x:v>Store</x:v>
      </x:c>
      <x:c r="G290" s="2" t="str">
        <x:v>Storage</x:v>
      </x:c>
      <x:c r="H290" s="2" t="str">
        <x:v>Shelf 023</x:v>
      </x:c>
      <x:c r="I290" s="11" t="n">
        <x:v>5</x:v>
      </x:c>
      <x:c r="J290" s="9" t="n">
        <x:v>68</x:v>
      </x:c>
      <x:c r="K290" s="10" t="n">
        <x:v>0.2</x:v>
      </x:c>
      <x:c r="L290" s="11" t="n">
        <x:v>0</x:v>
      </x:c>
      <x:c r="M290" s="9" t="n">
        <x:f>IF(D290="Completed",I290*J290,0)</x:f>
        <x:v>340</x:v>
      </x:c>
      <x:c r="N290" s="9" t="n">
        <x:f>M290*K290</x:f>
        <x:v>68</x:v>
      </x:c>
      <x:c r="O290" s="9" t="n">
        <x:f>M290-N290</x:f>
        <x:v>272</x:v>
      </x:c>
      <x:c r="P290" s="9" t="n">
        <x:f>IF(D290="Completed",L290*J290*(1-K290),0)</x:f>
        <x:v>0</x:v>
      </x:c>
      <x:c r="Q290" s="9" t="n">
        <x:f>O290-P290</x:f>
        <x:v>272</x:v>
      </x:c>
      <x:c r="R290" s="11" t="n">
        <x:f>IF(D290="Completed",I290,0)</x:f>
        <x:v>5</x:v>
      </x:c>
      <x:c r="S290" s="11" t="n">
        <x:f>IF(D290="Completed",L290,0)</x:f>
        <x:v>0</x:v>
      </x:c>
      <x:c r="T290" s="8" t="n">
        <x:f>DATE(YEAR(C290),MONTH(C290),1)</x:f>
        <x:v>45839</x:v>
      </x:c>
    </x:row>
    <x:row r="291" ht="22" customHeight="1">
      <x:c r="A291" s="2" t="str">
        <x:v>L000287</x:v>
      </x:c>
      <x:c r="B291" s="2" t="str">
        <x:v>O00122</x:v>
      </x:c>
      <x:c r="C291" s="7" t="n">
        <x:v>45869</x:v>
      </x:c>
      <x:c r="D291" s="2" t="str">
        <x:v>Completed</x:v>
      </x:c>
      <x:c r="E291" s="2" t="str">
        <x:v>West</x:v>
      </x:c>
      <x:c r="F291" s="2" t="str">
        <x:v>Store</x:v>
      </x:c>
      <x:c r="G291" s="2" t="str">
        <x:v>Storage</x:v>
      </x:c>
      <x:c r="H291" s="2" t="str">
        <x:v>Shelf 023</x:v>
      </x:c>
      <x:c r="I291" s="11" t="n">
        <x:v>3</x:v>
      </x:c>
      <x:c r="J291" s="9" t="n">
        <x:v>68</x:v>
      </x:c>
      <x:c r="K291" s="10" t="n">
        <x:v>0.2</x:v>
      </x:c>
      <x:c r="L291" s="11" t="n">
        <x:v>0</x:v>
      </x:c>
      <x:c r="M291" s="9" t="n">
        <x:f>IF(D291="Completed",I291*J291,0)</x:f>
        <x:v>204</x:v>
      </x:c>
      <x:c r="N291" s="9" t="n">
        <x:f>M291*K291</x:f>
        <x:v>40.800000000000004</x:v>
      </x:c>
      <x:c r="O291" s="9" t="n">
        <x:f>M291-N291</x:f>
        <x:v>163.2</x:v>
      </x:c>
      <x:c r="P291" s="9" t="n">
        <x:f>IF(D291="Completed",L291*J291*(1-K291),0)</x:f>
        <x:v>0</x:v>
      </x:c>
      <x:c r="Q291" s="9" t="n">
        <x:f>O291-P291</x:f>
        <x:v>163.2</x:v>
      </x:c>
      <x:c r="R291" s="11" t="n">
        <x:f>IF(D291="Completed",I291,0)</x:f>
        <x:v>3</x:v>
      </x:c>
      <x:c r="S291" s="11" t="n">
        <x:f>IF(D291="Completed",L291,0)</x:f>
        <x:v>0</x:v>
      </x:c>
      <x:c r="T291" s="8" t="n">
        <x:f>DATE(YEAR(C291),MONTH(C291),1)</x:f>
        <x:v>45839</x:v>
      </x:c>
    </x:row>
    <x:row r="292" ht="22" customHeight="1">
      <x:c r="A292" s="2" t="str">
        <x:v>L000288</x:v>
      </x:c>
      <x:c r="B292" s="2" t="str">
        <x:v>O00122</x:v>
      </x:c>
      <x:c r="C292" s="7" t="n">
        <x:v>45869</x:v>
      </x:c>
      <x:c r="D292" s="2" t="str">
        <x:v>Completed</x:v>
      </x:c>
      <x:c r="E292" s="2" t="str">
        <x:v>West</x:v>
      </x:c>
      <x:c r="F292" s="2" t="str">
        <x:v>Store</x:v>
      </x:c>
      <x:c r="G292" s="2" t="str">
        <x:v>Furniture</x:v>
      </x:c>
      <x:c r="H292" s="2" t="str">
        <x:v>Chair 006</x:v>
      </x:c>
      <x:c r="I292" s="11" t="n">
        <x:v>5</x:v>
      </x:c>
      <x:c r="J292" s="9" t="n">
        <x:v>196</x:v>
      </x:c>
      <x:c r="K292" s="10" t="n">
        <x:v>0.2</x:v>
      </x:c>
      <x:c r="L292" s="11" t="n">
        <x:v>0</x:v>
      </x:c>
      <x:c r="M292" s="9" t="n">
        <x:f>IF(D292="Completed",I292*J292,0)</x:f>
        <x:v>980</x:v>
      </x:c>
      <x:c r="N292" s="9" t="n">
        <x:f>M292*K292</x:f>
        <x:v>196</x:v>
      </x:c>
      <x:c r="O292" s="9" t="n">
        <x:f>M292-N292</x:f>
        <x:v>784</x:v>
      </x:c>
      <x:c r="P292" s="9" t="n">
        <x:f>IF(D292="Completed",L292*J292*(1-K292),0)</x:f>
        <x:v>0</x:v>
      </x:c>
      <x:c r="Q292" s="9" t="n">
        <x:f>O292-P292</x:f>
        <x:v>784</x:v>
      </x:c>
      <x:c r="R292" s="11" t="n">
        <x:f>IF(D292="Completed",I292,0)</x:f>
        <x:v>5</x:v>
      </x:c>
      <x:c r="S292" s="11" t="n">
        <x:f>IF(D292="Completed",L292,0)</x:f>
        <x:v>0</x:v>
      </x:c>
      <x:c r="T292" s="8" t="n">
        <x:f>DATE(YEAR(C292),MONTH(C292),1)</x:f>
        <x:v>45839</x:v>
      </x:c>
    </x:row>
    <x:row r="293" ht="22" customHeight="1">
      <x:c r="A293" s="2" t="str">
        <x:v>L000289</x:v>
      </x:c>
      <x:c r="B293" s="2" t="str">
        <x:v>O00123</x:v>
      </x:c>
      <x:c r="C293" s="7" t="n">
        <x:v>45837</x:v>
      </x:c>
      <x:c r="D293" s="2" t="str">
        <x:v>Completed</x:v>
      </x:c>
      <x:c r="E293" s="2" t="str">
        <x:v>South</x:v>
      </x:c>
      <x:c r="F293" s="2" t="str">
        <x:v>Online</x:v>
      </x:c>
      <x:c r="G293" s="2" t="str">
        <x:v>Storage</x:v>
      </x:c>
      <x:c r="H293" s="2" t="str">
        <x:v>Shelf 003</x:v>
      </x:c>
      <x:c r="I293" s="11" t="n">
        <x:v>3</x:v>
      </x:c>
      <x:c r="J293" s="9" t="n">
        <x:v>199</x:v>
      </x:c>
      <x:c r="K293" s="10" t="n">
        <x:v>0.1</x:v>
      </x:c>
      <x:c r="L293" s="11" t="n">
        <x:v>0</x:v>
      </x:c>
      <x:c r="M293" s="9" t="n">
        <x:f>IF(D293="Completed",I293*J293,0)</x:f>
        <x:v>597</x:v>
      </x:c>
      <x:c r="N293" s="9" t="n">
        <x:f>M293*K293</x:f>
        <x:v>59.7</x:v>
      </x:c>
      <x:c r="O293" s="9" t="n">
        <x:f>M293-N293</x:f>
        <x:v>537.3</x:v>
      </x:c>
      <x:c r="P293" s="9" t="n">
        <x:f>IF(D293="Completed",L293*J293*(1-K293),0)</x:f>
        <x:v>0</x:v>
      </x:c>
      <x:c r="Q293" s="9" t="n">
        <x:f>O293-P293</x:f>
        <x:v>537.3</x:v>
      </x:c>
      <x:c r="R293" s="11" t="n">
        <x:f>IF(D293="Completed",I293,0)</x:f>
        <x:v>3</x:v>
      </x:c>
      <x:c r="S293" s="11" t="n">
        <x:f>IF(D293="Completed",L293,0)</x:f>
        <x:v>0</x:v>
      </x:c>
      <x:c r="T293" s="8" t="n">
        <x:f>DATE(YEAR(C293),MONTH(C293),1)</x:f>
        <x:v>45809</x:v>
      </x:c>
    </x:row>
    <x:row r="294" ht="22" customHeight="1">
      <x:c r="A294" s="2" t="str">
        <x:v>L000290</x:v>
      </x:c>
      <x:c r="B294" s="2" t="str">
        <x:v>O00123</x:v>
      </x:c>
      <x:c r="C294" s="7" t="n">
        <x:v>45837</x:v>
      </x:c>
      <x:c r="D294" s="2" t="str">
        <x:v>Completed</x:v>
      </x:c>
      <x:c r="E294" s="2" t="str">
        <x:v>South</x:v>
      </x:c>
      <x:c r="F294" s="2" t="str">
        <x:v>Online</x:v>
      </x:c>
      <x:c r="G294" s="2" t="str">
        <x:v>Lighting</x:v>
      </x:c>
      <x:c r="H294" s="2" t="str">
        <x:v>Lamp 013</x:v>
      </x:c>
      <x:c r="I294" s="11" t="n">
        <x:v>2</x:v>
      </x:c>
      <x:c r="J294" s="9" t="n">
        <x:v>271</x:v>
      </x:c>
      <x:c r="K294" s="10" t="n">
        <x:v>0.05</x:v>
      </x:c>
      <x:c r="L294" s="11" t="n">
        <x:v>0</x:v>
      </x:c>
      <x:c r="M294" s="9" t="n">
        <x:f>IF(D294="Completed",I294*J294,0)</x:f>
        <x:v>542</x:v>
      </x:c>
      <x:c r="N294" s="9" t="n">
        <x:f>M294*K294</x:f>
        <x:v>27.1</x:v>
      </x:c>
      <x:c r="O294" s="9" t="n">
        <x:f>M294-N294</x:f>
        <x:v>514.9</x:v>
      </x:c>
      <x:c r="P294" s="9" t="n">
        <x:f>IF(D294="Completed",L294*J294*(1-K294),0)</x:f>
        <x:v>0</x:v>
      </x:c>
      <x:c r="Q294" s="9" t="n">
        <x:f>O294-P294</x:f>
        <x:v>514.9</x:v>
      </x:c>
      <x:c r="R294" s="11" t="n">
        <x:f>IF(D294="Completed",I294,0)</x:f>
        <x:v>2</x:v>
      </x:c>
      <x:c r="S294" s="11" t="n">
        <x:f>IF(D294="Completed",L294,0)</x:f>
        <x:v>0</x:v>
      </x:c>
      <x:c r="T294" s="8" t="n">
        <x:f>DATE(YEAR(C294),MONTH(C294),1)</x:f>
        <x:v>45809</x:v>
      </x:c>
    </x:row>
    <x:row r="295" ht="22" customHeight="1">
      <x:c r="A295" s="2" t="str">
        <x:v>L000291</x:v>
      </x:c>
      <x:c r="B295" s="2" t="str">
        <x:v>O00123</x:v>
      </x:c>
      <x:c r="C295" s="7" t="n">
        <x:v>45837</x:v>
      </x:c>
      <x:c r="D295" s="2" t="str">
        <x:v>Completed</x:v>
      </x:c>
      <x:c r="E295" s="2" t="str">
        <x:v>South</x:v>
      </x:c>
      <x:c r="F295" s="2" t="str">
        <x:v>Online</x:v>
      </x:c>
      <x:c r="G295" s="2" t="str">
        <x:v>Furniture</x:v>
      </x:c>
      <x:c r="H295" s="2" t="str">
        <x:v>Chair 022</x:v>
      </x:c>
      <x:c r="I295" s="11" t="n">
        <x:v>3</x:v>
      </x:c>
      <x:c r="J295" s="9" t="n">
        <x:v>134</x:v>
      </x:c>
      <x:c r="K295" s="10" t="n">
        <x:v>0.1</x:v>
      </x:c>
      <x:c r="L295" s="11" t="n">
        <x:v>0</x:v>
      </x:c>
      <x:c r="M295" s="9" t="n">
        <x:f>IF(D295="Completed",I295*J295,0)</x:f>
        <x:v>402</x:v>
      </x:c>
      <x:c r="N295" s="9" t="n">
        <x:f>M295*K295</x:f>
        <x:v>40.2</x:v>
      </x:c>
      <x:c r="O295" s="9" t="n">
        <x:f>M295-N295</x:f>
        <x:v>361.8</x:v>
      </x:c>
      <x:c r="P295" s="9" t="n">
        <x:f>IF(D295="Completed",L295*J295*(1-K295),0)</x:f>
        <x:v>0</x:v>
      </x:c>
      <x:c r="Q295" s="9" t="n">
        <x:f>O295-P295</x:f>
        <x:v>361.8</x:v>
      </x:c>
      <x:c r="R295" s="11" t="n">
        <x:f>IF(D295="Completed",I295,0)</x:f>
        <x:v>3</x:v>
      </x:c>
      <x:c r="S295" s="11" t="n">
        <x:f>IF(D295="Completed",L295,0)</x:f>
        <x:v>0</x:v>
      </x:c>
      <x:c r="T295" s="8" t="n">
        <x:f>DATE(YEAR(C295),MONTH(C295),1)</x:f>
        <x:v>45809</x:v>
      </x:c>
    </x:row>
    <x:row r="296" ht="22" customHeight="1">
      <x:c r="A296" s="2" t="str">
        <x:v>L000292</x:v>
      </x:c>
      <x:c r="B296" s="2" t="str">
        <x:v>O00123</x:v>
      </x:c>
      <x:c r="C296" s="7" t="n">
        <x:v>45837</x:v>
      </x:c>
      <x:c r="D296" s="2" t="str">
        <x:v>Completed</x:v>
      </x:c>
      <x:c r="E296" s="2" t="str">
        <x:v>South</x:v>
      </x:c>
      <x:c r="F296" s="2" t="str">
        <x:v>Online</x:v>
      </x:c>
      <x:c r="G296" s="2" t="str">
        <x:v>Storage</x:v>
      </x:c>
      <x:c r="H296" s="2" t="str">
        <x:v>Shelf 019</x:v>
      </x:c>
      <x:c r="I296" s="11" t="n">
        <x:v>5</x:v>
      </x:c>
      <x:c r="J296" s="9" t="n">
        <x:v>78</x:v>
      </x:c>
      <x:c r="K296" s="10" t="n">
        <x:v>0.1</x:v>
      </x:c>
      <x:c r="L296" s="11" t="n">
        <x:v>0</x:v>
      </x:c>
      <x:c r="M296" s="9" t="n">
        <x:f>IF(D296="Completed",I296*J296,0)</x:f>
        <x:v>390</x:v>
      </x:c>
      <x:c r="N296" s="9" t="n">
        <x:f>M296*K296</x:f>
        <x:v>39</x:v>
      </x:c>
      <x:c r="O296" s="9" t="n">
        <x:f>M296-N296</x:f>
        <x:v>351</x:v>
      </x:c>
      <x:c r="P296" s="9" t="n">
        <x:f>IF(D296="Completed",L296*J296*(1-K296),0)</x:f>
        <x:v>0</x:v>
      </x:c>
      <x:c r="Q296" s="9" t="n">
        <x:f>O296-P296</x:f>
        <x:v>351</x:v>
      </x:c>
      <x:c r="R296" s="11" t="n">
        <x:f>IF(D296="Completed",I296,0)</x:f>
        <x:v>5</x:v>
      </x:c>
      <x:c r="S296" s="11" t="n">
        <x:f>IF(D296="Completed",L296,0)</x:f>
        <x:v>0</x:v>
      </x:c>
      <x:c r="T296" s="8" t="n">
        <x:f>DATE(YEAR(C296),MONTH(C296),1)</x:f>
        <x:v>45809</x:v>
      </x:c>
    </x:row>
    <x:row r="297" ht="22" customHeight="1">
      <x:c r="A297" s="2" t="str">
        <x:v>L000293</x:v>
      </x:c>
      <x:c r="B297" s="2" t="str">
        <x:v>O00124</x:v>
      </x:c>
      <x:c r="C297" s="7" t="n">
        <x:v>45759</x:v>
      </x:c>
      <x:c r="D297" s="2" t="str">
        <x:v>Completed</x:v>
      </x:c>
      <x:c r="E297" s="2" t="str">
        <x:v>West</x:v>
      </x:c>
      <x:c r="F297" s="2" t="str">
        <x:v>Online</x:v>
      </x:c>
      <x:c r="G297" s="2" t="str">
        <x:v>Lighting</x:v>
      </x:c>
      <x:c r="H297" s="2" t="str">
        <x:v>Lamp 005</x:v>
      </x:c>
      <x:c r="I297" s="11" t="n">
        <x:v>4</x:v>
      </x:c>
      <x:c r="J297" s="9" t="n">
        <x:v>65</x:v>
      </x:c>
      <x:c r="K297" s="10" t="n">
        <x:v>0.1</x:v>
      </x:c>
      <x:c r="L297" s="11" t="n">
        <x:v>0</x:v>
      </x:c>
      <x:c r="M297" s="9" t="n">
        <x:f>IF(D297="Completed",I297*J297,0)</x:f>
        <x:v>260</x:v>
      </x:c>
      <x:c r="N297" s="9" t="n">
        <x:f>M297*K297</x:f>
        <x:v>26</x:v>
      </x:c>
      <x:c r="O297" s="9" t="n">
        <x:f>M297-N297</x:f>
        <x:v>234</x:v>
      </x:c>
      <x:c r="P297" s="9" t="n">
        <x:f>IF(D297="Completed",L297*J297*(1-K297),0)</x:f>
        <x:v>0</x:v>
      </x:c>
      <x:c r="Q297" s="9" t="n">
        <x:f>O297-P297</x:f>
        <x:v>234</x:v>
      </x:c>
      <x:c r="R297" s="11" t="n">
        <x:f>IF(D297="Completed",I297,0)</x:f>
        <x:v>4</x:v>
      </x:c>
      <x:c r="S297" s="11" t="n">
        <x:f>IF(D297="Completed",L297,0)</x:f>
        <x:v>0</x:v>
      </x:c>
      <x:c r="T297" s="8" t="n">
        <x:f>DATE(YEAR(C297),MONTH(C297),1)</x:f>
        <x:v>45748</x:v>
      </x:c>
    </x:row>
    <x:row r="298" ht="22" customHeight="1">
      <x:c r="A298" s="2" t="str">
        <x:v>L000294</x:v>
      </x:c>
      <x:c r="B298" s="2" t="str">
        <x:v>O00124</x:v>
      </x:c>
      <x:c r="C298" s="7" t="n">
        <x:v>45759</x:v>
      </x:c>
      <x:c r="D298" s="2" t="str">
        <x:v>Completed</x:v>
      </x:c>
      <x:c r="E298" s="2" t="str">
        <x:v>West</x:v>
      </x:c>
      <x:c r="F298" s="2" t="str">
        <x:v>Online</x:v>
      </x:c>
      <x:c r="G298" s="2" t="str">
        <x:v>Storage</x:v>
      </x:c>
      <x:c r="H298" s="2" t="str">
        <x:v>Shelf 019</x:v>
      </x:c>
      <x:c r="I298" s="11" t="n">
        <x:v>4</x:v>
      </x:c>
      <x:c r="J298" s="9" t="n">
        <x:v>78</x:v>
      </x:c>
      <x:c r="K298" s="10" t="n">
        <x:v>0.05</x:v>
      </x:c>
      <x:c r="L298" s="11" t="n">
        <x:v>0</x:v>
      </x:c>
      <x:c r="M298" s="9" t="n">
        <x:f>IF(D298="Completed",I298*J298,0)</x:f>
        <x:v>312</x:v>
      </x:c>
      <x:c r="N298" s="9" t="n">
        <x:f>M298*K298</x:f>
        <x:v>15.600000000000001</x:v>
      </x:c>
      <x:c r="O298" s="9" t="n">
        <x:f>M298-N298</x:f>
        <x:v>296.4</x:v>
      </x:c>
      <x:c r="P298" s="9" t="n">
        <x:f>IF(D298="Completed",L298*J298*(1-K298),0)</x:f>
        <x:v>0</x:v>
      </x:c>
      <x:c r="Q298" s="9" t="n">
        <x:f>O298-P298</x:f>
        <x:v>296.4</x:v>
      </x:c>
      <x:c r="R298" s="11" t="n">
        <x:f>IF(D298="Completed",I298,0)</x:f>
        <x:v>4</x:v>
      </x:c>
      <x:c r="S298" s="11" t="n">
        <x:f>IF(D298="Completed",L298,0)</x:f>
        <x:v>0</x:v>
      </x:c>
      <x:c r="T298" s="8" t="n">
        <x:f>DATE(YEAR(C298),MONTH(C298),1)</x:f>
        <x:v>45748</x:v>
      </x:c>
    </x:row>
    <x:row r="299" ht="22" customHeight="1">
      <x:c r="A299" s="2" t="str">
        <x:v>L000295</x:v>
      </x:c>
      <x:c r="B299" s="2" t="str">
        <x:v>O00124</x:v>
      </x:c>
      <x:c r="C299" s="7" t="n">
        <x:v>45759</x:v>
      </x:c>
      <x:c r="D299" s="2" t="str">
        <x:v>Completed</x:v>
      </x:c>
      <x:c r="E299" s="2" t="str">
        <x:v>West</x:v>
      </x:c>
      <x:c r="F299" s="2" t="str">
        <x:v>Online</x:v>
      </x:c>
      <x:c r="G299" s="2" t="str">
        <x:v>Furniture</x:v>
      </x:c>
      <x:c r="H299" s="2" t="str">
        <x:v>Chair 002</x:v>
      </x:c>
      <x:c r="I299" s="11" t="n">
        <x:v>5</x:v>
      </x:c>
      <x:c r="J299" s="9" t="n">
        <x:v>284</x:v>
      </x:c>
      <x:c r="K299" s="10" t="n">
        <x:v>0.1</x:v>
      </x:c>
      <x:c r="L299" s="11" t="n">
        <x:v>0</x:v>
      </x:c>
      <x:c r="M299" s="9" t="n">
        <x:f>IF(D299="Completed",I299*J299,0)</x:f>
        <x:v>1420</x:v>
      </x:c>
      <x:c r="N299" s="9" t="n">
        <x:f>M299*K299</x:f>
        <x:v>142</x:v>
      </x:c>
      <x:c r="O299" s="9" t="n">
        <x:f>M299-N299</x:f>
        <x:v>1278</x:v>
      </x:c>
      <x:c r="P299" s="9" t="n">
        <x:f>IF(D299="Completed",L299*J299*(1-K299),0)</x:f>
        <x:v>0</x:v>
      </x:c>
      <x:c r="Q299" s="9" t="n">
        <x:f>O299-P299</x:f>
        <x:v>1278</x:v>
      </x:c>
      <x:c r="R299" s="11" t="n">
        <x:f>IF(D299="Completed",I299,0)</x:f>
        <x:v>5</x:v>
      </x:c>
      <x:c r="S299" s="11" t="n">
        <x:f>IF(D299="Completed",L299,0)</x:f>
        <x:v>0</x:v>
      </x:c>
      <x:c r="T299" s="8" t="n">
        <x:f>DATE(YEAR(C299),MONTH(C299),1)</x:f>
        <x:v>45748</x:v>
      </x:c>
    </x:row>
    <x:row r="300" ht="22" customHeight="1">
      <x:c r="A300" s="2" t="str">
        <x:v>L000296</x:v>
      </x:c>
      <x:c r="B300" s="2" t="str">
        <x:v>O00125</x:v>
      </x:c>
      <x:c r="C300" s="7" t="n">
        <x:v>45680</x:v>
      </x:c>
      <x:c r="D300" s="2" t="str">
        <x:v>Completed</x:v>
      </x:c>
      <x:c r="E300" s="2" t="str">
        <x:v>North</x:v>
      </x:c>
      <x:c r="F300" s="2" t="str">
        <x:v>Store</x:v>
      </x:c>
      <x:c r="G300" s="2" t="str">
        <x:v>Furniture</x:v>
      </x:c>
      <x:c r="H300" s="2" t="str">
        <x:v>Chair 006</x:v>
      </x:c>
      <x:c r="I300" s="11" t="n">
        <x:v>1</x:v>
      </x:c>
      <x:c r="J300" s="9" t="n">
        <x:v>196</x:v>
      </x:c>
      <x:c r="K300" s="10" t="n">
        <x:v>0.1</x:v>
      </x:c>
      <x:c r="L300" s="11" t="n">
        <x:v>0</x:v>
      </x:c>
      <x:c r="M300" s="9" t="n">
        <x:f>IF(D300="Completed",I300*J300,0)</x:f>
        <x:v>196</x:v>
      </x:c>
      <x:c r="N300" s="9" t="n">
        <x:f>M300*K300</x:f>
        <x:v>19.6</x:v>
      </x:c>
      <x:c r="O300" s="9" t="n">
        <x:f>M300-N300</x:f>
        <x:v>176.4</x:v>
      </x:c>
      <x:c r="P300" s="9" t="n">
        <x:f>IF(D300="Completed",L300*J300*(1-K300),0)</x:f>
        <x:v>0</x:v>
      </x:c>
      <x:c r="Q300" s="9" t="n">
        <x:f>O300-P300</x:f>
        <x:v>176.4</x:v>
      </x:c>
      <x:c r="R300" s="11" t="n">
        <x:f>IF(D300="Completed",I300,0)</x:f>
        <x:v>1</x:v>
      </x:c>
      <x:c r="S300" s="11" t="n">
        <x:f>IF(D300="Completed",L300,0)</x:f>
        <x:v>0</x:v>
      </x:c>
      <x:c r="T300" s="8" t="n">
        <x:f>DATE(YEAR(C300),MONTH(C300),1)</x:f>
        <x:v>45658</x:v>
      </x:c>
    </x:row>
    <x:row r="301" ht="22" customHeight="1">
      <x:c r="A301" s="2" t="str">
        <x:v>L000297</x:v>
      </x:c>
      <x:c r="B301" s="2" t="str">
        <x:v>O00125</x:v>
      </x:c>
      <x:c r="C301" s="7" t="n">
        <x:v>45680</x:v>
      </x:c>
      <x:c r="D301" s="2" t="str">
        <x:v>Completed</x:v>
      </x:c>
      <x:c r="E301" s="2" t="str">
        <x:v>North</x:v>
      </x:c>
      <x:c r="F301" s="2" t="str">
        <x:v>Store</x:v>
      </x:c>
      <x:c r="G301" s="2" t="str">
        <x:v>Furniture</x:v>
      </x:c>
      <x:c r="H301" s="2" t="str">
        <x:v>Chair 018</x:v>
      </x:c>
      <x:c r="I301" s="11" t="n">
        <x:v>5</x:v>
      </x:c>
      <x:c r="J301" s="9" t="n">
        <x:v>269</x:v>
      </x:c>
      <x:c r="K301" s="10" t="n">
        <x:v>0.1</x:v>
      </x:c>
      <x:c r="L301" s="11" t="n">
        <x:v>0</x:v>
      </x:c>
      <x:c r="M301" s="9" t="n">
        <x:f>IF(D301="Completed",I301*J301,0)</x:f>
        <x:v>1345</x:v>
      </x:c>
      <x:c r="N301" s="9" t="n">
        <x:f>M301*K301</x:f>
        <x:v>134.5</x:v>
      </x:c>
      <x:c r="O301" s="9" t="n">
        <x:f>M301-N301</x:f>
        <x:v>1210.5</x:v>
      </x:c>
      <x:c r="P301" s="9" t="n">
        <x:f>IF(D301="Completed",L301*J301*(1-K301),0)</x:f>
        <x:v>0</x:v>
      </x:c>
      <x:c r="Q301" s="9" t="n">
        <x:f>O301-P301</x:f>
        <x:v>1210.5</x:v>
      </x:c>
      <x:c r="R301" s="11" t="n">
        <x:f>IF(D301="Completed",I301,0)</x:f>
        <x:v>5</x:v>
      </x:c>
      <x:c r="S301" s="11" t="n">
        <x:f>IF(D301="Completed",L301,0)</x:f>
        <x:v>0</x:v>
      </x:c>
      <x:c r="T301" s="8" t="n">
        <x:f>DATE(YEAR(C301),MONTH(C301),1)</x:f>
        <x:v>45658</x:v>
      </x:c>
    </x:row>
    <x:row r="302" ht="22" customHeight="1">
      <x:c r="A302" s="2" t="str">
        <x:v>L000298</x:v>
      </x:c>
      <x:c r="B302" s="2" t="str">
        <x:v>O00126</x:v>
      </x:c>
      <x:c r="C302" s="7" t="n">
        <x:v>45929</x:v>
      </x:c>
      <x:c r="D302" s="2" t="str">
        <x:v>Completed</x:v>
      </x:c>
      <x:c r="E302" s="2" t="str">
        <x:v>East</x:v>
      </x:c>
      <x:c r="F302" s="2" t="str">
        <x:v>Store</x:v>
      </x:c>
      <x:c r="G302" s="2" t="str">
        <x:v>Furniture</x:v>
      </x:c>
      <x:c r="H302" s="2" t="str">
        <x:v>Chair 014</x:v>
      </x:c>
      <x:c r="I302" s="11" t="n">
        <x:v>3</x:v>
      </x:c>
      <x:c r="J302" s="9" t="n">
        <x:v>294</x:v>
      </x:c>
      <x:c r="K302" s="10" t="n">
        <x:v>0.1</x:v>
      </x:c>
      <x:c r="L302" s="11" t="n">
        <x:v>0</x:v>
      </x:c>
      <x:c r="M302" s="9" t="n">
        <x:f>IF(D302="Completed",I302*J302,0)</x:f>
        <x:v>882</x:v>
      </x:c>
      <x:c r="N302" s="9" t="n">
        <x:f>M302*K302</x:f>
        <x:v>88.2</x:v>
      </x:c>
      <x:c r="O302" s="9" t="n">
        <x:f>M302-N302</x:f>
        <x:v>793.8</x:v>
      </x:c>
      <x:c r="P302" s="9" t="n">
        <x:f>IF(D302="Completed",L302*J302*(1-K302),0)</x:f>
        <x:v>0</x:v>
      </x:c>
      <x:c r="Q302" s="9" t="n">
        <x:f>O302-P302</x:f>
        <x:v>793.8</x:v>
      </x:c>
      <x:c r="R302" s="11" t="n">
        <x:f>IF(D302="Completed",I302,0)</x:f>
        <x:v>3</x:v>
      </x:c>
      <x:c r="S302" s="11" t="n">
        <x:f>IF(D302="Completed",L302,0)</x:f>
        <x:v>0</x:v>
      </x:c>
      <x:c r="T302" s="8" t="n">
        <x:f>DATE(YEAR(C302),MONTH(C302),1)</x:f>
        <x:v>45901</x:v>
      </x:c>
    </x:row>
    <x:row r="303" ht="22" customHeight="1">
      <x:c r="A303" s="2" t="str">
        <x:v>L000299</x:v>
      </x:c>
      <x:c r="B303" s="2" t="str">
        <x:v>O00126</x:v>
      </x:c>
      <x:c r="C303" s="7" t="n">
        <x:v>45929</x:v>
      </x:c>
      <x:c r="D303" s="2" t="str">
        <x:v>Completed</x:v>
      </x:c>
      <x:c r="E303" s="2" t="str">
        <x:v>East</x:v>
      </x:c>
      <x:c r="F303" s="2" t="str">
        <x:v>Store</x:v>
      </x:c>
      <x:c r="G303" s="2" t="str">
        <x:v>Furniture</x:v>
      </x:c>
      <x:c r="H303" s="2" t="str">
        <x:v>Desk 012</x:v>
      </x:c>
      <x:c r="I303" s="11" t="n">
        <x:v>4</x:v>
      </x:c>
      <x:c r="J303" s="9" t="n">
        <x:v>134</x:v>
      </x:c>
      <x:c r="K303" s="10" t="n">
        <x:v>0.2</x:v>
      </x:c>
      <x:c r="L303" s="11" t="n">
        <x:v>0</x:v>
      </x:c>
      <x:c r="M303" s="9" t="n">
        <x:f>IF(D303="Completed",I303*J303,0)</x:f>
        <x:v>536</x:v>
      </x:c>
      <x:c r="N303" s="9" t="n">
        <x:f>M303*K303</x:f>
        <x:v>107.2</x:v>
      </x:c>
      <x:c r="O303" s="9" t="n">
        <x:f>M303-N303</x:f>
        <x:v>428.8</x:v>
      </x:c>
      <x:c r="P303" s="9" t="n">
        <x:f>IF(D303="Completed",L303*J303*(1-K303),0)</x:f>
        <x:v>0</x:v>
      </x:c>
      <x:c r="Q303" s="9" t="n">
        <x:f>O303-P303</x:f>
        <x:v>428.8</x:v>
      </x:c>
      <x:c r="R303" s="11" t="n">
        <x:f>IF(D303="Completed",I303,0)</x:f>
        <x:v>4</x:v>
      </x:c>
      <x:c r="S303" s="11" t="n">
        <x:f>IF(D303="Completed",L303,0)</x:f>
        <x:v>0</x:v>
      </x:c>
      <x:c r="T303" s="8" t="n">
        <x:f>DATE(YEAR(C303),MONTH(C303),1)</x:f>
        <x:v>45901</x:v>
      </x:c>
    </x:row>
    <x:row r="304" ht="22" customHeight="1">
      <x:c r="A304" s="2" t="str">
        <x:v>L000300</x:v>
      </x:c>
      <x:c r="B304" s="2" t="str">
        <x:v>O00126</x:v>
      </x:c>
      <x:c r="C304" s="7" t="n">
        <x:v>45929</x:v>
      </x:c>
      <x:c r="D304" s="2" t="str">
        <x:v>Completed</x:v>
      </x:c>
      <x:c r="E304" s="2" t="str">
        <x:v>East</x:v>
      </x:c>
      <x:c r="F304" s="2" t="str">
        <x:v>Store</x:v>
      </x:c>
      <x:c r="G304" s="2" t="str">
        <x:v>Lighting</x:v>
      </x:c>
      <x:c r="H304" s="2" t="str">
        <x:v>Lamp 001</x:v>
      </x:c>
      <x:c r="I304" s="11" t="n">
        <x:v>5</x:v>
      </x:c>
      <x:c r="J304" s="9" t="n">
        <x:v>122</x:v>
      </x:c>
      <x:c r="K304" s="10" t="n">
        <x:v>0.1</x:v>
      </x:c>
      <x:c r="L304" s="11" t="n">
        <x:v>0</x:v>
      </x:c>
      <x:c r="M304" s="9" t="n">
        <x:f>IF(D304="Completed",I304*J304,0)</x:f>
        <x:v>610</x:v>
      </x:c>
      <x:c r="N304" s="9" t="n">
        <x:f>M304*K304</x:f>
        <x:v>61</x:v>
      </x:c>
      <x:c r="O304" s="9" t="n">
        <x:f>M304-N304</x:f>
        <x:v>549</x:v>
      </x:c>
      <x:c r="P304" s="9" t="n">
        <x:f>IF(D304="Completed",L304*J304*(1-K304),0)</x:f>
        <x:v>0</x:v>
      </x:c>
      <x:c r="Q304" s="9" t="n">
        <x:f>O304-P304</x:f>
        <x:v>549</x:v>
      </x:c>
      <x:c r="R304" s="11" t="n">
        <x:f>IF(D304="Completed",I304,0)</x:f>
        <x:v>5</x:v>
      </x:c>
      <x:c r="S304" s="11" t="n">
        <x:f>IF(D304="Completed",L304,0)</x:f>
        <x:v>0</x:v>
      </x:c>
      <x:c r="T304" s="8" t="n">
        <x:f>DATE(YEAR(C304),MONTH(C304),1)</x:f>
        <x:v>45901</x:v>
      </x:c>
    </x:row>
    <x:row r="305" ht="22" customHeight="1">
      <x:c r="A305" s="2" t="str">
        <x:v>L000301</x:v>
      </x:c>
      <x:c r="B305" s="2" t="str">
        <x:v>O00127</x:v>
      </x:c>
      <x:c r="C305" s="7" t="n">
        <x:v>45780</x:v>
      </x:c>
      <x:c r="D305" s="2" t="str">
        <x:v>Cancelled</x:v>
      </x:c>
      <x:c r="E305" s="2" t="str">
        <x:v>West</x:v>
      </x:c>
      <x:c r="F305" s="2" t="str">
        <x:v>Store</x:v>
      </x:c>
      <x:c r="G305" s="2" t="str">
        <x:v>Furniture</x:v>
      </x:c>
      <x:c r="H305" s="2" t="str">
        <x:v>Desk 016</x:v>
      </x:c>
      <x:c r="I305" s="11" t="n">
        <x:v>4</x:v>
      </x:c>
      <x:c r="J305" s="9" t="n">
        <x:v>231</x:v>
      </x:c>
      <x:c r="K305" s="10" t="n">
        <x:v>0.2</x:v>
      </x:c>
      <x:c r="L305" s="11" t="n">
        <x:v>0</x:v>
      </x:c>
      <x:c r="M305" s="9" t="n">
        <x:f>IF(D305="Completed",I305*J305,0)</x:f>
        <x:v>0</x:v>
      </x:c>
      <x:c r="N305" s="9" t="n">
        <x:f>M305*K305</x:f>
        <x:v>0</x:v>
      </x:c>
      <x:c r="O305" s="9" t="n">
        <x:f>M305-N305</x:f>
        <x:v>0</x:v>
      </x:c>
      <x:c r="P305" s="9" t="n">
        <x:f>IF(D305="Completed",L305*J305*(1-K305),0)</x:f>
        <x:v>0</x:v>
      </x:c>
      <x:c r="Q305" s="9" t="n">
        <x:f>O305-P305</x:f>
        <x:v>0</x:v>
      </x:c>
      <x:c r="R305" s="11" t="n">
        <x:f>IF(D305="Completed",I305,0)</x:f>
        <x:v>0</x:v>
      </x:c>
      <x:c r="S305" s="11" t="n">
        <x:f>IF(D305="Completed",L305,0)</x:f>
        <x:v>0</x:v>
      </x:c>
      <x:c r="T305" s="8" t="n">
        <x:f>DATE(YEAR(C305),MONTH(C305),1)</x:f>
        <x:v>45778</x:v>
      </x:c>
    </x:row>
    <x:row r="306" ht="22" customHeight="1">
      <x:c r="A306" s="2" t="str">
        <x:v>L000302</x:v>
      </x:c>
      <x:c r="B306" s="2" t="str">
        <x:v>O00127</x:v>
      </x:c>
      <x:c r="C306" s="7" t="n">
        <x:v>45780</x:v>
      </x:c>
      <x:c r="D306" s="2" t="str">
        <x:v>Cancelled</x:v>
      </x:c>
      <x:c r="E306" s="2" t="str">
        <x:v>West</x:v>
      </x:c>
      <x:c r="F306" s="2" t="str">
        <x:v>Store</x:v>
      </x:c>
      <x:c r="G306" s="2" t="str">
        <x:v>Lighting</x:v>
      </x:c>
      <x:c r="H306" s="2" t="str">
        <x:v>Lamp 013</x:v>
      </x:c>
      <x:c r="I306" s="11" t="n">
        <x:v>3</x:v>
      </x:c>
      <x:c r="J306" s="9" t="n">
        <x:v>271</x:v>
      </x:c>
      <x:c r="K306" s="10" t="n">
        <x:v>0</x:v>
      </x:c>
      <x:c r="L306" s="11" t="n">
        <x:v>0</x:v>
      </x:c>
      <x:c r="M306" s="9" t="n">
        <x:f>IF(D306="Completed",I306*J306,0)</x:f>
        <x:v>0</x:v>
      </x:c>
      <x:c r="N306" s="9" t="n">
        <x:f>M306*K306</x:f>
        <x:v>0</x:v>
      </x:c>
      <x:c r="O306" s="9" t="n">
        <x:f>M306-N306</x:f>
        <x:v>0</x:v>
      </x:c>
      <x:c r="P306" s="9" t="n">
        <x:f>IF(D306="Completed",L306*J306*(1-K306),0)</x:f>
        <x:v>0</x:v>
      </x:c>
      <x:c r="Q306" s="9" t="n">
        <x:f>O306-P306</x:f>
        <x:v>0</x:v>
      </x:c>
      <x:c r="R306" s="11" t="n">
        <x:f>IF(D306="Completed",I306,0)</x:f>
        <x:v>0</x:v>
      </x:c>
      <x:c r="S306" s="11" t="n">
        <x:f>IF(D306="Completed",L306,0)</x:f>
        <x:v>0</x:v>
      </x:c>
      <x:c r="T306" s="8" t="n">
        <x:f>DATE(YEAR(C306),MONTH(C306),1)</x:f>
        <x:v>45778</x:v>
      </x:c>
    </x:row>
    <x:row r="307" ht="22" customHeight="1">
      <x:c r="A307" s="2" t="str">
        <x:v>L000303</x:v>
      </x:c>
      <x:c r="B307" s="2" t="str">
        <x:v>O00127</x:v>
      </x:c>
      <x:c r="C307" s="7" t="n">
        <x:v>45780</x:v>
      </x:c>
      <x:c r="D307" s="2" t="str">
        <x:v>Cancelled</x:v>
      </x:c>
      <x:c r="E307" s="2" t="str">
        <x:v>West</x:v>
      </x:c>
      <x:c r="F307" s="2" t="str">
        <x:v>Store</x:v>
      </x:c>
      <x:c r="G307" s="2" t="str">
        <x:v>Lighting</x:v>
      </x:c>
      <x:c r="H307" s="2" t="str">
        <x:v>Lamp 013</x:v>
      </x:c>
      <x:c r="I307" s="11" t="n">
        <x:v>5</x:v>
      </x:c>
      <x:c r="J307" s="9" t="n">
        <x:v>271</x:v>
      </x:c>
      <x:c r="K307" s="10" t="n">
        <x:v>0</x:v>
      </x:c>
      <x:c r="L307" s="11" t="n">
        <x:v>0</x:v>
      </x:c>
      <x:c r="M307" s="9" t="n">
        <x:f>IF(D307="Completed",I307*J307,0)</x:f>
        <x:v>0</x:v>
      </x:c>
      <x:c r="N307" s="9" t="n">
        <x:f>M307*K307</x:f>
        <x:v>0</x:v>
      </x:c>
      <x:c r="O307" s="9" t="n">
        <x:f>M307-N307</x:f>
        <x:v>0</x:v>
      </x:c>
      <x:c r="P307" s="9" t="n">
        <x:f>IF(D307="Completed",L307*J307*(1-K307),0)</x:f>
        <x:v>0</x:v>
      </x:c>
      <x:c r="Q307" s="9" t="n">
        <x:f>O307-P307</x:f>
        <x:v>0</x:v>
      </x:c>
      <x:c r="R307" s="11" t="n">
        <x:f>IF(D307="Completed",I307,0)</x:f>
        <x:v>0</x:v>
      </x:c>
      <x:c r="S307" s="11" t="n">
        <x:f>IF(D307="Completed",L307,0)</x:f>
        <x:v>0</x:v>
      </x:c>
      <x:c r="T307" s="8" t="n">
        <x:f>DATE(YEAR(C307),MONTH(C307),1)</x:f>
        <x:v>45778</x:v>
      </x:c>
    </x:row>
    <x:row r="308" ht="22" customHeight="1">
      <x:c r="A308" s="2" t="str">
        <x:v>L000304</x:v>
      </x:c>
      <x:c r="B308" s="2" t="str">
        <x:v>O00128</x:v>
      </x:c>
      <x:c r="C308" s="7" t="n">
        <x:v>45881</x:v>
      </x:c>
      <x:c r="D308" s="2" t="str">
        <x:v>Cancelled</x:v>
      </x:c>
      <x:c r="E308" s="2" t="str">
        <x:v>East</x:v>
      </x:c>
      <x:c r="F308" s="2" t="str">
        <x:v>Store</x:v>
      </x:c>
      <x:c r="G308" s="2" t="str">
        <x:v>Furniture</x:v>
      </x:c>
      <x:c r="H308" s="2" t="str">
        <x:v>Desk 016</x:v>
      </x:c>
      <x:c r="I308" s="11" t="n">
        <x:v>2</x:v>
      </x:c>
      <x:c r="J308" s="9" t="n">
        <x:v>231</x:v>
      </x:c>
      <x:c r="K308" s="10" t="n">
        <x:v>0.2</x:v>
      </x:c>
      <x:c r="L308" s="11" t="n">
        <x:v>0</x:v>
      </x:c>
      <x:c r="M308" s="9" t="n">
        <x:f>IF(D308="Completed",I308*J308,0)</x:f>
        <x:v>0</x:v>
      </x:c>
      <x:c r="N308" s="9" t="n">
        <x:f>M308*K308</x:f>
        <x:v>0</x:v>
      </x:c>
      <x:c r="O308" s="9" t="n">
        <x:f>M308-N308</x:f>
        <x:v>0</x:v>
      </x:c>
      <x:c r="P308" s="9" t="n">
        <x:f>IF(D308="Completed",L308*J308*(1-K308),0)</x:f>
        <x:v>0</x:v>
      </x:c>
      <x:c r="Q308" s="9" t="n">
        <x:f>O308-P308</x:f>
        <x:v>0</x:v>
      </x:c>
      <x:c r="R308" s="11" t="n">
        <x:f>IF(D308="Completed",I308,0)</x:f>
        <x:v>0</x:v>
      </x:c>
      <x:c r="S308" s="11" t="n">
        <x:f>IF(D308="Completed",L308,0)</x:f>
        <x:v>0</x:v>
      </x:c>
      <x:c r="T308" s="8" t="n">
        <x:f>DATE(YEAR(C308),MONTH(C308),1)</x:f>
        <x:v>45870</x:v>
      </x:c>
    </x:row>
    <x:row r="309" ht="22" customHeight="1">
      <x:c r="A309" s="2" t="str">
        <x:v>L000305</x:v>
      </x:c>
      <x:c r="B309" s="2" t="str">
        <x:v>O00129</x:v>
      </x:c>
      <x:c r="C309" s="7" t="n">
        <x:v>45711</x:v>
      </x:c>
      <x:c r="D309" s="2" t="str">
        <x:v>Cancelled</x:v>
      </x:c>
      <x:c r="E309" s="2" t="str">
        <x:v>North</x:v>
      </x:c>
      <x:c r="F309" s="2" t="str">
        <x:v>Store</x:v>
      </x:c>
      <x:c r="G309" s="2" t="str">
        <x:v>Storage</x:v>
      </x:c>
      <x:c r="H309" s="2" t="str">
        <x:v>Shelf 003</x:v>
      </x:c>
      <x:c r="I309" s="11" t="n">
        <x:v>5</x:v>
      </x:c>
      <x:c r="J309" s="9" t="n">
        <x:v>199</x:v>
      </x:c>
      <x:c r="K309" s="10" t="n">
        <x:v>0</x:v>
      </x:c>
      <x:c r="L309" s="11" t="n">
        <x:v>0</x:v>
      </x:c>
      <x:c r="M309" s="9" t="n">
        <x:f>IF(D309="Completed",I309*J309,0)</x:f>
        <x:v>0</x:v>
      </x:c>
      <x:c r="N309" s="9" t="n">
        <x:f>M309*K309</x:f>
        <x:v>0</x:v>
      </x:c>
      <x:c r="O309" s="9" t="n">
        <x:f>M309-N309</x:f>
        <x:v>0</x:v>
      </x:c>
      <x:c r="P309" s="9" t="n">
        <x:f>IF(D309="Completed",L309*J309*(1-K309),0)</x:f>
        <x:v>0</x:v>
      </x:c>
      <x:c r="Q309" s="9" t="n">
        <x:f>O309-P309</x:f>
        <x:v>0</x:v>
      </x:c>
      <x:c r="R309" s="11" t="n">
        <x:f>IF(D309="Completed",I309,0)</x:f>
        <x:v>0</x:v>
      </x:c>
      <x:c r="S309" s="11" t="n">
        <x:f>IF(D309="Completed",L309,0)</x:f>
        <x:v>0</x:v>
      </x:c>
      <x:c r="T309" s="8" t="n">
        <x:f>DATE(YEAR(C309),MONTH(C309),1)</x:f>
        <x:v>45689</x:v>
      </x:c>
    </x:row>
    <x:row r="310" ht="22" customHeight="1">
      <x:c r="A310" s="2" t="str">
        <x:v>L000306</x:v>
      </x:c>
      <x:c r="B310" s="2" t="str">
        <x:v>O00129</x:v>
      </x:c>
      <x:c r="C310" s="7" t="n">
        <x:v>45711</x:v>
      </x:c>
      <x:c r="D310" s="2" t="str">
        <x:v>Cancelled</x:v>
      </x:c>
      <x:c r="E310" s="2" t="str">
        <x:v>North</x:v>
      </x:c>
      <x:c r="F310" s="2" t="str">
        <x:v>Store</x:v>
      </x:c>
      <x:c r="G310" s="2" t="str">
        <x:v>Storage</x:v>
      </x:c>
      <x:c r="H310" s="2" t="str">
        <x:v>Shelf 023</x:v>
      </x:c>
      <x:c r="I310" s="11" t="n">
        <x:v>2</x:v>
      </x:c>
      <x:c r="J310" s="9" t="n">
        <x:v>68</x:v>
      </x:c>
      <x:c r="K310" s="10" t="n">
        <x:v>0</x:v>
      </x:c>
      <x:c r="L310" s="11" t="n">
        <x:v>0</x:v>
      </x:c>
      <x:c r="M310" s="9" t="n">
        <x:f>IF(D310="Completed",I310*J310,0)</x:f>
        <x:v>0</x:v>
      </x:c>
      <x:c r="N310" s="9" t="n">
        <x:f>M310*K310</x:f>
        <x:v>0</x:v>
      </x:c>
      <x:c r="O310" s="9" t="n">
        <x:f>M310-N310</x:f>
        <x:v>0</x:v>
      </x:c>
      <x:c r="P310" s="9" t="n">
        <x:f>IF(D310="Completed",L310*J310*(1-K310),0)</x:f>
        <x:v>0</x:v>
      </x:c>
      <x:c r="Q310" s="9" t="n">
        <x:f>O310-P310</x:f>
        <x:v>0</x:v>
      </x:c>
      <x:c r="R310" s="11" t="n">
        <x:f>IF(D310="Completed",I310,0)</x:f>
        <x:v>0</x:v>
      </x:c>
      <x:c r="S310" s="11" t="n">
        <x:f>IF(D310="Completed",L310,0)</x:f>
        <x:v>0</x:v>
      </x:c>
      <x:c r="T310" s="8" t="n">
        <x:f>DATE(YEAR(C310),MONTH(C310),1)</x:f>
        <x:v>45689</x:v>
      </x:c>
    </x:row>
    <x:row r="311" ht="22" customHeight="1">
      <x:c r="A311" s="2" t="str">
        <x:v>L000307</x:v>
      </x:c>
      <x:c r="B311" s="2" t="str">
        <x:v>O00129</x:v>
      </x:c>
      <x:c r="C311" s="7" t="n">
        <x:v>45711</x:v>
      </x:c>
      <x:c r="D311" s="2" t="str">
        <x:v>Cancelled</x:v>
      </x:c>
      <x:c r="E311" s="2" t="str">
        <x:v>North</x:v>
      </x:c>
      <x:c r="F311" s="2" t="str">
        <x:v>Store</x:v>
      </x:c>
      <x:c r="G311" s="2" t="str">
        <x:v>Furniture</x:v>
      </x:c>
      <x:c r="H311" s="2" t="str">
        <x:v>Desk 016</x:v>
      </x:c>
      <x:c r="I311" s="11" t="n">
        <x:v>5</x:v>
      </x:c>
      <x:c r="J311" s="9" t="n">
        <x:v>231</x:v>
      </x:c>
      <x:c r="K311" s="10" t="n">
        <x:v>0.1</x:v>
      </x:c>
      <x:c r="L311" s="11" t="n">
        <x:v>0</x:v>
      </x:c>
      <x:c r="M311" s="9" t="n">
        <x:f>IF(D311="Completed",I311*J311,0)</x:f>
        <x:v>0</x:v>
      </x:c>
      <x:c r="N311" s="9" t="n">
        <x:f>M311*K311</x:f>
        <x:v>0</x:v>
      </x:c>
      <x:c r="O311" s="9" t="n">
        <x:f>M311-N311</x:f>
        <x:v>0</x:v>
      </x:c>
      <x:c r="P311" s="9" t="n">
        <x:f>IF(D311="Completed",L311*J311*(1-K311),0)</x:f>
        <x:v>0</x:v>
      </x:c>
      <x:c r="Q311" s="9" t="n">
        <x:f>O311-P311</x:f>
        <x:v>0</x:v>
      </x:c>
      <x:c r="R311" s="11" t="n">
        <x:f>IF(D311="Completed",I311,0)</x:f>
        <x:v>0</x:v>
      </x:c>
      <x:c r="S311" s="11" t="n">
        <x:f>IF(D311="Completed",L311,0)</x:f>
        <x:v>0</x:v>
      </x:c>
      <x:c r="T311" s="8" t="n">
        <x:f>DATE(YEAR(C311),MONTH(C311),1)</x:f>
        <x:v>45689</x:v>
      </x:c>
    </x:row>
    <x:row r="312" ht="22" customHeight="1">
      <x:c r="A312" s="2" t="str">
        <x:v>L000308</x:v>
      </x:c>
      <x:c r="B312" s="2" t="str">
        <x:v>O00130</x:v>
      </x:c>
      <x:c r="C312" s="7" t="n">
        <x:v>45921</x:v>
      </x:c>
      <x:c r="D312" s="2" t="str">
        <x:v>Completed</x:v>
      </x:c>
      <x:c r="E312" s="2" t="str">
        <x:v>South</x:v>
      </x:c>
      <x:c r="F312" s="2" t="str">
        <x:v>Store</x:v>
      </x:c>
      <x:c r="G312" s="2" t="str">
        <x:v>Furniture</x:v>
      </x:c>
      <x:c r="H312" s="2" t="str">
        <x:v>Chair 022</x:v>
      </x:c>
      <x:c r="I312" s="11" t="n">
        <x:v>4</x:v>
      </x:c>
      <x:c r="J312" s="9" t="n">
        <x:v>134</x:v>
      </x:c>
      <x:c r="K312" s="10" t="n">
        <x:v>0</x:v>
      </x:c>
      <x:c r="L312" s="11" t="n">
        <x:v>0</x:v>
      </x:c>
      <x:c r="M312" s="9" t="n">
        <x:f>IF(D312="Completed",I312*J312,0)</x:f>
        <x:v>536</x:v>
      </x:c>
      <x:c r="N312" s="9" t="n">
        <x:f>M312*K312</x:f>
        <x:v>0</x:v>
      </x:c>
      <x:c r="O312" s="9" t="n">
        <x:f>M312-N312</x:f>
        <x:v>536</x:v>
      </x:c>
      <x:c r="P312" s="9" t="n">
        <x:f>IF(D312="Completed",L312*J312*(1-K312),0)</x:f>
        <x:v>0</x:v>
      </x:c>
      <x:c r="Q312" s="9" t="n">
        <x:f>O312-P312</x:f>
        <x:v>536</x:v>
      </x:c>
      <x:c r="R312" s="11" t="n">
        <x:f>IF(D312="Completed",I312,0)</x:f>
        <x:v>4</x:v>
      </x:c>
      <x:c r="S312" s="11" t="n">
        <x:f>IF(D312="Completed",L312,0)</x:f>
        <x:v>0</x:v>
      </x:c>
      <x:c r="T312" s="8" t="n">
        <x:f>DATE(YEAR(C312),MONTH(C312),1)</x:f>
        <x:v>45901</x:v>
      </x:c>
    </x:row>
    <x:row r="313" ht="22" customHeight="1">
      <x:c r="A313" s="2" t="str">
        <x:v>L000309</x:v>
      </x:c>
      <x:c r="B313" s="2" t="str">
        <x:v>O00130</x:v>
      </x:c>
      <x:c r="C313" s="7" t="n">
        <x:v>45921</x:v>
      </x:c>
      <x:c r="D313" s="2" t="str">
        <x:v>Completed</x:v>
      </x:c>
      <x:c r="E313" s="2" t="str">
        <x:v>South</x:v>
      </x:c>
      <x:c r="F313" s="2" t="str">
        <x:v>Store</x:v>
      </x:c>
      <x:c r="G313" s="2" t="str">
        <x:v>Furniture</x:v>
      </x:c>
      <x:c r="H313" s="2" t="str">
        <x:v>Chair 006</x:v>
      </x:c>
      <x:c r="I313" s="11" t="n">
        <x:v>4</x:v>
      </x:c>
      <x:c r="J313" s="9" t="n">
        <x:v>196</x:v>
      </x:c>
      <x:c r="K313" s="10" t="n">
        <x:v>0.05</x:v>
      </x:c>
      <x:c r="L313" s="11" t="n">
        <x:v>1</x:v>
      </x:c>
      <x:c r="M313" s="9" t="n">
        <x:f>IF(D313="Completed",I313*J313,0)</x:f>
        <x:v>784</x:v>
      </x:c>
      <x:c r="N313" s="9" t="n">
        <x:f>M313*K313</x:f>
        <x:v>39.2</x:v>
      </x:c>
      <x:c r="O313" s="9" t="n">
        <x:f>M313-N313</x:f>
        <x:v>744.8</x:v>
      </x:c>
      <x:c r="P313" s="9" t="n">
        <x:f>IF(D313="Completed",L313*J313*(1-K313),0)</x:f>
        <x:v>186.2</x:v>
      </x:c>
      <x:c r="Q313" s="9" t="n">
        <x:f>O313-P313</x:f>
        <x:v>558.5999999999999</x:v>
      </x:c>
      <x:c r="R313" s="11" t="n">
        <x:f>IF(D313="Completed",I313,0)</x:f>
        <x:v>4</x:v>
      </x:c>
      <x:c r="S313" s="11" t="n">
        <x:f>IF(D313="Completed",L313,0)</x:f>
        <x:v>1</x:v>
      </x:c>
      <x:c r="T313" s="8" t="n">
        <x:f>DATE(YEAR(C313),MONTH(C313),1)</x:f>
        <x:v>45901</x:v>
      </x:c>
    </x:row>
    <x:row r="314" ht="22" customHeight="1">
      <x:c r="A314" s="2" t="str">
        <x:v>L000310</x:v>
      </x:c>
      <x:c r="B314" s="2" t="str">
        <x:v>O00130</x:v>
      </x:c>
      <x:c r="C314" s="7" t="n">
        <x:v>45921</x:v>
      </x:c>
      <x:c r="D314" s="2" t="str">
        <x:v>Completed</x:v>
      </x:c>
      <x:c r="E314" s="2" t="str">
        <x:v>South</x:v>
      </x:c>
      <x:c r="F314" s="2" t="str">
        <x:v>Store</x:v>
      </x:c>
      <x:c r="G314" s="2" t="str">
        <x:v>Furniture</x:v>
      </x:c>
      <x:c r="H314" s="2" t="str">
        <x:v>Chair 002</x:v>
      </x:c>
      <x:c r="I314" s="11" t="n">
        <x:v>2</x:v>
      </x:c>
      <x:c r="J314" s="9" t="n">
        <x:v>284</x:v>
      </x:c>
      <x:c r="K314" s="10" t="n">
        <x:v>0</x:v>
      </x:c>
      <x:c r="L314" s="11" t="n">
        <x:v>0</x:v>
      </x:c>
      <x:c r="M314" s="9" t="n">
        <x:f>IF(D314="Completed",I314*J314,0)</x:f>
        <x:v>568</x:v>
      </x:c>
      <x:c r="N314" s="9" t="n">
        <x:f>M314*K314</x:f>
        <x:v>0</x:v>
      </x:c>
      <x:c r="O314" s="9" t="n">
        <x:f>M314-N314</x:f>
        <x:v>568</x:v>
      </x:c>
      <x:c r="P314" s="9" t="n">
        <x:f>IF(D314="Completed",L314*J314*(1-K314),0)</x:f>
        <x:v>0</x:v>
      </x:c>
      <x:c r="Q314" s="9" t="n">
        <x:f>O314-P314</x:f>
        <x:v>568</x:v>
      </x:c>
      <x:c r="R314" s="11" t="n">
        <x:f>IF(D314="Completed",I314,0)</x:f>
        <x:v>2</x:v>
      </x:c>
      <x:c r="S314" s="11" t="n">
        <x:f>IF(D314="Completed",L314,0)</x:f>
        <x:v>0</x:v>
      </x:c>
      <x:c r="T314" s="8" t="n">
        <x:f>DATE(YEAR(C314),MONTH(C314),1)</x:f>
        <x:v>45901</x:v>
      </x:c>
    </x:row>
    <x:row r="315" ht="22" customHeight="1">
      <x:c r="A315" s="2" t="str">
        <x:v>L000311</x:v>
      </x:c>
      <x:c r="B315" s="2" t="str">
        <x:v>O00130</x:v>
      </x:c>
      <x:c r="C315" s="7" t="n">
        <x:v>45921</x:v>
      </x:c>
      <x:c r="D315" s="2" t="str">
        <x:v>Completed</x:v>
      </x:c>
      <x:c r="E315" s="2" t="str">
        <x:v>South</x:v>
      </x:c>
      <x:c r="F315" s="2" t="str">
        <x:v>Store</x:v>
      </x:c>
      <x:c r="G315" s="2" t="str">
        <x:v>Storage</x:v>
      </x:c>
      <x:c r="H315" s="2" t="str">
        <x:v>Shelf 015</x:v>
      </x:c>
      <x:c r="I315" s="11" t="n">
        <x:v>4</x:v>
      </x:c>
      <x:c r="J315" s="9" t="n">
        <x:v>254</x:v>
      </x:c>
      <x:c r="K315" s="10" t="n">
        <x:v>0.2</x:v>
      </x:c>
      <x:c r="L315" s="11" t="n">
        <x:v>0</x:v>
      </x:c>
      <x:c r="M315" s="9" t="n">
        <x:f>IF(D315="Completed",I315*J315,0)</x:f>
        <x:v>1016</x:v>
      </x:c>
      <x:c r="N315" s="9" t="n">
        <x:f>M315*K315</x:f>
        <x:v>203.20000000000002</x:v>
      </x:c>
      <x:c r="O315" s="9" t="n">
        <x:f>M315-N315</x:f>
        <x:v>812.8</x:v>
      </x:c>
      <x:c r="P315" s="9" t="n">
        <x:f>IF(D315="Completed",L315*J315*(1-K315),0)</x:f>
        <x:v>0</x:v>
      </x:c>
      <x:c r="Q315" s="9" t="n">
        <x:f>O315-P315</x:f>
        <x:v>812.8</x:v>
      </x:c>
      <x:c r="R315" s="11" t="n">
        <x:f>IF(D315="Completed",I315,0)</x:f>
        <x:v>4</x:v>
      </x:c>
      <x:c r="S315" s="11" t="n">
        <x:f>IF(D315="Completed",L315,0)</x:f>
        <x:v>0</x:v>
      </x:c>
      <x:c r="T315" s="8" t="n">
        <x:f>DATE(YEAR(C315),MONTH(C315),1)</x:f>
        <x:v>45901</x:v>
      </x:c>
    </x:row>
    <x:row r="316" ht="22" customHeight="1">
      <x:c r="A316" s="2" t="str">
        <x:v>L000312</x:v>
      </x:c>
      <x:c r="B316" s="2" t="str">
        <x:v>O00131</x:v>
      </x:c>
      <x:c r="C316" s="7" t="n">
        <x:v>45771</x:v>
      </x:c>
      <x:c r="D316" s="2" t="str">
        <x:v>Completed</x:v>
      </x:c>
      <x:c r="E316" s="2" t="str">
        <x:v>North</x:v>
      </x:c>
      <x:c r="F316" s="2" t="str">
        <x:v>Store</x:v>
      </x:c>
      <x:c r="G316" s="2" t="str">
        <x:v>Furniture</x:v>
      </x:c>
      <x:c r="H316" s="2" t="str">
        <x:v>Desk 020</x:v>
      </x:c>
      <x:c r="I316" s="11" t="n">
        <x:v>3</x:v>
      </x:c>
      <x:c r="J316" s="9" t="n">
        <x:v>189</x:v>
      </x:c>
      <x:c r="K316" s="10" t="n">
        <x:v>0.05</x:v>
      </x:c>
      <x:c r="L316" s="11" t="n">
        <x:v>0</x:v>
      </x:c>
      <x:c r="M316" s="9" t="n">
        <x:f>IF(D316="Completed",I316*J316,0)</x:f>
        <x:v>567</x:v>
      </x:c>
      <x:c r="N316" s="9" t="n">
        <x:f>M316*K316</x:f>
        <x:v>28.35</x:v>
      </x:c>
      <x:c r="O316" s="9" t="n">
        <x:f>M316-N316</x:f>
        <x:v>538.65</x:v>
      </x:c>
      <x:c r="P316" s="9" t="n">
        <x:f>IF(D316="Completed",L316*J316*(1-K316),0)</x:f>
        <x:v>0</x:v>
      </x:c>
      <x:c r="Q316" s="9" t="n">
        <x:f>O316-P316</x:f>
        <x:v>538.65</x:v>
      </x:c>
      <x:c r="R316" s="11" t="n">
        <x:f>IF(D316="Completed",I316,0)</x:f>
        <x:v>3</x:v>
      </x:c>
      <x:c r="S316" s="11" t="n">
        <x:f>IF(D316="Completed",L316,0)</x:f>
        <x:v>0</x:v>
      </x:c>
      <x:c r="T316" s="8" t="n">
        <x:f>DATE(YEAR(C316),MONTH(C316),1)</x:f>
        <x:v>45748</x:v>
      </x:c>
    </x:row>
    <x:row r="317" ht="22" customHeight="1">
      <x:c r="A317" s="2" t="str">
        <x:v>L000313</x:v>
      </x:c>
      <x:c r="B317" s="2" t="str">
        <x:v>O00131</x:v>
      </x:c>
      <x:c r="C317" s="7" t="n">
        <x:v>45771</x:v>
      </x:c>
      <x:c r="D317" s="2" t="str">
        <x:v>Completed</x:v>
      </x:c>
      <x:c r="E317" s="2" t="str">
        <x:v>North</x:v>
      </x:c>
      <x:c r="F317" s="2" t="str">
        <x:v>Store</x:v>
      </x:c>
      <x:c r="G317" s="2" t="str">
        <x:v>Furniture</x:v>
      </x:c>
      <x:c r="H317" s="2" t="str">
        <x:v>Desk 012</x:v>
      </x:c>
      <x:c r="I317" s="11" t="n">
        <x:v>3</x:v>
      </x:c>
      <x:c r="J317" s="9" t="n">
        <x:v>134</x:v>
      </x:c>
      <x:c r="K317" s="10" t="n">
        <x:v>0.1</x:v>
      </x:c>
      <x:c r="L317" s="11" t="n">
        <x:v>0</x:v>
      </x:c>
      <x:c r="M317" s="9" t="n">
        <x:f>IF(D317="Completed",I317*J317,0)</x:f>
        <x:v>402</x:v>
      </x:c>
      <x:c r="N317" s="9" t="n">
        <x:f>M317*K317</x:f>
        <x:v>40.2</x:v>
      </x:c>
      <x:c r="O317" s="9" t="n">
        <x:f>M317-N317</x:f>
        <x:v>361.8</x:v>
      </x:c>
      <x:c r="P317" s="9" t="n">
        <x:f>IF(D317="Completed",L317*J317*(1-K317),0)</x:f>
        <x:v>0</x:v>
      </x:c>
      <x:c r="Q317" s="9" t="n">
        <x:f>O317-P317</x:f>
        <x:v>361.8</x:v>
      </x:c>
      <x:c r="R317" s="11" t="n">
        <x:f>IF(D317="Completed",I317,0)</x:f>
        <x:v>3</x:v>
      </x:c>
      <x:c r="S317" s="11" t="n">
        <x:f>IF(D317="Completed",L317,0)</x:f>
        <x:v>0</x:v>
      </x:c>
      <x:c r="T317" s="8" t="n">
        <x:f>DATE(YEAR(C317),MONTH(C317),1)</x:f>
        <x:v>45748</x:v>
      </x:c>
    </x:row>
    <x:row r="318" ht="22" customHeight="1">
      <x:c r="A318" s="2" t="str">
        <x:v>L000314</x:v>
      </x:c>
      <x:c r="B318" s="2" t="str">
        <x:v>O00131</x:v>
      </x:c>
      <x:c r="C318" s="7" t="n">
        <x:v>45771</x:v>
      </x:c>
      <x:c r="D318" s="2" t="str">
        <x:v>Completed</x:v>
      </x:c>
      <x:c r="E318" s="2" t="str">
        <x:v>North</x:v>
      </x:c>
      <x:c r="F318" s="2" t="str">
        <x:v>Store</x:v>
      </x:c>
      <x:c r="G318" s="2" t="str">
        <x:v>Furniture</x:v>
      </x:c>
      <x:c r="H318" s="2" t="str">
        <x:v>Desk 012</x:v>
      </x:c>
      <x:c r="I318" s="11" t="n">
        <x:v>1</x:v>
      </x:c>
      <x:c r="J318" s="9" t="n">
        <x:v>134</x:v>
      </x:c>
      <x:c r="K318" s="10" t="n">
        <x:v>0.1</x:v>
      </x:c>
      <x:c r="L318" s="11" t="n">
        <x:v>0</x:v>
      </x:c>
      <x:c r="M318" s="9" t="n">
        <x:f>IF(D318="Completed",I318*J318,0)</x:f>
        <x:v>134</x:v>
      </x:c>
      <x:c r="N318" s="9" t="n">
        <x:f>M318*K318</x:f>
        <x:v>13.4</x:v>
      </x:c>
      <x:c r="O318" s="9" t="n">
        <x:f>M318-N318</x:f>
        <x:v>120.6</x:v>
      </x:c>
      <x:c r="P318" s="9" t="n">
        <x:f>IF(D318="Completed",L318*J318*(1-K318),0)</x:f>
        <x:v>0</x:v>
      </x:c>
      <x:c r="Q318" s="9" t="n">
        <x:f>O318-P318</x:f>
        <x:v>120.6</x:v>
      </x:c>
      <x:c r="R318" s="11" t="n">
        <x:f>IF(D318="Completed",I318,0)</x:f>
        <x:v>1</x:v>
      </x:c>
      <x:c r="S318" s="11" t="n">
        <x:f>IF(D318="Completed",L318,0)</x:f>
        <x:v>0</x:v>
      </x:c>
      <x:c r="T318" s="8" t="n">
        <x:f>DATE(YEAR(C318),MONTH(C318),1)</x:f>
        <x:v>45748</x:v>
      </x:c>
    </x:row>
    <x:row r="319" ht="22" customHeight="1">
      <x:c r="A319" s="2" t="str">
        <x:v>L000315</x:v>
      </x:c>
      <x:c r="B319" s="2" t="str">
        <x:v>O00132</x:v>
      </x:c>
      <x:c r="C319" s="7" t="n">
        <x:v>45842</x:v>
      </x:c>
      <x:c r="D319" s="2" t="str">
        <x:v>Completed</x:v>
      </x:c>
      <x:c r="E319" s="2" t="str">
        <x:v>North</x:v>
      </x:c>
      <x:c r="F319" s="2" t="str">
        <x:v>Online</x:v>
      </x:c>
      <x:c r="G319" s="2" t="str">
        <x:v>Lighting</x:v>
      </x:c>
      <x:c r="H319" s="2" t="str">
        <x:v>Lamp 017</x:v>
      </x:c>
      <x:c r="I319" s="11" t="n">
        <x:v>2</x:v>
      </x:c>
      <x:c r="J319" s="9" t="n">
        <x:v>300</x:v>
      </x:c>
      <x:c r="K319" s="10" t="n">
        <x:v>0.05</x:v>
      </x:c>
      <x:c r="L319" s="11" t="n">
        <x:v>0</x:v>
      </x:c>
      <x:c r="M319" s="9" t="n">
        <x:f>IF(D319="Completed",I319*J319,0)</x:f>
        <x:v>600</x:v>
      </x:c>
      <x:c r="N319" s="9" t="n">
        <x:f>M319*K319</x:f>
        <x:v>30</x:v>
      </x:c>
      <x:c r="O319" s="9" t="n">
        <x:f>M319-N319</x:f>
        <x:v>570</x:v>
      </x:c>
      <x:c r="P319" s="9" t="n">
        <x:f>IF(D319="Completed",L319*J319*(1-K319),0)</x:f>
        <x:v>0</x:v>
      </x:c>
      <x:c r="Q319" s="9" t="n">
        <x:f>O319-P319</x:f>
        <x:v>570</x:v>
      </x:c>
      <x:c r="R319" s="11" t="n">
        <x:f>IF(D319="Completed",I319,0)</x:f>
        <x:v>2</x:v>
      </x:c>
      <x:c r="S319" s="11" t="n">
        <x:f>IF(D319="Completed",L319,0)</x:f>
        <x:v>0</x:v>
      </x:c>
      <x:c r="T319" s="8" t="n">
        <x:f>DATE(YEAR(C319),MONTH(C319),1)</x:f>
        <x:v>45839</x:v>
      </x:c>
    </x:row>
    <x:row r="320" ht="22" customHeight="1">
      <x:c r="A320" s="2" t="str">
        <x:v>L000316</x:v>
      </x:c>
      <x:c r="B320" s="2" t="str">
        <x:v>O00132</x:v>
      </x:c>
      <x:c r="C320" s="7" t="n">
        <x:v>45842</x:v>
      </x:c>
      <x:c r="D320" s="2" t="str">
        <x:v>Completed</x:v>
      </x:c>
      <x:c r="E320" s="2" t="str">
        <x:v>North</x:v>
      </x:c>
      <x:c r="F320" s="2" t="str">
        <x:v>Online</x:v>
      </x:c>
      <x:c r="G320" s="2" t="str">
        <x:v>Furniture</x:v>
      </x:c>
      <x:c r="H320" s="2" t="str">
        <x:v>Desk 016</x:v>
      </x:c>
      <x:c r="I320" s="11" t="n">
        <x:v>2</x:v>
      </x:c>
      <x:c r="J320" s="9" t="n">
        <x:v>231</x:v>
      </x:c>
      <x:c r="K320" s="10" t="n">
        <x:v>0.2</x:v>
      </x:c>
      <x:c r="L320" s="11" t="n">
        <x:v>0</x:v>
      </x:c>
      <x:c r="M320" s="9" t="n">
        <x:f>IF(D320="Completed",I320*J320,0)</x:f>
        <x:v>462</x:v>
      </x:c>
      <x:c r="N320" s="9" t="n">
        <x:f>M320*K320</x:f>
        <x:v>92.4</x:v>
      </x:c>
      <x:c r="O320" s="9" t="n">
        <x:f>M320-N320</x:f>
        <x:v>369.6</x:v>
      </x:c>
      <x:c r="P320" s="9" t="n">
        <x:f>IF(D320="Completed",L320*J320*(1-K320),0)</x:f>
        <x:v>0</x:v>
      </x:c>
      <x:c r="Q320" s="9" t="n">
        <x:f>O320-P320</x:f>
        <x:v>369.6</x:v>
      </x:c>
      <x:c r="R320" s="11" t="n">
        <x:f>IF(D320="Completed",I320,0)</x:f>
        <x:v>2</x:v>
      </x:c>
      <x:c r="S320" s="11" t="n">
        <x:f>IF(D320="Completed",L320,0)</x:f>
        <x:v>0</x:v>
      </x:c>
      <x:c r="T320" s="8" t="n">
        <x:f>DATE(YEAR(C320),MONTH(C320),1)</x:f>
        <x:v>45839</x:v>
      </x:c>
    </x:row>
    <x:row r="321" ht="22" customHeight="1">
      <x:c r="A321" s="2" t="str">
        <x:v>L000317</x:v>
      </x:c>
      <x:c r="B321" s="2" t="str">
        <x:v>O00132</x:v>
      </x:c>
      <x:c r="C321" s="7" t="n">
        <x:v>45842</x:v>
      </x:c>
      <x:c r="D321" s="2" t="str">
        <x:v>Completed</x:v>
      </x:c>
      <x:c r="E321" s="2" t="str">
        <x:v>North</x:v>
      </x:c>
      <x:c r="F321" s="2" t="str">
        <x:v>Online</x:v>
      </x:c>
      <x:c r="G321" s="2" t="str">
        <x:v>Lighting</x:v>
      </x:c>
      <x:c r="H321" s="2" t="str">
        <x:v>Lamp 021</x:v>
      </x:c>
      <x:c r="I321" s="11" t="n">
        <x:v>4</x:v>
      </x:c>
      <x:c r="J321" s="9" t="n">
        <x:v>249</x:v>
      </x:c>
      <x:c r="K321" s="10" t="n">
        <x:v>0.1</x:v>
      </x:c>
      <x:c r="L321" s="11" t="n">
        <x:v>0</x:v>
      </x:c>
      <x:c r="M321" s="9" t="n">
        <x:f>IF(D321="Completed",I321*J321,0)</x:f>
        <x:v>996</x:v>
      </x:c>
      <x:c r="N321" s="9" t="n">
        <x:f>M321*K321</x:f>
        <x:v>99.60000000000001</x:v>
      </x:c>
      <x:c r="O321" s="9" t="n">
        <x:f>M321-N321</x:f>
        <x:v>896.4</x:v>
      </x:c>
      <x:c r="P321" s="9" t="n">
        <x:f>IF(D321="Completed",L321*J321*(1-K321),0)</x:f>
        <x:v>0</x:v>
      </x:c>
      <x:c r="Q321" s="9" t="n">
        <x:f>O321-P321</x:f>
        <x:v>896.4</x:v>
      </x:c>
      <x:c r="R321" s="11" t="n">
        <x:f>IF(D321="Completed",I321,0)</x:f>
        <x:v>4</x:v>
      </x:c>
      <x:c r="S321" s="11" t="n">
        <x:f>IF(D321="Completed",L321,0)</x:f>
        <x:v>0</x:v>
      </x:c>
      <x:c r="T321" s="8" t="n">
        <x:f>DATE(YEAR(C321),MONTH(C321),1)</x:f>
        <x:v>45839</x:v>
      </x:c>
    </x:row>
    <x:row r="322" ht="22" customHeight="1">
      <x:c r="A322" s="2" t="str">
        <x:v>L000318</x:v>
      </x:c>
      <x:c r="B322" s="2" t="str">
        <x:v>O00132</x:v>
      </x:c>
      <x:c r="C322" s="7" t="n">
        <x:v>45842</x:v>
      </x:c>
      <x:c r="D322" s="2" t="str">
        <x:v>Completed</x:v>
      </x:c>
      <x:c r="E322" s="2" t="str">
        <x:v>North</x:v>
      </x:c>
      <x:c r="F322" s="2" t="str">
        <x:v>Online</x:v>
      </x:c>
      <x:c r="G322" s="2" t="str">
        <x:v>Lighting</x:v>
      </x:c>
      <x:c r="H322" s="2" t="str">
        <x:v>Lamp 021</x:v>
      </x:c>
      <x:c r="I322" s="11" t="n">
        <x:v>5</x:v>
      </x:c>
      <x:c r="J322" s="9" t="n">
        <x:v>249</x:v>
      </x:c>
      <x:c r="K322" s="10" t="n">
        <x:v>0.05</x:v>
      </x:c>
      <x:c r="L322" s="11" t="n">
        <x:v>0</x:v>
      </x:c>
      <x:c r="M322" s="9" t="n">
        <x:f>IF(D322="Completed",I322*J322,0)</x:f>
        <x:v>1245</x:v>
      </x:c>
      <x:c r="N322" s="9" t="n">
        <x:f>M322*K322</x:f>
        <x:v>62.25</x:v>
      </x:c>
      <x:c r="O322" s="9" t="n">
        <x:f>M322-N322</x:f>
        <x:v>1182.75</x:v>
      </x:c>
      <x:c r="P322" s="9" t="n">
        <x:f>IF(D322="Completed",L322*J322*(1-K322),0)</x:f>
        <x:v>0</x:v>
      </x:c>
      <x:c r="Q322" s="9" t="n">
        <x:f>O322-P322</x:f>
        <x:v>1182.75</x:v>
      </x:c>
      <x:c r="R322" s="11" t="n">
        <x:f>IF(D322="Completed",I322,0)</x:f>
        <x:v>5</x:v>
      </x:c>
      <x:c r="S322" s="11" t="n">
        <x:f>IF(D322="Completed",L322,0)</x:f>
        <x:v>0</x:v>
      </x:c>
      <x:c r="T322" s="8" t="n">
        <x:f>DATE(YEAR(C322),MONTH(C322),1)</x:f>
        <x:v>45839</x:v>
      </x:c>
    </x:row>
    <x:row r="323" ht="22" customHeight="1">
      <x:c r="A323" s="2" t="str">
        <x:v>L000319</x:v>
      </x:c>
      <x:c r="B323" s="2" t="str">
        <x:v>O00133</x:v>
      </x:c>
      <x:c r="C323" s="7" t="n">
        <x:v>45753</x:v>
      </x:c>
      <x:c r="D323" s="2" t="str">
        <x:v>Cancelled</x:v>
      </x:c>
      <x:c r="E323" s="2" t="str">
        <x:v>South</x:v>
      </x:c>
      <x:c r="F323" s="2" t="str">
        <x:v>Online</x:v>
      </x:c>
      <x:c r="G323" s="2" t="str">
        <x:v>Storage</x:v>
      </x:c>
      <x:c r="H323" s="2" t="str">
        <x:v>Shelf 003</x:v>
      </x:c>
      <x:c r="I323" s="11" t="n">
        <x:v>2</x:v>
      </x:c>
      <x:c r="J323" s="9" t="n">
        <x:v>199</x:v>
      </x:c>
      <x:c r="K323" s="10" t="n">
        <x:v>0.05</x:v>
      </x:c>
      <x:c r="L323" s="11" t="n">
        <x:v>0</x:v>
      </x:c>
      <x:c r="M323" s="9" t="n">
        <x:f>IF(D323="Completed",I323*J323,0)</x:f>
        <x:v>0</x:v>
      </x:c>
      <x:c r="N323" s="9" t="n">
        <x:f>M323*K323</x:f>
        <x:v>0</x:v>
      </x:c>
      <x:c r="O323" s="9" t="n">
        <x:f>M323-N323</x:f>
        <x:v>0</x:v>
      </x:c>
      <x:c r="P323" s="9" t="n">
        <x:f>IF(D323="Completed",L323*J323*(1-K323),0)</x:f>
        <x:v>0</x:v>
      </x:c>
      <x:c r="Q323" s="9" t="n">
        <x:f>O323-P323</x:f>
        <x:v>0</x:v>
      </x:c>
      <x:c r="R323" s="11" t="n">
        <x:f>IF(D323="Completed",I323,0)</x:f>
        <x:v>0</x:v>
      </x:c>
      <x:c r="S323" s="11" t="n">
        <x:f>IF(D323="Completed",L323,0)</x:f>
        <x:v>0</x:v>
      </x:c>
      <x:c r="T323" s="8" t="n">
        <x:f>DATE(YEAR(C323),MONTH(C323),1)</x:f>
        <x:v>45748</x:v>
      </x:c>
    </x:row>
    <x:row r="324" ht="22" customHeight="1">
      <x:c r="A324" s="2" t="str">
        <x:v>L000320</x:v>
      </x:c>
      <x:c r="B324" s="2" t="str">
        <x:v>O00133</x:v>
      </x:c>
      <x:c r="C324" s="7" t="n">
        <x:v>45753</x:v>
      </x:c>
      <x:c r="D324" s="2" t="str">
        <x:v>Cancelled</x:v>
      </x:c>
      <x:c r="E324" s="2" t="str">
        <x:v>South</x:v>
      </x:c>
      <x:c r="F324" s="2" t="str">
        <x:v>Online</x:v>
      </x:c>
      <x:c r="G324" s="2" t="str">
        <x:v>Furniture</x:v>
      </x:c>
      <x:c r="H324" s="2" t="str">
        <x:v>Desk 024</x:v>
      </x:c>
      <x:c r="I324" s="11" t="n">
        <x:v>2</x:v>
      </x:c>
      <x:c r="J324" s="9" t="n">
        <x:v>81</x:v>
      </x:c>
      <x:c r="K324" s="10" t="n">
        <x:v>0.2</x:v>
      </x:c>
      <x:c r="L324" s="11" t="n">
        <x:v>0</x:v>
      </x:c>
      <x:c r="M324" s="9" t="n">
        <x:f>IF(D324="Completed",I324*J324,0)</x:f>
        <x:v>0</x:v>
      </x:c>
      <x:c r="N324" s="9" t="n">
        <x:f>M324*K324</x:f>
        <x:v>0</x:v>
      </x:c>
      <x:c r="O324" s="9" t="n">
        <x:f>M324-N324</x:f>
        <x:v>0</x:v>
      </x:c>
      <x:c r="P324" s="9" t="n">
        <x:f>IF(D324="Completed",L324*J324*(1-K324),0)</x:f>
        <x:v>0</x:v>
      </x:c>
      <x:c r="Q324" s="9" t="n">
        <x:f>O324-P324</x:f>
        <x:v>0</x:v>
      </x:c>
      <x:c r="R324" s="11" t="n">
        <x:f>IF(D324="Completed",I324,0)</x:f>
        <x:v>0</x:v>
      </x:c>
      <x:c r="S324" s="11" t="n">
        <x:f>IF(D324="Completed",L324,0)</x:f>
        <x:v>0</x:v>
      </x:c>
      <x:c r="T324" s="8" t="n">
        <x:f>DATE(YEAR(C324),MONTH(C324),1)</x:f>
        <x:v>45748</x:v>
      </x:c>
    </x:row>
    <x:row r="325" ht="22" customHeight="1">
      <x:c r="A325" s="2" t="str">
        <x:v>L000321</x:v>
      </x:c>
      <x:c r="B325" s="2" t="str">
        <x:v>O00133</x:v>
      </x:c>
      <x:c r="C325" s="7" t="n">
        <x:v>45753</x:v>
      </x:c>
      <x:c r="D325" s="2" t="str">
        <x:v>Cancelled</x:v>
      </x:c>
      <x:c r="E325" s="2" t="str">
        <x:v>South</x:v>
      </x:c>
      <x:c r="F325" s="2" t="str">
        <x:v>Online</x:v>
      </x:c>
      <x:c r="G325" s="2" t="str">
        <x:v>Furniture</x:v>
      </x:c>
      <x:c r="H325" s="2" t="str">
        <x:v>Chair 018</x:v>
      </x:c>
      <x:c r="I325" s="11" t="n">
        <x:v>4</x:v>
      </x:c>
      <x:c r="J325" s="9" t="n">
        <x:v>269</x:v>
      </x:c>
      <x:c r="K325" s="10" t="n">
        <x:v>0.2</x:v>
      </x:c>
      <x:c r="L325" s="11" t="n">
        <x:v>0</x:v>
      </x:c>
      <x:c r="M325" s="9" t="n">
        <x:f>IF(D325="Completed",I325*J325,0)</x:f>
        <x:v>0</x:v>
      </x:c>
      <x:c r="N325" s="9" t="n">
        <x:f>M325*K325</x:f>
        <x:v>0</x:v>
      </x:c>
      <x:c r="O325" s="9" t="n">
        <x:f>M325-N325</x:f>
        <x:v>0</x:v>
      </x:c>
      <x:c r="P325" s="9" t="n">
        <x:f>IF(D325="Completed",L325*J325*(1-K325),0)</x:f>
        <x:v>0</x:v>
      </x:c>
      <x:c r="Q325" s="9" t="n">
        <x:f>O325-P325</x:f>
        <x:v>0</x:v>
      </x:c>
      <x:c r="R325" s="11" t="n">
        <x:f>IF(D325="Completed",I325,0)</x:f>
        <x:v>0</x:v>
      </x:c>
      <x:c r="S325" s="11" t="n">
        <x:f>IF(D325="Completed",L325,0)</x:f>
        <x:v>0</x:v>
      </x:c>
      <x:c r="T325" s="8" t="n">
        <x:f>DATE(YEAR(C325),MONTH(C325),1)</x:f>
        <x:v>45748</x:v>
      </x:c>
    </x:row>
    <x:row r="326" ht="22" customHeight="1">
      <x:c r="A326" s="2" t="str">
        <x:v>L000322</x:v>
      </x:c>
      <x:c r="B326" s="2" t="str">
        <x:v>O00133</x:v>
      </x:c>
      <x:c r="C326" s="7" t="n">
        <x:v>45753</x:v>
      </x:c>
      <x:c r="D326" s="2" t="str">
        <x:v>Cancelled</x:v>
      </x:c>
      <x:c r="E326" s="2" t="str">
        <x:v>South</x:v>
      </x:c>
      <x:c r="F326" s="2" t="str">
        <x:v>Online</x:v>
      </x:c>
      <x:c r="G326" s="2" t="str">
        <x:v>Furniture</x:v>
      </x:c>
      <x:c r="H326" s="2" t="str">
        <x:v>Chair 022</x:v>
      </x:c>
      <x:c r="I326" s="11" t="n">
        <x:v>3</x:v>
      </x:c>
      <x:c r="J326" s="9" t="n">
        <x:v>134</x:v>
      </x:c>
      <x:c r="K326" s="10" t="n">
        <x:v>0</x:v>
      </x:c>
      <x:c r="L326" s="11" t="n">
        <x:v>0</x:v>
      </x:c>
      <x:c r="M326" s="9" t="n">
        <x:f>IF(D326="Completed",I326*J326,0)</x:f>
        <x:v>0</x:v>
      </x:c>
      <x:c r="N326" s="9" t="n">
        <x:f>M326*K326</x:f>
        <x:v>0</x:v>
      </x:c>
      <x:c r="O326" s="9" t="n">
        <x:f>M326-N326</x:f>
        <x:v>0</x:v>
      </x:c>
      <x:c r="P326" s="9" t="n">
        <x:f>IF(D326="Completed",L326*J326*(1-K326),0)</x:f>
        <x:v>0</x:v>
      </x:c>
      <x:c r="Q326" s="9" t="n">
        <x:f>O326-P326</x:f>
        <x:v>0</x:v>
      </x:c>
      <x:c r="R326" s="11" t="n">
        <x:f>IF(D326="Completed",I326,0)</x:f>
        <x:v>0</x:v>
      </x:c>
      <x:c r="S326" s="11" t="n">
        <x:f>IF(D326="Completed",L326,0)</x:f>
        <x:v>0</x:v>
      </x:c>
      <x:c r="T326" s="8" t="n">
        <x:f>DATE(YEAR(C326),MONTH(C326),1)</x:f>
        <x:v>45748</x:v>
      </x:c>
    </x:row>
    <x:row r="327" ht="22" customHeight="1">
      <x:c r="A327" s="2" t="str">
        <x:v>L000323</x:v>
      </x:c>
      <x:c r="B327" s="2" t="str">
        <x:v>O00134</x:v>
      </x:c>
      <x:c r="C327" s="7" t="n">
        <x:v>45860</x:v>
      </x:c>
      <x:c r="D327" s="2" t="str">
        <x:v>Completed</x:v>
      </x:c>
      <x:c r="E327" s="2" t="str">
        <x:v>East</x:v>
      </x:c>
      <x:c r="F327" s="2" t="str">
        <x:v>Store</x:v>
      </x:c>
      <x:c r="G327" s="2" t="str">
        <x:v>Furniture</x:v>
      </x:c>
      <x:c r="H327" s="2" t="str">
        <x:v>Chair 022</x:v>
      </x:c>
      <x:c r="I327" s="11" t="n">
        <x:v>1</x:v>
      </x:c>
      <x:c r="J327" s="9" t="n">
        <x:v>134</x:v>
      </x:c>
      <x:c r="K327" s="10" t="n">
        <x:v>0.1</x:v>
      </x:c>
      <x:c r="L327" s="11" t="n">
        <x:v>0</x:v>
      </x:c>
      <x:c r="M327" s="9" t="n">
        <x:f>IF(D327="Completed",I327*J327,0)</x:f>
        <x:v>134</x:v>
      </x:c>
      <x:c r="N327" s="9" t="n">
        <x:f>M327*K327</x:f>
        <x:v>13.4</x:v>
      </x:c>
      <x:c r="O327" s="9" t="n">
        <x:f>M327-N327</x:f>
        <x:v>120.6</x:v>
      </x:c>
      <x:c r="P327" s="9" t="n">
        <x:f>IF(D327="Completed",L327*J327*(1-K327),0)</x:f>
        <x:v>0</x:v>
      </x:c>
      <x:c r="Q327" s="9" t="n">
        <x:f>O327-P327</x:f>
        <x:v>120.6</x:v>
      </x:c>
      <x:c r="R327" s="11" t="n">
        <x:f>IF(D327="Completed",I327,0)</x:f>
        <x:v>1</x:v>
      </x:c>
      <x:c r="S327" s="11" t="n">
        <x:f>IF(D327="Completed",L327,0)</x:f>
        <x:v>0</x:v>
      </x:c>
      <x:c r="T327" s="8" t="n">
        <x:f>DATE(YEAR(C327),MONTH(C327),1)</x:f>
        <x:v>45839</x:v>
      </x:c>
    </x:row>
    <x:row r="328" ht="22" customHeight="1">
      <x:c r="A328" s="2" t="str">
        <x:v>L000324</x:v>
      </x:c>
      <x:c r="B328" s="2" t="str">
        <x:v>O00135</x:v>
      </x:c>
      <x:c r="C328" s="7" t="n">
        <x:v>45805</x:v>
      </x:c>
      <x:c r="D328" s="2" t="str">
        <x:v>Completed</x:v>
      </x:c>
      <x:c r="E328" s="2" t="str">
        <x:v>East</x:v>
      </x:c>
      <x:c r="F328" s="2" t="str">
        <x:v>Online</x:v>
      </x:c>
      <x:c r="G328" s="2" t="str">
        <x:v>Furniture</x:v>
      </x:c>
      <x:c r="H328" s="2" t="str">
        <x:v>Desk 020</x:v>
      </x:c>
      <x:c r="I328" s="11" t="n">
        <x:v>5</x:v>
      </x:c>
      <x:c r="J328" s="9" t="n">
        <x:v>189</x:v>
      </x:c>
      <x:c r="K328" s="10" t="n">
        <x:v>0.05</x:v>
      </x:c>
      <x:c r="L328" s="11" t="n">
        <x:v>0</x:v>
      </x:c>
      <x:c r="M328" s="9" t="n">
        <x:f>IF(D328="Completed",I328*J328,0)</x:f>
        <x:v>945</x:v>
      </x:c>
      <x:c r="N328" s="9" t="n">
        <x:f>M328*K328</x:f>
        <x:v>47.25</x:v>
      </x:c>
      <x:c r="O328" s="9" t="n">
        <x:f>M328-N328</x:f>
        <x:v>897.75</x:v>
      </x:c>
      <x:c r="P328" s="9" t="n">
        <x:f>IF(D328="Completed",L328*J328*(1-K328),0)</x:f>
        <x:v>0</x:v>
      </x:c>
      <x:c r="Q328" s="9" t="n">
        <x:f>O328-P328</x:f>
        <x:v>897.75</x:v>
      </x:c>
      <x:c r="R328" s="11" t="n">
        <x:f>IF(D328="Completed",I328,0)</x:f>
        <x:v>5</x:v>
      </x:c>
      <x:c r="S328" s="11" t="n">
        <x:f>IF(D328="Completed",L328,0)</x:f>
        <x:v>0</x:v>
      </x:c>
      <x:c r="T328" s="8" t="n">
        <x:f>DATE(YEAR(C328),MONTH(C328),1)</x:f>
        <x:v>45778</x:v>
      </x:c>
    </x:row>
    <x:row r="329" ht="22" customHeight="1">
      <x:c r="A329" s="2" t="str">
        <x:v>L000325</x:v>
      </x:c>
      <x:c r="B329" s="2" t="str">
        <x:v>O00135</x:v>
      </x:c>
      <x:c r="C329" s="7" t="n">
        <x:v>45805</x:v>
      </x:c>
      <x:c r="D329" s="2" t="str">
        <x:v>Completed</x:v>
      </x:c>
      <x:c r="E329" s="2" t="str">
        <x:v>East</x:v>
      </x:c>
      <x:c r="F329" s="2" t="str">
        <x:v>Online</x:v>
      </x:c>
      <x:c r="G329" s="2" t="str">
        <x:v>Furniture</x:v>
      </x:c>
      <x:c r="H329" s="2" t="str">
        <x:v>Chair 010</x:v>
      </x:c>
      <x:c r="I329" s="11" t="n">
        <x:v>4</x:v>
      </x:c>
      <x:c r="J329" s="9" t="n">
        <x:v>211</x:v>
      </x:c>
      <x:c r="K329" s="10" t="n">
        <x:v>0.2</x:v>
      </x:c>
      <x:c r="L329" s="11" t="n">
        <x:v>0</x:v>
      </x:c>
      <x:c r="M329" s="9" t="n">
        <x:f>IF(D329="Completed",I329*J329,0)</x:f>
        <x:v>844</x:v>
      </x:c>
      <x:c r="N329" s="9" t="n">
        <x:f>M329*K329</x:f>
        <x:v>168.8</x:v>
      </x:c>
      <x:c r="O329" s="9" t="n">
        <x:f>M329-N329</x:f>
        <x:v>675.2</x:v>
      </x:c>
      <x:c r="P329" s="9" t="n">
        <x:f>IF(D329="Completed",L329*J329*(1-K329),0)</x:f>
        <x:v>0</x:v>
      </x:c>
      <x:c r="Q329" s="9" t="n">
        <x:f>O329-P329</x:f>
        <x:v>675.2</x:v>
      </x:c>
      <x:c r="R329" s="11" t="n">
        <x:f>IF(D329="Completed",I329,0)</x:f>
        <x:v>4</x:v>
      </x:c>
      <x:c r="S329" s="11" t="n">
        <x:f>IF(D329="Completed",L329,0)</x:f>
        <x:v>0</x:v>
      </x:c>
      <x:c r="T329" s="8" t="n">
        <x:f>DATE(YEAR(C329),MONTH(C329),1)</x:f>
        <x:v>45778</x:v>
      </x:c>
    </x:row>
    <x:row r="330" ht="22" customHeight="1">
      <x:c r="A330" s="2" t="str">
        <x:v>L000326</x:v>
      </x:c>
      <x:c r="B330" s="2" t="str">
        <x:v>O00136</x:v>
      </x:c>
      <x:c r="C330" s="7" t="n">
        <x:v>45947</x:v>
      </x:c>
      <x:c r="D330" s="2" t="str">
        <x:v>Completed</x:v>
      </x:c>
      <x:c r="E330" s="2" t="str">
        <x:v>East</x:v>
      </x:c>
      <x:c r="F330" s="2" t="str">
        <x:v>Store</x:v>
      </x:c>
      <x:c r="G330" s="2" t="str">
        <x:v>Furniture</x:v>
      </x:c>
      <x:c r="H330" s="2" t="str">
        <x:v>Chair 010</x:v>
      </x:c>
      <x:c r="I330" s="11" t="n">
        <x:v>2</x:v>
      </x:c>
      <x:c r="J330" s="9" t="n">
        <x:v>211</x:v>
      </x:c>
      <x:c r="K330" s="10" t="n">
        <x:v>0.2</x:v>
      </x:c>
      <x:c r="L330" s="11" t="n">
        <x:v>0</x:v>
      </x:c>
      <x:c r="M330" s="9" t="n">
        <x:f>IF(D330="Completed",I330*J330,0)</x:f>
        <x:v>422</x:v>
      </x:c>
      <x:c r="N330" s="9" t="n">
        <x:f>M330*K330</x:f>
        <x:v>84.4</x:v>
      </x:c>
      <x:c r="O330" s="9" t="n">
        <x:f>M330-N330</x:f>
        <x:v>337.6</x:v>
      </x:c>
      <x:c r="P330" s="9" t="n">
        <x:f>IF(D330="Completed",L330*J330*(1-K330),0)</x:f>
        <x:v>0</x:v>
      </x:c>
      <x:c r="Q330" s="9" t="n">
        <x:f>O330-P330</x:f>
        <x:v>337.6</x:v>
      </x:c>
      <x:c r="R330" s="11" t="n">
        <x:f>IF(D330="Completed",I330,0)</x:f>
        <x:v>2</x:v>
      </x:c>
      <x:c r="S330" s="11" t="n">
        <x:f>IF(D330="Completed",L330,0)</x:f>
        <x:v>0</x:v>
      </x:c>
      <x:c r="T330" s="8" t="n">
        <x:f>DATE(YEAR(C330),MONTH(C330),1)</x:f>
        <x:v>45931</x:v>
      </x:c>
    </x:row>
    <x:row r="331" ht="22" customHeight="1">
      <x:c r="A331" s="2" t="str">
        <x:v>L000327</x:v>
      </x:c>
      <x:c r="B331" s="2" t="str">
        <x:v>O00136</x:v>
      </x:c>
      <x:c r="C331" s="7" t="n">
        <x:v>45947</x:v>
      </x:c>
      <x:c r="D331" s="2" t="str">
        <x:v>Completed</x:v>
      </x:c>
      <x:c r="E331" s="2" t="str">
        <x:v>East</x:v>
      </x:c>
      <x:c r="F331" s="2" t="str">
        <x:v>Store</x:v>
      </x:c>
      <x:c r="G331" s="2" t="str">
        <x:v>Furniture</x:v>
      </x:c>
      <x:c r="H331" s="2" t="str">
        <x:v>Chair 018</x:v>
      </x:c>
      <x:c r="I331" s="11" t="n">
        <x:v>3</x:v>
      </x:c>
      <x:c r="J331" s="9" t="n">
        <x:v>269</x:v>
      </x:c>
      <x:c r="K331" s="10" t="n">
        <x:v>0.05</x:v>
      </x:c>
      <x:c r="L331" s="11" t="n">
        <x:v>0</x:v>
      </x:c>
      <x:c r="M331" s="9" t="n">
        <x:f>IF(D331="Completed",I331*J331,0)</x:f>
        <x:v>807</x:v>
      </x:c>
      <x:c r="N331" s="9" t="n">
        <x:f>M331*K331</x:f>
        <x:v>40.35</x:v>
      </x:c>
      <x:c r="O331" s="9" t="n">
        <x:f>M331-N331</x:f>
        <x:v>766.65</x:v>
      </x:c>
      <x:c r="P331" s="9" t="n">
        <x:f>IF(D331="Completed",L331*J331*(1-K331),0)</x:f>
        <x:v>0</x:v>
      </x:c>
      <x:c r="Q331" s="9" t="n">
        <x:f>O331-P331</x:f>
        <x:v>766.65</x:v>
      </x:c>
      <x:c r="R331" s="11" t="n">
        <x:f>IF(D331="Completed",I331,0)</x:f>
        <x:v>3</x:v>
      </x:c>
      <x:c r="S331" s="11" t="n">
        <x:f>IF(D331="Completed",L331,0)</x:f>
        <x:v>0</x:v>
      </x:c>
      <x:c r="T331" s="8" t="n">
        <x:f>DATE(YEAR(C331),MONTH(C331),1)</x:f>
        <x:v>45931</x:v>
      </x:c>
    </x:row>
    <x:row r="332" ht="22" customHeight="1">
      <x:c r="A332" s="2" t="str">
        <x:v>L000328</x:v>
      </x:c>
      <x:c r="B332" s="2" t="str">
        <x:v>O00136</x:v>
      </x:c>
      <x:c r="C332" s="7" t="n">
        <x:v>45947</x:v>
      </x:c>
      <x:c r="D332" s="2" t="str">
        <x:v>Completed</x:v>
      </x:c>
      <x:c r="E332" s="2" t="str">
        <x:v>East</x:v>
      </x:c>
      <x:c r="F332" s="2" t="str">
        <x:v>Store</x:v>
      </x:c>
      <x:c r="G332" s="2" t="str">
        <x:v>Lighting</x:v>
      </x:c>
      <x:c r="H332" s="2" t="str">
        <x:v>Lamp 021</x:v>
      </x:c>
      <x:c r="I332" s="11" t="n">
        <x:v>1</x:v>
      </x:c>
      <x:c r="J332" s="9" t="n">
        <x:v>249</x:v>
      </x:c>
      <x:c r="K332" s="10" t="n">
        <x:v>0.1</x:v>
      </x:c>
      <x:c r="L332" s="11" t="n">
        <x:v>0</x:v>
      </x:c>
      <x:c r="M332" s="9" t="n">
        <x:f>IF(D332="Completed",I332*J332,0)</x:f>
        <x:v>249</x:v>
      </x:c>
      <x:c r="N332" s="9" t="n">
        <x:f>M332*K332</x:f>
        <x:v>24.900000000000002</x:v>
      </x:c>
      <x:c r="O332" s="9" t="n">
        <x:f>M332-N332</x:f>
        <x:v>224.1</x:v>
      </x:c>
      <x:c r="P332" s="9" t="n">
        <x:f>IF(D332="Completed",L332*J332*(1-K332),0)</x:f>
        <x:v>0</x:v>
      </x:c>
      <x:c r="Q332" s="9" t="n">
        <x:f>O332-P332</x:f>
        <x:v>224.1</x:v>
      </x:c>
      <x:c r="R332" s="11" t="n">
        <x:f>IF(D332="Completed",I332,0)</x:f>
        <x:v>1</x:v>
      </x:c>
      <x:c r="S332" s="11" t="n">
        <x:f>IF(D332="Completed",L332,0)</x:f>
        <x:v>0</x:v>
      </x:c>
      <x:c r="T332" s="8" t="n">
        <x:f>DATE(YEAR(C332),MONTH(C332),1)</x:f>
        <x:v>45931</x:v>
      </x:c>
    </x:row>
    <x:row r="333" ht="22" customHeight="1">
      <x:c r="A333" s="2" t="str">
        <x:v>L000329</x:v>
      </x:c>
      <x:c r="B333" s="2" t="str">
        <x:v>O00137</x:v>
      </x:c>
      <x:c r="C333" s="7" t="n">
        <x:v>45967</x:v>
      </x:c>
      <x:c r="D333" s="2" t="str">
        <x:v>Completed</x:v>
      </x:c>
      <x:c r="E333" s="2" t="str">
        <x:v>West</x:v>
      </x:c>
      <x:c r="F333" s="2" t="str">
        <x:v>Online</x:v>
      </x:c>
      <x:c r="G333" s="2" t="str">
        <x:v>Furniture</x:v>
      </x:c>
      <x:c r="H333" s="2" t="str">
        <x:v>Desk 012</x:v>
      </x:c>
      <x:c r="I333" s="11" t="n">
        <x:v>5</x:v>
      </x:c>
      <x:c r="J333" s="9" t="n">
        <x:v>134</x:v>
      </x:c>
      <x:c r="K333" s="10" t="n">
        <x:v>0.05</x:v>
      </x:c>
      <x:c r="L333" s="11" t="n">
        <x:v>0</x:v>
      </x:c>
      <x:c r="M333" s="9" t="n">
        <x:f>IF(D333="Completed",I333*J333,0)</x:f>
        <x:v>670</x:v>
      </x:c>
      <x:c r="N333" s="9" t="n">
        <x:f>M333*K333</x:f>
        <x:v>33.5</x:v>
      </x:c>
      <x:c r="O333" s="9" t="n">
        <x:f>M333-N333</x:f>
        <x:v>636.5</x:v>
      </x:c>
      <x:c r="P333" s="9" t="n">
        <x:f>IF(D333="Completed",L333*J333*(1-K333),0)</x:f>
        <x:v>0</x:v>
      </x:c>
      <x:c r="Q333" s="9" t="n">
        <x:f>O333-P333</x:f>
        <x:v>636.5</x:v>
      </x:c>
      <x:c r="R333" s="11" t="n">
        <x:f>IF(D333="Completed",I333,0)</x:f>
        <x:v>5</x:v>
      </x:c>
      <x:c r="S333" s="11" t="n">
        <x:f>IF(D333="Completed",L333,0)</x:f>
        <x:v>0</x:v>
      </x:c>
      <x:c r="T333" s="8" t="n">
        <x:f>DATE(YEAR(C333),MONTH(C333),1)</x:f>
        <x:v>45962</x:v>
      </x:c>
    </x:row>
    <x:row r="334" ht="22" customHeight="1">
      <x:c r="A334" s="2" t="str">
        <x:v>L000330</x:v>
      </x:c>
      <x:c r="B334" s="2" t="str">
        <x:v>O00137</x:v>
      </x:c>
      <x:c r="C334" s="7" t="n">
        <x:v>45967</x:v>
      </x:c>
      <x:c r="D334" s="2" t="str">
        <x:v>Completed</x:v>
      </x:c>
      <x:c r="E334" s="2" t="str">
        <x:v>West</x:v>
      </x:c>
      <x:c r="F334" s="2" t="str">
        <x:v>Online</x:v>
      </x:c>
      <x:c r="G334" s="2" t="str">
        <x:v>Lighting</x:v>
      </x:c>
      <x:c r="H334" s="2" t="str">
        <x:v>Lamp 013</x:v>
      </x:c>
      <x:c r="I334" s="11" t="n">
        <x:v>3</x:v>
      </x:c>
      <x:c r="J334" s="9" t="n">
        <x:v>271</x:v>
      </x:c>
      <x:c r="K334" s="10" t="n">
        <x:v>0</x:v>
      </x:c>
      <x:c r="L334" s="11" t="n">
        <x:v>0</x:v>
      </x:c>
      <x:c r="M334" s="9" t="n">
        <x:f>IF(D334="Completed",I334*J334,0)</x:f>
        <x:v>813</x:v>
      </x:c>
      <x:c r="N334" s="9" t="n">
        <x:f>M334*K334</x:f>
        <x:v>0</x:v>
      </x:c>
      <x:c r="O334" s="9" t="n">
        <x:f>M334-N334</x:f>
        <x:v>813</x:v>
      </x:c>
      <x:c r="P334" s="9" t="n">
        <x:f>IF(D334="Completed",L334*J334*(1-K334),0)</x:f>
        <x:v>0</x:v>
      </x:c>
      <x:c r="Q334" s="9" t="n">
        <x:f>O334-P334</x:f>
        <x:v>813</x:v>
      </x:c>
      <x:c r="R334" s="11" t="n">
        <x:f>IF(D334="Completed",I334,0)</x:f>
        <x:v>3</x:v>
      </x:c>
      <x:c r="S334" s="11" t="n">
        <x:f>IF(D334="Completed",L334,0)</x:f>
        <x:v>0</x:v>
      </x:c>
      <x:c r="T334" s="8" t="n">
        <x:f>DATE(YEAR(C334),MONTH(C334),1)</x:f>
        <x:v>45962</x:v>
      </x:c>
    </x:row>
    <x:row r="335" ht="22" customHeight="1">
      <x:c r="A335" s="2" t="str">
        <x:v>L000331</x:v>
      </x:c>
      <x:c r="B335" s="2" t="str">
        <x:v>O00137</x:v>
      </x:c>
      <x:c r="C335" s="7" t="n">
        <x:v>45967</x:v>
      </x:c>
      <x:c r="D335" s="2" t="str">
        <x:v>Completed</x:v>
      </x:c>
      <x:c r="E335" s="2" t="str">
        <x:v>West</x:v>
      </x:c>
      <x:c r="F335" s="2" t="str">
        <x:v>Online</x:v>
      </x:c>
      <x:c r="G335" s="2" t="str">
        <x:v>Lighting</x:v>
      </x:c>
      <x:c r="H335" s="2" t="str">
        <x:v>Lamp 009</x:v>
      </x:c>
      <x:c r="I335" s="11" t="n">
        <x:v>1</x:v>
      </x:c>
      <x:c r="J335" s="9" t="n">
        <x:v>93</x:v>
      </x:c>
      <x:c r="K335" s="10" t="n">
        <x:v>0.05</x:v>
      </x:c>
      <x:c r="L335" s="11" t="n">
        <x:v>0</x:v>
      </x:c>
      <x:c r="M335" s="9" t="n">
        <x:f>IF(D335="Completed",I335*J335,0)</x:f>
        <x:v>93</x:v>
      </x:c>
      <x:c r="N335" s="9" t="n">
        <x:f>M335*K335</x:f>
        <x:v>4.65</x:v>
      </x:c>
      <x:c r="O335" s="9" t="n">
        <x:f>M335-N335</x:f>
        <x:v>88.35</x:v>
      </x:c>
      <x:c r="P335" s="9" t="n">
        <x:f>IF(D335="Completed",L335*J335*(1-K335),0)</x:f>
        <x:v>0</x:v>
      </x:c>
      <x:c r="Q335" s="9" t="n">
        <x:f>O335-P335</x:f>
        <x:v>88.35</x:v>
      </x:c>
      <x:c r="R335" s="11" t="n">
        <x:f>IF(D335="Completed",I335,0)</x:f>
        <x:v>1</x:v>
      </x:c>
      <x:c r="S335" s="11" t="n">
        <x:f>IF(D335="Completed",L335,0)</x:f>
        <x:v>0</x:v>
      </x:c>
      <x:c r="T335" s="8" t="n">
        <x:f>DATE(YEAR(C335),MONTH(C335),1)</x:f>
        <x:v>45962</x:v>
      </x:c>
    </x:row>
    <x:row r="336" ht="22" customHeight="1">
      <x:c r="A336" s="2" t="str">
        <x:v>L000332</x:v>
      </x:c>
      <x:c r="B336" s="2" t="str">
        <x:v>O00137</x:v>
      </x:c>
      <x:c r="C336" s="7" t="n">
        <x:v>45967</x:v>
      </x:c>
      <x:c r="D336" s="2" t="str">
        <x:v>Completed</x:v>
      </x:c>
      <x:c r="E336" s="2" t="str">
        <x:v>West</x:v>
      </x:c>
      <x:c r="F336" s="2" t="str">
        <x:v>Online</x:v>
      </x:c>
      <x:c r="G336" s="2" t="str">
        <x:v>Furniture</x:v>
      </x:c>
      <x:c r="H336" s="2" t="str">
        <x:v>Desk 004</x:v>
      </x:c>
      <x:c r="I336" s="11" t="n">
        <x:v>1</x:v>
      </x:c>
      <x:c r="J336" s="9" t="n">
        <x:v>123</x:v>
      </x:c>
      <x:c r="K336" s="10" t="n">
        <x:v>0.2</x:v>
      </x:c>
      <x:c r="L336" s="11" t="n">
        <x:v>0</x:v>
      </x:c>
      <x:c r="M336" s="9" t="n">
        <x:f>IF(D336="Completed",I336*J336,0)</x:f>
        <x:v>123</x:v>
      </x:c>
      <x:c r="N336" s="9" t="n">
        <x:f>M336*K336</x:f>
        <x:v>24.6</x:v>
      </x:c>
      <x:c r="O336" s="9" t="n">
        <x:f>M336-N336</x:f>
        <x:v>98.4</x:v>
      </x:c>
      <x:c r="P336" s="9" t="n">
        <x:f>IF(D336="Completed",L336*J336*(1-K336),0)</x:f>
        <x:v>0</x:v>
      </x:c>
      <x:c r="Q336" s="9" t="n">
        <x:f>O336-P336</x:f>
        <x:v>98.4</x:v>
      </x:c>
      <x:c r="R336" s="11" t="n">
        <x:f>IF(D336="Completed",I336,0)</x:f>
        <x:v>1</x:v>
      </x:c>
      <x:c r="S336" s="11" t="n">
        <x:f>IF(D336="Completed",L336,0)</x:f>
        <x:v>0</x:v>
      </x:c>
      <x:c r="T336" s="8" t="n">
        <x:f>DATE(YEAR(C336),MONTH(C336),1)</x:f>
        <x:v>45962</x:v>
      </x:c>
    </x:row>
    <x:row r="337" ht="22" customHeight="1">
      <x:c r="A337" s="2" t="str">
        <x:v>L000333</x:v>
      </x:c>
      <x:c r="B337" s="2" t="str">
        <x:v>O00138</x:v>
      </x:c>
      <x:c r="C337" s="7" t="n">
        <x:v>45905</x:v>
      </x:c>
      <x:c r="D337" s="2" t="str">
        <x:v>Completed</x:v>
      </x:c>
      <x:c r="E337" s="2" t="str">
        <x:v>East</x:v>
      </x:c>
      <x:c r="F337" s="2" t="str">
        <x:v>Store</x:v>
      </x:c>
      <x:c r="G337" s="2" t="str">
        <x:v>Furniture</x:v>
      </x:c>
      <x:c r="H337" s="2" t="str">
        <x:v>Chair 014</x:v>
      </x:c>
      <x:c r="I337" s="11" t="n">
        <x:v>3</x:v>
      </x:c>
      <x:c r="J337" s="9" t="n">
        <x:v>294</x:v>
      </x:c>
      <x:c r="K337" s="10" t="n">
        <x:v>0.05</x:v>
      </x:c>
      <x:c r="L337" s="11" t="n">
        <x:v>0</x:v>
      </x:c>
      <x:c r="M337" s="9" t="n">
        <x:f>IF(D337="Completed",I337*J337,0)</x:f>
        <x:v>882</x:v>
      </x:c>
      <x:c r="N337" s="9" t="n">
        <x:f>M337*K337</x:f>
        <x:v>44.1</x:v>
      </x:c>
      <x:c r="O337" s="9" t="n">
        <x:f>M337-N337</x:f>
        <x:v>837.9</x:v>
      </x:c>
      <x:c r="P337" s="9" t="n">
        <x:f>IF(D337="Completed",L337*J337*(1-K337),0)</x:f>
        <x:v>0</x:v>
      </x:c>
      <x:c r="Q337" s="9" t="n">
        <x:f>O337-P337</x:f>
        <x:v>837.9</x:v>
      </x:c>
      <x:c r="R337" s="11" t="n">
        <x:f>IF(D337="Completed",I337,0)</x:f>
        <x:v>3</x:v>
      </x:c>
      <x:c r="S337" s="11" t="n">
        <x:f>IF(D337="Completed",L337,0)</x:f>
        <x:v>0</x:v>
      </x:c>
      <x:c r="T337" s="8" t="n">
        <x:f>DATE(YEAR(C337),MONTH(C337),1)</x:f>
        <x:v>45901</x:v>
      </x:c>
    </x:row>
    <x:row r="338" ht="22" customHeight="1">
      <x:c r="A338" s="2" t="str">
        <x:v>L000334</x:v>
      </x:c>
      <x:c r="B338" s="2" t="str">
        <x:v>O00138</x:v>
      </x:c>
      <x:c r="C338" s="7" t="n">
        <x:v>45905</x:v>
      </x:c>
      <x:c r="D338" s="2" t="str">
        <x:v>Completed</x:v>
      </x:c>
      <x:c r="E338" s="2" t="str">
        <x:v>East</x:v>
      </x:c>
      <x:c r="F338" s="2" t="str">
        <x:v>Store</x:v>
      </x:c>
      <x:c r="G338" s="2" t="str">
        <x:v>Storage</x:v>
      </x:c>
      <x:c r="H338" s="2" t="str">
        <x:v>Shelf 003</x:v>
      </x:c>
      <x:c r="I338" s="11" t="n">
        <x:v>1</x:v>
      </x:c>
      <x:c r="J338" s="9" t="n">
        <x:v>199</x:v>
      </x:c>
      <x:c r="K338" s="10" t="n">
        <x:v>0.1</x:v>
      </x:c>
      <x:c r="L338" s="11" t="n">
        <x:v>0</x:v>
      </x:c>
      <x:c r="M338" s="9" t="n">
        <x:f>IF(D338="Completed",I338*J338,0)</x:f>
        <x:v>199</x:v>
      </x:c>
      <x:c r="N338" s="9" t="n">
        <x:f>M338*K338</x:f>
        <x:v>19.900000000000002</x:v>
      </x:c>
      <x:c r="O338" s="9" t="n">
        <x:f>M338-N338</x:f>
        <x:v>179.1</x:v>
      </x:c>
      <x:c r="P338" s="9" t="n">
        <x:f>IF(D338="Completed",L338*J338*(1-K338),0)</x:f>
        <x:v>0</x:v>
      </x:c>
      <x:c r="Q338" s="9" t="n">
        <x:f>O338-P338</x:f>
        <x:v>179.1</x:v>
      </x:c>
      <x:c r="R338" s="11" t="n">
        <x:f>IF(D338="Completed",I338,0)</x:f>
        <x:v>1</x:v>
      </x:c>
      <x:c r="S338" s="11" t="n">
        <x:f>IF(D338="Completed",L338,0)</x:f>
        <x:v>0</x:v>
      </x:c>
      <x:c r="T338" s="8" t="n">
        <x:f>DATE(YEAR(C338),MONTH(C338),1)</x:f>
        <x:v>45901</x:v>
      </x:c>
    </x:row>
    <x:row r="339" ht="22" customHeight="1">
      <x:c r="A339" s="2" t="str">
        <x:v>L000335</x:v>
      </x:c>
      <x:c r="B339" s="2" t="str">
        <x:v>O00138</x:v>
      </x:c>
      <x:c r="C339" s="7" t="n">
        <x:v>45905</x:v>
      </x:c>
      <x:c r="D339" s="2" t="str">
        <x:v>Completed</x:v>
      </x:c>
      <x:c r="E339" s="2" t="str">
        <x:v>East</x:v>
      </x:c>
      <x:c r="F339" s="2" t="str">
        <x:v>Store</x:v>
      </x:c>
      <x:c r="G339" s="2" t="str">
        <x:v>Storage</x:v>
      </x:c>
      <x:c r="H339" s="2" t="str">
        <x:v>Shelf 007</x:v>
      </x:c>
      <x:c r="I339" s="11" t="n">
        <x:v>3</x:v>
      </x:c>
      <x:c r="J339" s="9" t="n">
        <x:v>35</x:v>
      </x:c>
      <x:c r="K339" s="10" t="n">
        <x:v>0.1</x:v>
      </x:c>
      <x:c r="L339" s="11" t="n">
        <x:v>0</x:v>
      </x:c>
      <x:c r="M339" s="9" t="n">
        <x:f>IF(D339="Completed",I339*J339,0)</x:f>
        <x:v>105</x:v>
      </x:c>
      <x:c r="N339" s="9" t="n">
        <x:f>M339*K339</x:f>
        <x:v>10.5</x:v>
      </x:c>
      <x:c r="O339" s="9" t="n">
        <x:f>M339-N339</x:f>
        <x:v>94.5</x:v>
      </x:c>
      <x:c r="P339" s="9" t="n">
        <x:f>IF(D339="Completed",L339*J339*(1-K339),0)</x:f>
        <x:v>0</x:v>
      </x:c>
      <x:c r="Q339" s="9" t="n">
        <x:f>O339-P339</x:f>
        <x:v>94.5</x:v>
      </x:c>
      <x:c r="R339" s="11" t="n">
        <x:f>IF(D339="Completed",I339,0)</x:f>
        <x:v>3</x:v>
      </x:c>
      <x:c r="S339" s="11" t="n">
        <x:f>IF(D339="Completed",L339,0)</x:f>
        <x:v>0</x:v>
      </x:c>
      <x:c r="T339" s="8" t="n">
        <x:f>DATE(YEAR(C339),MONTH(C339),1)</x:f>
        <x:v>45901</x:v>
      </x:c>
    </x:row>
    <x:row r="340" ht="22" customHeight="1">
      <x:c r="A340" s="2" t="str">
        <x:v>L000336</x:v>
      </x:c>
      <x:c r="B340" s="2" t="str">
        <x:v>O00138</x:v>
      </x:c>
      <x:c r="C340" s="7" t="n">
        <x:v>45905</x:v>
      </x:c>
      <x:c r="D340" s="2" t="str">
        <x:v>Completed</x:v>
      </x:c>
      <x:c r="E340" s="2" t="str">
        <x:v>East</x:v>
      </x:c>
      <x:c r="F340" s="2" t="str">
        <x:v>Store</x:v>
      </x:c>
      <x:c r="G340" s="2" t="str">
        <x:v>Furniture</x:v>
      </x:c>
      <x:c r="H340" s="2" t="str">
        <x:v>Chair 014</x:v>
      </x:c>
      <x:c r="I340" s="11" t="n">
        <x:v>1</x:v>
      </x:c>
      <x:c r="J340" s="9" t="n">
        <x:v>294</x:v>
      </x:c>
      <x:c r="K340" s="10" t="n">
        <x:v>0</x:v>
      </x:c>
      <x:c r="L340" s="11" t="n">
        <x:v>0</x:v>
      </x:c>
      <x:c r="M340" s="9" t="n">
        <x:f>IF(D340="Completed",I340*J340,0)</x:f>
        <x:v>294</x:v>
      </x:c>
      <x:c r="N340" s="9" t="n">
        <x:f>M340*K340</x:f>
        <x:v>0</x:v>
      </x:c>
      <x:c r="O340" s="9" t="n">
        <x:f>M340-N340</x:f>
        <x:v>294</x:v>
      </x:c>
      <x:c r="P340" s="9" t="n">
        <x:f>IF(D340="Completed",L340*J340*(1-K340),0)</x:f>
        <x:v>0</x:v>
      </x:c>
      <x:c r="Q340" s="9" t="n">
        <x:f>O340-P340</x:f>
        <x:v>294</x:v>
      </x:c>
      <x:c r="R340" s="11" t="n">
        <x:f>IF(D340="Completed",I340,0)</x:f>
        <x:v>1</x:v>
      </x:c>
      <x:c r="S340" s="11" t="n">
        <x:f>IF(D340="Completed",L340,0)</x:f>
        <x:v>0</x:v>
      </x:c>
      <x:c r="T340" s="8" t="n">
        <x:f>DATE(YEAR(C340),MONTH(C340),1)</x:f>
        <x:v>45901</x:v>
      </x:c>
    </x:row>
    <x:row r="341" ht="22" customHeight="1">
      <x:c r="A341" s="2" t="str">
        <x:v>L000337</x:v>
      </x:c>
      <x:c r="B341" s="2" t="str">
        <x:v>O00139</x:v>
      </x:c>
      <x:c r="C341" s="7" t="n">
        <x:v>45987</x:v>
      </x:c>
      <x:c r="D341" s="2" t="str">
        <x:v>Completed</x:v>
      </x:c>
      <x:c r="E341" s="2" t="str">
        <x:v>South</x:v>
      </x:c>
      <x:c r="F341" s="2" t="str">
        <x:v>Store</x:v>
      </x:c>
      <x:c r="G341" s="2" t="str">
        <x:v>Furniture</x:v>
      </x:c>
      <x:c r="H341" s="2" t="str">
        <x:v>Chair 006</x:v>
      </x:c>
      <x:c r="I341" s="11" t="n">
        <x:v>5</x:v>
      </x:c>
      <x:c r="J341" s="9" t="n">
        <x:v>196</x:v>
      </x:c>
      <x:c r="K341" s="10" t="n">
        <x:v>0.2</x:v>
      </x:c>
      <x:c r="L341" s="11" t="n">
        <x:v>0</x:v>
      </x:c>
      <x:c r="M341" s="9" t="n">
        <x:f>IF(D341="Completed",I341*J341,0)</x:f>
        <x:v>980</x:v>
      </x:c>
      <x:c r="N341" s="9" t="n">
        <x:f>M341*K341</x:f>
        <x:v>196</x:v>
      </x:c>
      <x:c r="O341" s="9" t="n">
        <x:f>M341-N341</x:f>
        <x:v>784</x:v>
      </x:c>
      <x:c r="P341" s="9" t="n">
        <x:f>IF(D341="Completed",L341*J341*(1-K341),0)</x:f>
        <x:v>0</x:v>
      </x:c>
      <x:c r="Q341" s="9" t="n">
        <x:f>O341-P341</x:f>
        <x:v>784</x:v>
      </x:c>
      <x:c r="R341" s="11" t="n">
        <x:f>IF(D341="Completed",I341,0)</x:f>
        <x:v>5</x:v>
      </x:c>
      <x:c r="S341" s="11" t="n">
        <x:f>IF(D341="Completed",L341,0)</x:f>
        <x:v>0</x:v>
      </x:c>
      <x:c r="T341" s="8" t="n">
        <x:f>DATE(YEAR(C341),MONTH(C341),1)</x:f>
        <x:v>45962</x:v>
      </x:c>
    </x:row>
    <x:row r="342" ht="22" customHeight="1">
      <x:c r="A342" s="2" t="str">
        <x:v>L000338</x:v>
      </x:c>
      <x:c r="B342" s="2" t="str">
        <x:v>O00139</x:v>
      </x:c>
      <x:c r="C342" s="7" t="n">
        <x:v>45987</x:v>
      </x:c>
      <x:c r="D342" s="2" t="str">
        <x:v>Completed</x:v>
      </x:c>
      <x:c r="E342" s="2" t="str">
        <x:v>South</x:v>
      </x:c>
      <x:c r="F342" s="2" t="str">
        <x:v>Store</x:v>
      </x:c>
      <x:c r="G342" s="2" t="str">
        <x:v>Furniture</x:v>
      </x:c>
      <x:c r="H342" s="2" t="str">
        <x:v>Desk 012</x:v>
      </x:c>
      <x:c r="I342" s="11" t="n">
        <x:v>4</x:v>
      </x:c>
      <x:c r="J342" s="9" t="n">
        <x:v>134</x:v>
      </x:c>
      <x:c r="K342" s="10" t="n">
        <x:v>0</x:v>
      </x:c>
      <x:c r="L342" s="11" t="n">
        <x:v>0</x:v>
      </x:c>
      <x:c r="M342" s="9" t="n">
        <x:f>IF(D342="Completed",I342*J342,0)</x:f>
        <x:v>536</x:v>
      </x:c>
      <x:c r="N342" s="9" t="n">
        <x:f>M342*K342</x:f>
        <x:v>0</x:v>
      </x:c>
      <x:c r="O342" s="9" t="n">
        <x:f>M342-N342</x:f>
        <x:v>536</x:v>
      </x:c>
      <x:c r="P342" s="9" t="n">
        <x:f>IF(D342="Completed",L342*J342*(1-K342),0)</x:f>
        <x:v>0</x:v>
      </x:c>
      <x:c r="Q342" s="9" t="n">
        <x:f>O342-P342</x:f>
        <x:v>536</x:v>
      </x:c>
      <x:c r="R342" s="11" t="n">
        <x:f>IF(D342="Completed",I342,0)</x:f>
        <x:v>4</x:v>
      </x:c>
      <x:c r="S342" s="11" t="n">
        <x:f>IF(D342="Completed",L342,0)</x:f>
        <x:v>0</x:v>
      </x:c>
      <x:c r="T342" s="8" t="n">
        <x:f>DATE(YEAR(C342),MONTH(C342),1)</x:f>
        <x:v>45962</x:v>
      </x:c>
    </x:row>
    <x:row r="343" ht="22" customHeight="1">
      <x:c r="A343" s="2" t="str">
        <x:v>L000339</x:v>
      </x:c>
      <x:c r="B343" s="2" t="str">
        <x:v>O00139</x:v>
      </x:c>
      <x:c r="C343" s="7" t="n">
        <x:v>45987</x:v>
      </x:c>
      <x:c r="D343" s="2" t="str">
        <x:v>Completed</x:v>
      </x:c>
      <x:c r="E343" s="2" t="str">
        <x:v>South</x:v>
      </x:c>
      <x:c r="F343" s="2" t="str">
        <x:v>Store</x:v>
      </x:c>
      <x:c r="G343" s="2" t="str">
        <x:v>Furniture</x:v>
      </x:c>
      <x:c r="H343" s="2" t="str">
        <x:v>Desk 016</x:v>
      </x:c>
      <x:c r="I343" s="11" t="n">
        <x:v>4</x:v>
      </x:c>
      <x:c r="J343" s="9" t="n">
        <x:v>231</x:v>
      </x:c>
      <x:c r="K343" s="10" t="n">
        <x:v>0.2</x:v>
      </x:c>
      <x:c r="L343" s="11" t="n">
        <x:v>2</x:v>
      </x:c>
      <x:c r="M343" s="9" t="n">
        <x:f>IF(D343="Completed",I343*J343,0)</x:f>
        <x:v>924</x:v>
      </x:c>
      <x:c r="N343" s="9" t="n">
        <x:f>M343*K343</x:f>
        <x:v>184.8</x:v>
      </x:c>
      <x:c r="O343" s="9" t="n">
        <x:f>M343-N343</x:f>
        <x:v>739.2</x:v>
      </x:c>
      <x:c r="P343" s="9" t="n">
        <x:f>IF(D343="Completed",L343*J343*(1-K343),0)</x:f>
        <x:v>369.6</x:v>
      </x:c>
      <x:c r="Q343" s="9" t="n">
        <x:f>O343-P343</x:f>
        <x:v>369.6</x:v>
      </x:c>
      <x:c r="R343" s="11" t="n">
        <x:f>IF(D343="Completed",I343,0)</x:f>
        <x:v>4</x:v>
      </x:c>
      <x:c r="S343" s="11" t="n">
        <x:f>IF(D343="Completed",L343,0)</x:f>
        <x:v>2</x:v>
      </x:c>
      <x:c r="T343" s="8" t="n">
        <x:f>DATE(YEAR(C343),MONTH(C343),1)</x:f>
        <x:v>45962</x:v>
      </x:c>
    </x:row>
    <x:row r="344" ht="22" customHeight="1">
      <x:c r="A344" s="2" t="str">
        <x:v>L000340</x:v>
      </x:c>
      <x:c r="B344" s="2" t="str">
        <x:v>O00139</x:v>
      </x:c>
      <x:c r="C344" s="7" t="n">
        <x:v>45987</x:v>
      </x:c>
      <x:c r="D344" s="2" t="str">
        <x:v>Completed</x:v>
      </x:c>
      <x:c r="E344" s="2" t="str">
        <x:v>South</x:v>
      </x:c>
      <x:c r="F344" s="2" t="str">
        <x:v>Store</x:v>
      </x:c>
      <x:c r="G344" s="2" t="str">
        <x:v>Lighting</x:v>
      </x:c>
      <x:c r="H344" s="2" t="str">
        <x:v>Lamp 009</x:v>
      </x:c>
      <x:c r="I344" s="11" t="n">
        <x:v>5</x:v>
      </x:c>
      <x:c r="J344" s="9" t="n">
        <x:v>93</x:v>
      </x:c>
      <x:c r="K344" s="10" t="n">
        <x:v>0.2</x:v>
      </x:c>
      <x:c r="L344" s="11" t="n">
        <x:v>0</x:v>
      </x:c>
      <x:c r="M344" s="9" t="n">
        <x:f>IF(D344="Completed",I344*J344,0)</x:f>
        <x:v>465</x:v>
      </x:c>
      <x:c r="N344" s="9" t="n">
        <x:f>M344*K344</x:f>
        <x:v>93</x:v>
      </x:c>
      <x:c r="O344" s="9" t="n">
        <x:f>M344-N344</x:f>
        <x:v>372</x:v>
      </x:c>
      <x:c r="P344" s="9" t="n">
        <x:f>IF(D344="Completed",L344*J344*(1-K344),0)</x:f>
        <x:v>0</x:v>
      </x:c>
      <x:c r="Q344" s="9" t="n">
        <x:f>O344-P344</x:f>
        <x:v>372</x:v>
      </x:c>
      <x:c r="R344" s="11" t="n">
        <x:f>IF(D344="Completed",I344,0)</x:f>
        <x:v>5</x:v>
      </x:c>
      <x:c r="S344" s="11" t="n">
        <x:f>IF(D344="Completed",L344,0)</x:f>
        <x:v>0</x:v>
      </x:c>
      <x:c r="T344" s="8" t="n">
        <x:f>DATE(YEAR(C344),MONTH(C344),1)</x:f>
        <x:v>45962</x:v>
      </x:c>
    </x:row>
    <x:row r="345" ht="22" customHeight="1">
      <x:c r="A345" s="2" t="str">
        <x:v>L000341</x:v>
      </x:c>
      <x:c r="B345" s="2" t="str">
        <x:v>O00140</x:v>
      </x:c>
      <x:c r="C345" s="7" t="n">
        <x:v>45880</x:v>
      </x:c>
      <x:c r="D345" s="2" t="str">
        <x:v>Completed</x:v>
      </x:c>
      <x:c r="E345" s="2" t="str">
        <x:v>North</x:v>
      </x:c>
      <x:c r="F345" s="2" t="str">
        <x:v>Online</x:v>
      </x:c>
      <x:c r="G345" s="2" t="str">
        <x:v>Storage</x:v>
      </x:c>
      <x:c r="H345" s="2" t="str">
        <x:v>Shelf 003</x:v>
      </x:c>
      <x:c r="I345" s="11" t="n">
        <x:v>5</x:v>
      </x:c>
      <x:c r="J345" s="9" t="n">
        <x:v>199</x:v>
      </x:c>
      <x:c r="K345" s="10" t="n">
        <x:v>0.2</x:v>
      </x:c>
      <x:c r="L345" s="11" t="n">
        <x:v>0</x:v>
      </x:c>
      <x:c r="M345" s="9" t="n">
        <x:f>IF(D345="Completed",I345*J345,0)</x:f>
        <x:v>995</x:v>
      </x:c>
      <x:c r="N345" s="9" t="n">
        <x:f>M345*K345</x:f>
        <x:v>199</x:v>
      </x:c>
      <x:c r="O345" s="9" t="n">
        <x:f>M345-N345</x:f>
        <x:v>796</x:v>
      </x:c>
      <x:c r="P345" s="9" t="n">
        <x:f>IF(D345="Completed",L345*J345*(1-K345),0)</x:f>
        <x:v>0</x:v>
      </x:c>
      <x:c r="Q345" s="9" t="n">
        <x:f>O345-P345</x:f>
        <x:v>796</x:v>
      </x:c>
      <x:c r="R345" s="11" t="n">
        <x:f>IF(D345="Completed",I345,0)</x:f>
        <x:v>5</x:v>
      </x:c>
      <x:c r="S345" s="11" t="n">
        <x:f>IF(D345="Completed",L345,0)</x:f>
        <x:v>0</x:v>
      </x:c>
      <x:c r="T345" s="8" t="n">
        <x:f>DATE(YEAR(C345),MONTH(C345),1)</x:f>
        <x:v>45870</x:v>
      </x:c>
    </x:row>
    <x:row r="346" ht="22" customHeight="1">
      <x:c r="A346" s="2" t="str">
        <x:v>L000342</x:v>
      </x:c>
      <x:c r="B346" s="2" t="str">
        <x:v>O00141</x:v>
      </x:c>
      <x:c r="C346" s="7" t="n">
        <x:v>45669</x:v>
      </x:c>
      <x:c r="D346" s="2" t="str">
        <x:v>Completed</x:v>
      </x:c>
      <x:c r="E346" s="2" t="str">
        <x:v>North</x:v>
      </x:c>
      <x:c r="F346" s="2" t="str">
        <x:v>Online</x:v>
      </x:c>
      <x:c r="G346" s="2" t="str">
        <x:v>Furniture</x:v>
      </x:c>
      <x:c r="H346" s="2" t="str">
        <x:v>Desk 012</x:v>
      </x:c>
      <x:c r="I346" s="11" t="n">
        <x:v>1</x:v>
      </x:c>
      <x:c r="J346" s="9" t="n">
        <x:v>134</x:v>
      </x:c>
      <x:c r="K346" s="10" t="n">
        <x:v>0.2</x:v>
      </x:c>
      <x:c r="L346" s="11" t="n">
        <x:v>0</x:v>
      </x:c>
      <x:c r="M346" s="9" t="n">
        <x:f>IF(D346="Completed",I346*J346,0)</x:f>
        <x:v>134</x:v>
      </x:c>
      <x:c r="N346" s="9" t="n">
        <x:f>M346*K346</x:f>
        <x:v>26.8</x:v>
      </x:c>
      <x:c r="O346" s="9" t="n">
        <x:f>M346-N346</x:f>
        <x:v>107.2</x:v>
      </x:c>
      <x:c r="P346" s="9" t="n">
        <x:f>IF(D346="Completed",L346*J346*(1-K346),0)</x:f>
        <x:v>0</x:v>
      </x:c>
      <x:c r="Q346" s="9" t="n">
        <x:f>O346-P346</x:f>
        <x:v>107.2</x:v>
      </x:c>
      <x:c r="R346" s="11" t="n">
        <x:f>IF(D346="Completed",I346,0)</x:f>
        <x:v>1</x:v>
      </x:c>
      <x:c r="S346" s="11" t="n">
        <x:f>IF(D346="Completed",L346,0)</x:f>
        <x:v>0</x:v>
      </x:c>
      <x:c r="T346" s="8" t="n">
        <x:f>DATE(YEAR(C346),MONTH(C346),1)</x:f>
        <x:v>45658</x:v>
      </x:c>
    </x:row>
    <x:row r="347" ht="22" customHeight="1">
      <x:c r="A347" s="2" t="str">
        <x:v>L000343</x:v>
      </x:c>
      <x:c r="B347" s="2" t="str">
        <x:v>O00142</x:v>
      </x:c>
      <x:c r="C347" s="7" t="n">
        <x:v>45730</x:v>
      </x:c>
      <x:c r="D347" s="2" t="str">
        <x:v>Completed</x:v>
      </x:c>
      <x:c r="E347" s="2" t="str">
        <x:v>North</x:v>
      </x:c>
      <x:c r="F347" s="2" t="str">
        <x:v>Online</x:v>
      </x:c>
      <x:c r="G347" s="2" t="str">
        <x:v>Lighting</x:v>
      </x:c>
      <x:c r="H347" s="2" t="str">
        <x:v>Lamp 005</x:v>
      </x:c>
      <x:c r="I347" s="11" t="n">
        <x:v>2</x:v>
      </x:c>
      <x:c r="J347" s="9" t="n">
        <x:v>65</x:v>
      </x:c>
      <x:c r="K347" s="10" t="n">
        <x:v>0.2</x:v>
      </x:c>
      <x:c r="L347" s="11" t="n">
        <x:v>0</x:v>
      </x:c>
      <x:c r="M347" s="9" t="n">
        <x:f>IF(D347="Completed",I347*J347,0)</x:f>
        <x:v>130</x:v>
      </x:c>
      <x:c r="N347" s="9" t="n">
        <x:f>M347*K347</x:f>
        <x:v>26</x:v>
      </x:c>
      <x:c r="O347" s="9" t="n">
        <x:f>M347-N347</x:f>
        <x:v>104</x:v>
      </x:c>
      <x:c r="P347" s="9" t="n">
        <x:f>IF(D347="Completed",L347*J347*(1-K347),0)</x:f>
        <x:v>0</x:v>
      </x:c>
      <x:c r="Q347" s="9" t="n">
        <x:f>O347-P347</x:f>
        <x:v>104</x:v>
      </x:c>
      <x:c r="R347" s="11" t="n">
        <x:f>IF(D347="Completed",I347,0)</x:f>
        <x:v>2</x:v>
      </x:c>
      <x:c r="S347" s="11" t="n">
        <x:f>IF(D347="Completed",L347,0)</x:f>
        <x:v>0</x:v>
      </x:c>
      <x:c r="T347" s="8" t="n">
        <x:f>DATE(YEAR(C347),MONTH(C347),1)</x:f>
        <x:v>45717</x:v>
      </x:c>
    </x:row>
    <x:row r="348" ht="22" customHeight="1">
      <x:c r="A348" s="2" t="str">
        <x:v>L000344</x:v>
      </x:c>
      <x:c r="B348" s="2" t="str">
        <x:v>O00142</x:v>
      </x:c>
      <x:c r="C348" s="7" t="n">
        <x:v>45730</x:v>
      </x:c>
      <x:c r="D348" s="2" t="str">
        <x:v>Completed</x:v>
      </x:c>
      <x:c r="E348" s="2" t="str">
        <x:v>North</x:v>
      </x:c>
      <x:c r="F348" s="2" t="str">
        <x:v>Online</x:v>
      </x:c>
      <x:c r="G348" s="2" t="str">
        <x:v>Storage</x:v>
      </x:c>
      <x:c r="H348" s="2" t="str">
        <x:v>Shelf 011</x:v>
      </x:c>
      <x:c r="I348" s="11" t="n">
        <x:v>3</x:v>
      </x:c>
      <x:c r="J348" s="9" t="n">
        <x:v>80</x:v>
      </x:c>
      <x:c r="K348" s="10" t="n">
        <x:v>0.05</x:v>
      </x:c>
      <x:c r="L348" s="11" t="n">
        <x:v>0</x:v>
      </x:c>
      <x:c r="M348" s="9" t="n">
        <x:f>IF(D348="Completed",I348*J348,0)</x:f>
        <x:v>240</x:v>
      </x:c>
      <x:c r="N348" s="9" t="n">
        <x:f>M348*K348</x:f>
        <x:v>12</x:v>
      </x:c>
      <x:c r="O348" s="9" t="n">
        <x:f>M348-N348</x:f>
        <x:v>228</x:v>
      </x:c>
      <x:c r="P348" s="9" t="n">
        <x:f>IF(D348="Completed",L348*J348*(1-K348),0)</x:f>
        <x:v>0</x:v>
      </x:c>
      <x:c r="Q348" s="9" t="n">
        <x:f>O348-P348</x:f>
        <x:v>228</x:v>
      </x:c>
      <x:c r="R348" s="11" t="n">
        <x:f>IF(D348="Completed",I348,0)</x:f>
        <x:v>3</x:v>
      </x:c>
      <x:c r="S348" s="11" t="n">
        <x:f>IF(D348="Completed",L348,0)</x:f>
        <x:v>0</x:v>
      </x:c>
      <x:c r="T348" s="8" t="n">
        <x:f>DATE(YEAR(C348),MONTH(C348),1)</x:f>
        <x:v>45717</x:v>
      </x:c>
    </x:row>
    <x:row r="349" ht="22" customHeight="1">
      <x:c r="A349" s="2" t="str">
        <x:v>L000345</x:v>
      </x:c>
      <x:c r="B349" s="2" t="str">
        <x:v>O00142</x:v>
      </x:c>
      <x:c r="C349" s="7" t="n">
        <x:v>45730</x:v>
      </x:c>
      <x:c r="D349" s="2" t="str">
        <x:v>Completed</x:v>
      </x:c>
      <x:c r="E349" s="2" t="str">
        <x:v>North</x:v>
      </x:c>
      <x:c r="F349" s="2" t="str">
        <x:v>Online</x:v>
      </x:c>
      <x:c r="G349" s="2" t="str">
        <x:v>Storage</x:v>
      </x:c>
      <x:c r="H349" s="2" t="str">
        <x:v>Shelf 003</x:v>
      </x:c>
      <x:c r="I349" s="11" t="n">
        <x:v>5</x:v>
      </x:c>
      <x:c r="J349" s="9" t="n">
        <x:v>199</x:v>
      </x:c>
      <x:c r="K349" s="10" t="n">
        <x:v>0.1</x:v>
      </x:c>
      <x:c r="L349" s="11" t="n">
        <x:v>0</x:v>
      </x:c>
      <x:c r="M349" s="9" t="n">
        <x:f>IF(D349="Completed",I349*J349,0)</x:f>
        <x:v>995</x:v>
      </x:c>
      <x:c r="N349" s="9" t="n">
        <x:f>M349*K349</x:f>
        <x:v>99.5</x:v>
      </x:c>
      <x:c r="O349" s="9" t="n">
        <x:f>M349-N349</x:f>
        <x:v>895.5</x:v>
      </x:c>
      <x:c r="P349" s="9" t="n">
        <x:f>IF(D349="Completed",L349*J349*(1-K349),0)</x:f>
        <x:v>0</x:v>
      </x:c>
      <x:c r="Q349" s="9" t="n">
        <x:f>O349-P349</x:f>
        <x:v>895.5</x:v>
      </x:c>
      <x:c r="R349" s="11" t="n">
        <x:f>IF(D349="Completed",I349,0)</x:f>
        <x:v>5</x:v>
      </x:c>
      <x:c r="S349" s="11" t="n">
        <x:f>IF(D349="Completed",L349,0)</x:f>
        <x:v>0</x:v>
      </x:c>
      <x:c r="T349" s="8" t="n">
        <x:f>DATE(YEAR(C349),MONTH(C349),1)</x:f>
        <x:v>45717</x:v>
      </x:c>
    </x:row>
    <x:row r="350" ht="22" customHeight="1">
      <x:c r="A350" s="2" t="str">
        <x:v>L000346</x:v>
      </x:c>
      <x:c r="B350" s="2" t="str">
        <x:v>O00142</x:v>
      </x:c>
      <x:c r="C350" s="7" t="n">
        <x:v>45730</x:v>
      </x:c>
      <x:c r="D350" s="2" t="str">
        <x:v>Completed</x:v>
      </x:c>
      <x:c r="E350" s="2" t="str">
        <x:v>North</x:v>
      </x:c>
      <x:c r="F350" s="2" t="str">
        <x:v>Online</x:v>
      </x:c>
      <x:c r="G350" s="2" t="str">
        <x:v>Furniture</x:v>
      </x:c>
      <x:c r="H350" s="2" t="str">
        <x:v>Chair 022</x:v>
      </x:c>
      <x:c r="I350" s="11" t="n">
        <x:v>1</x:v>
      </x:c>
      <x:c r="J350" s="9" t="n">
        <x:v>134</x:v>
      </x:c>
      <x:c r="K350" s="10" t="n">
        <x:v>0.05</x:v>
      </x:c>
      <x:c r="L350" s="11" t="n">
        <x:v>0</x:v>
      </x:c>
      <x:c r="M350" s="9" t="n">
        <x:f>IF(D350="Completed",I350*J350,0)</x:f>
        <x:v>134</x:v>
      </x:c>
      <x:c r="N350" s="9" t="n">
        <x:f>M350*K350</x:f>
        <x:v>6.7</x:v>
      </x:c>
      <x:c r="O350" s="9" t="n">
        <x:f>M350-N350</x:f>
        <x:v>127.3</x:v>
      </x:c>
      <x:c r="P350" s="9" t="n">
        <x:f>IF(D350="Completed",L350*J350*(1-K350),0)</x:f>
        <x:v>0</x:v>
      </x:c>
      <x:c r="Q350" s="9" t="n">
        <x:f>O350-P350</x:f>
        <x:v>127.3</x:v>
      </x:c>
      <x:c r="R350" s="11" t="n">
        <x:f>IF(D350="Completed",I350,0)</x:f>
        <x:v>1</x:v>
      </x:c>
      <x:c r="S350" s="11" t="n">
        <x:f>IF(D350="Completed",L350,0)</x:f>
        <x:v>0</x:v>
      </x:c>
      <x:c r="T350" s="8" t="n">
        <x:f>DATE(YEAR(C350),MONTH(C350),1)</x:f>
        <x:v>45717</x:v>
      </x:c>
    </x:row>
    <x:row r="351" ht="22" customHeight="1">
      <x:c r="A351" s="2" t="str">
        <x:v>L000347</x:v>
      </x:c>
      <x:c r="B351" s="2" t="str">
        <x:v>O00143</x:v>
      </x:c>
      <x:c r="C351" s="7" t="n">
        <x:v>45668</x:v>
      </x:c>
      <x:c r="D351" s="2" t="str">
        <x:v>Cancelled</x:v>
      </x:c>
      <x:c r="E351" s="2" t="str">
        <x:v>West</x:v>
      </x:c>
      <x:c r="F351" s="2" t="str">
        <x:v>Store</x:v>
      </x:c>
      <x:c r="G351" s="2" t="str">
        <x:v>Furniture</x:v>
      </x:c>
      <x:c r="H351" s="2" t="str">
        <x:v>Chair 018</x:v>
      </x:c>
      <x:c r="I351" s="11" t="n">
        <x:v>3</x:v>
      </x:c>
      <x:c r="J351" s="9" t="n">
        <x:v>269</x:v>
      </x:c>
      <x:c r="K351" s="10" t="n">
        <x:v>0.05</x:v>
      </x:c>
      <x:c r="L351" s="11" t="n">
        <x:v>0</x:v>
      </x:c>
      <x:c r="M351" s="9" t="n">
        <x:f>IF(D351="Completed",I351*J351,0)</x:f>
        <x:v>0</x:v>
      </x:c>
      <x:c r="N351" s="9" t="n">
        <x:f>M351*K351</x:f>
        <x:v>0</x:v>
      </x:c>
      <x:c r="O351" s="9" t="n">
        <x:f>M351-N351</x:f>
        <x:v>0</x:v>
      </x:c>
      <x:c r="P351" s="9" t="n">
        <x:f>IF(D351="Completed",L351*J351*(1-K351),0)</x:f>
        <x:v>0</x:v>
      </x:c>
      <x:c r="Q351" s="9" t="n">
        <x:f>O351-P351</x:f>
        <x:v>0</x:v>
      </x:c>
      <x:c r="R351" s="11" t="n">
        <x:f>IF(D351="Completed",I351,0)</x:f>
        <x:v>0</x:v>
      </x:c>
      <x:c r="S351" s="11" t="n">
        <x:f>IF(D351="Completed",L351,0)</x:f>
        <x:v>0</x:v>
      </x:c>
      <x:c r="T351" s="8" t="n">
        <x:f>DATE(YEAR(C351),MONTH(C351),1)</x:f>
        <x:v>45658</x:v>
      </x:c>
    </x:row>
    <x:row r="352" ht="22" customHeight="1">
      <x:c r="A352" s="2" t="str">
        <x:v>L000348</x:v>
      </x:c>
      <x:c r="B352" s="2" t="str">
        <x:v>O00143</x:v>
      </x:c>
      <x:c r="C352" s="7" t="n">
        <x:v>45668</x:v>
      </x:c>
      <x:c r="D352" s="2" t="str">
        <x:v>Cancelled</x:v>
      </x:c>
      <x:c r="E352" s="2" t="str">
        <x:v>West</x:v>
      </x:c>
      <x:c r="F352" s="2" t="str">
        <x:v>Store</x:v>
      </x:c>
      <x:c r="G352" s="2" t="str">
        <x:v>Furniture</x:v>
      </x:c>
      <x:c r="H352" s="2" t="str">
        <x:v>Chair 010</x:v>
      </x:c>
      <x:c r="I352" s="11" t="n">
        <x:v>4</x:v>
      </x:c>
      <x:c r="J352" s="9" t="n">
        <x:v>211</x:v>
      </x:c>
      <x:c r="K352" s="10" t="n">
        <x:v>0</x:v>
      </x:c>
      <x:c r="L352" s="11" t="n">
        <x:v>0</x:v>
      </x:c>
      <x:c r="M352" s="9" t="n">
        <x:f>IF(D352="Completed",I352*J352,0)</x:f>
        <x:v>0</x:v>
      </x:c>
      <x:c r="N352" s="9" t="n">
        <x:f>M352*K352</x:f>
        <x:v>0</x:v>
      </x:c>
      <x:c r="O352" s="9" t="n">
        <x:f>M352-N352</x:f>
        <x:v>0</x:v>
      </x:c>
      <x:c r="P352" s="9" t="n">
        <x:f>IF(D352="Completed",L352*J352*(1-K352),0)</x:f>
        <x:v>0</x:v>
      </x:c>
      <x:c r="Q352" s="9" t="n">
        <x:f>O352-P352</x:f>
        <x:v>0</x:v>
      </x:c>
      <x:c r="R352" s="11" t="n">
        <x:f>IF(D352="Completed",I352,0)</x:f>
        <x:v>0</x:v>
      </x:c>
      <x:c r="S352" s="11" t="n">
        <x:f>IF(D352="Completed",L352,0)</x:f>
        <x:v>0</x:v>
      </x:c>
      <x:c r="T352" s="8" t="n">
        <x:f>DATE(YEAR(C352),MONTH(C352),1)</x:f>
        <x:v>45658</x:v>
      </x:c>
    </x:row>
    <x:row r="353" ht="22" customHeight="1">
      <x:c r="A353" s="2" t="str">
        <x:v>L000349</x:v>
      </x:c>
      <x:c r="B353" s="2" t="str">
        <x:v>O00144</x:v>
      </x:c>
      <x:c r="C353" s="7" t="n">
        <x:v>45887</x:v>
      </x:c>
      <x:c r="D353" s="2" t="str">
        <x:v>Completed</x:v>
      </x:c>
      <x:c r="E353" s="2" t="str">
        <x:v>North</x:v>
      </x:c>
      <x:c r="F353" s="2" t="str">
        <x:v>Online</x:v>
      </x:c>
      <x:c r="G353" s="2" t="str">
        <x:v>Furniture</x:v>
      </x:c>
      <x:c r="H353" s="2" t="str">
        <x:v>Chair 022</x:v>
      </x:c>
      <x:c r="I353" s="11" t="n">
        <x:v>5</x:v>
      </x:c>
      <x:c r="J353" s="9" t="n">
        <x:v>134</x:v>
      </x:c>
      <x:c r="K353" s="10" t="n">
        <x:v>0.05</x:v>
      </x:c>
      <x:c r="L353" s="11" t="n">
        <x:v>4</x:v>
      </x:c>
      <x:c r="M353" s="9" t="n">
        <x:f>IF(D353="Completed",I353*J353,0)</x:f>
        <x:v>670</x:v>
      </x:c>
      <x:c r="N353" s="9" t="n">
        <x:f>M353*K353</x:f>
        <x:v>33.5</x:v>
      </x:c>
      <x:c r="O353" s="9" t="n">
        <x:f>M353-N353</x:f>
        <x:v>636.5</x:v>
      </x:c>
      <x:c r="P353" s="9" t="n">
        <x:f>IF(D353="Completed",L353*J353*(1-K353),0)</x:f>
        <x:v>509.2</x:v>
      </x:c>
      <x:c r="Q353" s="9" t="n">
        <x:f>O353-P353</x:f>
        <x:v>127.30000000000001</x:v>
      </x:c>
      <x:c r="R353" s="11" t="n">
        <x:f>IF(D353="Completed",I353,0)</x:f>
        <x:v>5</x:v>
      </x:c>
      <x:c r="S353" s="11" t="n">
        <x:f>IF(D353="Completed",L353,0)</x:f>
        <x:v>4</x:v>
      </x:c>
      <x:c r="T353" s="8" t="n">
        <x:f>DATE(YEAR(C353),MONTH(C353),1)</x:f>
        <x:v>45870</x:v>
      </x:c>
    </x:row>
    <x:row r="354" ht="22" customHeight="1">
      <x:c r="A354" s="2" t="str">
        <x:v>L000350</x:v>
      </x:c>
      <x:c r="B354" s="2" t="str">
        <x:v>O00144</x:v>
      </x:c>
      <x:c r="C354" s="7" t="n">
        <x:v>45887</x:v>
      </x:c>
      <x:c r="D354" s="2" t="str">
        <x:v>Completed</x:v>
      </x:c>
      <x:c r="E354" s="2" t="str">
        <x:v>North</x:v>
      </x:c>
      <x:c r="F354" s="2" t="str">
        <x:v>Online</x:v>
      </x:c>
      <x:c r="G354" s="2" t="str">
        <x:v>Furniture</x:v>
      </x:c>
      <x:c r="H354" s="2" t="str">
        <x:v>Desk 016</x:v>
      </x:c>
      <x:c r="I354" s="11" t="n">
        <x:v>4</x:v>
      </x:c>
      <x:c r="J354" s="9" t="n">
        <x:v>231</x:v>
      </x:c>
      <x:c r="K354" s="10" t="n">
        <x:v>0</x:v>
      </x:c>
      <x:c r="L354" s="11" t="n">
        <x:v>0</x:v>
      </x:c>
      <x:c r="M354" s="9" t="n">
        <x:f>IF(D354="Completed",I354*J354,0)</x:f>
        <x:v>924</x:v>
      </x:c>
      <x:c r="N354" s="9" t="n">
        <x:f>M354*K354</x:f>
        <x:v>0</x:v>
      </x:c>
      <x:c r="O354" s="9" t="n">
        <x:f>M354-N354</x:f>
        <x:v>924</x:v>
      </x:c>
      <x:c r="P354" s="9" t="n">
        <x:f>IF(D354="Completed",L354*J354*(1-K354),0)</x:f>
        <x:v>0</x:v>
      </x:c>
      <x:c r="Q354" s="9" t="n">
        <x:f>O354-P354</x:f>
        <x:v>924</x:v>
      </x:c>
      <x:c r="R354" s="11" t="n">
        <x:f>IF(D354="Completed",I354,0)</x:f>
        <x:v>4</x:v>
      </x:c>
      <x:c r="S354" s="11" t="n">
        <x:f>IF(D354="Completed",L354,0)</x:f>
        <x:v>0</x:v>
      </x:c>
      <x:c r="T354" s="8" t="n">
        <x:f>DATE(YEAR(C354),MONTH(C354),1)</x:f>
        <x:v>45870</x:v>
      </x:c>
    </x:row>
    <x:row r="355" ht="22" customHeight="1">
      <x:c r="A355" s="2" t="str">
        <x:v>L000351</x:v>
      </x:c>
      <x:c r="B355" s="2" t="str">
        <x:v>O00144</x:v>
      </x:c>
      <x:c r="C355" s="7" t="n">
        <x:v>45887</x:v>
      </x:c>
      <x:c r="D355" s="2" t="str">
        <x:v>Completed</x:v>
      </x:c>
      <x:c r="E355" s="2" t="str">
        <x:v>North</x:v>
      </x:c>
      <x:c r="F355" s="2" t="str">
        <x:v>Online</x:v>
      </x:c>
      <x:c r="G355" s="2" t="str">
        <x:v>Furniture</x:v>
      </x:c>
      <x:c r="H355" s="2" t="str">
        <x:v>Chair 010</x:v>
      </x:c>
      <x:c r="I355" s="11" t="n">
        <x:v>3</x:v>
      </x:c>
      <x:c r="J355" s="9" t="n">
        <x:v>211</x:v>
      </x:c>
      <x:c r="K355" s="10" t="n">
        <x:v>0</x:v>
      </x:c>
      <x:c r="L355" s="11" t="n">
        <x:v>0</x:v>
      </x:c>
      <x:c r="M355" s="9" t="n">
        <x:f>IF(D355="Completed",I355*J355,0)</x:f>
        <x:v>633</x:v>
      </x:c>
      <x:c r="N355" s="9" t="n">
        <x:f>M355*K355</x:f>
        <x:v>0</x:v>
      </x:c>
      <x:c r="O355" s="9" t="n">
        <x:f>M355-N355</x:f>
        <x:v>633</x:v>
      </x:c>
      <x:c r="P355" s="9" t="n">
        <x:f>IF(D355="Completed",L355*J355*(1-K355),0)</x:f>
        <x:v>0</x:v>
      </x:c>
      <x:c r="Q355" s="9" t="n">
        <x:f>O355-P355</x:f>
        <x:v>633</x:v>
      </x:c>
      <x:c r="R355" s="11" t="n">
        <x:f>IF(D355="Completed",I355,0)</x:f>
        <x:v>3</x:v>
      </x:c>
      <x:c r="S355" s="11" t="n">
        <x:f>IF(D355="Completed",L355,0)</x:f>
        <x:v>0</x:v>
      </x:c>
      <x:c r="T355" s="8" t="n">
        <x:f>DATE(YEAR(C355),MONTH(C355),1)</x:f>
        <x:v>45870</x:v>
      </x:c>
    </x:row>
    <x:row r="356" ht="22" customHeight="1">
      <x:c r="A356" s="2" t="str">
        <x:v>L000352</x:v>
      </x:c>
      <x:c r="B356" s="2" t="str">
        <x:v>O00145</x:v>
      </x:c>
      <x:c r="C356" s="7" t="n">
        <x:v>45733</x:v>
      </x:c>
      <x:c r="D356" s="2" t="str">
        <x:v>Completed</x:v>
      </x:c>
      <x:c r="E356" s="2" t="str">
        <x:v>North</x:v>
      </x:c>
      <x:c r="F356" s="2" t="str">
        <x:v>Store</x:v>
      </x:c>
      <x:c r="G356" s="2" t="str">
        <x:v>Lighting</x:v>
      </x:c>
      <x:c r="H356" s="2" t="str">
        <x:v>Lamp 009</x:v>
      </x:c>
      <x:c r="I356" s="11" t="n">
        <x:v>1</x:v>
      </x:c>
      <x:c r="J356" s="9" t="n">
        <x:v>93</x:v>
      </x:c>
      <x:c r="K356" s="10" t="n">
        <x:v>0.05</x:v>
      </x:c>
      <x:c r="L356" s="11" t="n">
        <x:v>0</x:v>
      </x:c>
      <x:c r="M356" s="9" t="n">
        <x:f>IF(D356="Completed",I356*J356,0)</x:f>
        <x:v>93</x:v>
      </x:c>
      <x:c r="N356" s="9" t="n">
        <x:f>M356*K356</x:f>
        <x:v>4.65</x:v>
      </x:c>
      <x:c r="O356" s="9" t="n">
        <x:f>M356-N356</x:f>
        <x:v>88.35</x:v>
      </x:c>
      <x:c r="P356" s="9" t="n">
        <x:f>IF(D356="Completed",L356*J356*(1-K356),0)</x:f>
        <x:v>0</x:v>
      </x:c>
      <x:c r="Q356" s="9" t="n">
        <x:f>O356-P356</x:f>
        <x:v>88.35</x:v>
      </x:c>
      <x:c r="R356" s="11" t="n">
        <x:f>IF(D356="Completed",I356,0)</x:f>
        <x:v>1</x:v>
      </x:c>
      <x:c r="S356" s="11" t="n">
        <x:f>IF(D356="Completed",L356,0)</x:f>
        <x:v>0</x:v>
      </x:c>
      <x:c r="T356" s="8" t="n">
        <x:f>DATE(YEAR(C356),MONTH(C356),1)</x:f>
        <x:v>45717</x:v>
      </x:c>
    </x:row>
    <x:row r="357" ht="22" customHeight="1">
      <x:c r="A357" s="2" t="str">
        <x:v>L000353</x:v>
      </x:c>
      <x:c r="B357" s="2" t="str">
        <x:v>O00145</x:v>
      </x:c>
      <x:c r="C357" s="7" t="n">
        <x:v>45733</x:v>
      </x:c>
      <x:c r="D357" s="2" t="str">
        <x:v>Completed</x:v>
      </x:c>
      <x:c r="E357" s="2" t="str">
        <x:v>North</x:v>
      </x:c>
      <x:c r="F357" s="2" t="str">
        <x:v>Store</x:v>
      </x:c>
      <x:c r="G357" s="2" t="str">
        <x:v>Furniture</x:v>
      </x:c>
      <x:c r="H357" s="2" t="str">
        <x:v>Desk 012</x:v>
      </x:c>
      <x:c r="I357" s="11" t="n">
        <x:v>1</x:v>
      </x:c>
      <x:c r="J357" s="9" t="n">
        <x:v>134</x:v>
      </x:c>
      <x:c r="K357" s="10" t="n">
        <x:v>0.05</x:v>
      </x:c>
      <x:c r="L357" s="11" t="n">
        <x:v>0</x:v>
      </x:c>
      <x:c r="M357" s="9" t="n">
        <x:f>IF(D357="Completed",I357*J357,0)</x:f>
        <x:v>134</x:v>
      </x:c>
      <x:c r="N357" s="9" t="n">
        <x:f>M357*K357</x:f>
        <x:v>6.7</x:v>
      </x:c>
      <x:c r="O357" s="9" t="n">
        <x:f>M357-N357</x:f>
        <x:v>127.3</x:v>
      </x:c>
      <x:c r="P357" s="9" t="n">
        <x:f>IF(D357="Completed",L357*J357*(1-K357),0)</x:f>
        <x:v>0</x:v>
      </x:c>
      <x:c r="Q357" s="9" t="n">
        <x:f>O357-P357</x:f>
        <x:v>127.3</x:v>
      </x:c>
      <x:c r="R357" s="11" t="n">
        <x:f>IF(D357="Completed",I357,0)</x:f>
        <x:v>1</x:v>
      </x:c>
      <x:c r="S357" s="11" t="n">
        <x:f>IF(D357="Completed",L357,0)</x:f>
        <x:v>0</x:v>
      </x:c>
      <x:c r="T357" s="8" t="n">
        <x:f>DATE(YEAR(C357),MONTH(C357),1)</x:f>
        <x:v>45717</x:v>
      </x:c>
    </x:row>
    <x:row r="358" ht="22" customHeight="1">
      <x:c r="A358" s="2" t="str">
        <x:v>L000354</x:v>
      </x:c>
      <x:c r="B358" s="2" t="str">
        <x:v>O00145</x:v>
      </x:c>
      <x:c r="C358" s="7" t="n">
        <x:v>45733</x:v>
      </x:c>
      <x:c r="D358" s="2" t="str">
        <x:v>Completed</x:v>
      </x:c>
      <x:c r="E358" s="2" t="str">
        <x:v>North</x:v>
      </x:c>
      <x:c r="F358" s="2" t="str">
        <x:v>Store</x:v>
      </x:c>
      <x:c r="G358" s="2" t="str">
        <x:v>Furniture</x:v>
      </x:c>
      <x:c r="H358" s="2" t="str">
        <x:v>Desk 016</x:v>
      </x:c>
      <x:c r="I358" s="11" t="n">
        <x:v>3</x:v>
      </x:c>
      <x:c r="J358" s="9" t="n">
        <x:v>231</x:v>
      </x:c>
      <x:c r="K358" s="10" t="n">
        <x:v>0.2</x:v>
      </x:c>
      <x:c r="L358" s="11" t="n">
        <x:v>0</x:v>
      </x:c>
      <x:c r="M358" s="9" t="n">
        <x:f>IF(D358="Completed",I358*J358,0)</x:f>
        <x:v>693</x:v>
      </x:c>
      <x:c r="N358" s="9" t="n">
        <x:f>M358*K358</x:f>
        <x:v>138.6</x:v>
      </x:c>
      <x:c r="O358" s="9" t="n">
        <x:f>M358-N358</x:f>
        <x:v>554.4</x:v>
      </x:c>
      <x:c r="P358" s="9" t="n">
        <x:f>IF(D358="Completed",L358*J358*(1-K358),0)</x:f>
        <x:v>0</x:v>
      </x:c>
      <x:c r="Q358" s="9" t="n">
        <x:f>O358-P358</x:f>
        <x:v>554.4</x:v>
      </x:c>
      <x:c r="R358" s="11" t="n">
        <x:f>IF(D358="Completed",I358,0)</x:f>
        <x:v>3</x:v>
      </x:c>
      <x:c r="S358" s="11" t="n">
        <x:f>IF(D358="Completed",L358,0)</x:f>
        <x:v>0</x:v>
      </x:c>
      <x:c r="T358" s="8" t="n">
        <x:f>DATE(YEAR(C358),MONTH(C358),1)</x:f>
        <x:v>45717</x:v>
      </x:c>
    </x:row>
    <x:row r="359" ht="22" customHeight="1">
      <x:c r="A359" s="2" t="str">
        <x:v>L000355</x:v>
      </x:c>
      <x:c r="B359" s="2" t="str">
        <x:v>O00145</x:v>
      </x:c>
      <x:c r="C359" s="7" t="n">
        <x:v>45733</x:v>
      </x:c>
      <x:c r="D359" s="2" t="str">
        <x:v>Completed</x:v>
      </x:c>
      <x:c r="E359" s="2" t="str">
        <x:v>North</x:v>
      </x:c>
      <x:c r="F359" s="2" t="str">
        <x:v>Store</x:v>
      </x:c>
      <x:c r="G359" s="2" t="str">
        <x:v>Furniture</x:v>
      </x:c>
      <x:c r="H359" s="2" t="str">
        <x:v>Chair 006</x:v>
      </x:c>
      <x:c r="I359" s="11" t="n">
        <x:v>2</x:v>
      </x:c>
      <x:c r="J359" s="9" t="n">
        <x:v>196</x:v>
      </x:c>
      <x:c r="K359" s="10" t="n">
        <x:v>0.2</x:v>
      </x:c>
      <x:c r="L359" s="11" t="n">
        <x:v>0</x:v>
      </x:c>
      <x:c r="M359" s="9" t="n">
        <x:f>IF(D359="Completed",I359*J359,0)</x:f>
        <x:v>392</x:v>
      </x:c>
      <x:c r="N359" s="9" t="n">
        <x:f>M359*K359</x:f>
        <x:v>78.4</x:v>
      </x:c>
      <x:c r="O359" s="9" t="n">
        <x:f>M359-N359</x:f>
        <x:v>313.6</x:v>
      </x:c>
      <x:c r="P359" s="9" t="n">
        <x:f>IF(D359="Completed",L359*J359*(1-K359),0)</x:f>
        <x:v>0</x:v>
      </x:c>
      <x:c r="Q359" s="9" t="n">
        <x:f>O359-P359</x:f>
        <x:v>313.6</x:v>
      </x:c>
      <x:c r="R359" s="11" t="n">
        <x:f>IF(D359="Completed",I359,0)</x:f>
        <x:v>2</x:v>
      </x:c>
      <x:c r="S359" s="11" t="n">
        <x:f>IF(D359="Completed",L359,0)</x:f>
        <x:v>0</x:v>
      </x:c>
      <x:c r="T359" s="8" t="n">
        <x:f>DATE(YEAR(C359),MONTH(C359),1)</x:f>
        <x:v>45717</x:v>
      </x:c>
    </x:row>
    <x:row r="360" ht="22" customHeight="1">
      <x:c r="A360" s="2" t="str">
        <x:v>L000356</x:v>
      </x:c>
      <x:c r="B360" s="2" t="str">
        <x:v>O00146</x:v>
      </x:c>
      <x:c r="C360" s="7" t="n">
        <x:v>45721</x:v>
      </x:c>
      <x:c r="D360" s="2" t="str">
        <x:v>Completed</x:v>
      </x:c>
      <x:c r="E360" s="2" t="str">
        <x:v>South</x:v>
      </x:c>
      <x:c r="F360" s="2" t="str">
        <x:v>Store</x:v>
      </x:c>
      <x:c r="G360" s="2" t="str">
        <x:v>Furniture</x:v>
      </x:c>
      <x:c r="H360" s="2" t="str">
        <x:v>Chair 010</x:v>
      </x:c>
      <x:c r="I360" s="11" t="n">
        <x:v>1</x:v>
      </x:c>
      <x:c r="J360" s="9" t="n">
        <x:v>211</x:v>
      </x:c>
      <x:c r="K360" s="10" t="n">
        <x:v>0.2</x:v>
      </x:c>
      <x:c r="L360" s="11" t="n">
        <x:v>0</x:v>
      </x:c>
      <x:c r="M360" s="9" t="n">
        <x:f>IF(D360="Completed",I360*J360,0)</x:f>
        <x:v>211</x:v>
      </x:c>
      <x:c r="N360" s="9" t="n">
        <x:f>M360*K360</x:f>
        <x:v>42.2</x:v>
      </x:c>
      <x:c r="O360" s="9" t="n">
        <x:f>M360-N360</x:f>
        <x:v>168.8</x:v>
      </x:c>
      <x:c r="P360" s="9" t="n">
        <x:f>IF(D360="Completed",L360*J360*(1-K360),0)</x:f>
        <x:v>0</x:v>
      </x:c>
      <x:c r="Q360" s="9" t="n">
        <x:f>O360-P360</x:f>
        <x:v>168.8</x:v>
      </x:c>
      <x:c r="R360" s="11" t="n">
        <x:f>IF(D360="Completed",I360,0)</x:f>
        <x:v>1</x:v>
      </x:c>
      <x:c r="S360" s="11" t="n">
        <x:f>IF(D360="Completed",L360,0)</x:f>
        <x:v>0</x:v>
      </x:c>
      <x:c r="T360" s="8" t="n">
        <x:f>DATE(YEAR(C360),MONTH(C360),1)</x:f>
        <x:v>45717</x:v>
      </x:c>
    </x:row>
    <x:row r="361" ht="22" customHeight="1">
      <x:c r="A361" s="2" t="str">
        <x:v>L000357</x:v>
      </x:c>
      <x:c r="B361" s="2" t="str">
        <x:v>O00146</x:v>
      </x:c>
      <x:c r="C361" s="7" t="n">
        <x:v>45721</x:v>
      </x:c>
      <x:c r="D361" s="2" t="str">
        <x:v>Completed</x:v>
      </x:c>
      <x:c r="E361" s="2" t="str">
        <x:v>South</x:v>
      </x:c>
      <x:c r="F361" s="2" t="str">
        <x:v>Store</x:v>
      </x:c>
      <x:c r="G361" s="2" t="str">
        <x:v>Furniture</x:v>
      </x:c>
      <x:c r="H361" s="2" t="str">
        <x:v>Chair 002</x:v>
      </x:c>
      <x:c r="I361" s="11" t="n">
        <x:v>1</x:v>
      </x:c>
      <x:c r="J361" s="9" t="n">
        <x:v>284</x:v>
      </x:c>
      <x:c r="K361" s="10" t="n">
        <x:v>0.2</x:v>
      </x:c>
      <x:c r="L361" s="11" t="n">
        <x:v>0</x:v>
      </x:c>
      <x:c r="M361" s="9" t="n">
        <x:f>IF(D361="Completed",I361*J361,0)</x:f>
        <x:v>284</x:v>
      </x:c>
      <x:c r="N361" s="9" t="n">
        <x:f>M361*K361</x:f>
        <x:v>56.800000000000004</x:v>
      </x:c>
      <x:c r="O361" s="9" t="n">
        <x:f>M361-N361</x:f>
        <x:v>227.2</x:v>
      </x:c>
      <x:c r="P361" s="9" t="n">
        <x:f>IF(D361="Completed",L361*J361*(1-K361),0)</x:f>
        <x:v>0</x:v>
      </x:c>
      <x:c r="Q361" s="9" t="n">
        <x:f>O361-P361</x:f>
        <x:v>227.2</x:v>
      </x:c>
      <x:c r="R361" s="11" t="n">
        <x:f>IF(D361="Completed",I361,0)</x:f>
        <x:v>1</x:v>
      </x:c>
      <x:c r="S361" s="11" t="n">
        <x:f>IF(D361="Completed",L361,0)</x:f>
        <x:v>0</x:v>
      </x:c>
      <x:c r="T361" s="8" t="n">
        <x:f>DATE(YEAR(C361),MONTH(C361),1)</x:f>
        <x:v>45717</x:v>
      </x:c>
    </x:row>
    <x:row r="362" ht="22" customHeight="1">
      <x:c r="A362" s="2" t="str">
        <x:v>L000358</x:v>
      </x:c>
      <x:c r="B362" s="2" t="str">
        <x:v>O00146</x:v>
      </x:c>
      <x:c r="C362" s="7" t="n">
        <x:v>45721</x:v>
      </x:c>
      <x:c r="D362" s="2" t="str">
        <x:v>Completed</x:v>
      </x:c>
      <x:c r="E362" s="2" t="str">
        <x:v>South</x:v>
      </x:c>
      <x:c r="F362" s="2" t="str">
        <x:v>Store</x:v>
      </x:c>
      <x:c r="G362" s="2" t="str">
        <x:v>Furniture</x:v>
      </x:c>
      <x:c r="H362" s="2" t="str">
        <x:v>Chair 002</x:v>
      </x:c>
      <x:c r="I362" s="11" t="n">
        <x:v>1</x:v>
      </x:c>
      <x:c r="J362" s="9" t="n">
        <x:v>284</x:v>
      </x:c>
      <x:c r="K362" s="10" t="n">
        <x:v>0</x:v>
      </x:c>
      <x:c r="L362" s="11" t="n">
        <x:v>0</x:v>
      </x:c>
      <x:c r="M362" s="9" t="n">
        <x:f>IF(D362="Completed",I362*J362,0)</x:f>
        <x:v>284</x:v>
      </x:c>
      <x:c r="N362" s="9" t="n">
        <x:f>M362*K362</x:f>
        <x:v>0</x:v>
      </x:c>
      <x:c r="O362" s="9" t="n">
        <x:f>M362-N362</x:f>
        <x:v>284</x:v>
      </x:c>
      <x:c r="P362" s="9" t="n">
        <x:f>IF(D362="Completed",L362*J362*(1-K362),0)</x:f>
        <x:v>0</x:v>
      </x:c>
      <x:c r="Q362" s="9" t="n">
        <x:f>O362-P362</x:f>
        <x:v>284</x:v>
      </x:c>
      <x:c r="R362" s="11" t="n">
        <x:f>IF(D362="Completed",I362,0)</x:f>
        <x:v>1</x:v>
      </x:c>
      <x:c r="S362" s="11" t="n">
        <x:f>IF(D362="Completed",L362,0)</x:f>
        <x:v>0</x:v>
      </x:c>
      <x:c r="T362" s="8" t="n">
        <x:f>DATE(YEAR(C362),MONTH(C362),1)</x:f>
        <x:v>45717</x:v>
      </x:c>
    </x:row>
    <x:row r="363" ht="22" customHeight="1">
      <x:c r="A363" s="2" t="str">
        <x:v>L000359</x:v>
      </x:c>
      <x:c r="B363" s="2" t="str">
        <x:v>O00147</x:v>
      </x:c>
      <x:c r="C363" s="7" t="n">
        <x:v>45739</x:v>
      </x:c>
      <x:c r="D363" s="2" t="str">
        <x:v>Cancelled</x:v>
      </x:c>
      <x:c r="E363" s="2" t="str">
        <x:v>East</x:v>
      </x:c>
      <x:c r="F363" s="2" t="str">
        <x:v>Store</x:v>
      </x:c>
      <x:c r="G363" s="2" t="str">
        <x:v>Storage</x:v>
      </x:c>
      <x:c r="H363" s="2" t="str">
        <x:v>Shelf 019</x:v>
      </x:c>
      <x:c r="I363" s="11" t="n">
        <x:v>2</x:v>
      </x:c>
      <x:c r="J363" s="9" t="n">
        <x:v>78</x:v>
      </x:c>
      <x:c r="K363" s="10" t="n">
        <x:v>0.05</x:v>
      </x:c>
      <x:c r="L363" s="11" t="n">
        <x:v>0</x:v>
      </x:c>
      <x:c r="M363" s="9" t="n">
        <x:f>IF(D363="Completed",I363*J363,0)</x:f>
        <x:v>0</x:v>
      </x:c>
      <x:c r="N363" s="9" t="n">
        <x:f>M363*K363</x:f>
        <x:v>0</x:v>
      </x:c>
      <x:c r="O363" s="9" t="n">
        <x:f>M363-N363</x:f>
        <x:v>0</x:v>
      </x:c>
      <x:c r="P363" s="9" t="n">
        <x:f>IF(D363="Completed",L363*J363*(1-K363),0)</x:f>
        <x:v>0</x:v>
      </x:c>
      <x:c r="Q363" s="9" t="n">
        <x:f>O363-P363</x:f>
        <x:v>0</x:v>
      </x:c>
      <x:c r="R363" s="11" t="n">
        <x:f>IF(D363="Completed",I363,0)</x:f>
        <x:v>0</x:v>
      </x:c>
      <x:c r="S363" s="11" t="n">
        <x:f>IF(D363="Completed",L363,0)</x:f>
        <x:v>0</x:v>
      </x:c>
      <x:c r="T363" s="8" t="n">
        <x:f>DATE(YEAR(C363),MONTH(C363),1)</x:f>
        <x:v>45717</x:v>
      </x:c>
    </x:row>
    <x:row r="364" ht="22" customHeight="1">
      <x:c r="A364" s="2" t="str">
        <x:v>L000360</x:v>
      </x:c>
      <x:c r="B364" s="2" t="str">
        <x:v>O00147</x:v>
      </x:c>
      <x:c r="C364" s="7" t="n">
        <x:v>45739</x:v>
      </x:c>
      <x:c r="D364" s="2" t="str">
        <x:v>Cancelled</x:v>
      </x:c>
      <x:c r="E364" s="2" t="str">
        <x:v>East</x:v>
      </x:c>
      <x:c r="F364" s="2" t="str">
        <x:v>Store</x:v>
      </x:c>
      <x:c r="G364" s="2" t="str">
        <x:v>Furniture</x:v>
      </x:c>
      <x:c r="H364" s="2" t="str">
        <x:v>Chair 002</x:v>
      </x:c>
      <x:c r="I364" s="11" t="n">
        <x:v>4</x:v>
      </x:c>
      <x:c r="J364" s="9" t="n">
        <x:v>284</x:v>
      </x:c>
      <x:c r="K364" s="10" t="n">
        <x:v>0.2</x:v>
      </x:c>
      <x:c r="L364" s="11" t="n">
        <x:v>0</x:v>
      </x:c>
      <x:c r="M364" s="9" t="n">
        <x:f>IF(D364="Completed",I364*J364,0)</x:f>
        <x:v>0</x:v>
      </x:c>
      <x:c r="N364" s="9" t="n">
        <x:f>M364*K364</x:f>
        <x:v>0</x:v>
      </x:c>
      <x:c r="O364" s="9" t="n">
        <x:f>M364-N364</x:f>
        <x:v>0</x:v>
      </x:c>
      <x:c r="P364" s="9" t="n">
        <x:f>IF(D364="Completed",L364*J364*(1-K364),0)</x:f>
        <x:v>0</x:v>
      </x:c>
      <x:c r="Q364" s="9" t="n">
        <x:f>O364-P364</x:f>
        <x:v>0</x:v>
      </x:c>
      <x:c r="R364" s="11" t="n">
        <x:f>IF(D364="Completed",I364,0)</x:f>
        <x:v>0</x:v>
      </x:c>
      <x:c r="S364" s="11" t="n">
        <x:f>IF(D364="Completed",L364,0)</x:f>
        <x:v>0</x:v>
      </x:c>
      <x:c r="T364" s="8" t="n">
        <x:f>DATE(YEAR(C364),MONTH(C364),1)</x:f>
        <x:v>45717</x:v>
      </x:c>
    </x:row>
    <x:row r="365" ht="22" customHeight="1">
      <x:c r="A365" s="2" t="str">
        <x:v>L000361</x:v>
      </x:c>
      <x:c r="B365" s="2" t="str">
        <x:v>O00147</x:v>
      </x:c>
      <x:c r="C365" s="7" t="n">
        <x:v>45739</x:v>
      </x:c>
      <x:c r="D365" s="2" t="str">
        <x:v>Cancelled</x:v>
      </x:c>
      <x:c r="E365" s="2" t="str">
        <x:v>East</x:v>
      </x:c>
      <x:c r="F365" s="2" t="str">
        <x:v>Store</x:v>
      </x:c>
      <x:c r="G365" s="2" t="str">
        <x:v>Furniture</x:v>
      </x:c>
      <x:c r="H365" s="2" t="str">
        <x:v>Chair 014</x:v>
      </x:c>
      <x:c r="I365" s="11" t="n">
        <x:v>1</x:v>
      </x:c>
      <x:c r="J365" s="9" t="n">
        <x:v>294</x:v>
      </x:c>
      <x:c r="K365" s="10" t="n">
        <x:v>0.1</x:v>
      </x:c>
      <x:c r="L365" s="11" t="n">
        <x:v>0</x:v>
      </x:c>
      <x:c r="M365" s="9" t="n">
        <x:f>IF(D365="Completed",I365*J365,0)</x:f>
        <x:v>0</x:v>
      </x:c>
      <x:c r="N365" s="9" t="n">
        <x:f>M365*K365</x:f>
        <x:v>0</x:v>
      </x:c>
      <x:c r="O365" s="9" t="n">
        <x:f>M365-N365</x:f>
        <x:v>0</x:v>
      </x:c>
      <x:c r="P365" s="9" t="n">
        <x:f>IF(D365="Completed",L365*J365*(1-K365),0)</x:f>
        <x:v>0</x:v>
      </x:c>
      <x:c r="Q365" s="9" t="n">
        <x:f>O365-P365</x:f>
        <x:v>0</x:v>
      </x:c>
      <x:c r="R365" s="11" t="n">
        <x:f>IF(D365="Completed",I365,0)</x:f>
        <x:v>0</x:v>
      </x:c>
      <x:c r="S365" s="11" t="n">
        <x:f>IF(D365="Completed",L365,0)</x:f>
        <x:v>0</x:v>
      </x:c>
      <x:c r="T365" s="8" t="n">
        <x:f>DATE(YEAR(C365),MONTH(C365),1)</x:f>
        <x:v>45717</x:v>
      </x:c>
    </x:row>
    <x:row r="366" ht="22" customHeight="1">
      <x:c r="A366" s="2" t="str">
        <x:v>L000362</x:v>
      </x:c>
      <x:c r="B366" s="2" t="str">
        <x:v>O00148</x:v>
      </x:c>
      <x:c r="C366" s="7" t="n">
        <x:v>45935</x:v>
      </x:c>
      <x:c r="D366" s="2" t="str">
        <x:v>Completed</x:v>
      </x:c>
      <x:c r="E366" s="2" t="str">
        <x:v>East</x:v>
      </x:c>
      <x:c r="F366" s="2" t="str">
        <x:v>Store</x:v>
      </x:c>
      <x:c r="G366" s="2" t="str">
        <x:v>Lighting</x:v>
      </x:c>
      <x:c r="H366" s="2" t="str">
        <x:v>Lamp 013</x:v>
      </x:c>
      <x:c r="I366" s="11" t="n">
        <x:v>5</x:v>
      </x:c>
      <x:c r="J366" s="9" t="n">
        <x:v>271</x:v>
      </x:c>
      <x:c r="K366" s="10" t="n">
        <x:v>0.2</x:v>
      </x:c>
      <x:c r="L366" s="11" t="n">
        <x:v>0</x:v>
      </x:c>
      <x:c r="M366" s="9" t="n">
        <x:f>IF(D366="Completed",I366*J366,0)</x:f>
        <x:v>1355</x:v>
      </x:c>
      <x:c r="N366" s="9" t="n">
        <x:f>M366*K366</x:f>
        <x:v>271</x:v>
      </x:c>
      <x:c r="O366" s="9" t="n">
        <x:f>M366-N366</x:f>
        <x:v>1084</x:v>
      </x:c>
      <x:c r="P366" s="9" t="n">
        <x:f>IF(D366="Completed",L366*J366*(1-K366),0)</x:f>
        <x:v>0</x:v>
      </x:c>
      <x:c r="Q366" s="9" t="n">
        <x:f>O366-P366</x:f>
        <x:v>1084</x:v>
      </x:c>
      <x:c r="R366" s="11" t="n">
        <x:f>IF(D366="Completed",I366,0)</x:f>
        <x:v>5</x:v>
      </x:c>
      <x:c r="S366" s="11" t="n">
        <x:f>IF(D366="Completed",L366,0)</x:f>
        <x:v>0</x:v>
      </x:c>
      <x:c r="T366" s="8" t="n">
        <x:f>DATE(YEAR(C366),MONTH(C366),1)</x:f>
        <x:v>45931</x:v>
      </x:c>
    </x:row>
    <x:row r="367" ht="22" customHeight="1">
      <x:c r="A367" s="2" t="str">
        <x:v>L000363</x:v>
      </x:c>
      <x:c r="B367" s="2" t="str">
        <x:v>O00148</x:v>
      </x:c>
      <x:c r="C367" s="7" t="n">
        <x:v>45935</x:v>
      </x:c>
      <x:c r="D367" s="2" t="str">
        <x:v>Completed</x:v>
      </x:c>
      <x:c r="E367" s="2" t="str">
        <x:v>East</x:v>
      </x:c>
      <x:c r="F367" s="2" t="str">
        <x:v>Store</x:v>
      </x:c>
      <x:c r="G367" s="2" t="str">
        <x:v>Furniture</x:v>
      </x:c>
      <x:c r="H367" s="2" t="str">
        <x:v>Chair 002</x:v>
      </x:c>
      <x:c r="I367" s="11" t="n">
        <x:v>5</x:v>
      </x:c>
      <x:c r="J367" s="9" t="n">
        <x:v>284</x:v>
      </x:c>
      <x:c r="K367" s="10" t="n">
        <x:v>0</x:v>
      </x:c>
      <x:c r="L367" s="11" t="n">
        <x:v>0</x:v>
      </x:c>
      <x:c r="M367" s="9" t="n">
        <x:f>IF(D367="Completed",I367*J367,0)</x:f>
        <x:v>1420</x:v>
      </x:c>
      <x:c r="N367" s="9" t="n">
        <x:f>M367*K367</x:f>
        <x:v>0</x:v>
      </x:c>
      <x:c r="O367" s="9" t="n">
        <x:f>M367-N367</x:f>
        <x:v>1420</x:v>
      </x:c>
      <x:c r="P367" s="9" t="n">
        <x:f>IF(D367="Completed",L367*J367*(1-K367),0)</x:f>
        <x:v>0</x:v>
      </x:c>
      <x:c r="Q367" s="9" t="n">
        <x:f>O367-P367</x:f>
        <x:v>1420</x:v>
      </x:c>
      <x:c r="R367" s="11" t="n">
        <x:f>IF(D367="Completed",I367,0)</x:f>
        <x:v>5</x:v>
      </x:c>
      <x:c r="S367" s="11" t="n">
        <x:f>IF(D367="Completed",L367,0)</x:f>
        <x:v>0</x:v>
      </x:c>
      <x:c r="T367" s="8" t="n">
        <x:f>DATE(YEAR(C367),MONTH(C367),1)</x:f>
        <x:v>45931</x:v>
      </x:c>
    </x:row>
    <x:row r="368" ht="22" customHeight="1">
      <x:c r="A368" s="2" t="str">
        <x:v>L000364</x:v>
      </x:c>
      <x:c r="B368" s="2" t="str">
        <x:v>O00148</x:v>
      </x:c>
      <x:c r="C368" s="7" t="n">
        <x:v>45935</x:v>
      </x:c>
      <x:c r="D368" s="2" t="str">
        <x:v>Completed</x:v>
      </x:c>
      <x:c r="E368" s="2" t="str">
        <x:v>East</x:v>
      </x:c>
      <x:c r="F368" s="2" t="str">
        <x:v>Store</x:v>
      </x:c>
      <x:c r="G368" s="2" t="str">
        <x:v>Furniture</x:v>
      </x:c>
      <x:c r="H368" s="2" t="str">
        <x:v>Desk 012</x:v>
      </x:c>
      <x:c r="I368" s="11" t="n">
        <x:v>5</x:v>
      </x:c>
      <x:c r="J368" s="9" t="n">
        <x:v>134</x:v>
      </x:c>
      <x:c r="K368" s="10" t="n">
        <x:v>0.2</x:v>
      </x:c>
      <x:c r="L368" s="11" t="n">
        <x:v>0</x:v>
      </x:c>
      <x:c r="M368" s="9" t="n">
        <x:f>IF(D368="Completed",I368*J368,0)</x:f>
        <x:v>670</x:v>
      </x:c>
      <x:c r="N368" s="9" t="n">
        <x:f>M368*K368</x:f>
        <x:v>134</x:v>
      </x:c>
      <x:c r="O368" s="9" t="n">
        <x:f>M368-N368</x:f>
        <x:v>536</x:v>
      </x:c>
      <x:c r="P368" s="9" t="n">
        <x:f>IF(D368="Completed",L368*J368*(1-K368),0)</x:f>
        <x:v>0</x:v>
      </x:c>
      <x:c r="Q368" s="9" t="n">
        <x:f>O368-P368</x:f>
        <x:v>536</x:v>
      </x:c>
      <x:c r="R368" s="11" t="n">
        <x:f>IF(D368="Completed",I368,0)</x:f>
        <x:v>5</x:v>
      </x:c>
      <x:c r="S368" s="11" t="n">
        <x:f>IF(D368="Completed",L368,0)</x:f>
        <x:v>0</x:v>
      </x:c>
      <x:c r="T368" s="8" t="n">
        <x:f>DATE(YEAR(C368),MONTH(C368),1)</x:f>
        <x:v>45931</x:v>
      </x:c>
    </x:row>
    <x:row r="369" ht="22" customHeight="1">
      <x:c r="A369" s="2" t="str">
        <x:v>L000365</x:v>
      </x:c>
      <x:c r="B369" s="2" t="str">
        <x:v>O00149</x:v>
      </x:c>
      <x:c r="C369" s="7" t="n">
        <x:v>45914</x:v>
      </x:c>
      <x:c r="D369" s="2" t="str">
        <x:v>Completed</x:v>
      </x:c>
      <x:c r="E369" s="2" t="str">
        <x:v>North</x:v>
      </x:c>
      <x:c r="F369" s="2" t="str">
        <x:v>Store</x:v>
      </x:c>
      <x:c r="G369" s="2" t="str">
        <x:v>Furniture</x:v>
      </x:c>
      <x:c r="H369" s="2" t="str">
        <x:v>Chair 014</x:v>
      </x:c>
      <x:c r="I369" s="11" t="n">
        <x:v>2</x:v>
      </x:c>
      <x:c r="J369" s="9" t="n">
        <x:v>294</x:v>
      </x:c>
      <x:c r="K369" s="10" t="n">
        <x:v>0</x:v>
      </x:c>
      <x:c r="L369" s="11" t="n">
        <x:v>0</x:v>
      </x:c>
      <x:c r="M369" s="9" t="n">
        <x:f>IF(D369="Completed",I369*J369,0)</x:f>
        <x:v>588</x:v>
      </x:c>
      <x:c r="N369" s="9" t="n">
        <x:f>M369*K369</x:f>
        <x:v>0</x:v>
      </x:c>
      <x:c r="O369" s="9" t="n">
        <x:f>M369-N369</x:f>
        <x:v>588</x:v>
      </x:c>
      <x:c r="P369" s="9" t="n">
        <x:f>IF(D369="Completed",L369*J369*(1-K369),0)</x:f>
        <x:v>0</x:v>
      </x:c>
      <x:c r="Q369" s="9" t="n">
        <x:f>O369-P369</x:f>
        <x:v>588</x:v>
      </x:c>
      <x:c r="R369" s="11" t="n">
        <x:f>IF(D369="Completed",I369,0)</x:f>
        <x:v>2</x:v>
      </x:c>
      <x:c r="S369" s="11" t="n">
        <x:f>IF(D369="Completed",L369,0)</x:f>
        <x:v>0</x:v>
      </x:c>
      <x:c r="T369" s="8" t="n">
        <x:f>DATE(YEAR(C369),MONTH(C369),1)</x:f>
        <x:v>45901</x:v>
      </x:c>
    </x:row>
    <x:row r="370" ht="22" customHeight="1">
      <x:c r="A370" s="2" t="str">
        <x:v>L000366</x:v>
      </x:c>
      <x:c r="B370" s="2" t="str">
        <x:v>O00149</x:v>
      </x:c>
      <x:c r="C370" s="7" t="n">
        <x:v>45914</x:v>
      </x:c>
      <x:c r="D370" s="2" t="str">
        <x:v>Completed</x:v>
      </x:c>
      <x:c r="E370" s="2" t="str">
        <x:v>North</x:v>
      </x:c>
      <x:c r="F370" s="2" t="str">
        <x:v>Store</x:v>
      </x:c>
      <x:c r="G370" s="2" t="str">
        <x:v>Lighting</x:v>
      </x:c>
      <x:c r="H370" s="2" t="str">
        <x:v>Lamp 001</x:v>
      </x:c>
      <x:c r="I370" s="11" t="n">
        <x:v>2</x:v>
      </x:c>
      <x:c r="J370" s="9" t="n">
        <x:v>122</x:v>
      </x:c>
      <x:c r="K370" s="10" t="n">
        <x:v>0</x:v>
      </x:c>
      <x:c r="L370" s="11" t="n">
        <x:v>0</x:v>
      </x:c>
      <x:c r="M370" s="9" t="n">
        <x:f>IF(D370="Completed",I370*J370,0)</x:f>
        <x:v>244</x:v>
      </x:c>
      <x:c r="N370" s="9" t="n">
        <x:f>M370*K370</x:f>
        <x:v>0</x:v>
      </x:c>
      <x:c r="O370" s="9" t="n">
        <x:f>M370-N370</x:f>
        <x:v>244</x:v>
      </x:c>
      <x:c r="P370" s="9" t="n">
        <x:f>IF(D370="Completed",L370*J370*(1-K370),0)</x:f>
        <x:v>0</x:v>
      </x:c>
      <x:c r="Q370" s="9" t="n">
        <x:f>O370-P370</x:f>
        <x:v>244</x:v>
      </x:c>
      <x:c r="R370" s="11" t="n">
        <x:f>IF(D370="Completed",I370,0)</x:f>
        <x:v>2</x:v>
      </x:c>
      <x:c r="S370" s="11" t="n">
        <x:f>IF(D370="Completed",L370,0)</x:f>
        <x:v>0</x:v>
      </x:c>
      <x:c r="T370" s="8" t="n">
        <x:f>DATE(YEAR(C370),MONTH(C370),1)</x:f>
        <x:v>45901</x:v>
      </x:c>
    </x:row>
    <x:row r="371" ht="22" customHeight="1">
      <x:c r="A371" s="2" t="str">
        <x:v>L000367</x:v>
      </x:c>
      <x:c r="B371" s="2" t="str">
        <x:v>O00149</x:v>
      </x:c>
      <x:c r="C371" s="7" t="n">
        <x:v>45914</x:v>
      </x:c>
      <x:c r="D371" s="2" t="str">
        <x:v>Completed</x:v>
      </x:c>
      <x:c r="E371" s="2" t="str">
        <x:v>North</x:v>
      </x:c>
      <x:c r="F371" s="2" t="str">
        <x:v>Store</x:v>
      </x:c>
      <x:c r="G371" s="2" t="str">
        <x:v>Storage</x:v>
      </x:c>
      <x:c r="H371" s="2" t="str">
        <x:v>Shelf 015</x:v>
      </x:c>
      <x:c r="I371" s="11" t="n">
        <x:v>5</x:v>
      </x:c>
      <x:c r="J371" s="9" t="n">
        <x:v>254</x:v>
      </x:c>
      <x:c r="K371" s="10" t="n">
        <x:v>0</x:v>
      </x:c>
      <x:c r="L371" s="11" t="n">
        <x:v>0</x:v>
      </x:c>
      <x:c r="M371" s="9" t="n">
        <x:f>IF(D371="Completed",I371*J371,0)</x:f>
        <x:v>1270</x:v>
      </x:c>
      <x:c r="N371" s="9" t="n">
        <x:f>M371*K371</x:f>
        <x:v>0</x:v>
      </x:c>
      <x:c r="O371" s="9" t="n">
        <x:f>M371-N371</x:f>
        <x:v>1270</x:v>
      </x:c>
      <x:c r="P371" s="9" t="n">
        <x:f>IF(D371="Completed",L371*J371*(1-K371),0)</x:f>
        <x:v>0</x:v>
      </x:c>
      <x:c r="Q371" s="9" t="n">
        <x:f>O371-P371</x:f>
        <x:v>1270</x:v>
      </x:c>
      <x:c r="R371" s="11" t="n">
        <x:f>IF(D371="Completed",I371,0)</x:f>
        <x:v>5</x:v>
      </x:c>
      <x:c r="S371" s="11" t="n">
        <x:f>IF(D371="Completed",L371,0)</x:f>
        <x:v>0</x:v>
      </x:c>
      <x:c r="T371" s="8" t="n">
        <x:f>DATE(YEAR(C371),MONTH(C371),1)</x:f>
        <x:v>45901</x:v>
      </x:c>
    </x:row>
    <x:row r="372" ht="22" customHeight="1">
      <x:c r="A372" s="2" t="str">
        <x:v>L000368</x:v>
      </x:c>
      <x:c r="B372" s="2" t="str">
        <x:v>O00149</x:v>
      </x:c>
      <x:c r="C372" s="7" t="n">
        <x:v>45914</x:v>
      </x:c>
      <x:c r="D372" s="2" t="str">
        <x:v>Completed</x:v>
      </x:c>
      <x:c r="E372" s="2" t="str">
        <x:v>North</x:v>
      </x:c>
      <x:c r="F372" s="2" t="str">
        <x:v>Store</x:v>
      </x:c>
      <x:c r="G372" s="2" t="str">
        <x:v>Furniture</x:v>
      </x:c>
      <x:c r="H372" s="2" t="str">
        <x:v>Chair 006</x:v>
      </x:c>
      <x:c r="I372" s="11" t="n">
        <x:v>1</x:v>
      </x:c>
      <x:c r="J372" s="9" t="n">
        <x:v>196</x:v>
      </x:c>
      <x:c r="K372" s="10" t="n">
        <x:v>0</x:v>
      </x:c>
      <x:c r="L372" s="11" t="n">
        <x:v>0</x:v>
      </x:c>
      <x:c r="M372" s="9" t="n">
        <x:f>IF(D372="Completed",I372*J372,0)</x:f>
        <x:v>196</x:v>
      </x:c>
      <x:c r="N372" s="9" t="n">
        <x:f>M372*K372</x:f>
        <x:v>0</x:v>
      </x:c>
      <x:c r="O372" s="9" t="n">
        <x:f>M372-N372</x:f>
        <x:v>196</x:v>
      </x:c>
      <x:c r="P372" s="9" t="n">
        <x:f>IF(D372="Completed",L372*J372*(1-K372),0)</x:f>
        <x:v>0</x:v>
      </x:c>
      <x:c r="Q372" s="9" t="n">
        <x:f>O372-P372</x:f>
        <x:v>196</x:v>
      </x:c>
      <x:c r="R372" s="11" t="n">
        <x:f>IF(D372="Completed",I372,0)</x:f>
        <x:v>1</x:v>
      </x:c>
      <x:c r="S372" s="11" t="n">
        <x:f>IF(D372="Completed",L372,0)</x:f>
        <x:v>0</x:v>
      </x:c>
      <x:c r="T372" s="8" t="n">
        <x:f>DATE(YEAR(C372),MONTH(C372),1)</x:f>
        <x:v>45901</x:v>
      </x:c>
    </x:row>
    <x:row r="373" ht="22" customHeight="1">
      <x:c r="A373" s="2" t="str">
        <x:v>L000369</x:v>
      </x:c>
      <x:c r="B373" s="2" t="str">
        <x:v>O00150</x:v>
      </x:c>
      <x:c r="C373" s="7" t="n">
        <x:v>45956</x:v>
      </x:c>
      <x:c r="D373" s="2" t="str">
        <x:v>Completed</x:v>
      </x:c>
      <x:c r="E373" s="2" t="str">
        <x:v>North</x:v>
      </x:c>
      <x:c r="F373" s="2" t="str">
        <x:v>Online</x:v>
      </x:c>
      <x:c r="G373" s="2" t="str">
        <x:v>Lighting</x:v>
      </x:c>
      <x:c r="H373" s="2" t="str">
        <x:v>Lamp 021</x:v>
      </x:c>
      <x:c r="I373" s="11" t="n">
        <x:v>1</x:v>
      </x:c>
      <x:c r="J373" s="9" t="n">
        <x:v>249</x:v>
      </x:c>
      <x:c r="K373" s="10" t="n">
        <x:v>0</x:v>
      </x:c>
      <x:c r="L373" s="11" t="n">
        <x:v>0</x:v>
      </x:c>
      <x:c r="M373" s="9" t="n">
        <x:f>IF(D373="Completed",I373*J373,0)</x:f>
        <x:v>249</x:v>
      </x:c>
      <x:c r="N373" s="9" t="n">
        <x:f>M373*K373</x:f>
        <x:v>0</x:v>
      </x:c>
      <x:c r="O373" s="9" t="n">
        <x:f>M373-N373</x:f>
        <x:v>249</x:v>
      </x:c>
      <x:c r="P373" s="9" t="n">
        <x:f>IF(D373="Completed",L373*J373*(1-K373),0)</x:f>
        <x:v>0</x:v>
      </x:c>
      <x:c r="Q373" s="9" t="n">
        <x:f>O373-P373</x:f>
        <x:v>249</x:v>
      </x:c>
      <x:c r="R373" s="11" t="n">
        <x:f>IF(D373="Completed",I373,0)</x:f>
        <x:v>1</x:v>
      </x:c>
      <x:c r="S373" s="11" t="n">
        <x:f>IF(D373="Completed",L373,0)</x:f>
        <x:v>0</x:v>
      </x:c>
      <x:c r="T373" s="8" t="n">
        <x:f>DATE(YEAR(C373),MONTH(C373),1)</x:f>
        <x:v>45931</x:v>
      </x:c>
    </x:row>
    <x:row r="374" ht="22" customHeight="1">
      <x:c r="A374" s="2" t="str">
        <x:v>L000370</x:v>
      </x:c>
      <x:c r="B374" s="2" t="str">
        <x:v>O00150</x:v>
      </x:c>
      <x:c r="C374" s="7" t="n">
        <x:v>45956</x:v>
      </x:c>
      <x:c r="D374" s="2" t="str">
        <x:v>Completed</x:v>
      </x:c>
      <x:c r="E374" s="2" t="str">
        <x:v>North</x:v>
      </x:c>
      <x:c r="F374" s="2" t="str">
        <x:v>Online</x:v>
      </x:c>
      <x:c r="G374" s="2" t="str">
        <x:v>Storage</x:v>
      </x:c>
      <x:c r="H374" s="2" t="str">
        <x:v>Shelf 015</x:v>
      </x:c>
      <x:c r="I374" s="11" t="n">
        <x:v>1</x:v>
      </x:c>
      <x:c r="J374" s="9" t="n">
        <x:v>254</x:v>
      </x:c>
      <x:c r="K374" s="10" t="n">
        <x:v>0.2</x:v>
      </x:c>
      <x:c r="L374" s="11" t="n">
        <x:v>0</x:v>
      </x:c>
      <x:c r="M374" s="9" t="n">
        <x:f>IF(D374="Completed",I374*J374,0)</x:f>
        <x:v>254</x:v>
      </x:c>
      <x:c r="N374" s="9" t="n">
        <x:f>M374*K374</x:f>
        <x:v>50.800000000000004</x:v>
      </x:c>
      <x:c r="O374" s="9" t="n">
        <x:f>M374-N374</x:f>
        <x:v>203.2</x:v>
      </x:c>
      <x:c r="P374" s="9" t="n">
        <x:f>IF(D374="Completed",L374*J374*(1-K374),0)</x:f>
        <x:v>0</x:v>
      </x:c>
      <x:c r="Q374" s="9" t="n">
        <x:f>O374-P374</x:f>
        <x:v>203.2</x:v>
      </x:c>
      <x:c r="R374" s="11" t="n">
        <x:f>IF(D374="Completed",I374,0)</x:f>
        <x:v>1</x:v>
      </x:c>
      <x:c r="S374" s="11" t="n">
        <x:f>IF(D374="Completed",L374,0)</x:f>
        <x:v>0</x:v>
      </x:c>
      <x:c r="T374" s="8" t="n">
        <x:f>DATE(YEAR(C374),MONTH(C374),1)</x:f>
        <x:v>45931</x:v>
      </x:c>
    </x:row>
    <x:row r="375" ht="22" customHeight="1">
      <x:c r="A375" s="2" t="str">
        <x:v>L000371</x:v>
      </x:c>
      <x:c r="B375" s="2" t="str">
        <x:v>O00150</x:v>
      </x:c>
      <x:c r="C375" s="7" t="n">
        <x:v>45956</x:v>
      </x:c>
      <x:c r="D375" s="2" t="str">
        <x:v>Completed</x:v>
      </x:c>
      <x:c r="E375" s="2" t="str">
        <x:v>North</x:v>
      </x:c>
      <x:c r="F375" s="2" t="str">
        <x:v>Online</x:v>
      </x:c>
      <x:c r="G375" s="2" t="str">
        <x:v>Furniture</x:v>
      </x:c>
      <x:c r="H375" s="2" t="str">
        <x:v>Chair 014</x:v>
      </x:c>
      <x:c r="I375" s="11" t="n">
        <x:v>4</x:v>
      </x:c>
      <x:c r="J375" s="9" t="n">
        <x:v>294</x:v>
      </x:c>
      <x:c r="K375" s="10" t="n">
        <x:v>0</x:v>
      </x:c>
      <x:c r="L375" s="11" t="n">
        <x:v>2</x:v>
      </x:c>
      <x:c r="M375" s="9" t="n">
        <x:f>IF(D375="Completed",I375*J375,0)</x:f>
        <x:v>1176</x:v>
      </x:c>
      <x:c r="N375" s="9" t="n">
        <x:f>M375*K375</x:f>
        <x:v>0</x:v>
      </x:c>
      <x:c r="O375" s="9" t="n">
        <x:f>M375-N375</x:f>
        <x:v>1176</x:v>
      </x:c>
      <x:c r="P375" s="9" t="n">
        <x:f>IF(D375="Completed",L375*J375*(1-K375),0)</x:f>
        <x:v>588</x:v>
      </x:c>
      <x:c r="Q375" s="9" t="n">
        <x:f>O375-P375</x:f>
        <x:v>588</x:v>
      </x:c>
      <x:c r="R375" s="11" t="n">
        <x:f>IF(D375="Completed",I375,0)</x:f>
        <x:v>4</x:v>
      </x:c>
      <x:c r="S375" s="11" t="n">
        <x:f>IF(D375="Completed",L375,0)</x:f>
        <x:v>2</x:v>
      </x:c>
      <x:c r="T375" s="8" t="n">
        <x:f>DATE(YEAR(C375),MONTH(C375),1)</x:f>
        <x:v>45931</x:v>
      </x:c>
    </x:row>
    <x:row r="376" ht="22" customHeight="1">
      <x:c r="A376" s="2" t="str">
        <x:v>L000372</x:v>
      </x:c>
      <x:c r="B376" s="2" t="str">
        <x:v>O00151</x:v>
      </x:c>
      <x:c r="C376" s="7" t="n">
        <x:v>45763</x:v>
      </x:c>
      <x:c r="D376" s="2" t="str">
        <x:v>Completed</x:v>
      </x:c>
      <x:c r="E376" s="2" t="str">
        <x:v>South</x:v>
      </x:c>
      <x:c r="F376" s="2" t="str">
        <x:v>Store</x:v>
      </x:c>
      <x:c r="G376" s="2" t="str">
        <x:v>Furniture</x:v>
      </x:c>
      <x:c r="H376" s="2" t="str">
        <x:v>Desk 016</x:v>
      </x:c>
      <x:c r="I376" s="11" t="n">
        <x:v>2</x:v>
      </x:c>
      <x:c r="J376" s="9" t="n">
        <x:v>231</x:v>
      </x:c>
      <x:c r="K376" s="10" t="n">
        <x:v>0</x:v>
      </x:c>
      <x:c r="L376" s="11" t="n">
        <x:v>0</x:v>
      </x:c>
      <x:c r="M376" s="9" t="n">
        <x:f>IF(D376="Completed",I376*J376,0)</x:f>
        <x:v>462</x:v>
      </x:c>
      <x:c r="N376" s="9" t="n">
        <x:f>M376*K376</x:f>
        <x:v>0</x:v>
      </x:c>
      <x:c r="O376" s="9" t="n">
        <x:f>M376-N376</x:f>
        <x:v>462</x:v>
      </x:c>
      <x:c r="P376" s="9" t="n">
        <x:f>IF(D376="Completed",L376*J376*(1-K376),0)</x:f>
        <x:v>0</x:v>
      </x:c>
      <x:c r="Q376" s="9" t="n">
        <x:f>O376-P376</x:f>
        <x:v>462</x:v>
      </x:c>
      <x:c r="R376" s="11" t="n">
        <x:f>IF(D376="Completed",I376,0)</x:f>
        <x:v>2</x:v>
      </x:c>
      <x:c r="S376" s="11" t="n">
        <x:f>IF(D376="Completed",L376,0)</x:f>
        <x:v>0</x:v>
      </x:c>
      <x:c r="T376" s="8" t="n">
        <x:f>DATE(YEAR(C376),MONTH(C376),1)</x:f>
        <x:v>45748</x:v>
      </x:c>
    </x:row>
    <x:row r="377" ht="22" customHeight="1">
      <x:c r="A377" s="2" t="str">
        <x:v>L000373</x:v>
      </x:c>
      <x:c r="B377" s="2" t="str">
        <x:v>O00152</x:v>
      </x:c>
      <x:c r="C377" s="7" t="n">
        <x:v>45849</x:v>
      </x:c>
      <x:c r="D377" s="2" t="str">
        <x:v>Completed</x:v>
      </x:c>
      <x:c r="E377" s="2" t="str">
        <x:v>North</x:v>
      </x:c>
      <x:c r="F377" s="2" t="str">
        <x:v>Store</x:v>
      </x:c>
      <x:c r="G377" s="2" t="str">
        <x:v>Furniture</x:v>
      </x:c>
      <x:c r="H377" s="2" t="str">
        <x:v>Desk 020</x:v>
      </x:c>
      <x:c r="I377" s="11" t="n">
        <x:v>3</x:v>
      </x:c>
      <x:c r="J377" s="9" t="n">
        <x:v>189</x:v>
      </x:c>
      <x:c r="K377" s="10" t="n">
        <x:v>0.1</x:v>
      </x:c>
      <x:c r="L377" s="11" t="n">
        <x:v>0</x:v>
      </x:c>
      <x:c r="M377" s="9" t="n">
        <x:f>IF(D377="Completed",I377*J377,0)</x:f>
        <x:v>567</x:v>
      </x:c>
      <x:c r="N377" s="9" t="n">
        <x:f>M377*K377</x:f>
        <x:v>56.7</x:v>
      </x:c>
      <x:c r="O377" s="9" t="n">
        <x:f>M377-N377</x:f>
        <x:v>510.3</x:v>
      </x:c>
      <x:c r="P377" s="9" t="n">
        <x:f>IF(D377="Completed",L377*J377*(1-K377),0)</x:f>
        <x:v>0</x:v>
      </x:c>
      <x:c r="Q377" s="9" t="n">
        <x:f>O377-P377</x:f>
        <x:v>510.3</x:v>
      </x:c>
      <x:c r="R377" s="11" t="n">
        <x:f>IF(D377="Completed",I377,0)</x:f>
        <x:v>3</x:v>
      </x:c>
      <x:c r="S377" s="11" t="n">
        <x:f>IF(D377="Completed",L377,0)</x:f>
        <x:v>0</x:v>
      </x:c>
      <x:c r="T377" s="8" t="n">
        <x:f>DATE(YEAR(C377),MONTH(C377),1)</x:f>
        <x:v>45839</x:v>
      </x:c>
    </x:row>
    <x:row r="378" ht="22" customHeight="1">
      <x:c r="A378" s="2" t="str">
        <x:v>L000374</x:v>
      </x:c>
      <x:c r="B378" s="2" t="str">
        <x:v>O00153</x:v>
      </x:c>
      <x:c r="C378" s="7" t="n">
        <x:v>45658</x:v>
      </x:c>
      <x:c r="D378" s="2" t="str">
        <x:v>Completed</x:v>
      </x:c>
      <x:c r="E378" s="2" t="str">
        <x:v>North</x:v>
      </x:c>
      <x:c r="F378" s="2" t="str">
        <x:v>Online</x:v>
      </x:c>
      <x:c r="G378" s="2" t="str">
        <x:v>Storage</x:v>
      </x:c>
      <x:c r="H378" s="2" t="str">
        <x:v>Shelf 007</x:v>
      </x:c>
      <x:c r="I378" s="11" t="n">
        <x:v>3</x:v>
      </x:c>
      <x:c r="J378" s="9" t="n">
        <x:v>35</x:v>
      </x:c>
      <x:c r="K378" s="10" t="n">
        <x:v>0.1</x:v>
      </x:c>
      <x:c r="L378" s="11" t="n">
        <x:v>0</x:v>
      </x:c>
      <x:c r="M378" s="9" t="n">
        <x:f>IF(D378="Completed",I378*J378,0)</x:f>
        <x:v>105</x:v>
      </x:c>
      <x:c r="N378" s="9" t="n">
        <x:f>M378*K378</x:f>
        <x:v>10.5</x:v>
      </x:c>
      <x:c r="O378" s="9" t="n">
        <x:f>M378-N378</x:f>
        <x:v>94.5</x:v>
      </x:c>
      <x:c r="P378" s="9" t="n">
        <x:f>IF(D378="Completed",L378*J378*(1-K378),0)</x:f>
        <x:v>0</x:v>
      </x:c>
      <x:c r="Q378" s="9" t="n">
        <x:f>O378-P378</x:f>
        <x:v>94.5</x:v>
      </x:c>
      <x:c r="R378" s="11" t="n">
        <x:f>IF(D378="Completed",I378,0)</x:f>
        <x:v>3</x:v>
      </x:c>
      <x:c r="S378" s="11" t="n">
        <x:f>IF(D378="Completed",L378,0)</x:f>
        <x:v>0</x:v>
      </x:c>
      <x:c r="T378" s="8" t="n">
        <x:f>DATE(YEAR(C378),MONTH(C378),1)</x:f>
        <x:v>45658</x:v>
      </x:c>
    </x:row>
    <x:row r="379" ht="22" customHeight="1">
      <x:c r="A379" s="2" t="str">
        <x:v>L000375</x:v>
      </x:c>
      <x:c r="B379" s="2" t="str">
        <x:v>O00153</x:v>
      </x:c>
      <x:c r="C379" s="7" t="n">
        <x:v>45658</x:v>
      </x:c>
      <x:c r="D379" s="2" t="str">
        <x:v>Completed</x:v>
      </x:c>
      <x:c r="E379" s="2" t="str">
        <x:v>North</x:v>
      </x:c>
      <x:c r="F379" s="2" t="str">
        <x:v>Online</x:v>
      </x:c>
      <x:c r="G379" s="2" t="str">
        <x:v>Furniture</x:v>
      </x:c>
      <x:c r="H379" s="2" t="str">
        <x:v>Chair 014</x:v>
      </x:c>
      <x:c r="I379" s="11" t="n">
        <x:v>4</x:v>
      </x:c>
      <x:c r="J379" s="9" t="n">
        <x:v>294</x:v>
      </x:c>
      <x:c r="K379" s="10" t="n">
        <x:v>0.05</x:v>
      </x:c>
      <x:c r="L379" s="11" t="n">
        <x:v>0</x:v>
      </x:c>
      <x:c r="M379" s="9" t="n">
        <x:f>IF(D379="Completed",I379*J379,0)</x:f>
        <x:v>1176</x:v>
      </x:c>
      <x:c r="N379" s="9" t="n">
        <x:f>M379*K379</x:f>
        <x:v>58.800000000000004</x:v>
      </x:c>
      <x:c r="O379" s="9" t="n">
        <x:f>M379-N379</x:f>
        <x:v>1117.2</x:v>
      </x:c>
      <x:c r="P379" s="9" t="n">
        <x:f>IF(D379="Completed",L379*J379*(1-K379),0)</x:f>
        <x:v>0</x:v>
      </x:c>
      <x:c r="Q379" s="9" t="n">
        <x:f>O379-P379</x:f>
        <x:v>1117.2</x:v>
      </x:c>
      <x:c r="R379" s="11" t="n">
        <x:f>IF(D379="Completed",I379,0)</x:f>
        <x:v>4</x:v>
      </x:c>
      <x:c r="S379" s="11" t="n">
        <x:f>IF(D379="Completed",L379,0)</x:f>
        <x:v>0</x:v>
      </x:c>
      <x:c r="T379" s="8" t="n">
        <x:f>DATE(YEAR(C379),MONTH(C379),1)</x:f>
        <x:v>45658</x:v>
      </x:c>
    </x:row>
    <x:row r="380" ht="22" customHeight="1">
      <x:c r="A380" s="2" t="str">
        <x:v>L000376</x:v>
      </x:c>
      <x:c r="B380" s="2" t="str">
        <x:v>O00153</x:v>
      </x:c>
      <x:c r="C380" s="7" t="n">
        <x:v>45658</x:v>
      </x:c>
      <x:c r="D380" s="2" t="str">
        <x:v>Completed</x:v>
      </x:c>
      <x:c r="E380" s="2" t="str">
        <x:v>North</x:v>
      </x:c>
      <x:c r="F380" s="2" t="str">
        <x:v>Online</x:v>
      </x:c>
      <x:c r="G380" s="2" t="str">
        <x:v>Storage</x:v>
      </x:c>
      <x:c r="H380" s="2" t="str">
        <x:v>Shelf 015</x:v>
      </x:c>
      <x:c r="I380" s="11" t="n">
        <x:v>3</x:v>
      </x:c>
      <x:c r="J380" s="9" t="n">
        <x:v>254</x:v>
      </x:c>
      <x:c r="K380" s="10" t="n">
        <x:v>0.05</x:v>
      </x:c>
      <x:c r="L380" s="11" t="n">
        <x:v>0</x:v>
      </x:c>
      <x:c r="M380" s="9" t="n">
        <x:f>IF(D380="Completed",I380*J380,0)</x:f>
        <x:v>762</x:v>
      </x:c>
      <x:c r="N380" s="9" t="n">
        <x:f>M380*K380</x:f>
        <x:v>38.1</x:v>
      </x:c>
      <x:c r="O380" s="9" t="n">
        <x:f>M380-N380</x:f>
        <x:v>723.9</x:v>
      </x:c>
      <x:c r="P380" s="9" t="n">
        <x:f>IF(D380="Completed",L380*J380*(1-K380),0)</x:f>
        <x:v>0</x:v>
      </x:c>
      <x:c r="Q380" s="9" t="n">
        <x:f>O380-P380</x:f>
        <x:v>723.9</x:v>
      </x:c>
      <x:c r="R380" s="11" t="n">
        <x:f>IF(D380="Completed",I380,0)</x:f>
        <x:v>3</x:v>
      </x:c>
      <x:c r="S380" s="11" t="n">
        <x:f>IF(D380="Completed",L380,0)</x:f>
        <x:v>0</x:v>
      </x:c>
      <x:c r="T380" s="8" t="n">
        <x:f>DATE(YEAR(C380),MONTH(C380),1)</x:f>
        <x:v>45658</x:v>
      </x:c>
    </x:row>
    <x:row r="381" ht="22" customHeight="1">
      <x:c r="A381" s="2" t="str">
        <x:v>L000377</x:v>
      </x:c>
      <x:c r="B381" s="2" t="str">
        <x:v>O00154</x:v>
      </x:c>
      <x:c r="C381" s="7" t="n">
        <x:v>45761</x:v>
      </x:c>
      <x:c r="D381" s="2" t="str">
        <x:v>Completed</x:v>
      </x:c>
      <x:c r="E381" s="2" t="str">
        <x:v>West</x:v>
      </x:c>
      <x:c r="F381" s="2" t="str">
        <x:v>Online</x:v>
      </x:c>
      <x:c r="G381" s="2" t="str">
        <x:v>Lighting</x:v>
      </x:c>
      <x:c r="H381" s="2" t="str">
        <x:v>Lamp 001</x:v>
      </x:c>
      <x:c r="I381" s="11" t="n">
        <x:v>2</x:v>
      </x:c>
      <x:c r="J381" s="9" t="n">
        <x:v>122</x:v>
      </x:c>
      <x:c r="K381" s="10" t="n">
        <x:v>0</x:v>
      </x:c>
      <x:c r="L381" s="11" t="n">
        <x:v>0</x:v>
      </x:c>
      <x:c r="M381" s="9" t="n">
        <x:f>IF(D381="Completed",I381*J381,0)</x:f>
        <x:v>244</x:v>
      </x:c>
      <x:c r="N381" s="9" t="n">
        <x:f>M381*K381</x:f>
        <x:v>0</x:v>
      </x:c>
      <x:c r="O381" s="9" t="n">
        <x:f>M381-N381</x:f>
        <x:v>244</x:v>
      </x:c>
      <x:c r="P381" s="9" t="n">
        <x:f>IF(D381="Completed",L381*J381*(1-K381),0)</x:f>
        <x:v>0</x:v>
      </x:c>
      <x:c r="Q381" s="9" t="n">
        <x:f>O381-P381</x:f>
        <x:v>244</x:v>
      </x:c>
      <x:c r="R381" s="11" t="n">
        <x:f>IF(D381="Completed",I381,0)</x:f>
        <x:v>2</x:v>
      </x:c>
      <x:c r="S381" s="11" t="n">
        <x:f>IF(D381="Completed",L381,0)</x:f>
        <x:v>0</x:v>
      </x:c>
      <x:c r="T381" s="8" t="n">
        <x:f>DATE(YEAR(C381),MONTH(C381),1)</x:f>
        <x:v>45748</x:v>
      </x:c>
    </x:row>
    <x:row r="382" ht="22" customHeight="1">
      <x:c r="A382" s="2" t="str">
        <x:v>L000378</x:v>
      </x:c>
      <x:c r="B382" s="2" t="str">
        <x:v>O00155</x:v>
      </x:c>
      <x:c r="C382" s="7" t="n">
        <x:v>45959</x:v>
      </x:c>
      <x:c r="D382" s="2" t="str">
        <x:v>Completed</x:v>
      </x:c>
      <x:c r="E382" s="2" t="str">
        <x:v>South</x:v>
      </x:c>
      <x:c r="F382" s="2" t="str">
        <x:v>Online</x:v>
      </x:c>
      <x:c r="G382" s="2" t="str">
        <x:v>Lighting</x:v>
      </x:c>
      <x:c r="H382" s="2" t="str">
        <x:v>Lamp 001</x:v>
      </x:c>
      <x:c r="I382" s="11" t="n">
        <x:v>3</x:v>
      </x:c>
      <x:c r="J382" s="9" t="n">
        <x:v>122</x:v>
      </x:c>
      <x:c r="K382" s="10" t="n">
        <x:v>0.05</x:v>
      </x:c>
      <x:c r="L382" s="11" t="n">
        <x:v>0</x:v>
      </x:c>
      <x:c r="M382" s="9" t="n">
        <x:f>IF(D382="Completed",I382*J382,0)</x:f>
        <x:v>366</x:v>
      </x:c>
      <x:c r="N382" s="9" t="n">
        <x:f>M382*K382</x:f>
        <x:v>18.3</x:v>
      </x:c>
      <x:c r="O382" s="9" t="n">
        <x:f>M382-N382</x:f>
        <x:v>347.7</x:v>
      </x:c>
      <x:c r="P382" s="9" t="n">
        <x:f>IF(D382="Completed",L382*J382*(1-K382),0)</x:f>
        <x:v>0</x:v>
      </x:c>
      <x:c r="Q382" s="9" t="n">
        <x:f>O382-P382</x:f>
        <x:v>347.7</x:v>
      </x:c>
      <x:c r="R382" s="11" t="n">
        <x:f>IF(D382="Completed",I382,0)</x:f>
        <x:v>3</x:v>
      </x:c>
      <x:c r="S382" s="11" t="n">
        <x:f>IF(D382="Completed",L382,0)</x:f>
        <x:v>0</x:v>
      </x:c>
      <x:c r="T382" s="8" t="n">
        <x:f>DATE(YEAR(C382),MONTH(C382),1)</x:f>
        <x:v>45931</x:v>
      </x:c>
    </x:row>
    <x:row r="383" ht="22" customHeight="1">
      <x:c r="A383" s="2" t="str">
        <x:v>L000379</x:v>
      </x:c>
      <x:c r="B383" s="2" t="str">
        <x:v>O00156</x:v>
      </x:c>
      <x:c r="C383" s="7" t="n">
        <x:v>45946</x:v>
      </x:c>
      <x:c r="D383" s="2" t="str">
        <x:v>Completed</x:v>
      </x:c>
      <x:c r="E383" s="2" t="str">
        <x:v>East</x:v>
      </x:c>
      <x:c r="F383" s="2" t="str">
        <x:v>Online</x:v>
      </x:c>
      <x:c r="G383" s="2" t="str">
        <x:v>Furniture</x:v>
      </x:c>
      <x:c r="H383" s="2" t="str">
        <x:v>Chair 002</x:v>
      </x:c>
      <x:c r="I383" s="11" t="n">
        <x:v>1</x:v>
      </x:c>
      <x:c r="J383" s="9" t="n">
        <x:v>284</x:v>
      </x:c>
      <x:c r="K383" s="10" t="n">
        <x:v>0</x:v>
      </x:c>
      <x:c r="L383" s="11" t="n">
        <x:v>0</x:v>
      </x:c>
      <x:c r="M383" s="9" t="n">
        <x:f>IF(D383="Completed",I383*J383,0)</x:f>
        <x:v>284</x:v>
      </x:c>
      <x:c r="N383" s="9" t="n">
        <x:f>M383*K383</x:f>
        <x:v>0</x:v>
      </x:c>
      <x:c r="O383" s="9" t="n">
        <x:f>M383-N383</x:f>
        <x:v>284</x:v>
      </x:c>
      <x:c r="P383" s="9" t="n">
        <x:f>IF(D383="Completed",L383*J383*(1-K383),0)</x:f>
        <x:v>0</x:v>
      </x:c>
      <x:c r="Q383" s="9" t="n">
        <x:f>O383-P383</x:f>
        <x:v>284</x:v>
      </x:c>
      <x:c r="R383" s="11" t="n">
        <x:f>IF(D383="Completed",I383,0)</x:f>
        <x:v>1</x:v>
      </x:c>
      <x:c r="S383" s="11" t="n">
        <x:f>IF(D383="Completed",L383,0)</x:f>
        <x:v>0</x:v>
      </x:c>
      <x:c r="T383" s="8" t="n">
        <x:f>DATE(YEAR(C383),MONTH(C383),1)</x:f>
        <x:v>45931</x:v>
      </x:c>
    </x:row>
    <x:row r="384" ht="22" customHeight="1">
      <x:c r="A384" s="2" t="str">
        <x:v>L000380</x:v>
      </x:c>
      <x:c r="B384" s="2" t="str">
        <x:v>O00157</x:v>
      </x:c>
      <x:c r="C384" s="7" t="n">
        <x:v>45848</x:v>
      </x:c>
      <x:c r="D384" s="2" t="str">
        <x:v>Completed</x:v>
      </x:c>
      <x:c r="E384" s="2" t="str">
        <x:v>South</x:v>
      </x:c>
      <x:c r="F384" s="2" t="str">
        <x:v>Online</x:v>
      </x:c>
      <x:c r="G384" s="2" t="str">
        <x:v>Furniture</x:v>
      </x:c>
      <x:c r="H384" s="2" t="str">
        <x:v>Chair 002</x:v>
      </x:c>
      <x:c r="I384" s="11" t="n">
        <x:v>4</x:v>
      </x:c>
      <x:c r="J384" s="9" t="n">
        <x:v>284</x:v>
      </x:c>
      <x:c r="K384" s="10" t="n">
        <x:v>0.2</x:v>
      </x:c>
      <x:c r="L384" s="11" t="n">
        <x:v>0</x:v>
      </x:c>
      <x:c r="M384" s="9" t="n">
        <x:f>IF(D384="Completed",I384*J384,0)</x:f>
        <x:v>1136</x:v>
      </x:c>
      <x:c r="N384" s="9" t="n">
        <x:f>M384*K384</x:f>
        <x:v>227.20000000000002</x:v>
      </x:c>
      <x:c r="O384" s="9" t="n">
        <x:f>M384-N384</x:f>
        <x:v>908.8</x:v>
      </x:c>
      <x:c r="P384" s="9" t="n">
        <x:f>IF(D384="Completed",L384*J384*(1-K384),0)</x:f>
        <x:v>0</x:v>
      </x:c>
      <x:c r="Q384" s="9" t="n">
        <x:f>O384-P384</x:f>
        <x:v>908.8</x:v>
      </x:c>
      <x:c r="R384" s="11" t="n">
        <x:f>IF(D384="Completed",I384,0)</x:f>
        <x:v>4</x:v>
      </x:c>
      <x:c r="S384" s="11" t="n">
        <x:f>IF(D384="Completed",L384,0)</x:f>
        <x:v>0</x:v>
      </x:c>
      <x:c r="T384" s="8" t="n">
        <x:f>DATE(YEAR(C384),MONTH(C384),1)</x:f>
        <x:v>45839</x:v>
      </x:c>
    </x:row>
    <x:row r="385" ht="22" customHeight="1">
      <x:c r="A385" s="2" t="str">
        <x:v>L000381</x:v>
      </x:c>
      <x:c r="B385" s="2" t="str">
        <x:v>O00157</x:v>
      </x:c>
      <x:c r="C385" s="7" t="n">
        <x:v>45848</x:v>
      </x:c>
      <x:c r="D385" s="2" t="str">
        <x:v>Completed</x:v>
      </x:c>
      <x:c r="E385" s="2" t="str">
        <x:v>South</x:v>
      </x:c>
      <x:c r="F385" s="2" t="str">
        <x:v>Online</x:v>
      </x:c>
      <x:c r="G385" s="2" t="str">
        <x:v>Lighting</x:v>
      </x:c>
      <x:c r="H385" s="2" t="str">
        <x:v>Lamp 013</x:v>
      </x:c>
      <x:c r="I385" s="11" t="n">
        <x:v>1</x:v>
      </x:c>
      <x:c r="J385" s="9" t="n">
        <x:v>271</x:v>
      </x:c>
      <x:c r="K385" s="10" t="n">
        <x:v>0.2</x:v>
      </x:c>
      <x:c r="L385" s="11" t="n">
        <x:v>0</x:v>
      </x:c>
      <x:c r="M385" s="9" t="n">
        <x:f>IF(D385="Completed",I385*J385,0)</x:f>
        <x:v>271</x:v>
      </x:c>
      <x:c r="N385" s="9" t="n">
        <x:f>M385*K385</x:f>
        <x:v>54.2</x:v>
      </x:c>
      <x:c r="O385" s="9" t="n">
        <x:f>M385-N385</x:f>
        <x:v>216.8</x:v>
      </x:c>
      <x:c r="P385" s="9" t="n">
        <x:f>IF(D385="Completed",L385*J385*(1-K385),0)</x:f>
        <x:v>0</x:v>
      </x:c>
      <x:c r="Q385" s="9" t="n">
        <x:f>O385-P385</x:f>
        <x:v>216.8</x:v>
      </x:c>
      <x:c r="R385" s="11" t="n">
        <x:f>IF(D385="Completed",I385,0)</x:f>
        <x:v>1</x:v>
      </x:c>
      <x:c r="S385" s="11" t="n">
        <x:f>IF(D385="Completed",L385,0)</x:f>
        <x:v>0</x:v>
      </x:c>
      <x:c r="T385" s="8" t="n">
        <x:f>DATE(YEAR(C385),MONTH(C385),1)</x:f>
        <x:v>45839</x:v>
      </x:c>
    </x:row>
    <x:row r="386" ht="22" customHeight="1">
      <x:c r="A386" s="2" t="str">
        <x:v>L000382</x:v>
      </x:c>
      <x:c r="B386" s="2" t="str">
        <x:v>O00157</x:v>
      </x:c>
      <x:c r="C386" s="7" t="n">
        <x:v>45848</x:v>
      </x:c>
      <x:c r="D386" s="2" t="str">
        <x:v>Completed</x:v>
      </x:c>
      <x:c r="E386" s="2" t="str">
        <x:v>South</x:v>
      </x:c>
      <x:c r="F386" s="2" t="str">
        <x:v>Online</x:v>
      </x:c>
      <x:c r="G386" s="2" t="str">
        <x:v>Storage</x:v>
      </x:c>
      <x:c r="H386" s="2" t="str">
        <x:v>Shelf 003</x:v>
      </x:c>
      <x:c r="I386" s="11" t="n">
        <x:v>1</x:v>
      </x:c>
      <x:c r="J386" s="9" t="n">
        <x:v>199</x:v>
      </x:c>
      <x:c r="K386" s="10" t="n">
        <x:v>0.1</x:v>
      </x:c>
      <x:c r="L386" s="11" t="n">
        <x:v>0</x:v>
      </x:c>
      <x:c r="M386" s="9" t="n">
        <x:f>IF(D386="Completed",I386*J386,0)</x:f>
        <x:v>199</x:v>
      </x:c>
      <x:c r="N386" s="9" t="n">
        <x:f>M386*K386</x:f>
        <x:v>19.900000000000002</x:v>
      </x:c>
      <x:c r="O386" s="9" t="n">
        <x:f>M386-N386</x:f>
        <x:v>179.1</x:v>
      </x:c>
      <x:c r="P386" s="9" t="n">
        <x:f>IF(D386="Completed",L386*J386*(1-K386),0)</x:f>
        <x:v>0</x:v>
      </x:c>
      <x:c r="Q386" s="9" t="n">
        <x:f>O386-P386</x:f>
        <x:v>179.1</x:v>
      </x:c>
      <x:c r="R386" s="11" t="n">
        <x:f>IF(D386="Completed",I386,0)</x:f>
        <x:v>1</x:v>
      </x:c>
      <x:c r="S386" s="11" t="n">
        <x:f>IF(D386="Completed",L386,0)</x:f>
        <x:v>0</x:v>
      </x:c>
      <x:c r="T386" s="8" t="n">
        <x:f>DATE(YEAR(C386),MONTH(C386),1)</x:f>
        <x:v>45839</x:v>
      </x:c>
    </x:row>
    <x:row r="387" ht="22" customHeight="1">
      <x:c r="A387" s="2" t="str">
        <x:v>L000383</x:v>
      </x:c>
      <x:c r="B387" s="2" t="str">
        <x:v>O00158</x:v>
      </x:c>
      <x:c r="C387" s="7" t="n">
        <x:v>45714</x:v>
      </x:c>
      <x:c r="D387" s="2" t="str">
        <x:v>Completed</x:v>
      </x:c>
      <x:c r="E387" s="2" t="str">
        <x:v>East</x:v>
      </x:c>
      <x:c r="F387" s="2" t="str">
        <x:v>Store</x:v>
      </x:c>
      <x:c r="G387" s="2" t="str">
        <x:v>Lighting</x:v>
      </x:c>
      <x:c r="H387" s="2" t="str">
        <x:v>Lamp 001</x:v>
      </x:c>
      <x:c r="I387" s="11" t="n">
        <x:v>4</x:v>
      </x:c>
      <x:c r="J387" s="9" t="n">
        <x:v>122</x:v>
      </x:c>
      <x:c r="K387" s="10" t="n">
        <x:v>0.2</x:v>
      </x:c>
      <x:c r="L387" s="11" t="n">
        <x:v>0</x:v>
      </x:c>
      <x:c r="M387" s="9" t="n">
        <x:f>IF(D387="Completed",I387*J387,0)</x:f>
        <x:v>488</x:v>
      </x:c>
      <x:c r="N387" s="9" t="n">
        <x:f>M387*K387</x:f>
        <x:v>97.60000000000001</x:v>
      </x:c>
      <x:c r="O387" s="9" t="n">
        <x:f>M387-N387</x:f>
        <x:v>390.4</x:v>
      </x:c>
      <x:c r="P387" s="9" t="n">
        <x:f>IF(D387="Completed",L387*J387*(1-K387),0)</x:f>
        <x:v>0</x:v>
      </x:c>
      <x:c r="Q387" s="9" t="n">
        <x:f>O387-P387</x:f>
        <x:v>390.4</x:v>
      </x:c>
      <x:c r="R387" s="11" t="n">
        <x:f>IF(D387="Completed",I387,0)</x:f>
        <x:v>4</x:v>
      </x:c>
      <x:c r="S387" s="11" t="n">
        <x:f>IF(D387="Completed",L387,0)</x:f>
        <x:v>0</x:v>
      </x:c>
      <x:c r="T387" s="8" t="n">
        <x:f>DATE(YEAR(C387),MONTH(C387),1)</x:f>
        <x:v>45689</x:v>
      </x:c>
    </x:row>
    <x:row r="388" ht="22" customHeight="1">
      <x:c r="A388" s="2" t="str">
        <x:v>L000384</x:v>
      </x:c>
      <x:c r="B388" s="2" t="str">
        <x:v>O00158</x:v>
      </x:c>
      <x:c r="C388" s="7" t="n">
        <x:v>45714</x:v>
      </x:c>
      <x:c r="D388" s="2" t="str">
        <x:v>Completed</x:v>
      </x:c>
      <x:c r="E388" s="2" t="str">
        <x:v>East</x:v>
      </x:c>
      <x:c r="F388" s="2" t="str">
        <x:v>Store</x:v>
      </x:c>
      <x:c r="G388" s="2" t="str">
        <x:v>Storage</x:v>
      </x:c>
      <x:c r="H388" s="2" t="str">
        <x:v>Shelf 007</x:v>
      </x:c>
      <x:c r="I388" s="11" t="n">
        <x:v>5</x:v>
      </x:c>
      <x:c r="J388" s="9" t="n">
        <x:v>35</x:v>
      </x:c>
      <x:c r="K388" s="10" t="n">
        <x:v>0.05</x:v>
      </x:c>
      <x:c r="L388" s="11" t="n">
        <x:v>0</x:v>
      </x:c>
      <x:c r="M388" s="9" t="n">
        <x:f>IF(D388="Completed",I388*J388,0)</x:f>
        <x:v>175</x:v>
      </x:c>
      <x:c r="N388" s="9" t="n">
        <x:f>M388*K388</x:f>
        <x:v>8.75</x:v>
      </x:c>
      <x:c r="O388" s="9" t="n">
        <x:f>M388-N388</x:f>
        <x:v>166.25</x:v>
      </x:c>
      <x:c r="P388" s="9" t="n">
        <x:f>IF(D388="Completed",L388*J388*(1-K388),0)</x:f>
        <x:v>0</x:v>
      </x:c>
      <x:c r="Q388" s="9" t="n">
        <x:f>O388-P388</x:f>
        <x:v>166.25</x:v>
      </x:c>
      <x:c r="R388" s="11" t="n">
        <x:f>IF(D388="Completed",I388,0)</x:f>
        <x:v>5</x:v>
      </x:c>
      <x:c r="S388" s="11" t="n">
        <x:f>IF(D388="Completed",L388,0)</x:f>
        <x:v>0</x:v>
      </x:c>
      <x:c r="T388" s="8" t="n">
        <x:f>DATE(YEAR(C388),MONTH(C388),1)</x:f>
        <x:v>45689</x:v>
      </x:c>
    </x:row>
    <x:row r="389" ht="22" customHeight="1">
      <x:c r="A389" s="2" t="str">
        <x:v>L000385</x:v>
      </x:c>
      <x:c r="B389" s="2" t="str">
        <x:v>O00159</x:v>
      </x:c>
      <x:c r="C389" s="7" t="n">
        <x:v>45662</x:v>
      </x:c>
      <x:c r="D389" s="2" t="str">
        <x:v>Completed</x:v>
      </x:c>
      <x:c r="E389" s="2" t="str">
        <x:v>South</x:v>
      </x:c>
      <x:c r="F389" s="2" t="str">
        <x:v>Store</x:v>
      </x:c>
      <x:c r="G389" s="2" t="str">
        <x:v>Lighting</x:v>
      </x:c>
      <x:c r="H389" s="2" t="str">
        <x:v>Lamp 017</x:v>
      </x:c>
      <x:c r="I389" s="11" t="n">
        <x:v>4</x:v>
      </x:c>
      <x:c r="J389" s="9" t="n">
        <x:v>300</x:v>
      </x:c>
      <x:c r="K389" s="10" t="n">
        <x:v>0.05</x:v>
      </x:c>
      <x:c r="L389" s="11" t="n">
        <x:v>0</x:v>
      </x:c>
      <x:c r="M389" s="9" t="n">
        <x:f>IF(D389="Completed",I389*J389,0)</x:f>
        <x:v>1200</x:v>
      </x:c>
      <x:c r="N389" s="9" t="n">
        <x:f>M389*K389</x:f>
        <x:v>60</x:v>
      </x:c>
      <x:c r="O389" s="9" t="n">
        <x:f>M389-N389</x:f>
        <x:v>1140</x:v>
      </x:c>
      <x:c r="P389" s="9" t="n">
        <x:f>IF(D389="Completed",L389*J389*(1-K389),0)</x:f>
        <x:v>0</x:v>
      </x:c>
      <x:c r="Q389" s="9" t="n">
        <x:f>O389-P389</x:f>
        <x:v>1140</x:v>
      </x:c>
      <x:c r="R389" s="11" t="n">
        <x:f>IF(D389="Completed",I389,0)</x:f>
        <x:v>4</x:v>
      </x:c>
      <x:c r="S389" s="11" t="n">
        <x:f>IF(D389="Completed",L389,0)</x:f>
        <x:v>0</x:v>
      </x:c>
      <x:c r="T389" s="8" t="n">
        <x:f>DATE(YEAR(C389),MONTH(C389),1)</x:f>
        <x:v>45658</x:v>
      </x:c>
    </x:row>
    <x:row r="390" ht="22" customHeight="1">
      <x:c r="A390" s="2" t="str">
        <x:v>L000386</x:v>
      </x:c>
      <x:c r="B390" s="2" t="str">
        <x:v>O00160</x:v>
      </x:c>
      <x:c r="C390" s="7" t="n">
        <x:v>45937</x:v>
      </x:c>
      <x:c r="D390" s="2" t="str">
        <x:v>Completed</x:v>
      </x:c>
      <x:c r="E390" s="2" t="str">
        <x:v>South</x:v>
      </x:c>
      <x:c r="F390" s="2" t="str">
        <x:v>Store</x:v>
      </x:c>
      <x:c r="G390" s="2" t="str">
        <x:v>Storage</x:v>
      </x:c>
      <x:c r="H390" s="2" t="str">
        <x:v>Shelf 007</x:v>
      </x:c>
      <x:c r="I390" s="11" t="n">
        <x:v>4</x:v>
      </x:c>
      <x:c r="J390" s="9" t="n">
        <x:v>35</x:v>
      </x:c>
      <x:c r="K390" s="10" t="n">
        <x:v>0.2</x:v>
      </x:c>
      <x:c r="L390" s="11" t="n">
        <x:v>0</x:v>
      </x:c>
      <x:c r="M390" s="9" t="n">
        <x:f>IF(D390="Completed",I390*J390,0)</x:f>
        <x:v>140</x:v>
      </x:c>
      <x:c r="N390" s="9" t="n">
        <x:f>M390*K390</x:f>
        <x:v>28</x:v>
      </x:c>
      <x:c r="O390" s="9" t="n">
        <x:f>M390-N390</x:f>
        <x:v>112</x:v>
      </x:c>
      <x:c r="P390" s="9" t="n">
        <x:f>IF(D390="Completed",L390*J390*(1-K390),0)</x:f>
        <x:v>0</x:v>
      </x:c>
      <x:c r="Q390" s="9" t="n">
        <x:f>O390-P390</x:f>
        <x:v>112</x:v>
      </x:c>
      <x:c r="R390" s="11" t="n">
        <x:f>IF(D390="Completed",I390,0)</x:f>
        <x:v>4</x:v>
      </x:c>
      <x:c r="S390" s="11" t="n">
        <x:f>IF(D390="Completed",L390,0)</x:f>
        <x:v>0</x:v>
      </x:c>
      <x:c r="T390" s="8" t="n">
        <x:f>DATE(YEAR(C390),MONTH(C390),1)</x:f>
        <x:v>45931</x:v>
      </x:c>
    </x:row>
    <x:row r="391" ht="22" customHeight="1">
      <x:c r="A391" s="2" t="str">
        <x:v>L000387</x:v>
      </x:c>
      <x:c r="B391" s="2" t="str">
        <x:v>O00161</x:v>
      </x:c>
      <x:c r="C391" s="7" t="n">
        <x:v>45876</x:v>
      </x:c>
      <x:c r="D391" s="2" t="str">
        <x:v>Completed</x:v>
      </x:c>
      <x:c r="E391" s="2" t="str">
        <x:v>West</x:v>
      </x:c>
      <x:c r="F391" s="2" t="str">
        <x:v>Online</x:v>
      </x:c>
      <x:c r="G391" s="2" t="str">
        <x:v>Lighting</x:v>
      </x:c>
      <x:c r="H391" s="2" t="str">
        <x:v>Lamp 009</x:v>
      </x:c>
      <x:c r="I391" s="11" t="n">
        <x:v>3</x:v>
      </x:c>
      <x:c r="J391" s="9" t="n">
        <x:v>93</x:v>
      </x:c>
      <x:c r="K391" s="10" t="n">
        <x:v>0.1</x:v>
      </x:c>
      <x:c r="L391" s="11" t="n">
        <x:v>0</x:v>
      </x:c>
      <x:c r="M391" s="9" t="n">
        <x:f>IF(D391="Completed",I391*J391,0)</x:f>
        <x:v>279</x:v>
      </x:c>
      <x:c r="N391" s="9" t="n">
        <x:f>M391*K391</x:f>
        <x:v>27.900000000000002</x:v>
      </x:c>
      <x:c r="O391" s="9" t="n">
        <x:f>M391-N391</x:f>
        <x:v>251.1</x:v>
      </x:c>
      <x:c r="P391" s="9" t="n">
        <x:f>IF(D391="Completed",L391*J391*(1-K391),0)</x:f>
        <x:v>0</x:v>
      </x:c>
      <x:c r="Q391" s="9" t="n">
        <x:f>O391-P391</x:f>
        <x:v>251.1</x:v>
      </x:c>
      <x:c r="R391" s="11" t="n">
        <x:f>IF(D391="Completed",I391,0)</x:f>
        <x:v>3</x:v>
      </x:c>
      <x:c r="S391" s="11" t="n">
        <x:f>IF(D391="Completed",L391,0)</x:f>
        <x:v>0</x:v>
      </x:c>
      <x:c r="T391" s="8" t="n">
        <x:f>DATE(YEAR(C391),MONTH(C391),1)</x:f>
        <x:v>45870</x:v>
      </x:c>
    </x:row>
    <x:row r="392" ht="22" customHeight="1">
      <x:c r="A392" s="2" t="str">
        <x:v>L000388</x:v>
      </x:c>
      <x:c r="B392" s="2" t="str">
        <x:v>O00161</x:v>
      </x:c>
      <x:c r="C392" s="7" t="n">
        <x:v>45876</x:v>
      </x:c>
      <x:c r="D392" s="2" t="str">
        <x:v>Completed</x:v>
      </x:c>
      <x:c r="E392" s="2" t="str">
        <x:v>West</x:v>
      </x:c>
      <x:c r="F392" s="2" t="str">
        <x:v>Online</x:v>
      </x:c>
      <x:c r="G392" s="2" t="str">
        <x:v>Storage</x:v>
      </x:c>
      <x:c r="H392" s="2" t="str">
        <x:v>Shelf 003</x:v>
      </x:c>
      <x:c r="I392" s="11" t="n">
        <x:v>5</x:v>
      </x:c>
      <x:c r="J392" s="9" t="n">
        <x:v>199</x:v>
      </x:c>
      <x:c r="K392" s="10" t="n">
        <x:v>0</x:v>
      </x:c>
      <x:c r="L392" s="11" t="n">
        <x:v>0</x:v>
      </x:c>
      <x:c r="M392" s="9" t="n">
        <x:f>IF(D392="Completed",I392*J392,0)</x:f>
        <x:v>995</x:v>
      </x:c>
      <x:c r="N392" s="9" t="n">
        <x:f>M392*K392</x:f>
        <x:v>0</x:v>
      </x:c>
      <x:c r="O392" s="9" t="n">
        <x:f>M392-N392</x:f>
        <x:v>995</x:v>
      </x:c>
      <x:c r="P392" s="9" t="n">
        <x:f>IF(D392="Completed",L392*J392*(1-K392),0)</x:f>
        <x:v>0</x:v>
      </x:c>
      <x:c r="Q392" s="9" t="n">
        <x:f>O392-P392</x:f>
        <x:v>995</x:v>
      </x:c>
      <x:c r="R392" s="11" t="n">
        <x:f>IF(D392="Completed",I392,0)</x:f>
        <x:v>5</x:v>
      </x:c>
      <x:c r="S392" s="11" t="n">
        <x:f>IF(D392="Completed",L392,0)</x:f>
        <x:v>0</x:v>
      </x:c>
      <x:c r="T392" s="8" t="n">
        <x:f>DATE(YEAR(C392),MONTH(C392),1)</x:f>
        <x:v>45870</x:v>
      </x:c>
    </x:row>
    <x:row r="393" ht="22" customHeight="1">
      <x:c r="A393" s="2" t="str">
        <x:v>L000389</x:v>
      </x:c>
      <x:c r="B393" s="2" t="str">
        <x:v>O00161</x:v>
      </x:c>
      <x:c r="C393" s="7" t="n">
        <x:v>45876</x:v>
      </x:c>
      <x:c r="D393" s="2" t="str">
        <x:v>Completed</x:v>
      </x:c>
      <x:c r="E393" s="2" t="str">
        <x:v>West</x:v>
      </x:c>
      <x:c r="F393" s="2" t="str">
        <x:v>Online</x:v>
      </x:c>
      <x:c r="G393" s="2" t="str">
        <x:v>Furniture</x:v>
      </x:c>
      <x:c r="H393" s="2" t="str">
        <x:v>Desk 016</x:v>
      </x:c>
      <x:c r="I393" s="11" t="n">
        <x:v>5</x:v>
      </x:c>
      <x:c r="J393" s="9" t="n">
        <x:v>231</x:v>
      </x:c>
      <x:c r="K393" s="10" t="n">
        <x:v>0</x:v>
      </x:c>
      <x:c r="L393" s="11" t="n">
        <x:v>0</x:v>
      </x:c>
      <x:c r="M393" s="9" t="n">
        <x:f>IF(D393="Completed",I393*J393,0)</x:f>
        <x:v>1155</x:v>
      </x:c>
      <x:c r="N393" s="9" t="n">
        <x:f>M393*K393</x:f>
        <x:v>0</x:v>
      </x:c>
      <x:c r="O393" s="9" t="n">
        <x:f>M393-N393</x:f>
        <x:v>1155</x:v>
      </x:c>
      <x:c r="P393" s="9" t="n">
        <x:f>IF(D393="Completed",L393*J393*(1-K393),0)</x:f>
        <x:v>0</x:v>
      </x:c>
      <x:c r="Q393" s="9" t="n">
        <x:f>O393-P393</x:f>
        <x:v>1155</x:v>
      </x:c>
      <x:c r="R393" s="11" t="n">
        <x:f>IF(D393="Completed",I393,0)</x:f>
        <x:v>5</x:v>
      </x:c>
      <x:c r="S393" s="11" t="n">
        <x:f>IF(D393="Completed",L393,0)</x:f>
        <x:v>0</x:v>
      </x:c>
      <x:c r="T393" s="8" t="n">
        <x:f>DATE(YEAR(C393),MONTH(C393),1)</x:f>
        <x:v>45870</x:v>
      </x:c>
    </x:row>
    <x:row r="394" ht="22" customHeight="1">
      <x:c r="A394" s="2" t="str">
        <x:v>L000390</x:v>
      </x:c>
      <x:c r="B394" s="2" t="str">
        <x:v>O00162</x:v>
      </x:c>
      <x:c r="C394" s="7" t="n">
        <x:v>45808</x:v>
      </x:c>
      <x:c r="D394" s="2" t="str">
        <x:v>Completed</x:v>
      </x:c>
      <x:c r="E394" s="2" t="str">
        <x:v>North</x:v>
      </x:c>
      <x:c r="F394" s="2" t="str">
        <x:v>Online</x:v>
      </x:c>
      <x:c r="G394" s="2" t="str">
        <x:v>Furniture</x:v>
      </x:c>
      <x:c r="H394" s="2" t="str">
        <x:v>Chair 022</x:v>
      </x:c>
      <x:c r="I394" s="11" t="n">
        <x:v>5</x:v>
      </x:c>
      <x:c r="J394" s="9" t="n">
        <x:v>134</x:v>
      </x:c>
      <x:c r="K394" s="10" t="n">
        <x:v>0.05</x:v>
      </x:c>
      <x:c r="L394" s="11" t="n">
        <x:v>0</x:v>
      </x:c>
      <x:c r="M394" s="9" t="n">
        <x:f>IF(D394="Completed",I394*J394,0)</x:f>
        <x:v>670</x:v>
      </x:c>
      <x:c r="N394" s="9" t="n">
        <x:f>M394*K394</x:f>
        <x:v>33.5</x:v>
      </x:c>
      <x:c r="O394" s="9" t="n">
        <x:f>M394-N394</x:f>
        <x:v>636.5</x:v>
      </x:c>
      <x:c r="P394" s="9" t="n">
        <x:f>IF(D394="Completed",L394*J394*(1-K394),0)</x:f>
        <x:v>0</x:v>
      </x:c>
      <x:c r="Q394" s="9" t="n">
        <x:f>O394-P394</x:f>
        <x:v>636.5</x:v>
      </x:c>
      <x:c r="R394" s="11" t="n">
        <x:f>IF(D394="Completed",I394,0)</x:f>
        <x:v>5</x:v>
      </x:c>
      <x:c r="S394" s="11" t="n">
        <x:f>IF(D394="Completed",L394,0)</x:f>
        <x:v>0</x:v>
      </x:c>
      <x:c r="T394" s="8" t="n">
        <x:f>DATE(YEAR(C394),MONTH(C394),1)</x:f>
        <x:v>45778</x:v>
      </x:c>
    </x:row>
    <x:row r="395" ht="22" customHeight="1">
      <x:c r="A395" s="2" t="str">
        <x:v>L000391</x:v>
      </x:c>
      <x:c r="B395" s="2" t="str">
        <x:v>O00162</x:v>
      </x:c>
      <x:c r="C395" s="7" t="n">
        <x:v>45808</x:v>
      </x:c>
      <x:c r="D395" s="2" t="str">
        <x:v>Completed</x:v>
      </x:c>
      <x:c r="E395" s="2" t="str">
        <x:v>North</x:v>
      </x:c>
      <x:c r="F395" s="2" t="str">
        <x:v>Online</x:v>
      </x:c>
      <x:c r="G395" s="2" t="str">
        <x:v>Furniture</x:v>
      </x:c>
      <x:c r="H395" s="2" t="str">
        <x:v>Desk 012</x:v>
      </x:c>
      <x:c r="I395" s="11" t="n">
        <x:v>2</x:v>
      </x:c>
      <x:c r="J395" s="9" t="n">
        <x:v>134</x:v>
      </x:c>
      <x:c r="K395" s="10" t="n">
        <x:v>0.1</x:v>
      </x:c>
      <x:c r="L395" s="11" t="n">
        <x:v>1</x:v>
      </x:c>
      <x:c r="M395" s="9" t="n">
        <x:f>IF(D395="Completed",I395*J395,0)</x:f>
        <x:v>268</x:v>
      </x:c>
      <x:c r="N395" s="9" t="n">
        <x:f>M395*K395</x:f>
        <x:v>26.8</x:v>
      </x:c>
      <x:c r="O395" s="9" t="n">
        <x:f>M395-N395</x:f>
        <x:v>241.2</x:v>
      </x:c>
      <x:c r="P395" s="9" t="n">
        <x:f>IF(D395="Completed",L395*J395*(1-K395),0)</x:f>
        <x:v>120.60000000000001</x:v>
      </x:c>
      <x:c r="Q395" s="9" t="n">
        <x:f>O395-P395</x:f>
        <x:v>120.59999999999998</x:v>
      </x:c>
      <x:c r="R395" s="11" t="n">
        <x:f>IF(D395="Completed",I395,0)</x:f>
        <x:v>2</x:v>
      </x:c>
      <x:c r="S395" s="11" t="n">
        <x:f>IF(D395="Completed",L395,0)</x:f>
        <x:v>1</x:v>
      </x:c>
      <x:c r="T395" s="8" t="n">
        <x:f>DATE(YEAR(C395),MONTH(C395),1)</x:f>
        <x:v>45778</x:v>
      </x:c>
    </x:row>
    <x:row r="396" ht="22" customHeight="1">
      <x:c r="A396" s="2" t="str">
        <x:v>L000392</x:v>
      </x:c>
      <x:c r="B396" s="2" t="str">
        <x:v>O00163</x:v>
      </x:c>
      <x:c r="C396" s="7" t="n">
        <x:v>45912</x:v>
      </x:c>
      <x:c r="D396" s="2" t="str">
        <x:v>Completed</x:v>
      </x:c>
      <x:c r="E396" s="2" t="str">
        <x:v>East</x:v>
      </x:c>
      <x:c r="F396" s="2" t="str">
        <x:v>Store</x:v>
      </x:c>
      <x:c r="G396" s="2" t="str">
        <x:v>Furniture</x:v>
      </x:c>
      <x:c r="H396" s="2" t="str">
        <x:v>Chair 018</x:v>
      </x:c>
      <x:c r="I396" s="11" t="n">
        <x:v>3</x:v>
      </x:c>
      <x:c r="J396" s="9" t="n">
        <x:v>269</x:v>
      </x:c>
      <x:c r="K396" s="10" t="n">
        <x:v>0.2</x:v>
      </x:c>
      <x:c r="L396" s="11" t="n">
        <x:v>0</x:v>
      </x:c>
      <x:c r="M396" s="9" t="n">
        <x:f>IF(D396="Completed",I396*J396,0)</x:f>
        <x:v>807</x:v>
      </x:c>
      <x:c r="N396" s="9" t="n">
        <x:f>M396*K396</x:f>
        <x:v>161.4</x:v>
      </x:c>
      <x:c r="O396" s="9" t="n">
        <x:f>M396-N396</x:f>
        <x:v>645.6</x:v>
      </x:c>
      <x:c r="P396" s="9" t="n">
        <x:f>IF(D396="Completed",L396*J396*(1-K396),0)</x:f>
        <x:v>0</x:v>
      </x:c>
      <x:c r="Q396" s="9" t="n">
        <x:f>O396-P396</x:f>
        <x:v>645.6</x:v>
      </x:c>
      <x:c r="R396" s="11" t="n">
        <x:f>IF(D396="Completed",I396,0)</x:f>
        <x:v>3</x:v>
      </x:c>
      <x:c r="S396" s="11" t="n">
        <x:f>IF(D396="Completed",L396,0)</x:f>
        <x:v>0</x:v>
      </x:c>
      <x:c r="T396" s="8" t="n">
        <x:f>DATE(YEAR(C396),MONTH(C396),1)</x:f>
        <x:v>45901</x:v>
      </x:c>
    </x:row>
    <x:row r="397" ht="22" customHeight="1">
      <x:c r="A397" s="2" t="str">
        <x:v>L000393</x:v>
      </x:c>
      <x:c r="B397" s="2" t="str">
        <x:v>O00163</x:v>
      </x:c>
      <x:c r="C397" s="7" t="n">
        <x:v>45912</x:v>
      </x:c>
      <x:c r="D397" s="2" t="str">
        <x:v>Completed</x:v>
      </x:c>
      <x:c r="E397" s="2" t="str">
        <x:v>East</x:v>
      </x:c>
      <x:c r="F397" s="2" t="str">
        <x:v>Store</x:v>
      </x:c>
      <x:c r="G397" s="2" t="str">
        <x:v>Furniture</x:v>
      </x:c>
      <x:c r="H397" s="2" t="str">
        <x:v>Desk 012</x:v>
      </x:c>
      <x:c r="I397" s="11" t="n">
        <x:v>2</x:v>
      </x:c>
      <x:c r="J397" s="9" t="n">
        <x:v>134</x:v>
      </x:c>
      <x:c r="K397" s="10" t="n">
        <x:v>0.2</x:v>
      </x:c>
      <x:c r="L397" s="11" t="n">
        <x:v>0</x:v>
      </x:c>
      <x:c r="M397" s="9" t="n">
        <x:f>IF(D397="Completed",I397*J397,0)</x:f>
        <x:v>268</x:v>
      </x:c>
      <x:c r="N397" s="9" t="n">
        <x:f>M397*K397</x:f>
        <x:v>53.6</x:v>
      </x:c>
      <x:c r="O397" s="9" t="n">
        <x:f>M397-N397</x:f>
        <x:v>214.4</x:v>
      </x:c>
      <x:c r="P397" s="9" t="n">
        <x:f>IF(D397="Completed",L397*J397*(1-K397),0)</x:f>
        <x:v>0</x:v>
      </x:c>
      <x:c r="Q397" s="9" t="n">
        <x:f>O397-P397</x:f>
        <x:v>214.4</x:v>
      </x:c>
      <x:c r="R397" s="11" t="n">
        <x:f>IF(D397="Completed",I397,0)</x:f>
        <x:v>2</x:v>
      </x:c>
      <x:c r="S397" s="11" t="n">
        <x:f>IF(D397="Completed",L397,0)</x:f>
        <x:v>0</x:v>
      </x:c>
      <x:c r="T397" s="8" t="n">
        <x:f>DATE(YEAR(C397),MONTH(C397),1)</x:f>
        <x:v>45901</x:v>
      </x:c>
    </x:row>
    <x:row r="398" ht="22" customHeight="1">
      <x:c r="A398" s="2" t="str">
        <x:v>L000394</x:v>
      </x:c>
      <x:c r="B398" s="2" t="str">
        <x:v>O00163</x:v>
      </x:c>
      <x:c r="C398" s="7" t="n">
        <x:v>45912</x:v>
      </x:c>
      <x:c r="D398" s="2" t="str">
        <x:v>Completed</x:v>
      </x:c>
      <x:c r="E398" s="2" t="str">
        <x:v>East</x:v>
      </x:c>
      <x:c r="F398" s="2" t="str">
        <x:v>Store</x:v>
      </x:c>
      <x:c r="G398" s="2" t="str">
        <x:v>Storage</x:v>
      </x:c>
      <x:c r="H398" s="2" t="str">
        <x:v>Shelf 015</x:v>
      </x:c>
      <x:c r="I398" s="11" t="n">
        <x:v>4</x:v>
      </x:c>
      <x:c r="J398" s="9" t="n">
        <x:v>254</x:v>
      </x:c>
      <x:c r="K398" s="10" t="n">
        <x:v>0.2</x:v>
      </x:c>
      <x:c r="L398" s="11" t="n">
        <x:v>0</x:v>
      </x:c>
      <x:c r="M398" s="9" t="n">
        <x:f>IF(D398="Completed",I398*J398,0)</x:f>
        <x:v>1016</x:v>
      </x:c>
      <x:c r="N398" s="9" t="n">
        <x:f>M398*K398</x:f>
        <x:v>203.20000000000002</x:v>
      </x:c>
      <x:c r="O398" s="9" t="n">
        <x:f>M398-N398</x:f>
        <x:v>812.8</x:v>
      </x:c>
      <x:c r="P398" s="9" t="n">
        <x:f>IF(D398="Completed",L398*J398*(1-K398),0)</x:f>
        <x:v>0</x:v>
      </x:c>
      <x:c r="Q398" s="9" t="n">
        <x:f>O398-P398</x:f>
        <x:v>812.8</x:v>
      </x:c>
      <x:c r="R398" s="11" t="n">
        <x:f>IF(D398="Completed",I398,0)</x:f>
        <x:v>4</x:v>
      </x:c>
      <x:c r="S398" s="11" t="n">
        <x:f>IF(D398="Completed",L398,0)</x:f>
        <x:v>0</x:v>
      </x:c>
      <x:c r="T398" s="8" t="n">
        <x:f>DATE(YEAR(C398),MONTH(C398),1)</x:f>
        <x:v>45901</x:v>
      </x:c>
    </x:row>
    <x:row r="399" ht="22" customHeight="1">
      <x:c r="A399" s="2" t="str">
        <x:v>L000395</x:v>
      </x:c>
      <x:c r="B399" s="2" t="str">
        <x:v>O00164</x:v>
      </x:c>
      <x:c r="C399" s="7" t="n">
        <x:v>45939</x:v>
      </x:c>
      <x:c r="D399" s="2" t="str">
        <x:v>Completed</x:v>
      </x:c>
      <x:c r="E399" s="2" t="str">
        <x:v>West</x:v>
      </x:c>
      <x:c r="F399" s="2" t="str">
        <x:v>Online</x:v>
      </x:c>
      <x:c r="G399" s="2" t="str">
        <x:v>Lighting</x:v>
      </x:c>
      <x:c r="H399" s="2" t="str">
        <x:v>Lamp 017</x:v>
      </x:c>
      <x:c r="I399" s="11" t="n">
        <x:v>3</x:v>
      </x:c>
      <x:c r="J399" s="9" t="n">
        <x:v>300</x:v>
      </x:c>
      <x:c r="K399" s="10" t="n">
        <x:v>0</x:v>
      </x:c>
      <x:c r="L399" s="11" t="n">
        <x:v>0</x:v>
      </x:c>
      <x:c r="M399" s="9" t="n">
        <x:f>IF(D399="Completed",I399*J399,0)</x:f>
        <x:v>900</x:v>
      </x:c>
      <x:c r="N399" s="9" t="n">
        <x:f>M399*K399</x:f>
        <x:v>0</x:v>
      </x:c>
      <x:c r="O399" s="9" t="n">
        <x:f>M399-N399</x:f>
        <x:v>900</x:v>
      </x:c>
      <x:c r="P399" s="9" t="n">
        <x:f>IF(D399="Completed",L399*J399*(1-K399),0)</x:f>
        <x:v>0</x:v>
      </x:c>
      <x:c r="Q399" s="9" t="n">
        <x:f>O399-P399</x:f>
        <x:v>900</x:v>
      </x:c>
      <x:c r="R399" s="11" t="n">
        <x:f>IF(D399="Completed",I399,0)</x:f>
        <x:v>3</x:v>
      </x:c>
      <x:c r="S399" s="11" t="n">
        <x:f>IF(D399="Completed",L399,0)</x:f>
        <x:v>0</x:v>
      </x:c>
      <x:c r="T399" s="8" t="n">
        <x:f>DATE(YEAR(C399),MONTH(C399),1)</x:f>
        <x:v>45931</x:v>
      </x:c>
    </x:row>
    <x:row r="400" ht="22" customHeight="1">
      <x:c r="A400" s="2" t="str">
        <x:v>L000396</x:v>
      </x:c>
      <x:c r="B400" s="2" t="str">
        <x:v>O00165</x:v>
      </x:c>
      <x:c r="C400" s="7" t="n">
        <x:v>45876</x:v>
      </x:c>
      <x:c r="D400" s="2" t="str">
        <x:v>Completed</x:v>
      </x:c>
      <x:c r="E400" s="2" t="str">
        <x:v>West</x:v>
      </x:c>
      <x:c r="F400" s="2" t="str">
        <x:v>Store</x:v>
      </x:c>
      <x:c r="G400" s="2" t="str">
        <x:v>Lighting</x:v>
      </x:c>
      <x:c r="H400" s="2" t="str">
        <x:v>Lamp 013</x:v>
      </x:c>
      <x:c r="I400" s="11" t="n">
        <x:v>5</x:v>
      </x:c>
      <x:c r="J400" s="9" t="n">
        <x:v>271</x:v>
      </x:c>
      <x:c r="K400" s="10" t="n">
        <x:v>0.1</x:v>
      </x:c>
      <x:c r="L400" s="11" t="n">
        <x:v>0</x:v>
      </x:c>
      <x:c r="M400" s="9" t="n">
        <x:f>IF(D400="Completed",I400*J400,0)</x:f>
        <x:v>1355</x:v>
      </x:c>
      <x:c r="N400" s="9" t="n">
        <x:f>M400*K400</x:f>
        <x:v>135.5</x:v>
      </x:c>
      <x:c r="O400" s="9" t="n">
        <x:f>M400-N400</x:f>
        <x:v>1219.5</x:v>
      </x:c>
      <x:c r="P400" s="9" t="n">
        <x:f>IF(D400="Completed",L400*J400*(1-K400),0)</x:f>
        <x:v>0</x:v>
      </x:c>
      <x:c r="Q400" s="9" t="n">
        <x:f>O400-P400</x:f>
        <x:v>1219.5</x:v>
      </x:c>
      <x:c r="R400" s="11" t="n">
        <x:f>IF(D400="Completed",I400,0)</x:f>
        <x:v>5</x:v>
      </x:c>
      <x:c r="S400" s="11" t="n">
        <x:f>IF(D400="Completed",L400,0)</x:f>
        <x:v>0</x:v>
      </x:c>
      <x:c r="T400" s="8" t="n">
        <x:f>DATE(YEAR(C400),MONTH(C400),1)</x:f>
        <x:v>45870</x:v>
      </x:c>
    </x:row>
    <x:row r="401" ht="22" customHeight="1">
      <x:c r="A401" s="2" t="str">
        <x:v>L000397</x:v>
      </x:c>
      <x:c r="B401" s="2" t="str">
        <x:v>O00165</x:v>
      </x:c>
      <x:c r="C401" s="7" t="n">
        <x:v>45876</x:v>
      </x:c>
      <x:c r="D401" s="2" t="str">
        <x:v>Completed</x:v>
      </x:c>
      <x:c r="E401" s="2" t="str">
        <x:v>West</x:v>
      </x:c>
      <x:c r="F401" s="2" t="str">
        <x:v>Store</x:v>
      </x:c>
      <x:c r="G401" s="2" t="str">
        <x:v>Furniture</x:v>
      </x:c>
      <x:c r="H401" s="2" t="str">
        <x:v>Chair 010</x:v>
      </x:c>
      <x:c r="I401" s="11" t="n">
        <x:v>3</x:v>
      </x:c>
      <x:c r="J401" s="9" t="n">
        <x:v>211</x:v>
      </x:c>
      <x:c r="K401" s="10" t="n">
        <x:v>0.2</x:v>
      </x:c>
      <x:c r="L401" s="11" t="n">
        <x:v>0</x:v>
      </x:c>
      <x:c r="M401" s="9" t="n">
        <x:f>IF(D401="Completed",I401*J401,0)</x:f>
        <x:v>633</x:v>
      </x:c>
      <x:c r="N401" s="9" t="n">
        <x:f>M401*K401</x:f>
        <x:v>126.60000000000001</x:v>
      </x:c>
      <x:c r="O401" s="9" t="n">
        <x:f>M401-N401</x:f>
        <x:v>506.4</x:v>
      </x:c>
      <x:c r="P401" s="9" t="n">
        <x:f>IF(D401="Completed",L401*J401*(1-K401),0)</x:f>
        <x:v>0</x:v>
      </x:c>
      <x:c r="Q401" s="9" t="n">
        <x:f>O401-P401</x:f>
        <x:v>506.4</x:v>
      </x:c>
      <x:c r="R401" s="11" t="n">
        <x:f>IF(D401="Completed",I401,0)</x:f>
        <x:v>3</x:v>
      </x:c>
      <x:c r="S401" s="11" t="n">
        <x:f>IF(D401="Completed",L401,0)</x:f>
        <x:v>0</x:v>
      </x:c>
      <x:c r="T401" s="8" t="n">
        <x:f>DATE(YEAR(C401),MONTH(C401),1)</x:f>
        <x:v>45870</x:v>
      </x:c>
    </x:row>
    <x:row r="402" ht="22" customHeight="1">
      <x:c r="A402" s="2" t="str">
        <x:v>L000398</x:v>
      </x:c>
      <x:c r="B402" s="2" t="str">
        <x:v>O00165</x:v>
      </x:c>
      <x:c r="C402" s="7" t="n">
        <x:v>45876</x:v>
      </x:c>
      <x:c r="D402" s="2" t="str">
        <x:v>Completed</x:v>
      </x:c>
      <x:c r="E402" s="2" t="str">
        <x:v>West</x:v>
      </x:c>
      <x:c r="F402" s="2" t="str">
        <x:v>Store</x:v>
      </x:c>
      <x:c r="G402" s="2" t="str">
        <x:v>Storage</x:v>
      </x:c>
      <x:c r="H402" s="2" t="str">
        <x:v>Shelf 023</x:v>
      </x:c>
      <x:c r="I402" s="11" t="n">
        <x:v>4</x:v>
      </x:c>
      <x:c r="J402" s="9" t="n">
        <x:v>68</x:v>
      </x:c>
      <x:c r="K402" s="10" t="n">
        <x:v>0</x:v>
      </x:c>
      <x:c r="L402" s="11" t="n">
        <x:v>0</x:v>
      </x:c>
      <x:c r="M402" s="9" t="n">
        <x:f>IF(D402="Completed",I402*J402,0)</x:f>
        <x:v>272</x:v>
      </x:c>
      <x:c r="N402" s="9" t="n">
        <x:f>M402*K402</x:f>
        <x:v>0</x:v>
      </x:c>
      <x:c r="O402" s="9" t="n">
        <x:f>M402-N402</x:f>
        <x:v>272</x:v>
      </x:c>
      <x:c r="P402" s="9" t="n">
        <x:f>IF(D402="Completed",L402*J402*(1-K402),0)</x:f>
        <x:v>0</x:v>
      </x:c>
      <x:c r="Q402" s="9" t="n">
        <x:f>O402-P402</x:f>
        <x:v>272</x:v>
      </x:c>
      <x:c r="R402" s="11" t="n">
        <x:f>IF(D402="Completed",I402,0)</x:f>
        <x:v>4</x:v>
      </x:c>
      <x:c r="S402" s="11" t="n">
        <x:f>IF(D402="Completed",L402,0)</x:f>
        <x:v>0</x:v>
      </x:c>
      <x:c r="T402" s="8" t="n">
        <x:f>DATE(YEAR(C402),MONTH(C402),1)</x:f>
        <x:v>45870</x:v>
      </x:c>
    </x:row>
    <x:row r="403" ht="22" customHeight="1">
      <x:c r="A403" s="2" t="str">
        <x:v>L000399</x:v>
      </x:c>
      <x:c r="B403" s="2" t="str">
        <x:v>O00166</x:v>
      </x:c>
      <x:c r="C403" s="7" t="n">
        <x:v>46000</x:v>
      </x:c>
      <x:c r="D403" s="2" t="str">
        <x:v>Completed</x:v>
      </x:c>
      <x:c r="E403" s="2" t="str">
        <x:v>East</x:v>
      </x:c>
      <x:c r="F403" s="2" t="str">
        <x:v>Store</x:v>
      </x:c>
      <x:c r="G403" s="2" t="str">
        <x:v>Furniture</x:v>
      </x:c>
      <x:c r="H403" s="2" t="str">
        <x:v>Desk 016</x:v>
      </x:c>
      <x:c r="I403" s="11" t="n">
        <x:v>1</x:v>
      </x:c>
      <x:c r="J403" s="9" t="n">
        <x:v>231</x:v>
      </x:c>
      <x:c r="K403" s="10" t="n">
        <x:v>0.2</x:v>
      </x:c>
      <x:c r="L403" s="11" t="n">
        <x:v>0</x:v>
      </x:c>
      <x:c r="M403" s="9" t="n">
        <x:f>IF(D403="Completed",I403*J403,0)</x:f>
        <x:v>231</x:v>
      </x:c>
      <x:c r="N403" s="9" t="n">
        <x:f>M403*K403</x:f>
        <x:v>46.2</x:v>
      </x:c>
      <x:c r="O403" s="9" t="n">
        <x:f>M403-N403</x:f>
        <x:v>184.8</x:v>
      </x:c>
      <x:c r="P403" s="9" t="n">
        <x:f>IF(D403="Completed",L403*J403*(1-K403),0)</x:f>
        <x:v>0</x:v>
      </x:c>
      <x:c r="Q403" s="9" t="n">
        <x:f>O403-P403</x:f>
        <x:v>184.8</x:v>
      </x:c>
      <x:c r="R403" s="11" t="n">
        <x:f>IF(D403="Completed",I403,0)</x:f>
        <x:v>1</x:v>
      </x:c>
      <x:c r="S403" s="11" t="n">
        <x:f>IF(D403="Completed",L403,0)</x:f>
        <x:v>0</x:v>
      </x:c>
      <x:c r="T403" s="8" t="n">
        <x:f>DATE(YEAR(C403),MONTH(C403),1)</x:f>
        <x:v>45992</x:v>
      </x:c>
    </x:row>
    <x:row r="404" ht="22" customHeight="1">
      <x:c r="A404" s="2" t="str">
        <x:v>L000400</x:v>
      </x:c>
      <x:c r="B404" s="2" t="str">
        <x:v>O00166</x:v>
      </x:c>
      <x:c r="C404" s="7" t="n">
        <x:v>46000</x:v>
      </x:c>
      <x:c r="D404" s="2" t="str">
        <x:v>Completed</x:v>
      </x:c>
      <x:c r="E404" s="2" t="str">
        <x:v>East</x:v>
      </x:c>
      <x:c r="F404" s="2" t="str">
        <x:v>Store</x:v>
      </x:c>
      <x:c r="G404" s="2" t="str">
        <x:v>Storage</x:v>
      </x:c>
      <x:c r="H404" s="2" t="str">
        <x:v>Shelf 007</x:v>
      </x:c>
      <x:c r="I404" s="11" t="n">
        <x:v>1</x:v>
      </x:c>
      <x:c r="J404" s="9" t="n">
        <x:v>35</x:v>
      </x:c>
      <x:c r="K404" s="10" t="n">
        <x:v>0.1</x:v>
      </x:c>
      <x:c r="L404" s="11" t="n">
        <x:v>0</x:v>
      </x:c>
      <x:c r="M404" s="9" t="n">
        <x:f>IF(D404="Completed",I404*J404,0)</x:f>
        <x:v>35</x:v>
      </x:c>
      <x:c r="N404" s="9" t="n">
        <x:f>M404*K404</x:f>
        <x:v>3.5</x:v>
      </x:c>
      <x:c r="O404" s="9" t="n">
        <x:f>M404-N404</x:f>
        <x:v>31.5</x:v>
      </x:c>
      <x:c r="P404" s="9" t="n">
        <x:f>IF(D404="Completed",L404*J404*(1-K404),0)</x:f>
        <x:v>0</x:v>
      </x:c>
      <x:c r="Q404" s="9" t="n">
        <x:f>O404-P404</x:f>
        <x:v>31.5</x:v>
      </x:c>
      <x:c r="R404" s="11" t="n">
        <x:f>IF(D404="Completed",I404,0)</x:f>
        <x:v>1</x:v>
      </x:c>
      <x:c r="S404" s="11" t="n">
        <x:f>IF(D404="Completed",L404,0)</x:f>
        <x:v>0</x:v>
      </x:c>
      <x:c r="T404" s="8" t="n">
        <x:f>DATE(YEAR(C404),MONTH(C404),1)</x:f>
        <x:v>45992</x:v>
      </x:c>
    </x:row>
    <x:row r="405" ht="22" customHeight="1">
      <x:c r="A405" s="2" t="str">
        <x:v>L000401</x:v>
      </x:c>
      <x:c r="B405" s="2" t="str">
        <x:v>O00167</x:v>
      </x:c>
      <x:c r="C405" s="7" t="n">
        <x:v>45849</x:v>
      </x:c>
      <x:c r="D405" s="2" t="str">
        <x:v>Completed</x:v>
      </x:c>
      <x:c r="E405" s="2" t="str">
        <x:v>North</x:v>
      </x:c>
      <x:c r="F405" s="2" t="str">
        <x:v>Online</x:v>
      </x:c>
      <x:c r="G405" s="2" t="str">
        <x:v>Lighting</x:v>
      </x:c>
      <x:c r="H405" s="2" t="str">
        <x:v>Lamp 021</x:v>
      </x:c>
      <x:c r="I405" s="11" t="n">
        <x:v>3</x:v>
      </x:c>
      <x:c r="J405" s="9" t="n">
        <x:v>249</x:v>
      </x:c>
      <x:c r="K405" s="10" t="n">
        <x:v>0.1</x:v>
      </x:c>
      <x:c r="L405" s="11" t="n">
        <x:v>0</x:v>
      </x:c>
      <x:c r="M405" s="9" t="n">
        <x:f>IF(D405="Completed",I405*J405,0)</x:f>
        <x:v>747</x:v>
      </x:c>
      <x:c r="N405" s="9" t="n">
        <x:f>M405*K405</x:f>
        <x:v>74.7</x:v>
      </x:c>
      <x:c r="O405" s="9" t="n">
        <x:f>M405-N405</x:f>
        <x:v>672.3</x:v>
      </x:c>
      <x:c r="P405" s="9" t="n">
        <x:f>IF(D405="Completed",L405*J405*(1-K405),0)</x:f>
        <x:v>0</x:v>
      </x:c>
      <x:c r="Q405" s="9" t="n">
        <x:f>O405-P405</x:f>
        <x:v>672.3</x:v>
      </x:c>
      <x:c r="R405" s="11" t="n">
        <x:f>IF(D405="Completed",I405,0)</x:f>
        <x:v>3</x:v>
      </x:c>
      <x:c r="S405" s="11" t="n">
        <x:f>IF(D405="Completed",L405,0)</x:f>
        <x:v>0</x:v>
      </x:c>
      <x:c r="T405" s="8" t="n">
        <x:f>DATE(YEAR(C405),MONTH(C405),1)</x:f>
        <x:v>45839</x:v>
      </x:c>
    </x:row>
    <x:row r="406" ht="22" customHeight="1">
      <x:c r="A406" s="2" t="str">
        <x:v>L000402</x:v>
      </x:c>
      <x:c r="B406" s="2" t="str">
        <x:v>O00167</x:v>
      </x:c>
      <x:c r="C406" s="7" t="n">
        <x:v>45849</x:v>
      </x:c>
      <x:c r="D406" s="2" t="str">
        <x:v>Completed</x:v>
      </x:c>
      <x:c r="E406" s="2" t="str">
        <x:v>North</x:v>
      </x:c>
      <x:c r="F406" s="2" t="str">
        <x:v>Online</x:v>
      </x:c>
      <x:c r="G406" s="2" t="str">
        <x:v>Furniture</x:v>
      </x:c>
      <x:c r="H406" s="2" t="str">
        <x:v>Chair 010</x:v>
      </x:c>
      <x:c r="I406" s="11" t="n">
        <x:v>2</x:v>
      </x:c>
      <x:c r="J406" s="9" t="n">
        <x:v>211</x:v>
      </x:c>
      <x:c r="K406" s="10" t="n">
        <x:v>0</x:v>
      </x:c>
      <x:c r="L406" s="11" t="n">
        <x:v>0</x:v>
      </x:c>
      <x:c r="M406" s="9" t="n">
        <x:f>IF(D406="Completed",I406*J406,0)</x:f>
        <x:v>422</x:v>
      </x:c>
      <x:c r="N406" s="9" t="n">
        <x:f>M406*K406</x:f>
        <x:v>0</x:v>
      </x:c>
      <x:c r="O406" s="9" t="n">
        <x:f>M406-N406</x:f>
        <x:v>422</x:v>
      </x:c>
      <x:c r="P406" s="9" t="n">
        <x:f>IF(D406="Completed",L406*J406*(1-K406),0)</x:f>
        <x:v>0</x:v>
      </x:c>
      <x:c r="Q406" s="9" t="n">
        <x:f>O406-P406</x:f>
        <x:v>422</x:v>
      </x:c>
      <x:c r="R406" s="11" t="n">
        <x:f>IF(D406="Completed",I406,0)</x:f>
        <x:v>2</x:v>
      </x:c>
      <x:c r="S406" s="11" t="n">
        <x:f>IF(D406="Completed",L406,0)</x:f>
        <x:v>0</x:v>
      </x:c>
      <x:c r="T406" s="8" t="n">
        <x:f>DATE(YEAR(C406),MONTH(C406),1)</x:f>
        <x:v>45839</x:v>
      </x:c>
    </x:row>
    <x:row r="407" ht="22" customHeight="1">
      <x:c r="A407" s="2" t="str">
        <x:v>L000403</x:v>
      </x:c>
      <x:c r="B407" s="2" t="str">
        <x:v>O00167</x:v>
      </x:c>
      <x:c r="C407" s="7" t="n">
        <x:v>45849</x:v>
      </x:c>
      <x:c r="D407" s="2" t="str">
        <x:v>Completed</x:v>
      </x:c>
      <x:c r="E407" s="2" t="str">
        <x:v>North</x:v>
      </x:c>
      <x:c r="F407" s="2" t="str">
        <x:v>Online</x:v>
      </x:c>
      <x:c r="G407" s="2" t="str">
        <x:v>Furniture</x:v>
      </x:c>
      <x:c r="H407" s="2" t="str">
        <x:v>Desk 008</x:v>
      </x:c>
      <x:c r="I407" s="11" t="n">
        <x:v>4</x:v>
      </x:c>
      <x:c r="J407" s="9" t="n">
        <x:v>188</x:v>
      </x:c>
      <x:c r="K407" s="10" t="n">
        <x:v>0</x:v>
      </x:c>
      <x:c r="L407" s="11" t="n">
        <x:v>0</x:v>
      </x:c>
      <x:c r="M407" s="9" t="n">
        <x:f>IF(D407="Completed",I407*J407,0)</x:f>
        <x:v>752</x:v>
      </x:c>
      <x:c r="N407" s="9" t="n">
        <x:f>M407*K407</x:f>
        <x:v>0</x:v>
      </x:c>
      <x:c r="O407" s="9" t="n">
        <x:f>M407-N407</x:f>
        <x:v>752</x:v>
      </x:c>
      <x:c r="P407" s="9" t="n">
        <x:f>IF(D407="Completed",L407*J407*(1-K407),0)</x:f>
        <x:v>0</x:v>
      </x:c>
      <x:c r="Q407" s="9" t="n">
        <x:f>O407-P407</x:f>
        <x:v>752</x:v>
      </x:c>
      <x:c r="R407" s="11" t="n">
        <x:f>IF(D407="Completed",I407,0)</x:f>
        <x:v>4</x:v>
      </x:c>
      <x:c r="S407" s="11" t="n">
        <x:f>IF(D407="Completed",L407,0)</x:f>
        <x:v>0</x:v>
      </x:c>
      <x:c r="T407" s="8" t="n">
        <x:f>DATE(YEAR(C407),MONTH(C407),1)</x:f>
        <x:v>45839</x:v>
      </x:c>
    </x:row>
    <x:row r="408" ht="22" customHeight="1">
      <x:c r="A408" s="2" t="str">
        <x:v>L000404</x:v>
      </x:c>
      <x:c r="B408" s="2" t="str">
        <x:v>O00167</x:v>
      </x:c>
      <x:c r="C408" s="7" t="n">
        <x:v>45849</x:v>
      </x:c>
      <x:c r="D408" s="2" t="str">
        <x:v>Completed</x:v>
      </x:c>
      <x:c r="E408" s="2" t="str">
        <x:v>North</x:v>
      </x:c>
      <x:c r="F408" s="2" t="str">
        <x:v>Online</x:v>
      </x:c>
      <x:c r="G408" s="2" t="str">
        <x:v>Storage</x:v>
      </x:c>
      <x:c r="H408" s="2" t="str">
        <x:v>Shelf 003</x:v>
      </x:c>
      <x:c r="I408" s="11" t="n">
        <x:v>4</x:v>
      </x:c>
      <x:c r="J408" s="9" t="n">
        <x:v>199</x:v>
      </x:c>
      <x:c r="K408" s="10" t="n">
        <x:v>0</x:v>
      </x:c>
      <x:c r="L408" s="11" t="n">
        <x:v>0</x:v>
      </x:c>
      <x:c r="M408" s="9" t="n">
        <x:f>IF(D408="Completed",I408*J408,0)</x:f>
        <x:v>796</x:v>
      </x:c>
      <x:c r="N408" s="9" t="n">
        <x:f>M408*K408</x:f>
        <x:v>0</x:v>
      </x:c>
      <x:c r="O408" s="9" t="n">
        <x:f>M408-N408</x:f>
        <x:v>796</x:v>
      </x:c>
      <x:c r="P408" s="9" t="n">
        <x:f>IF(D408="Completed",L408*J408*(1-K408),0)</x:f>
        <x:v>0</x:v>
      </x:c>
      <x:c r="Q408" s="9" t="n">
        <x:f>O408-P408</x:f>
        <x:v>796</x:v>
      </x:c>
      <x:c r="R408" s="11" t="n">
        <x:f>IF(D408="Completed",I408,0)</x:f>
        <x:v>4</x:v>
      </x:c>
      <x:c r="S408" s="11" t="n">
        <x:f>IF(D408="Completed",L408,0)</x:f>
        <x:v>0</x:v>
      </x:c>
      <x:c r="T408" s="8" t="n">
        <x:f>DATE(YEAR(C408),MONTH(C408),1)</x:f>
        <x:v>45839</x:v>
      </x:c>
    </x:row>
    <x:row r="409" ht="22" customHeight="1">
      <x:c r="A409" s="2" t="str">
        <x:v>L000405</x:v>
      </x:c>
      <x:c r="B409" s="2" t="str">
        <x:v>O00168</x:v>
      </x:c>
      <x:c r="C409" s="7" t="n">
        <x:v>45863</x:v>
      </x:c>
      <x:c r="D409" s="2" t="str">
        <x:v>Completed</x:v>
      </x:c>
      <x:c r="E409" s="2" t="str">
        <x:v>North</x:v>
      </x:c>
      <x:c r="F409" s="2" t="str">
        <x:v>Store</x:v>
      </x:c>
      <x:c r="G409" s="2" t="str">
        <x:v>Furniture</x:v>
      </x:c>
      <x:c r="H409" s="2" t="str">
        <x:v>Desk 024</x:v>
      </x:c>
      <x:c r="I409" s="11" t="n">
        <x:v>2</x:v>
      </x:c>
      <x:c r="J409" s="9" t="n">
        <x:v>81</x:v>
      </x:c>
      <x:c r="K409" s="10" t="n">
        <x:v>0.2</x:v>
      </x:c>
      <x:c r="L409" s="11" t="n">
        <x:v>0</x:v>
      </x:c>
      <x:c r="M409" s="9" t="n">
        <x:f>IF(D409="Completed",I409*J409,0)</x:f>
        <x:v>162</x:v>
      </x:c>
      <x:c r="N409" s="9" t="n">
        <x:f>M409*K409</x:f>
        <x:v>32.4</x:v>
      </x:c>
      <x:c r="O409" s="9" t="n">
        <x:f>M409-N409</x:f>
        <x:v>129.6</x:v>
      </x:c>
      <x:c r="P409" s="9" t="n">
        <x:f>IF(D409="Completed",L409*J409*(1-K409),0)</x:f>
        <x:v>0</x:v>
      </x:c>
      <x:c r="Q409" s="9" t="n">
        <x:f>O409-P409</x:f>
        <x:v>129.6</x:v>
      </x:c>
      <x:c r="R409" s="11" t="n">
        <x:f>IF(D409="Completed",I409,0)</x:f>
        <x:v>2</x:v>
      </x:c>
      <x:c r="S409" s="11" t="n">
        <x:f>IF(D409="Completed",L409,0)</x:f>
        <x:v>0</x:v>
      </x:c>
      <x:c r="T409" s="8" t="n">
        <x:f>DATE(YEAR(C409),MONTH(C409),1)</x:f>
        <x:v>45839</x:v>
      </x:c>
    </x:row>
    <x:row r="410" ht="22" customHeight="1">
      <x:c r="A410" s="2" t="str">
        <x:v>L000406</x:v>
      </x:c>
      <x:c r="B410" s="2" t="str">
        <x:v>O00169</x:v>
      </x:c>
      <x:c r="C410" s="7" t="n">
        <x:v>46021</x:v>
      </x:c>
      <x:c r="D410" s="2" t="str">
        <x:v>Completed</x:v>
      </x:c>
      <x:c r="E410" s="2" t="str">
        <x:v>South</x:v>
      </x:c>
      <x:c r="F410" s="2" t="str">
        <x:v>Store</x:v>
      </x:c>
      <x:c r="G410" s="2" t="str">
        <x:v>Furniture</x:v>
      </x:c>
      <x:c r="H410" s="2" t="str">
        <x:v>Desk 016</x:v>
      </x:c>
      <x:c r="I410" s="11" t="n">
        <x:v>5</x:v>
      </x:c>
      <x:c r="J410" s="9" t="n">
        <x:v>231</x:v>
      </x:c>
      <x:c r="K410" s="10" t="n">
        <x:v>0</x:v>
      </x:c>
      <x:c r="L410" s="11" t="n">
        <x:v>0</x:v>
      </x:c>
      <x:c r="M410" s="9" t="n">
        <x:f>IF(D410="Completed",I410*J410,0)</x:f>
        <x:v>1155</x:v>
      </x:c>
      <x:c r="N410" s="9" t="n">
        <x:f>M410*K410</x:f>
        <x:v>0</x:v>
      </x:c>
      <x:c r="O410" s="9" t="n">
        <x:f>M410-N410</x:f>
        <x:v>1155</x:v>
      </x:c>
      <x:c r="P410" s="9" t="n">
        <x:f>IF(D410="Completed",L410*J410*(1-K410),0)</x:f>
        <x:v>0</x:v>
      </x:c>
      <x:c r="Q410" s="9" t="n">
        <x:f>O410-P410</x:f>
        <x:v>1155</x:v>
      </x:c>
      <x:c r="R410" s="11" t="n">
        <x:f>IF(D410="Completed",I410,0)</x:f>
        <x:v>5</x:v>
      </x:c>
      <x:c r="S410" s="11" t="n">
        <x:f>IF(D410="Completed",L410,0)</x:f>
        <x:v>0</x:v>
      </x:c>
      <x:c r="T410" s="8" t="n">
        <x:f>DATE(YEAR(C410),MONTH(C410),1)</x:f>
        <x:v>45992</x:v>
      </x:c>
    </x:row>
    <x:row r="411" ht="22" customHeight="1">
      <x:c r="A411" s="2" t="str">
        <x:v>L000407</x:v>
      </x:c>
      <x:c r="B411" s="2" t="str">
        <x:v>O00170</x:v>
      </x:c>
      <x:c r="C411" s="7" t="n">
        <x:v>45777</x:v>
      </x:c>
      <x:c r="D411" s="2" t="str">
        <x:v>Completed</x:v>
      </x:c>
      <x:c r="E411" s="2" t="str">
        <x:v>North</x:v>
      </x:c>
      <x:c r="F411" s="2" t="str">
        <x:v>Online</x:v>
      </x:c>
      <x:c r="G411" s="2" t="str">
        <x:v>Furniture</x:v>
      </x:c>
      <x:c r="H411" s="2" t="str">
        <x:v>Desk 012</x:v>
      </x:c>
      <x:c r="I411" s="11" t="n">
        <x:v>3</x:v>
      </x:c>
      <x:c r="J411" s="9" t="n">
        <x:v>134</x:v>
      </x:c>
      <x:c r="K411" s="10" t="n">
        <x:v>0.05</x:v>
      </x:c>
      <x:c r="L411" s="11" t="n">
        <x:v>0</x:v>
      </x:c>
      <x:c r="M411" s="9" t="n">
        <x:f>IF(D411="Completed",I411*J411,0)</x:f>
        <x:v>402</x:v>
      </x:c>
      <x:c r="N411" s="9" t="n">
        <x:f>M411*K411</x:f>
        <x:v>20.1</x:v>
      </x:c>
      <x:c r="O411" s="9" t="n">
        <x:f>M411-N411</x:f>
        <x:v>381.9</x:v>
      </x:c>
      <x:c r="P411" s="9" t="n">
        <x:f>IF(D411="Completed",L411*J411*(1-K411),0)</x:f>
        <x:v>0</x:v>
      </x:c>
      <x:c r="Q411" s="9" t="n">
        <x:f>O411-P411</x:f>
        <x:v>381.9</x:v>
      </x:c>
      <x:c r="R411" s="11" t="n">
        <x:f>IF(D411="Completed",I411,0)</x:f>
        <x:v>3</x:v>
      </x:c>
      <x:c r="S411" s="11" t="n">
        <x:f>IF(D411="Completed",L411,0)</x:f>
        <x:v>0</x:v>
      </x:c>
      <x:c r="T411" s="8" t="n">
        <x:f>DATE(YEAR(C411),MONTH(C411),1)</x:f>
        <x:v>45748</x:v>
      </x:c>
    </x:row>
    <x:row r="412" ht="22" customHeight="1">
      <x:c r="A412" s="2" t="str">
        <x:v>L000408</x:v>
      </x:c>
      <x:c r="B412" s="2" t="str">
        <x:v>O00171</x:v>
      </x:c>
      <x:c r="C412" s="7" t="n">
        <x:v>45712</x:v>
      </x:c>
      <x:c r="D412" s="2" t="str">
        <x:v>Completed</x:v>
      </x:c>
      <x:c r="E412" s="2" t="str">
        <x:v>East</x:v>
      </x:c>
      <x:c r="F412" s="2" t="str">
        <x:v>Online</x:v>
      </x:c>
      <x:c r="G412" s="2" t="str">
        <x:v>Lighting</x:v>
      </x:c>
      <x:c r="H412" s="2" t="str">
        <x:v>Lamp 005</x:v>
      </x:c>
      <x:c r="I412" s="11" t="n">
        <x:v>3</x:v>
      </x:c>
      <x:c r="J412" s="9" t="n">
        <x:v>65</x:v>
      </x:c>
      <x:c r="K412" s="10" t="n">
        <x:v>0.1</x:v>
      </x:c>
      <x:c r="L412" s="11" t="n">
        <x:v>0</x:v>
      </x:c>
      <x:c r="M412" s="9" t="n">
        <x:f>IF(D412="Completed",I412*J412,0)</x:f>
        <x:v>195</x:v>
      </x:c>
      <x:c r="N412" s="9" t="n">
        <x:f>M412*K412</x:f>
        <x:v>19.5</x:v>
      </x:c>
      <x:c r="O412" s="9" t="n">
        <x:f>M412-N412</x:f>
        <x:v>175.5</x:v>
      </x:c>
      <x:c r="P412" s="9" t="n">
        <x:f>IF(D412="Completed",L412*J412*(1-K412),0)</x:f>
        <x:v>0</x:v>
      </x:c>
      <x:c r="Q412" s="9" t="n">
        <x:f>O412-P412</x:f>
        <x:v>175.5</x:v>
      </x:c>
      <x:c r="R412" s="11" t="n">
        <x:f>IF(D412="Completed",I412,0)</x:f>
        <x:v>3</x:v>
      </x:c>
      <x:c r="S412" s="11" t="n">
        <x:f>IF(D412="Completed",L412,0)</x:f>
        <x:v>0</x:v>
      </x:c>
      <x:c r="T412" s="8" t="n">
        <x:f>DATE(YEAR(C412),MONTH(C412),1)</x:f>
        <x:v>45689</x:v>
      </x:c>
    </x:row>
    <x:row r="413" ht="22" customHeight="1">
      <x:c r="A413" s="2" t="str">
        <x:v>L000409</x:v>
      </x:c>
      <x:c r="B413" s="2" t="str">
        <x:v>O00171</x:v>
      </x:c>
      <x:c r="C413" s="7" t="n">
        <x:v>45712</x:v>
      </x:c>
      <x:c r="D413" s="2" t="str">
        <x:v>Completed</x:v>
      </x:c>
      <x:c r="E413" s="2" t="str">
        <x:v>East</x:v>
      </x:c>
      <x:c r="F413" s="2" t="str">
        <x:v>Online</x:v>
      </x:c>
      <x:c r="G413" s="2" t="str">
        <x:v>Furniture</x:v>
      </x:c>
      <x:c r="H413" s="2" t="str">
        <x:v>Chair 018</x:v>
      </x:c>
      <x:c r="I413" s="11" t="n">
        <x:v>2</x:v>
      </x:c>
      <x:c r="J413" s="9" t="n">
        <x:v>269</x:v>
      </x:c>
      <x:c r="K413" s="10" t="n">
        <x:v>0</x:v>
      </x:c>
      <x:c r="L413" s="11" t="n">
        <x:v>0</x:v>
      </x:c>
      <x:c r="M413" s="9" t="n">
        <x:f>IF(D413="Completed",I413*J413,0)</x:f>
        <x:v>538</x:v>
      </x:c>
      <x:c r="N413" s="9" t="n">
        <x:f>M413*K413</x:f>
        <x:v>0</x:v>
      </x:c>
      <x:c r="O413" s="9" t="n">
        <x:f>M413-N413</x:f>
        <x:v>538</x:v>
      </x:c>
      <x:c r="P413" s="9" t="n">
        <x:f>IF(D413="Completed",L413*J413*(1-K413),0)</x:f>
        <x:v>0</x:v>
      </x:c>
      <x:c r="Q413" s="9" t="n">
        <x:f>O413-P413</x:f>
        <x:v>538</x:v>
      </x:c>
      <x:c r="R413" s="11" t="n">
        <x:f>IF(D413="Completed",I413,0)</x:f>
        <x:v>2</x:v>
      </x:c>
      <x:c r="S413" s="11" t="n">
        <x:f>IF(D413="Completed",L413,0)</x:f>
        <x:v>0</x:v>
      </x:c>
      <x:c r="T413" s="8" t="n">
        <x:f>DATE(YEAR(C413),MONTH(C413),1)</x:f>
        <x:v>45689</x:v>
      </x:c>
    </x:row>
    <x:row r="414" ht="22" customHeight="1">
      <x:c r="A414" s="2" t="str">
        <x:v>L000410</x:v>
      </x:c>
      <x:c r="B414" s="2" t="str">
        <x:v>O00172</x:v>
      </x:c>
      <x:c r="C414" s="7" t="n">
        <x:v>46003</x:v>
      </x:c>
      <x:c r="D414" s="2" t="str">
        <x:v>Completed</x:v>
      </x:c>
      <x:c r="E414" s="2" t="str">
        <x:v>South</x:v>
      </x:c>
      <x:c r="F414" s="2" t="str">
        <x:v>Online</x:v>
      </x:c>
      <x:c r="G414" s="2" t="str">
        <x:v>Furniture</x:v>
      </x:c>
      <x:c r="H414" s="2" t="str">
        <x:v>Chair 022</x:v>
      </x:c>
      <x:c r="I414" s="11" t="n">
        <x:v>5</x:v>
      </x:c>
      <x:c r="J414" s="9" t="n">
        <x:v>134</x:v>
      </x:c>
      <x:c r="K414" s="10" t="n">
        <x:v>0.2</x:v>
      </x:c>
      <x:c r="L414" s="11" t="n">
        <x:v>0</x:v>
      </x:c>
      <x:c r="M414" s="9" t="n">
        <x:f>IF(D414="Completed",I414*J414,0)</x:f>
        <x:v>670</x:v>
      </x:c>
      <x:c r="N414" s="9" t="n">
        <x:f>M414*K414</x:f>
        <x:v>134</x:v>
      </x:c>
      <x:c r="O414" s="9" t="n">
        <x:f>M414-N414</x:f>
        <x:v>536</x:v>
      </x:c>
      <x:c r="P414" s="9" t="n">
        <x:f>IF(D414="Completed",L414*J414*(1-K414),0)</x:f>
        <x:v>0</x:v>
      </x:c>
      <x:c r="Q414" s="9" t="n">
        <x:f>O414-P414</x:f>
        <x:v>536</x:v>
      </x:c>
      <x:c r="R414" s="11" t="n">
        <x:f>IF(D414="Completed",I414,0)</x:f>
        <x:v>5</x:v>
      </x:c>
      <x:c r="S414" s="11" t="n">
        <x:f>IF(D414="Completed",L414,0)</x:f>
        <x:v>0</x:v>
      </x:c>
      <x:c r="T414" s="8" t="n">
        <x:f>DATE(YEAR(C414),MONTH(C414),1)</x:f>
        <x:v>45992</x:v>
      </x:c>
    </x:row>
    <x:row r="415" ht="22" customHeight="1">
      <x:c r="A415" s="2" t="str">
        <x:v>L000411</x:v>
      </x:c>
      <x:c r="B415" s="2" t="str">
        <x:v>O00173</x:v>
      </x:c>
      <x:c r="C415" s="7" t="n">
        <x:v>45989</x:v>
      </x:c>
      <x:c r="D415" s="2" t="str">
        <x:v>Completed</x:v>
      </x:c>
      <x:c r="E415" s="2" t="str">
        <x:v>South</x:v>
      </x:c>
      <x:c r="F415" s="2" t="str">
        <x:v>Store</x:v>
      </x:c>
      <x:c r="G415" s="2" t="str">
        <x:v>Furniture</x:v>
      </x:c>
      <x:c r="H415" s="2" t="str">
        <x:v>Chair 014</x:v>
      </x:c>
      <x:c r="I415" s="11" t="n">
        <x:v>1</x:v>
      </x:c>
      <x:c r="J415" s="9" t="n">
        <x:v>294</x:v>
      </x:c>
      <x:c r="K415" s="10" t="n">
        <x:v>0.2</x:v>
      </x:c>
      <x:c r="L415" s="11" t="n">
        <x:v>0</x:v>
      </x:c>
      <x:c r="M415" s="9" t="n">
        <x:f>IF(D415="Completed",I415*J415,0)</x:f>
        <x:v>294</x:v>
      </x:c>
      <x:c r="N415" s="9" t="n">
        <x:f>M415*K415</x:f>
        <x:v>58.800000000000004</x:v>
      </x:c>
      <x:c r="O415" s="9" t="n">
        <x:f>M415-N415</x:f>
        <x:v>235.2</x:v>
      </x:c>
      <x:c r="P415" s="9" t="n">
        <x:f>IF(D415="Completed",L415*J415*(1-K415),0)</x:f>
        <x:v>0</x:v>
      </x:c>
      <x:c r="Q415" s="9" t="n">
        <x:f>O415-P415</x:f>
        <x:v>235.2</x:v>
      </x:c>
      <x:c r="R415" s="11" t="n">
        <x:f>IF(D415="Completed",I415,0)</x:f>
        <x:v>1</x:v>
      </x:c>
      <x:c r="S415" s="11" t="n">
        <x:f>IF(D415="Completed",L415,0)</x:f>
        <x:v>0</x:v>
      </x:c>
      <x:c r="T415" s="8" t="n">
        <x:f>DATE(YEAR(C415),MONTH(C415),1)</x:f>
        <x:v>45962</x:v>
      </x:c>
    </x:row>
    <x:row r="416" ht="22" customHeight="1">
      <x:c r="A416" s="2" t="str">
        <x:v>L000412</x:v>
      </x:c>
      <x:c r="B416" s="2" t="str">
        <x:v>O00174</x:v>
      </x:c>
      <x:c r="C416" s="7" t="n">
        <x:v>45886</x:v>
      </x:c>
      <x:c r="D416" s="2" t="str">
        <x:v>Completed</x:v>
      </x:c>
      <x:c r="E416" s="2" t="str">
        <x:v>South</x:v>
      </x:c>
      <x:c r="F416" s="2" t="str">
        <x:v>Store</x:v>
      </x:c>
      <x:c r="G416" s="2" t="str">
        <x:v>Lighting</x:v>
      </x:c>
      <x:c r="H416" s="2" t="str">
        <x:v>Lamp 017</x:v>
      </x:c>
      <x:c r="I416" s="11" t="n">
        <x:v>5</x:v>
      </x:c>
      <x:c r="J416" s="9" t="n">
        <x:v>300</x:v>
      </x:c>
      <x:c r="K416" s="10" t="n">
        <x:v>0.05</x:v>
      </x:c>
      <x:c r="L416" s="11" t="n">
        <x:v>0</x:v>
      </x:c>
      <x:c r="M416" s="9" t="n">
        <x:f>IF(D416="Completed",I416*J416,0)</x:f>
        <x:v>1500</x:v>
      </x:c>
      <x:c r="N416" s="9" t="n">
        <x:f>M416*K416</x:f>
        <x:v>75</x:v>
      </x:c>
      <x:c r="O416" s="9" t="n">
        <x:f>M416-N416</x:f>
        <x:v>1425</x:v>
      </x:c>
      <x:c r="P416" s="9" t="n">
        <x:f>IF(D416="Completed",L416*J416*(1-K416),0)</x:f>
        <x:v>0</x:v>
      </x:c>
      <x:c r="Q416" s="9" t="n">
        <x:f>O416-P416</x:f>
        <x:v>1425</x:v>
      </x:c>
      <x:c r="R416" s="11" t="n">
        <x:f>IF(D416="Completed",I416,0)</x:f>
        <x:v>5</x:v>
      </x:c>
      <x:c r="S416" s="11" t="n">
        <x:f>IF(D416="Completed",L416,0)</x:f>
        <x:v>0</x:v>
      </x:c>
      <x:c r="T416" s="8" t="n">
        <x:f>DATE(YEAR(C416),MONTH(C416),1)</x:f>
        <x:v>45870</x:v>
      </x:c>
    </x:row>
    <x:row r="417" ht="22" customHeight="1">
      <x:c r="A417" s="2" t="str">
        <x:v>L000413</x:v>
      </x:c>
      <x:c r="B417" s="2" t="str">
        <x:v>O00174</x:v>
      </x:c>
      <x:c r="C417" s="7" t="n">
        <x:v>45886</x:v>
      </x:c>
      <x:c r="D417" s="2" t="str">
        <x:v>Completed</x:v>
      </x:c>
      <x:c r="E417" s="2" t="str">
        <x:v>South</x:v>
      </x:c>
      <x:c r="F417" s="2" t="str">
        <x:v>Store</x:v>
      </x:c>
      <x:c r="G417" s="2" t="str">
        <x:v>Storage</x:v>
      </x:c>
      <x:c r="H417" s="2" t="str">
        <x:v>Shelf 019</x:v>
      </x:c>
      <x:c r="I417" s="11" t="n">
        <x:v>5</x:v>
      </x:c>
      <x:c r="J417" s="9" t="n">
        <x:v>78</x:v>
      </x:c>
      <x:c r="K417" s="10" t="n">
        <x:v>0.05</x:v>
      </x:c>
      <x:c r="L417" s="11" t="n">
        <x:v>0</x:v>
      </x:c>
      <x:c r="M417" s="9" t="n">
        <x:f>IF(D417="Completed",I417*J417,0)</x:f>
        <x:v>390</x:v>
      </x:c>
      <x:c r="N417" s="9" t="n">
        <x:f>M417*K417</x:f>
        <x:v>19.5</x:v>
      </x:c>
      <x:c r="O417" s="9" t="n">
        <x:f>M417-N417</x:f>
        <x:v>370.5</x:v>
      </x:c>
      <x:c r="P417" s="9" t="n">
        <x:f>IF(D417="Completed",L417*J417*(1-K417),0)</x:f>
        <x:v>0</x:v>
      </x:c>
      <x:c r="Q417" s="9" t="n">
        <x:f>O417-P417</x:f>
        <x:v>370.5</x:v>
      </x:c>
      <x:c r="R417" s="11" t="n">
        <x:f>IF(D417="Completed",I417,0)</x:f>
        <x:v>5</x:v>
      </x:c>
      <x:c r="S417" s="11" t="n">
        <x:f>IF(D417="Completed",L417,0)</x:f>
        <x:v>0</x:v>
      </x:c>
      <x:c r="T417" s="8" t="n">
        <x:f>DATE(YEAR(C417),MONTH(C417),1)</x:f>
        <x:v>45870</x:v>
      </x:c>
    </x:row>
    <x:row r="418" ht="22" customHeight="1">
      <x:c r="A418" s="2" t="str">
        <x:v>L000414</x:v>
      </x:c>
      <x:c r="B418" s="2" t="str">
        <x:v>O00175</x:v>
      </x:c>
      <x:c r="C418" s="7" t="n">
        <x:v>45991</x:v>
      </x:c>
      <x:c r="D418" s="2" t="str">
        <x:v>Completed</x:v>
      </x:c>
      <x:c r="E418" s="2" t="str">
        <x:v>West</x:v>
      </x:c>
      <x:c r="F418" s="2" t="str">
        <x:v>Online</x:v>
      </x:c>
      <x:c r="G418" s="2" t="str">
        <x:v>Furniture</x:v>
      </x:c>
      <x:c r="H418" s="2" t="str">
        <x:v>Chair 022</x:v>
      </x:c>
      <x:c r="I418" s="11" t="n">
        <x:v>3</x:v>
      </x:c>
      <x:c r="J418" s="9" t="n">
        <x:v>134</x:v>
      </x:c>
      <x:c r="K418" s="10" t="n">
        <x:v>0.1</x:v>
      </x:c>
      <x:c r="L418" s="11" t="n">
        <x:v>0</x:v>
      </x:c>
      <x:c r="M418" s="9" t="n">
        <x:f>IF(D418="Completed",I418*J418,0)</x:f>
        <x:v>402</x:v>
      </x:c>
      <x:c r="N418" s="9" t="n">
        <x:f>M418*K418</x:f>
        <x:v>40.2</x:v>
      </x:c>
      <x:c r="O418" s="9" t="n">
        <x:f>M418-N418</x:f>
        <x:v>361.8</x:v>
      </x:c>
      <x:c r="P418" s="9" t="n">
        <x:f>IF(D418="Completed",L418*J418*(1-K418),0)</x:f>
        <x:v>0</x:v>
      </x:c>
      <x:c r="Q418" s="9" t="n">
        <x:f>O418-P418</x:f>
        <x:v>361.8</x:v>
      </x:c>
      <x:c r="R418" s="11" t="n">
        <x:f>IF(D418="Completed",I418,0)</x:f>
        <x:v>3</x:v>
      </x:c>
      <x:c r="S418" s="11" t="n">
        <x:f>IF(D418="Completed",L418,0)</x:f>
        <x:v>0</x:v>
      </x:c>
      <x:c r="T418" s="8" t="n">
        <x:f>DATE(YEAR(C418),MONTH(C418),1)</x:f>
        <x:v>45962</x:v>
      </x:c>
    </x:row>
    <x:row r="419" ht="22" customHeight="1">
      <x:c r="A419" s="2" t="str">
        <x:v>L000415</x:v>
      </x:c>
      <x:c r="B419" s="2" t="str">
        <x:v>O00175</x:v>
      </x:c>
      <x:c r="C419" s="7" t="n">
        <x:v>45991</x:v>
      </x:c>
      <x:c r="D419" s="2" t="str">
        <x:v>Completed</x:v>
      </x:c>
      <x:c r="E419" s="2" t="str">
        <x:v>West</x:v>
      </x:c>
      <x:c r="F419" s="2" t="str">
        <x:v>Online</x:v>
      </x:c>
      <x:c r="G419" s="2" t="str">
        <x:v>Storage</x:v>
      </x:c>
      <x:c r="H419" s="2" t="str">
        <x:v>Shelf 007</x:v>
      </x:c>
      <x:c r="I419" s="11" t="n">
        <x:v>1</x:v>
      </x:c>
      <x:c r="J419" s="9" t="n">
        <x:v>35</x:v>
      </x:c>
      <x:c r="K419" s="10" t="n">
        <x:v>0.05</x:v>
      </x:c>
      <x:c r="L419" s="11" t="n">
        <x:v>0</x:v>
      </x:c>
      <x:c r="M419" s="9" t="n">
        <x:f>IF(D419="Completed",I419*J419,0)</x:f>
        <x:v>35</x:v>
      </x:c>
      <x:c r="N419" s="9" t="n">
        <x:f>M419*K419</x:f>
        <x:v>1.75</x:v>
      </x:c>
      <x:c r="O419" s="9" t="n">
        <x:f>M419-N419</x:f>
        <x:v>33.25</x:v>
      </x:c>
      <x:c r="P419" s="9" t="n">
        <x:f>IF(D419="Completed",L419*J419*(1-K419),0)</x:f>
        <x:v>0</x:v>
      </x:c>
      <x:c r="Q419" s="9" t="n">
        <x:f>O419-P419</x:f>
        <x:v>33.25</x:v>
      </x:c>
      <x:c r="R419" s="11" t="n">
        <x:f>IF(D419="Completed",I419,0)</x:f>
        <x:v>1</x:v>
      </x:c>
      <x:c r="S419" s="11" t="n">
        <x:f>IF(D419="Completed",L419,0)</x:f>
        <x:v>0</x:v>
      </x:c>
      <x:c r="T419" s="8" t="n">
        <x:f>DATE(YEAR(C419),MONTH(C419),1)</x:f>
        <x:v>45962</x:v>
      </x:c>
    </x:row>
    <x:row r="420" ht="22" customHeight="1">
      <x:c r="A420" s="2" t="str">
        <x:v>L000416</x:v>
      </x:c>
      <x:c r="B420" s="2" t="str">
        <x:v>O00176</x:v>
      </x:c>
      <x:c r="C420" s="7" t="n">
        <x:v>45928</x:v>
      </x:c>
      <x:c r="D420" s="2" t="str">
        <x:v>Completed</x:v>
      </x:c>
      <x:c r="E420" s="2" t="str">
        <x:v>South</x:v>
      </x:c>
      <x:c r="F420" s="2" t="str">
        <x:v>Online</x:v>
      </x:c>
      <x:c r="G420" s="2" t="str">
        <x:v>Lighting</x:v>
      </x:c>
      <x:c r="H420" s="2" t="str">
        <x:v>Lamp 021</x:v>
      </x:c>
      <x:c r="I420" s="11" t="n">
        <x:v>2</x:v>
      </x:c>
      <x:c r="J420" s="9" t="n">
        <x:v>249</x:v>
      </x:c>
      <x:c r="K420" s="10" t="n">
        <x:v>0</x:v>
      </x:c>
      <x:c r="L420" s="11" t="n">
        <x:v>0</x:v>
      </x:c>
      <x:c r="M420" s="9" t="n">
        <x:f>IF(D420="Completed",I420*J420,0)</x:f>
        <x:v>498</x:v>
      </x:c>
      <x:c r="N420" s="9" t="n">
        <x:f>M420*K420</x:f>
        <x:v>0</x:v>
      </x:c>
      <x:c r="O420" s="9" t="n">
        <x:f>M420-N420</x:f>
        <x:v>498</x:v>
      </x:c>
      <x:c r="P420" s="9" t="n">
        <x:f>IF(D420="Completed",L420*J420*(1-K420),0)</x:f>
        <x:v>0</x:v>
      </x:c>
      <x:c r="Q420" s="9" t="n">
        <x:f>O420-P420</x:f>
        <x:v>498</x:v>
      </x:c>
      <x:c r="R420" s="11" t="n">
        <x:f>IF(D420="Completed",I420,0)</x:f>
        <x:v>2</x:v>
      </x:c>
      <x:c r="S420" s="11" t="n">
        <x:f>IF(D420="Completed",L420,0)</x:f>
        <x:v>0</x:v>
      </x:c>
      <x:c r="T420" s="8" t="n">
        <x:f>DATE(YEAR(C420),MONTH(C420),1)</x:f>
        <x:v>45901</x:v>
      </x:c>
    </x:row>
    <x:row r="421" ht="22" customHeight="1">
      <x:c r="A421" s="2" t="str">
        <x:v>L000417</x:v>
      </x:c>
      <x:c r="B421" s="2" t="str">
        <x:v>O00177</x:v>
      </x:c>
      <x:c r="C421" s="7" t="n">
        <x:v>45662</x:v>
      </x:c>
      <x:c r="D421" s="2" t="str">
        <x:v>Completed</x:v>
      </x:c>
      <x:c r="E421" s="2" t="str">
        <x:v>West</x:v>
      </x:c>
      <x:c r="F421" s="2" t="str">
        <x:v>Store</x:v>
      </x:c>
      <x:c r="G421" s="2" t="str">
        <x:v>Lighting</x:v>
      </x:c>
      <x:c r="H421" s="2" t="str">
        <x:v>Lamp 017</x:v>
      </x:c>
      <x:c r="I421" s="11" t="n">
        <x:v>2</x:v>
      </x:c>
      <x:c r="J421" s="9" t="n">
        <x:v>300</x:v>
      </x:c>
      <x:c r="K421" s="10" t="n">
        <x:v>0.05</x:v>
      </x:c>
      <x:c r="L421" s="11" t="n">
        <x:v>0</x:v>
      </x:c>
      <x:c r="M421" s="9" t="n">
        <x:f>IF(D421="Completed",I421*J421,0)</x:f>
        <x:v>600</x:v>
      </x:c>
      <x:c r="N421" s="9" t="n">
        <x:f>M421*K421</x:f>
        <x:v>30</x:v>
      </x:c>
      <x:c r="O421" s="9" t="n">
        <x:f>M421-N421</x:f>
        <x:v>570</x:v>
      </x:c>
      <x:c r="P421" s="9" t="n">
        <x:f>IF(D421="Completed",L421*J421*(1-K421),0)</x:f>
        <x:v>0</x:v>
      </x:c>
      <x:c r="Q421" s="9" t="n">
        <x:f>O421-P421</x:f>
        <x:v>570</x:v>
      </x:c>
      <x:c r="R421" s="11" t="n">
        <x:f>IF(D421="Completed",I421,0)</x:f>
        <x:v>2</x:v>
      </x:c>
      <x:c r="S421" s="11" t="n">
        <x:f>IF(D421="Completed",L421,0)</x:f>
        <x:v>0</x:v>
      </x:c>
      <x:c r="T421" s="8" t="n">
        <x:f>DATE(YEAR(C421),MONTH(C421),1)</x:f>
        <x:v>45658</x:v>
      </x:c>
    </x:row>
    <x:row r="422" ht="22" customHeight="1">
      <x:c r="A422" s="2" t="str">
        <x:v>L000418</x:v>
      </x:c>
      <x:c r="B422" s="2" t="str">
        <x:v>O00177</x:v>
      </x:c>
      <x:c r="C422" s="7" t="n">
        <x:v>45662</x:v>
      </x:c>
      <x:c r="D422" s="2" t="str">
        <x:v>Completed</x:v>
      </x:c>
      <x:c r="E422" s="2" t="str">
        <x:v>West</x:v>
      </x:c>
      <x:c r="F422" s="2" t="str">
        <x:v>Store</x:v>
      </x:c>
      <x:c r="G422" s="2" t="str">
        <x:v>Furniture</x:v>
      </x:c>
      <x:c r="H422" s="2" t="str">
        <x:v>Chair 006</x:v>
      </x:c>
      <x:c r="I422" s="11" t="n">
        <x:v>4</x:v>
      </x:c>
      <x:c r="J422" s="9" t="n">
        <x:v>196</x:v>
      </x:c>
      <x:c r="K422" s="10" t="n">
        <x:v>0.1</x:v>
      </x:c>
      <x:c r="L422" s="11" t="n">
        <x:v>0</x:v>
      </x:c>
      <x:c r="M422" s="9" t="n">
        <x:f>IF(D422="Completed",I422*J422,0)</x:f>
        <x:v>784</x:v>
      </x:c>
      <x:c r="N422" s="9" t="n">
        <x:f>M422*K422</x:f>
        <x:v>78.4</x:v>
      </x:c>
      <x:c r="O422" s="9" t="n">
        <x:f>M422-N422</x:f>
        <x:v>705.6</x:v>
      </x:c>
      <x:c r="P422" s="9" t="n">
        <x:f>IF(D422="Completed",L422*J422*(1-K422),0)</x:f>
        <x:v>0</x:v>
      </x:c>
      <x:c r="Q422" s="9" t="n">
        <x:f>O422-P422</x:f>
        <x:v>705.6</x:v>
      </x:c>
      <x:c r="R422" s="11" t="n">
        <x:f>IF(D422="Completed",I422,0)</x:f>
        <x:v>4</x:v>
      </x:c>
      <x:c r="S422" s="11" t="n">
        <x:f>IF(D422="Completed",L422,0)</x:f>
        <x:v>0</x:v>
      </x:c>
      <x:c r="T422" s="8" t="n">
        <x:f>DATE(YEAR(C422),MONTH(C422),1)</x:f>
        <x:v>45658</x:v>
      </x:c>
    </x:row>
    <x:row r="423" ht="22" customHeight="1">
      <x:c r="A423" s="2" t="str">
        <x:v>L000419</x:v>
      </x:c>
      <x:c r="B423" s="2" t="str">
        <x:v>O00177</x:v>
      </x:c>
      <x:c r="C423" s="7" t="n">
        <x:v>45662</x:v>
      </x:c>
      <x:c r="D423" s="2" t="str">
        <x:v>Completed</x:v>
      </x:c>
      <x:c r="E423" s="2" t="str">
        <x:v>West</x:v>
      </x:c>
      <x:c r="F423" s="2" t="str">
        <x:v>Store</x:v>
      </x:c>
      <x:c r="G423" s="2" t="str">
        <x:v>Storage</x:v>
      </x:c>
      <x:c r="H423" s="2" t="str">
        <x:v>Shelf 003</x:v>
      </x:c>
      <x:c r="I423" s="11" t="n">
        <x:v>1</x:v>
      </x:c>
      <x:c r="J423" s="9" t="n">
        <x:v>199</x:v>
      </x:c>
      <x:c r="K423" s="10" t="n">
        <x:v>0.2</x:v>
      </x:c>
      <x:c r="L423" s="11" t="n">
        <x:v>0</x:v>
      </x:c>
      <x:c r="M423" s="9" t="n">
        <x:f>IF(D423="Completed",I423*J423,0)</x:f>
        <x:v>199</x:v>
      </x:c>
      <x:c r="N423" s="9" t="n">
        <x:f>M423*K423</x:f>
        <x:v>39.800000000000004</x:v>
      </x:c>
      <x:c r="O423" s="9" t="n">
        <x:f>M423-N423</x:f>
        <x:v>159.2</x:v>
      </x:c>
      <x:c r="P423" s="9" t="n">
        <x:f>IF(D423="Completed",L423*J423*(1-K423),0)</x:f>
        <x:v>0</x:v>
      </x:c>
      <x:c r="Q423" s="9" t="n">
        <x:f>O423-P423</x:f>
        <x:v>159.2</x:v>
      </x:c>
      <x:c r="R423" s="11" t="n">
        <x:f>IF(D423="Completed",I423,0)</x:f>
        <x:v>1</x:v>
      </x:c>
      <x:c r="S423" s="11" t="n">
        <x:f>IF(D423="Completed",L423,0)</x:f>
        <x:v>0</x:v>
      </x:c>
      <x:c r="T423" s="8" t="n">
        <x:f>DATE(YEAR(C423),MONTH(C423),1)</x:f>
        <x:v>45658</x:v>
      </x:c>
    </x:row>
    <x:row r="424" ht="22" customHeight="1">
      <x:c r="A424" s="2" t="str">
        <x:v>L000420</x:v>
      </x:c>
      <x:c r="B424" s="2" t="str">
        <x:v>O00178</x:v>
      </x:c>
      <x:c r="C424" s="7" t="n">
        <x:v>45847</x:v>
      </x:c>
      <x:c r="D424" s="2" t="str">
        <x:v>Completed</x:v>
      </x:c>
      <x:c r="E424" s="2" t="str">
        <x:v>West</x:v>
      </x:c>
      <x:c r="F424" s="2" t="str">
        <x:v>Online</x:v>
      </x:c>
      <x:c r="G424" s="2" t="str">
        <x:v>Storage</x:v>
      </x:c>
      <x:c r="H424" s="2" t="str">
        <x:v>Shelf 003</x:v>
      </x:c>
      <x:c r="I424" s="11" t="n">
        <x:v>4</x:v>
      </x:c>
      <x:c r="J424" s="9" t="n">
        <x:v>199</x:v>
      </x:c>
      <x:c r="K424" s="10" t="n">
        <x:v>0.2</x:v>
      </x:c>
      <x:c r="L424" s="11" t="n">
        <x:v>0</x:v>
      </x:c>
      <x:c r="M424" s="9" t="n">
        <x:f>IF(D424="Completed",I424*J424,0)</x:f>
        <x:v>796</x:v>
      </x:c>
      <x:c r="N424" s="9" t="n">
        <x:f>M424*K424</x:f>
        <x:v>159.20000000000002</x:v>
      </x:c>
      <x:c r="O424" s="9" t="n">
        <x:f>M424-N424</x:f>
        <x:v>636.8</x:v>
      </x:c>
      <x:c r="P424" s="9" t="n">
        <x:f>IF(D424="Completed",L424*J424*(1-K424),0)</x:f>
        <x:v>0</x:v>
      </x:c>
      <x:c r="Q424" s="9" t="n">
        <x:f>O424-P424</x:f>
        <x:v>636.8</x:v>
      </x:c>
      <x:c r="R424" s="11" t="n">
        <x:f>IF(D424="Completed",I424,0)</x:f>
        <x:v>4</x:v>
      </x:c>
      <x:c r="S424" s="11" t="n">
        <x:f>IF(D424="Completed",L424,0)</x:f>
        <x:v>0</x:v>
      </x:c>
      <x:c r="T424" s="8" t="n">
        <x:f>DATE(YEAR(C424),MONTH(C424),1)</x:f>
        <x:v>45839</x:v>
      </x:c>
    </x:row>
    <x:row r="425" ht="22" customHeight="1">
      <x:c r="A425" s="2" t="str">
        <x:v>L000421</x:v>
      </x:c>
      <x:c r="B425" s="2" t="str">
        <x:v>O00178</x:v>
      </x:c>
      <x:c r="C425" s="7" t="n">
        <x:v>45847</x:v>
      </x:c>
      <x:c r="D425" s="2" t="str">
        <x:v>Completed</x:v>
      </x:c>
      <x:c r="E425" s="2" t="str">
        <x:v>West</x:v>
      </x:c>
      <x:c r="F425" s="2" t="str">
        <x:v>Online</x:v>
      </x:c>
      <x:c r="G425" s="2" t="str">
        <x:v>Storage</x:v>
      </x:c>
      <x:c r="H425" s="2" t="str">
        <x:v>Shelf 019</x:v>
      </x:c>
      <x:c r="I425" s="11" t="n">
        <x:v>3</x:v>
      </x:c>
      <x:c r="J425" s="9" t="n">
        <x:v>78</x:v>
      </x:c>
      <x:c r="K425" s="10" t="n">
        <x:v>0.1</x:v>
      </x:c>
      <x:c r="L425" s="11" t="n">
        <x:v>0</x:v>
      </x:c>
      <x:c r="M425" s="9" t="n">
        <x:f>IF(D425="Completed",I425*J425,0)</x:f>
        <x:v>234</x:v>
      </x:c>
      <x:c r="N425" s="9" t="n">
        <x:f>M425*K425</x:f>
        <x:v>23.400000000000002</x:v>
      </x:c>
      <x:c r="O425" s="9" t="n">
        <x:f>M425-N425</x:f>
        <x:v>210.6</x:v>
      </x:c>
      <x:c r="P425" s="9" t="n">
        <x:f>IF(D425="Completed",L425*J425*(1-K425),0)</x:f>
        <x:v>0</x:v>
      </x:c>
      <x:c r="Q425" s="9" t="n">
        <x:f>O425-P425</x:f>
        <x:v>210.6</x:v>
      </x:c>
      <x:c r="R425" s="11" t="n">
        <x:f>IF(D425="Completed",I425,0)</x:f>
        <x:v>3</x:v>
      </x:c>
      <x:c r="S425" s="11" t="n">
        <x:f>IF(D425="Completed",L425,0)</x:f>
        <x:v>0</x:v>
      </x:c>
      <x:c r="T425" s="8" t="n">
        <x:f>DATE(YEAR(C425),MONTH(C425),1)</x:f>
        <x:v>45839</x:v>
      </x:c>
    </x:row>
    <x:row r="426" ht="22" customHeight="1">
      <x:c r="A426" s="2" t="str">
        <x:v>L000422</x:v>
      </x:c>
      <x:c r="B426" s="2" t="str">
        <x:v>O00178</x:v>
      </x:c>
      <x:c r="C426" s="7" t="n">
        <x:v>45847</x:v>
      </x:c>
      <x:c r="D426" s="2" t="str">
        <x:v>Completed</x:v>
      </x:c>
      <x:c r="E426" s="2" t="str">
        <x:v>West</x:v>
      </x:c>
      <x:c r="F426" s="2" t="str">
        <x:v>Online</x:v>
      </x:c>
      <x:c r="G426" s="2" t="str">
        <x:v>Furniture</x:v>
      </x:c>
      <x:c r="H426" s="2" t="str">
        <x:v>Desk 004</x:v>
      </x:c>
      <x:c r="I426" s="11" t="n">
        <x:v>1</x:v>
      </x:c>
      <x:c r="J426" s="9" t="n">
        <x:v>123</x:v>
      </x:c>
      <x:c r="K426" s="10" t="n">
        <x:v>0.05</x:v>
      </x:c>
      <x:c r="L426" s="11" t="n">
        <x:v>0</x:v>
      </x:c>
      <x:c r="M426" s="9" t="n">
        <x:f>IF(D426="Completed",I426*J426,0)</x:f>
        <x:v>123</x:v>
      </x:c>
      <x:c r="N426" s="9" t="n">
        <x:f>M426*K426</x:f>
        <x:v>6.15</x:v>
      </x:c>
      <x:c r="O426" s="9" t="n">
        <x:f>M426-N426</x:f>
        <x:v>116.85</x:v>
      </x:c>
      <x:c r="P426" s="9" t="n">
        <x:f>IF(D426="Completed",L426*J426*(1-K426),0)</x:f>
        <x:v>0</x:v>
      </x:c>
      <x:c r="Q426" s="9" t="n">
        <x:f>O426-P426</x:f>
        <x:v>116.85</x:v>
      </x:c>
      <x:c r="R426" s="11" t="n">
        <x:f>IF(D426="Completed",I426,0)</x:f>
        <x:v>1</x:v>
      </x:c>
      <x:c r="S426" s="11" t="n">
        <x:f>IF(D426="Completed",L426,0)</x:f>
        <x:v>0</x:v>
      </x:c>
      <x:c r="T426" s="8" t="n">
        <x:f>DATE(YEAR(C426),MONTH(C426),1)</x:f>
        <x:v>45839</x:v>
      </x:c>
    </x:row>
    <x:row r="427" ht="22" customHeight="1">
      <x:c r="A427" s="2" t="str">
        <x:v>L000423</x:v>
      </x:c>
      <x:c r="B427" s="2" t="str">
        <x:v>O00178</x:v>
      </x:c>
      <x:c r="C427" s="7" t="n">
        <x:v>45847</x:v>
      </x:c>
      <x:c r="D427" s="2" t="str">
        <x:v>Completed</x:v>
      </x:c>
      <x:c r="E427" s="2" t="str">
        <x:v>West</x:v>
      </x:c>
      <x:c r="F427" s="2" t="str">
        <x:v>Online</x:v>
      </x:c>
      <x:c r="G427" s="2" t="str">
        <x:v>Storage</x:v>
      </x:c>
      <x:c r="H427" s="2" t="str">
        <x:v>Shelf 015</x:v>
      </x:c>
      <x:c r="I427" s="11" t="n">
        <x:v>5</x:v>
      </x:c>
      <x:c r="J427" s="9" t="n">
        <x:v>254</x:v>
      </x:c>
      <x:c r="K427" s="10" t="n">
        <x:v>0</x:v>
      </x:c>
      <x:c r="L427" s="11" t="n">
        <x:v>0</x:v>
      </x:c>
      <x:c r="M427" s="9" t="n">
        <x:f>IF(D427="Completed",I427*J427,0)</x:f>
        <x:v>1270</x:v>
      </x:c>
      <x:c r="N427" s="9" t="n">
        <x:f>M427*K427</x:f>
        <x:v>0</x:v>
      </x:c>
      <x:c r="O427" s="9" t="n">
        <x:f>M427-N427</x:f>
        <x:v>1270</x:v>
      </x:c>
      <x:c r="P427" s="9" t="n">
        <x:f>IF(D427="Completed",L427*J427*(1-K427),0)</x:f>
        <x:v>0</x:v>
      </x:c>
      <x:c r="Q427" s="9" t="n">
        <x:f>O427-P427</x:f>
        <x:v>1270</x:v>
      </x:c>
      <x:c r="R427" s="11" t="n">
        <x:f>IF(D427="Completed",I427,0)</x:f>
        <x:v>5</x:v>
      </x:c>
      <x:c r="S427" s="11" t="n">
        <x:f>IF(D427="Completed",L427,0)</x:f>
        <x:v>0</x:v>
      </x:c>
      <x:c r="T427" s="8" t="n">
        <x:f>DATE(YEAR(C427),MONTH(C427),1)</x:f>
        <x:v>45839</x:v>
      </x:c>
    </x:row>
    <x:row r="428" ht="22" customHeight="1">
      <x:c r="A428" s="2" t="str">
        <x:v>L000424</x:v>
      </x:c>
      <x:c r="B428" s="2" t="str">
        <x:v>O00179</x:v>
      </x:c>
      <x:c r="C428" s="7" t="n">
        <x:v>45826</x:v>
      </x:c>
      <x:c r="D428" s="2" t="str">
        <x:v>Completed</x:v>
      </x:c>
      <x:c r="E428" s="2" t="str">
        <x:v>North</x:v>
      </x:c>
      <x:c r="F428" s="2" t="str">
        <x:v>Store</x:v>
      </x:c>
      <x:c r="G428" s="2" t="str">
        <x:v>Furniture</x:v>
      </x:c>
      <x:c r="H428" s="2" t="str">
        <x:v>Desk 008</x:v>
      </x:c>
      <x:c r="I428" s="11" t="n">
        <x:v>5</x:v>
      </x:c>
      <x:c r="J428" s="9" t="n">
        <x:v>188</x:v>
      </x:c>
      <x:c r="K428" s="10" t="n">
        <x:v>0</x:v>
      </x:c>
      <x:c r="L428" s="11" t="n">
        <x:v>0</x:v>
      </x:c>
      <x:c r="M428" s="9" t="n">
        <x:f>IF(D428="Completed",I428*J428,0)</x:f>
        <x:v>940</x:v>
      </x:c>
      <x:c r="N428" s="9" t="n">
        <x:f>M428*K428</x:f>
        <x:v>0</x:v>
      </x:c>
      <x:c r="O428" s="9" t="n">
        <x:f>M428-N428</x:f>
        <x:v>940</x:v>
      </x:c>
      <x:c r="P428" s="9" t="n">
        <x:f>IF(D428="Completed",L428*J428*(1-K428),0)</x:f>
        <x:v>0</x:v>
      </x:c>
      <x:c r="Q428" s="9" t="n">
        <x:f>O428-P428</x:f>
        <x:v>940</x:v>
      </x:c>
      <x:c r="R428" s="11" t="n">
        <x:f>IF(D428="Completed",I428,0)</x:f>
        <x:v>5</x:v>
      </x:c>
      <x:c r="S428" s="11" t="n">
        <x:f>IF(D428="Completed",L428,0)</x:f>
        <x:v>0</x:v>
      </x:c>
      <x:c r="T428" s="8" t="n">
        <x:f>DATE(YEAR(C428),MONTH(C428),1)</x:f>
        <x:v>45809</x:v>
      </x:c>
    </x:row>
    <x:row r="429" ht="22" customHeight="1">
      <x:c r="A429" s="2" t="str">
        <x:v>L000425</x:v>
      </x:c>
      <x:c r="B429" s="2" t="str">
        <x:v>O00179</x:v>
      </x:c>
      <x:c r="C429" s="7" t="n">
        <x:v>45826</x:v>
      </x:c>
      <x:c r="D429" s="2" t="str">
        <x:v>Completed</x:v>
      </x:c>
      <x:c r="E429" s="2" t="str">
        <x:v>North</x:v>
      </x:c>
      <x:c r="F429" s="2" t="str">
        <x:v>Store</x:v>
      </x:c>
      <x:c r="G429" s="2" t="str">
        <x:v>Storage</x:v>
      </x:c>
      <x:c r="H429" s="2" t="str">
        <x:v>Shelf 019</x:v>
      </x:c>
      <x:c r="I429" s="11" t="n">
        <x:v>3</x:v>
      </x:c>
      <x:c r="J429" s="9" t="n">
        <x:v>78</x:v>
      </x:c>
      <x:c r="K429" s="10" t="n">
        <x:v>0</x:v>
      </x:c>
      <x:c r="L429" s="11" t="n">
        <x:v>0</x:v>
      </x:c>
      <x:c r="M429" s="9" t="n">
        <x:f>IF(D429="Completed",I429*J429,0)</x:f>
        <x:v>234</x:v>
      </x:c>
      <x:c r="N429" s="9" t="n">
        <x:f>M429*K429</x:f>
        <x:v>0</x:v>
      </x:c>
      <x:c r="O429" s="9" t="n">
        <x:f>M429-N429</x:f>
        <x:v>234</x:v>
      </x:c>
      <x:c r="P429" s="9" t="n">
        <x:f>IF(D429="Completed",L429*J429*(1-K429),0)</x:f>
        <x:v>0</x:v>
      </x:c>
      <x:c r="Q429" s="9" t="n">
        <x:f>O429-P429</x:f>
        <x:v>234</x:v>
      </x:c>
      <x:c r="R429" s="11" t="n">
        <x:f>IF(D429="Completed",I429,0)</x:f>
        <x:v>3</x:v>
      </x:c>
      <x:c r="S429" s="11" t="n">
        <x:f>IF(D429="Completed",L429,0)</x:f>
        <x:v>0</x:v>
      </x:c>
      <x:c r="T429" s="8" t="n">
        <x:f>DATE(YEAR(C429),MONTH(C429),1)</x:f>
        <x:v>45809</x:v>
      </x:c>
    </x:row>
    <x:row r="430" ht="22" customHeight="1">
      <x:c r="A430" s="2" t="str">
        <x:v>L000426</x:v>
      </x:c>
      <x:c r="B430" s="2" t="str">
        <x:v>O00179</x:v>
      </x:c>
      <x:c r="C430" s="7" t="n">
        <x:v>45826</x:v>
      </x:c>
      <x:c r="D430" s="2" t="str">
        <x:v>Completed</x:v>
      </x:c>
      <x:c r="E430" s="2" t="str">
        <x:v>North</x:v>
      </x:c>
      <x:c r="F430" s="2" t="str">
        <x:v>Store</x:v>
      </x:c>
      <x:c r="G430" s="2" t="str">
        <x:v>Furniture</x:v>
      </x:c>
      <x:c r="H430" s="2" t="str">
        <x:v>Chair 022</x:v>
      </x:c>
      <x:c r="I430" s="11" t="n">
        <x:v>5</x:v>
      </x:c>
      <x:c r="J430" s="9" t="n">
        <x:v>134</x:v>
      </x:c>
      <x:c r="K430" s="10" t="n">
        <x:v>0.05</x:v>
      </x:c>
      <x:c r="L430" s="11" t="n">
        <x:v>0</x:v>
      </x:c>
      <x:c r="M430" s="9" t="n">
        <x:f>IF(D430="Completed",I430*J430,0)</x:f>
        <x:v>670</x:v>
      </x:c>
      <x:c r="N430" s="9" t="n">
        <x:f>M430*K430</x:f>
        <x:v>33.5</x:v>
      </x:c>
      <x:c r="O430" s="9" t="n">
        <x:f>M430-N430</x:f>
        <x:v>636.5</x:v>
      </x:c>
      <x:c r="P430" s="9" t="n">
        <x:f>IF(D430="Completed",L430*J430*(1-K430),0)</x:f>
        <x:v>0</x:v>
      </x:c>
      <x:c r="Q430" s="9" t="n">
        <x:f>O430-P430</x:f>
        <x:v>636.5</x:v>
      </x:c>
      <x:c r="R430" s="11" t="n">
        <x:f>IF(D430="Completed",I430,0)</x:f>
        <x:v>5</x:v>
      </x:c>
      <x:c r="S430" s="11" t="n">
        <x:f>IF(D430="Completed",L430,0)</x:f>
        <x:v>0</x:v>
      </x:c>
      <x:c r="T430" s="8" t="n">
        <x:f>DATE(YEAR(C430),MONTH(C430),1)</x:f>
        <x:v>45809</x:v>
      </x:c>
    </x:row>
    <x:row r="431" ht="22" customHeight="1">
      <x:c r="A431" s="2" t="str">
        <x:v>L000427</x:v>
      </x:c>
      <x:c r="B431" s="2" t="str">
        <x:v>O00180</x:v>
      </x:c>
      <x:c r="C431" s="7" t="n">
        <x:v>45974</x:v>
      </x:c>
      <x:c r="D431" s="2" t="str">
        <x:v>Completed</x:v>
      </x:c>
      <x:c r="E431" s="2" t="str">
        <x:v>South</x:v>
      </x:c>
      <x:c r="F431" s="2" t="str">
        <x:v>Online</x:v>
      </x:c>
      <x:c r="G431" s="2" t="str">
        <x:v>Storage</x:v>
      </x:c>
      <x:c r="H431" s="2" t="str">
        <x:v>Shelf 003</x:v>
      </x:c>
      <x:c r="I431" s="11" t="n">
        <x:v>4</x:v>
      </x:c>
      <x:c r="J431" s="9" t="n">
        <x:v>199</x:v>
      </x:c>
      <x:c r="K431" s="10" t="n">
        <x:v>0.2</x:v>
      </x:c>
      <x:c r="L431" s="11" t="n">
        <x:v>0</x:v>
      </x:c>
      <x:c r="M431" s="9" t="n">
        <x:f>IF(D431="Completed",I431*J431,0)</x:f>
        <x:v>796</x:v>
      </x:c>
      <x:c r="N431" s="9" t="n">
        <x:f>M431*K431</x:f>
        <x:v>159.20000000000002</x:v>
      </x:c>
      <x:c r="O431" s="9" t="n">
        <x:f>M431-N431</x:f>
        <x:v>636.8</x:v>
      </x:c>
      <x:c r="P431" s="9" t="n">
        <x:f>IF(D431="Completed",L431*J431*(1-K431),0)</x:f>
        <x:v>0</x:v>
      </x:c>
      <x:c r="Q431" s="9" t="n">
        <x:f>O431-P431</x:f>
        <x:v>636.8</x:v>
      </x:c>
      <x:c r="R431" s="11" t="n">
        <x:f>IF(D431="Completed",I431,0)</x:f>
        <x:v>4</x:v>
      </x:c>
      <x:c r="S431" s="11" t="n">
        <x:f>IF(D431="Completed",L431,0)</x:f>
        <x:v>0</x:v>
      </x:c>
      <x:c r="T431" s="8" t="n">
        <x:f>DATE(YEAR(C431),MONTH(C431),1)</x:f>
        <x:v>45962</x:v>
      </x:c>
    </x:row>
    <x:row r="432" ht="22" customHeight="1">
      <x:c r="A432" s="2" t="str">
        <x:v>L000428</x:v>
      </x:c>
      <x:c r="B432" s="2" t="str">
        <x:v>O00180</x:v>
      </x:c>
      <x:c r="C432" s="7" t="n">
        <x:v>45974</x:v>
      </x:c>
      <x:c r="D432" s="2" t="str">
        <x:v>Completed</x:v>
      </x:c>
      <x:c r="E432" s="2" t="str">
        <x:v>South</x:v>
      </x:c>
      <x:c r="F432" s="2" t="str">
        <x:v>Online</x:v>
      </x:c>
      <x:c r="G432" s="2" t="str">
        <x:v>Storage</x:v>
      </x:c>
      <x:c r="H432" s="2" t="str">
        <x:v>Shelf 019</x:v>
      </x:c>
      <x:c r="I432" s="11" t="n">
        <x:v>1</x:v>
      </x:c>
      <x:c r="J432" s="9" t="n">
        <x:v>78</x:v>
      </x:c>
      <x:c r="K432" s="10" t="n">
        <x:v>0</x:v>
      </x:c>
      <x:c r="L432" s="11" t="n">
        <x:v>0</x:v>
      </x:c>
      <x:c r="M432" s="9" t="n">
        <x:f>IF(D432="Completed",I432*J432,0)</x:f>
        <x:v>78</x:v>
      </x:c>
      <x:c r="N432" s="9" t="n">
        <x:f>M432*K432</x:f>
        <x:v>0</x:v>
      </x:c>
      <x:c r="O432" s="9" t="n">
        <x:f>M432-N432</x:f>
        <x:v>78</x:v>
      </x:c>
      <x:c r="P432" s="9" t="n">
        <x:f>IF(D432="Completed",L432*J432*(1-K432),0)</x:f>
        <x:v>0</x:v>
      </x:c>
      <x:c r="Q432" s="9" t="n">
        <x:f>O432-P432</x:f>
        <x:v>78</x:v>
      </x:c>
      <x:c r="R432" s="11" t="n">
        <x:f>IF(D432="Completed",I432,0)</x:f>
        <x:v>1</x:v>
      </x:c>
      <x:c r="S432" s="11" t="n">
        <x:f>IF(D432="Completed",L432,0)</x:f>
        <x:v>0</x:v>
      </x:c>
      <x:c r="T432" s="8" t="n">
        <x:f>DATE(YEAR(C432),MONTH(C432),1)</x:f>
        <x:v>45962</x:v>
      </x:c>
    </x:row>
    <x:row r="433" ht="22" customHeight="1">
      <x:c r="A433" s="2" t="str">
        <x:v>L000429</x:v>
      </x:c>
      <x:c r="B433" s="2" t="str">
        <x:v>O00181</x:v>
      </x:c>
      <x:c r="C433" s="7" t="n">
        <x:v>45680</x:v>
      </x:c>
      <x:c r="D433" s="2" t="str">
        <x:v>Completed</x:v>
      </x:c>
      <x:c r="E433" s="2" t="str">
        <x:v>South</x:v>
      </x:c>
      <x:c r="F433" s="2" t="str">
        <x:v>Online</x:v>
      </x:c>
      <x:c r="G433" s="2" t="str">
        <x:v>Lighting</x:v>
      </x:c>
      <x:c r="H433" s="2" t="str">
        <x:v>Lamp 021</x:v>
      </x:c>
      <x:c r="I433" s="11" t="n">
        <x:v>4</x:v>
      </x:c>
      <x:c r="J433" s="9" t="n">
        <x:v>249</x:v>
      </x:c>
      <x:c r="K433" s="10" t="n">
        <x:v>0.2</x:v>
      </x:c>
      <x:c r="L433" s="11" t="n">
        <x:v>0</x:v>
      </x:c>
      <x:c r="M433" s="9" t="n">
        <x:f>IF(D433="Completed",I433*J433,0)</x:f>
        <x:v>996</x:v>
      </x:c>
      <x:c r="N433" s="9" t="n">
        <x:f>M433*K433</x:f>
        <x:v>199.20000000000002</x:v>
      </x:c>
      <x:c r="O433" s="9" t="n">
        <x:f>M433-N433</x:f>
        <x:v>796.8</x:v>
      </x:c>
      <x:c r="P433" s="9" t="n">
        <x:f>IF(D433="Completed",L433*J433*(1-K433),0)</x:f>
        <x:v>0</x:v>
      </x:c>
      <x:c r="Q433" s="9" t="n">
        <x:f>O433-P433</x:f>
        <x:v>796.8</x:v>
      </x:c>
      <x:c r="R433" s="11" t="n">
        <x:f>IF(D433="Completed",I433,0)</x:f>
        <x:v>4</x:v>
      </x:c>
      <x:c r="S433" s="11" t="n">
        <x:f>IF(D433="Completed",L433,0)</x:f>
        <x:v>0</x:v>
      </x:c>
      <x:c r="T433" s="8" t="n">
        <x:f>DATE(YEAR(C433),MONTH(C433),1)</x:f>
        <x:v>45658</x:v>
      </x:c>
    </x:row>
    <x:row r="434" ht="22" customHeight="1">
      <x:c r="A434" s="2" t="str">
        <x:v>L000430</x:v>
      </x:c>
      <x:c r="B434" s="2" t="str">
        <x:v>O00181</x:v>
      </x:c>
      <x:c r="C434" s="7" t="n">
        <x:v>45680</x:v>
      </x:c>
      <x:c r="D434" s="2" t="str">
        <x:v>Completed</x:v>
      </x:c>
      <x:c r="E434" s="2" t="str">
        <x:v>South</x:v>
      </x:c>
      <x:c r="F434" s="2" t="str">
        <x:v>Online</x:v>
      </x:c>
      <x:c r="G434" s="2" t="str">
        <x:v>Furniture</x:v>
      </x:c>
      <x:c r="H434" s="2" t="str">
        <x:v>Chair 022</x:v>
      </x:c>
      <x:c r="I434" s="11" t="n">
        <x:v>3</x:v>
      </x:c>
      <x:c r="J434" s="9" t="n">
        <x:v>134</x:v>
      </x:c>
      <x:c r="K434" s="10" t="n">
        <x:v>0.05</x:v>
      </x:c>
      <x:c r="L434" s="11" t="n">
        <x:v>0</x:v>
      </x:c>
      <x:c r="M434" s="9" t="n">
        <x:f>IF(D434="Completed",I434*J434,0)</x:f>
        <x:v>402</x:v>
      </x:c>
      <x:c r="N434" s="9" t="n">
        <x:f>M434*K434</x:f>
        <x:v>20.1</x:v>
      </x:c>
      <x:c r="O434" s="9" t="n">
        <x:f>M434-N434</x:f>
        <x:v>381.9</x:v>
      </x:c>
      <x:c r="P434" s="9" t="n">
        <x:f>IF(D434="Completed",L434*J434*(1-K434),0)</x:f>
        <x:v>0</x:v>
      </x:c>
      <x:c r="Q434" s="9" t="n">
        <x:f>O434-P434</x:f>
        <x:v>381.9</x:v>
      </x:c>
      <x:c r="R434" s="11" t="n">
        <x:f>IF(D434="Completed",I434,0)</x:f>
        <x:v>3</x:v>
      </x:c>
      <x:c r="S434" s="11" t="n">
        <x:f>IF(D434="Completed",L434,0)</x:f>
        <x:v>0</x:v>
      </x:c>
      <x:c r="T434" s="8" t="n">
        <x:f>DATE(YEAR(C434),MONTH(C434),1)</x:f>
        <x:v>45658</x:v>
      </x:c>
    </x:row>
    <x:row r="435" ht="22" customHeight="1">
      <x:c r="A435" s="2" t="str">
        <x:v>L000431</x:v>
      </x:c>
      <x:c r="B435" s="2" t="str">
        <x:v>O00181</x:v>
      </x:c>
      <x:c r="C435" s="7" t="n">
        <x:v>45680</x:v>
      </x:c>
      <x:c r="D435" s="2" t="str">
        <x:v>Completed</x:v>
      </x:c>
      <x:c r="E435" s="2" t="str">
        <x:v>South</x:v>
      </x:c>
      <x:c r="F435" s="2" t="str">
        <x:v>Online</x:v>
      </x:c>
      <x:c r="G435" s="2" t="str">
        <x:v>Furniture</x:v>
      </x:c>
      <x:c r="H435" s="2" t="str">
        <x:v>Chair 014</x:v>
      </x:c>
      <x:c r="I435" s="11" t="n">
        <x:v>1</x:v>
      </x:c>
      <x:c r="J435" s="9" t="n">
        <x:v>294</x:v>
      </x:c>
      <x:c r="K435" s="10" t="n">
        <x:v>0</x:v>
      </x:c>
      <x:c r="L435" s="11" t="n">
        <x:v>0</x:v>
      </x:c>
      <x:c r="M435" s="9" t="n">
        <x:f>IF(D435="Completed",I435*J435,0)</x:f>
        <x:v>294</x:v>
      </x:c>
      <x:c r="N435" s="9" t="n">
        <x:f>M435*K435</x:f>
        <x:v>0</x:v>
      </x:c>
      <x:c r="O435" s="9" t="n">
        <x:f>M435-N435</x:f>
        <x:v>294</x:v>
      </x:c>
      <x:c r="P435" s="9" t="n">
        <x:f>IF(D435="Completed",L435*J435*(1-K435),0)</x:f>
        <x:v>0</x:v>
      </x:c>
      <x:c r="Q435" s="9" t="n">
        <x:f>O435-P435</x:f>
        <x:v>294</x:v>
      </x:c>
      <x:c r="R435" s="11" t="n">
        <x:f>IF(D435="Completed",I435,0)</x:f>
        <x:v>1</x:v>
      </x:c>
      <x:c r="S435" s="11" t="n">
        <x:f>IF(D435="Completed",L435,0)</x:f>
        <x:v>0</x:v>
      </x:c>
      <x:c r="T435" s="8" t="n">
        <x:f>DATE(YEAR(C435),MONTH(C435),1)</x:f>
        <x:v>45658</x:v>
      </x:c>
    </x:row>
    <x:row r="436" ht="22" customHeight="1">
      <x:c r="A436" s="2" t="str">
        <x:v>L000432</x:v>
      </x:c>
      <x:c r="B436" s="2" t="str">
        <x:v>O00181</x:v>
      </x:c>
      <x:c r="C436" s="7" t="n">
        <x:v>45680</x:v>
      </x:c>
      <x:c r="D436" s="2" t="str">
        <x:v>Completed</x:v>
      </x:c>
      <x:c r="E436" s="2" t="str">
        <x:v>South</x:v>
      </x:c>
      <x:c r="F436" s="2" t="str">
        <x:v>Online</x:v>
      </x:c>
      <x:c r="G436" s="2" t="str">
        <x:v>Furniture</x:v>
      </x:c>
      <x:c r="H436" s="2" t="str">
        <x:v>Desk 016</x:v>
      </x:c>
      <x:c r="I436" s="11" t="n">
        <x:v>3</x:v>
      </x:c>
      <x:c r="J436" s="9" t="n">
        <x:v>231</x:v>
      </x:c>
      <x:c r="K436" s="10" t="n">
        <x:v>0.2</x:v>
      </x:c>
      <x:c r="L436" s="11" t="n">
        <x:v>0</x:v>
      </x:c>
      <x:c r="M436" s="9" t="n">
        <x:f>IF(D436="Completed",I436*J436,0)</x:f>
        <x:v>693</x:v>
      </x:c>
      <x:c r="N436" s="9" t="n">
        <x:f>M436*K436</x:f>
        <x:v>138.6</x:v>
      </x:c>
      <x:c r="O436" s="9" t="n">
        <x:f>M436-N436</x:f>
        <x:v>554.4</x:v>
      </x:c>
      <x:c r="P436" s="9" t="n">
        <x:f>IF(D436="Completed",L436*J436*(1-K436),0)</x:f>
        <x:v>0</x:v>
      </x:c>
      <x:c r="Q436" s="9" t="n">
        <x:f>O436-P436</x:f>
        <x:v>554.4</x:v>
      </x:c>
      <x:c r="R436" s="11" t="n">
        <x:f>IF(D436="Completed",I436,0)</x:f>
        <x:v>3</x:v>
      </x:c>
      <x:c r="S436" s="11" t="n">
        <x:f>IF(D436="Completed",L436,0)</x:f>
        <x:v>0</x:v>
      </x:c>
      <x:c r="T436" s="8" t="n">
        <x:f>DATE(YEAR(C436),MONTH(C436),1)</x:f>
        <x:v>45658</x:v>
      </x:c>
    </x:row>
    <x:row r="437" ht="22" customHeight="1">
      <x:c r="A437" s="2" t="str">
        <x:v>L000433</x:v>
      </x:c>
      <x:c r="B437" s="2" t="str">
        <x:v>O00182</x:v>
      </x:c>
      <x:c r="C437" s="7" t="n">
        <x:v>45739</x:v>
      </x:c>
      <x:c r="D437" s="2" t="str">
        <x:v>Cancelled</x:v>
      </x:c>
      <x:c r="E437" s="2" t="str">
        <x:v>East</x:v>
      </x:c>
      <x:c r="F437" s="2" t="str">
        <x:v>Online</x:v>
      </x:c>
      <x:c r="G437" s="2" t="str">
        <x:v>Lighting</x:v>
      </x:c>
      <x:c r="H437" s="2" t="str">
        <x:v>Lamp 021</x:v>
      </x:c>
      <x:c r="I437" s="11" t="n">
        <x:v>3</x:v>
      </x:c>
      <x:c r="J437" s="9" t="n">
        <x:v>249</x:v>
      </x:c>
      <x:c r="K437" s="10" t="n">
        <x:v>0.1</x:v>
      </x:c>
      <x:c r="L437" s="11" t="n">
        <x:v>0</x:v>
      </x:c>
      <x:c r="M437" s="9" t="n">
        <x:f>IF(D437="Completed",I437*J437,0)</x:f>
        <x:v>0</x:v>
      </x:c>
      <x:c r="N437" s="9" t="n">
        <x:f>M437*K437</x:f>
        <x:v>0</x:v>
      </x:c>
      <x:c r="O437" s="9" t="n">
        <x:f>M437-N437</x:f>
        <x:v>0</x:v>
      </x:c>
      <x:c r="P437" s="9" t="n">
        <x:f>IF(D437="Completed",L437*J437*(1-K437),0)</x:f>
        <x:v>0</x:v>
      </x:c>
      <x:c r="Q437" s="9" t="n">
        <x:f>O437-P437</x:f>
        <x:v>0</x:v>
      </x:c>
      <x:c r="R437" s="11" t="n">
        <x:f>IF(D437="Completed",I437,0)</x:f>
        <x:v>0</x:v>
      </x:c>
      <x:c r="S437" s="11" t="n">
        <x:f>IF(D437="Completed",L437,0)</x:f>
        <x:v>0</x:v>
      </x:c>
      <x:c r="T437" s="8" t="n">
        <x:f>DATE(YEAR(C437),MONTH(C437),1)</x:f>
        <x:v>45717</x:v>
      </x:c>
    </x:row>
    <x:row r="438" ht="22" customHeight="1">
      <x:c r="A438" s="2" t="str">
        <x:v>L000434</x:v>
      </x:c>
      <x:c r="B438" s="2" t="str">
        <x:v>O00182</x:v>
      </x:c>
      <x:c r="C438" s="7" t="n">
        <x:v>45739</x:v>
      </x:c>
      <x:c r="D438" s="2" t="str">
        <x:v>Cancelled</x:v>
      </x:c>
      <x:c r="E438" s="2" t="str">
        <x:v>East</x:v>
      </x:c>
      <x:c r="F438" s="2" t="str">
        <x:v>Online</x:v>
      </x:c>
      <x:c r="G438" s="2" t="str">
        <x:v>Lighting</x:v>
      </x:c>
      <x:c r="H438" s="2" t="str">
        <x:v>Lamp 017</x:v>
      </x:c>
      <x:c r="I438" s="11" t="n">
        <x:v>2</x:v>
      </x:c>
      <x:c r="J438" s="9" t="n">
        <x:v>300</x:v>
      </x:c>
      <x:c r="K438" s="10" t="n">
        <x:v>0.05</x:v>
      </x:c>
      <x:c r="L438" s="11" t="n">
        <x:v>0</x:v>
      </x:c>
      <x:c r="M438" s="9" t="n">
        <x:f>IF(D438="Completed",I438*J438,0)</x:f>
        <x:v>0</x:v>
      </x:c>
      <x:c r="N438" s="9" t="n">
        <x:f>M438*K438</x:f>
        <x:v>0</x:v>
      </x:c>
      <x:c r="O438" s="9" t="n">
        <x:f>M438-N438</x:f>
        <x:v>0</x:v>
      </x:c>
      <x:c r="P438" s="9" t="n">
        <x:f>IF(D438="Completed",L438*J438*(1-K438),0)</x:f>
        <x:v>0</x:v>
      </x:c>
      <x:c r="Q438" s="9" t="n">
        <x:f>O438-P438</x:f>
        <x:v>0</x:v>
      </x:c>
      <x:c r="R438" s="11" t="n">
        <x:f>IF(D438="Completed",I438,0)</x:f>
        <x:v>0</x:v>
      </x:c>
      <x:c r="S438" s="11" t="n">
        <x:f>IF(D438="Completed",L438,0)</x:f>
        <x:v>0</x:v>
      </x:c>
      <x:c r="T438" s="8" t="n">
        <x:f>DATE(YEAR(C438),MONTH(C438),1)</x:f>
        <x:v>45717</x:v>
      </x:c>
    </x:row>
    <x:row r="439" ht="22" customHeight="1">
      <x:c r="A439" s="2" t="str">
        <x:v>L000435</x:v>
      </x:c>
      <x:c r="B439" s="2" t="str">
        <x:v>O00182</x:v>
      </x:c>
      <x:c r="C439" s="7" t="n">
        <x:v>45739</x:v>
      </x:c>
      <x:c r="D439" s="2" t="str">
        <x:v>Cancelled</x:v>
      </x:c>
      <x:c r="E439" s="2" t="str">
        <x:v>East</x:v>
      </x:c>
      <x:c r="F439" s="2" t="str">
        <x:v>Online</x:v>
      </x:c>
      <x:c r="G439" s="2" t="str">
        <x:v>Furniture</x:v>
      </x:c>
      <x:c r="H439" s="2" t="str">
        <x:v>Chair 010</x:v>
      </x:c>
      <x:c r="I439" s="11" t="n">
        <x:v>2</x:v>
      </x:c>
      <x:c r="J439" s="9" t="n">
        <x:v>211</x:v>
      </x:c>
      <x:c r="K439" s="10" t="n">
        <x:v>0.05</x:v>
      </x:c>
      <x:c r="L439" s="11" t="n">
        <x:v>0</x:v>
      </x:c>
      <x:c r="M439" s="9" t="n">
        <x:f>IF(D439="Completed",I439*J439,0)</x:f>
        <x:v>0</x:v>
      </x:c>
      <x:c r="N439" s="9" t="n">
        <x:f>M439*K439</x:f>
        <x:v>0</x:v>
      </x:c>
      <x:c r="O439" s="9" t="n">
        <x:f>M439-N439</x:f>
        <x:v>0</x:v>
      </x:c>
      <x:c r="P439" s="9" t="n">
        <x:f>IF(D439="Completed",L439*J439*(1-K439),0)</x:f>
        <x:v>0</x:v>
      </x:c>
      <x:c r="Q439" s="9" t="n">
        <x:f>O439-P439</x:f>
        <x:v>0</x:v>
      </x:c>
      <x:c r="R439" s="11" t="n">
        <x:f>IF(D439="Completed",I439,0)</x:f>
        <x:v>0</x:v>
      </x:c>
      <x:c r="S439" s="11" t="n">
        <x:f>IF(D439="Completed",L439,0)</x:f>
        <x:v>0</x:v>
      </x:c>
      <x:c r="T439" s="8" t="n">
        <x:f>DATE(YEAR(C439),MONTH(C439),1)</x:f>
        <x:v>45717</x:v>
      </x:c>
    </x:row>
    <x:row r="440" ht="22" customHeight="1">
      <x:c r="A440" s="2" t="str">
        <x:v>L000436</x:v>
      </x:c>
      <x:c r="B440" s="2" t="str">
        <x:v>O00182</x:v>
      </x:c>
      <x:c r="C440" s="7" t="n">
        <x:v>45739</x:v>
      </x:c>
      <x:c r="D440" s="2" t="str">
        <x:v>Cancelled</x:v>
      </x:c>
      <x:c r="E440" s="2" t="str">
        <x:v>East</x:v>
      </x:c>
      <x:c r="F440" s="2" t="str">
        <x:v>Online</x:v>
      </x:c>
      <x:c r="G440" s="2" t="str">
        <x:v>Lighting</x:v>
      </x:c>
      <x:c r="H440" s="2" t="str">
        <x:v>Lamp 017</x:v>
      </x:c>
      <x:c r="I440" s="11" t="n">
        <x:v>1</x:v>
      </x:c>
      <x:c r="J440" s="9" t="n">
        <x:v>300</x:v>
      </x:c>
      <x:c r="K440" s="10" t="n">
        <x:v>0</x:v>
      </x:c>
      <x:c r="L440" s="11" t="n">
        <x:v>0</x:v>
      </x:c>
      <x:c r="M440" s="9" t="n">
        <x:f>IF(D440="Completed",I440*J440,0)</x:f>
        <x:v>0</x:v>
      </x:c>
      <x:c r="N440" s="9" t="n">
        <x:f>M440*K440</x:f>
        <x:v>0</x:v>
      </x:c>
      <x:c r="O440" s="9" t="n">
        <x:f>M440-N440</x:f>
        <x:v>0</x:v>
      </x:c>
      <x:c r="P440" s="9" t="n">
        <x:f>IF(D440="Completed",L440*J440*(1-K440),0)</x:f>
        <x:v>0</x:v>
      </x:c>
      <x:c r="Q440" s="9" t="n">
        <x:f>O440-P440</x:f>
        <x:v>0</x:v>
      </x:c>
      <x:c r="R440" s="11" t="n">
        <x:f>IF(D440="Completed",I440,0)</x:f>
        <x:v>0</x:v>
      </x:c>
      <x:c r="S440" s="11" t="n">
        <x:f>IF(D440="Completed",L440,0)</x:f>
        <x:v>0</x:v>
      </x:c>
      <x:c r="T440" s="8" t="n">
        <x:f>DATE(YEAR(C440),MONTH(C440),1)</x:f>
        <x:v>45717</x:v>
      </x:c>
    </x:row>
    <x:row r="441" ht="22" customHeight="1">
      <x:c r="A441" s="2" t="str">
        <x:v>L000437</x:v>
      </x:c>
      <x:c r="B441" s="2" t="str">
        <x:v>O00183</x:v>
      </x:c>
      <x:c r="C441" s="7" t="n">
        <x:v>45709</x:v>
      </x:c>
      <x:c r="D441" s="2" t="str">
        <x:v>Completed</x:v>
      </x:c>
      <x:c r="E441" s="2" t="str">
        <x:v>South</x:v>
      </x:c>
      <x:c r="F441" s="2" t="str">
        <x:v>Store</x:v>
      </x:c>
      <x:c r="G441" s="2" t="str">
        <x:v>Furniture</x:v>
      </x:c>
      <x:c r="H441" s="2" t="str">
        <x:v>Desk 004</x:v>
      </x:c>
      <x:c r="I441" s="11" t="n">
        <x:v>1</x:v>
      </x:c>
      <x:c r="J441" s="9" t="n">
        <x:v>123</x:v>
      </x:c>
      <x:c r="K441" s="10" t="n">
        <x:v>0.05</x:v>
      </x:c>
      <x:c r="L441" s="11" t="n">
        <x:v>0</x:v>
      </x:c>
      <x:c r="M441" s="9" t="n">
        <x:f>IF(D441="Completed",I441*J441,0)</x:f>
        <x:v>123</x:v>
      </x:c>
      <x:c r="N441" s="9" t="n">
        <x:f>M441*K441</x:f>
        <x:v>6.15</x:v>
      </x:c>
      <x:c r="O441" s="9" t="n">
        <x:f>M441-N441</x:f>
        <x:v>116.85</x:v>
      </x:c>
      <x:c r="P441" s="9" t="n">
        <x:f>IF(D441="Completed",L441*J441*(1-K441),0)</x:f>
        <x:v>0</x:v>
      </x:c>
      <x:c r="Q441" s="9" t="n">
        <x:f>O441-P441</x:f>
        <x:v>116.85</x:v>
      </x:c>
      <x:c r="R441" s="11" t="n">
        <x:f>IF(D441="Completed",I441,0)</x:f>
        <x:v>1</x:v>
      </x:c>
      <x:c r="S441" s="11" t="n">
        <x:f>IF(D441="Completed",L441,0)</x:f>
        <x:v>0</x:v>
      </x:c>
      <x:c r="T441" s="8" t="n">
        <x:f>DATE(YEAR(C441),MONTH(C441),1)</x:f>
        <x:v>45689</x:v>
      </x:c>
    </x:row>
    <x:row r="442" ht="22" customHeight="1">
      <x:c r="A442" s="2" t="str">
        <x:v>L000438</x:v>
      </x:c>
      <x:c r="B442" s="2" t="str">
        <x:v>O00183</x:v>
      </x:c>
      <x:c r="C442" s="7" t="n">
        <x:v>45709</x:v>
      </x:c>
      <x:c r="D442" s="2" t="str">
        <x:v>Completed</x:v>
      </x:c>
      <x:c r="E442" s="2" t="str">
        <x:v>South</x:v>
      </x:c>
      <x:c r="F442" s="2" t="str">
        <x:v>Store</x:v>
      </x:c>
      <x:c r="G442" s="2" t="str">
        <x:v>Furniture</x:v>
      </x:c>
      <x:c r="H442" s="2" t="str">
        <x:v>Chair 014</x:v>
      </x:c>
      <x:c r="I442" s="11" t="n">
        <x:v>2</x:v>
      </x:c>
      <x:c r="J442" s="9" t="n">
        <x:v>294</x:v>
      </x:c>
      <x:c r="K442" s="10" t="n">
        <x:v>0.1</x:v>
      </x:c>
      <x:c r="L442" s="11" t="n">
        <x:v>0</x:v>
      </x:c>
      <x:c r="M442" s="9" t="n">
        <x:f>IF(D442="Completed",I442*J442,0)</x:f>
        <x:v>588</x:v>
      </x:c>
      <x:c r="N442" s="9" t="n">
        <x:f>M442*K442</x:f>
        <x:v>58.800000000000004</x:v>
      </x:c>
      <x:c r="O442" s="9" t="n">
        <x:f>M442-N442</x:f>
        <x:v>529.2</x:v>
      </x:c>
      <x:c r="P442" s="9" t="n">
        <x:f>IF(D442="Completed",L442*J442*(1-K442),0)</x:f>
        <x:v>0</x:v>
      </x:c>
      <x:c r="Q442" s="9" t="n">
        <x:f>O442-P442</x:f>
        <x:v>529.2</x:v>
      </x:c>
      <x:c r="R442" s="11" t="n">
        <x:f>IF(D442="Completed",I442,0)</x:f>
        <x:v>2</x:v>
      </x:c>
      <x:c r="S442" s="11" t="n">
        <x:f>IF(D442="Completed",L442,0)</x:f>
        <x:v>0</x:v>
      </x:c>
      <x:c r="T442" s="8" t="n">
        <x:f>DATE(YEAR(C442),MONTH(C442),1)</x:f>
        <x:v>45689</x:v>
      </x:c>
    </x:row>
    <x:row r="443" ht="22" customHeight="1">
      <x:c r="A443" s="2" t="str">
        <x:v>L000439</x:v>
      </x:c>
      <x:c r="B443" s="2" t="str">
        <x:v>O00183</x:v>
      </x:c>
      <x:c r="C443" s="7" t="n">
        <x:v>45709</x:v>
      </x:c>
      <x:c r="D443" s="2" t="str">
        <x:v>Completed</x:v>
      </x:c>
      <x:c r="E443" s="2" t="str">
        <x:v>South</x:v>
      </x:c>
      <x:c r="F443" s="2" t="str">
        <x:v>Store</x:v>
      </x:c>
      <x:c r="G443" s="2" t="str">
        <x:v>Storage</x:v>
      </x:c>
      <x:c r="H443" s="2" t="str">
        <x:v>Shelf 007</x:v>
      </x:c>
      <x:c r="I443" s="11" t="n">
        <x:v>3</x:v>
      </x:c>
      <x:c r="J443" s="9" t="n">
        <x:v>35</x:v>
      </x:c>
      <x:c r="K443" s="10" t="n">
        <x:v>0.1</x:v>
      </x:c>
      <x:c r="L443" s="11" t="n">
        <x:v>0</x:v>
      </x:c>
      <x:c r="M443" s="9" t="n">
        <x:f>IF(D443="Completed",I443*J443,0)</x:f>
        <x:v>105</x:v>
      </x:c>
      <x:c r="N443" s="9" t="n">
        <x:f>M443*K443</x:f>
        <x:v>10.5</x:v>
      </x:c>
      <x:c r="O443" s="9" t="n">
        <x:f>M443-N443</x:f>
        <x:v>94.5</x:v>
      </x:c>
      <x:c r="P443" s="9" t="n">
        <x:f>IF(D443="Completed",L443*J443*(1-K443),0)</x:f>
        <x:v>0</x:v>
      </x:c>
      <x:c r="Q443" s="9" t="n">
        <x:f>O443-P443</x:f>
        <x:v>94.5</x:v>
      </x:c>
      <x:c r="R443" s="11" t="n">
        <x:f>IF(D443="Completed",I443,0)</x:f>
        <x:v>3</x:v>
      </x:c>
      <x:c r="S443" s="11" t="n">
        <x:f>IF(D443="Completed",L443,0)</x:f>
        <x:v>0</x:v>
      </x:c>
      <x:c r="T443" s="8" t="n">
        <x:f>DATE(YEAR(C443),MONTH(C443),1)</x:f>
        <x:v>45689</x:v>
      </x:c>
    </x:row>
    <x:row r="444" ht="22" customHeight="1">
      <x:c r="A444" s="2" t="str">
        <x:v>L000440</x:v>
      </x:c>
      <x:c r="B444" s="2" t="str">
        <x:v>O00183</x:v>
      </x:c>
      <x:c r="C444" s="7" t="n">
        <x:v>45709</x:v>
      </x:c>
      <x:c r="D444" s="2" t="str">
        <x:v>Completed</x:v>
      </x:c>
      <x:c r="E444" s="2" t="str">
        <x:v>South</x:v>
      </x:c>
      <x:c r="F444" s="2" t="str">
        <x:v>Store</x:v>
      </x:c>
      <x:c r="G444" s="2" t="str">
        <x:v>Lighting</x:v>
      </x:c>
      <x:c r="H444" s="2" t="str">
        <x:v>Lamp 021</x:v>
      </x:c>
      <x:c r="I444" s="11" t="n">
        <x:v>1</x:v>
      </x:c>
      <x:c r="J444" s="9" t="n">
        <x:v>249</x:v>
      </x:c>
      <x:c r="K444" s="10" t="n">
        <x:v>0</x:v>
      </x:c>
      <x:c r="L444" s="11" t="n">
        <x:v>0</x:v>
      </x:c>
      <x:c r="M444" s="9" t="n">
        <x:f>IF(D444="Completed",I444*J444,0)</x:f>
        <x:v>249</x:v>
      </x:c>
      <x:c r="N444" s="9" t="n">
        <x:f>M444*K444</x:f>
        <x:v>0</x:v>
      </x:c>
      <x:c r="O444" s="9" t="n">
        <x:f>M444-N444</x:f>
        <x:v>249</x:v>
      </x:c>
      <x:c r="P444" s="9" t="n">
        <x:f>IF(D444="Completed",L444*J444*(1-K444),0)</x:f>
        <x:v>0</x:v>
      </x:c>
      <x:c r="Q444" s="9" t="n">
        <x:f>O444-P444</x:f>
        <x:v>249</x:v>
      </x:c>
      <x:c r="R444" s="11" t="n">
        <x:f>IF(D444="Completed",I444,0)</x:f>
        <x:v>1</x:v>
      </x:c>
      <x:c r="S444" s="11" t="n">
        <x:f>IF(D444="Completed",L444,0)</x:f>
        <x:v>0</x:v>
      </x:c>
      <x:c r="T444" s="8" t="n">
        <x:f>DATE(YEAR(C444),MONTH(C444),1)</x:f>
        <x:v>45689</x:v>
      </x:c>
    </x:row>
    <x:row r="445" ht="22" customHeight="1">
      <x:c r="A445" s="2" t="str">
        <x:v>L000441</x:v>
      </x:c>
      <x:c r="B445" s="2" t="str">
        <x:v>O00184</x:v>
      </x:c>
      <x:c r="C445" s="7" t="n">
        <x:v>45803</x:v>
      </x:c>
      <x:c r="D445" s="2" t="str">
        <x:v>Cancelled</x:v>
      </x:c>
      <x:c r="E445" s="2" t="str">
        <x:v>North</x:v>
      </x:c>
      <x:c r="F445" s="2" t="str">
        <x:v>Store</x:v>
      </x:c>
      <x:c r="G445" s="2" t="str">
        <x:v>Lighting</x:v>
      </x:c>
      <x:c r="H445" s="2" t="str">
        <x:v>Lamp 021</x:v>
      </x:c>
      <x:c r="I445" s="11" t="n">
        <x:v>1</x:v>
      </x:c>
      <x:c r="J445" s="9" t="n">
        <x:v>249</x:v>
      </x:c>
      <x:c r="K445" s="10" t="n">
        <x:v>0.1</x:v>
      </x:c>
      <x:c r="L445" s="11" t="n">
        <x:v>0</x:v>
      </x:c>
      <x:c r="M445" s="9" t="n">
        <x:f>IF(D445="Completed",I445*J445,0)</x:f>
        <x:v>0</x:v>
      </x:c>
      <x:c r="N445" s="9" t="n">
        <x:f>M445*K445</x:f>
        <x:v>0</x:v>
      </x:c>
      <x:c r="O445" s="9" t="n">
        <x:f>M445-N445</x:f>
        <x:v>0</x:v>
      </x:c>
      <x:c r="P445" s="9" t="n">
        <x:f>IF(D445="Completed",L445*J445*(1-K445),0)</x:f>
        <x:v>0</x:v>
      </x:c>
      <x:c r="Q445" s="9" t="n">
        <x:f>O445-P445</x:f>
        <x:v>0</x:v>
      </x:c>
      <x:c r="R445" s="11" t="n">
        <x:f>IF(D445="Completed",I445,0)</x:f>
        <x:v>0</x:v>
      </x:c>
      <x:c r="S445" s="11" t="n">
        <x:f>IF(D445="Completed",L445,0)</x:f>
        <x:v>0</x:v>
      </x:c>
      <x:c r="T445" s="8" t="n">
        <x:f>DATE(YEAR(C445),MONTH(C445),1)</x:f>
        <x:v>45778</x:v>
      </x:c>
    </x:row>
    <x:row r="446" ht="22" customHeight="1">
      <x:c r="A446" s="2" t="str">
        <x:v>L000442</x:v>
      </x:c>
      <x:c r="B446" s="2" t="str">
        <x:v>O00184</x:v>
      </x:c>
      <x:c r="C446" s="7" t="n">
        <x:v>45803</x:v>
      </x:c>
      <x:c r="D446" s="2" t="str">
        <x:v>Cancelled</x:v>
      </x:c>
      <x:c r="E446" s="2" t="str">
        <x:v>North</x:v>
      </x:c>
      <x:c r="F446" s="2" t="str">
        <x:v>Store</x:v>
      </x:c>
      <x:c r="G446" s="2" t="str">
        <x:v>Furniture</x:v>
      </x:c>
      <x:c r="H446" s="2" t="str">
        <x:v>Chair 010</x:v>
      </x:c>
      <x:c r="I446" s="11" t="n">
        <x:v>2</x:v>
      </x:c>
      <x:c r="J446" s="9" t="n">
        <x:v>211</x:v>
      </x:c>
      <x:c r="K446" s="10" t="n">
        <x:v>0.1</x:v>
      </x:c>
      <x:c r="L446" s="11" t="n">
        <x:v>0</x:v>
      </x:c>
      <x:c r="M446" s="9" t="n">
        <x:f>IF(D446="Completed",I446*J446,0)</x:f>
        <x:v>0</x:v>
      </x:c>
      <x:c r="N446" s="9" t="n">
        <x:f>M446*K446</x:f>
        <x:v>0</x:v>
      </x:c>
      <x:c r="O446" s="9" t="n">
        <x:f>M446-N446</x:f>
        <x:v>0</x:v>
      </x:c>
      <x:c r="P446" s="9" t="n">
        <x:f>IF(D446="Completed",L446*J446*(1-K446),0)</x:f>
        <x:v>0</x:v>
      </x:c>
      <x:c r="Q446" s="9" t="n">
        <x:f>O446-P446</x:f>
        <x:v>0</x:v>
      </x:c>
      <x:c r="R446" s="11" t="n">
        <x:f>IF(D446="Completed",I446,0)</x:f>
        <x:v>0</x:v>
      </x:c>
      <x:c r="S446" s="11" t="n">
        <x:f>IF(D446="Completed",L446,0)</x:f>
        <x:v>0</x:v>
      </x:c>
      <x:c r="T446" s="8" t="n">
        <x:f>DATE(YEAR(C446),MONTH(C446),1)</x:f>
        <x:v>45778</x:v>
      </x:c>
    </x:row>
    <x:row r="447" ht="22" customHeight="1">
      <x:c r="A447" s="2" t="str">
        <x:v>L000443</x:v>
      </x:c>
      <x:c r="B447" s="2" t="str">
        <x:v>O00185</x:v>
      </x:c>
      <x:c r="C447" s="7" t="n">
        <x:v>45851</x:v>
      </x:c>
      <x:c r="D447" s="2" t="str">
        <x:v>Completed</x:v>
      </x:c>
      <x:c r="E447" s="2" t="str">
        <x:v>East</x:v>
      </x:c>
      <x:c r="F447" s="2" t="str">
        <x:v>Online</x:v>
      </x:c>
      <x:c r="G447" s="2" t="str">
        <x:v>Furniture</x:v>
      </x:c>
      <x:c r="H447" s="2" t="str">
        <x:v>Desk 016</x:v>
      </x:c>
      <x:c r="I447" s="11" t="n">
        <x:v>3</x:v>
      </x:c>
      <x:c r="J447" s="9" t="n">
        <x:v>231</x:v>
      </x:c>
      <x:c r="K447" s="10" t="n">
        <x:v>0.1</x:v>
      </x:c>
      <x:c r="L447" s="11" t="n">
        <x:v>0</x:v>
      </x:c>
      <x:c r="M447" s="9" t="n">
        <x:f>IF(D447="Completed",I447*J447,0)</x:f>
        <x:v>693</x:v>
      </x:c>
      <x:c r="N447" s="9" t="n">
        <x:f>M447*K447</x:f>
        <x:v>69.3</x:v>
      </x:c>
      <x:c r="O447" s="9" t="n">
        <x:f>M447-N447</x:f>
        <x:v>623.7</x:v>
      </x:c>
      <x:c r="P447" s="9" t="n">
        <x:f>IF(D447="Completed",L447*J447*(1-K447),0)</x:f>
        <x:v>0</x:v>
      </x:c>
      <x:c r="Q447" s="9" t="n">
        <x:f>O447-P447</x:f>
        <x:v>623.7</x:v>
      </x:c>
      <x:c r="R447" s="11" t="n">
        <x:f>IF(D447="Completed",I447,0)</x:f>
        <x:v>3</x:v>
      </x:c>
      <x:c r="S447" s="11" t="n">
        <x:f>IF(D447="Completed",L447,0)</x:f>
        <x:v>0</x:v>
      </x:c>
      <x:c r="T447" s="8" t="n">
        <x:f>DATE(YEAR(C447),MONTH(C447),1)</x:f>
        <x:v>45839</x:v>
      </x:c>
    </x:row>
    <x:row r="448" ht="22" customHeight="1">
      <x:c r="A448" s="2" t="str">
        <x:v>L000444</x:v>
      </x:c>
      <x:c r="B448" s="2" t="str">
        <x:v>O00185</x:v>
      </x:c>
      <x:c r="C448" s="7" t="n">
        <x:v>45851</x:v>
      </x:c>
      <x:c r="D448" s="2" t="str">
        <x:v>Completed</x:v>
      </x:c>
      <x:c r="E448" s="2" t="str">
        <x:v>East</x:v>
      </x:c>
      <x:c r="F448" s="2" t="str">
        <x:v>Online</x:v>
      </x:c>
      <x:c r="G448" s="2" t="str">
        <x:v>Furniture</x:v>
      </x:c>
      <x:c r="H448" s="2" t="str">
        <x:v>Chair 014</x:v>
      </x:c>
      <x:c r="I448" s="11" t="n">
        <x:v>5</x:v>
      </x:c>
      <x:c r="J448" s="9" t="n">
        <x:v>294</x:v>
      </x:c>
      <x:c r="K448" s="10" t="n">
        <x:v>0.2</x:v>
      </x:c>
      <x:c r="L448" s="11" t="n">
        <x:v>0</x:v>
      </x:c>
      <x:c r="M448" s="9" t="n">
        <x:f>IF(D448="Completed",I448*J448,0)</x:f>
        <x:v>1470</x:v>
      </x:c>
      <x:c r="N448" s="9" t="n">
        <x:f>M448*K448</x:f>
        <x:v>294</x:v>
      </x:c>
      <x:c r="O448" s="9" t="n">
        <x:f>M448-N448</x:f>
        <x:v>1176</x:v>
      </x:c>
      <x:c r="P448" s="9" t="n">
        <x:f>IF(D448="Completed",L448*J448*(1-K448),0)</x:f>
        <x:v>0</x:v>
      </x:c>
      <x:c r="Q448" s="9" t="n">
        <x:f>O448-P448</x:f>
        <x:v>1176</x:v>
      </x:c>
      <x:c r="R448" s="11" t="n">
        <x:f>IF(D448="Completed",I448,0)</x:f>
        <x:v>5</x:v>
      </x:c>
      <x:c r="S448" s="11" t="n">
        <x:f>IF(D448="Completed",L448,0)</x:f>
        <x:v>0</x:v>
      </x:c>
      <x:c r="T448" s="8" t="n">
        <x:f>DATE(YEAR(C448),MONTH(C448),1)</x:f>
        <x:v>45839</x:v>
      </x:c>
    </x:row>
    <x:row r="449" ht="22" customHeight="1">
      <x:c r="A449" s="2" t="str">
        <x:v>L000445</x:v>
      </x:c>
      <x:c r="B449" s="2" t="str">
        <x:v>O00185</x:v>
      </x:c>
      <x:c r="C449" s="7" t="n">
        <x:v>45851</x:v>
      </x:c>
      <x:c r="D449" s="2" t="str">
        <x:v>Completed</x:v>
      </x:c>
      <x:c r="E449" s="2" t="str">
        <x:v>East</x:v>
      </x:c>
      <x:c r="F449" s="2" t="str">
        <x:v>Online</x:v>
      </x:c>
      <x:c r="G449" s="2" t="str">
        <x:v>Furniture</x:v>
      </x:c>
      <x:c r="H449" s="2" t="str">
        <x:v>Chair 006</x:v>
      </x:c>
      <x:c r="I449" s="11" t="n">
        <x:v>3</x:v>
      </x:c>
      <x:c r="J449" s="9" t="n">
        <x:v>196</x:v>
      </x:c>
      <x:c r="K449" s="10" t="n">
        <x:v>0.1</x:v>
      </x:c>
      <x:c r="L449" s="11" t="n">
        <x:v>0</x:v>
      </x:c>
      <x:c r="M449" s="9" t="n">
        <x:f>IF(D449="Completed",I449*J449,0)</x:f>
        <x:v>588</x:v>
      </x:c>
      <x:c r="N449" s="9" t="n">
        <x:f>M449*K449</x:f>
        <x:v>58.800000000000004</x:v>
      </x:c>
      <x:c r="O449" s="9" t="n">
        <x:f>M449-N449</x:f>
        <x:v>529.2</x:v>
      </x:c>
      <x:c r="P449" s="9" t="n">
        <x:f>IF(D449="Completed",L449*J449*(1-K449),0)</x:f>
        <x:v>0</x:v>
      </x:c>
      <x:c r="Q449" s="9" t="n">
        <x:f>O449-P449</x:f>
        <x:v>529.2</x:v>
      </x:c>
      <x:c r="R449" s="11" t="n">
        <x:f>IF(D449="Completed",I449,0)</x:f>
        <x:v>3</x:v>
      </x:c>
      <x:c r="S449" s="11" t="n">
        <x:f>IF(D449="Completed",L449,0)</x:f>
        <x:v>0</x:v>
      </x:c>
      <x:c r="T449" s="8" t="n">
        <x:f>DATE(YEAR(C449),MONTH(C449),1)</x:f>
        <x:v>45839</x:v>
      </x:c>
    </x:row>
    <x:row r="450" ht="22" customHeight="1">
      <x:c r="A450" s="2" t="str">
        <x:v>L000446</x:v>
      </x:c>
      <x:c r="B450" s="2" t="str">
        <x:v>O00185</x:v>
      </x:c>
      <x:c r="C450" s="7" t="n">
        <x:v>45851</x:v>
      </x:c>
      <x:c r="D450" s="2" t="str">
        <x:v>Completed</x:v>
      </x:c>
      <x:c r="E450" s="2" t="str">
        <x:v>East</x:v>
      </x:c>
      <x:c r="F450" s="2" t="str">
        <x:v>Online</x:v>
      </x:c>
      <x:c r="G450" s="2" t="str">
        <x:v>Storage</x:v>
      </x:c>
      <x:c r="H450" s="2" t="str">
        <x:v>Shelf 015</x:v>
      </x:c>
      <x:c r="I450" s="11" t="n">
        <x:v>4</x:v>
      </x:c>
      <x:c r="J450" s="9" t="n">
        <x:v>254</x:v>
      </x:c>
      <x:c r="K450" s="10" t="n">
        <x:v>0.05</x:v>
      </x:c>
      <x:c r="L450" s="11" t="n">
        <x:v>0</x:v>
      </x:c>
      <x:c r="M450" s="9" t="n">
        <x:f>IF(D450="Completed",I450*J450,0)</x:f>
        <x:v>1016</x:v>
      </x:c>
      <x:c r="N450" s="9" t="n">
        <x:f>M450*K450</x:f>
        <x:v>50.800000000000004</x:v>
      </x:c>
      <x:c r="O450" s="9" t="n">
        <x:f>M450-N450</x:f>
        <x:v>965.2</x:v>
      </x:c>
      <x:c r="P450" s="9" t="n">
        <x:f>IF(D450="Completed",L450*J450*(1-K450),0)</x:f>
        <x:v>0</x:v>
      </x:c>
      <x:c r="Q450" s="9" t="n">
        <x:f>O450-P450</x:f>
        <x:v>965.2</x:v>
      </x:c>
      <x:c r="R450" s="11" t="n">
        <x:f>IF(D450="Completed",I450,0)</x:f>
        <x:v>4</x:v>
      </x:c>
      <x:c r="S450" s="11" t="n">
        <x:f>IF(D450="Completed",L450,0)</x:f>
        <x:v>0</x:v>
      </x:c>
      <x:c r="T450" s="8" t="n">
        <x:f>DATE(YEAR(C450),MONTH(C450),1)</x:f>
        <x:v>45839</x:v>
      </x:c>
    </x:row>
    <x:row r="451" ht="22" customHeight="1">
      <x:c r="A451" s="2" t="str">
        <x:v>L000447</x:v>
      </x:c>
      <x:c r="B451" s="2" t="str">
        <x:v>O00186</x:v>
      </x:c>
      <x:c r="C451" s="7" t="n">
        <x:v>45777</x:v>
      </x:c>
      <x:c r="D451" s="2" t="str">
        <x:v>Completed</x:v>
      </x:c>
      <x:c r="E451" s="2" t="str">
        <x:v>West</x:v>
      </x:c>
      <x:c r="F451" s="2" t="str">
        <x:v>Store</x:v>
      </x:c>
      <x:c r="G451" s="2" t="str">
        <x:v>Furniture</x:v>
      </x:c>
      <x:c r="H451" s="2" t="str">
        <x:v>Chair 006</x:v>
      </x:c>
      <x:c r="I451" s="11" t="n">
        <x:v>5</x:v>
      </x:c>
      <x:c r="J451" s="9" t="n">
        <x:v>196</x:v>
      </x:c>
      <x:c r="K451" s="10" t="n">
        <x:v>0</x:v>
      </x:c>
      <x:c r="L451" s="11" t="n">
        <x:v>0</x:v>
      </x:c>
      <x:c r="M451" s="9" t="n">
        <x:f>IF(D451="Completed",I451*J451,0)</x:f>
        <x:v>980</x:v>
      </x:c>
      <x:c r="N451" s="9" t="n">
        <x:f>M451*K451</x:f>
        <x:v>0</x:v>
      </x:c>
      <x:c r="O451" s="9" t="n">
        <x:f>M451-N451</x:f>
        <x:v>980</x:v>
      </x:c>
      <x:c r="P451" s="9" t="n">
        <x:f>IF(D451="Completed",L451*J451*(1-K451),0)</x:f>
        <x:v>0</x:v>
      </x:c>
      <x:c r="Q451" s="9" t="n">
        <x:f>O451-P451</x:f>
        <x:v>980</x:v>
      </x:c>
      <x:c r="R451" s="11" t="n">
        <x:f>IF(D451="Completed",I451,0)</x:f>
        <x:v>5</x:v>
      </x:c>
      <x:c r="S451" s="11" t="n">
        <x:f>IF(D451="Completed",L451,0)</x:f>
        <x:v>0</x:v>
      </x:c>
      <x:c r="T451" s="8" t="n">
        <x:f>DATE(YEAR(C451),MONTH(C451),1)</x:f>
        <x:v>45748</x:v>
      </x:c>
    </x:row>
    <x:row r="452" ht="22" customHeight="1">
      <x:c r="A452" s="2" t="str">
        <x:v>L000448</x:v>
      </x:c>
      <x:c r="B452" s="2" t="str">
        <x:v>O00186</x:v>
      </x:c>
      <x:c r="C452" s="7" t="n">
        <x:v>45777</x:v>
      </x:c>
      <x:c r="D452" s="2" t="str">
        <x:v>Completed</x:v>
      </x:c>
      <x:c r="E452" s="2" t="str">
        <x:v>West</x:v>
      </x:c>
      <x:c r="F452" s="2" t="str">
        <x:v>Store</x:v>
      </x:c>
      <x:c r="G452" s="2" t="str">
        <x:v>Storage</x:v>
      </x:c>
      <x:c r="H452" s="2" t="str">
        <x:v>Shelf 011</x:v>
      </x:c>
      <x:c r="I452" s="11" t="n">
        <x:v>4</x:v>
      </x:c>
      <x:c r="J452" s="9" t="n">
        <x:v>80</x:v>
      </x:c>
      <x:c r="K452" s="10" t="n">
        <x:v>0.2</x:v>
      </x:c>
      <x:c r="L452" s="11" t="n">
        <x:v>0</x:v>
      </x:c>
      <x:c r="M452" s="9" t="n">
        <x:f>IF(D452="Completed",I452*J452,0)</x:f>
        <x:v>320</x:v>
      </x:c>
      <x:c r="N452" s="9" t="n">
        <x:f>M452*K452</x:f>
        <x:v>64</x:v>
      </x:c>
      <x:c r="O452" s="9" t="n">
        <x:f>M452-N452</x:f>
        <x:v>256</x:v>
      </x:c>
      <x:c r="P452" s="9" t="n">
        <x:f>IF(D452="Completed",L452*J452*(1-K452),0)</x:f>
        <x:v>0</x:v>
      </x:c>
      <x:c r="Q452" s="9" t="n">
        <x:f>O452-P452</x:f>
        <x:v>256</x:v>
      </x:c>
      <x:c r="R452" s="11" t="n">
        <x:f>IF(D452="Completed",I452,0)</x:f>
        <x:v>4</x:v>
      </x:c>
      <x:c r="S452" s="11" t="n">
        <x:f>IF(D452="Completed",L452,0)</x:f>
        <x:v>0</x:v>
      </x:c>
      <x:c r="T452" s="8" t="n">
        <x:f>DATE(YEAR(C452),MONTH(C452),1)</x:f>
        <x:v>45748</x:v>
      </x:c>
    </x:row>
    <x:row r="453" ht="22" customHeight="1">
      <x:c r="A453" s="2" t="str">
        <x:v>L000449</x:v>
      </x:c>
      <x:c r="B453" s="2" t="str">
        <x:v>O00186</x:v>
      </x:c>
      <x:c r="C453" s="7" t="n">
        <x:v>45777</x:v>
      </x:c>
      <x:c r="D453" s="2" t="str">
        <x:v>Completed</x:v>
      </x:c>
      <x:c r="E453" s="2" t="str">
        <x:v>West</x:v>
      </x:c>
      <x:c r="F453" s="2" t="str">
        <x:v>Store</x:v>
      </x:c>
      <x:c r="G453" s="2" t="str">
        <x:v>Furniture</x:v>
      </x:c>
      <x:c r="H453" s="2" t="str">
        <x:v>Desk 024</x:v>
      </x:c>
      <x:c r="I453" s="11" t="n">
        <x:v>4</x:v>
      </x:c>
      <x:c r="J453" s="9" t="n">
        <x:v>81</x:v>
      </x:c>
      <x:c r="K453" s="10" t="n">
        <x:v>0.05</x:v>
      </x:c>
      <x:c r="L453" s="11" t="n">
        <x:v>0</x:v>
      </x:c>
      <x:c r="M453" s="9" t="n">
        <x:f>IF(D453="Completed",I453*J453,0)</x:f>
        <x:v>324</x:v>
      </x:c>
      <x:c r="N453" s="9" t="n">
        <x:f>M453*K453</x:f>
        <x:v>16.2</x:v>
      </x:c>
      <x:c r="O453" s="9" t="n">
        <x:f>M453-N453</x:f>
        <x:v>307.8</x:v>
      </x:c>
      <x:c r="P453" s="9" t="n">
        <x:f>IF(D453="Completed",L453*J453*(1-K453),0)</x:f>
        <x:v>0</x:v>
      </x:c>
      <x:c r="Q453" s="9" t="n">
        <x:f>O453-P453</x:f>
        <x:v>307.8</x:v>
      </x:c>
      <x:c r="R453" s="11" t="n">
        <x:f>IF(D453="Completed",I453,0)</x:f>
        <x:v>4</x:v>
      </x:c>
      <x:c r="S453" s="11" t="n">
        <x:f>IF(D453="Completed",L453,0)</x:f>
        <x:v>0</x:v>
      </x:c>
      <x:c r="T453" s="8" t="n">
        <x:f>DATE(YEAR(C453),MONTH(C453),1)</x:f>
        <x:v>45748</x:v>
      </x:c>
    </x:row>
    <x:row r="454" ht="22" customHeight="1">
      <x:c r="A454" s="2" t="str">
        <x:v>L000450</x:v>
      </x:c>
      <x:c r="B454" s="2" t="str">
        <x:v>O00187</x:v>
      </x:c>
      <x:c r="C454" s="7" t="n">
        <x:v>45680</x:v>
      </x:c>
      <x:c r="D454" s="2" t="str">
        <x:v>Completed</x:v>
      </x:c>
      <x:c r="E454" s="2" t="str">
        <x:v>East</x:v>
      </x:c>
      <x:c r="F454" s="2" t="str">
        <x:v>Store</x:v>
      </x:c>
      <x:c r="G454" s="2" t="str">
        <x:v>Storage</x:v>
      </x:c>
      <x:c r="H454" s="2" t="str">
        <x:v>Shelf 023</x:v>
      </x:c>
      <x:c r="I454" s="11" t="n">
        <x:v>3</x:v>
      </x:c>
      <x:c r="J454" s="9" t="n">
        <x:v>68</x:v>
      </x:c>
      <x:c r="K454" s="10" t="n">
        <x:v>0.1</x:v>
      </x:c>
      <x:c r="L454" s="11" t="n">
        <x:v>0</x:v>
      </x:c>
      <x:c r="M454" s="9" t="n">
        <x:f>IF(D454="Completed",I454*J454,0)</x:f>
        <x:v>204</x:v>
      </x:c>
      <x:c r="N454" s="9" t="n">
        <x:f>M454*K454</x:f>
        <x:v>20.400000000000002</x:v>
      </x:c>
      <x:c r="O454" s="9" t="n">
        <x:f>M454-N454</x:f>
        <x:v>183.6</x:v>
      </x:c>
      <x:c r="P454" s="9" t="n">
        <x:f>IF(D454="Completed",L454*J454*(1-K454),0)</x:f>
        <x:v>0</x:v>
      </x:c>
      <x:c r="Q454" s="9" t="n">
        <x:f>O454-P454</x:f>
        <x:v>183.6</x:v>
      </x:c>
      <x:c r="R454" s="11" t="n">
        <x:f>IF(D454="Completed",I454,0)</x:f>
        <x:v>3</x:v>
      </x:c>
      <x:c r="S454" s="11" t="n">
        <x:f>IF(D454="Completed",L454,0)</x:f>
        <x:v>0</x:v>
      </x:c>
      <x:c r="T454" s="8" t="n">
        <x:f>DATE(YEAR(C454),MONTH(C454),1)</x:f>
        <x:v>45658</x:v>
      </x:c>
    </x:row>
    <x:row r="455" ht="22" customHeight="1">
      <x:c r="A455" s="2" t="str">
        <x:v>L000451</x:v>
      </x:c>
      <x:c r="B455" s="2" t="str">
        <x:v>O00187</x:v>
      </x:c>
      <x:c r="C455" s="7" t="n">
        <x:v>45680</x:v>
      </x:c>
      <x:c r="D455" s="2" t="str">
        <x:v>Completed</x:v>
      </x:c>
      <x:c r="E455" s="2" t="str">
        <x:v>East</x:v>
      </x:c>
      <x:c r="F455" s="2" t="str">
        <x:v>Store</x:v>
      </x:c>
      <x:c r="G455" s="2" t="str">
        <x:v>Lighting</x:v>
      </x:c>
      <x:c r="H455" s="2" t="str">
        <x:v>Lamp 005</x:v>
      </x:c>
      <x:c r="I455" s="11" t="n">
        <x:v>3</x:v>
      </x:c>
      <x:c r="J455" s="9" t="n">
        <x:v>65</x:v>
      </x:c>
      <x:c r="K455" s="10" t="n">
        <x:v>0.05</x:v>
      </x:c>
      <x:c r="L455" s="11" t="n">
        <x:v>0</x:v>
      </x:c>
      <x:c r="M455" s="9" t="n">
        <x:f>IF(D455="Completed",I455*J455,0)</x:f>
        <x:v>195</x:v>
      </x:c>
      <x:c r="N455" s="9" t="n">
        <x:f>M455*K455</x:f>
        <x:v>9.75</x:v>
      </x:c>
      <x:c r="O455" s="9" t="n">
        <x:f>M455-N455</x:f>
        <x:v>185.25</x:v>
      </x:c>
      <x:c r="P455" s="9" t="n">
        <x:f>IF(D455="Completed",L455*J455*(1-K455),0)</x:f>
        <x:v>0</x:v>
      </x:c>
      <x:c r="Q455" s="9" t="n">
        <x:f>O455-P455</x:f>
        <x:v>185.25</x:v>
      </x:c>
      <x:c r="R455" s="11" t="n">
        <x:f>IF(D455="Completed",I455,0)</x:f>
        <x:v>3</x:v>
      </x:c>
      <x:c r="S455" s="11" t="n">
        <x:f>IF(D455="Completed",L455,0)</x:f>
        <x:v>0</x:v>
      </x:c>
      <x:c r="T455" s="8" t="n">
        <x:f>DATE(YEAR(C455),MONTH(C455),1)</x:f>
        <x:v>45658</x:v>
      </x:c>
    </x:row>
    <x:row r="456" ht="22" customHeight="1">
      <x:c r="A456" s="2" t="str">
        <x:v>L000452</x:v>
      </x:c>
      <x:c r="B456" s="2" t="str">
        <x:v>O00187</x:v>
      </x:c>
      <x:c r="C456" s="7" t="n">
        <x:v>45680</x:v>
      </x:c>
      <x:c r="D456" s="2" t="str">
        <x:v>Completed</x:v>
      </x:c>
      <x:c r="E456" s="2" t="str">
        <x:v>East</x:v>
      </x:c>
      <x:c r="F456" s="2" t="str">
        <x:v>Store</x:v>
      </x:c>
      <x:c r="G456" s="2" t="str">
        <x:v>Furniture</x:v>
      </x:c>
      <x:c r="H456" s="2" t="str">
        <x:v>Desk 024</x:v>
      </x:c>
      <x:c r="I456" s="11" t="n">
        <x:v>1</x:v>
      </x:c>
      <x:c r="J456" s="9" t="n">
        <x:v>81</x:v>
      </x:c>
      <x:c r="K456" s="10" t="n">
        <x:v>0.1</x:v>
      </x:c>
      <x:c r="L456" s="11" t="n">
        <x:v>0</x:v>
      </x:c>
      <x:c r="M456" s="9" t="n">
        <x:f>IF(D456="Completed",I456*J456,0)</x:f>
        <x:v>81</x:v>
      </x:c>
      <x:c r="N456" s="9" t="n">
        <x:f>M456*K456</x:f>
        <x:v>8.1</x:v>
      </x:c>
      <x:c r="O456" s="9" t="n">
        <x:f>M456-N456</x:f>
        <x:v>72.9</x:v>
      </x:c>
      <x:c r="P456" s="9" t="n">
        <x:f>IF(D456="Completed",L456*J456*(1-K456),0)</x:f>
        <x:v>0</x:v>
      </x:c>
      <x:c r="Q456" s="9" t="n">
        <x:f>O456-P456</x:f>
        <x:v>72.9</x:v>
      </x:c>
      <x:c r="R456" s="11" t="n">
        <x:f>IF(D456="Completed",I456,0)</x:f>
        <x:v>1</x:v>
      </x:c>
      <x:c r="S456" s="11" t="n">
        <x:f>IF(D456="Completed",L456,0)</x:f>
        <x:v>0</x:v>
      </x:c>
      <x:c r="T456" s="8" t="n">
        <x:f>DATE(YEAR(C456),MONTH(C456),1)</x:f>
        <x:v>45658</x:v>
      </x:c>
    </x:row>
    <x:row r="457" ht="22" customHeight="1">
      <x:c r="A457" s="2" t="str">
        <x:v>L000453</x:v>
      </x:c>
      <x:c r="B457" s="2" t="str">
        <x:v>O00188</x:v>
      </x:c>
      <x:c r="C457" s="7" t="n">
        <x:v>46009</x:v>
      </x:c>
      <x:c r="D457" s="2" t="str">
        <x:v>Completed</x:v>
      </x:c>
      <x:c r="E457" s="2" t="str">
        <x:v>South</x:v>
      </x:c>
      <x:c r="F457" s="2" t="str">
        <x:v>Online</x:v>
      </x:c>
      <x:c r="G457" s="2" t="str">
        <x:v>Lighting</x:v>
      </x:c>
      <x:c r="H457" s="2" t="str">
        <x:v>Lamp 013</x:v>
      </x:c>
      <x:c r="I457" s="11" t="n">
        <x:v>3</x:v>
      </x:c>
      <x:c r="J457" s="9" t="n">
        <x:v>271</x:v>
      </x:c>
      <x:c r="K457" s="10" t="n">
        <x:v>0.1</x:v>
      </x:c>
      <x:c r="L457" s="11" t="n">
        <x:v>0</x:v>
      </x:c>
      <x:c r="M457" s="9" t="n">
        <x:f>IF(D457="Completed",I457*J457,0)</x:f>
        <x:v>813</x:v>
      </x:c>
      <x:c r="N457" s="9" t="n">
        <x:f>M457*K457</x:f>
        <x:v>81.30000000000001</x:v>
      </x:c>
      <x:c r="O457" s="9" t="n">
        <x:f>M457-N457</x:f>
        <x:v>731.7</x:v>
      </x:c>
      <x:c r="P457" s="9" t="n">
        <x:f>IF(D457="Completed",L457*J457*(1-K457),0)</x:f>
        <x:v>0</x:v>
      </x:c>
      <x:c r="Q457" s="9" t="n">
        <x:f>O457-P457</x:f>
        <x:v>731.7</x:v>
      </x:c>
      <x:c r="R457" s="11" t="n">
        <x:f>IF(D457="Completed",I457,0)</x:f>
        <x:v>3</x:v>
      </x:c>
      <x:c r="S457" s="11" t="n">
        <x:f>IF(D457="Completed",L457,0)</x:f>
        <x:v>0</x:v>
      </x:c>
      <x:c r="T457" s="8" t="n">
        <x:f>DATE(YEAR(C457),MONTH(C457),1)</x:f>
        <x:v>45992</x:v>
      </x:c>
    </x:row>
    <x:row r="458" ht="22" customHeight="1">
      <x:c r="A458" s="2" t="str">
        <x:v>L000454</x:v>
      </x:c>
      <x:c r="B458" s="2" t="str">
        <x:v>O00188</x:v>
      </x:c>
      <x:c r="C458" s="7" t="n">
        <x:v>46009</x:v>
      </x:c>
      <x:c r="D458" s="2" t="str">
        <x:v>Completed</x:v>
      </x:c>
      <x:c r="E458" s="2" t="str">
        <x:v>South</x:v>
      </x:c>
      <x:c r="F458" s="2" t="str">
        <x:v>Online</x:v>
      </x:c>
      <x:c r="G458" s="2" t="str">
        <x:v>Furniture</x:v>
      </x:c>
      <x:c r="H458" s="2" t="str">
        <x:v>Chair 014</x:v>
      </x:c>
      <x:c r="I458" s="11" t="n">
        <x:v>4</x:v>
      </x:c>
      <x:c r="J458" s="9" t="n">
        <x:v>294</x:v>
      </x:c>
      <x:c r="K458" s="10" t="n">
        <x:v>0.05</x:v>
      </x:c>
      <x:c r="L458" s="11" t="n">
        <x:v>0</x:v>
      </x:c>
      <x:c r="M458" s="9" t="n">
        <x:f>IF(D458="Completed",I458*J458,0)</x:f>
        <x:v>1176</x:v>
      </x:c>
      <x:c r="N458" s="9" t="n">
        <x:f>M458*K458</x:f>
        <x:v>58.800000000000004</x:v>
      </x:c>
      <x:c r="O458" s="9" t="n">
        <x:f>M458-N458</x:f>
        <x:v>1117.2</x:v>
      </x:c>
      <x:c r="P458" s="9" t="n">
        <x:f>IF(D458="Completed",L458*J458*(1-K458),0)</x:f>
        <x:v>0</x:v>
      </x:c>
      <x:c r="Q458" s="9" t="n">
        <x:f>O458-P458</x:f>
        <x:v>1117.2</x:v>
      </x:c>
      <x:c r="R458" s="11" t="n">
        <x:f>IF(D458="Completed",I458,0)</x:f>
        <x:v>4</x:v>
      </x:c>
      <x:c r="S458" s="11" t="n">
        <x:f>IF(D458="Completed",L458,0)</x:f>
        <x:v>0</x:v>
      </x:c>
      <x:c r="T458" s="8" t="n">
        <x:f>DATE(YEAR(C458),MONTH(C458),1)</x:f>
        <x:v>45992</x:v>
      </x:c>
    </x:row>
    <x:row r="459" ht="22" customHeight="1">
      <x:c r="A459" s="2" t="str">
        <x:v>L000455</x:v>
      </x:c>
      <x:c r="B459" s="2" t="str">
        <x:v>O00189</x:v>
      </x:c>
      <x:c r="C459" s="7" t="n">
        <x:v>45677</x:v>
      </x:c>
      <x:c r="D459" s="2" t="str">
        <x:v>Completed</x:v>
      </x:c>
      <x:c r="E459" s="2" t="str">
        <x:v>South</x:v>
      </x:c>
      <x:c r="F459" s="2" t="str">
        <x:v>Store</x:v>
      </x:c>
      <x:c r="G459" s="2" t="str">
        <x:v>Storage</x:v>
      </x:c>
      <x:c r="H459" s="2" t="str">
        <x:v>Shelf 023</x:v>
      </x:c>
      <x:c r="I459" s="11" t="n">
        <x:v>2</x:v>
      </x:c>
      <x:c r="J459" s="9" t="n">
        <x:v>68</x:v>
      </x:c>
      <x:c r="K459" s="10" t="n">
        <x:v>0.05</x:v>
      </x:c>
      <x:c r="L459" s="11" t="n">
        <x:v>0</x:v>
      </x:c>
      <x:c r="M459" s="9" t="n">
        <x:f>IF(D459="Completed",I459*J459,0)</x:f>
        <x:v>136</x:v>
      </x:c>
      <x:c r="N459" s="9" t="n">
        <x:f>M459*K459</x:f>
        <x:v>6.800000000000001</x:v>
      </x:c>
      <x:c r="O459" s="9" t="n">
        <x:f>M459-N459</x:f>
        <x:v>129.2</x:v>
      </x:c>
      <x:c r="P459" s="9" t="n">
        <x:f>IF(D459="Completed",L459*J459*(1-K459),0)</x:f>
        <x:v>0</x:v>
      </x:c>
      <x:c r="Q459" s="9" t="n">
        <x:f>O459-P459</x:f>
        <x:v>129.2</x:v>
      </x:c>
      <x:c r="R459" s="11" t="n">
        <x:f>IF(D459="Completed",I459,0)</x:f>
        <x:v>2</x:v>
      </x:c>
      <x:c r="S459" s="11" t="n">
        <x:f>IF(D459="Completed",L459,0)</x:f>
        <x:v>0</x:v>
      </x:c>
      <x:c r="T459" s="8" t="n">
        <x:f>DATE(YEAR(C459),MONTH(C459),1)</x:f>
        <x:v>45658</x:v>
      </x:c>
    </x:row>
    <x:row r="460" ht="22" customHeight="1">
      <x:c r="A460" s="2" t="str">
        <x:v>L000456</x:v>
      </x:c>
      <x:c r="B460" s="2" t="str">
        <x:v>O00189</x:v>
      </x:c>
      <x:c r="C460" s="7" t="n">
        <x:v>45677</x:v>
      </x:c>
      <x:c r="D460" s="2" t="str">
        <x:v>Completed</x:v>
      </x:c>
      <x:c r="E460" s="2" t="str">
        <x:v>South</x:v>
      </x:c>
      <x:c r="F460" s="2" t="str">
        <x:v>Store</x:v>
      </x:c>
      <x:c r="G460" s="2" t="str">
        <x:v>Furniture</x:v>
      </x:c>
      <x:c r="H460" s="2" t="str">
        <x:v>Chair 006</x:v>
      </x:c>
      <x:c r="I460" s="11" t="n">
        <x:v>3</x:v>
      </x:c>
      <x:c r="J460" s="9" t="n">
        <x:v>196</x:v>
      </x:c>
      <x:c r="K460" s="10" t="n">
        <x:v>0</x:v>
      </x:c>
      <x:c r="L460" s="11" t="n">
        <x:v>0</x:v>
      </x:c>
      <x:c r="M460" s="9" t="n">
        <x:f>IF(D460="Completed",I460*J460,0)</x:f>
        <x:v>588</x:v>
      </x:c>
      <x:c r="N460" s="9" t="n">
        <x:f>M460*K460</x:f>
        <x:v>0</x:v>
      </x:c>
      <x:c r="O460" s="9" t="n">
        <x:f>M460-N460</x:f>
        <x:v>588</x:v>
      </x:c>
      <x:c r="P460" s="9" t="n">
        <x:f>IF(D460="Completed",L460*J460*(1-K460),0)</x:f>
        <x:v>0</x:v>
      </x:c>
      <x:c r="Q460" s="9" t="n">
        <x:f>O460-P460</x:f>
        <x:v>588</x:v>
      </x:c>
      <x:c r="R460" s="11" t="n">
        <x:f>IF(D460="Completed",I460,0)</x:f>
        <x:v>3</x:v>
      </x:c>
      <x:c r="S460" s="11" t="n">
        <x:f>IF(D460="Completed",L460,0)</x:f>
        <x:v>0</x:v>
      </x:c>
      <x:c r="T460" s="8" t="n">
        <x:f>DATE(YEAR(C460),MONTH(C460),1)</x:f>
        <x:v>45658</x:v>
      </x:c>
    </x:row>
    <x:row r="461" ht="22" customHeight="1">
      <x:c r="A461" s="2" t="str">
        <x:v>L000457</x:v>
      </x:c>
      <x:c r="B461" s="2" t="str">
        <x:v>O00189</x:v>
      </x:c>
      <x:c r="C461" s="7" t="n">
        <x:v>45677</x:v>
      </x:c>
      <x:c r="D461" s="2" t="str">
        <x:v>Completed</x:v>
      </x:c>
      <x:c r="E461" s="2" t="str">
        <x:v>South</x:v>
      </x:c>
      <x:c r="F461" s="2" t="str">
        <x:v>Store</x:v>
      </x:c>
      <x:c r="G461" s="2" t="str">
        <x:v>Storage</x:v>
      </x:c>
      <x:c r="H461" s="2" t="str">
        <x:v>Shelf 023</x:v>
      </x:c>
      <x:c r="I461" s="11" t="n">
        <x:v>5</x:v>
      </x:c>
      <x:c r="J461" s="9" t="n">
        <x:v>68</x:v>
      </x:c>
      <x:c r="K461" s="10" t="n">
        <x:v>0</x:v>
      </x:c>
      <x:c r="L461" s="11" t="n">
        <x:v>5</x:v>
      </x:c>
      <x:c r="M461" s="9" t="n">
        <x:f>IF(D461="Completed",I461*J461,0)</x:f>
        <x:v>340</x:v>
      </x:c>
      <x:c r="N461" s="9" t="n">
        <x:f>M461*K461</x:f>
        <x:v>0</x:v>
      </x:c>
      <x:c r="O461" s="9" t="n">
        <x:f>M461-N461</x:f>
        <x:v>340</x:v>
      </x:c>
      <x:c r="P461" s="9" t="n">
        <x:f>IF(D461="Completed",L461*J461*(1-K461),0)</x:f>
        <x:v>340</x:v>
      </x:c>
      <x:c r="Q461" s="9" t="n">
        <x:f>O461-P461</x:f>
        <x:v>0</x:v>
      </x:c>
      <x:c r="R461" s="11" t="n">
        <x:f>IF(D461="Completed",I461,0)</x:f>
        <x:v>5</x:v>
      </x:c>
      <x:c r="S461" s="11" t="n">
        <x:f>IF(D461="Completed",L461,0)</x:f>
        <x:v>5</x:v>
      </x:c>
      <x:c r="T461" s="8" t="n">
        <x:f>DATE(YEAR(C461),MONTH(C461),1)</x:f>
        <x:v>45658</x:v>
      </x:c>
    </x:row>
    <x:row r="462" ht="22" customHeight="1">
      <x:c r="A462" s="2" t="str">
        <x:v>L000458</x:v>
      </x:c>
      <x:c r="B462" s="2" t="str">
        <x:v>O00190</x:v>
      </x:c>
      <x:c r="C462" s="7" t="n">
        <x:v>45825</x:v>
      </x:c>
      <x:c r="D462" s="2" t="str">
        <x:v>Completed</x:v>
      </x:c>
      <x:c r="E462" s="2" t="str">
        <x:v>East</x:v>
      </x:c>
      <x:c r="F462" s="2" t="str">
        <x:v>Online</x:v>
      </x:c>
      <x:c r="G462" s="2" t="str">
        <x:v>Furniture</x:v>
      </x:c>
      <x:c r="H462" s="2" t="str">
        <x:v>Desk 020</x:v>
      </x:c>
      <x:c r="I462" s="11" t="n">
        <x:v>1</x:v>
      </x:c>
      <x:c r="J462" s="9" t="n">
        <x:v>189</x:v>
      </x:c>
      <x:c r="K462" s="10" t="n">
        <x:v>0.1</x:v>
      </x:c>
      <x:c r="L462" s="11" t="n">
        <x:v>0</x:v>
      </x:c>
      <x:c r="M462" s="9" t="n">
        <x:f>IF(D462="Completed",I462*J462,0)</x:f>
        <x:v>189</x:v>
      </x:c>
      <x:c r="N462" s="9" t="n">
        <x:f>M462*K462</x:f>
        <x:v>18.900000000000002</x:v>
      </x:c>
      <x:c r="O462" s="9" t="n">
        <x:f>M462-N462</x:f>
        <x:v>170.1</x:v>
      </x:c>
      <x:c r="P462" s="9" t="n">
        <x:f>IF(D462="Completed",L462*J462*(1-K462),0)</x:f>
        <x:v>0</x:v>
      </x:c>
      <x:c r="Q462" s="9" t="n">
        <x:f>O462-P462</x:f>
        <x:v>170.1</x:v>
      </x:c>
      <x:c r="R462" s="11" t="n">
        <x:f>IF(D462="Completed",I462,0)</x:f>
        <x:v>1</x:v>
      </x:c>
      <x:c r="S462" s="11" t="n">
        <x:f>IF(D462="Completed",L462,0)</x:f>
        <x:v>0</x:v>
      </x:c>
      <x:c r="T462" s="8" t="n">
        <x:f>DATE(YEAR(C462),MONTH(C462),1)</x:f>
        <x:v>45809</x:v>
      </x:c>
    </x:row>
    <x:row r="463" ht="22" customHeight="1">
      <x:c r="A463" s="2" t="str">
        <x:v>L000459</x:v>
      </x:c>
      <x:c r="B463" s="2" t="str">
        <x:v>O00190</x:v>
      </x:c>
      <x:c r="C463" s="7" t="n">
        <x:v>45825</x:v>
      </x:c>
      <x:c r="D463" s="2" t="str">
        <x:v>Completed</x:v>
      </x:c>
      <x:c r="E463" s="2" t="str">
        <x:v>East</x:v>
      </x:c>
      <x:c r="F463" s="2" t="str">
        <x:v>Online</x:v>
      </x:c>
      <x:c r="G463" s="2" t="str">
        <x:v>Lighting</x:v>
      </x:c>
      <x:c r="H463" s="2" t="str">
        <x:v>Lamp 001</x:v>
      </x:c>
      <x:c r="I463" s="11" t="n">
        <x:v>1</x:v>
      </x:c>
      <x:c r="J463" s="9" t="n">
        <x:v>122</x:v>
      </x:c>
      <x:c r="K463" s="10" t="n">
        <x:v>0.1</x:v>
      </x:c>
      <x:c r="L463" s="11" t="n">
        <x:v>0</x:v>
      </x:c>
      <x:c r="M463" s="9" t="n">
        <x:f>IF(D463="Completed",I463*J463,0)</x:f>
        <x:v>122</x:v>
      </x:c>
      <x:c r="N463" s="9" t="n">
        <x:f>M463*K463</x:f>
        <x:v>12.200000000000001</x:v>
      </x:c>
      <x:c r="O463" s="9" t="n">
        <x:f>M463-N463</x:f>
        <x:v>109.8</x:v>
      </x:c>
      <x:c r="P463" s="9" t="n">
        <x:f>IF(D463="Completed",L463*J463*(1-K463),0)</x:f>
        <x:v>0</x:v>
      </x:c>
      <x:c r="Q463" s="9" t="n">
        <x:f>O463-P463</x:f>
        <x:v>109.8</x:v>
      </x:c>
      <x:c r="R463" s="11" t="n">
        <x:f>IF(D463="Completed",I463,0)</x:f>
        <x:v>1</x:v>
      </x:c>
      <x:c r="S463" s="11" t="n">
        <x:f>IF(D463="Completed",L463,0)</x:f>
        <x:v>0</x:v>
      </x:c>
      <x:c r="T463" s="8" t="n">
        <x:f>DATE(YEAR(C463),MONTH(C463),1)</x:f>
        <x:v>45809</x:v>
      </x:c>
    </x:row>
    <x:row r="464" ht="22" customHeight="1">
      <x:c r="A464" s="2" t="str">
        <x:v>L000460</x:v>
      </x:c>
      <x:c r="B464" s="2" t="str">
        <x:v>O00191</x:v>
      </x:c>
      <x:c r="C464" s="7" t="n">
        <x:v>45677</x:v>
      </x:c>
      <x:c r="D464" s="2" t="str">
        <x:v>Completed</x:v>
      </x:c>
      <x:c r="E464" s="2" t="str">
        <x:v>North</x:v>
      </x:c>
      <x:c r="F464" s="2" t="str">
        <x:v>Store</x:v>
      </x:c>
      <x:c r="G464" s="2" t="str">
        <x:v>Lighting</x:v>
      </x:c>
      <x:c r="H464" s="2" t="str">
        <x:v>Lamp 013</x:v>
      </x:c>
      <x:c r="I464" s="11" t="n">
        <x:v>5</x:v>
      </x:c>
      <x:c r="J464" s="9" t="n">
        <x:v>271</x:v>
      </x:c>
      <x:c r="K464" s="10" t="n">
        <x:v>0.1</x:v>
      </x:c>
      <x:c r="L464" s="11" t="n">
        <x:v>0</x:v>
      </x:c>
      <x:c r="M464" s="9" t="n">
        <x:f>IF(D464="Completed",I464*J464,0)</x:f>
        <x:v>1355</x:v>
      </x:c>
      <x:c r="N464" s="9" t="n">
        <x:f>M464*K464</x:f>
        <x:v>135.5</x:v>
      </x:c>
      <x:c r="O464" s="9" t="n">
        <x:f>M464-N464</x:f>
        <x:v>1219.5</x:v>
      </x:c>
      <x:c r="P464" s="9" t="n">
        <x:f>IF(D464="Completed",L464*J464*(1-K464),0)</x:f>
        <x:v>0</x:v>
      </x:c>
      <x:c r="Q464" s="9" t="n">
        <x:f>O464-P464</x:f>
        <x:v>1219.5</x:v>
      </x:c>
      <x:c r="R464" s="11" t="n">
        <x:f>IF(D464="Completed",I464,0)</x:f>
        <x:v>5</x:v>
      </x:c>
      <x:c r="S464" s="11" t="n">
        <x:f>IF(D464="Completed",L464,0)</x:f>
        <x:v>0</x:v>
      </x:c>
      <x:c r="T464" s="8" t="n">
        <x:f>DATE(YEAR(C464),MONTH(C464),1)</x:f>
        <x:v>45658</x:v>
      </x:c>
    </x:row>
    <x:row r="465" ht="22" customHeight="1">
      <x:c r="A465" s="2" t="str">
        <x:v>L000461</x:v>
      </x:c>
      <x:c r="B465" s="2" t="str">
        <x:v>O00191</x:v>
      </x:c>
      <x:c r="C465" s="7" t="n">
        <x:v>45677</x:v>
      </x:c>
      <x:c r="D465" s="2" t="str">
        <x:v>Completed</x:v>
      </x:c>
      <x:c r="E465" s="2" t="str">
        <x:v>North</x:v>
      </x:c>
      <x:c r="F465" s="2" t="str">
        <x:v>Store</x:v>
      </x:c>
      <x:c r="G465" s="2" t="str">
        <x:v>Storage</x:v>
      </x:c>
      <x:c r="H465" s="2" t="str">
        <x:v>Shelf 023</x:v>
      </x:c>
      <x:c r="I465" s="11" t="n">
        <x:v>2</x:v>
      </x:c>
      <x:c r="J465" s="9" t="n">
        <x:v>68</x:v>
      </x:c>
      <x:c r="K465" s="10" t="n">
        <x:v>0.1</x:v>
      </x:c>
      <x:c r="L465" s="11" t="n">
        <x:v>0</x:v>
      </x:c>
      <x:c r="M465" s="9" t="n">
        <x:f>IF(D465="Completed",I465*J465,0)</x:f>
        <x:v>136</x:v>
      </x:c>
      <x:c r="N465" s="9" t="n">
        <x:f>M465*K465</x:f>
        <x:v>13.600000000000001</x:v>
      </x:c>
      <x:c r="O465" s="9" t="n">
        <x:f>M465-N465</x:f>
        <x:v>122.4</x:v>
      </x:c>
      <x:c r="P465" s="9" t="n">
        <x:f>IF(D465="Completed",L465*J465*(1-K465),0)</x:f>
        <x:v>0</x:v>
      </x:c>
      <x:c r="Q465" s="9" t="n">
        <x:f>O465-P465</x:f>
        <x:v>122.4</x:v>
      </x:c>
      <x:c r="R465" s="11" t="n">
        <x:f>IF(D465="Completed",I465,0)</x:f>
        <x:v>2</x:v>
      </x:c>
      <x:c r="S465" s="11" t="n">
        <x:f>IF(D465="Completed",L465,0)</x:f>
        <x:v>0</x:v>
      </x:c>
      <x:c r="T465" s="8" t="n">
        <x:f>DATE(YEAR(C465),MONTH(C465),1)</x:f>
        <x:v>45658</x:v>
      </x:c>
    </x:row>
    <x:row r="466" ht="22" customHeight="1">
      <x:c r="A466" s="2" t="str">
        <x:v>L000462</x:v>
      </x:c>
      <x:c r="B466" s="2" t="str">
        <x:v>O00191</x:v>
      </x:c>
      <x:c r="C466" s="7" t="n">
        <x:v>45677</x:v>
      </x:c>
      <x:c r="D466" s="2" t="str">
        <x:v>Completed</x:v>
      </x:c>
      <x:c r="E466" s="2" t="str">
        <x:v>North</x:v>
      </x:c>
      <x:c r="F466" s="2" t="str">
        <x:v>Store</x:v>
      </x:c>
      <x:c r="G466" s="2" t="str">
        <x:v>Furniture</x:v>
      </x:c>
      <x:c r="H466" s="2" t="str">
        <x:v>Desk 016</x:v>
      </x:c>
      <x:c r="I466" s="11" t="n">
        <x:v>5</x:v>
      </x:c>
      <x:c r="J466" s="9" t="n">
        <x:v>231</x:v>
      </x:c>
      <x:c r="K466" s="10" t="n">
        <x:v>0.05</x:v>
      </x:c>
      <x:c r="L466" s="11" t="n">
        <x:v>0</x:v>
      </x:c>
      <x:c r="M466" s="9" t="n">
        <x:f>IF(D466="Completed",I466*J466,0)</x:f>
        <x:v>1155</x:v>
      </x:c>
      <x:c r="N466" s="9" t="n">
        <x:f>M466*K466</x:f>
        <x:v>57.75</x:v>
      </x:c>
      <x:c r="O466" s="9" t="n">
        <x:f>M466-N466</x:f>
        <x:v>1097.25</x:v>
      </x:c>
      <x:c r="P466" s="9" t="n">
        <x:f>IF(D466="Completed",L466*J466*(1-K466),0)</x:f>
        <x:v>0</x:v>
      </x:c>
      <x:c r="Q466" s="9" t="n">
        <x:f>O466-P466</x:f>
        <x:v>1097.25</x:v>
      </x:c>
      <x:c r="R466" s="11" t="n">
        <x:f>IF(D466="Completed",I466,0)</x:f>
        <x:v>5</x:v>
      </x:c>
      <x:c r="S466" s="11" t="n">
        <x:f>IF(D466="Completed",L466,0)</x:f>
        <x:v>0</x:v>
      </x:c>
      <x:c r="T466" s="8" t="n">
        <x:f>DATE(YEAR(C466),MONTH(C466),1)</x:f>
        <x:v>45658</x:v>
      </x:c>
    </x:row>
    <x:row r="467" ht="22" customHeight="1">
      <x:c r="A467" s="2" t="str">
        <x:v>L000463</x:v>
      </x:c>
      <x:c r="B467" s="2" t="str">
        <x:v>O00192</x:v>
      </x:c>
      <x:c r="C467" s="7" t="n">
        <x:v>45732</x:v>
      </x:c>
      <x:c r="D467" s="2" t="str">
        <x:v>Completed</x:v>
      </x:c>
      <x:c r="E467" s="2" t="str">
        <x:v>West</x:v>
      </x:c>
      <x:c r="F467" s="2" t="str">
        <x:v>Online</x:v>
      </x:c>
      <x:c r="G467" s="2" t="str">
        <x:v>Furniture</x:v>
      </x:c>
      <x:c r="H467" s="2" t="str">
        <x:v>Chair 010</x:v>
      </x:c>
      <x:c r="I467" s="11" t="n">
        <x:v>2</x:v>
      </x:c>
      <x:c r="J467" s="9" t="n">
        <x:v>211</x:v>
      </x:c>
      <x:c r="K467" s="10" t="n">
        <x:v>0.05</x:v>
      </x:c>
      <x:c r="L467" s="11" t="n">
        <x:v>0</x:v>
      </x:c>
      <x:c r="M467" s="9" t="n">
        <x:f>IF(D467="Completed",I467*J467,0)</x:f>
        <x:v>422</x:v>
      </x:c>
      <x:c r="N467" s="9" t="n">
        <x:f>M467*K467</x:f>
        <x:v>21.1</x:v>
      </x:c>
      <x:c r="O467" s="9" t="n">
        <x:f>M467-N467</x:f>
        <x:v>400.9</x:v>
      </x:c>
      <x:c r="P467" s="9" t="n">
        <x:f>IF(D467="Completed",L467*J467*(1-K467),0)</x:f>
        <x:v>0</x:v>
      </x:c>
      <x:c r="Q467" s="9" t="n">
        <x:f>O467-P467</x:f>
        <x:v>400.9</x:v>
      </x:c>
      <x:c r="R467" s="11" t="n">
        <x:f>IF(D467="Completed",I467,0)</x:f>
        <x:v>2</x:v>
      </x:c>
      <x:c r="S467" s="11" t="n">
        <x:f>IF(D467="Completed",L467,0)</x:f>
        <x:v>0</x:v>
      </x:c>
      <x:c r="T467" s="8" t="n">
        <x:f>DATE(YEAR(C467),MONTH(C467),1)</x:f>
        <x:v>45717</x:v>
      </x:c>
    </x:row>
    <x:row r="468" ht="22" customHeight="1">
      <x:c r="A468" s="2" t="str">
        <x:v>L000464</x:v>
      </x:c>
      <x:c r="B468" s="2" t="str">
        <x:v>O00193</x:v>
      </x:c>
      <x:c r="C468" s="7" t="n">
        <x:v>45986</x:v>
      </x:c>
      <x:c r="D468" s="2" t="str">
        <x:v>Completed</x:v>
      </x:c>
      <x:c r="E468" s="2" t="str">
        <x:v>West</x:v>
      </x:c>
      <x:c r="F468" s="2" t="str">
        <x:v>Online</x:v>
      </x:c>
      <x:c r="G468" s="2" t="str">
        <x:v>Lighting</x:v>
      </x:c>
      <x:c r="H468" s="2" t="str">
        <x:v>Lamp 001</x:v>
      </x:c>
      <x:c r="I468" s="11" t="n">
        <x:v>5</x:v>
      </x:c>
      <x:c r="J468" s="9" t="n">
        <x:v>122</x:v>
      </x:c>
      <x:c r="K468" s="10" t="n">
        <x:v>0.1</x:v>
      </x:c>
      <x:c r="L468" s="11" t="n">
        <x:v>5</x:v>
      </x:c>
      <x:c r="M468" s="9" t="n">
        <x:f>IF(D468="Completed",I468*J468,0)</x:f>
        <x:v>610</x:v>
      </x:c>
      <x:c r="N468" s="9" t="n">
        <x:f>M468*K468</x:f>
        <x:v>61</x:v>
      </x:c>
      <x:c r="O468" s="9" t="n">
        <x:f>M468-N468</x:f>
        <x:v>549</x:v>
      </x:c>
      <x:c r="P468" s="9" t="n">
        <x:f>IF(D468="Completed",L468*J468*(1-K468),0)</x:f>
        <x:v>549</x:v>
      </x:c>
      <x:c r="Q468" s="9" t="n">
        <x:f>O468-P468</x:f>
        <x:v>0</x:v>
      </x:c>
      <x:c r="R468" s="11" t="n">
        <x:f>IF(D468="Completed",I468,0)</x:f>
        <x:v>5</x:v>
      </x:c>
      <x:c r="S468" s="11" t="n">
        <x:f>IF(D468="Completed",L468,0)</x:f>
        <x:v>5</x:v>
      </x:c>
      <x:c r="T468" s="8" t="n">
        <x:f>DATE(YEAR(C468),MONTH(C468),1)</x:f>
        <x:v>45962</x:v>
      </x:c>
    </x:row>
    <x:row r="469" ht="22" customHeight="1">
      <x:c r="A469" s="2" t="str">
        <x:v>L000465</x:v>
      </x:c>
      <x:c r="B469" s="2" t="str">
        <x:v>O00194</x:v>
      </x:c>
      <x:c r="C469" s="7" t="n">
        <x:v>45880</x:v>
      </x:c>
      <x:c r="D469" s="2" t="str">
        <x:v>Completed</x:v>
      </x:c>
      <x:c r="E469" s="2" t="str">
        <x:v>North</x:v>
      </x:c>
      <x:c r="F469" s="2" t="str">
        <x:v>Online</x:v>
      </x:c>
      <x:c r="G469" s="2" t="str">
        <x:v>Lighting</x:v>
      </x:c>
      <x:c r="H469" s="2" t="str">
        <x:v>Lamp 009</x:v>
      </x:c>
      <x:c r="I469" s="11" t="n">
        <x:v>5</x:v>
      </x:c>
      <x:c r="J469" s="9" t="n">
        <x:v>93</x:v>
      </x:c>
      <x:c r="K469" s="10" t="n">
        <x:v>0.2</x:v>
      </x:c>
      <x:c r="L469" s="11" t="n">
        <x:v>0</x:v>
      </x:c>
      <x:c r="M469" s="9" t="n">
        <x:f>IF(D469="Completed",I469*J469,0)</x:f>
        <x:v>465</x:v>
      </x:c>
      <x:c r="N469" s="9" t="n">
        <x:f>M469*K469</x:f>
        <x:v>93</x:v>
      </x:c>
      <x:c r="O469" s="9" t="n">
        <x:f>M469-N469</x:f>
        <x:v>372</x:v>
      </x:c>
      <x:c r="P469" s="9" t="n">
        <x:f>IF(D469="Completed",L469*J469*(1-K469),0)</x:f>
        <x:v>0</x:v>
      </x:c>
      <x:c r="Q469" s="9" t="n">
        <x:f>O469-P469</x:f>
        <x:v>372</x:v>
      </x:c>
      <x:c r="R469" s="11" t="n">
        <x:f>IF(D469="Completed",I469,0)</x:f>
        <x:v>5</x:v>
      </x:c>
      <x:c r="S469" s="11" t="n">
        <x:f>IF(D469="Completed",L469,0)</x:f>
        <x:v>0</x:v>
      </x:c>
      <x:c r="T469" s="8" t="n">
        <x:f>DATE(YEAR(C469),MONTH(C469),1)</x:f>
        <x:v>45870</x:v>
      </x:c>
    </x:row>
    <x:row r="470" ht="22" customHeight="1">
      <x:c r="A470" s="2" t="str">
        <x:v>L000466</x:v>
      </x:c>
      <x:c r="B470" s="2" t="str">
        <x:v>O00194</x:v>
      </x:c>
      <x:c r="C470" s="7" t="n">
        <x:v>45880</x:v>
      </x:c>
      <x:c r="D470" s="2" t="str">
        <x:v>Completed</x:v>
      </x:c>
      <x:c r="E470" s="2" t="str">
        <x:v>North</x:v>
      </x:c>
      <x:c r="F470" s="2" t="str">
        <x:v>Online</x:v>
      </x:c>
      <x:c r="G470" s="2" t="str">
        <x:v>Furniture</x:v>
      </x:c>
      <x:c r="H470" s="2" t="str">
        <x:v>Desk 016</x:v>
      </x:c>
      <x:c r="I470" s="11" t="n">
        <x:v>3</x:v>
      </x:c>
      <x:c r="J470" s="9" t="n">
        <x:v>231</x:v>
      </x:c>
      <x:c r="K470" s="10" t="n">
        <x:v>0</x:v>
      </x:c>
      <x:c r="L470" s="11" t="n">
        <x:v>0</x:v>
      </x:c>
      <x:c r="M470" s="9" t="n">
        <x:f>IF(D470="Completed",I470*J470,0)</x:f>
        <x:v>693</x:v>
      </x:c>
      <x:c r="N470" s="9" t="n">
        <x:f>M470*K470</x:f>
        <x:v>0</x:v>
      </x:c>
      <x:c r="O470" s="9" t="n">
        <x:f>M470-N470</x:f>
        <x:v>693</x:v>
      </x:c>
      <x:c r="P470" s="9" t="n">
        <x:f>IF(D470="Completed",L470*J470*(1-K470),0)</x:f>
        <x:v>0</x:v>
      </x:c>
      <x:c r="Q470" s="9" t="n">
        <x:f>O470-P470</x:f>
        <x:v>693</x:v>
      </x:c>
      <x:c r="R470" s="11" t="n">
        <x:f>IF(D470="Completed",I470,0)</x:f>
        <x:v>3</x:v>
      </x:c>
      <x:c r="S470" s="11" t="n">
        <x:f>IF(D470="Completed",L470,0)</x:f>
        <x:v>0</x:v>
      </x:c>
      <x:c r="T470" s="8" t="n">
        <x:f>DATE(YEAR(C470),MONTH(C470),1)</x:f>
        <x:v>45870</x:v>
      </x:c>
    </x:row>
    <x:row r="471" ht="22" customHeight="1">
      <x:c r="A471" s="2" t="str">
        <x:v>L000467</x:v>
      </x:c>
      <x:c r="B471" s="2" t="str">
        <x:v>O00195</x:v>
      </x:c>
      <x:c r="C471" s="7" t="n">
        <x:v>46002</x:v>
      </x:c>
      <x:c r="D471" s="2" t="str">
        <x:v>Completed</x:v>
      </x:c>
      <x:c r="E471" s="2" t="str">
        <x:v>South</x:v>
      </x:c>
      <x:c r="F471" s="2" t="str">
        <x:v>Store</x:v>
      </x:c>
      <x:c r="G471" s="2" t="str">
        <x:v>Storage</x:v>
      </x:c>
      <x:c r="H471" s="2" t="str">
        <x:v>Shelf 015</x:v>
      </x:c>
      <x:c r="I471" s="11" t="n">
        <x:v>1</x:v>
      </x:c>
      <x:c r="J471" s="9" t="n">
        <x:v>254</x:v>
      </x:c>
      <x:c r="K471" s="10" t="n">
        <x:v>0</x:v>
      </x:c>
      <x:c r="L471" s="11" t="n">
        <x:v>0</x:v>
      </x:c>
      <x:c r="M471" s="9" t="n">
        <x:f>IF(D471="Completed",I471*J471,0)</x:f>
        <x:v>254</x:v>
      </x:c>
      <x:c r="N471" s="9" t="n">
        <x:f>M471*K471</x:f>
        <x:v>0</x:v>
      </x:c>
      <x:c r="O471" s="9" t="n">
        <x:f>M471-N471</x:f>
        <x:v>254</x:v>
      </x:c>
      <x:c r="P471" s="9" t="n">
        <x:f>IF(D471="Completed",L471*J471*(1-K471),0)</x:f>
        <x:v>0</x:v>
      </x:c>
      <x:c r="Q471" s="9" t="n">
        <x:f>O471-P471</x:f>
        <x:v>254</x:v>
      </x:c>
      <x:c r="R471" s="11" t="n">
        <x:f>IF(D471="Completed",I471,0)</x:f>
        <x:v>1</x:v>
      </x:c>
      <x:c r="S471" s="11" t="n">
        <x:f>IF(D471="Completed",L471,0)</x:f>
        <x:v>0</x:v>
      </x:c>
      <x:c r="T471" s="8" t="n">
        <x:f>DATE(YEAR(C471),MONTH(C471),1)</x:f>
        <x:v>45992</x:v>
      </x:c>
    </x:row>
    <x:row r="472" ht="22" customHeight="1">
      <x:c r="A472" s="2" t="str">
        <x:v>L000468</x:v>
      </x:c>
      <x:c r="B472" s="2" t="str">
        <x:v>O00195</x:v>
      </x:c>
      <x:c r="C472" s="7" t="n">
        <x:v>46002</x:v>
      </x:c>
      <x:c r="D472" s="2" t="str">
        <x:v>Completed</x:v>
      </x:c>
      <x:c r="E472" s="2" t="str">
        <x:v>South</x:v>
      </x:c>
      <x:c r="F472" s="2" t="str">
        <x:v>Store</x:v>
      </x:c>
      <x:c r="G472" s="2" t="str">
        <x:v>Furniture</x:v>
      </x:c>
      <x:c r="H472" s="2" t="str">
        <x:v>Desk 024</x:v>
      </x:c>
      <x:c r="I472" s="11" t="n">
        <x:v>3</x:v>
      </x:c>
      <x:c r="J472" s="9" t="n">
        <x:v>81</x:v>
      </x:c>
      <x:c r="K472" s="10" t="n">
        <x:v>0.05</x:v>
      </x:c>
      <x:c r="L472" s="11" t="n">
        <x:v>0</x:v>
      </x:c>
      <x:c r="M472" s="9" t="n">
        <x:f>IF(D472="Completed",I472*J472,0)</x:f>
        <x:v>243</x:v>
      </x:c>
      <x:c r="N472" s="9" t="n">
        <x:f>M472*K472</x:f>
        <x:v>12.15</x:v>
      </x:c>
      <x:c r="O472" s="9" t="n">
        <x:f>M472-N472</x:f>
        <x:v>230.85</x:v>
      </x:c>
      <x:c r="P472" s="9" t="n">
        <x:f>IF(D472="Completed",L472*J472*(1-K472),0)</x:f>
        <x:v>0</x:v>
      </x:c>
      <x:c r="Q472" s="9" t="n">
        <x:f>O472-P472</x:f>
        <x:v>230.85</x:v>
      </x:c>
      <x:c r="R472" s="11" t="n">
        <x:f>IF(D472="Completed",I472,0)</x:f>
        <x:v>3</x:v>
      </x:c>
      <x:c r="S472" s="11" t="n">
        <x:f>IF(D472="Completed",L472,0)</x:f>
        <x:v>0</x:v>
      </x:c>
      <x:c r="T472" s="8" t="n">
        <x:f>DATE(YEAR(C472),MONTH(C472),1)</x:f>
        <x:v>45992</x:v>
      </x:c>
    </x:row>
    <x:row r="473" ht="22" customHeight="1">
      <x:c r="A473" s="2" t="str">
        <x:v>L000469</x:v>
      </x:c>
      <x:c r="B473" s="2" t="str">
        <x:v>O00195</x:v>
      </x:c>
      <x:c r="C473" s="7" t="n">
        <x:v>46002</x:v>
      </x:c>
      <x:c r="D473" s="2" t="str">
        <x:v>Completed</x:v>
      </x:c>
      <x:c r="E473" s="2" t="str">
        <x:v>South</x:v>
      </x:c>
      <x:c r="F473" s="2" t="str">
        <x:v>Store</x:v>
      </x:c>
      <x:c r="G473" s="2" t="str">
        <x:v>Storage</x:v>
      </x:c>
      <x:c r="H473" s="2" t="str">
        <x:v>Shelf 015</x:v>
      </x:c>
      <x:c r="I473" s="11" t="n">
        <x:v>3</x:v>
      </x:c>
      <x:c r="J473" s="9" t="n">
        <x:v>254</x:v>
      </x:c>
      <x:c r="K473" s="10" t="n">
        <x:v>0.2</x:v>
      </x:c>
      <x:c r="L473" s="11" t="n">
        <x:v>0</x:v>
      </x:c>
      <x:c r="M473" s="9" t="n">
        <x:f>IF(D473="Completed",I473*J473,0)</x:f>
        <x:v>762</x:v>
      </x:c>
      <x:c r="N473" s="9" t="n">
        <x:f>M473*K473</x:f>
        <x:v>152.4</x:v>
      </x:c>
      <x:c r="O473" s="9" t="n">
        <x:f>M473-N473</x:f>
        <x:v>609.6</x:v>
      </x:c>
      <x:c r="P473" s="9" t="n">
        <x:f>IF(D473="Completed",L473*J473*(1-K473),0)</x:f>
        <x:v>0</x:v>
      </x:c>
      <x:c r="Q473" s="9" t="n">
        <x:f>O473-P473</x:f>
        <x:v>609.6</x:v>
      </x:c>
      <x:c r="R473" s="11" t="n">
        <x:f>IF(D473="Completed",I473,0)</x:f>
        <x:v>3</x:v>
      </x:c>
      <x:c r="S473" s="11" t="n">
        <x:f>IF(D473="Completed",L473,0)</x:f>
        <x:v>0</x:v>
      </x:c>
      <x:c r="T473" s="8" t="n">
        <x:f>DATE(YEAR(C473),MONTH(C473),1)</x:f>
        <x:v>45992</x:v>
      </x:c>
    </x:row>
    <x:row r="474" ht="22" customHeight="1">
      <x:c r="A474" s="2" t="str">
        <x:v>L000470</x:v>
      </x:c>
      <x:c r="B474" s="2" t="str">
        <x:v>O00196</x:v>
      </x:c>
      <x:c r="C474" s="7" t="n">
        <x:v>45784</x:v>
      </x:c>
      <x:c r="D474" s="2" t="str">
        <x:v>Completed</x:v>
      </x:c>
      <x:c r="E474" s="2" t="str">
        <x:v>South</x:v>
      </x:c>
      <x:c r="F474" s="2" t="str">
        <x:v>Online</x:v>
      </x:c>
      <x:c r="G474" s="2" t="str">
        <x:v>Lighting</x:v>
      </x:c>
      <x:c r="H474" s="2" t="str">
        <x:v>Lamp 009</x:v>
      </x:c>
      <x:c r="I474" s="11" t="n">
        <x:v>1</x:v>
      </x:c>
      <x:c r="J474" s="9" t="n">
        <x:v>93</x:v>
      </x:c>
      <x:c r="K474" s="10" t="n">
        <x:v>0.1</x:v>
      </x:c>
      <x:c r="L474" s="11" t="n">
        <x:v>0</x:v>
      </x:c>
      <x:c r="M474" s="9" t="n">
        <x:f>IF(D474="Completed",I474*J474,0)</x:f>
        <x:v>93</x:v>
      </x:c>
      <x:c r="N474" s="9" t="n">
        <x:f>M474*K474</x:f>
        <x:v>9.3</x:v>
      </x:c>
      <x:c r="O474" s="9" t="n">
        <x:f>M474-N474</x:f>
        <x:v>83.7</x:v>
      </x:c>
      <x:c r="P474" s="9" t="n">
        <x:f>IF(D474="Completed",L474*J474*(1-K474),0)</x:f>
        <x:v>0</x:v>
      </x:c>
      <x:c r="Q474" s="9" t="n">
        <x:f>O474-P474</x:f>
        <x:v>83.7</x:v>
      </x:c>
      <x:c r="R474" s="11" t="n">
        <x:f>IF(D474="Completed",I474,0)</x:f>
        <x:v>1</x:v>
      </x:c>
      <x:c r="S474" s="11" t="n">
        <x:f>IF(D474="Completed",L474,0)</x:f>
        <x:v>0</x:v>
      </x:c>
      <x:c r="T474" s="8" t="n">
        <x:f>DATE(YEAR(C474),MONTH(C474),1)</x:f>
        <x:v>45778</x:v>
      </x:c>
    </x:row>
    <x:row r="475" ht="22" customHeight="1">
      <x:c r="A475" s="2" t="str">
        <x:v>L000471</x:v>
      </x:c>
      <x:c r="B475" s="2" t="str">
        <x:v>O00196</x:v>
      </x:c>
      <x:c r="C475" s="7" t="n">
        <x:v>45784</x:v>
      </x:c>
      <x:c r="D475" s="2" t="str">
        <x:v>Completed</x:v>
      </x:c>
      <x:c r="E475" s="2" t="str">
        <x:v>South</x:v>
      </x:c>
      <x:c r="F475" s="2" t="str">
        <x:v>Online</x:v>
      </x:c>
      <x:c r="G475" s="2" t="str">
        <x:v>Storage</x:v>
      </x:c>
      <x:c r="H475" s="2" t="str">
        <x:v>Shelf 003</x:v>
      </x:c>
      <x:c r="I475" s="11" t="n">
        <x:v>2</x:v>
      </x:c>
      <x:c r="J475" s="9" t="n">
        <x:v>199</x:v>
      </x:c>
      <x:c r="K475" s="10" t="n">
        <x:v>0</x:v>
      </x:c>
      <x:c r="L475" s="11" t="n">
        <x:v>0</x:v>
      </x:c>
      <x:c r="M475" s="9" t="n">
        <x:f>IF(D475="Completed",I475*J475,0)</x:f>
        <x:v>398</x:v>
      </x:c>
      <x:c r="N475" s="9" t="n">
        <x:f>M475*K475</x:f>
        <x:v>0</x:v>
      </x:c>
      <x:c r="O475" s="9" t="n">
        <x:f>M475-N475</x:f>
        <x:v>398</x:v>
      </x:c>
      <x:c r="P475" s="9" t="n">
        <x:f>IF(D475="Completed",L475*J475*(1-K475),0)</x:f>
        <x:v>0</x:v>
      </x:c>
      <x:c r="Q475" s="9" t="n">
        <x:f>O475-P475</x:f>
        <x:v>398</x:v>
      </x:c>
      <x:c r="R475" s="11" t="n">
        <x:f>IF(D475="Completed",I475,0)</x:f>
        <x:v>2</x:v>
      </x:c>
      <x:c r="S475" s="11" t="n">
        <x:f>IF(D475="Completed",L475,0)</x:f>
        <x:v>0</x:v>
      </x:c>
      <x:c r="T475" s="8" t="n">
        <x:f>DATE(YEAR(C475),MONTH(C475),1)</x:f>
        <x:v>45778</x:v>
      </x:c>
    </x:row>
    <x:row r="476" ht="22" customHeight="1">
      <x:c r="A476" s="2" t="str">
        <x:v>L000472</x:v>
      </x:c>
      <x:c r="B476" s="2" t="str">
        <x:v>O00196</x:v>
      </x:c>
      <x:c r="C476" s="7" t="n">
        <x:v>45784</x:v>
      </x:c>
      <x:c r="D476" s="2" t="str">
        <x:v>Completed</x:v>
      </x:c>
      <x:c r="E476" s="2" t="str">
        <x:v>South</x:v>
      </x:c>
      <x:c r="F476" s="2" t="str">
        <x:v>Online</x:v>
      </x:c>
      <x:c r="G476" s="2" t="str">
        <x:v>Furniture</x:v>
      </x:c>
      <x:c r="H476" s="2" t="str">
        <x:v>Desk 024</x:v>
      </x:c>
      <x:c r="I476" s="11" t="n">
        <x:v>1</x:v>
      </x:c>
      <x:c r="J476" s="9" t="n">
        <x:v>81</x:v>
      </x:c>
      <x:c r="K476" s="10" t="n">
        <x:v>0.05</x:v>
      </x:c>
      <x:c r="L476" s="11" t="n">
        <x:v>0</x:v>
      </x:c>
      <x:c r="M476" s="9" t="n">
        <x:f>IF(D476="Completed",I476*J476,0)</x:f>
        <x:v>81</x:v>
      </x:c>
      <x:c r="N476" s="9" t="n">
        <x:f>M476*K476</x:f>
        <x:v>4.05</x:v>
      </x:c>
      <x:c r="O476" s="9" t="n">
        <x:f>M476-N476</x:f>
        <x:v>76.95</x:v>
      </x:c>
      <x:c r="P476" s="9" t="n">
        <x:f>IF(D476="Completed",L476*J476*(1-K476),0)</x:f>
        <x:v>0</x:v>
      </x:c>
      <x:c r="Q476" s="9" t="n">
        <x:f>O476-P476</x:f>
        <x:v>76.95</x:v>
      </x:c>
      <x:c r="R476" s="11" t="n">
        <x:f>IF(D476="Completed",I476,0)</x:f>
        <x:v>1</x:v>
      </x:c>
      <x:c r="S476" s="11" t="n">
        <x:f>IF(D476="Completed",L476,0)</x:f>
        <x:v>0</x:v>
      </x:c>
      <x:c r="T476" s="8" t="n">
        <x:f>DATE(YEAR(C476),MONTH(C476),1)</x:f>
        <x:v>45778</x:v>
      </x:c>
    </x:row>
    <x:row r="477" ht="22" customHeight="1">
      <x:c r="A477" s="2" t="str">
        <x:v>L000473</x:v>
      </x:c>
      <x:c r="B477" s="2" t="str">
        <x:v>O00197</x:v>
      </x:c>
      <x:c r="C477" s="7" t="n">
        <x:v>45671</x:v>
      </x:c>
      <x:c r="D477" s="2" t="str">
        <x:v>Completed</x:v>
      </x:c>
      <x:c r="E477" s="2" t="str">
        <x:v>North</x:v>
      </x:c>
      <x:c r="F477" s="2" t="str">
        <x:v>Store</x:v>
      </x:c>
      <x:c r="G477" s="2" t="str">
        <x:v>Furniture</x:v>
      </x:c>
      <x:c r="H477" s="2" t="str">
        <x:v>Desk 004</x:v>
      </x:c>
      <x:c r="I477" s="11" t="n">
        <x:v>4</x:v>
      </x:c>
      <x:c r="J477" s="9" t="n">
        <x:v>123</x:v>
      </x:c>
      <x:c r="K477" s="10" t="n">
        <x:v>0.05</x:v>
      </x:c>
      <x:c r="L477" s="11" t="n">
        <x:v>0</x:v>
      </x:c>
      <x:c r="M477" s="9" t="n">
        <x:f>IF(D477="Completed",I477*J477,0)</x:f>
        <x:v>492</x:v>
      </x:c>
      <x:c r="N477" s="9" t="n">
        <x:f>M477*K477</x:f>
        <x:v>24.6</x:v>
      </x:c>
      <x:c r="O477" s="9" t="n">
        <x:f>M477-N477</x:f>
        <x:v>467.4</x:v>
      </x:c>
      <x:c r="P477" s="9" t="n">
        <x:f>IF(D477="Completed",L477*J477*(1-K477),0)</x:f>
        <x:v>0</x:v>
      </x:c>
      <x:c r="Q477" s="9" t="n">
        <x:f>O477-P477</x:f>
        <x:v>467.4</x:v>
      </x:c>
      <x:c r="R477" s="11" t="n">
        <x:f>IF(D477="Completed",I477,0)</x:f>
        <x:v>4</x:v>
      </x:c>
      <x:c r="S477" s="11" t="n">
        <x:f>IF(D477="Completed",L477,0)</x:f>
        <x:v>0</x:v>
      </x:c>
      <x:c r="T477" s="8" t="n">
        <x:f>DATE(YEAR(C477),MONTH(C477),1)</x:f>
        <x:v>45658</x:v>
      </x:c>
    </x:row>
    <x:row r="478" ht="22" customHeight="1">
      <x:c r="A478" s="2" t="str">
        <x:v>L000474</x:v>
      </x:c>
      <x:c r="B478" s="2" t="str">
        <x:v>O00197</x:v>
      </x:c>
      <x:c r="C478" s="7" t="n">
        <x:v>45671</x:v>
      </x:c>
      <x:c r="D478" s="2" t="str">
        <x:v>Completed</x:v>
      </x:c>
      <x:c r="E478" s="2" t="str">
        <x:v>North</x:v>
      </x:c>
      <x:c r="F478" s="2" t="str">
        <x:v>Store</x:v>
      </x:c>
      <x:c r="G478" s="2" t="str">
        <x:v>Furniture</x:v>
      </x:c>
      <x:c r="H478" s="2" t="str">
        <x:v>Chair 010</x:v>
      </x:c>
      <x:c r="I478" s="11" t="n">
        <x:v>2</x:v>
      </x:c>
      <x:c r="J478" s="9" t="n">
        <x:v>211</x:v>
      </x:c>
      <x:c r="K478" s="10" t="n">
        <x:v>0.05</x:v>
      </x:c>
      <x:c r="L478" s="11" t="n">
        <x:v>0</x:v>
      </x:c>
      <x:c r="M478" s="9" t="n">
        <x:f>IF(D478="Completed",I478*J478,0)</x:f>
        <x:v>422</x:v>
      </x:c>
      <x:c r="N478" s="9" t="n">
        <x:f>M478*K478</x:f>
        <x:v>21.1</x:v>
      </x:c>
      <x:c r="O478" s="9" t="n">
        <x:f>M478-N478</x:f>
        <x:v>400.9</x:v>
      </x:c>
      <x:c r="P478" s="9" t="n">
        <x:f>IF(D478="Completed",L478*J478*(1-K478),0)</x:f>
        <x:v>0</x:v>
      </x:c>
      <x:c r="Q478" s="9" t="n">
        <x:f>O478-P478</x:f>
        <x:v>400.9</x:v>
      </x:c>
      <x:c r="R478" s="11" t="n">
        <x:f>IF(D478="Completed",I478,0)</x:f>
        <x:v>2</x:v>
      </x:c>
      <x:c r="S478" s="11" t="n">
        <x:f>IF(D478="Completed",L478,0)</x:f>
        <x:v>0</x:v>
      </x:c>
      <x:c r="T478" s="8" t="n">
        <x:f>DATE(YEAR(C478),MONTH(C478),1)</x:f>
        <x:v>45658</x:v>
      </x:c>
    </x:row>
    <x:row r="479" ht="22" customHeight="1">
      <x:c r="A479" s="2" t="str">
        <x:v>L000475</x:v>
      </x:c>
      <x:c r="B479" s="2" t="str">
        <x:v>O00197</x:v>
      </x:c>
      <x:c r="C479" s="7" t="n">
        <x:v>45671</x:v>
      </x:c>
      <x:c r="D479" s="2" t="str">
        <x:v>Completed</x:v>
      </x:c>
      <x:c r="E479" s="2" t="str">
        <x:v>North</x:v>
      </x:c>
      <x:c r="F479" s="2" t="str">
        <x:v>Store</x:v>
      </x:c>
      <x:c r="G479" s="2" t="str">
        <x:v>Furniture</x:v>
      </x:c>
      <x:c r="H479" s="2" t="str">
        <x:v>Chair 006</x:v>
      </x:c>
      <x:c r="I479" s="11" t="n">
        <x:v>2</x:v>
      </x:c>
      <x:c r="J479" s="9" t="n">
        <x:v>196</x:v>
      </x:c>
      <x:c r="K479" s="10" t="n">
        <x:v>0</x:v>
      </x:c>
      <x:c r="L479" s="11" t="n">
        <x:v>0</x:v>
      </x:c>
      <x:c r="M479" s="9" t="n">
        <x:f>IF(D479="Completed",I479*J479,0)</x:f>
        <x:v>392</x:v>
      </x:c>
      <x:c r="N479" s="9" t="n">
        <x:f>M479*K479</x:f>
        <x:v>0</x:v>
      </x:c>
      <x:c r="O479" s="9" t="n">
        <x:f>M479-N479</x:f>
        <x:v>392</x:v>
      </x:c>
      <x:c r="P479" s="9" t="n">
        <x:f>IF(D479="Completed",L479*J479*(1-K479),0)</x:f>
        <x:v>0</x:v>
      </x:c>
      <x:c r="Q479" s="9" t="n">
        <x:f>O479-P479</x:f>
        <x:v>392</x:v>
      </x:c>
      <x:c r="R479" s="11" t="n">
        <x:f>IF(D479="Completed",I479,0)</x:f>
        <x:v>2</x:v>
      </x:c>
      <x:c r="S479" s="11" t="n">
        <x:f>IF(D479="Completed",L479,0)</x:f>
        <x:v>0</x:v>
      </x:c>
      <x:c r="T479" s="8" t="n">
        <x:f>DATE(YEAR(C479),MONTH(C479),1)</x:f>
        <x:v>45658</x:v>
      </x:c>
    </x:row>
    <x:row r="480" ht="22" customHeight="1">
      <x:c r="A480" s="2" t="str">
        <x:v>L000476</x:v>
      </x:c>
      <x:c r="B480" s="2" t="str">
        <x:v>O00198</x:v>
      </x:c>
      <x:c r="C480" s="7" t="n">
        <x:v>45874</x:v>
      </x:c>
      <x:c r="D480" s="2" t="str">
        <x:v>Completed</x:v>
      </x:c>
      <x:c r="E480" s="2" t="str">
        <x:v>West</x:v>
      </x:c>
      <x:c r="F480" s="2" t="str">
        <x:v>Store</x:v>
      </x:c>
      <x:c r="G480" s="2" t="str">
        <x:v>Furniture</x:v>
      </x:c>
      <x:c r="H480" s="2" t="str">
        <x:v>Chair 002</x:v>
      </x:c>
      <x:c r="I480" s="11" t="n">
        <x:v>2</x:v>
      </x:c>
      <x:c r="J480" s="9" t="n">
        <x:v>284</x:v>
      </x:c>
      <x:c r="K480" s="10" t="n">
        <x:v>0</x:v>
      </x:c>
      <x:c r="L480" s="11" t="n">
        <x:v>0</x:v>
      </x:c>
      <x:c r="M480" s="9" t="n">
        <x:f>IF(D480="Completed",I480*J480,0)</x:f>
        <x:v>568</x:v>
      </x:c>
      <x:c r="N480" s="9" t="n">
        <x:f>M480*K480</x:f>
        <x:v>0</x:v>
      </x:c>
      <x:c r="O480" s="9" t="n">
        <x:f>M480-N480</x:f>
        <x:v>568</x:v>
      </x:c>
      <x:c r="P480" s="9" t="n">
        <x:f>IF(D480="Completed",L480*J480*(1-K480),0)</x:f>
        <x:v>0</x:v>
      </x:c>
      <x:c r="Q480" s="9" t="n">
        <x:f>O480-P480</x:f>
        <x:v>568</x:v>
      </x:c>
      <x:c r="R480" s="11" t="n">
        <x:f>IF(D480="Completed",I480,0)</x:f>
        <x:v>2</x:v>
      </x:c>
      <x:c r="S480" s="11" t="n">
        <x:f>IF(D480="Completed",L480,0)</x:f>
        <x:v>0</x:v>
      </x:c>
      <x:c r="T480" s="8" t="n">
        <x:f>DATE(YEAR(C480),MONTH(C480),1)</x:f>
        <x:v>45870</x:v>
      </x:c>
    </x:row>
    <x:row r="481" ht="22" customHeight="1">
      <x:c r="A481" s="2" t="str">
        <x:v>L000477</x:v>
      </x:c>
      <x:c r="B481" s="2" t="str">
        <x:v>O00199</x:v>
      </x:c>
      <x:c r="C481" s="7" t="n">
        <x:v>45929</x:v>
      </x:c>
      <x:c r="D481" s="2" t="str">
        <x:v>Completed</x:v>
      </x:c>
      <x:c r="E481" s="2" t="str">
        <x:v>East</x:v>
      </x:c>
      <x:c r="F481" s="2" t="str">
        <x:v>Store</x:v>
      </x:c>
      <x:c r="G481" s="2" t="str">
        <x:v>Furniture</x:v>
      </x:c>
      <x:c r="H481" s="2" t="str">
        <x:v>Chair 002</x:v>
      </x:c>
      <x:c r="I481" s="11" t="n">
        <x:v>4</x:v>
      </x:c>
      <x:c r="J481" s="9" t="n">
        <x:v>284</x:v>
      </x:c>
      <x:c r="K481" s="10" t="n">
        <x:v>0.05</x:v>
      </x:c>
      <x:c r="L481" s="11" t="n">
        <x:v>0</x:v>
      </x:c>
      <x:c r="M481" s="9" t="n">
        <x:f>IF(D481="Completed",I481*J481,0)</x:f>
        <x:v>1136</x:v>
      </x:c>
      <x:c r="N481" s="9" t="n">
        <x:f>M481*K481</x:f>
        <x:v>56.800000000000004</x:v>
      </x:c>
      <x:c r="O481" s="9" t="n">
        <x:f>M481-N481</x:f>
        <x:v>1079.2</x:v>
      </x:c>
      <x:c r="P481" s="9" t="n">
        <x:f>IF(D481="Completed",L481*J481*(1-K481),0)</x:f>
        <x:v>0</x:v>
      </x:c>
      <x:c r="Q481" s="9" t="n">
        <x:f>O481-P481</x:f>
        <x:v>1079.2</x:v>
      </x:c>
      <x:c r="R481" s="11" t="n">
        <x:f>IF(D481="Completed",I481,0)</x:f>
        <x:v>4</x:v>
      </x:c>
      <x:c r="S481" s="11" t="n">
        <x:f>IF(D481="Completed",L481,0)</x:f>
        <x:v>0</x:v>
      </x:c>
      <x:c r="T481" s="8" t="n">
        <x:f>DATE(YEAR(C481),MONTH(C481),1)</x:f>
        <x:v>45901</x:v>
      </x:c>
    </x:row>
    <x:row r="482" ht="22" customHeight="1">
      <x:c r="A482" s="2" t="str">
        <x:v>L000478</x:v>
      </x:c>
      <x:c r="B482" s="2" t="str">
        <x:v>O00199</x:v>
      </x:c>
      <x:c r="C482" s="7" t="n">
        <x:v>45929</x:v>
      </x:c>
      <x:c r="D482" s="2" t="str">
        <x:v>Completed</x:v>
      </x:c>
      <x:c r="E482" s="2" t="str">
        <x:v>East</x:v>
      </x:c>
      <x:c r="F482" s="2" t="str">
        <x:v>Store</x:v>
      </x:c>
      <x:c r="G482" s="2" t="str">
        <x:v>Furniture</x:v>
      </x:c>
      <x:c r="H482" s="2" t="str">
        <x:v>Chair 002</x:v>
      </x:c>
      <x:c r="I482" s="11" t="n">
        <x:v>3</x:v>
      </x:c>
      <x:c r="J482" s="9" t="n">
        <x:v>284</x:v>
      </x:c>
      <x:c r="K482" s="10" t="n">
        <x:v>0.2</x:v>
      </x:c>
      <x:c r="L482" s="11" t="n">
        <x:v>0</x:v>
      </x:c>
      <x:c r="M482" s="9" t="n">
        <x:f>IF(D482="Completed",I482*J482,0)</x:f>
        <x:v>852</x:v>
      </x:c>
      <x:c r="N482" s="9" t="n">
        <x:f>M482*K482</x:f>
        <x:v>170.4</x:v>
      </x:c>
      <x:c r="O482" s="9" t="n">
        <x:f>M482-N482</x:f>
        <x:v>681.6</x:v>
      </x:c>
      <x:c r="P482" s="9" t="n">
        <x:f>IF(D482="Completed",L482*J482*(1-K482),0)</x:f>
        <x:v>0</x:v>
      </x:c>
      <x:c r="Q482" s="9" t="n">
        <x:f>O482-P482</x:f>
        <x:v>681.6</x:v>
      </x:c>
      <x:c r="R482" s="11" t="n">
        <x:f>IF(D482="Completed",I482,0)</x:f>
        <x:v>3</x:v>
      </x:c>
      <x:c r="S482" s="11" t="n">
        <x:f>IF(D482="Completed",L482,0)</x:f>
        <x:v>0</x:v>
      </x:c>
      <x:c r="T482" s="8" t="n">
        <x:f>DATE(YEAR(C482),MONTH(C482),1)</x:f>
        <x:v>45901</x:v>
      </x:c>
    </x:row>
    <x:row r="483" ht="22" customHeight="1">
      <x:c r="A483" s="2" t="str">
        <x:v>L000479</x:v>
      </x:c>
      <x:c r="B483" s="2" t="str">
        <x:v>O00199</x:v>
      </x:c>
      <x:c r="C483" s="7" t="n">
        <x:v>45929</x:v>
      </x:c>
      <x:c r="D483" s="2" t="str">
        <x:v>Completed</x:v>
      </x:c>
      <x:c r="E483" s="2" t="str">
        <x:v>East</x:v>
      </x:c>
      <x:c r="F483" s="2" t="str">
        <x:v>Store</x:v>
      </x:c>
      <x:c r="G483" s="2" t="str">
        <x:v>Lighting</x:v>
      </x:c>
      <x:c r="H483" s="2" t="str">
        <x:v>Lamp 021</x:v>
      </x:c>
      <x:c r="I483" s="11" t="n">
        <x:v>4</x:v>
      </x:c>
      <x:c r="J483" s="9" t="n">
        <x:v>249</x:v>
      </x:c>
      <x:c r="K483" s="10" t="n">
        <x:v>0.05</x:v>
      </x:c>
      <x:c r="L483" s="11" t="n">
        <x:v>0</x:v>
      </x:c>
      <x:c r="M483" s="9" t="n">
        <x:f>IF(D483="Completed",I483*J483,0)</x:f>
        <x:v>996</x:v>
      </x:c>
      <x:c r="N483" s="9" t="n">
        <x:f>M483*K483</x:f>
        <x:v>49.800000000000004</x:v>
      </x:c>
      <x:c r="O483" s="9" t="n">
        <x:f>M483-N483</x:f>
        <x:v>946.2</x:v>
      </x:c>
      <x:c r="P483" s="9" t="n">
        <x:f>IF(D483="Completed",L483*J483*(1-K483),0)</x:f>
        <x:v>0</x:v>
      </x:c>
      <x:c r="Q483" s="9" t="n">
        <x:f>O483-P483</x:f>
        <x:v>946.2</x:v>
      </x:c>
      <x:c r="R483" s="11" t="n">
        <x:f>IF(D483="Completed",I483,0)</x:f>
        <x:v>4</x:v>
      </x:c>
      <x:c r="S483" s="11" t="n">
        <x:f>IF(D483="Completed",L483,0)</x:f>
        <x:v>0</x:v>
      </x:c>
      <x:c r="T483" s="8" t="n">
        <x:f>DATE(YEAR(C483),MONTH(C483),1)</x:f>
        <x:v>45901</x:v>
      </x:c>
    </x:row>
    <x:row r="484" ht="22" customHeight="1">
      <x:c r="A484" s="2" t="str">
        <x:v>L000480</x:v>
      </x:c>
      <x:c r="B484" s="2" t="str">
        <x:v>O00200</x:v>
      </x:c>
      <x:c r="C484" s="7" t="n">
        <x:v>45748</x:v>
      </x:c>
      <x:c r="D484" s="2" t="str">
        <x:v>Completed</x:v>
      </x:c>
      <x:c r="E484" s="2" t="str">
        <x:v>East</x:v>
      </x:c>
      <x:c r="F484" s="2" t="str">
        <x:v>Online</x:v>
      </x:c>
      <x:c r="G484" s="2" t="str">
        <x:v>Lighting</x:v>
      </x:c>
      <x:c r="H484" s="2" t="str">
        <x:v>Lamp 013</x:v>
      </x:c>
      <x:c r="I484" s="11" t="n">
        <x:v>4</x:v>
      </x:c>
      <x:c r="J484" s="9" t="n">
        <x:v>271</x:v>
      </x:c>
      <x:c r="K484" s="10" t="n">
        <x:v>0</x:v>
      </x:c>
      <x:c r="L484" s="11" t="n">
        <x:v>0</x:v>
      </x:c>
      <x:c r="M484" s="9" t="n">
        <x:f>IF(D484="Completed",I484*J484,0)</x:f>
        <x:v>1084</x:v>
      </x:c>
      <x:c r="N484" s="9" t="n">
        <x:f>M484*K484</x:f>
        <x:v>0</x:v>
      </x:c>
      <x:c r="O484" s="9" t="n">
        <x:f>M484-N484</x:f>
        <x:v>1084</x:v>
      </x:c>
      <x:c r="P484" s="9" t="n">
        <x:f>IF(D484="Completed",L484*J484*(1-K484),0)</x:f>
        <x:v>0</x:v>
      </x:c>
      <x:c r="Q484" s="9" t="n">
        <x:f>O484-P484</x:f>
        <x:v>1084</x:v>
      </x:c>
      <x:c r="R484" s="11" t="n">
        <x:f>IF(D484="Completed",I484,0)</x:f>
        <x:v>4</x:v>
      </x:c>
      <x:c r="S484" s="11" t="n">
        <x:f>IF(D484="Completed",L484,0)</x:f>
        <x:v>0</x:v>
      </x:c>
      <x:c r="T484" s="8" t="n">
        <x:f>DATE(YEAR(C484),MONTH(C484),1)</x:f>
        <x:v>45748</x:v>
      </x:c>
    </x:row>
    <x:row r="485" ht="22" customHeight="1">
      <x:c r="A485" s="2" t="str">
        <x:v>L000481</x:v>
      </x:c>
      <x:c r="B485" s="2" t="str">
        <x:v>O00200</x:v>
      </x:c>
      <x:c r="C485" s="7" t="n">
        <x:v>45748</x:v>
      </x:c>
      <x:c r="D485" s="2" t="str">
        <x:v>Completed</x:v>
      </x:c>
      <x:c r="E485" s="2" t="str">
        <x:v>East</x:v>
      </x:c>
      <x:c r="F485" s="2" t="str">
        <x:v>Online</x:v>
      </x:c>
      <x:c r="G485" s="2" t="str">
        <x:v>Furniture</x:v>
      </x:c>
      <x:c r="H485" s="2" t="str">
        <x:v>Desk 012</x:v>
      </x:c>
      <x:c r="I485" s="11" t="n">
        <x:v>5</x:v>
      </x:c>
      <x:c r="J485" s="9" t="n">
        <x:v>134</x:v>
      </x:c>
      <x:c r="K485" s="10" t="n">
        <x:v>0.05</x:v>
      </x:c>
      <x:c r="L485" s="11" t="n">
        <x:v>0</x:v>
      </x:c>
      <x:c r="M485" s="9" t="n">
        <x:f>IF(D485="Completed",I485*J485,0)</x:f>
        <x:v>670</x:v>
      </x:c>
      <x:c r="N485" s="9" t="n">
        <x:f>M485*K485</x:f>
        <x:v>33.5</x:v>
      </x:c>
      <x:c r="O485" s="9" t="n">
        <x:f>M485-N485</x:f>
        <x:v>636.5</x:v>
      </x:c>
      <x:c r="P485" s="9" t="n">
        <x:f>IF(D485="Completed",L485*J485*(1-K485),0)</x:f>
        <x:v>0</x:v>
      </x:c>
      <x:c r="Q485" s="9" t="n">
        <x:f>O485-P485</x:f>
        <x:v>636.5</x:v>
      </x:c>
      <x:c r="R485" s="11" t="n">
        <x:f>IF(D485="Completed",I485,0)</x:f>
        <x:v>5</x:v>
      </x:c>
      <x:c r="S485" s="11" t="n">
        <x:f>IF(D485="Completed",L485,0)</x:f>
        <x:v>0</x:v>
      </x:c>
      <x:c r="T485" s="8" t="n">
        <x:f>DATE(YEAR(C485),MONTH(C485),1)</x:f>
        <x:v>45748</x:v>
      </x:c>
    </x:row>
    <x:row r="486" ht="22" customHeight="1">
      <x:c r="A486" s="2" t="str">
        <x:v>L000482</x:v>
      </x:c>
      <x:c r="B486" s="2" t="str">
        <x:v>O00201</x:v>
      </x:c>
      <x:c r="C486" s="7" t="n">
        <x:v>45905</x:v>
      </x:c>
      <x:c r="D486" s="2" t="str">
        <x:v>Completed</x:v>
      </x:c>
      <x:c r="E486" s="2" t="str">
        <x:v>North</x:v>
      </x:c>
      <x:c r="F486" s="2" t="str">
        <x:v>Store</x:v>
      </x:c>
      <x:c r="G486" s="2" t="str">
        <x:v>Furniture</x:v>
      </x:c>
      <x:c r="H486" s="2" t="str">
        <x:v>Desk 012</x:v>
      </x:c>
      <x:c r="I486" s="11" t="n">
        <x:v>5</x:v>
      </x:c>
      <x:c r="J486" s="9" t="n">
        <x:v>134</x:v>
      </x:c>
      <x:c r="K486" s="10" t="n">
        <x:v>0.1</x:v>
      </x:c>
      <x:c r="L486" s="11" t="n">
        <x:v>0</x:v>
      </x:c>
      <x:c r="M486" s="9" t="n">
        <x:f>IF(D486="Completed",I486*J486,0)</x:f>
        <x:v>670</x:v>
      </x:c>
      <x:c r="N486" s="9" t="n">
        <x:f>M486*K486</x:f>
        <x:v>67</x:v>
      </x:c>
      <x:c r="O486" s="9" t="n">
        <x:f>M486-N486</x:f>
        <x:v>603</x:v>
      </x:c>
      <x:c r="P486" s="9" t="n">
        <x:f>IF(D486="Completed",L486*J486*(1-K486),0)</x:f>
        <x:v>0</x:v>
      </x:c>
      <x:c r="Q486" s="9" t="n">
        <x:f>O486-P486</x:f>
        <x:v>603</x:v>
      </x:c>
      <x:c r="R486" s="11" t="n">
        <x:f>IF(D486="Completed",I486,0)</x:f>
        <x:v>5</x:v>
      </x:c>
      <x:c r="S486" s="11" t="n">
        <x:f>IF(D486="Completed",L486,0)</x:f>
        <x:v>0</x:v>
      </x:c>
      <x:c r="T486" s="8" t="n">
        <x:f>DATE(YEAR(C486),MONTH(C486),1)</x:f>
        <x:v>45901</x:v>
      </x:c>
    </x:row>
    <x:row r="487" ht="22" customHeight="1">
      <x:c r="A487" s="2" t="str">
        <x:v>L000483</x:v>
      </x:c>
      <x:c r="B487" s="2" t="str">
        <x:v>O00201</x:v>
      </x:c>
      <x:c r="C487" s="7" t="n">
        <x:v>45905</x:v>
      </x:c>
      <x:c r="D487" s="2" t="str">
        <x:v>Completed</x:v>
      </x:c>
      <x:c r="E487" s="2" t="str">
        <x:v>North</x:v>
      </x:c>
      <x:c r="F487" s="2" t="str">
        <x:v>Store</x:v>
      </x:c>
      <x:c r="G487" s="2" t="str">
        <x:v>Furniture</x:v>
      </x:c>
      <x:c r="H487" s="2" t="str">
        <x:v>Desk 024</x:v>
      </x:c>
      <x:c r="I487" s="11" t="n">
        <x:v>4</x:v>
      </x:c>
      <x:c r="J487" s="9" t="n">
        <x:v>81</x:v>
      </x:c>
      <x:c r="K487" s="10" t="n">
        <x:v>0.1</x:v>
      </x:c>
      <x:c r="L487" s="11" t="n">
        <x:v>2</x:v>
      </x:c>
      <x:c r="M487" s="9" t="n">
        <x:f>IF(D487="Completed",I487*J487,0)</x:f>
        <x:v>324</x:v>
      </x:c>
      <x:c r="N487" s="9" t="n">
        <x:f>M487*K487</x:f>
        <x:v>32.4</x:v>
      </x:c>
      <x:c r="O487" s="9" t="n">
        <x:f>M487-N487</x:f>
        <x:v>291.6</x:v>
      </x:c>
      <x:c r="P487" s="9" t="n">
        <x:f>IF(D487="Completed",L487*J487*(1-K487),0)</x:f>
        <x:v>145.8</x:v>
      </x:c>
      <x:c r="Q487" s="9" t="n">
        <x:f>O487-P487</x:f>
        <x:v>145.8</x:v>
      </x:c>
      <x:c r="R487" s="11" t="n">
        <x:f>IF(D487="Completed",I487,0)</x:f>
        <x:v>4</x:v>
      </x:c>
      <x:c r="S487" s="11" t="n">
        <x:f>IF(D487="Completed",L487,0)</x:f>
        <x:v>2</x:v>
      </x:c>
      <x:c r="T487" s="8" t="n">
        <x:f>DATE(YEAR(C487),MONTH(C487),1)</x:f>
        <x:v>45901</x:v>
      </x:c>
    </x:row>
    <x:row r="488" ht="22" customHeight="1">
      <x:c r="A488" s="2" t="str">
        <x:v>L000484</x:v>
      </x:c>
      <x:c r="B488" s="2" t="str">
        <x:v>O00201</x:v>
      </x:c>
      <x:c r="C488" s="7" t="n">
        <x:v>45905</x:v>
      </x:c>
      <x:c r="D488" s="2" t="str">
        <x:v>Completed</x:v>
      </x:c>
      <x:c r="E488" s="2" t="str">
        <x:v>North</x:v>
      </x:c>
      <x:c r="F488" s="2" t="str">
        <x:v>Store</x:v>
      </x:c>
      <x:c r="G488" s="2" t="str">
        <x:v>Storage</x:v>
      </x:c>
      <x:c r="H488" s="2" t="str">
        <x:v>Shelf 011</x:v>
      </x:c>
      <x:c r="I488" s="11" t="n">
        <x:v>2</x:v>
      </x:c>
      <x:c r="J488" s="9" t="n">
        <x:v>80</x:v>
      </x:c>
      <x:c r="K488" s="10" t="n">
        <x:v>0.2</x:v>
      </x:c>
      <x:c r="L488" s="11" t="n">
        <x:v>0</x:v>
      </x:c>
      <x:c r="M488" s="9" t="n">
        <x:f>IF(D488="Completed",I488*J488,0)</x:f>
        <x:v>160</x:v>
      </x:c>
      <x:c r="N488" s="9" t="n">
        <x:f>M488*K488</x:f>
        <x:v>32</x:v>
      </x:c>
      <x:c r="O488" s="9" t="n">
        <x:f>M488-N488</x:f>
        <x:v>128</x:v>
      </x:c>
      <x:c r="P488" s="9" t="n">
        <x:f>IF(D488="Completed",L488*J488*(1-K488),0)</x:f>
        <x:v>0</x:v>
      </x:c>
      <x:c r="Q488" s="9" t="n">
        <x:f>O488-P488</x:f>
        <x:v>128</x:v>
      </x:c>
      <x:c r="R488" s="11" t="n">
        <x:f>IF(D488="Completed",I488,0)</x:f>
        <x:v>2</x:v>
      </x:c>
      <x:c r="S488" s="11" t="n">
        <x:f>IF(D488="Completed",L488,0)</x:f>
        <x:v>0</x:v>
      </x:c>
      <x:c r="T488" s="8" t="n">
        <x:f>DATE(YEAR(C488),MONTH(C488),1)</x:f>
        <x:v>45901</x:v>
      </x:c>
    </x:row>
    <x:row r="489" ht="22" customHeight="1">
      <x:c r="A489" s="2" t="str">
        <x:v>L000485</x:v>
      </x:c>
      <x:c r="B489" s="2" t="str">
        <x:v>O00201</x:v>
      </x:c>
      <x:c r="C489" s="7" t="n">
        <x:v>45905</x:v>
      </x:c>
      <x:c r="D489" s="2" t="str">
        <x:v>Completed</x:v>
      </x:c>
      <x:c r="E489" s="2" t="str">
        <x:v>North</x:v>
      </x:c>
      <x:c r="F489" s="2" t="str">
        <x:v>Store</x:v>
      </x:c>
      <x:c r="G489" s="2" t="str">
        <x:v>Furniture</x:v>
      </x:c>
      <x:c r="H489" s="2" t="str">
        <x:v>Chair 018</x:v>
      </x:c>
      <x:c r="I489" s="11" t="n">
        <x:v>5</x:v>
      </x:c>
      <x:c r="J489" s="9" t="n">
        <x:v>269</x:v>
      </x:c>
      <x:c r="K489" s="10" t="n">
        <x:v>0</x:v>
      </x:c>
      <x:c r="L489" s="11" t="n">
        <x:v>0</x:v>
      </x:c>
      <x:c r="M489" s="9" t="n">
        <x:f>IF(D489="Completed",I489*J489,0)</x:f>
        <x:v>1345</x:v>
      </x:c>
      <x:c r="N489" s="9" t="n">
        <x:f>M489*K489</x:f>
        <x:v>0</x:v>
      </x:c>
      <x:c r="O489" s="9" t="n">
        <x:f>M489-N489</x:f>
        <x:v>1345</x:v>
      </x:c>
      <x:c r="P489" s="9" t="n">
        <x:f>IF(D489="Completed",L489*J489*(1-K489),0)</x:f>
        <x:v>0</x:v>
      </x:c>
      <x:c r="Q489" s="9" t="n">
        <x:f>O489-P489</x:f>
        <x:v>1345</x:v>
      </x:c>
      <x:c r="R489" s="11" t="n">
        <x:f>IF(D489="Completed",I489,0)</x:f>
        <x:v>5</x:v>
      </x:c>
      <x:c r="S489" s="11" t="n">
        <x:f>IF(D489="Completed",L489,0)</x:f>
        <x:v>0</x:v>
      </x:c>
      <x:c r="T489" s="8" t="n">
        <x:f>DATE(YEAR(C489),MONTH(C489),1)</x:f>
        <x:v>45901</x:v>
      </x:c>
    </x:row>
    <x:row r="490" ht="22" customHeight="1">
      <x:c r="A490" s="2" t="str">
        <x:v>L000486</x:v>
      </x:c>
      <x:c r="B490" s="2" t="str">
        <x:v>O00202</x:v>
      </x:c>
      <x:c r="C490" s="7" t="n">
        <x:v>45903</x:v>
      </x:c>
      <x:c r="D490" s="2" t="str">
        <x:v>Completed</x:v>
      </x:c>
      <x:c r="E490" s="2" t="str">
        <x:v>North</x:v>
      </x:c>
      <x:c r="F490" s="2" t="str">
        <x:v>Online</x:v>
      </x:c>
      <x:c r="G490" s="2" t="str">
        <x:v>Furniture</x:v>
      </x:c>
      <x:c r="H490" s="2" t="str">
        <x:v>Desk 024</x:v>
      </x:c>
      <x:c r="I490" s="11" t="n">
        <x:v>3</x:v>
      </x:c>
      <x:c r="J490" s="9" t="n">
        <x:v>81</x:v>
      </x:c>
      <x:c r="K490" s="10" t="n">
        <x:v>0.1</x:v>
      </x:c>
      <x:c r="L490" s="11" t="n">
        <x:v>0</x:v>
      </x:c>
      <x:c r="M490" s="9" t="n">
        <x:f>IF(D490="Completed",I490*J490,0)</x:f>
        <x:v>243</x:v>
      </x:c>
      <x:c r="N490" s="9" t="n">
        <x:f>M490*K490</x:f>
        <x:v>24.3</x:v>
      </x:c>
      <x:c r="O490" s="9" t="n">
        <x:f>M490-N490</x:f>
        <x:v>218.7</x:v>
      </x:c>
      <x:c r="P490" s="9" t="n">
        <x:f>IF(D490="Completed",L490*J490*(1-K490),0)</x:f>
        <x:v>0</x:v>
      </x:c>
      <x:c r="Q490" s="9" t="n">
        <x:f>O490-P490</x:f>
        <x:v>218.7</x:v>
      </x:c>
      <x:c r="R490" s="11" t="n">
        <x:f>IF(D490="Completed",I490,0)</x:f>
        <x:v>3</x:v>
      </x:c>
      <x:c r="S490" s="11" t="n">
        <x:f>IF(D490="Completed",L490,0)</x:f>
        <x:v>0</x:v>
      </x:c>
      <x:c r="T490" s="8" t="n">
        <x:f>DATE(YEAR(C490),MONTH(C490),1)</x:f>
        <x:v>45901</x:v>
      </x:c>
    </x:row>
    <x:row r="491" ht="22" customHeight="1">
      <x:c r="A491" s="2" t="str">
        <x:v>L000487</x:v>
      </x:c>
      <x:c r="B491" s="2" t="str">
        <x:v>O00203</x:v>
      </x:c>
      <x:c r="C491" s="7" t="n">
        <x:v>45961</x:v>
      </x:c>
      <x:c r="D491" s="2" t="str">
        <x:v>Completed</x:v>
      </x:c>
      <x:c r="E491" s="2" t="str">
        <x:v>North</x:v>
      </x:c>
      <x:c r="F491" s="2" t="str">
        <x:v>Store</x:v>
      </x:c>
      <x:c r="G491" s="2" t="str">
        <x:v>Storage</x:v>
      </x:c>
      <x:c r="H491" s="2" t="str">
        <x:v>Shelf 011</x:v>
      </x:c>
      <x:c r="I491" s="11" t="n">
        <x:v>4</x:v>
      </x:c>
      <x:c r="J491" s="9" t="n">
        <x:v>80</x:v>
      </x:c>
      <x:c r="K491" s="10" t="n">
        <x:v>0.1</x:v>
      </x:c>
      <x:c r="L491" s="11" t="n">
        <x:v>0</x:v>
      </x:c>
      <x:c r="M491" s="9" t="n">
        <x:f>IF(D491="Completed",I491*J491,0)</x:f>
        <x:v>320</x:v>
      </x:c>
      <x:c r="N491" s="9" t="n">
        <x:f>M491*K491</x:f>
        <x:v>32</x:v>
      </x:c>
      <x:c r="O491" s="9" t="n">
        <x:f>M491-N491</x:f>
        <x:v>288</x:v>
      </x:c>
      <x:c r="P491" s="9" t="n">
        <x:f>IF(D491="Completed",L491*J491*(1-K491),0)</x:f>
        <x:v>0</x:v>
      </x:c>
      <x:c r="Q491" s="9" t="n">
        <x:f>O491-P491</x:f>
        <x:v>288</x:v>
      </x:c>
      <x:c r="R491" s="11" t="n">
        <x:f>IF(D491="Completed",I491,0)</x:f>
        <x:v>4</x:v>
      </x:c>
      <x:c r="S491" s="11" t="n">
        <x:f>IF(D491="Completed",L491,0)</x:f>
        <x:v>0</x:v>
      </x:c>
      <x:c r="T491" s="8" t="n">
        <x:f>DATE(YEAR(C491),MONTH(C491),1)</x:f>
        <x:v>45931</x:v>
      </x:c>
    </x:row>
    <x:row r="492" ht="22" customHeight="1">
      <x:c r="A492" s="2" t="str">
        <x:v>L000488</x:v>
      </x:c>
      <x:c r="B492" s="2" t="str">
        <x:v>O00203</x:v>
      </x:c>
      <x:c r="C492" s="7" t="n">
        <x:v>45961</x:v>
      </x:c>
      <x:c r="D492" s="2" t="str">
        <x:v>Completed</x:v>
      </x:c>
      <x:c r="E492" s="2" t="str">
        <x:v>North</x:v>
      </x:c>
      <x:c r="F492" s="2" t="str">
        <x:v>Store</x:v>
      </x:c>
      <x:c r="G492" s="2" t="str">
        <x:v>Lighting</x:v>
      </x:c>
      <x:c r="H492" s="2" t="str">
        <x:v>Lamp 001</x:v>
      </x:c>
      <x:c r="I492" s="11" t="n">
        <x:v>4</x:v>
      </x:c>
      <x:c r="J492" s="9" t="n">
        <x:v>122</x:v>
      </x:c>
      <x:c r="K492" s="10" t="n">
        <x:v>0.2</x:v>
      </x:c>
      <x:c r="L492" s="11" t="n">
        <x:v>0</x:v>
      </x:c>
      <x:c r="M492" s="9" t="n">
        <x:f>IF(D492="Completed",I492*J492,0)</x:f>
        <x:v>488</x:v>
      </x:c>
      <x:c r="N492" s="9" t="n">
        <x:f>M492*K492</x:f>
        <x:v>97.60000000000001</x:v>
      </x:c>
      <x:c r="O492" s="9" t="n">
        <x:f>M492-N492</x:f>
        <x:v>390.4</x:v>
      </x:c>
      <x:c r="P492" s="9" t="n">
        <x:f>IF(D492="Completed",L492*J492*(1-K492),0)</x:f>
        <x:v>0</x:v>
      </x:c>
      <x:c r="Q492" s="9" t="n">
        <x:f>O492-P492</x:f>
        <x:v>390.4</x:v>
      </x:c>
      <x:c r="R492" s="11" t="n">
        <x:f>IF(D492="Completed",I492,0)</x:f>
        <x:v>4</x:v>
      </x:c>
      <x:c r="S492" s="11" t="n">
        <x:f>IF(D492="Completed",L492,0)</x:f>
        <x:v>0</x:v>
      </x:c>
      <x:c r="T492" s="8" t="n">
        <x:f>DATE(YEAR(C492),MONTH(C492),1)</x:f>
        <x:v>45931</x:v>
      </x:c>
    </x:row>
    <x:row r="493" ht="22" customHeight="1">
      <x:c r="A493" s="2" t="str">
        <x:v>L000489</x:v>
      </x:c>
      <x:c r="B493" s="2" t="str">
        <x:v>O00204</x:v>
      </x:c>
      <x:c r="C493" s="7" t="n">
        <x:v>45988</x:v>
      </x:c>
      <x:c r="D493" s="2" t="str">
        <x:v>Completed</x:v>
      </x:c>
      <x:c r="E493" s="2" t="str">
        <x:v>East</x:v>
      </x:c>
      <x:c r="F493" s="2" t="str">
        <x:v>Store</x:v>
      </x:c>
      <x:c r="G493" s="2" t="str">
        <x:v>Lighting</x:v>
      </x:c>
      <x:c r="H493" s="2" t="str">
        <x:v>Lamp 021</x:v>
      </x:c>
      <x:c r="I493" s="11" t="n">
        <x:v>4</x:v>
      </x:c>
      <x:c r="J493" s="9" t="n">
        <x:v>249</x:v>
      </x:c>
      <x:c r="K493" s="10" t="n">
        <x:v>0</x:v>
      </x:c>
      <x:c r="L493" s="11" t="n">
        <x:v>0</x:v>
      </x:c>
      <x:c r="M493" s="9" t="n">
        <x:f>IF(D493="Completed",I493*J493,0)</x:f>
        <x:v>996</x:v>
      </x:c>
      <x:c r="N493" s="9" t="n">
        <x:f>M493*K493</x:f>
        <x:v>0</x:v>
      </x:c>
      <x:c r="O493" s="9" t="n">
        <x:f>M493-N493</x:f>
        <x:v>996</x:v>
      </x:c>
      <x:c r="P493" s="9" t="n">
        <x:f>IF(D493="Completed",L493*J493*(1-K493),0)</x:f>
        <x:v>0</x:v>
      </x:c>
      <x:c r="Q493" s="9" t="n">
        <x:f>O493-P493</x:f>
        <x:v>996</x:v>
      </x:c>
      <x:c r="R493" s="11" t="n">
        <x:f>IF(D493="Completed",I493,0)</x:f>
        <x:v>4</x:v>
      </x:c>
      <x:c r="S493" s="11" t="n">
        <x:f>IF(D493="Completed",L493,0)</x:f>
        <x:v>0</x:v>
      </x:c>
      <x:c r="T493" s="8" t="n">
        <x:f>DATE(YEAR(C493),MONTH(C493),1)</x:f>
        <x:v>45962</x:v>
      </x:c>
    </x:row>
    <x:row r="494" ht="22" customHeight="1">
      <x:c r="A494" s="2" t="str">
        <x:v>L000490</x:v>
      </x:c>
      <x:c r="B494" s="2" t="str">
        <x:v>O00205</x:v>
      </x:c>
      <x:c r="C494" s="7" t="n">
        <x:v>45761</x:v>
      </x:c>
      <x:c r="D494" s="2" t="str">
        <x:v>Completed</x:v>
      </x:c>
      <x:c r="E494" s="2" t="str">
        <x:v>East</x:v>
      </x:c>
      <x:c r="F494" s="2" t="str">
        <x:v>Store</x:v>
      </x:c>
      <x:c r="G494" s="2" t="str">
        <x:v>Furniture</x:v>
      </x:c>
      <x:c r="H494" s="2" t="str">
        <x:v>Chair 002</x:v>
      </x:c>
      <x:c r="I494" s="11" t="n">
        <x:v>2</x:v>
      </x:c>
      <x:c r="J494" s="9" t="n">
        <x:v>284</x:v>
      </x:c>
      <x:c r="K494" s="10" t="n">
        <x:v>0.2</x:v>
      </x:c>
      <x:c r="L494" s="11" t="n">
        <x:v>0</x:v>
      </x:c>
      <x:c r="M494" s="9" t="n">
        <x:f>IF(D494="Completed",I494*J494,0)</x:f>
        <x:v>568</x:v>
      </x:c>
      <x:c r="N494" s="9" t="n">
        <x:f>M494*K494</x:f>
        <x:v>113.60000000000001</x:v>
      </x:c>
      <x:c r="O494" s="9" t="n">
        <x:f>M494-N494</x:f>
        <x:v>454.4</x:v>
      </x:c>
      <x:c r="P494" s="9" t="n">
        <x:f>IF(D494="Completed",L494*J494*(1-K494),0)</x:f>
        <x:v>0</x:v>
      </x:c>
      <x:c r="Q494" s="9" t="n">
        <x:f>O494-P494</x:f>
        <x:v>454.4</x:v>
      </x:c>
      <x:c r="R494" s="11" t="n">
        <x:f>IF(D494="Completed",I494,0)</x:f>
        <x:v>2</x:v>
      </x:c>
      <x:c r="S494" s="11" t="n">
        <x:f>IF(D494="Completed",L494,0)</x:f>
        <x:v>0</x:v>
      </x:c>
      <x:c r="T494" s="8" t="n">
        <x:f>DATE(YEAR(C494),MONTH(C494),1)</x:f>
        <x:v>45748</x:v>
      </x:c>
    </x:row>
    <x:row r="495" ht="22" customHeight="1">
      <x:c r="A495" s="2" t="str">
        <x:v>L000491</x:v>
      </x:c>
      <x:c r="B495" s="2" t="str">
        <x:v>O00205</x:v>
      </x:c>
      <x:c r="C495" s="7" t="n">
        <x:v>45761</x:v>
      </x:c>
      <x:c r="D495" s="2" t="str">
        <x:v>Completed</x:v>
      </x:c>
      <x:c r="E495" s="2" t="str">
        <x:v>East</x:v>
      </x:c>
      <x:c r="F495" s="2" t="str">
        <x:v>Store</x:v>
      </x:c>
      <x:c r="G495" s="2" t="str">
        <x:v>Storage</x:v>
      </x:c>
      <x:c r="H495" s="2" t="str">
        <x:v>Shelf 011</x:v>
      </x:c>
      <x:c r="I495" s="11" t="n">
        <x:v>4</x:v>
      </x:c>
      <x:c r="J495" s="9" t="n">
        <x:v>80</x:v>
      </x:c>
      <x:c r="K495" s="10" t="n">
        <x:v>0.2</x:v>
      </x:c>
      <x:c r="L495" s="11" t="n">
        <x:v>0</x:v>
      </x:c>
      <x:c r="M495" s="9" t="n">
        <x:f>IF(D495="Completed",I495*J495,0)</x:f>
        <x:v>320</x:v>
      </x:c>
      <x:c r="N495" s="9" t="n">
        <x:f>M495*K495</x:f>
        <x:v>64</x:v>
      </x:c>
      <x:c r="O495" s="9" t="n">
        <x:f>M495-N495</x:f>
        <x:v>256</x:v>
      </x:c>
      <x:c r="P495" s="9" t="n">
        <x:f>IF(D495="Completed",L495*J495*(1-K495),0)</x:f>
        <x:v>0</x:v>
      </x:c>
      <x:c r="Q495" s="9" t="n">
        <x:f>O495-P495</x:f>
        <x:v>256</x:v>
      </x:c>
      <x:c r="R495" s="11" t="n">
        <x:f>IF(D495="Completed",I495,0)</x:f>
        <x:v>4</x:v>
      </x:c>
      <x:c r="S495" s="11" t="n">
        <x:f>IF(D495="Completed",L495,0)</x:f>
        <x:v>0</x:v>
      </x:c>
      <x:c r="T495" s="8" t="n">
        <x:f>DATE(YEAR(C495),MONTH(C495),1)</x:f>
        <x:v>45748</x:v>
      </x:c>
    </x:row>
    <x:row r="496" ht="22" customHeight="1">
      <x:c r="A496" s="2" t="str">
        <x:v>L000492</x:v>
      </x:c>
      <x:c r="B496" s="2" t="str">
        <x:v>O00205</x:v>
      </x:c>
      <x:c r="C496" s="7" t="n">
        <x:v>45761</x:v>
      </x:c>
      <x:c r="D496" s="2" t="str">
        <x:v>Completed</x:v>
      </x:c>
      <x:c r="E496" s="2" t="str">
        <x:v>East</x:v>
      </x:c>
      <x:c r="F496" s="2" t="str">
        <x:v>Store</x:v>
      </x:c>
      <x:c r="G496" s="2" t="str">
        <x:v>Furniture</x:v>
      </x:c>
      <x:c r="H496" s="2" t="str">
        <x:v>Chair 010</x:v>
      </x:c>
      <x:c r="I496" s="11" t="n">
        <x:v>2</x:v>
      </x:c>
      <x:c r="J496" s="9" t="n">
        <x:v>211</x:v>
      </x:c>
      <x:c r="K496" s="10" t="n">
        <x:v>0.1</x:v>
      </x:c>
      <x:c r="L496" s="11" t="n">
        <x:v>0</x:v>
      </x:c>
      <x:c r="M496" s="9" t="n">
        <x:f>IF(D496="Completed",I496*J496,0)</x:f>
        <x:v>422</x:v>
      </x:c>
      <x:c r="N496" s="9" t="n">
        <x:f>M496*K496</x:f>
        <x:v>42.2</x:v>
      </x:c>
      <x:c r="O496" s="9" t="n">
        <x:f>M496-N496</x:f>
        <x:v>379.8</x:v>
      </x:c>
      <x:c r="P496" s="9" t="n">
        <x:f>IF(D496="Completed",L496*J496*(1-K496),0)</x:f>
        <x:v>0</x:v>
      </x:c>
      <x:c r="Q496" s="9" t="n">
        <x:f>O496-P496</x:f>
        <x:v>379.8</x:v>
      </x:c>
      <x:c r="R496" s="11" t="n">
        <x:f>IF(D496="Completed",I496,0)</x:f>
        <x:v>2</x:v>
      </x:c>
      <x:c r="S496" s="11" t="n">
        <x:f>IF(D496="Completed",L496,0)</x:f>
        <x:v>0</x:v>
      </x:c>
      <x:c r="T496" s="8" t="n">
        <x:f>DATE(YEAR(C496),MONTH(C496),1)</x:f>
        <x:v>45748</x:v>
      </x:c>
    </x:row>
    <x:row r="497" ht="22" customHeight="1">
      <x:c r="A497" s="2" t="str">
        <x:v>L000493</x:v>
      </x:c>
      <x:c r="B497" s="2" t="str">
        <x:v>O00205</x:v>
      </x:c>
      <x:c r="C497" s="7" t="n">
        <x:v>45761</x:v>
      </x:c>
      <x:c r="D497" s="2" t="str">
        <x:v>Completed</x:v>
      </x:c>
      <x:c r="E497" s="2" t="str">
        <x:v>East</x:v>
      </x:c>
      <x:c r="F497" s="2" t="str">
        <x:v>Store</x:v>
      </x:c>
      <x:c r="G497" s="2" t="str">
        <x:v>Furniture</x:v>
      </x:c>
      <x:c r="H497" s="2" t="str">
        <x:v>Desk 012</x:v>
      </x:c>
      <x:c r="I497" s="11" t="n">
        <x:v>3</x:v>
      </x:c>
      <x:c r="J497" s="9" t="n">
        <x:v>134</x:v>
      </x:c>
      <x:c r="K497" s="10" t="n">
        <x:v>0.1</x:v>
      </x:c>
      <x:c r="L497" s="11" t="n">
        <x:v>0</x:v>
      </x:c>
      <x:c r="M497" s="9" t="n">
        <x:f>IF(D497="Completed",I497*J497,0)</x:f>
        <x:v>402</x:v>
      </x:c>
      <x:c r="N497" s="9" t="n">
        <x:f>M497*K497</x:f>
        <x:v>40.2</x:v>
      </x:c>
      <x:c r="O497" s="9" t="n">
        <x:f>M497-N497</x:f>
        <x:v>361.8</x:v>
      </x:c>
      <x:c r="P497" s="9" t="n">
        <x:f>IF(D497="Completed",L497*J497*(1-K497),0)</x:f>
        <x:v>0</x:v>
      </x:c>
      <x:c r="Q497" s="9" t="n">
        <x:f>O497-P497</x:f>
        <x:v>361.8</x:v>
      </x:c>
      <x:c r="R497" s="11" t="n">
        <x:f>IF(D497="Completed",I497,0)</x:f>
        <x:v>3</x:v>
      </x:c>
      <x:c r="S497" s="11" t="n">
        <x:f>IF(D497="Completed",L497,0)</x:f>
        <x:v>0</x:v>
      </x:c>
      <x:c r="T497" s="8" t="n">
        <x:f>DATE(YEAR(C497),MONTH(C497),1)</x:f>
        <x:v>45748</x:v>
      </x:c>
    </x:row>
    <x:row r="498" ht="22" customHeight="1">
      <x:c r="A498" s="2" t="str">
        <x:v>L000494</x:v>
      </x:c>
      <x:c r="B498" s="2" t="str">
        <x:v>O00206</x:v>
      </x:c>
      <x:c r="C498" s="7" t="n">
        <x:v>45666</x:v>
      </x:c>
      <x:c r="D498" s="2" t="str">
        <x:v>Completed</x:v>
      </x:c>
      <x:c r="E498" s="2" t="str">
        <x:v>North</x:v>
      </x:c>
      <x:c r="F498" s="2" t="str">
        <x:v>Store</x:v>
      </x:c>
      <x:c r="G498" s="2" t="str">
        <x:v>Furniture</x:v>
      </x:c>
      <x:c r="H498" s="2" t="str">
        <x:v>Chair 014</x:v>
      </x:c>
      <x:c r="I498" s="11" t="n">
        <x:v>2</x:v>
      </x:c>
      <x:c r="J498" s="9" t="n">
        <x:v>294</x:v>
      </x:c>
      <x:c r="K498" s="10" t="n">
        <x:v>0.1</x:v>
      </x:c>
      <x:c r="L498" s="11" t="n">
        <x:v>1</x:v>
      </x:c>
      <x:c r="M498" s="9" t="n">
        <x:f>IF(D498="Completed",I498*J498,0)</x:f>
        <x:v>588</x:v>
      </x:c>
      <x:c r="N498" s="9" t="n">
        <x:f>M498*K498</x:f>
        <x:v>58.800000000000004</x:v>
      </x:c>
      <x:c r="O498" s="9" t="n">
        <x:f>M498-N498</x:f>
        <x:v>529.2</x:v>
      </x:c>
      <x:c r="P498" s="9" t="n">
        <x:f>IF(D498="Completed",L498*J498*(1-K498),0)</x:f>
        <x:v>264.6</x:v>
      </x:c>
      <x:c r="Q498" s="9" t="n">
        <x:f>O498-P498</x:f>
        <x:v>264.6</x:v>
      </x:c>
      <x:c r="R498" s="11" t="n">
        <x:f>IF(D498="Completed",I498,0)</x:f>
        <x:v>2</x:v>
      </x:c>
      <x:c r="S498" s="11" t="n">
        <x:f>IF(D498="Completed",L498,0)</x:f>
        <x:v>1</x:v>
      </x:c>
      <x:c r="T498" s="8" t="n">
        <x:f>DATE(YEAR(C498),MONTH(C498),1)</x:f>
        <x:v>45658</x:v>
      </x:c>
    </x:row>
    <x:row r="499" ht="22" customHeight="1">
      <x:c r="A499" s="2" t="str">
        <x:v>L000495</x:v>
      </x:c>
      <x:c r="B499" s="2" t="str">
        <x:v>O00206</x:v>
      </x:c>
      <x:c r="C499" s="7" t="n">
        <x:v>45666</x:v>
      </x:c>
      <x:c r="D499" s="2" t="str">
        <x:v>Completed</x:v>
      </x:c>
      <x:c r="E499" s="2" t="str">
        <x:v>North</x:v>
      </x:c>
      <x:c r="F499" s="2" t="str">
        <x:v>Store</x:v>
      </x:c>
      <x:c r="G499" s="2" t="str">
        <x:v>Lighting</x:v>
      </x:c>
      <x:c r="H499" s="2" t="str">
        <x:v>Lamp 013</x:v>
      </x:c>
      <x:c r="I499" s="11" t="n">
        <x:v>2</x:v>
      </x:c>
      <x:c r="J499" s="9" t="n">
        <x:v>271</x:v>
      </x:c>
      <x:c r="K499" s="10" t="n">
        <x:v>0.05</x:v>
      </x:c>
      <x:c r="L499" s="11" t="n">
        <x:v>0</x:v>
      </x:c>
      <x:c r="M499" s="9" t="n">
        <x:f>IF(D499="Completed",I499*J499,0)</x:f>
        <x:v>542</x:v>
      </x:c>
      <x:c r="N499" s="9" t="n">
        <x:f>M499*K499</x:f>
        <x:v>27.1</x:v>
      </x:c>
      <x:c r="O499" s="9" t="n">
        <x:f>M499-N499</x:f>
        <x:v>514.9</x:v>
      </x:c>
      <x:c r="P499" s="9" t="n">
        <x:f>IF(D499="Completed",L499*J499*(1-K499),0)</x:f>
        <x:v>0</x:v>
      </x:c>
      <x:c r="Q499" s="9" t="n">
        <x:f>O499-P499</x:f>
        <x:v>514.9</x:v>
      </x:c>
      <x:c r="R499" s="11" t="n">
        <x:f>IF(D499="Completed",I499,0)</x:f>
        <x:v>2</x:v>
      </x:c>
      <x:c r="S499" s="11" t="n">
        <x:f>IF(D499="Completed",L499,0)</x:f>
        <x:v>0</x:v>
      </x:c>
      <x:c r="T499" s="8" t="n">
        <x:f>DATE(YEAR(C499),MONTH(C499),1)</x:f>
        <x:v>45658</x:v>
      </x:c>
    </x:row>
    <x:row r="500" ht="22" customHeight="1">
      <x:c r="A500" s="2" t="str">
        <x:v>L000496</x:v>
      </x:c>
      <x:c r="B500" s="2" t="str">
        <x:v>O00207</x:v>
      </x:c>
      <x:c r="C500" s="7" t="n">
        <x:v>45669</x:v>
      </x:c>
      <x:c r="D500" s="2" t="str">
        <x:v>Cancelled</x:v>
      </x:c>
      <x:c r="E500" s="2" t="str">
        <x:v>North</x:v>
      </x:c>
      <x:c r="F500" s="2" t="str">
        <x:v>Online</x:v>
      </x:c>
      <x:c r="G500" s="2" t="str">
        <x:v>Furniture</x:v>
      </x:c>
      <x:c r="H500" s="2" t="str">
        <x:v>Chair 018</x:v>
      </x:c>
      <x:c r="I500" s="11" t="n">
        <x:v>5</x:v>
      </x:c>
      <x:c r="J500" s="9" t="n">
        <x:v>269</x:v>
      </x:c>
      <x:c r="K500" s="10" t="n">
        <x:v>0.05</x:v>
      </x:c>
      <x:c r="L500" s="11" t="n">
        <x:v>0</x:v>
      </x:c>
      <x:c r="M500" s="9" t="n">
        <x:f>IF(D500="Completed",I500*J500,0)</x:f>
        <x:v>0</x:v>
      </x:c>
      <x:c r="N500" s="9" t="n">
        <x:f>M500*K500</x:f>
        <x:v>0</x:v>
      </x:c>
      <x:c r="O500" s="9" t="n">
        <x:f>M500-N500</x:f>
        <x:v>0</x:v>
      </x:c>
      <x:c r="P500" s="9" t="n">
        <x:f>IF(D500="Completed",L500*J500*(1-K500),0)</x:f>
        <x:v>0</x:v>
      </x:c>
      <x:c r="Q500" s="9" t="n">
        <x:f>O500-P500</x:f>
        <x:v>0</x:v>
      </x:c>
      <x:c r="R500" s="11" t="n">
        <x:f>IF(D500="Completed",I500,0)</x:f>
        <x:v>0</x:v>
      </x:c>
      <x:c r="S500" s="11" t="n">
        <x:f>IF(D500="Completed",L500,0)</x:f>
        <x:v>0</x:v>
      </x:c>
      <x:c r="T500" s="8" t="n">
        <x:f>DATE(YEAR(C500),MONTH(C500),1)</x:f>
        <x:v>45658</x:v>
      </x:c>
    </x:row>
    <x:row r="501" ht="22" customHeight="1">
      <x:c r="A501" s="2" t="str">
        <x:v>L000497</x:v>
      </x:c>
      <x:c r="B501" s="2" t="str">
        <x:v>O00207</x:v>
      </x:c>
      <x:c r="C501" s="7" t="n">
        <x:v>45669</x:v>
      </x:c>
      <x:c r="D501" s="2" t="str">
        <x:v>Cancelled</x:v>
      </x:c>
      <x:c r="E501" s="2" t="str">
        <x:v>North</x:v>
      </x:c>
      <x:c r="F501" s="2" t="str">
        <x:v>Online</x:v>
      </x:c>
      <x:c r="G501" s="2" t="str">
        <x:v>Storage</x:v>
      </x:c>
      <x:c r="H501" s="2" t="str">
        <x:v>Shelf 007</x:v>
      </x:c>
      <x:c r="I501" s="11" t="n">
        <x:v>4</x:v>
      </x:c>
      <x:c r="J501" s="9" t="n">
        <x:v>35</x:v>
      </x:c>
      <x:c r="K501" s="10" t="n">
        <x:v>0</x:v>
      </x:c>
      <x:c r="L501" s="11" t="n">
        <x:v>0</x:v>
      </x:c>
      <x:c r="M501" s="9" t="n">
        <x:f>IF(D501="Completed",I501*J501,0)</x:f>
        <x:v>0</x:v>
      </x:c>
      <x:c r="N501" s="9" t="n">
        <x:f>M501*K501</x:f>
        <x:v>0</x:v>
      </x:c>
      <x:c r="O501" s="9" t="n">
        <x:f>M501-N501</x:f>
        <x:v>0</x:v>
      </x:c>
      <x:c r="P501" s="9" t="n">
        <x:f>IF(D501="Completed",L501*J501*(1-K501),0)</x:f>
        <x:v>0</x:v>
      </x:c>
      <x:c r="Q501" s="9" t="n">
        <x:f>O501-P501</x:f>
        <x:v>0</x:v>
      </x:c>
      <x:c r="R501" s="11" t="n">
        <x:f>IF(D501="Completed",I501,0)</x:f>
        <x:v>0</x:v>
      </x:c>
      <x:c r="S501" s="11" t="n">
        <x:f>IF(D501="Completed",L501,0)</x:f>
        <x:v>0</x:v>
      </x:c>
      <x:c r="T501" s="8" t="n">
        <x:f>DATE(YEAR(C501),MONTH(C501),1)</x:f>
        <x:v>45658</x:v>
      </x:c>
    </x:row>
    <x:row r="502" ht="22" customHeight="1">
      <x:c r="A502" s="2" t="str">
        <x:v>L000498</x:v>
      </x:c>
      <x:c r="B502" s="2" t="str">
        <x:v>O00207</x:v>
      </x:c>
      <x:c r="C502" s="7" t="n">
        <x:v>45669</x:v>
      </x:c>
      <x:c r="D502" s="2" t="str">
        <x:v>Cancelled</x:v>
      </x:c>
      <x:c r="E502" s="2" t="str">
        <x:v>North</x:v>
      </x:c>
      <x:c r="F502" s="2" t="str">
        <x:v>Online</x:v>
      </x:c>
      <x:c r="G502" s="2" t="str">
        <x:v>Storage</x:v>
      </x:c>
      <x:c r="H502" s="2" t="str">
        <x:v>Shelf 019</x:v>
      </x:c>
      <x:c r="I502" s="11" t="n">
        <x:v>1</x:v>
      </x:c>
      <x:c r="J502" s="9" t="n">
        <x:v>78</x:v>
      </x:c>
      <x:c r="K502" s="10" t="n">
        <x:v>0</x:v>
      </x:c>
      <x:c r="L502" s="11" t="n">
        <x:v>0</x:v>
      </x:c>
      <x:c r="M502" s="9" t="n">
        <x:f>IF(D502="Completed",I502*J502,0)</x:f>
        <x:v>0</x:v>
      </x:c>
      <x:c r="N502" s="9" t="n">
        <x:f>M502*K502</x:f>
        <x:v>0</x:v>
      </x:c>
      <x:c r="O502" s="9" t="n">
        <x:f>M502-N502</x:f>
        <x:v>0</x:v>
      </x:c>
      <x:c r="P502" s="9" t="n">
        <x:f>IF(D502="Completed",L502*J502*(1-K502),0)</x:f>
        <x:v>0</x:v>
      </x:c>
      <x:c r="Q502" s="9" t="n">
        <x:f>O502-P502</x:f>
        <x:v>0</x:v>
      </x:c>
      <x:c r="R502" s="11" t="n">
        <x:f>IF(D502="Completed",I502,0)</x:f>
        <x:v>0</x:v>
      </x:c>
      <x:c r="S502" s="11" t="n">
        <x:f>IF(D502="Completed",L502,0)</x:f>
        <x:v>0</x:v>
      </x:c>
      <x:c r="T502" s="8" t="n">
        <x:f>DATE(YEAR(C502),MONTH(C502),1)</x:f>
        <x:v>45658</x:v>
      </x:c>
    </x:row>
    <x:row r="503" ht="22" customHeight="1">
      <x:c r="A503" s="2" t="str">
        <x:v>L000499</x:v>
      </x:c>
      <x:c r="B503" s="2" t="str">
        <x:v>O00207</x:v>
      </x:c>
      <x:c r="C503" s="7" t="n">
        <x:v>45669</x:v>
      </x:c>
      <x:c r="D503" s="2" t="str">
        <x:v>Cancelled</x:v>
      </x:c>
      <x:c r="E503" s="2" t="str">
        <x:v>North</x:v>
      </x:c>
      <x:c r="F503" s="2" t="str">
        <x:v>Online</x:v>
      </x:c>
      <x:c r="G503" s="2" t="str">
        <x:v>Furniture</x:v>
      </x:c>
      <x:c r="H503" s="2" t="str">
        <x:v>Chair 002</x:v>
      </x:c>
      <x:c r="I503" s="11" t="n">
        <x:v>5</x:v>
      </x:c>
      <x:c r="J503" s="9" t="n">
        <x:v>284</x:v>
      </x:c>
      <x:c r="K503" s="10" t="n">
        <x:v>0</x:v>
      </x:c>
      <x:c r="L503" s="11" t="n">
        <x:v>0</x:v>
      </x:c>
      <x:c r="M503" s="9" t="n">
        <x:f>IF(D503="Completed",I503*J503,0)</x:f>
        <x:v>0</x:v>
      </x:c>
      <x:c r="N503" s="9" t="n">
        <x:f>M503*K503</x:f>
        <x:v>0</x:v>
      </x:c>
      <x:c r="O503" s="9" t="n">
        <x:f>M503-N503</x:f>
        <x:v>0</x:v>
      </x:c>
      <x:c r="P503" s="9" t="n">
        <x:f>IF(D503="Completed",L503*J503*(1-K503),0)</x:f>
        <x:v>0</x:v>
      </x:c>
      <x:c r="Q503" s="9" t="n">
        <x:f>O503-P503</x:f>
        <x:v>0</x:v>
      </x:c>
      <x:c r="R503" s="11" t="n">
        <x:f>IF(D503="Completed",I503,0)</x:f>
        <x:v>0</x:v>
      </x:c>
      <x:c r="S503" s="11" t="n">
        <x:f>IF(D503="Completed",L503,0)</x:f>
        <x:v>0</x:v>
      </x:c>
      <x:c r="T503" s="8" t="n">
        <x:f>DATE(YEAR(C503),MONTH(C503),1)</x:f>
        <x:v>45658</x:v>
      </x:c>
    </x:row>
    <x:row r="504" ht="22" customHeight="1">
      <x:c r="A504" s="2" t="str">
        <x:v>L000500</x:v>
      </x:c>
      <x:c r="B504" s="2" t="str">
        <x:v>O00208</x:v>
      </x:c>
      <x:c r="C504" s="7" t="n">
        <x:v>45767</x:v>
      </x:c>
      <x:c r="D504" s="2" t="str">
        <x:v>Completed</x:v>
      </x:c>
      <x:c r="E504" s="2" t="str">
        <x:v>West</x:v>
      </x:c>
      <x:c r="F504" s="2" t="str">
        <x:v>Store</x:v>
      </x:c>
      <x:c r="G504" s="2" t="str">
        <x:v>Lighting</x:v>
      </x:c>
      <x:c r="H504" s="2" t="str">
        <x:v>Lamp 013</x:v>
      </x:c>
      <x:c r="I504" s="11" t="n">
        <x:v>3</x:v>
      </x:c>
      <x:c r="J504" s="9" t="n">
        <x:v>271</x:v>
      </x:c>
      <x:c r="K504" s="10" t="n">
        <x:v>0.05</x:v>
      </x:c>
      <x:c r="L504" s="11" t="n">
        <x:v>0</x:v>
      </x:c>
      <x:c r="M504" s="9" t="n">
        <x:f>IF(D504="Completed",I504*J504,0)</x:f>
        <x:v>813</x:v>
      </x:c>
      <x:c r="N504" s="9" t="n">
        <x:f>M504*K504</x:f>
        <x:v>40.650000000000006</x:v>
      </x:c>
      <x:c r="O504" s="9" t="n">
        <x:f>M504-N504</x:f>
        <x:v>772.35</x:v>
      </x:c>
      <x:c r="P504" s="9" t="n">
        <x:f>IF(D504="Completed",L504*J504*(1-K504),0)</x:f>
        <x:v>0</x:v>
      </x:c>
      <x:c r="Q504" s="9" t="n">
        <x:f>O504-P504</x:f>
        <x:v>772.35</x:v>
      </x:c>
      <x:c r="R504" s="11" t="n">
        <x:f>IF(D504="Completed",I504,0)</x:f>
        <x:v>3</x:v>
      </x:c>
      <x:c r="S504" s="11" t="n">
        <x:f>IF(D504="Completed",L504,0)</x:f>
        <x:v>0</x:v>
      </x:c>
      <x:c r="T504" s="8" t="n">
        <x:f>DATE(YEAR(C504),MONTH(C504),1)</x:f>
        <x:v>45748</x:v>
      </x:c>
    </x:row>
    <x:row r="505" ht="22" customHeight="1">
      <x:c r="A505" s="2" t="str">
        <x:v>L000501</x:v>
      </x:c>
      <x:c r="B505" s="2" t="str">
        <x:v>O00209</x:v>
      </x:c>
      <x:c r="C505" s="7" t="n">
        <x:v>45761</x:v>
      </x:c>
      <x:c r="D505" s="2" t="str">
        <x:v>Completed</x:v>
      </x:c>
      <x:c r="E505" s="2" t="str">
        <x:v>East</x:v>
      </x:c>
      <x:c r="F505" s="2" t="str">
        <x:v>Online</x:v>
      </x:c>
      <x:c r="G505" s="2" t="str">
        <x:v>Storage</x:v>
      </x:c>
      <x:c r="H505" s="2" t="str">
        <x:v>Shelf 007</x:v>
      </x:c>
      <x:c r="I505" s="11" t="n">
        <x:v>5</x:v>
      </x:c>
      <x:c r="J505" s="9" t="n">
        <x:v>35</x:v>
      </x:c>
      <x:c r="K505" s="10" t="n">
        <x:v>0.2</x:v>
      </x:c>
      <x:c r="L505" s="11" t="n">
        <x:v>0</x:v>
      </x:c>
      <x:c r="M505" s="9" t="n">
        <x:f>IF(D505="Completed",I505*J505,0)</x:f>
        <x:v>175</x:v>
      </x:c>
      <x:c r="N505" s="9" t="n">
        <x:f>M505*K505</x:f>
        <x:v>35</x:v>
      </x:c>
      <x:c r="O505" s="9" t="n">
        <x:f>M505-N505</x:f>
        <x:v>140</x:v>
      </x:c>
      <x:c r="P505" s="9" t="n">
        <x:f>IF(D505="Completed",L505*J505*(1-K505),0)</x:f>
        <x:v>0</x:v>
      </x:c>
      <x:c r="Q505" s="9" t="n">
        <x:f>O505-P505</x:f>
        <x:v>140</x:v>
      </x:c>
      <x:c r="R505" s="11" t="n">
        <x:f>IF(D505="Completed",I505,0)</x:f>
        <x:v>5</x:v>
      </x:c>
      <x:c r="S505" s="11" t="n">
        <x:f>IF(D505="Completed",L505,0)</x:f>
        <x:v>0</x:v>
      </x:c>
      <x:c r="T505" s="8" t="n">
        <x:f>DATE(YEAR(C505),MONTH(C505),1)</x:f>
        <x:v>45748</x:v>
      </x:c>
    </x:row>
    <x:row r="506" ht="22" customHeight="1">
      <x:c r="A506" s="2" t="str">
        <x:v>L000502</x:v>
      </x:c>
      <x:c r="B506" s="2" t="str">
        <x:v>O00209</x:v>
      </x:c>
      <x:c r="C506" s="7" t="n">
        <x:v>45761</x:v>
      </x:c>
      <x:c r="D506" s="2" t="str">
        <x:v>Completed</x:v>
      </x:c>
      <x:c r="E506" s="2" t="str">
        <x:v>East</x:v>
      </x:c>
      <x:c r="F506" s="2" t="str">
        <x:v>Online</x:v>
      </x:c>
      <x:c r="G506" s="2" t="str">
        <x:v>Furniture</x:v>
      </x:c>
      <x:c r="H506" s="2" t="str">
        <x:v>Desk 020</x:v>
      </x:c>
      <x:c r="I506" s="11" t="n">
        <x:v>3</x:v>
      </x:c>
      <x:c r="J506" s="9" t="n">
        <x:v>189</x:v>
      </x:c>
      <x:c r="K506" s="10" t="n">
        <x:v>0</x:v>
      </x:c>
      <x:c r="L506" s="11" t="n">
        <x:v>0</x:v>
      </x:c>
      <x:c r="M506" s="9" t="n">
        <x:f>IF(D506="Completed",I506*J506,0)</x:f>
        <x:v>567</x:v>
      </x:c>
      <x:c r="N506" s="9" t="n">
        <x:f>M506*K506</x:f>
        <x:v>0</x:v>
      </x:c>
      <x:c r="O506" s="9" t="n">
        <x:f>M506-N506</x:f>
        <x:v>567</x:v>
      </x:c>
      <x:c r="P506" s="9" t="n">
        <x:f>IF(D506="Completed",L506*J506*(1-K506),0)</x:f>
        <x:v>0</x:v>
      </x:c>
      <x:c r="Q506" s="9" t="n">
        <x:f>O506-P506</x:f>
        <x:v>567</x:v>
      </x:c>
      <x:c r="R506" s="11" t="n">
        <x:f>IF(D506="Completed",I506,0)</x:f>
        <x:v>3</x:v>
      </x:c>
      <x:c r="S506" s="11" t="n">
        <x:f>IF(D506="Completed",L506,0)</x:f>
        <x:v>0</x:v>
      </x:c>
      <x:c r="T506" s="8" t="n">
        <x:f>DATE(YEAR(C506),MONTH(C506),1)</x:f>
        <x:v>45748</x:v>
      </x:c>
    </x:row>
    <x:row r="507" ht="22" customHeight="1">
      <x:c r="A507" s="2" t="str">
        <x:v>L000503</x:v>
      </x:c>
      <x:c r="B507" s="2" t="str">
        <x:v>O00209</x:v>
      </x:c>
      <x:c r="C507" s="7" t="n">
        <x:v>45761</x:v>
      </x:c>
      <x:c r="D507" s="2" t="str">
        <x:v>Completed</x:v>
      </x:c>
      <x:c r="E507" s="2" t="str">
        <x:v>East</x:v>
      </x:c>
      <x:c r="F507" s="2" t="str">
        <x:v>Online</x:v>
      </x:c>
      <x:c r="G507" s="2" t="str">
        <x:v>Lighting</x:v>
      </x:c>
      <x:c r="H507" s="2" t="str">
        <x:v>Lamp 017</x:v>
      </x:c>
      <x:c r="I507" s="11" t="n">
        <x:v>1</x:v>
      </x:c>
      <x:c r="J507" s="9" t="n">
        <x:v>300</x:v>
      </x:c>
      <x:c r="K507" s="10" t="n">
        <x:v>0.1</x:v>
      </x:c>
      <x:c r="L507" s="11" t="n">
        <x:v>0</x:v>
      </x:c>
      <x:c r="M507" s="9" t="n">
        <x:f>IF(D507="Completed",I507*J507,0)</x:f>
        <x:v>300</x:v>
      </x:c>
      <x:c r="N507" s="9" t="n">
        <x:f>M507*K507</x:f>
        <x:v>30</x:v>
      </x:c>
      <x:c r="O507" s="9" t="n">
        <x:f>M507-N507</x:f>
        <x:v>270</x:v>
      </x:c>
      <x:c r="P507" s="9" t="n">
        <x:f>IF(D507="Completed",L507*J507*(1-K507),0)</x:f>
        <x:v>0</x:v>
      </x:c>
      <x:c r="Q507" s="9" t="n">
        <x:f>O507-P507</x:f>
        <x:v>270</x:v>
      </x:c>
      <x:c r="R507" s="11" t="n">
        <x:f>IF(D507="Completed",I507,0)</x:f>
        <x:v>1</x:v>
      </x:c>
      <x:c r="S507" s="11" t="n">
        <x:f>IF(D507="Completed",L507,0)</x:f>
        <x:v>0</x:v>
      </x:c>
      <x:c r="T507" s="8" t="n">
        <x:f>DATE(YEAR(C507),MONTH(C507),1)</x:f>
        <x:v>45748</x:v>
      </x:c>
    </x:row>
    <x:row r="508" ht="22" customHeight="1">
      <x:c r="A508" s="2" t="str">
        <x:v>L000504</x:v>
      </x:c>
      <x:c r="B508" s="2" t="str">
        <x:v>O00209</x:v>
      </x:c>
      <x:c r="C508" s="7" t="n">
        <x:v>45761</x:v>
      </x:c>
      <x:c r="D508" s="2" t="str">
        <x:v>Completed</x:v>
      </x:c>
      <x:c r="E508" s="2" t="str">
        <x:v>East</x:v>
      </x:c>
      <x:c r="F508" s="2" t="str">
        <x:v>Online</x:v>
      </x:c>
      <x:c r="G508" s="2" t="str">
        <x:v>Furniture</x:v>
      </x:c>
      <x:c r="H508" s="2" t="str">
        <x:v>Desk 004</x:v>
      </x:c>
      <x:c r="I508" s="11" t="n">
        <x:v>1</x:v>
      </x:c>
      <x:c r="J508" s="9" t="n">
        <x:v>123</x:v>
      </x:c>
      <x:c r="K508" s="10" t="n">
        <x:v>0.1</x:v>
      </x:c>
      <x:c r="L508" s="11" t="n">
        <x:v>1</x:v>
      </x:c>
      <x:c r="M508" s="9" t="n">
        <x:f>IF(D508="Completed",I508*J508,0)</x:f>
        <x:v>123</x:v>
      </x:c>
      <x:c r="N508" s="9" t="n">
        <x:f>M508*K508</x:f>
        <x:v>12.3</x:v>
      </x:c>
      <x:c r="O508" s="9" t="n">
        <x:f>M508-N508</x:f>
        <x:v>110.7</x:v>
      </x:c>
      <x:c r="P508" s="9" t="n">
        <x:f>IF(D508="Completed",L508*J508*(1-K508),0)</x:f>
        <x:v>110.7</x:v>
      </x:c>
      <x:c r="Q508" s="9" t="n">
        <x:f>O508-P508</x:f>
        <x:v>0</x:v>
      </x:c>
      <x:c r="R508" s="11" t="n">
        <x:f>IF(D508="Completed",I508,0)</x:f>
        <x:v>1</x:v>
      </x:c>
      <x:c r="S508" s="11" t="n">
        <x:f>IF(D508="Completed",L508,0)</x:f>
        <x:v>1</x:v>
      </x:c>
      <x:c r="T508" s="8" t="n">
        <x:f>DATE(YEAR(C508),MONTH(C508),1)</x:f>
        <x:v>45748</x:v>
      </x:c>
    </x:row>
    <x:row r="509" ht="22" customHeight="1">
      <x:c r="A509" s="2" t="str">
        <x:v>L000505</x:v>
      </x:c>
      <x:c r="B509" s="2" t="str">
        <x:v>O00210</x:v>
      </x:c>
      <x:c r="C509" s="7" t="n">
        <x:v>45864</x:v>
      </x:c>
      <x:c r="D509" s="2" t="str">
        <x:v>Completed</x:v>
      </x:c>
      <x:c r="E509" s="2" t="str">
        <x:v>South</x:v>
      </x:c>
      <x:c r="F509" s="2" t="str">
        <x:v>Online</x:v>
      </x:c>
      <x:c r="G509" s="2" t="str">
        <x:v>Furniture</x:v>
      </x:c>
      <x:c r="H509" s="2" t="str">
        <x:v>Desk 020</x:v>
      </x:c>
      <x:c r="I509" s="11" t="n">
        <x:v>4</x:v>
      </x:c>
      <x:c r="J509" s="9" t="n">
        <x:v>189</x:v>
      </x:c>
      <x:c r="K509" s="10" t="n">
        <x:v>0.1</x:v>
      </x:c>
      <x:c r="L509" s="11" t="n">
        <x:v>0</x:v>
      </x:c>
      <x:c r="M509" s="9" t="n">
        <x:f>IF(D509="Completed",I509*J509,0)</x:f>
        <x:v>756</x:v>
      </x:c>
      <x:c r="N509" s="9" t="n">
        <x:f>M509*K509</x:f>
        <x:v>75.60000000000001</x:v>
      </x:c>
      <x:c r="O509" s="9" t="n">
        <x:f>M509-N509</x:f>
        <x:v>680.4</x:v>
      </x:c>
      <x:c r="P509" s="9" t="n">
        <x:f>IF(D509="Completed",L509*J509*(1-K509),0)</x:f>
        <x:v>0</x:v>
      </x:c>
      <x:c r="Q509" s="9" t="n">
        <x:f>O509-P509</x:f>
        <x:v>680.4</x:v>
      </x:c>
      <x:c r="R509" s="11" t="n">
        <x:f>IF(D509="Completed",I509,0)</x:f>
        <x:v>4</x:v>
      </x:c>
      <x:c r="S509" s="11" t="n">
        <x:f>IF(D509="Completed",L509,0)</x:f>
        <x:v>0</x:v>
      </x:c>
      <x:c r="T509" s="8" t="n">
        <x:f>DATE(YEAR(C509),MONTH(C509),1)</x:f>
        <x:v>45839</x:v>
      </x:c>
    </x:row>
    <x:row r="510" ht="22" customHeight="1">
      <x:c r="A510" s="2" t="str">
        <x:v>L000506</x:v>
      </x:c>
      <x:c r="B510" s="2" t="str">
        <x:v>O00211</x:v>
      </x:c>
      <x:c r="C510" s="7" t="n">
        <x:v>45858</x:v>
      </x:c>
      <x:c r="D510" s="2" t="str">
        <x:v>Completed</x:v>
      </x:c>
      <x:c r="E510" s="2" t="str">
        <x:v>North</x:v>
      </x:c>
      <x:c r="F510" s="2" t="str">
        <x:v>Store</x:v>
      </x:c>
      <x:c r="G510" s="2" t="str">
        <x:v>Storage</x:v>
      </x:c>
      <x:c r="H510" s="2" t="str">
        <x:v>Shelf 019</x:v>
      </x:c>
      <x:c r="I510" s="11" t="n">
        <x:v>2</x:v>
      </x:c>
      <x:c r="J510" s="9" t="n">
        <x:v>78</x:v>
      </x:c>
      <x:c r="K510" s="10" t="n">
        <x:v>0.05</x:v>
      </x:c>
      <x:c r="L510" s="11" t="n">
        <x:v>0</x:v>
      </x:c>
      <x:c r="M510" s="9" t="n">
        <x:f>IF(D510="Completed",I510*J510,0)</x:f>
        <x:v>156</x:v>
      </x:c>
      <x:c r="N510" s="9" t="n">
        <x:f>M510*K510</x:f>
        <x:v>7.800000000000001</x:v>
      </x:c>
      <x:c r="O510" s="9" t="n">
        <x:f>M510-N510</x:f>
        <x:v>148.2</x:v>
      </x:c>
      <x:c r="P510" s="9" t="n">
        <x:f>IF(D510="Completed",L510*J510*(1-K510),0)</x:f>
        <x:v>0</x:v>
      </x:c>
      <x:c r="Q510" s="9" t="n">
        <x:f>O510-P510</x:f>
        <x:v>148.2</x:v>
      </x:c>
      <x:c r="R510" s="11" t="n">
        <x:f>IF(D510="Completed",I510,0)</x:f>
        <x:v>2</x:v>
      </x:c>
      <x:c r="S510" s="11" t="n">
        <x:f>IF(D510="Completed",L510,0)</x:f>
        <x:v>0</x:v>
      </x:c>
      <x:c r="T510" s="8" t="n">
        <x:f>DATE(YEAR(C510),MONTH(C510),1)</x:f>
        <x:v>45839</x:v>
      </x:c>
    </x:row>
    <x:row r="511" ht="22" customHeight="1">
      <x:c r="A511" s="2" t="str">
        <x:v>L000507</x:v>
      </x:c>
      <x:c r="B511" s="2" t="str">
        <x:v>O00211</x:v>
      </x:c>
      <x:c r="C511" s="7" t="n">
        <x:v>45858</x:v>
      </x:c>
      <x:c r="D511" s="2" t="str">
        <x:v>Completed</x:v>
      </x:c>
      <x:c r="E511" s="2" t="str">
        <x:v>North</x:v>
      </x:c>
      <x:c r="F511" s="2" t="str">
        <x:v>Store</x:v>
      </x:c>
      <x:c r="G511" s="2" t="str">
        <x:v>Furniture</x:v>
      </x:c>
      <x:c r="H511" s="2" t="str">
        <x:v>Chair 002</x:v>
      </x:c>
      <x:c r="I511" s="11" t="n">
        <x:v>1</x:v>
      </x:c>
      <x:c r="J511" s="9" t="n">
        <x:v>284</x:v>
      </x:c>
      <x:c r="K511" s="10" t="n">
        <x:v>0.2</x:v>
      </x:c>
      <x:c r="L511" s="11" t="n">
        <x:v>0</x:v>
      </x:c>
      <x:c r="M511" s="9" t="n">
        <x:f>IF(D511="Completed",I511*J511,0)</x:f>
        <x:v>284</x:v>
      </x:c>
      <x:c r="N511" s="9" t="n">
        <x:f>M511*K511</x:f>
        <x:v>56.800000000000004</x:v>
      </x:c>
      <x:c r="O511" s="9" t="n">
        <x:f>M511-N511</x:f>
        <x:v>227.2</x:v>
      </x:c>
      <x:c r="P511" s="9" t="n">
        <x:f>IF(D511="Completed",L511*J511*(1-K511),0)</x:f>
        <x:v>0</x:v>
      </x:c>
      <x:c r="Q511" s="9" t="n">
        <x:f>O511-P511</x:f>
        <x:v>227.2</x:v>
      </x:c>
      <x:c r="R511" s="11" t="n">
        <x:f>IF(D511="Completed",I511,0)</x:f>
        <x:v>1</x:v>
      </x:c>
      <x:c r="S511" s="11" t="n">
        <x:f>IF(D511="Completed",L511,0)</x:f>
        <x:v>0</x:v>
      </x:c>
      <x:c r="T511" s="8" t="n">
        <x:f>DATE(YEAR(C511),MONTH(C511),1)</x:f>
        <x:v>45839</x:v>
      </x:c>
    </x:row>
    <x:row r="512" ht="22" customHeight="1">
      <x:c r="A512" s="2" t="str">
        <x:v>L000508</x:v>
      </x:c>
      <x:c r="B512" s="2" t="str">
        <x:v>O00211</x:v>
      </x:c>
      <x:c r="C512" s="7" t="n">
        <x:v>45858</x:v>
      </x:c>
      <x:c r="D512" s="2" t="str">
        <x:v>Completed</x:v>
      </x:c>
      <x:c r="E512" s="2" t="str">
        <x:v>North</x:v>
      </x:c>
      <x:c r="F512" s="2" t="str">
        <x:v>Store</x:v>
      </x:c>
      <x:c r="G512" s="2" t="str">
        <x:v>Lighting</x:v>
      </x:c>
      <x:c r="H512" s="2" t="str">
        <x:v>Lamp 017</x:v>
      </x:c>
      <x:c r="I512" s="11" t="n">
        <x:v>2</x:v>
      </x:c>
      <x:c r="J512" s="9" t="n">
        <x:v>300</x:v>
      </x:c>
      <x:c r="K512" s="10" t="n">
        <x:v>0</x:v>
      </x:c>
      <x:c r="L512" s="11" t="n">
        <x:v>0</x:v>
      </x:c>
      <x:c r="M512" s="9" t="n">
        <x:f>IF(D512="Completed",I512*J512,0)</x:f>
        <x:v>600</x:v>
      </x:c>
      <x:c r="N512" s="9" t="n">
        <x:f>M512*K512</x:f>
        <x:v>0</x:v>
      </x:c>
      <x:c r="O512" s="9" t="n">
        <x:f>M512-N512</x:f>
        <x:v>600</x:v>
      </x:c>
      <x:c r="P512" s="9" t="n">
        <x:f>IF(D512="Completed",L512*J512*(1-K512),0)</x:f>
        <x:v>0</x:v>
      </x:c>
      <x:c r="Q512" s="9" t="n">
        <x:f>O512-P512</x:f>
        <x:v>600</x:v>
      </x:c>
      <x:c r="R512" s="11" t="n">
        <x:f>IF(D512="Completed",I512,0)</x:f>
        <x:v>2</x:v>
      </x:c>
      <x:c r="S512" s="11" t="n">
        <x:f>IF(D512="Completed",L512,0)</x:f>
        <x:v>0</x:v>
      </x:c>
      <x:c r="T512" s="8" t="n">
        <x:f>DATE(YEAR(C512),MONTH(C512),1)</x:f>
        <x:v>45839</x:v>
      </x:c>
    </x:row>
    <x:row r="513" ht="22" customHeight="1">
      <x:c r="A513" s="2" t="str">
        <x:v>L000509</x:v>
      </x:c>
      <x:c r="B513" s="2" t="str">
        <x:v>O00212</x:v>
      </x:c>
      <x:c r="C513" s="7" t="n">
        <x:v>45996</x:v>
      </x:c>
      <x:c r="D513" s="2" t="str">
        <x:v>Completed</x:v>
      </x:c>
      <x:c r="E513" s="2" t="str">
        <x:v>West</x:v>
      </x:c>
      <x:c r="F513" s="2" t="str">
        <x:v>Online</x:v>
      </x:c>
      <x:c r="G513" s="2" t="str">
        <x:v>Storage</x:v>
      </x:c>
      <x:c r="H513" s="2" t="str">
        <x:v>Shelf 015</x:v>
      </x:c>
      <x:c r="I513" s="11" t="n">
        <x:v>1</x:v>
      </x:c>
      <x:c r="J513" s="9" t="n">
        <x:v>254</x:v>
      </x:c>
      <x:c r="K513" s="10" t="n">
        <x:v>0</x:v>
      </x:c>
      <x:c r="L513" s="11" t="n">
        <x:v>0</x:v>
      </x:c>
      <x:c r="M513" s="9" t="n">
        <x:f>IF(D513="Completed",I513*J513,0)</x:f>
        <x:v>254</x:v>
      </x:c>
      <x:c r="N513" s="9" t="n">
        <x:f>M513*K513</x:f>
        <x:v>0</x:v>
      </x:c>
      <x:c r="O513" s="9" t="n">
        <x:f>M513-N513</x:f>
        <x:v>254</x:v>
      </x:c>
      <x:c r="P513" s="9" t="n">
        <x:f>IF(D513="Completed",L513*J513*(1-K513),0)</x:f>
        <x:v>0</x:v>
      </x:c>
      <x:c r="Q513" s="9" t="n">
        <x:f>O513-P513</x:f>
        <x:v>254</x:v>
      </x:c>
      <x:c r="R513" s="11" t="n">
        <x:f>IF(D513="Completed",I513,0)</x:f>
        <x:v>1</x:v>
      </x:c>
      <x:c r="S513" s="11" t="n">
        <x:f>IF(D513="Completed",L513,0)</x:f>
        <x:v>0</x:v>
      </x:c>
      <x:c r="T513" s="8" t="n">
        <x:f>DATE(YEAR(C513),MONTH(C513),1)</x:f>
        <x:v>45992</x:v>
      </x:c>
    </x:row>
    <x:row r="514" ht="22" customHeight="1">
      <x:c r="A514" s="2" t="str">
        <x:v>L000510</x:v>
      </x:c>
      <x:c r="B514" s="2" t="str">
        <x:v>O00212</x:v>
      </x:c>
      <x:c r="C514" s="7" t="n">
        <x:v>45996</x:v>
      </x:c>
      <x:c r="D514" s="2" t="str">
        <x:v>Completed</x:v>
      </x:c>
      <x:c r="E514" s="2" t="str">
        <x:v>West</x:v>
      </x:c>
      <x:c r="F514" s="2" t="str">
        <x:v>Online</x:v>
      </x:c>
      <x:c r="G514" s="2" t="str">
        <x:v>Storage</x:v>
      </x:c>
      <x:c r="H514" s="2" t="str">
        <x:v>Shelf 019</x:v>
      </x:c>
      <x:c r="I514" s="11" t="n">
        <x:v>2</x:v>
      </x:c>
      <x:c r="J514" s="9" t="n">
        <x:v>78</x:v>
      </x:c>
      <x:c r="K514" s="10" t="n">
        <x:v>0</x:v>
      </x:c>
      <x:c r="L514" s="11" t="n">
        <x:v>0</x:v>
      </x:c>
      <x:c r="M514" s="9" t="n">
        <x:f>IF(D514="Completed",I514*J514,0)</x:f>
        <x:v>156</x:v>
      </x:c>
      <x:c r="N514" s="9" t="n">
        <x:f>M514*K514</x:f>
        <x:v>0</x:v>
      </x:c>
      <x:c r="O514" s="9" t="n">
        <x:f>M514-N514</x:f>
        <x:v>156</x:v>
      </x:c>
      <x:c r="P514" s="9" t="n">
        <x:f>IF(D514="Completed",L514*J514*(1-K514),0)</x:f>
        <x:v>0</x:v>
      </x:c>
      <x:c r="Q514" s="9" t="n">
        <x:f>O514-P514</x:f>
        <x:v>156</x:v>
      </x:c>
      <x:c r="R514" s="11" t="n">
        <x:f>IF(D514="Completed",I514,0)</x:f>
        <x:v>2</x:v>
      </x:c>
      <x:c r="S514" s="11" t="n">
        <x:f>IF(D514="Completed",L514,0)</x:f>
        <x:v>0</x:v>
      </x:c>
      <x:c r="T514" s="8" t="n">
        <x:f>DATE(YEAR(C514),MONTH(C514),1)</x:f>
        <x:v>45992</x:v>
      </x:c>
    </x:row>
    <x:row r="515" ht="22" customHeight="1">
      <x:c r="A515" s="2" t="str">
        <x:v>L000511</x:v>
      </x:c>
      <x:c r="B515" s="2" t="str">
        <x:v>O00213</x:v>
      </x:c>
      <x:c r="C515" s="7" t="n">
        <x:v>45690</x:v>
      </x:c>
      <x:c r="D515" s="2" t="str">
        <x:v>Completed</x:v>
      </x:c>
      <x:c r="E515" s="2" t="str">
        <x:v>West</x:v>
      </x:c>
      <x:c r="F515" s="2" t="str">
        <x:v>Online</x:v>
      </x:c>
      <x:c r="G515" s="2" t="str">
        <x:v>Furniture</x:v>
      </x:c>
      <x:c r="H515" s="2" t="str">
        <x:v>Chair 006</x:v>
      </x:c>
      <x:c r="I515" s="11" t="n">
        <x:v>2</x:v>
      </x:c>
      <x:c r="J515" s="9" t="n">
        <x:v>196</x:v>
      </x:c>
      <x:c r="K515" s="10" t="n">
        <x:v>0.1</x:v>
      </x:c>
      <x:c r="L515" s="11" t="n">
        <x:v>0</x:v>
      </x:c>
      <x:c r="M515" s="9" t="n">
        <x:f>IF(D515="Completed",I515*J515,0)</x:f>
        <x:v>392</x:v>
      </x:c>
      <x:c r="N515" s="9" t="n">
        <x:f>M515*K515</x:f>
        <x:v>39.2</x:v>
      </x:c>
      <x:c r="O515" s="9" t="n">
        <x:f>M515-N515</x:f>
        <x:v>352.8</x:v>
      </x:c>
      <x:c r="P515" s="9" t="n">
        <x:f>IF(D515="Completed",L515*J515*(1-K515),0)</x:f>
        <x:v>0</x:v>
      </x:c>
      <x:c r="Q515" s="9" t="n">
        <x:f>O515-P515</x:f>
        <x:v>352.8</x:v>
      </x:c>
      <x:c r="R515" s="11" t="n">
        <x:f>IF(D515="Completed",I515,0)</x:f>
        <x:v>2</x:v>
      </x:c>
      <x:c r="S515" s="11" t="n">
        <x:f>IF(D515="Completed",L515,0)</x:f>
        <x:v>0</x:v>
      </x:c>
      <x:c r="T515" s="8" t="n">
        <x:f>DATE(YEAR(C515),MONTH(C515),1)</x:f>
        <x:v>45689</x:v>
      </x:c>
    </x:row>
    <x:row r="516" ht="22" customHeight="1">
      <x:c r="A516" s="2" t="str">
        <x:v>L000512</x:v>
      </x:c>
      <x:c r="B516" s="2" t="str">
        <x:v>O00213</x:v>
      </x:c>
      <x:c r="C516" s="7" t="n">
        <x:v>45690</x:v>
      </x:c>
      <x:c r="D516" s="2" t="str">
        <x:v>Completed</x:v>
      </x:c>
      <x:c r="E516" s="2" t="str">
        <x:v>West</x:v>
      </x:c>
      <x:c r="F516" s="2" t="str">
        <x:v>Online</x:v>
      </x:c>
      <x:c r="G516" s="2" t="str">
        <x:v>Storage</x:v>
      </x:c>
      <x:c r="H516" s="2" t="str">
        <x:v>Shelf 023</x:v>
      </x:c>
      <x:c r="I516" s="11" t="n">
        <x:v>5</x:v>
      </x:c>
      <x:c r="J516" s="9" t="n">
        <x:v>68</x:v>
      </x:c>
      <x:c r="K516" s="10" t="n">
        <x:v>0.1</x:v>
      </x:c>
      <x:c r="L516" s="11" t="n">
        <x:v>0</x:v>
      </x:c>
      <x:c r="M516" s="9" t="n">
        <x:f>IF(D516="Completed",I516*J516,0)</x:f>
        <x:v>340</x:v>
      </x:c>
      <x:c r="N516" s="9" t="n">
        <x:f>M516*K516</x:f>
        <x:v>34</x:v>
      </x:c>
      <x:c r="O516" s="9" t="n">
        <x:f>M516-N516</x:f>
        <x:v>306</x:v>
      </x:c>
      <x:c r="P516" s="9" t="n">
        <x:f>IF(D516="Completed",L516*J516*(1-K516),0)</x:f>
        <x:v>0</x:v>
      </x:c>
      <x:c r="Q516" s="9" t="n">
        <x:f>O516-P516</x:f>
        <x:v>306</x:v>
      </x:c>
      <x:c r="R516" s="11" t="n">
        <x:f>IF(D516="Completed",I516,0)</x:f>
        <x:v>5</x:v>
      </x:c>
      <x:c r="S516" s="11" t="n">
        <x:f>IF(D516="Completed",L516,0)</x:f>
        <x:v>0</x:v>
      </x:c>
      <x:c r="T516" s="8" t="n">
        <x:f>DATE(YEAR(C516),MONTH(C516),1)</x:f>
        <x:v>45689</x:v>
      </x:c>
    </x:row>
    <x:row r="517" ht="22" customHeight="1">
      <x:c r="A517" s="2" t="str">
        <x:v>L000513</x:v>
      </x:c>
      <x:c r="B517" s="2" t="str">
        <x:v>O00213</x:v>
      </x:c>
      <x:c r="C517" s="7" t="n">
        <x:v>45690</x:v>
      </x:c>
      <x:c r="D517" s="2" t="str">
        <x:v>Completed</x:v>
      </x:c>
      <x:c r="E517" s="2" t="str">
        <x:v>West</x:v>
      </x:c>
      <x:c r="F517" s="2" t="str">
        <x:v>Online</x:v>
      </x:c>
      <x:c r="G517" s="2" t="str">
        <x:v>Lighting</x:v>
      </x:c>
      <x:c r="H517" s="2" t="str">
        <x:v>Lamp 013</x:v>
      </x:c>
      <x:c r="I517" s="11" t="n">
        <x:v>2</x:v>
      </x:c>
      <x:c r="J517" s="9" t="n">
        <x:v>271</x:v>
      </x:c>
      <x:c r="K517" s="10" t="n">
        <x:v>0.1</x:v>
      </x:c>
      <x:c r="L517" s="11" t="n">
        <x:v>2</x:v>
      </x:c>
      <x:c r="M517" s="9" t="n">
        <x:f>IF(D517="Completed",I517*J517,0)</x:f>
        <x:v>542</x:v>
      </x:c>
      <x:c r="N517" s="9" t="n">
        <x:f>M517*K517</x:f>
        <x:v>54.2</x:v>
      </x:c>
      <x:c r="O517" s="9" t="n">
        <x:f>M517-N517</x:f>
        <x:v>487.8</x:v>
      </x:c>
      <x:c r="P517" s="9" t="n">
        <x:f>IF(D517="Completed",L517*J517*(1-K517),0)</x:f>
        <x:v>487.8</x:v>
      </x:c>
      <x:c r="Q517" s="9" t="n">
        <x:f>O517-P517</x:f>
        <x:v>0</x:v>
      </x:c>
      <x:c r="R517" s="11" t="n">
        <x:f>IF(D517="Completed",I517,0)</x:f>
        <x:v>2</x:v>
      </x:c>
      <x:c r="S517" s="11" t="n">
        <x:f>IF(D517="Completed",L517,0)</x:f>
        <x:v>2</x:v>
      </x:c>
      <x:c r="T517" s="8" t="n">
        <x:f>DATE(YEAR(C517),MONTH(C517),1)</x:f>
        <x:v>45689</x:v>
      </x:c>
    </x:row>
    <x:row r="518" ht="22" customHeight="1">
      <x:c r="A518" s="2" t="str">
        <x:v>L000514</x:v>
      </x:c>
      <x:c r="B518" s="2" t="str">
        <x:v>O00214</x:v>
      </x:c>
      <x:c r="C518" s="7" t="n">
        <x:v>45991</x:v>
      </x:c>
      <x:c r="D518" s="2" t="str">
        <x:v>Completed</x:v>
      </x:c>
      <x:c r="E518" s="2" t="str">
        <x:v>South</x:v>
      </x:c>
      <x:c r="F518" s="2" t="str">
        <x:v>Online</x:v>
      </x:c>
      <x:c r="G518" s="2" t="str">
        <x:v>Furniture</x:v>
      </x:c>
      <x:c r="H518" s="2" t="str">
        <x:v>Chair 010</x:v>
      </x:c>
      <x:c r="I518" s="11" t="n">
        <x:v>4</x:v>
      </x:c>
      <x:c r="J518" s="9" t="n">
        <x:v>211</x:v>
      </x:c>
      <x:c r="K518" s="10" t="n">
        <x:v>0</x:v>
      </x:c>
      <x:c r="L518" s="11" t="n">
        <x:v>0</x:v>
      </x:c>
      <x:c r="M518" s="9" t="n">
        <x:f>IF(D518="Completed",I518*J518,0)</x:f>
        <x:v>844</x:v>
      </x:c>
      <x:c r="N518" s="9" t="n">
        <x:f>M518*K518</x:f>
        <x:v>0</x:v>
      </x:c>
      <x:c r="O518" s="9" t="n">
        <x:f>M518-N518</x:f>
        <x:v>844</x:v>
      </x:c>
      <x:c r="P518" s="9" t="n">
        <x:f>IF(D518="Completed",L518*J518*(1-K518),0)</x:f>
        <x:v>0</x:v>
      </x:c>
      <x:c r="Q518" s="9" t="n">
        <x:f>O518-P518</x:f>
        <x:v>844</x:v>
      </x:c>
      <x:c r="R518" s="11" t="n">
        <x:f>IF(D518="Completed",I518,0)</x:f>
        <x:v>4</x:v>
      </x:c>
      <x:c r="S518" s="11" t="n">
        <x:f>IF(D518="Completed",L518,0)</x:f>
        <x:v>0</x:v>
      </x:c>
      <x:c r="T518" s="8" t="n">
        <x:f>DATE(YEAR(C518),MONTH(C518),1)</x:f>
        <x:v>45962</x:v>
      </x:c>
    </x:row>
    <x:row r="519" ht="22" customHeight="1">
      <x:c r="A519" s="2" t="str">
        <x:v>L000515</x:v>
      </x:c>
      <x:c r="B519" s="2" t="str">
        <x:v>O00214</x:v>
      </x:c>
      <x:c r="C519" s="7" t="n">
        <x:v>45991</x:v>
      </x:c>
      <x:c r="D519" s="2" t="str">
        <x:v>Completed</x:v>
      </x:c>
      <x:c r="E519" s="2" t="str">
        <x:v>South</x:v>
      </x:c>
      <x:c r="F519" s="2" t="str">
        <x:v>Online</x:v>
      </x:c>
      <x:c r="G519" s="2" t="str">
        <x:v>Storage</x:v>
      </x:c>
      <x:c r="H519" s="2" t="str">
        <x:v>Shelf 023</x:v>
      </x:c>
      <x:c r="I519" s="11" t="n">
        <x:v>5</x:v>
      </x:c>
      <x:c r="J519" s="9" t="n">
        <x:v>68</x:v>
      </x:c>
      <x:c r="K519" s="10" t="n">
        <x:v>0.2</x:v>
      </x:c>
      <x:c r="L519" s="11" t="n">
        <x:v>0</x:v>
      </x:c>
      <x:c r="M519" s="9" t="n">
        <x:f>IF(D519="Completed",I519*J519,0)</x:f>
        <x:v>340</x:v>
      </x:c>
      <x:c r="N519" s="9" t="n">
        <x:f>M519*K519</x:f>
        <x:v>68</x:v>
      </x:c>
      <x:c r="O519" s="9" t="n">
        <x:f>M519-N519</x:f>
        <x:v>272</x:v>
      </x:c>
      <x:c r="P519" s="9" t="n">
        <x:f>IF(D519="Completed",L519*J519*(1-K519),0)</x:f>
        <x:v>0</x:v>
      </x:c>
      <x:c r="Q519" s="9" t="n">
        <x:f>O519-P519</x:f>
        <x:v>272</x:v>
      </x:c>
      <x:c r="R519" s="11" t="n">
        <x:f>IF(D519="Completed",I519,0)</x:f>
        <x:v>5</x:v>
      </x:c>
      <x:c r="S519" s="11" t="n">
        <x:f>IF(D519="Completed",L519,0)</x:f>
        <x:v>0</x:v>
      </x:c>
      <x:c r="T519" s="8" t="n">
        <x:f>DATE(YEAR(C519),MONTH(C519),1)</x:f>
        <x:v>45962</x:v>
      </x:c>
    </x:row>
    <x:row r="520" ht="22" customHeight="1">
      <x:c r="A520" s="2" t="str">
        <x:v>L000516</x:v>
      </x:c>
      <x:c r="B520" s="2" t="str">
        <x:v>O00215</x:v>
      </x:c>
      <x:c r="C520" s="7" t="n">
        <x:v>45959</x:v>
      </x:c>
      <x:c r="D520" s="2" t="str">
        <x:v>Completed</x:v>
      </x:c>
      <x:c r="E520" s="2" t="str">
        <x:v>North</x:v>
      </x:c>
      <x:c r="F520" s="2" t="str">
        <x:v>Online</x:v>
      </x:c>
      <x:c r="G520" s="2" t="str">
        <x:v>Furniture</x:v>
      </x:c>
      <x:c r="H520" s="2" t="str">
        <x:v>Desk 012</x:v>
      </x:c>
      <x:c r="I520" s="11" t="n">
        <x:v>2</x:v>
      </x:c>
      <x:c r="J520" s="9" t="n">
        <x:v>134</x:v>
      </x:c>
      <x:c r="K520" s="10" t="n">
        <x:v>0.2</x:v>
      </x:c>
      <x:c r="L520" s="11" t="n">
        <x:v>0</x:v>
      </x:c>
      <x:c r="M520" s="9" t="n">
        <x:f>IF(D520="Completed",I520*J520,0)</x:f>
        <x:v>268</x:v>
      </x:c>
      <x:c r="N520" s="9" t="n">
        <x:f>M520*K520</x:f>
        <x:v>53.6</x:v>
      </x:c>
      <x:c r="O520" s="9" t="n">
        <x:f>M520-N520</x:f>
        <x:v>214.4</x:v>
      </x:c>
      <x:c r="P520" s="9" t="n">
        <x:f>IF(D520="Completed",L520*J520*(1-K520),0)</x:f>
        <x:v>0</x:v>
      </x:c>
      <x:c r="Q520" s="9" t="n">
        <x:f>O520-P520</x:f>
        <x:v>214.4</x:v>
      </x:c>
      <x:c r="R520" s="11" t="n">
        <x:f>IF(D520="Completed",I520,0)</x:f>
        <x:v>2</x:v>
      </x:c>
      <x:c r="S520" s="11" t="n">
        <x:f>IF(D520="Completed",L520,0)</x:f>
        <x:v>0</x:v>
      </x:c>
      <x:c r="T520" s="8" t="n">
        <x:f>DATE(YEAR(C520),MONTH(C520),1)</x:f>
        <x:v>45931</x:v>
      </x:c>
    </x:row>
    <x:row r="521" ht="22" customHeight="1">
      <x:c r="A521" s="2" t="str">
        <x:v>L000517</x:v>
      </x:c>
      <x:c r="B521" s="2" t="str">
        <x:v>O00215</x:v>
      </x:c>
      <x:c r="C521" s="7" t="n">
        <x:v>45959</x:v>
      </x:c>
      <x:c r="D521" s="2" t="str">
        <x:v>Completed</x:v>
      </x:c>
      <x:c r="E521" s="2" t="str">
        <x:v>North</x:v>
      </x:c>
      <x:c r="F521" s="2" t="str">
        <x:v>Online</x:v>
      </x:c>
      <x:c r="G521" s="2" t="str">
        <x:v>Storage</x:v>
      </x:c>
      <x:c r="H521" s="2" t="str">
        <x:v>Shelf 011</x:v>
      </x:c>
      <x:c r="I521" s="11" t="n">
        <x:v>4</x:v>
      </x:c>
      <x:c r="J521" s="9" t="n">
        <x:v>80</x:v>
      </x:c>
      <x:c r="K521" s="10" t="n">
        <x:v>0.1</x:v>
      </x:c>
      <x:c r="L521" s="11" t="n">
        <x:v>0</x:v>
      </x:c>
      <x:c r="M521" s="9" t="n">
        <x:f>IF(D521="Completed",I521*J521,0)</x:f>
        <x:v>320</x:v>
      </x:c>
      <x:c r="N521" s="9" t="n">
        <x:f>M521*K521</x:f>
        <x:v>32</x:v>
      </x:c>
      <x:c r="O521" s="9" t="n">
        <x:f>M521-N521</x:f>
        <x:v>288</x:v>
      </x:c>
      <x:c r="P521" s="9" t="n">
        <x:f>IF(D521="Completed",L521*J521*(1-K521),0)</x:f>
        <x:v>0</x:v>
      </x:c>
      <x:c r="Q521" s="9" t="n">
        <x:f>O521-P521</x:f>
        <x:v>288</x:v>
      </x:c>
      <x:c r="R521" s="11" t="n">
        <x:f>IF(D521="Completed",I521,0)</x:f>
        <x:v>4</x:v>
      </x:c>
      <x:c r="S521" s="11" t="n">
        <x:f>IF(D521="Completed",L521,0)</x:f>
        <x:v>0</x:v>
      </x:c>
      <x:c r="T521" s="8" t="n">
        <x:f>DATE(YEAR(C521),MONTH(C521),1)</x:f>
        <x:v>45931</x:v>
      </x:c>
    </x:row>
    <x:row r="522" ht="22" customHeight="1">
      <x:c r="A522" s="2" t="str">
        <x:v>L000518</x:v>
      </x:c>
      <x:c r="B522" s="2" t="str">
        <x:v>O00216</x:v>
      </x:c>
      <x:c r="C522" s="7" t="n">
        <x:v>45969</x:v>
      </x:c>
      <x:c r="D522" s="2" t="str">
        <x:v>Completed</x:v>
      </x:c>
      <x:c r="E522" s="2" t="str">
        <x:v>South</x:v>
      </x:c>
      <x:c r="F522" s="2" t="str">
        <x:v>Online</x:v>
      </x:c>
      <x:c r="G522" s="2" t="str">
        <x:v>Furniture</x:v>
      </x:c>
      <x:c r="H522" s="2" t="str">
        <x:v>Desk 004</x:v>
      </x:c>
      <x:c r="I522" s="11" t="n">
        <x:v>3</x:v>
      </x:c>
      <x:c r="J522" s="9" t="n">
        <x:v>123</x:v>
      </x:c>
      <x:c r="K522" s="10" t="n">
        <x:v>0.05</x:v>
      </x:c>
      <x:c r="L522" s="11" t="n">
        <x:v>0</x:v>
      </x:c>
      <x:c r="M522" s="9" t="n">
        <x:f>IF(D522="Completed",I522*J522,0)</x:f>
        <x:v>369</x:v>
      </x:c>
      <x:c r="N522" s="9" t="n">
        <x:f>M522*K522</x:f>
        <x:v>18.45</x:v>
      </x:c>
      <x:c r="O522" s="9" t="n">
        <x:f>M522-N522</x:f>
        <x:v>350.55</x:v>
      </x:c>
      <x:c r="P522" s="9" t="n">
        <x:f>IF(D522="Completed",L522*J522*(1-K522),0)</x:f>
        <x:v>0</x:v>
      </x:c>
      <x:c r="Q522" s="9" t="n">
        <x:f>O522-P522</x:f>
        <x:v>350.55</x:v>
      </x:c>
      <x:c r="R522" s="11" t="n">
        <x:f>IF(D522="Completed",I522,0)</x:f>
        <x:v>3</x:v>
      </x:c>
      <x:c r="S522" s="11" t="n">
        <x:f>IF(D522="Completed",L522,0)</x:f>
        <x:v>0</x:v>
      </x:c>
      <x:c r="T522" s="8" t="n">
        <x:f>DATE(YEAR(C522),MONTH(C522),1)</x:f>
        <x:v>45962</x:v>
      </x:c>
    </x:row>
    <x:row r="523" ht="22" customHeight="1">
      <x:c r="A523" s="2" t="str">
        <x:v>L000519</x:v>
      </x:c>
      <x:c r="B523" s="2" t="str">
        <x:v>O00216</x:v>
      </x:c>
      <x:c r="C523" s="7" t="n">
        <x:v>45969</x:v>
      </x:c>
      <x:c r="D523" s="2" t="str">
        <x:v>Completed</x:v>
      </x:c>
      <x:c r="E523" s="2" t="str">
        <x:v>South</x:v>
      </x:c>
      <x:c r="F523" s="2" t="str">
        <x:v>Online</x:v>
      </x:c>
      <x:c r="G523" s="2" t="str">
        <x:v>Storage</x:v>
      </x:c>
      <x:c r="H523" s="2" t="str">
        <x:v>Shelf 023</x:v>
      </x:c>
      <x:c r="I523" s="11" t="n">
        <x:v>2</x:v>
      </x:c>
      <x:c r="J523" s="9" t="n">
        <x:v>68</x:v>
      </x:c>
      <x:c r="K523" s="10" t="n">
        <x:v>0.1</x:v>
      </x:c>
      <x:c r="L523" s="11" t="n">
        <x:v>0</x:v>
      </x:c>
      <x:c r="M523" s="9" t="n">
        <x:f>IF(D523="Completed",I523*J523,0)</x:f>
        <x:v>136</x:v>
      </x:c>
      <x:c r="N523" s="9" t="n">
        <x:f>M523*K523</x:f>
        <x:v>13.600000000000001</x:v>
      </x:c>
      <x:c r="O523" s="9" t="n">
        <x:f>M523-N523</x:f>
        <x:v>122.4</x:v>
      </x:c>
      <x:c r="P523" s="9" t="n">
        <x:f>IF(D523="Completed",L523*J523*(1-K523),0)</x:f>
        <x:v>0</x:v>
      </x:c>
      <x:c r="Q523" s="9" t="n">
        <x:f>O523-P523</x:f>
        <x:v>122.4</x:v>
      </x:c>
      <x:c r="R523" s="11" t="n">
        <x:f>IF(D523="Completed",I523,0)</x:f>
        <x:v>2</x:v>
      </x:c>
      <x:c r="S523" s="11" t="n">
        <x:f>IF(D523="Completed",L523,0)</x:f>
        <x:v>0</x:v>
      </x:c>
      <x:c r="T523" s="8" t="n">
        <x:f>DATE(YEAR(C523),MONTH(C523),1)</x:f>
        <x:v>45962</x:v>
      </x:c>
    </x:row>
    <x:row r="524" ht="22" customHeight="1">
      <x:c r="A524" s="2" t="str">
        <x:v>L000520</x:v>
      </x:c>
      <x:c r="B524" s="2" t="str">
        <x:v>O00216</x:v>
      </x:c>
      <x:c r="C524" s="7" t="n">
        <x:v>45969</x:v>
      </x:c>
      <x:c r="D524" s="2" t="str">
        <x:v>Completed</x:v>
      </x:c>
      <x:c r="E524" s="2" t="str">
        <x:v>South</x:v>
      </x:c>
      <x:c r="F524" s="2" t="str">
        <x:v>Online</x:v>
      </x:c>
      <x:c r="G524" s="2" t="str">
        <x:v>Storage</x:v>
      </x:c>
      <x:c r="H524" s="2" t="str">
        <x:v>Shelf 007</x:v>
      </x:c>
      <x:c r="I524" s="11" t="n">
        <x:v>4</x:v>
      </x:c>
      <x:c r="J524" s="9" t="n">
        <x:v>35</x:v>
      </x:c>
      <x:c r="K524" s="10" t="n">
        <x:v>0.1</x:v>
      </x:c>
      <x:c r="L524" s="11" t="n">
        <x:v>0</x:v>
      </x:c>
      <x:c r="M524" s="9" t="n">
        <x:f>IF(D524="Completed",I524*J524,0)</x:f>
        <x:v>140</x:v>
      </x:c>
      <x:c r="N524" s="9" t="n">
        <x:f>M524*K524</x:f>
        <x:v>14</x:v>
      </x:c>
      <x:c r="O524" s="9" t="n">
        <x:f>M524-N524</x:f>
        <x:v>126</x:v>
      </x:c>
      <x:c r="P524" s="9" t="n">
        <x:f>IF(D524="Completed",L524*J524*(1-K524),0)</x:f>
        <x:v>0</x:v>
      </x:c>
      <x:c r="Q524" s="9" t="n">
        <x:f>O524-P524</x:f>
        <x:v>126</x:v>
      </x:c>
      <x:c r="R524" s="11" t="n">
        <x:f>IF(D524="Completed",I524,0)</x:f>
        <x:v>4</x:v>
      </x:c>
      <x:c r="S524" s="11" t="n">
        <x:f>IF(D524="Completed",L524,0)</x:f>
        <x:v>0</x:v>
      </x:c>
      <x:c r="T524" s="8" t="n">
        <x:f>DATE(YEAR(C524),MONTH(C524),1)</x:f>
        <x:v>45962</x:v>
      </x:c>
    </x:row>
    <x:row r="525" ht="22" customHeight="1">
      <x:c r="A525" s="2" t="str">
        <x:v>L000521</x:v>
      </x:c>
      <x:c r="B525" s="2" t="str">
        <x:v>O00217</x:v>
      </x:c>
      <x:c r="C525" s="7" t="n">
        <x:v>45918</x:v>
      </x:c>
      <x:c r="D525" s="2" t="str">
        <x:v>Completed</x:v>
      </x:c>
      <x:c r="E525" s="2" t="str">
        <x:v>South</x:v>
      </x:c>
      <x:c r="F525" s="2" t="str">
        <x:v>Store</x:v>
      </x:c>
      <x:c r="G525" s="2" t="str">
        <x:v>Furniture</x:v>
      </x:c>
      <x:c r="H525" s="2" t="str">
        <x:v>Chair 006</x:v>
      </x:c>
      <x:c r="I525" s="11" t="n">
        <x:v>1</x:v>
      </x:c>
      <x:c r="J525" s="9" t="n">
        <x:v>196</x:v>
      </x:c>
      <x:c r="K525" s="10" t="n">
        <x:v>0.2</x:v>
      </x:c>
      <x:c r="L525" s="11" t="n">
        <x:v>0</x:v>
      </x:c>
      <x:c r="M525" s="9" t="n">
        <x:f>IF(D525="Completed",I525*J525,0)</x:f>
        <x:v>196</x:v>
      </x:c>
      <x:c r="N525" s="9" t="n">
        <x:f>M525*K525</x:f>
        <x:v>39.2</x:v>
      </x:c>
      <x:c r="O525" s="9" t="n">
        <x:f>M525-N525</x:f>
        <x:v>156.8</x:v>
      </x:c>
      <x:c r="P525" s="9" t="n">
        <x:f>IF(D525="Completed",L525*J525*(1-K525),0)</x:f>
        <x:v>0</x:v>
      </x:c>
      <x:c r="Q525" s="9" t="n">
        <x:f>O525-P525</x:f>
        <x:v>156.8</x:v>
      </x:c>
      <x:c r="R525" s="11" t="n">
        <x:f>IF(D525="Completed",I525,0)</x:f>
        <x:v>1</x:v>
      </x:c>
      <x:c r="S525" s="11" t="n">
        <x:f>IF(D525="Completed",L525,0)</x:f>
        <x:v>0</x:v>
      </x:c>
      <x:c r="T525" s="8" t="n">
        <x:f>DATE(YEAR(C525),MONTH(C525),1)</x:f>
        <x:v>45901</x:v>
      </x:c>
    </x:row>
    <x:row r="526" ht="22" customHeight="1">
      <x:c r="A526" s="2" t="str">
        <x:v>L000522</x:v>
      </x:c>
      <x:c r="B526" s="2" t="str">
        <x:v>O00217</x:v>
      </x:c>
      <x:c r="C526" s="7" t="n">
        <x:v>45918</x:v>
      </x:c>
      <x:c r="D526" s="2" t="str">
        <x:v>Completed</x:v>
      </x:c>
      <x:c r="E526" s="2" t="str">
        <x:v>South</x:v>
      </x:c>
      <x:c r="F526" s="2" t="str">
        <x:v>Store</x:v>
      </x:c>
      <x:c r="G526" s="2" t="str">
        <x:v>Furniture</x:v>
      </x:c>
      <x:c r="H526" s="2" t="str">
        <x:v>Chair 022</x:v>
      </x:c>
      <x:c r="I526" s="11" t="n">
        <x:v>1</x:v>
      </x:c>
      <x:c r="J526" s="9" t="n">
        <x:v>134</x:v>
      </x:c>
      <x:c r="K526" s="10" t="n">
        <x:v>0</x:v>
      </x:c>
      <x:c r="L526" s="11" t="n">
        <x:v>1</x:v>
      </x:c>
      <x:c r="M526" s="9" t="n">
        <x:f>IF(D526="Completed",I526*J526,0)</x:f>
        <x:v>134</x:v>
      </x:c>
      <x:c r="N526" s="9" t="n">
        <x:f>M526*K526</x:f>
        <x:v>0</x:v>
      </x:c>
      <x:c r="O526" s="9" t="n">
        <x:f>M526-N526</x:f>
        <x:v>134</x:v>
      </x:c>
      <x:c r="P526" s="9" t="n">
        <x:f>IF(D526="Completed",L526*J526*(1-K526),0)</x:f>
        <x:v>134</x:v>
      </x:c>
      <x:c r="Q526" s="9" t="n">
        <x:f>O526-P526</x:f>
        <x:v>0</x:v>
      </x:c>
      <x:c r="R526" s="11" t="n">
        <x:f>IF(D526="Completed",I526,0)</x:f>
        <x:v>1</x:v>
      </x:c>
      <x:c r="S526" s="11" t="n">
        <x:f>IF(D526="Completed",L526,0)</x:f>
        <x:v>1</x:v>
      </x:c>
      <x:c r="T526" s="8" t="n">
        <x:f>DATE(YEAR(C526),MONTH(C526),1)</x:f>
        <x:v>45901</x:v>
      </x:c>
    </x:row>
    <x:row r="527" ht="22" customHeight="1">
      <x:c r="A527" s="2" t="str">
        <x:v>L000523</x:v>
      </x:c>
      <x:c r="B527" s="2" t="str">
        <x:v>O00218</x:v>
      </x:c>
      <x:c r="C527" s="7" t="n">
        <x:v>45715</x:v>
      </x:c>
      <x:c r="D527" s="2" t="str">
        <x:v>Completed</x:v>
      </x:c>
      <x:c r="E527" s="2" t="str">
        <x:v>East</x:v>
      </x:c>
      <x:c r="F527" s="2" t="str">
        <x:v>Online</x:v>
      </x:c>
      <x:c r="G527" s="2" t="str">
        <x:v>Furniture</x:v>
      </x:c>
      <x:c r="H527" s="2" t="str">
        <x:v>Desk 008</x:v>
      </x:c>
      <x:c r="I527" s="11" t="n">
        <x:v>1</x:v>
      </x:c>
      <x:c r="J527" s="9" t="n">
        <x:v>188</x:v>
      </x:c>
      <x:c r="K527" s="10" t="n">
        <x:v>0.1</x:v>
      </x:c>
      <x:c r="L527" s="11" t="n">
        <x:v>0</x:v>
      </x:c>
      <x:c r="M527" s="9" t="n">
        <x:f>IF(D527="Completed",I527*J527,0)</x:f>
        <x:v>188</x:v>
      </x:c>
      <x:c r="N527" s="9" t="n">
        <x:f>M527*K527</x:f>
        <x:v>18.8</x:v>
      </x:c>
      <x:c r="O527" s="9" t="n">
        <x:f>M527-N527</x:f>
        <x:v>169.2</x:v>
      </x:c>
      <x:c r="P527" s="9" t="n">
        <x:f>IF(D527="Completed",L527*J527*(1-K527),0)</x:f>
        <x:v>0</x:v>
      </x:c>
      <x:c r="Q527" s="9" t="n">
        <x:f>O527-P527</x:f>
        <x:v>169.2</x:v>
      </x:c>
      <x:c r="R527" s="11" t="n">
        <x:f>IF(D527="Completed",I527,0)</x:f>
        <x:v>1</x:v>
      </x:c>
      <x:c r="S527" s="11" t="n">
        <x:f>IF(D527="Completed",L527,0)</x:f>
        <x:v>0</x:v>
      </x:c>
      <x:c r="T527" s="8" t="n">
        <x:f>DATE(YEAR(C527),MONTH(C527),1)</x:f>
        <x:v>45689</x:v>
      </x:c>
    </x:row>
    <x:row r="528" ht="22" customHeight="1">
      <x:c r="A528" s="2" t="str">
        <x:v>L000524</x:v>
      </x:c>
      <x:c r="B528" s="2" t="str">
        <x:v>O00218</x:v>
      </x:c>
      <x:c r="C528" s="7" t="n">
        <x:v>45715</x:v>
      </x:c>
      <x:c r="D528" s="2" t="str">
        <x:v>Completed</x:v>
      </x:c>
      <x:c r="E528" s="2" t="str">
        <x:v>East</x:v>
      </x:c>
      <x:c r="F528" s="2" t="str">
        <x:v>Online</x:v>
      </x:c>
      <x:c r="G528" s="2" t="str">
        <x:v>Furniture</x:v>
      </x:c>
      <x:c r="H528" s="2" t="str">
        <x:v>Chair 002</x:v>
      </x:c>
      <x:c r="I528" s="11" t="n">
        <x:v>5</x:v>
      </x:c>
      <x:c r="J528" s="9" t="n">
        <x:v>284</x:v>
      </x:c>
      <x:c r="K528" s="10" t="n">
        <x:v>0.05</x:v>
      </x:c>
      <x:c r="L528" s="11" t="n">
        <x:v>0</x:v>
      </x:c>
      <x:c r="M528" s="9" t="n">
        <x:f>IF(D528="Completed",I528*J528,0)</x:f>
        <x:v>1420</x:v>
      </x:c>
      <x:c r="N528" s="9" t="n">
        <x:f>M528*K528</x:f>
        <x:v>71</x:v>
      </x:c>
      <x:c r="O528" s="9" t="n">
        <x:f>M528-N528</x:f>
        <x:v>1349</x:v>
      </x:c>
      <x:c r="P528" s="9" t="n">
        <x:f>IF(D528="Completed",L528*J528*(1-K528),0)</x:f>
        <x:v>0</x:v>
      </x:c>
      <x:c r="Q528" s="9" t="n">
        <x:f>O528-P528</x:f>
        <x:v>1349</x:v>
      </x:c>
      <x:c r="R528" s="11" t="n">
        <x:f>IF(D528="Completed",I528,0)</x:f>
        <x:v>5</x:v>
      </x:c>
      <x:c r="S528" s="11" t="n">
        <x:f>IF(D528="Completed",L528,0)</x:f>
        <x:v>0</x:v>
      </x:c>
      <x:c r="T528" s="8" t="n">
        <x:f>DATE(YEAR(C528),MONTH(C528),1)</x:f>
        <x:v>45689</x:v>
      </x:c>
    </x:row>
    <x:row r="529" ht="22" customHeight="1">
      <x:c r="A529" s="2" t="str">
        <x:v>L000525</x:v>
      </x:c>
      <x:c r="B529" s="2" t="str">
        <x:v>O00218</x:v>
      </x:c>
      <x:c r="C529" s="7" t="n">
        <x:v>45715</x:v>
      </x:c>
      <x:c r="D529" s="2" t="str">
        <x:v>Completed</x:v>
      </x:c>
      <x:c r="E529" s="2" t="str">
        <x:v>East</x:v>
      </x:c>
      <x:c r="F529" s="2" t="str">
        <x:v>Online</x:v>
      </x:c>
      <x:c r="G529" s="2" t="str">
        <x:v>Storage</x:v>
      </x:c>
      <x:c r="H529" s="2" t="str">
        <x:v>Shelf 003</x:v>
      </x:c>
      <x:c r="I529" s="11" t="n">
        <x:v>5</x:v>
      </x:c>
      <x:c r="J529" s="9" t="n">
        <x:v>199</x:v>
      </x:c>
      <x:c r="K529" s="10" t="n">
        <x:v>0.2</x:v>
      </x:c>
      <x:c r="L529" s="11" t="n">
        <x:v>0</x:v>
      </x:c>
      <x:c r="M529" s="9" t="n">
        <x:f>IF(D529="Completed",I529*J529,0)</x:f>
        <x:v>995</x:v>
      </x:c>
      <x:c r="N529" s="9" t="n">
        <x:f>M529*K529</x:f>
        <x:v>199</x:v>
      </x:c>
      <x:c r="O529" s="9" t="n">
        <x:f>M529-N529</x:f>
        <x:v>796</x:v>
      </x:c>
      <x:c r="P529" s="9" t="n">
        <x:f>IF(D529="Completed",L529*J529*(1-K529),0)</x:f>
        <x:v>0</x:v>
      </x:c>
      <x:c r="Q529" s="9" t="n">
        <x:f>O529-P529</x:f>
        <x:v>796</x:v>
      </x:c>
      <x:c r="R529" s="11" t="n">
        <x:f>IF(D529="Completed",I529,0)</x:f>
        <x:v>5</x:v>
      </x:c>
      <x:c r="S529" s="11" t="n">
        <x:f>IF(D529="Completed",L529,0)</x:f>
        <x:v>0</x:v>
      </x:c>
      <x:c r="T529" s="8" t="n">
        <x:f>DATE(YEAR(C529),MONTH(C529),1)</x:f>
        <x:v>45689</x:v>
      </x:c>
    </x:row>
    <x:row r="530" ht="22" customHeight="1">
      <x:c r="A530" s="2" t="str">
        <x:v>L000526</x:v>
      </x:c>
      <x:c r="B530" s="2" t="str">
        <x:v>O00219</x:v>
      </x:c>
      <x:c r="C530" s="7" t="n">
        <x:v>45987</x:v>
      </x:c>
      <x:c r="D530" s="2" t="str">
        <x:v>Completed</x:v>
      </x:c>
      <x:c r="E530" s="2" t="str">
        <x:v>South</x:v>
      </x:c>
      <x:c r="F530" s="2" t="str">
        <x:v>Store</x:v>
      </x:c>
      <x:c r="G530" s="2" t="str">
        <x:v>Furniture</x:v>
      </x:c>
      <x:c r="H530" s="2" t="str">
        <x:v>Desk 004</x:v>
      </x:c>
      <x:c r="I530" s="11" t="n">
        <x:v>4</x:v>
      </x:c>
      <x:c r="J530" s="9" t="n">
        <x:v>123</x:v>
      </x:c>
      <x:c r="K530" s="10" t="n">
        <x:v>0</x:v>
      </x:c>
      <x:c r="L530" s="11" t="n">
        <x:v>0</x:v>
      </x:c>
      <x:c r="M530" s="9" t="n">
        <x:f>IF(D530="Completed",I530*J530,0)</x:f>
        <x:v>492</x:v>
      </x:c>
      <x:c r="N530" s="9" t="n">
        <x:f>M530*K530</x:f>
        <x:v>0</x:v>
      </x:c>
      <x:c r="O530" s="9" t="n">
        <x:f>M530-N530</x:f>
        <x:v>492</x:v>
      </x:c>
      <x:c r="P530" s="9" t="n">
        <x:f>IF(D530="Completed",L530*J530*(1-K530),0)</x:f>
        <x:v>0</x:v>
      </x:c>
      <x:c r="Q530" s="9" t="n">
        <x:f>O530-P530</x:f>
        <x:v>492</x:v>
      </x:c>
      <x:c r="R530" s="11" t="n">
        <x:f>IF(D530="Completed",I530,0)</x:f>
        <x:v>4</x:v>
      </x:c>
      <x:c r="S530" s="11" t="n">
        <x:f>IF(D530="Completed",L530,0)</x:f>
        <x:v>0</x:v>
      </x:c>
      <x:c r="T530" s="8" t="n">
        <x:f>DATE(YEAR(C530),MONTH(C530),1)</x:f>
        <x:v>45962</x:v>
      </x:c>
    </x:row>
    <x:row r="531" ht="22" customHeight="1">
      <x:c r="A531" s="2" t="str">
        <x:v>L000527</x:v>
      </x:c>
      <x:c r="B531" s="2" t="str">
        <x:v>O00219</x:v>
      </x:c>
      <x:c r="C531" s="7" t="n">
        <x:v>45987</x:v>
      </x:c>
      <x:c r="D531" s="2" t="str">
        <x:v>Completed</x:v>
      </x:c>
      <x:c r="E531" s="2" t="str">
        <x:v>South</x:v>
      </x:c>
      <x:c r="F531" s="2" t="str">
        <x:v>Store</x:v>
      </x:c>
      <x:c r="G531" s="2" t="str">
        <x:v>Furniture</x:v>
      </x:c>
      <x:c r="H531" s="2" t="str">
        <x:v>Chair 002</x:v>
      </x:c>
      <x:c r="I531" s="11" t="n">
        <x:v>5</x:v>
      </x:c>
      <x:c r="J531" s="9" t="n">
        <x:v>284</x:v>
      </x:c>
      <x:c r="K531" s="10" t="n">
        <x:v>0.1</x:v>
      </x:c>
      <x:c r="L531" s="11" t="n">
        <x:v>0</x:v>
      </x:c>
      <x:c r="M531" s="9" t="n">
        <x:f>IF(D531="Completed",I531*J531,0)</x:f>
        <x:v>1420</x:v>
      </x:c>
      <x:c r="N531" s="9" t="n">
        <x:f>M531*K531</x:f>
        <x:v>142</x:v>
      </x:c>
      <x:c r="O531" s="9" t="n">
        <x:f>M531-N531</x:f>
        <x:v>1278</x:v>
      </x:c>
      <x:c r="P531" s="9" t="n">
        <x:f>IF(D531="Completed",L531*J531*(1-K531),0)</x:f>
        <x:v>0</x:v>
      </x:c>
      <x:c r="Q531" s="9" t="n">
        <x:f>O531-P531</x:f>
        <x:v>1278</x:v>
      </x:c>
      <x:c r="R531" s="11" t="n">
        <x:f>IF(D531="Completed",I531,0)</x:f>
        <x:v>5</x:v>
      </x:c>
      <x:c r="S531" s="11" t="n">
        <x:f>IF(D531="Completed",L531,0)</x:f>
        <x:v>0</x:v>
      </x:c>
      <x:c r="T531" s="8" t="n">
        <x:f>DATE(YEAR(C531),MONTH(C531),1)</x:f>
        <x:v>45962</x:v>
      </x:c>
    </x:row>
    <x:row r="532" ht="22" customHeight="1">
      <x:c r="A532" s="2" t="str">
        <x:v>L000528</x:v>
      </x:c>
      <x:c r="B532" s="2" t="str">
        <x:v>O00220</x:v>
      </x:c>
      <x:c r="C532" s="7" t="n">
        <x:v>45869</x:v>
      </x:c>
      <x:c r="D532" s="2" t="str">
        <x:v>Completed</x:v>
      </x:c>
      <x:c r="E532" s="2" t="str">
        <x:v>East</x:v>
      </x:c>
      <x:c r="F532" s="2" t="str">
        <x:v>Store</x:v>
      </x:c>
      <x:c r="G532" s="2" t="str">
        <x:v>Furniture</x:v>
      </x:c>
      <x:c r="H532" s="2" t="str">
        <x:v>Chair 018</x:v>
      </x:c>
      <x:c r="I532" s="11" t="n">
        <x:v>2</x:v>
      </x:c>
      <x:c r="J532" s="9" t="n">
        <x:v>269</x:v>
      </x:c>
      <x:c r="K532" s="10" t="n">
        <x:v>0.05</x:v>
      </x:c>
      <x:c r="L532" s="11" t="n">
        <x:v>0</x:v>
      </x:c>
      <x:c r="M532" s="9" t="n">
        <x:f>IF(D532="Completed",I532*J532,0)</x:f>
        <x:v>538</x:v>
      </x:c>
      <x:c r="N532" s="9" t="n">
        <x:f>M532*K532</x:f>
        <x:v>26.900000000000002</x:v>
      </x:c>
      <x:c r="O532" s="9" t="n">
        <x:f>M532-N532</x:f>
        <x:v>511.1</x:v>
      </x:c>
      <x:c r="P532" s="9" t="n">
        <x:f>IF(D532="Completed",L532*J532*(1-K532),0)</x:f>
        <x:v>0</x:v>
      </x:c>
      <x:c r="Q532" s="9" t="n">
        <x:f>O532-P532</x:f>
        <x:v>511.1</x:v>
      </x:c>
      <x:c r="R532" s="11" t="n">
        <x:f>IF(D532="Completed",I532,0)</x:f>
        <x:v>2</x:v>
      </x:c>
      <x:c r="S532" s="11" t="n">
        <x:f>IF(D532="Completed",L532,0)</x:f>
        <x:v>0</x:v>
      </x:c>
      <x:c r="T532" s="8" t="n">
        <x:f>DATE(YEAR(C532),MONTH(C532),1)</x:f>
        <x:v>45839</x:v>
      </x:c>
    </x:row>
    <x:row r="533" ht="22" customHeight="1">
      <x:c r="A533" s="2" t="str">
        <x:v>L000529</x:v>
      </x:c>
      <x:c r="B533" s="2" t="str">
        <x:v>O00220</x:v>
      </x:c>
      <x:c r="C533" s="7" t="n">
        <x:v>45869</x:v>
      </x:c>
      <x:c r="D533" s="2" t="str">
        <x:v>Completed</x:v>
      </x:c>
      <x:c r="E533" s="2" t="str">
        <x:v>East</x:v>
      </x:c>
      <x:c r="F533" s="2" t="str">
        <x:v>Store</x:v>
      </x:c>
      <x:c r="G533" s="2" t="str">
        <x:v>Furniture</x:v>
      </x:c>
      <x:c r="H533" s="2" t="str">
        <x:v>Desk 016</x:v>
      </x:c>
      <x:c r="I533" s="11" t="n">
        <x:v>2</x:v>
      </x:c>
      <x:c r="J533" s="9" t="n">
        <x:v>231</x:v>
      </x:c>
      <x:c r="K533" s="10" t="n">
        <x:v>0.1</x:v>
      </x:c>
      <x:c r="L533" s="11" t="n">
        <x:v>0</x:v>
      </x:c>
      <x:c r="M533" s="9" t="n">
        <x:f>IF(D533="Completed",I533*J533,0)</x:f>
        <x:v>462</x:v>
      </x:c>
      <x:c r="N533" s="9" t="n">
        <x:f>M533*K533</x:f>
        <x:v>46.2</x:v>
      </x:c>
      <x:c r="O533" s="9" t="n">
        <x:f>M533-N533</x:f>
        <x:v>415.8</x:v>
      </x:c>
      <x:c r="P533" s="9" t="n">
        <x:f>IF(D533="Completed",L533*J533*(1-K533),0)</x:f>
        <x:v>0</x:v>
      </x:c>
      <x:c r="Q533" s="9" t="n">
        <x:f>O533-P533</x:f>
        <x:v>415.8</x:v>
      </x:c>
      <x:c r="R533" s="11" t="n">
        <x:f>IF(D533="Completed",I533,0)</x:f>
        <x:v>2</x:v>
      </x:c>
      <x:c r="S533" s="11" t="n">
        <x:f>IF(D533="Completed",L533,0)</x:f>
        <x:v>0</x:v>
      </x:c>
      <x:c r="T533" s="8" t="n">
        <x:f>DATE(YEAR(C533),MONTH(C533),1)</x:f>
        <x:v>45839</x:v>
      </x:c>
    </x:row>
    <x:row r="534" ht="22" customHeight="1">
      <x:c r="A534" s="2" t="str">
        <x:v>L000530</x:v>
      </x:c>
      <x:c r="B534" s="2" t="str">
        <x:v>O00221</x:v>
      </x:c>
      <x:c r="C534" s="7" t="n">
        <x:v>46004</x:v>
      </x:c>
      <x:c r="D534" s="2" t="str">
        <x:v>Completed</x:v>
      </x:c>
      <x:c r="E534" s="2" t="str">
        <x:v>East</x:v>
      </x:c>
      <x:c r="F534" s="2" t="str">
        <x:v>Online</x:v>
      </x:c>
      <x:c r="G534" s="2" t="str">
        <x:v>Furniture</x:v>
      </x:c>
      <x:c r="H534" s="2" t="str">
        <x:v>Desk 008</x:v>
      </x:c>
      <x:c r="I534" s="11" t="n">
        <x:v>4</x:v>
      </x:c>
      <x:c r="J534" s="9" t="n">
        <x:v>188</x:v>
      </x:c>
      <x:c r="K534" s="10" t="n">
        <x:v>0</x:v>
      </x:c>
      <x:c r="L534" s="11" t="n">
        <x:v>0</x:v>
      </x:c>
      <x:c r="M534" s="9" t="n">
        <x:f>IF(D534="Completed",I534*J534,0)</x:f>
        <x:v>752</x:v>
      </x:c>
      <x:c r="N534" s="9" t="n">
        <x:f>M534*K534</x:f>
        <x:v>0</x:v>
      </x:c>
      <x:c r="O534" s="9" t="n">
        <x:f>M534-N534</x:f>
        <x:v>752</x:v>
      </x:c>
      <x:c r="P534" s="9" t="n">
        <x:f>IF(D534="Completed",L534*J534*(1-K534),0)</x:f>
        <x:v>0</x:v>
      </x:c>
      <x:c r="Q534" s="9" t="n">
        <x:f>O534-P534</x:f>
        <x:v>752</x:v>
      </x:c>
      <x:c r="R534" s="11" t="n">
        <x:f>IF(D534="Completed",I534,0)</x:f>
        <x:v>4</x:v>
      </x:c>
      <x:c r="S534" s="11" t="n">
        <x:f>IF(D534="Completed",L534,0)</x:f>
        <x:v>0</x:v>
      </x:c>
      <x:c r="T534" s="8" t="n">
        <x:f>DATE(YEAR(C534),MONTH(C534),1)</x:f>
        <x:v>45992</x:v>
      </x:c>
    </x:row>
    <x:row r="535" ht="22" customHeight="1">
      <x:c r="A535" s="2" t="str">
        <x:v>L000531</x:v>
      </x:c>
      <x:c r="B535" s="2" t="str">
        <x:v>O00221</x:v>
      </x:c>
      <x:c r="C535" s="7" t="n">
        <x:v>46004</x:v>
      </x:c>
      <x:c r="D535" s="2" t="str">
        <x:v>Completed</x:v>
      </x:c>
      <x:c r="E535" s="2" t="str">
        <x:v>East</x:v>
      </x:c>
      <x:c r="F535" s="2" t="str">
        <x:v>Online</x:v>
      </x:c>
      <x:c r="G535" s="2" t="str">
        <x:v>Furniture</x:v>
      </x:c>
      <x:c r="H535" s="2" t="str">
        <x:v>Chair 022</x:v>
      </x:c>
      <x:c r="I535" s="11" t="n">
        <x:v>3</x:v>
      </x:c>
      <x:c r="J535" s="9" t="n">
        <x:v>134</x:v>
      </x:c>
      <x:c r="K535" s="10" t="n">
        <x:v>0.2</x:v>
      </x:c>
      <x:c r="L535" s="11" t="n">
        <x:v>1</x:v>
      </x:c>
      <x:c r="M535" s="9" t="n">
        <x:f>IF(D535="Completed",I535*J535,0)</x:f>
        <x:v>402</x:v>
      </x:c>
      <x:c r="N535" s="9" t="n">
        <x:f>M535*K535</x:f>
        <x:v>80.4</x:v>
      </x:c>
      <x:c r="O535" s="9" t="n">
        <x:f>M535-N535</x:f>
        <x:v>321.6</x:v>
      </x:c>
      <x:c r="P535" s="9" t="n">
        <x:f>IF(D535="Completed",L535*J535*(1-K535),0)</x:f>
        <x:v>107.2</x:v>
      </x:c>
      <x:c r="Q535" s="9" t="n">
        <x:f>O535-P535</x:f>
        <x:v>214.40000000000003</x:v>
      </x:c>
      <x:c r="R535" s="11" t="n">
        <x:f>IF(D535="Completed",I535,0)</x:f>
        <x:v>3</x:v>
      </x:c>
      <x:c r="S535" s="11" t="n">
        <x:f>IF(D535="Completed",L535,0)</x:f>
        <x:v>1</x:v>
      </x:c>
      <x:c r="T535" s="8" t="n">
        <x:f>DATE(YEAR(C535),MONTH(C535),1)</x:f>
        <x:v>45992</x:v>
      </x:c>
    </x:row>
    <x:row r="536" ht="22" customHeight="1">
      <x:c r="A536" s="2" t="str">
        <x:v>L000532</x:v>
      </x:c>
      <x:c r="B536" s="2" t="str">
        <x:v>O00221</x:v>
      </x:c>
      <x:c r="C536" s="7" t="n">
        <x:v>46004</x:v>
      </x:c>
      <x:c r="D536" s="2" t="str">
        <x:v>Completed</x:v>
      </x:c>
      <x:c r="E536" s="2" t="str">
        <x:v>East</x:v>
      </x:c>
      <x:c r="F536" s="2" t="str">
        <x:v>Online</x:v>
      </x:c>
      <x:c r="G536" s="2" t="str">
        <x:v>Furniture</x:v>
      </x:c>
      <x:c r="H536" s="2" t="str">
        <x:v>Chair 002</x:v>
      </x:c>
      <x:c r="I536" s="11" t="n">
        <x:v>1</x:v>
      </x:c>
      <x:c r="J536" s="9" t="n">
        <x:v>284</x:v>
      </x:c>
      <x:c r="K536" s="10" t="n">
        <x:v>0.05</x:v>
      </x:c>
      <x:c r="L536" s="11" t="n">
        <x:v>0</x:v>
      </x:c>
      <x:c r="M536" s="9" t="n">
        <x:f>IF(D536="Completed",I536*J536,0)</x:f>
        <x:v>284</x:v>
      </x:c>
      <x:c r="N536" s="9" t="n">
        <x:f>M536*K536</x:f>
        <x:v>14.200000000000001</x:v>
      </x:c>
      <x:c r="O536" s="9" t="n">
        <x:f>M536-N536</x:f>
        <x:v>269.8</x:v>
      </x:c>
      <x:c r="P536" s="9" t="n">
        <x:f>IF(D536="Completed",L536*J536*(1-K536),0)</x:f>
        <x:v>0</x:v>
      </x:c>
      <x:c r="Q536" s="9" t="n">
        <x:f>O536-P536</x:f>
        <x:v>269.8</x:v>
      </x:c>
      <x:c r="R536" s="11" t="n">
        <x:f>IF(D536="Completed",I536,0)</x:f>
        <x:v>1</x:v>
      </x:c>
      <x:c r="S536" s="11" t="n">
        <x:f>IF(D536="Completed",L536,0)</x:f>
        <x:v>0</x:v>
      </x:c>
      <x:c r="T536" s="8" t="n">
        <x:f>DATE(YEAR(C536),MONTH(C536),1)</x:f>
        <x:v>45992</x:v>
      </x:c>
    </x:row>
    <x:row r="537" ht="22" customHeight="1">
      <x:c r="A537" s="2" t="str">
        <x:v>L000533</x:v>
      </x:c>
      <x:c r="B537" s="2" t="str">
        <x:v>O00222</x:v>
      </x:c>
      <x:c r="C537" s="7" t="n">
        <x:v>45765</x:v>
      </x:c>
      <x:c r="D537" s="2" t="str">
        <x:v>Completed</x:v>
      </x:c>
      <x:c r="E537" s="2" t="str">
        <x:v>West</x:v>
      </x:c>
      <x:c r="F537" s="2" t="str">
        <x:v>Store</x:v>
      </x:c>
      <x:c r="G537" s="2" t="str">
        <x:v>Lighting</x:v>
      </x:c>
      <x:c r="H537" s="2" t="str">
        <x:v>Lamp 001</x:v>
      </x:c>
      <x:c r="I537" s="11" t="n">
        <x:v>5</x:v>
      </x:c>
      <x:c r="J537" s="9" t="n">
        <x:v>122</x:v>
      </x:c>
      <x:c r="K537" s="10" t="n">
        <x:v>0.2</x:v>
      </x:c>
      <x:c r="L537" s="11" t="n">
        <x:v>0</x:v>
      </x:c>
      <x:c r="M537" s="9" t="n">
        <x:f>IF(D537="Completed",I537*J537,0)</x:f>
        <x:v>610</x:v>
      </x:c>
      <x:c r="N537" s="9" t="n">
        <x:f>M537*K537</x:f>
        <x:v>122</x:v>
      </x:c>
      <x:c r="O537" s="9" t="n">
        <x:f>M537-N537</x:f>
        <x:v>488</x:v>
      </x:c>
      <x:c r="P537" s="9" t="n">
        <x:f>IF(D537="Completed",L537*J537*(1-K537),0)</x:f>
        <x:v>0</x:v>
      </x:c>
      <x:c r="Q537" s="9" t="n">
        <x:f>O537-P537</x:f>
        <x:v>488</x:v>
      </x:c>
      <x:c r="R537" s="11" t="n">
        <x:f>IF(D537="Completed",I537,0)</x:f>
        <x:v>5</x:v>
      </x:c>
      <x:c r="S537" s="11" t="n">
        <x:f>IF(D537="Completed",L537,0)</x:f>
        <x:v>0</x:v>
      </x:c>
      <x:c r="T537" s="8" t="n">
        <x:f>DATE(YEAR(C537),MONTH(C537),1)</x:f>
        <x:v>45748</x:v>
      </x:c>
    </x:row>
    <x:row r="538" ht="22" customHeight="1">
      <x:c r="A538" s="2" t="str">
        <x:v>L000534</x:v>
      </x:c>
      <x:c r="B538" s="2" t="str">
        <x:v>O00222</x:v>
      </x:c>
      <x:c r="C538" s="7" t="n">
        <x:v>45765</x:v>
      </x:c>
      <x:c r="D538" s="2" t="str">
        <x:v>Completed</x:v>
      </x:c>
      <x:c r="E538" s="2" t="str">
        <x:v>West</x:v>
      </x:c>
      <x:c r="F538" s="2" t="str">
        <x:v>Store</x:v>
      </x:c>
      <x:c r="G538" s="2" t="str">
        <x:v>Storage</x:v>
      </x:c>
      <x:c r="H538" s="2" t="str">
        <x:v>Shelf 015</x:v>
      </x:c>
      <x:c r="I538" s="11" t="n">
        <x:v>3</x:v>
      </x:c>
      <x:c r="J538" s="9" t="n">
        <x:v>254</x:v>
      </x:c>
      <x:c r="K538" s="10" t="n">
        <x:v>0.1</x:v>
      </x:c>
      <x:c r="L538" s="11" t="n">
        <x:v>0</x:v>
      </x:c>
      <x:c r="M538" s="9" t="n">
        <x:f>IF(D538="Completed",I538*J538,0)</x:f>
        <x:v>762</x:v>
      </x:c>
      <x:c r="N538" s="9" t="n">
        <x:f>M538*K538</x:f>
        <x:v>76.2</x:v>
      </x:c>
      <x:c r="O538" s="9" t="n">
        <x:f>M538-N538</x:f>
        <x:v>685.8</x:v>
      </x:c>
      <x:c r="P538" s="9" t="n">
        <x:f>IF(D538="Completed",L538*J538*(1-K538),0)</x:f>
        <x:v>0</x:v>
      </x:c>
      <x:c r="Q538" s="9" t="n">
        <x:f>O538-P538</x:f>
        <x:v>685.8</x:v>
      </x:c>
      <x:c r="R538" s="11" t="n">
        <x:f>IF(D538="Completed",I538,0)</x:f>
        <x:v>3</x:v>
      </x:c>
      <x:c r="S538" s="11" t="n">
        <x:f>IF(D538="Completed",L538,0)</x:f>
        <x:v>0</x:v>
      </x:c>
      <x:c r="T538" s="8" t="n">
        <x:f>DATE(YEAR(C538),MONTH(C538),1)</x:f>
        <x:v>45748</x:v>
      </x:c>
    </x:row>
    <x:row r="539" ht="22" customHeight="1">
      <x:c r="A539" s="2" t="str">
        <x:v>L000535</x:v>
      </x:c>
      <x:c r="B539" s="2" t="str">
        <x:v>O00222</x:v>
      </x:c>
      <x:c r="C539" s="7" t="n">
        <x:v>45765</x:v>
      </x:c>
      <x:c r="D539" s="2" t="str">
        <x:v>Completed</x:v>
      </x:c>
      <x:c r="E539" s="2" t="str">
        <x:v>West</x:v>
      </x:c>
      <x:c r="F539" s="2" t="str">
        <x:v>Store</x:v>
      </x:c>
      <x:c r="G539" s="2" t="str">
        <x:v>Furniture</x:v>
      </x:c>
      <x:c r="H539" s="2" t="str">
        <x:v>Chair 018</x:v>
      </x:c>
      <x:c r="I539" s="11" t="n">
        <x:v>1</x:v>
      </x:c>
      <x:c r="J539" s="9" t="n">
        <x:v>269</x:v>
      </x:c>
      <x:c r="K539" s="10" t="n">
        <x:v>0</x:v>
      </x:c>
      <x:c r="L539" s="11" t="n">
        <x:v>0</x:v>
      </x:c>
      <x:c r="M539" s="9" t="n">
        <x:f>IF(D539="Completed",I539*J539,0)</x:f>
        <x:v>269</x:v>
      </x:c>
      <x:c r="N539" s="9" t="n">
        <x:f>M539*K539</x:f>
        <x:v>0</x:v>
      </x:c>
      <x:c r="O539" s="9" t="n">
        <x:f>M539-N539</x:f>
        <x:v>269</x:v>
      </x:c>
      <x:c r="P539" s="9" t="n">
        <x:f>IF(D539="Completed",L539*J539*(1-K539),0)</x:f>
        <x:v>0</x:v>
      </x:c>
      <x:c r="Q539" s="9" t="n">
        <x:f>O539-P539</x:f>
        <x:v>269</x:v>
      </x:c>
      <x:c r="R539" s="11" t="n">
        <x:f>IF(D539="Completed",I539,0)</x:f>
        <x:v>1</x:v>
      </x:c>
      <x:c r="S539" s="11" t="n">
        <x:f>IF(D539="Completed",L539,0)</x:f>
        <x:v>0</x:v>
      </x:c>
      <x:c r="T539" s="8" t="n">
        <x:f>DATE(YEAR(C539),MONTH(C539),1)</x:f>
        <x:v>45748</x:v>
      </x:c>
    </x:row>
    <x:row r="540" ht="22" customHeight="1">
      <x:c r="A540" s="2" t="str">
        <x:v>L000536</x:v>
      </x:c>
      <x:c r="B540" s="2" t="str">
        <x:v>O00222</x:v>
      </x:c>
      <x:c r="C540" s="7" t="n">
        <x:v>45765</x:v>
      </x:c>
      <x:c r="D540" s="2" t="str">
        <x:v>Completed</x:v>
      </x:c>
      <x:c r="E540" s="2" t="str">
        <x:v>West</x:v>
      </x:c>
      <x:c r="F540" s="2" t="str">
        <x:v>Store</x:v>
      </x:c>
      <x:c r="G540" s="2" t="str">
        <x:v>Furniture</x:v>
      </x:c>
      <x:c r="H540" s="2" t="str">
        <x:v>Desk 020</x:v>
      </x:c>
      <x:c r="I540" s="11" t="n">
        <x:v>3</x:v>
      </x:c>
      <x:c r="J540" s="9" t="n">
        <x:v>189</x:v>
      </x:c>
      <x:c r="K540" s="10" t="n">
        <x:v>0.2</x:v>
      </x:c>
      <x:c r="L540" s="11" t="n">
        <x:v>0</x:v>
      </x:c>
      <x:c r="M540" s="9" t="n">
        <x:f>IF(D540="Completed",I540*J540,0)</x:f>
        <x:v>567</x:v>
      </x:c>
      <x:c r="N540" s="9" t="n">
        <x:f>M540*K540</x:f>
        <x:v>113.4</x:v>
      </x:c>
      <x:c r="O540" s="9" t="n">
        <x:f>M540-N540</x:f>
        <x:v>453.6</x:v>
      </x:c>
      <x:c r="P540" s="9" t="n">
        <x:f>IF(D540="Completed",L540*J540*(1-K540),0)</x:f>
        <x:v>0</x:v>
      </x:c>
      <x:c r="Q540" s="9" t="n">
        <x:f>O540-P540</x:f>
        <x:v>453.6</x:v>
      </x:c>
      <x:c r="R540" s="11" t="n">
        <x:f>IF(D540="Completed",I540,0)</x:f>
        <x:v>3</x:v>
      </x:c>
      <x:c r="S540" s="11" t="n">
        <x:f>IF(D540="Completed",L540,0)</x:f>
        <x:v>0</x:v>
      </x:c>
      <x:c r="T540" s="8" t="n">
        <x:f>DATE(YEAR(C540),MONTH(C540),1)</x:f>
        <x:v>45748</x:v>
      </x:c>
    </x:row>
    <x:row r="541" ht="22" customHeight="1">
      <x:c r="A541" s="2" t="str">
        <x:v>L000537</x:v>
      </x:c>
      <x:c r="B541" s="2" t="str">
        <x:v>O00223</x:v>
      </x:c>
      <x:c r="C541" s="7" t="n">
        <x:v>46010</x:v>
      </x:c>
      <x:c r="D541" s="2" t="str">
        <x:v>Completed</x:v>
      </x:c>
      <x:c r="E541" s="2" t="str">
        <x:v>South</x:v>
      </x:c>
      <x:c r="F541" s="2" t="str">
        <x:v>Store</x:v>
      </x:c>
      <x:c r="G541" s="2" t="str">
        <x:v>Furniture</x:v>
      </x:c>
      <x:c r="H541" s="2" t="str">
        <x:v>Desk 024</x:v>
      </x:c>
      <x:c r="I541" s="11" t="n">
        <x:v>5</x:v>
      </x:c>
      <x:c r="J541" s="9" t="n">
        <x:v>81</x:v>
      </x:c>
      <x:c r="K541" s="10" t="n">
        <x:v>0</x:v>
      </x:c>
      <x:c r="L541" s="11" t="n">
        <x:v>0</x:v>
      </x:c>
      <x:c r="M541" s="9" t="n">
        <x:f>IF(D541="Completed",I541*J541,0)</x:f>
        <x:v>405</x:v>
      </x:c>
      <x:c r="N541" s="9" t="n">
        <x:f>M541*K541</x:f>
        <x:v>0</x:v>
      </x:c>
      <x:c r="O541" s="9" t="n">
        <x:f>M541-N541</x:f>
        <x:v>405</x:v>
      </x:c>
      <x:c r="P541" s="9" t="n">
        <x:f>IF(D541="Completed",L541*J541*(1-K541),0)</x:f>
        <x:v>0</x:v>
      </x:c>
      <x:c r="Q541" s="9" t="n">
        <x:f>O541-P541</x:f>
        <x:v>405</x:v>
      </x:c>
      <x:c r="R541" s="11" t="n">
        <x:f>IF(D541="Completed",I541,0)</x:f>
        <x:v>5</x:v>
      </x:c>
      <x:c r="S541" s="11" t="n">
        <x:f>IF(D541="Completed",L541,0)</x:f>
        <x:v>0</x:v>
      </x:c>
      <x:c r="T541" s="8" t="n">
        <x:f>DATE(YEAR(C541),MONTH(C541),1)</x:f>
        <x:v>45992</x:v>
      </x:c>
    </x:row>
    <x:row r="542" ht="22" customHeight="1">
      <x:c r="A542" s="2" t="str">
        <x:v>L000538</x:v>
      </x:c>
      <x:c r="B542" s="2" t="str">
        <x:v>O00224</x:v>
      </x:c>
      <x:c r="C542" s="7" t="n">
        <x:v>45764</x:v>
      </x:c>
      <x:c r="D542" s="2" t="str">
        <x:v>Completed</x:v>
      </x:c>
      <x:c r="E542" s="2" t="str">
        <x:v>West</x:v>
      </x:c>
      <x:c r="F542" s="2" t="str">
        <x:v>Online</x:v>
      </x:c>
      <x:c r="G542" s="2" t="str">
        <x:v>Storage</x:v>
      </x:c>
      <x:c r="H542" s="2" t="str">
        <x:v>Shelf 011</x:v>
      </x:c>
      <x:c r="I542" s="11" t="n">
        <x:v>3</x:v>
      </x:c>
      <x:c r="J542" s="9" t="n">
        <x:v>80</x:v>
      </x:c>
      <x:c r="K542" s="10" t="n">
        <x:v>0.1</x:v>
      </x:c>
      <x:c r="L542" s="11" t="n">
        <x:v>0</x:v>
      </x:c>
      <x:c r="M542" s="9" t="n">
        <x:f>IF(D542="Completed",I542*J542,0)</x:f>
        <x:v>240</x:v>
      </x:c>
      <x:c r="N542" s="9" t="n">
        <x:f>M542*K542</x:f>
        <x:v>24</x:v>
      </x:c>
      <x:c r="O542" s="9" t="n">
        <x:f>M542-N542</x:f>
        <x:v>216</x:v>
      </x:c>
      <x:c r="P542" s="9" t="n">
        <x:f>IF(D542="Completed",L542*J542*(1-K542),0)</x:f>
        <x:v>0</x:v>
      </x:c>
      <x:c r="Q542" s="9" t="n">
        <x:f>O542-P542</x:f>
        <x:v>216</x:v>
      </x:c>
      <x:c r="R542" s="11" t="n">
        <x:f>IF(D542="Completed",I542,0)</x:f>
        <x:v>3</x:v>
      </x:c>
      <x:c r="S542" s="11" t="n">
        <x:f>IF(D542="Completed",L542,0)</x:f>
        <x:v>0</x:v>
      </x:c>
      <x:c r="T542" s="8" t="n">
        <x:f>DATE(YEAR(C542),MONTH(C542),1)</x:f>
        <x:v>45748</x:v>
      </x:c>
    </x:row>
    <x:row r="543" ht="22" customHeight="1">
      <x:c r="A543" s="2" t="str">
        <x:v>L000539</x:v>
      </x:c>
      <x:c r="B543" s="2" t="str">
        <x:v>O00224</x:v>
      </x:c>
      <x:c r="C543" s="7" t="n">
        <x:v>45764</x:v>
      </x:c>
      <x:c r="D543" s="2" t="str">
        <x:v>Completed</x:v>
      </x:c>
      <x:c r="E543" s="2" t="str">
        <x:v>West</x:v>
      </x:c>
      <x:c r="F543" s="2" t="str">
        <x:v>Online</x:v>
      </x:c>
      <x:c r="G543" s="2" t="str">
        <x:v>Storage</x:v>
      </x:c>
      <x:c r="H543" s="2" t="str">
        <x:v>Shelf 007</x:v>
      </x:c>
      <x:c r="I543" s="11" t="n">
        <x:v>3</x:v>
      </x:c>
      <x:c r="J543" s="9" t="n">
        <x:v>35</x:v>
      </x:c>
      <x:c r="K543" s="10" t="n">
        <x:v>0.05</x:v>
      </x:c>
      <x:c r="L543" s="11" t="n">
        <x:v>0</x:v>
      </x:c>
      <x:c r="M543" s="9" t="n">
        <x:f>IF(D543="Completed",I543*J543,0)</x:f>
        <x:v>105</x:v>
      </x:c>
      <x:c r="N543" s="9" t="n">
        <x:f>M543*K543</x:f>
        <x:v>5.25</x:v>
      </x:c>
      <x:c r="O543" s="9" t="n">
        <x:f>M543-N543</x:f>
        <x:v>99.75</x:v>
      </x:c>
      <x:c r="P543" s="9" t="n">
        <x:f>IF(D543="Completed",L543*J543*(1-K543),0)</x:f>
        <x:v>0</x:v>
      </x:c>
      <x:c r="Q543" s="9" t="n">
        <x:f>O543-P543</x:f>
        <x:v>99.75</x:v>
      </x:c>
      <x:c r="R543" s="11" t="n">
        <x:f>IF(D543="Completed",I543,0)</x:f>
        <x:v>3</x:v>
      </x:c>
      <x:c r="S543" s="11" t="n">
        <x:f>IF(D543="Completed",L543,0)</x:f>
        <x:v>0</x:v>
      </x:c>
      <x:c r="T543" s="8" t="n">
        <x:f>DATE(YEAR(C543),MONTH(C543),1)</x:f>
        <x:v>45748</x:v>
      </x:c>
    </x:row>
    <x:row r="544" ht="22" customHeight="1">
      <x:c r="A544" s="2" t="str">
        <x:v>L000540</x:v>
      </x:c>
      <x:c r="B544" s="2" t="str">
        <x:v>O00224</x:v>
      </x:c>
      <x:c r="C544" s="7" t="n">
        <x:v>45764</x:v>
      </x:c>
      <x:c r="D544" s="2" t="str">
        <x:v>Completed</x:v>
      </x:c>
      <x:c r="E544" s="2" t="str">
        <x:v>West</x:v>
      </x:c>
      <x:c r="F544" s="2" t="str">
        <x:v>Online</x:v>
      </x:c>
      <x:c r="G544" s="2" t="str">
        <x:v>Furniture</x:v>
      </x:c>
      <x:c r="H544" s="2" t="str">
        <x:v>Desk 012</x:v>
      </x:c>
      <x:c r="I544" s="11" t="n">
        <x:v>2</x:v>
      </x:c>
      <x:c r="J544" s="9" t="n">
        <x:v>134</x:v>
      </x:c>
      <x:c r="K544" s="10" t="n">
        <x:v>0</x:v>
      </x:c>
      <x:c r="L544" s="11" t="n">
        <x:v>0</x:v>
      </x:c>
      <x:c r="M544" s="9" t="n">
        <x:f>IF(D544="Completed",I544*J544,0)</x:f>
        <x:v>268</x:v>
      </x:c>
      <x:c r="N544" s="9" t="n">
        <x:f>M544*K544</x:f>
        <x:v>0</x:v>
      </x:c>
      <x:c r="O544" s="9" t="n">
        <x:f>M544-N544</x:f>
        <x:v>268</x:v>
      </x:c>
      <x:c r="P544" s="9" t="n">
        <x:f>IF(D544="Completed",L544*J544*(1-K544),0)</x:f>
        <x:v>0</x:v>
      </x:c>
      <x:c r="Q544" s="9" t="n">
        <x:f>O544-P544</x:f>
        <x:v>268</x:v>
      </x:c>
      <x:c r="R544" s="11" t="n">
        <x:f>IF(D544="Completed",I544,0)</x:f>
        <x:v>2</x:v>
      </x:c>
      <x:c r="S544" s="11" t="n">
        <x:f>IF(D544="Completed",L544,0)</x:f>
        <x:v>0</x:v>
      </x:c>
      <x:c r="T544" s="8" t="n">
        <x:f>DATE(YEAR(C544),MONTH(C544),1)</x:f>
        <x:v>45748</x:v>
      </x:c>
    </x:row>
    <x:row r="545" ht="22" customHeight="1">
      <x:c r="A545" s="2" t="str">
        <x:v>L000541</x:v>
      </x:c>
      <x:c r="B545" s="2" t="str">
        <x:v>O00225</x:v>
      </x:c>
      <x:c r="C545" s="7" t="n">
        <x:v>45743</x:v>
      </x:c>
      <x:c r="D545" s="2" t="str">
        <x:v>Completed</x:v>
      </x:c>
      <x:c r="E545" s="2" t="str">
        <x:v>West</x:v>
      </x:c>
      <x:c r="F545" s="2" t="str">
        <x:v>Online</x:v>
      </x:c>
      <x:c r="G545" s="2" t="str">
        <x:v>Furniture</x:v>
      </x:c>
      <x:c r="H545" s="2" t="str">
        <x:v>Chair 010</x:v>
      </x:c>
      <x:c r="I545" s="11" t="n">
        <x:v>3</x:v>
      </x:c>
      <x:c r="J545" s="9" t="n">
        <x:v>211</x:v>
      </x:c>
      <x:c r="K545" s="10" t="n">
        <x:v>0.1</x:v>
      </x:c>
      <x:c r="L545" s="11" t="n">
        <x:v>0</x:v>
      </x:c>
      <x:c r="M545" s="9" t="n">
        <x:f>IF(D545="Completed",I545*J545,0)</x:f>
        <x:v>633</x:v>
      </x:c>
      <x:c r="N545" s="9" t="n">
        <x:f>M545*K545</x:f>
        <x:v>63.300000000000004</x:v>
      </x:c>
      <x:c r="O545" s="9" t="n">
        <x:f>M545-N545</x:f>
        <x:v>569.7</x:v>
      </x:c>
      <x:c r="P545" s="9" t="n">
        <x:f>IF(D545="Completed",L545*J545*(1-K545),0)</x:f>
        <x:v>0</x:v>
      </x:c>
      <x:c r="Q545" s="9" t="n">
        <x:f>O545-P545</x:f>
        <x:v>569.7</x:v>
      </x:c>
      <x:c r="R545" s="11" t="n">
        <x:f>IF(D545="Completed",I545,0)</x:f>
        <x:v>3</x:v>
      </x:c>
      <x:c r="S545" s="11" t="n">
        <x:f>IF(D545="Completed",L545,0)</x:f>
        <x:v>0</x:v>
      </x:c>
      <x:c r="T545" s="8" t="n">
        <x:f>DATE(YEAR(C545),MONTH(C545),1)</x:f>
        <x:v>45717</x:v>
      </x:c>
    </x:row>
    <x:row r="546" ht="22" customHeight="1">
      <x:c r="A546" s="2" t="str">
        <x:v>L000542</x:v>
      </x:c>
      <x:c r="B546" s="2" t="str">
        <x:v>O00225</x:v>
      </x:c>
      <x:c r="C546" s="7" t="n">
        <x:v>45743</x:v>
      </x:c>
      <x:c r="D546" s="2" t="str">
        <x:v>Completed</x:v>
      </x:c>
      <x:c r="E546" s="2" t="str">
        <x:v>West</x:v>
      </x:c>
      <x:c r="F546" s="2" t="str">
        <x:v>Online</x:v>
      </x:c>
      <x:c r="G546" s="2" t="str">
        <x:v>Lighting</x:v>
      </x:c>
      <x:c r="H546" s="2" t="str">
        <x:v>Lamp 017</x:v>
      </x:c>
      <x:c r="I546" s="11" t="n">
        <x:v>5</x:v>
      </x:c>
      <x:c r="J546" s="9" t="n">
        <x:v>300</x:v>
      </x:c>
      <x:c r="K546" s="10" t="n">
        <x:v>0.05</x:v>
      </x:c>
      <x:c r="L546" s="11" t="n">
        <x:v>0</x:v>
      </x:c>
      <x:c r="M546" s="9" t="n">
        <x:f>IF(D546="Completed",I546*J546,0)</x:f>
        <x:v>1500</x:v>
      </x:c>
      <x:c r="N546" s="9" t="n">
        <x:f>M546*K546</x:f>
        <x:v>75</x:v>
      </x:c>
      <x:c r="O546" s="9" t="n">
        <x:f>M546-N546</x:f>
        <x:v>1425</x:v>
      </x:c>
      <x:c r="P546" s="9" t="n">
        <x:f>IF(D546="Completed",L546*J546*(1-K546),0)</x:f>
        <x:v>0</x:v>
      </x:c>
      <x:c r="Q546" s="9" t="n">
        <x:f>O546-P546</x:f>
        <x:v>1425</x:v>
      </x:c>
      <x:c r="R546" s="11" t="n">
        <x:f>IF(D546="Completed",I546,0)</x:f>
        <x:v>5</x:v>
      </x:c>
      <x:c r="S546" s="11" t="n">
        <x:f>IF(D546="Completed",L546,0)</x:f>
        <x:v>0</x:v>
      </x:c>
      <x:c r="T546" s="8" t="n">
        <x:f>DATE(YEAR(C546),MONTH(C546),1)</x:f>
        <x:v>45717</x:v>
      </x:c>
    </x:row>
    <x:row r="547" ht="22" customHeight="1">
      <x:c r="A547" s="2" t="str">
        <x:v>L000543</x:v>
      </x:c>
      <x:c r="B547" s="2" t="str">
        <x:v>O00225</x:v>
      </x:c>
      <x:c r="C547" s="7" t="n">
        <x:v>45743</x:v>
      </x:c>
      <x:c r="D547" s="2" t="str">
        <x:v>Completed</x:v>
      </x:c>
      <x:c r="E547" s="2" t="str">
        <x:v>West</x:v>
      </x:c>
      <x:c r="F547" s="2" t="str">
        <x:v>Online</x:v>
      </x:c>
      <x:c r="G547" s="2" t="str">
        <x:v>Lighting</x:v>
      </x:c>
      <x:c r="H547" s="2" t="str">
        <x:v>Lamp 005</x:v>
      </x:c>
      <x:c r="I547" s="11" t="n">
        <x:v>4</x:v>
      </x:c>
      <x:c r="J547" s="9" t="n">
        <x:v>65</x:v>
      </x:c>
      <x:c r="K547" s="10" t="n">
        <x:v>0.1</x:v>
      </x:c>
      <x:c r="L547" s="11" t="n">
        <x:v>0</x:v>
      </x:c>
      <x:c r="M547" s="9" t="n">
        <x:f>IF(D547="Completed",I547*J547,0)</x:f>
        <x:v>260</x:v>
      </x:c>
      <x:c r="N547" s="9" t="n">
        <x:f>M547*K547</x:f>
        <x:v>26</x:v>
      </x:c>
      <x:c r="O547" s="9" t="n">
        <x:f>M547-N547</x:f>
        <x:v>234</x:v>
      </x:c>
      <x:c r="P547" s="9" t="n">
        <x:f>IF(D547="Completed",L547*J547*(1-K547),0)</x:f>
        <x:v>0</x:v>
      </x:c>
      <x:c r="Q547" s="9" t="n">
        <x:f>O547-P547</x:f>
        <x:v>234</x:v>
      </x:c>
      <x:c r="R547" s="11" t="n">
        <x:f>IF(D547="Completed",I547,0)</x:f>
        <x:v>4</x:v>
      </x:c>
      <x:c r="S547" s="11" t="n">
        <x:f>IF(D547="Completed",L547,0)</x:f>
        <x:v>0</x:v>
      </x:c>
      <x:c r="T547" s="8" t="n">
        <x:f>DATE(YEAR(C547),MONTH(C547),1)</x:f>
        <x:v>45717</x:v>
      </x:c>
    </x:row>
    <x:row r="548" ht="22" customHeight="1">
      <x:c r="A548" s="2" t="str">
        <x:v>L000544</x:v>
      </x:c>
      <x:c r="B548" s="2" t="str">
        <x:v>O00225</x:v>
      </x:c>
      <x:c r="C548" s="7" t="n">
        <x:v>45743</x:v>
      </x:c>
      <x:c r="D548" s="2" t="str">
        <x:v>Completed</x:v>
      </x:c>
      <x:c r="E548" s="2" t="str">
        <x:v>West</x:v>
      </x:c>
      <x:c r="F548" s="2" t="str">
        <x:v>Online</x:v>
      </x:c>
      <x:c r="G548" s="2" t="str">
        <x:v>Furniture</x:v>
      </x:c>
      <x:c r="H548" s="2" t="str">
        <x:v>Chair 014</x:v>
      </x:c>
      <x:c r="I548" s="11" t="n">
        <x:v>4</x:v>
      </x:c>
      <x:c r="J548" s="9" t="n">
        <x:v>294</x:v>
      </x:c>
      <x:c r="K548" s="10" t="n">
        <x:v>0.1</x:v>
      </x:c>
      <x:c r="L548" s="11" t="n">
        <x:v>0</x:v>
      </x:c>
      <x:c r="M548" s="9" t="n">
        <x:f>IF(D548="Completed",I548*J548,0)</x:f>
        <x:v>1176</x:v>
      </x:c>
      <x:c r="N548" s="9" t="n">
        <x:f>M548*K548</x:f>
        <x:v>117.60000000000001</x:v>
      </x:c>
      <x:c r="O548" s="9" t="n">
        <x:f>M548-N548</x:f>
        <x:v>1058.4</x:v>
      </x:c>
      <x:c r="P548" s="9" t="n">
        <x:f>IF(D548="Completed",L548*J548*(1-K548),0)</x:f>
        <x:v>0</x:v>
      </x:c>
      <x:c r="Q548" s="9" t="n">
        <x:f>O548-P548</x:f>
        <x:v>1058.4</x:v>
      </x:c>
      <x:c r="R548" s="11" t="n">
        <x:f>IF(D548="Completed",I548,0)</x:f>
        <x:v>4</x:v>
      </x:c>
      <x:c r="S548" s="11" t="n">
        <x:f>IF(D548="Completed",L548,0)</x:f>
        <x:v>0</x:v>
      </x:c>
      <x:c r="T548" s="8" t="n">
        <x:f>DATE(YEAR(C548),MONTH(C548),1)</x:f>
        <x:v>45717</x:v>
      </x:c>
    </x:row>
    <x:row r="549" ht="22" customHeight="1">
      <x:c r="A549" s="2" t="str">
        <x:v>L000545</x:v>
      </x:c>
      <x:c r="B549" s="2" t="str">
        <x:v>O00226</x:v>
      </x:c>
      <x:c r="C549" s="7" t="n">
        <x:v>45736</x:v>
      </x:c>
      <x:c r="D549" s="2" t="str">
        <x:v>Completed</x:v>
      </x:c>
      <x:c r="E549" s="2" t="str">
        <x:v>South</x:v>
      </x:c>
      <x:c r="F549" s="2" t="str">
        <x:v>Store</x:v>
      </x:c>
      <x:c r="G549" s="2" t="str">
        <x:v>Lighting</x:v>
      </x:c>
      <x:c r="H549" s="2" t="str">
        <x:v>Lamp 005</x:v>
      </x:c>
      <x:c r="I549" s="11" t="n">
        <x:v>3</x:v>
      </x:c>
      <x:c r="J549" s="9" t="n">
        <x:v>65</x:v>
      </x:c>
      <x:c r="K549" s="10" t="n">
        <x:v>0.2</x:v>
      </x:c>
      <x:c r="L549" s="11" t="n">
        <x:v>3</x:v>
      </x:c>
      <x:c r="M549" s="9" t="n">
        <x:f>IF(D549="Completed",I549*J549,0)</x:f>
        <x:v>195</x:v>
      </x:c>
      <x:c r="N549" s="9" t="n">
        <x:f>M549*K549</x:f>
        <x:v>39</x:v>
      </x:c>
      <x:c r="O549" s="9" t="n">
        <x:f>M549-N549</x:f>
        <x:v>156</x:v>
      </x:c>
      <x:c r="P549" s="9" t="n">
        <x:f>IF(D549="Completed",L549*J549*(1-K549),0)</x:f>
        <x:v>156</x:v>
      </x:c>
      <x:c r="Q549" s="9" t="n">
        <x:f>O549-P549</x:f>
        <x:v>0</x:v>
      </x:c>
      <x:c r="R549" s="11" t="n">
        <x:f>IF(D549="Completed",I549,0)</x:f>
        <x:v>3</x:v>
      </x:c>
      <x:c r="S549" s="11" t="n">
        <x:f>IF(D549="Completed",L549,0)</x:f>
        <x:v>3</x:v>
      </x:c>
      <x:c r="T549" s="8" t="n">
        <x:f>DATE(YEAR(C549),MONTH(C549),1)</x:f>
        <x:v>45717</x:v>
      </x:c>
    </x:row>
    <x:row r="550" ht="22" customHeight="1">
      <x:c r="A550" s="2" t="str">
        <x:v>L000546</x:v>
      </x:c>
      <x:c r="B550" s="2" t="str">
        <x:v>O00226</x:v>
      </x:c>
      <x:c r="C550" s="7" t="n">
        <x:v>45736</x:v>
      </x:c>
      <x:c r="D550" s="2" t="str">
        <x:v>Completed</x:v>
      </x:c>
      <x:c r="E550" s="2" t="str">
        <x:v>South</x:v>
      </x:c>
      <x:c r="F550" s="2" t="str">
        <x:v>Store</x:v>
      </x:c>
      <x:c r="G550" s="2" t="str">
        <x:v>Furniture</x:v>
      </x:c>
      <x:c r="H550" s="2" t="str">
        <x:v>Desk 020</x:v>
      </x:c>
      <x:c r="I550" s="11" t="n">
        <x:v>5</x:v>
      </x:c>
      <x:c r="J550" s="9" t="n">
        <x:v>189</x:v>
      </x:c>
      <x:c r="K550" s="10" t="n">
        <x:v>0.05</x:v>
      </x:c>
      <x:c r="L550" s="11" t="n">
        <x:v>0</x:v>
      </x:c>
      <x:c r="M550" s="9" t="n">
        <x:f>IF(D550="Completed",I550*J550,0)</x:f>
        <x:v>945</x:v>
      </x:c>
      <x:c r="N550" s="9" t="n">
        <x:f>M550*K550</x:f>
        <x:v>47.25</x:v>
      </x:c>
      <x:c r="O550" s="9" t="n">
        <x:f>M550-N550</x:f>
        <x:v>897.75</x:v>
      </x:c>
      <x:c r="P550" s="9" t="n">
        <x:f>IF(D550="Completed",L550*J550*(1-K550),0)</x:f>
        <x:v>0</x:v>
      </x:c>
      <x:c r="Q550" s="9" t="n">
        <x:f>O550-P550</x:f>
        <x:v>897.75</x:v>
      </x:c>
      <x:c r="R550" s="11" t="n">
        <x:f>IF(D550="Completed",I550,0)</x:f>
        <x:v>5</x:v>
      </x:c>
      <x:c r="S550" s="11" t="n">
        <x:f>IF(D550="Completed",L550,0)</x:f>
        <x:v>0</x:v>
      </x:c>
      <x:c r="T550" s="8" t="n">
        <x:f>DATE(YEAR(C550),MONTH(C550),1)</x:f>
        <x:v>45717</x:v>
      </x:c>
    </x:row>
    <x:row r="551" ht="22" customHeight="1">
      <x:c r="A551" s="2" t="str">
        <x:v>L000547</x:v>
      </x:c>
      <x:c r="B551" s="2" t="str">
        <x:v>O00227</x:v>
      </x:c>
      <x:c r="C551" s="7" t="n">
        <x:v>45707</x:v>
      </x:c>
      <x:c r="D551" s="2" t="str">
        <x:v>Completed</x:v>
      </x:c>
      <x:c r="E551" s="2" t="str">
        <x:v>West</x:v>
      </x:c>
      <x:c r="F551" s="2" t="str">
        <x:v>Online</x:v>
      </x:c>
      <x:c r="G551" s="2" t="str">
        <x:v>Storage</x:v>
      </x:c>
      <x:c r="H551" s="2" t="str">
        <x:v>Shelf 007</x:v>
      </x:c>
      <x:c r="I551" s="11" t="n">
        <x:v>4</x:v>
      </x:c>
      <x:c r="J551" s="9" t="n">
        <x:v>35</x:v>
      </x:c>
      <x:c r="K551" s="10" t="n">
        <x:v>0.1</x:v>
      </x:c>
      <x:c r="L551" s="11" t="n">
        <x:v>0</x:v>
      </x:c>
      <x:c r="M551" s="9" t="n">
        <x:f>IF(D551="Completed",I551*J551,0)</x:f>
        <x:v>140</x:v>
      </x:c>
      <x:c r="N551" s="9" t="n">
        <x:f>M551*K551</x:f>
        <x:v>14</x:v>
      </x:c>
      <x:c r="O551" s="9" t="n">
        <x:f>M551-N551</x:f>
        <x:v>126</x:v>
      </x:c>
      <x:c r="P551" s="9" t="n">
        <x:f>IF(D551="Completed",L551*J551*(1-K551),0)</x:f>
        <x:v>0</x:v>
      </x:c>
      <x:c r="Q551" s="9" t="n">
        <x:f>O551-P551</x:f>
        <x:v>126</x:v>
      </x:c>
      <x:c r="R551" s="11" t="n">
        <x:f>IF(D551="Completed",I551,0)</x:f>
        <x:v>4</x:v>
      </x:c>
      <x:c r="S551" s="11" t="n">
        <x:f>IF(D551="Completed",L551,0)</x:f>
        <x:v>0</x:v>
      </x:c>
      <x:c r="T551" s="8" t="n">
        <x:f>DATE(YEAR(C551),MONTH(C551),1)</x:f>
        <x:v>45689</x:v>
      </x:c>
    </x:row>
    <x:row r="552" ht="22" customHeight="1">
      <x:c r="A552" s="2" t="str">
        <x:v>L000548</x:v>
      </x:c>
      <x:c r="B552" s="2" t="str">
        <x:v>O00228</x:v>
      </x:c>
      <x:c r="C552" s="7" t="n">
        <x:v>45780</x:v>
      </x:c>
      <x:c r="D552" s="2" t="str">
        <x:v>Completed</x:v>
      </x:c>
      <x:c r="E552" s="2" t="str">
        <x:v>East</x:v>
      </x:c>
      <x:c r="F552" s="2" t="str">
        <x:v>Store</x:v>
      </x:c>
      <x:c r="G552" s="2" t="str">
        <x:v>Furniture</x:v>
      </x:c>
      <x:c r="H552" s="2" t="str">
        <x:v>Chair 002</x:v>
      </x:c>
      <x:c r="I552" s="11" t="n">
        <x:v>2</x:v>
      </x:c>
      <x:c r="J552" s="9" t="n">
        <x:v>284</x:v>
      </x:c>
      <x:c r="K552" s="10" t="n">
        <x:v>0.1</x:v>
      </x:c>
      <x:c r="L552" s="11" t="n">
        <x:v>0</x:v>
      </x:c>
      <x:c r="M552" s="9" t="n">
        <x:f>IF(D552="Completed",I552*J552,0)</x:f>
        <x:v>568</x:v>
      </x:c>
      <x:c r="N552" s="9" t="n">
        <x:f>M552*K552</x:f>
        <x:v>56.800000000000004</x:v>
      </x:c>
      <x:c r="O552" s="9" t="n">
        <x:f>M552-N552</x:f>
        <x:v>511.2</x:v>
      </x:c>
      <x:c r="P552" s="9" t="n">
        <x:f>IF(D552="Completed",L552*J552*(1-K552),0)</x:f>
        <x:v>0</x:v>
      </x:c>
      <x:c r="Q552" s="9" t="n">
        <x:f>O552-P552</x:f>
        <x:v>511.2</x:v>
      </x:c>
      <x:c r="R552" s="11" t="n">
        <x:f>IF(D552="Completed",I552,0)</x:f>
        <x:v>2</x:v>
      </x:c>
      <x:c r="S552" s="11" t="n">
        <x:f>IF(D552="Completed",L552,0)</x:f>
        <x:v>0</x:v>
      </x:c>
      <x:c r="T552" s="8" t="n">
        <x:f>DATE(YEAR(C552),MONTH(C552),1)</x:f>
        <x:v>45778</x:v>
      </x:c>
    </x:row>
    <x:row r="553" ht="22" customHeight="1">
      <x:c r="A553" s="2" t="str">
        <x:v>L000549</x:v>
      </x:c>
      <x:c r="B553" s="2" t="str">
        <x:v>O00228</x:v>
      </x:c>
      <x:c r="C553" s="7" t="n">
        <x:v>45780</x:v>
      </x:c>
      <x:c r="D553" s="2" t="str">
        <x:v>Completed</x:v>
      </x:c>
      <x:c r="E553" s="2" t="str">
        <x:v>East</x:v>
      </x:c>
      <x:c r="F553" s="2" t="str">
        <x:v>Store</x:v>
      </x:c>
      <x:c r="G553" s="2" t="str">
        <x:v>Furniture</x:v>
      </x:c>
      <x:c r="H553" s="2" t="str">
        <x:v>Desk 012</x:v>
      </x:c>
      <x:c r="I553" s="11" t="n">
        <x:v>2</x:v>
      </x:c>
      <x:c r="J553" s="9" t="n">
        <x:v>134</x:v>
      </x:c>
      <x:c r="K553" s="10" t="n">
        <x:v>0.2</x:v>
      </x:c>
      <x:c r="L553" s="11" t="n">
        <x:v>0</x:v>
      </x:c>
      <x:c r="M553" s="9" t="n">
        <x:f>IF(D553="Completed",I553*J553,0)</x:f>
        <x:v>268</x:v>
      </x:c>
      <x:c r="N553" s="9" t="n">
        <x:f>M553*K553</x:f>
        <x:v>53.6</x:v>
      </x:c>
      <x:c r="O553" s="9" t="n">
        <x:f>M553-N553</x:f>
        <x:v>214.4</x:v>
      </x:c>
      <x:c r="P553" s="9" t="n">
        <x:f>IF(D553="Completed",L553*J553*(1-K553),0)</x:f>
        <x:v>0</x:v>
      </x:c>
      <x:c r="Q553" s="9" t="n">
        <x:f>O553-P553</x:f>
        <x:v>214.4</x:v>
      </x:c>
      <x:c r="R553" s="11" t="n">
        <x:f>IF(D553="Completed",I553,0)</x:f>
        <x:v>2</x:v>
      </x:c>
      <x:c r="S553" s="11" t="n">
        <x:f>IF(D553="Completed",L553,0)</x:f>
        <x:v>0</x:v>
      </x:c>
      <x:c r="T553" s="8" t="n">
        <x:f>DATE(YEAR(C553),MONTH(C553),1)</x:f>
        <x:v>45778</x:v>
      </x:c>
    </x:row>
    <x:row r="554" ht="22" customHeight="1">
      <x:c r="A554" s="2" t="str">
        <x:v>L000550</x:v>
      </x:c>
      <x:c r="B554" s="2" t="str">
        <x:v>O00228</x:v>
      </x:c>
      <x:c r="C554" s="7" t="n">
        <x:v>45780</x:v>
      </x:c>
      <x:c r="D554" s="2" t="str">
        <x:v>Completed</x:v>
      </x:c>
      <x:c r="E554" s="2" t="str">
        <x:v>East</x:v>
      </x:c>
      <x:c r="F554" s="2" t="str">
        <x:v>Store</x:v>
      </x:c>
      <x:c r="G554" s="2" t="str">
        <x:v>Furniture</x:v>
      </x:c>
      <x:c r="H554" s="2" t="str">
        <x:v>Chair 018</x:v>
      </x:c>
      <x:c r="I554" s="11" t="n">
        <x:v>4</x:v>
      </x:c>
      <x:c r="J554" s="9" t="n">
        <x:v>269</x:v>
      </x:c>
      <x:c r="K554" s="10" t="n">
        <x:v>0.05</x:v>
      </x:c>
      <x:c r="L554" s="11" t="n">
        <x:v>0</x:v>
      </x:c>
      <x:c r="M554" s="9" t="n">
        <x:f>IF(D554="Completed",I554*J554,0)</x:f>
        <x:v>1076</x:v>
      </x:c>
      <x:c r="N554" s="9" t="n">
        <x:f>M554*K554</x:f>
        <x:v>53.800000000000004</x:v>
      </x:c>
      <x:c r="O554" s="9" t="n">
        <x:f>M554-N554</x:f>
        <x:v>1022.2</x:v>
      </x:c>
      <x:c r="P554" s="9" t="n">
        <x:f>IF(D554="Completed",L554*J554*(1-K554),0)</x:f>
        <x:v>0</x:v>
      </x:c>
      <x:c r="Q554" s="9" t="n">
        <x:f>O554-P554</x:f>
        <x:v>1022.2</x:v>
      </x:c>
      <x:c r="R554" s="11" t="n">
        <x:f>IF(D554="Completed",I554,0)</x:f>
        <x:v>4</x:v>
      </x:c>
      <x:c r="S554" s="11" t="n">
        <x:f>IF(D554="Completed",L554,0)</x:f>
        <x:v>0</x:v>
      </x:c>
      <x:c r="T554" s="8" t="n">
        <x:f>DATE(YEAR(C554),MONTH(C554),1)</x:f>
        <x:v>45778</x:v>
      </x:c>
    </x:row>
    <x:row r="555" ht="22" customHeight="1">
      <x:c r="A555" s="2" t="str">
        <x:v>L000551</x:v>
      </x:c>
      <x:c r="B555" s="2" t="str">
        <x:v>O00228</x:v>
      </x:c>
      <x:c r="C555" s="7" t="n">
        <x:v>45780</x:v>
      </x:c>
      <x:c r="D555" s="2" t="str">
        <x:v>Completed</x:v>
      </x:c>
      <x:c r="E555" s="2" t="str">
        <x:v>East</x:v>
      </x:c>
      <x:c r="F555" s="2" t="str">
        <x:v>Store</x:v>
      </x:c>
      <x:c r="G555" s="2" t="str">
        <x:v>Storage</x:v>
      </x:c>
      <x:c r="H555" s="2" t="str">
        <x:v>Shelf 019</x:v>
      </x:c>
      <x:c r="I555" s="11" t="n">
        <x:v>4</x:v>
      </x:c>
      <x:c r="J555" s="9" t="n">
        <x:v>78</x:v>
      </x:c>
      <x:c r="K555" s="10" t="n">
        <x:v>0.2</x:v>
      </x:c>
      <x:c r="L555" s="11" t="n">
        <x:v>0</x:v>
      </x:c>
      <x:c r="M555" s="9" t="n">
        <x:f>IF(D555="Completed",I555*J555,0)</x:f>
        <x:v>312</x:v>
      </x:c>
      <x:c r="N555" s="9" t="n">
        <x:f>M555*K555</x:f>
        <x:v>62.400000000000006</x:v>
      </x:c>
      <x:c r="O555" s="9" t="n">
        <x:f>M555-N555</x:f>
        <x:v>249.6</x:v>
      </x:c>
      <x:c r="P555" s="9" t="n">
        <x:f>IF(D555="Completed",L555*J555*(1-K555),0)</x:f>
        <x:v>0</x:v>
      </x:c>
      <x:c r="Q555" s="9" t="n">
        <x:f>O555-P555</x:f>
        <x:v>249.6</x:v>
      </x:c>
      <x:c r="R555" s="11" t="n">
        <x:f>IF(D555="Completed",I555,0)</x:f>
        <x:v>4</x:v>
      </x:c>
      <x:c r="S555" s="11" t="n">
        <x:f>IF(D555="Completed",L555,0)</x:f>
        <x:v>0</x:v>
      </x:c>
      <x:c r="T555" s="8" t="n">
        <x:f>DATE(YEAR(C555),MONTH(C555),1)</x:f>
        <x:v>45778</x:v>
      </x:c>
    </x:row>
    <x:row r="556" ht="22" customHeight="1">
      <x:c r="A556" s="2" t="str">
        <x:v>L000552</x:v>
      </x:c>
      <x:c r="B556" s="2" t="str">
        <x:v>O00229</x:v>
      </x:c>
      <x:c r="C556" s="7" t="n">
        <x:v>45857</x:v>
      </x:c>
      <x:c r="D556" s="2" t="str">
        <x:v>Cancelled</x:v>
      </x:c>
      <x:c r="E556" s="2" t="str">
        <x:v>North</x:v>
      </x:c>
      <x:c r="F556" s="2" t="str">
        <x:v>Store</x:v>
      </x:c>
      <x:c r="G556" s="2" t="str">
        <x:v>Storage</x:v>
      </x:c>
      <x:c r="H556" s="2" t="str">
        <x:v>Shelf 003</x:v>
      </x:c>
      <x:c r="I556" s="11" t="n">
        <x:v>3</x:v>
      </x:c>
      <x:c r="J556" s="9" t="n">
        <x:v>199</x:v>
      </x:c>
      <x:c r="K556" s="10" t="n">
        <x:v>0</x:v>
      </x:c>
      <x:c r="L556" s="11" t="n">
        <x:v>0</x:v>
      </x:c>
      <x:c r="M556" s="9" t="n">
        <x:f>IF(D556="Completed",I556*J556,0)</x:f>
        <x:v>0</x:v>
      </x:c>
      <x:c r="N556" s="9" t="n">
        <x:f>M556*K556</x:f>
        <x:v>0</x:v>
      </x:c>
      <x:c r="O556" s="9" t="n">
        <x:f>M556-N556</x:f>
        <x:v>0</x:v>
      </x:c>
      <x:c r="P556" s="9" t="n">
        <x:f>IF(D556="Completed",L556*J556*(1-K556),0)</x:f>
        <x:v>0</x:v>
      </x:c>
      <x:c r="Q556" s="9" t="n">
        <x:f>O556-P556</x:f>
        <x:v>0</x:v>
      </x:c>
      <x:c r="R556" s="11" t="n">
        <x:f>IF(D556="Completed",I556,0)</x:f>
        <x:v>0</x:v>
      </x:c>
      <x:c r="S556" s="11" t="n">
        <x:f>IF(D556="Completed",L556,0)</x:f>
        <x:v>0</x:v>
      </x:c>
      <x:c r="T556" s="8" t="n">
        <x:f>DATE(YEAR(C556),MONTH(C556),1)</x:f>
        <x:v>45839</x:v>
      </x:c>
    </x:row>
    <x:row r="557" ht="22" customHeight="1">
      <x:c r="A557" s="2" t="str">
        <x:v>L000553</x:v>
      </x:c>
      <x:c r="B557" s="2" t="str">
        <x:v>O00230</x:v>
      </x:c>
      <x:c r="C557" s="7" t="n">
        <x:v>45720</x:v>
      </x:c>
      <x:c r="D557" s="2" t="str">
        <x:v>Completed</x:v>
      </x:c>
      <x:c r="E557" s="2" t="str">
        <x:v>South</x:v>
      </x:c>
      <x:c r="F557" s="2" t="str">
        <x:v>Online</x:v>
      </x:c>
      <x:c r="G557" s="2" t="str">
        <x:v>Furniture</x:v>
      </x:c>
      <x:c r="H557" s="2" t="str">
        <x:v>Desk 012</x:v>
      </x:c>
      <x:c r="I557" s="11" t="n">
        <x:v>3</x:v>
      </x:c>
      <x:c r="J557" s="9" t="n">
        <x:v>134</x:v>
      </x:c>
      <x:c r="K557" s="10" t="n">
        <x:v>0.2</x:v>
      </x:c>
      <x:c r="L557" s="11" t="n">
        <x:v>0</x:v>
      </x:c>
      <x:c r="M557" s="9" t="n">
        <x:f>IF(D557="Completed",I557*J557,0)</x:f>
        <x:v>402</x:v>
      </x:c>
      <x:c r="N557" s="9" t="n">
        <x:f>M557*K557</x:f>
        <x:v>80.4</x:v>
      </x:c>
      <x:c r="O557" s="9" t="n">
        <x:f>M557-N557</x:f>
        <x:v>321.6</x:v>
      </x:c>
      <x:c r="P557" s="9" t="n">
        <x:f>IF(D557="Completed",L557*J557*(1-K557),0)</x:f>
        <x:v>0</x:v>
      </x:c>
      <x:c r="Q557" s="9" t="n">
        <x:f>O557-P557</x:f>
        <x:v>321.6</x:v>
      </x:c>
      <x:c r="R557" s="11" t="n">
        <x:f>IF(D557="Completed",I557,0)</x:f>
        <x:v>3</x:v>
      </x:c>
      <x:c r="S557" s="11" t="n">
        <x:f>IF(D557="Completed",L557,0)</x:f>
        <x:v>0</x:v>
      </x:c>
      <x:c r="T557" s="8" t="n">
        <x:f>DATE(YEAR(C557),MONTH(C557),1)</x:f>
        <x:v>45717</x:v>
      </x:c>
    </x:row>
    <x:row r="558" ht="22" customHeight="1">
      <x:c r="A558" s="2" t="str">
        <x:v>L000554</x:v>
      </x:c>
      <x:c r="B558" s="2" t="str">
        <x:v>O00230</x:v>
      </x:c>
      <x:c r="C558" s="7" t="n">
        <x:v>45720</x:v>
      </x:c>
      <x:c r="D558" s="2" t="str">
        <x:v>Completed</x:v>
      </x:c>
      <x:c r="E558" s="2" t="str">
        <x:v>South</x:v>
      </x:c>
      <x:c r="F558" s="2" t="str">
        <x:v>Online</x:v>
      </x:c>
      <x:c r="G558" s="2" t="str">
        <x:v>Furniture</x:v>
      </x:c>
      <x:c r="H558" s="2" t="str">
        <x:v>Chair 014</x:v>
      </x:c>
      <x:c r="I558" s="11" t="n">
        <x:v>4</x:v>
      </x:c>
      <x:c r="J558" s="9" t="n">
        <x:v>294</x:v>
      </x:c>
      <x:c r="K558" s="10" t="n">
        <x:v>0</x:v>
      </x:c>
      <x:c r="L558" s="11" t="n">
        <x:v>0</x:v>
      </x:c>
      <x:c r="M558" s="9" t="n">
        <x:f>IF(D558="Completed",I558*J558,0)</x:f>
        <x:v>1176</x:v>
      </x:c>
      <x:c r="N558" s="9" t="n">
        <x:f>M558*K558</x:f>
        <x:v>0</x:v>
      </x:c>
      <x:c r="O558" s="9" t="n">
        <x:f>M558-N558</x:f>
        <x:v>1176</x:v>
      </x:c>
      <x:c r="P558" s="9" t="n">
        <x:f>IF(D558="Completed",L558*J558*(1-K558),0)</x:f>
        <x:v>0</x:v>
      </x:c>
      <x:c r="Q558" s="9" t="n">
        <x:f>O558-P558</x:f>
        <x:v>1176</x:v>
      </x:c>
      <x:c r="R558" s="11" t="n">
        <x:f>IF(D558="Completed",I558,0)</x:f>
        <x:v>4</x:v>
      </x:c>
      <x:c r="S558" s="11" t="n">
        <x:f>IF(D558="Completed",L558,0)</x:f>
        <x:v>0</x:v>
      </x:c>
      <x:c r="T558" s="8" t="n">
        <x:f>DATE(YEAR(C558),MONTH(C558),1)</x:f>
        <x:v>45717</x:v>
      </x:c>
    </x:row>
    <x:row r="559" ht="22" customHeight="1">
      <x:c r="A559" s="2" t="str">
        <x:v>L000555</x:v>
      </x:c>
      <x:c r="B559" s="2" t="str">
        <x:v>O00231</x:v>
      </x:c>
      <x:c r="C559" s="7" t="n">
        <x:v>45960</x:v>
      </x:c>
      <x:c r="D559" s="2" t="str">
        <x:v>Completed</x:v>
      </x:c>
      <x:c r="E559" s="2" t="str">
        <x:v>West</x:v>
      </x:c>
      <x:c r="F559" s="2" t="str">
        <x:v>Online</x:v>
      </x:c>
      <x:c r="G559" s="2" t="str">
        <x:v>Lighting</x:v>
      </x:c>
      <x:c r="H559" s="2" t="str">
        <x:v>Lamp 001</x:v>
      </x:c>
      <x:c r="I559" s="11" t="n">
        <x:v>1</x:v>
      </x:c>
      <x:c r="J559" s="9" t="n">
        <x:v>122</x:v>
      </x:c>
      <x:c r="K559" s="10" t="n">
        <x:v>0.05</x:v>
      </x:c>
      <x:c r="L559" s="11" t="n">
        <x:v>0</x:v>
      </x:c>
      <x:c r="M559" s="9" t="n">
        <x:f>IF(D559="Completed",I559*J559,0)</x:f>
        <x:v>122</x:v>
      </x:c>
      <x:c r="N559" s="9" t="n">
        <x:f>M559*K559</x:f>
        <x:v>6.1000000000000005</x:v>
      </x:c>
      <x:c r="O559" s="9" t="n">
        <x:f>M559-N559</x:f>
        <x:v>115.9</x:v>
      </x:c>
      <x:c r="P559" s="9" t="n">
        <x:f>IF(D559="Completed",L559*J559*(1-K559),0)</x:f>
        <x:v>0</x:v>
      </x:c>
      <x:c r="Q559" s="9" t="n">
        <x:f>O559-P559</x:f>
        <x:v>115.9</x:v>
      </x:c>
      <x:c r="R559" s="11" t="n">
        <x:f>IF(D559="Completed",I559,0)</x:f>
        <x:v>1</x:v>
      </x:c>
      <x:c r="S559" s="11" t="n">
        <x:f>IF(D559="Completed",L559,0)</x:f>
        <x:v>0</x:v>
      </x:c>
      <x:c r="T559" s="8" t="n">
        <x:f>DATE(YEAR(C559),MONTH(C559),1)</x:f>
        <x:v>45931</x:v>
      </x:c>
    </x:row>
    <x:row r="560" ht="22" customHeight="1">
      <x:c r="A560" s="2" t="str">
        <x:v>L000556</x:v>
      </x:c>
      <x:c r="B560" s="2" t="str">
        <x:v>O00231</x:v>
      </x:c>
      <x:c r="C560" s="7" t="n">
        <x:v>45960</x:v>
      </x:c>
      <x:c r="D560" s="2" t="str">
        <x:v>Completed</x:v>
      </x:c>
      <x:c r="E560" s="2" t="str">
        <x:v>West</x:v>
      </x:c>
      <x:c r="F560" s="2" t="str">
        <x:v>Online</x:v>
      </x:c>
      <x:c r="G560" s="2" t="str">
        <x:v>Storage</x:v>
      </x:c>
      <x:c r="H560" s="2" t="str">
        <x:v>Shelf 019</x:v>
      </x:c>
      <x:c r="I560" s="11" t="n">
        <x:v>3</x:v>
      </x:c>
      <x:c r="J560" s="9" t="n">
        <x:v>78</x:v>
      </x:c>
      <x:c r="K560" s="10" t="n">
        <x:v>0</x:v>
      </x:c>
      <x:c r="L560" s="11" t="n">
        <x:v>0</x:v>
      </x:c>
      <x:c r="M560" s="9" t="n">
        <x:f>IF(D560="Completed",I560*J560,0)</x:f>
        <x:v>234</x:v>
      </x:c>
      <x:c r="N560" s="9" t="n">
        <x:f>M560*K560</x:f>
        <x:v>0</x:v>
      </x:c>
      <x:c r="O560" s="9" t="n">
        <x:f>M560-N560</x:f>
        <x:v>234</x:v>
      </x:c>
      <x:c r="P560" s="9" t="n">
        <x:f>IF(D560="Completed",L560*J560*(1-K560),0)</x:f>
        <x:v>0</x:v>
      </x:c>
      <x:c r="Q560" s="9" t="n">
        <x:f>O560-P560</x:f>
        <x:v>234</x:v>
      </x:c>
      <x:c r="R560" s="11" t="n">
        <x:f>IF(D560="Completed",I560,0)</x:f>
        <x:v>3</x:v>
      </x:c>
      <x:c r="S560" s="11" t="n">
        <x:f>IF(D560="Completed",L560,0)</x:f>
        <x:v>0</x:v>
      </x:c>
      <x:c r="T560" s="8" t="n">
        <x:f>DATE(YEAR(C560),MONTH(C560),1)</x:f>
        <x:v>45931</x:v>
      </x:c>
    </x:row>
    <x:row r="561" ht="22" customHeight="1">
      <x:c r="A561" s="2" t="str">
        <x:v>L000557</x:v>
      </x:c>
      <x:c r="B561" s="2" t="str">
        <x:v>O00231</x:v>
      </x:c>
      <x:c r="C561" s="7" t="n">
        <x:v>45960</x:v>
      </x:c>
      <x:c r="D561" s="2" t="str">
        <x:v>Completed</x:v>
      </x:c>
      <x:c r="E561" s="2" t="str">
        <x:v>West</x:v>
      </x:c>
      <x:c r="F561" s="2" t="str">
        <x:v>Online</x:v>
      </x:c>
      <x:c r="G561" s="2" t="str">
        <x:v>Furniture</x:v>
      </x:c>
      <x:c r="H561" s="2" t="str">
        <x:v>Desk 008</x:v>
      </x:c>
      <x:c r="I561" s="11" t="n">
        <x:v>1</x:v>
      </x:c>
      <x:c r="J561" s="9" t="n">
        <x:v>188</x:v>
      </x:c>
      <x:c r="K561" s="10" t="n">
        <x:v>0.05</x:v>
      </x:c>
      <x:c r="L561" s="11" t="n">
        <x:v>0</x:v>
      </x:c>
      <x:c r="M561" s="9" t="n">
        <x:f>IF(D561="Completed",I561*J561,0)</x:f>
        <x:v>188</x:v>
      </x:c>
      <x:c r="N561" s="9" t="n">
        <x:f>M561*K561</x:f>
        <x:v>9.4</x:v>
      </x:c>
      <x:c r="O561" s="9" t="n">
        <x:f>M561-N561</x:f>
        <x:v>178.6</x:v>
      </x:c>
      <x:c r="P561" s="9" t="n">
        <x:f>IF(D561="Completed",L561*J561*(1-K561),0)</x:f>
        <x:v>0</x:v>
      </x:c>
      <x:c r="Q561" s="9" t="n">
        <x:f>O561-P561</x:f>
        <x:v>178.6</x:v>
      </x:c>
      <x:c r="R561" s="11" t="n">
        <x:f>IF(D561="Completed",I561,0)</x:f>
        <x:v>1</x:v>
      </x:c>
      <x:c r="S561" s="11" t="n">
        <x:f>IF(D561="Completed",L561,0)</x:f>
        <x:v>0</x:v>
      </x:c>
      <x:c r="T561" s="8" t="n">
        <x:f>DATE(YEAR(C561),MONTH(C561),1)</x:f>
        <x:v>45931</x:v>
      </x:c>
    </x:row>
    <x:row r="562" ht="22" customHeight="1">
      <x:c r="A562" s="2" t="str">
        <x:v>L000558</x:v>
      </x:c>
      <x:c r="B562" s="2" t="str">
        <x:v>O00231</x:v>
      </x:c>
      <x:c r="C562" s="7" t="n">
        <x:v>45960</x:v>
      </x:c>
      <x:c r="D562" s="2" t="str">
        <x:v>Completed</x:v>
      </x:c>
      <x:c r="E562" s="2" t="str">
        <x:v>West</x:v>
      </x:c>
      <x:c r="F562" s="2" t="str">
        <x:v>Online</x:v>
      </x:c>
      <x:c r="G562" s="2" t="str">
        <x:v>Lighting</x:v>
      </x:c>
      <x:c r="H562" s="2" t="str">
        <x:v>Lamp 013</x:v>
      </x:c>
      <x:c r="I562" s="11" t="n">
        <x:v>4</x:v>
      </x:c>
      <x:c r="J562" s="9" t="n">
        <x:v>271</x:v>
      </x:c>
      <x:c r="K562" s="10" t="n">
        <x:v>0</x:v>
      </x:c>
      <x:c r="L562" s="11" t="n">
        <x:v>0</x:v>
      </x:c>
      <x:c r="M562" s="9" t="n">
        <x:f>IF(D562="Completed",I562*J562,0)</x:f>
        <x:v>1084</x:v>
      </x:c>
      <x:c r="N562" s="9" t="n">
        <x:f>M562*K562</x:f>
        <x:v>0</x:v>
      </x:c>
      <x:c r="O562" s="9" t="n">
        <x:f>M562-N562</x:f>
        <x:v>1084</x:v>
      </x:c>
      <x:c r="P562" s="9" t="n">
        <x:f>IF(D562="Completed",L562*J562*(1-K562),0)</x:f>
        <x:v>0</x:v>
      </x:c>
      <x:c r="Q562" s="9" t="n">
        <x:f>O562-P562</x:f>
        <x:v>1084</x:v>
      </x:c>
      <x:c r="R562" s="11" t="n">
        <x:f>IF(D562="Completed",I562,0)</x:f>
        <x:v>4</x:v>
      </x:c>
      <x:c r="S562" s="11" t="n">
        <x:f>IF(D562="Completed",L562,0)</x:f>
        <x:v>0</x:v>
      </x:c>
      <x:c r="T562" s="8" t="n">
        <x:f>DATE(YEAR(C562),MONTH(C562),1)</x:f>
        <x:v>45931</x:v>
      </x:c>
    </x:row>
    <x:row r="563" ht="22" customHeight="1">
      <x:c r="A563" s="2" t="str">
        <x:v>L000559</x:v>
      </x:c>
      <x:c r="B563" s="2" t="str">
        <x:v>O00232</x:v>
      </x:c>
      <x:c r="C563" s="7" t="n">
        <x:v>45903</x:v>
      </x:c>
      <x:c r="D563" s="2" t="str">
        <x:v>Completed</x:v>
      </x:c>
      <x:c r="E563" s="2" t="str">
        <x:v>West</x:v>
      </x:c>
      <x:c r="F563" s="2" t="str">
        <x:v>Store</x:v>
      </x:c>
      <x:c r="G563" s="2" t="str">
        <x:v>Furniture</x:v>
      </x:c>
      <x:c r="H563" s="2" t="str">
        <x:v>Chair 006</x:v>
      </x:c>
      <x:c r="I563" s="11" t="n">
        <x:v>2</x:v>
      </x:c>
      <x:c r="J563" s="9" t="n">
        <x:v>196</x:v>
      </x:c>
      <x:c r="K563" s="10" t="n">
        <x:v>0.2</x:v>
      </x:c>
      <x:c r="L563" s="11" t="n">
        <x:v>0</x:v>
      </x:c>
      <x:c r="M563" s="9" t="n">
        <x:f>IF(D563="Completed",I563*J563,0)</x:f>
        <x:v>392</x:v>
      </x:c>
      <x:c r="N563" s="9" t="n">
        <x:f>M563*K563</x:f>
        <x:v>78.4</x:v>
      </x:c>
      <x:c r="O563" s="9" t="n">
        <x:f>M563-N563</x:f>
        <x:v>313.6</x:v>
      </x:c>
      <x:c r="P563" s="9" t="n">
        <x:f>IF(D563="Completed",L563*J563*(1-K563),0)</x:f>
        <x:v>0</x:v>
      </x:c>
      <x:c r="Q563" s="9" t="n">
        <x:f>O563-P563</x:f>
        <x:v>313.6</x:v>
      </x:c>
      <x:c r="R563" s="11" t="n">
        <x:f>IF(D563="Completed",I563,0)</x:f>
        <x:v>2</x:v>
      </x:c>
      <x:c r="S563" s="11" t="n">
        <x:f>IF(D563="Completed",L563,0)</x:f>
        <x:v>0</x:v>
      </x:c>
      <x:c r="T563" s="8" t="n">
        <x:f>DATE(YEAR(C563),MONTH(C563),1)</x:f>
        <x:v>45901</x:v>
      </x:c>
    </x:row>
    <x:row r="564" ht="22" customHeight="1">
      <x:c r="A564" s="2" t="str">
        <x:v>L000560</x:v>
      </x:c>
      <x:c r="B564" s="2" t="str">
        <x:v>O00232</x:v>
      </x:c>
      <x:c r="C564" s="7" t="n">
        <x:v>45903</x:v>
      </x:c>
      <x:c r="D564" s="2" t="str">
        <x:v>Completed</x:v>
      </x:c>
      <x:c r="E564" s="2" t="str">
        <x:v>West</x:v>
      </x:c>
      <x:c r="F564" s="2" t="str">
        <x:v>Store</x:v>
      </x:c>
      <x:c r="G564" s="2" t="str">
        <x:v>Storage</x:v>
      </x:c>
      <x:c r="H564" s="2" t="str">
        <x:v>Shelf 015</x:v>
      </x:c>
      <x:c r="I564" s="11" t="n">
        <x:v>2</x:v>
      </x:c>
      <x:c r="J564" s="9" t="n">
        <x:v>254</x:v>
      </x:c>
      <x:c r="K564" s="10" t="n">
        <x:v>0</x:v>
      </x:c>
      <x:c r="L564" s="11" t="n">
        <x:v>1</x:v>
      </x:c>
      <x:c r="M564" s="9" t="n">
        <x:f>IF(D564="Completed",I564*J564,0)</x:f>
        <x:v>508</x:v>
      </x:c>
      <x:c r="N564" s="9" t="n">
        <x:f>M564*K564</x:f>
        <x:v>0</x:v>
      </x:c>
      <x:c r="O564" s="9" t="n">
        <x:f>M564-N564</x:f>
        <x:v>508</x:v>
      </x:c>
      <x:c r="P564" s="9" t="n">
        <x:f>IF(D564="Completed",L564*J564*(1-K564),0)</x:f>
        <x:v>254</x:v>
      </x:c>
      <x:c r="Q564" s="9" t="n">
        <x:f>O564-P564</x:f>
        <x:v>254</x:v>
      </x:c>
      <x:c r="R564" s="11" t="n">
        <x:f>IF(D564="Completed",I564,0)</x:f>
        <x:v>2</x:v>
      </x:c>
      <x:c r="S564" s="11" t="n">
        <x:f>IF(D564="Completed",L564,0)</x:f>
        <x:v>1</x:v>
      </x:c>
      <x:c r="T564" s="8" t="n">
        <x:f>DATE(YEAR(C564),MONTH(C564),1)</x:f>
        <x:v>45901</x:v>
      </x:c>
    </x:row>
    <x:row r="565" ht="22" customHeight="1">
      <x:c r="A565" s="2" t="str">
        <x:v>L000561</x:v>
      </x:c>
      <x:c r="B565" s="2" t="str">
        <x:v>O00232</x:v>
      </x:c>
      <x:c r="C565" s="7" t="n">
        <x:v>45903</x:v>
      </x:c>
      <x:c r="D565" s="2" t="str">
        <x:v>Completed</x:v>
      </x:c>
      <x:c r="E565" s="2" t="str">
        <x:v>West</x:v>
      </x:c>
      <x:c r="F565" s="2" t="str">
        <x:v>Store</x:v>
      </x:c>
      <x:c r="G565" s="2" t="str">
        <x:v>Furniture</x:v>
      </x:c>
      <x:c r="H565" s="2" t="str">
        <x:v>Chair 018</x:v>
      </x:c>
      <x:c r="I565" s="11" t="n">
        <x:v>2</x:v>
      </x:c>
      <x:c r="J565" s="9" t="n">
        <x:v>269</x:v>
      </x:c>
      <x:c r="K565" s="10" t="n">
        <x:v>0</x:v>
      </x:c>
      <x:c r="L565" s="11" t="n">
        <x:v>0</x:v>
      </x:c>
      <x:c r="M565" s="9" t="n">
        <x:f>IF(D565="Completed",I565*J565,0)</x:f>
        <x:v>538</x:v>
      </x:c>
      <x:c r="N565" s="9" t="n">
        <x:f>M565*K565</x:f>
        <x:v>0</x:v>
      </x:c>
      <x:c r="O565" s="9" t="n">
        <x:f>M565-N565</x:f>
        <x:v>538</x:v>
      </x:c>
      <x:c r="P565" s="9" t="n">
        <x:f>IF(D565="Completed",L565*J565*(1-K565),0)</x:f>
        <x:v>0</x:v>
      </x:c>
      <x:c r="Q565" s="9" t="n">
        <x:f>O565-P565</x:f>
        <x:v>538</x:v>
      </x:c>
      <x:c r="R565" s="11" t="n">
        <x:f>IF(D565="Completed",I565,0)</x:f>
        <x:v>2</x:v>
      </x:c>
      <x:c r="S565" s="11" t="n">
        <x:f>IF(D565="Completed",L565,0)</x:f>
        <x:v>0</x:v>
      </x:c>
      <x:c r="T565" s="8" t="n">
        <x:f>DATE(YEAR(C565),MONTH(C565),1)</x:f>
        <x:v>45901</x:v>
      </x:c>
    </x:row>
    <x:row r="566" ht="22" customHeight="1">
      <x:c r="A566" s="2" t="str">
        <x:v>L000562</x:v>
      </x:c>
      <x:c r="B566" s="2" t="str">
        <x:v>O00233</x:v>
      </x:c>
      <x:c r="C566" s="7" t="n">
        <x:v>45794</x:v>
      </x:c>
      <x:c r="D566" s="2" t="str">
        <x:v>Completed</x:v>
      </x:c>
      <x:c r="E566" s="2" t="str">
        <x:v>West</x:v>
      </x:c>
      <x:c r="F566" s="2" t="str">
        <x:v>Online</x:v>
      </x:c>
      <x:c r="G566" s="2" t="str">
        <x:v>Storage</x:v>
      </x:c>
      <x:c r="H566" s="2" t="str">
        <x:v>Shelf 015</x:v>
      </x:c>
      <x:c r="I566" s="11" t="n">
        <x:v>3</x:v>
      </x:c>
      <x:c r="J566" s="9" t="n">
        <x:v>254</x:v>
      </x:c>
      <x:c r="K566" s="10" t="n">
        <x:v>0.2</x:v>
      </x:c>
      <x:c r="L566" s="11" t="n">
        <x:v>0</x:v>
      </x:c>
      <x:c r="M566" s="9" t="n">
        <x:f>IF(D566="Completed",I566*J566,0)</x:f>
        <x:v>762</x:v>
      </x:c>
      <x:c r="N566" s="9" t="n">
        <x:f>M566*K566</x:f>
        <x:v>152.4</x:v>
      </x:c>
      <x:c r="O566" s="9" t="n">
        <x:f>M566-N566</x:f>
        <x:v>609.6</x:v>
      </x:c>
      <x:c r="P566" s="9" t="n">
        <x:f>IF(D566="Completed",L566*J566*(1-K566),0)</x:f>
        <x:v>0</x:v>
      </x:c>
      <x:c r="Q566" s="9" t="n">
        <x:f>O566-P566</x:f>
        <x:v>609.6</x:v>
      </x:c>
      <x:c r="R566" s="11" t="n">
        <x:f>IF(D566="Completed",I566,0)</x:f>
        <x:v>3</x:v>
      </x:c>
      <x:c r="S566" s="11" t="n">
        <x:f>IF(D566="Completed",L566,0)</x:f>
        <x:v>0</x:v>
      </x:c>
      <x:c r="T566" s="8" t="n">
        <x:f>DATE(YEAR(C566),MONTH(C566),1)</x:f>
        <x:v>45778</x:v>
      </x:c>
    </x:row>
    <x:row r="567" ht="22" customHeight="1">
      <x:c r="A567" s="2" t="str">
        <x:v>L000563</x:v>
      </x:c>
      <x:c r="B567" s="2" t="str">
        <x:v>O00233</x:v>
      </x:c>
      <x:c r="C567" s="7" t="n">
        <x:v>45794</x:v>
      </x:c>
      <x:c r="D567" s="2" t="str">
        <x:v>Completed</x:v>
      </x:c>
      <x:c r="E567" s="2" t="str">
        <x:v>West</x:v>
      </x:c>
      <x:c r="F567" s="2" t="str">
        <x:v>Online</x:v>
      </x:c>
      <x:c r="G567" s="2" t="str">
        <x:v>Storage</x:v>
      </x:c>
      <x:c r="H567" s="2" t="str">
        <x:v>Shelf 019</x:v>
      </x:c>
      <x:c r="I567" s="11" t="n">
        <x:v>4</x:v>
      </x:c>
      <x:c r="J567" s="9" t="n">
        <x:v>78</x:v>
      </x:c>
      <x:c r="K567" s="10" t="n">
        <x:v>0.2</x:v>
      </x:c>
      <x:c r="L567" s="11" t="n">
        <x:v>4</x:v>
      </x:c>
      <x:c r="M567" s="9" t="n">
        <x:f>IF(D567="Completed",I567*J567,0)</x:f>
        <x:v>312</x:v>
      </x:c>
      <x:c r="N567" s="9" t="n">
        <x:f>M567*K567</x:f>
        <x:v>62.400000000000006</x:v>
      </x:c>
      <x:c r="O567" s="9" t="n">
        <x:f>M567-N567</x:f>
        <x:v>249.6</x:v>
      </x:c>
      <x:c r="P567" s="9" t="n">
        <x:f>IF(D567="Completed",L567*J567*(1-K567),0)</x:f>
        <x:v>249.60000000000002</x:v>
      </x:c>
      <x:c r="Q567" s="9" t="n">
        <x:f>O567-P567</x:f>
        <x:v>-2.842170943040401e-14</x:v>
      </x:c>
      <x:c r="R567" s="11" t="n">
        <x:f>IF(D567="Completed",I567,0)</x:f>
        <x:v>4</x:v>
      </x:c>
      <x:c r="S567" s="11" t="n">
        <x:f>IF(D567="Completed",L567,0)</x:f>
        <x:v>4</x:v>
      </x:c>
      <x:c r="T567" s="8" t="n">
        <x:f>DATE(YEAR(C567),MONTH(C567),1)</x:f>
        <x:v>45778</x:v>
      </x:c>
    </x:row>
    <x:row r="568" ht="22" customHeight="1">
      <x:c r="A568" s="2" t="str">
        <x:v>L000564</x:v>
      </x:c>
      <x:c r="B568" s="2" t="str">
        <x:v>O00234</x:v>
      </x:c>
      <x:c r="C568" s="7" t="n">
        <x:v>45842</x:v>
      </x:c>
      <x:c r="D568" s="2" t="str">
        <x:v>Completed</x:v>
      </x:c>
      <x:c r="E568" s="2" t="str">
        <x:v>South</x:v>
      </x:c>
      <x:c r="F568" s="2" t="str">
        <x:v>Online</x:v>
      </x:c>
      <x:c r="G568" s="2" t="str">
        <x:v>Furniture</x:v>
      </x:c>
      <x:c r="H568" s="2" t="str">
        <x:v>Chair 006</x:v>
      </x:c>
      <x:c r="I568" s="11" t="n">
        <x:v>3</x:v>
      </x:c>
      <x:c r="J568" s="9" t="n">
        <x:v>196</x:v>
      </x:c>
      <x:c r="K568" s="10" t="n">
        <x:v>0.1</x:v>
      </x:c>
      <x:c r="L568" s="11" t="n">
        <x:v>0</x:v>
      </x:c>
      <x:c r="M568" s="9" t="n">
        <x:f>IF(D568="Completed",I568*J568,0)</x:f>
        <x:v>588</x:v>
      </x:c>
      <x:c r="N568" s="9" t="n">
        <x:f>M568*K568</x:f>
        <x:v>58.800000000000004</x:v>
      </x:c>
      <x:c r="O568" s="9" t="n">
        <x:f>M568-N568</x:f>
        <x:v>529.2</x:v>
      </x:c>
      <x:c r="P568" s="9" t="n">
        <x:f>IF(D568="Completed",L568*J568*(1-K568),0)</x:f>
        <x:v>0</x:v>
      </x:c>
      <x:c r="Q568" s="9" t="n">
        <x:f>O568-P568</x:f>
        <x:v>529.2</x:v>
      </x:c>
      <x:c r="R568" s="11" t="n">
        <x:f>IF(D568="Completed",I568,0)</x:f>
        <x:v>3</x:v>
      </x:c>
      <x:c r="S568" s="11" t="n">
        <x:f>IF(D568="Completed",L568,0)</x:f>
        <x:v>0</x:v>
      </x:c>
      <x:c r="T568" s="8" t="n">
        <x:f>DATE(YEAR(C568),MONTH(C568),1)</x:f>
        <x:v>45839</x:v>
      </x:c>
    </x:row>
    <x:row r="569" ht="22" customHeight="1">
      <x:c r="A569" s="2" t="str">
        <x:v>L000565</x:v>
      </x:c>
      <x:c r="B569" s="2" t="str">
        <x:v>O00234</x:v>
      </x:c>
      <x:c r="C569" s="7" t="n">
        <x:v>45842</x:v>
      </x:c>
      <x:c r="D569" s="2" t="str">
        <x:v>Completed</x:v>
      </x:c>
      <x:c r="E569" s="2" t="str">
        <x:v>South</x:v>
      </x:c>
      <x:c r="F569" s="2" t="str">
        <x:v>Online</x:v>
      </x:c>
      <x:c r="G569" s="2" t="str">
        <x:v>Furniture</x:v>
      </x:c>
      <x:c r="H569" s="2" t="str">
        <x:v>Chair 002</x:v>
      </x:c>
      <x:c r="I569" s="11" t="n">
        <x:v>3</x:v>
      </x:c>
      <x:c r="J569" s="9" t="n">
        <x:v>284</x:v>
      </x:c>
      <x:c r="K569" s="10" t="n">
        <x:v>0.2</x:v>
      </x:c>
      <x:c r="L569" s="11" t="n">
        <x:v>0</x:v>
      </x:c>
      <x:c r="M569" s="9" t="n">
        <x:f>IF(D569="Completed",I569*J569,0)</x:f>
        <x:v>852</x:v>
      </x:c>
      <x:c r="N569" s="9" t="n">
        <x:f>M569*K569</x:f>
        <x:v>170.4</x:v>
      </x:c>
      <x:c r="O569" s="9" t="n">
        <x:f>M569-N569</x:f>
        <x:v>681.6</x:v>
      </x:c>
      <x:c r="P569" s="9" t="n">
        <x:f>IF(D569="Completed",L569*J569*(1-K569),0)</x:f>
        <x:v>0</x:v>
      </x:c>
      <x:c r="Q569" s="9" t="n">
        <x:f>O569-P569</x:f>
        <x:v>681.6</x:v>
      </x:c>
      <x:c r="R569" s="11" t="n">
        <x:f>IF(D569="Completed",I569,0)</x:f>
        <x:v>3</x:v>
      </x:c>
      <x:c r="S569" s="11" t="n">
        <x:f>IF(D569="Completed",L569,0)</x:f>
        <x:v>0</x:v>
      </x:c>
      <x:c r="T569" s="8" t="n">
        <x:f>DATE(YEAR(C569),MONTH(C569),1)</x:f>
        <x:v>45839</x:v>
      </x:c>
    </x:row>
    <x:row r="570" ht="22" customHeight="1">
      <x:c r="A570" s="2" t="str">
        <x:v>L000566</x:v>
      </x:c>
      <x:c r="B570" s="2" t="str">
        <x:v>O00234</x:v>
      </x:c>
      <x:c r="C570" s="7" t="n">
        <x:v>45842</x:v>
      </x:c>
      <x:c r="D570" s="2" t="str">
        <x:v>Completed</x:v>
      </x:c>
      <x:c r="E570" s="2" t="str">
        <x:v>South</x:v>
      </x:c>
      <x:c r="F570" s="2" t="str">
        <x:v>Online</x:v>
      </x:c>
      <x:c r="G570" s="2" t="str">
        <x:v>Lighting</x:v>
      </x:c>
      <x:c r="H570" s="2" t="str">
        <x:v>Lamp 009</x:v>
      </x:c>
      <x:c r="I570" s="11" t="n">
        <x:v>4</x:v>
      </x:c>
      <x:c r="J570" s="9" t="n">
        <x:v>93</x:v>
      </x:c>
      <x:c r="K570" s="10" t="n">
        <x:v>0.05</x:v>
      </x:c>
      <x:c r="L570" s="11" t="n">
        <x:v>0</x:v>
      </x:c>
      <x:c r="M570" s="9" t="n">
        <x:f>IF(D570="Completed",I570*J570,0)</x:f>
        <x:v>372</x:v>
      </x:c>
      <x:c r="N570" s="9" t="n">
        <x:f>M570*K570</x:f>
        <x:v>18.6</x:v>
      </x:c>
      <x:c r="O570" s="9" t="n">
        <x:f>M570-N570</x:f>
        <x:v>353.4</x:v>
      </x:c>
      <x:c r="P570" s="9" t="n">
        <x:f>IF(D570="Completed",L570*J570*(1-K570),0)</x:f>
        <x:v>0</x:v>
      </x:c>
      <x:c r="Q570" s="9" t="n">
        <x:f>O570-P570</x:f>
        <x:v>353.4</x:v>
      </x:c>
      <x:c r="R570" s="11" t="n">
        <x:f>IF(D570="Completed",I570,0)</x:f>
        <x:v>4</x:v>
      </x:c>
      <x:c r="S570" s="11" t="n">
        <x:f>IF(D570="Completed",L570,0)</x:f>
        <x:v>0</x:v>
      </x:c>
      <x:c r="T570" s="8" t="n">
        <x:f>DATE(YEAR(C570),MONTH(C570),1)</x:f>
        <x:v>45839</x:v>
      </x:c>
    </x:row>
    <x:row r="571" ht="22" customHeight="1">
      <x:c r="A571" s="2" t="str">
        <x:v>L000567</x:v>
      </x:c>
      <x:c r="B571" s="2" t="str">
        <x:v>O00234</x:v>
      </x:c>
      <x:c r="C571" s="7" t="n">
        <x:v>45842</x:v>
      </x:c>
      <x:c r="D571" s="2" t="str">
        <x:v>Completed</x:v>
      </x:c>
      <x:c r="E571" s="2" t="str">
        <x:v>South</x:v>
      </x:c>
      <x:c r="F571" s="2" t="str">
        <x:v>Online</x:v>
      </x:c>
      <x:c r="G571" s="2" t="str">
        <x:v>Furniture</x:v>
      </x:c>
      <x:c r="H571" s="2" t="str">
        <x:v>Desk 004</x:v>
      </x:c>
      <x:c r="I571" s="11" t="n">
        <x:v>5</x:v>
      </x:c>
      <x:c r="J571" s="9" t="n">
        <x:v>123</x:v>
      </x:c>
      <x:c r="K571" s="10" t="n">
        <x:v>0.2</x:v>
      </x:c>
      <x:c r="L571" s="11" t="n">
        <x:v>0</x:v>
      </x:c>
      <x:c r="M571" s="9" t="n">
        <x:f>IF(D571="Completed",I571*J571,0)</x:f>
        <x:v>615</x:v>
      </x:c>
      <x:c r="N571" s="9" t="n">
        <x:f>M571*K571</x:f>
        <x:v>123</x:v>
      </x:c>
      <x:c r="O571" s="9" t="n">
        <x:f>M571-N571</x:f>
        <x:v>492</x:v>
      </x:c>
      <x:c r="P571" s="9" t="n">
        <x:f>IF(D571="Completed",L571*J571*(1-K571),0)</x:f>
        <x:v>0</x:v>
      </x:c>
      <x:c r="Q571" s="9" t="n">
        <x:f>O571-P571</x:f>
        <x:v>492</x:v>
      </x:c>
      <x:c r="R571" s="11" t="n">
        <x:f>IF(D571="Completed",I571,0)</x:f>
        <x:v>5</x:v>
      </x:c>
      <x:c r="S571" s="11" t="n">
        <x:f>IF(D571="Completed",L571,0)</x:f>
        <x:v>0</x:v>
      </x:c>
      <x:c r="T571" s="8" t="n">
        <x:f>DATE(YEAR(C571),MONTH(C571),1)</x:f>
        <x:v>45839</x:v>
      </x:c>
    </x:row>
    <x:row r="572" ht="22" customHeight="1">
      <x:c r="A572" s="2" t="str">
        <x:v>L000568</x:v>
      </x:c>
      <x:c r="B572" s="2" t="str">
        <x:v>O00235</x:v>
      </x:c>
      <x:c r="C572" s="7" t="n">
        <x:v>45745</x:v>
      </x:c>
      <x:c r="D572" s="2" t="str">
        <x:v>Completed</x:v>
      </x:c>
      <x:c r="E572" s="2" t="str">
        <x:v>West</x:v>
      </x:c>
      <x:c r="F572" s="2" t="str">
        <x:v>Store</x:v>
      </x:c>
      <x:c r="G572" s="2" t="str">
        <x:v>Storage</x:v>
      </x:c>
      <x:c r="H572" s="2" t="str">
        <x:v>Shelf 011</x:v>
      </x:c>
      <x:c r="I572" s="11" t="n">
        <x:v>2</x:v>
      </x:c>
      <x:c r="J572" s="9" t="n">
        <x:v>80</x:v>
      </x:c>
      <x:c r="K572" s="10" t="n">
        <x:v>0.2</x:v>
      </x:c>
      <x:c r="L572" s="11" t="n">
        <x:v>1</x:v>
      </x:c>
      <x:c r="M572" s="9" t="n">
        <x:f>IF(D572="Completed",I572*J572,0)</x:f>
        <x:v>160</x:v>
      </x:c>
      <x:c r="N572" s="9" t="n">
        <x:f>M572*K572</x:f>
        <x:v>32</x:v>
      </x:c>
      <x:c r="O572" s="9" t="n">
        <x:f>M572-N572</x:f>
        <x:v>128</x:v>
      </x:c>
      <x:c r="P572" s="9" t="n">
        <x:f>IF(D572="Completed",L572*J572*(1-K572),0)</x:f>
        <x:v>64</x:v>
      </x:c>
      <x:c r="Q572" s="9" t="n">
        <x:f>O572-P572</x:f>
        <x:v>64</x:v>
      </x:c>
      <x:c r="R572" s="11" t="n">
        <x:f>IF(D572="Completed",I572,0)</x:f>
        <x:v>2</x:v>
      </x:c>
      <x:c r="S572" s="11" t="n">
        <x:f>IF(D572="Completed",L572,0)</x:f>
        <x:v>1</x:v>
      </x:c>
      <x:c r="T572" s="8" t="n">
        <x:f>DATE(YEAR(C572),MONTH(C572),1)</x:f>
        <x:v>45717</x:v>
      </x:c>
    </x:row>
    <x:row r="573" ht="22" customHeight="1">
      <x:c r="A573" s="2" t="str">
        <x:v>L000569</x:v>
      </x:c>
      <x:c r="B573" s="2" t="str">
        <x:v>O00236</x:v>
      </x:c>
      <x:c r="C573" s="7" t="n">
        <x:v>45944</x:v>
      </x:c>
      <x:c r="D573" s="2" t="str">
        <x:v>Completed</x:v>
      </x:c>
      <x:c r="E573" s="2" t="str">
        <x:v>West</x:v>
      </x:c>
      <x:c r="F573" s="2" t="str">
        <x:v>Online</x:v>
      </x:c>
      <x:c r="G573" s="2" t="str">
        <x:v>Furniture</x:v>
      </x:c>
      <x:c r="H573" s="2" t="str">
        <x:v>Chair 002</x:v>
      </x:c>
      <x:c r="I573" s="11" t="n">
        <x:v>5</x:v>
      </x:c>
      <x:c r="J573" s="9" t="n">
        <x:v>284</x:v>
      </x:c>
      <x:c r="K573" s="10" t="n">
        <x:v>0</x:v>
      </x:c>
      <x:c r="L573" s="11" t="n">
        <x:v>0</x:v>
      </x:c>
      <x:c r="M573" s="9" t="n">
        <x:f>IF(D573="Completed",I573*J573,0)</x:f>
        <x:v>1420</x:v>
      </x:c>
      <x:c r="N573" s="9" t="n">
        <x:f>M573*K573</x:f>
        <x:v>0</x:v>
      </x:c>
      <x:c r="O573" s="9" t="n">
        <x:f>M573-N573</x:f>
        <x:v>1420</x:v>
      </x:c>
      <x:c r="P573" s="9" t="n">
        <x:f>IF(D573="Completed",L573*J573*(1-K573),0)</x:f>
        <x:v>0</x:v>
      </x:c>
      <x:c r="Q573" s="9" t="n">
        <x:f>O573-P573</x:f>
        <x:v>1420</x:v>
      </x:c>
      <x:c r="R573" s="11" t="n">
        <x:f>IF(D573="Completed",I573,0)</x:f>
        <x:v>5</x:v>
      </x:c>
      <x:c r="S573" s="11" t="n">
        <x:f>IF(D573="Completed",L573,0)</x:f>
        <x:v>0</x:v>
      </x:c>
      <x:c r="T573" s="8" t="n">
        <x:f>DATE(YEAR(C573),MONTH(C573),1)</x:f>
        <x:v>45931</x:v>
      </x:c>
    </x:row>
    <x:row r="574" ht="22" customHeight="1">
      <x:c r="A574" s="2" t="str">
        <x:v>L000570</x:v>
      </x:c>
      <x:c r="B574" s="2" t="str">
        <x:v>O00237</x:v>
      </x:c>
      <x:c r="C574" s="7" t="n">
        <x:v>45926</x:v>
      </x:c>
      <x:c r="D574" s="2" t="str">
        <x:v>Completed</x:v>
      </x:c>
      <x:c r="E574" s="2" t="str">
        <x:v>South</x:v>
      </x:c>
      <x:c r="F574" s="2" t="str">
        <x:v>Store</x:v>
      </x:c>
      <x:c r="G574" s="2" t="str">
        <x:v>Furniture</x:v>
      </x:c>
      <x:c r="H574" s="2" t="str">
        <x:v>Desk 004</x:v>
      </x:c>
      <x:c r="I574" s="11" t="n">
        <x:v>3</x:v>
      </x:c>
      <x:c r="J574" s="9" t="n">
        <x:v>123</x:v>
      </x:c>
      <x:c r="K574" s="10" t="n">
        <x:v>0.2</x:v>
      </x:c>
      <x:c r="L574" s="11" t="n">
        <x:v>0</x:v>
      </x:c>
      <x:c r="M574" s="9" t="n">
        <x:f>IF(D574="Completed",I574*J574,0)</x:f>
        <x:v>369</x:v>
      </x:c>
      <x:c r="N574" s="9" t="n">
        <x:f>M574*K574</x:f>
        <x:v>73.8</x:v>
      </x:c>
      <x:c r="O574" s="9" t="n">
        <x:f>M574-N574</x:f>
        <x:v>295.2</x:v>
      </x:c>
      <x:c r="P574" s="9" t="n">
        <x:f>IF(D574="Completed",L574*J574*(1-K574),0)</x:f>
        <x:v>0</x:v>
      </x:c>
      <x:c r="Q574" s="9" t="n">
        <x:f>O574-P574</x:f>
        <x:v>295.2</x:v>
      </x:c>
      <x:c r="R574" s="11" t="n">
        <x:f>IF(D574="Completed",I574,0)</x:f>
        <x:v>3</x:v>
      </x:c>
      <x:c r="S574" s="11" t="n">
        <x:f>IF(D574="Completed",L574,0)</x:f>
        <x:v>0</x:v>
      </x:c>
      <x:c r="T574" s="8" t="n">
        <x:f>DATE(YEAR(C574),MONTH(C574),1)</x:f>
        <x:v>45901</x:v>
      </x:c>
    </x:row>
    <x:row r="575" ht="22" customHeight="1">
      <x:c r="A575" s="2" t="str">
        <x:v>L000571</x:v>
      </x:c>
      <x:c r="B575" s="2" t="str">
        <x:v>O00237</x:v>
      </x:c>
      <x:c r="C575" s="7" t="n">
        <x:v>45926</x:v>
      </x:c>
      <x:c r="D575" s="2" t="str">
        <x:v>Completed</x:v>
      </x:c>
      <x:c r="E575" s="2" t="str">
        <x:v>South</x:v>
      </x:c>
      <x:c r="F575" s="2" t="str">
        <x:v>Store</x:v>
      </x:c>
      <x:c r="G575" s="2" t="str">
        <x:v>Lighting</x:v>
      </x:c>
      <x:c r="H575" s="2" t="str">
        <x:v>Lamp 009</x:v>
      </x:c>
      <x:c r="I575" s="11" t="n">
        <x:v>2</x:v>
      </x:c>
      <x:c r="J575" s="9" t="n">
        <x:v>93</x:v>
      </x:c>
      <x:c r="K575" s="10" t="n">
        <x:v>0</x:v>
      </x:c>
      <x:c r="L575" s="11" t="n">
        <x:v>0</x:v>
      </x:c>
      <x:c r="M575" s="9" t="n">
        <x:f>IF(D575="Completed",I575*J575,0)</x:f>
        <x:v>186</x:v>
      </x:c>
      <x:c r="N575" s="9" t="n">
        <x:f>M575*K575</x:f>
        <x:v>0</x:v>
      </x:c>
      <x:c r="O575" s="9" t="n">
        <x:f>M575-N575</x:f>
        <x:v>186</x:v>
      </x:c>
      <x:c r="P575" s="9" t="n">
        <x:f>IF(D575="Completed",L575*J575*(1-K575),0)</x:f>
        <x:v>0</x:v>
      </x:c>
      <x:c r="Q575" s="9" t="n">
        <x:f>O575-P575</x:f>
        <x:v>186</x:v>
      </x:c>
      <x:c r="R575" s="11" t="n">
        <x:f>IF(D575="Completed",I575,0)</x:f>
        <x:v>2</x:v>
      </x:c>
      <x:c r="S575" s="11" t="n">
        <x:f>IF(D575="Completed",L575,0)</x:f>
        <x:v>0</x:v>
      </x:c>
      <x:c r="T575" s="8" t="n">
        <x:f>DATE(YEAR(C575),MONTH(C575),1)</x:f>
        <x:v>45901</x:v>
      </x:c>
    </x:row>
    <x:row r="576" ht="22" customHeight="1">
      <x:c r="A576" s="2" t="str">
        <x:v>L000572</x:v>
      </x:c>
      <x:c r="B576" s="2" t="str">
        <x:v>O00237</x:v>
      </x:c>
      <x:c r="C576" s="7" t="n">
        <x:v>45926</x:v>
      </x:c>
      <x:c r="D576" s="2" t="str">
        <x:v>Completed</x:v>
      </x:c>
      <x:c r="E576" s="2" t="str">
        <x:v>South</x:v>
      </x:c>
      <x:c r="F576" s="2" t="str">
        <x:v>Store</x:v>
      </x:c>
      <x:c r="G576" s="2" t="str">
        <x:v>Furniture</x:v>
      </x:c>
      <x:c r="H576" s="2" t="str">
        <x:v>Chair 010</x:v>
      </x:c>
      <x:c r="I576" s="11" t="n">
        <x:v>1</x:v>
      </x:c>
      <x:c r="J576" s="9" t="n">
        <x:v>211</x:v>
      </x:c>
      <x:c r="K576" s="10" t="n">
        <x:v>0.1</x:v>
      </x:c>
      <x:c r="L576" s="11" t="n">
        <x:v>0</x:v>
      </x:c>
      <x:c r="M576" s="9" t="n">
        <x:f>IF(D576="Completed",I576*J576,0)</x:f>
        <x:v>211</x:v>
      </x:c>
      <x:c r="N576" s="9" t="n">
        <x:f>M576*K576</x:f>
        <x:v>21.1</x:v>
      </x:c>
      <x:c r="O576" s="9" t="n">
        <x:f>M576-N576</x:f>
        <x:v>189.9</x:v>
      </x:c>
      <x:c r="P576" s="9" t="n">
        <x:f>IF(D576="Completed",L576*J576*(1-K576),0)</x:f>
        <x:v>0</x:v>
      </x:c>
      <x:c r="Q576" s="9" t="n">
        <x:f>O576-P576</x:f>
        <x:v>189.9</x:v>
      </x:c>
      <x:c r="R576" s="11" t="n">
        <x:f>IF(D576="Completed",I576,0)</x:f>
        <x:v>1</x:v>
      </x:c>
      <x:c r="S576" s="11" t="n">
        <x:f>IF(D576="Completed",L576,0)</x:f>
        <x:v>0</x:v>
      </x:c>
      <x:c r="T576" s="8" t="n">
        <x:f>DATE(YEAR(C576),MONTH(C576),1)</x:f>
        <x:v>45901</x:v>
      </x:c>
    </x:row>
    <x:row r="577" ht="22" customHeight="1">
      <x:c r="A577" s="2" t="str">
        <x:v>L000573</x:v>
      </x:c>
      <x:c r="B577" s="2" t="str">
        <x:v>O00237</x:v>
      </x:c>
      <x:c r="C577" s="7" t="n">
        <x:v>45926</x:v>
      </x:c>
      <x:c r="D577" s="2" t="str">
        <x:v>Completed</x:v>
      </x:c>
      <x:c r="E577" s="2" t="str">
        <x:v>South</x:v>
      </x:c>
      <x:c r="F577" s="2" t="str">
        <x:v>Store</x:v>
      </x:c>
      <x:c r="G577" s="2" t="str">
        <x:v>Storage</x:v>
      </x:c>
      <x:c r="H577" s="2" t="str">
        <x:v>Shelf 019</x:v>
      </x:c>
      <x:c r="I577" s="11" t="n">
        <x:v>3</x:v>
      </x:c>
      <x:c r="J577" s="9" t="n">
        <x:v>78</x:v>
      </x:c>
      <x:c r="K577" s="10" t="n">
        <x:v>0.1</x:v>
      </x:c>
      <x:c r="L577" s="11" t="n">
        <x:v>0</x:v>
      </x:c>
      <x:c r="M577" s="9" t="n">
        <x:f>IF(D577="Completed",I577*J577,0)</x:f>
        <x:v>234</x:v>
      </x:c>
      <x:c r="N577" s="9" t="n">
        <x:f>M577*K577</x:f>
        <x:v>23.400000000000002</x:v>
      </x:c>
      <x:c r="O577" s="9" t="n">
        <x:f>M577-N577</x:f>
        <x:v>210.6</x:v>
      </x:c>
      <x:c r="P577" s="9" t="n">
        <x:f>IF(D577="Completed",L577*J577*(1-K577),0)</x:f>
        <x:v>0</x:v>
      </x:c>
      <x:c r="Q577" s="9" t="n">
        <x:f>O577-P577</x:f>
        <x:v>210.6</x:v>
      </x:c>
      <x:c r="R577" s="11" t="n">
        <x:f>IF(D577="Completed",I577,0)</x:f>
        <x:v>3</x:v>
      </x:c>
      <x:c r="S577" s="11" t="n">
        <x:f>IF(D577="Completed",L577,0)</x:f>
        <x:v>0</x:v>
      </x:c>
      <x:c r="T577" s="8" t="n">
        <x:f>DATE(YEAR(C577),MONTH(C577),1)</x:f>
        <x:v>45901</x:v>
      </x:c>
    </x:row>
    <x:row r="578" ht="22" customHeight="1">
      <x:c r="A578" s="2" t="str">
        <x:v>L000574</x:v>
      </x:c>
      <x:c r="B578" s="2" t="str">
        <x:v>O00238</x:v>
      </x:c>
      <x:c r="C578" s="7" t="n">
        <x:v>45763</x:v>
      </x:c>
      <x:c r="D578" s="2" t="str">
        <x:v>Completed</x:v>
      </x:c>
      <x:c r="E578" s="2" t="str">
        <x:v>West</x:v>
      </x:c>
      <x:c r="F578" s="2" t="str">
        <x:v>Store</x:v>
      </x:c>
      <x:c r="G578" s="2" t="str">
        <x:v>Lighting</x:v>
      </x:c>
      <x:c r="H578" s="2" t="str">
        <x:v>Lamp 021</x:v>
      </x:c>
      <x:c r="I578" s="11" t="n">
        <x:v>1</x:v>
      </x:c>
      <x:c r="J578" s="9" t="n">
        <x:v>249</x:v>
      </x:c>
      <x:c r="K578" s="10" t="n">
        <x:v>0.2</x:v>
      </x:c>
      <x:c r="L578" s="11" t="n">
        <x:v>0</x:v>
      </x:c>
      <x:c r="M578" s="9" t="n">
        <x:f>IF(D578="Completed",I578*J578,0)</x:f>
        <x:v>249</x:v>
      </x:c>
      <x:c r="N578" s="9" t="n">
        <x:f>M578*K578</x:f>
        <x:v>49.800000000000004</x:v>
      </x:c>
      <x:c r="O578" s="9" t="n">
        <x:f>M578-N578</x:f>
        <x:v>199.2</x:v>
      </x:c>
      <x:c r="P578" s="9" t="n">
        <x:f>IF(D578="Completed",L578*J578*(1-K578),0)</x:f>
        <x:v>0</x:v>
      </x:c>
      <x:c r="Q578" s="9" t="n">
        <x:f>O578-P578</x:f>
        <x:v>199.2</x:v>
      </x:c>
      <x:c r="R578" s="11" t="n">
        <x:f>IF(D578="Completed",I578,0)</x:f>
        <x:v>1</x:v>
      </x:c>
      <x:c r="S578" s="11" t="n">
        <x:f>IF(D578="Completed",L578,0)</x:f>
        <x:v>0</x:v>
      </x:c>
      <x:c r="T578" s="8" t="n">
        <x:f>DATE(YEAR(C578),MONTH(C578),1)</x:f>
        <x:v>45748</x:v>
      </x:c>
    </x:row>
    <x:row r="579" ht="22" customHeight="1">
      <x:c r="A579" s="2" t="str">
        <x:v>L000575</x:v>
      </x:c>
      <x:c r="B579" s="2" t="str">
        <x:v>O00238</x:v>
      </x:c>
      <x:c r="C579" s="7" t="n">
        <x:v>45763</x:v>
      </x:c>
      <x:c r="D579" s="2" t="str">
        <x:v>Completed</x:v>
      </x:c>
      <x:c r="E579" s="2" t="str">
        <x:v>West</x:v>
      </x:c>
      <x:c r="F579" s="2" t="str">
        <x:v>Store</x:v>
      </x:c>
      <x:c r="G579" s="2" t="str">
        <x:v>Furniture</x:v>
      </x:c>
      <x:c r="H579" s="2" t="str">
        <x:v>Chair 006</x:v>
      </x:c>
      <x:c r="I579" s="11" t="n">
        <x:v>2</x:v>
      </x:c>
      <x:c r="J579" s="9" t="n">
        <x:v>196</x:v>
      </x:c>
      <x:c r="K579" s="10" t="n">
        <x:v>0.05</x:v>
      </x:c>
      <x:c r="L579" s="11" t="n">
        <x:v>0</x:v>
      </x:c>
      <x:c r="M579" s="9" t="n">
        <x:f>IF(D579="Completed",I579*J579,0)</x:f>
        <x:v>392</x:v>
      </x:c>
      <x:c r="N579" s="9" t="n">
        <x:f>M579*K579</x:f>
        <x:v>19.6</x:v>
      </x:c>
      <x:c r="O579" s="9" t="n">
        <x:f>M579-N579</x:f>
        <x:v>372.4</x:v>
      </x:c>
      <x:c r="P579" s="9" t="n">
        <x:f>IF(D579="Completed",L579*J579*(1-K579),0)</x:f>
        <x:v>0</x:v>
      </x:c>
      <x:c r="Q579" s="9" t="n">
        <x:f>O579-P579</x:f>
        <x:v>372.4</x:v>
      </x:c>
      <x:c r="R579" s="11" t="n">
        <x:f>IF(D579="Completed",I579,0)</x:f>
        <x:v>2</x:v>
      </x:c>
      <x:c r="S579" s="11" t="n">
        <x:f>IF(D579="Completed",L579,0)</x:f>
        <x:v>0</x:v>
      </x:c>
      <x:c r="T579" s="8" t="n">
        <x:f>DATE(YEAR(C579),MONTH(C579),1)</x:f>
        <x:v>45748</x:v>
      </x:c>
    </x:row>
    <x:row r="580" ht="22" customHeight="1">
      <x:c r="A580" s="2" t="str">
        <x:v>L000576</x:v>
      </x:c>
      <x:c r="B580" s="2" t="str">
        <x:v>O00238</x:v>
      </x:c>
      <x:c r="C580" s="7" t="n">
        <x:v>45763</x:v>
      </x:c>
      <x:c r="D580" s="2" t="str">
        <x:v>Completed</x:v>
      </x:c>
      <x:c r="E580" s="2" t="str">
        <x:v>West</x:v>
      </x:c>
      <x:c r="F580" s="2" t="str">
        <x:v>Store</x:v>
      </x:c>
      <x:c r="G580" s="2" t="str">
        <x:v>Furniture</x:v>
      </x:c>
      <x:c r="H580" s="2" t="str">
        <x:v>Chair 010</x:v>
      </x:c>
      <x:c r="I580" s="11" t="n">
        <x:v>2</x:v>
      </x:c>
      <x:c r="J580" s="9" t="n">
        <x:v>211</x:v>
      </x:c>
      <x:c r="K580" s="10" t="n">
        <x:v>0</x:v>
      </x:c>
      <x:c r="L580" s="11" t="n">
        <x:v>0</x:v>
      </x:c>
      <x:c r="M580" s="9" t="n">
        <x:f>IF(D580="Completed",I580*J580,0)</x:f>
        <x:v>422</x:v>
      </x:c>
      <x:c r="N580" s="9" t="n">
        <x:f>M580*K580</x:f>
        <x:v>0</x:v>
      </x:c>
      <x:c r="O580" s="9" t="n">
        <x:f>M580-N580</x:f>
        <x:v>422</x:v>
      </x:c>
      <x:c r="P580" s="9" t="n">
        <x:f>IF(D580="Completed",L580*J580*(1-K580),0)</x:f>
        <x:v>0</x:v>
      </x:c>
      <x:c r="Q580" s="9" t="n">
        <x:f>O580-P580</x:f>
        <x:v>422</x:v>
      </x:c>
      <x:c r="R580" s="11" t="n">
        <x:f>IF(D580="Completed",I580,0)</x:f>
        <x:v>2</x:v>
      </x:c>
      <x:c r="S580" s="11" t="n">
        <x:f>IF(D580="Completed",L580,0)</x:f>
        <x:v>0</x:v>
      </x:c>
      <x:c r="T580" s="8" t="n">
        <x:f>DATE(YEAR(C580),MONTH(C580),1)</x:f>
        <x:v>45748</x:v>
      </x:c>
    </x:row>
    <x:row r="581" ht="22" customHeight="1">
      <x:c r="A581" s="2" t="str">
        <x:v>L000577</x:v>
      </x:c>
      <x:c r="B581" s="2" t="str">
        <x:v>O00238</x:v>
      </x:c>
      <x:c r="C581" s="7" t="n">
        <x:v>45763</x:v>
      </x:c>
      <x:c r="D581" s="2" t="str">
        <x:v>Completed</x:v>
      </x:c>
      <x:c r="E581" s="2" t="str">
        <x:v>West</x:v>
      </x:c>
      <x:c r="F581" s="2" t="str">
        <x:v>Store</x:v>
      </x:c>
      <x:c r="G581" s="2" t="str">
        <x:v>Furniture</x:v>
      </x:c>
      <x:c r="H581" s="2" t="str">
        <x:v>Chair 010</x:v>
      </x:c>
      <x:c r="I581" s="11" t="n">
        <x:v>4</x:v>
      </x:c>
      <x:c r="J581" s="9" t="n">
        <x:v>211</x:v>
      </x:c>
      <x:c r="K581" s="10" t="n">
        <x:v>0.05</x:v>
      </x:c>
      <x:c r="L581" s="11" t="n">
        <x:v>0</x:v>
      </x:c>
      <x:c r="M581" s="9" t="n">
        <x:f>IF(D581="Completed",I581*J581,0)</x:f>
        <x:v>844</x:v>
      </x:c>
      <x:c r="N581" s="9" t="n">
        <x:f>M581*K581</x:f>
        <x:v>42.2</x:v>
      </x:c>
      <x:c r="O581" s="9" t="n">
        <x:f>M581-N581</x:f>
        <x:v>801.8</x:v>
      </x:c>
      <x:c r="P581" s="9" t="n">
        <x:f>IF(D581="Completed",L581*J581*(1-K581),0)</x:f>
        <x:v>0</x:v>
      </x:c>
      <x:c r="Q581" s="9" t="n">
        <x:f>O581-P581</x:f>
        <x:v>801.8</x:v>
      </x:c>
      <x:c r="R581" s="11" t="n">
        <x:f>IF(D581="Completed",I581,0)</x:f>
        <x:v>4</x:v>
      </x:c>
      <x:c r="S581" s="11" t="n">
        <x:f>IF(D581="Completed",L581,0)</x:f>
        <x:v>0</x:v>
      </x:c>
      <x:c r="T581" s="8" t="n">
        <x:f>DATE(YEAR(C581),MONTH(C581),1)</x:f>
        <x:v>45748</x:v>
      </x:c>
    </x:row>
    <x:row r="582" ht="22" customHeight="1">
      <x:c r="A582" s="2" t="str">
        <x:v>L000578</x:v>
      </x:c>
      <x:c r="B582" s="2" t="str">
        <x:v>O00239</x:v>
      </x:c>
      <x:c r="C582" s="7" t="n">
        <x:v>45893</x:v>
      </x:c>
      <x:c r="D582" s="2" t="str">
        <x:v>Completed</x:v>
      </x:c>
      <x:c r="E582" s="2" t="str">
        <x:v>East</x:v>
      </x:c>
      <x:c r="F582" s="2" t="str">
        <x:v>Online</x:v>
      </x:c>
      <x:c r="G582" s="2" t="str">
        <x:v>Furniture</x:v>
      </x:c>
      <x:c r="H582" s="2" t="str">
        <x:v>Desk 016</x:v>
      </x:c>
      <x:c r="I582" s="11" t="n">
        <x:v>3</x:v>
      </x:c>
      <x:c r="J582" s="9" t="n">
        <x:v>231</x:v>
      </x:c>
      <x:c r="K582" s="10" t="n">
        <x:v>0.2</x:v>
      </x:c>
      <x:c r="L582" s="11" t="n">
        <x:v>0</x:v>
      </x:c>
      <x:c r="M582" s="9" t="n">
        <x:f>IF(D582="Completed",I582*J582,0)</x:f>
        <x:v>693</x:v>
      </x:c>
      <x:c r="N582" s="9" t="n">
        <x:f>M582*K582</x:f>
        <x:v>138.6</x:v>
      </x:c>
      <x:c r="O582" s="9" t="n">
        <x:f>M582-N582</x:f>
        <x:v>554.4</x:v>
      </x:c>
      <x:c r="P582" s="9" t="n">
        <x:f>IF(D582="Completed",L582*J582*(1-K582),0)</x:f>
        <x:v>0</x:v>
      </x:c>
      <x:c r="Q582" s="9" t="n">
        <x:f>O582-P582</x:f>
        <x:v>554.4</x:v>
      </x:c>
      <x:c r="R582" s="11" t="n">
        <x:f>IF(D582="Completed",I582,0)</x:f>
        <x:v>3</x:v>
      </x:c>
      <x:c r="S582" s="11" t="n">
        <x:f>IF(D582="Completed",L582,0)</x:f>
        <x:v>0</x:v>
      </x:c>
      <x:c r="T582" s="8" t="n">
        <x:f>DATE(YEAR(C582),MONTH(C582),1)</x:f>
        <x:v>45870</x:v>
      </x:c>
    </x:row>
    <x:row r="583" ht="22" customHeight="1">
      <x:c r="A583" s="2" t="str">
        <x:v>L000579</x:v>
      </x:c>
      <x:c r="B583" s="2" t="str">
        <x:v>O00240</x:v>
      </x:c>
      <x:c r="C583" s="7" t="n">
        <x:v>45718</x:v>
      </x:c>
      <x:c r="D583" s="2" t="str">
        <x:v>Completed</x:v>
      </x:c>
      <x:c r="E583" s="2" t="str">
        <x:v>South</x:v>
      </x:c>
      <x:c r="F583" s="2" t="str">
        <x:v>Online</x:v>
      </x:c>
      <x:c r="G583" s="2" t="str">
        <x:v>Storage</x:v>
      </x:c>
      <x:c r="H583" s="2" t="str">
        <x:v>Shelf 007</x:v>
      </x:c>
      <x:c r="I583" s="11" t="n">
        <x:v>3</x:v>
      </x:c>
      <x:c r="J583" s="9" t="n">
        <x:v>35</x:v>
      </x:c>
      <x:c r="K583" s="10" t="n">
        <x:v>0.2</x:v>
      </x:c>
      <x:c r="L583" s="11" t="n">
        <x:v>0</x:v>
      </x:c>
      <x:c r="M583" s="9" t="n">
        <x:f>IF(D583="Completed",I583*J583,0)</x:f>
        <x:v>105</x:v>
      </x:c>
      <x:c r="N583" s="9" t="n">
        <x:f>M583*K583</x:f>
        <x:v>21</x:v>
      </x:c>
      <x:c r="O583" s="9" t="n">
        <x:f>M583-N583</x:f>
        <x:v>84</x:v>
      </x:c>
      <x:c r="P583" s="9" t="n">
        <x:f>IF(D583="Completed",L583*J583*(1-K583),0)</x:f>
        <x:v>0</x:v>
      </x:c>
      <x:c r="Q583" s="9" t="n">
        <x:f>O583-P583</x:f>
        <x:v>84</x:v>
      </x:c>
      <x:c r="R583" s="11" t="n">
        <x:f>IF(D583="Completed",I583,0)</x:f>
        <x:v>3</x:v>
      </x:c>
      <x:c r="S583" s="11" t="n">
        <x:f>IF(D583="Completed",L583,0)</x:f>
        <x:v>0</x:v>
      </x:c>
      <x:c r="T583" s="8" t="n">
        <x:f>DATE(YEAR(C583),MONTH(C583),1)</x:f>
        <x:v>45717</x:v>
      </x:c>
    </x:row>
    <x:row r="584" ht="22" customHeight="1">
      <x:c r="A584" s="2" t="str">
        <x:v>L000580</x:v>
      </x:c>
      <x:c r="B584" s="2" t="str">
        <x:v>O00241</x:v>
      </x:c>
      <x:c r="C584" s="7" t="n">
        <x:v>45832</x:v>
      </x:c>
      <x:c r="D584" s="2" t="str">
        <x:v>Completed</x:v>
      </x:c>
      <x:c r="E584" s="2" t="str">
        <x:v>South</x:v>
      </x:c>
      <x:c r="F584" s="2" t="str">
        <x:v>Online</x:v>
      </x:c>
      <x:c r="G584" s="2" t="str">
        <x:v>Furniture</x:v>
      </x:c>
      <x:c r="H584" s="2" t="str">
        <x:v>Desk 008</x:v>
      </x:c>
      <x:c r="I584" s="11" t="n">
        <x:v>4</x:v>
      </x:c>
      <x:c r="J584" s="9" t="n">
        <x:v>188</x:v>
      </x:c>
      <x:c r="K584" s="10" t="n">
        <x:v>0</x:v>
      </x:c>
      <x:c r="L584" s="11" t="n">
        <x:v>0</x:v>
      </x:c>
      <x:c r="M584" s="9" t="n">
        <x:f>IF(D584="Completed",I584*J584,0)</x:f>
        <x:v>752</x:v>
      </x:c>
      <x:c r="N584" s="9" t="n">
        <x:f>M584*K584</x:f>
        <x:v>0</x:v>
      </x:c>
      <x:c r="O584" s="9" t="n">
        <x:f>M584-N584</x:f>
        <x:v>752</x:v>
      </x:c>
      <x:c r="P584" s="9" t="n">
        <x:f>IF(D584="Completed",L584*J584*(1-K584),0)</x:f>
        <x:v>0</x:v>
      </x:c>
      <x:c r="Q584" s="9" t="n">
        <x:f>O584-P584</x:f>
        <x:v>752</x:v>
      </x:c>
      <x:c r="R584" s="11" t="n">
        <x:f>IF(D584="Completed",I584,0)</x:f>
        <x:v>4</x:v>
      </x:c>
      <x:c r="S584" s="11" t="n">
        <x:f>IF(D584="Completed",L584,0)</x:f>
        <x:v>0</x:v>
      </x:c>
      <x:c r="T584" s="8" t="n">
        <x:f>DATE(YEAR(C584),MONTH(C584),1)</x:f>
        <x:v>45809</x:v>
      </x:c>
    </x:row>
    <x:row r="585" ht="22" customHeight="1">
      <x:c r="A585" s="2" t="str">
        <x:v>L000581</x:v>
      </x:c>
      <x:c r="B585" s="2" t="str">
        <x:v>O00241</x:v>
      </x:c>
      <x:c r="C585" s="7" t="n">
        <x:v>45832</x:v>
      </x:c>
      <x:c r="D585" s="2" t="str">
        <x:v>Completed</x:v>
      </x:c>
      <x:c r="E585" s="2" t="str">
        <x:v>South</x:v>
      </x:c>
      <x:c r="F585" s="2" t="str">
        <x:v>Online</x:v>
      </x:c>
      <x:c r="G585" s="2" t="str">
        <x:v>Storage</x:v>
      </x:c>
      <x:c r="H585" s="2" t="str">
        <x:v>Shelf 011</x:v>
      </x:c>
      <x:c r="I585" s="11" t="n">
        <x:v>1</x:v>
      </x:c>
      <x:c r="J585" s="9" t="n">
        <x:v>80</x:v>
      </x:c>
      <x:c r="K585" s="10" t="n">
        <x:v>0.2</x:v>
      </x:c>
      <x:c r="L585" s="11" t="n">
        <x:v>1</x:v>
      </x:c>
      <x:c r="M585" s="9" t="n">
        <x:f>IF(D585="Completed",I585*J585,0)</x:f>
        <x:v>80</x:v>
      </x:c>
      <x:c r="N585" s="9" t="n">
        <x:f>M585*K585</x:f>
        <x:v>16</x:v>
      </x:c>
      <x:c r="O585" s="9" t="n">
        <x:f>M585-N585</x:f>
        <x:v>64</x:v>
      </x:c>
      <x:c r="P585" s="9" t="n">
        <x:f>IF(D585="Completed",L585*J585*(1-K585),0)</x:f>
        <x:v>64</x:v>
      </x:c>
      <x:c r="Q585" s="9" t="n">
        <x:f>O585-P585</x:f>
        <x:v>0</x:v>
      </x:c>
      <x:c r="R585" s="11" t="n">
        <x:f>IF(D585="Completed",I585,0)</x:f>
        <x:v>1</x:v>
      </x:c>
      <x:c r="S585" s="11" t="n">
        <x:f>IF(D585="Completed",L585,0)</x:f>
        <x:v>1</x:v>
      </x:c>
      <x:c r="T585" s="8" t="n">
        <x:f>DATE(YEAR(C585),MONTH(C585),1)</x:f>
        <x:v>45809</x:v>
      </x:c>
    </x:row>
    <x:row r="586" ht="22" customHeight="1">
      <x:c r="A586" s="2" t="str">
        <x:v>L000582</x:v>
      </x:c>
      <x:c r="B586" s="2" t="str">
        <x:v>O00241</x:v>
      </x:c>
      <x:c r="C586" s="7" t="n">
        <x:v>45832</x:v>
      </x:c>
      <x:c r="D586" s="2" t="str">
        <x:v>Completed</x:v>
      </x:c>
      <x:c r="E586" s="2" t="str">
        <x:v>South</x:v>
      </x:c>
      <x:c r="F586" s="2" t="str">
        <x:v>Online</x:v>
      </x:c>
      <x:c r="G586" s="2" t="str">
        <x:v>Furniture</x:v>
      </x:c>
      <x:c r="H586" s="2" t="str">
        <x:v>Chair 018</x:v>
      </x:c>
      <x:c r="I586" s="11" t="n">
        <x:v>1</x:v>
      </x:c>
      <x:c r="J586" s="9" t="n">
        <x:v>269</x:v>
      </x:c>
      <x:c r="K586" s="10" t="n">
        <x:v>0</x:v>
      </x:c>
      <x:c r="L586" s="11" t="n">
        <x:v>0</x:v>
      </x:c>
      <x:c r="M586" s="9" t="n">
        <x:f>IF(D586="Completed",I586*J586,0)</x:f>
        <x:v>269</x:v>
      </x:c>
      <x:c r="N586" s="9" t="n">
        <x:f>M586*K586</x:f>
        <x:v>0</x:v>
      </x:c>
      <x:c r="O586" s="9" t="n">
        <x:f>M586-N586</x:f>
        <x:v>269</x:v>
      </x:c>
      <x:c r="P586" s="9" t="n">
        <x:f>IF(D586="Completed",L586*J586*(1-K586),0)</x:f>
        <x:v>0</x:v>
      </x:c>
      <x:c r="Q586" s="9" t="n">
        <x:f>O586-P586</x:f>
        <x:v>269</x:v>
      </x:c>
      <x:c r="R586" s="11" t="n">
        <x:f>IF(D586="Completed",I586,0)</x:f>
        <x:v>1</x:v>
      </x:c>
      <x:c r="S586" s="11" t="n">
        <x:f>IF(D586="Completed",L586,0)</x:f>
        <x:v>0</x:v>
      </x:c>
      <x:c r="T586" s="8" t="n">
        <x:f>DATE(YEAR(C586),MONTH(C586),1)</x:f>
        <x:v>45809</x:v>
      </x:c>
    </x:row>
    <x:row r="587" ht="22" customHeight="1">
      <x:c r="A587" s="2" t="str">
        <x:v>L000583</x:v>
      </x:c>
      <x:c r="B587" s="2" t="str">
        <x:v>O00241</x:v>
      </x:c>
      <x:c r="C587" s="7" t="n">
        <x:v>45832</x:v>
      </x:c>
      <x:c r="D587" s="2" t="str">
        <x:v>Completed</x:v>
      </x:c>
      <x:c r="E587" s="2" t="str">
        <x:v>South</x:v>
      </x:c>
      <x:c r="F587" s="2" t="str">
        <x:v>Online</x:v>
      </x:c>
      <x:c r="G587" s="2" t="str">
        <x:v>Storage</x:v>
      </x:c>
      <x:c r="H587" s="2" t="str">
        <x:v>Shelf 007</x:v>
      </x:c>
      <x:c r="I587" s="11" t="n">
        <x:v>1</x:v>
      </x:c>
      <x:c r="J587" s="9" t="n">
        <x:v>35</x:v>
      </x:c>
      <x:c r="K587" s="10" t="n">
        <x:v>0.1</x:v>
      </x:c>
      <x:c r="L587" s="11" t="n">
        <x:v>1</x:v>
      </x:c>
      <x:c r="M587" s="9" t="n">
        <x:f>IF(D587="Completed",I587*J587,0)</x:f>
        <x:v>35</x:v>
      </x:c>
      <x:c r="N587" s="9" t="n">
        <x:f>M587*K587</x:f>
        <x:v>3.5</x:v>
      </x:c>
      <x:c r="O587" s="9" t="n">
        <x:f>M587-N587</x:f>
        <x:v>31.5</x:v>
      </x:c>
      <x:c r="P587" s="9" t="n">
        <x:f>IF(D587="Completed",L587*J587*(1-K587),0)</x:f>
        <x:v>31.5</x:v>
      </x:c>
      <x:c r="Q587" s="9" t="n">
        <x:f>O587-P587</x:f>
        <x:v>0</x:v>
      </x:c>
      <x:c r="R587" s="11" t="n">
        <x:f>IF(D587="Completed",I587,0)</x:f>
        <x:v>1</x:v>
      </x:c>
      <x:c r="S587" s="11" t="n">
        <x:f>IF(D587="Completed",L587,0)</x:f>
        <x:v>1</x:v>
      </x:c>
      <x:c r="T587" s="8" t="n">
        <x:f>DATE(YEAR(C587),MONTH(C587),1)</x:f>
        <x:v>45809</x:v>
      </x:c>
    </x:row>
    <x:row r="588" ht="22" customHeight="1">
      <x:c r="A588" s="2" t="str">
        <x:v>L000584</x:v>
      </x:c>
      <x:c r="B588" s="2" t="str">
        <x:v>O00242</x:v>
      </x:c>
      <x:c r="C588" s="7" t="n">
        <x:v>45864</x:v>
      </x:c>
      <x:c r="D588" s="2" t="str">
        <x:v>Completed</x:v>
      </x:c>
      <x:c r="E588" s="2" t="str">
        <x:v>North</x:v>
      </x:c>
      <x:c r="F588" s="2" t="str">
        <x:v>Store</x:v>
      </x:c>
      <x:c r="G588" s="2" t="str">
        <x:v>Lighting</x:v>
      </x:c>
      <x:c r="H588" s="2" t="str">
        <x:v>Lamp 001</x:v>
      </x:c>
      <x:c r="I588" s="11" t="n">
        <x:v>4</x:v>
      </x:c>
      <x:c r="J588" s="9" t="n">
        <x:v>122</x:v>
      </x:c>
      <x:c r="K588" s="10" t="n">
        <x:v>0.05</x:v>
      </x:c>
      <x:c r="L588" s="11" t="n">
        <x:v>0</x:v>
      </x:c>
      <x:c r="M588" s="9" t="n">
        <x:f>IF(D588="Completed",I588*J588,0)</x:f>
        <x:v>488</x:v>
      </x:c>
      <x:c r="N588" s="9" t="n">
        <x:f>M588*K588</x:f>
        <x:v>24.400000000000002</x:v>
      </x:c>
      <x:c r="O588" s="9" t="n">
        <x:f>M588-N588</x:f>
        <x:v>463.6</x:v>
      </x:c>
      <x:c r="P588" s="9" t="n">
        <x:f>IF(D588="Completed",L588*J588*(1-K588),0)</x:f>
        <x:v>0</x:v>
      </x:c>
      <x:c r="Q588" s="9" t="n">
        <x:f>O588-P588</x:f>
        <x:v>463.6</x:v>
      </x:c>
      <x:c r="R588" s="11" t="n">
        <x:f>IF(D588="Completed",I588,0)</x:f>
        <x:v>4</x:v>
      </x:c>
      <x:c r="S588" s="11" t="n">
        <x:f>IF(D588="Completed",L588,0)</x:f>
        <x:v>0</x:v>
      </x:c>
      <x:c r="T588" s="8" t="n">
        <x:f>DATE(YEAR(C588),MONTH(C588),1)</x:f>
        <x:v>45839</x:v>
      </x:c>
    </x:row>
    <x:row r="589" ht="22" customHeight="1">
      <x:c r="A589" s="2" t="str">
        <x:v>L000585</x:v>
      </x:c>
      <x:c r="B589" s="2" t="str">
        <x:v>O00242</x:v>
      </x:c>
      <x:c r="C589" s="7" t="n">
        <x:v>45864</x:v>
      </x:c>
      <x:c r="D589" s="2" t="str">
        <x:v>Completed</x:v>
      </x:c>
      <x:c r="E589" s="2" t="str">
        <x:v>North</x:v>
      </x:c>
      <x:c r="F589" s="2" t="str">
        <x:v>Store</x:v>
      </x:c>
      <x:c r="G589" s="2" t="str">
        <x:v>Lighting</x:v>
      </x:c>
      <x:c r="H589" s="2" t="str">
        <x:v>Lamp 005</x:v>
      </x:c>
      <x:c r="I589" s="11" t="n">
        <x:v>2</x:v>
      </x:c>
      <x:c r="J589" s="9" t="n">
        <x:v>65</x:v>
      </x:c>
      <x:c r="K589" s="10" t="n">
        <x:v>0.2</x:v>
      </x:c>
      <x:c r="L589" s="11" t="n">
        <x:v>0</x:v>
      </x:c>
      <x:c r="M589" s="9" t="n">
        <x:f>IF(D589="Completed",I589*J589,0)</x:f>
        <x:v>130</x:v>
      </x:c>
      <x:c r="N589" s="9" t="n">
        <x:f>M589*K589</x:f>
        <x:v>26</x:v>
      </x:c>
      <x:c r="O589" s="9" t="n">
        <x:f>M589-N589</x:f>
        <x:v>104</x:v>
      </x:c>
      <x:c r="P589" s="9" t="n">
        <x:f>IF(D589="Completed",L589*J589*(1-K589),0)</x:f>
        <x:v>0</x:v>
      </x:c>
      <x:c r="Q589" s="9" t="n">
        <x:f>O589-P589</x:f>
        <x:v>104</x:v>
      </x:c>
      <x:c r="R589" s="11" t="n">
        <x:f>IF(D589="Completed",I589,0)</x:f>
        <x:v>2</x:v>
      </x:c>
      <x:c r="S589" s="11" t="n">
        <x:f>IF(D589="Completed",L589,0)</x:f>
        <x:v>0</x:v>
      </x:c>
      <x:c r="T589" s="8" t="n">
        <x:f>DATE(YEAR(C589),MONTH(C589),1)</x:f>
        <x:v>45839</x:v>
      </x:c>
    </x:row>
    <x:row r="590" ht="22" customHeight="1">
      <x:c r="A590" s="2" t="str">
        <x:v>L000586</x:v>
      </x:c>
      <x:c r="B590" s="2" t="str">
        <x:v>O00243</x:v>
      </x:c>
      <x:c r="C590" s="7" t="n">
        <x:v>45717</x:v>
      </x:c>
      <x:c r="D590" s="2" t="str">
        <x:v>Completed</x:v>
      </x:c>
      <x:c r="E590" s="2" t="str">
        <x:v>East</x:v>
      </x:c>
      <x:c r="F590" s="2" t="str">
        <x:v>Store</x:v>
      </x:c>
      <x:c r="G590" s="2" t="str">
        <x:v>Storage</x:v>
      </x:c>
      <x:c r="H590" s="2" t="str">
        <x:v>Shelf 007</x:v>
      </x:c>
      <x:c r="I590" s="11" t="n">
        <x:v>2</x:v>
      </x:c>
      <x:c r="J590" s="9" t="n">
        <x:v>35</x:v>
      </x:c>
      <x:c r="K590" s="10" t="n">
        <x:v>0.05</x:v>
      </x:c>
      <x:c r="L590" s="11" t="n">
        <x:v>0</x:v>
      </x:c>
      <x:c r="M590" s="9" t="n">
        <x:f>IF(D590="Completed",I590*J590,0)</x:f>
        <x:v>70</x:v>
      </x:c>
      <x:c r="N590" s="9" t="n">
        <x:f>M590*K590</x:f>
        <x:v>3.5</x:v>
      </x:c>
      <x:c r="O590" s="9" t="n">
        <x:f>M590-N590</x:f>
        <x:v>66.5</x:v>
      </x:c>
      <x:c r="P590" s="9" t="n">
        <x:f>IF(D590="Completed",L590*J590*(1-K590),0)</x:f>
        <x:v>0</x:v>
      </x:c>
      <x:c r="Q590" s="9" t="n">
        <x:f>O590-P590</x:f>
        <x:v>66.5</x:v>
      </x:c>
      <x:c r="R590" s="11" t="n">
        <x:f>IF(D590="Completed",I590,0)</x:f>
        <x:v>2</x:v>
      </x:c>
      <x:c r="S590" s="11" t="n">
        <x:f>IF(D590="Completed",L590,0)</x:f>
        <x:v>0</x:v>
      </x:c>
      <x:c r="T590" s="8" t="n">
        <x:f>DATE(YEAR(C590),MONTH(C590),1)</x:f>
        <x:v>45717</x:v>
      </x:c>
    </x:row>
    <x:row r="591" ht="22" customHeight="1">
      <x:c r="A591" s="2" t="str">
        <x:v>L000587</x:v>
      </x:c>
      <x:c r="B591" s="2" t="str">
        <x:v>O00243</x:v>
      </x:c>
      <x:c r="C591" s="7" t="n">
        <x:v>45717</x:v>
      </x:c>
      <x:c r="D591" s="2" t="str">
        <x:v>Completed</x:v>
      </x:c>
      <x:c r="E591" s="2" t="str">
        <x:v>East</x:v>
      </x:c>
      <x:c r="F591" s="2" t="str">
        <x:v>Store</x:v>
      </x:c>
      <x:c r="G591" s="2" t="str">
        <x:v>Storage</x:v>
      </x:c>
      <x:c r="H591" s="2" t="str">
        <x:v>Shelf 007</x:v>
      </x:c>
      <x:c r="I591" s="11" t="n">
        <x:v>2</x:v>
      </x:c>
      <x:c r="J591" s="9" t="n">
        <x:v>35</x:v>
      </x:c>
      <x:c r="K591" s="10" t="n">
        <x:v>0.2</x:v>
      </x:c>
      <x:c r="L591" s="11" t="n">
        <x:v>0</x:v>
      </x:c>
      <x:c r="M591" s="9" t="n">
        <x:f>IF(D591="Completed",I591*J591,0)</x:f>
        <x:v>70</x:v>
      </x:c>
      <x:c r="N591" s="9" t="n">
        <x:f>M591*K591</x:f>
        <x:v>14</x:v>
      </x:c>
      <x:c r="O591" s="9" t="n">
        <x:f>M591-N591</x:f>
        <x:v>56</x:v>
      </x:c>
      <x:c r="P591" s="9" t="n">
        <x:f>IF(D591="Completed",L591*J591*(1-K591),0)</x:f>
        <x:v>0</x:v>
      </x:c>
      <x:c r="Q591" s="9" t="n">
        <x:f>O591-P591</x:f>
        <x:v>56</x:v>
      </x:c>
      <x:c r="R591" s="11" t="n">
        <x:f>IF(D591="Completed",I591,0)</x:f>
        <x:v>2</x:v>
      </x:c>
      <x:c r="S591" s="11" t="n">
        <x:f>IF(D591="Completed",L591,0)</x:f>
        <x:v>0</x:v>
      </x:c>
      <x:c r="T591" s="8" t="n">
        <x:f>DATE(YEAR(C591),MONTH(C591),1)</x:f>
        <x:v>45717</x:v>
      </x:c>
    </x:row>
    <x:row r="592" ht="22" customHeight="1">
      <x:c r="A592" s="2" t="str">
        <x:v>L000588</x:v>
      </x:c>
      <x:c r="B592" s="2" t="str">
        <x:v>O00244</x:v>
      </x:c>
      <x:c r="C592" s="7" t="n">
        <x:v>45794</x:v>
      </x:c>
      <x:c r="D592" s="2" t="str">
        <x:v>Completed</x:v>
      </x:c>
      <x:c r="E592" s="2" t="str">
        <x:v>West</x:v>
      </x:c>
      <x:c r="F592" s="2" t="str">
        <x:v>Online</x:v>
      </x:c>
      <x:c r="G592" s="2" t="str">
        <x:v>Lighting</x:v>
      </x:c>
      <x:c r="H592" s="2" t="str">
        <x:v>Lamp 009</x:v>
      </x:c>
      <x:c r="I592" s="11" t="n">
        <x:v>1</x:v>
      </x:c>
      <x:c r="J592" s="9" t="n">
        <x:v>93</x:v>
      </x:c>
      <x:c r="K592" s="10" t="n">
        <x:v>0.05</x:v>
      </x:c>
      <x:c r="L592" s="11" t="n">
        <x:v>0</x:v>
      </x:c>
      <x:c r="M592" s="9" t="n">
        <x:f>IF(D592="Completed",I592*J592,0)</x:f>
        <x:v>93</x:v>
      </x:c>
      <x:c r="N592" s="9" t="n">
        <x:f>M592*K592</x:f>
        <x:v>4.65</x:v>
      </x:c>
      <x:c r="O592" s="9" t="n">
        <x:f>M592-N592</x:f>
        <x:v>88.35</x:v>
      </x:c>
      <x:c r="P592" s="9" t="n">
        <x:f>IF(D592="Completed",L592*J592*(1-K592),0)</x:f>
        <x:v>0</x:v>
      </x:c>
      <x:c r="Q592" s="9" t="n">
        <x:f>O592-P592</x:f>
        <x:v>88.35</x:v>
      </x:c>
      <x:c r="R592" s="11" t="n">
        <x:f>IF(D592="Completed",I592,0)</x:f>
        <x:v>1</x:v>
      </x:c>
      <x:c r="S592" s="11" t="n">
        <x:f>IF(D592="Completed",L592,0)</x:f>
        <x:v>0</x:v>
      </x:c>
      <x:c r="T592" s="8" t="n">
        <x:f>DATE(YEAR(C592),MONTH(C592),1)</x:f>
        <x:v>45778</x:v>
      </x:c>
    </x:row>
    <x:row r="593" ht="22" customHeight="1">
      <x:c r="A593" s="2" t="str">
        <x:v>L000589</x:v>
      </x:c>
      <x:c r="B593" s="2" t="str">
        <x:v>O00244</x:v>
      </x:c>
      <x:c r="C593" s="7" t="n">
        <x:v>45794</x:v>
      </x:c>
      <x:c r="D593" s="2" t="str">
        <x:v>Completed</x:v>
      </x:c>
      <x:c r="E593" s="2" t="str">
        <x:v>West</x:v>
      </x:c>
      <x:c r="F593" s="2" t="str">
        <x:v>Online</x:v>
      </x:c>
      <x:c r="G593" s="2" t="str">
        <x:v>Lighting</x:v>
      </x:c>
      <x:c r="H593" s="2" t="str">
        <x:v>Lamp 001</x:v>
      </x:c>
      <x:c r="I593" s="11" t="n">
        <x:v>5</x:v>
      </x:c>
      <x:c r="J593" s="9" t="n">
        <x:v>122</x:v>
      </x:c>
      <x:c r="K593" s="10" t="n">
        <x:v>0.05</x:v>
      </x:c>
      <x:c r="L593" s="11" t="n">
        <x:v>0</x:v>
      </x:c>
      <x:c r="M593" s="9" t="n">
        <x:f>IF(D593="Completed",I593*J593,0)</x:f>
        <x:v>610</x:v>
      </x:c>
      <x:c r="N593" s="9" t="n">
        <x:f>M593*K593</x:f>
        <x:v>30.5</x:v>
      </x:c>
      <x:c r="O593" s="9" t="n">
        <x:f>M593-N593</x:f>
        <x:v>579.5</x:v>
      </x:c>
      <x:c r="P593" s="9" t="n">
        <x:f>IF(D593="Completed",L593*J593*(1-K593),0)</x:f>
        <x:v>0</x:v>
      </x:c>
      <x:c r="Q593" s="9" t="n">
        <x:f>O593-P593</x:f>
        <x:v>579.5</x:v>
      </x:c>
      <x:c r="R593" s="11" t="n">
        <x:f>IF(D593="Completed",I593,0)</x:f>
        <x:v>5</x:v>
      </x:c>
      <x:c r="S593" s="11" t="n">
        <x:f>IF(D593="Completed",L593,0)</x:f>
        <x:v>0</x:v>
      </x:c>
      <x:c r="T593" s="8" t="n">
        <x:f>DATE(YEAR(C593),MONTH(C593),1)</x:f>
        <x:v>45778</x:v>
      </x:c>
    </x:row>
    <x:row r="594" ht="22" customHeight="1">
      <x:c r="A594" s="2" t="str">
        <x:v>L000590</x:v>
      </x:c>
      <x:c r="B594" s="2" t="str">
        <x:v>O00244</x:v>
      </x:c>
      <x:c r="C594" s="7" t="n">
        <x:v>45794</x:v>
      </x:c>
      <x:c r="D594" s="2" t="str">
        <x:v>Completed</x:v>
      </x:c>
      <x:c r="E594" s="2" t="str">
        <x:v>West</x:v>
      </x:c>
      <x:c r="F594" s="2" t="str">
        <x:v>Online</x:v>
      </x:c>
      <x:c r="G594" s="2" t="str">
        <x:v>Storage</x:v>
      </x:c>
      <x:c r="H594" s="2" t="str">
        <x:v>Shelf 015</x:v>
      </x:c>
      <x:c r="I594" s="11" t="n">
        <x:v>5</x:v>
      </x:c>
      <x:c r="J594" s="9" t="n">
        <x:v>254</x:v>
      </x:c>
      <x:c r="K594" s="10" t="n">
        <x:v>0.1</x:v>
      </x:c>
      <x:c r="L594" s="11" t="n">
        <x:v>0</x:v>
      </x:c>
      <x:c r="M594" s="9" t="n">
        <x:f>IF(D594="Completed",I594*J594,0)</x:f>
        <x:v>1270</x:v>
      </x:c>
      <x:c r="N594" s="9" t="n">
        <x:f>M594*K594</x:f>
        <x:v>127</x:v>
      </x:c>
      <x:c r="O594" s="9" t="n">
        <x:f>M594-N594</x:f>
        <x:v>1143</x:v>
      </x:c>
      <x:c r="P594" s="9" t="n">
        <x:f>IF(D594="Completed",L594*J594*(1-K594),0)</x:f>
        <x:v>0</x:v>
      </x:c>
      <x:c r="Q594" s="9" t="n">
        <x:f>O594-P594</x:f>
        <x:v>1143</x:v>
      </x:c>
      <x:c r="R594" s="11" t="n">
        <x:f>IF(D594="Completed",I594,0)</x:f>
        <x:v>5</x:v>
      </x:c>
      <x:c r="S594" s="11" t="n">
        <x:f>IF(D594="Completed",L594,0)</x:f>
        <x:v>0</x:v>
      </x:c>
      <x:c r="T594" s="8" t="n">
        <x:f>DATE(YEAR(C594),MONTH(C594),1)</x:f>
        <x:v>45778</x:v>
      </x:c>
    </x:row>
    <x:row r="595" ht="22" customHeight="1">
      <x:c r="A595" s="2" t="str">
        <x:v>L000591</x:v>
      </x:c>
      <x:c r="B595" s="2" t="str">
        <x:v>O00244</x:v>
      </x:c>
      <x:c r="C595" s="7" t="n">
        <x:v>45794</x:v>
      </x:c>
      <x:c r="D595" s="2" t="str">
        <x:v>Completed</x:v>
      </x:c>
      <x:c r="E595" s="2" t="str">
        <x:v>West</x:v>
      </x:c>
      <x:c r="F595" s="2" t="str">
        <x:v>Online</x:v>
      </x:c>
      <x:c r="G595" s="2" t="str">
        <x:v>Lighting</x:v>
      </x:c>
      <x:c r="H595" s="2" t="str">
        <x:v>Lamp 001</x:v>
      </x:c>
      <x:c r="I595" s="11" t="n">
        <x:v>4</x:v>
      </x:c>
      <x:c r="J595" s="9" t="n">
        <x:v>122</x:v>
      </x:c>
      <x:c r="K595" s="10" t="n">
        <x:v>0.2</x:v>
      </x:c>
      <x:c r="L595" s="11" t="n">
        <x:v>0</x:v>
      </x:c>
      <x:c r="M595" s="9" t="n">
        <x:f>IF(D595="Completed",I595*J595,0)</x:f>
        <x:v>488</x:v>
      </x:c>
      <x:c r="N595" s="9" t="n">
        <x:f>M595*K595</x:f>
        <x:v>97.60000000000001</x:v>
      </x:c>
      <x:c r="O595" s="9" t="n">
        <x:f>M595-N595</x:f>
        <x:v>390.4</x:v>
      </x:c>
      <x:c r="P595" s="9" t="n">
        <x:f>IF(D595="Completed",L595*J595*(1-K595),0)</x:f>
        <x:v>0</x:v>
      </x:c>
      <x:c r="Q595" s="9" t="n">
        <x:f>O595-P595</x:f>
        <x:v>390.4</x:v>
      </x:c>
      <x:c r="R595" s="11" t="n">
        <x:f>IF(D595="Completed",I595,0)</x:f>
        <x:v>4</x:v>
      </x:c>
      <x:c r="S595" s="11" t="n">
        <x:f>IF(D595="Completed",L595,0)</x:f>
        <x:v>0</x:v>
      </x:c>
      <x:c r="T595" s="8" t="n">
        <x:f>DATE(YEAR(C595),MONTH(C595),1)</x:f>
        <x:v>45778</x:v>
      </x:c>
    </x:row>
    <x:row r="596" ht="22" customHeight="1">
      <x:c r="A596" s="2" t="str">
        <x:v>L000592</x:v>
      </x:c>
      <x:c r="B596" s="2" t="str">
        <x:v>O00245</x:v>
      </x:c>
      <x:c r="C596" s="7" t="n">
        <x:v>45977</x:v>
      </x:c>
      <x:c r="D596" s="2" t="str">
        <x:v>Completed</x:v>
      </x:c>
      <x:c r="E596" s="2" t="str">
        <x:v>North</x:v>
      </x:c>
      <x:c r="F596" s="2" t="str">
        <x:v>Online</x:v>
      </x:c>
      <x:c r="G596" s="2" t="str">
        <x:v>Furniture</x:v>
      </x:c>
      <x:c r="H596" s="2" t="str">
        <x:v>Desk 004</x:v>
      </x:c>
      <x:c r="I596" s="11" t="n">
        <x:v>3</x:v>
      </x:c>
      <x:c r="J596" s="9" t="n">
        <x:v>123</x:v>
      </x:c>
      <x:c r="K596" s="10" t="n">
        <x:v>0.2</x:v>
      </x:c>
      <x:c r="L596" s="11" t="n">
        <x:v>0</x:v>
      </x:c>
      <x:c r="M596" s="9" t="n">
        <x:f>IF(D596="Completed",I596*J596,0)</x:f>
        <x:v>369</x:v>
      </x:c>
      <x:c r="N596" s="9" t="n">
        <x:f>M596*K596</x:f>
        <x:v>73.8</x:v>
      </x:c>
      <x:c r="O596" s="9" t="n">
        <x:f>M596-N596</x:f>
        <x:v>295.2</x:v>
      </x:c>
      <x:c r="P596" s="9" t="n">
        <x:f>IF(D596="Completed",L596*J596*(1-K596),0)</x:f>
        <x:v>0</x:v>
      </x:c>
      <x:c r="Q596" s="9" t="n">
        <x:f>O596-P596</x:f>
        <x:v>295.2</x:v>
      </x:c>
      <x:c r="R596" s="11" t="n">
        <x:f>IF(D596="Completed",I596,0)</x:f>
        <x:v>3</x:v>
      </x:c>
      <x:c r="S596" s="11" t="n">
        <x:f>IF(D596="Completed",L596,0)</x:f>
        <x:v>0</x:v>
      </x:c>
      <x:c r="T596" s="8" t="n">
        <x:f>DATE(YEAR(C596),MONTH(C596),1)</x:f>
        <x:v>45962</x:v>
      </x:c>
    </x:row>
    <x:row r="597" ht="22" customHeight="1">
      <x:c r="A597" s="2" t="str">
        <x:v>L000593</x:v>
      </x:c>
      <x:c r="B597" s="2" t="str">
        <x:v>O00246</x:v>
      </x:c>
      <x:c r="C597" s="7" t="n">
        <x:v>45902</x:v>
      </x:c>
      <x:c r="D597" s="2" t="str">
        <x:v>Cancelled</x:v>
      </x:c>
      <x:c r="E597" s="2" t="str">
        <x:v>South</x:v>
      </x:c>
      <x:c r="F597" s="2" t="str">
        <x:v>Online</x:v>
      </x:c>
      <x:c r="G597" s="2" t="str">
        <x:v>Storage</x:v>
      </x:c>
      <x:c r="H597" s="2" t="str">
        <x:v>Shelf 019</x:v>
      </x:c>
      <x:c r="I597" s="11" t="n">
        <x:v>3</x:v>
      </x:c>
      <x:c r="J597" s="9" t="n">
        <x:v>78</x:v>
      </x:c>
      <x:c r="K597" s="10" t="n">
        <x:v>0.05</x:v>
      </x:c>
      <x:c r="L597" s="11" t="n">
        <x:v>0</x:v>
      </x:c>
      <x:c r="M597" s="9" t="n">
        <x:f>IF(D597="Completed",I597*J597,0)</x:f>
        <x:v>0</x:v>
      </x:c>
      <x:c r="N597" s="9" t="n">
        <x:f>M597*K597</x:f>
        <x:v>0</x:v>
      </x:c>
      <x:c r="O597" s="9" t="n">
        <x:f>M597-N597</x:f>
        <x:v>0</x:v>
      </x:c>
      <x:c r="P597" s="9" t="n">
        <x:f>IF(D597="Completed",L597*J597*(1-K597),0)</x:f>
        <x:v>0</x:v>
      </x:c>
      <x:c r="Q597" s="9" t="n">
        <x:f>O597-P597</x:f>
        <x:v>0</x:v>
      </x:c>
      <x:c r="R597" s="11" t="n">
        <x:f>IF(D597="Completed",I597,0)</x:f>
        <x:v>0</x:v>
      </x:c>
      <x:c r="S597" s="11" t="n">
        <x:f>IF(D597="Completed",L597,0)</x:f>
        <x:v>0</x:v>
      </x:c>
      <x:c r="T597" s="8" t="n">
        <x:f>DATE(YEAR(C597),MONTH(C597),1)</x:f>
        <x:v>45901</x:v>
      </x:c>
    </x:row>
    <x:row r="598" ht="22" customHeight="1">
      <x:c r="A598" s="2" t="str">
        <x:v>L000594</x:v>
      </x:c>
      <x:c r="B598" s="2" t="str">
        <x:v>O00246</x:v>
      </x:c>
      <x:c r="C598" s="7" t="n">
        <x:v>45902</x:v>
      </x:c>
      <x:c r="D598" s="2" t="str">
        <x:v>Cancelled</x:v>
      </x:c>
      <x:c r="E598" s="2" t="str">
        <x:v>South</x:v>
      </x:c>
      <x:c r="F598" s="2" t="str">
        <x:v>Online</x:v>
      </x:c>
      <x:c r="G598" s="2" t="str">
        <x:v>Lighting</x:v>
      </x:c>
      <x:c r="H598" s="2" t="str">
        <x:v>Lamp 005</x:v>
      </x:c>
      <x:c r="I598" s="11" t="n">
        <x:v>1</x:v>
      </x:c>
      <x:c r="J598" s="9" t="n">
        <x:v>65</x:v>
      </x:c>
      <x:c r="K598" s="10" t="n">
        <x:v>0.05</x:v>
      </x:c>
      <x:c r="L598" s="11" t="n">
        <x:v>0</x:v>
      </x:c>
      <x:c r="M598" s="9" t="n">
        <x:f>IF(D598="Completed",I598*J598,0)</x:f>
        <x:v>0</x:v>
      </x:c>
      <x:c r="N598" s="9" t="n">
        <x:f>M598*K598</x:f>
        <x:v>0</x:v>
      </x:c>
      <x:c r="O598" s="9" t="n">
        <x:f>M598-N598</x:f>
        <x:v>0</x:v>
      </x:c>
      <x:c r="P598" s="9" t="n">
        <x:f>IF(D598="Completed",L598*J598*(1-K598),0)</x:f>
        <x:v>0</x:v>
      </x:c>
      <x:c r="Q598" s="9" t="n">
        <x:f>O598-P598</x:f>
        <x:v>0</x:v>
      </x:c>
      <x:c r="R598" s="11" t="n">
        <x:f>IF(D598="Completed",I598,0)</x:f>
        <x:v>0</x:v>
      </x:c>
      <x:c r="S598" s="11" t="n">
        <x:f>IF(D598="Completed",L598,0)</x:f>
        <x:v>0</x:v>
      </x:c>
      <x:c r="T598" s="8" t="n">
        <x:f>DATE(YEAR(C598),MONTH(C598),1)</x:f>
        <x:v>45901</x:v>
      </x:c>
    </x:row>
    <x:row r="599" ht="22" customHeight="1">
      <x:c r="A599" s="2" t="str">
        <x:v>L000595</x:v>
      </x:c>
      <x:c r="B599" s="2" t="str">
        <x:v>O00246</x:v>
      </x:c>
      <x:c r="C599" s="7" t="n">
        <x:v>45902</x:v>
      </x:c>
      <x:c r="D599" s="2" t="str">
        <x:v>Cancelled</x:v>
      </x:c>
      <x:c r="E599" s="2" t="str">
        <x:v>South</x:v>
      </x:c>
      <x:c r="F599" s="2" t="str">
        <x:v>Online</x:v>
      </x:c>
      <x:c r="G599" s="2" t="str">
        <x:v>Storage</x:v>
      </x:c>
      <x:c r="H599" s="2" t="str">
        <x:v>Shelf 019</x:v>
      </x:c>
      <x:c r="I599" s="11" t="n">
        <x:v>3</x:v>
      </x:c>
      <x:c r="J599" s="9" t="n">
        <x:v>78</x:v>
      </x:c>
      <x:c r="K599" s="10" t="n">
        <x:v>0.05</x:v>
      </x:c>
      <x:c r="L599" s="11" t="n">
        <x:v>0</x:v>
      </x:c>
      <x:c r="M599" s="9" t="n">
        <x:f>IF(D599="Completed",I599*J599,0)</x:f>
        <x:v>0</x:v>
      </x:c>
      <x:c r="N599" s="9" t="n">
        <x:f>M599*K599</x:f>
        <x:v>0</x:v>
      </x:c>
      <x:c r="O599" s="9" t="n">
        <x:f>M599-N599</x:f>
        <x:v>0</x:v>
      </x:c>
      <x:c r="P599" s="9" t="n">
        <x:f>IF(D599="Completed",L599*J599*(1-K599),0)</x:f>
        <x:v>0</x:v>
      </x:c>
      <x:c r="Q599" s="9" t="n">
        <x:f>O599-P599</x:f>
        <x:v>0</x:v>
      </x:c>
      <x:c r="R599" s="11" t="n">
        <x:f>IF(D599="Completed",I599,0)</x:f>
        <x:v>0</x:v>
      </x:c>
      <x:c r="S599" s="11" t="n">
        <x:f>IF(D599="Completed",L599,0)</x:f>
        <x:v>0</x:v>
      </x:c>
      <x:c r="T599" s="8" t="n">
        <x:f>DATE(YEAR(C599),MONTH(C599),1)</x:f>
        <x:v>45901</x:v>
      </x:c>
    </x:row>
    <x:row r="600" ht="22" customHeight="1">
      <x:c r="A600" s="2" t="str">
        <x:v>L000596</x:v>
      </x:c>
      <x:c r="B600" s="2" t="str">
        <x:v>O00246</x:v>
      </x:c>
      <x:c r="C600" s="7" t="n">
        <x:v>45902</x:v>
      </x:c>
      <x:c r="D600" s="2" t="str">
        <x:v>Cancelled</x:v>
      </x:c>
      <x:c r="E600" s="2" t="str">
        <x:v>South</x:v>
      </x:c>
      <x:c r="F600" s="2" t="str">
        <x:v>Online</x:v>
      </x:c>
      <x:c r="G600" s="2" t="str">
        <x:v>Storage</x:v>
      </x:c>
      <x:c r="H600" s="2" t="str">
        <x:v>Shelf 003</x:v>
      </x:c>
      <x:c r="I600" s="11" t="n">
        <x:v>1</x:v>
      </x:c>
      <x:c r="J600" s="9" t="n">
        <x:v>199</x:v>
      </x:c>
      <x:c r="K600" s="10" t="n">
        <x:v>0.2</x:v>
      </x:c>
      <x:c r="L600" s="11" t="n">
        <x:v>0</x:v>
      </x:c>
      <x:c r="M600" s="9" t="n">
        <x:f>IF(D600="Completed",I600*J600,0)</x:f>
        <x:v>0</x:v>
      </x:c>
      <x:c r="N600" s="9" t="n">
        <x:f>M600*K600</x:f>
        <x:v>0</x:v>
      </x:c>
      <x:c r="O600" s="9" t="n">
        <x:f>M600-N600</x:f>
        <x:v>0</x:v>
      </x:c>
      <x:c r="P600" s="9" t="n">
        <x:f>IF(D600="Completed",L600*J600*(1-K600),0)</x:f>
        <x:v>0</x:v>
      </x:c>
      <x:c r="Q600" s="9" t="n">
        <x:f>O600-P600</x:f>
        <x:v>0</x:v>
      </x:c>
      <x:c r="R600" s="11" t="n">
        <x:f>IF(D600="Completed",I600,0)</x:f>
        <x:v>0</x:v>
      </x:c>
      <x:c r="S600" s="11" t="n">
        <x:f>IF(D600="Completed",L600,0)</x:f>
        <x:v>0</x:v>
      </x:c>
      <x:c r="T600" s="8" t="n">
        <x:f>DATE(YEAR(C600),MONTH(C600),1)</x:f>
        <x:v>45901</x:v>
      </x:c>
    </x:row>
    <x:row r="601" ht="22" customHeight="1">
      <x:c r="A601" s="2" t="str">
        <x:v>L000597</x:v>
      </x:c>
      <x:c r="B601" s="2" t="str">
        <x:v>O00247</x:v>
      </x:c>
      <x:c r="C601" s="7" t="n">
        <x:v>45750</x:v>
      </x:c>
      <x:c r="D601" s="2" t="str">
        <x:v>Completed</x:v>
      </x:c>
      <x:c r="E601" s="2" t="str">
        <x:v>South</x:v>
      </x:c>
      <x:c r="F601" s="2" t="str">
        <x:v>Online</x:v>
      </x:c>
      <x:c r="G601" s="2" t="str">
        <x:v>Lighting</x:v>
      </x:c>
      <x:c r="H601" s="2" t="str">
        <x:v>Lamp 001</x:v>
      </x:c>
      <x:c r="I601" s="11" t="n">
        <x:v>5</x:v>
      </x:c>
      <x:c r="J601" s="9" t="n">
        <x:v>122</x:v>
      </x:c>
      <x:c r="K601" s="10" t="n">
        <x:v>0.05</x:v>
      </x:c>
      <x:c r="L601" s="11" t="n">
        <x:v>0</x:v>
      </x:c>
      <x:c r="M601" s="9" t="n">
        <x:f>IF(D601="Completed",I601*J601,0)</x:f>
        <x:v>610</x:v>
      </x:c>
      <x:c r="N601" s="9" t="n">
        <x:f>M601*K601</x:f>
        <x:v>30.5</x:v>
      </x:c>
      <x:c r="O601" s="9" t="n">
        <x:f>M601-N601</x:f>
        <x:v>579.5</x:v>
      </x:c>
      <x:c r="P601" s="9" t="n">
        <x:f>IF(D601="Completed",L601*J601*(1-K601),0)</x:f>
        <x:v>0</x:v>
      </x:c>
      <x:c r="Q601" s="9" t="n">
        <x:f>O601-P601</x:f>
        <x:v>579.5</x:v>
      </x:c>
      <x:c r="R601" s="11" t="n">
        <x:f>IF(D601="Completed",I601,0)</x:f>
        <x:v>5</x:v>
      </x:c>
      <x:c r="S601" s="11" t="n">
        <x:f>IF(D601="Completed",L601,0)</x:f>
        <x:v>0</x:v>
      </x:c>
      <x:c r="T601" s="8" t="n">
        <x:f>DATE(YEAR(C601),MONTH(C601),1)</x:f>
        <x:v>45748</x:v>
      </x:c>
    </x:row>
    <x:row r="602" ht="22" customHeight="1">
      <x:c r="A602" s="2" t="str">
        <x:v>L000598</x:v>
      </x:c>
      <x:c r="B602" s="2" t="str">
        <x:v>O00248</x:v>
      </x:c>
      <x:c r="C602" s="7" t="n">
        <x:v>45903</x:v>
      </x:c>
      <x:c r="D602" s="2" t="str">
        <x:v>Completed</x:v>
      </x:c>
      <x:c r="E602" s="2" t="str">
        <x:v>North</x:v>
      </x:c>
      <x:c r="F602" s="2" t="str">
        <x:v>Online</x:v>
      </x:c>
      <x:c r="G602" s="2" t="str">
        <x:v>Lighting</x:v>
      </x:c>
      <x:c r="H602" s="2" t="str">
        <x:v>Lamp 017</x:v>
      </x:c>
      <x:c r="I602" s="11" t="n">
        <x:v>1</x:v>
      </x:c>
      <x:c r="J602" s="9" t="n">
        <x:v>300</x:v>
      </x:c>
      <x:c r="K602" s="10" t="n">
        <x:v>0.1</x:v>
      </x:c>
      <x:c r="L602" s="11" t="n">
        <x:v>0</x:v>
      </x:c>
      <x:c r="M602" s="9" t="n">
        <x:f>IF(D602="Completed",I602*J602,0)</x:f>
        <x:v>300</x:v>
      </x:c>
      <x:c r="N602" s="9" t="n">
        <x:f>M602*K602</x:f>
        <x:v>30</x:v>
      </x:c>
      <x:c r="O602" s="9" t="n">
        <x:f>M602-N602</x:f>
        <x:v>270</x:v>
      </x:c>
      <x:c r="P602" s="9" t="n">
        <x:f>IF(D602="Completed",L602*J602*(1-K602),0)</x:f>
        <x:v>0</x:v>
      </x:c>
      <x:c r="Q602" s="9" t="n">
        <x:f>O602-P602</x:f>
        <x:v>270</x:v>
      </x:c>
      <x:c r="R602" s="11" t="n">
        <x:f>IF(D602="Completed",I602,0)</x:f>
        <x:v>1</x:v>
      </x:c>
      <x:c r="S602" s="11" t="n">
        <x:f>IF(D602="Completed",L602,0)</x:f>
        <x:v>0</x:v>
      </x:c>
      <x:c r="T602" s="8" t="n">
        <x:f>DATE(YEAR(C602),MONTH(C602),1)</x:f>
        <x:v>45901</x:v>
      </x:c>
    </x:row>
    <x:row r="603" ht="22" customHeight="1">
      <x:c r="A603" s="2" t="str">
        <x:v>L000599</x:v>
      </x:c>
      <x:c r="B603" s="2" t="str">
        <x:v>O00248</x:v>
      </x:c>
      <x:c r="C603" s="7" t="n">
        <x:v>45903</x:v>
      </x:c>
      <x:c r="D603" s="2" t="str">
        <x:v>Completed</x:v>
      </x:c>
      <x:c r="E603" s="2" t="str">
        <x:v>North</x:v>
      </x:c>
      <x:c r="F603" s="2" t="str">
        <x:v>Online</x:v>
      </x:c>
      <x:c r="G603" s="2" t="str">
        <x:v>Lighting</x:v>
      </x:c>
      <x:c r="H603" s="2" t="str">
        <x:v>Lamp 005</x:v>
      </x:c>
      <x:c r="I603" s="11" t="n">
        <x:v>2</x:v>
      </x:c>
      <x:c r="J603" s="9" t="n">
        <x:v>65</x:v>
      </x:c>
      <x:c r="K603" s="10" t="n">
        <x:v>0.2</x:v>
      </x:c>
      <x:c r="L603" s="11" t="n">
        <x:v>0</x:v>
      </x:c>
      <x:c r="M603" s="9" t="n">
        <x:f>IF(D603="Completed",I603*J603,0)</x:f>
        <x:v>130</x:v>
      </x:c>
      <x:c r="N603" s="9" t="n">
        <x:f>M603*K603</x:f>
        <x:v>26</x:v>
      </x:c>
      <x:c r="O603" s="9" t="n">
        <x:f>M603-N603</x:f>
        <x:v>104</x:v>
      </x:c>
      <x:c r="P603" s="9" t="n">
        <x:f>IF(D603="Completed",L603*J603*(1-K603),0)</x:f>
        <x:v>0</x:v>
      </x:c>
      <x:c r="Q603" s="9" t="n">
        <x:f>O603-P603</x:f>
        <x:v>104</x:v>
      </x:c>
      <x:c r="R603" s="11" t="n">
        <x:f>IF(D603="Completed",I603,0)</x:f>
        <x:v>2</x:v>
      </x:c>
      <x:c r="S603" s="11" t="n">
        <x:f>IF(D603="Completed",L603,0)</x:f>
        <x:v>0</x:v>
      </x:c>
      <x:c r="T603" s="8" t="n">
        <x:f>DATE(YEAR(C603),MONTH(C603),1)</x:f>
        <x:v>45901</x:v>
      </x:c>
    </x:row>
    <x:row r="604" ht="22" customHeight="1">
      <x:c r="A604" s="2" t="str">
        <x:v>L000600</x:v>
      </x:c>
      <x:c r="B604" s="2" t="str">
        <x:v>O00248</x:v>
      </x:c>
      <x:c r="C604" s="7" t="n">
        <x:v>45903</x:v>
      </x:c>
      <x:c r="D604" s="2" t="str">
        <x:v>Completed</x:v>
      </x:c>
      <x:c r="E604" s="2" t="str">
        <x:v>North</x:v>
      </x:c>
      <x:c r="F604" s="2" t="str">
        <x:v>Online</x:v>
      </x:c>
      <x:c r="G604" s="2" t="str">
        <x:v>Furniture</x:v>
      </x:c>
      <x:c r="H604" s="2" t="str">
        <x:v>Chair 018</x:v>
      </x:c>
      <x:c r="I604" s="11" t="n">
        <x:v>3</x:v>
      </x:c>
      <x:c r="J604" s="9" t="n">
        <x:v>269</x:v>
      </x:c>
      <x:c r="K604" s="10" t="n">
        <x:v>0</x:v>
      </x:c>
      <x:c r="L604" s="11" t="n">
        <x:v>0</x:v>
      </x:c>
      <x:c r="M604" s="9" t="n">
        <x:f>IF(D604="Completed",I604*J604,0)</x:f>
        <x:v>807</x:v>
      </x:c>
      <x:c r="N604" s="9" t="n">
        <x:f>M604*K604</x:f>
        <x:v>0</x:v>
      </x:c>
      <x:c r="O604" s="9" t="n">
        <x:f>M604-N604</x:f>
        <x:v>807</x:v>
      </x:c>
      <x:c r="P604" s="9" t="n">
        <x:f>IF(D604="Completed",L604*J604*(1-K604),0)</x:f>
        <x:v>0</x:v>
      </x:c>
      <x:c r="Q604" s="9" t="n">
        <x:f>O604-P604</x:f>
        <x:v>807</x:v>
      </x:c>
      <x:c r="R604" s="11" t="n">
        <x:f>IF(D604="Completed",I604,0)</x:f>
        <x:v>3</x:v>
      </x:c>
      <x:c r="S604" s="11" t="n">
        <x:f>IF(D604="Completed",L604,0)</x:f>
        <x:v>0</x:v>
      </x:c>
      <x:c r="T604" s="8" t="n">
        <x:f>DATE(YEAR(C604),MONTH(C604),1)</x:f>
        <x:v>45901</x:v>
      </x:c>
    </x:row>
    <x:row r="605" ht="22" customHeight="1">
      <x:c r="A605" s="2" t="str">
        <x:v>L000601</x:v>
      </x:c>
      <x:c r="B605" s="2" t="str">
        <x:v>O00249</x:v>
      </x:c>
      <x:c r="C605" s="7" t="n">
        <x:v>45732</x:v>
      </x:c>
      <x:c r="D605" s="2" t="str">
        <x:v>Completed</x:v>
      </x:c>
      <x:c r="E605" s="2" t="str">
        <x:v>East</x:v>
      </x:c>
      <x:c r="F605" s="2" t="str">
        <x:v>Store</x:v>
      </x:c>
      <x:c r="G605" s="2" t="str">
        <x:v>Furniture</x:v>
      </x:c>
      <x:c r="H605" s="2" t="str">
        <x:v>Desk 024</x:v>
      </x:c>
      <x:c r="I605" s="11" t="n">
        <x:v>2</x:v>
      </x:c>
      <x:c r="J605" s="9" t="n">
        <x:v>81</x:v>
      </x:c>
      <x:c r="K605" s="10" t="n">
        <x:v>0.1</x:v>
      </x:c>
      <x:c r="L605" s="11" t="n">
        <x:v>0</x:v>
      </x:c>
      <x:c r="M605" s="9" t="n">
        <x:f>IF(D605="Completed",I605*J605,0)</x:f>
        <x:v>162</x:v>
      </x:c>
      <x:c r="N605" s="9" t="n">
        <x:f>M605*K605</x:f>
        <x:v>16.2</x:v>
      </x:c>
      <x:c r="O605" s="9" t="n">
        <x:f>M605-N605</x:f>
        <x:v>145.8</x:v>
      </x:c>
      <x:c r="P605" s="9" t="n">
        <x:f>IF(D605="Completed",L605*J605*(1-K605),0)</x:f>
        <x:v>0</x:v>
      </x:c>
      <x:c r="Q605" s="9" t="n">
        <x:f>O605-P605</x:f>
        <x:v>145.8</x:v>
      </x:c>
      <x:c r="R605" s="11" t="n">
        <x:f>IF(D605="Completed",I605,0)</x:f>
        <x:v>2</x:v>
      </x:c>
      <x:c r="S605" s="11" t="n">
        <x:f>IF(D605="Completed",L605,0)</x:f>
        <x:v>0</x:v>
      </x:c>
      <x:c r="T605" s="8" t="n">
        <x:f>DATE(YEAR(C605),MONTH(C605),1)</x:f>
        <x:v>45717</x:v>
      </x:c>
    </x:row>
    <x:row r="606" ht="22" customHeight="1">
      <x:c r="A606" s="2" t="str">
        <x:v>L000602</x:v>
      </x:c>
      <x:c r="B606" s="2" t="str">
        <x:v>O00249</x:v>
      </x:c>
      <x:c r="C606" s="7" t="n">
        <x:v>45732</x:v>
      </x:c>
      <x:c r="D606" s="2" t="str">
        <x:v>Completed</x:v>
      </x:c>
      <x:c r="E606" s="2" t="str">
        <x:v>East</x:v>
      </x:c>
      <x:c r="F606" s="2" t="str">
        <x:v>Store</x:v>
      </x:c>
      <x:c r="G606" s="2" t="str">
        <x:v>Furniture</x:v>
      </x:c>
      <x:c r="H606" s="2" t="str">
        <x:v>Desk 012</x:v>
      </x:c>
      <x:c r="I606" s="11" t="n">
        <x:v>2</x:v>
      </x:c>
      <x:c r="J606" s="9" t="n">
        <x:v>134</x:v>
      </x:c>
      <x:c r="K606" s="10" t="n">
        <x:v>0.05</x:v>
      </x:c>
      <x:c r="L606" s="11" t="n">
        <x:v>0</x:v>
      </x:c>
      <x:c r="M606" s="9" t="n">
        <x:f>IF(D606="Completed",I606*J606,0)</x:f>
        <x:v>268</x:v>
      </x:c>
      <x:c r="N606" s="9" t="n">
        <x:f>M606*K606</x:f>
        <x:v>13.4</x:v>
      </x:c>
      <x:c r="O606" s="9" t="n">
        <x:f>M606-N606</x:f>
        <x:v>254.6</x:v>
      </x:c>
      <x:c r="P606" s="9" t="n">
        <x:f>IF(D606="Completed",L606*J606*(1-K606),0)</x:f>
        <x:v>0</x:v>
      </x:c>
      <x:c r="Q606" s="9" t="n">
        <x:f>O606-P606</x:f>
        <x:v>254.6</x:v>
      </x:c>
      <x:c r="R606" s="11" t="n">
        <x:f>IF(D606="Completed",I606,0)</x:f>
        <x:v>2</x:v>
      </x:c>
      <x:c r="S606" s="11" t="n">
        <x:f>IF(D606="Completed",L606,0)</x:f>
        <x:v>0</x:v>
      </x:c>
      <x:c r="T606" s="8" t="n">
        <x:f>DATE(YEAR(C606),MONTH(C606),1)</x:f>
        <x:v>45717</x:v>
      </x:c>
    </x:row>
    <x:row r="607" ht="22" customHeight="1">
      <x:c r="A607" s="2" t="str">
        <x:v>L000603</x:v>
      </x:c>
      <x:c r="B607" s="2" t="str">
        <x:v>O00249</x:v>
      </x:c>
      <x:c r="C607" s="7" t="n">
        <x:v>45732</x:v>
      </x:c>
      <x:c r="D607" s="2" t="str">
        <x:v>Completed</x:v>
      </x:c>
      <x:c r="E607" s="2" t="str">
        <x:v>East</x:v>
      </x:c>
      <x:c r="F607" s="2" t="str">
        <x:v>Store</x:v>
      </x:c>
      <x:c r="G607" s="2" t="str">
        <x:v>Lighting</x:v>
      </x:c>
      <x:c r="H607" s="2" t="str">
        <x:v>Lamp 021</x:v>
      </x:c>
      <x:c r="I607" s="11" t="n">
        <x:v>3</x:v>
      </x:c>
      <x:c r="J607" s="9" t="n">
        <x:v>249</x:v>
      </x:c>
      <x:c r="K607" s="10" t="n">
        <x:v>0</x:v>
      </x:c>
      <x:c r="L607" s="11" t="n">
        <x:v>0</x:v>
      </x:c>
      <x:c r="M607" s="9" t="n">
        <x:f>IF(D607="Completed",I607*J607,0)</x:f>
        <x:v>747</x:v>
      </x:c>
      <x:c r="N607" s="9" t="n">
        <x:f>M607*K607</x:f>
        <x:v>0</x:v>
      </x:c>
      <x:c r="O607" s="9" t="n">
        <x:f>M607-N607</x:f>
        <x:v>747</x:v>
      </x:c>
      <x:c r="P607" s="9" t="n">
        <x:f>IF(D607="Completed",L607*J607*(1-K607),0)</x:f>
        <x:v>0</x:v>
      </x:c>
      <x:c r="Q607" s="9" t="n">
        <x:f>O607-P607</x:f>
        <x:v>747</x:v>
      </x:c>
      <x:c r="R607" s="11" t="n">
        <x:f>IF(D607="Completed",I607,0)</x:f>
        <x:v>3</x:v>
      </x:c>
      <x:c r="S607" s="11" t="n">
        <x:f>IF(D607="Completed",L607,0)</x:f>
        <x:v>0</x:v>
      </x:c>
      <x:c r="T607" s="8" t="n">
        <x:f>DATE(YEAR(C607),MONTH(C607),1)</x:f>
        <x:v>45717</x:v>
      </x:c>
    </x:row>
    <x:row r="608" ht="22" customHeight="1">
      <x:c r="A608" s="2" t="str">
        <x:v>L000604</x:v>
      </x:c>
      <x:c r="B608" s="2" t="str">
        <x:v>O00249</x:v>
      </x:c>
      <x:c r="C608" s="7" t="n">
        <x:v>45732</x:v>
      </x:c>
      <x:c r="D608" s="2" t="str">
        <x:v>Completed</x:v>
      </x:c>
      <x:c r="E608" s="2" t="str">
        <x:v>East</x:v>
      </x:c>
      <x:c r="F608" s="2" t="str">
        <x:v>Store</x:v>
      </x:c>
      <x:c r="G608" s="2" t="str">
        <x:v>Furniture</x:v>
      </x:c>
      <x:c r="H608" s="2" t="str">
        <x:v>Desk 012</x:v>
      </x:c>
      <x:c r="I608" s="11" t="n">
        <x:v>1</x:v>
      </x:c>
      <x:c r="J608" s="9" t="n">
        <x:v>134</x:v>
      </x:c>
      <x:c r="K608" s="10" t="n">
        <x:v>0.1</x:v>
      </x:c>
      <x:c r="L608" s="11" t="n">
        <x:v>0</x:v>
      </x:c>
      <x:c r="M608" s="9" t="n">
        <x:f>IF(D608="Completed",I608*J608,0)</x:f>
        <x:v>134</x:v>
      </x:c>
      <x:c r="N608" s="9" t="n">
        <x:f>M608*K608</x:f>
        <x:v>13.4</x:v>
      </x:c>
      <x:c r="O608" s="9" t="n">
        <x:f>M608-N608</x:f>
        <x:v>120.6</x:v>
      </x:c>
      <x:c r="P608" s="9" t="n">
        <x:f>IF(D608="Completed",L608*J608*(1-K608),0)</x:f>
        <x:v>0</x:v>
      </x:c>
      <x:c r="Q608" s="9" t="n">
        <x:f>O608-P608</x:f>
        <x:v>120.6</x:v>
      </x:c>
      <x:c r="R608" s="11" t="n">
        <x:f>IF(D608="Completed",I608,0)</x:f>
        <x:v>1</x:v>
      </x:c>
      <x:c r="S608" s="11" t="n">
        <x:f>IF(D608="Completed",L608,0)</x:f>
        <x:v>0</x:v>
      </x:c>
      <x:c r="T608" s="8" t="n">
        <x:f>DATE(YEAR(C608),MONTH(C608),1)</x:f>
        <x:v>45717</x:v>
      </x:c>
    </x:row>
    <x:row r="609" ht="22" customHeight="1">
      <x:c r="A609" s="2" t="str">
        <x:v>L000605</x:v>
      </x:c>
      <x:c r="B609" s="2" t="str">
        <x:v>O00250</x:v>
      </x:c>
      <x:c r="C609" s="7" t="n">
        <x:v>46022</x:v>
      </x:c>
      <x:c r="D609" s="2" t="str">
        <x:v>Completed</x:v>
      </x:c>
      <x:c r="E609" s="2" t="str">
        <x:v>West</x:v>
      </x:c>
      <x:c r="F609" s="2" t="str">
        <x:v>Online</x:v>
      </x:c>
      <x:c r="G609" s="2" t="str">
        <x:v>Furniture</x:v>
      </x:c>
      <x:c r="H609" s="2" t="str">
        <x:v>Chair 002</x:v>
      </x:c>
      <x:c r="I609" s="11" t="n">
        <x:v>5</x:v>
      </x:c>
      <x:c r="J609" s="9" t="n">
        <x:v>284</x:v>
      </x:c>
      <x:c r="K609" s="10" t="n">
        <x:v>0.1</x:v>
      </x:c>
      <x:c r="L609" s="11" t="n">
        <x:v>0</x:v>
      </x:c>
      <x:c r="M609" s="9" t="n">
        <x:f>IF(D609="Completed",I609*J609,0)</x:f>
        <x:v>1420</x:v>
      </x:c>
      <x:c r="N609" s="9" t="n">
        <x:f>M609*K609</x:f>
        <x:v>142</x:v>
      </x:c>
      <x:c r="O609" s="9" t="n">
        <x:f>M609-N609</x:f>
        <x:v>1278</x:v>
      </x:c>
      <x:c r="P609" s="9" t="n">
        <x:f>IF(D609="Completed",L609*J609*(1-K609),0)</x:f>
        <x:v>0</x:v>
      </x:c>
      <x:c r="Q609" s="9" t="n">
        <x:f>O609-P609</x:f>
        <x:v>1278</x:v>
      </x:c>
      <x:c r="R609" s="11" t="n">
        <x:f>IF(D609="Completed",I609,0)</x:f>
        <x:v>5</x:v>
      </x:c>
      <x:c r="S609" s="11" t="n">
        <x:f>IF(D609="Completed",L609,0)</x:f>
        <x:v>0</x:v>
      </x:c>
      <x:c r="T609" s="8" t="n">
        <x:f>DATE(YEAR(C609),MONTH(C609),1)</x:f>
        <x:v>45992</x:v>
      </x:c>
    </x:row>
    <x:row r="610" ht="22" customHeight="1">
      <x:c r="A610" s="2" t="str">
        <x:v>L000606</x:v>
      </x:c>
      <x:c r="B610" s="2" t="str">
        <x:v>O00251</x:v>
      </x:c>
      <x:c r="C610" s="7" t="n">
        <x:v>45671</x:v>
      </x:c>
      <x:c r="D610" s="2" t="str">
        <x:v>Completed</x:v>
      </x:c>
      <x:c r="E610" s="2" t="str">
        <x:v>North</x:v>
      </x:c>
      <x:c r="F610" s="2" t="str">
        <x:v>Store</x:v>
      </x:c>
      <x:c r="G610" s="2" t="str">
        <x:v>Lighting</x:v>
      </x:c>
      <x:c r="H610" s="2" t="str">
        <x:v>Lamp 009</x:v>
      </x:c>
      <x:c r="I610" s="11" t="n">
        <x:v>5</x:v>
      </x:c>
      <x:c r="J610" s="9" t="n">
        <x:v>93</x:v>
      </x:c>
      <x:c r="K610" s="10" t="n">
        <x:v>0.2</x:v>
      </x:c>
      <x:c r="L610" s="11" t="n">
        <x:v>0</x:v>
      </x:c>
      <x:c r="M610" s="9" t="n">
        <x:f>IF(D610="Completed",I610*J610,0)</x:f>
        <x:v>465</x:v>
      </x:c>
      <x:c r="N610" s="9" t="n">
        <x:f>M610*K610</x:f>
        <x:v>93</x:v>
      </x:c>
      <x:c r="O610" s="9" t="n">
        <x:f>M610-N610</x:f>
        <x:v>372</x:v>
      </x:c>
      <x:c r="P610" s="9" t="n">
        <x:f>IF(D610="Completed",L610*J610*(1-K610),0)</x:f>
        <x:v>0</x:v>
      </x:c>
      <x:c r="Q610" s="9" t="n">
        <x:f>O610-P610</x:f>
        <x:v>372</x:v>
      </x:c>
      <x:c r="R610" s="11" t="n">
        <x:f>IF(D610="Completed",I610,0)</x:f>
        <x:v>5</x:v>
      </x:c>
      <x:c r="S610" s="11" t="n">
        <x:f>IF(D610="Completed",L610,0)</x:f>
        <x:v>0</x:v>
      </x:c>
      <x:c r="T610" s="8" t="n">
        <x:f>DATE(YEAR(C610),MONTH(C610),1)</x:f>
        <x:v>45658</x:v>
      </x:c>
    </x:row>
    <x:row r="611" ht="22" customHeight="1">
      <x:c r="A611" s="2" t="str">
        <x:v>L000607</x:v>
      </x:c>
      <x:c r="B611" s="2" t="str">
        <x:v>O00251</x:v>
      </x:c>
      <x:c r="C611" s="7" t="n">
        <x:v>45671</x:v>
      </x:c>
      <x:c r="D611" s="2" t="str">
        <x:v>Completed</x:v>
      </x:c>
      <x:c r="E611" s="2" t="str">
        <x:v>North</x:v>
      </x:c>
      <x:c r="F611" s="2" t="str">
        <x:v>Store</x:v>
      </x:c>
      <x:c r="G611" s="2" t="str">
        <x:v>Storage</x:v>
      </x:c>
      <x:c r="H611" s="2" t="str">
        <x:v>Shelf 023</x:v>
      </x:c>
      <x:c r="I611" s="11" t="n">
        <x:v>2</x:v>
      </x:c>
      <x:c r="J611" s="9" t="n">
        <x:v>68</x:v>
      </x:c>
      <x:c r="K611" s="10" t="n">
        <x:v>0.05</x:v>
      </x:c>
      <x:c r="L611" s="11" t="n">
        <x:v>0</x:v>
      </x:c>
      <x:c r="M611" s="9" t="n">
        <x:f>IF(D611="Completed",I611*J611,0)</x:f>
        <x:v>136</x:v>
      </x:c>
      <x:c r="N611" s="9" t="n">
        <x:f>M611*K611</x:f>
        <x:v>6.800000000000001</x:v>
      </x:c>
      <x:c r="O611" s="9" t="n">
        <x:f>M611-N611</x:f>
        <x:v>129.2</x:v>
      </x:c>
      <x:c r="P611" s="9" t="n">
        <x:f>IF(D611="Completed",L611*J611*(1-K611),0)</x:f>
        <x:v>0</x:v>
      </x:c>
      <x:c r="Q611" s="9" t="n">
        <x:f>O611-P611</x:f>
        <x:v>129.2</x:v>
      </x:c>
      <x:c r="R611" s="11" t="n">
        <x:f>IF(D611="Completed",I611,0)</x:f>
        <x:v>2</x:v>
      </x:c>
      <x:c r="S611" s="11" t="n">
        <x:f>IF(D611="Completed",L611,0)</x:f>
        <x:v>0</x:v>
      </x:c>
      <x:c r="T611" s="8" t="n">
        <x:f>DATE(YEAR(C611),MONTH(C611),1)</x:f>
        <x:v>45658</x:v>
      </x:c>
    </x:row>
    <x:row r="612" ht="22" customHeight="1">
      <x:c r="A612" s="2" t="str">
        <x:v>L000608</x:v>
      </x:c>
      <x:c r="B612" s="2" t="str">
        <x:v>O00251</x:v>
      </x:c>
      <x:c r="C612" s="7" t="n">
        <x:v>45671</x:v>
      </x:c>
      <x:c r="D612" s="2" t="str">
        <x:v>Completed</x:v>
      </x:c>
      <x:c r="E612" s="2" t="str">
        <x:v>North</x:v>
      </x:c>
      <x:c r="F612" s="2" t="str">
        <x:v>Store</x:v>
      </x:c>
      <x:c r="G612" s="2" t="str">
        <x:v>Furniture</x:v>
      </x:c>
      <x:c r="H612" s="2" t="str">
        <x:v>Desk 008</x:v>
      </x:c>
      <x:c r="I612" s="11" t="n">
        <x:v>5</x:v>
      </x:c>
      <x:c r="J612" s="9" t="n">
        <x:v>188</x:v>
      </x:c>
      <x:c r="K612" s="10" t="n">
        <x:v>0.2</x:v>
      </x:c>
      <x:c r="L612" s="11" t="n">
        <x:v>0</x:v>
      </x:c>
      <x:c r="M612" s="9" t="n">
        <x:f>IF(D612="Completed",I612*J612,0)</x:f>
        <x:v>940</x:v>
      </x:c>
      <x:c r="N612" s="9" t="n">
        <x:f>M612*K612</x:f>
        <x:v>188</x:v>
      </x:c>
      <x:c r="O612" s="9" t="n">
        <x:f>M612-N612</x:f>
        <x:v>752</x:v>
      </x:c>
      <x:c r="P612" s="9" t="n">
        <x:f>IF(D612="Completed",L612*J612*(1-K612),0)</x:f>
        <x:v>0</x:v>
      </x:c>
      <x:c r="Q612" s="9" t="n">
        <x:f>O612-P612</x:f>
        <x:v>752</x:v>
      </x:c>
      <x:c r="R612" s="11" t="n">
        <x:f>IF(D612="Completed",I612,0)</x:f>
        <x:v>5</x:v>
      </x:c>
      <x:c r="S612" s="11" t="n">
        <x:f>IF(D612="Completed",L612,0)</x:f>
        <x:v>0</x:v>
      </x:c>
      <x:c r="T612" s="8" t="n">
        <x:f>DATE(YEAR(C612),MONTH(C612),1)</x:f>
        <x:v>45658</x:v>
      </x:c>
    </x:row>
    <x:row r="613" ht="22" customHeight="1">
      <x:c r="A613" s="2" t="str">
        <x:v>L000609</x:v>
      </x:c>
      <x:c r="B613" s="2" t="str">
        <x:v>O00251</x:v>
      </x:c>
      <x:c r="C613" s="7" t="n">
        <x:v>45671</x:v>
      </x:c>
      <x:c r="D613" s="2" t="str">
        <x:v>Completed</x:v>
      </x:c>
      <x:c r="E613" s="2" t="str">
        <x:v>North</x:v>
      </x:c>
      <x:c r="F613" s="2" t="str">
        <x:v>Store</x:v>
      </x:c>
      <x:c r="G613" s="2" t="str">
        <x:v>Storage</x:v>
      </x:c>
      <x:c r="H613" s="2" t="str">
        <x:v>Shelf 019</x:v>
      </x:c>
      <x:c r="I613" s="11" t="n">
        <x:v>3</x:v>
      </x:c>
      <x:c r="J613" s="9" t="n">
        <x:v>78</x:v>
      </x:c>
      <x:c r="K613" s="10" t="n">
        <x:v>0.05</x:v>
      </x:c>
      <x:c r="L613" s="11" t="n">
        <x:v>0</x:v>
      </x:c>
      <x:c r="M613" s="9" t="n">
        <x:f>IF(D613="Completed",I613*J613,0)</x:f>
        <x:v>234</x:v>
      </x:c>
      <x:c r="N613" s="9" t="n">
        <x:f>M613*K613</x:f>
        <x:v>11.700000000000001</x:v>
      </x:c>
      <x:c r="O613" s="9" t="n">
        <x:f>M613-N613</x:f>
        <x:v>222.3</x:v>
      </x:c>
      <x:c r="P613" s="9" t="n">
        <x:f>IF(D613="Completed",L613*J613*(1-K613),0)</x:f>
        <x:v>0</x:v>
      </x:c>
      <x:c r="Q613" s="9" t="n">
        <x:f>O613-P613</x:f>
        <x:v>222.3</x:v>
      </x:c>
      <x:c r="R613" s="11" t="n">
        <x:f>IF(D613="Completed",I613,0)</x:f>
        <x:v>3</x:v>
      </x:c>
      <x:c r="S613" s="11" t="n">
        <x:f>IF(D613="Completed",L613,0)</x:f>
        <x:v>0</x:v>
      </x:c>
      <x:c r="T613" s="8" t="n">
        <x:f>DATE(YEAR(C613),MONTH(C613),1)</x:f>
        <x:v>45658</x:v>
      </x:c>
    </x:row>
    <x:row r="614" ht="22" customHeight="1">
      <x:c r="A614" s="2" t="str">
        <x:v>L000610</x:v>
      </x:c>
      <x:c r="B614" s="2" t="str">
        <x:v>O00252</x:v>
      </x:c>
      <x:c r="C614" s="7" t="n">
        <x:v>46012</x:v>
      </x:c>
      <x:c r="D614" s="2" t="str">
        <x:v>Completed</x:v>
      </x:c>
      <x:c r="E614" s="2" t="str">
        <x:v>East</x:v>
      </x:c>
      <x:c r="F614" s="2" t="str">
        <x:v>Online</x:v>
      </x:c>
      <x:c r="G614" s="2" t="str">
        <x:v>Furniture</x:v>
      </x:c>
      <x:c r="H614" s="2" t="str">
        <x:v>Desk 024</x:v>
      </x:c>
      <x:c r="I614" s="11" t="n">
        <x:v>4</x:v>
      </x:c>
      <x:c r="J614" s="9" t="n">
        <x:v>81</x:v>
      </x:c>
      <x:c r="K614" s="10" t="n">
        <x:v>0.05</x:v>
      </x:c>
      <x:c r="L614" s="11" t="n">
        <x:v>0</x:v>
      </x:c>
      <x:c r="M614" s="9" t="n">
        <x:f>IF(D614="Completed",I614*J614,0)</x:f>
        <x:v>324</x:v>
      </x:c>
      <x:c r="N614" s="9" t="n">
        <x:f>M614*K614</x:f>
        <x:v>16.2</x:v>
      </x:c>
      <x:c r="O614" s="9" t="n">
        <x:f>M614-N614</x:f>
        <x:v>307.8</x:v>
      </x:c>
      <x:c r="P614" s="9" t="n">
        <x:f>IF(D614="Completed",L614*J614*(1-K614),0)</x:f>
        <x:v>0</x:v>
      </x:c>
      <x:c r="Q614" s="9" t="n">
        <x:f>O614-P614</x:f>
        <x:v>307.8</x:v>
      </x:c>
      <x:c r="R614" s="11" t="n">
        <x:f>IF(D614="Completed",I614,0)</x:f>
        <x:v>4</x:v>
      </x:c>
      <x:c r="S614" s="11" t="n">
        <x:f>IF(D614="Completed",L614,0)</x:f>
        <x:v>0</x:v>
      </x:c>
      <x:c r="T614" s="8" t="n">
        <x:f>DATE(YEAR(C614),MONTH(C614),1)</x:f>
        <x:v>45992</x:v>
      </x:c>
    </x:row>
    <x:row r="615" ht="22" customHeight="1">
      <x:c r="A615" s="2" t="str">
        <x:v>L000611</x:v>
      </x:c>
      <x:c r="B615" s="2" t="str">
        <x:v>O00253</x:v>
      </x:c>
      <x:c r="C615" s="7" t="n">
        <x:v>45794</x:v>
      </x:c>
      <x:c r="D615" s="2" t="str">
        <x:v>Completed</x:v>
      </x:c>
      <x:c r="E615" s="2" t="str">
        <x:v>West</x:v>
      </x:c>
      <x:c r="F615" s="2" t="str">
        <x:v>Online</x:v>
      </x:c>
      <x:c r="G615" s="2" t="str">
        <x:v>Lighting</x:v>
      </x:c>
      <x:c r="H615" s="2" t="str">
        <x:v>Lamp 001</x:v>
      </x:c>
      <x:c r="I615" s="11" t="n">
        <x:v>2</x:v>
      </x:c>
      <x:c r="J615" s="9" t="n">
        <x:v>122</x:v>
      </x:c>
      <x:c r="K615" s="10" t="n">
        <x:v>0.2</x:v>
      </x:c>
      <x:c r="L615" s="11" t="n">
        <x:v>0</x:v>
      </x:c>
      <x:c r="M615" s="9" t="n">
        <x:f>IF(D615="Completed",I615*J615,0)</x:f>
        <x:v>244</x:v>
      </x:c>
      <x:c r="N615" s="9" t="n">
        <x:f>M615*K615</x:f>
        <x:v>48.800000000000004</x:v>
      </x:c>
      <x:c r="O615" s="9" t="n">
        <x:f>M615-N615</x:f>
        <x:v>195.2</x:v>
      </x:c>
      <x:c r="P615" s="9" t="n">
        <x:f>IF(D615="Completed",L615*J615*(1-K615),0)</x:f>
        <x:v>0</x:v>
      </x:c>
      <x:c r="Q615" s="9" t="n">
        <x:f>O615-P615</x:f>
        <x:v>195.2</x:v>
      </x:c>
      <x:c r="R615" s="11" t="n">
        <x:f>IF(D615="Completed",I615,0)</x:f>
        <x:v>2</x:v>
      </x:c>
      <x:c r="S615" s="11" t="n">
        <x:f>IF(D615="Completed",L615,0)</x:f>
        <x:v>0</x:v>
      </x:c>
      <x:c r="T615" s="8" t="n">
        <x:f>DATE(YEAR(C615),MONTH(C615),1)</x:f>
        <x:v>45778</x:v>
      </x:c>
    </x:row>
    <x:row r="616" ht="22" customHeight="1">
      <x:c r="A616" s="2" t="str">
        <x:v>L000612</x:v>
      </x:c>
      <x:c r="B616" s="2" t="str">
        <x:v>O00253</x:v>
      </x:c>
      <x:c r="C616" s="7" t="n">
        <x:v>45794</x:v>
      </x:c>
      <x:c r="D616" s="2" t="str">
        <x:v>Completed</x:v>
      </x:c>
      <x:c r="E616" s="2" t="str">
        <x:v>West</x:v>
      </x:c>
      <x:c r="F616" s="2" t="str">
        <x:v>Online</x:v>
      </x:c>
      <x:c r="G616" s="2" t="str">
        <x:v>Furniture</x:v>
      </x:c>
      <x:c r="H616" s="2" t="str">
        <x:v>Chair 022</x:v>
      </x:c>
      <x:c r="I616" s="11" t="n">
        <x:v>3</x:v>
      </x:c>
      <x:c r="J616" s="9" t="n">
        <x:v>134</x:v>
      </x:c>
      <x:c r="K616" s="10" t="n">
        <x:v>0</x:v>
      </x:c>
      <x:c r="L616" s="11" t="n">
        <x:v>0</x:v>
      </x:c>
      <x:c r="M616" s="9" t="n">
        <x:f>IF(D616="Completed",I616*J616,0)</x:f>
        <x:v>402</x:v>
      </x:c>
      <x:c r="N616" s="9" t="n">
        <x:f>M616*K616</x:f>
        <x:v>0</x:v>
      </x:c>
      <x:c r="O616" s="9" t="n">
        <x:f>M616-N616</x:f>
        <x:v>402</x:v>
      </x:c>
      <x:c r="P616" s="9" t="n">
        <x:f>IF(D616="Completed",L616*J616*(1-K616),0)</x:f>
        <x:v>0</x:v>
      </x:c>
      <x:c r="Q616" s="9" t="n">
        <x:f>O616-P616</x:f>
        <x:v>402</x:v>
      </x:c>
      <x:c r="R616" s="11" t="n">
        <x:f>IF(D616="Completed",I616,0)</x:f>
        <x:v>3</x:v>
      </x:c>
      <x:c r="S616" s="11" t="n">
        <x:f>IF(D616="Completed",L616,0)</x:f>
        <x:v>0</x:v>
      </x:c>
      <x:c r="T616" s="8" t="n">
        <x:f>DATE(YEAR(C616),MONTH(C616),1)</x:f>
        <x:v>45778</x:v>
      </x:c>
    </x:row>
    <x:row r="617" ht="22" customHeight="1">
      <x:c r="A617" s="2" t="str">
        <x:v>L000613</x:v>
      </x:c>
      <x:c r="B617" s="2" t="str">
        <x:v>O00253</x:v>
      </x:c>
      <x:c r="C617" s="7" t="n">
        <x:v>45794</x:v>
      </x:c>
      <x:c r="D617" s="2" t="str">
        <x:v>Completed</x:v>
      </x:c>
      <x:c r="E617" s="2" t="str">
        <x:v>West</x:v>
      </x:c>
      <x:c r="F617" s="2" t="str">
        <x:v>Online</x:v>
      </x:c>
      <x:c r="G617" s="2" t="str">
        <x:v>Lighting</x:v>
      </x:c>
      <x:c r="H617" s="2" t="str">
        <x:v>Lamp 013</x:v>
      </x:c>
      <x:c r="I617" s="11" t="n">
        <x:v>2</x:v>
      </x:c>
      <x:c r="J617" s="9" t="n">
        <x:v>271</x:v>
      </x:c>
      <x:c r="K617" s="10" t="n">
        <x:v>0</x:v>
      </x:c>
      <x:c r="L617" s="11" t="n">
        <x:v>0</x:v>
      </x:c>
      <x:c r="M617" s="9" t="n">
        <x:f>IF(D617="Completed",I617*J617,0)</x:f>
        <x:v>542</x:v>
      </x:c>
      <x:c r="N617" s="9" t="n">
        <x:f>M617*K617</x:f>
        <x:v>0</x:v>
      </x:c>
      <x:c r="O617" s="9" t="n">
        <x:f>M617-N617</x:f>
        <x:v>542</x:v>
      </x:c>
      <x:c r="P617" s="9" t="n">
        <x:f>IF(D617="Completed",L617*J617*(1-K617),0)</x:f>
        <x:v>0</x:v>
      </x:c>
      <x:c r="Q617" s="9" t="n">
        <x:f>O617-P617</x:f>
        <x:v>542</x:v>
      </x:c>
      <x:c r="R617" s="11" t="n">
        <x:f>IF(D617="Completed",I617,0)</x:f>
        <x:v>2</x:v>
      </x:c>
      <x:c r="S617" s="11" t="n">
        <x:f>IF(D617="Completed",L617,0)</x:f>
        <x:v>0</x:v>
      </x:c>
      <x:c r="T617" s="8" t="n">
        <x:f>DATE(YEAR(C617),MONTH(C617),1)</x:f>
        <x:v>45778</x:v>
      </x:c>
    </x:row>
    <x:row r="618" ht="22" customHeight="1">
      <x:c r="A618" s="2" t="str">
        <x:v>L000614</x:v>
      </x:c>
      <x:c r="B618" s="2" t="str">
        <x:v>O00253</x:v>
      </x:c>
      <x:c r="C618" s="7" t="n">
        <x:v>45794</x:v>
      </x:c>
      <x:c r="D618" s="2" t="str">
        <x:v>Completed</x:v>
      </x:c>
      <x:c r="E618" s="2" t="str">
        <x:v>West</x:v>
      </x:c>
      <x:c r="F618" s="2" t="str">
        <x:v>Online</x:v>
      </x:c>
      <x:c r="G618" s="2" t="str">
        <x:v>Furniture</x:v>
      </x:c>
      <x:c r="H618" s="2" t="str">
        <x:v>Desk 024</x:v>
      </x:c>
      <x:c r="I618" s="11" t="n">
        <x:v>4</x:v>
      </x:c>
      <x:c r="J618" s="9" t="n">
        <x:v>81</x:v>
      </x:c>
      <x:c r="K618" s="10" t="n">
        <x:v>0.1</x:v>
      </x:c>
      <x:c r="L618" s="11" t="n">
        <x:v>0</x:v>
      </x:c>
      <x:c r="M618" s="9" t="n">
        <x:f>IF(D618="Completed",I618*J618,0)</x:f>
        <x:v>324</x:v>
      </x:c>
      <x:c r="N618" s="9" t="n">
        <x:f>M618*K618</x:f>
        <x:v>32.4</x:v>
      </x:c>
      <x:c r="O618" s="9" t="n">
        <x:f>M618-N618</x:f>
        <x:v>291.6</x:v>
      </x:c>
      <x:c r="P618" s="9" t="n">
        <x:f>IF(D618="Completed",L618*J618*(1-K618),0)</x:f>
        <x:v>0</x:v>
      </x:c>
      <x:c r="Q618" s="9" t="n">
        <x:f>O618-P618</x:f>
        <x:v>291.6</x:v>
      </x:c>
      <x:c r="R618" s="11" t="n">
        <x:f>IF(D618="Completed",I618,0)</x:f>
        <x:v>4</x:v>
      </x:c>
      <x:c r="S618" s="11" t="n">
        <x:f>IF(D618="Completed",L618,0)</x:f>
        <x:v>0</x:v>
      </x:c>
      <x:c r="T618" s="8" t="n">
        <x:f>DATE(YEAR(C618),MONTH(C618),1)</x:f>
        <x:v>45778</x:v>
      </x:c>
    </x:row>
    <x:row r="619" ht="22" customHeight="1">
      <x:c r="A619" s="2" t="str">
        <x:v>L000615</x:v>
      </x:c>
      <x:c r="B619" s="2" t="str">
        <x:v>O00254</x:v>
      </x:c>
      <x:c r="C619" s="7" t="n">
        <x:v>45941</x:v>
      </x:c>
      <x:c r="D619" s="2" t="str">
        <x:v>Completed</x:v>
      </x:c>
      <x:c r="E619" s="2" t="str">
        <x:v>West</x:v>
      </x:c>
      <x:c r="F619" s="2" t="str">
        <x:v>Online</x:v>
      </x:c>
      <x:c r="G619" s="2" t="str">
        <x:v>Furniture</x:v>
      </x:c>
      <x:c r="H619" s="2" t="str">
        <x:v>Desk 004</x:v>
      </x:c>
      <x:c r="I619" s="11" t="n">
        <x:v>2</x:v>
      </x:c>
      <x:c r="J619" s="9" t="n">
        <x:v>123</x:v>
      </x:c>
      <x:c r="K619" s="10" t="n">
        <x:v>0</x:v>
      </x:c>
      <x:c r="L619" s="11" t="n">
        <x:v>0</x:v>
      </x:c>
      <x:c r="M619" s="9" t="n">
        <x:f>IF(D619="Completed",I619*J619,0)</x:f>
        <x:v>246</x:v>
      </x:c>
      <x:c r="N619" s="9" t="n">
        <x:f>M619*K619</x:f>
        <x:v>0</x:v>
      </x:c>
      <x:c r="O619" s="9" t="n">
        <x:f>M619-N619</x:f>
        <x:v>246</x:v>
      </x:c>
      <x:c r="P619" s="9" t="n">
        <x:f>IF(D619="Completed",L619*J619*(1-K619),0)</x:f>
        <x:v>0</x:v>
      </x:c>
      <x:c r="Q619" s="9" t="n">
        <x:f>O619-P619</x:f>
        <x:v>246</x:v>
      </x:c>
      <x:c r="R619" s="11" t="n">
        <x:f>IF(D619="Completed",I619,0)</x:f>
        <x:v>2</x:v>
      </x:c>
      <x:c r="S619" s="11" t="n">
        <x:f>IF(D619="Completed",L619,0)</x:f>
        <x:v>0</x:v>
      </x:c>
      <x:c r="T619" s="8" t="n">
        <x:f>DATE(YEAR(C619),MONTH(C619),1)</x:f>
        <x:v>45931</x:v>
      </x:c>
    </x:row>
    <x:row r="620" ht="22" customHeight="1">
      <x:c r="A620" s="2" t="str">
        <x:v>L000616</x:v>
      </x:c>
      <x:c r="B620" s="2" t="str">
        <x:v>O00255</x:v>
      </x:c>
      <x:c r="C620" s="7" t="n">
        <x:v>45712</x:v>
      </x:c>
      <x:c r="D620" s="2" t="str">
        <x:v>Completed</x:v>
      </x:c>
      <x:c r="E620" s="2" t="str">
        <x:v>West</x:v>
      </x:c>
      <x:c r="F620" s="2" t="str">
        <x:v>Store</x:v>
      </x:c>
      <x:c r="G620" s="2" t="str">
        <x:v>Furniture</x:v>
      </x:c>
      <x:c r="H620" s="2" t="str">
        <x:v>Chair 010</x:v>
      </x:c>
      <x:c r="I620" s="11" t="n">
        <x:v>2</x:v>
      </x:c>
      <x:c r="J620" s="9" t="n">
        <x:v>211</x:v>
      </x:c>
      <x:c r="K620" s="10" t="n">
        <x:v>0.05</x:v>
      </x:c>
      <x:c r="L620" s="11" t="n">
        <x:v>0</x:v>
      </x:c>
      <x:c r="M620" s="9" t="n">
        <x:f>IF(D620="Completed",I620*J620,0)</x:f>
        <x:v>422</x:v>
      </x:c>
      <x:c r="N620" s="9" t="n">
        <x:f>M620*K620</x:f>
        <x:v>21.1</x:v>
      </x:c>
      <x:c r="O620" s="9" t="n">
        <x:f>M620-N620</x:f>
        <x:v>400.9</x:v>
      </x:c>
      <x:c r="P620" s="9" t="n">
        <x:f>IF(D620="Completed",L620*J620*(1-K620),0)</x:f>
        <x:v>0</x:v>
      </x:c>
      <x:c r="Q620" s="9" t="n">
        <x:f>O620-P620</x:f>
        <x:v>400.9</x:v>
      </x:c>
      <x:c r="R620" s="11" t="n">
        <x:f>IF(D620="Completed",I620,0)</x:f>
        <x:v>2</x:v>
      </x:c>
      <x:c r="S620" s="11" t="n">
        <x:f>IF(D620="Completed",L620,0)</x:f>
        <x:v>0</x:v>
      </x:c>
      <x:c r="T620" s="8" t="n">
        <x:f>DATE(YEAR(C620),MONTH(C620),1)</x:f>
        <x:v>45689</x:v>
      </x:c>
    </x:row>
    <x:row r="621" ht="22" customHeight="1">
      <x:c r="A621" s="2" t="str">
        <x:v>L000617</x:v>
      </x:c>
      <x:c r="B621" s="2" t="str">
        <x:v>O00255</x:v>
      </x:c>
      <x:c r="C621" s="7" t="n">
        <x:v>45712</x:v>
      </x:c>
      <x:c r="D621" s="2" t="str">
        <x:v>Completed</x:v>
      </x:c>
      <x:c r="E621" s="2" t="str">
        <x:v>West</x:v>
      </x:c>
      <x:c r="F621" s="2" t="str">
        <x:v>Store</x:v>
      </x:c>
      <x:c r="G621" s="2" t="str">
        <x:v>Furniture</x:v>
      </x:c>
      <x:c r="H621" s="2" t="str">
        <x:v>Desk 012</x:v>
      </x:c>
      <x:c r="I621" s="11" t="n">
        <x:v>5</x:v>
      </x:c>
      <x:c r="J621" s="9" t="n">
        <x:v>134</x:v>
      </x:c>
      <x:c r="K621" s="10" t="n">
        <x:v>0.05</x:v>
      </x:c>
      <x:c r="L621" s="11" t="n">
        <x:v>0</x:v>
      </x:c>
      <x:c r="M621" s="9" t="n">
        <x:f>IF(D621="Completed",I621*J621,0)</x:f>
        <x:v>670</x:v>
      </x:c>
      <x:c r="N621" s="9" t="n">
        <x:f>M621*K621</x:f>
        <x:v>33.5</x:v>
      </x:c>
      <x:c r="O621" s="9" t="n">
        <x:f>M621-N621</x:f>
        <x:v>636.5</x:v>
      </x:c>
      <x:c r="P621" s="9" t="n">
        <x:f>IF(D621="Completed",L621*J621*(1-K621),0)</x:f>
        <x:v>0</x:v>
      </x:c>
      <x:c r="Q621" s="9" t="n">
        <x:f>O621-P621</x:f>
        <x:v>636.5</x:v>
      </x:c>
      <x:c r="R621" s="11" t="n">
        <x:f>IF(D621="Completed",I621,0)</x:f>
        <x:v>5</x:v>
      </x:c>
      <x:c r="S621" s="11" t="n">
        <x:f>IF(D621="Completed",L621,0)</x:f>
        <x:v>0</x:v>
      </x:c>
      <x:c r="T621" s="8" t="n">
        <x:f>DATE(YEAR(C621),MONTH(C621),1)</x:f>
        <x:v>45689</x:v>
      </x:c>
    </x:row>
    <x:row r="622" ht="22" customHeight="1">
      <x:c r="A622" s="2" t="str">
        <x:v>L000618</x:v>
      </x:c>
      <x:c r="B622" s="2" t="str">
        <x:v>O00255</x:v>
      </x:c>
      <x:c r="C622" s="7" t="n">
        <x:v>45712</x:v>
      </x:c>
      <x:c r="D622" s="2" t="str">
        <x:v>Completed</x:v>
      </x:c>
      <x:c r="E622" s="2" t="str">
        <x:v>West</x:v>
      </x:c>
      <x:c r="F622" s="2" t="str">
        <x:v>Store</x:v>
      </x:c>
      <x:c r="G622" s="2" t="str">
        <x:v>Lighting</x:v>
      </x:c>
      <x:c r="H622" s="2" t="str">
        <x:v>Lamp 021</x:v>
      </x:c>
      <x:c r="I622" s="11" t="n">
        <x:v>2</x:v>
      </x:c>
      <x:c r="J622" s="9" t="n">
        <x:v>249</x:v>
      </x:c>
      <x:c r="K622" s="10" t="n">
        <x:v>0</x:v>
      </x:c>
      <x:c r="L622" s="11" t="n">
        <x:v>1</x:v>
      </x:c>
      <x:c r="M622" s="9" t="n">
        <x:f>IF(D622="Completed",I622*J622,0)</x:f>
        <x:v>498</x:v>
      </x:c>
      <x:c r="N622" s="9" t="n">
        <x:f>M622*K622</x:f>
        <x:v>0</x:v>
      </x:c>
      <x:c r="O622" s="9" t="n">
        <x:f>M622-N622</x:f>
        <x:v>498</x:v>
      </x:c>
      <x:c r="P622" s="9" t="n">
        <x:f>IF(D622="Completed",L622*J622*(1-K622),0)</x:f>
        <x:v>249</x:v>
      </x:c>
      <x:c r="Q622" s="9" t="n">
        <x:f>O622-P622</x:f>
        <x:v>249</x:v>
      </x:c>
      <x:c r="R622" s="11" t="n">
        <x:f>IF(D622="Completed",I622,0)</x:f>
        <x:v>2</x:v>
      </x:c>
      <x:c r="S622" s="11" t="n">
        <x:f>IF(D622="Completed",L622,0)</x:f>
        <x:v>1</x:v>
      </x:c>
      <x:c r="T622" s="8" t="n">
        <x:f>DATE(YEAR(C622),MONTH(C622),1)</x:f>
        <x:v>45689</x:v>
      </x:c>
    </x:row>
    <x:row r="623" ht="22" customHeight="1">
      <x:c r="A623" s="2" t="str">
        <x:v>L000619</x:v>
      </x:c>
      <x:c r="B623" s="2" t="str">
        <x:v>O00256</x:v>
      </x:c>
      <x:c r="C623" s="7" t="n">
        <x:v>45727</x:v>
      </x:c>
      <x:c r="D623" s="2" t="str">
        <x:v>Completed</x:v>
      </x:c>
      <x:c r="E623" s="2" t="str">
        <x:v>West</x:v>
      </x:c>
      <x:c r="F623" s="2" t="str">
        <x:v>Store</x:v>
      </x:c>
      <x:c r="G623" s="2" t="str">
        <x:v>Furniture</x:v>
      </x:c>
      <x:c r="H623" s="2" t="str">
        <x:v>Chair 006</x:v>
      </x:c>
      <x:c r="I623" s="11" t="n">
        <x:v>2</x:v>
      </x:c>
      <x:c r="J623" s="9" t="n">
        <x:v>196</x:v>
      </x:c>
      <x:c r="K623" s="10" t="n">
        <x:v>0.2</x:v>
      </x:c>
      <x:c r="L623" s="11" t="n">
        <x:v>0</x:v>
      </x:c>
      <x:c r="M623" s="9" t="n">
        <x:f>IF(D623="Completed",I623*J623,0)</x:f>
        <x:v>392</x:v>
      </x:c>
      <x:c r="N623" s="9" t="n">
        <x:f>M623*K623</x:f>
        <x:v>78.4</x:v>
      </x:c>
      <x:c r="O623" s="9" t="n">
        <x:f>M623-N623</x:f>
        <x:v>313.6</x:v>
      </x:c>
      <x:c r="P623" s="9" t="n">
        <x:f>IF(D623="Completed",L623*J623*(1-K623),0)</x:f>
        <x:v>0</x:v>
      </x:c>
      <x:c r="Q623" s="9" t="n">
        <x:f>O623-P623</x:f>
        <x:v>313.6</x:v>
      </x:c>
      <x:c r="R623" s="11" t="n">
        <x:f>IF(D623="Completed",I623,0)</x:f>
        <x:v>2</x:v>
      </x:c>
      <x:c r="S623" s="11" t="n">
        <x:f>IF(D623="Completed",L623,0)</x:f>
        <x:v>0</x:v>
      </x:c>
      <x:c r="T623" s="8" t="n">
        <x:f>DATE(YEAR(C623),MONTH(C623),1)</x:f>
        <x:v>45717</x:v>
      </x:c>
    </x:row>
    <x:row r="624" ht="22" customHeight="1">
      <x:c r="A624" s="2" t="str">
        <x:v>L000620</x:v>
      </x:c>
      <x:c r="B624" s="2" t="str">
        <x:v>O00256</x:v>
      </x:c>
      <x:c r="C624" s="7" t="n">
        <x:v>45727</x:v>
      </x:c>
      <x:c r="D624" s="2" t="str">
        <x:v>Completed</x:v>
      </x:c>
      <x:c r="E624" s="2" t="str">
        <x:v>West</x:v>
      </x:c>
      <x:c r="F624" s="2" t="str">
        <x:v>Store</x:v>
      </x:c>
      <x:c r="G624" s="2" t="str">
        <x:v>Furniture</x:v>
      </x:c>
      <x:c r="H624" s="2" t="str">
        <x:v>Desk 004</x:v>
      </x:c>
      <x:c r="I624" s="11" t="n">
        <x:v>5</x:v>
      </x:c>
      <x:c r="J624" s="9" t="n">
        <x:v>123</x:v>
      </x:c>
      <x:c r="K624" s="10" t="n">
        <x:v>0.1</x:v>
      </x:c>
      <x:c r="L624" s="11" t="n">
        <x:v>0</x:v>
      </x:c>
      <x:c r="M624" s="9" t="n">
        <x:f>IF(D624="Completed",I624*J624,0)</x:f>
        <x:v>615</x:v>
      </x:c>
      <x:c r="N624" s="9" t="n">
        <x:f>M624*K624</x:f>
        <x:v>61.5</x:v>
      </x:c>
      <x:c r="O624" s="9" t="n">
        <x:f>M624-N624</x:f>
        <x:v>553.5</x:v>
      </x:c>
      <x:c r="P624" s="9" t="n">
        <x:f>IF(D624="Completed",L624*J624*(1-K624),0)</x:f>
        <x:v>0</x:v>
      </x:c>
      <x:c r="Q624" s="9" t="n">
        <x:f>O624-P624</x:f>
        <x:v>553.5</x:v>
      </x:c>
      <x:c r="R624" s="11" t="n">
        <x:f>IF(D624="Completed",I624,0)</x:f>
        <x:v>5</x:v>
      </x:c>
      <x:c r="S624" s="11" t="n">
        <x:f>IF(D624="Completed",L624,0)</x:f>
        <x:v>0</x:v>
      </x:c>
      <x:c r="T624" s="8" t="n">
        <x:f>DATE(YEAR(C624),MONTH(C624),1)</x:f>
        <x:v>45717</x:v>
      </x:c>
    </x:row>
    <x:row r="625" ht="22" customHeight="1">
      <x:c r="A625" s="2" t="str">
        <x:v>L000621</x:v>
      </x:c>
      <x:c r="B625" s="2" t="str">
        <x:v>O00256</x:v>
      </x:c>
      <x:c r="C625" s="7" t="n">
        <x:v>45727</x:v>
      </x:c>
      <x:c r="D625" s="2" t="str">
        <x:v>Completed</x:v>
      </x:c>
      <x:c r="E625" s="2" t="str">
        <x:v>West</x:v>
      </x:c>
      <x:c r="F625" s="2" t="str">
        <x:v>Store</x:v>
      </x:c>
      <x:c r="G625" s="2" t="str">
        <x:v>Furniture</x:v>
      </x:c>
      <x:c r="H625" s="2" t="str">
        <x:v>Chair 006</x:v>
      </x:c>
      <x:c r="I625" s="11" t="n">
        <x:v>2</x:v>
      </x:c>
      <x:c r="J625" s="9" t="n">
        <x:v>196</x:v>
      </x:c>
      <x:c r="K625" s="10" t="n">
        <x:v>0.2</x:v>
      </x:c>
      <x:c r="L625" s="11" t="n">
        <x:v>0</x:v>
      </x:c>
      <x:c r="M625" s="9" t="n">
        <x:f>IF(D625="Completed",I625*J625,0)</x:f>
        <x:v>392</x:v>
      </x:c>
      <x:c r="N625" s="9" t="n">
        <x:f>M625*K625</x:f>
        <x:v>78.4</x:v>
      </x:c>
      <x:c r="O625" s="9" t="n">
        <x:f>M625-N625</x:f>
        <x:v>313.6</x:v>
      </x:c>
      <x:c r="P625" s="9" t="n">
        <x:f>IF(D625="Completed",L625*J625*(1-K625),0)</x:f>
        <x:v>0</x:v>
      </x:c>
      <x:c r="Q625" s="9" t="n">
        <x:f>O625-P625</x:f>
        <x:v>313.6</x:v>
      </x:c>
      <x:c r="R625" s="11" t="n">
        <x:f>IF(D625="Completed",I625,0)</x:f>
        <x:v>2</x:v>
      </x:c>
      <x:c r="S625" s="11" t="n">
        <x:f>IF(D625="Completed",L625,0)</x:f>
        <x:v>0</x:v>
      </x:c>
      <x:c r="T625" s="8" t="n">
        <x:f>DATE(YEAR(C625),MONTH(C625),1)</x:f>
        <x:v>45717</x:v>
      </x:c>
    </x:row>
    <x:row r="626" ht="22" customHeight="1">
      <x:c r="A626" s="2" t="str">
        <x:v>L000622</x:v>
      </x:c>
      <x:c r="B626" s="2" t="str">
        <x:v>O00257</x:v>
      </x:c>
      <x:c r="C626" s="7" t="n">
        <x:v>45882</x:v>
      </x:c>
      <x:c r="D626" s="2" t="str">
        <x:v>Completed</x:v>
      </x:c>
      <x:c r="E626" s="2" t="str">
        <x:v>North</x:v>
      </x:c>
      <x:c r="F626" s="2" t="str">
        <x:v>Store</x:v>
      </x:c>
      <x:c r="G626" s="2" t="str">
        <x:v>Furniture</x:v>
      </x:c>
      <x:c r="H626" s="2" t="str">
        <x:v>Desk 024</x:v>
      </x:c>
      <x:c r="I626" s="11" t="n">
        <x:v>2</x:v>
      </x:c>
      <x:c r="J626" s="9" t="n">
        <x:v>81</x:v>
      </x:c>
      <x:c r="K626" s="10" t="n">
        <x:v>0.05</x:v>
      </x:c>
      <x:c r="L626" s="11" t="n">
        <x:v>0</x:v>
      </x:c>
      <x:c r="M626" s="9" t="n">
        <x:f>IF(D626="Completed",I626*J626,0)</x:f>
        <x:v>162</x:v>
      </x:c>
      <x:c r="N626" s="9" t="n">
        <x:f>M626*K626</x:f>
        <x:v>8.1</x:v>
      </x:c>
      <x:c r="O626" s="9" t="n">
        <x:f>M626-N626</x:f>
        <x:v>153.9</x:v>
      </x:c>
      <x:c r="P626" s="9" t="n">
        <x:f>IF(D626="Completed",L626*J626*(1-K626),0)</x:f>
        <x:v>0</x:v>
      </x:c>
      <x:c r="Q626" s="9" t="n">
        <x:f>O626-P626</x:f>
        <x:v>153.9</x:v>
      </x:c>
      <x:c r="R626" s="11" t="n">
        <x:f>IF(D626="Completed",I626,0)</x:f>
        <x:v>2</x:v>
      </x:c>
      <x:c r="S626" s="11" t="n">
        <x:f>IF(D626="Completed",L626,0)</x:f>
        <x:v>0</x:v>
      </x:c>
      <x:c r="T626" s="8" t="n">
        <x:f>DATE(YEAR(C626),MONTH(C626),1)</x:f>
        <x:v>45870</x:v>
      </x:c>
    </x:row>
    <x:row r="627" ht="22" customHeight="1">
      <x:c r="A627" s="2" t="str">
        <x:v>L000623</x:v>
      </x:c>
      <x:c r="B627" s="2" t="str">
        <x:v>O00258</x:v>
      </x:c>
      <x:c r="C627" s="7" t="n">
        <x:v>46000</x:v>
      </x:c>
      <x:c r="D627" s="2" t="str">
        <x:v>Completed</x:v>
      </x:c>
      <x:c r="E627" s="2" t="str">
        <x:v>West</x:v>
      </x:c>
      <x:c r="F627" s="2" t="str">
        <x:v>Online</x:v>
      </x:c>
      <x:c r="G627" s="2" t="str">
        <x:v>Furniture</x:v>
      </x:c>
      <x:c r="H627" s="2" t="str">
        <x:v>Desk 008</x:v>
      </x:c>
      <x:c r="I627" s="11" t="n">
        <x:v>3</x:v>
      </x:c>
      <x:c r="J627" s="9" t="n">
        <x:v>188</x:v>
      </x:c>
      <x:c r="K627" s="10" t="n">
        <x:v>0.05</x:v>
      </x:c>
      <x:c r="L627" s="11" t="n">
        <x:v>0</x:v>
      </x:c>
      <x:c r="M627" s="9" t="n">
        <x:f>IF(D627="Completed",I627*J627,0)</x:f>
        <x:v>564</x:v>
      </x:c>
      <x:c r="N627" s="9" t="n">
        <x:f>M627*K627</x:f>
        <x:v>28.200000000000003</x:v>
      </x:c>
      <x:c r="O627" s="9" t="n">
        <x:f>M627-N627</x:f>
        <x:v>535.8</x:v>
      </x:c>
      <x:c r="P627" s="9" t="n">
        <x:f>IF(D627="Completed",L627*J627*(1-K627),0)</x:f>
        <x:v>0</x:v>
      </x:c>
      <x:c r="Q627" s="9" t="n">
        <x:f>O627-P627</x:f>
        <x:v>535.8</x:v>
      </x:c>
      <x:c r="R627" s="11" t="n">
        <x:f>IF(D627="Completed",I627,0)</x:f>
        <x:v>3</x:v>
      </x:c>
      <x:c r="S627" s="11" t="n">
        <x:f>IF(D627="Completed",L627,0)</x:f>
        <x:v>0</x:v>
      </x:c>
      <x:c r="T627" s="8" t="n">
        <x:f>DATE(YEAR(C627),MONTH(C627),1)</x:f>
        <x:v>45992</x:v>
      </x:c>
    </x:row>
    <x:row r="628" ht="22" customHeight="1">
      <x:c r="A628" s="2" t="str">
        <x:v>L000624</x:v>
      </x:c>
      <x:c r="B628" s="2" t="str">
        <x:v>O00259</x:v>
      </x:c>
      <x:c r="C628" s="7" t="n">
        <x:v>45682</x:v>
      </x:c>
      <x:c r="D628" s="2" t="str">
        <x:v>Cancelled</x:v>
      </x:c>
      <x:c r="E628" s="2" t="str">
        <x:v>North</x:v>
      </x:c>
      <x:c r="F628" s="2" t="str">
        <x:v>Store</x:v>
      </x:c>
      <x:c r="G628" s="2" t="str">
        <x:v>Furniture</x:v>
      </x:c>
      <x:c r="H628" s="2" t="str">
        <x:v>Chair 018</x:v>
      </x:c>
      <x:c r="I628" s="11" t="n">
        <x:v>1</x:v>
      </x:c>
      <x:c r="J628" s="9" t="n">
        <x:v>269</x:v>
      </x:c>
      <x:c r="K628" s="10" t="n">
        <x:v>0.05</x:v>
      </x:c>
      <x:c r="L628" s="11" t="n">
        <x:v>0</x:v>
      </x:c>
      <x:c r="M628" s="9" t="n">
        <x:f>IF(D628="Completed",I628*J628,0)</x:f>
        <x:v>0</x:v>
      </x:c>
      <x:c r="N628" s="9" t="n">
        <x:f>M628*K628</x:f>
        <x:v>0</x:v>
      </x:c>
      <x:c r="O628" s="9" t="n">
        <x:f>M628-N628</x:f>
        <x:v>0</x:v>
      </x:c>
      <x:c r="P628" s="9" t="n">
        <x:f>IF(D628="Completed",L628*J628*(1-K628),0)</x:f>
        <x:v>0</x:v>
      </x:c>
      <x:c r="Q628" s="9" t="n">
        <x:f>O628-P628</x:f>
        <x:v>0</x:v>
      </x:c>
      <x:c r="R628" s="11" t="n">
        <x:f>IF(D628="Completed",I628,0)</x:f>
        <x:v>0</x:v>
      </x:c>
      <x:c r="S628" s="11" t="n">
        <x:f>IF(D628="Completed",L628,0)</x:f>
        <x:v>0</x:v>
      </x:c>
      <x:c r="T628" s="8" t="n">
        <x:f>DATE(YEAR(C628),MONTH(C628),1)</x:f>
        <x:v>45658</x:v>
      </x:c>
    </x:row>
    <x:row r="629" ht="22" customHeight="1">
      <x:c r="A629" s="2" t="str">
        <x:v>L000625</x:v>
      </x:c>
      <x:c r="B629" s="2" t="str">
        <x:v>O00259</x:v>
      </x:c>
      <x:c r="C629" s="7" t="n">
        <x:v>45682</x:v>
      </x:c>
      <x:c r="D629" s="2" t="str">
        <x:v>Cancelled</x:v>
      </x:c>
      <x:c r="E629" s="2" t="str">
        <x:v>North</x:v>
      </x:c>
      <x:c r="F629" s="2" t="str">
        <x:v>Store</x:v>
      </x:c>
      <x:c r="G629" s="2" t="str">
        <x:v>Furniture</x:v>
      </x:c>
      <x:c r="H629" s="2" t="str">
        <x:v>Desk 016</x:v>
      </x:c>
      <x:c r="I629" s="11" t="n">
        <x:v>2</x:v>
      </x:c>
      <x:c r="J629" s="9" t="n">
        <x:v>231</x:v>
      </x:c>
      <x:c r="K629" s="10" t="n">
        <x:v>0.1</x:v>
      </x:c>
      <x:c r="L629" s="11" t="n">
        <x:v>0</x:v>
      </x:c>
      <x:c r="M629" s="9" t="n">
        <x:f>IF(D629="Completed",I629*J629,0)</x:f>
        <x:v>0</x:v>
      </x:c>
      <x:c r="N629" s="9" t="n">
        <x:f>M629*K629</x:f>
        <x:v>0</x:v>
      </x:c>
      <x:c r="O629" s="9" t="n">
        <x:f>M629-N629</x:f>
        <x:v>0</x:v>
      </x:c>
      <x:c r="P629" s="9" t="n">
        <x:f>IF(D629="Completed",L629*J629*(1-K629),0)</x:f>
        <x:v>0</x:v>
      </x:c>
      <x:c r="Q629" s="9" t="n">
        <x:f>O629-P629</x:f>
        <x:v>0</x:v>
      </x:c>
      <x:c r="R629" s="11" t="n">
        <x:f>IF(D629="Completed",I629,0)</x:f>
        <x:v>0</x:v>
      </x:c>
      <x:c r="S629" s="11" t="n">
        <x:f>IF(D629="Completed",L629,0)</x:f>
        <x:v>0</x:v>
      </x:c>
      <x:c r="T629" s="8" t="n">
        <x:f>DATE(YEAR(C629),MONTH(C629),1)</x:f>
        <x:v>45658</x:v>
      </x:c>
    </x:row>
    <x:row r="630" ht="22" customHeight="1">
      <x:c r="A630" s="2" t="str">
        <x:v>L000626</x:v>
      </x:c>
      <x:c r="B630" s="2" t="str">
        <x:v>O00259</x:v>
      </x:c>
      <x:c r="C630" s="7" t="n">
        <x:v>45682</x:v>
      </x:c>
      <x:c r="D630" s="2" t="str">
        <x:v>Cancelled</x:v>
      </x:c>
      <x:c r="E630" s="2" t="str">
        <x:v>North</x:v>
      </x:c>
      <x:c r="F630" s="2" t="str">
        <x:v>Store</x:v>
      </x:c>
      <x:c r="G630" s="2" t="str">
        <x:v>Furniture</x:v>
      </x:c>
      <x:c r="H630" s="2" t="str">
        <x:v>Desk 024</x:v>
      </x:c>
      <x:c r="I630" s="11" t="n">
        <x:v>1</x:v>
      </x:c>
      <x:c r="J630" s="9" t="n">
        <x:v>81</x:v>
      </x:c>
      <x:c r="K630" s="10" t="n">
        <x:v>0</x:v>
      </x:c>
      <x:c r="L630" s="11" t="n">
        <x:v>0</x:v>
      </x:c>
      <x:c r="M630" s="9" t="n">
        <x:f>IF(D630="Completed",I630*J630,0)</x:f>
        <x:v>0</x:v>
      </x:c>
      <x:c r="N630" s="9" t="n">
        <x:f>M630*K630</x:f>
        <x:v>0</x:v>
      </x:c>
      <x:c r="O630" s="9" t="n">
        <x:f>M630-N630</x:f>
        <x:v>0</x:v>
      </x:c>
      <x:c r="P630" s="9" t="n">
        <x:f>IF(D630="Completed",L630*J630*(1-K630),0)</x:f>
        <x:v>0</x:v>
      </x:c>
      <x:c r="Q630" s="9" t="n">
        <x:f>O630-P630</x:f>
        <x:v>0</x:v>
      </x:c>
      <x:c r="R630" s="11" t="n">
        <x:f>IF(D630="Completed",I630,0)</x:f>
        <x:v>0</x:v>
      </x:c>
      <x:c r="S630" s="11" t="n">
        <x:f>IF(D630="Completed",L630,0)</x:f>
        <x:v>0</x:v>
      </x:c>
      <x:c r="T630" s="8" t="n">
        <x:f>DATE(YEAR(C630),MONTH(C630),1)</x:f>
        <x:v>45658</x:v>
      </x:c>
    </x:row>
    <x:row r="631" ht="22" customHeight="1">
      <x:c r="A631" s="2" t="str">
        <x:v>L000627</x:v>
      </x:c>
      <x:c r="B631" s="2" t="str">
        <x:v>O00259</x:v>
      </x:c>
      <x:c r="C631" s="7" t="n">
        <x:v>45682</x:v>
      </x:c>
      <x:c r="D631" s="2" t="str">
        <x:v>Cancelled</x:v>
      </x:c>
      <x:c r="E631" s="2" t="str">
        <x:v>North</x:v>
      </x:c>
      <x:c r="F631" s="2" t="str">
        <x:v>Store</x:v>
      </x:c>
      <x:c r="G631" s="2" t="str">
        <x:v>Furniture</x:v>
      </x:c>
      <x:c r="H631" s="2" t="str">
        <x:v>Desk 008</x:v>
      </x:c>
      <x:c r="I631" s="11" t="n">
        <x:v>4</x:v>
      </x:c>
      <x:c r="J631" s="9" t="n">
        <x:v>188</x:v>
      </x:c>
      <x:c r="K631" s="10" t="n">
        <x:v>0.2</x:v>
      </x:c>
      <x:c r="L631" s="11" t="n">
        <x:v>0</x:v>
      </x:c>
      <x:c r="M631" s="9" t="n">
        <x:f>IF(D631="Completed",I631*J631,0)</x:f>
        <x:v>0</x:v>
      </x:c>
      <x:c r="N631" s="9" t="n">
        <x:f>M631*K631</x:f>
        <x:v>0</x:v>
      </x:c>
      <x:c r="O631" s="9" t="n">
        <x:f>M631-N631</x:f>
        <x:v>0</x:v>
      </x:c>
      <x:c r="P631" s="9" t="n">
        <x:f>IF(D631="Completed",L631*J631*(1-K631),0)</x:f>
        <x:v>0</x:v>
      </x:c>
      <x:c r="Q631" s="9" t="n">
        <x:f>O631-P631</x:f>
        <x:v>0</x:v>
      </x:c>
      <x:c r="R631" s="11" t="n">
        <x:f>IF(D631="Completed",I631,0)</x:f>
        <x:v>0</x:v>
      </x:c>
      <x:c r="S631" s="11" t="n">
        <x:f>IF(D631="Completed",L631,0)</x:f>
        <x:v>0</x:v>
      </x:c>
      <x:c r="T631" s="8" t="n">
        <x:f>DATE(YEAR(C631),MONTH(C631),1)</x:f>
        <x:v>45658</x:v>
      </x:c>
    </x:row>
    <x:row r="632" ht="22" customHeight="1">
      <x:c r="A632" s="2" t="str">
        <x:v>L000628</x:v>
      </x:c>
      <x:c r="B632" s="2" t="str">
        <x:v>O00260</x:v>
      </x:c>
      <x:c r="C632" s="7" t="n">
        <x:v>45956</x:v>
      </x:c>
      <x:c r="D632" s="2" t="str">
        <x:v>Completed</x:v>
      </x:c>
      <x:c r="E632" s="2" t="str">
        <x:v>West</x:v>
      </x:c>
      <x:c r="F632" s="2" t="str">
        <x:v>Online</x:v>
      </x:c>
      <x:c r="G632" s="2" t="str">
        <x:v>Storage</x:v>
      </x:c>
      <x:c r="H632" s="2" t="str">
        <x:v>Shelf 011</x:v>
      </x:c>
      <x:c r="I632" s="11" t="n">
        <x:v>1</x:v>
      </x:c>
      <x:c r="J632" s="9" t="n">
        <x:v>80</x:v>
      </x:c>
      <x:c r="K632" s="10" t="n">
        <x:v>0</x:v>
      </x:c>
      <x:c r="L632" s="11" t="n">
        <x:v>0</x:v>
      </x:c>
      <x:c r="M632" s="9" t="n">
        <x:f>IF(D632="Completed",I632*J632,0)</x:f>
        <x:v>80</x:v>
      </x:c>
      <x:c r="N632" s="9" t="n">
        <x:f>M632*K632</x:f>
        <x:v>0</x:v>
      </x:c>
      <x:c r="O632" s="9" t="n">
        <x:f>M632-N632</x:f>
        <x:v>80</x:v>
      </x:c>
      <x:c r="P632" s="9" t="n">
        <x:f>IF(D632="Completed",L632*J632*(1-K632),0)</x:f>
        <x:v>0</x:v>
      </x:c>
      <x:c r="Q632" s="9" t="n">
        <x:f>O632-P632</x:f>
        <x:v>80</x:v>
      </x:c>
      <x:c r="R632" s="11" t="n">
        <x:f>IF(D632="Completed",I632,0)</x:f>
        <x:v>1</x:v>
      </x:c>
      <x:c r="S632" s="11" t="n">
        <x:f>IF(D632="Completed",L632,0)</x:f>
        <x:v>0</x:v>
      </x:c>
      <x:c r="T632" s="8" t="n">
        <x:f>DATE(YEAR(C632),MONTH(C632),1)</x:f>
        <x:v>45931</x:v>
      </x:c>
    </x:row>
    <x:row r="633" ht="22" customHeight="1">
      <x:c r="A633" s="2" t="str">
        <x:v>L000629</x:v>
      </x:c>
      <x:c r="B633" s="2" t="str">
        <x:v>O00261</x:v>
      </x:c>
      <x:c r="C633" s="7" t="n">
        <x:v>45720</x:v>
      </x:c>
      <x:c r="D633" s="2" t="str">
        <x:v>Cancelled</x:v>
      </x:c>
      <x:c r="E633" s="2" t="str">
        <x:v>South</x:v>
      </x:c>
      <x:c r="F633" s="2" t="str">
        <x:v>Online</x:v>
      </x:c>
      <x:c r="G633" s="2" t="str">
        <x:v>Lighting</x:v>
      </x:c>
      <x:c r="H633" s="2" t="str">
        <x:v>Lamp 021</x:v>
      </x:c>
      <x:c r="I633" s="11" t="n">
        <x:v>5</x:v>
      </x:c>
      <x:c r="J633" s="9" t="n">
        <x:v>249</x:v>
      </x:c>
      <x:c r="K633" s="10" t="n">
        <x:v>0.1</x:v>
      </x:c>
      <x:c r="L633" s="11" t="n">
        <x:v>0</x:v>
      </x:c>
      <x:c r="M633" s="9" t="n">
        <x:f>IF(D633="Completed",I633*J633,0)</x:f>
        <x:v>0</x:v>
      </x:c>
      <x:c r="N633" s="9" t="n">
        <x:f>M633*K633</x:f>
        <x:v>0</x:v>
      </x:c>
      <x:c r="O633" s="9" t="n">
        <x:f>M633-N633</x:f>
        <x:v>0</x:v>
      </x:c>
      <x:c r="P633" s="9" t="n">
        <x:f>IF(D633="Completed",L633*J633*(1-K633),0)</x:f>
        <x:v>0</x:v>
      </x:c>
      <x:c r="Q633" s="9" t="n">
        <x:f>O633-P633</x:f>
        <x:v>0</x:v>
      </x:c>
      <x:c r="R633" s="11" t="n">
        <x:f>IF(D633="Completed",I633,0)</x:f>
        <x:v>0</x:v>
      </x:c>
      <x:c r="S633" s="11" t="n">
        <x:f>IF(D633="Completed",L633,0)</x:f>
        <x:v>0</x:v>
      </x:c>
      <x:c r="T633" s="8" t="n">
        <x:f>DATE(YEAR(C633),MONTH(C633),1)</x:f>
        <x:v>45717</x:v>
      </x:c>
    </x:row>
    <x:row r="634" ht="22" customHeight="1">
      <x:c r="A634" s="2" t="str">
        <x:v>L000630</x:v>
      </x:c>
      <x:c r="B634" s="2" t="str">
        <x:v>O00261</x:v>
      </x:c>
      <x:c r="C634" s="7" t="n">
        <x:v>45720</x:v>
      </x:c>
      <x:c r="D634" s="2" t="str">
        <x:v>Cancelled</x:v>
      </x:c>
      <x:c r="E634" s="2" t="str">
        <x:v>South</x:v>
      </x:c>
      <x:c r="F634" s="2" t="str">
        <x:v>Online</x:v>
      </x:c>
      <x:c r="G634" s="2" t="str">
        <x:v>Furniture</x:v>
      </x:c>
      <x:c r="H634" s="2" t="str">
        <x:v>Desk 024</x:v>
      </x:c>
      <x:c r="I634" s="11" t="n">
        <x:v>1</x:v>
      </x:c>
      <x:c r="J634" s="9" t="n">
        <x:v>81</x:v>
      </x:c>
      <x:c r="K634" s="10" t="n">
        <x:v>0</x:v>
      </x:c>
      <x:c r="L634" s="11" t="n">
        <x:v>0</x:v>
      </x:c>
      <x:c r="M634" s="9" t="n">
        <x:f>IF(D634="Completed",I634*J634,0)</x:f>
        <x:v>0</x:v>
      </x:c>
      <x:c r="N634" s="9" t="n">
        <x:f>M634*K634</x:f>
        <x:v>0</x:v>
      </x:c>
      <x:c r="O634" s="9" t="n">
        <x:f>M634-N634</x:f>
        <x:v>0</x:v>
      </x:c>
      <x:c r="P634" s="9" t="n">
        <x:f>IF(D634="Completed",L634*J634*(1-K634),0)</x:f>
        <x:v>0</x:v>
      </x:c>
      <x:c r="Q634" s="9" t="n">
        <x:f>O634-P634</x:f>
        <x:v>0</x:v>
      </x:c>
      <x:c r="R634" s="11" t="n">
        <x:f>IF(D634="Completed",I634,0)</x:f>
        <x:v>0</x:v>
      </x:c>
      <x:c r="S634" s="11" t="n">
        <x:f>IF(D634="Completed",L634,0)</x:f>
        <x:v>0</x:v>
      </x:c>
      <x:c r="T634" s="8" t="n">
        <x:f>DATE(YEAR(C634),MONTH(C634),1)</x:f>
        <x:v>45717</x:v>
      </x:c>
    </x:row>
    <x:row r="635" ht="22" customHeight="1">
      <x:c r="A635" s="2" t="str">
        <x:v>L000631</x:v>
      </x:c>
      <x:c r="B635" s="2" t="str">
        <x:v>O00262</x:v>
      </x:c>
      <x:c r="C635" s="7" t="n">
        <x:v>45940</x:v>
      </x:c>
      <x:c r="D635" s="2" t="str">
        <x:v>Completed</x:v>
      </x:c>
      <x:c r="E635" s="2" t="str">
        <x:v>South</x:v>
      </x:c>
      <x:c r="F635" s="2" t="str">
        <x:v>Online</x:v>
      </x:c>
      <x:c r="G635" s="2" t="str">
        <x:v>Furniture</x:v>
      </x:c>
      <x:c r="H635" s="2" t="str">
        <x:v>Desk 024</x:v>
      </x:c>
      <x:c r="I635" s="11" t="n">
        <x:v>4</x:v>
      </x:c>
      <x:c r="J635" s="9" t="n">
        <x:v>81</x:v>
      </x:c>
      <x:c r="K635" s="10" t="n">
        <x:v>0.2</x:v>
      </x:c>
      <x:c r="L635" s="11" t="n">
        <x:v>0</x:v>
      </x:c>
      <x:c r="M635" s="9" t="n">
        <x:f>IF(D635="Completed",I635*J635,0)</x:f>
        <x:v>324</x:v>
      </x:c>
      <x:c r="N635" s="9" t="n">
        <x:f>M635*K635</x:f>
        <x:v>64.8</x:v>
      </x:c>
      <x:c r="O635" s="9" t="n">
        <x:f>M635-N635</x:f>
        <x:v>259.2</x:v>
      </x:c>
      <x:c r="P635" s="9" t="n">
        <x:f>IF(D635="Completed",L635*J635*(1-K635),0)</x:f>
        <x:v>0</x:v>
      </x:c>
      <x:c r="Q635" s="9" t="n">
        <x:f>O635-P635</x:f>
        <x:v>259.2</x:v>
      </x:c>
      <x:c r="R635" s="11" t="n">
        <x:f>IF(D635="Completed",I635,0)</x:f>
        <x:v>4</x:v>
      </x:c>
      <x:c r="S635" s="11" t="n">
        <x:f>IF(D635="Completed",L635,0)</x:f>
        <x:v>0</x:v>
      </x:c>
      <x:c r="T635" s="8" t="n">
        <x:f>DATE(YEAR(C635),MONTH(C635),1)</x:f>
        <x:v>45931</x:v>
      </x:c>
    </x:row>
    <x:row r="636" ht="22" customHeight="1">
      <x:c r="A636" s="2" t="str">
        <x:v>L000632</x:v>
      </x:c>
      <x:c r="B636" s="2" t="str">
        <x:v>O00262</x:v>
      </x:c>
      <x:c r="C636" s="7" t="n">
        <x:v>45940</x:v>
      </x:c>
      <x:c r="D636" s="2" t="str">
        <x:v>Completed</x:v>
      </x:c>
      <x:c r="E636" s="2" t="str">
        <x:v>South</x:v>
      </x:c>
      <x:c r="F636" s="2" t="str">
        <x:v>Online</x:v>
      </x:c>
      <x:c r="G636" s="2" t="str">
        <x:v>Furniture</x:v>
      </x:c>
      <x:c r="H636" s="2" t="str">
        <x:v>Chair 010</x:v>
      </x:c>
      <x:c r="I636" s="11" t="n">
        <x:v>5</x:v>
      </x:c>
      <x:c r="J636" s="9" t="n">
        <x:v>211</x:v>
      </x:c>
      <x:c r="K636" s="10" t="n">
        <x:v>0.2</x:v>
      </x:c>
      <x:c r="L636" s="11" t="n">
        <x:v>0</x:v>
      </x:c>
      <x:c r="M636" s="9" t="n">
        <x:f>IF(D636="Completed",I636*J636,0)</x:f>
        <x:v>1055</x:v>
      </x:c>
      <x:c r="N636" s="9" t="n">
        <x:f>M636*K636</x:f>
        <x:v>211</x:v>
      </x:c>
      <x:c r="O636" s="9" t="n">
        <x:f>M636-N636</x:f>
        <x:v>844</x:v>
      </x:c>
      <x:c r="P636" s="9" t="n">
        <x:f>IF(D636="Completed",L636*J636*(1-K636),0)</x:f>
        <x:v>0</x:v>
      </x:c>
      <x:c r="Q636" s="9" t="n">
        <x:f>O636-P636</x:f>
        <x:v>844</x:v>
      </x:c>
      <x:c r="R636" s="11" t="n">
        <x:f>IF(D636="Completed",I636,0)</x:f>
        <x:v>5</x:v>
      </x:c>
      <x:c r="S636" s="11" t="n">
        <x:f>IF(D636="Completed",L636,0)</x:f>
        <x:v>0</x:v>
      </x:c>
      <x:c r="T636" s="8" t="n">
        <x:f>DATE(YEAR(C636),MONTH(C636),1)</x:f>
        <x:v>45931</x:v>
      </x:c>
    </x:row>
    <x:row r="637" ht="22" customHeight="1">
      <x:c r="A637" s="2" t="str">
        <x:v>L000633</x:v>
      </x:c>
      <x:c r="B637" s="2" t="str">
        <x:v>O00262</x:v>
      </x:c>
      <x:c r="C637" s="7" t="n">
        <x:v>45940</x:v>
      </x:c>
      <x:c r="D637" s="2" t="str">
        <x:v>Completed</x:v>
      </x:c>
      <x:c r="E637" s="2" t="str">
        <x:v>South</x:v>
      </x:c>
      <x:c r="F637" s="2" t="str">
        <x:v>Online</x:v>
      </x:c>
      <x:c r="G637" s="2" t="str">
        <x:v>Lighting</x:v>
      </x:c>
      <x:c r="H637" s="2" t="str">
        <x:v>Lamp 017</x:v>
      </x:c>
      <x:c r="I637" s="11" t="n">
        <x:v>4</x:v>
      </x:c>
      <x:c r="J637" s="9" t="n">
        <x:v>300</x:v>
      </x:c>
      <x:c r="K637" s="10" t="n">
        <x:v>0</x:v>
      </x:c>
      <x:c r="L637" s="11" t="n">
        <x:v>0</x:v>
      </x:c>
      <x:c r="M637" s="9" t="n">
        <x:f>IF(D637="Completed",I637*J637,0)</x:f>
        <x:v>1200</x:v>
      </x:c>
      <x:c r="N637" s="9" t="n">
        <x:f>M637*K637</x:f>
        <x:v>0</x:v>
      </x:c>
      <x:c r="O637" s="9" t="n">
        <x:f>M637-N637</x:f>
        <x:v>1200</x:v>
      </x:c>
      <x:c r="P637" s="9" t="n">
        <x:f>IF(D637="Completed",L637*J637*(1-K637),0)</x:f>
        <x:v>0</x:v>
      </x:c>
      <x:c r="Q637" s="9" t="n">
        <x:f>O637-P637</x:f>
        <x:v>1200</x:v>
      </x:c>
      <x:c r="R637" s="11" t="n">
        <x:f>IF(D637="Completed",I637,0)</x:f>
        <x:v>4</x:v>
      </x:c>
      <x:c r="S637" s="11" t="n">
        <x:f>IF(D637="Completed",L637,0)</x:f>
        <x:v>0</x:v>
      </x:c>
      <x:c r="T637" s="8" t="n">
        <x:f>DATE(YEAR(C637),MONTH(C637),1)</x:f>
        <x:v>45931</x:v>
      </x:c>
    </x:row>
    <x:row r="638" ht="22" customHeight="1">
      <x:c r="A638" s="2" t="str">
        <x:v>L000634</x:v>
      </x:c>
      <x:c r="B638" s="2" t="str">
        <x:v>O00262</x:v>
      </x:c>
      <x:c r="C638" s="7" t="n">
        <x:v>45940</x:v>
      </x:c>
      <x:c r="D638" s="2" t="str">
        <x:v>Completed</x:v>
      </x:c>
      <x:c r="E638" s="2" t="str">
        <x:v>South</x:v>
      </x:c>
      <x:c r="F638" s="2" t="str">
        <x:v>Online</x:v>
      </x:c>
      <x:c r="G638" s="2" t="str">
        <x:v>Furniture</x:v>
      </x:c>
      <x:c r="H638" s="2" t="str">
        <x:v>Chair 018</x:v>
      </x:c>
      <x:c r="I638" s="11" t="n">
        <x:v>3</x:v>
      </x:c>
      <x:c r="J638" s="9" t="n">
        <x:v>269</x:v>
      </x:c>
      <x:c r="K638" s="10" t="n">
        <x:v>0.1</x:v>
      </x:c>
      <x:c r="L638" s="11" t="n">
        <x:v>0</x:v>
      </x:c>
      <x:c r="M638" s="9" t="n">
        <x:f>IF(D638="Completed",I638*J638,0)</x:f>
        <x:v>807</x:v>
      </x:c>
      <x:c r="N638" s="9" t="n">
        <x:f>M638*K638</x:f>
        <x:v>80.7</x:v>
      </x:c>
      <x:c r="O638" s="9" t="n">
        <x:f>M638-N638</x:f>
        <x:v>726.3</x:v>
      </x:c>
      <x:c r="P638" s="9" t="n">
        <x:f>IF(D638="Completed",L638*J638*(1-K638),0)</x:f>
        <x:v>0</x:v>
      </x:c>
      <x:c r="Q638" s="9" t="n">
        <x:f>O638-P638</x:f>
        <x:v>726.3</x:v>
      </x:c>
      <x:c r="R638" s="11" t="n">
        <x:f>IF(D638="Completed",I638,0)</x:f>
        <x:v>3</x:v>
      </x:c>
      <x:c r="S638" s="11" t="n">
        <x:f>IF(D638="Completed",L638,0)</x:f>
        <x:v>0</x:v>
      </x:c>
      <x:c r="T638" s="8" t="n">
        <x:f>DATE(YEAR(C638),MONTH(C638),1)</x:f>
        <x:v>45931</x:v>
      </x:c>
    </x:row>
    <x:row r="639" ht="22" customHeight="1">
      <x:c r="A639" s="2" t="str">
        <x:v>L000635</x:v>
      </x:c>
      <x:c r="B639" s="2" t="str">
        <x:v>O00263</x:v>
      </x:c>
      <x:c r="C639" s="7" t="n">
        <x:v>45805</x:v>
      </x:c>
      <x:c r="D639" s="2" t="str">
        <x:v>Completed</x:v>
      </x:c>
      <x:c r="E639" s="2" t="str">
        <x:v>South</x:v>
      </x:c>
      <x:c r="F639" s="2" t="str">
        <x:v>Store</x:v>
      </x:c>
      <x:c r="G639" s="2" t="str">
        <x:v>Furniture</x:v>
      </x:c>
      <x:c r="H639" s="2" t="str">
        <x:v>Desk 012</x:v>
      </x:c>
      <x:c r="I639" s="11" t="n">
        <x:v>1</x:v>
      </x:c>
      <x:c r="J639" s="9" t="n">
        <x:v>134</x:v>
      </x:c>
      <x:c r="K639" s="10" t="n">
        <x:v>0.05</x:v>
      </x:c>
      <x:c r="L639" s="11" t="n">
        <x:v>0</x:v>
      </x:c>
      <x:c r="M639" s="9" t="n">
        <x:f>IF(D639="Completed",I639*J639,0)</x:f>
        <x:v>134</x:v>
      </x:c>
      <x:c r="N639" s="9" t="n">
        <x:f>M639*K639</x:f>
        <x:v>6.7</x:v>
      </x:c>
      <x:c r="O639" s="9" t="n">
        <x:f>M639-N639</x:f>
        <x:v>127.3</x:v>
      </x:c>
      <x:c r="P639" s="9" t="n">
        <x:f>IF(D639="Completed",L639*J639*(1-K639),0)</x:f>
        <x:v>0</x:v>
      </x:c>
      <x:c r="Q639" s="9" t="n">
        <x:f>O639-P639</x:f>
        <x:v>127.3</x:v>
      </x:c>
      <x:c r="R639" s="11" t="n">
        <x:f>IF(D639="Completed",I639,0)</x:f>
        <x:v>1</x:v>
      </x:c>
      <x:c r="S639" s="11" t="n">
        <x:f>IF(D639="Completed",L639,0)</x:f>
        <x:v>0</x:v>
      </x:c>
      <x:c r="T639" s="8" t="n">
        <x:f>DATE(YEAR(C639),MONTH(C639),1)</x:f>
        <x:v>45778</x:v>
      </x:c>
    </x:row>
    <x:row r="640" ht="22" customHeight="1">
      <x:c r="A640" s="2" t="str">
        <x:v>L000636</x:v>
      </x:c>
      <x:c r="B640" s="2" t="str">
        <x:v>O00263</x:v>
      </x:c>
      <x:c r="C640" s="7" t="n">
        <x:v>45805</x:v>
      </x:c>
      <x:c r="D640" s="2" t="str">
        <x:v>Completed</x:v>
      </x:c>
      <x:c r="E640" s="2" t="str">
        <x:v>South</x:v>
      </x:c>
      <x:c r="F640" s="2" t="str">
        <x:v>Store</x:v>
      </x:c>
      <x:c r="G640" s="2" t="str">
        <x:v>Lighting</x:v>
      </x:c>
      <x:c r="H640" s="2" t="str">
        <x:v>Lamp 013</x:v>
      </x:c>
      <x:c r="I640" s="11" t="n">
        <x:v>5</x:v>
      </x:c>
      <x:c r="J640" s="9" t="n">
        <x:v>271</x:v>
      </x:c>
      <x:c r="K640" s="10" t="n">
        <x:v>0</x:v>
      </x:c>
      <x:c r="L640" s="11" t="n">
        <x:v>0</x:v>
      </x:c>
      <x:c r="M640" s="9" t="n">
        <x:f>IF(D640="Completed",I640*J640,0)</x:f>
        <x:v>1355</x:v>
      </x:c>
      <x:c r="N640" s="9" t="n">
        <x:f>M640*K640</x:f>
        <x:v>0</x:v>
      </x:c>
      <x:c r="O640" s="9" t="n">
        <x:f>M640-N640</x:f>
        <x:v>1355</x:v>
      </x:c>
      <x:c r="P640" s="9" t="n">
        <x:f>IF(D640="Completed",L640*J640*(1-K640),0)</x:f>
        <x:v>0</x:v>
      </x:c>
      <x:c r="Q640" s="9" t="n">
        <x:f>O640-P640</x:f>
        <x:v>1355</x:v>
      </x:c>
      <x:c r="R640" s="11" t="n">
        <x:f>IF(D640="Completed",I640,0)</x:f>
        <x:v>5</x:v>
      </x:c>
      <x:c r="S640" s="11" t="n">
        <x:f>IF(D640="Completed",L640,0)</x:f>
        <x:v>0</x:v>
      </x:c>
      <x:c r="T640" s="8" t="n">
        <x:f>DATE(YEAR(C640),MONTH(C640),1)</x:f>
        <x:v>45778</x:v>
      </x:c>
    </x:row>
    <x:row r="641" ht="22" customHeight="1">
      <x:c r="A641" s="2" t="str">
        <x:v>L000637</x:v>
      </x:c>
      <x:c r="B641" s="2" t="str">
        <x:v>O00264</x:v>
      </x:c>
      <x:c r="C641" s="7" t="n">
        <x:v>45833</x:v>
      </x:c>
      <x:c r="D641" s="2" t="str">
        <x:v>Completed</x:v>
      </x:c>
      <x:c r="E641" s="2" t="str">
        <x:v>North</x:v>
      </x:c>
      <x:c r="F641" s="2" t="str">
        <x:v>Online</x:v>
      </x:c>
      <x:c r="G641" s="2" t="str">
        <x:v>Storage</x:v>
      </x:c>
      <x:c r="H641" s="2" t="str">
        <x:v>Shelf 019</x:v>
      </x:c>
      <x:c r="I641" s="11" t="n">
        <x:v>5</x:v>
      </x:c>
      <x:c r="J641" s="9" t="n">
        <x:v>78</x:v>
      </x:c>
      <x:c r="K641" s="10" t="n">
        <x:v>0.2</x:v>
      </x:c>
      <x:c r="L641" s="11" t="n">
        <x:v>0</x:v>
      </x:c>
      <x:c r="M641" s="9" t="n">
        <x:f>IF(D641="Completed",I641*J641,0)</x:f>
        <x:v>390</x:v>
      </x:c>
      <x:c r="N641" s="9" t="n">
        <x:f>M641*K641</x:f>
        <x:v>78</x:v>
      </x:c>
      <x:c r="O641" s="9" t="n">
        <x:f>M641-N641</x:f>
        <x:v>312</x:v>
      </x:c>
      <x:c r="P641" s="9" t="n">
        <x:f>IF(D641="Completed",L641*J641*(1-K641),0)</x:f>
        <x:v>0</x:v>
      </x:c>
      <x:c r="Q641" s="9" t="n">
        <x:f>O641-P641</x:f>
        <x:v>312</x:v>
      </x:c>
      <x:c r="R641" s="11" t="n">
        <x:f>IF(D641="Completed",I641,0)</x:f>
        <x:v>5</x:v>
      </x:c>
      <x:c r="S641" s="11" t="n">
        <x:f>IF(D641="Completed",L641,0)</x:f>
        <x:v>0</x:v>
      </x:c>
      <x:c r="T641" s="8" t="n">
        <x:f>DATE(YEAR(C641),MONTH(C641),1)</x:f>
        <x:v>45809</x:v>
      </x:c>
    </x:row>
    <x:row r="642" ht="22" customHeight="1">
      <x:c r="A642" s="2" t="str">
        <x:v>L000638</x:v>
      </x:c>
      <x:c r="B642" s="2" t="str">
        <x:v>O00265</x:v>
      </x:c>
      <x:c r="C642" s="7" t="n">
        <x:v>45681</x:v>
      </x:c>
      <x:c r="D642" s="2" t="str">
        <x:v>Completed</x:v>
      </x:c>
      <x:c r="E642" s="2" t="str">
        <x:v>North</x:v>
      </x:c>
      <x:c r="F642" s="2" t="str">
        <x:v>Store</x:v>
      </x:c>
      <x:c r="G642" s="2" t="str">
        <x:v>Storage</x:v>
      </x:c>
      <x:c r="H642" s="2" t="str">
        <x:v>Shelf 003</x:v>
      </x:c>
      <x:c r="I642" s="11" t="n">
        <x:v>1</x:v>
      </x:c>
      <x:c r="J642" s="9" t="n">
        <x:v>199</x:v>
      </x:c>
      <x:c r="K642" s="10" t="n">
        <x:v>0.2</x:v>
      </x:c>
      <x:c r="L642" s="11" t="n">
        <x:v>0</x:v>
      </x:c>
      <x:c r="M642" s="9" t="n">
        <x:f>IF(D642="Completed",I642*J642,0)</x:f>
        <x:v>199</x:v>
      </x:c>
      <x:c r="N642" s="9" t="n">
        <x:f>M642*K642</x:f>
        <x:v>39.800000000000004</x:v>
      </x:c>
      <x:c r="O642" s="9" t="n">
        <x:f>M642-N642</x:f>
        <x:v>159.2</x:v>
      </x:c>
      <x:c r="P642" s="9" t="n">
        <x:f>IF(D642="Completed",L642*J642*(1-K642),0)</x:f>
        <x:v>0</x:v>
      </x:c>
      <x:c r="Q642" s="9" t="n">
        <x:f>O642-P642</x:f>
        <x:v>159.2</x:v>
      </x:c>
      <x:c r="R642" s="11" t="n">
        <x:f>IF(D642="Completed",I642,0)</x:f>
        <x:v>1</x:v>
      </x:c>
      <x:c r="S642" s="11" t="n">
        <x:f>IF(D642="Completed",L642,0)</x:f>
        <x:v>0</x:v>
      </x:c>
      <x:c r="T642" s="8" t="n">
        <x:f>DATE(YEAR(C642),MONTH(C642),1)</x:f>
        <x:v>45658</x:v>
      </x:c>
    </x:row>
    <x:row r="643" ht="22" customHeight="1">
      <x:c r="A643" s="2" t="str">
        <x:v>L000639</x:v>
      </x:c>
      <x:c r="B643" s="2" t="str">
        <x:v>O00265</x:v>
      </x:c>
      <x:c r="C643" s="7" t="n">
        <x:v>45681</x:v>
      </x:c>
      <x:c r="D643" s="2" t="str">
        <x:v>Completed</x:v>
      </x:c>
      <x:c r="E643" s="2" t="str">
        <x:v>North</x:v>
      </x:c>
      <x:c r="F643" s="2" t="str">
        <x:v>Store</x:v>
      </x:c>
      <x:c r="G643" s="2" t="str">
        <x:v>Furniture</x:v>
      </x:c>
      <x:c r="H643" s="2" t="str">
        <x:v>Desk 008</x:v>
      </x:c>
      <x:c r="I643" s="11" t="n">
        <x:v>3</x:v>
      </x:c>
      <x:c r="J643" s="9" t="n">
        <x:v>188</x:v>
      </x:c>
      <x:c r="K643" s="10" t="n">
        <x:v>0.2</x:v>
      </x:c>
      <x:c r="L643" s="11" t="n">
        <x:v>3</x:v>
      </x:c>
      <x:c r="M643" s="9" t="n">
        <x:f>IF(D643="Completed",I643*J643,0)</x:f>
        <x:v>564</x:v>
      </x:c>
      <x:c r="N643" s="9" t="n">
        <x:f>M643*K643</x:f>
        <x:v>112.80000000000001</x:v>
      </x:c>
      <x:c r="O643" s="9" t="n">
        <x:f>M643-N643</x:f>
        <x:v>451.2</x:v>
      </x:c>
      <x:c r="P643" s="9" t="n">
        <x:f>IF(D643="Completed",L643*J643*(1-K643),0)</x:f>
        <x:v>451.20000000000005</x:v>
      </x:c>
      <x:c r="Q643" s="9" t="n">
        <x:f>O643-P643</x:f>
        <x:v>-5.684341886080802e-14</x:v>
      </x:c>
      <x:c r="R643" s="11" t="n">
        <x:f>IF(D643="Completed",I643,0)</x:f>
        <x:v>3</x:v>
      </x:c>
      <x:c r="S643" s="11" t="n">
        <x:f>IF(D643="Completed",L643,0)</x:f>
        <x:v>3</x:v>
      </x:c>
      <x:c r="T643" s="8" t="n">
        <x:f>DATE(YEAR(C643),MONTH(C643),1)</x:f>
        <x:v>45658</x:v>
      </x:c>
    </x:row>
    <x:row r="644" ht="22" customHeight="1">
      <x:c r="A644" s="2" t="str">
        <x:v>L000640</x:v>
      </x:c>
      <x:c r="B644" s="2" t="str">
        <x:v>O00265</x:v>
      </x:c>
      <x:c r="C644" s="7" t="n">
        <x:v>45681</x:v>
      </x:c>
      <x:c r="D644" s="2" t="str">
        <x:v>Completed</x:v>
      </x:c>
      <x:c r="E644" s="2" t="str">
        <x:v>North</x:v>
      </x:c>
      <x:c r="F644" s="2" t="str">
        <x:v>Store</x:v>
      </x:c>
      <x:c r="G644" s="2" t="str">
        <x:v>Furniture</x:v>
      </x:c>
      <x:c r="H644" s="2" t="str">
        <x:v>Chair 006</x:v>
      </x:c>
      <x:c r="I644" s="11" t="n">
        <x:v>3</x:v>
      </x:c>
      <x:c r="J644" s="9" t="n">
        <x:v>196</x:v>
      </x:c>
      <x:c r="K644" s="10" t="n">
        <x:v>0.05</x:v>
      </x:c>
      <x:c r="L644" s="11" t="n">
        <x:v>2</x:v>
      </x:c>
      <x:c r="M644" s="9" t="n">
        <x:f>IF(D644="Completed",I644*J644,0)</x:f>
        <x:v>588</x:v>
      </x:c>
      <x:c r="N644" s="9" t="n">
        <x:f>M644*K644</x:f>
        <x:v>29.400000000000002</x:v>
      </x:c>
      <x:c r="O644" s="9" t="n">
        <x:f>M644-N644</x:f>
        <x:v>558.6</x:v>
      </x:c>
      <x:c r="P644" s="9" t="n">
        <x:f>IF(D644="Completed",L644*J644*(1-K644),0)</x:f>
        <x:v>372.4</x:v>
      </x:c>
      <x:c r="Q644" s="9" t="n">
        <x:f>O644-P644</x:f>
        <x:v>186.20000000000005</x:v>
      </x:c>
      <x:c r="R644" s="11" t="n">
        <x:f>IF(D644="Completed",I644,0)</x:f>
        <x:v>3</x:v>
      </x:c>
      <x:c r="S644" s="11" t="n">
        <x:f>IF(D644="Completed",L644,0)</x:f>
        <x:v>2</x:v>
      </x:c>
      <x:c r="T644" s="8" t="n">
        <x:f>DATE(YEAR(C644),MONTH(C644),1)</x:f>
        <x:v>45658</x:v>
      </x:c>
    </x:row>
    <x:row r="645" ht="22" customHeight="1">
      <x:c r="A645" s="2" t="str">
        <x:v>L000641</x:v>
      </x:c>
      <x:c r="B645" s="2" t="str">
        <x:v>O00266</x:v>
      </x:c>
      <x:c r="C645" s="7" t="n">
        <x:v>45803</x:v>
      </x:c>
      <x:c r="D645" s="2" t="str">
        <x:v>Completed</x:v>
      </x:c>
      <x:c r="E645" s="2" t="str">
        <x:v>North</x:v>
      </x:c>
      <x:c r="F645" s="2" t="str">
        <x:v>Online</x:v>
      </x:c>
      <x:c r="G645" s="2" t="str">
        <x:v>Furniture</x:v>
      </x:c>
      <x:c r="H645" s="2" t="str">
        <x:v>Desk 024</x:v>
      </x:c>
      <x:c r="I645" s="11" t="n">
        <x:v>3</x:v>
      </x:c>
      <x:c r="J645" s="9" t="n">
        <x:v>81</x:v>
      </x:c>
      <x:c r="K645" s="10" t="n">
        <x:v>0.05</x:v>
      </x:c>
      <x:c r="L645" s="11" t="n">
        <x:v>0</x:v>
      </x:c>
      <x:c r="M645" s="9" t="n">
        <x:f>IF(D645="Completed",I645*J645,0)</x:f>
        <x:v>243</x:v>
      </x:c>
      <x:c r="N645" s="9" t="n">
        <x:f>M645*K645</x:f>
        <x:v>12.15</x:v>
      </x:c>
      <x:c r="O645" s="9" t="n">
        <x:f>M645-N645</x:f>
        <x:v>230.85</x:v>
      </x:c>
      <x:c r="P645" s="9" t="n">
        <x:f>IF(D645="Completed",L645*J645*(1-K645),0)</x:f>
        <x:v>0</x:v>
      </x:c>
      <x:c r="Q645" s="9" t="n">
        <x:f>O645-P645</x:f>
        <x:v>230.85</x:v>
      </x:c>
      <x:c r="R645" s="11" t="n">
        <x:f>IF(D645="Completed",I645,0)</x:f>
        <x:v>3</x:v>
      </x:c>
      <x:c r="S645" s="11" t="n">
        <x:f>IF(D645="Completed",L645,0)</x:f>
        <x:v>0</x:v>
      </x:c>
      <x:c r="T645" s="8" t="n">
        <x:f>DATE(YEAR(C645),MONTH(C645),1)</x:f>
        <x:v>45778</x:v>
      </x:c>
    </x:row>
    <x:row r="646" ht="22" customHeight="1">
      <x:c r="A646" s="2" t="str">
        <x:v>L000642</x:v>
      </x:c>
      <x:c r="B646" s="2" t="str">
        <x:v>O00267</x:v>
      </x:c>
      <x:c r="C646" s="7" t="n">
        <x:v>45887</x:v>
      </x:c>
      <x:c r="D646" s="2" t="str">
        <x:v>Completed</x:v>
      </x:c>
      <x:c r="E646" s="2" t="str">
        <x:v>East</x:v>
      </x:c>
      <x:c r="F646" s="2" t="str">
        <x:v>Online</x:v>
      </x:c>
      <x:c r="G646" s="2" t="str">
        <x:v>Lighting</x:v>
      </x:c>
      <x:c r="H646" s="2" t="str">
        <x:v>Lamp 005</x:v>
      </x:c>
      <x:c r="I646" s="11" t="n">
        <x:v>5</x:v>
      </x:c>
      <x:c r="J646" s="9" t="n">
        <x:v>65</x:v>
      </x:c>
      <x:c r="K646" s="10" t="n">
        <x:v>0.1</x:v>
      </x:c>
      <x:c r="L646" s="11" t="n">
        <x:v>0</x:v>
      </x:c>
      <x:c r="M646" s="9" t="n">
        <x:f>IF(D646="Completed",I646*J646,0)</x:f>
        <x:v>325</x:v>
      </x:c>
      <x:c r="N646" s="9" t="n">
        <x:f>M646*K646</x:f>
        <x:v>32.5</x:v>
      </x:c>
      <x:c r="O646" s="9" t="n">
        <x:f>M646-N646</x:f>
        <x:v>292.5</x:v>
      </x:c>
      <x:c r="P646" s="9" t="n">
        <x:f>IF(D646="Completed",L646*J646*(1-K646),0)</x:f>
        <x:v>0</x:v>
      </x:c>
      <x:c r="Q646" s="9" t="n">
        <x:f>O646-P646</x:f>
        <x:v>292.5</x:v>
      </x:c>
      <x:c r="R646" s="11" t="n">
        <x:f>IF(D646="Completed",I646,0)</x:f>
        <x:v>5</x:v>
      </x:c>
      <x:c r="S646" s="11" t="n">
        <x:f>IF(D646="Completed",L646,0)</x:f>
        <x:v>0</x:v>
      </x:c>
      <x:c r="T646" s="8" t="n">
        <x:f>DATE(YEAR(C646),MONTH(C646),1)</x:f>
        <x:v>45870</x:v>
      </x:c>
    </x:row>
    <x:row r="647" ht="22" customHeight="1">
      <x:c r="A647" s="2" t="str">
        <x:v>L000643</x:v>
      </x:c>
      <x:c r="B647" s="2" t="str">
        <x:v>O00267</x:v>
      </x:c>
      <x:c r="C647" s="7" t="n">
        <x:v>45887</x:v>
      </x:c>
      <x:c r="D647" s="2" t="str">
        <x:v>Completed</x:v>
      </x:c>
      <x:c r="E647" s="2" t="str">
        <x:v>East</x:v>
      </x:c>
      <x:c r="F647" s="2" t="str">
        <x:v>Online</x:v>
      </x:c>
      <x:c r="G647" s="2" t="str">
        <x:v>Storage</x:v>
      </x:c>
      <x:c r="H647" s="2" t="str">
        <x:v>Shelf 007</x:v>
      </x:c>
      <x:c r="I647" s="11" t="n">
        <x:v>1</x:v>
      </x:c>
      <x:c r="J647" s="9" t="n">
        <x:v>35</x:v>
      </x:c>
      <x:c r="K647" s="10" t="n">
        <x:v>0</x:v>
      </x:c>
      <x:c r="L647" s="11" t="n">
        <x:v>0</x:v>
      </x:c>
      <x:c r="M647" s="9" t="n">
        <x:f>IF(D647="Completed",I647*J647,0)</x:f>
        <x:v>35</x:v>
      </x:c>
      <x:c r="N647" s="9" t="n">
        <x:f>M647*K647</x:f>
        <x:v>0</x:v>
      </x:c>
      <x:c r="O647" s="9" t="n">
        <x:f>M647-N647</x:f>
        <x:v>35</x:v>
      </x:c>
      <x:c r="P647" s="9" t="n">
        <x:f>IF(D647="Completed",L647*J647*(1-K647),0)</x:f>
        <x:v>0</x:v>
      </x:c>
      <x:c r="Q647" s="9" t="n">
        <x:f>O647-P647</x:f>
        <x:v>35</x:v>
      </x:c>
      <x:c r="R647" s="11" t="n">
        <x:f>IF(D647="Completed",I647,0)</x:f>
        <x:v>1</x:v>
      </x:c>
      <x:c r="S647" s="11" t="n">
        <x:f>IF(D647="Completed",L647,0)</x:f>
        <x:v>0</x:v>
      </x:c>
      <x:c r="T647" s="8" t="n">
        <x:f>DATE(YEAR(C647),MONTH(C647),1)</x:f>
        <x:v>45870</x:v>
      </x:c>
    </x:row>
    <x:row r="648" ht="22" customHeight="1">
      <x:c r="A648" s="2" t="str">
        <x:v>L000644</x:v>
      </x:c>
      <x:c r="B648" s="2" t="str">
        <x:v>O00267</x:v>
      </x:c>
      <x:c r="C648" s="7" t="n">
        <x:v>45887</x:v>
      </x:c>
      <x:c r="D648" s="2" t="str">
        <x:v>Completed</x:v>
      </x:c>
      <x:c r="E648" s="2" t="str">
        <x:v>East</x:v>
      </x:c>
      <x:c r="F648" s="2" t="str">
        <x:v>Online</x:v>
      </x:c>
      <x:c r="G648" s="2" t="str">
        <x:v>Lighting</x:v>
      </x:c>
      <x:c r="H648" s="2" t="str">
        <x:v>Lamp 017</x:v>
      </x:c>
      <x:c r="I648" s="11" t="n">
        <x:v>1</x:v>
      </x:c>
      <x:c r="J648" s="9" t="n">
        <x:v>300</x:v>
      </x:c>
      <x:c r="K648" s="10" t="n">
        <x:v>0.1</x:v>
      </x:c>
      <x:c r="L648" s="11" t="n">
        <x:v>0</x:v>
      </x:c>
      <x:c r="M648" s="9" t="n">
        <x:f>IF(D648="Completed",I648*J648,0)</x:f>
        <x:v>300</x:v>
      </x:c>
      <x:c r="N648" s="9" t="n">
        <x:f>M648*K648</x:f>
        <x:v>30</x:v>
      </x:c>
      <x:c r="O648" s="9" t="n">
        <x:f>M648-N648</x:f>
        <x:v>270</x:v>
      </x:c>
      <x:c r="P648" s="9" t="n">
        <x:f>IF(D648="Completed",L648*J648*(1-K648),0)</x:f>
        <x:v>0</x:v>
      </x:c>
      <x:c r="Q648" s="9" t="n">
        <x:f>O648-P648</x:f>
        <x:v>270</x:v>
      </x:c>
      <x:c r="R648" s="11" t="n">
        <x:f>IF(D648="Completed",I648,0)</x:f>
        <x:v>1</x:v>
      </x:c>
      <x:c r="S648" s="11" t="n">
        <x:f>IF(D648="Completed",L648,0)</x:f>
        <x:v>0</x:v>
      </x:c>
      <x:c r="T648" s="8" t="n">
        <x:f>DATE(YEAR(C648),MONTH(C648),1)</x:f>
        <x:v>45870</x:v>
      </x:c>
    </x:row>
    <x:row r="649" ht="22" customHeight="1">
      <x:c r="A649" s="2" t="str">
        <x:v>L000645</x:v>
      </x:c>
      <x:c r="B649" s="2" t="str">
        <x:v>O00267</x:v>
      </x:c>
      <x:c r="C649" s="7" t="n">
        <x:v>45887</x:v>
      </x:c>
      <x:c r="D649" s="2" t="str">
        <x:v>Completed</x:v>
      </x:c>
      <x:c r="E649" s="2" t="str">
        <x:v>East</x:v>
      </x:c>
      <x:c r="F649" s="2" t="str">
        <x:v>Online</x:v>
      </x:c>
      <x:c r="G649" s="2" t="str">
        <x:v>Furniture</x:v>
      </x:c>
      <x:c r="H649" s="2" t="str">
        <x:v>Desk 012</x:v>
      </x:c>
      <x:c r="I649" s="11" t="n">
        <x:v>5</x:v>
      </x:c>
      <x:c r="J649" s="9" t="n">
        <x:v>134</x:v>
      </x:c>
      <x:c r="K649" s="10" t="n">
        <x:v>0.1</x:v>
      </x:c>
      <x:c r="L649" s="11" t="n">
        <x:v>0</x:v>
      </x:c>
      <x:c r="M649" s="9" t="n">
        <x:f>IF(D649="Completed",I649*J649,0)</x:f>
        <x:v>670</x:v>
      </x:c>
      <x:c r="N649" s="9" t="n">
        <x:f>M649*K649</x:f>
        <x:v>67</x:v>
      </x:c>
      <x:c r="O649" s="9" t="n">
        <x:f>M649-N649</x:f>
        <x:v>603</x:v>
      </x:c>
      <x:c r="P649" s="9" t="n">
        <x:f>IF(D649="Completed",L649*J649*(1-K649),0)</x:f>
        <x:v>0</x:v>
      </x:c>
      <x:c r="Q649" s="9" t="n">
        <x:f>O649-P649</x:f>
        <x:v>603</x:v>
      </x:c>
      <x:c r="R649" s="11" t="n">
        <x:f>IF(D649="Completed",I649,0)</x:f>
        <x:v>5</x:v>
      </x:c>
      <x:c r="S649" s="11" t="n">
        <x:f>IF(D649="Completed",L649,0)</x:f>
        <x:v>0</x:v>
      </x:c>
      <x:c r="T649" s="8" t="n">
        <x:f>DATE(YEAR(C649),MONTH(C649),1)</x:f>
        <x:v>45870</x:v>
      </x:c>
    </x:row>
    <x:row r="650" ht="22" customHeight="1">
      <x:c r="A650" s="2" t="str">
        <x:v>L000646</x:v>
      </x:c>
      <x:c r="B650" s="2" t="str">
        <x:v>O00268</x:v>
      </x:c>
      <x:c r="C650" s="7" t="n">
        <x:v>45707</x:v>
      </x:c>
      <x:c r="D650" s="2" t="str">
        <x:v>Completed</x:v>
      </x:c>
      <x:c r="E650" s="2" t="str">
        <x:v>West</x:v>
      </x:c>
      <x:c r="F650" s="2" t="str">
        <x:v>Online</x:v>
      </x:c>
      <x:c r="G650" s="2" t="str">
        <x:v>Furniture</x:v>
      </x:c>
      <x:c r="H650" s="2" t="str">
        <x:v>Chair 014</x:v>
      </x:c>
      <x:c r="I650" s="11" t="n">
        <x:v>3</x:v>
      </x:c>
      <x:c r="J650" s="9" t="n">
        <x:v>294</x:v>
      </x:c>
      <x:c r="K650" s="10" t="n">
        <x:v>0.1</x:v>
      </x:c>
      <x:c r="L650" s="11" t="n">
        <x:v>0</x:v>
      </x:c>
      <x:c r="M650" s="9" t="n">
        <x:f>IF(D650="Completed",I650*J650,0)</x:f>
        <x:v>882</x:v>
      </x:c>
      <x:c r="N650" s="9" t="n">
        <x:f>M650*K650</x:f>
        <x:v>88.2</x:v>
      </x:c>
      <x:c r="O650" s="9" t="n">
        <x:f>M650-N650</x:f>
        <x:v>793.8</x:v>
      </x:c>
      <x:c r="P650" s="9" t="n">
        <x:f>IF(D650="Completed",L650*J650*(1-K650),0)</x:f>
        <x:v>0</x:v>
      </x:c>
      <x:c r="Q650" s="9" t="n">
        <x:f>O650-P650</x:f>
        <x:v>793.8</x:v>
      </x:c>
      <x:c r="R650" s="11" t="n">
        <x:f>IF(D650="Completed",I650,0)</x:f>
        <x:v>3</x:v>
      </x:c>
      <x:c r="S650" s="11" t="n">
        <x:f>IF(D650="Completed",L650,0)</x:f>
        <x:v>0</x:v>
      </x:c>
      <x:c r="T650" s="8" t="n">
        <x:f>DATE(YEAR(C650),MONTH(C650),1)</x:f>
        <x:v>45689</x:v>
      </x:c>
    </x:row>
    <x:row r="651" ht="22" customHeight="1">
      <x:c r="A651" s="2" t="str">
        <x:v>L000647</x:v>
      </x:c>
      <x:c r="B651" s="2" t="str">
        <x:v>O00268</x:v>
      </x:c>
      <x:c r="C651" s="7" t="n">
        <x:v>45707</x:v>
      </x:c>
      <x:c r="D651" s="2" t="str">
        <x:v>Completed</x:v>
      </x:c>
      <x:c r="E651" s="2" t="str">
        <x:v>West</x:v>
      </x:c>
      <x:c r="F651" s="2" t="str">
        <x:v>Online</x:v>
      </x:c>
      <x:c r="G651" s="2" t="str">
        <x:v>Furniture</x:v>
      </x:c>
      <x:c r="H651" s="2" t="str">
        <x:v>Desk 012</x:v>
      </x:c>
      <x:c r="I651" s="11" t="n">
        <x:v>2</x:v>
      </x:c>
      <x:c r="J651" s="9" t="n">
        <x:v>134</x:v>
      </x:c>
      <x:c r="K651" s="10" t="n">
        <x:v>0.2</x:v>
      </x:c>
      <x:c r="L651" s="11" t="n">
        <x:v>2</x:v>
      </x:c>
      <x:c r="M651" s="9" t="n">
        <x:f>IF(D651="Completed",I651*J651,0)</x:f>
        <x:v>268</x:v>
      </x:c>
      <x:c r="N651" s="9" t="n">
        <x:f>M651*K651</x:f>
        <x:v>53.6</x:v>
      </x:c>
      <x:c r="O651" s="9" t="n">
        <x:f>M651-N651</x:f>
        <x:v>214.4</x:v>
      </x:c>
      <x:c r="P651" s="9" t="n">
        <x:f>IF(D651="Completed",L651*J651*(1-K651),0)</x:f>
        <x:v>214.4</x:v>
      </x:c>
      <x:c r="Q651" s="9" t="n">
        <x:f>O651-P651</x:f>
        <x:v>0</x:v>
      </x:c>
      <x:c r="R651" s="11" t="n">
        <x:f>IF(D651="Completed",I651,0)</x:f>
        <x:v>2</x:v>
      </x:c>
      <x:c r="S651" s="11" t="n">
        <x:f>IF(D651="Completed",L651,0)</x:f>
        <x:v>2</x:v>
      </x:c>
      <x:c r="T651" s="8" t="n">
        <x:f>DATE(YEAR(C651),MONTH(C651),1)</x:f>
        <x:v>45689</x:v>
      </x:c>
    </x:row>
    <x:row r="652" ht="22" customHeight="1">
      <x:c r="A652" s="2" t="str">
        <x:v>L000648</x:v>
      </x:c>
      <x:c r="B652" s="2" t="str">
        <x:v>O00269</x:v>
      </x:c>
      <x:c r="C652" s="7" t="n">
        <x:v>45863</x:v>
      </x:c>
      <x:c r="D652" s="2" t="str">
        <x:v>Completed</x:v>
      </x:c>
      <x:c r="E652" s="2" t="str">
        <x:v>North</x:v>
      </x:c>
      <x:c r="F652" s="2" t="str">
        <x:v>Online</x:v>
      </x:c>
      <x:c r="G652" s="2" t="str">
        <x:v>Furniture</x:v>
      </x:c>
      <x:c r="H652" s="2" t="str">
        <x:v>Chair 010</x:v>
      </x:c>
      <x:c r="I652" s="11" t="n">
        <x:v>1</x:v>
      </x:c>
      <x:c r="J652" s="9" t="n">
        <x:v>211</x:v>
      </x:c>
      <x:c r="K652" s="10" t="n">
        <x:v>0.2</x:v>
      </x:c>
      <x:c r="L652" s="11" t="n">
        <x:v>0</x:v>
      </x:c>
      <x:c r="M652" s="9" t="n">
        <x:f>IF(D652="Completed",I652*J652,0)</x:f>
        <x:v>211</x:v>
      </x:c>
      <x:c r="N652" s="9" t="n">
        <x:f>M652*K652</x:f>
        <x:v>42.2</x:v>
      </x:c>
      <x:c r="O652" s="9" t="n">
        <x:f>M652-N652</x:f>
        <x:v>168.8</x:v>
      </x:c>
      <x:c r="P652" s="9" t="n">
        <x:f>IF(D652="Completed",L652*J652*(1-K652),0)</x:f>
        <x:v>0</x:v>
      </x:c>
      <x:c r="Q652" s="9" t="n">
        <x:f>O652-P652</x:f>
        <x:v>168.8</x:v>
      </x:c>
      <x:c r="R652" s="11" t="n">
        <x:f>IF(D652="Completed",I652,0)</x:f>
        <x:v>1</x:v>
      </x:c>
      <x:c r="S652" s="11" t="n">
        <x:f>IF(D652="Completed",L652,0)</x:f>
        <x:v>0</x:v>
      </x:c>
      <x:c r="T652" s="8" t="n">
        <x:f>DATE(YEAR(C652),MONTH(C652),1)</x:f>
        <x:v>45839</x:v>
      </x:c>
    </x:row>
    <x:row r="653" ht="22" customHeight="1">
      <x:c r="A653" s="2" t="str">
        <x:v>L000649</x:v>
      </x:c>
      <x:c r="B653" s="2" t="str">
        <x:v>O00269</x:v>
      </x:c>
      <x:c r="C653" s="7" t="n">
        <x:v>45863</x:v>
      </x:c>
      <x:c r="D653" s="2" t="str">
        <x:v>Completed</x:v>
      </x:c>
      <x:c r="E653" s="2" t="str">
        <x:v>North</x:v>
      </x:c>
      <x:c r="F653" s="2" t="str">
        <x:v>Online</x:v>
      </x:c>
      <x:c r="G653" s="2" t="str">
        <x:v>Furniture</x:v>
      </x:c>
      <x:c r="H653" s="2" t="str">
        <x:v>Chair 006</x:v>
      </x:c>
      <x:c r="I653" s="11" t="n">
        <x:v>4</x:v>
      </x:c>
      <x:c r="J653" s="9" t="n">
        <x:v>196</x:v>
      </x:c>
      <x:c r="K653" s="10" t="n">
        <x:v>0</x:v>
      </x:c>
      <x:c r="L653" s="11" t="n">
        <x:v>2</x:v>
      </x:c>
      <x:c r="M653" s="9" t="n">
        <x:f>IF(D653="Completed",I653*J653,0)</x:f>
        <x:v>784</x:v>
      </x:c>
      <x:c r="N653" s="9" t="n">
        <x:f>M653*K653</x:f>
        <x:v>0</x:v>
      </x:c>
      <x:c r="O653" s="9" t="n">
        <x:f>M653-N653</x:f>
        <x:v>784</x:v>
      </x:c>
      <x:c r="P653" s="9" t="n">
        <x:f>IF(D653="Completed",L653*J653*(1-K653),0)</x:f>
        <x:v>392</x:v>
      </x:c>
      <x:c r="Q653" s="9" t="n">
        <x:f>O653-P653</x:f>
        <x:v>392</x:v>
      </x:c>
      <x:c r="R653" s="11" t="n">
        <x:f>IF(D653="Completed",I653,0)</x:f>
        <x:v>4</x:v>
      </x:c>
      <x:c r="S653" s="11" t="n">
        <x:f>IF(D653="Completed",L653,0)</x:f>
        <x:v>2</x:v>
      </x:c>
      <x:c r="T653" s="8" t="n">
        <x:f>DATE(YEAR(C653),MONTH(C653),1)</x:f>
        <x:v>45839</x:v>
      </x:c>
    </x:row>
    <x:row r="654" ht="22" customHeight="1">
      <x:c r="A654" s="2" t="str">
        <x:v>L000650</x:v>
      </x:c>
      <x:c r="B654" s="2" t="str">
        <x:v>O00269</x:v>
      </x:c>
      <x:c r="C654" s="7" t="n">
        <x:v>45863</x:v>
      </x:c>
      <x:c r="D654" s="2" t="str">
        <x:v>Completed</x:v>
      </x:c>
      <x:c r="E654" s="2" t="str">
        <x:v>North</x:v>
      </x:c>
      <x:c r="F654" s="2" t="str">
        <x:v>Online</x:v>
      </x:c>
      <x:c r="G654" s="2" t="str">
        <x:v>Furniture</x:v>
      </x:c>
      <x:c r="H654" s="2" t="str">
        <x:v>Chair 002</x:v>
      </x:c>
      <x:c r="I654" s="11" t="n">
        <x:v>1</x:v>
      </x:c>
      <x:c r="J654" s="9" t="n">
        <x:v>284</x:v>
      </x:c>
      <x:c r="K654" s="10" t="n">
        <x:v>0.1</x:v>
      </x:c>
      <x:c r="L654" s="11" t="n">
        <x:v>0</x:v>
      </x:c>
      <x:c r="M654" s="9" t="n">
        <x:f>IF(D654="Completed",I654*J654,0)</x:f>
        <x:v>284</x:v>
      </x:c>
      <x:c r="N654" s="9" t="n">
        <x:f>M654*K654</x:f>
        <x:v>28.400000000000002</x:v>
      </x:c>
      <x:c r="O654" s="9" t="n">
        <x:f>M654-N654</x:f>
        <x:v>255.6</x:v>
      </x:c>
      <x:c r="P654" s="9" t="n">
        <x:f>IF(D654="Completed",L654*J654*(1-K654),0)</x:f>
        <x:v>0</x:v>
      </x:c>
      <x:c r="Q654" s="9" t="n">
        <x:f>O654-P654</x:f>
        <x:v>255.6</x:v>
      </x:c>
      <x:c r="R654" s="11" t="n">
        <x:f>IF(D654="Completed",I654,0)</x:f>
        <x:v>1</x:v>
      </x:c>
      <x:c r="S654" s="11" t="n">
        <x:f>IF(D654="Completed",L654,0)</x:f>
        <x:v>0</x:v>
      </x:c>
      <x:c r="T654" s="8" t="n">
        <x:f>DATE(YEAR(C654),MONTH(C654),1)</x:f>
        <x:v>45839</x:v>
      </x:c>
    </x:row>
    <x:row r="655" ht="22" customHeight="1">
      <x:c r="A655" s="2" t="str">
        <x:v>L000651</x:v>
      </x:c>
      <x:c r="B655" s="2" t="str">
        <x:v>O00269</x:v>
      </x:c>
      <x:c r="C655" s="7" t="n">
        <x:v>45863</x:v>
      </x:c>
      <x:c r="D655" s="2" t="str">
        <x:v>Completed</x:v>
      </x:c>
      <x:c r="E655" s="2" t="str">
        <x:v>North</x:v>
      </x:c>
      <x:c r="F655" s="2" t="str">
        <x:v>Online</x:v>
      </x:c>
      <x:c r="G655" s="2" t="str">
        <x:v>Furniture</x:v>
      </x:c>
      <x:c r="H655" s="2" t="str">
        <x:v>Chair 006</x:v>
      </x:c>
      <x:c r="I655" s="11" t="n">
        <x:v>2</x:v>
      </x:c>
      <x:c r="J655" s="9" t="n">
        <x:v>196</x:v>
      </x:c>
      <x:c r="K655" s="10" t="n">
        <x:v>0.05</x:v>
      </x:c>
      <x:c r="L655" s="11" t="n">
        <x:v>0</x:v>
      </x:c>
      <x:c r="M655" s="9" t="n">
        <x:f>IF(D655="Completed",I655*J655,0)</x:f>
        <x:v>392</x:v>
      </x:c>
      <x:c r="N655" s="9" t="n">
        <x:f>M655*K655</x:f>
        <x:v>19.6</x:v>
      </x:c>
      <x:c r="O655" s="9" t="n">
        <x:f>M655-N655</x:f>
        <x:v>372.4</x:v>
      </x:c>
      <x:c r="P655" s="9" t="n">
        <x:f>IF(D655="Completed",L655*J655*(1-K655),0)</x:f>
        <x:v>0</x:v>
      </x:c>
      <x:c r="Q655" s="9" t="n">
        <x:f>O655-P655</x:f>
        <x:v>372.4</x:v>
      </x:c>
      <x:c r="R655" s="11" t="n">
        <x:f>IF(D655="Completed",I655,0)</x:f>
        <x:v>2</x:v>
      </x:c>
      <x:c r="S655" s="11" t="n">
        <x:f>IF(D655="Completed",L655,0)</x:f>
        <x:v>0</x:v>
      </x:c>
      <x:c r="T655" s="8" t="n">
        <x:f>DATE(YEAR(C655),MONTH(C655),1)</x:f>
        <x:v>45839</x:v>
      </x:c>
    </x:row>
    <x:row r="656" ht="22" customHeight="1">
      <x:c r="A656" s="2" t="str">
        <x:v>L000652</x:v>
      </x:c>
      <x:c r="B656" s="2" t="str">
        <x:v>O00270</x:v>
      </x:c>
      <x:c r="C656" s="7" t="n">
        <x:v>45973</x:v>
      </x:c>
      <x:c r="D656" s="2" t="str">
        <x:v>Completed</x:v>
      </x:c>
      <x:c r="E656" s="2" t="str">
        <x:v>East</x:v>
      </x:c>
      <x:c r="F656" s="2" t="str">
        <x:v>Online</x:v>
      </x:c>
      <x:c r="G656" s="2" t="str">
        <x:v>Lighting</x:v>
      </x:c>
      <x:c r="H656" s="2" t="str">
        <x:v>Lamp 001</x:v>
      </x:c>
      <x:c r="I656" s="11" t="n">
        <x:v>3</x:v>
      </x:c>
      <x:c r="J656" s="9" t="n">
        <x:v>122</x:v>
      </x:c>
      <x:c r="K656" s="10" t="n">
        <x:v>0.2</x:v>
      </x:c>
      <x:c r="L656" s="11" t="n">
        <x:v>0</x:v>
      </x:c>
      <x:c r="M656" s="9" t="n">
        <x:f>IF(D656="Completed",I656*J656,0)</x:f>
        <x:v>366</x:v>
      </x:c>
      <x:c r="N656" s="9" t="n">
        <x:f>M656*K656</x:f>
        <x:v>73.2</x:v>
      </x:c>
      <x:c r="O656" s="9" t="n">
        <x:f>M656-N656</x:f>
        <x:v>292.8</x:v>
      </x:c>
      <x:c r="P656" s="9" t="n">
        <x:f>IF(D656="Completed",L656*J656*(1-K656),0)</x:f>
        <x:v>0</x:v>
      </x:c>
      <x:c r="Q656" s="9" t="n">
        <x:f>O656-P656</x:f>
        <x:v>292.8</x:v>
      </x:c>
      <x:c r="R656" s="11" t="n">
        <x:f>IF(D656="Completed",I656,0)</x:f>
        <x:v>3</x:v>
      </x:c>
      <x:c r="S656" s="11" t="n">
        <x:f>IF(D656="Completed",L656,0)</x:f>
        <x:v>0</x:v>
      </x:c>
      <x:c r="T656" s="8" t="n">
        <x:f>DATE(YEAR(C656),MONTH(C656),1)</x:f>
        <x:v>45962</x:v>
      </x:c>
    </x:row>
    <x:row r="657" ht="22" customHeight="1">
      <x:c r="A657" s="2" t="str">
        <x:v>L000653</x:v>
      </x:c>
      <x:c r="B657" s="2" t="str">
        <x:v>O00270</x:v>
      </x:c>
      <x:c r="C657" s="7" t="n">
        <x:v>45973</x:v>
      </x:c>
      <x:c r="D657" s="2" t="str">
        <x:v>Completed</x:v>
      </x:c>
      <x:c r="E657" s="2" t="str">
        <x:v>East</x:v>
      </x:c>
      <x:c r="F657" s="2" t="str">
        <x:v>Online</x:v>
      </x:c>
      <x:c r="G657" s="2" t="str">
        <x:v>Furniture</x:v>
      </x:c>
      <x:c r="H657" s="2" t="str">
        <x:v>Desk 016</x:v>
      </x:c>
      <x:c r="I657" s="11" t="n">
        <x:v>5</x:v>
      </x:c>
      <x:c r="J657" s="9" t="n">
        <x:v>231</x:v>
      </x:c>
      <x:c r="K657" s="10" t="n">
        <x:v>0</x:v>
      </x:c>
      <x:c r="L657" s="11" t="n">
        <x:v>0</x:v>
      </x:c>
      <x:c r="M657" s="9" t="n">
        <x:f>IF(D657="Completed",I657*J657,0)</x:f>
        <x:v>1155</x:v>
      </x:c>
      <x:c r="N657" s="9" t="n">
        <x:f>M657*K657</x:f>
        <x:v>0</x:v>
      </x:c>
      <x:c r="O657" s="9" t="n">
        <x:f>M657-N657</x:f>
        <x:v>1155</x:v>
      </x:c>
      <x:c r="P657" s="9" t="n">
        <x:f>IF(D657="Completed",L657*J657*(1-K657),0)</x:f>
        <x:v>0</x:v>
      </x:c>
      <x:c r="Q657" s="9" t="n">
        <x:f>O657-P657</x:f>
        <x:v>1155</x:v>
      </x:c>
      <x:c r="R657" s="11" t="n">
        <x:f>IF(D657="Completed",I657,0)</x:f>
        <x:v>5</x:v>
      </x:c>
      <x:c r="S657" s="11" t="n">
        <x:f>IF(D657="Completed",L657,0)</x:f>
        <x:v>0</x:v>
      </x:c>
      <x:c r="T657" s="8" t="n">
        <x:f>DATE(YEAR(C657),MONTH(C657),1)</x:f>
        <x:v>45962</x:v>
      </x:c>
    </x:row>
    <x:row r="658" ht="22" customHeight="1">
      <x:c r="A658" s="2" t="str">
        <x:v>L000654</x:v>
      </x:c>
      <x:c r="B658" s="2" t="str">
        <x:v>O00271</x:v>
      </x:c>
      <x:c r="C658" s="7" t="n">
        <x:v>45690</x:v>
      </x:c>
      <x:c r="D658" s="2" t="str">
        <x:v>Cancelled</x:v>
      </x:c>
      <x:c r="E658" s="2" t="str">
        <x:v>East</x:v>
      </x:c>
      <x:c r="F658" s="2" t="str">
        <x:v>Store</x:v>
      </x:c>
      <x:c r="G658" s="2" t="str">
        <x:v>Lighting</x:v>
      </x:c>
      <x:c r="H658" s="2" t="str">
        <x:v>Lamp 005</x:v>
      </x:c>
      <x:c r="I658" s="11" t="n">
        <x:v>4</x:v>
      </x:c>
      <x:c r="J658" s="9" t="n">
        <x:v>65</x:v>
      </x:c>
      <x:c r="K658" s="10" t="n">
        <x:v>0.2</x:v>
      </x:c>
      <x:c r="L658" s="11" t="n">
        <x:v>0</x:v>
      </x:c>
      <x:c r="M658" s="9" t="n">
        <x:f>IF(D658="Completed",I658*J658,0)</x:f>
        <x:v>0</x:v>
      </x:c>
      <x:c r="N658" s="9" t="n">
        <x:f>M658*K658</x:f>
        <x:v>0</x:v>
      </x:c>
      <x:c r="O658" s="9" t="n">
        <x:f>M658-N658</x:f>
        <x:v>0</x:v>
      </x:c>
      <x:c r="P658" s="9" t="n">
        <x:f>IF(D658="Completed",L658*J658*(1-K658),0)</x:f>
        <x:v>0</x:v>
      </x:c>
      <x:c r="Q658" s="9" t="n">
        <x:f>O658-P658</x:f>
        <x:v>0</x:v>
      </x:c>
      <x:c r="R658" s="11" t="n">
        <x:f>IF(D658="Completed",I658,0)</x:f>
        <x:v>0</x:v>
      </x:c>
      <x:c r="S658" s="11" t="n">
        <x:f>IF(D658="Completed",L658,0)</x:f>
        <x:v>0</x:v>
      </x:c>
      <x:c r="T658" s="8" t="n">
        <x:f>DATE(YEAR(C658),MONTH(C658),1)</x:f>
        <x:v>45689</x:v>
      </x:c>
    </x:row>
    <x:row r="659" ht="22" customHeight="1">
      <x:c r="A659" s="2" t="str">
        <x:v>L000655</x:v>
      </x:c>
      <x:c r="B659" s="2" t="str">
        <x:v>O00271</x:v>
      </x:c>
      <x:c r="C659" s="7" t="n">
        <x:v>45690</x:v>
      </x:c>
      <x:c r="D659" s="2" t="str">
        <x:v>Cancelled</x:v>
      </x:c>
      <x:c r="E659" s="2" t="str">
        <x:v>East</x:v>
      </x:c>
      <x:c r="F659" s="2" t="str">
        <x:v>Store</x:v>
      </x:c>
      <x:c r="G659" s="2" t="str">
        <x:v>Furniture</x:v>
      </x:c>
      <x:c r="H659" s="2" t="str">
        <x:v>Desk 004</x:v>
      </x:c>
      <x:c r="I659" s="11" t="n">
        <x:v>5</x:v>
      </x:c>
      <x:c r="J659" s="9" t="n">
        <x:v>123</x:v>
      </x:c>
      <x:c r="K659" s="10" t="n">
        <x:v>0</x:v>
      </x:c>
      <x:c r="L659" s="11" t="n">
        <x:v>0</x:v>
      </x:c>
      <x:c r="M659" s="9" t="n">
        <x:f>IF(D659="Completed",I659*J659,0)</x:f>
        <x:v>0</x:v>
      </x:c>
      <x:c r="N659" s="9" t="n">
        <x:f>M659*K659</x:f>
        <x:v>0</x:v>
      </x:c>
      <x:c r="O659" s="9" t="n">
        <x:f>M659-N659</x:f>
        <x:v>0</x:v>
      </x:c>
      <x:c r="P659" s="9" t="n">
        <x:f>IF(D659="Completed",L659*J659*(1-K659),0)</x:f>
        <x:v>0</x:v>
      </x:c>
      <x:c r="Q659" s="9" t="n">
        <x:f>O659-P659</x:f>
        <x:v>0</x:v>
      </x:c>
      <x:c r="R659" s="11" t="n">
        <x:f>IF(D659="Completed",I659,0)</x:f>
        <x:v>0</x:v>
      </x:c>
      <x:c r="S659" s="11" t="n">
        <x:f>IF(D659="Completed",L659,0)</x:f>
        <x:v>0</x:v>
      </x:c>
      <x:c r="T659" s="8" t="n">
        <x:f>DATE(YEAR(C659),MONTH(C659),1)</x:f>
        <x:v>45689</x:v>
      </x:c>
    </x:row>
    <x:row r="660" ht="22" customHeight="1">
      <x:c r="A660" s="2" t="str">
        <x:v>L000656</x:v>
      </x:c>
      <x:c r="B660" s="2" t="str">
        <x:v>O00272</x:v>
      </x:c>
      <x:c r="C660" s="7" t="n">
        <x:v>45974</x:v>
      </x:c>
      <x:c r="D660" s="2" t="str">
        <x:v>Completed</x:v>
      </x:c>
      <x:c r="E660" s="2" t="str">
        <x:v>East</x:v>
      </x:c>
      <x:c r="F660" s="2" t="str">
        <x:v>Store</x:v>
      </x:c>
      <x:c r="G660" s="2" t="str">
        <x:v>Furniture</x:v>
      </x:c>
      <x:c r="H660" s="2" t="str">
        <x:v>Desk 008</x:v>
      </x:c>
      <x:c r="I660" s="11" t="n">
        <x:v>2</x:v>
      </x:c>
      <x:c r="J660" s="9" t="n">
        <x:v>188</x:v>
      </x:c>
      <x:c r="K660" s="10" t="n">
        <x:v>0.05</x:v>
      </x:c>
      <x:c r="L660" s="11" t="n">
        <x:v>0</x:v>
      </x:c>
      <x:c r="M660" s="9" t="n">
        <x:f>IF(D660="Completed",I660*J660,0)</x:f>
        <x:v>376</x:v>
      </x:c>
      <x:c r="N660" s="9" t="n">
        <x:f>M660*K660</x:f>
        <x:v>18.8</x:v>
      </x:c>
      <x:c r="O660" s="9" t="n">
        <x:f>M660-N660</x:f>
        <x:v>357.2</x:v>
      </x:c>
      <x:c r="P660" s="9" t="n">
        <x:f>IF(D660="Completed",L660*J660*(1-K660),0)</x:f>
        <x:v>0</x:v>
      </x:c>
      <x:c r="Q660" s="9" t="n">
        <x:f>O660-P660</x:f>
        <x:v>357.2</x:v>
      </x:c>
      <x:c r="R660" s="11" t="n">
        <x:f>IF(D660="Completed",I660,0)</x:f>
        <x:v>2</x:v>
      </x:c>
      <x:c r="S660" s="11" t="n">
        <x:f>IF(D660="Completed",L660,0)</x:f>
        <x:v>0</x:v>
      </x:c>
      <x:c r="T660" s="8" t="n">
        <x:f>DATE(YEAR(C660),MONTH(C660),1)</x:f>
        <x:v>45962</x:v>
      </x:c>
    </x:row>
    <x:row r="661" ht="22" customHeight="1">
      <x:c r="A661" s="2" t="str">
        <x:v>L000657</x:v>
      </x:c>
      <x:c r="B661" s="2" t="str">
        <x:v>O00272</x:v>
      </x:c>
      <x:c r="C661" s="7" t="n">
        <x:v>45974</x:v>
      </x:c>
      <x:c r="D661" s="2" t="str">
        <x:v>Completed</x:v>
      </x:c>
      <x:c r="E661" s="2" t="str">
        <x:v>East</x:v>
      </x:c>
      <x:c r="F661" s="2" t="str">
        <x:v>Store</x:v>
      </x:c>
      <x:c r="G661" s="2" t="str">
        <x:v>Storage</x:v>
      </x:c>
      <x:c r="H661" s="2" t="str">
        <x:v>Shelf 011</x:v>
      </x:c>
      <x:c r="I661" s="11" t="n">
        <x:v>2</x:v>
      </x:c>
      <x:c r="J661" s="9" t="n">
        <x:v>80</x:v>
      </x:c>
      <x:c r="K661" s="10" t="n">
        <x:v>0.2</x:v>
      </x:c>
      <x:c r="L661" s="11" t="n">
        <x:v>0</x:v>
      </x:c>
      <x:c r="M661" s="9" t="n">
        <x:f>IF(D661="Completed",I661*J661,0)</x:f>
        <x:v>160</x:v>
      </x:c>
      <x:c r="N661" s="9" t="n">
        <x:f>M661*K661</x:f>
        <x:v>32</x:v>
      </x:c>
      <x:c r="O661" s="9" t="n">
        <x:f>M661-N661</x:f>
        <x:v>128</x:v>
      </x:c>
      <x:c r="P661" s="9" t="n">
        <x:f>IF(D661="Completed",L661*J661*(1-K661),0)</x:f>
        <x:v>0</x:v>
      </x:c>
      <x:c r="Q661" s="9" t="n">
        <x:f>O661-P661</x:f>
        <x:v>128</x:v>
      </x:c>
      <x:c r="R661" s="11" t="n">
        <x:f>IF(D661="Completed",I661,0)</x:f>
        <x:v>2</x:v>
      </x:c>
      <x:c r="S661" s="11" t="n">
        <x:f>IF(D661="Completed",L661,0)</x:f>
        <x:v>0</x:v>
      </x:c>
      <x:c r="T661" s="8" t="n">
        <x:f>DATE(YEAR(C661),MONTH(C661),1)</x:f>
        <x:v>45962</x:v>
      </x:c>
    </x:row>
    <x:row r="662" ht="22" customHeight="1">
      <x:c r="A662" s="2" t="str">
        <x:v>L000658</x:v>
      </x:c>
      <x:c r="B662" s="2" t="str">
        <x:v>O00273</x:v>
      </x:c>
      <x:c r="C662" s="7" t="n">
        <x:v>45660</x:v>
      </x:c>
      <x:c r="D662" s="2" t="str">
        <x:v>Completed</x:v>
      </x:c>
      <x:c r="E662" s="2" t="str">
        <x:v>North</x:v>
      </x:c>
      <x:c r="F662" s="2" t="str">
        <x:v>Store</x:v>
      </x:c>
      <x:c r="G662" s="2" t="str">
        <x:v>Furniture</x:v>
      </x:c>
      <x:c r="H662" s="2" t="str">
        <x:v>Desk 008</x:v>
      </x:c>
      <x:c r="I662" s="11" t="n">
        <x:v>4</x:v>
      </x:c>
      <x:c r="J662" s="9" t="n">
        <x:v>188</x:v>
      </x:c>
      <x:c r="K662" s="10" t="n">
        <x:v>0.1</x:v>
      </x:c>
      <x:c r="L662" s="11" t="n">
        <x:v>0</x:v>
      </x:c>
      <x:c r="M662" s="9" t="n">
        <x:f>IF(D662="Completed",I662*J662,0)</x:f>
        <x:v>752</x:v>
      </x:c>
      <x:c r="N662" s="9" t="n">
        <x:f>M662*K662</x:f>
        <x:v>75.2</x:v>
      </x:c>
      <x:c r="O662" s="9" t="n">
        <x:f>M662-N662</x:f>
        <x:v>676.8</x:v>
      </x:c>
      <x:c r="P662" s="9" t="n">
        <x:f>IF(D662="Completed",L662*J662*(1-K662),0)</x:f>
        <x:v>0</x:v>
      </x:c>
      <x:c r="Q662" s="9" t="n">
        <x:f>O662-P662</x:f>
        <x:v>676.8</x:v>
      </x:c>
      <x:c r="R662" s="11" t="n">
        <x:f>IF(D662="Completed",I662,0)</x:f>
        <x:v>4</x:v>
      </x:c>
      <x:c r="S662" s="11" t="n">
        <x:f>IF(D662="Completed",L662,0)</x:f>
        <x:v>0</x:v>
      </x:c>
      <x:c r="T662" s="8" t="n">
        <x:f>DATE(YEAR(C662),MONTH(C662),1)</x:f>
        <x:v>45658</x:v>
      </x:c>
    </x:row>
    <x:row r="663" ht="22" customHeight="1">
      <x:c r="A663" s="2" t="str">
        <x:v>L000659</x:v>
      </x:c>
      <x:c r="B663" s="2" t="str">
        <x:v>O00273</x:v>
      </x:c>
      <x:c r="C663" s="7" t="n">
        <x:v>45660</x:v>
      </x:c>
      <x:c r="D663" s="2" t="str">
        <x:v>Completed</x:v>
      </x:c>
      <x:c r="E663" s="2" t="str">
        <x:v>North</x:v>
      </x:c>
      <x:c r="F663" s="2" t="str">
        <x:v>Store</x:v>
      </x:c>
      <x:c r="G663" s="2" t="str">
        <x:v>Lighting</x:v>
      </x:c>
      <x:c r="H663" s="2" t="str">
        <x:v>Lamp 017</x:v>
      </x:c>
      <x:c r="I663" s="11" t="n">
        <x:v>5</x:v>
      </x:c>
      <x:c r="J663" s="9" t="n">
        <x:v>300</x:v>
      </x:c>
      <x:c r="K663" s="10" t="n">
        <x:v>0.05</x:v>
      </x:c>
      <x:c r="L663" s="11" t="n">
        <x:v>0</x:v>
      </x:c>
      <x:c r="M663" s="9" t="n">
        <x:f>IF(D663="Completed",I663*J663,0)</x:f>
        <x:v>1500</x:v>
      </x:c>
      <x:c r="N663" s="9" t="n">
        <x:f>M663*K663</x:f>
        <x:v>75</x:v>
      </x:c>
      <x:c r="O663" s="9" t="n">
        <x:f>M663-N663</x:f>
        <x:v>1425</x:v>
      </x:c>
      <x:c r="P663" s="9" t="n">
        <x:f>IF(D663="Completed",L663*J663*(1-K663),0)</x:f>
        <x:v>0</x:v>
      </x:c>
      <x:c r="Q663" s="9" t="n">
        <x:f>O663-P663</x:f>
        <x:v>1425</x:v>
      </x:c>
      <x:c r="R663" s="11" t="n">
        <x:f>IF(D663="Completed",I663,0)</x:f>
        <x:v>5</x:v>
      </x:c>
      <x:c r="S663" s="11" t="n">
        <x:f>IF(D663="Completed",L663,0)</x:f>
        <x:v>0</x:v>
      </x:c>
      <x:c r="T663" s="8" t="n">
        <x:f>DATE(YEAR(C663),MONTH(C663),1)</x:f>
        <x:v>45658</x:v>
      </x:c>
    </x:row>
    <x:row r="664" ht="22" customHeight="1">
      <x:c r="A664" s="2" t="str">
        <x:v>L000660</x:v>
      </x:c>
      <x:c r="B664" s="2" t="str">
        <x:v>O00273</x:v>
      </x:c>
      <x:c r="C664" s="7" t="n">
        <x:v>45660</x:v>
      </x:c>
      <x:c r="D664" s="2" t="str">
        <x:v>Completed</x:v>
      </x:c>
      <x:c r="E664" s="2" t="str">
        <x:v>North</x:v>
      </x:c>
      <x:c r="F664" s="2" t="str">
        <x:v>Store</x:v>
      </x:c>
      <x:c r="G664" s="2" t="str">
        <x:v>Lighting</x:v>
      </x:c>
      <x:c r="H664" s="2" t="str">
        <x:v>Lamp 009</x:v>
      </x:c>
      <x:c r="I664" s="11" t="n">
        <x:v>4</x:v>
      </x:c>
      <x:c r="J664" s="9" t="n">
        <x:v>93</x:v>
      </x:c>
      <x:c r="K664" s="10" t="n">
        <x:v>0.2</x:v>
      </x:c>
      <x:c r="L664" s="11" t="n">
        <x:v>0</x:v>
      </x:c>
      <x:c r="M664" s="9" t="n">
        <x:f>IF(D664="Completed",I664*J664,0)</x:f>
        <x:v>372</x:v>
      </x:c>
      <x:c r="N664" s="9" t="n">
        <x:f>M664*K664</x:f>
        <x:v>74.4</x:v>
      </x:c>
      <x:c r="O664" s="9" t="n">
        <x:f>M664-N664</x:f>
        <x:v>297.6</x:v>
      </x:c>
      <x:c r="P664" s="9" t="n">
        <x:f>IF(D664="Completed",L664*J664*(1-K664),0)</x:f>
        <x:v>0</x:v>
      </x:c>
      <x:c r="Q664" s="9" t="n">
        <x:f>O664-P664</x:f>
        <x:v>297.6</x:v>
      </x:c>
      <x:c r="R664" s="11" t="n">
        <x:f>IF(D664="Completed",I664,0)</x:f>
        <x:v>4</x:v>
      </x:c>
      <x:c r="S664" s="11" t="n">
        <x:f>IF(D664="Completed",L664,0)</x:f>
        <x:v>0</x:v>
      </x:c>
      <x:c r="T664" s="8" t="n">
        <x:f>DATE(YEAR(C664),MONTH(C664),1)</x:f>
        <x:v>45658</x:v>
      </x:c>
    </x:row>
    <x:row r="665" ht="22" customHeight="1">
      <x:c r="A665" s="2" t="str">
        <x:v>L000661</x:v>
      </x:c>
      <x:c r="B665" s="2" t="str">
        <x:v>O00273</x:v>
      </x:c>
      <x:c r="C665" s="7" t="n">
        <x:v>45660</x:v>
      </x:c>
      <x:c r="D665" s="2" t="str">
        <x:v>Completed</x:v>
      </x:c>
      <x:c r="E665" s="2" t="str">
        <x:v>North</x:v>
      </x:c>
      <x:c r="F665" s="2" t="str">
        <x:v>Store</x:v>
      </x:c>
      <x:c r="G665" s="2" t="str">
        <x:v>Furniture</x:v>
      </x:c>
      <x:c r="H665" s="2" t="str">
        <x:v>Chair 014</x:v>
      </x:c>
      <x:c r="I665" s="11" t="n">
        <x:v>4</x:v>
      </x:c>
      <x:c r="J665" s="9" t="n">
        <x:v>294</x:v>
      </x:c>
      <x:c r="K665" s="10" t="n">
        <x:v>0.05</x:v>
      </x:c>
      <x:c r="L665" s="11" t="n">
        <x:v>0</x:v>
      </x:c>
      <x:c r="M665" s="9" t="n">
        <x:f>IF(D665="Completed",I665*J665,0)</x:f>
        <x:v>1176</x:v>
      </x:c>
      <x:c r="N665" s="9" t="n">
        <x:f>M665*K665</x:f>
        <x:v>58.800000000000004</x:v>
      </x:c>
      <x:c r="O665" s="9" t="n">
        <x:f>M665-N665</x:f>
        <x:v>1117.2</x:v>
      </x:c>
      <x:c r="P665" s="9" t="n">
        <x:f>IF(D665="Completed",L665*J665*(1-K665),0)</x:f>
        <x:v>0</x:v>
      </x:c>
      <x:c r="Q665" s="9" t="n">
        <x:f>O665-P665</x:f>
        <x:v>1117.2</x:v>
      </x:c>
      <x:c r="R665" s="11" t="n">
        <x:f>IF(D665="Completed",I665,0)</x:f>
        <x:v>4</x:v>
      </x:c>
      <x:c r="S665" s="11" t="n">
        <x:f>IF(D665="Completed",L665,0)</x:f>
        <x:v>0</x:v>
      </x:c>
      <x:c r="T665" s="8" t="n">
        <x:f>DATE(YEAR(C665),MONTH(C665),1)</x:f>
        <x:v>45658</x:v>
      </x:c>
    </x:row>
    <x:row r="666" ht="22" customHeight="1">
      <x:c r="A666" s="2" t="str">
        <x:v>L000662</x:v>
      </x:c>
      <x:c r="B666" s="2" t="str">
        <x:v>O00274</x:v>
      </x:c>
      <x:c r="C666" s="7" t="n">
        <x:v>45993</x:v>
      </x:c>
      <x:c r="D666" s="2" t="str">
        <x:v>Completed</x:v>
      </x:c>
      <x:c r="E666" s="2" t="str">
        <x:v>East</x:v>
      </x:c>
      <x:c r="F666" s="2" t="str">
        <x:v>Online</x:v>
      </x:c>
      <x:c r="G666" s="2" t="str">
        <x:v>Furniture</x:v>
      </x:c>
      <x:c r="H666" s="2" t="str">
        <x:v>Desk 020</x:v>
      </x:c>
      <x:c r="I666" s="11" t="n">
        <x:v>5</x:v>
      </x:c>
      <x:c r="J666" s="9" t="n">
        <x:v>189</x:v>
      </x:c>
      <x:c r="K666" s="10" t="n">
        <x:v>0.2</x:v>
      </x:c>
      <x:c r="L666" s="11" t="n">
        <x:v>0</x:v>
      </x:c>
      <x:c r="M666" s="9" t="n">
        <x:f>IF(D666="Completed",I666*J666,0)</x:f>
        <x:v>945</x:v>
      </x:c>
      <x:c r="N666" s="9" t="n">
        <x:f>M666*K666</x:f>
        <x:v>189</x:v>
      </x:c>
      <x:c r="O666" s="9" t="n">
        <x:f>M666-N666</x:f>
        <x:v>756</x:v>
      </x:c>
      <x:c r="P666" s="9" t="n">
        <x:f>IF(D666="Completed",L666*J666*(1-K666),0)</x:f>
        <x:v>0</x:v>
      </x:c>
      <x:c r="Q666" s="9" t="n">
        <x:f>O666-P666</x:f>
        <x:v>756</x:v>
      </x:c>
      <x:c r="R666" s="11" t="n">
        <x:f>IF(D666="Completed",I666,0)</x:f>
        <x:v>5</x:v>
      </x:c>
      <x:c r="S666" s="11" t="n">
        <x:f>IF(D666="Completed",L666,0)</x:f>
        <x:v>0</x:v>
      </x:c>
      <x:c r="T666" s="8" t="n">
        <x:f>DATE(YEAR(C666),MONTH(C666),1)</x:f>
        <x:v>45992</x:v>
      </x:c>
    </x:row>
    <x:row r="667" ht="22" customHeight="1">
      <x:c r="A667" s="2" t="str">
        <x:v>L000663</x:v>
      </x:c>
      <x:c r="B667" s="2" t="str">
        <x:v>O00274</x:v>
      </x:c>
      <x:c r="C667" s="7" t="n">
        <x:v>45993</x:v>
      </x:c>
      <x:c r="D667" s="2" t="str">
        <x:v>Completed</x:v>
      </x:c>
      <x:c r="E667" s="2" t="str">
        <x:v>East</x:v>
      </x:c>
      <x:c r="F667" s="2" t="str">
        <x:v>Online</x:v>
      </x:c>
      <x:c r="G667" s="2" t="str">
        <x:v>Furniture</x:v>
      </x:c>
      <x:c r="H667" s="2" t="str">
        <x:v>Chair 010</x:v>
      </x:c>
      <x:c r="I667" s="11" t="n">
        <x:v>4</x:v>
      </x:c>
      <x:c r="J667" s="9" t="n">
        <x:v>211</x:v>
      </x:c>
      <x:c r="K667" s="10" t="n">
        <x:v>0.2</x:v>
      </x:c>
      <x:c r="L667" s="11" t="n">
        <x:v>0</x:v>
      </x:c>
      <x:c r="M667" s="9" t="n">
        <x:f>IF(D667="Completed",I667*J667,0)</x:f>
        <x:v>844</x:v>
      </x:c>
      <x:c r="N667" s="9" t="n">
        <x:f>M667*K667</x:f>
        <x:v>168.8</x:v>
      </x:c>
      <x:c r="O667" s="9" t="n">
        <x:f>M667-N667</x:f>
        <x:v>675.2</x:v>
      </x:c>
      <x:c r="P667" s="9" t="n">
        <x:f>IF(D667="Completed",L667*J667*(1-K667),0)</x:f>
        <x:v>0</x:v>
      </x:c>
      <x:c r="Q667" s="9" t="n">
        <x:f>O667-P667</x:f>
        <x:v>675.2</x:v>
      </x:c>
      <x:c r="R667" s="11" t="n">
        <x:f>IF(D667="Completed",I667,0)</x:f>
        <x:v>4</x:v>
      </x:c>
      <x:c r="S667" s="11" t="n">
        <x:f>IF(D667="Completed",L667,0)</x:f>
        <x:v>0</x:v>
      </x:c>
      <x:c r="T667" s="8" t="n">
        <x:f>DATE(YEAR(C667),MONTH(C667),1)</x:f>
        <x:v>45992</x:v>
      </x:c>
    </x:row>
    <x:row r="668" ht="22" customHeight="1">
      <x:c r="A668" s="2" t="str">
        <x:v>L000664</x:v>
      </x:c>
      <x:c r="B668" s="2" t="str">
        <x:v>O00274</x:v>
      </x:c>
      <x:c r="C668" s="7" t="n">
        <x:v>45993</x:v>
      </x:c>
      <x:c r="D668" s="2" t="str">
        <x:v>Completed</x:v>
      </x:c>
      <x:c r="E668" s="2" t="str">
        <x:v>East</x:v>
      </x:c>
      <x:c r="F668" s="2" t="str">
        <x:v>Online</x:v>
      </x:c>
      <x:c r="G668" s="2" t="str">
        <x:v>Storage</x:v>
      </x:c>
      <x:c r="H668" s="2" t="str">
        <x:v>Shelf 003</x:v>
      </x:c>
      <x:c r="I668" s="11" t="n">
        <x:v>3</x:v>
      </x:c>
      <x:c r="J668" s="9" t="n">
        <x:v>199</x:v>
      </x:c>
      <x:c r="K668" s="10" t="n">
        <x:v>0</x:v>
      </x:c>
      <x:c r="L668" s="11" t="n">
        <x:v>0</x:v>
      </x:c>
      <x:c r="M668" s="9" t="n">
        <x:f>IF(D668="Completed",I668*J668,0)</x:f>
        <x:v>597</x:v>
      </x:c>
      <x:c r="N668" s="9" t="n">
        <x:f>M668*K668</x:f>
        <x:v>0</x:v>
      </x:c>
      <x:c r="O668" s="9" t="n">
        <x:f>M668-N668</x:f>
        <x:v>597</x:v>
      </x:c>
      <x:c r="P668" s="9" t="n">
        <x:f>IF(D668="Completed",L668*J668*(1-K668),0)</x:f>
        <x:v>0</x:v>
      </x:c>
      <x:c r="Q668" s="9" t="n">
        <x:f>O668-P668</x:f>
        <x:v>597</x:v>
      </x:c>
      <x:c r="R668" s="11" t="n">
        <x:f>IF(D668="Completed",I668,0)</x:f>
        <x:v>3</x:v>
      </x:c>
      <x:c r="S668" s="11" t="n">
        <x:f>IF(D668="Completed",L668,0)</x:f>
        <x:v>0</x:v>
      </x:c>
      <x:c r="T668" s="8" t="n">
        <x:f>DATE(YEAR(C668),MONTH(C668),1)</x:f>
        <x:v>45992</x:v>
      </x:c>
    </x:row>
    <x:row r="669" ht="22" customHeight="1">
      <x:c r="A669" s="2" t="str">
        <x:v>L000665</x:v>
      </x:c>
      <x:c r="B669" s="2" t="str">
        <x:v>O00274</x:v>
      </x:c>
      <x:c r="C669" s="7" t="n">
        <x:v>45993</x:v>
      </x:c>
      <x:c r="D669" s="2" t="str">
        <x:v>Completed</x:v>
      </x:c>
      <x:c r="E669" s="2" t="str">
        <x:v>East</x:v>
      </x:c>
      <x:c r="F669" s="2" t="str">
        <x:v>Online</x:v>
      </x:c>
      <x:c r="G669" s="2" t="str">
        <x:v>Furniture</x:v>
      </x:c>
      <x:c r="H669" s="2" t="str">
        <x:v>Desk 004</x:v>
      </x:c>
      <x:c r="I669" s="11" t="n">
        <x:v>4</x:v>
      </x:c>
      <x:c r="J669" s="9" t="n">
        <x:v>123</x:v>
      </x:c>
      <x:c r="K669" s="10" t="n">
        <x:v>0.2</x:v>
      </x:c>
      <x:c r="L669" s="11" t="n">
        <x:v>0</x:v>
      </x:c>
      <x:c r="M669" s="9" t="n">
        <x:f>IF(D669="Completed",I669*J669,0)</x:f>
        <x:v>492</x:v>
      </x:c>
      <x:c r="N669" s="9" t="n">
        <x:f>M669*K669</x:f>
        <x:v>98.4</x:v>
      </x:c>
      <x:c r="O669" s="9" t="n">
        <x:f>M669-N669</x:f>
        <x:v>393.6</x:v>
      </x:c>
      <x:c r="P669" s="9" t="n">
        <x:f>IF(D669="Completed",L669*J669*(1-K669),0)</x:f>
        <x:v>0</x:v>
      </x:c>
      <x:c r="Q669" s="9" t="n">
        <x:f>O669-P669</x:f>
        <x:v>393.6</x:v>
      </x:c>
      <x:c r="R669" s="11" t="n">
        <x:f>IF(D669="Completed",I669,0)</x:f>
        <x:v>4</x:v>
      </x:c>
      <x:c r="S669" s="11" t="n">
        <x:f>IF(D669="Completed",L669,0)</x:f>
        <x:v>0</x:v>
      </x:c>
      <x:c r="T669" s="8" t="n">
        <x:f>DATE(YEAR(C669),MONTH(C669),1)</x:f>
        <x:v>45992</x:v>
      </x:c>
    </x:row>
    <x:row r="670" ht="22" customHeight="1">
      <x:c r="A670" s="2" t="str">
        <x:v>L000666</x:v>
      </x:c>
      <x:c r="B670" s="2" t="str">
        <x:v>O00275</x:v>
      </x:c>
      <x:c r="C670" s="7" t="n">
        <x:v>45746</x:v>
      </x:c>
      <x:c r="D670" s="2" t="str">
        <x:v>Completed</x:v>
      </x:c>
      <x:c r="E670" s="2" t="str">
        <x:v>North</x:v>
      </x:c>
      <x:c r="F670" s="2" t="str">
        <x:v>Store</x:v>
      </x:c>
      <x:c r="G670" s="2" t="str">
        <x:v>Furniture</x:v>
      </x:c>
      <x:c r="H670" s="2" t="str">
        <x:v>Desk 020</x:v>
      </x:c>
      <x:c r="I670" s="11" t="n">
        <x:v>1</x:v>
      </x:c>
      <x:c r="J670" s="9" t="n">
        <x:v>189</x:v>
      </x:c>
      <x:c r="K670" s="10" t="n">
        <x:v>0.05</x:v>
      </x:c>
      <x:c r="L670" s="11" t="n">
        <x:v>0</x:v>
      </x:c>
      <x:c r="M670" s="9" t="n">
        <x:f>IF(D670="Completed",I670*J670,0)</x:f>
        <x:v>189</x:v>
      </x:c>
      <x:c r="N670" s="9" t="n">
        <x:f>M670*K670</x:f>
        <x:v>9.450000000000001</x:v>
      </x:c>
      <x:c r="O670" s="9" t="n">
        <x:f>M670-N670</x:f>
        <x:v>179.55</x:v>
      </x:c>
      <x:c r="P670" s="9" t="n">
        <x:f>IF(D670="Completed",L670*J670*(1-K670),0)</x:f>
        <x:v>0</x:v>
      </x:c>
      <x:c r="Q670" s="9" t="n">
        <x:f>O670-P670</x:f>
        <x:v>179.55</x:v>
      </x:c>
      <x:c r="R670" s="11" t="n">
        <x:f>IF(D670="Completed",I670,0)</x:f>
        <x:v>1</x:v>
      </x:c>
      <x:c r="S670" s="11" t="n">
        <x:f>IF(D670="Completed",L670,0)</x:f>
        <x:v>0</x:v>
      </x:c>
      <x:c r="T670" s="8" t="n">
        <x:f>DATE(YEAR(C670),MONTH(C670),1)</x:f>
        <x:v>45717</x:v>
      </x:c>
    </x:row>
    <x:row r="671" ht="22" customHeight="1">
      <x:c r="A671" s="2" t="str">
        <x:v>L000667</x:v>
      </x:c>
      <x:c r="B671" s="2" t="str">
        <x:v>O00275</x:v>
      </x:c>
      <x:c r="C671" s="7" t="n">
        <x:v>45746</x:v>
      </x:c>
      <x:c r="D671" s="2" t="str">
        <x:v>Completed</x:v>
      </x:c>
      <x:c r="E671" s="2" t="str">
        <x:v>North</x:v>
      </x:c>
      <x:c r="F671" s="2" t="str">
        <x:v>Store</x:v>
      </x:c>
      <x:c r="G671" s="2" t="str">
        <x:v>Storage</x:v>
      </x:c>
      <x:c r="H671" s="2" t="str">
        <x:v>Shelf 015</x:v>
      </x:c>
      <x:c r="I671" s="11" t="n">
        <x:v>1</x:v>
      </x:c>
      <x:c r="J671" s="9" t="n">
        <x:v>254</x:v>
      </x:c>
      <x:c r="K671" s="10" t="n">
        <x:v>0.2</x:v>
      </x:c>
      <x:c r="L671" s="11" t="n">
        <x:v>0</x:v>
      </x:c>
      <x:c r="M671" s="9" t="n">
        <x:f>IF(D671="Completed",I671*J671,0)</x:f>
        <x:v>254</x:v>
      </x:c>
      <x:c r="N671" s="9" t="n">
        <x:f>M671*K671</x:f>
        <x:v>50.800000000000004</x:v>
      </x:c>
      <x:c r="O671" s="9" t="n">
        <x:f>M671-N671</x:f>
        <x:v>203.2</x:v>
      </x:c>
      <x:c r="P671" s="9" t="n">
        <x:f>IF(D671="Completed",L671*J671*(1-K671),0)</x:f>
        <x:v>0</x:v>
      </x:c>
      <x:c r="Q671" s="9" t="n">
        <x:f>O671-P671</x:f>
        <x:v>203.2</x:v>
      </x:c>
      <x:c r="R671" s="11" t="n">
        <x:f>IF(D671="Completed",I671,0)</x:f>
        <x:v>1</x:v>
      </x:c>
      <x:c r="S671" s="11" t="n">
        <x:f>IF(D671="Completed",L671,0)</x:f>
        <x:v>0</x:v>
      </x:c>
      <x:c r="T671" s="8" t="n">
        <x:f>DATE(YEAR(C671),MONTH(C671),1)</x:f>
        <x:v>45717</x:v>
      </x:c>
    </x:row>
    <x:row r="672" ht="22" customHeight="1">
      <x:c r="A672" s="2" t="str">
        <x:v>L000668</x:v>
      </x:c>
      <x:c r="B672" s="2" t="str">
        <x:v>O00275</x:v>
      </x:c>
      <x:c r="C672" s="7" t="n">
        <x:v>45746</x:v>
      </x:c>
      <x:c r="D672" s="2" t="str">
        <x:v>Completed</x:v>
      </x:c>
      <x:c r="E672" s="2" t="str">
        <x:v>North</x:v>
      </x:c>
      <x:c r="F672" s="2" t="str">
        <x:v>Store</x:v>
      </x:c>
      <x:c r="G672" s="2" t="str">
        <x:v>Furniture</x:v>
      </x:c>
      <x:c r="H672" s="2" t="str">
        <x:v>Chair 002</x:v>
      </x:c>
      <x:c r="I672" s="11" t="n">
        <x:v>4</x:v>
      </x:c>
      <x:c r="J672" s="9" t="n">
        <x:v>284</x:v>
      </x:c>
      <x:c r="K672" s="10" t="n">
        <x:v>0</x:v>
      </x:c>
      <x:c r="L672" s="11" t="n">
        <x:v>0</x:v>
      </x:c>
      <x:c r="M672" s="9" t="n">
        <x:f>IF(D672="Completed",I672*J672,0)</x:f>
        <x:v>1136</x:v>
      </x:c>
      <x:c r="N672" s="9" t="n">
        <x:f>M672*K672</x:f>
        <x:v>0</x:v>
      </x:c>
      <x:c r="O672" s="9" t="n">
        <x:f>M672-N672</x:f>
        <x:v>1136</x:v>
      </x:c>
      <x:c r="P672" s="9" t="n">
        <x:f>IF(D672="Completed",L672*J672*(1-K672),0)</x:f>
        <x:v>0</x:v>
      </x:c>
      <x:c r="Q672" s="9" t="n">
        <x:f>O672-P672</x:f>
        <x:v>1136</x:v>
      </x:c>
      <x:c r="R672" s="11" t="n">
        <x:f>IF(D672="Completed",I672,0)</x:f>
        <x:v>4</x:v>
      </x:c>
      <x:c r="S672" s="11" t="n">
        <x:f>IF(D672="Completed",L672,0)</x:f>
        <x:v>0</x:v>
      </x:c>
      <x:c r="T672" s="8" t="n">
        <x:f>DATE(YEAR(C672),MONTH(C672),1)</x:f>
        <x:v>45717</x:v>
      </x:c>
    </x:row>
    <x:row r="673" ht="22" customHeight="1">
      <x:c r="A673" s="2" t="str">
        <x:v>L000669</x:v>
      </x:c>
      <x:c r="B673" s="2" t="str">
        <x:v>O00275</x:v>
      </x:c>
      <x:c r="C673" s="7" t="n">
        <x:v>45746</x:v>
      </x:c>
      <x:c r="D673" s="2" t="str">
        <x:v>Completed</x:v>
      </x:c>
      <x:c r="E673" s="2" t="str">
        <x:v>North</x:v>
      </x:c>
      <x:c r="F673" s="2" t="str">
        <x:v>Store</x:v>
      </x:c>
      <x:c r="G673" s="2" t="str">
        <x:v>Lighting</x:v>
      </x:c>
      <x:c r="H673" s="2" t="str">
        <x:v>Lamp 001</x:v>
      </x:c>
      <x:c r="I673" s="11" t="n">
        <x:v>3</x:v>
      </x:c>
      <x:c r="J673" s="9" t="n">
        <x:v>122</x:v>
      </x:c>
      <x:c r="K673" s="10" t="n">
        <x:v>0.2</x:v>
      </x:c>
      <x:c r="L673" s="11" t="n">
        <x:v>0</x:v>
      </x:c>
      <x:c r="M673" s="9" t="n">
        <x:f>IF(D673="Completed",I673*J673,0)</x:f>
        <x:v>366</x:v>
      </x:c>
      <x:c r="N673" s="9" t="n">
        <x:f>M673*K673</x:f>
        <x:v>73.2</x:v>
      </x:c>
      <x:c r="O673" s="9" t="n">
        <x:f>M673-N673</x:f>
        <x:v>292.8</x:v>
      </x:c>
      <x:c r="P673" s="9" t="n">
        <x:f>IF(D673="Completed",L673*J673*(1-K673),0)</x:f>
        <x:v>0</x:v>
      </x:c>
      <x:c r="Q673" s="9" t="n">
        <x:f>O673-P673</x:f>
        <x:v>292.8</x:v>
      </x:c>
      <x:c r="R673" s="11" t="n">
        <x:f>IF(D673="Completed",I673,0)</x:f>
        <x:v>3</x:v>
      </x:c>
      <x:c r="S673" s="11" t="n">
        <x:f>IF(D673="Completed",L673,0)</x:f>
        <x:v>0</x:v>
      </x:c>
      <x:c r="T673" s="8" t="n">
        <x:f>DATE(YEAR(C673),MONTH(C673),1)</x:f>
        <x:v>45717</x:v>
      </x:c>
    </x:row>
    <x:row r="674" ht="22" customHeight="1">
      <x:c r="A674" s="2" t="str">
        <x:v>L000670</x:v>
      </x:c>
      <x:c r="B674" s="2" t="str">
        <x:v>O00276</x:v>
      </x:c>
      <x:c r="C674" s="7" t="n">
        <x:v>45660</x:v>
      </x:c>
      <x:c r="D674" s="2" t="str">
        <x:v>Completed</x:v>
      </x:c>
      <x:c r="E674" s="2" t="str">
        <x:v>North</x:v>
      </x:c>
      <x:c r="F674" s="2" t="str">
        <x:v>Online</x:v>
      </x:c>
      <x:c r="G674" s="2" t="str">
        <x:v>Furniture</x:v>
      </x:c>
      <x:c r="H674" s="2" t="str">
        <x:v>Chair 002</x:v>
      </x:c>
      <x:c r="I674" s="11" t="n">
        <x:v>4</x:v>
      </x:c>
      <x:c r="J674" s="9" t="n">
        <x:v>284</x:v>
      </x:c>
      <x:c r="K674" s="10" t="n">
        <x:v>0.1</x:v>
      </x:c>
      <x:c r="L674" s="11" t="n">
        <x:v>0</x:v>
      </x:c>
      <x:c r="M674" s="9" t="n">
        <x:f>IF(D674="Completed",I674*J674,0)</x:f>
        <x:v>1136</x:v>
      </x:c>
      <x:c r="N674" s="9" t="n">
        <x:f>M674*K674</x:f>
        <x:v>113.60000000000001</x:v>
      </x:c>
      <x:c r="O674" s="9" t="n">
        <x:f>M674-N674</x:f>
        <x:v>1022.4</x:v>
      </x:c>
      <x:c r="P674" s="9" t="n">
        <x:f>IF(D674="Completed",L674*J674*(1-K674),0)</x:f>
        <x:v>0</x:v>
      </x:c>
      <x:c r="Q674" s="9" t="n">
        <x:f>O674-P674</x:f>
        <x:v>1022.4</x:v>
      </x:c>
      <x:c r="R674" s="11" t="n">
        <x:f>IF(D674="Completed",I674,0)</x:f>
        <x:v>4</x:v>
      </x:c>
      <x:c r="S674" s="11" t="n">
        <x:f>IF(D674="Completed",L674,0)</x:f>
        <x:v>0</x:v>
      </x:c>
      <x:c r="T674" s="8" t="n">
        <x:f>DATE(YEAR(C674),MONTH(C674),1)</x:f>
        <x:v>45658</x:v>
      </x:c>
    </x:row>
    <x:row r="675" ht="22" customHeight="1">
      <x:c r="A675" s="2" t="str">
        <x:v>L000671</x:v>
      </x:c>
      <x:c r="B675" s="2" t="str">
        <x:v>O00277</x:v>
      </x:c>
      <x:c r="C675" s="7" t="n">
        <x:v>45673</x:v>
      </x:c>
      <x:c r="D675" s="2" t="str">
        <x:v>Cancelled</x:v>
      </x:c>
      <x:c r="E675" s="2" t="str">
        <x:v>West</x:v>
      </x:c>
      <x:c r="F675" s="2" t="str">
        <x:v>Store</x:v>
      </x:c>
      <x:c r="G675" s="2" t="str">
        <x:v>Storage</x:v>
      </x:c>
      <x:c r="H675" s="2" t="str">
        <x:v>Shelf 023</x:v>
      </x:c>
      <x:c r="I675" s="11" t="n">
        <x:v>4</x:v>
      </x:c>
      <x:c r="J675" s="9" t="n">
        <x:v>68</x:v>
      </x:c>
      <x:c r="K675" s="10" t="n">
        <x:v>0.1</x:v>
      </x:c>
      <x:c r="L675" s="11" t="n">
        <x:v>0</x:v>
      </x:c>
      <x:c r="M675" s="9" t="n">
        <x:f>IF(D675="Completed",I675*J675,0)</x:f>
        <x:v>0</x:v>
      </x:c>
      <x:c r="N675" s="9" t="n">
        <x:f>M675*K675</x:f>
        <x:v>0</x:v>
      </x:c>
      <x:c r="O675" s="9" t="n">
        <x:f>M675-N675</x:f>
        <x:v>0</x:v>
      </x:c>
      <x:c r="P675" s="9" t="n">
        <x:f>IF(D675="Completed",L675*J675*(1-K675),0)</x:f>
        <x:v>0</x:v>
      </x:c>
      <x:c r="Q675" s="9" t="n">
        <x:f>O675-P675</x:f>
        <x:v>0</x:v>
      </x:c>
      <x:c r="R675" s="11" t="n">
        <x:f>IF(D675="Completed",I675,0)</x:f>
        <x:v>0</x:v>
      </x:c>
      <x:c r="S675" s="11" t="n">
        <x:f>IF(D675="Completed",L675,0)</x:f>
        <x:v>0</x:v>
      </x:c>
      <x:c r="T675" s="8" t="n">
        <x:f>DATE(YEAR(C675),MONTH(C675),1)</x:f>
        <x:v>45658</x:v>
      </x:c>
    </x:row>
    <x:row r="676" ht="22" customHeight="1">
      <x:c r="A676" s="2" t="str">
        <x:v>L000672</x:v>
      </x:c>
      <x:c r="B676" s="2" t="str">
        <x:v>O00277</x:v>
      </x:c>
      <x:c r="C676" s="7" t="n">
        <x:v>45673</x:v>
      </x:c>
      <x:c r="D676" s="2" t="str">
        <x:v>Cancelled</x:v>
      </x:c>
      <x:c r="E676" s="2" t="str">
        <x:v>West</x:v>
      </x:c>
      <x:c r="F676" s="2" t="str">
        <x:v>Store</x:v>
      </x:c>
      <x:c r="G676" s="2" t="str">
        <x:v>Lighting</x:v>
      </x:c>
      <x:c r="H676" s="2" t="str">
        <x:v>Lamp 021</x:v>
      </x:c>
      <x:c r="I676" s="11" t="n">
        <x:v>5</x:v>
      </x:c>
      <x:c r="J676" s="9" t="n">
        <x:v>249</x:v>
      </x:c>
      <x:c r="K676" s="10" t="n">
        <x:v>0.05</x:v>
      </x:c>
      <x:c r="L676" s="11" t="n">
        <x:v>0</x:v>
      </x:c>
      <x:c r="M676" s="9" t="n">
        <x:f>IF(D676="Completed",I676*J676,0)</x:f>
        <x:v>0</x:v>
      </x:c>
      <x:c r="N676" s="9" t="n">
        <x:f>M676*K676</x:f>
        <x:v>0</x:v>
      </x:c>
      <x:c r="O676" s="9" t="n">
        <x:f>M676-N676</x:f>
        <x:v>0</x:v>
      </x:c>
      <x:c r="P676" s="9" t="n">
        <x:f>IF(D676="Completed",L676*J676*(1-K676),0)</x:f>
        <x:v>0</x:v>
      </x:c>
      <x:c r="Q676" s="9" t="n">
        <x:f>O676-P676</x:f>
        <x:v>0</x:v>
      </x:c>
      <x:c r="R676" s="11" t="n">
        <x:f>IF(D676="Completed",I676,0)</x:f>
        <x:v>0</x:v>
      </x:c>
      <x:c r="S676" s="11" t="n">
        <x:f>IF(D676="Completed",L676,0)</x:f>
        <x:v>0</x:v>
      </x:c>
      <x:c r="T676" s="8" t="n">
        <x:f>DATE(YEAR(C676),MONTH(C676),1)</x:f>
        <x:v>45658</x:v>
      </x:c>
    </x:row>
    <x:row r="677" ht="22" customHeight="1">
      <x:c r="A677" s="2" t="str">
        <x:v>L000673</x:v>
      </x:c>
      <x:c r="B677" s="2" t="str">
        <x:v>O00278</x:v>
      </x:c>
      <x:c r="C677" s="7" t="n">
        <x:v>45962</x:v>
      </x:c>
      <x:c r="D677" s="2" t="str">
        <x:v>Completed</x:v>
      </x:c>
      <x:c r="E677" s="2" t="str">
        <x:v>North</x:v>
      </x:c>
      <x:c r="F677" s="2" t="str">
        <x:v>Online</x:v>
      </x:c>
      <x:c r="G677" s="2" t="str">
        <x:v>Lighting</x:v>
      </x:c>
      <x:c r="H677" s="2" t="str">
        <x:v>Lamp 001</x:v>
      </x:c>
      <x:c r="I677" s="11" t="n">
        <x:v>3</x:v>
      </x:c>
      <x:c r="J677" s="9" t="n">
        <x:v>122</x:v>
      </x:c>
      <x:c r="K677" s="10" t="n">
        <x:v>0.1</x:v>
      </x:c>
      <x:c r="L677" s="11" t="n">
        <x:v>0</x:v>
      </x:c>
      <x:c r="M677" s="9" t="n">
        <x:f>IF(D677="Completed",I677*J677,0)</x:f>
        <x:v>366</x:v>
      </x:c>
      <x:c r="N677" s="9" t="n">
        <x:f>M677*K677</x:f>
        <x:v>36.6</x:v>
      </x:c>
      <x:c r="O677" s="9" t="n">
        <x:f>M677-N677</x:f>
        <x:v>329.4</x:v>
      </x:c>
      <x:c r="P677" s="9" t="n">
        <x:f>IF(D677="Completed",L677*J677*(1-K677),0)</x:f>
        <x:v>0</x:v>
      </x:c>
      <x:c r="Q677" s="9" t="n">
        <x:f>O677-P677</x:f>
        <x:v>329.4</x:v>
      </x:c>
      <x:c r="R677" s="11" t="n">
        <x:f>IF(D677="Completed",I677,0)</x:f>
        <x:v>3</x:v>
      </x:c>
      <x:c r="S677" s="11" t="n">
        <x:f>IF(D677="Completed",L677,0)</x:f>
        <x:v>0</x:v>
      </x:c>
      <x:c r="T677" s="8" t="n">
        <x:f>DATE(YEAR(C677),MONTH(C677),1)</x:f>
        <x:v>45962</x:v>
      </x:c>
    </x:row>
    <x:row r="678" ht="22" customHeight="1">
      <x:c r="A678" s="2" t="str">
        <x:v>L000674</x:v>
      </x:c>
      <x:c r="B678" s="2" t="str">
        <x:v>O00279</x:v>
      </x:c>
      <x:c r="C678" s="7" t="n">
        <x:v>45986</x:v>
      </x:c>
      <x:c r="D678" s="2" t="str">
        <x:v>Completed</x:v>
      </x:c>
      <x:c r="E678" s="2" t="str">
        <x:v>West</x:v>
      </x:c>
      <x:c r="F678" s="2" t="str">
        <x:v>Online</x:v>
      </x:c>
      <x:c r="G678" s="2" t="str">
        <x:v>Lighting</x:v>
      </x:c>
      <x:c r="H678" s="2" t="str">
        <x:v>Lamp 005</x:v>
      </x:c>
      <x:c r="I678" s="11" t="n">
        <x:v>1</x:v>
      </x:c>
      <x:c r="J678" s="9" t="n">
        <x:v>65</x:v>
      </x:c>
      <x:c r="K678" s="10" t="n">
        <x:v>0</x:v>
      </x:c>
      <x:c r="L678" s="11" t="n">
        <x:v>0</x:v>
      </x:c>
      <x:c r="M678" s="9" t="n">
        <x:f>IF(D678="Completed",I678*J678,0)</x:f>
        <x:v>65</x:v>
      </x:c>
      <x:c r="N678" s="9" t="n">
        <x:f>M678*K678</x:f>
        <x:v>0</x:v>
      </x:c>
      <x:c r="O678" s="9" t="n">
        <x:f>M678-N678</x:f>
        <x:v>65</x:v>
      </x:c>
      <x:c r="P678" s="9" t="n">
        <x:f>IF(D678="Completed",L678*J678*(1-K678),0)</x:f>
        <x:v>0</x:v>
      </x:c>
      <x:c r="Q678" s="9" t="n">
        <x:f>O678-P678</x:f>
        <x:v>65</x:v>
      </x:c>
      <x:c r="R678" s="11" t="n">
        <x:f>IF(D678="Completed",I678,0)</x:f>
        <x:v>1</x:v>
      </x:c>
      <x:c r="S678" s="11" t="n">
        <x:f>IF(D678="Completed",L678,0)</x:f>
        <x:v>0</x:v>
      </x:c>
      <x:c r="T678" s="8" t="n">
        <x:f>DATE(YEAR(C678),MONTH(C678),1)</x:f>
        <x:v>45962</x:v>
      </x:c>
    </x:row>
    <x:row r="679" ht="22" customHeight="1">
      <x:c r="A679" s="2" t="str">
        <x:v>L000675</x:v>
      </x:c>
      <x:c r="B679" s="2" t="str">
        <x:v>O00279</x:v>
      </x:c>
      <x:c r="C679" s="7" t="n">
        <x:v>45986</x:v>
      </x:c>
      <x:c r="D679" s="2" t="str">
        <x:v>Completed</x:v>
      </x:c>
      <x:c r="E679" s="2" t="str">
        <x:v>West</x:v>
      </x:c>
      <x:c r="F679" s="2" t="str">
        <x:v>Online</x:v>
      </x:c>
      <x:c r="G679" s="2" t="str">
        <x:v>Furniture</x:v>
      </x:c>
      <x:c r="H679" s="2" t="str">
        <x:v>Desk 004</x:v>
      </x:c>
      <x:c r="I679" s="11" t="n">
        <x:v>1</x:v>
      </x:c>
      <x:c r="J679" s="9" t="n">
        <x:v>123</x:v>
      </x:c>
      <x:c r="K679" s="10" t="n">
        <x:v>0</x:v>
      </x:c>
      <x:c r="L679" s="11" t="n">
        <x:v>0</x:v>
      </x:c>
      <x:c r="M679" s="9" t="n">
        <x:f>IF(D679="Completed",I679*J679,0)</x:f>
        <x:v>123</x:v>
      </x:c>
      <x:c r="N679" s="9" t="n">
        <x:f>M679*K679</x:f>
        <x:v>0</x:v>
      </x:c>
      <x:c r="O679" s="9" t="n">
        <x:f>M679-N679</x:f>
        <x:v>123</x:v>
      </x:c>
      <x:c r="P679" s="9" t="n">
        <x:f>IF(D679="Completed",L679*J679*(1-K679),0)</x:f>
        <x:v>0</x:v>
      </x:c>
      <x:c r="Q679" s="9" t="n">
        <x:f>O679-P679</x:f>
        <x:v>123</x:v>
      </x:c>
      <x:c r="R679" s="11" t="n">
        <x:f>IF(D679="Completed",I679,0)</x:f>
        <x:v>1</x:v>
      </x:c>
      <x:c r="S679" s="11" t="n">
        <x:f>IF(D679="Completed",L679,0)</x:f>
        <x:v>0</x:v>
      </x:c>
      <x:c r="T679" s="8" t="n">
        <x:f>DATE(YEAR(C679),MONTH(C679),1)</x:f>
        <x:v>45962</x:v>
      </x:c>
    </x:row>
    <x:row r="680" ht="22" customHeight="1">
      <x:c r="A680" s="2" t="str">
        <x:v>L000676</x:v>
      </x:c>
      <x:c r="B680" s="2" t="str">
        <x:v>O00279</x:v>
      </x:c>
      <x:c r="C680" s="7" t="n">
        <x:v>45986</x:v>
      </x:c>
      <x:c r="D680" s="2" t="str">
        <x:v>Completed</x:v>
      </x:c>
      <x:c r="E680" s="2" t="str">
        <x:v>West</x:v>
      </x:c>
      <x:c r="F680" s="2" t="str">
        <x:v>Online</x:v>
      </x:c>
      <x:c r="G680" s="2" t="str">
        <x:v>Furniture</x:v>
      </x:c>
      <x:c r="H680" s="2" t="str">
        <x:v>Chair 006</x:v>
      </x:c>
      <x:c r="I680" s="11" t="n">
        <x:v>4</x:v>
      </x:c>
      <x:c r="J680" s="9" t="n">
        <x:v>196</x:v>
      </x:c>
      <x:c r="K680" s="10" t="n">
        <x:v>0</x:v>
      </x:c>
      <x:c r="L680" s="11" t="n">
        <x:v>0</x:v>
      </x:c>
      <x:c r="M680" s="9" t="n">
        <x:f>IF(D680="Completed",I680*J680,0)</x:f>
        <x:v>784</x:v>
      </x:c>
      <x:c r="N680" s="9" t="n">
        <x:f>M680*K680</x:f>
        <x:v>0</x:v>
      </x:c>
      <x:c r="O680" s="9" t="n">
        <x:f>M680-N680</x:f>
        <x:v>784</x:v>
      </x:c>
      <x:c r="P680" s="9" t="n">
        <x:f>IF(D680="Completed",L680*J680*(1-K680),0)</x:f>
        <x:v>0</x:v>
      </x:c>
      <x:c r="Q680" s="9" t="n">
        <x:f>O680-P680</x:f>
        <x:v>784</x:v>
      </x:c>
      <x:c r="R680" s="11" t="n">
        <x:f>IF(D680="Completed",I680,0)</x:f>
        <x:v>4</x:v>
      </x:c>
      <x:c r="S680" s="11" t="n">
        <x:f>IF(D680="Completed",L680,0)</x:f>
        <x:v>0</x:v>
      </x:c>
      <x:c r="T680" s="8" t="n">
        <x:f>DATE(YEAR(C680),MONTH(C680),1)</x:f>
        <x:v>45962</x:v>
      </x:c>
    </x:row>
    <x:row r="681" ht="22" customHeight="1">
      <x:c r="A681" s="2" t="str">
        <x:v>L000677</x:v>
      </x:c>
      <x:c r="B681" s="2" t="str">
        <x:v>O00280</x:v>
      </x:c>
      <x:c r="C681" s="7" t="n">
        <x:v>45877</x:v>
      </x:c>
      <x:c r="D681" s="2" t="str">
        <x:v>Completed</x:v>
      </x:c>
      <x:c r="E681" s="2" t="str">
        <x:v>South</x:v>
      </x:c>
      <x:c r="F681" s="2" t="str">
        <x:v>Store</x:v>
      </x:c>
      <x:c r="G681" s="2" t="str">
        <x:v>Furniture</x:v>
      </x:c>
      <x:c r="H681" s="2" t="str">
        <x:v>Chair 006</x:v>
      </x:c>
      <x:c r="I681" s="11" t="n">
        <x:v>3</x:v>
      </x:c>
      <x:c r="J681" s="9" t="n">
        <x:v>196</x:v>
      </x:c>
      <x:c r="K681" s="10" t="n">
        <x:v>0.2</x:v>
      </x:c>
      <x:c r="L681" s="11" t="n">
        <x:v>1</x:v>
      </x:c>
      <x:c r="M681" s="9" t="n">
        <x:f>IF(D681="Completed",I681*J681,0)</x:f>
        <x:v>588</x:v>
      </x:c>
      <x:c r="N681" s="9" t="n">
        <x:f>M681*K681</x:f>
        <x:v>117.60000000000001</x:v>
      </x:c>
      <x:c r="O681" s="9" t="n">
        <x:f>M681-N681</x:f>
        <x:v>470.4</x:v>
      </x:c>
      <x:c r="P681" s="9" t="n">
        <x:f>IF(D681="Completed",L681*J681*(1-K681),0)</x:f>
        <x:v>156.8</x:v>
      </x:c>
      <x:c r="Q681" s="9" t="n">
        <x:f>O681-P681</x:f>
        <x:v>313.59999999999997</x:v>
      </x:c>
      <x:c r="R681" s="11" t="n">
        <x:f>IF(D681="Completed",I681,0)</x:f>
        <x:v>3</x:v>
      </x:c>
      <x:c r="S681" s="11" t="n">
        <x:f>IF(D681="Completed",L681,0)</x:f>
        <x:v>1</x:v>
      </x:c>
      <x:c r="T681" s="8" t="n">
        <x:f>DATE(YEAR(C681),MONTH(C681),1)</x:f>
        <x:v>45870</x:v>
      </x:c>
    </x:row>
    <x:row r="682" ht="22" customHeight="1">
      <x:c r="A682" s="2" t="str">
        <x:v>L000678</x:v>
      </x:c>
      <x:c r="B682" s="2" t="str">
        <x:v>O00281</x:v>
      </x:c>
      <x:c r="C682" s="7" t="n">
        <x:v>45927</x:v>
      </x:c>
      <x:c r="D682" s="2" t="str">
        <x:v>Completed</x:v>
      </x:c>
      <x:c r="E682" s="2" t="str">
        <x:v>East</x:v>
      </x:c>
      <x:c r="F682" s="2" t="str">
        <x:v>Store</x:v>
      </x:c>
      <x:c r="G682" s="2" t="str">
        <x:v>Furniture</x:v>
      </x:c>
      <x:c r="H682" s="2" t="str">
        <x:v>Chair 018</x:v>
      </x:c>
      <x:c r="I682" s="11" t="n">
        <x:v>4</x:v>
      </x:c>
      <x:c r="J682" s="9" t="n">
        <x:v>269</x:v>
      </x:c>
      <x:c r="K682" s="10" t="n">
        <x:v>0</x:v>
      </x:c>
      <x:c r="L682" s="11" t="n">
        <x:v>0</x:v>
      </x:c>
      <x:c r="M682" s="9" t="n">
        <x:f>IF(D682="Completed",I682*J682,0)</x:f>
        <x:v>1076</x:v>
      </x:c>
      <x:c r="N682" s="9" t="n">
        <x:f>M682*K682</x:f>
        <x:v>0</x:v>
      </x:c>
      <x:c r="O682" s="9" t="n">
        <x:f>M682-N682</x:f>
        <x:v>1076</x:v>
      </x:c>
      <x:c r="P682" s="9" t="n">
        <x:f>IF(D682="Completed",L682*J682*(1-K682),0)</x:f>
        <x:v>0</x:v>
      </x:c>
      <x:c r="Q682" s="9" t="n">
        <x:f>O682-P682</x:f>
        <x:v>1076</x:v>
      </x:c>
      <x:c r="R682" s="11" t="n">
        <x:f>IF(D682="Completed",I682,0)</x:f>
        <x:v>4</x:v>
      </x:c>
      <x:c r="S682" s="11" t="n">
        <x:f>IF(D682="Completed",L682,0)</x:f>
        <x:v>0</x:v>
      </x:c>
      <x:c r="T682" s="8" t="n">
        <x:f>DATE(YEAR(C682),MONTH(C682),1)</x:f>
        <x:v>45901</x:v>
      </x:c>
    </x:row>
    <x:row r="683" ht="22" customHeight="1">
      <x:c r="A683" s="2" t="str">
        <x:v>L000679</x:v>
      </x:c>
      <x:c r="B683" s="2" t="str">
        <x:v>O00281</x:v>
      </x:c>
      <x:c r="C683" s="7" t="n">
        <x:v>45927</x:v>
      </x:c>
      <x:c r="D683" s="2" t="str">
        <x:v>Completed</x:v>
      </x:c>
      <x:c r="E683" s="2" t="str">
        <x:v>East</x:v>
      </x:c>
      <x:c r="F683" s="2" t="str">
        <x:v>Store</x:v>
      </x:c>
      <x:c r="G683" s="2" t="str">
        <x:v>Lighting</x:v>
      </x:c>
      <x:c r="H683" s="2" t="str">
        <x:v>Lamp 001</x:v>
      </x:c>
      <x:c r="I683" s="11" t="n">
        <x:v>4</x:v>
      </x:c>
      <x:c r="J683" s="9" t="n">
        <x:v>122</x:v>
      </x:c>
      <x:c r="K683" s="10" t="n">
        <x:v>0.05</x:v>
      </x:c>
      <x:c r="L683" s="11" t="n">
        <x:v>0</x:v>
      </x:c>
      <x:c r="M683" s="9" t="n">
        <x:f>IF(D683="Completed",I683*J683,0)</x:f>
        <x:v>488</x:v>
      </x:c>
      <x:c r="N683" s="9" t="n">
        <x:f>M683*K683</x:f>
        <x:v>24.400000000000002</x:v>
      </x:c>
      <x:c r="O683" s="9" t="n">
        <x:f>M683-N683</x:f>
        <x:v>463.6</x:v>
      </x:c>
      <x:c r="P683" s="9" t="n">
        <x:f>IF(D683="Completed",L683*J683*(1-K683),0)</x:f>
        <x:v>0</x:v>
      </x:c>
      <x:c r="Q683" s="9" t="n">
        <x:f>O683-P683</x:f>
        <x:v>463.6</x:v>
      </x:c>
      <x:c r="R683" s="11" t="n">
        <x:f>IF(D683="Completed",I683,0)</x:f>
        <x:v>4</x:v>
      </x:c>
      <x:c r="S683" s="11" t="n">
        <x:f>IF(D683="Completed",L683,0)</x:f>
        <x:v>0</x:v>
      </x:c>
      <x:c r="T683" s="8" t="n">
        <x:f>DATE(YEAR(C683),MONTH(C683),1)</x:f>
        <x:v>45901</x:v>
      </x:c>
    </x:row>
    <x:row r="684" ht="22" customHeight="1">
      <x:c r="A684" s="2" t="str">
        <x:v>L000680</x:v>
      </x:c>
      <x:c r="B684" s="2" t="str">
        <x:v>O00282</x:v>
      </x:c>
      <x:c r="C684" s="7" t="n">
        <x:v>45835</x:v>
      </x:c>
      <x:c r="D684" s="2" t="str">
        <x:v>Completed</x:v>
      </x:c>
      <x:c r="E684" s="2" t="str">
        <x:v>West</x:v>
      </x:c>
      <x:c r="F684" s="2" t="str">
        <x:v>Online</x:v>
      </x:c>
      <x:c r="G684" s="2" t="str">
        <x:v>Furniture</x:v>
      </x:c>
      <x:c r="H684" s="2" t="str">
        <x:v>Chair 022</x:v>
      </x:c>
      <x:c r="I684" s="11" t="n">
        <x:v>1</x:v>
      </x:c>
      <x:c r="J684" s="9" t="n">
        <x:v>134</x:v>
      </x:c>
      <x:c r="K684" s="10" t="n">
        <x:v>0.1</x:v>
      </x:c>
      <x:c r="L684" s="11" t="n">
        <x:v>0</x:v>
      </x:c>
      <x:c r="M684" s="9" t="n">
        <x:f>IF(D684="Completed",I684*J684,0)</x:f>
        <x:v>134</x:v>
      </x:c>
      <x:c r="N684" s="9" t="n">
        <x:f>M684*K684</x:f>
        <x:v>13.4</x:v>
      </x:c>
      <x:c r="O684" s="9" t="n">
        <x:f>M684-N684</x:f>
        <x:v>120.6</x:v>
      </x:c>
      <x:c r="P684" s="9" t="n">
        <x:f>IF(D684="Completed",L684*J684*(1-K684),0)</x:f>
        <x:v>0</x:v>
      </x:c>
      <x:c r="Q684" s="9" t="n">
        <x:f>O684-P684</x:f>
        <x:v>120.6</x:v>
      </x:c>
      <x:c r="R684" s="11" t="n">
        <x:f>IF(D684="Completed",I684,0)</x:f>
        <x:v>1</x:v>
      </x:c>
      <x:c r="S684" s="11" t="n">
        <x:f>IF(D684="Completed",L684,0)</x:f>
        <x:v>0</x:v>
      </x:c>
      <x:c r="T684" s="8" t="n">
        <x:f>DATE(YEAR(C684),MONTH(C684),1)</x:f>
        <x:v>45809</x:v>
      </x:c>
    </x:row>
    <x:row r="685" ht="22" customHeight="1">
      <x:c r="A685" s="2" t="str">
        <x:v>L000681</x:v>
      </x:c>
      <x:c r="B685" s="2" t="str">
        <x:v>O00282</x:v>
      </x:c>
      <x:c r="C685" s="7" t="n">
        <x:v>45835</x:v>
      </x:c>
      <x:c r="D685" s="2" t="str">
        <x:v>Completed</x:v>
      </x:c>
      <x:c r="E685" s="2" t="str">
        <x:v>West</x:v>
      </x:c>
      <x:c r="F685" s="2" t="str">
        <x:v>Online</x:v>
      </x:c>
      <x:c r="G685" s="2" t="str">
        <x:v>Storage</x:v>
      </x:c>
      <x:c r="H685" s="2" t="str">
        <x:v>Shelf 019</x:v>
      </x:c>
      <x:c r="I685" s="11" t="n">
        <x:v>2</x:v>
      </x:c>
      <x:c r="J685" s="9" t="n">
        <x:v>78</x:v>
      </x:c>
      <x:c r="K685" s="10" t="n">
        <x:v>0.2</x:v>
      </x:c>
      <x:c r="L685" s="11" t="n">
        <x:v>0</x:v>
      </x:c>
      <x:c r="M685" s="9" t="n">
        <x:f>IF(D685="Completed",I685*J685,0)</x:f>
        <x:v>156</x:v>
      </x:c>
      <x:c r="N685" s="9" t="n">
        <x:f>M685*K685</x:f>
        <x:v>31.200000000000003</x:v>
      </x:c>
      <x:c r="O685" s="9" t="n">
        <x:f>M685-N685</x:f>
        <x:v>124.8</x:v>
      </x:c>
      <x:c r="P685" s="9" t="n">
        <x:f>IF(D685="Completed",L685*J685*(1-K685),0)</x:f>
        <x:v>0</x:v>
      </x:c>
      <x:c r="Q685" s="9" t="n">
        <x:f>O685-P685</x:f>
        <x:v>124.8</x:v>
      </x:c>
      <x:c r="R685" s="11" t="n">
        <x:f>IF(D685="Completed",I685,0)</x:f>
        <x:v>2</x:v>
      </x:c>
      <x:c r="S685" s="11" t="n">
        <x:f>IF(D685="Completed",L685,0)</x:f>
        <x:v>0</x:v>
      </x:c>
      <x:c r="T685" s="8" t="n">
        <x:f>DATE(YEAR(C685),MONTH(C685),1)</x:f>
        <x:v>45809</x:v>
      </x:c>
    </x:row>
    <x:row r="686" ht="22" customHeight="1">
      <x:c r="A686" s="2" t="str">
        <x:v>L000682</x:v>
      </x:c>
      <x:c r="B686" s="2" t="str">
        <x:v>O00283</x:v>
      </x:c>
      <x:c r="C686" s="7" t="n">
        <x:v>46019</x:v>
      </x:c>
      <x:c r="D686" s="2" t="str">
        <x:v>Completed</x:v>
      </x:c>
      <x:c r="E686" s="2" t="str">
        <x:v>West</x:v>
      </x:c>
      <x:c r="F686" s="2" t="str">
        <x:v>Online</x:v>
      </x:c>
      <x:c r="G686" s="2" t="str">
        <x:v>Furniture</x:v>
      </x:c>
      <x:c r="H686" s="2" t="str">
        <x:v>Desk 020</x:v>
      </x:c>
      <x:c r="I686" s="11" t="n">
        <x:v>4</x:v>
      </x:c>
      <x:c r="J686" s="9" t="n">
        <x:v>189</x:v>
      </x:c>
      <x:c r="K686" s="10" t="n">
        <x:v>0.1</x:v>
      </x:c>
      <x:c r="L686" s="11" t="n">
        <x:v>0</x:v>
      </x:c>
      <x:c r="M686" s="9" t="n">
        <x:f>IF(D686="Completed",I686*J686,0)</x:f>
        <x:v>756</x:v>
      </x:c>
      <x:c r="N686" s="9" t="n">
        <x:f>M686*K686</x:f>
        <x:v>75.60000000000001</x:v>
      </x:c>
      <x:c r="O686" s="9" t="n">
        <x:f>M686-N686</x:f>
        <x:v>680.4</x:v>
      </x:c>
      <x:c r="P686" s="9" t="n">
        <x:f>IF(D686="Completed",L686*J686*(1-K686),0)</x:f>
        <x:v>0</x:v>
      </x:c>
      <x:c r="Q686" s="9" t="n">
        <x:f>O686-P686</x:f>
        <x:v>680.4</x:v>
      </x:c>
      <x:c r="R686" s="11" t="n">
        <x:f>IF(D686="Completed",I686,0)</x:f>
        <x:v>4</x:v>
      </x:c>
      <x:c r="S686" s="11" t="n">
        <x:f>IF(D686="Completed",L686,0)</x:f>
        <x:v>0</x:v>
      </x:c>
      <x:c r="T686" s="8" t="n">
        <x:f>DATE(YEAR(C686),MONTH(C686),1)</x:f>
        <x:v>45992</x:v>
      </x:c>
    </x:row>
    <x:row r="687" ht="22" customHeight="1">
      <x:c r="A687" s="2" t="str">
        <x:v>L000683</x:v>
      </x:c>
      <x:c r="B687" s="2" t="str">
        <x:v>O00283</x:v>
      </x:c>
      <x:c r="C687" s="7" t="n">
        <x:v>46019</x:v>
      </x:c>
      <x:c r="D687" s="2" t="str">
        <x:v>Completed</x:v>
      </x:c>
      <x:c r="E687" s="2" t="str">
        <x:v>West</x:v>
      </x:c>
      <x:c r="F687" s="2" t="str">
        <x:v>Online</x:v>
      </x:c>
      <x:c r="G687" s="2" t="str">
        <x:v>Furniture</x:v>
      </x:c>
      <x:c r="H687" s="2" t="str">
        <x:v>Chair 010</x:v>
      </x:c>
      <x:c r="I687" s="11" t="n">
        <x:v>5</x:v>
      </x:c>
      <x:c r="J687" s="9" t="n">
        <x:v>211</x:v>
      </x:c>
      <x:c r="K687" s="10" t="n">
        <x:v>0.1</x:v>
      </x:c>
      <x:c r="L687" s="11" t="n">
        <x:v>0</x:v>
      </x:c>
      <x:c r="M687" s="9" t="n">
        <x:f>IF(D687="Completed",I687*J687,0)</x:f>
        <x:v>1055</x:v>
      </x:c>
      <x:c r="N687" s="9" t="n">
        <x:f>M687*K687</x:f>
        <x:v>105.5</x:v>
      </x:c>
      <x:c r="O687" s="9" t="n">
        <x:f>M687-N687</x:f>
        <x:v>949.5</x:v>
      </x:c>
      <x:c r="P687" s="9" t="n">
        <x:f>IF(D687="Completed",L687*J687*(1-K687),0)</x:f>
        <x:v>0</x:v>
      </x:c>
      <x:c r="Q687" s="9" t="n">
        <x:f>O687-P687</x:f>
        <x:v>949.5</x:v>
      </x:c>
      <x:c r="R687" s="11" t="n">
        <x:f>IF(D687="Completed",I687,0)</x:f>
        <x:v>5</x:v>
      </x:c>
      <x:c r="S687" s="11" t="n">
        <x:f>IF(D687="Completed",L687,0)</x:f>
        <x:v>0</x:v>
      </x:c>
      <x:c r="T687" s="8" t="n">
        <x:f>DATE(YEAR(C687),MONTH(C687),1)</x:f>
        <x:v>45992</x:v>
      </x:c>
    </x:row>
    <x:row r="688" ht="22" customHeight="1">
      <x:c r="A688" s="2" t="str">
        <x:v>L000684</x:v>
      </x:c>
      <x:c r="B688" s="2" t="str">
        <x:v>O00284</x:v>
      </x:c>
      <x:c r="C688" s="7" t="n">
        <x:v>45680</x:v>
      </x:c>
      <x:c r="D688" s="2" t="str">
        <x:v>Completed</x:v>
      </x:c>
      <x:c r="E688" s="2" t="str">
        <x:v>North</x:v>
      </x:c>
      <x:c r="F688" s="2" t="str">
        <x:v>Online</x:v>
      </x:c>
      <x:c r="G688" s="2" t="str">
        <x:v>Furniture</x:v>
      </x:c>
      <x:c r="H688" s="2" t="str">
        <x:v>Desk 008</x:v>
      </x:c>
      <x:c r="I688" s="11" t="n">
        <x:v>5</x:v>
      </x:c>
      <x:c r="J688" s="9" t="n">
        <x:v>188</x:v>
      </x:c>
      <x:c r="K688" s="10" t="n">
        <x:v>0.2</x:v>
      </x:c>
      <x:c r="L688" s="11" t="n">
        <x:v>0</x:v>
      </x:c>
      <x:c r="M688" s="9" t="n">
        <x:f>IF(D688="Completed",I688*J688,0)</x:f>
        <x:v>940</x:v>
      </x:c>
      <x:c r="N688" s="9" t="n">
        <x:f>M688*K688</x:f>
        <x:v>188</x:v>
      </x:c>
      <x:c r="O688" s="9" t="n">
        <x:f>M688-N688</x:f>
        <x:v>752</x:v>
      </x:c>
      <x:c r="P688" s="9" t="n">
        <x:f>IF(D688="Completed",L688*J688*(1-K688),0)</x:f>
        <x:v>0</x:v>
      </x:c>
      <x:c r="Q688" s="9" t="n">
        <x:f>O688-P688</x:f>
        <x:v>752</x:v>
      </x:c>
      <x:c r="R688" s="11" t="n">
        <x:f>IF(D688="Completed",I688,0)</x:f>
        <x:v>5</x:v>
      </x:c>
      <x:c r="S688" s="11" t="n">
        <x:f>IF(D688="Completed",L688,0)</x:f>
        <x:v>0</x:v>
      </x:c>
      <x:c r="T688" s="8" t="n">
        <x:f>DATE(YEAR(C688),MONTH(C688),1)</x:f>
        <x:v>45658</x:v>
      </x:c>
    </x:row>
    <x:row r="689" ht="22" customHeight="1">
      <x:c r="A689" s="2" t="str">
        <x:v>L000685</x:v>
      </x:c>
      <x:c r="B689" s="2" t="str">
        <x:v>O00284</x:v>
      </x:c>
      <x:c r="C689" s="7" t="n">
        <x:v>45680</x:v>
      </x:c>
      <x:c r="D689" s="2" t="str">
        <x:v>Completed</x:v>
      </x:c>
      <x:c r="E689" s="2" t="str">
        <x:v>North</x:v>
      </x:c>
      <x:c r="F689" s="2" t="str">
        <x:v>Online</x:v>
      </x:c>
      <x:c r="G689" s="2" t="str">
        <x:v>Storage</x:v>
      </x:c>
      <x:c r="H689" s="2" t="str">
        <x:v>Shelf 003</x:v>
      </x:c>
      <x:c r="I689" s="11" t="n">
        <x:v>3</x:v>
      </x:c>
      <x:c r="J689" s="9" t="n">
        <x:v>199</x:v>
      </x:c>
      <x:c r="K689" s="10" t="n">
        <x:v>0.1</x:v>
      </x:c>
      <x:c r="L689" s="11" t="n">
        <x:v>0</x:v>
      </x:c>
      <x:c r="M689" s="9" t="n">
        <x:f>IF(D689="Completed",I689*J689,0)</x:f>
        <x:v>597</x:v>
      </x:c>
      <x:c r="N689" s="9" t="n">
        <x:f>M689*K689</x:f>
        <x:v>59.7</x:v>
      </x:c>
      <x:c r="O689" s="9" t="n">
        <x:f>M689-N689</x:f>
        <x:v>537.3</x:v>
      </x:c>
      <x:c r="P689" s="9" t="n">
        <x:f>IF(D689="Completed",L689*J689*(1-K689),0)</x:f>
        <x:v>0</x:v>
      </x:c>
      <x:c r="Q689" s="9" t="n">
        <x:f>O689-P689</x:f>
        <x:v>537.3</x:v>
      </x:c>
      <x:c r="R689" s="11" t="n">
        <x:f>IF(D689="Completed",I689,0)</x:f>
        <x:v>3</x:v>
      </x:c>
      <x:c r="S689" s="11" t="n">
        <x:f>IF(D689="Completed",L689,0)</x:f>
        <x:v>0</x:v>
      </x:c>
      <x:c r="T689" s="8" t="n">
        <x:f>DATE(YEAR(C689),MONTH(C689),1)</x:f>
        <x:v>45658</x:v>
      </x:c>
    </x:row>
    <x:row r="690" ht="22" customHeight="1">
      <x:c r="A690" s="2" t="str">
        <x:v>L000686</x:v>
      </x:c>
      <x:c r="B690" s="2" t="str">
        <x:v>O00285</x:v>
      </x:c>
      <x:c r="C690" s="7" t="n">
        <x:v>45844</x:v>
      </x:c>
      <x:c r="D690" s="2" t="str">
        <x:v>Completed</x:v>
      </x:c>
      <x:c r="E690" s="2" t="str">
        <x:v>West</x:v>
      </x:c>
      <x:c r="F690" s="2" t="str">
        <x:v>Store</x:v>
      </x:c>
      <x:c r="G690" s="2" t="str">
        <x:v>Furniture</x:v>
      </x:c>
      <x:c r="H690" s="2" t="str">
        <x:v>Chair 018</x:v>
      </x:c>
      <x:c r="I690" s="11" t="n">
        <x:v>3</x:v>
      </x:c>
      <x:c r="J690" s="9" t="n">
        <x:v>269</x:v>
      </x:c>
      <x:c r="K690" s="10" t="n">
        <x:v>0.05</x:v>
      </x:c>
      <x:c r="L690" s="11" t="n">
        <x:v>0</x:v>
      </x:c>
      <x:c r="M690" s="9" t="n">
        <x:f>IF(D690="Completed",I690*J690,0)</x:f>
        <x:v>807</x:v>
      </x:c>
      <x:c r="N690" s="9" t="n">
        <x:f>M690*K690</x:f>
        <x:v>40.35</x:v>
      </x:c>
      <x:c r="O690" s="9" t="n">
        <x:f>M690-N690</x:f>
        <x:v>766.65</x:v>
      </x:c>
      <x:c r="P690" s="9" t="n">
        <x:f>IF(D690="Completed",L690*J690*(1-K690),0)</x:f>
        <x:v>0</x:v>
      </x:c>
      <x:c r="Q690" s="9" t="n">
        <x:f>O690-P690</x:f>
        <x:v>766.65</x:v>
      </x:c>
      <x:c r="R690" s="11" t="n">
        <x:f>IF(D690="Completed",I690,0)</x:f>
        <x:v>3</x:v>
      </x:c>
      <x:c r="S690" s="11" t="n">
        <x:f>IF(D690="Completed",L690,0)</x:f>
        <x:v>0</x:v>
      </x:c>
      <x:c r="T690" s="8" t="n">
        <x:f>DATE(YEAR(C690),MONTH(C690),1)</x:f>
        <x:v>45839</x:v>
      </x:c>
    </x:row>
    <x:row r="691" ht="22" customHeight="1">
      <x:c r="A691" s="2" t="str">
        <x:v>L000687</x:v>
      </x:c>
      <x:c r="B691" s="2" t="str">
        <x:v>O00285</x:v>
      </x:c>
      <x:c r="C691" s="7" t="n">
        <x:v>45844</x:v>
      </x:c>
      <x:c r="D691" s="2" t="str">
        <x:v>Completed</x:v>
      </x:c>
      <x:c r="E691" s="2" t="str">
        <x:v>West</x:v>
      </x:c>
      <x:c r="F691" s="2" t="str">
        <x:v>Store</x:v>
      </x:c>
      <x:c r="G691" s="2" t="str">
        <x:v>Furniture</x:v>
      </x:c>
      <x:c r="H691" s="2" t="str">
        <x:v>Desk 016</x:v>
      </x:c>
      <x:c r="I691" s="11" t="n">
        <x:v>4</x:v>
      </x:c>
      <x:c r="J691" s="9" t="n">
        <x:v>231</x:v>
      </x:c>
      <x:c r="K691" s="10" t="n">
        <x:v>0.2</x:v>
      </x:c>
      <x:c r="L691" s="11" t="n">
        <x:v>1</x:v>
      </x:c>
      <x:c r="M691" s="9" t="n">
        <x:f>IF(D691="Completed",I691*J691,0)</x:f>
        <x:v>924</x:v>
      </x:c>
      <x:c r="N691" s="9" t="n">
        <x:f>M691*K691</x:f>
        <x:v>184.8</x:v>
      </x:c>
      <x:c r="O691" s="9" t="n">
        <x:f>M691-N691</x:f>
        <x:v>739.2</x:v>
      </x:c>
      <x:c r="P691" s="9" t="n">
        <x:f>IF(D691="Completed",L691*J691*(1-K691),0)</x:f>
        <x:v>184.8</x:v>
      </x:c>
      <x:c r="Q691" s="9" t="n">
        <x:f>O691-P691</x:f>
        <x:v>554.4000000000001</x:v>
      </x:c>
      <x:c r="R691" s="11" t="n">
        <x:f>IF(D691="Completed",I691,0)</x:f>
        <x:v>4</x:v>
      </x:c>
      <x:c r="S691" s="11" t="n">
        <x:f>IF(D691="Completed",L691,0)</x:f>
        <x:v>1</x:v>
      </x:c>
      <x:c r="T691" s="8" t="n">
        <x:f>DATE(YEAR(C691),MONTH(C691),1)</x:f>
        <x:v>45839</x:v>
      </x:c>
    </x:row>
    <x:row r="692" ht="22" customHeight="1">
      <x:c r="A692" s="2" t="str">
        <x:v>L000688</x:v>
      </x:c>
      <x:c r="B692" s="2" t="str">
        <x:v>O00285</x:v>
      </x:c>
      <x:c r="C692" s="7" t="n">
        <x:v>45844</x:v>
      </x:c>
      <x:c r="D692" s="2" t="str">
        <x:v>Completed</x:v>
      </x:c>
      <x:c r="E692" s="2" t="str">
        <x:v>West</x:v>
      </x:c>
      <x:c r="F692" s="2" t="str">
        <x:v>Store</x:v>
      </x:c>
      <x:c r="G692" s="2" t="str">
        <x:v>Furniture</x:v>
      </x:c>
      <x:c r="H692" s="2" t="str">
        <x:v>Chair 002</x:v>
      </x:c>
      <x:c r="I692" s="11" t="n">
        <x:v>2</x:v>
      </x:c>
      <x:c r="J692" s="9" t="n">
        <x:v>284</x:v>
      </x:c>
      <x:c r="K692" s="10" t="n">
        <x:v>0</x:v>
      </x:c>
      <x:c r="L692" s="11" t="n">
        <x:v>0</x:v>
      </x:c>
      <x:c r="M692" s="9" t="n">
        <x:f>IF(D692="Completed",I692*J692,0)</x:f>
        <x:v>568</x:v>
      </x:c>
      <x:c r="N692" s="9" t="n">
        <x:f>M692*K692</x:f>
        <x:v>0</x:v>
      </x:c>
      <x:c r="O692" s="9" t="n">
        <x:f>M692-N692</x:f>
        <x:v>568</x:v>
      </x:c>
      <x:c r="P692" s="9" t="n">
        <x:f>IF(D692="Completed",L692*J692*(1-K692),0)</x:f>
        <x:v>0</x:v>
      </x:c>
      <x:c r="Q692" s="9" t="n">
        <x:f>O692-P692</x:f>
        <x:v>568</x:v>
      </x:c>
      <x:c r="R692" s="11" t="n">
        <x:f>IF(D692="Completed",I692,0)</x:f>
        <x:v>2</x:v>
      </x:c>
      <x:c r="S692" s="11" t="n">
        <x:f>IF(D692="Completed",L692,0)</x:f>
        <x:v>0</x:v>
      </x:c>
      <x:c r="T692" s="8" t="n">
        <x:f>DATE(YEAR(C692),MONTH(C692),1)</x:f>
        <x:v>45839</x:v>
      </x:c>
    </x:row>
    <x:row r="693" ht="22" customHeight="1">
      <x:c r="A693" s="2" t="str">
        <x:v>L000689</x:v>
      </x:c>
      <x:c r="B693" s="2" t="str">
        <x:v>O00285</x:v>
      </x:c>
      <x:c r="C693" s="7" t="n">
        <x:v>45844</x:v>
      </x:c>
      <x:c r="D693" s="2" t="str">
        <x:v>Completed</x:v>
      </x:c>
      <x:c r="E693" s="2" t="str">
        <x:v>West</x:v>
      </x:c>
      <x:c r="F693" s="2" t="str">
        <x:v>Store</x:v>
      </x:c>
      <x:c r="G693" s="2" t="str">
        <x:v>Lighting</x:v>
      </x:c>
      <x:c r="H693" s="2" t="str">
        <x:v>Lamp 021</x:v>
      </x:c>
      <x:c r="I693" s="11" t="n">
        <x:v>2</x:v>
      </x:c>
      <x:c r="J693" s="9" t="n">
        <x:v>249</x:v>
      </x:c>
      <x:c r="K693" s="10" t="n">
        <x:v>0.1</x:v>
      </x:c>
      <x:c r="L693" s="11" t="n">
        <x:v>0</x:v>
      </x:c>
      <x:c r="M693" s="9" t="n">
        <x:f>IF(D693="Completed",I693*J693,0)</x:f>
        <x:v>498</x:v>
      </x:c>
      <x:c r="N693" s="9" t="n">
        <x:f>M693*K693</x:f>
        <x:v>49.800000000000004</x:v>
      </x:c>
      <x:c r="O693" s="9" t="n">
        <x:f>M693-N693</x:f>
        <x:v>448.2</x:v>
      </x:c>
      <x:c r="P693" s="9" t="n">
        <x:f>IF(D693="Completed",L693*J693*(1-K693),0)</x:f>
        <x:v>0</x:v>
      </x:c>
      <x:c r="Q693" s="9" t="n">
        <x:f>O693-P693</x:f>
        <x:v>448.2</x:v>
      </x:c>
      <x:c r="R693" s="11" t="n">
        <x:f>IF(D693="Completed",I693,0)</x:f>
        <x:v>2</x:v>
      </x:c>
      <x:c r="S693" s="11" t="n">
        <x:f>IF(D693="Completed",L693,0)</x:f>
        <x:v>0</x:v>
      </x:c>
      <x:c r="T693" s="8" t="n">
        <x:f>DATE(YEAR(C693),MONTH(C693),1)</x:f>
        <x:v>45839</x:v>
      </x:c>
    </x:row>
    <x:row r="694" ht="22" customHeight="1">
      <x:c r="A694" s="2" t="str">
        <x:v>L000690</x:v>
      </x:c>
      <x:c r="B694" s="2" t="str">
        <x:v>O00286</x:v>
      </x:c>
      <x:c r="C694" s="7" t="n">
        <x:v>45878</x:v>
      </x:c>
      <x:c r="D694" s="2" t="str">
        <x:v>Completed</x:v>
      </x:c>
      <x:c r="E694" s="2" t="str">
        <x:v>East</x:v>
      </x:c>
      <x:c r="F694" s="2" t="str">
        <x:v>Online</x:v>
      </x:c>
      <x:c r="G694" s="2" t="str">
        <x:v>Furniture</x:v>
      </x:c>
      <x:c r="H694" s="2" t="str">
        <x:v>Chair 014</x:v>
      </x:c>
      <x:c r="I694" s="11" t="n">
        <x:v>2</x:v>
      </x:c>
      <x:c r="J694" s="9" t="n">
        <x:v>294</x:v>
      </x:c>
      <x:c r="K694" s="10" t="n">
        <x:v>0.1</x:v>
      </x:c>
      <x:c r="L694" s="11" t="n">
        <x:v>0</x:v>
      </x:c>
      <x:c r="M694" s="9" t="n">
        <x:f>IF(D694="Completed",I694*J694,0)</x:f>
        <x:v>588</x:v>
      </x:c>
      <x:c r="N694" s="9" t="n">
        <x:f>M694*K694</x:f>
        <x:v>58.800000000000004</x:v>
      </x:c>
      <x:c r="O694" s="9" t="n">
        <x:f>M694-N694</x:f>
        <x:v>529.2</x:v>
      </x:c>
      <x:c r="P694" s="9" t="n">
        <x:f>IF(D694="Completed",L694*J694*(1-K694),0)</x:f>
        <x:v>0</x:v>
      </x:c>
      <x:c r="Q694" s="9" t="n">
        <x:f>O694-P694</x:f>
        <x:v>529.2</x:v>
      </x:c>
      <x:c r="R694" s="11" t="n">
        <x:f>IF(D694="Completed",I694,0)</x:f>
        <x:v>2</x:v>
      </x:c>
      <x:c r="S694" s="11" t="n">
        <x:f>IF(D694="Completed",L694,0)</x:f>
        <x:v>0</x:v>
      </x:c>
      <x:c r="T694" s="8" t="n">
        <x:f>DATE(YEAR(C694),MONTH(C694),1)</x:f>
        <x:v>45870</x:v>
      </x:c>
    </x:row>
    <x:row r="695" ht="22" customHeight="1">
      <x:c r="A695" s="2" t="str">
        <x:v>L000691</x:v>
      </x:c>
      <x:c r="B695" s="2" t="str">
        <x:v>O00287</x:v>
      </x:c>
      <x:c r="C695" s="7" t="n">
        <x:v>45969</x:v>
      </x:c>
      <x:c r="D695" s="2" t="str">
        <x:v>Completed</x:v>
      </x:c>
      <x:c r="E695" s="2" t="str">
        <x:v>North</x:v>
      </x:c>
      <x:c r="F695" s="2" t="str">
        <x:v>Online</x:v>
      </x:c>
      <x:c r="G695" s="2" t="str">
        <x:v>Furniture</x:v>
      </x:c>
      <x:c r="H695" s="2" t="str">
        <x:v>Chair 010</x:v>
      </x:c>
      <x:c r="I695" s="11" t="n">
        <x:v>5</x:v>
      </x:c>
      <x:c r="J695" s="9" t="n">
        <x:v>211</x:v>
      </x:c>
      <x:c r="K695" s="10" t="n">
        <x:v>0.05</x:v>
      </x:c>
      <x:c r="L695" s="11" t="n">
        <x:v>0</x:v>
      </x:c>
      <x:c r="M695" s="9" t="n">
        <x:f>IF(D695="Completed",I695*J695,0)</x:f>
        <x:v>1055</x:v>
      </x:c>
      <x:c r="N695" s="9" t="n">
        <x:f>M695*K695</x:f>
        <x:v>52.75</x:v>
      </x:c>
      <x:c r="O695" s="9" t="n">
        <x:f>M695-N695</x:f>
        <x:v>1002.25</x:v>
      </x:c>
      <x:c r="P695" s="9" t="n">
        <x:f>IF(D695="Completed",L695*J695*(1-K695),0)</x:f>
        <x:v>0</x:v>
      </x:c>
      <x:c r="Q695" s="9" t="n">
        <x:f>O695-P695</x:f>
        <x:v>1002.25</x:v>
      </x:c>
      <x:c r="R695" s="11" t="n">
        <x:f>IF(D695="Completed",I695,0)</x:f>
        <x:v>5</x:v>
      </x:c>
      <x:c r="S695" s="11" t="n">
        <x:f>IF(D695="Completed",L695,0)</x:f>
        <x:v>0</x:v>
      </x:c>
      <x:c r="T695" s="8" t="n">
        <x:f>DATE(YEAR(C695),MONTH(C695),1)</x:f>
        <x:v>45962</x:v>
      </x:c>
    </x:row>
    <x:row r="696" ht="22" customHeight="1">
      <x:c r="A696" s="2" t="str">
        <x:v>L000692</x:v>
      </x:c>
      <x:c r="B696" s="2" t="str">
        <x:v>O00287</x:v>
      </x:c>
      <x:c r="C696" s="7" t="n">
        <x:v>45969</x:v>
      </x:c>
      <x:c r="D696" s="2" t="str">
        <x:v>Completed</x:v>
      </x:c>
      <x:c r="E696" s="2" t="str">
        <x:v>North</x:v>
      </x:c>
      <x:c r="F696" s="2" t="str">
        <x:v>Online</x:v>
      </x:c>
      <x:c r="G696" s="2" t="str">
        <x:v>Lighting</x:v>
      </x:c>
      <x:c r="H696" s="2" t="str">
        <x:v>Lamp 021</x:v>
      </x:c>
      <x:c r="I696" s="11" t="n">
        <x:v>4</x:v>
      </x:c>
      <x:c r="J696" s="9" t="n">
        <x:v>249</x:v>
      </x:c>
      <x:c r="K696" s="10" t="n">
        <x:v>0.2</x:v>
      </x:c>
      <x:c r="L696" s="11" t="n">
        <x:v>0</x:v>
      </x:c>
      <x:c r="M696" s="9" t="n">
        <x:f>IF(D696="Completed",I696*J696,0)</x:f>
        <x:v>996</x:v>
      </x:c>
      <x:c r="N696" s="9" t="n">
        <x:f>M696*K696</x:f>
        <x:v>199.20000000000002</x:v>
      </x:c>
      <x:c r="O696" s="9" t="n">
        <x:f>M696-N696</x:f>
        <x:v>796.8</x:v>
      </x:c>
      <x:c r="P696" s="9" t="n">
        <x:f>IF(D696="Completed",L696*J696*(1-K696),0)</x:f>
        <x:v>0</x:v>
      </x:c>
      <x:c r="Q696" s="9" t="n">
        <x:f>O696-P696</x:f>
        <x:v>796.8</x:v>
      </x:c>
      <x:c r="R696" s="11" t="n">
        <x:f>IF(D696="Completed",I696,0)</x:f>
        <x:v>4</x:v>
      </x:c>
      <x:c r="S696" s="11" t="n">
        <x:f>IF(D696="Completed",L696,0)</x:f>
        <x:v>0</x:v>
      </x:c>
      <x:c r="T696" s="8" t="n">
        <x:f>DATE(YEAR(C696),MONTH(C696),1)</x:f>
        <x:v>45962</x:v>
      </x:c>
    </x:row>
    <x:row r="697" ht="22" customHeight="1">
      <x:c r="A697" s="2" t="str">
        <x:v>L000693</x:v>
      </x:c>
      <x:c r="B697" s="2" t="str">
        <x:v>O00287</x:v>
      </x:c>
      <x:c r="C697" s="7" t="n">
        <x:v>45969</x:v>
      </x:c>
      <x:c r="D697" s="2" t="str">
        <x:v>Completed</x:v>
      </x:c>
      <x:c r="E697" s="2" t="str">
        <x:v>North</x:v>
      </x:c>
      <x:c r="F697" s="2" t="str">
        <x:v>Online</x:v>
      </x:c>
      <x:c r="G697" s="2" t="str">
        <x:v>Lighting</x:v>
      </x:c>
      <x:c r="H697" s="2" t="str">
        <x:v>Lamp 017</x:v>
      </x:c>
      <x:c r="I697" s="11" t="n">
        <x:v>4</x:v>
      </x:c>
      <x:c r="J697" s="9" t="n">
        <x:v>300</x:v>
      </x:c>
      <x:c r="K697" s="10" t="n">
        <x:v>0.2</x:v>
      </x:c>
      <x:c r="L697" s="11" t="n">
        <x:v>0</x:v>
      </x:c>
      <x:c r="M697" s="9" t="n">
        <x:f>IF(D697="Completed",I697*J697,0)</x:f>
        <x:v>1200</x:v>
      </x:c>
      <x:c r="N697" s="9" t="n">
        <x:f>M697*K697</x:f>
        <x:v>240</x:v>
      </x:c>
      <x:c r="O697" s="9" t="n">
        <x:f>M697-N697</x:f>
        <x:v>960</x:v>
      </x:c>
      <x:c r="P697" s="9" t="n">
        <x:f>IF(D697="Completed",L697*J697*(1-K697),0)</x:f>
        <x:v>0</x:v>
      </x:c>
      <x:c r="Q697" s="9" t="n">
        <x:f>O697-P697</x:f>
        <x:v>960</x:v>
      </x:c>
      <x:c r="R697" s="11" t="n">
        <x:f>IF(D697="Completed",I697,0)</x:f>
        <x:v>4</x:v>
      </x:c>
      <x:c r="S697" s="11" t="n">
        <x:f>IF(D697="Completed",L697,0)</x:f>
        <x:v>0</x:v>
      </x:c>
      <x:c r="T697" s="8" t="n">
        <x:f>DATE(YEAR(C697),MONTH(C697),1)</x:f>
        <x:v>45962</x:v>
      </x:c>
    </x:row>
    <x:row r="698" ht="22" customHeight="1">
      <x:c r="A698" s="2" t="str">
        <x:v>L000694</x:v>
      </x:c>
      <x:c r="B698" s="2" t="str">
        <x:v>O00287</x:v>
      </x:c>
      <x:c r="C698" s="7" t="n">
        <x:v>45969</x:v>
      </x:c>
      <x:c r="D698" s="2" t="str">
        <x:v>Completed</x:v>
      </x:c>
      <x:c r="E698" s="2" t="str">
        <x:v>North</x:v>
      </x:c>
      <x:c r="F698" s="2" t="str">
        <x:v>Online</x:v>
      </x:c>
      <x:c r="G698" s="2" t="str">
        <x:v>Lighting</x:v>
      </x:c>
      <x:c r="H698" s="2" t="str">
        <x:v>Lamp 021</x:v>
      </x:c>
      <x:c r="I698" s="11" t="n">
        <x:v>5</x:v>
      </x:c>
      <x:c r="J698" s="9" t="n">
        <x:v>249</x:v>
      </x:c>
      <x:c r="K698" s="10" t="n">
        <x:v>0.1</x:v>
      </x:c>
      <x:c r="L698" s="11" t="n">
        <x:v>3</x:v>
      </x:c>
      <x:c r="M698" s="9" t="n">
        <x:f>IF(D698="Completed",I698*J698,0)</x:f>
        <x:v>1245</x:v>
      </x:c>
      <x:c r="N698" s="9" t="n">
        <x:f>M698*K698</x:f>
        <x:v>124.5</x:v>
      </x:c>
      <x:c r="O698" s="9" t="n">
        <x:f>M698-N698</x:f>
        <x:v>1120.5</x:v>
      </x:c>
      <x:c r="P698" s="9" t="n">
        <x:f>IF(D698="Completed",L698*J698*(1-K698),0)</x:f>
        <x:v>672.3000000000001</x:v>
      </x:c>
      <x:c r="Q698" s="9" t="n">
        <x:f>O698-P698</x:f>
        <x:v>448.19999999999993</x:v>
      </x:c>
      <x:c r="R698" s="11" t="n">
        <x:f>IF(D698="Completed",I698,0)</x:f>
        <x:v>5</x:v>
      </x:c>
      <x:c r="S698" s="11" t="n">
        <x:f>IF(D698="Completed",L698,0)</x:f>
        <x:v>3</x:v>
      </x:c>
      <x:c r="T698" s="8" t="n">
        <x:f>DATE(YEAR(C698),MONTH(C698),1)</x:f>
        <x:v>45962</x:v>
      </x:c>
    </x:row>
    <x:row r="699" ht="22" customHeight="1">
      <x:c r="A699" s="2" t="str">
        <x:v>L000695</x:v>
      </x:c>
      <x:c r="B699" s="2" t="str">
        <x:v>O00288</x:v>
      </x:c>
      <x:c r="C699" s="7" t="n">
        <x:v>45689</x:v>
      </x:c>
      <x:c r="D699" s="2" t="str">
        <x:v>Completed</x:v>
      </x:c>
      <x:c r="E699" s="2" t="str">
        <x:v>South</x:v>
      </x:c>
      <x:c r="F699" s="2" t="str">
        <x:v>Online</x:v>
      </x:c>
      <x:c r="G699" s="2" t="str">
        <x:v>Storage</x:v>
      </x:c>
      <x:c r="H699" s="2" t="str">
        <x:v>Shelf 003</x:v>
      </x:c>
      <x:c r="I699" s="11" t="n">
        <x:v>1</x:v>
      </x:c>
      <x:c r="J699" s="9" t="n">
        <x:v>199</x:v>
      </x:c>
      <x:c r="K699" s="10" t="n">
        <x:v>0</x:v>
      </x:c>
      <x:c r="L699" s="11" t="n">
        <x:v>0</x:v>
      </x:c>
      <x:c r="M699" s="9" t="n">
        <x:f>IF(D699="Completed",I699*J699,0)</x:f>
        <x:v>199</x:v>
      </x:c>
      <x:c r="N699" s="9" t="n">
        <x:f>M699*K699</x:f>
        <x:v>0</x:v>
      </x:c>
      <x:c r="O699" s="9" t="n">
        <x:f>M699-N699</x:f>
        <x:v>199</x:v>
      </x:c>
      <x:c r="P699" s="9" t="n">
        <x:f>IF(D699="Completed",L699*J699*(1-K699),0)</x:f>
        <x:v>0</x:v>
      </x:c>
      <x:c r="Q699" s="9" t="n">
        <x:f>O699-P699</x:f>
        <x:v>199</x:v>
      </x:c>
      <x:c r="R699" s="11" t="n">
        <x:f>IF(D699="Completed",I699,0)</x:f>
        <x:v>1</x:v>
      </x:c>
      <x:c r="S699" s="11" t="n">
        <x:f>IF(D699="Completed",L699,0)</x:f>
        <x:v>0</x:v>
      </x:c>
      <x:c r="T699" s="8" t="n">
        <x:f>DATE(YEAR(C699),MONTH(C699),1)</x:f>
        <x:v>45689</x:v>
      </x:c>
    </x:row>
    <x:row r="700" ht="22" customHeight="1">
      <x:c r="A700" s="2" t="str">
        <x:v>L000696</x:v>
      </x:c>
      <x:c r="B700" s="2" t="str">
        <x:v>O00288</x:v>
      </x:c>
      <x:c r="C700" s="7" t="n">
        <x:v>45689</x:v>
      </x:c>
      <x:c r="D700" s="2" t="str">
        <x:v>Completed</x:v>
      </x:c>
      <x:c r="E700" s="2" t="str">
        <x:v>South</x:v>
      </x:c>
      <x:c r="F700" s="2" t="str">
        <x:v>Online</x:v>
      </x:c>
      <x:c r="G700" s="2" t="str">
        <x:v>Lighting</x:v>
      </x:c>
      <x:c r="H700" s="2" t="str">
        <x:v>Lamp 001</x:v>
      </x:c>
      <x:c r="I700" s="11" t="n">
        <x:v>2</x:v>
      </x:c>
      <x:c r="J700" s="9" t="n">
        <x:v>122</x:v>
      </x:c>
      <x:c r="K700" s="10" t="n">
        <x:v>0.2</x:v>
      </x:c>
      <x:c r="L700" s="11" t="n">
        <x:v>0</x:v>
      </x:c>
      <x:c r="M700" s="9" t="n">
        <x:f>IF(D700="Completed",I700*J700,0)</x:f>
        <x:v>244</x:v>
      </x:c>
      <x:c r="N700" s="9" t="n">
        <x:f>M700*K700</x:f>
        <x:v>48.800000000000004</x:v>
      </x:c>
      <x:c r="O700" s="9" t="n">
        <x:f>M700-N700</x:f>
        <x:v>195.2</x:v>
      </x:c>
      <x:c r="P700" s="9" t="n">
        <x:f>IF(D700="Completed",L700*J700*(1-K700),0)</x:f>
        <x:v>0</x:v>
      </x:c>
      <x:c r="Q700" s="9" t="n">
        <x:f>O700-P700</x:f>
        <x:v>195.2</x:v>
      </x:c>
      <x:c r="R700" s="11" t="n">
        <x:f>IF(D700="Completed",I700,0)</x:f>
        <x:v>2</x:v>
      </x:c>
      <x:c r="S700" s="11" t="n">
        <x:f>IF(D700="Completed",L700,0)</x:f>
        <x:v>0</x:v>
      </x:c>
      <x:c r="T700" s="8" t="n">
        <x:f>DATE(YEAR(C700),MONTH(C700),1)</x:f>
        <x:v>45689</x:v>
      </x:c>
    </x:row>
    <x:row r="701" ht="22" customHeight="1">
      <x:c r="A701" s="2" t="str">
        <x:v>L000697</x:v>
      </x:c>
      <x:c r="B701" s="2" t="str">
        <x:v>O00288</x:v>
      </x:c>
      <x:c r="C701" s="7" t="n">
        <x:v>45689</x:v>
      </x:c>
      <x:c r="D701" s="2" t="str">
        <x:v>Completed</x:v>
      </x:c>
      <x:c r="E701" s="2" t="str">
        <x:v>South</x:v>
      </x:c>
      <x:c r="F701" s="2" t="str">
        <x:v>Online</x:v>
      </x:c>
      <x:c r="G701" s="2" t="str">
        <x:v>Lighting</x:v>
      </x:c>
      <x:c r="H701" s="2" t="str">
        <x:v>Lamp 013</x:v>
      </x:c>
      <x:c r="I701" s="11" t="n">
        <x:v>5</x:v>
      </x:c>
      <x:c r="J701" s="9" t="n">
        <x:v>271</x:v>
      </x:c>
      <x:c r="K701" s="10" t="n">
        <x:v>0.2</x:v>
      </x:c>
      <x:c r="L701" s="11" t="n">
        <x:v>0</x:v>
      </x:c>
      <x:c r="M701" s="9" t="n">
        <x:f>IF(D701="Completed",I701*J701,0)</x:f>
        <x:v>1355</x:v>
      </x:c>
      <x:c r="N701" s="9" t="n">
        <x:f>M701*K701</x:f>
        <x:v>271</x:v>
      </x:c>
      <x:c r="O701" s="9" t="n">
        <x:f>M701-N701</x:f>
        <x:v>1084</x:v>
      </x:c>
      <x:c r="P701" s="9" t="n">
        <x:f>IF(D701="Completed",L701*J701*(1-K701),0)</x:f>
        <x:v>0</x:v>
      </x:c>
      <x:c r="Q701" s="9" t="n">
        <x:f>O701-P701</x:f>
        <x:v>1084</x:v>
      </x:c>
      <x:c r="R701" s="11" t="n">
        <x:f>IF(D701="Completed",I701,0)</x:f>
        <x:v>5</x:v>
      </x:c>
      <x:c r="S701" s="11" t="n">
        <x:f>IF(D701="Completed",L701,0)</x:f>
        <x:v>0</x:v>
      </x:c>
      <x:c r="T701" s="8" t="n">
        <x:f>DATE(YEAR(C701),MONTH(C701),1)</x:f>
        <x:v>45689</x:v>
      </x:c>
    </x:row>
    <x:row r="702" ht="22" customHeight="1">
      <x:c r="A702" s="2" t="str">
        <x:v>L000698</x:v>
      </x:c>
      <x:c r="B702" s="2" t="str">
        <x:v>O00289</x:v>
      </x:c>
      <x:c r="C702" s="7" t="n">
        <x:v>45787</x:v>
      </x:c>
      <x:c r="D702" s="2" t="str">
        <x:v>Completed</x:v>
      </x:c>
      <x:c r="E702" s="2" t="str">
        <x:v>South</x:v>
      </x:c>
      <x:c r="F702" s="2" t="str">
        <x:v>Online</x:v>
      </x:c>
      <x:c r="G702" s="2" t="str">
        <x:v>Storage</x:v>
      </x:c>
      <x:c r="H702" s="2" t="str">
        <x:v>Shelf 019</x:v>
      </x:c>
      <x:c r="I702" s="11" t="n">
        <x:v>1</x:v>
      </x:c>
      <x:c r="J702" s="9" t="n">
        <x:v>78</x:v>
      </x:c>
      <x:c r="K702" s="10" t="n">
        <x:v>0.05</x:v>
      </x:c>
      <x:c r="L702" s="11" t="n">
        <x:v>0</x:v>
      </x:c>
      <x:c r="M702" s="9" t="n">
        <x:f>IF(D702="Completed",I702*J702,0)</x:f>
        <x:v>78</x:v>
      </x:c>
      <x:c r="N702" s="9" t="n">
        <x:f>M702*K702</x:f>
        <x:v>3.9000000000000004</x:v>
      </x:c>
      <x:c r="O702" s="9" t="n">
        <x:f>M702-N702</x:f>
        <x:v>74.1</x:v>
      </x:c>
      <x:c r="P702" s="9" t="n">
        <x:f>IF(D702="Completed",L702*J702*(1-K702),0)</x:f>
        <x:v>0</x:v>
      </x:c>
      <x:c r="Q702" s="9" t="n">
        <x:f>O702-P702</x:f>
        <x:v>74.1</x:v>
      </x:c>
      <x:c r="R702" s="11" t="n">
        <x:f>IF(D702="Completed",I702,0)</x:f>
        <x:v>1</x:v>
      </x:c>
      <x:c r="S702" s="11" t="n">
        <x:f>IF(D702="Completed",L702,0)</x:f>
        <x:v>0</x:v>
      </x:c>
      <x:c r="T702" s="8" t="n">
        <x:f>DATE(YEAR(C702),MONTH(C702),1)</x:f>
        <x:v>45778</x:v>
      </x:c>
    </x:row>
    <x:row r="703" ht="22" customHeight="1">
      <x:c r="A703" s="2" t="str">
        <x:v>L000699</x:v>
      </x:c>
      <x:c r="B703" s="2" t="str">
        <x:v>O00290</x:v>
      </x:c>
      <x:c r="C703" s="7" t="n">
        <x:v>45954</x:v>
      </x:c>
      <x:c r="D703" s="2" t="str">
        <x:v>Completed</x:v>
      </x:c>
      <x:c r="E703" s="2" t="str">
        <x:v>South</x:v>
      </x:c>
      <x:c r="F703" s="2" t="str">
        <x:v>Online</x:v>
      </x:c>
      <x:c r="G703" s="2" t="str">
        <x:v>Furniture</x:v>
      </x:c>
      <x:c r="H703" s="2" t="str">
        <x:v>Desk 020</x:v>
      </x:c>
      <x:c r="I703" s="11" t="n">
        <x:v>5</x:v>
      </x:c>
      <x:c r="J703" s="9" t="n">
        <x:v>189</x:v>
      </x:c>
      <x:c r="K703" s="10" t="n">
        <x:v>0.2</x:v>
      </x:c>
      <x:c r="L703" s="11" t="n">
        <x:v>0</x:v>
      </x:c>
      <x:c r="M703" s="9" t="n">
        <x:f>IF(D703="Completed",I703*J703,0)</x:f>
        <x:v>945</x:v>
      </x:c>
      <x:c r="N703" s="9" t="n">
        <x:f>M703*K703</x:f>
        <x:v>189</x:v>
      </x:c>
      <x:c r="O703" s="9" t="n">
        <x:f>M703-N703</x:f>
        <x:v>756</x:v>
      </x:c>
      <x:c r="P703" s="9" t="n">
        <x:f>IF(D703="Completed",L703*J703*(1-K703),0)</x:f>
        <x:v>0</x:v>
      </x:c>
      <x:c r="Q703" s="9" t="n">
        <x:f>O703-P703</x:f>
        <x:v>756</x:v>
      </x:c>
      <x:c r="R703" s="11" t="n">
        <x:f>IF(D703="Completed",I703,0)</x:f>
        <x:v>5</x:v>
      </x:c>
      <x:c r="S703" s="11" t="n">
        <x:f>IF(D703="Completed",L703,0)</x:f>
        <x:v>0</x:v>
      </x:c>
      <x:c r="T703" s="8" t="n">
        <x:f>DATE(YEAR(C703),MONTH(C703),1)</x:f>
        <x:v>45931</x:v>
      </x:c>
    </x:row>
    <x:row r="704" ht="22" customHeight="1">
      <x:c r="A704" s="2" t="str">
        <x:v>L000700</x:v>
      </x:c>
      <x:c r="B704" s="2" t="str">
        <x:v>O00290</x:v>
      </x:c>
      <x:c r="C704" s="7" t="n">
        <x:v>45954</x:v>
      </x:c>
      <x:c r="D704" s="2" t="str">
        <x:v>Completed</x:v>
      </x:c>
      <x:c r="E704" s="2" t="str">
        <x:v>South</x:v>
      </x:c>
      <x:c r="F704" s="2" t="str">
        <x:v>Online</x:v>
      </x:c>
      <x:c r="G704" s="2" t="str">
        <x:v>Furniture</x:v>
      </x:c>
      <x:c r="H704" s="2" t="str">
        <x:v>Chair 022</x:v>
      </x:c>
      <x:c r="I704" s="11" t="n">
        <x:v>2</x:v>
      </x:c>
      <x:c r="J704" s="9" t="n">
        <x:v>134</x:v>
      </x:c>
      <x:c r="K704" s="10" t="n">
        <x:v>0.2</x:v>
      </x:c>
      <x:c r="L704" s="11" t="n">
        <x:v>0</x:v>
      </x:c>
      <x:c r="M704" s="9" t="n">
        <x:f>IF(D704="Completed",I704*J704,0)</x:f>
        <x:v>268</x:v>
      </x:c>
      <x:c r="N704" s="9" t="n">
        <x:f>M704*K704</x:f>
        <x:v>53.6</x:v>
      </x:c>
      <x:c r="O704" s="9" t="n">
        <x:f>M704-N704</x:f>
        <x:v>214.4</x:v>
      </x:c>
      <x:c r="P704" s="9" t="n">
        <x:f>IF(D704="Completed",L704*J704*(1-K704),0)</x:f>
        <x:v>0</x:v>
      </x:c>
      <x:c r="Q704" s="9" t="n">
        <x:f>O704-P704</x:f>
        <x:v>214.4</x:v>
      </x:c>
      <x:c r="R704" s="11" t="n">
        <x:f>IF(D704="Completed",I704,0)</x:f>
        <x:v>2</x:v>
      </x:c>
      <x:c r="S704" s="11" t="n">
        <x:f>IF(D704="Completed",L704,0)</x:f>
        <x:v>0</x:v>
      </x:c>
      <x:c r="T704" s="8" t="n">
        <x:f>DATE(YEAR(C704),MONTH(C704),1)</x:f>
        <x:v>45931</x:v>
      </x:c>
    </x:row>
    <x:row r="705" ht="22" customHeight="1">
      <x:c r="A705" s="2" t="str">
        <x:v>L000701</x:v>
      </x:c>
      <x:c r="B705" s="2" t="str">
        <x:v>O00290</x:v>
      </x:c>
      <x:c r="C705" s="7" t="n">
        <x:v>45954</x:v>
      </x:c>
      <x:c r="D705" s="2" t="str">
        <x:v>Completed</x:v>
      </x:c>
      <x:c r="E705" s="2" t="str">
        <x:v>South</x:v>
      </x:c>
      <x:c r="F705" s="2" t="str">
        <x:v>Online</x:v>
      </x:c>
      <x:c r="G705" s="2" t="str">
        <x:v>Furniture</x:v>
      </x:c>
      <x:c r="H705" s="2" t="str">
        <x:v>Chair 010</x:v>
      </x:c>
      <x:c r="I705" s="11" t="n">
        <x:v>2</x:v>
      </x:c>
      <x:c r="J705" s="9" t="n">
        <x:v>211</x:v>
      </x:c>
      <x:c r="K705" s="10" t="n">
        <x:v>0.2</x:v>
      </x:c>
      <x:c r="L705" s="11" t="n">
        <x:v>0</x:v>
      </x:c>
      <x:c r="M705" s="9" t="n">
        <x:f>IF(D705="Completed",I705*J705,0)</x:f>
        <x:v>422</x:v>
      </x:c>
      <x:c r="N705" s="9" t="n">
        <x:f>M705*K705</x:f>
        <x:v>84.4</x:v>
      </x:c>
      <x:c r="O705" s="9" t="n">
        <x:f>M705-N705</x:f>
        <x:v>337.6</x:v>
      </x:c>
      <x:c r="P705" s="9" t="n">
        <x:f>IF(D705="Completed",L705*J705*(1-K705),0)</x:f>
        <x:v>0</x:v>
      </x:c>
      <x:c r="Q705" s="9" t="n">
        <x:f>O705-P705</x:f>
        <x:v>337.6</x:v>
      </x:c>
      <x:c r="R705" s="11" t="n">
        <x:f>IF(D705="Completed",I705,0)</x:f>
        <x:v>2</x:v>
      </x:c>
      <x:c r="S705" s="11" t="n">
        <x:f>IF(D705="Completed",L705,0)</x:f>
        <x:v>0</x:v>
      </x:c>
      <x:c r="T705" s="8" t="n">
        <x:f>DATE(YEAR(C705),MONTH(C705),1)</x:f>
        <x:v>45931</x:v>
      </x:c>
    </x:row>
    <x:row r="706" ht="22" customHeight="1">
      <x:c r="A706" s="2" t="str">
        <x:v>L000702</x:v>
      </x:c>
      <x:c r="B706" s="2" t="str">
        <x:v>O00291</x:v>
      </x:c>
      <x:c r="C706" s="7" t="n">
        <x:v>45803</x:v>
      </x:c>
      <x:c r="D706" s="2" t="str">
        <x:v>Completed</x:v>
      </x:c>
      <x:c r="E706" s="2" t="str">
        <x:v>North</x:v>
      </x:c>
      <x:c r="F706" s="2" t="str">
        <x:v>Store</x:v>
      </x:c>
      <x:c r="G706" s="2" t="str">
        <x:v>Lighting</x:v>
      </x:c>
      <x:c r="H706" s="2" t="str">
        <x:v>Lamp 009</x:v>
      </x:c>
      <x:c r="I706" s="11" t="n">
        <x:v>5</x:v>
      </x:c>
      <x:c r="J706" s="9" t="n">
        <x:v>93</x:v>
      </x:c>
      <x:c r="K706" s="10" t="n">
        <x:v>0.2</x:v>
      </x:c>
      <x:c r="L706" s="11" t="n">
        <x:v>0</x:v>
      </x:c>
      <x:c r="M706" s="9" t="n">
        <x:f>IF(D706="Completed",I706*J706,0)</x:f>
        <x:v>465</x:v>
      </x:c>
      <x:c r="N706" s="9" t="n">
        <x:f>M706*K706</x:f>
        <x:v>93</x:v>
      </x:c>
      <x:c r="O706" s="9" t="n">
        <x:f>M706-N706</x:f>
        <x:v>372</x:v>
      </x:c>
      <x:c r="P706" s="9" t="n">
        <x:f>IF(D706="Completed",L706*J706*(1-K706),0)</x:f>
        <x:v>0</x:v>
      </x:c>
      <x:c r="Q706" s="9" t="n">
        <x:f>O706-P706</x:f>
        <x:v>372</x:v>
      </x:c>
      <x:c r="R706" s="11" t="n">
        <x:f>IF(D706="Completed",I706,0)</x:f>
        <x:v>5</x:v>
      </x:c>
      <x:c r="S706" s="11" t="n">
        <x:f>IF(D706="Completed",L706,0)</x:f>
        <x:v>0</x:v>
      </x:c>
      <x:c r="T706" s="8" t="n">
        <x:f>DATE(YEAR(C706),MONTH(C706),1)</x:f>
        <x:v>45778</x:v>
      </x:c>
    </x:row>
    <x:row r="707" ht="22" customHeight="1">
      <x:c r="A707" s="2" t="str">
        <x:v>L000703</x:v>
      </x:c>
      <x:c r="B707" s="2" t="str">
        <x:v>O00291</x:v>
      </x:c>
      <x:c r="C707" s="7" t="n">
        <x:v>45803</x:v>
      </x:c>
      <x:c r="D707" s="2" t="str">
        <x:v>Completed</x:v>
      </x:c>
      <x:c r="E707" s="2" t="str">
        <x:v>North</x:v>
      </x:c>
      <x:c r="F707" s="2" t="str">
        <x:v>Store</x:v>
      </x:c>
      <x:c r="G707" s="2" t="str">
        <x:v>Furniture</x:v>
      </x:c>
      <x:c r="H707" s="2" t="str">
        <x:v>Chair 022</x:v>
      </x:c>
      <x:c r="I707" s="11" t="n">
        <x:v>5</x:v>
      </x:c>
      <x:c r="J707" s="9" t="n">
        <x:v>134</x:v>
      </x:c>
      <x:c r="K707" s="10" t="n">
        <x:v>0</x:v>
      </x:c>
      <x:c r="L707" s="11" t="n">
        <x:v>0</x:v>
      </x:c>
      <x:c r="M707" s="9" t="n">
        <x:f>IF(D707="Completed",I707*J707,0)</x:f>
        <x:v>670</x:v>
      </x:c>
      <x:c r="N707" s="9" t="n">
        <x:f>M707*K707</x:f>
        <x:v>0</x:v>
      </x:c>
      <x:c r="O707" s="9" t="n">
        <x:f>M707-N707</x:f>
        <x:v>670</x:v>
      </x:c>
      <x:c r="P707" s="9" t="n">
        <x:f>IF(D707="Completed",L707*J707*(1-K707),0)</x:f>
        <x:v>0</x:v>
      </x:c>
      <x:c r="Q707" s="9" t="n">
        <x:f>O707-P707</x:f>
        <x:v>670</x:v>
      </x:c>
      <x:c r="R707" s="11" t="n">
        <x:f>IF(D707="Completed",I707,0)</x:f>
        <x:v>5</x:v>
      </x:c>
      <x:c r="S707" s="11" t="n">
        <x:f>IF(D707="Completed",L707,0)</x:f>
        <x:v>0</x:v>
      </x:c>
      <x:c r="T707" s="8" t="n">
        <x:f>DATE(YEAR(C707),MONTH(C707),1)</x:f>
        <x:v>45778</x:v>
      </x:c>
    </x:row>
    <x:row r="708" ht="22" customHeight="1">
      <x:c r="A708" s="2" t="str">
        <x:v>L000704</x:v>
      </x:c>
      <x:c r="B708" s="2" t="str">
        <x:v>O00291</x:v>
      </x:c>
      <x:c r="C708" s="7" t="n">
        <x:v>45803</x:v>
      </x:c>
      <x:c r="D708" s="2" t="str">
        <x:v>Completed</x:v>
      </x:c>
      <x:c r="E708" s="2" t="str">
        <x:v>North</x:v>
      </x:c>
      <x:c r="F708" s="2" t="str">
        <x:v>Store</x:v>
      </x:c>
      <x:c r="G708" s="2" t="str">
        <x:v>Furniture</x:v>
      </x:c>
      <x:c r="H708" s="2" t="str">
        <x:v>Desk 012</x:v>
      </x:c>
      <x:c r="I708" s="11" t="n">
        <x:v>4</x:v>
      </x:c>
      <x:c r="J708" s="9" t="n">
        <x:v>134</x:v>
      </x:c>
      <x:c r="K708" s="10" t="n">
        <x:v>0.05</x:v>
      </x:c>
      <x:c r="L708" s="11" t="n">
        <x:v>0</x:v>
      </x:c>
      <x:c r="M708" s="9" t="n">
        <x:f>IF(D708="Completed",I708*J708,0)</x:f>
        <x:v>536</x:v>
      </x:c>
      <x:c r="N708" s="9" t="n">
        <x:f>M708*K708</x:f>
        <x:v>26.8</x:v>
      </x:c>
      <x:c r="O708" s="9" t="n">
        <x:f>M708-N708</x:f>
        <x:v>509.2</x:v>
      </x:c>
      <x:c r="P708" s="9" t="n">
        <x:f>IF(D708="Completed",L708*J708*(1-K708),0)</x:f>
        <x:v>0</x:v>
      </x:c>
      <x:c r="Q708" s="9" t="n">
        <x:f>O708-P708</x:f>
        <x:v>509.2</x:v>
      </x:c>
      <x:c r="R708" s="11" t="n">
        <x:f>IF(D708="Completed",I708,0)</x:f>
        <x:v>4</x:v>
      </x:c>
      <x:c r="S708" s="11" t="n">
        <x:f>IF(D708="Completed",L708,0)</x:f>
        <x:v>0</x:v>
      </x:c>
      <x:c r="T708" s="8" t="n">
        <x:f>DATE(YEAR(C708),MONTH(C708),1)</x:f>
        <x:v>45778</x:v>
      </x:c>
    </x:row>
    <x:row r="709" ht="22" customHeight="1">
      <x:c r="A709" s="2" t="str">
        <x:v>L000705</x:v>
      </x:c>
      <x:c r="B709" s="2" t="str">
        <x:v>O00292</x:v>
      </x:c>
      <x:c r="C709" s="7" t="n">
        <x:v>45938</x:v>
      </x:c>
      <x:c r="D709" s="2" t="str">
        <x:v>Completed</x:v>
      </x:c>
      <x:c r="E709" s="2" t="str">
        <x:v>West</x:v>
      </x:c>
      <x:c r="F709" s="2" t="str">
        <x:v>Store</x:v>
      </x:c>
      <x:c r="G709" s="2" t="str">
        <x:v>Furniture</x:v>
      </x:c>
      <x:c r="H709" s="2" t="str">
        <x:v>Chair 002</x:v>
      </x:c>
      <x:c r="I709" s="11" t="n">
        <x:v>1</x:v>
      </x:c>
      <x:c r="J709" s="9" t="n">
        <x:v>284</x:v>
      </x:c>
      <x:c r="K709" s="10" t="n">
        <x:v>0.1</x:v>
      </x:c>
      <x:c r="L709" s="11" t="n">
        <x:v>0</x:v>
      </x:c>
      <x:c r="M709" s="9" t="n">
        <x:f>IF(D709="Completed",I709*J709,0)</x:f>
        <x:v>284</x:v>
      </x:c>
      <x:c r="N709" s="9" t="n">
        <x:f>M709*K709</x:f>
        <x:v>28.400000000000002</x:v>
      </x:c>
      <x:c r="O709" s="9" t="n">
        <x:f>M709-N709</x:f>
        <x:v>255.6</x:v>
      </x:c>
      <x:c r="P709" s="9" t="n">
        <x:f>IF(D709="Completed",L709*J709*(1-K709),0)</x:f>
        <x:v>0</x:v>
      </x:c>
      <x:c r="Q709" s="9" t="n">
        <x:f>O709-P709</x:f>
        <x:v>255.6</x:v>
      </x:c>
      <x:c r="R709" s="11" t="n">
        <x:f>IF(D709="Completed",I709,0)</x:f>
        <x:v>1</x:v>
      </x:c>
      <x:c r="S709" s="11" t="n">
        <x:f>IF(D709="Completed",L709,0)</x:f>
        <x:v>0</x:v>
      </x:c>
      <x:c r="T709" s="8" t="n">
        <x:f>DATE(YEAR(C709),MONTH(C709),1)</x:f>
        <x:v>45931</x:v>
      </x:c>
    </x:row>
    <x:row r="710" ht="22" customHeight="1">
      <x:c r="A710" s="2" t="str">
        <x:v>L000706</x:v>
      </x:c>
      <x:c r="B710" s="2" t="str">
        <x:v>O00293</x:v>
      </x:c>
      <x:c r="C710" s="7" t="n">
        <x:v>45929</x:v>
      </x:c>
      <x:c r="D710" s="2" t="str">
        <x:v>Completed</x:v>
      </x:c>
      <x:c r="E710" s="2" t="str">
        <x:v>North</x:v>
      </x:c>
      <x:c r="F710" s="2" t="str">
        <x:v>Store</x:v>
      </x:c>
      <x:c r="G710" s="2" t="str">
        <x:v>Lighting</x:v>
      </x:c>
      <x:c r="H710" s="2" t="str">
        <x:v>Lamp 001</x:v>
      </x:c>
      <x:c r="I710" s="11" t="n">
        <x:v>3</x:v>
      </x:c>
      <x:c r="J710" s="9" t="n">
        <x:v>122</x:v>
      </x:c>
      <x:c r="K710" s="10" t="n">
        <x:v>0.05</x:v>
      </x:c>
      <x:c r="L710" s="11" t="n">
        <x:v>0</x:v>
      </x:c>
      <x:c r="M710" s="9" t="n">
        <x:f>IF(D710="Completed",I710*J710,0)</x:f>
        <x:v>366</x:v>
      </x:c>
      <x:c r="N710" s="9" t="n">
        <x:f>M710*K710</x:f>
        <x:v>18.3</x:v>
      </x:c>
      <x:c r="O710" s="9" t="n">
        <x:f>M710-N710</x:f>
        <x:v>347.7</x:v>
      </x:c>
      <x:c r="P710" s="9" t="n">
        <x:f>IF(D710="Completed",L710*J710*(1-K710),0)</x:f>
        <x:v>0</x:v>
      </x:c>
      <x:c r="Q710" s="9" t="n">
        <x:f>O710-P710</x:f>
        <x:v>347.7</x:v>
      </x:c>
      <x:c r="R710" s="11" t="n">
        <x:f>IF(D710="Completed",I710,0)</x:f>
        <x:v>3</x:v>
      </x:c>
      <x:c r="S710" s="11" t="n">
        <x:f>IF(D710="Completed",L710,0)</x:f>
        <x:v>0</x:v>
      </x:c>
      <x:c r="T710" s="8" t="n">
        <x:f>DATE(YEAR(C710),MONTH(C710),1)</x:f>
        <x:v>45901</x:v>
      </x:c>
    </x:row>
    <x:row r="711" ht="22" customHeight="1">
      <x:c r="A711" s="2" t="str">
        <x:v>L000707</x:v>
      </x:c>
      <x:c r="B711" s="2" t="str">
        <x:v>O00293</x:v>
      </x:c>
      <x:c r="C711" s="7" t="n">
        <x:v>45929</x:v>
      </x:c>
      <x:c r="D711" s="2" t="str">
        <x:v>Completed</x:v>
      </x:c>
      <x:c r="E711" s="2" t="str">
        <x:v>North</x:v>
      </x:c>
      <x:c r="F711" s="2" t="str">
        <x:v>Store</x:v>
      </x:c>
      <x:c r="G711" s="2" t="str">
        <x:v>Furniture</x:v>
      </x:c>
      <x:c r="H711" s="2" t="str">
        <x:v>Chair 022</x:v>
      </x:c>
      <x:c r="I711" s="11" t="n">
        <x:v>4</x:v>
      </x:c>
      <x:c r="J711" s="9" t="n">
        <x:v>134</x:v>
      </x:c>
      <x:c r="K711" s="10" t="n">
        <x:v>0</x:v>
      </x:c>
      <x:c r="L711" s="11" t="n">
        <x:v>0</x:v>
      </x:c>
      <x:c r="M711" s="9" t="n">
        <x:f>IF(D711="Completed",I711*J711,0)</x:f>
        <x:v>536</x:v>
      </x:c>
      <x:c r="N711" s="9" t="n">
        <x:f>M711*K711</x:f>
        <x:v>0</x:v>
      </x:c>
      <x:c r="O711" s="9" t="n">
        <x:f>M711-N711</x:f>
        <x:v>536</x:v>
      </x:c>
      <x:c r="P711" s="9" t="n">
        <x:f>IF(D711="Completed",L711*J711*(1-K711),0)</x:f>
        <x:v>0</x:v>
      </x:c>
      <x:c r="Q711" s="9" t="n">
        <x:f>O711-P711</x:f>
        <x:v>536</x:v>
      </x:c>
      <x:c r="R711" s="11" t="n">
        <x:f>IF(D711="Completed",I711,0)</x:f>
        <x:v>4</x:v>
      </x:c>
      <x:c r="S711" s="11" t="n">
        <x:f>IF(D711="Completed",L711,0)</x:f>
        <x:v>0</x:v>
      </x:c>
      <x:c r="T711" s="8" t="n">
        <x:f>DATE(YEAR(C711),MONTH(C711),1)</x:f>
        <x:v>45901</x:v>
      </x:c>
    </x:row>
    <x:row r="712" ht="22" customHeight="1">
      <x:c r="A712" s="2" t="str">
        <x:v>L000708</x:v>
      </x:c>
      <x:c r="B712" s="2" t="str">
        <x:v>O00294</x:v>
      </x:c>
      <x:c r="C712" s="7" t="n">
        <x:v>45779</x:v>
      </x:c>
      <x:c r="D712" s="2" t="str">
        <x:v>Completed</x:v>
      </x:c>
      <x:c r="E712" s="2" t="str">
        <x:v>West</x:v>
      </x:c>
      <x:c r="F712" s="2" t="str">
        <x:v>Online</x:v>
      </x:c>
      <x:c r="G712" s="2" t="str">
        <x:v>Lighting</x:v>
      </x:c>
      <x:c r="H712" s="2" t="str">
        <x:v>Lamp 021</x:v>
      </x:c>
      <x:c r="I712" s="11" t="n">
        <x:v>1</x:v>
      </x:c>
      <x:c r="J712" s="9" t="n">
        <x:v>249</x:v>
      </x:c>
      <x:c r="K712" s="10" t="n">
        <x:v>0</x:v>
      </x:c>
      <x:c r="L712" s="11" t="n">
        <x:v>0</x:v>
      </x:c>
      <x:c r="M712" s="9" t="n">
        <x:f>IF(D712="Completed",I712*J712,0)</x:f>
        <x:v>249</x:v>
      </x:c>
      <x:c r="N712" s="9" t="n">
        <x:f>M712*K712</x:f>
        <x:v>0</x:v>
      </x:c>
      <x:c r="O712" s="9" t="n">
        <x:f>M712-N712</x:f>
        <x:v>249</x:v>
      </x:c>
      <x:c r="P712" s="9" t="n">
        <x:f>IF(D712="Completed",L712*J712*(1-K712),0)</x:f>
        <x:v>0</x:v>
      </x:c>
      <x:c r="Q712" s="9" t="n">
        <x:f>O712-P712</x:f>
        <x:v>249</x:v>
      </x:c>
      <x:c r="R712" s="11" t="n">
        <x:f>IF(D712="Completed",I712,0)</x:f>
        <x:v>1</x:v>
      </x:c>
      <x:c r="S712" s="11" t="n">
        <x:f>IF(D712="Completed",L712,0)</x:f>
        <x:v>0</x:v>
      </x:c>
      <x:c r="T712" s="8" t="n">
        <x:f>DATE(YEAR(C712),MONTH(C712),1)</x:f>
        <x:v>45778</x:v>
      </x:c>
    </x:row>
    <x:row r="713" ht="22" customHeight="1">
      <x:c r="A713" s="2" t="str">
        <x:v>L000709</x:v>
      </x:c>
      <x:c r="B713" s="2" t="str">
        <x:v>O00294</x:v>
      </x:c>
      <x:c r="C713" s="7" t="n">
        <x:v>45779</x:v>
      </x:c>
      <x:c r="D713" s="2" t="str">
        <x:v>Completed</x:v>
      </x:c>
      <x:c r="E713" s="2" t="str">
        <x:v>West</x:v>
      </x:c>
      <x:c r="F713" s="2" t="str">
        <x:v>Online</x:v>
      </x:c>
      <x:c r="G713" s="2" t="str">
        <x:v>Lighting</x:v>
      </x:c>
      <x:c r="H713" s="2" t="str">
        <x:v>Lamp 009</x:v>
      </x:c>
      <x:c r="I713" s="11" t="n">
        <x:v>2</x:v>
      </x:c>
      <x:c r="J713" s="9" t="n">
        <x:v>93</x:v>
      </x:c>
      <x:c r="K713" s="10" t="n">
        <x:v>0.2</x:v>
      </x:c>
      <x:c r="L713" s="11" t="n">
        <x:v>0</x:v>
      </x:c>
      <x:c r="M713" s="9" t="n">
        <x:f>IF(D713="Completed",I713*J713,0)</x:f>
        <x:v>186</x:v>
      </x:c>
      <x:c r="N713" s="9" t="n">
        <x:f>M713*K713</x:f>
        <x:v>37.2</x:v>
      </x:c>
      <x:c r="O713" s="9" t="n">
        <x:f>M713-N713</x:f>
        <x:v>148.8</x:v>
      </x:c>
      <x:c r="P713" s="9" t="n">
        <x:f>IF(D713="Completed",L713*J713*(1-K713),0)</x:f>
        <x:v>0</x:v>
      </x:c>
      <x:c r="Q713" s="9" t="n">
        <x:f>O713-P713</x:f>
        <x:v>148.8</x:v>
      </x:c>
      <x:c r="R713" s="11" t="n">
        <x:f>IF(D713="Completed",I713,0)</x:f>
        <x:v>2</x:v>
      </x:c>
      <x:c r="S713" s="11" t="n">
        <x:f>IF(D713="Completed",L713,0)</x:f>
        <x:v>0</x:v>
      </x:c>
      <x:c r="T713" s="8" t="n">
        <x:f>DATE(YEAR(C713),MONTH(C713),1)</x:f>
        <x:v>45778</x:v>
      </x:c>
    </x:row>
    <x:row r="714" ht="22" customHeight="1">
      <x:c r="A714" s="2" t="str">
        <x:v>L000710</x:v>
      </x:c>
      <x:c r="B714" s="2" t="str">
        <x:v>O00294</x:v>
      </x:c>
      <x:c r="C714" s="7" t="n">
        <x:v>45779</x:v>
      </x:c>
      <x:c r="D714" s="2" t="str">
        <x:v>Completed</x:v>
      </x:c>
      <x:c r="E714" s="2" t="str">
        <x:v>West</x:v>
      </x:c>
      <x:c r="F714" s="2" t="str">
        <x:v>Online</x:v>
      </x:c>
      <x:c r="G714" s="2" t="str">
        <x:v>Furniture</x:v>
      </x:c>
      <x:c r="H714" s="2" t="str">
        <x:v>Chair 002</x:v>
      </x:c>
      <x:c r="I714" s="11" t="n">
        <x:v>3</x:v>
      </x:c>
      <x:c r="J714" s="9" t="n">
        <x:v>284</x:v>
      </x:c>
      <x:c r="K714" s="10" t="n">
        <x:v>0.2</x:v>
      </x:c>
      <x:c r="L714" s="11" t="n">
        <x:v>0</x:v>
      </x:c>
      <x:c r="M714" s="9" t="n">
        <x:f>IF(D714="Completed",I714*J714,0)</x:f>
        <x:v>852</x:v>
      </x:c>
      <x:c r="N714" s="9" t="n">
        <x:f>M714*K714</x:f>
        <x:v>170.4</x:v>
      </x:c>
      <x:c r="O714" s="9" t="n">
        <x:f>M714-N714</x:f>
        <x:v>681.6</x:v>
      </x:c>
      <x:c r="P714" s="9" t="n">
        <x:f>IF(D714="Completed",L714*J714*(1-K714),0)</x:f>
        <x:v>0</x:v>
      </x:c>
      <x:c r="Q714" s="9" t="n">
        <x:f>O714-P714</x:f>
        <x:v>681.6</x:v>
      </x:c>
      <x:c r="R714" s="11" t="n">
        <x:f>IF(D714="Completed",I714,0)</x:f>
        <x:v>3</x:v>
      </x:c>
      <x:c r="S714" s="11" t="n">
        <x:f>IF(D714="Completed",L714,0)</x:f>
        <x:v>0</x:v>
      </x:c>
      <x:c r="T714" s="8" t="n">
        <x:f>DATE(YEAR(C714),MONTH(C714),1)</x:f>
        <x:v>45778</x:v>
      </x:c>
    </x:row>
    <x:row r="715" ht="22" customHeight="1">
      <x:c r="A715" s="2" t="str">
        <x:v>L000711</x:v>
      </x:c>
      <x:c r="B715" s="2" t="str">
        <x:v>O00295</x:v>
      </x:c>
      <x:c r="C715" s="7" t="n">
        <x:v>45965</x:v>
      </x:c>
      <x:c r="D715" s="2" t="str">
        <x:v>Completed</x:v>
      </x:c>
      <x:c r="E715" s="2" t="str">
        <x:v>North</x:v>
      </x:c>
      <x:c r="F715" s="2" t="str">
        <x:v>Online</x:v>
      </x:c>
      <x:c r="G715" s="2" t="str">
        <x:v>Lighting</x:v>
      </x:c>
      <x:c r="H715" s="2" t="str">
        <x:v>Lamp 021</x:v>
      </x:c>
      <x:c r="I715" s="11" t="n">
        <x:v>3</x:v>
      </x:c>
      <x:c r="J715" s="9" t="n">
        <x:v>249</x:v>
      </x:c>
      <x:c r="K715" s="10" t="n">
        <x:v>0.05</x:v>
      </x:c>
      <x:c r="L715" s="11" t="n">
        <x:v>0</x:v>
      </x:c>
      <x:c r="M715" s="9" t="n">
        <x:f>IF(D715="Completed",I715*J715,0)</x:f>
        <x:v>747</x:v>
      </x:c>
      <x:c r="N715" s="9" t="n">
        <x:f>M715*K715</x:f>
        <x:v>37.35</x:v>
      </x:c>
      <x:c r="O715" s="9" t="n">
        <x:f>M715-N715</x:f>
        <x:v>709.65</x:v>
      </x:c>
      <x:c r="P715" s="9" t="n">
        <x:f>IF(D715="Completed",L715*J715*(1-K715),0)</x:f>
        <x:v>0</x:v>
      </x:c>
      <x:c r="Q715" s="9" t="n">
        <x:f>O715-P715</x:f>
        <x:v>709.65</x:v>
      </x:c>
      <x:c r="R715" s="11" t="n">
        <x:f>IF(D715="Completed",I715,0)</x:f>
        <x:v>3</x:v>
      </x:c>
      <x:c r="S715" s="11" t="n">
        <x:f>IF(D715="Completed",L715,0)</x:f>
        <x:v>0</x:v>
      </x:c>
      <x:c r="T715" s="8" t="n">
        <x:f>DATE(YEAR(C715),MONTH(C715),1)</x:f>
        <x:v>45962</x:v>
      </x:c>
    </x:row>
    <x:row r="716" ht="22" customHeight="1">
      <x:c r="A716" s="2" t="str">
        <x:v>L000712</x:v>
      </x:c>
      <x:c r="B716" s="2" t="str">
        <x:v>O00295</x:v>
      </x:c>
      <x:c r="C716" s="7" t="n">
        <x:v>45965</x:v>
      </x:c>
      <x:c r="D716" s="2" t="str">
        <x:v>Completed</x:v>
      </x:c>
      <x:c r="E716" s="2" t="str">
        <x:v>North</x:v>
      </x:c>
      <x:c r="F716" s="2" t="str">
        <x:v>Online</x:v>
      </x:c>
      <x:c r="G716" s="2" t="str">
        <x:v>Furniture</x:v>
      </x:c>
      <x:c r="H716" s="2" t="str">
        <x:v>Chair 022</x:v>
      </x:c>
      <x:c r="I716" s="11" t="n">
        <x:v>2</x:v>
      </x:c>
      <x:c r="J716" s="9" t="n">
        <x:v>134</x:v>
      </x:c>
      <x:c r="K716" s="10" t="n">
        <x:v>0.05</x:v>
      </x:c>
      <x:c r="L716" s="11" t="n">
        <x:v>0</x:v>
      </x:c>
      <x:c r="M716" s="9" t="n">
        <x:f>IF(D716="Completed",I716*J716,0)</x:f>
        <x:v>268</x:v>
      </x:c>
      <x:c r="N716" s="9" t="n">
        <x:f>M716*K716</x:f>
        <x:v>13.4</x:v>
      </x:c>
      <x:c r="O716" s="9" t="n">
        <x:f>M716-N716</x:f>
        <x:v>254.6</x:v>
      </x:c>
      <x:c r="P716" s="9" t="n">
        <x:f>IF(D716="Completed",L716*J716*(1-K716),0)</x:f>
        <x:v>0</x:v>
      </x:c>
      <x:c r="Q716" s="9" t="n">
        <x:f>O716-P716</x:f>
        <x:v>254.6</x:v>
      </x:c>
      <x:c r="R716" s="11" t="n">
        <x:f>IF(D716="Completed",I716,0)</x:f>
        <x:v>2</x:v>
      </x:c>
      <x:c r="S716" s="11" t="n">
        <x:f>IF(D716="Completed",L716,0)</x:f>
        <x:v>0</x:v>
      </x:c>
      <x:c r="T716" s="8" t="n">
        <x:f>DATE(YEAR(C716),MONTH(C716),1)</x:f>
        <x:v>45962</x:v>
      </x:c>
    </x:row>
    <x:row r="717" ht="22" customHeight="1">
      <x:c r="A717" s="2" t="str">
        <x:v>L000713</x:v>
      </x:c>
      <x:c r="B717" s="2" t="str">
        <x:v>O00295</x:v>
      </x:c>
      <x:c r="C717" s="7" t="n">
        <x:v>45965</x:v>
      </x:c>
      <x:c r="D717" s="2" t="str">
        <x:v>Completed</x:v>
      </x:c>
      <x:c r="E717" s="2" t="str">
        <x:v>North</x:v>
      </x:c>
      <x:c r="F717" s="2" t="str">
        <x:v>Online</x:v>
      </x:c>
      <x:c r="G717" s="2" t="str">
        <x:v>Storage</x:v>
      </x:c>
      <x:c r="H717" s="2" t="str">
        <x:v>Shelf 007</x:v>
      </x:c>
      <x:c r="I717" s="11" t="n">
        <x:v>2</x:v>
      </x:c>
      <x:c r="J717" s="9" t="n">
        <x:v>35</x:v>
      </x:c>
      <x:c r="K717" s="10" t="n">
        <x:v>0.05</x:v>
      </x:c>
      <x:c r="L717" s="11" t="n">
        <x:v>0</x:v>
      </x:c>
      <x:c r="M717" s="9" t="n">
        <x:f>IF(D717="Completed",I717*J717,0)</x:f>
        <x:v>70</x:v>
      </x:c>
      <x:c r="N717" s="9" t="n">
        <x:f>M717*K717</x:f>
        <x:v>3.5</x:v>
      </x:c>
      <x:c r="O717" s="9" t="n">
        <x:f>M717-N717</x:f>
        <x:v>66.5</x:v>
      </x:c>
      <x:c r="P717" s="9" t="n">
        <x:f>IF(D717="Completed",L717*J717*(1-K717),0)</x:f>
        <x:v>0</x:v>
      </x:c>
      <x:c r="Q717" s="9" t="n">
        <x:f>O717-P717</x:f>
        <x:v>66.5</x:v>
      </x:c>
      <x:c r="R717" s="11" t="n">
        <x:f>IF(D717="Completed",I717,0)</x:f>
        <x:v>2</x:v>
      </x:c>
      <x:c r="S717" s="11" t="n">
        <x:f>IF(D717="Completed",L717,0)</x:f>
        <x:v>0</x:v>
      </x:c>
      <x:c r="T717" s="8" t="n">
        <x:f>DATE(YEAR(C717),MONTH(C717),1)</x:f>
        <x:v>45962</x:v>
      </x:c>
    </x:row>
    <x:row r="718" ht="22" customHeight="1">
      <x:c r="A718" s="2" t="str">
        <x:v>L000714</x:v>
      </x:c>
      <x:c r="B718" s="2" t="str">
        <x:v>O00295</x:v>
      </x:c>
      <x:c r="C718" s="7" t="n">
        <x:v>45965</x:v>
      </x:c>
      <x:c r="D718" s="2" t="str">
        <x:v>Completed</x:v>
      </x:c>
      <x:c r="E718" s="2" t="str">
        <x:v>North</x:v>
      </x:c>
      <x:c r="F718" s="2" t="str">
        <x:v>Online</x:v>
      </x:c>
      <x:c r="G718" s="2" t="str">
        <x:v>Lighting</x:v>
      </x:c>
      <x:c r="H718" s="2" t="str">
        <x:v>Lamp 021</x:v>
      </x:c>
      <x:c r="I718" s="11" t="n">
        <x:v>1</x:v>
      </x:c>
      <x:c r="J718" s="9" t="n">
        <x:v>249</x:v>
      </x:c>
      <x:c r="K718" s="10" t="n">
        <x:v>0.05</x:v>
      </x:c>
      <x:c r="L718" s="11" t="n">
        <x:v>0</x:v>
      </x:c>
      <x:c r="M718" s="9" t="n">
        <x:f>IF(D718="Completed",I718*J718,0)</x:f>
        <x:v>249</x:v>
      </x:c>
      <x:c r="N718" s="9" t="n">
        <x:f>M718*K718</x:f>
        <x:v>12.450000000000001</x:v>
      </x:c>
      <x:c r="O718" s="9" t="n">
        <x:f>M718-N718</x:f>
        <x:v>236.55</x:v>
      </x:c>
      <x:c r="P718" s="9" t="n">
        <x:f>IF(D718="Completed",L718*J718*(1-K718),0)</x:f>
        <x:v>0</x:v>
      </x:c>
      <x:c r="Q718" s="9" t="n">
        <x:f>O718-P718</x:f>
        <x:v>236.55</x:v>
      </x:c>
      <x:c r="R718" s="11" t="n">
        <x:f>IF(D718="Completed",I718,0)</x:f>
        <x:v>1</x:v>
      </x:c>
      <x:c r="S718" s="11" t="n">
        <x:f>IF(D718="Completed",L718,0)</x:f>
        <x:v>0</x:v>
      </x:c>
      <x:c r="T718" s="8" t="n">
        <x:f>DATE(YEAR(C718),MONTH(C718),1)</x:f>
        <x:v>45962</x:v>
      </x:c>
    </x:row>
    <x:row r="719" ht="22" customHeight="1">
      <x:c r="A719" s="2" t="str">
        <x:v>L000715</x:v>
      </x:c>
      <x:c r="B719" s="2" t="str">
        <x:v>O00296</x:v>
      </x:c>
      <x:c r="C719" s="7" t="n">
        <x:v>45794</x:v>
      </x:c>
      <x:c r="D719" s="2" t="str">
        <x:v>Completed</x:v>
      </x:c>
      <x:c r="E719" s="2" t="str">
        <x:v>East</x:v>
      </x:c>
      <x:c r="F719" s="2" t="str">
        <x:v>Store</x:v>
      </x:c>
      <x:c r="G719" s="2" t="str">
        <x:v>Storage</x:v>
      </x:c>
      <x:c r="H719" s="2" t="str">
        <x:v>Shelf 023</x:v>
      </x:c>
      <x:c r="I719" s="11" t="n">
        <x:v>3</x:v>
      </x:c>
      <x:c r="J719" s="9" t="n">
        <x:v>68</x:v>
      </x:c>
      <x:c r="K719" s="10" t="n">
        <x:v>0.2</x:v>
      </x:c>
      <x:c r="L719" s="11" t="n">
        <x:v>0</x:v>
      </x:c>
      <x:c r="M719" s="9" t="n">
        <x:f>IF(D719="Completed",I719*J719,0)</x:f>
        <x:v>204</x:v>
      </x:c>
      <x:c r="N719" s="9" t="n">
        <x:f>M719*K719</x:f>
        <x:v>40.800000000000004</x:v>
      </x:c>
      <x:c r="O719" s="9" t="n">
        <x:f>M719-N719</x:f>
        <x:v>163.2</x:v>
      </x:c>
      <x:c r="P719" s="9" t="n">
        <x:f>IF(D719="Completed",L719*J719*(1-K719),0)</x:f>
        <x:v>0</x:v>
      </x:c>
      <x:c r="Q719" s="9" t="n">
        <x:f>O719-P719</x:f>
        <x:v>163.2</x:v>
      </x:c>
      <x:c r="R719" s="11" t="n">
        <x:f>IF(D719="Completed",I719,0)</x:f>
        <x:v>3</x:v>
      </x:c>
      <x:c r="S719" s="11" t="n">
        <x:f>IF(D719="Completed",L719,0)</x:f>
        <x:v>0</x:v>
      </x:c>
      <x:c r="T719" s="8" t="n">
        <x:f>DATE(YEAR(C719),MONTH(C719),1)</x:f>
        <x:v>45778</x:v>
      </x:c>
    </x:row>
    <x:row r="720" ht="22" customHeight="1">
      <x:c r="A720" s="2" t="str">
        <x:v>L000716</x:v>
      </x:c>
      <x:c r="B720" s="2" t="str">
        <x:v>O00296</x:v>
      </x:c>
      <x:c r="C720" s="7" t="n">
        <x:v>45794</x:v>
      </x:c>
      <x:c r="D720" s="2" t="str">
        <x:v>Completed</x:v>
      </x:c>
      <x:c r="E720" s="2" t="str">
        <x:v>East</x:v>
      </x:c>
      <x:c r="F720" s="2" t="str">
        <x:v>Store</x:v>
      </x:c>
      <x:c r="G720" s="2" t="str">
        <x:v>Storage</x:v>
      </x:c>
      <x:c r="H720" s="2" t="str">
        <x:v>Shelf 011</x:v>
      </x:c>
      <x:c r="I720" s="11" t="n">
        <x:v>3</x:v>
      </x:c>
      <x:c r="J720" s="9" t="n">
        <x:v>80</x:v>
      </x:c>
      <x:c r="K720" s="10" t="n">
        <x:v>0</x:v>
      </x:c>
      <x:c r="L720" s="11" t="n">
        <x:v>0</x:v>
      </x:c>
      <x:c r="M720" s="9" t="n">
        <x:f>IF(D720="Completed",I720*J720,0)</x:f>
        <x:v>240</x:v>
      </x:c>
      <x:c r="N720" s="9" t="n">
        <x:f>M720*K720</x:f>
        <x:v>0</x:v>
      </x:c>
      <x:c r="O720" s="9" t="n">
        <x:f>M720-N720</x:f>
        <x:v>240</x:v>
      </x:c>
      <x:c r="P720" s="9" t="n">
        <x:f>IF(D720="Completed",L720*J720*(1-K720),0)</x:f>
        <x:v>0</x:v>
      </x:c>
      <x:c r="Q720" s="9" t="n">
        <x:f>O720-P720</x:f>
        <x:v>240</x:v>
      </x:c>
      <x:c r="R720" s="11" t="n">
        <x:f>IF(D720="Completed",I720,0)</x:f>
        <x:v>3</x:v>
      </x:c>
      <x:c r="S720" s="11" t="n">
        <x:f>IF(D720="Completed",L720,0)</x:f>
        <x:v>0</x:v>
      </x:c>
      <x:c r="T720" s="8" t="n">
        <x:f>DATE(YEAR(C720),MONTH(C720),1)</x:f>
        <x:v>45778</x:v>
      </x:c>
    </x:row>
    <x:row r="721" ht="22" customHeight="1">
      <x:c r="A721" s="2" t="str">
        <x:v>L000717</x:v>
      </x:c>
      <x:c r="B721" s="2" t="str">
        <x:v>O00297</x:v>
      </x:c>
      <x:c r="C721" s="7" t="n">
        <x:v>46021</x:v>
      </x:c>
      <x:c r="D721" s="2" t="str">
        <x:v>Completed</x:v>
      </x:c>
      <x:c r="E721" s="2" t="str">
        <x:v>West</x:v>
      </x:c>
      <x:c r="F721" s="2" t="str">
        <x:v>Store</x:v>
      </x:c>
      <x:c r="G721" s="2" t="str">
        <x:v>Lighting</x:v>
      </x:c>
      <x:c r="H721" s="2" t="str">
        <x:v>Lamp 017</x:v>
      </x:c>
      <x:c r="I721" s="11" t="n">
        <x:v>3</x:v>
      </x:c>
      <x:c r="J721" s="9" t="n">
        <x:v>300</x:v>
      </x:c>
      <x:c r="K721" s="10" t="n">
        <x:v>0</x:v>
      </x:c>
      <x:c r="L721" s="11" t="n">
        <x:v>0</x:v>
      </x:c>
      <x:c r="M721" s="9" t="n">
        <x:f>IF(D721="Completed",I721*J721,0)</x:f>
        <x:v>900</x:v>
      </x:c>
      <x:c r="N721" s="9" t="n">
        <x:f>M721*K721</x:f>
        <x:v>0</x:v>
      </x:c>
      <x:c r="O721" s="9" t="n">
        <x:f>M721-N721</x:f>
        <x:v>900</x:v>
      </x:c>
      <x:c r="P721" s="9" t="n">
        <x:f>IF(D721="Completed",L721*J721*(1-K721),0)</x:f>
        <x:v>0</x:v>
      </x:c>
      <x:c r="Q721" s="9" t="n">
        <x:f>O721-P721</x:f>
        <x:v>900</x:v>
      </x:c>
      <x:c r="R721" s="11" t="n">
        <x:f>IF(D721="Completed",I721,0)</x:f>
        <x:v>3</x:v>
      </x:c>
      <x:c r="S721" s="11" t="n">
        <x:f>IF(D721="Completed",L721,0)</x:f>
        <x:v>0</x:v>
      </x:c>
      <x:c r="T721" s="8" t="n">
        <x:f>DATE(YEAR(C721),MONTH(C721),1)</x:f>
        <x:v>45992</x:v>
      </x:c>
    </x:row>
    <x:row r="722" ht="22" customHeight="1">
      <x:c r="A722" s="2" t="str">
        <x:v>L000718</x:v>
      </x:c>
      <x:c r="B722" s="2" t="str">
        <x:v>O00298</x:v>
      </x:c>
      <x:c r="C722" s="7" t="n">
        <x:v>46007</x:v>
      </x:c>
      <x:c r="D722" s="2" t="str">
        <x:v>Completed</x:v>
      </x:c>
      <x:c r="E722" s="2" t="str">
        <x:v>North</x:v>
      </x:c>
      <x:c r="F722" s="2" t="str">
        <x:v>Online</x:v>
      </x:c>
      <x:c r="G722" s="2" t="str">
        <x:v>Storage</x:v>
      </x:c>
      <x:c r="H722" s="2" t="str">
        <x:v>Shelf 023</x:v>
      </x:c>
      <x:c r="I722" s="11" t="n">
        <x:v>5</x:v>
      </x:c>
      <x:c r="J722" s="9" t="n">
        <x:v>68</x:v>
      </x:c>
      <x:c r="K722" s="10" t="n">
        <x:v>0</x:v>
      </x:c>
      <x:c r="L722" s="11" t="n">
        <x:v>0</x:v>
      </x:c>
      <x:c r="M722" s="9" t="n">
        <x:f>IF(D722="Completed",I722*J722,0)</x:f>
        <x:v>340</x:v>
      </x:c>
      <x:c r="N722" s="9" t="n">
        <x:f>M722*K722</x:f>
        <x:v>0</x:v>
      </x:c>
      <x:c r="O722" s="9" t="n">
        <x:f>M722-N722</x:f>
        <x:v>340</x:v>
      </x:c>
      <x:c r="P722" s="9" t="n">
        <x:f>IF(D722="Completed",L722*J722*(1-K722),0)</x:f>
        <x:v>0</x:v>
      </x:c>
      <x:c r="Q722" s="9" t="n">
        <x:f>O722-P722</x:f>
        <x:v>340</x:v>
      </x:c>
      <x:c r="R722" s="11" t="n">
        <x:f>IF(D722="Completed",I722,0)</x:f>
        <x:v>5</x:v>
      </x:c>
      <x:c r="S722" s="11" t="n">
        <x:f>IF(D722="Completed",L722,0)</x:f>
        <x:v>0</x:v>
      </x:c>
      <x:c r="T722" s="8" t="n">
        <x:f>DATE(YEAR(C722),MONTH(C722),1)</x:f>
        <x:v>45992</x:v>
      </x:c>
    </x:row>
    <x:row r="723" ht="22" customHeight="1">
      <x:c r="A723" s="2" t="str">
        <x:v>L000719</x:v>
      </x:c>
      <x:c r="B723" s="2" t="str">
        <x:v>O00298</x:v>
      </x:c>
      <x:c r="C723" s="7" t="n">
        <x:v>46007</x:v>
      </x:c>
      <x:c r="D723" s="2" t="str">
        <x:v>Completed</x:v>
      </x:c>
      <x:c r="E723" s="2" t="str">
        <x:v>North</x:v>
      </x:c>
      <x:c r="F723" s="2" t="str">
        <x:v>Online</x:v>
      </x:c>
      <x:c r="G723" s="2" t="str">
        <x:v>Furniture</x:v>
      </x:c>
      <x:c r="H723" s="2" t="str">
        <x:v>Chair 014</x:v>
      </x:c>
      <x:c r="I723" s="11" t="n">
        <x:v>5</x:v>
      </x:c>
      <x:c r="J723" s="9" t="n">
        <x:v>294</x:v>
      </x:c>
      <x:c r="K723" s="10" t="n">
        <x:v>0</x:v>
      </x:c>
      <x:c r="L723" s="11" t="n">
        <x:v>0</x:v>
      </x:c>
      <x:c r="M723" s="9" t="n">
        <x:f>IF(D723="Completed",I723*J723,0)</x:f>
        <x:v>1470</x:v>
      </x:c>
      <x:c r="N723" s="9" t="n">
        <x:f>M723*K723</x:f>
        <x:v>0</x:v>
      </x:c>
      <x:c r="O723" s="9" t="n">
        <x:f>M723-N723</x:f>
        <x:v>1470</x:v>
      </x:c>
      <x:c r="P723" s="9" t="n">
        <x:f>IF(D723="Completed",L723*J723*(1-K723),0)</x:f>
        <x:v>0</x:v>
      </x:c>
      <x:c r="Q723" s="9" t="n">
        <x:f>O723-P723</x:f>
        <x:v>1470</x:v>
      </x:c>
      <x:c r="R723" s="11" t="n">
        <x:f>IF(D723="Completed",I723,0)</x:f>
        <x:v>5</x:v>
      </x:c>
      <x:c r="S723" s="11" t="n">
        <x:f>IF(D723="Completed",L723,0)</x:f>
        <x:v>0</x:v>
      </x:c>
      <x:c r="T723" s="8" t="n">
        <x:f>DATE(YEAR(C723),MONTH(C723),1)</x:f>
        <x:v>45992</x:v>
      </x:c>
    </x:row>
    <x:row r="724" ht="22" customHeight="1">
      <x:c r="A724" s="2" t="str">
        <x:v>L000720</x:v>
      </x:c>
      <x:c r="B724" s="2" t="str">
        <x:v>O00298</x:v>
      </x:c>
      <x:c r="C724" s="7" t="n">
        <x:v>46007</x:v>
      </x:c>
      <x:c r="D724" s="2" t="str">
        <x:v>Completed</x:v>
      </x:c>
      <x:c r="E724" s="2" t="str">
        <x:v>North</x:v>
      </x:c>
      <x:c r="F724" s="2" t="str">
        <x:v>Online</x:v>
      </x:c>
      <x:c r="G724" s="2" t="str">
        <x:v>Storage</x:v>
      </x:c>
      <x:c r="H724" s="2" t="str">
        <x:v>Shelf 019</x:v>
      </x:c>
      <x:c r="I724" s="11" t="n">
        <x:v>1</x:v>
      </x:c>
      <x:c r="J724" s="9" t="n">
        <x:v>78</x:v>
      </x:c>
      <x:c r="K724" s="10" t="n">
        <x:v>0</x:v>
      </x:c>
      <x:c r="L724" s="11" t="n">
        <x:v>0</x:v>
      </x:c>
      <x:c r="M724" s="9" t="n">
        <x:f>IF(D724="Completed",I724*J724,0)</x:f>
        <x:v>78</x:v>
      </x:c>
      <x:c r="N724" s="9" t="n">
        <x:f>M724*K724</x:f>
        <x:v>0</x:v>
      </x:c>
      <x:c r="O724" s="9" t="n">
        <x:f>M724-N724</x:f>
        <x:v>78</x:v>
      </x:c>
      <x:c r="P724" s="9" t="n">
        <x:f>IF(D724="Completed",L724*J724*(1-K724),0)</x:f>
        <x:v>0</x:v>
      </x:c>
      <x:c r="Q724" s="9" t="n">
        <x:f>O724-P724</x:f>
        <x:v>78</x:v>
      </x:c>
      <x:c r="R724" s="11" t="n">
        <x:f>IF(D724="Completed",I724,0)</x:f>
        <x:v>1</x:v>
      </x:c>
      <x:c r="S724" s="11" t="n">
        <x:f>IF(D724="Completed",L724,0)</x:f>
        <x:v>0</x:v>
      </x:c>
      <x:c r="T724" s="8" t="n">
        <x:f>DATE(YEAR(C724),MONTH(C724),1)</x:f>
        <x:v>45992</x:v>
      </x:c>
    </x:row>
    <x:row r="725" ht="22" customHeight="1">
      <x:c r="A725" s="2" t="str">
        <x:v>L000721</x:v>
      </x:c>
      <x:c r="B725" s="2" t="str">
        <x:v>O00298</x:v>
      </x:c>
      <x:c r="C725" s="7" t="n">
        <x:v>46007</x:v>
      </x:c>
      <x:c r="D725" s="2" t="str">
        <x:v>Completed</x:v>
      </x:c>
      <x:c r="E725" s="2" t="str">
        <x:v>North</x:v>
      </x:c>
      <x:c r="F725" s="2" t="str">
        <x:v>Online</x:v>
      </x:c>
      <x:c r="G725" s="2" t="str">
        <x:v>Furniture</x:v>
      </x:c>
      <x:c r="H725" s="2" t="str">
        <x:v>Chair 022</x:v>
      </x:c>
      <x:c r="I725" s="11" t="n">
        <x:v>2</x:v>
      </x:c>
      <x:c r="J725" s="9" t="n">
        <x:v>134</x:v>
      </x:c>
      <x:c r="K725" s="10" t="n">
        <x:v>0.1</x:v>
      </x:c>
      <x:c r="L725" s="11" t="n">
        <x:v>0</x:v>
      </x:c>
      <x:c r="M725" s="9" t="n">
        <x:f>IF(D725="Completed",I725*J725,0)</x:f>
        <x:v>268</x:v>
      </x:c>
      <x:c r="N725" s="9" t="n">
        <x:f>M725*K725</x:f>
        <x:v>26.8</x:v>
      </x:c>
      <x:c r="O725" s="9" t="n">
        <x:f>M725-N725</x:f>
        <x:v>241.2</x:v>
      </x:c>
      <x:c r="P725" s="9" t="n">
        <x:f>IF(D725="Completed",L725*J725*(1-K725),0)</x:f>
        <x:v>0</x:v>
      </x:c>
      <x:c r="Q725" s="9" t="n">
        <x:f>O725-P725</x:f>
        <x:v>241.2</x:v>
      </x:c>
      <x:c r="R725" s="11" t="n">
        <x:f>IF(D725="Completed",I725,0)</x:f>
        <x:v>2</x:v>
      </x:c>
      <x:c r="S725" s="11" t="n">
        <x:f>IF(D725="Completed",L725,0)</x:f>
        <x:v>0</x:v>
      </x:c>
      <x:c r="T725" s="8" t="n">
        <x:f>DATE(YEAR(C725),MONTH(C725),1)</x:f>
        <x:v>45992</x:v>
      </x:c>
    </x:row>
    <x:row r="726" ht="22" customHeight="1">
      <x:c r="A726" s="2" t="str">
        <x:v>L000722</x:v>
      </x:c>
      <x:c r="B726" s="2" t="str">
        <x:v>O00299</x:v>
      </x:c>
      <x:c r="C726" s="7" t="n">
        <x:v>45660</x:v>
      </x:c>
      <x:c r="D726" s="2" t="str">
        <x:v>Completed</x:v>
      </x:c>
      <x:c r="E726" s="2" t="str">
        <x:v>North</x:v>
      </x:c>
      <x:c r="F726" s="2" t="str">
        <x:v>Online</x:v>
      </x:c>
      <x:c r="G726" s="2" t="str">
        <x:v>Lighting</x:v>
      </x:c>
      <x:c r="H726" s="2" t="str">
        <x:v>Lamp 001</x:v>
      </x:c>
      <x:c r="I726" s="11" t="n">
        <x:v>1</x:v>
      </x:c>
      <x:c r="J726" s="9" t="n">
        <x:v>122</x:v>
      </x:c>
      <x:c r="K726" s="10" t="n">
        <x:v>0</x:v>
      </x:c>
      <x:c r="L726" s="11" t="n">
        <x:v>0</x:v>
      </x:c>
      <x:c r="M726" s="9" t="n">
        <x:f>IF(D726="Completed",I726*J726,0)</x:f>
        <x:v>122</x:v>
      </x:c>
      <x:c r="N726" s="9" t="n">
        <x:f>M726*K726</x:f>
        <x:v>0</x:v>
      </x:c>
      <x:c r="O726" s="9" t="n">
        <x:f>M726-N726</x:f>
        <x:v>122</x:v>
      </x:c>
      <x:c r="P726" s="9" t="n">
        <x:f>IF(D726="Completed",L726*J726*(1-K726),0)</x:f>
        <x:v>0</x:v>
      </x:c>
      <x:c r="Q726" s="9" t="n">
        <x:f>O726-P726</x:f>
        <x:v>122</x:v>
      </x:c>
      <x:c r="R726" s="11" t="n">
        <x:f>IF(D726="Completed",I726,0)</x:f>
        <x:v>1</x:v>
      </x:c>
      <x:c r="S726" s="11" t="n">
        <x:f>IF(D726="Completed",L726,0)</x:f>
        <x:v>0</x:v>
      </x:c>
      <x:c r="T726" s="8" t="n">
        <x:f>DATE(YEAR(C726),MONTH(C726),1)</x:f>
        <x:v>45658</x:v>
      </x:c>
    </x:row>
    <x:row r="727" ht="22" customHeight="1">
      <x:c r="A727" s="2" t="str">
        <x:v>L000723</x:v>
      </x:c>
      <x:c r="B727" s="2" t="str">
        <x:v>O00300</x:v>
      </x:c>
      <x:c r="C727" s="7" t="n">
        <x:v>45878</x:v>
      </x:c>
      <x:c r="D727" s="2" t="str">
        <x:v>Completed</x:v>
      </x:c>
      <x:c r="E727" s="2" t="str">
        <x:v>North</x:v>
      </x:c>
      <x:c r="F727" s="2" t="str">
        <x:v>Online</x:v>
      </x:c>
      <x:c r="G727" s="2" t="str">
        <x:v>Furniture</x:v>
      </x:c>
      <x:c r="H727" s="2" t="str">
        <x:v>Chair 018</x:v>
      </x:c>
      <x:c r="I727" s="11" t="n">
        <x:v>3</x:v>
      </x:c>
      <x:c r="J727" s="9" t="n">
        <x:v>269</x:v>
      </x:c>
      <x:c r="K727" s="10" t="n">
        <x:v>0.05</x:v>
      </x:c>
      <x:c r="L727" s="11" t="n">
        <x:v>0</x:v>
      </x:c>
      <x:c r="M727" s="9" t="n">
        <x:f>IF(D727="Completed",I727*J727,0)</x:f>
        <x:v>807</x:v>
      </x:c>
      <x:c r="N727" s="9" t="n">
        <x:f>M727*K727</x:f>
        <x:v>40.35</x:v>
      </x:c>
      <x:c r="O727" s="9" t="n">
        <x:f>M727-N727</x:f>
        <x:v>766.65</x:v>
      </x:c>
      <x:c r="P727" s="9" t="n">
        <x:f>IF(D727="Completed",L727*J727*(1-K727),0)</x:f>
        <x:v>0</x:v>
      </x:c>
      <x:c r="Q727" s="9" t="n">
        <x:f>O727-P727</x:f>
        <x:v>766.65</x:v>
      </x:c>
      <x:c r="R727" s="11" t="n">
        <x:f>IF(D727="Completed",I727,0)</x:f>
        <x:v>3</x:v>
      </x:c>
      <x:c r="S727" s="11" t="n">
        <x:f>IF(D727="Completed",L727,0)</x:f>
        <x:v>0</x:v>
      </x:c>
      <x:c r="T727" s="8" t="n">
        <x:f>DATE(YEAR(C727),MONTH(C727),1)</x:f>
        <x:v>45870</x:v>
      </x:c>
    </x:row>
    <x:row r="728" ht="22" customHeight="1">
      <x:c r="A728" s="2" t="str">
        <x:v>L000724</x:v>
      </x:c>
      <x:c r="B728" s="2" t="str">
        <x:v>O00300</x:v>
      </x:c>
      <x:c r="C728" s="7" t="n">
        <x:v>45878</x:v>
      </x:c>
      <x:c r="D728" s="2" t="str">
        <x:v>Completed</x:v>
      </x:c>
      <x:c r="E728" s="2" t="str">
        <x:v>North</x:v>
      </x:c>
      <x:c r="F728" s="2" t="str">
        <x:v>Online</x:v>
      </x:c>
      <x:c r="G728" s="2" t="str">
        <x:v>Storage</x:v>
      </x:c>
      <x:c r="H728" s="2" t="str">
        <x:v>Shelf 003</x:v>
      </x:c>
      <x:c r="I728" s="11" t="n">
        <x:v>1</x:v>
      </x:c>
      <x:c r="J728" s="9" t="n">
        <x:v>199</x:v>
      </x:c>
      <x:c r="K728" s="10" t="n">
        <x:v>0.1</x:v>
      </x:c>
      <x:c r="L728" s="11" t="n">
        <x:v>0</x:v>
      </x:c>
      <x:c r="M728" s="9" t="n">
        <x:f>IF(D728="Completed",I728*J728,0)</x:f>
        <x:v>199</x:v>
      </x:c>
      <x:c r="N728" s="9" t="n">
        <x:f>M728*K728</x:f>
        <x:v>19.900000000000002</x:v>
      </x:c>
      <x:c r="O728" s="9" t="n">
        <x:f>M728-N728</x:f>
        <x:v>179.1</x:v>
      </x:c>
      <x:c r="P728" s="9" t="n">
        <x:f>IF(D728="Completed",L728*J728*(1-K728),0)</x:f>
        <x:v>0</x:v>
      </x:c>
      <x:c r="Q728" s="9" t="n">
        <x:f>O728-P728</x:f>
        <x:v>179.1</x:v>
      </x:c>
      <x:c r="R728" s="11" t="n">
        <x:f>IF(D728="Completed",I728,0)</x:f>
        <x:v>1</x:v>
      </x:c>
      <x:c r="S728" s="11" t="n">
        <x:f>IF(D728="Completed",L728,0)</x:f>
        <x:v>0</x:v>
      </x:c>
      <x:c r="T728" s="8" t="n">
        <x:f>DATE(YEAR(C728),MONTH(C728),1)</x:f>
        <x:v>45870</x:v>
      </x:c>
    </x:row>
    <x:row r="729" ht="22" customHeight="1">
      <x:c r="A729" s="2" t="str">
        <x:v>L000725</x:v>
      </x:c>
      <x:c r="B729" s="2" t="str">
        <x:v>O00300</x:v>
      </x:c>
      <x:c r="C729" s="7" t="n">
        <x:v>45878</x:v>
      </x:c>
      <x:c r="D729" s="2" t="str">
        <x:v>Completed</x:v>
      </x:c>
      <x:c r="E729" s="2" t="str">
        <x:v>North</x:v>
      </x:c>
      <x:c r="F729" s="2" t="str">
        <x:v>Online</x:v>
      </x:c>
      <x:c r="G729" s="2" t="str">
        <x:v>Furniture</x:v>
      </x:c>
      <x:c r="H729" s="2" t="str">
        <x:v>Chair 010</x:v>
      </x:c>
      <x:c r="I729" s="11" t="n">
        <x:v>3</x:v>
      </x:c>
      <x:c r="J729" s="9" t="n">
        <x:v>211</x:v>
      </x:c>
      <x:c r="K729" s="10" t="n">
        <x:v>0.2</x:v>
      </x:c>
      <x:c r="L729" s="11" t="n">
        <x:v>0</x:v>
      </x:c>
      <x:c r="M729" s="9" t="n">
        <x:f>IF(D729="Completed",I729*J729,0)</x:f>
        <x:v>633</x:v>
      </x:c>
      <x:c r="N729" s="9" t="n">
        <x:f>M729*K729</x:f>
        <x:v>126.60000000000001</x:v>
      </x:c>
      <x:c r="O729" s="9" t="n">
        <x:f>M729-N729</x:f>
        <x:v>506.4</x:v>
      </x:c>
      <x:c r="P729" s="9" t="n">
        <x:f>IF(D729="Completed",L729*J729*(1-K729),0)</x:f>
        <x:v>0</x:v>
      </x:c>
      <x:c r="Q729" s="9" t="n">
        <x:f>O729-P729</x:f>
        <x:v>506.4</x:v>
      </x:c>
      <x:c r="R729" s="11" t="n">
        <x:f>IF(D729="Completed",I729,0)</x:f>
        <x:v>3</x:v>
      </x:c>
      <x:c r="S729" s="11" t="n">
        <x:f>IF(D729="Completed",L729,0)</x:f>
        <x:v>0</x:v>
      </x:c>
      <x:c r="T729" s="8" t="n">
        <x:f>DATE(YEAR(C729),MONTH(C729),1)</x:f>
        <x:v>45870</x:v>
      </x:c>
    </x:row>
    <x:row r="730" ht="22" customHeight="1">
      <x:c r="A730" s="2" t="str">
        <x:v>L000726</x:v>
      </x:c>
      <x:c r="B730" s="2" t="str">
        <x:v>O00301</x:v>
      </x:c>
      <x:c r="C730" s="7" t="n">
        <x:v>45780</x:v>
      </x:c>
      <x:c r="D730" s="2" t="str">
        <x:v>Completed</x:v>
      </x:c>
      <x:c r="E730" s="2" t="str">
        <x:v>East</x:v>
      </x:c>
      <x:c r="F730" s="2" t="str">
        <x:v>Online</x:v>
      </x:c>
      <x:c r="G730" s="2" t="str">
        <x:v>Storage</x:v>
      </x:c>
      <x:c r="H730" s="2" t="str">
        <x:v>Shelf 003</x:v>
      </x:c>
      <x:c r="I730" s="11" t="n">
        <x:v>1</x:v>
      </x:c>
      <x:c r="J730" s="9" t="n">
        <x:v>199</x:v>
      </x:c>
      <x:c r="K730" s="10" t="n">
        <x:v>0</x:v>
      </x:c>
      <x:c r="L730" s="11" t="n">
        <x:v>0</x:v>
      </x:c>
      <x:c r="M730" s="9" t="n">
        <x:f>IF(D730="Completed",I730*J730,0)</x:f>
        <x:v>199</x:v>
      </x:c>
      <x:c r="N730" s="9" t="n">
        <x:f>M730*K730</x:f>
        <x:v>0</x:v>
      </x:c>
      <x:c r="O730" s="9" t="n">
        <x:f>M730-N730</x:f>
        <x:v>199</x:v>
      </x:c>
      <x:c r="P730" s="9" t="n">
        <x:f>IF(D730="Completed",L730*J730*(1-K730),0)</x:f>
        <x:v>0</x:v>
      </x:c>
      <x:c r="Q730" s="9" t="n">
        <x:f>O730-P730</x:f>
        <x:v>199</x:v>
      </x:c>
      <x:c r="R730" s="11" t="n">
        <x:f>IF(D730="Completed",I730,0)</x:f>
        <x:v>1</x:v>
      </x:c>
      <x:c r="S730" s="11" t="n">
        <x:f>IF(D730="Completed",L730,0)</x:f>
        <x:v>0</x:v>
      </x:c>
      <x:c r="T730" s="8" t="n">
        <x:f>DATE(YEAR(C730),MONTH(C730),1)</x:f>
        <x:v>45778</x:v>
      </x:c>
    </x:row>
    <x:row r="731" ht="22" customHeight="1">
      <x:c r="A731" s="2" t="str">
        <x:v>L000727</x:v>
      </x:c>
      <x:c r="B731" s="2" t="str">
        <x:v>O00302</x:v>
      </x:c>
      <x:c r="C731" s="7" t="n">
        <x:v>45975</x:v>
      </x:c>
      <x:c r="D731" s="2" t="str">
        <x:v>Completed</x:v>
      </x:c>
      <x:c r="E731" s="2" t="str">
        <x:v>North</x:v>
      </x:c>
      <x:c r="F731" s="2" t="str">
        <x:v>Online</x:v>
      </x:c>
      <x:c r="G731" s="2" t="str">
        <x:v>Lighting</x:v>
      </x:c>
      <x:c r="H731" s="2" t="str">
        <x:v>Lamp 009</x:v>
      </x:c>
      <x:c r="I731" s="11" t="n">
        <x:v>4</x:v>
      </x:c>
      <x:c r="J731" s="9" t="n">
        <x:v>93</x:v>
      </x:c>
      <x:c r="K731" s="10" t="n">
        <x:v>0.2</x:v>
      </x:c>
      <x:c r="L731" s="11" t="n">
        <x:v>0</x:v>
      </x:c>
      <x:c r="M731" s="9" t="n">
        <x:f>IF(D731="Completed",I731*J731,0)</x:f>
        <x:v>372</x:v>
      </x:c>
      <x:c r="N731" s="9" t="n">
        <x:f>M731*K731</x:f>
        <x:v>74.4</x:v>
      </x:c>
      <x:c r="O731" s="9" t="n">
        <x:f>M731-N731</x:f>
        <x:v>297.6</x:v>
      </x:c>
      <x:c r="P731" s="9" t="n">
        <x:f>IF(D731="Completed",L731*J731*(1-K731),0)</x:f>
        <x:v>0</x:v>
      </x:c>
      <x:c r="Q731" s="9" t="n">
        <x:f>O731-P731</x:f>
        <x:v>297.6</x:v>
      </x:c>
      <x:c r="R731" s="11" t="n">
        <x:f>IF(D731="Completed",I731,0)</x:f>
        <x:v>4</x:v>
      </x:c>
      <x:c r="S731" s="11" t="n">
        <x:f>IF(D731="Completed",L731,0)</x:f>
        <x:v>0</x:v>
      </x:c>
      <x:c r="T731" s="8" t="n">
        <x:f>DATE(YEAR(C731),MONTH(C731),1)</x:f>
        <x:v>45962</x:v>
      </x:c>
    </x:row>
    <x:row r="732" ht="22" customHeight="1">
      <x:c r="A732" s="2" t="str">
        <x:v>L000728</x:v>
      </x:c>
      <x:c r="B732" s="2" t="str">
        <x:v>O00303</x:v>
      </x:c>
      <x:c r="C732" s="7" t="n">
        <x:v>45743</x:v>
      </x:c>
      <x:c r="D732" s="2" t="str">
        <x:v>Completed</x:v>
      </x:c>
      <x:c r="E732" s="2" t="str">
        <x:v>South</x:v>
      </x:c>
      <x:c r="F732" s="2" t="str">
        <x:v>Online</x:v>
      </x:c>
      <x:c r="G732" s="2" t="str">
        <x:v>Storage</x:v>
      </x:c>
      <x:c r="H732" s="2" t="str">
        <x:v>Shelf 023</x:v>
      </x:c>
      <x:c r="I732" s="11" t="n">
        <x:v>4</x:v>
      </x:c>
      <x:c r="J732" s="9" t="n">
        <x:v>68</x:v>
      </x:c>
      <x:c r="K732" s="10" t="n">
        <x:v>0.05</x:v>
      </x:c>
      <x:c r="L732" s="11" t="n">
        <x:v>0</x:v>
      </x:c>
      <x:c r="M732" s="9" t="n">
        <x:f>IF(D732="Completed",I732*J732,0)</x:f>
        <x:v>272</x:v>
      </x:c>
      <x:c r="N732" s="9" t="n">
        <x:f>M732*K732</x:f>
        <x:v>13.600000000000001</x:v>
      </x:c>
      <x:c r="O732" s="9" t="n">
        <x:f>M732-N732</x:f>
        <x:v>258.4</x:v>
      </x:c>
      <x:c r="P732" s="9" t="n">
        <x:f>IF(D732="Completed",L732*J732*(1-K732),0)</x:f>
        <x:v>0</x:v>
      </x:c>
      <x:c r="Q732" s="9" t="n">
        <x:f>O732-P732</x:f>
        <x:v>258.4</x:v>
      </x:c>
      <x:c r="R732" s="11" t="n">
        <x:f>IF(D732="Completed",I732,0)</x:f>
        <x:v>4</x:v>
      </x:c>
      <x:c r="S732" s="11" t="n">
        <x:f>IF(D732="Completed",L732,0)</x:f>
        <x:v>0</x:v>
      </x:c>
      <x:c r="T732" s="8" t="n">
        <x:f>DATE(YEAR(C732),MONTH(C732),1)</x:f>
        <x:v>45717</x:v>
      </x:c>
    </x:row>
    <x:row r="733" ht="22" customHeight="1">
      <x:c r="A733" s="2" t="str">
        <x:v>L000729</x:v>
      </x:c>
      <x:c r="B733" s="2" t="str">
        <x:v>O00303</x:v>
      </x:c>
      <x:c r="C733" s="7" t="n">
        <x:v>45743</x:v>
      </x:c>
      <x:c r="D733" s="2" t="str">
        <x:v>Completed</x:v>
      </x:c>
      <x:c r="E733" s="2" t="str">
        <x:v>South</x:v>
      </x:c>
      <x:c r="F733" s="2" t="str">
        <x:v>Online</x:v>
      </x:c>
      <x:c r="G733" s="2" t="str">
        <x:v>Lighting</x:v>
      </x:c>
      <x:c r="H733" s="2" t="str">
        <x:v>Lamp 017</x:v>
      </x:c>
      <x:c r="I733" s="11" t="n">
        <x:v>5</x:v>
      </x:c>
      <x:c r="J733" s="9" t="n">
        <x:v>300</x:v>
      </x:c>
      <x:c r="K733" s="10" t="n">
        <x:v>0.1</x:v>
      </x:c>
      <x:c r="L733" s="11" t="n">
        <x:v>0</x:v>
      </x:c>
      <x:c r="M733" s="9" t="n">
        <x:f>IF(D733="Completed",I733*J733,0)</x:f>
        <x:v>1500</x:v>
      </x:c>
      <x:c r="N733" s="9" t="n">
        <x:f>M733*K733</x:f>
        <x:v>150</x:v>
      </x:c>
      <x:c r="O733" s="9" t="n">
        <x:f>M733-N733</x:f>
        <x:v>1350</x:v>
      </x:c>
      <x:c r="P733" s="9" t="n">
        <x:f>IF(D733="Completed",L733*J733*(1-K733),0)</x:f>
        <x:v>0</x:v>
      </x:c>
      <x:c r="Q733" s="9" t="n">
        <x:f>O733-P733</x:f>
        <x:v>1350</x:v>
      </x:c>
      <x:c r="R733" s="11" t="n">
        <x:f>IF(D733="Completed",I733,0)</x:f>
        <x:v>5</x:v>
      </x:c>
      <x:c r="S733" s="11" t="n">
        <x:f>IF(D733="Completed",L733,0)</x:f>
        <x:v>0</x:v>
      </x:c>
      <x:c r="T733" s="8" t="n">
        <x:f>DATE(YEAR(C733),MONTH(C733),1)</x:f>
        <x:v>45717</x:v>
      </x:c>
    </x:row>
    <x:row r="734" ht="22" customHeight="1">
      <x:c r="A734" s="2" t="str">
        <x:v>L000730</x:v>
      </x:c>
      <x:c r="B734" s="2" t="str">
        <x:v>O00303</x:v>
      </x:c>
      <x:c r="C734" s="7" t="n">
        <x:v>45743</x:v>
      </x:c>
      <x:c r="D734" s="2" t="str">
        <x:v>Completed</x:v>
      </x:c>
      <x:c r="E734" s="2" t="str">
        <x:v>South</x:v>
      </x:c>
      <x:c r="F734" s="2" t="str">
        <x:v>Online</x:v>
      </x:c>
      <x:c r="G734" s="2" t="str">
        <x:v>Furniture</x:v>
      </x:c>
      <x:c r="H734" s="2" t="str">
        <x:v>Desk 004</x:v>
      </x:c>
      <x:c r="I734" s="11" t="n">
        <x:v>3</x:v>
      </x:c>
      <x:c r="J734" s="9" t="n">
        <x:v>123</x:v>
      </x:c>
      <x:c r="K734" s="10" t="n">
        <x:v>0.05</x:v>
      </x:c>
      <x:c r="L734" s="11" t="n">
        <x:v>0</x:v>
      </x:c>
      <x:c r="M734" s="9" t="n">
        <x:f>IF(D734="Completed",I734*J734,0)</x:f>
        <x:v>369</x:v>
      </x:c>
      <x:c r="N734" s="9" t="n">
        <x:f>M734*K734</x:f>
        <x:v>18.45</x:v>
      </x:c>
      <x:c r="O734" s="9" t="n">
        <x:f>M734-N734</x:f>
        <x:v>350.55</x:v>
      </x:c>
      <x:c r="P734" s="9" t="n">
        <x:f>IF(D734="Completed",L734*J734*(1-K734),0)</x:f>
        <x:v>0</x:v>
      </x:c>
      <x:c r="Q734" s="9" t="n">
        <x:f>O734-P734</x:f>
        <x:v>350.55</x:v>
      </x:c>
      <x:c r="R734" s="11" t="n">
        <x:f>IF(D734="Completed",I734,0)</x:f>
        <x:v>3</x:v>
      </x:c>
      <x:c r="S734" s="11" t="n">
        <x:f>IF(D734="Completed",L734,0)</x:f>
        <x:v>0</x:v>
      </x:c>
      <x:c r="T734" s="8" t="n">
        <x:f>DATE(YEAR(C734),MONTH(C734),1)</x:f>
        <x:v>45717</x:v>
      </x:c>
    </x:row>
    <x:row r="735" ht="22" customHeight="1">
      <x:c r="A735" s="2" t="str">
        <x:v>L000731</x:v>
      </x:c>
      <x:c r="B735" s="2" t="str">
        <x:v>O00303</x:v>
      </x:c>
      <x:c r="C735" s="7" t="n">
        <x:v>45743</x:v>
      </x:c>
      <x:c r="D735" s="2" t="str">
        <x:v>Completed</x:v>
      </x:c>
      <x:c r="E735" s="2" t="str">
        <x:v>South</x:v>
      </x:c>
      <x:c r="F735" s="2" t="str">
        <x:v>Online</x:v>
      </x:c>
      <x:c r="G735" s="2" t="str">
        <x:v>Storage</x:v>
      </x:c>
      <x:c r="H735" s="2" t="str">
        <x:v>Shelf 011</x:v>
      </x:c>
      <x:c r="I735" s="11" t="n">
        <x:v>3</x:v>
      </x:c>
      <x:c r="J735" s="9" t="n">
        <x:v>80</x:v>
      </x:c>
      <x:c r="K735" s="10" t="n">
        <x:v>0</x:v>
      </x:c>
      <x:c r="L735" s="11" t="n">
        <x:v>0</x:v>
      </x:c>
      <x:c r="M735" s="9" t="n">
        <x:f>IF(D735="Completed",I735*J735,0)</x:f>
        <x:v>240</x:v>
      </x:c>
      <x:c r="N735" s="9" t="n">
        <x:f>M735*K735</x:f>
        <x:v>0</x:v>
      </x:c>
      <x:c r="O735" s="9" t="n">
        <x:f>M735-N735</x:f>
        <x:v>240</x:v>
      </x:c>
      <x:c r="P735" s="9" t="n">
        <x:f>IF(D735="Completed",L735*J735*(1-K735),0)</x:f>
        <x:v>0</x:v>
      </x:c>
      <x:c r="Q735" s="9" t="n">
        <x:f>O735-P735</x:f>
        <x:v>240</x:v>
      </x:c>
      <x:c r="R735" s="11" t="n">
        <x:f>IF(D735="Completed",I735,0)</x:f>
        <x:v>3</x:v>
      </x:c>
      <x:c r="S735" s="11" t="n">
        <x:f>IF(D735="Completed",L735,0)</x:f>
        <x:v>0</x:v>
      </x:c>
      <x:c r="T735" s="8" t="n">
        <x:f>DATE(YEAR(C735),MONTH(C735),1)</x:f>
        <x:v>45717</x:v>
      </x:c>
    </x:row>
    <x:row r="736" ht="22" customHeight="1">
      <x:c r="A736" s="2" t="str">
        <x:v>L000732</x:v>
      </x:c>
      <x:c r="B736" s="2" t="str">
        <x:v>O00304</x:v>
      </x:c>
      <x:c r="C736" s="7" t="n">
        <x:v>45782</x:v>
      </x:c>
      <x:c r="D736" s="2" t="str">
        <x:v>Completed</x:v>
      </x:c>
      <x:c r="E736" s="2" t="str">
        <x:v>West</x:v>
      </x:c>
      <x:c r="F736" s="2" t="str">
        <x:v>Online</x:v>
      </x:c>
      <x:c r="G736" s="2" t="str">
        <x:v>Furniture</x:v>
      </x:c>
      <x:c r="H736" s="2" t="str">
        <x:v>Desk 008</x:v>
      </x:c>
      <x:c r="I736" s="11" t="n">
        <x:v>4</x:v>
      </x:c>
      <x:c r="J736" s="9" t="n">
        <x:v>188</x:v>
      </x:c>
      <x:c r="K736" s="10" t="n">
        <x:v>0</x:v>
      </x:c>
      <x:c r="L736" s="11" t="n">
        <x:v>0</x:v>
      </x:c>
      <x:c r="M736" s="9" t="n">
        <x:f>IF(D736="Completed",I736*J736,0)</x:f>
        <x:v>752</x:v>
      </x:c>
      <x:c r="N736" s="9" t="n">
        <x:f>M736*K736</x:f>
        <x:v>0</x:v>
      </x:c>
      <x:c r="O736" s="9" t="n">
        <x:f>M736-N736</x:f>
        <x:v>752</x:v>
      </x:c>
      <x:c r="P736" s="9" t="n">
        <x:f>IF(D736="Completed",L736*J736*(1-K736),0)</x:f>
        <x:v>0</x:v>
      </x:c>
      <x:c r="Q736" s="9" t="n">
        <x:f>O736-P736</x:f>
        <x:v>752</x:v>
      </x:c>
      <x:c r="R736" s="11" t="n">
        <x:f>IF(D736="Completed",I736,0)</x:f>
        <x:v>4</x:v>
      </x:c>
      <x:c r="S736" s="11" t="n">
        <x:f>IF(D736="Completed",L736,0)</x:f>
        <x:v>0</x:v>
      </x:c>
      <x:c r="T736" s="8" t="n">
        <x:f>DATE(YEAR(C736),MONTH(C736),1)</x:f>
        <x:v>45778</x:v>
      </x:c>
    </x:row>
    <x:row r="737" ht="22" customHeight="1">
      <x:c r="A737" s="2" t="str">
        <x:v>L000733</x:v>
      </x:c>
      <x:c r="B737" s="2" t="str">
        <x:v>O00304</x:v>
      </x:c>
      <x:c r="C737" s="7" t="n">
        <x:v>45782</x:v>
      </x:c>
      <x:c r="D737" s="2" t="str">
        <x:v>Completed</x:v>
      </x:c>
      <x:c r="E737" s="2" t="str">
        <x:v>West</x:v>
      </x:c>
      <x:c r="F737" s="2" t="str">
        <x:v>Online</x:v>
      </x:c>
      <x:c r="G737" s="2" t="str">
        <x:v>Lighting</x:v>
      </x:c>
      <x:c r="H737" s="2" t="str">
        <x:v>Lamp 005</x:v>
      </x:c>
      <x:c r="I737" s="11" t="n">
        <x:v>3</x:v>
      </x:c>
      <x:c r="J737" s="9" t="n">
        <x:v>65</x:v>
      </x:c>
      <x:c r="K737" s="10" t="n">
        <x:v>0.1</x:v>
      </x:c>
      <x:c r="L737" s="11" t="n">
        <x:v>0</x:v>
      </x:c>
      <x:c r="M737" s="9" t="n">
        <x:f>IF(D737="Completed",I737*J737,0)</x:f>
        <x:v>195</x:v>
      </x:c>
      <x:c r="N737" s="9" t="n">
        <x:f>M737*K737</x:f>
        <x:v>19.5</x:v>
      </x:c>
      <x:c r="O737" s="9" t="n">
        <x:f>M737-N737</x:f>
        <x:v>175.5</x:v>
      </x:c>
      <x:c r="P737" s="9" t="n">
        <x:f>IF(D737="Completed",L737*J737*(1-K737),0)</x:f>
        <x:v>0</x:v>
      </x:c>
      <x:c r="Q737" s="9" t="n">
        <x:f>O737-P737</x:f>
        <x:v>175.5</x:v>
      </x:c>
      <x:c r="R737" s="11" t="n">
        <x:f>IF(D737="Completed",I737,0)</x:f>
        <x:v>3</x:v>
      </x:c>
      <x:c r="S737" s="11" t="n">
        <x:f>IF(D737="Completed",L737,0)</x:f>
        <x:v>0</x:v>
      </x:c>
      <x:c r="T737" s="8" t="n">
        <x:f>DATE(YEAR(C737),MONTH(C737),1)</x:f>
        <x:v>45778</x:v>
      </x:c>
    </x:row>
    <x:row r="738" ht="22" customHeight="1">
      <x:c r="A738" s="2" t="str">
        <x:v>L000734</x:v>
      </x:c>
      <x:c r="B738" s="2" t="str">
        <x:v>O00304</x:v>
      </x:c>
      <x:c r="C738" s="7" t="n">
        <x:v>45782</x:v>
      </x:c>
      <x:c r="D738" s="2" t="str">
        <x:v>Completed</x:v>
      </x:c>
      <x:c r="E738" s="2" t="str">
        <x:v>West</x:v>
      </x:c>
      <x:c r="F738" s="2" t="str">
        <x:v>Online</x:v>
      </x:c>
      <x:c r="G738" s="2" t="str">
        <x:v>Furniture</x:v>
      </x:c>
      <x:c r="H738" s="2" t="str">
        <x:v>Desk 004</x:v>
      </x:c>
      <x:c r="I738" s="11" t="n">
        <x:v>3</x:v>
      </x:c>
      <x:c r="J738" s="9" t="n">
        <x:v>123</x:v>
      </x:c>
      <x:c r="K738" s="10" t="n">
        <x:v>0</x:v>
      </x:c>
      <x:c r="L738" s="11" t="n">
        <x:v>0</x:v>
      </x:c>
      <x:c r="M738" s="9" t="n">
        <x:f>IF(D738="Completed",I738*J738,0)</x:f>
        <x:v>369</x:v>
      </x:c>
      <x:c r="N738" s="9" t="n">
        <x:f>M738*K738</x:f>
        <x:v>0</x:v>
      </x:c>
      <x:c r="O738" s="9" t="n">
        <x:f>M738-N738</x:f>
        <x:v>369</x:v>
      </x:c>
      <x:c r="P738" s="9" t="n">
        <x:f>IF(D738="Completed",L738*J738*(1-K738),0)</x:f>
        <x:v>0</x:v>
      </x:c>
      <x:c r="Q738" s="9" t="n">
        <x:f>O738-P738</x:f>
        <x:v>369</x:v>
      </x:c>
      <x:c r="R738" s="11" t="n">
        <x:f>IF(D738="Completed",I738,0)</x:f>
        <x:v>3</x:v>
      </x:c>
      <x:c r="S738" s="11" t="n">
        <x:f>IF(D738="Completed",L738,0)</x:f>
        <x:v>0</x:v>
      </x:c>
      <x:c r="T738" s="8" t="n">
        <x:f>DATE(YEAR(C738),MONTH(C738),1)</x:f>
        <x:v>45778</x:v>
      </x:c>
    </x:row>
    <x:row r="739" ht="22" customHeight="1">
      <x:c r="A739" s="2" t="str">
        <x:v>L000735</x:v>
      </x:c>
      <x:c r="B739" s="2" t="str">
        <x:v>O00305</x:v>
      </x:c>
      <x:c r="C739" s="7" t="n">
        <x:v>45677</x:v>
      </x:c>
      <x:c r="D739" s="2" t="str">
        <x:v>Completed</x:v>
      </x:c>
      <x:c r="E739" s="2" t="str">
        <x:v>North</x:v>
      </x:c>
      <x:c r="F739" s="2" t="str">
        <x:v>Online</x:v>
      </x:c>
      <x:c r="G739" s="2" t="str">
        <x:v>Storage</x:v>
      </x:c>
      <x:c r="H739" s="2" t="str">
        <x:v>Shelf 011</x:v>
      </x:c>
      <x:c r="I739" s="11" t="n">
        <x:v>3</x:v>
      </x:c>
      <x:c r="J739" s="9" t="n">
        <x:v>80</x:v>
      </x:c>
      <x:c r="K739" s="10" t="n">
        <x:v>0</x:v>
      </x:c>
      <x:c r="L739" s="11" t="n">
        <x:v>0</x:v>
      </x:c>
      <x:c r="M739" s="9" t="n">
        <x:f>IF(D739="Completed",I739*J739,0)</x:f>
        <x:v>240</x:v>
      </x:c>
      <x:c r="N739" s="9" t="n">
        <x:f>M739*K739</x:f>
        <x:v>0</x:v>
      </x:c>
      <x:c r="O739" s="9" t="n">
        <x:f>M739-N739</x:f>
        <x:v>240</x:v>
      </x:c>
      <x:c r="P739" s="9" t="n">
        <x:f>IF(D739="Completed",L739*J739*(1-K739),0)</x:f>
        <x:v>0</x:v>
      </x:c>
      <x:c r="Q739" s="9" t="n">
        <x:f>O739-P739</x:f>
        <x:v>240</x:v>
      </x:c>
      <x:c r="R739" s="11" t="n">
        <x:f>IF(D739="Completed",I739,0)</x:f>
        <x:v>3</x:v>
      </x:c>
      <x:c r="S739" s="11" t="n">
        <x:f>IF(D739="Completed",L739,0)</x:f>
        <x:v>0</x:v>
      </x:c>
      <x:c r="T739" s="8" t="n">
        <x:f>DATE(YEAR(C739),MONTH(C739),1)</x:f>
        <x:v>45658</x:v>
      </x:c>
    </x:row>
    <x:row r="740" ht="22" customHeight="1">
      <x:c r="A740" s="2" t="str">
        <x:v>L000736</x:v>
      </x:c>
      <x:c r="B740" s="2" t="str">
        <x:v>O00305</x:v>
      </x:c>
      <x:c r="C740" s="7" t="n">
        <x:v>45677</x:v>
      </x:c>
      <x:c r="D740" s="2" t="str">
        <x:v>Completed</x:v>
      </x:c>
      <x:c r="E740" s="2" t="str">
        <x:v>North</x:v>
      </x:c>
      <x:c r="F740" s="2" t="str">
        <x:v>Online</x:v>
      </x:c>
      <x:c r="G740" s="2" t="str">
        <x:v>Furniture</x:v>
      </x:c>
      <x:c r="H740" s="2" t="str">
        <x:v>Chair 010</x:v>
      </x:c>
      <x:c r="I740" s="11" t="n">
        <x:v>5</x:v>
      </x:c>
      <x:c r="J740" s="9" t="n">
        <x:v>211</x:v>
      </x:c>
      <x:c r="K740" s="10" t="n">
        <x:v>0.05</x:v>
      </x:c>
      <x:c r="L740" s="11" t="n">
        <x:v>0</x:v>
      </x:c>
      <x:c r="M740" s="9" t="n">
        <x:f>IF(D740="Completed",I740*J740,0)</x:f>
        <x:v>1055</x:v>
      </x:c>
      <x:c r="N740" s="9" t="n">
        <x:f>M740*K740</x:f>
        <x:v>52.75</x:v>
      </x:c>
      <x:c r="O740" s="9" t="n">
        <x:f>M740-N740</x:f>
        <x:v>1002.25</x:v>
      </x:c>
      <x:c r="P740" s="9" t="n">
        <x:f>IF(D740="Completed",L740*J740*(1-K740),0)</x:f>
        <x:v>0</x:v>
      </x:c>
      <x:c r="Q740" s="9" t="n">
        <x:f>O740-P740</x:f>
        <x:v>1002.25</x:v>
      </x:c>
      <x:c r="R740" s="11" t="n">
        <x:f>IF(D740="Completed",I740,0)</x:f>
        <x:v>5</x:v>
      </x:c>
      <x:c r="S740" s="11" t="n">
        <x:f>IF(D740="Completed",L740,0)</x:f>
        <x:v>0</x:v>
      </x:c>
      <x:c r="T740" s="8" t="n">
        <x:f>DATE(YEAR(C740),MONTH(C740),1)</x:f>
        <x:v>45658</x:v>
      </x:c>
    </x:row>
    <x:row r="741" ht="22" customHeight="1">
      <x:c r="A741" s="2" t="str">
        <x:v>L000737</x:v>
      </x:c>
      <x:c r="B741" s="2" t="str">
        <x:v>O00306</x:v>
      </x:c>
      <x:c r="C741" s="7" t="n">
        <x:v>45866</x:v>
      </x:c>
      <x:c r="D741" s="2" t="str">
        <x:v>Completed</x:v>
      </x:c>
      <x:c r="E741" s="2" t="str">
        <x:v>North</x:v>
      </x:c>
      <x:c r="F741" s="2" t="str">
        <x:v>Store</x:v>
      </x:c>
      <x:c r="G741" s="2" t="str">
        <x:v>Furniture</x:v>
      </x:c>
      <x:c r="H741" s="2" t="str">
        <x:v>Desk 004</x:v>
      </x:c>
      <x:c r="I741" s="11" t="n">
        <x:v>4</x:v>
      </x:c>
      <x:c r="J741" s="9" t="n">
        <x:v>123</x:v>
      </x:c>
      <x:c r="K741" s="10" t="n">
        <x:v>0.2</x:v>
      </x:c>
      <x:c r="L741" s="11" t="n">
        <x:v>0</x:v>
      </x:c>
      <x:c r="M741" s="9" t="n">
        <x:f>IF(D741="Completed",I741*J741,0)</x:f>
        <x:v>492</x:v>
      </x:c>
      <x:c r="N741" s="9" t="n">
        <x:f>M741*K741</x:f>
        <x:v>98.4</x:v>
      </x:c>
      <x:c r="O741" s="9" t="n">
        <x:f>M741-N741</x:f>
        <x:v>393.6</x:v>
      </x:c>
      <x:c r="P741" s="9" t="n">
        <x:f>IF(D741="Completed",L741*J741*(1-K741),0)</x:f>
        <x:v>0</x:v>
      </x:c>
      <x:c r="Q741" s="9" t="n">
        <x:f>O741-P741</x:f>
        <x:v>393.6</x:v>
      </x:c>
      <x:c r="R741" s="11" t="n">
        <x:f>IF(D741="Completed",I741,0)</x:f>
        <x:v>4</x:v>
      </x:c>
      <x:c r="S741" s="11" t="n">
        <x:f>IF(D741="Completed",L741,0)</x:f>
        <x:v>0</x:v>
      </x:c>
      <x:c r="T741" s="8" t="n">
        <x:f>DATE(YEAR(C741),MONTH(C741),1)</x:f>
        <x:v>45839</x:v>
      </x:c>
    </x:row>
    <x:row r="742" ht="22" customHeight="1">
      <x:c r="A742" s="2" t="str">
        <x:v>L000738</x:v>
      </x:c>
      <x:c r="B742" s="2" t="str">
        <x:v>O00306</x:v>
      </x:c>
      <x:c r="C742" s="7" t="n">
        <x:v>45866</x:v>
      </x:c>
      <x:c r="D742" s="2" t="str">
        <x:v>Completed</x:v>
      </x:c>
      <x:c r="E742" s="2" t="str">
        <x:v>North</x:v>
      </x:c>
      <x:c r="F742" s="2" t="str">
        <x:v>Store</x:v>
      </x:c>
      <x:c r="G742" s="2" t="str">
        <x:v>Furniture</x:v>
      </x:c>
      <x:c r="H742" s="2" t="str">
        <x:v>Chair 014</x:v>
      </x:c>
      <x:c r="I742" s="11" t="n">
        <x:v>4</x:v>
      </x:c>
      <x:c r="J742" s="9" t="n">
        <x:v>294</x:v>
      </x:c>
      <x:c r="K742" s="10" t="n">
        <x:v>0</x:v>
      </x:c>
      <x:c r="L742" s="11" t="n">
        <x:v>0</x:v>
      </x:c>
      <x:c r="M742" s="9" t="n">
        <x:f>IF(D742="Completed",I742*J742,0)</x:f>
        <x:v>1176</x:v>
      </x:c>
      <x:c r="N742" s="9" t="n">
        <x:f>M742*K742</x:f>
        <x:v>0</x:v>
      </x:c>
      <x:c r="O742" s="9" t="n">
        <x:f>M742-N742</x:f>
        <x:v>1176</x:v>
      </x:c>
      <x:c r="P742" s="9" t="n">
        <x:f>IF(D742="Completed",L742*J742*(1-K742),0)</x:f>
        <x:v>0</x:v>
      </x:c>
      <x:c r="Q742" s="9" t="n">
        <x:f>O742-P742</x:f>
        <x:v>1176</x:v>
      </x:c>
      <x:c r="R742" s="11" t="n">
        <x:f>IF(D742="Completed",I742,0)</x:f>
        <x:v>4</x:v>
      </x:c>
      <x:c r="S742" s="11" t="n">
        <x:f>IF(D742="Completed",L742,0)</x:f>
        <x:v>0</x:v>
      </x:c>
      <x:c r="T742" s="8" t="n">
        <x:f>DATE(YEAR(C742),MONTH(C742),1)</x:f>
        <x:v>45839</x:v>
      </x:c>
    </x:row>
    <x:row r="743" ht="22" customHeight="1">
      <x:c r="A743" s="2" t="str">
        <x:v>L000739</x:v>
      </x:c>
      <x:c r="B743" s="2" t="str">
        <x:v>O00307</x:v>
      </x:c>
      <x:c r="C743" s="7" t="n">
        <x:v>45897</x:v>
      </x:c>
      <x:c r="D743" s="2" t="str">
        <x:v>Cancelled</x:v>
      </x:c>
      <x:c r="E743" s="2" t="str">
        <x:v>West</x:v>
      </x:c>
      <x:c r="F743" s="2" t="str">
        <x:v>Store</x:v>
      </x:c>
      <x:c r="G743" s="2" t="str">
        <x:v>Furniture</x:v>
      </x:c>
      <x:c r="H743" s="2" t="str">
        <x:v>Desk 020</x:v>
      </x:c>
      <x:c r="I743" s="11" t="n">
        <x:v>3</x:v>
      </x:c>
      <x:c r="J743" s="9" t="n">
        <x:v>189</x:v>
      </x:c>
      <x:c r="K743" s="10" t="n">
        <x:v>0.05</x:v>
      </x:c>
      <x:c r="L743" s="11" t="n">
        <x:v>0</x:v>
      </x:c>
      <x:c r="M743" s="9" t="n">
        <x:f>IF(D743="Completed",I743*J743,0)</x:f>
        <x:v>0</x:v>
      </x:c>
      <x:c r="N743" s="9" t="n">
        <x:f>M743*K743</x:f>
        <x:v>0</x:v>
      </x:c>
      <x:c r="O743" s="9" t="n">
        <x:f>M743-N743</x:f>
        <x:v>0</x:v>
      </x:c>
      <x:c r="P743" s="9" t="n">
        <x:f>IF(D743="Completed",L743*J743*(1-K743),0)</x:f>
        <x:v>0</x:v>
      </x:c>
      <x:c r="Q743" s="9" t="n">
        <x:f>O743-P743</x:f>
        <x:v>0</x:v>
      </x:c>
      <x:c r="R743" s="11" t="n">
        <x:f>IF(D743="Completed",I743,0)</x:f>
        <x:v>0</x:v>
      </x:c>
      <x:c r="S743" s="11" t="n">
        <x:f>IF(D743="Completed",L743,0)</x:f>
        <x:v>0</x:v>
      </x:c>
      <x:c r="T743" s="8" t="n">
        <x:f>DATE(YEAR(C743),MONTH(C743),1)</x:f>
        <x:v>45870</x:v>
      </x:c>
    </x:row>
    <x:row r="744" ht="22" customHeight="1">
      <x:c r="A744" s="2" t="str">
        <x:v>L000740</x:v>
      </x:c>
      <x:c r="B744" s="2" t="str">
        <x:v>O00307</x:v>
      </x:c>
      <x:c r="C744" s="7" t="n">
        <x:v>45897</x:v>
      </x:c>
      <x:c r="D744" s="2" t="str">
        <x:v>Cancelled</x:v>
      </x:c>
      <x:c r="E744" s="2" t="str">
        <x:v>West</x:v>
      </x:c>
      <x:c r="F744" s="2" t="str">
        <x:v>Store</x:v>
      </x:c>
      <x:c r="G744" s="2" t="str">
        <x:v>Storage</x:v>
      </x:c>
      <x:c r="H744" s="2" t="str">
        <x:v>Shelf 015</x:v>
      </x:c>
      <x:c r="I744" s="11" t="n">
        <x:v>3</x:v>
      </x:c>
      <x:c r="J744" s="9" t="n">
        <x:v>254</x:v>
      </x:c>
      <x:c r="K744" s="10" t="n">
        <x:v>0.05</x:v>
      </x:c>
      <x:c r="L744" s="11" t="n">
        <x:v>0</x:v>
      </x:c>
      <x:c r="M744" s="9" t="n">
        <x:f>IF(D744="Completed",I744*J744,0)</x:f>
        <x:v>0</x:v>
      </x:c>
      <x:c r="N744" s="9" t="n">
        <x:f>M744*K744</x:f>
        <x:v>0</x:v>
      </x:c>
      <x:c r="O744" s="9" t="n">
        <x:f>M744-N744</x:f>
        <x:v>0</x:v>
      </x:c>
      <x:c r="P744" s="9" t="n">
        <x:f>IF(D744="Completed",L744*J744*(1-K744),0)</x:f>
        <x:v>0</x:v>
      </x:c>
      <x:c r="Q744" s="9" t="n">
        <x:f>O744-P744</x:f>
        <x:v>0</x:v>
      </x:c>
      <x:c r="R744" s="11" t="n">
        <x:f>IF(D744="Completed",I744,0)</x:f>
        <x:v>0</x:v>
      </x:c>
      <x:c r="S744" s="11" t="n">
        <x:f>IF(D744="Completed",L744,0)</x:f>
        <x:v>0</x:v>
      </x:c>
      <x:c r="T744" s="8" t="n">
        <x:f>DATE(YEAR(C744),MONTH(C744),1)</x:f>
        <x:v>45870</x:v>
      </x:c>
    </x:row>
    <x:row r="745" ht="22" customHeight="1">
      <x:c r="A745" s="2" t="str">
        <x:v>L000741</x:v>
      </x:c>
      <x:c r="B745" s="2" t="str">
        <x:v>O00307</x:v>
      </x:c>
      <x:c r="C745" s="7" t="n">
        <x:v>45897</x:v>
      </x:c>
      <x:c r="D745" s="2" t="str">
        <x:v>Cancelled</x:v>
      </x:c>
      <x:c r="E745" s="2" t="str">
        <x:v>West</x:v>
      </x:c>
      <x:c r="F745" s="2" t="str">
        <x:v>Store</x:v>
      </x:c>
      <x:c r="G745" s="2" t="str">
        <x:v>Furniture</x:v>
      </x:c>
      <x:c r="H745" s="2" t="str">
        <x:v>Desk 004</x:v>
      </x:c>
      <x:c r="I745" s="11" t="n">
        <x:v>2</x:v>
      </x:c>
      <x:c r="J745" s="9" t="n">
        <x:v>123</x:v>
      </x:c>
      <x:c r="K745" s="10" t="n">
        <x:v>0.2</x:v>
      </x:c>
      <x:c r="L745" s="11" t="n">
        <x:v>0</x:v>
      </x:c>
      <x:c r="M745" s="9" t="n">
        <x:f>IF(D745="Completed",I745*J745,0)</x:f>
        <x:v>0</x:v>
      </x:c>
      <x:c r="N745" s="9" t="n">
        <x:f>M745*K745</x:f>
        <x:v>0</x:v>
      </x:c>
      <x:c r="O745" s="9" t="n">
        <x:f>M745-N745</x:f>
        <x:v>0</x:v>
      </x:c>
      <x:c r="P745" s="9" t="n">
        <x:f>IF(D745="Completed",L745*J745*(1-K745),0)</x:f>
        <x:v>0</x:v>
      </x:c>
      <x:c r="Q745" s="9" t="n">
        <x:f>O745-P745</x:f>
        <x:v>0</x:v>
      </x:c>
      <x:c r="R745" s="11" t="n">
        <x:f>IF(D745="Completed",I745,0)</x:f>
        <x:v>0</x:v>
      </x:c>
      <x:c r="S745" s="11" t="n">
        <x:f>IF(D745="Completed",L745,0)</x:f>
        <x:v>0</x:v>
      </x:c>
      <x:c r="T745" s="8" t="n">
        <x:f>DATE(YEAR(C745),MONTH(C745),1)</x:f>
        <x:v>45870</x:v>
      </x:c>
    </x:row>
    <x:row r="746" ht="22" customHeight="1">
      <x:c r="A746" s="2" t="str">
        <x:v>L000742</x:v>
      </x:c>
      <x:c r="B746" s="2" t="str">
        <x:v>O00308</x:v>
      </x:c>
      <x:c r="C746" s="7" t="n">
        <x:v>45768</x:v>
      </x:c>
      <x:c r="D746" s="2" t="str">
        <x:v>Completed</x:v>
      </x:c>
      <x:c r="E746" s="2" t="str">
        <x:v>North</x:v>
      </x:c>
      <x:c r="F746" s="2" t="str">
        <x:v>Online</x:v>
      </x:c>
      <x:c r="G746" s="2" t="str">
        <x:v>Furniture</x:v>
      </x:c>
      <x:c r="H746" s="2" t="str">
        <x:v>Chair 010</x:v>
      </x:c>
      <x:c r="I746" s="11" t="n">
        <x:v>2</x:v>
      </x:c>
      <x:c r="J746" s="9" t="n">
        <x:v>211</x:v>
      </x:c>
      <x:c r="K746" s="10" t="n">
        <x:v>0.1</x:v>
      </x:c>
      <x:c r="L746" s="11" t="n">
        <x:v>0</x:v>
      </x:c>
      <x:c r="M746" s="9" t="n">
        <x:f>IF(D746="Completed",I746*J746,0)</x:f>
        <x:v>422</x:v>
      </x:c>
      <x:c r="N746" s="9" t="n">
        <x:f>M746*K746</x:f>
        <x:v>42.2</x:v>
      </x:c>
      <x:c r="O746" s="9" t="n">
        <x:f>M746-N746</x:f>
        <x:v>379.8</x:v>
      </x:c>
      <x:c r="P746" s="9" t="n">
        <x:f>IF(D746="Completed",L746*J746*(1-K746),0)</x:f>
        <x:v>0</x:v>
      </x:c>
      <x:c r="Q746" s="9" t="n">
        <x:f>O746-P746</x:f>
        <x:v>379.8</x:v>
      </x:c>
      <x:c r="R746" s="11" t="n">
        <x:f>IF(D746="Completed",I746,0)</x:f>
        <x:v>2</x:v>
      </x:c>
      <x:c r="S746" s="11" t="n">
        <x:f>IF(D746="Completed",L746,0)</x:f>
        <x:v>0</x:v>
      </x:c>
      <x:c r="T746" s="8" t="n">
        <x:f>DATE(YEAR(C746),MONTH(C746),1)</x:f>
        <x:v>45748</x:v>
      </x:c>
    </x:row>
    <x:row r="747" ht="22" customHeight="1">
      <x:c r="A747" s="2" t="str">
        <x:v>L000743</x:v>
      </x:c>
      <x:c r="B747" s="2" t="str">
        <x:v>O00308</x:v>
      </x:c>
      <x:c r="C747" s="7" t="n">
        <x:v>45768</x:v>
      </x:c>
      <x:c r="D747" s="2" t="str">
        <x:v>Completed</x:v>
      </x:c>
      <x:c r="E747" s="2" t="str">
        <x:v>North</x:v>
      </x:c>
      <x:c r="F747" s="2" t="str">
        <x:v>Online</x:v>
      </x:c>
      <x:c r="G747" s="2" t="str">
        <x:v>Storage</x:v>
      </x:c>
      <x:c r="H747" s="2" t="str">
        <x:v>Shelf 011</x:v>
      </x:c>
      <x:c r="I747" s="11" t="n">
        <x:v>1</x:v>
      </x:c>
      <x:c r="J747" s="9" t="n">
        <x:v>80</x:v>
      </x:c>
      <x:c r="K747" s="10" t="n">
        <x:v>0</x:v>
      </x:c>
      <x:c r="L747" s="11" t="n">
        <x:v>0</x:v>
      </x:c>
      <x:c r="M747" s="9" t="n">
        <x:f>IF(D747="Completed",I747*J747,0)</x:f>
        <x:v>80</x:v>
      </x:c>
      <x:c r="N747" s="9" t="n">
        <x:f>M747*K747</x:f>
        <x:v>0</x:v>
      </x:c>
      <x:c r="O747" s="9" t="n">
        <x:f>M747-N747</x:f>
        <x:v>80</x:v>
      </x:c>
      <x:c r="P747" s="9" t="n">
        <x:f>IF(D747="Completed",L747*J747*(1-K747),0)</x:f>
        <x:v>0</x:v>
      </x:c>
      <x:c r="Q747" s="9" t="n">
        <x:f>O747-P747</x:f>
        <x:v>80</x:v>
      </x:c>
      <x:c r="R747" s="11" t="n">
        <x:f>IF(D747="Completed",I747,0)</x:f>
        <x:v>1</x:v>
      </x:c>
      <x:c r="S747" s="11" t="n">
        <x:f>IF(D747="Completed",L747,0)</x:f>
        <x:v>0</x:v>
      </x:c>
      <x:c r="T747" s="8" t="n">
        <x:f>DATE(YEAR(C747),MONTH(C747),1)</x:f>
        <x:v>45748</x:v>
      </x:c>
    </x:row>
    <x:row r="748" ht="22" customHeight="1">
      <x:c r="A748" s="2" t="str">
        <x:v>L000744</x:v>
      </x:c>
      <x:c r="B748" s="2" t="str">
        <x:v>O00308</x:v>
      </x:c>
      <x:c r="C748" s="7" t="n">
        <x:v>45768</x:v>
      </x:c>
      <x:c r="D748" s="2" t="str">
        <x:v>Completed</x:v>
      </x:c>
      <x:c r="E748" s="2" t="str">
        <x:v>North</x:v>
      </x:c>
      <x:c r="F748" s="2" t="str">
        <x:v>Online</x:v>
      </x:c>
      <x:c r="G748" s="2" t="str">
        <x:v>Storage</x:v>
      </x:c>
      <x:c r="H748" s="2" t="str">
        <x:v>Shelf 023</x:v>
      </x:c>
      <x:c r="I748" s="11" t="n">
        <x:v>1</x:v>
      </x:c>
      <x:c r="J748" s="9" t="n">
        <x:v>68</x:v>
      </x:c>
      <x:c r="K748" s="10" t="n">
        <x:v>0.1</x:v>
      </x:c>
      <x:c r="L748" s="11" t="n">
        <x:v>0</x:v>
      </x:c>
      <x:c r="M748" s="9" t="n">
        <x:f>IF(D748="Completed",I748*J748,0)</x:f>
        <x:v>68</x:v>
      </x:c>
      <x:c r="N748" s="9" t="n">
        <x:f>M748*K748</x:f>
        <x:v>6.800000000000001</x:v>
      </x:c>
      <x:c r="O748" s="9" t="n">
        <x:f>M748-N748</x:f>
        <x:v>61.2</x:v>
      </x:c>
      <x:c r="P748" s="9" t="n">
        <x:f>IF(D748="Completed",L748*J748*(1-K748),0)</x:f>
        <x:v>0</x:v>
      </x:c>
      <x:c r="Q748" s="9" t="n">
        <x:f>O748-P748</x:f>
        <x:v>61.2</x:v>
      </x:c>
      <x:c r="R748" s="11" t="n">
        <x:f>IF(D748="Completed",I748,0)</x:f>
        <x:v>1</x:v>
      </x:c>
      <x:c r="S748" s="11" t="n">
        <x:f>IF(D748="Completed",L748,0)</x:f>
        <x:v>0</x:v>
      </x:c>
      <x:c r="T748" s="8" t="n">
        <x:f>DATE(YEAR(C748),MONTH(C748),1)</x:f>
        <x:v>45748</x:v>
      </x:c>
    </x:row>
    <x:row r="749" ht="22" customHeight="1">
      <x:c r="A749" s="2" t="str">
        <x:v>L000745</x:v>
      </x:c>
      <x:c r="B749" s="2" t="str">
        <x:v>O00308</x:v>
      </x:c>
      <x:c r="C749" s="7" t="n">
        <x:v>45768</x:v>
      </x:c>
      <x:c r="D749" s="2" t="str">
        <x:v>Completed</x:v>
      </x:c>
      <x:c r="E749" s="2" t="str">
        <x:v>North</x:v>
      </x:c>
      <x:c r="F749" s="2" t="str">
        <x:v>Online</x:v>
      </x:c>
      <x:c r="G749" s="2" t="str">
        <x:v>Furniture</x:v>
      </x:c>
      <x:c r="H749" s="2" t="str">
        <x:v>Chair 006</x:v>
      </x:c>
      <x:c r="I749" s="11" t="n">
        <x:v>3</x:v>
      </x:c>
      <x:c r="J749" s="9" t="n">
        <x:v>196</x:v>
      </x:c>
      <x:c r="K749" s="10" t="n">
        <x:v>0.2</x:v>
      </x:c>
      <x:c r="L749" s="11" t="n">
        <x:v>0</x:v>
      </x:c>
      <x:c r="M749" s="9" t="n">
        <x:f>IF(D749="Completed",I749*J749,0)</x:f>
        <x:v>588</x:v>
      </x:c>
      <x:c r="N749" s="9" t="n">
        <x:f>M749*K749</x:f>
        <x:v>117.60000000000001</x:v>
      </x:c>
      <x:c r="O749" s="9" t="n">
        <x:f>M749-N749</x:f>
        <x:v>470.4</x:v>
      </x:c>
      <x:c r="P749" s="9" t="n">
        <x:f>IF(D749="Completed",L749*J749*(1-K749),0)</x:f>
        <x:v>0</x:v>
      </x:c>
      <x:c r="Q749" s="9" t="n">
        <x:f>O749-P749</x:f>
        <x:v>470.4</x:v>
      </x:c>
      <x:c r="R749" s="11" t="n">
        <x:f>IF(D749="Completed",I749,0)</x:f>
        <x:v>3</x:v>
      </x:c>
      <x:c r="S749" s="11" t="n">
        <x:f>IF(D749="Completed",L749,0)</x:f>
        <x:v>0</x:v>
      </x:c>
      <x:c r="T749" s="8" t="n">
        <x:f>DATE(YEAR(C749),MONTH(C749),1)</x:f>
        <x:v>45748</x:v>
      </x:c>
    </x:row>
    <x:row r="750" ht="22" customHeight="1">
      <x:c r="A750" s="2" t="str">
        <x:v>L000746</x:v>
      </x:c>
      <x:c r="B750" s="2" t="str">
        <x:v>O00309</x:v>
      </x:c>
      <x:c r="C750" s="7" t="n">
        <x:v>45963</x:v>
      </x:c>
      <x:c r="D750" s="2" t="str">
        <x:v>Completed</x:v>
      </x:c>
      <x:c r="E750" s="2" t="str">
        <x:v>West</x:v>
      </x:c>
      <x:c r="F750" s="2" t="str">
        <x:v>Online</x:v>
      </x:c>
      <x:c r="G750" s="2" t="str">
        <x:v>Furniture</x:v>
      </x:c>
      <x:c r="H750" s="2" t="str">
        <x:v>Desk 004</x:v>
      </x:c>
      <x:c r="I750" s="11" t="n">
        <x:v>1</x:v>
      </x:c>
      <x:c r="J750" s="9" t="n">
        <x:v>123</x:v>
      </x:c>
      <x:c r="K750" s="10" t="n">
        <x:v>0</x:v>
      </x:c>
      <x:c r="L750" s="11" t="n">
        <x:v>0</x:v>
      </x:c>
      <x:c r="M750" s="9" t="n">
        <x:f>IF(D750="Completed",I750*J750,0)</x:f>
        <x:v>123</x:v>
      </x:c>
      <x:c r="N750" s="9" t="n">
        <x:f>M750*K750</x:f>
        <x:v>0</x:v>
      </x:c>
      <x:c r="O750" s="9" t="n">
        <x:f>M750-N750</x:f>
        <x:v>123</x:v>
      </x:c>
      <x:c r="P750" s="9" t="n">
        <x:f>IF(D750="Completed",L750*J750*(1-K750),0)</x:f>
        <x:v>0</x:v>
      </x:c>
      <x:c r="Q750" s="9" t="n">
        <x:f>O750-P750</x:f>
        <x:v>123</x:v>
      </x:c>
      <x:c r="R750" s="11" t="n">
        <x:f>IF(D750="Completed",I750,0)</x:f>
        <x:v>1</x:v>
      </x:c>
      <x:c r="S750" s="11" t="n">
        <x:f>IF(D750="Completed",L750,0)</x:f>
        <x:v>0</x:v>
      </x:c>
      <x:c r="T750" s="8" t="n">
        <x:f>DATE(YEAR(C750),MONTH(C750),1)</x:f>
        <x:v>45962</x:v>
      </x:c>
    </x:row>
    <x:row r="751" ht="22" customHeight="1">
      <x:c r="A751" s="2" t="str">
        <x:v>L000747</x:v>
      </x:c>
      <x:c r="B751" s="2" t="str">
        <x:v>O00309</x:v>
      </x:c>
      <x:c r="C751" s="7" t="n">
        <x:v>45963</x:v>
      </x:c>
      <x:c r="D751" s="2" t="str">
        <x:v>Completed</x:v>
      </x:c>
      <x:c r="E751" s="2" t="str">
        <x:v>West</x:v>
      </x:c>
      <x:c r="F751" s="2" t="str">
        <x:v>Online</x:v>
      </x:c>
      <x:c r="G751" s="2" t="str">
        <x:v>Furniture</x:v>
      </x:c>
      <x:c r="H751" s="2" t="str">
        <x:v>Chair 010</x:v>
      </x:c>
      <x:c r="I751" s="11" t="n">
        <x:v>3</x:v>
      </x:c>
      <x:c r="J751" s="9" t="n">
        <x:v>211</x:v>
      </x:c>
      <x:c r="K751" s="10" t="n">
        <x:v>0.05</x:v>
      </x:c>
      <x:c r="L751" s="11" t="n">
        <x:v>0</x:v>
      </x:c>
      <x:c r="M751" s="9" t="n">
        <x:f>IF(D751="Completed",I751*J751,0)</x:f>
        <x:v>633</x:v>
      </x:c>
      <x:c r="N751" s="9" t="n">
        <x:f>M751*K751</x:f>
        <x:v>31.650000000000002</x:v>
      </x:c>
      <x:c r="O751" s="9" t="n">
        <x:f>M751-N751</x:f>
        <x:v>601.35</x:v>
      </x:c>
      <x:c r="P751" s="9" t="n">
        <x:f>IF(D751="Completed",L751*J751*(1-K751),0)</x:f>
        <x:v>0</x:v>
      </x:c>
      <x:c r="Q751" s="9" t="n">
        <x:f>O751-P751</x:f>
        <x:v>601.35</x:v>
      </x:c>
      <x:c r="R751" s="11" t="n">
        <x:f>IF(D751="Completed",I751,0)</x:f>
        <x:v>3</x:v>
      </x:c>
      <x:c r="S751" s="11" t="n">
        <x:f>IF(D751="Completed",L751,0)</x:f>
        <x:v>0</x:v>
      </x:c>
      <x:c r="T751" s="8" t="n">
        <x:f>DATE(YEAR(C751),MONTH(C751),1)</x:f>
        <x:v>45962</x:v>
      </x:c>
    </x:row>
    <x:row r="752" ht="22" customHeight="1">
      <x:c r="A752" s="2" t="str">
        <x:v>L000748</x:v>
      </x:c>
      <x:c r="B752" s="2" t="str">
        <x:v>O00309</x:v>
      </x:c>
      <x:c r="C752" s="7" t="n">
        <x:v>45963</x:v>
      </x:c>
      <x:c r="D752" s="2" t="str">
        <x:v>Completed</x:v>
      </x:c>
      <x:c r="E752" s="2" t="str">
        <x:v>West</x:v>
      </x:c>
      <x:c r="F752" s="2" t="str">
        <x:v>Online</x:v>
      </x:c>
      <x:c r="G752" s="2" t="str">
        <x:v>Furniture</x:v>
      </x:c>
      <x:c r="H752" s="2" t="str">
        <x:v>Desk 016</x:v>
      </x:c>
      <x:c r="I752" s="11" t="n">
        <x:v>1</x:v>
      </x:c>
      <x:c r="J752" s="9" t="n">
        <x:v>231</x:v>
      </x:c>
      <x:c r="K752" s="10" t="n">
        <x:v>0</x:v>
      </x:c>
      <x:c r="L752" s="11" t="n">
        <x:v>0</x:v>
      </x:c>
      <x:c r="M752" s="9" t="n">
        <x:f>IF(D752="Completed",I752*J752,0)</x:f>
        <x:v>231</x:v>
      </x:c>
      <x:c r="N752" s="9" t="n">
        <x:f>M752*K752</x:f>
        <x:v>0</x:v>
      </x:c>
      <x:c r="O752" s="9" t="n">
        <x:f>M752-N752</x:f>
        <x:v>231</x:v>
      </x:c>
      <x:c r="P752" s="9" t="n">
        <x:f>IF(D752="Completed",L752*J752*(1-K752),0)</x:f>
        <x:v>0</x:v>
      </x:c>
      <x:c r="Q752" s="9" t="n">
        <x:f>O752-P752</x:f>
        <x:v>231</x:v>
      </x:c>
      <x:c r="R752" s="11" t="n">
        <x:f>IF(D752="Completed",I752,0)</x:f>
        <x:v>1</x:v>
      </x:c>
      <x:c r="S752" s="11" t="n">
        <x:f>IF(D752="Completed",L752,0)</x:f>
        <x:v>0</x:v>
      </x:c>
      <x:c r="T752" s="8" t="n">
        <x:f>DATE(YEAR(C752),MONTH(C752),1)</x:f>
        <x:v>45962</x:v>
      </x:c>
    </x:row>
    <x:row r="753" ht="22" customHeight="1">
      <x:c r="A753" s="2" t="str">
        <x:v>L000749</x:v>
      </x:c>
      <x:c r="B753" s="2" t="str">
        <x:v>O00309</x:v>
      </x:c>
      <x:c r="C753" s="7" t="n">
        <x:v>45963</x:v>
      </x:c>
      <x:c r="D753" s="2" t="str">
        <x:v>Completed</x:v>
      </x:c>
      <x:c r="E753" s="2" t="str">
        <x:v>West</x:v>
      </x:c>
      <x:c r="F753" s="2" t="str">
        <x:v>Online</x:v>
      </x:c>
      <x:c r="G753" s="2" t="str">
        <x:v>Furniture</x:v>
      </x:c>
      <x:c r="H753" s="2" t="str">
        <x:v>Desk 012</x:v>
      </x:c>
      <x:c r="I753" s="11" t="n">
        <x:v>2</x:v>
      </x:c>
      <x:c r="J753" s="9" t="n">
        <x:v>134</x:v>
      </x:c>
      <x:c r="K753" s="10" t="n">
        <x:v>0</x:v>
      </x:c>
      <x:c r="L753" s="11" t="n">
        <x:v>0</x:v>
      </x:c>
      <x:c r="M753" s="9" t="n">
        <x:f>IF(D753="Completed",I753*J753,0)</x:f>
        <x:v>268</x:v>
      </x:c>
      <x:c r="N753" s="9" t="n">
        <x:f>M753*K753</x:f>
        <x:v>0</x:v>
      </x:c>
      <x:c r="O753" s="9" t="n">
        <x:f>M753-N753</x:f>
        <x:v>268</x:v>
      </x:c>
      <x:c r="P753" s="9" t="n">
        <x:f>IF(D753="Completed",L753*J753*(1-K753),0)</x:f>
        <x:v>0</x:v>
      </x:c>
      <x:c r="Q753" s="9" t="n">
        <x:f>O753-P753</x:f>
        <x:v>268</x:v>
      </x:c>
      <x:c r="R753" s="11" t="n">
        <x:f>IF(D753="Completed",I753,0)</x:f>
        <x:v>2</x:v>
      </x:c>
      <x:c r="S753" s="11" t="n">
        <x:f>IF(D753="Completed",L753,0)</x:f>
        <x:v>0</x:v>
      </x:c>
      <x:c r="T753" s="8" t="n">
        <x:f>DATE(YEAR(C753),MONTH(C753),1)</x:f>
        <x:v>45962</x:v>
      </x:c>
    </x:row>
    <x:row r="754" ht="22" customHeight="1">
      <x:c r="A754" s="2" t="str">
        <x:v>L000750</x:v>
      </x:c>
      <x:c r="B754" s="2" t="str">
        <x:v>O00310</x:v>
      </x:c>
      <x:c r="C754" s="7" t="n">
        <x:v>45961</x:v>
      </x:c>
      <x:c r="D754" s="2" t="str">
        <x:v>Completed</x:v>
      </x:c>
      <x:c r="E754" s="2" t="str">
        <x:v>East</x:v>
      </x:c>
      <x:c r="F754" s="2" t="str">
        <x:v>Online</x:v>
      </x:c>
      <x:c r="G754" s="2" t="str">
        <x:v>Storage</x:v>
      </x:c>
      <x:c r="H754" s="2" t="str">
        <x:v>Shelf 011</x:v>
      </x:c>
      <x:c r="I754" s="11" t="n">
        <x:v>3</x:v>
      </x:c>
      <x:c r="J754" s="9" t="n">
        <x:v>80</x:v>
      </x:c>
      <x:c r="K754" s="10" t="n">
        <x:v>0.2</x:v>
      </x:c>
      <x:c r="L754" s="11" t="n">
        <x:v>3</x:v>
      </x:c>
      <x:c r="M754" s="9" t="n">
        <x:f>IF(D754="Completed",I754*J754,0)</x:f>
        <x:v>240</x:v>
      </x:c>
      <x:c r="N754" s="9" t="n">
        <x:f>M754*K754</x:f>
        <x:v>48</x:v>
      </x:c>
      <x:c r="O754" s="9" t="n">
        <x:f>M754-N754</x:f>
        <x:v>192</x:v>
      </x:c>
      <x:c r="P754" s="9" t="n">
        <x:f>IF(D754="Completed",L754*J754*(1-K754),0)</x:f>
        <x:v>192</x:v>
      </x:c>
      <x:c r="Q754" s="9" t="n">
        <x:f>O754-P754</x:f>
        <x:v>0</x:v>
      </x:c>
      <x:c r="R754" s="11" t="n">
        <x:f>IF(D754="Completed",I754,0)</x:f>
        <x:v>3</x:v>
      </x:c>
      <x:c r="S754" s="11" t="n">
        <x:f>IF(D754="Completed",L754,0)</x:f>
        <x:v>3</x:v>
      </x:c>
      <x:c r="T754" s="8" t="n">
        <x:f>DATE(YEAR(C754),MONTH(C754),1)</x:f>
        <x:v>45931</x:v>
      </x:c>
    </x:row>
    <x:row r="755" ht="22" customHeight="1">
      <x:c r="A755" s="2" t="str">
        <x:v>L000751</x:v>
      </x:c>
      <x:c r="B755" s="2" t="str">
        <x:v>O00311</x:v>
      </x:c>
      <x:c r="C755" s="7" t="n">
        <x:v>45796</x:v>
      </x:c>
      <x:c r="D755" s="2" t="str">
        <x:v>Completed</x:v>
      </x:c>
      <x:c r="E755" s="2" t="str">
        <x:v>South</x:v>
      </x:c>
      <x:c r="F755" s="2" t="str">
        <x:v>Online</x:v>
      </x:c>
      <x:c r="G755" s="2" t="str">
        <x:v>Furniture</x:v>
      </x:c>
      <x:c r="H755" s="2" t="str">
        <x:v>Desk 016</x:v>
      </x:c>
      <x:c r="I755" s="11" t="n">
        <x:v>3</x:v>
      </x:c>
      <x:c r="J755" s="9" t="n">
        <x:v>231</x:v>
      </x:c>
      <x:c r="K755" s="10" t="n">
        <x:v>0.05</x:v>
      </x:c>
      <x:c r="L755" s="11" t="n">
        <x:v>0</x:v>
      </x:c>
      <x:c r="M755" s="9" t="n">
        <x:f>IF(D755="Completed",I755*J755,0)</x:f>
        <x:v>693</x:v>
      </x:c>
      <x:c r="N755" s="9" t="n">
        <x:f>M755*K755</x:f>
        <x:v>34.65</x:v>
      </x:c>
      <x:c r="O755" s="9" t="n">
        <x:f>M755-N755</x:f>
        <x:v>658.35</x:v>
      </x:c>
      <x:c r="P755" s="9" t="n">
        <x:f>IF(D755="Completed",L755*J755*(1-K755),0)</x:f>
        <x:v>0</x:v>
      </x:c>
      <x:c r="Q755" s="9" t="n">
        <x:f>O755-P755</x:f>
        <x:v>658.35</x:v>
      </x:c>
      <x:c r="R755" s="11" t="n">
        <x:f>IF(D755="Completed",I755,0)</x:f>
        <x:v>3</x:v>
      </x:c>
      <x:c r="S755" s="11" t="n">
        <x:f>IF(D755="Completed",L755,0)</x:f>
        <x:v>0</x:v>
      </x:c>
      <x:c r="T755" s="8" t="n">
        <x:f>DATE(YEAR(C755),MONTH(C755),1)</x:f>
        <x:v>45778</x:v>
      </x:c>
    </x:row>
    <x:row r="756" ht="22" customHeight="1">
      <x:c r="A756" s="2" t="str">
        <x:v>L000752</x:v>
      </x:c>
      <x:c r="B756" s="2" t="str">
        <x:v>O00311</x:v>
      </x:c>
      <x:c r="C756" s="7" t="n">
        <x:v>45796</x:v>
      </x:c>
      <x:c r="D756" s="2" t="str">
        <x:v>Completed</x:v>
      </x:c>
      <x:c r="E756" s="2" t="str">
        <x:v>South</x:v>
      </x:c>
      <x:c r="F756" s="2" t="str">
        <x:v>Online</x:v>
      </x:c>
      <x:c r="G756" s="2" t="str">
        <x:v>Lighting</x:v>
      </x:c>
      <x:c r="H756" s="2" t="str">
        <x:v>Lamp 005</x:v>
      </x:c>
      <x:c r="I756" s="11" t="n">
        <x:v>3</x:v>
      </x:c>
      <x:c r="J756" s="9" t="n">
        <x:v>65</x:v>
      </x:c>
      <x:c r="K756" s="10" t="n">
        <x:v>0.05</x:v>
      </x:c>
      <x:c r="L756" s="11" t="n">
        <x:v>0</x:v>
      </x:c>
      <x:c r="M756" s="9" t="n">
        <x:f>IF(D756="Completed",I756*J756,0)</x:f>
        <x:v>195</x:v>
      </x:c>
      <x:c r="N756" s="9" t="n">
        <x:f>M756*K756</x:f>
        <x:v>9.75</x:v>
      </x:c>
      <x:c r="O756" s="9" t="n">
        <x:f>M756-N756</x:f>
        <x:v>185.25</x:v>
      </x:c>
      <x:c r="P756" s="9" t="n">
        <x:f>IF(D756="Completed",L756*J756*(1-K756),0)</x:f>
        <x:v>0</x:v>
      </x:c>
      <x:c r="Q756" s="9" t="n">
        <x:f>O756-P756</x:f>
        <x:v>185.25</x:v>
      </x:c>
      <x:c r="R756" s="11" t="n">
        <x:f>IF(D756="Completed",I756,0)</x:f>
        <x:v>3</x:v>
      </x:c>
      <x:c r="S756" s="11" t="n">
        <x:f>IF(D756="Completed",L756,0)</x:f>
        <x:v>0</x:v>
      </x:c>
      <x:c r="T756" s="8" t="n">
        <x:f>DATE(YEAR(C756),MONTH(C756),1)</x:f>
        <x:v>45778</x:v>
      </x:c>
    </x:row>
    <x:row r="757" ht="22" customHeight="1">
      <x:c r="A757" s="2" t="str">
        <x:v>L000753</x:v>
      </x:c>
      <x:c r="B757" s="2" t="str">
        <x:v>O00311</x:v>
      </x:c>
      <x:c r="C757" s="7" t="n">
        <x:v>45796</x:v>
      </x:c>
      <x:c r="D757" s="2" t="str">
        <x:v>Completed</x:v>
      </x:c>
      <x:c r="E757" s="2" t="str">
        <x:v>South</x:v>
      </x:c>
      <x:c r="F757" s="2" t="str">
        <x:v>Online</x:v>
      </x:c>
      <x:c r="G757" s="2" t="str">
        <x:v>Storage</x:v>
      </x:c>
      <x:c r="H757" s="2" t="str">
        <x:v>Shelf 007</x:v>
      </x:c>
      <x:c r="I757" s="11" t="n">
        <x:v>3</x:v>
      </x:c>
      <x:c r="J757" s="9" t="n">
        <x:v>35</x:v>
      </x:c>
      <x:c r="K757" s="10" t="n">
        <x:v>0.1</x:v>
      </x:c>
      <x:c r="L757" s="11" t="n">
        <x:v>0</x:v>
      </x:c>
      <x:c r="M757" s="9" t="n">
        <x:f>IF(D757="Completed",I757*J757,0)</x:f>
        <x:v>105</x:v>
      </x:c>
      <x:c r="N757" s="9" t="n">
        <x:f>M757*K757</x:f>
        <x:v>10.5</x:v>
      </x:c>
      <x:c r="O757" s="9" t="n">
        <x:f>M757-N757</x:f>
        <x:v>94.5</x:v>
      </x:c>
      <x:c r="P757" s="9" t="n">
        <x:f>IF(D757="Completed",L757*J757*(1-K757),0)</x:f>
        <x:v>0</x:v>
      </x:c>
      <x:c r="Q757" s="9" t="n">
        <x:f>O757-P757</x:f>
        <x:v>94.5</x:v>
      </x:c>
      <x:c r="R757" s="11" t="n">
        <x:f>IF(D757="Completed",I757,0)</x:f>
        <x:v>3</x:v>
      </x:c>
      <x:c r="S757" s="11" t="n">
        <x:f>IF(D757="Completed",L757,0)</x:f>
        <x:v>0</x:v>
      </x:c>
      <x:c r="T757" s="8" t="n">
        <x:f>DATE(YEAR(C757),MONTH(C757),1)</x:f>
        <x:v>45778</x:v>
      </x:c>
    </x:row>
    <x:row r="758" ht="22" customHeight="1">
      <x:c r="A758" s="2" t="str">
        <x:v>L000754</x:v>
      </x:c>
      <x:c r="B758" s="2" t="str">
        <x:v>O00311</x:v>
      </x:c>
      <x:c r="C758" s="7" t="n">
        <x:v>45796</x:v>
      </x:c>
      <x:c r="D758" s="2" t="str">
        <x:v>Completed</x:v>
      </x:c>
      <x:c r="E758" s="2" t="str">
        <x:v>South</x:v>
      </x:c>
      <x:c r="F758" s="2" t="str">
        <x:v>Online</x:v>
      </x:c>
      <x:c r="G758" s="2" t="str">
        <x:v>Furniture</x:v>
      </x:c>
      <x:c r="H758" s="2" t="str">
        <x:v>Chair 002</x:v>
      </x:c>
      <x:c r="I758" s="11" t="n">
        <x:v>2</x:v>
      </x:c>
      <x:c r="J758" s="9" t="n">
        <x:v>284</x:v>
      </x:c>
      <x:c r="K758" s="10" t="n">
        <x:v>0.05</x:v>
      </x:c>
      <x:c r="L758" s="11" t="n">
        <x:v>0</x:v>
      </x:c>
      <x:c r="M758" s="9" t="n">
        <x:f>IF(D758="Completed",I758*J758,0)</x:f>
        <x:v>568</x:v>
      </x:c>
      <x:c r="N758" s="9" t="n">
        <x:f>M758*K758</x:f>
        <x:v>28.400000000000002</x:v>
      </x:c>
      <x:c r="O758" s="9" t="n">
        <x:f>M758-N758</x:f>
        <x:v>539.6</x:v>
      </x:c>
      <x:c r="P758" s="9" t="n">
        <x:f>IF(D758="Completed",L758*J758*(1-K758),0)</x:f>
        <x:v>0</x:v>
      </x:c>
      <x:c r="Q758" s="9" t="n">
        <x:f>O758-P758</x:f>
        <x:v>539.6</x:v>
      </x:c>
      <x:c r="R758" s="11" t="n">
        <x:f>IF(D758="Completed",I758,0)</x:f>
        <x:v>2</x:v>
      </x:c>
      <x:c r="S758" s="11" t="n">
        <x:f>IF(D758="Completed",L758,0)</x:f>
        <x:v>0</x:v>
      </x:c>
      <x:c r="T758" s="8" t="n">
        <x:f>DATE(YEAR(C758),MONTH(C758),1)</x:f>
        <x:v>45778</x:v>
      </x:c>
    </x:row>
    <x:row r="759" ht="22" customHeight="1">
      <x:c r="A759" s="2" t="str">
        <x:v>L000755</x:v>
      </x:c>
      <x:c r="B759" s="2" t="str">
        <x:v>O00312</x:v>
      </x:c>
      <x:c r="C759" s="7" t="n">
        <x:v>45928</x:v>
      </x:c>
      <x:c r="D759" s="2" t="str">
        <x:v>Completed</x:v>
      </x:c>
      <x:c r="E759" s="2" t="str">
        <x:v>South</x:v>
      </x:c>
      <x:c r="F759" s="2" t="str">
        <x:v>Store</x:v>
      </x:c>
      <x:c r="G759" s="2" t="str">
        <x:v>Furniture</x:v>
      </x:c>
      <x:c r="H759" s="2" t="str">
        <x:v>Desk 024</x:v>
      </x:c>
      <x:c r="I759" s="11" t="n">
        <x:v>4</x:v>
      </x:c>
      <x:c r="J759" s="9" t="n">
        <x:v>81</x:v>
      </x:c>
      <x:c r="K759" s="10" t="n">
        <x:v>0.1</x:v>
      </x:c>
      <x:c r="L759" s="11" t="n">
        <x:v>0</x:v>
      </x:c>
      <x:c r="M759" s="9" t="n">
        <x:f>IF(D759="Completed",I759*J759,0)</x:f>
        <x:v>324</x:v>
      </x:c>
      <x:c r="N759" s="9" t="n">
        <x:f>M759*K759</x:f>
        <x:v>32.4</x:v>
      </x:c>
      <x:c r="O759" s="9" t="n">
        <x:f>M759-N759</x:f>
        <x:v>291.6</x:v>
      </x:c>
      <x:c r="P759" s="9" t="n">
        <x:f>IF(D759="Completed",L759*J759*(1-K759),0)</x:f>
        <x:v>0</x:v>
      </x:c>
      <x:c r="Q759" s="9" t="n">
        <x:f>O759-P759</x:f>
        <x:v>291.6</x:v>
      </x:c>
      <x:c r="R759" s="11" t="n">
        <x:f>IF(D759="Completed",I759,0)</x:f>
        <x:v>4</x:v>
      </x:c>
      <x:c r="S759" s="11" t="n">
        <x:f>IF(D759="Completed",L759,0)</x:f>
        <x:v>0</x:v>
      </x:c>
      <x:c r="T759" s="8" t="n">
        <x:f>DATE(YEAR(C759),MONTH(C759),1)</x:f>
        <x:v>45901</x:v>
      </x:c>
    </x:row>
    <x:row r="760" ht="22" customHeight="1">
      <x:c r="A760" s="2" t="str">
        <x:v>L000756</x:v>
      </x:c>
      <x:c r="B760" s="2" t="str">
        <x:v>O00312</x:v>
      </x:c>
      <x:c r="C760" s="7" t="n">
        <x:v>45928</x:v>
      </x:c>
      <x:c r="D760" s="2" t="str">
        <x:v>Completed</x:v>
      </x:c>
      <x:c r="E760" s="2" t="str">
        <x:v>South</x:v>
      </x:c>
      <x:c r="F760" s="2" t="str">
        <x:v>Store</x:v>
      </x:c>
      <x:c r="G760" s="2" t="str">
        <x:v>Furniture</x:v>
      </x:c>
      <x:c r="H760" s="2" t="str">
        <x:v>Chair 022</x:v>
      </x:c>
      <x:c r="I760" s="11" t="n">
        <x:v>3</x:v>
      </x:c>
      <x:c r="J760" s="9" t="n">
        <x:v>134</x:v>
      </x:c>
      <x:c r="K760" s="10" t="n">
        <x:v>0.05</x:v>
      </x:c>
      <x:c r="L760" s="11" t="n">
        <x:v>0</x:v>
      </x:c>
      <x:c r="M760" s="9" t="n">
        <x:f>IF(D760="Completed",I760*J760,0)</x:f>
        <x:v>402</x:v>
      </x:c>
      <x:c r="N760" s="9" t="n">
        <x:f>M760*K760</x:f>
        <x:v>20.1</x:v>
      </x:c>
      <x:c r="O760" s="9" t="n">
        <x:f>M760-N760</x:f>
        <x:v>381.9</x:v>
      </x:c>
      <x:c r="P760" s="9" t="n">
        <x:f>IF(D760="Completed",L760*J760*(1-K760),0)</x:f>
        <x:v>0</x:v>
      </x:c>
      <x:c r="Q760" s="9" t="n">
        <x:f>O760-P760</x:f>
        <x:v>381.9</x:v>
      </x:c>
      <x:c r="R760" s="11" t="n">
        <x:f>IF(D760="Completed",I760,0)</x:f>
        <x:v>3</x:v>
      </x:c>
      <x:c r="S760" s="11" t="n">
        <x:f>IF(D760="Completed",L760,0)</x:f>
        <x:v>0</x:v>
      </x:c>
      <x:c r="T760" s="8" t="n">
        <x:f>DATE(YEAR(C760),MONTH(C760),1)</x:f>
        <x:v>45901</x:v>
      </x:c>
    </x:row>
    <x:row r="761" ht="22" customHeight="1">
      <x:c r="A761" s="2" t="str">
        <x:v>L000757</x:v>
      </x:c>
      <x:c r="B761" s="2" t="str">
        <x:v>O00312</x:v>
      </x:c>
      <x:c r="C761" s="7" t="n">
        <x:v>45928</x:v>
      </x:c>
      <x:c r="D761" s="2" t="str">
        <x:v>Completed</x:v>
      </x:c>
      <x:c r="E761" s="2" t="str">
        <x:v>South</x:v>
      </x:c>
      <x:c r="F761" s="2" t="str">
        <x:v>Store</x:v>
      </x:c>
      <x:c r="G761" s="2" t="str">
        <x:v>Lighting</x:v>
      </x:c>
      <x:c r="H761" s="2" t="str">
        <x:v>Lamp 001</x:v>
      </x:c>
      <x:c r="I761" s="11" t="n">
        <x:v>1</x:v>
      </x:c>
      <x:c r="J761" s="9" t="n">
        <x:v>122</x:v>
      </x:c>
      <x:c r="K761" s="10" t="n">
        <x:v>0.1</x:v>
      </x:c>
      <x:c r="L761" s="11" t="n">
        <x:v>0</x:v>
      </x:c>
      <x:c r="M761" s="9" t="n">
        <x:f>IF(D761="Completed",I761*J761,0)</x:f>
        <x:v>122</x:v>
      </x:c>
      <x:c r="N761" s="9" t="n">
        <x:f>M761*K761</x:f>
        <x:v>12.200000000000001</x:v>
      </x:c>
      <x:c r="O761" s="9" t="n">
        <x:f>M761-N761</x:f>
        <x:v>109.8</x:v>
      </x:c>
      <x:c r="P761" s="9" t="n">
        <x:f>IF(D761="Completed",L761*J761*(1-K761),0)</x:f>
        <x:v>0</x:v>
      </x:c>
      <x:c r="Q761" s="9" t="n">
        <x:f>O761-P761</x:f>
        <x:v>109.8</x:v>
      </x:c>
      <x:c r="R761" s="11" t="n">
        <x:f>IF(D761="Completed",I761,0)</x:f>
        <x:v>1</x:v>
      </x:c>
      <x:c r="S761" s="11" t="n">
        <x:f>IF(D761="Completed",L761,0)</x:f>
        <x:v>0</x:v>
      </x:c>
      <x:c r="T761" s="8" t="n">
        <x:f>DATE(YEAR(C761),MONTH(C761),1)</x:f>
        <x:v>45901</x:v>
      </x:c>
    </x:row>
    <x:row r="762" ht="22" customHeight="1">
      <x:c r="A762" s="2" t="str">
        <x:v>L000758</x:v>
      </x:c>
      <x:c r="B762" s="2" t="str">
        <x:v>O00313</x:v>
      </x:c>
      <x:c r="C762" s="7" t="n">
        <x:v>45974</x:v>
      </x:c>
      <x:c r="D762" s="2" t="str">
        <x:v>Completed</x:v>
      </x:c>
      <x:c r="E762" s="2" t="str">
        <x:v>West</x:v>
      </x:c>
      <x:c r="F762" s="2" t="str">
        <x:v>Online</x:v>
      </x:c>
      <x:c r="G762" s="2" t="str">
        <x:v>Lighting</x:v>
      </x:c>
      <x:c r="H762" s="2" t="str">
        <x:v>Lamp 009</x:v>
      </x:c>
      <x:c r="I762" s="11" t="n">
        <x:v>1</x:v>
      </x:c>
      <x:c r="J762" s="9" t="n">
        <x:v>93</x:v>
      </x:c>
      <x:c r="K762" s="10" t="n">
        <x:v>0</x:v>
      </x:c>
      <x:c r="L762" s="11" t="n">
        <x:v>0</x:v>
      </x:c>
      <x:c r="M762" s="9" t="n">
        <x:f>IF(D762="Completed",I762*J762,0)</x:f>
        <x:v>93</x:v>
      </x:c>
      <x:c r="N762" s="9" t="n">
        <x:f>M762*K762</x:f>
        <x:v>0</x:v>
      </x:c>
      <x:c r="O762" s="9" t="n">
        <x:f>M762-N762</x:f>
        <x:v>93</x:v>
      </x:c>
      <x:c r="P762" s="9" t="n">
        <x:f>IF(D762="Completed",L762*J762*(1-K762),0)</x:f>
        <x:v>0</x:v>
      </x:c>
      <x:c r="Q762" s="9" t="n">
        <x:f>O762-P762</x:f>
        <x:v>93</x:v>
      </x:c>
      <x:c r="R762" s="11" t="n">
        <x:f>IF(D762="Completed",I762,0)</x:f>
        <x:v>1</x:v>
      </x:c>
      <x:c r="S762" s="11" t="n">
        <x:f>IF(D762="Completed",L762,0)</x:f>
        <x:v>0</x:v>
      </x:c>
      <x:c r="T762" s="8" t="n">
        <x:f>DATE(YEAR(C762),MONTH(C762),1)</x:f>
        <x:v>45962</x:v>
      </x:c>
    </x:row>
    <x:row r="763" ht="22" customHeight="1">
      <x:c r="A763" s="2" t="str">
        <x:v>L000759</x:v>
      </x:c>
      <x:c r="B763" s="2" t="str">
        <x:v>O00314</x:v>
      </x:c>
      <x:c r="C763" s="7" t="n">
        <x:v>45975</x:v>
      </x:c>
      <x:c r="D763" s="2" t="str">
        <x:v>Completed</x:v>
      </x:c>
      <x:c r="E763" s="2" t="str">
        <x:v>South</x:v>
      </x:c>
      <x:c r="F763" s="2" t="str">
        <x:v>Online</x:v>
      </x:c>
      <x:c r="G763" s="2" t="str">
        <x:v>Furniture</x:v>
      </x:c>
      <x:c r="H763" s="2" t="str">
        <x:v>Chair 010</x:v>
      </x:c>
      <x:c r="I763" s="11" t="n">
        <x:v>4</x:v>
      </x:c>
      <x:c r="J763" s="9" t="n">
        <x:v>211</x:v>
      </x:c>
      <x:c r="K763" s="10" t="n">
        <x:v>0.1</x:v>
      </x:c>
      <x:c r="L763" s="11" t="n">
        <x:v>0</x:v>
      </x:c>
      <x:c r="M763" s="9" t="n">
        <x:f>IF(D763="Completed",I763*J763,0)</x:f>
        <x:v>844</x:v>
      </x:c>
      <x:c r="N763" s="9" t="n">
        <x:f>M763*K763</x:f>
        <x:v>84.4</x:v>
      </x:c>
      <x:c r="O763" s="9" t="n">
        <x:f>M763-N763</x:f>
        <x:v>759.6</x:v>
      </x:c>
      <x:c r="P763" s="9" t="n">
        <x:f>IF(D763="Completed",L763*J763*(1-K763),0)</x:f>
        <x:v>0</x:v>
      </x:c>
      <x:c r="Q763" s="9" t="n">
        <x:f>O763-P763</x:f>
        <x:v>759.6</x:v>
      </x:c>
      <x:c r="R763" s="11" t="n">
        <x:f>IF(D763="Completed",I763,0)</x:f>
        <x:v>4</x:v>
      </x:c>
      <x:c r="S763" s="11" t="n">
        <x:f>IF(D763="Completed",L763,0)</x:f>
        <x:v>0</x:v>
      </x:c>
      <x:c r="T763" s="8" t="n">
        <x:f>DATE(YEAR(C763),MONTH(C763),1)</x:f>
        <x:v>45962</x:v>
      </x:c>
    </x:row>
    <x:row r="764" ht="22" customHeight="1">
      <x:c r="A764" s="2" t="str">
        <x:v>L000760</x:v>
      </x:c>
      <x:c r="B764" s="2" t="str">
        <x:v>O00314</x:v>
      </x:c>
      <x:c r="C764" s="7" t="n">
        <x:v>45975</x:v>
      </x:c>
      <x:c r="D764" s="2" t="str">
        <x:v>Completed</x:v>
      </x:c>
      <x:c r="E764" s="2" t="str">
        <x:v>South</x:v>
      </x:c>
      <x:c r="F764" s="2" t="str">
        <x:v>Online</x:v>
      </x:c>
      <x:c r="G764" s="2" t="str">
        <x:v>Storage</x:v>
      </x:c>
      <x:c r="H764" s="2" t="str">
        <x:v>Shelf 011</x:v>
      </x:c>
      <x:c r="I764" s="11" t="n">
        <x:v>1</x:v>
      </x:c>
      <x:c r="J764" s="9" t="n">
        <x:v>80</x:v>
      </x:c>
      <x:c r="K764" s="10" t="n">
        <x:v>0.2</x:v>
      </x:c>
      <x:c r="L764" s="11" t="n">
        <x:v>1</x:v>
      </x:c>
      <x:c r="M764" s="9" t="n">
        <x:f>IF(D764="Completed",I764*J764,0)</x:f>
        <x:v>80</x:v>
      </x:c>
      <x:c r="N764" s="9" t="n">
        <x:f>M764*K764</x:f>
        <x:v>16</x:v>
      </x:c>
      <x:c r="O764" s="9" t="n">
        <x:f>M764-N764</x:f>
        <x:v>64</x:v>
      </x:c>
      <x:c r="P764" s="9" t="n">
        <x:f>IF(D764="Completed",L764*J764*(1-K764),0)</x:f>
        <x:v>64</x:v>
      </x:c>
      <x:c r="Q764" s="9" t="n">
        <x:f>O764-P764</x:f>
        <x:v>0</x:v>
      </x:c>
      <x:c r="R764" s="11" t="n">
        <x:f>IF(D764="Completed",I764,0)</x:f>
        <x:v>1</x:v>
      </x:c>
      <x:c r="S764" s="11" t="n">
        <x:f>IF(D764="Completed",L764,0)</x:f>
        <x:v>1</x:v>
      </x:c>
      <x:c r="T764" s="8" t="n">
        <x:f>DATE(YEAR(C764),MONTH(C764),1)</x:f>
        <x:v>45962</x:v>
      </x:c>
    </x:row>
    <x:row r="765" ht="22" customHeight="1">
      <x:c r="A765" s="2" t="str">
        <x:v>L000761</x:v>
      </x:c>
      <x:c r="B765" s="2" t="str">
        <x:v>O00314</x:v>
      </x:c>
      <x:c r="C765" s="7" t="n">
        <x:v>45975</x:v>
      </x:c>
      <x:c r="D765" s="2" t="str">
        <x:v>Completed</x:v>
      </x:c>
      <x:c r="E765" s="2" t="str">
        <x:v>South</x:v>
      </x:c>
      <x:c r="F765" s="2" t="str">
        <x:v>Online</x:v>
      </x:c>
      <x:c r="G765" s="2" t="str">
        <x:v>Lighting</x:v>
      </x:c>
      <x:c r="H765" s="2" t="str">
        <x:v>Lamp 005</x:v>
      </x:c>
      <x:c r="I765" s="11" t="n">
        <x:v>5</x:v>
      </x:c>
      <x:c r="J765" s="9" t="n">
        <x:v>65</x:v>
      </x:c>
      <x:c r="K765" s="10" t="n">
        <x:v>0.1</x:v>
      </x:c>
      <x:c r="L765" s="11" t="n">
        <x:v>0</x:v>
      </x:c>
      <x:c r="M765" s="9" t="n">
        <x:f>IF(D765="Completed",I765*J765,0)</x:f>
        <x:v>325</x:v>
      </x:c>
      <x:c r="N765" s="9" t="n">
        <x:f>M765*K765</x:f>
        <x:v>32.5</x:v>
      </x:c>
      <x:c r="O765" s="9" t="n">
        <x:f>M765-N765</x:f>
        <x:v>292.5</x:v>
      </x:c>
      <x:c r="P765" s="9" t="n">
        <x:f>IF(D765="Completed",L765*J765*(1-K765),0)</x:f>
        <x:v>0</x:v>
      </x:c>
      <x:c r="Q765" s="9" t="n">
        <x:f>O765-P765</x:f>
        <x:v>292.5</x:v>
      </x:c>
      <x:c r="R765" s="11" t="n">
        <x:f>IF(D765="Completed",I765,0)</x:f>
        <x:v>5</x:v>
      </x:c>
      <x:c r="S765" s="11" t="n">
        <x:f>IF(D765="Completed",L765,0)</x:f>
        <x:v>0</x:v>
      </x:c>
      <x:c r="T765" s="8" t="n">
        <x:f>DATE(YEAR(C765),MONTH(C765),1)</x:f>
        <x:v>45962</x:v>
      </x:c>
    </x:row>
    <x:row r="766" ht="22" customHeight="1">
      <x:c r="A766" s="2" t="str">
        <x:v>L000762</x:v>
      </x:c>
      <x:c r="B766" s="2" t="str">
        <x:v>O00314</x:v>
      </x:c>
      <x:c r="C766" s="7" t="n">
        <x:v>45975</x:v>
      </x:c>
      <x:c r="D766" s="2" t="str">
        <x:v>Completed</x:v>
      </x:c>
      <x:c r="E766" s="2" t="str">
        <x:v>South</x:v>
      </x:c>
      <x:c r="F766" s="2" t="str">
        <x:v>Online</x:v>
      </x:c>
      <x:c r="G766" s="2" t="str">
        <x:v>Furniture</x:v>
      </x:c>
      <x:c r="H766" s="2" t="str">
        <x:v>Chair 006</x:v>
      </x:c>
      <x:c r="I766" s="11" t="n">
        <x:v>4</x:v>
      </x:c>
      <x:c r="J766" s="9" t="n">
        <x:v>196</x:v>
      </x:c>
      <x:c r="K766" s="10" t="n">
        <x:v>0</x:v>
      </x:c>
      <x:c r="L766" s="11" t="n">
        <x:v>0</x:v>
      </x:c>
      <x:c r="M766" s="9" t="n">
        <x:f>IF(D766="Completed",I766*J766,0)</x:f>
        <x:v>784</x:v>
      </x:c>
      <x:c r="N766" s="9" t="n">
        <x:f>M766*K766</x:f>
        <x:v>0</x:v>
      </x:c>
      <x:c r="O766" s="9" t="n">
        <x:f>M766-N766</x:f>
        <x:v>784</x:v>
      </x:c>
      <x:c r="P766" s="9" t="n">
        <x:f>IF(D766="Completed",L766*J766*(1-K766),0)</x:f>
        <x:v>0</x:v>
      </x:c>
      <x:c r="Q766" s="9" t="n">
        <x:f>O766-P766</x:f>
        <x:v>784</x:v>
      </x:c>
      <x:c r="R766" s="11" t="n">
        <x:f>IF(D766="Completed",I766,0)</x:f>
        <x:v>4</x:v>
      </x:c>
      <x:c r="S766" s="11" t="n">
        <x:f>IF(D766="Completed",L766,0)</x:f>
        <x:v>0</x:v>
      </x:c>
      <x:c r="T766" s="8" t="n">
        <x:f>DATE(YEAR(C766),MONTH(C766),1)</x:f>
        <x:v>45962</x:v>
      </x:c>
    </x:row>
    <x:row r="767" ht="22" customHeight="1">
      <x:c r="A767" s="2" t="str">
        <x:v>L000763</x:v>
      </x:c>
      <x:c r="B767" s="2" t="str">
        <x:v>O00315</x:v>
      </x:c>
      <x:c r="C767" s="7" t="n">
        <x:v>45878</x:v>
      </x:c>
      <x:c r="D767" s="2" t="str">
        <x:v>Completed</x:v>
      </x:c>
      <x:c r="E767" s="2" t="str">
        <x:v>South</x:v>
      </x:c>
      <x:c r="F767" s="2" t="str">
        <x:v>Store</x:v>
      </x:c>
      <x:c r="G767" s="2" t="str">
        <x:v>Lighting</x:v>
      </x:c>
      <x:c r="H767" s="2" t="str">
        <x:v>Lamp 009</x:v>
      </x:c>
      <x:c r="I767" s="11" t="n">
        <x:v>5</x:v>
      </x:c>
      <x:c r="J767" s="9" t="n">
        <x:v>93</x:v>
      </x:c>
      <x:c r="K767" s="10" t="n">
        <x:v>0.05</x:v>
      </x:c>
      <x:c r="L767" s="11" t="n">
        <x:v>0</x:v>
      </x:c>
      <x:c r="M767" s="9" t="n">
        <x:f>IF(D767="Completed",I767*J767,0)</x:f>
        <x:v>465</x:v>
      </x:c>
      <x:c r="N767" s="9" t="n">
        <x:f>M767*K767</x:f>
        <x:v>23.25</x:v>
      </x:c>
      <x:c r="O767" s="9" t="n">
        <x:f>M767-N767</x:f>
        <x:v>441.75</x:v>
      </x:c>
      <x:c r="P767" s="9" t="n">
        <x:f>IF(D767="Completed",L767*J767*(1-K767),0)</x:f>
        <x:v>0</x:v>
      </x:c>
      <x:c r="Q767" s="9" t="n">
        <x:f>O767-P767</x:f>
        <x:v>441.75</x:v>
      </x:c>
      <x:c r="R767" s="11" t="n">
        <x:f>IF(D767="Completed",I767,0)</x:f>
        <x:v>5</x:v>
      </x:c>
      <x:c r="S767" s="11" t="n">
        <x:f>IF(D767="Completed",L767,0)</x:f>
        <x:v>0</x:v>
      </x:c>
      <x:c r="T767" s="8" t="n">
        <x:f>DATE(YEAR(C767),MONTH(C767),1)</x:f>
        <x:v>45870</x:v>
      </x:c>
    </x:row>
    <x:row r="768" ht="22" customHeight="1">
      <x:c r="A768" s="2" t="str">
        <x:v>L000764</x:v>
      </x:c>
      <x:c r="B768" s="2" t="str">
        <x:v>O00316</x:v>
      </x:c>
      <x:c r="C768" s="7" t="n">
        <x:v>45896</x:v>
      </x:c>
      <x:c r="D768" s="2" t="str">
        <x:v>Completed</x:v>
      </x:c>
      <x:c r="E768" s="2" t="str">
        <x:v>North</x:v>
      </x:c>
      <x:c r="F768" s="2" t="str">
        <x:v>Online</x:v>
      </x:c>
      <x:c r="G768" s="2" t="str">
        <x:v>Storage</x:v>
      </x:c>
      <x:c r="H768" s="2" t="str">
        <x:v>Shelf 003</x:v>
      </x:c>
      <x:c r="I768" s="11" t="n">
        <x:v>2</x:v>
      </x:c>
      <x:c r="J768" s="9" t="n">
        <x:v>199</x:v>
      </x:c>
      <x:c r="K768" s="10" t="n">
        <x:v>0</x:v>
      </x:c>
      <x:c r="L768" s="11" t="n">
        <x:v>0</x:v>
      </x:c>
      <x:c r="M768" s="9" t="n">
        <x:f>IF(D768="Completed",I768*J768,0)</x:f>
        <x:v>398</x:v>
      </x:c>
      <x:c r="N768" s="9" t="n">
        <x:f>M768*K768</x:f>
        <x:v>0</x:v>
      </x:c>
      <x:c r="O768" s="9" t="n">
        <x:f>M768-N768</x:f>
        <x:v>398</x:v>
      </x:c>
      <x:c r="P768" s="9" t="n">
        <x:f>IF(D768="Completed",L768*J768*(1-K768),0)</x:f>
        <x:v>0</x:v>
      </x:c>
      <x:c r="Q768" s="9" t="n">
        <x:f>O768-P768</x:f>
        <x:v>398</x:v>
      </x:c>
      <x:c r="R768" s="11" t="n">
        <x:f>IF(D768="Completed",I768,0)</x:f>
        <x:v>2</x:v>
      </x:c>
      <x:c r="S768" s="11" t="n">
        <x:f>IF(D768="Completed",L768,0)</x:f>
        <x:v>0</x:v>
      </x:c>
      <x:c r="T768" s="8" t="n">
        <x:f>DATE(YEAR(C768),MONTH(C768),1)</x:f>
        <x:v>45870</x:v>
      </x:c>
    </x:row>
    <x:row r="769" ht="22" customHeight="1">
      <x:c r="A769" s="2" t="str">
        <x:v>L000765</x:v>
      </x:c>
      <x:c r="B769" s="2" t="str">
        <x:v>O00316</x:v>
      </x:c>
      <x:c r="C769" s="7" t="n">
        <x:v>45896</x:v>
      </x:c>
      <x:c r="D769" s="2" t="str">
        <x:v>Completed</x:v>
      </x:c>
      <x:c r="E769" s="2" t="str">
        <x:v>North</x:v>
      </x:c>
      <x:c r="F769" s="2" t="str">
        <x:v>Online</x:v>
      </x:c>
      <x:c r="G769" s="2" t="str">
        <x:v>Furniture</x:v>
      </x:c>
      <x:c r="H769" s="2" t="str">
        <x:v>Desk 024</x:v>
      </x:c>
      <x:c r="I769" s="11" t="n">
        <x:v>1</x:v>
      </x:c>
      <x:c r="J769" s="9" t="n">
        <x:v>81</x:v>
      </x:c>
      <x:c r="K769" s="10" t="n">
        <x:v>0.1</x:v>
      </x:c>
      <x:c r="L769" s="11" t="n">
        <x:v>0</x:v>
      </x:c>
      <x:c r="M769" s="9" t="n">
        <x:f>IF(D769="Completed",I769*J769,0)</x:f>
        <x:v>81</x:v>
      </x:c>
      <x:c r="N769" s="9" t="n">
        <x:f>M769*K769</x:f>
        <x:v>8.1</x:v>
      </x:c>
      <x:c r="O769" s="9" t="n">
        <x:f>M769-N769</x:f>
        <x:v>72.9</x:v>
      </x:c>
      <x:c r="P769" s="9" t="n">
        <x:f>IF(D769="Completed",L769*J769*(1-K769),0)</x:f>
        <x:v>0</x:v>
      </x:c>
      <x:c r="Q769" s="9" t="n">
        <x:f>O769-P769</x:f>
        <x:v>72.9</x:v>
      </x:c>
      <x:c r="R769" s="11" t="n">
        <x:f>IF(D769="Completed",I769,0)</x:f>
        <x:v>1</x:v>
      </x:c>
      <x:c r="S769" s="11" t="n">
        <x:f>IF(D769="Completed",L769,0)</x:f>
        <x:v>0</x:v>
      </x:c>
      <x:c r="T769" s="8" t="n">
        <x:f>DATE(YEAR(C769),MONTH(C769),1)</x:f>
        <x:v>45870</x:v>
      </x:c>
    </x:row>
    <x:row r="770" ht="22" customHeight="1">
      <x:c r="A770" s="2" t="str">
        <x:v>L000766</x:v>
      </x:c>
      <x:c r="B770" s="2" t="str">
        <x:v>O00316</x:v>
      </x:c>
      <x:c r="C770" s="7" t="n">
        <x:v>45896</x:v>
      </x:c>
      <x:c r="D770" s="2" t="str">
        <x:v>Completed</x:v>
      </x:c>
      <x:c r="E770" s="2" t="str">
        <x:v>North</x:v>
      </x:c>
      <x:c r="F770" s="2" t="str">
        <x:v>Online</x:v>
      </x:c>
      <x:c r="G770" s="2" t="str">
        <x:v>Furniture</x:v>
      </x:c>
      <x:c r="H770" s="2" t="str">
        <x:v>Desk 004</x:v>
      </x:c>
      <x:c r="I770" s="11" t="n">
        <x:v>3</x:v>
      </x:c>
      <x:c r="J770" s="9" t="n">
        <x:v>123</x:v>
      </x:c>
      <x:c r="K770" s="10" t="n">
        <x:v>0.1</x:v>
      </x:c>
      <x:c r="L770" s="11" t="n">
        <x:v>0</x:v>
      </x:c>
      <x:c r="M770" s="9" t="n">
        <x:f>IF(D770="Completed",I770*J770,0)</x:f>
        <x:v>369</x:v>
      </x:c>
      <x:c r="N770" s="9" t="n">
        <x:f>M770*K770</x:f>
        <x:v>36.9</x:v>
      </x:c>
      <x:c r="O770" s="9" t="n">
        <x:f>M770-N770</x:f>
        <x:v>332.1</x:v>
      </x:c>
      <x:c r="P770" s="9" t="n">
        <x:f>IF(D770="Completed",L770*J770*(1-K770),0)</x:f>
        <x:v>0</x:v>
      </x:c>
      <x:c r="Q770" s="9" t="n">
        <x:f>O770-P770</x:f>
        <x:v>332.1</x:v>
      </x:c>
      <x:c r="R770" s="11" t="n">
        <x:f>IF(D770="Completed",I770,0)</x:f>
        <x:v>3</x:v>
      </x:c>
      <x:c r="S770" s="11" t="n">
        <x:f>IF(D770="Completed",L770,0)</x:f>
        <x:v>0</x:v>
      </x:c>
      <x:c r="T770" s="8" t="n">
        <x:f>DATE(YEAR(C770),MONTH(C770),1)</x:f>
        <x:v>45870</x:v>
      </x:c>
    </x:row>
    <x:row r="771" ht="22" customHeight="1">
      <x:c r="A771" s="2" t="str">
        <x:v>L000767</x:v>
      </x:c>
      <x:c r="B771" s="2" t="str">
        <x:v>O00316</x:v>
      </x:c>
      <x:c r="C771" s="7" t="n">
        <x:v>45896</x:v>
      </x:c>
      <x:c r="D771" s="2" t="str">
        <x:v>Completed</x:v>
      </x:c>
      <x:c r="E771" s="2" t="str">
        <x:v>North</x:v>
      </x:c>
      <x:c r="F771" s="2" t="str">
        <x:v>Online</x:v>
      </x:c>
      <x:c r="G771" s="2" t="str">
        <x:v>Furniture</x:v>
      </x:c>
      <x:c r="H771" s="2" t="str">
        <x:v>Chair 022</x:v>
      </x:c>
      <x:c r="I771" s="11" t="n">
        <x:v>2</x:v>
      </x:c>
      <x:c r="J771" s="9" t="n">
        <x:v>134</x:v>
      </x:c>
      <x:c r="K771" s="10" t="n">
        <x:v>0.2</x:v>
      </x:c>
      <x:c r="L771" s="11" t="n">
        <x:v>0</x:v>
      </x:c>
      <x:c r="M771" s="9" t="n">
        <x:f>IF(D771="Completed",I771*J771,0)</x:f>
        <x:v>268</x:v>
      </x:c>
      <x:c r="N771" s="9" t="n">
        <x:f>M771*K771</x:f>
        <x:v>53.6</x:v>
      </x:c>
      <x:c r="O771" s="9" t="n">
        <x:f>M771-N771</x:f>
        <x:v>214.4</x:v>
      </x:c>
      <x:c r="P771" s="9" t="n">
        <x:f>IF(D771="Completed",L771*J771*(1-K771),0)</x:f>
        <x:v>0</x:v>
      </x:c>
      <x:c r="Q771" s="9" t="n">
        <x:f>O771-P771</x:f>
        <x:v>214.4</x:v>
      </x:c>
      <x:c r="R771" s="11" t="n">
        <x:f>IF(D771="Completed",I771,0)</x:f>
        <x:v>2</x:v>
      </x:c>
      <x:c r="S771" s="11" t="n">
        <x:f>IF(D771="Completed",L771,0)</x:f>
        <x:v>0</x:v>
      </x:c>
      <x:c r="T771" s="8" t="n">
        <x:f>DATE(YEAR(C771),MONTH(C771),1)</x:f>
        <x:v>45870</x:v>
      </x:c>
    </x:row>
    <x:row r="772" ht="22" customHeight="1">
      <x:c r="A772" s="2" t="str">
        <x:v>L000768</x:v>
      </x:c>
      <x:c r="B772" s="2" t="str">
        <x:v>O00317</x:v>
      </x:c>
      <x:c r="C772" s="7" t="n">
        <x:v>45875</x:v>
      </x:c>
      <x:c r="D772" s="2" t="str">
        <x:v>Completed</x:v>
      </x:c>
      <x:c r="E772" s="2" t="str">
        <x:v>South</x:v>
      </x:c>
      <x:c r="F772" s="2" t="str">
        <x:v>Online</x:v>
      </x:c>
      <x:c r="G772" s="2" t="str">
        <x:v>Furniture</x:v>
      </x:c>
      <x:c r="H772" s="2" t="str">
        <x:v>Desk 012</x:v>
      </x:c>
      <x:c r="I772" s="11" t="n">
        <x:v>4</x:v>
      </x:c>
      <x:c r="J772" s="9" t="n">
        <x:v>134</x:v>
      </x:c>
      <x:c r="K772" s="10" t="n">
        <x:v>0.2</x:v>
      </x:c>
      <x:c r="L772" s="11" t="n">
        <x:v>0</x:v>
      </x:c>
      <x:c r="M772" s="9" t="n">
        <x:f>IF(D772="Completed",I772*J772,0)</x:f>
        <x:v>536</x:v>
      </x:c>
      <x:c r="N772" s="9" t="n">
        <x:f>M772*K772</x:f>
        <x:v>107.2</x:v>
      </x:c>
      <x:c r="O772" s="9" t="n">
        <x:f>M772-N772</x:f>
        <x:v>428.8</x:v>
      </x:c>
      <x:c r="P772" s="9" t="n">
        <x:f>IF(D772="Completed",L772*J772*(1-K772),0)</x:f>
        <x:v>0</x:v>
      </x:c>
      <x:c r="Q772" s="9" t="n">
        <x:f>O772-P772</x:f>
        <x:v>428.8</x:v>
      </x:c>
      <x:c r="R772" s="11" t="n">
        <x:f>IF(D772="Completed",I772,0)</x:f>
        <x:v>4</x:v>
      </x:c>
      <x:c r="S772" s="11" t="n">
        <x:f>IF(D772="Completed",L772,0)</x:f>
        <x:v>0</x:v>
      </x:c>
      <x:c r="T772" s="8" t="n">
        <x:f>DATE(YEAR(C772),MONTH(C772),1)</x:f>
        <x:v>45870</x:v>
      </x:c>
    </x:row>
    <x:row r="773" ht="22" customHeight="1">
      <x:c r="A773" s="2" t="str">
        <x:v>L000769</x:v>
      </x:c>
      <x:c r="B773" s="2" t="str">
        <x:v>O00317</x:v>
      </x:c>
      <x:c r="C773" s="7" t="n">
        <x:v>45875</x:v>
      </x:c>
      <x:c r="D773" s="2" t="str">
        <x:v>Completed</x:v>
      </x:c>
      <x:c r="E773" s="2" t="str">
        <x:v>South</x:v>
      </x:c>
      <x:c r="F773" s="2" t="str">
        <x:v>Online</x:v>
      </x:c>
      <x:c r="G773" s="2" t="str">
        <x:v>Furniture</x:v>
      </x:c>
      <x:c r="H773" s="2" t="str">
        <x:v>Desk 024</x:v>
      </x:c>
      <x:c r="I773" s="11" t="n">
        <x:v>1</x:v>
      </x:c>
      <x:c r="J773" s="9" t="n">
        <x:v>81</x:v>
      </x:c>
      <x:c r="K773" s="10" t="n">
        <x:v>0.2</x:v>
      </x:c>
      <x:c r="L773" s="11" t="n">
        <x:v>0</x:v>
      </x:c>
      <x:c r="M773" s="9" t="n">
        <x:f>IF(D773="Completed",I773*J773,0)</x:f>
        <x:v>81</x:v>
      </x:c>
      <x:c r="N773" s="9" t="n">
        <x:f>M773*K773</x:f>
        <x:v>16.2</x:v>
      </x:c>
      <x:c r="O773" s="9" t="n">
        <x:f>M773-N773</x:f>
        <x:v>64.8</x:v>
      </x:c>
      <x:c r="P773" s="9" t="n">
        <x:f>IF(D773="Completed",L773*J773*(1-K773),0)</x:f>
        <x:v>0</x:v>
      </x:c>
      <x:c r="Q773" s="9" t="n">
        <x:f>O773-P773</x:f>
        <x:v>64.8</x:v>
      </x:c>
      <x:c r="R773" s="11" t="n">
        <x:f>IF(D773="Completed",I773,0)</x:f>
        <x:v>1</x:v>
      </x:c>
      <x:c r="S773" s="11" t="n">
        <x:f>IF(D773="Completed",L773,0)</x:f>
        <x:v>0</x:v>
      </x:c>
      <x:c r="T773" s="8" t="n">
        <x:f>DATE(YEAR(C773),MONTH(C773),1)</x:f>
        <x:v>45870</x:v>
      </x:c>
    </x:row>
    <x:row r="774" ht="22" customHeight="1">
      <x:c r="A774" s="2" t="str">
        <x:v>L000770</x:v>
      </x:c>
      <x:c r="B774" s="2" t="str">
        <x:v>O00317</x:v>
      </x:c>
      <x:c r="C774" s="7" t="n">
        <x:v>45875</x:v>
      </x:c>
      <x:c r="D774" s="2" t="str">
        <x:v>Completed</x:v>
      </x:c>
      <x:c r="E774" s="2" t="str">
        <x:v>South</x:v>
      </x:c>
      <x:c r="F774" s="2" t="str">
        <x:v>Online</x:v>
      </x:c>
      <x:c r="G774" s="2" t="str">
        <x:v>Lighting</x:v>
      </x:c>
      <x:c r="H774" s="2" t="str">
        <x:v>Lamp 001</x:v>
      </x:c>
      <x:c r="I774" s="11" t="n">
        <x:v>2</x:v>
      </x:c>
      <x:c r="J774" s="9" t="n">
        <x:v>122</x:v>
      </x:c>
      <x:c r="K774" s="10" t="n">
        <x:v>0.2</x:v>
      </x:c>
      <x:c r="L774" s="11" t="n">
        <x:v>0</x:v>
      </x:c>
      <x:c r="M774" s="9" t="n">
        <x:f>IF(D774="Completed",I774*J774,0)</x:f>
        <x:v>244</x:v>
      </x:c>
      <x:c r="N774" s="9" t="n">
        <x:f>M774*K774</x:f>
        <x:v>48.800000000000004</x:v>
      </x:c>
      <x:c r="O774" s="9" t="n">
        <x:f>M774-N774</x:f>
        <x:v>195.2</x:v>
      </x:c>
      <x:c r="P774" s="9" t="n">
        <x:f>IF(D774="Completed",L774*J774*(1-K774),0)</x:f>
        <x:v>0</x:v>
      </x:c>
      <x:c r="Q774" s="9" t="n">
        <x:f>O774-P774</x:f>
        <x:v>195.2</x:v>
      </x:c>
      <x:c r="R774" s="11" t="n">
        <x:f>IF(D774="Completed",I774,0)</x:f>
        <x:v>2</x:v>
      </x:c>
      <x:c r="S774" s="11" t="n">
        <x:f>IF(D774="Completed",L774,0)</x:f>
        <x:v>0</x:v>
      </x:c>
      <x:c r="T774" s="8" t="n">
        <x:f>DATE(YEAR(C774),MONTH(C774),1)</x:f>
        <x:v>45870</x:v>
      </x:c>
    </x:row>
    <x:row r="775" ht="22" customHeight="1">
      <x:c r="A775" s="2" t="str">
        <x:v>L000771</x:v>
      </x:c>
      <x:c r="B775" s="2" t="str">
        <x:v>O00318</x:v>
      </x:c>
      <x:c r="C775" s="7" t="n">
        <x:v>45818</x:v>
      </x:c>
      <x:c r="D775" s="2" t="str">
        <x:v>Completed</x:v>
      </x:c>
      <x:c r="E775" s="2" t="str">
        <x:v>North</x:v>
      </x:c>
      <x:c r="F775" s="2" t="str">
        <x:v>Online</x:v>
      </x:c>
      <x:c r="G775" s="2" t="str">
        <x:v>Furniture</x:v>
      </x:c>
      <x:c r="H775" s="2" t="str">
        <x:v>Desk 024</x:v>
      </x:c>
      <x:c r="I775" s="11" t="n">
        <x:v>3</x:v>
      </x:c>
      <x:c r="J775" s="9" t="n">
        <x:v>81</x:v>
      </x:c>
      <x:c r="K775" s="10" t="n">
        <x:v>0.2</x:v>
      </x:c>
      <x:c r="L775" s="11" t="n">
        <x:v>0</x:v>
      </x:c>
      <x:c r="M775" s="9" t="n">
        <x:f>IF(D775="Completed",I775*J775,0)</x:f>
        <x:v>243</x:v>
      </x:c>
      <x:c r="N775" s="9" t="n">
        <x:f>M775*K775</x:f>
        <x:v>48.6</x:v>
      </x:c>
      <x:c r="O775" s="9" t="n">
        <x:f>M775-N775</x:f>
        <x:v>194.4</x:v>
      </x:c>
      <x:c r="P775" s="9" t="n">
        <x:f>IF(D775="Completed",L775*J775*(1-K775),0)</x:f>
        <x:v>0</x:v>
      </x:c>
      <x:c r="Q775" s="9" t="n">
        <x:f>O775-P775</x:f>
        <x:v>194.4</x:v>
      </x:c>
      <x:c r="R775" s="11" t="n">
        <x:f>IF(D775="Completed",I775,0)</x:f>
        <x:v>3</x:v>
      </x:c>
      <x:c r="S775" s="11" t="n">
        <x:f>IF(D775="Completed",L775,0)</x:f>
        <x:v>0</x:v>
      </x:c>
      <x:c r="T775" s="8" t="n">
        <x:f>DATE(YEAR(C775),MONTH(C775),1)</x:f>
        <x:v>45809</x:v>
      </x:c>
    </x:row>
    <x:row r="776" ht="22" customHeight="1">
      <x:c r="A776" s="2" t="str">
        <x:v>L000772</x:v>
      </x:c>
      <x:c r="B776" s="2" t="str">
        <x:v>O00318</x:v>
      </x:c>
      <x:c r="C776" s="7" t="n">
        <x:v>45818</x:v>
      </x:c>
      <x:c r="D776" s="2" t="str">
        <x:v>Completed</x:v>
      </x:c>
      <x:c r="E776" s="2" t="str">
        <x:v>North</x:v>
      </x:c>
      <x:c r="F776" s="2" t="str">
        <x:v>Online</x:v>
      </x:c>
      <x:c r="G776" s="2" t="str">
        <x:v>Lighting</x:v>
      </x:c>
      <x:c r="H776" s="2" t="str">
        <x:v>Lamp 001</x:v>
      </x:c>
      <x:c r="I776" s="11" t="n">
        <x:v>3</x:v>
      </x:c>
      <x:c r="J776" s="9" t="n">
        <x:v>122</x:v>
      </x:c>
      <x:c r="K776" s="10" t="n">
        <x:v>0.2</x:v>
      </x:c>
      <x:c r="L776" s="11" t="n">
        <x:v>0</x:v>
      </x:c>
      <x:c r="M776" s="9" t="n">
        <x:f>IF(D776="Completed",I776*J776,0)</x:f>
        <x:v>366</x:v>
      </x:c>
      <x:c r="N776" s="9" t="n">
        <x:f>M776*K776</x:f>
        <x:v>73.2</x:v>
      </x:c>
      <x:c r="O776" s="9" t="n">
        <x:f>M776-N776</x:f>
        <x:v>292.8</x:v>
      </x:c>
      <x:c r="P776" s="9" t="n">
        <x:f>IF(D776="Completed",L776*J776*(1-K776),0)</x:f>
        <x:v>0</x:v>
      </x:c>
      <x:c r="Q776" s="9" t="n">
        <x:f>O776-P776</x:f>
        <x:v>292.8</x:v>
      </x:c>
      <x:c r="R776" s="11" t="n">
        <x:f>IF(D776="Completed",I776,0)</x:f>
        <x:v>3</x:v>
      </x:c>
      <x:c r="S776" s="11" t="n">
        <x:f>IF(D776="Completed",L776,0)</x:f>
        <x:v>0</x:v>
      </x:c>
      <x:c r="T776" s="8" t="n">
        <x:f>DATE(YEAR(C776),MONTH(C776),1)</x:f>
        <x:v>45809</x:v>
      </x:c>
    </x:row>
    <x:row r="777" ht="22" customHeight="1">
      <x:c r="A777" s="2" t="str">
        <x:v>L000773</x:v>
      </x:c>
      <x:c r="B777" s="2" t="str">
        <x:v>O00318</x:v>
      </x:c>
      <x:c r="C777" s="7" t="n">
        <x:v>45818</x:v>
      </x:c>
      <x:c r="D777" s="2" t="str">
        <x:v>Completed</x:v>
      </x:c>
      <x:c r="E777" s="2" t="str">
        <x:v>North</x:v>
      </x:c>
      <x:c r="F777" s="2" t="str">
        <x:v>Online</x:v>
      </x:c>
      <x:c r="G777" s="2" t="str">
        <x:v>Storage</x:v>
      </x:c>
      <x:c r="H777" s="2" t="str">
        <x:v>Shelf 011</x:v>
      </x:c>
      <x:c r="I777" s="11" t="n">
        <x:v>2</x:v>
      </x:c>
      <x:c r="J777" s="9" t="n">
        <x:v>80</x:v>
      </x:c>
      <x:c r="K777" s="10" t="n">
        <x:v>0.2</x:v>
      </x:c>
      <x:c r="L777" s="11" t="n">
        <x:v>0</x:v>
      </x:c>
      <x:c r="M777" s="9" t="n">
        <x:f>IF(D777="Completed",I777*J777,0)</x:f>
        <x:v>160</x:v>
      </x:c>
      <x:c r="N777" s="9" t="n">
        <x:f>M777*K777</x:f>
        <x:v>32</x:v>
      </x:c>
      <x:c r="O777" s="9" t="n">
        <x:f>M777-N777</x:f>
        <x:v>128</x:v>
      </x:c>
      <x:c r="P777" s="9" t="n">
        <x:f>IF(D777="Completed",L777*J777*(1-K777),0)</x:f>
        <x:v>0</x:v>
      </x:c>
      <x:c r="Q777" s="9" t="n">
        <x:f>O777-P777</x:f>
        <x:v>128</x:v>
      </x:c>
      <x:c r="R777" s="11" t="n">
        <x:f>IF(D777="Completed",I777,0)</x:f>
        <x:v>2</x:v>
      </x:c>
      <x:c r="S777" s="11" t="n">
        <x:f>IF(D777="Completed",L777,0)</x:f>
        <x:v>0</x:v>
      </x:c>
      <x:c r="T777" s="8" t="n">
        <x:f>DATE(YEAR(C777),MONTH(C777),1)</x:f>
        <x:v>45809</x:v>
      </x:c>
    </x:row>
    <x:row r="778" ht="22" customHeight="1">
      <x:c r="A778" s="2" t="str">
        <x:v>L000774</x:v>
      </x:c>
      <x:c r="B778" s="2" t="str">
        <x:v>O00318</x:v>
      </x:c>
      <x:c r="C778" s="7" t="n">
        <x:v>45818</x:v>
      </x:c>
      <x:c r="D778" s="2" t="str">
        <x:v>Completed</x:v>
      </x:c>
      <x:c r="E778" s="2" t="str">
        <x:v>North</x:v>
      </x:c>
      <x:c r="F778" s="2" t="str">
        <x:v>Online</x:v>
      </x:c>
      <x:c r="G778" s="2" t="str">
        <x:v>Furniture</x:v>
      </x:c>
      <x:c r="H778" s="2" t="str">
        <x:v>Desk 004</x:v>
      </x:c>
      <x:c r="I778" s="11" t="n">
        <x:v>2</x:v>
      </x:c>
      <x:c r="J778" s="9" t="n">
        <x:v>123</x:v>
      </x:c>
      <x:c r="K778" s="10" t="n">
        <x:v>0.1</x:v>
      </x:c>
      <x:c r="L778" s="11" t="n">
        <x:v>0</x:v>
      </x:c>
      <x:c r="M778" s="9" t="n">
        <x:f>IF(D778="Completed",I778*J778,0)</x:f>
        <x:v>246</x:v>
      </x:c>
      <x:c r="N778" s="9" t="n">
        <x:f>M778*K778</x:f>
        <x:v>24.6</x:v>
      </x:c>
      <x:c r="O778" s="9" t="n">
        <x:f>M778-N778</x:f>
        <x:v>221.4</x:v>
      </x:c>
      <x:c r="P778" s="9" t="n">
        <x:f>IF(D778="Completed",L778*J778*(1-K778),0)</x:f>
        <x:v>0</x:v>
      </x:c>
      <x:c r="Q778" s="9" t="n">
        <x:f>O778-P778</x:f>
        <x:v>221.4</x:v>
      </x:c>
      <x:c r="R778" s="11" t="n">
        <x:f>IF(D778="Completed",I778,0)</x:f>
        <x:v>2</x:v>
      </x:c>
      <x:c r="S778" s="11" t="n">
        <x:f>IF(D778="Completed",L778,0)</x:f>
        <x:v>0</x:v>
      </x:c>
      <x:c r="T778" s="8" t="n">
        <x:f>DATE(YEAR(C778),MONTH(C778),1)</x:f>
        <x:v>45809</x:v>
      </x:c>
    </x:row>
    <x:row r="779" ht="22" customHeight="1">
      <x:c r="A779" s="2" t="str">
        <x:v>L000775</x:v>
      </x:c>
      <x:c r="B779" s="2" t="str">
        <x:v>O00319</x:v>
      </x:c>
      <x:c r="C779" s="7" t="n">
        <x:v>45859</x:v>
      </x:c>
      <x:c r="D779" s="2" t="str">
        <x:v>Completed</x:v>
      </x:c>
      <x:c r="E779" s="2" t="str">
        <x:v>West</x:v>
      </x:c>
      <x:c r="F779" s="2" t="str">
        <x:v>Store</x:v>
      </x:c>
      <x:c r="G779" s="2" t="str">
        <x:v>Lighting</x:v>
      </x:c>
      <x:c r="H779" s="2" t="str">
        <x:v>Lamp 001</x:v>
      </x:c>
      <x:c r="I779" s="11" t="n">
        <x:v>3</x:v>
      </x:c>
      <x:c r="J779" s="9" t="n">
        <x:v>122</x:v>
      </x:c>
      <x:c r="K779" s="10" t="n">
        <x:v>0</x:v>
      </x:c>
      <x:c r="L779" s="11" t="n">
        <x:v>0</x:v>
      </x:c>
      <x:c r="M779" s="9" t="n">
        <x:f>IF(D779="Completed",I779*J779,0)</x:f>
        <x:v>366</x:v>
      </x:c>
      <x:c r="N779" s="9" t="n">
        <x:f>M779*K779</x:f>
        <x:v>0</x:v>
      </x:c>
      <x:c r="O779" s="9" t="n">
        <x:f>M779-N779</x:f>
        <x:v>366</x:v>
      </x:c>
      <x:c r="P779" s="9" t="n">
        <x:f>IF(D779="Completed",L779*J779*(1-K779),0)</x:f>
        <x:v>0</x:v>
      </x:c>
      <x:c r="Q779" s="9" t="n">
        <x:f>O779-P779</x:f>
        <x:v>366</x:v>
      </x:c>
      <x:c r="R779" s="11" t="n">
        <x:f>IF(D779="Completed",I779,0)</x:f>
        <x:v>3</x:v>
      </x:c>
      <x:c r="S779" s="11" t="n">
        <x:f>IF(D779="Completed",L779,0)</x:f>
        <x:v>0</x:v>
      </x:c>
      <x:c r="T779" s="8" t="n">
        <x:f>DATE(YEAR(C779),MONTH(C779),1)</x:f>
        <x:v>45839</x:v>
      </x:c>
    </x:row>
    <x:row r="780" ht="22" customHeight="1">
      <x:c r="A780" s="2" t="str">
        <x:v>L000776</x:v>
      </x:c>
      <x:c r="B780" s="2" t="str">
        <x:v>O00320</x:v>
      </x:c>
      <x:c r="C780" s="7" t="n">
        <x:v>45772</x:v>
      </x:c>
      <x:c r="D780" s="2" t="str">
        <x:v>Completed</x:v>
      </x:c>
      <x:c r="E780" s="2" t="str">
        <x:v>North</x:v>
      </x:c>
      <x:c r="F780" s="2" t="str">
        <x:v>Online</x:v>
      </x:c>
      <x:c r="G780" s="2" t="str">
        <x:v>Lighting</x:v>
      </x:c>
      <x:c r="H780" s="2" t="str">
        <x:v>Lamp 009</x:v>
      </x:c>
      <x:c r="I780" s="11" t="n">
        <x:v>4</x:v>
      </x:c>
      <x:c r="J780" s="9" t="n">
        <x:v>93</x:v>
      </x:c>
      <x:c r="K780" s="10" t="n">
        <x:v>0.05</x:v>
      </x:c>
      <x:c r="L780" s="11" t="n">
        <x:v>0</x:v>
      </x:c>
      <x:c r="M780" s="9" t="n">
        <x:f>IF(D780="Completed",I780*J780,0)</x:f>
        <x:v>372</x:v>
      </x:c>
      <x:c r="N780" s="9" t="n">
        <x:f>M780*K780</x:f>
        <x:v>18.6</x:v>
      </x:c>
      <x:c r="O780" s="9" t="n">
        <x:f>M780-N780</x:f>
        <x:v>353.4</x:v>
      </x:c>
      <x:c r="P780" s="9" t="n">
        <x:f>IF(D780="Completed",L780*J780*(1-K780),0)</x:f>
        <x:v>0</x:v>
      </x:c>
      <x:c r="Q780" s="9" t="n">
        <x:f>O780-P780</x:f>
        <x:v>353.4</x:v>
      </x:c>
      <x:c r="R780" s="11" t="n">
        <x:f>IF(D780="Completed",I780,0)</x:f>
        <x:v>4</x:v>
      </x:c>
      <x:c r="S780" s="11" t="n">
        <x:f>IF(D780="Completed",L780,0)</x:f>
        <x:v>0</x:v>
      </x:c>
      <x:c r="T780" s="8" t="n">
        <x:f>DATE(YEAR(C780),MONTH(C780),1)</x:f>
        <x:v>45748</x:v>
      </x:c>
    </x:row>
    <x:row r="781" ht="22" customHeight="1">
      <x:c r="A781" s="2" t="str">
        <x:v>L000777</x:v>
      </x:c>
      <x:c r="B781" s="2" t="str">
        <x:v>O00320</x:v>
      </x:c>
      <x:c r="C781" s="7" t="n">
        <x:v>45772</x:v>
      </x:c>
      <x:c r="D781" s="2" t="str">
        <x:v>Completed</x:v>
      </x:c>
      <x:c r="E781" s="2" t="str">
        <x:v>North</x:v>
      </x:c>
      <x:c r="F781" s="2" t="str">
        <x:v>Online</x:v>
      </x:c>
      <x:c r="G781" s="2" t="str">
        <x:v>Lighting</x:v>
      </x:c>
      <x:c r="H781" s="2" t="str">
        <x:v>Lamp 021</x:v>
      </x:c>
      <x:c r="I781" s="11" t="n">
        <x:v>3</x:v>
      </x:c>
      <x:c r="J781" s="9" t="n">
        <x:v>249</x:v>
      </x:c>
      <x:c r="K781" s="10" t="n">
        <x:v>0</x:v>
      </x:c>
      <x:c r="L781" s="11" t="n">
        <x:v>0</x:v>
      </x:c>
      <x:c r="M781" s="9" t="n">
        <x:f>IF(D781="Completed",I781*J781,0)</x:f>
        <x:v>747</x:v>
      </x:c>
      <x:c r="N781" s="9" t="n">
        <x:f>M781*K781</x:f>
        <x:v>0</x:v>
      </x:c>
      <x:c r="O781" s="9" t="n">
        <x:f>M781-N781</x:f>
        <x:v>747</x:v>
      </x:c>
      <x:c r="P781" s="9" t="n">
        <x:f>IF(D781="Completed",L781*J781*(1-K781),0)</x:f>
        <x:v>0</x:v>
      </x:c>
      <x:c r="Q781" s="9" t="n">
        <x:f>O781-P781</x:f>
        <x:v>747</x:v>
      </x:c>
      <x:c r="R781" s="11" t="n">
        <x:f>IF(D781="Completed",I781,0)</x:f>
        <x:v>3</x:v>
      </x:c>
      <x:c r="S781" s="11" t="n">
        <x:f>IF(D781="Completed",L781,0)</x:f>
        <x:v>0</x:v>
      </x:c>
      <x:c r="T781" s="8" t="n">
        <x:f>DATE(YEAR(C781),MONTH(C781),1)</x:f>
        <x:v>45748</x:v>
      </x:c>
    </x:row>
    <x:row r="782" ht="22" customHeight="1">
      <x:c r="A782" s="2" t="str">
        <x:v>L000778</x:v>
      </x:c>
      <x:c r="B782" s="2" t="str">
        <x:v>O00320</x:v>
      </x:c>
      <x:c r="C782" s="7" t="n">
        <x:v>45772</x:v>
      </x:c>
      <x:c r="D782" s="2" t="str">
        <x:v>Completed</x:v>
      </x:c>
      <x:c r="E782" s="2" t="str">
        <x:v>North</x:v>
      </x:c>
      <x:c r="F782" s="2" t="str">
        <x:v>Online</x:v>
      </x:c>
      <x:c r="G782" s="2" t="str">
        <x:v>Lighting</x:v>
      </x:c>
      <x:c r="H782" s="2" t="str">
        <x:v>Lamp 005</x:v>
      </x:c>
      <x:c r="I782" s="11" t="n">
        <x:v>4</x:v>
      </x:c>
      <x:c r="J782" s="9" t="n">
        <x:v>65</x:v>
      </x:c>
      <x:c r="K782" s="10" t="n">
        <x:v>0.05</x:v>
      </x:c>
      <x:c r="L782" s="11" t="n">
        <x:v>0</x:v>
      </x:c>
      <x:c r="M782" s="9" t="n">
        <x:f>IF(D782="Completed",I782*J782,0)</x:f>
        <x:v>260</x:v>
      </x:c>
      <x:c r="N782" s="9" t="n">
        <x:f>M782*K782</x:f>
        <x:v>13</x:v>
      </x:c>
      <x:c r="O782" s="9" t="n">
        <x:f>M782-N782</x:f>
        <x:v>247</x:v>
      </x:c>
      <x:c r="P782" s="9" t="n">
        <x:f>IF(D782="Completed",L782*J782*(1-K782),0)</x:f>
        <x:v>0</x:v>
      </x:c>
      <x:c r="Q782" s="9" t="n">
        <x:f>O782-P782</x:f>
        <x:v>247</x:v>
      </x:c>
      <x:c r="R782" s="11" t="n">
        <x:f>IF(D782="Completed",I782,0)</x:f>
        <x:v>4</x:v>
      </x:c>
      <x:c r="S782" s="11" t="n">
        <x:f>IF(D782="Completed",L782,0)</x:f>
        <x:v>0</x:v>
      </x:c>
      <x:c r="T782" s="8" t="n">
        <x:f>DATE(YEAR(C782),MONTH(C782),1)</x:f>
        <x:v>45748</x:v>
      </x:c>
    </x:row>
    <x:row r="783" ht="22" customHeight="1">
      <x:c r="A783" s="2" t="str">
        <x:v>L000779</x:v>
      </x:c>
      <x:c r="B783" s="2" t="str">
        <x:v>O00321</x:v>
      </x:c>
      <x:c r="C783" s="7" t="n">
        <x:v>46008</x:v>
      </x:c>
      <x:c r="D783" s="2" t="str">
        <x:v>Completed</x:v>
      </x:c>
      <x:c r="E783" s="2" t="str">
        <x:v>West</x:v>
      </x:c>
      <x:c r="F783" s="2" t="str">
        <x:v>Store</x:v>
      </x:c>
      <x:c r="G783" s="2" t="str">
        <x:v>Lighting</x:v>
      </x:c>
      <x:c r="H783" s="2" t="str">
        <x:v>Lamp 005</x:v>
      </x:c>
      <x:c r="I783" s="11" t="n">
        <x:v>3</x:v>
      </x:c>
      <x:c r="J783" s="9" t="n">
        <x:v>65</x:v>
      </x:c>
      <x:c r="K783" s="10" t="n">
        <x:v>0.2</x:v>
      </x:c>
      <x:c r="L783" s="11" t="n">
        <x:v>0</x:v>
      </x:c>
      <x:c r="M783" s="9" t="n">
        <x:f>IF(D783="Completed",I783*J783,0)</x:f>
        <x:v>195</x:v>
      </x:c>
      <x:c r="N783" s="9" t="n">
        <x:f>M783*K783</x:f>
        <x:v>39</x:v>
      </x:c>
      <x:c r="O783" s="9" t="n">
        <x:f>M783-N783</x:f>
        <x:v>156</x:v>
      </x:c>
      <x:c r="P783" s="9" t="n">
        <x:f>IF(D783="Completed",L783*J783*(1-K783),0)</x:f>
        <x:v>0</x:v>
      </x:c>
      <x:c r="Q783" s="9" t="n">
        <x:f>O783-P783</x:f>
        <x:v>156</x:v>
      </x:c>
      <x:c r="R783" s="11" t="n">
        <x:f>IF(D783="Completed",I783,0)</x:f>
        <x:v>3</x:v>
      </x:c>
      <x:c r="S783" s="11" t="n">
        <x:f>IF(D783="Completed",L783,0)</x:f>
        <x:v>0</x:v>
      </x:c>
      <x:c r="T783" s="8" t="n">
        <x:f>DATE(YEAR(C783),MONTH(C783),1)</x:f>
        <x:v>45992</x:v>
      </x:c>
    </x:row>
    <x:row r="784" ht="22" customHeight="1">
      <x:c r="A784" s="2" t="str">
        <x:v>L000780</x:v>
      </x:c>
      <x:c r="B784" s="2" t="str">
        <x:v>O00321</x:v>
      </x:c>
      <x:c r="C784" s="7" t="n">
        <x:v>46008</x:v>
      </x:c>
      <x:c r="D784" s="2" t="str">
        <x:v>Completed</x:v>
      </x:c>
      <x:c r="E784" s="2" t="str">
        <x:v>West</x:v>
      </x:c>
      <x:c r="F784" s="2" t="str">
        <x:v>Store</x:v>
      </x:c>
      <x:c r="G784" s="2" t="str">
        <x:v>Furniture</x:v>
      </x:c>
      <x:c r="H784" s="2" t="str">
        <x:v>Desk 004</x:v>
      </x:c>
      <x:c r="I784" s="11" t="n">
        <x:v>4</x:v>
      </x:c>
      <x:c r="J784" s="9" t="n">
        <x:v>123</x:v>
      </x:c>
      <x:c r="K784" s="10" t="n">
        <x:v>0.1</x:v>
      </x:c>
      <x:c r="L784" s="11" t="n">
        <x:v>4</x:v>
      </x:c>
      <x:c r="M784" s="9" t="n">
        <x:f>IF(D784="Completed",I784*J784,0)</x:f>
        <x:v>492</x:v>
      </x:c>
      <x:c r="N784" s="9" t="n">
        <x:f>M784*K784</x:f>
        <x:v>49.2</x:v>
      </x:c>
      <x:c r="O784" s="9" t="n">
        <x:f>M784-N784</x:f>
        <x:v>442.8</x:v>
      </x:c>
      <x:c r="P784" s="9" t="n">
        <x:f>IF(D784="Completed",L784*J784*(1-K784),0)</x:f>
        <x:v>442.8</x:v>
      </x:c>
      <x:c r="Q784" s="9" t="n">
        <x:f>O784-P784</x:f>
        <x:v>0</x:v>
      </x:c>
      <x:c r="R784" s="11" t="n">
        <x:f>IF(D784="Completed",I784,0)</x:f>
        <x:v>4</x:v>
      </x:c>
      <x:c r="S784" s="11" t="n">
        <x:f>IF(D784="Completed",L784,0)</x:f>
        <x:v>4</x:v>
      </x:c>
      <x:c r="T784" s="8" t="n">
        <x:f>DATE(YEAR(C784),MONTH(C784),1)</x:f>
        <x:v>45992</x:v>
      </x:c>
    </x:row>
    <x:row r="785" ht="22" customHeight="1">
      <x:c r="A785" s="2" t="str">
        <x:v>L000781</x:v>
      </x:c>
      <x:c r="B785" s="2" t="str">
        <x:v>O00321</x:v>
      </x:c>
      <x:c r="C785" s="7" t="n">
        <x:v>46008</x:v>
      </x:c>
      <x:c r="D785" s="2" t="str">
        <x:v>Completed</x:v>
      </x:c>
      <x:c r="E785" s="2" t="str">
        <x:v>West</x:v>
      </x:c>
      <x:c r="F785" s="2" t="str">
        <x:v>Store</x:v>
      </x:c>
      <x:c r="G785" s="2" t="str">
        <x:v>Lighting</x:v>
      </x:c>
      <x:c r="H785" s="2" t="str">
        <x:v>Lamp 009</x:v>
      </x:c>
      <x:c r="I785" s="11" t="n">
        <x:v>5</x:v>
      </x:c>
      <x:c r="J785" s="9" t="n">
        <x:v>93</x:v>
      </x:c>
      <x:c r="K785" s="10" t="n">
        <x:v>0.2</x:v>
      </x:c>
      <x:c r="L785" s="11" t="n">
        <x:v>5</x:v>
      </x:c>
      <x:c r="M785" s="9" t="n">
        <x:f>IF(D785="Completed",I785*J785,0)</x:f>
        <x:v>465</x:v>
      </x:c>
      <x:c r="N785" s="9" t="n">
        <x:f>M785*K785</x:f>
        <x:v>93</x:v>
      </x:c>
      <x:c r="O785" s="9" t="n">
        <x:f>M785-N785</x:f>
        <x:v>372</x:v>
      </x:c>
      <x:c r="P785" s="9" t="n">
        <x:f>IF(D785="Completed",L785*J785*(1-K785),0)</x:f>
        <x:v>372</x:v>
      </x:c>
      <x:c r="Q785" s="9" t="n">
        <x:f>O785-P785</x:f>
        <x:v>0</x:v>
      </x:c>
      <x:c r="R785" s="11" t="n">
        <x:f>IF(D785="Completed",I785,0)</x:f>
        <x:v>5</x:v>
      </x:c>
      <x:c r="S785" s="11" t="n">
        <x:f>IF(D785="Completed",L785,0)</x:f>
        <x:v>5</x:v>
      </x:c>
      <x:c r="T785" s="8" t="n">
        <x:f>DATE(YEAR(C785),MONTH(C785),1)</x:f>
        <x:v>45992</x:v>
      </x:c>
    </x:row>
    <x:row r="786" ht="22" customHeight="1">
      <x:c r="A786" s="2" t="str">
        <x:v>L000782</x:v>
      </x:c>
      <x:c r="B786" s="2" t="str">
        <x:v>O00321</x:v>
      </x:c>
      <x:c r="C786" s="7" t="n">
        <x:v>46008</x:v>
      </x:c>
      <x:c r="D786" s="2" t="str">
        <x:v>Completed</x:v>
      </x:c>
      <x:c r="E786" s="2" t="str">
        <x:v>West</x:v>
      </x:c>
      <x:c r="F786" s="2" t="str">
        <x:v>Store</x:v>
      </x:c>
      <x:c r="G786" s="2" t="str">
        <x:v>Furniture</x:v>
      </x:c>
      <x:c r="H786" s="2" t="str">
        <x:v>Chair 022</x:v>
      </x:c>
      <x:c r="I786" s="11" t="n">
        <x:v>5</x:v>
      </x:c>
      <x:c r="J786" s="9" t="n">
        <x:v>134</x:v>
      </x:c>
      <x:c r="K786" s="10" t="n">
        <x:v>0.05</x:v>
      </x:c>
      <x:c r="L786" s="11" t="n">
        <x:v>0</x:v>
      </x:c>
      <x:c r="M786" s="9" t="n">
        <x:f>IF(D786="Completed",I786*J786,0)</x:f>
        <x:v>670</x:v>
      </x:c>
      <x:c r="N786" s="9" t="n">
        <x:f>M786*K786</x:f>
        <x:v>33.5</x:v>
      </x:c>
      <x:c r="O786" s="9" t="n">
        <x:f>M786-N786</x:f>
        <x:v>636.5</x:v>
      </x:c>
      <x:c r="P786" s="9" t="n">
        <x:f>IF(D786="Completed",L786*J786*(1-K786),0)</x:f>
        <x:v>0</x:v>
      </x:c>
      <x:c r="Q786" s="9" t="n">
        <x:f>O786-P786</x:f>
        <x:v>636.5</x:v>
      </x:c>
      <x:c r="R786" s="11" t="n">
        <x:f>IF(D786="Completed",I786,0)</x:f>
        <x:v>5</x:v>
      </x:c>
      <x:c r="S786" s="11" t="n">
        <x:f>IF(D786="Completed",L786,0)</x:f>
        <x:v>0</x:v>
      </x:c>
      <x:c r="T786" s="8" t="n">
        <x:f>DATE(YEAR(C786),MONTH(C786),1)</x:f>
        <x:v>45992</x:v>
      </x:c>
    </x:row>
    <x:row r="787" ht="22" customHeight="1">
      <x:c r="A787" s="2" t="str">
        <x:v>L000783</x:v>
      </x:c>
      <x:c r="B787" s="2" t="str">
        <x:v>O00322</x:v>
      </x:c>
      <x:c r="C787" s="7" t="n">
        <x:v>45834</x:v>
      </x:c>
      <x:c r="D787" s="2" t="str">
        <x:v>Completed</x:v>
      </x:c>
      <x:c r="E787" s="2" t="str">
        <x:v>South</x:v>
      </x:c>
      <x:c r="F787" s="2" t="str">
        <x:v>Online</x:v>
      </x:c>
      <x:c r="G787" s="2" t="str">
        <x:v>Furniture</x:v>
      </x:c>
      <x:c r="H787" s="2" t="str">
        <x:v>Desk 012</x:v>
      </x:c>
      <x:c r="I787" s="11" t="n">
        <x:v>2</x:v>
      </x:c>
      <x:c r="J787" s="9" t="n">
        <x:v>134</x:v>
      </x:c>
      <x:c r="K787" s="10" t="n">
        <x:v>0.1</x:v>
      </x:c>
      <x:c r="L787" s="11" t="n">
        <x:v>0</x:v>
      </x:c>
      <x:c r="M787" s="9" t="n">
        <x:f>IF(D787="Completed",I787*J787,0)</x:f>
        <x:v>268</x:v>
      </x:c>
      <x:c r="N787" s="9" t="n">
        <x:f>M787*K787</x:f>
        <x:v>26.8</x:v>
      </x:c>
      <x:c r="O787" s="9" t="n">
        <x:f>M787-N787</x:f>
        <x:v>241.2</x:v>
      </x:c>
      <x:c r="P787" s="9" t="n">
        <x:f>IF(D787="Completed",L787*J787*(1-K787),0)</x:f>
        <x:v>0</x:v>
      </x:c>
      <x:c r="Q787" s="9" t="n">
        <x:f>O787-P787</x:f>
        <x:v>241.2</x:v>
      </x:c>
      <x:c r="R787" s="11" t="n">
        <x:f>IF(D787="Completed",I787,0)</x:f>
        <x:v>2</x:v>
      </x:c>
      <x:c r="S787" s="11" t="n">
        <x:f>IF(D787="Completed",L787,0)</x:f>
        <x:v>0</x:v>
      </x:c>
      <x:c r="T787" s="8" t="n">
        <x:f>DATE(YEAR(C787),MONTH(C787),1)</x:f>
        <x:v>45809</x:v>
      </x:c>
    </x:row>
    <x:row r="788" ht="22" customHeight="1">
      <x:c r="A788" s="2" t="str">
        <x:v>L000784</x:v>
      </x:c>
      <x:c r="B788" s="2" t="str">
        <x:v>O00323</x:v>
      </x:c>
      <x:c r="C788" s="7" t="n">
        <x:v>45669</x:v>
      </x:c>
      <x:c r="D788" s="2" t="str">
        <x:v>Completed</x:v>
      </x:c>
      <x:c r="E788" s="2" t="str">
        <x:v>South</x:v>
      </x:c>
      <x:c r="F788" s="2" t="str">
        <x:v>Store</x:v>
      </x:c>
      <x:c r="G788" s="2" t="str">
        <x:v>Furniture</x:v>
      </x:c>
      <x:c r="H788" s="2" t="str">
        <x:v>Desk 008</x:v>
      </x:c>
      <x:c r="I788" s="11" t="n">
        <x:v>5</x:v>
      </x:c>
      <x:c r="J788" s="9" t="n">
        <x:v>188</x:v>
      </x:c>
      <x:c r="K788" s="10" t="n">
        <x:v>0.2</x:v>
      </x:c>
      <x:c r="L788" s="11" t="n">
        <x:v>0</x:v>
      </x:c>
      <x:c r="M788" s="9" t="n">
        <x:f>IF(D788="Completed",I788*J788,0)</x:f>
        <x:v>940</x:v>
      </x:c>
      <x:c r="N788" s="9" t="n">
        <x:f>M788*K788</x:f>
        <x:v>188</x:v>
      </x:c>
      <x:c r="O788" s="9" t="n">
        <x:f>M788-N788</x:f>
        <x:v>752</x:v>
      </x:c>
      <x:c r="P788" s="9" t="n">
        <x:f>IF(D788="Completed",L788*J788*(1-K788),0)</x:f>
        <x:v>0</x:v>
      </x:c>
      <x:c r="Q788" s="9" t="n">
        <x:f>O788-P788</x:f>
        <x:v>752</x:v>
      </x:c>
      <x:c r="R788" s="11" t="n">
        <x:f>IF(D788="Completed",I788,0)</x:f>
        <x:v>5</x:v>
      </x:c>
      <x:c r="S788" s="11" t="n">
        <x:f>IF(D788="Completed",L788,0)</x:f>
        <x:v>0</x:v>
      </x:c>
      <x:c r="T788" s="8" t="n">
        <x:f>DATE(YEAR(C788),MONTH(C788),1)</x:f>
        <x:v>45658</x:v>
      </x:c>
    </x:row>
    <x:row r="789" ht="22" customHeight="1">
      <x:c r="A789" s="2" t="str">
        <x:v>L000785</x:v>
      </x:c>
      <x:c r="B789" s="2" t="str">
        <x:v>O00324</x:v>
      </x:c>
      <x:c r="C789" s="7" t="n">
        <x:v>45811</x:v>
      </x:c>
      <x:c r="D789" s="2" t="str">
        <x:v>Completed</x:v>
      </x:c>
      <x:c r="E789" s="2" t="str">
        <x:v>West</x:v>
      </x:c>
      <x:c r="F789" s="2" t="str">
        <x:v>Store</x:v>
      </x:c>
      <x:c r="G789" s="2" t="str">
        <x:v>Lighting</x:v>
      </x:c>
      <x:c r="H789" s="2" t="str">
        <x:v>Lamp 005</x:v>
      </x:c>
      <x:c r="I789" s="11" t="n">
        <x:v>1</x:v>
      </x:c>
      <x:c r="J789" s="9" t="n">
        <x:v>65</x:v>
      </x:c>
      <x:c r="K789" s="10" t="n">
        <x:v>0.2</x:v>
      </x:c>
      <x:c r="L789" s="11" t="n">
        <x:v>0</x:v>
      </x:c>
      <x:c r="M789" s="9" t="n">
        <x:f>IF(D789="Completed",I789*J789,0)</x:f>
        <x:v>65</x:v>
      </x:c>
      <x:c r="N789" s="9" t="n">
        <x:f>M789*K789</x:f>
        <x:v>13</x:v>
      </x:c>
      <x:c r="O789" s="9" t="n">
        <x:f>M789-N789</x:f>
        <x:v>52</x:v>
      </x:c>
      <x:c r="P789" s="9" t="n">
        <x:f>IF(D789="Completed",L789*J789*(1-K789),0)</x:f>
        <x:v>0</x:v>
      </x:c>
      <x:c r="Q789" s="9" t="n">
        <x:f>O789-P789</x:f>
        <x:v>52</x:v>
      </x:c>
      <x:c r="R789" s="11" t="n">
        <x:f>IF(D789="Completed",I789,0)</x:f>
        <x:v>1</x:v>
      </x:c>
      <x:c r="S789" s="11" t="n">
        <x:f>IF(D789="Completed",L789,0)</x:f>
        <x:v>0</x:v>
      </x:c>
      <x:c r="T789" s="8" t="n">
        <x:f>DATE(YEAR(C789),MONTH(C789),1)</x:f>
        <x:v>45809</x:v>
      </x:c>
    </x:row>
    <x:row r="790" ht="22" customHeight="1">
      <x:c r="A790" s="2" t="str">
        <x:v>L000786</x:v>
      </x:c>
      <x:c r="B790" s="2" t="str">
        <x:v>O00324</x:v>
      </x:c>
      <x:c r="C790" s="7" t="n">
        <x:v>45811</x:v>
      </x:c>
      <x:c r="D790" s="2" t="str">
        <x:v>Completed</x:v>
      </x:c>
      <x:c r="E790" s="2" t="str">
        <x:v>West</x:v>
      </x:c>
      <x:c r="F790" s="2" t="str">
        <x:v>Store</x:v>
      </x:c>
      <x:c r="G790" s="2" t="str">
        <x:v>Furniture</x:v>
      </x:c>
      <x:c r="H790" s="2" t="str">
        <x:v>Chair 006</x:v>
      </x:c>
      <x:c r="I790" s="11" t="n">
        <x:v>5</x:v>
      </x:c>
      <x:c r="J790" s="9" t="n">
        <x:v>196</x:v>
      </x:c>
      <x:c r="K790" s="10" t="n">
        <x:v>0.05</x:v>
      </x:c>
      <x:c r="L790" s="11" t="n">
        <x:v>2</x:v>
      </x:c>
      <x:c r="M790" s="9" t="n">
        <x:f>IF(D790="Completed",I790*J790,0)</x:f>
        <x:v>980</x:v>
      </x:c>
      <x:c r="N790" s="9" t="n">
        <x:f>M790*K790</x:f>
        <x:v>49</x:v>
      </x:c>
      <x:c r="O790" s="9" t="n">
        <x:f>M790-N790</x:f>
        <x:v>931</x:v>
      </x:c>
      <x:c r="P790" s="9" t="n">
        <x:f>IF(D790="Completed",L790*J790*(1-K790),0)</x:f>
        <x:v>372.4</x:v>
      </x:c>
      <x:c r="Q790" s="9" t="n">
        <x:f>O790-P790</x:f>
        <x:v>558.6</x:v>
      </x:c>
      <x:c r="R790" s="11" t="n">
        <x:f>IF(D790="Completed",I790,0)</x:f>
        <x:v>5</x:v>
      </x:c>
      <x:c r="S790" s="11" t="n">
        <x:f>IF(D790="Completed",L790,0)</x:f>
        <x:v>2</x:v>
      </x:c>
      <x:c r="T790" s="8" t="n">
        <x:f>DATE(YEAR(C790),MONTH(C790),1)</x:f>
        <x:v>45809</x:v>
      </x:c>
    </x:row>
    <x:row r="791" ht="22" customHeight="1">
      <x:c r="A791" s="2" t="str">
        <x:v>L000787</x:v>
      </x:c>
      <x:c r="B791" s="2" t="str">
        <x:v>O00324</x:v>
      </x:c>
      <x:c r="C791" s="7" t="n">
        <x:v>45811</x:v>
      </x:c>
      <x:c r="D791" s="2" t="str">
        <x:v>Completed</x:v>
      </x:c>
      <x:c r="E791" s="2" t="str">
        <x:v>West</x:v>
      </x:c>
      <x:c r="F791" s="2" t="str">
        <x:v>Store</x:v>
      </x:c>
      <x:c r="G791" s="2" t="str">
        <x:v>Furniture</x:v>
      </x:c>
      <x:c r="H791" s="2" t="str">
        <x:v>Desk 012</x:v>
      </x:c>
      <x:c r="I791" s="11" t="n">
        <x:v>3</x:v>
      </x:c>
      <x:c r="J791" s="9" t="n">
        <x:v>134</x:v>
      </x:c>
      <x:c r="K791" s="10" t="n">
        <x:v>0.1</x:v>
      </x:c>
      <x:c r="L791" s="11" t="n">
        <x:v>0</x:v>
      </x:c>
      <x:c r="M791" s="9" t="n">
        <x:f>IF(D791="Completed",I791*J791,0)</x:f>
        <x:v>402</x:v>
      </x:c>
      <x:c r="N791" s="9" t="n">
        <x:f>M791*K791</x:f>
        <x:v>40.2</x:v>
      </x:c>
      <x:c r="O791" s="9" t="n">
        <x:f>M791-N791</x:f>
        <x:v>361.8</x:v>
      </x:c>
      <x:c r="P791" s="9" t="n">
        <x:f>IF(D791="Completed",L791*J791*(1-K791),0)</x:f>
        <x:v>0</x:v>
      </x:c>
      <x:c r="Q791" s="9" t="n">
        <x:f>O791-P791</x:f>
        <x:v>361.8</x:v>
      </x:c>
      <x:c r="R791" s="11" t="n">
        <x:f>IF(D791="Completed",I791,0)</x:f>
        <x:v>3</x:v>
      </x:c>
      <x:c r="S791" s="11" t="n">
        <x:f>IF(D791="Completed",L791,0)</x:f>
        <x:v>0</x:v>
      </x:c>
      <x:c r="T791" s="8" t="n">
        <x:f>DATE(YEAR(C791),MONTH(C791),1)</x:f>
        <x:v>45809</x:v>
      </x:c>
    </x:row>
    <x:row r="792" ht="22" customHeight="1">
      <x:c r="A792" s="2" t="str">
        <x:v>L000788</x:v>
      </x:c>
      <x:c r="B792" s="2" t="str">
        <x:v>O00324</x:v>
      </x:c>
      <x:c r="C792" s="7" t="n">
        <x:v>45811</x:v>
      </x:c>
      <x:c r="D792" s="2" t="str">
        <x:v>Completed</x:v>
      </x:c>
      <x:c r="E792" s="2" t="str">
        <x:v>West</x:v>
      </x:c>
      <x:c r="F792" s="2" t="str">
        <x:v>Store</x:v>
      </x:c>
      <x:c r="G792" s="2" t="str">
        <x:v>Furniture</x:v>
      </x:c>
      <x:c r="H792" s="2" t="str">
        <x:v>Chair 014</x:v>
      </x:c>
      <x:c r="I792" s="11" t="n">
        <x:v>3</x:v>
      </x:c>
      <x:c r="J792" s="9" t="n">
        <x:v>294</x:v>
      </x:c>
      <x:c r="K792" s="10" t="n">
        <x:v>0.05</x:v>
      </x:c>
      <x:c r="L792" s="11" t="n">
        <x:v>0</x:v>
      </x:c>
      <x:c r="M792" s="9" t="n">
        <x:f>IF(D792="Completed",I792*J792,0)</x:f>
        <x:v>882</x:v>
      </x:c>
      <x:c r="N792" s="9" t="n">
        <x:f>M792*K792</x:f>
        <x:v>44.1</x:v>
      </x:c>
      <x:c r="O792" s="9" t="n">
        <x:f>M792-N792</x:f>
        <x:v>837.9</x:v>
      </x:c>
      <x:c r="P792" s="9" t="n">
        <x:f>IF(D792="Completed",L792*J792*(1-K792),0)</x:f>
        <x:v>0</x:v>
      </x:c>
      <x:c r="Q792" s="9" t="n">
        <x:f>O792-P792</x:f>
        <x:v>837.9</x:v>
      </x:c>
      <x:c r="R792" s="11" t="n">
        <x:f>IF(D792="Completed",I792,0)</x:f>
        <x:v>3</x:v>
      </x:c>
      <x:c r="S792" s="11" t="n">
        <x:f>IF(D792="Completed",L792,0)</x:f>
        <x:v>0</x:v>
      </x:c>
      <x:c r="T792" s="8" t="n">
        <x:f>DATE(YEAR(C792),MONTH(C792),1)</x:f>
        <x:v>45809</x:v>
      </x:c>
    </x:row>
    <x:row r="793" ht="22" customHeight="1">
      <x:c r="A793" s="2" t="str">
        <x:v>L000789</x:v>
      </x:c>
      <x:c r="B793" s="2" t="str">
        <x:v>O00325</x:v>
      </x:c>
      <x:c r="C793" s="7" t="n">
        <x:v>45911</x:v>
      </x:c>
      <x:c r="D793" s="2" t="str">
        <x:v>Completed</x:v>
      </x:c>
      <x:c r="E793" s="2" t="str">
        <x:v>North</x:v>
      </x:c>
      <x:c r="F793" s="2" t="str">
        <x:v>Online</x:v>
      </x:c>
      <x:c r="G793" s="2" t="str">
        <x:v>Furniture</x:v>
      </x:c>
      <x:c r="H793" s="2" t="str">
        <x:v>Chair 018</x:v>
      </x:c>
      <x:c r="I793" s="11" t="n">
        <x:v>2</x:v>
      </x:c>
      <x:c r="J793" s="9" t="n">
        <x:v>269</x:v>
      </x:c>
      <x:c r="K793" s="10" t="n">
        <x:v>0.2</x:v>
      </x:c>
      <x:c r="L793" s="11" t="n">
        <x:v>0</x:v>
      </x:c>
      <x:c r="M793" s="9" t="n">
        <x:f>IF(D793="Completed",I793*J793,0)</x:f>
        <x:v>538</x:v>
      </x:c>
      <x:c r="N793" s="9" t="n">
        <x:f>M793*K793</x:f>
        <x:v>107.60000000000001</x:v>
      </x:c>
      <x:c r="O793" s="9" t="n">
        <x:f>M793-N793</x:f>
        <x:v>430.4</x:v>
      </x:c>
      <x:c r="P793" s="9" t="n">
        <x:f>IF(D793="Completed",L793*J793*(1-K793),0)</x:f>
        <x:v>0</x:v>
      </x:c>
      <x:c r="Q793" s="9" t="n">
        <x:f>O793-P793</x:f>
        <x:v>430.4</x:v>
      </x:c>
      <x:c r="R793" s="11" t="n">
        <x:f>IF(D793="Completed",I793,0)</x:f>
        <x:v>2</x:v>
      </x:c>
      <x:c r="S793" s="11" t="n">
        <x:f>IF(D793="Completed",L793,0)</x:f>
        <x:v>0</x:v>
      </x:c>
      <x:c r="T793" s="8" t="n">
        <x:f>DATE(YEAR(C793),MONTH(C793),1)</x:f>
        <x:v>45901</x:v>
      </x:c>
    </x:row>
    <x:row r="794" ht="22" customHeight="1">
      <x:c r="A794" s="2" t="str">
        <x:v>L000790</x:v>
      </x:c>
      <x:c r="B794" s="2" t="str">
        <x:v>O00325</x:v>
      </x:c>
      <x:c r="C794" s="7" t="n">
        <x:v>45911</x:v>
      </x:c>
      <x:c r="D794" s="2" t="str">
        <x:v>Completed</x:v>
      </x:c>
      <x:c r="E794" s="2" t="str">
        <x:v>North</x:v>
      </x:c>
      <x:c r="F794" s="2" t="str">
        <x:v>Online</x:v>
      </x:c>
      <x:c r="G794" s="2" t="str">
        <x:v>Lighting</x:v>
      </x:c>
      <x:c r="H794" s="2" t="str">
        <x:v>Lamp 013</x:v>
      </x:c>
      <x:c r="I794" s="11" t="n">
        <x:v>2</x:v>
      </x:c>
      <x:c r="J794" s="9" t="n">
        <x:v>271</x:v>
      </x:c>
      <x:c r="K794" s="10" t="n">
        <x:v>0.2</x:v>
      </x:c>
      <x:c r="L794" s="11" t="n">
        <x:v>0</x:v>
      </x:c>
      <x:c r="M794" s="9" t="n">
        <x:f>IF(D794="Completed",I794*J794,0)</x:f>
        <x:v>542</x:v>
      </x:c>
      <x:c r="N794" s="9" t="n">
        <x:f>M794*K794</x:f>
        <x:v>108.4</x:v>
      </x:c>
      <x:c r="O794" s="9" t="n">
        <x:f>M794-N794</x:f>
        <x:v>433.6</x:v>
      </x:c>
      <x:c r="P794" s="9" t="n">
        <x:f>IF(D794="Completed",L794*J794*(1-K794),0)</x:f>
        <x:v>0</x:v>
      </x:c>
      <x:c r="Q794" s="9" t="n">
        <x:f>O794-P794</x:f>
        <x:v>433.6</x:v>
      </x:c>
      <x:c r="R794" s="11" t="n">
        <x:f>IF(D794="Completed",I794,0)</x:f>
        <x:v>2</x:v>
      </x:c>
      <x:c r="S794" s="11" t="n">
        <x:f>IF(D794="Completed",L794,0)</x:f>
        <x:v>0</x:v>
      </x:c>
      <x:c r="T794" s="8" t="n">
        <x:f>DATE(YEAR(C794),MONTH(C794),1)</x:f>
        <x:v>45901</x:v>
      </x:c>
    </x:row>
    <x:row r="795" ht="22" customHeight="1">
      <x:c r="A795" s="2" t="str">
        <x:v>L000791</x:v>
      </x:c>
      <x:c r="B795" s="2" t="str">
        <x:v>O00325</x:v>
      </x:c>
      <x:c r="C795" s="7" t="n">
        <x:v>45911</x:v>
      </x:c>
      <x:c r="D795" s="2" t="str">
        <x:v>Completed</x:v>
      </x:c>
      <x:c r="E795" s="2" t="str">
        <x:v>North</x:v>
      </x:c>
      <x:c r="F795" s="2" t="str">
        <x:v>Online</x:v>
      </x:c>
      <x:c r="G795" s="2" t="str">
        <x:v>Furniture</x:v>
      </x:c>
      <x:c r="H795" s="2" t="str">
        <x:v>Chair 014</x:v>
      </x:c>
      <x:c r="I795" s="11" t="n">
        <x:v>4</x:v>
      </x:c>
      <x:c r="J795" s="9" t="n">
        <x:v>294</x:v>
      </x:c>
      <x:c r="K795" s="10" t="n">
        <x:v>0</x:v>
      </x:c>
      <x:c r="L795" s="11" t="n">
        <x:v>0</x:v>
      </x:c>
      <x:c r="M795" s="9" t="n">
        <x:f>IF(D795="Completed",I795*J795,0)</x:f>
        <x:v>1176</x:v>
      </x:c>
      <x:c r="N795" s="9" t="n">
        <x:f>M795*K795</x:f>
        <x:v>0</x:v>
      </x:c>
      <x:c r="O795" s="9" t="n">
        <x:f>M795-N795</x:f>
        <x:v>1176</x:v>
      </x:c>
      <x:c r="P795" s="9" t="n">
        <x:f>IF(D795="Completed",L795*J795*(1-K795),0)</x:f>
        <x:v>0</x:v>
      </x:c>
      <x:c r="Q795" s="9" t="n">
        <x:f>O795-P795</x:f>
        <x:v>1176</x:v>
      </x:c>
      <x:c r="R795" s="11" t="n">
        <x:f>IF(D795="Completed",I795,0)</x:f>
        <x:v>4</x:v>
      </x:c>
      <x:c r="S795" s="11" t="n">
        <x:f>IF(D795="Completed",L795,0)</x:f>
        <x:v>0</x:v>
      </x:c>
      <x:c r="T795" s="8" t="n">
        <x:f>DATE(YEAR(C795),MONTH(C795),1)</x:f>
        <x:v>45901</x:v>
      </x:c>
    </x:row>
    <x:row r="796" ht="22" customHeight="1">
      <x:c r="A796" s="2" t="str">
        <x:v>L000792</x:v>
      </x:c>
      <x:c r="B796" s="2" t="str">
        <x:v>O00326</x:v>
      </x:c>
      <x:c r="C796" s="7" t="n">
        <x:v>45818</x:v>
      </x:c>
      <x:c r="D796" s="2" t="str">
        <x:v>Completed</x:v>
      </x:c>
      <x:c r="E796" s="2" t="str">
        <x:v>South</x:v>
      </x:c>
      <x:c r="F796" s="2" t="str">
        <x:v>Online</x:v>
      </x:c>
      <x:c r="G796" s="2" t="str">
        <x:v>Furniture</x:v>
      </x:c>
      <x:c r="H796" s="2" t="str">
        <x:v>Chair 010</x:v>
      </x:c>
      <x:c r="I796" s="11" t="n">
        <x:v>3</x:v>
      </x:c>
      <x:c r="J796" s="9" t="n">
        <x:v>211</x:v>
      </x:c>
      <x:c r="K796" s="10" t="n">
        <x:v>0</x:v>
      </x:c>
      <x:c r="L796" s="11" t="n">
        <x:v>0</x:v>
      </x:c>
      <x:c r="M796" s="9" t="n">
        <x:f>IF(D796="Completed",I796*J796,0)</x:f>
        <x:v>633</x:v>
      </x:c>
      <x:c r="N796" s="9" t="n">
        <x:f>M796*K796</x:f>
        <x:v>0</x:v>
      </x:c>
      <x:c r="O796" s="9" t="n">
        <x:f>M796-N796</x:f>
        <x:v>633</x:v>
      </x:c>
      <x:c r="P796" s="9" t="n">
        <x:f>IF(D796="Completed",L796*J796*(1-K796),0)</x:f>
        <x:v>0</x:v>
      </x:c>
      <x:c r="Q796" s="9" t="n">
        <x:f>O796-P796</x:f>
        <x:v>633</x:v>
      </x:c>
      <x:c r="R796" s="11" t="n">
        <x:f>IF(D796="Completed",I796,0)</x:f>
        <x:v>3</x:v>
      </x:c>
      <x:c r="S796" s="11" t="n">
        <x:f>IF(D796="Completed",L796,0)</x:f>
        <x:v>0</x:v>
      </x:c>
      <x:c r="T796" s="8" t="n">
        <x:f>DATE(YEAR(C796),MONTH(C796),1)</x:f>
        <x:v>45809</x:v>
      </x:c>
    </x:row>
    <x:row r="797" ht="22" customHeight="1">
      <x:c r="A797" s="2" t="str">
        <x:v>L000793</x:v>
      </x:c>
      <x:c r="B797" s="2" t="str">
        <x:v>O00326</x:v>
      </x:c>
      <x:c r="C797" s="7" t="n">
        <x:v>45818</x:v>
      </x:c>
      <x:c r="D797" s="2" t="str">
        <x:v>Completed</x:v>
      </x:c>
      <x:c r="E797" s="2" t="str">
        <x:v>South</x:v>
      </x:c>
      <x:c r="F797" s="2" t="str">
        <x:v>Online</x:v>
      </x:c>
      <x:c r="G797" s="2" t="str">
        <x:v>Furniture</x:v>
      </x:c>
      <x:c r="H797" s="2" t="str">
        <x:v>Chair 006</x:v>
      </x:c>
      <x:c r="I797" s="11" t="n">
        <x:v>3</x:v>
      </x:c>
      <x:c r="J797" s="9" t="n">
        <x:v>196</x:v>
      </x:c>
      <x:c r="K797" s="10" t="n">
        <x:v>0.05</x:v>
      </x:c>
      <x:c r="L797" s="11" t="n">
        <x:v>0</x:v>
      </x:c>
      <x:c r="M797" s="9" t="n">
        <x:f>IF(D797="Completed",I797*J797,0)</x:f>
        <x:v>588</x:v>
      </x:c>
      <x:c r="N797" s="9" t="n">
        <x:f>M797*K797</x:f>
        <x:v>29.400000000000002</x:v>
      </x:c>
      <x:c r="O797" s="9" t="n">
        <x:f>M797-N797</x:f>
        <x:v>558.6</x:v>
      </x:c>
      <x:c r="P797" s="9" t="n">
        <x:f>IF(D797="Completed",L797*J797*(1-K797),0)</x:f>
        <x:v>0</x:v>
      </x:c>
      <x:c r="Q797" s="9" t="n">
        <x:f>O797-P797</x:f>
        <x:v>558.6</x:v>
      </x:c>
      <x:c r="R797" s="11" t="n">
        <x:f>IF(D797="Completed",I797,0)</x:f>
        <x:v>3</x:v>
      </x:c>
      <x:c r="S797" s="11" t="n">
        <x:f>IF(D797="Completed",L797,0)</x:f>
        <x:v>0</x:v>
      </x:c>
      <x:c r="T797" s="8" t="n">
        <x:f>DATE(YEAR(C797),MONTH(C797),1)</x:f>
        <x:v>45809</x:v>
      </x:c>
    </x:row>
    <x:row r="798" ht="22" customHeight="1">
      <x:c r="A798" s="2" t="str">
        <x:v>L000794</x:v>
      </x:c>
      <x:c r="B798" s="2" t="str">
        <x:v>O00326</x:v>
      </x:c>
      <x:c r="C798" s="7" t="n">
        <x:v>45818</x:v>
      </x:c>
      <x:c r="D798" s="2" t="str">
        <x:v>Completed</x:v>
      </x:c>
      <x:c r="E798" s="2" t="str">
        <x:v>South</x:v>
      </x:c>
      <x:c r="F798" s="2" t="str">
        <x:v>Online</x:v>
      </x:c>
      <x:c r="G798" s="2" t="str">
        <x:v>Furniture</x:v>
      </x:c>
      <x:c r="H798" s="2" t="str">
        <x:v>Desk 012</x:v>
      </x:c>
      <x:c r="I798" s="11" t="n">
        <x:v>3</x:v>
      </x:c>
      <x:c r="J798" s="9" t="n">
        <x:v>134</x:v>
      </x:c>
      <x:c r="K798" s="10" t="n">
        <x:v>0.2</x:v>
      </x:c>
      <x:c r="L798" s="11" t="n">
        <x:v>0</x:v>
      </x:c>
      <x:c r="M798" s="9" t="n">
        <x:f>IF(D798="Completed",I798*J798,0)</x:f>
        <x:v>402</x:v>
      </x:c>
      <x:c r="N798" s="9" t="n">
        <x:f>M798*K798</x:f>
        <x:v>80.4</x:v>
      </x:c>
      <x:c r="O798" s="9" t="n">
        <x:f>M798-N798</x:f>
        <x:v>321.6</x:v>
      </x:c>
      <x:c r="P798" s="9" t="n">
        <x:f>IF(D798="Completed",L798*J798*(1-K798),0)</x:f>
        <x:v>0</x:v>
      </x:c>
      <x:c r="Q798" s="9" t="n">
        <x:f>O798-P798</x:f>
        <x:v>321.6</x:v>
      </x:c>
      <x:c r="R798" s="11" t="n">
        <x:f>IF(D798="Completed",I798,0)</x:f>
        <x:v>3</x:v>
      </x:c>
      <x:c r="S798" s="11" t="n">
        <x:f>IF(D798="Completed",L798,0)</x:f>
        <x:v>0</x:v>
      </x:c>
      <x:c r="T798" s="8" t="n">
        <x:f>DATE(YEAR(C798),MONTH(C798),1)</x:f>
        <x:v>45809</x:v>
      </x:c>
    </x:row>
    <x:row r="799" ht="22" customHeight="1">
      <x:c r="A799" s="2" t="str">
        <x:v>L000795</x:v>
      </x:c>
      <x:c r="B799" s="2" t="str">
        <x:v>O00326</x:v>
      </x:c>
      <x:c r="C799" s="7" t="n">
        <x:v>45818</x:v>
      </x:c>
      <x:c r="D799" s="2" t="str">
        <x:v>Completed</x:v>
      </x:c>
      <x:c r="E799" s="2" t="str">
        <x:v>South</x:v>
      </x:c>
      <x:c r="F799" s="2" t="str">
        <x:v>Online</x:v>
      </x:c>
      <x:c r="G799" s="2" t="str">
        <x:v>Lighting</x:v>
      </x:c>
      <x:c r="H799" s="2" t="str">
        <x:v>Lamp 021</x:v>
      </x:c>
      <x:c r="I799" s="11" t="n">
        <x:v>1</x:v>
      </x:c>
      <x:c r="J799" s="9" t="n">
        <x:v>249</x:v>
      </x:c>
      <x:c r="K799" s="10" t="n">
        <x:v>0.05</x:v>
      </x:c>
      <x:c r="L799" s="11" t="n">
        <x:v>0</x:v>
      </x:c>
      <x:c r="M799" s="9" t="n">
        <x:f>IF(D799="Completed",I799*J799,0)</x:f>
        <x:v>249</x:v>
      </x:c>
      <x:c r="N799" s="9" t="n">
        <x:f>M799*K799</x:f>
        <x:v>12.450000000000001</x:v>
      </x:c>
      <x:c r="O799" s="9" t="n">
        <x:f>M799-N799</x:f>
        <x:v>236.55</x:v>
      </x:c>
      <x:c r="P799" s="9" t="n">
        <x:f>IF(D799="Completed",L799*J799*(1-K799),0)</x:f>
        <x:v>0</x:v>
      </x:c>
      <x:c r="Q799" s="9" t="n">
        <x:f>O799-P799</x:f>
        <x:v>236.55</x:v>
      </x:c>
      <x:c r="R799" s="11" t="n">
        <x:f>IF(D799="Completed",I799,0)</x:f>
        <x:v>1</x:v>
      </x:c>
      <x:c r="S799" s="11" t="n">
        <x:f>IF(D799="Completed",L799,0)</x:f>
        <x:v>0</x:v>
      </x:c>
      <x:c r="T799" s="8" t="n">
        <x:f>DATE(YEAR(C799),MONTH(C799),1)</x:f>
        <x:v>45809</x:v>
      </x:c>
    </x:row>
    <x:row r="800" ht="22" customHeight="1">
      <x:c r="A800" s="2" t="str">
        <x:v>L000796</x:v>
      </x:c>
      <x:c r="B800" s="2" t="str">
        <x:v>O00327</x:v>
      </x:c>
      <x:c r="C800" s="7" t="n">
        <x:v>45864</x:v>
      </x:c>
      <x:c r="D800" s="2" t="str">
        <x:v>Completed</x:v>
      </x:c>
      <x:c r="E800" s="2" t="str">
        <x:v>North</x:v>
      </x:c>
      <x:c r="F800" s="2" t="str">
        <x:v>Online</x:v>
      </x:c>
      <x:c r="G800" s="2" t="str">
        <x:v>Storage</x:v>
      </x:c>
      <x:c r="H800" s="2" t="str">
        <x:v>Shelf 007</x:v>
      </x:c>
      <x:c r="I800" s="11" t="n">
        <x:v>5</x:v>
      </x:c>
      <x:c r="J800" s="9" t="n">
        <x:v>35</x:v>
      </x:c>
      <x:c r="K800" s="10" t="n">
        <x:v>0.2</x:v>
      </x:c>
      <x:c r="L800" s="11" t="n">
        <x:v>0</x:v>
      </x:c>
      <x:c r="M800" s="9" t="n">
        <x:f>IF(D800="Completed",I800*J800,0)</x:f>
        <x:v>175</x:v>
      </x:c>
      <x:c r="N800" s="9" t="n">
        <x:f>M800*K800</x:f>
        <x:v>35</x:v>
      </x:c>
      <x:c r="O800" s="9" t="n">
        <x:f>M800-N800</x:f>
        <x:v>140</x:v>
      </x:c>
      <x:c r="P800" s="9" t="n">
        <x:f>IF(D800="Completed",L800*J800*(1-K800),0)</x:f>
        <x:v>0</x:v>
      </x:c>
      <x:c r="Q800" s="9" t="n">
        <x:f>O800-P800</x:f>
        <x:v>140</x:v>
      </x:c>
      <x:c r="R800" s="11" t="n">
        <x:f>IF(D800="Completed",I800,0)</x:f>
        <x:v>5</x:v>
      </x:c>
      <x:c r="S800" s="11" t="n">
        <x:f>IF(D800="Completed",L800,0)</x:f>
        <x:v>0</x:v>
      </x:c>
      <x:c r="T800" s="8" t="n">
        <x:f>DATE(YEAR(C800),MONTH(C800),1)</x:f>
        <x:v>45839</x:v>
      </x:c>
    </x:row>
    <x:row r="801" ht="22" customHeight="1">
      <x:c r="A801" s="2" t="str">
        <x:v>L000797</x:v>
      </x:c>
      <x:c r="B801" s="2" t="str">
        <x:v>O00328</x:v>
      </x:c>
      <x:c r="C801" s="7" t="n">
        <x:v>45711</x:v>
      </x:c>
      <x:c r="D801" s="2" t="str">
        <x:v>Completed</x:v>
      </x:c>
      <x:c r="E801" s="2" t="str">
        <x:v>West</x:v>
      </x:c>
      <x:c r="F801" s="2" t="str">
        <x:v>Online</x:v>
      </x:c>
      <x:c r="G801" s="2" t="str">
        <x:v>Furniture</x:v>
      </x:c>
      <x:c r="H801" s="2" t="str">
        <x:v>Desk 024</x:v>
      </x:c>
      <x:c r="I801" s="11" t="n">
        <x:v>3</x:v>
      </x:c>
      <x:c r="J801" s="9" t="n">
        <x:v>81</x:v>
      </x:c>
      <x:c r="K801" s="10" t="n">
        <x:v>0.2</x:v>
      </x:c>
      <x:c r="L801" s="11" t="n">
        <x:v>0</x:v>
      </x:c>
      <x:c r="M801" s="9" t="n">
        <x:f>IF(D801="Completed",I801*J801,0)</x:f>
        <x:v>243</x:v>
      </x:c>
      <x:c r="N801" s="9" t="n">
        <x:f>M801*K801</x:f>
        <x:v>48.6</x:v>
      </x:c>
      <x:c r="O801" s="9" t="n">
        <x:f>M801-N801</x:f>
        <x:v>194.4</x:v>
      </x:c>
      <x:c r="P801" s="9" t="n">
        <x:f>IF(D801="Completed",L801*J801*(1-K801),0)</x:f>
        <x:v>0</x:v>
      </x:c>
      <x:c r="Q801" s="9" t="n">
        <x:f>O801-P801</x:f>
        <x:v>194.4</x:v>
      </x:c>
      <x:c r="R801" s="11" t="n">
        <x:f>IF(D801="Completed",I801,0)</x:f>
        <x:v>3</x:v>
      </x:c>
      <x:c r="S801" s="11" t="n">
        <x:f>IF(D801="Completed",L801,0)</x:f>
        <x:v>0</x:v>
      </x:c>
      <x:c r="T801" s="8" t="n">
        <x:f>DATE(YEAR(C801),MONTH(C801),1)</x:f>
        <x:v>45689</x:v>
      </x:c>
    </x:row>
    <x:row r="802" ht="22" customHeight="1">
      <x:c r="A802" s="2" t="str">
        <x:v>L000798</x:v>
      </x:c>
      <x:c r="B802" s="2" t="str">
        <x:v>O00329</x:v>
      </x:c>
      <x:c r="C802" s="7" t="n">
        <x:v>45946</x:v>
      </x:c>
      <x:c r="D802" s="2" t="str">
        <x:v>Completed</x:v>
      </x:c>
      <x:c r="E802" s="2" t="str">
        <x:v>South</x:v>
      </x:c>
      <x:c r="F802" s="2" t="str">
        <x:v>Store</x:v>
      </x:c>
      <x:c r="G802" s="2" t="str">
        <x:v>Storage</x:v>
      </x:c>
      <x:c r="H802" s="2" t="str">
        <x:v>Shelf 003</x:v>
      </x:c>
      <x:c r="I802" s="11" t="n">
        <x:v>2</x:v>
      </x:c>
      <x:c r="J802" s="9" t="n">
        <x:v>199</x:v>
      </x:c>
      <x:c r="K802" s="10" t="n">
        <x:v>0.1</x:v>
      </x:c>
      <x:c r="L802" s="11" t="n">
        <x:v>0</x:v>
      </x:c>
      <x:c r="M802" s="9" t="n">
        <x:f>IF(D802="Completed",I802*J802,0)</x:f>
        <x:v>398</x:v>
      </x:c>
      <x:c r="N802" s="9" t="n">
        <x:f>M802*K802</x:f>
        <x:v>39.800000000000004</x:v>
      </x:c>
      <x:c r="O802" s="9" t="n">
        <x:f>M802-N802</x:f>
        <x:v>358.2</x:v>
      </x:c>
      <x:c r="P802" s="9" t="n">
        <x:f>IF(D802="Completed",L802*J802*(1-K802),0)</x:f>
        <x:v>0</x:v>
      </x:c>
      <x:c r="Q802" s="9" t="n">
        <x:f>O802-P802</x:f>
        <x:v>358.2</x:v>
      </x:c>
      <x:c r="R802" s="11" t="n">
        <x:f>IF(D802="Completed",I802,0)</x:f>
        <x:v>2</x:v>
      </x:c>
      <x:c r="S802" s="11" t="n">
        <x:f>IF(D802="Completed",L802,0)</x:f>
        <x:v>0</x:v>
      </x:c>
      <x:c r="T802" s="8" t="n">
        <x:f>DATE(YEAR(C802),MONTH(C802),1)</x:f>
        <x:v>45931</x:v>
      </x:c>
    </x:row>
    <x:row r="803" ht="22" customHeight="1">
      <x:c r="A803" s="2" t="str">
        <x:v>L000799</x:v>
      </x:c>
      <x:c r="B803" s="2" t="str">
        <x:v>O00329</x:v>
      </x:c>
      <x:c r="C803" s="7" t="n">
        <x:v>45946</x:v>
      </x:c>
      <x:c r="D803" s="2" t="str">
        <x:v>Completed</x:v>
      </x:c>
      <x:c r="E803" s="2" t="str">
        <x:v>South</x:v>
      </x:c>
      <x:c r="F803" s="2" t="str">
        <x:v>Store</x:v>
      </x:c>
      <x:c r="G803" s="2" t="str">
        <x:v>Storage</x:v>
      </x:c>
      <x:c r="H803" s="2" t="str">
        <x:v>Shelf 015</x:v>
      </x:c>
      <x:c r="I803" s="11" t="n">
        <x:v>2</x:v>
      </x:c>
      <x:c r="J803" s="9" t="n">
        <x:v>254</x:v>
      </x:c>
      <x:c r="K803" s="10" t="n">
        <x:v>0</x:v>
      </x:c>
      <x:c r="L803" s="11" t="n">
        <x:v>0</x:v>
      </x:c>
      <x:c r="M803" s="9" t="n">
        <x:f>IF(D803="Completed",I803*J803,0)</x:f>
        <x:v>508</x:v>
      </x:c>
      <x:c r="N803" s="9" t="n">
        <x:f>M803*K803</x:f>
        <x:v>0</x:v>
      </x:c>
      <x:c r="O803" s="9" t="n">
        <x:f>M803-N803</x:f>
        <x:v>508</x:v>
      </x:c>
      <x:c r="P803" s="9" t="n">
        <x:f>IF(D803="Completed",L803*J803*(1-K803),0)</x:f>
        <x:v>0</x:v>
      </x:c>
      <x:c r="Q803" s="9" t="n">
        <x:f>O803-P803</x:f>
        <x:v>508</x:v>
      </x:c>
      <x:c r="R803" s="11" t="n">
        <x:f>IF(D803="Completed",I803,0)</x:f>
        <x:v>2</x:v>
      </x:c>
      <x:c r="S803" s="11" t="n">
        <x:f>IF(D803="Completed",L803,0)</x:f>
        <x:v>0</x:v>
      </x:c>
      <x:c r="T803" s="8" t="n">
        <x:f>DATE(YEAR(C803),MONTH(C803),1)</x:f>
        <x:v>45931</x:v>
      </x:c>
    </x:row>
    <x:row r="804" ht="22" customHeight="1">
      <x:c r="A804" s="2" t="str">
        <x:v>L000800</x:v>
      </x:c>
      <x:c r="B804" s="2" t="str">
        <x:v>O00329</x:v>
      </x:c>
      <x:c r="C804" s="7" t="n">
        <x:v>45946</x:v>
      </x:c>
      <x:c r="D804" s="2" t="str">
        <x:v>Completed</x:v>
      </x:c>
      <x:c r="E804" s="2" t="str">
        <x:v>South</x:v>
      </x:c>
      <x:c r="F804" s="2" t="str">
        <x:v>Store</x:v>
      </x:c>
      <x:c r="G804" s="2" t="str">
        <x:v>Storage</x:v>
      </x:c>
      <x:c r="H804" s="2" t="str">
        <x:v>Shelf 007</x:v>
      </x:c>
      <x:c r="I804" s="11" t="n">
        <x:v>3</x:v>
      </x:c>
      <x:c r="J804" s="9" t="n">
        <x:v>35</x:v>
      </x:c>
      <x:c r="K804" s="10" t="n">
        <x:v>0.1</x:v>
      </x:c>
      <x:c r="L804" s="11" t="n">
        <x:v>3</x:v>
      </x:c>
      <x:c r="M804" s="9" t="n">
        <x:f>IF(D804="Completed",I804*J804,0)</x:f>
        <x:v>105</x:v>
      </x:c>
      <x:c r="N804" s="9" t="n">
        <x:f>M804*K804</x:f>
        <x:v>10.5</x:v>
      </x:c>
      <x:c r="O804" s="9" t="n">
        <x:f>M804-N804</x:f>
        <x:v>94.5</x:v>
      </x:c>
      <x:c r="P804" s="9" t="n">
        <x:f>IF(D804="Completed",L804*J804*(1-K804),0)</x:f>
        <x:v>94.5</x:v>
      </x:c>
      <x:c r="Q804" s="9" t="n">
        <x:f>O804-P804</x:f>
        <x:v>0</x:v>
      </x:c>
      <x:c r="R804" s="11" t="n">
        <x:f>IF(D804="Completed",I804,0)</x:f>
        <x:v>3</x:v>
      </x:c>
      <x:c r="S804" s="11" t="n">
        <x:f>IF(D804="Completed",L804,0)</x:f>
        <x:v>3</x:v>
      </x:c>
      <x:c r="T804" s="8" t="n">
        <x:f>DATE(YEAR(C804),MONTH(C804),1)</x:f>
        <x:v>45931</x:v>
      </x:c>
    </x:row>
    <x:row r="805" ht="22" customHeight="1">
      <x:c r="A805" s="2" t="str">
        <x:v>L000801</x:v>
      </x:c>
      <x:c r="B805" s="2" t="str">
        <x:v>O00330</x:v>
      </x:c>
      <x:c r="C805" s="7" t="n">
        <x:v>45728</x:v>
      </x:c>
      <x:c r="D805" s="2" t="str">
        <x:v>Completed</x:v>
      </x:c>
      <x:c r="E805" s="2" t="str">
        <x:v>South</x:v>
      </x:c>
      <x:c r="F805" s="2" t="str">
        <x:v>Store</x:v>
      </x:c>
      <x:c r="G805" s="2" t="str">
        <x:v>Furniture</x:v>
      </x:c>
      <x:c r="H805" s="2" t="str">
        <x:v>Chair 002</x:v>
      </x:c>
      <x:c r="I805" s="11" t="n">
        <x:v>2</x:v>
      </x:c>
      <x:c r="J805" s="9" t="n">
        <x:v>284</x:v>
      </x:c>
      <x:c r="K805" s="10" t="n">
        <x:v>0.1</x:v>
      </x:c>
      <x:c r="L805" s="11" t="n">
        <x:v>0</x:v>
      </x:c>
      <x:c r="M805" s="9" t="n">
        <x:f>IF(D805="Completed",I805*J805,0)</x:f>
        <x:v>568</x:v>
      </x:c>
      <x:c r="N805" s="9" t="n">
        <x:f>M805*K805</x:f>
        <x:v>56.800000000000004</x:v>
      </x:c>
      <x:c r="O805" s="9" t="n">
        <x:f>M805-N805</x:f>
        <x:v>511.2</x:v>
      </x:c>
      <x:c r="P805" s="9" t="n">
        <x:f>IF(D805="Completed",L805*J805*(1-K805),0)</x:f>
        <x:v>0</x:v>
      </x:c>
      <x:c r="Q805" s="9" t="n">
        <x:f>O805-P805</x:f>
        <x:v>511.2</x:v>
      </x:c>
      <x:c r="R805" s="11" t="n">
        <x:f>IF(D805="Completed",I805,0)</x:f>
        <x:v>2</x:v>
      </x:c>
      <x:c r="S805" s="11" t="n">
        <x:f>IF(D805="Completed",L805,0)</x:f>
        <x:v>0</x:v>
      </x:c>
      <x:c r="T805" s="8" t="n">
        <x:f>DATE(YEAR(C805),MONTH(C805),1)</x:f>
        <x:v>45717</x:v>
      </x:c>
    </x:row>
    <x:row r="806" ht="22" customHeight="1">
      <x:c r="A806" s="2" t="str">
        <x:v>L000802</x:v>
      </x:c>
      <x:c r="B806" s="2" t="str">
        <x:v>O00330</x:v>
      </x:c>
      <x:c r="C806" s="7" t="n">
        <x:v>45728</x:v>
      </x:c>
      <x:c r="D806" s="2" t="str">
        <x:v>Completed</x:v>
      </x:c>
      <x:c r="E806" s="2" t="str">
        <x:v>South</x:v>
      </x:c>
      <x:c r="F806" s="2" t="str">
        <x:v>Store</x:v>
      </x:c>
      <x:c r="G806" s="2" t="str">
        <x:v>Lighting</x:v>
      </x:c>
      <x:c r="H806" s="2" t="str">
        <x:v>Lamp 009</x:v>
      </x:c>
      <x:c r="I806" s="11" t="n">
        <x:v>3</x:v>
      </x:c>
      <x:c r="J806" s="9" t="n">
        <x:v>93</x:v>
      </x:c>
      <x:c r="K806" s="10" t="n">
        <x:v>0</x:v>
      </x:c>
      <x:c r="L806" s="11" t="n">
        <x:v>0</x:v>
      </x:c>
      <x:c r="M806" s="9" t="n">
        <x:f>IF(D806="Completed",I806*J806,0)</x:f>
        <x:v>279</x:v>
      </x:c>
      <x:c r="N806" s="9" t="n">
        <x:f>M806*K806</x:f>
        <x:v>0</x:v>
      </x:c>
      <x:c r="O806" s="9" t="n">
        <x:f>M806-N806</x:f>
        <x:v>279</x:v>
      </x:c>
      <x:c r="P806" s="9" t="n">
        <x:f>IF(D806="Completed",L806*J806*(1-K806),0)</x:f>
        <x:v>0</x:v>
      </x:c>
      <x:c r="Q806" s="9" t="n">
        <x:f>O806-P806</x:f>
        <x:v>279</x:v>
      </x:c>
      <x:c r="R806" s="11" t="n">
        <x:f>IF(D806="Completed",I806,0)</x:f>
        <x:v>3</x:v>
      </x:c>
      <x:c r="S806" s="11" t="n">
        <x:f>IF(D806="Completed",L806,0)</x:f>
        <x:v>0</x:v>
      </x:c>
      <x:c r="T806" s="8" t="n">
        <x:f>DATE(YEAR(C806),MONTH(C806),1)</x:f>
        <x:v>45717</x:v>
      </x:c>
    </x:row>
    <x:row r="807" ht="22" customHeight="1">
      <x:c r="A807" s="2" t="str">
        <x:v>L000803</x:v>
      </x:c>
      <x:c r="B807" s="2" t="str">
        <x:v>O00330</x:v>
      </x:c>
      <x:c r="C807" s="7" t="n">
        <x:v>45728</x:v>
      </x:c>
      <x:c r="D807" s="2" t="str">
        <x:v>Completed</x:v>
      </x:c>
      <x:c r="E807" s="2" t="str">
        <x:v>South</x:v>
      </x:c>
      <x:c r="F807" s="2" t="str">
        <x:v>Store</x:v>
      </x:c>
      <x:c r="G807" s="2" t="str">
        <x:v>Lighting</x:v>
      </x:c>
      <x:c r="H807" s="2" t="str">
        <x:v>Lamp 021</x:v>
      </x:c>
      <x:c r="I807" s="11" t="n">
        <x:v>4</x:v>
      </x:c>
      <x:c r="J807" s="9" t="n">
        <x:v>249</x:v>
      </x:c>
      <x:c r="K807" s="10" t="n">
        <x:v>0.05</x:v>
      </x:c>
      <x:c r="L807" s="11" t="n">
        <x:v>2</x:v>
      </x:c>
      <x:c r="M807" s="9" t="n">
        <x:f>IF(D807="Completed",I807*J807,0)</x:f>
        <x:v>996</x:v>
      </x:c>
      <x:c r="N807" s="9" t="n">
        <x:f>M807*K807</x:f>
        <x:v>49.800000000000004</x:v>
      </x:c>
      <x:c r="O807" s="9" t="n">
        <x:f>M807-N807</x:f>
        <x:v>946.2</x:v>
      </x:c>
      <x:c r="P807" s="9" t="n">
        <x:f>IF(D807="Completed",L807*J807*(1-K807),0)</x:f>
        <x:v>473.09999999999997</x:v>
      </x:c>
      <x:c r="Q807" s="9" t="n">
        <x:f>O807-P807</x:f>
        <x:v>473.1000000000001</x:v>
      </x:c>
      <x:c r="R807" s="11" t="n">
        <x:f>IF(D807="Completed",I807,0)</x:f>
        <x:v>4</x:v>
      </x:c>
      <x:c r="S807" s="11" t="n">
        <x:f>IF(D807="Completed",L807,0)</x:f>
        <x:v>2</x:v>
      </x:c>
      <x:c r="T807" s="8" t="n">
        <x:f>DATE(YEAR(C807),MONTH(C807),1)</x:f>
        <x:v>45717</x:v>
      </x:c>
    </x:row>
    <x:row r="808" ht="22" customHeight="1">
      <x:c r="A808" s="2" t="str">
        <x:v>L000804</x:v>
      </x:c>
      <x:c r="B808" s="2" t="str">
        <x:v>O00330</x:v>
      </x:c>
      <x:c r="C808" s="7" t="n">
        <x:v>45728</x:v>
      </x:c>
      <x:c r="D808" s="2" t="str">
        <x:v>Completed</x:v>
      </x:c>
      <x:c r="E808" s="2" t="str">
        <x:v>South</x:v>
      </x:c>
      <x:c r="F808" s="2" t="str">
        <x:v>Store</x:v>
      </x:c>
      <x:c r="G808" s="2" t="str">
        <x:v>Furniture</x:v>
      </x:c>
      <x:c r="H808" s="2" t="str">
        <x:v>Chair 014</x:v>
      </x:c>
      <x:c r="I808" s="11" t="n">
        <x:v>4</x:v>
      </x:c>
      <x:c r="J808" s="9" t="n">
        <x:v>294</x:v>
      </x:c>
      <x:c r="K808" s="10" t="n">
        <x:v>0.05</x:v>
      </x:c>
      <x:c r="L808" s="11" t="n">
        <x:v>0</x:v>
      </x:c>
      <x:c r="M808" s="9" t="n">
        <x:f>IF(D808="Completed",I808*J808,0)</x:f>
        <x:v>1176</x:v>
      </x:c>
      <x:c r="N808" s="9" t="n">
        <x:f>M808*K808</x:f>
        <x:v>58.800000000000004</x:v>
      </x:c>
      <x:c r="O808" s="9" t="n">
        <x:f>M808-N808</x:f>
        <x:v>1117.2</x:v>
      </x:c>
      <x:c r="P808" s="9" t="n">
        <x:f>IF(D808="Completed",L808*J808*(1-K808),0)</x:f>
        <x:v>0</x:v>
      </x:c>
      <x:c r="Q808" s="9" t="n">
        <x:f>O808-P808</x:f>
        <x:v>1117.2</x:v>
      </x:c>
      <x:c r="R808" s="11" t="n">
        <x:f>IF(D808="Completed",I808,0)</x:f>
        <x:v>4</x:v>
      </x:c>
      <x:c r="S808" s="11" t="n">
        <x:f>IF(D808="Completed",L808,0)</x:f>
        <x:v>0</x:v>
      </x:c>
      <x:c r="T808" s="8" t="n">
        <x:f>DATE(YEAR(C808),MONTH(C808),1)</x:f>
        <x:v>45717</x:v>
      </x:c>
    </x:row>
    <x:row r="809" ht="22" customHeight="1">
      <x:c r="A809" s="2" t="str">
        <x:v>L000805</x:v>
      </x:c>
      <x:c r="B809" s="2" t="str">
        <x:v>O00331</x:v>
      </x:c>
      <x:c r="C809" s="7" t="n">
        <x:v>45772</x:v>
      </x:c>
      <x:c r="D809" s="2" t="str">
        <x:v>Completed</x:v>
      </x:c>
      <x:c r="E809" s="2" t="str">
        <x:v>East</x:v>
      </x:c>
      <x:c r="F809" s="2" t="str">
        <x:v>Online</x:v>
      </x:c>
      <x:c r="G809" s="2" t="str">
        <x:v>Lighting</x:v>
      </x:c>
      <x:c r="H809" s="2" t="str">
        <x:v>Lamp 005</x:v>
      </x:c>
      <x:c r="I809" s="11" t="n">
        <x:v>4</x:v>
      </x:c>
      <x:c r="J809" s="9" t="n">
        <x:v>65</x:v>
      </x:c>
      <x:c r="K809" s="10" t="n">
        <x:v>0.05</x:v>
      </x:c>
      <x:c r="L809" s="11" t="n">
        <x:v>0</x:v>
      </x:c>
      <x:c r="M809" s="9" t="n">
        <x:f>IF(D809="Completed",I809*J809,0)</x:f>
        <x:v>260</x:v>
      </x:c>
      <x:c r="N809" s="9" t="n">
        <x:f>M809*K809</x:f>
        <x:v>13</x:v>
      </x:c>
      <x:c r="O809" s="9" t="n">
        <x:f>M809-N809</x:f>
        <x:v>247</x:v>
      </x:c>
      <x:c r="P809" s="9" t="n">
        <x:f>IF(D809="Completed",L809*J809*(1-K809),0)</x:f>
        <x:v>0</x:v>
      </x:c>
      <x:c r="Q809" s="9" t="n">
        <x:f>O809-P809</x:f>
        <x:v>247</x:v>
      </x:c>
      <x:c r="R809" s="11" t="n">
        <x:f>IF(D809="Completed",I809,0)</x:f>
        <x:v>4</x:v>
      </x:c>
      <x:c r="S809" s="11" t="n">
        <x:f>IF(D809="Completed",L809,0)</x:f>
        <x:v>0</x:v>
      </x:c>
      <x:c r="T809" s="8" t="n">
        <x:f>DATE(YEAR(C809),MONTH(C809),1)</x:f>
        <x:v>45748</x:v>
      </x:c>
    </x:row>
    <x:row r="810" ht="22" customHeight="1">
      <x:c r="A810" s="2" t="str">
        <x:v>L000806</x:v>
      </x:c>
      <x:c r="B810" s="2" t="str">
        <x:v>O00331</x:v>
      </x:c>
      <x:c r="C810" s="7" t="n">
        <x:v>45772</x:v>
      </x:c>
      <x:c r="D810" s="2" t="str">
        <x:v>Completed</x:v>
      </x:c>
      <x:c r="E810" s="2" t="str">
        <x:v>East</x:v>
      </x:c>
      <x:c r="F810" s="2" t="str">
        <x:v>Online</x:v>
      </x:c>
      <x:c r="G810" s="2" t="str">
        <x:v>Lighting</x:v>
      </x:c>
      <x:c r="H810" s="2" t="str">
        <x:v>Lamp 013</x:v>
      </x:c>
      <x:c r="I810" s="11" t="n">
        <x:v>1</x:v>
      </x:c>
      <x:c r="J810" s="9" t="n">
        <x:v>271</x:v>
      </x:c>
      <x:c r="K810" s="10" t="n">
        <x:v>0.2</x:v>
      </x:c>
      <x:c r="L810" s="11" t="n">
        <x:v>0</x:v>
      </x:c>
      <x:c r="M810" s="9" t="n">
        <x:f>IF(D810="Completed",I810*J810,0)</x:f>
        <x:v>271</x:v>
      </x:c>
      <x:c r="N810" s="9" t="n">
        <x:f>M810*K810</x:f>
        <x:v>54.2</x:v>
      </x:c>
      <x:c r="O810" s="9" t="n">
        <x:f>M810-N810</x:f>
        <x:v>216.8</x:v>
      </x:c>
      <x:c r="P810" s="9" t="n">
        <x:f>IF(D810="Completed",L810*J810*(1-K810),0)</x:f>
        <x:v>0</x:v>
      </x:c>
      <x:c r="Q810" s="9" t="n">
        <x:f>O810-P810</x:f>
        <x:v>216.8</x:v>
      </x:c>
      <x:c r="R810" s="11" t="n">
        <x:f>IF(D810="Completed",I810,0)</x:f>
        <x:v>1</x:v>
      </x:c>
      <x:c r="S810" s="11" t="n">
        <x:f>IF(D810="Completed",L810,0)</x:f>
        <x:v>0</x:v>
      </x:c>
      <x:c r="T810" s="8" t="n">
        <x:f>DATE(YEAR(C810),MONTH(C810),1)</x:f>
        <x:v>45748</x:v>
      </x:c>
    </x:row>
    <x:row r="811" ht="22" customHeight="1">
      <x:c r="A811" s="2" t="str">
        <x:v>L000807</x:v>
      </x:c>
      <x:c r="B811" s="2" t="str">
        <x:v>O00332</x:v>
      </x:c>
      <x:c r="C811" s="7" t="n">
        <x:v>45779</x:v>
      </x:c>
      <x:c r="D811" s="2" t="str">
        <x:v>Completed</x:v>
      </x:c>
      <x:c r="E811" s="2" t="str">
        <x:v>West</x:v>
      </x:c>
      <x:c r="F811" s="2" t="str">
        <x:v>Store</x:v>
      </x:c>
      <x:c r="G811" s="2" t="str">
        <x:v>Lighting</x:v>
      </x:c>
      <x:c r="H811" s="2" t="str">
        <x:v>Lamp 009</x:v>
      </x:c>
      <x:c r="I811" s="11" t="n">
        <x:v>4</x:v>
      </x:c>
      <x:c r="J811" s="9" t="n">
        <x:v>93</x:v>
      </x:c>
      <x:c r="K811" s="10" t="n">
        <x:v>0</x:v>
      </x:c>
      <x:c r="L811" s="11" t="n">
        <x:v>0</x:v>
      </x:c>
      <x:c r="M811" s="9" t="n">
        <x:f>IF(D811="Completed",I811*J811,0)</x:f>
        <x:v>372</x:v>
      </x:c>
      <x:c r="N811" s="9" t="n">
        <x:f>M811*K811</x:f>
        <x:v>0</x:v>
      </x:c>
      <x:c r="O811" s="9" t="n">
        <x:f>M811-N811</x:f>
        <x:v>372</x:v>
      </x:c>
      <x:c r="P811" s="9" t="n">
        <x:f>IF(D811="Completed",L811*J811*(1-K811),0)</x:f>
        <x:v>0</x:v>
      </x:c>
      <x:c r="Q811" s="9" t="n">
        <x:f>O811-P811</x:f>
        <x:v>372</x:v>
      </x:c>
      <x:c r="R811" s="11" t="n">
        <x:f>IF(D811="Completed",I811,0)</x:f>
        <x:v>4</x:v>
      </x:c>
      <x:c r="S811" s="11" t="n">
        <x:f>IF(D811="Completed",L811,0)</x:f>
        <x:v>0</x:v>
      </x:c>
      <x:c r="T811" s="8" t="n">
        <x:f>DATE(YEAR(C811),MONTH(C811),1)</x:f>
        <x:v>45778</x:v>
      </x:c>
    </x:row>
    <x:row r="812" ht="22" customHeight="1">
      <x:c r="A812" s="2" t="str">
        <x:v>L000808</x:v>
      </x:c>
      <x:c r="B812" s="2" t="str">
        <x:v>O00332</x:v>
      </x:c>
      <x:c r="C812" s="7" t="n">
        <x:v>45779</x:v>
      </x:c>
      <x:c r="D812" s="2" t="str">
        <x:v>Completed</x:v>
      </x:c>
      <x:c r="E812" s="2" t="str">
        <x:v>West</x:v>
      </x:c>
      <x:c r="F812" s="2" t="str">
        <x:v>Store</x:v>
      </x:c>
      <x:c r="G812" s="2" t="str">
        <x:v>Furniture</x:v>
      </x:c>
      <x:c r="H812" s="2" t="str">
        <x:v>Chair 014</x:v>
      </x:c>
      <x:c r="I812" s="11" t="n">
        <x:v>3</x:v>
      </x:c>
      <x:c r="J812" s="9" t="n">
        <x:v>294</x:v>
      </x:c>
      <x:c r="K812" s="10" t="n">
        <x:v>0.2</x:v>
      </x:c>
      <x:c r="L812" s="11" t="n">
        <x:v>0</x:v>
      </x:c>
      <x:c r="M812" s="9" t="n">
        <x:f>IF(D812="Completed",I812*J812,0)</x:f>
        <x:v>882</x:v>
      </x:c>
      <x:c r="N812" s="9" t="n">
        <x:f>M812*K812</x:f>
        <x:v>176.4</x:v>
      </x:c>
      <x:c r="O812" s="9" t="n">
        <x:f>M812-N812</x:f>
        <x:v>705.6</x:v>
      </x:c>
      <x:c r="P812" s="9" t="n">
        <x:f>IF(D812="Completed",L812*J812*(1-K812),0)</x:f>
        <x:v>0</x:v>
      </x:c>
      <x:c r="Q812" s="9" t="n">
        <x:f>O812-P812</x:f>
        <x:v>705.6</x:v>
      </x:c>
      <x:c r="R812" s="11" t="n">
        <x:f>IF(D812="Completed",I812,0)</x:f>
        <x:v>3</x:v>
      </x:c>
      <x:c r="S812" s="11" t="n">
        <x:f>IF(D812="Completed",L812,0)</x:f>
        <x:v>0</x:v>
      </x:c>
      <x:c r="T812" s="8" t="n">
        <x:f>DATE(YEAR(C812),MONTH(C812),1)</x:f>
        <x:v>45778</x:v>
      </x:c>
    </x:row>
    <x:row r="813" ht="22" customHeight="1">
      <x:c r="A813" s="2" t="str">
        <x:v>L000809</x:v>
      </x:c>
      <x:c r="B813" s="2" t="str">
        <x:v>O00332</x:v>
      </x:c>
      <x:c r="C813" s="7" t="n">
        <x:v>45779</x:v>
      </x:c>
      <x:c r="D813" s="2" t="str">
        <x:v>Completed</x:v>
      </x:c>
      <x:c r="E813" s="2" t="str">
        <x:v>West</x:v>
      </x:c>
      <x:c r="F813" s="2" t="str">
        <x:v>Store</x:v>
      </x:c>
      <x:c r="G813" s="2" t="str">
        <x:v>Lighting</x:v>
      </x:c>
      <x:c r="H813" s="2" t="str">
        <x:v>Lamp 001</x:v>
      </x:c>
      <x:c r="I813" s="11" t="n">
        <x:v>3</x:v>
      </x:c>
      <x:c r="J813" s="9" t="n">
        <x:v>122</x:v>
      </x:c>
      <x:c r="K813" s="10" t="n">
        <x:v>0.2</x:v>
      </x:c>
      <x:c r="L813" s="11" t="n">
        <x:v>0</x:v>
      </x:c>
      <x:c r="M813" s="9" t="n">
        <x:f>IF(D813="Completed",I813*J813,0)</x:f>
        <x:v>366</x:v>
      </x:c>
      <x:c r="N813" s="9" t="n">
        <x:f>M813*K813</x:f>
        <x:v>73.2</x:v>
      </x:c>
      <x:c r="O813" s="9" t="n">
        <x:f>M813-N813</x:f>
        <x:v>292.8</x:v>
      </x:c>
      <x:c r="P813" s="9" t="n">
        <x:f>IF(D813="Completed",L813*J813*(1-K813),0)</x:f>
        <x:v>0</x:v>
      </x:c>
      <x:c r="Q813" s="9" t="n">
        <x:f>O813-P813</x:f>
        <x:v>292.8</x:v>
      </x:c>
      <x:c r="R813" s="11" t="n">
        <x:f>IF(D813="Completed",I813,0)</x:f>
        <x:v>3</x:v>
      </x:c>
      <x:c r="S813" s="11" t="n">
        <x:f>IF(D813="Completed",L813,0)</x:f>
        <x:v>0</x:v>
      </x:c>
      <x:c r="T813" s="8" t="n">
        <x:f>DATE(YEAR(C813),MONTH(C813),1)</x:f>
        <x:v>45778</x:v>
      </x:c>
    </x:row>
    <x:row r="814" ht="22" customHeight="1">
      <x:c r="A814" s="2" t="str">
        <x:v>L000810</x:v>
      </x:c>
      <x:c r="B814" s="2" t="str">
        <x:v>O00332</x:v>
      </x:c>
      <x:c r="C814" s="7" t="n">
        <x:v>45779</x:v>
      </x:c>
      <x:c r="D814" s="2" t="str">
        <x:v>Completed</x:v>
      </x:c>
      <x:c r="E814" s="2" t="str">
        <x:v>West</x:v>
      </x:c>
      <x:c r="F814" s="2" t="str">
        <x:v>Store</x:v>
      </x:c>
      <x:c r="G814" s="2" t="str">
        <x:v>Lighting</x:v>
      </x:c>
      <x:c r="H814" s="2" t="str">
        <x:v>Lamp 021</x:v>
      </x:c>
      <x:c r="I814" s="11" t="n">
        <x:v>4</x:v>
      </x:c>
      <x:c r="J814" s="9" t="n">
        <x:v>249</x:v>
      </x:c>
      <x:c r="K814" s="10" t="n">
        <x:v>0.2</x:v>
      </x:c>
      <x:c r="L814" s="11" t="n">
        <x:v>2</x:v>
      </x:c>
      <x:c r="M814" s="9" t="n">
        <x:f>IF(D814="Completed",I814*J814,0)</x:f>
        <x:v>996</x:v>
      </x:c>
      <x:c r="N814" s="9" t="n">
        <x:f>M814*K814</x:f>
        <x:v>199.20000000000002</x:v>
      </x:c>
      <x:c r="O814" s="9" t="n">
        <x:f>M814-N814</x:f>
        <x:v>796.8</x:v>
      </x:c>
      <x:c r="P814" s="9" t="n">
        <x:f>IF(D814="Completed",L814*J814*(1-K814),0)</x:f>
        <x:v>398.40000000000003</x:v>
      </x:c>
      <x:c r="Q814" s="9" t="n">
        <x:f>O814-P814</x:f>
        <x:v>398.3999999999999</x:v>
      </x:c>
      <x:c r="R814" s="11" t="n">
        <x:f>IF(D814="Completed",I814,0)</x:f>
        <x:v>4</x:v>
      </x:c>
      <x:c r="S814" s="11" t="n">
        <x:f>IF(D814="Completed",L814,0)</x:f>
        <x:v>2</x:v>
      </x:c>
      <x:c r="T814" s="8" t="n">
        <x:f>DATE(YEAR(C814),MONTH(C814),1)</x:f>
        <x:v>45778</x:v>
      </x:c>
    </x:row>
    <x:row r="815" ht="22" customHeight="1">
      <x:c r="A815" s="2" t="str">
        <x:v>L000811</x:v>
      </x:c>
      <x:c r="B815" s="2" t="str">
        <x:v>O00333</x:v>
      </x:c>
      <x:c r="C815" s="7" t="n">
        <x:v>45862</x:v>
      </x:c>
      <x:c r="D815" s="2" t="str">
        <x:v>Completed</x:v>
      </x:c>
      <x:c r="E815" s="2" t="str">
        <x:v>West</x:v>
      </x:c>
      <x:c r="F815" s="2" t="str">
        <x:v>Store</x:v>
      </x:c>
      <x:c r="G815" s="2" t="str">
        <x:v>Lighting</x:v>
      </x:c>
      <x:c r="H815" s="2" t="str">
        <x:v>Lamp 001</x:v>
      </x:c>
      <x:c r="I815" s="11" t="n">
        <x:v>2</x:v>
      </x:c>
      <x:c r="J815" s="9" t="n">
        <x:v>122</x:v>
      </x:c>
      <x:c r="K815" s="10" t="n">
        <x:v>0.2</x:v>
      </x:c>
      <x:c r="L815" s="11" t="n">
        <x:v>0</x:v>
      </x:c>
      <x:c r="M815" s="9" t="n">
        <x:f>IF(D815="Completed",I815*J815,0)</x:f>
        <x:v>244</x:v>
      </x:c>
      <x:c r="N815" s="9" t="n">
        <x:f>M815*K815</x:f>
        <x:v>48.800000000000004</x:v>
      </x:c>
      <x:c r="O815" s="9" t="n">
        <x:f>M815-N815</x:f>
        <x:v>195.2</x:v>
      </x:c>
      <x:c r="P815" s="9" t="n">
        <x:f>IF(D815="Completed",L815*J815*(1-K815),0)</x:f>
        <x:v>0</x:v>
      </x:c>
      <x:c r="Q815" s="9" t="n">
        <x:f>O815-P815</x:f>
        <x:v>195.2</x:v>
      </x:c>
      <x:c r="R815" s="11" t="n">
        <x:f>IF(D815="Completed",I815,0)</x:f>
        <x:v>2</x:v>
      </x:c>
      <x:c r="S815" s="11" t="n">
        <x:f>IF(D815="Completed",L815,0)</x:f>
        <x:v>0</x:v>
      </x:c>
      <x:c r="T815" s="8" t="n">
        <x:f>DATE(YEAR(C815),MONTH(C815),1)</x:f>
        <x:v>45839</x:v>
      </x:c>
    </x:row>
    <x:row r="816" ht="22" customHeight="1">
      <x:c r="A816" s="2" t="str">
        <x:v>L000812</x:v>
      </x:c>
      <x:c r="B816" s="2" t="str">
        <x:v>O00333</x:v>
      </x:c>
      <x:c r="C816" s="7" t="n">
        <x:v>45862</x:v>
      </x:c>
      <x:c r="D816" s="2" t="str">
        <x:v>Completed</x:v>
      </x:c>
      <x:c r="E816" s="2" t="str">
        <x:v>West</x:v>
      </x:c>
      <x:c r="F816" s="2" t="str">
        <x:v>Store</x:v>
      </x:c>
      <x:c r="G816" s="2" t="str">
        <x:v>Furniture</x:v>
      </x:c>
      <x:c r="H816" s="2" t="str">
        <x:v>Desk 004</x:v>
      </x:c>
      <x:c r="I816" s="11" t="n">
        <x:v>3</x:v>
      </x:c>
      <x:c r="J816" s="9" t="n">
        <x:v>123</x:v>
      </x:c>
      <x:c r="K816" s="10" t="n">
        <x:v>0.2</x:v>
      </x:c>
      <x:c r="L816" s="11" t="n">
        <x:v>0</x:v>
      </x:c>
      <x:c r="M816" s="9" t="n">
        <x:f>IF(D816="Completed",I816*J816,0)</x:f>
        <x:v>369</x:v>
      </x:c>
      <x:c r="N816" s="9" t="n">
        <x:f>M816*K816</x:f>
        <x:v>73.8</x:v>
      </x:c>
      <x:c r="O816" s="9" t="n">
        <x:f>M816-N816</x:f>
        <x:v>295.2</x:v>
      </x:c>
      <x:c r="P816" s="9" t="n">
        <x:f>IF(D816="Completed",L816*J816*(1-K816),0)</x:f>
        <x:v>0</x:v>
      </x:c>
      <x:c r="Q816" s="9" t="n">
        <x:f>O816-P816</x:f>
        <x:v>295.2</x:v>
      </x:c>
      <x:c r="R816" s="11" t="n">
        <x:f>IF(D816="Completed",I816,0)</x:f>
        <x:v>3</x:v>
      </x:c>
      <x:c r="S816" s="11" t="n">
        <x:f>IF(D816="Completed",L816,0)</x:f>
        <x:v>0</x:v>
      </x:c>
      <x:c r="T816" s="8" t="n">
        <x:f>DATE(YEAR(C816),MONTH(C816),1)</x:f>
        <x:v>45839</x:v>
      </x:c>
    </x:row>
    <x:row r="817" ht="22" customHeight="1">
      <x:c r="A817" s="2" t="str">
        <x:v>L000813</x:v>
      </x:c>
      <x:c r="B817" s="2" t="str">
        <x:v>O00334</x:v>
      </x:c>
      <x:c r="C817" s="7" t="n">
        <x:v>45934</x:v>
      </x:c>
      <x:c r="D817" s="2" t="str">
        <x:v>Completed</x:v>
      </x:c>
      <x:c r="E817" s="2" t="str">
        <x:v>North</x:v>
      </x:c>
      <x:c r="F817" s="2" t="str">
        <x:v>Store</x:v>
      </x:c>
      <x:c r="G817" s="2" t="str">
        <x:v>Furniture</x:v>
      </x:c>
      <x:c r="H817" s="2" t="str">
        <x:v>Desk 024</x:v>
      </x:c>
      <x:c r="I817" s="11" t="n">
        <x:v>5</x:v>
      </x:c>
      <x:c r="J817" s="9" t="n">
        <x:v>81</x:v>
      </x:c>
      <x:c r="K817" s="10" t="n">
        <x:v>0.2</x:v>
      </x:c>
      <x:c r="L817" s="11" t="n">
        <x:v>0</x:v>
      </x:c>
      <x:c r="M817" s="9" t="n">
        <x:f>IF(D817="Completed",I817*J817,0)</x:f>
        <x:v>405</x:v>
      </x:c>
      <x:c r="N817" s="9" t="n">
        <x:f>M817*K817</x:f>
        <x:v>81</x:v>
      </x:c>
      <x:c r="O817" s="9" t="n">
        <x:f>M817-N817</x:f>
        <x:v>324</x:v>
      </x:c>
      <x:c r="P817" s="9" t="n">
        <x:f>IF(D817="Completed",L817*J817*(1-K817),0)</x:f>
        <x:v>0</x:v>
      </x:c>
      <x:c r="Q817" s="9" t="n">
        <x:f>O817-P817</x:f>
        <x:v>324</x:v>
      </x:c>
      <x:c r="R817" s="11" t="n">
        <x:f>IF(D817="Completed",I817,0)</x:f>
        <x:v>5</x:v>
      </x:c>
      <x:c r="S817" s="11" t="n">
        <x:f>IF(D817="Completed",L817,0)</x:f>
        <x:v>0</x:v>
      </x:c>
      <x:c r="T817" s="8" t="n">
        <x:f>DATE(YEAR(C817),MONTH(C817),1)</x:f>
        <x:v>45931</x:v>
      </x:c>
    </x:row>
    <x:row r="818" ht="22" customHeight="1">
      <x:c r="A818" s="2" t="str">
        <x:v>L000814</x:v>
      </x:c>
      <x:c r="B818" s="2" t="str">
        <x:v>O00334</x:v>
      </x:c>
      <x:c r="C818" s="7" t="n">
        <x:v>45934</x:v>
      </x:c>
      <x:c r="D818" s="2" t="str">
        <x:v>Completed</x:v>
      </x:c>
      <x:c r="E818" s="2" t="str">
        <x:v>North</x:v>
      </x:c>
      <x:c r="F818" s="2" t="str">
        <x:v>Store</x:v>
      </x:c>
      <x:c r="G818" s="2" t="str">
        <x:v>Furniture</x:v>
      </x:c>
      <x:c r="H818" s="2" t="str">
        <x:v>Desk 024</x:v>
      </x:c>
      <x:c r="I818" s="11" t="n">
        <x:v>1</x:v>
      </x:c>
      <x:c r="J818" s="9" t="n">
        <x:v>81</x:v>
      </x:c>
      <x:c r="K818" s="10" t="n">
        <x:v>0.2</x:v>
      </x:c>
      <x:c r="L818" s="11" t="n">
        <x:v>0</x:v>
      </x:c>
      <x:c r="M818" s="9" t="n">
        <x:f>IF(D818="Completed",I818*J818,0)</x:f>
        <x:v>81</x:v>
      </x:c>
      <x:c r="N818" s="9" t="n">
        <x:f>M818*K818</x:f>
        <x:v>16.2</x:v>
      </x:c>
      <x:c r="O818" s="9" t="n">
        <x:f>M818-N818</x:f>
        <x:v>64.8</x:v>
      </x:c>
      <x:c r="P818" s="9" t="n">
        <x:f>IF(D818="Completed",L818*J818*(1-K818),0)</x:f>
        <x:v>0</x:v>
      </x:c>
      <x:c r="Q818" s="9" t="n">
        <x:f>O818-P818</x:f>
        <x:v>64.8</x:v>
      </x:c>
      <x:c r="R818" s="11" t="n">
        <x:f>IF(D818="Completed",I818,0)</x:f>
        <x:v>1</x:v>
      </x:c>
      <x:c r="S818" s="11" t="n">
        <x:f>IF(D818="Completed",L818,0)</x:f>
        <x:v>0</x:v>
      </x:c>
      <x:c r="T818" s="8" t="n">
        <x:f>DATE(YEAR(C818),MONTH(C818),1)</x:f>
        <x:v>45931</x:v>
      </x:c>
    </x:row>
    <x:row r="819" ht="22" customHeight="1">
      <x:c r="A819" s="2" t="str">
        <x:v>L000815</x:v>
      </x:c>
      <x:c r="B819" s="2" t="str">
        <x:v>O00334</x:v>
      </x:c>
      <x:c r="C819" s="7" t="n">
        <x:v>45934</x:v>
      </x:c>
      <x:c r="D819" s="2" t="str">
        <x:v>Completed</x:v>
      </x:c>
      <x:c r="E819" s="2" t="str">
        <x:v>North</x:v>
      </x:c>
      <x:c r="F819" s="2" t="str">
        <x:v>Store</x:v>
      </x:c>
      <x:c r="G819" s="2" t="str">
        <x:v>Lighting</x:v>
      </x:c>
      <x:c r="H819" s="2" t="str">
        <x:v>Lamp 017</x:v>
      </x:c>
      <x:c r="I819" s="11" t="n">
        <x:v>2</x:v>
      </x:c>
      <x:c r="J819" s="9" t="n">
        <x:v>300</x:v>
      </x:c>
      <x:c r="K819" s="10" t="n">
        <x:v>0.05</x:v>
      </x:c>
      <x:c r="L819" s="11" t="n">
        <x:v>1</x:v>
      </x:c>
      <x:c r="M819" s="9" t="n">
        <x:f>IF(D819="Completed",I819*J819,0)</x:f>
        <x:v>600</x:v>
      </x:c>
      <x:c r="N819" s="9" t="n">
        <x:f>M819*K819</x:f>
        <x:v>30</x:v>
      </x:c>
      <x:c r="O819" s="9" t="n">
        <x:f>M819-N819</x:f>
        <x:v>570</x:v>
      </x:c>
      <x:c r="P819" s="9" t="n">
        <x:f>IF(D819="Completed",L819*J819*(1-K819),0)</x:f>
        <x:v>285</x:v>
      </x:c>
      <x:c r="Q819" s="9" t="n">
        <x:f>O819-P819</x:f>
        <x:v>285</x:v>
      </x:c>
      <x:c r="R819" s="11" t="n">
        <x:f>IF(D819="Completed",I819,0)</x:f>
        <x:v>2</x:v>
      </x:c>
      <x:c r="S819" s="11" t="n">
        <x:f>IF(D819="Completed",L819,0)</x:f>
        <x:v>1</x:v>
      </x:c>
      <x:c r="T819" s="8" t="n">
        <x:f>DATE(YEAR(C819),MONTH(C819),1)</x:f>
        <x:v>45931</x:v>
      </x:c>
    </x:row>
    <x:row r="820" ht="22" customHeight="1">
      <x:c r="A820" s="2" t="str">
        <x:v>L000816</x:v>
      </x:c>
      <x:c r="B820" s="2" t="str">
        <x:v>O00334</x:v>
      </x:c>
      <x:c r="C820" s="7" t="n">
        <x:v>45934</x:v>
      </x:c>
      <x:c r="D820" s="2" t="str">
        <x:v>Completed</x:v>
      </x:c>
      <x:c r="E820" s="2" t="str">
        <x:v>North</x:v>
      </x:c>
      <x:c r="F820" s="2" t="str">
        <x:v>Store</x:v>
      </x:c>
      <x:c r="G820" s="2" t="str">
        <x:v>Lighting</x:v>
      </x:c>
      <x:c r="H820" s="2" t="str">
        <x:v>Lamp 009</x:v>
      </x:c>
      <x:c r="I820" s="11" t="n">
        <x:v>2</x:v>
      </x:c>
      <x:c r="J820" s="9" t="n">
        <x:v>93</x:v>
      </x:c>
      <x:c r="K820" s="10" t="n">
        <x:v>0.1</x:v>
      </x:c>
      <x:c r="L820" s="11" t="n">
        <x:v>1</x:v>
      </x:c>
      <x:c r="M820" s="9" t="n">
        <x:f>IF(D820="Completed",I820*J820,0)</x:f>
        <x:v>186</x:v>
      </x:c>
      <x:c r="N820" s="9" t="n">
        <x:f>M820*K820</x:f>
        <x:v>18.6</x:v>
      </x:c>
      <x:c r="O820" s="9" t="n">
        <x:f>M820-N820</x:f>
        <x:v>167.4</x:v>
      </x:c>
      <x:c r="P820" s="9" t="n">
        <x:f>IF(D820="Completed",L820*J820*(1-K820),0)</x:f>
        <x:v>83.7</x:v>
      </x:c>
      <x:c r="Q820" s="9" t="n">
        <x:f>O820-P820</x:f>
        <x:v>83.7</x:v>
      </x:c>
      <x:c r="R820" s="11" t="n">
        <x:f>IF(D820="Completed",I820,0)</x:f>
        <x:v>2</x:v>
      </x:c>
      <x:c r="S820" s="11" t="n">
        <x:f>IF(D820="Completed",L820,0)</x:f>
        <x:v>1</x:v>
      </x:c>
      <x:c r="T820" s="8" t="n">
        <x:f>DATE(YEAR(C820),MONTH(C820),1)</x:f>
        <x:v>45931</x:v>
      </x:c>
    </x:row>
    <x:row r="821" ht="22" customHeight="1">
      <x:c r="A821" s="2" t="str">
        <x:v>L000817</x:v>
      </x:c>
      <x:c r="B821" s="2" t="str">
        <x:v>O00335</x:v>
      </x:c>
      <x:c r="C821" s="7" t="n">
        <x:v>45764</x:v>
      </x:c>
      <x:c r="D821" s="2" t="str">
        <x:v>Completed</x:v>
      </x:c>
      <x:c r="E821" s="2" t="str">
        <x:v>East</x:v>
      </x:c>
      <x:c r="F821" s="2" t="str">
        <x:v>Online</x:v>
      </x:c>
      <x:c r="G821" s="2" t="str">
        <x:v>Storage</x:v>
      </x:c>
      <x:c r="H821" s="2" t="str">
        <x:v>Shelf 003</x:v>
      </x:c>
      <x:c r="I821" s="11" t="n">
        <x:v>4</x:v>
      </x:c>
      <x:c r="J821" s="9" t="n">
        <x:v>199</x:v>
      </x:c>
      <x:c r="K821" s="10" t="n">
        <x:v>0</x:v>
      </x:c>
      <x:c r="L821" s="11" t="n">
        <x:v>0</x:v>
      </x:c>
      <x:c r="M821" s="9" t="n">
        <x:f>IF(D821="Completed",I821*J821,0)</x:f>
        <x:v>796</x:v>
      </x:c>
      <x:c r="N821" s="9" t="n">
        <x:f>M821*K821</x:f>
        <x:v>0</x:v>
      </x:c>
      <x:c r="O821" s="9" t="n">
        <x:f>M821-N821</x:f>
        <x:v>796</x:v>
      </x:c>
      <x:c r="P821" s="9" t="n">
        <x:f>IF(D821="Completed",L821*J821*(1-K821),0)</x:f>
        <x:v>0</x:v>
      </x:c>
      <x:c r="Q821" s="9" t="n">
        <x:f>O821-P821</x:f>
        <x:v>796</x:v>
      </x:c>
      <x:c r="R821" s="11" t="n">
        <x:f>IF(D821="Completed",I821,0)</x:f>
        <x:v>4</x:v>
      </x:c>
      <x:c r="S821" s="11" t="n">
        <x:f>IF(D821="Completed",L821,0)</x:f>
        <x:v>0</x:v>
      </x:c>
      <x:c r="T821" s="8" t="n">
        <x:f>DATE(YEAR(C821),MONTH(C821),1)</x:f>
        <x:v>45748</x:v>
      </x:c>
    </x:row>
    <x:row r="822" ht="22" customHeight="1">
      <x:c r="A822" s="2" t="str">
        <x:v>L000818</x:v>
      </x:c>
      <x:c r="B822" s="2" t="str">
        <x:v>O00336</x:v>
      </x:c>
      <x:c r="C822" s="7" t="n">
        <x:v>45986</x:v>
      </x:c>
      <x:c r="D822" s="2" t="str">
        <x:v>Cancelled</x:v>
      </x:c>
      <x:c r="E822" s="2" t="str">
        <x:v>East</x:v>
      </x:c>
      <x:c r="F822" s="2" t="str">
        <x:v>Store</x:v>
      </x:c>
      <x:c r="G822" s="2" t="str">
        <x:v>Furniture</x:v>
      </x:c>
      <x:c r="H822" s="2" t="str">
        <x:v>Desk 016</x:v>
      </x:c>
      <x:c r="I822" s="11" t="n">
        <x:v>2</x:v>
      </x:c>
      <x:c r="J822" s="9" t="n">
        <x:v>231</x:v>
      </x:c>
      <x:c r="K822" s="10" t="n">
        <x:v>0</x:v>
      </x:c>
      <x:c r="L822" s="11" t="n">
        <x:v>0</x:v>
      </x:c>
      <x:c r="M822" s="9" t="n">
        <x:f>IF(D822="Completed",I822*J822,0)</x:f>
        <x:v>0</x:v>
      </x:c>
      <x:c r="N822" s="9" t="n">
        <x:f>M822*K822</x:f>
        <x:v>0</x:v>
      </x:c>
      <x:c r="O822" s="9" t="n">
        <x:f>M822-N822</x:f>
        <x:v>0</x:v>
      </x:c>
      <x:c r="P822" s="9" t="n">
        <x:f>IF(D822="Completed",L822*J822*(1-K822),0)</x:f>
        <x:v>0</x:v>
      </x:c>
      <x:c r="Q822" s="9" t="n">
        <x:f>O822-P822</x:f>
        <x:v>0</x:v>
      </x:c>
      <x:c r="R822" s="11" t="n">
        <x:f>IF(D822="Completed",I822,0)</x:f>
        <x:v>0</x:v>
      </x:c>
      <x:c r="S822" s="11" t="n">
        <x:f>IF(D822="Completed",L822,0)</x:f>
        <x:v>0</x:v>
      </x:c>
      <x:c r="T822" s="8" t="n">
        <x:f>DATE(YEAR(C822),MONTH(C822),1)</x:f>
        <x:v>45962</x:v>
      </x:c>
    </x:row>
    <x:row r="823" ht="22" customHeight="1">
      <x:c r="A823" s="2" t="str">
        <x:v>L000819</x:v>
      </x:c>
      <x:c r="B823" s="2" t="str">
        <x:v>O00336</x:v>
      </x:c>
      <x:c r="C823" s="7" t="n">
        <x:v>45986</x:v>
      </x:c>
      <x:c r="D823" s="2" t="str">
        <x:v>Cancelled</x:v>
      </x:c>
      <x:c r="E823" s="2" t="str">
        <x:v>East</x:v>
      </x:c>
      <x:c r="F823" s="2" t="str">
        <x:v>Store</x:v>
      </x:c>
      <x:c r="G823" s="2" t="str">
        <x:v>Storage</x:v>
      </x:c>
      <x:c r="H823" s="2" t="str">
        <x:v>Shelf 019</x:v>
      </x:c>
      <x:c r="I823" s="11" t="n">
        <x:v>4</x:v>
      </x:c>
      <x:c r="J823" s="9" t="n">
        <x:v>78</x:v>
      </x:c>
      <x:c r="K823" s="10" t="n">
        <x:v>0.1</x:v>
      </x:c>
      <x:c r="L823" s="11" t="n">
        <x:v>0</x:v>
      </x:c>
      <x:c r="M823" s="9" t="n">
        <x:f>IF(D823="Completed",I823*J823,0)</x:f>
        <x:v>0</x:v>
      </x:c>
      <x:c r="N823" s="9" t="n">
        <x:f>M823*K823</x:f>
        <x:v>0</x:v>
      </x:c>
      <x:c r="O823" s="9" t="n">
        <x:f>M823-N823</x:f>
        <x:v>0</x:v>
      </x:c>
      <x:c r="P823" s="9" t="n">
        <x:f>IF(D823="Completed",L823*J823*(1-K823),0)</x:f>
        <x:v>0</x:v>
      </x:c>
      <x:c r="Q823" s="9" t="n">
        <x:f>O823-P823</x:f>
        <x:v>0</x:v>
      </x:c>
      <x:c r="R823" s="11" t="n">
        <x:f>IF(D823="Completed",I823,0)</x:f>
        <x:v>0</x:v>
      </x:c>
      <x:c r="S823" s="11" t="n">
        <x:f>IF(D823="Completed",L823,0)</x:f>
        <x:v>0</x:v>
      </x:c>
      <x:c r="T823" s="8" t="n">
        <x:f>DATE(YEAR(C823),MONTH(C823),1)</x:f>
        <x:v>45962</x:v>
      </x:c>
    </x:row>
    <x:row r="824" ht="22" customHeight="1">
      <x:c r="A824" s="2" t="str">
        <x:v>L000820</x:v>
      </x:c>
      <x:c r="B824" s="2" t="str">
        <x:v>O00336</x:v>
      </x:c>
      <x:c r="C824" s="7" t="n">
        <x:v>45986</x:v>
      </x:c>
      <x:c r="D824" s="2" t="str">
        <x:v>Cancelled</x:v>
      </x:c>
      <x:c r="E824" s="2" t="str">
        <x:v>East</x:v>
      </x:c>
      <x:c r="F824" s="2" t="str">
        <x:v>Store</x:v>
      </x:c>
      <x:c r="G824" s="2" t="str">
        <x:v>Lighting</x:v>
      </x:c>
      <x:c r="H824" s="2" t="str">
        <x:v>Lamp 009</x:v>
      </x:c>
      <x:c r="I824" s="11" t="n">
        <x:v>4</x:v>
      </x:c>
      <x:c r="J824" s="9" t="n">
        <x:v>93</x:v>
      </x:c>
      <x:c r="K824" s="10" t="n">
        <x:v>0</x:v>
      </x:c>
      <x:c r="L824" s="11" t="n">
        <x:v>0</x:v>
      </x:c>
      <x:c r="M824" s="9" t="n">
        <x:f>IF(D824="Completed",I824*J824,0)</x:f>
        <x:v>0</x:v>
      </x:c>
      <x:c r="N824" s="9" t="n">
        <x:f>M824*K824</x:f>
        <x:v>0</x:v>
      </x:c>
      <x:c r="O824" s="9" t="n">
        <x:f>M824-N824</x:f>
        <x:v>0</x:v>
      </x:c>
      <x:c r="P824" s="9" t="n">
        <x:f>IF(D824="Completed",L824*J824*(1-K824),0)</x:f>
        <x:v>0</x:v>
      </x:c>
      <x:c r="Q824" s="9" t="n">
        <x:f>O824-P824</x:f>
        <x:v>0</x:v>
      </x:c>
      <x:c r="R824" s="11" t="n">
        <x:f>IF(D824="Completed",I824,0)</x:f>
        <x:v>0</x:v>
      </x:c>
      <x:c r="S824" s="11" t="n">
        <x:f>IF(D824="Completed",L824,0)</x:f>
        <x:v>0</x:v>
      </x:c>
      <x:c r="T824" s="8" t="n">
        <x:f>DATE(YEAR(C824),MONTH(C824),1)</x:f>
        <x:v>45962</x:v>
      </x:c>
    </x:row>
    <x:row r="825" ht="22" customHeight="1">
      <x:c r="A825" s="2" t="str">
        <x:v>L000821</x:v>
      </x:c>
      <x:c r="B825" s="2" t="str">
        <x:v>O00337</x:v>
      </x:c>
      <x:c r="C825" s="7" t="n">
        <x:v>45952</x:v>
      </x:c>
      <x:c r="D825" s="2" t="str">
        <x:v>Completed</x:v>
      </x:c>
      <x:c r="E825" s="2" t="str">
        <x:v>West</x:v>
      </x:c>
      <x:c r="F825" s="2" t="str">
        <x:v>Online</x:v>
      </x:c>
      <x:c r="G825" s="2" t="str">
        <x:v>Furniture</x:v>
      </x:c>
      <x:c r="H825" s="2" t="str">
        <x:v>Desk 004</x:v>
      </x:c>
      <x:c r="I825" s="11" t="n">
        <x:v>5</x:v>
      </x:c>
      <x:c r="J825" s="9" t="n">
        <x:v>123</x:v>
      </x:c>
      <x:c r="K825" s="10" t="n">
        <x:v>0.1</x:v>
      </x:c>
      <x:c r="L825" s="11" t="n">
        <x:v>5</x:v>
      </x:c>
      <x:c r="M825" s="9" t="n">
        <x:f>IF(D825="Completed",I825*J825,0)</x:f>
        <x:v>615</x:v>
      </x:c>
      <x:c r="N825" s="9" t="n">
        <x:f>M825*K825</x:f>
        <x:v>61.5</x:v>
      </x:c>
      <x:c r="O825" s="9" t="n">
        <x:f>M825-N825</x:f>
        <x:v>553.5</x:v>
      </x:c>
      <x:c r="P825" s="9" t="n">
        <x:f>IF(D825="Completed",L825*J825*(1-K825),0)</x:f>
        <x:v>553.5</x:v>
      </x:c>
      <x:c r="Q825" s="9" t="n">
        <x:f>O825-P825</x:f>
        <x:v>0</x:v>
      </x:c>
      <x:c r="R825" s="11" t="n">
        <x:f>IF(D825="Completed",I825,0)</x:f>
        <x:v>5</x:v>
      </x:c>
      <x:c r="S825" s="11" t="n">
        <x:f>IF(D825="Completed",L825,0)</x:f>
        <x:v>5</x:v>
      </x:c>
      <x:c r="T825" s="8" t="n">
        <x:f>DATE(YEAR(C825),MONTH(C825),1)</x:f>
        <x:v>45931</x:v>
      </x:c>
    </x:row>
    <x:row r="826" ht="22" customHeight="1">
      <x:c r="A826" s="2" t="str">
        <x:v>L000822</x:v>
      </x:c>
      <x:c r="B826" s="2" t="str">
        <x:v>O00338</x:v>
      </x:c>
      <x:c r="C826" s="7" t="n">
        <x:v>45843</x:v>
      </x:c>
      <x:c r="D826" s="2" t="str">
        <x:v>Completed</x:v>
      </x:c>
      <x:c r="E826" s="2" t="str">
        <x:v>East</x:v>
      </x:c>
      <x:c r="F826" s="2" t="str">
        <x:v>Online</x:v>
      </x:c>
      <x:c r="G826" s="2" t="str">
        <x:v>Lighting</x:v>
      </x:c>
      <x:c r="H826" s="2" t="str">
        <x:v>Lamp 017</x:v>
      </x:c>
      <x:c r="I826" s="11" t="n">
        <x:v>2</x:v>
      </x:c>
      <x:c r="J826" s="9" t="n">
        <x:v>300</x:v>
      </x:c>
      <x:c r="K826" s="10" t="n">
        <x:v>0.1</x:v>
      </x:c>
      <x:c r="L826" s="11" t="n">
        <x:v>0</x:v>
      </x:c>
      <x:c r="M826" s="9" t="n">
        <x:f>IF(D826="Completed",I826*J826,0)</x:f>
        <x:v>600</x:v>
      </x:c>
      <x:c r="N826" s="9" t="n">
        <x:f>M826*K826</x:f>
        <x:v>60</x:v>
      </x:c>
      <x:c r="O826" s="9" t="n">
        <x:f>M826-N826</x:f>
        <x:v>540</x:v>
      </x:c>
      <x:c r="P826" s="9" t="n">
        <x:f>IF(D826="Completed",L826*J826*(1-K826),0)</x:f>
        <x:v>0</x:v>
      </x:c>
      <x:c r="Q826" s="9" t="n">
        <x:f>O826-P826</x:f>
        <x:v>540</x:v>
      </x:c>
      <x:c r="R826" s="11" t="n">
        <x:f>IF(D826="Completed",I826,0)</x:f>
        <x:v>2</x:v>
      </x:c>
      <x:c r="S826" s="11" t="n">
        <x:f>IF(D826="Completed",L826,0)</x:f>
        <x:v>0</x:v>
      </x:c>
      <x:c r="T826" s="8" t="n">
        <x:f>DATE(YEAR(C826),MONTH(C826),1)</x:f>
        <x:v>45839</x:v>
      </x:c>
    </x:row>
    <x:row r="827" ht="22" customHeight="1">
      <x:c r="A827" s="2" t="str">
        <x:v>L000823</x:v>
      </x:c>
      <x:c r="B827" s="2" t="str">
        <x:v>O00338</x:v>
      </x:c>
      <x:c r="C827" s="7" t="n">
        <x:v>45843</x:v>
      </x:c>
      <x:c r="D827" s="2" t="str">
        <x:v>Completed</x:v>
      </x:c>
      <x:c r="E827" s="2" t="str">
        <x:v>East</x:v>
      </x:c>
      <x:c r="F827" s="2" t="str">
        <x:v>Online</x:v>
      </x:c>
      <x:c r="G827" s="2" t="str">
        <x:v>Lighting</x:v>
      </x:c>
      <x:c r="H827" s="2" t="str">
        <x:v>Lamp 001</x:v>
      </x:c>
      <x:c r="I827" s="11" t="n">
        <x:v>4</x:v>
      </x:c>
      <x:c r="J827" s="9" t="n">
        <x:v>122</x:v>
      </x:c>
      <x:c r="K827" s="10" t="n">
        <x:v>0</x:v>
      </x:c>
      <x:c r="L827" s="11" t="n">
        <x:v>0</x:v>
      </x:c>
      <x:c r="M827" s="9" t="n">
        <x:f>IF(D827="Completed",I827*J827,0)</x:f>
        <x:v>488</x:v>
      </x:c>
      <x:c r="N827" s="9" t="n">
        <x:f>M827*K827</x:f>
        <x:v>0</x:v>
      </x:c>
      <x:c r="O827" s="9" t="n">
        <x:f>M827-N827</x:f>
        <x:v>488</x:v>
      </x:c>
      <x:c r="P827" s="9" t="n">
        <x:f>IF(D827="Completed",L827*J827*(1-K827),0)</x:f>
        <x:v>0</x:v>
      </x:c>
      <x:c r="Q827" s="9" t="n">
        <x:f>O827-P827</x:f>
        <x:v>488</x:v>
      </x:c>
      <x:c r="R827" s="11" t="n">
        <x:f>IF(D827="Completed",I827,0)</x:f>
        <x:v>4</x:v>
      </x:c>
      <x:c r="S827" s="11" t="n">
        <x:f>IF(D827="Completed",L827,0)</x:f>
        <x:v>0</x:v>
      </x:c>
      <x:c r="T827" s="8" t="n">
        <x:f>DATE(YEAR(C827),MONTH(C827),1)</x:f>
        <x:v>45839</x:v>
      </x:c>
    </x:row>
    <x:row r="828" ht="22" customHeight="1">
      <x:c r="A828" s="2" t="str">
        <x:v>L000824</x:v>
      </x:c>
      <x:c r="B828" s="2" t="str">
        <x:v>O00338</x:v>
      </x:c>
      <x:c r="C828" s="7" t="n">
        <x:v>45843</x:v>
      </x:c>
      <x:c r="D828" s="2" t="str">
        <x:v>Completed</x:v>
      </x:c>
      <x:c r="E828" s="2" t="str">
        <x:v>East</x:v>
      </x:c>
      <x:c r="F828" s="2" t="str">
        <x:v>Online</x:v>
      </x:c>
      <x:c r="G828" s="2" t="str">
        <x:v>Furniture</x:v>
      </x:c>
      <x:c r="H828" s="2" t="str">
        <x:v>Chair 018</x:v>
      </x:c>
      <x:c r="I828" s="11" t="n">
        <x:v>1</x:v>
      </x:c>
      <x:c r="J828" s="9" t="n">
        <x:v>269</x:v>
      </x:c>
      <x:c r="K828" s="10" t="n">
        <x:v>0.05</x:v>
      </x:c>
      <x:c r="L828" s="11" t="n">
        <x:v>0</x:v>
      </x:c>
      <x:c r="M828" s="9" t="n">
        <x:f>IF(D828="Completed",I828*J828,0)</x:f>
        <x:v>269</x:v>
      </x:c>
      <x:c r="N828" s="9" t="n">
        <x:f>M828*K828</x:f>
        <x:v>13.450000000000001</x:v>
      </x:c>
      <x:c r="O828" s="9" t="n">
        <x:f>M828-N828</x:f>
        <x:v>255.55</x:v>
      </x:c>
      <x:c r="P828" s="9" t="n">
        <x:f>IF(D828="Completed",L828*J828*(1-K828),0)</x:f>
        <x:v>0</x:v>
      </x:c>
      <x:c r="Q828" s="9" t="n">
        <x:f>O828-P828</x:f>
        <x:v>255.55</x:v>
      </x:c>
      <x:c r="R828" s="11" t="n">
        <x:f>IF(D828="Completed",I828,0)</x:f>
        <x:v>1</x:v>
      </x:c>
      <x:c r="S828" s="11" t="n">
        <x:f>IF(D828="Completed",L828,0)</x:f>
        <x:v>0</x:v>
      </x:c>
      <x:c r="T828" s="8" t="n">
        <x:f>DATE(YEAR(C828),MONTH(C828),1)</x:f>
        <x:v>45839</x:v>
      </x:c>
    </x:row>
    <x:row r="829" ht="22" customHeight="1">
      <x:c r="A829" s="2" t="str">
        <x:v>L000825</x:v>
      </x:c>
      <x:c r="B829" s="2" t="str">
        <x:v>O00338</x:v>
      </x:c>
      <x:c r="C829" s="7" t="n">
        <x:v>45843</x:v>
      </x:c>
      <x:c r="D829" s="2" t="str">
        <x:v>Completed</x:v>
      </x:c>
      <x:c r="E829" s="2" t="str">
        <x:v>East</x:v>
      </x:c>
      <x:c r="F829" s="2" t="str">
        <x:v>Online</x:v>
      </x:c>
      <x:c r="G829" s="2" t="str">
        <x:v>Lighting</x:v>
      </x:c>
      <x:c r="H829" s="2" t="str">
        <x:v>Lamp 017</x:v>
      </x:c>
      <x:c r="I829" s="11" t="n">
        <x:v>4</x:v>
      </x:c>
      <x:c r="J829" s="9" t="n">
        <x:v>300</x:v>
      </x:c>
      <x:c r="K829" s="10" t="n">
        <x:v>0.2</x:v>
      </x:c>
      <x:c r="L829" s="11" t="n">
        <x:v>2</x:v>
      </x:c>
      <x:c r="M829" s="9" t="n">
        <x:f>IF(D829="Completed",I829*J829,0)</x:f>
        <x:v>1200</x:v>
      </x:c>
      <x:c r="N829" s="9" t="n">
        <x:f>M829*K829</x:f>
        <x:v>240</x:v>
      </x:c>
      <x:c r="O829" s="9" t="n">
        <x:f>M829-N829</x:f>
        <x:v>960</x:v>
      </x:c>
      <x:c r="P829" s="9" t="n">
        <x:f>IF(D829="Completed",L829*J829*(1-K829),0)</x:f>
        <x:v>480</x:v>
      </x:c>
      <x:c r="Q829" s="9" t="n">
        <x:f>O829-P829</x:f>
        <x:v>480</x:v>
      </x:c>
      <x:c r="R829" s="11" t="n">
        <x:f>IF(D829="Completed",I829,0)</x:f>
        <x:v>4</x:v>
      </x:c>
      <x:c r="S829" s="11" t="n">
        <x:f>IF(D829="Completed",L829,0)</x:f>
        <x:v>2</x:v>
      </x:c>
      <x:c r="T829" s="8" t="n">
        <x:f>DATE(YEAR(C829),MONTH(C829),1)</x:f>
        <x:v>45839</x:v>
      </x:c>
    </x:row>
    <x:row r="830" ht="22" customHeight="1">
      <x:c r="A830" s="2" t="str">
        <x:v>L000826</x:v>
      </x:c>
      <x:c r="B830" s="2" t="str">
        <x:v>O00339</x:v>
      </x:c>
      <x:c r="C830" s="7" t="n">
        <x:v>45752</x:v>
      </x:c>
      <x:c r="D830" s="2" t="str">
        <x:v>Completed</x:v>
      </x:c>
      <x:c r="E830" s="2" t="str">
        <x:v>East</x:v>
      </x:c>
      <x:c r="F830" s="2" t="str">
        <x:v>Online</x:v>
      </x:c>
      <x:c r="G830" s="2" t="str">
        <x:v>Furniture</x:v>
      </x:c>
      <x:c r="H830" s="2" t="str">
        <x:v>Chair 006</x:v>
      </x:c>
      <x:c r="I830" s="11" t="n">
        <x:v>2</x:v>
      </x:c>
      <x:c r="J830" s="9" t="n">
        <x:v>196</x:v>
      </x:c>
      <x:c r="K830" s="10" t="n">
        <x:v>0.1</x:v>
      </x:c>
      <x:c r="L830" s="11" t="n">
        <x:v>0</x:v>
      </x:c>
      <x:c r="M830" s="9" t="n">
        <x:f>IF(D830="Completed",I830*J830,0)</x:f>
        <x:v>392</x:v>
      </x:c>
      <x:c r="N830" s="9" t="n">
        <x:f>M830*K830</x:f>
        <x:v>39.2</x:v>
      </x:c>
      <x:c r="O830" s="9" t="n">
        <x:f>M830-N830</x:f>
        <x:v>352.8</x:v>
      </x:c>
      <x:c r="P830" s="9" t="n">
        <x:f>IF(D830="Completed",L830*J830*(1-K830),0)</x:f>
        <x:v>0</x:v>
      </x:c>
      <x:c r="Q830" s="9" t="n">
        <x:f>O830-P830</x:f>
        <x:v>352.8</x:v>
      </x:c>
      <x:c r="R830" s="11" t="n">
        <x:f>IF(D830="Completed",I830,0)</x:f>
        <x:v>2</x:v>
      </x:c>
      <x:c r="S830" s="11" t="n">
        <x:f>IF(D830="Completed",L830,0)</x:f>
        <x:v>0</x:v>
      </x:c>
      <x:c r="T830" s="8" t="n">
        <x:f>DATE(YEAR(C830),MONTH(C830),1)</x:f>
        <x:v>45748</x:v>
      </x:c>
    </x:row>
    <x:row r="831" ht="22" customHeight="1">
      <x:c r="A831" s="2" t="str">
        <x:v>L000827</x:v>
      </x:c>
      <x:c r="B831" s="2" t="str">
        <x:v>O00340</x:v>
      </x:c>
      <x:c r="C831" s="7" t="n">
        <x:v>45982</x:v>
      </x:c>
      <x:c r="D831" s="2" t="str">
        <x:v>Completed</x:v>
      </x:c>
      <x:c r="E831" s="2" t="str">
        <x:v>North</x:v>
      </x:c>
      <x:c r="F831" s="2" t="str">
        <x:v>Store</x:v>
      </x:c>
      <x:c r="G831" s="2" t="str">
        <x:v>Furniture</x:v>
      </x:c>
      <x:c r="H831" s="2" t="str">
        <x:v>Chair 018</x:v>
      </x:c>
      <x:c r="I831" s="11" t="n">
        <x:v>5</x:v>
      </x:c>
      <x:c r="J831" s="9" t="n">
        <x:v>269</x:v>
      </x:c>
      <x:c r="K831" s="10" t="n">
        <x:v>0</x:v>
      </x:c>
      <x:c r="L831" s="11" t="n">
        <x:v>0</x:v>
      </x:c>
      <x:c r="M831" s="9" t="n">
        <x:f>IF(D831="Completed",I831*J831,0)</x:f>
        <x:v>1345</x:v>
      </x:c>
      <x:c r="N831" s="9" t="n">
        <x:f>M831*K831</x:f>
        <x:v>0</x:v>
      </x:c>
      <x:c r="O831" s="9" t="n">
        <x:f>M831-N831</x:f>
        <x:v>1345</x:v>
      </x:c>
      <x:c r="P831" s="9" t="n">
        <x:f>IF(D831="Completed",L831*J831*(1-K831),0)</x:f>
        <x:v>0</x:v>
      </x:c>
      <x:c r="Q831" s="9" t="n">
        <x:f>O831-P831</x:f>
        <x:v>1345</x:v>
      </x:c>
      <x:c r="R831" s="11" t="n">
        <x:f>IF(D831="Completed",I831,0)</x:f>
        <x:v>5</x:v>
      </x:c>
      <x:c r="S831" s="11" t="n">
        <x:f>IF(D831="Completed",L831,0)</x:f>
        <x:v>0</x:v>
      </x:c>
      <x:c r="T831" s="8" t="n">
        <x:f>DATE(YEAR(C831),MONTH(C831),1)</x:f>
        <x:v>45962</x:v>
      </x:c>
    </x:row>
    <x:row r="832" ht="22" customHeight="1">
      <x:c r="A832" s="2" t="str">
        <x:v>L000828</x:v>
      </x:c>
      <x:c r="B832" s="2" t="str">
        <x:v>O00341</x:v>
      </x:c>
      <x:c r="C832" s="7" t="n">
        <x:v>45858</x:v>
      </x:c>
      <x:c r="D832" s="2" t="str">
        <x:v>Completed</x:v>
      </x:c>
      <x:c r="E832" s="2" t="str">
        <x:v>South</x:v>
      </x:c>
      <x:c r="F832" s="2" t="str">
        <x:v>Store</x:v>
      </x:c>
      <x:c r="G832" s="2" t="str">
        <x:v>Furniture</x:v>
      </x:c>
      <x:c r="H832" s="2" t="str">
        <x:v>Desk 012</x:v>
      </x:c>
      <x:c r="I832" s="11" t="n">
        <x:v>5</x:v>
      </x:c>
      <x:c r="J832" s="9" t="n">
        <x:v>134</x:v>
      </x:c>
      <x:c r="K832" s="10" t="n">
        <x:v>0</x:v>
      </x:c>
      <x:c r="L832" s="11" t="n">
        <x:v>0</x:v>
      </x:c>
      <x:c r="M832" s="9" t="n">
        <x:f>IF(D832="Completed",I832*J832,0)</x:f>
        <x:v>670</x:v>
      </x:c>
      <x:c r="N832" s="9" t="n">
        <x:f>M832*K832</x:f>
        <x:v>0</x:v>
      </x:c>
      <x:c r="O832" s="9" t="n">
        <x:f>M832-N832</x:f>
        <x:v>670</x:v>
      </x:c>
      <x:c r="P832" s="9" t="n">
        <x:f>IF(D832="Completed",L832*J832*(1-K832),0)</x:f>
        <x:v>0</x:v>
      </x:c>
      <x:c r="Q832" s="9" t="n">
        <x:f>O832-P832</x:f>
        <x:v>670</x:v>
      </x:c>
      <x:c r="R832" s="11" t="n">
        <x:f>IF(D832="Completed",I832,0)</x:f>
        <x:v>5</x:v>
      </x:c>
      <x:c r="S832" s="11" t="n">
        <x:f>IF(D832="Completed",L832,0)</x:f>
        <x:v>0</x:v>
      </x:c>
      <x:c r="T832" s="8" t="n">
        <x:f>DATE(YEAR(C832),MONTH(C832),1)</x:f>
        <x:v>45839</x:v>
      </x:c>
    </x:row>
    <x:row r="833" ht="22" customHeight="1">
      <x:c r="A833" s="2" t="str">
        <x:v>L000829</x:v>
      </x:c>
      <x:c r="B833" s="2" t="str">
        <x:v>O00341</x:v>
      </x:c>
      <x:c r="C833" s="7" t="n">
        <x:v>45858</x:v>
      </x:c>
      <x:c r="D833" s="2" t="str">
        <x:v>Completed</x:v>
      </x:c>
      <x:c r="E833" s="2" t="str">
        <x:v>South</x:v>
      </x:c>
      <x:c r="F833" s="2" t="str">
        <x:v>Store</x:v>
      </x:c>
      <x:c r="G833" s="2" t="str">
        <x:v>Furniture</x:v>
      </x:c>
      <x:c r="H833" s="2" t="str">
        <x:v>Desk 004</x:v>
      </x:c>
      <x:c r="I833" s="11" t="n">
        <x:v>4</x:v>
      </x:c>
      <x:c r="J833" s="9" t="n">
        <x:v>123</x:v>
      </x:c>
      <x:c r="K833" s="10" t="n">
        <x:v>0.1</x:v>
      </x:c>
      <x:c r="L833" s="11" t="n">
        <x:v>0</x:v>
      </x:c>
      <x:c r="M833" s="9" t="n">
        <x:f>IF(D833="Completed",I833*J833,0)</x:f>
        <x:v>492</x:v>
      </x:c>
      <x:c r="N833" s="9" t="n">
        <x:f>M833*K833</x:f>
        <x:v>49.2</x:v>
      </x:c>
      <x:c r="O833" s="9" t="n">
        <x:f>M833-N833</x:f>
        <x:v>442.8</x:v>
      </x:c>
      <x:c r="P833" s="9" t="n">
        <x:f>IF(D833="Completed",L833*J833*(1-K833),0)</x:f>
        <x:v>0</x:v>
      </x:c>
      <x:c r="Q833" s="9" t="n">
        <x:f>O833-P833</x:f>
        <x:v>442.8</x:v>
      </x:c>
      <x:c r="R833" s="11" t="n">
        <x:f>IF(D833="Completed",I833,0)</x:f>
        <x:v>4</x:v>
      </x:c>
      <x:c r="S833" s="11" t="n">
        <x:f>IF(D833="Completed",L833,0)</x:f>
        <x:v>0</x:v>
      </x:c>
      <x:c r="T833" s="8" t="n">
        <x:f>DATE(YEAR(C833),MONTH(C833),1)</x:f>
        <x:v>45839</x:v>
      </x:c>
    </x:row>
    <x:row r="834" ht="22" customHeight="1">
      <x:c r="A834" s="2" t="str">
        <x:v>L000830</x:v>
      </x:c>
      <x:c r="B834" s="2" t="str">
        <x:v>O00341</x:v>
      </x:c>
      <x:c r="C834" s="7" t="n">
        <x:v>45858</x:v>
      </x:c>
      <x:c r="D834" s="2" t="str">
        <x:v>Completed</x:v>
      </x:c>
      <x:c r="E834" s="2" t="str">
        <x:v>South</x:v>
      </x:c>
      <x:c r="F834" s="2" t="str">
        <x:v>Store</x:v>
      </x:c>
      <x:c r="G834" s="2" t="str">
        <x:v>Lighting</x:v>
      </x:c>
      <x:c r="H834" s="2" t="str">
        <x:v>Lamp 021</x:v>
      </x:c>
      <x:c r="I834" s="11" t="n">
        <x:v>2</x:v>
      </x:c>
      <x:c r="J834" s="9" t="n">
        <x:v>249</x:v>
      </x:c>
      <x:c r="K834" s="10" t="n">
        <x:v>0</x:v>
      </x:c>
      <x:c r="L834" s="11" t="n">
        <x:v>0</x:v>
      </x:c>
      <x:c r="M834" s="9" t="n">
        <x:f>IF(D834="Completed",I834*J834,0)</x:f>
        <x:v>498</x:v>
      </x:c>
      <x:c r="N834" s="9" t="n">
        <x:f>M834*K834</x:f>
        <x:v>0</x:v>
      </x:c>
      <x:c r="O834" s="9" t="n">
        <x:f>M834-N834</x:f>
        <x:v>498</x:v>
      </x:c>
      <x:c r="P834" s="9" t="n">
        <x:f>IF(D834="Completed",L834*J834*(1-K834),0)</x:f>
        <x:v>0</x:v>
      </x:c>
      <x:c r="Q834" s="9" t="n">
        <x:f>O834-P834</x:f>
        <x:v>498</x:v>
      </x:c>
      <x:c r="R834" s="11" t="n">
        <x:f>IF(D834="Completed",I834,0)</x:f>
        <x:v>2</x:v>
      </x:c>
      <x:c r="S834" s="11" t="n">
        <x:f>IF(D834="Completed",L834,0)</x:f>
        <x:v>0</x:v>
      </x:c>
      <x:c r="T834" s="8" t="n">
        <x:f>DATE(YEAR(C834),MONTH(C834),1)</x:f>
        <x:v>45839</x:v>
      </x:c>
    </x:row>
    <x:row r="835" ht="22" customHeight="1">
      <x:c r="A835" s="2" t="str">
        <x:v>L000831</x:v>
      </x:c>
      <x:c r="B835" s="2" t="str">
        <x:v>O00341</x:v>
      </x:c>
      <x:c r="C835" s="7" t="n">
        <x:v>45858</x:v>
      </x:c>
      <x:c r="D835" s="2" t="str">
        <x:v>Completed</x:v>
      </x:c>
      <x:c r="E835" s="2" t="str">
        <x:v>South</x:v>
      </x:c>
      <x:c r="F835" s="2" t="str">
        <x:v>Store</x:v>
      </x:c>
      <x:c r="G835" s="2" t="str">
        <x:v>Furniture</x:v>
      </x:c>
      <x:c r="H835" s="2" t="str">
        <x:v>Desk 008</x:v>
      </x:c>
      <x:c r="I835" s="11" t="n">
        <x:v>4</x:v>
      </x:c>
      <x:c r="J835" s="9" t="n">
        <x:v>188</x:v>
      </x:c>
      <x:c r="K835" s="10" t="n">
        <x:v>0.1</x:v>
      </x:c>
      <x:c r="L835" s="11" t="n">
        <x:v>0</x:v>
      </x:c>
      <x:c r="M835" s="9" t="n">
        <x:f>IF(D835="Completed",I835*J835,0)</x:f>
        <x:v>752</x:v>
      </x:c>
      <x:c r="N835" s="9" t="n">
        <x:f>M835*K835</x:f>
        <x:v>75.2</x:v>
      </x:c>
      <x:c r="O835" s="9" t="n">
        <x:f>M835-N835</x:f>
        <x:v>676.8</x:v>
      </x:c>
      <x:c r="P835" s="9" t="n">
        <x:f>IF(D835="Completed",L835*J835*(1-K835),0)</x:f>
        <x:v>0</x:v>
      </x:c>
      <x:c r="Q835" s="9" t="n">
        <x:f>O835-P835</x:f>
        <x:v>676.8</x:v>
      </x:c>
      <x:c r="R835" s="11" t="n">
        <x:f>IF(D835="Completed",I835,0)</x:f>
        <x:v>4</x:v>
      </x:c>
      <x:c r="S835" s="11" t="n">
        <x:f>IF(D835="Completed",L835,0)</x:f>
        <x:v>0</x:v>
      </x:c>
      <x:c r="T835" s="8" t="n">
        <x:f>DATE(YEAR(C835),MONTH(C835),1)</x:f>
        <x:v>45839</x:v>
      </x:c>
    </x:row>
    <x:row r="836" ht="22" customHeight="1">
      <x:c r="A836" s="2" t="str">
        <x:v>L000832</x:v>
      </x:c>
      <x:c r="B836" s="2" t="str">
        <x:v>O00342</x:v>
      </x:c>
      <x:c r="C836" s="7" t="n">
        <x:v>45943</x:v>
      </x:c>
      <x:c r="D836" s="2" t="str">
        <x:v>Completed</x:v>
      </x:c>
      <x:c r="E836" s="2" t="str">
        <x:v>South</x:v>
      </x:c>
      <x:c r="F836" s="2" t="str">
        <x:v>Online</x:v>
      </x:c>
      <x:c r="G836" s="2" t="str">
        <x:v>Furniture</x:v>
      </x:c>
      <x:c r="H836" s="2" t="str">
        <x:v>Chair 018</x:v>
      </x:c>
      <x:c r="I836" s="11" t="n">
        <x:v>5</x:v>
      </x:c>
      <x:c r="J836" s="9" t="n">
        <x:v>269</x:v>
      </x:c>
      <x:c r="K836" s="10" t="n">
        <x:v>0</x:v>
      </x:c>
      <x:c r="L836" s="11" t="n">
        <x:v>1</x:v>
      </x:c>
      <x:c r="M836" s="9" t="n">
        <x:f>IF(D836="Completed",I836*J836,0)</x:f>
        <x:v>1345</x:v>
      </x:c>
      <x:c r="N836" s="9" t="n">
        <x:f>M836*K836</x:f>
        <x:v>0</x:v>
      </x:c>
      <x:c r="O836" s="9" t="n">
        <x:f>M836-N836</x:f>
        <x:v>1345</x:v>
      </x:c>
      <x:c r="P836" s="9" t="n">
        <x:f>IF(D836="Completed",L836*J836*(1-K836),0)</x:f>
        <x:v>269</x:v>
      </x:c>
      <x:c r="Q836" s="9" t="n">
        <x:f>O836-P836</x:f>
        <x:v>1076</x:v>
      </x:c>
      <x:c r="R836" s="11" t="n">
        <x:f>IF(D836="Completed",I836,0)</x:f>
        <x:v>5</x:v>
      </x:c>
      <x:c r="S836" s="11" t="n">
        <x:f>IF(D836="Completed",L836,0)</x:f>
        <x:v>1</x:v>
      </x:c>
      <x:c r="T836" s="8" t="n">
        <x:f>DATE(YEAR(C836),MONTH(C836),1)</x:f>
        <x:v>45931</x:v>
      </x:c>
    </x:row>
    <x:row r="837" ht="22" customHeight="1">
      <x:c r="A837" s="2" t="str">
        <x:v>L000833</x:v>
      </x:c>
      <x:c r="B837" s="2" t="str">
        <x:v>O00342</x:v>
      </x:c>
      <x:c r="C837" s="7" t="n">
        <x:v>45943</x:v>
      </x:c>
      <x:c r="D837" s="2" t="str">
        <x:v>Completed</x:v>
      </x:c>
      <x:c r="E837" s="2" t="str">
        <x:v>South</x:v>
      </x:c>
      <x:c r="F837" s="2" t="str">
        <x:v>Online</x:v>
      </x:c>
      <x:c r="G837" s="2" t="str">
        <x:v>Lighting</x:v>
      </x:c>
      <x:c r="H837" s="2" t="str">
        <x:v>Lamp 005</x:v>
      </x:c>
      <x:c r="I837" s="11" t="n">
        <x:v>5</x:v>
      </x:c>
      <x:c r="J837" s="9" t="n">
        <x:v>65</x:v>
      </x:c>
      <x:c r="K837" s="10" t="n">
        <x:v>0.1</x:v>
      </x:c>
      <x:c r="L837" s="11" t="n">
        <x:v>0</x:v>
      </x:c>
      <x:c r="M837" s="9" t="n">
        <x:f>IF(D837="Completed",I837*J837,0)</x:f>
        <x:v>325</x:v>
      </x:c>
      <x:c r="N837" s="9" t="n">
        <x:f>M837*K837</x:f>
        <x:v>32.5</x:v>
      </x:c>
      <x:c r="O837" s="9" t="n">
        <x:f>M837-N837</x:f>
        <x:v>292.5</x:v>
      </x:c>
      <x:c r="P837" s="9" t="n">
        <x:f>IF(D837="Completed",L837*J837*(1-K837),0)</x:f>
        <x:v>0</x:v>
      </x:c>
      <x:c r="Q837" s="9" t="n">
        <x:f>O837-P837</x:f>
        <x:v>292.5</x:v>
      </x:c>
      <x:c r="R837" s="11" t="n">
        <x:f>IF(D837="Completed",I837,0)</x:f>
        <x:v>5</x:v>
      </x:c>
      <x:c r="S837" s="11" t="n">
        <x:f>IF(D837="Completed",L837,0)</x:f>
        <x:v>0</x:v>
      </x:c>
      <x:c r="T837" s="8" t="n">
        <x:f>DATE(YEAR(C837),MONTH(C837),1)</x:f>
        <x:v>45931</x:v>
      </x:c>
    </x:row>
    <x:row r="838" ht="22" customHeight="1">
      <x:c r="A838" s="2" t="str">
        <x:v>L000834</x:v>
      </x:c>
      <x:c r="B838" s="2" t="str">
        <x:v>O00342</x:v>
      </x:c>
      <x:c r="C838" s="7" t="n">
        <x:v>45943</x:v>
      </x:c>
      <x:c r="D838" s="2" t="str">
        <x:v>Completed</x:v>
      </x:c>
      <x:c r="E838" s="2" t="str">
        <x:v>South</x:v>
      </x:c>
      <x:c r="F838" s="2" t="str">
        <x:v>Online</x:v>
      </x:c>
      <x:c r="G838" s="2" t="str">
        <x:v>Furniture</x:v>
      </x:c>
      <x:c r="H838" s="2" t="str">
        <x:v>Chair 022</x:v>
      </x:c>
      <x:c r="I838" s="11" t="n">
        <x:v>1</x:v>
      </x:c>
      <x:c r="J838" s="9" t="n">
        <x:v>134</x:v>
      </x:c>
      <x:c r="K838" s="10" t="n">
        <x:v>0</x:v>
      </x:c>
      <x:c r="L838" s="11" t="n">
        <x:v>0</x:v>
      </x:c>
      <x:c r="M838" s="9" t="n">
        <x:f>IF(D838="Completed",I838*J838,0)</x:f>
        <x:v>134</x:v>
      </x:c>
      <x:c r="N838" s="9" t="n">
        <x:f>M838*K838</x:f>
        <x:v>0</x:v>
      </x:c>
      <x:c r="O838" s="9" t="n">
        <x:f>M838-N838</x:f>
        <x:v>134</x:v>
      </x:c>
      <x:c r="P838" s="9" t="n">
        <x:f>IF(D838="Completed",L838*J838*(1-K838),0)</x:f>
        <x:v>0</x:v>
      </x:c>
      <x:c r="Q838" s="9" t="n">
        <x:f>O838-P838</x:f>
        <x:v>134</x:v>
      </x:c>
      <x:c r="R838" s="11" t="n">
        <x:f>IF(D838="Completed",I838,0)</x:f>
        <x:v>1</x:v>
      </x:c>
      <x:c r="S838" s="11" t="n">
        <x:f>IF(D838="Completed",L838,0)</x:f>
        <x:v>0</x:v>
      </x:c>
      <x:c r="T838" s="8" t="n">
        <x:f>DATE(YEAR(C838),MONTH(C838),1)</x:f>
        <x:v>45931</x:v>
      </x:c>
    </x:row>
    <x:row r="839" ht="22" customHeight="1">
      <x:c r="A839" s="2" t="str">
        <x:v>L000835</x:v>
      </x:c>
      <x:c r="B839" s="2" t="str">
        <x:v>O00342</x:v>
      </x:c>
      <x:c r="C839" s="7" t="n">
        <x:v>45943</x:v>
      </x:c>
      <x:c r="D839" s="2" t="str">
        <x:v>Completed</x:v>
      </x:c>
      <x:c r="E839" s="2" t="str">
        <x:v>South</x:v>
      </x:c>
      <x:c r="F839" s="2" t="str">
        <x:v>Online</x:v>
      </x:c>
      <x:c r="G839" s="2" t="str">
        <x:v>Furniture</x:v>
      </x:c>
      <x:c r="H839" s="2" t="str">
        <x:v>Desk 020</x:v>
      </x:c>
      <x:c r="I839" s="11" t="n">
        <x:v>2</x:v>
      </x:c>
      <x:c r="J839" s="9" t="n">
        <x:v>189</x:v>
      </x:c>
      <x:c r="K839" s="10" t="n">
        <x:v>0.05</x:v>
      </x:c>
      <x:c r="L839" s="11" t="n">
        <x:v>0</x:v>
      </x:c>
      <x:c r="M839" s="9" t="n">
        <x:f>IF(D839="Completed",I839*J839,0)</x:f>
        <x:v>378</x:v>
      </x:c>
      <x:c r="N839" s="9" t="n">
        <x:f>M839*K839</x:f>
        <x:v>18.900000000000002</x:v>
      </x:c>
      <x:c r="O839" s="9" t="n">
        <x:f>M839-N839</x:f>
        <x:v>359.1</x:v>
      </x:c>
      <x:c r="P839" s="9" t="n">
        <x:f>IF(D839="Completed",L839*J839*(1-K839),0)</x:f>
        <x:v>0</x:v>
      </x:c>
      <x:c r="Q839" s="9" t="n">
        <x:f>O839-P839</x:f>
        <x:v>359.1</x:v>
      </x:c>
      <x:c r="R839" s="11" t="n">
        <x:f>IF(D839="Completed",I839,0)</x:f>
        <x:v>2</x:v>
      </x:c>
      <x:c r="S839" s="11" t="n">
        <x:f>IF(D839="Completed",L839,0)</x:f>
        <x:v>0</x:v>
      </x:c>
      <x:c r="T839" s="8" t="n">
        <x:f>DATE(YEAR(C839),MONTH(C839),1)</x:f>
        <x:v>45931</x:v>
      </x:c>
    </x:row>
    <x:row r="840" ht="22" customHeight="1">
      <x:c r="A840" s="2" t="str">
        <x:v>L000836</x:v>
      </x:c>
      <x:c r="B840" s="2" t="str">
        <x:v>O00343</x:v>
      </x:c>
      <x:c r="C840" s="7" t="n">
        <x:v>45975</x:v>
      </x:c>
      <x:c r="D840" s="2" t="str">
        <x:v>Cancelled</x:v>
      </x:c>
      <x:c r="E840" s="2" t="str">
        <x:v>West</x:v>
      </x:c>
      <x:c r="F840" s="2" t="str">
        <x:v>Store</x:v>
      </x:c>
      <x:c r="G840" s="2" t="str">
        <x:v>Storage</x:v>
      </x:c>
      <x:c r="H840" s="2" t="str">
        <x:v>Shelf 015</x:v>
      </x:c>
      <x:c r="I840" s="11" t="n">
        <x:v>1</x:v>
      </x:c>
      <x:c r="J840" s="9" t="n">
        <x:v>254</x:v>
      </x:c>
      <x:c r="K840" s="10" t="n">
        <x:v>0.05</x:v>
      </x:c>
      <x:c r="L840" s="11" t="n">
        <x:v>0</x:v>
      </x:c>
      <x:c r="M840" s="9" t="n">
        <x:f>IF(D840="Completed",I840*J840,0)</x:f>
        <x:v>0</x:v>
      </x:c>
      <x:c r="N840" s="9" t="n">
        <x:f>M840*K840</x:f>
        <x:v>0</x:v>
      </x:c>
      <x:c r="O840" s="9" t="n">
        <x:f>M840-N840</x:f>
        <x:v>0</x:v>
      </x:c>
      <x:c r="P840" s="9" t="n">
        <x:f>IF(D840="Completed",L840*J840*(1-K840),0)</x:f>
        <x:v>0</x:v>
      </x:c>
      <x:c r="Q840" s="9" t="n">
        <x:f>O840-P840</x:f>
        <x:v>0</x:v>
      </x:c>
      <x:c r="R840" s="11" t="n">
        <x:f>IF(D840="Completed",I840,0)</x:f>
        <x:v>0</x:v>
      </x:c>
      <x:c r="S840" s="11" t="n">
        <x:f>IF(D840="Completed",L840,0)</x:f>
        <x:v>0</x:v>
      </x:c>
      <x:c r="T840" s="8" t="n">
        <x:f>DATE(YEAR(C840),MONTH(C840),1)</x:f>
        <x:v>45962</x:v>
      </x:c>
    </x:row>
    <x:row r="841" ht="22" customHeight="1">
      <x:c r="A841" s="2" t="str">
        <x:v>L000837</x:v>
      </x:c>
      <x:c r="B841" s="2" t="str">
        <x:v>O00343</x:v>
      </x:c>
      <x:c r="C841" s="7" t="n">
        <x:v>45975</x:v>
      </x:c>
      <x:c r="D841" s="2" t="str">
        <x:v>Cancelled</x:v>
      </x:c>
      <x:c r="E841" s="2" t="str">
        <x:v>West</x:v>
      </x:c>
      <x:c r="F841" s="2" t="str">
        <x:v>Store</x:v>
      </x:c>
      <x:c r="G841" s="2" t="str">
        <x:v>Storage</x:v>
      </x:c>
      <x:c r="H841" s="2" t="str">
        <x:v>Shelf 015</x:v>
      </x:c>
      <x:c r="I841" s="11" t="n">
        <x:v>5</x:v>
      </x:c>
      <x:c r="J841" s="9" t="n">
        <x:v>254</x:v>
      </x:c>
      <x:c r="K841" s="10" t="n">
        <x:v>0.2</x:v>
      </x:c>
      <x:c r="L841" s="11" t="n">
        <x:v>0</x:v>
      </x:c>
      <x:c r="M841" s="9" t="n">
        <x:f>IF(D841="Completed",I841*J841,0)</x:f>
        <x:v>0</x:v>
      </x:c>
      <x:c r="N841" s="9" t="n">
        <x:f>M841*K841</x:f>
        <x:v>0</x:v>
      </x:c>
      <x:c r="O841" s="9" t="n">
        <x:f>M841-N841</x:f>
        <x:v>0</x:v>
      </x:c>
      <x:c r="P841" s="9" t="n">
        <x:f>IF(D841="Completed",L841*J841*(1-K841),0)</x:f>
        <x:v>0</x:v>
      </x:c>
      <x:c r="Q841" s="9" t="n">
        <x:f>O841-P841</x:f>
        <x:v>0</x:v>
      </x:c>
      <x:c r="R841" s="11" t="n">
        <x:f>IF(D841="Completed",I841,0)</x:f>
        <x:v>0</x:v>
      </x:c>
      <x:c r="S841" s="11" t="n">
        <x:f>IF(D841="Completed",L841,0)</x:f>
        <x:v>0</x:v>
      </x:c>
      <x:c r="T841" s="8" t="n">
        <x:f>DATE(YEAR(C841),MONTH(C841),1)</x:f>
        <x:v>45962</x:v>
      </x:c>
    </x:row>
    <x:row r="842" ht="22" customHeight="1">
      <x:c r="A842" s="2" t="str">
        <x:v>L000838</x:v>
      </x:c>
      <x:c r="B842" s="2" t="str">
        <x:v>O00343</x:v>
      </x:c>
      <x:c r="C842" s="7" t="n">
        <x:v>45975</x:v>
      </x:c>
      <x:c r="D842" s="2" t="str">
        <x:v>Cancelled</x:v>
      </x:c>
      <x:c r="E842" s="2" t="str">
        <x:v>West</x:v>
      </x:c>
      <x:c r="F842" s="2" t="str">
        <x:v>Store</x:v>
      </x:c>
      <x:c r="G842" s="2" t="str">
        <x:v>Furniture</x:v>
      </x:c>
      <x:c r="H842" s="2" t="str">
        <x:v>Desk 012</x:v>
      </x:c>
      <x:c r="I842" s="11" t="n">
        <x:v>1</x:v>
      </x:c>
      <x:c r="J842" s="9" t="n">
        <x:v>134</x:v>
      </x:c>
      <x:c r="K842" s="10" t="n">
        <x:v>0.1</x:v>
      </x:c>
      <x:c r="L842" s="11" t="n">
        <x:v>0</x:v>
      </x:c>
      <x:c r="M842" s="9" t="n">
        <x:f>IF(D842="Completed",I842*J842,0)</x:f>
        <x:v>0</x:v>
      </x:c>
      <x:c r="N842" s="9" t="n">
        <x:f>M842*K842</x:f>
        <x:v>0</x:v>
      </x:c>
      <x:c r="O842" s="9" t="n">
        <x:f>M842-N842</x:f>
        <x:v>0</x:v>
      </x:c>
      <x:c r="P842" s="9" t="n">
        <x:f>IF(D842="Completed",L842*J842*(1-K842),0)</x:f>
        <x:v>0</x:v>
      </x:c>
      <x:c r="Q842" s="9" t="n">
        <x:f>O842-P842</x:f>
        <x:v>0</x:v>
      </x:c>
      <x:c r="R842" s="11" t="n">
        <x:f>IF(D842="Completed",I842,0)</x:f>
        <x:v>0</x:v>
      </x:c>
      <x:c r="S842" s="11" t="n">
        <x:f>IF(D842="Completed",L842,0)</x:f>
        <x:v>0</x:v>
      </x:c>
      <x:c r="T842" s="8" t="n">
        <x:f>DATE(YEAR(C842),MONTH(C842),1)</x:f>
        <x:v>45962</x:v>
      </x:c>
    </x:row>
    <x:row r="843" ht="22" customHeight="1">
      <x:c r="A843" s="2" t="str">
        <x:v>L000839</x:v>
      </x:c>
      <x:c r="B843" s="2" t="str">
        <x:v>O00343</x:v>
      </x:c>
      <x:c r="C843" s="7" t="n">
        <x:v>45975</x:v>
      </x:c>
      <x:c r="D843" s="2" t="str">
        <x:v>Cancelled</x:v>
      </x:c>
      <x:c r="E843" s="2" t="str">
        <x:v>West</x:v>
      </x:c>
      <x:c r="F843" s="2" t="str">
        <x:v>Store</x:v>
      </x:c>
      <x:c r="G843" s="2" t="str">
        <x:v>Storage</x:v>
      </x:c>
      <x:c r="H843" s="2" t="str">
        <x:v>Shelf 015</x:v>
      </x:c>
      <x:c r="I843" s="11" t="n">
        <x:v>5</x:v>
      </x:c>
      <x:c r="J843" s="9" t="n">
        <x:v>254</x:v>
      </x:c>
      <x:c r="K843" s="10" t="n">
        <x:v>0.1</x:v>
      </x:c>
      <x:c r="L843" s="11" t="n">
        <x:v>0</x:v>
      </x:c>
      <x:c r="M843" s="9" t="n">
        <x:f>IF(D843="Completed",I843*J843,0)</x:f>
        <x:v>0</x:v>
      </x:c>
      <x:c r="N843" s="9" t="n">
        <x:f>M843*K843</x:f>
        <x:v>0</x:v>
      </x:c>
      <x:c r="O843" s="9" t="n">
        <x:f>M843-N843</x:f>
        <x:v>0</x:v>
      </x:c>
      <x:c r="P843" s="9" t="n">
        <x:f>IF(D843="Completed",L843*J843*(1-K843),0)</x:f>
        <x:v>0</x:v>
      </x:c>
      <x:c r="Q843" s="9" t="n">
        <x:f>O843-P843</x:f>
        <x:v>0</x:v>
      </x:c>
      <x:c r="R843" s="11" t="n">
        <x:f>IF(D843="Completed",I843,0)</x:f>
        <x:v>0</x:v>
      </x:c>
      <x:c r="S843" s="11" t="n">
        <x:f>IF(D843="Completed",L843,0)</x:f>
        <x:v>0</x:v>
      </x:c>
      <x:c r="T843" s="8" t="n">
        <x:f>DATE(YEAR(C843),MONTH(C843),1)</x:f>
        <x:v>45962</x:v>
      </x:c>
    </x:row>
    <x:row r="844" ht="22" customHeight="1">
      <x:c r="A844" s="2" t="str">
        <x:v>L000840</x:v>
      </x:c>
      <x:c r="B844" s="2" t="str">
        <x:v>O00344</x:v>
      </x:c>
      <x:c r="C844" s="7" t="n">
        <x:v>45833</x:v>
      </x:c>
      <x:c r="D844" s="2" t="str">
        <x:v>Completed</x:v>
      </x:c>
      <x:c r="E844" s="2" t="str">
        <x:v>South</x:v>
      </x:c>
      <x:c r="F844" s="2" t="str">
        <x:v>Online</x:v>
      </x:c>
      <x:c r="G844" s="2" t="str">
        <x:v>Furniture</x:v>
      </x:c>
      <x:c r="H844" s="2" t="str">
        <x:v>Chair 002</x:v>
      </x:c>
      <x:c r="I844" s="11" t="n">
        <x:v>1</x:v>
      </x:c>
      <x:c r="J844" s="9" t="n">
        <x:v>284</x:v>
      </x:c>
      <x:c r="K844" s="10" t="n">
        <x:v>0.05</x:v>
      </x:c>
      <x:c r="L844" s="11" t="n">
        <x:v>0</x:v>
      </x:c>
      <x:c r="M844" s="9" t="n">
        <x:f>IF(D844="Completed",I844*J844,0)</x:f>
        <x:v>284</x:v>
      </x:c>
      <x:c r="N844" s="9" t="n">
        <x:f>M844*K844</x:f>
        <x:v>14.200000000000001</x:v>
      </x:c>
      <x:c r="O844" s="9" t="n">
        <x:f>M844-N844</x:f>
        <x:v>269.8</x:v>
      </x:c>
      <x:c r="P844" s="9" t="n">
        <x:f>IF(D844="Completed",L844*J844*(1-K844),0)</x:f>
        <x:v>0</x:v>
      </x:c>
      <x:c r="Q844" s="9" t="n">
        <x:f>O844-P844</x:f>
        <x:v>269.8</x:v>
      </x:c>
      <x:c r="R844" s="11" t="n">
        <x:f>IF(D844="Completed",I844,0)</x:f>
        <x:v>1</x:v>
      </x:c>
      <x:c r="S844" s="11" t="n">
        <x:f>IF(D844="Completed",L844,0)</x:f>
        <x:v>0</x:v>
      </x:c>
      <x:c r="T844" s="8" t="n">
        <x:f>DATE(YEAR(C844),MONTH(C844),1)</x:f>
        <x:v>45809</x:v>
      </x:c>
    </x:row>
    <x:row r="845" ht="22" customHeight="1">
      <x:c r="A845" s="2" t="str">
        <x:v>L000841</x:v>
      </x:c>
      <x:c r="B845" s="2" t="str">
        <x:v>O00345</x:v>
      </x:c>
      <x:c r="C845" s="7" t="n">
        <x:v>45817</x:v>
      </x:c>
      <x:c r="D845" s="2" t="str">
        <x:v>Completed</x:v>
      </x:c>
      <x:c r="E845" s="2" t="str">
        <x:v>West</x:v>
      </x:c>
      <x:c r="F845" s="2" t="str">
        <x:v>Store</x:v>
      </x:c>
      <x:c r="G845" s="2" t="str">
        <x:v>Furniture</x:v>
      </x:c>
      <x:c r="H845" s="2" t="str">
        <x:v>Desk 016</x:v>
      </x:c>
      <x:c r="I845" s="11" t="n">
        <x:v>2</x:v>
      </x:c>
      <x:c r="J845" s="9" t="n">
        <x:v>231</x:v>
      </x:c>
      <x:c r="K845" s="10" t="n">
        <x:v>0.1</x:v>
      </x:c>
      <x:c r="L845" s="11" t="n">
        <x:v>0</x:v>
      </x:c>
      <x:c r="M845" s="9" t="n">
        <x:f>IF(D845="Completed",I845*J845,0)</x:f>
        <x:v>462</x:v>
      </x:c>
      <x:c r="N845" s="9" t="n">
        <x:f>M845*K845</x:f>
        <x:v>46.2</x:v>
      </x:c>
      <x:c r="O845" s="9" t="n">
        <x:f>M845-N845</x:f>
        <x:v>415.8</x:v>
      </x:c>
      <x:c r="P845" s="9" t="n">
        <x:f>IF(D845="Completed",L845*J845*(1-K845),0)</x:f>
        <x:v>0</x:v>
      </x:c>
      <x:c r="Q845" s="9" t="n">
        <x:f>O845-P845</x:f>
        <x:v>415.8</x:v>
      </x:c>
      <x:c r="R845" s="11" t="n">
        <x:f>IF(D845="Completed",I845,0)</x:f>
        <x:v>2</x:v>
      </x:c>
      <x:c r="S845" s="11" t="n">
        <x:f>IF(D845="Completed",L845,0)</x:f>
        <x:v>0</x:v>
      </x:c>
      <x:c r="T845" s="8" t="n">
        <x:f>DATE(YEAR(C845),MONTH(C845),1)</x:f>
        <x:v>45809</x:v>
      </x:c>
    </x:row>
    <x:row r="846" ht="22" customHeight="1">
      <x:c r="A846" s="2" t="str">
        <x:v>L000842</x:v>
      </x:c>
      <x:c r="B846" s="2" t="str">
        <x:v>O00345</x:v>
      </x:c>
      <x:c r="C846" s="7" t="n">
        <x:v>45817</x:v>
      </x:c>
      <x:c r="D846" s="2" t="str">
        <x:v>Completed</x:v>
      </x:c>
      <x:c r="E846" s="2" t="str">
        <x:v>West</x:v>
      </x:c>
      <x:c r="F846" s="2" t="str">
        <x:v>Store</x:v>
      </x:c>
      <x:c r="G846" s="2" t="str">
        <x:v>Lighting</x:v>
      </x:c>
      <x:c r="H846" s="2" t="str">
        <x:v>Lamp 009</x:v>
      </x:c>
      <x:c r="I846" s="11" t="n">
        <x:v>1</x:v>
      </x:c>
      <x:c r="J846" s="9" t="n">
        <x:v>93</x:v>
      </x:c>
      <x:c r="K846" s="10" t="n">
        <x:v>0</x:v>
      </x:c>
      <x:c r="L846" s="11" t="n">
        <x:v>1</x:v>
      </x:c>
      <x:c r="M846" s="9" t="n">
        <x:f>IF(D846="Completed",I846*J846,0)</x:f>
        <x:v>93</x:v>
      </x:c>
      <x:c r="N846" s="9" t="n">
        <x:f>M846*K846</x:f>
        <x:v>0</x:v>
      </x:c>
      <x:c r="O846" s="9" t="n">
        <x:f>M846-N846</x:f>
        <x:v>93</x:v>
      </x:c>
      <x:c r="P846" s="9" t="n">
        <x:f>IF(D846="Completed",L846*J846*(1-K846),0)</x:f>
        <x:v>93</x:v>
      </x:c>
      <x:c r="Q846" s="9" t="n">
        <x:f>O846-P846</x:f>
        <x:v>0</x:v>
      </x:c>
      <x:c r="R846" s="11" t="n">
        <x:f>IF(D846="Completed",I846,0)</x:f>
        <x:v>1</x:v>
      </x:c>
      <x:c r="S846" s="11" t="n">
        <x:f>IF(D846="Completed",L846,0)</x:f>
        <x:v>1</x:v>
      </x:c>
      <x:c r="T846" s="8" t="n">
        <x:f>DATE(YEAR(C846),MONTH(C846),1)</x:f>
        <x:v>45809</x:v>
      </x:c>
    </x:row>
    <x:row r="847" ht="22" customHeight="1">
      <x:c r="A847" s="2" t="str">
        <x:v>L000843</x:v>
      </x:c>
      <x:c r="B847" s="2" t="str">
        <x:v>O00345</x:v>
      </x:c>
      <x:c r="C847" s="7" t="n">
        <x:v>45817</x:v>
      </x:c>
      <x:c r="D847" s="2" t="str">
        <x:v>Completed</x:v>
      </x:c>
      <x:c r="E847" s="2" t="str">
        <x:v>West</x:v>
      </x:c>
      <x:c r="F847" s="2" t="str">
        <x:v>Store</x:v>
      </x:c>
      <x:c r="G847" s="2" t="str">
        <x:v>Furniture</x:v>
      </x:c>
      <x:c r="H847" s="2" t="str">
        <x:v>Chair 010</x:v>
      </x:c>
      <x:c r="I847" s="11" t="n">
        <x:v>2</x:v>
      </x:c>
      <x:c r="J847" s="9" t="n">
        <x:v>211</x:v>
      </x:c>
      <x:c r="K847" s="10" t="n">
        <x:v>0</x:v>
      </x:c>
      <x:c r="L847" s="11" t="n">
        <x:v>0</x:v>
      </x:c>
      <x:c r="M847" s="9" t="n">
        <x:f>IF(D847="Completed",I847*J847,0)</x:f>
        <x:v>422</x:v>
      </x:c>
      <x:c r="N847" s="9" t="n">
        <x:f>M847*K847</x:f>
        <x:v>0</x:v>
      </x:c>
      <x:c r="O847" s="9" t="n">
        <x:f>M847-N847</x:f>
        <x:v>422</x:v>
      </x:c>
      <x:c r="P847" s="9" t="n">
        <x:f>IF(D847="Completed",L847*J847*(1-K847),0)</x:f>
        <x:v>0</x:v>
      </x:c>
      <x:c r="Q847" s="9" t="n">
        <x:f>O847-P847</x:f>
        <x:v>422</x:v>
      </x:c>
      <x:c r="R847" s="11" t="n">
        <x:f>IF(D847="Completed",I847,0)</x:f>
        <x:v>2</x:v>
      </x:c>
      <x:c r="S847" s="11" t="n">
        <x:f>IF(D847="Completed",L847,0)</x:f>
        <x:v>0</x:v>
      </x:c>
      <x:c r="T847" s="8" t="n">
        <x:f>DATE(YEAR(C847),MONTH(C847),1)</x:f>
        <x:v>45809</x:v>
      </x:c>
    </x:row>
    <x:row r="848" ht="22" customHeight="1">
      <x:c r="A848" s="2" t="str">
        <x:v>L000844</x:v>
      </x:c>
      <x:c r="B848" s="2" t="str">
        <x:v>O00346</x:v>
      </x:c>
      <x:c r="C848" s="7" t="n">
        <x:v>45987</x:v>
      </x:c>
      <x:c r="D848" s="2" t="str">
        <x:v>Cancelled</x:v>
      </x:c>
      <x:c r="E848" s="2" t="str">
        <x:v>East</x:v>
      </x:c>
      <x:c r="F848" s="2" t="str">
        <x:v>Store</x:v>
      </x:c>
      <x:c r="G848" s="2" t="str">
        <x:v>Storage</x:v>
      </x:c>
      <x:c r="H848" s="2" t="str">
        <x:v>Shelf 023</x:v>
      </x:c>
      <x:c r="I848" s="11" t="n">
        <x:v>4</x:v>
      </x:c>
      <x:c r="J848" s="9" t="n">
        <x:v>68</x:v>
      </x:c>
      <x:c r="K848" s="10" t="n">
        <x:v>0.05</x:v>
      </x:c>
      <x:c r="L848" s="11" t="n">
        <x:v>0</x:v>
      </x:c>
      <x:c r="M848" s="9" t="n">
        <x:f>IF(D848="Completed",I848*J848,0)</x:f>
        <x:v>0</x:v>
      </x:c>
      <x:c r="N848" s="9" t="n">
        <x:f>M848*K848</x:f>
        <x:v>0</x:v>
      </x:c>
      <x:c r="O848" s="9" t="n">
        <x:f>M848-N848</x:f>
        <x:v>0</x:v>
      </x:c>
      <x:c r="P848" s="9" t="n">
        <x:f>IF(D848="Completed",L848*J848*(1-K848),0)</x:f>
        <x:v>0</x:v>
      </x:c>
      <x:c r="Q848" s="9" t="n">
        <x:f>O848-P848</x:f>
        <x:v>0</x:v>
      </x:c>
      <x:c r="R848" s="11" t="n">
        <x:f>IF(D848="Completed",I848,0)</x:f>
        <x:v>0</x:v>
      </x:c>
      <x:c r="S848" s="11" t="n">
        <x:f>IF(D848="Completed",L848,0)</x:f>
        <x:v>0</x:v>
      </x:c>
      <x:c r="T848" s="8" t="n">
        <x:f>DATE(YEAR(C848),MONTH(C848),1)</x:f>
        <x:v>45962</x:v>
      </x:c>
    </x:row>
    <x:row r="849" ht="22" customHeight="1">
      <x:c r="A849" s="2" t="str">
        <x:v>L000845</x:v>
      </x:c>
      <x:c r="B849" s="2" t="str">
        <x:v>O00346</x:v>
      </x:c>
      <x:c r="C849" s="7" t="n">
        <x:v>45987</x:v>
      </x:c>
      <x:c r="D849" s="2" t="str">
        <x:v>Cancelled</x:v>
      </x:c>
      <x:c r="E849" s="2" t="str">
        <x:v>East</x:v>
      </x:c>
      <x:c r="F849" s="2" t="str">
        <x:v>Store</x:v>
      </x:c>
      <x:c r="G849" s="2" t="str">
        <x:v>Furniture</x:v>
      </x:c>
      <x:c r="H849" s="2" t="str">
        <x:v>Desk 004</x:v>
      </x:c>
      <x:c r="I849" s="11" t="n">
        <x:v>5</x:v>
      </x:c>
      <x:c r="J849" s="9" t="n">
        <x:v>123</x:v>
      </x:c>
      <x:c r="K849" s="10" t="n">
        <x:v>0.05</x:v>
      </x:c>
      <x:c r="L849" s="11" t="n">
        <x:v>0</x:v>
      </x:c>
      <x:c r="M849" s="9" t="n">
        <x:f>IF(D849="Completed",I849*J849,0)</x:f>
        <x:v>0</x:v>
      </x:c>
      <x:c r="N849" s="9" t="n">
        <x:f>M849*K849</x:f>
        <x:v>0</x:v>
      </x:c>
      <x:c r="O849" s="9" t="n">
        <x:f>M849-N849</x:f>
        <x:v>0</x:v>
      </x:c>
      <x:c r="P849" s="9" t="n">
        <x:f>IF(D849="Completed",L849*J849*(1-K849),0)</x:f>
        <x:v>0</x:v>
      </x:c>
      <x:c r="Q849" s="9" t="n">
        <x:f>O849-P849</x:f>
        <x:v>0</x:v>
      </x:c>
      <x:c r="R849" s="11" t="n">
        <x:f>IF(D849="Completed",I849,0)</x:f>
        <x:v>0</x:v>
      </x:c>
      <x:c r="S849" s="11" t="n">
        <x:f>IF(D849="Completed",L849,0)</x:f>
        <x:v>0</x:v>
      </x:c>
      <x:c r="T849" s="8" t="n">
        <x:f>DATE(YEAR(C849),MONTH(C849),1)</x:f>
        <x:v>45962</x:v>
      </x:c>
    </x:row>
    <x:row r="850" ht="22" customHeight="1">
      <x:c r="A850" s="2" t="str">
        <x:v>L000846</x:v>
      </x:c>
      <x:c r="B850" s="2" t="str">
        <x:v>O00346</x:v>
      </x:c>
      <x:c r="C850" s="7" t="n">
        <x:v>45987</x:v>
      </x:c>
      <x:c r="D850" s="2" t="str">
        <x:v>Cancelled</x:v>
      </x:c>
      <x:c r="E850" s="2" t="str">
        <x:v>East</x:v>
      </x:c>
      <x:c r="F850" s="2" t="str">
        <x:v>Store</x:v>
      </x:c>
      <x:c r="G850" s="2" t="str">
        <x:v>Storage</x:v>
      </x:c>
      <x:c r="H850" s="2" t="str">
        <x:v>Shelf 023</x:v>
      </x:c>
      <x:c r="I850" s="11" t="n">
        <x:v>5</x:v>
      </x:c>
      <x:c r="J850" s="9" t="n">
        <x:v>68</x:v>
      </x:c>
      <x:c r="K850" s="10" t="n">
        <x:v>0.2</x:v>
      </x:c>
      <x:c r="L850" s="11" t="n">
        <x:v>0</x:v>
      </x:c>
      <x:c r="M850" s="9" t="n">
        <x:f>IF(D850="Completed",I850*J850,0)</x:f>
        <x:v>0</x:v>
      </x:c>
      <x:c r="N850" s="9" t="n">
        <x:f>M850*K850</x:f>
        <x:v>0</x:v>
      </x:c>
      <x:c r="O850" s="9" t="n">
        <x:f>M850-N850</x:f>
        <x:v>0</x:v>
      </x:c>
      <x:c r="P850" s="9" t="n">
        <x:f>IF(D850="Completed",L850*J850*(1-K850),0)</x:f>
        <x:v>0</x:v>
      </x:c>
      <x:c r="Q850" s="9" t="n">
        <x:f>O850-P850</x:f>
        <x:v>0</x:v>
      </x:c>
      <x:c r="R850" s="11" t="n">
        <x:f>IF(D850="Completed",I850,0)</x:f>
        <x:v>0</x:v>
      </x:c>
      <x:c r="S850" s="11" t="n">
        <x:f>IF(D850="Completed",L850,0)</x:f>
        <x:v>0</x:v>
      </x:c>
      <x:c r="T850" s="8" t="n">
        <x:f>DATE(YEAR(C850),MONTH(C850),1)</x:f>
        <x:v>45962</x:v>
      </x:c>
    </x:row>
    <x:row r="851" ht="22" customHeight="1">
      <x:c r="A851" s="2" t="str">
        <x:v>L000847</x:v>
      </x:c>
      <x:c r="B851" s="2" t="str">
        <x:v>O00346</x:v>
      </x:c>
      <x:c r="C851" s="7" t="n">
        <x:v>45987</x:v>
      </x:c>
      <x:c r="D851" s="2" t="str">
        <x:v>Cancelled</x:v>
      </x:c>
      <x:c r="E851" s="2" t="str">
        <x:v>East</x:v>
      </x:c>
      <x:c r="F851" s="2" t="str">
        <x:v>Store</x:v>
      </x:c>
      <x:c r="G851" s="2" t="str">
        <x:v>Storage</x:v>
      </x:c>
      <x:c r="H851" s="2" t="str">
        <x:v>Shelf 003</x:v>
      </x:c>
      <x:c r="I851" s="11" t="n">
        <x:v>5</x:v>
      </x:c>
      <x:c r="J851" s="9" t="n">
        <x:v>199</x:v>
      </x:c>
      <x:c r="K851" s="10" t="n">
        <x:v>0.05</x:v>
      </x:c>
      <x:c r="L851" s="11" t="n">
        <x:v>0</x:v>
      </x:c>
      <x:c r="M851" s="9" t="n">
        <x:f>IF(D851="Completed",I851*J851,0)</x:f>
        <x:v>0</x:v>
      </x:c>
      <x:c r="N851" s="9" t="n">
        <x:f>M851*K851</x:f>
        <x:v>0</x:v>
      </x:c>
      <x:c r="O851" s="9" t="n">
        <x:f>M851-N851</x:f>
        <x:v>0</x:v>
      </x:c>
      <x:c r="P851" s="9" t="n">
        <x:f>IF(D851="Completed",L851*J851*(1-K851),0)</x:f>
        <x:v>0</x:v>
      </x:c>
      <x:c r="Q851" s="9" t="n">
        <x:f>O851-P851</x:f>
        <x:v>0</x:v>
      </x:c>
      <x:c r="R851" s="11" t="n">
        <x:f>IF(D851="Completed",I851,0)</x:f>
        <x:v>0</x:v>
      </x:c>
      <x:c r="S851" s="11" t="n">
        <x:f>IF(D851="Completed",L851,0)</x:f>
        <x:v>0</x:v>
      </x:c>
      <x:c r="T851" s="8" t="n">
        <x:f>DATE(YEAR(C851),MONTH(C851),1)</x:f>
        <x:v>45962</x:v>
      </x:c>
    </x:row>
    <x:row r="852" ht="22" customHeight="1">
      <x:c r="A852" s="2" t="str">
        <x:v>L000848</x:v>
      </x:c>
      <x:c r="B852" s="2" t="str">
        <x:v>O00347</x:v>
      </x:c>
      <x:c r="C852" s="7" t="n">
        <x:v>45830</x:v>
      </x:c>
      <x:c r="D852" s="2" t="str">
        <x:v>Cancelled</x:v>
      </x:c>
      <x:c r="E852" s="2" t="str">
        <x:v>East</x:v>
      </x:c>
      <x:c r="F852" s="2" t="str">
        <x:v>Store</x:v>
      </x:c>
      <x:c r="G852" s="2" t="str">
        <x:v>Lighting</x:v>
      </x:c>
      <x:c r="H852" s="2" t="str">
        <x:v>Lamp 009</x:v>
      </x:c>
      <x:c r="I852" s="11" t="n">
        <x:v>1</x:v>
      </x:c>
      <x:c r="J852" s="9" t="n">
        <x:v>93</x:v>
      </x:c>
      <x:c r="K852" s="10" t="n">
        <x:v>0.1</x:v>
      </x:c>
      <x:c r="L852" s="11" t="n">
        <x:v>0</x:v>
      </x:c>
      <x:c r="M852" s="9" t="n">
        <x:f>IF(D852="Completed",I852*J852,0)</x:f>
        <x:v>0</x:v>
      </x:c>
      <x:c r="N852" s="9" t="n">
        <x:f>M852*K852</x:f>
        <x:v>0</x:v>
      </x:c>
      <x:c r="O852" s="9" t="n">
        <x:f>M852-N852</x:f>
        <x:v>0</x:v>
      </x:c>
      <x:c r="P852" s="9" t="n">
        <x:f>IF(D852="Completed",L852*J852*(1-K852),0)</x:f>
        <x:v>0</x:v>
      </x:c>
      <x:c r="Q852" s="9" t="n">
        <x:f>O852-P852</x:f>
        <x:v>0</x:v>
      </x:c>
      <x:c r="R852" s="11" t="n">
        <x:f>IF(D852="Completed",I852,0)</x:f>
        <x:v>0</x:v>
      </x:c>
      <x:c r="S852" s="11" t="n">
        <x:f>IF(D852="Completed",L852,0)</x:f>
        <x:v>0</x:v>
      </x:c>
      <x:c r="T852" s="8" t="n">
        <x:f>DATE(YEAR(C852),MONTH(C852),1)</x:f>
        <x:v>45809</x:v>
      </x:c>
    </x:row>
    <x:row r="853" ht="22" customHeight="1">
      <x:c r="A853" s="2" t="str">
        <x:v>L000849</x:v>
      </x:c>
      <x:c r="B853" s="2" t="str">
        <x:v>O00347</x:v>
      </x:c>
      <x:c r="C853" s="7" t="n">
        <x:v>45830</x:v>
      </x:c>
      <x:c r="D853" s="2" t="str">
        <x:v>Cancelled</x:v>
      </x:c>
      <x:c r="E853" s="2" t="str">
        <x:v>East</x:v>
      </x:c>
      <x:c r="F853" s="2" t="str">
        <x:v>Store</x:v>
      </x:c>
      <x:c r="G853" s="2" t="str">
        <x:v>Furniture</x:v>
      </x:c>
      <x:c r="H853" s="2" t="str">
        <x:v>Desk 008</x:v>
      </x:c>
      <x:c r="I853" s="11" t="n">
        <x:v>2</x:v>
      </x:c>
      <x:c r="J853" s="9" t="n">
        <x:v>188</x:v>
      </x:c>
      <x:c r="K853" s="10" t="n">
        <x:v>0.1</x:v>
      </x:c>
      <x:c r="L853" s="11" t="n">
        <x:v>0</x:v>
      </x:c>
      <x:c r="M853" s="9" t="n">
        <x:f>IF(D853="Completed",I853*J853,0)</x:f>
        <x:v>0</x:v>
      </x:c>
      <x:c r="N853" s="9" t="n">
        <x:f>M853*K853</x:f>
        <x:v>0</x:v>
      </x:c>
      <x:c r="O853" s="9" t="n">
        <x:f>M853-N853</x:f>
        <x:v>0</x:v>
      </x:c>
      <x:c r="P853" s="9" t="n">
        <x:f>IF(D853="Completed",L853*J853*(1-K853),0)</x:f>
        <x:v>0</x:v>
      </x:c>
      <x:c r="Q853" s="9" t="n">
        <x:f>O853-P853</x:f>
        <x:v>0</x:v>
      </x:c>
      <x:c r="R853" s="11" t="n">
        <x:f>IF(D853="Completed",I853,0)</x:f>
        <x:v>0</x:v>
      </x:c>
      <x:c r="S853" s="11" t="n">
        <x:f>IF(D853="Completed",L853,0)</x:f>
        <x:v>0</x:v>
      </x:c>
      <x:c r="T853" s="8" t="n">
        <x:f>DATE(YEAR(C853),MONTH(C853),1)</x:f>
        <x:v>45809</x:v>
      </x:c>
    </x:row>
    <x:row r="854" ht="22" customHeight="1">
      <x:c r="A854" s="2" t="str">
        <x:v>L000850</x:v>
      </x:c>
      <x:c r="B854" s="2" t="str">
        <x:v>O00348</x:v>
      </x:c>
      <x:c r="C854" s="7" t="n">
        <x:v>45898</x:v>
      </x:c>
      <x:c r="D854" s="2" t="str">
        <x:v>Completed</x:v>
      </x:c>
      <x:c r="E854" s="2" t="str">
        <x:v>North</x:v>
      </x:c>
      <x:c r="F854" s="2" t="str">
        <x:v>Online</x:v>
      </x:c>
      <x:c r="G854" s="2" t="str">
        <x:v>Furniture</x:v>
      </x:c>
      <x:c r="H854" s="2" t="str">
        <x:v>Desk 016</x:v>
      </x:c>
      <x:c r="I854" s="11" t="n">
        <x:v>5</x:v>
      </x:c>
      <x:c r="J854" s="9" t="n">
        <x:v>231</x:v>
      </x:c>
      <x:c r="K854" s="10" t="n">
        <x:v>0</x:v>
      </x:c>
      <x:c r="L854" s="11" t="n">
        <x:v>0</x:v>
      </x:c>
      <x:c r="M854" s="9" t="n">
        <x:f>IF(D854="Completed",I854*J854,0)</x:f>
        <x:v>1155</x:v>
      </x:c>
      <x:c r="N854" s="9" t="n">
        <x:f>M854*K854</x:f>
        <x:v>0</x:v>
      </x:c>
      <x:c r="O854" s="9" t="n">
        <x:f>M854-N854</x:f>
        <x:v>1155</x:v>
      </x:c>
      <x:c r="P854" s="9" t="n">
        <x:f>IF(D854="Completed",L854*J854*(1-K854),0)</x:f>
        <x:v>0</x:v>
      </x:c>
      <x:c r="Q854" s="9" t="n">
        <x:f>O854-P854</x:f>
        <x:v>1155</x:v>
      </x:c>
      <x:c r="R854" s="11" t="n">
        <x:f>IF(D854="Completed",I854,0)</x:f>
        <x:v>5</x:v>
      </x:c>
      <x:c r="S854" s="11" t="n">
        <x:f>IF(D854="Completed",L854,0)</x:f>
        <x:v>0</x:v>
      </x:c>
      <x:c r="T854" s="8" t="n">
        <x:f>DATE(YEAR(C854),MONTH(C854),1)</x:f>
        <x:v>45870</x:v>
      </x:c>
    </x:row>
    <x:row r="855" ht="22" customHeight="1">
      <x:c r="A855" s="2" t="str">
        <x:v>L000851</x:v>
      </x:c>
      <x:c r="B855" s="2" t="str">
        <x:v>O00349</x:v>
      </x:c>
      <x:c r="C855" s="7" t="n">
        <x:v>45716</x:v>
      </x:c>
      <x:c r="D855" s="2" t="str">
        <x:v>Completed</x:v>
      </x:c>
      <x:c r="E855" s="2" t="str">
        <x:v>West</x:v>
      </x:c>
      <x:c r="F855" s="2" t="str">
        <x:v>Store</x:v>
      </x:c>
      <x:c r="G855" s="2" t="str">
        <x:v>Storage</x:v>
      </x:c>
      <x:c r="H855" s="2" t="str">
        <x:v>Shelf 019</x:v>
      </x:c>
      <x:c r="I855" s="11" t="n">
        <x:v>1</x:v>
      </x:c>
      <x:c r="J855" s="9" t="n">
        <x:v>78</x:v>
      </x:c>
      <x:c r="K855" s="10" t="n">
        <x:v>0.2</x:v>
      </x:c>
      <x:c r="L855" s="11" t="n">
        <x:v>1</x:v>
      </x:c>
      <x:c r="M855" s="9" t="n">
        <x:f>IF(D855="Completed",I855*J855,0)</x:f>
        <x:v>78</x:v>
      </x:c>
      <x:c r="N855" s="9" t="n">
        <x:f>M855*K855</x:f>
        <x:v>15.600000000000001</x:v>
      </x:c>
      <x:c r="O855" s="9" t="n">
        <x:f>M855-N855</x:f>
        <x:v>62.4</x:v>
      </x:c>
      <x:c r="P855" s="9" t="n">
        <x:f>IF(D855="Completed",L855*J855*(1-K855),0)</x:f>
        <x:v>62.400000000000006</x:v>
      </x:c>
      <x:c r="Q855" s="9" t="n">
        <x:f>O855-P855</x:f>
        <x:v>-7.105427357601002e-15</x:v>
      </x:c>
      <x:c r="R855" s="11" t="n">
        <x:f>IF(D855="Completed",I855,0)</x:f>
        <x:v>1</x:v>
      </x:c>
      <x:c r="S855" s="11" t="n">
        <x:f>IF(D855="Completed",L855,0)</x:f>
        <x:v>1</x:v>
      </x:c>
      <x:c r="T855" s="8" t="n">
        <x:f>DATE(YEAR(C855),MONTH(C855),1)</x:f>
        <x:v>45689</x:v>
      </x:c>
    </x:row>
    <x:row r="856" ht="22" customHeight="1">
      <x:c r="A856" s="2" t="str">
        <x:v>L000852</x:v>
      </x:c>
      <x:c r="B856" s="2" t="str">
        <x:v>O00350</x:v>
      </x:c>
      <x:c r="C856" s="7" t="n">
        <x:v>45932</x:v>
      </x:c>
      <x:c r="D856" s="2" t="str">
        <x:v>Completed</x:v>
      </x:c>
      <x:c r="E856" s="2" t="str">
        <x:v>East</x:v>
      </x:c>
      <x:c r="F856" s="2" t="str">
        <x:v>Online</x:v>
      </x:c>
      <x:c r="G856" s="2" t="str">
        <x:v>Furniture</x:v>
      </x:c>
      <x:c r="H856" s="2" t="str">
        <x:v>Chair 002</x:v>
      </x:c>
      <x:c r="I856" s="11" t="n">
        <x:v>5</x:v>
      </x:c>
      <x:c r="J856" s="9" t="n">
        <x:v>284</x:v>
      </x:c>
      <x:c r="K856" s="10" t="n">
        <x:v>0.2</x:v>
      </x:c>
      <x:c r="L856" s="11" t="n">
        <x:v>0</x:v>
      </x:c>
      <x:c r="M856" s="9" t="n">
        <x:f>IF(D856="Completed",I856*J856,0)</x:f>
        <x:v>1420</x:v>
      </x:c>
      <x:c r="N856" s="9" t="n">
        <x:f>M856*K856</x:f>
        <x:v>284</x:v>
      </x:c>
      <x:c r="O856" s="9" t="n">
        <x:f>M856-N856</x:f>
        <x:v>1136</x:v>
      </x:c>
      <x:c r="P856" s="9" t="n">
        <x:f>IF(D856="Completed",L856*J856*(1-K856),0)</x:f>
        <x:v>0</x:v>
      </x:c>
      <x:c r="Q856" s="9" t="n">
        <x:f>O856-P856</x:f>
        <x:v>1136</x:v>
      </x:c>
      <x:c r="R856" s="11" t="n">
        <x:f>IF(D856="Completed",I856,0)</x:f>
        <x:v>5</x:v>
      </x:c>
      <x:c r="S856" s="11" t="n">
        <x:f>IF(D856="Completed",L856,0)</x:f>
        <x:v>0</x:v>
      </x:c>
      <x:c r="T856" s="8" t="n">
        <x:f>DATE(YEAR(C856),MONTH(C856),1)</x:f>
        <x:v>45931</x:v>
      </x:c>
    </x:row>
    <x:row r="857" ht="22" customHeight="1">
      <x:c r="A857" s="2" t="str">
        <x:v>L000853</x:v>
      </x:c>
      <x:c r="B857" s="2" t="str">
        <x:v>O00350</x:v>
      </x:c>
      <x:c r="C857" s="7" t="n">
        <x:v>45932</x:v>
      </x:c>
      <x:c r="D857" s="2" t="str">
        <x:v>Completed</x:v>
      </x:c>
      <x:c r="E857" s="2" t="str">
        <x:v>East</x:v>
      </x:c>
      <x:c r="F857" s="2" t="str">
        <x:v>Online</x:v>
      </x:c>
      <x:c r="G857" s="2" t="str">
        <x:v>Furniture</x:v>
      </x:c>
      <x:c r="H857" s="2" t="str">
        <x:v>Desk 016</x:v>
      </x:c>
      <x:c r="I857" s="11" t="n">
        <x:v>2</x:v>
      </x:c>
      <x:c r="J857" s="9" t="n">
        <x:v>231</x:v>
      </x:c>
      <x:c r="K857" s="10" t="n">
        <x:v>0.1</x:v>
      </x:c>
      <x:c r="L857" s="11" t="n">
        <x:v>0</x:v>
      </x:c>
      <x:c r="M857" s="9" t="n">
        <x:f>IF(D857="Completed",I857*J857,0)</x:f>
        <x:v>462</x:v>
      </x:c>
      <x:c r="N857" s="9" t="n">
        <x:f>M857*K857</x:f>
        <x:v>46.2</x:v>
      </x:c>
      <x:c r="O857" s="9" t="n">
        <x:f>M857-N857</x:f>
        <x:v>415.8</x:v>
      </x:c>
      <x:c r="P857" s="9" t="n">
        <x:f>IF(D857="Completed",L857*J857*(1-K857),0)</x:f>
        <x:v>0</x:v>
      </x:c>
      <x:c r="Q857" s="9" t="n">
        <x:f>O857-P857</x:f>
        <x:v>415.8</x:v>
      </x:c>
      <x:c r="R857" s="11" t="n">
        <x:f>IF(D857="Completed",I857,0)</x:f>
        <x:v>2</x:v>
      </x:c>
      <x:c r="S857" s="11" t="n">
        <x:f>IF(D857="Completed",L857,0)</x:f>
        <x:v>0</x:v>
      </x:c>
      <x:c r="T857" s="8" t="n">
        <x:f>DATE(YEAR(C857),MONTH(C857),1)</x:f>
        <x:v>45931</x:v>
      </x:c>
    </x:row>
    <x:row r="858" ht="22" customHeight="1">
      <x:c r="A858" s="2" t="str">
        <x:v>L000854</x:v>
      </x:c>
      <x:c r="B858" s="2" t="str">
        <x:v>O00351</x:v>
      </x:c>
      <x:c r="C858" s="7" t="n">
        <x:v>45980</x:v>
      </x:c>
      <x:c r="D858" s="2" t="str">
        <x:v>Completed</x:v>
      </x:c>
      <x:c r="E858" s="2" t="str">
        <x:v>South</x:v>
      </x:c>
      <x:c r="F858" s="2" t="str">
        <x:v>Online</x:v>
      </x:c>
      <x:c r="G858" s="2" t="str">
        <x:v>Lighting</x:v>
      </x:c>
      <x:c r="H858" s="2" t="str">
        <x:v>Lamp 021</x:v>
      </x:c>
      <x:c r="I858" s="11" t="n">
        <x:v>4</x:v>
      </x:c>
      <x:c r="J858" s="9" t="n">
        <x:v>249</x:v>
      </x:c>
      <x:c r="K858" s="10" t="n">
        <x:v>0.2</x:v>
      </x:c>
      <x:c r="L858" s="11" t="n">
        <x:v>0</x:v>
      </x:c>
      <x:c r="M858" s="9" t="n">
        <x:f>IF(D858="Completed",I858*J858,0)</x:f>
        <x:v>996</x:v>
      </x:c>
      <x:c r="N858" s="9" t="n">
        <x:f>M858*K858</x:f>
        <x:v>199.20000000000002</x:v>
      </x:c>
      <x:c r="O858" s="9" t="n">
        <x:f>M858-N858</x:f>
        <x:v>796.8</x:v>
      </x:c>
      <x:c r="P858" s="9" t="n">
        <x:f>IF(D858="Completed",L858*J858*(1-K858),0)</x:f>
        <x:v>0</x:v>
      </x:c>
      <x:c r="Q858" s="9" t="n">
        <x:f>O858-P858</x:f>
        <x:v>796.8</x:v>
      </x:c>
      <x:c r="R858" s="11" t="n">
        <x:f>IF(D858="Completed",I858,0)</x:f>
        <x:v>4</x:v>
      </x:c>
      <x:c r="S858" s="11" t="n">
        <x:f>IF(D858="Completed",L858,0)</x:f>
        <x:v>0</x:v>
      </x:c>
      <x:c r="T858" s="8" t="n">
        <x:f>DATE(YEAR(C858),MONTH(C858),1)</x:f>
        <x:v>45962</x:v>
      </x:c>
    </x:row>
    <x:row r="859" ht="22" customHeight="1">
      <x:c r="A859" s="2" t="str">
        <x:v>L000855</x:v>
      </x:c>
      <x:c r="B859" s="2" t="str">
        <x:v>O00351</x:v>
      </x:c>
      <x:c r="C859" s="7" t="n">
        <x:v>45980</x:v>
      </x:c>
      <x:c r="D859" s="2" t="str">
        <x:v>Completed</x:v>
      </x:c>
      <x:c r="E859" s="2" t="str">
        <x:v>South</x:v>
      </x:c>
      <x:c r="F859" s="2" t="str">
        <x:v>Online</x:v>
      </x:c>
      <x:c r="G859" s="2" t="str">
        <x:v>Lighting</x:v>
      </x:c>
      <x:c r="H859" s="2" t="str">
        <x:v>Lamp 021</x:v>
      </x:c>
      <x:c r="I859" s="11" t="n">
        <x:v>2</x:v>
      </x:c>
      <x:c r="J859" s="9" t="n">
        <x:v>249</x:v>
      </x:c>
      <x:c r="K859" s="10" t="n">
        <x:v>0.05</x:v>
      </x:c>
      <x:c r="L859" s="11" t="n">
        <x:v>0</x:v>
      </x:c>
      <x:c r="M859" s="9" t="n">
        <x:f>IF(D859="Completed",I859*J859,0)</x:f>
        <x:v>498</x:v>
      </x:c>
      <x:c r="N859" s="9" t="n">
        <x:f>M859*K859</x:f>
        <x:v>24.900000000000002</x:v>
      </x:c>
      <x:c r="O859" s="9" t="n">
        <x:f>M859-N859</x:f>
        <x:v>473.1</x:v>
      </x:c>
      <x:c r="P859" s="9" t="n">
        <x:f>IF(D859="Completed",L859*J859*(1-K859),0)</x:f>
        <x:v>0</x:v>
      </x:c>
      <x:c r="Q859" s="9" t="n">
        <x:f>O859-P859</x:f>
        <x:v>473.1</x:v>
      </x:c>
      <x:c r="R859" s="11" t="n">
        <x:f>IF(D859="Completed",I859,0)</x:f>
        <x:v>2</x:v>
      </x:c>
      <x:c r="S859" s="11" t="n">
        <x:f>IF(D859="Completed",L859,0)</x:f>
        <x:v>0</x:v>
      </x:c>
      <x:c r="T859" s="8" t="n">
        <x:f>DATE(YEAR(C859),MONTH(C859),1)</x:f>
        <x:v>45962</x:v>
      </x:c>
    </x:row>
    <x:row r="860" ht="22" customHeight="1">
      <x:c r="A860" s="2" t="str">
        <x:v>L000856</x:v>
      </x:c>
      <x:c r="B860" s="2" t="str">
        <x:v>O00351</x:v>
      </x:c>
      <x:c r="C860" s="7" t="n">
        <x:v>45980</x:v>
      </x:c>
      <x:c r="D860" s="2" t="str">
        <x:v>Completed</x:v>
      </x:c>
      <x:c r="E860" s="2" t="str">
        <x:v>South</x:v>
      </x:c>
      <x:c r="F860" s="2" t="str">
        <x:v>Online</x:v>
      </x:c>
      <x:c r="G860" s="2" t="str">
        <x:v>Furniture</x:v>
      </x:c>
      <x:c r="H860" s="2" t="str">
        <x:v>Chair 014</x:v>
      </x:c>
      <x:c r="I860" s="11" t="n">
        <x:v>1</x:v>
      </x:c>
      <x:c r="J860" s="9" t="n">
        <x:v>294</x:v>
      </x:c>
      <x:c r="K860" s="10" t="n">
        <x:v>0.1</x:v>
      </x:c>
      <x:c r="L860" s="11" t="n">
        <x:v>0</x:v>
      </x:c>
      <x:c r="M860" s="9" t="n">
        <x:f>IF(D860="Completed",I860*J860,0)</x:f>
        <x:v>294</x:v>
      </x:c>
      <x:c r="N860" s="9" t="n">
        <x:f>M860*K860</x:f>
        <x:v>29.400000000000002</x:v>
      </x:c>
      <x:c r="O860" s="9" t="n">
        <x:f>M860-N860</x:f>
        <x:v>264.6</x:v>
      </x:c>
      <x:c r="P860" s="9" t="n">
        <x:f>IF(D860="Completed",L860*J860*(1-K860),0)</x:f>
        <x:v>0</x:v>
      </x:c>
      <x:c r="Q860" s="9" t="n">
        <x:f>O860-P860</x:f>
        <x:v>264.6</x:v>
      </x:c>
      <x:c r="R860" s="11" t="n">
        <x:f>IF(D860="Completed",I860,0)</x:f>
        <x:v>1</x:v>
      </x:c>
      <x:c r="S860" s="11" t="n">
        <x:f>IF(D860="Completed",L860,0)</x:f>
        <x:v>0</x:v>
      </x:c>
      <x:c r="T860" s="8" t="n">
        <x:f>DATE(YEAR(C860),MONTH(C860),1)</x:f>
        <x:v>45962</x:v>
      </x:c>
    </x:row>
    <x:row r="861" ht="22" customHeight="1">
      <x:c r="A861" s="2" t="str">
        <x:v>L000857</x:v>
      </x:c>
      <x:c r="B861" s="2" t="str">
        <x:v>O00352</x:v>
      </x:c>
      <x:c r="C861" s="7" t="n">
        <x:v>45764</x:v>
      </x:c>
      <x:c r="D861" s="2" t="str">
        <x:v>Completed</x:v>
      </x:c>
      <x:c r="E861" s="2" t="str">
        <x:v>North</x:v>
      </x:c>
      <x:c r="F861" s="2" t="str">
        <x:v>Store</x:v>
      </x:c>
      <x:c r="G861" s="2" t="str">
        <x:v>Lighting</x:v>
      </x:c>
      <x:c r="H861" s="2" t="str">
        <x:v>Lamp 001</x:v>
      </x:c>
      <x:c r="I861" s="11" t="n">
        <x:v>2</x:v>
      </x:c>
      <x:c r="J861" s="9" t="n">
        <x:v>122</x:v>
      </x:c>
      <x:c r="K861" s="10" t="n">
        <x:v>0.1</x:v>
      </x:c>
      <x:c r="L861" s="11" t="n">
        <x:v>0</x:v>
      </x:c>
      <x:c r="M861" s="9" t="n">
        <x:f>IF(D861="Completed",I861*J861,0)</x:f>
        <x:v>244</x:v>
      </x:c>
      <x:c r="N861" s="9" t="n">
        <x:f>M861*K861</x:f>
        <x:v>24.400000000000002</x:v>
      </x:c>
      <x:c r="O861" s="9" t="n">
        <x:f>M861-N861</x:f>
        <x:v>219.6</x:v>
      </x:c>
      <x:c r="P861" s="9" t="n">
        <x:f>IF(D861="Completed",L861*J861*(1-K861),0)</x:f>
        <x:v>0</x:v>
      </x:c>
      <x:c r="Q861" s="9" t="n">
        <x:f>O861-P861</x:f>
        <x:v>219.6</x:v>
      </x:c>
      <x:c r="R861" s="11" t="n">
        <x:f>IF(D861="Completed",I861,0)</x:f>
        <x:v>2</x:v>
      </x:c>
      <x:c r="S861" s="11" t="n">
        <x:f>IF(D861="Completed",L861,0)</x:f>
        <x:v>0</x:v>
      </x:c>
      <x:c r="T861" s="8" t="n">
        <x:f>DATE(YEAR(C861),MONTH(C861),1)</x:f>
        <x:v>45748</x:v>
      </x:c>
    </x:row>
    <x:row r="862" ht="22" customHeight="1">
      <x:c r="A862" s="2" t="str">
        <x:v>L000858</x:v>
      </x:c>
      <x:c r="B862" s="2" t="str">
        <x:v>O00352</x:v>
      </x:c>
      <x:c r="C862" s="7" t="n">
        <x:v>45764</x:v>
      </x:c>
      <x:c r="D862" s="2" t="str">
        <x:v>Completed</x:v>
      </x:c>
      <x:c r="E862" s="2" t="str">
        <x:v>North</x:v>
      </x:c>
      <x:c r="F862" s="2" t="str">
        <x:v>Store</x:v>
      </x:c>
      <x:c r="G862" s="2" t="str">
        <x:v>Furniture</x:v>
      </x:c>
      <x:c r="H862" s="2" t="str">
        <x:v>Desk 004</x:v>
      </x:c>
      <x:c r="I862" s="11" t="n">
        <x:v>2</x:v>
      </x:c>
      <x:c r="J862" s="9" t="n">
        <x:v>123</x:v>
      </x:c>
      <x:c r="K862" s="10" t="n">
        <x:v>0.2</x:v>
      </x:c>
      <x:c r="L862" s="11" t="n">
        <x:v>0</x:v>
      </x:c>
      <x:c r="M862" s="9" t="n">
        <x:f>IF(D862="Completed",I862*J862,0)</x:f>
        <x:v>246</x:v>
      </x:c>
      <x:c r="N862" s="9" t="n">
        <x:f>M862*K862</x:f>
        <x:v>49.2</x:v>
      </x:c>
      <x:c r="O862" s="9" t="n">
        <x:f>M862-N862</x:f>
        <x:v>196.8</x:v>
      </x:c>
      <x:c r="P862" s="9" t="n">
        <x:f>IF(D862="Completed",L862*J862*(1-K862),0)</x:f>
        <x:v>0</x:v>
      </x:c>
      <x:c r="Q862" s="9" t="n">
        <x:f>O862-P862</x:f>
        <x:v>196.8</x:v>
      </x:c>
      <x:c r="R862" s="11" t="n">
        <x:f>IF(D862="Completed",I862,0)</x:f>
        <x:v>2</x:v>
      </x:c>
      <x:c r="S862" s="11" t="n">
        <x:f>IF(D862="Completed",L862,0)</x:f>
        <x:v>0</x:v>
      </x:c>
      <x:c r="T862" s="8" t="n">
        <x:f>DATE(YEAR(C862),MONTH(C862),1)</x:f>
        <x:v>45748</x:v>
      </x:c>
    </x:row>
    <x:row r="863" ht="22" customHeight="1">
      <x:c r="A863" s="2" t="str">
        <x:v>L000859</x:v>
      </x:c>
      <x:c r="B863" s="2" t="str">
        <x:v>O00352</x:v>
      </x:c>
      <x:c r="C863" s="7" t="n">
        <x:v>45764</x:v>
      </x:c>
      <x:c r="D863" s="2" t="str">
        <x:v>Completed</x:v>
      </x:c>
      <x:c r="E863" s="2" t="str">
        <x:v>North</x:v>
      </x:c>
      <x:c r="F863" s="2" t="str">
        <x:v>Store</x:v>
      </x:c>
      <x:c r="G863" s="2" t="str">
        <x:v>Storage</x:v>
      </x:c>
      <x:c r="H863" s="2" t="str">
        <x:v>Shelf 011</x:v>
      </x:c>
      <x:c r="I863" s="11" t="n">
        <x:v>4</x:v>
      </x:c>
      <x:c r="J863" s="9" t="n">
        <x:v>80</x:v>
      </x:c>
      <x:c r="K863" s="10" t="n">
        <x:v>0.2</x:v>
      </x:c>
      <x:c r="L863" s="11" t="n">
        <x:v>0</x:v>
      </x:c>
      <x:c r="M863" s="9" t="n">
        <x:f>IF(D863="Completed",I863*J863,0)</x:f>
        <x:v>320</x:v>
      </x:c>
      <x:c r="N863" s="9" t="n">
        <x:f>M863*K863</x:f>
        <x:v>64</x:v>
      </x:c>
      <x:c r="O863" s="9" t="n">
        <x:f>M863-N863</x:f>
        <x:v>256</x:v>
      </x:c>
      <x:c r="P863" s="9" t="n">
        <x:f>IF(D863="Completed",L863*J863*(1-K863),0)</x:f>
        <x:v>0</x:v>
      </x:c>
      <x:c r="Q863" s="9" t="n">
        <x:f>O863-P863</x:f>
        <x:v>256</x:v>
      </x:c>
      <x:c r="R863" s="11" t="n">
        <x:f>IF(D863="Completed",I863,0)</x:f>
        <x:v>4</x:v>
      </x:c>
      <x:c r="S863" s="11" t="n">
        <x:f>IF(D863="Completed",L863,0)</x:f>
        <x:v>0</x:v>
      </x:c>
      <x:c r="T863" s="8" t="n">
        <x:f>DATE(YEAR(C863),MONTH(C863),1)</x:f>
        <x:v>45748</x:v>
      </x:c>
    </x:row>
    <x:row r="864" ht="22" customHeight="1">
      <x:c r="A864" s="2" t="str">
        <x:v>L000860</x:v>
      </x:c>
      <x:c r="B864" s="2" t="str">
        <x:v>O00352</x:v>
      </x:c>
      <x:c r="C864" s="7" t="n">
        <x:v>45764</x:v>
      </x:c>
      <x:c r="D864" s="2" t="str">
        <x:v>Completed</x:v>
      </x:c>
      <x:c r="E864" s="2" t="str">
        <x:v>North</x:v>
      </x:c>
      <x:c r="F864" s="2" t="str">
        <x:v>Store</x:v>
      </x:c>
      <x:c r="G864" s="2" t="str">
        <x:v>Storage</x:v>
      </x:c>
      <x:c r="H864" s="2" t="str">
        <x:v>Shelf 015</x:v>
      </x:c>
      <x:c r="I864" s="11" t="n">
        <x:v>5</x:v>
      </x:c>
      <x:c r="J864" s="9" t="n">
        <x:v>254</x:v>
      </x:c>
      <x:c r="K864" s="10" t="n">
        <x:v>0.05</x:v>
      </x:c>
      <x:c r="L864" s="11" t="n">
        <x:v>0</x:v>
      </x:c>
      <x:c r="M864" s="9" t="n">
        <x:f>IF(D864="Completed",I864*J864,0)</x:f>
        <x:v>1270</x:v>
      </x:c>
      <x:c r="N864" s="9" t="n">
        <x:f>M864*K864</x:f>
        <x:v>63.5</x:v>
      </x:c>
      <x:c r="O864" s="9" t="n">
        <x:f>M864-N864</x:f>
        <x:v>1206.5</x:v>
      </x:c>
      <x:c r="P864" s="9" t="n">
        <x:f>IF(D864="Completed",L864*J864*(1-K864),0)</x:f>
        <x:v>0</x:v>
      </x:c>
      <x:c r="Q864" s="9" t="n">
        <x:f>O864-P864</x:f>
        <x:v>1206.5</x:v>
      </x:c>
      <x:c r="R864" s="11" t="n">
        <x:f>IF(D864="Completed",I864,0)</x:f>
        <x:v>5</x:v>
      </x:c>
      <x:c r="S864" s="11" t="n">
        <x:f>IF(D864="Completed",L864,0)</x:f>
        <x:v>0</x:v>
      </x:c>
      <x:c r="T864" s="8" t="n">
        <x:f>DATE(YEAR(C864),MONTH(C864),1)</x:f>
        <x:v>45748</x:v>
      </x:c>
    </x:row>
    <x:row r="865" ht="22" customHeight="1">
      <x:c r="A865" s="2" t="str">
        <x:v>L000861</x:v>
      </x:c>
      <x:c r="B865" s="2" t="str">
        <x:v>O00353</x:v>
      </x:c>
      <x:c r="C865" s="7" t="n">
        <x:v>45856</x:v>
      </x:c>
      <x:c r="D865" s="2" t="str">
        <x:v>Completed</x:v>
      </x:c>
      <x:c r="E865" s="2" t="str">
        <x:v>North</x:v>
      </x:c>
      <x:c r="F865" s="2" t="str">
        <x:v>Online</x:v>
      </x:c>
      <x:c r="G865" s="2" t="str">
        <x:v>Lighting</x:v>
      </x:c>
      <x:c r="H865" s="2" t="str">
        <x:v>Lamp 001</x:v>
      </x:c>
      <x:c r="I865" s="11" t="n">
        <x:v>3</x:v>
      </x:c>
      <x:c r="J865" s="9" t="n">
        <x:v>122</x:v>
      </x:c>
      <x:c r="K865" s="10" t="n">
        <x:v>0.1</x:v>
      </x:c>
      <x:c r="L865" s="11" t="n">
        <x:v>2</x:v>
      </x:c>
      <x:c r="M865" s="9" t="n">
        <x:f>IF(D865="Completed",I865*J865,0)</x:f>
        <x:v>366</x:v>
      </x:c>
      <x:c r="N865" s="9" t="n">
        <x:f>M865*K865</x:f>
        <x:v>36.6</x:v>
      </x:c>
      <x:c r="O865" s="9" t="n">
        <x:f>M865-N865</x:f>
        <x:v>329.4</x:v>
      </x:c>
      <x:c r="P865" s="9" t="n">
        <x:f>IF(D865="Completed",L865*J865*(1-K865),0)</x:f>
        <x:v>219.6</x:v>
      </x:c>
      <x:c r="Q865" s="9" t="n">
        <x:f>O865-P865</x:f>
        <x:v>109.79999999999998</x:v>
      </x:c>
      <x:c r="R865" s="11" t="n">
        <x:f>IF(D865="Completed",I865,0)</x:f>
        <x:v>3</x:v>
      </x:c>
      <x:c r="S865" s="11" t="n">
        <x:f>IF(D865="Completed",L865,0)</x:f>
        <x:v>2</x:v>
      </x:c>
      <x:c r="T865" s="8" t="n">
        <x:f>DATE(YEAR(C865),MONTH(C865),1)</x:f>
        <x:v>45839</x:v>
      </x:c>
    </x:row>
    <x:row r="866" ht="22" customHeight="1">
      <x:c r="A866" s="2" t="str">
        <x:v>L000862</x:v>
      </x:c>
      <x:c r="B866" s="2" t="str">
        <x:v>O00353</x:v>
      </x:c>
      <x:c r="C866" s="7" t="n">
        <x:v>45856</x:v>
      </x:c>
      <x:c r="D866" s="2" t="str">
        <x:v>Completed</x:v>
      </x:c>
      <x:c r="E866" s="2" t="str">
        <x:v>North</x:v>
      </x:c>
      <x:c r="F866" s="2" t="str">
        <x:v>Online</x:v>
      </x:c>
      <x:c r="G866" s="2" t="str">
        <x:v>Storage</x:v>
      </x:c>
      <x:c r="H866" s="2" t="str">
        <x:v>Shelf 023</x:v>
      </x:c>
      <x:c r="I866" s="11" t="n">
        <x:v>5</x:v>
      </x:c>
      <x:c r="J866" s="9" t="n">
        <x:v>68</x:v>
      </x:c>
      <x:c r="K866" s="10" t="n">
        <x:v>0.1</x:v>
      </x:c>
      <x:c r="L866" s="11" t="n">
        <x:v>0</x:v>
      </x:c>
      <x:c r="M866" s="9" t="n">
        <x:f>IF(D866="Completed",I866*J866,0)</x:f>
        <x:v>340</x:v>
      </x:c>
      <x:c r="N866" s="9" t="n">
        <x:f>M866*K866</x:f>
        <x:v>34</x:v>
      </x:c>
      <x:c r="O866" s="9" t="n">
        <x:f>M866-N866</x:f>
        <x:v>306</x:v>
      </x:c>
      <x:c r="P866" s="9" t="n">
        <x:f>IF(D866="Completed",L866*J866*(1-K866),0)</x:f>
        <x:v>0</x:v>
      </x:c>
      <x:c r="Q866" s="9" t="n">
        <x:f>O866-P866</x:f>
        <x:v>306</x:v>
      </x:c>
      <x:c r="R866" s="11" t="n">
        <x:f>IF(D866="Completed",I866,0)</x:f>
        <x:v>5</x:v>
      </x:c>
      <x:c r="S866" s="11" t="n">
        <x:f>IF(D866="Completed",L866,0)</x:f>
        <x:v>0</x:v>
      </x:c>
      <x:c r="T866" s="8" t="n">
        <x:f>DATE(YEAR(C866),MONTH(C866),1)</x:f>
        <x:v>45839</x:v>
      </x:c>
    </x:row>
    <x:row r="867" ht="22" customHeight="1">
      <x:c r="A867" s="2" t="str">
        <x:v>L000863</x:v>
      </x:c>
      <x:c r="B867" s="2" t="str">
        <x:v>O00354</x:v>
      </x:c>
      <x:c r="C867" s="7" t="n">
        <x:v>45889</x:v>
      </x:c>
      <x:c r="D867" s="2" t="str">
        <x:v>Completed</x:v>
      </x:c>
      <x:c r="E867" s="2" t="str">
        <x:v>East</x:v>
      </x:c>
      <x:c r="F867" s="2" t="str">
        <x:v>Store</x:v>
      </x:c>
      <x:c r="G867" s="2" t="str">
        <x:v>Furniture</x:v>
      </x:c>
      <x:c r="H867" s="2" t="str">
        <x:v>Desk 020</x:v>
      </x:c>
      <x:c r="I867" s="11" t="n">
        <x:v>4</x:v>
      </x:c>
      <x:c r="J867" s="9" t="n">
        <x:v>189</x:v>
      </x:c>
      <x:c r="K867" s="10" t="n">
        <x:v>0</x:v>
      </x:c>
      <x:c r="L867" s="11" t="n">
        <x:v>0</x:v>
      </x:c>
      <x:c r="M867" s="9" t="n">
        <x:f>IF(D867="Completed",I867*J867,0)</x:f>
        <x:v>756</x:v>
      </x:c>
      <x:c r="N867" s="9" t="n">
        <x:f>M867*K867</x:f>
        <x:v>0</x:v>
      </x:c>
      <x:c r="O867" s="9" t="n">
        <x:f>M867-N867</x:f>
        <x:v>756</x:v>
      </x:c>
      <x:c r="P867" s="9" t="n">
        <x:f>IF(D867="Completed",L867*J867*(1-K867),0)</x:f>
        <x:v>0</x:v>
      </x:c>
      <x:c r="Q867" s="9" t="n">
        <x:f>O867-P867</x:f>
        <x:v>756</x:v>
      </x:c>
      <x:c r="R867" s="11" t="n">
        <x:f>IF(D867="Completed",I867,0)</x:f>
        <x:v>4</x:v>
      </x:c>
      <x:c r="S867" s="11" t="n">
        <x:f>IF(D867="Completed",L867,0)</x:f>
        <x:v>0</x:v>
      </x:c>
      <x:c r="T867" s="8" t="n">
        <x:f>DATE(YEAR(C867),MONTH(C867),1)</x:f>
        <x:v>45870</x:v>
      </x:c>
    </x:row>
    <x:row r="868" ht="22" customHeight="1">
      <x:c r="A868" s="2" t="str">
        <x:v>L000864</x:v>
      </x:c>
      <x:c r="B868" s="2" t="str">
        <x:v>O00354</x:v>
      </x:c>
      <x:c r="C868" s="7" t="n">
        <x:v>45889</x:v>
      </x:c>
      <x:c r="D868" s="2" t="str">
        <x:v>Completed</x:v>
      </x:c>
      <x:c r="E868" s="2" t="str">
        <x:v>East</x:v>
      </x:c>
      <x:c r="F868" s="2" t="str">
        <x:v>Store</x:v>
      </x:c>
      <x:c r="G868" s="2" t="str">
        <x:v>Lighting</x:v>
      </x:c>
      <x:c r="H868" s="2" t="str">
        <x:v>Lamp 017</x:v>
      </x:c>
      <x:c r="I868" s="11" t="n">
        <x:v>2</x:v>
      </x:c>
      <x:c r="J868" s="9" t="n">
        <x:v>300</x:v>
      </x:c>
      <x:c r="K868" s="10" t="n">
        <x:v>0</x:v>
      </x:c>
      <x:c r="L868" s="11" t="n">
        <x:v>0</x:v>
      </x:c>
      <x:c r="M868" s="9" t="n">
        <x:f>IF(D868="Completed",I868*J868,0)</x:f>
        <x:v>600</x:v>
      </x:c>
      <x:c r="N868" s="9" t="n">
        <x:f>M868*K868</x:f>
        <x:v>0</x:v>
      </x:c>
      <x:c r="O868" s="9" t="n">
        <x:f>M868-N868</x:f>
        <x:v>600</x:v>
      </x:c>
      <x:c r="P868" s="9" t="n">
        <x:f>IF(D868="Completed",L868*J868*(1-K868),0)</x:f>
        <x:v>0</x:v>
      </x:c>
      <x:c r="Q868" s="9" t="n">
        <x:f>O868-P868</x:f>
        <x:v>600</x:v>
      </x:c>
      <x:c r="R868" s="11" t="n">
        <x:f>IF(D868="Completed",I868,0)</x:f>
        <x:v>2</x:v>
      </x:c>
      <x:c r="S868" s="11" t="n">
        <x:f>IF(D868="Completed",L868,0)</x:f>
        <x:v>0</x:v>
      </x:c>
      <x:c r="T868" s="8" t="n">
        <x:f>DATE(YEAR(C868),MONTH(C868),1)</x:f>
        <x:v>45870</x:v>
      </x:c>
    </x:row>
    <x:row r="869" ht="22" customHeight="1">
      <x:c r="A869" s="2" t="str">
        <x:v>L000865</x:v>
      </x:c>
      <x:c r="B869" s="2" t="str">
        <x:v>O00355</x:v>
      </x:c>
      <x:c r="C869" s="7" t="n">
        <x:v>45699</x:v>
      </x:c>
      <x:c r="D869" s="2" t="str">
        <x:v>Cancelled</x:v>
      </x:c>
      <x:c r="E869" s="2" t="str">
        <x:v>West</x:v>
      </x:c>
      <x:c r="F869" s="2" t="str">
        <x:v>Online</x:v>
      </x:c>
      <x:c r="G869" s="2" t="str">
        <x:v>Furniture</x:v>
      </x:c>
      <x:c r="H869" s="2" t="str">
        <x:v>Chair 002</x:v>
      </x:c>
      <x:c r="I869" s="11" t="n">
        <x:v>3</x:v>
      </x:c>
      <x:c r="J869" s="9" t="n">
        <x:v>284</x:v>
      </x:c>
      <x:c r="K869" s="10" t="n">
        <x:v>0.05</x:v>
      </x:c>
      <x:c r="L869" s="11" t="n">
        <x:v>0</x:v>
      </x:c>
      <x:c r="M869" s="9" t="n">
        <x:f>IF(D869="Completed",I869*J869,0)</x:f>
        <x:v>0</x:v>
      </x:c>
      <x:c r="N869" s="9" t="n">
        <x:f>M869*K869</x:f>
        <x:v>0</x:v>
      </x:c>
      <x:c r="O869" s="9" t="n">
        <x:f>M869-N869</x:f>
        <x:v>0</x:v>
      </x:c>
      <x:c r="P869" s="9" t="n">
        <x:f>IF(D869="Completed",L869*J869*(1-K869),0)</x:f>
        <x:v>0</x:v>
      </x:c>
      <x:c r="Q869" s="9" t="n">
        <x:f>O869-P869</x:f>
        <x:v>0</x:v>
      </x:c>
      <x:c r="R869" s="11" t="n">
        <x:f>IF(D869="Completed",I869,0)</x:f>
        <x:v>0</x:v>
      </x:c>
      <x:c r="S869" s="11" t="n">
        <x:f>IF(D869="Completed",L869,0)</x:f>
        <x:v>0</x:v>
      </x:c>
      <x:c r="T869" s="8" t="n">
        <x:f>DATE(YEAR(C869),MONTH(C869),1)</x:f>
        <x:v>45689</x:v>
      </x:c>
    </x:row>
    <x:row r="870" ht="22" customHeight="1">
      <x:c r="A870" s="2" t="str">
        <x:v>L000866</x:v>
      </x:c>
      <x:c r="B870" s="2" t="str">
        <x:v>O00355</x:v>
      </x:c>
      <x:c r="C870" s="7" t="n">
        <x:v>45699</x:v>
      </x:c>
      <x:c r="D870" s="2" t="str">
        <x:v>Cancelled</x:v>
      </x:c>
      <x:c r="E870" s="2" t="str">
        <x:v>West</x:v>
      </x:c>
      <x:c r="F870" s="2" t="str">
        <x:v>Online</x:v>
      </x:c>
      <x:c r="G870" s="2" t="str">
        <x:v>Storage</x:v>
      </x:c>
      <x:c r="H870" s="2" t="str">
        <x:v>Shelf 011</x:v>
      </x:c>
      <x:c r="I870" s="11" t="n">
        <x:v>4</x:v>
      </x:c>
      <x:c r="J870" s="9" t="n">
        <x:v>80</x:v>
      </x:c>
      <x:c r="K870" s="10" t="n">
        <x:v>0.2</x:v>
      </x:c>
      <x:c r="L870" s="11" t="n">
        <x:v>0</x:v>
      </x:c>
      <x:c r="M870" s="9" t="n">
        <x:f>IF(D870="Completed",I870*J870,0)</x:f>
        <x:v>0</x:v>
      </x:c>
      <x:c r="N870" s="9" t="n">
        <x:f>M870*K870</x:f>
        <x:v>0</x:v>
      </x:c>
      <x:c r="O870" s="9" t="n">
        <x:f>M870-N870</x:f>
        <x:v>0</x:v>
      </x:c>
      <x:c r="P870" s="9" t="n">
        <x:f>IF(D870="Completed",L870*J870*(1-K870),0)</x:f>
        <x:v>0</x:v>
      </x:c>
      <x:c r="Q870" s="9" t="n">
        <x:f>O870-P870</x:f>
        <x:v>0</x:v>
      </x:c>
      <x:c r="R870" s="11" t="n">
        <x:f>IF(D870="Completed",I870,0)</x:f>
        <x:v>0</x:v>
      </x:c>
      <x:c r="S870" s="11" t="n">
        <x:f>IF(D870="Completed",L870,0)</x:f>
        <x:v>0</x:v>
      </x:c>
      <x:c r="T870" s="8" t="n">
        <x:f>DATE(YEAR(C870),MONTH(C870),1)</x:f>
        <x:v>45689</x:v>
      </x:c>
    </x:row>
    <x:row r="871" ht="22" customHeight="1">
      <x:c r="A871" s="2" t="str">
        <x:v>L000867</x:v>
      </x:c>
      <x:c r="B871" s="2" t="str">
        <x:v>O00355</x:v>
      </x:c>
      <x:c r="C871" s="7" t="n">
        <x:v>45699</x:v>
      </x:c>
      <x:c r="D871" s="2" t="str">
        <x:v>Cancelled</x:v>
      </x:c>
      <x:c r="E871" s="2" t="str">
        <x:v>West</x:v>
      </x:c>
      <x:c r="F871" s="2" t="str">
        <x:v>Online</x:v>
      </x:c>
      <x:c r="G871" s="2" t="str">
        <x:v>Furniture</x:v>
      </x:c>
      <x:c r="H871" s="2" t="str">
        <x:v>Chair 018</x:v>
      </x:c>
      <x:c r="I871" s="11" t="n">
        <x:v>1</x:v>
      </x:c>
      <x:c r="J871" s="9" t="n">
        <x:v>269</x:v>
      </x:c>
      <x:c r="K871" s="10" t="n">
        <x:v>0.2</x:v>
      </x:c>
      <x:c r="L871" s="11" t="n">
        <x:v>0</x:v>
      </x:c>
      <x:c r="M871" s="9" t="n">
        <x:f>IF(D871="Completed",I871*J871,0)</x:f>
        <x:v>0</x:v>
      </x:c>
      <x:c r="N871" s="9" t="n">
        <x:f>M871*K871</x:f>
        <x:v>0</x:v>
      </x:c>
      <x:c r="O871" s="9" t="n">
        <x:f>M871-N871</x:f>
        <x:v>0</x:v>
      </x:c>
      <x:c r="P871" s="9" t="n">
        <x:f>IF(D871="Completed",L871*J871*(1-K871),0)</x:f>
        <x:v>0</x:v>
      </x:c>
      <x:c r="Q871" s="9" t="n">
        <x:f>O871-P871</x:f>
        <x:v>0</x:v>
      </x:c>
      <x:c r="R871" s="11" t="n">
        <x:f>IF(D871="Completed",I871,0)</x:f>
        <x:v>0</x:v>
      </x:c>
      <x:c r="S871" s="11" t="n">
        <x:f>IF(D871="Completed",L871,0)</x:f>
        <x:v>0</x:v>
      </x:c>
      <x:c r="T871" s="8" t="n">
        <x:f>DATE(YEAR(C871),MONTH(C871),1)</x:f>
        <x:v>45689</x:v>
      </x:c>
    </x:row>
    <x:row r="872" ht="22" customHeight="1">
      <x:c r="A872" s="2" t="str">
        <x:v>L000868</x:v>
      </x:c>
      <x:c r="B872" s="2" t="str">
        <x:v>O00356</x:v>
      </x:c>
      <x:c r="C872" s="7" t="n">
        <x:v>46019</x:v>
      </x:c>
      <x:c r="D872" s="2" t="str">
        <x:v>Completed</x:v>
      </x:c>
      <x:c r="E872" s="2" t="str">
        <x:v>West</x:v>
      </x:c>
      <x:c r="F872" s="2" t="str">
        <x:v>Online</x:v>
      </x:c>
      <x:c r="G872" s="2" t="str">
        <x:v>Storage</x:v>
      </x:c>
      <x:c r="H872" s="2" t="str">
        <x:v>Shelf 011</x:v>
      </x:c>
      <x:c r="I872" s="11" t="n">
        <x:v>1</x:v>
      </x:c>
      <x:c r="J872" s="9" t="n">
        <x:v>80</x:v>
      </x:c>
      <x:c r="K872" s="10" t="n">
        <x:v>0</x:v>
      </x:c>
      <x:c r="L872" s="11" t="n">
        <x:v>0</x:v>
      </x:c>
      <x:c r="M872" s="9" t="n">
        <x:f>IF(D872="Completed",I872*J872,0)</x:f>
        <x:v>80</x:v>
      </x:c>
      <x:c r="N872" s="9" t="n">
        <x:f>M872*K872</x:f>
        <x:v>0</x:v>
      </x:c>
      <x:c r="O872" s="9" t="n">
        <x:f>M872-N872</x:f>
        <x:v>80</x:v>
      </x:c>
      <x:c r="P872" s="9" t="n">
        <x:f>IF(D872="Completed",L872*J872*(1-K872),0)</x:f>
        <x:v>0</x:v>
      </x:c>
      <x:c r="Q872" s="9" t="n">
        <x:f>O872-P872</x:f>
        <x:v>80</x:v>
      </x:c>
      <x:c r="R872" s="11" t="n">
        <x:f>IF(D872="Completed",I872,0)</x:f>
        <x:v>1</x:v>
      </x:c>
      <x:c r="S872" s="11" t="n">
        <x:f>IF(D872="Completed",L872,0)</x:f>
        <x:v>0</x:v>
      </x:c>
      <x:c r="T872" s="8" t="n">
        <x:f>DATE(YEAR(C872),MONTH(C872),1)</x:f>
        <x:v>45992</x:v>
      </x:c>
    </x:row>
    <x:row r="873" ht="22" customHeight="1">
      <x:c r="A873" s="2" t="str">
        <x:v>L000869</x:v>
      </x:c>
      <x:c r="B873" s="2" t="str">
        <x:v>O00356</x:v>
      </x:c>
      <x:c r="C873" s="7" t="n">
        <x:v>46019</x:v>
      </x:c>
      <x:c r="D873" s="2" t="str">
        <x:v>Completed</x:v>
      </x:c>
      <x:c r="E873" s="2" t="str">
        <x:v>West</x:v>
      </x:c>
      <x:c r="F873" s="2" t="str">
        <x:v>Online</x:v>
      </x:c>
      <x:c r="G873" s="2" t="str">
        <x:v>Storage</x:v>
      </x:c>
      <x:c r="H873" s="2" t="str">
        <x:v>Shelf 019</x:v>
      </x:c>
      <x:c r="I873" s="11" t="n">
        <x:v>3</x:v>
      </x:c>
      <x:c r="J873" s="9" t="n">
        <x:v>78</x:v>
      </x:c>
      <x:c r="K873" s="10" t="n">
        <x:v>0.05</x:v>
      </x:c>
      <x:c r="L873" s="11" t="n">
        <x:v>0</x:v>
      </x:c>
      <x:c r="M873" s="9" t="n">
        <x:f>IF(D873="Completed",I873*J873,0)</x:f>
        <x:v>234</x:v>
      </x:c>
      <x:c r="N873" s="9" t="n">
        <x:f>M873*K873</x:f>
        <x:v>11.700000000000001</x:v>
      </x:c>
      <x:c r="O873" s="9" t="n">
        <x:f>M873-N873</x:f>
        <x:v>222.3</x:v>
      </x:c>
      <x:c r="P873" s="9" t="n">
        <x:f>IF(D873="Completed",L873*J873*(1-K873),0)</x:f>
        <x:v>0</x:v>
      </x:c>
      <x:c r="Q873" s="9" t="n">
        <x:f>O873-P873</x:f>
        <x:v>222.3</x:v>
      </x:c>
      <x:c r="R873" s="11" t="n">
        <x:f>IF(D873="Completed",I873,0)</x:f>
        <x:v>3</x:v>
      </x:c>
      <x:c r="S873" s="11" t="n">
        <x:f>IF(D873="Completed",L873,0)</x:f>
        <x:v>0</x:v>
      </x:c>
      <x:c r="T873" s="8" t="n">
        <x:f>DATE(YEAR(C873),MONTH(C873),1)</x:f>
        <x:v>45992</x:v>
      </x:c>
    </x:row>
    <x:row r="874" ht="22" customHeight="1">
      <x:c r="A874" s="2" t="str">
        <x:v>L000870</x:v>
      </x:c>
      <x:c r="B874" s="2" t="str">
        <x:v>O00356</x:v>
      </x:c>
      <x:c r="C874" s="7" t="n">
        <x:v>46019</x:v>
      </x:c>
      <x:c r="D874" s="2" t="str">
        <x:v>Completed</x:v>
      </x:c>
      <x:c r="E874" s="2" t="str">
        <x:v>West</x:v>
      </x:c>
      <x:c r="F874" s="2" t="str">
        <x:v>Online</x:v>
      </x:c>
      <x:c r="G874" s="2" t="str">
        <x:v>Lighting</x:v>
      </x:c>
      <x:c r="H874" s="2" t="str">
        <x:v>Lamp 013</x:v>
      </x:c>
      <x:c r="I874" s="11" t="n">
        <x:v>4</x:v>
      </x:c>
      <x:c r="J874" s="9" t="n">
        <x:v>271</x:v>
      </x:c>
      <x:c r="K874" s="10" t="n">
        <x:v>0.05</x:v>
      </x:c>
      <x:c r="L874" s="11" t="n">
        <x:v>0</x:v>
      </x:c>
      <x:c r="M874" s="9" t="n">
        <x:f>IF(D874="Completed",I874*J874,0)</x:f>
        <x:v>1084</x:v>
      </x:c>
      <x:c r="N874" s="9" t="n">
        <x:f>M874*K874</x:f>
        <x:v>54.2</x:v>
      </x:c>
      <x:c r="O874" s="9" t="n">
        <x:f>M874-N874</x:f>
        <x:v>1029.8</x:v>
      </x:c>
      <x:c r="P874" s="9" t="n">
        <x:f>IF(D874="Completed",L874*J874*(1-K874),0)</x:f>
        <x:v>0</x:v>
      </x:c>
      <x:c r="Q874" s="9" t="n">
        <x:f>O874-P874</x:f>
        <x:v>1029.8</x:v>
      </x:c>
      <x:c r="R874" s="11" t="n">
        <x:f>IF(D874="Completed",I874,0)</x:f>
        <x:v>4</x:v>
      </x:c>
      <x:c r="S874" s="11" t="n">
        <x:f>IF(D874="Completed",L874,0)</x:f>
        <x:v>0</x:v>
      </x:c>
      <x:c r="T874" s="8" t="n">
        <x:f>DATE(YEAR(C874),MONTH(C874),1)</x:f>
        <x:v>45992</x:v>
      </x:c>
    </x:row>
    <x:row r="875" ht="22" customHeight="1">
      <x:c r="A875" s="2" t="str">
        <x:v>L000871</x:v>
      </x:c>
      <x:c r="B875" s="2" t="str">
        <x:v>O00357</x:v>
      </x:c>
      <x:c r="C875" s="7" t="n">
        <x:v>45697</x:v>
      </x:c>
      <x:c r="D875" s="2" t="str">
        <x:v>Completed</x:v>
      </x:c>
      <x:c r="E875" s="2" t="str">
        <x:v>North</x:v>
      </x:c>
      <x:c r="F875" s="2" t="str">
        <x:v>Store</x:v>
      </x:c>
      <x:c r="G875" s="2" t="str">
        <x:v>Lighting</x:v>
      </x:c>
      <x:c r="H875" s="2" t="str">
        <x:v>Lamp 013</x:v>
      </x:c>
      <x:c r="I875" s="11" t="n">
        <x:v>1</x:v>
      </x:c>
      <x:c r="J875" s="9" t="n">
        <x:v>271</x:v>
      </x:c>
      <x:c r="K875" s="10" t="n">
        <x:v>0.05</x:v>
      </x:c>
      <x:c r="L875" s="11" t="n">
        <x:v>0</x:v>
      </x:c>
      <x:c r="M875" s="9" t="n">
        <x:f>IF(D875="Completed",I875*J875,0)</x:f>
        <x:v>271</x:v>
      </x:c>
      <x:c r="N875" s="9" t="n">
        <x:f>M875*K875</x:f>
        <x:v>13.55</x:v>
      </x:c>
      <x:c r="O875" s="9" t="n">
        <x:f>M875-N875</x:f>
        <x:v>257.45</x:v>
      </x:c>
      <x:c r="P875" s="9" t="n">
        <x:f>IF(D875="Completed",L875*J875*(1-K875),0)</x:f>
        <x:v>0</x:v>
      </x:c>
      <x:c r="Q875" s="9" t="n">
        <x:f>O875-P875</x:f>
        <x:v>257.45</x:v>
      </x:c>
      <x:c r="R875" s="11" t="n">
        <x:f>IF(D875="Completed",I875,0)</x:f>
        <x:v>1</x:v>
      </x:c>
      <x:c r="S875" s="11" t="n">
        <x:f>IF(D875="Completed",L875,0)</x:f>
        <x:v>0</x:v>
      </x:c>
      <x:c r="T875" s="8" t="n">
        <x:f>DATE(YEAR(C875),MONTH(C875),1)</x:f>
        <x:v>45689</x:v>
      </x:c>
    </x:row>
    <x:row r="876" ht="22" customHeight="1">
      <x:c r="A876" s="2" t="str">
        <x:v>L000872</x:v>
      </x:c>
      <x:c r="B876" s="2" t="str">
        <x:v>O00357</x:v>
      </x:c>
      <x:c r="C876" s="7" t="n">
        <x:v>45697</x:v>
      </x:c>
      <x:c r="D876" s="2" t="str">
        <x:v>Completed</x:v>
      </x:c>
      <x:c r="E876" s="2" t="str">
        <x:v>North</x:v>
      </x:c>
      <x:c r="F876" s="2" t="str">
        <x:v>Store</x:v>
      </x:c>
      <x:c r="G876" s="2" t="str">
        <x:v>Furniture</x:v>
      </x:c>
      <x:c r="H876" s="2" t="str">
        <x:v>Chair 018</x:v>
      </x:c>
      <x:c r="I876" s="11" t="n">
        <x:v>3</x:v>
      </x:c>
      <x:c r="J876" s="9" t="n">
        <x:v>269</x:v>
      </x:c>
      <x:c r="K876" s="10" t="n">
        <x:v>0.1</x:v>
      </x:c>
      <x:c r="L876" s="11" t="n">
        <x:v>1</x:v>
      </x:c>
      <x:c r="M876" s="9" t="n">
        <x:f>IF(D876="Completed",I876*J876,0)</x:f>
        <x:v>807</x:v>
      </x:c>
      <x:c r="N876" s="9" t="n">
        <x:f>M876*K876</x:f>
        <x:v>80.7</x:v>
      </x:c>
      <x:c r="O876" s="9" t="n">
        <x:f>M876-N876</x:f>
        <x:v>726.3</x:v>
      </x:c>
      <x:c r="P876" s="9" t="n">
        <x:f>IF(D876="Completed",L876*J876*(1-K876),0)</x:f>
        <x:v>242.1</x:v>
      </x:c>
      <x:c r="Q876" s="9" t="n">
        <x:f>O876-P876</x:f>
        <x:v>484.19999999999993</x:v>
      </x:c>
      <x:c r="R876" s="11" t="n">
        <x:f>IF(D876="Completed",I876,0)</x:f>
        <x:v>3</x:v>
      </x:c>
      <x:c r="S876" s="11" t="n">
        <x:f>IF(D876="Completed",L876,0)</x:f>
        <x:v>1</x:v>
      </x:c>
      <x:c r="T876" s="8" t="n">
        <x:f>DATE(YEAR(C876),MONTH(C876),1)</x:f>
        <x:v>45689</x:v>
      </x:c>
    </x:row>
    <x:row r="877" ht="22" customHeight="1">
      <x:c r="A877" s="2" t="str">
        <x:v>L000873</x:v>
      </x:c>
      <x:c r="B877" s="2" t="str">
        <x:v>O00357</x:v>
      </x:c>
      <x:c r="C877" s="7" t="n">
        <x:v>45697</x:v>
      </x:c>
      <x:c r="D877" s="2" t="str">
        <x:v>Completed</x:v>
      </x:c>
      <x:c r="E877" s="2" t="str">
        <x:v>North</x:v>
      </x:c>
      <x:c r="F877" s="2" t="str">
        <x:v>Store</x:v>
      </x:c>
      <x:c r="G877" s="2" t="str">
        <x:v>Storage</x:v>
      </x:c>
      <x:c r="H877" s="2" t="str">
        <x:v>Shelf 003</x:v>
      </x:c>
      <x:c r="I877" s="11" t="n">
        <x:v>4</x:v>
      </x:c>
      <x:c r="J877" s="9" t="n">
        <x:v>199</x:v>
      </x:c>
      <x:c r="K877" s="10" t="n">
        <x:v>0</x:v>
      </x:c>
      <x:c r="L877" s="11" t="n">
        <x:v>0</x:v>
      </x:c>
      <x:c r="M877" s="9" t="n">
        <x:f>IF(D877="Completed",I877*J877,0)</x:f>
        <x:v>796</x:v>
      </x:c>
      <x:c r="N877" s="9" t="n">
        <x:f>M877*K877</x:f>
        <x:v>0</x:v>
      </x:c>
      <x:c r="O877" s="9" t="n">
        <x:f>M877-N877</x:f>
        <x:v>796</x:v>
      </x:c>
      <x:c r="P877" s="9" t="n">
        <x:f>IF(D877="Completed",L877*J877*(1-K877),0)</x:f>
        <x:v>0</x:v>
      </x:c>
      <x:c r="Q877" s="9" t="n">
        <x:f>O877-P877</x:f>
        <x:v>796</x:v>
      </x:c>
      <x:c r="R877" s="11" t="n">
        <x:f>IF(D877="Completed",I877,0)</x:f>
        <x:v>4</x:v>
      </x:c>
      <x:c r="S877" s="11" t="n">
        <x:f>IF(D877="Completed",L877,0)</x:f>
        <x:v>0</x:v>
      </x:c>
      <x:c r="T877" s="8" t="n">
        <x:f>DATE(YEAR(C877),MONTH(C877),1)</x:f>
        <x:v>45689</x:v>
      </x:c>
    </x:row>
    <x:row r="878" ht="22" customHeight="1">
      <x:c r="A878" s="2" t="str">
        <x:v>L000874</x:v>
      </x:c>
      <x:c r="B878" s="2" t="str">
        <x:v>O00357</x:v>
      </x:c>
      <x:c r="C878" s="7" t="n">
        <x:v>45697</x:v>
      </x:c>
      <x:c r="D878" s="2" t="str">
        <x:v>Completed</x:v>
      </x:c>
      <x:c r="E878" s="2" t="str">
        <x:v>North</x:v>
      </x:c>
      <x:c r="F878" s="2" t="str">
        <x:v>Store</x:v>
      </x:c>
      <x:c r="G878" s="2" t="str">
        <x:v>Storage</x:v>
      </x:c>
      <x:c r="H878" s="2" t="str">
        <x:v>Shelf 015</x:v>
      </x:c>
      <x:c r="I878" s="11" t="n">
        <x:v>5</x:v>
      </x:c>
      <x:c r="J878" s="9" t="n">
        <x:v>254</x:v>
      </x:c>
      <x:c r="K878" s="10" t="n">
        <x:v>0.2</x:v>
      </x:c>
      <x:c r="L878" s="11" t="n">
        <x:v>0</x:v>
      </x:c>
      <x:c r="M878" s="9" t="n">
        <x:f>IF(D878="Completed",I878*J878,0)</x:f>
        <x:v>1270</x:v>
      </x:c>
      <x:c r="N878" s="9" t="n">
        <x:f>M878*K878</x:f>
        <x:v>254</x:v>
      </x:c>
      <x:c r="O878" s="9" t="n">
        <x:f>M878-N878</x:f>
        <x:v>1016</x:v>
      </x:c>
      <x:c r="P878" s="9" t="n">
        <x:f>IF(D878="Completed",L878*J878*(1-K878),0)</x:f>
        <x:v>0</x:v>
      </x:c>
      <x:c r="Q878" s="9" t="n">
        <x:f>O878-P878</x:f>
        <x:v>1016</x:v>
      </x:c>
      <x:c r="R878" s="11" t="n">
        <x:f>IF(D878="Completed",I878,0)</x:f>
        <x:v>5</x:v>
      </x:c>
      <x:c r="S878" s="11" t="n">
        <x:f>IF(D878="Completed",L878,0)</x:f>
        <x:v>0</x:v>
      </x:c>
      <x:c r="T878" s="8" t="n">
        <x:f>DATE(YEAR(C878),MONTH(C878),1)</x:f>
        <x:v>45689</x:v>
      </x:c>
    </x:row>
    <x:row r="879" ht="22" customHeight="1">
      <x:c r="A879" s="2" t="str">
        <x:v>L000875</x:v>
      </x:c>
      <x:c r="B879" s="2" t="str">
        <x:v>O00358</x:v>
      </x:c>
      <x:c r="C879" s="7" t="n">
        <x:v>45737</x:v>
      </x:c>
      <x:c r="D879" s="2" t="str">
        <x:v>Completed</x:v>
      </x:c>
      <x:c r="E879" s="2" t="str">
        <x:v>South</x:v>
      </x:c>
      <x:c r="F879" s="2" t="str">
        <x:v>Online</x:v>
      </x:c>
      <x:c r="G879" s="2" t="str">
        <x:v>Furniture</x:v>
      </x:c>
      <x:c r="H879" s="2" t="str">
        <x:v>Chair 014</x:v>
      </x:c>
      <x:c r="I879" s="11" t="n">
        <x:v>5</x:v>
      </x:c>
      <x:c r="J879" s="9" t="n">
        <x:v>294</x:v>
      </x:c>
      <x:c r="K879" s="10" t="n">
        <x:v>0.2</x:v>
      </x:c>
      <x:c r="L879" s="11" t="n">
        <x:v>0</x:v>
      </x:c>
      <x:c r="M879" s="9" t="n">
        <x:f>IF(D879="Completed",I879*J879,0)</x:f>
        <x:v>1470</x:v>
      </x:c>
      <x:c r="N879" s="9" t="n">
        <x:f>M879*K879</x:f>
        <x:v>294</x:v>
      </x:c>
      <x:c r="O879" s="9" t="n">
        <x:f>M879-N879</x:f>
        <x:v>1176</x:v>
      </x:c>
      <x:c r="P879" s="9" t="n">
        <x:f>IF(D879="Completed",L879*J879*(1-K879),0)</x:f>
        <x:v>0</x:v>
      </x:c>
      <x:c r="Q879" s="9" t="n">
        <x:f>O879-P879</x:f>
        <x:v>1176</x:v>
      </x:c>
      <x:c r="R879" s="11" t="n">
        <x:f>IF(D879="Completed",I879,0)</x:f>
        <x:v>5</x:v>
      </x:c>
      <x:c r="S879" s="11" t="n">
        <x:f>IF(D879="Completed",L879,0)</x:f>
        <x:v>0</x:v>
      </x:c>
      <x:c r="T879" s="8" t="n">
        <x:f>DATE(YEAR(C879),MONTH(C879),1)</x:f>
        <x:v>45717</x:v>
      </x:c>
    </x:row>
    <x:row r="880" ht="22" customHeight="1">
      <x:c r="A880" s="2" t="str">
        <x:v>L000876</x:v>
      </x:c>
      <x:c r="B880" s="2" t="str">
        <x:v>O00358</x:v>
      </x:c>
      <x:c r="C880" s="7" t="n">
        <x:v>45737</x:v>
      </x:c>
      <x:c r="D880" s="2" t="str">
        <x:v>Completed</x:v>
      </x:c>
      <x:c r="E880" s="2" t="str">
        <x:v>South</x:v>
      </x:c>
      <x:c r="F880" s="2" t="str">
        <x:v>Online</x:v>
      </x:c>
      <x:c r="G880" s="2" t="str">
        <x:v>Furniture</x:v>
      </x:c>
      <x:c r="H880" s="2" t="str">
        <x:v>Desk 016</x:v>
      </x:c>
      <x:c r="I880" s="11" t="n">
        <x:v>2</x:v>
      </x:c>
      <x:c r="J880" s="9" t="n">
        <x:v>231</x:v>
      </x:c>
      <x:c r="K880" s="10" t="n">
        <x:v>0.05</x:v>
      </x:c>
      <x:c r="L880" s="11" t="n">
        <x:v>0</x:v>
      </x:c>
      <x:c r="M880" s="9" t="n">
        <x:f>IF(D880="Completed",I880*J880,0)</x:f>
        <x:v>462</x:v>
      </x:c>
      <x:c r="N880" s="9" t="n">
        <x:f>M880*K880</x:f>
        <x:v>23.1</x:v>
      </x:c>
      <x:c r="O880" s="9" t="n">
        <x:f>M880-N880</x:f>
        <x:v>438.9</x:v>
      </x:c>
      <x:c r="P880" s="9" t="n">
        <x:f>IF(D880="Completed",L880*J880*(1-K880),0)</x:f>
        <x:v>0</x:v>
      </x:c>
      <x:c r="Q880" s="9" t="n">
        <x:f>O880-P880</x:f>
        <x:v>438.9</x:v>
      </x:c>
      <x:c r="R880" s="11" t="n">
        <x:f>IF(D880="Completed",I880,0)</x:f>
        <x:v>2</x:v>
      </x:c>
      <x:c r="S880" s="11" t="n">
        <x:f>IF(D880="Completed",L880,0)</x:f>
        <x:v>0</x:v>
      </x:c>
      <x:c r="T880" s="8" t="n">
        <x:f>DATE(YEAR(C880),MONTH(C880),1)</x:f>
        <x:v>45717</x:v>
      </x:c>
    </x:row>
    <x:row r="881" ht="22" customHeight="1">
      <x:c r="A881" s="2" t="str">
        <x:v>L000877</x:v>
      </x:c>
      <x:c r="B881" s="2" t="str">
        <x:v>O00358</x:v>
      </x:c>
      <x:c r="C881" s="7" t="n">
        <x:v>45737</x:v>
      </x:c>
      <x:c r="D881" s="2" t="str">
        <x:v>Completed</x:v>
      </x:c>
      <x:c r="E881" s="2" t="str">
        <x:v>South</x:v>
      </x:c>
      <x:c r="F881" s="2" t="str">
        <x:v>Online</x:v>
      </x:c>
      <x:c r="G881" s="2" t="str">
        <x:v>Lighting</x:v>
      </x:c>
      <x:c r="H881" s="2" t="str">
        <x:v>Lamp 021</x:v>
      </x:c>
      <x:c r="I881" s="11" t="n">
        <x:v>2</x:v>
      </x:c>
      <x:c r="J881" s="9" t="n">
        <x:v>249</x:v>
      </x:c>
      <x:c r="K881" s="10" t="n">
        <x:v>0.2</x:v>
      </x:c>
      <x:c r="L881" s="11" t="n">
        <x:v>0</x:v>
      </x:c>
      <x:c r="M881" s="9" t="n">
        <x:f>IF(D881="Completed",I881*J881,0)</x:f>
        <x:v>498</x:v>
      </x:c>
      <x:c r="N881" s="9" t="n">
        <x:f>M881*K881</x:f>
        <x:v>99.60000000000001</x:v>
      </x:c>
      <x:c r="O881" s="9" t="n">
        <x:f>M881-N881</x:f>
        <x:v>398.4</x:v>
      </x:c>
      <x:c r="P881" s="9" t="n">
        <x:f>IF(D881="Completed",L881*J881*(1-K881),0)</x:f>
        <x:v>0</x:v>
      </x:c>
      <x:c r="Q881" s="9" t="n">
        <x:f>O881-P881</x:f>
        <x:v>398.4</x:v>
      </x:c>
      <x:c r="R881" s="11" t="n">
        <x:f>IF(D881="Completed",I881,0)</x:f>
        <x:v>2</x:v>
      </x:c>
      <x:c r="S881" s="11" t="n">
        <x:f>IF(D881="Completed",L881,0)</x:f>
        <x:v>0</x:v>
      </x:c>
      <x:c r="T881" s="8" t="n">
        <x:f>DATE(YEAR(C881),MONTH(C881),1)</x:f>
        <x:v>45717</x:v>
      </x:c>
    </x:row>
    <x:row r="882" ht="22" customHeight="1">
      <x:c r="A882" s="2" t="str">
        <x:v>L000878</x:v>
      </x:c>
      <x:c r="B882" s="2" t="str">
        <x:v>O00358</x:v>
      </x:c>
      <x:c r="C882" s="7" t="n">
        <x:v>45737</x:v>
      </x:c>
      <x:c r="D882" s="2" t="str">
        <x:v>Completed</x:v>
      </x:c>
      <x:c r="E882" s="2" t="str">
        <x:v>South</x:v>
      </x:c>
      <x:c r="F882" s="2" t="str">
        <x:v>Online</x:v>
      </x:c>
      <x:c r="G882" s="2" t="str">
        <x:v>Storage</x:v>
      </x:c>
      <x:c r="H882" s="2" t="str">
        <x:v>Shelf 003</x:v>
      </x:c>
      <x:c r="I882" s="11" t="n">
        <x:v>5</x:v>
      </x:c>
      <x:c r="J882" s="9" t="n">
        <x:v>199</x:v>
      </x:c>
      <x:c r="K882" s="10" t="n">
        <x:v>0.05</x:v>
      </x:c>
      <x:c r="L882" s="11" t="n">
        <x:v>0</x:v>
      </x:c>
      <x:c r="M882" s="9" t="n">
        <x:f>IF(D882="Completed",I882*J882,0)</x:f>
        <x:v>995</x:v>
      </x:c>
      <x:c r="N882" s="9" t="n">
        <x:f>M882*K882</x:f>
        <x:v>49.75</x:v>
      </x:c>
      <x:c r="O882" s="9" t="n">
        <x:f>M882-N882</x:f>
        <x:v>945.25</x:v>
      </x:c>
      <x:c r="P882" s="9" t="n">
        <x:f>IF(D882="Completed",L882*J882*(1-K882),0)</x:f>
        <x:v>0</x:v>
      </x:c>
      <x:c r="Q882" s="9" t="n">
        <x:f>O882-P882</x:f>
        <x:v>945.25</x:v>
      </x:c>
      <x:c r="R882" s="11" t="n">
        <x:f>IF(D882="Completed",I882,0)</x:f>
        <x:v>5</x:v>
      </x:c>
      <x:c r="S882" s="11" t="n">
        <x:f>IF(D882="Completed",L882,0)</x:f>
        <x:v>0</x:v>
      </x:c>
      <x:c r="T882" s="8" t="n">
        <x:f>DATE(YEAR(C882),MONTH(C882),1)</x:f>
        <x:v>45717</x:v>
      </x:c>
    </x:row>
    <x:row r="883" ht="22" customHeight="1">
      <x:c r="A883" s="2" t="str">
        <x:v>L000879</x:v>
      </x:c>
      <x:c r="B883" s="2" t="str">
        <x:v>O00359</x:v>
      </x:c>
      <x:c r="C883" s="7" t="n">
        <x:v>45910</x:v>
      </x:c>
      <x:c r="D883" s="2" t="str">
        <x:v>Completed</x:v>
      </x:c>
      <x:c r="E883" s="2" t="str">
        <x:v>West</x:v>
      </x:c>
      <x:c r="F883" s="2" t="str">
        <x:v>Online</x:v>
      </x:c>
      <x:c r="G883" s="2" t="str">
        <x:v>Storage</x:v>
      </x:c>
      <x:c r="H883" s="2" t="str">
        <x:v>Shelf 003</x:v>
      </x:c>
      <x:c r="I883" s="11" t="n">
        <x:v>4</x:v>
      </x:c>
      <x:c r="J883" s="9" t="n">
        <x:v>199</x:v>
      </x:c>
      <x:c r="K883" s="10" t="n">
        <x:v>0.2</x:v>
      </x:c>
      <x:c r="L883" s="11" t="n">
        <x:v>0</x:v>
      </x:c>
      <x:c r="M883" s="9" t="n">
        <x:f>IF(D883="Completed",I883*J883,0)</x:f>
        <x:v>796</x:v>
      </x:c>
      <x:c r="N883" s="9" t="n">
        <x:f>M883*K883</x:f>
        <x:v>159.20000000000002</x:v>
      </x:c>
      <x:c r="O883" s="9" t="n">
        <x:f>M883-N883</x:f>
        <x:v>636.8</x:v>
      </x:c>
      <x:c r="P883" s="9" t="n">
        <x:f>IF(D883="Completed",L883*J883*(1-K883),0)</x:f>
        <x:v>0</x:v>
      </x:c>
      <x:c r="Q883" s="9" t="n">
        <x:f>O883-P883</x:f>
        <x:v>636.8</x:v>
      </x:c>
      <x:c r="R883" s="11" t="n">
        <x:f>IF(D883="Completed",I883,0)</x:f>
        <x:v>4</x:v>
      </x:c>
      <x:c r="S883" s="11" t="n">
        <x:f>IF(D883="Completed",L883,0)</x:f>
        <x:v>0</x:v>
      </x:c>
      <x:c r="T883" s="8" t="n">
        <x:f>DATE(YEAR(C883),MONTH(C883),1)</x:f>
        <x:v>45901</x:v>
      </x:c>
    </x:row>
    <x:row r="884" ht="22" customHeight="1">
      <x:c r="A884" s="2" t="str">
        <x:v>L000880</x:v>
      </x:c>
      <x:c r="B884" s="2" t="str">
        <x:v>O00359</x:v>
      </x:c>
      <x:c r="C884" s="7" t="n">
        <x:v>45910</x:v>
      </x:c>
      <x:c r="D884" s="2" t="str">
        <x:v>Completed</x:v>
      </x:c>
      <x:c r="E884" s="2" t="str">
        <x:v>West</x:v>
      </x:c>
      <x:c r="F884" s="2" t="str">
        <x:v>Online</x:v>
      </x:c>
      <x:c r="G884" s="2" t="str">
        <x:v>Furniture</x:v>
      </x:c>
      <x:c r="H884" s="2" t="str">
        <x:v>Chair 010</x:v>
      </x:c>
      <x:c r="I884" s="11" t="n">
        <x:v>1</x:v>
      </x:c>
      <x:c r="J884" s="9" t="n">
        <x:v>211</x:v>
      </x:c>
      <x:c r="K884" s="10" t="n">
        <x:v>0.2</x:v>
      </x:c>
      <x:c r="L884" s="11" t="n">
        <x:v>0</x:v>
      </x:c>
      <x:c r="M884" s="9" t="n">
        <x:f>IF(D884="Completed",I884*J884,0)</x:f>
        <x:v>211</x:v>
      </x:c>
      <x:c r="N884" s="9" t="n">
        <x:f>M884*K884</x:f>
        <x:v>42.2</x:v>
      </x:c>
      <x:c r="O884" s="9" t="n">
        <x:f>M884-N884</x:f>
        <x:v>168.8</x:v>
      </x:c>
      <x:c r="P884" s="9" t="n">
        <x:f>IF(D884="Completed",L884*J884*(1-K884),0)</x:f>
        <x:v>0</x:v>
      </x:c>
      <x:c r="Q884" s="9" t="n">
        <x:f>O884-P884</x:f>
        <x:v>168.8</x:v>
      </x:c>
      <x:c r="R884" s="11" t="n">
        <x:f>IF(D884="Completed",I884,0)</x:f>
        <x:v>1</x:v>
      </x:c>
      <x:c r="S884" s="11" t="n">
        <x:f>IF(D884="Completed",L884,0)</x:f>
        <x:v>0</x:v>
      </x:c>
      <x:c r="T884" s="8" t="n">
        <x:f>DATE(YEAR(C884),MONTH(C884),1)</x:f>
        <x:v>45901</x:v>
      </x:c>
    </x:row>
    <x:row r="885" ht="22" customHeight="1">
      <x:c r="A885" s="2" t="str">
        <x:v>L000881</x:v>
      </x:c>
      <x:c r="B885" s="2" t="str">
        <x:v>O00359</x:v>
      </x:c>
      <x:c r="C885" s="7" t="n">
        <x:v>45910</x:v>
      </x:c>
      <x:c r="D885" s="2" t="str">
        <x:v>Completed</x:v>
      </x:c>
      <x:c r="E885" s="2" t="str">
        <x:v>West</x:v>
      </x:c>
      <x:c r="F885" s="2" t="str">
        <x:v>Online</x:v>
      </x:c>
      <x:c r="G885" s="2" t="str">
        <x:v>Storage</x:v>
      </x:c>
      <x:c r="H885" s="2" t="str">
        <x:v>Shelf 019</x:v>
      </x:c>
      <x:c r="I885" s="11" t="n">
        <x:v>4</x:v>
      </x:c>
      <x:c r="J885" s="9" t="n">
        <x:v>78</x:v>
      </x:c>
      <x:c r="K885" s="10" t="n">
        <x:v>0.05</x:v>
      </x:c>
      <x:c r="L885" s="11" t="n">
        <x:v>0</x:v>
      </x:c>
      <x:c r="M885" s="9" t="n">
        <x:f>IF(D885="Completed",I885*J885,0)</x:f>
        <x:v>312</x:v>
      </x:c>
      <x:c r="N885" s="9" t="n">
        <x:f>M885*K885</x:f>
        <x:v>15.600000000000001</x:v>
      </x:c>
      <x:c r="O885" s="9" t="n">
        <x:f>M885-N885</x:f>
        <x:v>296.4</x:v>
      </x:c>
      <x:c r="P885" s="9" t="n">
        <x:f>IF(D885="Completed",L885*J885*(1-K885),0)</x:f>
        <x:v>0</x:v>
      </x:c>
      <x:c r="Q885" s="9" t="n">
        <x:f>O885-P885</x:f>
        <x:v>296.4</x:v>
      </x:c>
      <x:c r="R885" s="11" t="n">
        <x:f>IF(D885="Completed",I885,0)</x:f>
        <x:v>4</x:v>
      </x:c>
      <x:c r="S885" s="11" t="n">
        <x:f>IF(D885="Completed",L885,0)</x:f>
        <x:v>0</x:v>
      </x:c>
      <x:c r="T885" s="8" t="n">
        <x:f>DATE(YEAR(C885),MONTH(C885),1)</x:f>
        <x:v>45901</x:v>
      </x:c>
    </x:row>
    <x:row r="886" ht="22" customHeight="1">
      <x:c r="A886" s="2" t="str">
        <x:v>L000882</x:v>
      </x:c>
      <x:c r="B886" s="2" t="str">
        <x:v>O00359</x:v>
      </x:c>
      <x:c r="C886" s="7" t="n">
        <x:v>45910</x:v>
      </x:c>
      <x:c r="D886" s="2" t="str">
        <x:v>Completed</x:v>
      </x:c>
      <x:c r="E886" s="2" t="str">
        <x:v>West</x:v>
      </x:c>
      <x:c r="F886" s="2" t="str">
        <x:v>Online</x:v>
      </x:c>
      <x:c r="G886" s="2" t="str">
        <x:v>Storage</x:v>
      </x:c>
      <x:c r="H886" s="2" t="str">
        <x:v>Shelf 015</x:v>
      </x:c>
      <x:c r="I886" s="11" t="n">
        <x:v>3</x:v>
      </x:c>
      <x:c r="J886" s="9" t="n">
        <x:v>254</x:v>
      </x:c>
      <x:c r="K886" s="10" t="n">
        <x:v>0</x:v>
      </x:c>
      <x:c r="L886" s="11" t="n">
        <x:v>0</x:v>
      </x:c>
      <x:c r="M886" s="9" t="n">
        <x:f>IF(D886="Completed",I886*J886,0)</x:f>
        <x:v>762</x:v>
      </x:c>
      <x:c r="N886" s="9" t="n">
        <x:f>M886*K886</x:f>
        <x:v>0</x:v>
      </x:c>
      <x:c r="O886" s="9" t="n">
        <x:f>M886-N886</x:f>
        <x:v>762</x:v>
      </x:c>
      <x:c r="P886" s="9" t="n">
        <x:f>IF(D886="Completed",L886*J886*(1-K886),0)</x:f>
        <x:v>0</x:v>
      </x:c>
      <x:c r="Q886" s="9" t="n">
        <x:f>O886-P886</x:f>
        <x:v>762</x:v>
      </x:c>
      <x:c r="R886" s="11" t="n">
        <x:f>IF(D886="Completed",I886,0)</x:f>
        <x:v>3</x:v>
      </x:c>
      <x:c r="S886" s="11" t="n">
        <x:f>IF(D886="Completed",L886,0)</x:f>
        <x:v>0</x:v>
      </x:c>
      <x:c r="T886" s="8" t="n">
        <x:f>DATE(YEAR(C886),MONTH(C886),1)</x:f>
        <x:v>45901</x:v>
      </x:c>
    </x:row>
    <x:row r="887" ht="22" customHeight="1">
      <x:c r="A887" s="2" t="str">
        <x:v>L000883</x:v>
      </x:c>
      <x:c r="B887" s="2" t="str">
        <x:v>O00360</x:v>
      </x:c>
      <x:c r="C887" s="7" t="n">
        <x:v>45669</x:v>
      </x:c>
      <x:c r="D887" s="2" t="str">
        <x:v>Completed</x:v>
      </x:c>
      <x:c r="E887" s="2" t="str">
        <x:v>South</x:v>
      </x:c>
      <x:c r="F887" s="2" t="str">
        <x:v>Online</x:v>
      </x:c>
      <x:c r="G887" s="2" t="str">
        <x:v>Furniture</x:v>
      </x:c>
      <x:c r="H887" s="2" t="str">
        <x:v>Chair 014</x:v>
      </x:c>
      <x:c r="I887" s="11" t="n">
        <x:v>4</x:v>
      </x:c>
      <x:c r="J887" s="9" t="n">
        <x:v>294</x:v>
      </x:c>
      <x:c r="K887" s="10" t="n">
        <x:v>0.1</x:v>
      </x:c>
      <x:c r="L887" s="11" t="n">
        <x:v>0</x:v>
      </x:c>
      <x:c r="M887" s="9" t="n">
        <x:f>IF(D887="Completed",I887*J887,0)</x:f>
        <x:v>1176</x:v>
      </x:c>
      <x:c r="N887" s="9" t="n">
        <x:f>M887*K887</x:f>
        <x:v>117.60000000000001</x:v>
      </x:c>
      <x:c r="O887" s="9" t="n">
        <x:f>M887-N887</x:f>
        <x:v>1058.4</x:v>
      </x:c>
      <x:c r="P887" s="9" t="n">
        <x:f>IF(D887="Completed",L887*J887*(1-K887),0)</x:f>
        <x:v>0</x:v>
      </x:c>
      <x:c r="Q887" s="9" t="n">
        <x:f>O887-P887</x:f>
        <x:v>1058.4</x:v>
      </x:c>
      <x:c r="R887" s="11" t="n">
        <x:f>IF(D887="Completed",I887,0)</x:f>
        <x:v>4</x:v>
      </x:c>
      <x:c r="S887" s="11" t="n">
        <x:f>IF(D887="Completed",L887,0)</x:f>
        <x:v>0</x:v>
      </x:c>
      <x:c r="T887" s="8" t="n">
        <x:f>DATE(YEAR(C887),MONTH(C887),1)</x:f>
        <x:v>45658</x:v>
      </x:c>
    </x:row>
    <x:row r="888" ht="22" customHeight="1">
      <x:c r="A888" s="2" t="str">
        <x:v>L000884</x:v>
      </x:c>
      <x:c r="B888" s="2" t="str">
        <x:v>O00360</x:v>
      </x:c>
      <x:c r="C888" s="7" t="n">
        <x:v>45669</x:v>
      </x:c>
      <x:c r="D888" s="2" t="str">
        <x:v>Completed</x:v>
      </x:c>
      <x:c r="E888" s="2" t="str">
        <x:v>South</x:v>
      </x:c>
      <x:c r="F888" s="2" t="str">
        <x:v>Online</x:v>
      </x:c>
      <x:c r="G888" s="2" t="str">
        <x:v>Furniture</x:v>
      </x:c>
      <x:c r="H888" s="2" t="str">
        <x:v>Chair 014</x:v>
      </x:c>
      <x:c r="I888" s="11" t="n">
        <x:v>4</x:v>
      </x:c>
      <x:c r="J888" s="9" t="n">
        <x:v>294</x:v>
      </x:c>
      <x:c r="K888" s="10" t="n">
        <x:v>0.1</x:v>
      </x:c>
      <x:c r="L888" s="11" t="n">
        <x:v>0</x:v>
      </x:c>
      <x:c r="M888" s="9" t="n">
        <x:f>IF(D888="Completed",I888*J888,0)</x:f>
        <x:v>1176</x:v>
      </x:c>
      <x:c r="N888" s="9" t="n">
        <x:f>M888*K888</x:f>
        <x:v>117.60000000000001</x:v>
      </x:c>
      <x:c r="O888" s="9" t="n">
        <x:f>M888-N888</x:f>
        <x:v>1058.4</x:v>
      </x:c>
      <x:c r="P888" s="9" t="n">
        <x:f>IF(D888="Completed",L888*J888*(1-K888),0)</x:f>
        <x:v>0</x:v>
      </x:c>
      <x:c r="Q888" s="9" t="n">
        <x:f>O888-P888</x:f>
        <x:v>1058.4</x:v>
      </x:c>
      <x:c r="R888" s="11" t="n">
        <x:f>IF(D888="Completed",I888,0)</x:f>
        <x:v>4</x:v>
      </x:c>
      <x:c r="S888" s="11" t="n">
        <x:f>IF(D888="Completed",L888,0)</x:f>
        <x:v>0</x:v>
      </x:c>
      <x:c r="T888" s="8" t="n">
        <x:f>DATE(YEAR(C888),MONTH(C888),1)</x:f>
        <x:v>45658</x:v>
      </x:c>
    </x:row>
    <x:row r="889" ht="22" customHeight="1">
      <x:c r="A889" s="2" t="str">
        <x:v>L000885</x:v>
      </x:c>
      <x:c r="B889" s="2" t="str">
        <x:v>O00361</x:v>
      </x:c>
      <x:c r="C889" s="7" t="n">
        <x:v>45728</x:v>
      </x:c>
      <x:c r="D889" s="2" t="str">
        <x:v>Completed</x:v>
      </x:c>
      <x:c r="E889" s="2" t="str">
        <x:v>North</x:v>
      </x:c>
      <x:c r="F889" s="2" t="str">
        <x:v>Store</x:v>
      </x:c>
      <x:c r="G889" s="2" t="str">
        <x:v>Furniture</x:v>
      </x:c>
      <x:c r="H889" s="2" t="str">
        <x:v>Chair 022</x:v>
      </x:c>
      <x:c r="I889" s="11" t="n">
        <x:v>2</x:v>
      </x:c>
      <x:c r="J889" s="9" t="n">
        <x:v>134</x:v>
      </x:c>
      <x:c r="K889" s="10" t="n">
        <x:v>0.2</x:v>
      </x:c>
      <x:c r="L889" s="11" t="n">
        <x:v>0</x:v>
      </x:c>
      <x:c r="M889" s="9" t="n">
        <x:f>IF(D889="Completed",I889*J889,0)</x:f>
        <x:v>268</x:v>
      </x:c>
      <x:c r="N889" s="9" t="n">
        <x:f>M889*K889</x:f>
        <x:v>53.6</x:v>
      </x:c>
      <x:c r="O889" s="9" t="n">
        <x:f>M889-N889</x:f>
        <x:v>214.4</x:v>
      </x:c>
      <x:c r="P889" s="9" t="n">
        <x:f>IF(D889="Completed",L889*J889*(1-K889),0)</x:f>
        <x:v>0</x:v>
      </x:c>
      <x:c r="Q889" s="9" t="n">
        <x:f>O889-P889</x:f>
        <x:v>214.4</x:v>
      </x:c>
      <x:c r="R889" s="11" t="n">
        <x:f>IF(D889="Completed",I889,0)</x:f>
        <x:v>2</x:v>
      </x:c>
      <x:c r="S889" s="11" t="n">
        <x:f>IF(D889="Completed",L889,0)</x:f>
        <x:v>0</x:v>
      </x:c>
      <x:c r="T889" s="8" t="n">
        <x:f>DATE(YEAR(C889),MONTH(C889),1)</x:f>
        <x:v>45717</x:v>
      </x:c>
    </x:row>
    <x:row r="890" ht="22" customHeight="1">
      <x:c r="A890" s="2" t="str">
        <x:v>L000886</x:v>
      </x:c>
      <x:c r="B890" s="2" t="str">
        <x:v>O00361</x:v>
      </x:c>
      <x:c r="C890" s="7" t="n">
        <x:v>45728</x:v>
      </x:c>
      <x:c r="D890" s="2" t="str">
        <x:v>Completed</x:v>
      </x:c>
      <x:c r="E890" s="2" t="str">
        <x:v>North</x:v>
      </x:c>
      <x:c r="F890" s="2" t="str">
        <x:v>Store</x:v>
      </x:c>
      <x:c r="G890" s="2" t="str">
        <x:v>Furniture</x:v>
      </x:c>
      <x:c r="H890" s="2" t="str">
        <x:v>Desk 012</x:v>
      </x:c>
      <x:c r="I890" s="11" t="n">
        <x:v>3</x:v>
      </x:c>
      <x:c r="J890" s="9" t="n">
        <x:v>134</x:v>
      </x:c>
      <x:c r="K890" s="10" t="n">
        <x:v>0.1</x:v>
      </x:c>
      <x:c r="L890" s="11" t="n">
        <x:v>0</x:v>
      </x:c>
      <x:c r="M890" s="9" t="n">
        <x:f>IF(D890="Completed",I890*J890,0)</x:f>
        <x:v>402</x:v>
      </x:c>
      <x:c r="N890" s="9" t="n">
        <x:f>M890*K890</x:f>
        <x:v>40.2</x:v>
      </x:c>
      <x:c r="O890" s="9" t="n">
        <x:f>M890-N890</x:f>
        <x:v>361.8</x:v>
      </x:c>
      <x:c r="P890" s="9" t="n">
        <x:f>IF(D890="Completed",L890*J890*(1-K890),0)</x:f>
        <x:v>0</x:v>
      </x:c>
      <x:c r="Q890" s="9" t="n">
        <x:f>O890-P890</x:f>
        <x:v>361.8</x:v>
      </x:c>
      <x:c r="R890" s="11" t="n">
        <x:f>IF(D890="Completed",I890,0)</x:f>
        <x:v>3</x:v>
      </x:c>
      <x:c r="S890" s="11" t="n">
        <x:f>IF(D890="Completed",L890,0)</x:f>
        <x:v>0</x:v>
      </x:c>
      <x:c r="T890" s="8" t="n">
        <x:f>DATE(YEAR(C890),MONTH(C890),1)</x:f>
        <x:v>45717</x:v>
      </x:c>
    </x:row>
    <x:row r="891" ht="22" customHeight="1">
      <x:c r="A891" s="2" t="str">
        <x:v>L000887</x:v>
      </x:c>
      <x:c r="B891" s="2" t="str">
        <x:v>O00361</x:v>
      </x:c>
      <x:c r="C891" s="7" t="n">
        <x:v>45728</x:v>
      </x:c>
      <x:c r="D891" s="2" t="str">
        <x:v>Completed</x:v>
      </x:c>
      <x:c r="E891" s="2" t="str">
        <x:v>North</x:v>
      </x:c>
      <x:c r="F891" s="2" t="str">
        <x:v>Store</x:v>
      </x:c>
      <x:c r="G891" s="2" t="str">
        <x:v>Furniture</x:v>
      </x:c>
      <x:c r="H891" s="2" t="str">
        <x:v>Desk 024</x:v>
      </x:c>
      <x:c r="I891" s="11" t="n">
        <x:v>2</x:v>
      </x:c>
      <x:c r="J891" s="9" t="n">
        <x:v>81</x:v>
      </x:c>
      <x:c r="K891" s="10" t="n">
        <x:v>0.05</x:v>
      </x:c>
      <x:c r="L891" s="11" t="n">
        <x:v>0</x:v>
      </x:c>
      <x:c r="M891" s="9" t="n">
        <x:f>IF(D891="Completed",I891*J891,0)</x:f>
        <x:v>162</x:v>
      </x:c>
      <x:c r="N891" s="9" t="n">
        <x:f>M891*K891</x:f>
        <x:v>8.1</x:v>
      </x:c>
      <x:c r="O891" s="9" t="n">
        <x:f>M891-N891</x:f>
        <x:v>153.9</x:v>
      </x:c>
      <x:c r="P891" s="9" t="n">
        <x:f>IF(D891="Completed",L891*J891*(1-K891),0)</x:f>
        <x:v>0</x:v>
      </x:c>
      <x:c r="Q891" s="9" t="n">
        <x:f>O891-P891</x:f>
        <x:v>153.9</x:v>
      </x:c>
      <x:c r="R891" s="11" t="n">
        <x:f>IF(D891="Completed",I891,0)</x:f>
        <x:v>2</x:v>
      </x:c>
      <x:c r="S891" s="11" t="n">
        <x:f>IF(D891="Completed",L891,0)</x:f>
        <x:v>0</x:v>
      </x:c>
      <x:c r="T891" s="8" t="n">
        <x:f>DATE(YEAR(C891),MONTH(C891),1)</x:f>
        <x:v>45717</x:v>
      </x:c>
    </x:row>
    <x:row r="892" ht="22" customHeight="1">
      <x:c r="A892" s="2" t="str">
        <x:v>L000888</x:v>
      </x:c>
      <x:c r="B892" s="2" t="str">
        <x:v>O00361</x:v>
      </x:c>
      <x:c r="C892" s="7" t="n">
        <x:v>45728</x:v>
      </x:c>
      <x:c r="D892" s="2" t="str">
        <x:v>Completed</x:v>
      </x:c>
      <x:c r="E892" s="2" t="str">
        <x:v>North</x:v>
      </x:c>
      <x:c r="F892" s="2" t="str">
        <x:v>Store</x:v>
      </x:c>
      <x:c r="G892" s="2" t="str">
        <x:v>Storage</x:v>
      </x:c>
      <x:c r="H892" s="2" t="str">
        <x:v>Shelf 011</x:v>
      </x:c>
      <x:c r="I892" s="11" t="n">
        <x:v>2</x:v>
      </x:c>
      <x:c r="J892" s="9" t="n">
        <x:v>80</x:v>
      </x:c>
      <x:c r="K892" s="10" t="n">
        <x:v>0.1</x:v>
      </x:c>
      <x:c r="L892" s="11" t="n">
        <x:v>0</x:v>
      </x:c>
      <x:c r="M892" s="9" t="n">
        <x:f>IF(D892="Completed",I892*J892,0)</x:f>
        <x:v>160</x:v>
      </x:c>
      <x:c r="N892" s="9" t="n">
        <x:f>M892*K892</x:f>
        <x:v>16</x:v>
      </x:c>
      <x:c r="O892" s="9" t="n">
        <x:f>M892-N892</x:f>
        <x:v>144</x:v>
      </x:c>
      <x:c r="P892" s="9" t="n">
        <x:f>IF(D892="Completed",L892*J892*(1-K892),0)</x:f>
        <x:v>0</x:v>
      </x:c>
      <x:c r="Q892" s="9" t="n">
        <x:f>O892-P892</x:f>
        <x:v>144</x:v>
      </x:c>
      <x:c r="R892" s="11" t="n">
        <x:f>IF(D892="Completed",I892,0)</x:f>
        <x:v>2</x:v>
      </x:c>
      <x:c r="S892" s="11" t="n">
        <x:f>IF(D892="Completed",L892,0)</x:f>
        <x:v>0</x:v>
      </x:c>
      <x:c r="T892" s="8" t="n">
        <x:f>DATE(YEAR(C892),MONTH(C892),1)</x:f>
        <x:v>45717</x:v>
      </x:c>
    </x:row>
    <x:row r="893" ht="22" customHeight="1">
      <x:c r="A893" s="2" t="str">
        <x:v>L000889</x:v>
      </x:c>
      <x:c r="B893" s="2" t="str">
        <x:v>O00362</x:v>
      </x:c>
      <x:c r="C893" s="7" t="n">
        <x:v>45761</x:v>
      </x:c>
      <x:c r="D893" s="2" t="str">
        <x:v>Completed</x:v>
      </x:c>
      <x:c r="E893" s="2" t="str">
        <x:v>West</x:v>
      </x:c>
      <x:c r="F893" s="2" t="str">
        <x:v>Store</x:v>
      </x:c>
      <x:c r="G893" s="2" t="str">
        <x:v>Furniture</x:v>
      </x:c>
      <x:c r="H893" s="2" t="str">
        <x:v>Chair 010</x:v>
      </x:c>
      <x:c r="I893" s="11" t="n">
        <x:v>4</x:v>
      </x:c>
      <x:c r="J893" s="9" t="n">
        <x:v>211</x:v>
      </x:c>
      <x:c r="K893" s="10" t="n">
        <x:v>0</x:v>
      </x:c>
      <x:c r="L893" s="11" t="n">
        <x:v>0</x:v>
      </x:c>
      <x:c r="M893" s="9" t="n">
        <x:f>IF(D893="Completed",I893*J893,0)</x:f>
        <x:v>844</x:v>
      </x:c>
      <x:c r="N893" s="9" t="n">
        <x:f>M893*K893</x:f>
        <x:v>0</x:v>
      </x:c>
      <x:c r="O893" s="9" t="n">
        <x:f>M893-N893</x:f>
        <x:v>844</x:v>
      </x:c>
      <x:c r="P893" s="9" t="n">
        <x:f>IF(D893="Completed",L893*J893*(1-K893),0)</x:f>
        <x:v>0</x:v>
      </x:c>
      <x:c r="Q893" s="9" t="n">
        <x:f>O893-P893</x:f>
        <x:v>844</x:v>
      </x:c>
      <x:c r="R893" s="11" t="n">
        <x:f>IF(D893="Completed",I893,0)</x:f>
        <x:v>4</x:v>
      </x:c>
      <x:c r="S893" s="11" t="n">
        <x:f>IF(D893="Completed",L893,0)</x:f>
        <x:v>0</x:v>
      </x:c>
      <x:c r="T893" s="8" t="n">
        <x:f>DATE(YEAR(C893),MONTH(C893),1)</x:f>
        <x:v>45748</x:v>
      </x:c>
    </x:row>
    <x:row r="894" ht="22" customHeight="1">
      <x:c r="A894" s="2" t="str">
        <x:v>L000890</x:v>
      </x:c>
      <x:c r="B894" s="2" t="str">
        <x:v>O00363</x:v>
      </x:c>
      <x:c r="C894" s="7" t="n">
        <x:v>45712</x:v>
      </x:c>
      <x:c r="D894" s="2" t="str">
        <x:v>Completed</x:v>
      </x:c>
      <x:c r="E894" s="2" t="str">
        <x:v>East</x:v>
      </x:c>
      <x:c r="F894" s="2" t="str">
        <x:v>Online</x:v>
      </x:c>
      <x:c r="G894" s="2" t="str">
        <x:v>Storage</x:v>
      </x:c>
      <x:c r="H894" s="2" t="str">
        <x:v>Shelf 023</x:v>
      </x:c>
      <x:c r="I894" s="11" t="n">
        <x:v>5</x:v>
      </x:c>
      <x:c r="J894" s="9" t="n">
        <x:v>68</x:v>
      </x:c>
      <x:c r="K894" s="10" t="n">
        <x:v>0.2</x:v>
      </x:c>
      <x:c r="L894" s="11" t="n">
        <x:v>0</x:v>
      </x:c>
      <x:c r="M894" s="9" t="n">
        <x:f>IF(D894="Completed",I894*J894,0)</x:f>
        <x:v>340</x:v>
      </x:c>
      <x:c r="N894" s="9" t="n">
        <x:f>M894*K894</x:f>
        <x:v>68</x:v>
      </x:c>
      <x:c r="O894" s="9" t="n">
        <x:f>M894-N894</x:f>
        <x:v>272</x:v>
      </x:c>
      <x:c r="P894" s="9" t="n">
        <x:f>IF(D894="Completed",L894*J894*(1-K894),0)</x:f>
        <x:v>0</x:v>
      </x:c>
      <x:c r="Q894" s="9" t="n">
        <x:f>O894-P894</x:f>
        <x:v>272</x:v>
      </x:c>
      <x:c r="R894" s="11" t="n">
        <x:f>IF(D894="Completed",I894,0)</x:f>
        <x:v>5</x:v>
      </x:c>
      <x:c r="S894" s="11" t="n">
        <x:f>IF(D894="Completed",L894,0)</x:f>
        <x:v>0</x:v>
      </x:c>
      <x:c r="T894" s="8" t="n">
        <x:f>DATE(YEAR(C894),MONTH(C894),1)</x:f>
        <x:v>45689</x:v>
      </x:c>
    </x:row>
    <x:row r="895" ht="22" customHeight="1">
      <x:c r="A895" s="2" t="str">
        <x:v>L000891</x:v>
      </x:c>
      <x:c r="B895" s="2" t="str">
        <x:v>O00363</x:v>
      </x:c>
      <x:c r="C895" s="7" t="n">
        <x:v>45712</x:v>
      </x:c>
      <x:c r="D895" s="2" t="str">
        <x:v>Completed</x:v>
      </x:c>
      <x:c r="E895" s="2" t="str">
        <x:v>East</x:v>
      </x:c>
      <x:c r="F895" s="2" t="str">
        <x:v>Online</x:v>
      </x:c>
      <x:c r="G895" s="2" t="str">
        <x:v>Storage</x:v>
      </x:c>
      <x:c r="H895" s="2" t="str">
        <x:v>Shelf 003</x:v>
      </x:c>
      <x:c r="I895" s="11" t="n">
        <x:v>3</x:v>
      </x:c>
      <x:c r="J895" s="9" t="n">
        <x:v>199</x:v>
      </x:c>
      <x:c r="K895" s="10" t="n">
        <x:v>0.2</x:v>
      </x:c>
      <x:c r="L895" s="11" t="n">
        <x:v>0</x:v>
      </x:c>
      <x:c r="M895" s="9" t="n">
        <x:f>IF(D895="Completed",I895*J895,0)</x:f>
        <x:v>597</x:v>
      </x:c>
      <x:c r="N895" s="9" t="n">
        <x:f>M895*K895</x:f>
        <x:v>119.4</x:v>
      </x:c>
      <x:c r="O895" s="9" t="n">
        <x:f>M895-N895</x:f>
        <x:v>477.6</x:v>
      </x:c>
      <x:c r="P895" s="9" t="n">
        <x:f>IF(D895="Completed",L895*J895*(1-K895),0)</x:f>
        <x:v>0</x:v>
      </x:c>
      <x:c r="Q895" s="9" t="n">
        <x:f>O895-P895</x:f>
        <x:v>477.6</x:v>
      </x:c>
      <x:c r="R895" s="11" t="n">
        <x:f>IF(D895="Completed",I895,0)</x:f>
        <x:v>3</x:v>
      </x:c>
      <x:c r="S895" s="11" t="n">
        <x:f>IF(D895="Completed",L895,0)</x:f>
        <x:v>0</x:v>
      </x:c>
      <x:c r="T895" s="8" t="n">
        <x:f>DATE(YEAR(C895),MONTH(C895),1)</x:f>
        <x:v>45689</x:v>
      </x:c>
    </x:row>
    <x:row r="896" ht="22" customHeight="1">
      <x:c r="A896" s="2" t="str">
        <x:v>L000892</x:v>
      </x:c>
      <x:c r="B896" s="2" t="str">
        <x:v>O00364</x:v>
      </x:c>
      <x:c r="C896" s="7" t="n">
        <x:v>45812</x:v>
      </x:c>
      <x:c r="D896" s="2" t="str">
        <x:v>Cancelled</x:v>
      </x:c>
      <x:c r="E896" s="2" t="str">
        <x:v>West</x:v>
      </x:c>
      <x:c r="F896" s="2" t="str">
        <x:v>Online</x:v>
      </x:c>
      <x:c r="G896" s="2" t="str">
        <x:v>Furniture</x:v>
      </x:c>
      <x:c r="H896" s="2" t="str">
        <x:v>Chair 002</x:v>
      </x:c>
      <x:c r="I896" s="11" t="n">
        <x:v>4</x:v>
      </x:c>
      <x:c r="J896" s="9" t="n">
        <x:v>284</x:v>
      </x:c>
      <x:c r="K896" s="10" t="n">
        <x:v>0.2</x:v>
      </x:c>
      <x:c r="L896" s="11" t="n">
        <x:v>0</x:v>
      </x:c>
      <x:c r="M896" s="9" t="n">
        <x:f>IF(D896="Completed",I896*J896,0)</x:f>
        <x:v>0</x:v>
      </x:c>
      <x:c r="N896" s="9" t="n">
        <x:f>M896*K896</x:f>
        <x:v>0</x:v>
      </x:c>
      <x:c r="O896" s="9" t="n">
        <x:f>M896-N896</x:f>
        <x:v>0</x:v>
      </x:c>
      <x:c r="P896" s="9" t="n">
        <x:f>IF(D896="Completed",L896*J896*(1-K896),0)</x:f>
        <x:v>0</x:v>
      </x:c>
      <x:c r="Q896" s="9" t="n">
        <x:f>O896-P896</x:f>
        <x:v>0</x:v>
      </x:c>
      <x:c r="R896" s="11" t="n">
        <x:f>IF(D896="Completed",I896,0)</x:f>
        <x:v>0</x:v>
      </x:c>
      <x:c r="S896" s="11" t="n">
        <x:f>IF(D896="Completed",L896,0)</x:f>
        <x:v>0</x:v>
      </x:c>
      <x:c r="T896" s="8" t="n">
        <x:f>DATE(YEAR(C896),MONTH(C896),1)</x:f>
        <x:v>45809</x:v>
      </x:c>
    </x:row>
    <x:row r="897" ht="22" customHeight="1">
      <x:c r="A897" s="2" t="str">
        <x:v>L000893</x:v>
      </x:c>
      <x:c r="B897" s="2" t="str">
        <x:v>O00364</x:v>
      </x:c>
      <x:c r="C897" s="7" t="n">
        <x:v>45812</x:v>
      </x:c>
      <x:c r="D897" s="2" t="str">
        <x:v>Cancelled</x:v>
      </x:c>
      <x:c r="E897" s="2" t="str">
        <x:v>West</x:v>
      </x:c>
      <x:c r="F897" s="2" t="str">
        <x:v>Online</x:v>
      </x:c>
      <x:c r="G897" s="2" t="str">
        <x:v>Storage</x:v>
      </x:c>
      <x:c r="H897" s="2" t="str">
        <x:v>Shelf 015</x:v>
      </x:c>
      <x:c r="I897" s="11" t="n">
        <x:v>1</x:v>
      </x:c>
      <x:c r="J897" s="9" t="n">
        <x:v>254</x:v>
      </x:c>
      <x:c r="K897" s="10" t="n">
        <x:v>0.2</x:v>
      </x:c>
      <x:c r="L897" s="11" t="n">
        <x:v>0</x:v>
      </x:c>
      <x:c r="M897" s="9" t="n">
        <x:f>IF(D897="Completed",I897*J897,0)</x:f>
        <x:v>0</x:v>
      </x:c>
      <x:c r="N897" s="9" t="n">
        <x:f>M897*K897</x:f>
        <x:v>0</x:v>
      </x:c>
      <x:c r="O897" s="9" t="n">
        <x:f>M897-N897</x:f>
        <x:v>0</x:v>
      </x:c>
      <x:c r="P897" s="9" t="n">
        <x:f>IF(D897="Completed",L897*J897*(1-K897),0)</x:f>
        <x:v>0</x:v>
      </x:c>
      <x:c r="Q897" s="9" t="n">
        <x:f>O897-P897</x:f>
        <x:v>0</x:v>
      </x:c>
      <x:c r="R897" s="11" t="n">
        <x:f>IF(D897="Completed",I897,0)</x:f>
        <x:v>0</x:v>
      </x:c>
      <x:c r="S897" s="11" t="n">
        <x:f>IF(D897="Completed",L897,0)</x:f>
        <x:v>0</x:v>
      </x:c>
      <x:c r="T897" s="8" t="n">
        <x:f>DATE(YEAR(C897),MONTH(C897),1)</x:f>
        <x:v>45809</x:v>
      </x:c>
    </x:row>
    <x:row r="898" ht="22" customHeight="1">
      <x:c r="A898" s="2" t="str">
        <x:v>L000894</x:v>
      </x:c>
      <x:c r="B898" s="2" t="str">
        <x:v>O00365</x:v>
      </x:c>
      <x:c r="C898" s="7" t="n">
        <x:v>45764</x:v>
      </x:c>
      <x:c r="D898" s="2" t="str">
        <x:v>Completed</x:v>
      </x:c>
      <x:c r="E898" s="2" t="str">
        <x:v>West</x:v>
      </x:c>
      <x:c r="F898" s="2" t="str">
        <x:v>Online</x:v>
      </x:c>
      <x:c r="G898" s="2" t="str">
        <x:v>Furniture</x:v>
      </x:c>
      <x:c r="H898" s="2" t="str">
        <x:v>Desk 024</x:v>
      </x:c>
      <x:c r="I898" s="11" t="n">
        <x:v>3</x:v>
      </x:c>
      <x:c r="J898" s="9" t="n">
        <x:v>81</x:v>
      </x:c>
      <x:c r="K898" s="10" t="n">
        <x:v>0</x:v>
      </x:c>
      <x:c r="L898" s="11" t="n">
        <x:v>0</x:v>
      </x:c>
      <x:c r="M898" s="9" t="n">
        <x:f>IF(D898="Completed",I898*J898,0)</x:f>
        <x:v>243</x:v>
      </x:c>
      <x:c r="N898" s="9" t="n">
        <x:f>M898*K898</x:f>
        <x:v>0</x:v>
      </x:c>
      <x:c r="O898" s="9" t="n">
        <x:f>M898-N898</x:f>
        <x:v>243</x:v>
      </x:c>
      <x:c r="P898" s="9" t="n">
        <x:f>IF(D898="Completed",L898*J898*(1-K898),0)</x:f>
        <x:v>0</x:v>
      </x:c>
      <x:c r="Q898" s="9" t="n">
        <x:f>O898-P898</x:f>
        <x:v>243</x:v>
      </x:c>
      <x:c r="R898" s="11" t="n">
        <x:f>IF(D898="Completed",I898,0)</x:f>
        <x:v>3</x:v>
      </x:c>
      <x:c r="S898" s="11" t="n">
        <x:f>IF(D898="Completed",L898,0)</x:f>
        <x:v>0</x:v>
      </x:c>
      <x:c r="T898" s="8" t="n">
        <x:f>DATE(YEAR(C898),MONTH(C898),1)</x:f>
        <x:v>45748</x:v>
      </x:c>
    </x:row>
    <x:row r="899" ht="22" customHeight="1">
      <x:c r="A899" s="2" t="str">
        <x:v>L000895</x:v>
      </x:c>
      <x:c r="B899" s="2" t="str">
        <x:v>O00365</x:v>
      </x:c>
      <x:c r="C899" s="7" t="n">
        <x:v>45764</x:v>
      </x:c>
      <x:c r="D899" s="2" t="str">
        <x:v>Completed</x:v>
      </x:c>
      <x:c r="E899" s="2" t="str">
        <x:v>West</x:v>
      </x:c>
      <x:c r="F899" s="2" t="str">
        <x:v>Online</x:v>
      </x:c>
      <x:c r="G899" s="2" t="str">
        <x:v>Storage</x:v>
      </x:c>
      <x:c r="H899" s="2" t="str">
        <x:v>Shelf 007</x:v>
      </x:c>
      <x:c r="I899" s="11" t="n">
        <x:v>2</x:v>
      </x:c>
      <x:c r="J899" s="9" t="n">
        <x:v>35</x:v>
      </x:c>
      <x:c r="K899" s="10" t="n">
        <x:v>0.2</x:v>
      </x:c>
      <x:c r="L899" s="11" t="n">
        <x:v>0</x:v>
      </x:c>
      <x:c r="M899" s="9" t="n">
        <x:f>IF(D899="Completed",I899*J899,0)</x:f>
        <x:v>70</x:v>
      </x:c>
      <x:c r="N899" s="9" t="n">
        <x:f>M899*K899</x:f>
        <x:v>14</x:v>
      </x:c>
      <x:c r="O899" s="9" t="n">
        <x:f>M899-N899</x:f>
        <x:v>56</x:v>
      </x:c>
      <x:c r="P899" s="9" t="n">
        <x:f>IF(D899="Completed",L899*J899*(1-K899),0)</x:f>
        <x:v>0</x:v>
      </x:c>
      <x:c r="Q899" s="9" t="n">
        <x:f>O899-P899</x:f>
        <x:v>56</x:v>
      </x:c>
      <x:c r="R899" s="11" t="n">
        <x:f>IF(D899="Completed",I899,0)</x:f>
        <x:v>2</x:v>
      </x:c>
      <x:c r="S899" s="11" t="n">
        <x:f>IF(D899="Completed",L899,0)</x:f>
        <x:v>0</x:v>
      </x:c>
      <x:c r="T899" s="8" t="n">
        <x:f>DATE(YEAR(C899),MONTH(C899),1)</x:f>
        <x:v>45748</x:v>
      </x:c>
    </x:row>
    <x:row r="900" ht="22" customHeight="1">
      <x:c r="A900" s="2" t="str">
        <x:v>L000896</x:v>
      </x:c>
      <x:c r="B900" s="2" t="str">
        <x:v>O00365</x:v>
      </x:c>
      <x:c r="C900" s="7" t="n">
        <x:v>45764</x:v>
      </x:c>
      <x:c r="D900" s="2" t="str">
        <x:v>Completed</x:v>
      </x:c>
      <x:c r="E900" s="2" t="str">
        <x:v>West</x:v>
      </x:c>
      <x:c r="F900" s="2" t="str">
        <x:v>Online</x:v>
      </x:c>
      <x:c r="G900" s="2" t="str">
        <x:v>Furniture</x:v>
      </x:c>
      <x:c r="H900" s="2" t="str">
        <x:v>Chair 006</x:v>
      </x:c>
      <x:c r="I900" s="11" t="n">
        <x:v>4</x:v>
      </x:c>
      <x:c r="J900" s="9" t="n">
        <x:v>196</x:v>
      </x:c>
      <x:c r="K900" s="10" t="n">
        <x:v>0.2</x:v>
      </x:c>
      <x:c r="L900" s="11" t="n">
        <x:v>0</x:v>
      </x:c>
      <x:c r="M900" s="9" t="n">
        <x:f>IF(D900="Completed",I900*J900,0)</x:f>
        <x:v>784</x:v>
      </x:c>
      <x:c r="N900" s="9" t="n">
        <x:f>M900*K900</x:f>
        <x:v>156.8</x:v>
      </x:c>
      <x:c r="O900" s="9" t="n">
        <x:f>M900-N900</x:f>
        <x:v>627.2</x:v>
      </x:c>
      <x:c r="P900" s="9" t="n">
        <x:f>IF(D900="Completed",L900*J900*(1-K900),0)</x:f>
        <x:v>0</x:v>
      </x:c>
      <x:c r="Q900" s="9" t="n">
        <x:f>O900-P900</x:f>
        <x:v>627.2</x:v>
      </x:c>
      <x:c r="R900" s="11" t="n">
        <x:f>IF(D900="Completed",I900,0)</x:f>
        <x:v>4</x:v>
      </x:c>
      <x:c r="S900" s="11" t="n">
        <x:f>IF(D900="Completed",L900,0)</x:f>
        <x:v>0</x:v>
      </x:c>
      <x:c r="T900" s="8" t="n">
        <x:f>DATE(YEAR(C900),MONTH(C900),1)</x:f>
        <x:v>45748</x:v>
      </x:c>
    </x:row>
    <x:row r="901" ht="22" customHeight="1">
      <x:c r="A901" s="2" t="str">
        <x:v>L000897</x:v>
      </x:c>
      <x:c r="B901" s="2" t="str">
        <x:v>O00365</x:v>
      </x:c>
      <x:c r="C901" s="7" t="n">
        <x:v>45764</x:v>
      </x:c>
      <x:c r="D901" s="2" t="str">
        <x:v>Completed</x:v>
      </x:c>
      <x:c r="E901" s="2" t="str">
        <x:v>West</x:v>
      </x:c>
      <x:c r="F901" s="2" t="str">
        <x:v>Online</x:v>
      </x:c>
      <x:c r="G901" s="2" t="str">
        <x:v>Storage</x:v>
      </x:c>
      <x:c r="H901" s="2" t="str">
        <x:v>Shelf 023</x:v>
      </x:c>
      <x:c r="I901" s="11" t="n">
        <x:v>4</x:v>
      </x:c>
      <x:c r="J901" s="9" t="n">
        <x:v>68</x:v>
      </x:c>
      <x:c r="K901" s="10" t="n">
        <x:v>0.05</x:v>
      </x:c>
      <x:c r="L901" s="11" t="n">
        <x:v>0</x:v>
      </x:c>
      <x:c r="M901" s="9" t="n">
        <x:f>IF(D901="Completed",I901*J901,0)</x:f>
        <x:v>272</x:v>
      </x:c>
      <x:c r="N901" s="9" t="n">
        <x:f>M901*K901</x:f>
        <x:v>13.600000000000001</x:v>
      </x:c>
      <x:c r="O901" s="9" t="n">
        <x:f>M901-N901</x:f>
        <x:v>258.4</x:v>
      </x:c>
      <x:c r="P901" s="9" t="n">
        <x:f>IF(D901="Completed",L901*J901*(1-K901),0)</x:f>
        <x:v>0</x:v>
      </x:c>
      <x:c r="Q901" s="9" t="n">
        <x:f>O901-P901</x:f>
        <x:v>258.4</x:v>
      </x:c>
      <x:c r="R901" s="11" t="n">
        <x:f>IF(D901="Completed",I901,0)</x:f>
        <x:v>4</x:v>
      </x:c>
      <x:c r="S901" s="11" t="n">
        <x:f>IF(D901="Completed",L901,0)</x:f>
        <x:v>0</x:v>
      </x:c>
      <x:c r="T901" s="8" t="n">
        <x:f>DATE(YEAR(C901),MONTH(C901),1)</x:f>
        <x:v>45748</x:v>
      </x:c>
    </x:row>
    <x:row r="902" ht="22" customHeight="1">
      <x:c r="A902" s="2" t="str">
        <x:v>L000898</x:v>
      </x:c>
      <x:c r="B902" s="2" t="str">
        <x:v>O00366</x:v>
      </x:c>
      <x:c r="C902" s="7" t="n">
        <x:v>46002</x:v>
      </x:c>
      <x:c r="D902" s="2" t="str">
        <x:v>Completed</x:v>
      </x:c>
      <x:c r="E902" s="2" t="str">
        <x:v>West</x:v>
      </x:c>
      <x:c r="F902" s="2" t="str">
        <x:v>Online</x:v>
      </x:c>
      <x:c r="G902" s="2" t="str">
        <x:v>Lighting</x:v>
      </x:c>
      <x:c r="H902" s="2" t="str">
        <x:v>Lamp 013</x:v>
      </x:c>
      <x:c r="I902" s="11" t="n">
        <x:v>1</x:v>
      </x:c>
      <x:c r="J902" s="9" t="n">
        <x:v>271</x:v>
      </x:c>
      <x:c r="K902" s="10" t="n">
        <x:v>0.2</x:v>
      </x:c>
      <x:c r="L902" s="11" t="n">
        <x:v>0</x:v>
      </x:c>
      <x:c r="M902" s="9" t="n">
        <x:f>IF(D902="Completed",I902*J902,0)</x:f>
        <x:v>271</x:v>
      </x:c>
      <x:c r="N902" s="9" t="n">
        <x:f>M902*K902</x:f>
        <x:v>54.2</x:v>
      </x:c>
      <x:c r="O902" s="9" t="n">
        <x:f>M902-N902</x:f>
        <x:v>216.8</x:v>
      </x:c>
      <x:c r="P902" s="9" t="n">
        <x:f>IF(D902="Completed",L902*J902*(1-K902),0)</x:f>
        <x:v>0</x:v>
      </x:c>
      <x:c r="Q902" s="9" t="n">
        <x:f>O902-P902</x:f>
        <x:v>216.8</x:v>
      </x:c>
      <x:c r="R902" s="11" t="n">
        <x:f>IF(D902="Completed",I902,0)</x:f>
        <x:v>1</x:v>
      </x:c>
      <x:c r="S902" s="11" t="n">
        <x:f>IF(D902="Completed",L902,0)</x:f>
        <x:v>0</x:v>
      </x:c>
      <x:c r="T902" s="8" t="n">
        <x:f>DATE(YEAR(C902),MONTH(C902),1)</x:f>
        <x:v>45992</x:v>
      </x:c>
    </x:row>
    <x:row r="903" ht="22" customHeight="1">
      <x:c r="A903" s="2" t="str">
        <x:v>L000899</x:v>
      </x:c>
      <x:c r="B903" s="2" t="str">
        <x:v>O00366</x:v>
      </x:c>
      <x:c r="C903" s="7" t="n">
        <x:v>46002</x:v>
      </x:c>
      <x:c r="D903" s="2" t="str">
        <x:v>Completed</x:v>
      </x:c>
      <x:c r="E903" s="2" t="str">
        <x:v>West</x:v>
      </x:c>
      <x:c r="F903" s="2" t="str">
        <x:v>Online</x:v>
      </x:c>
      <x:c r="G903" s="2" t="str">
        <x:v>Furniture</x:v>
      </x:c>
      <x:c r="H903" s="2" t="str">
        <x:v>Desk 008</x:v>
      </x:c>
      <x:c r="I903" s="11" t="n">
        <x:v>2</x:v>
      </x:c>
      <x:c r="J903" s="9" t="n">
        <x:v>188</x:v>
      </x:c>
      <x:c r="K903" s="10" t="n">
        <x:v>0.1</x:v>
      </x:c>
      <x:c r="L903" s="11" t="n">
        <x:v>0</x:v>
      </x:c>
      <x:c r="M903" s="9" t="n">
        <x:f>IF(D903="Completed",I903*J903,0)</x:f>
        <x:v>376</x:v>
      </x:c>
      <x:c r="N903" s="9" t="n">
        <x:f>M903*K903</x:f>
        <x:v>37.6</x:v>
      </x:c>
      <x:c r="O903" s="9" t="n">
        <x:f>M903-N903</x:f>
        <x:v>338.4</x:v>
      </x:c>
      <x:c r="P903" s="9" t="n">
        <x:f>IF(D903="Completed",L903*J903*(1-K903),0)</x:f>
        <x:v>0</x:v>
      </x:c>
      <x:c r="Q903" s="9" t="n">
        <x:f>O903-P903</x:f>
        <x:v>338.4</x:v>
      </x:c>
      <x:c r="R903" s="11" t="n">
        <x:f>IF(D903="Completed",I903,0)</x:f>
        <x:v>2</x:v>
      </x:c>
      <x:c r="S903" s="11" t="n">
        <x:f>IF(D903="Completed",L903,0)</x:f>
        <x:v>0</x:v>
      </x:c>
      <x:c r="T903" s="8" t="n">
        <x:f>DATE(YEAR(C903),MONTH(C903),1)</x:f>
        <x:v>45992</x:v>
      </x:c>
    </x:row>
    <x:row r="904" ht="22" customHeight="1">
      <x:c r="A904" s="2" t="str">
        <x:v>L000900</x:v>
      </x:c>
      <x:c r="B904" s="2" t="str">
        <x:v>O00366</x:v>
      </x:c>
      <x:c r="C904" s="7" t="n">
        <x:v>46002</x:v>
      </x:c>
      <x:c r="D904" s="2" t="str">
        <x:v>Completed</x:v>
      </x:c>
      <x:c r="E904" s="2" t="str">
        <x:v>West</x:v>
      </x:c>
      <x:c r="F904" s="2" t="str">
        <x:v>Online</x:v>
      </x:c>
      <x:c r="G904" s="2" t="str">
        <x:v>Furniture</x:v>
      </x:c>
      <x:c r="H904" s="2" t="str">
        <x:v>Desk 008</x:v>
      </x:c>
      <x:c r="I904" s="11" t="n">
        <x:v>3</x:v>
      </x:c>
      <x:c r="J904" s="9" t="n">
        <x:v>188</x:v>
      </x:c>
      <x:c r="K904" s="10" t="n">
        <x:v>0.1</x:v>
      </x:c>
      <x:c r="L904" s="11" t="n">
        <x:v>0</x:v>
      </x:c>
      <x:c r="M904" s="9" t="n">
        <x:f>IF(D904="Completed",I904*J904,0)</x:f>
        <x:v>564</x:v>
      </x:c>
      <x:c r="N904" s="9" t="n">
        <x:f>M904*K904</x:f>
        <x:v>56.400000000000006</x:v>
      </x:c>
      <x:c r="O904" s="9" t="n">
        <x:f>M904-N904</x:f>
        <x:v>507.6</x:v>
      </x:c>
      <x:c r="P904" s="9" t="n">
        <x:f>IF(D904="Completed",L904*J904*(1-K904),0)</x:f>
        <x:v>0</x:v>
      </x:c>
      <x:c r="Q904" s="9" t="n">
        <x:f>O904-P904</x:f>
        <x:v>507.6</x:v>
      </x:c>
      <x:c r="R904" s="11" t="n">
        <x:f>IF(D904="Completed",I904,0)</x:f>
        <x:v>3</x:v>
      </x:c>
      <x:c r="S904" s="11" t="n">
        <x:f>IF(D904="Completed",L904,0)</x:f>
        <x:v>0</x:v>
      </x:c>
      <x:c r="T904" s="8" t="n">
        <x:f>DATE(YEAR(C904),MONTH(C904),1)</x:f>
        <x:v>45992</x:v>
      </x:c>
    </x:row>
    <x:row r="905" ht="22" customHeight="1">
      <x:c r="A905" s="2" t="str">
        <x:v>L000901</x:v>
      </x:c>
      <x:c r="B905" s="2" t="str">
        <x:v>O00366</x:v>
      </x:c>
      <x:c r="C905" s="7" t="n">
        <x:v>46002</x:v>
      </x:c>
      <x:c r="D905" s="2" t="str">
        <x:v>Completed</x:v>
      </x:c>
      <x:c r="E905" s="2" t="str">
        <x:v>West</x:v>
      </x:c>
      <x:c r="F905" s="2" t="str">
        <x:v>Online</x:v>
      </x:c>
      <x:c r="G905" s="2" t="str">
        <x:v>Lighting</x:v>
      </x:c>
      <x:c r="H905" s="2" t="str">
        <x:v>Lamp 009</x:v>
      </x:c>
      <x:c r="I905" s="11" t="n">
        <x:v>2</x:v>
      </x:c>
      <x:c r="J905" s="9" t="n">
        <x:v>93</x:v>
      </x:c>
      <x:c r="K905" s="10" t="n">
        <x:v>0.1</x:v>
      </x:c>
      <x:c r="L905" s="11" t="n">
        <x:v>0</x:v>
      </x:c>
      <x:c r="M905" s="9" t="n">
        <x:f>IF(D905="Completed",I905*J905,0)</x:f>
        <x:v>186</x:v>
      </x:c>
      <x:c r="N905" s="9" t="n">
        <x:f>M905*K905</x:f>
        <x:v>18.6</x:v>
      </x:c>
      <x:c r="O905" s="9" t="n">
        <x:f>M905-N905</x:f>
        <x:v>167.4</x:v>
      </x:c>
      <x:c r="P905" s="9" t="n">
        <x:f>IF(D905="Completed",L905*J905*(1-K905),0)</x:f>
        <x:v>0</x:v>
      </x:c>
      <x:c r="Q905" s="9" t="n">
        <x:f>O905-P905</x:f>
        <x:v>167.4</x:v>
      </x:c>
      <x:c r="R905" s="11" t="n">
        <x:f>IF(D905="Completed",I905,0)</x:f>
        <x:v>2</x:v>
      </x:c>
      <x:c r="S905" s="11" t="n">
        <x:f>IF(D905="Completed",L905,0)</x:f>
        <x:v>0</x:v>
      </x:c>
      <x:c r="T905" s="8" t="n">
        <x:f>DATE(YEAR(C905),MONTH(C905),1)</x:f>
        <x:v>45992</x:v>
      </x:c>
    </x:row>
    <x:row r="906" ht="22" customHeight="1">
      <x:c r="A906" s="2" t="str">
        <x:v>L000902</x:v>
      </x:c>
      <x:c r="B906" s="2" t="str">
        <x:v>O00367</x:v>
      </x:c>
      <x:c r="C906" s="7" t="n">
        <x:v>45732</x:v>
      </x:c>
      <x:c r="D906" s="2" t="str">
        <x:v>Completed</x:v>
      </x:c>
      <x:c r="E906" s="2" t="str">
        <x:v>East</x:v>
      </x:c>
      <x:c r="F906" s="2" t="str">
        <x:v>Store</x:v>
      </x:c>
      <x:c r="G906" s="2" t="str">
        <x:v>Furniture</x:v>
      </x:c>
      <x:c r="H906" s="2" t="str">
        <x:v>Chair 018</x:v>
      </x:c>
      <x:c r="I906" s="11" t="n">
        <x:v>5</x:v>
      </x:c>
      <x:c r="J906" s="9" t="n">
        <x:v>269</x:v>
      </x:c>
      <x:c r="K906" s="10" t="n">
        <x:v>0.1</x:v>
      </x:c>
      <x:c r="L906" s="11" t="n">
        <x:v>0</x:v>
      </x:c>
      <x:c r="M906" s="9" t="n">
        <x:f>IF(D906="Completed",I906*J906,0)</x:f>
        <x:v>1345</x:v>
      </x:c>
      <x:c r="N906" s="9" t="n">
        <x:f>M906*K906</x:f>
        <x:v>134.5</x:v>
      </x:c>
      <x:c r="O906" s="9" t="n">
        <x:f>M906-N906</x:f>
        <x:v>1210.5</x:v>
      </x:c>
      <x:c r="P906" s="9" t="n">
        <x:f>IF(D906="Completed",L906*J906*(1-K906),0)</x:f>
        <x:v>0</x:v>
      </x:c>
      <x:c r="Q906" s="9" t="n">
        <x:f>O906-P906</x:f>
        <x:v>1210.5</x:v>
      </x:c>
      <x:c r="R906" s="11" t="n">
        <x:f>IF(D906="Completed",I906,0)</x:f>
        <x:v>5</x:v>
      </x:c>
      <x:c r="S906" s="11" t="n">
        <x:f>IF(D906="Completed",L906,0)</x:f>
        <x:v>0</x:v>
      </x:c>
      <x:c r="T906" s="8" t="n">
        <x:f>DATE(YEAR(C906),MONTH(C906),1)</x:f>
        <x:v>45717</x:v>
      </x:c>
    </x:row>
    <x:row r="907" ht="22" customHeight="1">
      <x:c r="A907" s="2" t="str">
        <x:v>L000903</x:v>
      </x:c>
      <x:c r="B907" s="2" t="str">
        <x:v>O00368</x:v>
      </x:c>
      <x:c r="C907" s="7" t="n">
        <x:v>45971</x:v>
      </x:c>
      <x:c r="D907" s="2" t="str">
        <x:v>Completed</x:v>
      </x:c>
      <x:c r="E907" s="2" t="str">
        <x:v>South</x:v>
      </x:c>
      <x:c r="F907" s="2" t="str">
        <x:v>Online</x:v>
      </x:c>
      <x:c r="G907" s="2" t="str">
        <x:v>Furniture</x:v>
      </x:c>
      <x:c r="H907" s="2" t="str">
        <x:v>Chair 014</x:v>
      </x:c>
      <x:c r="I907" s="11" t="n">
        <x:v>2</x:v>
      </x:c>
      <x:c r="J907" s="9" t="n">
        <x:v>294</x:v>
      </x:c>
      <x:c r="K907" s="10" t="n">
        <x:v>0.05</x:v>
      </x:c>
      <x:c r="L907" s="11" t="n">
        <x:v>0</x:v>
      </x:c>
      <x:c r="M907" s="9" t="n">
        <x:f>IF(D907="Completed",I907*J907,0)</x:f>
        <x:v>588</x:v>
      </x:c>
      <x:c r="N907" s="9" t="n">
        <x:f>M907*K907</x:f>
        <x:v>29.400000000000002</x:v>
      </x:c>
      <x:c r="O907" s="9" t="n">
        <x:f>M907-N907</x:f>
        <x:v>558.6</x:v>
      </x:c>
      <x:c r="P907" s="9" t="n">
        <x:f>IF(D907="Completed",L907*J907*(1-K907),0)</x:f>
        <x:v>0</x:v>
      </x:c>
      <x:c r="Q907" s="9" t="n">
        <x:f>O907-P907</x:f>
        <x:v>558.6</x:v>
      </x:c>
      <x:c r="R907" s="11" t="n">
        <x:f>IF(D907="Completed",I907,0)</x:f>
        <x:v>2</x:v>
      </x:c>
      <x:c r="S907" s="11" t="n">
        <x:f>IF(D907="Completed",L907,0)</x:f>
        <x:v>0</x:v>
      </x:c>
      <x:c r="T907" s="8" t="n">
        <x:f>DATE(YEAR(C907),MONTH(C907),1)</x:f>
        <x:v>45962</x:v>
      </x:c>
    </x:row>
    <x:row r="908" ht="22" customHeight="1">
      <x:c r="A908" s="2" t="str">
        <x:v>L000904</x:v>
      </x:c>
      <x:c r="B908" s="2" t="str">
        <x:v>O00369</x:v>
      </x:c>
      <x:c r="C908" s="7" t="n">
        <x:v>45777</x:v>
      </x:c>
      <x:c r="D908" s="2" t="str">
        <x:v>Completed</x:v>
      </x:c>
      <x:c r="E908" s="2" t="str">
        <x:v>West</x:v>
      </x:c>
      <x:c r="F908" s="2" t="str">
        <x:v>Store</x:v>
      </x:c>
      <x:c r="G908" s="2" t="str">
        <x:v>Storage</x:v>
      </x:c>
      <x:c r="H908" s="2" t="str">
        <x:v>Shelf 003</x:v>
      </x:c>
      <x:c r="I908" s="11" t="n">
        <x:v>5</x:v>
      </x:c>
      <x:c r="J908" s="9" t="n">
        <x:v>199</x:v>
      </x:c>
      <x:c r="K908" s="10" t="n">
        <x:v>0.2</x:v>
      </x:c>
      <x:c r="L908" s="11" t="n">
        <x:v>4</x:v>
      </x:c>
      <x:c r="M908" s="9" t="n">
        <x:f>IF(D908="Completed",I908*J908,0)</x:f>
        <x:v>995</x:v>
      </x:c>
      <x:c r="N908" s="9" t="n">
        <x:f>M908*K908</x:f>
        <x:v>199</x:v>
      </x:c>
      <x:c r="O908" s="9" t="n">
        <x:f>M908-N908</x:f>
        <x:v>796</x:v>
      </x:c>
      <x:c r="P908" s="9" t="n">
        <x:f>IF(D908="Completed",L908*J908*(1-K908),0)</x:f>
        <x:v>636.8000000000001</x:v>
      </x:c>
      <x:c r="Q908" s="9" t="n">
        <x:f>O908-P908</x:f>
        <x:v>159.19999999999993</x:v>
      </x:c>
      <x:c r="R908" s="11" t="n">
        <x:f>IF(D908="Completed",I908,0)</x:f>
        <x:v>5</x:v>
      </x:c>
      <x:c r="S908" s="11" t="n">
        <x:f>IF(D908="Completed",L908,0)</x:f>
        <x:v>4</x:v>
      </x:c>
      <x:c r="T908" s="8" t="n">
        <x:f>DATE(YEAR(C908),MONTH(C908),1)</x:f>
        <x:v>45748</x:v>
      </x:c>
    </x:row>
    <x:row r="909" ht="22" customHeight="1">
      <x:c r="A909" s="2" t="str">
        <x:v>L000905</x:v>
      </x:c>
      <x:c r="B909" s="2" t="str">
        <x:v>O00370</x:v>
      </x:c>
      <x:c r="C909" s="7" t="n">
        <x:v>45735</x:v>
      </x:c>
      <x:c r="D909" s="2" t="str">
        <x:v>Completed</x:v>
      </x:c>
      <x:c r="E909" s="2" t="str">
        <x:v>East</x:v>
      </x:c>
      <x:c r="F909" s="2" t="str">
        <x:v>Store</x:v>
      </x:c>
      <x:c r="G909" s="2" t="str">
        <x:v>Furniture</x:v>
      </x:c>
      <x:c r="H909" s="2" t="str">
        <x:v>Chair 006</x:v>
      </x:c>
      <x:c r="I909" s="11" t="n">
        <x:v>4</x:v>
      </x:c>
      <x:c r="J909" s="9" t="n">
        <x:v>196</x:v>
      </x:c>
      <x:c r="K909" s="10" t="n">
        <x:v>0</x:v>
      </x:c>
      <x:c r="L909" s="11" t="n">
        <x:v>0</x:v>
      </x:c>
      <x:c r="M909" s="9" t="n">
        <x:f>IF(D909="Completed",I909*J909,0)</x:f>
        <x:v>784</x:v>
      </x:c>
      <x:c r="N909" s="9" t="n">
        <x:f>M909*K909</x:f>
        <x:v>0</x:v>
      </x:c>
      <x:c r="O909" s="9" t="n">
        <x:f>M909-N909</x:f>
        <x:v>784</x:v>
      </x:c>
      <x:c r="P909" s="9" t="n">
        <x:f>IF(D909="Completed",L909*J909*(1-K909),0)</x:f>
        <x:v>0</x:v>
      </x:c>
      <x:c r="Q909" s="9" t="n">
        <x:f>O909-P909</x:f>
        <x:v>784</x:v>
      </x:c>
      <x:c r="R909" s="11" t="n">
        <x:f>IF(D909="Completed",I909,0)</x:f>
        <x:v>4</x:v>
      </x:c>
      <x:c r="S909" s="11" t="n">
        <x:f>IF(D909="Completed",L909,0)</x:f>
        <x:v>0</x:v>
      </x:c>
      <x:c r="T909" s="8" t="n">
        <x:f>DATE(YEAR(C909),MONTH(C909),1)</x:f>
        <x:v>45717</x:v>
      </x:c>
    </x:row>
    <x:row r="910" ht="22" customHeight="1">
      <x:c r="A910" s="2" t="str">
        <x:v>L000906</x:v>
      </x:c>
      <x:c r="B910" s="2" t="str">
        <x:v>O00370</x:v>
      </x:c>
      <x:c r="C910" s="7" t="n">
        <x:v>45735</x:v>
      </x:c>
      <x:c r="D910" s="2" t="str">
        <x:v>Completed</x:v>
      </x:c>
      <x:c r="E910" s="2" t="str">
        <x:v>East</x:v>
      </x:c>
      <x:c r="F910" s="2" t="str">
        <x:v>Store</x:v>
      </x:c>
      <x:c r="G910" s="2" t="str">
        <x:v>Furniture</x:v>
      </x:c>
      <x:c r="H910" s="2" t="str">
        <x:v>Desk 024</x:v>
      </x:c>
      <x:c r="I910" s="11" t="n">
        <x:v>2</x:v>
      </x:c>
      <x:c r="J910" s="9" t="n">
        <x:v>81</x:v>
      </x:c>
      <x:c r="K910" s="10" t="n">
        <x:v>0.05</x:v>
      </x:c>
      <x:c r="L910" s="11" t="n">
        <x:v>0</x:v>
      </x:c>
      <x:c r="M910" s="9" t="n">
        <x:f>IF(D910="Completed",I910*J910,0)</x:f>
        <x:v>162</x:v>
      </x:c>
      <x:c r="N910" s="9" t="n">
        <x:f>M910*K910</x:f>
        <x:v>8.1</x:v>
      </x:c>
      <x:c r="O910" s="9" t="n">
        <x:f>M910-N910</x:f>
        <x:v>153.9</x:v>
      </x:c>
      <x:c r="P910" s="9" t="n">
        <x:f>IF(D910="Completed",L910*J910*(1-K910),0)</x:f>
        <x:v>0</x:v>
      </x:c>
      <x:c r="Q910" s="9" t="n">
        <x:f>O910-P910</x:f>
        <x:v>153.9</x:v>
      </x:c>
      <x:c r="R910" s="11" t="n">
        <x:f>IF(D910="Completed",I910,0)</x:f>
        <x:v>2</x:v>
      </x:c>
      <x:c r="S910" s="11" t="n">
        <x:f>IF(D910="Completed",L910,0)</x:f>
        <x:v>0</x:v>
      </x:c>
      <x:c r="T910" s="8" t="n">
        <x:f>DATE(YEAR(C910),MONTH(C910),1)</x:f>
        <x:v>45717</x:v>
      </x:c>
    </x:row>
    <x:row r="911" ht="22" customHeight="1">
      <x:c r="A911" s="2" t="str">
        <x:v>L000907</x:v>
      </x:c>
      <x:c r="B911" s="2" t="str">
        <x:v>O00371</x:v>
      </x:c>
      <x:c r="C911" s="7" t="n">
        <x:v>45786</x:v>
      </x:c>
      <x:c r="D911" s="2" t="str">
        <x:v>Completed</x:v>
      </x:c>
      <x:c r="E911" s="2" t="str">
        <x:v>South</x:v>
      </x:c>
      <x:c r="F911" s="2" t="str">
        <x:v>Store</x:v>
      </x:c>
      <x:c r="G911" s="2" t="str">
        <x:v>Lighting</x:v>
      </x:c>
      <x:c r="H911" s="2" t="str">
        <x:v>Lamp 017</x:v>
      </x:c>
      <x:c r="I911" s="11" t="n">
        <x:v>1</x:v>
      </x:c>
      <x:c r="J911" s="9" t="n">
        <x:v>300</x:v>
      </x:c>
      <x:c r="K911" s="10" t="n">
        <x:v>0.1</x:v>
      </x:c>
      <x:c r="L911" s="11" t="n">
        <x:v>1</x:v>
      </x:c>
      <x:c r="M911" s="9" t="n">
        <x:f>IF(D911="Completed",I911*J911,0)</x:f>
        <x:v>300</x:v>
      </x:c>
      <x:c r="N911" s="9" t="n">
        <x:f>M911*K911</x:f>
        <x:v>30</x:v>
      </x:c>
      <x:c r="O911" s="9" t="n">
        <x:f>M911-N911</x:f>
        <x:v>270</x:v>
      </x:c>
      <x:c r="P911" s="9" t="n">
        <x:f>IF(D911="Completed",L911*J911*(1-K911),0)</x:f>
        <x:v>270</x:v>
      </x:c>
      <x:c r="Q911" s="9" t="n">
        <x:f>O911-P911</x:f>
        <x:v>0</x:v>
      </x:c>
      <x:c r="R911" s="11" t="n">
        <x:f>IF(D911="Completed",I911,0)</x:f>
        <x:v>1</x:v>
      </x:c>
      <x:c r="S911" s="11" t="n">
        <x:f>IF(D911="Completed",L911,0)</x:f>
        <x:v>1</x:v>
      </x:c>
      <x:c r="T911" s="8" t="n">
        <x:f>DATE(YEAR(C911),MONTH(C911),1)</x:f>
        <x:v>45778</x:v>
      </x:c>
    </x:row>
    <x:row r="912" ht="22" customHeight="1">
      <x:c r="A912" s="2" t="str">
        <x:v>L000908</x:v>
      </x:c>
      <x:c r="B912" s="2" t="str">
        <x:v>O00371</x:v>
      </x:c>
      <x:c r="C912" s="7" t="n">
        <x:v>45786</x:v>
      </x:c>
      <x:c r="D912" s="2" t="str">
        <x:v>Completed</x:v>
      </x:c>
      <x:c r="E912" s="2" t="str">
        <x:v>South</x:v>
      </x:c>
      <x:c r="F912" s="2" t="str">
        <x:v>Store</x:v>
      </x:c>
      <x:c r="G912" s="2" t="str">
        <x:v>Storage</x:v>
      </x:c>
      <x:c r="H912" s="2" t="str">
        <x:v>Shelf 011</x:v>
      </x:c>
      <x:c r="I912" s="11" t="n">
        <x:v>3</x:v>
      </x:c>
      <x:c r="J912" s="9" t="n">
        <x:v>80</x:v>
      </x:c>
      <x:c r="K912" s="10" t="n">
        <x:v>0</x:v>
      </x:c>
      <x:c r="L912" s="11" t="n">
        <x:v>0</x:v>
      </x:c>
      <x:c r="M912" s="9" t="n">
        <x:f>IF(D912="Completed",I912*J912,0)</x:f>
        <x:v>240</x:v>
      </x:c>
      <x:c r="N912" s="9" t="n">
        <x:f>M912*K912</x:f>
        <x:v>0</x:v>
      </x:c>
      <x:c r="O912" s="9" t="n">
        <x:f>M912-N912</x:f>
        <x:v>240</x:v>
      </x:c>
      <x:c r="P912" s="9" t="n">
        <x:f>IF(D912="Completed",L912*J912*(1-K912),0)</x:f>
        <x:v>0</x:v>
      </x:c>
      <x:c r="Q912" s="9" t="n">
        <x:f>O912-P912</x:f>
        <x:v>240</x:v>
      </x:c>
      <x:c r="R912" s="11" t="n">
        <x:f>IF(D912="Completed",I912,0)</x:f>
        <x:v>3</x:v>
      </x:c>
      <x:c r="S912" s="11" t="n">
        <x:f>IF(D912="Completed",L912,0)</x:f>
        <x:v>0</x:v>
      </x:c>
      <x:c r="T912" s="8" t="n">
        <x:f>DATE(YEAR(C912),MONTH(C912),1)</x:f>
        <x:v>45778</x:v>
      </x:c>
    </x:row>
    <x:row r="913" ht="22" customHeight="1">
      <x:c r="A913" s="2" t="str">
        <x:v>L000909</x:v>
      </x:c>
      <x:c r="B913" s="2" t="str">
        <x:v>O00371</x:v>
      </x:c>
      <x:c r="C913" s="7" t="n">
        <x:v>45786</x:v>
      </x:c>
      <x:c r="D913" s="2" t="str">
        <x:v>Completed</x:v>
      </x:c>
      <x:c r="E913" s="2" t="str">
        <x:v>South</x:v>
      </x:c>
      <x:c r="F913" s="2" t="str">
        <x:v>Store</x:v>
      </x:c>
      <x:c r="G913" s="2" t="str">
        <x:v>Lighting</x:v>
      </x:c>
      <x:c r="H913" s="2" t="str">
        <x:v>Lamp 009</x:v>
      </x:c>
      <x:c r="I913" s="11" t="n">
        <x:v>5</x:v>
      </x:c>
      <x:c r="J913" s="9" t="n">
        <x:v>93</x:v>
      </x:c>
      <x:c r="K913" s="10" t="n">
        <x:v>0.05</x:v>
      </x:c>
      <x:c r="L913" s="11" t="n">
        <x:v>0</x:v>
      </x:c>
      <x:c r="M913" s="9" t="n">
        <x:f>IF(D913="Completed",I913*J913,0)</x:f>
        <x:v>465</x:v>
      </x:c>
      <x:c r="N913" s="9" t="n">
        <x:f>M913*K913</x:f>
        <x:v>23.25</x:v>
      </x:c>
      <x:c r="O913" s="9" t="n">
        <x:f>M913-N913</x:f>
        <x:v>441.75</x:v>
      </x:c>
      <x:c r="P913" s="9" t="n">
        <x:f>IF(D913="Completed",L913*J913*(1-K913),0)</x:f>
        <x:v>0</x:v>
      </x:c>
      <x:c r="Q913" s="9" t="n">
        <x:f>O913-P913</x:f>
        <x:v>441.75</x:v>
      </x:c>
      <x:c r="R913" s="11" t="n">
        <x:f>IF(D913="Completed",I913,0)</x:f>
        <x:v>5</x:v>
      </x:c>
      <x:c r="S913" s="11" t="n">
        <x:f>IF(D913="Completed",L913,0)</x:f>
        <x:v>0</x:v>
      </x:c>
      <x:c r="T913" s="8" t="n">
        <x:f>DATE(YEAR(C913),MONTH(C913),1)</x:f>
        <x:v>45778</x:v>
      </x:c>
    </x:row>
    <x:row r="914" ht="22" customHeight="1">
      <x:c r="A914" s="2" t="str">
        <x:v>L000910</x:v>
      </x:c>
      <x:c r="B914" s="2" t="str">
        <x:v>O00372</x:v>
      </x:c>
      <x:c r="C914" s="7" t="n">
        <x:v>45786</x:v>
      </x:c>
      <x:c r="D914" s="2" t="str">
        <x:v>Completed</x:v>
      </x:c>
      <x:c r="E914" s="2" t="str">
        <x:v>North</x:v>
      </x:c>
      <x:c r="F914" s="2" t="str">
        <x:v>Store</x:v>
      </x:c>
      <x:c r="G914" s="2" t="str">
        <x:v>Furniture</x:v>
      </x:c>
      <x:c r="H914" s="2" t="str">
        <x:v>Chair 022</x:v>
      </x:c>
      <x:c r="I914" s="11" t="n">
        <x:v>2</x:v>
      </x:c>
      <x:c r="J914" s="9" t="n">
        <x:v>134</x:v>
      </x:c>
      <x:c r="K914" s="10" t="n">
        <x:v>0</x:v>
      </x:c>
      <x:c r="L914" s="11" t="n">
        <x:v>0</x:v>
      </x:c>
      <x:c r="M914" s="9" t="n">
        <x:f>IF(D914="Completed",I914*J914,0)</x:f>
        <x:v>268</x:v>
      </x:c>
      <x:c r="N914" s="9" t="n">
        <x:f>M914*K914</x:f>
        <x:v>0</x:v>
      </x:c>
      <x:c r="O914" s="9" t="n">
        <x:f>M914-N914</x:f>
        <x:v>268</x:v>
      </x:c>
      <x:c r="P914" s="9" t="n">
        <x:f>IF(D914="Completed",L914*J914*(1-K914),0)</x:f>
        <x:v>0</x:v>
      </x:c>
      <x:c r="Q914" s="9" t="n">
        <x:f>O914-P914</x:f>
        <x:v>268</x:v>
      </x:c>
      <x:c r="R914" s="11" t="n">
        <x:f>IF(D914="Completed",I914,0)</x:f>
        <x:v>2</x:v>
      </x:c>
      <x:c r="S914" s="11" t="n">
        <x:f>IF(D914="Completed",L914,0)</x:f>
        <x:v>0</x:v>
      </x:c>
      <x:c r="T914" s="8" t="n">
        <x:f>DATE(YEAR(C914),MONTH(C914),1)</x:f>
        <x:v>45778</x:v>
      </x:c>
    </x:row>
    <x:row r="915" ht="22" customHeight="1">
      <x:c r="A915" s="2" t="str">
        <x:v>L000911</x:v>
      </x:c>
      <x:c r="B915" s="2" t="str">
        <x:v>O00372</x:v>
      </x:c>
      <x:c r="C915" s="7" t="n">
        <x:v>45786</x:v>
      </x:c>
      <x:c r="D915" s="2" t="str">
        <x:v>Completed</x:v>
      </x:c>
      <x:c r="E915" s="2" t="str">
        <x:v>North</x:v>
      </x:c>
      <x:c r="F915" s="2" t="str">
        <x:v>Store</x:v>
      </x:c>
      <x:c r="G915" s="2" t="str">
        <x:v>Furniture</x:v>
      </x:c>
      <x:c r="H915" s="2" t="str">
        <x:v>Desk 020</x:v>
      </x:c>
      <x:c r="I915" s="11" t="n">
        <x:v>2</x:v>
      </x:c>
      <x:c r="J915" s="9" t="n">
        <x:v>189</x:v>
      </x:c>
      <x:c r="K915" s="10" t="n">
        <x:v>0.1</x:v>
      </x:c>
      <x:c r="L915" s="11" t="n">
        <x:v>0</x:v>
      </x:c>
      <x:c r="M915" s="9" t="n">
        <x:f>IF(D915="Completed",I915*J915,0)</x:f>
        <x:v>378</x:v>
      </x:c>
      <x:c r="N915" s="9" t="n">
        <x:f>M915*K915</x:f>
        <x:v>37.800000000000004</x:v>
      </x:c>
      <x:c r="O915" s="9" t="n">
        <x:f>M915-N915</x:f>
        <x:v>340.2</x:v>
      </x:c>
      <x:c r="P915" s="9" t="n">
        <x:f>IF(D915="Completed",L915*J915*(1-K915),0)</x:f>
        <x:v>0</x:v>
      </x:c>
      <x:c r="Q915" s="9" t="n">
        <x:f>O915-P915</x:f>
        <x:v>340.2</x:v>
      </x:c>
      <x:c r="R915" s="11" t="n">
        <x:f>IF(D915="Completed",I915,0)</x:f>
        <x:v>2</x:v>
      </x:c>
      <x:c r="S915" s="11" t="n">
        <x:f>IF(D915="Completed",L915,0)</x:f>
        <x:v>0</x:v>
      </x:c>
      <x:c r="T915" s="8" t="n">
        <x:f>DATE(YEAR(C915),MONTH(C915),1)</x:f>
        <x:v>45778</x:v>
      </x:c>
    </x:row>
    <x:row r="916" ht="22" customHeight="1">
      <x:c r="A916" s="2" t="str">
        <x:v>L000912</x:v>
      </x:c>
      <x:c r="B916" s="2" t="str">
        <x:v>O00372</x:v>
      </x:c>
      <x:c r="C916" s="7" t="n">
        <x:v>45786</x:v>
      </x:c>
      <x:c r="D916" s="2" t="str">
        <x:v>Completed</x:v>
      </x:c>
      <x:c r="E916" s="2" t="str">
        <x:v>North</x:v>
      </x:c>
      <x:c r="F916" s="2" t="str">
        <x:v>Store</x:v>
      </x:c>
      <x:c r="G916" s="2" t="str">
        <x:v>Furniture</x:v>
      </x:c>
      <x:c r="H916" s="2" t="str">
        <x:v>Desk 012</x:v>
      </x:c>
      <x:c r="I916" s="11" t="n">
        <x:v>5</x:v>
      </x:c>
      <x:c r="J916" s="9" t="n">
        <x:v>134</x:v>
      </x:c>
      <x:c r="K916" s="10" t="n">
        <x:v>0</x:v>
      </x:c>
      <x:c r="L916" s="11" t="n">
        <x:v>0</x:v>
      </x:c>
      <x:c r="M916" s="9" t="n">
        <x:f>IF(D916="Completed",I916*J916,0)</x:f>
        <x:v>670</x:v>
      </x:c>
      <x:c r="N916" s="9" t="n">
        <x:f>M916*K916</x:f>
        <x:v>0</x:v>
      </x:c>
      <x:c r="O916" s="9" t="n">
        <x:f>M916-N916</x:f>
        <x:v>670</x:v>
      </x:c>
      <x:c r="P916" s="9" t="n">
        <x:f>IF(D916="Completed",L916*J916*(1-K916),0)</x:f>
        <x:v>0</x:v>
      </x:c>
      <x:c r="Q916" s="9" t="n">
        <x:f>O916-P916</x:f>
        <x:v>670</x:v>
      </x:c>
      <x:c r="R916" s="11" t="n">
        <x:f>IF(D916="Completed",I916,0)</x:f>
        <x:v>5</x:v>
      </x:c>
      <x:c r="S916" s="11" t="n">
        <x:f>IF(D916="Completed",L916,0)</x:f>
        <x:v>0</x:v>
      </x:c>
      <x:c r="T916" s="8" t="n">
        <x:f>DATE(YEAR(C916),MONTH(C916),1)</x:f>
        <x:v>45778</x:v>
      </x:c>
    </x:row>
    <x:row r="917" ht="22" customHeight="1">
      <x:c r="A917" s="2" t="str">
        <x:v>L000913</x:v>
      </x:c>
      <x:c r="B917" s="2" t="str">
        <x:v>O00372</x:v>
      </x:c>
      <x:c r="C917" s="7" t="n">
        <x:v>45786</x:v>
      </x:c>
      <x:c r="D917" s="2" t="str">
        <x:v>Completed</x:v>
      </x:c>
      <x:c r="E917" s="2" t="str">
        <x:v>North</x:v>
      </x:c>
      <x:c r="F917" s="2" t="str">
        <x:v>Store</x:v>
      </x:c>
      <x:c r="G917" s="2" t="str">
        <x:v>Furniture</x:v>
      </x:c>
      <x:c r="H917" s="2" t="str">
        <x:v>Chair 002</x:v>
      </x:c>
      <x:c r="I917" s="11" t="n">
        <x:v>5</x:v>
      </x:c>
      <x:c r="J917" s="9" t="n">
        <x:v>284</x:v>
      </x:c>
      <x:c r="K917" s="10" t="n">
        <x:v>0.2</x:v>
      </x:c>
      <x:c r="L917" s="11" t="n">
        <x:v>0</x:v>
      </x:c>
      <x:c r="M917" s="9" t="n">
        <x:f>IF(D917="Completed",I917*J917,0)</x:f>
        <x:v>1420</x:v>
      </x:c>
      <x:c r="N917" s="9" t="n">
        <x:f>M917*K917</x:f>
        <x:v>284</x:v>
      </x:c>
      <x:c r="O917" s="9" t="n">
        <x:f>M917-N917</x:f>
        <x:v>1136</x:v>
      </x:c>
      <x:c r="P917" s="9" t="n">
        <x:f>IF(D917="Completed",L917*J917*(1-K917),0)</x:f>
        <x:v>0</x:v>
      </x:c>
      <x:c r="Q917" s="9" t="n">
        <x:f>O917-P917</x:f>
        <x:v>1136</x:v>
      </x:c>
      <x:c r="R917" s="11" t="n">
        <x:f>IF(D917="Completed",I917,0)</x:f>
        <x:v>5</x:v>
      </x:c>
      <x:c r="S917" s="11" t="n">
        <x:f>IF(D917="Completed",L917,0)</x:f>
        <x:v>0</x:v>
      </x:c>
      <x:c r="T917" s="8" t="n">
        <x:f>DATE(YEAR(C917),MONTH(C917),1)</x:f>
        <x:v>45778</x:v>
      </x:c>
    </x:row>
    <x:row r="918" ht="22" customHeight="1">
      <x:c r="A918" s="2" t="str">
        <x:v>L000914</x:v>
      </x:c>
      <x:c r="B918" s="2" t="str">
        <x:v>O00373</x:v>
      </x:c>
      <x:c r="C918" s="7" t="n">
        <x:v>45809</x:v>
      </x:c>
      <x:c r="D918" s="2" t="str">
        <x:v>Completed</x:v>
      </x:c>
      <x:c r="E918" s="2" t="str">
        <x:v>North</x:v>
      </x:c>
      <x:c r="F918" s="2" t="str">
        <x:v>Online</x:v>
      </x:c>
      <x:c r="G918" s="2" t="str">
        <x:v>Storage</x:v>
      </x:c>
      <x:c r="H918" s="2" t="str">
        <x:v>Shelf 019</x:v>
      </x:c>
      <x:c r="I918" s="11" t="n">
        <x:v>1</x:v>
      </x:c>
      <x:c r="J918" s="9" t="n">
        <x:v>78</x:v>
      </x:c>
      <x:c r="K918" s="10" t="n">
        <x:v>0</x:v>
      </x:c>
      <x:c r="L918" s="11" t="n">
        <x:v>0</x:v>
      </x:c>
      <x:c r="M918" s="9" t="n">
        <x:f>IF(D918="Completed",I918*J918,0)</x:f>
        <x:v>78</x:v>
      </x:c>
      <x:c r="N918" s="9" t="n">
        <x:f>M918*K918</x:f>
        <x:v>0</x:v>
      </x:c>
      <x:c r="O918" s="9" t="n">
        <x:f>M918-N918</x:f>
        <x:v>78</x:v>
      </x:c>
      <x:c r="P918" s="9" t="n">
        <x:f>IF(D918="Completed",L918*J918*(1-K918),0)</x:f>
        <x:v>0</x:v>
      </x:c>
      <x:c r="Q918" s="9" t="n">
        <x:f>O918-P918</x:f>
        <x:v>78</x:v>
      </x:c>
      <x:c r="R918" s="11" t="n">
        <x:f>IF(D918="Completed",I918,0)</x:f>
        <x:v>1</x:v>
      </x:c>
      <x:c r="S918" s="11" t="n">
        <x:f>IF(D918="Completed",L918,0)</x:f>
        <x:v>0</x:v>
      </x:c>
      <x:c r="T918" s="8" t="n">
        <x:f>DATE(YEAR(C918),MONTH(C918),1)</x:f>
        <x:v>45809</x:v>
      </x:c>
    </x:row>
    <x:row r="919" ht="22" customHeight="1">
      <x:c r="A919" s="2" t="str">
        <x:v>L000915</x:v>
      </x:c>
      <x:c r="B919" s="2" t="str">
        <x:v>O00373</x:v>
      </x:c>
      <x:c r="C919" s="7" t="n">
        <x:v>45809</x:v>
      </x:c>
      <x:c r="D919" s="2" t="str">
        <x:v>Completed</x:v>
      </x:c>
      <x:c r="E919" s="2" t="str">
        <x:v>North</x:v>
      </x:c>
      <x:c r="F919" s="2" t="str">
        <x:v>Online</x:v>
      </x:c>
      <x:c r="G919" s="2" t="str">
        <x:v>Furniture</x:v>
      </x:c>
      <x:c r="H919" s="2" t="str">
        <x:v>Chair 018</x:v>
      </x:c>
      <x:c r="I919" s="11" t="n">
        <x:v>1</x:v>
      </x:c>
      <x:c r="J919" s="9" t="n">
        <x:v>269</x:v>
      </x:c>
      <x:c r="K919" s="10" t="n">
        <x:v>0</x:v>
      </x:c>
      <x:c r="L919" s="11" t="n">
        <x:v>0</x:v>
      </x:c>
      <x:c r="M919" s="9" t="n">
        <x:f>IF(D919="Completed",I919*J919,0)</x:f>
        <x:v>269</x:v>
      </x:c>
      <x:c r="N919" s="9" t="n">
        <x:f>M919*K919</x:f>
        <x:v>0</x:v>
      </x:c>
      <x:c r="O919" s="9" t="n">
        <x:f>M919-N919</x:f>
        <x:v>269</x:v>
      </x:c>
      <x:c r="P919" s="9" t="n">
        <x:f>IF(D919="Completed",L919*J919*(1-K919),0)</x:f>
        <x:v>0</x:v>
      </x:c>
      <x:c r="Q919" s="9" t="n">
        <x:f>O919-P919</x:f>
        <x:v>269</x:v>
      </x:c>
      <x:c r="R919" s="11" t="n">
        <x:f>IF(D919="Completed",I919,0)</x:f>
        <x:v>1</x:v>
      </x:c>
      <x:c r="S919" s="11" t="n">
        <x:f>IF(D919="Completed",L919,0)</x:f>
        <x:v>0</x:v>
      </x:c>
      <x:c r="T919" s="8" t="n">
        <x:f>DATE(YEAR(C919),MONTH(C919),1)</x:f>
        <x:v>45809</x:v>
      </x:c>
    </x:row>
    <x:row r="920" ht="22" customHeight="1">
      <x:c r="A920" s="2" t="str">
        <x:v>L000916</x:v>
      </x:c>
      <x:c r="B920" s="2" t="str">
        <x:v>O00374</x:v>
      </x:c>
      <x:c r="C920" s="7" t="n">
        <x:v>45883</x:v>
      </x:c>
      <x:c r="D920" s="2" t="str">
        <x:v>Completed</x:v>
      </x:c>
      <x:c r="E920" s="2" t="str">
        <x:v>West</x:v>
      </x:c>
      <x:c r="F920" s="2" t="str">
        <x:v>Online</x:v>
      </x:c>
      <x:c r="G920" s="2" t="str">
        <x:v>Furniture</x:v>
      </x:c>
      <x:c r="H920" s="2" t="str">
        <x:v>Chair 022</x:v>
      </x:c>
      <x:c r="I920" s="11" t="n">
        <x:v>5</x:v>
      </x:c>
      <x:c r="J920" s="9" t="n">
        <x:v>134</x:v>
      </x:c>
      <x:c r="K920" s="10" t="n">
        <x:v>0.05</x:v>
      </x:c>
      <x:c r="L920" s="11" t="n">
        <x:v>0</x:v>
      </x:c>
      <x:c r="M920" s="9" t="n">
        <x:f>IF(D920="Completed",I920*J920,0)</x:f>
        <x:v>670</x:v>
      </x:c>
      <x:c r="N920" s="9" t="n">
        <x:f>M920*K920</x:f>
        <x:v>33.5</x:v>
      </x:c>
      <x:c r="O920" s="9" t="n">
        <x:f>M920-N920</x:f>
        <x:v>636.5</x:v>
      </x:c>
      <x:c r="P920" s="9" t="n">
        <x:f>IF(D920="Completed",L920*J920*(1-K920),0)</x:f>
        <x:v>0</x:v>
      </x:c>
      <x:c r="Q920" s="9" t="n">
        <x:f>O920-P920</x:f>
        <x:v>636.5</x:v>
      </x:c>
      <x:c r="R920" s="11" t="n">
        <x:f>IF(D920="Completed",I920,0)</x:f>
        <x:v>5</x:v>
      </x:c>
      <x:c r="S920" s="11" t="n">
        <x:f>IF(D920="Completed",L920,0)</x:f>
        <x:v>0</x:v>
      </x:c>
      <x:c r="T920" s="8" t="n">
        <x:f>DATE(YEAR(C920),MONTH(C920),1)</x:f>
        <x:v>45870</x:v>
      </x:c>
    </x:row>
    <x:row r="921" ht="22" customHeight="1">
      <x:c r="A921" s="2" t="str">
        <x:v>L000917</x:v>
      </x:c>
      <x:c r="B921" s="2" t="str">
        <x:v>O00375</x:v>
      </x:c>
      <x:c r="C921" s="7" t="n">
        <x:v>45904</x:v>
      </x:c>
      <x:c r="D921" s="2" t="str">
        <x:v>Completed</x:v>
      </x:c>
      <x:c r="E921" s="2" t="str">
        <x:v>East</x:v>
      </x:c>
      <x:c r="F921" s="2" t="str">
        <x:v>Online</x:v>
      </x:c>
      <x:c r="G921" s="2" t="str">
        <x:v>Furniture</x:v>
      </x:c>
      <x:c r="H921" s="2" t="str">
        <x:v>Desk 008</x:v>
      </x:c>
      <x:c r="I921" s="11" t="n">
        <x:v>1</x:v>
      </x:c>
      <x:c r="J921" s="9" t="n">
        <x:v>188</x:v>
      </x:c>
      <x:c r="K921" s="10" t="n">
        <x:v>0.2</x:v>
      </x:c>
      <x:c r="L921" s="11" t="n">
        <x:v>0</x:v>
      </x:c>
      <x:c r="M921" s="9" t="n">
        <x:f>IF(D921="Completed",I921*J921,0)</x:f>
        <x:v>188</x:v>
      </x:c>
      <x:c r="N921" s="9" t="n">
        <x:f>M921*K921</x:f>
        <x:v>37.6</x:v>
      </x:c>
      <x:c r="O921" s="9" t="n">
        <x:f>M921-N921</x:f>
        <x:v>150.4</x:v>
      </x:c>
      <x:c r="P921" s="9" t="n">
        <x:f>IF(D921="Completed",L921*J921*(1-K921),0)</x:f>
        <x:v>0</x:v>
      </x:c>
      <x:c r="Q921" s="9" t="n">
        <x:f>O921-P921</x:f>
        <x:v>150.4</x:v>
      </x:c>
      <x:c r="R921" s="11" t="n">
        <x:f>IF(D921="Completed",I921,0)</x:f>
        <x:v>1</x:v>
      </x:c>
      <x:c r="S921" s="11" t="n">
        <x:f>IF(D921="Completed",L921,0)</x:f>
        <x:v>0</x:v>
      </x:c>
      <x:c r="T921" s="8" t="n">
        <x:f>DATE(YEAR(C921),MONTH(C921),1)</x:f>
        <x:v>45901</x:v>
      </x:c>
    </x:row>
    <x:row r="922" ht="22" customHeight="1">
      <x:c r="A922" s="2" t="str">
        <x:v>L000918</x:v>
      </x:c>
      <x:c r="B922" s="2" t="str">
        <x:v>O00376</x:v>
      </x:c>
      <x:c r="C922" s="7" t="n">
        <x:v>45851</x:v>
      </x:c>
      <x:c r="D922" s="2" t="str">
        <x:v>Completed</x:v>
      </x:c>
      <x:c r="E922" s="2" t="str">
        <x:v>East</x:v>
      </x:c>
      <x:c r="F922" s="2" t="str">
        <x:v>Store</x:v>
      </x:c>
      <x:c r="G922" s="2" t="str">
        <x:v>Lighting</x:v>
      </x:c>
      <x:c r="H922" s="2" t="str">
        <x:v>Lamp 005</x:v>
      </x:c>
      <x:c r="I922" s="11" t="n">
        <x:v>3</x:v>
      </x:c>
      <x:c r="J922" s="9" t="n">
        <x:v>65</x:v>
      </x:c>
      <x:c r="K922" s="10" t="n">
        <x:v>0.05</x:v>
      </x:c>
      <x:c r="L922" s="11" t="n">
        <x:v>0</x:v>
      </x:c>
      <x:c r="M922" s="9" t="n">
        <x:f>IF(D922="Completed",I922*J922,0)</x:f>
        <x:v>195</x:v>
      </x:c>
      <x:c r="N922" s="9" t="n">
        <x:f>M922*K922</x:f>
        <x:v>9.75</x:v>
      </x:c>
      <x:c r="O922" s="9" t="n">
        <x:f>M922-N922</x:f>
        <x:v>185.25</x:v>
      </x:c>
      <x:c r="P922" s="9" t="n">
        <x:f>IF(D922="Completed",L922*J922*(1-K922),0)</x:f>
        <x:v>0</x:v>
      </x:c>
      <x:c r="Q922" s="9" t="n">
        <x:f>O922-P922</x:f>
        <x:v>185.25</x:v>
      </x:c>
      <x:c r="R922" s="11" t="n">
        <x:f>IF(D922="Completed",I922,0)</x:f>
        <x:v>3</x:v>
      </x:c>
      <x:c r="S922" s="11" t="n">
        <x:f>IF(D922="Completed",L922,0)</x:f>
        <x:v>0</x:v>
      </x:c>
      <x:c r="T922" s="8" t="n">
        <x:f>DATE(YEAR(C922),MONTH(C922),1)</x:f>
        <x:v>45839</x:v>
      </x:c>
    </x:row>
    <x:row r="923" ht="22" customHeight="1">
      <x:c r="A923" s="2" t="str">
        <x:v>L000919</x:v>
      </x:c>
      <x:c r="B923" s="2" t="str">
        <x:v>O00376</x:v>
      </x:c>
      <x:c r="C923" s="7" t="n">
        <x:v>45851</x:v>
      </x:c>
      <x:c r="D923" s="2" t="str">
        <x:v>Completed</x:v>
      </x:c>
      <x:c r="E923" s="2" t="str">
        <x:v>East</x:v>
      </x:c>
      <x:c r="F923" s="2" t="str">
        <x:v>Store</x:v>
      </x:c>
      <x:c r="G923" s="2" t="str">
        <x:v>Storage</x:v>
      </x:c>
      <x:c r="H923" s="2" t="str">
        <x:v>Shelf 011</x:v>
      </x:c>
      <x:c r="I923" s="11" t="n">
        <x:v>5</x:v>
      </x:c>
      <x:c r="J923" s="9" t="n">
        <x:v>80</x:v>
      </x:c>
      <x:c r="K923" s="10" t="n">
        <x:v>0.2</x:v>
      </x:c>
      <x:c r="L923" s="11" t="n">
        <x:v>0</x:v>
      </x:c>
      <x:c r="M923" s="9" t="n">
        <x:f>IF(D923="Completed",I923*J923,0)</x:f>
        <x:v>400</x:v>
      </x:c>
      <x:c r="N923" s="9" t="n">
        <x:f>M923*K923</x:f>
        <x:v>80</x:v>
      </x:c>
      <x:c r="O923" s="9" t="n">
        <x:f>M923-N923</x:f>
        <x:v>320</x:v>
      </x:c>
      <x:c r="P923" s="9" t="n">
        <x:f>IF(D923="Completed",L923*J923*(1-K923),0)</x:f>
        <x:v>0</x:v>
      </x:c>
      <x:c r="Q923" s="9" t="n">
        <x:f>O923-P923</x:f>
        <x:v>320</x:v>
      </x:c>
      <x:c r="R923" s="11" t="n">
        <x:f>IF(D923="Completed",I923,0)</x:f>
        <x:v>5</x:v>
      </x:c>
      <x:c r="S923" s="11" t="n">
        <x:f>IF(D923="Completed",L923,0)</x:f>
        <x:v>0</x:v>
      </x:c>
      <x:c r="T923" s="8" t="n">
        <x:f>DATE(YEAR(C923),MONTH(C923),1)</x:f>
        <x:v>45839</x:v>
      </x:c>
    </x:row>
    <x:row r="924" ht="22" customHeight="1">
      <x:c r="A924" s="2" t="str">
        <x:v>L000920</x:v>
      </x:c>
      <x:c r="B924" s="2" t="str">
        <x:v>O00376</x:v>
      </x:c>
      <x:c r="C924" s="7" t="n">
        <x:v>45851</x:v>
      </x:c>
      <x:c r="D924" s="2" t="str">
        <x:v>Completed</x:v>
      </x:c>
      <x:c r="E924" s="2" t="str">
        <x:v>East</x:v>
      </x:c>
      <x:c r="F924" s="2" t="str">
        <x:v>Store</x:v>
      </x:c>
      <x:c r="G924" s="2" t="str">
        <x:v>Furniture</x:v>
      </x:c>
      <x:c r="H924" s="2" t="str">
        <x:v>Chair 002</x:v>
      </x:c>
      <x:c r="I924" s="11" t="n">
        <x:v>2</x:v>
      </x:c>
      <x:c r="J924" s="9" t="n">
        <x:v>284</x:v>
      </x:c>
      <x:c r="K924" s="10" t="n">
        <x:v>0.2</x:v>
      </x:c>
      <x:c r="L924" s="11" t="n">
        <x:v>0</x:v>
      </x:c>
      <x:c r="M924" s="9" t="n">
        <x:f>IF(D924="Completed",I924*J924,0)</x:f>
        <x:v>568</x:v>
      </x:c>
      <x:c r="N924" s="9" t="n">
        <x:f>M924*K924</x:f>
        <x:v>113.60000000000001</x:v>
      </x:c>
      <x:c r="O924" s="9" t="n">
        <x:f>M924-N924</x:f>
        <x:v>454.4</x:v>
      </x:c>
      <x:c r="P924" s="9" t="n">
        <x:f>IF(D924="Completed",L924*J924*(1-K924),0)</x:f>
        <x:v>0</x:v>
      </x:c>
      <x:c r="Q924" s="9" t="n">
        <x:f>O924-P924</x:f>
        <x:v>454.4</x:v>
      </x:c>
      <x:c r="R924" s="11" t="n">
        <x:f>IF(D924="Completed",I924,0)</x:f>
        <x:v>2</x:v>
      </x:c>
      <x:c r="S924" s="11" t="n">
        <x:f>IF(D924="Completed",L924,0)</x:f>
        <x:v>0</x:v>
      </x:c>
      <x:c r="T924" s="8" t="n">
        <x:f>DATE(YEAR(C924),MONTH(C924),1)</x:f>
        <x:v>45839</x:v>
      </x:c>
    </x:row>
    <x:row r="925" ht="22" customHeight="1">
      <x:c r="A925" s="2" t="str">
        <x:v>L000921</x:v>
      </x:c>
      <x:c r="B925" s="2" t="str">
        <x:v>O00376</x:v>
      </x:c>
      <x:c r="C925" s="7" t="n">
        <x:v>45851</x:v>
      </x:c>
      <x:c r="D925" s="2" t="str">
        <x:v>Completed</x:v>
      </x:c>
      <x:c r="E925" s="2" t="str">
        <x:v>East</x:v>
      </x:c>
      <x:c r="F925" s="2" t="str">
        <x:v>Store</x:v>
      </x:c>
      <x:c r="G925" s="2" t="str">
        <x:v>Lighting</x:v>
      </x:c>
      <x:c r="H925" s="2" t="str">
        <x:v>Lamp 017</x:v>
      </x:c>
      <x:c r="I925" s="11" t="n">
        <x:v>2</x:v>
      </x:c>
      <x:c r="J925" s="9" t="n">
        <x:v>300</x:v>
      </x:c>
      <x:c r="K925" s="10" t="n">
        <x:v>0.1</x:v>
      </x:c>
      <x:c r="L925" s="11" t="n">
        <x:v>0</x:v>
      </x:c>
      <x:c r="M925" s="9" t="n">
        <x:f>IF(D925="Completed",I925*J925,0)</x:f>
        <x:v>600</x:v>
      </x:c>
      <x:c r="N925" s="9" t="n">
        <x:f>M925*K925</x:f>
        <x:v>60</x:v>
      </x:c>
      <x:c r="O925" s="9" t="n">
        <x:f>M925-N925</x:f>
        <x:v>540</x:v>
      </x:c>
      <x:c r="P925" s="9" t="n">
        <x:f>IF(D925="Completed",L925*J925*(1-K925),0)</x:f>
        <x:v>0</x:v>
      </x:c>
      <x:c r="Q925" s="9" t="n">
        <x:f>O925-P925</x:f>
        <x:v>540</x:v>
      </x:c>
      <x:c r="R925" s="11" t="n">
        <x:f>IF(D925="Completed",I925,0)</x:f>
        <x:v>2</x:v>
      </x:c>
      <x:c r="S925" s="11" t="n">
        <x:f>IF(D925="Completed",L925,0)</x:f>
        <x:v>0</x:v>
      </x:c>
      <x:c r="T925" s="8" t="n">
        <x:f>DATE(YEAR(C925),MONTH(C925),1)</x:f>
        <x:v>45839</x:v>
      </x:c>
    </x:row>
    <x:row r="926" ht="22" customHeight="1">
      <x:c r="A926" s="2" t="str">
        <x:v>L000922</x:v>
      </x:c>
      <x:c r="B926" s="2" t="str">
        <x:v>O00377</x:v>
      </x:c>
      <x:c r="C926" s="7" t="n">
        <x:v>45975</x:v>
      </x:c>
      <x:c r="D926" s="2" t="str">
        <x:v>Completed</x:v>
      </x:c>
      <x:c r="E926" s="2" t="str">
        <x:v>West</x:v>
      </x:c>
      <x:c r="F926" s="2" t="str">
        <x:v>Store</x:v>
      </x:c>
      <x:c r="G926" s="2" t="str">
        <x:v>Storage</x:v>
      </x:c>
      <x:c r="H926" s="2" t="str">
        <x:v>Shelf 019</x:v>
      </x:c>
      <x:c r="I926" s="11" t="n">
        <x:v>4</x:v>
      </x:c>
      <x:c r="J926" s="9" t="n">
        <x:v>78</x:v>
      </x:c>
      <x:c r="K926" s="10" t="n">
        <x:v>0.05</x:v>
      </x:c>
      <x:c r="L926" s="11" t="n">
        <x:v>0</x:v>
      </x:c>
      <x:c r="M926" s="9" t="n">
        <x:f>IF(D926="Completed",I926*J926,0)</x:f>
        <x:v>312</x:v>
      </x:c>
      <x:c r="N926" s="9" t="n">
        <x:f>M926*K926</x:f>
        <x:v>15.600000000000001</x:v>
      </x:c>
      <x:c r="O926" s="9" t="n">
        <x:f>M926-N926</x:f>
        <x:v>296.4</x:v>
      </x:c>
      <x:c r="P926" s="9" t="n">
        <x:f>IF(D926="Completed",L926*J926*(1-K926),0)</x:f>
        <x:v>0</x:v>
      </x:c>
      <x:c r="Q926" s="9" t="n">
        <x:f>O926-P926</x:f>
        <x:v>296.4</x:v>
      </x:c>
      <x:c r="R926" s="11" t="n">
        <x:f>IF(D926="Completed",I926,0)</x:f>
        <x:v>4</x:v>
      </x:c>
      <x:c r="S926" s="11" t="n">
        <x:f>IF(D926="Completed",L926,0)</x:f>
        <x:v>0</x:v>
      </x:c>
      <x:c r="T926" s="8" t="n">
        <x:f>DATE(YEAR(C926),MONTH(C926),1)</x:f>
        <x:v>45962</x:v>
      </x:c>
    </x:row>
    <x:row r="927" ht="22" customHeight="1">
      <x:c r="A927" s="2" t="str">
        <x:v>L000923</x:v>
      </x:c>
      <x:c r="B927" s="2" t="str">
        <x:v>O00378</x:v>
      </x:c>
      <x:c r="C927" s="7" t="n">
        <x:v>46002</x:v>
      </x:c>
      <x:c r="D927" s="2" t="str">
        <x:v>Completed</x:v>
      </x:c>
      <x:c r="E927" s="2" t="str">
        <x:v>West</x:v>
      </x:c>
      <x:c r="F927" s="2" t="str">
        <x:v>Online</x:v>
      </x:c>
      <x:c r="G927" s="2" t="str">
        <x:v>Furniture</x:v>
      </x:c>
      <x:c r="H927" s="2" t="str">
        <x:v>Chair 006</x:v>
      </x:c>
      <x:c r="I927" s="11" t="n">
        <x:v>2</x:v>
      </x:c>
      <x:c r="J927" s="9" t="n">
        <x:v>196</x:v>
      </x:c>
      <x:c r="K927" s="10" t="n">
        <x:v>0.05</x:v>
      </x:c>
      <x:c r="L927" s="11" t="n">
        <x:v>0</x:v>
      </x:c>
      <x:c r="M927" s="9" t="n">
        <x:f>IF(D927="Completed",I927*J927,0)</x:f>
        <x:v>392</x:v>
      </x:c>
      <x:c r="N927" s="9" t="n">
        <x:f>M927*K927</x:f>
        <x:v>19.6</x:v>
      </x:c>
      <x:c r="O927" s="9" t="n">
        <x:f>M927-N927</x:f>
        <x:v>372.4</x:v>
      </x:c>
      <x:c r="P927" s="9" t="n">
        <x:f>IF(D927="Completed",L927*J927*(1-K927),0)</x:f>
        <x:v>0</x:v>
      </x:c>
      <x:c r="Q927" s="9" t="n">
        <x:f>O927-P927</x:f>
        <x:v>372.4</x:v>
      </x:c>
      <x:c r="R927" s="11" t="n">
        <x:f>IF(D927="Completed",I927,0)</x:f>
        <x:v>2</x:v>
      </x:c>
      <x:c r="S927" s="11" t="n">
        <x:f>IF(D927="Completed",L927,0)</x:f>
        <x:v>0</x:v>
      </x:c>
      <x:c r="T927" s="8" t="n">
        <x:f>DATE(YEAR(C927),MONTH(C927),1)</x:f>
        <x:v>45992</x:v>
      </x:c>
    </x:row>
    <x:row r="928" ht="22" customHeight="1">
      <x:c r="A928" s="2" t="str">
        <x:v>L000924</x:v>
      </x:c>
      <x:c r="B928" s="2" t="str">
        <x:v>O00378</x:v>
      </x:c>
      <x:c r="C928" s="7" t="n">
        <x:v>46002</x:v>
      </x:c>
      <x:c r="D928" s="2" t="str">
        <x:v>Completed</x:v>
      </x:c>
      <x:c r="E928" s="2" t="str">
        <x:v>West</x:v>
      </x:c>
      <x:c r="F928" s="2" t="str">
        <x:v>Online</x:v>
      </x:c>
      <x:c r="G928" s="2" t="str">
        <x:v>Lighting</x:v>
      </x:c>
      <x:c r="H928" s="2" t="str">
        <x:v>Lamp 001</x:v>
      </x:c>
      <x:c r="I928" s="11" t="n">
        <x:v>5</x:v>
      </x:c>
      <x:c r="J928" s="9" t="n">
        <x:v>122</x:v>
      </x:c>
      <x:c r="K928" s="10" t="n">
        <x:v>0.05</x:v>
      </x:c>
      <x:c r="L928" s="11" t="n">
        <x:v>4</x:v>
      </x:c>
      <x:c r="M928" s="9" t="n">
        <x:f>IF(D928="Completed",I928*J928,0)</x:f>
        <x:v>610</x:v>
      </x:c>
      <x:c r="N928" s="9" t="n">
        <x:f>M928*K928</x:f>
        <x:v>30.5</x:v>
      </x:c>
      <x:c r="O928" s="9" t="n">
        <x:f>M928-N928</x:f>
        <x:v>579.5</x:v>
      </x:c>
      <x:c r="P928" s="9" t="n">
        <x:f>IF(D928="Completed",L928*J928*(1-K928),0)</x:f>
        <x:v>463.59999999999997</x:v>
      </x:c>
      <x:c r="Q928" s="9" t="n">
        <x:f>O928-P928</x:f>
        <x:v>115.90000000000003</x:v>
      </x:c>
      <x:c r="R928" s="11" t="n">
        <x:f>IF(D928="Completed",I928,0)</x:f>
        <x:v>5</x:v>
      </x:c>
      <x:c r="S928" s="11" t="n">
        <x:f>IF(D928="Completed",L928,0)</x:f>
        <x:v>4</x:v>
      </x:c>
      <x:c r="T928" s="8" t="n">
        <x:f>DATE(YEAR(C928),MONTH(C928),1)</x:f>
        <x:v>45992</x:v>
      </x:c>
    </x:row>
    <x:row r="929" ht="22" customHeight="1">
      <x:c r="A929" s="2" t="str">
        <x:v>L000925</x:v>
      </x:c>
      <x:c r="B929" s="2" t="str">
        <x:v>O00379</x:v>
      </x:c>
      <x:c r="C929" s="7" t="n">
        <x:v>45805</x:v>
      </x:c>
      <x:c r="D929" s="2" t="str">
        <x:v>Completed</x:v>
      </x:c>
      <x:c r="E929" s="2" t="str">
        <x:v>West</x:v>
      </x:c>
      <x:c r="F929" s="2" t="str">
        <x:v>Store</x:v>
      </x:c>
      <x:c r="G929" s="2" t="str">
        <x:v>Furniture</x:v>
      </x:c>
      <x:c r="H929" s="2" t="str">
        <x:v>Desk 024</x:v>
      </x:c>
      <x:c r="I929" s="11" t="n">
        <x:v>1</x:v>
      </x:c>
      <x:c r="J929" s="9" t="n">
        <x:v>81</x:v>
      </x:c>
      <x:c r="K929" s="10" t="n">
        <x:v>0.2</x:v>
      </x:c>
      <x:c r="L929" s="11" t="n">
        <x:v>1</x:v>
      </x:c>
      <x:c r="M929" s="9" t="n">
        <x:f>IF(D929="Completed",I929*J929,0)</x:f>
        <x:v>81</x:v>
      </x:c>
      <x:c r="N929" s="9" t="n">
        <x:f>M929*K929</x:f>
        <x:v>16.2</x:v>
      </x:c>
      <x:c r="O929" s="9" t="n">
        <x:f>M929-N929</x:f>
        <x:v>64.8</x:v>
      </x:c>
      <x:c r="P929" s="9" t="n">
        <x:f>IF(D929="Completed",L929*J929*(1-K929),0)</x:f>
        <x:v>64.8</x:v>
      </x:c>
      <x:c r="Q929" s="9" t="n">
        <x:f>O929-P929</x:f>
        <x:v>0</x:v>
      </x:c>
      <x:c r="R929" s="11" t="n">
        <x:f>IF(D929="Completed",I929,0)</x:f>
        <x:v>1</x:v>
      </x:c>
      <x:c r="S929" s="11" t="n">
        <x:f>IF(D929="Completed",L929,0)</x:f>
        <x:v>1</x:v>
      </x:c>
      <x:c r="T929" s="8" t="n">
        <x:f>DATE(YEAR(C929),MONTH(C929),1)</x:f>
        <x:v>45778</x:v>
      </x:c>
    </x:row>
    <x:row r="930" ht="22" customHeight="1">
      <x:c r="A930" s="2" t="str">
        <x:v>L000926</x:v>
      </x:c>
      <x:c r="B930" s="2" t="str">
        <x:v>O00379</x:v>
      </x:c>
      <x:c r="C930" s="7" t="n">
        <x:v>45805</x:v>
      </x:c>
      <x:c r="D930" s="2" t="str">
        <x:v>Completed</x:v>
      </x:c>
      <x:c r="E930" s="2" t="str">
        <x:v>West</x:v>
      </x:c>
      <x:c r="F930" s="2" t="str">
        <x:v>Store</x:v>
      </x:c>
      <x:c r="G930" s="2" t="str">
        <x:v>Lighting</x:v>
      </x:c>
      <x:c r="H930" s="2" t="str">
        <x:v>Lamp 021</x:v>
      </x:c>
      <x:c r="I930" s="11" t="n">
        <x:v>2</x:v>
      </x:c>
      <x:c r="J930" s="9" t="n">
        <x:v>249</x:v>
      </x:c>
      <x:c r="K930" s="10" t="n">
        <x:v>0</x:v>
      </x:c>
      <x:c r="L930" s="11" t="n">
        <x:v>0</x:v>
      </x:c>
      <x:c r="M930" s="9" t="n">
        <x:f>IF(D930="Completed",I930*J930,0)</x:f>
        <x:v>498</x:v>
      </x:c>
      <x:c r="N930" s="9" t="n">
        <x:f>M930*K930</x:f>
        <x:v>0</x:v>
      </x:c>
      <x:c r="O930" s="9" t="n">
        <x:f>M930-N930</x:f>
        <x:v>498</x:v>
      </x:c>
      <x:c r="P930" s="9" t="n">
        <x:f>IF(D930="Completed",L930*J930*(1-K930),0)</x:f>
        <x:v>0</x:v>
      </x:c>
      <x:c r="Q930" s="9" t="n">
        <x:f>O930-P930</x:f>
        <x:v>498</x:v>
      </x:c>
      <x:c r="R930" s="11" t="n">
        <x:f>IF(D930="Completed",I930,0)</x:f>
        <x:v>2</x:v>
      </x:c>
      <x:c r="S930" s="11" t="n">
        <x:f>IF(D930="Completed",L930,0)</x:f>
        <x:v>0</x:v>
      </x:c>
      <x:c r="T930" s="8" t="n">
        <x:f>DATE(YEAR(C930),MONTH(C930),1)</x:f>
        <x:v>45778</x:v>
      </x:c>
    </x:row>
    <x:row r="931" ht="22" customHeight="1">
      <x:c r="A931" s="2" t="str">
        <x:v>L000927</x:v>
      </x:c>
      <x:c r="B931" s="2" t="str">
        <x:v>O00380</x:v>
      </x:c>
      <x:c r="C931" s="7" t="n">
        <x:v>45763</x:v>
      </x:c>
      <x:c r="D931" s="2" t="str">
        <x:v>Completed</x:v>
      </x:c>
      <x:c r="E931" s="2" t="str">
        <x:v>North</x:v>
      </x:c>
      <x:c r="F931" s="2" t="str">
        <x:v>Online</x:v>
      </x:c>
      <x:c r="G931" s="2" t="str">
        <x:v>Lighting</x:v>
      </x:c>
      <x:c r="H931" s="2" t="str">
        <x:v>Lamp 021</x:v>
      </x:c>
      <x:c r="I931" s="11" t="n">
        <x:v>4</x:v>
      </x:c>
      <x:c r="J931" s="9" t="n">
        <x:v>249</x:v>
      </x:c>
      <x:c r="K931" s="10" t="n">
        <x:v>0.2</x:v>
      </x:c>
      <x:c r="L931" s="11" t="n">
        <x:v>0</x:v>
      </x:c>
      <x:c r="M931" s="9" t="n">
        <x:f>IF(D931="Completed",I931*J931,0)</x:f>
        <x:v>996</x:v>
      </x:c>
      <x:c r="N931" s="9" t="n">
        <x:f>M931*K931</x:f>
        <x:v>199.20000000000002</x:v>
      </x:c>
      <x:c r="O931" s="9" t="n">
        <x:f>M931-N931</x:f>
        <x:v>796.8</x:v>
      </x:c>
      <x:c r="P931" s="9" t="n">
        <x:f>IF(D931="Completed",L931*J931*(1-K931),0)</x:f>
        <x:v>0</x:v>
      </x:c>
      <x:c r="Q931" s="9" t="n">
        <x:f>O931-P931</x:f>
        <x:v>796.8</x:v>
      </x:c>
      <x:c r="R931" s="11" t="n">
        <x:f>IF(D931="Completed",I931,0)</x:f>
        <x:v>4</x:v>
      </x:c>
      <x:c r="S931" s="11" t="n">
        <x:f>IF(D931="Completed",L931,0)</x:f>
        <x:v>0</x:v>
      </x:c>
      <x:c r="T931" s="8" t="n">
        <x:f>DATE(YEAR(C931),MONTH(C931),1)</x:f>
        <x:v>45748</x:v>
      </x:c>
    </x:row>
    <x:row r="932" ht="22" customHeight="1">
      <x:c r="A932" s="2" t="str">
        <x:v>L000928</x:v>
      </x:c>
      <x:c r="B932" s="2" t="str">
        <x:v>O00380</x:v>
      </x:c>
      <x:c r="C932" s="7" t="n">
        <x:v>45763</x:v>
      </x:c>
      <x:c r="D932" s="2" t="str">
        <x:v>Completed</x:v>
      </x:c>
      <x:c r="E932" s="2" t="str">
        <x:v>North</x:v>
      </x:c>
      <x:c r="F932" s="2" t="str">
        <x:v>Online</x:v>
      </x:c>
      <x:c r="G932" s="2" t="str">
        <x:v>Lighting</x:v>
      </x:c>
      <x:c r="H932" s="2" t="str">
        <x:v>Lamp 021</x:v>
      </x:c>
      <x:c r="I932" s="11" t="n">
        <x:v>5</x:v>
      </x:c>
      <x:c r="J932" s="9" t="n">
        <x:v>249</x:v>
      </x:c>
      <x:c r="K932" s="10" t="n">
        <x:v>0.1</x:v>
      </x:c>
      <x:c r="L932" s="11" t="n">
        <x:v>0</x:v>
      </x:c>
      <x:c r="M932" s="9" t="n">
        <x:f>IF(D932="Completed",I932*J932,0)</x:f>
        <x:v>1245</x:v>
      </x:c>
      <x:c r="N932" s="9" t="n">
        <x:f>M932*K932</x:f>
        <x:v>124.5</x:v>
      </x:c>
      <x:c r="O932" s="9" t="n">
        <x:f>M932-N932</x:f>
        <x:v>1120.5</x:v>
      </x:c>
      <x:c r="P932" s="9" t="n">
        <x:f>IF(D932="Completed",L932*J932*(1-K932),0)</x:f>
        <x:v>0</x:v>
      </x:c>
      <x:c r="Q932" s="9" t="n">
        <x:f>O932-P932</x:f>
        <x:v>1120.5</x:v>
      </x:c>
      <x:c r="R932" s="11" t="n">
        <x:f>IF(D932="Completed",I932,0)</x:f>
        <x:v>5</x:v>
      </x:c>
      <x:c r="S932" s="11" t="n">
        <x:f>IF(D932="Completed",L932,0)</x:f>
        <x:v>0</x:v>
      </x:c>
      <x:c r="T932" s="8" t="n">
        <x:f>DATE(YEAR(C932),MONTH(C932),1)</x:f>
        <x:v>45748</x:v>
      </x:c>
    </x:row>
    <x:row r="933" ht="22" customHeight="1">
      <x:c r="A933" s="2" t="str">
        <x:v>L000929</x:v>
      </x:c>
      <x:c r="B933" s="2" t="str">
        <x:v>O00380</x:v>
      </x:c>
      <x:c r="C933" s="7" t="n">
        <x:v>45763</x:v>
      </x:c>
      <x:c r="D933" s="2" t="str">
        <x:v>Completed</x:v>
      </x:c>
      <x:c r="E933" s="2" t="str">
        <x:v>North</x:v>
      </x:c>
      <x:c r="F933" s="2" t="str">
        <x:v>Online</x:v>
      </x:c>
      <x:c r="G933" s="2" t="str">
        <x:v>Furniture</x:v>
      </x:c>
      <x:c r="H933" s="2" t="str">
        <x:v>Chair 002</x:v>
      </x:c>
      <x:c r="I933" s="11" t="n">
        <x:v>2</x:v>
      </x:c>
      <x:c r="J933" s="9" t="n">
        <x:v>284</x:v>
      </x:c>
      <x:c r="K933" s="10" t="n">
        <x:v>0.1</x:v>
      </x:c>
      <x:c r="L933" s="11" t="n">
        <x:v>0</x:v>
      </x:c>
      <x:c r="M933" s="9" t="n">
        <x:f>IF(D933="Completed",I933*J933,0)</x:f>
        <x:v>568</x:v>
      </x:c>
      <x:c r="N933" s="9" t="n">
        <x:f>M933*K933</x:f>
        <x:v>56.800000000000004</x:v>
      </x:c>
      <x:c r="O933" s="9" t="n">
        <x:f>M933-N933</x:f>
        <x:v>511.2</x:v>
      </x:c>
      <x:c r="P933" s="9" t="n">
        <x:f>IF(D933="Completed",L933*J933*(1-K933),0)</x:f>
        <x:v>0</x:v>
      </x:c>
      <x:c r="Q933" s="9" t="n">
        <x:f>O933-P933</x:f>
        <x:v>511.2</x:v>
      </x:c>
      <x:c r="R933" s="11" t="n">
        <x:f>IF(D933="Completed",I933,0)</x:f>
        <x:v>2</x:v>
      </x:c>
      <x:c r="S933" s="11" t="n">
        <x:f>IF(D933="Completed",L933,0)</x:f>
        <x:v>0</x:v>
      </x:c>
      <x:c r="T933" s="8" t="n">
        <x:f>DATE(YEAR(C933),MONTH(C933),1)</x:f>
        <x:v>45748</x:v>
      </x:c>
    </x:row>
    <x:row r="934" ht="22" customHeight="1">
      <x:c r="A934" s="2" t="str">
        <x:v>L000930</x:v>
      </x:c>
      <x:c r="B934" s="2" t="str">
        <x:v>O00381</x:v>
      </x:c>
      <x:c r="C934" s="7" t="n">
        <x:v>45778</x:v>
      </x:c>
      <x:c r="D934" s="2" t="str">
        <x:v>Completed</x:v>
      </x:c>
      <x:c r="E934" s="2" t="str">
        <x:v>West</x:v>
      </x:c>
      <x:c r="F934" s="2" t="str">
        <x:v>Store</x:v>
      </x:c>
      <x:c r="G934" s="2" t="str">
        <x:v>Lighting</x:v>
      </x:c>
      <x:c r="H934" s="2" t="str">
        <x:v>Lamp 001</x:v>
      </x:c>
      <x:c r="I934" s="11" t="n">
        <x:v>5</x:v>
      </x:c>
      <x:c r="J934" s="9" t="n">
        <x:v>122</x:v>
      </x:c>
      <x:c r="K934" s="10" t="n">
        <x:v>0.2</x:v>
      </x:c>
      <x:c r="L934" s="11" t="n">
        <x:v>0</x:v>
      </x:c>
      <x:c r="M934" s="9" t="n">
        <x:f>IF(D934="Completed",I934*J934,0)</x:f>
        <x:v>610</x:v>
      </x:c>
      <x:c r="N934" s="9" t="n">
        <x:f>M934*K934</x:f>
        <x:v>122</x:v>
      </x:c>
      <x:c r="O934" s="9" t="n">
        <x:f>M934-N934</x:f>
        <x:v>488</x:v>
      </x:c>
      <x:c r="P934" s="9" t="n">
        <x:f>IF(D934="Completed",L934*J934*(1-K934),0)</x:f>
        <x:v>0</x:v>
      </x:c>
      <x:c r="Q934" s="9" t="n">
        <x:f>O934-P934</x:f>
        <x:v>488</x:v>
      </x:c>
      <x:c r="R934" s="11" t="n">
        <x:f>IF(D934="Completed",I934,0)</x:f>
        <x:v>5</x:v>
      </x:c>
      <x:c r="S934" s="11" t="n">
        <x:f>IF(D934="Completed",L934,0)</x:f>
        <x:v>0</x:v>
      </x:c>
      <x:c r="T934" s="8" t="n">
        <x:f>DATE(YEAR(C934),MONTH(C934),1)</x:f>
        <x:v>45778</x:v>
      </x:c>
    </x:row>
    <x:row r="935" ht="22" customHeight="1">
      <x:c r="A935" s="2" t="str">
        <x:v>L000931</x:v>
      </x:c>
      <x:c r="B935" s="2" t="str">
        <x:v>O00381</x:v>
      </x:c>
      <x:c r="C935" s="7" t="n">
        <x:v>45778</x:v>
      </x:c>
      <x:c r="D935" s="2" t="str">
        <x:v>Completed</x:v>
      </x:c>
      <x:c r="E935" s="2" t="str">
        <x:v>West</x:v>
      </x:c>
      <x:c r="F935" s="2" t="str">
        <x:v>Store</x:v>
      </x:c>
      <x:c r="G935" s="2" t="str">
        <x:v>Lighting</x:v>
      </x:c>
      <x:c r="H935" s="2" t="str">
        <x:v>Lamp 017</x:v>
      </x:c>
      <x:c r="I935" s="11" t="n">
        <x:v>1</x:v>
      </x:c>
      <x:c r="J935" s="9" t="n">
        <x:v>300</x:v>
      </x:c>
      <x:c r="K935" s="10" t="n">
        <x:v>0.05</x:v>
      </x:c>
      <x:c r="L935" s="11" t="n">
        <x:v>0</x:v>
      </x:c>
      <x:c r="M935" s="9" t="n">
        <x:f>IF(D935="Completed",I935*J935,0)</x:f>
        <x:v>300</x:v>
      </x:c>
      <x:c r="N935" s="9" t="n">
        <x:f>M935*K935</x:f>
        <x:v>15</x:v>
      </x:c>
      <x:c r="O935" s="9" t="n">
        <x:f>M935-N935</x:f>
        <x:v>285</x:v>
      </x:c>
      <x:c r="P935" s="9" t="n">
        <x:f>IF(D935="Completed",L935*J935*(1-K935),0)</x:f>
        <x:v>0</x:v>
      </x:c>
      <x:c r="Q935" s="9" t="n">
        <x:f>O935-P935</x:f>
        <x:v>285</x:v>
      </x:c>
      <x:c r="R935" s="11" t="n">
        <x:f>IF(D935="Completed",I935,0)</x:f>
        <x:v>1</x:v>
      </x:c>
      <x:c r="S935" s="11" t="n">
        <x:f>IF(D935="Completed",L935,0)</x:f>
        <x:v>0</x:v>
      </x:c>
      <x:c r="T935" s="8" t="n">
        <x:f>DATE(YEAR(C935),MONTH(C935),1)</x:f>
        <x:v>45778</x:v>
      </x:c>
    </x:row>
    <x:row r="936" ht="22" customHeight="1">
      <x:c r="A936" s="2" t="str">
        <x:v>L000932</x:v>
      </x:c>
      <x:c r="B936" s="2" t="str">
        <x:v>O00382</x:v>
      </x:c>
      <x:c r="C936" s="7" t="n">
        <x:v>45685</x:v>
      </x:c>
      <x:c r="D936" s="2" t="str">
        <x:v>Completed</x:v>
      </x:c>
      <x:c r="E936" s="2" t="str">
        <x:v>East</x:v>
      </x:c>
      <x:c r="F936" s="2" t="str">
        <x:v>Store</x:v>
      </x:c>
      <x:c r="G936" s="2" t="str">
        <x:v>Furniture</x:v>
      </x:c>
      <x:c r="H936" s="2" t="str">
        <x:v>Chair 010</x:v>
      </x:c>
      <x:c r="I936" s="11" t="n">
        <x:v>3</x:v>
      </x:c>
      <x:c r="J936" s="9" t="n">
        <x:v>211</x:v>
      </x:c>
      <x:c r="K936" s="10" t="n">
        <x:v>0.1</x:v>
      </x:c>
      <x:c r="L936" s="11" t="n">
        <x:v>0</x:v>
      </x:c>
      <x:c r="M936" s="9" t="n">
        <x:f>IF(D936="Completed",I936*J936,0)</x:f>
        <x:v>633</x:v>
      </x:c>
      <x:c r="N936" s="9" t="n">
        <x:f>M936*K936</x:f>
        <x:v>63.300000000000004</x:v>
      </x:c>
      <x:c r="O936" s="9" t="n">
        <x:f>M936-N936</x:f>
        <x:v>569.7</x:v>
      </x:c>
      <x:c r="P936" s="9" t="n">
        <x:f>IF(D936="Completed",L936*J936*(1-K936),0)</x:f>
        <x:v>0</x:v>
      </x:c>
      <x:c r="Q936" s="9" t="n">
        <x:f>O936-P936</x:f>
        <x:v>569.7</x:v>
      </x:c>
      <x:c r="R936" s="11" t="n">
        <x:f>IF(D936="Completed",I936,0)</x:f>
        <x:v>3</x:v>
      </x:c>
      <x:c r="S936" s="11" t="n">
        <x:f>IF(D936="Completed",L936,0)</x:f>
        <x:v>0</x:v>
      </x:c>
      <x:c r="T936" s="8" t="n">
        <x:f>DATE(YEAR(C936),MONTH(C936),1)</x:f>
        <x:v>45658</x:v>
      </x:c>
    </x:row>
    <x:row r="937" ht="22" customHeight="1">
      <x:c r="A937" s="2" t="str">
        <x:v>L000933</x:v>
      </x:c>
      <x:c r="B937" s="2" t="str">
        <x:v>O00382</x:v>
      </x:c>
      <x:c r="C937" s="7" t="n">
        <x:v>45685</x:v>
      </x:c>
      <x:c r="D937" s="2" t="str">
        <x:v>Completed</x:v>
      </x:c>
      <x:c r="E937" s="2" t="str">
        <x:v>East</x:v>
      </x:c>
      <x:c r="F937" s="2" t="str">
        <x:v>Store</x:v>
      </x:c>
      <x:c r="G937" s="2" t="str">
        <x:v>Storage</x:v>
      </x:c>
      <x:c r="H937" s="2" t="str">
        <x:v>Shelf 007</x:v>
      </x:c>
      <x:c r="I937" s="11" t="n">
        <x:v>2</x:v>
      </x:c>
      <x:c r="J937" s="9" t="n">
        <x:v>35</x:v>
      </x:c>
      <x:c r="K937" s="10" t="n">
        <x:v>0</x:v>
      </x:c>
      <x:c r="L937" s="11" t="n">
        <x:v>2</x:v>
      </x:c>
      <x:c r="M937" s="9" t="n">
        <x:f>IF(D937="Completed",I937*J937,0)</x:f>
        <x:v>70</x:v>
      </x:c>
      <x:c r="N937" s="9" t="n">
        <x:f>M937*K937</x:f>
        <x:v>0</x:v>
      </x:c>
      <x:c r="O937" s="9" t="n">
        <x:f>M937-N937</x:f>
        <x:v>70</x:v>
      </x:c>
      <x:c r="P937" s="9" t="n">
        <x:f>IF(D937="Completed",L937*J937*(1-K937),0)</x:f>
        <x:v>70</x:v>
      </x:c>
      <x:c r="Q937" s="9" t="n">
        <x:f>O937-P937</x:f>
        <x:v>0</x:v>
      </x:c>
      <x:c r="R937" s="11" t="n">
        <x:f>IF(D937="Completed",I937,0)</x:f>
        <x:v>2</x:v>
      </x:c>
      <x:c r="S937" s="11" t="n">
        <x:f>IF(D937="Completed",L937,0)</x:f>
        <x:v>2</x:v>
      </x:c>
      <x:c r="T937" s="8" t="n">
        <x:f>DATE(YEAR(C937),MONTH(C937),1)</x:f>
        <x:v>45658</x:v>
      </x:c>
    </x:row>
    <x:row r="938" ht="22" customHeight="1">
      <x:c r="A938" s="2" t="str">
        <x:v>L000934</x:v>
      </x:c>
      <x:c r="B938" s="2" t="str">
        <x:v>O00382</x:v>
      </x:c>
      <x:c r="C938" s="7" t="n">
        <x:v>45685</x:v>
      </x:c>
      <x:c r="D938" s="2" t="str">
        <x:v>Completed</x:v>
      </x:c>
      <x:c r="E938" s="2" t="str">
        <x:v>East</x:v>
      </x:c>
      <x:c r="F938" s="2" t="str">
        <x:v>Store</x:v>
      </x:c>
      <x:c r="G938" s="2" t="str">
        <x:v>Lighting</x:v>
      </x:c>
      <x:c r="H938" s="2" t="str">
        <x:v>Lamp 017</x:v>
      </x:c>
      <x:c r="I938" s="11" t="n">
        <x:v>4</x:v>
      </x:c>
      <x:c r="J938" s="9" t="n">
        <x:v>300</x:v>
      </x:c>
      <x:c r="K938" s="10" t="n">
        <x:v>0.1</x:v>
      </x:c>
      <x:c r="L938" s="11" t="n">
        <x:v>0</x:v>
      </x:c>
      <x:c r="M938" s="9" t="n">
        <x:f>IF(D938="Completed",I938*J938,0)</x:f>
        <x:v>1200</x:v>
      </x:c>
      <x:c r="N938" s="9" t="n">
        <x:f>M938*K938</x:f>
        <x:v>120</x:v>
      </x:c>
      <x:c r="O938" s="9" t="n">
        <x:f>M938-N938</x:f>
        <x:v>1080</x:v>
      </x:c>
      <x:c r="P938" s="9" t="n">
        <x:f>IF(D938="Completed",L938*J938*(1-K938),0)</x:f>
        <x:v>0</x:v>
      </x:c>
      <x:c r="Q938" s="9" t="n">
        <x:f>O938-P938</x:f>
        <x:v>1080</x:v>
      </x:c>
      <x:c r="R938" s="11" t="n">
        <x:f>IF(D938="Completed",I938,0)</x:f>
        <x:v>4</x:v>
      </x:c>
      <x:c r="S938" s="11" t="n">
        <x:f>IF(D938="Completed",L938,0)</x:f>
        <x:v>0</x:v>
      </x:c>
      <x:c r="T938" s="8" t="n">
        <x:f>DATE(YEAR(C938),MONTH(C938),1)</x:f>
        <x:v>45658</x:v>
      </x:c>
    </x:row>
    <x:row r="939" ht="22" customHeight="1">
      <x:c r="A939" s="2" t="str">
        <x:v>L000935</x:v>
      </x:c>
      <x:c r="B939" s="2" t="str">
        <x:v>O00383</x:v>
      </x:c>
      <x:c r="C939" s="7" t="n">
        <x:v>46010</x:v>
      </x:c>
      <x:c r="D939" s="2" t="str">
        <x:v>Completed</x:v>
      </x:c>
      <x:c r="E939" s="2" t="str">
        <x:v>West</x:v>
      </x:c>
      <x:c r="F939" s="2" t="str">
        <x:v>Online</x:v>
      </x:c>
      <x:c r="G939" s="2" t="str">
        <x:v>Lighting</x:v>
      </x:c>
      <x:c r="H939" s="2" t="str">
        <x:v>Lamp 017</x:v>
      </x:c>
      <x:c r="I939" s="11" t="n">
        <x:v>2</x:v>
      </x:c>
      <x:c r="J939" s="9" t="n">
        <x:v>300</x:v>
      </x:c>
      <x:c r="K939" s="10" t="n">
        <x:v>0.1</x:v>
      </x:c>
      <x:c r="L939" s="11" t="n">
        <x:v>0</x:v>
      </x:c>
      <x:c r="M939" s="9" t="n">
        <x:f>IF(D939="Completed",I939*J939,0)</x:f>
        <x:v>600</x:v>
      </x:c>
      <x:c r="N939" s="9" t="n">
        <x:f>M939*K939</x:f>
        <x:v>60</x:v>
      </x:c>
      <x:c r="O939" s="9" t="n">
        <x:f>M939-N939</x:f>
        <x:v>540</x:v>
      </x:c>
      <x:c r="P939" s="9" t="n">
        <x:f>IF(D939="Completed",L939*J939*(1-K939),0)</x:f>
        <x:v>0</x:v>
      </x:c>
      <x:c r="Q939" s="9" t="n">
        <x:f>O939-P939</x:f>
        <x:v>540</x:v>
      </x:c>
      <x:c r="R939" s="11" t="n">
        <x:f>IF(D939="Completed",I939,0)</x:f>
        <x:v>2</x:v>
      </x:c>
      <x:c r="S939" s="11" t="n">
        <x:f>IF(D939="Completed",L939,0)</x:f>
        <x:v>0</x:v>
      </x:c>
      <x:c r="T939" s="8" t="n">
        <x:f>DATE(YEAR(C939),MONTH(C939),1)</x:f>
        <x:v>45992</x:v>
      </x:c>
    </x:row>
    <x:row r="940" ht="22" customHeight="1">
      <x:c r="A940" s="2" t="str">
        <x:v>L000936</x:v>
      </x:c>
      <x:c r="B940" s="2" t="str">
        <x:v>O00383</x:v>
      </x:c>
      <x:c r="C940" s="7" t="n">
        <x:v>46010</x:v>
      </x:c>
      <x:c r="D940" s="2" t="str">
        <x:v>Completed</x:v>
      </x:c>
      <x:c r="E940" s="2" t="str">
        <x:v>West</x:v>
      </x:c>
      <x:c r="F940" s="2" t="str">
        <x:v>Online</x:v>
      </x:c>
      <x:c r="G940" s="2" t="str">
        <x:v>Furniture</x:v>
      </x:c>
      <x:c r="H940" s="2" t="str">
        <x:v>Desk 020</x:v>
      </x:c>
      <x:c r="I940" s="11" t="n">
        <x:v>2</x:v>
      </x:c>
      <x:c r="J940" s="9" t="n">
        <x:v>189</x:v>
      </x:c>
      <x:c r="K940" s="10" t="n">
        <x:v>0</x:v>
      </x:c>
      <x:c r="L940" s="11" t="n">
        <x:v>0</x:v>
      </x:c>
      <x:c r="M940" s="9" t="n">
        <x:f>IF(D940="Completed",I940*J940,0)</x:f>
        <x:v>378</x:v>
      </x:c>
      <x:c r="N940" s="9" t="n">
        <x:f>M940*K940</x:f>
        <x:v>0</x:v>
      </x:c>
      <x:c r="O940" s="9" t="n">
        <x:f>M940-N940</x:f>
        <x:v>378</x:v>
      </x:c>
      <x:c r="P940" s="9" t="n">
        <x:f>IF(D940="Completed",L940*J940*(1-K940),0)</x:f>
        <x:v>0</x:v>
      </x:c>
      <x:c r="Q940" s="9" t="n">
        <x:f>O940-P940</x:f>
        <x:v>378</x:v>
      </x:c>
      <x:c r="R940" s="11" t="n">
        <x:f>IF(D940="Completed",I940,0)</x:f>
        <x:v>2</x:v>
      </x:c>
      <x:c r="S940" s="11" t="n">
        <x:f>IF(D940="Completed",L940,0)</x:f>
        <x:v>0</x:v>
      </x:c>
      <x:c r="T940" s="8" t="n">
        <x:f>DATE(YEAR(C940),MONTH(C940),1)</x:f>
        <x:v>45992</x:v>
      </x:c>
    </x:row>
    <x:row r="941" ht="22" customHeight="1">
      <x:c r="A941" s="2" t="str">
        <x:v>L000937</x:v>
      </x:c>
      <x:c r="B941" s="2" t="str">
        <x:v>O00383</x:v>
      </x:c>
      <x:c r="C941" s="7" t="n">
        <x:v>46010</x:v>
      </x:c>
      <x:c r="D941" s="2" t="str">
        <x:v>Completed</x:v>
      </x:c>
      <x:c r="E941" s="2" t="str">
        <x:v>West</x:v>
      </x:c>
      <x:c r="F941" s="2" t="str">
        <x:v>Online</x:v>
      </x:c>
      <x:c r="G941" s="2" t="str">
        <x:v>Storage</x:v>
      </x:c>
      <x:c r="H941" s="2" t="str">
        <x:v>Shelf 003</x:v>
      </x:c>
      <x:c r="I941" s="11" t="n">
        <x:v>1</x:v>
      </x:c>
      <x:c r="J941" s="9" t="n">
        <x:v>199</x:v>
      </x:c>
      <x:c r="K941" s="10" t="n">
        <x:v>0.1</x:v>
      </x:c>
      <x:c r="L941" s="11" t="n">
        <x:v>0</x:v>
      </x:c>
      <x:c r="M941" s="9" t="n">
        <x:f>IF(D941="Completed",I941*J941,0)</x:f>
        <x:v>199</x:v>
      </x:c>
      <x:c r="N941" s="9" t="n">
        <x:f>M941*K941</x:f>
        <x:v>19.900000000000002</x:v>
      </x:c>
      <x:c r="O941" s="9" t="n">
        <x:f>M941-N941</x:f>
        <x:v>179.1</x:v>
      </x:c>
      <x:c r="P941" s="9" t="n">
        <x:f>IF(D941="Completed",L941*J941*(1-K941),0)</x:f>
        <x:v>0</x:v>
      </x:c>
      <x:c r="Q941" s="9" t="n">
        <x:f>O941-P941</x:f>
        <x:v>179.1</x:v>
      </x:c>
      <x:c r="R941" s="11" t="n">
        <x:f>IF(D941="Completed",I941,0)</x:f>
        <x:v>1</x:v>
      </x:c>
      <x:c r="S941" s="11" t="n">
        <x:f>IF(D941="Completed",L941,0)</x:f>
        <x:v>0</x:v>
      </x:c>
      <x:c r="T941" s="8" t="n">
        <x:f>DATE(YEAR(C941),MONTH(C941),1)</x:f>
        <x:v>45992</x:v>
      </x:c>
    </x:row>
    <x:row r="942" ht="22" customHeight="1">
      <x:c r="A942" s="2" t="str">
        <x:v>L000938</x:v>
      </x:c>
      <x:c r="B942" s="2" t="str">
        <x:v>O00383</x:v>
      </x:c>
      <x:c r="C942" s="7" t="n">
        <x:v>46010</x:v>
      </x:c>
      <x:c r="D942" s="2" t="str">
        <x:v>Completed</x:v>
      </x:c>
      <x:c r="E942" s="2" t="str">
        <x:v>West</x:v>
      </x:c>
      <x:c r="F942" s="2" t="str">
        <x:v>Online</x:v>
      </x:c>
      <x:c r="G942" s="2" t="str">
        <x:v>Lighting</x:v>
      </x:c>
      <x:c r="H942" s="2" t="str">
        <x:v>Lamp 005</x:v>
      </x:c>
      <x:c r="I942" s="11" t="n">
        <x:v>1</x:v>
      </x:c>
      <x:c r="J942" s="9" t="n">
        <x:v>65</x:v>
      </x:c>
      <x:c r="K942" s="10" t="n">
        <x:v>0</x:v>
      </x:c>
      <x:c r="L942" s="11" t="n">
        <x:v>0</x:v>
      </x:c>
      <x:c r="M942" s="9" t="n">
        <x:f>IF(D942="Completed",I942*J942,0)</x:f>
        <x:v>65</x:v>
      </x:c>
      <x:c r="N942" s="9" t="n">
        <x:f>M942*K942</x:f>
        <x:v>0</x:v>
      </x:c>
      <x:c r="O942" s="9" t="n">
        <x:f>M942-N942</x:f>
        <x:v>65</x:v>
      </x:c>
      <x:c r="P942" s="9" t="n">
        <x:f>IF(D942="Completed",L942*J942*(1-K942),0)</x:f>
        <x:v>0</x:v>
      </x:c>
      <x:c r="Q942" s="9" t="n">
        <x:f>O942-P942</x:f>
        <x:v>65</x:v>
      </x:c>
      <x:c r="R942" s="11" t="n">
        <x:f>IF(D942="Completed",I942,0)</x:f>
        <x:v>1</x:v>
      </x:c>
      <x:c r="S942" s="11" t="n">
        <x:f>IF(D942="Completed",L942,0)</x:f>
        <x:v>0</x:v>
      </x:c>
      <x:c r="T942" s="8" t="n">
        <x:f>DATE(YEAR(C942),MONTH(C942),1)</x:f>
        <x:v>45992</x:v>
      </x:c>
    </x:row>
    <x:row r="943" ht="22" customHeight="1">
      <x:c r="A943" s="2" t="str">
        <x:v>L000939</x:v>
      </x:c>
      <x:c r="B943" s="2" t="str">
        <x:v>O00384</x:v>
      </x:c>
      <x:c r="C943" s="7" t="n">
        <x:v>45728</x:v>
      </x:c>
      <x:c r="D943" s="2" t="str">
        <x:v>Completed</x:v>
      </x:c>
      <x:c r="E943" s="2" t="str">
        <x:v>West</x:v>
      </x:c>
      <x:c r="F943" s="2" t="str">
        <x:v>Store</x:v>
      </x:c>
      <x:c r="G943" s="2" t="str">
        <x:v>Storage</x:v>
      </x:c>
      <x:c r="H943" s="2" t="str">
        <x:v>Shelf 023</x:v>
      </x:c>
      <x:c r="I943" s="11" t="n">
        <x:v>4</x:v>
      </x:c>
      <x:c r="J943" s="9" t="n">
        <x:v>68</x:v>
      </x:c>
      <x:c r="K943" s="10" t="n">
        <x:v>0.05</x:v>
      </x:c>
      <x:c r="L943" s="11" t="n">
        <x:v>0</x:v>
      </x:c>
      <x:c r="M943" s="9" t="n">
        <x:f>IF(D943="Completed",I943*J943,0)</x:f>
        <x:v>272</x:v>
      </x:c>
      <x:c r="N943" s="9" t="n">
        <x:f>M943*K943</x:f>
        <x:v>13.600000000000001</x:v>
      </x:c>
      <x:c r="O943" s="9" t="n">
        <x:f>M943-N943</x:f>
        <x:v>258.4</x:v>
      </x:c>
      <x:c r="P943" s="9" t="n">
        <x:f>IF(D943="Completed",L943*J943*(1-K943),0)</x:f>
        <x:v>0</x:v>
      </x:c>
      <x:c r="Q943" s="9" t="n">
        <x:f>O943-P943</x:f>
        <x:v>258.4</x:v>
      </x:c>
      <x:c r="R943" s="11" t="n">
        <x:f>IF(D943="Completed",I943,0)</x:f>
        <x:v>4</x:v>
      </x:c>
      <x:c r="S943" s="11" t="n">
        <x:f>IF(D943="Completed",L943,0)</x:f>
        <x:v>0</x:v>
      </x:c>
      <x:c r="T943" s="8" t="n">
        <x:f>DATE(YEAR(C943),MONTH(C943),1)</x:f>
        <x:v>45717</x:v>
      </x:c>
    </x:row>
    <x:row r="944" ht="22" customHeight="1">
      <x:c r="A944" s="2" t="str">
        <x:v>L000940</x:v>
      </x:c>
      <x:c r="B944" s="2" t="str">
        <x:v>O00384</x:v>
      </x:c>
      <x:c r="C944" s="7" t="n">
        <x:v>45728</x:v>
      </x:c>
      <x:c r="D944" s="2" t="str">
        <x:v>Completed</x:v>
      </x:c>
      <x:c r="E944" s="2" t="str">
        <x:v>West</x:v>
      </x:c>
      <x:c r="F944" s="2" t="str">
        <x:v>Store</x:v>
      </x:c>
      <x:c r="G944" s="2" t="str">
        <x:v>Furniture</x:v>
      </x:c>
      <x:c r="H944" s="2" t="str">
        <x:v>Desk 008</x:v>
      </x:c>
      <x:c r="I944" s="11" t="n">
        <x:v>5</x:v>
      </x:c>
      <x:c r="J944" s="9" t="n">
        <x:v>188</x:v>
      </x:c>
      <x:c r="K944" s="10" t="n">
        <x:v>0</x:v>
      </x:c>
      <x:c r="L944" s="11" t="n">
        <x:v>0</x:v>
      </x:c>
      <x:c r="M944" s="9" t="n">
        <x:f>IF(D944="Completed",I944*J944,0)</x:f>
        <x:v>940</x:v>
      </x:c>
      <x:c r="N944" s="9" t="n">
        <x:f>M944*K944</x:f>
        <x:v>0</x:v>
      </x:c>
      <x:c r="O944" s="9" t="n">
        <x:f>M944-N944</x:f>
        <x:v>940</x:v>
      </x:c>
      <x:c r="P944" s="9" t="n">
        <x:f>IF(D944="Completed",L944*J944*(1-K944),0)</x:f>
        <x:v>0</x:v>
      </x:c>
      <x:c r="Q944" s="9" t="n">
        <x:f>O944-P944</x:f>
        <x:v>940</x:v>
      </x:c>
      <x:c r="R944" s="11" t="n">
        <x:f>IF(D944="Completed",I944,0)</x:f>
        <x:v>5</x:v>
      </x:c>
      <x:c r="S944" s="11" t="n">
        <x:f>IF(D944="Completed",L944,0)</x:f>
        <x:v>0</x:v>
      </x:c>
      <x:c r="T944" s="8" t="n">
        <x:f>DATE(YEAR(C944),MONTH(C944),1)</x:f>
        <x:v>45717</x:v>
      </x:c>
    </x:row>
    <x:row r="945" ht="22" customHeight="1">
      <x:c r="A945" s="2" t="str">
        <x:v>L000941</x:v>
      </x:c>
      <x:c r="B945" s="2" t="str">
        <x:v>O00384</x:v>
      </x:c>
      <x:c r="C945" s="7" t="n">
        <x:v>45728</x:v>
      </x:c>
      <x:c r="D945" s="2" t="str">
        <x:v>Completed</x:v>
      </x:c>
      <x:c r="E945" s="2" t="str">
        <x:v>West</x:v>
      </x:c>
      <x:c r="F945" s="2" t="str">
        <x:v>Store</x:v>
      </x:c>
      <x:c r="G945" s="2" t="str">
        <x:v>Furniture</x:v>
      </x:c>
      <x:c r="H945" s="2" t="str">
        <x:v>Desk 004</x:v>
      </x:c>
      <x:c r="I945" s="11" t="n">
        <x:v>3</x:v>
      </x:c>
      <x:c r="J945" s="9" t="n">
        <x:v>123</x:v>
      </x:c>
      <x:c r="K945" s="10" t="n">
        <x:v>0.2</x:v>
      </x:c>
      <x:c r="L945" s="11" t="n">
        <x:v>0</x:v>
      </x:c>
      <x:c r="M945" s="9" t="n">
        <x:f>IF(D945="Completed",I945*J945,0)</x:f>
        <x:v>369</x:v>
      </x:c>
      <x:c r="N945" s="9" t="n">
        <x:f>M945*K945</x:f>
        <x:v>73.8</x:v>
      </x:c>
      <x:c r="O945" s="9" t="n">
        <x:f>M945-N945</x:f>
        <x:v>295.2</x:v>
      </x:c>
      <x:c r="P945" s="9" t="n">
        <x:f>IF(D945="Completed",L945*J945*(1-K945),0)</x:f>
        <x:v>0</x:v>
      </x:c>
      <x:c r="Q945" s="9" t="n">
        <x:f>O945-P945</x:f>
        <x:v>295.2</x:v>
      </x:c>
      <x:c r="R945" s="11" t="n">
        <x:f>IF(D945="Completed",I945,0)</x:f>
        <x:v>3</x:v>
      </x:c>
      <x:c r="S945" s="11" t="n">
        <x:f>IF(D945="Completed",L945,0)</x:f>
        <x:v>0</x:v>
      </x:c>
      <x:c r="T945" s="8" t="n">
        <x:f>DATE(YEAR(C945),MONTH(C945),1)</x:f>
        <x:v>45717</x:v>
      </x:c>
    </x:row>
    <x:row r="946" ht="22" customHeight="1">
      <x:c r="A946" s="2" t="str">
        <x:v>L000942</x:v>
      </x:c>
      <x:c r="B946" s="2" t="str">
        <x:v>O00385</x:v>
      </x:c>
      <x:c r="C946" s="7" t="n">
        <x:v>45715</x:v>
      </x:c>
      <x:c r="D946" s="2" t="str">
        <x:v>Completed</x:v>
      </x:c>
      <x:c r="E946" s="2" t="str">
        <x:v>East</x:v>
      </x:c>
      <x:c r="F946" s="2" t="str">
        <x:v>Online</x:v>
      </x:c>
      <x:c r="G946" s="2" t="str">
        <x:v>Storage</x:v>
      </x:c>
      <x:c r="H946" s="2" t="str">
        <x:v>Shelf 019</x:v>
      </x:c>
      <x:c r="I946" s="11" t="n">
        <x:v>5</x:v>
      </x:c>
      <x:c r="J946" s="9" t="n">
        <x:v>78</x:v>
      </x:c>
      <x:c r="K946" s="10" t="n">
        <x:v>0.2</x:v>
      </x:c>
      <x:c r="L946" s="11" t="n">
        <x:v>0</x:v>
      </x:c>
      <x:c r="M946" s="9" t="n">
        <x:f>IF(D946="Completed",I946*J946,0)</x:f>
        <x:v>390</x:v>
      </x:c>
      <x:c r="N946" s="9" t="n">
        <x:f>M946*K946</x:f>
        <x:v>78</x:v>
      </x:c>
      <x:c r="O946" s="9" t="n">
        <x:f>M946-N946</x:f>
        <x:v>312</x:v>
      </x:c>
      <x:c r="P946" s="9" t="n">
        <x:f>IF(D946="Completed",L946*J946*(1-K946),0)</x:f>
        <x:v>0</x:v>
      </x:c>
      <x:c r="Q946" s="9" t="n">
        <x:f>O946-P946</x:f>
        <x:v>312</x:v>
      </x:c>
      <x:c r="R946" s="11" t="n">
        <x:f>IF(D946="Completed",I946,0)</x:f>
        <x:v>5</x:v>
      </x:c>
      <x:c r="S946" s="11" t="n">
        <x:f>IF(D946="Completed",L946,0)</x:f>
        <x:v>0</x:v>
      </x:c>
      <x:c r="T946" s="8" t="n">
        <x:f>DATE(YEAR(C946),MONTH(C946),1)</x:f>
        <x:v>45689</x:v>
      </x:c>
    </x:row>
    <x:row r="947" ht="22" customHeight="1">
      <x:c r="A947" s="2" t="str">
        <x:v>L000943</x:v>
      </x:c>
      <x:c r="B947" s="2" t="str">
        <x:v>O00385</x:v>
      </x:c>
      <x:c r="C947" s="7" t="n">
        <x:v>45715</x:v>
      </x:c>
      <x:c r="D947" s="2" t="str">
        <x:v>Completed</x:v>
      </x:c>
      <x:c r="E947" s="2" t="str">
        <x:v>East</x:v>
      </x:c>
      <x:c r="F947" s="2" t="str">
        <x:v>Online</x:v>
      </x:c>
      <x:c r="G947" s="2" t="str">
        <x:v>Furniture</x:v>
      </x:c>
      <x:c r="H947" s="2" t="str">
        <x:v>Desk 008</x:v>
      </x:c>
      <x:c r="I947" s="11" t="n">
        <x:v>4</x:v>
      </x:c>
      <x:c r="J947" s="9" t="n">
        <x:v>188</x:v>
      </x:c>
      <x:c r="K947" s="10" t="n">
        <x:v>0</x:v>
      </x:c>
      <x:c r="L947" s="11" t="n">
        <x:v>0</x:v>
      </x:c>
      <x:c r="M947" s="9" t="n">
        <x:f>IF(D947="Completed",I947*J947,0)</x:f>
        <x:v>752</x:v>
      </x:c>
      <x:c r="N947" s="9" t="n">
        <x:f>M947*K947</x:f>
        <x:v>0</x:v>
      </x:c>
      <x:c r="O947" s="9" t="n">
        <x:f>M947-N947</x:f>
        <x:v>752</x:v>
      </x:c>
      <x:c r="P947" s="9" t="n">
        <x:f>IF(D947="Completed",L947*J947*(1-K947),0)</x:f>
        <x:v>0</x:v>
      </x:c>
      <x:c r="Q947" s="9" t="n">
        <x:f>O947-P947</x:f>
        <x:v>752</x:v>
      </x:c>
      <x:c r="R947" s="11" t="n">
        <x:f>IF(D947="Completed",I947,0)</x:f>
        <x:v>4</x:v>
      </x:c>
      <x:c r="S947" s="11" t="n">
        <x:f>IF(D947="Completed",L947,0)</x:f>
        <x:v>0</x:v>
      </x:c>
      <x:c r="T947" s="8" t="n">
        <x:f>DATE(YEAR(C947),MONTH(C947),1)</x:f>
        <x:v>45689</x:v>
      </x:c>
    </x:row>
    <x:row r="948" ht="22" customHeight="1">
      <x:c r="A948" s="2" t="str">
        <x:v>L000944</x:v>
      </x:c>
      <x:c r="B948" s="2" t="str">
        <x:v>O00385</x:v>
      </x:c>
      <x:c r="C948" s="7" t="n">
        <x:v>45715</x:v>
      </x:c>
      <x:c r="D948" s="2" t="str">
        <x:v>Completed</x:v>
      </x:c>
      <x:c r="E948" s="2" t="str">
        <x:v>East</x:v>
      </x:c>
      <x:c r="F948" s="2" t="str">
        <x:v>Online</x:v>
      </x:c>
      <x:c r="G948" s="2" t="str">
        <x:v>Furniture</x:v>
      </x:c>
      <x:c r="H948" s="2" t="str">
        <x:v>Chair 010</x:v>
      </x:c>
      <x:c r="I948" s="11" t="n">
        <x:v>1</x:v>
      </x:c>
      <x:c r="J948" s="9" t="n">
        <x:v>211</x:v>
      </x:c>
      <x:c r="K948" s="10" t="n">
        <x:v>0.1</x:v>
      </x:c>
      <x:c r="L948" s="11" t="n">
        <x:v>0</x:v>
      </x:c>
      <x:c r="M948" s="9" t="n">
        <x:f>IF(D948="Completed",I948*J948,0)</x:f>
        <x:v>211</x:v>
      </x:c>
      <x:c r="N948" s="9" t="n">
        <x:f>M948*K948</x:f>
        <x:v>21.1</x:v>
      </x:c>
      <x:c r="O948" s="9" t="n">
        <x:f>M948-N948</x:f>
        <x:v>189.9</x:v>
      </x:c>
      <x:c r="P948" s="9" t="n">
        <x:f>IF(D948="Completed",L948*J948*(1-K948),0)</x:f>
        <x:v>0</x:v>
      </x:c>
      <x:c r="Q948" s="9" t="n">
        <x:f>O948-P948</x:f>
        <x:v>189.9</x:v>
      </x:c>
      <x:c r="R948" s="11" t="n">
        <x:f>IF(D948="Completed",I948,0)</x:f>
        <x:v>1</x:v>
      </x:c>
      <x:c r="S948" s="11" t="n">
        <x:f>IF(D948="Completed",L948,0)</x:f>
        <x:v>0</x:v>
      </x:c>
      <x:c r="T948" s="8" t="n">
        <x:f>DATE(YEAR(C948),MONTH(C948),1)</x:f>
        <x:v>45689</x:v>
      </x:c>
    </x:row>
    <x:row r="949" ht="22" customHeight="1">
      <x:c r="A949" s="2" t="str">
        <x:v>L000945</x:v>
      </x:c>
      <x:c r="B949" s="2" t="str">
        <x:v>O00386</x:v>
      </x:c>
      <x:c r="C949" s="7" t="n">
        <x:v>45797</x:v>
      </x:c>
      <x:c r="D949" s="2" t="str">
        <x:v>Completed</x:v>
      </x:c>
      <x:c r="E949" s="2" t="str">
        <x:v>West</x:v>
      </x:c>
      <x:c r="F949" s="2" t="str">
        <x:v>Store</x:v>
      </x:c>
      <x:c r="G949" s="2" t="str">
        <x:v>Lighting</x:v>
      </x:c>
      <x:c r="H949" s="2" t="str">
        <x:v>Lamp 013</x:v>
      </x:c>
      <x:c r="I949" s="11" t="n">
        <x:v>2</x:v>
      </x:c>
      <x:c r="J949" s="9" t="n">
        <x:v>271</x:v>
      </x:c>
      <x:c r="K949" s="10" t="n">
        <x:v>0.05</x:v>
      </x:c>
      <x:c r="L949" s="11" t="n">
        <x:v>0</x:v>
      </x:c>
      <x:c r="M949" s="9" t="n">
        <x:f>IF(D949="Completed",I949*J949,0)</x:f>
        <x:v>542</x:v>
      </x:c>
      <x:c r="N949" s="9" t="n">
        <x:f>M949*K949</x:f>
        <x:v>27.1</x:v>
      </x:c>
      <x:c r="O949" s="9" t="n">
        <x:f>M949-N949</x:f>
        <x:v>514.9</x:v>
      </x:c>
      <x:c r="P949" s="9" t="n">
        <x:f>IF(D949="Completed",L949*J949*(1-K949),0)</x:f>
        <x:v>0</x:v>
      </x:c>
      <x:c r="Q949" s="9" t="n">
        <x:f>O949-P949</x:f>
        <x:v>514.9</x:v>
      </x:c>
      <x:c r="R949" s="11" t="n">
        <x:f>IF(D949="Completed",I949,0)</x:f>
        <x:v>2</x:v>
      </x:c>
      <x:c r="S949" s="11" t="n">
        <x:f>IF(D949="Completed",L949,0)</x:f>
        <x:v>0</x:v>
      </x:c>
      <x:c r="T949" s="8" t="n">
        <x:f>DATE(YEAR(C949),MONTH(C949),1)</x:f>
        <x:v>45778</x:v>
      </x:c>
    </x:row>
    <x:row r="950" ht="22" customHeight="1">
      <x:c r="A950" s="2" t="str">
        <x:v>L000946</x:v>
      </x:c>
      <x:c r="B950" s="2" t="str">
        <x:v>O00386</x:v>
      </x:c>
      <x:c r="C950" s="7" t="n">
        <x:v>45797</x:v>
      </x:c>
      <x:c r="D950" s="2" t="str">
        <x:v>Completed</x:v>
      </x:c>
      <x:c r="E950" s="2" t="str">
        <x:v>West</x:v>
      </x:c>
      <x:c r="F950" s="2" t="str">
        <x:v>Store</x:v>
      </x:c>
      <x:c r="G950" s="2" t="str">
        <x:v>Storage</x:v>
      </x:c>
      <x:c r="H950" s="2" t="str">
        <x:v>Shelf 023</x:v>
      </x:c>
      <x:c r="I950" s="11" t="n">
        <x:v>3</x:v>
      </x:c>
      <x:c r="J950" s="9" t="n">
        <x:v>68</x:v>
      </x:c>
      <x:c r="K950" s="10" t="n">
        <x:v>0</x:v>
      </x:c>
      <x:c r="L950" s="11" t="n">
        <x:v>3</x:v>
      </x:c>
      <x:c r="M950" s="9" t="n">
        <x:f>IF(D950="Completed",I950*J950,0)</x:f>
        <x:v>204</x:v>
      </x:c>
      <x:c r="N950" s="9" t="n">
        <x:f>M950*K950</x:f>
        <x:v>0</x:v>
      </x:c>
      <x:c r="O950" s="9" t="n">
        <x:f>M950-N950</x:f>
        <x:v>204</x:v>
      </x:c>
      <x:c r="P950" s="9" t="n">
        <x:f>IF(D950="Completed",L950*J950*(1-K950),0)</x:f>
        <x:v>204</x:v>
      </x:c>
      <x:c r="Q950" s="9" t="n">
        <x:f>O950-P950</x:f>
        <x:v>0</x:v>
      </x:c>
      <x:c r="R950" s="11" t="n">
        <x:f>IF(D950="Completed",I950,0)</x:f>
        <x:v>3</x:v>
      </x:c>
      <x:c r="S950" s="11" t="n">
        <x:f>IF(D950="Completed",L950,0)</x:f>
        <x:v>3</x:v>
      </x:c>
      <x:c r="T950" s="8" t="n">
        <x:f>DATE(YEAR(C950),MONTH(C950),1)</x:f>
        <x:v>45778</x:v>
      </x:c>
    </x:row>
    <x:row r="951" ht="22" customHeight="1">
      <x:c r="A951" s="2" t="str">
        <x:v>L000947</x:v>
      </x:c>
      <x:c r="B951" s="2" t="str">
        <x:v>O00386</x:v>
      </x:c>
      <x:c r="C951" s="7" t="n">
        <x:v>45797</x:v>
      </x:c>
      <x:c r="D951" s="2" t="str">
        <x:v>Completed</x:v>
      </x:c>
      <x:c r="E951" s="2" t="str">
        <x:v>West</x:v>
      </x:c>
      <x:c r="F951" s="2" t="str">
        <x:v>Store</x:v>
      </x:c>
      <x:c r="G951" s="2" t="str">
        <x:v>Furniture</x:v>
      </x:c>
      <x:c r="H951" s="2" t="str">
        <x:v>Chair 018</x:v>
      </x:c>
      <x:c r="I951" s="11" t="n">
        <x:v>1</x:v>
      </x:c>
      <x:c r="J951" s="9" t="n">
        <x:v>269</x:v>
      </x:c>
      <x:c r="K951" s="10" t="n">
        <x:v>0.2</x:v>
      </x:c>
      <x:c r="L951" s="11" t="n">
        <x:v>0</x:v>
      </x:c>
      <x:c r="M951" s="9" t="n">
        <x:f>IF(D951="Completed",I951*J951,0)</x:f>
        <x:v>269</x:v>
      </x:c>
      <x:c r="N951" s="9" t="n">
        <x:f>M951*K951</x:f>
        <x:v>53.800000000000004</x:v>
      </x:c>
      <x:c r="O951" s="9" t="n">
        <x:f>M951-N951</x:f>
        <x:v>215.2</x:v>
      </x:c>
      <x:c r="P951" s="9" t="n">
        <x:f>IF(D951="Completed",L951*J951*(1-K951),0)</x:f>
        <x:v>0</x:v>
      </x:c>
      <x:c r="Q951" s="9" t="n">
        <x:f>O951-P951</x:f>
        <x:v>215.2</x:v>
      </x:c>
      <x:c r="R951" s="11" t="n">
        <x:f>IF(D951="Completed",I951,0)</x:f>
        <x:v>1</x:v>
      </x:c>
      <x:c r="S951" s="11" t="n">
        <x:f>IF(D951="Completed",L951,0)</x:f>
        <x:v>0</x:v>
      </x:c>
      <x:c r="T951" s="8" t="n">
        <x:f>DATE(YEAR(C951),MONTH(C951),1)</x:f>
        <x:v>45778</x:v>
      </x:c>
    </x:row>
    <x:row r="952" ht="22" customHeight="1">
      <x:c r="A952" s="2" t="str">
        <x:v>L000948</x:v>
      </x:c>
      <x:c r="B952" s="2" t="str">
        <x:v>O00386</x:v>
      </x:c>
      <x:c r="C952" s="7" t="n">
        <x:v>45797</x:v>
      </x:c>
      <x:c r="D952" s="2" t="str">
        <x:v>Completed</x:v>
      </x:c>
      <x:c r="E952" s="2" t="str">
        <x:v>West</x:v>
      </x:c>
      <x:c r="F952" s="2" t="str">
        <x:v>Store</x:v>
      </x:c>
      <x:c r="G952" s="2" t="str">
        <x:v>Furniture</x:v>
      </x:c>
      <x:c r="H952" s="2" t="str">
        <x:v>Desk 020</x:v>
      </x:c>
      <x:c r="I952" s="11" t="n">
        <x:v>5</x:v>
      </x:c>
      <x:c r="J952" s="9" t="n">
        <x:v>189</x:v>
      </x:c>
      <x:c r="K952" s="10" t="n">
        <x:v>0.05</x:v>
      </x:c>
      <x:c r="L952" s="11" t="n">
        <x:v>0</x:v>
      </x:c>
      <x:c r="M952" s="9" t="n">
        <x:f>IF(D952="Completed",I952*J952,0)</x:f>
        <x:v>945</x:v>
      </x:c>
      <x:c r="N952" s="9" t="n">
        <x:f>M952*K952</x:f>
        <x:v>47.25</x:v>
      </x:c>
      <x:c r="O952" s="9" t="n">
        <x:f>M952-N952</x:f>
        <x:v>897.75</x:v>
      </x:c>
      <x:c r="P952" s="9" t="n">
        <x:f>IF(D952="Completed",L952*J952*(1-K952),0)</x:f>
        <x:v>0</x:v>
      </x:c>
      <x:c r="Q952" s="9" t="n">
        <x:f>O952-P952</x:f>
        <x:v>897.75</x:v>
      </x:c>
      <x:c r="R952" s="11" t="n">
        <x:f>IF(D952="Completed",I952,0)</x:f>
        <x:v>5</x:v>
      </x:c>
      <x:c r="S952" s="11" t="n">
        <x:f>IF(D952="Completed",L952,0)</x:f>
        <x:v>0</x:v>
      </x:c>
      <x:c r="T952" s="8" t="n">
        <x:f>DATE(YEAR(C952),MONTH(C952),1)</x:f>
        <x:v>45778</x:v>
      </x:c>
    </x:row>
    <x:row r="953" ht="22" customHeight="1">
      <x:c r="A953" s="2" t="str">
        <x:v>L000949</x:v>
      </x:c>
      <x:c r="B953" s="2" t="str">
        <x:v>O00387</x:v>
      </x:c>
      <x:c r="C953" s="7" t="n">
        <x:v>45967</x:v>
      </x:c>
      <x:c r="D953" s="2" t="str">
        <x:v>Completed</x:v>
      </x:c>
      <x:c r="E953" s="2" t="str">
        <x:v>North</x:v>
      </x:c>
      <x:c r="F953" s="2" t="str">
        <x:v>Online</x:v>
      </x:c>
      <x:c r="G953" s="2" t="str">
        <x:v>Lighting</x:v>
      </x:c>
      <x:c r="H953" s="2" t="str">
        <x:v>Lamp 013</x:v>
      </x:c>
      <x:c r="I953" s="11" t="n">
        <x:v>1</x:v>
      </x:c>
      <x:c r="J953" s="9" t="n">
        <x:v>271</x:v>
      </x:c>
      <x:c r="K953" s="10" t="n">
        <x:v>0.2</x:v>
      </x:c>
      <x:c r="L953" s="11" t="n">
        <x:v>0</x:v>
      </x:c>
      <x:c r="M953" s="9" t="n">
        <x:f>IF(D953="Completed",I953*J953,0)</x:f>
        <x:v>271</x:v>
      </x:c>
      <x:c r="N953" s="9" t="n">
        <x:f>M953*K953</x:f>
        <x:v>54.2</x:v>
      </x:c>
      <x:c r="O953" s="9" t="n">
        <x:f>M953-N953</x:f>
        <x:v>216.8</x:v>
      </x:c>
      <x:c r="P953" s="9" t="n">
        <x:f>IF(D953="Completed",L953*J953*(1-K953),0)</x:f>
        <x:v>0</x:v>
      </x:c>
      <x:c r="Q953" s="9" t="n">
        <x:f>O953-P953</x:f>
        <x:v>216.8</x:v>
      </x:c>
      <x:c r="R953" s="11" t="n">
        <x:f>IF(D953="Completed",I953,0)</x:f>
        <x:v>1</x:v>
      </x:c>
      <x:c r="S953" s="11" t="n">
        <x:f>IF(D953="Completed",L953,0)</x:f>
        <x:v>0</x:v>
      </x:c>
      <x:c r="T953" s="8" t="n">
        <x:f>DATE(YEAR(C953),MONTH(C953),1)</x:f>
        <x:v>45962</x:v>
      </x:c>
    </x:row>
    <x:row r="954" ht="22" customHeight="1">
      <x:c r="A954" s="2" t="str">
        <x:v>L000950</x:v>
      </x:c>
      <x:c r="B954" s="2" t="str">
        <x:v>O00387</x:v>
      </x:c>
      <x:c r="C954" s="7" t="n">
        <x:v>45967</x:v>
      </x:c>
      <x:c r="D954" s="2" t="str">
        <x:v>Completed</x:v>
      </x:c>
      <x:c r="E954" s="2" t="str">
        <x:v>North</x:v>
      </x:c>
      <x:c r="F954" s="2" t="str">
        <x:v>Online</x:v>
      </x:c>
      <x:c r="G954" s="2" t="str">
        <x:v>Storage</x:v>
      </x:c>
      <x:c r="H954" s="2" t="str">
        <x:v>Shelf 007</x:v>
      </x:c>
      <x:c r="I954" s="11" t="n">
        <x:v>4</x:v>
      </x:c>
      <x:c r="J954" s="9" t="n">
        <x:v>35</x:v>
      </x:c>
      <x:c r="K954" s="10" t="n">
        <x:v>0.1</x:v>
      </x:c>
      <x:c r="L954" s="11" t="n">
        <x:v>0</x:v>
      </x:c>
      <x:c r="M954" s="9" t="n">
        <x:f>IF(D954="Completed",I954*J954,0)</x:f>
        <x:v>140</x:v>
      </x:c>
      <x:c r="N954" s="9" t="n">
        <x:f>M954*K954</x:f>
        <x:v>14</x:v>
      </x:c>
      <x:c r="O954" s="9" t="n">
        <x:f>M954-N954</x:f>
        <x:v>126</x:v>
      </x:c>
      <x:c r="P954" s="9" t="n">
        <x:f>IF(D954="Completed",L954*J954*(1-K954),0)</x:f>
        <x:v>0</x:v>
      </x:c>
      <x:c r="Q954" s="9" t="n">
        <x:f>O954-P954</x:f>
        <x:v>126</x:v>
      </x:c>
      <x:c r="R954" s="11" t="n">
        <x:f>IF(D954="Completed",I954,0)</x:f>
        <x:v>4</x:v>
      </x:c>
      <x:c r="S954" s="11" t="n">
        <x:f>IF(D954="Completed",L954,0)</x:f>
        <x:v>0</x:v>
      </x:c>
      <x:c r="T954" s="8" t="n">
        <x:f>DATE(YEAR(C954),MONTH(C954),1)</x:f>
        <x:v>45962</x:v>
      </x:c>
    </x:row>
    <x:row r="955" ht="22" customHeight="1">
      <x:c r="A955" s="2" t="str">
        <x:v>L000951</x:v>
      </x:c>
      <x:c r="B955" s="2" t="str">
        <x:v>O00388</x:v>
      </x:c>
      <x:c r="C955" s="7" t="n">
        <x:v>45786</x:v>
      </x:c>
      <x:c r="D955" s="2" t="str">
        <x:v>Completed</x:v>
      </x:c>
      <x:c r="E955" s="2" t="str">
        <x:v>East</x:v>
      </x:c>
      <x:c r="F955" s="2" t="str">
        <x:v>Store</x:v>
      </x:c>
      <x:c r="G955" s="2" t="str">
        <x:v>Lighting</x:v>
      </x:c>
      <x:c r="H955" s="2" t="str">
        <x:v>Lamp 005</x:v>
      </x:c>
      <x:c r="I955" s="11" t="n">
        <x:v>3</x:v>
      </x:c>
      <x:c r="J955" s="9" t="n">
        <x:v>65</x:v>
      </x:c>
      <x:c r="K955" s="10" t="n">
        <x:v>0</x:v>
      </x:c>
      <x:c r="L955" s="11" t="n">
        <x:v>0</x:v>
      </x:c>
      <x:c r="M955" s="9" t="n">
        <x:f>IF(D955="Completed",I955*J955,0)</x:f>
        <x:v>195</x:v>
      </x:c>
      <x:c r="N955" s="9" t="n">
        <x:f>M955*K955</x:f>
        <x:v>0</x:v>
      </x:c>
      <x:c r="O955" s="9" t="n">
        <x:f>M955-N955</x:f>
        <x:v>195</x:v>
      </x:c>
      <x:c r="P955" s="9" t="n">
        <x:f>IF(D955="Completed",L955*J955*(1-K955),0)</x:f>
        <x:v>0</x:v>
      </x:c>
      <x:c r="Q955" s="9" t="n">
        <x:f>O955-P955</x:f>
        <x:v>195</x:v>
      </x:c>
      <x:c r="R955" s="11" t="n">
        <x:f>IF(D955="Completed",I955,0)</x:f>
        <x:v>3</x:v>
      </x:c>
      <x:c r="S955" s="11" t="n">
        <x:f>IF(D955="Completed",L955,0)</x:f>
        <x:v>0</x:v>
      </x:c>
      <x:c r="T955" s="8" t="n">
        <x:f>DATE(YEAR(C955),MONTH(C955),1)</x:f>
        <x:v>45778</x:v>
      </x:c>
    </x:row>
    <x:row r="956" ht="22" customHeight="1">
      <x:c r="A956" s="2" t="str">
        <x:v>L000952</x:v>
      </x:c>
      <x:c r="B956" s="2" t="str">
        <x:v>O00388</x:v>
      </x:c>
      <x:c r="C956" s="7" t="n">
        <x:v>45786</x:v>
      </x:c>
      <x:c r="D956" s="2" t="str">
        <x:v>Completed</x:v>
      </x:c>
      <x:c r="E956" s="2" t="str">
        <x:v>East</x:v>
      </x:c>
      <x:c r="F956" s="2" t="str">
        <x:v>Store</x:v>
      </x:c>
      <x:c r="G956" s="2" t="str">
        <x:v>Lighting</x:v>
      </x:c>
      <x:c r="H956" s="2" t="str">
        <x:v>Lamp 009</x:v>
      </x:c>
      <x:c r="I956" s="11" t="n">
        <x:v>4</x:v>
      </x:c>
      <x:c r="J956" s="9" t="n">
        <x:v>93</x:v>
      </x:c>
      <x:c r="K956" s="10" t="n">
        <x:v>0.05</x:v>
      </x:c>
      <x:c r="L956" s="11" t="n">
        <x:v>0</x:v>
      </x:c>
      <x:c r="M956" s="9" t="n">
        <x:f>IF(D956="Completed",I956*J956,0)</x:f>
        <x:v>372</x:v>
      </x:c>
      <x:c r="N956" s="9" t="n">
        <x:f>M956*K956</x:f>
        <x:v>18.6</x:v>
      </x:c>
      <x:c r="O956" s="9" t="n">
        <x:f>M956-N956</x:f>
        <x:v>353.4</x:v>
      </x:c>
      <x:c r="P956" s="9" t="n">
        <x:f>IF(D956="Completed",L956*J956*(1-K956),0)</x:f>
        <x:v>0</x:v>
      </x:c>
      <x:c r="Q956" s="9" t="n">
        <x:f>O956-P956</x:f>
        <x:v>353.4</x:v>
      </x:c>
      <x:c r="R956" s="11" t="n">
        <x:f>IF(D956="Completed",I956,0)</x:f>
        <x:v>4</x:v>
      </x:c>
      <x:c r="S956" s="11" t="n">
        <x:f>IF(D956="Completed",L956,0)</x:f>
        <x:v>0</x:v>
      </x:c>
      <x:c r="T956" s="8" t="n">
        <x:f>DATE(YEAR(C956),MONTH(C956),1)</x:f>
        <x:v>45778</x:v>
      </x:c>
    </x:row>
    <x:row r="957" ht="22" customHeight="1">
      <x:c r="A957" s="2" t="str">
        <x:v>L000953</x:v>
      </x:c>
      <x:c r="B957" s="2" t="str">
        <x:v>O00388</x:v>
      </x:c>
      <x:c r="C957" s="7" t="n">
        <x:v>45786</x:v>
      </x:c>
      <x:c r="D957" s="2" t="str">
        <x:v>Completed</x:v>
      </x:c>
      <x:c r="E957" s="2" t="str">
        <x:v>East</x:v>
      </x:c>
      <x:c r="F957" s="2" t="str">
        <x:v>Store</x:v>
      </x:c>
      <x:c r="G957" s="2" t="str">
        <x:v>Storage</x:v>
      </x:c>
      <x:c r="H957" s="2" t="str">
        <x:v>Shelf 019</x:v>
      </x:c>
      <x:c r="I957" s="11" t="n">
        <x:v>5</x:v>
      </x:c>
      <x:c r="J957" s="9" t="n">
        <x:v>78</x:v>
      </x:c>
      <x:c r="K957" s="10" t="n">
        <x:v>0.2</x:v>
      </x:c>
      <x:c r="L957" s="11" t="n">
        <x:v>0</x:v>
      </x:c>
      <x:c r="M957" s="9" t="n">
        <x:f>IF(D957="Completed",I957*J957,0)</x:f>
        <x:v>390</x:v>
      </x:c>
      <x:c r="N957" s="9" t="n">
        <x:f>M957*K957</x:f>
        <x:v>78</x:v>
      </x:c>
      <x:c r="O957" s="9" t="n">
        <x:f>M957-N957</x:f>
        <x:v>312</x:v>
      </x:c>
      <x:c r="P957" s="9" t="n">
        <x:f>IF(D957="Completed",L957*J957*(1-K957),0)</x:f>
        <x:v>0</x:v>
      </x:c>
      <x:c r="Q957" s="9" t="n">
        <x:f>O957-P957</x:f>
        <x:v>312</x:v>
      </x:c>
      <x:c r="R957" s="11" t="n">
        <x:f>IF(D957="Completed",I957,0)</x:f>
        <x:v>5</x:v>
      </x:c>
      <x:c r="S957" s="11" t="n">
        <x:f>IF(D957="Completed",L957,0)</x:f>
        <x:v>0</x:v>
      </x:c>
      <x:c r="T957" s="8" t="n">
        <x:f>DATE(YEAR(C957),MONTH(C957),1)</x:f>
        <x:v>45778</x:v>
      </x:c>
    </x:row>
    <x:row r="958" ht="22" customHeight="1">
      <x:c r="A958" s="2" t="str">
        <x:v>L000954</x:v>
      </x:c>
      <x:c r="B958" s="2" t="str">
        <x:v>O00389</x:v>
      </x:c>
      <x:c r="C958" s="7" t="n">
        <x:v>45945</x:v>
      </x:c>
      <x:c r="D958" s="2" t="str">
        <x:v>Completed</x:v>
      </x:c>
      <x:c r="E958" s="2" t="str">
        <x:v>West</x:v>
      </x:c>
      <x:c r="F958" s="2" t="str">
        <x:v>Online</x:v>
      </x:c>
      <x:c r="G958" s="2" t="str">
        <x:v>Furniture</x:v>
      </x:c>
      <x:c r="H958" s="2" t="str">
        <x:v>Desk 004</x:v>
      </x:c>
      <x:c r="I958" s="11" t="n">
        <x:v>4</x:v>
      </x:c>
      <x:c r="J958" s="9" t="n">
        <x:v>123</x:v>
      </x:c>
      <x:c r="K958" s="10" t="n">
        <x:v>0.1</x:v>
      </x:c>
      <x:c r="L958" s="11" t="n">
        <x:v>0</x:v>
      </x:c>
      <x:c r="M958" s="9" t="n">
        <x:f>IF(D958="Completed",I958*J958,0)</x:f>
        <x:v>492</x:v>
      </x:c>
      <x:c r="N958" s="9" t="n">
        <x:f>M958*K958</x:f>
        <x:v>49.2</x:v>
      </x:c>
      <x:c r="O958" s="9" t="n">
        <x:f>M958-N958</x:f>
        <x:v>442.8</x:v>
      </x:c>
      <x:c r="P958" s="9" t="n">
        <x:f>IF(D958="Completed",L958*J958*(1-K958),0)</x:f>
        <x:v>0</x:v>
      </x:c>
      <x:c r="Q958" s="9" t="n">
        <x:f>O958-P958</x:f>
        <x:v>442.8</x:v>
      </x:c>
      <x:c r="R958" s="11" t="n">
        <x:f>IF(D958="Completed",I958,0)</x:f>
        <x:v>4</x:v>
      </x:c>
      <x:c r="S958" s="11" t="n">
        <x:f>IF(D958="Completed",L958,0)</x:f>
        <x:v>0</x:v>
      </x:c>
      <x:c r="T958" s="8" t="n">
        <x:f>DATE(YEAR(C958),MONTH(C958),1)</x:f>
        <x:v>45931</x:v>
      </x:c>
    </x:row>
    <x:row r="959" ht="22" customHeight="1">
      <x:c r="A959" s="2" t="str">
        <x:v>L000955</x:v>
      </x:c>
      <x:c r="B959" s="2" t="str">
        <x:v>O00389</x:v>
      </x:c>
      <x:c r="C959" s="7" t="n">
        <x:v>45945</x:v>
      </x:c>
      <x:c r="D959" s="2" t="str">
        <x:v>Completed</x:v>
      </x:c>
      <x:c r="E959" s="2" t="str">
        <x:v>West</x:v>
      </x:c>
      <x:c r="F959" s="2" t="str">
        <x:v>Online</x:v>
      </x:c>
      <x:c r="G959" s="2" t="str">
        <x:v>Lighting</x:v>
      </x:c>
      <x:c r="H959" s="2" t="str">
        <x:v>Lamp 009</x:v>
      </x:c>
      <x:c r="I959" s="11" t="n">
        <x:v>4</x:v>
      </x:c>
      <x:c r="J959" s="9" t="n">
        <x:v>93</x:v>
      </x:c>
      <x:c r="K959" s="10" t="n">
        <x:v>0.05</x:v>
      </x:c>
      <x:c r="L959" s="11" t="n">
        <x:v>0</x:v>
      </x:c>
      <x:c r="M959" s="9" t="n">
        <x:f>IF(D959="Completed",I959*J959,0)</x:f>
        <x:v>372</x:v>
      </x:c>
      <x:c r="N959" s="9" t="n">
        <x:f>M959*K959</x:f>
        <x:v>18.6</x:v>
      </x:c>
      <x:c r="O959" s="9" t="n">
        <x:f>M959-N959</x:f>
        <x:v>353.4</x:v>
      </x:c>
      <x:c r="P959" s="9" t="n">
        <x:f>IF(D959="Completed",L959*J959*(1-K959),0)</x:f>
        <x:v>0</x:v>
      </x:c>
      <x:c r="Q959" s="9" t="n">
        <x:f>O959-P959</x:f>
        <x:v>353.4</x:v>
      </x:c>
      <x:c r="R959" s="11" t="n">
        <x:f>IF(D959="Completed",I959,0)</x:f>
        <x:v>4</x:v>
      </x:c>
      <x:c r="S959" s="11" t="n">
        <x:f>IF(D959="Completed",L959,0)</x:f>
        <x:v>0</x:v>
      </x:c>
      <x:c r="T959" s="8" t="n">
        <x:f>DATE(YEAR(C959),MONTH(C959),1)</x:f>
        <x:v>45931</x:v>
      </x:c>
    </x:row>
    <x:row r="960" ht="22" customHeight="1">
      <x:c r="A960" s="2" t="str">
        <x:v>L000956</x:v>
      </x:c>
      <x:c r="B960" s="2" t="str">
        <x:v>O00389</x:v>
      </x:c>
      <x:c r="C960" s="7" t="n">
        <x:v>45945</x:v>
      </x:c>
      <x:c r="D960" s="2" t="str">
        <x:v>Completed</x:v>
      </x:c>
      <x:c r="E960" s="2" t="str">
        <x:v>West</x:v>
      </x:c>
      <x:c r="F960" s="2" t="str">
        <x:v>Online</x:v>
      </x:c>
      <x:c r="G960" s="2" t="str">
        <x:v>Furniture</x:v>
      </x:c>
      <x:c r="H960" s="2" t="str">
        <x:v>Chair 014</x:v>
      </x:c>
      <x:c r="I960" s="11" t="n">
        <x:v>5</x:v>
      </x:c>
      <x:c r="J960" s="9" t="n">
        <x:v>294</x:v>
      </x:c>
      <x:c r="K960" s="10" t="n">
        <x:v>0.2</x:v>
      </x:c>
      <x:c r="L960" s="11" t="n">
        <x:v>0</x:v>
      </x:c>
      <x:c r="M960" s="9" t="n">
        <x:f>IF(D960="Completed",I960*J960,0)</x:f>
        <x:v>1470</x:v>
      </x:c>
      <x:c r="N960" s="9" t="n">
        <x:f>M960*K960</x:f>
        <x:v>294</x:v>
      </x:c>
      <x:c r="O960" s="9" t="n">
        <x:f>M960-N960</x:f>
        <x:v>1176</x:v>
      </x:c>
      <x:c r="P960" s="9" t="n">
        <x:f>IF(D960="Completed",L960*J960*(1-K960),0)</x:f>
        <x:v>0</x:v>
      </x:c>
      <x:c r="Q960" s="9" t="n">
        <x:f>O960-P960</x:f>
        <x:v>1176</x:v>
      </x:c>
      <x:c r="R960" s="11" t="n">
        <x:f>IF(D960="Completed",I960,0)</x:f>
        <x:v>5</x:v>
      </x:c>
      <x:c r="S960" s="11" t="n">
        <x:f>IF(D960="Completed",L960,0)</x:f>
        <x:v>0</x:v>
      </x:c>
      <x:c r="T960" s="8" t="n">
        <x:f>DATE(YEAR(C960),MONTH(C960),1)</x:f>
        <x:v>45931</x:v>
      </x:c>
    </x:row>
    <x:row r="961" ht="22" customHeight="1">
      <x:c r="A961" s="2" t="str">
        <x:v>L000957</x:v>
      </x:c>
      <x:c r="B961" s="2" t="str">
        <x:v>O00390</x:v>
      </x:c>
      <x:c r="C961" s="7" t="n">
        <x:v>45977</x:v>
      </x:c>
      <x:c r="D961" s="2" t="str">
        <x:v>Completed</x:v>
      </x:c>
      <x:c r="E961" s="2" t="str">
        <x:v>South</x:v>
      </x:c>
      <x:c r="F961" s="2" t="str">
        <x:v>Online</x:v>
      </x:c>
      <x:c r="G961" s="2" t="str">
        <x:v>Furniture</x:v>
      </x:c>
      <x:c r="H961" s="2" t="str">
        <x:v>Chair 006</x:v>
      </x:c>
      <x:c r="I961" s="11" t="n">
        <x:v>4</x:v>
      </x:c>
      <x:c r="J961" s="9" t="n">
        <x:v>196</x:v>
      </x:c>
      <x:c r="K961" s="10" t="n">
        <x:v>0.2</x:v>
      </x:c>
      <x:c r="L961" s="11" t="n">
        <x:v>0</x:v>
      </x:c>
      <x:c r="M961" s="9" t="n">
        <x:f>IF(D961="Completed",I961*J961,0)</x:f>
        <x:v>784</x:v>
      </x:c>
      <x:c r="N961" s="9" t="n">
        <x:f>M961*K961</x:f>
        <x:v>156.8</x:v>
      </x:c>
      <x:c r="O961" s="9" t="n">
        <x:f>M961-N961</x:f>
        <x:v>627.2</x:v>
      </x:c>
      <x:c r="P961" s="9" t="n">
        <x:f>IF(D961="Completed",L961*J961*(1-K961),0)</x:f>
        <x:v>0</x:v>
      </x:c>
      <x:c r="Q961" s="9" t="n">
        <x:f>O961-P961</x:f>
        <x:v>627.2</x:v>
      </x:c>
      <x:c r="R961" s="11" t="n">
        <x:f>IF(D961="Completed",I961,0)</x:f>
        <x:v>4</x:v>
      </x:c>
      <x:c r="S961" s="11" t="n">
        <x:f>IF(D961="Completed",L961,0)</x:f>
        <x:v>0</x:v>
      </x:c>
      <x:c r="T961" s="8" t="n">
        <x:f>DATE(YEAR(C961),MONTH(C961),1)</x:f>
        <x:v>45962</x:v>
      </x:c>
    </x:row>
    <x:row r="962" ht="22" customHeight="1">
      <x:c r="A962" s="2" t="str">
        <x:v>L000958</x:v>
      </x:c>
      <x:c r="B962" s="2" t="str">
        <x:v>O00391</x:v>
      </x:c>
      <x:c r="C962" s="7" t="n">
        <x:v>45867</x:v>
      </x:c>
      <x:c r="D962" s="2" t="str">
        <x:v>Completed</x:v>
      </x:c>
      <x:c r="E962" s="2" t="str">
        <x:v>South</x:v>
      </x:c>
      <x:c r="F962" s="2" t="str">
        <x:v>Store</x:v>
      </x:c>
      <x:c r="G962" s="2" t="str">
        <x:v>Furniture</x:v>
      </x:c>
      <x:c r="H962" s="2" t="str">
        <x:v>Desk 020</x:v>
      </x:c>
      <x:c r="I962" s="11" t="n">
        <x:v>4</x:v>
      </x:c>
      <x:c r="J962" s="9" t="n">
        <x:v>189</x:v>
      </x:c>
      <x:c r="K962" s="10" t="n">
        <x:v>0</x:v>
      </x:c>
      <x:c r="L962" s="11" t="n">
        <x:v>0</x:v>
      </x:c>
      <x:c r="M962" s="9" t="n">
        <x:f>IF(D962="Completed",I962*J962,0)</x:f>
        <x:v>756</x:v>
      </x:c>
      <x:c r="N962" s="9" t="n">
        <x:f>M962*K962</x:f>
        <x:v>0</x:v>
      </x:c>
      <x:c r="O962" s="9" t="n">
        <x:f>M962-N962</x:f>
        <x:v>756</x:v>
      </x:c>
      <x:c r="P962" s="9" t="n">
        <x:f>IF(D962="Completed",L962*J962*(1-K962),0)</x:f>
        <x:v>0</x:v>
      </x:c>
      <x:c r="Q962" s="9" t="n">
        <x:f>O962-P962</x:f>
        <x:v>756</x:v>
      </x:c>
      <x:c r="R962" s="11" t="n">
        <x:f>IF(D962="Completed",I962,0)</x:f>
        <x:v>4</x:v>
      </x:c>
      <x:c r="S962" s="11" t="n">
        <x:f>IF(D962="Completed",L962,0)</x:f>
        <x:v>0</x:v>
      </x:c>
      <x:c r="T962" s="8" t="n">
        <x:f>DATE(YEAR(C962),MONTH(C962),1)</x:f>
        <x:v>45839</x:v>
      </x:c>
    </x:row>
    <x:row r="963" ht="22" customHeight="1">
      <x:c r="A963" s="2" t="str">
        <x:v>L000959</x:v>
      </x:c>
      <x:c r="B963" s="2" t="str">
        <x:v>O00391</x:v>
      </x:c>
      <x:c r="C963" s="7" t="n">
        <x:v>45867</x:v>
      </x:c>
      <x:c r="D963" s="2" t="str">
        <x:v>Completed</x:v>
      </x:c>
      <x:c r="E963" s="2" t="str">
        <x:v>South</x:v>
      </x:c>
      <x:c r="F963" s="2" t="str">
        <x:v>Store</x:v>
      </x:c>
      <x:c r="G963" s="2" t="str">
        <x:v>Furniture</x:v>
      </x:c>
      <x:c r="H963" s="2" t="str">
        <x:v>Chair 014</x:v>
      </x:c>
      <x:c r="I963" s="11" t="n">
        <x:v>5</x:v>
      </x:c>
      <x:c r="J963" s="9" t="n">
        <x:v>294</x:v>
      </x:c>
      <x:c r="K963" s="10" t="n">
        <x:v>0.05</x:v>
      </x:c>
      <x:c r="L963" s="11" t="n">
        <x:v>0</x:v>
      </x:c>
      <x:c r="M963" s="9" t="n">
        <x:f>IF(D963="Completed",I963*J963,0)</x:f>
        <x:v>1470</x:v>
      </x:c>
      <x:c r="N963" s="9" t="n">
        <x:f>M963*K963</x:f>
        <x:v>73.5</x:v>
      </x:c>
      <x:c r="O963" s="9" t="n">
        <x:f>M963-N963</x:f>
        <x:v>1396.5</x:v>
      </x:c>
      <x:c r="P963" s="9" t="n">
        <x:f>IF(D963="Completed",L963*J963*(1-K963),0)</x:f>
        <x:v>0</x:v>
      </x:c>
      <x:c r="Q963" s="9" t="n">
        <x:f>O963-P963</x:f>
        <x:v>1396.5</x:v>
      </x:c>
      <x:c r="R963" s="11" t="n">
        <x:f>IF(D963="Completed",I963,0)</x:f>
        <x:v>5</x:v>
      </x:c>
      <x:c r="S963" s="11" t="n">
        <x:f>IF(D963="Completed",L963,0)</x:f>
        <x:v>0</x:v>
      </x:c>
      <x:c r="T963" s="8" t="n">
        <x:f>DATE(YEAR(C963),MONTH(C963),1)</x:f>
        <x:v>45839</x:v>
      </x:c>
    </x:row>
    <x:row r="964" ht="22" customHeight="1">
      <x:c r="A964" s="2" t="str">
        <x:v>L000960</x:v>
      </x:c>
      <x:c r="B964" s="2" t="str">
        <x:v>O00391</x:v>
      </x:c>
      <x:c r="C964" s="7" t="n">
        <x:v>45867</x:v>
      </x:c>
      <x:c r="D964" s="2" t="str">
        <x:v>Completed</x:v>
      </x:c>
      <x:c r="E964" s="2" t="str">
        <x:v>South</x:v>
      </x:c>
      <x:c r="F964" s="2" t="str">
        <x:v>Store</x:v>
      </x:c>
      <x:c r="G964" s="2" t="str">
        <x:v>Lighting</x:v>
      </x:c>
      <x:c r="H964" s="2" t="str">
        <x:v>Lamp 017</x:v>
      </x:c>
      <x:c r="I964" s="11" t="n">
        <x:v>2</x:v>
      </x:c>
      <x:c r="J964" s="9" t="n">
        <x:v>300</x:v>
      </x:c>
      <x:c r="K964" s="10" t="n">
        <x:v>0.05</x:v>
      </x:c>
      <x:c r="L964" s="11" t="n">
        <x:v>0</x:v>
      </x:c>
      <x:c r="M964" s="9" t="n">
        <x:f>IF(D964="Completed",I964*J964,0)</x:f>
        <x:v>600</x:v>
      </x:c>
      <x:c r="N964" s="9" t="n">
        <x:f>M964*K964</x:f>
        <x:v>30</x:v>
      </x:c>
      <x:c r="O964" s="9" t="n">
        <x:f>M964-N964</x:f>
        <x:v>570</x:v>
      </x:c>
      <x:c r="P964" s="9" t="n">
        <x:f>IF(D964="Completed",L964*J964*(1-K964),0)</x:f>
        <x:v>0</x:v>
      </x:c>
      <x:c r="Q964" s="9" t="n">
        <x:f>O964-P964</x:f>
        <x:v>570</x:v>
      </x:c>
      <x:c r="R964" s="11" t="n">
        <x:f>IF(D964="Completed",I964,0)</x:f>
        <x:v>2</x:v>
      </x:c>
      <x:c r="S964" s="11" t="n">
        <x:f>IF(D964="Completed",L964,0)</x:f>
        <x:v>0</x:v>
      </x:c>
      <x:c r="T964" s="8" t="n">
        <x:f>DATE(YEAR(C964),MONTH(C964),1)</x:f>
        <x:v>45839</x:v>
      </x:c>
    </x:row>
    <x:row r="965" ht="22" customHeight="1">
      <x:c r="A965" s="2" t="str">
        <x:v>L000961</x:v>
      </x:c>
      <x:c r="B965" s="2" t="str">
        <x:v>O00391</x:v>
      </x:c>
      <x:c r="C965" s="7" t="n">
        <x:v>45867</x:v>
      </x:c>
      <x:c r="D965" s="2" t="str">
        <x:v>Completed</x:v>
      </x:c>
      <x:c r="E965" s="2" t="str">
        <x:v>South</x:v>
      </x:c>
      <x:c r="F965" s="2" t="str">
        <x:v>Store</x:v>
      </x:c>
      <x:c r="G965" s="2" t="str">
        <x:v>Storage</x:v>
      </x:c>
      <x:c r="H965" s="2" t="str">
        <x:v>Shelf 015</x:v>
      </x:c>
      <x:c r="I965" s="11" t="n">
        <x:v>3</x:v>
      </x:c>
      <x:c r="J965" s="9" t="n">
        <x:v>254</x:v>
      </x:c>
      <x:c r="K965" s="10" t="n">
        <x:v>0.2</x:v>
      </x:c>
      <x:c r="L965" s="11" t="n">
        <x:v>0</x:v>
      </x:c>
      <x:c r="M965" s="9" t="n">
        <x:f>IF(D965="Completed",I965*J965,0)</x:f>
        <x:v>762</x:v>
      </x:c>
      <x:c r="N965" s="9" t="n">
        <x:f>M965*K965</x:f>
        <x:v>152.4</x:v>
      </x:c>
      <x:c r="O965" s="9" t="n">
        <x:f>M965-N965</x:f>
        <x:v>609.6</x:v>
      </x:c>
      <x:c r="P965" s="9" t="n">
        <x:f>IF(D965="Completed",L965*J965*(1-K965),0)</x:f>
        <x:v>0</x:v>
      </x:c>
      <x:c r="Q965" s="9" t="n">
        <x:f>O965-P965</x:f>
        <x:v>609.6</x:v>
      </x:c>
      <x:c r="R965" s="11" t="n">
        <x:f>IF(D965="Completed",I965,0)</x:f>
        <x:v>3</x:v>
      </x:c>
      <x:c r="S965" s="11" t="n">
        <x:f>IF(D965="Completed",L965,0)</x:f>
        <x:v>0</x:v>
      </x:c>
      <x:c r="T965" s="8" t="n">
        <x:f>DATE(YEAR(C965),MONTH(C965),1)</x:f>
        <x:v>45839</x:v>
      </x:c>
    </x:row>
    <x:row r="966" ht="22" customHeight="1">
      <x:c r="A966" s="2" t="str">
        <x:v>L000962</x:v>
      </x:c>
      <x:c r="B966" s="2" t="str">
        <x:v>O00392</x:v>
      </x:c>
      <x:c r="C966" s="7" t="n">
        <x:v>45731</x:v>
      </x:c>
      <x:c r="D966" s="2" t="str">
        <x:v>Completed</x:v>
      </x:c>
      <x:c r="E966" s="2" t="str">
        <x:v>North</x:v>
      </x:c>
      <x:c r="F966" s="2" t="str">
        <x:v>Online</x:v>
      </x:c>
      <x:c r="G966" s="2" t="str">
        <x:v>Furniture</x:v>
      </x:c>
      <x:c r="H966" s="2" t="str">
        <x:v>Desk 004</x:v>
      </x:c>
      <x:c r="I966" s="11" t="n">
        <x:v>3</x:v>
      </x:c>
      <x:c r="J966" s="9" t="n">
        <x:v>123</x:v>
      </x:c>
      <x:c r="K966" s="10" t="n">
        <x:v>0.1</x:v>
      </x:c>
      <x:c r="L966" s="11" t="n">
        <x:v>0</x:v>
      </x:c>
      <x:c r="M966" s="9" t="n">
        <x:f>IF(D966="Completed",I966*J966,0)</x:f>
        <x:v>369</x:v>
      </x:c>
      <x:c r="N966" s="9" t="n">
        <x:f>M966*K966</x:f>
        <x:v>36.9</x:v>
      </x:c>
      <x:c r="O966" s="9" t="n">
        <x:f>M966-N966</x:f>
        <x:v>332.1</x:v>
      </x:c>
      <x:c r="P966" s="9" t="n">
        <x:f>IF(D966="Completed",L966*J966*(1-K966),0)</x:f>
        <x:v>0</x:v>
      </x:c>
      <x:c r="Q966" s="9" t="n">
        <x:f>O966-P966</x:f>
        <x:v>332.1</x:v>
      </x:c>
      <x:c r="R966" s="11" t="n">
        <x:f>IF(D966="Completed",I966,0)</x:f>
        <x:v>3</x:v>
      </x:c>
      <x:c r="S966" s="11" t="n">
        <x:f>IF(D966="Completed",L966,0)</x:f>
        <x:v>0</x:v>
      </x:c>
      <x:c r="T966" s="8" t="n">
        <x:f>DATE(YEAR(C966),MONTH(C966),1)</x:f>
        <x:v>45717</x:v>
      </x:c>
    </x:row>
    <x:row r="967" ht="22" customHeight="1">
      <x:c r="A967" s="2" t="str">
        <x:v>L000963</x:v>
      </x:c>
      <x:c r="B967" s="2" t="str">
        <x:v>O00393</x:v>
      </x:c>
      <x:c r="C967" s="7" t="n">
        <x:v>45682</x:v>
      </x:c>
      <x:c r="D967" s="2" t="str">
        <x:v>Completed</x:v>
      </x:c>
      <x:c r="E967" s="2" t="str">
        <x:v>East</x:v>
      </x:c>
      <x:c r="F967" s="2" t="str">
        <x:v>Store</x:v>
      </x:c>
      <x:c r="G967" s="2" t="str">
        <x:v>Storage</x:v>
      </x:c>
      <x:c r="H967" s="2" t="str">
        <x:v>Shelf 015</x:v>
      </x:c>
      <x:c r="I967" s="11" t="n">
        <x:v>5</x:v>
      </x:c>
      <x:c r="J967" s="9" t="n">
        <x:v>254</x:v>
      </x:c>
      <x:c r="K967" s="10" t="n">
        <x:v>0.1</x:v>
      </x:c>
      <x:c r="L967" s="11" t="n">
        <x:v>0</x:v>
      </x:c>
      <x:c r="M967" s="9" t="n">
        <x:f>IF(D967="Completed",I967*J967,0)</x:f>
        <x:v>1270</x:v>
      </x:c>
      <x:c r="N967" s="9" t="n">
        <x:f>M967*K967</x:f>
        <x:v>127</x:v>
      </x:c>
      <x:c r="O967" s="9" t="n">
        <x:f>M967-N967</x:f>
        <x:v>1143</x:v>
      </x:c>
      <x:c r="P967" s="9" t="n">
        <x:f>IF(D967="Completed",L967*J967*(1-K967),0)</x:f>
        <x:v>0</x:v>
      </x:c>
      <x:c r="Q967" s="9" t="n">
        <x:f>O967-P967</x:f>
        <x:v>1143</x:v>
      </x:c>
      <x:c r="R967" s="11" t="n">
        <x:f>IF(D967="Completed",I967,0)</x:f>
        <x:v>5</x:v>
      </x:c>
      <x:c r="S967" s="11" t="n">
        <x:f>IF(D967="Completed",L967,0)</x:f>
        <x:v>0</x:v>
      </x:c>
      <x:c r="T967" s="8" t="n">
        <x:f>DATE(YEAR(C967),MONTH(C967),1)</x:f>
        <x:v>45658</x:v>
      </x:c>
    </x:row>
    <x:row r="968" ht="22" customHeight="1">
      <x:c r="A968" s="2" t="str">
        <x:v>L000964</x:v>
      </x:c>
      <x:c r="B968" s="2" t="str">
        <x:v>O00394</x:v>
      </x:c>
      <x:c r="C968" s="7" t="n">
        <x:v>45949</x:v>
      </x:c>
      <x:c r="D968" s="2" t="str">
        <x:v>Cancelled</x:v>
      </x:c>
      <x:c r="E968" s="2" t="str">
        <x:v>West</x:v>
      </x:c>
      <x:c r="F968" s="2" t="str">
        <x:v>Store</x:v>
      </x:c>
      <x:c r="G968" s="2" t="str">
        <x:v>Storage</x:v>
      </x:c>
      <x:c r="H968" s="2" t="str">
        <x:v>Shelf 011</x:v>
      </x:c>
      <x:c r="I968" s="11" t="n">
        <x:v>5</x:v>
      </x:c>
      <x:c r="J968" s="9" t="n">
        <x:v>80</x:v>
      </x:c>
      <x:c r="K968" s="10" t="n">
        <x:v>0</x:v>
      </x:c>
      <x:c r="L968" s="11" t="n">
        <x:v>0</x:v>
      </x:c>
      <x:c r="M968" s="9" t="n">
        <x:f>IF(D968="Completed",I968*J968,0)</x:f>
        <x:v>0</x:v>
      </x:c>
      <x:c r="N968" s="9" t="n">
        <x:f>M968*K968</x:f>
        <x:v>0</x:v>
      </x:c>
      <x:c r="O968" s="9" t="n">
        <x:f>M968-N968</x:f>
        <x:v>0</x:v>
      </x:c>
      <x:c r="P968" s="9" t="n">
        <x:f>IF(D968="Completed",L968*J968*(1-K968),0)</x:f>
        <x:v>0</x:v>
      </x:c>
      <x:c r="Q968" s="9" t="n">
        <x:f>O968-P968</x:f>
        <x:v>0</x:v>
      </x:c>
      <x:c r="R968" s="11" t="n">
        <x:f>IF(D968="Completed",I968,0)</x:f>
        <x:v>0</x:v>
      </x:c>
      <x:c r="S968" s="11" t="n">
        <x:f>IF(D968="Completed",L968,0)</x:f>
        <x:v>0</x:v>
      </x:c>
      <x:c r="T968" s="8" t="n">
        <x:f>DATE(YEAR(C968),MONTH(C968),1)</x:f>
        <x:v>45931</x:v>
      </x:c>
    </x:row>
    <x:row r="969" ht="22" customHeight="1">
      <x:c r="A969" s="2" t="str">
        <x:v>L000965</x:v>
      </x:c>
      <x:c r="B969" s="2" t="str">
        <x:v>O00394</x:v>
      </x:c>
      <x:c r="C969" s="7" t="n">
        <x:v>45949</x:v>
      </x:c>
      <x:c r="D969" s="2" t="str">
        <x:v>Cancelled</x:v>
      </x:c>
      <x:c r="E969" s="2" t="str">
        <x:v>West</x:v>
      </x:c>
      <x:c r="F969" s="2" t="str">
        <x:v>Store</x:v>
      </x:c>
      <x:c r="G969" s="2" t="str">
        <x:v>Furniture</x:v>
      </x:c>
      <x:c r="H969" s="2" t="str">
        <x:v>Chair 006</x:v>
      </x:c>
      <x:c r="I969" s="11" t="n">
        <x:v>1</x:v>
      </x:c>
      <x:c r="J969" s="9" t="n">
        <x:v>196</x:v>
      </x:c>
      <x:c r="K969" s="10" t="n">
        <x:v>0.1</x:v>
      </x:c>
      <x:c r="L969" s="11" t="n">
        <x:v>0</x:v>
      </x:c>
      <x:c r="M969" s="9" t="n">
        <x:f>IF(D969="Completed",I969*J969,0)</x:f>
        <x:v>0</x:v>
      </x:c>
      <x:c r="N969" s="9" t="n">
        <x:f>M969*K969</x:f>
        <x:v>0</x:v>
      </x:c>
      <x:c r="O969" s="9" t="n">
        <x:f>M969-N969</x:f>
        <x:v>0</x:v>
      </x:c>
      <x:c r="P969" s="9" t="n">
        <x:f>IF(D969="Completed",L969*J969*(1-K969),0)</x:f>
        <x:v>0</x:v>
      </x:c>
      <x:c r="Q969" s="9" t="n">
        <x:f>O969-P969</x:f>
        <x:v>0</x:v>
      </x:c>
      <x:c r="R969" s="11" t="n">
        <x:f>IF(D969="Completed",I969,0)</x:f>
        <x:v>0</x:v>
      </x:c>
      <x:c r="S969" s="11" t="n">
        <x:f>IF(D969="Completed",L969,0)</x:f>
        <x:v>0</x:v>
      </x:c>
      <x:c r="T969" s="8" t="n">
        <x:f>DATE(YEAR(C969),MONTH(C969),1)</x:f>
        <x:v>45931</x:v>
      </x:c>
    </x:row>
    <x:row r="970" ht="22" customHeight="1">
      <x:c r="A970" s="2" t="str">
        <x:v>L000966</x:v>
      </x:c>
      <x:c r="B970" s="2" t="str">
        <x:v>O00394</x:v>
      </x:c>
      <x:c r="C970" s="7" t="n">
        <x:v>45949</x:v>
      </x:c>
      <x:c r="D970" s="2" t="str">
        <x:v>Cancelled</x:v>
      </x:c>
      <x:c r="E970" s="2" t="str">
        <x:v>West</x:v>
      </x:c>
      <x:c r="F970" s="2" t="str">
        <x:v>Store</x:v>
      </x:c>
      <x:c r="G970" s="2" t="str">
        <x:v>Storage</x:v>
      </x:c>
      <x:c r="H970" s="2" t="str">
        <x:v>Shelf 011</x:v>
      </x:c>
      <x:c r="I970" s="11" t="n">
        <x:v>1</x:v>
      </x:c>
      <x:c r="J970" s="9" t="n">
        <x:v>80</x:v>
      </x:c>
      <x:c r="K970" s="10" t="n">
        <x:v>0.05</x:v>
      </x:c>
      <x:c r="L970" s="11" t="n">
        <x:v>0</x:v>
      </x:c>
      <x:c r="M970" s="9" t="n">
        <x:f>IF(D970="Completed",I970*J970,0)</x:f>
        <x:v>0</x:v>
      </x:c>
      <x:c r="N970" s="9" t="n">
        <x:f>M970*K970</x:f>
        <x:v>0</x:v>
      </x:c>
      <x:c r="O970" s="9" t="n">
        <x:f>M970-N970</x:f>
        <x:v>0</x:v>
      </x:c>
      <x:c r="P970" s="9" t="n">
        <x:f>IF(D970="Completed",L970*J970*(1-K970),0)</x:f>
        <x:v>0</x:v>
      </x:c>
      <x:c r="Q970" s="9" t="n">
        <x:f>O970-P970</x:f>
        <x:v>0</x:v>
      </x:c>
      <x:c r="R970" s="11" t="n">
        <x:f>IF(D970="Completed",I970,0)</x:f>
        <x:v>0</x:v>
      </x:c>
      <x:c r="S970" s="11" t="n">
        <x:f>IF(D970="Completed",L970,0)</x:f>
        <x:v>0</x:v>
      </x:c>
      <x:c r="T970" s="8" t="n">
        <x:f>DATE(YEAR(C970),MONTH(C970),1)</x:f>
        <x:v>45931</x:v>
      </x:c>
    </x:row>
    <x:row r="971" ht="22" customHeight="1">
      <x:c r="A971" s="2" t="str">
        <x:v>L000967</x:v>
      </x:c>
      <x:c r="B971" s="2" t="str">
        <x:v>O00394</x:v>
      </x:c>
      <x:c r="C971" s="7" t="n">
        <x:v>45949</x:v>
      </x:c>
      <x:c r="D971" s="2" t="str">
        <x:v>Cancelled</x:v>
      </x:c>
      <x:c r="E971" s="2" t="str">
        <x:v>West</x:v>
      </x:c>
      <x:c r="F971" s="2" t="str">
        <x:v>Store</x:v>
      </x:c>
      <x:c r="G971" s="2" t="str">
        <x:v>Furniture</x:v>
      </x:c>
      <x:c r="H971" s="2" t="str">
        <x:v>Chair 010</x:v>
      </x:c>
      <x:c r="I971" s="11" t="n">
        <x:v>4</x:v>
      </x:c>
      <x:c r="J971" s="9" t="n">
        <x:v>211</x:v>
      </x:c>
      <x:c r="K971" s="10" t="n">
        <x:v>0.1</x:v>
      </x:c>
      <x:c r="L971" s="11" t="n">
        <x:v>0</x:v>
      </x:c>
      <x:c r="M971" s="9" t="n">
        <x:f>IF(D971="Completed",I971*J971,0)</x:f>
        <x:v>0</x:v>
      </x:c>
      <x:c r="N971" s="9" t="n">
        <x:f>M971*K971</x:f>
        <x:v>0</x:v>
      </x:c>
      <x:c r="O971" s="9" t="n">
        <x:f>M971-N971</x:f>
        <x:v>0</x:v>
      </x:c>
      <x:c r="P971" s="9" t="n">
        <x:f>IF(D971="Completed",L971*J971*(1-K971),0)</x:f>
        <x:v>0</x:v>
      </x:c>
      <x:c r="Q971" s="9" t="n">
        <x:f>O971-P971</x:f>
        <x:v>0</x:v>
      </x:c>
      <x:c r="R971" s="11" t="n">
        <x:f>IF(D971="Completed",I971,0)</x:f>
        <x:v>0</x:v>
      </x:c>
      <x:c r="S971" s="11" t="n">
        <x:f>IF(D971="Completed",L971,0)</x:f>
        <x:v>0</x:v>
      </x:c>
      <x:c r="T971" s="8" t="n">
        <x:f>DATE(YEAR(C971),MONTH(C971),1)</x:f>
        <x:v>45931</x:v>
      </x:c>
    </x:row>
    <x:row r="972" ht="22" customHeight="1">
      <x:c r="A972" s="2" t="str">
        <x:v>L000968</x:v>
      </x:c>
      <x:c r="B972" s="2" t="str">
        <x:v>O00395</x:v>
      </x:c>
      <x:c r="C972" s="7" t="n">
        <x:v>45678</x:v>
      </x:c>
      <x:c r="D972" s="2" t="str">
        <x:v>Completed</x:v>
      </x:c>
      <x:c r="E972" s="2" t="str">
        <x:v>East</x:v>
      </x:c>
      <x:c r="F972" s="2" t="str">
        <x:v>Store</x:v>
      </x:c>
      <x:c r="G972" s="2" t="str">
        <x:v>Storage</x:v>
      </x:c>
      <x:c r="H972" s="2" t="str">
        <x:v>Shelf 019</x:v>
      </x:c>
      <x:c r="I972" s="11" t="n">
        <x:v>5</x:v>
      </x:c>
      <x:c r="J972" s="9" t="n">
        <x:v>78</x:v>
      </x:c>
      <x:c r="K972" s="10" t="n">
        <x:v>0.2</x:v>
      </x:c>
      <x:c r="L972" s="11" t="n">
        <x:v>0</x:v>
      </x:c>
      <x:c r="M972" s="9" t="n">
        <x:f>IF(D972="Completed",I972*J972,0)</x:f>
        <x:v>390</x:v>
      </x:c>
      <x:c r="N972" s="9" t="n">
        <x:f>M972*K972</x:f>
        <x:v>78</x:v>
      </x:c>
      <x:c r="O972" s="9" t="n">
        <x:f>M972-N972</x:f>
        <x:v>312</x:v>
      </x:c>
      <x:c r="P972" s="9" t="n">
        <x:f>IF(D972="Completed",L972*J972*(1-K972),0)</x:f>
        <x:v>0</x:v>
      </x:c>
      <x:c r="Q972" s="9" t="n">
        <x:f>O972-P972</x:f>
        <x:v>312</x:v>
      </x:c>
      <x:c r="R972" s="11" t="n">
        <x:f>IF(D972="Completed",I972,0)</x:f>
        <x:v>5</x:v>
      </x:c>
      <x:c r="S972" s="11" t="n">
        <x:f>IF(D972="Completed",L972,0)</x:f>
        <x:v>0</x:v>
      </x:c>
      <x:c r="T972" s="8" t="n">
        <x:f>DATE(YEAR(C972),MONTH(C972),1)</x:f>
        <x:v>45658</x:v>
      </x:c>
    </x:row>
    <x:row r="973" ht="22" customHeight="1">
      <x:c r="A973" s="2" t="str">
        <x:v>L000969</x:v>
      </x:c>
      <x:c r="B973" s="2" t="str">
        <x:v>O00395</x:v>
      </x:c>
      <x:c r="C973" s="7" t="n">
        <x:v>45678</x:v>
      </x:c>
      <x:c r="D973" s="2" t="str">
        <x:v>Completed</x:v>
      </x:c>
      <x:c r="E973" s="2" t="str">
        <x:v>East</x:v>
      </x:c>
      <x:c r="F973" s="2" t="str">
        <x:v>Store</x:v>
      </x:c>
      <x:c r="G973" s="2" t="str">
        <x:v>Furniture</x:v>
      </x:c>
      <x:c r="H973" s="2" t="str">
        <x:v>Chair 002</x:v>
      </x:c>
      <x:c r="I973" s="11" t="n">
        <x:v>3</x:v>
      </x:c>
      <x:c r="J973" s="9" t="n">
        <x:v>284</x:v>
      </x:c>
      <x:c r="K973" s="10" t="n">
        <x:v>0.2</x:v>
      </x:c>
      <x:c r="L973" s="11" t="n">
        <x:v>0</x:v>
      </x:c>
      <x:c r="M973" s="9" t="n">
        <x:f>IF(D973="Completed",I973*J973,0)</x:f>
        <x:v>852</x:v>
      </x:c>
      <x:c r="N973" s="9" t="n">
        <x:f>M973*K973</x:f>
        <x:v>170.4</x:v>
      </x:c>
      <x:c r="O973" s="9" t="n">
        <x:f>M973-N973</x:f>
        <x:v>681.6</x:v>
      </x:c>
      <x:c r="P973" s="9" t="n">
        <x:f>IF(D973="Completed",L973*J973*(1-K973),0)</x:f>
        <x:v>0</x:v>
      </x:c>
      <x:c r="Q973" s="9" t="n">
        <x:f>O973-P973</x:f>
        <x:v>681.6</x:v>
      </x:c>
      <x:c r="R973" s="11" t="n">
        <x:f>IF(D973="Completed",I973,0)</x:f>
        <x:v>3</x:v>
      </x:c>
      <x:c r="S973" s="11" t="n">
        <x:f>IF(D973="Completed",L973,0)</x:f>
        <x:v>0</x:v>
      </x:c>
      <x:c r="T973" s="8" t="n">
        <x:f>DATE(YEAR(C973),MONTH(C973),1)</x:f>
        <x:v>45658</x:v>
      </x:c>
    </x:row>
    <x:row r="974" ht="22" customHeight="1">
      <x:c r="A974" s="2" t="str">
        <x:v>L000970</x:v>
      </x:c>
      <x:c r="B974" s="2" t="str">
        <x:v>O00395</x:v>
      </x:c>
      <x:c r="C974" s="7" t="n">
        <x:v>45678</x:v>
      </x:c>
      <x:c r="D974" s="2" t="str">
        <x:v>Completed</x:v>
      </x:c>
      <x:c r="E974" s="2" t="str">
        <x:v>East</x:v>
      </x:c>
      <x:c r="F974" s="2" t="str">
        <x:v>Store</x:v>
      </x:c>
      <x:c r="G974" s="2" t="str">
        <x:v>Storage</x:v>
      </x:c>
      <x:c r="H974" s="2" t="str">
        <x:v>Shelf 023</x:v>
      </x:c>
      <x:c r="I974" s="11" t="n">
        <x:v>1</x:v>
      </x:c>
      <x:c r="J974" s="9" t="n">
        <x:v>68</x:v>
      </x:c>
      <x:c r="K974" s="10" t="n">
        <x:v>0</x:v>
      </x:c>
      <x:c r="L974" s="11" t="n">
        <x:v>1</x:v>
      </x:c>
      <x:c r="M974" s="9" t="n">
        <x:f>IF(D974="Completed",I974*J974,0)</x:f>
        <x:v>68</x:v>
      </x:c>
      <x:c r="N974" s="9" t="n">
        <x:f>M974*K974</x:f>
        <x:v>0</x:v>
      </x:c>
      <x:c r="O974" s="9" t="n">
        <x:f>M974-N974</x:f>
        <x:v>68</x:v>
      </x:c>
      <x:c r="P974" s="9" t="n">
        <x:f>IF(D974="Completed",L974*J974*(1-K974),0)</x:f>
        <x:v>68</x:v>
      </x:c>
      <x:c r="Q974" s="9" t="n">
        <x:f>O974-P974</x:f>
        <x:v>0</x:v>
      </x:c>
      <x:c r="R974" s="11" t="n">
        <x:f>IF(D974="Completed",I974,0)</x:f>
        <x:v>1</x:v>
      </x:c>
      <x:c r="S974" s="11" t="n">
        <x:f>IF(D974="Completed",L974,0)</x:f>
        <x:v>1</x:v>
      </x:c>
      <x:c r="T974" s="8" t="n">
        <x:f>DATE(YEAR(C974),MONTH(C974),1)</x:f>
        <x:v>45658</x:v>
      </x:c>
    </x:row>
    <x:row r="975" ht="22" customHeight="1">
      <x:c r="A975" s="2" t="str">
        <x:v>L000971</x:v>
      </x:c>
      <x:c r="B975" s="2" t="str">
        <x:v>O00395</x:v>
      </x:c>
      <x:c r="C975" s="7" t="n">
        <x:v>45678</x:v>
      </x:c>
      <x:c r="D975" s="2" t="str">
        <x:v>Completed</x:v>
      </x:c>
      <x:c r="E975" s="2" t="str">
        <x:v>East</x:v>
      </x:c>
      <x:c r="F975" s="2" t="str">
        <x:v>Store</x:v>
      </x:c>
      <x:c r="G975" s="2" t="str">
        <x:v>Furniture</x:v>
      </x:c>
      <x:c r="H975" s="2" t="str">
        <x:v>Desk 008</x:v>
      </x:c>
      <x:c r="I975" s="11" t="n">
        <x:v>5</x:v>
      </x:c>
      <x:c r="J975" s="9" t="n">
        <x:v>188</x:v>
      </x:c>
      <x:c r="K975" s="10" t="n">
        <x:v>0.1</x:v>
      </x:c>
      <x:c r="L975" s="11" t="n">
        <x:v>0</x:v>
      </x:c>
      <x:c r="M975" s="9" t="n">
        <x:f>IF(D975="Completed",I975*J975,0)</x:f>
        <x:v>940</x:v>
      </x:c>
      <x:c r="N975" s="9" t="n">
        <x:f>M975*K975</x:f>
        <x:v>94</x:v>
      </x:c>
      <x:c r="O975" s="9" t="n">
        <x:f>M975-N975</x:f>
        <x:v>846</x:v>
      </x:c>
      <x:c r="P975" s="9" t="n">
        <x:f>IF(D975="Completed",L975*J975*(1-K975),0)</x:f>
        <x:v>0</x:v>
      </x:c>
      <x:c r="Q975" s="9" t="n">
        <x:f>O975-P975</x:f>
        <x:v>846</x:v>
      </x:c>
      <x:c r="R975" s="11" t="n">
        <x:f>IF(D975="Completed",I975,0)</x:f>
        <x:v>5</x:v>
      </x:c>
      <x:c r="S975" s="11" t="n">
        <x:f>IF(D975="Completed",L975,0)</x:f>
        <x:v>0</x:v>
      </x:c>
      <x:c r="T975" s="8" t="n">
        <x:f>DATE(YEAR(C975),MONTH(C975),1)</x:f>
        <x:v>45658</x:v>
      </x:c>
    </x:row>
    <x:row r="976" ht="22" customHeight="1">
      <x:c r="A976" s="2" t="str">
        <x:v>L000972</x:v>
      </x:c>
      <x:c r="B976" s="2" t="str">
        <x:v>O00396</x:v>
      </x:c>
      <x:c r="C976" s="7" t="n">
        <x:v>45968</x:v>
      </x:c>
      <x:c r="D976" s="2" t="str">
        <x:v>Completed</x:v>
      </x:c>
      <x:c r="E976" s="2" t="str">
        <x:v>West</x:v>
      </x:c>
      <x:c r="F976" s="2" t="str">
        <x:v>Online</x:v>
      </x:c>
      <x:c r="G976" s="2" t="str">
        <x:v>Lighting</x:v>
      </x:c>
      <x:c r="H976" s="2" t="str">
        <x:v>Lamp 001</x:v>
      </x:c>
      <x:c r="I976" s="11" t="n">
        <x:v>4</x:v>
      </x:c>
      <x:c r="J976" s="9" t="n">
        <x:v>122</x:v>
      </x:c>
      <x:c r="K976" s="10" t="n">
        <x:v>0</x:v>
      </x:c>
      <x:c r="L976" s="11" t="n">
        <x:v>0</x:v>
      </x:c>
      <x:c r="M976" s="9" t="n">
        <x:f>IF(D976="Completed",I976*J976,0)</x:f>
        <x:v>488</x:v>
      </x:c>
      <x:c r="N976" s="9" t="n">
        <x:f>M976*K976</x:f>
        <x:v>0</x:v>
      </x:c>
      <x:c r="O976" s="9" t="n">
        <x:f>M976-N976</x:f>
        <x:v>488</x:v>
      </x:c>
      <x:c r="P976" s="9" t="n">
        <x:f>IF(D976="Completed",L976*J976*(1-K976),0)</x:f>
        <x:v>0</x:v>
      </x:c>
      <x:c r="Q976" s="9" t="n">
        <x:f>O976-P976</x:f>
        <x:v>488</x:v>
      </x:c>
      <x:c r="R976" s="11" t="n">
        <x:f>IF(D976="Completed",I976,0)</x:f>
        <x:v>4</x:v>
      </x:c>
      <x:c r="S976" s="11" t="n">
        <x:f>IF(D976="Completed",L976,0)</x:f>
        <x:v>0</x:v>
      </x:c>
      <x:c r="T976" s="8" t="n">
        <x:f>DATE(YEAR(C976),MONTH(C976),1)</x:f>
        <x:v>45962</x:v>
      </x:c>
    </x:row>
    <x:row r="977" ht="22" customHeight="1">
      <x:c r="A977" s="2" t="str">
        <x:v>L000973</x:v>
      </x:c>
      <x:c r="B977" s="2" t="str">
        <x:v>O00396</x:v>
      </x:c>
      <x:c r="C977" s="7" t="n">
        <x:v>45968</x:v>
      </x:c>
      <x:c r="D977" s="2" t="str">
        <x:v>Completed</x:v>
      </x:c>
      <x:c r="E977" s="2" t="str">
        <x:v>West</x:v>
      </x:c>
      <x:c r="F977" s="2" t="str">
        <x:v>Online</x:v>
      </x:c>
      <x:c r="G977" s="2" t="str">
        <x:v>Furniture</x:v>
      </x:c>
      <x:c r="H977" s="2" t="str">
        <x:v>Chair 018</x:v>
      </x:c>
      <x:c r="I977" s="11" t="n">
        <x:v>5</x:v>
      </x:c>
      <x:c r="J977" s="9" t="n">
        <x:v>269</x:v>
      </x:c>
      <x:c r="K977" s="10" t="n">
        <x:v>0.05</x:v>
      </x:c>
      <x:c r="L977" s="11" t="n">
        <x:v>0</x:v>
      </x:c>
      <x:c r="M977" s="9" t="n">
        <x:f>IF(D977="Completed",I977*J977,0)</x:f>
        <x:v>1345</x:v>
      </x:c>
      <x:c r="N977" s="9" t="n">
        <x:f>M977*K977</x:f>
        <x:v>67.25</x:v>
      </x:c>
      <x:c r="O977" s="9" t="n">
        <x:f>M977-N977</x:f>
        <x:v>1277.75</x:v>
      </x:c>
      <x:c r="P977" s="9" t="n">
        <x:f>IF(D977="Completed",L977*J977*(1-K977),0)</x:f>
        <x:v>0</x:v>
      </x:c>
      <x:c r="Q977" s="9" t="n">
        <x:f>O977-P977</x:f>
        <x:v>1277.75</x:v>
      </x:c>
      <x:c r="R977" s="11" t="n">
        <x:f>IF(D977="Completed",I977,0)</x:f>
        <x:v>5</x:v>
      </x:c>
      <x:c r="S977" s="11" t="n">
        <x:f>IF(D977="Completed",L977,0)</x:f>
        <x:v>0</x:v>
      </x:c>
      <x:c r="T977" s="8" t="n">
        <x:f>DATE(YEAR(C977),MONTH(C977),1)</x:f>
        <x:v>45962</x:v>
      </x:c>
    </x:row>
    <x:row r="978" ht="22" customHeight="1">
      <x:c r="A978" s="2" t="str">
        <x:v>L000974</x:v>
      </x:c>
      <x:c r="B978" s="2" t="str">
        <x:v>O00396</x:v>
      </x:c>
      <x:c r="C978" s="7" t="n">
        <x:v>45968</x:v>
      </x:c>
      <x:c r="D978" s="2" t="str">
        <x:v>Completed</x:v>
      </x:c>
      <x:c r="E978" s="2" t="str">
        <x:v>West</x:v>
      </x:c>
      <x:c r="F978" s="2" t="str">
        <x:v>Online</x:v>
      </x:c>
      <x:c r="G978" s="2" t="str">
        <x:v>Lighting</x:v>
      </x:c>
      <x:c r="H978" s="2" t="str">
        <x:v>Lamp 013</x:v>
      </x:c>
      <x:c r="I978" s="11" t="n">
        <x:v>2</x:v>
      </x:c>
      <x:c r="J978" s="9" t="n">
        <x:v>271</x:v>
      </x:c>
      <x:c r="K978" s="10" t="n">
        <x:v>0.05</x:v>
      </x:c>
      <x:c r="L978" s="11" t="n">
        <x:v>0</x:v>
      </x:c>
      <x:c r="M978" s="9" t="n">
        <x:f>IF(D978="Completed",I978*J978,0)</x:f>
        <x:v>542</x:v>
      </x:c>
      <x:c r="N978" s="9" t="n">
        <x:f>M978*K978</x:f>
        <x:v>27.1</x:v>
      </x:c>
      <x:c r="O978" s="9" t="n">
        <x:f>M978-N978</x:f>
        <x:v>514.9</x:v>
      </x:c>
      <x:c r="P978" s="9" t="n">
        <x:f>IF(D978="Completed",L978*J978*(1-K978),0)</x:f>
        <x:v>0</x:v>
      </x:c>
      <x:c r="Q978" s="9" t="n">
        <x:f>O978-P978</x:f>
        <x:v>514.9</x:v>
      </x:c>
      <x:c r="R978" s="11" t="n">
        <x:f>IF(D978="Completed",I978,0)</x:f>
        <x:v>2</x:v>
      </x:c>
      <x:c r="S978" s="11" t="n">
        <x:f>IF(D978="Completed",L978,0)</x:f>
        <x:v>0</x:v>
      </x:c>
      <x:c r="T978" s="8" t="n">
        <x:f>DATE(YEAR(C978),MONTH(C978),1)</x:f>
        <x:v>45962</x:v>
      </x:c>
    </x:row>
    <x:row r="979" ht="22" customHeight="1">
      <x:c r="A979" s="2" t="str">
        <x:v>L000975</x:v>
      </x:c>
      <x:c r="B979" s="2" t="str">
        <x:v>O00396</x:v>
      </x:c>
      <x:c r="C979" s="7" t="n">
        <x:v>45968</x:v>
      </x:c>
      <x:c r="D979" s="2" t="str">
        <x:v>Completed</x:v>
      </x:c>
      <x:c r="E979" s="2" t="str">
        <x:v>West</x:v>
      </x:c>
      <x:c r="F979" s="2" t="str">
        <x:v>Online</x:v>
      </x:c>
      <x:c r="G979" s="2" t="str">
        <x:v>Furniture</x:v>
      </x:c>
      <x:c r="H979" s="2" t="str">
        <x:v>Chair 014</x:v>
      </x:c>
      <x:c r="I979" s="11" t="n">
        <x:v>4</x:v>
      </x:c>
      <x:c r="J979" s="9" t="n">
        <x:v>294</x:v>
      </x:c>
      <x:c r="K979" s="10" t="n">
        <x:v>0.05</x:v>
      </x:c>
      <x:c r="L979" s="11" t="n">
        <x:v>0</x:v>
      </x:c>
      <x:c r="M979" s="9" t="n">
        <x:f>IF(D979="Completed",I979*J979,0)</x:f>
        <x:v>1176</x:v>
      </x:c>
      <x:c r="N979" s="9" t="n">
        <x:f>M979*K979</x:f>
        <x:v>58.800000000000004</x:v>
      </x:c>
      <x:c r="O979" s="9" t="n">
        <x:f>M979-N979</x:f>
        <x:v>1117.2</x:v>
      </x:c>
      <x:c r="P979" s="9" t="n">
        <x:f>IF(D979="Completed",L979*J979*(1-K979),0)</x:f>
        <x:v>0</x:v>
      </x:c>
      <x:c r="Q979" s="9" t="n">
        <x:f>O979-P979</x:f>
        <x:v>1117.2</x:v>
      </x:c>
      <x:c r="R979" s="11" t="n">
        <x:f>IF(D979="Completed",I979,0)</x:f>
        <x:v>4</x:v>
      </x:c>
      <x:c r="S979" s="11" t="n">
        <x:f>IF(D979="Completed",L979,0)</x:f>
        <x:v>0</x:v>
      </x:c>
      <x:c r="T979" s="8" t="n">
        <x:f>DATE(YEAR(C979),MONTH(C979),1)</x:f>
        <x:v>45962</x:v>
      </x:c>
    </x:row>
    <x:row r="980" ht="22" customHeight="1">
      <x:c r="A980" s="2" t="str">
        <x:v>L000976</x:v>
      </x:c>
      <x:c r="B980" s="2" t="str">
        <x:v>O00397</x:v>
      </x:c>
      <x:c r="C980" s="7" t="n">
        <x:v>45948</x:v>
      </x:c>
      <x:c r="D980" s="2" t="str">
        <x:v>Completed</x:v>
      </x:c>
      <x:c r="E980" s="2" t="str">
        <x:v>East</x:v>
      </x:c>
      <x:c r="F980" s="2" t="str">
        <x:v>Store</x:v>
      </x:c>
      <x:c r="G980" s="2" t="str">
        <x:v>Furniture</x:v>
      </x:c>
      <x:c r="H980" s="2" t="str">
        <x:v>Desk 016</x:v>
      </x:c>
      <x:c r="I980" s="11" t="n">
        <x:v>3</x:v>
      </x:c>
      <x:c r="J980" s="9" t="n">
        <x:v>231</x:v>
      </x:c>
      <x:c r="K980" s="10" t="n">
        <x:v>0.1</x:v>
      </x:c>
      <x:c r="L980" s="11" t="n">
        <x:v>0</x:v>
      </x:c>
      <x:c r="M980" s="9" t="n">
        <x:f>IF(D980="Completed",I980*J980,0)</x:f>
        <x:v>693</x:v>
      </x:c>
      <x:c r="N980" s="9" t="n">
        <x:f>M980*K980</x:f>
        <x:v>69.3</x:v>
      </x:c>
      <x:c r="O980" s="9" t="n">
        <x:f>M980-N980</x:f>
        <x:v>623.7</x:v>
      </x:c>
      <x:c r="P980" s="9" t="n">
        <x:f>IF(D980="Completed",L980*J980*(1-K980),0)</x:f>
        <x:v>0</x:v>
      </x:c>
      <x:c r="Q980" s="9" t="n">
        <x:f>O980-P980</x:f>
        <x:v>623.7</x:v>
      </x:c>
      <x:c r="R980" s="11" t="n">
        <x:f>IF(D980="Completed",I980,0)</x:f>
        <x:v>3</x:v>
      </x:c>
      <x:c r="S980" s="11" t="n">
        <x:f>IF(D980="Completed",L980,0)</x:f>
        <x:v>0</x:v>
      </x:c>
      <x:c r="T980" s="8" t="n">
        <x:f>DATE(YEAR(C980),MONTH(C980),1)</x:f>
        <x:v>45931</x:v>
      </x:c>
    </x:row>
    <x:row r="981" ht="22" customHeight="1">
      <x:c r="A981" s="2" t="str">
        <x:v>L000977</x:v>
      </x:c>
      <x:c r="B981" s="2" t="str">
        <x:v>O00397</x:v>
      </x:c>
      <x:c r="C981" s="7" t="n">
        <x:v>45948</x:v>
      </x:c>
      <x:c r="D981" s="2" t="str">
        <x:v>Completed</x:v>
      </x:c>
      <x:c r="E981" s="2" t="str">
        <x:v>East</x:v>
      </x:c>
      <x:c r="F981" s="2" t="str">
        <x:v>Store</x:v>
      </x:c>
      <x:c r="G981" s="2" t="str">
        <x:v>Furniture</x:v>
      </x:c>
      <x:c r="H981" s="2" t="str">
        <x:v>Desk 008</x:v>
      </x:c>
      <x:c r="I981" s="11" t="n">
        <x:v>4</x:v>
      </x:c>
      <x:c r="J981" s="9" t="n">
        <x:v>188</x:v>
      </x:c>
      <x:c r="K981" s="10" t="n">
        <x:v>0.1</x:v>
      </x:c>
      <x:c r="L981" s="11" t="n">
        <x:v>0</x:v>
      </x:c>
      <x:c r="M981" s="9" t="n">
        <x:f>IF(D981="Completed",I981*J981,0)</x:f>
        <x:v>752</x:v>
      </x:c>
      <x:c r="N981" s="9" t="n">
        <x:f>M981*K981</x:f>
        <x:v>75.2</x:v>
      </x:c>
      <x:c r="O981" s="9" t="n">
        <x:f>M981-N981</x:f>
        <x:v>676.8</x:v>
      </x:c>
      <x:c r="P981" s="9" t="n">
        <x:f>IF(D981="Completed",L981*J981*(1-K981),0)</x:f>
        <x:v>0</x:v>
      </x:c>
      <x:c r="Q981" s="9" t="n">
        <x:f>O981-P981</x:f>
        <x:v>676.8</x:v>
      </x:c>
      <x:c r="R981" s="11" t="n">
        <x:f>IF(D981="Completed",I981,0)</x:f>
        <x:v>4</x:v>
      </x:c>
      <x:c r="S981" s="11" t="n">
        <x:f>IF(D981="Completed",L981,0)</x:f>
        <x:v>0</x:v>
      </x:c>
      <x:c r="T981" s="8" t="n">
        <x:f>DATE(YEAR(C981),MONTH(C981),1)</x:f>
        <x:v>45931</x:v>
      </x:c>
    </x:row>
    <x:row r="982" ht="22" customHeight="1">
      <x:c r="A982" s="2" t="str">
        <x:v>L000978</x:v>
      </x:c>
      <x:c r="B982" s="2" t="str">
        <x:v>O00398</x:v>
      </x:c>
      <x:c r="C982" s="7" t="n">
        <x:v>45856</x:v>
      </x:c>
      <x:c r="D982" s="2" t="str">
        <x:v>Completed</x:v>
      </x:c>
      <x:c r="E982" s="2" t="str">
        <x:v>North</x:v>
      </x:c>
      <x:c r="F982" s="2" t="str">
        <x:v>Online</x:v>
      </x:c>
      <x:c r="G982" s="2" t="str">
        <x:v>Furniture</x:v>
      </x:c>
      <x:c r="H982" s="2" t="str">
        <x:v>Chair 022</x:v>
      </x:c>
      <x:c r="I982" s="11" t="n">
        <x:v>3</x:v>
      </x:c>
      <x:c r="J982" s="9" t="n">
        <x:v>134</x:v>
      </x:c>
      <x:c r="K982" s="10" t="n">
        <x:v>0.2</x:v>
      </x:c>
      <x:c r="L982" s="11" t="n">
        <x:v>0</x:v>
      </x:c>
      <x:c r="M982" s="9" t="n">
        <x:f>IF(D982="Completed",I982*J982,0)</x:f>
        <x:v>402</x:v>
      </x:c>
      <x:c r="N982" s="9" t="n">
        <x:f>M982*K982</x:f>
        <x:v>80.4</x:v>
      </x:c>
      <x:c r="O982" s="9" t="n">
        <x:f>M982-N982</x:f>
        <x:v>321.6</x:v>
      </x:c>
      <x:c r="P982" s="9" t="n">
        <x:f>IF(D982="Completed",L982*J982*(1-K982),0)</x:f>
        <x:v>0</x:v>
      </x:c>
      <x:c r="Q982" s="9" t="n">
        <x:f>O982-P982</x:f>
        <x:v>321.6</x:v>
      </x:c>
      <x:c r="R982" s="11" t="n">
        <x:f>IF(D982="Completed",I982,0)</x:f>
        <x:v>3</x:v>
      </x:c>
      <x:c r="S982" s="11" t="n">
        <x:f>IF(D982="Completed",L982,0)</x:f>
        <x:v>0</x:v>
      </x:c>
      <x:c r="T982" s="8" t="n">
        <x:f>DATE(YEAR(C982),MONTH(C982),1)</x:f>
        <x:v>45839</x:v>
      </x:c>
    </x:row>
    <x:row r="983" ht="22" customHeight="1">
      <x:c r="A983" s="2" t="str">
        <x:v>L000979</x:v>
      </x:c>
      <x:c r="B983" s="2" t="str">
        <x:v>O00399</x:v>
      </x:c>
      <x:c r="C983" s="7" t="n">
        <x:v>45739</x:v>
      </x:c>
      <x:c r="D983" s="2" t="str">
        <x:v>Completed</x:v>
      </x:c>
      <x:c r="E983" s="2" t="str">
        <x:v>East</x:v>
      </x:c>
      <x:c r="F983" s="2" t="str">
        <x:v>Store</x:v>
      </x:c>
      <x:c r="G983" s="2" t="str">
        <x:v>Storage</x:v>
      </x:c>
      <x:c r="H983" s="2" t="str">
        <x:v>Shelf 003</x:v>
      </x:c>
      <x:c r="I983" s="11" t="n">
        <x:v>5</x:v>
      </x:c>
      <x:c r="J983" s="9" t="n">
        <x:v>199</x:v>
      </x:c>
      <x:c r="K983" s="10" t="n">
        <x:v>0.1</x:v>
      </x:c>
      <x:c r="L983" s="11" t="n">
        <x:v>5</x:v>
      </x:c>
      <x:c r="M983" s="9" t="n">
        <x:f>IF(D983="Completed",I983*J983,0)</x:f>
        <x:v>995</x:v>
      </x:c>
      <x:c r="N983" s="9" t="n">
        <x:f>M983*K983</x:f>
        <x:v>99.5</x:v>
      </x:c>
      <x:c r="O983" s="9" t="n">
        <x:f>M983-N983</x:f>
        <x:v>895.5</x:v>
      </x:c>
      <x:c r="P983" s="9" t="n">
        <x:f>IF(D983="Completed",L983*J983*(1-K983),0)</x:f>
        <x:v>895.5</x:v>
      </x:c>
      <x:c r="Q983" s="9" t="n">
        <x:f>O983-P983</x:f>
        <x:v>0</x:v>
      </x:c>
      <x:c r="R983" s="11" t="n">
        <x:f>IF(D983="Completed",I983,0)</x:f>
        <x:v>5</x:v>
      </x:c>
      <x:c r="S983" s="11" t="n">
        <x:f>IF(D983="Completed",L983,0)</x:f>
        <x:v>5</x:v>
      </x:c>
      <x:c r="T983" s="8" t="n">
        <x:f>DATE(YEAR(C983),MONTH(C983),1)</x:f>
        <x:v>45717</x:v>
      </x:c>
    </x:row>
    <x:row r="984" ht="22" customHeight="1">
      <x:c r="A984" s="2" t="str">
        <x:v>L000980</x:v>
      </x:c>
      <x:c r="B984" s="2" t="str">
        <x:v>O00399</x:v>
      </x:c>
      <x:c r="C984" s="7" t="n">
        <x:v>45739</x:v>
      </x:c>
      <x:c r="D984" s="2" t="str">
        <x:v>Completed</x:v>
      </x:c>
      <x:c r="E984" s="2" t="str">
        <x:v>East</x:v>
      </x:c>
      <x:c r="F984" s="2" t="str">
        <x:v>Store</x:v>
      </x:c>
      <x:c r="G984" s="2" t="str">
        <x:v>Furniture</x:v>
      </x:c>
      <x:c r="H984" s="2" t="str">
        <x:v>Chair 018</x:v>
      </x:c>
      <x:c r="I984" s="11" t="n">
        <x:v>4</x:v>
      </x:c>
      <x:c r="J984" s="9" t="n">
        <x:v>269</x:v>
      </x:c>
      <x:c r="K984" s="10" t="n">
        <x:v>0.2</x:v>
      </x:c>
      <x:c r="L984" s="11" t="n">
        <x:v>0</x:v>
      </x:c>
      <x:c r="M984" s="9" t="n">
        <x:f>IF(D984="Completed",I984*J984,0)</x:f>
        <x:v>1076</x:v>
      </x:c>
      <x:c r="N984" s="9" t="n">
        <x:f>M984*K984</x:f>
        <x:v>215.20000000000002</x:v>
      </x:c>
      <x:c r="O984" s="9" t="n">
        <x:f>M984-N984</x:f>
        <x:v>860.8</x:v>
      </x:c>
      <x:c r="P984" s="9" t="n">
        <x:f>IF(D984="Completed",L984*J984*(1-K984),0)</x:f>
        <x:v>0</x:v>
      </x:c>
      <x:c r="Q984" s="9" t="n">
        <x:f>O984-P984</x:f>
        <x:v>860.8</x:v>
      </x:c>
      <x:c r="R984" s="11" t="n">
        <x:f>IF(D984="Completed",I984,0)</x:f>
        <x:v>4</x:v>
      </x:c>
      <x:c r="S984" s="11" t="n">
        <x:f>IF(D984="Completed",L984,0)</x:f>
        <x:v>0</x:v>
      </x:c>
      <x:c r="T984" s="8" t="n">
        <x:f>DATE(YEAR(C984),MONTH(C984),1)</x:f>
        <x:v>45717</x:v>
      </x:c>
    </x:row>
    <x:row r="985" ht="22" customHeight="1">
      <x:c r="A985" s="2" t="str">
        <x:v>L000981</x:v>
      </x:c>
      <x:c r="B985" s="2" t="str">
        <x:v>O00399</x:v>
      </x:c>
      <x:c r="C985" s="7" t="n">
        <x:v>45739</x:v>
      </x:c>
      <x:c r="D985" s="2" t="str">
        <x:v>Completed</x:v>
      </x:c>
      <x:c r="E985" s="2" t="str">
        <x:v>East</x:v>
      </x:c>
      <x:c r="F985" s="2" t="str">
        <x:v>Store</x:v>
      </x:c>
      <x:c r="G985" s="2" t="str">
        <x:v>Furniture</x:v>
      </x:c>
      <x:c r="H985" s="2" t="str">
        <x:v>Chair 006</x:v>
      </x:c>
      <x:c r="I985" s="11" t="n">
        <x:v>5</x:v>
      </x:c>
      <x:c r="J985" s="9" t="n">
        <x:v>196</x:v>
      </x:c>
      <x:c r="K985" s="10" t="n">
        <x:v>0</x:v>
      </x:c>
      <x:c r="L985" s="11" t="n">
        <x:v>0</x:v>
      </x:c>
      <x:c r="M985" s="9" t="n">
        <x:f>IF(D985="Completed",I985*J985,0)</x:f>
        <x:v>980</x:v>
      </x:c>
      <x:c r="N985" s="9" t="n">
        <x:f>M985*K985</x:f>
        <x:v>0</x:v>
      </x:c>
      <x:c r="O985" s="9" t="n">
        <x:f>M985-N985</x:f>
        <x:v>980</x:v>
      </x:c>
      <x:c r="P985" s="9" t="n">
        <x:f>IF(D985="Completed",L985*J985*(1-K985),0)</x:f>
        <x:v>0</x:v>
      </x:c>
      <x:c r="Q985" s="9" t="n">
        <x:f>O985-P985</x:f>
        <x:v>980</x:v>
      </x:c>
      <x:c r="R985" s="11" t="n">
        <x:f>IF(D985="Completed",I985,0)</x:f>
        <x:v>5</x:v>
      </x:c>
      <x:c r="S985" s="11" t="n">
        <x:f>IF(D985="Completed",L985,0)</x:f>
        <x:v>0</x:v>
      </x:c>
      <x:c r="T985" s="8" t="n">
        <x:f>DATE(YEAR(C985),MONTH(C985),1)</x:f>
        <x:v>45717</x:v>
      </x:c>
    </x:row>
    <x:row r="986" ht="22" customHeight="1">
      <x:c r="A986" s="2" t="str">
        <x:v>L000982</x:v>
      </x:c>
      <x:c r="B986" s="2" t="str">
        <x:v>O00399</x:v>
      </x:c>
      <x:c r="C986" s="7" t="n">
        <x:v>45739</x:v>
      </x:c>
      <x:c r="D986" s="2" t="str">
        <x:v>Completed</x:v>
      </x:c>
      <x:c r="E986" s="2" t="str">
        <x:v>East</x:v>
      </x:c>
      <x:c r="F986" s="2" t="str">
        <x:v>Store</x:v>
      </x:c>
      <x:c r="G986" s="2" t="str">
        <x:v>Furniture</x:v>
      </x:c>
      <x:c r="H986" s="2" t="str">
        <x:v>Chair 022</x:v>
      </x:c>
      <x:c r="I986" s="11" t="n">
        <x:v>2</x:v>
      </x:c>
      <x:c r="J986" s="9" t="n">
        <x:v>134</x:v>
      </x:c>
      <x:c r="K986" s="10" t="n">
        <x:v>0.05</x:v>
      </x:c>
      <x:c r="L986" s="11" t="n">
        <x:v>1</x:v>
      </x:c>
      <x:c r="M986" s="9" t="n">
        <x:f>IF(D986="Completed",I986*J986,0)</x:f>
        <x:v>268</x:v>
      </x:c>
      <x:c r="N986" s="9" t="n">
        <x:f>M986*K986</x:f>
        <x:v>13.4</x:v>
      </x:c>
      <x:c r="O986" s="9" t="n">
        <x:f>M986-N986</x:f>
        <x:v>254.6</x:v>
      </x:c>
      <x:c r="P986" s="9" t="n">
        <x:f>IF(D986="Completed",L986*J986*(1-K986),0)</x:f>
        <x:v>127.3</x:v>
      </x:c>
      <x:c r="Q986" s="9" t="n">
        <x:f>O986-P986</x:f>
        <x:v>127.3</x:v>
      </x:c>
      <x:c r="R986" s="11" t="n">
        <x:f>IF(D986="Completed",I986,0)</x:f>
        <x:v>2</x:v>
      </x:c>
      <x:c r="S986" s="11" t="n">
        <x:f>IF(D986="Completed",L986,0)</x:f>
        <x:v>1</x:v>
      </x:c>
      <x:c r="T986" s="8" t="n">
        <x:f>DATE(YEAR(C986),MONTH(C986),1)</x:f>
        <x:v>45717</x:v>
      </x:c>
    </x:row>
    <x:row r="987" ht="22" customHeight="1">
      <x:c r="A987" s="2" t="str">
        <x:v>L000983</x:v>
      </x:c>
      <x:c r="B987" s="2" t="str">
        <x:v>O00400</x:v>
      </x:c>
      <x:c r="C987" s="7" t="n">
        <x:v>45864</x:v>
      </x:c>
      <x:c r="D987" s="2" t="str">
        <x:v>Completed</x:v>
      </x:c>
      <x:c r="E987" s="2" t="str">
        <x:v>East</x:v>
      </x:c>
      <x:c r="F987" s="2" t="str">
        <x:v>Store</x:v>
      </x:c>
      <x:c r="G987" s="2" t="str">
        <x:v>Storage</x:v>
      </x:c>
      <x:c r="H987" s="2" t="str">
        <x:v>Shelf 019</x:v>
      </x:c>
      <x:c r="I987" s="11" t="n">
        <x:v>5</x:v>
      </x:c>
      <x:c r="J987" s="9" t="n">
        <x:v>78</x:v>
      </x:c>
      <x:c r="K987" s="10" t="n">
        <x:v>0.05</x:v>
      </x:c>
      <x:c r="L987" s="11" t="n">
        <x:v>0</x:v>
      </x:c>
      <x:c r="M987" s="9" t="n">
        <x:f>IF(D987="Completed",I987*J987,0)</x:f>
        <x:v>390</x:v>
      </x:c>
      <x:c r="N987" s="9" t="n">
        <x:f>M987*K987</x:f>
        <x:v>19.5</x:v>
      </x:c>
      <x:c r="O987" s="9" t="n">
        <x:f>M987-N987</x:f>
        <x:v>370.5</x:v>
      </x:c>
      <x:c r="P987" s="9" t="n">
        <x:f>IF(D987="Completed",L987*J987*(1-K987),0)</x:f>
        <x:v>0</x:v>
      </x:c>
      <x:c r="Q987" s="9" t="n">
        <x:f>O987-P987</x:f>
        <x:v>370.5</x:v>
      </x:c>
      <x:c r="R987" s="11" t="n">
        <x:f>IF(D987="Completed",I987,0)</x:f>
        <x:v>5</x:v>
      </x:c>
      <x:c r="S987" s="11" t="n">
        <x:f>IF(D987="Completed",L987,0)</x:f>
        <x:v>0</x:v>
      </x:c>
      <x:c r="T987" s="8" t="n">
        <x:f>DATE(YEAR(C987),MONTH(C987),1)</x:f>
        <x:v>45839</x:v>
      </x:c>
    </x:row>
    <x:row r="988" ht="22" customHeight="1">
      <x:c r="A988" s="2" t="str">
        <x:v>L000984</x:v>
      </x:c>
      <x:c r="B988" s="2" t="str">
        <x:v>O00400</x:v>
      </x:c>
      <x:c r="C988" s="7" t="n">
        <x:v>45864</x:v>
      </x:c>
      <x:c r="D988" s="2" t="str">
        <x:v>Completed</x:v>
      </x:c>
      <x:c r="E988" s="2" t="str">
        <x:v>East</x:v>
      </x:c>
      <x:c r="F988" s="2" t="str">
        <x:v>Store</x:v>
      </x:c>
      <x:c r="G988" s="2" t="str">
        <x:v>Furniture</x:v>
      </x:c>
      <x:c r="H988" s="2" t="str">
        <x:v>Desk 008</x:v>
      </x:c>
      <x:c r="I988" s="11" t="n">
        <x:v>1</x:v>
      </x:c>
      <x:c r="J988" s="9" t="n">
        <x:v>188</x:v>
      </x:c>
      <x:c r="K988" s="10" t="n">
        <x:v>0.1</x:v>
      </x:c>
      <x:c r="L988" s="11" t="n">
        <x:v>0</x:v>
      </x:c>
      <x:c r="M988" s="9" t="n">
        <x:f>IF(D988="Completed",I988*J988,0)</x:f>
        <x:v>188</x:v>
      </x:c>
      <x:c r="N988" s="9" t="n">
        <x:f>M988*K988</x:f>
        <x:v>18.8</x:v>
      </x:c>
      <x:c r="O988" s="9" t="n">
        <x:f>M988-N988</x:f>
        <x:v>169.2</x:v>
      </x:c>
      <x:c r="P988" s="9" t="n">
        <x:f>IF(D988="Completed",L988*J988*(1-K988),0)</x:f>
        <x:v>0</x:v>
      </x:c>
      <x:c r="Q988" s="9" t="n">
        <x:f>O988-P988</x:f>
        <x:v>169.2</x:v>
      </x:c>
      <x:c r="R988" s="11" t="n">
        <x:f>IF(D988="Completed",I988,0)</x:f>
        <x:v>1</x:v>
      </x:c>
      <x:c r="S988" s="11" t="n">
        <x:f>IF(D988="Completed",L988,0)</x:f>
        <x:v>0</x:v>
      </x:c>
      <x:c r="T988" s="8" t="n">
        <x:f>DATE(YEAR(C988),MONTH(C988),1)</x:f>
        <x:v>45839</x:v>
      </x:c>
    </x:row>
    <x:row r="989" ht="22" customHeight="1">
      <x:c r="A989" s="2" t="str">
        <x:v>L000985</x:v>
      </x:c>
      <x:c r="B989" s="2" t="str">
        <x:v>O00401</x:v>
      </x:c>
      <x:c r="C989" s="7" t="n">
        <x:v>45897</x:v>
      </x:c>
      <x:c r="D989" s="2" t="str">
        <x:v>Completed</x:v>
      </x:c>
      <x:c r="E989" s="2" t="str">
        <x:v>East</x:v>
      </x:c>
      <x:c r="F989" s="2" t="str">
        <x:v>Online</x:v>
      </x:c>
      <x:c r="G989" s="2" t="str">
        <x:v>Furniture</x:v>
      </x:c>
      <x:c r="H989" s="2" t="str">
        <x:v>Desk 008</x:v>
      </x:c>
      <x:c r="I989" s="11" t="n">
        <x:v>3</x:v>
      </x:c>
      <x:c r="J989" s="9" t="n">
        <x:v>188</x:v>
      </x:c>
      <x:c r="K989" s="10" t="n">
        <x:v>0.1</x:v>
      </x:c>
      <x:c r="L989" s="11" t="n">
        <x:v>0</x:v>
      </x:c>
      <x:c r="M989" s="9" t="n">
        <x:f>IF(D989="Completed",I989*J989,0)</x:f>
        <x:v>564</x:v>
      </x:c>
      <x:c r="N989" s="9" t="n">
        <x:f>M989*K989</x:f>
        <x:v>56.400000000000006</x:v>
      </x:c>
      <x:c r="O989" s="9" t="n">
        <x:f>M989-N989</x:f>
        <x:v>507.6</x:v>
      </x:c>
      <x:c r="P989" s="9" t="n">
        <x:f>IF(D989="Completed",L989*J989*(1-K989),0)</x:f>
        <x:v>0</x:v>
      </x:c>
      <x:c r="Q989" s="9" t="n">
        <x:f>O989-P989</x:f>
        <x:v>507.6</x:v>
      </x:c>
      <x:c r="R989" s="11" t="n">
        <x:f>IF(D989="Completed",I989,0)</x:f>
        <x:v>3</x:v>
      </x:c>
      <x:c r="S989" s="11" t="n">
        <x:f>IF(D989="Completed",L989,0)</x:f>
        <x:v>0</x:v>
      </x:c>
      <x:c r="T989" s="8" t="n">
        <x:f>DATE(YEAR(C989),MONTH(C989),1)</x:f>
        <x:v>45870</x:v>
      </x:c>
    </x:row>
    <x:row r="990" ht="22" customHeight="1">
      <x:c r="A990" s="2" t="str">
        <x:v>L000986</x:v>
      </x:c>
      <x:c r="B990" s="2" t="str">
        <x:v>O00401</x:v>
      </x:c>
      <x:c r="C990" s="7" t="n">
        <x:v>45897</x:v>
      </x:c>
      <x:c r="D990" s="2" t="str">
        <x:v>Completed</x:v>
      </x:c>
      <x:c r="E990" s="2" t="str">
        <x:v>East</x:v>
      </x:c>
      <x:c r="F990" s="2" t="str">
        <x:v>Online</x:v>
      </x:c>
      <x:c r="G990" s="2" t="str">
        <x:v>Lighting</x:v>
      </x:c>
      <x:c r="H990" s="2" t="str">
        <x:v>Lamp 017</x:v>
      </x:c>
      <x:c r="I990" s="11" t="n">
        <x:v>1</x:v>
      </x:c>
      <x:c r="J990" s="9" t="n">
        <x:v>300</x:v>
      </x:c>
      <x:c r="K990" s="10" t="n">
        <x:v>0.2</x:v>
      </x:c>
      <x:c r="L990" s="11" t="n">
        <x:v>0</x:v>
      </x:c>
      <x:c r="M990" s="9" t="n">
        <x:f>IF(D990="Completed",I990*J990,0)</x:f>
        <x:v>300</x:v>
      </x:c>
      <x:c r="N990" s="9" t="n">
        <x:f>M990*K990</x:f>
        <x:v>60</x:v>
      </x:c>
      <x:c r="O990" s="9" t="n">
        <x:f>M990-N990</x:f>
        <x:v>240</x:v>
      </x:c>
      <x:c r="P990" s="9" t="n">
        <x:f>IF(D990="Completed",L990*J990*(1-K990),0)</x:f>
        <x:v>0</x:v>
      </x:c>
      <x:c r="Q990" s="9" t="n">
        <x:f>O990-P990</x:f>
        <x:v>240</x:v>
      </x:c>
      <x:c r="R990" s="11" t="n">
        <x:f>IF(D990="Completed",I990,0)</x:f>
        <x:v>1</x:v>
      </x:c>
      <x:c r="S990" s="11" t="n">
        <x:f>IF(D990="Completed",L990,0)</x:f>
        <x:v>0</x:v>
      </x:c>
      <x:c r="T990" s="8" t="n">
        <x:f>DATE(YEAR(C990),MONTH(C990),1)</x:f>
        <x:v>45870</x:v>
      </x:c>
    </x:row>
    <x:row r="991" ht="22" customHeight="1">
      <x:c r="A991" s="2" t="str">
        <x:v>L000987</x:v>
      </x:c>
      <x:c r="B991" s="2" t="str">
        <x:v>O00401</x:v>
      </x:c>
      <x:c r="C991" s="7" t="n">
        <x:v>45897</x:v>
      </x:c>
      <x:c r="D991" s="2" t="str">
        <x:v>Completed</x:v>
      </x:c>
      <x:c r="E991" s="2" t="str">
        <x:v>East</x:v>
      </x:c>
      <x:c r="F991" s="2" t="str">
        <x:v>Online</x:v>
      </x:c>
      <x:c r="G991" s="2" t="str">
        <x:v>Furniture</x:v>
      </x:c>
      <x:c r="H991" s="2" t="str">
        <x:v>Chair 022</x:v>
      </x:c>
      <x:c r="I991" s="11" t="n">
        <x:v>1</x:v>
      </x:c>
      <x:c r="J991" s="9" t="n">
        <x:v>134</x:v>
      </x:c>
      <x:c r="K991" s="10" t="n">
        <x:v>0</x:v>
      </x:c>
      <x:c r="L991" s="11" t="n">
        <x:v>0</x:v>
      </x:c>
      <x:c r="M991" s="9" t="n">
        <x:f>IF(D991="Completed",I991*J991,0)</x:f>
        <x:v>134</x:v>
      </x:c>
      <x:c r="N991" s="9" t="n">
        <x:f>M991*K991</x:f>
        <x:v>0</x:v>
      </x:c>
      <x:c r="O991" s="9" t="n">
        <x:f>M991-N991</x:f>
        <x:v>134</x:v>
      </x:c>
      <x:c r="P991" s="9" t="n">
        <x:f>IF(D991="Completed",L991*J991*(1-K991),0)</x:f>
        <x:v>0</x:v>
      </x:c>
      <x:c r="Q991" s="9" t="n">
        <x:f>O991-P991</x:f>
        <x:v>134</x:v>
      </x:c>
      <x:c r="R991" s="11" t="n">
        <x:f>IF(D991="Completed",I991,0)</x:f>
        <x:v>1</x:v>
      </x:c>
      <x:c r="S991" s="11" t="n">
        <x:f>IF(D991="Completed",L991,0)</x:f>
        <x:v>0</x:v>
      </x:c>
      <x:c r="T991" s="8" t="n">
        <x:f>DATE(YEAR(C991),MONTH(C991),1)</x:f>
        <x:v>45870</x:v>
      </x:c>
    </x:row>
    <x:row r="992" ht="22" customHeight="1">
      <x:c r="A992" s="2" t="str">
        <x:v>L000988</x:v>
      </x:c>
      <x:c r="B992" s="2" t="str">
        <x:v>O00402</x:v>
      </x:c>
      <x:c r="C992" s="7" t="n">
        <x:v>45720</x:v>
      </x:c>
      <x:c r="D992" s="2" t="str">
        <x:v>Completed</x:v>
      </x:c>
      <x:c r="E992" s="2" t="str">
        <x:v>South</x:v>
      </x:c>
      <x:c r="F992" s="2" t="str">
        <x:v>Online</x:v>
      </x:c>
      <x:c r="G992" s="2" t="str">
        <x:v>Furniture</x:v>
      </x:c>
      <x:c r="H992" s="2" t="str">
        <x:v>Desk 016</x:v>
      </x:c>
      <x:c r="I992" s="11" t="n">
        <x:v>1</x:v>
      </x:c>
      <x:c r="J992" s="9" t="n">
        <x:v>231</x:v>
      </x:c>
      <x:c r="K992" s="10" t="n">
        <x:v>0.1</x:v>
      </x:c>
      <x:c r="L992" s="11" t="n">
        <x:v>0</x:v>
      </x:c>
      <x:c r="M992" s="9" t="n">
        <x:f>IF(D992="Completed",I992*J992,0)</x:f>
        <x:v>231</x:v>
      </x:c>
      <x:c r="N992" s="9" t="n">
        <x:f>M992*K992</x:f>
        <x:v>23.1</x:v>
      </x:c>
      <x:c r="O992" s="9" t="n">
        <x:f>M992-N992</x:f>
        <x:v>207.9</x:v>
      </x:c>
      <x:c r="P992" s="9" t="n">
        <x:f>IF(D992="Completed",L992*J992*(1-K992),0)</x:f>
        <x:v>0</x:v>
      </x:c>
      <x:c r="Q992" s="9" t="n">
        <x:f>O992-P992</x:f>
        <x:v>207.9</x:v>
      </x:c>
      <x:c r="R992" s="11" t="n">
        <x:f>IF(D992="Completed",I992,0)</x:f>
        <x:v>1</x:v>
      </x:c>
      <x:c r="S992" s="11" t="n">
        <x:f>IF(D992="Completed",L992,0)</x:f>
        <x:v>0</x:v>
      </x:c>
      <x:c r="T992" s="8" t="n">
        <x:f>DATE(YEAR(C992),MONTH(C992),1)</x:f>
        <x:v>45717</x:v>
      </x:c>
    </x:row>
    <x:row r="993" ht="22" customHeight="1">
      <x:c r="A993" s="2" t="str">
        <x:v>L000989</x:v>
      </x:c>
      <x:c r="B993" s="2" t="str">
        <x:v>O00403</x:v>
      </x:c>
      <x:c r="C993" s="7" t="n">
        <x:v>45686</x:v>
      </x:c>
      <x:c r="D993" s="2" t="str">
        <x:v>Completed</x:v>
      </x:c>
      <x:c r="E993" s="2" t="str">
        <x:v>South</x:v>
      </x:c>
      <x:c r="F993" s="2" t="str">
        <x:v>Store</x:v>
      </x:c>
      <x:c r="G993" s="2" t="str">
        <x:v>Furniture</x:v>
      </x:c>
      <x:c r="H993" s="2" t="str">
        <x:v>Chair 014</x:v>
      </x:c>
      <x:c r="I993" s="11" t="n">
        <x:v>1</x:v>
      </x:c>
      <x:c r="J993" s="9" t="n">
        <x:v>294</x:v>
      </x:c>
      <x:c r="K993" s="10" t="n">
        <x:v>0.05</x:v>
      </x:c>
      <x:c r="L993" s="11" t="n">
        <x:v>0</x:v>
      </x:c>
      <x:c r="M993" s="9" t="n">
        <x:f>IF(D993="Completed",I993*J993,0)</x:f>
        <x:v>294</x:v>
      </x:c>
      <x:c r="N993" s="9" t="n">
        <x:f>M993*K993</x:f>
        <x:v>14.700000000000001</x:v>
      </x:c>
      <x:c r="O993" s="9" t="n">
        <x:f>M993-N993</x:f>
        <x:v>279.3</x:v>
      </x:c>
      <x:c r="P993" s="9" t="n">
        <x:f>IF(D993="Completed",L993*J993*(1-K993),0)</x:f>
        <x:v>0</x:v>
      </x:c>
      <x:c r="Q993" s="9" t="n">
        <x:f>O993-P993</x:f>
        <x:v>279.3</x:v>
      </x:c>
      <x:c r="R993" s="11" t="n">
        <x:f>IF(D993="Completed",I993,0)</x:f>
        <x:v>1</x:v>
      </x:c>
      <x:c r="S993" s="11" t="n">
        <x:f>IF(D993="Completed",L993,0)</x:f>
        <x:v>0</x:v>
      </x:c>
      <x:c r="T993" s="8" t="n">
        <x:f>DATE(YEAR(C993),MONTH(C993),1)</x:f>
        <x:v>45658</x:v>
      </x:c>
    </x:row>
    <x:row r="994" ht="22" customHeight="1">
      <x:c r="A994" s="2" t="str">
        <x:v>L000990</x:v>
      </x:c>
      <x:c r="B994" s="2" t="str">
        <x:v>O00404</x:v>
      </x:c>
      <x:c r="C994" s="7" t="n">
        <x:v>45886</x:v>
      </x:c>
      <x:c r="D994" s="2" t="str">
        <x:v>Completed</x:v>
      </x:c>
      <x:c r="E994" s="2" t="str">
        <x:v>East</x:v>
      </x:c>
      <x:c r="F994" s="2" t="str">
        <x:v>Store</x:v>
      </x:c>
      <x:c r="G994" s="2" t="str">
        <x:v>Lighting</x:v>
      </x:c>
      <x:c r="H994" s="2" t="str">
        <x:v>Lamp 009</x:v>
      </x:c>
      <x:c r="I994" s="11" t="n">
        <x:v>5</x:v>
      </x:c>
      <x:c r="J994" s="9" t="n">
        <x:v>93</x:v>
      </x:c>
      <x:c r="K994" s="10" t="n">
        <x:v>0.05</x:v>
      </x:c>
      <x:c r="L994" s="11" t="n">
        <x:v>0</x:v>
      </x:c>
      <x:c r="M994" s="9" t="n">
        <x:f>IF(D994="Completed",I994*J994,0)</x:f>
        <x:v>465</x:v>
      </x:c>
      <x:c r="N994" s="9" t="n">
        <x:f>M994*K994</x:f>
        <x:v>23.25</x:v>
      </x:c>
      <x:c r="O994" s="9" t="n">
        <x:f>M994-N994</x:f>
        <x:v>441.75</x:v>
      </x:c>
      <x:c r="P994" s="9" t="n">
        <x:f>IF(D994="Completed",L994*J994*(1-K994),0)</x:f>
        <x:v>0</x:v>
      </x:c>
      <x:c r="Q994" s="9" t="n">
        <x:f>O994-P994</x:f>
        <x:v>441.75</x:v>
      </x:c>
      <x:c r="R994" s="11" t="n">
        <x:f>IF(D994="Completed",I994,0)</x:f>
        <x:v>5</x:v>
      </x:c>
      <x:c r="S994" s="11" t="n">
        <x:f>IF(D994="Completed",L994,0)</x:f>
        <x:v>0</x:v>
      </x:c>
      <x:c r="T994" s="8" t="n">
        <x:f>DATE(YEAR(C994),MONTH(C994),1)</x:f>
        <x:v>45870</x:v>
      </x:c>
    </x:row>
    <x:row r="995" ht="22" customHeight="1">
      <x:c r="A995" s="2" t="str">
        <x:v>L000991</x:v>
      </x:c>
      <x:c r="B995" s="2" t="str">
        <x:v>O00404</x:v>
      </x:c>
      <x:c r="C995" s="7" t="n">
        <x:v>45886</x:v>
      </x:c>
      <x:c r="D995" s="2" t="str">
        <x:v>Completed</x:v>
      </x:c>
      <x:c r="E995" s="2" t="str">
        <x:v>East</x:v>
      </x:c>
      <x:c r="F995" s="2" t="str">
        <x:v>Store</x:v>
      </x:c>
      <x:c r="G995" s="2" t="str">
        <x:v>Furniture</x:v>
      </x:c>
      <x:c r="H995" s="2" t="str">
        <x:v>Chair 014</x:v>
      </x:c>
      <x:c r="I995" s="11" t="n">
        <x:v>1</x:v>
      </x:c>
      <x:c r="J995" s="9" t="n">
        <x:v>294</x:v>
      </x:c>
      <x:c r="K995" s="10" t="n">
        <x:v>0.1</x:v>
      </x:c>
      <x:c r="L995" s="11" t="n">
        <x:v>1</x:v>
      </x:c>
      <x:c r="M995" s="9" t="n">
        <x:f>IF(D995="Completed",I995*J995,0)</x:f>
        <x:v>294</x:v>
      </x:c>
      <x:c r="N995" s="9" t="n">
        <x:f>M995*K995</x:f>
        <x:v>29.400000000000002</x:v>
      </x:c>
      <x:c r="O995" s="9" t="n">
        <x:f>M995-N995</x:f>
        <x:v>264.6</x:v>
      </x:c>
      <x:c r="P995" s="9" t="n">
        <x:f>IF(D995="Completed",L995*J995*(1-K995),0)</x:f>
        <x:v>264.6</x:v>
      </x:c>
      <x:c r="Q995" s="9" t="n">
        <x:f>O995-P995</x:f>
        <x:v>0</x:v>
      </x:c>
      <x:c r="R995" s="11" t="n">
        <x:f>IF(D995="Completed",I995,0)</x:f>
        <x:v>1</x:v>
      </x:c>
      <x:c r="S995" s="11" t="n">
        <x:f>IF(D995="Completed",L995,0)</x:f>
        <x:v>1</x:v>
      </x:c>
      <x:c r="T995" s="8" t="n">
        <x:f>DATE(YEAR(C995),MONTH(C995),1)</x:f>
        <x:v>45870</x:v>
      </x:c>
    </x:row>
    <x:row r="996" ht="22" customHeight="1">
      <x:c r="A996" s="2" t="str">
        <x:v>L000992</x:v>
      </x:c>
      <x:c r="B996" s="2" t="str">
        <x:v>O00405</x:v>
      </x:c>
      <x:c r="C996" s="7" t="n">
        <x:v>45776</x:v>
      </x:c>
      <x:c r="D996" s="2" t="str">
        <x:v>Completed</x:v>
      </x:c>
      <x:c r="E996" s="2" t="str">
        <x:v>West</x:v>
      </x:c>
      <x:c r="F996" s="2" t="str">
        <x:v>Store</x:v>
      </x:c>
      <x:c r="G996" s="2" t="str">
        <x:v>Storage</x:v>
      </x:c>
      <x:c r="H996" s="2" t="str">
        <x:v>Shelf 023</x:v>
      </x:c>
      <x:c r="I996" s="11" t="n">
        <x:v>2</x:v>
      </x:c>
      <x:c r="J996" s="9" t="n">
        <x:v>68</x:v>
      </x:c>
      <x:c r="K996" s="10" t="n">
        <x:v>0.2</x:v>
      </x:c>
      <x:c r="L996" s="11" t="n">
        <x:v>0</x:v>
      </x:c>
      <x:c r="M996" s="9" t="n">
        <x:f>IF(D996="Completed",I996*J996,0)</x:f>
        <x:v>136</x:v>
      </x:c>
      <x:c r="N996" s="9" t="n">
        <x:f>M996*K996</x:f>
        <x:v>27.200000000000003</x:v>
      </x:c>
      <x:c r="O996" s="9" t="n">
        <x:f>M996-N996</x:f>
        <x:v>108.8</x:v>
      </x:c>
      <x:c r="P996" s="9" t="n">
        <x:f>IF(D996="Completed",L996*J996*(1-K996),0)</x:f>
        <x:v>0</x:v>
      </x:c>
      <x:c r="Q996" s="9" t="n">
        <x:f>O996-P996</x:f>
        <x:v>108.8</x:v>
      </x:c>
      <x:c r="R996" s="11" t="n">
        <x:f>IF(D996="Completed",I996,0)</x:f>
        <x:v>2</x:v>
      </x:c>
      <x:c r="S996" s="11" t="n">
        <x:f>IF(D996="Completed",L996,0)</x:f>
        <x:v>0</x:v>
      </x:c>
      <x:c r="T996" s="8" t="n">
        <x:f>DATE(YEAR(C996),MONTH(C996),1)</x:f>
        <x:v>45748</x:v>
      </x:c>
    </x:row>
    <x:row r="997" ht="22" customHeight="1">
      <x:c r="A997" s="2" t="str">
        <x:v>L000993</x:v>
      </x:c>
      <x:c r="B997" s="2" t="str">
        <x:v>O00405</x:v>
      </x:c>
      <x:c r="C997" s="7" t="n">
        <x:v>45776</x:v>
      </x:c>
      <x:c r="D997" s="2" t="str">
        <x:v>Completed</x:v>
      </x:c>
      <x:c r="E997" s="2" t="str">
        <x:v>West</x:v>
      </x:c>
      <x:c r="F997" s="2" t="str">
        <x:v>Store</x:v>
      </x:c>
      <x:c r="G997" s="2" t="str">
        <x:v>Furniture</x:v>
      </x:c>
      <x:c r="H997" s="2" t="str">
        <x:v>Desk 004</x:v>
      </x:c>
      <x:c r="I997" s="11" t="n">
        <x:v>5</x:v>
      </x:c>
      <x:c r="J997" s="9" t="n">
        <x:v>123</x:v>
      </x:c>
      <x:c r="K997" s="10" t="n">
        <x:v>0.05</x:v>
      </x:c>
      <x:c r="L997" s="11" t="n">
        <x:v>0</x:v>
      </x:c>
      <x:c r="M997" s="9" t="n">
        <x:f>IF(D997="Completed",I997*J997,0)</x:f>
        <x:v>615</x:v>
      </x:c>
      <x:c r="N997" s="9" t="n">
        <x:f>M997*K997</x:f>
        <x:v>30.75</x:v>
      </x:c>
      <x:c r="O997" s="9" t="n">
        <x:f>M997-N997</x:f>
        <x:v>584.25</x:v>
      </x:c>
      <x:c r="P997" s="9" t="n">
        <x:f>IF(D997="Completed",L997*J997*(1-K997),0)</x:f>
        <x:v>0</x:v>
      </x:c>
      <x:c r="Q997" s="9" t="n">
        <x:f>O997-P997</x:f>
        <x:v>584.25</x:v>
      </x:c>
      <x:c r="R997" s="11" t="n">
        <x:f>IF(D997="Completed",I997,0)</x:f>
        <x:v>5</x:v>
      </x:c>
      <x:c r="S997" s="11" t="n">
        <x:f>IF(D997="Completed",L997,0)</x:f>
        <x:v>0</x:v>
      </x:c>
      <x:c r="T997" s="8" t="n">
        <x:f>DATE(YEAR(C997),MONTH(C997),1)</x:f>
        <x:v>45748</x:v>
      </x:c>
    </x:row>
    <x:row r="998" ht="22" customHeight="1">
      <x:c r="A998" s="2" t="str">
        <x:v>L000994</x:v>
      </x:c>
      <x:c r="B998" s="2" t="str">
        <x:v>O00405</x:v>
      </x:c>
      <x:c r="C998" s="7" t="n">
        <x:v>45776</x:v>
      </x:c>
      <x:c r="D998" s="2" t="str">
        <x:v>Completed</x:v>
      </x:c>
      <x:c r="E998" s="2" t="str">
        <x:v>West</x:v>
      </x:c>
      <x:c r="F998" s="2" t="str">
        <x:v>Store</x:v>
      </x:c>
      <x:c r="G998" s="2" t="str">
        <x:v>Furniture</x:v>
      </x:c>
      <x:c r="H998" s="2" t="str">
        <x:v>Chair 018</x:v>
      </x:c>
      <x:c r="I998" s="11" t="n">
        <x:v>3</x:v>
      </x:c>
      <x:c r="J998" s="9" t="n">
        <x:v>269</x:v>
      </x:c>
      <x:c r="K998" s="10" t="n">
        <x:v>0</x:v>
      </x:c>
      <x:c r="L998" s="11" t="n">
        <x:v>1</x:v>
      </x:c>
      <x:c r="M998" s="9" t="n">
        <x:f>IF(D998="Completed",I998*J998,0)</x:f>
        <x:v>807</x:v>
      </x:c>
      <x:c r="N998" s="9" t="n">
        <x:f>M998*K998</x:f>
        <x:v>0</x:v>
      </x:c>
      <x:c r="O998" s="9" t="n">
        <x:f>M998-N998</x:f>
        <x:v>807</x:v>
      </x:c>
      <x:c r="P998" s="9" t="n">
        <x:f>IF(D998="Completed",L998*J998*(1-K998),0)</x:f>
        <x:v>269</x:v>
      </x:c>
      <x:c r="Q998" s="9" t="n">
        <x:f>O998-P998</x:f>
        <x:v>538</x:v>
      </x:c>
      <x:c r="R998" s="11" t="n">
        <x:f>IF(D998="Completed",I998,0)</x:f>
        <x:v>3</x:v>
      </x:c>
      <x:c r="S998" s="11" t="n">
        <x:f>IF(D998="Completed",L998,0)</x:f>
        <x:v>1</x:v>
      </x:c>
      <x:c r="T998" s="8" t="n">
        <x:f>DATE(YEAR(C998),MONTH(C998),1)</x:f>
        <x:v>45748</x:v>
      </x:c>
    </x:row>
    <x:row r="999" ht="22" customHeight="1">
      <x:c r="A999" s="2" t="str">
        <x:v>L000995</x:v>
      </x:c>
      <x:c r="B999" s="2" t="str">
        <x:v>O00406</x:v>
      </x:c>
      <x:c r="C999" s="7" t="n">
        <x:v>45794</x:v>
      </x:c>
      <x:c r="D999" s="2" t="str">
        <x:v>Completed</x:v>
      </x:c>
      <x:c r="E999" s="2" t="str">
        <x:v>North</x:v>
      </x:c>
      <x:c r="F999" s="2" t="str">
        <x:v>Online</x:v>
      </x:c>
      <x:c r="G999" s="2" t="str">
        <x:v>Furniture</x:v>
      </x:c>
      <x:c r="H999" s="2" t="str">
        <x:v>Chair 006</x:v>
      </x:c>
      <x:c r="I999" s="11" t="n">
        <x:v>3</x:v>
      </x:c>
      <x:c r="J999" s="9" t="n">
        <x:v>196</x:v>
      </x:c>
      <x:c r="K999" s="10" t="n">
        <x:v>0.2</x:v>
      </x:c>
      <x:c r="L999" s="11" t="n">
        <x:v>0</x:v>
      </x:c>
      <x:c r="M999" s="9" t="n">
        <x:f>IF(D999="Completed",I999*J999,0)</x:f>
        <x:v>588</x:v>
      </x:c>
      <x:c r="N999" s="9" t="n">
        <x:f>M999*K999</x:f>
        <x:v>117.60000000000001</x:v>
      </x:c>
      <x:c r="O999" s="9" t="n">
        <x:f>M999-N999</x:f>
        <x:v>470.4</x:v>
      </x:c>
      <x:c r="P999" s="9" t="n">
        <x:f>IF(D999="Completed",L999*J999*(1-K999),0)</x:f>
        <x:v>0</x:v>
      </x:c>
      <x:c r="Q999" s="9" t="n">
        <x:f>O999-P999</x:f>
        <x:v>470.4</x:v>
      </x:c>
      <x:c r="R999" s="11" t="n">
        <x:f>IF(D999="Completed",I999,0)</x:f>
        <x:v>3</x:v>
      </x:c>
      <x:c r="S999" s="11" t="n">
        <x:f>IF(D999="Completed",L999,0)</x:f>
        <x:v>0</x:v>
      </x:c>
      <x:c r="T999" s="8" t="n">
        <x:f>DATE(YEAR(C999),MONTH(C999),1)</x:f>
        <x:v>45778</x:v>
      </x:c>
    </x:row>
    <x:row r="1000" ht="22" customHeight="1">
      <x:c r="A1000" s="2" t="str">
        <x:v>L000996</x:v>
      </x:c>
      <x:c r="B1000" s="2" t="str">
        <x:v>O00406</x:v>
      </x:c>
      <x:c r="C1000" s="7" t="n">
        <x:v>45794</x:v>
      </x:c>
      <x:c r="D1000" s="2" t="str">
        <x:v>Completed</x:v>
      </x:c>
      <x:c r="E1000" s="2" t="str">
        <x:v>North</x:v>
      </x:c>
      <x:c r="F1000" s="2" t="str">
        <x:v>Online</x:v>
      </x:c>
      <x:c r="G1000" s="2" t="str">
        <x:v>Lighting</x:v>
      </x:c>
      <x:c r="H1000" s="2" t="str">
        <x:v>Lamp 001</x:v>
      </x:c>
      <x:c r="I1000" s="11" t="n">
        <x:v>1</x:v>
      </x:c>
      <x:c r="J1000" s="9" t="n">
        <x:v>122</x:v>
      </x:c>
      <x:c r="K1000" s="10" t="n">
        <x:v>0</x:v>
      </x:c>
      <x:c r="L1000" s="11" t="n">
        <x:v>0</x:v>
      </x:c>
      <x:c r="M1000" s="9" t="n">
        <x:f>IF(D1000="Completed",I1000*J1000,0)</x:f>
        <x:v>122</x:v>
      </x:c>
      <x:c r="N1000" s="9" t="n">
        <x:f>M1000*K1000</x:f>
        <x:v>0</x:v>
      </x:c>
      <x:c r="O1000" s="9" t="n">
        <x:f>M1000-N1000</x:f>
        <x:v>122</x:v>
      </x:c>
      <x:c r="P1000" s="9" t="n">
        <x:f>IF(D1000="Completed",L1000*J1000*(1-K1000),0)</x:f>
        <x:v>0</x:v>
      </x:c>
      <x:c r="Q1000" s="9" t="n">
        <x:f>O1000-P1000</x:f>
        <x:v>122</x:v>
      </x:c>
      <x:c r="R1000" s="11" t="n">
        <x:f>IF(D1000="Completed",I1000,0)</x:f>
        <x:v>1</x:v>
      </x:c>
      <x:c r="S1000" s="11" t="n">
        <x:f>IF(D1000="Completed",L1000,0)</x:f>
        <x:v>0</x:v>
      </x:c>
      <x:c r="T1000" s="8" t="n">
        <x:f>DATE(YEAR(C1000),MONTH(C1000),1)</x:f>
        <x:v>45778</x:v>
      </x:c>
    </x:row>
    <x:row r="1001" ht="22" customHeight="1">
      <x:c r="A1001" s="2" t="str">
        <x:v>L000997</x:v>
      </x:c>
      <x:c r="B1001" s="2" t="str">
        <x:v>O00407</x:v>
      </x:c>
      <x:c r="C1001" s="7" t="n">
        <x:v>45910</x:v>
      </x:c>
      <x:c r="D1001" s="2" t="str">
        <x:v>Completed</x:v>
      </x:c>
      <x:c r="E1001" s="2" t="str">
        <x:v>North</x:v>
      </x:c>
      <x:c r="F1001" s="2" t="str">
        <x:v>Online</x:v>
      </x:c>
      <x:c r="G1001" s="2" t="str">
        <x:v>Furniture</x:v>
      </x:c>
      <x:c r="H1001" s="2" t="str">
        <x:v>Desk 020</x:v>
      </x:c>
      <x:c r="I1001" s="11" t="n">
        <x:v>1</x:v>
      </x:c>
      <x:c r="J1001" s="9" t="n">
        <x:v>189</x:v>
      </x:c>
      <x:c r="K1001" s="10" t="n">
        <x:v>0.05</x:v>
      </x:c>
      <x:c r="L1001" s="11" t="n">
        <x:v>0</x:v>
      </x:c>
      <x:c r="M1001" s="9" t="n">
        <x:f>IF(D1001="Completed",I1001*J1001,0)</x:f>
        <x:v>189</x:v>
      </x:c>
      <x:c r="N1001" s="9" t="n">
        <x:f>M1001*K1001</x:f>
        <x:v>9.450000000000001</x:v>
      </x:c>
      <x:c r="O1001" s="9" t="n">
        <x:f>M1001-N1001</x:f>
        <x:v>179.55</x:v>
      </x:c>
      <x:c r="P1001" s="9" t="n">
        <x:f>IF(D1001="Completed",L1001*J1001*(1-K1001),0)</x:f>
        <x:v>0</x:v>
      </x:c>
      <x:c r="Q1001" s="9" t="n">
        <x:f>O1001-P1001</x:f>
        <x:v>179.55</x:v>
      </x:c>
      <x:c r="R1001" s="11" t="n">
        <x:f>IF(D1001="Completed",I1001,0)</x:f>
        <x:v>1</x:v>
      </x:c>
      <x:c r="S1001" s="11" t="n">
        <x:f>IF(D1001="Completed",L1001,0)</x:f>
        <x:v>0</x:v>
      </x:c>
      <x:c r="T1001" s="8" t="n">
        <x:f>DATE(YEAR(C1001),MONTH(C1001),1)</x:f>
        <x:v>45901</x:v>
      </x:c>
    </x:row>
    <x:row r="1002" ht="22" customHeight="1">
      <x:c r="A1002" s="2" t="str">
        <x:v>L000998</x:v>
      </x:c>
      <x:c r="B1002" s="2" t="str">
        <x:v>O00407</x:v>
      </x:c>
      <x:c r="C1002" s="7" t="n">
        <x:v>45910</x:v>
      </x:c>
      <x:c r="D1002" s="2" t="str">
        <x:v>Completed</x:v>
      </x:c>
      <x:c r="E1002" s="2" t="str">
        <x:v>North</x:v>
      </x:c>
      <x:c r="F1002" s="2" t="str">
        <x:v>Online</x:v>
      </x:c>
      <x:c r="G1002" s="2" t="str">
        <x:v>Lighting</x:v>
      </x:c>
      <x:c r="H1002" s="2" t="str">
        <x:v>Lamp 017</x:v>
      </x:c>
      <x:c r="I1002" s="11" t="n">
        <x:v>5</x:v>
      </x:c>
      <x:c r="J1002" s="9" t="n">
        <x:v>300</x:v>
      </x:c>
      <x:c r="K1002" s="10" t="n">
        <x:v>0.05</x:v>
      </x:c>
      <x:c r="L1002" s="11" t="n">
        <x:v>0</x:v>
      </x:c>
      <x:c r="M1002" s="9" t="n">
        <x:f>IF(D1002="Completed",I1002*J1002,0)</x:f>
        <x:v>1500</x:v>
      </x:c>
      <x:c r="N1002" s="9" t="n">
        <x:f>M1002*K1002</x:f>
        <x:v>75</x:v>
      </x:c>
      <x:c r="O1002" s="9" t="n">
        <x:f>M1002-N1002</x:f>
        <x:v>1425</x:v>
      </x:c>
      <x:c r="P1002" s="9" t="n">
        <x:f>IF(D1002="Completed",L1002*J1002*(1-K1002),0)</x:f>
        <x:v>0</x:v>
      </x:c>
      <x:c r="Q1002" s="9" t="n">
        <x:f>O1002-P1002</x:f>
        <x:v>1425</x:v>
      </x:c>
      <x:c r="R1002" s="11" t="n">
        <x:f>IF(D1002="Completed",I1002,0)</x:f>
        <x:v>5</x:v>
      </x:c>
      <x:c r="S1002" s="11" t="n">
        <x:f>IF(D1002="Completed",L1002,0)</x:f>
        <x:v>0</x:v>
      </x:c>
      <x:c r="T1002" s="8" t="n">
        <x:f>DATE(YEAR(C1002),MONTH(C1002),1)</x:f>
        <x:v>45901</x:v>
      </x:c>
    </x:row>
    <x:row r="1003" ht="22" customHeight="1">
      <x:c r="A1003" s="2" t="str">
        <x:v>L000999</x:v>
      </x:c>
      <x:c r="B1003" s="2" t="str">
        <x:v>O00407</x:v>
      </x:c>
      <x:c r="C1003" s="7" t="n">
        <x:v>45910</x:v>
      </x:c>
      <x:c r="D1003" s="2" t="str">
        <x:v>Completed</x:v>
      </x:c>
      <x:c r="E1003" s="2" t="str">
        <x:v>North</x:v>
      </x:c>
      <x:c r="F1003" s="2" t="str">
        <x:v>Online</x:v>
      </x:c>
      <x:c r="G1003" s="2" t="str">
        <x:v>Furniture</x:v>
      </x:c>
      <x:c r="H1003" s="2" t="str">
        <x:v>Chair 022</x:v>
      </x:c>
      <x:c r="I1003" s="11" t="n">
        <x:v>3</x:v>
      </x:c>
      <x:c r="J1003" s="9" t="n">
        <x:v>134</x:v>
      </x:c>
      <x:c r="K1003" s="10" t="n">
        <x:v>0.1</x:v>
      </x:c>
      <x:c r="L1003" s="11" t="n">
        <x:v>0</x:v>
      </x:c>
      <x:c r="M1003" s="9" t="n">
        <x:f>IF(D1003="Completed",I1003*J1003,0)</x:f>
        <x:v>402</x:v>
      </x:c>
      <x:c r="N1003" s="9" t="n">
        <x:f>M1003*K1003</x:f>
        <x:v>40.2</x:v>
      </x:c>
      <x:c r="O1003" s="9" t="n">
        <x:f>M1003-N1003</x:f>
        <x:v>361.8</x:v>
      </x:c>
      <x:c r="P1003" s="9" t="n">
        <x:f>IF(D1003="Completed",L1003*J1003*(1-K1003),0)</x:f>
        <x:v>0</x:v>
      </x:c>
      <x:c r="Q1003" s="9" t="n">
        <x:f>O1003-P1003</x:f>
        <x:v>361.8</x:v>
      </x:c>
      <x:c r="R1003" s="11" t="n">
        <x:f>IF(D1003="Completed",I1003,0)</x:f>
        <x:v>3</x:v>
      </x:c>
      <x:c r="S1003" s="11" t="n">
        <x:f>IF(D1003="Completed",L1003,0)</x:f>
        <x:v>0</x:v>
      </x:c>
      <x:c r="T1003" s="8" t="n">
        <x:f>DATE(YEAR(C1003),MONTH(C1003),1)</x:f>
        <x:v>45901</x:v>
      </x:c>
    </x:row>
    <x:row r="1004" ht="22" customHeight="1">
      <x:c r="A1004" s="2" t="str">
        <x:v>L001000</x:v>
      </x:c>
      <x:c r="B1004" s="2" t="str">
        <x:v>O00408</x:v>
      </x:c>
      <x:c r="C1004" s="7" t="n">
        <x:v>45961</x:v>
      </x:c>
      <x:c r="D1004" s="2" t="str">
        <x:v>Cancelled</x:v>
      </x:c>
      <x:c r="E1004" s="2" t="str">
        <x:v>West</x:v>
      </x:c>
      <x:c r="F1004" s="2" t="str">
        <x:v>Online</x:v>
      </x:c>
      <x:c r="G1004" s="2" t="str">
        <x:v>Furniture</x:v>
      </x:c>
      <x:c r="H1004" s="2" t="str">
        <x:v>Desk 024</x:v>
      </x:c>
      <x:c r="I1004" s="11" t="n">
        <x:v>4</x:v>
      </x:c>
      <x:c r="J1004" s="9" t="n">
        <x:v>81</x:v>
      </x:c>
      <x:c r="K1004" s="10" t="n">
        <x:v>0.1</x:v>
      </x:c>
      <x:c r="L1004" s="11" t="n">
        <x:v>0</x:v>
      </x:c>
      <x:c r="M1004" s="9" t="n">
        <x:f>IF(D1004="Completed",I1004*J1004,0)</x:f>
        <x:v>0</x:v>
      </x:c>
      <x:c r="N1004" s="9" t="n">
        <x:f>M1004*K1004</x:f>
        <x:v>0</x:v>
      </x:c>
      <x:c r="O1004" s="9" t="n">
        <x:f>M1004-N1004</x:f>
        <x:v>0</x:v>
      </x:c>
      <x:c r="P1004" s="9" t="n">
        <x:f>IF(D1004="Completed",L1004*J1004*(1-K1004),0)</x:f>
        <x:v>0</x:v>
      </x:c>
      <x:c r="Q1004" s="9" t="n">
        <x:f>O1004-P1004</x:f>
        <x:v>0</x:v>
      </x:c>
      <x:c r="R1004" s="11" t="n">
        <x:f>IF(D1004="Completed",I1004,0)</x:f>
        <x:v>0</x:v>
      </x:c>
      <x:c r="S1004" s="11" t="n">
        <x:f>IF(D1004="Completed",L1004,0)</x:f>
        <x:v>0</x:v>
      </x:c>
      <x:c r="T1004" s="8" t="n">
        <x:f>DATE(YEAR(C1004),MONTH(C1004),1)</x:f>
        <x:v>45931</x:v>
      </x:c>
    </x:row>
    <x:row r="1005" ht="22" customHeight="1">
      <x:c r="A1005" s="2" t="str">
        <x:v>L001001</x:v>
      </x:c>
      <x:c r="B1005" s="2" t="str">
        <x:v>O00409</x:v>
      </x:c>
      <x:c r="C1005" s="7" t="n">
        <x:v>46014</x:v>
      </x:c>
      <x:c r="D1005" s="2" t="str">
        <x:v>Completed</x:v>
      </x:c>
      <x:c r="E1005" s="2" t="str">
        <x:v>South</x:v>
      </x:c>
      <x:c r="F1005" s="2" t="str">
        <x:v>Online</x:v>
      </x:c>
      <x:c r="G1005" s="2" t="str">
        <x:v>Storage</x:v>
      </x:c>
      <x:c r="H1005" s="2" t="str">
        <x:v>Shelf 015</x:v>
      </x:c>
      <x:c r="I1005" s="11" t="n">
        <x:v>4</x:v>
      </x:c>
      <x:c r="J1005" s="9" t="n">
        <x:v>254</x:v>
      </x:c>
      <x:c r="K1005" s="10" t="n">
        <x:v>0.1</x:v>
      </x:c>
      <x:c r="L1005" s="11" t="n">
        <x:v>0</x:v>
      </x:c>
      <x:c r="M1005" s="9" t="n">
        <x:f>IF(D1005="Completed",I1005*J1005,0)</x:f>
        <x:v>1016</x:v>
      </x:c>
      <x:c r="N1005" s="9" t="n">
        <x:f>M1005*K1005</x:f>
        <x:v>101.60000000000001</x:v>
      </x:c>
      <x:c r="O1005" s="9" t="n">
        <x:f>M1005-N1005</x:f>
        <x:v>914.4</x:v>
      </x:c>
      <x:c r="P1005" s="9" t="n">
        <x:f>IF(D1005="Completed",L1005*J1005*(1-K1005),0)</x:f>
        <x:v>0</x:v>
      </x:c>
      <x:c r="Q1005" s="9" t="n">
        <x:f>O1005-P1005</x:f>
        <x:v>914.4</x:v>
      </x:c>
      <x:c r="R1005" s="11" t="n">
        <x:f>IF(D1005="Completed",I1005,0)</x:f>
        <x:v>4</x:v>
      </x:c>
      <x:c r="S1005" s="11" t="n">
        <x:f>IF(D1005="Completed",L1005,0)</x:f>
        <x:v>0</x:v>
      </x:c>
      <x:c r="T1005" s="8" t="n">
        <x:f>DATE(YEAR(C1005),MONTH(C1005),1)</x:f>
        <x:v>45992</x:v>
      </x:c>
    </x:row>
    <x:row r="1006" ht="22" customHeight="1">
      <x:c r="A1006" s="2" t="str">
        <x:v>L001002</x:v>
      </x:c>
      <x:c r="B1006" s="2" t="str">
        <x:v>O00409</x:v>
      </x:c>
      <x:c r="C1006" s="7" t="n">
        <x:v>46014</x:v>
      </x:c>
      <x:c r="D1006" s="2" t="str">
        <x:v>Completed</x:v>
      </x:c>
      <x:c r="E1006" s="2" t="str">
        <x:v>South</x:v>
      </x:c>
      <x:c r="F1006" s="2" t="str">
        <x:v>Online</x:v>
      </x:c>
      <x:c r="G1006" s="2" t="str">
        <x:v>Furniture</x:v>
      </x:c>
      <x:c r="H1006" s="2" t="str">
        <x:v>Desk 004</x:v>
      </x:c>
      <x:c r="I1006" s="11" t="n">
        <x:v>4</x:v>
      </x:c>
      <x:c r="J1006" s="9" t="n">
        <x:v>123</x:v>
      </x:c>
      <x:c r="K1006" s="10" t="n">
        <x:v>0.1</x:v>
      </x:c>
      <x:c r="L1006" s="11" t="n">
        <x:v>0</x:v>
      </x:c>
      <x:c r="M1006" s="9" t="n">
        <x:f>IF(D1006="Completed",I1006*J1006,0)</x:f>
        <x:v>492</x:v>
      </x:c>
      <x:c r="N1006" s="9" t="n">
        <x:f>M1006*K1006</x:f>
        <x:v>49.2</x:v>
      </x:c>
      <x:c r="O1006" s="9" t="n">
        <x:f>M1006-N1006</x:f>
        <x:v>442.8</x:v>
      </x:c>
      <x:c r="P1006" s="9" t="n">
        <x:f>IF(D1006="Completed",L1006*J1006*(1-K1006),0)</x:f>
        <x:v>0</x:v>
      </x:c>
      <x:c r="Q1006" s="9" t="n">
        <x:f>O1006-P1006</x:f>
        <x:v>442.8</x:v>
      </x:c>
      <x:c r="R1006" s="11" t="n">
        <x:f>IF(D1006="Completed",I1006,0)</x:f>
        <x:v>4</x:v>
      </x:c>
      <x:c r="S1006" s="11" t="n">
        <x:f>IF(D1006="Completed",L1006,0)</x:f>
        <x:v>0</x:v>
      </x:c>
      <x:c r="T1006" s="8" t="n">
        <x:f>DATE(YEAR(C1006),MONTH(C1006),1)</x:f>
        <x:v>45992</x:v>
      </x:c>
    </x:row>
    <x:row r="1007" ht="22" customHeight="1">
      <x:c r="A1007" s="2" t="str">
        <x:v>L001003</x:v>
      </x:c>
      <x:c r="B1007" s="2" t="str">
        <x:v>O00410</x:v>
      </x:c>
      <x:c r="C1007" s="7" t="n">
        <x:v>45697</x:v>
      </x:c>
      <x:c r="D1007" s="2" t="str">
        <x:v>Completed</x:v>
      </x:c>
      <x:c r="E1007" s="2" t="str">
        <x:v>West</x:v>
      </x:c>
      <x:c r="F1007" s="2" t="str">
        <x:v>Store</x:v>
      </x:c>
      <x:c r="G1007" s="2" t="str">
        <x:v>Furniture</x:v>
      </x:c>
      <x:c r="H1007" s="2" t="str">
        <x:v>Desk 016</x:v>
      </x:c>
      <x:c r="I1007" s="11" t="n">
        <x:v>4</x:v>
      </x:c>
      <x:c r="J1007" s="9" t="n">
        <x:v>231</x:v>
      </x:c>
      <x:c r="K1007" s="10" t="n">
        <x:v>0.1</x:v>
      </x:c>
      <x:c r="L1007" s="11" t="n">
        <x:v>0</x:v>
      </x:c>
      <x:c r="M1007" s="9" t="n">
        <x:f>IF(D1007="Completed",I1007*J1007,0)</x:f>
        <x:v>924</x:v>
      </x:c>
      <x:c r="N1007" s="9" t="n">
        <x:f>M1007*K1007</x:f>
        <x:v>92.4</x:v>
      </x:c>
      <x:c r="O1007" s="9" t="n">
        <x:f>M1007-N1007</x:f>
        <x:v>831.6</x:v>
      </x:c>
      <x:c r="P1007" s="9" t="n">
        <x:f>IF(D1007="Completed",L1007*J1007*(1-K1007),0)</x:f>
        <x:v>0</x:v>
      </x:c>
      <x:c r="Q1007" s="9" t="n">
        <x:f>O1007-P1007</x:f>
        <x:v>831.6</x:v>
      </x:c>
      <x:c r="R1007" s="11" t="n">
        <x:f>IF(D1007="Completed",I1007,0)</x:f>
        <x:v>4</x:v>
      </x:c>
      <x:c r="S1007" s="11" t="n">
        <x:f>IF(D1007="Completed",L1007,0)</x:f>
        <x:v>0</x:v>
      </x:c>
      <x:c r="T1007" s="8" t="n">
        <x:f>DATE(YEAR(C1007),MONTH(C1007),1)</x:f>
        <x:v>45689</x:v>
      </x:c>
    </x:row>
    <x:row r="1008" ht="22" customHeight="1">
      <x:c r="A1008" s="2" t="str">
        <x:v>L001004</x:v>
      </x:c>
      <x:c r="B1008" s="2" t="str">
        <x:v>O00410</x:v>
      </x:c>
      <x:c r="C1008" s="7" t="n">
        <x:v>45697</x:v>
      </x:c>
      <x:c r="D1008" s="2" t="str">
        <x:v>Completed</x:v>
      </x:c>
      <x:c r="E1008" s="2" t="str">
        <x:v>West</x:v>
      </x:c>
      <x:c r="F1008" s="2" t="str">
        <x:v>Store</x:v>
      </x:c>
      <x:c r="G1008" s="2" t="str">
        <x:v>Furniture</x:v>
      </x:c>
      <x:c r="H1008" s="2" t="str">
        <x:v>Desk 020</x:v>
      </x:c>
      <x:c r="I1008" s="11" t="n">
        <x:v>4</x:v>
      </x:c>
      <x:c r="J1008" s="9" t="n">
        <x:v>189</x:v>
      </x:c>
      <x:c r="K1008" s="10" t="n">
        <x:v>0.2</x:v>
      </x:c>
      <x:c r="L1008" s="11" t="n">
        <x:v>3</x:v>
      </x:c>
      <x:c r="M1008" s="9" t="n">
        <x:f>IF(D1008="Completed",I1008*J1008,0)</x:f>
        <x:v>756</x:v>
      </x:c>
      <x:c r="N1008" s="9" t="n">
        <x:f>M1008*K1008</x:f>
        <x:v>151.20000000000002</x:v>
      </x:c>
      <x:c r="O1008" s="9" t="n">
        <x:f>M1008-N1008</x:f>
        <x:v>604.8</x:v>
      </x:c>
      <x:c r="P1008" s="9" t="n">
        <x:f>IF(D1008="Completed",L1008*J1008*(1-K1008),0)</x:f>
        <x:v>453.6</x:v>
      </x:c>
      <x:c r="Q1008" s="9" t="n">
        <x:f>O1008-P1008</x:f>
        <x:v>151.19999999999993</x:v>
      </x:c>
      <x:c r="R1008" s="11" t="n">
        <x:f>IF(D1008="Completed",I1008,0)</x:f>
        <x:v>4</x:v>
      </x:c>
      <x:c r="S1008" s="11" t="n">
        <x:f>IF(D1008="Completed",L1008,0)</x:f>
        <x:v>3</x:v>
      </x:c>
      <x:c r="T1008" s="8" t="n">
        <x:f>DATE(YEAR(C1008),MONTH(C1008),1)</x:f>
        <x:v>45689</x:v>
      </x:c>
    </x:row>
    <x:row r="1009" ht="22" customHeight="1">
      <x:c r="A1009" s="2" t="str">
        <x:v>L001005</x:v>
      </x:c>
      <x:c r="B1009" s="2" t="str">
        <x:v>O00410</x:v>
      </x:c>
      <x:c r="C1009" s="7" t="n">
        <x:v>45697</x:v>
      </x:c>
      <x:c r="D1009" s="2" t="str">
        <x:v>Completed</x:v>
      </x:c>
      <x:c r="E1009" s="2" t="str">
        <x:v>West</x:v>
      </x:c>
      <x:c r="F1009" s="2" t="str">
        <x:v>Store</x:v>
      </x:c>
      <x:c r="G1009" s="2" t="str">
        <x:v>Furniture</x:v>
      </x:c>
      <x:c r="H1009" s="2" t="str">
        <x:v>Chair 006</x:v>
      </x:c>
      <x:c r="I1009" s="11" t="n">
        <x:v>2</x:v>
      </x:c>
      <x:c r="J1009" s="9" t="n">
        <x:v>196</x:v>
      </x:c>
      <x:c r="K1009" s="10" t="n">
        <x:v>0.2</x:v>
      </x:c>
      <x:c r="L1009" s="11" t="n">
        <x:v>0</x:v>
      </x:c>
      <x:c r="M1009" s="9" t="n">
        <x:f>IF(D1009="Completed",I1009*J1009,0)</x:f>
        <x:v>392</x:v>
      </x:c>
      <x:c r="N1009" s="9" t="n">
        <x:f>M1009*K1009</x:f>
        <x:v>78.4</x:v>
      </x:c>
      <x:c r="O1009" s="9" t="n">
        <x:f>M1009-N1009</x:f>
        <x:v>313.6</x:v>
      </x:c>
      <x:c r="P1009" s="9" t="n">
        <x:f>IF(D1009="Completed",L1009*J1009*(1-K1009),0)</x:f>
        <x:v>0</x:v>
      </x:c>
      <x:c r="Q1009" s="9" t="n">
        <x:f>O1009-P1009</x:f>
        <x:v>313.6</x:v>
      </x:c>
      <x:c r="R1009" s="11" t="n">
        <x:f>IF(D1009="Completed",I1009,0)</x:f>
        <x:v>2</x:v>
      </x:c>
      <x:c r="S1009" s="11" t="n">
        <x:f>IF(D1009="Completed",L1009,0)</x:f>
        <x:v>0</x:v>
      </x:c>
      <x:c r="T1009" s="8" t="n">
        <x:f>DATE(YEAR(C1009),MONTH(C1009),1)</x:f>
        <x:v>45689</x:v>
      </x:c>
    </x:row>
    <x:row r="1010" ht="22" customHeight="1">
      <x:c r="A1010" s="2" t="str">
        <x:v>L001006</x:v>
      </x:c>
      <x:c r="B1010" s="2" t="str">
        <x:v>O00410</x:v>
      </x:c>
      <x:c r="C1010" s="7" t="n">
        <x:v>45697</x:v>
      </x:c>
      <x:c r="D1010" s="2" t="str">
        <x:v>Completed</x:v>
      </x:c>
      <x:c r="E1010" s="2" t="str">
        <x:v>West</x:v>
      </x:c>
      <x:c r="F1010" s="2" t="str">
        <x:v>Store</x:v>
      </x:c>
      <x:c r="G1010" s="2" t="str">
        <x:v>Lighting</x:v>
      </x:c>
      <x:c r="H1010" s="2" t="str">
        <x:v>Lamp 001</x:v>
      </x:c>
      <x:c r="I1010" s="11" t="n">
        <x:v>4</x:v>
      </x:c>
      <x:c r="J1010" s="9" t="n">
        <x:v>122</x:v>
      </x:c>
      <x:c r="K1010" s="10" t="n">
        <x:v>0</x:v>
      </x:c>
      <x:c r="L1010" s="11" t="n">
        <x:v>0</x:v>
      </x:c>
      <x:c r="M1010" s="9" t="n">
        <x:f>IF(D1010="Completed",I1010*J1010,0)</x:f>
        <x:v>488</x:v>
      </x:c>
      <x:c r="N1010" s="9" t="n">
        <x:f>M1010*K1010</x:f>
        <x:v>0</x:v>
      </x:c>
      <x:c r="O1010" s="9" t="n">
        <x:f>M1010-N1010</x:f>
        <x:v>488</x:v>
      </x:c>
      <x:c r="P1010" s="9" t="n">
        <x:f>IF(D1010="Completed",L1010*J1010*(1-K1010),0)</x:f>
        <x:v>0</x:v>
      </x:c>
      <x:c r="Q1010" s="9" t="n">
        <x:f>O1010-P1010</x:f>
        <x:v>488</x:v>
      </x:c>
      <x:c r="R1010" s="11" t="n">
        <x:f>IF(D1010="Completed",I1010,0)</x:f>
        <x:v>4</x:v>
      </x:c>
      <x:c r="S1010" s="11" t="n">
        <x:f>IF(D1010="Completed",L1010,0)</x:f>
        <x:v>0</x:v>
      </x:c>
      <x:c r="T1010" s="8" t="n">
        <x:f>DATE(YEAR(C1010),MONTH(C1010),1)</x:f>
        <x:v>45689</x:v>
      </x:c>
    </x:row>
    <x:row r="1011" ht="22" customHeight="1">
      <x:c r="A1011" s="2" t="str">
        <x:v>L001007</x:v>
      </x:c>
      <x:c r="B1011" s="2" t="str">
        <x:v>O00411</x:v>
      </x:c>
      <x:c r="C1011" s="7" t="n">
        <x:v>45751</x:v>
      </x:c>
      <x:c r="D1011" s="2" t="str">
        <x:v>Completed</x:v>
      </x:c>
      <x:c r="E1011" s="2" t="str">
        <x:v>South</x:v>
      </x:c>
      <x:c r="F1011" s="2" t="str">
        <x:v>Store</x:v>
      </x:c>
      <x:c r="G1011" s="2" t="str">
        <x:v>Furniture</x:v>
      </x:c>
      <x:c r="H1011" s="2" t="str">
        <x:v>Chair 018</x:v>
      </x:c>
      <x:c r="I1011" s="11" t="n">
        <x:v>5</x:v>
      </x:c>
      <x:c r="J1011" s="9" t="n">
        <x:v>269</x:v>
      </x:c>
      <x:c r="K1011" s="10" t="n">
        <x:v>0.2</x:v>
      </x:c>
      <x:c r="L1011" s="11" t="n">
        <x:v>0</x:v>
      </x:c>
      <x:c r="M1011" s="9" t="n">
        <x:f>IF(D1011="Completed",I1011*J1011,0)</x:f>
        <x:v>1345</x:v>
      </x:c>
      <x:c r="N1011" s="9" t="n">
        <x:f>M1011*K1011</x:f>
        <x:v>269</x:v>
      </x:c>
      <x:c r="O1011" s="9" t="n">
        <x:f>M1011-N1011</x:f>
        <x:v>1076</x:v>
      </x:c>
      <x:c r="P1011" s="9" t="n">
        <x:f>IF(D1011="Completed",L1011*J1011*(1-K1011),0)</x:f>
        <x:v>0</x:v>
      </x:c>
      <x:c r="Q1011" s="9" t="n">
        <x:f>O1011-P1011</x:f>
        <x:v>1076</x:v>
      </x:c>
      <x:c r="R1011" s="11" t="n">
        <x:f>IF(D1011="Completed",I1011,0)</x:f>
        <x:v>5</x:v>
      </x:c>
      <x:c r="S1011" s="11" t="n">
        <x:f>IF(D1011="Completed",L1011,0)</x:f>
        <x:v>0</x:v>
      </x:c>
      <x:c r="T1011" s="8" t="n">
        <x:f>DATE(YEAR(C1011),MONTH(C1011),1)</x:f>
        <x:v>45748</x:v>
      </x:c>
    </x:row>
    <x:row r="1012" ht="22" customHeight="1">
      <x:c r="A1012" s="2" t="str">
        <x:v>L001008</x:v>
      </x:c>
      <x:c r="B1012" s="2" t="str">
        <x:v>O00411</x:v>
      </x:c>
      <x:c r="C1012" s="7" t="n">
        <x:v>45751</x:v>
      </x:c>
      <x:c r="D1012" s="2" t="str">
        <x:v>Completed</x:v>
      </x:c>
      <x:c r="E1012" s="2" t="str">
        <x:v>South</x:v>
      </x:c>
      <x:c r="F1012" s="2" t="str">
        <x:v>Store</x:v>
      </x:c>
      <x:c r="G1012" s="2" t="str">
        <x:v>Furniture</x:v>
      </x:c>
      <x:c r="H1012" s="2" t="str">
        <x:v>Desk 024</x:v>
      </x:c>
      <x:c r="I1012" s="11" t="n">
        <x:v>4</x:v>
      </x:c>
      <x:c r="J1012" s="9" t="n">
        <x:v>81</x:v>
      </x:c>
      <x:c r="K1012" s="10" t="n">
        <x:v>0.05</x:v>
      </x:c>
      <x:c r="L1012" s="11" t="n">
        <x:v>0</x:v>
      </x:c>
      <x:c r="M1012" s="9" t="n">
        <x:f>IF(D1012="Completed",I1012*J1012,0)</x:f>
        <x:v>324</x:v>
      </x:c>
      <x:c r="N1012" s="9" t="n">
        <x:f>M1012*K1012</x:f>
        <x:v>16.2</x:v>
      </x:c>
      <x:c r="O1012" s="9" t="n">
        <x:f>M1012-N1012</x:f>
        <x:v>307.8</x:v>
      </x:c>
      <x:c r="P1012" s="9" t="n">
        <x:f>IF(D1012="Completed",L1012*J1012*(1-K1012),0)</x:f>
        <x:v>0</x:v>
      </x:c>
      <x:c r="Q1012" s="9" t="n">
        <x:f>O1012-P1012</x:f>
        <x:v>307.8</x:v>
      </x:c>
      <x:c r="R1012" s="11" t="n">
        <x:f>IF(D1012="Completed",I1012,0)</x:f>
        <x:v>4</x:v>
      </x:c>
      <x:c r="S1012" s="11" t="n">
        <x:f>IF(D1012="Completed",L1012,0)</x:f>
        <x:v>0</x:v>
      </x:c>
      <x:c r="T1012" s="8" t="n">
        <x:f>DATE(YEAR(C1012),MONTH(C1012),1)</x:f>
        <x:v>45748</x:v>
      </x:c>
    </x:row>
    <x:row r="1013" ht="22" customHeight="1">
      <x:c r="A1013" s="2" t="str">
        <x:v>L001009</x:v>
      </x:c>
      <x:c r="B1013" s="2" t="str">
        <x:v>O00411</x:v>
      </x:c>
      <x:c r="C1013" s="7" t="n">
        <x:v>45751</x:v>
      </x:c>
      <x:c r="D1013" s="2" t="str">
        <x:v>Completed</x:v>
      </x:c>
      <x:c r="E1013" s="2" t="str">
        <x:v>South</x:v>
      </x:c>
      <x:c r="F1013" s="2" t="str">
        <x:v>Store</x:v>
      </x:c>
      <x:c r="G1013" s="2" t="str">
        <x:v>Furniture</x:v>
      </x:c>
      <x:c r="H1013" s="2" t="str">
        <x:v>Desk 024</x:v>
      </x:c>
      <x:c r="I1013" s="11" t="n">
        <x:v>2</x:v>
      </x:c>
      <x:c r="J1013" s="9" t="n">
        <x:v>81</x:v>
      </x:c>
      <x:c r="K1013" s="10" t="n">
        <x:v>0</x:v>
      </x:c>
      <x:c r="L1013" s="11" t="n">
        <x:v>0</x:v>
      </x:c>
      <x:c r="M1013" s="9" t="n">
        <x:f>IF(D1013="Completed",I1013*J1013,0)</x:f>
        <x:v>162</x:v>
      </x:c>
      <x:c r="N1013" s="9" t="n">
        <x:f>M1013*K1013</x:f>
        <x:v>0</x:v>
      </x:c>
      <x:c r="O1013" s="9" t="n">
        <x:f>M1013-N1013</x:f>
        <x:v>162</x:v>
      </x:c>
      <x:c r="P1013" s="9" t="n">
        <x:f>IF(D1013="Completed",L1013*J1013*(1-K1013),0)</x:f>
        <x:v>0</x:v>
      </x:c>
      <x:c r="Q1013" s="9" t="n">
        <x:f>O1013-P1013</x:f>
        <x:v>162</x:v>
      </x:c>
      <x:c r="R1013" s="11" t="n">
        <x:f>IF(D1013="Completed",I1013,0)</x:f>
        <x:v>2</x:v>
      </x:c>
      <x:c r="S1013" s="11" t="n">
        <x:f>IF(D1013="Completed",L1013,0)</x:f>
        <x:v>0</x:v>
      </x:c>
      <x:c r="T1013" s="8" t="n">
        <x:f>DATE(YEAR(C1013),MONTH(C1013),1)</x:f>
        <x:v>45748</x:v>
      </x:c>
    </x:row>
    <x:row r="1014" ht="22" customHeight="1">
      <x:c r="A1014" s="2" t="str">
        <x:v>L001010</x:v>
      </x:c>
      <x:c r="B1014" s="2" t="str">
        <x:v>O00412</x:v>
      </x:c>
      <x:c r="C1014" s="7" t="n">
        <x:v>45747</x:v>
      </x:c>
      <x:c r="D1014" s="2" t="str">
        <x:v>Completed</x:v>
      </x:c>
      <x:c r="E1014" s="2" t="str">
        <x:v>South</x:v>
      </x:c>
      <x:c r="F1014" s="2" t="str">
        <x:v>Store</x:v>
      </x:c>
      <x:c r="G1014" s="2" t="str">
        <x:v>Furniture</x:v>
      </x:c>
      <x:c r="H1014" s="2" t="str">
        <x:v>Chair 022</x:v>
      </x:c>
      <x:c r="I1014" s="11" t="n">
        <x:v>2</x:v>
      </x:c>
      <x:c r="J1014" s="9" t="n">
        <x:v>134</x:v>
      </x:c>
      <x:c r="K1014" s="10" t="n">
        <x:v>0.2</x:v>
      </x:c>
      <x:c r="L1014" s="11" t="n">
        <x:v>1</x:v>
      </x:c>
      <x:c r="M1014" s="9" t="n">
        <x:f>IF(D1014="Completed",I1014*J1014,0)</x:f>
        <x:v>268</x:v>
      </x:c>
      <x:c r="N1014" s="9" t="n">
        <x:f>M1014*K1014</x:f>
        <x:v>53.6</x:v>
      </x:c>
      <x:c r="O1014" s="9" t="n">
        <x:f>M1014-N1014</x:f>
        <x:v>214.4</x:v>
      </x:c>
      <x:c r="P1014" s="9" t="n">
        <x:f>IF(D1014="Completed",L1014*J1014*(1-K1014),0)</x:f>
        <x:v>107.2</x:v>
      </x:c>
      <x:c r="Q1014" s="9" t="n">
        <x:f>O1014-P1014</x:f>
        <x:v>107.2</x:v>
      </x:c>
      <x:c r="R1014" s="11" t="n">
        <x:f>IF(D1014="Completed",I1014,0)</x:f>
        <x:v>2</x:v>
      </x:c>
      <x:c r="S1014" s="11" t="n">
        <x:f>IF(D1014="Completed",L1014,0)</x:f>
        <x:v>1</x:v>
      </x:c>
      <x:c r="T1014" s="8" t="n">
        <x:f>DATE(YEAR(C1014),MONTH(C1014),1)</x:f>
        <x:v>45717</x:v>
      </x:c>
    </x:row>
    <x:row r="1015" ht="22" customHeight="1">
      <x:c r="A1015" s="2" t="str">
        <x:v>L001011</x:v>
      </x:c>
      <x:c r="B1015" s="2" t="str">
        <x:v>O00412</x:v>
      </x:c>
      <x:c r="C1015" s="7" t="n">
        <x:v>45747</x:v>
      </x:c>
      <x:c r="D1015" s="2" t="str">
        <x:v>Completed</x:v>
      </x:c>
      <x:c r="E1015" s="2" t="str">
        <x:v>South</x:v>
      </x:c>
      <x:c r="F1015" s="2" t="str">
        <x:v>Store</x:v>
      </x:c>
      <x:c r="G1015" s="2" t="str">
        <x:v>Furniture</x:v>
      </x:c>
      <x:c r="H1015" s="2" t="str">
        <x:v>Chair 002</x:v>
      </x:c>
      <x:c r="I1015" s="11" t="n">
        <x:v>5</x:v>
      </x:c>
      <x:c r="J1015" s="9" t="n">
        <x:v>284</x:v>
      </x:c>
      <x:c r="K1015" s="10" t="n">
        <x:v>0</x:v>
      </x:c>
      <x:c r="L1015" s="11" t="n">
        <x:v>0</x:v>
      </x:c>
      <x:c r="M1015" s="9" t="n">
        <x:f>IF(D1015="Completed",I1015*J1015,0)</x:f>
        <x:v>1420</x:v>
      </x:c>
      <x:c r="N1015" s="9" t="n">
        <x:f>M1015*K1015</x:f>
        <x:v>0</x:v>
      </x:c>
      <x:c r="O1015" s="9" t="n">
        <x:f>M1015-N1015</x:f>
        <x:v>1420</x:v>
      </x:c>
      <x:c r="P1015" s="9" t="n">
        <x:f>IF(D1015="Completed",L1015*J1015*(1-K1015),0)</x:f>
        <x:v>0</x:v>
      </x:c>
      <x:c r="Q1015" s="9" t="n">
        <x:f>O1015-P1015</x:f>
        <x:v>1420</x:v>
      </x:c>
      <x:c r="R1015" s="11" t="n">
        <x:f>IF(D1015="Completed",I1015,0)</x:f>
        <x:v>5</x:v>
      </x:c>
      <x:c r="S1015" s="11" t="n">
        <x:f>IF(D1015="Completed",L1015,0)</x:f>
        <x:v>0</x:v>
      </x:c>
      <x:c r="T1015" s="8" t="n">
        <x:f>DATE(YEAR(C1015),MONTH(C1015),1)</x:f>
        <x:v>45717</x:v>
      </x:c>
    </x:row>
    <x:row r="1016" ht="22" customHeight="1">
      <x:c r="A1016" s="2" t="str">
        <x:v>L001012</x:v>
      </x:c>
      <x:c r="B1016" s="2" t="str">
        <x:v>O00413</x:v>
      </x:c>
      <x:c r="C1016" s="7" t="n">
        <x:v>45973</x:v>
      </x:c>
      <x:c r="D1016" s="2" t="str">
        <x:v>Completed</x:v>
      </x:c>
      <x:c r="E1016" s="2" t="str">
        <x:v>North</x:v>
      </x:c>
      <x:c r="F1016" s="2" t="str">
        <x:v>Online</x:v>
      </x:c>
      <x:c r="G1016" s="2" t="str">
        <x:v>Furniture</x:v>
      </x:c>
      <x:c r="H1016" s="2" t="str">
        <x:v>Chair 022</x:v>
      </x:c>
      <x:c r="I1016" s="11" t="n">
        <x:v>4</x:v>
      </x:c>
      <x:c r="J1016" s="9" t="n">
        <x:v>134</x:v>
      </x:c>
      <x:c r="K1016" s="10" t="n">
        <x:v>0</x:v>
      </x:c>
      <x:c r="L1016" s="11" t="n">
        <x:v>0</x:v>
      </x:c>
      <x:c r="M1016" s="9" t="n">
        <x:f>IF(D1016="Completed",I1016*J1016,0)</x:f>
        <x:v>536</x:v>
      </x:c>
      <x:c r="N1016" s="9" t="n">
        <x:f>M1016*K1016</x:f>
        <x:v>0</x:v>
      </x:c>
      <x:c r="O1016" s="9" t="n">
        <x:f>M1016-N1016</x:f>
        <x:v>536</x:v>
      </x:c>
      <x:c r="P1016" s="9" t="n">
        <x:f>IF(D1016="Completed",L1016*J1016*(1-K1016),0)</x:f>
        <x:v>0</x:v>
      </x:c>
      <x:c r="Q1016" s="9" t="n">
        <x:f>O1016-P1016</x:f>
        <x:v>536</x:v>
      </x:c>
      <x:c r="R1016" s="11" t="n">
        <x:f>IF(D1016="Completed",I1016,0)</x:f>
        <x:v>4</x:v>
      </x:c>
      <x:c r="S1016" s="11" t="n">
        <x:f>IF(D1016="Completed",L1016,0)</x:f>
        <x:v>0</x:v>
      </x:c>
      <x:c r="T1016" s="8" t="n">
        <x:f>DATE(YEAR(C1016),MONTH(C1016),1)</x:f>
        <x:v>45962</x:v>
      </x:c>
    </x:row>
    <x:row r="1017" ht="22" customHeight="1">
      <x:c r="A1017" s="2" t="str">
        <x:v>L001013</x:v>
      </x:c>
      <x:c r="B1017" s="2" t="str">
        <x:v>O00413</x:v>
      </x:c>
      <x:c r="C1017" s="7" t="n">
        <x:v>45973</x:v>
      </x:c>
      <x:c r="D1017" s="2" t="str">
        <x:v>Completed</x:v>
      </x:c>
      <x:c r="E1017" s="2" t="str">
        <x:v>North</x:v>
      </x:c>
      <x:c r="F1017" s="2" t="str">
        <x:v>Online</x:v>
      </x:c>
      <x:c r="G1017" s="2" t="str">
        <x:v>Storage</x:v>
      </x:c>
      <x:c r="H1017" s="2" t="str">
        <x:v>Shelf 003</x:v>
      </x:c>
      <x:c r="I1017" s="11" t="n">
        <x:v>4</x:v>
      </x:c>
      <x:c r="J1017" s="9" t="n">
        <x:v>199</x:v>
      </x:c>
      <x:c r="K1017" s="10" t="n">
        <x:v>0.1</x:v>
      </x:c>
      <x:c r="L1017" s="11" t="n">
        <x:v>0</x:v>
      </x:c>
      <x:c r="M1017" s="9" t="n">
        <x:f>IF(D1017="Completed",I1017*J1017,0)</x:f>
        <x:v>796</x:v>
      </x:c>
      <x:c r="N1017" s="9" t="n">
        <x:f>M1017*K1017</x:f>
        <x:v>79.60000000000001</x:v>
      </x:c>
      <x:c r="O1017" s="9" t="n">
        <x:f>M1017-N1017</x:f>
        <x:v>716.4</x:v>
      </x:c>
      <x:c r="P1017" s="9" t="n">
        <x:f>IF(D1017="Completed",L1017*J1017*(1-K1017),0)</x:f>
        <x:v>0</x:v>
      </x:c>
      <x:c r="Q1017" s="9" t="n">
        <x:f>O1017-P1017</x:f>
        <x:v>716.4</x:v>
      </x:c>
      <x:c r="R1017" s="11" t="n">
        <x:f>IF(D1017="Completed",I1017,0)</x:f>
        <x:v>4</x:v>
      </x:c>
      <x:c r="S1017" s="11" t="n">
        <x:f>IF(D1017="Completed",L1017,0)</x:f>
        <x:v>0</x:v>
      </x:c>
      <x:c r="T1017" s="8" t="n">
        <x:f>DATE(YEAR(C1017),MONTH(C1017),1)</x:f>
        <x:v>45962</x:v>
      </x:c>
    </x:row>
    <x:row r="1018" ht="22" customHeight="1">
      <x:c r="A1018" s="2" t="str">
        <x:v>L001014</x:v>
      </x:c>
      <x:c r="B1018" s="2" t="str">
        <x:v>O00413</x:v>
      </x:c>
      <x:c r="C1018" s="7" t="n">
        <x:v>45973</x:v>
      </x:c>
      <x:c r="D1018" s="2" t="str">
        <x:v>Completed</x:v>
      </x:c>
      <x:c r="E1018" s="2" t="str">
        <x:v>North</x:v>
      </x:c>
      <x:c r="F1018" s="2" t="str">
        <x:v>Online</x:v>
      </x:c>
      <x:c r="G1018" s="2" t="str">
        <x:v>Furniture</x:v>
      </x:c>
      <x:c r="H1018" s="2" t="str">
        <x:v>Desk 012</x:v>
      </x:c>
      <x:c r="I1018" s="11" t="n">
        <x:v>1</x:v>
      </x:c>
      <x:c r="J1018" s="9" t="n">
        <x:v>134</x:v>
      </x:c>
      <x:c r="K1018" s="10" t="n">
        <x:v>0.2</x:v>
      </x:c>
      <x:c r="L1018" s="11" t="n">
        <x:v>0</x:v>
      </x:c>
      <x:c r="M1018" s="9" t="n">
        <x:f>IF(D1018="Completed",I1018*J1018,0)</x:f>
        <x:v>134</x:v>
      </x:c>
      <x:c r="N1018" s="9" t="n">
        <x:f>M1018*K1018</x:f>
        <x:v>26.8</x:v>
      </x:c>
      <x:c r="O1018" s="9" t="n">
        <x:f>M1018-N1018</x:f>
        <x:v>107.2</x:v>
      </x:c>
      <x:c r="P1018" s="9" t="n">
        <x:f>IF(D1018="Completed",L1018*J1018*(1-K1018),0)</x:f>
        <x:v>0</x:v>
      </x:c>
      <x:c r="Q1018" s="9" t="n">
        <x:f>O1018-P1018</x:f>
        <x:v>107.2</x:v>
      </x:c>
      <x:c r="R1018" s="11" t="n">
        <x:f>IF(D1018="Completed",I1018,0)</x:f>
        <x:v>1</x:v>
      </x:c>
      <x:c r="S1018" s="11" t="n">
        <x:f>IF(D1018="Completed",L1018,0)</x:f>
        <x:v>0</x:v>
      </x:c>
      <x:c r="T1018" s="8" t="n">
        <x:f>DATE(YEAR(C1018),MONTH(C1018),1)</x:f>
        <x:v>45962</x:v>
      </x:c>
    </x:row>
    <x:row r="1019" ht="22" customHeight="1">
      <x:c r="A1019" s="2" t="str">
        <x:v>L001015</x:v>
      </x:c>
      <x:c r="B1019" s="2" t="str">
        <x:v>O00413</x:v>
      </x:c>
      <x:c r="C1019" s="7" t="n">
        <x:v>45973</x:v>
      </x:c>
      <x:c r="D1019" s="2" t="str">
        <x:v>Completed</x:v>
      </x:c>
      <x:c r="E1019" s="2" t="str">
        <x:v>North</x:v>
      </x:c>
      <x:c r="F1019" s="2" t="str">
        <x:v>Online</x:v>
      </x:c>
      <x:c r="G1019" s="2" t="str">
        <x:v>Furniture</x:v>
      </x:c>
      <x:c r="H1019" s="2" t="str">
        <x:v>Desk 020</x:v>
      </x:c>
      <x:c r="I1019" s="11" t="n">
        <x:v>3</x:v>
      </x:c>
      <x:c r="J1019" s="9" t="n">
        <x:v>189</x:v>
      </x:c>
      <x:c r="K1019" s="10" t="n">
        <x:v>0.2</x:v>
      </x:c>
      <x:c r="L1019" s="11" t="n">
        <x:v>0</x:v>
      </x:c>
      <x:c r="M1019" s="9" t="n">
        <x:f>IF(D1019="Completed",I1019*J1019,0)</x:f>
        <x:v>567</x:v>
      </x:c>
      <x:c r="N1019" s="9" t="n">
        <x:f>M1019*K1019</x:f>
        <x:v>113.4</x:v>
      </x:c>
      <x:c r="O1019" s="9" t="n">
        <x:f>M1019-N1019</x:f>
        <x:v>453.6</x:v>
      </x:c>
      <x:c r="P1019" s="9" t="n">
        <x:f>IF(D1019="Completed",L1019*J1019*(1-K1019),0)</x:f>
        <x:v>0</x:v>
      </x:c>
      <x:c r="Q1019" s="9" t="n">
        <x:f>O1019-P1019</x:f>
        <x:v>453.6</x:v>
      </x:c>
      <x:c r="R1019" s="11" t="n">
        <x:f>IF(D1019="Completed",I1019,0)</x:f>
        <x:v>3</x:v>
      </x:c>
      <x:c r="S1019" s="11" t="n">
        <x:f>IF(D1019="Completed",L1019,0)</x:f>
        <x:v>0</x:v>
      </x:c>
      <x:c r="T1019" s="8" t="n">
        <x:f>DATE(YEAR(C1019),MONTH(C1019),1)</x:f>
        <x:v>45962</x:v>
      </x:c>
    </x:row>
    <x:row r="1020" ht="22" customHeight="1">
      <x:c r="A1020" s="2" t="str">
        <x:v>L001016</x:v>
      </x:c>
      <x:c r="B1020" s="2" t="str">
        <x:v>O00414</x:v>
      </x:c>
      <x:c r="C1020" s="7" t="n">
        <x:v>45894</x:v>
      </x:c>
      <x:c r="D1020" s="2" t="str">
        <x:v>Completed</x:v>
      </x:c>
      <x:c r="E1020" s="2" t="str">
        <x:v>North</x:v>
      </x:c>
      <x:c r="F1020" s="2" t="str">
        <x:v>Store</x:v>
      </x:c>
      <x:c r="G1020" s="2" t="str">
        <x:v>Lighting</x:v>
      </x:c>
      <x:c r="H1020" s="2" t="str">
        <x:v>Lamp 017</x:v>
      </x:c>
      <x:c r="I1020" s="11" t="n">
        <x:v>1</x:v>
      </x:c>
      <x:c r="J1020" s="9" t="n">
        <x:v>300</x:v>
      </x:c>
      <x:c r="K1020" s="10" t="n">
        <x:v>0.2</x:v>
      </x:c>
      <x:c r="L1020" s="11" t="n">
        <x:v>1</x:v>
      </x:c>
      <x:c r="M1020" s="9" t="n">
        <x:f>IF(D1020="Completed",I1020*J1020,0)</x:f>
        <x:v>300</x:v>
      </x:c>
      <x:c r="N1020" s="9" t="n">
        <x:f>M1020*K1020</x:f>
        <x:v>60</x:v>
      </x:c>
      <x:c r="O1020" s="9" t="n">
        <x:f>M1020-N1020</x:f>
        <x:v>240</x:v>
      </x:c>
      <x:c r="P1020" s="9" t="n">
        <x:f>IF(D1020="Completed",L1020*J1020*(1-K1020),0)</x:f>
        <x:v>240</x:v>
      </x:c>
      <x:c r="Q1020" s="9" t="n">
        <x:f>O1020-P1020</x:f>
        <x:v>0</x:v>
      </x:c>
      <x:c r="R1020" s="11" t="n">
        <x:f>IF(D1020="Completed",I1020,0)</x:f>
        <x:v>1</x:v>
      </x:c>
      <x:c r="S1020" s="11" t="n">
        <x:f>IF(D1020="Completed",L1020,0)</x:f>
        <x:v>1</x:v>
      </x:c>
      <x:c r="T1020" s="8" t="n">
        <x:f>DATE(YEAR(C1020),MONTH(C1020),1)</x:f>
        <x:v>45870</x:v>
      </x:c>
    </x:row>
    <x:row r="1021" ht="22" customHeight="1">
      <x:c r="A1021" s="2" t="str">
        <x:v>L001017</x:v>
      </x:c>
      <x:c r="B1021" s="2" t="str">
        <x:v>O00414</x:v>
      </x:c>
      <x:c r="C1021" s="7" t="n">
        <x:v>45894</x:v>
      </x:c>
      <x:c r="D1021" s="2" t="str">
        <x:v>Completed</x:v>
      </x:c>
      <x:c r="E1021" s="2" t="str">
        <x:v>North</x:v>
      </x:c>
      <x:c r="F1021" s="2" t="str">
        <x:v>Store</x:v>
      </x:c>
      <x:c r="G1021" s="2" t="str">
        <x:v>Storage</x:v>
      </x:c>
      <x:c r="H1021" s="2" t="str">
        <x:v>Shelf 003</x:v>
      </x:c>
      <x:c r="I1021" s="11" t="n">
        <x:v>3</x:v>
      </x:c>
      <x:c r="J1021" s="9" t="n">
        <x:v>199</x:v>
      </x:c>
      <x:c r="K1021" s="10" t="n">
        <x:v>0.2</x:v>
      </x:c>
      <x:c r="L1021" s="11" t="n">
        <x:v>0</x:v>
      </x:c>
      <x:c r="M1021" s="9" t="n">
        <x:f>IF(D1021="Completed",I1021*J1021,0)</x:f>
        <x:v>597</x:v>
      </x:c>
      <x:c r="N1021" s="9" t="n">
        <x:f>M1021*K1021</x:f>
        <x:v>119.4</x:v>
      </x:c>
      <x:c r="O1021" s="9" t="n">
        <x:f>M1021-N1021</x:f>
        <x:v>477.6</x:v>
      </x:c>
      <x:c r="P1021" s="9" t="n">
        <x:f>IF(D1021="Completed",L1021*J1021*(1-K1021),0)</x:f>
        <x:v>0</x:v>
      </x:c>
      <x:c r="Q1021" s="9" t="n">
        <x:f>O1021-P1021</x:f>
        <x:v>477.6</x:v>
      </x:c>
      <x:c r="R1021" s="11" t="n">
        <x:f>IF(D1021="Completed",I1021,0)</x:f>
        <x:v>3</x:v>
      </x:c>
      <x:c r="S1021" s="11" t="n">
        <x:f>IF(D1021="Completed",L1021,0)</x:f>
        <x:v>0</x:v>
      </x:c>
      <x:c r="T1021" s="8" t="n">
        <x:f>DATE(YEAR(C1021),MONTH(C1021),1)</x:f>
        <x:v>45870</x:v>
      </x:c>
    </x:row>
    <x:row r="1022" ht="22" customHeight="1">
      <x:c r="A1022" s="2" t="str">
        <x:v>L001018</x:v>
      </x:c>
      <x:c r="B1022" s="2" t="str">
        <x:v>O00414</x:v>
      </x:c>
      <x:c r="C1022" s="7" t="n">
        <x:v>45894</x:v>
      </x:c>
      <x:c r="D1022" s="2" t="str">
        <x:v>Completed</x:v>
      </x:c>
      <x:c r="E1022" s="2" t="str">
        <x:v>North</x:v>
      </x:c>
      <x:c r="F1022" s="2" t="str">
        <x:v>Store</x:v>
      </x:c>
      <x:c r="G1022" s="2" t="str">
        <x:v>Lighting</x:v>
      </x:c>
      <x:c r="H1022" s="2" t="str">
        <x:v>Lamp 013</x:v>
      </x:c>
      <x:c r="I1022" s="11" t="n">
        <x:v>1</x:v>
      </x:c>
      <x:c r="J1022" s="9" t="n">
        <x:v>271</x:v>
      </x:c>
      <x:c r="K1022" s="10" t="n">
        <x:v>0.2</x:v>
      </x:c>
      <x:c r="L1022" s="11" t="n">
        <x:v>0</x:v>
      </x:c>
      <x:c r="M1022" s="9" t="n">
        <x:f>IF(D1022="Completed",I1022*J1022,0)</x:f>
        <x:v>271</x:v>
      </x:c>
      <x:c r="N1022" s="9" t="n">
        <x:f>M1022*K1022</x:f>
        <x:v>54.2</x:v>
      </x:c>
      <x:c r="O1022" s="9" t="n">
        <x:f>M1022-N1022</x:f>
        <x:v>216.8</x:v>
      </x:c>
      <x:c r="P1022" s="9" t="n">
        <x:f>IF(D1022="Completed",L1022*J1022*(1-K1022),0)</x:f>
        <x:v>0</x:v>
      </x:c>
      <x:c r="Q1022" s="9" t="n">
        <x:f>O1022-P1022</x:f>
        <x:v>216.8</x:v>
      </x:c>
      <x:c r="R1022" s="11" t="n">
        <x:f>IF(D1022="Completed",I1022,0)</x:f>
        <x:v>1</x:v>
      </x:c>
      <x:c r="S1022" s="11" t="n">
        <x:f>IF(D1022="Completed",L1022,0)</x:f>
        <x:v>0</x:v>
      </x:c>
      <x:c r="T1022" s="8" t="n">
        <x:f>DATE(YEAR(C1022),MONTH(C1022),1)</x:f>
        <x:v>45870</x:v>
      </x:c>
    </x:row>
    <x:row r="1023" ht="22" customHeight="1">
      <x:c r="A1023" s="2" t="str">
        <x:v>L001019</x:v>
      </x:c>
      <x:c r="B1023" s="2" t="str">
        <x:v>O00414</x:v>
      </x:c>
      <x:c r="C1023" s="7" t="n">
        <x:v>45894</x:v>
      </x:c>
      <x:c r="D1023" s="2" t="str">
        <x:v>Completed</x:v>
      </x:c>
      <x:c r="E1023" s="2" t="str">
        <x:v>North</x:v>
      </x:c>
      <x:c r="F1023" s="2" t="str">
        <x:v>Store</x:v>
      </x:c>
      <x:c r="G1023" s="2" t="str">
        <x:v>Lighting</x:v>
      </x:c>
      <x:c r="H1023" s="2" t="str">
        <x:v>Lamp 009</x:v>
      </x:c>
      <x:c r="I1023" s="11" t="n">
        <x:v>3</x:v>
      </x:c>
      <x:c r="J1023" s="9" t="n">
        <x:v>93</x:v>
      </x:c>
      <x:c r="K1023" s="10" t="n">
        <x:v>0.1</x:v>
      </x:c>
      <x:c r="L1023" s="11" t="n">
        <x:v>0</x:v>
      </x:c>
      <x:c r="M1023" s="9" t="n">
        <x:f>IF(D1023="Completed",I1023*J1023,0)</x:f>
        <x:v>279</x:v>
      </x:c>
      <x:c r="N1023" s="9" t="n">
        <x:f>M1023*K1023</x:f>
        <x:v>27.900000000000002</x:v>
      </x:c>
      <x:c r="O1023" s="9" t="n">
        <x:f>M1023-N1023</x:f>
        <x:v>251.1</x:v>
      </x:c>
      <x:c r="P1023" s="9" t="n">
        <x:f>IF(D1023="Completed",L1023*J1023*(1-K1023),0)</x:f>
        <x:v>0</x:v>
      </x:c>
      <x:c r="Q1023" s="9" t="n">
        <x:f>O1023-P1023</x:f>
        <x:v>251.1</x:v>
      </x:c>
      <x:c r="R1023" s="11" t="n">
        <x:f>IF(D1023="Completed",I1023,0)</x:f>
        <x:v>3</x:v>
      </x:c>
      <x:c r="S1023" s="11" t="n">
        <x:f>IF(D1023="Completed",L1023,0)</x:f>
        <x:v>0</x:v>
      </x:c>
      <x:c r="T1023" s="8" t="n">
        <x:f>DATE(YEAR(C1023),MONTH(C1023),1)</x:f>
        <x:v>45870</x:v>
      </x:c>
    </x:row>
    <x:row r="1024" ht="22" customHeight="1">
      <x:c r="A1024" s="2" t="str">
        <x:v>L001020</x:v>
      </x:c>
      <x:c r="B1024" s="2" t="str">
        <x:v>O00415</x:v>
      </x:c>
      <x:c r="C1024" s="7" t="n">
        <x:v>45924</x:v>
      </x:c>
      <x:c r="D1024" s="2" t="str">
        <x:v>Completed</x:v>
      </x:c>
      <x:c r="E1024" s="2" t="str">
        <x:v>West</x:v>
      </x:c>
      <x:c r="F1024" s="2" t="str">
        <x:v>Store</x:v>
      </x:c>
      <x:c r="G1024" s="2" t="str">
        <x:v>Furniture</x:v>
      </x:c>
      <x:c r="H1024" s="2" t="str">
        <x:v>Desk 004</x:v>
      </x:c>
      <x:c r="I1024" s="11" t="n">
        <x:v>5</x:v>
      </x:c>
      <x:c r="J1024" s="9" t="n">
        <x:v>123</x:v>
      </x:c>
      <x:c r="K1024" s="10" t="n">
        <x:v>0.1</x:v>
      </x:c>
      <x:c r="L1024" s="11" t="n">
        <x:v>0</x:v>
      </x:c>
      <x:c r="M1024" s="9" t="n">
        <x:f>IF(D1024="Completed",I1024*J1024,0)</x:f>
        <x:v>615</x:v>
      </x:c>
      <x:c r="N1024" s="9" t="n">
        <x:f>M1024*K1024</x:f>
        <x:v>61.5</x:v>
      </x:c>
      <x:c r="O1024" s="9" t="n">
        <x:f>M1024-N1024</x:f>
        <x:v>553.5</x:v>
      </x:c>
      <x:c r="P1024" s="9" t="n">
        <x:f>IF(D1024="Completed",L1024*J1024*(1-K1024),0)</x:f>
        <x:v>0</x:v>
      </x:c>
      <x:c r="Q1024" s="9" t="n">
        <x:f>O1024-P1024</x:f>
        <x:v>553.5</x:v>
      </x:c>
      <x:c r="R1024" s="11" t="n">
        <x:f>IF(D1024="Completed",I1024,0)</x:f>
        <x:v>5</x:v>
      </x:c>
      <x:c r="S1024" s="11" t="n">
        <x:f>IF(D1024="Completed",L1024,0)</x:f>
        <x:v>0</x:v>
      </x:c>
      <x:c r="T1024" s="8" t="n">
        <x:f>DATE(YEAR(C1024),MONTH(C1024),1)</x:f>
        <x:v>45901</x:v>
      </x:c>
    </x:row>
    <x:row r="1025" ht="22" customHeight="1">
      <x:c r="A1025" s="2" t="str">
        <x:v>L001021</x:v>
      </x:c>
      <x:c r="B1025" s="2" t="str">
        <x:v>O00416</x:v>
      </x:c>
      <x:c r="C1025" s="7" t="n">
        <x:v>45740</x:v>
      </x:c>
      <x:c r="D1025" s="2" t="str">
        <x:v>Completed</x:v>
      </x:c>
      <x:c r="E1025" s="2" t="str">
        <x:v>North</x:v>
      </x:c>
      <x:c r="F1025" s="2" t="str">
        <x:v>Online</x:v>
      </x:c>
      <x:c r="G1025" s="2" t="str">
        <x:v>Lighting</x:v>
      </x:c>
      <x:c r="H1025" s="2" t="str">
        <x:v>Lamp 021</x:v>
      </x:c>
      <x:c r="I1025" s="11" t="n">
        <x:v>1</x:v>
      </x:c>
      <x:c r="J1025" s="9" t="n">
        <x:v>249</x:v>
      </x:c>
      <x:c r="K1025" s="10" t="n">
        <x:v>0.05</x:v>
      </x:c>
      <x:c r="L1025" s="11" t="n">
        <x:v>0</x:v>
      </x:c>
      <x:c r="M1025" s="9" t="n">
        <x:f>IF(D1025="Completed",I1025*J1025,0)</x:f>
        <x:v>249</x:v>
      </x:c>
      <x:c r="N1025" s="9" t="n">
        <x:f>M1025*K1025</x:f>
        <x:v>12.450000000000001</x:v>
      </x:c>
      <x:c r="O1025" s="9" t="n">
        <x:f>M1025-N1025</x:f>
        <x:v>236.55</x:v>
      </x:c>
      <x:c r="P1025" s="9" t="n">
        <x:f>IF(D1025="Completed",L1025*J1025*(1-K1025),0)</x:f>
        <x:v>0</x:v>
      </x:c>
      <x:c r="Q1025" s="9" t="n">
        <x:f>O1025-P1025</x:f>
        <x:v>236.55</x:v>
      </x:c>
      <x:c r="R1025" s="11" t="n">
        <x:f>IF(D1025="Completed",I1025,0)</x:f>
        <x:v>1</x:v>
      </x:c>
      <x:c r="S1025" s="11" t="n">
        <x:f>IF(D1025="Completed",L1025,0)</x:f>
        <x:v>0</x:v>
      </x:c>
      <x:c r="T1025" s="8" t="n">
        <x:f>DATE(YEAR(C1025),MONTH(C1025),1)</x:f>
        <x:v>45717</x:v>
      </x:c>
    </x:row>
    <x:row r="1026" ht="22" customHeight="1">
      <x:c r="A1026" s="2" t="str">
        <x:v>L001022</x:v>
      </x:c>
      <x:c r="B1026" s="2" t="str">
        <x:v>O00416</x:v>
      </x:c>
      <x:c r="C1026" s="7" t="n">
        <x:v>45740</x:v>
      </x:c>
      <x:c r="D1026" s="2" t="str">
        <x:v>Completed</x:v>
      </x:c>
      <x:c r="E1026" s="2" t="str">
        <x:v>North</x:v>
      </x:c>
      <x:c r="F1026" s="2" t="str">
        <x:v>Online</x:v>
      </x:c>
      <x:c r="G1026" s="2" t="str">
        <x:v>Furniture</x:v>
      </x:c>
      <x:c r="H1026" s="2" t="str">
        <x:v>Desk 024</x:v>
      </x:c>
      <x:c r="I1026" s="11" t="n">
        <x:v>4</x:v>
      </x:c>
      <x:c r="J1026" s="9" t="n">
        <x:v>81</x:v>
      </x:c>
      <x:c r="K1026" s="10" t="n">
        <x:v>0</x:v>
      </x:c>
      <x:c r="L1026" s="11" t="n">
        <x:v>0</x:v>
      </x:c>
      <x:c r="M1026" s="9" t="n">
        <x:f>IF(D1026="Completed",I1026*J1026,0)</x:f>
        <x:v>324</x:v>
      </x:c>
      <x:c r="N1026" s="9" t="n">
        <x:f>M1026*K1026</x:f>
        <x:v>0</x:v>
      </x:c>
      <x:c r="O1026" s="9" t="n">
        <x:f>M1026-N1026</x:f>
        <x:v>324</x:v>
      </x:c>
      <x:c r="P1026" s="9" t="n">
        <x:f>IF(D1026="Completed",L1026*J1026*(1-K1026),0)</x:f>
        <x:v>0</x:v>
      </x:c>
      <x:c r="Q1026" s="9" t="n">
        <x:f>O1026-P1026</x:f>
        <x:v>324</x:v>
      </x:c>
      <x:c r="R1026" s="11" t="n">
        <x:f>IF(D1026="Completed",I1026,0)</x:f>
        <x:v>4</x:v>
      </x:c>
      <x:c r="S1026" s="11" t="n">
        <x:f>IF(D1026="Completed",L1026,0)</x:f>
        <x:v>0</x:v>
      </x:c>
      <x:c r="T1026" s="8" t="n">
        <x:f>DATE(YEAR(C1026),MONTH(C1026),1)</x:f>
        <x:v>45717</x:v>
      </x:c>
    </x:row>
    <x:row r="1027" ht="22" customHeight="1">
      <x:c r="A1027" s="2" t="str">
        <x:v>L001023</x:v>
      </x:c>
      <x:c r="B1027" s="2" t="str">
        <x:v>O00417</x:v>
      </x:c>
      <x:c r="C1027" s="7" t="n">
        <x:v>46018</x:v>
      </x:c>
      <x:c r="D1027" s="2" t="str">
        <x:v>Completed</x:v>
      </x:c>
      <x:c r="E1027" s="2" t="str">
        <x:v>West</x:v>
      </x:c>
      <x:c r="F1027" s="2" t="str">
        <x:v>Store</x:v>
      </x:c>
      <x:c r="G1027" s="2" t="str">
        <x:v>Furniture</x:v>
      </x:c>
      <x:c r="H1027" s="2" t="str">
        <x:v>Desk 004</x:v>
      </x:c>
      <x:c r="I1027" s="11" t="n">
        <x:v>5</x:v>
      </x:c>
      <x:c r="J1027" s="9" t="n">
        <x:v>123</x:v>
      </x:c>
      <x:c r="K1027" s="10" t="n">
        <x:v>0.1</x:v>
      </x:c>
      <x:c r="L1027" s="11" t="n">
        <x:v>0</x:v>
      </x:c>
      <x:c r="M1027" s="9" t="n">
        <x:f>IF(D1027="Completed",I1027*J1027,0)</x:f>
        <x:v>615</x:v>
      </x:c>
      <x:c r="N1027" s="9" t="n">
        <x:f>M1027*K1027</x:f>
        <x:v>61.5</x:v>
      </x:c>
      <x:c r="O1027" s="9" t="n">
        <x:f>M1027-N1027</x:f>
        <x:v>553.5</x:v>
      </x:c>
      <x:c r="P1027" s="9" t="n">
        <x:f>IF(D1027="Completed",L1027*J1027*(1-K1027),0)</x:f>
        <x:v>0</x:v>
      </x:c>
      <x:c r="Q1027" s="9" t="n">
        <x:f>O1027-P1027</x:f>
        <x:v>553.5</x:v>
      </x:c>
      <x:c r="R1027" s="11" t="n">
        <x:f>IF(D1027="Completed",I1027,0)</x:f>
        <x:v>5</x:v>
      </x:c>
      <x:c r="S1027" s="11" t="n">
        <x:f>IF(D1027="Completed",L1027,0)</x:f>
        <x:v>0</x:v>
      </x:c>
      <x:c r="T1027" s="8" t="n">
        <x:f>DATE(YEAR(C1027),MONTH(C1027),1)</x:f>
        <x:v>45992</x:v>
      </x:c>
    </x:row>
    <x:row r="1028" ht="22" customHeight="1">
      <x:c r="A1028" s="2" t="str">
        <x:v>L001024</x:v>
      </x:c>
      <x:c r="B1028" s="2" t="str">
        <x:v>O00418</x:v>
      </x:c>
      <x:c r="C1028" s="7" t="n">
        <x:v>45659</x:v>
      </x:c>
      <x:c r="D1028" s="2" t="str">
        <x:v>Completed</x:v>
      </x:c>
      <x:c r="E1028" s="2" t="str">
        <x:v>West</x:v>
      </x:c>
      <x:c r="F1028" s="2" t="str">
        <x:v>Store</x:v>
      </x:c>
      <x:c r="G1028" s="2" t="str">
        <x:v>Lighting</x:v>
      </x:c>
      <x:c r="H1028" s="2" t="str">
        <x:v>Lamp 005</x:v>
      </x:c>
      <x:c r="I1028" s="11" t="n">
        <x:v>5</x:v>
      </x:c>
      <x:c r="J1028" s="9" t="n">
        <x:v>65</x:v>
      </x:c>
      <x:c r="K1028" s="10" t="n">
        <x:v>0.2</x:v>
      </x:c>
      <x:c r="L1028" s="11" t="n">
        <x:v>0</x:v>
      </x:c>
      <x:c r="M1028" s="9" t="n">
        <x:f>IF(D1028="Completed",I1028*J1028,0)</x:f>
        <x:v>325</x:v>
      </x:c>
      <x:c r="N1028" s="9" t="n">
        <x:f>M1028*K1028</x:f>
        <x:v>65</x:v>
      </x:c>
      <x:c r="O1028" s="9" t="n">
        <x:f>M1028-N1028</x:f>
        <x:v>260</x:v>
      </x:c>
      <x:c r="P1028" s="9" t="n">
        <x:f>IF(D1028="Completed",L1028*J1028*(1-K1028),0)</x:f>
        <x:v>0</x:v>
      </x:c>
      <x:c r="Q1028" s="9" t="n">
        <x:f>O1028-P1028</x:f>
        <x:v>260</x:v>
      </x:c>
      <x:c r="R1028" s="11" t="n">
        <x:f>IF(D1028="Completed",I1028,0)</x:f>
        <x:v>5</x:v>
      </x:c>
      <x:c r="S1028" s="11" t="n">
        <x:f>IF(D1028="Completed",L1028,0)</x:f>
        <x:v>0</x:v>
      </x:c>
      <x:c r="T1028" s="8" t="n">
        <x:f>DATE(YEAR(C1028),MONTH(C1028),1)</x:f>
        <x:v>45658</x:v>
      </x:c>
    </x:row>
    <x:row r="1029" ht="22" customHeight="1">
      <x:c r="A1029" s="2" t="str">
        <x:v>L001025</x:v>
      </x:c>
      <x:c r="B1029" s="2" t="str">
        <x:v>O00418</x:v>
      </x:c>
      <x:c r="C1029" s="7" t="n">
        <x:v>45659</x:v>
      </x:c>
      <x:c r="D1029" s="2" t="str">
        <x:v>Completed</x:v>
      </x:c>
      <x:c r="E1029" s="2" t="str">
        <x:v>West</x:v>
      </x:c>
      <x:c r="F1029" s="2" t="str">
        <x:v>Store</x:v>
      </x:c>
      <x:c r="G1029" s="2" t="str">
        <x:v>Storage</x:v>
      </x:c>
      <x:c r="H1029" s="2" t="str">
        <x:v>Shelf 019</x:v>
      </x:c>
      <x:c r="I1029" s="11" t="n">
        <x:v>5</x:v>
      </x:c>
      <x:c r="J1029" s="9" t="n">
        <x:v>78</x:v>
      </x:c>
      <x:c r="K1029" s="10" t="n">
        <x:v>0</x:v>
      </x:c>
      <x:c r="L1029" s="11" t="n">
        <x:v>0</x:v>
      </x:c>
      <x:c r="M1029" s="9" t="n">
        <x:f>IF(D1029="Completed",I1029*J1029,0)</x:f>
        <x:v>390</x:v>
      </x:c>
      <x:c r="N1029" s="9" t="n">
        <x:f>M1029*K1029</x:f>
        <x:v>0</x:v>
      </x:c>
      <x:c r="O1029" s="9" t="n">
        <x:f>M1029-N1029</x:f>
        <x:v>390</x:v>
      </x:c>
      <x:c r="P1029" s="9" t="n">
        <x:f>IF(D1029="Completed",L1029*J1029*(1-K1029),0)</x:f>
        <x:v>0</x:v>
      </x:c>
      <x:c r="Q1029" s="9" t="n">
        <x:f>O1029-P1029</x:f>
        <x:v>390</x:v>
      </x:c>
      <x:c r="R1029" s="11" t="n">
        <x:f>IF(D1029="Completed",I1029,0)</x:f>
        <x:v>5</x:v>
      </x:c>
      <x:c r="S1029" s="11" t="n">
        <x:f>IF(D1029="Completed",L1029,0)</x:f>
        <x:v>0</x:v>
      </x:c>
      <x:c r="T1029" s="8" t="n">
        <x:f>DATE(YEAR(C1029),MONTH(C1029),1)</x:f>
        <x:v>45658</x:v>
      </x:c>
    </x:row>
    <x:row r="1030" ht="22" customHeight="1">
      <x:c r="A1030" s="2" t="str">
        <x:v>L001026</x:v>
      </x:c>
      <x:c r="B1030" s="2" t="str">
        <x:v>O00419</x:v>
      </x:c>
      <x:c r="C1030" s="7" t="n">
        <x:v>45786</x:v>
      </x:c>
      <x:c r="D1030" s="2" t="str">
        <x:v>Completed</x:v>
      </x:c>
      <x:c r="E1030" s="2" t="str">
        <x:v>West</x:v>
      </x:c>
      <x:c r="F1030" s="2" t="str">
        <x:v>Online</x:v>
      </x:c>
      <x:c r="G1030" s="2" t="str">
        <x:v>Storage</x:v>
      </x:c>
      <x:c r="H1030" s="2" t="str">
        <x:v>Shelf 019</x:v>
      </x:c>
      <x:c r="I1030" s="11" t="n">
        <x:v>5</x:v>
      </x:c>
      <x:c r="J1030" s="9" t="n">
        <x:v>78</x:v>
      </x:c>
      <x:c r="K1030" s="10" t="n">
        <x:v>0.05</x:v>
      </x:c>
      <x:c r="L1030" s="11" t="n">
        <x:v>0</x:v>
      </x:c>
      <x:c r="M1030" s="9" t="n">
        <x:f>IF(D1030="Completed",I1030*J1030,0)</x:f>
        <x:v>390</x:v>
      </x:c>
      <x:c r="N1030" s="9" t="n">
        <x:f>M1030*K1030</x:f>
        <x:v>19.5</x:v>
      </x:c>
      <x:c r="O1030" s="9" t="n">
        <x:f>M1030-N1030</x:f>
        <x:v>370.5</x:v>
      </x:c>
      <x:c r="P1030" s="9" t="n">
        <x:f>IF(D1030="Completed",L1030*J1030*(1-K1030),0)</x:f>
        <x:v>0</x:v>
      </x:c>
      <x:c r="Q1030" s="9" t="n">
        <x:f>O1030-P1030</x:f>
        <x:v>370.5</x:v>
      </x:c>
      <x:c r="R1030" s="11" t="n">
        <x:f>IF(D1030="Completed",I1030,0)</x:f>
        <x:v>5</x:v>
      </x:c>
      <x:c r="S1030" s="11" t="n">
        <x:f>IF(D1030="Completed",L1030,0)</x:f>
        <x:v>0</x:v>
      </x:c>
      <x:c r="T1030" s="8" t="n">
        <x:f>DATE(YEAR(C1030),MONTH(C1030),1)</x:f>
        <x:v>45778</x:v>
      </x:c>
    </x:row>
    <x:row r="1031" ht="22" customHeight="1">
      <x:c r="A1031" s="2" t="str">
        <x:v>L001027</x:v>
      </x:c>
      <x:c r="B1031" s="2" t="str">
        <x:v>O00419</x:v>
      </x:c>
      <x:c r="C1031" s="7" t="n">
        <x:v>45786</x:v>
      </x:c>
      <x:c r="D1031" s="2" t="str">
        <x:v>Completed</x:v>
      </x:c>
      <x:c r="E1031" s="2" t="str">
        <x:v>West</x:v>
      </x:c>
      <x:c r="F1031" s="2" t="str">
        <x:v>Online</x:v>
      </x:c>
      <x:c r="G1031" s="2" t="str">
        <x:v>Furniture</x:v>
      </x:c>
      <x:c r="H1031" s="2" t="str">
        <x:v>Chair 014</x:v>
      </x:c>
      <x:c r="I1031" s="11" t="n">
        <x:v>1</x:v>
      </x:c>
      <x:c r="J1031" s="9" t="n">
        <x:v>294</x:v>
      </x:c>
      <x:c r="K1031" s="10" t="n">
        <x:v>0.05</x:v>
      </x:c>
      <x:c r="L1031" s="11" t="n">
        <x:v>0</x:v>
      </x:c>
      <x:c r="M1031" s="9" t="n">
        <x:f>IF(D1031="Completed",I1031*J1031,0)</x:f>
        <x:v>294</x:v>
      </x:c>
      <x:c r="N1031" s="9" t="n">
        <x:f>M1031*K1031</x:f>
        <x:v>14.700000000000001</x:v>
      </x:c>
      <x:c r="O1031" s="9" t="n">
        <x:f>M1031-N1031</x:f>
        <x:v>279.3</x:v>
      </x:c>
      <x:c r="P1031" s="9" t="n">
        <x:f>IF(D1031="Completed",L1031*J1031*(1-K1031),0)</x:f>
        <x:v>0</x:v>
      </x:c>
      <x:c r="Q1031" s="9" t="n">
        <x:f>O1031-P1031</x:f>
        <x:v>279.3</x:v>
      </x:c>
      <x:c r="R1031" s="11" t="n">
        <x:f>IF(D1031="Completed",I1031,0)</x:f>
        <x:v>1</x:v>
      </x:c>
      <x:c r="S1031" s="11" t="n">
        <x:f>IF(D1031="Completed",L1031,0)</x:f>
        <x:v>0</x:v>
      </x:c>
      <x:c r="T1031" s="8" t="n">
        <x:f>DATE(YEAR(C1031),MONTH(C1031),1)</x:f>
        <x:v>45778</x:v>
      </x:c>
    </x:row>
    <x:row r="1032" ht="22" customHeight="1">
      <x:c r="A1032" s="2" t="str">
        <x:v>L001028</x:v>
      </x:c>
      <x:c r="B1032" s="2" t="str">
        <x:v>O00419</x:v>
      </x:c>
      <x:c r="C1032" s="7" t="n">
        <x:v>45786</x:v>
      </x:c>
      <x:c r="D1032" s="2" t="str">
        <x:v>Completed</x:v>
      </x:c>
      <x:c r="E1032" s="2" t="str">
        <x:v>West</x:v>
      </x:c>
      <x:c r="F1032" s="2" t="str">
        <x:v>Online</x:v>
      </x:c>
      <x:c r="G1032" s="2" t="str">
        <x:v>Storage</x:v>
      </x:c>
      <x:c r="H1032" s="2" t="str">
        <x:v>Shelf 019</x:v>
      </x:c>
      <x:c r="I1032" s="11" t="n">
        <x:v>1</x:v>
      </x:c>
      <x:c r="J1032" s="9" t="n">
        <x:v>78</x:v>
      </x:c>
      <x:c r="K1032" s="10" t="n">
        <x:v>0.1</x:v>
      </x:c>
      <x:c r="L1032" s="11" t="n">
        <x:v>0</x:v>
      </x:c>
      <x:c r="M1032" s="9" t="n">
        <x:f>IF(D1032="Completed",I1032*J1032,0)</x:f>
        <x:v>78</x:v>
      </x:c>
      <x:c r="N1032" s="9" t="n">
        <x:f>M1032*K1032</x:f>
        <x:v>7.800000000000001</x:v>
      </x:c>
      <x:c r="O1032" s="9" t="n">
        <x:f>M1032-N1032</x:f>
        <x:v>70.2</x:v>
      </x:c>
      <x:c r="P1032" s="9" t="n">
        <x:f>IF(D1032="Completed",L1032*J1032*(1-K1032),0)</x:f>
        <x:v>0</x:v>
      </x:c>
      <x:c r="Q1032" s="9" t="n">
        <x:f>O1032-P1032</x:f>
        <x:v>70.2</x:v>
      </x:c>
      <x:c r="R1032" s="11" t="n">
        <x:f>IF(D1032="Completed",I1032,0)</x:f>
        <x:v>1</x:v>
      </x:c>
      <x:c r="S1032" s="11" t="n">
        <x:f>IF(D1032="Completed",L1032,0)</x:f>
        <x:v>0</x:v>
      </x:c>
      <x:c r="T1032" s="8" t="n">
        <x:f>DATE(YEAR(C1032),MONTH(C1032),1)</x:f>
        <x:v>45778</x:v>
      </x:c>
    </x:row>
    <x:row r="1033" ht="22" customHeight="1">
      <x:c r="A1033" s="2" t="str">
        <x:v>L001029</x:v>
      </x:c>
      <x:c r="B1033" s="2" t="str">
        <x:v>O00420</x:v>
      </x:c>
      <x:c r="C1033" s="7" t="n">
        <x:v>45901</x:v>
      </x:c>
      <x:c r="D1033" s="2" t="str">
        <x:v>Completed</x:v>
      </x:c>
      <x:c r="E1033" s="2" t="str">
        <x:v>South</x:v>
      </x:c>
      <x:c r="F1033" s="2" t="str">
        <x:v>Online</x:v>
      </x:c>
      <x:c r="G1033" s="2" t="str">
        <x:v>Storage</x:v>
      </x:c>
      <x:c r="H1033" s="2" t="str">
        <x:v>Shelf 007</x:v>
      </x:c>
      <x:c r="I1033" s="11" t="n">
        <x:v>2</x:v>
      </x:c>
      <x:c r="J1033" s="9" t="n">
        <x:v>35</x:v>
      </x:c>
      <x:c r="K1033" s="10" t="n">
        <x:v>0.2</x:v>
      </x:c>
      <x:c r="L1033" s="11" t="n">
        <x:v>0</x:v>
      </x:c>
      <x:c r="M1033" s="9" t="n">
        <x:f>IF(D1033="Completed",I1033*J1033,0)</x:f>
        <x:v>70</x:v>
      </x:c>
      <x:c r="N1033" s="9" t="n">
        <x:f>M1033*K1033</x:f>
        <x:v>14</x:v>
      </x:c>
      <x:c r="O1033" s="9" t="n">
        <x:f>M1033-N1033</x:f>
        <x:v>56</x:v>
      </x:c>
      <x:c r="P1033" s="9" t="n">
        <x:f>IF(D1033="Completed",L1033*J1033*(1-K1033),0)</x:f>
        <x:v>0</x:v>
      </x:c>
      <x:c r="Q1033" s="9" t="n">
        <x:f>O1033-P1033</x:f>
        <x:v>56</x:v>
      </x:c>
      <x:c r="R1033" s="11" t="n">
        <x:f>IF(D1033="Completed",I1033,0)</x:f>
        <x:v>2</x:v>
      </x:c>
      <x:c r="S1033" s="11" t="n">
        <x:f>IF(D1033="Completed",L1033,0)</x:f>
        <x:v>0</x:v>
      </x:c>
      <x:c r="T1033" s="8" t="n">
        <x:f>DATE(YEAR(C1033),MONTH(C1033),1)</x:f>
        <x:v>45901</x:v>
      </x:c>
    </x:row>
    <x:row r="1034" ht="22" customHeight="1">
      <x:c r="A1034" s="2" t="str">
        <x:v>L001030</x:v>
      </x:c>
      <x:c r="B1034" s="2" t="str">
        <x:v>O00420</x:v>
      </x:c>
      <x:c r="C1034" s="7" t="n">
        <x:v>45901</x:v>
      </x:c>
      <x:c r="D1034" s="2" t="str">
        <x:v>Completed</x:v>
      </x:c>
      <x:c r="E1034" s="2" t="str">
        <x:v>South</x:v>
      </x:c>
      <x:c r="F1034" s="2" t="str">
        <x:v>Online</x:v>
      </x:c>
      <x:c r="G1034" s="2" t="str">
        <x:v>Furniture</x:v>
      </x:c>
      <x:c r="H1034" s="2" t="str">
        <x:v>Desk 008</x:v>
      </x:c>
      <x:c r="I1034" s="11" t="n">
        <x:v>1</x:v>
      </x:c>
      <x:c r="J1034" s="9" t="n">
        <x:v>188</x:v>
      </x:c>
      <x:c r="K1034" s="10" t="n">
        <x:v>0.2</x:v>
      </x:c>
      <x:c r="L1034" s="11" t="n">
        <x:v>0</x:v>
      </x:c>
      <x:c r="M1034" s="9" t="n">
        <x:f>IF(D1034="Completed",I1034*J1034,0)</x:f>
        <x:v>188</x:v>
      </x:c>
      <x:c r="N1034" s="9" t="n">
        <x:f>M1034*K1034</x:f>
        <x:v>37.6</x:v>
      </x:c>
      <x:c r="O1034" s="9" t="n">
        <x:f>M1034-N1034</x:f>
        <x:v>150.4</x:v>
      </x:c>
      <x:c r="P1034" s="9" t="n">
        <x:f>IF(D1034="Completed",L1034*J1034*(1-K1034),0)</x:f>
        <x:v>0</x:v>
      </x:c>
      <x:c r="Q1034" s="9" t="n">
        <x:f>O1034-P1034</x:f>
        <x:v>150.4</x:v>
      </x:c>
      <x:c r="R1034" s="11" t="n">
        <x:f>IF(D1034="Completed",I1034,0)</x:f>
        <x:v>1</x:v>
      </x:c>
      <x:c r="S1034" s="11" t="n">
        <x:f>IF(D1034="Completed",L1034,0)</x:f>
        <x:v>0</x:v>
      </x:c>
      <x:c r="T1034" s="8" t="n">
        <x:f>DATE(YEAR(C1034),MONTH(C1034),1)</x:f>
        <x:v>45901</x:v>
      </x:c>
    </x:row>
    <x:row r="1035" ht="22" customHeight="1">
      <x:c r="A1035" s="2" t="str">
        <x:v>L001031</x:v>
      </x:c>
      <x:c r="B1035" s="2" t="str">
        <x:v>O00420</x:v>
      </x:c>
      <x:c r="C1035" s="7" t="n">
        <x:v>45901</x:v>
      </x:c>
      <x:c r="D1035" s="2" t="str">
        <x:v>Completed</x:v>
      </x:c>
      <x:c r="E1035" s="2" t="str">
        <x:v>South</x:v>
      </x:c>
      <x:c r="F1035" s="2" t="str">
        <x:v>Online</x:v>
      </x:c>
      <x:c r="G1035" s="2" t="str">
        <x:v>Storage</x:v>
      </x:c>
      <x:c r="H1035" s="2" t="str">
        <x:v>Shelf 011</x:v>
      </x:c>
      <x:c r="I1035" s="11" t="n">
        <x:v>2</x:v>
      </x:c>
      <x:c r="J1035" s="9" t="n">
        <x:v>80</x:v>
      </x:c>
      <x:c r="K1035" s="10" t="n">
        <x:v>0</x:v>
      </x:c>
      <x:c r="L1035" s="11" t="n">
        <x:v>0</x:v>
      </x:c>
      <x:c r="M1035" s="9" t="n">
        <x:f>IF(D1035="Completed",I1035*J1035,0)</x:f>
        <x:v>160</x:v>
      </x:c>
      <x:c r="N1035" s="9" t="n">
        <x:f>M1035*K1035</x:f>
        <x:v>0</x:v>
      </x:c>
      <x:c r="O1035" s="9" t="n">
        <x:f>M1035-N1035</x:f>
        <x:v>160</x:v>
      </x:c>
      <x:c r="P1035" s="9" t="n">
        <x:f>IF(D1035="Completed",L1035*J1035*(1-K1035),0)</x:f>
        <x:v>0</x:v>
      </x:c>
      <x:c r="Q1035" s="9" t="n">
        <x:f>O1035-P1035</x:f>
        <x:v>160</x:v>
      </x:c>
      <x:c r="R1035" s="11" t="n">
        <x:f>IF(D1035="Completed",I1035,0)</x:f>
        <x:v>2</x:v>
      </x:c>
      <x:c r="S1035" s="11" t="n">
        <x:f>IF(D1035="Completed",L1035,0)</x:f>
        <x:v>0</x:v>
      </x:c>
      <x:c r="T1035" s="8" t="n">
        <x:f>DATE(YEAR(C1035),MONTH(C1035),1)</x:f>
        <x:v>45901</x:v>
      </x:c>
    </x:row>
    <x:row r="1036" ht="22" customHeight="1">
      <x:c r="A1036" s="2" t="str">
        <x:v>L001032</x:v>
      </x:c>
      <x:c r="B1036" s="2" t="str">
        <x:v>O00420</x:v>
      </x:c>
      <x:c r="C1036" s="7" t="n">
        <x:v>45901</x:v>
      </x:c>
      <x:c r="D1036" s="2" t="str">
        <x:v>Completed</x:v>
      </x:c>
      <x:c r="E1036" s="2" t="str">
        <x:v>South</x:v>
      </x:c>
      <x:c r="F1036" s="2" t="str">
        <x:v>Online</x:v>
      </x:c>
      <x:c r="G1036" s="2" t="str">
        <x:v>Storage</x:v>
      </x:c>
      <x:c r="H1036" s="2" t="str">
        <x:v>Shelf 003</x:v>
      </x:c>
      <x:c r="I1036" s="11" t="n">
        <x:v>1</x:v>
      </x:c>
      <x:c r="J1036" s="9" t="n">
        <x:v>199</x:v>
      </x:c>
      <x:c r="K1036" s="10" t="n">
        <x:v>0.2</x:v>
      </x:c>
      <x:c r="L1036" s="11" t="n">
        <x:v>1</x:v>
      </x:c>
      <x:c r="M1036" s="9" t="n">
        <x:f>IF(D1036="Completed",I1036*J1036,0)</x:f>
        <x:v>199</x:v>
      </x:c>
      <x:c r="N1036" s="9" t="n">
        <x:f>M1036*K1036</x:f>
        <x:v>39.800000000000004</x:v>
      </x:c>
      <x:c r="O1036" s="9" t="n">
        <x:f>M1036-N1036</x:f>
        <x:v>159.2</x:v>
      </x:c>
      <x:c r="P1036" s="9" t="n">
        <x:f>IF(D1036="Completed",L1036*J1036*(1-K1036),0)</x:f>
        <x:v>159.20000000000002</x:v>
      </x:c>
      <x:c r="Q1036" s="9" t="n">
        <x:f>O1036-P1036</x:f>
        <x:v>-2.842170943040401e-14</x:v>
      </x:c>
      <x:c r="R1036" s="11" t="n">
        <x:f>IF(D1036="Completed",I1036,0)</x:f>
        <x:v>1</x:v>
      </x:c>
      <x:c r="S1036" s="11" t="n">
        <x:f>IF(D1036="Completed",L1036,0)</x:f>
        <x:v>1</x:v>
      </x:c>
      <x:c r="T1036" s="8" t="n">
        <x:f>DATE(YEAR(C1036),MONTH(C1036),1)</x:f>
        <x:v>45901</x:v>
      </x:c>
    </x:row>
    <x:row r="1037" ht="22" customHeight="1">
      <x:c r="A1037" s="2" t="str">
        <x:v>L001033</x:v>
      </x:c>
      <x:c r="B1037" s="2" t="str">
        <x:v>O00421</x:v>
      </x:c>
      <x:c r="C1037" s="7" t="n">
        <x:v>45679</x:v>
      </x:c>
      <x:c r="D1037" s="2" t="str">
        <x:v>Completed</x:v>
      </x:c>
      <x:c r="E1037" s="2" t="str">
        <x:v>East</x:v>
      </x:c>
      <x:c r="F1037" s="2" t="str">
        <x:v>Online</x:v>
      </x:c>
      <x:c r="G1037" s="2" t="str">
        <x:v>Storage</x:v>
      </x:c>
      <x:c r="H1037" s="2" t="str">
        <x:v>Shelf 007</x:v>
      </x:c>
      <x:c r="I1037" s="11" t="n">
        <x:v>4</x:v>
      </x:c>
      <x:c r="J1037" s="9" t="n">
        <x:v>35</x:v>
      </x:c>
      <x:c r="K1037" s="10" t="n">
        <x:v>0.1</x:v>
      </x:c>
      <x:c r="L1037" s="11" t="n">
        <x:v>0</x:v>
      </x:c>
      <x:c r="M1037" s="9" t="n">
        <x:f>IF(D1037="Completed",I1037*J1037,0)</x:f>
        <x:v>140</x:v>
      </x:c>
      <x:c r="N1037" s="9" t="n">
        <x:f>M1037*K1037</x:f>
        <x:v>14</x:v>
      </x:c>
      <x:c r="O1037" s="9" t="n">
        <x:f>M1037-N1037</x:f>
        <x:v>126</x:v>
      </x:c>
      <x:c r="P1037" s="9" t="n">
        <x:f>IF(D1037="Completed",L1037*J1037*(1-K1037),0)</x:f>
        <x:v>0</x:v>
      </x:c>
      <x:c r="Q1037" s="9" t="n">
        <x:f>O1037-P1037</x:f>
        <x:v>126</x:v>
      </x:c>
      <x:c r="R1037" s="11" t="n">
        <x:f>IF(D1037="Completed",I1037,0)</x:f>
        <x:v>4</x:v>
      </x:c>
      <x:c r="S1037" s="11" t="n">
        <x:f>IF(D1037="Completed",L1037,0)</x:f>
        <x:v>0</x:v>
      </x:c>
      <x:c r="T1037" s="8" t="n">
        <x:f>DATE(YEAR(C1037),MONTH(C1037),1)</x:f>
        <x:v>45658</x:v>
      </x:c>
    </x:row>
    <x:row r="1038" ht="22" customHeight="1">
      <x:c r="A1038" s="2" t="str">
        <x:v>L001034</x:v>
      </x:c>
      <x:c r="B1038" s="2" t="str">
        <x:v>O00421</x:v>
      </x:c>
      <x:c r="C1038" s="7" t="n">
        <x:v>45679</x:v>
      </x:c>
      <x:c r="D1038" s="2" t="str">
        <x:v>Completed</x:v>
      </x:c>
      <x:c r="E1038" s="2" t="str">
        <x:v>East</x:v>
      </x:c>
      <x:c r="F1038" s="2" t="str">
        <x:v>Online</x:v>
      </x:c>
      <x:c r="G1038" s="2" t="str">
        <x:v>Storage</x:v>
      </x:c>
      <x:c r="H1038" s="2" t="str">
        <x:v>Shelf 003</x:v>
      </x:c>
      <x:c r="I1038" s="11" t="n">
        <x:v>3</x:v>
      </x:c>
      <x:c r="J1038" s="9" t="n">
        <x:v>199</x:v>
      </x:c>
      <x:c r="K1038" s="10" t="n">
        <x:v>0.2</x:v>
      </x:c>
      <x:c r="L1038" s="11" t="n">
        <x:v>0</x:v>
      </x:c>
      <x:c r="M1038" s="9" t="n">
        <x:f>IF(D1038="Completed",I1038*J1038,0)</x:f>
        <x:v>597</x:v>
      </x:c>
      <x:c r="N1038" s="9" t="n">
        <x:f>M1038*K1038</x:f>
        <x:v>119.4</x:v>
      </x:c>
      <x:c r="O1038" s="9" t="n">
        <x:f>M1038-N1038</x:f>
        <x:v>477.6</x:v>
      </x:c>
      <x:c r="P1038" s="9" t="n">
        <x:f>IF(D1038="Completed",L1038*J1038*(1-K1038),0)</x:f>
        <x:v>0</x:v>
      </x:c>
      <x:c r="Q1038" s="9" t="n">
        <x:f>O1038-P1038</x:f>
        <x:v>477.6</x:v>
      </x:c>
      <x:c r="R1038" s="11" t="n">
        <x:f>IF(D1038="Completed",I1038,0)</x:f>
        <x:v>3</x:v>
      </x:c>
      <x:c r="S1038" s="11" t="n">
        <x:f>IF(D1038="Completed",L1038,0)</x:f>
        <x:v>0</x:v>
      </x:c>
      <x:c r="T1038" s="8" t="n">
        <x:f>DATE(YEAR(C1038),MONTH(C1038),1)</x:f>
        <x:v>45658</x:v>
      </x:c>
    </x:row>
    <x:row r="1039" ht="22" customHeight="1">
      <x:c r="A1039" s="2" t="str">
        <x:v>L001035</x:v>
      </x:c>
      <x:c r="B1039" s="2" t="str">
        <x:v>O00421</x:v>
      </x:c>
      <x:c r="C1039" s="7" t="n">
        <x:v>45679</x:v>
      </x:c>
      <x:c r="D1039" s="2" t="str">
        <x:v>Completed</x:v>
      </x:c>
      <x:c r="E1039" s="2" t="str">
        <x:v>East</x:v>
      </x:c>
      <x:c r="F1039" s="2" t="str">
        <x:v>Online</x:v>
      </x:c>
      <x:c r="G1039" s="2" t="str">
        <x:v>Furniture</x:v>
      </x:c>
      <x:c r="H1039" s="2" t="str">
        <x:v>Chair 022</x:v>
      </x:c>
      <x:c r="I1039" s="11" t="n">
        <x:v>4</x:v>
      </x:c>
      <x:c r="J1039" s="9" t="n">
        <x:v>134</x:v>
      </x:c>
      <x:c r="K1039" s="10" t="n">
        <x:v>0</x:v>
      </x:c>
      <x:c r="L1039" s="11" t="n">
        <x:v>0</x:v>
      </x:c>
      <x:c r="M1039" s="9" t="n">
        <x:f>IF(D1039="Completed",I1039*J1039,0)</x:f>
        <x:v>536</x:v>
      </x:c>
      <x:c r="N1039" s="9" t="n">
        <x:f>M1039*K1039</x:f>
        <x:v>0</x:v>
      </x:c>
      <x:c r="O1039" s="9" t="n">
        <x:f>M1039-N1039</x:f>
        <x:v>536</x:v>
      </x:c>
      <x:c r="P1039" s="9" t="n">
        <x:f>IF(D1039="Completed",L1039*J1039*(1-K1039),0)</x:f>
        <x:v>0</x:v>
      </x:c>
      <x:c r="Q1039" s="9" t="n">
        <x:f>O1039-P1039</x:f>
        <x:v>536</x:v>
      </x:c>
      <x:c r="R1039" s="11" t="n">
        <x:f>IF(D1039="Completed",I1039,0)</x:f>
        <x:v>4</x:v>
      </x:c>
      <x:c r="S1039" s="11" t="n">
        <x:f>IF(D1039="Completed",L1039,0)</x:f>
        <x:v>0</x:v>
      </x:c>
      <x:c r="T1039" s="8" t="n">
        <x:f>DATE(YEAR(C1039),MONTH(C1039),1)</x:f>
        <x:v>45658</x:v>
      </x:c>
    </x:row>
    <x:row r="1040" ht="22" customHeight="1">
      <x:c r="A1040" s="2" t="str">
        <x:v>L001036</x:v>
      </x:c>
      <x:c r="B1040" s="2" t="str">
        <x:v>O00422</x:v>
      </x:c>
      <x:c r="C1040" s="7" t="n">
        <x:v>45976</x:v>
      </x:c>
      <x:c r="D1040" s="2" t="str">
        <x:v>Completed</x:v>
      </x:c>
      <x:c r="E1040" s="2" t="str">
        <x:v>East</x:v>
      </x:c>
      <x:c r="F1040" s="2" t="str">
        <x:v>Online</x:v>
      </x:c>
      <x:c r="G1040" s="2" t="str">
        <x:v>Lighting</x:v>
      </x:c>
      <x:c r="H1040" s="2" t="str">
        <x:v>Lamp 017</x:v>
      </x:c>
      <x:c r="I1040" s="11" t="n">
        <x:v>5</x:v>
      </x:c>
      <x:c r="J1040" s="9" t="n">
        <x:v>300</x:v>
      </x:c>
      <x:c r="K1040" s="10" t="n">
        <x:v>0.1</x:v>
      </x:c>
      <x:c r="L1040" s="11" t="n">
        <x:v>0</x:v>
      </x:c>
      <x:c r="M1040" s="9" t="n">
        <x:f>IF(D1040="Completed",I1040*J1040,0)</x:f>
        <x:v>1500</x:v>
      </x:c>
      <x:c r="N1040" s="9" t="n">
        <x:f>M1040*K1040</x:f>
        <x:v>150</x:v>
      </x:c>
      <x:c r="O1040" s="9" t="n">
        <x:f>M1040-N1040</x:f>
        <x:v>1350</x:v>
      </x:c>
      <x:c r="P1040" s="9" t="n">
        <x:f>IF(D1040="Completed",L1040*J1040*(1-K1040),0)</x:f>
        <x:v>0</x:v>
      </x:c>
      <x:c r="Q1040" s="9" t="n">
        <x:f>O1040-P1040</x:f>
        <x:v>1350</x:v>
      </x:c>
      <x:c r="R1040" s="11" t="n">
        <x:f>IF(D1040="Completed",I1040,0)</x:f>
        <x:v>5</x:v>
      </x:c>
      <x:c r="S1040" s="11" t="n">
        <x:f>IF(D1040="Completed",L1040,0)</x:f>
        <x:v>0</x:v>
      </x:c>
      <x:c r="T1040" s="8" t="n">
        <x:f>DATE(YEAR(C1040),MONTH(C1040),1)</x:f>
        <x:v>45962</x:v>
      </x:c>
    </x:row>
    <x:row r="1041" ht="22" customHeight="1">
      <x:c r="A1041" s="2" t="str">
        <x:v>L001037</x:v>
      </x:c>
      <x:c r="B1041" s="2" t="str">
        <x:v>O00422</x:v>
      </x:c>
      <x:c r="C1041" s="7" t="n">
        <x:v>45976</x:v>
      </x:c>
      <x:c r="D1041" s="2" t="str">
        <x:v>Completed</x:v>
      </x:c>
      <x:c r="E1041" s="2" t="str">
        <x:v>East</x:v>
      </x:c>
      <x:c r="F1041" s="2" t="str">
        <x:v>Online</x:v>
      </x:c>
      <x:c r="G1041" s="2" t="str">
        <x:v>Furniture</x:v>
      </x:c>
      <x:c r="H1041" s="2" t="str">
        <x:v>Desk 016</x:v>
      </x:c>
      <x:c r="I1041" s="11" t="n">
        <x:v>1</x:v>
      </x:c>
      <x:c r="J1041" s="9" t="n">
        <x:v>231</x:v>
      </x:c>
      <x:c r="K1041" s="10" t="n">
        <x:v>0.2</x:v>
      </x:c>
      <x:c r="L1041" s="11" t="n">
        <x:v>0</x:v>
      </x:c>
      <x:c r="M1041" s="9" t="n">
        <x:f>IF(D1041="Completed",I1041*J1041,0)</x:f>
        <x:v>231</x:v>
      </x:c>
      <x:c r="N1041" s="9" t="n">
        <x:f>M1041*K1041</x:f>
        <x:v>46.2</x:v>
      </x:c>
      <x:c r="O1041" s="9" t="n">
        <x:f>M1041-N1041</x:f>
        <x:v>184.8</x:v>
      </x:c>
      <x:c r="P1041" s="9" t="n">
        <x:f>IF(D1041="Completed",L1041*J1041*(1-K1041),0)</x:f>
        <x:v>0</x:v>
      </x:c>
      <x:c r="Q1041" s="9" t="n">
        <x:f>O1041-P1041</x:f>
        <x:v>184.8</x:v>
      </x:c>
      <x:c r="R1041" s="11" t="n">
        <x:f>IF(D1041="Completed",I1041,0)</x:f>
        <x:v>1</x:v>
      </x:c>
      <x:c r="S1041" s="11" t="n">
        <x:f>IF(D1041="Completed",L1041,0)</x:f>
        <x:v>0</x:v>
      </x:c>
      <x:c r="T1041" s="8" t="n">
        <x:f>DATE(YEAR(C1041),MONTH(C1041),1)</x:f>
        <x:v>45962</x:v>
      </x:c>
    </x:row>
    <x:row r="1042" ht="22" customHeight="1">
      <x:c r="A1042" s="2" t="str">
        <x:v>L001038</x:v>
      </x:c>
      <x:c r="B1042" s="2" t="str">
        <x:v>O00423</x:v>
      </x:c>
      <x:c r="C1042" s="7" t="n">
        <x:v>45694</x:v>
      </x:c>
      <x:c r="D1042" s="2" t="str">
        <x:v>Completed</x:v>
      </x:c>
      <x:c r="E1042" s="2" t="str">
        <x:v>North</x:v>
      </x:c>
      <x:c r="F1042" s="2" t="str">
        <x:v>Online</x:v>
      </x:c>
      <x:c r="G1042" s="2" t="str">
        <x:v>Furniture</x:v>
      </x:c>
      <x:c r="H1042" s="2" t="str">
        <x:v>Desk 008</x:v>
      </x:c>
      <x:c r="I1042" s="11" t="n">
        <x:v>4</x:v>
      </x:c>
      <x:c r="J1042" s="9" t="n">
        <x:v>188</x:v>
      </x:c>
      <x:c r="K1042" s="10" t="n">
        <x:v>0.05</x:v>
      </x:c>
      <x:c r="L1042" s="11" t="n">
        <x:v>0</x:v>
      </x:c>
      <x:c r="M1042" s="9" t="n">
        <x:f>IF(D1042="Completed",I1042*J1042,0)</x:f>
        <x:v>752</x:v>
      </x:c>
      <x:c r="N1042" s="9" t="n">
        <x:f>M1042*K1042</x:f>
        <x:v>37.6</x:v>
      </x:c>
      <x:c r="O1042" s="9" t="n">
        <x:f>M1042-N1042</x:f>
        <x:v>714.4</x:v>
      </x:c>
      <x:c r="P1042" s="9" t="n">
        <x:f>IF(D1042="Completed",L1042*J1042*(1-K1042),0)</x:f>
        <x:v>0</x:v>
      </x:c>
      <x:c r="Q1042" s="9" t="n">
        <x:f>O1042-P1042</x:f>
        <x:v>714.4</x:v>
      </x:c>
      <x:c r="R1042" s="11" t="n">
        <x:f>IF(D1042="Completed",I1042,0)</x:f>
        <x:v>4</x:v>
      </x:c>
      <x:c r="S1042" s="11" t="n">
        <x:f>IF(D1042="Completed",L1042,0)</x:f>
        <x:v>0</x:v>
      </x:c>
      <x:c r="T1042" s="8" t="n">
        <x:f>DATE(YEAR(C1042),MONTH(C1042),1)</x:f>
        <x:v>45689</x:v>
      </x:c>
    </x:row>
    <x:row r="1043" ht="22" customHeight="1">
      <x:c r="A1043" s="2" t="str">
        <x:v>L001039</x:v>
      </x:c>
      <x:c r="B1043" s="2" t="str">
        <x:v>O00423</x:v>
      </x:c>
      <x:c r="C1043" s="7" t="n">
        <x:v>45694</x:v>
      </x:c>
      <x:c r="D1043" s="2" t="str">
        <x:v>Completed</x:v>
      </x:c>
      <x:c r="E1043" s="2" t="str">
        <x:v>North</x:v>
      </x:c>
      <x:c r="F1043" s="2" t="str">
        <x:v>Online</x:v>
      </x:c>
      <x:c r="G1043" s="2" t="str">
        <x:v>Storage</x:v>
      </x:c>
      <x:c r="H1043" s="2" t="str">
        <x:v>Shelf 023</x:v>
      </x:c>
      <x:c r="I1043" s="11" t="n">
        <x:v>5</x:v>
      </x:c>
      <x:c r="J1043" s="9" t="n">
        <x:v>68</x:v>
      </x:c>
      <x:c r="K1043" s="10" t="n">
        <x:v>0</x:v>
      </x:c>
      <x:c r="L1043" s="11" t="n">
        <x:v>0</x:v>
      </x:c>
      <x:c r="M1043" s="9" t="n">
        <x:f>IF(D1043="Completed",I1043*J1043,0)</x:f>
        <x:v>340</x:v>
      </x:c>
      <x:c r="N1043" s="9" t="n">
        <x:f>M1043*K1043</x:f>
        <x:v>0</x:v>
      </x:c>
      <x:c r="O1043" s="9" t="n">
        <x:f>M1043-N1043</x:f>
        <x:v>340</x:v>
      </x:c>
      <x:c r="P1043" s="9" t="n">
        <x:f>IF(D1043="Completed",L1043*J1043*(1-K1043),0)</x:f>
        <x:v>0</x:v>
      </x:c>
      <x:c r="Q1043" s="9" t="n">
        <x:f>O1043-P1043</x:f>
        <x:v>340</x:v>
      </x:c>
      <x:c r="R1043" s="11" t="n">
        <x:f>IF(D1043="Completed",I1043,0)</x:f>
        <x:v>5</x:v>
      </x:c>
      <x:c r="S1043" s="11" t="n">
        <x:f>IF(D1043="Completed",L1043,0)</x:f>
        <x:v>0</x:v>
      </x:c>
      <x:c r="T1043" s="8" t="n">
        <x:f>DATE(YEAR(C1043),MONTH(C1043),1)</x:f>
        <x:v>45689</x:v>
      </x:c>
    </x:row>
    <x:row r="1044" ht="22" customHeight="1">
      <x:c r="A1044" s="2" t="str">
        <x:v>L001040</x:v>
      </x:c>
      <x:c r="B1044" s="2" t="str">
        <x:v>O00424</x:v>
      </x:c>
      <x:c r="C1044" s="7" t="n">
        <x:v>45849</x:v>
      </x:c>
      <x:c r="D1044" s="2" t="str">
        <x:v>Completed</x:v>
      </x:c>
      <x:c r="E1044" s="2" t="str">
        <x:v>North</x:v>
      </x:c>
      <x:c r="F1044" s="2" t="str">
        <x:v>Store</x:v>
      </x:c>
      <x:c r="G1044" s="2" t="str">
        <x:v>Storage</x:v>
      </x:c>
      <x:c r="H1044" s="2" t="str">
        <x:v>Shelf 015</x:v>
      </x:c>
      <x:c r="I1044" s="11" t="n">
        <x:v>2</x:v>
      </x:c>
      <x:c r="J1044" s="9" t="n">
        <x:v>254</x:v>
      </x:c>
      <x:c r="K1044" s="10" t="n">
        <x:v>0.1</x:v>
      </x:c>
      <x:c r="L1044" s="11" t="n">
        <x:v>0</x:v>
      </x:c>
      <x:c r="M1044" s="9" t="n">
        <x:f>IF(D1044="Completed",I1044*J1044,0)</x:f>
        <x:v>508</x:v>
      </x:c>
      <x:c r="N1044" s="9" t="n">
        <x:f>M1044*K1044</x:f>
        <x:v>50.800000000000004</x:v>
      </x:c>
      <x:c r="O1044" s="9" t="n">
        <x:f>M1044-N1044</x:f>
        <x:v>457.2</x:v>
      </x:c>
      <x:c r="P1044" s="9" t="n">
        <x:f>IF(D1044="Completed",L1044*J1044*(1-K1044),0)</x:f>
        <x:v>0</x:v>
      </x:c>
      <x:c r="Q1044" s="9" t="n">
        <x:f>O1044-P1044</x:f>
        <x:v>457.2</x:v>
      </x:c>
      <x:c r="R1044" s="11" t="n">
        <x:f>IF(D1044="Completed",I1044,0)</x:f>
        <x:v>2</x:v>
      </x:c>
      <x:c r="S1044" s="11" t="n">
        <x:f>IF(D1044="Completed",L1044,0)</x:f>
        <x:v>0</x:v>
      </x:c>
      <x:c r="T1044" s="8" t="n">
        <x:f>DATE(YEAR(C1044),MONTH(C1044),1)</x:f>
        <x:v>45839</x:v>
      </x:c>
    </x:row>
    <x:row r="1045" ht="22" customHeight="1">
      <x:c r="A1045" s="2" t="str">
        <x:v>L001041</x:v>
      </x:c>
      <x:c r="B1045" s="2" t="str">
        <x:v>O00425</x:v>
      </x:c>
      <x:c r="C1045" s="7" t="n">
        <x:v>45911</x:v>
      </x:c>
      <x:c r="D1045" s="2" t="str">
        <x:v>Completed</x:v>
      </x:c>
      <x:c r="E1045" s="2" t="str">
        <x:v>West</x:v>
      </x:c>
      <x:c r="F1045" s="2" t="str">
        <x:v>Online</x:v>
      </x:c>
      <x:c r="G1045" s="2" t="str">
        <x:v>Storage</x:v>
      </x:c>
      <x:c r="H1045" s="2" t="str">
        <x:v>Shelf 023</x:v>
      </x:c>
      <x:c r="I1045" s="11" t="n">
        <x:v>3</x:v>
      </x:c>
      <x:c r="J1045" s="9" t="n">
        <x:v>68</x:v>
      </x:c>
      <x:c r="K1045" s="10" t="n">
        <x:v>0</x:v>
      </x:c>
      <x:c r="L1045" s="11" t="n">
        <x:v>0</x:v>
      </x:c>
      <x:c r="M1045" s="9" t="n">
        <x:f>IF(D1045="Completed",I1045*J1045,0)</x:f>
        <x:v>204</x:v>
      </x:c>
      <x:c r="N1045" s="9" t="n">
        <x:f>M1045*K1045</x:f>
        <x:v>0</x:v>
      </x:c>
      <x:c r="O1045" s="9" t="n">
        <x:f>M1045-N1045</x:f>
        <x:v>204</x:v>
      </x:c>
      <x:c r="P1045" s="9" t="n">
        <x:f>IF(D1045="Completed",L1045*J1045*(1-K1045),0)</x:f>
        <x:v>0</x:v>
      </x:c>
      <x:c r="Q1045" s="9" t="n">
        <x:f>O1045-P1045</x:f>
        <x:v>204</x:v>
      </x:c>
      <x:c r="R1045" s="11" t="n">
        <x:f>IF(D1045="Completed",I1045,0)</x:f>
        <x:v>3</x:v>
      </x:c>
      <x:c r="S1045" s="11" t="n">
        <x:f>IF(D1045="Completed",L1045,0)</x:f>
        <x:v>0</x:v>
      </x:c>
      <x:c r="T1045" s="8" t="n">
        <x:f>DATE(YEAR(C1045),MONTH(C1045),1)</x:f>
        <x:v>45901</x:v>
      </x:c>
    </x:row>
    <x:row r="1046" ht="22" customHeight="1">
      <x:c r="A1046" s="2" t="str">
        <x:v>L001042</x:v>
      </x:c>
      <x:c r="B1046" s="2" t="str">
        <x:v>O00425</x:v>
      </x:c>
      <x:c r="C1046" s="7" t="n">
        <x:v>45911</x:v>
      </x:c>
      <x:c r="D1046" s="2" t="str">
        <x:v>Completed</x:v>
      </x:c>
      <x:c r="E1046" s="2" t="str">
        <x:v>West</x:v>
      </x:c>
      <x:c r="F1046" s="2" t="str">
        <x:v>Online</x:v>
      </x:c>
      <x:c r="G1046" s="2" t="str">
        <x:v>Storage</x:v>
      </x:c>
      <x:c r="H1046" s="2" t="str">
        <x:v>Shelf 007</x:v>
      </x:c>
      <x:c r="I1046" s="11" t="n">
        <x:v>1</x:v>
      </x:c>
      <x:c r="J1046" s="9" t="n">
        <x:v>35</x:v>
      </x:c>
      <x:c r="K1046" s="10" t="n">
        <x:v>0.2</x:v>
      </x:c>
      <x:c r="L1046" s="11" t="n">
        <x:v>0</x:v>
      </x:c>
      <x:c r="M1046" s="9" t="n">
        <x:f>IF(D1046="Completed",I1046*J1046,0)</x:f>
        <x:v>35</x:v>
      </x:c>
      <x:c r="N1046" s="9" t="n">
        <x:f>M1046*K1046</x:f>
        <x:v>7</x:v>
      </x:c>
      <x:c r="O1046" s="9" t="n">
        <x:f>M1046-N1046</x:f>
        <x:v>28</x:v>
      </x:c>
      <x:c r="P1046" s="9" t="n">
        <x:f>IF(D1046="Completed",L1046*J1046*(1-K1046),0)</x:f>
        <x:v>0</x:v>
      </x:c>
      <x:c r="Q1046" s="9" t="n">
        <x:f>O1046-P1046</x:f>
        <x:v>28</x:v>
      </x:c>
      <x:c r="R1046" s="11" t="n">
        <x:f>IF(D1046="Completed",I1046,0)</x:f>
        <x:v>1</x:v>
      </x:c>
      <x:c r="S1046" s="11" t="n">
        <x:f>IF(D1046="Completed",L1046,0)</x:f>
        <x:v>0</x:v>
      </x:c>
      <x:c r="T1046" s="8" t="n">
        <x:f>DATE(YEAR(C1046),MONTH(C1046),1)</x:f>
        <x:v>45901</x:v>
      </x:c>
    </x:row>
    <x:row r="1047" ht="22" customHeight="1">
      <x:c r="A1047" s="2" t="str">
        <x:v>L001043</x:v>
      </x:c>
      <x:c r="B1047" s="2" t="str">
        <x:v>O00426</x:v>
      </x:c>
      <x:c r="C1047" s="7" t="n">
        <x:v>45896</x:v>
      </x:c>
      <x:c r="D1047" s="2" t="str">
        <x:v>Completed</x:v>
      </x:c>
      <x:c r="E1047" s="2" t="str">
        <x:v>West</x:v>
      </x:c>
      <x:c r="F1047" s="2" t="str">
        <x:v>Online</x:v>
      </x:c>
      <x:c r="G1047" s="2" t="str">
        <x:v>Furniture</x:v>
      </x:c>
      <x:c r="H1047" s="2" t="str">
        <x:v>Desk 020</x:v>
      </x:c>
      <x:c r="I1047" s="11" t="n">
        <x:v>4</x:v>
      </x:c>
      <x:c r="J1047" s="9" t="n">
        <x:v>189</x:v>
      </x:c>
      <x:c r="K1047" s="10" t="n">
        <x:v>0.1</x:v>
      </x:c>
      <x:c r="L1047" s="11" t="n">
        <x:v>4</x:v>
      </x:c>
      <x:c r="M1047" s="9" t="n">
        <x:f>IF(D1047="Completed",I1047*J1047,0)</x:f>
        <x:v>756</x:v>
      </x:c>
      <x:c r="N1047" s="9" t="n">
        <x:f>M1047*K1047</x:f>
        <x:v>75.60000000000001</x:v>
      </x:c>
      <x:c r="O1047" s="9" t="n">
        <x:f>M1047-N1047</x:f>
        <x:v>680.4</x:v>
      </x:c>
      <x:c r="P1047" s="9" t="n">
        <x:f>IF(D1047="Completed",L1047*J1047*(1-K1047),0)</x:f>
        <x:v>680.4</x:v>
      </x:c>
      <x:c r="Q1047" s="9" t="n">
        <x:f>O1047-P1047</x:f>
        <x:v>0</x:v>
      </x:c>
      <x:c r="R1047" s="11" t="n">
        <x:f>IF(D1047="Completed",I1047,0)</x:f>
        <x:v>4</x:v>
      </x:c>
      <x:c r="S1047" s="11" t="n">
        <x:f>IF(D1047="Completed",L1047,0)</x:f>
        <x:v>4</x:v>
      </x:c>
      <x:c r="T1047" s="8" t="n">
        <x:f>DATE(YEAR(C1047),MONTH(C1047),1)</x:f>
        <x:v>45870</x:v>
      </x:c>
    </x:row>
    <x:row r="1048" ht="22" customHeight="1">
      <x:c r="A1048" s="2" t="str">
        <x:v>L001044</x:v>
      </x:c>
      <x:c r="B1048" s="2" t="str">
        <x:v>O00426</x:v>
      </x:c>
      <x:c r="C1048" s="7" t="n">
        <x:v>45896</x:v>
      </x:c>
      <x:c r="D1048" s="2" t="str">
        <x:v>Completed</x:v>
      </x:c>
      <x:c r="E1048" s="2" t="str">
        <x:v>West</x:v>
      </x:c>
      <x:c r="F1048" s="2" t="str">
        <x:v>Online</x:v>
      </x:c>
      <x:c r="G1048" s="2" t="str">
        <x:v>Furniture</x:v>
      </x:c>
      <x:c r="H1048" s="2" t="str">
        <x:v>Desk 008</x:v>
      </x:c>
      <x:c r="I1048" s="11" t="n">
        <x:v>2</x:v>
      </x:c>
      <x:c r="J1048" s="9" t="n">
        <x:v>188</x:v>
      </x:c>
      <x:c r="K1048" s="10" t="n">
        <x:v>0.1</x:v>
      </x:c>
      <x:c r="L1048" s="11" t="n">
        <x:v>0</x:v>
      </x:c>
      <x:c r="M1048" s="9" t="n">
        <x:f>IF(D1048="Completed",I1048*J1048,0)</x:f>
        <x:v>376</x:v>
      </x:c>
      <x:c r="N1048" s="9" t="n">
        <x:f>M1048*K1048</x:f>
        <x:v>37.6</x:v>
      </x:c>
      <x:c r="O1048" s="9" t="n">
        <x:f>M1048-N1048</x:f>
        <x:v>338.4</x:v>
      </x:c>
      <x:c r="P1048" s="9" t="n">
        <x:f>IF(D1048="Completed",L1048*J1048*(1-K1048),0)</x:f>
        <x:v>0</x:v>
      </x:c>
      <x:c r="Q1048" s="9" t="n">
        <x:f>O1048-P1048</x:f>
        <x:v>338.4</x:v>
      </x:c>
      <x:c r="R1048" s="11" t="n">
        <x:f>IF(D1048="Completed",I1048,0)</x:f>
        <x:v>2</x:v>
      </x:c>
      <x:c r="S1048" s="11" t="n">
        <x:f>IF(D1048="Completed",L1048,0)</x:f>
        <x:v>0</x:v>
      </x:c>
      <x:c r="T1048" s="8" t="n">
        <x:f>DATE(YEAR(C1048),MONTH(C1048),1)</x:f>
        <x:v>45870</x:v>
      </x:c>
    </x:row>
    <x:row r="1049" ht="22" customHeight="1">
      <x:c r="A1049" s="2" t="str">
        <x:v>L001045</x:v>
      </x:c>
      <x:c r="B1049" s="2" t="str">
        <x:v>O00426</x:v>
      </x:c>
      <x:c r="C1049" s="7" t="n">
        <x:v>45896</x:v>
      </x:c>
      <x:c r="D1049" s="2" t="str">
        <x:v>Completed</x:v>
      </x:c>
      <x:c r="E1049" s="2" t="str">
        <x:v>West</x:v>
      </x:c>
      <x:c r="F1049" s="2" t="str">
        <x:v>Online</x:v>
      </x:c>
      <x:c r="G1049" s="2" t="str">
        <x:v>Furniture</x:v>
      </x:c>
      <x:c r="H1049" s="2" t="str">
        <x:v>Desk 020</x:v>
      </x:c>
      <x:c r="I1049" s="11" t="n">
        <x:v>3</x:v>
      </x:c>
      <x:c r="J1049" s="9" t="n">
        <x:v>189</x:v>
      </x:c>
      <x:c r="K1049" s="10" t="n">
        <x:v>0</x:v>
      </x:c>
      <x:c r="L1049" s="11" t="n">
        <x:v>0</x:v>
      </x:c>
      <x:c r="M1049" s="9" t="n">
        <x:f>IF(D1049="Completed",I1049*J1049,0)</x:f>
        <x:v>567</x:v>
      </x:c>
      <x:c r="N1049" s="9" t="n">
        <x:f>M1049*K1049</x:f>
        <x:v>0</x:v>
      </x:c>
      <x:c r="O1049" s="9" t="n">
        <x:f>M1049-N1049</x:f>
        <x:v>567</x:v>
      </x:c>
      <x:c r="P1049" s="9" t="n">
        <x:f>IF(D1049="Completed",L1049*J1049*(1-K1049),0)</x:f>
        <x:v>0</x:v>
      </x:c>
      <x:c r="Q1049" s="9" t="n">
        <x:f>O1049-P1049</x:f>
        <x:v>567</x:v>
      </x:c>
      <x:c r="R1049" s="11" t="n">
        <x:f>IF(D1049="Completed",I1049,0)</x:f>
        <x:v>3</x:v>
      </x:c>
      <x:c r="S1049" s="11" t="n">
        <x:f>IF(D1049="Completed",L1049,0)</x:f>
        <x:v>0</x:v>
      </x:c>
      <x:c r="T1049" s="8" t="n">
        <x:f>DATE(YEAR(C1049),MONTH(C1049),1)</x:f>
        <x:v>45870</x:v>
      </x:c>
    </x:row>
    <x:row r="1050" ht="22" customHeight="1">
      <x:c r="A1050" s="2" t="str">
        <x:v>L001046</x:v>
      </x:c>
      <x:c r="B1050" s="2" t="str">
        <x:v>O00427</x:v>
      </x:c>
      <x:c r="C1050" s="7" t="n">
        <x:v>45776</x:v>
      </x:c>
      <x:c r="D1050" s="2" t="str">
        <x:v>Completed</x:v>
      </x:c>
      <x:c r="E1050" s="2" t="str">
        <x:v>North</x:v>
      </x:c>
      <x:c r="F1050" s="2" t="str">
        <x:v>Online</x:v>
      </x:c>
      <x:c r="G1050" s="2" t="str">
        <x:v>Lighting</x:v>
      </x:c>
      <x:c r="H1050" s="2" t="str">
        <x:v>Lamp 013</x:v>
      </x:c>
      <x:c r="I1050" s="11" t="n">
        <x:v>4</x:v>
      </x:c>
      <x:c r="J1050" s="9" t="n">
        <x:v>271</x:v>
      </x:c>
      <x:c r="K1050" s="10" t="n">
        <x:v>0.1</x:v>
      </x:c>
      <x:c r="L1050" s="11" t="n">
        <x:v>0</x:v>
      </x:c>
      <x:c r="M1050" s="9" t="n">
        <x:f>IF(D1050="Completed",I1050*J1050,0)</x:f>
        <x:v>1084</x:v>
      </x:c>
      <x:c r="N1050" s="9" t="n">
        <x:f>M1050*K1050</x:f>
        <x:v>108.4</x:v>
      </x:c>
      <x:c r="O1050" s="9" t="n">
        <x:f>M1050-N1050</x:f>
        <x:v>975.6</x:v>
      </x:c>
      <x:c r="P1050" s="9" t="n">
        <x:f>IF(D1050="Completed",L1050*J1050*(1-K1050),0)</x:f>
        <x:v>0</x:v>
      </x:c>
      <x:c r="Q1050" s="9" t="n">
        <x:f>O1050-P1050</x:f>
        <x:v>975.6</x:v>
      </x:c>
      <x:c r="R1050" s="11" t="n">
        <x:f>IF(D1050="Completed",I1050,0)</x:f>
        <x:v>4</x:v>
      </x:c>
      <x:c r="S1050" s="11" t="n">
        <x:f>IF(D1050="Completed",L1050,0)</x:f>
        <x:v>0</x:v>
      </x:c>
      <x:c r="T1050" s="8" t="n">
        <x:f>DATE(YEAR(C1050),MONTH(C1050),1)</x:f>
        <x:v>45748</x:v>
      </x:c>
    </x:row>
    <x:row r="1051" ht="22" customHeight="1">
      <x:c r="A1051" s="2" t="str">
        <x:v>L001047</x:v>
      </x:c>
      <x:c r="B1051" s="2" t="str">
        <x:v>O00427</x:v>
      </x:c>
      <x:c r="C1051" s="7" t="n">
        <x:v>45776</x:v>
      </x:c>
      <x:c r="D1051" s="2" t="str">
        <x:v>Completed</x:v>
      </x:c>
      <x:c r="E1051" s="2" t="str">
        <x:v>North</x:v>
      </x:c>
      <x:c r="F1051" s="2" t="str">
        <x:v>Online</x:v>
      </x:c>
      <x:c r="G1051" s="2" t="str">
        <x:v>Lighting</x:v>
      </x:c>
      <x:c r="H1051" s="2" t="str">
        <x:v>Lamp 005</x:v>
      </x:c>
      <x:c r="I1051" s="11" t="n">
        <x:v>4</x:v>
      </x:c>
      <x:c r="J1051" s="9" t="n">
        <x:v>65</x:v>
      </x:c>
      <x:c r="K1051" s="10" t="n">
        <x:v>0.1</x:v>
      </x:c>
      <x:c r="L1051" s="11" t="n">
        <x:v>0</x:v>
      </x:c>
      <x:c r="M1051" s="9" t="n">
        <x:f>IF(D1051="Completed",I1051*J1051,0)</x:f>
        <x:v>260</x:v>
      </x:c>
      <x:c r="N1051" s="9" t="n">
        <x:f>M1051*K1051</x:f>
        <x:v>26</x:v>
      </x:c>
      <x:c r="O1051" s="9" t="n">
        <x:f>M1051-N1051</x:f>
        <x:v>234</x:v>
      </x:c>
      <x:c r="P1051" s="9" t="n">
        <x:f>IF(D1051="Completed",L1051*J1051*(1-K1051),0)</x:f>
        <x:v>0</x:v>
      </x:c>
      <x:c r="Q1051" s="9" t="n">
        <x:f>O1051-P1051</x:f>
        <x:v>234</x:v>
      </x:c>
      <x:c r="R1051" s="11" t="n">
        <x:f>IF(D1051="Completed",I1051,0)</x:f>
        <x:v>4</x:v>
      </x:c>
      <x:c r="S1051" s="11" t="n">
        <x:f>IF(D1051="Completed",L1051,0)</x:f>
        <x:v>0</x:v>
      </x:c>
      <x:c r="T1051" s="8" t="n">
        <x:f>DATE(YEAR(C1051),MONTH(C1051),1)</x:f>
        <x:v>45748</x:v>
      </x:c>
    </x:row>
    <x:row r="1052" ht="22" customHeight="1">
      <x:c r="A1052" s="2" t="str">
        <x:v>L001048</x:v>
      </x:c>
      <x:c r="B1052" s="2" t="str">
        <x:v>O00427</x:v>
      </x:c>
      <x:c r="C1052" s="7" t="n">
        <x:v>45776</x:v>
      </x:c>
      <x:c r="D1052" s="2" t="str">
        <x:v>Completed</x:v>
      </x:c>
      <x:c r="E1052" s="2" t="str">
        <x:v>North</x:v>
      </x:c>
      <x:c r="F1052" s="2" t="str">
        <x:v>Online</x:v>
      </x:c>
      <x:c r="G1052" s="2" t="str">
        <x:v>Furniture</x:v>
      </x:c>
      <x:c r="H1052" s="2" t="str">
        <x:v>Chair 018</x:v>
      </x:c>
      <x:c r="I1052" s="11" t="n">
        <x:v>5</x:v>
      </x:c>
      <x:c r="J1052" s="9" t="n">
        <x:v>269</x:v>
      </x:c>
      <x:c r="K1052" s="10" t="n">
        <x:v>0.05</x:v>
      </x:c>
      <x:c r="L1052" s="11" t="n">
        <x:v>0</x:v>
      </x:c>
      <x:c r="M1052" s="9" t="n">
        <x:f>IF(D1052="Completed",I1052*J1052,0)</x:f>
        <x:v>1345</x:v>
      </x:c>
      <x:c r="N1052" s="9" t="n">
        <x:f>M1052*K1052</x:f>
        <x:v>67.25</x:v>
      </x:c>
      <x:c r="O1052" s="9" t="n">
        <x:f>M1052-N1052</x:f>
        <x:v>1277.75</x:v>
      </x:c>
      <x:c r="P1052" s="9" t="n">
        <x:f>IF(D1052="Completed",L1052*J1052*(1-K1052),0)</x:f>
        <x:v>0</x:v>
      </x:c>
      <x:c r="Q1052" s="9" t="n">
        <x:f>O1052-P1052</x:f>
        <x:v>1277.75</x:v>
      </x:c>
      <x:c r="R1052" s="11" t="n">
        <x:f>IF(D1052="Completed",I1052,0)</x:f>
        <x:v>5</x:v>
      </x:c>
      <x:c r="S1052" s="11" t="n">
        <x:f>IF(D1052="Completed",L1052,0)</x:f>
        <x:v>0</x:v>
      </x:c>
      <x:c r="T1052" s="8" t="n">
        <x:f>DATE(YEAR(C1052),MONTH(C1052),1)</x:f>
        <x:v>45748</x:v>
      </x:c>
    </x:row>
    <x:row r="1053" ht="22" customHeight="1">
      <x:c r="A1053" s="2" t="str">
        <x:v>L001049</x:v>
      </x:c>
      <x:c r="B1053" s="2" t="str">
        <x:v>O00428</x:v>
      </x:c>
      <x:c r="C1053" s="7" t="n">
        <x:v>45714</x:v>
      </x:c>
      <x:c r="D1053" s="2" t="str">
        <x:v>Completed</x:v>
      </x:c>
      <x:c r="E1053" s="2" t="str">
        <x:v>West</x:v>
      </x:c>
      <x:c r="F1053" s="2" t="str">
        <x:v>Online</x:v>
      </x:c>
      <x:c r="G1053" s="2" t="str">
        <x:v>Furniture</x:v>
      </x:c>
      <x:c r="H1053" s="2" t="str">
        <x:v>Chair 018</x:v>
      </x:c>
      <x:c r="I1053" s="11" t="n">
        <x:v>2</x:v>
      </x:c>
      <x:c r="J1053" s="9" t="n">
        <x:v>269</x:v>
      </x:c>
      <x:c r="K1053" s="10" t="n">
        <x:v>0.2</x:v>
      </x:c>
      <x:c r="L1053" s="11" t="n">
        <x:v>0</x:v>
      </x:c>
      <x:c r="M1053" s="9" t="n">
        <x:f>IF(D1053="Completed",I1053*J1053,0)</x:f>
        <x:v>538</x:v>
      </x:c>
      <x:c r="N1053" s="9" t="n">
        <x:f>M1053*K1053</x:f>
        <x:v>107.60000000000001</x:v>
      </x:c>
      <x:c r="O1053" s="9" t="n">
        <x:f>M1053-N1053</x:f>
        <x:v>430.4</x:v>
      </x:c>
      <x:c r="P1053" s="9" t="n">
        <x:f>IF(D1053="Completed",L1053*J1053*(1-K1053),0)</x:f>
        <x:v>0</x:v>
      </x:c>
      <x:c r="Q1053" s="9" t="n">
        <x:f>O1053-P1053</x:f>
        <x:v>430.4</x:v>
      </x:c>
      <x:c r="R1053" s="11" t="n">
        <x:f>IF(D1053="Completed",I1053,0)</x:f>
        <x:v>2</x:v>
      </x:c>
      <x:c r="S1053" s="11" t="n">
        <x:f>IF(D1053="Completed",L1053,0)</x:f>
        <x:v>0</x:v>
      </x:c>
      <x:c r="T1053" s="8" t="n">
        <x:f>DATE(YEAR(C1053),MONTH(C1053),1)</x:f>
        <x:v>45689</x:v>
      </x:c>
    </x:row>
    <x:row r="1054" ht="22" customHeight="1">
      <x:c r="A1054" s="2" t="str">
        <x:v>L001050</x:v>
      </x:c>
      <x:c r="B1054" s="2" t="str">
        <x:v>O00428</x:v>
      </x:c>
      <x:c r="C1054" s="7" t="n">
        <x:v>45714</x:v>
      </x:c>
      <x:c r="D1054" s="2" t="str">
        <x:v>Completed</x:v>
      </x:c>
      <x:c r="E1054" s="2" t="str">
        <x:v>West</x:v>
      </x:c>
      <x:c r="F1054" s="2" t="str">
        <x:v>Online</x:v>
      </x:c>
      <x:c r="G1054" s="2" t="str">
        <x:v>Furniture</x:v>
      </x:c>
      <x:c r="H1054" s="2" t="str">
        <x:v>Chair 010</x:v>
      </x:c>
      <x:c r="I1054" s="11" t="n">
        <x:v>2</x:v>
      </x:c>
      <x:c r="J1054" s="9" t="n">
        <x:v>211</x:v>
      </x:c>
      <x:c r="K1054" s="10" t="n">
        <x:v>0</x:v>
      </x:c>
      <x:c r="L1054" s="11" t="n">
        <x:v>0</x:v>
      </x:c>
      <x:c r="M1054" s="9" t="n">
        <x:f>IF(D1054="Completed",I1054*J1054,0)</x:f>
        <x:v>422</x:v>
      </x:c>
      <x:c r="N1054" s="9" t="n">
        <x:f>M1054*K1054</x:f>
        <x:v>0</x:v>
      </x:c>
      <x:c r="O1054" s="9" t="n">
        <x:f>M1054-N1054</x:f>
        <x:v>422</x:v>
      </x:c>
      <x:c r="P1054" s="9" t="n">
        <x:f>IF(D1054="Completed",L1054*J1054*(1-K1054),0)</x:f>
        <x:v>0</x:v>
      </x:c>
      <x:c r="Q1054" s="9" t="n">
        <x:f>O1054-P1054</x:f>
        <x:v>422</x:v>
      </x:c>
      <x:c r="R1054" s="11" t="n">
        <x:f>IF(D1054="Completed",I1054,0)</x:f>
        <x:v>2</x:v>
      </x:c>
      <x:c r="S1054" s="11" t="n">
        <x:f>IF(D1054="Completed",L1054,0)</x:f>
        <x:v>0</x:v>
      </x:c>
      <x:c r="T1054" s="8" t="n">
        <x:f>DATE(YEAR(C1054),MONTH(C1054),1)</x:f>
        <x:v>45689</x:v>
      </x:c>
    </x:row>
    <x:row r="1055" ht="22" customHeight="1">
      <x:c r="A1055" s="2" t="str">
        <x:v>L001051</x:v>
      </x:c>
      <x:c r="B1055" s="2" t="str">
        <x:v>O00428</x:v>
      </x:c>
      <x:c r="C1055" s="7" t="n">
        <x:v>45714</x:v>
      </x:c>
      <x:c r="D1055" s="2" t="str">
        <x:v>Completed</x:v>
      </x:c>
      <x:c r="E1055" s="2" t="str">
        <x:v>West</x:v>
      </x:c>
      <x:c r="F1055" s="2" t="str">
        <x:v>Online</x:v>
      </x:c>
      <x:c r="G1055" s="2" t="str">
        <x:v>Lighting</x:v>
      </x:c>
      <x:c r="H1055" s="2" t="str">
        <x:v>Lamp 005</x:v>
      </x:c>
      <x:c r="I1055" s="11" t="n">
        <x:v>1</x:v>
      </x:c>
      <x:c r="J1055" s="9" t="n">
        <x:v>65</x:v>
      </x:c>
      <x:c r="K1055" s="10" t="n">
        <x:v>0.05</x:v>
      </x:c>
      <x:c r="L1055" s="11" t="n">
        <x:v>0</x:v>
      </x:c>
      <x:c r="M1055" s="9" t="n">
        <x:f>IF(D1055="Completed",I1055*J1055,0)</x:f>
        <x:v>65</x:v>
      </x:c>
      <x:c r="N1055" s="9" t="n">
        <x:f>M1055*K1055</x:f>
        <x:v>3.25</x:v>
      </x:c>
      <x:c r="O1055" s="9" t="n">
        <x:f>M1055-N1055</x:f>
        <x:v>61.75</x:v>
      </x:c>
      <x:c r="P1055" s="9" t="n">
        <x:f>IF(D1055="Completed",L1055*J1055*(1-K1055),0)</x:f>
        <x:v>0</x:v>
      </x:c>
      <x:c r="Q1055" s="9" t="n">
        <x:f>O1055-P1055</x:f>
        <x:v>61.75</x:v>
      </x:c>
      <x:c r="R1055" s="11" t="n">
        <x:f>IF(D1055="Completed",I1055,0)</x:f>
        <x:v>1</x:v>
      </x:c>
      <x:c r="S1055" s="11" t="n">
        <x:f>IF(D1055="Completed",L1055,0)</x:f>
        <x:v>0</x:v>
      </x:c>
      <x:c r="T1055" s="8" t="n">
        <x:f>DATE(YEAR(C1055),MONTH(C1055),1)</x:f>
        <x:v>45689</x:v>
      </x:c>
    </x:row>
    <x:row r="1056" ht="22" customHeight="1">
      <x:c r="A1056" s="2" t="str">
        <x:v>L001052</x:v>
      </x:c>
      <x:c r="B1056" s="2" t="str">
        <x:v>O00428</x:v>
      </x:c>
      <x:c r="C1056" s="7" t="n">
        <x:v>45714</x:v>
      </x:c>
      <x:c r="D1056" s="2" t="str">
        <x:v>Completed</x:v>
      </x:c>
      <x:c r="E1056" s="2" t="str">
        <x:v>West</x:v>
      </x:c>
      <x:c r="F1056" s="2" t="str">
        <x:v>Online</x:v>
      </x:c>
      <x:c r="G1056" s="2" t="str">
        <x:v>Storage</x:v>
      </x:c>
      <x:c r="H1056" s="2" t="str">
        <x:v>Shelf 007</x:v>
      </x:c>
      <x:c r="I1056" s="11" t="n">
        <x:v>1</x:v>
      </x:c>
      <x:c r="J1056" s="9" t="n">
        <x:v>35</x:v>
      </x:c>
      <x:c r="K1056" s="10" t="n">
        <x:v>0</x:v>
      </x:c>
      <x:c r="L1056" s="11" t="n">
        <x:v>0</x:v>
      </x:c>
      <x:c r="M1056" s="9" t="n">
        <x:f>IF(D1056="Completed",I1056*J1056,0)</x:f>
        <x:v>35</x:v>
      </x:c>
      <x:c r="N1056" s="9" t="n">
        <x:f>M1056*K1056</x:f>
        <x:v>0</x:v>
      </x:c>
      <x:c r="O1056" s="9" t="n">
        <x:f>M1056-N1056</x:f>
        <x:v>35</x:v>
      </x:c>
      <x:c r="P1056" s="9" t="n">
        <x:f>IF(D1056="Completed",L1056*J1056*(1-K1056),0)</x:f>
        <x:v>0</x:v>
      </x:c>
      <x:c r="Q1056" s="9" t="n">
        <x:f>O1056-P1056</x:f>
        <x:v>35</x:v>
      </x:c>
      <x:c r="R1056" s="11" t="n">
        <x:f>IF(D1056="Completed",I1056,0)</x:f>
        <x:v>1</x:v>
      </x:c>
      <x:c r="S1056" s="11" t="n">
        <x:f>IF(D1056="Completed",L1056,0)</x:f>
        <x:v>0</x:v>
      </x:c>
      <x:c r="T1056" s="8" t="n">
        <x:f>DATE(YEAR(C1056),MONTH(C1056),1)</x:f>
        <x:v>45689</x:v>
      </x:c>
    </x:row>
    <x:row r="1057" ht="22" customHeight="1">
      <x:c r="A1057" s="2" t="str">
        <x:v>L001053</x:v>
      </x:c>
      <x:c r="B1057" s="2" t="str">
        <x:v>O00429</x:v>
      </x:c>
      <x:c r="C1057" s="7" t="n">
        <x:v>45696</x:v>
      </x:c>
      <x:c r="D1057" s="2" t="str">
        <x:v>Completed</x:v>
      </x:c>
      <x:c r="E1057" s="2" t="str">
        <x:v>South</x:v>
      </x:c>
      <x:c r="F1057" s="2" t="str">
        <x:v>Store</x:v>
      </x:c>
      <x:c r="G1057" s="2" t="str">
        <x:v>Furniture</x:v>
      </x:c>
      <x:c r="H1057" s="2" t="str">
        <x:v>Chair 010</x:v>
      </x:c>
      <x:c r="I1057" s="11" t="n">
        <x:v>4</x:v>
      </x:c>
      <x:c r="J1057" s="9" t="n">
        <x:v>211</x:v>
      </x:c>
      <x:c r="K1057" s="10" t="n">
        <x:v>0.1</x:v>
      </x:c>
      <x:c r="L1057" s="11" t="n">
        <x:v>0</x:v>
      </x:c>
      <x:c r="M1057" s="9" t="n">
        <x:f>IF(D1057="Completed",I1057*J1057,0)</x:f>
        <x:v>844</x:v>
      </x:c>
      <x:c r="N1057" s="9" t="n">
        <x:f>M1057*K1057</x:f>
        <x:v>84.4</x:v>
      </x:c>
      <x:c r="O1057" s="9" t="n">
        <x:f>M1057-N1057</x:f>
        <x:v>759.6</x:v>
      </x:c>
      <x:c r="P1057" s="9" t="n">
        <x:f>IF(D1057="Completed",L1057*J1057*(1-K1057),0)</x:f>
        <x:v>0</x:v>
      </x:c>
      <x:c r="Q1057" s="9" t="n">
        <x:f>O1057-P1057</x:f>
        <x:v>759.6</x:v>
      </x:c>
      <x:c r="R1057" s="11" t="n">
        <x:f>IF(D1057="Completed",I1057,0)</x:f>
        <x:v>4</x:v>
      </x:c>
      <x:c r="S1057" s="11" t="n">
        <x:f>IF(D1057="Completed",L1057,0)</x:f>
        <x:v>0</x:v>
      </x:c>
      <x:c r="T1057" s="8" t="n">
        <x:f>DATE(YEAR(C1057),MONTH(C1057),1)</x:f>
        <x:v>45689</x:v>
      </x:c>
    </x:row>
    <x:row r="1058" ht="22" customHeight="1">
      <x:c r="A1058" s="2" t="str">
        <x:v>L001054</x:v>
      </x:c>
      <x:c r="B1058" s="2" t="str">
        <x:v>O00429</x:v>
      </x:c>
      <x:c r="C1058" s="7" t="n">
        <x:v>45696</x:v>
      </x:c>
      <x:c r="D1058" s="2" t="str">
        <x:v>Completed</x:v>
      </x:c>
      <x:c r="E1058" s="2" t="str">
        <x:v>South</x:v>
      </x:c>
      <x:c r="F1058" s="2" t="str">
        <x:v>Store</x:v>
      </x:c>
      <x:c r="G1058" s="2" t="str">
        <x:v>Furniture</x:v>
      </x:c>
      <x:c r="H1058" s="2" t="str">
        <x:v>Chair 002</x:v>
      </x:c>
      <x:c r="I1058" s="11" t="n">
        <x:v>4</x:v>
      </x:c>
      <x:c r="J1058" s="9" t="n">
        <x:v>284</x:v>
      </x:c>
      <x:c r="K1058" s="10" t="n">
        <x:v>0</x:v>
      </x:c>
      <x:c r="L1058" s="11" t="n">
        <x:v>0</x:v>
      </x:c>
      <x:c r="M1058" s="9" t="n">
        <x:f>IF(D1058="Completed",I1058*J1058,0)</x:f>
        <x:v>1136</x:v>
      </x:c>
      <x:c r="N1058" s="9" t="n">
        <x:f>M1058*K1058</x:f>
        <x:v>0</x:v>
      </x:c>
      <x:c r="O1058" s="9" t="n">
        <x:f>M1058-N1058</x:f>
        <x:v>1136</x:v>
      </x:c>
      <x:c r="P1058" s="9" t="n">
        <x:f>IF(D1058="Completed",L1058*J1058*(1-K1058),0)</x:f>
        <x:v>0</x:v>
      </x:c>
      <x:c r="Q1058" s="9" t="n">
        <x:f>O1058-P1058</x:f>
        <x:v>1136</x:v>
      </x:c>
      <x:c r="R1058" s="11" t="n">
        <x:f>IF(D1058="Completed",I1058,0)</x:f>
        <x:v>4</x:v>
      </x:c>
      <x:c r="S1058" s="11" t="n">
        <x:f>IF(D1058="Completed",L1058,0)</x:f>
        <x:v>0</x:v>
      </x:c>
      <x:c r="T1058" s="8" t="n">
        <x:f>DATE(YEAR(C1058),MONTH(C1058),1)</x:f>
        <x:v>45689</x:v>
      </x:c>
    </x:row>
    <x:row r="1059" ht="22" customHeight="1">
      <x:c r="A1059" s="2" t="str">
        <x:v>L001055</x:v>
      </x:c>
      <x:c r="B1059" s="2" t="str">
        <x:v>O00430</x:v>
      </x:c>
      <x:c r="C1059" s="7" t="n">
        <x:v>45806</x:v>
      </x:c>
      <x:c r="D1059" s="2" t="str">
        <x:v>Completed</x:v>
      </x:c>
      <x:c r="E1059" s="2" t="str">
        <x:v>West</x:v>
      </x:c>
      <x:c r="F1059" s="2" t="str">
        <x:v>Online</x:v>
      </x:c>
      <x:c r="G1059" s="2" t="str">
        <x:v>Furniture</x:v>
      </x:c>
      <x:c r="H1059" s="2" t="str">
        <x:v>Desk 024</x:v>
      </x:c>
      <x:c r="I1059" s="11" t="n">
        <x:v>1</x:v>
      </x:c>
      <x:c r="J1059" s="9" t="n">
        <x:v>81</x:v>
      </x:c>
      <x:c r="K1059" s="10" t="n">
        <x:v>0.2</x:v>
      </x:c>
      <x:c r="L1059" s="11" t="n">
        <x:v>0</x:v>
      </x:c>
      <x:c r="M1059" s="9" t="n">
        <x:f>IF(D1059="Completed",I1059*J1059,0)</x:f>
        <x:v>81</x:v>
      </x:c>
      <x:c r="N1059" s="9" t="n">
        <x:f>M1059*K1059</x:f>
        <x:v>16.2</x:v>
      </x:c>
      <x:c r="O1059" s="9" t="n">
        <x:f>M1059-N1059</x:f>
        <x:v>64.8</x:v>
      </x:c>
      <x:c r="P1059" s="9" t="n">
        <x:f>IF(D1059="Completed",L1059*J1059*(1-K1059),0)</x:f>
        <x:v>0</x:v>
      </x:c>
      <x:c r="Q1059" s="9" t="n">
        <x:f>O1059-P1059</x:f>
        <x:v>64.8</x:v>
      </x:c>
      <x:c r="R1059" s="11" t="n">
        <x:f>IF(D1059="Completed",I1059,0)</x:f>
        <x:v>1</x:v>
      </x:c>
      <x:c r="S1059" s="11" t="n">
        <x:f>IF(D1059="Completed",L1059,0)</x:f>
        <x:v>0</x:v>
      </x:c>
      <x:c r="T1059" s="8" t="n">
        <x:f>DATE(YEAR(C1059),MONTH(C1059),1)</x:f>
        <x:v>45778</x:v>
      </x:c>
    </x:row>
    <x:row r="1060" ht="22" customHeight="1">
      <x:c r="A1060" s="2" t="str">
        <x:v>L001056</x:v>
      </x:c>
      <x:c r="B1060" s="2" t="str">
        <x:v>O00430</x:v>
      </x:c>
      <x:c r="C1060" s="7" t="n">
        <x:v>45806</x:v>
      </x:c>
      <x:c r="D1060" s="2" t="str">
        <x:v>Completed</x:v>
      </x:c>
      <x:c r="E1060" s="2" t="str">
        <x:v>West</x:v>
      </x:c>
      <x:c r="F1060" s="2" t="str">
        <x:v>Online</x:v>
      </x:c>
      <x:c r="G1060" s="2" t="str">
        <x:v>Furniture</x:v>
      </x:c>
      <x:c r="H1060" s="2" t="str">
        <x:v>Desk 020</x:v>
      </x:c>
      <x:c r="I1060" s="11" t="n">
        <x:v>2</x:v>
      </x:c>
      <x:c r="J1060" s="9" t="n">
        <x:v>189</x:v>
      </x:c>
      <x:c r="K1060" s="10" t="n">
        <x:v>0.05</x:v>
      </x:c>
      <x:c r="L1060" s="11" t="n">
        <x:v>0</x:v>
      </x:c>
      <x:c r="M1060" s="9" t="n">
        <x:f>IF(D1060="Completed",I1060*J1060,0)</x:f>
        <x:v>378</x:v>
      </x:c>
      <x:c r="N1060" s="9" t="n">
        <x:f>M1060*K1060</x:f>
        <x:v>18.900000000000002</x:v>
      </x:c>
      <x:c r="O1060" s="9" t="n">
        <x:f>M1060-N1060</x:f>
        <x:v>359.1</x:v>
      </x:c>
      <x:c r="P1060" s="9" t="n">
        <x:f>IF(D1060="Completed",L1060*J1060*(1-K1060),0)</x:f>
        <x:v>0</x:v>
      </x:c>
      <x:c r="Q1060" s="9" t="n">
        <x:f>O1060-P1060</x:f>
        <x:v>359.1</x:v>
      </x:c>
      <x:c r="R1060" s="11" t="n">
        <x:f>IF(D1060="Completed",I1060,0)</x:f>
        <x:v>2</x:v>
      </x:c>
      <x:c r="S1060" s="11" t="n">
        <x:f>IF(D1060="Completed",L1060,0)</x:f>
        <x:v>0</x:v>
      </x:c>
      <x:c r="T1060" s="8" t="n">
        <x:f>DATE(YEAR(C1060),MONTH(C1060),1)</x:f>
        <x:v>45778</x:v>
      </x:c>
    </x:row>
    <x:row r="1061" ht="22" customHeight="1">
      <x:c r="A1061" s="2" t="str">
        <x:v>L001057</x:v>
      </x:c>
      <x:c r="B1061" s="2" t="str">
        <x:v>O00431</x:v>
      </x:c>
      <x:c r="C1061" s="7" t="n">
        <x:v>45779</x:v>
      </x:c>
      <x:c r="D1061" s="2" t="str">
        <x:v>Completed</x:v>
      </x:c>
      <x:c r="E1061" s="2" t="str">
        <x:v>West</x:v>
      </x:c>
      <x:c r="F1061" s="2" t="str">
        <x:v>Store</x:v>
      </x:c>
      <x:c r="G1061" s="2" t="str">
        <x:v>Furniture</x:v>
      </x:c>
      <x:c r="H1061" s="2" t="str">
        <x:v>Desk 012</x:v>
      </x:c>
      <x:c r="I1061" s="11" t="n">
        <x:v>3</x:v>
      </x:c>
      <x:c r="J1061" s="9" t="n">
        <x:v>134</x:v>
      </x:c>
      <x:c r="K1061" s="10" t="n">
        <x:v>0.1</x:v>
      </x:c>
      <x:c r="L1061" s="11" t="n">
        <x:v>0</x:v>
      </x:c>
      <x:c r="M1061" s="9" t="n">
        <x:f>IF(D1061="Completed",I1061*J1061,0)</x:f>
        <x:v>402</x:v>
      </x:c>
      <x:c r="N1061" s="9" t="n">
        <x:f>M1061*K1061</x:f>
        <x:v>40.2</x:v>
      </x:c>
      <x:c r="O1061" s="9" t="n">
        <x:f>M1061-N1061</x:f>
        <x:v>361.8</x:v>
      </x:c>
      <x:c r="P1061" s="9" t="n">
        <x:f>IF(D1061="Completed",L1061*J1061*(1-K1061),0)</x:f>
        <x:v>0</x:v>
      </x:c>
      <x:c r="Q1061" s="9" t="n">
        <x:f>O1061-P1061</x:f>
        <x:v>361.8</x:v>
      </x:c>
      <x:c r="R1061" s="11" t="n">
        <x:f>IF(D1061="Completed",I1061,0)</x:f>
        <x:v>3</x:v>
      </x:c>
      <x:c r="S1061" s="11" t="n">
        <x:f>IF(D1061="Completed",L1061,0)</x:f>
        <x:v>0</x:v>
      </x:c>
      <x:c r="T1061" s="8" t="n">
        <x:f>DATE(YEAR(C1061),MONTH(C1061),1)</x:f>
        <x:v>45778</x:v>
      </x:c>
    </x:row>
    <x:row r="1062" ht="22" customHeight="1">
      <x:c r="A1062" s="2" t="str">
        <x:v>L001058</x:v>
      </x:c>
      <x:c r="B1062" s="2" t="str">
        <x:v>O00431</x:v>
      </x:c>
      <x:c r="C1062" s="7" t="n">
        <x:v>45779</x:v>
      </x:c>
      <x:c r="D1062" s="2" t="str">
        <x:v>Completed</x:v>
      </x:c>
      <x:c r="E1062" s="2" t="str">
        <x:v>West</x:v>
      </x:c>
      <x:c r="F1062" s="2" t="str">
        <x:v>Store</x:v>
      </x:c>
      <x:c r="G1062" s="2" t="str">
        <x:v>Storage</x:v>
      </x:c>
      <x:c r="H1062" s="2" t="str">
        <x:v>Shelf 023</x:v>
      </x:c>
      <x:c r="I1062" s="11" t="n">
        <x:v>3</x:v>
      </x:c>
      <x:c r="J1062" s="9" t="n">
        <x:v>68</x:v>
      </x:c>
      <x:c r="K1062" s="10" t="n">
        <x:v>0</x:v>
      </x:c>
      <x:c r="L1062" s="11" t="n">
        <x:v>1</x:v>
      </x:c>
      <x:c r="M1062" s="9" t="n">
        <x:f>IF(D1062="Completed",I1062*J1062,0)</x:f>
        <x:v>204</x:v>
      </x:c>
      <x:c r="N1062" s="9" t="n">
        <x:f>M1062*K1062</x:f>
        <x:v>0</x:v>
      </x:c>
      <x:c r="O1062" s="9" t="n">
        <x:f>M1062-N1062</x:f>
        <x:v>204</x:v>
      </x:c>
      <x:c r="P1062" s="9" t="n">
        <x:f>IF(D1062="Completed",L1062*J1062*(1-K1062),0)</x:f>
        <x:v>68</x:v>
      </x:c>
      <x:c r="Q1062" s="9" t="n">
        <x:f>O1062-P1062</x:f>
        <x:v>136</x:v>
      </x:c>
      <x:c r="R1062" s="11" t="n">
        <x:f>IF(D1062="Completed",I1062,0)</x:f>
        <x:v>3</x:v>
      </x:c>
      <x:c r="S1062" s="11" t="n">
        <x:f>IF(D1062="Completed",L1062,0)</x:f>
        <x:v>1</x:v>
      </x:c>
      <x:c r="T1062" s="8" t="n">
        <x:f>DATE(YEAR(C1062),MONTH(C1062),1)</x:f>
        <x:v>45778</x:v>
      </x:c>
    </x:row>
    <x:row r="1063" ht="22" customHeight="1">
      <x:c r="A1063" s="2" t="str">
        <x:v>L001059</x:v>
      </x:c>
      <x:c r="B1063" s="2" t="str">
        <x:v>O00432</x:v>
      </x:c>
      <x:c r="C1063" s="7" t="n">
        <x:v>45865</x:v>
      </x:c>
      <x:c r="D1063" s="2" t="str">
        <x:v>Completed</x:v>
      </x:c>
      <x:c r="E1063" s="2" t="str">
        <x:v>East</x:v>
      </x:c>
      <x:c r="F1063" s="2" t="str">
        <x:v>Store</x:v>
      </x:c>
      <x:c r="G1063" s="2" t="str">
        <x:v>Storage</x:v>
      </x:c>
      <x:c r="H1063" s="2" t="str">
        <x:v>Shelf 019</x:v>
      </x:c>
      <x:c r="I1063" s="11" t="n">
        <x:v>3</x:v>
      </x:c>
      <x:c r="J1063" s="9" t="n">
        <x:v>78</x:v>
      </x:c>
      <x:c r="K1063" s="10" t="n">
        <x:v>0.1</x:v>
      </x:c>
      <x:c r="L1063" s="11" t="n">
        <x:v>0</x:v>
      </x:c>
      <x:c r="M1063" s="9" t="n">
        <x:f>IF(D1063="Completed",I1063*J1063,0)</x:f>
        <x:v>234</x:v>
      </x:c>
      <x:c r="N1063" s="9" t="n">
        <x:f>M1063*K1063</x:f>
        <x:v>23.400000000000002</x:v>
      </x:c>
      <x:c r="O1063" s="9" t="n">
        <x:f>M1063-N1063</x:f>
        <x:v>210.6</x:v>
      </x:c>
      <x:c r="P1063" s="9" t="n">
        <x:f>IF(D1063="Completed",L1063*J1063*(1-K1063),0)</x:f>
        <x:v>0</x:v>
      </x:c>
      <x:c r="Q1063" s="9" t="n">
        <x:f>O1063-P1063</x:f>
        <x:v>210.6</x:v>
      </x:c>
      <x:c r="R1063" s="11" t="n">
        <x:f>IF(D1063="Completed",I1063,0)</x:f>
        <x:v>3</x:v>
      </x:c>
      <x:c r="S1063" s="11" t="n">
        <x:f>IF(D1063="Completed",L1063,0)</x:f>
        <x:v>0</x:v>
      </x:c>
      <x:c r="T1063" s="8" t="n">
        <x:f>DATE(YEAR(C1063),MONTH(C1063),1)</x:f>
        <x:v>45839</x:v>
      </x:c>
    </x:row>
    <x:row r="1064" ht="22" customHeight="1">
      <x:c r="A1064" s="2" t="str">
        <x:v>L001060</x:v>
      </x:c>
      <x:c r="B1064" s="2" t="str">
        <x:v>O00432</x:v>
      </x:c>
      <x:c r="C1064" s="7" t="n">
        <x:v>45865</x:v>
      </x:c>
      <x:c r="D1064" s="2" t="str">
        <x:v>Completed</x:v>
      </x:c>
      <x:c r="E1064" s="2" t="str">
        <x:v>East</x:v>
      </x:c>
      <x:c r="F1064" s="2" t="str">
        <x:v>Store</x:v>
      </x:c>
      <x:c r="G1064" s="2" t="str">
        <x:v>Furniture</x:v>
      </x:c>
      <x:c r="H1064" s="2" t="str">
        <x:v>Desk 016</x:v>
      </x:c>
      <x:c r="I1064" s="11" t="n">
        <x:v>5</x:v>
      </x:c>
      <x:c r="J1064" s="9" t="n">
        <x:v>231</x:v>
      </x:c>
      <x:c r="K1064" s="10" t="n">
        <x:v>0.05</x:v>
      </x:c>
      <x:c r="L1064" s="11" t="n">
        <x:v>0</x:v>
      </x:c>
      <x:c r="M1064" s="9" t="n">
        <x:f>IF(D1064="Completed",I1064*J1064,0)</x:f>
        <x:v>1155</x:v>
      </x:c>
      <x:c r="N1064" s="9" t="n">
        <x:f>M1064*K1064</x:f>
        <x:v>57.75</x:v>
      </x:c>
      <x:c r="O1064" s="9" t="n">
        <x:f>M1064-N1064</x:f>
        <x:v>1097.25</x:v>
      </x:c>
      <x:c r="P1064" s="9" t="n">
        <x:f>IF(D1064="Completed",L1064*J1064*(1-K1064),0)</x:f>
        <x:v>0</x:v>
      </x:c>
      <x:c r="Q1064" s="9" t="n">
        <x:f>O1064-P1064</x:f>
        <x:v>1097.25</x:v>
      </x:c>
      <x:c r="R1064" s="11" t="n">
        <x:f>IF(D1064="Completed",I1064,0)</x:f>
        <x:v>5</x:v>
      </x:c>
      <x:c r="S1064" s="11" t="n">
        <x:f>IF(D1064="Completed",L1064,0)</x:f>
        <x:v>0</x:v>
      </x:c>
      <x:c r="T1064" s="8" t="n">
        <x:f>DATE(YEAR(C1064),MONTH(C1064),1)</x:f>
        <x:v>45839</x:v>
      </x:c>
    </x:row>
    <x:row r="1065" ht="22" customHeight="1">
      <x:c r="A1065" s="2" t="str">
        <x:v>L001061</x:v>
      </x:c>
      <x:c r="B1065" s="2" t="str">
        <x:v>O00432</x:v>
      </x:c>
      <x:c r="C1065" s="7" t="n">
        <x:v>45865</x:v>
      </x:c>
      <x:c r="D1065" s="2" t="str">
        <x:v>Completed</x:v>
      </x:c>
      <x:c r="E1065" s="2" t="str">
        <x:v>East</x:v>
      </x:c>
      <x:c r="F1065" s="2" t="str">
        <x:v>Store</x:v>
      </x:c>
      <x:c r="G1065" s="2" t="str">
        <x:v>Furniture</x:v>
      </x:c>
      <x:c r="H1065" s="2" t="str">
        <x:v>Desk 016</x:v>
      </x:c>
      <x:c r="I1065" s="11" t="n">
        <x:v>2</x:v>
      </x:c>
      <x:c r="J1065" s="9" t="n">
        <x:v>231</x:v>
      </x:c>
      <x:c r="K1065" s="10" t="n">
        <x:v>0.1</x:v>
      </x:c>
      <x:c r="L1065" s="11" t="n">
        <x:v>1</x:v>
      </x:c>
      <x:c r="M1065" s="9" t="n">
        <x:f>IF(D1065="Completed",I1065*J1065,0)</x:f>
        <x:v>462</x:v>
      </x:c>
      <x:c r="N1065" s="9" t="n">
        <x:f>M1065*K1065</x:f>
        <x:v>46.2</x:v>
      </x:c>
      <x:c r="O1065" s="9" t="n">
        <x:f>M1065-N1065</x:f>
        <x:v>415.8</x:v>
      </x:c>
      <x:c r="P1065" s="9" t="n">
        <x:f>IF(D1065="Completed",L1065*J1065*(1-K1065),0)</x:f>
        <x:v>207.9</x:v>
      </x:c>
      <x:c r="Q1065" s="9" t="n">
        <x:f>O1065-P1065</x:f>
        <x:v>207.9</x:v>
      </x:c>
      <x:c r="R1065" s="11" t="n">
        <x:f>IF(D1065="Completed",I1065,0)</x:f>
        <x:v>2</x:v>
      </x:c>
      <x:c r="S1065" s="11" t="n">
        <x:f>IF(D1065="Completed",L1065,0)</x:f>
        <x:v>1</x:v>
      </x:c>
      <x:c r="T1065" s="8" t="n">
        <x:f>DATE(YEAR(C1065),MONTH(C1065),1)</x:f>
        <x:v>45839</x:v>
      </x:c>
    </x:row>
    <x:row r="1066" ht="22" customHeight="1">
      <x:c r="A1066" s="2" t="str">
        <x:v>L001062</x:v>
      </x:c>
      <x:c r="B1066" s="2" t="str">
        <x:v>O00433</x:v>
      </x:c>
      <x:c r="C1066" s="7" t="n">
        <x:v>45727</x:v>
      </x:c>
      <x:c r="D1066" s="2" t="str">
        <x:v>Completed</x:v>
      </x:c>
      <x:c r="E1066" s="2" t="str">
        <x:v>South</x:v>
      </x:c>
      <x:c r="F1066" s="2" t="str">
        <x:v>Store</x:v>
      </x:c>
      <x:c r="G1066" s="2" t="str">
        <x:v>Lighting</x:v>
      </x:c>
      <x:c r="H1066" s="2" t="str">
        <x:v>Lamp 013</x:v>
      </x:c>
      <x:c r="I1066" s="11" t="n">
        <x:v>4</x:v>
      </x:c>
      <x:c r="J1066" s="9" t="n">
        <x:v>271</x:v>
      </x:c>
      <x:c r="K1066" s="10" t="n">
        <x:v>0.2</x:v>
      </x:c>
      <x:c r="L1066" s="11" t="n">
        <x:v>4</x:v>
      </x:c>
      <x:c r="M1066" s="9" t="n">
        <x:f>IF(D1066="Completed",I1066*J1066,0)</x:f>
        <x:v>1084</x:v>
      </x:c>
      <x:c r="N1066" s="9" t="n">
        <x:f>M1066*K1066</x:f>
        <x:v>216.8</x:v>
      </x:c>
      <x:c r="O1066" s="9" t="n">
        <x:f>M1066-N1066</x:f>
        <x:v>867.2</x:v>
      </x:c>
      <x:c r="P1066" s="9" t="n">
        <x:f>IF(D1066="Completed",L1066*J1066*(1-K1066),0)</x:f>
        <x:v>867.2</x:v>
      </x:c>
      <x:c r="Q1066" s="9" t="n">
        <x:f>O1066-P1066</x:f>
        <x:v>0</x:v>
      </x:c>
      <x:c r="R1066" s="11" t="n">
        <x:f>IF(D1066="Completed",I1066,0)</x:f>
        <x:v>4</x:v>
      </x:c>
      <x:c r="S1066" s="11" t="n">
        <x:f>IF(D1066="Completed",L1066,0)</x:f>
        <x:v>4</x:v>
      </x:c>
      <x:c r="T1066" s="8" t="n">
        <x:f>DATE(YEAR(C1066),MONTH(C1066),1)</x:f>
        <x:v>45717</x:v>
      </x:c>
    </x:row>
    <x:row r="1067" ht="22" customHeight="1">
      <x:c r="A1067" s="2" t="str">
        <x:v>L001063</x:v>
      </x:c>
      <x:c r="B1067" s="2" t="str">
        <x:v>O00433</x:v>
      </x:c>
      <x:c r="C1067" s="7" t="n">
        <x:v>45727</x:v>
      </x:c>
      <x:c r="D1067" s="2" t="str">
        <x:v>Completed</x:v>
      </x:c>
      <x:c r="E1067" s="2" t="str">
        <x:v>South</x:v>
      </x:c>
      <x:c r="F1067" s="2" t="str">
        <x:v>Store</x:v>
      </x:c>
      <x:c r="G1067" s="2" t="str">
        <x:v>Furniture</x:v>
      </x:c>
      <x:c r="H1067" s="2" t="str">
        <x:v>Desk 008</x:v>
      </x:c>
      <x:c r="I1067" s="11" t="n">
        <x:v>5</x:v>
      </x:c>
      <x:c r="J1067" s="9" t="n">
        <x:v>188</x:v>
      </x:c>
      <x:c r="K1067" s="10" t="n">
        <x:v>0.1</x:v>
      </x:c>
      <x:c r="L1067" s="11" t="n">
        <x:v>0</x:v>
      </x:c>
      <x:c r="M1067" s="9" t="n">
        <x:f>IF(D1067="Completed",I1067*J1067,0)</x:f>
        <x:v>940</x:v>
      </x:c>
      <x:c r="N1067" s="9" t="n">
        <x:f>M1067*K1067</x:f>
        <x:v>94</x:v>
      </x:c>
      <x:c r="O1067" s="9" t="n">
        <x:f>M1067-N1067</x:f>
        <x:v>846</x:v>
      </x:c>
      <x:c r="P1067" s="9" t="n">
        <x:f>IF(D1067="Completed",L1067*J1067*(1-K1067),0)</x:f>
        <x:v>0</x:v>
      </x:c>
      <x:c r="Q1067" s="9" t="n">
        <x:f>O1067-P1067</x:f>
        <x:v>846</x:v>
      </x:c>
      <x:c r="R1067" s="11" t="n">
        <x:f>IF(D1067="Completed",I1067,0)</x:f>
        <x:v>5</x:v>
      </x:c>
      <x:c r="S1067" s="11" t="n">
        <x:f>IF(D1067="Completed",L1067,0)</x:f>
        <x:v>0</x:v>
      </x:c>
      <x:c r="T1067" s="8" t="n">
        <x:f>DATE(YEAR(C1067),MONTH(C1067),1)</x:f>
        <x:v>45717</x:v>
      </x:c>
    </x:row>
    <x:row r="1068" ht="22" customHeight="1">
      <x:c r="A1068" s="2" t="str">
        <x:v>L001064</x:v>
      </x:c>
      <x:c r="B1068" s="2" t="str">
        <x:v>O00433</x:v>
      </x:c>
      <x:c r="C1068" s="7" t="n">
        <x:v>45727</x:v>
      </x:c>
      <x:c r="D1068" s="2" t="str">
        <x:v>Completed</x:v>
      </x:c>
      <x:c r="E1068" s="2" t="str">
        <x:v>South</x:v>
      </x:c>
      <x:c r="F1068" s="2" t="str">
        <x:v>Store</x:v>
      </x:c>
      <x:c r="G1068" s="2" t="str">
        <x:v>Furniture</x:v>
      </x:c>
      <x:c r="H1068" s="2" t="str">
        <x:v>Chair 014</x:v>
      </x:c>
      <x:c r="I1068" s="11" t="n">
        <x:v>3</x:v>
      </x:c>
      <x:c r="J1068" s="9" t="n">
        <x:v>294</x:v>
      </x:c>
      <x:c r="K1068" s="10" t="n">
        <x:v>0.2</x:v>
      </x:c>
      <x:c r="L1068" s="11" t="n">
        <x:v>0</x:v>
      </x:c>
      <x:c r="M1068" s="9" t="n">
        <x:f>IF(D1068="Completed",I1068*J1068,0)</x:f>
        <x:v>882</x:v>
      </x:c>
      <x:c r="N1068" s="9" t="n">
        <x:f>M1068*K1068</x:f>
        <x:v>176.4</x:v>
      </x:c>
      <x:c r="O1068" s="9" t="n">
        <x:f>M1068-N1068</x:f>
        <x:v>705.6</x:v>
      </x:c>
      <x:c r="P1068" s="9" t="n">
        <x:f>IF(D1068="Completed",L1068*J1068*(1-K1068),0)</x:f>
        <x:v>0</x:v>
      </x:c>
      <x:c r="Q1068" s="9" t="n">
        <x:f>O1068-P1068</x:f>
        <x:v>705.6</x:v>
      </x:c>
      <x:c r="R1068" s="11" t="n">
        <x:f>IF(D1068="Completed",I1068,0)</x:f>
        <x:v>3</x:v>
      </x:c>
      <x:c r="S1068" s="11" t="n">
        <x:f>IF(D1068="Completed",L1068,0)</x:f>
        <x:v>0</x:v>
      </x:c>
      <x:c r="T1068" s="8" t="n">
        <x:f>DATE(YEAR(C1068),MONTH(C1068),1)</x:f>
        <x:v>45717</x:v>
      </x:c>
    </x:row>
    <x:row r="1069" ht="22" customHeight="1">
      <x:c r="A1069" s="2" t="str">
        <x:v>L001065</x:v>
      </x:c>
      <x:c r="B1069" s="2" t="str">
        <x:v>O00433</x:v>
      </x:c>
      <x:c r="C1069" s="7" t="n">
        <x:v>45727</x:v>
      </x:c>
      <x:c r="D1069" s="2" t="str">
        <x:v>Completed</x:v>
      </x:c>
      <x:c r="E1069" s="2" t="str">
        <x:v>South</x:v>
      </x:c>
      <x:c r="F1069" s="2" t="str">
        <x:v>Store</x:v>
      </x:c>
      <x:c r="G1069" s="2" t="str">
        <x:v>Furniture</x:v>
      </x:c>
      <x:c r="H1069" s="2" t="str">
        <x:v>Chair 002</x:v>
      </x:c>
      <x:c r="I1069" s="11" t="n">
        <x:v>1</x:v>
      </x:c>
      <x:c r="J1069" s="9" t="n">
        <x:v>284</x:v>
      </x:c>
      <x:c r="K1069" s="10" t="n">
        <x:v>0.05</x:v>
      </x:c>
      <x:c r="L1069" s="11" t="n">
        <x:v>0</x:v>
      </x:c>
      <x:c r="M1069" s="9" t="n">
        <x:f>IF(D1069="Completed",I1069*J1069,0)</x:f>
        <x:v>284</x:v>
      </x:c>
      <x:c r="N1069" s="9" t="n">
        <x:f>M1069*K1069</x:f>
        <x:v>14.200000000000001</x:v>
      </x:c>
      <x:c r="O1069" s="9" t="n">
        <x:f>M1069-N1069</x:f>
        <x:v>269.8</x:v>
      </x:c>
      <x:c r="P1069" s="9" t="n">
        <x:f>IF(D1069="Completed",L1069*J1069*(1-K1069),0)</x:f>
        <x:v>0</x:v>
      </x:c>
      <x:c r="Q1069" s="9" t="n">
        <x:f>O1069-P1069</x:f>
        <x:v>269.8</x:v>
      </x:c>
      <x:c r="R1069" s="11" t="n">
        <x:f>IF(D1069="Completed",I1069,0)</x:f>
        <x:v>1</x:v>
      </x:c>
      <x:c r="S1069" s="11" t="n">
        <x:f>IF(D1069="Completed",L1069,0)</x:f>
        <x:v>0</x:v>
      </x:c>
      <x:c r="T1069" s="8" t="n">
        <x:f>DATE(YEAR(C1069),MONTH(C1069),1)</x:f>
        <x:v>45717</x:v>
      </x:c>
    </x:row>
    <x:row r="1070" ht="22" customHeight="1">
      <x:c r="A1070" s="2" t="str">
        <x:v>L001066</x:v>
      </x:c>
      <x:c r="B1070" s="2" t="str">
        <x:v>O00434</x:v>
      </x:c>
      <x:c r="C1070" s="7" t="n">
        <x:v>45783</x:v>
      </x:c>
      <x:c r="D1070" s="2" t="str">
        <x:v>Completed</x:v>
      </x:c>
      <x:c r="E1070" s="2" t="str">
        <x:v>East</x:v>
      </x:c>
      <x:c r="F1070" s="2" t="str">
        <x:v>Store</x:v>
      </x:c>
      <x:c r="G1070" s="2" t="str">
        <x:v>Furniture</x:v>
      </x:c>
      <x:c r="H1070" s="2" t="str">
        <x:v>Chair 014</x:v>
      </x:c>
      <x:c r="I1070" s="11" t="n">
        <x:v>2</x:v>
      </x:c>
      <x:c r="J1070" s="9" t="n">
        <x:v>294</x:v>
      </x:c>
      <x:c r="K1070" s="10" t="n">
        <x:v>0.1</x:v>
      </x:c>
      <x:c r="L1070" s="11" t="n">
        <x:v>0</x:v>
      </x:c>
      <x:c r="M1070" s="9" t="n">
        <x:f>IF(D1070="Completed",I1070*J1070,0)</x:f>
        <x:v>588</x:v>
      </x:c>
      <x:c r="N1070" s="9" t="n">
        <x:f>M1070*K1070</x:f>
        <x:v>58.800000000000004</x:v>
      </x:c>
      <x:c r="O1070" s="9" t="n">
        <x:f>M1070-N1070</x:f>
        <x:v>529.2</x:v>
      </x:c>
      <x:c r="P1070" s="9" t="n">
        <x:f>IF(D1070="Completed",L1070*J1070*(1-K1070),0)</x:f>
        <x:v>0</x:v>
      </x:c>
      <x:c r="Q1070" s="9" t="n">
        <x:f>O1070-P1070</x:f>
        <x:v>529.2</x:v>
      </x:c>
      <x:c r="R1070" s="11" t="n">
        <x:f>IF(D1070="Completed",I1070,0)</x:f>
        <x:v>2</x:v>
      </x:c>
      <x:c r="S1070" s="11" t="n">
        <x:f>IF(D1070="Completed",L1070,0)</x:f>
        <x:v>0</x:v>
      </x:c>
      <x:c r="T1070" s="8" t="n">
        <x:f>DATE(YEAR(C1070),MONTH(C1070),1)</x:f>
        <x:v>45778</x:v>
      </x:c>
    </x:row>
    <x:row r="1071" ht="22" customHeight="1">
      <x:c r="A1071" s="2" t="str">
        <x:v>L001067</x:v>
      </x:c>
      <x:c r="B1071" s="2" t="str">
        <x:v>O00435</x:v>
      </x:c>
      <x:c r="C1071" s="7" t="n">
        <x:v>45970</x:v>
      </x:c>
      <x:c r="D1071" s="2" t="str">
        <x:v>Completed</x:v>
      </x:c>
      <x:c r="E1071" s="2" t="str">
        <x:v>South</x:v>
      </x:c>
      <x:c r="F1071" s="2" t="str">
        <x:v>Store</x:v>
      </x:c>
      <x:c r="G1071" s="2" t="str">
        <x:v>Lighting</x:v>
      </x:c>
      <x:c r="H1071" s="2" t="str">
        <x:v>Lamp 013</x:v>
      </x:c>
      <x:c r="I1071" s="11" t="n">
        <x:v>3</x:v>
      </x:c>
      <x:c r="J1071" s="9" t="n">
        <x:v>271</x:v>
      </x:c>
      <x:c r="K1071" s="10" t="n">
        <x:v>0.1</x:v>
      </x:c>
      <x:c r="L1071" s="11" t="n">
        <x:v>0</x:v>
      </x:c>
      <x:c r="M1071" s="9" t="n">
        <x:f>IF(D1071="Completed",I1071*J1071,0)</x:f>
        <x:v>813</x:v>
      </x:c>
      <x:c r="N1071" s="9" t="n">
        <x:f>M1071*K1071</x:f>
        <x:v>81.30000000000001</x:v>
      </x:c>
      <x:c r="O1071" s="9" t="n">
        <x:f>M1071-N1071</x:f>
        <x:v>731.7</x:v>
      </x:c>
      <x:c r="P1071" s="9" t="n">
        <x:f>IF(D1071="Completed",L1071*J1071*(1-K1071),0)</x:f>
        <x:v>0</x:v>
      </x:c>
      <x:c r="Q1071" s="9" t="n">
        <x:f>O1071-P1071</x:f>
        <x:v>731.7</x:v>
      </x:c>
      <x:c r="R1071" s="11" t="n">
        <x:f>IF(D1071="Completed",I1071,0)</x:f>
        <x:v>3</x:v>
      </x:c>
      <x:c r="S1071" s="11" t="n">
        <x:f>IF(D1071="Completed",L1071,0)</x:f>
        <x:v>0</x:v>
      </x:c>
      <x:c r="T1071" s="8" t="n">
        <x:f>DATE(YEAR(C1071),MONTH(C1071),1)</x:f>
        <x:v>45962</x:v>
      </x:c>
    </x:row>
    <x:row r="1072" ht="22" customHeight="1">
      <x:c r="A1072" s="2" t="str">
        <x:v>L001068</x:v>
      </x:c>
      <x:c r="B1072" s="2" t="str">
        <x:v>O00435</x:v>
      </x:c>
      <x:c r="C1072" s="7" t="n">
        <x:v>45970</x:v>
      </x:c>
      <x:c r="D1072" s="2" t="str">
        <x:v>Completed</x:v>
      </x:c>
      <x:c r="E1072" s="2" t="str">
        <x:v>South</x:v>
      </x:c>
      <x:c r="F1072" s="2" t="str">
        <x:v>Store</x:v>
      </x:c>
      <x:c r="G1072" s="2" t="str">
        <x:v>Furniture</x:v>
      </x:c>
      <x:c r="H1072" s="2" t="str">
        <x:v>Desk 024</x:v>
      </x:c>
      <x:c r="I1072" s="11" t="n">
        <x:v>4</x:v>
      </x:c>
      <x:c r="J1072" s="9" t="n">
        <x:v>81</x:v>
      </x:c>
      <x:c r="K1072" s="10" t="n">
        <x:v>0.2</x:v>
      </x:c>
      <x:c r="L1072" s="11" t="n">
        <x:v>0</x:v>
      </x:c>
      <x:c r="M1072" s="9" t="n">
        <x:f>IF(D1072="Completed",I1072*J1072,0)</x:f>
        <x:v>324</x:v>
      </x:c>
      <x:c r="N1072" s="9" t="n">
        <x:f>M1072*K1072</x:f>
        <x:v>64.8</x:v>
      </x:c>
      <x:c r="O1072" s="9" t="n">
        <x:f>M1072-N1072</x:f>
        <x:v>259.2</x:v>
      </x:c>
      <x:c r="P1072" s="9" t="n">
        <x:f>IF(D1072="Completed",L1072*J1072*(1-K1072),0)</x:f>
        <x:v>0</x:v>
      </x:c>
      <x:c r="Q1072" s="9" t="n">
        <x:f>O1072-P1072</x:f>
        <x:v>259.2</x:v>
      </x:c>
      <x:c r="R1072" s="11" t="n">
        <x:f>IF(D1072="Completed",I1072,0)</x:f>
        <x:v>4</x:v>
      </x:c>
      <x:c r="S1072" s="11" t="n">
        <x:f>IF(D1072="Completed",L1072,0)</x:f>
        <x:v>0</x:v>
      </x:c>
      <x:c r="T1072" s="8" t="n">
        <x:f>DATE(YEAR(C1072),MONTH(C1072),1)</x:f>
        <x:v>45962</x:v>
      </x:c>
    </x:row>
    <x:row r="1073" ht="22" customHeight="1">
      <x:c r="A1073" s="2" t="str">
        <x:v>L001069</x:v>
      </x:c>
      <x:c r="B1073" s="2" t="str">
        <x:v>O00435</x:v>
      </x:c>
      <x:c r="C1073" s="7" t="n">
        <x:v>45970</x:v>
      </x:c>
      <x:c r="D1073" s="2" t="str">
        <x:v>Completed</x:v>
      </x:c>
      <x:c r="E1073" s="2" t="str">
        <x:v>South</x:v>
      </x:c>
      <x:c r="F1073" s="2" t="str">
        <x:v>Store</x:v>
      </x:c>
      <x:c r="G1073" s="2" t="str">
        <x:v>Furniture</x:v>
      </x:c>
      <x:c r="H1073" s="2" t="str">
        <x:v>Desk 012</x:v>
      </x:c>
      <x:c r="I1073" s="11" t="n">
        <x:v>2</x:v>
      </x:c>
      <x:c r="J1073" s="9" t="n">
        <x:v>134</x:v>
      </x:c>
      <x:c r="K1073" s="10" t="n">
        <x:v>0.05</x:v>
      </x:c>
      <x:c r="L1073" s="11" t="n">
        <x:v>0</x:v>
      </x:c>
      <x:c r="M1073" s="9" t="n">
        <x:f>IF(D1073="Completed",I1073*J1073,0)</x:f>
        <x:v>268</x:v>
      </x:c>
      <x:c r="N1073" s="9" t="n">
        <x:f>M1073*K1073</x:f>
        <x:v>13.4</x:v>
      </x:c>
      <x:c r="O1073" s="9" t="n">
        <x:f>M1073-N1073</x:f>
        <x:v>254.6</x:v>
      </x:c>
      <x:c r="P1073" s="9" t="n">
        <x:f>IF(D1073="Completed",L1073*J1073*(1-K1073),0)</x:f>
        <x:v>0</x:v>
      </x:c>
      <x:c r="Q1073" s="9" t="n">
        <x:f>O1073-P1073</x:f>
        <x:v>254.6</x:v>
      </x:c>
      <x:c r="R1073" s="11" t="n">
        <x:f>IF(D1073="Completed",I1073,0)</x:f>
        <x:v>2</x:v>
      </x:c>
      <x:c r="S1073" s="11" t="n">
        <x:f>IF(D1073="Completed",L1073,0)</x:f>
        <x:v>0</x:v>
      </x:c>
      <x:c r="T1073" s="8" t="n">
        <x:f>DATE(YEAR(C1073),MONTH(C1073),1)</x:f>
        <x:v>45962</x:v>
      </x:c>
    </x:row>
    <x:row r="1074" ht="22" customHeight="1">
      <x:c r="A1074" s="2" t="str">
        <x:v>L001070</x:v>
      </x:c>
      <x:c r="B1074" s="2" t="str">
        <x:v>O00435</x:v>
      </x:c>
      <x:c r="C1074" s="7" t="n">
        <x:v>45970</x:v>
      </x:c>
      <x:c r="D1074" s="2" t="str">
        <x:v>Completed</x:v>
      </x:c>
      <x:c r="E1074" s="2" t="str">
        <x:v>South</x:v>
      </x:c>
      <x:c r="F1074" s="2" t="str">
        <x:v>Store</x:v>
      </x:c>
      <x:c r="G1074" s="2" t="str">
        <x:v>Lighting</x:v>
      </x:c>
      <x:c r="H1074" s="2" t="str">
        <x:v>Lamp 009</x:v>
      </x:c>
      <x:c r="I1074" s="11" t="n">
        <x:v>5</x:v>
      </x:c>
      <x:c r="J1074" s="9" t="n">
        <x:v>93</x:v>
      </x:c>
      <x:c r="K1074" s="10" t="n">
        <x:v>0.1</x:v>
      </x:c>
      <x:c r="L1074" s="11" t="n">
        <x:v>0</x:v>
      </x:c>
      <x:c r="M1074" s="9" t="n">
        <x:f>IF(D1074="Completed",I1074*J1074,0)</x:f>
        <x:v>465</x:v>
      </x:c>
      <x:c r="N1074" s="9" t="n">
        <x:f>M1074*K1074</x:f>
        <x:v>46.5</x:v>
      </x:c>
      <x:c r="O1074" s="9" t="n">
        <x:f>M1074-N1074</x:f>
        <x:v>418.5</x:v>
      </x:c>
      <x:c r="P1074" s="9" t="n">
        <x:f>IF(D1074="Completed",L1074*J1074*(1-K1074),0)</x:f>
        <x:v>0</x:v>
      </x:c>
      <x:c r="Q1074" s="9" t="n">
        <x:f>O1074-P1074</x:f>
        <x:v>418.5</x:v>
      </x:c>
      <x:c r="R1074" s="11" t="n">
        <x:f>IF(D1074="Completed",I1074,0)</x:f>
        <x:v>5</x:v>
      </x:c>
      <x:c r="S1074" s="11" t="n">
        <x:f>IF(D1074="Completed",L1074,0)</x:f>
        <x:v>0</x:v>
      </x:c>
      <x:c r="T1074" s="8" t="n">
        <x:f>DATE(YEAR(C1074),MONTH(C1074),1)</x:f>
        <x:v>45962</x:v>
      </x:c>
    </x:row>
    <x:row r="1075" ht="22" customHeight="1">
      <x:c r="A1075" s="2" t="str">
        <x:v>L001071</x:v>
      </x:c>
      <x:c r="B1075" s="2" t="str">
        <x:v>O00436</x:v>
      </x:c>
      <x:c r="C1075" s="7" t="n">
        <x:v>46012</x:v>
      </x:c>
      <x:c r="D1075" s="2" t="str">
        <x:v>Completed</x:v>
      </x:c>
      <x:c r="E1075" s="2" t="str">
        <x:v>East</x:v>
      </x:c>
      <x:c r="F1075" s="2" t="str">
        <x:v>Online</x:v>
      </x:c>
      <x:c r="G1075" s="2" t="str">
        <x:v>Storage</x:v>
      </x:c>
      <x:c r="H1075" s="2" t="str">
        <x:v>Shelf 019</x:v>
      </x:c>
      <x:c r="I1075" s="11" t="n">
        <x:v>4</x:v>
      </x:c>
      <x:c r="J1075" s="9" t="n">
        <x:v>78</x:v>
      </x:c>
      <x:c r="K1075" s="10" t="n">
        <x:v>0.2</x:v>
      </x:c>
      <x:c r="L1075" s="11" t="n">
        <x:v>0</x:v>
      </x:c>
      <x:c r="M1075" s="9" t="n">
        <x:f>IF(D1075="Completed",I1075*J1075,0)</x:f>
        <x:v>312</x:v>
      </x:c>
      <x:c r="N1075" s="9" t="n">
        <x:f>M1075*K1075</x:f>
        <x:v>62.400000000000006</x:v>
      </x:c>
      <x:c r="O1075" s="9" t="n">
        <x:f>M1075-N1075</x:f>
        <x:v>249.6</x:v>
      </x:c>
      <x:c r="P1075" s="9" t="n">
        <x:f>IF(D1075="Completed",L1075*J1075*(1-K1075),0)</x:f>
        <x:v>0</x:v>
      </x:c>
      <x:c r="Q1075" s="9" t="n">
        <x:f>O1075-P1075</x:f>
        <x:v>249.6</x:v>
      </x:c>
      <x:c r="R1075" s="11" t="n">
        <x:f>IF(D1075="Completed",I1075,0)</x:f>
        <x:v>4</x:v>
      </x:c>
      <x:c r="S1075" s="11" t="n">
        <x:f>IF(D1075="Completed",L1075,0)</x:f>
        <x:v>0</x:v>
      </x:c>
      <x:c r="T1075" s="8" t="n">
        <x:f>DATE(YEAR(C1075),MONTH(C1075),1)</x:f>
        <x:v>45992</x:v>
      </x:c>
    </x:row>
    <x:row r="1076" ht="22" customHeight="1">
      <x:c r="A1076" s="2" t="str">
        <x:v>L001072</x:v>
      </x:c>
      <x:c r="B1076" s="2" t="str">
        <x:v>O00436</x:v>
      </x:c>
      <x:c r="C1076" s="7" t="n">
        <x:v>46012</x:v>
      </x:c>
      <x:c r="D1076" s="2" t="str">
        <x:v>Completed</x:v>
      </x:c>
      <x:c r="E1076" s="2" t="str">
        <x:v>East</x:v>
      </x:c>
      <x:c r="F1076" s="2" t="str">
        <x:v>Online</x:v>
      </x:c>
      <x:c r="G1076" s="2" t="str">
        <x:v>Furniture</x:v>
      </x:c>
      <x:c r="H1076" s="2" t="str">
        <x:v>Chair 014</x:v>
      </x:c>
      <x:c r="I1076" s="11" t="n">
        <x:v>4</x:v>
      </x:c>
      <x:c r="J1076" s="9" t="n">
        <x:v>294</x:v>
      </x:c>
      <x:c r="K1076" s="10" t="n">
        <x:v>0.1</x:v>
      </x:c>
      <x:c r="L1076" s="11" t="n">
        <x:v>0</x:v>
      </x:c>
      <x:c r="M1076" s="9" t="n">
        <x:f>IF(D1076="Completed",I1076*J1076,0)</x:f>
        <x:v>1176</x:v>
      </x:c>
      <x:c r="N1076" s="9" t="n">
        <x:f>M1076*K1076</x:f>
        <x:v>117.60000000000001</x:v>
      </x:c>
      <x:c r="O1076" s="9" t="n">
        <x:f>M1076-N1076</x:f>
        <x:v>1058.4</x:v>
      </x:c>
      <x:c r="P1076" s="9" t="n">
        <x:f>IF(D1076="Completed",L1076*J1076*(1-K1076),0)</x:f>
        <x:v>0</x:v>
      </x:c>
      <x:c r="Q1076" s="9" t="n">
        <x:f>O1076-P1076</x:f>
        <x:v>1058.4</x:v>
      </x:c>
      <x:c r="R1076" s="11" t="n">
        <x:f>IF(D1076="Completed",I1076,0)</x:f>
        <x:v>4</x:v>
      </x:c>
      <x:c r="S1076" s="11" t="n">
        <x:f>IF(D1076="Completed",L1076,0)</x:f>
        <x:v>0</x:v>
      </x:c>
      <x:c r="T1076" s="8" t="n">
        <x:f>DATE(YEAR(C1076),MONTH(C1076),1)</x:f>
        <x:v>45992</x:v>
      </x:c>
    </x:row>
    <x:row r="1077" ht="22" customHeight="1">
      <x:c r="A1077" s="2" t="str">
        <x:v>L001073</x:v>
      </x:c>
      <x:c r="B1077" s="2" t="str">
        <x:v>O00436</x:v>
      </x:c>
      <x:c r="C1077" s="7" t="n">
        <x:v>46012</x:v>
      </x:c>
      <x:c r="D1077" s="2" t="str">
        <x:v>Completed</x:v>
      </x:c>
      <x:c r="E1077" s="2" t="str">
        <x:v>East</x:v>
      </x:c>
      <x:c r="F1077" s="2" t="str">
        <x:v>Online</x:v>
      </x:c>
      <x:c r="G1077" s="2" t="str">
        <x:v>Lighting</x:v>
      </x:c>
      <x:c r="H1077" s="2" t="str">
        <x:v>Lamp 017</x:v>
      </x:c>
      <x:c r="I1077" s="11" t="n">
        <x:v>1</x:v>
      </x:c>
      <x:c r="J1077" s="9" t="n">
        <x:v>300</x:v>
      </x:c>
      <x:c r="K1077" s="10" t="n">
        <x:v>0.1</x:v>
      </x:c>
      <x:c r="L1077" s="11" t="n">
        <x:v>0</x:v>
      </x:c>
      <x:c r="M1077" s="9" t="n">
        <x:f>IF(D1077="Completed",I1077*J1077,0)</x:f>
        <x:v>300</x:v>
      </x:c>
      <x:c r="N1077" s="9" t="n">
        <x:f>M1077*K1077</x:f>
        <x:v>30</x:v>
      </x:c>
      <x:c r="O1077" s="9" t="n">
        <x:f>M1077-N1077</x:f>
        <x:v>270</x:v>
      </x:c>
      <x:c r="P1077" s="9" t="n">
        <x:f>IF(D1077="Completed",L1077*J1077*(1-K1077),0)</x:f>
        <x:v>0</x:v>
      </x:c>
      <x:c r="Q1077" s="9" t="n">
        <x:f>O1077-P1077</x:f>
        <x:v>270</x:v>
      </x:c>
      <x:c r="R1077" s="11" t="n">
        <x:f>IF(D1077="Completed",I1077,0)</x:f>
        <x:v>1</x:v>
      </x:c>
      <x:c r="S1077" s="11" t="n">
        <x:f>IF(D1077="Completed",L1077,0)</x:f>
        <x:v>0</x:v>
      </x:c>
      <x:c r="T1077" s="8" t="n">
        <x:f>DATE(YEAR(C1077),MONTH(C1077),1)</x:f>
        <x:v>45992</x:v>
      </x:c>
    </x:row>
    <x:row r="1078" ht="22" customHeight="1">
      <x:c r="A1078" s="2" t="str">
        <x:v>L001074</x:v>
      </x:c>
      <x:c r="B1078" s="2" t="str">
        <x:v>O00436</x:v>
      </x:c>
      <x:c r="C1078" s="7" t="n">
        <x:v>46012</x:v>
      </x:c>
      <x:c r="D1078" s="2" t="str">
        <x:v>Completed</x:v>
      </x:c>
      <x:c r="E1078" s="2" t="str">
        <x:v>East</x:v>
      </x:c>
      <x:c r="F1078" s="2" t="str">
        <x:v>Online</x:v>
      </x:c>
      <x:c r="G1078" s="2" t="str">
        <x:v>Furniture</x:v>
      </x:c>
      <x:c r="H1078" s="2" t="str">
        <x:v>Chair 010</x:v>
      </x:c>
      <x:c r="I1078" s="11" t="n">
        <x:v>3</x:v>
      </x:c>
      <x:c r="J1078" s="9" t="n">
        <x:v>211</x:v>
      </x:c>
      <x:c r="K1078" s="10" t="n">
        <x:v>0.1</x:v>
      </x:c>
      <x:c r="L1078" s="11" t="n">
        <x:v>0</x:v>
      </x:c>
      <x:c r="M1078" s="9" t="n">
        <x:f>IF(D1078="Completed",I1078*J1078,0)</x:f>
        <x:v>633</x:v>
      </x:c>
      <x:c r="N1078" s="9" t="n">
        <x:f>M1078*K1078</x:f>
        <x:v>63.300000000000004</x:v>
      </x:c>
      <x:c r="O1078" s="9" t="n">
        <x:f>M1078-N1078</x:f>
        <x:v>569.7</x:v>
      </x:c>
      <x:c r="P1078" s="9" t="n">
        <x:f>IF(D1078="Completed",L1078*J1078*(1-K1078),0)</x:f>
        <x:v>0</x:v>
      </x:c>
      <x:c r="Q1078" s="9" t="n">
        <x:f>O1078-P1078</x:f>
        <x:v>569.7</x:v>
      </x:c>
      <x:c r="R1078" s="11" t="n">
        <x:f>IF(D1078="Completed",I1078,0)</x:f>
        <x:v>3</x:v>
      </x:c>
      <x:c r="S1078" s="11" t="n">
        <x:f>IF(D1078="Completed",L1078,0)</x:f>
        <x:v>0</x:v>
      </x:c>
      <x:c r="T1078" s="8" t="n">
        <x:f>DATE(YEAR(C1078),MONTH(C1078),1)</x:f>
        <x:v>45992</x:v>
      </x:c>
    </x:row>
    <x:row r="1079" ht="22" customHeight="1">
      <x:c r="A1079" s="2" t="str">
        <x:v>L001075</x:v>
      </x:c>
      <x:c r="B1079" s="2" t="str">
        <x:v>O00437</x:v>
      </x:c>
      <x:c r="C1079" s="7" t="n">
        <x:v>45921</x:v>
      </x:c>
      <x:c r="D1079" s="2" t="str">
        <x:v>Completed</x:v>
      </x:c>
      <x:c r="E1079" s="2" t="str">
        <x:v>East</x:v>
      </x:c>
      <x:c r="F1079" s="2" t="str">
        <x:v>Store</x:v>
      </x:c>
      <x:c r="G1079" s="2" t="str">
        <x:v>Furniture</x:v>
      </x:c>
      <x:c r="H1079" s="2" t="str">
        <x:v>Desk 008</x:v>
      </x:c>
      <x:c r="I1079" s="11" t="n">
        <x:v>4</x:v>
      </x:c>
      <x:c r="J1079" s="9" t="n">
        <x:v>188</x:v>
      </x:c>
      <x:c r="K1079" s="10" t="n">
        <x:v>0.05</x:v>
      </x:c>
      <x:c r="L1079" s="11" t="n">
        <x:v>0</x:v>
      </x:c>
      <x:c r="M1079" s="9" t="n">
        <x:f>IF(D1079="Completed",I1079*J1079,0)</x:f>
        <x:v>752</x:v>
      </x:c>
      <x:c r="N1079" s="9" t="n">
        <x:f>M1079*K1079</x:f>
        <x:v>37.6</x:v>
      </x:c>
      <x:c r="O1079" s="9" t="n">
        <x:f>M1079-N1079</x:f>
        <x:v>714.4</x:v>
      </x:c>
      <x:c r="P1079" s="9" t="n">
        <x:f>IF(D1079="Completed",L1079*J1079*(1-K1079),0)</x:f>
        <x:v>0</x:v>
      </x:c>
      <x:c r="Q1079" s="9" t="n">
        <x:f>O1079-P1079</x:f>
        <x:v>714.4</x:v>
      </x:c>
      <x:c r="R1079" s="11" t="n">
        <x:f>IF(D1079="Completed",I1079,0)</x:f>
        <x:v>4</x:v>
      </x:c>
      <x:c r="S1079" s="11" t="n">
        <x:f>IF(D1079="Completed",L1079,0)</x:f>
        <x:v>0</x:v>
      </x:c>
      <x:c r="T1079" s="8" t="n">
        <x:f>DATE(YEAR(C1079),MONTH(C1079),1)</x:f>
        <x:v>45901</x:v>
      </x:c>
    </x:row>
    <x:row r="1080" ht="22" customHeight="1">
      <x:c r="A1080" s="2" t="str">
        <x:v>L001076</x:v>
      </x:c>
      <x:c r="B1080" s="2" t="str">
        <x:v>O00437</x:v>
      </x:c>
      <x:c r="C1080" s="7" t="n">
        <x:v>45921</x:v>
      </x:c>
      <x:c r="D1080" s="2" t="str">
        <x:v>Completed</x:v>
      </x:c>
      <x:c r="E1080" s="2" t="str">
        <x:v>East</x:v>
      </x:c>
      <x:c r="F1080" s="2" t="str">
        <x:v>Store</x:v>
      </x:c>
      <x:c r="G1080" s="2" t="str">
        <x:v>Storage</x:v>
      </x:c>
      <x:c r="H1080" s="2" t="str">
        <x:v>Shelf 023</x:v>
      </x:c>
      <x:c r="I1080" s="11" t="n">
        <x:v>4</x:v>
      </x:c>
      <x:c r="J1080" s="9" t="n">
        <x:v>68</x:v>
      </x:c>
      <x:c r="K1080" s="10" t="n">
        <x:v>0</x:v>
      </x:c>
      <x:c r="L1080" s="11" t="n">
        <x:v>0</x:v>
      </x:c>
      <x:c r="M1080" s="9" t="n">
        <x:f>IF(D1080="Completed",I1080*J1080,0)</x:f>
        <x:v>272</x:v>
      </x:c>
      <x:c r="N1080" s="9" t="n">
        <x:f>M1080*K1080</x:f>
        <x:v>0</x:v>
      </x:c>
      <x:c r="O1080" s="9" t="n">
        <x:f>M1080-N1080</x:f>
        <x:v>272</x:v>
      </x:c>
      <x:c r="P1080" s="9" t="n">
        <x:f>IF(D1080="Completed",L1080*J1080*(1-K1080),0)</x:f>
        <x:v>0</x:v>
      </x:c>
      <x:c r="Q1080" s="9" t="n">
        <x:f>O1080-P1080</x:f>
        <x:v>272</x:v>
      </x:c>
      <x:c r="R1080" s="11" t="n">
        <x:f>IF(D1080="Completed",I1080,0)</x:f>
        <x:v>4</x:v>
      </x:c>
      <x:c r="S1080" s="11" t="n">
        <x:f>IF(D1080="Completed",L1080,0)</x:f>
        <x:v>0</x:v>
      </x:c>
      <x:c r="T1080" s="8" t="n">
        <x:f>DATE(YEAR(C1080),MONTH(C1080),1)</x:f>
        <x:v>45901</x:v>
      </x:c>
    </x:row>
    <x:row r="1081" ht="22" customHeight="1">
      <x:c r="A1081" s="2" t="str">
        <x:v>L001077</x:v>
      </x:c>
      <x:c r="B1081" s="2" t="str">
        <x:v>O00437</x:v>
      </x:c>
      <x:c r="C1081" s="7" t="n">
        <x:v>45921</x:v>
      </x:c>
      <x:c r="D1081" s="2" t="str">
        <x:v>Completed</x:v>
      </x:c>
      <x:c r="E1081" s="2" t="str">
        <x:v>East</x:v>
      </x:c>
      <x:c r="F1081" s="2" t="str">
        <x:v>Store</x:v>
      </x:c>
      <x:c r="G1081" s="2" t="str">
        <x:v>Lighting</x:v>
      </x:c>
      <x:c r="H1081" s="2" t="str">
        <x:v>Lamp 009</x:v>
      </x:c>
      <x:c r="I1081" s="11" t="n">
        <x:v>4</x:v>
      </x:c>
      <x:c r="J1081" s="9" t="n">
        <x:v>93</x:v>
      </x:c>
      <x:c r="K1081" s="10" t="n">
        <x:v>0.05</x:v>
      </x:c>
      <x:c r="L1081" s="11" t="n">
        <x:v>0</x:v>
      </x:c>
      <x:c r="M1081" s="9" t="n">
        <x:f>IF(D1081="Completed",I1081*J1081,0)</x:f>
        <x:v>372</x:v>
      </x:c>
      <x:c r="N1081" s="9" t="n">
        <x:f>M1081*K1081</x:f>
        <x:v>18.6</x:v>
      </x:c>
      <x:c r="O1081" s="9" t="n">
        <x:f>M1081-N1081</x:f>
        <x:v>353.4</x:v>
      </x:c>
      <x:c r="P1081" s="9" t="n">
        <x:f>IF(D1081="Completed",L1081*J1081*(1-K1081),0)</x:f>
        <x:v>0</x:v>
      </x:c>
      <x:c r="Q1081" s="9" t="n">
        <x:f>O1081-P1081</x:f>
        <x:v>353.4</x:v>
      </x:c>
      <x:c r="R1081" s="11" t="n">
        <x:f>IF(D1081="Completed",I1081,0)</x:f>
        <x:v>4</x:v>
      </x:c>
      <x:c r="S1081" s="11" t="n">
        <x:f>IF(D1081="Completed",L1081,0)</x:f>
        <x:v>0</x:v>
      </x:c>
      <x:c r="T1081" s="8" t="n">
        <x:f>DATE(YEAR(C1081),MONTH(C1081),1)</x:f>
        <x:v>45901</x:v>
      </x:c>
    </x:row>
    <x:row r="1082" ht="22" customHeight="1">
      <x:c r="A1082" s="2" t="str">
        <x:v>L001078</x:v>
      </x:c>
      <x:c r="B1082" s="2" t="str">
        <x:v>O00438</x:v>
      </x:c>
      <x:c r="C1082" s="7" t="n">
        <x:v>45867</x:v>
      </x:c>
      <x:c r="D1082" s="2" t="str">
        <x:v>Completed</x:v>
      </x:c>
      <x:c r="E1082" s="2" t="str">
        <x:v>North</x:v>
      </x:c>
      <x:c r="F1082" s="2" t="str">
        <x:v>Store</x:v>
      </x:c>
      <x:c r="G1082" s="2" t="str">
        <x:v>Storage</x:v>
      </x:c>
      <x:c r="H1082" s="2" t="str">
        <x:v>Shelf 007</x:v>
      </x:c>
      <x:c r="I1082" s="11" t="n">
        <x:v>1</x:v>
      </x:c>
      <x:c r="J1082" s="9" t="n">
        <x:v>35</x:v>
      </x:c>
      <x:c r="K1082" s="10" t="n">
        <x:v>0.05</x:v>
      </x:c>
      <x:c r="L1082" s="11" t="n">
        <x:v>0</x:v>
      </x:c>
      <x:c r="M1082" s="9" t="n">
        <x:f>IF(D1082="Completed",I1082*J1082,0)</x:f>
        <x:v>35</x:v>
      </x:c>
      <x:c r="N1082" s="9" t="n">
        <x:f>M1082*K1082</x:f>
        <x:v>1.75</x:v>
      </x:c>
      <x:c r="O1082" s="9" t="n">
        <x:f>M1082-N1082</x:f>
        <x:v>33.25</x:v>
      </x:c>
      <x:c r="P1082" s="9" t="n">
        <x:f>IF(D1082="Completed",L1082*J1082*(1-K1082),0)</x:f>
        <x:v>0</x:v>
      </x:c>
      <x:c r="Q1082" s="9" t="n">
        <x:f>O1082-P1082</x:f>
        <x:v>33.25</x:v>
      </x:c>
      <x:c r="R1082" s="11" t="n">
        <x:f>IF(D1082="Completed",I1082,0)</x:f>
        <x:v>1</x:v>
      </x:c>
      <x:c r="S1082" s="11" t="n">
        <x:f>IF(D1082="Completed",L1082,0)</x:f>
        <x:v>0</x:v>
      </x:c>
      <x:c r="T1082" s="8" t="n">
        <x:f>DATE(YEAR(C1082),MONTH(C1082),1)</x:f>
        <x:v>45839</x:v>
      </x:c>
    </x:row>
    <x:row r="1083" ht="22" customHeight="1">
      <x:c r="A1083" s="2" t="str">
        <x:v>L001079</x:v>
      </x:c>
      <x:c r="B1083" s="2" t="str">
        <x:v>O00438</x:v>
      </x:c>
      <x:c r="C1083" s="7" t="n">
        <x:v>45867</x:v>
      </x:c>
      <x:c r="D1083" s="2" t="str">
        <x:v>Completed</x:v>
      </x:c>
      <x:c r="E1083" s="2" t="str">
        <x:v>North</x:v>
      </x:c>
      <x:c r="F1083" s="2" t="str">
        <x:v>Store</x:v>
      </x:c>
      <x:c r="G1083" s="2" t="str">
        <x:v>Lighting</x:v>
      </x:c>
      <x:c r="H1083" s="2" t="str">
        <x:v>Lamp 001</x:v>
      </x:c>
      <x:c r="I1083" s="11" t="n">
        <x:v>4</x:v>
      </x:c>
      <x:c r="J1083" s="9" t="n">
        <x:v>122</x:v>
      </x:c>
      <x:c r="K1083" s="10" t="n">
        <x:v>0.05</x:v>
      </x:c>
      <x:c r="L1083" s="11" t="n">
        <x:v>0</x:v>
      </x:c>
      <x:c r="M1083" s="9" t="n">
        <x:f>IF(D1083="Completed",I1083*J1083,0)</x:f>
        <x:v>488</x:v>
      </x:c>
      <x:c r="N1083" s="9" t="n">
        <x:f>M1083*K1083</x:f>
        <x:v>24.400000000000002</x:v>
      </x:c>
      <x:c r="O1083" s="9" t="n">
        <x:f>M1083-N1083</x:f>
        <x:v>463.6</x:v>
      </x:c>
      <x:c r="P1083" s="9" t="n">
        <x:f>IF(D1083="Completed",L1083*J1083*(1-K1083),0)</x:f>
        <x:v>0</x:v>
      </x:c>
      <x:c r="Q1083" s="9" t="n">
        <x:f>O1083-P1083</x:f>
        <x:v>463.6</x:v>
      </x:c>
      <x:c r="R1083" s="11" t="n">
        <x:f>IF(D1083="Completed",I1083,0)</x:f>
        <x:v>4</x:v>
      </x:c>
      <x:c r="S1083" s="11" t="n">
        <x:f>IF(D1083="Completed",L1083,0)</x:f>
        <x:v>0</x:v>
      </x:c>
      <x:c r="T1083" s="8" t="n">
        <x:f>DATE(YEAR(C1083),MONTH(C1083),1)</x:f>
        <x:v>45839</x:v>
      </x:c>
    </x:row>
    <x:row r="1084" ht="22" customHeight="1">
      <x:c r="A1084" s="2" t="str">
        <x:v>L001080</x:v>
      </x:c>
      <x:c r="B1084" s="2" t="str">
        <x:v>O00439</x:v>
      </x:c>
      <x:c r="C1084" s="7" t="n">
        <x:v>46013</x:v>
      </x:c>
      <x:c r="D1084" s="2" t="str">
        <x:v>Completed</x:v>
      </x:c>
      <x:c r="E1084" s="2" t="str">
        <x:v>West</x:v>
      </x:c>
      <x:c r="F1084" s="2" t="str">
        <x:v>Online</x:v>
      </x:c>
      <x:c r="G1084" s="2" t="str">
        <x:v>Furniture</x:v>
      </x:c>
      <x:c r="H1084" s="2" t="str">
        <x:v>Desk 024</x:v>
      </x:c>
      <x:c r="I1084" s="11" t="n">
        <x:v>1</x:v>
      </x:c>
      <x:c r="J1084" s="9" t="n">
        <x:v>81</x:v>
      </x:c>
      <x:c r="K1084" s="10" t="n">
        <x:v>0</x:v>
      </x:c>
      <x:c r="L1084" s="11" t="n">
        <x:v>0</x:v>
      </x:c>
      <x:c r="M1084" s="9" t="n">
        <x:f>IF(D1084="Completed",I1084*J1084,0)</x:f>
        <x:v>81</x:v>
      </x:c>
      <x:c r="N1084" s="9" t="n">
        <x:f>M1084*K1084</x:f>
        <x:v>0</x:v>
      </x:c>
      <x:c r="O1084" s="9" t="n">
        <x:f>M1084-N1084</x:f>
        <x:v>81</x:v>
      </x:c>
      <x:c r="P1084" s="9" t="n">
        <x:f>IF(D1084="Completed",L1084*J1084*(1-K1084),0)</x:f>
        <x:v>0</x:v>
      </x:c>
      <x:c r="Q1084" s="9" t="n">
        <x:f>O1084-P1084</x:f>
        <x:v>81</x:v>
      </x:c>
      <x:c r="R1084" s="11" t="n">
        <x:f>IF(D1084="Completed",I1084,0)</x:f>
        <x:v>1</x:v>
      </x:c>
      <x:c r="S1084" s="11" t="n">
        <x:f>IF(D1084="Completed",L1084,0)</x:f>
        <x:v>0</x:v>
      </x:c>
      <x:c r="T1084" s="8" t="n">
        <x:f>DATE(YEAR(C1084),MONTH(C1084),1)</x:f>
        <x:v>45992</x:v>
      </x:c>
    </x:row>
    <x:row r="1085" ht="22" customHeight="1">
      <x:c r="A1085" s="2" t="str">
        <x:v>L001081</x:v>
      </x:c>
      <x:c r="B1085" s="2" t="str">
        <x:v>O00439</x:v>
      </x:c>
      <x:c r="C1085" s="7" t="n">
        <x:v>46013</x:v>
      </x:c>
      <x:c r="D1085" s="2" t="str">
        <x:v>Completed</x:v>
      </x:c>
      <x:c r="E1085" s="2" t="str">
        <x:v>West</x:v>
      </x:c>
      <x:c r="F1085" s="2" t="str">
        <x:v>Online</x:v>
      </x:c>
      <x:c r="G1085" s="2" t="str">
        <x:v>Furniture</x:v>
      </x:c>
      <x:c r="H1085" s="2" t="str">
        <x:v>Chair 002</x:v>
      </x:c>
      <x:c r="I1085" s="11" t="n">
        <x:v>5</x:v>
      </x:c>
      <x:c r="J1085" s="9" t="n">
        <x:v>284</x:v>
      </x:c>
      <x:c r="K1085" s="10" t="n">
        <x:v>0</x:v>
      </x:c>
      <x:c r="L1085" s="11" t="n">
        <x:v>1</x:v>
      </x:c>
      <x:c r="M1085" s="9" t="n">
        <x:f>IF(D1085="Completed",I1085*J1085,0)</x:f>
        <x:v>1420</x:v>
      </x:c>
      <x:c r="N1085" s="9" t="n">
        <x:f>M1085*K1085</x:f>
        <x:v>0</x:v>
      </x:c>
      <x:c r="O1085" s="9" t="n">
        <x:f>M1085-N1085</x:f>
        <x:v>1420</x:v>
      </x:c>
      <x:c r="P1085" s="9" t="n">
        <x:f>IF(D1085="Completed",L1085*J1085*(1-K1085),0)</x:f>
        <x:v>284</x:v>
      </x:c>
      <x:c r="Q1085" s="9" t="n">
        <x:f>O1085-P1085</x:f>
        <x:v>1136</x:v>
      </x:c>
      <x:c r="R1085" s="11" t="n">
        <x:f>IF(D1085="Completed",I1085,0)</x:f>
        <x:v>5</x:v>
      </x:c>
      <x:c r="S1085" s="11" t="n">
        <x:f>IF(D1085="Completed",L1085,0)</x:f>
        <x:v>1</x:v>
      </x:c>
      <x:c r="T1085" s="8" t="n">
        <x:f>DATE(YEAR(C1085),MONTH(C1085),1)</x:f>
        <x:v>45992</x:v>
      </x:c>
    </x:row>
    <x:row r="1086" ht="22" customHeight="1">
      <x:c r="A1086" s="2" t="str">
        <x:v>L001082</x:v>
      </x:c>
      <x:c r="B1086" s="2" t="str">
        <x:v>O00440</x:v>
      </x:c>
      <x:c r="C1086" s="7" t="n">
        <x:v>45866</x:v>
      </x:c>
      <x:c r="D1086" s="2" t="str">
        <x:v>Completed</x:v>
      </x:c>
      <x:c r="E1086" s="2" t="str">
        <x:v>East</x:v>
      </x:c>
      <x:c r="F1086" s="2" t="str">
        <x:v>Store</x:v>
      </x:c>
      <x:c r="G1086" s="2" t="str">
        <x:v>Lighting</x:v>
      </x:c>
      <x:c r="H1086" s="2" t="str">
        <x:v>Lamp 009</x:v>
      </x:c>
      <x:c r="I1086" s="11" t="n">
        <x:v>4</x:v>
      </x:c>
      <x:c r="J1086" s="9" t="n">
        <x:v>93</x:v>
      </x:c>
      <x:c r="K1086" s="10" t="n">
        <x:v>0.2</x:v>
      </x:c>
      <x:c r="L1086" s="11" t="n">
        <x:v>0</x:v>
      </x:c>
      <x:c r="M1086" s="9" t="n">
        <x:f>IF(D1086="Completed",I1086*J1086,0)</x:f>
        <x:v>372</x:v>
      </x:c>
      <x:c r="N1086" s="9" t="n">
        <x:f>M1086*K1086</x:f>
        <x:v>74.4</x:v>
      </x:c>
      <x:c r="O1086" s="9" t="n">
        <x:f>M1086-N1086</x:f>
        <x:v>297.6</x:v>
      </x:c>
      <x:c r="P1086" s="9" t="n">
        <x:f>IF(D1086="Completed",L1086*J1086*(1-K1086),0)</x:f>
        <x:v>0</x:v>
      </x:c>
      <x:c r="Q1086" s="9" t="n">
        <x:f>O1086-P1086</x:f>
        <x:v>297.6</x:v>
      </x:c>
      <x:c r="R1086" s="11" t="n">
        <x:f>IF(D1086="Completed",I1086,0)</x:f>
        <x:v>4</x:v>
      </x:c>
      <x:c r="S1086" s="11" t="n">
        <x:f>IF(D1086="Completed",L1086,0)</x:f>
        <x:v>0</x:v>
      </x:c>
      <x:c r="T1086" s="8" t="n">
        <x:f>DATE(YEAR(C1086),MONTH(C1086),1)</x:f>
        <x:v>45839</x:v>
      </x:c>
    </x:row>
    <x:row r="1087" ht="22" customHeight="1">
      <x:c r="A1087" s="2" t="str">
        <x:v>L001083</x:v>
      </x:c>
      <x:c r="B1087" s="2" t="str">
        <x:v>O00440</x:v>
      </x:c>
      <x:c r="C1087" s="7" t="n">
        <x:v>45866</x:v>
      </x:c>
      <x:c r="D1087" s="2" t="str">
        <x:v>Completed</x:v>
      </x:c>
      <x:c r="E1087" s="2" t="str">
        <x:v>East</x:v>
      </x:c>
      <x:c r="F1087" s="2" t="str">
        <x:v>Store</x:v>
      </x:c>
      <x:c r="G1087" s="2" t="str">
        <x:v>Lighting</x:v>
      </x:c>
      <x:c r="H1087" s="2" t="str">
        <x:v>Lamp 021</x:v>
      </x:c>
      <x:c r="I1087" s="11" t="n">
        <x:v>3</x:v>
      </x:c>
      <x:c r="J1087" s="9" t="n">
        <x:v>249</x:v>
      </x:c>
      <x:c r="K1087" s="10" t="n">
        <x:v>0.2</x:v>
      </x:c>
      <x:c r="L1087" s="11" t="n">
        <x:v>0</x:v>
      </x:c>
      <x:c r="M1087" s="9" t="n">
        <x:f>IF(D1087="Completed",I1087*J1087,0)</x:f>
        <x:v>747</x:v>
      </x:c>
      <x:c r="N1087" s="9" t="n">
        <x:f>M1087*K1087</x:f>
        <x:v>149.4</x:v>
      </x:c>
      <x:c r="O1087" s="9" t="n">
        <x:f>M1087-N1087</x:f>
        <x:v>597.6</x:v>
      </x:c>
      <x:c r="P1087" s="9" t="n">
        <x:f>IF(D1087="Completed",L1087*J1087*(1-K1087),0)</x:f>
        <x:v>0</x:v>
      </x:c>
      <x:c r="Q1087" s="9" t="n">
        <x:f>O1087-P1087</x:f>
        <x:v>597.6</x:v>
      </x:c>
      <x:c r="R1087" s="11" t="n">
        <x:f>IF(D1087="Completed",I1087,0)</x:f>
        <x:v>3</x:v>
      </x:c>
      <x:c r="S1087" s="11" t="n">
        <x:f>IF(D1087="Completed",L1087,0)</x:f>
        <x:v>0</x:v>
      </x:c>
      <x:c r="T1087" s="8" t="n">
        <x:f>DATE(YEAR(C1087),MONTH(C1087),1)</x:f>
        <x:v>45839</x:v>
      </x:c>
    </x:row>
    <x:row r="1088" ht="22" customHeight="1">
      <x:c r="A1088" s="2" t="str">
        <x:v>L001084</x:v>
      </x:c>
      <x:c r="B1088" s="2" t="str">
        <x:v>O00440</x:v>
      </x:c>
      <x:c r="C1088" s="7" t="n">
        <x:v>45866</x:v>
      </x:c>
      <x:c r="D1088" s="2" t="str">
        <x:v>Completed</x:v>
      </x:c>
      <x:c r="E1088" s="2" t="str">
        <x:v>East</x:v>
      </x:c>
      <x:c r="F1088" s="2" t="str">
        <x:v>Store</x:v>
      </x:c>
      <x:c r="G1088" s="2" t="str">
        <x:v>Furniture</x:v>
      </x:c>
      <x:c r="H1088" s="2" t="str">
        <x:v>Desk 012</x:v>
      </x:c>
      <x:c r="I1088" s="11" t="n">
        <x:v>4</x:v>
      </x:c>
      <x:c r="J1088" s="9" t="n">
        <x:v>134</x:v>
      </x:c>
      <x:c r="K1088" s="10" t="n">
        <x:v>0.2</x:v>
      </x:c>
      <x:c r="L1088" s="11" t="n">
        <x:v>0</x:v>
      </x:c>
      <x:c r="M1088" s="9" t="n">
        <x:f>IF(D1088="Completed",I1088*J1088,0)</x:f>
        <x:v>536</x:v>
      </x:c>
      <x:c r="N1088" s="9" t="n">
        <x:f>M1088*K1088</x:f>
        <x:v>107.2</x:v>
      </x:c>
      <x:c r="O1088" s="9" t="n">
        <x:f>M1088-N1088</x:f>
        <x:v>428.8</x:v>
      </x:c>
      <x:c r="P1088" s="9" t="n">
        <x:f>IF(D1088="Completed",L1088*J1088*(1-K1088),0)</x:f>
        <x:v>0</x:v>
      </x:c>
      <x:c r="Q1088" s="9" t="n">
        <x:f>O1088-P1088</x:f>
        <x:v>428.8</x:v>
      </x:c>
      <x:c r="R1088" s="11" t="n">
        <x:f>IF(D1088="Completed",I1088,0)</x:f>
        <x:v>4</x:v>
      </x:c>
      <x:c r="S1088" s="11" t="n">
        <x:f>IF(D1088="Completed",L1088,0)</x:f>
        <x:v>0</x:v>
      </x:c>
      <x:c r="T1088" s="8" t="n">
        <x:f>DATE(YEAR(C1088),MONTH(C1088),1)</x:f>
        <x:v>45839</x:v>
      </x:c>
    </x:row>
    <x:row r="1089" ht="22" customHeight="1">
      <x:c r="A1089" s="2" t="str">
        <x:v>L001085</x:v>
      </x:c>
      <x:c r="B1089" s="2" t="str">
        <x:v>O00441</x:v>
      </x:c>
      <x:c r="C1089" s="7" t="n">
        <x:v>45800</x:v>
      </x:c>
      <x:c r="D1089" s="2" t="str">
        <x:v>Completed</x:v>
      </x:c>
      <x:c r="E1089" s="2" t="str">
        <x:v>West</x:v>
      </x:c>
      <x:c r="F1089" s="2" t="str">
        <x:v>Store</x:v>
      </x:c>
      <x:c r="G1089" s="2" t="str">
        <x:v>Storage</x:v>
      </x:c>
      <x:c r="H1089" s="2" t="str">
        <x:v>Shelf 011</x:v>
      </x:c>
      <x:c r="I1089" s="11" t="n">
        <x:v>3</x:v>
      </x:c>
      <x:c r="J1089" s="9" t="n">
        <x:v>80</x:v>
      </x:c>
      <x:c r="K1089" s="10" t="n">
        <x:v>0.05</x:v>
      </x:c>
      <x:c r="L1089" s="11" t="n">
        <x:v>0</x:v>
      </x:c>
      <x:c r="M1089" s="9" t="n">
        <x:f>IF(D1089="Completed",I1089*J1089,0)</x:f>
        <x:v>240</x:v>
      </x:c>
      <x:c r="N1089" s="9" t="n">
        <x:f>M1089*K1089</x:f>
        <x:v>12</x:v>
      </x:c>
      <x:c r="O1089" s="9" t="n">
        <x:f>M1089-N1089</x:f>
        <x:v>228</x:v>
      </x:c>
      <x:c r="P1089" s="9" t="n">
        <x:f>IF(D1089="Completed",L1089*J1089*(1-K1089),0)</x:f>
        <x:v>0</x:v>
      </x:c>
      <x:c r="Q1089" s="9" t="n">
        <x:f>O1089-P1089</x:f>
        <x:v>228</x:v>
      </x:c>
      <x:c r="R1089" s="11" t="n">
        <x:f>IF(D1089="Completed",I1089,0)</x:f>
        <x:v>3</x:v>
      </x:c>
      <x:c r="S1089" s="11" t="n">
        <x:f>IF(D1089="Completed",L1089,0)</x:f>
        <x:v>0</x:v>
      </x:c>
      <x:c r="T1089" s="8" t="n">
        <x:f>DATE(YEAR(C1089),MONTH(C1089),1)</x:f>
        <x:v>45778</x:v>
      </x:c>
    </x:row>
    <x:row r="1090" ht="22" customHeight="1">
      <x:c r="A1090" s="2" t="str">
        <x:v>L001086</x:v>
      </x:c>
      <x:c r="B1090" s="2" t="str">
        <x:v>O00441</x:v>
      </x:c>
      <x:c r="C1090" s="7" t="n">
        <x:v>45800</x:v>
      </x:c>
      <x:c r="D1090" s="2" t="str">
        <x:v>Completed</x:v>
      </x:c>
      <x:c r="E1090" s="2" t="str">
        <x:v>West</x:v>
      </x:c>
      <x:c r="F1090" s="2" t="str">
        <x:v>Store</x:v>
      </x:c>
      <x:c r="G1090" s="2" t="str">
        <x:v>Lighting</x:v>
      </x:c>
      <x:c r="H1090" s="2" t="str">
        <x:v>Lamp 009</x:v>
      </x:c>
      <x:c r="I1090" s="11" t="n">
        <x:v>1</x:v>
      </x:c>
      <x:c r="J1090" s="9" t="n">
        <x:v>93</x:v>
      </x:c>
      <x:c r="K1090" s="10" t="n">
        <x:v>0</x:v>
      </x:c>
      <x:c r="L1090" s="11" t="n">
        <x:v>0</x:v>
      </x:c>
      <x:c r="M1090" s="9" t="n">
        <x:f>IF(D1090="Completed",I1090*J1090,0)</x:f>
        <x:v>93</x:v>
      </x:c>
      <x:c r="N1090" s="9" t="n">
        <x:f>M1090*K1090</x:f>
        <x:v>0</x:v>
      </x:c>
      <x:c r="O1090" s="9" t="n">
        <x:f>M1090-N1090</x:f>
        <x:v>93</x:v>
      </x:c>
      <x:c r="P1090" s="9" t="n">
        <x:f>IF(D1090="Completed",L1090*J1090*(1-K1090),0)</x:f>
        <x:v>0</x:v>
      </x:c>
      <x:c r="Q1090" s="9" t="n">
        <x:f>O1090-P1090</x:f>
        <x:v>93</x:v>
      </x:c>
      <x:c r="R1090" s="11" t="n">
        <x:f>IF(D1090="Completed",I1090,0)</x:f>
        <x:v>1</x:v>
      </x:c>
      <x:c r="S1090" s="11" t="n">
        <x:f>IF(D1090="Completed",L1090,0)</x:f>
        <x:v>0</x:v>
      </x:c>
      <x:c r="T1090" s="8" t="n">
        <x:f>DATE(YEAR(C1090),MONTH(C1090),1)</x:f>
        <x:v>45778</x:v>
      </x:c>
    </x:row>
    <x:row r="1091" ht="22" customHeight="1">
      <x:c r="A1091" s="2" t="str">
        <x:v>L001087</x:v>
      </x:c>
      <x:c r="B1091" s="2" t="str">
        <x:v>O00442</x:v>
      </x:c>
      <x:c r="C1091" s="7" t="n">
        <x:v>45666</x:v>
      </x:c>
      <x:c r="D1091" s="2" t="str">
        <x:v>Completed</x:v>
      </x:c>
      <x:c r="E1091" s="2" t="str">
        <x:v>South</x:v>
      </x:c>
      <x:c r="F1091" s="2" t="str">
        <x:v>Online</x:v>
      </x:c>
      <x:c r="G1091" s="2" t="str">
        <x:v>Storage</x:v>
      </x:c>
      <x:c r="H1091" s="2" t="str">
        <x:v>Shelf 011</x:v>
      </x:c>
      <x:c r="I1091" s="11" t="n">
        <x:v>3</x:v>
      </x:c>
      <x:c r="J1091" s="9" t="n">
        <x:v>80</x:v>
      </x:c>
      <x:c r="K1091" s="10" t="n">
        <x:v>0</x:v>
      </x:c>
      <x:c r="L1091" s="11" t="n">
        <x:v>0</x:v>
      </x:c>
      <x:c r="M1091" s="9" t="n">
        <x:f>IF(D1091="Completed",I1091*J1091,0)</x:f>
        <x:v>240</x:v>
      </x:c>
      <x:c r="N1091" s="9" t="n">
        <x:f>M1091*K1091</x:f>
        <x:v>0</x:v>
      </x:c>
      <x:c r="O1091" s="9" t="n">
        <x:f>M1091-N1091</x:f>
        <x:v>240</x:v>
      </x:c>
      <x:c r="P1091" s="9" t="n">
        <x:f>IF(D1091="Completed",L1091*J1091*(1-K1091),0)</x:f>
        <x:v>0</x:v>
      </x:c>
      <x:c r="Q1091" s="9" t="n">
        <x:f>O1091-P1091</x:f>
        <x:v>240</x:v>
      </x:c>
      <x:c r="R1091" s="11" t="n">
        <x:f>IF(D1091="Completed",I1091,0)</x:f>
        <x:v>3</x:v>
      </x:c>
      <x:c r="S1091" s="11" t="n">
        <x:f>IF(D1091="Completed",L1091,0)</x:f>
        <x:v>0</x:v>
      </x:c>
      <x:c r="T1091" s="8" t="n">
        <x:f>DATE(YEAR(C1091),MONTH(C1091),1)</x:f>
        <x:v>45658</x:v>
      </x:c>
    </x:row>
    <x:row r="1092" ht="22" customHeight="1">
      <x:c r="A1092" s="2" t="str">
        <x:v>L001088</x:v>
      </x:c>
      <x:c r="B1092" s="2" t="str">
        <x:v>O00442</x:v>
      </x:c>
      <x:c r="C1092" s="7" t="n">
        <x:v>45666</x:v>
      </x:c>
      <x:c r="D1092" s="2" t="str">
        <x:v>Completed</x:v>
      </x:c>
      <x:c r="E1092" s="2" t="str">
        <x:v>South</x:v>
      </x:c>
      <x:c r="F1092" s="2" t="str">
        <x:v>Online</x:v>
      </x:c>
      <x:c r="G1092" s="2" t="str">
        <x:v>Storage</x:v>
      </x:c>
      <x:c r="H1092" s="2" t="str">
        <x:v>Shelf 019</x:v>
      </x:c>
      <x:c r="I1092" s="11" t="n">
        <x:v>1</x:v>
      </x:c>
      <x:c r="J1092" s="9" t="n">
        <x:v>78</x:v>
      </x:c>
      <x:c r="K1092" s="10" t="n">
        <x:v>0</x:v>
      </x:c>
      <x:c r="L1092" s="11" t="n">
        <x:v>0</x:v>
      </x:c>
      <x:c r="M1092" s="9" t="n">
        <x:f>IF(D1092="Completed",I1092*J1092,0)</x:f>
        <x:v>78</x:v>
      </x:c>
      <x:c r="N1092" s="9" t="n">
        <x:f>M1092*K1092</x:f>
        <x:v>0</x:v>
      </x:c>
      <x:c r="O1092" s="9" t="n">
        <x:f>M1092-N1092</x:f>
        <x:v>78</x:v>
      </x:c>
      <x:c r="P1092" s="9" t="n">
        <x:f>IF(D1092="Completed",L1092*J1092*(1-K1092),0)</x:f>
        <x:v>0</x:v>
      </x:c>
      <x:c r="Q1092" s="9" t="n">
        <x:f>O1092-P1092</x:f>
        <x:v>78</x:v>
      </x:c>
      <x:c r="R1092" s="11" t="n">
        <x:f>IF(D1092="Completed",I1092,0)</x:f>
        <x:v>1</x:v>
      </x:c>
      <x:c r="S1092" s="11" t="n">
        <x:f>IF(D1092="Completed",L1092,0)</x:f>
        <x:v>0</x:v>
      </x:c>
      <x:c r="T1092" s="8" t="n">
        <x:f>DATE(YEAR(C1092),MONTH(C1092),1)</x:f>
        <x:v>45658</x:v>
      </x:c>
    </x:row>
    <x:row r="1093" ht="22" customHeight="1">
      <x:c r="A1093" s="2" t="str">
        <x:v>L001089</x:v>
      </x:c>
      <x:c r="B1093" s="2" t="str">
        <x:v>O00442</x:v>
      </x:c>
      <x:c r="C1093" s="7" t="n">
        <x:v>45666</x:v>
      </x:c>
      <x:c r="D1093" s="2" t="str">
        <x:v>Completed</x:v>
      </x:c>
      <x:c r="E1093" s="2" t="str">
        <x:v>South</x:v>
      </x:c>
      <x:c r="F1093" s="2" t="str">
        <x:v>Online</x:v>
      </x:c>
      <x:c r="G1093" s="2" t="str">
        <x:v>Furniture</x:v>
      </x:c>
      <x:c r="H1093" s="2" t="str">
        <x:v>Chair 018</x:v>
      </x:c>
      <x:c r="I1093" s="11" t="n">
        <x:v>1</x:v>
      </x:c>
      <x:c r="J1093" s="9" t="n">
        <x:v>269</x:v>
      </x:c>
      <x:c r="K1093" s="10" t="n">
        <x:v>0.1</x:v>
      </x:c>
      <x:c r="L1093" s="11" t="n">
        <x:v>0</x:v>
      </x:c>
      <x:c r="M1093" s="9" t="n">
        <x:f>IF(D1093="Completed",I1093*J1093,0)</x:f>
        <x:v>269</x:v>
      </x:c>
      <x:c r="N1093" s="9" t="n">
        <x:f>M1093*K1093</x:f>
        <x:v>26.900000000000002</x:v>
      </x:c>
      <x:c r="O1093" s="9" t="n">
        <x:f>M1093-N1093</x:f>
        <x:v>242.1</x:v>
      </x:c>
      <x:c r="P1093" s="9" t="n">
        <x:f>IF(D1093="Completed",L1093*J1093*(1-K1093),0)</x:f>
        <x:v>0</x:v>
      </x:c>
      <x:c r="Q1093" s="9" t="n">
        <x:f>O1093-P1093</x:f>
        <x:v>242.1</x:v>
      </x:c>
      <x:c r="R1093" s="11" t="n">
        <x:f>IF(D1093="Completed",I1093,0)</x:f>
        <x:v>1</x:v>
      </x:c>
      <x:c r="S1093" s="11" t="n">
        <x:f>IF(D1093="Completed",L1093,0)</x:f>
        <x:v>0</x:v>
      </x:c>
      <x:c r="T1093" s="8" t="n">
        <x:f>DATE(YEAR(C1093),MONTH(C1093),1)</x:f>
        <x:v>45658</x:v>
      </x:c>
    </x:row>
    <x:row r="1094" ht="22" customHeight="1">
      <x:c r="A1094" s="2" t="str">
        <x:v>L001090</x:v>
      </x:c>
      <x:c r="B1094" s="2" t="str">
        <x:v>O00442</x:v>
      </x:c>
      <x:c r="C1094" s="7" t="n">
        <x:v>45666</x:v>
      </x:c>
      <x:c r="D1094" s="2" t="str">
        <x:v>Completed</x:v>
      </x:c>
      <x:c r="E1094" s="2" t="str">
        <x:v>South</x:v>
      </x:c>
      <x:c r="F1094" s="2" t="str">
        <x:v>Online</x:v>
      </x:c>
      <x:c r="G1094" s="2" t="str">
        <x:v>Lighting</x:v>
      </x:c>
      <x:c r="H1094" s="2" t="str">
        <x:v>Lamp 021</x:v>
      </x:c>
      <x:c r="I1094" s="11" t="n">
        <x:v>4</x:v>
      </x:c>
      <x:c r="J1094" s="9" t="n">
        <x:v>249</x:v>
      </x:c>
      <x:c r="K1094" s="10" t="n">
        <x:v>0.05</x:v>
      </x:c>
      <x:c r="L1094" s="11" t="n">
        <x:v>0</x:v>
      </x:c>
      <x:c r="M1094" s="9" t="n">
        <x:f>IF(D1094="Completed",I1094*J1094,0)</x:f>
        <x:v>996</x:v>
      </x:c>
      <x:c r="N1094" s="9" t="n">
        <x:f>M1094*K1094</x:f>
        <x:v>49.800000000000004</x:v>
      </x:c>
      <x:c r="O1094" s="9" t="n">
        <x:f>M1094-N1094</x:f>
        <x:v>946.2</x:v>
      </x:c>
      <x:c r="P1094" s="9" t="n">
        <x:f>IF(D1094="Completed",L1094*J1094*(1-K1094),0)</x:f>
        <x:v>0</x:v>
      </x:c>
      <x:c r="Q1094" s="9" t="n">
        <x:f>O1094-P1094</x:f>
        <x:v>946.2</x:v>
      </x:c>
      <x:c r="R1094" s="11" t="n">
        <x:f>IF(D1094="Completed",I1094,0)</x:f>
        <x:v>4</x:v>
      </x:c>
      <x:c r="S1094" s="11" t="n">
        <x:f>IF(D1094="Completed",L1094,0)</x:f>
        <x:v>0</x:v>
      </x:c>
      <x:c r="T1094" s="8" t="n">
        <x:f>DATE(YEAR(C1094),MONTH(C1094),1)</x:f>
        <x:v>45658</x:v>
      </x:c>
    </x:row>
    <x:row r="1095" ht="22" customHeight="1">
      <x:c r="A1095" s="2" t="str">
        <x:v>L001091</x:v>
      </x:c>
      <x:c r="B1095" s="2" t="str">
        <x:v>O00443</x:v>
      </x:c>
      <x:c r="C1095" s="7" t="n">
        <x:v>45730</x:v>
      </x:c>
      <x:c r="D1095" s="2" t="str">
        <x:v>Completed</x:v>
      </x:c>
      <x:c r="E1095" s="2" t="str">
        <x:v>East</x:v>
      </x:c>
      <x:c r="F1095" s="2" t="str">
        <x:v>Store</x:v>
      </x:c>
      <x:c r="G1095" s="2" t="str">
        <x:v>Furniture</x:v>
      </x:c>
      <x:c r="H1095" s="2" t="str">
        <x:v>Chair 014</x:v>
      </x:c>
      <x:c r="I1095" s="11" t="n">
        <x:v>5</x:v>
      </x:c>
      <x:c r="J1095" s="9" t="n">
        <x:v>294</x:v>
      </x:c>
      <x:c r="K1095" s="10" t="n">
        <x:v>0.05</x:v>
      </x:c>
      <x:c r="L1095" s="11" t="n">
        <x:v>0</x:v>
      </x:c>
      <x:c r="M1095" s="9" t="n">
        <x:f>IF(D1095="Completed",I1095*J1095,0)</x:f>
        <x:v>1470</x:v>
      </x:c>
      <x:c r="N1095" s="9" t="n">
        <x:f>M1095*K1095</x:f>
        <x:v>73.5</x:v>
      </x:c>
      <x:c r="O1095" s="9" t="n">
        <x:f>M1095-N1095</x:f>
        <x:v>1396.5</x:v>
      </x:c>
      <x:c r="P1095" s="9" t="n">
        <x:f>IF(D1095="Completed",L1095*J1095*(1-K1095),0)</x:f>
        <x:v>0</x:v>
      </x:c>
      <x:c r="Q1095" s="9" t="n">
        <x:f>O1095-P1095</x:f>
        <x:v>1396.5</x:v>
      </x:c>
      <x:c r="R1095" s="11" t="n">
        <x:f>IF(D1095="Completed",I1095,0)</x:f>
        <x:v>5</x:v>
      </x:c>
      <x:c r="S1095" s="11" t="n">
        <x:f>IF(D1095="Completed",L1095,0)</x:f>
        <x:v>0</x:v>
      </x:c>
      <x:c r="T1095" s="8" t="n">
        <x:f>DATE(YEAR(C1095),MONTH(C1095),1)</x:f>
        <x:v>45717</x:v>
      </x:c>
    </x:row>
    <x:row r="1096" ht="22" customHeight="1">
      <x:c r="A1096" s="2" t="str">
        <x:v>L001092</x:v>
      </x:c>
      <x:c r="B1096" s="2" t="str">
        <x:v>O00443</x:v>
      </x:c>
      <x:c r="C1096" s="7" t="n">
        <x:v>45730</x:v>
      </x:c>
      <x:c r="D1096" s="2" t="str">
        <x:v>Completed</x:v>
      </x:c>
      <x:c r="E1096" s="2" t="str">
        <x:v>East</x:v>
      </x:c>
      <x:c r="F1096" s="2" t="str">
        <x:v>Store</x:v>
      </x:c>
      <x:c r="G1096" s="2" t="str">
        <x:v>Lighting</x:v>
      </x:c>
      <x:c r="H1096" s="2" t="str">
        <x:v>Lamp 001</x:v>
      </x:c>
      <x:c r="I1096" s="11" t="n">
        <x:v>3</x:v>
      </x:c>
      <x:c r="J1096" s="9" t="n">
        <x:v>122</x:v>
      </x:c>
      <x:c r="K1096" s="10" t="n">
        <x:v>0</x:v>
      </x:c>
      <x:c r="L1096" s="11" t="n">
        <x:v>0</x:v>
      </x:c>
      <x:c r="M1096" s="9" t="n">
        <x:f>IF(D1096="Completed",I1096*J1096,0)</x:f>
        <x:v>366</x:v>
      </x:c>
      <x:c r="N1096" s="9" t="n">
        <x:f>M1096*K1096</x:f>
        <x:v>0</x:v>
      </x:c>
      <x:c r="O1096" s="9" t="n">
        <x:f>M1096-N1096</x:f>
        <x:v>366</x:v>
      </x:c>
      <x:c r="P1096" s="9" t="n">
        <x:f>IF(D1096="Completed",L1096*J1096*(1-K1096),0)</x:f>
        <x:v>0</x:v>
      </x:c>
      <x:c r="Q1096" s="9" t="n">
        <x:f>O1096-P1096</x:f>
        <x:v>366</x:v>
      </x:c>
      <x:c r="R1096" s="11" t="n">
        <x:f>IF(D1096="Completed",I1096,0)</x:f>
        <x:v>3</x:v>
      </x:c>
      <x:c r="S1096" s="11" t="n">
        <x:f>IF(D1096="Completed",L1096,0)</x:f>
        <x:v>0</x:v>
      </x:c>
      <x:c r="T1096" s="8" t="n">
        <x:f>DATE(YEAR(C1096),MONTH(C1096),1)</x:f>
        <x:v>45717</x:v>
      </x:c>
    </x:row>
    <x:row r="1097" ht="22" customHeight="1">
      <x:c r="A1097" s="2" t="str">
        <x:v>L001093</x:v>
      </x:c>
      <x:c r="B1097" s="2" t="str">
        <x:v>O00444</x:v>
      </x:c>
      <x:c r="C1097" s="7" t="n">
        <x:v>45707</x:v>
      </x:c>
      <x:c r="D1097" s="2" t="str">
        <x:v>Completed</x:v>
      </x:c>
      <x:c r="E1097" s="2" t="str">
        <x:v>North</x:v>
      </x:c>
      <x:c r="F1097" s="2" t="str">
        <x:v>Online</x:v>
      </x:c>
      <x:c r="G1097" s="2" t="str">
        <x:v>Furniture</x:v>
      </x:c>
      <x:c r="H1097" s="2" t="str">
        <x:v>Desk 008</x:v>
      </x:c>
      <x:c r="I1097" s="11" t="n">
        <x:v>4</x:v>
      </x:c>
      <x:c r="J1097" s="9" t="n">
        <x:v>188</x:v>
      </x:c>
      <x:c r="K1097" s="10" t="n">
        <x:v>0.2</x:v>
      </x:c>
      <x:c r="L1097" s="11" t="n">
        <x:v>0</x:v>
      </x:c>
      <x:c r="M1097" s="9" t="n">
        <x:f>IF(D1097="Completed",I1097*J1097,0)</x:f>
        <x:v>752</x:v>
      </x:c>
      <x:c r="N1097" s="9" t="n">
        <x:f>M1097*K1097</x:f>
        <x:v>150.4</x:v>
      </x:c>
      <x:c r="O1097" s="9" t="n">
        <x:f>M1097-N1097</x:f>
        <x:v>601.6</x:v>
      </x:c>
      <x:c r="P1097" s="9" t="n">
        <x:f>IF(D1097="Completed",L1097*J1097*(1-K1097),0)</x:f>
        <x:v>0</x:v>
      </x:c>
      <x:c r="Q1097" s="9" t="n">
        <x:f>O1097-P1097</x:f>
        <x:v>601.6</x:v>
      </x:c>
      <x:c r="R1097" s="11" t="n">
        <x:f>IF(D1097="Completed",I1097,0)</x:f>
        <x:v>4</x:v>
      </x:c>
      <x:c r="S1097" s="11" t="n">
        <x:f>IF(D1097="Completed",L1097,0)</x:f>
        <x:v>0</x:v>
      </x:c>
      <x:c r="T1097" s="8" t="n">
        <x:f>DATE(YEAR(C1097),MONTH(C1097),1)</x:f>
        <x:v>45689</x:v>
      </x:c>
    </x:row>
    <x:row r="1098" ht="22" customHeight="1">
      <x:c r="A1098" s="2" t="str">
        <x:v>L001094</x:v>
      </x:c>
      <x:c r="B1098" s="2" t="str">
        <x:v>O00444</x:v>
      </x:c>
      <x:c r="C1098" s="7" t="n">
        <x:v>45707</x:v>
      </x:c>
      <x:c r="D1098" s="2" t="str">
        <x:v>Completed</x:v>
      </x:c>
      <x:c r="E1098" s="2" t="str">
        <x:v>North</x:v>
      </x:c>
      <x:c r="F1098" s="2" t="str">
        <x:v>Online</x:v>
      </x:c>
      <x:c r="G1098" s="2" t="str">
        <x:v>Furniture</x:v>
      </x:c>
      <x:c r="H1098" s="2" t="str">
        <x:v>Desk 016</x:v>
      </x:c>
      <x:c r="I1098" s="11" t="n">
        <x:v>1</x:v>
      </x:c>
      <x:c r="J1098" s="9" t="n">
        <x:v>231</x:v>
      </x:c>
      <x:c r="K1098" s="10" t="n">
        <x:v>0.2</x:v>
      </x:c>
      <x:c r="L1098" s="11" t="n">
        <x:v>0</x:v>
      </x:c>
      <x:c r="M1098" s="9" t="n">
        <x:f>IF(D1098="Completed",I1098*J1098,0)</x:f>
        <x:v>231</x:v>
      </x:c>
      <x:c r="N1098" s="9" t="n">
        <x:f>M1098*K1098</x:f>
        <x:v>46.2</x:v>
      </x:c>
      <x:c r="O1098" s="9" t="n">
        <x:f>M1098-N1098</x:f>
        <x:v>184.8</x:v>
      </x:c>
      <x:c r="P1098" s="9" t="n">
        <x:f>IF(D1098="Completed",L1098*J1098*(1-K1098),0)</x:f>
        <x:v>0</x:v>
      </x:c>
      <x:c r="Q1098" s="9" t="n">
        <x:f>O1098-P1098</x:f>
        <x:v>184.8</x:v>
      </x:c>
      <x:c r="R1098" s="11" t="n">
        <x:f>IF(D1098="Completed",I1098,0)</x:f>
        <x:v>1</x:v>
      </x:c>
      <x:c r="S1098" s="11" t="n">
        <x:f>IF(D1098="Completed",L1098,0)</x:f>
        <x:v>0</x:v>
      </x:c>
      <x:c r="T1098" s="8" t="n">
        <x:f>DATE(YEAR(C1098),MONTH(C1098),1)</x:f>
        <x:v>45689</x:v>
      </x:c>
    </x:row>
    <x:row r="1099" ht="22" customHeight="1">
      <x:c r="A1099" s="2" t="str">
        <x:v>L001095</x:v>
      </x:c>
      <x:c r="B1099" s="2" t="str">
        <x:v>O00444</x:v>
      </x:c>
      <x:c r="C1099" s="7" t="n">
        <x:v>45707</x:v>
      </x:c>
      <x:c r="D1099" s="2" t="str">
        <x:v>Completed</x:v>
      </x:c>
      <x:c r="E1099" s="2" t="str">
        <x:v>North</x:v>
      </x:c>
      <x:c r="F1099" s="2" t="str">
        <x:v>Online</x:v>
      </x:c>
      <x:c r="G1099" s="2" t="str">
        <x:v>Furniture</x:v>
      </x:c>
      <x:c r="H1099" s="2" t="str">
        <x:v>Chair 014</x:v>
      </x:c>
      <x:c r="I1099" s="11" t="n">
        <x:v>3</x:v>
      </x:c>
      <x:c r="J1099" s="9" t="n">
        <x:v>294</x:v>
      </x:c>
      <x:c r="K1099" s="10" t="n">
        <x:v>0.1</x:v>
      </x:c>
      <x:c r="L1099" s="11" t="n">
        <x:v>0</x:v>
      </x:c>
      <x:c r="M1099" s="9" t="n">
        <x:f>IF(D1099="Completed",I1099*J1099,0)</x:f>
        <x:v>882</x:v>
      </x:c>
      <x:c r="N1099" s="9" t="n">
        <x:f>M1099*K1099</x:f>
        <x:v>88.2</x:v>
      </x:c>
      <x:c r="O1099" s="9" t="n">
        <x:f>M1099-N1099</x:f>
        <x:v>793.8</x:v>
      </x:c>
      <x:c r="P1099" s="9" t="n">
        <x:f>IF(D1099="Completed",L1099*J1099*(1-K1099),0)</x:f>
        <x:v>0</x:v>
      </x:c>
      <x:c r="Q1099" s="9" t="n">
        <x:f>O1099-P1099</x:f>
        <x:v>793.8</x:v>
      </x:c>
      <x:c r="R1099" s="11" t="n">
        <x:f>IF(D1099="Completed",I1099,0)</x:f>
        <x:v>3</x:v>
      </x:c>
      <x:c r="S1099" s="11" t="n">
        <x:f>IF(D1099="Completed",L1099,0)</x:f>
        <x:v>0</x:v>
      </x:c>
      <x:c r="T1099" s="8" t="n">
        <x:f>DATE(YEAR(C1099),MONTH(C1099),1)</x:f>
        <x:v>45689</x:v>
      </x:c>
    </x:row>
    <x:row r="1100" ht="22" customHeight="1">
      <x:c r="A1100" s="2" t="str">
        <x:v>L001096</x:v>
      </x:c>
      <x:c r="B1100" s="2" t="str">
        <x:v>O00444</x:v>
      </x:c>
      <x:c r="C1100" s="7" t="n">
        <x:v>45707</x:v>
      </x:c>
      <x:c r="D1100" s="2" t="str">
        <x:v>Completed</x:v>
      </x:c>
      <x:c r="E1100" s="2" t="str">
        <x:v>North</x:v>
      </x:c>
      <x:c r="F1100" s="2" t="str">
        <x:v>Online</x:v>
      </x:c>
      <x:c r="G1100" s="2" t="str">
        <x:v>Lighting</x:v>
      </x:c>
      <x:c r="H1100" s="2" t="str">
        <x:v>Lamp 001</x:v>
      </x:c>
      <x:c r="I1100" s="11" t="n">
        <x:v>1</x:v>
      </x:c>
      <x:c r="J1100" s="9" t="n">
        <x:v>122</x:v>
      </x:c>
      <x:c r="K1100" s="10" t="n">
        <x:v>0.2</x:v>
      </x:c>
      <x:c r="L1100" s="11" t="n">
        <x:v>1</x:v>
      </x:c>
      <x:c r="M1100" s="9" t="n">
        <x:f>IF(D1100="Completed",I1100*J1100,0)</x:f>
        <x:v>122</x:v>
      </x:c>
      <x:c r="N1100" s="9" t="n">
        <x:f>M1100*K1100</x:f>
        <x:v>24.400000000000002</x:v>
      </x:c>
      <x:c r="O1100" s="9" t="n">
        <x:f>M1100-N1100</x:f>
        <x:v>97.6</x:v>
      </x:c>
      <x:c r="P1100" s="9" t="n">
        <x:f>IF(D1100="Completed",L1100*J1100*(1-K1100),0)</x:f>
        <x:v>97.60000000000001</x:v>
      </x:c>
      <x:c r="Q1100" s="9" t="n">
        <x:f>O1100-P1100</x:f>
        <x:v>-1.4210854715202004e-14</x:v>
      </x:c>
      <x:c r="R1100" s="11" t="n">
        <x:f>IF(D1100="Completed",I1100,0)</x:f>
        <x:v>1</x:v>
      </x:c>
      <x:c r="S1100" s="11" t="n">
        <x:f>IF(D1100="Completed",L1100,0)</x:f>
        <x:v>1</x:v>
      </x:c>
      <x:c r="T1100" s="8" t="n">
        <x:f>DATE(YEAR(C1100),MONTH(C1100),1)</x:f>
        <x:v>45689</x:v>
      </x:c>
    </x:row>
    <x:row r="1101" ht="22" customHeight="1">
      <x:c r="A1101" s="2" t="str">
        <x:v>L001097</x:v>
      </x:c>
      <x:c r="B1101" s="2" t="str">
        <x:v>O00445</x:v>
      </x:c>
      <x:c r="C1101" s="7" t="n">
        <x:v>45864</x:v>
      </x:c>
      <x:c r="D1101" s="2" t="str">
        <x:v>Completed</x:v>
      </x:c>
      <x:c r="E1101" s="2" t="str">
        <x:v>South</x:v>
      </x:c>
      <x:c r="F1101" s="2" t="str">
        <x:v>Online</x:v>
      </x:c>
      <x:c r="G1101" s="2" t="str">
        <x:v>Furniture</x:v>
      </x:c>
      <x:c r="H1101" s="2" t="str">
        <x:v>Chair 022</x:v>
      </x:c>
      <x:c r="I1101" s="11" t="n">
        <x:v>5</x:v>
      </x:c>
      <x:c r="J1101" s="9" t="n">
        <x:v>134</x:v>
      </x:c>
      <x:c r="K1101" s="10" t="n">
        <x:v>0.2</x:v>
      </x:c>
      <x:c r="L1101" s="11" t="n">
        <x:v>0</x:v>
      </x:c>
      <x:c r="M1101" s="9" t="n">
        <x:f>IF(D1101="Completed",I1101*J1101,0)</x:f>
        <x:v>670</x:v>
      </x:c>
      <x:c r="N1101" s="9" t="n">
        <x:f>M1101*K1101</x:f>
        <x:v>134</x:v>
      </x:c>
      <x:c r="O1101" s="9" t="n">
        <x:f>M1101-N1101</x:f>
        <x:v>536</x:v>
      </x:c>
      <x:c r="P1101" s="9" t="n">
        <x:f>IF(D1101="Completed",L1101*J1101*(1-K1101),0)</x:f>
        <x:v>0</x:v>
      </x:c>
      <x:c r="Q1101" s="9" t="n">
        <x:f>O1101-P1101</x:f>
        <x:v>536</x:v>
      </x:c>
      <x:c r="R1101" s="11" t="n">
        <x:f>IF(D1101="Completed",I1101,0)</x:f>
        <x:v>5</x:v>
      </x:c>
      <x:c r="S1101" s="11" t="n">
        <x:f>IF(D1101="Completed",L1101,0)</x:f>
        <x:v>0</x:v>
      </x:c>
      <x:c r="T1101" s="8" t="n">
        <x:f>DATE(YEAR(C1101),MONTH(C1101),1)</x:f>
        <x:v>45839</x:v>
      </x:c>
    </x:row>
    <x:row r="1102" ht="22" customHeight="1">
      <x:c r="A1102" s="2" t="str">
        <x:v>L001098</x:v>
      </x:c>
      <x:c r="B1102" s="2" t="str">
        <x:v>O00445</x:v>
      </x:c>
      <x:c r="C1102" s="7" t="n">
        <x:v>45864</x:v>
      </x:c>
      <x:c r="D1102" s="2" t="str">
        <x:v>Completed</x:v>
      </x:c>
      <x:c r="E1102" s="2" t="str">
        <x:v>South</x:v>
      </x:c>
      <x:c r="F1102" s="2" t="str">
        <x:v>Online</x:v>
      </x:c>
      <x:c r="G1102" s="2" t="str">
        <x:v>Furniture</x:v>
      </x:c>
      <x:c r="H1102" s="2" t="str">
        <x:v>Desk 020</x:v>
      </x:c>
      <x:c r="I1102" s="11" t="n">
        <x:v>1</x:v>
      </x:c>
      <x:c r="J1102" s="9" t="n">
        <x:v>189</x:v>
      </x:c>
      <x:c r="K1102" s="10" t="n">
        <x:v>0</x:v>
      </x:c>
      <x:c r="L1102" s="11" t="n">
        <x:v>0</x:v>
      </x:c>
      <x:c r="M1102" s="9" t="n">
        <x:f>IF(D1102="Completed",I1102*J1102,0)</x:f>
        <x:v>189</x:v>
      </x:c>
      <x:c r="N1102" s="9" t="n">
        <x:f>M1102*K1102</x:f>
        <x:v>0</x:v>
      </x:c>
      <x:c r="O1102" s="9" t="n">
        <x:f>M1102-N1102</x:f>
        <x:v>189</x:v>
      </x:c>
      <x:c r="P1102" s="9" t="n">
        <x:f>IF(D1102="Completed",L1102*J1102*(1-K1102),0)</x:f>
        <x:v>0</x:v>
      </x:c>
      <x:c r="Q1102" s="9" t="n">
        <x:f>O1102-P1102</x:f>
        <x:v>189</x:v>
      </x:c>
      <x:c r="R1102" s="11" t="n">
        <x:f>IF(D1102="Completed",I1102,0)</x:f>
        <x:v>1</x:v>
      </x:c>
      <x:c r="S1102" s="11" t="n">
        <x:f>IF(D1102="Completed",L1102,0)</x:f>
        <x:v>0</x:v>
      </x:c>
      <x:c r="T1102" s="8" t="n">
        <x:f>DATE(YEAR(C1102),MONTH(C1102),1)</x:f>
        <x:v>45839</x:v>
      </x:c>
    </x:row>
    <x:row r="1103" ht="22" customHeight="1">
      <x:c r="A1103" s="2" t="str">
        <x:v>L001099</x:v>
      </x:c>
      <x:c r="B1103" s="2" t="str">
        <x:v>O00445</x:v>
      </x:c>
      <x:c r="C1103" s="7" t="n">
        <x:v>45864</x:v>
      </x:c>
      <x:c r="D1103" s="2" t="str">
        <x:v>Completed</x:v>
      </x:c>
      <x:c r="E1103" s="2" t="str">
        <x:v>South</x:v>
      </x:c>
      <x:c r="F1103" s="2" t="str">
        <x:v>Online</x:v>
      </x:c>
      <x:c r="G1103" s="2" t="str">
        <x:v>Furniture</x:v>
      </x:c>
      <x:c r="H1103" s="2" t="str">
        <x:v>Desk 004</x:v>
      </x:c>
      <x:c r="I1103" s="11" t="n">
        <x:v>1</x:v>
      </x:c>
      <x:c r="J1103" s="9" t="n">
        <x:v>123</x:v>
      </x:c>
      <x:c r="K1103" s="10" t="n">
        <x:v>0.1</x:v>
      </x:c>
      <x:c r="L1103" s="11" t="n">
        <x:v>0</x:v>
      </x:c>
      <x:c r="M1103" s="9" t="n">
        <x:f>IF(D1103="Completed",I1103*J1103,0)</x:f>
        <x:v>123</x:v>
      </x:c>
      <x:c r="N1103" s="9" t="n">
        <x:f>M1103*K1103</x:f>
        <x:v>12.3</x:v>
      </x:c>
      <x:c r="O1103" s="9" t="n">
        <x:f>M1103-N1103</x:f>
        <x:v>110.7</x:v>
      </x:c>
      <x:c r="P1103" s="9" t="n">
        <x:f>IF(D1103="Completed",L1103*J1103*(1-K1103),0)</x:f>
        <x:v>0</x:v>
      </x:c>
      <x:c r="Q1103" s="9" t="n">
        <x:f>O1103-P1103</x:f>
        <x:v>110.7</x:v>
      </x:c>
      <x:c r="R1103" s="11" t="n">
        <x:f>IF(D1103="Completed",I1103,0)</x:f>
        <x:v>1</x:v>
      </x:c>
      <x:c r="S1103" s="11" t="n">
        <x:f>IF(D1103="Completed",L1103,0)</x:f>
        <x:v>0</x:v>
      </x:c>
      <x:c r="T1103" s="8" t="n">
        <x:f>DATE(YEAR(C1103),MONTH(C1103),1)</x:f>
        <x:v>45839</x:v>
      </x:c>
    </x:row>
    <x:row r="1104" ht="22" customHeight="1">
      <x:c r="A1104" s="2" t="str">
        <x:v>L001100</x:v>
      </x:c>
      <x:c r="B1104" s="2" t="str">
        <x:v>O00445</x:v>
      </x:c>
      <x:c r="C1104" s="7" t="n">
        <x:v>45864</x:v>
      </x:c>
      <x:c r="D1104" s="2" t="str">
        <x:v>Completed</x:v>
      </x:c>
      <x:c r="E1104" s="2" t="str">
        <x:v>South</x:v>
      </x:c>
      <x:c r="F1104" s="2" t="str">
        <x:v>Online</x:v>
      </x:c>
      <x:c r="G1104" s="2" t="str">
        <x:v>Storage</x:v>
      </x:c>
      <x:c r="H1104" s="2" t="str">
        <x:v>Shelf 011</x:v>
      </x:c>
      <x:c r="I1104" s="11" t="n">
        <x:v>4</x:v>
      </x:c>
      <x:c r="J1104" s="9" t="n">
        <x:v>80</x:v>
      </x:c>
      <x:c r="K1104" s="10" t="n">
        <x:v>0</x:v>
      </x:c>
      <x:c r="L1104" s="11" t="n">
        <x:v>0</x:v>
      </x:c>
      <x:c r="M1104" s="9" t="n">
        <x:f>IF(D1104="Completed",I1104*J1104,0)</x:f>
        <x:v>320</x:v>
      </x:c>
      <x:c r="N1104" s="9" t="n">
        <x:f>M1104*K1104</x:f>
        <x:v>0</x:v>
      </x:c>
      <x:c r="O1104" s="9" t="n">
        <x:f>M1104-N1104</x:f>
        <x:v>320</x:v>
      </x:c>
      <x:c r="P1104" s="9" t="n">
        <x:f>IF(D1104="Completed",L1104*J1104*(1-K1104),0)</x:f>
        <x:v>0</x:v>
      </x:c>
      <x:c r="Q1104" s="9" t="n">
        <x:f>O1104-P1104</x:f>
        <x:v>320</x:v>
      </x:c>
      <x:c r="R1104" s="11" t="n">
        <x:f>IF(D1104="Completed",I1104,0)</x:f>
        <x:v>4</x:v>
      </x:c>
      <x:c r="S1104" s="11" t="n">
        <x:f>IF(D1104="Completed",L1104,0)</x:f>
        <x:v>0</x:v>
      </x:c>
      <x:c r="T1104" s="8" t="n">
        <x:f>DATE(YEAR(C1104),MONTH(C1104),1)</x:f>
        <x:v>45839</x:v>
      </x:c>
    </x:row>
    <x:row r="1105" ht="22" customHeight="1">
      <x:c r="A1105" s="2" t="str">
        <x:v>L001101</x:v>
      </x:c>
      <x:c r="B1105" s="2" t="str">
        <x:v>O00446</x:v>
      </x:c>
      <x:c r="C1105" s="7" t="n">
        <x:v>45911</x:v>
      </x:c>
      <x:c r="D1105" s="2" t="str">
        <x:v>Completed</x:v>
      </x:c>
      <x:c r="E1105" s="2" t="str">
        <x:v>South</x:v>
      </x:c>
      <x:c r="F1105" s="2" t="str">
        <x:v>Online</x:v>
      </x:c>
      <x:c r="G1105" s="2" t="str">
        <x:v>Furniture</x:v>
      </x:c>
      <x:c r="H1105" s="2" t="str">
        <x:v>Chair 002</x:v>
      </x:c>
      <x:c r="I1105" s="11" t="n">
        <x:v>2</x:v>
      </x:c>
      <x:c r="J1105" s="9" t="n">
        <x:v>284</x:v>
      </x:c>
      <x:c r="K1105" s="10" t="n">
        <x:v>0.05</x:v>
      </x:c>
      <x:c r="L1105" s="11" t="n">
        <x:v>0</x:v>
      </x:c>
      <x:c r="M1105" s="9" t="n">
        <x:f>IF(D1105="Completed",I1105*J1105,0)</x:f>
        <x:v>568</x:v>
      </x:c>
      <x:c r="N1105" s="9" t="n">
        <x:f>M1105*K1105</x:f>
        <x:v>28.400000000000002</x:v>
      </x:c>
      <x:c r="O1105" s="9" t="n">
        <x:f>M1105-N1105</x:f>
        <x:v>539.6</x:v>
      </x:c>
      <x:c r="P1105" s="9" t="n">
        <x:f>IF(D1105="Completed",L1105*J1105*(1-K1105),0)</x:f>
        <x:v>0</x:v>
      </x:c>
      <x:c r="Q1105" s="9" t="n">
        <x:f>O1105-P1105</x:f>
        <x:v>539.6</x:v>
      </x:c>
      <x:c r="R1105" s="11" t="n">
        <x:f>IF(D1105="Completed",I1105,0)</x:f>
        <x:v>2</x:v>
      </x:c>
      <x:c r="S1105" s="11" t="n">
        <x:f>IF(D1105="Completed",L1105,0)</x:f>
        <x:v>0</x:v>
      </x:c>
      <x:c r="T1105" s="8" t="n">
        <x:f>DATE(YEAR(C1105),MONTH(C1105),1)</x:f>
        <x:v>45901</x:v>
      </x:c>
    </x:row>
    <x:row r="1106" ht="22" customHeight="1">
      <x:c r="A1106" s="2" t="str">
        <x:v>L001102</x:v>
      </x:c>
      <x:c r="B1106" s="2" t="str">
        <x:v>O00446</x:v>
      </x:c>
      <x:c r="C1106" s="7" t="n">
        <x:v>45911</x:v>
      </x:c>
      <x:c r="D1106" s="2" t="str">
        <x:v>Completed</x:v>
      </x:c>
      <x:c r="E1106" s="2" t="str">
        <x:v>South</x:v>
      </x:c>
      <x:c r="F1106" s="2" t="str">
        <x:v>Online</x:v>
      </x:c>
      <x:c r="G1106" s="2" t="str">
        <x:v>Storage</x:v>
      </x:c>
      <x:c r="H1106" s="2" t="str">
        <x:v>Shelf 007</x:v>
      </x:c>
      <x:c r="I1106" s="11" t="n">
        <x:v>1</x:v>
      </x:c>
      <x:c r="J1106" s="9" t="n">
        <x:v>35</x:v>
      </x:c>
      <x:c r="K1106" s="10" t="n">
        <x:v>0.05</x:v>
      </x:c>
      <x:c r="L1106" s="11" t="n">
        <x:v>0</x:v>
      </x:c>
      <x:c r="M1106" s="9" t="n">
        <x:f>IF(D1106="Completed",I1106*J1106,0)</x:f>
        <x:v>35</x:v>
      </x:c>
      <x:c r="N1106" s="9" t="n">
        <x:f>M1106*K1106</x:f>
        <x:v>1.75</x:v>
      </x:c>
      <x:c r="O1106" s="9" t="n">
        <x:f>M1106-N1106</x:f>
        <x:v>33.25</x:v>
      </x:c>
      <x:c r="P1106" s="9" t="n">
        <x:f>IF(D1106="Completed",L1106*J1106*(1-K1106),0)</x:f>
        <x:v>0</x:v>
      </x:c>
      <x:c r="Q1106" s="9" t="n">
        <x:f>O1106-P1106</x:f>
        <x:v>33.25</x:v>
      </x:c>
      <x:c r="R1106" s="11" t="n">
        <x:f>IF(D1106="Completed",I1106,0)</x:f>
        <x:v>1</x:v>
      </x:c>
      <x:c r="S1106" s="11" t="n">
        <x:f>IF(D1106="Completed",L1106,0)</x:f>
        <x:v>0</x:v>
      </x:c>
      <x:c r="T1106" s="8" t="n">
        <x:f>DATE(YEAR(C1106),MONTH(C1106),1)</x:f>
        <x:v>45901</x:v>
      </x:c>
    </x:row>
    <x:row r="1107" ht="22" customHeight="1">
      <x:c r="A1107" s="2" t="str">
        <x:v>L001103</x:v>
      </x:c>
      <x:c r="B1107" s="2" t="str">
        <x:v>O00446</x:v>
      </x:c>
      <x:c r="C1107" s="7" t="n">
        <x:v>45911</x:v>
      </x:c>
      <x:c r="D1107" s="2" t="str">
        <x:v>Completed</x:v>
      </x:c>
      <x:c r="E1107" s="2" t="str">
        <x:v>South</x:v>
      </x:c>
      <x:c r="F1107" s="2" t="str">
        <x:v>Online</x:v>
      </x:c>
      <x:c r="G1107" s="2" t="str">
        <x:v>Furniture</x:v>
      </x:c>
      <x:c r="H1107" s="2" t="str">
        <x:v>Chair 006</x:v>
      </x:c>
      <x:c r="I1107" s="11" t="n">
        <x:v>2</x:v>
      </x:c>
      <x:c r="J1107" s="9" t="n">
        <x:v>196</x:v>
      </x:c>
      <x:c r="K1107" s="10" t="n">
        <x:v>0.2</x:v>
      </x:c>
      <x:c r="L1107" s="11" t="n">
        <x:v>0</x:v>
      </x:c>
      <x:c r="M1107" s="9" t="n">
        <x:f>IF(D1107="Completed",I1107*J1107,0)</x:f>
        <x:v>392</x:v>
      </x:c>
      <x:c r="N1107" s="9" t="n">
        <x:f>M1107*K1107</x:f>
        <x:v>78.4</x:v>
      </x:c>
      <x:c r="O1107" s="9" t="n">
        <x:f>M1107-N1107</x:f>
        <x:v>313.6</x:v>
      </x:c>
      <x:c r="P1107" s="9" t="n">
        <x:f>IF(D1107="Completed",L1107*J1107*(1-K1107),0)</x:f>
        <x:v>0</x:v>
      </x:c>
      <x:c r="Q1107" s="9" t="n">
        <x:f>O1107-P1107</x:f>
        <x:v>313.6</x:v>
      </x:c>
      <x:c r="R1107" s="11" t="n">
        <x:f>IF(D1107="Completed",I1107,0)</x:f>
        <x:v>2</x:v>
      </x:c>
      <x:c r="S1107" s="11" t="n">
        <x:f>IF(D1107="Completed",L1107,0)</x:f>
        <x:v>0</x:v>
      </x:c>
      <x:c r="T1107" s="8" t="n">
        <x:f>DATE(YEAR(C1107),MONTH(C1107),1)</x:f>
        <x:v>45901</x:v>
      </x:c>
    </x:row>
    <x:row r="1108" ht="22" customHeight="1">
      <x:c r="A1108" s="2" t="str">
        <x:v>L001104</x:v>
      </x:c>
      <x:c r="B1108" s="2" t="str">
        <x:v>O00446</x:v>
      </x:c>
      <x:c r="C1108" s="7" t="n">
        <x:v>45911</x:v>
      </x:c>
      <x:c r="D1108" s="2" t="str">
        <x:v>Completed</x:v>
      </x:c>
      <x:c r="E1108" s="2" t="str">
        <x:v>South</x:v>
      </x:c>
      <x:c r="F1108" s="2" t="str">
        <x:v>Online</x:v>
      </x:c>
      <x:c r="G1108" s="2" t="str">
        <x:v>Furniture</x:v>
      </x:c>
      <x:c r="H1108" s="2" t="str">
        <x:v>Chair 010</x:v>
      </x:c>
      <x:c r="I1108" s="11" t="n">
        <x:v>3</x:v>
      </x:c>
      <x:c r="J1108" s="9" t="n">
        <x:v>211</x:v>
      </x:c>
      <x:c r="K1108" s="10" t="n">
        <x:v>0.1</x:v>
      </x:c>
      <x:c r="L1108" s="11" t="n">
        <x:v>0</x:v>
      </x:c>
      <x:c r="M1108" s="9" t="n">
        <x:f>IF(D1108="Completed",I1108*J1108,0)</x:f>
        <x:v>633</x:v>
      </x:c>
      <x:c r="N1108" s="9" t="n">
        <x:f>M1108*K1108</x:f>
        <x:v>63.300000000000004</x:v>
      </x:c>
      <x:c r="O1108" s="9" t="n">
        <x:f>M1108-N1108</x:f>
        <x:v>569.7</x:v>
      </x:c>
      <x:c r="P1108" s="9" t="n">
        <x:f>IF(D1108="Completed",L1108*J1108*(1-K1108),0)</x:f>
        <x:v>0</x:v>
      </x:c>
      <x:c r="Q1108" s="9" t="n">
        <x:f>O1108-P1108</x:f>
        <x:v>569.7</x:v>
      </x:c>
      <x:c r="R1108" s="11" t="n">
        <x:f>IF(D1108="Completed",I1108,0)</x:f>
        <x:v>3</x:v>
      </x:c>
      <x:c r="S1108" s="11" t="n">
        <x:f>IF(D1108="Completed",L1108,0)</x:f>
        <x:v>0</x:v>
      </x:c>
      <x:c r="T1108" s="8" t="n">
        <x:f>DATE(YEAR(C1108),MONTH(C1108),1)</x:f>
        <x:v>45901</x:v>
      </x:c>
    </x:row>
    <x:row r="1109" ht="22" customHeight="1">
      <x:c r="A1109" s="2" t="str">
        <x:v>L001105</x:v>
      </x:c>
      <x:c r="B1109" s="2" t="str">
        <x:v>O00447</x:v>
      </x:c>
      <x:c r="C1109" s="7" t="n">
        <x:v>45793</x:v>
      </x:c>
      <x:c r="D1109" s="2" t="str">
        <x:v>Completed</x:v>
      </x:c>
      <x:c r="E1109" s="2" t="str">
        <x:v>West</x:v>
      </x:c>
      <x:c r="F1109" s="2" t="str">
        <x:v>Online</x:v>
      </x:c>
      <x:c r="G1109" s="2" t="str">
        <x:v>Storage</x:v>
      </x:c>
      <x:c r="H1109" s="2" t="str">
        <x:v>Shelf 015</x:v>
      </x:c>
      <x:c r="I1109" s="11" t="n">
        <x:v>1</x:v>
      </x:c>
      <x:c r="J1109" s="9" t="n">
        <x:v>254</x:v>
      </x:c>
      <x:c r="K1109" s="10" t="n">
        <x:v>0.1</x:v>
      </x:c>
      <x:c r="L1109" s="11" t="n">
        <x:v>0</x:v>
      </x:c>
      <x:c r="M1109" s="9" t="n">
        <x:f>IF(D1109="Completed",I1109*J1109,0)</x:f>
        <x:v>254</x:v>
      </x:c>
      <x:c r="N1109" s="9" t="n">
        <x:f>M1109*K1109</x:f>
        <x:v>25.400000000000002</x:v>
      </x:c>
      <x:c r="O1109" s="9" t="n">
        <x:f>M1109-N1109</x:f>
        <x:v>228.6</x:v>
      </x:c>
      <x:c r="P1109" s="9" t="n">
        <x:f>IF(D1109="Completed",L1109*J1109*(1-K1109),0)</x:f>
        <x:v>0</x:v>
      </x:c>
      <x:c r="Q1109" s="9" t="n">
        <x:f>O1109-P1109</x:f>
        <x:v>228.6</x:v>
      </x:c>
      <x:c r="R1109" s="11" t="n">
        <x:f>IF(D1109="Completed",I1109,0)</x:f>
        <x:v>1</x:v>
      </x:c>
      <x:c r="S1109" s="11" t="n">
        <x:f>IF(D1109="Completed",L1109,0)</x:f>
        <x:v>0</x:v>
      </x:c>
      <x:c r="T1109" s="8" t="n">
        <x:f>DATE(YEAR(C1109),MONTH(C1109),1)</x:f>
        <x:v>45778</x:v>
      </x:c>
    </x:row>
    <x:row r="1110" ht="22" customHeight="1">
      <x:c r="A1110" s="2" t="str">
        <x:v>L001106</x:v>
      </x:c>
      <x:c r="B1110" s="2" t="str">
        <x:v>O00447</x:v>
      </x:c>
      <x:c r="C1110" s="7" t="n">
        <x:v>45793</x:v>
      </x:c>
      <x:c r="D1110" s="2" t="str">
        <x:v>Completed</x:v>
      </x:c>
      <x:c r="E1110" s="2" t="str">
        <x:v>West</x:v>
      </x:c>
      <x:c r="F1110" s="2" t="str">
        <x:v>Online</x:v>
      </x:c>
      <x:c r="G1110" s="2" t="str">
        <x:v>Storage</x:v>
      </x:c>
      <x:c r="H1110" s="2" t="str">
        <x:v>Shelf 015</x:v>
      </x:c>
      <x:c r="I1110" s="11" t="n">
        <x:v>4</x:v>
      </x:c>
      <x:c r="J1110" s="9" t="n">
        <x:v>254</x:v>
      </x:c>
      <x:c r="K1110" s="10" t="n">
        <x:v>0.2</x:v>
      </x:c>
      <x:c r="L1110" s="11" t="n">
        <x:v>4</x:v>
      </x:c>
      <x:c r="M1110" s="9" t="n">
        <x:f>IF(D1110="Completed",I1110*J1110,0)</x:f>
        <x:v>1016</x:v>
      </x:c>
      <x:c r="N1110" s="9" t="n">
        <x:f>M1110*K1110</x:f>
        <x:v>203.20000000000002</x:v>
      </x:c>
      <x:c r="O1110" s="9" t="n">
        <x:f>M1110-N1110</x:f>
        <x:v>812.8</x:v>
      </x:c>
      <x:c r="P1110" s="9" t="n">
        <x:f>IF(D1110="Completed",L1110*J1110*(1-K1110),0)</x:f>
        <x:v>812.8000000000001</x:v>
      </x:c>
      <x:c r="Q1110" s="9" t="n">
        <x:f>O1110-P1110</x:f>
        <x:v>-1.1368683772161603e-13</x:v>
      </x:c>
      <x:c r="R1110" s="11" t="n">
        <x:f>IF(D1110="Completed",I1110,0)</x:f>
        <x:v>4</x:v>
      </x:c>
      <x:c r="S1110" s="11" t="n">
        <x:f>IF(D1110="Completed",L1110,0)</x:f>
        <x:v>4</x:v>
      </x:c>
      <x:c r="T1110" s="8" t="n">
        <x:f>DATE(YEAR(C1110),MONTH(C1110),1)</x:f>
        <x:v>45778</x:v>
      </x:c>
    </x:row>
    <x:row r="1111" ht="22" customHeight="1">
      <x:c r="A1111" s="2" t="str">
        <x:v>L001107</x:v>
      </x:c>
      <x:c r="B1111" s="2" t="str">
        <x:v>O00447</x:v>
      </x:c>
      <x:c r="C1111" s="7" t="n">
        <x:v>45793</x:v>
      </x:c>
      <x:c r="D1111" s="2" t="str">
        <x:v>Completed</x:v>
      </x:c>
      <x:c r="E1111" s="2" t="str">
        <x:v>West</x:v>
      </x:c>
      <x:c r="F1111" s="2" t="str">
        <x:v>Online</x:v>
      </x:c>
      <x:c r="G1111" s="2" t="str">
        <x:v>Furniture</x:v>
      </x:c>
      <x:c r="H1111" s="2" t="str">
        <x:v>Desk 024</x:v>
      </x:c>
      <x:c r="I1111" s="11" t="n">
        <x:v>1</x:v>
      </x:c>
      <x:c r="J1111" s="9" t="n">
        <x:v>81</x:v>
      </x:c>
      <x:c r="K1111" s="10" t="n">
        <x:v>0.2</x:v>
      </x:c>
      <x:c r="L1111" s="11" t="n">
        <x:v>0</x:v>
      </x:c>
      <x:c r="M1111" s="9" t="n">
        <x:f>IF(D1111="Completed",I1111*J1111,0)</x:f>
        <x:v>81</x:v>
      </x:c>
      <x:c r="N1111" s="9" t="n">
        <x:f>M1111*K1111</x:f>
        <x:v>16.2</x:v>
      </x:c>
      <x:c r="O1111" s="9" t="n">
        <x:f>M1111-N1111</x:f>
        <x:v>64.8</x:v>
      </x:c>
      <x:c r="P1111" s="9" t="n">
        <x:f>IF(D1111="Completed",L1111*J1111*(1-K1111),0)</x:f>
        <x:v>0</x:v>
      </x:c>
      <x:c r="Q1111" s="9" t="n">
        <x:f>O1111-P1111</x:f>
        <x:v>64.8</x:v>
      </x:c>
      <x:c r="R1111" s="11" t="n">
        <x:f>IF(D1111="Completed",I1111,0)</x:f>
        <x:v>1</x:v>
      </x:c>
      <x:c r="S1111" s="11" t="n">
        <x:f>IF(D1111="Completed",L1111,0)</x:f>
        <x:v>0</x:v>
      </x:c>
      <x:c r="T1111" s="8" t="n">
        <x:f>DATE(YEAR(C1111),MONTH(C1111),1)</x:f>
        <x:v>45778</x:v>
      </x:c>
    </x:row>
    <x:row r="1112" ht="22" customHeight="1">
      <x:c r="A1112" s="2" t="str">
        <x:v>L001108</x:v>
      </x:c>
      <x:c r="B1112" s="2" t="str">
        <x:v>O00447</x:v>
      </x:c>
      <x:c r="C1112" s="7" t="n">
        <x:v>45793</x:v>
      </x:c>
      <x:c r="D1112" s="2" t="str">
        <x:v>Completed</x:v>
      </x:c>
      <x:c r="E1112" s="2" t="str">
        <x:v>West</x:v>
      </x:c>
      <x:c r="F1112" s="2" t="str">
        <x:v>Online</x:v>
      </x:c>
      <x:c r="G1112" s="2" t="str">
        <x:v>Furniture</x:v>
      </x:c>
      <x:c r="H1112" s="2" t="str">
        <x:v>Desk 024</x:v>
      </x:c>
      <x:c r="I1112" s="11" t="n">
        <x:v>5</x:v>
      </x:c>
      <x:c r="J1112" s="9" t="n">
        <x:v>81</x:v>
      </x:c>
      <x:c r="K1112" s="10" t="n">
        <x:v>0.2</x:v>
      </x:c>
      <x:c r="L1112" s="11" t="n">
        <x:v>0</x:v>
      </x:c>
      <x:c r="M1112" s="9" t="n">
        <x:f>IF(D1112="Completed",I1112*J1112,0)</x:f>
        <x:v>405</x:v>
      </x:c>
      <x:c r="N1112" s="9" t="n">
        <x:f>M1112*K1112</x:f>
        <x:v>81</x:v>
      </x:c>
      <x:c r="O1112" s="9" t="n">
        <x:f>M1112-N1112</x:f>
        <x:v>324</x:v>
      </x:c>
      <x:c r="P1112" s="9" t="n">
        <x:f>IF(D1112="Completed",L1112*J1112*(1-K1112),0)</x:f>
        <x:v>0</x:v>
      </x:c>
      <x:c r="Q1112" s="9" t="n">
        <x:f>O1112-P1112</x:f>
        <x:v>324</x:v>
      </x:c>
      <x:c r="R1112" s="11" t="n">
        <x:f>IF(D1112="Completed",I1112,0)</x:f>
        <x:v>5</x:v>
      </x:c>
      <x:c r="S1112" s="11" t="n">
        <x:f>IF(D1112="Completed",L1112,0)</x:f>
        <x:v>0</x:v>
      </x:c>
      <x:c r="T1112" s="8" t="n">
        <x:f>DATE(YEAR(C1112),MONTH(C1112),1)</x:f>
        <x:v>45778</x:v>
      </x:c>
    </x:row>
    <x:row r="1113" ht="22" customHeight="1">
      <x:c r="A1113" s="2" t="str">
        <x:v>L001109</x:v>
      </x:c>
      <x:c r="B1113" s="2" t="str">
        <x:v>O00448</x:v>
      </x:c>
      <x:c r="C1113" s="7" t="n">
        <x:v>45897</x:v>
      </x:c>
      <x:c r="D1113" s="2" t="str">
        <x:v>Completed</x:v>
      </x:c>
      <x:c r="E1113" s="2" t="str">
        <x:v>East</x:v>
      </x:c>
      <x:c r="F1113" s="2" t="str">
        <x:v>Store</x:v>
      </x:c>
      <x:c r="G1113" s="2" t="str">
        <x:v>Lighting</x:v>
      </x:c>
      <x:c r="H1113" s="2" t="str">
        <x:v>Lamp 009</x:v>
      </x:c>
      <x:c r="I1113" s="11" t="n">
        <x:v>3</x:v>
      </x:c>
      <x:c r="J1113" s="9" t="n">
        <x:v>93</x:v>
      </x:c>
      <x:c r="K1113" s="10" t="n">
        <x:v>0.1</x:v>
      </x:c>
      <x:c r="L1113" s="11" t="n">
        <x:v>0</x:v>
      </x:c>
      <x:c r="M1113" s="9" t="n">
        <x:f>IF(D1113="Completed",I1113*J1113,0)</x:f>
        <x:v>279</x:v>
      </x:c>
      <x:c r="N1113" s="9" t="n">
        <x:f>M1113*K1113</x:f>
        <x:v>27.900000000000002</x:v>
      </x:c>
      <x:c r="O1113" s="9" t="n">
        <x:f>M1113-N1113</x:f>
        <x:v>251.1</x:v>
      </x:c>
      <x:c r="P1113" s="9" t="n">
        <x:f>IF(D1113="Completed",L1113*J1113*(1-K1113),0)</x:f>
        <x:v>0</x:v>
      </x:c>
      <x:c r="Q1113" s="9" t="n">
        <x:f>O1113-P1113</x:f>
        <x:v>251.1</x:v>
      </x:c>
      <x:c r="R1113" s="11" t="n">
        <x:f>IF(D1113="Completed",I1113,0)</x:f>
        <x:v>3</x:v>
      </x:c>
      <x:c r="S1113" s="11" t="n">
        <x:f>IF(D1113="Completed",L1113,0)</x:f>
        <x:v>0</x:v>
      </x:c>
      <x:c r="T1113" s="8" t="n">
        <x:f>DATE(YEAR(C1113),MONTH(C1113),1)</x:f>
        <x:v>45870</x:v>
      </x:c>
    </x:row>
    <x:row r="1114" ht="22" customHeight="1">
      <x:c r="A1114" s="2" t="str">
        <x:v>L001110</x:v>
      </x:c>
      <x:c r="B1114" s="2" t="str">
        <x:v>O00448</x:v>
      </x:c>
      <x:c r="C1114" s="7" t="n">
        <x:v>45897</x:v>
      </x:c>
      <x:c r="D1114" s="2" t="str">
        <x:v>Completed</x:v>
      </x:c>
      <x:c r="E1114" s="2" t="str">
        <x:v>East</x:v>
      </x:c>
      <x:c r="F1114" s="2" t="str">
        <x:v>Store</x:v>
      </x:c>
      <x:c r="G1114" s="2" t="str">
        <x:v>Storage</x:v>
      </x:c>
      <x:c r="H1114" s="2" t="str">
        <x:v>Shelf 003</x:v>
      </x:c>
      <x:c r="I1114" s="11" t="n">
        <x:v>5</x:v>
      </x:c>
      <x:c r="J1114" s="9" t="n">
        <x:v>199</x:v>
      </x:c>
      <x:c r="K1114" s="10" t="n">
        <x:v>0.2</x:v>
      </x:c>
      <x:c r="L1114" s="11" t="n">
        <x:v>0</x:v>
      </x:c>
      <x:c r="M1114" s="9" t="n">
        <x:f>IF(D1114="Completed",I1114*J1114,0)</x:f>
        <x:v>995</x:v>
      </x:c>
      <x:c r="N1114" s="9" t="n">
        <x:f>M1114*K1114</x:f>
        <x:v>199</x:v>
      </x:c>
      <x:c r="O1114" s="9" t="n">
        <x:f>M1114-N1114</x:f>
        <x:v>796</x:v>
      </x:c>
      <x:c r="P1114" s="9" t="n">
        <x:f>IF(D1114="Completed",L1114*J1114*(1-K1114),0)</x:f>
        <x:v>0</x:v>
      </x:c>
      <x:c r="Q1114" s="9" t="n">
        <x:f>O1114-P1114</x:f>
        <x:v>796</x:v>
      </x:c>
      <x:c r="R1114" s="11" t="n">
        <x:f>IF(D1114="Completed",I1114,0)</x:f>
        <x:v>5</x:v>
      </x:c>
      <x:c r="S1114" s="11" t="n">
        <x:f>IF(D1114="Completed",L1114,0)</x:f>
        <x:v>0</x:v>
      </x:c>
      <x:c r="T1114" s="8" t="n">
        <x:f>DATE(YEAR(C1114),MONTH(C1114),1)</x:f>
        <x:v>45870</x:v>
      </x:c>
    </x:row>
    <x:row r="1115" ht="22" customHeight="1">
      <x:c r="A1115" s="2" t="str">
        <x:v>L001111</x:v>
      </x:c>
      <x:c r="B1115" s="2" t="str">
        <x:v>O00449</x:v>
      </x:c>
      <x:c r="C1115" s="7" t="n">
        <x:v>46003</x:v>
      </x:c>
      <x:c r="D1115" s="2" t="str">
        <x:v>Completed</x:v>
      </x:c>
      <x:c r="E1115" s="2" t="str">
        <x:v>South</x:v>
      </x:c>
      <x:c r="F1115" s="2" t="str">
        <x:v>Online</x:v>
      </x:c>
      <x:c r="G1115" s="2" t="str">
        <x:v>Lighting</x:v>
      </x:c>
      <x:c r="H1115" s="2" t="str">
        <x:v>Lamp 005</x:v>
      </x:c>
      <x:c r="I1115" s="11" t="n">
        <x:v>2</x:v>
      </x:c>
      <x:c r="J1115" s="9" t="n">
        <x:v>65</x:v>
      </x:c>
      <x:c r="K1115" s="10" t="n">
        <x:v>0.2</x:v>
      </x:c>
      <x:c r="L1115" s="11" t="n">
        <x:v>0</x:v>
      </x:c>
      <x:c r="M1115" s="9" t="n">
        <x:f>IF(D1115="Completed",I1115*J1115,0)</x:f>
        <x:v>130</x:v>
      </x:c>
      <x:c r="N1115" s="9" t="n">
        <x:f>M1115*K1115</x:f>
        <x:v>26</x:v>
      </x:c>
      <x:c r="O1115" s="9" t="n">
        <x:f>M1115-N1115</x:f>
        <x:v>104</x:v>
      </x:c>
      <x:c r="P1115" s="9" t="n">
        <x:f>IF(D1115="Completed",L1115*J1115*(1-K1115),0)</x:f>
        <x:v>0</x:v>
      </x:c>
      <x:c r="Q1115" s="9" t="n">
        <x:f>O1115-P1115</x:f>
        <x:v>104</x:v>
      </x:c>
      <x:c r="R1115" s="11" t="n">
        <x:f>IF(D1115="Completed",I1115,0)</x:f>
        <x:v>2</x:v>
      </x:c>
      <x:c r="S1115" s="11" t="n">
        <x:f>IF(D1115="Completed",L1115,0)</x:f>
        <x:v>0</x:v>
      </x:c>
      <x:c r="T1115" s="8" t="n">
        <x:f>DATE(YEAR(C1115),MONTH(C1115),1)</x:f>
        <x:v>45992</x:v>
      </x:c>
    </x:row>
    <x:row r="1116" ht="22" customHeight="1">
      <x:c r="A1116" s="2" t="str">
        <x:v>L001112</x:v>
      </x:c>
      <x:c r="B1116" s="2" t="str">
        <x:v>O00449</x:v>
      </x:c>
      <x:c r="C1116" s="7" t="n">
        <x:v>46003</x:v>
      </x:c>
      <x:c r="D1116" s="2" t="str">
        <x:v>Completed</x:v>
      </x:c>
      <x:c r="E1116" s="2" t="str">
        <x:v>South</x:v>
      </x:c>
      <x:c r="F1116" s="2" t="str">
        <x:v>Online</x:v>
      </x:c>
      <x:c r="G1116" s="2" t="str">
        <x:v>Furniture</x:v>
      </x:c>
      <x:c r="H1116" s="2" t="str">
        <x:v>Desk 008</x:v>
      </x:c>
      <x:c r="I1116" s="11" t="n">
        <x:v>3</x:v>
      </x:c>
      <x:c r="J1116" s="9" t="n">
        <x:v>188</x:v>
      </x:c>
      <x:c r="K1116" s="10" t="n">
        <x:v>0.05</x:v>
      </x:c>
      <x:c r="L1116" s="11" t="n">
        <x:v>0</x:v>
      </x:c>
      <x:c r="M1116" s="9" t="n">
        <x:f>IF(D1116="Completed",I1116*J1116,0)</x:f>
        <x:v>564</x:v>
      </x:c>
      <x:c r="N1116" s="9" t="n">
        <x:f>M1116*K1116</x:f>
        <x:v>28.200000000000003</x:v>
      </x:c>
      <x:c r="O1116" s="9" t="n">
        <x:f>M1116-N1116</x:f>
        <x:v>535.8</x:v>
      </x:c>
      <x:c r="P1116" s="9" t="n">
        <x:f>IF(D1116="Completed",L1116*J1116*(1-K1116),0)</x:f>
        <x:v>0</x:v>
      </x:c>
      <x:c r="Q1116" s="9" t="n">
        <x:f>O1116-P1116</x:f>
        <x:v>535.8</x:v>
      </x:c>
      <x:c r="R1116" s="11" t="n">
        <x:f>IF(D1116="Completed",I1116,0)</x:f>
        <x:v>3</x:v>
      </x:c>
      <x:c r="S1116" s="11" t="n">
        <x:f>IF(D1116="Completed",L1116,0)</x:f>
        <x:v>0</x:v>
      </x:c>
      <x:c r="T1116" s="8" t="n">
        <x:f>DATE(YEAR(C1116),MONTH(C1116),1)</x:f>
        <x:v>45992</x:v>
      </x:c>
    </x:row>
    <x:row r="1117" ht="22" customHeight="1">
      <x:c r="A1117" s="2" t="str">
        <x:v>L001113</x:v>
      </x:c>
      <x:c r="B1117" s="2" t="str">
        <x:v>O00450</x:v>
      </x:c>
      <x:c r="C1117" s="7" t="n">
        <x:v>46008</x:v>
      </x:c>
      <x:c r="D1117" s="2" t="str">
        <x:v>Completed</x:v>
      </x:c>
      <x:c r="E1117" s="2" t="str">
        <x:v>North</x:v>
      </x:c>
      <x:c r="F1117" s="2" t="str">
        <x:v>Online</x:v>
      </x:c>
      <x:c r="G1117" s="2" t="str">
        <x:v>Storage</x:v>
      </x:c>
      <x:c r="H1117" s="2" t="str">
        <x:v>Shelf 011</x:v>
      </x:c>
      <x:c r="I1117" s="11" t="n">
        <x:v>2</x:v>
      </x:c>
      <x:c r="J1117" s="9" t="n">
        <x:v>80</x:v>
      </x:c>
      <x:c r="K1117" s="10" t="n">
        <x:v>0</x:v>
      </x:c>
      <x:c r="L1117" s="11" t="n">
        <x:v>0</x:v>
      </x:c>
      <x:c r="M1117" s="9" t="n">
        <x:f>IF(D1117="Completed",I1117*J1117,0)</x:f>
        <x:v>160</x:v>
      </x:c>
      <x:c r="N1117" s="9" t="n">
        <x:f>M1117*K1117</x:f>
        <x:v>0</x:v>
      </x:c>
      <x:c r="O1117" s="9" t="n">
        <x:f>M1117-N1117</x:f>
        <x:v>160</x:v>
      </x:c>
      <x:c r="P1117" s="9" t="n">
        <x:f>IF(D1117="Completed",L1117*J1117*(1-K1117),0)</x:f>
        <x:v>0</x:v>
      </x:c>
      <x:c r="Q1117" s="9" t="n">
        <x:f>O1117-P1117</x:f>
        <x:v>160</x:v>
      </x:c>
      <x:c r="R1117" s="11" t="n">
        <x:f>IF(D1117="Completed",I1117,0)</x:f>
        <x:v>2</x:v>
      </x:c>
      <x:c r="S1117" s="11" t="n">
        <x:f>IF(D1117="Completed",L1117,0)</x:f>
        <x:v>0</x:v>
      </x:c>
      <x:c r="T1117" s="8" t="n">
        <x:f>DATE(YEAR(C1117),MONTH(C1117),1)</x:f>
        <x:v>45992</x:v>
      </x:c>
    </x:row>
    <x:row r="1118" ht="22" customHeight="1">
      <x:c r="A1118" s="2" t="str">
        <x:v>L001114</x:v>
      </x:c>
      <x:c r="B1118" s="2" t="str">
        <x:v>O00450</x:v>
      </x:c>
      <x:c r="C1118" s="7" t="n">
        <x:v>46008</x:v>
      </x:c>
      <x:c r="D1118" s="2" t="str">
        <x:v>Completed</x:v>
      </x:c>
      <x:c r="E1118" s="2" t="str">
        <x:v>North</x:v>
      </x:c>
      <x:c r="F1118" s="2" t="str">
        <x:v>Online</x:v>
      </x:c>
      <x:c r="G1118" s="2" t="str">
        <x:v>Storage</x:v>
      </x:c>
      <x:c r="H1118" s="2" t="str">
        <x:v>Shelf 003</x:v>
      </x:c>
      <x:c r="I1118" s="11" t="n">
        <x:v>3</x:v>
      </x:c>
      <x:c r="J1118" s="9" t="n">
        <x:v>199</x:v>
      </x:c>
      <x:c r="K1118" s="10" t="n">
        <x:v>0.1</x:v>
      </x:c>
      <x:c r="L1118" s="11" t="n">
        <x:v>0</x:v>
      </x:c>
      <x:c r="M1118" s="9" t="n">
        <x:f>IF(D1118="Completed",I1118*J1118,0)</x:f>
        <x:v>597</x:v>
      </x:c>
      <x:c r="N1118" s="9" t="n">
        <x:f>M1118*K1118</x:f>
        <x:v>59.7</x:v>
      </x:c>
      <x:c r="O1118" s="9" t="n">
        <x:f>M1118-N1118</x:f>
        <x:v>537.3</x:v>
      </x:c>
      <x:c r="P1118" s="9" t="n">
        <x:f>IF(D1118="Completed",L1118*J1118*(1-K1118),0)</x:f>
        <x:v>0</x:v>
      </x:c>
      <x:c r="Q1118" s="9" t="n">
        <x:f>O1118-P1118</x:f>
        <x:v>537.3</x:v>
      </x:c>
      <x:c r="R1118" s="11" t="n">
        <x:f>IF(D1118="Completed",I1118,0)</x:f>
        <x:v>3</x:v>
      </x:c>
      <x:c r="S1118" s="11" t="n">
        <x:f>IF(D1118="Completed",L1118,0)</x:f>
        <x:v>0</x:v>
      </x:c>
      <x:c r="T1118" s="8" t="n">
        <x:f>DATE(YEAR(C1118),MONTH(C1118),1)</x:f>
        <x:v>45992</x:v>
      </x:c>
    </x:row>
    <x:row r="1119" ht="22" customHeight="1">
      <x:c r="A1119" s="2" t="str">
        <x:v>L001115</x:v>
      </x:c>
      <x:c r="B1119" s="2" t="str">
        <x:v>O00450</x:v>
      </x:c>
      <x:c r="C1119" s="7" t="n">
        <x:v>46008</x:v>
      </x:c>
      <x:c r="D1119" s="2" t="str">
        <x:v>Completed</x:v>
      </x:c>
      <x:c r="E1119" s="2" t="str">
        <x:v>North</x:v>
      </x:c>
      <x:c r="F1119" s="2" t="str">
        <x:v>Online</x:v>
      </x:c>
      <x:c r="G1119" s="2" t="str">
        <x:v>Furniture</x:v>
      </x:c>
      <x:c r="H1119" s="2" t="str">
        <x:v>Chair 018</x:v>
      </x:c>
      <x:c r="I1119" s="11" t="n">
        <x:v>3</x:v>
      </x:c>
      <x:c r="J1119" s="9" t="n">
        <x:v>269</x:v>
      </x:c>
      <x:c r="K1119" s="10" t="n">
        <x:v>0</x:v>
      </x:c>
      <x:c r="L1119" s="11" t="n">
        <x:v>0</x:v>
      </x:c>
      <x:c r="M1119" s="9" t="n">
        <x:f>IF(D1119="Completed",I1119*J1119,0)</x:f>
        <x:v>807</x:v>
      </x:c>
      <x:c r="N1119" s="9" t="n">
        <x:f>M1119*K1119</x:f>
        <x:v>0</x:v>
      </x:c>
      <x:c r="O1119" s="9" t="n">
        <x:f>M1119-N1119</x:f>
        <x:v>807</x:v>
      </x:c>
      <x:c r="P1119" s="9" t="n">
        <x:f>IF(D1119="Completed",L1119*J1119*(1-K1119),0)</x:f>
        <x:v>0</x:v>
      </x:c>
      <x:c r="Q1119" s="9" t="n">
        <x:f>O1119-P1119</x:f>
        <x:v>807</x:v>
      </x:c>
      <x:c r="R1119" s="11" t="n">
        <x:f>IF(D1119="Completed",I1119,0)</x:f>
        <x:v>3</x:v>
      </x:c>
      <x:c r="S1119" s="11" t="n">
        <x:f>IF(D1119="Completed",L1119,0)</x:f>
        <x:v>0</x:v>
      </x:c>
      <x:c r="T1119" s="8" t="n">
        <x:f>DATE(YEAR(C1119),MONTH(C1119),1)</x:f>
        <x:v>45992</x:v>
      </x:c>
    </x:row>
    <x:row r="1120" ht="22" customHeight="1">
      <x:c r="A1120" s="2" t="str">
        <x:v>L001116</x:v>
      </x:c>
      <x:c r="B1120" s="2" t="str">
        <x:v>O00450</x:v>
      </x:c>
      <x:c r="C1120" s="7" t="n">
        <x:v>46008</x:v>
      </x:c>
      <x:c r="D1120" s="2" t="str">
        <x:v>Completed</x:v>
      </x:c>
      <x:c r="E1120" s="2" t="str">
        <x:v>North</x:v>
      </x:c>
      <x:c r="F1120" s="2" t="str">
        <x:v>Online</x:v>
      </x:c>
      <x:c r="G1120" s="2" t="str">
        <x:v>Lighting</x:v>
      </x:c>
      <x:c r="H1120" s="2" t="str">
        <x:v>Lamp 021</x:v>
      </x:c>
      <x:c r="I1120" s="11" t="n">
        <x:v>3</x:v>
      </x:c>
      <x:c r="J1120" s="9" t="n">
        <x:v>249</x:v>
      </x:c>
      <x:c r="K1120" s="10" t="n">
        <x:v>0</x:v>
      </x:c>
      <x:c r="L1120" s="11" t="n">
        <x:v>0</x:v>
      </x:c>
      <x:c r="M1120" s="9" t="n">
        <x:f>IF(D1120="Completed",I1120*J1120,0)</x:f>
        <x:v>747</x:v>
      </x:c>
      <x:c r="N1120" s="9" t="n">
        <x:f>M1120*K1120</x:f>
        <x:v>0</x:v>
      </x:c>
      <x:c r="O1120" s="9" t="n">
        <x:f>M1120-N1120</x:f>
        <x:v>747</x:v>
      </x:c>
      <x:c r="P1120" s="9" t="n">
        <x:f>IF(D1120="Completed",L1120*J1120*(1-K1120),0)</x:f>
        <x:v>0</x:v>
      </x:c>
      <x:c r="Q1120" s="9" t="n">
        <x:f>O1120-P1120</x:f>
        <x:v>747</x:v>
      </x:c>
      <x:c r="R1120" s="11" t="n">
        <x:f>IF(D1120="Completed",I1120,0)</x:f>
        <x:v>3</x:v>
      </x:c>
      <x:c r="S1120" s="11" t="n">
        <x:f>IF(D1120="Completed",L1120,0)</x:f>
        <x:v>0</x:v>
      </x:c>
      <x:c r="T1120" s="8" t="n">
        <x:f>DATE(YEAR(C1120),MONTH(C1120),1)</x:f>
        <x:v>45992</x:v>
      </x:c>
    </x:row>
    <x:row r="1121" ht="22" customHeight="1">
      <x:c r="A1121" s="2" t="str">
        <x:v>L001117</x:v>
      </x:c>
      <x:c r="B1121" s="2" t="str">
        <x:v>O00451</x:v>
      </x:c>
      <x:c r="C1121" s="7" t="n">
        <x:v>45871</x:v>
      </x:c>
      <x:c r="D1121" s="2" t="str">
        <x:v>Completed</x:v>
      </x:c>
      <x:c r="E1121" s="2" t="str">
        <x:v>East</x:v>
      </x:c>
      <x:c r="F1121" s="2" t="str">
        <x:v>Store</x:v>
      </x:c>
      <x:c r="G1121" s="2" t="str">
        <x:v>Furniture</x:v>
      </x:c>
      <x:c r="H1121" s="2" t="str">
        <x:v>Desk 012</x:v>
      </x:c>
      <x:c r="I1121" s="11" t="n">
        <x:v>3</x:v>
      </x:c>
      <x:c r="J1121" s="9" t="n">
        <x:v>134</x:v>
      </x:c>
      <x:c r="K1121" s="10" t="n">
        <x:v>0.2</x:v>
      </x:c>
      <x:c r="L1121" s="11" t="n">
        <x:v>0</x:v>
      </x:c>
      <x:c r="M1121" s="9" t="n">
        <x:f>IF(D1121="Completed",I1121*J1121,0)</x:f>
        <x:v>402</x:v>
      </x:c>
      <x:c r="N1121" s="9" t="n">
        <x:f>M1121*K1121</x:f>
        <x:v>80.4</x:v>
      </x:c>
      <x:c r="O1121" s="9" t="n">
        <x:f>M1121-N1121</x:f>
        <x:v>321.6</x:v>
      </x:c>
      <x:c r="P1121" s="9" t="n">
        <x:f>IF(D1121="Completed",L1121*J1121*(1-K1121),0)</x:f>
        <x:v>0</x:v>
      </x:c>
      <x:c r="Q1121" s="9" t="n">
        <x:f>O1121-P1121</x:f>
        <x:v>321.6</x:v>
      </x:c>
      <x:c r="R1121" s="11" t="n">
        <x:f>IF(D1121="Completed",I1121,0)</x:f>
        <x:v>3</x:v>
      </x:c>
      <x:c r="S1121" s="11" t="n">
        <x:f>IF(D1121="Completed",L1121,0)</x:f>
        <x:v>0</x:v>
      </x:c>
      <x:c r="T1121" s="8" t="n">
        <x:f>DATE(YEAR(C1121),MONTH(C1121),1)</x:f>
        <x:v>45870</x:v>
      </x:c>
    </x:row>
    <x:row r="1122" ht="22" customHeight="1">
      <x:c r="A1122" s="2" t="str">
        <x:v>L001118</x:v>
      </x:c>
      <x:c r="B1122" s="2" t="str">
        <x:v>O00451</x:v>
      </x:c>
      <x:c r="C1122" s="7" t="n">
        <x:v>45871</x:v>
      </x:c>
      <x:c r="D1122" s="2" t="str">
        <x:v>Completed</x:v>
      </x:c>
      <x:c r="E1122" s="2" t="str">
        <x:v>East</x:v>
      </x:c>
      <x:c r="F1122" s="2" t="str">
        <x:v>Store</x:v>
      </x:c>
      <x:c r="G1122" s="2" t="str">
        <x:v>Furniture</x:v>
      </x:c>
      <x:c r="H1122" s="2" t="str">
        <x:v>Desk 020</x:v>
      </x:c>
      <x:c r="I1122" s="11" t="n">
        <x:v>3</x:v>
      </x:c>
      <x:c r="J1122" s="9" t="n">
        <x:v>189</x:v>
      </x:c>
      <x:c r="K1122" s="10" t="n">
        <x:v>0.1</x:v>
      </x:c>
      <x:c r="L1122" s="11" t="n">
        <x:v>0</x:v>
      </x:c>
      <x:c r="M1122" s="9" t="n">
        <x:f>IF(D1122="Completed",I1122*J1122,0)</x:f>
        <x:v>567</x:v>
      </x:c>
      <x:c r="N1122" s="9" t="n">
        <x:f>M1122*K1122</x:f>
        <x:v>56.7</x:v>
      </x:c>
      <x:c r="O1122" s="9" t="n">
        <x:f>M1122-N1122</x:f>
        <x:v>510.3</x:v>
      </x:c>
      <x:c r="P1122" s="9" t="n">
        <x:f>IF(D1122="Completed",L1122*J1122*(1-K1122),0)</x:f>
        <x:v>0</x:v>
      </x:c>
      <x:c r="Q1122" s="9" t="n">
        <x:f>O1122-P1122</x:f>
        <x:v>510.3</x:v>
      </x:c>
      <x:c r="R1122" s="11" t="n">
        <x:f>IF(D1122="Completed",I1122,0)</x:f>
        <x:v>3</x:v>
      </x:c>
      <x:c r="S1122" s="11" t="n">
        <x:f>IF(D1122="Completed",L1122,0)</x:f>
        <x:v>0</x:v>
      </x:c>
      <x:c r="T1122" s="8" t="n">
        <x:f>DATE(YEAR(C1122),MONTH(C1122),1)</x:f>
        <x:v>45870</x:v>
      </x:c>
    </x:row>
    <x:row r="1123" ht="22" customHeight="1">
      <x:c r="A1123" s="2" t="str">
        <x:v>L001119</x:v>
      </x:c>
      <x:c r="B1123" s="2" t="str">
        <x:v>O00451</x:v>
      </x:c>
      <x:c r="C1123" s="7" t="n">
        <x:v>45871</x:v>
      </x:c>
      <x:c r="D1123" s="2" t="str">
        <x:v>Completed</x:v>
      </x:c>
      <x:c r="E1123" s="2" t="str">
        <x:v>East</x:v>
      </x:c>
      <x:c r="F1123" s="2" t="str">
        <x:v>Store</x:v>
      </x:c>
      <x:c r="G1123" s="2" t="str">
        <x:v>Storage</x:v>
      </x:c>
      <x:c r="H1123" s="2" t="str">
        <x:v>Shelf 011</x:v>
      </x:c>
      <x:c r="I1123" s="11" t="n">
        <x:v>1</x:v>
      </x:c>
      <x:c r="J1123" s="9" t="n">
        <x:v>80</x:v>
      </x:c>
      <x:c r="K1123" s="10" t="n">
        <x:v>0</x:v>
      </x:c>
      <x:c r="L1123" s="11" t="n">
        <x:v>0</x:v>
      </x:c>
      <x:c r="M1123" s="9" t="n">
        <x:f>IF(D1123="Completed",I1123*J1123,0)</x:f>
        <x:v>80</x:v>
      </x:c>
      <x:c r="N1123" s="9" t="n">
        <x:f>M1123*K1123</x:f>
        <x:v>0</x:v>
      </x:c>
      <x:c r="O1123" s="9" t="n">
        <x:f>M1123-N1123</x:f>
        <x:v>80</x:v>
      </x:c>
      <x:c r="P1123" s="9" t="n">
        <x:f>IF(D1123="Completed",L1123*J1123*(1-K1123),0)</x:f>
        <x:v>0</x:v>
      </x:c>
      <x:c r="Q1123" s="9" t="n">
        <x:f>O1123-P1123</x:f>
        <x:v>80</x:v>
      </x:c>
      <x:c r="R1123" s="11" t="n">
        <x:f>IF(D1123="Completed",I1123,0)</x:f>
        <x:v>1</x:v>
      </x:c>
      <x:c r="S1123" s="11" t="n">
        <x:f>IF(D1123="Completed",L1123,0)</x:f>
        <x:v>0</x:v>
      </x:c>
      <x:c r="T1123" s="8" t="n">
        <x:f>DATE(YEAR(C1123),MONTH(C1123),1)</x:f>
        <x:v>45870</x:v>
      </x:c>
    </x:row>
    <x:row r="1124" ht="22" customHeight="1">
      <x:c r="A1124" s="2" t="str">
        <x:v>L001120</x:v>
      </x:c>
      <x:c r="B1124" s="2" t="str">
        <x:v>O00452</x:v>
      </x:c>
      <x:c r="C1124" s="7" t="n">
        <x:v>45664</x:v>
      </x:c>
      <x:c r="D1124" s="2" t="str">
        <x:v>Completed</x:v>
      </x:c>
      <x:c r="E1124" s="2" t="str">
        <x:v>North</x:v>
      </x:c>
      <x:c r="F1124" s="2" t="str">
        <x:v>Online</x:v>
      </x:c>
      <x:c r="G1124" s="2" t="str">
        <x:v>Furniture</x:v>
      </x:c>
      <x:c r="H1124" s="2" t="str">
        <x:v>Chair 018</x:v>
      </x:c>
      <x:c r="I1124" s="11" t="n">
        <x:v>4</x:v>
      </x:c>
      <x:c r="J1124" s="9" t="n">
        <x:v>269</x:v>
      </x:c>
      <x:c r="K1124" s="10" t="n">
        <x:v>0.05</x:v>
      </x:c>
      <x:c r="L1124" s="11" t="n">
        <x:v>0</x:v>
      </x:c>
      <x:c r="M1124" s="9" t="n">
        <x:f>IF(D1124="Completed",I1124*J1124,0)</x:f>
        <x:v>1076</x:v>
      </x:c>
      <x:c r="N1124" s="9" t="n">
        <x:f>M1124*K1124</x:f>
        <x:v>53.800000000000004</x:v>
      </x:c>
      <x:c r="O1124" s="9" t="n">
        <x:f>M1124-N1124</x:f>
        <x:v>1022.2</x:v>
      </x:c>
      <x:c r="P1124" s="9" t="n">
        <x:f>IF(D1124="Completed",L1124*J1124*(1-K1124),0)</x:f>
        <x:v>0</x:v>
      </x:c>
      <x:c r="Q1124" s="9" t="n">
        <x:f>O1124-P1124</x:f>
        <x:v>1022.2</x:v>
      </x:c>
      <x:c r="R1124" s="11" t="n">
        <x:f>IF(D1124="Completed",I1124,0)</x:f>
        <x:v>4</x:v>
      </x:c>
      <x:c r="S1124" s="11" t="n">
        <x:f>IF(D1124="Completed",L1124,0)</x:f>
        <x:v>0</x:v>
      </x:c>
      <x:c r="T1124" s="8" t="n">
        <x:f>DATE(YEAR(C1124),MONTH(C1124),1)</x:f>
        <x:v>45658</x:v>
      </x:c>
    </x:row>
    <x:row r="1125" ht="22" customHeight="1">
      <x:c r="A1125" s="2" t="str">
        <x:v>L001121</x:v>
      </x:c>
      <x:c r="B1125" s="2" t="str">
        <x:v>O00453</x:v>
      </x:c>
      <x:c r="C1125" s="7" t="n">
        <x:v>45674</x:v>
      </x:c>
      <x:c r="D1125" s="2" t="str">
        <x:v>Cancelled</x:v>
      </x:c>
      <x:c r="E1125" s="2" t="str">
        <x:v>South</x:v>
      </x:c>
      <x:c r="F1125" s="2" t="str">
        <x:v>Online</x:v>
      </x:c>
      <x:c r="G1125" s="2" t="str">
        <x:v>Storage</x:v>
      </x:c>
      <x:c r="H1125" s="2" t="str">
        <x:v>Shelf 019</x:v>
      </x:c>
      <x:c r="I1125" s="11" t="n">
        <x:v>5</x:v>
      </x:c>
      <x:c r="J1125" s="9" t="n">
        <x:v>78</x:v>
      </x:c>
      <x:c r="K1125" s="10" t="n">
        <x:v>0.1</x:v>
      </x:c>
      <x:c r="L1125" s="11" t="n">
        <x:v>0</x:v>
      </x:c>
      <x:c r="M1125" s="9" t="n">
        <x:f>IF(D1125="Completed",I1125*J1125,0)</x:f>
        <x:v>0</x:v>
      </x:c>
      <x:c r="N1125" s="9" t="n">
        <x:f>M1125*K1125</x:f>
        <x:v>0</x:v>
      </x:c>
      <x:c r="O1125" s="9" t="n">
        <x:f>M1125-N1125</x:f>
        <x:v>0</x:v>
      </x:c>
      <x:c r="P1125" s="9" t="n">
        <x:f>IF(D1125="Completed",L1125*J1125*(1-K1125),0)</x:f>
        <x:v>0</x:v>
      </x:c>
      <x:c r="Q1125" s="9" t="n">
        <x:f>O1125-P1125</x:f>
        <x:v>0</x:v>
      </x:c>
      <x:c r="R1125" s="11" t="n">
        <x:f>IF(D1125="Completed",I1125,0)</x:f>
        <x:v>0</x:v>
      </x:c>
      <x:c r="S1125" s="11" t="n">
        <x:f>IF(D1125="Completed",L1125,0)</x:f>
        <x:v>0</x:v>
      </x:c>
      <x:c r="T1125" s="8" t="n">
        <x:f>DATE(YEAR(C1125),MONTH(C1125),1)</x:f>
        <x:v>45658</x:v>
      </x:c>
    </x:row>
    <x:row r="1126" ht="22" customHeight="1">
      <x:c r="A1126" s="2" t="str">
        <x:v>L001122</x:v>
      </x:c>
      <x:c r="B1126" s="2" t="str">
        <x:v>O00454</x:v>
      </x:c>
      <x:c r="C1126" s="7" t="n">
        <x:v>45840</x:v>
      </x:c>
      <x:c r="D1126" s="2" t="str">
        <x:v>Completed</x:v>
      </x:c>
      <x:c r="E1126" s="2" t="str">
        <x:v>West</x:v>
      </x:c>
      <x:c r="F1126" s="2" t="str">
        <x:v>Store</x:v>
      </x:c>
      <x:c r="G1126" s="2" t="str">
        <x:v>Furniture</x:v>
      </x:c>
      <x:c r="H1126" s="2" t="str">
        <x:v>Chair 022</x:v>
      </x:c>
      <x:c r="I1126" s="11" t="n">
        <x:v>1</x:v>
      </x:c>
      <x:c r="J1126" s="9" t="n">
        <x:v>134</x:v>
      </x:c>
      <x:c r="K1126" s="10" t="n">
        <x:v>0.1</x:v>
      </x:c>
      <x:c r="L1126" s="11" t="n">
        <x:v>0</x:v>
      </x:c>
      <x:c r="M1126" s="9" t="n">
        <x:f>IF(D1126="Completed",I1126*J1126,0)</x:f>
        <x:v>134</x:v>
      </x:c>
      <x:c r="N1126" s="9" t="n">
        <x:f>M1126*K1126</x:f>
        <x:v>13.4</x:v>
      </x:c>
      <x:c r="O1126" s="9" t="n">
        <x:f>M1126-N1126</x:f>
        <x:v>120.6</x:v>
      </x:c>
      <x:c r="P1126" s="9" t="n">
        <x:f>IF(D1126="Completed",L1126*J1126*(1-K1126),0)</x:f>
        <x:v>0</x:v>
      </x:c>
      <x:c r="Q1126" s="9" t="n">
        <x:f>O1126-P1126</x:f>
        <x:v>120.6</x:v>
      </x:c>
      <x:c r="R1126" s="11" t="n">
        <x:f>IF(D1126="Completed",I1126,0)</x:f>
        <x:v>1</x:v>
      </x:c>
      <x:c r="S1126" s="11" t="n">
        <x:f>IF(D1126="Completed",L1126,0)</x:f>
        <x:v>0</x:v>
      </x:c>
      <x:c r="T1126" s="8" t="n">
        <x:f>DATE(YEAR(C1126),MONTH(C1126),1)</x:f>
        <x:v>45839</x:v>
      </x:c>
    </x:row>
    <x:row r="1127" ht="22" customHeight="1">
      <x:c r="A1127" s="2" t="str">
        <x:v>L001123</x:v>
      </x:c>
      <x:c r="B1127" s="2" t="str">
        <x:v>O00455</x:v>
      </x:c>
      <x:c r="C1127" s="7" t="n">
        <x:v>45979</x:v>
      </x:c>
      <x:c r="D1127" s="2" t="str">
        <x:v>Completed</x:v>
      </x:c>
      <x:c r="E1127" s="2" t="str">
        <x:v>South</x:v>
      </x:c>
      <x:c r="F1127" s="2" t="str">
        <x:v>Store</x:v>
      </x:c>
      <x:c r="G1127" s="2" t="str">
        <x:v>Furniture</x:v>
      </x:c>
      <x:c r="H1127" s="2" t="str">
        <x:v>Desk 012</x:v>
      </x:c>
      <x:c r="I1127" s="11" t="n">
        <x:v>2</x:v>
      </x:c>
      <x:c r="J1127" s="9" t="n">
        <x:v>134</x:v>
      </x:c>
      <x:c r="K1127" s="10" t="n">
        <x:v>0.05</x:v>
      </x:c>
      <x:c r="L1127" s="11" t="n">
        <x:v>0</x:v>
      </x:c>
      <x:c r="M1127" s="9" t="n">
        <x:f>IF(D1127="Completed",I1127*J1127,0)</x:f>
        <x:v>268</x:v>
      </x:c>
      <x:c r="N1127" s="9" t="n">
        <x:f>M1127*K1127</x:f>
        <x:v>13.4</x:v>
      </x:c>
      <x:c r="O1127" s="9" t="n">
        <x:f>M1127-N1127</x:f>
        <x:v>254.6</x:v>
      </x:c>
      <x:c r="P1127" s="9" t="n">
        <x:f>IF(D1127="Completed",L1127*J1127*(1-K1127),0)</x:f>
        <x:v>0</x:v>
      </x:c>
      <x:c r="Q1127" s="9" t="n">
        <x:f>O1127-P1127</x:f>
        <x:v>254.6</x:v>
      </x:c>
      <x:c r="R1127" s="11" t="n">
        <x:f>IF(D1127="Completed",I1127,0)</x:f>
        <x:v>2</x:v>
      </x:c>
      <x:c r="S1127" s="11" t="n">
        <x:f>IF(D1127="Completed",L1127,0)</x:f>
        <x:v>0</x:v>
      </x:c>
      <x:c r="T1127" s="8" t="n">
        <x:f>DATE(YEAR(C1127),MONTH(C1127),1)</x:f>
        <x:v>45962</x:v>
      </x:c>
    </x:row>
    <x:row r="1128" ht="22" customHeight="1">
      <x:c r="A1128" s="2" t="str">
        <x:v>L001124</x:v>
      </x:c>
      <x:c r="B1128" s="2" t="str">
        <x:v>O00455</x:v>
      </x:c>
      <x:c r="C1128" s="7" t="n">
        <x:v>45979</x:v>
      </x:c>
      <x:c r="D1128" s="2" t="str">
        <x:v>Completed</x:v>
      </x:c>
      <x:c r="E1128" s="2" t="str">
        <x:v>South</x:v>
      </x:c>
      <x:c r="F1128" s="2" t="str">
        <x:v>Store</x:v>
      </x:c>
      <x:c r="G1128" s="2" t="str">
        <x:v>Lighting</x:v>
      </x:c>
      <x:c r="H1128" s="2" t="str">
        <x:v>Lamp 013</x:v>
      </x:c>
      <x:c r="I1128" s="11" t="n">
        <x:v>5</x:v>
      </x:c>
      <x:c r="J1128" s="9" t="n">
        <x:v>271</x:v>
      </x:c>
      <x:c r="K1128" s="10" t="n">
        <x:v>0.2</x:v>
      </x:c>
      <x:c r="L1128" s="11" t="n">
        <x:v>0</x:v>
      </x:c>
      <x:c r="M1128" s="9" t="n">
        <x:f>IF(D1128="Completed",I1128*J1128,0)</x:f>
        <x:v>1355</x:v>
      </x:c>
      <x:c r="N1128" s="9" t="n">
        <x:f>M1128*K1128</x:f>
        <x:v>271</x:v>
      </x:c>
      <x:c r="O1128" s="9" t="n">
        <x:f>M1128-N1128</x:f>
        <x:v>1084</x:v>
      </x:c>
      <x:c r="P1128" s="9" t="n">
        <x:f>IF(D1128="Completed",L1128*J1128*(1-K1128),0)</x:f>
        <x:v>0</x:v>
      </x:c>
      <x:c r="Q1128" s="9" t="n">
        <x:f>O1128-P1128</x:f>
        <x:v>1084</x:v>
      </x:c>
      <x:c r="R1128" s="11" t="n">
        <x:f>IF(D1128="Completed",I1128,0)</x:f>
        <x:v>5</x:v>
      </x:c>
      <x:c r="S1128" s="11" t="n">
        <x:f>IF(D1128="Completed",L1128,0)</x:f>
        <x:v>0</x:v>
      </x:c>
      <x:c r="T1128" s="8" t="n">
        <x:f>DATE(YEAR(C1128),MONTH(C1128),1)</x:f>
        <x:v>45962</x:v>
      </x:c>
    </x:row>
    <x:row r="1129" ht="22" customHeight="1">
      <x:c r="A1129" s="2" t="str">
        <x:v>L001125</x:v>
      </x:c>
      <x:c r="B1129" s="2" t="str">
        <x:v>O00455</x:v>
      </x:c>
      <x:c r="C1129" s="7" t="n">
        <x:v>45979</x:v>
      </x:c>
      <x:c r="D1129" s="2" t="str">
        <x:v>Completed</x:v>
      </x:c>
      <x:c r="E1129" s="2" t="str">
        <x:v>South</x:v>
      </x:c>
      <x:c r="F1129" s="2" t="str">
        <x:v>Store</x:v>
      </x:c>
      <x:c r="G1129" s="2" t="str">
        <x:v>Lighting</x:v>
      </x:c>
      <x:c r="H1129" s="2" t="str">
        <x:v>Lamp 021</x:v>
      </x:c>
      <x:c r="I1129" s="11" t="n">
        <x:v>4</x:v>
      </x:c>
      <x:c r="J1129" s="9" t="n">
        <x:v>249</x:v>
      </x:c>
      <x:c r="K1129" s="10" t="n">
        <x:v>0.1</x:v>
      </x:c>
      <x:c r="L1129" s="11" t="n">
        <x:v>0</x:v>
      </x:c>
      <x:c r="M1129" s="9" t="n">
        <x:f>IF(D1129="Completed",I1129*J1129,0)</x:f>
        <x:v>996</x:v>
      </x:c>
      <x:c r="N1129" s="9" t="n">
        <x:f>M1129*K1129</x:f>
        <x:v>99.60000000000001</x:v>
      </x:c>
      <x:c r="O1129" s="9" t="n">
        <x:f>M1129-N1129</x:f>
        <x:v>896.4</x:v>
      </x:c>
      <x:c r="P1129" s="9" t="n">
        <x:f>IF(D1129="Completed",L1129*J1129*(1-K1129),0)</x:f>
        <x:v>0</x:v>
      </x:c>
      <x:c r="Q1129" s="9" t="n">
        <x:f>O1129-P1129</x:f>
        <x:v>896.4</x:v>
      </x:c>
      <x:c r="R1129" s="11" t="n">
        <x:f>IF(D1129="Completed",I1129,0)</x:f>
        <x:v>4</x:v>
      </x:c>
      <x:c r="S1129" s="11" t="n">
        <x:f>IF(D1129="Completed",L1129,0)</x:f>
        <x:v>0</x:v>
      </x:c>
      <x:c r="T1129" s="8" t="n">
        <x:f>DATE(YEAR(C1129),MONTH(C1129),1)</x:f>
        <x:v>45962</x:v>
      </x:c>
    </x:row>
    <x:row r="1130" ht="22" customHeight="1">
      <x:c r="A1130" s="2" t="str">
        <x:v>L001126</x:v>
      </x:c>
      <x:c r="B1130" s="2" t="str">
        <x:v>O00455</x:v>
      </x:c>
      <x:c r="C1130" s="7" t="n">
        <x:v>45979</x:v>
      </x:c>
      <x:c r="D1130" s="2" t="str">
        <x:v>Completed</x:v>
      </x:c>
      <x:c r="E1130" s="2" t="str">
        <x:v>South</x:v>
      </x:c>
      <x:c r="F1130" s="2" t="str">
        <x:v>Store</x:v>
      </x:c>
      <x:c r="G1130" s="2" t="str">
        <x:v>Lighting</x:v>
      </x:c>
      <x:c r="H1130" s="2" t="str">
        <x:v>Lamp 017</x:v>
      </x:c>
      <x:c r="I1130" s="11" t="n">
        <x:v>5</x:v>
      </x:c>
      <x:c r="J1130" s="9" t="n">
        <x:v>300</x:v>
      </x:c>
      <x:c r="K1130" s="10" t="n">
        <x:v>0.2</x:v>
      </x:c>
      <x:c r="L1130" s="11" t="n">
        <x:v>0</x:v>
      </x:c>
      <x:c r="M1130" s="9" t="n">
        <x:f>IF(D1130="Completed",I1130*J1130,0)</x:f>
        <x:v>1500</x:v>
      </x:c>
      <x:c r="N1130" s="9" t="n">
        <x:f>M1130*K1130</x:f>
        <x:v>300</x:v>
      </x:c>
      <x:c r="O1130" s="9" t="n">
        <x:f>M1130-N1130</x:f>
        <x:v>1200</x:v>
      </x:c>
      <x:c r="P1130" s="9" t="n">
        <x:f>IF(D1130="Completed",L1130*J1130*(1-K1130),0)</x:f>
        <x:v>0</x:v>
      </x:c>
      <x:c r="Q1130" s="9" t="n">
        <x:f>O1130-P1130</x:f>
        <x:v>1200</x:v>
      </x:c>
      <x:c r="R1130" s="11" t="n">
        <x:f>IF(D1130="Completed",I1130,0)</x:f>
        <x:v>5</x:v>
      </x:c>
      <x:c r="S1130" s="11" t="n">
        <x:f>IF(D1130="Completed",L1130,0)</x:f>
        <x:v>0</x:v>
      </x:c>
      <x:c r="T1130" s="8" t="n">
        <x:f>DATE(YEAR(C1130),MONTH(C1130),1)</x:f>
        <x:v>45962</x:v>
      </x:c>
    </x:row>
    <x:row r="1131" ht="22" customHeight="1">
      <x:c r="A1131" s="2" t="str">
        <x:v>L001127</x:v>
      </x:c>
      <x:c r="B1131" s="2" t="str">
        <x:v>O00456</x:v>
      </x:c>
      <x:c r="C1131" s="7" t="n">
        <x:v>45798</x:v>
      </x:c>
      <x:c r="D1131" s="2" t="str">
        <x:v>Completed</x:v>
      </x:c>
      <x:c r="E1131" s="2" t="str">
        <x:v>East</x:v>
      </x:c>
      <x:c r="F1131" s="2" t="str">
        <x:v>Online</x:v>
      </x:c>
      <x:c r="G1131" s="2" t="str">
        <x:v>Storage</x:v>
      </x:c>
      <x:c r="H1131" s="2" t="str">
        <x:v>Shelf 003</x:v>
      </x:c>
      <x:c r="I1131" s="11" t="n">
        <x:v>5</x:v>
      </x:c>
      <x:c r="J1131" s="9" t="n">
        <x:v>199</x:v>
      </x:c>
      <x:c r="K1131" s="10" t="n">
        <x:v>0.2</x:v>
      </x:c>
      <x:c r="L1131" s="11" t="n">
        <x:v>0</x:v>
      </x:c>
      <x:c r="M1131" s="9" t="n">
        <x:f>IF(D1131="Completed",I1131*J1131,0)</x:f>
        <x:v>995</x:v>
      </x:c>
      <x:c r="N1131" s="9" t="n">
        <x:f>M1131*K1131</x:f>
        <x:v>199</x:v>
      </x:c>
      <x:c r="O1131" s="9" t="n">
        <x:f>M1131-N1131</x:f>
        <x:v>796</x:v>
      </x:c>
      <x:c r="P1131" s="9" t="n">
        <x:f>IF(D1131="Completed",L1131*J1131*(1-K1131),0)</x:f>
        <x:v>0</x:v>
      </x:c>
      <x:c r="Q1131" s="9" t="n">
        <x:f>O1131-P1131</x:f>
        <x:v>796</x:v>
      </x:c>
      <x:c r="R1131" s="11" t="n">
        <x:f>IF(D1131="Completed",I1131,0)</x:f>
        <x:v>5</x:v>
      </x:c>
      <x:c r="S1131" s="11" t="n">
        <x:f>IF(D1131="Completed",L1131,0)</x:f>
        <x:v>0</x:v>
      </x:c>
      <x:c r="T1131" s="8" t="n">
        <x:f>DATE(YEAR(C1131),MONTH(C1131),1)</x:f>
        <x:v>45778</x:v>
      </x:c>
    </x:row>
    <x:row r="1132" ht="22" customHeight="1">
      <x:c r="A1132" s="2" t="str">
        <x:v>L001128</x:v>
      </x:c>
      <x:c r="B1132" s="2" t="str">
        <x:v>O00456</x:v>
      </x:c>
      <x:c r="C1132" s="7" t="n">
        <x:v>45798</x:v>
      </x:c>
      <x:c r="D1132" s="2" t="str">
        <x:v>Completed</x:v>
      </x:c>
      <x:c r="E1132" s="2" t="str">
        <x:v>East</x:v>
      </x:c>
      <x:c r="F1132" s="2" t="str">
        <x:v>Online</x:v>
      </x:c>
      <x:c r="G1132" s="2" t="str">
        <x:v>Lighting</x:v>
      </x:c>
      <x:c r="H1132" s="2" t="str">
        <x:v>Lamp 017</x:v>
      </x:c>
      <x:c r="I1132" s="11" t="n">
        <x:v>1</x:v>
      </x:c>
      <x:c r="J1132" s="9" t="n">
        <x:v>300</x:v>
      </x:c>
      <x:c r="K1132" s="10" t="n">
        <x:v>0.05</x:v>
      </x:c>
      <x:c r="L1132" s="11" t="n">
        <x:v>0</x:v>
      </x:c>
      <x:c r="M1132" s="9" t="n">
        <x:f>IF(D1132="Completed",I1132*J1132,0)</x:f>
        <x:v>300</x:v>
      </x:c>
      <x:c r="N1132" s="9" t="n">
        <x:f>M1132*K1132</x:f>
        <x:v>15</x:v>
      </x:c>
      <x:c r="O1132" s="9" t="n">
        <x:f>M1132-N1132</x:f>
        <x:v>285</x:v>
      </x:c>
      <x:c r="P1132" s="9" t="n">
        <x:f>IF(D1132="Completed",L1132*J1132*(1-K1132),0)</x:f>
        <x:v>0</x:v>
      </x:c>
      <x:c r="Q1132" s="9" t="n">
        <x:f>O1132-P1132</x:f>
        <x:v>285</x:v>
      </x:c>
      <x:c r="R1132" s="11" t="n">
        <x:f>IF(D1132="Completed",I1132,0)</x:f>
        <x:v>1</x:v>
      </x:c>
      <x:c r="S1132" s="11" t="n">
        <x:f>IF(D1132="Completed",L1132,0)</x:f>
        <x:v>0</x:v>
      </x:c>
      <x:c r="T1132" s="8" t="n">
        <x:f>DATE(YEAR(C1132),MONTH(C1132),1)</x:f>
        <x:v>45778</x:v>
      </x:c>
    </x:row>
    <x:row r="1133" ht="22" customHeight="1">
      <x:c r="A1133" s="2" t="str">
        <x:v>L001129</x:v>
      </x:c>
      <x:c r="B1133" s="2" t="str">
        <x:v>O00456</x:v>
      </x:c>
      <x:c r="C1133" s="7" t="n">
        <x:v>45798</x:v>
      </x:c>
      <x:c r="D1133" s="2" t="str">
        <x:v>Completed</x:v>
      </x:c>
      <x:c r="E1133" s="2" t="str">
        <x:v>East</x:v>
      </x:c>
      <x:c r="F1133" s="2" t="str">
        <x:v>Online</x:v>
      </x:c>
      <x:c r="G1133" s="2" t="str">
        <x:v>Furniture</x:v>
      </x:c>
      <x:c r="H1133" s="2" t="str">
        <x:v>Chair 018</x:v>
      </x:c>
      <x:c r="I1133" s="11" t="n">
        <x:v>1</x:v>
      </x:c>
      <x:c r="J1133" s="9" t="n">
        <x:v>269</x:v>
      </x:c>
      <x:c r="K1133" s="10" t="n">
        <x:v>0.2</x:v>
      </x:c>
      <x:c r="L1133" s="11" t="n">
        <x:v>0</x:v>
      </x:c>
      <x:c r="M1133" s="9" t="n">
        <x:f>IF(D1133="Completed",I1133*J1133,0)</x:f>
        <x:v>269</x:v>
      </x:c>
      <x:c r="N1133" s="9" t="n">
        <x:f>M1133*K1133</x:f>
        <x:v>53.800000000000004</x:v>
      </x:c>
      <x:c r="O1133" s="9" t="n">
        <x:f>M1133-N1133</x:f>
        <x:v>215.2</x:v>
      </x:c>
      <x:c r="P1133" s="9" t="n">
        <x:f>IF(D1133="Completed",L1133*J1133*(1-K1133),0)</x:f>
        <x:v>0</x:v>
      </x:c>
      <x:c r="Q1133" s="9" t="n">
        <x:f>O1133-P1133</x:f>
        <x:v>215.2</x:v>
      </x:c>
      <x:c r="R1133" s="11" t="n">
        <x:f>IF(D1133="Completed",I1133,0)</x:f>
        <x:v>1</x:v>
      </x:c>
      <x:c r="S1133" s="11" t="n">
        <x:f>IF(D1133="Completed",L1133,0)</x:f>
        <x:v>0</x:v>
      </x:c>
      <x:c r="T1133" s="8" t="n">
        <x:f>DATE(YEAR(C1133),MONTH(C1133),1)</x:f>
        <x:v>45778</x:v>
      </x:c>
    </x:row>
    <x:row r="1134" ht="22" customHeight="1">
      <x:c r="A1134" s="2" t="str">
        <x:v>L001130</x:v>
      </x:c>
      <x:c r="B1134" s="2" t="str">
        <x:v>O00456</x:v>
      </x:c>
      <x:c r="C1134" s="7" t="n">
        <x:v>45798</x:v>
      </x:c>
      <x:c r="D1134" s="2" t="str">
        <x:v>Completed</x:v>
      </x:c>
      <x:c r="E1134" s="2" t="str">
        <x:v>East</x:v>
      </x:c>
      <x:c r="F1134" s="2" t="str">
        <x:v>Online</x:v>
      </x:c>
      <x:c r="G1134" s="2" t="str">
        <x:v>Storage</x:v>
      </x:c>
      <x:c r="H1134" s="2" t="str">
        <x:v>Shelf 007</x:v>
      </x:c>
      <x:c r="I1134" s="11" t="n">
        <x:v>5</x:v>
      </x:c>
      <x:c r="J1134" s="9" t="n">
        <x:v>35</x:v>
      </x:c>
      <x:c r="K1134" s="10" t="n">
        <x:v>0.05</x:v>
      </x:c>
      <x:c r="L1134" s="11" t="n">
        <x:v>0</x:v>
      </x:c>
      <x:c r="M1134" s="9" t="n">
        <x:f>IF(D1134="Completed",I1134*J1134,0)</x:f>
        <x:v>175</x:v>
      </x:c>
      <x:c r="N1134" s="9" t="n">
        <x:f>M1134*K1134</x:f>
        <x:v>8.75</x:v>
      </x:c>
      <x:c r="O1134" s="9" t="n">
        <x:f>M1134-N1134</x:f>
        <x:v>166.25</x:v>
      </x:c>
      <x:c r="P1134" s="9" t="n">
        <x:f>IF(D1134="Completed",L1134*J1134*(1-K1134),0)</x:f>
        <x:v>0</x:v>
      </x:c>
      <x:c r="Q1134" s="9" t="n">
        <x:f>O1134-P1134</x:f>
        <x:v>166.25</x:v>
      </x:c>
      <x:c r="R1134" s="11" t="n">
        <x:f>IF(D1134="Completed",I1134,0)</x:f>
        <x:v>5</x:v>
      </x:c>
      <x:c r="S1134" s="11" t="n">
        <x:f>IF(D1134="Completed",L1134,0)</x:f>
        <x:v>0</x:v>
      </x:c>
      <x:c r="T1134" s="8" t="n">
        <x:f>DATE(YEAR(C1134),MONTH(C1134),1)</x:f>
        <x:v>45778</x:v>
      </x:c>
    </x:row>
    <x:row r="1135" ht="22" customHeight="1">
      <x:c r="A1135" s="2" t="str">
        <x:v>L001131</x:v>
      </x:c>
      <x:c r="B1135" s="2" t="str">
        <x:v>O00457</x:v>
      </x:c>
      <x:c r="C1135" s="7" t="n">
        <x:v>45910</x:v>
      </x:c>
      <x:c r="D1135" s="2" t="str">
        <x:v>Completed</x:v>
      </x:c>
      <x:c r="E1135" s="2" t="str">
        <x:v>South</x:v>
      </x:c>
      <x:c r="F1135" s="2" t="str">
        <x:v>Online</x:v>
      </x:c>
      <x:c r="G1135" s="2" t="str">
        <x:v>Storage</x:v>
      </x:c>
      <x:c r="H1135" s="2" t="str">
        <x:v>Shelf 003</x:v>
      </x:c>
      <x:c r="I1135" s="11" t="n">
        <x:v>3</x:v>
      </x:c>
      <x:c r="J1135" s="9" t="n">
        <x:v>199</x:v>
      </x:c>
      <x:c r="K1135" s="10" t="n">
        <x:v>0.2</x:v>
      </x:c>
      <x:c r="L1135" s="11" t="n">
        <x:v>0</x:v>
      </x:c>
      <x:c r="M1135" s="9" t="n">
        <x:f>IF(D1135="Completed",I1135*J1135,0)</x:f>
        <x:v>597</x:v>
      </x:c>
      <x:c r="N1135" s="9" t="n">
        <x:f>M1135*K1135</x:f>
        <x:v>119.4</x:v>
      </x:c>
      <x:c r="O1135" s="9" t="n">
        <x:f>M1135-N1135</x:f>
        <x:v>477.6</x:v>
      </x:c>
      <x:c r="P1135" s="9" t="n">
        <x:f>IF(D1135="Completed",L1135*J1135*(1-K1135),0)</x:f>
        <x:v>0</x:v>
      </x:c>
      <x:c r="Q1135" s="9" t="n">
        <x:f>O1135-P1135</x:f>
        <x:v>477.6</x:v>
      </x:c>
      <x:c r="R1135" s="11" t="n">
        <x:f>IF(D1135="Completed",I1135,0)</x:f>
        <x:v>3</x:v>
      </x:c>
      <x:c r="S1135" s="11" t="n">
        <x:f>IF(D1135="Completed",L1135,0)</x:f>
        <x:v>0</x:v>
      </x:c>
      <x:c r="T1135" s="8" t="n">
        <x:f>DATE(YEAR(C1135),MONTH(C1135),1)</x:f>
        <x:v>45901</x:v>
      </x:c>
    </x:row>
    <x:row r="1136" ht="22" customHeight="1">
      <x:c r="A1136" s="2" t="str">
        <x:v>L001132</x:v>
      </x:c>
      <x:c r="B1136" s="2" t="str">
        <x:v>O00457</x:v>
      </x:c>
      <x:c r="C1136" s="7" t="n">
        <x:v>45910</x:v>
      </x:c>
      <x:c r="D1136" s="2" t="str">
        <x:v>Completed</x:v>
      </x:c>
      <x:c r="E1136" s="2" t="str">
        <x:v>South</x:v>
      </x:c>
      <x:c r="F1136" s="2" t="str">
        <x:v>Online</x:v>
      </x:c>
      <x:c r="G1136" s="2" t="str">
        <x:v>Lighting</x:v>
      </x:c>
      <x:c r="H1136" s="2" t="str">
        <x:v>Lamp 005</x:v>
      </x:c>
      <x:c r="I1136" s="11" t="n">
        <x:v>1</x:v>
      </x:c>
      <x:c r="J1136" s="9" t="n">
        <x:v>65</x:v>
      </x:c>
      <x:c r="K1136" s="10" t="n">
        <x:v>0.05</x:v>
      </x:c>
      <x:c r="L1136" s="11" t="n">
        <x:v>0</x:v>
      </x:c>
      <x:c r="M1136" s="9" t="n">
        <x:f>IF(D1136="Completed",I1136*J1136,0)</x:f>
        <x:v>65</x:v>
      </x:c>
      <x:c r="N1136" s="9" t="n">
        <x:f>M1136*K1136</x:f>
        <x:v>3.25</x:v>
      </x:c>
      <x:c r="O1136" s="9" t="n">
        <x:f>M1136-N1136</x:f>
        <x:v>61.75</x:v>
      </x:c>
      <x:c r="P1136" s="9" t="n">
        <x:f>IF(D1136="Completed",L1136*J1136*(1-K1136),0)</x:f>
        <x:v>0</x:v>
      </x:c>
      <x:c r="Q1136" s="9" t="n">
        <x:f>O1136-P1136</x:f>
        <x:v>61.75</x:v>
      </x:c>
      <x:c r="R1136" s="11" t="n">
        <x:f>IF(D1136="Completed",I1136,0)</x:f>
        <x:v>1</x:v>
      </x:c>
      <x:c r="S1136" s="11" t="n">
        <x:f>IF(D1136="Completed",L1136,0)</x:f>
        <x:v>0</x:v>
      </x:c>
      <x:c r="T1136" s="8" t="n">
        <x:f>DATE(YEAR(C1136),MONTH(C1136),1)</x:f>
        <x:v>45901</x:v>
      </x:c>
    </x:row>
    <x:row r="1137" ht="22" customHeight="1">
      <x:c r="A1137" s="2" t="str">
        <x:v>L001133</x:v>
      </x:c>
      <x:c r="B1137" s="2" t="str">
        <x:v>O00457</x:v>
      </x:c>
      <x:c r="C1137" s="7" t="n">
        <x:v>45910</x:v>
      </x:c>
      <x:c r="D1137" s="2" t="str">
        <x:v>Completed</x:v>
      </x:c>
      <x:c r="E1137" s="2" t="str">
        <x:v>South</x:v>
      </x:c>
      <x:c r="F1137" s="2" t="str">
        <x:v>Online</x:v>
      </x:c>
      <x:c r="G1137" s="2" t="str">
        <x:v>Furniture</x:v>
      </x:c>
      <x:c r="H1137" s="2" t="str">
        <x:v>Chair 002</x:v>
      </x:c>
      <x:c r="I1137" s="11" t="n">
        <x:v>4</x:v>
      </x:c>
      <x:c r="J1137" s="9" t="n">
        <x:v>284</x:v>
      </x:c>
      <x:c r="K1137" s="10" t="n">
        <x:v>0.05</x:v>
      </x:c>
      <x:c r="L1137" s="11" t="n">
        <x:v>0</x:v>
      </x:c>
      <x:c r="M1137" s="9" t="n">
        <x:f>IF(D1137="Completed",I1137*J1137,0)</x:f>
        <x:v>1136</x:v>
      </x:c>
      <x:c r="N1137" s="9" t="n">
        <x:f>M1137*K1137</x:f>
        <x:v>56.800000000000004</x:v>
      </x:c>
      <x:c r="O1137" s="9" t="n">
        <x:f>M1137-N1137</x:f>
        <x:v>1079.2</x:v>
      </x:c>
      <x:c r="P1137" s="9" t="n">
        <x:f>IF(D1137="Completed",L1137*J1137*(1-K1137),0)</x:f>
        <x:v>0</x:v>
      </x:c>
      <x:c r="Q1137" s="9" t="n">
        <x:f>O1137-P1137</x:f>
        <x:v>1079.2</x:v>
      </x:c>
      <x:c r="R1137" s="11" t="n">
        <x:f>IF(D1137="Completed",I1137,0)</x:f>
        <x:v>4</x:v>
      </x:c>
      <x:c r="S1137" s="11" t="n">
        <x:f>IF(D1137="Completed",L1137,0)</x:f>
        <x:v>0</x:v>
      </x:c>
      <x:c r="T1137" s="8" t="n">
        <x:f>DATE(YEAR(C1137),MONTH(C1137),1)</x:f>
        <x:v>45901</x:v>
      </x:c>
    </x:row>
    <x:row r="1138" ht="22" customHeight="1">
      <x:c r="A1138" s="2" t="str">
        <x:v>L001134</x:v>
      </x:c>
      <x:c r="B1138" s="2" t="str">
        <x:v>O00458</x:v>
      </x:c>
      <x:c r="C1138" s="7" t="n">
        <x:v>45876</x:v>
      </x:c>
      <x:c r="D1138" s="2" t="str">
        <x:v>Completed</x:v>
      </x:c>
      <x:c r="E1138" s="2" t="str">
        <x:v>East</x:v>
      </x:c>
      <x:c r="F1138" s="2" t="str">
        <x:v>Online</x:v>
      </x:c>
      <x:c r="G1138" s="2" t="str">
        <x:v>Furniture</x:v>
      </x:c>
      <x:c r="H1138" s="2" t="str">
        <x:v>Desk 012</x:v>
      </x:c>
      <x:c r="I1138" s="11" t="n">
        <x:v>2</x:v>
      </x:c>
      <x:c r="J1138" s="9" t="n">
        <x:v>134</x:v>
      </x:c>
      <x:c r="K1138" s="10" t="n">
        <x:v>0.1</x:v>
      </x:c>
      <x:c r="L1138" s="11" t="n">
        <x:v>0</x:v>
      </x:c>
      <x:c r="M1138" s="9" t="n">
        <x:f>IF(D1138="Completed",I1138*J1138,0)</x:f>
        <x:v>268</x:v>
      </x:c>
      <x:c r="N1138" s="9" t="n">
        <x:f>M1138*K1138</x:f>
        <x:v>26.8</x:v>
      </x:c>
      <x:c r="O1138" s="9" t="n">
        <x:f>M1138-N1138</x:f>
        <x:v>241.2</x:v>
      </x:c>
      <x:c r="P1138" s="9" t="n">
        <x:f>IF(D1138="Completed",L1138*J1138*(1-K1138),0)</x:f>
        <x:v>0</x:v>
      </x:c>
      <x:c r="Q1138" s="9" t="n">
        <x:f>O1138-P1138</x:f>
        <x:v>241.2</x:v>
      </x:c>
      <x:c r="R1138" s="11" t="n">
        <x:f>IF(D1138="Completed",I1138,0)</x:f>
        <x:v>2</x:v>
      </x:c>
      <x:c r="S1138" s="11" t="n">
        <x:f>IF(D1138="Completed",L1138,0)</x:f>
        <x:v>0</x:v>
      </x:c>
      <x:c r="T1138" s="8" t="n">
        <x:f>DATE(YEAR(C1138),MONTH(C1138),1)</x:f>
        <x:v>45870</x:v>
      </x:c>
    </x:row>
    <x:row r="1139" ht="22" customHeight="1">
      <x:c r="A1139" s="2" t="str">
        <x:v>L001135</x:v>
      </x:c>
      <x:c r="B1139" s="2" t="str">
        <x:v>O00458</x:v>
      </x:c>
      <x:c r="C1139" s="7" t="n">
        <x:v>45876</x:v>
      </x:c>
      <x:c r="D1139" s="2" t="str">
        <x:v>Completed</x:v>
      </x:c>
      <x:c r="E1139" s="2" t="str">
        <x:v>East</x:v>
      </x:c>
      <x:c r="F1139" s="2" t="str">
        <x:v>Online</x:v>
      </x:c>
      <x:c r="G1139" s="2" t="str">
        <x:v>Furniture</x:v>
      </x:c>
      <x:c r="H1139" s="2" t="str">
        <x:v>Desk 016</x:v>
      </x:c>
      <x:c r="I1139" s="11" t="n">
        <x:v>3</x:v>
      </x:c>
      <x:c r="J1139" s="9" t="n">
        <x:v>231</x:v>
      </x:c>
      <x:c r="K1139" s="10" t="n">
        <x:v>0.1</x:v>
      </x:c>
      <x:c r="L1139" s="11" t="n">
        <x:v>0</x:v>
      </x:c>
      <x:c r="M1139" s="9" t="n">
        <x:f>IF(D1139="Completed",I1139*J1139,0)</x:f>
        <x:v>693</x:v>
      </x:c>
      <x:c r="N1139" s="9" t="n">
        <x:f>M1139*K1139</x:f>
        <x:v>69.3</x:v>
      </x:c>
      <x:c r="O1139" s="9" t="n">
        <x:f>M1139-N1139</x:f>
        <x:v>623.7</x:v>
      </x:c>
      <x:c r="P1139" s="9" t="n">
        <x:f>IF(D1139="Completed",L1139*J1139*(1-K1139),0)</x:f>
        <x:v>0</x:v>
      </x:c>
      <x:c r="Q1139" s="9" t="n">
        <x:f>O1139-P1139</x:f>
        <x:v>623.7</x:v>
      </x:c>
      <x:c r="R1139" s="11" t="n">
        <x:f>IF(D1139="Completed",I1139,0)</x:f>
        <x:v>3</x:v>
      </x:c>
      <x:c r="S1139" s="11" t="n">
        <x:f>IF(D1139="Completed",L1139,0)</x:f>
        <x:v>0</x:v>
      </x:c>
      <x:c r="T1139" s="8" t="n">
        <x:f>DATE(YEAR(C1139),MONTH(C1139),1)</x:f>
        <x:v>45870</x:v>
      </x:c>
    </x:row>
    <x:row r="1140" ht="22" customHeight="1">
      <x:c r="A1140" s="2" t="str">
        <x:v>L001136</x:v>
      </x:c>
      <x:c r="B1140" s="2" t="str">
        <x:v>O00458</x:v>
      </x:c>
      <x:c r="C1140" s="7" t="n">
        <x:v>45876</x:v>
      </x:c>
      <x:c r="D1140" s="2" t="str">
        <x:v>Completed</x:v>
      </x:c>
      <x:c r="E1140" s="2" t="str">
        <x:v>East</x:v>
      </x:c>
      <x:c r="F1140" s="2" t="str">
        <x:v>Online</x:v>
      </x:c>
      <x:c r="G1140" s="2" t="str">
        <x:v>Furniture</x:v>
      </x:c>
      <x:c r="H1140" s="2" t="str">
        <x:v>Chair 006</x:v>
      </x:c>
      <x:c r="I1140" s="11" t="n">
        <x:v>1</x:v>
      </x:c>
      <x:c r="J1140" s="9" t="n">
        <x:v>196</x:v>
      </x:c>
      <x:c r="K1140" s="10" t="n">
        <x:v>0.2</x:v>
      </x:c>
      <x:c r="L1140" s="11" t="n">
        <x:v>0</x:v>
      </x:c>
      <x:c r="M1140" s="9" t="n">
        <x:f>IF(D1140="Completed",I1140*J1140,0)</x:f>
        <x:v>196</x:v>
      </x:c>
      <x:c r="N1140" s="9" t="n">
        <x:f>M1140*K1140</x:f>
        <x:v>39.2</x:v>
      </x:c>
      <x:c r="O1140" s="9" t="n">
        <x:f>M1140-N1140</x:f>
        <x:v>156.8</x:v>
      </x:c>
      <x:c r="P1140" s="9" t="n">
        <x:f>IF(D1140="Completed",L1140*J1140*(1-K1140),0)</x:f>
        <x:v>0</x:v>
      </x:c>
      <x:c r="Q1140" s="9" t="n">
        <x:f>O1140-P1140</x:f>
        <x:v>156.8</x:v>
      </x:c>
      <x:c r="R1140" s="11" t="n">
        <x:f>IF(D1140="Completed",I1140,0)</x:f>
        <x:v>1</x:v>
      </x:c>
      <x:c r="S1140" s="11" t="n">
        <x:f>IF(D1140="Completed",L1140,0)</x:f>
        <x:v>0</x:v>
      </x:c>
      <x:c r="T1140" s="8" t="n">
        <x:f>DATE(YEAR(C1140),MONTH(C1140),1)</x:f>
        <x:v>45870</x:v>
      </x:c>
    </x:row>
    <x:row r="1141" ht="22" customHeight="1">
      <x:c r="A1141" s="2" t="str">
        <x:v>L001137</x:v>
      </x:c>
      <x:c r="B1141" s="2" t="str">
        <x:v>O00459</x:v>
      </x:c>
      <x:c r="C1141" s="7" t="n">
        <x:v>45927</x:v>
      </x:c>
      <x:c r="D1141" s="2" t="str">
        <x:v>Completed</x:v>
      </x:c>
      <x:c r="E1141" s="2" t="str">
        <x:v>South</x:v>
      </x:c>
      <x:c r="F1141" s="2" t="str">
        <x:v>Store</x:v>
      </x:c>
      <x:c r="G1141" s="2" t="str">
        <x:v>Furniture</x:v>
      </x:c>
      <x:c r="H1141" s="2" t="str">
        <x:v>Desk 024</x:v>
      </x:c>
      <x:c r="I1141" s="11" t="n">
        <x:v>1</x:v>
      </x:c>
      <x:c r="J1141" s="9" t="n">
        <x:v>81</x:v>
      </x:c>
      <x:c r="K1141" s="10" t="n">
        <x:v>0</x:v>
      </x:c>
      <x:c r="L1141" s="11" t="n">
        <x:v>0</x:v>
      </x:c>
      <x:c r="M1141" s="9" t="n">
        <x:f>IF(D1141="Completed",I1141*J1141,0)</x:f>
        <x:v>81</x:v>
      </x:c>
      <x:c r="N1141" s="9" t="n">
        <x:f>M1141*K1141</x:f>
        <x:v>0</x:v>
      </x:c>
      <x:c r="O1141" s="9" t="n">
        <x:f>M1141-N1141</x:f>
        <x:v>81</x:v>
      </x:c>
      <x:c r="P1141" s="9" t="n">
        <x:f>IF(D1141="Completed",L1141*J1141*(1-K1141),0)</x:f>
        <x:v>0</x:v>
      </x:c>
      <x:c r="Q1141" s="9" t="n">
        <x:f>O1141-P1141</x:f>
        <x:v>81</x:v>
      </x:c>
      <x:c r="R1141" s="11" t="n">
        <x:f>IF(D1141="Completed",I1141,0)</x:f>
        <x:v>1</x:v>
      </x:c>
      <x:c r="S1141" s="11" t="n">
        <x:f>IF(D1141="Completed",L1141,0)</x:f>
        <x:v>0</x:v>
      </x:c>
      <x:c r="T1141" s="8" t="n">
        <x:f>DATE(YEAR(C1141),MONTH(C1141),1)</x:f>
        <x:v>45901</x:v>
      </x:c>
    </x:row>
    <x:row r="1142" ht="22" customHeight="1">
      <x:c r="A1142" s="2" t="str">
        <x:v>L001138</x:v>
      </x:c>
      <x:c r="B1142" s="2" t="str">
        <x:v>O00459</x:v>
      </x:c>
      <x:c r="C1142" s="7" t="n">
        <x:v>45927</x:v>
      </x:c>
      <x:c r="D1142" s="2" t="str">
        <x:v>Completed</x:v>
      </x:c>
      <x:c r="E1142" s="2" t="str">
        <x:v>South</x:v>
      </x:c>
      <x:c r="F1142" s="2" t="str">
        <x:v>Store</x:v>
      </x:c>
      <x:c r="G1142" s="2" t="str">
        <x:v>Storage</x:v>
      </x:c>
      <x:c r="H1142" s="2" t="str">
        <x:v>Shelf 011</x:v>
      </x:c>
      <x:c r="I1142" s="11" t="n">
        <x:v>4</x:v>
      </x:c>
      <x:c r="J1142" s="9" t="n">
        <x:v>80</x:v>
      </x:c>
      <x:c r="K1142" s="10" t="n">
        <x:v>0.05</x:v>
      </x:c>
      <x:c r="L1142" s="11" t="n">
        <x:v>1</x:v>
      </x:c>
      <x:c r="M1142" s="9" t="n">
        <x:f>IF(D1142="Completed",I1142*J1142,0)</x:f>
        <x:v>320</x:v>
      </x:c>
      <x:c r="N1142" s="9" t="n">
        <x:f>M1142*K1142</x:f>
        <x:v>16</x:v>
      </x:c>
      <x:c r="O1142" s="9" t="n">
        <x:f>M1142-N1142</x:f>
        <x:v>304</x:v>
      </x:c>
      <x:c r="P1142" s="9" t="n">
        <x:f>IF(D1142="Completed",L1142*J1142*(1-K1142),0)</x:f>
        <x:v>76</x:v>
      </x:c>
      <x:c r="Q1142" s="9" t="n">
        <x:f>O1142-P1142</x:f>
        <x:v>228</x:v>
      </x:c>
      <x:c r="R1142" s="11" t="n">
        <x:f>IF(D1142="Completed",I1142,0)</x:f>
        <x:v>4</x:v>
      </x:c>
      <x:c r="S1142" s="11" t="n">
        <x:f>IF(D1142="Completed",L1142,0)</x:f>
        <x:v>1</x:v>
      </x:c>
      <x:c r="T1142" s="8" t="n">
        <x:f>DATE(YEAR(C1142),MONTH(C1142),1)</x:f>
        <x:v>45901</x:v>
      </x:c>
    </x:row>
    <x:row r="1143" ht="22" customHeight="1">
      <x:c r="A1143" s="2" t="str">
        <x:v>L001139</x:v>
      </x:c>
      <x:c r="B1143" s="2" t="str">
        <x:v>O00459</x:v>
      </x:c>
      <x:c r="C1143" s="7" t="n">
        <x:v>45927</x:v>
      </x:c>
      <x:c r="D1143" s="2" t="str">
        <x:v>Completed</x:v>
      </x:c>
      <x:c r="E1143" s="2" t="str">
        <x:v>South</x:v>
      </x:c>
      <x:c r="F1143" s="2" t="str">
        <x:v>Store</x:v>
      </x:c>
      <x:c r="G1143" s="2" t="str">
        <x:v>Furniture</x:v>
      </x:c>
      <x:c r="H1143" s="2" t="str">
        <x:v>Chair 014</x:v>
      </x:c>
      <x:c r="I1143" s="11" t="n">
        <x:v>1</x:v>
      </x:c>
      <x:c r="J1143" s="9" t="n">
        <x:v>294</x:v>
      </x:c>
      <x:c r="K1143" s="10" t="n">
        <x:v>0.2</x:v>
      </x:c>
      <x:c r="L1143" s="11" t="n">
        <x:v>1</x:v>
      </x:c>
      <x:c r="M1143" s="9" t="n">
        <x:f>IF(D1143="Completed",I1143*J1143,0)</x:f>
        <x:v>294</x:v>
      </x:c>
      <x:c r="N1143" s="9" t="n">
        <x:f>M1143*K1143</x:f>
        <x:v>58.800000000000004</x:v>
      </x:c>
      <x:c r="O1143" s="9" t="n">
        <x:f>M1143-N1143</x:f>
        <x:v>235.2</x:v>
      </x:c>
      <x:c r="P1143" s="9" t="n">
        <x:f>IF(D1143="Completed",L1143*J1143*(1-K1143),0)</x:f>
        <x:v>235.20000000000002</x:v>
      </x:c>
      <x:c r="Q1143" s="9" t="n">
        <x:f>O1143-P1143</x:f>
        <x:v>-2.842170943040401e-14</x:v>
      </x:c>
      <x:c r="R1143" s="11" t="n">
        <x:f>IF(D1143="Completed",I1143,0)</x:f>
        <x:v>1</x:v>
      </x:c>
      <x:c r="S1143" s="11" t="n">
        <x:f>IF(D1143="Completed",L1143,0)</x:f>
        <x:v>1</x:v>
      </x:c>
      <x:c r="T1143" s="8" t="n">
        <x:f>DATE(YEAR(C1143),MONTH(C1143),1)</x:f>
        <x:v>45901</x:v>
      </x:c>
    </x:row>
    <x:row r="1144" ht="22" customHeight="1">
      <x:c r="A1144" s="2" t="str">
        <x:v>L001140</x:v>
      </x:c>
      <x:c r="B1144" s="2" t="str">
        <x:v>O00460</x:v>
      </x:c>
      <x:c r="C1144" s="7" t="n">
        <x:v>45834</x:v>
      </x:c>
      <x:c r="D1144" s="2" t="str">
        <x:v>Cancelled</x:v>
      </x:c>
      <x:c r="E1144" s="2" t="str">
        <x:v>West</x:v>
      </x:c>
      <x:c r="F1144" s="2" t="str">
        <x:v>Online</x:v>
      </x:c>
      <x:c r="G1144" s="2" t="str">
        <x:v>Storage</x:v>
      </x:c>
      <x:c r="H1144" s="2" t="str">
        <x:v>Shelf 003</x:v>
      </x:c>
      <x:c r="I1144" s="11" t="n">
        <x:v>5</x:v>
      </x:c>
      <x:c r="J1144" s="9" t="n">
        <x:v>199</x:v>
      </x:c>
      <x:c r="K1144" s="10" t="n">
        <x:v>0.1</x:v>
      </x:c>
      <x:c r="L1144" s="11" t="n">
        <x:v>0</x:v>
      </x:c>
      <x:c r="M1144" s="9" t="n">
        <x:f>IF(D1144="Completed",I1144*J1144,0)</x:f>
        <x:v>0</x:v>
      </x:c>
      <x:c r="N1144" s="9" t="n">
        <x:f>M1144*K1144</x:f>
        <x:v>0</x:v>
      </x:c>
      <x:c r="O1144" s="9" t="n">
        <x:f>M1144-N1144</x:f>
        <x:v>0</x:v>
      </x:c>
      <x:c r="P1144" s="9" t="n">
        <x:f>IF(D1144="Completed",L1144*J1144*(1-K1144),0)</x:f>
        <x:v>0</x:v>
      </x:c>
      <x:c r="Q1144" s="9" t="n">
        <x:f>O1144-P1144</x:f>
        <x:v>0</x:v>
      </x:c>
      <x:c r="R1144" s="11" t="n">
        <x:f>IF(D1144="Completed",I1144,0)</x:f>
        <x:v>0</x:v>
      </x:c>
      <x:c r="S1144" s="11" t="n">
        <x:f>IF(D1144="Completed",L1144,0)</x:f>
        <x:v>0</x:v>
      </x:c>
      <x:c r="T1144" s="8" t="n">
        <x:f>DATE(YEAR(C1144),MONTH(C1144),1)</x:f>
        <x:v>45809</x:v>
      </x:c>
    </x:row>
    <x:row r="1145" ht="22" customHeight="1">
      <x:c r="A1145" s="2" t="str">
        <x:v>L001141</x:v>
      </x:c>
      <x:c r="B1145" s="2" t="str">
        <x:v>O00460</x:v>
      </x:c>
      <x:c r="C1145" s="7" t="n">
        <x:v>45834</x:v>
      </x:c>
      <x:c r="D1145" s="2" t="str">
        <x:v>Cancelled</x:v>
      </x:c>
      <x:c r="E1145" s="2" t="str">
        <x:v>West</x:v>
      </x:c>
      <x:c r="F1145" s="2" t="str">
        <x:v>Online</x:v>
      </x:c>
      <x:c r="G1145" s="2" t="str">
        <x:v>Storage</x:v>
      </x:c>
      <x:c r="H1145" s="2" t="str">
        <x:v>Shelf 023</x:v>
      </x:c>
      <x:c r="I1145" s="11" t="n">
        <x:v>4</x:v>
      </x:c>
      <x:c r="J1145" s="9" t="n">
        <x:v>68</x:v>
      </x:c>
      <x:c r="K1145" s="10" t="n">
        <x:v>0.2</x:v>
      </x:c>
      <x:c r="L1145" s="11" t="n">
        <x:v>0</x:v>
      </x:c>
      <x:c r="M1145" s="9" t="n">
        <x:f>IF(D1145="Completed",I1145*J1145,0)</x:f>
        <x:v>0</x:v>
      </x:c>
      <x:c r="N1145" s="9" t="n">
        <x:f>M1145*K1145</x:f>
        <x:v>0</x:v>
      </x:c>
      <x:c r="O1145" s="9" t="n">
        <x:f>M1145-N1145</x:f>
        <x:v>0</x:v>
      </x:c>
      <x:c r="P1145" s="9" t="n">
        <x:f>IF(D1145="Completed",L1145*J1145*(1-K1145),0)</x:f>
        <x:v>0</x:v>
      </x:c>
      <x:c r="Q1145" s="9" t="n">
        <x:f>O1145-P1145</x:f>
        <x:v>0</x:v>
      </x:c>
      <x:c r="R1145" s="11" t="n">
        <x:f>IF(D1145="Completed",I1145,0)</x:f>
        <x:v>0</x:v>
      </x:c>
      <x:c r="S1145" s="11" t="n">
        <x:f>IF(D1145="Completed",L1145,0)</x:f>
        <x:v>0</x:v>
      </x:c>
      <x:c r="T1145" s="8" t="n">
        <x:f>DATE(YEAR(C1145),MONTH(C1145),1)</x:f>
        <x:v>45809</x:v>
      </x:c>
    </x:row>
    <x:row r="1146" ht="22" customHeight="1">
      <x:c r="A1146" s="2" t="str">
        <x:v>L001142</x:v>
      </x:c>
      <x:c r="B1146" s="2" t="str">
        <x:v>O00460</x:v>
      </x:c>
      <x:c r="C1146" s="7" t="n">
        <x:v>45834</x:v>
      </x:c>
      <x:c r="D1146" s="2" t="str">
        <x:v>Cancelled</x:v>
      </x:c>
      <x:c r="E1146" s="2" t="str">
        <x:v>West</x:v>
      </x:c>
      <x:c r="F1146" s="2" t="str">
        <x:v>Online</x:v>
      </x:c>
      <x:c r="G1146" s="2" t="str">
        <x:v>Lighting</x:v>
      </x:c>
      <x:c r="H1146" s="2" t="str">
        <x:v>Lamp 021</x:v>
      </x:c>
      <x:c r="I1146" s="11" t="n">
        <x:v>2</x:v>
      </x:c>
      <x:c r="J1146" s="9" t="n">
        <x:v>249</x:v>
      </x:c>
      <x:c r="K1146" s="10" t="n">
        <x:v>0.2</x:v>
      </x:c>
      <x:c r="L1146" s="11" t="n">
        <x:v>0</x:v>
      </x:c>
      <x:c r="M1146" s="9" t="n">
        <x:f>IF(D1146="Completed",I1146*J1146,0)</x:f>
        <x:v>0</x:v>
      </x:c>
      <x:c r="N1146" s="9" t="n">
        <x:f>M1146*K1146</x:f>
        <x:v>0</x:v>
      </x:c>
      <x:c r="O1146" s="9" t="n">
        <x:f>M1146-N1146</x:f>
        <x:v>0</x:v>
      </x:c>
      <x:c r="P1146" s="9" t="n">
        <x:f>IF(D1146="Completed",L1146*J1146*(1-K1146),0)</x:f>
        <x:v>0</x:v>
      </x:c>
      <x:c r="Q1146" s="9" t="n">
        <x:f>O1146-P1146</x:f>
        <x:v>0</x:v>
      </x:c>
      <x:c r="R1146" s="11" t="n">
        <x:f>IF(D1146="Completed",I1146,0)</x:f>
        <x:v>0</x:v>
      </x:c>
      <x:c r="S1146" s="11" t="n">
        <x:f>IF(D1146="Completed",L1146,0)</x:f>
        <x:v>0</x:v>
      </x:c>
      <x:c r="T1146" s="8" t="n">
        <x:f>DATE(YEAR(C1146),MONTH(C1146),1)</x:f>
        <x:v>45809</x:v>
      </x:c>
    </x:row>
    <x:row r="1147" ht="22" customHeight="1">
      <x:c r="A1147" s="2" t="str">
        <x:v>L001143</x:v>
      </x:c>
      <x:c r="B1147" s="2" t="str">
        <x:v>O00460</x:v>
      </x:c>
      <x:c r="C1147" s="7" t="n">
        <x:v>45834</x:v>
      </x:c>
      <x:c r="D1147" s="2" t="str">
        <x:v>Cancelled</x:v>
      </x:c>
      <x:c r="E1147" s="2" t="str">
        <x:v>West</x:v>
      </x:c>
      <x:c r="F1147" s="2" t="str">
        <x:v>Online</x:v>
      </x:c>
      <x:c r="G1147" s="2" t="str">
        <x:v>Lighting</x:v>
      </x:c>
      <x:c r="H1147" s="2" t="str">
        <x:v>Lamp 005</x:v>
      </x:c>
      <x:c r="I1147" s="11" t="n">
        <x:v>4</x:v>
      </x:c>
      <x:c r="J1147" s="9" t="n">
        <x:v>65</x:v>
      </x:c>
      <x:c r="K1147" s="10" t="n">
        <x:v>0.05</x:v>
      </x:c>
      <x:c r="L1147" s="11" t="n">
        <x:v>0</x:v>
      </x:c>
      <x:c r="M1147" s="9" t="n">
        <x:f>IF(D1147="Completed",I1147*J1147,0)</x:f>
        <x:v>0</x:v>
      </x:c>
      <x:c r="N1147" s="9" t="n">
        <x:f>M1147*K1147</x:f>
        <x:v>0</x:v>
      </x:c>
      <x:c r="O1147" s="9" t="n">
        <x:f>M1147-N1147</x:f>
        <x:v>0</x:v>
      </x:c>
      <x:c r="P1147" s="9" t="n">
        <x:f>IF(D1147="Completed",L1147*J1147*(1-K1147),0)</x:f>
        <x:v>0</x:v>
      </x:c>
      <x:c r="Q1147" s="9" t="n">
        <x:f>O1147-P1147</x:f>
        <x:v>0</x:v>
      </x:c>
      <x:c r="R1147" s="11" t="n">
        <x:f>IF(D1147="Completed",I1147,0)</x:f>
        <x:v>0</x:v>
      </x:c>
      <x:c r="S1147" s="11" t="n">
        <x:f>IF(D1147="Completed",L1147,0)</x:f>
        <x:v>0</x:v>
      </x:c>
      <x:c r="T1147" s="8" t="n">
        <x:f>DATE(YEAR(C1147),MONTH(C1147),1)</x:f>
        <x:v>45809</x:v>
      </x:c>
    </x:row>
    <x:row r="1148" ht="22" customHeight="1">
      <x:c r="A1148" s="2" t="str">
        <x:v>L001144</x:v>
      </x:c>
      <x:c r="B1148" s="2" t="str">
        <x:v>O00461</x:v>
      </x:c>
      <x:c r="C1148" s="7" t="n">
        <x:v>45938</x:v>
      </x:c>
      <x:c r="D1148" s="2" t="str">
        <x:v>Cancelled</x:v>
      </x:c>
      <x:c r="E1148" s="2" t="str">
        <x:v>West</x:v>
      </x:c>
      <x:c r="F1148" s="2" t="str">
        <x:v>Online</x:v>
      </x:c>
      <x:c r="G1148" s="2" t="str">
        <x:v>Storage</x:v>
      </x:c>
      <x:c r="H1148" s="2" t="str">
        <x:v>Shelf 011</x:v>
      </x:c>
      <x:c r="I1148" s="11" t="n">
        <x:v>5</x:v>
      </x:c>
      <x:c r="J1148" s="9" t="n">
        <x:v>80</x:v>
      </x:c>
      <x:c r="K1148" s="10" t="n">
        <x:v>0.1</x:v>
      </x:c>
      <x:c r="L1148" s="11" t="n">
        <x:v>0</x:v>
      </x:c>
      <x:c r="M1148" s="9" t="n">
        <x:f>IF(D1148="Completed",I1148*J1148,0)</x:f>
        <x:v>0</x:v>
      </x:c>
      <x:c r="N1148" s="9" t="n">
        <x:f>M1148*K1148</x:f>
        <x:v>0</x:v>
      </x:c>
      <x:c r="O1148" s="9" t="n">
        <x:f>M1148-N1148</x:f>
        <x:v>0</x:v>
      </x:c>
      <x:c r="P1148" s="9" t="n">
        <x:f>IF(D1148="Completed",L1148*J1148*(1-K1148),0)</x:f>
        <x:v>0</x:v>
      </x:c>
      <x:c r="Q1148" s="9" t="n">
        <x:f>O1148-P1148</x:f>
        <x:v>0</x:v>
      </x:c>
      <x:c r="R1148" s="11" t="n">
        <x:f>IF(D1148="Completed",I1148,0)</x:f>
        <x:v>0</x:v>
      </x:c>
      <x:c r="S1148" s="11" t="n">
        <x:f>IF(D1148="Completed",L1148,0)</x:f>
        <x:v>0</x:v>
      </x:c>
      <x:c r="T1148" s="8" t="n">
        <x:f>DATE(YEAR(C1148),MONTH(C1148),1)</x:f>
        <x:v>45931</x:v>
      </x:c>
    </x:row>
    <x:row r="1149" ht="22" customHeight="1">
      <x:c r="A1149" s="2" t="str">
        <x:v>L001145</x:v>
      </x:c>
      <x:c r="B1149" s="2" t="str">
        <x:v>O00461</x:v>
      </x:c>
      <x:c r="C1149" s="7" t="n">
        <x:v>45938</x:v>
      </x:c>
      <x:c r="D1149" s="2" t="str">
        <x:v>Cancelled</x:v>
      </x:c>
      <x:c r="E1149" s="2" t="str">
        <x:v>West</x:v>
      </x:c>
      <x:c r="F1149" s="2" t="str">
        <x:v>Online</x:v>
      </x:c>
      <x:c r="G1149" s="2" t="str">
        <x:v>Furniture</x:v>
      </x:c>
      <x:c r="H1149" s="2" t="str">
        <x:v>Desk 024</x:v>
      </x:c>
      <x:c r="I1149" s="11" t="n">
        <x:v>3</x:v>
      </x:c>
      <x:c r="J1149" s="9" t="n">
        <x:v>81</x:v>
      </x:c>
      <x:c r="K1149" s="10" t="n">
        <x:v>0.1</x:v>
      </x:c>
      <x:c r="L1149" s="11" t="n">
        <x:v>0</x:v>
      </x:c>
      <x:c r="M1149" s="9" t="n">
        <x:f>IF(D1149="Completed",I1149*J1149,0)</x:f>
        <x:v>0</x:v>
      </x:c>
      <x:c r="N1149" s="9" t="n">
        <x:f>M1149*K1149</x:f>
        <x:v>0</x:v>
      </x:c>
      <x:c r="O1149" s="9" t="n">
        <x:f>M1149-N1149</x:f>
        <x:v>0</x:v>
      </x:c>
      <x:c r="P1149" s="9" t="n">
        <x:f>IF(D1149="Completed",L1149*J1149*(1-K1149),0)</x:f>
        <x:v>0</x:v>
      </x:c>
      <x:c r="Q1149" s="9" t="n">
        <x:f>O1149-P1149</x:f>
        <x:v>0</x:v>
      </x:c>
      <x:c r="R1149" s="11" t="n">
        <x:f>IF(D1149="Completed",I1149,0)</x:f>
        <x:v>0</x:v>
      </x:c>
      <x:c r="S1149" s="11" t="n">
        <x:f>IF(D1149="Completed",L1149,0)</x:f>
        <x:v>0</x:v>
      </x:c>
      <x:c r="T1149" s="8" t="n">
        <x:f>DATE(YEAR(C1149),MONTH(C1149),1)</x:f>
        <x:v>45931</x:v>
      </x:c>
    </x:row>
    <x:row r="1150" ht="22" customHeight="1">
      <x:c r="A1150" s="2" t="str">
        <x:v>L001146</x:v>
      </x:c>
      <x:c r="B1150" s="2" t="str">
        <x:v>O00462</x:v>
      </x:c>
      <x:c r="C1150" s="7" t="n">
        <x:v>45906</x:v>
      </x:c>
      <x:c r="D1150" s="2" t="str">
        <x:v>Completed</x:v>
      </x:c>
      <x:c r="E1150" s="2" t="str">
        <x:v>North</x:v>
      </x:c>
      <x:c r="F1150" s="2" t="str">
        <x:v>Online</x:v>
      </x:c>
      <x:c r="G1150" s="2" t="str">
        <x:v>Furniture</x:v>
      </x:c>
      <x:c r="H1150" s="2" t="str">
        <x:v>Chair 022</x:v>
      </x:c>
      <x:c r="I1150" s="11" t="n">
        <x:v>5</x:v>
      </x:c>
      <x:c r="J1150" s="9" t="n">
        <x:v>134</x:v>
      </x:c>
      <x:c r="K1150" s="10" t="n">
        <x:v>0.1</x:v>
      </x:c>
      <x:c r="L1150" s="11" t="n">
        <x:v>2</x:v>
      </x:c>
      <x:c r="M1150" s="9" t="n">
        <x:f>IF(D1150="Completed",I1150*J1150,0)</x:f>
        <x:v>670</x:v>
      </x:c>
      <x:c r="N1150" s="9" t="n">
        <x:f>M1150*K1150</x:f>
        <x:v>67</x:v>
      </x:c>
      <x:c r="O1150" s="9" t="n">
        <x:f>M1150-N1150</x:f>
        <x:v>603</x:v>
      </x:c>
      <x:c r="P1150" s="9" t="n">
        <x:f>IF(D1150="Completed",L1150*J1150*(1-K1150),0)</x:f>
        <x:v>241.20000000000002</x:v>
      </x:c>
      <x:c r="Q1150" s="9" t="n">
        <x:f>O1150-P1150</x:f>
        <x:v>361.79999999999995</x:v>
      </x:c>
      <x:c r="R1150" s="11" t="n">
        <x:f>IF(D1150="Completed",I1150,0)</x:f>
        <x:v>5</x:v>
      </x:c>
      <x:c r="S1150" s="11" t="n">
        <x:f>IF(D1150="Completed",L1150,0)</x:f>
        <x:v>2</x:v>
      </x:c>
      <x:c r="T1150" s="8" t="n">
        <x:f>DATE(YEAR(C1150),MONTH(C1150),1)</x:f>
        <x:v>45901</x:v>
      </x:c>
    </x:row>
    <x:row r="1151" ht="22" customHeight="1">
      <x:c r="A1151" s="2" t="str">
        <x:v>L001147</x:v>
      </x:c>
      <x:c r="B1151" s="2" t="str">
        <x:v>O00463</x:v>
      </x:c>
      <x:c r="C1151" s="7" t="n">
        <x:v>45838</x:v>
      </x:c>
      <x:c r="D1151" s="2" t="str">
        <x:v>Completed</x:v>
      </x:c>
      <x:c r="E1151" s="2" t="str">
        <x:v>East</x:v>
      </x:c>
      <x:c r="F1151" s="2" t="str">
        <x:v>Online</x:v>
      </x:c>
      <x:c r="G1151" s="2" t="str">
        <x:v>Storage</x:v>
      </x:c>
      <x:c r="H1151" s="2" t="str">
        <x:v>Shelf 015</x:v>
      </x:c>
      <x:c r="I1151" s="11" t="n">
        <x:v>2</x:v>
      </x:c>
      <x:c r="J1151" s="9" t="n">
        <x:v>254</x:v>
      </x:c>
      <x:c r="K1151" s="10" t="n">
        <x:v>0.2</x:v>
      </x:c>
      <x:c r="L1151" s="11" t="n">
        <x:v>0</x:v>
      </x:c>
      <x:c r="M1151" s="9" t="n">
        <x:f>IF(D1151="Completed",I1151*J1151,0)</x:f>
        <x:v>508</x:v>
      </x:c>
      <x:c r="N1151" s="9" t="n">
        <x:f>M1151*K1151</x:f>
        <x:v>101.60000000000001</x:v>
      </x:c>
      <x:c r="O1151" s="9" t="n">
        <x:f>M1151-N1151</x:f>
        <x:v>406.4</x:v>
      </x:c>
      <x:c r="P1151" s="9" t="n">
        <x:f>IF(D1151="Completed",L1151*J1151*(1-K1151),0)</x:f>
        <x:v>0</x:v>
      </x:c>
      <x:c r="Q1151" s="9" t="n">
        <x:f>O1151-P1151</x:f>
        <x:v>406.4</x:v>
      </x:c>
      <x:c r="R1151" s="11" t="n">
        <x:f>IF(D1151="Completed",I1151,0)</x:f>
        <x:v>2</x:v>
      </x:c>
      <x:c r="S1151" s="11" t="n">
        <x:f>IF(D1151="Completed",L1151,0)</x:f>
        <x:v>0</x:v>
      </x:c>
      <x:c r="T1151" s="8" t="n">
        <x:f>DATE(YEAR(C1151),MONTH(C1151),1)</x:f>
        <x:v>45809</x:v>
      </x:c>
    </x:row>
    <x:row r="1152" ht="22" customHeight="1">
      <x:c r="A1152" s="2" t="str">
        <x:v>L001148</x:v>
      </x:c>
      <x:c r="B1152" s="2" t="str">
        <x:v>O00463</x:v>
      </x:c>
      <x:c r="C1152" s="7" t="n">
        <x:v>45838</x:v>
      </x:c>
      <x:c r="D1152" s="2" t="str">
        <x:v>Completed</x:v>
      </x:c>
      <x:c r="E1152" s="2" t="str">
        <x:v>East</x:v>
      </x:c>
      <x:c r="F1152" s="2" t="str">
        <x:v>Online</x:v>
      </x:c>
      <x:c r="G1152" s="2" t="str">
        <x:v>Furniture</x:v>
      </x:c>
      <x:c r="H1152" s="2" t="str">
        <x:v>Chair 010</x:v>
      </x:c>
      <x:c r="I1152" s="11" t="n">
        <x:v>1</x:v>
      </x:c>
      <x:c r="J1152" s="9" t="n">
        <x:v>211</x:v>
      </x:c>
      <x:c r="K1152" s="10" t="n">
        <x:v>0.2</x:v>
      </x:c>
      <x:c r="L1152" s="11" t="n">
        <x:v>0</x:v>
      </x:c>
      <x:c r="M1152" s="9" t="n">
        <x:f>IF(D1152="Completed",I1152*J1152,0)</x:f>
        <x:v>211</x:v>
      </x:c>
      <x:c r="N1152" s="9" t="n">
        <x:f>M1152*K1152</x:f>
        <x:v>42.2</x:v>
      </x:c>
      <x:c r="O1152" s="9" t="n">
        <x:f>M1152-N1152</x:f>
        <x:v>168.8</x:v>
      </x:c>
      <x:c r="P1152" s="9" t="n">
        <x:f>IF(D1152="Completed",L1152*J1152*(1-K1152),0)</x:f>
        <x:v>0</x:v>
      </x:c>
      <x:c r="Q1152" s="9" t="n">
        <x:f>O1152-P1152</x:f>
        <x:v>168.8</x:v>
      </x:c>
      <x:c r="R1152" s="11" t="n">
        <x:f>IF(D1152="Completed",I1152,0)</x:f>
        <x:v>1</x:v>
      </x:c>
      <x:c r="S1152" s="11" t="n">
        <x:f>IF(D1152="Completed",L1152,0)</x:f>
        <x:v>0</x:v>
      </x:c>
      <x:c r="T1152" s="8" t="n">
        <x:f>DATE(YEAR(C1152),MONTH(C1152),1)</x:f>
        <x:v>45809</x:v>
      </x:c>
    </x:row>
    <x:row r="1153" ht="22" customHeight="1">
      <x:c r="A1153" s="2" t="str">
        <x:v>L001149</x:v>
      </x:c>
      <x:c r="B1153" s="2" t="str">
        <x:v>O00464</x:v>
      </x:c>
      <x:c r="C1153" s="7" t="n">
        <x:v>45976</x:v>
      </x:c>
      <x:c r="D1153" s="2" t="str">
        <x:v>Completed</x:v>
      </x:c>
      <x:c r="E1153" s="2" t="str">
        <x:v>North</x:v>
      </x:c>
      <x:c r="F1153" s="2" t="str">
        <x:v>Store</x:v>
      </x:c>
      <x:c r="G1153" s="2" t="str">
        <x:v>Storage</x:v>
      </x:c>
      <x:c r="H1153" s="2" t="str">
        <x:v>Shelf 007</x:v>
      </x:c>
      <x:c r="I1153" s="11" t="n">
        <x:v>2</x:v>
      </x:c>
      <x:c r="J1153" s="9" t="n">
        <x:v>35</x:v>
      </x:c>
      <x:c r="K1153" s="10" t="n">
        <x:v>0.1</x:v>
      </x:c>
      <x:c r="L1153" s="11" t="n">
        <x:v>0</x:v>
      </x:c>
      <x:c r="M1153" s="9" t="n">
        <x:f>IF(D1153="Completed",I1153*J1153,0)</x:f>
        <x:v>70</x:v>
      </x:c>
      <x:c r="N1153" s="9" t="n">
        <x:f>M1153*K1153</x:f>
        <x:v>7</x:v>
      </x:c>
      <x:c r="O1153" s="9" t="n">
        <x:f>M1153-N1153</x:f>
        <x:v>63</x:v>
      </x:c>
      <x:c r="P1153" s="9" t="n">
        <x:f>IF(D1153="Completed",L1153*J1153*(1-K1153),0)</x:f>
        <x:v>0</x:v>
      </x:c>
      <x:c r="Q1153" s="9" t="n">
        <x:f>O1153-P1153</x:f>
        <x:v>63</x:v>
      </x:c>
      <x:c r="R1153" s="11" t="n">
        <x:f>IF(D1153="Completed",I1153,0)</x:f>
        <x:v>2</x:v>
      </x:c>
      <x:c r="S1153" s="11" t="n">
        <x:f>IF(D1153="Completed",L1153,0)</x:f>
        <x:v>0</x:v>
      </x:c>
      <x:c r="T1153" s="8" t="n">
        <x:f>DATE(YEAR(C1153),MONTH(C1153),1)</x:f>
        <x:v>45962</x:v>
      </x:c>
    </x:row>
    <x:row r="1154" ht="22" customHeight="1">
      <x:c r="A1154" s="2" t="str">
        <x:v>L001150</x:v>
      </x:c>
      <x:c r="B1154" s="2" t="str">
        <x:v>O00465</x:v>
      </x:c>
      <x:c r="C1154" s="7" t="n">
        <x:v>46003</x:v>
      </x:c>
      <x:c r="D1154" s="2" t="str">
        <x:v>Cancelled</x:v>
      </x:c>
      <x:c r="E1154" s="2" t="str">
        <x:v>South</x:v>
      </x:c>
      <x:c r="F1154" s="2" t="str">
        <x:v>Online</x:v>
      </x:c>
      <x:c r="G1154" s="2" t="str">
        <x:v>Storage</x:v>
      </x:c>
      <x:c r="H1154" s="2" t="str">
        <x:v>Shelf 019</x:v>
      </x:c>
      <x:c r="I1154" s="11" t="n">
        <x:v>1</x:v>
      </x:c>
      <x:c r="J1154" s="9" t="n">
        <x:v>78</x:v>
      </x:c>
      <x:c r="K1154" s="10" t="n">
        <x:v>0.05</x:v>
      </x:c>
      <x:c r="L1154" s="11" t="n">
        <x:v>0</x:v>
      </x:c>
      <x:c r="M1154" s="9" t="n">
        <x:f>IF(D1154="Completed",I1154*J1154,0)</x:f>
        <x:v>0</x:v>
      </x:c>
      <x:c r="N1154" s="9" t="n">
        <x:f>M1154*K1154</x:f>
        <x:v>0</x:v>
      </x:c>
      <x:c r="O1154" s="9" t="n">
        <x:f>M1154-N1154</x:f>
        <x:v>0</x:v>
      </x:c>
      <x:c r="P1154" s="9" t="n">
        <x:f>IF(D1154="Completed",L1154*J1154*(1-K1154),0)</x:f>
        <x:v>0</x:v>
      </x:c>
      <x:c r="Q1154" s="9" t="n">
        <x:f>O1154-P1154</x:f>
        <x:v>0</x:v>
      </x:c>
      <x:c r="R1154" s="11" t="n">
        <x:f>IF(D1154="Completed",I1154,0)</x:f>
        <x:v>0</x:v>
      </x:c>
      <x:c r="S1154" s="11" t="n">
        <x:f>IF(D1154="Completed",L1154,0)</x:f>
        <x:v>0</x:v>
      </x:c>
      <x:c r="T1154" s="8" t="n">
        <x:f>DATE(YEAR(C1154),MONTH(C1154),1)</x:f>
        <x:v>45992</x:v>
      </x:c>
    </x:row>
    <x:row r="1155" ht="22" customHeight="1">
      <x:c r="A1155" s="2" t="str">
        <x:v>L001151</x:v>
      </x:c>
      <x:c r="B1155" s="2" t="str">
        <x:v>O00465</x:v>
      </x:c>
      <x:c r="C1155" s="7" t="n">
        <x:v>46003</x:v>
      </x:c>
      <x:c r="D1155" s="2" t="str">
        <x:v>Cancelled</x:v>
      </x:c>
      <x:c r="E1155" s="2" t="str">
        <x:v>South</x:v>
      </x:c>
      <x:c r="F1155" s="2" t="str">
        <x:v>Online</x:v>
      </x:c>
      <x:c r="G1155" s="2" t="str">
        <x:v>Lighting</x:v>
      </x:c>
      <x:c r="H1155" s="2" t="str">
        <x:v>Lamp 017</x:v>
      </x:c>
      <x:c r="I1155" s="11" t="n">
        <x:v>3</x:v>
      </x:c>
      <x:c r="J1155" s="9" t="n">
        <x:v>300</x:v>
      </x:c>
      <x:c r="K1155" s="10" t="n">
        <x:v>0.2</x:v>
      </x:c>
      <x:c r="L1155" s="11" t="n">
        <x:v>0</x:v>
      </x:c>
      <x:c r="M1155" s="9" t="n">
        <x:f>IF(D1155="Completed",I1155*J1155,0)</x:f>
        <x:v>0</x:v>
      </x:c>
      <x:c r="N1155" s="9" t="n">
        <x:f>M1155*K1155</x:f>
        <x:v>0</x:v>
      </x:c>
      <x:c r="O1155" s="9" t="n">
        <x:f>M1155-N1155</x:f>
        <x:v>0</x:v>
      </x:c>
      <x:c r="P1155" s="9" t="n">
        <x:f>IF(D1155="Completed",L1155*J1155*(1-K1155),0)</x:f>
        <x:v>0</x:v>
      </x:c>
      <x:c r="Q1155" s="9" t="n">
        <x:f>O1155-P1155</x:f>
        <x:v>0</x:v>
      </x:c>
      <x:c r="R1155" s="11" t="n">
        <x:f>IF(D1155="Completed",I1155,0)</x:f>
        <x:v>0</x:v>
      </x:c>
      <x:c r="S1155" s="11" t="n">
        <x:f>IF(D1155="Completed",L1155,0)</x:f>
        <x:v>0</x:v>
      </x:c>
      <x:c r="T1155" s="8" t="n">
        <x:f>DATE(YEAR(C1155),MONTH(C1155),1)</x:f>
        <x:v>45992</x:v>
      </x:c>
    </x:row>
    <x:row r="1156" ht="22" customHeight="1">
      <x:c r="A1156" s="2" t="str">
        <x:v>L001152</x:v>
      </x:c>
      <x:c r="B1156" s="2" t="str">
        <x:v>O00465</x:v>
      </x:c>
      <x:c r="C1156" s="7" t="n">
        <x:v>46003</x:v>
      </x:c>
      <x:c r="D1156" s="2" t="str">
        <x:v>Cancelled</x:v>
      </x:c>
      <x:c r="E1156" s="2" t="str">
        <x:v>South</x:v>
      </x:c>
      <x:c r="F1156" s="2" t="str">
        <x:v>Online</x:v>
      </x:c>
      <x:c r="G1156" s="2" t="str">
        <x:v>Furniture</x:v>
      </x:c>
      <x:c r="H1156" s="2" t="str">
        <x:v>Desk 016</x:v>
      </x:c>
      <x:c r="I1156" s="11" t="n">
        <x:v>5</x:v>
      </x:c>
      <x:c r="J1156" s="9" t="n">
        <x:v>231</x:v>
      </x:c>
      <x:c r="K1156" s="10" t="n">
        <x:v>0.1</x:v>
      </x:c>
      <x:c r="L1156" s="11" t="n">
        <x:v>0</x:v>
      </x:c>
      <x:c r="M1156" s="9" t="n">
        <x:f>IF(D1156="Completed",I1156*J1156,0)</x:f>
        <x:v>0</x:v>
      </x:c>
      <x:c r="N1156" s="9" t="n">
        <x:f>M1156*K1156</x:f>
        <x:v>0</x:v>
      </x:c>
      <x:c r="O1156" s="9" t="n">
        <x:f>M1156-N1156</x:f>
        <x:v>0</x:v>
      </x:c>
      <x:c r="P1156" s="9" t="n">
        <x:f>IF(D1156="Completed",L1156*J1156*(1-K1156),0)</x:f>
        <x:v>0</x:v>
      </x:c>
      <x:c r="Q1156" s="9" t="n">
        <x:f>O1156-P1156</x:f>
        <x:v>0</x:v>
      </x:c>
      <x:c r="R1156" s="11" t="n">
        <x:f>IF(D1156="Completed",I1156,0)</x:f>
        <x:v>0</x:v>
      </x:c>
      <x:c r="S1156" s="11" t="n">
        <x:f>IF(D1156="Completed",L1156,0)</x:f>
        <x:v>0</x:v>
      </x:c>
      <x:c r="T1156" s="8" t="n">
        <x:f>DATE(YEAR(C1156),MONTH(C1156),1)</x:f>
        <x:v>45992</x:v>
      </x:c>
    </x:row>
    <x:row r="1157" ht="22" customHeight="1">
      <x:c r="A1157" s="2" t="str">
        <x:v>L001153</x:v>
      </x:c>
      <x:c r="B1157" s="2" t="str">
        <x:v>O00466</x:v>
      </x:c>
      <x:c r="C1157" s="7" t="n">
        <x:v>45853</x:v>
      </x:c>
      <x:c r="D1157" s="2" t="str">
        <x:v>Completed</x:v>
      </x:c>
      <x:c r="E1157" s="2" t="str">
        <x:v>North</x:v>
      </x:c>
      <x:c r="F1157" s="2" t="str">
        <x:v>Online</x:v>
      </x:c>
      <x:c r="G1157" s="2" t="str">
        <x:v>Storage</x:v>
      </x:c>
      <x:c r="H1157" s="2" t="str">
        <x:v>Shelf 003</x:v>
      </x:c>
      <x:c r="I1157" s="11" t="n">
        <x:v>4</x:v>
      </x:c>
      <x:c r="J1157" s="9" t="n">
        <x:v>199</x:v>
      </x:c>
      <x:c r="K1157" s="10" t="n">
        <x:v>0.2</x:v>
      </x:c>
      <x:c r="L1157" s="11" t="n">
        <x:v>0</x:v>
      </x:c>
      <x:c r="M1157" s="9" t="n">
        <x:f>IF(D1157="Completed",I1157*J1157,0)</x:f>
        <x:v>796</x:v>
      </x:c>
      <x:c r="N1157" s="9" t="n">
        <x:f>M1157*K1157</x:f>
        <x:v>159.20000000000002</x:v>
      </x:c>
      <x:c r="O1157" s="9" t="n">
        <x:f>M1157-N1157</x:f>
        <x:v>636.8</x:v>
      </x:c>
      <x:c r="P1157" s="9" t="n">
        <x:f>IF(D1157="Completed",L1157*J1157*(1-K1157),0)</x:f>
        <x:v>0</x:v>
      </x:c>
      <x:c r="Q1157" s="9" t="n">
        <x:f>O1157-P1157</x:f>
        <x:v>636.8</x:v>
      </x:c>
      <x:c r="R1157" s="11" t="n">
        <x:f>IF(D1157="Completed",I1157,0)</x:f>
        <x:v>4</x:v>
      </x:c>
      <x:c r="S1157" s="11" t="n">
        <x:f>IF(D1157="Completed",L1157,0)</x:f>
        <x:v>0</x:v>
      </x:c>
      <x:c r="T1157" s="8" t="n">
        <x:f>DATE(YEAR(C1157),MONTH(C1157),1)</x:f>
        <x:v>45839</x:v>
      </x:c>
    </x:row>
    <x:row r="1158" ht="22" customHeight="1">
      <x:c r="A1158" s="2" t="str">
        <x:v>L001154</x:v>
      </x:c>
      <x:c r="B1158" s="2" t="str">
        <x:v>O00466</x:v>
      </x:c>
      <x:c r="C1158" s="7" t="n">
        <x:v>45853</x:v>
      </x:c>
      <x:c r="D1158" s="2" t="str">
        <x:v>Completed</x:v>
      </x:c>
      <x:c r="E1158" s="2" t="str">
        <x:v>North</x:v>
      </x:c>
      <x:c r="F1158" s="2" t="str">
        <x:v>Online</x:v>
      </x:c>
      <x:c r="G1158" s="2" t="str">
        <x:v>Furniture</x:v>
      </x:c>
      <x:c r="H1158" s="2" t="str">
        <x:v>Chair 018</x:v>
      </x:c>
      <x:c r="I1158" s="11" t="n">
        <x:v>1</x:v>
      </x:c>
      <x:c r="J1158" s="9" t="n">
        <x:v>269</x:v>
      </x:c>
      <x:c r="K1158" s="10" t="n">
        <x:v>0.2</x:v>
      </x:c>
      <x:c r="L1158" s="11" t="n">
        <x:v>0</x:v>
      </x:c>
      <x:c r="M1158" s="9" t="n">
        <x:f>IF(D1158="Completed",I1158*J1158,0)</x:f>
        <x:v>269</x:v>
      </x:c>
      <x:c r="N1158" s="9" t="n">
        <x:f>M1158*K1158</x:f>
        <x:v>53.800000000000004</x:v>
      </x:c>
      <x:c r="O1158" s="9" t="n">
        <x:f>M1158-N1158</x:f>
        <x:v>215.2</x:v>
      </x:c>
      <x:c r="P1158" s="9" t="n">
        <x:f>IF(D1158="Completed",L1158*J1158*(1-K1158),0)</x:f>
        <x:v>0</x:v>
      </x:c>
      <x:c r="Q1158" s="9" t="n">
        <x:f>O1158-P1158</x:f>
        <x:v>215.2</x:v>
      </x:c>
      <x:c r="R1158" s="11" t="n">
        <x:f>IF(D1158="Completed",I1158,0)</x:f>
        <x:v>1</x:v>
      </x:c>
      <x:c r="S1158" s="11" t="n">
        <x:f>IF(D1158="Completed",L1158,0)</x:f>
        <x:v>0</x:v>
      </x:c>
      <x:c r="T1158" s="8" t="n">
        <x:f>DATE(YEAR(C1158),MONTH(C1158),1)</x:f>
        <x:v>45839</x:v>
      </x:c>
    </x:row>
    <x:row r="1159" ht="22" customHeight="1">
      <x:c r="A1159" s="2" t="str">
        <x:v>L001155</x:v>
      </x:c>
      <x:c r="B1159" s="2" t="str">
        <x:v>O00466</x:v>
      </x:c>
      <x:c r="C1159" s="7" t="n">
        <x:v>45853</x:v>
      </x:c>
      <x:c r="D1159" s="2" t="str">
        <x:v>Completed</x:v>
      </x:c>
      <x:c r="E1159" s="2" t="str">
        <x:v>North</x:v>
      </x:c>
      <x:c r="F1159" s="2" t="str">
        <x:v>Online</x:v>
      </x:c>
      <x:c r="G1159" s="2" t="str">
        <x:v>Furniture</x:v>
      </x:c>
      <x:c r="H1159" s="2" t="str">
        <x:v>Desk 024</x:v>
      </x:c>
      <x:c r="I1159" s="11" t="n">
        <x:v>2</x:v>
      </x:c>
      <x:c r="J1159" s="9" t="n">
        <x:v>81</x:v>
      </x:c>
      <x:c r="K1159" s="10" t="n">
        <x:v>0.1</x:v>
      </x:c>
      <x:c r="L1159" s="11" t="n">
        <x:v>0</x:v>
      </x:c>
      <x:c r="M1159" s="9" t="n">
        <x:f>IF(D1159="Completed",I1159*J1159,0)</x:f>
        <x:v>162</x:v>
      </x:c>
      <x:c r="N1159" s="9" t="n">
        <x:f>M1159*K1159</x:f>
        <x:v>16.2</x:v>
      </x:c>
      <x:c r="O1159" s="9" t="n">
        <x:f>M1159-N1159</x:f>
        <x:v>145.8</x:v>
      </x:c>
      <x:c r="P1159" s="9" t="n">
        <x:f>IF(D1159="Completed",L1159*J1159*(1-K1159),0)</x:f>
        <x:v>0</x:v>
      </x:c>
      <x:c r="Q1159" s="9" t="n">
        <x:f>O1159-P1159</x:f>
        <x:v>145.8</x:v>
      </x:c>
      <x:c r="R1159" s="11" t="n">
        <x:f>IF(D1159="Completed",I1159,0)</x:f>
        <x:v>2</x:v>
      </x:c>
      <x:c r="S1159" s="11" t="n">
        <x:f>IF(D1159="Completed",L1159,0)</x:f>
        <x:v>0</x:v>
      </x:c>
      <x:c r="T1159" s="8" t="n">
        <x:f>DATE(YEAR(C1159),MONTH(C1159),1)</x:f>
        <x:v>45839</x:v>
      </x:c>
    </x:row>
    <x:row r="1160" ht="22" customHeight="1">
      <x:c r="A1160" s="2" t="str">
        <x:v>L001156</x:v>
      </x:c>
      <x:c r="B1160" s="2" t="str">
        <x:v>O00467</x:v>
      </x:c>
      <x:c r="C1160" s="7" t="n">
        <x:v>45757</x:v>
      </x:c>
      <x:c r="D1160" s="2" t="str">
        <x:v>Completed</x:v>
      </x:c>
      <x:c r="E1160" s="2" t="str">
        <x:v>East</x:v>
      </x:c>
      <x:c r="F1160" s="2" t="str">
        <x:v>Store</x:v>
      </x:c>
      <x:c r="G1160" s="2" t="str">
        <x:v>Furniture</x:v>
      </x:c>
      <x:c r="H1160" s="2" t="str">
        <x:v>Desk 016</x:v>
      </x:c>
      <x:c r="I1160" s="11" t="n">
        <x:v>4</x:v>
      </x:c>
      <x:c r="J1160" s="9" t="n">
        <x:v>231</x:v>
      </x:c>
      <x:c r="K1160" s="10" t="n">
        <x:v>0.1</x:v>
      </x:c>
      <x:c r="L1160" s="11" t="n">
        <x:v>0</x:v>
      </x:c>
      <x:c r="M1160" s="9" t="n">
        <x:f>IF(D1160="Completed",I1160*J1160,0)</x:f>
        <x:v>924</x:v>
      </x:c>
      <x:c r="N1160" s="9" t="n">
        <x:f>M1160*K1160</x:f>
        <x:v>92.4</x:v>
      </x:c>
      <x:c r="O1160" s="9" t="n">
        <x:f>M1160-N1160</x:f>
        <x:v>831.6</x:v>
      </x:c>
      <x:c r="P1160" s="9" t="n">
        <x:f>IF(D1160="Completed",L1160*J1160*(1-K1160),0)</x:f>
        <x:v>0</x:v>
      </x:c>
      <x:c r="Q1160" s="9" t="n">
        <x:f>O1160-P1160</x:f>
        <x:v>831.6</x:v>
      </x:c>
      <x:c r="R1160" s="11" t="n">
        <x:f>IF(D1160="Completed",I1160,0)</x:f>
        <x:v>4</x:v>
      </x:c>
      <x:c r="S1160" s="11" t="n">
        <x:f>IF(D1160="Completed",L1160,0)</x:f>
        <x:v>0</x:v>
      </x:c>
      <x:c r="T1160" s="8" t="n">
        <x:f>DATE(YEAR(C1160),MONTH(C1160),1)</x:f>
        <x:v>45748</x:v>
      </x:c>
    </x:row>
    <x:row r="1161" ht="22" customHeight="1">
      <x:c r="A1161" s="2" t="str">
        <x:v>L001157</x:v>
      </x:c>
      <x:c r="B1161" s="2" t="str">
        <x:v>O00467</x:v>
      </x:c>
      <x:c r="C1161" s="7" t="n">
        <x:v>45757</x:v>
      </x:c>
      <x:c r="D1161" s="2" t="str">
        <x:v>Completed</x:v>
      </x:c>
      <x:c r="E1161" s="2" t="str">
        <x:v>East</x:v>
      </x:c>
      <x:c r="F1161" s="2" t="str">
        <x:v>Store</x:v>
      </x:c>
      <x:c r="G1161" s="2" t="str">
        <x:v>Lighting</x:v>
      </x:c>
      <x:c r="H1161" s="2" t="str">
        <x:v>Lamp 013</x:v>
      </x:c>
      <x:c r="I1161" s="11" t="n">
        <x:v>2</x:v>
      </x:c>
      <x:c r="J1161" s="9" t="n">
        <x:v>271</x:v>
      </x:c>
      <x:c r="K1161" s="10" t="n">
        <x:v>0.2</x:v>
      </x:c>
      <x:c r="L1161" s="11" t="n">
        <x:v>0</x:v>
      </x:c>
      <x:c r="M1161" s="9" t="n">
        <x:f>IF(D1161="Completed",I1161*J1161,0)</x:f>
        <x:v>542</x:v>
      </x:c>
      <x:c r="N1161" s="9" t="n">
        <x:f>M1161*K1161</x:f>
        <x:v>108.4</x:v>
      </x:c>
      <x:c r="O1161" s="9" t="n">
        <x:f>M1161-N1161</x:f>
        <x:v>433.6</x:v>
      </x:c>
      <x:c r="P1161" s="9" t="n">
        <x:f>IF(D1161="Completed",L1161*J1161*(1-K1161),0)</x:f>
        <x:v>0</x:v>
      </x:c>
      <x:c r="Q1161" s="9" t="n">
        <x:f>O1161-P1161</x:f>
        <x:v>433.6</x:v>
      </x:c>
      <x:c r="R1161" s="11" t="n">
        <x:f>IF(D1161="Completed",I1161,0)</x:f>
        <x:v>2</x:v>
      </x:c>
      <x:c r="S1161" s="11" t="n">
        <x:f>IF(D1161="Completed",L1161,0)</x:f>
        <x:v>0</x:v>
      </x:c>
      <x:c r="T1161" s="8" t="n">
        <x:f>DATE(YEAR(C1161),MONTH(C1161),1)</x:f>
        <x:v>45748</x:v>
      </x:c>
    </x:row>
    <x:row r="1162" ht="22" customHeight="1">
      <x:c r="A1162" s="2" t="str">
        <x:v>L001158</x:v>
      </x:c>
      <x:c r="B1162" s="2" t="str">
        <x:v>O00467</x:v>
      </x:c>
      <x:c r="C1162" s="7" t="n">
        <x:v>45757</x:v>
      </x:c>
      <x:c r="D1162" s="2" t="str">
        <x:v>Completed</x:v>
      </x:c>
      <x:c r="E1162" s="2" t="str">
        <x:v>East</x:v>
      </x:c>
      <x:c r="F1162" s="2" t="str">
        <x:v>Store</x:v>
      </x:c>
      <x:c r="G1162" s="2" t="str">
        <x:v>Furniture</x:v>
      </x:c>
      <x:c r="H1162" s="2" t="str">
        <x:v>Desk 016</x:v>
      </x:c>
      <x:c r="I1162" s="11" t="n">
        <x:v>1</x:v>
      </x:c>
      <x:c r="J1162" s="9" t="n">
        <x:v>231</x:v>
      </x:c>
      <x:c r="K1162" s="10" t="n">
        <x:v>0.2</x:v>
      </x:c>
      <x:c r="L1162" s="11" t="n">
        <x:v>0</x:v>
      </x:c>
      <x:c r="M1162" s="9" t="n">
        <x:f>IF(D1162="Completed",I1162*J1162,0)</x:f>
        <x:v>231</x:v>
      </x:c>
      <x:c r="N1162" s="9" t="n">
        <x:f>M1162*K1162</x:f>
        <x:v>46.2</x:v>
      </x:c>
      <x:c r="O1162" s="9" t="n">
        <x:f>M1162-N1162</x:f>
        <x:v>184.8</x:v>
      </x:c>
      <x:c r="P1162" s="9" t="n">
        <x:f>IF(D1162="Completed",L1162*J1162*(1-K1162),0)</x:f>
        <x:v>0</x:v>
      </x:c>
      <x:c r="Q1162" s="9" t="n">
        <x:f>O1162-P1162</x:f>
        <x:v>184.8</x:v>
      </x:c>
      <x:c r="R1162" s="11" t="n">
        <x:f>IF(D1162="Completed",I1162,0)</x:f>
        <x:v>1</x:v>
      </x:c>
      <x:c r="S1162" s="11" t="n">
        <x:f>IF(D1162="Completed",L1162,0)</x:f>
        <x:v>0</x:v>
      </x:c>
      <x:c r="T1162" s="8" t="n">
        <x:f>DATE(YEAR(C1162),MONTH(C1162),1)</x:f>
        <x:v>45748</x:v>
      </x:c>
    </x:row>
    <x:row r="1163" ht="22" customHeight="1">
      <x:c r="A1163" s="2" t="str">
        <x:v>L001159</x:v>
      </x:c>
      <x:c r="B1163" s="2" t="str">
        <x:v>O00467</x:v>
      </x:c>
      <x:c r="C1163" s="7" t="n">
        <x:v>45757</x:v>
      </x:c>
      <x:c r="D1163" s="2" t="str">
        <x:v>Completed</x:v>
      </x:c>
      <x:c r="E1163" s="2" t="str">
        <x:v>East</x:v>
      </x:c>
      <x:c r="F1163" s="2" t="str">
        <x:v>Store</x:v>
      </x:c>
      <x:c r="G1163" s="2" t="str">
        <x:v>Furniture</x:v>
      </x:c>
      <x:c r="H1163" s="2" t="str">
        <x:v>Desk 020</x:v>
      </x:c>
      <x:c r="I1163" s="11" t="n">
        <x:v>4</x:v>
      </x:c>
      <x:c r="J1163" s="9" t="n">
        <x:v>189</x:v>
      </x:c>
      <x:c r="K1163" s="10" t="n">
        <x:v>0.05</x:v>
      </x:c>
      <x:c r="L1163" s="11" t="n">
        <x:v>1</x:v>
      </x:c>
      <x:c r="M1163" s="9" t="n">
        <x:f>IF(D1163="Completed",I1163*J1163,0)</x:f>
        <x:v>756</x:v>
      </x:c>
      <x:c r="N1163" s="9" t="n">
        <x:f>M1163*K1163</x:f>
        <x:v>37.800000000000004</x:v>
      </x:c>
      <x:c r="O1163" s="9" t="n">
        <x:f>M1163-N1163</x:f>
        <x:v>718.2</x:v>
      </x:c>
      <x:c r="P1163" s="9" t="n">
        <x:f>IF(D1163="Completed",L1163*J1163*(1-K1163),0)</x:f>
        <x:v>179.54999999999998</x:v>
      </x:c>
      <x:c r="Q1163" s="9" t="n">
        <x:f>O1163-P1163</x:f>
        <x:v>538.6500000000001</x:v>
      </x:c>
      <x:c r="R1163" s="11" t="n">
        <x:f>IF(D1163="Completed",I1163,0)</x:f>
        <x:v>4</x:v>
      </x:c>
      <x:c r="S1163" s="11" t="n">
        <x:f>IF(D1163="Completed",L1163,0)</x:f>
        <x:v>1</x:v>
      </x:c>
      <x:c r="T1163" s="8" t="n">
        <x:f>DATE(YEAR(C1163),MONTH(C1163),1)</x:f>
        <x:v>45748</x:v>
      </x:c>
    </x:row>
    <x:row r="1164" ht="22" customHeight="1">
      <x:c r="A1164" s="2" t="str">
        <x:v>L001160</x:v>
      </x:c>
      <x:c r="B1164" s="2" t="str">
        <x:v>O00468</x:v>
      </x:c>
      <x:c r="C1164" s="7" t="n">
        <x:v>45831</x:v>
      </x:c>
      <x:c r="D1164" s="2" t="str">
        <x:v>Completed</x:v>
      </x:c>
      <x:c r="E1164" s="2" t="str">
        <x:v>North</x:v>
      </x:c>
      <x:c r="F1164" s="2" t="str">
        <x:v>Online</x:v>
      </x:c>
      <x:c r="G1164" s="2" t="str">
        <x:v>Storage</x:v>
      </x:c>
      <x:c r="H1164" s="2" t="str">
        <x:v>Shelf 003</x:v>
      </x:c>
      <x:c r="I1164" s="11" t="n">
        <x:v>4</x:v>
      </x:c>
      <x:c r="J1164" s="9" t="n">
        <x:v>199</x:v>
      </x:c>
      <x:c r="K1164" s="10" t="n">
        <x:v>0.2</x:v>
      </x:c>
      <x:c r="L1164" s="11" t="n">
        <x:v>0</x:v>
      </x:c>
      <x:c r="M1164" s="9" t="n">
        <x:f>IF(D1164="Completed",I1164*J1164,0)</x:f>
        <x:v>796</x:v>
      </x:c>
      <x:c r="N1164" s="9" t="n">
        <x:f>M1164*K1164</x:f>
        <x:v>159.20000000000002</x:v>
      </x:c>
      <x:c r="O1164" s="9" t="n">
        <x:f>M1164-N1164</x:f>
        <x:v>636.8</x:v>
      </x:c>
      <x:c r="P1164" s="9" t="n">
        <x:f>IF(D1164="Completed",L1164*J1164*(1-K1164),0)</x:f>
        <x:v>0</x:v>
      </x:c>
      <x:c r="Q1164" s="9" t="n">
        <x:f>O1164-P1164</x:f>
        <x:v>636.8</x:v>
      </x:c>
      <x:c r="R1164" s="11" t="n">
        <x:f>IF(D1164="Completed",I1164,0)</x:f>
        <x:v>4</x:v>
      </x:c>
      <x:c r="S1164" s="11" t="n">
        <x:f>IF(D1164="Completed",L1164,0)</x:f>
        <x:v>0</x:v>
      </x:c>
      <x:c r="T1164" s="8" t="n">
        <x:f>DATE(YEAR(C1164),MONTH(C1164),1)</x:f>
        <x:v>45809</x:v>
      </x:c>
    </x:row>
    <x:row r="1165" ht="22" customHeight="1">
      <x:c r="A1165" s="2" t="str">
        <x:v>L001161</x:v>
      </x:c>
      <x:c r="B1165" s="2" t="str">
        <x:v>O00468</x:v>
      </x:c>
      <x:c r="C1165" s="7" t="n">
        <x:v>45831</x:v>
      </x:c>
      <x:c r="D1165" s="2" t="str">
        <x:v>Completed</x:v>
      </x:c>
      <x:c r="E1165" s="2" t="str">
        <x:v>North</x:v>
      </x:c>
      <x:c r="F1165" s="2" t="str">
        <x:v>Online</x:v>
      </x:c>
      <x:c r="G1165" s="2" t="str">
        <x:v>Furniture</x:v>
      </x:c>
      <x:c r="H1165" s="2" t="str">
        <x:v>Chair 010</x:v>
      </x:c>
      <x:c r="I1165" s="11" t="n">
        <x:v>5</x:v>
      </x:c>
      <x:c r="J1165" s="9" t="n">
        <x:v>211</x:v>
      </x:c>
      <x:c r="K1165" s="10" t="n">
        <x:v>0.1</x:v>
      </x:c>
      <x:c r="L1165" s="11" t="n">
        <x:v>0</x:v>
      </x:c>
      <x:c r="M1165" s="9" t="n">
        <x:f>IF(D1165="Completed",I1165*J1165,0)</x:f>
        <x:v>1055</x:v>
      </x:c>
      <x:c r="N1165" s="9" t="n">
        <x:f>M1165*K1165</x:f>
        <x:v>105.5</x:v>
      </x:c>
      <x:c r="O1165" s="9" t="n">
        <x:f>M1165-N1165</x:f>
        <x:v>949.5</x:v>
      </x:c>
      <x:c r="P1165" s="9" t="n">
        <x:f>IF(D1165="Completed",L1165*J1165*(1-K1165),0)</x:f>
        <x:v>0</x:v>
      </x:c>
      <x:c r="Q1165" s="9" t="n">
        <x:f>O1165-P1165</x:f>
        <x:v>949.5</x:v>
      </x:c>
      <x:c r="R1165" s="11" t="n">
        <x:f>IF(D1165="Completed",I1165,0)</x:f>
        <x:v>5</x:v>
      </x:c>
      <x:c r="S1165" s="11" t="n">
        <x:f>IF(D1165="Completed",L1165,0)</x:f>
        <x:v>0</x:v>
      </x:c>
      <x:c r="T1165" s="8" t="n">
        <x:f>DATE(YEAR(C1165),MONTH(C1165),1)</x:f>
        <x:v>45809</x:v>
      </x:c>
    </x:row>
    <x:row r="1166" ht="22" customHeight="1">
      <x:c r="A1166" s="2" t="str">
        <x:v>L001162</x:v>
      </x:c>
      <x:c r="B1166" s="2" t="str">
        <x:v>O00469</x:v>
      </x:c>
      <x:c r="C1166" s="7" t="n">
        <x:v>45984</x:v>
      </x:c>
      <x:c r="D1166" s="2" t="str">
        <x:v>Completed</x:v>
      </x:c>
      <x:c r="E1166" s="2" t="str">
        <x:v>North</x:v>
      </x:c>
      <x:c r="F1166" s="2" t="str">
        <x:v>Online</x:v>
      </x:c>
      <x:c r="G1166" s="2" t="str">
        <x:v>Furniture</x:v>
      </x:c>
      <x:c r="H1166" s="2" t="str">
        <x:v>Desk 012</x:v>
      </x:c>
      <x:c r="I1166" s="11" t="n">
        <x:v>5</x:v>
      </x:c>
      <x:c r="J1166" s="9" t="n">
        <x:v>134</x:v>
      </x:c>
      <x:c r="K1166" s="10" t="n">
        <x:v>0.2</x:v>
      </x:c>
      <x:c r="L1166" s="11" t="n">
        <x:v>0</x:v>
      </x:c>
      <x:c r="M1166" s="9" t="n">
        <x:f>IF(D1166="Completed",I1166*J1166,0)</x:f>
        <x:v>670</x:v>
      </x:c>
      <x:c r="N1166" s="9" t="n">
        <x:f>M1166*K1166</x:f>
        <x:v>134</x:v>
      </x:c>
      <x:c r="O1166" s="9" t="n">
        <x:f>M1166-N1166</x:f>
        <x:v>536</x:v>
      </x:c>
      <x:c r="P1166" s="9" t="n">
        <x:f>IF(D1166="Completed",L1166*J1166*(1-K1166),0)</x:f>
        <x:v>0</x:v>
      </x:c>
      <x:c r="Q1166" s="9" t="n">
        <x:f>O1166-P1166</x:f>
        <x:v>536</x:v>
      </x:c>
      <x:c r="R1166" s="11" t="n">
        <x:f>IF(D1166="Completed",I1166,0)</x:f>
        <x:v>5</x:v>
      </x:c>
      <x:c r="S1166" s="11" t="n">
        <x:f>IF(D1166="Completed",L1166,0)</x:f>
        <x:v>0</x:v>
      </x:c>
      <x:c r="T1166" s="8" t="n">
        <x:f>DATE(YEAR(C1166),MONTH(C1166),1)</x:f>
        <x:v>45962</x:v>
      </x:c>
    </x:row>
    <x:row r="1167" ht="22" customHeight="1">
      <x:c r="A1167" s="2" t="str">
        <x:v>L001163</x:v>
      </x:c>
      <x:c r="B1167" s="2" t="str">
        <x:v>O00469</x:v>
      </x:c>
      <x:c r="C1167" s="7" t="n">
        <x:v>45984</x:v>
      </x:c>
      <x:c r="D1167" s="2" t="str">
        <x:v>Completed</x:v>
      </x:c>
      <x:c r="E1167" s="2" t="str">
        <x:v>North</x:v>
      </x:c>
      <x:c r="F1167" s="2" t="str">
        <x:v>Online</x:v>
      </x:c>
      <x:c r="G1167" s="2" t="str">
        <x:v>Furniture</x:v>
      </x:c>
      <x:c r="H1167" s="2" t="str">
        <x:v>Desk 024</x:v>
      </x:c>
      <x:c r="I1167" s="11" t="n">
        <x:v>2</x:v>
      </x:c>
      <x:c r="J1167" s="9" t="n">
        <x:v>81</x:v>
      </x:c>
      <x:c r="K1167" s="10" t="n">
        <x:v>0.1</x:v>
      </x:c>
      <x:c r="L1167" s="11" t="n">
        <x:v>0</x:v>
      </x:c>
      <x:c r="M1167" s="9" t="n">
        <x:f>IF(D1167="Completed",I1167*J1167,0)</x:f>
        <x:v>162</x:v>
      </x:c>
      <x:c r="N1167" s="9" t="n">
        <x:f>M1167*K1167</x:f>
        <x:v>16.2</x:v>
      </x:c>
      <x:c r="O1167" s="9" t="n">
        <x:f>M1167-N1167</x:f>
        <x:v>145.8</x:v>
      </x:c>
      <x:c r="P1167" s="9" t="n">
        <x:f>IF(D1167="Completed",L1167*J1167*(1-K1167),0)</x:f>
        <x:v>0</x:v>
      </x:c>
      <x:c r="Q1167" s="9" t="n">
        <x:f>O1167-P1167</x:f>
        <x:v>145.8</x:v>
      </x:c>
      <x:c r="R1167" s="11" t="n">
        <x:f>IF(D1167="Completed",I1167,0)</x:f>
        <x:v>2</x:v>
      </x:c>
      <x:c r="S1167" s="11" t="n">
        <x:f>IF(D1167="Completed",L1167,0)</x:f>
        <x:v>0</x:v>
      </x:c>
      <x:c r="T1167" s="8" t="n">
        <x:f>DATE(YEAR(C1167),MONTH(C1167),1)</x:f>
        <x:v>45962</x:v>
      </x:c>
    </x:row>
    <x:row r="1168" ht="22" customHeight="1">
      <x:c r="A1168" s="2" t="str">
        <x:v>L001164</x:v>
      </x:c>
      <x:c r="B1168" s="2" t="str">
        <x:v>O00469</x:v>
      </x:c>
      <x:c r="C1168" s="7" t="n">
        <x:v>45984</x:v>
      </x:c>
      <x:c r="D1168" s="2" t="str">
        <x:v>Completed</x:v>
      </x:c>
      <x:c r="E1168" s="2" t="str">
        <x:v>North</x:v>
      </x:c>
      <x:c r="F1168" s="2" t="str">
        <x:v>Online</x:v>
      </x:c>
      <x:c r="G1168" s="2" t="str">
        <x:v>Storage</x:v>
      </x:c>
      <x:c r="H1168" s="2" t="str">
        <x:v>Shelf 019</x:v>
      </x:c>
      <x:c r="I1168" s="11" t="n">
        <x:v>3</x:v>
      </x:c>
      <x:c r="J1168" s="9" t="n">
        <x:v>78</x:v>
      </x:c>
      <x:c r="K1168" s="10" t="n">
        <x:v>0.1</x:v>
      </x:c>
      <x:c r="L1168" s="11" t="n">
        <x:v>0</x:v>
      </x:c>
      <x:c r="M1168" s="9" t="n">
        <x:f>IF(D1168="Completed",I1168*J1168,0)</x:f>
        <x:v>234</x:v>
      </x:c>
      <x:c r="N1168" s="9" t="n">
        <x:f>M1168*K1168</x:f>
        <x:v>23.400000000000002</x:v>
      </x:c>
      <x:c r="O1168" s="9" t="n">
        <x:f>M1168-N1168</x:f>
        <x:v>210.6</x:v>
      </x:c>
      <x:c r="P1168" s="9" t="n">
        <x:f>IF(D1168="Completed",L1168*J1168*(1-K1168),0)</x:f>
        <x:v>0</x:v>
      </x:c>
      <x:c r="Q1168" s="9" t="n">
        <x:f>O1168-P1168</x:f>
        <x:v>210.6</x:v>
      </x:c>
      <x:c r="R1168" s="11" t="n">
        <x:f>IF(D1168="Completed",I1168,0)</x:f>
        <x:v>3</x:v>
      </x:c>
      <x:c r="S1168" s="11" t="n">
        <x:f>IF(D1168="Completed",L1168,0)</x:f>
        <x:v>0</x:v>
      </x:c>
      <x:c r="T1168" s="8" t="n">
        <x:f>DATE(YEAR(C1168),MONTH(C1168),1)</x:f>
        <x:v>45962</x:v>
      </x:c>
    </x:row>
    <x:row r="1169" ht="22" customHeight="1">
      <x:c r="A1169" s="2" t="str">
        <x:v>L001165</x:v>
      </x:c>
      <x:c r="B1169" s="2" t="str">
        <x:v>O00470</x:v>
      </x:c>
      <x:c r="C1169" s="7" t="n">
        <x:v>45885</x:v>
      </x:c>
      <x:c r="D1169" s="2" t="str">
        <x:v>Completed</x:v>
      </x:c>
      <x:c r="E1169" s="2" t="str">
        <x:v>West</x:v>
      </x:c>
      <x:c r="F1169" s="2" t="str">
        <x:v>Online</x:v>
      </x:c>
      <x:c r="G1169" s="2" t="str">
        <x:v>Furniture</x:v>
      </x:c>
      <x:c r="H1169" s="2" t="str">
        <x:v>Desk 012</x:v>
      </x:c>
      <x:c r="I1169" s="11" t="n">
        <x:v>5</x:v>
      </x:c>
      <x:c r="J1169" s="9" t="n">
        <x:v>134</x:v>
      </x:c>
      <x:c r="K1169" s="10" t="n">
        <x:v>0.1</x:v>
      </x:c>
      <x:c r="L1169" s="11" t="n">
        <x:v>0</x:v>
      </x:c>
      <x:c r="M1169" s="9" t="n">
        <x:f>IF(D1169="Completed",I1169*J1169,0)</x:f>
        <x:v>670</x:v>
      </x:c>
      <x:c r="N1169" s="9" t="n">
        <x:f>M1169*K1169</x:f>
        <x:v>67</x:v>
      </x:c>
      <x:c r="O1169" s="9" t="n">
        <x:f>M1169-N1169</x:f>
        <x:v>603</x:v>
      </x:c>
      <x:c r="P1169" s="9" t="n">
        <x:f>IF(D1169="Completed",L1169*J1169*(1-K1169),0)</x:f>
        <x:v>0</x:v>
      </x:c>
      <x:c r="Q1169" s="9" t="n">
        <x:f>O1169-P1169</x:f>
        <x:v>603</x:v>
      </x:c>
      <x:c r="R1169" s="11" t="n">
        <x:f>IF(D1169="Completed",I1169,0)</x:f>
        <x:v>5</x:v>
      </x:c>
      <x:c r="S1169" s="11" t="n">
        <x:f>IF(D1169="Completed",L1169,0)</x:f>
        <x:v>0</x:v>
      </x:c>
      <x:c r="T1169" s="8" t="n">
        <x:f>DATE(YEAR(C1169),MONTH(C1169),1)</x:f>
        <x:v>45870</x:v>
      </x:c>
    </x:row>
    <x:row r="1170" ht="22" customHeight="1">
      <x:c r="A1170" s="2" t="str">
        <x:v>L001166</x:v>
      </x:c>
      <x:c r="B1170" s="2" t="str">
        <x:v>O00470</x:v>
      </x:c>
      <x:c r="C1170" s="7" t="n">
        <x:v>45885</x:v>
      </x:c>
      <x:c r="D1170" s="2" t="str">
        <x:v>Completed</x:v>
      </x:c>
      <x:c r="E1170" s="2" t="str">
        <x:v>West</x:v>
      </x:c>
      <x:c r="F1170" s="2" t="str">
        <x:v>Online</x:v>
      </x:c>
      <x:c r="G1170" s="2" t="str">
        <x:v>Storage</x:v>
      </x:c>
      <x:c r="H1170" s="2" t="str">
        <x:v>Shelf 007</x:v>
      </x:c>
      <x:c r="I1170" s="11" t="n">
        <x:v>1</x:v>
      </x:c>
      <x:c r="J1170" s="9" t="n">
        <x:v>35</x:v>
      </x:c>
      <x:c r="K1170" s="10" t="n">
        <x:v>0.05</x:v>
      </x:c>
      <x:c r="L1170" s="11" t="n">
        <x:v>0</x:v>
      </x:c>
      <x:c r="M1170" s="9" t="n">
        <x:f>IF(D1170="Completed",I1170*J1170,0)</x:f>
        <x:v>35</x:v>
      </x:c>
      <x:c r="N1170" s="9" t="n">
        <x:f>M1170*K1170</x:f>
        <x:v>1.75</x:v>
      </x:c>
      <x:c r="O1170" s="9" t="n">
        <x:f>M1170-N1170</x:f>
        <x:v>33.25</x:v>
      </x:c>
      <x:c r="P1170" s="9" t="n">
        <x:f>IF(D1170="Completed",L1170*J1170*(1-K1170),0)</x:f>
        <x:v>0</x:v>
      </x:c>
      <x:c r="Q1170" s="9" t="n">
        <x:f>O1170-P1170</x:f>
        <x:v>33.25</x:v>
      </x:c>
      <x:c r="R1170" s="11" t="n">
        <x:f>IF(D1170="Completed",I1170,0)</x:f>
        <x:v>1</x:v>
      </x:c>
      <x:c r="S1170" s="11" t="n">
        <x:f>IF(D1170="Completed",L1170,0)</x:f>
        <x:v>0</x:v>
      </x:c>
      <x:c r="T1170" s="8" t="n">
        <x:f>DATE(YEAR(C1170),MONTH(C1170),1)</x:f>
        <x:v>45870</x:v>
      </x:c>
    </x:row>
    <x:row r="1171" ht="22" customHeight="1">
      <x:c r="A1171" s="2" t="str">
        <x:v>L001167</x:v>
      </x:c>
      <x:c r="B1171" s="2" t="str">
        <x:v>O00471</x:v>
      </x:c>
      <x:c r="C1171" s="7" t="n">
        <x:v>45934</x:v>
      </x:c>
      <x:c r="D1171" s="2" t="str">
        <x:v>Cancelled</x:v>
      </x:c>
      <x:c r="E1171" s="2" t="str">
        <x:v>North</x:v>
      </x:c>
      <x:c r="F1171" s="2" t="str">
        <x:v>Online</x:v>
      </x:c>
      <x:c r="G1171" s="2" t="str">
        <x:v>Furniture</x:v>
      </x:c>
      <x:c r="H1171" s="2" t="str">
        <x:v>Chair 006</x:v>
      </x:c>
      <x:c r="I1171" s="11" t="n">
        <x:v>2</x:v>
      </x:c>
      <x:c r="J1171" s="9" t="n">
        <x:v>196</x:v>
      </x:c>
      <x:c r="K1171" s="10" t="n">
        <x:v>0.1</x:v>
      </x:c>
      <x:c r="L1171" s="11" t="n">
        <x:v>0</x:v>
      </x:c>
      <x:c r="M1171" s="9" t="n">
        <x:f>IF(D1171="Completed",I1171*J1171,0)</x:f>
        <x:v>0</x:v>
      </x:c>
      <x:c r="N1171" s="9" t="n">
        <x:f>M1171*K1171</x:f>
        <x:v>0</x:v>
      </x:c>
      <x:c r="O1171" s="9" t="n">
        <x:f>M1171-N1171</x:f>
        <x:v>0</x:v>
      </x:c>
      <x:c r="P1171" s="9" t="n">
        <x:f>IF(D1171="Completed",L1171*J1171*(1-K1171),0)</x:f>
        <x:v>0</x:v>
      </x:c>
      <x:c r="Q1171" s="9" t="n">
        <x:f>O1171-P1171</x:f>
        <x:v>0</x:v>
      </x:c>
      <x:c r="R1171" s="11" t="n">
        <x:f>IF(D1171="Completed",I1171,0)</x:f>
        <x:v>0</x:v>
      </x:c>
      <x:c r="S1171" s="11" t="n">
        <x:f>IF(D1171="Completed",L1171,0)</x:f>
        <x:v>0</x:v>
      </x:c>
      <x:c r="T1171" s="8" t="n">
        <x:f>DATE(YEAR(C1171),MONTH(C1171),1)</x:f>
        <x:v>45931</x:v>
      </x:c>
    </x:row>
    <x:row r="1172" ht="22" customHeight="1">
      <x:c r="A1172" s="2" t="str">
        <x:v>L001168</x:v>
      </x:c>
      <x:c r="B1172" s="2" t="str">
        <x:v>O00471</x:v>
      </x:c>
      <x:c r="C1172" s="7" t="n">
        <x:v>45934</x:v>
      </x:c>
      <x:c r="D1172" s="2" t="str">
        <x:v>Cancelled</x:v>
      </x:c>
      <x:c r="E1172" s="2" t="str">
        <x:v>North</x:v>
      </x:c>
      <x:c r="F1172" s="2" t="str">
        <x:v>Online</x:v>
      </x:c>
      <x:c r="G1172" s="2" t="str">
        <x:v>Storage</x:v>
      </x:c>
      <x:c r="H1172" s="2" t="str">
        <x:v>Shelf 023</x:v>
      </x:c>
      <x:c r="I1172" s="11" t="n">
        <x:v>5</x:v>
      </x:c>
      <x:c r="J1172" s="9" t="n">
        <x:v>68</x:v>
      </x:c>
      <x:c r="K1172" s="10" t="n">
        <x:v>0.1</x:v>
      </x:c>
      <x:c r="L1172" s="11" t="n">
        <x:v>0</x:v>
      </x:c>
      <x:c r="M1172" s="9" t="n">
        <x:f>IF(D1172="Completed",I1172*J1172,0)</x:f>
        <x:v>0</x:v>
      </x:c>
      <x:c r="N1172" s="9" t="n">
        <x:f>M1172*K1172</x:f>
        <x:v>0</x:v>
      </x:c>
      <x:c r="O1172" s="9" t="n">
        <x:f>M1172-N1172</x:f>
        <x:v>0</x:v>
      </x:c>
      <x:c r="P1172" s="9" t="n">
        <x:f>IF(D1172="Completed",L1172*J1172*(1-K1172),0)</x:f>
        <x:v>0</x:v>
      </x:c>
      <x:c r="Q1172" s="9" t="n">
        <x:f>O1172-P1172</x:f>
        <x:v>0</x:v>
      </x:c>
      <x:c r="R1172" s="11" t="n">
        <x:f>IF(D1172="Completed",I1172,0)</x:f>
        <x:v>0</x:v>
      </x:c>
      <x:c r="S1172" s="11" t="n">
        <x:f>IF(D1172="Completed",L1172,0)</x:f>
        <x:v>0</x:v>
      </x:c>
      <x:c r="T1172" s="8" t="n">
        <x:f>DATE(YEAR(C1172),MONTH(C1172),1)</x:f>
        <x:v>45931</x:v>
      </x:c>
    </x:row>
    <x:row r="1173" ht="22" customHeight="1">
      <x:c r="A1173" s="2" t="str">
        <x:v>L001169</x:v>
      </x:c>
      <x:c r="B1173" s="2" t="str">
        <x:v>O00471</x:v>
      </x:c>
      <x:c r="C1173" s="7" t="n">
        <x:v>45934</x:v>
      </x:c>
      <x:c r="D1173" s="2" t="str">
        <x:v>Cancelled</x:v>
      </x:c>
      <x:c r="E1173" s="2" t="str">
        <x:v>North</x:v>
      </x:c>
      <x:c r="F1173" s="2" t="str">
        <x:v>Online</x:v>
      </x:c>
      <x:c r="G1173" s="2" t="str">
        <x:v>Storage</x:v>
      </x:c>
      <x:c r="H1173" s="2" t="str">
        <x:v>Shelf 015</x:v>
      </x:c>
      <x:c r="I1173" s="11" t="n">
        <x:v>5</x:v>
      </x:c>
      <x:c r="J1173" s="9" t="n">
        <x:v>254</x:v>
      </x:c>
      <x:c r="K1173" s="10" t="n">
        <x:v>0.2</x:v>
      </x:c>
      <x:c r="L1173" s="11" t="n">
        <x:v>0</x:v>
      </x:c>
      <x:c r="M1173" s="9" t="n">
        <x:f>IF(D1173="Completed",I1173*J1173,0)</x:f>
        <x:v>0</x:v>
      </x:c>
      <x:c r="N1173" s="9" t="n">
        <x:f>M1173*K1173</x:f>
        <x:v>0</x:v>
      </x:c>
      <x:c r="O1173" s="9" t="n">
        <x:f>M1173-N1173</x:f>
        <x:v>0</x:v>
      </x:c>
      <x:c r="P1173" s="9" t="n">
        <x:f>IF(D1173="Completed",L1173*J1173*(1-K1173),0)</x:f>
        <x:v>0</x:v>
      </x:c>
      <x:c r="Q1173" s="9" t="n">
        <x:f>O1173-P1173</x:f>
        <x:v>0</x:v>
      </x:c>
      <x:c r="R1173" s="11" t="n">
        <x:f>IF(D1173="Completed",I1173,0)</x:f>
        <x:v>0</x:v>
      </x:c>
      <x:c r="S1173" s="11" t="n">
        <x:f>IF(D1173="Completed",L1173,0)</x:f>
        <x:v>0</x:v>
      </x:c>
      <x:c r="T1173" s="8" t="n">
        <x:f>DATE(YEAR(C1173),MONTH(C1173),1)</x:f>
        <x:v>45931</x:v>
      </x:c>
    </x:row>
    <x:row r="1174" ht="22" customHeight="1">
      <x:c r="A1174" s="2" t="str">
        <x:v>L001170</x:v>
      </x:c>
      <x:c r="B1174" s="2" t="str">
        <x:v>O00472</x:v>
      </x:c>
      <x:c r="C1174" s="7" t="n">
        <x:v>45755</x:v>
      </x:c>
      <x:c r="D1174" s="2" t="str">
        <x:v>Completed</x:v>
      </x:c>
      <x:c r="E1174" s="2" t="str">
        <x:v>South</x:v>
      </x:c>
      <x:c r="F1174" s="2" t="str">
        <x:v>Store</x:v>
      </x:c>
      <x:c r="G1174" s="2" t="str">
        <x:v>Lighting</x:v>
      </x:c>
      <x:c r="H1174" s="2" t="str">
        <x:v>Lamp 001</x:v>
      </x:c>
      <x:c r="I1174" s="11" t="n">
        <x:v>5</x:v>
      </x:c>
      <x:c r="J1174" s="9" t="n">
        <x:v>122</x:v>
      </x:c>
      <x:c r="K1174" s="10" t="n">
        <x:v>0</x:v>
      </x:c>
      <x:c r="L1174" s="11" t="n">
        <x:v>0</x:v>
      </x:c>
      <x:c r="M1174" s="9" t="n">
        <x:f>IF(D1174="Completed",I1174*J1174,0)</x:f>
        <x:v>610</x:v>
      </x:c>
      <x:c r="N1174" s="9" t="n">
        <x:f>M1174*K1174</x:f>
        <x:v>0</x:v>
      </x:c>
      <x:c r="O1174" s="9" t="n">
        <x:f>M1174-N1174</x:f>
        <x:v>610</x:v>
      </x:c>
      <x:c r="P1174" s="9" t="n">
        <x:f>IF(D1174="Completed",L1174*J1174*(1-K1174),0)</x:f>
        <x:v>0</x:v>
      </x:c>
      <x:c r="Q1174" s="9" t="n">
        <x:f>O1174-P1174</x:f>
        <x:v>610</x:v>
      </x:c>
      <x:c r="R1174" s="11" t="n">
        <x:f>IF(D1174="Completed",I1174,0)</x:f>
        <x:v>5</x:v>
      </x:c>
      <x:c r="S1174" s="11" t="n">
        <x:f>IF(D1174="Completed",L1174,0)</x:f>
        <x:v>0</x:v>
      </x:c>
      <x:c r="T1174" s="8" t="n">
        <x:f>DATE(YEAR(C1174),MONTH(C1174),1)</x:f>
        <x:v>45748</x:v>
      </x:c>
    </x:row>
    <x:row r="1175" ht="22" customHeight="1">
      <x:c r="A1175" s="2" t="str">
        <x:v>L001171</x:v>
      </x:c>
      <x:c r="B1175" s="2" t="str">
        <x:v>O00472</x:v>
      </x:c>
      <x:c r="C1175" s="7" t="n">
        <x:v>45755</x:v>
      </x:c>
      <x:c r="D1175" s="2" t="str">
        <x:v>Completed</x:v>
      </x:c>
      <x:c r="E1175" s="2" t="str">
        <x:v>South</x:v>
      </x:c>
      <x:c r="F1175" s="2" t="str">
        <x:v>Store</x:v>
      </x:c>
      <x:c r="G1175" s="2" t="str">
        <x:v>Lighting</x:v>
      </x:c>
      <x:c r="H1175" s="2" t="str">
        <x:v>Lamp 021</x:v>
      </x:c>
      <x:c r="I1175" s="11" t="n">
        <x:v>5</x:v>
      </x:c>
      <x:c r="J1175" s="9" t="n">
        <x:v>249</x:v>
      </x:c>
      <x:c r="K1175" s="10" t="n">
        <x:v>0.05</x:v>
      </x:c>
      <x:c r="L1175" s="11" t="n">
        <x:v>0</x:v>
      </x:c>
      <x:c r="M1175" s="9" t="n">
        <x:f>IF(D1175="Completed",I1175*J1175,0)</x:f>
        <x:v>1245</x:v>
      </x:c>
      <x:c r="N1175" s="9" t="n">
        <x:f>M1175*K1175</x:f>
        <x:v>62.25</x:v>
      </x:c>
      <x:c r="O1175" s="9" t="n">
        <x:f>M1175-N1175</x:f>
        <x:v>1182.75</x:v>
      </x:c>
      <x:c r="P1175" s="9" t="n">
        <x:f>IF(D1175="Completed",L1175*J1175*(1-K1175),0)</x:f>
        <x:v>0</x:v>
      </x:c>
      <x:c r="Q1175" s="9" t="n">
        <x:f>O1175-P1175</x:f>
        <x:v>1182.75</x:v>
      </x:c>
      <x:c r="R1175" s="11" t="n">
        <x:f>IF(D1175="Completed",I1175,0)</x:f>
        <x:v>5</x:v>
      </x:c>
      <x:c r="S1175" s="11" t="n">
        <x:f>IF(D1175="Completed",L1175,0)</x:f>
        <x:v>0</x:v>
      </x:c>
      <x:c r="T1175" s="8" t="n">
        <x:f>DATE(YEAR(C1175),MONTH(C1175),1)</x:f>
        <x:v>45748</x:v>
      </x:c>
    </x:row>
    <x:row r="1176" ht="22" customHeight="1">
      <x:c r="A1176" s="2" t="str">
        <x:v>L001172</x:v>
      </x:c>
      <x:c r="B1176" s="2" t="str">
        <x:v>O00472</x:v>
      </x:c>
      <x:c r="C1176" s="7" t="n">
        <x:v>45755</x:v>
      </x:c>
      <x:c r="D1176" s="2" t="str">
        <x:v>Completed</x:v>
      </x:c>
      <x:c r="E1176" s="2" t="str">
        <x:v>South</x:v>
      </x:c>
      <x:c r="F1176" s="2" t="str">
        <x:v>Store</x:v>
      </x:c>
      <x:c r="G1176" s="2" t="str">
        <x:v>Lighting</x:v>
      </x:c>
      <x:c r="H1176" s="2" t="str">
        <x:v>Lamp 001</x:v>
      </x:c>
      <x:c r="I1176" s="11" t="n">
        <x:v>2</x:v>
      </x:c>
      <x:c r="J1176" s="9" t="n">
        <x:v>122</x:v>
      </x:c>
      <x:c r="K1176" s="10" t="n">
        <x:v>0.05</x:v>
      </x:c>
      <x:c r="L1176" s="11" t="n">
        <x:v>0</x:v>
      </x:c>
      <x:c r="M1176" s="9" t="n">
        <x:f>IF(D1176="Completed",I1176*J1176,0)</x:f>
        <x:v>244</x:v>
      </x:c>
      <x:c r="N1176" s="9" t="n">
        <x:f>M1176*K1176</x:f>
        <x:v>12.200000000000001</x:v>
      </x:c>
      <x:c r="O1176" s="9" t="n">
        <x:f>M1176-N1176</x:f>
        <x:v>231.8</x:v>
      </x:c>
      <x:c r="P1176" s="9" t="n">
        <x:f>IF(D1176="Completed",L1176*J1176*(1-K1176),0)</x:f>
        <x:v>0</x:v>
      </x:c>
      <x:c r="Q1176" s="9" t="n">
        <x:f>O1176-P1176</x:f>
        <x:v>231.8</x:v>
      </x:c>
      <x:c r="R1176" s="11" t="n">
        <x:f>IF(D1176="Completed",I1176,0)</x:f>
        <x:v>2</x:v>
      </x:c>
      <x:c r="S1176" s="11" t="n">
        <x:f>IF(D1176="Completed",L1176,0)</x:f>
        <x:v>0</x:v>
      </x:c>
      <x:c r="T1176" s="8" t="n">
        <x:f>DATE(YEAR(C1176),MONTH(C1176),1)</x:f>
        <x:v>45748</x:v>
      </x:c>
    </x:row>
    <x:row r="1177" ht="22" customHeight="1">
      <x:c r="A1177" s="2" t="str">
        <x:v>L001173</x:v>
      </x:c>
      <x:c r="B1177" s="2" t="str">
        <x:v>O00472</x:v>
      </x:c>
      <x:c r="C1177" s="7" t="n">
        <x:v>45755</x:v>
      </x:c>
      <x:c r="D1177" s="2" t="str">
        <x:v>Completed</x:v>
      </x:c>
      <x:c r="E1177" s="2" t="str">
        <x:v>South</x:v>
      </x:c>
      <x:c r="F1177" s="2" t="str">
        <x:v>Store</x:v>
      </x:c>
      <x:c r="G1177" s="2" t="str">
        <x:v>Furniture</x:v>
      </x:c>
      <x:c r="H1177" s="2" t="str">
        <x:v>Chair 022</x:v>
      </x:c>
      <x:c r="I1177" s="11" t="n">
        <x:v>2</x:v>
      </x:c>
      <x:c r="J1177" s="9" t="n">
        <x:v>134</x:v>
      </x:c>
      <x:c r="K1177" s="10" t="n">
        <x:v>0.05</x:v>
      </x:c>
      <x:c r="L1177" s="11" t="n">
        <x:v>0</x:v>
      </x:c>
      <x:c r="M1177" s="9" t="n">
        <x:f>IF(D1177="Completed",I1177*J1177,0)</x:f>
        <x:v>268</x:v>
      </x:c>
      <x:c r="N1177" s="9" t="n">
        <x:f>M1177*K1177</x:f>
        <x:v>13.4</x:v>
      </x:c>
      <x:c r="O1177" s="9" t="n">
        <x:f>M1177-N1177</x:f>
        <x:v>254.6</x:v>
      </x:c>
      <x:c r="P1177" s="9" t="n">
        <x:f>IF(D1177="Completed",L1177*J1177*(1-K1177),0)</x:f>
        <x:v>0</x:v>
      </x:c>
      <x:c r="Q1177" s="9" t="n">
        <x:f>O1177-P1177</x:f>
        <x:v>254.6</x:v>
      </x:c>
      <x:c r="R1177" s="11" t="n">
        <x:f>IF(D1177="Completed",I1177,0)</x:f>
        <x:v>2</x:v>
      </x:c>
      <x:c r="S1177" s="11" t="n">
        <x:f>IF(D1177="Completed",L1177,0)</x:f>
        <x:v>0</x:v>
      </x:c>
      <x:c r="T1177" s="8" t="n">
        <x:f>DATE(YEAR(C1177),MONTH(C1177),1)</x:f>
        <x:v>45748</x:v>
      </x:c>
    </x:row>
    <x:row r="1178" ht="22" customHeight="1">
      <x:c r="A1178" s="2" t="str">
        <x:v>L001174</x:v>
      </x:c>
      <x:c r="B1178" s="2" t="str">
        <x:v>O00473</x:v>
      </x:c>
      <x:c r="C1178" s="7" t="n">
        <x:v>45662</x:v>
      </x:c>
      <x:c r="D1178" s="2" t="str">
        <x:v>Completed</x:v>
      </x:c>
      <x:c r="E1178" s="2" t="str">
        <x:v>South</x:v>
      </x:c>
      <x:c r="F1178" s="2" t="str">
        <x:v>Online</x:v>
      </x:c>
      <x:c r="G1178" s="2" t="str">
        <x:v>Furniture</x:v>
      </x:c>
      <x:c r="H1178" s="2" t="str">
        <x:v>Chair 002</x:v>
      </x:c>
      <x:c r="I1178" s="11" t="n">
        <x:v>5</x:v>
      </x:c>
      <x:c r="J1178" s="9" t="n">
        <x:v>284</x:v>
      </x:c>
      <x:c r="K1178" s="10" t="n">
        <x:v>0.2</x:v>
      </x:c>
      <x:c r="L1178" s="11" t="n">
        <x:v>1</x:v>
      </x:c>
      <x:c r="M1178" s="9" t="n">
        <x:f>IF(D1178="Completed",I1178*J1178,0)</x:f>
        <x:v>1420</x:v>
      </x:c>
      <x:c r="N1178" s="9" t="n">
        <x:f>M1178*K1178</x:f>
        <x:v>284</x:v>
      </x:c>
      <x:c r="O1178" s="9" t="n">
        <x:f>M1178-N1178</x:f>
        <x:v>1136</x:v>
      </x:c>
      <x:c r="P1178" s="9" t="n">
        <x:f>IF(D1178="Completed",L1178*J1178*(1-K1178),0)</x:f>
        <x:v>227.20000000000002</x:v>
      </x:c>
      <x:c r="Q1178" s="9" t="n">
        <x:f>O1178-P1178</x:f>
        <x:v>908.8</x:v>
      </x:c>
      <x:c r="R1178" s="11" t="n">
        <x:f>IF(D1178="Completed",I1178,0)</x:f>
        <x:v>5</x:v>
      </x:c>
      <x:c r="S1178" s="11" t="n">
        <x:f>IF(D1178="Completed",L1178,0)</x:f>
        <x:v>1</x:v>
      </x:c>
      <x:c r="T1178" s="8" t="n">
        <x:f>DATE(YEAR(C1178),MONTH(C1178),1)</x:f>
        <x:v>45658</x:v>
      </x:c>
    </x:row>
    <x:row r="1179" ht="22" customHeight="1">
      <x:c r="A1179" s="2" t="str">
        <x:v>L001175</x:v>
      </x:c>
      <x:c r="B1179" s="2" t="str">
        <x:v>O00473</x:v>
      </x:c>
      <x:c r="C1179" s="7" t="n">
        <x:v>45662</x:v>
      </x:c>
      <x:c r="D1179" s="2" t="str">
        <x:v>Completed</x:v>
      </x:c>
      <x:c r="E1179" s="2" t="str">
        <x:v>South</x:v>
      </x:c>
      <x:c r="F1179" s="2" t="str">
        <x:v>Online</x:v>
      </x:c>
      <x:c r="G1179" s="2" t="str">
        <x:v>Lighting</x:v>
      </x:c>
      <x:c r="H1179" s="2" t="str">
        <x:v>Lamp 001</x:v>
      </x:c>
      <x:c r="I1179" s="11" t="n">
        <x:v>4</x:v>
      </x:c>
      <x:c r="J1179" s="9" t="n">
        <x:v>122</x:v>
      </x:c>
      <x:c r="K1179" s="10" t="n">
        <x:v>0</x:v>
      </x:c>
      <x:c r="L1179" s="11" t="n">
        <x:v>0</x:v>
      </x:c>
      <x:c r="M1179" s="9" t="n">
        <x:f>IF(D1179="Completed",I1179*J1179,0)</x:f>
        <x:v>488</x:v>
      </x:c>
      <x:c r="N1179" s="9" t="n">
        <x:f>M1179*K1179</x:f>
        <x:v>0</x:v>
      </x:c>
      <x:c r="O1179" s="9" t="n">
        <x:f>M1179-N1179</x:f>
        <x:v>488</x:v>
      </x:c>
      <x:c r="P1179" s="9" t="n">
        <x:f>IF(D1179="Completed",L1179*J1179*(1-K1179),0)</x:f>
        <x:v>0</x:v>
      </x:c>
      <x:c r="Q1179" s="9" t="n">
        <x:f>O1179-P1179</x:f>
        <x:v>488</x:v>
      </x:c>
      <x:c r="R1179" s="11" t="n">
        <x:f>IF(D1179="Completed",I1179,0)</x:f>
        <x:v>4</x:v>
      </x:c>
      <x:c r="S1179" s="11" t="n">
        <x:f>IF(D1179="Completed",L1179,0)</x:f>
        <x:v>0</x:v>
      </x:c>
      <x:c r="T1179" s="8" t="n">
        <x:f>DATE(YEAR(C1179),MONTH(C1179),1)</x:f>
        <x:v>45658</x:v>
      </x:c>
    </x:row>
    <x:row r="1180" ht="22" customHeight="1">
      <x:c r="A1180" s="2" t="str">
        <x:v>L001176</x:v>
      </x:c>
      <x:c r="B1180" s="2" t="str">
        <x:v>O00474</x:v>
      </x:c>
      <x:c r="C1180" s="7" t="n">
        <x:v>45781</x:v>
      </x:c>
      <x:c r="D1180" s="2" t="str">
        <x:v>Completed</x:v>
      </x:c>
      <x:c r="E1180" s="2" t="str">
        <x:v>West</x:v>
      </x:c>
      <x:c r="F1180" s="2" t="str">
        <x:v>Online</x:v>
      </x:c>
      <x:c r="G1180" s="2" t="str">
        <x:v>Furniture</x:v>
      </x:c>
      <x:c r="H1180" s="2" t="str">
        <x:v>Desk 016</x:v>
      </x:c>
      <x:c r="I1180" s="11" t="n">
        <x:v>2</x:v>
      </x:c>
      <x:c r="J1180" s="9" t="n">
        <x:v>231</x:v>
      </x:c>
      <x:c r="K1180" s="10" t="n">
        <x:v>0</x:v>
      </x:c>
      <x:c r="L1180" s="11" t="n">
        <x:v>0</x:v>
      </x:c>
      <x:c r="M1180" s="9" t="n">
        <x:f>IF(D1180="Completed",I1180*J1180,0)</x:f>
        <x:v>462</x:v>
      </x:c>
      <x:c r="N1180" s="9" t="n">
        <x:f>M1180*K1180</x:f>
        <x:v>0</x:v>
      </x:c>
      <x:c r="O1180" s="9" t="n">
        <x:f>M1180-N1180</x:f>
        <x:v>462</x:v>
      </x:c>
      <x:c r="P1180" s="9" t="n">
        <x:f>IF(D1180="Completed",L1180*J1180*(1-K1180),0)</x:f>
        <x:v>0</x:v>
      </x:c>
      <x:c r="Q1180" s="9" t="n">
        <x:f>O1180-P1180</x:f>
        <x:v>462</x:v>
      </x:c>
      <x:c r="R1180" s="11" t="n">
        <x:f>IF(D1180="Completed",I1180,0)</x:f>
        <x:v>2</x:v>
      </x:c>
      <x:c r="S1180" s="11" t="n">
        <x:f>IF(D1180="Completed",L1180,0)</x:f>
        <x:v>0</x:v>
      </x:c>
      <x:c r="T1180" s="8" t="n">
        <x:f>DATE(YEAR(C1180),MONTH(C1180),1)</x:f>
        <x:v>45778</x:v>
      </x:c>
    </x:row>
    <x:row r="1181" ht="22" customHeight="1">
      <x:c r="A1181" s="2" t="str">
        <x:v>L001177</x:v>
      </x:c>
      <x:c r="B1181" s="2" t="str">
        <x:v>O00474</x:v>
      </x:c>
      <x:c r="C1181" s="7" t="n">
        <x:v>45781</x:v>
      </x:c>
      <x:c r="D1181" s="2" t="str">
        <x:v>Completed</x:v>
      </x:c>
      <x:c r="E1181" s="2" t="str">
        <x:v>West</x:v>
      </x:c>
      <x:c r="F1181" s="2" t="str">
        <x:v>Online</x:v>
      </x:c>
      <x:c r="G1181" s="2" t="str">
        <x:v>Lighting</x:v>
      </x:c>
      <x:c r="H1181" s="2" t="str">
        <x:v>Lamp 013</x:v>
      </x:c>
      <x:c r="I1181" s="11" t="n">
        <x:v>4</x:v>
      </x:c>
      <x:c r="J1181" s="9" t="n">
        <x:v>271</x:v>
      </x:c>
      <x:c r="K1181" s="10" t="n">
        <x:v>0.1</x:v>
      </x:c>
      <x:c r="L1181" s="11" t="n">
        <x:v>0</x:v>
      </x:c>
      <x:c r="M1181" s="9" t="n">
        <x:f>IF(D1181="Completed",I1181*J1181,0)</x:f>
        <x:v>1084</x:v>
      </x:c>
      <x:c r="N1181" s="9" t="n">
        <x:f>M1181*K1181</x:f>
        <x:v>108.4</x:v>
      </x:c>
      <x:c r="O1181" s="9" t="n">
        <x:f>M1181-N1181</x:f>
        <x:v>975.6</x:v>
      </x:c>
      <x:c r="P1181" s="9" t="n">
        <x:f>IF(D1181="Completed",L1181*J1181*(1-K1181),0)</x:f>
        <x:v>0</x:v>
      </x:c>
      <x:c r="Q1181" s="9" t="n">
        <x:f>O1181-P1181</x:f>
        <x:v>975.6</x:v>
      </x:c>
      <x:c r="R1181" s="11" t="n">
        <x:f>IF(D1181="Completed",I1181,0)</x:f>
        <x:v>4</x:v>
      </x:c>
      <x:c r="S1181" s="11" t="n">
        <x:f>IF(D1181="Completed",L1181,0)</x:f>
        <x:v>0</x:v>
      </x:c>
      <x:c r="T1181" s="8" t="n">
        <x:f>DATE(YEAR(C1181),MONTH(C1181),1)</x:f>
        <x:v>45778</x:v>
      </x:c>
    </x:row>
    <x:row r="1182" ht="22" customHeight="1">
      <x:c r="A1182" s="2" t="str">
        <x:v>L001178</x:v>
      </x:c>
      <x:c r="B1182" s="2" t="str">
        <x:v>O00475</x:v>
      </x:c>
      <x:c r="C1182" s="7" t="n">
        <x:v>45831</x:v>
      </x:c>
      <x:c r="D1182" s="2" t="str">
        <x:v>Cancelled</x:v>
      </x:c>
      <x:c r="E1182" s="2" t="str">
        <x:v>South</x:v>
      </x:c>
      <x:c r="F1182" s="2" t="str">
        <x:v>Online</x:v>
      </x:c>
      <x:c r="G1182" s="2" t="str">
        <x:v>Lighting</x:v>
      </x:c>
      <x:c r="H1182" s="2" t="str">
        <x:v>Lamp 013</x:v>
      </x:c>
      <x:c r="I1182" s="11" t="n">
        <x:v>1</x:v>
      </x:c>
      <x:c r="J1182" s="9" t="n">
        <x:v>271</x:v>
      </x:c>
      <x:c r="K1182" s="10" t="n">
        <x:v>0</x:v>
      </x:c>
      <x:c r="L1182" s="11" t="n">
        <x:v>0</x:v>
      </x:c>
      <x:c r="M1182" s="9" t="n">
        <x:f>IF(D1182="Completed",I1182*J1182,0)</x:f>
        <x:v>0</x:v>
      </x:c>
      <x:c r="N1182" s="9" t="n">
        <x:f>M1182*K1182</x:f>
        <x:v>0</x:v>
      </x:c>
      <x:c r="O1182" s="9" t="n">
        <x:f>M1182-N1182</x:f>
        <x:v>0</x:v>
      </x:c>
      <x:c r="P1182" s="9" t="n">
        <x:f>IF(D1182="Completed",L1182*J1182*(1-K1182),0)</x:f>
        <x:v>0</x:v>
      </x:c>
      <x:c r="Q1182" s="9" t="n">
        <x:f>O1182-P1182</x:f>
        <x:v>0</x:v>
      </x:c>
      <x:c r="R1182" s="11" t="n">
        <x:f>IF(D1182="Completed",I1182,0)</x:f>
        <x:v>0</x:v>
      </x:c>
      <x:c r="S1182" s="11" t="n">
        <x:f>IF(D1182="Completed",L1182,0)</x:f>
        <x:v>0</x:v>
      </x:c>
      <x:c r="T1182" s="8" t="n">
        <x:f>DATE(YEAR(C1182),MONTH(C1182),1)</x:f>
        <x:v>45809</x:v>
      </x:c>
    </x:row>
    <x:row r="1183" ht="22" customHeight="1">
      <x:c r="A1183" s="2" t="str">
        <x:v>L001179</x:v>
      </x:c>
      <x:c r="B1183" s="2" t="str">
        <x:v>O00476</x:v>
      </x:c>
      <x:c r="C1183" s="7" t="n">
        <x:v>45742</x:v>
      </x:c>
      <x:c r="D1183" s="2" t="str">
        <x:v>Completed</x:v>
      </x:c>
      <x:c r="E1183" s="2" t="str">
        <x:v>East</x:v>
      </x:c>
      <x:c r="F1183" s="2" t="str">
        <x:v>Online</x:v>
      </x:c>
      <x:c r="G1183" s="2" t="str">
        <x:v>Furniture</x:v>
      </x:c>
      <x:c r="H1183" s="2" t="str">
        <x:v>Desk 016</x:v>
      </x:c>
      <x:c r="I1183" s="11" t="n">
        <x:v>5</x:v>
      </x:c>
      <x:c r="J1183" s="9" t="n">
        <x:v>231</x:v>
      </x:c>
      <x:c r="K1183" s="10" t="n">
        <x:v>0.1</x:v>
      </x:c>
      <x:c r="L1183" s="11" t="n">
        <x:v>4</x:v>
      </x:c>
      <x:c r="M1183" s="9" t="n">
        <x:f>IF(D1183="Completed",I1183*J1183,0)</x:f>
        <x:v>1155</x:v>
      </x:c>
      <x:c r="N1183" s="9" t="n">
        <x:f>M1183*K1183</x:f>
        <x:v>115.5</x:v>
      </x:c>
      <x:c r="O1183" s="9" t="n">
        <x:f>M1183-N1183</x:f>
        <x:v>1039.5</x:v>
      </x:c>
      <x:c r="P1183" s="9" t="n">
        <x:f>IF(D1183="Completed",L1183*J1183*(1-K1183),0)</x:f>
        <x:v>831.6</x:v>
      </x:c>
      <x:c r="Q1183" s="9" t="n">
        <x:f>O1183-P1183</x:f>
        <x:v>207.89999999999998</x:v>
      </x:c>
      <x:c r="R1183" s="11" t="n">
        <x:f>IF(D1183="Completed",I1183,0)</x:f>
        <x:v>5</x:v>
      </x:c>
      <x:c r="S1183" s="11" t="n">
        <x:f>IF(D1183="Completed",L1183,0)</x:f>
        <x:v>4</x:v>
      </x:c>
      <x:c r="T1183" s="8" t="n">
        <x:f>DATE(YEAR(C1183),MONTH(C1183),1)</x:f>
        <x:v>45717</x:v>
      </x:c>
    </x:row>
    <x:row r="1184" ht="22" customHeight="1">
      <x:c r="A1184" s="2" t="str">
        <x:v>L001180</x:v>
      </x:c>
      <x:c r="B1184" s="2" t="str">
        <x:v>O00476</x:v>
      </x:c>
      <x:c r="C1184" s="7" t="n">
        <x:v>45742</x:v>
      </x:c>
      <x:c r="D1184" s="2" t="str">
        <x:v>Completed</x:v>
      </x:c>
      <x:c r="E1184" s="2" t="str">
        <x:v>East</x:v>
      </x:c>
      <x:c r="F1184" s="2" t="str">
        <x:v>Online</x:v>
      </x:c>
      <x:c r="G1184" s="2" t="str">
        <x:v>Lighting</x:v>
      </x:c>
      <x:c r="H1184" s="2" t="str">
        <x:v>Lamp 017</x:v>
      </x:c>
      <x:c r="I1184" s="11" t="n">
        <x:v>3</x:v>
      </x:c>
      <x:c r="J1184" s="9" t="n">
        <x:v>300</x:v>
      </x:c>
      <x:c r="K1184" s="10" t="n">
        <x:v>0.2</x:v>
      </x:c>
      <x:c r="L1184" s="11" t="n">
        <x:v>0</x:v>
      </x:c>
      <x:c r="M1184" s="9" t="n">
        <x:f>IF(D1184="Completed",I1184*J1184,0)</x:f>
        <x:v>900</x:v>
      </x:c>
      <x:c r="N1184" s="9" t="n">
        <x:f>M1184*K1184</x:f>
        <x:v>180</x:v>
      </x:c>
      <x:c r="O1184" s="9" t="n">
        <x:f>M1184-N1184</x:f>
        <x:v>720</x:v>
      </x:c>
      <x:c r="P1184" s="9" t="n">
        <x:f>IF(D1184="Completed",L1184*J1184*(1-K1184),0)</x:f>
        <x:v>0</x:v>
      </x:c>
      <x:c r="Q1184" s="9" t="n">
        <x:f>O1184-P1184</x:f>
        <x:v>720</x:v>
      </x:c>
      <x:c r="R1184" s="11" t="n">
        <x:f>IF(D1184="Completed",I1184,0)</x:f>
        <x:v>3</x:v>
      </x:c>
      <x:c r="S1184" s="11" t="n">
        <x:f>IF(D1184="Completed",L1184,0)</x:f>
        <x:v>0</x:v>
      </x:c>
      <x:c r="T1184" s="8" t="n">
        <x:f>DATE(YEAR(C1184),MONTH(C1184),1)</x:f>
        <x:v>45717</x:v>
      </x:c>
    </x:row>
    <x:row r="1185" ht="22" customHeight="1">
      <x:c r="A1185" s="2" t="str">
        <x:v>L001181</x:v>
      </x:c>
      <x:c r="B1185" s="2" t="str">
        <x:v>O00476</x:v>
      </x:c>
      <x:c r="C1185" s="7" t="n">
        <x:v>45742</x:v>
      </x:c>
      <x:c r="D1185" s="2" t="str">
        <x:v>Completed</x:v>
      </x:c>
      <x:c r="E1185" s="2" t="str">
        <x:v>East</x:v>
      </x:c>
      <x:c r="F1185" s="2" t="str">
        <x:v>Online</x:v>
      </x:c>
      <x:c r="G1185" s="2" t="str">
        <x:v>Storage</x:v>
      </x:c>
      <x:c r="H1185" s="2" t="str">
        <x:v>Shelf 003</x:v>
      </x:c>
      <x:c r="I1185" s="11" t="n">
        <x:v>2</x:v>
      </x:c>
      <x:c r="J1185" s="9" t="n">
        <x:v>199</x:v>
      </x:c>
      <x:c r="K1185" s="10" t="n">
        <x:v>0.05</x:v>
      </x:c>
      <x:c r="L1185" s="11" t="n">
        <x:v>0</x:v>
      </x:c>
      <x:c r="M1185" s="9" t="n">
        <x:f>IF(D1185="Completed",I1185*J1185,0)</x:f>
        <x:v>398</x:v>
      </x:c>
      <x:c r="N1185" s="9" t="n">
        <x:f>M1185*K1185</x:f>
        <x:v>19.900000000000002</x:v>
      </x:c>
      <x:c r="O1185" s="9" t="n">
        <x:f>M1185-N1185</x:f>
        <x:v>378.1</x:v>
      </x:c>
      <x:c r="P1185" s="9" t="n">
        <x:f>IF(D1185="Completed",L1185*J1185*(1-K1185),0)</x:f>
        <x:v>0</x:v>
      </x:c>
      <x:c r="Q1185" s="9" t="n">
        <x:f>O1185-P1185</x:f>
        <x:v>378.1</x:v>
      </x:c>
      <x:c r="R1185" s="11" t="n">
        <x:f>IF(D1185="Completed",I1185,0)</x:f>
        <x:v>2</x:v>
      </x:c>
      <x:c r="S1185" s="11" t="n">
        <x:f>IF(D1185="Completed",L1185,0)</x:f>
        <x:v>0</x:v>
      </x:c>
      <x:c r="T1185" s="8" t="n">
        <x:f>DATE(YEAR(C1185),MONTH(C1185),1)</x:f>
        <x:v>45717</x:v>
      </x:c>
    </x:row>
    <x:row r="1186" ht="22" customHeight="1">
      <x:c r="A1186" s="2" t="str">
        <x:v>L001182</x:v>
      </x:c>
      <x:c r="B1186" s="2" t="str">
        <x:v>O00477</x:v>
      </x:c>
      <x:c r="C1186" s="7" t="n">
        <x:v>45730</x:v>
      </x:c>
      <x:c r="D1186" s="2" t="str">
        <x:v>Completed</x:v>
      </x:c>
      <x:c r="E1186" s="2" t="str">
        <x:v>South</x:v>
      </x:c>
      <x:c r="F1186" s="2" t="str">
        <x:v>Online</x:v>
      </x:c>
      <x:c r="G1186" s="2" t="str">
        <x:v>Storage</x:v>
      </x:c>
      <x:c r="H1186" s="2" t="str">
        <x:v>Shelf 003</x:v>
      </x:c>
      <x:c r="I1186" s="11" t="n">
        <x:v>2</x:v>
      </x:c>
      <x:c r="J1186" s="9" t="n">
        <x:v>199</x:v>
      </x:c>
      <x:c r="K1186" s="10" t="n">
        <x:v>0</x:v>
      </x:c>
      <x:c r="L1186" s="11" t="n">
        <x:v>0</x:v>
      </x:c>
      <x:c r="M1186" s="9" t="n">
        <x:f>IF(D1186="Completed",I1186*J1186,0)</x:f>
        <x:v>398</x:v>
      </x:c>
      <x:c r="N1186" s="9" t="n">
        <x:f>M1186*K1186</x:f>
        <x:v>0</x:v>
      </x:c>
      <x:c r="O1186" s="9" t="n">
        <x:f>M1186-N1186</x:f>
        <x:v>398</x:v>
      </x:c>
      <x:c r="P1186" s="9" t="n">
        <x:f>IF(D1186="Completed",L1186*J1186*(1-K1186),0)</x:f>
        <x:v>0</x:v>
      </x:c>
      <x:c r="Q1186" s="9" t="n">
        <x:f>O1186-P1186</x:f>
        <x:v>398</x:v>
      </x:c>
      <x:c r="R1186" s="11" t="n">
        <x:f>IF(D1186="Completed",I1186,0)</x:f>
        <x:v>2</x:v>
      </x:c>
      <x:c r="S1186" s="11" t="n">
        <x:f>IF(D1186="Completed",L1186,0)</x:f>
        <x:v>0</x:v>
      </x:c>
      <x:c r="T1186" s="8" t="n">
        <x:f>DATE(YEAR(C1186),MONTH(C1186),1)</x:f>
        <x:v>45717</x:v>
      </x:c>
    </x:row>
    <x:row r="1187" ht="22" customHeight="1">
      <x:c r="A1187" s="2" t="str">
        <x:v>L001183</x:v>
      </x:c>
      <x:c r="B1187" s="2" t="str">
        <x:v>O00478</x:v>
      </x:c>
      <x:c r="C1187" s="7" t="n">
        <x:v>45711</x:v>
      </x:c>
      <x:c r="D1187" s="2" t="str">
        <x:v>Completed</x:v>
      </x:c>
      <x:c r="E1187" s="2" t="str">
        <x:v>West</x:v>
      </x:c>
      <x:c r="F1187" s="2" t="str">
        <x:v>Store</x:v>
      </x:c>
      <x:c r="G1187" s="2" t="str">
        <x:v>Storage</x:v>
      </x:c>
      <x:c r="H1187" s="2" t="str">
        <x:v>Shelf 007</x:v>
      </x:c>
      <x:c r="I1187" s="11" t="n">
        <x:v>3</x:v>
      </x:c>
      <x:c r="J1187" s="9" t="n">
        <x:v>35</x:v>
      </x:c>
      <x:c r="K1187" s="10" t="n">
        <x:v>0.1</x:v>
      </x:c>
      <x:c r="L1187" s="11" t="n">
        <x:v>0</x:v>
      </x:c>
      <x:c r="M1187" s="9" t="n">
        <x:f>IF(D1187="Completed",I1187*J1187,0)</x:f>
        <x:v>105</x:v>
      </x:c>
      <x:c r="N1187" s="9" t="n">
        <x:f>M1187*K1187</x:f>
        <x:v>10.5</x:v>
      </x:c>
      <x:c r="O1187" s="9" t="n">
        <x:f>M1187-N1187</x:f>
        <x:v>94.5</x:v>
      </x:c>
      <x:c r="P1187" s="9" t="n">
        <x:f>IF(D1187="Completed",L1187*J1187*(1-K1187),0)</x:f>
        <x:v>0</x:v>
      </x:c>
      <x:c r="Q1187" s="9" t="n">
        <x:f>O1187-P1187</x:f>
        <x:v>94.5</x:v>
      </x:c>
      <x:c r="R1187" s="11" t="n">
        <x:f>IF(D1187="Completed",I1187,0)</x:f>
        <x:v>3</x:v>
      </x:c>
      <x:c r="S1187" s="11" t="n">
        <x:f>IF(D1187="Completed",L1187,0)</x:f>
        <x:v>0</x:v>
      </x:c>
      <x:c r="T1187" s="8" t="n">
        <x:f>DATE(YEAR(C1187),MONTH(C1187),1)</x:f>
        <x:v>45689</x:v>
      </x:c>
    </x:row>
    <x:row r="1188" ht="22" customHeight="1">
      <x:c r="A1188" s="2" t="str">
        <x:v>L001184</x:v>
      </x:c>
      <x:c r="B1188" s="2" t="str">
        <x:v>O00479</x:v>
      </x:c>
      <x:c r="C1188" s="7" t="n">
        <x:v>46021</x:v>
      </x:c>
      <x:c r="D1188" s="2" t="str">
        <x:v>Completed</x:v>
      </x:c>
      <x:c r="E1188" s="2" t="str">
        <x:v>North</x:v>
      </x:c>
      <x:c r="F1188" s="2" t="str">
        <x:v>Online</x:v>
      </x:c>
      <x:c r="G1188" s="2" t="str">
        <x:v>Furniture</x:v>
      </x:c>
      <x:c r="H1188" s="2" t="str">
        <x:v>Chair 002</x:v>
      </x:c>
      <x:c r="I1188" s="11" t="n">
        <x:v>2</x:v>
      </x:c>
      <x:c r="J1188" s="9" t="n">
        <x:v>284</x:v>
      </x:c>
      <x:c r="K1188" s="10" t="n">
        <x:v>0.05</x:v>
      </x:c>
      <x:c r="L1188" s="11" t="n">
        <x:v>0</x:v>
      </x:c>
      <x:c r="M1188" s="9" t="n">
        <x:f>IF(D1188="Completed",I1188*J1188,0)</x:f>
        <x:v>568</x:v>
      </x:c>
      <x:c r="N1188" s="9" t="n">
        <x:f>M1188*K1188</x:f>
        <x:v>28.400000000000002</x:v>
      </x:c>
      <x:c r="O1188" s="9" t="n">
        <x:f>M1188-N1188</x:f>
        <x:v>539.6</x:v>
      </x:c>
      <x:c r="P1188" s="9" t="n">
        <x:f>IF(D1188="Completed",L1188*J1188*(1-K1188),0)</x:f>
        <x:v>0</x:v>
      </x:c>
      <x:c r="Q1188" s="9" t="n">
        <x:f>O1188-P1188</x:f>
        <x:v>539.6</x:v>
      </x:c>
      <x:c r="R1188" s="11" t="n">
        <x:f>IF(D1188="Completed",I1188,0)</x:f>
        <x:v>2</x:v>
      </x:c>
      <x:c r="S1188" s="11" t="n">
        <x:f>IF(D1188="Completed",L1188,0)</x:f>
        <x:v>0</x:v>
      </x:c>
      <x:c r="T1188" s="8" t="n">
        <x:f>DATE(YEAR(C1188),MONTH(C1188),1)</x:f>
        <x:v>45992</x:v>
      </x:c>
    </x:row>
    <x:row r="1189" ht="22" customHeight="1">
      <x:c r="A1189" s="2" t="str">
        <x:v>L001185</x:v>
      </x:c>
      <x:c r="B1189" s="2" t="str">
        <x:v>O00480</x:v>
      </x:c>
      <x:c r="C1189" s="7" t="n">
        <x:v>45917</x:v>
      </x:c>
      <x:c r="D1189" s="2" t="str">
        <x:v>Completed</x:v>
      </x:c>
      <x:c r="E1189" s="2" t="str">
        <x:v>North</x:v>
      </x:c>
      <x:c r="F1189" s="2" t="str">
        <x:v>Online</x:v>
      </x:c>
      <x:c r="G1189" s="2" t="str">
        <x:v>Furniture</x:v>
      </x:c>
      <x:c r="H1189" s="2" t="str">
        <x:v>Desk 008</x:v>
      </x:c>
      <x:c r="I1189" s="11" t="n">
        <x:v>4</x:v>
      </x:c>
      <x:c r="J1189" s="9" t="n">
        <x:v>188</x:v>
      </x:c>
      <x:c r="K1189" s="10" t="n">
        <x:v>0</x:v>
      </x:c>
      <x:c r="L1189" s="11" t="n">
        <x:v>0</x:v>
      </x:c>
      <x:c r="M1189" s="9" t="n">
        <x:f>IF(D1189="Completed",I1189*J1189,0)</x:f>
        <x:v>752</x:v>
      </x:c>
      <x:c r="N1189" s="9" t="n">
        <x:f>M1189*K1189</x:f>
        <x:v>0</x:v>
      </x:c>
      <x:c r="O1189" s="9" t="n">
        <x:f>M1189-N1189</x:f>
        <x:v>752</x:v>
      </x:c>
      <x:c r="P1189" s="9" t="n">
        <x:f>IF(D1189="Completed",L1189*J1189*(1-K1189),0)</x:f>
        <x:v>0</x:v>
      </x:c>
      <x:c r="Q1189" s="9" t="n">
        <x:f>O1189-P1189</x:f>
        <x:v>752</x:v>
      </x:c>
      <x:c r="R1189" s="11" t="n">
        <x:f>IF(D1189="Completed",I1189,0)</x:f>
        <x:v>4</x:v>
      </x:c>
      <x:c r="S1189" s="11" t="n">
        <x:f>IF(D1189="Completed",L1189,0)</x:f>
        <x:v>0</x:v>
      </x:c>
      <x:c r="T1189" s="8" t="n">
        <x:f>DATE(YEAR(C1189),MONTH(C1189),1)</x:f>
        <x:v>45901</x:v>
      </x:c>
    </x:row>
    <x:row r="1190" ht="22" customHeight="1">
      <x:c r="A1190" s="2" t="str">
        <x:v>L001186</x:v>
      </x:c>
      <x:c r="B1190" s="2" t="str">
        <x:v>O00480</x:v>
      </x:c>
      <x:c r="C1190" s="7" t="n">
        <x:v>45917</x:v>
      </x:c>
      <x:c r="D1190" s="2" t="str">
        <x:v>Completed</x:v>
      </x:c>
      <x:c r="E1190" s="2" t="str">
        <x:v>North</x:v>
      </x:c>
      <x:c r="F1190" s="2" t="str">
        <x:v>Online</x:v>
      </x:c>
      <x:c r="G1190" s="2" t="str">
        <x:v>Lighting</x:v>
      </x:c>
      <x:c r="H1190" s="2" t="str">
        <x:v>Lamp 017</x:v>
      </x:c>
      <x:c r="I1190" s="11" t="n">
        <x:v>5</x:v>
      </x:c>
      <x:c r="J1190" s="9" t="n">
        <x:v>300</x:v>
      </x:c>
      <x:c r="K1190" s="10" t="n">
        <x:v>0.1</x:v>
      </x:c>
      <x:c r="L1190" s="11" t="n">
        <x:v>0</x:v>
      </x:c>
      <x:c r="M1190" s="9" t="n">
        <x:f>IF(D1190="Completed",I1190*J1190,0)</x:f>
        <x:v>1500</x:v>
      </x:c>
      <x:c r="N1190" s="9" t="n">
        <x:f>M1190*K1190</x:f>
        <x:v>150</x:v>
      </x:c>
      <x:c r="O1190" s="9" t="n">
        <x:f>M1190-N1190</x:f>
        <x:v>1350</x:v>
      </x:c>
      <x:c r="P1190" s="9" t="n">
        <x:f>IF(D1190="Completed",L1190*J1190*(1-K1190),0)</x:f>
        <x:v>0</x:v>
      </x:c>
      <x:c r="Q1190" s="9" t="n">
        <x:f>O1190-P1190</x:f>
        <x:v>1350</x:v>
      </x:c>
      <x:c r="R1190" s="11" t="n">
        <x:f>IF(D1190="Completed",I1190,0)</x:f>
        <x:v>5</x:v>
      </x:c>
      <x:c r="S1190" s="11" t="n">
        <x:f>IF(D1190="Completed",L1190,0)</x:f>
        <x:v>0</x:v>
      </x:c>
      <x:c r="T1190" s="8" t="n">
        <x:f>DATE(YEAR(C1190),MONTH(C1190),1)</x:f>
        <x:v>45901</x:v>
      </x:c>
    </x:row>
    <x:row r="1191" ht="22" customHeight="1">
      <x:c r="A1191" s="2" t="str">
        <x:v>L001187</x:v>
      </x:c>
      <x:c r="B1191" s="2" t="str">
        <x:v>O00480</x:v>
      </x:c>
      <x:c r="C1191" s="7" t="n">
        <x:v>45917</x:v>
      </x:c>
      <x:c r="D1191" s="2" t="str">
        <x:v>Completed</x:v>
      </x:c>
      <x:c r="E1191" s="2" t="str">
        <x:v>North</x:v>
      </x:c>
      <x:c r="F1191" s="2" t="str">
        <x:v>Online</x:v>
      </x:c>
      <x:c r="G1191" s="2" t="str">
        <x:v>Storage</x:v>
      </x:c>
      <x:c r="H1191" s="2" t="str">
        <x:v>Shelf 023</x:v>
      </x:c>
      <x:c r="I1191" s="11" t="n">
        <x:v>3</x:v>
      </x:c>
      <x:c r="J1191" s="9" t="n">
        <x:v>68</x:v>
      </x:c>
      <x:c r="K1191" s="10" t="n">
        <x:v>0</x:v>
      </x:c>
      <x:c r="L1191" s="11" t="n">
        <x:v>0</x:v>
      </x:c>
      <x:c r="M1191" s="9" t="n">
        <x:f>IF(D1191="Completed",I1191*J1191,0)</x:f>
        <x:v>204</x:v>
      </x:c>
      <x:c r="N1191" s="9" t="n">
        <x:f>M1191*K1191</x:f>
        <x:v>0</x:v>
      </x:c>
      <x:c r="O1191" s="9" t="n">
        <x:f>M1191-N1191</x:f>
        <x:v>204</x:v>
      </x:c>
      <x:c r="P1191" s="9" t="n">
        <x:f>IF(D1191="Completed",L1191*J1191*(1-K1191),0)</x:f>
        <x:v>0</x:v>
      </x:c>
      <x:c r="Q1191" s="9" t="n">
        <x:f>O1191-P1191</x:f>
        <x:v>204</x:v>
      </x:c>
      <x:c r="R1191" s="11" t="n">
        <x:f>IF(D1191="Completed",I1191,0)</x:f>
        <x:v>3</x:v>
      </x:c>
      <x:c r="S1191" s="11" t="n">
        <x:f>IF(D1191="Completed",L1191,0)</x:f>
        <x:v>0</x:v>
      </x:c>
      <x:c r="T1191" s="8" t="n">
        <x:f>DATE(YEAR(C1191),MONTH(C1191),1)</x:f>
        <x:v>45901</x:v>
      </x:c>
    </x:row>
    <x:row r="1192" ht="22" customHeight="1">
      <x:c r="A1192" s="2" t="str">
        <x:v>L001188</x:v>
      </x:c>
      <x:c r="B1192" s="2" t="str">
        <x:v>O00481</x:v>
      </x:c>
      <x:c r="C1192" s="7" t="n">
        <x:v>45977</x:v>
      </x:c>
      <x:c r="D1192" s="2" t="str">
        <x:v>Completed</x:v>
      </x:c>
      <x:c r="E1192" s="2" t="str">
        <x:v>North</x:v>
      </x:c>
      <x:c r="F1192" s="2" t="str">
        <x:v>Online</x:v>
      </x:c>
      <x:c r="G1192" s="2" t="str">
        <x:v>Furniture</x:v>
      </x:c>
      <x:c r="H1192" s="2" t="str">
        <x:v>Chair 010</x:v>
      </x:c>
      <x:c r="I1192" s="11" t="n">
        <x:v>1</x:v>
      </x:c>
      <x:c r="J1192" s="9" t="n">
        <x:v>211</x:v>
      </x:c>
      <x:c r="K1192" s="10" t="n">
        <x:v>0</x:v>
      </x:c>
      <x:c r="L1192" s="11" t="n">
        <x:v>0</x:v>
      </x:c>
      <x:c r="M1192" s="9" t="n">
        <x:f>IF(D1192="Completed",I1192*J1192,0)</x:f>
        <x:v>211</x:v>
      </x:c>
      <x:c r="N1192" s="9" t="n">
        <x:f>M1192*K1192</x:f>
        <x:v>0</x:v>
      </x:c>
      <x:c r="O1192" s="9" t="n">
        <x:f>M1192-N1192</x:f>
        <x:v>211</x:v>
      </x:c>
      <x:c r="P1192" s="9" t="n">
        <x:f>IF(D1192="Completed",L1192*J1192*(1-K1192),0)</x:f>
        <x:v>0</x:v>
      </x:c>
      <x:c r="Q1192" s="9" t="n">
        <x:f>O1192-P1192</x:f>
        <x:v>211</x:v>
      </x:c>
      <x:c r="R1192" s="11" t="n">
        <x:f>IF(D1192="Completed",I1192,0)</x:f>
        <x:v>1</x:v>
      </x:c>
      <x:c r="S1192" s="11" t="n">
        <x:f>IF(D1192="Completed",L1192,0)</x:f>
        <x:v>0</x:v>
      </x:c>
      <x:c r="T1192" s="8" t="n">
        <x:f>DATE(YEAR(C1192),MONTH(C1192),1)</x:f>
        <x:v>45962</x:v>
      </x:c>
    </x:row>
    <x:row r="1193" ht="22" customHeight="1">
      <x:c r="A1193" s="2" t="str">
        <x:v>L001189</x:v>
      </x:c>
      <x:c r="B1193" s="2" t="str">
        <x:v>O00482</x:v>
      </x:c>
      <x:c r="C1193" s="7" t="n">
        <x:v>45854</x:v>
      </x:c>
      <x:c r="D1193" s="2" t="str">
        <x:v>Completed</x:v>
      </x:c>
      <x:c r="E1193" s="2" t="str">
        <x:v>South</x:v>
      </x:c>
      <x:c r="F1193" s="2" t="str">
        <x:v>Online</x:v>
      </x:c>
      <x:c r="G1193" s="2" t="str">
        <x:v>Furniture</x:v>
      </x:c>
      <x:c r="H1193" s="2" t="str">
        <x:v>Desk 024</x:v>
      </x:c>
      <x:c r="I1193" s="11" t="n">
        <x:v>1</x:v>
      </x:c>
      <x:c r="J1193" s="9" t="n">
        <x:v>81</x:v>
      </x:c>
      <x:c r="K1193" s="10" t="n">
        <x:v>0.1</x:v>
      </x:c>
      <x:c r="L1193" s="11" t="n">
        <x:v>0</x:v>
      </x:c>
      <x:c r="M1193" s="9" t="n">
        <x:f>IF(D1193="Completed",I1193*J1193,0)</x:f>
        <x:v>81</x:v>
      </x:c>
      <x:c r="N1193" s="9" t="n">
        <x:f>M1193*K1193</x:f>
        <x:v>8.1</x:v>
      </x:c>
      <x:c r="O1193" s="9" t="n">
        <x:f>M1193-N1193</x:f>
        <x:v>72.9</x:v>
      </x:c>
      <x:c r="P1193" s="9" t="n">
        <x:f>IF(D1193="Completed",L1193*J1193*(1-K1193),0)</x:f>
        <x:v>0</x:v>
      </x:c>
      <x:c r="Q1193" s="9" t="n">
        <x:f>O1193-P1193</x:f>
        <x:v>72.9</x:v>
      </x:c>
      <x:c r="R1193" s="11" t="n">
        <x:f>IF(D1193="Completed",I1193,0)</x:f>
        <x:v>1</x:v>
      </x:c>
      <x:c r="S1193" s="11" t="n">
        <x:f>IF(D1193="Completed",L1193,0)</x:f>
        <x:v>0</x:v>
      </x:c>
      <x:c r="T1193" s="8" t="n">
        <x:f>DATE(YEAR(C1193),MONTH(C1193),1)</x:f>
        <x:v>45839</x:v>
      </x:c>
    </x:row>
    <x:row r="1194" ht="22" customHeight="1">
      <x:c r="A1194" s="2" t="str">
        <x:v>L001190</x:v>
      </x:c>
      <x:c r="B1194" s="2" t="str">
        <x:v>O00482</x:v>
      </x:c>
      <x:c r="C1194" s="7" t="n">
        <x:v>45854</x:v>
      </x:c>
      <x:c r="D1194" s="2" t="str">
        <x:v>Completed</x:v>
      </x:c>
      <x:c r="E1194" s="2" t="str">
        <x:v>South</x:v>
      </x:c>
      <x:c r="F1194" s="2" t="str">
        <x:v>Online</x:v>
      </x:c>
      <x:c r="G1194" s="2" t="str">
        <x:v>Furniture</x:v>
      </x:c>
      <x:c r="H1194" s="2" t="str">
        <x:v>Desk 012</x:v>
      </x:c>
      <x:c r="I1194" s="11" t="n">
        <x:v>4</x:v>
      </x:c>
      <x:c r="J1194" s="9" t="n">
        <x:v>134</x:v>
      </x:c>
      <x:c r="K1194" s="10" t="n">
        <x:v>0.2</x:v>
      </x:c>
      <x:c r="L1194" s="11" t="n">
        <x:v>0</x:v>
      </x:c>
      <x:c r="M1194" s="9" t="n">
        <x:f>IF(D1194="Completed",I1194*J1194,0)</x:f>
        <x:v>536</x:v>
      </x:c>
      <x:c r="N1194" s="9" t="n">
        <x:f>M1194*K1194</x:f>
        <x:v>107.2</x:v>
      </x:c>
      <x:c r="O1194" s="9" t="n">
        <x:f>M1194-N1194</x:f>
        <x:v>428.8</x:v>
      </x:c>
      <x:c r="P1194" s="9" t="n">
        <x:f>IF(D1194="Completed",L1194*J1194*(1-K1194),0)</x:f>
        <x:v>0</x:v>
      </x:c>
      <x:c r="Q1194" s="9" t="n">
        <x:f>O1194-P1194</x:f>
        <x:v>428.8</x:v>
      </x:c>
      <x:c r="R1194" s="11" t="n">
        <x:f>IF(D1194="Completed",I1194,0)</x:f>
        <x:v>4</x:v>
      </x:c>
      <x:c r="S1194" s="11" t="n">
        <x:f>IF(D1194="Completed",L1194,0)</x:f>
        <x:v>0</x:v>
      </x:c>
      <x:c r="T1194" s="8" t="n">
        <x:f>DATE(YEAR(C1194),MONTH(C1194),1)</x:f>
        <x:v>45839</x:v>
      </x:c>
    </x:row>
    <x:row r="1195" ht="22" customHeight="1">
      <x:c r="A1195" s="2" t="str">
        <x:v>L001191</x:v>
      </x:c>
      <x:c r="B1195" s="2" t="str">
        <x:v>O00482</x:v>
      </x:c>
      <x:c r="C1195" s="7" t="n">
        <x:v>45854</x:v>
      </x:c>
      <x:c r="D1195" s="2" t="str">
        <x:v>Completed</x:v>
      </x:c>
      <x:c r="E1195" s="2" t="str">
        <x:v>South</x:v>
      </x:c>
      <x:c r="F1195" s="2" t="str">
        <x:v>Online</x:v>
      </x:c>
      <x:c r="G1195" s="2" t="str">
        <x:v>Lighting</x:v>
      </x:c>
      <x:c r="H1195" s="2" t="str">
        <x:v>Lamp 013</x:v>
      </x:c>
      <x:c r="I1195" s="11" t="n">
        <x:v>3</x:v>
      </x:c>
      <x:c r="J1195" s="9" t="n">
        <x:v>271</x:v>
      </x:c>
      <x:c r="K1195" s="10" t="n">
        <x:v>0</x:v>
      </x:c>
      <x:c r="L1195" s="11" t="n">
        <x:v>0</x:v>
      </x:c>
      <x:c r="M1195" s="9" t="n">
        <x:f>IF(D1195="Completed",I1195*J1195,0)</x:f>
        <x:v>813</x:v>
      </x:c>
      <x:c r="N1195" s="9" t="n">
        <x:f>M1195*K1195</x:f>
        <x:v>0</x:v>
      </x:c>
      <x:c r="O1195" s="9" t="n">
        <x:f>M1195-N1195</x:f>
        <x:v>813</x:v>
      </x:c>
      <x:c r="P1195" s="9" t="n">
        <x:f>IF(D1195="Completed",L1195*J1195*(1-K1195),0)</x:f>
        <x:v>0</x:v>
      </x:c>
      <x:c r="Q1195" s="9" t="n">
        <x:f>O1195-P1195</x:f>
        <x:v>813</x:v>
      </x:c>
      <x:c r="R1195" s="11" t="n">
        <x:f>IF(D1195="Completed",I1195,0)</x:f>
        <x:v>3</x:v>
      </x:c>
      <x:c r="S1195" s="11" t="n">
        <x:f>IF(D1195="Completed",L1195,0)</x:f>
        <x:v>0</x:v>
      </x:c>
      <x:c r="T1195" s="8" t="n">
        <x:f>DATE(YEAR(C1195),MONTH(C1195),1)</x:f>
        <x:v>45839</x:v>
      </x:c>
    </x:row>
    <x:row r="1196" ht="22" customHeight="1">
      <x:c r="A1196" s="2" t="str">
        <x:v>L001192</x:v>
      </x:c>
      <x:c r="B1196" s="2" t="str">
        <x:v>O00483</x:v>
      </x:c>
      <x:c r="C1196" s="7" t="n">
        <x:v>45902</x:v>
      </x:c>
      <x:c r="D1196" s="2" t="str">
        <x:v>Completed</x:v>
      </x:c>
      <x:c r="E1196" s="2" t="str">
        <x:v>South</x:v>
      </x:c>
      <x:c r="F1196" s="2" t="str">
        <x:v>Store</x:v>
      </x:c>
      <x:c r="G1196" s="2" t="str">
        <x:v>Lighting</x:v>
      </x:c>
      <x:c r="H1196" s="2" t="str">
        <x:v>Lamp 005</x:v>
      </x:c>
      <x:c r="I1196" s="11" t="n">
        <x:v>5</x:v>
      </x:c>
      <x:c r="J1196" s="9" t="n">
        <x:v>65</x:v>
      </x:c>
      <x:c r="K1196" s="10" t="n">
        <x:v>0.1</x:v>
      </x:c>
      <x:c r="L1196" s="11" t="n">
        <x:v>0</x:v>
      </x:c>
      <x:c r="M1196" s="9" t="n">
        <x:f>IF(D1196="Completed",I1196*J1196,0)</x:f>
        <x:v>325</x:v>
      </x:c>
      <x:c r="N1196" s="9" t="n">
        <x:f>M1196*K1196</x:f>
        <x:v>32.5</x:v>
      </x:c>
      <x:c r="O1196" s="9" t="n">
        <x:f>M1196-N1196</x:f>
        <x:v>292.5</x:v>
      </x:c>
      <x:c r="P1196" s="9" t="n">
        <x:f>IF(D1196="Completed",L1196*J1196*(1-K1196),0)</x:f>
        <x:v>0</x:v>
      </x:c>
      <x:c r="Q1196" s="9" t="n">
        <x:f>O1196-P1196</x:f>
        <x:v>292.5</x:v>
      </x:c>
      <x:c r="R1196" s="11" t="n">
        <x:f>IF(D1196="Completed",I1196,0)</x:f>
        <x:v>5</x:v>
      </x:c>
      <x:c r="S1196" s="11" t="n">
        <x:f>IF(D1196="Completed",L1196,0)</x:f>
        <x:v>0</x:v>
      </x:c>
      <x:c r="T1196" s="8" t="n">
        <x:f>DATE(YEAR(C1196),MONTH(C1196),1)</x:f>
        <x:v>45901</x:v>
      </x:c>
    </x:row>
    <x:row r="1197" ht="22" customHeight="1">
      <x:c r="A1197" s="2" t="str">
        <x:v>L001193</x:v>
      </x:c>
      <x:c r="B1197" s="2" t="str">
        <x:v>O00483</x:v>
      </x:c>
      <x:c r="C1197" s="7" t="n">
        <x:v>45902</x:v>
      </x:c>
      <x:c r="D1197" s="2" t="str">
        <x:v>Completed</x:v>
      </x:c>
      <x:c r="E1197" s="2" t="str">
        <x:v>South</x:v>
      </x:c>
      <x:c r="F1197" s="2" t="str">
        <x:v>Store</x:v>
      </x:c>
      <x:c r="G1197" s="2" t="str">
        <x:v>Storage</x:v>
      </x:c>
      <x:c r="H1197" s="2" t="str">
        <x:v>Shelf 011</x:v>
      </x:c>
      <x:c r="I1197" s="11" t="n">
        <x:v>5</x:v>
      </x:c>
      <x:c r="J1197" s="9" t="n">
        <x:v>80</x:v>
      </x:c>
      <x:c r="K1197" s="10" t="n">
        <x:v>0</x:v>
      </x:c>
      <x:c r="L1197" s="11" t="n">
        <x:v>0</x:v>
      </x:c>
      <x:c r="M1197" s="9" t="n">
        <x:f>IF(D1197="Completed",I1197*J1197,0)</x:f>
        <x:v>400</x:v>
      </x:c>
      <x:c r="N1197" s="9" t="n">
        <x:f>M1197*K1197</x:f>
        <x:v>0</x:v>
      </x:c>
      <x:c r="O1197" s="9" t="n">
        <x:f>M1197-N1197</x:f>
        <x:v>400</x:v>
      </x:c>
      <x:c r="P1197" s="9" t="n">
        <x:f>IF(D1197="Completed",L1197*J1197*(1-K1197),0)</x:f>
        <x:v>0</x:v>
      </x:c>
      <x:c r="Q1197" s="9" t="n">
        <x:f>O1197-P1197</x:f>
        <x:v>400</x:v>
      </x:c>
      <x:c r="R1197" s="11" t="n">
        <x:f>IF(D1197="Completed",I1197,0)</x:f>
        <x:v>5</x:v>
      </x:c>
      <x:c r="S1197" s="11" t="n">
        <x:f>IF(D1197="Completed",L1197,0)</x:f>
        <x:v>0</x:v>
      </x:c>
      <x:c r="T1197" s="8" t="n">
        <x:f>DATE(YEAR(C1197),MONTH(C1197),1)</x:f>
        <x:v>45901</x:v>
      </x:c>
    </x:row>
    <x:row r="1198" ht="22" customHeight="1">
      <x:c r="A1198" s="2" t="str">
        <x:v>L001194</x:v>
      </x:c>
      <x:c r="B1198" s="2" t="str">
        <x:v>O00484</x:v>
      </x:c>
      <x:c r="C1198" s="7" t="n">
        <x:v>45930</x:v>
      </x:c>
      <x:c r="D1198" s="2" t="str">
        <x:v>Completed</x:v>
      </x:c>
      <x:c r="E1198" s="2" t="str">
        <x:v>North</x:v>
      </x:c>
      <x:c r="F1198" s="2" t="str">
        <x:v>Store</x:v>
      </x:c>
      <x:c r="G1198" s="2" t="str">
        <x:v>Lighting</x:v>
      </x:c>
      <x:c r="H1198" s="2" t="str">
        <x:v>Lamp 009</x:v>
      </x:c>
      <x:c r="I1198" s="11" t="n">
        <x:v>4</x:v>
      </x:c>
      <x:c r="J1198" s="9" t="n">
        <x:v>93</x:v>
      </x:c>
      <x:c r="K1198" s="10" t="n">
        <x:v>0.05</x:v>
      </x:c>
      <x:c r="L1198" s="11" t="n">
        <x:v>0</x:v>
      </x:c>
      <x:c r="M1198" s="9" t="n">
        <x:f>IF(D1198="Completed",I1198*J1198,0)</x:f>
        <x:v>372</x:v>
      </x:c>
      <x:c r="N1198" s="9" t="n">
        <x:f>M1198*K1198</x:f>
        <x:v>18.6</x:v>
      </x:c>
      <x:c r="O1198" s="9" t="n">
        <x:f>M1198-N1198</x:f>
        <x:v>353.4</x:v>
      </x:c>
      <x:c r="P1198" s="9" t="n">
        <x:f>IF(D1198="Completed",L1198*J1198*(1-K1198),0)</x:f>
        <x:v>0</x:v>
      </x:c>
      <x:c r="Q1198" s="9" t="n">
        <x:f>O1198-P1198</x:f>
        <x:v>353.4</x:v>
      </x:c>
      <x:c r="R1198" s="11" t="n">
        <x:f>IF(D1198="Completed",I1198,0)</x:f>
        <x:v>4</x:v>
      </x:c>
      <x:c r="S1198" s="11" t="n">
        <x:f>IF(D1198="Completed",L1198,0)</x:f>
        <x:v>0</x:v>
      </x:c>
      <x:c r="T1198" s="8" t="n">
        <x:f>DATE(YEAR(C1198),MONTH(C1198),1)</x:f>
        <x:v>45901</x:v>
      </x:c>
    </x:row>
    <x:row r="1199" ht="22" customHeight="1">
      <x:c r="A1199" s="2" t="str">
        <x:v>L001195</x:v>
      </x:c>
      <x:c r="B1199" s="2" t="str">
        <x:v>O00484</x:v>
      </x:c>
      <x:c r="C1199" s="7" t="n">
        <x:v>45930</x:v>
      </x:c>
      <x:c r="D1199" s="2" t="str">
        <x:v>Completed</x:v>
      </x:c>
      <x:c r="E1199" s="2" t="str">
        <x:v>North</x:v>
      </x:c>
      <x:c r="F1199" s="2" t="str">
        <x:v>Store</x:v>
      </x:c>
      <x:c r="G1199" s="2" t="str">
        <x:v>Storage</x:v>
      </x:c>
      <x:c r="H1199" s="2" t="str">
        <x:v>Shelf 023</x:v>
      </x:c>
      <x:c r="I1199" s="11" t="n">
        <x:v>4</x:v>
      </x:c>
      <x:c r="J1199" s="9" t="n">
        <x:v>68</x:v>
      </x:c>
      <x:c r="K1199" s="10" t="n">
        <x:v>0</x:v>
      </x:c>
      <x:c r="L1199" s="11" t="n">
        <x:v>0</x:v>
      </x:c>
      <x:c r="M1199" s="9" t="n">
        <x:f>IF(D1199="Completed",I1199*J1199,0)</x:f>
        <x:v>272</x:v>
      </x:c>
      <x:c r="N1199" s="9" t="n">
        <x:f>M1199*K1199</x:f>
        <x:v>0</x:v>
      </x:c>
      <x:c r="O1199" s="9" t="n">
        <x:f>M1199-N1199</x:f>
        <x:v>272</x:v>
      </x:c>
      <x:c r="P1199" s="9" t="n">
        <x:f>IF(D1199="Completed",L1199*J1199*(1-K1199),0)</x:f>
        <x:v>0</x:v>
      </x:c>
      <x:c r="Q1199" s="9" t="n">
        <x:f>O1199-P1199</x:f>
        <x:v>272</x:v>
      </x:c>
      <x:c r="R1199" s="11" t="n">
        <x:f>IF(D1199="Completed",I1199,0)</x:f>
        <x:v>4</x:v>
      </x:c>
      <x:c r="S1199" s="11" t="n">
        <x:f>IF(D1199="Completed",L1199,0)</x:f>
        <x:v>0</x:v>
      </x:c>
      <x:c r="T1199" s="8" t="n">
        <x:f>DATE(YEAR(C1199),MONTH(C1199),1)</x:f>
        <x:v>45901</x:v>
      </x:c>
    </x:row>
    <x:row r="1200" ht="22" customHeight="1">
      <x:c r="A1200" s="2" t="str">
        <x:v>L001196</x:v>
      </x:c>
      <x:c r="B1200" s="2" t="str">
        <x:v>O00485</x:v>
      </x:c>
      <x:c r="C1200" s="7" t="n">
        <x:v>45726</x:v>
      </x:c>
      <x:c r="D1200" s="2" t="str">
        <x:v>Completed</x:v>
      </x:c>
      <x:c r="E1200" s="2" t="str">
        <x:v>South</x:v>
      </x:c>
      <x:c r="F1200" s="2" t="str">
        <x:v>Online</x:v>
      </x:c>
      <x:c r="G1200" s="2" t="str">
        <x:v>Lighting</x:v>
      </x:c>
      <x:c r="H1200" s="2" t="str">
        <x:v>Lamp 017</x:v>
      </x:c>
      <x:c r="I1200" s="11" t="n">
        <x:v>4</x:v>
      </x:c>
      <x:c r="J1200" s="9" t="n">
        <x:v>300</x:v>
      </x:c>
      <x:c r="K1200" s="10" t="n">
        <x:v>0.2</x:v>
      </x:c>
      <x:c r="L1200" s="11" t="n">
        <x:v>0</x:v>
      </x:c>
      <x:c r="M1200" s="9" t="n">
        <x:f>IF(D1200="Completed",I1200*J1200,0)</x:f>
        <x:v>1200</x:v>
      </x:c>
      <x:c r="N1200" s="9" t="n">
        <x:f>M1200*K1200</x:f>
        <x:v>240</x:v>
      </x:c>
      <x:c r="O1200" s="9" t="n">
        <x:f>M1200-N1200</x:f>
        <x:v>960</x:v>
      </x:c>
      <x:c r="P1200" s="9" t="n">
        <x:f>IF(D1200="Completed",L1200*J1200*(1-K1200),0)</x:f>
        <x:v>0</x:v>
      </x:c>
      <x:c r="Q1200" s="9" t="n">
        <x:f>O1200-P1200</x:f>
        <x:v>960</x:v>
      </x:c>
      <x:c r="R1200" s="11" t="n">
        <x:f>IF(D1200="Completed",I1200,0)</x:f>
        <x:v>4</x:v>
      </x:c>
      <x:c r="S1200" s="11" t="n">
        <x:f>IF(D1200="Completed",L1200,0)</x:f>
        <x:v>0</x:v>
      </x:c>
      <x:c r="T1200" s="8" t="n">
        <x:f>DATE(YEAR(C1200),MONTH(C1200),1)</x:f>
        <x:v>45717</x:v>
      </x:c>
    </x:row>
    <x:row r="1201" ht="22" customHeight="1">
      <x:c r="A1201" s="2" t="str">
        <x:v>L001197</x:v>
      </x:c>
      <x:c r="B1201" s="2" t="str">
        <x:v>O00485</x:v>
      </x:c>
      <x:c r="C1201" s="7" t="n">
        <x:v>45726</x:v>
      </x:c>
      <x:c r="D1201" s="2" t="str">
        <x:v>Completed</x:v>
      </x:c>
      <x:c r="E1201" s="2" t="str">
        <x:v>South</x:v>
      </x:c>
      <x:c r="F1201" s="2" t="str">
        <x:v>Online</x:v>
      </x:c>
      <x:c r="G1201" s="2" t="str">
        <x:v>Furniture</x:v>
      </x:c>
      <x:c r="H1201" s="2" t="str">
        <x:v>Chair 022</x:v>
      </x:c>
      <x:c r="I1201" s="11" t="n">
        <x:v>5</x:v>
      </x:c>
      <x:c r="J1201" s="9" t="n">
        <x:v>134</x:v>
      </x:c>
      <x:c r="K1201" s="10" t="n">
        <x:v>0.1</x:v>
      </x:c>
      <x:c r="L1201" s="11" t="n">
        <x:v>0</x:v>
      </x:c>
      <x:c r="M1201" s="9" t="n">
        <x:f>IF(D1201="Completed",I1201*J1201,0)</x:f>
        <x:v>670</x:v>
      </x:c>
      <x:c r="N1201" s="9" t="n">
        <x:f>M1201*K1201</x:f>
        <x:v>67</x:v>
      </x:c>
      <x:c r="O1201" s="9" t="n">
        <x:f>M1201-N1201</x:f>
        <x:v>603</x:v>
      </x:c>
      <x:c r="P1201" s="9" t="n">
        <x:f>IF(D1201="Completed",L1201*J1201*(1-K1201),0)</x:f>
        <x:v>0</x:v>
      </x:c>
      <x:c r="Q1201" s="9" t="n">
        <x:f>O1201-P1201</x:f>
        <x:v>603</x:v>
      </x:c>
      <x:c r="R1201" s="11" t="n">
        <x:f>IF(D1201="Completed",I1201,0)</x:f>
        <x:v>5</x:v>
      </x:c>
      <x:c r="S1201" s="11" t="n">
        <x:f>IF(D1201="Completed",L1201,0)</x:f>
        <x:v>0</x:v>
      </x:c>
      <x:c r="T1201" s="8" t="n">
        <x:f>DATE(YEAR(C1201),MONTH(C1201),1)</x:f>
        <x:v>45717</x:v>
      </x:c>
    </x:row>
    <x:row r="1202" ht="22" customHeight="1">
      <x:c r="A1202" s="2" t="str">
        <x:v>L001198</x:v>
      </x:c>
      <x:c r="B1202" s="2" t="str">
        <x:v>O00486</x:v>
      </x:c>
      <x:c r="C1202" s="7" t="n">
        <x:v>45839</x:v>
      </x:c>
      <x:c r="D1202" s="2" t="str">
        <x:v>Cancelled</x:v>
      </x:c>
      <x:c r="E1202" s="2" t="str">
        <x:v>West</x:v>
      </x:c>
      <x:c r="F1202" s="2" t="str">
        <x:v>Online</x:v>
      </x:c>
      <x:c r="G1202" s="2" t="str">
        <x:v>Furniture</x:v>
      </x:c>
      <x:c r="H1202" s="2" t="str">
        <x:v>Chair 002</x:v>
      </x:c>
      <x:c r="I1202" s="11" t="n">
        <x:v>3</x:v>
      </x:c>
      <x:c r="J1202" s="9" t="n">
        <x:v>284</x:v>
      </x:c>
      <x:c r="K1202" s="10" t="n">
        <x:v>0.05</x:v>
      </x:c>
      <x:c r="L1202" s="11" t="n">
        <x:v>0</x:v>
      </x:c>
      <x:c r="M1202" s="9" t="n">
        <x:f>IF(D1202="Completed",I1202*J1202,0)</x:f>
        <x:v>0</x:v>
      </x:c>
      <x:c r="N1202" s="9" t="n">
        <x:f>M1202*K1202</x:f>
        <x:v>0</x:v>
      </x:c>
      <x:c r="O1202" s="9" t="n">
        <x:f>M1202-N1202</x:f>
        <x:v>0</x:v>
      </x:c>
      <x:c r="P1202" s="9" t="n">
        <x:f>IF(D1202="Completed",L1202*J1202*(1-K1202),0)</x:f>
        <x:v>0</x:v>
      </x:c>
      <x:c r="Q1202" s="9" t="n">
        <x:f>O1202-P1202</x:f>
        <x:v>0</x:v>
      </x:c>
      <x:c r="R1202" s="11" t="n">
        <x:f>IF(D1202="Completed",I1202,0)</x:f>
        <x:v>0</x:v>
      </x:c>
      <x:c r="S1202" s="11" t="n">
        <x:f>IF(D1202="Completed",L1202,0)</x:f>
        <x:v>0</x:v>
      </x:c>
      <x:c r="T1202" s="8" t="n">
        <x:f>DATE(YEAR(C1202),MONTH(C1202),1)</x:f>
        <x:v>45839</x:v>
      </x:c>
    </x:row>
    <x:row r="1203" ht="22" customHeight="1">
      <x:c r="A1203" s="2" t="str">
        <x:v>L001199</x:v>
      </x:c>
      <x:c r="B1203" s="2" t="str">
        <x:v>O00487</x:v>
      </x:c>
      <x:c r="C1203" s="7" t="n">
        <x:v>45960</x:v>
      </x:c>
      <x:c r="D1203" s="2" t="str">
        <x:v>Completed</x:v>
      </x:c>
      <x:c r="E1203" s="2" t="str">
        <x:v>West</x:v>
      </x:c>
      <x:c r="F1203" s="2" t="str">
        <x:v>Online</x:v>
      </x:c>
      <x:c r="G1203" s="2" t="str">
        <x:v>Furniture</x:v>
      </x:c>
      <x:c r="H1203" s="2" t="str">
        <x:v>Chair 014</x:v>
      </x:c>
      <x:c r="I1203" s="11" t="n">
        <x:v>4</x:v>
      </x:c>
      <x:c r="J1203" s="9" t="n">
        <x:v>294</x:v>
      </x:c>
      <x:c r="K1203" s="10" t="n">
        <x:v>0.05</x:v>
      </x:c>
      <x:c r="L1203" s="11" t="n">
        <x:v>0</x:v>
      </x:c>
      <x:c r="M1203" s="9" t="n">
        <x:f>IF(D1203="Completed",I1203*J1203,0)</x:f>
        <x:v>1176</x:v>
      </x:c>
      <x:c r="N1203" s="9" t="n">
        <x:f>M1203*K1203</x:f>
        <x:v>58.800000000000004</x:v>
      </x:c>
      <x:c r="O1203" s="9" t="n">
        <x:f>M1203-N1203</x:f>
        <x:v>1117.2</x:v>
      </x:c>
      <x:c r="P1203" s="9" t="n">
        <x:f>IF(D1203="Completed",L1203*J1203*(1-K1203),0)</x:f>
        <x:v>0</x:v>
      </x:c>
      <x:c r="Q1203" s="9" t="n">
        <x:f>O1203-P1203</x:f>
        <x:v>1117.2</x:v>
      </x:c>
      <x:c r="R1203" s="11" t="n">
        <x:f>IF(D1203="Completed",I1203,0)</x:f>
        <x:v>4</x:v>
      </x:c>
      <x:c r="S1203" s="11" t="n">
        <x:f>IF(D1203="Completed",L1203,0)</x:f>
        <x:v>0</x:v>
      </x:c>
      <x:c r="T1203" s="8" t="n">
        <x:f>DATE(YEAR(C1203),MONTH(C1203),1)</x:f>
        <x:v>45931</x:v>
      </x:c>
    </x:row>
    <x:row r="1204" ht="22" customHeight="1">
      <x:c r="A1204" s="2" t="str">
        <x:v>L001200</x:v>
      </x:c>
      <x:c r="B1204" s="2" t="str">
        <x:v>O00487</x:v>
      </x:c>
      <x:c r="C1204" s="7" t="n">
        <x:v>45960</x:v>
      </x:c>
      <x:c r="D1204" s="2" t="str">
        <x:v>Completed</x:v>
      </x:c>
      <x:c r="E1204" s="2" t="str">
        <x:v>West</x:v>
      </x:c>
      <x:c r="F1204" s="2" t="str">
        <x:v>Online</x:v>
      </x:c>
      <x:c r="G1204" s="2" t="str">
        <x:v>Lighting</x:v>
      </x:c>
      <x:c r="H1204" s="2" t="str">
        <x:v>Lamp 013</x:v>
      </x:c>
      <x:c r="I1204" s="11" t="n">
        <x:v>5</x:v>
      </x:c>
      <x:c r="J1204" s="9" t="n">
        <x:v>271</x:v>
      </x:c>
      <x:c r="K1204" s="10" t="n">
        <x:v>0.2</x:v>
      </x:c>
      <x:c r="L1204" s="11" t="n">
        <x:v>0</x:v>
      </x:c>
      <x:c r="M1204" s="9" t="n">
        <x:f>IF(D1204="Completed",I1204*J1204,0)</x:f>
        <x:v>1355</x:v>
      </x:c>
      <x:c r="N1204" s="9" t="n">
        <x:f>M1204*K1204</x:f>
        <x:v>271</x:v>
      </x:c>
      <x:c r="O1204" s="9" t="n">
        <x:f>M1204-N1204</x:f>
        <x:v>1084</x:v>
      </x:c>
      <x:c r="P1204" s="9" t="n">
        <x:f>IF(D1204="Completed",L1204*J1204*(1-K1204),0)</x:f>
        <x:v>0</x:v>
      </x:c>
      <x:c r="Q1204" s="9" t="n">
        <x:f>O1204-P1204</x:f>
        <x:v>1084</x:v>
      </x:c>
      <x:c r="R1204" s="11" t="n">
        <x:f>IF(D1204="Completed",I1204,0)</x:f>
        <x:v>5</x:v>
      </x:c>
      <x:c r="S1204" s="11" t="n">
        <x:f>IF(D1204="Completed",L1204,0)</x:f>
        <x:v>0</x:v>
      </x:c>
      <x:c r="T1204" s="8" t="n">
        <x:f>DATE(YEAR(C1204),MONTH(C1204),1)</x:f>
        <x:v>45931</x:v>
      </x:c>
    </x:row>
    <x:row r="1205" ht="22" customHeight="1">
      <x:c r="A1205" s="2" t="str">
        <x:v>L001201</x:v>
      </x:c>
      <x:c r="B1205" s="2" t="str">
        <x:v>O00488</x:v>
      </x:c>
      <x:c r="C1205" s="7" t="n">
        <x:v>45939</x:v>
      </x:c>
      <x:c r="D1205" s="2" t="str">
        <x:v>Completed</x:v>
      </x:c>
      <x:c r="E1205" s="2" t="str">
        <x:v>North</x:v>
      </x:c>
      <x:c r="F1205" s="2" t="str">
        <x:v>Store</x:v>
      </x:c>
      <x:c r="G1205" s="2" t="str">
        <x:v>Furniture</x:v>
      </x:c>
      <x:c r="H1205" s="2" t="str">
        <x:v>Desk 008</x:v>
      </x:c>
      <x:c r="I1205" s="11" t="n">
        <x:v>1</x:v>
      </x:c>
      <x:c r="J1205" s="9" t="n">
        <x:v>188</x:v>
      </x:c>
      <x:c r="K1205" s="10" t="n">
        <x:v>0</x:v>
      </x:c>
      <x:c r="L1205" s="11" t="n">
        <x:v>0</x:v>
      </x:c>
      <x:c r="M1205" s="9" t="n">
        <x:f>IF(D1205="Completed",I1205*J1205,0)</x:f>
        <x:v>188</x:v>
      </x:c>
      <x:c r="N1205" s="9" t="n">
        <x:f>M1205*K1205</x:f>
        <x:v>0</x:v>
      </x:c>
      <x:c r="O1205" s="9" t="n">
        <x:f>M1205-N1205</x:f>
        <x:v>188</x:v>
      </x:c>
      <x:c r="P1205" s="9" t="n">
        <x:f>IF(D1205="Completed",L1205*J1205*(1-K1205),0)</x:f>
        <x:v>0</x:v>
      </x:c>
      <x:c r="Q1205" s="9" t="n">
        <x:f>O1205-P1205</x:f>
        <x:v>188</x:v>
      </x:c>
      <x:c r="R1205" s="11" t="n">
        <x:f>IF(D1205="Completed",I1205,0)</x:f>
        <x:v>1</x:v>
      </x:c>
      <x:c r="S1205" s="11" t="n">
        <x:f>IF(D1205="Completed",L1205,0)</x:f>
        <x:v>0</x:v>
      </x:c>
      <x:c r="T1205" s="8" t="n">
        <x:f>DATE(YEAR(C1205),MONTH(C1205),1)</x:f>
        <x:v>45931</x:v>
      </x:c>
    </x:row>
    <x:row r="1206" ht="22" customHeight="1">
      <x:c r="A1206" s="2" t="str">
        <x:v>L001202</x:v>
      </x:c>
      <x:c r="B1206" s="2" t="str">
        <x:v>O00488</x:v>
      </x:c>
      <x:c r="C1206" s="7" t="n">
        <x:v>45939</x:v>
      </x:c>
      <x:c r="D1206" s="2" t="str">
        <x:v>Completed</x:v>
      </x:c>
      <x:c r="E1206" s="2" t="str">
        <x:v>North</x:v>
      </x:c>
      <x:c r="F1206" s="2" t="str">
        <x:v>Store</x:v>
      </x:c>
      <x:c r="G1206" s="2" t="str">
        <x:v>Furniture</x:v>
      </x:c>
      <x:c r="H1206" s="2" t="str">
        <x:v>Chair 014</x:v>
      </x:c>
      <x:c r="I1206" s="11" t="n">
        <x:v>2</x:v>
      </x:c>
      <x:c r="J1206" s="9" t="n">
        <x:v>294</x:v>
      </x:c>
      <x:c r="K1206" s="10" t="n">
        <x:v>0.2</x:v>
      </x:c>
      <x:c r="L1206" s="11" t="n">
        <x:v>0</x:v>
      </x:c>
      <x:c r="M1206" s="9" t="n">
        <x:f>IF(D1206="Completed",I1206*J1206,0)</x:f>
        <x:v>588</x:v>
      </x:c>
      <x:c r="N1206" s="9" t="n">
        <x:f>M1206*K1206</x:f>
        <x:v>117.60000000000001</x:v>
      </x:c>
      <x:c r="O1206" s="9" t="n">
        <x:f>M1206-N1206</x:f>
        <x:v>470.4</x:v>
      </x:c>
      <x:c r="P1206" s="9" t="n">
        <x:f>IF(D1206="Completed",L1206*J1206*(1-K1206),0)</x:f>
        <x:v>0</x:v>
      </x:c>
      <x:c r="Q1206" s="9" t="n">
        <x:f>O1206-P1206</x:f>
        <x:v>470.4</x:v>
      </x:c>
      <x:c r="R1206" s="11" t="n">
        <x:f>IF(D1206="Completed",I1206,0)</x:f>
        <x:v>2</x:v>
      </x:c>
      <x:c r="S1206" s="11" t="n">
        <x:f>IF(D1206="Completed",L1206,0)</x:f>
        <x:v>0</x:v>
      </x:c>
      <x:c r="T1206" s="8" t="n">
        <x:f>DATE(YEAR(C1206),MONTH(C1206),1)</x:f>
        <x:v>45931</x:v>
      </x:c>
    </x:row>
    <x:row r="1207" ht="22" customHeight="1">
      <x:c r="A1207" s="2" t="str">
        <x:v>L001203</x:v>
      </x:c>
      <x:c r="B1207" s="2" t="str">
        <x:v>O00488</x:v>
      </x:c>
      <x:c r="C1207" s="7" t="n">
        <x:v>45939</x:v>
      </x:c>
      <x:c r="D1207" s="2" t="str">
        <x:v>Completed</x:v>
      </x:c>
      <x:c r="E1207" s="2" t="str">
        <x:v>North</x:v>
      </x:c>
      <x:c r="F1207" s="2" t="str">
        <x:v>Store</x:v>
      </x:c>
      <x:c r="G1207" s="2" t="str">
        <x:v>Furniture</x:v>
      </x:c>
      <x:c r="H1207" s="2" t="str">
        <x:v>Chair 014</x:v>
      </x:c>
      <x:c r="I1207" s="11" t="n">
        <x:v>2</x:v>
      </x:c>
      <x:c r="J1207" s="9" t="n">
        <x:v>294</x:v>
      </x:c>
      <x:c r="K1207" s="10" t="n">
        <x:v>0.2</x:v>
      </x:c>
      <x:c r="L1207" s="11" t="n">
        <x:v>0</x:v>
      </x:c>
      <x:c r="M1207" s="9" t="n">
        <x:f>IF(D1207="Completed",I1207*J1207,0)</x:f>
        <x:v>588</x:v>
      </x:c>
      <x:c r="N1207" s="9" t="n">
        <x:f>M1207*K1207</x:f>
        <x:v>117.60000000000001</x:v>
      </x:c>
      <x:c r="O1207" s="9" t="n">
        <x:f>M1207-N1207</x:f>
        <x:v>470.4</x:v>
      </x:c>
      <x:c r="P1207" s="9" t="n">
        <x:f>IF(D1207="Completed",L1207*J1207*(1-K1207),0)</x:f>
        <x:v>0</x:v>
      </x:c>
      <x:c r="Q1207" s="9" t="n">
        <x:f>O1207-P1207</x:f>
        <x:v>470.4</x:v>
      </x:c>
      <x:c r="R1207" s="11" t="n">
        <x:f>IF(D1207="Completed",I1207,0)</x:f>
        <x:v>2</x:v>
      </x:c>
      <x:c r="S1207" s="11" t="n">
        <x:f>IF(D1207="Completed",L1207,0)</x:f>
        <x:v>0</x:v>
      </x:c>
      <x:c r="T1207" s="8" t="n">
        <x:f>DATE(YEAR(C1207),MONTH(C1207),1)</x:f>
        <x:v>45931</x:v>
      </x:c>
    </x:row>
    <x:row r="1208" ht="22" customHeight="1">
      <x:c r="A1208" s="2" t="str">
        <x:v>L001204</x:v>
      </x:c>
      <x:c r="B1208" s="2" t="str">
        <x:v>O00488</x:v>
      </x:c>
      <x:c r="C1208" s="7" t="n">
        <x:v>45939</x:v>
      </x:c>
      <x:c r="D1208" s="2" t="str">
        <x:v>Completed</x:v>
      </x:c>
      <x:c r="E1208" s="2" t="str">
        <x:v>North</x:v>
      </x:c>
      <x:c r="F1208" s="2" t="str">
        <x:v>Store</x:v>
      </x:c>
      <x:c r="G1208" s="2" t="str">
        <x:v>Furniture</x:v>
      </x:c>
      <x:c r="H1208" s="2" t="str">
        <x:v>Chair 002</x:v>
      </x:c>
      <x:c r="I1208" s="11" t="n">
        <x:v>3</x:v>
      </x:c>
      <x:c r="J1208" s="9" t="n">
        <x:v>284</x:v>
      </x:c>
      <x:c r="K1208" s="10" t="n">
        <x:v>0.2</x:v>
      </x:c>
      <x:c r="L1208" s="11" t="n">
        <x:v>0</x:v>
      </x:c>
      <x:c r="M1208" s="9" t="n">
        <x:f>IF(D1208="Completed",I1208*J1208,0)</x:f>
        <x:v>852</x:v>
      </x:c>
      <x:c r="N1208" s="9" t="n">
        <x:f>M1208*K1208</x:f>
        <x:v>170.4</x:v>
      </x:c>
      <x:c r="O1208" s="9" t="n">
        <x:f>M1208-N1208</x:f>
        <x:v>681.6</x:v>
      </x:c>
      <x:c r="P1208" s="9" t="n">
        <x:f>IF(D1208="Completed",L1208*J1208*(1-K1208),0)</x:f>
        <x:v>0</x:v>
      </x:c>
      <x:c r="Q1208" s="9" t="n">
        <x:f>O1208-P1208</x:f>
        <x:v>681.6</x:v>
      </x:c>
      <x:c r="R1208" s="11" t="n">
        <x:f>IF(D1208="Completed",I1208,0)</x:f>
        <x:v>3</x:v>
      </x:c>
      <x:c r="S1208" s="11" t="n">
        <x:f>IF(D1208="Completed",L1208,0)</x:f>
        <x:v>0</x:v>
      </x:c>
      <x:c r="T1208" s="8" t="n">
        <x:f>DATE(YEAR(C1208),MONTH(C1208),1)</x:f>
        <x:v>45931</x:v>
      </x:c>
    </x:row>
    <x:row r="1209" ht="22" customHeight="1">
      <x:c r="A1209" s="2" t="str">
        <x:v>L001205</x:v>
      </x:c>
      <x:c r="B1209" s="2" t="str">
        <x:v>O00489</x:v>
      </x:c>
      <x:c r="C1209" s="7" t="n">
        <x:v>45958</x:v>
      </x:c>
      <x:c r="D1209" s="2" t="str">
        <x:v>Completed</x:v>
      </x:c>
      <x:c r="E1209" s="2" t="str">
        <x:v>South</x:v>
      </x:c>
      <x:c r="F1209" s="2" t="str">
        <x:v>Store</x:v>
      </x:c>
      <x:c r="G1209" s="2" t="str">
        <x:v>Furniture</x:v>
      </x:c>
      <x:c r="H1209" s="2" t="str">
        <x:v>Desk 008</x:v>
      </x:c>
      <x:c r="I1209" s="11" t="n">
        <x:v>4</x:v>
      </x:c>
      <x:c r="J1209" s="9" t="n">
        <x:v>188</x:v>
      </x:c>
      <x:c r="K1209" s="10" t="n">
        <x:v>0</x:v>
      </x:c>
      <x:c r="L1209" s="11" t="n">
        <x:v>0</x:v>
      </x:c>
      <x:c r="M1209" s="9" t="n">
        <x:f>IF(D1209="Completed",I1209*J1209,0)</x:f>
        <x:v>752</x:v>
      </x:c>
      <x:c r="N1209" s="9" t="n">
        <x:f>M1209*K1209</x:f>
        <x:v>0</x:v>
      </x:c>
      <x:c r="O1209" s="9" t="n">
        <x:f>M1209-N1209</x:f>
        <x:v>752</x:v>
      </x:c>
      <x:c r="P1209" s="9" t="n">
        <x:f>IF(D1209="Completed",L1209*J1209*(1-K1209),0)</x:f>
        <x:v>0</x:v>
      </x:c>
      <x:c r="Q1209" s="9" t="n">
        <x:f>O1209-P1209</x:f>
        <x:v>752</x:v>
      </x:c>
      <x:c r="R1209" s="11" t="n">
        <x:f>IF(D1209="Completed",I1209,0)</x:f>
        <x:v>4</x:v>
      </x:c>
      <x:c r="S1209" s="11" t="n">
        <x:f>IF(D1209="Completed",L1209,0)</x:f>
        <x:v>0</x:v>
      </x:c>
      <x:c r="T1209" s="8" t="n">
        <x:f>DATE(YEAR(C1209),MONTH(C1209),1)</x:f>
        <x:v>45931</x:v>
      </x:c>
    </x:row>
    <x:row r="1210" ht="22" customHeight="1">
      <x:c r="A1210" s="2" t="str">
        <x:v>L001206</x:v>
      </x:c>
      <x:c r="B1210" s="2" t="str">
        <x:v>O00489</x:v>
      </x:c>
      <x:c r="C1210" s="7" t="n">
        <x:v>45958</x:v>
      </x:c>
      <x:c r="D1210" s="2" t="str">
        <x:v>Completed</x:v>
      </x:c>
      <x:c r="E1210" s="2" t="str">
        <x:v>South</x:v>
      </x:c>
      <x:c r="F1210" s="2" t="str">
        <x:v>Store</x:v>
      </x:c>
      <x:c r="G1210" s="2" t="str">
        <x:v>Furniture</x:v>
      </x:c>
      <x:c r="H1210" s="2" t="str">
        <x:v>Chair 018</x:v>
      </x:c>
      <x:c r="I1210" s="11" t="n">
        <x:v>1</x:v>
      </x:c>
      <x:c r="J1210" s="9" t="n">
        <x:v>269</x:v>
      </x:c>
      <x:c r="K1210" s="10" t="n">
        <x:v>0.1</x:v>
      </x:c>
      <x:c r="L1210" s="11" t="n">
        <x:v>0</x:v>
      </x:c>
      <x:c r="M1210" s="9" t="n">
        <x:f>IF(D1210="Completed",I1210*J1210,0)</x:f>
        <x:v>269</x:v>
      </x:c>
      <x:c r="N1210" s="9" t="n">
        <x:f>M1210*K1210</x:f>
        <x:v>26.900000000000002</x:v>
      </x:c>
      <x:c r="O1210" s="9" t="n">
        <x:f>M1210-N1210</x:f>
        <x:v>242.1</x:v>
      </x:c>
      <x:c r="P1210" s="9" t="n">
        <x:f>IF(D1210="Completed",L1210*J1210*(1-K1210),0)</x:f>
        <x:v>0</x:v>
      </x:c>
      <x:c r="Q1210" s="9" t="n">
        <x:f>O1210-P1210</x:f>
        <x:v>242.1</x:v>
      </x:c>
      <x:c r="R1210" s="11" t="n">
        <x:f>IF(D1210="Completed",I1210,0)</x:f>
        <x:v>1</x:v>
      </x:c>
      <x:c r="S1210" s="11" t="n">
        <x:f>IF(D1210="Completed",L1210,0)</x:f>
        <x:v>0</x:v>
      </x:c>
      <x:c r="T1210" s="8" t="n">
        <x:f>DATE(YEAR(C1210),MONTH(C1210),1)</x:f>
        <x:v>45931</x:v>
      </x:c>
    </x:row>
    <x:row r="1211" ht="22" customHeight="1">
      <x:c r="A1211" s="2" t="str">
        <x:v>L001207</x:v>
      </x:c>
      <x:c r="B1211" s="2" t="str">
        <x:v>O00489</x:v>
      </x:c>
      <x:c r="C1211" s="7" t="n">
        <x:v>45958</x:v>
      </x:c>
      <x:c r="D1211" s="2" t="str">
        <x:v>Completed</x:v>
      </x:c>
      <x:c r="E1211" s="2" t="str">
        <x:v>South</x:v>
      </x:c>
      <x:c r="F1211" s="2" t="str">
        <x:v>Store</x:v>
      </x:c>
      <x:c r="G1211" s="2" t="str">
        <x:v>Lighting</x:v>
      </x:c>
      <x:c r="H1211" s="2" t="str">
        <x:v>Lamp 013</x:v>
      </x:c>
      <x:c r="I1211" s="11" t="n">
        <x:v>2</x:v>
      </x:c>
      <x:c r="J1211" s="9" t="n">
        <x:v>271</x:v>
      </x:c>
      <x:c r="K1211" s="10" t="n">
        <x:v>0.2</x:v>
      </x:c>
      <x:c r="L1211" s="11" t="n">
        <x:v>0</x:v>
      </x:c>
      <x:c r="M1211" s="9" t="n">
        <x:f>IF(D1211="Completed",I1211*J1211,0)</x:f>
        <x:v>542</x:v>
      </x:c>
      <x:c r="N1211" s="9" t="n">
        <x:f>M1211*K1211</x:f>
        <x:v>108.4</x:v>
      </x:c>
      <x:c r="O1211" s="9" t="n">
        <x:f>M1211-N1211</x:f>
        <x:v>433.6</x:v>
      </x:c>
      <x:c r="P1211" s="9" t="n">
        <x:f>IF(D1211="Completed",L1211*J1211*(1-K1211),0)</x:f>
        <x:v>0</x:v>
      </x:c>
      <x:c r="Q1211" s="9" t="n">
        <x:f>O1211-P1211</x:f>
        <x:v>433.6</x:v>
      </x:c>
      <x:c r="R1211" s="11" t="n">
        <x:f>IF(D1211="Completed",I1211,0)</x:f>
        <x:v>2</x:v>
      </x:c>
      <x:c r="S1211" s="11" t="n">
        <x:f>IF(D1211="Completed",L1211,0)</x:f>
        <x:v>0</x:v>
      </x:c>
      <x:c r="T1211" s="8" t="n">
        <x:f>DATE(YEAR(C1211),MONTH(C1211),1)</x:f>
        <x:v>45931</x:v>
      </x:c>
    </x:row>
    <x:row r="1212" ht="22" customHeight="1">
      <x:c r="A1212" s="2" t="str">
        <x:v>L001208</x:v>
      </x:c>
      <x:c r="B1212" s="2" t="str">
        <x:v>O00489</x:v>
      </x:c>
      <x:c r="C1212" s="7" t="n">
        <x:v>45958</x:v>
      </x:c>
      <x:c r="D1212" s="2" t="str">
        <x:v>Completed</x:v>
      </x:c>
      <x:c r="E1212" s="2" t="str">
        <x:v>South</x:v>
      </x:c>
      <x:c r="F1212" s="2" t="str">
        <x:v>Store</x:v>
      </x:c>
      <x:c r="G1212" s="2" t="str">
        <x:v>Furniture</x:v>
      </x:c>
      <x:c r="H1212" s="2" t="str">
        <x:v>Chair 022</x:v>
      </x:c>
      <x:c r="I1212" s="11" t="n">
        <x:v>1</x:v>
      </x:c>
      <x:c r="J1212" s="9" t="n">
        <x:v>134</x:v>
      </x:c>
      <x:c r="K1212" s="10" t="n">
        <x:v>0</x:v>
      </x:c>
      <x:c r="L1212" s="11" t="n">
        <x:v>0</x:v>
      </x:c>
      <x:c r="M1212" s="9" t="n">
        <x:f>IF(D1212="Completed",I1212*J1212,0)</x:f>
        <x:v>134</x:v>
      </x:c>
      <x:c r="N1212" s="9" t="n">
        <x:f>M1212*K1212</x:f>
        <x:v>0</x:v>
      </x:c>
      <x:c r="O1212" s="9" t="n">
        <x:f>M1212-N1212</x:f>
        <x:v>134</x:v>
      </x:c>
      <x:c r="P1212" s="9" t="n">
        <x:f>IF(D1212="Completed",L1212*J1212*(1-K1212),0)</x:f>
        <x:v>0</x:v>
      </x:c>
      <x:c r="Q1212" s="9" t="n">
        <x:f>O1212-P1212</x:f>
        <x:v>134</x:v>
      </x:c>
      <x:c r="R1212" s="11" t="n">
        <x:f>IF(D1212="Completed",I1212,0)</x:f>
        <x:v>1</x:v>
      </x:c>
      <x:c r="S1212" s="11" t="n">
        <x:f>IF(D1212="Completed",L1212,0)</x:f>
        <x:v>0</x:v>
      </x:c>
      <x:c r="T1212" s="8" t="n">
        <x:f>DATE(YEAR(C1212),MONTH(C1212),1)</x:f>
        <x:v>45931</x:v>
      </x:c>
    </x:row>
    <x:row r="1213" ht="22" customHeight="1">
      <x:c r="A1213" s="2" t="str">
        <x:v>L001209</x:v>
      </x:c>
      <x:c r="B1213" s="2" t="str">
        <x:v>O00490</x:v>
      </x:c>
      <x:c r="C1213" s="7" t="n">
        <x:v>45804</x:v>
      </x:c>
      <x:c r="D1213" s="2" t="str">
        <x:v>Cancelled</x:v>
      </x:c>
      <x:c r="E1213" s="2" t="str">
        <x:v>South</x:v>
      </x:c>
      <x:c r="F1213" s="2" t="str">
        <x:v>Store</x:v>
      </x:c>
      <x:c r="G1213" s="2" t="str">
        <x:v>Lighting</x:v>
      </x:c>
      <x:c r="H1213" s="2" t="str">
        <x:v>Lamp 005</x:v>
      </x:c>
      <x:c r="I1213" s="11" t="n">
        <x:v>4</x:v>
      </x:c>
      <x:c r="J1213" s="9" t="n">
        <x:v>65</x:v>
      </x:c>
      <x:c r="K1213" s="10" t="n">
        <x:v>0.1</x:v>
      </x:c>
      <x:c r="L1213" s="11" t="n">
        <x:v>0</x:v>
      </x:c>
      <x:c r="M1213" s="9" t="n">
        <x:f>IF(D1213="Completed",I1213*J1213,0)</x:f>
        <x:v>0</x:v>
      </x:c>
      <x:c r="N1213" s="9" t="n">
        <x:f>M1213*K1213</x:f>
        <x:v>0</x:v>
      </x:c>
      <x:c r="O1213" s="9" t="n">
        <x:f>M1213-N1213</x:f>
        <x:v>0</x:v>
      </x:c>
      <x:c r="P1213" s="9" t="n">
        <x:f>IF(D1213="Completed",L1213*J1213*(1-K1213),0)</x:f>
        <x:v>0</x:v>
      </x:c>
      <x:c r="Q1213" s="9" t="n">
        <x:f>O1213-P1213</x:f>
        <x:v>0</x:v>
      </x:c>
      <x:c r="R1213" s="11" t="n">
        <x:f>IF(D1213="Completed",I1213,0)</x:f>
        <x:v>0</x:v>
      </x:c>
      <x:c r="S1213" s="11" t="n">
        <x:f>IF(D1213="Completed",L1213,0)</x:f>
        <x:v>0</x:v>
      </x:c>
      <x:c r="T1213" s="8" t="n">
        <x:f>DATE(YEAR(C1213),MONTH(C1213),1)</x:f>
        <x:v>45778</x:v>
      </x:c>
    </x:row>
    <x:row r="1214" ht="22" customHeight="1">
      <x:c r="A1214" s="2" t="str">
        <x:v>L001210</x:v>
      </x:c>
      <x:c r="B1214" s="2" t="str">
        <x:v>O00490</x:v>
      </x:c>
      <x:c r="C1214" s="7" t="n">
        <x:v>45804</x:v>
      </x:c>
      <x:c r="D1214" s="2" t="str">
        <x:v>Cancelled</x:v>
      </x:c>
      <x:c r="E1214" s="2" t="str">
        <x:v>South</x:v>
      </x:c>
      <x:c r="F1214" s="2" t="str">
        <x:v>Store</x:v>
      </x:c>
      <x:c r="G1214" s="2" t="str">
        <x:v>Lighting</x:v>
      </x:c>
      <x:c r="H1214" s="2" t="str">
        <x:v>Lamp 009</x:v>
      </x:c>
      <x:c r="I1214" s="11" t="n">
        <x:v>2</x:v>
      </x:c>
      <x:c r="J1214" s="9" t="n">
        <x:v>93</x:v>
      </x:c>
      <x:c r="K1214" s="10" t="n">
        <x:v>0.1</x:v>
      </x:c>
      <x:c r="L1214" s="11" t="n">
        <x:v>0</x:v>
      </x:c>
      <x:c r="M1214" s="9" t="n">
        <x:f>IF(D1214="Completed",I1214*J1214,0)</x:f>
        <x:v>0</x:v>
      </x:c>
      <x:c r="N1214" s="9" t="n">
        <x:f>M1214*K1214</x:f>
        <x:v>0</x:v>
      </x:c>
      <x:c r="O1214" s="9" t="n">
        <x:f>M1214-N1214</x:f>
        <x:v>0</x:v>
      </x:c>
      <x:c r="P1214" s="9" t="n">
        <x:f>IF(D1214="Completed",L1214*J1214*(1-K1214),0)</x:f>
        <x:v>0</x:v>
      </x:c>
      <x:c r="Q1214" s="9" t="n">
        <x:f>O1214-P1214</x:f>
        <x:v>0</x:v>
      </x:c>
      <x:c r="R1214" s="11" t="n">
        <x:f>IF(D1214="Completed",I1214,0)</x:f>
        <x:v>0</x:v>
      </x:c>
      <x:c r="S1214" s="11" t="n">
        <x:f>IF(D1214="Completed",L1214,0)</x:f>
        <x:v>0</x:v>
      </x:c>
      <x:c r="T1214" s="8" t="n">
        <x:f>DATE(YEAR(C1214),MONTH(C1214),1)</x:f>
        <x:v>45778</x:v>
      </x:c>
    </x:row>
    <x:row r="1215" ht="22" customHeight="1">
      <x:c r="A1215" s="2" t="str">
        <x:v>L001211</x:v>
      </x:c>
      <x:c r="B1215" s="2" t="str">
        <x:v>O00490</x:v>
      </x:c>
      <x:c r="C1215" s="7" t="n">
        <x:v>45804</x:v>
      </x:c>
      <x:c r="D1215" s="2" t="str">
        <x:v>Cancelled</x:v>
      </x:c>
      <x:c r="E1215" s="2" t="str">
        <x:v>South</x:v>
      </x:c>
      <x:c r="F1215" s="2" t="str">
        <x:v>Store</x:v>
      </x:c>
      <x:c r="G1215" s="2" t="str">
        <x:v>Lighting</x:v>
      </x:c>
      <x:c r="H1215" s="2" t="str">
        <x:v>Lamp 013</x:v>
      </x:c>
      <x:c r="I1215" s="11" t="n">
        <x:v>4</x:v>
      </x:c>
      <x:c r="J1215" s="9" t="n">
        <x:v>271</x:v>
      </x:c>
      <x:c r="K1215" s="10" t="n">
        <x:v>0.05</x:v>
      </x:c>
      <x:c r="L1215" s="11" t="n">
        <x:v>0</x:v>
      </x:c>
      <x:c r="M1215" s="9" t="n">
        <x:f>IF(D1215="Completed",I1215*J1215,0)</x:f>
        <x:v>0</x:v>
      </x:c>
      <x:c r="N1215" s="9" t="n">
        <x:f>M1215*K1215</x:f>
        <x:v>0</x:v>
      </x:c>
      <x:c r="O1215" s="9" t="n">
        <x:f>M1215-N1215</x:f>
        <x:v>0</x:v>
      </x:c>
      <x:c r="P1215" s="9" t="n">
        <x:f>IF(D1215="Completed",L1215*J1215*(1-K1215),0)</x:f>
        <x:v>0</x:v>
      </x:c>
      <x:c r="Q1215" s="9" t="n">
        <x:f>O1215-P1215</x:f>
        <x:v>0</x:v>
      </x:c>
      <x:c r="R1215" s="11" t="n">
        <x:f>IF(D1215="Completed",I1215,0)</x:f>
        <x:v>0</x:v>
      </x:c>
      <x:c r="S1215" s="11" t="n">
        <x:f>IF(D1215="Completed",L1215,0)</x:f>
        <x:v>0</x:v>
      </x:c>
      <x:c r="T1215" s="8" t="n">
        <x:f>DATE(YEAR(C1215),MONTH(C1215),1)</x:f>
        <x:v>45778</x:v>
      </x:c>
    </x:row>
    <x:row r="1216" ht="22" customHeight="1">
      <x:c r="A1216" s="2" t="str">
        <x:v>L001212</x:v>
      </x:c>
      <x:c r="B1216" s="2" t="str">
        <x:v>O00490</x:v>
      </x:c>
      <x:c r="C1216" s="7" t="n">
        <x:v>45804</x:v>
      </x:c>
      <x:c r="D1216" s="2" t="str">
        <x:v>Cancelled</x:v>
      </x:c>
      <x:c r="E1216" s="2" t="str">
        <x:v>South</x:v>
      </x:c>
      <x:c r="F1216" s="2" t="str">
        <x:v>Store</x:v>
      </x:c>
      <x:c r="G1216" s="2" t="str">
        <x:v>Lighting</x:v>
      </x:c>
      <x:c r="H1216" s="2" t="str">
        <x:v>Lamp 009</x:v>
      </x:c>
      <x:c r="I1216" s="11" t="n">
        <x:v>3</x:v>
      </x:c>
      <x:c r="J1216" s="9" t="n">
        <x:v>93</x:v>
      </x:c>
      <x:c r="K1216" s="10" t="n">
        <x:v>0</x:v>
      </x:c>
      <x:c r="L1216" s="11" t="n">
        <x:v>0</x:v>
      </x:c>
      <x:c r="M1216" s="9" t="n">
        <x:f>IF(D1216="Completed",I1216*J1216,0)</x:f>
        <x:v>0</x:v>
      </x:c>
      <x:c r="N1216" s="9" t="n">
        <x:f>M1216*K1216</x:f>
        <x:v>0</x:v>
      </x:c>
      <x:c r="O1216" s="9" t="n">
        <x:f>M1216-N1216</x:f>
        <x:v>0</x:v>
      </x:c>
      <x:c r="P1216" s="9" t="n">
        <x:f>IF(D1216="Completed",L1216*J1216*(1-K1216),0)</x:f>
        <x:v>0</x:v>
      </x:c>
      <x:c r="Q1216" s="9" t="n">
        <x:f>O1216-P1216</x:f>
        <x:v>0</x:v>
      </x:c>
      <x:c r="R1216" s="11" t="n">
        <x:f>IF(D1216="Completed",I1216,0)</x:f>
        <x:v>0</x:v>
      </x:c>
      <x:c r="S1216" s="11" t="n">
        <x:f>IF(D1216="Completed",L1216,0)</x:f>
        <x:v>0</x:v>
      </x:c>
      <x:c r="T1216" s="8" t="n">
        <x:f>DATE(YEAR(C1216),MONTH(C1216),1)</x:f>
        <x:v>45778</x:v>
      </x:c>
    </x:row>
    <x:row r="1217" ht="22" customHeight="1">
      <x:c r="A1217" s="2" t="str">
        <x:v>L001213</x:v>
      </x:c>
      <x:c r="B1217" s="2" t="str">
        <x:v>O00491</x:v>
      </x:c>
      <x:c r="C1217" s="7" t="n">
        <x:v>45852</x:v>
      </x:c>
      <x:c r="D1217" s="2" t="str">
        <x:v>Completed</x:v>
      </x:c>
      <x:c r="E1217" s="2" t="str">
        <x:v>North</x:v>
      </x:c>
      <x:c r="F1217" s="2" t="str">
        <x:v>Store</x:v>
      </x:c>
      <x:c r="G1217" s="2" t="str">
        <x:v>Furniture</x:v>
      </x:c>
      <x:c r="H1217" s="2" t="str">
        <x:v>Chair 018</x:v>
      </x:c>
      <x:c r="I1217" s="11" t="n">
        <x:v>1</x:v>
      </x:c>
      <x:c r="J1217" s="9" t="n">
        <x:v>269</x:v>
      </x:c>
      <x:c r="K1217" s="10" t="n">
        <x:v>0.2</x:v>
      </x:c>
      <x:c r="L1217" s="11" t="n">
        <x:v>0</x:v>
      </x:c>
      <x:c r="M1217" s="9" t="n">
        <x:f>IF(D1217="Completed",I1217*J1217,0)</x:f>
        <x:v>269</x:v>
      </x:c>
      <x:c r="N1217" s="9" t="n">
        <x:f>M1217*K1217</x:f>
        <x:v>53.800000000000004</x:v>
      </x:c>
      <x:c r="O1217" s="9" t="n">
        <x:f>M1217-N1217</x:f>
        <x:v>215.2</x:v>
      </x:c>
      <x:c r="P1217" s="9" t="n">
        <x:f>IF(D1217="Completed",L1217*J1217*(1-K1217),0)</x:f>
        <x:v>0</x:v>
      </x:c>
      <x:c r="Q1217" s="9" t="n">
        <x:f>O1217-P1217</x:f>
        <x:v>215.2</x:v>
      </x:c>
      <x:c r="R1217" s="11" t="n">
        <x:f>IF(D1217="Completed",I1217,0)</x:f>
        <x:v>1</x:v>
      </x:c>
      <x:c r="S1217" s="11" t="n">
        <x:f>IF(D1217="Completed",L1217,0)</x:f>
        <x:v>0</x:v>
      </x:c>
      <x:c r="T1217" s="8" t="n">
        <x:f>DATE(YEAR(C1217),MONTH(C1217),1)</x:f>
        <x:v>45839</x:v>
      </x:c>
    </x:row>
    <x:row r="1218" ht="22" customHeight="1">
      <x:c r="A1218" s="2" t="str">
        <x:v>L001214</x:v>
      </x:c>
      <x:c r="B1218" s="2" t="str">
        <x:v>O00491</x:v>
      </x:c>
      <x:c r="C1218" s="7" t="n">
        <x:v>45852</x:v>
      </x:c>
      <x:c r="D1218" s="2" t="str">
        <x:v>Completed</x:v>
      </x:c>
      <x:c r="E1218" s="2" t="str">
        <x:v>North</x:v>
      </x:c>
      <x:c r="F1218" s="2" t="str">
        <x:v>Store</x:v>
      </x:c>
      <x:c r="G1218" s="2" t="str">
        <x:v>Lighting</x:v>
      </x:c>
      <x:c r="H1218" s="2" t="str">
        <x:v>Lamp 009</x:v>
      </x:c>
      <x:c r="I1218" s="11" t="n">
        <x:v>3</x:v>
      </x:c>
      <x:c r="J1218" s="9" t="n">
        <x:v>93</x:v>
      </x:c>
      <x:c r="K1218" s="10" t="n">
        <x:v>0.1</x:v>
      </x:c>
      <x:c r="L1218" s="11" t="n">
        <x:v>0</x:v>
      </x:c>
      <x:c r="M1218" s="9" t="n">
        <x:f>IF(D1218="Completed",I1218*J1218,0)</x:f>
        <x:v>279</x:v>
      </x:c>
      <x:c r="N1218" s="9" t="n">
        <x:f>M1218*K1218</x:f>
        <x:v>27.900000000000002</x:v>
      </x:c>
      <x:c r="O1218" s="9" t="n">
        <x:f>M1218-N1218</x:f>
        <x:v>251.1</x:v>
      </x:c>
      <x:c r="P1218" s="9" t="n">
        <x:f>IF(D1218="Completed",L1218*J1218*(1-K1218),0)</x:f>
        <x:v>0</x:v>
      </x:c>
      <x:c r="Q1218" s="9" t="n">
        <x:f>O1218-P1218</x:f>
        <x:v>251.1</x:v>
      </x:c>
      <x:c r="R1218" s="11" t="n">
        <x:f>IF(D1218="Completed",I1218,0)</x:f>
        <x:v>3</x:v>
      </x:c>
      <x:c r="S1218" s="11" t="n">
        <x:f>IF(D1218="Completed",L1218,0)</x:f>
        <x:v>0</x:v>
      </x:c>
      <x:c r="T1218" s="8" t="n">
        <x:f>DATE(YEAR(C1218),MONTH(C1218),1)</x:f>
        <x:v>45839</x:v>
      </x:c>
    </x:row>
    <x:row r="1219" ht="22" customHeight="1">
      <x:c r="A1219" s="2" t="str">
        <x:v>L001215</x:v>
      </x:c>
      <x:c r="B1219" s="2" t="str">
        <x:v>O00492</x:v>
      </x:c>
      <x:c r="C1219" s="7" t="n">
        <x:v>45924</x:v>
      </x:c>
      <x:c r="D1219" s="2" t="str">
        <x:v>Completed</x:v>
      </x:c>
      <x:c r="E1219" s="2" t="str">
        <x:v>North</x:v>
      </x:c>
      <x:c r="F1219" s="2" t="str">
        <x:v>Store</x:v>
      </x:c>
      <x:c r="G1219" s="2" t="str">
        <x:v>Furniture</x:v>
      </x:c>
      <x:c r="H1219" s="2" t="str">
        <x:v>Desk 008</x:v>
      </x:c>
      <x:c r="I1219" s="11" t="n">
        <x:v>1</x:v>
      </x:c>
      <x:c r="J1219" s="9" t="n">
        <x:v>188</x:v>
      </x:c>
      <x:c r="K1219" s="10" t="n">
        <x:v>0</x:v>
      </x:c>
      <x:c r="L1219" s="11" t="n">
        <x:v>0</x:v>
      </x:c>
      <x:c r="M1219" s="9" t="n">
        <x:f>IF(D1219="Completed",I1219*J1219,0)</x:f>
        <x:v>188</x:v>
      </x:c>
      <x:c r="N1219" s="9" t="n">
        <x:f>M1219*K1219</x:f>
        <x:v>0</x:v>
      </x:c>
      <x:c r="O1219" s="9" t="n">
        <x:f>M1219-N1219</x:f>
        <x:v>188</x:v>
      </x:c>
      <x:c r="P1219" s="9" t="n">
        <x:f>IF(D1219="Completed",L1219*J1219*(1-K1219),0)</x:f>
        <x:v>0</x:v>
      </x:c>
      <x:c r="Q1219" s="9" t="n">
        <x:f>O1219-P1219</x:f>
        <x:v>188</x:v>
      </x:c>
      <x:c r="R1219" s="11" t="n">
        <x:f>IF(D1219="Completed",I1219,0)</x:f>
        <x:v>1</x:v>
      </x:c>
      <x:c r="S1219" s="11" t="n">
        <x:f>IF(D1219="Completed",L1219,0)</x:f>
        <x:v>0</x:v>
      </x:c>
      <x:c r="T1219" s="8" t="n">
        <x:f>DATE(YEAR(C1219),MONTH(C1219),1)</x:f>
        <x:v>45901</x:v>
      </x:c>
    </x:row>
    <x:row r="1220" ht="22" customHeight="1">
      <x:c r="A1220" s="2" t="str">
        <x:v>L001216</x:v>
      </x:c>
      <x:c r="B1220" s="2" t="str">
        <x:v>O00492</x:v>
      </x:c>
      <x:c r="C1220" s="7" t="n">
        <x:v>45924</x:v>
      </x:c>
      <x:c r="D1220" s="2" t="str">
        <x:v>Completed</x:v>
      </x:c>
      <x:c r="E1220" s="2" t="str">
        <x:v>North</x:v>
      </x:c>
      <x:c r="F1220" s="2" t="str">
        <x:v>Store</x:v>
      </x:c>
      <x:c r="G1220" s="2" t="str">
        <x:v>Furniture</x:v>
      </x:c>
      <x:c r="H1220" s="2" t="str">
        <x:v>Desk 020</x:v>
      </x:c>
      <x:c r="I1220" s="11" t="n">
        <x:v>4</x:v>
      </x:c>
      <x:c r="J1220" s="9" t="n">
        <x:v>189</x:v>
      </x:c>
      <x:c r="K1220" s="10" t="n">
        <x:v>0.1</x:v>
      </x:c>
      <x:c r="L1220" s="11" t="n">
        <x:v>0</x:v>
      </x:c>
      <x:c r="M1220" s="9" t="n">
        <x:f>IF(D1220="Completed",I1220*J1220,0)</x:f>
        <x:v>756</x:v>
      </x:c>
      <x:c r="N1220" s="9" t="n">
        <x:f>M1220*K1220</x:f>
        <x:v>75.60000000000001</x:v>
      </x:c>
      <x:c r="O1220" s="9" t="n">
        <x:f>M1220-N1220</x:f>
        <x:v>680.4</x:v>
      </x:c>
      <x:c r="P1220" s="9" t="n">
        <x:f>IF(D1220="Completed",L1220*J1220*(1-K1220),0)</x:f>
        <x:v>0</x:v>
      </x:c>
      <x:c r="Q1220" s="9" t="n">
        <x:f>O1220-P1220</x:f>
        <x:v>680.4</x:v>
      </x:c>
      <x:c r="R1220" s="11" t="n">
        <x:f>IF(D1220="Completed",I1220,0)</x:f>
        <x:v>4</x:v>
      </x:c>
      <x:c r="S1220" s="11" t="n">
        <x:f>IF(D1220="Completed",L1220,0)</x:f>
        <x:v>0</x:v>
      </x:c>
      <x:c r="T1220" s="8" t="n">
        <x:f>DATE(YEAR(C1220),MONTH(C1220),1)</x:f>
        <x:v>45901</x:v>
      </x:c>
    </x:row>
    <x:row r="1221" ht="22" customHeight="1">
      <x:c r="A1221" s="2" t="str">
        <x:v>L001217</x:v>
      </x:c>
      <x:c r="B1221" s="2" t="str">
        <x:v>O00492</x:v>
      </x:c>
      <x:c r="C1221" s="7" t="n">
        <x:v>45924</x:v>
      </x:c>
      <x:c r="D1221" s="2" t="str">
        <x:v>Completed</x:v>
      </x:c>
      <x:c r="E1221" s="2" t="str">
        <x:v>North</x:v>
      </x:c>
      <x:c r="F1221" s="2" t="str">
        <x:v>Store</x:v>
      </x:c>
      <x:c r="G1221" s="2" t="str">
        <x:v>Lighting</x:v>
      </x:c>
      <x:c r="H1221" s="2" t="str">
        <x:v>Lamp 013</x:v>
      </x:c>
      <x:c r="I1221" s="11" t="n">
        <x:v>3</x:v>
      </x:c>
      <x:c r="J1221" s="9" t="n">
        <x:v>271</x:v>
      </x:c>
      <x:c r="K1221" s="10" t="n">
        <x:v>0.2</x:v>
      </x:c>
      <x:c r="L1221" s="11" t="n">
        <x:v>0</x:v>
      </x:c>
      <x:c r="M1221" s="9" t="n">
        <x:f>IF(D1221="Completed",I1221*J1221,0)</x:f>
        <x:v>813</x:v>
      </x:c>
      <x:c r="N1221" s="9" t="n">
        <x:f>M1221*K1221</x:f>
        <x:v>162.60000000000002</x:v>
      </x:c>
      <x:c r="O1221" s="9" t="n">
        <x:f>M1221-N1221</x:f>
        <x:v>650.4</x:v>
      </x:c>
      <x:c r="P1221" s="9" t="n">
        <x:f>IF(D1221="Completed",L1221*J1221*(1-K1221),0)</x:f>
        <x:v>0</x:v>
      </x:c>
      <x:c r="Q1221" s="9" t="n">
        <x:f>O1221-P1221</x:f>
        <x:v>650.4</x:v>
      </x:c>
      <x:c r="R1221" s="11" t="n">
        <x:f>IF(D1221="Completed",I1221,0)</x:f>
        <x:v>3</x:v>
      </x:c>
      <x:c r="S1221" s="11" t="n">
        <x:f>IF(D1221="Completed",L1221,0)</x:f>
        <x:v>0</x:v>
      </x:c>
      <x:c r="T1221" s="8" t="n">
        <x:f>DATE(YEAR(C1221),MONTH(C1221),1)</x:f>
        <x:v>45901</x:v>
      </x:c>
    </x:row>
    <x:row r="1222" ht="22" customHeight="1">
      <x:c r="A1222" s="2" t="str">
        <x:v>L001218</x:v>
      </x:c>
      <x:c r="B1222" s="2" t="str">
        <x:v>O00492</x:v>
      </x:c>
      <x:c r="C1222" s="7" t="n">
        <x:v>45924</x:v>
      </x:c>
      <x:c r="D1222" s="2" t="str">
        <x:v>Completed</x:v>
      </x:c>
      <x:c r="E1222" s="2" t="str">
        <x:v>North</x:v>
      </x:c>
      <x:c r="F1222" s="2" t="str">
        <x:v>Store</x:v>
      </x:c>
      <x:c r="G1222" s="2" t="str">
        <x:v>Furniture</x:v>
      </x:c>
      <x:c r="H1222" s="2" t="str">
        <x:v>Chair 022</x:v>
      </x:c>
      <x:c r="I1222" s="11" t="n">
        <x:v>5</x:v>
      </x:c>
      <x:c r="J1222" s="9" t="n">
        <x:v>134</x:v>
      </x:c>
      <x:c r="K1222" s="10" t="n">
        <x:v>0</x:v>
      </x:c>
      <x:c r="L1222" s="11" t="n">
        <x:v>0</x:v>
      </x:c>
      <x:c r="M1222" s="9" t="n">
        <x:f>IF(D1222="Completed",I1222*J1222,0)</x:f>
        <x:v>670</x:v>
      </x:c>
      <x:c r="N1222" s="9" t="n">
        <x:f>M1222*K1222</x:f>
        <x:v>0</x:v>
      </x:c>
      <x:c r="O1222" s="9" t="n">
        <x:f>M1222-N1222</x:f>
        <x:v>670</x:v>
      </x:c>
      <x:c r="P1222" s="9" t="n">
        <x:f>IF(D1222="Completed",L1222*J1222*(1-K1222),0)</x:f>
        <x:v>0</x:v>
      </x:c>
      <x:c r="Q1222" s="9" t="n">
        <x:f>O1222-P1222</x:f>
        <x:v>670</x:v>
      </x:c>
      <x:c r="R1222" s="11" t="n">
        <x:f>IF(D1222="Completed",I1222,0)</x:f>
        <x:v>5</x:v>
      </x:c>
      <x:c r="S1222" s="11" t="n">
        <x:f>IF(D1222="Completed",L1222,0)</x:f>
        <x:v>0</x:v>
      </x:c>
      <x:c r="T1222" s="8" t="n">
        <x:f>DATE(YEAR(C1222),MONTH(C1222),1)</x:f>
        <x:v>45901</x:v>
      </x:c>
    </x:row>
    <x:row r="1223" ht="22" customHeight="1">
      <x:c r="A1223" s="2" t="str">
        <x:v>L001219</x:v>
      </x:c>
      <x:c r="B1223" s="2" t="str">
        <x:v>O00493</x:v>
      </x:c>
      <x:c r="C1223" s="7" t="n">
        <x:v>45676</x:v>
      </x:c>
      <x:c r="D1223" s="2" t="str">
        <x:v>Completed</x:v>
      </x:c>
      <x:c r="E1223" s="2" t="str">
        <x:v>East</x:v>
      </x:c>
      <x:c r="F1223" s="2" t="str">
        <x:v>Online</x:v>
      </x:c>
      <x:c r="G1223" s="2" t="str">
        <x:v>Lighting</x:v>
      </x:c>
      <x:c r="H1223" s="2" t="str">
        <x:v>Lamp 001</x:v>
      </x:c>
      <x:c r="I1223" s="11" t="n">
        <x:v>4</x:v>
      </x:c>
      <x:c r="J1223" s="9" t="n">
        <x:v>122</x:v>
      </x:c>
      <x:c r="K1223" s="10" t="n">
        <x:v>0.2</x:v>
      </x:c>
      <x:c r="L1223" s="11" t="n">
        <x:v>0</x:v>
      </x:c>
      <x:c r="M1223" s="9" t="n">
        <x:f>IF(D1223="Completed",I1223*J1223,0)</x:f>
        <x:v>488</x:v>
      </x:c>
      <x:c r="N1223" s="9" t="n">
        <x:f>M1223*K1223</x:f>
        <x:v>97.60000000000001</x:v>
      </x:c>
      <x:c r="O1223" s="9" t="n">
        <x:f>M1223-N1223</x:f>
        <x:v>390.4</x:v>
      </x:c>
      <x:c r="P1223" s="9" t="n">
        <x:f>IF(D1223="Completed",L1223*J1223*(1-K1223),0)</x:f>
        <x:v>0</x:v>
      </x:c>
      <x:c r="Q1223" s="9" t="n">
        <x:f>O1223-P1223</x:f>
        <x:v>390.4</x:v>
      </x:c>
      <x:c r="R1223" s="11" t="n">
        <x:f>IF(D1223="Completed",I1223,0)</x:f>
        <x:v>4</x:v>
      </x:c>
      <x:c r="S1223" s="11" t="n">
        <x:f>IF(D1223="Completed",L1223,0)</x:f>
        <x:v>0</x:v>
      </x:c>
      <x:c r="T1223" s="8" t="n">
        <x:f>DATE(YEAR(C1223),MONTH(C1223),1)</x:f>
        <x:v>45658</x:v>
      </x:c>
    </x:row>
    <x:row r="1224" ht="22" customHeight="1">
      <x:c r="A1224" s="2" t="str">
        <x:v>L001220</x:v>
      </x:c>
      <x:c r="B1224" s="2" t="str">
        <x:v>O00494</x:v>
      </x:c>
      <x:c r="C1224" s="7" t="n">
        <x:v>45845</x:v>
      </x:c>
      <x:c r="D1224" s="2" t="str">
        <x:v>Completed</x:v>
      </x:c>
      <x:c r="E1224" s="2" t="str">
        <x:v>North</x:v>
      </x:c>
      <x:c r="F1224" s="2" t="str">
        <x:v>Store</x:v>
      </x:c>
      <x:c r="G1224" s="2" t="str">
        <x:v>Furniture</x:v>
      </x:c>
      <x:c r="H1224" s="2" t="str">
        <x:v>Desk 020</x:v>
      </x:c>
      <x:c r="I1224" s="11" t="n">
        <x:v>3</x:v>
      </x:c>
      <x:c r="J1224" s="9" t="n">
        <x:v>189</x:v>
      </x:c>
      <x:c r="K1224" s="10" t="n">
        <x:v>0.05</x:v>
      </x:c>
      <x:c r="L1224" s="11" t="n">
        <x:v>0</x:v>
      </x:c>
      <x:c r="M1224" s="9" t="n">
        <x:f>IF(D1224="Completed",I1224*J1224,0)</x:f>
        <x:v>567</x:v>
      </x:c>
      <x:c r="N1224" s="9" t="n">
        <x:f>M1224*K1224</x:f>
        <x:v>28.35</x:v>
      </x:c>
      <x:c r="O1224" s="9" t="n">
        <x:f>M1224-N1224</x:f>
        <x:v>538.65</x:v>
      </x:c>
      <x:c r="P1224" s="9" t="n">
        <x:f>IF(D1224="Completed",L1224*J1224*(1-K1224),0)</x:f>
        <x:v>0</x:v>
      </x:c>
      <x:c r="Q1224" s="9" t="n">
        <x:f>O1224-P1224</x:f>
        <x:v>538.65</x:v>
      </x:c>
      <x:c r="R1224" s="11" t="n">
        <x:f>IF(D1224="Completed",I1224,0)</x:f>
        <x:v>3</x:v>
      </x:c>
      <x:c r="S1224" s="11" t="n">
        <x:f>IF(D1224="Completed",L1224,0)</x:f>
        <x:v>0</x:v>
      </x:c>
      <x:c r="T1224" s="8" t="n">
        <x:f>DATE(YEAR(C1224),MONTH(C1224),1)</x:f>
        <x:v>45839</x:v>
      </x:c>
    </x:row>
    <x:row r="1225" ht="22" customHeight="1">
      <x:c r="A1225" s="2" t="str">
        <x:v>L001221</x:v>
      </x:c>
      <x:c r="B1225" s="2" t="str">
        <x:v>O00494</x:v>
      </x:c>
      <x:c r="C1225" s="7" t="n">
        <x:v>45845</x:v>
      </x:c>
      <x:c r="D1225" s="2" t="str">
        <x:v>Completed</x:v>
      </x:c>
      <x:c r="E1225" s="2" t="str">
        <x:v>North</x:v>
      </x:c>
      <x:c r="F1225" s="2" t="str">
        <x:v>Store</x:v>
      </x:c>
      <x:c r="G1225" s="2" t="str">
        <x:v>Lighting</x:v>
      </x:c>
      <x:c r="H1225" s="2" t="str">
        <x:v>Lamp 017</x:v>
      </x:c>
      <x:c r="I1225" s="11" t="n">
        <x:v>5</x:v>
      </x:c>
      <x:c r="J1225" s="9" t="n">
        <x:v>300</x:v>
      </x:c>
      <x:c r="K1225" s="10" t="n">
        <x:v>0.1</x:v>
      </x:c>
      <x:c r="L1225" s="11" t="n">
        <x:v>0</x:v>
      </x:c>
      <x:c r="M1225" s="9" t="n">
        <x:f>IF(D1225="Completed",I1225*J1225,0)</x:f>
        <x:v>1500</x:v>
      </x:c>
      <x:c r="N1225" s="9" t="n">
        <x:f>M1225*K1225</x:f>
        <x:v>150</x:v>
      </x:c>
      <x:c r="O1225" s="9" t="n">
        <x:f>M1225-N1225</x:f>
        <x:v>1350</x:v>
      </x:c>
      <x:c r="P1225" s="9" t="n">
        <x:f>IF(D1225="Completed",L1225*J1225*(1-K1225),0)</x:f>
        <x:v>0</x:v>
      </x:c>
      <x:c r="Q1225" s="9" t="n">
        <x:f>O1225-P1225</x:f>
        <x:v>1350</x:v>
      </x:c>
      <x:c r="R1225" s="11" t="n">
        <x:f>IF(D1225="Completed",I1225,0)</x:f>
        <x:v>5</x:v>
      </x:c>
      <x:c r="S1225" s="11" t="n">
        <x:f>IF(D1225="Completed",L1225,0)</x:f>
        <x:v>0</x:v>
      </x:c>
      <x:c r="T1225" s="8" t="n">
        <x:f>DATE(YEAR(C1225),MONTH(C1225),1)</x:f>
        <x:v>45839</x:v>
      </x:c>
    </x:row>
    <x:row r="1226" ht="22" customHeight="1">
      <x:c r="A1226" s="2" t="str">
        <x:v>L001222</x:v>
      </x:c>
      <x:c r="B1226" s="2" t="str">
        <x:v>O00494</x:v>
      </x:c>
      <x:c r="C1226" s="7" t="n">
        <x:v>45845</x:v>
      </x:c>
      <x:c r="D1226" s="2" t="str">
        <x:v>Completed</x:v>
      </x:c>
      <x:c r="E1226" s="2" t="str">
        <x:v>North</x:v>
      </x:c>
      <x:c r="F1226" s="2" t="str">
        <x:v>Store</x:v>
      </x:c>
      <x:c r="G1226" s="2" t="str">
        <x:v>Furniture</x:v>
      </x:c>
      <x:c r="H1226" s="2" t="str">
        <x:v>Desk 008</x:v>
      </x:c>
      <x:c r="I1226" s="11" t="n">
        <x:v>3</x:v>
      </x:c>
      <x:c r="J1226" s="9" t="n">
        <x:v>188</x:v>
      </x:c>
      <x:c r="K1226" s="10" t="n">
        <x:v>0</x:v>
      </x:c>
      <x:c r="L1226" s="11" t="n">
        <x:v>0</x:v>
      </x:c>
      <x:c r="M1226" s="9" t="n">
        <x:f>IF(D1226="Completed",I1226*J1226,0)</x:f>
        <x:v>564</x:v>
      </x:c>
      <x:c r="N1226" s="9" t="n">
        <x:f>M1226*K1226</x:f>
        <x:v>0</x:v>
      </x:c>
      <x:c r="O1226" s="9" t="n">
        <x:f>M1226-N1226</x:f>
        <x:v>564</x:v>
      </x:c>
      <x:c r="P1226" s="9" t="n">
        <x:f>IF(D1226="Completed",L1226*J1226*(1-K1226),0)</x:f>
        <x:v>0</x:v>
      </x:c>
      <x:c r="Q1226" s="9" t="n">
        <x:f>O1226-P1226</x:f>
        <x:v>564</x:v>
      </x:c>
      <x:c r="R1226" s="11" t="n">
        <x:f>IF(D1226="Completed",I1226,0)</x:f>
        <x:v>3</x:v>
      </x:c>
      <x:c r="S1226" s="11" t="n">
        <x:f>IF(D1226="Completed",L1226,0)</x:f>
        <x:v>0</x:v>
      </x:c>
      <x:c r="T1226" s="8" t="n">
        <x:f>DATE(YEAR(C1226),MONTH(C1226),1)</x:f>
        <x:v>45839</x:v>
      </x:c>
    </x:row>
    <x:row r="1227" ht="22" customHeight="1">
      <x:c r="A1227" s="2" t="str">
        <x:v>L001223</x:v>
      </x:c>
      <x:c r="B1227" s="2" t="str">
        <x:v>O00495</x:v>
      </x:c>
      <x:c r="C1227" s="7" t="n">
        <x:v>45758</x:v>
      </x:c>
      <x:c r="D1227" s="2" t="str">
        <x:v>Completed</x:v>
      </x:c>
      <x:c r="E1227" s="2" t="str">
        <x:v>South</x:v>
      </x:c>
      <x:c r="F1227" s="2" t="str">
        <x:v>Online</x:v>
      </x:c>
      <x:c r="G1227" s="2" t="str">
        <x:v>Storage</x:v>
      </x:c>
      <x:c r="H1227" s="2" t="str">
        <x:v>Shelf 007</x:v>
      </x:c>
      <x:c r="I1227" s="11" t="n">
        <x:v>1</x:v>
      </x:c>
      <x:c r="J1227" s="9" t="n">
        <x:v>35</x:v>
      </x:c>
      <x:c r="K1227" s="10" t="n">
        <x:v>0.2</x:v>
      </x:c>
      <x:c r="L1227" s="11" t="n">
        <x:v>0</x:v>
      </x:c>
      <x:c r="M1227" s="9" t="n">
        <x:f>IF(D1227="Completed",I1227*J1227,0)</x:f>
        <x:v>35</x:v>
      </x:c>
      <x:c r="N1227" s="9" t="n">
        <x:f>M1227*K1227</x:f>
        <x:v>7</x:v>
      </x:c>
      <x:c r="O1227" s="9" t="n">
        <x:f>M1227-N1227</x:f>
        <x:v>28</x:v>
      </x:c>
      <x:c r="P1227" s="9" t="n">
        <x:f>IF(D1227="Completed",L1227*J1227*(1-K1227),0)</x:f>
        <x:v>0</x:v>
      </x:c>
      <x:c r="Q1227" s="9" t="n">
        <x:f>O1227-P1227</x:f>
        <x:v>28</x:v>
      </x:c>
      <x:c r="R1227" s="11" t="n">
        <x:f>IF(D1227="Completed",I1227,0)</x:f>
        <x:v>1</x:v>
      </x:c>
      <x:c r="S1227" s="11" t="n">
        <x:f>IF(D1227="Completed",L1227,0)</x:f>
        <x:v>0</x:v>
      </x:c>
      <x:c r="T1227" s="8" t="n">
        <x:f>DATE(YEAR(C1227),MONTH(C1227),1)</x:f>
        <x:v>45748</x:v>
      </x:c>
    </x:row>
    <x:row r="1228" ht="22" customHeight="1">
      <x:c r="A1228" s="2" t="str">
        <x:v>L001224</x:v>
      </x:c>
      <x:c r="B1228" s="2" t="str">
        <x:v>O00496</x:v>
      </x:c>
      <x:c r="C1228" s="7" t="n">
        <x:v>45840</x:v>
      </x:c>
      <x:c r="D1228" s="2" t="str">
        <x:v>Completed</x:v>
      </x:c>
      <x:c r="E1228" s="2" t="str">
        <x:v>North</x:v>
      </x:c>
      <x:c r="F1228" s="2" t="str">
        <x:v>Online</x:v>
      </x:c>
      <x:c r="G1228" s="2" t="str">
        <x:v>Storage</x:v>
      </x:c>
      <x:c r="H1228" s="2" t="str">
        <x:v>Shelf 019</x:v>
      </x:c>
      <x:c r="I1228" s="11" t="n">
        <x:v>3</x:v>
      </x:c>
      <x:c r="J1228" s="9" t="n">
        <x:v>78</x:v>
      </x:c>
      <x:c r="K1228" s="10" t="n">
        <x:v>0.1</x:v>
      </x:c>
      <x:c r="L1228" s="11" t="n">
        <x:v>2</x:v>
      </x:c>
      <x:c r="M1228" s="9" t="n">
        <x:f>IF(D1228="Completed",I1228*J1228,0)</x:f>
        <x:v>234</x:v>
      </x:c>
      <x:c r="N1228" s="9" t="n">
        <x:f>M1228*K1228</x:f>
        <x:v>23.400000000000002</x:v>
      </x:c>
      <x:c r="O1228" s="9" t="n">
        <x:f>M1228-N1228</x:f>
        <x:v>210.6</x:v>
      </x:c>
      <x:c r="P1228" s="9" t="n">
        <x:f>IF(D1228="Completed",L1228*J1228*(1-K1228),0)</x:f>
        <x:v>140.4</x:v>
      </x:c>
      <x:c r="Q1228" s="9" t="n">
        <x:f>O1228-P1228</x:f>
        <x:v>70.19999999999999</x:v>
      </x:c>
      <x:c r="R1228" s="11" t="n">
        <x:f>IF(D1228="Completed",I1228,0)</x:f>
        <x:v>3</x:v>
      </x:c>
      <x:c r="S1228" s="11" t="n">
        <x:f>IF(D1228="Completed",L1228,0)</x:f>
        <x:v>2</x:v>
      </x:c>
      <x:c r="T1228" s="8" t="n">
        <x:f>DATE(YEAR(C1228),MONTH(C1228),1)</x:f>
        <x:v>45839</x:v>
      </x:c>
    </x:row>
    <x:row r="1229" ht="22" customHeight="1">
      <x:c r="A1229" s="2" t="str">
        <x:v>L001225</x:v>
      </x:c>
      <x:c r="B1229" s="2" t="str">
        <x:v>O00496</x:v>
      </x:c>
      <x:c r="C1229" s="7" t="n">
        <x:v>45840</x:v>
      </x:c>
      <x:c r="D1229" s="2" t="str">
        <x:v>Completed</x:v>
      </x:c>
      <x:c r="E1229" s="2" t="str">
        <x:v>North</x:v>
      </x:c>
      <x:c r="F1229" s="2" t="str">
        <x:v>Online</x:v>
      </x:c>
      <x:c r="G1229" s="2" t="str">
        <x:v>Furniture</x:v>
      </x:c>
      <x:c r="H1229" s="2" t="str">
        <x:v>Chair 014</x:v>
      </x:c>
      <x:c r="I1229" s="11" t="n">
        <x:v>3</x:v>
      </x:c>
      <x:c r="J1229" s="9" t="n">
        <x:v>294</x:v>
      </x:c>
      <x:c r="K1229" s="10" t="n">
        <x:v>0.05</x:v>
      </x:c>
      <x:c r="L1229" s="11" t="n">
        <x:v>0</x:v>
      </x:c>
      <x:c r="M1229" s="9" t="n">
        <x:f>IF(D1229="Completed",I1229*J1229,0)</x:f>
        <x:v>882</x:v>
      </x:c>
      <x:c r="N1229" s="9" t="n">
        <x:f>M1229*K1229</x:f>
        <x:v>44.1</x:v>
      </x:c>
      <x:c r="O1229" s="9" t="n">
        <x:f>M1229-N1229</x:f>
        <x:v>837.9</x:v>
      </x:c>
      <x:c r="P1229" s="9" t="n">
        <x:f>IF(D1229="Completed",L1229*J1229*(1-K1229),0)</x:f>
        <x:v>0</x:v>
      </x:c>
      <x:c r="Q1229" s="9" t="n">
        <x:f>O1229-P1229</x:f>
        <x:v>837.9</x:v>
      </x:c>
      <x:c r="R1229" s="11" t="n">
        <x:f>IF(D1229="Completed",I1229,0)</x:f>
        <x:v>3</x:v>
      </x:c>
      <x:c r="S1229" s="11" t="n">
        <x:f>IF(D1229="Completed",L1229,0)</x:f>
        <x:v>0</x:v>
      </x:c>
      <x:c r="T1229" s="8" t="n">
        <x:f>DATE(YEAR(C1229),MONTH(C1229),1)</x:f>
        <x:v>45839</x:v>
      </x:c>
    </x:row>
    <x:row r="1230" ht="22" customHeight="1">
      <x:c r="A1230" s="2" t="str">
        <x:v>L001226</x:v>
      </x:c>
      <x:c r="B1230" s="2" t="str">
        <x:v>O00496</x:v>
      </x:c>
      <x:c r="C1230" s="7" t="n">
        <x:v>45840</x:v>
      </x:c>
      <x:c r="D1230" s="2" t="str">
        <x:v>Completed</x:v>
      </x:c>
      <x:c r="E1230" s="2" t="str">
        <x:v>North</x:v>
      </x:c>
      <x:c r="F1230" s="2" t="str">
        <x:v>Online</x:v>
      </x:c>
      <x:c r="G1230" s="2" t="str">
        <x:v>Lighting</x:v>
      </x:c>
      <x:c r="H1230" s="2" t="str">
        <x:v>Lamp 021</x:v>
      </x:c>
      <x:c r="I1230" s="11" t="n">
        <x:v>2</x:v>
      </x:c>
      <x:c r="J1230" s="9" t="n">
        <x:v>249</x:v>
      </x:c>
      <x:c r="K1230" s="10" t="n">
        <x:v>0.1</x:v>
      </x:c>
      <x:c r="L1230" s="11" t="n">
        <x:v>0</x:v>
      </x:c>
      <x:c r="M1230" s="9" t="n">
        <x:f>IF(D1230="Completed",I1230*J1230,0)</x:f>
        <x:v>498</x:v>
      </x:c>
      <x:c r="N1230" s="9" t="n">
        <x:f>M1230*K1230</x:f>
        <x:v>49.800000000000004</x:v>
      </x:c>
      <x:c r="O1230" s="9" t="n">
        <x:f>M1230-N1230</x:f>
        <x:v>448.2</x:v>
      </x:c>
      <x:c r="P1230" s="9" t="n">
        <x:f>IF(D1230="Completed",L1230*J1230*(1-K1230),0)</x:f>
        <x:v>0</x:v>
      </x:c>
      <x:c r="Q1230" s="9" t="n">
        <x:f>O1230-P1230</x:f>
        <x:v>448.2</x:v>
      </x:c>
      <x:c r="R1230" s="11" t="n">
        <x:f>IF(D1230="Completed",I1230,0)</x:f>
        <x:v>2</x:v>
      </x:c>
      <x:c r="S1230" s="11" t="n">
        <x:f>IF(D1230="Completed",L1230,0)</x:f>
        <x:v>0</x:v>
      </x:c>
      <x:c r="T1230" s="8" t="n">
        <x:f>DATE(YEAR(C1230),MONTH(C1230),1)</x:f>
        <x:v>45839</x:v>
      </x:c>
    </x:row>
    <x:row r="1231" ht="22" customHeight="1">
      <x:c r="A1231" s="2" t="str">
        <x:v>L001227</x:v>
      </x:c>
      <x:c r="B1231" s="2" t="str">
        <x:v>O00497</x:v>
      </x:c>
      <x:c r="C1231" s="7" t="n">
        <x:v>45659</x:v>
      </x:c>
      <x:c r="D1231" s="2" t="str">
        <x:v>Completed</x:v>
      </x:c>
      <x:c r="E1231" s="2" t="str">
        <x:v>North</x:v>
      </x:c>
      <x:c r="F1231" s="2" t="str">
        <x:v>Store</x:v>
      </x:c>
      <x:c r="G1231" s="2" t="str">
        <x:v>Storage</x:v>
      </x:c>
      <x:c r="H1231" s="2" t="str">
        <x:v>Shelf 015</x:v>
      </x:c>
      <x:c r="I1231" s="11" t="n">
        <x:v>2</x:v>
      </x:c>
      <x:c r="J1231" s="9" t="n">
        <x:v>254</x:v>
      </x:c>
      <x:c r="K1231" s="10" t="n">
        <x:v>0.1</x:v>
      </x:c>
      <x:c r="L1231" s="11" t="n">
        <x:v>0</x:v>
      </x:c>
      <x:c r="M1231" s="9" t="n">
        <x:f>IF(D1231="Completed",I1231*J1231,0)</x:f>
        <x:v>508</x:v>
      </x:c>
      <x:c r="N1231" s="9" t="n">
        <x:f>M1231*K1231</x:f>
        <x:v>50.800000000000004</x:v>
      </x:c>
      <x:c r="O1231" s="9" t="n">
        <x:f>M1231-N1231</x:f>
        <x:v>457.2</x:v>
      </x:c>
      <x:c r="P1231" s="9" t="n">
        <x:f>IF(D1231="Completed",L1231*J1231*(1-K1231),0)</x:f>
        <x:v>0</x:v>
      </x:c>
      <x:c r="Q1231" s="9" t="n">
        <x:f>O1231-P1231</x:f>
        <x:v>457.2</x:v>
      </x:c>
      <x:c r="R1231" s="11" t="n">
        <x:f>IF(D1231="Completed",I1231,0)</x:f>
        <x:v>2</x:v>
      </x:c>
      <x:c r="S1231" s="11" t="n">
        <x:f>IF(D1231="Completed",L1231,0)</x:f>
        <x:v>0</x:v>
      </x:c>
      <x:c r="T1231" s="8" t="n">
        <x:f>DATE(YEAR(C1231),MONTH(C1231),1)</x:f>
        <x:v>45658</x:v>
      </x:c>
    </x:row>
    <x:row r="1232" ht="22" customHeight="1">
      <x:c r="A1232" s="2" t="str">
        <x:v>L001228</x:v>
      </x:c>
      <x:c r="B1232" s="2" t="str">
        <x:v>O00497</x:v>
      </x:c>
      <x:c r="C1232" s="7" t="n">
        <x:v>45659</x:v>
      </x:c>
      <x:c r="D1232" s="2" t="str">
        <x:v>Completed</x:v>
      </x:c>
      <x:c r="E1232" s="2" t="str">
        <x:v>North</x:v>
      </x:c>
      <x:c r="F1232" s="2" t="str">
        <x:v>Store</x:v>
      </x:c>
      <x:c r="G1232" s="2" t="str">
        <x:v>Lighting</x:v>
      </x:c>
      <x:c r="H1232" s="2" t="str">
        <x:v>Lamp 009</x:v>
      </x:c>
      <x:c r="I1232" s="11" t="n">
        <x:v>3</x:v>
      </x:c>
      <x:c r="J1232" s="9" t="n">
        <x:v>93</x:v>
      </x:c>
      <x:c r="K1232" s="10" t="n">
        <x:v>0.05</x:v>
      </x:c>
      <x:c r="L1232" s="11" t="n">
        <x:v>0</x:v>
      </x:c>
      <x:c r="M1232" s="9" t="n">
        <x:f>IF(D1232="Completed",I1232*J1232,0)</x:f>
        <x:v>279</x:v>
      </x:c>
      <x:c r="N1232" s="9" t="n">
        <x:f>M1232*K1232</x:f>
        <x:v>13.950000000000001</x:v>
      </x:c>
      <x:c r="O1232" s="9" t="n">
        <x:f>M1232-N1232</x:f>
        <x:v>265.05</x:v>
      </x:c>
      <x:c r="P1232" s="9" t="n">
        <x:f>IF(D1232="Completed",L1232*J1232*(1-K1232),0)</x:f>
        <x:v>0</x:v>
      </x:c>
      <x:c r="Q1232" s="9" t="n">
        <x:f>O1232-P1232</x:f>
        <x:v>265.05</x:v>
      </x:c>
      <x:c r="R1232" s="11" t="n">
        <x:f>IF(D1232="Completed",I1232,0)</x:f>
        <x:v>3</x:v>
      </x:c>
      <x:c r="S1232" s="11" t="n">
        <x:f>IF(D1232="Completed",L1232,0)</x:f>
        <x:v>0</x:v>
      </x:c>
      <x:c r="T1232" s="8" t="n">
        <x:f>DATE(YEAR(C1232),MONTH(C1232),1)</x:f>
        <x:v>45658</x:v>
      </x:c>
    </x:row>
    <x:row r="1233" ht="22" customHeight="1">
      <x:c r="A1233" s="2" t="str">
        <x:v>L001229</x:v>
      </x:c>
      <x:c r="B1233" s="2" t="str">
        <x:v>O00497</x:v>
      </x:c>
      <x:c r="C1233" s="7" t="n">
        <x:v>45659</x:v>
      </x:c>
      <x:c r="D1233" s="2" t="str">
        <x:v>Completed</x:v>
      </x:c>
      <x:c r="E1233" s="2" t="str">
        <x:v>North</x:v>
      </x:c>
      <x:c r="F1233" s="2" t="str">
        <x:v>Store</x:v>
      </x:c>
      <x:c r="G1233" s="2" t="str">
        <x:v>Furniture</x:v>
      </x:c>
      <x:c r="H1233" s="2" t="str">
        <x:v>Desk 008</x:v>
      </x:c>
      <x:c r="I1233" s="11" t="n">
        <x:v>5</x:v>
      </x:c>
      <x:c r="J1233" s="9" t="n">
        <x:v>188</x:v>
      </x:c>
      <x:c r="K1233" s="10" t="n">
        <x:v>0.05</x:v>
      </x:c>
      <x:c r="L1233" s="11" t="n">
        <x:v>0</x:v>
      </x:c>
      <x:c r="M1233" s="9" t="n">
        <x:f>IF(D1233="Completed",I1233*J1233,0)</x:f>
        <x:v>940</x:v>
      </x:c>
      <x:c r="N1233" s="9" t="n">
        <x:f>M1233*K1233</x:f>
        <x:v>47</x:v>
      </x:c>
      <x:c r="O1233" s="9" t="n">
        <x:f>M1233-N1233</x:f>
        <x:v>893</x:v>
      </x:c>
      <x:c r="P1233" s="9" t="n">
        <x:f>IF(D1233="Completed",L1233*J1233*(1-K1233),0)</x:f>
        <x:v>0</x:v>
      </x:c>
      <x:c r="Q1233" s="9" t="n">
        <x:f>O1233-P1233</x:f>
        <x:v>893</x:v>
      </x:c>
      <x:c r="R1233" s="11" t="n">
        <x:f>IF(D1233="Completed",I1233,0)</x:f>
        <x:v>5</x:v>
      </x:c>
      <x:c r="S1233" s="11" t="n">
        <x:f>IF(D1233="Completed",L1233,0)</x:f>
        <x:v>0</x:v>
      </x:c>
      <x:c r="T1233" s="8" t="n">
        <x:f>DATE(YEAR(C1233),MONTH(C1233),1)</x:f>
        <x:v>45658</x:v>
      </x:c>
    </x:row>
    <x:row r="1234" ht="22" customHeight="1">
      <x:c r="A1234" s="2" t="str">
        <x:v>L001230</x:v>
      </x:c>
      <x:c r="B1234" s="2" t="str">
        <x:v>O00497</x:v>
      </x:c>
      <x:c r="C1234" s="7" t="n">
        <x:v>45659</x:v>
      </x:c>
      <x:c r="D1234" s="2" t="str">
        <x:v>Completed</x:v>
      </x:c>
      <x:c r="E1234" s="2" t="str">
        <x:v>North</x:v>
      </x:c>
      <x:c r="F1234" s="2" t="str">
        <x:v>Store</x:v>
      </x:c>
      <x:c r="G1234" s="2" t="str">
        <x:v>Storage</x:v>
      </x:c>
      <x:c r="H1234" s="2" t="str">
        <x:v>Shelf 015</x:v>
      </x:c>
      <x:c r="I1234" s="11" t="n">
        <x:v>3</x:v>
      </x:c>
      <x:c r="J1234" s="9" t="n">
        <x:v>254</x:v>
      </x:c>
      <x:c r="K1234" s="10" t="n">
        <x:v>0.1</x:v>
      </x:c>
      <x:c r="L1234" s="11" t="n">
        <x:v>0</x:v>
      </x:c>
      <x:c r="M1234" s="9" t="n">
        <x:f>IF(D1234="Completed",I1234*J1234,0)</x:f>
        <x:v>762</x:v>
      </x:c>
      <x:c r="N1234" s="9" t="n">
        <x:f>M1234*K1234</x:f>
        <x:v>76.2</x:v>
      </x:c>
      <x:c r="O1234" s="9" t="n">
        <x:f>M1234-N1234</x:f>
        <x:v>685.8</x:v>
      </x:c>
      <x:c r="P1234" s="9" t="n">
        <x:f>IF(D1234="Completed",L1234*J1234*(1-K1234),0)</x:f>
        <x:v>0</x:v>
      </x:c>
      <x:c r="Q1234" s="9" t="n">
        <x:f>O1234-P1234</x:f>
        <x:v>685.8</x:v>
      </x:c>
      <x:c r="R1234" s="11" t="n">
        <x:f>IF(D1234="Completed",I1234,0)</x:f>
        <x:v>3</x:v>
      </x:c>
      <x:c r="S1234" s="11" t="n">
        <x:f>IF(D1234="Completed",L1234,0)</x:f>
        <x:v>0</x:v>
      </x:c>
      <x:c r="T1234" s="8" t="n">
        <x:f>DATE(YEAR(C1234),MONTH(C1234),1)</x:f>
        <x:v>45658</x:v>
      </x:c>
    </x:row>
    <x:row r="1235" ht="22" customHeight="1">
      <x:c r="A1235" s="2" t="str">
        <x:v>L001231</x:v>
      </x:c>
      <x:c r="B1235" s="2" t="str">
        <x:v>O00498</x:v>
      </x:c>
      <x:c r="C1235" s="7" t="n">
        <x:v>45955</x:v>
      </x:c>
      <x:c r="D1235" s="2" t="str">
        <x:v>Completed</x:v>
      </x:c>
      <x:c r="E1235" s="2" t="str">
        <x:v>East</x:v>
      </x:c>
      <x:c r="F1235" s="2" t="str">
        <x:v>Online</x:v>
      </x:c>
      <x:c r="G1235" s="2" t="str">
        <x:v>Furniture</x:v>
      </x:c>
      <x:c r="H1235" s="2" t="str">
        <x:v>Chair 002</x:v>
      </x:c>
      <x:c r="I1235" s="11" t="n">
        <x:v>4</x:v>
      </x:c>
      <x:c r="J1235" s="9" t="n">
        <x:v>284</x:v>
      </x:c>
      <x:c r="K1235" s="10" t="n">
        <x:v>0.1</x:v>
      </x:c>
      <x:c r="L1235" s="11" t="n">
        <x:v>2</x:v>
      </x:c>
      <x:c r="M1235" s="9" t="n">
        <x:f>IF(D1235="Completed",I1235*J1235,0)</x:f>
        <x:v>1136</x:v>
      </x:c>
      <x:c r="N1235" s="9" t="n">
        <x:f>M1235*K1235</x:f>
        <x:v>113.60000000000001</x:v>
      </x:c>
      <x:c r="O1235" s="9" t="n">
        <x:f>M1235-N1235</x:f>
        <x:v>1022.4</x:v>
      </x:c>
      <x:c r="P1235" s="9" t="n">
        <x:f>IF(D1235="Completed",L1235*J1235*(1-K1235),0)</x:f>
        <x:v>511.2</x:v>
      </x:c>
      <x:c r="Q1235" s="9" t="n">
        <x:f>O1235-P1235</x:f>
        <x:v>511.2</x:v>
      </x:c>
      <x:c r="R1235" s="11" t="n">
        <x:f>IF(D1235="Completed",I1235,0)</x:f>
        <x:v>4</x:v>
      </x:c>
      <x:c r="S1235" s="11" t="n">
        <x:f>IF(D1235="Completed",L1235,0)</x:f>
        <x:v>2</x:v>
      </x:c>
      <x:c r="T1235" s="8" t="n">
        <x:f>DATE(YEAR(C1235),MONTH(C1235),1)</x:f>
        <x:v>45931</x:v>
      </x:c>
    </x:row>
    <x:row r="1236" ht="22" customHeight="1">
      <x:c r="A1236" s="2" t="str">
        <x:v>L001232</x:v>
      </x:c>
      <x:c r="B1236" s="2" t="str">
        <x:v>O00499</x:v>
      </x:c>
      <x:c r="C1236" s="7" t="n">
        <x:v>46012</x:v>
      </x:c>
      <x:c r="D1236" s="2" t="str">
        <x:v>Completed</x:v>
      </x:c>
      <x:c r="E1236" s="2" t="str">
        <x:v>South</x:v>
      </x:c>
      <x:c r="F1236" s="2" t="str">
        <x:v>Online</x:v>
      </x:c>
      <x:c r="G1236" s="2" t="str">
        <x:v>Furniture</x:v>
      </x:c>
      <x:c r="H1236" s="2" t="str">
        <x:v>Chair 022</x:v>
      </x:c>
      <x:c r="I1236" s="11" t="n">
        <x:v>4</x:v>
      </x:c>
      <x:c r="J1236" s="9" t="n">
        <x:v>134</x:v>
      </x:c>
      <x:c r="K1236" s="10" t="n">
        <x:v>0.2</x:v>
      </x:c>
      <x:c r="L1236" s="11" t="n">
        <x:v>0</x:v>
      </x:c>
      <x:c r="M1236" s="9" t="n">
        <x:f>IF(D1236="Completed",I1236*J1236,0)</x:f>
        <x:v>536</x:v>
      </x:c>
      <x:c r="N1236" s="9" t="n">
        <x:f>M1236*K1236</x:f>
        <x:v>107.2</x:v>
      </x:c>
      <x:c r="O1236" s="9" t="n">
        <x:f>M1236-N1236</x:f>
        <x:v>428.8</x:v>
      </x:c>
      <x:c r="P1236" s="9" t="n">
        <x:f>IF(D1236="Completed",L1236*J1236*(1-K1236),0)</x:f>
        <x:v>0</x:v>
      </x:c>
      <x:c r="Q1236" s="9" t="n">
        <x:f>O1236-P1236</x:f>
        <x:v>428.8</x:v>
      </x:c>
      <x:c r="R1236" s="11" t="n">
        <x:f>IF(D1236="Completed",I1236,0)</x:f>
        <x:v>4</x:v>
      </x:c>
      <x:c r="S1236" s="11" t="n">
        <x:f>IF(D1236="Completed",L1236,0)</x:f>
        <x:v>0</x:v>
      </x:c>
      <x:c r="T1236" s="8" t="n">
        <x:f>DATE(YEAR(C1236),MONTH(C1236),1)</x:f>
        <x:v>45992</x:v>
      </x:c>
    </x:row>
    <x:row r="1237" ht="22" customHeight="1">
      <x:c r="A1237" s="2" t="str">
        <x:v>L001233</x:v>
      </x:c>
      <x:c r="B1237" s="2" t="str">
        <x:v>O00499</x:v>
      </x:c>
      <x:c r="C1237" s="7" t="n">
        <x:v>46012</x:v>
      </x:c>
      <x:c r="D1237" s="2" t="str">
        <x:v>Completed</x:v>
      </x:c>
      <x:c r="E1237" s="2" t="str">
        <x:v>South</x:v>
      </x:c>
      <x:c r="F1237" s="2" t="str">
        <x:v>Online</x:v>
      </x:c>
      <x:c r="G1237" s="2" t="str">
        <x:v>Furniture</x:v>
      </x:c>
      <x:c r="H1237" s="2" t="str">
        <x:v>Desk 016</x:v>
      </x:c>
      <x:c r="I1237" s="11" t="n">
        <x:v>4</x:v>
      </x:c>
      <x:c r="J1237" s="9" t="n">
        <x:v>231</x:v>
      </x:c>
      <x:c r="K1237" s="10" t="n">
        <x:v>0.2</x:v>
      </x:c>
      <x:c r="L1237" s="11" t="n">
        <x:v>0</x:v>
      </x:c>
      <x:c r="M1237" s="9" t="n">
        <x:f>IF(D1237="Completed",I1237*J1237,0)</x:f>
        <x:v>924</x:v>
      </x:c>
      <x:c r="N1237" s="9" t="n">
        <x:f>M1237*K1237</x:f>
        <x:v>184.8</x:v>
      </x:c>
      <x:c r="O1237" s="9" t="n">
        <x:f>M1237-N1237</x:f>
        <x:v>739.2</x:v>
      </x:c>
      <x:c r="P1237" s="9" t="n">
        <x:f>IF(D1237="Completed",L1237*J1237*(1-K1237),0)</x:f>
        <x:v>0</x:v>
      </x:c>
      <x:c r="Q1237" s="9" t="n">
        <x:f>O1237-P1237</x:f>
        <x:v>739.2</x:v>
      </x:c>
      <x:c r="R1237" s="11" t="n">
        <x:f>IF(D1237="Completed",I1237,0)</x:f>
        <x:v>4</x:v>
      </x:c>
      <x:c r="S1237" s="11" t="n">
        <x:f>IF(D1237="Completed",L1237,0)</x:f>
        <x:v>0</x:v>
      </x:c>
      <x:c r="T1237" s="8" t="n">
        <x:f>DATE(YEAR(C1237),MONTH(C1237),1)</x:f>
        <x:v>45992</x:v>
      </x:c>
    </x:row>
    <x:row r="1238" ht="22" customHeight="1">
      <x:c r="A1238" s="2" t="str">
        <x:v>L001234</x:v>
      </x:c>
      <x:c r="B1238" s="2" t="str">
        <x:v>O00500</x:v>
      </x:c>
      <x:c r="C1238" s="7" t="n">
        <x:v>45773</x:v>
      </x:c>
      <x:c r="D1238" s="2" t="str">
        <x:v>Completed</x:v>
      </x:c>
      <x:c r="E1238" s="2" t="str">
        <x:v>West</x:v>
      </x:c>
      <x:c r="F1238" s="2" t="str">
        <x:v>Online</x:v>
      </x:c>
      <x:c r="G1238" s="2" t="str">
        <x:v>Storage</x:v>
      </x:c>
      <x:c r="H1238" s="2" t="str">
        <x:v>Shelf 007</x:v>
      </x:c>
      <x:c r="I1238" s="11" t="n">
        <x:v>4</x:v>
      </x:c>
      <x:c r="J1238" s="9" t="n">
        <x:v>35</x:v>
      </x:c>
      <x:c r="K1238" s="10" t="n">
        <x:v>0</x:v>
      </x:c>
      <x:c r="L1238" s="11" t="n">
        <x:v>0</x:v>
      </x:c>
      <x:c r="M1238" s="9" t="n">
        <x:f>IF(D1238="Completed",I1238*J1238,0)</x:f>
        <x:v>140</x:v>
      </x:c>
      <x:c r="N1238" s="9" t="n">
        <x:f>M1238*K1238</x:f>
        <x:v>0</x:v>
      </x:c>
      <x:c r="O1238" s="9" t="n">
        <x:f>M1238-N1238</x:f>
        <x:v>140</x:v>
      </x:c>
      <x:c r="P1238" s="9" t="n">
        <x:f>IF(D1238="Completed",L1238*J1238*(1-K1238),0)</x:f>
        <x:v>0</x:v>
      </x:c>
      <x:c r="Q1238" s="9" t="n">
        <x:f>O1238-P1238</x:f>
        <x:v>140</x:v>
      </x:c>
      <x:c r="R1238" s="11" t="n">
        <x:f>IF(D1238="Completed",I1238,0)</x:f>
        <x:v>4</x:v>
      </x:c>
      <x:c r="S1238" s="11" t="n">
        <x:f>IF(D1238="Completed",L1238,0)</x:f>
        <x:v>0</x:v>
      </x:c>
      <x:c r="T1238" s="8" t="n">
        <x:f>DATE(YEAR(C1238),MONTH(C1238),1)</x:f>
        <x:v>45748</x:v>
      </x:c>
    </x:row>
    <x:row r="1239" ht="22" customHeight="1">
      <x:c r="A1239" s="2" t="str">
        <x:v>L001235</x:v>
      </x:c>
      <x:c r="B1239" s="2" t="str">
        <x:v>O00500</x:v>
      </x:c>
      <x:c r="C1239" s="7" t="n">
        <x:v>45773</x:v>
      </x:c>
      <x:c r="D1239" s="2" t="str">
        <x:v>Completed</x:v>
      </x:c>
      <x:c r="E1239" s="2" t="str">
        <x:v>West</x:v>
      </x:c>
      <x:c r="F1239" s="2" t="str">
        <x:v>Online</x:v>
      </x:c>
      <x:c r="G1239" s="2" t="str">
        <x:v>Furniture</x:v>
      </x:c>
      <x:c r="H1239" s="2" t="str">
        <x:v>Chair 006</x:v>
      </x:c>
      <x:c r="I1239" s="11" t="n">
        <x:v>4</x:v>
      </x:c>
      <x:c r="J1239" s="9" t="n">
        <x:v>196</x:v>
      </x:c>
      <x:c r="K1239" s="10" t="n">
        <x:v>0.2</x:v>
      </x:c>
      <x:c r="L1239" s="11" t="n">
        <x:v>0</x:v>
      </x:c>
      <x:c r="M1239" s="9" t="n">
        <x:f>IF(D1239="Completed",I1239*J1239,0)</x:f>
        <x:v>784</x:v>
      </x:c>
      <x:c r="N1239" s="9" t="n">
        <x:f>M1239*K1239</x:f>
        <x:v>156.8</x:v>
      </x:c>
      <x:c r="O1239" s="9" t="n">
        <x:f>M1239-N1239</x:f>
        <x:v>627.2</x:v>
      </x:c>
      <x:c r="P1239" s="9" t="n">
        <x:f>IF(D1239="Completed",L1239*J1239*(1-K1239),0)</x:f>
        <x:v>0</x:v>
      </x:c>
      <x:c r="Q1239" s="9" t="n">
        <x:f>O1239-P1239</x:f>
        <x:v>627.2</x:v>
      </x:c>
      <x:c r="R1239" s="11" t="n">
        <x:f>IF(D1239="Completed",I1239,0)</x:f>
        <x:v>4</x:v>
      </x:c>
      <x:c r="S1239" s="11" t="n">
        <x:f>IF(D1239="Completed",L1239,0)</x:f>
        <x:v>0</x:v>
      </x:c>
      <x:c r="T1239" s="8" t="n">
        <x:f>DATE(YEAR(C1239),MONTH(C1239),1)</x:f>
        <x:v>45748</x:v>
      </x:c>
    </x:row>
    <x:row r="1240" ht="22" customHeight="1">
      <x:c r="A1240" s="2" t="str">
        <x:v>L001236</x:v>
      </x:c>
      <x:c r="B1240" s="2" t="str">
        <x:v>O00501</x:v>
      </x:c>
      <x:c r="C1240" s="7" t="n">
        <x:v>45708</x:v>
      </x:c>
      <x:c r="D1240" s="2" t="str">
        <x:v>Completed</x:v>
      </x:c>
      <x:c r="E1240" s="2" t="str">
        <x:v>West</x:v>
      </x:c>
      <x:c r="F1240" s="2" t="str">
        <x:v>Online</x:v>
      </x:c>
      <x:c r="G1240" s="2" t="str">
        <x:v>Furniture</x:v>
      </x:c>
      <x:c r="H1240" s="2" t="str">
        <x:v>Desk 024</x:v>
      </x:c>
      <x:c r="I1240" s="11" t="n">
        <x:v>3</x:v>
      </x:c>
      <x:c r="J1240" s="9" t="n">
        <x:v>81</x:v>
      </x:c>
      <x:c r="K1240" s="10" t="n">
        <x:v>0.1</x:v>
      </x:c>
      <x:c r="L1240" s="11" t="n">
        <x:v>0</x:v>
      </x:c>
      <x:c r="M1240" s="9" t="n">
        <x:f>IF(D1240="Completed",I1240*J1240,0)</x:f>
        <x:v>243</x:v>
      </x:c>
      <x:c r="N1240" s="9" t="n">
        <x:f>M1240*K1240</x:f>
        <x:v>24.3</x:v>
      </x:c>
      <x:c r="O1240" s="9" t="n">
        <x:f>M1240-N1240</x:f>
        <x:v>218.7</x:v>
      </x:c>
      <x:c r="P1240" s="9" t="n">
        <x:f>IF(D1240="Completed",L1240*J1240*(1-K1240),0)</x:f>
        <x:v>0</x:v>
      </x:c>
      <x:c r="Q1240" s="9" t="n">
        <x:f>O1240-P1240</x:f>
        <x:v>218.7</x:v>
      </x:c>
      <x:c r="R1240" s="11" t="n">
        <x:f>IF(D1240="Completed",I1240,0)</x:f>
        <x:v>3</x:v>
      </x:c>
      <x:c r="S1240" s="11" t="n">
        <x:f>IF(D1240="Completed",L1240,0)</x:f>
        <x:v>0</x:v>
      </x:c>
      <x:c r="T1240" s="8" t="n">
        <x:f>DATE(YEAR(C1240),MONTH(C1240),1)</x:f>
        <x:v>45689</x:v>
      </x:c>
    </x:row>
    <x:row r="1241" ht="22" customHeight="1">
      <x:c r="A1241" s="2" t="str">
        <x:v>L001237</x:v>
      </x:c>
      <x:c r="B1241" s="2" t="str">
        <x:v>O00501</x:v>
      </x:c>
      <x:c r="C1241" s="7" t="n">
        <x:v>45708</x:v>
      </x:c>
      <x:c r="D1241" s="2" t="str">
        <x:v>Completed</x:v>
      </x:c>
      <x:c r="E1241" s="2" t="str">
        <x:v>West</x:v>
      </x:c>
      <x:c r="F1241" s="2" t="str">
        <x:v>Online</x:v>
      </x:c>
      <x:c r="G1241" s="2" t="str">
        <x:v>Furniture</x:v>
      </x:c>
      <x:c r="H1241" s="2" t="str">
        <x:v>Chair 018</x:v>
      </x:c>
      <x:c r="I1241" s="11" t="n">
        <x:v>1</x:v>
      </x:c>
      <x:c r="J1241" s="9" t="n">
        <x:v>269</x:v>
      </x:c>
      <x:c r="K1241" s="10" t="n">
        <x:v>0.2</x:v>
      </x:c>
      <x:c r="L1241" s="11" t="n">
        <x:v>0</x:v>
      </x:c>
      <x:c r="M1241" s="9" t="n">
        <x:f>IF(D1241="Completed",I1241*J1241,0)</x:f>
        <x:v>269</x:v>
      </x:c>
      <x:c r="N1241" s="9" t="n">
        <x:f>M1241*K1241</x:f>
        <x:v>53.800000000000004</x:v>
      </x:c>
      <x:c r="O1241" s="9" t="n">
        <x:f>M1241-N1241</x:f>
        <x:v>215.2</x:v>
      </x:c>
      <x:c r="P1241" s="9" t="n">
        <x:f>IF(D1241="Completed",L1241*J1241*(1-K1241),0)</x:f>
        <x:v>0</x:v>
      </x:c>
      <x:c r="Q1241" s="9" t="n">
        <x:f>O1241-P1241</x:f>
        <x:v>215.2</x:v>
      </x:c>
      <x:c r="R1241" s="11" t="n">
        <x:f>IF(D1241="Completed",I1241,0)</x:f>
        <x:v>1</x:v>
      </x:c>
      <x:c r="S1241" s="11" t="n">
        <x:f>IF(D1241="Completed",L1241,0)</x:f>
        <x:v>0</x:v>
      </x:c>
      <x:c r="T1241" s="8" t="n">
        <x:f>DATE(YEAR(C1241),MONTH(C1241),1)</x:f>
        <x:v>45689</x:v>
      </x:c>
    </x:row>
    <x:row r="1242" ht="22" customHeight="1">
      <x:c r="A1242" s="2" t="str">
        <x:v>L001238</x:v>
      </x:c>
      <x:c r="B1242" s="2" t="str">
        <x:v>O00501</x:v>
      </x:c>
      <x:c r="C1242" s="7" t="n">
        <x:v>45708</x:v>
      </x:c>
      <x:c r="D1242" s="2" t="str">
        <x:v>Completed</x:v>
      </x:c>
      <x:c r="E1242" s="2" t="str">
        <x:v>West</x:v>
      </x:c>
      <x:c r="F1242" s="2" t="str">
        <x:v>Online</x:v>
      </x:c>
      <x:c r="G1242" s="2" t="str">
        <x:v>Storage</x:v>
      </x:c>
      <x:c r="H1242" s="2" t="str">
        <x:v>Shelf 007</x:v>
      </x:c>
      <x:c r="I1242" s="11" t="n">
        <x:v>5</x:v>
      </x:c>
      <x:c r="J1242" s="9" t="n">
        <x:v>35</x:v>
      </x:c>
      <x:c r="K1242" s="10" t="n">
        <x:v>0.05</x:v>
      </x:c>
      <x:c r="L1242" s="11" t="n">
        <x:v>0</x:v>
      </x:c>
      <x:c r="M1242" s="9" t="n">
        <x:f>IF(D1242="Completed",I1242*J1242,0)</x:f>
        <x:v>175</x:v>
      </x:c>
      <x:c r="N1242" s="9" t="n">
        <x:f>M1242*K1242</x:f>
        <x:v>8.75</x:v>
      </x:c>
      <x:c r="O1242" s="9" t="n">
        <x:f>M1242-N1242</x:f>
        <x:v>166.25</x:v>
      </x:c>
      <x:c r="P1242" s="9" t="n">
        <x:f>IF(D1242="Completed",L1242*J1242*(1-K1242),0)</x:f>
        <x:v>0</x:v>
      </x:c>
      <x:c r="Q1242" s="9" t="n">
        <x:f>O1242-P1242</x:f>
        <x:v>166.25</x:v>
      </x:c>
      <x:c r="R1242" s="11" t="n">
        <x:f>IF(D1242="Completed",I1242,0)</x:f>
        <x:v>5</x:v>
      </x:c>
      <x:c r="S1242" s="11" t="n">
        <x:f>IF(D1242="Completed",L1242,0)</x:f>
        <x:v>0</x:v>
      </x:c>
      <x:c r="T1242" s="8" t="n">
        <x:f>DATE(YEAR(C1242),MONTH(C1242),1)</x:f>
        <x:v>45689</x:v>
      </x:c>
    </x:row>
    <x:row r="1243" ht="22" customHeight="1">
      <x:c r="A1243" s="2" t="str">
        <x:v>L001239</x:v>
      </x:c>
      <x:c r="B1243" s="2" t="str">
        <x:v>O00501</x:v>
      </x:c>
      <x:c r="C1243" s="7" t="n">
        <x:v>45708</x:v>
      </x:c>
      <x:c r="D1243" s="2" t="str">
        <x:v>Completed</x:v>
      </x:c>
      <x:c r="E1243" s="2" t="str">
        <x:v>West</x:v>
      </x:c>
      <x:c r="F1243" s="2" t="str">
        <x:v>Online</x:v>
      </x:c>
      <x:c r="G1243" s="2" t="str">
        <x:v>Furniture</x:v>
      </x:c>
      <x:c r="H1243" s="2" t="str">
        <x:v>Desk 008</x:v>
      </x:c>
      <x:c r="I1243" s="11" t="n">
        <x:v>5</x:v>
      </x:c>
      <x:c r="J1243" s="9" t="n">
        <x:v>188</x:v>
      </x:c>
      <x:c r="K1243" s="10" t="n">
        <x:v>0.2</x:v>
      </x:c>
      <x:c r="L1243" s="11" t="n">
        <x:v>0</x:v>
      </x:c>
      <x:c r="M1243" s="9" t="n">
        <x:f>IF(D1243="Completed",I1243*J1243,0)</x:f>
        <x:v>940</x:v>
      </x:c>
      <x:c r="N1243" s="9" t="n">
        <x:f>M1243*K1243</x:f>
        <x:v>188</x:v>
      </x:c>
      <x:c r="O1243" s="9" t="n">
        <x:f>M1243-N1243</x:f>
        <x:v>752</x:v>
      </x:c>
      <x:c r="P1243" s="9" t="n">
        <x:f>IF(D1243="Completed",L1243*J1243*(1-K1243),0)</x:f>
        <x:v>0</x:v>
      </x:c>
      <x:c r="Q1243" s="9" t="n">
        <x:f>O1243-P1243</x:f>
        <x:v>752</x:v>
      </x:c>
      <x:c r="R1243" s="11" t="n">
        <x:f>IF(D1243="Completed",I1243,0)</x:f>
        <x:v>5</x:v>
      </x:c>
      <x:c r="S1243" s="11" t="n">
        <x:f>IF(D1243="Completed",L1243,0)</x:f>
        <x:v>0</x:v>
      </x:c>
      <x:c r="T1243" s="8" t="n">
        <x:f>DATE(YEAR(C1243),MONTH(C1243),1)</x:f>
        <x:v>45689</x:v>
      </x:c>
    </x:row>
    <x:row r="1244" ht="22" customHeight="1">
      <x:c r="A1244" s="2" t="str">
        <x:v>L001240</x:v>
      </x:c>
      <x:c r="B1244" s="2" t="str">
        <x:v>O00502</x:v>
      </x:c>
      <x:c r="C1244" s="7" t="n">
        <x:v>45667</x:v>
      </x:c>
      <x:c r="D1244" s="2" t="str">
        <x:v>Completed</x:v>
      </x:c>
      <x:c r="E1244" s="2" t="str">
        <x:v>West</x:v>
      </x:c>
      <x:c r="F1244" s="2" t="str">
        <x:v>Store</x:v>
      </x:c>
      <x:c r="G1244" s="2" t="str">
        <x:v>Lighting</x:v>
      </x:c>
      <x:c r="H1244" s="2" t="str">
        <x:v>Lamp 017</x:v>
      </x:c>
      <x:c r="I1244" s="11" t="n">
        <x:v>4</x:v>
      </x:c>
      <x:c r="J1244" s="9" t="n">
        <x:v>300</x:v>
      </x:c>
      <x:c r="K1244" s="10" t="n">
        <x:v>0.05</x:v>
      </x:c>
      <x:c r="L1244" s="11" t="n">
        <x:v>0</x:v>
      </x:c>
      <x:c r="M1244" s="9" t="n">
        <x:f>IF(D1244="Completed",I1244*J1244,0)</x:f>
        <x:v>1200</x:v>
      </x:c>
      <x:c r="N1244" s="9" t="n">
        <x:f>M1244*K1244</x:f>
        <x:v>60</x:v>
      </x:c>
      <x:c r="O1244" s="9" t="n">
        <x:f>M1244-N1244</x:f>
        <x:v>1140</x:v>
      </x:c>
      <x:c r="P1244" s="9" t="n">
        <x:f>IF(D1244="Completed",L1244*J1244*(1-K1244),0)</x:f>
        <x:v>0</x:v>
      </x:c>
      <x:c r="Q1244" s="9" t="n">
        <x:f>O1244-P1244</x:f>
        <x:v>1140</x:v>
      </x:c>
      <x:c r="R1244" s="11" t="n">
        <x:f>IF(D1244="Completed",I1244,0)</x:f>
        <x:v>4</x:v>
      </x:c>
      <x:c r="S1244" s="11" t="n">
        <x:f>IF(D1244="Completed",L1244,0)</x:f>
        <x:v>0</x:v>
      </x:c>
      <x:c r="T1244" s="8" t="n">
        <x:f>DATE(YEAR(C1244),MONTH(C1244),1)</x:f>
        <x:v>45658</x:v>
      </x:c>
    </x:row>
    <x:row r="1245" ht="22" customHeight="1">
      <x:c r="A1245" s="2" t="str">
        <x:v>L001241</x:v>
      </x:c>
      <x:c r="B1245" s="2" t="str">
        <x:v>O00502</x:v>
      </x:c>
      <x:c r="C1245" s="7" t="n">
        <x:v>45667</x:v>
      </x:c>
      <x:c r="D1245" s="2" t="str">
        <x:v>Completed</x:v>
      </x:c>
      <x:c r="E1245" s="2" t="str">
        <x:v>West</x:v>
      </x:c>
      <x:c r="F1245" s="2" t="str">
        <x:v>Store</x:v>
      </x:c>
      <x:c r="G1245" s="2" t="str">
        <x:v>Storage</x:v>
      </x:c>
      <x:c r="H1245" s="2" t="str">
        <x:v>Shelf 003</x:v>
      </x:c>
      <x:c r="I1245" s="11" t="n">
        <x:v>3</x:v>
      </x:c>
      <x:c r="J1245" s="9" t="n">
        <x:v>199</x:v>
      </x:c>
      <x:c r="K1245" s="10" t="n">
        <x:v>0.2</x:v>
      </x:c>
      <x:c r="L1245" s="11" t="n">
        <x:v>0</x:v>
      </x:c>
      <x:c r="M1245" s="9" t="n">
        <x:f>IF(D1245="Completed",I1245*J1245,0)</x:f>
        <x:v>597</x:v>
      </x:c>
      <x:c r="N1245" s="9" t="n">
        <x:f>M1245*K1245</x:f>
        <x:v>119.4</x:v>
      </x:c>
      <x:c r="O1245" s="9" t="n">
        <x:f>M1245-N1245</x:f>
        <x:v>477.6</x:v>
      </x:c>
      <x:c r="P1245" s="9" t="n">
        <x:f>IF(D1245="Completed",L1245*J1245*(1-K1245),0)</x:f>
        <x:v>0</x:v>
      </x:c>
      <x:c r="Q1245" s="9" t="n">
        <x:f>O1245-P1245</x:f>
        <x:v>477.6</x:v>
      </x:c>
      <x:c r="R1245" s="11" t="n">
        <x:f>IF(D1245="Completed",I1245,0)</x:f>
        <x:v>3</x:v>
      </x:c>
      <x:c r="S1245" s="11" t="n">
        <x:f>IF(D1245="Completed",L1245,0)</x:f>
        <x:v>0</x:v>
      </x:c>
      <x:c r="T1245" s="8" t="n">
        <x:f>DATE(YEAR(C1245),MONTH(C1245),1)</x:f>
        <x:v>45658</x:v>
      </x:c>
    </x:row>
    <x:row r="1246" ht="22" customHeight="1">
      <x:c r="A1246" s="2" t="str">
        <x:v>L001242</x:v>
      </x:c>
      <x:c r="B1246" s="2" t="str">
        <x:v>O00502</x:v>
      </x:c>
      <x:c r="C1246" s="7" t="n">
        <x:v>45667</x:v>
      </x:c>
      <x:c r="D1246" s="2" t="str">
        <x:v>Completed</x:v>
      </x:c>
      <x:c r="E1246" s="2" t="str">
        <x:v>West</x:v>
      </x:c>
      <x:c r="F1246" s="2" t="str">
        <x:v>Store</x:v>
      </x:c>
      <x:c r="G1246" s="2" t="str">
        <x:v>Lighting</x:v>
      </x:c>
      <x:c r="H1246" s="2" t="str">
        <x:v>Lamp 009</x:v>
      </x:c>
      <x:c r="I1246" s="11" t="n">
        <x:v>2</x:v>
      </x:c>
      <x:c r="J1246" s="9" t="n">
        <x:v>93</x:v>
      </x:c>
      <x:c r="K1246" s="10" t="n">
        <x:v>0.05</x:v>
      </x:c>
      <x:c r="L1246" s="11" t="n">
        <x:v>0</x:v>
      </x:c>
      <x:c r="M1246" s="9" t="n">
        <x:f>IF(D1246="Completed",I1246*J1246,0)</x:f>
        <x:v>186</x:v>
      </x:c>
      <x:c r="N1246" s="9" t="n">
        <x:f>M1246*K1246</x:f>
        <x:v>9.3</x:v>
      </x:c>
      <x:c r="O1246" s="9" t="n">
        <x:f>M1246-N1246</x:f>
        <x:v>176.7</x:v>
      </x:c>
      <x:c r="P1246" s="9" t="n">
        <x:f>IF(D1246="Completed",L1246*J1246*(1-K1246),0)</x:f>
        <x:v>0</x:v>
      </x:c>
      <x:c r="Q1246" s="9" t="n">
        <x:f>O1246-P1246</x:f>
        <x:v>176.7</x:v>
      </x:c>
      <x:c r="R1246" s="11" t="n">
        <x:f>IF(D1246="Completed",I1246,0)</x:f>
        <x:v>2</x:v>
      </x:c>
      <x:c r="S1246" s="11" t="n">
        <x:f>IF(D1246="Completed",L1246,0)</x:f>
        <x:v>0</x:v>
      </x:c>
      <x:c r="T1246" s="8" t="n">
        <x:f>DATE(YEAR(C1246),MONTH(C1246),1)</x:f>
        <x:v>45658</x:v>
      </x:c>
    </x:row>
    <x:row r="1247" ht="22" customHeight="1">
      <x:c r="A1247" s="2" t="str">
        <x:v>L001243</x:v>
      </x:c>
      <x:c r="B1247" s="2" t="str">
        <x:v>O00503</x:v>
      </x:c>
      <x:c r="C1247" s="7" t="n">
        <x:v>45935</x:v>
      </x:c>
      <x:c r="D1247" s="2" t="str">
        <x:v>Completed</x:v>
      </x:c>
      <x:c r="E1247" s="2" t="str">
        <x:v>North</x:v>
      </x:c>
      <x:c r="F1247" s="2" t="str">
        <x:v>Store</x:v>
      </x:c>
      <x:c r="G1247" s="2" t="str">
        <x:v>Furniture</x:v>
      </x:c>
      <x:c r="H1247" s="2" t="str">
        <x:v>Desk 016</x:v>
      </x:c>
      <x:c r="I1247" s="11" t="n">
        <x:v>4</x:v>
      </x:c>
      <x:c r="J1247" s="9" t="n">
        <x:v>231</x:v>
      </x:c>
      <x:c r="K1247" s="10" t="n">
        <x:v>0.2</x:v>
      </x:c>
      <x:c r="L1247" s="11" t="n">
        <x:v>0</x:v>
      </x:c>
      <x:c r="M1247" s="9" t="n">
        <x:f>IF(D1247="Completed",I1247*J1247,0)</x:f>
        <x:v>924</x:v>
      </x:c>
      <x:c r="N1247" s="9" t="n">
        <x:f>M1247*K1247</x:f>
        <x:v>184.8</x:v>
      </x:c>
      <x:c r="O1247" s="9" t="n">
        <x:f>M1247-N1247</x:f>
        <x:v>739.2</x:v>
      </x:c>
      <x:c r="P1247" s="9" t="n">
        <x:f>IF(D1247="Completed",L1247*J1247*(1-K1247),0)</x:f>
        <x:v>0</x:v>
      </x:c>
      <x:c r="Q1247" s="9" t="n">
        <x:f>O1247-P1247</x:f>
        <x:v>739.2</x:v>
      </x:c>
      <x:c r="R1247" s="11" t="n">
        <x:f>IF(D1247="Completed",I1247,0)</x:f>
        <x:v>4</x:v>
      </x:c>
      <x:c r="S1247" s="11" t="n">
        <x:f>IF(D1247="Completed",L1247,0)</x:f>
        <x:v>0</x:v>
      </x:c>
      <x:c r="T1247" s="8" t="n">
        <x:f>DATE(YEAR(C1247),MONTH(C1247),1)</x:f>
        <x:v>45931</x:v>
      </x:c>
    </x:row>
    <x:row r="1248" ht="22" customHeight="1">
      <x:c r="A1248" s="2" t="str">
        <x:v>L001244</x:v>
      </x:c>
      <x:c r="B1248" s="2" t="str">
        <x:v>O00504</x:v>
      </x:c>
      <x:c r="C1248" s="7" t="n">
        <x:v>45968</x:v>
      </x:c>
      <x:c r="D1248" s="2" t="str">
        <x:v>Completed</x:v>
      </x:c>
      <x:c r="E1248" s="2" t="str">
        <x:v>West</x:v>
      </x:c>
      <x:c r="F1248" s="2" t="str">
        <x:v>Online</x:v>
      </x:c>
      <x:c r="G1248" s="2" t="str">
        <x:v>Lighting</x:v>
      </x:c>
      <x:c r="H1248" s="2" t="str">
        <x:v>Lamp 009</x:v>
      </x:c>
      <x:c r="I1248" s="11" t="n">
        <x:v>5</x:v>
      </x:c>
      <x:c r="J1248" s="9" t="n">
        <x:v>93</x:v>
      </x:c>
      <x:c r="K1248" s="10" t="n">
        <x:v>0.1</x:v>
      </x:c>
      <x:c r="L1248" s="11" t="n">
        <x:v>0</x:v>
      </x:c>
      <x:c r="M1248" s="9" t="n">
        <x:f>IF(D1248="Completed",I1248*J1248,0)</x:f>
        <x:v>465</x:v>
      </x:c>
      <x:c r="N1248" s="9" t="n">
        <x:f>M1248*K1248</x:f>
        <x:v>46.5</x:v>
      </x:c>
      <x:c r="O1248" s="9" t="n">
        <x:f>M1248-N1248</x:f>
        <x:v>418.5</x:v>
      </x:c>
      <x:c r="P1248" s="9" t="n">
        <x:f>IF(D1248="Completed",L1248*J1248*(1-K1248),0)</x:f>
        <x:v>0</x:v>
      </x:c>
      <x:c r="Q1248" s="9" t="n">
        <x:f>O1248-P1248</x:f>
        <x:v>418.5</x:v>
      </x:c>
      <x:c r="R1248" s="11" t="n">
        <x:f>IF(D1248="Completed",I1248,0)</x:f>
        <x:v>5</x:v>
      </x:c>
      <x:c r="S1248" s="11" t="n">
        <x:f>IF(D1248="Completed",L1248,0)</x:f>
        <x:v>0</x:v>
      </x:c>
      <x:c r="T1248" s="8" t="n">
        <x:f>DATE(YEAR(C1248),MONTH(C1248),1)</x:f>
        <x:v>45962</x:v>
      </x:c>
    </x:row>
    <x:row r="1249" ht="22" customHeight="1">
      <x:c r="A1249" s="2" t="str">
        <x:v>L001245</x:v>
      </x:c>
      <x:c r="B1249" s="2" t="str">
        <x:v>O00504</x:v>
      </x:c>
      <x:c r="C1249" s="7" t="n">
        <x:v>45968</x:v>
      </x:c>
      <x:c r="D1249" s="2" t="str">
        <x:v>Completed</x:v>
      </x:c>
      <x:c r="E1249" s="2" t="str">
        <x:v>West</x:v>
      </x:c>
      <x:c r="F1249" s="2" t="str">
        <x:v>Online</x:v>
      </x:c>
      <x:c r="G1249" s="2" t="str">
        <x:v>Furniture</x:v>
      </x:c>
      <x:c r="H1249" s="2" t="str">
        <x:v>Desk 016</x:v>
      </x:c>
      <x:c r="I1249" s="11" t="n">
        <x:v>1</x:v>
      </x:c>
      <x:c r="J1249" s="9" t="n">
        <x:v>231</x:v>
      </x:c>
      <x:c r="K1249" s="10" t="n">
        <x:v>0.05</x:v>
      </x:c>
      <x:c r="L1249" s="11" t="n">
        <x:v>0</x:v>
      </x:c>
      <x:c r="M1249" s="9" t="n">
        <x:f>IF(D1249="Completed",I1249*J1249,0)</x:f>
        <x:v>231</x:v>
      </x:c>
      <x:c r="N1249" s="9" t="n">
        <x:f>M1249*K1249</x:f>
        <x:v>11.55</x:v>
      </x:c>
      <x:c r="O1249" s="9" t="n">
        <x:f>M1249-N1249</x:f>
        <x:v>219.45</x:v>
      </x:c>
      <x:c r="P1249" s="9" t="n">
        <x:f>IF(D1249="Completed",L1249*J1249*(1-K1249),0)</x:f>
        <x:v>0</x:v>
      </x:c>
      <x:c r="Q1249" s="9" t="n">
        <x:f>O1249-P1249</x:f>
        <x:v>219.45</x:v>
      </x:c>
      <x:c r="R1249" s="11" t="n">
        <x:f>IF(D1249="Completed",I1249,0)</x:f>
        <x:v>1</x:v>
      </x:c>
      <x:c r="S1249" s="11" t="n">
        <x:f>IF(D1249="Completed",L1249,0)</x:f>
        <x:v>0</x:v>
      </x:c>
      <x:c r="T1249" s="8" t="n">
        <x:f>DATE(YEAR(C1249),MONTH(C1249),1)</x:f>
        <x:v>45962</x:v>
      </x:c>
    </x:row>
    <x:row r="1250" ht="22" customHeight="1">
      <x:c r="A1250" s="2" t="str">
        <x:v>L001246</x:v>
      </x:c>
      <x:c r="B1250" s="2" t="str">
        <x:v>O00504</x:v>
      </x:c>
      <x:c r="C1250" s="7" t="n">
        <x:v>45968</x:v>
      </x:c>
      <x:c r="D1250" s="2" t="str">
        <x:v>Completed</x:v>
      </x:c>
      <x:c r="E1250" s="2" t="str">
        <x:v>West</x:v>
      </x:c>
      <x:c r="F1250" s="2" t="str">
        <x:v>Online</x:v>
      </x:c>
      <x:c r="G1250" s="2" t="str">
        <x:v>Furniture</x:v>
      </x:c>
      <x:c r="H1250" s="2" t="str">
        <x:v>Chair 010</x:v>
      </x:c>
      <x:c r="I1250" s="11" t="n">
        <x:v>2</x:v>
      </x:c>
      <x:c r="J1250" s="9" t="n">
        <x:v>211</x:v>
      </x:c>
      <x:c r="K1250" s="10" t="n">
        <x:v>0.2</x:v>
      </x:c>
      <x:c r="L1250" s="11" t="n">
        <x:v>0</x:v>
      </x:c>
      <x:c r="M1250" s="9" t="n">
        <x:f>IF(D1250="Completed",I1250*J1250,0)</x:f>
        <x:v>422</x:v>
      </x:c>
      <x:c r="N1250" s="9" t="n">
        <x:f>M1250*K1250</x:f>
        <x:v>84.4</x:v>
      </x:c>
      <x:c r="O1250" s="9" t="n">
        <x:f>M1250-N1250</x:f>
        <x:v>337.6</x:v>
      </x:c>
      <x:c r="P1250" s="9" t="n">
        <x:f>IF(D1250="Completed",L1250*J1250*(1-K1250),0)</x:f>
        <x:v>0</x:v>
      </x:c>
      <x:c r="Q1250" s="9" t="n">
        <x:f>O1250-P1250</x:f>
        <x:v>337.6</x:v>
      </x:c>
      <x:c r="R1250" s="11" t="n">
        <x:f>IF(D1250="Completed",I1250,0)</x:f>
        <x:v>2</x:v>
      </x:c>
      <x:c r="S1250" s="11" t="n">
        <x:f>IF(D1250="Completed",L1250,0)</x:f>
        <x:v>0</x:v>
      </x:c>
      <x:c r="T1250" s="8" t="n">
        <x:f>DATE(YEAR(C1250),MONTH(C1250),1)</x:f>
        <x:v>45962</x:v>
      </x:c>
    </x:row>
    <x:row r="1251" ht="22" customHeight="1">
      <x:c r="A1251" s="2" t="str">
        <x:v>L001247</x:v>
      </x:c>
      <x:c r="B1251" s="2" t="str">
        <x:v>O00504</x:v>
      </x:c>
      <x:c r="C1251" s="7" t="n">
        <x:v>45968</x:v>
      </x:c>
      <x:c r="D1251" s="2" t="str">
        <x:v>Completed</x:v>
      </x:c>
      <x:c r="E1251" s="2" t="str">
        <x:v>West</x:v>
      </x:c>
      <x:c r="F1251" s="2" t="str">
        <x:v>Online</x:v>
      </x:c>
      <x:c r="G1251" s="2" t="str">
        <x:v>Furniture</x:v>
      </x:c>
      <x:c r="H1251" s="2" t="str">
        <x:v>Chair 010</x:v>
      </x:c>
      <x:c r="I1251" s="11" t="n">
        <x:v>5</x:v>
      </x:c>
      <x:c r="J1251" s="9" t="n">
        <x:v>211</x:v>
      </x:c>
      <x:c r="K1251" s="10" t="n">
        <x:v>0.2</x:v>
      </x:c>
      <x:c r="L1251" s="11" t="n">
        <x:v>0</x:v>
      </x:c>
      <x:c r="M1251" s="9" t="n">
        <x:f>IF(D1251="Completed",I1251*J1251,0)</x:f>
        <x:v>1055</x:v>
      </x:c>
      <x:c r="N1251" s="9" t="n">
        <x:f>M1251*K1251</x:f>
        <x:v>211</x:v>
      </x:c>
      <x:c r="O1251" s="9" t="n">
        <x:f>M1251-N1251</x:f>
        <x:v>844</x:v>
      </x:c>
      <x:c r="P1251" s="9" t="n">
        <x:f>IF(D1251="Completed",L1251*J1251*(1-K1251),0)</x:f>
        <x:v>0</x:v>
      </x:c>
      <x:c r="Q1251" s="9" t="n">
        <x:f>O1251-P1251</x:f>
        <x:v>844</x:v>
      </x:c>
      <x:c r="R1251" s="11" t="n">
        <x:f>IF(D1251="Completed",I1251,0)</x:f>
        <x:v>5</x:v>
      </x:c>
      <x:c r="S1251" s="11" t="n">
        <x:f>IF(D1251="Completed",L1251,0)</x:f>
        <x:v>0</x:v>
      </x:c>
      <x:c r="T1251" s="8" t="n">
        <x:f>DATE(YEAR(C1251),MONTH(C1251),1)</x:f>
        <x:v>45962</x:v>
      </x:c>
    </x:row>
    <x:row r="1252" ht="22" customHeight="1">
      <x:c r="A1252" s="2" t="str">
        <x:v>L001248</x:v>
      </x:c>
      <x:c r="B1252" s="2" t="str">
        <x:v>O00505</x:v>
      </x:c>
      <x:c r="C1252" s="7" t="n">
        <x:v>45903</x:v>
      </x:c>
      <x:c r="D1252" s="2" t="str">
        <x:v>Completed</x:v>
      </x:c>
      <x:c r="E1252" s="2" t="str">
        <x:v>South</x:v>
      </x:c>
      <x:c r="F1252" s="2" t="str">
        <x:v>Store</x:v>
      </x:c>
      <x:c r="G1252" s="2" t="str">
        <x:v>Furniture</x:v>
      </x:c>
      <x:c r="H1252" s="2" t="str">
        <x:v>Chair 002</x:v>
      </x:c>
      <x:c r="I1252" s="11" t="n">
        <x:v>4</x:v>
      </x:c>
      <x:c r="J1252" s="9" t="n">
        <x:v>284</x:v>
      </x:c>
      <x:c r="K1252" s="10" t="n">
        <x:v>0.05</x:v>
      </x:c>
      <x:c r="L1252" s="11" t="n">
        <x:v>0</x:v>
      </x:c>
      <x:c r="M1252" s="9" t="n">
        <x:f>IF(D1252="Completed",I1252*J1252,0)</x:f>
        <x:v>1136</x:v>
      </x:c>
      <x:c r="N1252" s="9" t="n">
        <x:f>M1252*K1252</x:f>
        <x:v>56.800000000000004</x:v>
      </x:c>
      <x:c r="O1252" s="9" t="n">
        <x:f>M1252-N1252</x:f>
        <x:v>1079.2</x:v>
      </x:c>
      <x:c r="P1252" s="9" t="n">
        <x:f>IF(D1252="Completed",L1252*J1252*(1-K1252),0)</x:f>
        <x:v>0</x:v>
      </x:c>
      <x:c r="Q1252" s="9" t="n">
        <x:f>O1252-P1252</x:f>
        <x:v>1079.2</x:v>
      </x:c>
      <x:c r="R1252" s="11" t="n">
        <x:f>IF(D1252="Completed",I1252,0)</x:f>
        <x:v>4</x:v>
      </x:c>
      <x:c r="S1252" s="11" t="n">
        <x:f>IF(D1252="Completed",L1252,0)</x:f>
        <x:v>0</x:v>
      </x:c>
      <x:c r="T1252" s="8" t="n">
        <x:f>DATE(YEAR(C1252),MONTH(C1252),1)</x:f>
        <x:v>45901</x:v>
      </x:c>
    </x:row>
    <x:row r="1253" ht="22" customHeight="1">
      <x:c r="A1253" s="2" t="str">
        <x:v>L001249</x:v>
      </x:c>
      <x:c r="B1253" s="2" t="str">
        <x:v>O00506</x:v>
      </x:c>
      <x:c r="C1253" s="7" t="n">
        <x:v>45672</x:v>
      </x:c>
      <x:c r="D1253" s="2" t="str">
        <x:v>Completed</x:v>
      </x:c>
      <x:c r="E1253" s="2" t="str">
        <x:v>North</x:v>
      </x:c>
      <x:c r="F1253" s="2" t="str">
        <x:v>Store</x:v>
      </x:c>
      <x:c r="G1253" s="2" t="str">
        <x:v>Furniture</x:v>
      </x:c>
      <x:c r="H1253" s="2" t="str">
        <x:v>Chair 002</x:v>
      </x:c>
      <x:c r="I1253" s="11" t="n">
        <x:v>1</x:v>
      </x:c>
      <x:c r="J1253" s="9" t="n">
        <x:v>284</x:v>
      </x:c>
      <x:c r="K1253" s="10" t="n">
        <x:v>0</x:v>
      </x:c>
      <x:c r="L1253" s="11" t="n">
        <x:v>0</x:v>
      </x:c>
      <x:c r="M1253" s="9" t="n">
        <x:f>IF(D1253="Completed",I1253*J1253,0)</x:f>
        <x:v>284</x:v>
      </x:c>
      <x:c r="N1253" s="9" t="n">
        <x:f>M1253*K1253</x:f>
        <x:v>0</x:v>
      </x:c>
      <x:c r="O1253" s="9" t="n">
        <x:f>M1253-N1253</x:f>
        <x:v>284</x:v>
      </x:c>
      <x:c r="P1253" s="9" t="n">
        <x:f>IF(D1253="Completed",L1253*J1253*(1-K1253),0)</x:f>
        <x:v>0</x:v>
      </x:c>
      <x:c r="Q1253" s="9" t="n">
        <x:f>O1253-P1253</x:f>
        <x:v>284</x:v>
      </x:c>
      <x:c r="R1253" s="11" t="n">
        <x:f>IF(D1253="Completed",I1253,0)</x:f>
        <x:v>1</x:v>
      </x:c>
      <x:c r="S1253" s="11" t="n">
        <x:f>IF(D1253="Completed",L1253,0)</x:f>
        <x:v>0</x:v>
      </x:c>
      <x:c r="T1253" s="8" t="n">
        <x:f>DATE(YEAR(C1253),MONTH(C1253),1)</x:f>
        <x:v>45658</x:v>
      </x:c>
    </x:row>
    <x:row r="1254" ht="22" customHeight="1">
      <x:c r="A1254" s="2" t="str">
        <x:v>L001250</x:v>
      </x:c>
      <x:c r="B1254" s="2" t="str">
        <x:v>O00507</x:v>
      </x:c>
      <x:c r="C1254" s="7" t="n">
        <x:v>45708</x:v>
      </x:c>
      <x:c r="D1254" s="2" t="str">
        <x:v>Completed</x:v>
      </x:c>
      <x:c r="E1254" s="2" t="str">
        <x:v>North</x:v>
      </x:c>
      <x:c r="F1254" s="2" t="str">
        <x:v>Store</x:v>
      </x:c>
      <x:c r="G1254" s="2" t="str">
        <x:v>Furniture</x:v>
      </x:c>
      <x:c r="H1254" s="2" t="str">
        <x:v>Desk 004</x:v>
      </x:c>
      <x:c r="I1254" s="11" t="n">
        <x:v>1</x:v>
      </x:c>
      <x:c r="J1254" s="9" t="n">
        <x:v>123</x:v>
      </x:c>
      <x:c r="K1254" s="10" t="n">
        <x:v>0.1</x:v>
      </x:c>
      <x:c r="L1254" s="11" t="n">
        <x:v>0</x:v>
      </x:c>
      <x:c r="M1254" s="9" t="n">
        <x:f>IF(D1254="Completed",I1254*J1254,0)</x:f>
        <x:v>123</x:v>
      </x:c>
      <x:c r="N1254" s="9" t="n">
        <x:f>M1254*K1254</x:f>
        <x:v>12.3</x:v>
      </x:c>
      <x:c r="O1254" s="9" t="n">
        <x:f>M1254-N1254</x:f>
        <x:v>110.7</x:v>
      </x:c>
      <x:c r="P1254" s="9" t="n">
        <x:f>IF(D1254="Completed",L1254*J1254*(1-K1254),0)</x:f>
        <x:v>0</x:v>
      </x:c>
      <x:c r="Q1254" s="9" t="n">
        <x:f>O1254-P1254</x:f>
        <x:v>110.7</x:v>
      </x:c>
      <x:c r="R1254" s="11" t="n">
        <x:f>IF(D1254="Completed",I1254,0)</x:f>
        <x:v>1</x:v>
      </x:c>
      <x:c r="S1254" s="11" t="n">
        <x:f>IF(D1254="Completed",L1254,0)</x:f>
        <x:v>0</x:v>
      </x:c>
      <x:c r="T1254" s="8" t="n">
        <x:f>DATE(YEAR(C1254),MONTH(C1254),1)</x:f>
        <x:v>45689</x:v>
      </x:c>
    </x:row>
    <x:row r="1255" ht="22" customHeight="1">
      <x:c r="A1255" s="2" t="str">
        <x:v>L001251</x:v>
      </x:c>
      <x:c r="B1255" s="2" t="str">
        <x:v>O00507</x:v>
      </x:c>
      <x:c r="C1255" s="7" t="n">
        <x:v>45708</x:v>
      </x:c>
      <x:c r="D1255" s="2" t="str">
        <x:v>Completed</x:v>
      </x:c>
      <x:c r="E1255" s="2" t="str">
        <x:v>North</x:v>
      </x:c>
      <x:c r="F1255" s="2" t="str">
        <x:v>Store</x:v>
      </x:c>
      <x:c r="G1255" s="2" t="str">
        <x:v>Furniture</x:v>
      </x:c>
      <x:c r="H1255" s="2" t="str">
        <x:v>Desk 004</x:v>
      </x:c>
      <x:c r="I1255" s="11" t="n">
        <x:v>1</x:v>
      </x:c>
      <x:c r="J1255" s="9" t="n">
        <x:v>123</x:v>
      </x:c>
      <x:c r="K1255" s="10" t="n">
        <x:v>0.1</x:v>
      </x:c>
      <x:c r="L1255" s="11" t="n">
        <x:v>0</x:v>
      </x:c>
      <x:c r="M1255" s="9" t="n">
        <x:f>IF(D1255="Completed",I1255*J1255,0)</x:f>
        <x:v>123</x:v>
      </x:c>
      <x:c r="N1255" s="9" t="n">
        <x:f>M1255*K1255</x:f>
        <x:v>12.3</x:v>
      </x:c>
      <x:c r="O1255" s="9" t="n">
        <x:f>M1255-N1255</x:f>
        <x:v>110.7</x:v>
      </x:c>
      <x:c r="P1255" s="9" t="n">
        <x:f>IF(D1255="Completed",L1255*J1255*(1-K1255),0)</x:f>
        <x:v>0</x:v>
      </x:c>
      <x:c r="Q1255" s="9" t="n">
        <x:f>O1255-P1255</x:f>
        <x:v>110.7</x:v>
      </x:c>
      <x:c r="R1255" s="11" t="n">
        <x:f>IF(D1255="Completed",I1255,0)</x:f>
        <x:v>1</x:v>
      </x:c>
      <x:c r="S1255" s="11" t="n">
        <x:f>IF(D1255="Completed",L1255,0)</x:f>
        <x:v>0</x:v>
      </x:c>
      <x:c r="T1255" s="8" t="n">
        <x:f>DATE(YEAR(C1255),MONTH(C1255),1)</x:f>
        <x:v>45689</x:v>
      </x:c>
    </x:row>
    <x:row r="1256" ht="22" customHeight="1">
      <x:c r="A1256" s="2" t="str">
        <x:v>L001252</x:v>
      </x:c>
      <x:c r="B1256" s="2" t="str">
        <x:v>O00507</x:v>
      </x:c>
      <x:c r="C1256" s="7" t="n">
        <x:v>45708</x:v>
      </x:c>
      <x:c r="D1256" s="2" t="str">
        <x:v>Completed</x:v>
      </x:c>
      <x:c r="E1256" s="2" t="str">
        <x:v>North</x:v>
      </x:c>
      <x:c r="F1256" s="2" t="str">
        <x:v>Store</x:v>
      </x:c>
      <x:c r="G1256" s="2" t="str">
        <x:v>Furniture</x:v>
      </x:c>
      <x:c r="H1256" s="2" t="str">
        <x:v>Chair 022</x:v>
      </x:c>
      <x:c r="I1256" s="11" t="n">
        <x:v>4</x:v>
      </x:c>
      <x:c r="J1256" s="9" t="n">
        <x:v>134</x:v>
      </x:c>
      <x:c r="K1256" s="10" t="n">
        <x:v>0.05</x:v>
      </x:c>
      <x:c r="L1256" s="11" t="n">
        <x:v>0</x:v>
      </x:c>
      <x:c r="M1256" s="9" t="n">
        <x:f>IF(D1256="Completed",I1256*J1256,0)</x:f>
        <x:v>536</x:v>
      </x:c>
      <x:c r="N1256" s="9" t="n">
        <x:f>M1256*K1256</x:f>
        <x:v>26.8</x:v>
      </x:c>
      <x:c r="O1256" s="9" t="n">
        <x:f>M1256-N1256</x:f>
        <x:v>509.2</x:v>
      </x:c>
      <x:c r="P1256" s="9" t="n">
        <x:f>IF(D1256="Completed",L1256*J1256*(1-K1256),0)</x:f>
        <x:v>0</x:v>
      </x:c>
      <x:c r="Q1256" s="9" t="n">
        <x:f>O1256-P1256</x:f>
        <x:v>509.2</x:v>
      </x:c>
      <x:c r="R1256" s="11" t="n">
        <x:f>IF(D1256="Completed",I1256,0)</x:f>
        <x:v>4</x:v>
      </x:c>
      <x:c r="S1256" s="11" t="n">
        <x:f>IF(D1256="Completed",L1256,0)</x:f>
        <x:v>0</x:v>
      </x:c>
      <x:c r="T1256" s="8" t="n">
        <x:f>DATE(YEAR(C1256),MONTH(C1256),1)</x:f>
        <x:v>45689</x:v>
      </x:c>
    </x:row>
    <x:row r="1257" ht="22" customHeight="1">
      <x:c r="A1257" s="2" t="str">
        <x:v>L001253</x:v>
      </x:c>
      <x:c r="B1257" s="2" t="str">
        <x:v>O00507</x:v>
      </x:c>
      <x:c r="C1257" s="7" t="n">
        <x:v>45708</x:v>
      </x:c>
      <x:c r="D1257" s="2" t="str">
        <x:v>Completed</x:v>
      </x:c>
      <x:c r="E1257" s="2" t="str">
        <x:v>North</x:v>
      </x:c>
      <x:c r="F1257" s="2" t="str">
        <x:v>Store</x:v>
      </x:c>
      <x:c r="G1257" s="2" t="str">
        <x:v>Lighting</x:v>
      </x:c>
      <x:c r="H1257" s="2" t="str">
        <x:v>Lamp 001</x:v>
      </x:c>
      <x:c r="I1257" s="11" t="n">
        <x:v>5</x:v>
      </x:c>
      <x:c r="J1257" s="9" t="n">
        <x:v>122</x:v>
      </x:c>
      <x:c r="K1257" s="10" t="n">
        <x:v>0.1</x:v>
      </x:c>
      <x:c r="L1257" s="11" t="n">
        <x:v>0</x:v>
      </x:c>
      <x:c r="M1257" s="9" t="n">
        <x:f>IF(D1257="Completed",I1257*J1257,0)</x:f>
        <x:v>610</x:v>
      </x:c>
      <x:c r="N1257" s="9" t="n">
        <x:f>M1257*K1257</x:f>
        <x:v>61</x:v>
      </x:c>
      <x:c r="O1257" s="9" t="n">
        <x:f>M1257-N1257</x:f>
        <x:v>549</x:v>
      </x:c>
      <x:c r="P1257" s="9" t="n">
        <x:f>IF(D1257="Completed",L1257*J1257*(1-K1257),0)</x:f>
        <x:v>0</x:v>
      </x:c>
      <x:c r="Q1257" s="9" t="n">
        <x:f>O1257-P1257</x:f>
        <x:v>549</x:v>
      </x:c>
      <x:c r="R1257" s="11" t="n">
        <x:f>IF(D1257="Completed",I1257,0)</x:f>
        <x:v>5</x:v>
      </x:c>
      <x:c r="S1257" s="11" t="n">
        <x:f>IF(D1257="Completed",L1257,0)</x:f>
        <x:v>0</x:v>
      </x:c>
      <x:c r="T1257" s="8" t="n">
        <x:f>DATE(YEAR(C1257),MONTH(C1257),1)</x:f>
        <x:v>45689</x:v>
      </x:c>
    </x:row>
    <x:row r="1258" ht="22" customHeight="1">
      <x:c r="A1258" s="2" t="str">
        <x:v>L001254</x:v>
      </x:c>
      <x:c r="B1258" s="2" t="str">
        <x:v>O00508</x:v>
      </x:c>
      <x:c r="C1258" s="7" t="n">
        <x:v>45758</x:v>
      </x:c>
      <x:c r="D1258" s="2" t="str">
        <x:v>Completed</x:v>
      </x:c>
      <x:c r="E1258" s="2" t="str">
        <x:v>North</x:v>
      </x:c>
      <x:c r="F1258" s="2" t="str">
        <x:v>Online</x:v>
      </x:c>
      <x:c r="G1258" s="2" t="str">
        <x:v>Furniture</x:v>
      </x:c>
      <x:c r="H1258" s="2" t="str">
        <x:v>Chair 022</x:v>
      </x:c>
      <x:c r="I1258" s="11" t="n">
        <x:v>5</x:v>
      </x:c>
      <x:c r="J1258" s="9" t="n">
        <x:v>134</x:v>
      </x:c>
      <x:c r="K1258" s="10" t="n">
        <x:v>0.1</x:v>
      </x:c>
      <x:c r="L1258" s="11" t="n">
        <x:v>0</x:v>
      </x:c>
      <x:c r="M1258" s="9" t="n">
        <x:f>IF(D1258="Completed",I1258*J1258,0)</x:f>
        <x:v>670</x:v>
      </x:c>
      <x:c r="N1258" s="9" t="n">
        <x:f>M1258*K1258</x:f>
        <x:v>67</x:v>
      </x:c>
      <x:c r="O1258" s="9" t="n">
        <x:f>M1258-N1258</x:f>
        <x:v>603</x:v>
      </x:c>
      <x:c r="P1258" s="9" t="n">
        <x:f>IF(D1258="Completed",L1258*J1258*(1-K1258),0)</x:f>
        <x:v>0</x:v>
      </x:c>
      <x:c r="Q1258" s="9" t="n">
        <x:f>O1258-P1258</x:f>
        <x:v>603</x:v>
      </x:c>
      <x:c r="R1258" s="11" t="n">
        <x:f>IF(D1258="Completed",I1258,0)</x:f>
        <x:v>5</x:v>
      </x:c>
      <x:c r="S1258" s="11" t="n">
        <x:f>IF(D1258="Completed",L1258,0)</x:f>
        <x:v>0</x:v>
      </x:c>
      <x:c r="T1258" s="8" t="n">
        <x:f>DATE(YEAR(C1258),MONTH(C1258),1)</x:f>
        <x:v>45748</x:v>
      </x:c>
    </x:row>
    <x:row r="1259" ht="22" customHeight="1">
      <x:c r="A1259" s="2" t="str">
        <x:v>L001255</x:v>
      </x:c>
      <x:c r="B1259" s="2" t="str">
        <x:v>O00508</x:v>
      </x:c>
      <x:c r="C1259" s="7" t="n">
        <x:v>45758</x:v>
      </x:c>
      <x:c r="D1259" s="2" t="str">
        <x:v>Completed</x:v>
      </x:c>
      <x:c r="E1259" s="2" t="str">
        <x:v>North</x:v>
      </x:c>
      <x:c r="F1259" s="2" t="str">
        <x:v>Online</x:v>
      </x:c>
      <x:c r="G1259" s="2" t="str">
        <x:v>Furniture</x:v>
      </x:c>
      <x:c r="H1259" s="2" t="str">
        <x:v>Desk 016</x:v>
      </x:c>
      <x:c r="I1259" s="11" t="n">
        <x:v>2</x:v>
      </x:c>
      <x:c r="J1259" s="9" t="n">
        <x:v>231</x:v>
      </x:c>
      <x:c r="K1259" s="10" t="n">
        <x:v>0.05</x:v>
      </x:c>
      <x:c r="L1259" s="11" t="n">
        <x:v>0</x:v>
      </x:c>
      <x:c r="M1259" s="9" t="n">
        <x:f>IF(D1259="Completed",I1259*J1259,0)</x:f>
        <x:v>462</x:v>
      </x:c>
      <x:c r="N1259" s="9" t="n">
        <x:f>M1259*K1259</x:f>
        <x:v>23.1</x:v>
      </x:c>
      <x:c r="O1259" s="9" t="n">
        <x:f>M1259-N1259</x:f>
        <x:v>438.9</x:v>
      </x:c>
      <x:c r="P1259" s="9" t="n">
        <x:f>IF(D1259="Completed",L1259*J1259*(1-K1259),0)</x:f>
        <x:v>0</x:v>
      </x:c>
      <x:c r="Q1259" s="9" t="n">
        <x:f>O1259-P1259</x:f>
        <x:v>438.9</x:v>
      </x:c>
      <x:c r="R1259" s="11" t="n">
        <x:f>IF(D1259="Completed",I1259,0)</x:f>
        <x:v>2</x:v>
      </x:c>
      <x:c r="S1259" s="11" t="n">
        <x:f>IF(D1259="Completed",L1259,0)</x:f>
        <x:v>0</x:v>
      </x:c>
      <x:c r="T1259" s="8" t="n">
        <x:f>DATE(YEAR(C1259),MONTH(C1259),1)</x:f>
        <x:v>45748</x:v>
      </x:c>
    </x:row>
    <x:row r="1260" ht="22" customHeight="1">
      <x:c r="A1260" s="2" t="str">
        <x:v>L001256</x:v>
      </x:c>
      <x:c r="B1260" s="2" t="str">
        <x:v>O00509</x:v>
      </x:c>
      <x:c r="C1260" s="7" t="n">
        <x:v>45745</x:v>
      </x:c>
      <x:c r="D1260" s="2" t="str">
        <x:v>Completed</x:v>
      </x:c>
      <x:c r="E1260" s="2" t="str">
        <x:v>North</x:v>
      </x:c>
      <x:c r="F1260" s="2" t="str">
        <x:v>Store</x:v>
      </x:c>
      <x:c r="G1260" s="2" t="str">
        <x:v>Furniture</x:v>
      </x:c>
      <x:c r="H1260" s="2" t="str">
        <x:v>Desk 012</x:v>
      </x:c>
      <x:c r="I1260" s="11" t="n">
        <x:v>2</x:v>
      </x:c>
      <x:c r="J1260" s="9" t="n">
        <x:v>134</x:v>
      </x:c>
      <x:c r="K1260" s="10" t="n">
        <x:v>0.1</x:v>
      </x:c>
      <x:c r="L1260" s="11" t="n">
        <x:v>0</x:v>
      </x:c>
      <x:c r="M1260" s="9" t="n">
        <x:f>IF(D1260="Completed",I1260*J1260,0)</x:f>
        <x:v>268</x:v>
      </x:c>
      <x:c r="N1260" s="9" t="n">
        <x:f>M1260*K1260</x:f>
        <x:v>26.8</x:v>
      </x:c>
      <x:c r="O1260" s="9" t="n">
        <x:f>M1260-N1260</x:f>
        <x:v>241.2</x:v>
      </x:c>
      <x:c r="P1260" s="9" t="n">
        <x:f>IF(D1260="Completed",L1260*J1260*(1-K1260),0)</x:f>
        <x:v>0</x:v>
      </x:c>
      <x:c r="Q1260" s="9" t="n">
        <x:f>O1260-P1260</x:f>
        <x:v>241.2</x:v>
      </x:c>
      <x:c r="R1260" s="11" t="n">
        <x:f>IF(D1260="Completed",I1260,0)</x:f>
        <x:v>2</x:v>
      </x:c>
      <x:c r="S1260" s="11" t="n">
        <x:f>IF(D1260="Completed",L1260,0)</x:f>
        <x:v>0</x:v>
      </x:c>
      <x:c r="T1260" s="8" t="n">
        <x:f>DATE(YEAR(C1260),MONTH(C1260),1)</x:f>
        <x:v>45717</x:v>
      </x:c>
    </x:row>
    <x:row r="1261" ht="22" customHeight="1">
      <x:c r="A1261" s="2" t="str">
        <x:v>L001257</x:v>
      </x:c>
      <x:c r="B1261" s="2" t="str">
        <x:v>O00510</x:v>
      </x:c>
      <x:c r="C1261" s="7" t="n">
        <x:v>45905</x:v>
      </x:c>
      <x:c r="D1261" s="2" t="str">
        <x:v>Completed</x:v>
      </x:c>
      <x:c r="E1261" s="2" t="str">
        <x:v>East</x:v>
      </x:c>
      <x:c r="F1261" s="2" t="str">
        <x:v>Store</x:v>
      </x:c>
      <x:c r="G1261" s="2" t="str">
        <x:v>Furniture</x:v>
      </x:c>
      <x:c r="H1261" s="2" t="str">
        <x:v>Chair 006</x:v>
      </x:c>
      <x:c r="I1261" s="11" t="n">
        <x:v>4</x:v>
      </x:c>
      <x:c r="J1261" s="9" t="n">
        <x:v>196</x:v>
      </x:c>
      <x:c r="K1261" s="10" t="n">
        <x:v>0.05</x:v>
      </x:c>
      <x:c r="L1261" s="11" t="n">
        <x:v>0</x:v>
      </x:c>
      <x:c r="M1261" s="9" t="n">
        <x:f>IF(D1261="Completed",I1261*J1261,0)</x:f>
        <x:v>784</x:v>
      </x:c>
      <x:c r="N1261" s="9" t="n">
        <x:f>M1261*K1261</x:f>
        <x:v>39.2</x:v>
      </x:c>
      <x:c r="O1261" s="9" t="n">
        <x:f>M1261-N1261</x:f>
        <x:v>744.8</x:v>
      </x:c>
      <x:c r="P1261" s="9" t="n">
        <x:f>IF(D1261="Completed",L1261*J1261*(1-K1261),0)</x:f>
        <x:v>0</x:v>
      </x:c>
      <x:c r="Q1261" s="9" t="n">
        <x:f>O1261-P1261</x:f>
        <x:v>744.8</x:v>
      </x:c>
      <x:c r="R1261" s="11" t="n">
        <x:f>IF(D1261="Completed",I1261,0)</x:f>
        <x:v>4</x:v>
      </x:c>
      <x:c r="S1261" s="11" t="n">
        <x:f>IF(D1261="Completed",L1261,0)</x:f>
        <x:v>0</x:v>
      </x:c>
      <x:c r="T1261" s="8" t="n">
        <x:f>DATE(YEAR(C1261),MONTH(C1261),1)</x:f>
        <x:v>45901</x:v>
      </x:c>
    </x:row>
    <x:row r="1262" ht="22" customHeight="1">
      <x:c r="A1262" s="2" t="str">
        <x:v>L001258</x:v>
      </x:c>
      <x:c r="B1262" s="2" t="str">
        <x:v>O00510</x:v>
      </x:c>
      <x:c r="C1262" s="7" t="n">
        <x:v>45905</x:v>
      </x:c>
      <x:c r="D1262" s="2" t="str">
        <x:v>Completed</x:v>
      </x:c>
      <x:c r="E1262" s="2" t="str">
        <x:v>East</x:v>
      </x:c>
      <x:c r="F1262" s="2" t="str">
        <x:v>Store</x:v>
      </x:c>
      <x:c r="G1262" s="2" t="str">
        <x:v>Furniture</x:v>
      </x:c>
      <x:c r="H1262" s="2" t="str">
        <x:v>Desk 008</x:v>
      </x:c>
      <x:c r="I1262" s="11" t="n">
        <x:v>2</x:v>
      </x:c>
      <x:c r="J1262" s="9" t="n">
        <x:v>188</x:v>
      </x:c>
      <x:c r="K1262" s="10" t="n">
        <x:v>0.1</x:v>
      </x:c>
      <x:c r="L1262" s="11" t="n">
        <x:v>1</x:v>
      </x:c>
      <x:c r="M1262" s="9" t="n">
        <x:f>IF(D1262="Completed",I1262*J1262,0)</x:f>
        <x:v>376</x:v>
      </x:c>
      <x:c r="N1262" s="9" t="n">
        <x:f>M1262*K1262</x:f>
        <x:v>37.6</x:v>
      </x:c>
      <x:c r="O1262" s="9" t="n">
        <x:f>M1262-N1262</x:f>
        <x:v>338.4</x:v>
      </x:c>
      <x:c r="P1262" s="9" t="n">
        <x:f>IF(D1262="Completed",L1262*J1262*(1-K1262),0)</x:f>
        <x:v>169.20000000000002</x:v>
      </x:c>
      <x:c r="Q1262" s="9" t="n">
        <x:f>O1262-P1262</x:f>
        <x:v>169.19999999999996</x:v>
      </x:c>
      <x:c r="R1262" s="11" t="n">
        <x:f>IF(D1262="Completed",I1262,0)</x:f>
        <x:v>2</x:v>
      </x:c>
      <x:c r="S1262" s="11" t="n">
        <x:f>IF(D1262="Completed",L1262,0)</x:f>
        <x:v>1</x:v>
      </x:c>
      <x:c r="T1262" s="8" t="n">
        <x:f>DATE(YEAR(C1262),MONTH(C1262),1)</x:f>
        <x:v>45901</x:v>
      </x:c>
    </x:row>
    <x:row r="1263" ht="22" customHeight="1">
      <x:c r="A1263" s="2" t="str">
        <x:v>L001259</x:v>
      </x:c>
      <x:c r="B1263" s="2" t="str">
        <x:v>O00511</x:v>
      </x:c>
      <x:c r="C1263" s="7" t="n">
        <x:v>45926</x:v>
      </x:c>
      <x:c r="D1263" s="2" t="str">
        <x:v>Completed</x:v>
      </x:c>
      <x:c r="E1263" s="2" t="str">
        <x:v>South</x:v>
      </x:c>
      <x:c r="F1263" s="2" t="str">
        <x:v>Online</x:v>
      </x:c>
      <x:c r="G1263" s="2" t="str">
        <x:v>Furniture</x:v>
      </x:c>
      <x:c r="H1263" s="2" t="str">
        <x:v>Desk 012</x:v>
      </x:c>
      <x:c r="I1263" s="11" t="n">
        <x:v>1</x:v>
      </x:c>
      <x:c r="J1263" s="9" t="n">
        <x:v>134</x:v>
      </x:c>
      <x:c r="K1263" s="10" t="n">
        <x:v>0.05</x:v>
      </x:c>
      <x:c r="L1263" s="11" t="n">
        <x:v>0</x:v>
      </x:c>
      <x:c r="M1263" s="9" t="n">
        <x:f>IF(D1263="Completed",I1263*J1263,0)</x:f>
        <x:v>134</x:v>
      </x:c>
      <x:c r="N1263" s="9" t="n">
        <x:f>M1263*K1263</x:f>
        <x:v>6.7</x:v>
      </x:c>
      <x:c r="O1263" s="9" t="n">
        <x:f>M1263-N1263</x:f>
        <x:v>127.3</x:v>
      </x:c>
      <x:c r="P1263" s="9" t="n">
        <x:f>IF(D1263="Completed",L1263*J1263*(1-K1263),0)</x:f>
        <x:v>0</x:v>
      </x:c>
      <x:c r="Q1263" s="9" t="n">
        <x:f>O1263-P1263</x:f>
        <x:v>127.3</x:v>
      </x:c>
      <x:c r="R1263" s="11" t="n">
        <x:f>IF(D1263="Completed",I1263,0)</x:f>
        <x:v>1</x:v>
      </x:c>
      <x:c r="S1263" s="11" t="n">
        <x:f>IF(D1263="Completed",L1263,0)</x:f>
        <x:v>0</x:v>
      </x:c>
      <x:c r="T1263" s="8" t="n">
        <x:f>DATE(YEAR(C1263),MONTH(C1263),1)</x:f>
        <x:v>45901</x:v>
      </x:c>
    </x:row>
    <x:row r="1264" ht="22" customHeight="1">
      <x:c r="A1264" s="2" t="str">
        <x:v>L001260</x:v>
      </x:c>
      <x:c r="B1264" s="2" t="str">
        <x:v>O00511</x:v>
      </x:c>
      <x:c r="C1264" s="7" t="n">
        <x:v>45926</x:v>
      </x:c>
      <x:c r="D1264" s="2" t="str">
        <x:v>Completed</x:v>
      </x:c>
      <x:c r="E1264" s="2" t="str">
        <x:v>South</x:v>
      </x:c>
      <x:c r="F1264" s="2" t="str">
        <x:v>Online</x:v>
      </x:c>
      <x:c r="G1264" s="2" t="str">
        <x:v>Furniture</x:v>
      </x:c>
      <x:c r="H1264" s="2" t="str">
        <x:v>Desk 020</x:v>
      </x:c>
      <x:c r="I1264" s="11" t="n">
        <x:v>5</x:v>
      </x:c>
      <x:c r="J1264" s="9" t="n">
        <x:v>189</x:v>
      </x:c>
      <x:c r="K1264" s="10" t="n">
        <x:v>0</x:v>
      </x:c>
      <x:c r="L1264" s="11" t="n">
        <x:v>0</x:v>
      </x:c>
      <x:c r="M1264" s="9" t="n">
        <x:f>IF(D1264="Completed",I1264*J1264,0)</x:f>
        <x:v>945</x:v>
      </x:c>
      <x:c r="N1264" s="9" t="n">
        <x:f>M1264*K1264</x:f>
        <x:v>0</x:v>
      </x:c>
      <x:c r="O1264" s="9" t="n">
        <x:f>M1264-N1264</x:f>
        <x:v>945</x:v>
      </x:c>
      <x:c r="P1264" s="9" t="n">
        <x:f>IF(D1264="Completed",L1264*J1264*(1-K1264),0)</x:f>
        <x:v>0</x:v>
      </x:c>
      <x:c r="Q1264" s="9" t="n">
        <x:f>O1264-P1264</x:f>
        <x:v>945</x:v>
      </x:c>
      <x:c r="R1264" s="11" t="n">
        <x:f>IF(D1264="Completed",I1264,0)</x:f>
        <x:v>5</x:v>
      </x:c>
      <x:c r="S1264" s="11" t="n">
        <x:f>IF(D1264="Completed",L1264,0)</x:f>
        <x:v>0</x:v>
      </x:c>
      <x:c r="T1264" s="8" t="n">
        <x:f>DATE(YEAR(C1264),MONTH(C1264),1)</x:f>
        <x:v>45901</x:v>
      </x:c>
    </x:row>
    <x:row r="1265" ht="22" customHeight="1">
      <x:c r="A1265" s="2" t="str">
        <x:v>L001261</x:v>
      </x:c>
      <x:c r="B1265" s="2" t="str">
        <x:v>O00511</x:v>
      </x:c>
      <x:c r="C1265" s="7" t="n">
        <x:v>45926</x:v>
      </x:c>
      <x:c r="D1265" s="2" t="str">
        <x:v>Completed</x:v>
      </x:c>
      <x:c r="E1265" s="2" t="str">
        <x:v>South</x:v>
      </x:c>
      <x:c r="F1265" s="2" t="str">
        <x:v>Online</x:v>
      </x:c>
      <x:c r="G1265" s="2" t="str">
        <x:v>Storage</x:v>
      </x:c>
      <x:c r="H1265" s="2" t="str">
        <x:v>Shelf 019</x:v>
      </x:c>
      <x:c r="I1265" s="11" t="n">
        <x:v>3</x:v>
      </x:c>
      <x:c r="J1265" s="9" t="n">
        <x:v>78</x:v>
      </x:c>
      <x:c r="K1265" s="10" t="n">
        <x:v>0.2</x:v>
      </x:c>
      <x:c r="L1265" s="11" t="n">
        <x:v>0</x:v>
      </x:c>
      <x:c r="M1265" s="9" t="n">
        <x:f>IF(D1265="Completed",I1265*J1265,0)</x:f>
        <x:v>234</x:v>
      </x:c>
      <x:c r="N1265" s="9" t="n">
        <x:f>M1265*K1265</x:f>
        <x:v>46.800000000000004</x:v>
      </x:c>
      <x:c r="O1265" s="9" t="n">
        <x:f>M1265-N1265</x:f>
        <x:v>187.2</x:v>
      </x:c>
      <x:c r="P1265" s="9" t="n">
        <x:f>IF(D1265="Completed",L1265*J1265*(1-K1265),0)</x:f>
        <x:v>0</x:v>
      </x:c>
      <x:c r="Q1265" s="9" t="n">
        <x:f>O1265-P1265</x:f>
        <x:v>187.2</x:v>
      </x:c>
      <x:c r="R1265" s="11" t="n">
        <x:f>IF(D1265="Completed",I1265,0)</x:f>
        <x:v>3</x:v>
      </x:c>
      <x:c r="S1265" s="11" t="n">
        <x:f>IF(D1265="Completed",L1265,0)</x:f>
        <x:v>0</x:v>
      </x:c>
      <x:c r="T1265" s="8" t="n">
        <x:f>DATE(YEAR(C1265),MONTH(C1265),1)</x:f>
        <x:v>45901</x:v>
      </x:c>
    </x:row>
    <x:row r="1266" ht="22" customHeight="1">
      <x:c r="A1266" s="2" t="str">
        <x:v>L001262</x:v>
      </x:c>
      <x:c r="B1266" s="2" t="str">
        <x:v>O00511</x:v>
      </x:c>
      <x:c r="C1266" s="7" t="n">
        <x:v>45926</x:v>
      </x:c>
      <x:c r="D1266" s="2" t="str">
        <x:v>Completed</x:v>
      </x:c>
      <x:c r="E1266" s="2" t="str">
        <x:v>South</x:v>
      </x:c>
      <x:c r="F1266" s="2" t="str">
        <x:v>Online</x:v>
      </x:c>
      <x:c r="G1266" s="2" t="str">
        <x:v>Furniture</x:v>
      </x:c>
      <x:c r="H1266" s="2" t="str">
        <x:v>Desk 020</x:v>
      </x:c>
      <x:c r="I1266" s="11" t="n">
        <x:v>1</x:v>
      </x:c>
      <x:c r="J1266" s="9" t="n">
        <x:v>189</x:v>
      </x:c>
      <x:c r="K1266" s="10" t="n">
        <x:v>0.05</x:v>
      </x:c>
      <x:c r="L1266" s="11" t="n">
        <x:v>0</x:v>
      </x:c>
      <x:c r="M1266" s="9" t="n">
        <x:f>IF(D1266="Completed",I1266*J1266,0)</x:f>
        <x:v>189</x:v>
      </x:c>
      <x:c r="N1266" s="9" t="n">
        <x:f>M1266*K1266</x:f>
        <x:v>9.450000000000001</x:v>
      </x:c>
      <x:c r="O1266" s="9" t="n">
        <x:f>M1266-N1266</x:f>
        <x:v>179.55</x:v>
      </x:c>
      <x:c r="P1266" s="9" t="n">
        <x:f>IF(D1266="Completed",L1266*J1266*(1-K1266),0)</x:f>
        <x:v>0</x:v>
      </x:c>
      <x:c r="Q1266" s="9" t="n">
        <x:f>O1266-P1266</x:f>
        <x:v>179.55</x:v>
      </x:c>
      <x:c r="R1266" s="11" t="n">
        <x:f>IF(D1266="Completed",I1266,0)</x:f>
        <x:v>1</x:v>
      </x:c>
      <x:c r="S1266" s="11" t="n">
        <x:f>IF(D1266="Completed",L1266,0)</x:f>
        <x:v>0</x:v>
      </x:c>
      <x:c r="T1266" s="8" t="n">
        <x:f>DATE(YEAR(C1266),MONTH(C1266),1)</x:f>
        <x:v>45901</x:v>
      </x:c>
    </x:row>
    <x:row r="1267" ht="22" customHeight="1">
      <x:c r="A1267" s="2" t="str">
        <x:v>L001263</x:v>
      </x:c>
      <x:c r="B1267" s="2" t="str">
        <x:v>O00512</x:v>
      </x:c>
      <x:c r="C1267" s="7" t="n">
        <x:v>45824</x:v>
      </x:c>
      <x:c r="D1267" s="2" t="str">
        <x:v>Completed</x:v>
      </x:c>
      <x:c r="E1267" s="2" t="str">
        <x:v>East</x:v>
      </x:c>
      <x:c r="F1267" s="2" t="str">
        <x:v>Store</x:v>
      </x:c>
      <x:c r="G1267" s="2" t="str">
        <x:v>Furniture</x:v>
      </x:c>
      <x:c r="H1267" s="2" t="str">
        <x:v>Desk 004</x:v>
      </x:c>
      <x:c r="I1267" s="11" t="n">
        <x:v>4</x:v>
      </x:c>
      <x:c r="J1267" s="9" t="n">
        <x:v>123</x:v>
      </x:c>
      <x:c r="K1267" s="10" t="n">
        <x:v>0.05</x:v>
      </x:c>
      <x:c r="L1267" s="11" t="n">
        <x:v>0</x:v>
      </x:c>
      <x:c r="M1267" s="9" t="n">
        <x:f>IF(D1267="Completed",I1267*J1267,0)</x:f>
        <x:v>492</x:v>
      </x:c>
      <x:c r="N1267" s="9" t="n">
        <x:f>M1267*K1267</x:f>
        <x:v>24.6</x:v>
      </x:c>
      <x:c r="O1267" s="9" t="n">
        <x:f>M1267-N1267</x:f>
        <x:v>467.4</x:v>
      </x:c>
      <x:c r="P1267" s="9" t="n">
        <x:f>IF(D1267="Completed",L1267*J1267*(1-K1267),0)</x:f>
        <x:v>0</x:v>
      </x:c>
      <x:c r="Q1267" s="9" t="n">
        <x:f>O1267-P1267</x:f>
        <x:v>467.4</x:v>
      </x:c>
      <x:c r="R1267" s="11" t="n">
        <x:f>IF(D1267="Completed",I1267,0)</x:f>
        <x:v>4</x:v>
      </x:c>
      <x:c r="S1267" s="11" t="n">
        <x:f>IF(D1267="Completed",L1267,0)</x:f>
        <x:v>0</x:v>
      </x:c>
      <x:c r="T1267" s="8" t="n">
        <x:f>DATE(YEAR(C1267),MONTH(C1267),1)</x:f>
        <x:v>45809</x:v>
      </x:c>
    </x:row>
    <x:row r="1268" ht="22" customHeight="1">
      <x:c r="A1268" s="2" t="str">
        <x:v>L001264</x:v>
      </x:c>
      <x:c r="B1268" s="2" t="str">
        <x:v>O00512</x:v>
      </x:c>
      <x:c r="C1268" s="7" t="n">
        <x:v>45824</x:v>
      </x:c>
      <x:c r="D1268" s="2" t="str">
        <x:v>Completed</x:v>
      </x:c>
      <x:c r="E1268" s="2" t="str">
        <x:v>East</x:v>
      </x:c>
      <x:c r="F1268" s="2" t="str">
        <x:v>Store</x:v>
      </x:c>
      <x:c r="G1268" s="2" t="str">
        <x:v>Storage</x:v>
      </x:c>
      <x:c r="H1268" s="2" t="str">
        <x:v>Shelf 023</x:v>
      </x:c>
      <x:c r="I1268" s="11" t="n">
        <x:v>1</x:v>
      </x:c>
      <x:c r="J1268" s="9" t="n">
        <x:v>68</x:v>
      </x:c>
      <x:c r="K1268" s="10" t="n">
        <x:v>0</x:v>
      </x:c>
      <x:c r="L1268" s="11" t="n">
        <x:v>0</x:v>
      </x:c>
      <x:c r="M1268" s="9" t="n">
        <x:f>IF(D1268="Completed",I1268*J1268,0)</x:f>
        <x:v>68</x:v>
      </x:c>
      <x:c r="N1268" s="9" t="n">
        <x:f>M1268*K1268</x:f>
        <x:v>0</x:v>
      </x:c>
      <x:c r="O1268" s="9" t="n">
        <x:f>M1268-N1268</x:f>
        <x:v>68</x:v>
      </x:c>
      <x:c r="P1268" s="9" t="n">
        <x:f>IF(D1268="Completed",L1268*J1268*(1-K1268),0)</x:f>
        <x:v>0</x:v>
      </x:c>
      <x:c r="Q1268" s="9" t="n">
        <x:f>O1268-P1268</x:f>
        <x:v>68</x:v>
      </x:c>
      <x:c r="R1268" s="11" t="n">
        <x:f>IF(D1268="Completed",I1268,0)</x:f>
        <x:v>1</x:v>
      </x:c>
      <x:c r="S1268" s="11" t="n">
        <x:f>IF(D1268="Completed",L1268,0)</x:f>
        <x:v>0</x:v>
      </x:c>
      <x:c r="T1268" s="8" t="n">
        <x:f>DATE(YEAR(C1268),MONTH(C1268),1)</x:f>
        <x:v>45809</x:v>
      </x:c>
    </x:row>
    <x:row r="1269" ht="22" customHeight="1">
      <x:c r="A1269" s="2" t="str">
        <x:v>L001265</x:v>
      </x:c>
      <x:c r="B1269" s="2" t="str">
        <x:v>O00513</x:v>
      </x:c>
      <x:c r="C1269" s="7" t="n">
        <x:v>46000</x:v>
      </x:c>
      <x:c r="D1269" s="2" t="str">
        <x:v>Completed</x:v>
      </x:c>
      <x:c r="E1269" s="2" t="str">
        <x:v>South</x:v>
      </x:c>
      <x:c r="F1269" s="2" t="str">
        <x:v>Store</x:v>
      </x:c>
      <x:c r="G1269" s="2" t="str">
        <x:v>Storage</x:v>
      </x:c>
      <x:c r="H1269" s="2" t="str">
        <x:v>Shelf 003</x:v>
      </x:c>
      <x:c r="I1269" s="11" t="n">
        <x:v>3</x:v>
      </x:c>
      <x:c r="J1269" s="9" t="n">
        <x:v>199</x:v>
      </x:c>
      <x:c r="K1269" s="10" t="n">
        <x:v>0.05</x:v>
      </x:c>
      <x:c r="L1269" s="11" t="n">
        <x:v>0</x:v>
      </x:c>
      <x:c r="M1269" s="9" t="n">
        <x:f>IF(D1269="Completed",I1269*J1269,0)</x:f>
        <x:v>597</x:v>
      </x:c>
      <x:c r="N1269" s="9" t="n">
        <x:f>M1269*K1269</x:f>
        <x:v>29.85</x:v>
      </x:c>
      <x:c r="O1269" s="9" t="n">
        <x:f>M1269-N1269</x:f>
        <x:v>567.15</x:v>
      </x:c>
      <x:c r="P1269" s="9" t="n">
        <x:f>IF(D1269="Completed",L1269*J1269*(1-K1269),0)</x:f>
        <x:v>0</x:v>
      </x:c>
      <x:c r="Q1269" s="9" t="n">
        <x:f>O1269-P1269</x:f>
        <x:v>567.15</x:v>
      </x:c>
      <x:c r="R1269" s="11" t="n">
        <x:f>IF(D1269="Completed",I1269,0)</x:f>
        <x:v>3</x:v>
      </x:c>
      <x:c r="S1269" s="11" t="n">
        <x:f>IF(D1269="Completed",L1269,0)</x:f>
        <x:v>0</x:v>
      </x:c>
      <x:c r="T1269" s="8" t="n">
        <x:f>DATE(YEAR(C1269),MONTH(C1269),1)</x:f>
        <x:v>45992</x:v>
      </x:c>
    </x:row>
    <x:row r="1270" ht="22" customHeight="1">
      <x:c r="A1270" s="2" t="str">
        <x:v>L001266</x:v>
      </x:c>
      <x:c r="B1270" s="2" t="str">
        <x:v>O00513</x:v>
      </x:c>
      <x:c r="C1270" s="7" t="n">
        <x:v>46000</x:v>
      </x:c>
      <x:c r="D1270" s="2" t="str">
        <x:v>Completed</x:v>
      </x:c>
      <x:c r="E1270" s="2" t="str">
        <x:v>South</x:v>
      </x:c>
      <x:c r="F1270" s="2" t="str">
        <x:v>Store</x:v>
      </x:c>
      <x:c r="G1270" s="2" t="str">
        <x:v>Furniture</x:v>
      </x:c>
      <x:c r="H1270" s="2" t="str">
        <x:v>Chair 002</x:v>
      </x:c>
      <x:c r="I1270" s="11" t="n">
        <x:v>5</x:v>
      </x:c>
      <x:c r="J1270" s="9" t="n">
        <x:v>284</x:v>
      </x:c>
      <x:c r="K1270" s="10" t="n">
        <x:v>0.1</x:v>
      </x:c>
      <x:c r="L1270" s="11" t="n">
        <x:v>0</x:v>
      </x:c>
      <x:c r="M1270" s="9" t="n">
        <x:f>IF(D1270="Completed",I1270*J1270,0)</x:f>
        <x:v>1420</x:v>
      </x:c>
      <x:c r="N1270" s="9" t="n">
        <x:f>M1270*K1270</x:f>
        <x:v>142</x:v>
      </x:c>
      <x:c r="O1270" s="9" t="n">
        <x:f>M1270-N1270</x:f>
        <x:v>1278</x:v>
      </x:c>
      <x:c r="P1270" s="9" t="n">
        <x:f>IF(D1270="Completed",L1270*J1270*(1-K1270),0)</x:f>
        <x:v>0</x:v>
      </x:c>
      <x:c r="Q1270" s="9" t="n">
        <x:f>O1270-P1270</x:f>
        <x:v>1278</x:v>
      </x:c>
      <x:c r="R1270" s="11" t="n">
        <x:f>IF(D1270="Completed",I1270,0)</x:f>
        <x:v>5</x:v>
      </x:c>
      <x:c r="S1270" s="11" t="n">
        <x:f>IF(D1270="Completed",L1270,0)</x:f>
        <x:v>0</x:v>
      </x:c>
      <x:c r="T1270" s="8" t="n">
        <x:f>DATE(YEAR(C1270),MONTH(C1270),1)</x:f>
        <x:v>45992</x:v>
      </x:c>
    </x:row>
    <x:row r="1271" ht="22" customHeight="1">
      <x:c r="A1271" s="2" t="str">
        <x:v>L001267</x:v>
      </x:c>
      <x:c r="B1271" s="2" t="str">
        <x:v>O00513</x:v>
      </x:c>
      <x:c r="C1271" s="7" t="n">
        <x:v>46000</x:v>
      </x:c>
      <x:c r="D1271" s="2" t="str">
        <x:v>Completed</x:v>
      </x:c>
      <x:c r="E1271" s="2" t="str">
        <x:v>South</x:v>
      </x:c>
      <x:c r="F1271" s="2" t="str">
        <x:v>Store</x:v>
      </x:c>
      <x:c r="G1271" s="2" t="str">
        <x:v>Furniture</x:v>
      </x:c>
      <x:c r="H1271" s="2" t="str">
        <x:v>Chair 018</x:v>
      </x:c>
      <x:c r="I1271" s="11" t="n">
        <x:v>3</x:v>
      </x:c>
      <x:c r="J1271" s="9" t="n">
        <x:v>269</x:v>
      </x:c>
      <x:c r="K1271" s="10" t="n">
        <x:v>0.05</x:v>
      </x:c>
      <x:c r="L1271" s="11" t="n">
        <x:v>0</x:v>
      </x:c>
      <x:c r="M1271" s="9" t="n">
        <x:f>IF(D1271="Completed",I1271*J1271,0)</x:f>
        <x:v>807</x:v>
      </x:c>
      <x:c r="N1271" s="9" t="n">
        <x:f>M1271*K1271</x:f>
        <x:v>40.35</x:v>
      </x:c>
      <x:c r="O1271" s="9" t="n">
        <x:f>M1271-N1271</x:f>
        <x:v>766.65</x:v>
      </x:c>
      <x:c r="P1271" s="9" t="n">
        <x:f>IF(D1271="Completed",L1271*J1271*(1-K1271),0)</x:f>
        <x:v>0</x:v>
      </x:c>
      <x:c r="Q1271" s="9" t="n">
        <x:f>O1271-P1271</x:f>
        <x:v>766.65</x:v>
      </x:c>
      <x:c r="R1271" s="11" t="n">
        <x:f>IF(D1271="Completed",I1271,0)</x:f>
        <x:v>3</x:v>
      </x:c>
      <x:c r="S1271" s="11" t="n">
        <x:f>IF(D1271="Completed",L1271,0)</x:f>
        <x:v>0</x:v>
      </x:c>
      <x:c r="T1271" s="8" t="n">
        <x:f>DATE(YEAR(C1271),MONTH(C1271),1)</x:f>
        <x:v>45992</x:v>
      </x:c>
    </x:row>
    <x:row r="1272" ht="22" customHeight="1">
      <x:c r="A1272" s="2" t="str">
        <x:v>L001268</x:v>
      </x:c>
      <x:c r="B1272" s="2" t="str">
        <x:v>O00513</x:v>
      </x:c>
      <x:c r="C1272" s="7" t="n">
        <x:v>46000</x:v>
      </x:c>
      <x:c r="D1272" s="2" t="str">
        <x:v>Completed</x:v>
      </x:c>
      <x:c r="E1272" s="2" t="str">
        <x:v>South</x:v>
      </x:c>
      <x:c r="F1272" s="2" t="str">
        <x:v>Store</x:v>
      </x:c>
      <x:c r="G1272" s="2" t="str">
        <x:v>Lighting</x:v>
      </x:c>
      <x:c r="H1272" s="2" t="str">
        <x:v>Lamp 021</x:v>
      </x:c>
      <x:c r="I1272" s="11" t="n">
        <x:v>3</x:v>
      </x:c>
      <x:c r="J1272" s="9" t="n">
        <x:v>249</x:v>
      </x:c>
      <x:c r="K1272" s="10" t="n">
        <x:v>0.05</x:v>
      </x:c>
      <x:c r="L1272" s="11" t="n">
        <x:v>0</x:v>
      </x:c>
      <x:c r="M1272" s="9" t="n">
        <x:f>IF(D1272="Completed",I1272*J1272,0)</x:f>
        <x:v>747</x:v>
      </x:c>
      <x:c r="N1272" s="9" t="n">
        <x:f>M1272*K1272</x:f>
        <x:v>37.35</x:v>
      </x:c>
      <x:c r="O1272" s="9" t="n">
        <x:f>M1272-N1272</x:f>
        <x:v>709.65</x:v>
      </x:c>
      <x:c r="P1272" s="9" t="n">
        <x:f>IF(D1272="Completed",L1272*J1272*(1-K1272),0)</x:f>
        <x:v>0</x:v>
      </x:c>
      <x:c r="Q1272" s="9" t="n">
        <x:f>O1272-P1272</x:f>
        <x:v>709.65</x:v>
      </x:c>
      <x:c r="R1272" s="11" t="n">
        <x:f>IF(D1272="Completed",I1272,0)</x:f>
        <x:v>3</x:v>
      </x:c>
      <x:c r="S1272" s="11" t="n">
        <x:f>IF(D1272="Completed",L1272,0)</x:f>
        <x:v>0</x:v>
      </x:c>
      <x:c r="T1272" s="8" t="n">
        <x:f>DATE(YEAR(C1272),MONTH(C1272),1)</x:f>
        <x:v>45992</x:v>
      </x:c>
    </x:row>
    <x:row r="1273" ht="22" customHeight="1">
      <x:c r="A1273" s="2" t="str">
        <x:v>L001269</x:v>
      </x:c>
      <x:c r="B1273" s="2" t="str">
        <x:v>O00514</x:v>
      </x:c>
      <x:c r="C1273" s="7" t="n">
        <x:v>45794</x:v>
      </x:c>
      <x:c r="D1273" s="2" t="str">
        <x:v>Completed</x:v>
      </x:c>
      <x:c r="E1273" s="2" t="str">
        <x:v>North</x:v>
      </x:c>
      <x:c r="F1273" s="2" t="str">
        <x:v>Store</x:v>
      </x:c>
      <x:c r="G1273" s="2" t="str">
        <x:v>Lighting</x:v>
      </x:c>
      <x:c r="H1273" s="2" t="str">
        <x:v>Lamp 021</x:v>
      </x:c>
      <x:c r="I1273" s="11" t="n">
        <x:v>1</x:v>
      </x:c>
      <x:c r="J1273" s="9" t="n">
        <x:v>249</x:v>
      </x:c>
      <x:c r="K1273" s="10" t="n">
        <x:v>0.1</x:v>
      </x:c>
      <x:c r="L1273" s="11" t="n">
        <x:v>0</x:v>
      </x:c>
      <x:c r="M1273" s="9" t="n">
        <x:f>IF(D1273="Completed",I1273*J1273,0)</x:f>
        <x:v>249</x:v>
      </x:c>
      <x:c r="N1273" s="9" t="n">
        <x:f>M1273*K1273</x:f>
        <x:v>24.900000000000002</x:v>
      </x:c>
      <x:c r="O1273" s="9" t="n">
        <x:f>M1273-N1273</x:f>
        <x:v>224.1</x:v>
      </x:c>
      <x:c r="P1273" s="9" t="n">
        <x:f>IF(D1273="Completed",L1273*J1273*(1-K1273),0)</x:f>
        <x:v>0</x:v>
      </x:c>
      <x:c r="Q1273" s="9" t="n">
        <x:f>O1273-P1273</x:f>
        <x:v>224.1</x:v>
      </x:c>
      <x:c r="R1273" s="11" t="n">
        <x:f>IF(D1273="Completed",I1273,0)</x:f>
        <x:v>1</x:v>
      </x:c>
      <x:c r="S1273" s="11" t="n">
        <x:f>IF(D1273="Completed",L1273,0)</x:f>
        <x:v>0</x:v>
      </x:c>
      <x:c r="T1273" s="8" t="n">
        <x:f>DATE(YEAR(C1273),MONTH(C1273),1)</x:f>
        <x:v>45778</x:v>
      </x:c>
    </x:row>
    <x:row r="1274" ht="22" customHeight="1">
      <x:c r="A1274" s="2" t="str">
        <x:v>L001270</x:v>
      </x:c>
      <x:c r="B1274" s="2" t="str">
        <x:v>O00514</x:v>
      </x:c>
      <x:c r="C1274" s="7" t="n">
        <x:v>45794</x:v>
      </x:c>
      <x:c r="D1274" s="2" t="str">
        <x:v>Completed</x:v>
      </x:c>
      <x:c r="E1274" s="2" t="str">
        <x:v>North</x:v>
      </x:c>
      <x:c r="F1274" s="2" t="str">
        <x:v>Store</x:v>
      </x:c>
      <x:c r="G1274" s="2" t="str">
        <x:v>Lighting</x:v>
      </x:c>
      <x:c r="H1274" s="2" t="str">
        <x:v>Lamp 021</x:v>
      </x:c>
      <x:c r="I1274" s="11" t="n">
        <x:v>2</x:v>
      </x:c>
      <x:c r="J1274" s="9" t="n">
        <x:v>249</x:v>
      </x:c>
      <x:c r="K1274" s="10" t="n">
        <x:v>0.1</x:v>
      </x:c>
      <x:c r="L1274" s="11" t="n">
        <x:v>0</x:v>
      </x:c>
      <x:c r="M1274" s="9" t="n">
        <x:f>IF(D1274="Completed",I1274*J1274,0)</x:f>
        <x:v>498</x:v>
      </x:c>
      <x:c r="N1274" s="9" t="n">
        <x:f>M1274*K1274</x:f>
        <x:v>49.800000000000004</x:v>
      </x:c>
      <x:c r="O1274" s="9" t="n">
        <x:f>M1274-N1274</x:f>
        <x:v>448.2</x:v>
      </x:c>
      <x:c r="P1274" s="9" t="n">
        <x:f>IF(D1274="Completed",L1274*J1274*(1-K1274),0)</x:f>
        <x:v>0</x:v>
      </x:c>
      <x:c r="Q1274" s="9" t="n">
        <x:f>O1274-P1274</x:f>
        <x:v>448.2</x:v>
      </x:c>
      <x:c r="R1274" s="11" t="n">
        <x:f>IF(D1274="Completed",I1274,0)</x:f>
        <x:v>2</x:v>
      </x:c>
      <x:c r="S1274" s="11" t="n">
        <x:f>IF(D1274="Completed",L1274,0)</x:f>
        <x:v>0</x:v>
      </x:c>
      <x:c r="T1274" s="8" t="n">
        <x:f>DATE(YEAR(C1274),MONTH(C1274),1)</x:f>
        <x:v>45778</x:v>
      </x:c>
    </x:row>
    <x:row r="1275" ht="22" customHeight="1">
      <x:c r="A1275" s="2" t="str">
        <x:v>L001271</x:v>
      </x:c>
      <x:c r="B1275" s="2" t="str">
        <x:v>O00515</x:v>
      </x:c>
      <x:c r="C1275" s="7" t="n">
        <x:v>45781</x:v>
      </x:c>
      <x:c r="D1275" s="2" t="str">
        <x:v>Completed</x:v>
      </x:c>
      <x:c r="E1275" s="2" t="str">
        <x:v>North</x:v>
      </x:c>
      <x:c r="F1275" s="2" t="str">
        <x:v>Online</x:v>
      </x:c>
      <x:c r="G1275" s="2" t="str">
        <x:v>Storage</x:v>
      </x:c>
      <x:c r="H1275" s="2" t="str">
        <x:v>Shelf 019</x:v>
      </x:c>
      <x:c r="I1275" s="11" t="n">
        <x:v>3</x:v>
      </x:c>
      <x:c r="J1275" s="9" t="n">
        <x:v>78</x:v>
      </x:c>
      <x:c r="K1275" s="10" t="n">
        <x:v>0.1</x:v>
      </x:c>
      <x:c r="L1275" s="11" t="n">
        <x:v>0</x:v>
      </x:c>
      <x:c r="M1275" s="9" t="n">
        <x:f>IF(D1275="Completed",I1275*J1275,0)</x:f>
        <x:v>234</x:v>
      </x:c>
      <x:c r="N1275" s="9" t="n">
        <x:f>M1275*K1275</x:f>
        <x:v>23.400000000000002</x:v>
      </x:c>
      <x:c r="O1275" s="9" t="n">
        <x:f>M1275-N1275</x:f>
        <x:v>210.6</x:v>
      </x:c>
      <x:c r="P1275" s="9" t="n">
        <x:f>IF(D1275="Completed",L1275*J1275*(1-K1275),0)</x:f>
        <x:v>0</x:v>
      </x:c>
      <x:c r="Q1275" s="9" t="n">
        <x:f>O1275-P1275</x:f>
        <x:v>210.6</x:v>
      </x:c>
      <x:c r="R1275" s="11" t="n">
        <x:f>IF(D1275="Completed",I1275,0)</x:f>
        <x:v>3</x:v>
      </x:c>
      <x:c r="S1275" s="11" t="n">
        <x:f>IF(D1275="Completed",L1275,0)</x:f>
        <x:v>0</x:v>
      </x:c>
      <x:c r="T1275" s="8" t="n">
        <x:f>DATE(YEAR(C1275),MONTH(C1275),1)</x:f>
        <x:v>45778</x:v>
      </x:c>
    </x:row>
    <x:row r="1276" ht="22" customHeight="1">
      <x:c r="A1276" s="2" t="str">
        <x:v>L001272</x:v>
      </x:c>
      <x:c r="B1276" s="2" t="str">
        <x:v>O00515</x:v>
      </x:c>
      <x:c r="C1276" s="7" t="n">
        <x:v>45781</x:v>
      </x:c>
      <x:c r="D1276" s="2" t="str">
        <x:v>Completed</x:v>
      </x:c>
      <x:c r="E1276" s="2" t="str">
        <x:v>North</x:v>
      </x:c>
      <x:c r="F1276" s="2" t="str">
        <x:v>Online</x:v>
      </x:c>
      <x:c r="G1276" s="2" t="str">
        <x:v>Furniture</x:v>
      </x:c>
      <x:c r="H1276" s="2" t="str">
        <x:v>Chair 014</x:v>
      </x:c>
      <x:c r="I1276" s="11" t="n">
        <x:v>3</x:v>
      </x:c>
      <x:c r="J1276" s="9" t="n">
        <x:v>294</x:v>
      </x:c>
      <x:c r="K1276" s="10" t="n">
        <x:v>0.2</x:v>
      </x:c>
      <x:c r="L1276" s="11" t="n">
        <x:v>0</x:v>
      </x:c>
      <x:c r="M1276" s="9" t="n">
        <x:f>IF(D1276="Completed",I1276*J1276,0)</x:f>
        <x:v>882</x:v>
      </x:c>
      <x:c r="N1276" s="9" t="n">
        <x:f>M1276*K1276</x:f>
        <x:v>176.4</x:v>
      </x:c>
      <x:c r="O1276" s="9" t="n">
        <x:f>M1276-N1276</x:f>
        <x:v>705.6</x:v>
      </x:c>
      <x:c r="P1276" s="9" t="n">
        <x:f>IF(D1276="Completed",L1276*J1276*(1-K1276),0)</x:f>
        <x:v>0</x:v>
      </x:c>
      <x:c r="Q1276" s="9" t="n">
        <x:f>O1276-P1276</x:f>
        <x:v>705.6</x:v>
      </x:c>
      <x:c r="R1276" s="11" t="n">
        <x:f>IF(D1276="Completed",I1276,0)</x:f>
        <x:v>3</x:v>
      </x:c>
      <x:c r="S1276" s="11" t="n">
        <x:f>IF(D1276="Completed",L1276,0)</x:f>
        <x:v>0</x:v>
      </x:c>
      <x:c r="T1276" s="8" t="n">
        <x:f>DATE(YEAR(C1276),MONTH(C1276),1)</x:f>
        <x:v>45778</x:v>
      </x:c>
    </x:row>
    <x:row r="1277" ht="22" customHeight="1">
      <x:c r="A1277" s="2" t="str">
        <x:v>L001273</x:v>
      </x:c>
      <x:c r="B1277" s="2" t="str">
        <x:v>O00515</x:v>
      </x:c>
      <x:c r="C1277" s="7" t="n">
        <x:v>45781</x:v>
      </x:c>
      <x:c r="D1277" s="2" t="str">
        <x:v>Completed</x:v>
      </x:c>
      <x:c r="E1277" s="2" t="str">
        <x:v>North</x:v>
      </x:c>
      <x:c r="F1277" s="2" t="str">
        <x:v>Online</x:v>
      </x:c>
      <x:c r="G1277" s="2" t="str">
        <x:v>Furniture</x:v>
      </x:c>
      <x:c r="H1277" s="2" t="str">
        <x:v>Chair 010</x:v>
      </x:c>
      <x:c r="I1277" s="11" t="n">
        <x:v>5</x:v>
      </x:c>
      <x:c r="J1277" s="9" t="n">
        <x:v>211</x:v>
      </x:c>
      <x:c r="K1277" s="10" t="n">
        <x:v>0.05</x:v>
      </x:c>
      <x:c r="L1277" s="11" t="n">
        <x:v>0</x:v>
      </x:c>
      <x:c r="M1277" s="9" t="n">
        <x:f>IF(D1277="Completed",I1277*J1277,0)</x:f>
        <x:v>1055</x:v>
      </x:c>
      <x:c r="N1277" s="9" t="n">
        <x:f>M1277*K1277</x:f>
        <x:v>52.75</x:v>
      </x:c>
      <x:c r="O1277" s="9" t="n">
        <x:f>M1277-N1277</x:f>
        <x:v>1002.25</x:v>
      </x:c>
      <x:c r="P1277" s="9" t="n">
        <x:f>IF(D1277="Completed",L1277*J1277*(1-K1277),0)</x:f>
        <x:v>0</x:v>
      </x:c>
      <x:c r="Q1277" s="9" t="n">
        <x:f>O1277-P1277</x:f>
        <x:v>1002.25</x:v>
      </x:c>
      <x:c r="R1277" s="11" t="n">
        <x:f>IF(D1277="Completed",I1277,0)</x:f>
        <x:v>5</x:v>
      </x:c>
      <x:c r="S1277" s="11" t="n">
        <x:f>IF(D1277="Completed",L1277,0)</x:f>
        <x:v>0</x:v>
      </x:c>
      <x:c r="T1277" s="8" t="n">
        <x:f>DATE(YEAR(C1277),MONTH(C1277),1)</x:f>
        <x:v>45778</x:v>
      </x:c>
    </x:row>
    <x:row r="1278" ht="22" customHeight="1">
      <x:c r="A1278" s="2" t="str">
        <x:v>L001274</x:v>
      </x:c>
      <x:c r="B1278" s="2" t="str">
        <x:v>O00515</x:v>
      </x:c>
      <x:c r="C1278" s="7" t="n">
        <x:v>45781</x:v>
      </x:c>
      <x:c r="D1278" s="2" t="str">
        <x:v>Completed</x:v>
      </x:c>
      <x:c r="E1278" s="2" t="str">
        <x:v>North</x:v>
      </x:c>
      <x:c r="F1278" s="2" t="str">
        <x:v>Online</x:v>
      </x:c>
      <x:c r="G1278" s="2" t="str">
        <x:v>Furniture</x:v>
      </x:c>
      <x:c r="H1278" s="2" t="str">
        <x:v>Desk 020</x:v>
      </x:c>
      <x:c r="I1278" s="11" t="n">
        <x:v>4</x:v>
      </x:c>
      <x:c r="J1278" s="9" t="n">
        <x:v>189</x:v>
      </x:c>
      <x:c r="K1278" s="10" t="n">
        <x:v>0</x:v>
      </x:c>
      <x:c r="L1278" s="11" t="n">
        <x:v>0</x:v>
      </x:c>
      <x:c r="M1278" s="9" t="n">
        <x:f>IF(D1278="Completed",I1278*J1278,0)</x:f>
        <x:v>756</x:v>
      </x:c>
      <x:c r="N1278" s="9" t="n">
        <x:f>M1278*K1278</x:f>
        <x:v>0</x:v>
      </x:c>
      <x:c r="O1278" s="9" t="n">
        <x:f>M1278-N1278</x:f>
        <x:v>756</x:v>
      </x:c>
      <x:c r="P1278" s="9" t="n">
        <x:f>IF(D1278="Completed",L1278*J1278*(1-K1278),0)</x:f>
        <x:v>0</x:v>
      </x:c>
      <x:c r="Q1278" s="9" t="n">
        <x:f>O1278-P1278</x:f>
        <x:v>756</x:v>
      </x:c>
      <x:c r="R1278" s="11" t="n">
        <x:f>IF(D1278="Completed",I1278,0)</x:f>
        <x:v>4</x:v>
      </x:c>
      <x:c r="S1278" s="11" t="n">
        <x:f>IF(D1278="Completed",L1278,0)</x:f>
        <x:v>0</x:v>
      </x:c>
      <x:c r="T1278" s="8" t="n">
        <x:f>DATE(YEAR(C1278),MONTH(C1278),1)</x:f>
        <x:v>45778</x:v>
      </x:c>
    </x:row>
    <x:row r="1279" ht="22" customHeight="1">
      <x:c r="A1279" s="2" t="str">
        <x:v>L001275</x:v>
      </x:c>
      <x:c r="B1279" s="2" t="str">
        <x:v>O00516</x:v>
      </x:c>
      <x:c r="C1279" s="7" t="n">
        <x:v>45792</x:v>
      </x:c>
      <x:c r="D1279" s="2" t="str">
        <x:v>Completed</x:v>
      </x:c>
      <x:c r="E1279" s="2" t="str">
        <x:v>West</x:v>
      </x:c>
      <x:c r="F1279" s="2" t="str">
        <x:v>Store</x:v>
      </x:c>
      <x:c r="G1279" s="2" t="str">
        <x:v>Furniture</x:v>
      </x:c>
      <x:c r="H1279" s="2" t="str">
        <x:v>Desk 024</x:v>
      </x:c>
      <x:c r="I1279" s="11" t="n">
        <x:v>4</x:v>
      </x:c>
      <x:c r="J1279" s="9" t="n">
        <x:v>81</x:v>
      </x:c>
      <x:c r="K1279" s="10" t="n">
        <x:v>0.2</x:v>
      </x:c>
      <x:c r="L1279" s="11" t="n">
        <x:v>0</x:v>
      </x:c>
      <x:c r="M1279" s="9" t="n">
        <x:f>IF(D1279="Completed",I1279*J1279,0)</x:f>
        <x:v>324</x:v>
      </x:c>
      <x:c r="N1279" s="9" t="n">
        <x:f>M1279*K1279</x:f>
        <x:v>64.8</x:v>
      </x:c>
      <x:c r="O1279" s="9" t="n">
        <x:f>M1279-N1279</x:f>
        <x:v>259.2</x:v>
      </x:c>
      <x:c r="P1279" s="9" t="n">
        <x:f>IF(D1279="Completed",L1279*J1279*(1-K1279),0)</x:f>
        <x:v>0</x:v>
      </x:c>
      <x:c r="Q1279" s="9" t="n">
        <x:f>O1279-P1279</x:f>
        <x:v>259.2</x:v>
      </x:c>
      <x:c r="R1279" s="11" t="n">
        <x:f>IF(D1279="Completed",I1279,0)</x:f>
        <x:v>4</x:v>
      </x:c>
      <x:c r="S1279" s="11" t="n">
        <x:f>IF(D1279="Completed",L1279,0)</x:f>
        <x:v>0</x:v>
      </x:c>
      <x:c r="T1279" s="8" t="n">
        <x:f>DATE(YEAR(C1279),MONTH(C1279),1)</x:f>
        <x:v>45778</x:v>
      </x:c>
    </x:row>
    <x:row r="1280" ht="22" customHeight="1">
      <x:c r="A1280" s="2" t="str">
        <x:v>L001276</x:v>
      </x:c>
      <x:c r="B1280" s="2" t="str">
        <x:v>O00516</x:v>
      </x:c>
      <x:c r="C1280" s="7" t="n">
        <x:v>45792</x:v>
      </x:c>
      <x:c r="D1280" s="2" t="str">
        <x:v>Completed</x:v>
      </x:c>
      <x:c r="E1280" s="2" t="str">
        <x:v>West</x:v>
      </x:c>
      <x:c r="F1280" s="2" t="str">
        <x:v>Store</x:v>
      </x:c>
      <x:c r="G1280" s="2" t="str">
        <x:v>Storage</x:v>
      </x:c>
      <x:c r="H1280" s="2" t="str">
        <x:v>Shelf 011</x:v>
      </x:c>
      <x:c r="I1280" s="11" t="n">
        <x:v>4</x:v>
      </x:c>
      <x:c r="J1280" s="9" t="n">
        <x:v>80</x:v>
      </x:c>
      <x:c r="K1280" s="10" t="n">
        <x:v>0.1</x:v>
      </x:c>
      <x:c r="L1280" s="11" t="n">
        <x:v>0</x:v>
      </x:c>
      <x:c r="M1280" s="9" t="n">
        <x:f>IF(D1280="Completed",I1280*J1280,0)</x:f>
        <x:v>320</x:v>
      </x:c>
      <x:c r="N1280" s="9" t="n">
        <x:f>M1280*K1280</x:f>
        <x:v>32</x:v>
      </x:c>
      <x:c r="O1280" s="9" t="n">
        <x:f>M1280-N1280</x:f>
        <x:v>288</x:v>
      </x:c>
      <x:c r="P1280" s="9" t="n">
        <x:f>IF(D1280="Completed",L1280*J1280*(1-K1280),0)</x:f>
        <x:v>0</x:v>
      </x:c>
      <x:c r="Q1280" s="9" t="n">
        <x:f>O1280-P1280</x:f>
        <x:v>288</x:v>
      </x:c>
      <x:c r="R1280" s="11" t="n">
        <x:f>IF(D1280="Completed",I1280,0)</x:f>
        <x:v>4</x:v>
      </x:c>
      <x:c r="S1280" s="11" t="n">
        <x:f>IF(D1280="Completed",L1280,0)</x:f>
        <x:v>0</x:v>
      </x:c>
      <x:c r="T1280" s="8" t="n">
        <x:f>DATE(YEAR(C1280),MONTH(C1280),1)</x:f>
        <x:v>45778</x:v>
      </x:c>
    </x:row>
    <x:row r="1281" ht="22" customHeight="1">
      <x:c r="A1281" s="2" t="str">
        <x:v>L001277</x:v>
      </x:c>
      <x:c r="B1281" s="2" t="str">
        <x:v>O00517</x:v>
      </x:c>
      <x:c r="C1281" s="7" t="n">
        <x:v>45812</x:v>
      </x:c>
      <x:c r="D1281" s="2" t="str">
        <x:v>Cancelled</x:v>
      </x:c>
      <x:c r="E1281" s="2" t="str">
        <x:v>West</x:v>
      </x:c>
      <x:c r="F1281" s="2" t="str">
        <x:v>Online</x:v>
      </x:c>
      <x:c r="G1281" s="2" t="str">
        <x:v>Furniture</x:v>
      </x:c>
      <x:c r="H1281" s="2" t="str">
        <x:v>Chair 022</x:v>
      </x:c>
      <x:c r="I1281" s="11" t="n">
        <x:v>3</x:v>
      </x:c>
      <x:c r="J1281" s="9" t="n">
        <x:v>134</x:v>
      </x:c>
      <x:c r="K1281" s="10" t="n">
        <x:v>0.05</x:v>
      </x:c>
      <x:c r="L1281" s="11" t="n">
        <x:v>0</x:v>
      </x:c>
      <x:c r="M1281" s="9" t="n">
        <x:f>IF(D1281="Completed",I1281*J1281,0)</x:f>
        <x:v>0</x:v>
      </x:c>
      <x:c r="N1281" s="9" t="n">
        <x:f>M1281*K1281</x:f>
        <x:v>0</x:v>
      </x:c>
      <x:c r="O1281" s="9" t="n">
        <x:f>M1281-N1281</x:f>
        <x:v>0</x:v>
      </x:c>
      <x:c r="P1281" s="9" t="n">
        <x:f>IF(D1281="Completed",L1281*J1281*(1-K1281),0)</x:f>
        <x:v>0</x:v>
      </x:c>
      <x:c r="Q1281" s="9" t="n">
        <x:f>O1281-P1281</x:f>
        <x:v>0</x:v>
      </x:c>
      <x:c r="R1281" s="11" t="n">
        <x:f>IF(D1281="Completed",I1281,0)</x:f>
        <x:v>0</x:v>
      </x:c>
      <x:c r="S1281" s="11" t="n">
        <x:f>IF(D1281="Completed",L1281,0)</x:f>
        <x:v>0</x:v>
      </x:c>
      <x:c r="T1281" s="8" t="n">
        <x:f>DATE(YEAR(C1281),MONTH(C1281),1)</x:f>
        <x:v>45809</x:v>
      </x:c>
    </x:row>
    <x:row r="1282" ht="22" customHeight="1">
      <x:c r="A1282" s="2" t="str">
        <x:v>L001278</x:v>
      </x:c>
      <x:c r="B1282" s="2" t="str">
        <x:v>O00518</x:v>
      </x:c>
      <x:c r="C1282" s="7" t="n">
        <x:v>45884</x:v>
      </x:c>
      <x:c r="D1282" s="2" t="str">
        <x:v>Completed</x:v>
      </x:c>
      <x:c r="E1282" s="2" t="str">
        <x:v>West</x:v>
      </x:c>
      <x:c r="F1282" s="2" t="str">
        <x:v>Store</x:v>
      </x:c>
      <x:c r="G1282" s="2" t="str">
        <x:v>Storage</x:v>
      </x:c>
      <x:c r="H1282" s="2" t="str">
        <x:v>Shelf 015</x:v>
      </x:c>
      <x:c r="I1282" s="11" t="n">
        <x:v>3</x:v>
      </x:c>
      <x:c r="J1282" s="9" t="n">
        <x:v>254</x:v>
      </x:c>
      <x:c r="K1282" s="10" t="n">
        <x:v>0</x:v>
      </x:c>
      <x:c r="L1282" s="11" t="n">
        <x:v>0</x:v>
      </x:c>
      <x:c r="M1282" s="9" t="n">
        <x:f>IF(D1282="Completed",I1282*J1282,0)</x:f>
        <x:v>762</x:v>
      </x:c>
      <x:c r="N1282" s="9" t="n">
        <x:f>M1282*K1282</x:f>
        <x:v>0</x:v>
      </x:c>
      <x:c r="O1282" s="9" t="n">
        <x:f>M1282-N1282</x:f>
        <x:v>762</x:v>
      </x:c>
      <x:c r="P1282" s="9" t="n">
        <x:f>IF(D1282="Completed",L1282*J1282*(1-K1282),0)</x:f>
        <x:v>0</x:v>
      </x:c>
      <x:c r="Q1282" s="9" t="n">
        <x:f>O1282-P1282</x:f>
        <x:v>762</x:v>
      </x:c>
      <x:c r="R1282" s="11" t="n">
        <x:f>IF(D1282="Completed",I1282,0)</x:f>
        <x:v>3</x:v>
      </x:c>
      <x:c r="S1282" s="11" t="n">
        <x:f>IF(D1282="Completed",L1282,0)</x:f>
        <x:v>0</x:v>
      </x:c>
      <x:c r="T1282" s="8" t="n">
        <x:f>DATE(YEAR(C1282),MONTH(C1282),1)</x:f>
        <x:v>45870</x:v>
      </x:c>
    </x:row>
    <x:row r="1283" ht="22" customHeight="1">
      <x:c r="A1283" s="2" t="str">
        <x:v>L001279</x:v>
      </x:c>
      <x:c r="B1283" s="2" t="str">
        <x:v>O00519</x:v>
      </x:c>
      <x:c r="C1283" s="7" t="n">
        <x:v>45687</x:v>
      </x:c>
      <x:c r="D1283" s="2" t="str">
        <x:v>Completed</x:v>
      </x:c>
      <x:c r="E1283" s="2" t="str">
        <x:v>West</x:v>
      </x:c>
      <x:c r="F1283" s="2" t="str">
        <x:v>Store</x:v>
      </x:c>
      <x:c r="G1283" s="2" t="str">
        <x:v>Lighting</x:v>
      </x:c>
      <x:c r="H1283" s="2" t="str">
        <x:v>Lamp 001</x:v>
      </x:c>
      <x:c r="I1283" s="11" t="n">
        <x:v>3</x:v>
      </x:c>
      <x:c r="J1283" s="9" t="n">
        <x:v>122</x:v>
      </x:c>
      <x:c r="K1283" s="10" t="n">
        <x:v>0.2</x:v>
      </x:c>
      <x:c r="L1283" s="11" t="n">
        <x:v>0</x:v>
      </x:c>
      <x:c r="M1283" s="9" t="n">
        <x:f>IF(D1283="Completed",I1283*J1283,0)</x:f>
        <x:v>366</x:v>
      </x:c>
      <x:c r="N1283" s="9" t="n">
        <x:f>M1283*K1283</x:f>
        <x:v>73.2</x:v>
      </x:c>
      <x:c r="O1283" s="9" t="n">
        <x:f>M1283-N1283</x:f>
        <x:v>292.8</x:v>
      </x:c>
      <x:c r="P1283" s="9" t="n">
        <x:f>IF(D1283="Completed",L1283*J1283*(1-K1283),0)</x:f>
        <x:v>0</x:v>
      </x:c>
      <x:c r="Q1283" s="9" t="n">
        <x:f>O1283-P1283</x:f>
        <x:v>292.8</x:v>
      </x:c>
      <x:c r="R1283" s="11" t="n">
        <x:f>IF(D1283="Completed",I1283,0)</x:f>
        <x:v>3</x:v>
      </x:c>
      <x:c r="S1283" s="11" t="n">
        <x:f>IF(D1283="Completed",L1283,0)</x:f>
        <x:v>0</x:v>
      </x:c>
      <x:c r="T1283" s="8" t="n">
        <x:f>DATE(YEAR(C1283),MONTH(C1283),1)</x:f>
        <x:v>45658</x:v>
      </x:c>
    </x:row>
    <x:row r="1284" ht="22" customHeight="1">
      <x:c r="A1284" s="2" t="str">
        <x:v>L001280</x:v>
      </x:c>
      <x:c r="B1284" s="2" t="str">
        <x:v>O00519</x:v>
      </x:c>
      <x:c r="C1284" s="7" t="n">
        <x:v>45687</x:v>
      </x:c>
      <x:c r="D1284" s="2" t="str">
        <x:v>Completed</x:v>
      </x:c>
      <x:c r="E1284" s="2" t="str">
        <x:v>West</x:v>
      </x:c>
      <x:c r="F1284" s="2" t="str">
        <x:v>Store</x:v>
      </x:c>
      <x:c r="G1284" s="2" t="str">
        <x:v>Lighting</x:v>
      </x:c>
      <x:c r="H1284" s="2" t="str">
        <x:v>Lamp 013</x:v>
      </x:c>
      <x:c r="I1284" s="11" t="n">
        <x:v>2</x:v>
      </x:c>
      <x:c r="J1284" s="9" t="n">
        <x:v>271</x:v>
      </x:c>
      <x:c r="K1284" s="10" t="n">
        <x:v>0.2</x:v>
      </x:c>
      <x:c r="L1284" s="11" t="n">
        <x:v>0</x:v>
      </x:c>
      <x:c r="M1284" s="9" t="n">
        <x:f>IF(D1284="Completed",I1284*J1284,0)</x:f>
        <x:v>542</x:v>
      </x:c>
      <x:c r="N1284" s="9" t="n">
        <x:f>M1284*K1284</x:f>
        <x:v>108.4</x:v>
      </x:c>
      <x:c r="O1284" s="9" t="n">
        <x:f>M1284-N1284</x:f>
        <x:v>433.6</x:v>
      </x:c>
      <x:c r="P1284" s="9" t="n">
        <x:f>IF(D1284="Completed",L1284*J1284*(1-K1284),0)</x:f>
        <x:v>0</x:v>
      </x:c>
      <x:c r="Q1284" s="9" t="n">
        <x:f>O1284-P1284</x:f>
        <x:v>433.6</x:v>
      </x:c>
      <x:c r="R1284" s="11" t="n">
        <x:f>IF(D1284="Completed",I1284,0)</x:f>
        <x:v>2</x:v>
      </x:c>
      <x:c r="S1284" s="11" t="n">
        <x:f>IF(D1284="Completed",L1284,0)</x:f>
        <x:v>0</x:v>
      </x:c>
      <x:c r="T1284" s="8" t="n">
        <x:f>DATE(YEAR(C1284),MONTH(C1284),1)</x:f>
        <x:v>45658</x:v>
      </x:c>
    </x:row>
    <x:row r="1285" ht="22" customHeight="1">
      <x:c r="A1285" s="2" t="str">
        <x:v>L001281</x:v>
      </x:c>
      <x:c r="B1285" s="2" t="str">
        <x:v>O00520</x:v>
      </x:c>
      <x:c r="C1285" s="7" t="n">
        <x:v>45905</x:v>
      </x:c>
      <x:c r="D1285" s="2" t="str">
        <x:v>Completed</x:v>
      </x:c>
      <x:c r="E1285" s="2" t="str">
        <x:v>East</x:v>
      </x:c>
      <x:c r="F1285" s="2" t="str">
        <x:v>Online</x:v>
      </x:c>
      <x:c r="G1285" s="2" t="str">
        <x:v>Furniture</x:v>
      </x:c>
      <x:c r="H1285" s="2" t="str">
        <x:v>Desk 024</x:v>
      </x:c>
      <x:c r="I1285" s="11" t="n">
        <x:v>1</x:v>
      </x:c>
      <x:c r="J1285" s="9" t="n">
        <x:v>81</x:v>
      </x:c>
      <x:c r="K1285" s="10" t="n">
        <x:v>0</x:v>
      </x:c>
      <x:c r="L1285" s="11" t="n">
        <x:v>0</x:v>
      </x:c>
      <x:c r="M1285" s="9" t="n">
        <x:f>IF(D1285="Completed",I1285*J1285,0)</x:f>
        <x:v>81</x:v>
      </x:c>
      <x:c r="N1285" s="9" t="n">
        <x:f>M1285*K1285</x:f>
        <x:v>0</x:v>
      </x:c>
      <x:c r="O1285" s="9" t="n">
        <x:f>M1285-N1285</x:f>
        <x:v>81</x:v>
      </x:c>
      <x:c r="P1285" s="9" t="n">
        <x:f>IF(D1285="Completed",L1285*J1285*(1-K1285),0)</x:f>
        <x:v>0</x:v>
      </x:c>
      <x:c r="Q1285" s="9" t="n">
        <x:f>O1285-P1285</x:f>
        <x:v>81</x:v>
      </x:c>
      <x:c r="R1285" s="11" t="n">
        <x:f>IF(D1285="Completed",I1285,0)</x:f>
        <x:v>1</x:v>
      </x:c>
      <x:c r="S1285" s="11" t="n">
        <x:f>IF(D1285="Completed",L1285,0)</x:f>
        <x:v>0</x:v>
      </x:c>
      <x:c r="T1285" s="8" t="n">
        <x:f>DATE(YEAR(C1285),MONTH(C1285),1)</x:f>
        <x:v>45901</x:v>
      </x:c>
    </x:row>
    <x:row r="1286" ht="22" customHeight="1">
      <x:c r="A1286" s="2" t="str">
        <x:v>L001282</x:v>
      </x:c>
      <x:c r="B1286" s="2" t="str">
        <x:v>O00520</x:v>
      </x:c>
      <x:c r="C1286" s="7" t="n">
        <x:v>45905</x:v>
      </x:c>
      <x:c r="D1286" s="2" t="str">
        <x:v>Completed</x:v>
      </x:c>
      <x:c r="E1286" s="2" t="str">
        <x:v>East</x:v>
      </x:c>
      <x:c r="F1286" s="2" t="str">
        <x:v>Online</x:v>
      </x:c>
      <x:c r="G1286" s="2" t="str">
        <x:v>Furniture</x:v>
      </x:c>
      <x:c r="H1286" s="2" t="str">
        <x:v>Desk 020</x:v>
      </x:c>
      <x:c r="I1286" s="11" t="n">
        <x:v>2</x:v>
      </x:c>
      <x:c r="J1286" s="9" t="n">
        <x:v>189</x:v>
      </x:c>
      <x:c r="K1286" s="10" t="n">
        <x:v>0.2</x:v>
      </x:c>
      <x:c r="L1286" s="11" t="n">
        <x:v>0</x:v>
      </x:c>
      <x:c r="M1286" s="9" t="n">
        <x:f>IF(D1286="Completed",I1286*J1286,0)</x:f>
        <x:v>378</x:v>
      </x:c>
      <x:c r="N1286" s="9" t="n">
        <x:f>M1286*K1286</x:f>
        <x:v>75.60000000000001</x:v>
      </x:c>
      <x:c r="O1286" s="9" t="n">
        <x:f>M1286-N1286</x:f>
        <x:v>302.4</x:v>
      </x:c>
      <x:c r="P1286" s="9" t="n">
        <x:f>IF(D1286="Completed",L1286*J1286*(1-K1286),0)</x:f>
        <x:v>0</x:v>
      </x:c>
      <x:c r="Q1286" s="9" t="n">
        <x:f>O1286-P1286</x:f>
        <x:v>302.4</x:v>
      </x:c>
      <x:c r="R1286" s="11" t="n">
        <x:f>IF(D1286="Completed",I1286,0)</x:f>
        <x:v>2</x:v>
      </x:c>
      <x:c r="S1286" s="11" t="n">
        <x:f>IF(D1286="Completed",L1286,0)</x:f>
        <x:v>0</x:v>
      </x:c>
      <x:c r="T1286" s="8" t="n">
        <x:f>DATE(YEAR(C1286),MONTH(C1286),1)</x:f>
        <x:v>45901</x:v>
      </x:c>
    </x:row>
    <x:row r="1287" ht="22" customHeight="1">
      <x:c r="A1287" s="2" t="str">
        <x:v>L001283</x:v>
      </x:c>
      <x:c r="B1287" s="2" t="str">
        <x:v>O00520</x:v>
      </x:c>
      <x:c r="C1287" s="7" t="n">
        <x:v>45905</x:v>
      </x:c>
      <x:c r="D1287" s="2" t="str">
        <x:v>Completed</x:v>
      </x:c>
      <x:c r="E1287" s="2" t="str">
        <x:v>East</x:v>
      </x:c>
      <x:c r="F1287" s="2" t="str">
        <x:v>Online</x:v>
      </x:c>
      <x:c r="G1287" s="2" t="str">
        <x:v>Furniture</x:v>
      </x:c>
      <x:c r="H1287" s="2" t="str">
        <x:v>Chair 014</x:v>
      </x:c>
      <x:c r="I1287" s="11" t="n">
        <x:v>1</x:v>
      </x:c>
      <x:c r="J1287" s="9" t="n">
        <x:v>294</x:v>
      </x:c>
      <x:c r="K1287" s="10" t="n">
        <x:v>0.2</x:v>
      </x:c>
      <x:c r="L1287" s="11" t="n">
        <x:v>0</x:v>
      </x:c>
      <x:c r="M1287" s="9" t="n">
        <x:f>IF(D1287="Completed",I1287*J1287,0)</x:f>
        <x:v>294</x:v>
      </x:c>
      <x:c r="N1287" s="9" t="n">
        <x:f>M1287*K1287</x:f>
        <x:v>58.800000000000004</x:v>
      </x:c>
      <x:c r="O1287" s="9" t="n">
        <x:f>M1287-N1287</x:f>
        <x:v>235.2</x:v>
      </x:c>
      <x:c r="P1287" s="9" t="n">
        <x:f>IF(D1287="Completed",L1287*J1287*(1-K1287),0)</x:f>
        <x:v>0</x:v>
      </x:c>
      <x:c r="Q1287" s="9" t="n">
        <x:f>O1287-P1287</x:f>
        <x:v>235.2</x:v>
      </x:c>
      <x:c r="R1287" s="11" t="n">
        <x:f>IF(D1287="Completed",I1287,0)</x:f>
        <x:v>1</x:v>
      </x:c>
      <x:c r="S1287" s="11" t="n">
        <x:f>IF(D1287="Completed",L1287,0)</x:f>
        <x:v>0</x:v>
      </x:c>
      <x:c r="T1287" s="8" t="n">
        <x:f>DATE(YEAR(C1287),MONTH(C1287),1)</x:f>
        <x:v>45901</x:v>
      </x:c>
    </x:row>
    <x:row r="1288" ht="22" customHeight="1">
      <x:c r="A1288" s="2" t="str">
        <x:v>L001284</x:v>
      </x:c>
      <x:c r="B1288" s="2" t="str">
        <x:v>O00520</x:v>
      </x:c>
      <x:c r="C1288" s="7" t="n">
        <x:v>45905</x:v>
      </x:c>
      <x:c r="D1288" s="2" t="str">
        <x:v>Completed</x:v>
      </x:c>
      <x:c r="E1288" s="2" t="str">
        <x:v>East</x:v>
      </x:c>
      <x:c r="F1288" s="2" t="str">
        <x:v>Online</x:v>
      </x:c>
      <x:c r="G1288" s="2" t="str">
        <x:v>Furniture</x:v>
      </x:c>
      <x:c r="H1288" s="2" t="str">
        <x:v>Chair 014</x:v>
      </x:c>
      <x:c r="I1288" s="11" t="n">
        <x:v>4</x:v>
      </x:c>
      <x:c r="J1288" s="9" t="n">
        <x:v>294</x:v>
      </x:c>
      <x:c r="K1288" s="10" t="n">
        <x:v>0.05</x:v>
      </x:c>
      <x:c r="L1288" s="11" t="n">
        <x:v>0</x:v>
      </x:c>
      <x:c r="M1288" s="9" t="n">
        <x:f>IF(D1288="Completed",I1288*J1288,0)</x:f>
        <x:v>1176</x:v>
      </x:c>
      <x:c r="N1288" s="9" t="n">
        <x:f>M1288*K1288</x:f>
        <x:v>58.800000000000004</x:v>
      </x:c>
      <x:c r="O1288" s="9" t="n">
        <x:f>M1288-N1288</x:f>
        <x:v>1117.2</x:v>
      </x:c>
      <x:c r="P1288" s="9" t="n">
        <x:f>IF(D1288="Completed",L1288*J1288*(1-K1288),0)</x:f>
        <x:v>0</x:v>
      </x:c>
      <x:c r="Q1288" s="9" t="n">
        <x:f>O1288-P1288</x:f>
        <x:v>1117.2</x:v>
      </x:c>
      <x:c r="R1288" s="11" t="n">
        <x:f>IF(D1288="Completed",I1288,0)</x:f>
        <x:v>4</x:v>
      </x:c>
      <x:c r="S1288" s="11" t="n">
        <x:f>IF(D1288="Completed",L1288,0)</x:f>
        <x:v>0</x:v>
      </x:c>
      <x:c r="T1288" s="8" t="n">
        <x:f>DATE(YEAR(C1288),MONTH(C1288),1)</x:f>
        <x:v>45901</x:v>
      </x:c>
    </x:row>
    <x:row r="1289" ht="22" customHeight="1">
      <x:c r="A1289" s="2" t="str">
        <x:v>L001285</x:v>
      </x:c>
      <x:c r="B1289" s="2" t="str">
        <x:v>O00521</x:v>
      </x:c>
      <x:c r="C1289" s="7" t="n">
        <x:v>45669</x:v>
      </x:c>
      <x:c r="D1289" s="2" t="str">
        <x:v>Completed</x:v>
      </x:c>
      <x:c r="E1289" s="2" t="str">
        <x:v>West</x:v>
      </x:c>
      <x:c r="F1289" s="2" t="str">
        <x:v>Online</x:v>
      </x:c>
      <x:c r="G1289" s="2" t="str">
        <x:v>Furniture</x:v>
      </x:c>
      <x:c r="H1289" s="2" t="str">
        <x:v>Chair 022</x:v>
      </x:c>
      <x:c r="I1289" s="11" t="n">
        <x:v>5</x:v>
      </x:c>
      <x:c r="J1289" s="9" t="n">
        <x:v>134</x:v>
      </x:c>
      <x:c r="K1289" s="10" t="n">
        <x:v>0.1</x:v>
      </x:c>
      <x:c r="L1289" s="11" t="n">
        <x:v>0</x:v>
      </x:c>
      <x:c r="M1289" s="9" t="n">
        <x:f>IF(D1289="Completed",I1289*J1289,0)</x:f>
        <x:v>670</x:v>
      </x:c>
      <x:c r="N1289" s="9" t="n">
        <x:f>M1289*K1289</x:f>
        <x:v>67</x:v>
      </x:c>
      <x:c r="O1289" s="9" t="n">
        <x:f>M1289-N1289</x:f>
        <x:v>603</x:v>
      </x:c>
      <x:c r="P1289" s="9" t="n">
        <x:f>IF(D1289="Completed",L1289*J1289*(1-K1289),0)</x:f>
        <x:v>0</x:v>
      </x:c>
      <x:c r="Q1289" s="9" t="n">
        <x:f>O1289-P1289</x:f>
        <x:v>603</x:v>
      </x:c>
      <x:c r="R1289" s="11" t="n">
        <x:f>IF(D1289="Completed",I1289,0)</x:f>
        <x:v>5</x:v>
      </x:c>
      <x:c r="S1289" s="11" t="n">
        <x:f>IF(D1289="Completed",L1289,0)</x:f>
        <x:v>0</x:v>
      </x:c>
      <x:c r="T1289" s="8" t="n">
        <x:f>DATE(YEAR(C1289),MONTH(C1289),1)</x:f>
        <x:v>45658</x:v>
      </x:c>
    </x:row>
    <x:row r="1290" ht="22" customHeight="1">
      <x:c r="A1290" s="2" t="str">
        <x:v>L001286</x:v>
      </x:c>
      <x:c r="B1290" s="2" t="str">
        <x:v>O00521</x:v>
      </x:c>
      <x:c r="C1290" s="7" t="n">
        <x:v>45669</x:v>
      </x:c>
      <x:c r="D1290" s="2" t="str">
        <x:v>Completed</x:v>
      </x:c>
      <x:c r="E1290" s="2" t="str">
        <x:v>West</x:v>
      </x:c>
      <x:c r="F1290" s="2" t="str">
        <x:v>Online</x:v>
      </x:c>
      <x:c r="G1290" s="2" t="str">
        <x:v>Lighting</x:v>
      </x:c>
      <x:c r="H1290" s="2" t="str">
        <x:v>Lamp 005</x:v>
      </x:c>
      <x:c r="I1290" s="11" t="n">
        <x:v>1</x:v>
      </x:c>
      <x:c r="J1290" s="9" t="n">
        <x:v>65</x:v>
      </x:c>
      <x:c r="K1290" s="10" t="n">
        <x:v>0.2</x:v>
      </x:c>
      <x:c r="L1290" s="11" t="n">
        <x:v>1</x:v>
      </x:c>
      <x:c r="M1290" s="9" t="n">
        <x:f>IF(D1290="Completed",I1290*J1290,0)</x:f>
        <x:v>65</x:v>
      </x:c>
      <x:c r="N1290" s="9" t="n">
        <x:f>M1290*K1290</x:f>
        <x:v>13</x:v>
      </x:c>
      <x:c r="O1290" s="9" t="n">
        <x:f>M1290-N1290</x:f>
        <x:v>52</x:v>
      </x:c>
      <x:c r="P1290" s="9" t="n">
        <x:f>IF(D1290="Completed",L1290*J1290*(1-K1290),0)</x:f>
        <x:v>52</x:v>
      </x:c>
      <x:c r="Q1290" s="9" t="n">
        <x:f>O1290-P1290</x:f>
        <x:v>0</x:v>
      </x:c>
      <x:c r="R1290" s="11" t="n">
        <x:f>IF(D1290="Completed",I1290,0)</x:f>
        <x:v>1</x:v>
      </x:c>
      <x:c r="S1290" s="11" t="n">
        <x:f>IF(D1290="Completed",L1290,0)</x:f>
        <x:v>1</x:v>
      </x:c>
      <x:c r="T1290" s="8" t="n">
        <x:f>DATE(YEAR(C1290),MONTH(C1290),1)</x:f>
        <x:v>45658</x:v>
      </x:c>
    </x:row>
    <x:row r="1291" ht="22" customHeight="1">
      <x:c r="A1291" s="2" t="str">
        <x:v>L001287</x:v>
      </x:c>
      <x:c r="B1291" s="2" t="str">
        <x:v>O00521</x:v>
      </x:c>
      <x:c r="C1291" s="7" t="n">
        <x:v>45669</x:v>
      </x:c>
      <x:c r="D1291" s="2" t="str">
        <x:v>Completed</x:v>
      </x:c>
      <x:c r="E1291" s="2" t="str">
        <x:v>West</x:v>
      </x:c>
      <x:c r="F1291" s="2" t="str">
        <x:v>Online</x:v>
      </x:c>
      <x:c r="G1291" s="2" t="str">
        <x:v>Lighting</x:v>
      </x:c>
      <x:c r="H1291" s="2" t="str">
        <x:v>Lamp 013</x:v>
      </x:c>
      <x:c r="I1291" s="11" t="n">
        <x:v>2</x:v>
      </x:c>
      <x:c r="J1291" s="9" t="n">
        <x:v>271</x:v>
      </x:c>
      <x:c r="K1291" s="10" t="n">
        <x:v>0</x:v>
      </x:c>
      <x:c r="L1291" s="11" t="n">
        <x:v>0</x:v>
      </x:c>
      <x:c r="M1291" s="9" t="n">
        <x:f>IF(D1291="Completed",I1291*J1291,0)</x:f>
        <x:v>542</x:v>
      </x:c>
      <x:c r="N1291" s="9" t="n">
        <x:f>M1291*K1291</x:f>
        <x:v>0</x:v>
      </x:c>
      <x:c r="O1291" s="9" t="n">
        <x:f>M1291-N1291</x:f>
        <x:v>542</x:v>
      </x:c>
      <x:c r="P1291" s="9" t="n">
        <x:f>IF(D1291="Completed",L1291*J1291*(1-K1291),0)</x:f>
        <x:v>0</x:v>
      </x:c>
      <x:c r="Q1291" s="9" t="n">
        <x:f>O1291-P1291</x:f>
        <x:v>542</x:v>
      </x:c>
      <x:c r="R1291" s="11" t="n">
        <x:f>IF(D1291="Completed",I1291,0)</x:f>
        <x:v>2</x:v>
      </x:c>
      <x:c r="S1291" s="11" t="n">
        <x:f>IF(D1291="Completed",L1291,0)</x:f>
        <x:v>0</x:v>
      </x:c>
      <x:c r="T1291" s="8" t="n">
        <x:f>DATE(YEAR(C1291),MONTH(C1291),1)</x:f>
        <x:v>45658</x:v>
      </x:c>
    </x:row>
    <x:row r="1292" ht="22" customHeight="1">
      <x:c r="A1292" s="2" t="str">
        <x:v>L001288</x:v>
      </x:c>
      <x:c r="B1292" s="2" t="str">
        <x:v>O00522</x:v>
      </x:c>
      <x:c r="C1292" s="7" t="n">
        <x:v>45858</x:v>
      </x:c>
      <x:c r="D1292" s="2" t="str">
        <x:v>Completed</x:v>
      </x:c>
      <x:c r="E1292" s="2" t="str">
        <x:v>North</x:v>
      </x:c>
      <x:c r="F1292" s="2" t="str">
        <x:v>Online</x:v>
      </x:c>
      <x:c r="G1292" s="2" t="str">
        <x:v>Furniture</x:v>
      </x:c>
      <x:c r="H1292" s="2" t="str">
        <x:v>Chair 022</x:v>
      </x:c>
      <x:c r="I1292" s="11" t="n">
        <x:v>1</x:v>
      </x:c>
      <x:c r="J1292" s="9" t="n">
        <x:v>134</x:v>
      </x:c>
      <x:c r="K1292" s="10" t="n">
        <x:v>0.05</x:v>
      </x:c>
      <x:c r="L1292" s="11" t="n">
        <x:v>0</x:v>
      </x:c>
      <x:c r="M1292" s="9" t="n">
        <x:f>IF(D1292="Completed",I1292*J1292,0)</x:f>
        <x:v>134</x:v>
      </x:c>
      <x:c r="N1292" s="9" t="n">
        <x:f>M1292*K1292</x:f>
        <x:v>6.7</x:v>
      </x:c>
      <x:c r="O1292" s="9" t="n">
        <x:f>M1292-N1292</x:f>
        <x:v>127.3</x:v>
      </x:c>
      <x:c r="P1292" s="9" t="n">
        <x:f>IF(D1292="Completed",L1292*J1292*(1-K1292),0)</x:f>
        <x:v>0</x:v>
      </x:c>
      <x:c r="Q1292" s="9" t="n">
        <x:f>O1292-P1292</x:f>
        <x:v>127.3</x:v>
      </x:c>
      <x:c r="R1292" s="11" t="n">
        <x:f>IF(D1292="Completed",I1292,0)</x:f>
        <x:v>1</x:v>
      </x:c>
      <x:c r="S1292" s="11" t="n">
        <x:f>IF(D1292="Completed",L1292,0)</x:f>
        <x:v>0</x:v>
      </x:c>
      <x:c r="T1292" s="8" t="n">
        <x:f>DATE(YEAR(C1292),MONTH(C1292),1)</x:f>
        <x:v>45839</x:v>
      </x:c>
    </x:row>
    <x:row r="1293" ht="22" customHeight="1">
      <x:c r="A1293" s="2" t="str">
        <x:v>L001289</x:v>
      </x:c>
      <x:c r="B1293" s="2" t="str">
        <x:v>O00522</x:v>
      </x:c>
      <x:c r="C1293" s="7" t="n">
        <x:v>45858</x:v>
      </x:c>
      <x:c r="D1293" s="2" t="str">
        <x:v>Completed</x:v>
      </x:c>
      <x:c r="E1293" s="2" t="str">
        <x:v>North</x:v>
      </x:c>
      <x:c r="F1293" s="2" t="str">
        <x:v>Online</x:v>
      </x:c>
      <x:c r="G1293" s="2" t="str">
        <x:v>Lighting</x:v>
      </x:c>
      <x:c r="H1293" s="2" t="str">
        <x:v>Lamp 013</x:v>
      </x:c>
      <x:c r="I1293" s="11" t="n">
        <x:v>1</x:v>
      </x:c>
      <x:c r="J1293" s="9" t="n">
        <x:v>271</x:v>
      </x:c>
      <x:c r="K1293" s="10" t="n">
        <x:v>0</x:v>
      </x:c>
      <x:c r="L1293" s="11" t="n">
        <x:v>0</x:v>
      </x:c>
      <x:c r="M1293" s="9" t="n">
        <x:f>IF(D1293="Completed",I1293*J1293,0)</x:f>
        <x:v>271</x:v>
      </x:c>
      <x:c r="N1293" s="9" t="n">
        <x:f>M1293*K1293</x:f>
        <x:v>0</x:v>
      </x:c>
      <x:c r="O1293" s="9" t="n">
        <x:f>M1293-N1293</x:f>
        <x:v>271</x:v>
      </x:c>
      <x:c r="P1293" s="9" t="n">
        <x:f>IF(D1293="Completed",L1293*J1293*(1-K1293),0)</x:f>
        <x:v>0</x:v>
      </x:c>
      <x:c r="Q1293" s="9" t="n">
        <x:f>O1293-P1293</x:f>
        <x:v>271</x:v>
      </x:c>
      <x:c r="R1293" s="11" t="n">
        <x:f>IF(D1293="Completed",I1293,0)</x:f>
        <x:v>1</x:v>
      </x:c>
      <x:c r="S1293" s="11" t="n">
        <x:f>IF(D1293="Completed",L1293,0)</x:f>
        <x:v>0</x:v>
      </x:c>
      <x:c r="T1293" s="8" t="n">
        <x:f>DATE(YEAR(C1293),MONTH(C1293),1)</x:f>
        <x:v>45839</x:v>
      </x:c>
    </x:row>
    <x:row r="1294" ht="22" customHeight="1">
      <x:c r="A1294" s="2" t="str">
        <x:v>L001290</x:v>
      </x:c>
      <x:c r="B1294" s="2" t="str">
        <x:v>O00523</x:v>
      </x:c>
      <x:c r="C1294" s="7" t="n">
        <x:v>45725</x:v>
      </x:c>
      <x:c r="D1294" s="2" t="str">
        <x:v>Completed</x:v>
      </x:c>
      <x:c r="E1294" s="2" t="str">
        <x:v>East</x:v>
      </x:c>
      <x:c r="F1294" s="2" t="str">
        <x:v>Store</x:v>
      </x:c>
      <x:c r="G1294" s="2" t="str">
        <x:v>Furniture</x:v>
      </x:c>
      <x:c r="H1294" s="2" t="str">
        <x:v>Chair 014</x:v>
      </x:c>
      <x:c r="I1294" s="11" t="n">
        <x:v>1</x:v>
      </x:c>
      <x:c r="J1294" s="9" t="n">
        <x:v>294</x:v>
      </x:c>
      <x:c r="K1294" s="10" t="n">
        <x:v>0</x:v>
      </x:c>
      <x:c r="L1294" s="11" t="n">
        <x:v>0</x:v>
      </x:c>
      <x:c r="M1294" s="9" t="n">
        <x:f>IF(D1294="Completed",I1294*J1294,0)</x:f>
        <x:v>294</x:v>
      </x:c>
      <x:c r="N1294" s="9" t="n">
        <x:f>M1294*K1294</x:f>
        <x:v>0</x:v>
      </x:c>
      <x:c r="O1294" s="9" t="n">
        <x:f>M1294-N1294</x:f>
        <x:v>294</x:v>
      </x:c>
      <x:c r="P1294" s="9" t="n">
        <x:f>IF(D1294="Completed",L1294*J1294*(1-K1294),0)</x:f>
        <x:v>0</x:v>
      </x:c>
      <x:c r="Q1294" s="9" t="n">
        <x:f>O1294-P1294</x:f>
        <x:v>294</x:v>
      </x:c>
      <x:c r="R1294" s="11" t="n">
        <x:f>IF(D1294="Completed",I1294,0)</x:f>
        <x:v>1</x:v>
      </x:c>
      <x:c r="S1294" s="11" t="n">
        <x:f>IF(D1294="Completed",L1294,0)</x:f>
        <x:v>0</x:v>
      </x:c>
      <x:c r="T1294" s="8" t="n">
        <x:f>DATE(YEAR(C1294),MONTH(C1294),1)</x:f>
        <x:v>45717</x:v>
      </x:c>
    </x:row>
    <x:row r="1295" ht="22" customHeight="1">
      <x:c r="A1295" s="2" t="str">
        <x:v>L001291</x:v>
      </x:c>
      <x:c r="B1295" s="2" t="str">
        <x:v>O00523</x:v>
      </x:c>
      <x:c r="C1295" s="7" t="n">
        <x:v>45725</x:v>
      </x:c>
      <x:c r="D1295" s="2" t="str">
        <x:v>Completed</x:v>
      </x:c>
      <x:c r="E1295" s="2" t="str">
        <x:v>East</x:v>
      </x:c>
      <x:c r="F1295" s="2" t="str">
        <x:v>Store</x:v>
      </x:c>
      <x:c r="G1295" s="2" t="str">
        <x:v>Storage</x:v>
      </x:c>
      <x:c r="H1295" s="2" t="str">
        <x:v>Shelf 007</x:v>
      </x:c>
      <x:c r="I1295" s="11" t="n">
        <x:v>3</x:v>
      </x:c>
      <x:c r="J1295" s="9" t="n">
        <x:v>35</x:v>
      </x:c>
      <x:c r="K1295" s="10" t="n">
        <x:v>0.05</x:v>
      </x:c>
      <x:c r="L1295" s="11" t="n">
        <x:v>0</x:v>
      </x:c>
      <x:c r="M1295" s="9" t="n">
        <x:f>IF(D1295="Completed",I1295*J1295,0)</x:f>
        <x:v>105</x:v>
      </x:c>
      <x:c r="N1295" s="9" t="n">
        <x:f>M1295*K1295</x:f>
        <x:v>5.25</x:v>
      </x:c>
      <x:c r="O1295" s="9" t="n">
        <x:f>M1295-N1295</x:f>
        <x:v>99.75</x:v>
      </x:c>
      <x:c r="P1295" s="9" t="n">
        <x:f>IF(D1295="Completed",L1295*J1295*(1-K1295),0)</x:f>
        <x:v>0</x:v>
      </x:c>
      <x:c r="Q1295" s="9" t="n">
        <x:f>O1295-P1295</x:f>
        <x:v>99.75</x:v>
      </x:c>
      <x:c r="R1295" s="11" t="n">
        <x:f>IF(D1295="Completed",I1295,0)</x:f>
        <x:v>3</x:v>
      </x:c>
      <x:c r="S1295" s="11" t="n">
        <x:f>IF(D1295="Completed",L1295,0)</x:f>
        <x:v>0</x:v>
      </x:c>
      <x:c r="T1295" s="8" t="n">
        <x:f>DATE(YEAR(C1295),MONTH(C1295),1)</x:f>
        <x:v>45717</x:v>
      </x:c>
    </x:row>
    <x:row r="1296" ht="22" customHeight="1">
      <x:c r="A1296" s="2" t="str">
        <x:v>L001292</x:v>
      </x:c>
      <x:c r="B1296" s="2" t="str">
        <x:v>O00524</x:v>
      </x:c>
      <x:c r="C1296" s="7" t="n">
        <x:v>45906</x:v>
      </x:c>
      <x:c r="D1296" s="2" t="str">
        <x:v>Completed</x:v>
      </x:c>
      <x:c r="E1296" s="2" t="str">
        <x:v>East</x:v>
      </x:c>
      <x:c r="F1296" s="2" t="str">
        <x:v>Store</x:v>
      </x:c>
      <x:c r="G1296" s="2" t="str">
        <x:v>Furniture</x:v>
      </x:c>
      <x:c r="H1296" s="2" t="str">
        <x:v>Desk 004</x:v>
      </x:c>
      <x:c r="I1296" s="11" t="n">
        <x:v>2</x:v>
      </x:c>
      <x:c r="J1296" s="9" t="n">
        <x:v>123</x:v>
      </x:c>
      <x:c r="K1296" s="10" t="n">
        <x:v>0.05</x:v>
      </x:c>
      <x:c r="L1296" s="11" t="n">
        <x:v>0</x:v>
      </x:c>
      <x:c r="M1296" s="9" t="n">
        <x:f>IF(D1296="Completed",I1296*J1296,0)</x:f>
        <x:v>246</x:v>
      </x:c>
      <x:c r="N1296" s="9" t="n">
        <x:f>M1296*K1296</x:f>
        <x:v>12.3</x:v>
      </x:c>
      <x:c r="O1296" s="9" t="n">
        <x:f>M1296-N1296</x:f>
        <x:v>233.7</x:v>
      </x:c>
      <x:c r="P1296" s="9" t="n">
        <x:f>IF(D1296="Completed",L1296*J1296*(1-K1296),0)</x:f>
        <x:v>0</x:v>
      </x:c>
      <x:c r="Q1296" s="9" t="n">
        <x:f>O1296-P1296</x:f>
        <x:v>233.7</x:v>
      </x:c>
      <x:c r="R1296" s="11" t="n">
        <x:f>IF(D1296="Completed",I1296,0)</x:f>
        <x:v>2</x:v>
      </x:c>
      <x:c r="S1296" s="11" t="n">
        <x:f>IF(D1296="Completed",L1296,0)</x:f>
        <x:v>0</x:v>
      </x:c>
      <x:c r="T1296" s="8" t="n">
        <x:f>DATE(YEAR(C1296),MONTH(C1296),1)</x:f>
        <x:v>45901</x:v>
      </x:c>
    </x:row>
    <x:row r="1297" ht="22" customHeight="1">
      <x:c r="A1297" s="2" t="str">
        <x:v>L001293</x:v>
      </x:c>
      <x:c r="B1297" s="2" t="str">
        <x:v>O00525</x:v>
      </x:c>
      <x:c r="C1297" s="7" t="n">
        <x:v>45963</x:v>
      </x:c>
      <x:c r="D1297" s="2" t="str">
        <x:v>Completed</x:v>
      </x:c>
      <x:c r="E1297" s="2" t="str">
        <x:v>East</x:v>
      </x:c>
      <x:c r="F1297" s="2" t="str">
        <x:v>Store</x:v>
      </x:c>
      <x:c r="G1297" s="2" t="str">
        <x:v>Furniture</x:v>
      </x:c>
      <x:c r="H1297" s="2" t="str">
        <x:v>Desk 024</x:v>
      </x:c>
      <x:c r="I1297" s="11" t="n">
        <x:v>1</x:v>
      </x:c>
      <x:c r="J1297" s="9" t="n">
        <x:v>81</x:v>
      </x:c>
      <x:c r="K1297" s="10" t="n">
        <x:v>0.1</x:v>
      </x:c>
      <x:c r="L1297" s="11" t="n">
        <x:v>1</x:v>
      </x:c>
      <x:c r="M1297" s="9" t="n">
        <x:f>IF(D1297="Completed",I1297*J1297,0)</x:f>
        <x:v>81</x:v>
      </x:c>
      <x:c r="N1297" s="9" t="n">
        <x:f>M1297*K1297</x:f>
        <x:v>8.1</x:v>
      </x:c>
      <x:c r="O1297" s="9" t="n">
        <x:f>M1297-N1297</x:f>
        <x:v>72.9</x:v>
      </x:c>
      <x:c r="P1297" s="9" t="n">
        <x:f>IF(D1297="Completed",L1297*J1297*(1-K1297),0)</x:f>
        <x:v>72.9</x:v>
      </x:c>
      <x:c r="Q1297" s="9" t="n">
        <x:f>O1297-P1297</x:f>
        <x:v>0</x:v>
      </x:c>
      <x:c r="R1297" s="11" t="n">
        <x:f>IF(D1297="Completed",I1297,0)</x:f>
        <x:v>1</x:v>
      </x:c>
      <x:c r="S1297" s="11" t="n">
        <x:f>IF(D1297="Completed",L1297,0)</x:f>
        <x:v>1</x:v>
      </x:c>
      <x:c r="T1297" s="8" t="n">
        <x:f>DATE(YEAR(C1297),MONTH(C1297),1)</x:f>
        <x:v>45962</x:v>
      </x:c>
    </x:row>
    <x:row r="1298" ht="22" customHeight="1">
      <x:c r="A1298" s="2" t="str">
        <x:v>L001294</x:v>
      </x:c>
      <x:c r="B1298" s="2" t="str">
        <x:v>O00525</x:v>
      </x:c>
      <x:c r="C1298" s="7" t="n">
        <x:v>45963</x:v>
      </x:c>
      <x:c r="D1298" s="2" t="str">
        <x:v>Completed</x:v>
      </x:c>
      <x:c r="E1298" s="2" t="str">
        <x:v>East</x:v>
      </x:c>
      <x:c r="F1298" s="2" t="str">
        <x:v>Store</x:v>
      </x:c>
      <x:c r="G1298" s="2" t="str">
        <x:v>Storage</x:v>
      </x:c>
      <x:c r="H1298" s="2" t="str">
        <x:v>Shelf 003</x:v>
      </x:c>
      <x:c r="I1298" s="11" t="n">
        <x:v>3</x:v>
      </x:c>
      <x:c r="J1298" s="9" t="n">
        <x:v>199</x:v>
      </x:c>
      <x:c r="K1298" s="10" t="n">
        <x:v>0.1</x:v>
      </x:c>
      <x:c r="L1298" s="11" t="n">
        <x:v>0</x:v>
      </x:c>
      <x:c r="M1298" s="9" t="n">
        <x:f>IF(D1298="Completed",I1298*J1298,0)</x:f>
        <x:v>597</x:v>
      </x:c>
      <x:c r="N1298" s="9" t="n">
        <x:f>M1298*K1298</x:f>
        <x:v>59.7</x:v>
      </x:c>
      <x:c r="O1298" s="9" t="n">
        <x:f>M1298-N1298</x:f>
        <x:v>537.3</x:v>
      </x:c>
      <x:c r="P1298" s="9" t="n">
        <x:f>IF(D1298="Completed",L1298*J1298*(1-K1298),0)</x:f>
        <x:v>0</x:v>
      </x:c>
      <x:c r="Q1298" s="9" t="n">
        <x:f>O1298-P1298</x:f>
        <x:v>537.3</x:v>
      </x:c>
      <x:c r="R1298" s="11" t="n">
        <x:f>IF(D1298="Completed",I1298,0)</x:f>
        <x:v>3</x:v>
      </x:c>
      <x:c r="S1298" s="11" t="n">
        <x:f>IF(D1298="Completed",L1298,0)</x:f>
        <x:v>0</x:v>
      </x:c>
      <x:c r="T1298" s="8" t="n">
        <x:f>DATE(YEAR(C1298),MONTH(C1298),1)</x:f>
        <x:v>45962</x:v>
      </x:c>
    </x:row>
    <x:row r="1299" ht="22" customHeight="1">
      <x:c r="A1299" s="2" t="str">
        <x:v>L001295</x:v>
      </x:c>
      <x:c r="B1299" s="2" t="str">
        <x:v>O00525</x:v>
      </x:c>
      <x:c r="C1299" s="7" t="n">
        <x:v>45963</x:v>
      </x:c>
      <x:c r="D1299" s="2" t="str">
        <x:v>Completed</x:v>
      </x:c>
      <x:c r="E1299" s="2" t="str">
        <x:v>East</x:v>
      </x:c>
      <x:c r="F1299" s="2" t="str">
        <x:v>Store</x:v>
      </x:c>
      <x:c r="G1299" s="2" t="str">
        <x:v>Furniture</x:v>
      </x:c>
      <x:c r="H1299" s="2" t="str">
        <x:v>Desk 012</x:v>
      </x:c>
      <x:c r="I1299" s="11" t="n">
        <x:v>5</x:v>
      </x:c>
      <x:c r="J1299" s="9" t="n">
        <x:v>134</x:v>
      </x:c>
      <x:c r="K1299" s="10" t="n">
        <x:v>0.1</x:v>
      </x:c>
      <x:c r="L1299" s="11" t="n">
        <x:v>2</x:v>
      </x:c>
      <x:c r="M1299" s="9" t="n">
        <x:f>IF(D1299="Completed",I1299*J1299,0)</x:f>
        <x:v>670</x:v>
      </x:c>
      <x:c r="N1299" s="9" t="n">
        <x:f>M1299*K1299</x:f>
        <x:v>67</x:v>
      </x:c>
      <x:c r="O1299" s="9" t="n">
        <x:f>M1299-N1299</x:f>
        <x:v>603</x:v>
      </x:c>
      <x:c r="P1299" s="9" t="n">
        <x:f>IF(D1299="Completed",L1299*J1299*(1-K1299),0)</x:f>
        <x:v>241.20000000000002</x:v>
      </x:c>
      <x:c r="Q1299" s="9" t="n">
        <x:f>O1299-P1299</x:f>
        <x:v>361.79999999999995</x:v>
      </x:c>
      <x:c r="R1299" s="11" t="n">
        <x:f>IF(D1299="Completed",I1299,0)</x:f>
        <x:v>5</x:v>
      </x:c>
      <x:c r="S1299" s="11" t="n">
        <x:f>IF(D1299="Completed",L1299,0)</x:f>
        <x:v>2</x:v>
      </x:c>
      <x:c r="T1299" s="8" t="n">
        <x:f>DATE(YEAR(C1299),MONTH(C1299),1)</x:f>
        <x:v>45962</x:v>
      </x:c>
    </x:row>
    <x:row r="1300" ht="22" customHeight="1">
      <x:c r="A1300" s="2" t="str">
        <x:v>L001296</x:v>
      </x:c>
      <x:c r="B1300" s="2" t="str">
        <x:v>O00526</x:v>
      </x:c>
      <x:c r="C1300" s="7" t="n">
        <x:v>46014</x:v>
      </x:c>
      <x:c r="D1300" s="2" t="str">
        <x:v>Completed</x:v>
      </x:c>
      <x:c r="E1300" s="2" t="str">
        <x:v>East</x:v>
      </x:c>
      <x:c r="F1300" s="2" t="str">
        <x:v>Store</x:v>
      </x:c>
      <x:c r="G1300" s="2" t="str">
        <x:v>Lighting</x:v>
      </x:c>
      <x:c r="H1300" s="2" t="str">
        <x:v>Lamp 013</x:v>
      </x:c>
      <x:c r="I1300" s="11" t="n">
        <x:v>5</x:v>
      </x:c>
      <x:c r="J1300" s="9" t="n">
        <x:v>271</x:v>
      </x:c>
      <x:c r="K1300" s="10" t="n">
        <x:v>0</x:v>
      </x:c>
      <x:c r="L1300" s="11" t="n">
        <x:v>0</x:v>
      </x:c>
      <x:c r="M1300" s="9" t="n">
        <x:f>IF(D1300="Completed",I1300*J1300,0)</x:f>
        <x:v>1355</x:v>
      </x:c>
      <x:c r="N1300" s="9" t="n">
        <x:f>M1300*K1300</x:f>
        <x:v>0</x:v>
      </x:c>
      <x:c r="O1300" s="9" t="n">
        <x:f>M1300-N1300</x:f>
        <x:v>1355</x:v>
      </x:c>
      <x:c r="P1300" s="9" t="n">
        <x:f>IF(D1300="Completed",L1300*J1300*(1-K1300),0)</x:f>
        <x:v>0</x:v>
      </x:c>
      <x:c r="Q1300" s="9" t="n">
        <x:f>O1300-P1300</x:f>
        <x:v>1355</x:v>
      </x:c>
      <x:c r="R1300" s="11" t="n">
        <x:f>IF(D1300="Completed",I1300,0)</x:f>
        <x:v>5</x:v>
      </x:c>
      <x:c r="S1300" s="11" t="n">
        <x:f>IF(D1300="Completed",L1300,0)</x:f>
        <x:v>0</x:v>
      </x:c>
      <x:c r="T1300" s="8" t="n">
        <x:f>DATE(YEAR(C1300),MONTH(C1300),1)</x:f>
        <x:v>45992</x:v>
      </x:c>
    </x:row>
    <x:row r="1301" ht="22" customHeight="1">
      <x:c r="A1301" s="2" t="str">
        <x:v>L001297</x:v>
      </x:c>
      <x:c r="B1301" s="2" t="str">
        <x:v>O00526</x:v>
      </x:c>
      <x:c r="C1301" s="7" t="n">
        <x:v>46014</x:v>
      </x:c>
      <x:c r="D1301" s="2" t="str">
        <x:v>Completed</x:v>
      </x:c>
      <x:c r="E1301" s="2" t="str">
        <x:v>East</x:v>
      </x:c>
      <x:c r="F1301" s="2" t="str">
        <x:v>Store</x:v>
      </x:c>
      <x:c r="G1301" s="2" t="str">
        <x:v>Lighting</x:v>
      </x:c>
      <x:c r="H1301" s="2" t="str">
        <x:v>Lamp 005</x:v>
      </x:c>
      <x:c r="I1301" s="11" t="n">
        <x:v>3</x:v>
      </x:c>
      <x:c r="J1301" s="9" t="n">
        <x:v>65</x:v>
      </x:c>
      <x:c r="K1301" s="10" t="n">
        <x:v>0.2</x:v>
      </x:c>
      <x:c r="L1301" s="11" t="n">
        <x:v>0</x:v>
      </x:c>
      <x:c r="M1301" s="9" t="n">
        <x:f>IF(D1301="Completed",I1301*J1301,0)</x:f>
        <x:v>195</x:v>
      </x:c>
      <x:c r="N1301" s="9" t="n">
        <x:f>M1301*K1301</x:f>
        <x:v>39</x:v>
      </x:c>
      <x:c r="O1301" s="9" t="n">
        <x:f>M1301-N1301</x:f>
        <x:v>156</x:v>
      </x:c>
      <x:c r="P1301" s="9" t="n">
        <x:f>IF(D1301="Completed",L1301*J1301*(1-K1301),0)</x:f>
        <x:v>0</x:v>
      </x:c>
      <x:c r="Q1301" s="9" t="n">
        <x:f>O1301-P1301</x:f>
        <x:v>156</x:v>
      </x:c>
      <x:c r="R1301" s="11" t="n">
        <x:f>IF(D1301="Completed",I1301,0)</x:f>
        <x:v>3</x:v>
      </x:c>
      <x:c r="S1301" s="11" t="n">
        <x:f>IF(D1301="Completed",L1301,0)</x:f>
        <x:v>0</x:v>
      </x:c>
      <x:c r="T1301" s="8" t="n">
        <x:f>DATE(YEAR(C1301),MONTH(C1301),1)</x:f>
        <x:v>45992</x:v>
      </x:c>
    </x:row>
    <x:row r="1302" ht="22" customHeight="1">
      <x:c r="A1302" s="2" t="str">
        <x:v>L001298</x:v>
      </x:c>
      <x:c r="B1302" s="2" t="str">
        <x:v>O00526</x:v>
      </x:c>
      <x:c r="C1302" s="7" t="n">
        <x:v>46014</x:v>
      </x:c>
      <x:c r="D1302" s="2" t="str">
        <x:v>Completed</x:v>
      </x:c>
      <x:c r="E1302" s="2" t="str">
        <x:v>East</x:v>
      </x:c>
      <x:c r="F1302" s="2" t="str">
        <x:v>Store</x:v>
      </x:c>
      <x:c r="G1302" s="2" t="str">
        <x:v>Furniture</x:v>
      </x:c>
      <x:c r="H1302" s="2" t="str">
        <x:v>Desk 020</x:v>
      </x:c>
      <x:c r="I1302" s="11" t="n">
        <x:v>1</x:v>
      </x:c>
      <x:c r="J1302" s="9" t="n">
        <x:v>189</x:v>
      </x:c>
      <x:c r="K1302" s="10" t="n">
        <x:v>0</x:v>
      </x:c>
      <x:c r="L1302" s="11" t="n">
        <x:v>0</x:v>
      </x:c>
      <x:c r="M1302" s="9" t="n">
        <x:f>IF(D1302="Completed",I1302*J1302,0)</x:f>
        <x:v>189</x:v>
      </x:c>
      <x:c r="N1302" s="9" t="n">
        <x:f>M1302*K1302</x:f>
        <x:v>0</x:v>
      </x:c>
      <x:c r="O1302" s="9" t="n">
        <x:f>M1302-N1302</x:f>
        <x:v>189</x:v>
      </x:c>
      <x:c r="P1302" s="9" t="n">
        <x:f>IF(D1302="Completed",L1302*J1302*(1-K1302),0)</x:f>
        <x:v>0</x:v>
      </x:c>
      <x:c r="Q1302" s="9" t="n">
        <x:f>O1302-P1302</x:f>
        <x:v>189</x:v>
      </x:c>
      <x:c r="R1302" s="11" t="n">
        <x:f>IF(D1302="Completed",I1302,0)</x:f>
        <x:v>1</x:v>
      </x:c>
      <x:c r="S1302" s="11" t="n">
        <x:f>IF(D1302="Completed",L1302,0)</x:f>
        <x:v>0</x:v>
      </x:c>
      <x:c r="T1302" s="8" t="n">
        <x:f>DATE(YEAR(C1302),MONTH(C1302),1)</x:f>
        <x:v>45992</x:v>
      </x:c>
    </x:row>
    <x:row r="1303" ht="22" customHeight="1">
      <x:c r="A1303" s="2" t="str">
        <x:v>L001299</x:v>
      </x:c>
      <x:c r="B1303" s="2" t="str">
        <x:v>O00527</x:v>
      </x:c>
      <x:c r="C1303" s="7" t="n">
        <x:v>45826</x:v>
      </x:c>
      <x:c r="D1303" s="2" t="str">
        <x:v>Cancelled</x:v>
      </x:c>
      <x:c r="E1303" s="2" t="str">
        <x:v>South</x:v>
      </x:c>
      <x:c r="F1303" s="2" t="str">
        <x:v>Store</x:v>
      </x:c>
      <x:c r="G1303" s="2" t="str">
        <x:v>Lighting</x:v>
      </x:c>
      <x:c r="H1303" s="2" t="str">
        <x:v>Lamp 001</x:v>
      </x:c>
      <x:c r="I1303" s="11" t="n">
        <x:v>4</x:v>
      </x:c>
      <x:c r="J1303" s="9" t="n">
        <x:v>122</x:v>
      </x:c>
      <x:c r="K1303" s="10" t="n">
        <x:v>0.1</x:v>
      </x:c>
      <x:c r="L1303" s="11" t="n">
        <x:v>0</x:v>
      </x:c>
      <x:c r="M1303" s="9" t="n">
        <x:f>IF(D1303="Completed",I1303*J1303,0)</x:f>
        <x:v>0</x:v>
      </x:c>
      <x:c r="N1303" s="9" t="n">
        <x:f>M1303*K1303</x:f>
        <x:v>0</x:v>
      </x:c>
      <x:c r="O1303" s="9" t="n">
        <x:f>M1303-N1303</x:f>
        <x:v>0</x:v>
      </x:c>
      <x:c r="P1303" s="9" t="n">
        <x:f>IF(D1303="Completed",L1303*J1303*(1-K1303),0)</x:f>
        <x:v>0</x:v>
      </x:c>
      <x:c r="Q1303" s="9" t="n">
        <x:f>O1303-P1303</x:f>
        <x:v>0</x:v>
      </x:c>
      <x:c r="R1303" s="11" t="n">
        <x:f>IF(D1303="Completed",I1303,0)</x:f>
        <x:v>0</x:v>
      </x:c>
      <x:c r="S1303" s="11" t="n">
        <x:f>IF(D1303="Completed",L1303,0)</x:f>
        <x:v>0</x:v>
      </x:c>
      <x:c r="T1303" s="8" t="n">
        <x:f>DATE(YEAR(C1303),MONTH(C1303),1)</x:f>
        <x:v>45809</x:v>
      </x:c>
    </x:row>
    <x:row r="1304" ht="22" customHeight="1">
      <x:c r="A1304" s="2" t="str">
        <x:v>L001300</x:v>
      </x:c>
      <x:c r="B1304" s="2" t="str">
        <x:v>O00527</x:v>
      </x:c>
      <x:c r="C1304" s="7" t="n">
        <x:v>45826</x:v>
      </x:c>
      <x:c r="D1304" s="2" t="str">
        <x:v>Cancelled</x:v>
      </x:c>
      <x:c r="E1304" s="2" t="str">
        <x:v>South</x:v>
      </x:c>
      <x:c r="F1304" s="2" t="str">
        <x:v>Store</x:v>
      </x:c>
      <x:c r="G1304" s="2" t="str">
        <x:v>Lighting</x:v>
      </x:c>
      <x:c r="H1304" s="2" t="str">
        <x:v>Lamp 013</x:v>
      </x:c>
      <x:c r="I1304" s="11" t="n">
        <x:v>3</x:v>
      </x:c>
      <x:c r="J1304" s="9" t="n">
        <x:v>271</x:v>
      </x:c>
      <x:c r="K1304" s="10" t="n">
        <x:v>0.1</x:v>
      </x:c>
      <x:c r="L1304" s="11" t="n">
        <x:v>0</x:v>
      </x:c>
      <x:c r="M1304" s="9" t="n">
        <x:f>IF(D1304="Completed",I1304*J1304,0)</x:f>
        <x:v>0</x:v>
      </x:c>
      <x:c r="N1304" s="9" t="n">
        <x:f>M1304*K1304</x:f>
        <x:v>0</x:v>
      </x:c>
      <x:c r="O1304" s="9" t="n">
        <x:f>M1304-N1304</x:f>
        <x:v>0</x:v>
      </x:c>
      <x:c r="P1304" s="9" t="n">
        <x:f>IF(D1304="Completed",L1304*J1304*(1-K1304),0)</x:f>
        <x:v>0</x:v>
      </x:c>
      <x:c r="Q1304" s="9" t="n">
        <x:f>O1304-P1304</x:f>
        <x:v>0</x:v>
      </x:c>
      <x:c r="R1304" s="11" t="n">
        <x:f>IF(D1304="Completed",I1304,0)</x:f>
        <x:v>0</x:v>
      </x:c>
      <x:c r="S1304" s="11" t="n">
        <x:f>IF(D1304="Completed",L1304,0)</x:f>
        <x:v>0</x:v>
      </x:c>
      <x:c r="T1304" s="8" t="n">
        <x:f>DATE(YEAR(C1304),MONTH(C1304),1)</x:f>
        <x:v>45809</x:v>
      </x:c>
    </x:row>
    <x:row r="1305" ht="22" customHeight="1">
      <x:c r="A1305" s="2" t="str">
        <x:v>L001301</x:v>
      </x:c>
      <x:c r="B1305" s="2" t="str">
        <x:v>O00528</x:v>
      </x:c>
      <x:c r="C1305" s="7" t="n">
        <x:v>45804</x:v>
      </x:c>
      <x:c r="D1305" s="2" t="str">
        <x:v>Completed</x:v>
      </x:c>
      <x:c r="E1305" s="2" t="str">
        <x:v>North</x:v>
      </x:c>
      <x:c r="F1305" s="2" t="str">
        <x:v>Store</x:v>
      </x:c>
      <x:c r="G1305" s="2" t="str">
        <x:v>Storage</x:v>
      </x:c>
      <x:c r="H1305" s="2" t="str">
        <x:v>Shelf 019</x:v>
      </x:c>
      <x:c r="I1305" s="11" t="n">
        <x:v>4</x:v>
      </x:c>
      <x:c r="J1305" s="9" t="n">
        <x:v>78</x:v>
      </x:c>
      <x:c r="K1305" s="10" t="n">
        <x:v>0</x:v>
      </x:c>
      <x:c r="L1305" s="11" t="n">
        <x:v>0</x:v>
      </x:c>
      <x:c r="M1305" s="9" t="n">
        <x:f>IF(D1305="Completed",I1305*J1305,0)</x:f>
        <x:v>312</x:v>
      </x:c>
      <x:c r="N1305" s="9" t="n">
        <x:f>M1305*K1305</x:f>
        <x:v>0</x:v>
      </x:c>
      <x:c r="O1305" s="9" t="n">
        <x:f>M1305-N1305</x:f>
        <x:v>312</x:v>
      </x:c>
      <x:c r="P1305" s="9" t="n">
        <x:f>IF(D1305="Completed",L1305*J1305*(1-K1305),0)</x:f>
        <x:v>0</x:v>
      </x:c>
      <x:c r="Q1305" s="9" t="n">
        <x:f>O1305-P1305</x:f>
        <x:v>312</x:v>
      </x:c>
      <x:c r="R1305" s="11" t="n">
        <x:f>IF(D1305="Completed",I1305,0)</x:f>
        <x:v>4</x:v>
      </x:c>
      <x:c r="S1305" s="11" t="n">
        <x:f>IF(D1305="Completed",L1305,0)</x:f>
        <x:v>0</x:v>
      </x:c>
      <x:c r="T1305" s="8" t="n">
        <x:f>DATE(YEAR(C1305),MONTH(C1305),1)</x:f>
        <x:v>45778</x:v>
      </x:c>
    </x:row>
    <x:row r="1306" ht="22" customHeight="1">
      <x:c r="A1306" s="2" t="str">
        <x:v>L001302</x:v>
      </x:c>
      <x:c r="B1306" s="2" t="str">
        <x:v>O00529</x:v>
      </x:c>
      <x:c r="C1306" s="7" t="n">
        <x:v>45817</x:v>
      </x:c>
      <x:c r="D1306" s="2" t="str">
        <x:v>Completed</x:v>
      </x:c>
      <x:c r="E1306" s="2" t="str">
        <x:v>North</x:v>
      </x:c>
      <x:c r="F1306" s="2" t="str">
        <x:v>Store</x:v>
      </x:c>
      <x:c r="G1306" s="2" t="str">
        <x:v>Storage</x:v>
      </x:c>
      <x:c r="H1306" s="2" t="str">
        <x:v>Shelf 011</x:v>
      </x:c>
      <x:c r="I1306" s="11" t="n">
        <x:v>2</x:v>
      </x:c>
      <x:c r="J1306" s="9" t="n">
        <x:v>80</x:v>
      </x:c>
      <x:c r="K1306" s="10" t="n">
        <x:v>0</x:v>
      </x:c>
      <x:c r="L1306" s="11" t="n">
        <x:v>0</x:v>
      </x:c>
      <x:c r="M1306" s="9" t="n">
        <x:f>IF(D1306="Completed",I1306*J1306,0)</x:f>
        <x:v>160</x:v>
      </x:c>
      <x:c r="N1306" s="9" t="n">
        <x:f>M1306*K1306</x:f>
        <x:v>0</x:v>
      </x:c>
      <x:c r="O1306" s="9" t="n">
        <x:f>M1306-N1306</x:f>
        <x:v>160</x:v>
      </x:c>
      <x:c r="P1306" s="9" t="n">
        <x:f>IF(D1306="Completed",L1306*J1306*(1-K1306),0)</x:f>
        <x:v>0</x:v>
      </x:c>
      <x:c r="Q1306" s="9" t="n">
        <x:f>O1306-P1306</x:f>
        <x:v>160</x:v>
      </x:c>
      <x:c r="R1306" s="11" t="n">
        <x:f>IF(D1306="Completed",I1306,0)</x:f>
        <x:v>2</x:v>
      </x:c>
      <x:c r="S1306" s="11" t="n">
        <x:f>IF(D1306="Completed",L1306,0)</x:f>
        <x:v>0</x:v>
      </x:c>
      <x:c r="T1306" s="8" t="n">
        <x:f>DATE(YEAR(C1306),MONTH(C1306),1)</x:f>
        <x:v>45809</x:v>
      </x:c>
    </x:row>
    <x:row r="1307" ht="22" customHeight="1">
      <x:c r="A1307" s="2" t="str">
        <x:v>L001303</x:v>
      </x:c>
      <x:c r="B1307" s="2" t="str">
        <x:v>O00529</x:v>
      </x:c>
      <x:c r="C1307" s="7" t="n">
        <x:v>45817</x:v>
      </x:c>
      <x:c r="D1307" s="2" t="str">
        <x:v>Completed</x:v>
      </x:c>
      <x:c r="E1307" s="2" t="str">
        <x:v>North</x:v>
      </x:c>
      <x:c r="F1307" s="2" t="str">
        <x:v>Store</x:v>
      </x:c>
      <x:c r="G1307" s="2" t="str">
        <x:v>Storage</x:v>
      </x:c>
      <x:c r="H1307" s="2" t="str">
        <x:v>Shelf 019</x:v>
      </x:c>
      <x:c r="I1307" s="11" t="n">
        <x:v>3</x:v>
      </x:c>
      <x:c r="J1307" s="9" t="n">
        <x:v>78</x:v>
      </x:c>
      <x:c r="K1307" s="10" t="n">
        <x:v>0.1</x:v>
      </x:c>
      <x:c r="L1307" s="11" t="n">
        <x:v>0</x:v>
      </x:c>
      <x:c r="M1307" s="9" t="n">
        <x:f>IF(D1307="Completed",I1307*J1307,0)</x:f>
        <x:v>234</x:v>
      </x:c>
      <x:c r="N1307" s="9" t="n">
        <x:f>M1307*K1307</x:f>
        <x:v>23.400000000000002</x:v>
      </x:c>
      <x:c r="O1307" s="9" t="n">
        <x:f>M1307-N1307</x:f>
        <x:v>210.6</x:v>
      </x:c>
      <x:c r="P1307" s="9" t="n">
        <x:f>IF(D1307="Completed",L1307*J1307*(1-K1307),0)</x:f>
        <x:v>0</x:v>
      </x:c>
      <x:c r="Q1307" s="9" t="n">
        <x:f>O1307-P1307</x:f>
        <x:v>210.6</x:v>
      </x:c>
      <x:c r="R1307" s="11" t="n">
        <x:f>IF(D1307="Completed",I1307,0)</x:f>
        <x:v>3</x:v>
      </x:c>
      <x:c r="S1307" s="11" t="n">
        <x:f>IF(D1307="Completed",L1307,0)</x:f>
        <x:v>0</x:v>
      </x:c>
      <x:c r="T1307" s="8" t="n">
        <x:f>DATE(YEAR(C1307),MONTH(C1307),1)</x:f>
        <x:v>45809</x:v>
      </x:c>
    </x:row>
    <x:row r="1308" ht="22" customHeight="1">
      <x:c r="A1308" s="2" t="str">
        <x:v>L001304</x:v>
      </x:c>
      <x:c r="B1308" s="2" t="str">
        <x:v>O00529</x:v>
      </x:c>
      <x:c r="C1308" s="7" t="n">
        <x:v>45817</x:v>
      </x:c>
      <x:c r="D1308" s="2" t="str">
        <x:v>Completed</x:v>
      </x:c>
      <x:c r="E1308" s="2" t="str">
        <x:v>North</x:v>
      </x:c>
      <x:c r="F1308" s="2" t="str">
        <x:v>Store</x:v>
      </x:c>
      <x:c r="G1308" s="2" t="str">
        <x:v>Furniture</x:v>
      </x:c>
      <x:c r="H1308" s="2" t="str">
        <x:v>Chair 022</x:v>
      </x:c>
      <x:c r="I1308" s="11" t="n">
        <x:v>1</x:v>
      </x:c>
      <x:c r="J1308" s="9" t="n">
        <x:v>134</x:v>
      </x:c>
      <x:c r="K1308" s="10" t="n">
        <x:v>0</x:v>
      </x:c>
      <x:c r="L1308" s="11" t="n">
        <x:v>0</x:v>
      </x:c>
      <x:c r="M1308" s="9" t="n">
        <x:f>IF(D1308="Completed",I1308*J1308,0)</x:f>
        <x:v>134</x:v>
      </x:c>
      <x:c r="N1308" s="9" t="n">
        <x:f>M1308*K1308</x:f>
        <x:v>0</x:v>
      </x:c>
      <x:c r="O1308" s="9" t="n">
        <x:f>M1308-N1308</x:f>
        <x:v>134</x:v>
      </x:c>
      <x:c r="P1308" s="9" t="n">
        <x:f>IF(D1308="Completed",L1308*J1308*(1-K1308),0)</x:f>
        <x:v>0</x:v>
      </x:c>
      <x:c r="Q1308" s="9" t="n">
        <x:f>O1308-P1308</x:f>
        <x:v>134</x:v>
      </x:c>
      <x:c r="R1308" s="11" t="n">
        <x:f>IF(D1308="Completed",I1308,0)</x:f>
        <x:v>1</x:v>
      </x:c>
      <x:c r="S1308" s="11" t="n">
        <x:f>IF(D1308="Completed",L1308,0)</x:f>
        <x:v>0</x:v>
      </x:c>
      <x:c r="T1308" s="8" t="n">
        <x:f>DATE(YEAR(C1308),MONTH(C1308),1)</x:f>
        <x:v>45809</x:v>
      </x:c>
    </x:row>
    <x:row r="1309" ht="22" customHeight="1">
      <x:c r="A1309" s="2" t="str">
        <x:v>L001305</x:v>
      </x:c>
      <x:c r="B1309" s="2" t="str">
        <x:v>O00529</x:v>
      </x:c>
      <x:c r="C1309" s="7" t="n">
        <x:v>45817</x:v>
      </x:c>
      <x:c r="D1309" s="2" t="str">
        <x:v>Completed</x:v>
      </x:c>
      <x:c r="E1309" s="2" t="str">
        <x:v>North</x:v>
      </x:c>
      <x:c r="F1309" s="2" t="str">
        <x:v>Store</x:v>
      </x:c>
      <x:c r="G1309" s="2" t="str">
        <x:v>Furniture</x:v>
      </x:c>
      <x:c r="H1309" s="2" t="str">
        <x:v>Desk 020</x:v>
      </x:c>
      <x:c r="I1309" s="11" t="n">
        <x:v>3</x:v>
      </x:c>
      <x:c r="J1309" s="9" t="n">
        <x:v>189</x:v>
      </x:c>
      <x:c r="K1309" s="10" t="n">
        <x:v>0.05</x:v>
      </x:c>
      <x:c r="L1309" s="11" t="n">
        <x:v>0</x:v>
      </x:c>
      <x:c r="M1309" s="9" t="n">
        <x:f>IF(D1309="Completed",I1309*J1309,0)</x:f>
        <x:v>567</x:v>
      </x:c>
      <x:c r="N1309" s="9" t="n">
        <x:f>M1309*K1309</x:f>
        <x:v>28.35</x:v>
      </x:c>
      <x:c r="O1309" s="9" t="n">
        <x:f>M1309-N1309</x:f>
        <x:v>538.65</x:v>
      </x:c>
      <x:c r="P1309" s="9" t="n">
        <x:f>IF(D1309="Completed",L1309*J1309*(1-K1309),0)</x:f>
        <x:v>0</x:v>
      </x:c>
      <x:c r="Q1309" s="9" t="n">
        <x:f>O1309-P1309</x:f>
        <x:v>538.65</x:v>
      </x:c>
      <x:c r="R1309" s="11" t="n">
        <x:f>IF(D1309="Completed",I1309,0)</x:f>
        <x:v>3</x:v>
      </x:c>
      <x:c r="S1309" s="11" t="n">
        <x:f>IF(D1309="Completed",L1309,0)</x:f>
        <x:v>0</x:v>
      </x:c>
      <x:c r="T1309" s="8" t="n">
        <x:f>DATE(YEAR(C1309),MONTH(C1309),1)</x:f>
        <x:v>45809</x:v>
      </x:c>
    </x:row>
    <x:row r="1310" ht="22" customHeight="1">
      <x:c r="A1310" s="2" t="str">
        <x:v>L001306</x:v>
      </x:c>
      <x:c r="B1310" s="2" t="str">
        <x:v>O00530</x:v>
      </x:c>
      <x:c r="C1310" s="7" t="n">
        <x:v>45771</x:v>
      </x:c>
      <x:c r="D1310" s="2" t="str">
        <x:v>Completed</x:v>
      </x:c>
      <x:c r="E1310" s="2" t="str">
        <x:v>South</x:v>
      </x:c>
      <x:c r="F1310" s="2" t="str">
        <x:v>Store</x:v>
      </x:c>
      <x:c r="G1310" s="2" t="str">
        <x:v>Lighting</x:v>
      </x:c>
      <x:c r="H1310" s="2" t="str">
        <x:v>Lamp 017</x:v>
      </x:c>
      <x:c r="I1310" s="11" t="n">
        <x:v>4</x:v>
      </x:c>
      <x:c r="J1310" s="9" t="n">
        <x:v>300</x:v>
      </x:c>
      <x:c r="K1310" s="10" t="n">
        <x:v>0</x:v>
      </x:c>
      <x:c r="L1310" s="11" t="n">
        <x:v>0</x:v>
      </x:c>
      <x:c r="M1310" s="9" t="n">
        <x:f>IF(D1310="Completed",I1310*J1310,0)</x:f>
        <x:v>1200</x:v>
      </x:c>
      <x:c r="N1310" s="9" t="n">
        <x:f>M1310*K1310</x:f>
        <x:v>0</x:v>
      </x:c>
      <x:c r="O1310" s="9" t="n">
        <x:f>M1310-N1310</x:f>
        <x:v>1200</x:v>
      </x:c>
      <x:c r="P1310" s="9" t="n">
        <x:f>IF(D1310="Completed",L1310*J1310*(1-K1310),0)</x:f>
        <x:v>0</x:v>
      </x:c>
      <x:c r="Q1310" s="9" t="n">
        <x:f>O1310-P1310</x:f>
        <x:v>1200</x:v>
      </x:c>
      <x:c r="R1310" s="11" t="n">
        <x:f>IF(D1310="Completed",I1310,0)</x:f>
        <x:v>4</x:v>
      </x:c>
      <x:c r="S1310" s="11" t="n">
        <x:f>IF(D1310="Completed",L1310,0)</x:f>
        <x:v>0</x:v>
      </x:c>
      <x:c r="T1310" s="8" t="n">
        <x:f>DATE(YEAR(C1310),MONTH(C1310),1)</x:f>
        <x:v>45748</x:v>
      </x:c>
    </x:row>
    <x:row r="1311" ht="22" customHeight="1">
      <x:c r="A1311" s="2" t="str">
        <x:v>L001307</x:v>
      </x:c>
      <x:c r="B1311" s="2" t="str">
        <x:v>O00530</x:v>
      </x:c>
      <x:c r="C1311" s="7" t="n">
        <x:v>45771</x:v>
      </x:c>
      <x:c r="D1311" s="2" t="str">
        <x:v>Completed</x:v>
      </x:c>
      <x:c r="E1311" s="2" t="str">
        <x:v>South</x:v>
      </x:c>
      <x:c r="F1311" s="2" t="str">
        <x:v>Store</x:v>
      </x:c>
      <x:c r="G1311" s="2" t="str">
        <x:v>Furniture</x:v>
      </x:c>
      <x:c r="H1311" s="2" t="str">
        <x:v>Chair 022</x:v>
      </x:c>
      <x:c r="I1311" s="11" t="n">
        <x:v>1</x:v>
      </x:c>
      <x:c r="J1311" s="9" t="n">
        <x:v>134</x:v>
      </x:c>
      <x:c r="K1311" s="10" t="n">
        <x:v>0.05</x:v>
      </x:c>
      <x:c r="L1311" s="11" t="n">
        <x:v>0</x:v>
      </x:c>
      <x:c r="M1311" s="9" t="n">
        <x:f>IF(D1311="Completed",I1311*J1311,0)</x:f>
        <x:v>134</x:v>
      </x:c>
      <x:c r="N1311" s="9" t="n">
        <x:f>M1311*K1311</x:f>
        <x:v>6.7</x:v>
      </x:c>
      <x:c r="O1311" s="9" t="n">
        <x:f>M1311-N1311</x:f>
        <x:v>127.3</x:v>
      </x:c>
      <x:c r="P1311" s="9" t="n">
        <x:f>IF(D1311="Completed",L1311*J1311*(1-K1311),0)</x:f>
        <x:v>0</x:v>
      </x:c>
      <x:c r="Q1311" s="9" t="n">
        <x:f>O1311-P1311</x:f>
        <x:v>127.3</x:v>
      </x:c>
      <x:c r="R1311" s="11" t="n">
        <x:f>IF(D1311="Completed",I1311,0)</x:f>
        <x:v>1</x:v>
      </x:c>
      <x:c r="S1311" s="11" t="n">
        <x:f>IF(D1311="Completed",L1311,0)</x:f>
        <x:v>0</x:v>
      </x:c>
      <x:c r="T1311" s="8" t="n">
        <x:f>DATE(YEAR(C1311),MONTH(C1311),1)</x:f>
        <x:v>45748</x:v>
      </x:c>
    </x:row>
    <x:row r="1312" ht="22" customHeight="1">
      <x:c r="A1312" s="2" t="str">
        <x:v>L001308</x:v>
      </x:c>
      <x:c r="B1312" s="2" t="str">
        <x:v>O00531</x:v>
      </x:c>
      <x:c r="C1312" s="7" t="n">
        <x:v>45665</x:v>
      </x:c>
      <x:c r="D1312" s="2" t="str">
        <x:v>Completed</x:v>
      </x:c>
      <x:c r="E1312" s="2" t="str">
        <x:v>East</x:v>
      </x:c>
      <x:c r="F1312" s="2" t="str">
        <x:v>Online</x:v>
      </x:c>
      <x:c r="G1312" s="2" t="str">
        <x:v>Furniture</x:v>
      </x:c>
      <x:c r="H1312" s="2" t="str">
        <x:v>Desk 024</x:v>
      </x:c>
      <x:c r="I1312" s="11" t="n">
        <x:v>4</x:v>
      </x:c>
      <x:c r="J1312" s="9" t="n">
        <x:v>81</x:v>
      </x:c>
      <x:c r="K1312" s="10" t="n">
        <x:v>0</x:v>
      </x:c>
      <x:c r="L1312" s="11" t="n">
        <x:v>0</x:v>
      </x:c>
      <x:c r="M1312" s="9" t="n">
        <x:f>IF(D1312="Completed",I1312*J1312,0)</x:f>
        <x:v>324</x:v>
      </x:c>
      <x:c r="N1312" s="9" t="n">
        <x:f>M1312*K1312</x:f>
        <x:v>0</x:v>
      </x:c>
      <x:c r="O1312" s="9" t="n">
        <x:f>M1312-N1312</x:f>
        <x:v>324</x:v>
      </x:c>
      <x:c r="P1312" s="9" t="n">
        <x:f>IF(D1312="Completed",L1312*J1312*(1-K1312),0)</x:f>
        <x:v>0</x:v>
      </x:c>
      <x:c r="Q1312" s="9" t="n">
        <x:f>O1312-P1312</x:f>
        <x:v>324</x:v>
      </x:c>
      <x:c r="R1312" s="11" t="n">
        <x:f>IF(D1312="Completed",I1312,0)</x:f>
        <x:v>4</x:v>
      </x:c>
      <x:c r="S1312" s="11" t="n">
        <x:f>IF(D1312="Completed",L1312,0)</x:f>
        <x:v>0</x:v>
      </x:c>
      <x:c r="T1312" s="8" t="n">
        <x:f>DATE(YEAR(C1312),MONTH(C1312),1)</x:f>
        <x:v>45658</x:v>
      </x:c>
    </x:row>
    <x:row r="1313" ht="22" customHeight="1">
      <x:c r="A1313" s="2" t="str">
        <x:v>L001309</x:v>
      </x:c>
      <x:c r="B1313" s="2" t="str">
        <x:v>O00531</x:v>
      </x:c>
      <x:c r="C1313" s="7" t="n">
        <x:v>45665</x:v>
      </x:c>
      <x:c r="D1313" s="2" t="str">
        <x:v>Completed</x:v>
      </x:c>
      <x:c r="E1313" s="2" t="str">
        <x:v>East</x:v>
      </x:c>
      <x:c r="F1313" s="2" t="str">
        <x:v>Online</x:v>
      </x:c>
      <x:c r="G1313" s="2" t="str">
        <x:v>Lighting</x:v>
      </x:c>
      <x:c r="H1313" s="2" t="str">
        <x:v>Lamp 001</x:v>
      </x:c>
      <x:c r="I1313" s="11" t="n">
        <x:v>3</x:v>
      </x:c>
      <x:c r="J1313" s="9" t="n">
        <x:v>122</x:v>
      </x:c>
      <x:c r="K1313" s="10" t="n">
        <x:v>0.1</x:v>
      </x:c>
      <x:c r="L1313" s="11" t="n">
        <x:v>0</x:v>
      </x:c>
      <x:c r="M1313" s="9" t="n">
        <x:f>IF(D1313="Completed",I1313*J1313,0)</x:f>
        <x:v>366</x:v>
      </x:c>
      <x:c r="N1313" s="9" t="n">
        <x:f>M1313*K1313</x:f>
        <x:v>36.6</x:v>
      </x:c>
      <x:c r="O1313" s="9" t="n">
        <x:f>M1313-N1313</x:f>
        <x:v>329.4</x:v>
      </x:c>
      <x:c r="P1313" s="9" t="n">
        <x:f>IF(D1313="Completed",L1313*J1313*(1-K1313),0)</x:f>
        <x:v>0</x:v>
      </x:c>
      <x:c r="Q1313" s="9" t="n">
        <x:f>O1313-P1313</x:f>
        <x:v>329.4</x:v>
      </x:c>
      <x:c r="R1313" s="11" t="n">
        <x:f>IF(D1313="Completed",I1313,0)</x:f>
        <x:v>3</x:v>
      </x:c>
      <x:c r="S1313" s="11" t="n">
        <x:f>IF(D1313="Completed",L1313,0)</x:f>
        <x:v>0</x:v>
      </x:c>
      <x:c r="T1313" s="8" t="n">
        <x:f>DATE(YEAR(C1313),MONTH(C1313),1)</x:f>
        <x:v>45658</x:v>
      </x:c>
    </x:row>
    <x:row r="1314" ht="22" customHeight="1">
      <x:c r="A1314" s="2" t="str">
        <x:v>L001310</x:v>
      </x:c>
      <x:c r="B1314" s="2" t="str">
        <x:v>O00531</x:v>
      </x:c>
      <x:c r="C1314" s="7" t="n">
        <x:v>45665</x:v>
      </x:c>
      <x:c r="D1314" s="2" t="str">
        <x:v>Completed</x:v>
      </x:c>
      <x:c r="E1314" s="2" t="str">
        <x:v>East</x:v>
      </x:c>
      <x:c r="F1314" s="2" t="str">
        <x:v>Online</x:v>
      </x:c>
      <x:c r="G1314" s="2" t="str">
        <x:v>Furniture</x:v>
      </x:c>
      <x:c r="H1314" s="2" t="str">
        <x:v>Desk 004</x:v>
      </x:c>
      <x:c r="I1314" s="11" t="n">
        <x:v>1</x:v>
      </x:c>
      <x:c r="J1314" s="9" t="n">
        <x:v>123</x:v>
      </x:c>
      <x:c r="K1314" s="10" t="n">
        <x:v>0.05</x:v>
      </x:c>
      <x:c r="L1314" s="11" t="n">
        <x:v>0</x:v>
      </x:c>
      <x:c r="M1314" s="9" t="n">
        <x:f>IF(D1314="Completed",I1314*J1314,0)</x:f>
        <x:v>123</x:v>
      </x:c>
      <x:c r="N1314" s="9" t="n">
        <x:f>M1314*K1314</x:f>
        <x:v>6.15</x:v>
      </x:c>
      <x:c r="O1314" s="9" t="n">
        <x:f>M1314-N1314</x:f>
        <x:v>116.85</x:v>
      </x:c>
      <x:c r="P1314" s="9" t="n">
        <x:f>IF(D1314="Completed",L1314*J1314*(1-K1314),0)</x:f>
        <x:v>0</x:v>
      </x:c>
      <x:c r="Q1314" s="9" t="n">
        <x:f>O1314-P1314</x:f>
        <x:v>116.85</x:v>
      </x:c>
      <x:c r="R1314" s="11" t="n">
        <x:f>IF(D1314="Completed",I1314,0)</x:f>
        <x:v>1</x:v>
      </x:c>
      <x:c r="S1314" s="11" t="n">
        <x:f>IF(D1314="Completed",L1314,0)</x:f>
        <x:v>0</x:v>
      </x:c>
      <x:c r="T1314" s="8" t="n">
        <x:f>DATE(YEAR(C1314),MONTH(C1314),1)</x:f>
        <x:v>45658</x:v>
      </x:c>
    </x:row>
    <x:row r="1315" ht="22" customHeight="1">
      <x:c r="A1315" s="2" t="str">
        <x:v>L001311</x:v>
      </x:c>
      <x:c r="B1315" s="2" t="str">
        <x:v>O00532</x:v>
      </x:c>
      <x:c r="C1315" s="7" t="n">
        <x:v>46002</x:v>
      </x:c>
      <x:c r="D1315" s="2" t="str">
        <x:v>Completed</x:v>
      </x:c>
      <x:c r="E1315" s="2" t="str">
        <x:v>West</x:v>
      </x:c>
      <x:c r="F1315" s="2" t="str">
        <x:v>Store</x:v>
      </x:c>
      <x:c r="G1315" s="2" t="str">
        <x:v>Storage</x:v>
      </x:c>
      <x:c r="H1315" s="2" t="str">
        <x:v>Shelf 015</x:v>
      </x:c>
      <x:c r="I1315" s="11" t="n">
        <x:v>4</x:v>
      </x:c>
      <x:c r="J1315" s="9" t="n">
        <x:v>254</x:v>
      </x:c>
      <x:c r="K1315" s="10" t="n">
        <x:v>0.2</x:v>
      </x:c>
      <x:c r="L1315" s="11" t="n">
        <x:v>0</x:v>
      </x:c>
      <x:c r="M1315" s="9" t="n">
        <x:f>IF(D1315="Completed",I1315*J1315,0)</x:f>
        <x:v>1016</x:v>
      </x:c>
      <x:c r="N1315" s="9" t="n">
        <x:f>M1315*K1315</x:f>
        <x:v>203.20000000000002</x:v>
      </x:c>
      <x:c r="O1315" s="9" t="n">
        <x:f>M1315-N1315</x:f>
        <x:v>812.8</x:v>
      </x:c>
      <x:c r="P1315" s="9" t="n">
        <x:f>IF(D1315="Completed",L1315*J1315*(1-K1315),0)</x:f>
        <x:v>0</x:v>
      </x:c>
      <x:c r="Q1315" s="9" t="n">
        <x:f>O1315-P1315</x:f>
        <x:v>812.8</x:v>
      </x:c>
      <x:c r="R1315" s="11" t="n">
        <x:f>IF(D1315="Completed",I1315,0)</x:f>
        <x:v>4</x:v>
      </x:c>
      <x:c r="S1315" s="11" t="n">
        <x:f>IF(D1315="Completed",L1315,0)</x:f>
        <x:v>0</x:v>
      </x:c>
      <x:c r="T1315" s="8" t="n">
        <x:f>DATE(YEAR(C1315),MONTH(C1315),1)</x:f>
        <x:v>45992</x:v>
      </x:c>
    </x:row>
    <x:row r="1316" ht="22" customHeight="1">
      <x:c r="A1316" s="2" t="str">
        <x:v>L001312</x:v>
      </x:c>
      <x:c r="B1316" s="2" t="str">
        <x:v>O00532</x:v>
      </x:c>
      <x:c r="C1316" s="7" t="n">
        <x:v>46002</x:v>
      </x:c>
      <x:c r="D1316" s="2" t="str">
        <x:v>Completed</x:v>
      </x:c>
      <x:c r="E1316" s="2" t="str">
        <x:v>West</x:v>
      </x:c>
      <x:c r="F1316" s="2" t="str">
        <x:v>Store</x:v>
      </x:c>
      <x:c r="G1316" s="2" t="str">
        <x:v>Furniture</x:v>
      </x:c>
      <x:c r="H1316" s="2" t="str">
        <x:v>Chair 002</x:v>
      </x:c>
      <x:c r="I1316" s="11" t="n">
        <x:v>5</x:v>
      </x:c>
      <x:c r="J1316" s="9" t="n">
        <x:v>284</x:v>
      </x:c>
      <x:c r="K1316" s="10" t="n">
        <x:v>0.2</x:v>
      </x:c>
      <x:c r="L1316" s="11" t="n">
        <x:v>0</x:v>
      </x:c>
      <x:c r="M1316" s="9" t="n">
        <x:f>IF(D1316="Completed",I1316*J1316,0)</x:f>
        <x:v>1420</x:v>
      </x:c>
      <x:c r="N1316" s="9" t="n">
        <x:f>M1316*K1316</x:f>
        <x:v>284</x:v>
      </x:c>
      <x:c r="O1316" s="9" t="n">
        <x:f>M1316-N1316</x:f>
        <x:v>1136</x:v>
      </x:c>
      <x:c r="P1316" s="9" t="n">
        <x:f>IF(D1316="Completed",L1316*J1316*(1-K1316),0)</x:f>
        <x:v>0</x:v>
      </x:c>
      <x:c r="Q1316" s="9" t="n">
        <x:f>O1316-P1316</x:f>
        <x:v>1136</x:v>
      </x:c>
      <x:c r="R1316" s="11" t="n">
        <x:f>IF(D1316="Completed",I1316,0)</x:f>
        <x:v>5</x:v>
      </x:c>
      <x:c r="S1316" s="11" t="n">
        <x:f>IF(D1316="Completed",L1316,0)</x:f>
        <x:v>0</x:v>
      </x:c>
      <x:c r="T1316" s="8" t="n">
        <x:f>DATE(YEAR(C1316),MONTH(C1316),1)</x:f>
        <x:v>45992</x:v>
      </x:c>
    </x:row>
    <x:row r="1317" ht="22" customHeight="1">
      <x:c r="A1317" s="2" t="str">
        <x:v>L001313</x:v>
      </x:c>
      <x:c r="B1317" s="2" t="str">
        <x:v>O00532</x:v>
      </x:c>
      <x:c r="C1317" s="7" t="n">
        <x:v>46002</x:v>
      </x:c>
      <x:c r="D1317" s="2" t="str">
        <x:v>Completed</x:v>
      </x:c>
      <x:c r="E1317" s="2" t="str">
        <x:v>West</x:v>
      </x:c>
      <x:c r="F1317" s="2" t="str">
        <x:v>Store</x:v>
      </x:c>
      <x:c r="G1317" s="2" t="str">
        <x:v>Furniture</x:v>
      </x:c>
      <x:c r="H1317" s="2" t="str">
        <x:v>Desk 024</x:v>
      </x:c>
      <x:c r="I1317" s="11" t="n">
        <x:v>2</x:v>
      </x:c>
      <x:c r="J1317" s="9" t="n">
        <x:v>81</x:v>
      </x:c>
      <x:c r="K1317" s="10" t="n">
        <x:v>0</x:v>
      </x:c>
      <x:c r="L1317" s="11" t="n">
        <x:v>1</x:v>
      </x:c>
      <x:c r="M1317" s="9" t="n">
        <x:f>IF(D1317="Completed",I1317*J1317,0)</x:f>
        <x:v>162</x:v>
      </x:c>
      <x:c r="N1317" s="9" t="n">
        <x:f>M1317*K1317</x:f>
        <x:v>0</x:v>
      </x:c>
      <x:c r="O1317" s="9" t="n">
        <x:f>M1317-N1317</x:f>
        <x:v>162</x:v>
      </x:c>
      <x:c r="P1317" s="9" t="n">
        <x:f>IF(D1317="Completed",L1317*J1317*(1-K1317),0)</x:f>
        <x:v>81</x:v>
      </x:c>
      <x:c r="Q1317" s="9" t="n">
        <x:f>O1317-P1317</x:f>
        <x:v>81</x:v>
      </x:c>
      <x:c r="R1317" s="11" t="n">
        <x:f>IF(D1317="Completed",I1317,0)</x:f>
        <x:v>2</x:v>
      </x:c>
      <x:c r="S1317" s="11" t="n">
        <x:f>IF(D1317="Completed",L1317,0)</x:f>
        <x:v>1</x:v>
      </x:c>
      <x:c r="T1317" s="8" t="n">
        <x:f>DATE(YEAR(C1317),MONTH(C1317),1)</x:f>
        <x:v>45992</x:v>
      </x:c>
    </x:row>
    <x:row r="1318" ht="22" customHeight="1">
      <x:c r="A1318" s="2" t="str">
        <x:v>L001314</x:v>
      </x:c>
      <x:c r="B1318" s="2" t="str">
        <x:v>O00532</x:v>
      </x:c>
      <x:c r="C1318" s="7" t="n">
        <x:v>46002</x:v>
      </x:c>
      <x:c r="D1318" s="2" t="str">
        <x:v>Completed</x:v>
      </x:c>
      <x:c r="E1318" s="2" t="str">
        <x:v>West</x:v>
      </x:c>
      <x:c r="F1318" s="2" t="str">
        <x:v>Store</x:v>
      </x:c>
      <x:c r="G1318" s="2" t="str">
        <x:v>Storage</x:v>
      </x:c>
      <x:c r="H1318" s="2" t="str">
        <x:v>Shelf 003</x:v>
      </x:c>
      <x:c r="I1318" s="11" t="n">
        <x:v>4</x:v>
      </x:c>
      <x:c r="J1318" s="9" t="n">
        <x:v>199</x:v>
      </x:c>
      <x:c r="K1318" s="10" t="n">
        <x:v>0.1</x:v>
      </x:c>
      <x:c r="L1318" s="11" t="n">
        <x:v>0</x:v>
      </x:c>
      <x:c r="M1318" s="9" t="n">
        <x:f>IF(D1318="Completed",I1318*J1318,0)</x:f>
        <x:v>796</x:v>
      </x:c>
      <x:c r="N1318" s="9" t="n">
        <x:f>M1318*K1318</x:f>
        <x:v>79.60000000000001</x:v>
      </x:c>
      <x:c r="O1318" s="9" t="n">
        <x:f>M1318-N1318</x:f>
        <x:v>716.4</x:v>
      </x:c>
      <x:c r="P1318" s="9" t="n">
        <x:f>IF(D1318="Completed",L1318*J1318*(1-K1318),0)</x:f>
        <x:v>0</x:v>
      </x:c>
      <x:c r="Q1318" s="9" t="n">
        <x:f>O1318-P1318</x:f>
        <x:v>716.4</x:v>
      </x:c>
      <x:c r="R1318" s="11" t="n">
        <x:f>IF(D1318="Completed",I1318,0)</x:f>
        <x:v>4</x:v>
      </x:c>
      <x:c r="S1318" s="11" t="n">
        <x:f>IF(D1318="Completed",L1318,0)</x:f>
        <x:v>0</x:v>
      </x:c>
      <x:c r="T1318" s="8" t="n">
        <x:f>DATE(YEAR(C1318),MONTH(C1318),1)</x:f>
        <x:v>45992</x:v>
      </x:c>
    </x:row>
    <x:row r="1319" ht="22" customHeight="1">
      <x:c r="A1319" s="2" t="str">
        <x:v>L001315</x:v>
      </x:c>
      <x:c r="B1319" s="2" t="str">
        <x:v>O00533</x:v>
      </x:c>
      <x:c r="C1319" s="7" t="n">
        <x:v>45694</x:v>
      </x:c>
      <x:c r="D1319" s="2" t="str">
        <x:v>Completed</x:v>
      </x:c>
      <x:c r="E1319" s="2" t="str">
        <x:v>West</x:v>
      </x:c>
      <x:c r="F1319" s="2" t="str">
        <x:v>Store</x:v>
      </x:c>
      <x:c r="G1319" s="2" t="str">
        <x:v>Storage</x:v>
      </x:c>
      <x:c r="H1319" s="2" t="str">
        <x:v>Shelf 007</x:v>
      </x:c>
      <x:c r="I1319" s="11" t="n">
        <x:v>3</x:v>
      </x:c>
      <x:c r="J1319" s="9" t="n">
        <x:v>35</x:v>
      </x:c>
      <x:c r="K1319" s="10" t="n">
        <x:v>0.1</x:v>
      </x:c>
      <x:c r="L1319" s="11" t="n">
        <x:v>0</x:v>
      </x:c>
      <x:c r="M1319" s="9" t="n">
        <x:f>IF(D1319="Completed",I1319*J1319,0)</x:f>
        <x:v>105</x:v>
      </x:c>
      <x:c r="N1319" s="9" t="n">
        <x:f>M1319*K1319</x:f>
        <x:v>10.5</x:v>
      </x:c>
      <x:c r="O1319" s="9" t="n">
        <x:f>M1319-N1319</x:f>
        <x:v>94.5</x:v>
      </x:c>
      <x:c r="P1319" s="9" t="n">
        <x:f>IF(D1319="Completed",L1319*J1319*(1-K1319),0)</x:f>
        <x:v>0</x:v>
      </x:c>
      <x:c r="Q1319" s="9" t="n">
        <x:f>O1319-P1319</x:f>
        <x:v>94.5</x:v>
      </x:c>
      <x:c r="R1319" s="11" t="n">
        <x:f>IF(D1319="Completed",I1319,0)</x:f>
        <x:v>3</x:v>
      </x:c>
      <x:c r="S1319" s="11" t="n">
        <x:f>IF(D1319="Completed",L1319,0)</x:f>
        <x:v>0</x:v>
      </x:c>
      <x:c r="T1319" s="8" t="n">
        <x:f>DATE(YEAR(C1319),MONTH(C1319),1)</x:f>
        <x:v>45689</x:v>
      </x:c>
    </x:row>
    <x:row r="1320" ht="22" customHeight="1">
      <x:c r="A1320" s="2" t="str">
        <x:v>L001316</x:v>
      </x:c>
      <x:c r="B1320" s="2" t="str">
        <x:v>O00533</x:v>
      </x:c>
      <x:c r="C1320" s="7" t="n">
        <x:v>45694</x:v>
      </x:c>
      <x:c r="D1320" s="2" t="str">
        <x:v>Completed</x:v>
      </x:c>
      <x:c r="E1320" s="2" t="str">
        <x:v>West</x:v>
      </x:c>
      <x:c r="F1320" s="2" t="str">
        <x:v>Store</x:v>
      </x:c>
      <x:c r="G1320" s="2" t="str">
        <x:v>Lighting</x:v>
      </x:c>
      <x:c r="H1320" s="2" t="str">
        <x:v>Lamp 001</x:v>
      </x:c>
      <x:c r="I1320" s="11" t="n">
        <x:v>5</x:v>
      </x:c>
      <x:c r="J1320" s="9" t="n">
        <x:v>122</x:v>
      </x:c>
      <x:c r="K1320" s="10" t="n">
        <x:v>0.1</x:v>
      </x:c>
      <x:c r="L1320" s="11" t="n">
        <x:v>1</x:v>
      </x:c>
      <x:c r="M1320" s="9" t="n">
        <x:f>IF(D1320="Completed",I1320*J1320,0)</x:f>
        <x:v>610</x:v>
      </x:c>
      <x:c r="N1320" s="9" t="n">
        <x:f>M1320*K1320</x:f>
        <x:v>61</x:v>
      </x:c>
      <x:c r="O1320" s="9" t="n">
        <x:f>M1320-N1320</x:f>
        <x:v>549</x:v>
      </x:c>
      <x:c r="P1320" s="9" t="n">
        <x:f>IF(D1320="Completed",L1320*J1320*(1-K1320),0)</x:f>
        <x:v>109.8</x:v>
      </x:c>
      <x:c r="Q1320" s="9" t="n">
        <x:f>O1320-P1320</x:f>
        <x:v>439.2</x:v>
      </x:c>
      <x:c r="R1320" s="11" t="n">
        <x:f>IF(D1320="Completed",I1320,0)</x:f>
        <x:v>5</x:v>
      </x:c>
      <x:c r="S1320" s="11" t="n">
        <x:f>IF(D1320="Completed",L1320,0)</x:f>
        <x:v>1</x:v>
      </x:c>
      <x:c r="T1320" s="8" t="n">
        <x:f>DATE(YEAR(C1320),MONTH(C1320),1)</x:f>
        <x:v>45689</x:v>
      </x:c>
    </x:row>
    <x:row r="1321" ht="22" customHeight="1">
      <x:c r="A1321" s="2" t="str">
        <x:v>L001317</x:v>
      </x:c>
      <x:c r="B1321" s="2" t="str">
        <x:v>O00534</x:v>
      </x:c>
      <x:c r="C1321" s="7" t="n">
        <x:v>45850</x:v>
      </x:c>
      <x:c r="D1321" s="2" t="str">
        <x:v>Completed</x:v>
      </x:c>
      <x:c r="E1321" s="2" t="str">
        <x:v>South</x:v>
      </x:c>
      <x:c r="F1321" s="2" t="str">
        <x:v>Online</x:v>
      </x:c>
      <x:c r="G1321" s="2" t="str">
        <x:v>Furniture</x:v>
      </x:c>
      <x:c r="H1321" s="2" t="str">
        <x:v>Chair 002</x:v>
      </x:c>
      <x:c r="I1321" s="11" t="n">
        <x:v>1</x:v>
      </x:c>
      <x:c r="J1321" s="9" t="n">
        <x:v>284</x:v>
      </x:c>
      <x:c r="K1321" s="10" t="n">
        <x:v>0.1</x:v>
      </x:c>
      <x:c r="L1321" s="11" t="n">
        <x:v>0</x:v>
      </x:c>
      <x:c r="M1321" s="9" t="n">
        <x:f>IF(D1321="Completed",I1321*J1321,0)</x:f>
        <x:v>284</x:v>
      </x:c>
      <x:c r="N1321" s="9" t="n">
        <x:f>M1321*K1321</x:f>
        <x:v>28.400000000000002</x:v>
      </x:c>
      <x:c r="O1321" s="9" t="n">
        <x:f>M1321-N1321</x:f>
        <x:v>255.6</x:v>
      </x:c>
      <x:c r="P1321" s="9" t="n">
        <x:f>IF(D1321="Completed",L1321*J1321*(1-K1321),0)</x:f>
        <x:v>0</x:v>
      </x:c>
      <x:c r="Q1321" s="9" t="n">
        <x:f>O1321-P1321</x:f>
        <x:v>255.6</x:v>
      </x:c>
      <x:c r="R1321" s="11" t="n">
        <x:f>IF(D1321="Completed",I1321,0)</x:f>
        <x:v>1</x:v>
      </x:c>
      <x:c r="S1321" s="11" t="n">
        <x:f>IF(D1321="Completed",L1321,0)</x:f>
        <x:v>0</x:v>
      </x:c>
      <x:c r="T1321" s="8" t="n">
        <x:f>DATE(YEAR(C1321),MONTH(C1321),1)</x:f>
        <x:v>45839</x:v>
      </x:c>
    </x:row>
    <x:row r="1322" ht="22" customHeight="1">
      <x:c r="A1322" s="2" t="str">
        <x:v>L001318</x:v>
      </x:c>
      <x:c r="B1322" s="2" t="str">
        <x:v>O00534</x:v>
      </x:c>
      <x:c r="C1322" s="7" t="n">
        <x:v>45850</x:v>
      </x:c>
      <x:c r="D1322" s="2" t="str">
        <x:v>Completed</x:v>
      </x:c>
      <x:c r="E1322" s="2" t="str">
        <x:v>South</x:v>
      </x:c>
      <x:c r="F1322" s="2" t="str">
        <x:v>Online</x:v>
      </x:c>
      <x:c r="G1322" s="2" t="str">
        <x:v>Furniture</x:v>
      </x:c>
      <x:c r="H1322" s="2" t="str">
        <x:v>Chair 002</x:v>
      </x:c>
      <x:c r="I1322" s="11" t="n">
        <x:v>2</x:v>
      </x:c>
      <x:c r="J1322" s="9" t="n">
        <x:v>284</x:v>
      </x:c>
      <x:c r="K1322" s="10" t="n">
        <x:v>0</x:v>
      </x:c>
      <x:c r="L1322" s="11" t="n">
        <x:v>0</x:v>
      </x:c>
      <x:c r="M1322" s="9" t="n">
        <x:f>IF(D1322="Completed",I1322*J1322,0)</x:f>
        <x:v>568</x:v>
      </x:c>
      <x:c r="N1322" s="9" t="n">
        <x:f>M1322*K1322</x:f>
        <x:v>0</x:v>
      </x:c>
      <x:c r="O1322" s="9" t="n">
        <x:f>M1322-N1322</x:f>
        <x:v>568</x:v>
      </x:c>
      <x:c r="P1322" s="9" t="n">
        <x:f>IF(D1322="Completed",L1322*J1322*(1-K1322),0)</x:f>
        <x:v>0</x:v>
      </x:c>
      <x:c r="Q1322" s="9" t="n">
        <x:f>O1322-P1322</x:f>
        <x:v>568</x:v>
      </x:c>
      <x:c r="R1322" s="11" t="n">
        <x:f>IF(D1322="Completed",I1322,0)</x:f>
        <x:v>2</x:v>
      </x:c>
      <x:c r="S1322" s="11" t="n">
        <x:f>IF(D1322="Completed",L1322,0)</x:f>
        <x:v>0</x:v>
      </x:c>
      <x:c r="T1322" s="8" t="n">
        <x:f>DATE(YEAR(C1322),MONTH(C1322),1)</x:f>
        <x:v>45839</x:v>
      </x:c>
    </x:row>
    <x:row r="1323" ht="22" customHeight="1">
      <x:c r="A1323" s="2" t="str">
        <x:v>L001319</x:v>
      </x:c>
      <x:c r="B1323" s="2" t="str">
        <x:v>O00534</x:v>
      </x:c>
      <x:c r="C1323" s="7" t="n">
        <x:v>45850</x:v>
      </x:c>
      <x:c r="D1323" s="2" t="str">
        <x:v>Completed</x:v>
      </x:c>
      <x:c r="E1323" s="2" t="str">
        <x:v>South</x:v>
      </x:c>
      <x:c r="F1323" s="2" t="str">
        <x:v>Online</x:v>
      </x:c>
      <x:c r="G1323" s="2" t="str">
        <x:v>Storage</x:v>
      </x:c>
      <x:c r="H1323" s="2" t="str">
        <x:v>Shelf 015</x:v>
      </x:c>
      <x:c r="I1323" s="11" t="n">
        <x:v>4</x:v>
      </x:c>
      <x:c r="J1323" s="9" t="n">
        <x:v>254</x:v>
      </x:c>
      <x:c r="K1323" s="10" t="n">
        <x:v>0.1</x:v>
      </x:c>
      <x:c r="L1323" s="11" t="n">
        <x:v>4</x:v>
      </x:c>
      <x:c r="M1323" s="9" t="n">
        <x:f>IF(D1323="Completed",I1323*J1323,0)</x:f>
        <x:v>1016</x:v>
      </x:c>
      <x:c r="N1323" s="9" t="n">
        <x:f>M1323*K1323</x:f>
        <x:v>101.60000000000001</x:v>
      </x:c>
      <x:c r="O1323" s="9" t="n">
        <x:f>M1323-N1323</x:f>
        <x:v>914.4</x:v>
      </x:c>
      <x:c r="P1323" s="9" t="n">
        <x:f>IF(D1323="Completed",L1323*J1323*(1-K1323),0)</x:f>
        <x:v>914.4</x:v>
      </x:c>
      <x:c r="Q1323" s="9" t="n">
        <x:f>O1323-P1323</x:f>
        <x:v>0</x:v>
      </x:c>
      <x:c r="R1323" s="11" t="n">
        <x:f>IF(D1323="Completed",I1323,0)</x:f>
        <x:v>4</x:v>
      </x:c>
      <x:c r="S1323" s="11" t="n">
        <x:f>IF(D1323="Completed",L1323,0)</x:f>
        <x:v>4</x:v>
      </x:c>
      <x:c r="T1323" s="8" t="n">
        <x:f>DATE(YEAR(C1323),MONTH(C1323),1)</x:f>
        <x:v>45839</x:v>
      </x:c>
    </x:row>
    <x:row r="1324" ht="22" customHeight="1">
      <x:c r="A1324" s="2" t="str">
        <x:v>L001320</x:v>
      </x:c>
      <x:c r="B1324" s="2" t="str">
        <x:v>O00535</x:v>
      </x:c>
      <x:c r="C1324" s="7" t="n">
        <x:v>45970</x:v>
      </x:c>
      <x:c r="D1324" s="2" t="str">
        <x:v>Completed</x:v>
      </x:c>
      <x:c r="E1324" s="2" t="str">
        <x:v>East</x:v>
      </x:c>
      <x:c r="F1324" s="2" t="str">
        <x:v>Online</x:v>
      </x:c>
      <x:c r="G1324" s="2" t="str">
        <x:v>Storage</x:v>
      </x:c>
      <x:c r="H1324" s="2" t="str">
        <x:v>Shelf 023</x:v>
      </x:c>
      <x:c r="I1324" s="11" t="n">
        <x:v>4</x:v>
      </x:c>
      <x:c r="J1324" s="9" t="n">
        <x:v>68</x:v>
      </x:c>
      <x:c r="K1324" s="10" t="n">
        <x:v>0.05</x:v>
      </x:c>
      <x:c r="L1324" s="11" t="n">
        <x:v>0</x:v>
      </x:c>
      <x:c r="M1324" s="9" t="n">
        <x:f>IF(D1324="Completed",I1324*J1324,0)</x:f>
        <x:v>272</x:v>
      </x:c>
      <x:c r="N1324" s="9" t="n">
        <x:f>M1324*K1324</x:f>
        <x:v>13.600000000000001</x:v>
      </x:c>
      <x:c r="O1324" s="9" t="n">
        <x:f>M1324-N1324</x:f>
        <x:v>258.4</x:v>
      </x:c>
      <x:c r="P1324" s="9" t="n">
        <x:f>IF(D1324="Completed",L1324*J1324*(1-K1324),0)</x:f>
        <x:v>0</x:v>
      </x:c>
      <x:c r="Q1324" s="9" t="n">
        <x:f>O1324-P1324</x:f>
        <x:v>258.4</x:v>
      </x:c>
      <x:c r="R1324" s="11" t="n">
        <x:f>IF(D1324="Completed",I1324,0)</x:f>
        <x:v>4</x:v>
      </x:c>
      <x:c r="S1324" s="11" t="n">
        <x:f>IF(D1324="Completed",L1324,0)</x:f>
        <x:v>0</x:v>
      </x:c>
      <x:c r="T1324" s="8" t="n">
        <x:f>DATE(YEAR(C1324),MONTH(C1324),1)</x:f>
        <x:v>45962</x:v>
      </x:c>
    </x:row>
    <x:row r="1325" ht="22" customHeight="1">
      <x:c r="A1325" s="2" t="str">
        <x:v>L001321</x:v>
      </x:c>
      <x:c r="B1325" s="2" t="str">
        <x:v>O00535</x:v>
      </x:c>
      <x:c r="C1325" s="7" t="n">
        <x:v>45970</x:v>
      </x:c>
      <x:c r="D1325" s="2" t="str">
        <x:v>Completed</x:v>
      </x:c>
      <x:c r="E1325" s="2" t="str">
        <x:v>East</x:v>
      </x:c>
      <x:c r="F1325" s="2" t="str">
        <x:v>Online</x:v>
      </x:c>
      <x:c r="G1325" s="2" t="str">
        <x:v>Storage</x:v>
      </x:c>
      <x:c r="H1325" s="2" t="str">
        <x:v>Shelf 003</x:v>
      </x:c>
      <x:c r="I1325" s="11" t="n">
        <x:v>4</x:v>
      </x:c>
      <x:c r="J1325" s="9" t="n">
        <x:v>199</x:v>
      </x:c>
      <x:c r="K1325" s="10" t="n">
        <x:v>0.1</x:v>
      </x:c>
      <x:c r="L1325" s="11" t="n">
        <x:v>0</x:v>
      </x:c>
      <x:c r="M1325" s="9" t="n">
        <x:f>IF(D1325="Completed",I1325*J1325,0)</x:f>
        <x:v>796</x:v>
      </x:c>
      <x:c r="N1325" s="9" t="n">
        <x:f>M1325*K1325</x:f>
        <x:v>79.60000000000001</x:v>
      </x:c>
      <x:c r="O1325" s="9" t="n">
        <x:f>M1325-N1325</x:f>
        <x:v>716.4</x:v>
      </x:c>
      <x:c r="P1325" s="9" t="n">
        <x:f>IF(D1325="Completed",L1325*J1325*(1-K1325),0)</x:f>
        <x:v>0</x:v>
      </x:c>
      <x:c r="Q1325" s="9" t="n">
        <x:f>O1325-P1325</x:f>
        <x:v>716.4</x:v>
      </x:c>
      <x:c r="R1325" s="11" t="n">
        <x:f>IF(D1325="Completed",I1325,0)</x:f>
        <x:v>4</x:v>
      </x:c>
      <x:c r="S1325" s="11" t="n">
        <x:f>IF(D1325="Completed",L1325,0)</x:f>
        <x:v>0</x:v>
      </x:c>
      <x:c r="T1325" s="8" t="n">
        <x:f>DATE(YEAR(C1325),MONTH(C1325),1)</x:f>
        <x:v>45962</x:v>
      </x:c>
    </x:row>
    <x:row r="1326" ht="22" customHeight="1">
      <x:c r="A1326" s="2" t="str">
        <x:v>L001322</x:v>
      </x:c>
      <x:c r="B1326" s="2" t="str">
        <x:v>O00535</x:v>
      </x:c>
      <x:c r="C1326" s="7" t="n">
        <x:v>45970</x:v>
      </x:c>
      <x:c r="D1326" s="2" t="str">
        <x:v>Completed</x:v>
      </x:c>
      <x:c r="E1326" s="2" t="str">
        <x:v>East</x:v>
      </x:c>
      <x:c r="F1326" s="2" t="str">
        <x:v>Online</x:v>
      </x:c>
      <x:c r="G1326" s="2" t="str">
        <x:v>Storage</x:v>
      </x:c>
      <x:c r="H1326" s="2" t="str">
        <x:v>Shelf 023</x:v>
      </x:c>
      <x:c r="I1326" s="11" t="n">
        <x:v>1</x:v>
      </x:c>
      <x:c r="J1326" s="9" t="n">
        <x:v>68</x:v>
      </x:c>
      <x:c r="K1326" s="10" t="n">
        <x:v>0.1</x:v>
      </x:c>
      <x:c r="L1326" s="11" t="n">
        <x:v>0</x:v>
      </x:c>
      <x:c r="M1326" s="9" t="n">
        <x:f>IF(D1326="Completed",I1326*J1326,0)</x:f>
        <x:v>68</x:v>
      </x:c>
      <x:c r="N1326" s="9" t="n">
        <x:f>M1326*K1326</x:f>
        <x:v>6.800000000000001</x:v>
      </x:c>
      <x:c r="O1326" s="9" t="n">
        <x:f>M1326-N1326</x:f>
        <x:v>61.2</x:v>
      </x:c>
      <x:c r="P1326" s="9" t="n">
        <x:f>IF(D1326="Completed",L1326*J1326*(1-K1326),0)</x:f>
        <x:v>0</x:v>
      </x:c>
      <x:c r="Q1326" s="9" t="n">
        <x:f>O1326-P1326</x:f>
        <x:v>61.2</x:v>
      </x:c>
      <x:c r="R1326" s="11" t="n">
        <x:f>IF(D1326="Completed",I1326,0)</x:f>
        <x:v>1</x:v>
      </x:c>
      <x:c r="S1326" s="11" t="n">
        <x:f>IF(D1326="Completed",L1326,0)</x:f>
        <x:v>0</x:v>
      </x:c>
      <x:c r="T1326" s="8" t="n">
        <x:f>DATE(YEAR(C1326),MONTH(C1326),1)</x:f>
        <x:v>45962</x:v>
      </x:c>
    </x:row>
    <x:row r="1327" ht="22" customHeight="1">
      <x:c r="A1327" s="2" t="str">
        <x:v>L001323</x:v>
      </x:c>
      <x:c r="B1327" s="2" t="str">
        <x:v>O00536</x:v>
      </x:c>
      <x:c r="C1327" s="7" t="n">
        <x:v>45781</x:v>
      </x:c>
      <x:c r="D1327" s="2" t="str">
        <x:v>Completed</x:v>
      </x:c>
      <x:c r="E1327" s="2" t="str">
        <x:v>West</x:v>
      </x:c>
      <x:c r="F1327" s="2" t="str">
        <x:v>Online</x:v>
      </x:c>
      <x:c r="G1327" s="2" t="str">
        <x:v>Lighting</x:v>
      </x:c>
      <x:c r="H1327" s="2" t="str">
        <x:v>Lamp 013</x:v>
      </x:c>
      <x:c r="I1327" s="11" t="n">
        <x:v>2</x:v>
      </x:c>
      <x:c r="J1327" s="9" t="n">
        <x:v>271</x:v>
      </x:c>
      <x:c r="K1327" s="10" t="n">
        <x:v>0.2</x:v>
      </x:c>
      <x:c r="L1327" s="11" t="n">
        <x:v>0</x:v>
      </x:c>
      <x:c r="M1327" s="9" t="n">
        <x:f>IF(D1327="Completed",I1327*J1327,0)</x:f>
        <x:v>542</x:v>
      </x:c>
      <x:c r="N1327" s="9" t="n">
        <x:f>M1327*K1327</x:f>
        <x:v>108.4</x:v>
      </x:c>
      <x:c r="O1327" s="9" t="n">
        <x:f>M1327-N1327</x:f>
        <x:v>433.6</x:v>
      </x:c>
      <x:c r="P1327" s="9" t="n">
        <x:f>IF(D1327="Completed",L1327*J1327*(1-K1327),0)</x:f>
        <x:v>0</x:v>
      </x:c>
      <x:c r="Q1327" s="9" t="n">
        <x:f>O1327-P1327</x:f>
        <x:v>433.6</x:v>
      </x:c>
      <x:c r="R1327" s="11" t="n">
        <x:f>IF(D1327="Completed",I1327,0)</x:f>
        <x:v>2</x:v>
      </x:c>
      <x:c r="S1327" s="11" t="n">
        <x:f>IF(D1327="Completed",L1327,0)</x:f>
        <x:v>0</x:v>
      </x:c>
      <x:c r="T1327" s="8" t="n">
        <x:f>DATE(YEAR(C1327),MONTH(C1327),1)</x:f>
        <x:v>45778</x:v>
      </x:c>
    </x:row>
    <x:row r="1328" ht="22" customHeight="1">
      <x:c r="A1328" s="2" t="str">
        <x:v>L001324</x:v>
      </x:c>
      <x:c r="B1328" s="2" t="str">
        <x:v>O00537</x:v>
      </x:c>
      <x:c r="C1328" s="7" t="n">
        <x:v>45665</x:v>
      </x:c>
      <x:c r="D1328" s="2" t="str">
        <x:v>Completed</x:v>
      </x:c>
      <x:c r="E1328" s="2" t="str">
        <x:v>North</x:v>
      </x:c>
      <x:c r="F1328" s="2" t="str">
        <x:v>Store</x:v>
      </x:c>
      <x:c r="G1328" s="2" t="str">
        <x:v>Furniture</x:v>
      </x:c>
      <x:c r="H1328" s="2" t="str">
        <x:v>Chair 018</x:v>
      </x:c>
      <x:c r="I1328" s="11" t="n">
        <x:v>3</x:v>
      </x:c>
      <x:c r="J1328" s="9" t="n">
        <x:v>269</x:v>
      </x:c>
      <x:c r="K1328" s="10" t="n">
        <x:v>0.1</x:v>
      </x:c>
      <x:c r="L1328" s="11" t="n">
        <x:v>3</x:v>
      </x:c>
      <x:c r="M1328" s="9" t="n">
        <x:f>IF(D1328="Completed",I1328*J1328,0)</x:f>
        <x:v>807</x:v>
      </x:c>
      <x:c r="N1328" s="9" t="n">
        <x:f>M1328*K1328</x:f>
        <x:v>80.7</x:v>
      </x:c>
      <x:c r="O1328" s="9" t="n">
        <x:f>M1328-N1328</x:f>
        <x:v>726.3</x:v>
      </x:c>
      <x:c r="P1328" s="9" t="n">
        <x:f>IF(D1328="Completed",L1328*J1328*(1-K1328),0)</x:f>
        <x:v>726.3000000000001</x:v>
      </x:c>
      <x:c r="Q1328" s="9" t="n">
        <x:f>O1328-P1328</x:f>
        <x:v>-1.1368683772161603e-13</x:v>
      </x:c>
      <x:c r="R1328" s="11" t="n">
        <x:f>IF(D1328="Completed",I1328,0)</x:f>
        <x:v>3</x:v>
      </x:c>
      <x:c r="S1328" s="11" t="n">
        <x:f>IF(D1328="Completed",L1328,0)</x:f>
        <x:v>3</x:v>
      </x:c>
      <x:c r="T1328" s="8" t="n">
        <x:f>DATE(YEAR(C1328),MONTH(C1328),1)</x:f>
        <x:v>45658</x:v>
      </x:c>
    </x:row>
    <x:row r="1329" ht="22" customHeight="1">
      <x:c r="A1329" s="2" t="str">
        <x:v>L001325</x:v>
      </x:c>
      <x:c r="B1329" s="2" t="str">
        <x:v>O00538</x:v>
      </x:c>
      <x:c r="C1329" s="7" t="n">
        <x:v>45984</x:v>
      </x:c>
      <x:c r="D1329" s="2" t="str">
        <x:v>Completed</x:v>
      </x:c>
      <x:c r="E1329" s="2" t="str">
        <x:v>South</x:v>
      </x:c>
      <x:c r="F1329" s="2" t="str">
        <x:v>Store</x:v>
      </x:c>
      <x:c r="G1329" s="2" t="str">
        <x:v>Furniture</x:v>
      </x:c>
      <x:c r="H1329" s="2" t="str">
        <x:v>Desk 016</x:v>
      </x:c>
      <x:c r="I1329" s="11" t="n">
        <x:v>1</x:v>
      </x:c>
      <x:c r="J1329" s="9" t="n">
        <x:v>231</x:v>
      </x:c>
      <x:c r="K1329" s="10" t="n">
        <x:v>0.05</x:v>
      </x:c>
      <x:c r="L1329" s="11" t="n">
        <x:v>0</x:v>
      </x:c>
      <x:c r="M1329" s="9" t="n">
        <x:f>IF(D1329="Completed",I1329*J1329,0)</x:f>
        <x:v>231</x:v>
      </x:c>
      <x:c r="N1329" s="9" t="n">
        <x:f>M1329*K1329</x:f>
        <x:v>11.55</x:v>
      </x:c>
      <x:c r="O1329" s="9" t="n">
        <x:f>M1329-N1329</x:f>
        <x:v>219.45</x:v>
      </x:c>
      <x:c r="P1329" s="9" t="n">
        <x:f>IF(D1329="Completed",L1329*J1329*(1-K1329),0)</x:f>
        <x:v>0</x:v>
      </x:c>
      <x:c r="Q1329" s="9" t="n">
        <x:f>O1329-P1329</x:f>
        <x:v>219.45</x:v>
      </x:c>
      <x:c r="R1329" s="11" t="n">
        <x:f>IF(D1329="Completed",I1329,0)</x:f>
        <x:v>1</x:v>
      </x:c>
      <x:c r="S1329" s="11" t="n">
        <x:f>IF(D1329="Completed",L1329,0)</x:f>
        <x:v>0</x:v>
      </x:c>
      <x:c r="T1329" s="8" t="n">
        <x:f>DATE(YEAR(C1329),MONTH(C1329),1)</x:f>
        <x:v>45962</x:v>
      </x:c>
    </x:row>
    <x:row r="1330" ht="22" customHeight="1">
      <x:c r="A1330" s="2" t="str">
        <x:v>L001326</x:v>
      </x:c>
      <x:c r="B1330" s="2" t="str">
        <x:v>O00539</x:v>
      </x:c>
      <x:c r="C1330" s="7" t="n">
        <x:v>45695</x:v>
      </x:c>
      <x:c r="D1330" s="2" t="str">
        <x:v>Completed</x:v>
      </x:c>
      <x:c r="E1330" s="2" t="str">
        <x:v>South</x:v>
      </x:c>
      <x:c r="F1330" s="2" t="str">
        <x:v>Store</x:v>
      </x:c>
      <x:c r="G1330" s="2" t="str">
        <x:v>Furniture</x:v>
      </x:c>
      <x:c r="H1330" s="2" t="str">
        <x:v>Chair 022</x:v>
      </x:c>
      <x:c r="I1330" s="11" t="n">
        <x:v>1</x:v>
      </x:c>
      <x:c r="J1330" s="9" t="n">
        <x:v>134</x:v>
      </x:c>
      <x:c r="K1330" s="10" t="n">
        <x:v>0</x:v>
      </x:c>
      <x:c r="L1330" s="11" t="n">
        <x:v>0</x:v>
      </x:c>
      <x:c r="M1330" s="9" t="n">
        <x:f>IF(D1330="Completed",I1330*J1330,0)</x:f>
        <x:v>134</x:v>
      </x:c>
      <x:c r="N1330" s="9" t="n">
        <x:f>M1330*K1330</x:f>
        <x:v>0</x:v>
      </x:c>
      <x:c r="O1330" s="9" t="n">
        <x:f>M1330-N1330</x:f>
        <x:v>134</x:v>
      </x:c>
      <x:c r="P1330" s="9" t="n">
        <x:f>IF(D1330="Completed",L1330*J1330*(1-K1330),0)</x:f>
        <x:v>0</x:v>
      </x:c>
      <x:c r="Q1330" s="9" t="n">
        <x:f>O1330-P1330</x:f>
        <x:v>134</x:v>
      </x:c>
      <x:c r="R1330" s="11" t="n">
        <x:f>IF(D1330="Completed",I1330,0)</x:f>
        <x:v>1</x:v>
      </x:c>
      <x:c r="S1330" s="11" t="n">
        <x:f>IF(D1330="Completed",L1330,0)</x:f>
        <x:v>0</x:v>
      </x:c>
      <x:c r="T1330" s="8" t="n">
        <x:f>DATE(YEAR(C1330),MONTH(C1330),1)</x:f>
        <x:v>45689</x:v>
      </x:c>
    </x:row>
    <x:row r="1331" ht="22" customHeight="1">
      <x:c r="A1331" s="2" t="str">
        <x:v>L001327</x:v>
      </x:c>
      <x:c r="B1331" s="2" t="str">
        <x:v>O00540</x:v>
      </x:c>
      <x:c r="C1331" s="7" t="n">
        <x:v>45828</x:v>
      </x:c>
      <x:c r="D1331" s="2" t="str">
        <x:v>Completed</x:v>
      </x:c>
      <x:c r="E1331" s="2" t="str">
        <x:v>West</x:v>
      </x:c>
      <x:c r="F1331" s="2" t="str">
        <x:v>Online</x:v>
      </x:c>
      <x:c r="G1331" s="2" t="str">
        <x:v>Storage</x:v>
      </x:c>
      <x:c r="H1331" s="2" t="str">
        <x:v>Shelf 003</x:v>
      </x:c>
      <x:c r="I1331" s="11" t="n">
        <x:v>4</x:v>
      </x:c>
      <x:c r="J1331" s="9" t="n">
        <x:v>199</x:v>
      </x:c>
      <x:c r="K1331" s="10" t="n">
        <x:v>0.05</x:v>
      </x:c>
      <x:c r="L1331" s="11" t="n">
        <x:v>0</x:v>
      </x:c>
      <x:c r="M1331" s="9" t="n">
        <x:f>IF(D1331="Completed",I1331*J1331,0)</x:f>
        <x:v>796</x:v>
      </x:c>
      <x:c r="N1331" s="9" t="n">
        <x:f>M1331*K1331</x:f>
        <x:v>39.800000000000004</x:v>
      </x:c>
      <x:c r="O1331" s="9" t="n">
        <x:f>M1331-N1331</x:f>
        <x:v>756.2</x:v>
      </x:c>
      <x:c r="P1331" s="9" t="n">
        <x:f>IF(D1331="Completed",L1331*J1331*(1-K1331),0)</x:f>
        <x:v>0</x:v>
      </x:c>
      <x:c r="Q1331" s="9" t="n">
        <x:f>O1331-P1331</x:f>
        <x:v>756.2</x:v>
      </x:c>
      <x:c r="R1331" s="11" t="n">
        <x:f>IF(D1331="Completed",I1331,0)</x:f>
        <x:v>4</x:v>
      </x:c>
      <x:c r="S1331" s="11" t="n">
        <x:f>IF(D1331="Completed",L1331,0)</x:f>
        <x:v>0</x:v>
      </x:c>
      <x:c r="T1331" s="8" t="n">
        <x:f>DATE(YEAR(C1331),MONTH(C1331),1)</x:f>
        <x:v>45809</x:v>
      </x:c>
    </x:row>
    <x:row r="1332" ht="22" customHeight="1">
      <x:c r="A1332" s="2" t="str">
        <x:v>L001328</x:v>
      </x:c>
      <x:c r="B1332" s="2" t="str">
        <x:v>O00541</x:v>
      </x:c>
      <x:c r="C1332" s="7" t="n">
        <x:v>45743</x:v>
      </x:c>
      <x:c r="D1332" s="2" t="str">
        <x:v>Completed</x:v>
      </x:c>
      <x:c r="E1332" s="2" t="str">
        <x:v>North</x:v>
      </x:c>
      <x:c r="F1332" s="2" t="str">
        <x:v>Online</x:v>
      </x:c>
      <x:c r="G1332" s="2" t="str">
        <x:v>Storage</x:v>
      </x:c>
      <x:c r="H1332" s="2" t="str">
        <x:v>Shelf 011</x:v>
      </x:c>
      <x:c r="I1332" s="11" t="n">
        <x:v>5</x:v>
      </x:c>
      <x:c r="J1332" s="9" t="n">
        <x:v>80</x:v>
      </x:c>
      <x:c r="K1332" s="10" t="n">
        <x:v>0.2</x:v>
      </x:c>
      <x:c r="L1332" s="11" t="n">
        <x:v>0</x:v>
      </x:c>
      <x:c r="M1332" s="9" t="n">
        <x:f>IF(D1332="Completed",I1332*J1332,0)</x:f>
        <x:v>400</x:v>
      </x:c>
      <x:c r="N1332" s="9" t="n">
        <x:f>M1332*K1332</x:f>
        <x:v>80</x:v>
      </x:c>
      <x:c r="O1332" s="9" t="n">
        <x:f>M1332-N1332</x:f>
        <x:v>320</x:v>
      </x:c>
      <x:c r="P1332" s="9" t="n">
        <x:f>IF(D1332="Completed",L1332*J1332*(1-K1332),0)</x:f>
        <x:v>0</x:v>
      </x:c>
      <x:c r="Q1332" s="9" t="n">
        <x:f>O1332-P1332</x:f>
        <x:v>320</x:v>
      </x:c>
      <x:c r="R1332" s="11" t="n">
        <x:f>IF(D1332="Completed",I1332,0)</x:f>
        <x:v>5</x:v>
      </x:c>
      <x:c r="S1332" s="11" t="n">
        <x:f>IF(D1332="Completed",L1332,0)</x:f>
        <x:v>0</x:v>
      </x:c>
      <x:c r="T1332" s="8" t="n">
        <x:f>DATE(YEAR(C1332),MONTH(C1332),1)</x:f>
        <x:v>45717</x:v>
      </x:c>
    </x:row>
    <x:row r="1333" ht="22" customHeight="1">
      <x:c r="A1333" s="2" t="str">
        <x:v>L001329</x:v>
      </x:c>
      <x:c r="B1333" s="2" t="str">
        <x:v>O00541</x:v>
      </x:c>
      <x:c r="C1333" s="7" t="n">
        <x:v>45743</x:v>
      </x:c>
      <x:c r="D1333" s="2" t="str">
        <x:v>Completed</x:v>
      </x:c>
      <x:c r="E1333" s="2" t="str">
        <x:v>North</x:v>
      </x:c>
      <x:c r="F1333" s="2" t="str">
        <x:v>Online</x:v>
      </x:c>
      <x:c r="G1333" s="2" t="str">
        <x:v>Furniture</x:v>
      </x:c>
      <x:c r="H1333" s="2" t="str">
        <x:v>Desk 016</x:v>
      </x:c>
      <x:c r="I1333" s="11" t="n">
        <x:v>1</x:v>
      </x:c>
      <x:c r="J1333" s="9" t="n">
        <x:v>231</x:v>
      </x:c>
      <x:c r="K1333" s="10" t="n">
        <x:v>0</x:v>
      </x:c>
      <x:c r="L1333" s="11" t="n">
        <x:v>0</x:v>
      </x:c>
      <x:c r="M1333" s="9" t="n">
        <x:f>IF(D1333="Completed",I1333*J1333,0)</x:f>
        <x:v>231</x:v>
      </x:c>
      <x:c r="N1333" s="9" t="n">
        <x:f>M1333*K1333</x:f>
        <x:v>0</x:v>
      </x:c>
      <x:c r="O1333" s="9" t="n">
        <x:f>M1333-N1333</x:f>
        <x:v>231</x:v>
      </x:c>
      <x:c r="P1333" s="9" t="n">
        <x:f>IF(D1333="Completed",L1333*J1333*(1-K1333),0)</x:f>
        <x:v>0</x:v>
      </x:c>
      <x:c r="Q1333" s="9" t="n">
        <x:f>O1333-P1333</x:f>
        <x:v>231</x:v>
      </x:c>
      <x:c r="R1333" s="11" t="n">
        <x:f>IF(D1333="Completed",I1333,0)</x:f>
        <x:v>1</x:v>
      </x:c>
      <x:c r="S1333" s="11" t="n">
        <x:f>IF(D1333="Completed",L1333,0)</x:f>
        <x:v>0</x:v>
      </x:c>
      <x:c r="T1333" s="8" t="n">
        <x:f>DATE(YEAR(C1333),MONTH(C1333),1)</x:f>
        <x:v>45717</x:v>
      </x:c>
    </x:row>
    <x:row r="1334" ht="22" customHeight="1">
      <x:c r="A1334" s="2" t="str">
        <x:v>L001330</x:v>
      </x:c>
      <x:c r="B1334" s="2" t="str">
        <x:v>O00541</x:v>
      </x:c>
      <x:c r="C1334" s="7" t="n">
        <x:v>45743</x:v>
      </x:c>
      <x:c r="D1334" s="2" t="str">
        <x:v>Completed</x:v>
      </x:c>
      <x:c r="E1334" s="2" t="str">
        <x:v>North</x:v>
      </x:c>
      <x:c r="F1334" s="2" t="str">
        <x:v>Online</x:v>
      </x:c>
      <x:c r="G1334" s="2" t="str">
        <x:v>Storage</x:v>
      </x:c>
      <x:c r="H1334" s="2" t="str">
        <x:v>Shelf 019</x:v>
      </x:c>
      <x:c r="I1334" s="11" t="n">
        <x:v>5</x:v>
      </x:c>
      <x:c r="J1334" s="9" t="n">
        <x:v>78</x:v>
      </x:c>
      <x:c r="K1334" s="10" t="n">
        <x:v>0</x:v>
      </x:c>
      <x:c r="L1334" s="11" t="n">
        <x:v>0</x:v>
      </x:c>
      <x:c r="M1334" s="9" t="n">
        <x:f>IF(D1334="Completed",I1334*J1334,0)</x:f>
        <x:v>390</x:v>
      </x:c>
      <x:c r="N1334" s="9" t="n">
        <x:f>M1334*K1334</x:f>
        <x:v>0</x:v>
      </x:c>
      <x:c r="O1334" s="9" t="n">
        <x:f>M1334-N1334</x:f>
        <x:v>390</x:v>
      </x:c>
      <x:c r="P1334" s="9" t="n">
        <x:f>IF(D1334="Completed",L1334*J1334*(1-K1334),0)</x:f>
        <x:v>0</x:v>
      </x:c>
      <x:c r="Q1334" s="9" t="n">
        <x:f>O1334-P1334</x:f>
        <x:v>390</x:v>
      </x:c>
      <x:c r="R1334" s="11" t="n">
        <x:f>IF(D1334="Completed",I1334,0)</x:f>
        <x:v>5</x:v>
      </x:c>
      <x:c r="S1334" s="11" t="n">
        <x:f>IF(D1334="Completed",L1334,0)</x:f>
        <x:v>0</x:v>
      </x:c>
      <x:c r="T1334" s="8" t="n">
        <x:f>DATE(YEAR(C1334),MONTH(C1334),1)</x:f>
        <x:v>45717</x:v>
      </x:c>
    </x:row>
    <x:row r="1335" ht="22" customHeight="1">
      <x:c r="A1335" s="2" t="str">
        <x:v>L001331</x:v>
      </x:c>
      <x:c r="B1335" s="2" t="str">
        <x:v>O00542</x:v>
      </x:c>
      <x:c r="C1335" s="7" t="n">
        <x:v>45717</x:v>
      </x:c>
      <x:c r="D1335" s="2" t="str">
        <x:v>Completed</x:v>
      </x:c>
      <x:c r="E1335" s="2" t="str">
        <x:v>East</x:v>
      </x:c>
      <x:c r="F1335" s="2" t="str">
        <x:v>Store</x:v>
      </x:c>
      <x:c r="G1335" s="2" t="str">
        <x:v>Furniture</x:v>
      </x:c>
      <x:c r="H1335" s="2" t="str">
        <x:v>Desk 008</x:v>
      </x:c>
      <x:c r="I1335" s="11" t="n">
        <x:v>1</x:v>
      </x:c>
      <x:c r="J1335" s="9" t="n">
        <x:v>188</x:v>
      </x:c>
      <x:c r="K1335" s="10" t="n">
        <x:v>0</x:v>
      </x:c>
      <x:c r="L1335" s="11" t="n">
        <x:v>0</x:v>
      </x:c>
      <x:c r="M1335" s="9" t="n">
        <x:f>IF(D1335="Completed",I1335*J1335,0)</x:f>
        <x:v>188</x:v>
      </x:c>
      <x:c r="N1335" s="9" t="n">
        <x:f>M1335*K1335</x:f>
        <x:v>0</x:v>
      </x:c>
      <x:c r="O1335" s="9" t="n">
        <x:f>M1335-N1335</x:f>
        <x:v>188</x:v>
      </x:c>
      <x:c r="P1335" s="9" t="n">
        <x:f>IF(D1335="Completed",L1335*J1335*(1-K1335),0)</x:f>
        <x:v>0</x:v>
      </x:c>
      <x:c r="Q1335" s="9" t="n">
        <x:f>O1335-P1335</x:f>
        <x:v>188</x:v>
      </x:c>
      <x:c r="R1335" s="11" t="n">
        <x:f>IF(D1335="Completed",I1335,0)</x:f>
        <x:v>1</x:v>
      </x:c>
      <x:c r="S1335" s="11" t="n">
        <x:f>IF(D1335="Completed",L1335,0)</x:f>
        <x:v>0</x:v>
      </x:c>
      <x:c r="T1335" s="8" t="n">
        <x:f>DATE(YEAR(C1335),MONTH(C1335),1)</x:f>
        <x:v>45717</x:v>
      </x:c>
    </x:row>
    <x:row r="1336" ht="22" customHeight="1">
      <x:c r="A1336" s="2" t="str">
        <x:v>L001332</x:v>
      </x:c>
      <x:c r="B1336" s="2" t="str">
        <x:v>O00542</x:v>
      </x:c>
      <x:c r="C1336" s="7" t="n">
        <x:v>45717</x:v>
      </x:c>
      <x:c r="D1336" s="2" t="str">
        <x:v>Completed</x:v>
      </x:c>
      <x:c r="E1336" s="2" t="str">
        <x:v>East</x:v>
      </x:c>
      <x:c r="F1336" s="2" t="str">
        <x:v>Store</x:v>
      </x:c>
      <x:c r="G1336" s="2" t="str">
        <x:v>Furniture</x:v>
      </x:c>
      <x:c r="H1336" s="2" t="str">
        <x:v>Desk 004</x:v>
      </x:c>
      <x:c r="I1336" s="11" t="n">
        <x:v>5</x:v>
      </x:c>
      <x:c r="J1336" s="9" t="n">
        <x:v>123</x:v>
      </x:c>
      <x:c r="K1336" s="10" t="n">
        <x:v>0.2</x:v>
      </x:c>
      <x:c r="L1336" s="11" t="n">
        <x:v>0</x:v>
      </x:c>
      <x:c r="M1336" s="9" t="n">
        <x:f>IF(D1336="Completed",I1336*J1336,0)</x:f>
        <x:v>615</x:v>
      </x:c>
      <x:c r="N1336" s="9" t="n">
        <x:f>M1336*K1336</x:f>
        <x:v>123</x:v>
      </x:c>
      <x:c r="O1336" s="9" t="n">
        <x:f>M1336-N1336</x:f>
        <x:v>492</x:v>
      </x:c>
      <x:c r="P1336" s="9" t="n">
        <x:f>IF(D1336="Completed",L1336*J1336*(1-K1336),0)</x:f>
        <x:v>0</x:v>
      </x:c>
      <x:c r="Q1336" s="9" t="n">
        <x:f>O1336-P1336</x:f>
        <x:v>492</x:v>
      </x:c>
      <x:c r="R1336" s="11" t="n">
        <x:f>IF(D1336="Completed",I1336,0)</x:f>
        <x:v>5</x:v>
      </x:c>
      <x:c r="S1336" s="11" t="n">
        <x:f>IF(D1336="Completed",L1336,0)</x:f>
        <x:v>0</x:v>
      </x:c>
      <x:c r="T1336" s="8" t="n">
        <x:f>DATE(YEAR(C1336),MONTH(C1336),1)</x:f>
        <x:v>45717</x:v>
      </x:c>
    </x:row>
    <x:row r="1337" ht="22" customHeight="1">
      <x:c r="A1337" s="2" t="str">
        <x:v>L001333</x:v>
      </x:c>
      <x:c r="B1337" s="2" t="str">
        <x:v>O00543</x:v>
      </x:c>
      <x:c r="C1337" s="7" t="n">
        <x:v>45816</x:v>
      </x:c>
      <x:c r="D1337" s="2" t="str">
        <x:v>Completed</x:v>
      </x:c>
      <x:c r="E1337" s="2" t="str">
        <x:v>East</x:v>
      </x:c>
      <x:c r="F1337" s="2" t="str">
        <x:v>Store</x:v>
      </x:c>
      <x:c r="G1337" s="2" t="str">
        <x:v>Lighting</x:v>
      </x:c>
      <x:c r="H1337" s="2" t="str">
        <x:v>Lamp 009</x:v>
      </x:c>
      <x:c r="I1337" s="11" t="n">
        <x:v>3</x:v>
      </x:c>
      <x:c r="J1337" s="9" t="n">
        <x:v>93</x:v>
      </x:c>
      <x:c r="K1337" s="10" t="n">
        <x:v>0.05</x:v>
      </x:c>
      <x:c r="L1337" s="11" t="n">
        <x:v>0</x:v>
      </x:c>
      <x:c r="M1337" s="9" t="n">
        <x:f>IF(D1337="Completed",I1337*J1337,0)</x:f>
        <x:v>279</x:v>
      </x:c>
      <x:c r="N1337" s="9" t="n">
        <x:f>M1337*K1337</x:f>
        <x:v>13.950000000000001</x:v>
      </x:c>
      <x:c r="O1337" s="9" t="n">
        <x:f>M1337-N1337</x:f>
        <x:v>265.05</x:v>
      </x:c>
      <x:c r="P1337" s="9" t="n">
        <x:f>IF(D1337="Completed",L1337*J1337*(1-K1337),0)</x:f>
        <x:v>0</x:v>
      </x:c>
      <x:c r="Q1337" s="9" t="n">
        <x:f>O1337-P1337</x:f>
        <x:v>265.05</x:v>
      </x:c>
      <x:c r="R1337" s="11" t="n">
        <x:f>IF(D1337="Completed",I1337,0)</x:f>
        <x:v>3</x:v>
      </x:c>
      <x:c r="S1337" s="11" t="n">
        <x:f>IF(D1337="Completed",L1337,0)</x:f>
        <x:v>0</x:v>
      </x:c>
      <x:c r="T1337" s="8" t="n">
        <x:f>DATE(YEAR(C1337),MONTH(C1337),1)</x:f>
        <x:v>45809</x:v>
      </x:c>
    </x:row>
    <x:row r="1338" ht="22" customHeight="1">
      <x:c r="A1338" s="2" t="str">
        <x:v>L001334</x:v>
      </x:c>
      <x:c r="B1338" s="2" t="str">
        <x:v>O00543</x:v>
      </x:c>
      <x:c r="C1338" s="7" t="n">
        <x:v>45816</x:v>
      </x:c>
      <x:c r="D1338" s="2" t="str">
        <x:v>Completed</x:v>
      </x:c>
      <x:c r="E1338" s="2" t="str">
        <x:v>East</x:v>
      </x:c>
      <x:c r="F1338" s="2" t="str">
        <x:v>Store</x:v>
      </x:c>
      <x:c r="G1338" s="2" t="str">
        <x:v>Furniture</x:v>
      </x:c>
      <x:c r="H1338" s="2" t="str">
        <x:v>Chair 010</x:v>
      </x:c>
      <x:c r="I1338" s="11" t="n">
        <x:v>4</x:v>
      </x:c>
      <x:c r="J1338" s="9" t="n">
        <x:v>211</x:v>
      </x:c>
      <x:c r="K1338" s="10" t="n">
        <x:v>0.1</x:v>
      </x:c>
      <x:c r="L1338" s="11" t="n">
        <x:v>0</x:v>
      </x:c>
      <x:c r="M1338" s="9" t="n">
        <x:f>IF(D1338="Completed",I1338*J1338,0)</x:f>
        <x:v>844</x:v>
      </x:c>
      <x:c r="N1338" s="9" t="n">
        <x:f>M1338*K1338</x:f>
        <x:v>84.4</x:v>
      </x:c>
      <x:c r="O1338" s="9" t="n">
        <x:f>M1338-N1338</x:f>
        <x:v>759.6</x:v>
      </x:c>
      <x:c r="P1338" s="9" t="n">
        <x:f>IF(D1338="Completed",L1338*J1338*(1-K1338),0)</x:f>
        <x:v>0</x:v>
      </x:c>
      <x:c r="Q1338" s="9" t="n">
        <x:f>O1338-P1338</x:f>
        <x:v>759.6</x:v>
      </x:c>
      <x:c r="R1338" s="11" t="n">
        <x:f>IF(D1338="Completed",I1338,0)</x:f>
        <x:v>4</x:v>
      </x:c>
      <x:c r="S1338" s="11" t="n">
        <x:f>IF(D1338="Completed",L1338,0)</x:f>
        <x:v>0</x:v>
      </x:c>
      <x:c r="T1338" s="8" t="n">
        <x:f>DATE(YEAR(C1338),MONTH(C1338),1)</x:f>
        <x:v>45809</x:v>
      </x:c>
    </x:row>
    <x:row r="1339" ht="22" customHeight="1">
      <x:c r="A1339" s="2" t="str">
        <x:v>L001335</x:v>
      </x:c>
      <x:c r="B1339" s="2" t="str">
        <x:v>O00543</x:v>
      </x:c>
      <x:c r="C1339" s="7" t="n">
        <x:v>45816</x:v>
      </x:c>
      <x:c r="D1339" s="2" t="str">
        <x:v>Completed</x:v>
      </x:c>
      <x:c r="E1339" s="2" t="str">
        <x:v>East</x:v>
      </x:c>
      <x:c r="F1339" s="2" t="str">
        <x:v>Store</x:v>
      </x:c>
      <x:c r="G1339" s="2" t="str">
        <x:v>Storage</x:v>
      </x:c>
      <x:c r="H1339" s="2" t="str">
        <x:v>Shelf 019</x:v>
      </x:c>
      <x:c r="I1339" s="11" t="n">
        <x:v>2</x:v>
      </x:c>
      <x:c r="J1339" s="9" t="n">
        <x:v>78</x:v>
      </x:c>
      <x:c r="K1339" s="10" t="n">
        <x:v>0.1</x:v>
      </x:c>
      <x:c r="L1339" s="11" t="n">
        <x:v>0</x:v>
      </x:c>
      <x:c r="M1339" s="9" t="n">
        <x:f>IF(D1339="Completed",I1339*J1339,0)</x:f>
        <x:v>156</x:v>
      </x:c>
      <x:c r="N1339" s="9" t="n">
        <x:f>M1339*K1339</x:f>
        <x:v>15.600000000000001</x:v>
      </x:c>
      <x:c r="O1339" s="9" t="n">
        <x:f>M1339-N1339</x:f>
        <x:v>140.4</x:v>
      </x:c>
      <x:c r="P1339" s="9" t="n">
        <x:f>IF(D1339="Completed",L1339*J1339*(1-K1339),0)</x:f>
        <x:v>0</x:v>
      </x:c>
      <x:c r="Q1339" s="9" t="n">
        <x:f>O1339-P1339</x:f>
        <x:v>140.4</x:v>
      </x:c>
      <x:c r="R1339" s="11" t="n">
        <x:f>IF(D1339="Completed",I1339,0)</x:f>
        <x:v>2</x:v>
      </x:c>
      <x:c r="S1339" s="11" t="n">
        <x:f>IF(D1339="Completed",L1339,0)</x:f>
        <x:v>0</x:v>
      </x:c>
      <x:c r="T1339" s="8" t="n">
        <x:f>DATE(YEAR(C1339),MONTH(C1339),1)</x:f>
        <x:v>45809</x:v>
      </x:c>
    </x:row>
    <x:row r="1340" ht="22" customHeight="1">
      <x:c r="A1340" s="2" t="str">
        <x:v>L001336</x:v>
      </x:c>
      <x:c r="B1340" s="2" t="str">
        <x:v>O00544</x:v>
      </x:c>
      <x:c r="C1340" s="7" t="n">
        <x:v>45974</x:v>
      </x:c>
      <x:c r="D1340" s="2" t="str">
        <x:v>Completed</x:v>
      </x:c>
      <x:c r="E1340" s="2" t="str">
        <x:v>East</x:v>
      </x:c>
      <x:c r="F1340" s="2" t="str">
        <x:v>Store</x:v>
      </x:c>
      <x:c r="G1340" s="2" t="str">
        <x:v>Furniture</x:v>
      </x:c>
      <x:c r="H1340" s="2" t="str">
        <x:v>Desk 004</x:v>
      </x:c>
      <x:c r="I1340" s="11" t="n">
        <x:v>2</x:v>
      </x:c>
      <x:c r="J1340" s="9" t="n">
        <x:v>123</x:v>
      </x:c>
      <x:c r="K1340" s="10" t="n">
        <x:v>0.1</x:v>
      </x:c>
      <x:c r="L1340" s="11" t="n">
        <x:v>0</x:v>
      </x:c>
      <x:c r="M1340" s="9" t="n">
        <x:f>IF(D1340="Completed",I1340*J1340,0)</x:f>
        <x:v>246</x:v>
      </x:c>
      <x:c r="N1340" s="9" t="n">
        <x:f>M1340*K1340</x:f>
        <x:v>24.6</x:v>
      </x:c>
      <x:c r="O1340" s="9" t="n">
        <x:f>M1340-N1340</x:f>
        <x:v>221.4</x:v>
      </x:c>
      <x:c r="P1340" s="9" t="n">
        <x:f>IF(D1340="Completed",L1340*J1340*(1-K1340),0)</x:f>
        <x:v>0</x:v>
      </x:c>
      <x:c r="Q1340" s="9" t="n">
        <x:f>O1340-P1340</x:f>
        <x:v>221.4</x:v>
      </x:c>
      <x:c r="R1340" s="11" t="n">
        <x:f>IF(D1340="Completed",I1340,0)</x:f>
        <x:v>2</x:v>
      </x:c>
      <x:c r="S1340" s="11" t="n">
        <x:f>IF(D1340="Completed",L1340,0)</x:f>
        <x:v>0</x:v>
      </x:c>
      <x:c r="T1340" s="8" t="n">
        <x:f>DATE(YEAR(C1340),MONTH(C1340),1)</x:f>
        <x:v>45962</x:v>
      </x:c>
    </x:row>
    <x:row r="1341" ht="22" customHeight="1">
      <x:c r="A1341" s="2" t="str">
        <x:v>L001337</x:v>
      </x:c>
      <x:c r="B1341" s="2" t="str">
        <x:v>O00544</x:v>
      </x:c>
      <x:c r="C1341" s="7" t="n">
        <x:v>45974</x:v>
      </x:c>
      <x:c r="D1341" s="2" t="str">
        <x:v>Completed</x:v>
      </x:c>
      <x:c r="E1341" s="2" t="str">
        <x:v>East</x:v>
      </x:c>
      <x:c r="F1341" s="2" t="str">
        <x:v>Store</x:v>
      </x:c>
      <x:c r="G1341" s="2" t="str">
        <x:v>Furniture</x:v>
      </x:c>
      <x:c r="H1341" s="2" t="str">
        <x:v>Chair 014</x:v>
      </x:c>
      <x:c r="I1341" s="11" t="n">
        <x:v>5</x:v>
      </x:c>
      <x:c r="J1341" s="9" t="n">
        <x:v>294</x:v>
      </x:c>
      <x:c r="K1341" s="10" t="n">
        <x:v>0.2</x:v>
      </x:c>
      <x:c r="L1341" s="11" t="n">
        <x:v>0</x:v>
      </x:c>
      <x:c r="M1341" s="9" t="n">
        <x:f>IF(D1341="Completed",I1341*J1341,0)</x:f>
        <x:v>1470</x:v>
      </x:c>
      <x:c r="N1341" s="9" t="n">
        <x:f>M1341*K1341</x:f>
        <x:v>294</x:v>
      </x:c>
      <x:c r="O1341" s="9" t="n">
        <x:f>M1341-N1341</x:f>
        <x:v>1176</x:v>
      </x:c>
      <x:c r="P1341" s="9" t="n">
        <x:f>IF(D1341="Completed",L1341*J1341*(1-K1341),0)</x:f>
        <x:v>0</x:v>
      </x:c>
      <x:c r="Q1341" s="9" t="n">
        <x:f>O1341-P1341</x:f>
        <x:v>1176</x:v>
      </x:c>
      <x:c r="R1341" s="11" t="n">
        <x:f>IF(D1341="Completed",I1341,0)</x:f>
        <x:v>5</x:v>
      </x:c>
      <x:c r="S1341" s="11" t="n">
        <x:f>IF(D1341="Completed",L1341,0)</x:f>
        <x:v>0</x:v>
      </x:c>
      <x:c r="T1341" s="8" t="n">
        <x:f>DATE(YEAR(C1341),MONTH(C1341),1)</x:f>
        <x:v>45962</x:v>
      </x:c>
    </x:row>
    <x:row r="1342" ht="22" customHeight="1">
      <x:c r="A1342" s="2" t="str">
        <x:v>L001338</x:v>
      </x:c>
      <x:c r="B1342" s="2" t="str">
        <x:v>O00544</x:v>
      </x:c>
      <x:c r="C1342" s="7" t="n">
        <x:v>45974</x:v>
      </x:c>
      <x:c r="D1342" s="2" t="str">
        <x:v>Completed</x:v>
      </x:c>
      <x:c r="E1342" s="2" t="str">
        <x:v>East</x:v>
      </x:c>
      <x:c r="F1342" s="2" t="str">
        <x:v>Store</x:v>
      </x:c>
      <x:c r="G1342" s="2" t="str">
        <x:v>Furniture</x:v>
      </x:c>
      <x:c r="H1342" s="2" t="str">
        <x:v>Desk 016</x:v>
      </x:c>
      <x:c r="I1342" s="11" t="n">
        <x:v>4</x:v>
      </x:c>
      <x:c r="J1342" s="9" t="n">
        <x:v>231</x:v>
      </x:c>
      <x:c r="K1342" s="10" t="n">
        <x:v>0</x:v>
      </x:c>
      <x:c r="L1342" s="11" t="n">
        <x:v>4</x:v>
      </x:c>
      <x:c r="M1342" s="9" t="n">
        <x:f>IF(D1342="Completed",I1342*J1342,0)</x:f>
        <x:v>924</x:v>
      </x:c>
      <x:c r="N1342" s="9" t="n">
        <x:f>M1342*K1342</x:f>
        <x:v>0</x:v>
      </x:c>
      <x:c r="O1342" s="9" t="n">
        <x:f>M1342-N1342</x:f>
        <x:v>924</x:v>
      </x:c>
      <x:c r="P1342" s="9" t="n">
        <x:f>IF(D1342="Completed",L1342*J1342*(1-K1342),0)</x:f>
        <x:v>924</x:v>
      </x:c>
      <x:c r="Q1342" s="9" t="n">
        <x:f>O1342-P1342</x:f>
        <x:v>0</x:v>
      </x:c>
      <x:c r="R1342" s="11" t="n">
        <x:f>IF(D1342="Completed",I1342,0)</x:f>
        <x:v>4</x:v>
      </x:c>
      <x:c r="S1342" s="11" t="n">
        <x:f>IF(D1342="Completed",L1342,0)</x:f>
        <x:v>4</x:v>
      </x:c>
      <x:c r="T1342" s="8" t="n">
        <x:f>DATE(YEAR(C1342),MONTH(C1342),1)</x:f>
        <x:v>45962</x:v>
      </x:c>
    </x:row>
    <x:row r="1343" ht="22" customHeight="1">
      <x:c r="A1343" s="2" t="str">
        <x:v>L001339</x:v>
      </x:c>
      <x:c r="B1343" s="2" t="str">
        <x:v>O00544</x:v>
      </x:c>
      <x:c r="C1343" s="7" t="n">
        <x:v>45974</x:v>
      </x:c>
      <x:c r="D1343" s="2" t="str">
        <x:v>Completed</x:v>
      </x:c>
      <x:c r="E1343" s="2" t="str">
        <x:v>East</x:v>
      </x:c>
      <x:c r="F1343" s="2" t="str">
        <x:v>Store</x:v>
      </x:c>
      <x:c r="G1343" s="2" t="str">
        <x:v>Lighting</x:v>
      </x:c>
      <x:c r="H1343" s="2" t="str">
        <x:v>Lamp 001</x:v>
      </x:c>
      <x:c r="I1343" s="11" t="n">
        <x:v>1</x:v>
      </x:c>
      <x:c r="J1343" s="9" t="n">
        <x:v>122</x:v>
      </x:c>
      <x:c r="K1343" s="10" t="n">
        <x:v>0</x:v>
      </x:c>
      <x:c r="L1343" s="11" t="n">
        <x:v>1</x:v>
      </x:c>
      <x:c r="M1343" s="9" t="n">
        <x:f>IF(D1343="Completed",I1343*J1343,0)</x:f>
        <x:v>122</x:v>
      </x:c>
      <x:c r="N1343" s="9" t="n">
        <x:f>M1343*K1343</x:f>
        <x:v>0</x:v>
      </x:c>
      <x:c r="O1343" s="9" t="n">
        <x:f>M1343-N1343</x:f>
        <x:v>122</x:v>
      </x:c>
      <x:c r="P1343" s="9" t="n">
        <x:f>IF(D1343="Completed",L1343*J1343*(1-K1343),0)</x:f>
        <x:v>122</x:v>
      </x:c>
      <x:c r="Q1343" s="9" t="n">
        <x:f>O1343-P1343</x:f>
        <x:v>0</x:v>
      </x:c>
      <x:c r="R1343" s="11" t="n">
        <x:f>IF(D1343="Completed",I1343,0)</x:f>
        <x:v>1</x:v>
      </x:c>
      <x:c r="S1343" s="11" t="n">
        <x:f>IF(D1343="Completed",L1343,0)</x:f>
        <x:v>1</x:v>
      </x:c>
      <x:c r="T1343" s="8" t="n">
        <x:f>DATE(YEAR(C1343),MONTH(C1343),1)</x:f>
        <x:v>45962</x:v>
      </x:c>
    </x:row>
    <x:row r="1344" ht="22" customHeight="1">
      <x:c r="A1344" s="2" t="str">
        <x:v>L001340</x:v>
      </x:c>
      <x:c r="B1344" s="2" t="str">
        <x:v>O00545</x:v>
      </x:c>
      <x:c r="C1344" s="7" t="n">
        <x:v>45818</x:v>
      </x:c>
      <x:c r="D1344" s="2" t="str">
        <x:v>Completed</x:v>
      </x:c>
      <x:c r="E1344" s="2" t="str">
        <x:v>West</x:v>
      </x:c>
      <x:c r="F1344" s="2" t="str">
        <x:v>Store</x:v>
      </x:c>
      <x:c r="G1344" s="2" t="str">
        <x:v>Furniture</x:v>
      </x:c>
      <x:c r="H1344" s="2" t="str">
        <x:v>Desk 008</x:v>
      </x:c>
      <x:c r="I1344" s="11" t="n">
        <x:v>3</x:v>
      </x:c>
      <x:c r="J1344" s="9" t="n">
        <x:v>188</x:v>
      </x:c>
      <x:c r="K1344" s="10" t="n">
        <x:v>0</x:v>
      </x:c>
      <x:c r="L1344" s="11" t="n">
        <x:v>0</x:v>
      </x:c>
      <x:c r="M1344" s="9" t="n">
        <x:f>IF(D1344="Completed",I1344*J1344,0)</x:f>
        <x:v>564</x:v>
      </x:c>
      <x:c r="N1344" s="9" t="n">
        <x:f>M1344*K1344</x:f>
        <x:v>0</x:v>
      </x:c>
      <x:c r="O1344" s="9" t="n">
        <x:f>M1344-N1344</x:f>
        <x:v>564</x:v>
      </x:c>
      <x:c r="P1344" s="9" t="n">
        <x:f>IF(D1344="Completed",L1344*J1344*(1-K1344),0)</x:f>
        <x:v>0</x:v>
      </x:c>
      <x:c r="Q1344" s="9" t="n">
        <x:f>O1344-P1344</x:f>
        <x:v>564</x:v>
      </x:c>
      <x:c r="R1344" s="11" t="n">
        <x:f>IF(D1344="Completed",I1344,0)</x:f>
        <x:v>3</x:v>
      </x:c>
      <x:c r="S1344" s="11" t="n">
        <x:f>IF(D1344="Completed",L1344,0)</x:f>
        <x:v>0</x:v>
      </x:c>
      <x:c r="T1344" s="8" t="n">
        <x:f>DATE(YEAR(C1344),MONTH(C1344),1)</x:f>
        <x:v>45809</x:v>
      </x:c>
    </x:row>
    <x:row r="1345" ht="22" customHeight="1">
      <x:c r="A1345" s="2" t="str">
        <x:v>L001341</x:v>
      </x:c>
      <x:c r="B1345" s="2" t="str">
        <x:v>O00546</x:v>
      </x:c>
      <x:c r="C1345" s="7" t="n">
        <x:v>45663</x:v>
      </x:c>
      <x:c r="D1345" s="2" t="str">
        <x:v>Completed</x:v>
      </x:c>
      <x:c r="E1345" s="2" t="str">
        <x:v>West</x:v>
      </x:c>
      <x:c r="F1345" s="2" t="str">
        <x:v>Store</x:v>
      </x:c>
      <x:c r="G1345" s="2" t="str">
        <x:v>Furniture</x:v>
      </x:c>
      <x:c r="H1345" s="2" t="str">
        <x:v>Desk 012</x:v>
      </x:c>
      <x:c r="I1345" s="11" t="n">
        <x:v>4</x:v>
      </x:c>
      <x:c r="J1345" s="9" t="n">
        <x:v>134</x:v>
      </x:c>
      <x:c r="K1345" s="10" t="n">
        <x:v>0</x:v>
      </x:c>
      <x:c r="L1345" s="11" t="n">
        <x:v>0</x:v>
      </x:c>
      <x:c r="M1345" s="9" t="n">
        <x:f>IF(D1345="Completed",I1345*J1345,0)</x:f>
        <x:v>536</x:v>
      </x:c>
      <x:c r="N1345" s="9" t="n">
        <x:f>M1345*K1345</x:f>
        <x:v>0</x:v>
      </x:c>
      <x:c r="O1345" s="9" t="n">
        <x:f>M1345-N1345</x:f>
        <x:v>536</x:v>
      </x:c>
      <x:c r="P1345" s="9" t="n">
        <x:f>IF(D1345="Completed",L1345*J1345*(1-K1345),0)</x:f>
        <x:v>0</x:v>
      </x:c>
      <x:c r="Q1345" s="9" t="n">
        <x:f>O1345-P1345</x:f>
        <x:v>536</x:v>
      </x:c>
      <x:c r="R1345" s="11" t="n">
        <x:f>IF(D1345="Completed",I1345,0)</x:f>
        <x:v>4</x:v>
      </x:c>
      <x:c r="S1345" s="11" t="n">
        <x:f>IF(D1345="Completed",L1345,0)</x:f>
        <x:v>0</x:v>
      </x:c>
      <x:c r="T1345" s="8" t="n">
        <x:f>DATE(YEAR(C1345),MONTH(C1345),1)</x:f>
        <x:v>45658</x:v>
      </x:c>
    </x:row>
    <x:row r="1346" ht="22" customHeight="1">
      <x:c r="A1346" s="2" t="str">
        <x:v>L001342</x:v>
      </x:c>
      <x:c r="B1346" s="2" t="str">
        <x:v>O00546</x:v>
      </x:c>
      <x:c r="C1346" s="7" t="n">
        <x:v>45663</x:v>
      </x:c>
      <x:c r="D1346" s="2" t="str">
        <x:v>Completed</x:v>
      </x:c>
      <x:c r="E1346" s="2" t="str">
        <x:v>West</x:v>
      </x:c>
      <x:c r="F1346" s="2" t="str">
        <x:v>Store</x:v>
      </x:c>
      <x:c r="G1346" s="2" t="str">
        <x:v>Storage</x:v>
      </x:c>
      <x:c r="H1346" s="2" t="str">
        <x:v>Shelf 019</x:v>
      </x:c>
      <x:c r="I1346" s="11" t="n">
        <x:v>4</x:v>
      </x:c>
      <x:c r="J1346" s="9" t="n">
        <x:v>78</x:v>
      </x:c>
      <x:c r="K1346" s="10" t="n">
        <x:v>0.05</x:v>
      </x:c>
      <x:c r="L1346" s="11" t="n">
        <x:v>0</x:v>
      </x:c>
      <x:c r="M1346" s="9" t="n">
        <x:f>IF(D1346="Completed",I1346*J1346,0)</x:f>
        <x:v>312</x:v>
      </x:c>
      <x:c r="N1346" s="9" t="n">
        <x:f>M1346*K1346</x:f>
        <x:v>15.600000000000001</x:v>
      </x:c>
      <x:c r="O1346" s="9" t="n">
        <x:f>M1346-N1346</x:f>
        <x:v>296.4</x:v>
      </x:c>
      <x:c r="P1346" s="9" t="n">
        <x:f>IF(D1346="Completed",L1346*J1346*(1-K1346),0)</x:f>
        <x:v>0</x:v>
      </x:c>
      <x:c r="Q1346" s="9" t="n">
        <x:f>O1346-P1346</x:f>
        <x:v>296.4</x:v>
      </x:c>
      <x:c r="R1346" s="11" t="n">
        <x:f>IF(D1346="Completed",I1346,0)</x:f>
        <x:v>4</x:v>
      </x:c>
      <x:c r="S1346" s="11" t="n">
        <x:f>IF(D1346="Completed",L1346,0)</x:f>
        <x:v>0</x:v>
      </x:c>
      <x:c r="T1346" s="8" t="n">
        <x:f>DATE(YEAR(C1346),MONTH(C1346),1)</x:f>
        <x:v>45658</x:v>
      </x:c>
    </x:row>
    <x:row r="1347" ht="22" customHeight="1">
      <x:c r="A1347" s="2" t="str">
        <x:v>L001343</x:v>
      </x:c>
      <x:c r="B1347" s="2" t="str">
        <x:v>O00546</x:v>
      </x:c>
      <x:c r="C1347" s="7" t="n">
        <x:v>45663</x:v>
      </x:c>
      <x:c r="D1347" s="2" t="str">
        <x:v>Completed</x:v>
      </x:c>
      <x:c r="E1347" s="2" t="str">
        <x:v>West</x:v>
      </x:c>
      <x:c r="F1347" s="2" t="str">
        <x:v>Store</x:v>
      </x:c>
      <x:c r="G1347" s="2" t="str">
        <x:v>Furniture</x:v>
      </x:c>
      <x:c r="H1347" s="2" t="str">
        <x:v>Chair 022</x:v>
      </x:c>
      <x:c r="I1347" s="11" t="n">
        <x:v>1</x:v>
      </x:c>
      <x:c r="J1347" s="9" t="n">
        <x:v>134</x:v>
      </x:c>
      <x:c r="K1347" s="10" t="n">
        <x:v>0.05</x:v>
      </x:c>
      <x:c r="L1347" s="11" t="n">
        <x:v>0</x:v>
      </x:c>
      <x:c r="M1347" s="9" t="n">
        <x:f>IF(D1347="Completed",I1347*J1347,0)</x:f>
        <x:v>134</x:v>
      </x:c>
      <x:c r="N1347" s="9" t="n">
        <x:f>M1347*K1347</x:f>
        <x:v>6.7</x:v>
      </x:c>
      <x:c r="O1347" s="9" t="n">
        <x:f>M1347-N1347</x:f>
        <x:v>127.3</x:v>
      </x:c>
      <x:c r="P1347" s="9" t="n">
        <x:f>IF(D1347="Completed",L1347*J1347*(1-K1347),0)</x:f>
        <x:v>0</x:v>
      </x:c>
      <x:c r="Q1347" s="9" t="n">
        <x:f>O1347-P1347</x:f>
        <x:v>127.3</x:v>
      </x:c>
      <x:c r="R1347" s="11" t="n">
        <x:f>IF(D1347="Completed",I1347,0)</x:f>
        <x:v>1</x:v>
      </x:c>
      <x:c r="S1347" s="11" t="n">
        <x:f>IF(D1347="Completed",L1347,0)</x:f>
        <x:v>0</x:v>
      </x:c>
      <x:c r="T1347" s="8" t="n">
        <x:f>DATE(YEAR(C1347),MONTH(C1347),1)</x:f>
        <x:v>45658</x:v>
      </x:c>
    </x:row>
    <x:row r="1348" ht="22" customHeight="1">
      <x:c r="A1348" s="2" t="str">
        <x:v>L001344</x:v>
      </x:c>
      <x:c r="B1348" s="2" t="str">
        <x:v>O00547</x:v>
      </x:c>
      <x:c r="C1348" s="7" t="n">
        <x:v>45967</x:v>
      </x:c>
      <x:c r="D1348" s="2" t="str">
        <x:v>Completed</x:v>
      </x:c>
      <x:c r="E1348" s="2" t="str">
        <x:v>West</x:v>
      </x:c>
      <x:c r="F1348" s="2" t="str">
        <x:v>Online</x:v>
      </x:c>
      <x:c r="G1348" s="2" t="str">
        <x:v>Furniture</x:v>
      </x:c>
      <x:c r="H1348" s="2" t="str">
        <x:v>Desk 020</x:v>
      </x:c>
      <x:c r="I1348" s="11" t="n">
        <x:v>4</x:v>
      </x:c>
      <x:c r="J1348" s="9" t="n">
        <x:v>189</x:v>
      </x:c>
      <x:c r="K1348" s="10" t="n">
        <x:v>0.2</x:v>
      </x:c>
      <x:c r="L1348" s="11" t="n">
        <x:v>0</x:v>
      </x:c>
      <x:c r="M1348" s="9" t="n">
        <x:f>IF(D1348="Completed",I1348*J1348,0)</x:f>
        <x:v>756</x:v>
      </x:c>
      <x:c r="N1348" s="9" t="n">
        <x:f>M1348*K1348</x:f>
        <x:v>151.20000000000002</x:v>
      </x:c>
      <x:c r="O1348" s="9" t="n">
        <x:f>M1348-N1348</x:f>
        <x:v>604.8</x:v>
      </x:c>
      <x:c r="P1348" s="9" t="n">
        <x:f>IF(D1348="Completed",L1348*J1348*(1-K1348),0)</x:f>
        <x:v>0</x:v>
      </x:c>
      <x:c r="Q1348" s="9" t="n">
        <x:f>O1348-P1348</x:f>
        <x:v>604.8</x:v>
      </x:c>
      <x:c r="R1348" s="11" t="n">
        <x:f>IF(D1348="Completed",I1348,0)</x:f>
        <x:v>4</x:v>
      </x:c>
      <x:c r="S1348" s="11" t="n">
        <x:f>IF(D1348="Completed",L1348,0)</x:f>
        <x:v>0</x:v>
      </x:c>
      <x:c r="T1348" s="8" t="n">
        <x:f>DATE(YEAR(C1348),MONTH(C1348),1)</x:f>
        <x:v>45962</x:v>
      </x:c>
    </x:row>
    <x:row r="1349" ht="22" customHeight="1">
      <x:c r="A1349" s="2" t="str">
        <x:v>L001345</x:v>
      </x:c>
      <x:c r="B1349" s="2" t="str">
        <x:v>O00547</x:v>
      </x:c>
      <x:c r="C1349" s="7" t="n">
        <x:v>45967</x:v>
      </x:c>
      <x:c r="D1349" s="2" t="str">
        <x:v>Completed</x:v>
      </x:c>
      <x:c r="E1349" s="2" t="str">
        <x:v>West</x:v>
      </x:c>
      <x:c r="F1349" s="2" t="str">
        <x:v>Online</x:v>
      </x:c>
      <x:c r="G1349" s="2" t="str">
        <x:v>Lighting</x:v>
      </x:c>
      <x:c r="H1349" s="2" t="str">
        <x:v>Lamp 001</x:v>
      </x:c>
      <x:c r="I1349" s="11" t="n">
        <x:v>1</x:v>
      </x:c>
      <x:c r="J1349" s="9" t="n">
        <x:v>122</x:v>
      </x:c>
      <x:c r="K1349" s="10" t="n">
        <x:v>0.05</x:v>
      </x:c>
      <x:c r="L1349" s="11" t="n">
        <x:v>0</x:v>
      </x:c>
      <x:c r="M1349" s="9" t="n">
        <x:f>IF(D1349="Completed",I1349*J1349,0)</x:f>
        <x:v>122</x:v>
      </x:c>
      <x:c r="N1349" s="9" t="n">
        <x:f>M1349*K1349</x:f>
        <x:v>6.1000000000000005</x:v>
      </x:c>
      <x:c r="O1349" s="9" t="n">
        <x:f>M1349-N1349</x:f>
        <x:v>115.9</x:v>
      </x:c>
      <x:c r="P1349" s="9" t="n">
        <x:f>IF(D1349="Completed",L1349*J1349*(1-K1349),0)</x:f>
        <x:v>0</x:v>
      </x:c>
      <x:c r="Q1349" s="9" t="n">
        <x:f>O1349-P1349</x:f>
        <x:v>115.9</x:v>
      </x:c>
      <x:c r="R1349" s="11" t="n">
        <x:f>IF(D1349="Completed",I1349,0)</x:f>
        <x:v>1</x:v>
      </x:c>
      <x:c r="S1349" s="11" t="n">
        <x:f>IF(D1349="Completed",L1349,0)</x:f>
        <x:v>0</x:v>
      </x:c>
      <x:c r="T1349" s="8" t="n">
        <x:f>DATE(YEAR(C1349),MONTH(C1349),1)</x:f>
        <x:v>45962</x:v>
      </x:c>
    </x:row>
    <x:row r="1350" ht="22" customHeight="1">
      <x:c r="A1350" s="2" t="str">
        <x:v>L001346</x:v>
      </x:c>
      <x:c r="B1350" s="2" t="str">
        <x:v>O00548</x:v>
      </x:c>
      <x:c r="C1350" s="7" t="n">
        <x:v>45922</x:v>
      </x:c>
      <x:c r="D1350" s="2" t="str">
        <x:v>Completed</x:v>
      </x:c>
      <x:c r="E1350" s="2" t="str">
        <x:v>North</x:v>
      </x:c>
      <x:c r="F1350" s="2" t="str">
        <x:v>Online</x:v>
      </x:c>
      <x:c r="G1350" s="2" t="str">
        <x:v>Storage</x:v>
      </x:c>
      <x:c r="H1350" s="2" t="str">
        <x:v>Shelf 019</x:v>
      </x:c>
      <x:c r="I1350" s="11" t="n">
        <x:v>3</x:v>
      </x:c>
      <x:c r="J1350" s="9" t="n">
        <x:v>78</x:v>
      </x:c>
      <x:c r="K1350" s="10" t="n">
        <x:v>0.05</x:v>
      </x:c>
      <x:c r="L1350" s="11" t="n">
        <x:v>0</x:v>
      </x:c>
      <x:c r="M1350" s="9" t="n">
        <x:f>IF(D1350="Completed",I1350*J1350,0)</x:f>
        <x:v>234</x:v>
      </x:c>
      <x:c r="N1350" s="9" t="n">
        <x:f>M1350*K1350</x:f>
        <x:v>11.700000000000001</x:v>
      </x:c>
      <x:c r="O1350" s="9" t="n">
        <x:f>M1350-N1350</x:f>
        <x:v>222.3</x:v>
      </x:c>
      <x:c r="P1350" s="9" t="n">
        <x:f>IF(D1350="Completed",L1350*J1350*(1-K1350),0)</x:f>
        <x:v>0</x:v>
      </x:c>
      <x:c r="Q1350" s="9" t="n">
        <x:f>O1350-P1350</x:f>
        <x:v>222.3</x:v>
      </x:c>
      <x:c r="R1350" s="11" t="n">
        <x:f>IF(D1350="Completed",I1350,0)</x:f>
        <x:v>3</x:v>
      </x:c>
      <x:c r="S1350" s="11" t="n">
        <x:f>IF(D1350="Completed",L1350,0)</x:f>
        <x:v>0</x:v>
      </x:c>
      <x:c r="T1350" s="8" t="n">
        <x:f>DATE(YEAR(C1350),MONTH(C1350),1)</x:f>
        <x:v>45901</x:v>
      </x:c>
    </x:row>
    <x:row r="1351" ht="22" customHeight="1">
      <x:c r="A1351" s="2" t="str">
        <x:v>L001347</x:v>
      </x:c>
      <x:c r="B1351" s="2" t="str">
        <x:v>O00549</x:v>
      </x:c>
      <x:c r="C1351" s="7" t="n">
        <x:v>45820</x:v>
      </x:c>
      <x:c r="D1351" s="2" t="str">
        <x:v>Completed</x:v>
      </x:c>
      <x:c r="E1351" s="2" t="str">
        <x:v>South</x:v>
      </x:c>
      <x:c r="F1351" s="2" t="str">
        <x:v>Store</x:v>
      </x:c>
      <x:c r="G1351" s="2" t="str">
        <x:v>Furniture</x:v>
      </x:c>
      <x:c r="H1351" s="2" t="str">
        <x:v>Desk 016</x:v>
      </x:c>
      <x:c r="I1351" s="11" t="n">
        <x:v>4</x:v>
      </x:c>
      <x:c r="J1351" s="9" t="n">
        <x:v>231</x:v>
      </x:c>
      <x:c r="K1351" s="10" t="n">
        <x:v>0.05</x:v>
      </x:c>
      <x:c r="L1351" s="11" t="n">
        <x:v>0</x:v>
      </x:c>
      <x:c r="M1351" s="9" t="n">
        <x:f>IF(D1351="Completed",I1351*J1351,0)</x:f>
        <x:v>924</x:v>
      </x:c>
      <x:c r="N1351" s="9" t="n">
        <x:f>M1351*K1351</x:f>
        <x:v>46.2</x:v>
      </x:c>
      <x:c r="O1351" s="9" t="n">
        <x:f>M1351-N1351</x:f>
        <x:v>877.8</x:v>
      </x:c>
      <x:c r="P1351" s="9" t="n">
        <x:f>IF(D1351="Completed",L1351*J1351*(1-K1351),0)</x:f>
        <x:v>0</x:v>
      </x:c>
      <x:c r="Q1351" s="9" t="n">
        <x:f>O1351-P1351</x:f>
        <x:v>877.8</x:v>
      </x:c>
      <x:c r="R1351" s="11" t="n">
        <x:f>IF(D1351="Completed",I1351,0)</x:f>
        <x:v>4</x:v>
      </x:c>
      <x:c r="S1351" s="11" t="n">
        <x:f>IF(D1351="Completed",L1351,0)</x:f>
        <x:v>0</x:v>
      </x:c>
      <x:c r="T1351" s="8" t="n">
        <x:f>DATE(YEAR(C1351),MONTH(C1351),1)</x:f>
        <x:v>45809</x:v>
      </x:c>
    </x:row>
    <x:row r="1352" ht="22" customHeight="1">
      <x:c r="A1352" s="2" t="str">
        <x:v>L001348</x:v>
      </x:c>
      <x:c r="B1352" s="2" t="str">
        <x:v>O00549</x:v>
      </x:c>
      <x:c r="C1352" s="7" t="n">
        <x:v>45820</x:v>
      </x:c>
      <x:c r="D1352" s="2" t="str">
        <x:v>Completed</x:v>
      </x:c>
      <x:c r="E1352" s="2" t="str">
        <x:v>South</x:v>
      </x:c>
      <x:c r="F1352" s="2" t="str">
        <x:v>Store</x:v>
      </x:c>
      <x:c r="G1352" s="2" t="str">
        <x:v>Lighting</x:v>
      </x:c>
      <x:c r="H1352" s="2" t="str">
        <x:v>Lamp 017</x:v>
      </x:c>
      <x:c r="I1352" s="11" t="n">
        <x:v>3</x:v>
      </x:c>
      <x:c r="J1352" s="9" t="n">
        <x:v>300</x:v>
      </x:c>
      <x:c r="K1352" s="10" t="n">
        <x:v>0.2</x:v>
      </x:c>
      <x:c r="L1352" s="11" t="n">
        <x:v>1</x:v>
      </x:c>
      <x:c r="M1352" s="9" t="n">
        <x:f>IF(D1352="Completed",I1352*J1352,0)</x:f>
        <x:v>900</x:v>
      </x:c>
      <x:c r="N1352" s="9" t="n">
        <x:f>M1352*K1352</x:f>
        <x:v>180</x:v>
      </x:c>
      <x:c r="O1352" s="9" t="n">
        <x:f>M1352-N1352</x:f>
        <x:v>720</x:v>
      </x:c>
      <x:c r="P1352" s="9" t="n">
        <x:f>IF(D1352="Completed",L1352*J1352*(1-K1352),0)</x:f>
        <x:v>240</x:v>
      </x:c>
      <x:c r="Q1352" s="9" t="n">
        <x:f>O1352-P1352</x:f>
        <x:v>480</x:v>
      </x:c>
      <x:c r="R1352" s="11" t="n">
        <x:f>IF(D1352="Completed",I1352,0)</x:f>
        <x:v>3</x:v>
      </x:c>
      <x:c r="S1352" s="11" t="n">
        <x:f>IF(D1352="Completed",L1352,0)</x:f>
        <x:v>1</x:v>
      </x:c>
      <x:c r="T1352" s="8" t="n">
        <x:f>DATE(YEAR(C1352),MONTH(C1352),1)</x:f>
        <x:v>45809</x:v>
      </x:c>
    </x:row>
    <x:row r="1353" ht="22" customHeight="1">
      <x:c r="A1353" s="2" t="str">
        <x:v>L001349</x:v>
      </x:c>
      <x:c r="B1353" s="2" t="str">
        <x:v>O00550</x:v>
      </x:c>
      <x:c r="C1353" s="7" t="n">
        <x:v>45797</x:v>
      </x:c>
      <x:c r="D1353" s="2" t="str">
        <x:v>Completed</x:v>
      </x:c>
      <x:c r="E1353" s="2" t="str">
        <x:v>West</x:v>
      </x:c>
      <x:c r="F1353" s="2" t="str">
        <x:v>Online</x:v>
      </x:c>
      <x:c r="G1353" s="2" t="str">
        <x:v>Lighting</x:v>
      </x:c>
      <x:c r="H1353" s="2" t="str">
        <x:v>Lamp 013</x:v>
      </x:c>
      <x:c r="I1353" s="11" t="n">
        <x:v>3</x:v>
      </x:c>
      <x:c r="J1353" s="9" t="n">
        <x:v>271</x:v>
      </x:c>
      <x:c r="K1353" s="10" t="n">
        <x:v>0.1</x:v>
      </x:c>
      <x:c r="L1353" s="11" t="n">
        <x:v>0</x:v>
      </x:c>
      <x:c r="M1353" s="9" t="n">
        <x:f>IF(D1353="Completed",I1353*J1353,0)</x:f>
        <x:v>813</x:v>
      </x:c>
      <x:c r="N1353" s="9" t="n">
        <x:f>M1353*K1353</x:f>
        <x:v>81.30000000000001</x:v>
      </x:c>
      <x:c r="O1353" s="9" t="n">
        <x:f>M1353-N1353</x:f>
        <x:v>731.7</x:v>
      </x:c>
      <x:c r="P1353" s="9" t="n">
        <x:f>IF(D1353="Completed",L1353*J1353*(1-K1353),0)</x:f>
        <x:v>0</x:v>
      </x:c>
      <x:c r="Q1353" s="9" t="n">
        <x:f>O1353-P1353</x:f>
        <x:v>731.7</x:v>
      </x:c>
      <x:c r="R1353" s="11" t="n">
        <x:f>IF(D1353="Completed",I1353,0)</x:f>
        <x:v>3</x:v>
      </x:c>
      <x:c r="S1353" s="11" t="n">
        <x:f>IF(D1353="Completed",L1353,0)</x:f>
        <x:v>0</x:v>
      </x:c>
      <x:c r="T1353" s="8" t="n">
        <x:f>DATE(YEAR(C1353),MONTH(C1353),1)</x:f>
        <x:v>45778</x:v>
      </x:c>
    </x:row>
    <x:row r="1354" ht="22" customHeight="1">
      <x:c r="A1354" s="2" t="str">
        <x:v>L001350</x:v>
      </x:c>
      <x:c r="B1354" s="2" t="str">
        <x:v>O00550</x:v>
      </x:c>
      <x:c r="C1354" s="7" t="n">
        <x:v>45797</x:v>
      </x:c>
      <x:c r="D1354" s="2" t="str">
        <x:v>Completed</x:v>
      </x:c>
      <x:c r="E1354" s="2" t="str">
        <x:v>West</x:v>
      </x:c>
      <x:c r="F1354" s="2" t="str">
        <x:v>Online</x:v>
      </x:c>
      <x:c r="G1354" s="2" t="str">
        <x:v>Furniture</x:v>
      </x:c>
      <x:c r="H1354" s="2" t="str">
        <x:v>Desk 020</x:v>
      </x:c>
      <x:c r="I1354" s="11" t="n">
        <x:v>1</x:v>
      </x:c>
      <x:c r="J1354" s="9" t="n">
        <x:v>189</x:v>
      </x:c>
      <x:c r="K1354" s="10" t="n">
        <x:v>0.1</x:v>
      </x:c>
      <x:c r="L1354" s="11" t="n">
        <x:v>0</x:v>
      </x:c>
      <x:c r="M1354" s="9" t="n">
        <x:f>IF(D1354="Completed",I1354*J1354,0)</x:f>
        <x:v>189</x:v>
      </x:c>
      <x:c r="N1354" s="9" t="n">
        <x:f>M1354*K1354</x:f>
        <x:v>18.900000000000002</x:v>
      </x:c>
      <x:c r="O1354" s="9" t="n">
        <x:f>M1354-N1354</x:f>
        <x:v>170.1</x:v>
      </x:c>
      <x:c r="P1354" s="9" t="n">
        <x:f>IF(D1354="Completed",L1354*J1354*(1-K1354),0)</x:f>
        <x:v>0</x:v>
      </x:c>
      <x:c r="Q1354" s="9" t="n">
        <x:f>O1354-P1354</x:f>
        <x:v>170.1</x:v>
      </x:c>
      <x:c r="R1354" s="11" t="n">
        <x:f>IF(D1354="Completed",I1354,0)</x:f>
        <x:v>1</x:v>
      </x:c>
      <x:c r="S1354" s="11" t="n">
        <x:f>IF(D1354="Completed",L1354,0)</x:f>
        <x:v>0</x:v>
      </x:c>
      <x:c r="T1354" s="8" t="n">
        <x:f>DATE(YEAR(C1354),MONTH(C1354),1)</x:f>
        <x:v>45778</x:v>
      </x:c>
    </x:row>
    <x:row r="1355" ht="22" customHeight="1">
      <x:c r="A1355" s="2" t="str">
        <x:v>L001351</x:v>
      </x:c>
      <x:c r="B1355" s="2" t="str">
        <x:v>O00550</x:v>
      </x:c>
      <x:c r="C1355" s="7" t="n">
        <x:v>45797</x:v>
      </x:c>
      <x:c r="D1355" s="2" t="str">
        <x:v>Completed</x:v>
      </x:c>
      <x:c r="E1355" s="2" t="str">
        <x:v>West</x:v>
      </x:c>
      <x:c r="F1355" s="2" t="str">
        <x:v>Online</x:v>
      </x:c>
      <x:c r="G1355" s="2" t="str">
        <x:v>Storage</x:v>
      </x:c>
      <x:c r="H1355" s="2" t="str">
        <x:v>Shelf 003</x:v>
      </x:c>
      <x:c r="I1355" s="11" t="n">
        <x:v>1</x:v>
      </x:c>
      <x:c r="J1355" s="9" t="n">
        <x:v>199</x:v>
      </x:c>
      <x:c r="K1355" s="10" t="n">
        <x:v>0.2</x:v>
      </x:c>
      <x:c r="L1355" s="11" t="n">
        <x:v>0</x:v>
      </x:c>
      <x:c r="M1355" s="9" t="n">
        <x:f>IF(D1355="Completed",I1355*J1355,0)</x:f>
        <x:v>199</x:v>
      </x:c>
      <x:c r="N1355" s="9" t="n">
        <x:f>M1355*K1355</x:f>
        <x:v>39.800000000000004</x:v>
      </x:c>
      <x:c r="O1355" s="9" t="n">
        <x:f>M1355-N1355</x:f>
        <x:v>159.2</x:v>
      </x:c>
      <x:c r="P1355" s="9" t="n">
        <x:f>IF(D1355="Completed",L1355*J1355*(1-K1355),0)</x:f>
        <x:v>0</x:v>
      </x:c>
      <x:c r="Q1355" s="9" t="n">
        <x:f>O1355-P1355</x:f>
        <x:v>159.2</x:v>
      </x:c>
      <x:c r="R1355" s="11" t="n">
        <x:f>IF(D1355="Completed",I1355,0)</x:f>
        <x:v>1</x:v>
      </x:c>
      <x:c r="S1355" s="11" t="n">
        <x:f>IF(D1355="Completed",L1355,0)</x:f>
        <x:v>0</x:v>
      </x:c>
      <x:c r="T1355" s="8" t="n">
        <x:f>DATE(YEAR(C1355),MONTH(C1355),1)</x:f>
        <x:v>45778</x:v>
      </x:c>
    </x:row>
    <x:row r="1356" ht="22" customHeight="1">
      <x:c r="A1356" s="2" t="str">
        <x:v>L001352</x:v>
      </x:c>
      <x:c r="B1356" s="2" t="str">
        <x:v>O00550</x:v>
      </x:c>
      <x:c r="C1356" s="7" t="n">
        <x:v>45797</x:v>
      </x:c>
      <x:c r="D1356" s="2" t="str">
        <x:v>Completed</x:v>
      </x:c>
      <x:c r="E1356" s="2" t="str">
        <x:v>West</x:v>
      </x:c>
      <x:c r="F1356" s="2" t="str">
        <x:v>Online</x:v>
      </x:c>
      <x:c r="G1356" s="2" t="str">
        <x:v>Storage</x:v>
      </x:c>
      <x:c r="H1356" s="2" t="str">
        <x:v>Shelf 023</x:v>
      </x:c>
      <x:c r="I1356" s="11" t="n">
        <x:v>2</x:v>
      </x:c>
      <x:c r="J1356" s="9" t="n">
        <x:v>68</x:v>
      </x:c>
      <x:c r="K1356" s="10" t="n">
        <x:v>0.05</x:v>
      </x:c>
      <x:c r="L1356" s="11" t="n">
        <x:v>0</x:v>
      </x:c>
      <x:c r="M1356" s="9" t="n">
        <x:f>IF(D1356="Completed",I1356*J1356,0)</x:f>
        <x:v>136</x:v>
      </x:c>
      <x:c r="N1356" s="9" t="n">
        <x:f>M1356*K1356</x:f>
        <x:v>6.800000000000001</x:v>
      </x:c>
      <x:c r="O1356" s="9" t="n">
        <x:f>M1356-N1356</x:f>
        <x:v>129.2</x:v>
      </x:c>
      <x:c r="P1356" s="9" t="n">
        <x:f>IF(D1356="Completed",L1356*J1356*(1-K1356),0)</x:f>
        <x:v>0</x:v>
      </x:c>
      <x:c r="Q1356" s="9" t="n">
        <x:f>O1356-P1356</x:f>
        <x:v>129.2</x:v>
      </x:c>
      <x:c r="R1356" s="11" t="n">
        <x:f>IF(D1356="Completed",I1356,0)</x:f>
        <x:v>2</x:v>
      </x:c>
      <x:c r="S1356" s="11" t="n">
        <x:f>IF(D1356="Completed",L1356,0)</x:f>
        <x:v>0</x:v>
      </x:c>
      <x:c r="T1356" s="8" t="n">
        <x:f>DATE(YEAR(C1356),MONTH(C1356),1)</x:f>
        <x:v>45778</x:v>
      </x:c>
    </x:row>
    <x:row r="1357" ht="22" customHeight="1">
      <x:c r="A1357" s="2" t="str">
        <x:v>L001353</x:v>
      </x:c>
      <x:c r="B1357" s="2" t="str">
        <x:v>O00551</x:v>
      </x:c>
      <x:c r="C1357" s="7" t="n">
        <x:v>45791</x:v>
      </x:c>
      <x:c r="D1357" s="2" t="str">
        <x:v>Completed</x:v>
      </x:c>
      <x:c r="E1357" s="2" t="str">
        <x:v>North</x:v>
      </x:c>
      <x:c r="F1357" s="2" t="str">
        <x:v>Online</x:v>
      </x:c>
      <x:c r="G1357" s="2" t="str">
        <x:v>Storage</x:v>
      </x:c>
      <x:c r="H1357" s="2" t="str">
        <x:v>Shelf 007</x:v>
      </x:c>
      <x:c r="I1357" s="11" t="n">
        <x:v>4</x:v>
      </x:c>
      <x:c r="J1357" s="9" t="n">
        <x:v>35</x:v>
      </x:c>
      <x:c r="K1357" s="10" t="n">
        <x:v>0.05</x:v>
      </x:c>
      <x:c r="L1357" s="11" t="n">
        <x:v>0</x:v>
      </x:c>
      <x:c r="M1357" s="9" t="n">
        <x:f>IF(D1357="Completed",I1357*J1357,0)</x:f>
        <x:v>140</x:v>
      </x:c>
      <x:c r="N1357" s="9" t="n">
        <x:f>M1357*K1357</x:f>
        <x:v>7</x:v>
      </x:c>
      <x:c r="O1357" s="9" t="n">
        <x:f>M1357-N1357</x:f>
        <x:v>133</x:v>
      </x:c>
      <x:c r="P1357" s="9" t="n">
        <x:f>IF(D1357="Completed",L1357*J1357*(1-K1357),0)</x:f>
        <x:v>0</x:v>
      </x:c>
      <x:c r="Q1357" s="9" t="n">
        <x:f>O1357-P1357</x:f>
        <x:v>133</x:v>
      </x:c>
      <x:c r="R1357" s="11" t="n">
        <x:f>IF(D1357="Completed",I1357,0)</x:f>
        <x:v>4</x:v>
      </x:c>
      <x:c r="S1357" s="11" t="n">
        <x:f>IF(D1357="Completed",L1357,0)</x:f>
        <x:v>0</x:v>
      </x:c>
      <x:c r="T1357" s="8" t="n">
        <x:f>DATE(YEAR(C1357),MONTH(C1357),1)</x:f>
        <x:v>45778</x:v>
      </x:c>
    </x:row>
    <x:row r="1358" ht="22" customHeight="1">
      <x:c r="A1358" s="2" t="str">
        <x:v>L001354</x:v>
      </x:c>
      <x:c r="B1358" s="2" t="str">
        <x:v>O00551</x:v>
      </x:c>
      <x:c r="C1358" s="7" t="n">
        <x:v>45791</x:v>
      </x:c>
      <x:c r="D1358" s="2" t="str">
        <x:v>Completed</x:v>
      </x:c>
      <x:c r="E1358" s="2" t="str">
        <x:v>North</x:v>
      </x:c>
      <x:c r="F1358" s="2" t="str">
        <x:v>Online</x:v>
      </x:c>
      <x:c r="G1358" s="2" t="str">
        <x:v>Furniture</x:v>
      </x:c>
      <x:c r="H1358" s="2" t="str">
        <x:v>Chair 014</x:v>
      </x:c>
      <x:c r="I1358" s="11" t="n">
        <x:v>2</x:v>
      </x:c>
      <x:c r="J1358" s="9" t="n">
        <x:v>294</x:v>
      </x:c>
      <x:c r="K1358" s="10" t="n">
        <x:v>0.2</x:v>
      </x:c>
      <x:c r="L1358" s="11" t="n">
        <x:v>0</x:v>
      </x:c>
      <x:c r="M1358" s="9" t="n">
        <x:f>IF(D1358="Completed",I1358*J1358,0)</x:f>
        <x:v>588</x:v>
      </x:c>
      <x:c r="N1358" s="9" t="n">
        <x:f>M1358*K1358</x:f>
        <x:v>117.60000000000001</x:v>
      </x:c>
      <x:c r="O1358" s="9" t="n">
        <x:f>M1358-N1358</x:f>
        <x:v>470.4</x:v>
      </x:c>
      <x:c r="P1358" s="9" t="n">
        <x:f>IF(D1358="Completed",L1358*J1358*(1-K1358),0)</x:f>
        <x:v>0</x:v>
      </x:c>
      <x:c r="Q1358" s="9" t="n">
        <x:f>O1358-P1358</x:f>
        <x:v>470.4</x:v>
      </x:c>
      <x:c r="R1358" s="11" t="n">
        <x:f>IF(D1358="Completed",I1358,0)</x:f>
        <x:v>2</x:v>
      </x:c>
      <x:c r="S1358" s="11" t="n">
        <x:f>IF(D1358="Completed",L1358,0)</x:f>
        <x:v>0</x:v>
      </x:c>
      <x:c r="T1358" s="8" t="n">
        <x:f>DATE(YEAR(C1358),MONTH(C1358),1)</x:f>
        <x:v>45778</x:v>
      </x:c>
    </x:row>
    <x:row r="1359" ht="22" customHeight="1">
      <x:c r="A1359" s="2" t="str">
        <x:v>L001355</x:v>
      </x:c>
      <x:c r="B1359" s="2" t="str">
        <x:v>O00551</x:v>
      </x:c>
      <x:c r="C1359" s="7" t="n">
        <x:v>45791</x:v>
      </x:c>
      <x:c r="D1359" s="2" t="str">
        <x:v>Completed</x:v>
      </x:c>
      <x:c r="E1359" s="2" t="str">
        <x:v>North</x:v>
      </x:c>
      <x:c r="F1359" s="2" t="str">
        <x:v>Online</x:v>
      </x:c>
      <x:c r="G1359" s="2" t="str">
        <x:v>Furniture</x:v>
      </x:c>
      <x:c r="H1359" s="2" t="str">
        <x:v>Desk 020</x:v>
      </x:c>
      <x:c r="I1359" s="11" t="n">
        <x:v>1</x:v>
      </x:c>
      <x:c r="J1359" s="9" t="n">
        <x:v>189</x:v>
      </x:c>
      <x:c r="K1359" s="10" t="n">
        <x:v>0.05</x:v>
      </x:c>
      <x:c r="L1359" s="11" t="n">
        <x:v>0</x:v>
      </x:c>
      <x:c r="M1359" s="9" t="n">
        <x:f>IF(D1359="Completed",I1359*J1359,0)</x:f>
        <x:v>189</x:v>
      </x:c>
      <x:c r="N1359" s="9" t="n">
        <x:f>M1359*K1359</x:f>
        <x:v>9.450000000000001</x:v>
      </x:c>
      <x:c r="O1359" s="9" t="n">
        <x:f>M1359-N1359</x:f>
        <x:v>179.55</x:v>
      </x:c>
      <x:c r="P1359" s="9" t="n">
        <x:f>IF(D1359="Completed",L1359*J1359*(1-K1359),0)</x:f>
        <x:v>0</x:v>
      </x:c>
      <x:c r="Q1359" s="9" t="n">
        <x:f>O1359-P1359</x:f>
        <x:v>179.55</x:v>
      </x:c>
      <x:c r="R1359" s="11" t="n">
        <x:f>IF(D1359="Completed",I1359,0)</x:f>
        <x:v>1</x:v>
      </x:c>
      <x:c r="S1359" s="11" t="n">
        <x:f>IF(D1359="Completed",L1359,0)</x:f>
        <x:v>0</x:v>
      </x:c>
      <x:c r="T1359" s="8" t="n">
        <x:f>DATE(YEAR(C1359),MONTH(C1359),1)</x:f>
        <x:v>45778</x:v>
      </x:c>
    </x:row>
    <x:row r="1360" ht="22" customHeight="1">
      <x:c r="A1360" s="2" t="str">
        <x:v>L001356</x:v>
      </x:c>
      <x:c r="B1360" s="2" t="str">
        <x:v>O00551</x:v>
      </x:c>
      <x:c r="C1360" s="7" t="n">
        <x:v>45791</x:v>
      </x:c>
      <x:c r="D1360" s="2" t="str">
        <x:v>Completed</x:v>
      </x:c>
      <x:c r="E1360" s="2" t="str">
        <x:v>North</x:v>
      </x:c>
      <x:c r="F1360" s="2" t="str">
        <x:v>Online</x:v>
      </x:c>
      <x:c r="G1360" s="2" t="str">
        <x:v>Furniture</x:v>
      </x:c>
      <x:c r="H1360" s="2" t="str">
        <x:v>Desk 020</x:v>
      </x:c>
      <x:c r="I1360" s="11" t="n">
        <x:v>1</x:v>
      </x:c>
      <x:c r="J1360" s="9" t="n">
        <x:v>189</x:v>
      </x:c>
      <x:c r="K1360" s="10" t="n">
        <x:v>0.1</x:v>
      </x:c>
      <x:c r="L1360" s="11" t="n">
        <x:v>0</x:v>
      </x:c>
      <x:c r="M1360" s="9" t="n">
        <x:f>IF(D1360="Completed",I1360*J1360,0)</x:f>
        <x:v>189</x:v>
      </x:c>
      <x:c r="N1360" s="9" t="n">
        <x:f>M1360*K1360</x:f>
        <x:v>18.900000000000002</x:v>
      </x:c>
      <x:c r="O1360" s="9" t="n">
        <x:f>M1360-N1360</x:f>
        <x:v>170.1</x:v>
      </x:c>
      <x:c r="P1360" s="9" t="n">
        <x:f>IF(D1360="Completed",L1360*J1360*(1-K1360),0)</x:f>
        <x:v>0</x:v>
      </x:c>
      <x:c r="Q1360" s="9" t="n">
        <x:f>O1360-P1360</x:f>
        <x:v>170.1</x:v>
      </x:c>
      <x:c r="R1360" s="11" t="n">
        <x:f>IF(D1360="Completed",I1360,0)</x:f>
        <x:v>1</x:v>
      </x:c>
      <x:c r="S1360" s="11" t="n">
        <x:f>IF(D1360="Completed",L1360,0)</x:f>
        <x:v>0</x:v>
      </x:c>
      <x:c r="T1360" s="8" t="n">
        <x:f>DATE(YEAR(C1360),MONTH(C1360),1)</x:f>
        <x:v>45778</x:v>
      </x:c>
    </x:row>
    <x:row r="1361" ht="22" customHeight="1">
      <x:c r="A1361" s="2" t="str">
        <x:v>L001357</x:v>
      </x:c>
      <x:c r="B1361" s="2" t="str">
        <x:v>O00552</x:v>
      </x:c>
      <x:c r="C1361" s="7" t="n">
        <x:v>45726</x:v>
      </x:c>
      <x:c r="D1361" s="2" t="str">
        <x:v>Completed</x:v>
      </x:c>
      <x:c r="E1361" s="2" t="str">
        <x:v>West</x:v>
      </x:c>
      <x:c r="F1361" s="2" t="str">
        <x:v>Online</x:v>
      </x:c>
      <x:c r="G1361" s="2" t="str">
        <x:v>Furniture</x:v>
      </x:c>
      <x:c r="H1361" s="2" t="str">
        <x:v>Chair 014</x:v>
      </x:c>
      <x:c r="I1361" s="11" t="n">
        <x:v>3</x:v>
      </x:c>
      <x:c r="J1361" s="9" t="n">
        <x:v>294</x:v>
      </x:c>
      <x:c r="K1361" s="10" t="n">
        <x:v>0.2</x:v>
      </x:c>
      <x:c r="L1361" s="11" t="n">
        <x:v>0</x:v>
      </x:c>
      <x:c r="M1361" s="9" t="n">
        <x:f>IF(D1361="Completed",I1361*J1361,0)</x:f>
        <x:v>882</x:v>
      </x:c>
      <x:c r="N1361" s="9" t="n">
        <x:f>M1361*K1361</x:f>
        <x:v>176.4</x:v>
      </x:c>
      <x:c r="O1361" s="9" t="n">
        <x:f>M1361-N1361</x:f>
        <x:v>705.6</x:v>
      </x:c>
      <x:c r="P1361" s="9" t="n">
        <x:f>IF(D1361="Completed",L1361*J1361*(1-K1361),0)</x:f>
        <x:v>0</x:v>
      </x:c>
      <x:c r="Q1361" s="9" t="n">
        <x:f>O1361-P1361</x:f>
        <x:v>705.6</x:v>
      </x:c>
      <x:c r="R1361" s="11" t="n">
        <x:f>IF(D1361="Completed",I1361,0)</x:f>
        <x:v>3</x:v>
      </x:c>
      <x:c r="S1361" s="11" t="n">
        <x:f>IF(D1361="Completed",L1361,0)</x:f>
        <x:v>0</x:v>
      </x:c>
      <x:c r="T1361" s="8" t="n">
        <x:f>DATE(YEAR(C1361),MONTH(C1361),1)</x:f>
        <x:v>45717</x:v>
      </x:c>
    </x:row>
    <x:row r="1362" ht="22" customHeight="1">
      <x:c r="A1362" s="2" t="str">
        <x:v>L001358</x:v>
      </x:c>
      <x:c r="B1362" s="2" t="str">
        <x:v>O00552</x:v>
      </x:c>
      <x:c r="C1362" s="7" t="n">
        <x:v>45726</x:v>
      </x:c>
      <x:c r="D1362" s="2" t="str">
        <x:v>Completed</x:v>
      </x:c>
      <x:c r="E1362" s="2" t="str">
        <x:v>West</x:v>
      </x:c>
      <x:c r="F1362" s="2" t="str">
        <x:v>Online</x:v>
      </x:c>
      <x:c r="G1362" s="2" t="str">
        <x:v>Storage</x:v>
      </x:c>
      <x:c r="H1362" s="2" t="str">
        <x:v>Shelf 015</x:v>
      </x:c>
      <x:c r="I1362" s="11" t="n">
        <x:v>1</x:v>
      </x:c>
      <x:c r="J1362" s="9" t="n">
        <x:v>254</x:v>
      </x:c>
      <x:c r="K1362" s="10" t="n">
        <x:v>0</x:v>
      </x:c>
      <x:c r="L1362" s="11" t="n">
        <x:v>0</x:v>
      </x:c>
      <x:c r="M1362" s="9" t="n">
        <x:f>IF(D1362="Completed",I1362*J1362,0)</x:f>
        <x:v>254</x:v>
      </x:c>
      <x:c r="N1362" s="9" t="n">
        <x:f>M1362*K1362</x:f>
        <x:v>0</x:v>
      </x:c>
      <x:c r="O1362" s="9" t="n">
        <x:f>M1362-N1362</x:f>
        <x:v>254</x:v>
      </x:c>
      <x:c r="P1362" s="9" t="n">
        <x:f>IF(D1362="Completed",L1362*J1362*(1-K1362),0)</x:f>
        <x:v>0</x:v>
      </x:c>
      <x:c r="Q1362" s="9" t="n">
        <x:f>O1362-P1362</x:f>
        <x:v>254</x:v>
      </x:c>
      <x:c r="R1362" s="11" t="n">
        <x:f>IF(D1362="Completed",I1362,0)</x:f>
        <x:v>1</x:v>
      </x:c>
      <x:c r="S1362" s="11" t="n">
        <x:f>IF(D1362="Completed",L1362,0)</x:f>
        <x:v>0</x:v>
      </x:c>
      <x:c r="T1362" s="8" t="n">
        <x:f>DATE(YEAR(C1362),MONTH(C1362),1)</x:f>
        <x:v>45717</x:v>
      </x:c>
    </x:row>
    <x:row r="1363" ht="22" customHeight="1">
      <x:c r="A1363" s="2" t="str">
        <x:v>L001359</x:v>
      </x:c>
      <x:c r="B1363" s="2" t="str">
        <x:v>O00552</x:v>
      </x:c>
      <x:c r="C1363" s="7" t="n">
        <x:v>45726</x:v>
      </x:c>
      <x:c r="D1363" s="2" t="str">
        <x:v>Completed</x:v>
      </x:c>
      <x:c r="E1363" s="2" t="str">
        <x:v>West</x:v>
      </x:c>
      <x:c r="F1363" s="2" t="str">
        <x:v>Online</x:v>
      </x:c>
      <x:c r="G1363" s="2" t="str">
        <x:v>Furniture</x:v>
      </x:c>
      <x:c r="H1363" s="2" t="str">
        <x:v>Desk 016</x:v>
      </x:c>
      <x:c r="I1363" s="11" t="n">
        <x:v>1</x:v>
      </x:c>
      <x:c r="J1363" s="9" t="n">
        <x:v>231</x:v>
      </x:c>
      <x:c r="K1363" s="10" t="n">
        <x:v>0.1</x:v>
      </x:c>
      <x:c r="L1363" s="11" t="n">
        <x:v>0</x:v>
      </x:c>
      <x:c r="M1363" s="9" t="n">
        <x:f>IF(D1363="Completed",I1363*J1363,0)</x:f>
        <x:v>231</x:v>
      </x:c>
      <x:c r="N1363" s="9" t="n">
        <x:f>M1363*K1363</x:f>
        <x:v>23.1</x:v>
      </x:c>
      <x:c r="O1363" s="9" t="n">
        <x:f>M1363-N1363</x:f>
        <x:v>207.9</x:v>
      </x:c>
      <x:c r="P1363" s="9" t="n">
        <x:f>IF(D1363="Completed",L1363*J1363*(1-K1363),0)</x:f>
        <x:v>0</x:v>
      </x:c>
      <x:c r="Q1363" s="9" t="n">
        <x:f>O1363-P1363</x:f>
        <x:v>207.9</x:v>
      </x:c>
      <x:c r="R1363" s="11" t="n">
        <x:f>IF(D1363="Completed",I1363,0)</x:f>
        <x:v>1</x:v>
      </x:c>
      <x:c r="S1363" s="11" t="n">
        <x:f>IF(D1363="Completed",L1363,0)</x:f>
        <x:v>0</x:v>
      </x:c>
      <x:c r="T1363" s="8" t="n">
        <x:f>DATE(YEAR(C1363),MONTH(C1363),1)</x:f>
        <x:v>45717</x:v>
      </x:c>
    </x:row>
    <x:row r="1364" ht="22" customHeight="1">
      <x:c r="A1364" s="2" t="str">
        <x:v>L001360</x:v>
      </x:c>
      <x:c r="B1364" s="2" t="str">
        <x:v>O00552</x:v>
      </x:c>
      <x:c r="C1364" s="7" t="n">
        <x:v>45726</x:v>
      </x:c>
      <x:c r="D1364" s="2" t="str">
        <x:v>Completed</x:v>
      </x:c>
      <x:c r="E1364" s="2" t="str">
        <x:v>West</x:v>
      </x:c>
      <x:c r="F1364" s="2" t="str">
        <x:v>Online</x:v>
      </x:c>
      <x:c r="G1364" s="2" t="str">
        <x:v>Storage</x:v>
      </x:c>
      <x:c r="H1364" s="2" t="str">
        <x:v>Shelf 011</x:v>
      </x:c>
      <x:c r="I1364" s="11" t="n">
        <x:v>5</x:v>
      </x:c>
      <x:c r="J1364" s="9" t="n">
        <x:v>80</x:v>
      </x:c>
      <x:c r="K1364" s="10" t="n">
        <x:v>0</x:v>
      </x:c>
      <x:c r="L1364" s="11" t="n">
        <x:v>0</x:v>
      </x:c>
      <x:c r="M1364" s="9" t="n">
        <x:f>IF(D1364="Completed",I1364*J1364,0)</x:f>
        <x:v>400</x:v>
      </x:c>
      <x:c r="N1364" s="9" t="n">
        <x:f>M1364*K1364</x:f>
        <x:v>0</x:v>
      </x:c>
      <x:c r="O1364" s="9" t="n">
        <x:f>M1364-N1364</x:f>
        <x:v>400</x:v>
      </x:c>
      <x:c r="P1364" s="9" t="n">
        <x:f>IF(D1364="Completed",L1364*J1364*(1-K1364),0)</x:f>
        <x:v>0</x:v>
      </x:c>
      <x:c r="Q1364" s="9" t="n">
        <x:f>O1364-P1364</x:f>
        <x:v>400</x:v>
      </x:c>
      <x:c r="R1364" s="11" t="n">
        <x:f>IF(D1364="Completed",I1364,0)</x:f>
        <x:v>5</x:v>
      </x:c>
      <x:c r="S1364" s="11" t="n">
        <x:f>IF(D1364="Completed",L1364,0)</x:f>
        <x:v>0</x:v>
      </x:c>
      <x:c r="T1364" s="8" t="n">
        <x:f>DATE(YEAR(C1364),MONTH(C1364),1)</x:f>
        <x:v>45717</x:v>
      </x:c>
    </x:row>
    <x:row r="1365" ht="22" customHeight="1">
      <x:c r="A1365" s="2" t="str">
        <x:v>L001361</x:v>
      </x:c>
      <x:c r="B1365" s="2" t="str">
        <x:v>O00553</x:v>
      </x:c>
      <x:c r="C1365" s="7" t="n">
        <x:v>46006</x:v>
      </x:c>
      <x:c r="D1365" s="2" t="str">
        <x:v>Completed</x:v>
      </x:c>
      <x:c r="E1365" s="2" t="str">
        <x:v>South</x:v>
      </x:c>
      <x:c r="F1365" s="2" t="str">
        <x:v>Store</x:v>
      </x:c>
      <x:c r="G1365" s="2" t="str">
        <x:v>Furniture</x:v>
      </x:c>
      <x:c r="H1365" s="2" t="str">
        <x:v>Desk 012</x:v>
      </x:c>
      <x:c r="I1365" s="11" t="n">
        <x:v>2</x:v>
      </x:c>
      <x:c r="J1365" s="9" t="n">
        <x:v>134</x:v>
      </x:c>
      <x:c r="K1365" s="10" t="n">
        <x:v>0.2</x:v>
      </x:c>
      <x:c r="L1365" s="11" t="n">
        <x:v>0</x:v>
      </x:c>
      <x:c r="M1365" s="9" t="n">
        <x:f>IF(D1365="Completed",I1365*J1365,0)</x:f>
        <x:v>268</x:v>
      </x:c>
      <x:c r="N1365" s="9" t="n">
        <x:f>M1365*K1365</x:f>
        <x:v>53.6</x:v>
      </x:c>
      <x:c r="O1365" s="9" t="n">
        <x:f>M1365-N1365</x:f>
        <x:v>214.4</x:v>
      </x:c>
      <x:c r="P1365" s="9" t="n">
        <x:f>IF(D1365="Completed",L1365*J1365*(1-K1365),0)</x:f>
        <x:v>0</x:v>
      </x:c>
      <x:c r="Q1365" s="9" t="n">
        <x:f>O1365-P1365</x:f>
        <x:v>214.4</x:v>
      </x:c>
      <x:c r="R1365" s="11" t="n">
        <x:f>IF(D1365="Completed",I1365,0)</x:f>
        <x:v>2</x:v>
      </x:c>
      <x:c r="S1365" s="11" t="n">
        <x:f>IF(D1365="Completed",L1365,0)</x:f>
        <x:v>0</x:v>
      </x:c>
      <x:c r="T1365" s="8" t="n">
        <x:f>DATE(YEAR(C1365),MONTH(C1365),1)</x:f>
        <x:v>45992</x:v>
      </x:c>
    </x:row>
    <x:row r="1366" ht="22" customHeight="1">
      <x:c r="A1366" s="2" t="str">
        <x:v>L001362</x:v>
      </x:c>
      <x:c r="B1366" s="2" t="str">
        <x:v>O00553</x:v>
      </x:c>
      <x:c r="C1366" s="7" t="n">
        <x:v>46006</x:v>
      </x:c>
      <x:c r="D1366" s="2" t="str">
        <x:v>Completed</x:v>
      </x:c>
      <x:c r="E1366" s="2" t="str">
        <x:v>South</x:v>
      </x:c>
      <x:c r="F1366" s="2" t="str">
        <x:v>Store</x:v>
      </x:c>
      <x:c r="G1366" s="2" t="str">
        <x:v>Storage</x:v>
      </x:c>
      <x:c r="H1366" s="2" t="str">
        <x:v>Shelf 011</x:v>
      </x:c>
      <x:c r="I1366" s="11" t="n">
        <x:v>1</x:v>
      </x:c>
      <x:c r="J1366" s="9" t="n">
        <x:v>80</x:v>
      </x:c>
      <x:c r="K1366" s="10" t="n">
        <x:v>0.1</x:v>
      </x:c>
      <x:c r="L1366" s="11" t="n">
        <x:v>0</x:v>
      </x:c>
      <x:c r="M1366" s="9" t="n">
        <x:f>IF(D1366="Completed",I1366*J1366,0)</x:f>
        <x:v>80</x:v>
      </x:c>
      <x:c r="N1366" s="9" t="n">
        <x:f>M1366*K1366</x:f>
        <x:v>8</x:v>
      </x:c>
      <x:c r="O1366" s="9" t="n">
        <x:f>M1366-N1366</x:f>
        <x:v>72</x:v>
      </x:c>
      <x:c r="P1366" s="9" t="n">
        <x:f>IF(D1366="Completed",L1366*J1366*(1-K1366),0)</x:f>
        <x:v>0</x:v>
      </x:c>
      <x:c r="Q1366" s="9" t="n">
        <x:f>O1366-P1366</x:f>
        <x:v>72</x:v>
      </x:c>
      <x:c r="R1366" s="11" t="n">
        <x:f>IF(D1366="Completed",I1366,0)</x:f>
        <x:v>1</x:v>
      </x:c>
      <x:c r="S1366" s="11" t="n">
        <x:f>IF(D1366="Completed",L1366,0)</x:f>
        <x:v>0</x:v>
      </x:c>
      <x:c r="T1366" s="8" t="n">
        <x:f>DATE(YEAR(C1366),MONTH(C1366),1)</x:f>
        <x:v>45992</x:v>
      </x:c>
    </x:row>
    <x:row r="1367" ht="22" customHeight="1">
      <x:c r="A1367" s="2" t="str">
        <x:v>L001363</x:v>
      </x:c>
      <x:c r="B1367" s="2" t="str">
        <x:v>O00553</x:v>
      </x:c>
      <x:c r="C1367" s="7" t="n">
        <x:v>46006</x:v>
      </x:c>
      <x:c r="D1367" s="2" t="str">
        <x:v>Completed</x:v>
      </x:c>
      <x:c r="E1367" s="2" t="str">
        <x:v>South</x:v>
      </x:c>
      <x:c r="F1367" s="2" t="str">
        <x:v>Store</x:v>
      </x:c>
      <x:c r="G1367" s="2" t="str">
        <x:v>Lighting</x:v>
      </x:c>
      <x:c r="H1367" s="2" t="str">
        <x:v>Lamp 005</x:v>
      </x:c>
      <x:c r="I1367" s="11" t="n">
        <x:v>4</x:v>
      </x:c>
      <x:c r="J1367" s="9" t="n">
        <x:v>65</x:v>
      </x:c>
      <x:c r="K1367" s="10" t="n">
        <x:v>0.05</x:v>
      </x:c>
      <x:c r="L1367" s="11" t="n">
        <x:v>0</x:v>
      </x:c>
      <x:c r="M1367" s="9" t="n">
        <x:f>IF(D1367="Completed",I1367*J1367,0)</x:f>
        <x:v>260</x:v>
      </x:c>
      <x:c r="N1367" s="9" t="n">
        <x:f>M1367*K1367</x:f>
        <x:v>13</x:v>
      </x:c>
      <x:c r="O1367" s="9" t="n">
        <x:f>M1367-N1367</x:f>
        <x:v>247</x:v>
      </x:c>
      <x:c r="P1367" s="9" t="n">
        <x:f>IF(D1367="Completed",L1367*J1367*(1-K1367),0)</x:f>
        <x:v>0</x:v>
      </x:c>
      <x:c r="Q1367" s="9" t="n">
        <x:f>O1367-P1367</x:f>
        <x:v>247</x:v>
      </x:c>
      <x:c r="R1367" s="11" t="n">
        <x:f>IF(D1367="Completed",I1367,0)</x:f>
        <x:v>4</x:v>
      </x:c>
      <x:c r="S1367" s="11" t="n">
        <x:f>IF(D1367="Completed",L1367,0)</x:f>
        <x:v>0</x:v>
      </x:c>
      <x:c r="T1367" s="8" t="n">
        <x:f>DATE(YEAR(C1367),MONTH(C1367),1)</x:f>
        <x:v>45992</x:v>
      </x:c>
    </x:row>
    <x:row r="1368" ht="22" customHeight="1">
      <x:c r="A1368" s="2" t="str">
        <x:v>L001364</x:v>
      </x:c>
      <x:c r="B1368" s="2" t="str">
        <x:v>O00554</x:v>
      </x:c>
      <x:c r="C1368" s="7" t="n">
        <x:v>45717</x:v>
      </x:c>
      <x:c r="D1368" s="2" t="str">
        <x:v>Completed</x:v>
      </x:c>
      <x:c r="E1368" s="2" t="str">
        <x:v>South</x:v>
      </x:c>
      <x:c r="F1368" s="2" t="str">
        <x:v>Online</x:v>
      </x:c>
      <x:c r="G1368" s="2" t="str">
        <x:v>Lighting</x:v>
      </x:c>
      <x:c r="H1368" s="2" t="str">
        <x:v>Lamp 013</x:v>
      </x:c>
      <x:c r="I1368" s="11" t="n">
        <x:v>1</x:v>
      </x:c>
      <x:c r="J1368" s="9" t="n">
        <x:v>271</x:v>
      </x:c>
      <x:c r="K1368" s="10" t="n">
        <x:v>0</x:v>
      </x:c>
      <x:c r="L1368" s="11" t="n">
        <x:v>0</x:v>
      </x:c>
      <x:c r="M1368" s="9" t="n">
        <x:f>IF(D1368="Completed",I1368*J1368,0)</x:f>
        <x:v>271</x:v>
      </x:c>
      <x:c r="N1368" s="9" t="n">
        <x:f>M1368*K1368</x:f>
        <x:v>0</x:v>
      </x:c>
      <x:c r="O1368" s="9" t="n">
        <x:f>M1368-N1368</x:f>
        <x:v>271</x:v>
      </x:c>
      <x:c r="P1368" s="9" t="n">
        <x:f>IF(D1368="Completed",L1368*J1368*(1-K1368),0)</x:f>
        <x:v>0</x:v>
      </x:c>
      <x:c r="Q1368" s="9" t="n">
        <x:f>O1368-P1368</x:f>
        <x:v>271</x:v>
      </x:c>
      <x:c r="R1368" s="11" t="n">
        <x:f>IF(D1368="Completed",I1368,0)</x:f>
        <x:v>1</x:v>
      </x:c>
      <x:c r="S1368" s="11" t="n">
        <x:f>IF(D1368="Completed",L1368,0)</x:f>
        <x:v>0</x:v>
      </x:c>
      <x:c r="T1368" s="8" t="n">
        <x:f>DATE(YEAR(C1368),MONTH(C1368),1)</x:f>
        <x:v>45717</x:v>
      </x:c>
    </x:row>
    <x:row r="1369" ht="22" customHeight="1">
      <x:c r="A1369" s="2" t="str">
        <x:v>L001365</x:v>
      </x:c>
      <x:c r="B1369" s="2" t="str">
        <x:v>O00554</x:v>
      </x:c>
      <x:c r="C1369" s="7" t="n">
        <x:v>45717</x:v>
      </x:c>
      <x:c r="D1369" s="2" t="str">
        <x:v>Completed</x:v>
      </x:c>
      <x:c r="E1369" s="2" t="str">
        <x:v>South</x:v>
      </x:c>
      <x:c r="F1369" s="2" t="str">
        <x:v>Online</x:v>
      </x:c>
      <x:c r="G1369" s="2" t="str">
        <x:v>Furniture</x:v>
      </x:c>
      <x:c r="H1369" s="2" t="str">
        <x:v>Desk 008</x:v>
      </x:c>
      <x:c r="I1369" s="11" t="n">
        <x:v>2</x:v>
      </x:c>
      <x:c r="J1369" s="9" t="n">
        <x:v>188</x:v>
      </x:c>
      <x:c r="K1369" s="10" t="n">
        <x:v>0.05</x:v>
      </x:c>
      <x:c r="L1369" s="11" t="n">
        <x:v>0</x:v>
      </x:c>
      <x:c r="M1369" s="9" t="n">
        <x:f>IF(D1369="Completed",I1369*J1369,0)</x:f>
        <x:v>376</x:v>
      </x:c>
      <x:c r="N1369" s="9" t="n">
        <x:f>M1369*K1369</x:f>
        <x:v>18.8</x:v>
      </x:c>
      <x:c r="O1369" s="9" t="n">
        <x:f>M1369-N1369</x:f>
        <x:v>357.2</x:v>
      </x:c>
      <x:c r="P1369" s="9" t="n">
        <x:f>IF(D1369="Completed",L1369*J1369*(1-K1369),0)</x:f>
        <x:v>0</x:v>
      </x:c>
      <x:c r="Q1369" s="9" t="n">
        <x:f>O1369-P1369</x:f>
        <x:v>357.2</x:v>
      </x:c>
      <x:c r="R1369" s="11" t="n">
        <x:f>IF(D1369="Completed",I1369,0)</x:f>
        <x:v>2</x:v>
      </x:c>
      <x:c r="S1369" s="11" t="n">
        <x:f>IF(D1369="Completed",L1369,0)</x:f>
        <x:v>0</x:v>
      </x:c>
      <x:c r="T1369" s="8" t="n">
        <x:f>DATE(YEAR(C1369),MONTH(C1369),1)</x:f>
        <x:v>45717</x:v>
      </x:c>
    </x:row>
    <x:row r="1370" ht="22" customHeight="1">
      <x:c r="A1370" s="2" t="str">
        <x:v>L001366</x:v>
      </x:c>
      <x:c r="B1370" s="2" t="str">
        <x:v>O00554</x:v>
      </x:c>
      <x:c r="C1370" s="7" t="n">
        <x:v>45717</x:v>
      </x:c>
      <x:c r="D1370" s="2" t="str">
        <x:v>Completed</x:v>
      </x:c>
      <x:c r="E1370" s="2" t="str">
        <x:v>South</x:v>
      </x:c>
      <x:c r="F1370" s="2" t="str">
        <x:v>Online</x:v>
      </x:c>
      <x:c r="G1370" s="2" t="str">
        <x:v>Lighting</x:v>
      </x:c>
      <x:c r="H1370" s="2" t="str">
        <x:v>Lamp 005</x:v>
      </x:c>
      <x:c r="I1370" s="11" t="n">
        <x:v>5</x:v>
      </x:c>
      <x:c r="J1370" s="9" t="n">
        <x:v>65</x:v>
      </x:c>
      <x:c r="K1370" s="10" t="n">
        <x:v>0.2</x:v>
      </x:c>
      <x:c r="L1370" s="11" t="n">
        <x:v>0</x:v>
      </x:c>
      <x:c r="M1370" s="9" t="n">
        <x:f>IF(D1370="Completed",I1370*J1370,0)</x:f>
        <x:v>325</x:v>
      </x:c>
      <x:c r="N1370" s="9" t="n">
        <x:f>M1370*K1370</x:f>
        <x:v>65</x:v>
      </x:c>
      <x:c r="O1370" s="9" t="n">
        <x:f>M1370-N1370</x:f>
        <x:v>260</x:v>
      </x:c>
      <x:c r="P1370" s="9" t="n">
        <x:f>IF(D1370="Completed",L1370*J1370*(1-K1370),0)</x:f>
        <x:v>0</x:v>
      </x:c>
      <x:c r="Q1370" s="9" t="n">
        <x:f>O1370-P1370</x:f>
        <x:v>260</x:v>
      </x:c>
      <x:c r="R1370" s="11" t="n">
        <x:f>IF(D1370="Completed",I1370,0)</x:f>
        <x:v>5</x:v>
      </x:c>
      <x:c r="S1370" s="11" t="n">
        <x:f>IF(D1370="Completed",L1370,0)</x:f>
        <x:v>0</x:v>
      </x:c>
      <x:c r="T1370" s="8" t="n">
        <x:f>DATE(YEAR(C1370),MONTH(C1370),1)</x:f>
        <x:v>45717</x:v>
      </x:c>
    </x:row>
    <x:row r="1371" ht="22" customHeight="1">
      <x:c r="A1371" s="2" t="str">
        <x:v>L001367</x:v>
      </x:c>
      <x:c r="B1371" s="2" t="str">
        <x:v>O00555</x:v>
      </x:c>
      <x:c r="C1371" s="7" t="n">
        <x:v>45949</x:v>
      </x:c>
      <x:c r="D1371" s="2" t="str">
        <x:v>Completed</x:v>
      </x:c>
      <x:c r="E1371" s="2" t="str">
        <x:v>East</x:v>
      </x:c>
      <x:c r="F1371" s="2" t="str">
        <x:v>Store</x:v>
      </x:c>
      <x:c r="G1371" s="2" t="str">
        <x:v>Lighting</x:v>
      </x:c>
      <x:c r="H1371" s="2" t="str">
        <x:v>Lamp 017</x:v>
      </x:c>
      <x:c r="I1371" s="11" t="n">
        <x:v>5</x:v>
      </x:c>
      <x:c r="J1371" s="9" t="n">
        <x:v>300</x:v>
      </x:c>
      <x:c r="K1371" s="10" t="n">
        <x:v>0</x:v>
      </x:c>
      <x:c r="L1371" s="11" t="n">
        <x:v>0</x:v>
      </x:c>
      <x:c r="M1371" s="9" t="n">
        <x:f>IF(D1371="Completed",I1371*J1371,0)</x:f>
        <x:v>1500</x:v>
      </x:c>
      <x:c r="N1371" s="9" t="n">
        <x:f>M1371*K1371</x:f>
        <x:v>0</x:v>
      </x:c>
      <x:c r="O1371" s="9" t="n">
        <x:f>M1371-N1371</x:f>
        <x:v>1500</x:v>
      </x:c>
      <x:c r="P1371" s="9" t="n">
        <x:f>IF(D1371="Completed",L1371*J1371*(1-K1371),0)</x:f>
        <x:v>0</x:v>
      </x:c>
      <x:c r="Q1371" s="9" t="n">
        <x:f>O1371-P1371</x:f>
        <x:v>1500</x:v>
      </x:c>
      <x:c r="R1371" s="11" t="n">
        <x:f>IF(D1371="Completed",I1371,0)</x:f>
        <x:v>5</x:v>
      </x:c>
      <x:c r="S1371" s="11" t="n">
        <x:f>IF(D1371="Completed",L1371,0)</x:f>
        <x:v>0</x:v>
      </x:c>
      <x:c r="T1371" s="8" t="n">
        <x:f>DATE(YEAR(C1371),MONTH(C1371),1)</x:f>
        <x:v>45931</x:v>
      </x:c>
    </x:row>
    <x:row r="1372" ht="22" customHeight="1">
      <x:c r="A1372" s="2" t="str">
        <x:v>L001368</x:v>
      </x:c>
      <x:c r="B1372" s="2" t="str">
        <x:v>O00555</x:v>
      </x:c>
      <x:c r="C1372" s="7" t="n">
        <x:v>45949</x:v>
      </x:c>
      <x:c r="D1372" s="2" t="str">
        <x:v>Completed</x:v>
      </x:c>
      <x:c r="E1372" s="2" t="str">
        <x:v>East</x:v>
      </x:c>
      <x:c r="F1372" s="2" t="str">
        <x:v>Store</x:v>
      </x:c>
      <x:c r="G1372" s="2" t="str">
        <x:v>Furniture</x:v>
      </x:c>
      <x:c r="H1372" s="2" t="str">
        <x:v>Desk 012</x:v>
      </x:c>
      <x:c r="I1372" s="11" t="n">
        <x:v>3</x:v>
      </x:c>
      <x:c r="J1372" s="9" t="n">
        <x:v>134</x:v>
      </x:c>
      <x:c r="K1372" s="10" t="n">
        <x:v>0.05</x:v>
      </x:c>
      <x:c r="L1372" s="11" t="n">
        <x:v>0</x:v>
      </x:c>
      <x:c r="M1372" s="9" t="n">
        <x:f>IF(D1372="Completed",I1372*J1372,0)</x:f>
        <x:v>402</x:v>
      </x:c>
      <x:c r="N1372" s="9" t="n">
        <x:f>M1372*K1372</x:f>
        <x:v>20.1</x:v>
      </x:c>
      <x:c r="O1372" s="9" t="n">
        <x:f>M1372-N1372</x:f>
        <x:v>381.9</x:v>
      </x:c>
      <x:c r="P1372" s="9" t="n">
        <x:f>IF(D1372="Completed",L1372*J1372*(1-K1372),0)</x:f>
        <x:v>0</x:v>
      </x:c>
      <x:c r="Q1372" s="9" t="n">
        <x:f>O1372-P1372</x:f>
        <x:v>381.9</x:v>
      </x:c>
      <x:c r="R1372" s="11" t="n">
        <x:f>IF(D1372="Completed",I1372,0)</x:f>
        <x:v>3</x:v>
      </x:c>
      <x:c r="S1372" s="11" t="n">
        <x:f>IF(D1372="Completed",L1372,0)</x:f>
        <x:v>0</x:v>
      </x:c>
      <x:c r="T1372" s="8" t="n">
        <x:f>DATE(YEAR(C1372),MONTH(C1372),1)</x:f>
        <x:v>45931</x:v>
      </x:c>
    </x:row>
    <x:row r="1373" ht="22" customHeight="1">
      <x:c r="A1373" s="2" t="str">
        <x:v>L001369</x:v>
      </x:c>
      <x:c r="B1373" s="2" t="str">
        <x:v>O00555</x:v>
      </x:c>
      <x:c r="C1373" s="7" t="n">
        <x:v>45949</x:v>
      </x:c>
      <x:c r="D1373" s="2" t="str">
        <x:v>Completed</x:v>
      </x:c>
      <x:c r="E1373" s="2" t="str">
        <x:v>East</x:v>
      </x:c>
      <x:c r="F1373" s="2" t="str">
        <x:v>Store</x:v>
      </x:c>
      <x:c r="G1373" s="2" t="str">
        <x:v>Furniture</x:v>
      </x:c>
      <x:c r="H1373" s="2" t="str">
        <x:v>Chair 002</x:v>
      </x:c>
      <x:c r="I1373" s="11" t="n">
        <x:v>4</x:v>
      </x:c>
      <x:c r="J1373" s="9" t="n">
        <x:v>284</x:v>
      </x:c>
      <x:c r="K1373" s="10" t="n">
        <x:v>0.1</x:v>
      </x:c>
      <x:c r="L1373" s="11" t="n">
        <x:v>0</x:v>
      </x:c>
      <x:c r="M1373" s="9" t="n">
        <x:f>IF(D1373="Completed",I1373*J1373,0)</x:f>
        <x:v>1136</x:v>
      </x:c>
      <x:c r="N1373" s="9" t="n">
        <x:f>M1373*K1373</x:f>
        <x:v>113.60000000000001</x:v>
      </x:c>
      <x:c r="O1373" s="9" t="n">
        <x:f>M1373-N1373</x:f>
        <x:v>1022.4</x:v>
      </x:c>
      <x:c r="P1373" s="9" t="n">
        <x:f>IF(D1373="Completed",L1373*J1373*(1-K1373),0)</x:f>
        <x:v>0</x:v>
      </x:c>
      <x:c r="Q1373" s="9" t="n">
        <x:f>O1373-P1373</x:f>
        <x:v>1022.4</x:v>
      </x:c>
      <x:c r="R1373" s="11" t="n">
        <x:f>IF(D1373="Completed",I1373,0)</x:f>
        <x:v>4</x:v>
      </x:c>
      <x:c r="S1373" s="11" t="n">
        <x:f>IF(D1373="Completed",L1373,0)</x:f>
        <x:v>0</x:v>
      </x:c>
      <x:c r="T1373" s="8" t="n">
        <x:f>DATE(YEAR(C1373),MONTH(C1373),1)</x:f>
        <x:v>45931</x:v>
      </x:c>
    </x:row>
    <x:row r="1374" ht="22" customHeight="1">
      <x:c r="A1374" s="2" t="str">
        <x:v>L001370</x:v>
      </x:c>
      <x:c r="B1374" s="2" t="str">
        <x:v>O00555</x:v>
      </x:c>
      <x:c r="C1374" s="7" t="n">
        <x:v>45949</x:v>
      </x:c>
      <x:c r="D1374" s="2" t="str">
        <x:v>Completed</x:v>
      </x:c>
      <x:c r="E1374" s="2" t="str">
        <x:v>East</x:v>
      </x:c>
      <x:c r="F1374" s="2" t="str">
        <x:v>Store</x:v>
      </x:c>
      <x:c r="G1374" s="2" t="str">
        <x:v>Furniture</x:v>
      </x:c>
      <x:c r="H1374" s="2" t="str">
        <x:v>Desk 004</x:v>
      </x:c>
      <x:c r="I1374" s="11" t="n">
        <x:v>1</x:v>
      </x:c>
      <x:c r="J1374" s="9" t="n">
        <x:v>123</x:v>
      </x:c>
      <x:c r="K1374" s="10" t="n">
        <x:v>0.05</x:v>
      </x:c>
      <x:c r="L1374" s="11" t="n">
        <x:v>0</x:v>
      </x:c>
      <x:c r="M1374" s="9" t="n">
        <x:f>IF(D1374="Completed",I1374*J1374,0)</x:f>
        <x:v>123</x:v>
      </x:c>
      <x:c r="N1374" s="9" t="n">
        <x:f>M1374*K1374</x:f>
        <x:v>6.15</x:v>
      </x:c>
      <x:c r="O1374" s="9" t="n">
        <x:f>M1374-N1374</x:f>
        <x:v>116.85</x:v>
      </x:c>
      <x:c r="P1374" s="9" t="n">
        <x:f>IF(D1374="Completed",L1374*J1374*(1-K1374),0)</x:f>
        <x:v>0</x:v>
      </x:c>
      <x:c r="Q1374" s="9" t="n">
        <x:f>O1374-P1374</x:f>
        <x:v>116.85</x:v>
      </x:c>
      <x:c r="R1374" s="11" t="n">
        <x:f>IF(D1374="Completed",I1374,0)</x:f>
        <x:v>1</x:v>
      </x:c>
      <x:c r="S1374" s="11" t="n">
        <x:f>IF(D1374="Completed",L1374,0)</x:f>
        <x:v>0</x:v>
      </x:c>
      <x:c r="T1374" s="8" t="n">
        <x:f>DATE(YEAR(C1374),MONTH(C1374),1)</x:f>
        <x:v>45931</x:v>
      </x:c>
    </x:row>
    <x:row r="1375" ht="22" customHeight="1">
      <x:c r="A1375" s="2" t="str">
        <x:v>L001371</x:v>
      </x:c>
      <x:c r="B1375" s="2" t="str">
        <x:v>O00556</x:v>
      </x:c>
      <x:c r="C1375" s="7" t="n">
        <x:v>45929</x:v>
      </x:c>
      <x:c r="D1375" s="2" t="str">
        <x:v>Completed</x:v>
      </x:c>
      <x:c r="E1375" s="2" t="str">
        <x:v>East</x:v>
      </x:c>
      <x:c r="F1375" s="2" t="str">
        <x:v>Store</x:v>
      </x:c>
      <x:c r="G1375" s="2" t="str">
        <x:v>Furniture</x:v>
      </x:c>
      <x:c r="H1375" s="2" t="str">
        <x:v>Desk 004</x:v>
      </x:c>
      <x:c r="I1375" s="11" t="n">
        <x:v>3</x:v>
      </x:c>
      <x:c r="J1375" s="9" t="n">
        <x:v>123</x:v>
      </x:c>
      <x:c r="K1375" s="10" t="n">
        <x:v>0</x:v>
      </x:c>
      <x:c r="L1375" s="11" t="n">
        <x:v>0</x:v>
      </x:c>
      <x:c r="M1375" s="9" t="n">
        <x:f>IF(D1375="Completed",I1375*J1375,0)</x:f>
        <x:v>369</x:v>
      </x:c>
      <x:c r="N1375" s="9" t="n">
        <x:f>M1375*K1375</x:f>
        <x:v>0</x:v>
      </x:c>
      <x:c r="O1375" s="9" t="n">
        <x:f>M1375-N1375</x:f>
        <x:v>369</x:v>
      </x:c>
      <x:c r="P1375" s="9" t="n">
        <x:f>IF(D1375="Completed",L1375*J1375*(1-K1375),0)</x:f>
        <x:v>0</x:v>
      </x:c>
      <x:c r="Q1375" s="9" t="n">
        <x:f>O1375-P1375</x:f>
        <x:v>369</x:v>
      </x:c>
      <x:c r="R1375" s="11" t="n">
        <x:f>IF(D1375="Completed",I1375,0)</x:f>
        <x:v>3</x:v>
      </x:c>
      <x:c r="S1375" s="11" t="n">
        <x:f>IF(D1375="Completed",L1375,0)</x:f>
        <x:v>0</x:v>
      </x:c>
      <x:c r="T1375" s="8" t="n">
        <x:f>DATE(YEAR(C1375),MONTH(C1375),1)</x:f>
        <x:v>45901</x:v>
      </x:c>
    </x:row>
    <x:row r="1376" ht="22" customHeight="1">
      <x:c r="A1376" s="2" t="str">
        <x:v>L001372</x:v>
      </x:c>
      <x:c r="B1376" s="2" t="str">
        <x:v>O00556</x:v>
      </x:c>
      <x:c r="C1376" s="7" t="n">
        <x:v>45929</x:v>
      </x:c>
      <x:c r="D1376" s="2" t="str">
        <x:v>Completed</x:v>
      </x:c>
      <x:c r="E1376" s="2" t="str">
        <x:v>East</x:v>
      </x:c>
      <x:c r="F1376" s="2" t="str">
        <x:v>Store</x:v>
      </x:c>
      <x:c r="G1376" s="2" t="str">
        <x:v>Storage</x:v>
      </x:c>
      <x:c r="H1376" s="2" t="str">
        <x:v>Shelf 015</x:v>
      </x:c>
      <x:c r="I1376" s="11" t="n">
        <x:v>1</x:v>
      </x:c>
      <x:c r="J1376" s="9" t="n">
        <x:v>254</x:v>
      </x:c>
      <x:c r="K1376" s="10" t="n">
        <x:v>0</x:v>
      </x:c>
      <x:c r="L1376" s="11" t="n">
        <x:v>0</x:v>
      </x:c>
      <x:c r="M1376" s="9" t="n">
        <x:f>IF(D1376="Completed",I1376*J1376,0)</x:f>
        <x:v>254</x:v>
      </x:c>
      <x:c r="N1376" s="9" t="n">
        <x:f>M1376*K1376</x:f>
        <x:v>0</x:v>
      </x:c>
      <x:c r="O1376" s="9" t="n">
        <x:f>M1376-N1376</x:f>
        <x:v>254</x:v>
      </x:c>
      <x:c r="P1376" s="9" t="n">
        <x:f>IF(D1376="Completed",L1376*J1376*(1-K1376),0)</x:f>
        <x:v>0</x:v>
      </x:c>
      <x:c r="Q1376" s="9" t="n">
        <x:f>O1376-P1376</x:f>
        <x:v>254</x:v>
      </x:c>
      <x:c r="R1376" s="11" t="n">
        <x:f>IF(D1376="Completed",I1376,0)</x:f>
        <x:v>1</x:v>
      </x:c>
      <x:c r="S1376" s="11" t="n">
        <x:f>IF(D1376="Completed",L1376,0)</x:f>
        <x:v>0</x:v>
      </x:c>
      <x:c r="T1376" s="8" t="n">
        <x:f>DATE(YEAR(C1376),MONTH(C1376),1)</x:f>
        <x:v>45901</x:v>
      </x:c>
    </x:row>
    <x:row r="1377" ht="22" customHeight="1">
      <x:c r="A1377" s="2" t="str">
        <x:v>L001373</x:v>
      </x:c>
      <x:c r="B1377" s="2" t="str">
        <x:v>O00557</x:v>
      </x:c>
      <x:c r="C1377" s="7" t="n">
        <x:v>45874</x:v>
      </x:c>
      <x:c r="D1377" s="2" t="str">
        <x:v>Completed</x:v>
      </x:c>
      <x:c r="E1377" s="2" t="str">
        <x:v>East</x:v>
      </x:c>
      <x:c r="F1377" s="2" t="str">
        <x:v>Online</x:v>
      </x:c>
      <x:c r="G1377" s="2" t="str">
        <x:v>Storage</x:v>
      </x:c>
      <x:c r="H1377" s="2" t="str">
        <x:v>Shelf 015</x:v>
      </x:c>
      <x:c r="I1377" s="11" t="n">
        <x:v>4</x:v>
      </x:c>
      <x:c r="J1377" s="9" t="n">
        <x:v>254</x:v>
      </x:c>
      <x:c r="K1377" s="10" t="n">
        <x:v>0.1</x:v>
      </x:c>
      <x:c r="L1377" s="11" t="n">
        <x:v>0</x:v>
      </x:c>
      <x:c r="M1377" s="9" t="n">
        <x:f>IF(D1377="Completed",I1377*J1377,0)</x:f>
        <x:v>1016</x:v>
      </x:c>
      <x:c r="N1377" s="9" t="n">
        <x:f>M1377*K1377</x:f>
        <x:v>101.60000000000001</x:v>
      </x:c>
      <x:c r="O1377" s="9" t="n">
        <x:f>M1377-N1377</x:f>
        <x:v>914.4</x:v>
      </x:c>
      <x:c r="P1377" s="9" t="n">
        <x:f>IF(D1377="Completed",L1377*J1377*(1-K1377),0)</x:f>
        <x:v>0</x:v>
      </x:c>
      <x:c r="Q1377" s="9" t="n">
        <x:f>O1377-P1377</x:f>
        <x:v>914.4</x:v>
      </x:c>
      <x:c r="R1377" s="11" t="n">
        <x:f>IF(D1377="Completed",I1377,0)</x:f>
        <x:v>4</x:v>
      </x:c>
      <x:c r="S1377" s="11" t="n">
        <x:f>IF(D1377="Completed",L1377,0)</x:f>
        <x:v>0</x:v>
      </x:c>
      <x:c r="T1377" s="8" t="n">
        <x:f>DATE(YEAR(C1377),MONTH(C1377),1)</x:f>
        <x:v>45870</x:v>
      </x:c>
    </x:row>
    <x:row r="1378" ht="22" customHeight="1">
      <x:c r="A1378" s="2" t="str">
        <x:v>L001374</x:v>
      </x:c>
      <x:c r="B1378" s="2" t="str">
        <x:v>O00558</x:v>
      </x:c>
      <x:c r="C1378" s="7" t="n">
        <x:v>45953</x:v>
      </x:c>
      <x:c r="D1378" s="2" t="str">
        <x:v>Completed</x:v>
      </x:c>
      <x:c r="E1378" s="2" t="str">
        <x:v>West</x:v>
      </x:c>
      <x:c r="F1378" s="2" t="str">
        <x:v>Online</x:v>
      </x:c>
      <x:c r="G1378" s="2" t="str">
        <x:v>Furniture</x:v>
      </x:c>
      <x:c r="H1378" s="2" t="str">
        <x:v>Chair 002</x:v>
      </x:c>
      <x:c r="I1378" s="11" t="n">
        <x:v>1</x:v>
      </x:c>
      <x:c r="J1378" s="9" t="n">
        <x:v>284</x:v>
      </x:c>
      <x:c r="K1378" s="10" t="n">
        <x:v>0.1</x:v>
      </x:c>
      <x:c r="L1378" s="11" t="n">
        <x:v>0</x:v>
      </x:c>
      <x:c r="M1378" s="9" t="n">
        <x:f>IF(D1378="Completed",I1378*J1378,0)</x:f>
        <x:v>284</x:v>
      </x:c>
      <x:c r="N1378" s="9" t="n">
        <x:f>M1378*K1378</x:f>
        <x:v>28.400000000000002</x:v>
      </x:c>
      <x:c r="O1378" s="9" t="n">
        <x:f>M1378-N1378</x:f>
        <x:v>255.6</x:v>
      </x:c>
      <x:c r="P1378" s="9" t="n">
        <x:f>IF(D1378="Completed",L1378*J1378*(1-K1378),0)</x:f>
        <x:v>0</x:v>
      </x:c>
      <x:c r="Q1378" s="9" t="n">
        <x:f>O1378-P1378</x:f>
        <x:v>255.6</x:v>
      </x:c>
      <x:c r="R1378" s="11" t="n">
        <x:f>IF(D1378="Completed",I1378,0)</x:f>
        <x:v>1</x:v>
      </x:c>
      <x:c r="S1378" s="11" t="n">
        <x:f>IF(D1378="Completed",L1378,0)</x:f>
        <x:v>0</x:v>
      </x:c>
      <x:c r="T1378" s="8" t="n">
        <x:f>DATE(YEAR(C1378),MONTH(C1378),1)</x:f>
        <x:v>45931</x:v>
      </x:c>
    </x:row>
    <x:row r="1379" ht="22" customHeight="1">
      <x:c r="A1379" s="2" t="str">
        <x:v>L001375</x:v>
      </x:c>
      <x:c r="B1379" s="2" t="str">
        <x:v>O00559</x:v>
      </x:c>
      <x:c r="C1379" s="7" t="n">
        <x:v>46004</x:v>
      </x:c>
      <x:c r="D1379" s="2" t="str">
        <x:v>Completed</x:v>
      </x:c>
      <x:c r="E1379" s="2" t="str">
        <x:v>South</x:v>
      </x:c>
      <x:c r="F1379" s="2" t="str">
        <x:v>Online</x:v>
      </x:c>
      <x:c r="G1379" s="2" t="str">
        <x:v>Furniture</x:v>
      </x:c>
      <x:c r="H1379" s="2" t="str">
        <x:v>Chair 022</x:v>
      </x:c>
      <x:c r="I1379" s="11" t="n">
        <x:v>3</x:v>
      </x:c>
      <x:c r="J1379" s="9" t="n">
        <x:v>134</x:v>
      </x:c>
      <x:c r="K1379" s="10" t="n">
        <x:v>0</x:v>
      </x:c>
      <x:c r="L1379" s="11" t="n">
        <x:v>0</x:v>
      </x:c>
      <x:c r="M1379" s="9" t="n">
        <x:f>IF(D1379="Completed",I1379*J1379,0)</x:f>
        <x:v>402</x:v>
      </x:c>
      <x:c r="N1379" s="9" t="n">
        <x:f>M1379*K1379</x:f>
        <x:v>0</x:v>
      </x:c>
      <x:c r="O1379" s="9" t="n">
        <x:f>M1379-N1379</x:f>
        <x:v>402</x:v>
      </x:c>
      <x:c r="P1379" s="9" t="n">
        <x:f>IF(D1379="Completed",L1379*J1379*(1-K1379),0)</x:f>
        <x:v>0</x:v>
      </x:c>
      <x:c r="Q1379" s="9" t="n">
        <x:f>O1379-P1379</x:f>
        <x:v>402</x:v>
      </x:c>
      <x:c r="R1379" s="11" t="n">
        <x:f>IF(D1379="Completed",I1379,0)</x:f>
        <x:v>3</x:v>
      </x:c>
      <x:c r="S1379" s="11" t="n">
        <x:f>IF(D1379="Completed",L1379,0)</x:f>
        <x:v>0</x:v>
      </x:c>
      <x:c r="T1379" s="8" t="n">
        <x:f>DATE(YEAR(C1379),MONTH(C1379),1)</x:f>
        <x:v>45992</x:v>
      </x:c>
    </x:row>
    <x:row r="1380" ht="22" customHeight="1">
      <x:c r="A1380" s="2" t="str">
        <x:v>L001376</x:v>
      </x:c>
      <x:c r="B1380" s="2" t="str">
        <x:v>O00559</x:v>
      </x:c>
      <x:c r="C1380" s="7" t="n">
        <x:v>46004</x:v>
      </x:c>
      <x:c r="D1380" s="2" t="str">
        <x:v>Completed</x:v>
      </x:c>
      <x:c r="E1380" s="2" t="str">
        <x:v>South</x:v>
      </x:c>
      <x:c r="F1380" s="2" t="str">
        <x:v>Online</x:v>
      </x:c>
      <x:c r="G1380" s="2" t="str">
        <x:v>Storage</x:v>
      </x:c>
      <x:c r="H1380" s="2" t="str">
        <x:v>Shelf 003</x:v>
      </x:c>
      <x:c r="I1380" s="11" t="n">
        <x:v>5</x:v>
      </x:c>
      <x:c r="J1380" s="9" t="n">
        <x:v>199</x:v>
      </x:c>
      <x:c r="K1380" s="10" t="n">
        <x:v>0.05</x:v>
      </x:c>
      <x:c r="L1380" s="11" t="n">
        <x:v>0</x:v>
      </x:c>
      <x:c r="M1380" s="9" t="n">
        <x:f>IF(D1380="Completed",I1380*J1380,0)</x:f>
        <x:v>995</x:v>
      </x:c>
      <x:c r="N1380" s="9" t="n">
        <x:f>M1380*K1380</x:f>
        <x:v>49.75</x:v>
      </x:c>
      <x:c r="O1380" s="9" t="n">
        <x:f>M1380-N1380</x:f>
        <x:v>945.25</x:v>
      </x:c>
      <x:c r="P1380" s="9" t="n">
        <x:f>IF(D1380="Completed",L1380*J1380*(1-K1380),0)</x:f>
        <x:v>0</x:v>
      </x:c>
      <x:c r="Q1380" s="9" t="n">
        <x:f>O1380-P1380</x:f>
        <x:v>945.25</x:v>
      </x:c>
      <x:c r="R1380" s="11" t="n">
        <x:f>IF(D1380="Completed",I1380,0)</x:f>
        <x:v>5</x:v>
      </x:c>
      <x:c r="S1380" s="11" t="n">
        <x:f>IF(D1380="Completed",L1380,0)</x:f>
        <x:v>0</x:v>
      </x:c>
      <x:c r="T1380" s="8" t="n">
        <x:f>DATE(YEAR(C1380),MONTH(C1380),1)</x:f>
        <x:v>45992</x:v>
      </x:c>
    </x:row>
    <x:row r="1381" ht="22" customHeight="1">
      <x:c r="A1381" s="2" t="str">
        <x:v>L001377</x:v>
      </x:c>
      <x:c r="B1381" s="2" t="str">
        <x:v>O00559</x:v>
      </x:c>
      <x:c r="C1381" s="7" t="n">
        <x:v>46004</x:v>
      </x:c>
      <x:c r="D1381" s="2" t="str">
        <x:v>Completed</x:v>
      </x:c>
      <x:c r="E1381" s="2" t="str">
        <x:v>South</x:v>
      </x:c>
      <x:c r="F1381" s="2" t="str">
        <x:v>Online</x:v>
      </x:c>
      <x:c r="G1381" s="2" t="str">
        <x:v>Furniture</x:v>
      </x:c>
      <x:c r="H1381" s="2" t="str">
        <x:v>Chair 002</x:v>
      </x:c>
      <x:c r="I1381" s="11" t="n">
        <x:v>5</x:v>
      </x:c>
      <x:c r="J1381" s="9" t="n">
        <x:v>284</x:v>
      </x:c>
      <x:c r="K1381" s="10" t="n">
        <x:v>0</x:v>
      </x:c>
      <x:c r="L1381" s="11" t="n">
        <x:v>0</x:v>
      </x:c>
      <x:c r="M1381" s="9" t="n">
        <x:f>IF(D1381="Completed",I1381*J1381,0)</x:f>
        <x:v>1420</x:v>
      </x:c>
      <x:c r="N1381" s="9" t="n">
        <x:f>M1381*K1381</x:f>
        <x:v>0</x:v>
      </x:c>
      <x:c r="O1381" s="9" t="n">
        <x:f>M1381-N1381</x:f>
        <x:v>1420</x:v>
      </x:c>
      <x:c r="P1381" s="9" t="n">
        <x:f>IF(D1381="Completed",L1381*J1381*(1-K1381),0)</x:f>
        <x:v>0</x:v>
      </x:c>
      <x:c r="Q1381" s="9" t="n">
        <x:f>O1381-P1381</x:f>
        <x:v>1420</x:v>
      </x:c>
      <x:c r="R1381" s="11" t="n">
        <x:f>IF(D1381="Completed",I1381,0)</x:f>
        <x:v>5</x:v>
      </x:c>
      <x:c r="S1381" s="11" t="n">
        <x:f>IF(D1381="Completed",L1381,0)</x:f>
        <x:v>0</x:v>
      </x:c>
      <x:c r="T1381" s="8" t="n">
        <x:f>DATE(YEAR(C1381),MONTH(C1381),1)</x:f>
        <x:v>45992</x:v>
      </x:c>
    </x:row>
    <x:row r="1382" ht="22" customHeight="1">
      <x:c r="A1382" s="2" t="str">
        <x:v>L001378</x:v>
      </x:c>
      <x:c r="B1382" s="2" t="str">
        <x:v>O00560</x:v>
      </x:c>
      <x:c r="C1382" s="7" t="n">
        <x:v>45890</x:v>
      </x:c>
      <x:c r="D1382" s="2" t="str">
        <x:v>Completed</x:v>
      </x:c>
      <x:c r="E1382" s="2" t="str">
        <x:v>North</x:v>
      </x:c>
      <x:c r="F1382" s="2" t="str">
        <x:v>Store</x:v>
      </x:c>
      <x:c r="G1382" s="2" t="str">
        <x:v>Furniture</x:v>
      </x:c>
      <x:c r="H1382" s="2" t="str">
        <x:v>Chair 002</x:v>
      </x:c>
      <x:c r="I1382" s="11" t="n">
        <x:v>3</x:v>
      </x:c>
      <x:c r="J1382" s="9" t="n">
        <x:v>284</x:v>
      </x:c>
      <x:c r="K1382" s="10" t="n">
        <x:v>0.2</x:v>
      </x:c>
      <x:c r="L1382" s="11" t="n">
        <x:v>2</x:v>
      </x:c>
      <x:c r="M1382" s="9" t="n">
        <x:f>IF(D1382="Completed",I1382*J1382,0)</x:f>
        <x:v>852</x:v>
      </x:c>
      <x:c r="N1382" s="9" t="n">
        <x:f>M1382*K1382</x:f>
        <x:v>170.4</x:v>
      </x:c>
      <x:c r="O1382" s="9" t="n">
        <x:f>M1382-N1382</x:f>
        <x:v>681.6</x:v>
      </x:c>
      <x:c r="P1382" s="9" t="n">
        <x:f>IF(D1382="Completed",L1382*J1382*(1-K1382),0)</x:f>
        <x:v>454.40000000000003</x:v>
      </x:c>
      <x:c r="Q1382" s="9" t="n">
        <x:f>O1382-P1382</x:f>
        <x:v>227.2</x:v>
      </x:c>
      <x:c r="R1382" s="11" t="n">
        <x:f>IF(D1382="Completed",I1382,0)</x:f>
        <x:v>3</x:v>
      </x:c>
      <x:c r="S1382" s="11" t="n">
        <x:f>IF(D1382="Completed",L1382,0)</x:f>
        <x:v>2</x:v>
      </x:c>
      <x:c r="T1382" s="8" t="n">
        <x:f>DATE(YEAR(C1382),MONTH(C1382),1)</x:f>
        <x:v>45870</x:v>
      </x:c>
    </x:row>
    <x:row r="1383" ht="22" customHeight="1">
      <x:c r="A1383" s="2" t="str">
        <x:v>L001379</x:v>
      </x:c>
      <x:c r="B1383" s="2" t="str">
        <x:v>O00560</x:v>
      </x:c>
      <x:c r="C1383" s="7" t="n">
        <x:v>45890</x:v>
      </x:c>
      <x:c r="D1383" s="2" t="str">
        <x:v>Completed</x:v>
      </x:c>
      <x:c r="E1383" s="2" t="str">
        <x:v>North</x:v>
      </x:c>
      <x:c r="F1383" s="2" t="str">
        <x:v>Store</x:v>
      </x:c>
      <x:c r="G1383" s="2" t="str">
        <x:v>Storage</x:v>
      </x:c>
      <x:c r="H1383" s="2" t="str">
        <x:v>Shelf 003</x:v>
      </x:c>
      <x:c r="I1383" s="11" t="n">
        <x:v>2</x:v>
      </x:c>
      <x:c r="J1383" s="9" t="n">
        <x:v>199</x:v>
      </x:c>
      <x:c r="K1383" s="10" t="n">
        <x:v>0.2</x:v>
      </x:c>
      <x:c r="L1383" s="11" t="n">
        <x:v>0</x:v>
      </x:c>
      <x:c r="M1383" s="9" t="n">
        <x:f>IF(D1383="Completed",I1383*J1383,0)</x:f>
        <x:v>398</x:v>
      </x:c>
      <x:c r="N1383" s="9" t="n">
        <x:f>M1383*K1383</x:f>
        <x:v>79.60000000000001</x:v>
      </x:c>
      <x:c r="O1383" s="9" t="n">
        <x:f>M1383-N1383</x:f>
        <x:v>318.4</x:v>
      </x:c>
      <x:c r="P1383" s="9" t="n">
        <x:f>IF(D1383="Completed",L1383*J1383*(1-K1383),0)</x:f>
        <x:v>0</x:v>
      </x:c>
      <x:c r="Q1383" s="9" t="n">
        <x:f>O1383-P1383</x:f>
        <x:v>318.4</x:v>
      </x:c>
      <x:c r="R1383" s="11" t="n">
        <x:f>IF(D1383="Completed",I1383,0)</x:f>
        <x:v>2</x:v>
      </x:c>
      <x:c r="S1383" s="11" t="n">
        <x:f>IF(D1383="Completed",L1383,0)</x:f>
        <x:v>0</x:v>
      </x:c>
      <x:c r="T1383" s="8" t="n">
        <x:f>DATE(YEAR(C1383),MONTH(C1383),1)</x:f>
        <x:v>45870</x:v>
      </x:c>
    </x:row>
    <x:row r="1384" ht="22" customHeight="1">
      <x:c r="A1384" s="2" t="str">
        <x:v>L001380</x:v>
      </x:c>
      <x:c r="B1384" s="2" t="str">
        <x:v>O00561</x:v>
      </x:c>
      <x:c r="C1384" s="7" t="n">
        <x:v>45884</x:v>
      </x:c>
      <x:c r="D1384" s="2" t="str">
        <x:v>Completed</x:v>
      </x:c>
      <x:c r="E1384" s="2" t="str">
        <x:v>East</x:v>
      </x:c>
      <x:c r="F1384" s="2" t="str">
        <x:v>Online</x:v>
      </x:c>
      <x:c r="G1384" s="2" t="str">
        <x:v>Lighting</x:v>
      </x:c>
      <x:c r="H1384" s="2" t="str">
        <x:v>Lamp 005</x:v>
      </x:c>
      <x:c r="I1384" s="11" t="n">
        <x:v>4</x:v>
      </x:c>
      <x:c r="J1384" s="9" t="n">
        <x:v>65</x:v>
      </x:c>
      <x:c r="K1384" s="10" t="n">
        <x:v>0.05</x:v>
      </x:c>
      <x:c r="L1384" s="11" t="n">
        <x:v>0</x:v>
      </x:c>
      <x:c r="M1384" s="9" t="n">
        <x:f>IF(D1384="Completed",I1384*J1384,0)</x:f>
        <x:v>260</x:v>
      </x:c>
      <x:c r="N1384" s="9" t="n">
        <x:f>M1384*K1384</x:f>
        <x:v>13</x:v>
      </x:c>
      <x:c r="O1384" s="9" t="n">
        <x:f>M1384-N1384</x:f>
        <x:v>247</x:v>
      </x:c>
      <x:c r="P1384" s="9" t="n">
        <x:f>IF(D1384="Completed",L1384*J1384*(1-K1384),0)</x:f>
        <x:v>0</x:v>
      </x:c>
      <x:c r="Q1384" s="9" t="n">
        <x:f>O1384-P1384</x:f>
        <x:v>247</x:v>
      </x:c>
      <x:c r="R1384" s="11" t="n">
        <x:f>IF(D1384="Completed",I1384,0)</x:f>
        <x:v>4</x:v>
      </x:c>
      <x:c r="S1384" s="11" t="n">
        <x:f>IF(D1384="Completed",L1384,0)</x:f>
        <x:v>0</x:v>
      </x:c>
      <x:c r="T1384" s="8" t="n">
        <x:f>DATE(YEAR(C1384),MONTH(C1384),1)</x:f>
        <x:v>45870</x:v>
      </x:c>
    </x:row>
    <x:row r="1385" ht="22" customHeight="1">
      <x:c r="A1385" s="2" t="str">
        <x:v>L001381</x:v>
      </x:c>
      <x:c r="B1385" s="2" t="str">
        <x:v>O00561</x:v>
      </x:c>
      <x:c r="C1385" s="7" t="n">
        <x:v>45884</x:v>
      </x:c>
      <x:c r="D1385" s="2" t="str">
        <x:v>Completed</x:v>
      </x:c>
      <x:c r="E1385" s="2" t="str">
        <x:v>East</x:v>
      </x:c>
      <x:c r="F1385" s="2" t="str">
        <x:v>Online</x:v>
      </x:c>
      <x:c r="G1385" s="2" t="str">
        <x:v>Lighting</x:v>
      </x:c>
      <x:c r="H1385" s="2" t="str">
        <x:v>Lamp 021</x:v>
      </x:c>
      <x:c r="I1385" s="11" t="n">
        <x:v>2</x:v>
      </x:c>
      <x:c r="J1385" s="9" t="n">
        <x:v>249</x:v>
      </x:c>
      <x:c r="K1385" s="10" t="n">
        <x:v>0</x:v>
      </x:c>
      <x:c r="L1385" s="11" t="n">
        <x:v>0</x:v>
      </x:c>
      <x:c r="M1385" s="9" t="n">
        <x:f>IF(D1385="Completed",I1385*J1385,0)</x:f>
        <x:v>498</x:v>
      </x:c>
      <x:c r="N1385" s="9" t="n">
        <x:f>M1385*K1385</x:f>
        <x:v>0</x:v>
      </x:c>
      <x:c r="O1385" s="9" t="n">
        <x:f>M1385-N1385</x:f>
        <x:v>498</x:v>
      </x:c>
      <x:c r="P1385" s="9" t="n">
        <x:f>IF(D1385="Completed",L1385*J1385*(1-K1385),0)</x:f>
        <x:v>0</x:v>
      </x:c>
      <x:c r="Q1385" s="9" t="n">
        <x:f>O1385-P1385</x:f>
        <x:v>498</x:v>
      </x:c>
      <x:c r="R1385" s="11" t="n">
        <x:f>IF(D1385="Completed",I1385,0)</x:f>
        <x:v>2</x:v>
      </x:c>
      <x:c r="S1385" s="11" t="n">
        <x:f>IF(D1385="Completed",L1385,0)</x:f>
        <x:v>0</x:v>
      </x:c>
      <x:c r="T1385" s="8" t="n">
        <x:f>DATE(YEAR(C1385),MONTH(C1385),1)</x:f>
        <x:v>45870</x:v>
      </x:c>
    </x:row>
    <x:row r="1386" ht="22" customHeight="1">
      <x:c r="A1386" s="2" t="str">
        <x:v>L001382</x:v>
      </x:c>
      <x:c r="B1386" s="2" t="str">
        <x:v>O00562</x:v>
      </x:c>
      <x:c r="C1386" s="7" t="n">
        <x:v>45913</x:v>
      </x:c>
      <x:c r="D1386" s="2" t="str">
        <x:v>Completed</x:v>
      </x:c>
      <x:c r="E1386" s="2" t="str">
        <x:v>North</x:v>
      </x:c>
      <x:c r="F1386" s="2" t="str">
        <x:v>Online</x:v>
      </x:c>
      <x:c r="G1386" s="2" t="str">
        <x:v>Furniture</x:v>
      </x:c>
      <x:c r="H1386" s="2" t="str">
        <x:v>Desk 020</x:v>
      </x:c>
      <x:c r="I1386" s="11" t="n">
        <x:v>3</x:v>
      </x:c>
      <x:c r="J1386" s="9" t="n">
        <x:v>189</x:v>
      </x:c>
      <x:c r="K1386" s="10" t="n">
        <x:v>0.1</x:v>
      </x:c>
      <x:c r="L1386" s="11" t="n">
        <x:v>0</x:v>
      </x:c>
      <x:c r="M1386" s="9" t="n">
        <x:f>IF(D1386="Completed",I1386*J1386,0)</x:f>
        <x:v>567</x:v>
      </x:c>
      <x:c r="N1386" s="9" t="n">
        <x:f>M1386*K1386</x:f>
        <x:v>56.7</x:v>
      </x:c>
      <x:c r="O1386" s="9" t="n">
        <x:f>M1386-N1386</x:f>
        <x:v>510.3</x:v>
      </x:c>
      <x:c r="P1386" s="9" t="n">
        <x:f>IF(D1386="Completed",L1386*J1386*(1-K1386),0)</x:f>
        <x:v>0</x:v>
      </x:c>
      <x:c r="Q1386" s="9" t="n">
        <x:f>O1386-P1386</x:f>
        <x:v>510.3</x:v>
      </x:c>
      <x:c r="R1386" s="11" t="n">
        <x:f>IF(D1386="Completed",I1386,0)</x:f>
        <x:v>3</x:v>
      </x:c>
      <x:c r="S1386" s="11" t="n">
        <x:f>IF(D1386="Completed",L1386,0)</x:f>
        <x:v>0</x:v>
      </x:c>
      <x:c r="T1386" s="8" t="n">
        <x:f>DATE(YEAR(C1386),MONTH(C1386),1)</x:f>
        <x:v>45901</x:v>
      </x:c>
    </x:row>
    <x:row r="1387" ht="22" customHeight="1">
      <x:c r="A1387" s="2" t="str">
        <x:v>L001383</x:v>
      </x:c>
      <x:c r="B1387" s="2" t="str">
        <x:v>O00562</x:v>
      </x:c>
      <x:c r="C1387" s="7" t="n">
        <x:v>45913</x:v>
      </x:c>
      <x:c r="D1387" s="2" t="str">
        <x:v>Completed</x:v>
      </x:c>
      <x:c r="E1387" s="2" t="str">
        <x:v>North</x:v>
      </x:c>
      <x:c r="F1387" s="2" t="str">
        <x:v>Online</x:v>
      </x:c>
      <x:c r="G1387" s="2" t="str">
        <x:v>Furniture</x:v>
      </x:c>
      <x:c r="H1387" s="2" t="str">
        <x:v>Chair 010</x:v>
      </x:c>
      <x:c r="I1387" s="11" t="n">
        <x:v>5</x:v>
      </x:c>
      <x:c r="J1387" s="9" t="n">
        <x:v>211</x:v>
      </x:c>
      <x:c r="K1387" s="10" t="n">
        <x:v>0.05</x:v>
      </x:c>
      <x:c r="L1387" s="11" t="n">
        <x:v>0</x:v>
      </x:c>
      <x:c r="M1387" s="9" t="n">
        <x:f>IF(D1387="Completed",I1387*J1387,0)</x:f>
        <x:v>1055</x:v>
      </x:c>
      <x:c r="N1387" s="9" t="n">
        <x:f>M1387*K1387</x:f>
        <x:v>52.75</x:v>
      </x:c>
      <x:c r="O1387" s="9" t="n">
        <x:f>M1387-N1387</x:f>
        <x:v>1002.25</x:v>
      </x:c>
      <x:c r="P1387" s="9" t="n">
        <x:f>IF(D1387="Completed",L1387*J1387*(1-K1387),0)</x:f>
        <x:v>0</x:v>
      </x:c>
      <x:c r="Q1387" s="9" t="n">
        <x:f>O1387-P1387</x:f>
        <x:v>1002.25</x:v>
      </x:c>
      <x:c r="R1387" s="11" t="n">
        <x:f>IF(D1387="Completed",I1387,0)</x:f>
        <x:v>5</x:v>
      </x:c>
      <x:c r="S1387" s="11" t="n">
        <x:f>IF(D1387="Completed",L1387,0)</x:f>
        <x:v>0</x:v>
      </x:c>
      <x:c r="T1387" s="8" t="n">
        <x:f>DATE(YEAR(C1387),MONTH(C1387),1)</x:f>
        <x:v>45901</x:v>
      </x:c>
    </x:row>
    <x:row r="1388" ht="22" customHeight="1">
      <x:c r="A1388" s="2" t="str">
        <x:v>L001384</x:v>
      </x:c>
      <x:c r="B1388" s="2" t="str">
        <x:v>O00563</x:v>
      </x:c>
      <x:c r="C1388" s="7" t="n">
        <x:v>45984</x:v>
      </x:c>
      <x:c r="D1388" s="2" t="str">
        <x:v>Completed</x:v>
      </x:c>
      <x:c r="E1388" s="2" t="str">
        <x:v>West</x:v>
      </x:c>
      <x:c r="F1388" s="2" t="str">
        <x:v>Online</x:v>
      </x:c>
      <x:c r="G1388" s="2" t="str">
        <x:v>Furniture</x:v>
      </x:c>
      <x:c r="H1388" s="2" t="str">
        <x:v>Desk 016</x:v>
      </x:c>
      <x:c r="I1388" s="11" t="n">
        <x:v>5</x:v>
      </x:c>
      <x:c r="J1388" s="9" t="n">
        <x:v>231</x:v>
      </x:c>
      <x:c r="K1388" s="10" t="n">
        <x:v>0.1</x:v>
      </x:c>
      <x:c r="L1388" s="11" t="n">
        <x:v>0</x:v>
      </x:c>
      <x:c r="M1388" s="9" t="n">
        <x:f>IF(D1388="Completed",I1388*J1388,0)</x:f>
        <x:v>1155</x:v>
      </x:c>
      <x:c r="N1388" s="9" t="n">
        <x:f>M1388*K1388</x:f>
        <x:v>115.5</x:v>
      </x:c>
      <x:c r="O1388" s="9" t="n">
        <x:f>M1388-N1388</x:f>
        <x:v>1039.5</x:v>
      </x:c>
      <x:c r="P1388" s="9" t="n">
        <x:f>IF(D1388="Completed",L1388*J1388*(1-K1388),0)</x:f>
        <x:v>0</x:v>
      </x:c>
      <x:c r="Q1388" s="9" t="n">
        <x:f>O1388-P1388</x:f>
        <x:v>1039.5</x:v>
      </x:c>
      <x:c r="R1388" s="11" t="n">
        <x:f>IF(D1388="Completed",I1388,0)</x:f>
        <x:v>5</x:v>
      </x:c>
      <x:c r="S1388" s="11" t="n">
        <x:f>IF(D1388="Completed",L1388,0)</x:f>
        <x:v>0</x:v>
      </x:c>
      <x:c r="T1388" s="8" t="n">
        <x:f>DATE(YEAR(C1388),MONTH(C1388),1)</x:f>
        <x:v>45962</x:v>
      </x:c>
    </x:row>
    <x:row r="1389" ht="22" customHeight="1">
      <x:c r="A1389" s="2" t="str">
        <x:v>L001385</x:v>
      </x:c>
      <x:c r="B1389" s="2" t="str">
        <x:v>O00563</x:v>
      </x:c>
      <x:c r="C1389" s="7" t="n">
        <x:v>45984</x:v>
      </x:c>
      <x:c r="D1389" s="2" t="str">
        <x:v>Completed</x:v>
      </x:c>
      <x:c r="E1389" s="2" t="str">
        <x:v>West</x:v>
      </x:c>
      <x:c r="F1389" s="2" t="str">
        <x:v>Online</x:v>
      </x:c>
      <x:c r="G1389" s="2" t="str">
        <x:v>Furniture</x:v>
      </x:c>
      <x:c r="H1389" s="2" t="str">
        <x:v>Chair 022</x:v>
      </x:c>
      <x:c r="I1389" s="11" t="n">
        <x:v>4</x:v>
      </x:c>
      <x:c r="J1389" s="9" t="n">
        <x:v>134</x:v>
      </x:c>
      <x:c r="K1389" s="10" t="n">
        <x:v>0.2</x:v>
      </x:c>
      <x:c r="L1389" s="11" t="n">
        <x:v>0</x:v>
      </x:c>
      <x:c r="M1389" s="9" t="n">
        <x:f>IF(D1389="Completed",I1389*J1389,0)</x:f>
        <x:v>536</x:v>
      </x:c>
      <x:c r="N1389" s="9" t="n">
        <x:f>M1389*K1389</x:f>
        <x:v>107.2</x:v>
      </x:c>
      <x:c r="O1389" s="9" t="n">
        <x:f>M1389-N1389</x:f>
        <x:v>428.8</x:v>
      </x:c>
      <x:c r="P1389" s="9" t="n">
        <x:f>IF(D1389="Completed",L1389*J1389*(1-K1389),0)</x:f>
        <x:v>0</x:v>
      </x:c>
      <x:c r="Q1389" s="9" t="n">
        <x:f>O1389-P1389</x:f>
        <x:v>428.8</x:v>
      </x:c>
      <x:c r="R1389" s="11" t="n">
        <x:f>IF(D1389="Completed",I1389,0)</x:f>
        <x:v>4</x:v>
      </x:c>
      <x:c r="S1389" s="11" t="n">
        <x:f>IF(D1389="Completed",L1389,0)</x:f>
        <x:v>0</x:v>
      </x:c>
      <x:c r="T1389" s="8" t="n">
        <x:f>DATE(YEAR(C1389),MONTH(C1389),1)</x:f>
        <x:v>45962</x:v>
      </x:c>
    </x:row>
    <x:row r="1390" ht="22" customHeight="1">
      <x:c r="A1390" s="2" t="str">
        <x:v>L001386</x:v>
      </x:c>
      <x:c r="B1390" s="2" t="str">
        <x:v>O00563</x:v>
      </x:c>
      <x:c r="C1390" s="7" t="n">
        <x:v>45984</x:v>
      </x:c>
      <x:c r="D1390" s="2" t="str">
        <x:v>Completed</x:v>
      </x:c>
      <x:c r="E1390" s="2" t="str">
        <x:v>West</x:v>
      </x:c>
      <x:c r="F1390" s="2" t="str">
        <x:v>Online</x:v>
      </x:c>
      <x:c r="G1390" s="2" t="str">
        <x:v>Storage</x:v>
      </x:c>
      <x:c r="H1390" s="2" t="str">
        <x:v>Shelf 011</x:v>
      </x:c>
      <x:c r="I1390" s="11" t="n">
        <x:v>5</x:v>
      </x:c>
      <x:c r="J1390" s="9" t="n">
        <x:v>80</x:v>
      </x:c>
      <x:c r="K1390" s="10" t="n">
        <x:v>0.1</x:v>
      </x:c>
      <x:c r="L1390" s="11" t="n">
        <x:v>0</x:v>
      </x:c>
      <x:c r="M1390" s="9" t="n">
        <x:f>IF(D1390="Completed",I1390*J1390,0)</x:f>
        <x:v>400</x:v>
      </x:c>
      <x:c r="N1390" s="9" t="n">
        <x:f>M1390*K1390</x:f>
        <x:v>40</x:v>
      </x:c>
      <x:c r="O1390" s="9" t="n">
        <x:f>M1390-N1390</x:f>
        <x:v>360</x:v>
      </x:c>
      <x:c r="P1390" s="9" t="n">
        <x:f>IF(D1390="Completed",L1390*J1390*(1-K1390),0)</x:f>
        <x:v>0</x:v>
      </x:c>
      <x:c r="Q1390" s="9" t="n">
        <x:f>O1390-P1390</x:f>
        <x:v>360</x:v>
      </x:c>
      <x:c r="R1390" s="11" t="n">
        <x:f>IF(D1390="Completed",I1390,0)</x:f>
        <x:v>5</x:v>
      </x:c>
      <x:c r="S1390" s="11" t="n">
        <x:f>IF(D1390="Completed",L1390,0)</x:f>
        <x:v>0</x:v>
      </x:c>
      <x:c r="T1390" s="8" t="n">
        <x:f>DATE(YEAR(C1390),MONTH(C1390),1)</x:f>
        <x:v>45962</x:v>
      </x:c>
    </x:row>
    <x:row r="1391" ht="22" customHeight="1">
      <x:c r="A1391" s="2" t="str">
        <x:v>L001387</x:v>
      </x:c>
      <x:c r="B1391" s="2" t="str">
        <x:v>O00563</x:v>
      </x:c>
      <x:c r="C1391" s="7" t="n">
        <x:v>45984</x:v>
      </x:c>
      <x:c r="D1391" s="2" t="str">
        <x:v>Completed</x:v>
      </x:c>
      <x:c r="E1391" s="2" t="str">
        <x:v>West</x:v>
      </x:c>
      <x:c r="F1391" s="2" t="str">
        <x:v>Online</x:v>
      </x:c>
      <x:c r="G1391" s="2" t="str">
        <x:v>Storage</x:v>
      </x:c>
      <x:c r="H1391" s="2" t="str">
        <x:v>Shelf 003</x:v>
      </x:c>
      <x:c r="I1391" s="11" t="n">
        <x:v>4</x:v>
      </x:c>
      <x:c r="J1391" s="9" t="n">
        <x:v>199</x:v>
      </x:c>
      <x:c r="K1391" s="10" t="n">
        <x:v>0.2</x:v>
      </x:c>
      <x:c r="L1391" s="11" t="n">
        <x:v>0</x:v>
      </x:c>
      <x:c r="M1391" s="9" t="n">
        <x:f>IF(D1391="Completed",I1391*J1391,0)</x:f>
        <x:v>796</x:v>
      </x:c>
      <x:c r="N1391" s="9" t="n">
        <x:f>M1391*K1391</x:f>
        <x:v>159.20000000000002</x:v>
      </x:c>
      <x:c r="O1391" s="9" t="n">
        <x:f>M1391-N1391</x:f>
        <x:v>636.8</x:v>
      </x:c>
      <x:c r="P1391" s="9" t="n">
        <x:f>IF(D1391="Completed",L1391*J1391*(1-K1391),0)</x:f>
        <x:v>0</x:v>
      </x:c>
      <x:c r="Q1391" s="9" t="n">
        <x:f>O1391-P1391</x:f>
        <x:v>636.8</x:v>
      </x:c>
      <x:c r="R1391" s="11" t="n">
        <x:f>IF(D1391="Completed",I1391,0)</x:f>
        <x:v>4</x:v>
      </x:c>
      <x:c r="S1391" s="11" t="n">
        <x:f>IF(D1391="Completed",L1391,0)</x:f>
        <x:v>0</x:v>
      </x:c>
      <x:c r="T1391" s="8" t="n">
        <x:f>DATE(YEAR(C1391),MONTH(C1391),1)</x:f>
        <x:v>45962</x:v>
      </x:c>
    </x:row>
    <x:row r="1392" ht="22" customHeight="1">
      <x:c r="A1392" s="2" t="str">
        <x:v>L001388</x:v>
      </x:c>
      <x:c r="B1392" s="2" t="str">
        <x:v>O00564</x:v>
      </x:c>
      <x:c r="C1392" s="7" t="n">
        <x:v>45687</x:v>
      </x:c>
      <x:c r="D1392" s="2" t="str">
        <x:v>Completed</x:v>
      </x:c>
      <x:c r="E1392" s="2" t="str">
        <x:v>East</x:v>
      </x:c>
      <x:c r="F1392" s="2" t="str">
        <x:v>Online</x:v>
      </x:c>
      <x:c r="G1392" s="2" t="str">
        <x:v>Furniture</x:v>
      </x:c>
      <x:c r="H1392" s="2" t="str">
        <x:v>Desk 004</x:v>
      </x:c>
      <x:c r="I1392" s="11" t="n">
        <x:v>1</x:v>
      </x:c>
      <x:c r="J1392" s="9" t="n">
        <x:v>123</x:v>
      </x:c>
      <x:c r="K1392" s="10" t="n">
        <x:v>0.2</x:v>
      </x:c>
      <x:c r="L1392" s="11" t="n">
        <x:v>0</x:v>
      </x:c>
      <x:c r="M1392" s="9" t="n">
        <x:f>IF(D1392="Completed",I1392*J1392,0)</x:f>
        <x:v>123</x:v>
      </x:c>
      <x:c r="N1392" s="9" t="n">
        <x:f>M1392*K1392</x:f>
        <x:v>24.6</x:v>
      </x:c>
      <x:c r="O1392" s="9" t="n">
        <x:f>M1392-N1392</x:f>
        <x:v>98.4</x:v>
      </x:c>
      <x:c r="P1392" s="9" t="n">
        <x:f>IF(D1392="Completed",L1392*J1392*(1-K1392),0)</x:f>
        <x:v>0</x:v>
      </x:c>
      <x:c r="Q1392" s="9" t="n">
        <x:f>O1392-P1392</x:f>
        <x:v>98.4</x:v>
      </x:c>
      <x:c r="R1392" s="11" t="n">
        <x:f>IF(D1392="Completed",I1392,0)</x:f>
        <x:v>1</x:v>
      </x:c>
      <x:c r="S1392" s="11" t="n">
        <x:f>IF(D1392="Completed",L1392,0)</x:f>
        <x:v>0</x:v>
      </x:c>
      <x:c r="T1392" s="8" t="n">
        <x:f>DATE(YEAR(C1392),MONTH(C1392),1)</x:f>
        <x:v>45658</x:v>
      </x:c>
    </x:row>
    <x:row r="1393" ht="22" customHeight="1">
      <x:c r="A1393" s="2" t="str">
        <x:v>L001389</x:v>
      </x:c>
      <x:c r="B1393" s="2" t="str">
        <x:v>O00565</x:v>
      </x:c>
      <x:c r="C1393" s="7" t="n">
        <x:v>45832</x:v>
      </x:c>
      <x:c r="D1393" s="2" t="str">
        <x:v>Completed</x:v>
      </x:c>
      <x:c r="E1393" s="2" t="str">
        <x:v>South</x:v>
      </x:c>
      <x:c r="F1393" s="2" t="str">
        <x:v>Store</x:v>
      </x:c>
      <x:c r="G1393" s="2" t="str">
        <x:v>Storage</x:v>
      </x:c>
      <x:c r="H1393" s="2" t="str">
        <x:v>Shelf 007</x:v>
      </x:c>
      <x:c r="I1393" s="11" t="n">
        <x:v>3</x:v>
      </x:c>
      <x:c r="J1393" s="9" t="n">
        <x:v>35</x:v>
      </x:c>
      <x:c r="K1393" s="10" t="n">
        <x:v>0.2</x:v>
      </x:c>
      <x:c r="L1393" s="11" t="n">
        <x:v>1</x:v>
      </x:c>
      <x:c r="M1393" s="9" t="n">
        <x:f>IF(D1393="Completed",I1393*J1393,0)</x:f>
        <x:v>105</x:v>
      </x:c>
      <x:c r="N1393" s="9" t="n">
        <x:f>M1393*K1393</x:f>
        <x:v>21</x:v>
      </x:c>
      <x:c r="O1393" s="9" t="n">
        <x:f>M1393-N1393</x:f>
        <x:v>84</x:v>
      </x:c>
      <x:c r="P1393" s="9" t="n">
        <x:f>IF(D1393="Completed",L1393*J1393*(1-K1393),0)</x:f>
        <x:v>28</x:v>
      </x:c>
      <x:c r="Q1393" s="9" t="n">
        <x:f>O1393-P1393</x:f>
        <x:v>56</x:v>
      </x:c>
      <x:c r="R1393" s="11" t="n">
        <x:f>IF(D1393="Completed",I1393,0)</x:f>
        <x:v>3</x:v>
      </x:c>
      <x:c r="S1393" s="11" t="n">
        <x:f>IF(D1393="Completed",L1393,0)</x:f>
        <x:v>1</x:v>
      </x:c>
      <x:c r="T1393" s="8" t="n">
        <x:f>DATE(YEAR(C1393),MONTH(C1393),1)</x:f>
        <x:v>45809</x:v>
      </x:c>
    </x:row>
    <x:row r="1394" ht="22" customHeight="1">
      <x:c r="A1394" s="2" t="str">
        <x:v>L001390</x:v>
      </x:c>
      <x:c r="B1394" s="2" t="str">
        <x:v>O00565</x:v>
      </x:c>
      <x:c r="C1394" s="7" t="n">
        <x:v>45832</x:v>
      </x:c>
      <x:c r="D1394" s="2" t="str">
        <x:v>Completed</x:v>
      </x:c>
      <x:c r="E1394" s="2" t="str">
        <x:v>South</x:v>
      </x:c>
      <x:c r="F1394" s="2" t="str">
        <x:v>Store</x:v>
      </x:c>
      <x:c r="G1394" s="2" t="str">
        <x:v>Storage</x:v>
      </x:c>
      <x:c r="H1394" s="2" t="str">
        <x:v>Shelf 003</x:v>
      </x:c>
      <x:c r="I1394" s="11" t="n">
        <x:v>1</x:v>
      </x:c>
      <x:c r="J1394" s="9" t="n">
        <x:v>199</x:v>
      </x:c>
      <x:c r="K1394" s="10" t="n">
        <x:v>0.1</x:v>
      </x:c>
      <x:c r="L1394" s="11" t="n">
        <x:v>0</x:v>
      </x:c>
      <x:c r="M1394" s="9" t="n">
        <x:f>IF(D1394="Completed",I1394*J1394,0)</x:f>
        <x:v>199</x:v>
      </x:c>
      <x:c r="N1394" s="9" t="n">
        <x:f>M1394*K1394</x:f>
        <x:v>19.900000000000002</x:v>
      </x:c>
      <x:c r="O1394" s="9" t="n">
        <x:f>M1394-N1394</x:f>
        <x:v>179.1</x:v>
      </x:c>
      <x:c r="P1394" s="9" t="n">
        <x:f>IF(D1394="Completed",L1394*J1394*(1-K1394),0)</x:f>
        <x:v>0</x:v>
      </x:c>
      <x:c r="Q1394" s="9" t="n">
        <x:f>O1394-P1394</x:f>
        <x:v>179.1</x:v>
      </x:c>
      <x:c r="R1394" s="11" t="n">
        <x:f>IF(D1394="Completed",I1394,0)</x:f>
        <x:v>1</x:v>
      </x:c>
      <x:c r="S1394" s="11" t="n">
        <x:f>IF(D1394="Completed",L1394,0)</x:f>
        <x:v>0</x:v>
      </x:c>
      <x:c r="T1394" s="8" t="n">
        <x:f>DATE(YEAR(C1394),MONTH(C1394),1)</x:f>
        <x:v>45809</x:v>
      </x:c>
    </x:row>
    <x:row r="1395" ht="22" customHeight="1">
      <x:c r="A1395" s="2" t="str">
        <x:v>L001391</x:v>
      </x:c>
      <x:c r="B1395" s="2" t="str">
        <x:v>O00565</x:v>
      </x:c>
      <x:c r="C1395" s="7" t="n">
        <x:v>45832</x:v>
      </x:c>
      <x:c r="D1395" s="2" t="str">
        <x:v>Completed</x:v>
      </x:c>
      <x:c r="E1395" s="2" t="str">
        <x:v>South</x:v>
      </x:c>
      <x:c r="F1395" s="2" t="str">
        <x:v>Store</x:v>
      </x:c>
      <x:c r="G1395" s="2" t="str">
        <x:v>Furniture</x:v>
      </x:c>
      <x:c r="H1395" s="2" t="str">
        <x:v>Desk 020</x:v>
      </x:c>
      <x:c r="I1395" s="11" t="n">
        <x:v>3</x:v>
      </x:c>
      <x:c r="J1395" s="9" t="n">
        <x:v>189</x:v>
      </x:c>
      <x:c r="K1395" s="10" t="n">
        <x:v>0</x:v>
      </x:c>
      <x:c r="L1395" s="11" t="n">
        <x:v>0</x:v>
      </x:c>
      <x:c r="M1395" s="9" t="n">
        <x:f>IF(D1395="Completed",I1395*J1395,0)</x:f>
        <x:v>567</x:v>
      </x:c>
      <x:c r="N1395" s="9" t="n">
        <x:f>M1395*K1395</x:f>
        <x:v>0</x:v>
      </x:c>
      <x:c r="O1395" s="9" t="n">
        <x:f>M1395-N1395</x:f>
        <x:v>567</x:v>
      </x:c>
      <x:c r="P1395" s="9" t="n">
        <x:f>IF(D1395="Completed",L1395*J1395*(1-K1395),0)</x:f>
        <x:v>0</x:v>
      </x:c>
      <x:c r="Q1395" s="9" t="n">
        <x:f>O1395-P1395</x:f>
        <x:v>567</x:v>
      </x:c>
      <x:c r="R1395" s="11" t="n">
        <x:f>IF(D1395="Completed",I1395,0)</x:f>
        <x:v>3</x:v>
      </x:c>
      <x:c r="S1395" s="11" t="n">
        <x:f>IF(D1395="Completed",L1395,0)</x:f>
        <x:v>0</x:v>
      </x:c>
      <x:c r="T1395" s="8" t="n">
        <x:f>DATE(YEAR(C1395),MONTH(C1395),1)</x:f>
        <x:v>45809</x:v>
      </x:c>
    </x:row>
    <x:row r="1396" ht="22" customHeight="1">
      <x:c r="A1396" s="2" t="str">
        <x:v>L001392</x:v>
      </x:c>
      <x:c r="B1396" s="2" t="str">
        <x:v>O00565</x:v>
      </x:c>
      <x:c r="C1396" s="7" t="n">
        <x:v>45832</x:v>
      </x:c>
      <x:c r="D1396" s="2" t="str">
        <x:v>Completed</x:v>
      </x:c>
      <x:c r="E1396" s="2" t="str">
        <x:v>South</x:v>
      </x:c>
      <x:c r="F1396" s="2" t="str">
        <x:v>Store</x:v>
      </x:c>
      <x:c r="G1396" s="2" t="str">
        <x:v>Furniture</x:v>
      </x:c>
      <x:c r="H1396" s="2" t="str">
        <x:v>Chair 022</x:v>
      </x:c>
      <x:c r="I1396" s="11" t="n">
        <x:v>1</x:v>
      </x:c>
      <x:c r="J1396" s="9" t="n">
        <x:v>134</x:v>
      </x:c>
      <x:c r="K1396" s="10" t="n">
        <x:v>0.05</x:v>
      </x:c>
      <x:c r="L1396" s="11" t="n">
        <x:v>0</x:v>
      </x:c>
      <x:c r="M1396" s="9" t="n">
        <x:f>IF(D1396="Completed",I1396*J1396,0)</x:f>
        <x:v>134</x:v>
      </x:c>
      <x:c r="N1396" s="9" t="n">
        <x:f>M1396*K1396</x:f>
        <x:v>6.7</x:v>
      </x:c>
      <x:c r="O1396" s="9" t="n">
        <x:f>M1396-N1396</x:f>
        <x:v>127.3</x:v>
      </x:c>
      <x:c r="P1396" s="9" t="n">
        <x:f>IF(D1396="Completed",L1396*J1396*(1-K1396),0)</x:f>
        <x:v>0</x:v>
      </x:c>
      <x:c r="Q1396" s="9" t="n">
        <x:f>O1396-P1396</x:f>
        <x:v>127.3</x:v>
      </x:c>
      <x:c r="R1396" s="11" t="n">
        <x:f>IF(D1396="Completed",I1396,0)</x:f>
        <x:v>1</x:v>
      </x:c>
      <x:c r="S1396" s="11" t="n">
        <x:f>IF(D1396="Completed",L1396,0)</x:f>
        <x:v>0</x:v>
      </x:c>
      <x:c r="T1396" s="8" t="n">
        <x:f>DATE(YEAR(C1396),MONTH(C1396),1)</x:f>
        <x:v>45809</x:v>
      </x:c>
    </x:row>
    <x:row r="1397" ht="22" customHeight="1">
      <x:c r="A1397" s="2" t="str">
        <x:v>L001393</x:v>
      </x:c>
      <x:c r="B1397" s="2" t="str">
        <x:v>O00566</x:v>
      </x:c>
      <x:c r="C1397" s="7" t="n">
        <x:v>45733</x:v>
      </x:c>
      <x:c r="D1397" s="2" t="str">
        <x:v>Completed</x:v>
      </x:c>
      <x:c r="E1397" s="2" t="str">
        <x:v>West</x:v>
      </x:c>
      <x:c r="F1397" s="2" t="str">
        <x:v>Online</x:v>
      </x:c>
      <x:c r="G1397" s="2" t="str">
        <x:v>Furniture</x:v>
      </x:c>
      <x:c r="H1397" s="2" t="str">
        <x:v>Chair 018</x:v>
      </x:c>
      <x:c r="I1397" s="11" t="n">
        <x:v>4</x:v>
      </x:c>
      <x:c r="J1397" s="9" t="n">
        <x:v>269</x:v>
      </x:c>
      <x:c r="K1397" s="10" t="n">
        <x:v>0.2</x:v>
      </x:c>
      <x:c r="L1397" s="11" t="n">
        <x:v>0</x:v>
      </x:c>
      <x:c r="M1397" s="9" t="n">
        <x:f>IF(D1397="Completed",I1397*J1397,0)</x:f>
        <x:v>1076</x:v>
      </x:c>
      <x:c r="N1397" s="9" t="n">
        <x:f>M1397*K1397</x:f>
        <x:v>215.20000000000002</x:v>
      </x:c>
      <x:c r="O1397" s="9" t="n">
        <x:f>M1397-N1397</x:f>
        <x:v>860.8</x:v>
      </x:c>
      <x:c r="P1397" s="9" t="n">
        <x:f>IF(D1397="Completed",L1397*J1397*(1-K1397),0)</x:f>
        <x:v>0</x:v>
      </x:c>
      <x:c r="Q1397" s="9" t="n">
        <x:f>O1397-P1397</x:f>
        <x:v>860.8</x:v>
      </x:c>
      <x:c r="R1397" s="11" t="n">
        <x:f>IF(D1397="Completed",I1397,0)</x:f>
        <x:v>4</x:v>
      </x:c>
      <x:c r="S1397" s="11" t="n">
        <x:f>IF(D1397="Completed",L1397,0)</x:f>
        <x:v>0</x:v>
      </x:c>
      <x:c r="T1397" s="8" t="n">
        <x:f>DATE(YEAR(C1397),MONTH(C1397),1)</x:f>
        <x:v>45717</x:v>
      </x:c>
    </x:row>
    <x:row r="1398" ht="22" customHeight="1">
      <x:c r="A1398" s="2" t="str">
        <x:v>L001394</x:v>
      </x:c>
      <x:c r="B1398" s="2" t="str">
        <x:v>O00566</x:v>
      </x:c>
      <x:c r="C1398" s="7" t="n">
        <x:v>45733</x:v>
      </x:c>
      <x:c r="D1398" s="2" t="str">
        <x:v>Completed</x:v>
      </x:c>
      <x:c r="E1398" s="2" t="str">
        <x:v>West</x:v>
      </x:c>
      <x:c r="F1398" s="2" t="str">
        <x:v>Online</x:v>
      </x:c>
      <x:c r="G1398" s="2" t="str">
        <x:v>Storage</x:v>
      </x:c>
      <x:c r="H1398" s="2" t="str">
        <x:v>Shelf 015</x:v>
      </x:c>
      <x:c r="I1398" s="11" t="n">
        <x:v>1</x:v>
      </x:c>
      <x:c r="J1398" s="9" t="n">
        <x:v>254</x:v>
      </x:c>
      <x:c r="K1398" s="10" t="n">
        <x:v>0</x:v>
      </x:c>
      <x:c r="L1398" s="11" t="n">
        <x:v>0</x:v>
      </x:c>
      <x:c r="M1398" s="9" t="n">
        <x:f>IF(D1398="Completed",I1398*J1398,0)</x:f>
        <x:v>254</x:v>
      </x:c>
      <x:c r="N1398" s="9" t="n">
        <x:f>M1398*K1398</x:f>
        <x:v>0</x:v>
      </x:c>
      <x:c r="O1398" s="9" t="n">
        <x:f>M1398-N1398</x:f>
        <x:v>254</x:v>
      </x:c>
      <x:c r="P1398" s="9" t="n">
        <x:f>IF(D1398="Completed",L1398*J1398*(1-K1398),0)</x:f>
        <x:v>0</x:v>
      </x:c>
      <x:c r="Q1398" s="9" t="n">
        <x:f>O1398-P1398</x:f>
        <x:v>254</x:v>
      </x:c>
      <x:c r="R1398" s="11" t="n">
        <x:f>IF(D1398="Completed",I1398,0)</x:f>
        <x:v>1</x:v>
      </x:c>
      <x:c r="S1398" s="11" t="n">
        <x:f>IF(D1398="Completed",L1398,0)</x:f>
        <x:v>0</x:v>
      </x:c>
      <x:c r="T1398" s="8" t="n">
        <x:f>DATE(YEAR(C1398),MONTH(C1398),1)</x:f>
        <x:v>45717</x:v>
      </x:c>
    </x:row>
    <x:row r="1399" ht="22" customHeight="1">
      <x:c r="A1399" s="2" t="str">
        <x:v>L001395</x:v>
      </x:c>
      <x:c r="B1399" s="2" t="str">
        <x:v>O00567</x:v>
      </x:c>
      <x:c r="C1399" s="7" t="n">
        <x:v>45857</x:v>
      </x:c>
      <x:c r="D1399" s="2" t="str">
        <x:v>Completed</x:v>
      </x:c>
      <x:c r="E1399" s="2" t="str">
        <x:v>North</x:v>
      </x:c>
      <x:c r="F1399" s="2" t="str">
        <x:v>Store</x:v>
      </x:c>
      <x:c r="G1399" s="2" t="str">
        <x:v>Storage</x:v>
      </x:c>
      <x:c r="H1399" s="2" t="str">
        <x:v>Shelf 007</x:v>
      </x:c>
      <x:c r="I1399" s="11" t="n">
        <x:v>2</x:v>
      </x:c>
      <x:c r="J1399" s="9" t="n">
        <x:v>35</x:v>
      </x:c>
      <x:c r="K1399" s="10" t="n">
        <x:v>0.2</x:v>
      </x:c>
      <x:c r="L1399" s="11" t="n">
        <x:v>1</x:v>
      </x:c>
      <x:c r="M1399" s="9" t="n">
        <x:f>IF(D1399="Completed",I1399*J1399,0)</x:f>
        <x:v>70</x:v>
      </x:c>
      <x:c r="N1399" s="9" t="n">
        <x:f>M1399*K1399</x:f>
        <x:v>14</x:v>
      </x:c>
      <x:c r="O1399" s="9" t="n">
        <x:f>M1399-N1399</x:f>
        <x:v>56</x:v>
      </x:c>
      <x:c r="P1399" s="9" t="n">
        <x:f>IF(D1399="Completed",L1399*J1399*(1-K1399),0)</x:f>
        <x:v>28</x:v>
      </x:c>
      <x:c r="Q1399" s="9" t="n">
        <x:f>O1399-P1399</x:f>
        <x:v>28</x:v>
      </x:c>
      <x:c r="R1399" s="11" t="n">
        <x:f>IF(D1399="Completed",I1399,0)</x:f>
        <x:v>2</x:v>
      </x:c>
      <x:c r="S1399" s="11" t="n">
        <x:f>IF(D1399="Completed",L1399,0)</x:f>
        <x:v>1</x:v>
      </x:c>
      <x:c r="T1399" s="8" t="n">
        <x:f>DATE(YEAR(C1399),MONTH(C1399),1)</x:f>
        <x:v>45839</x:v>
      </x:c>
    </x:row>
    <x:row r="1400" ht="22" customHeight="1">
      <x:c r="A1400" s="2" t="str">
        <x:v>L001396</x:v>
      </x:c>
      <x:c r="B1400" s="2" t="str">
        <x:v>O00568</x:v>
      </x:c>
      <x:c r="C1400" s="7" t="n">
        <x:v>45672</x:v>
      </x:c>
      <x:c r="D1400" s="2" t="str">
        <x:v>Completed</x:v>
      </x:c>
      <x:c r="E1400" s="2" t="str">
        <x:v>West</x:v>
      </x:c>
      <x:c r="F1400" s="2" t="str">
        <x:v>Store</x:v>
      </x:c>
      <x:c r="G1400" s="2" t="str">
        <x:v>Furniture</x:v>
      </x:c>
      <x:c r="H1400" s="2" t="str">
        <x:v>Chair 002</x:v>
      </x:c>
      <x:c r="I1400" s="11" t="n">
        <x:v>4</x:v>
      </x:c>
      <x:c r="J1400" s="9" t="n">
        <x:v>284</x:v>
      </x:c>
      <x:c r="K1400" s="10" t="n">
        <x:v>0.05</x:v>
      </x:c>
      <x:c r="L1400" s="11" t="n">
        <x:v>0</x:v>
      </x:c>
      <x:c r="M1400" s="9" t="n">
        <x:f>IF(D1400="Completed",I1400*J1400,0)</x:f>
        <x:v>1136</x:v>
      </x:c>
      <x:c r="N1400" s="9" t="n">
        <x:f>M1400*K1400</x:f>
        <x:v>56.800000000000004</x:v>
      </x:c>
      <x:c r="O1400" s="9" t="n">
        <x:f>M1400-N1400</x:f>
        <x:v>1079.2</x:v>
      </x:c>
      <x:c r="P1400" s="9" t="n">
        <x:f>IF(D1400="Completed",L1400*J1400*(1-K1400),0)</x:f>
        <x:v>0</x:v>
      </x:c>
      <x:c r="Q1400" s="9" t="n">
        <x:f>O1400-P1400</x:f>
        <x:v>1079.2</x:v>
      </x:c>
      <x:c r="R1400" s="11" t="n">
        <x:f>IF(D1400="Completed",I1400,0)</x:f>
        <x:v>4</x:v>
      </x:c>
      <x:c r="S1400" s="11" t="n">
        <x:f>IF(D1400="Completed",L1400,0)</x:f>
        <x:v>0</x:v>
      </x:c>
      <x:c r="T1400" s="8" t="n">
        <x:f>DATE(YEAR(C1400),MONTH(C1400),1)</x:f>
        <x:v>45658</x:v>
      </x:c>
    </x:row>
    <x:row r="1401" ht="22" customHeight="1">
      <x:c r="A1401" s="2" t="str">
        <x:v>L001397</x:v>
      </x:c>
      <x:c r="B1401" s="2" t="str">
        <x:v>O00568</x:v>
      </x:c>
      <x:c r="C1401" s="7" t="n">
        <x:v>45672</x:v>
      </x:c>
      <x:c r="D1401" s="2" t="str">
        <x:v>Completed</x:v>
      </x:c>
      <x:c r="E1401" s="2" t="str">
        <x:v>West</x:v>
      </x:c>
      <x:c r="F1401" s="2" t="str">
        <x:v>Store</x:v>
      </x:c>
      <x:c r="G1401" s="2" t="str">
        <x:v>Storage</x:v>
      </x:c>
      <x:c r="H1401" s="2" t="str">
        <x:v>Shelf 023</x:v>
      </x:c>
      <x:c r="I1401" s="11" t="n">
        <x:v>5</x:v>
      </x:c>
      <x:c r="J1401" s="9" t="n">
        <x:v>68</x:v>
      </x:c>
      <x:c r="K1401" s="10" t="n">
        <x:v>0.1</x:v>
      </x:c>
      <x:c r="L1401" s="11" t="n">
        <x:v>0</x:v>
      </x:c>
      <x:c r="M1401" s="9" t="n">
        <x:f>IF(D1401="Completed",I1401*J1401,0)</x:f>
        <x:v>340</x:v>
      </x:c>
      <x:c r="N1401" s="9" t="n">
        <x:f>M1401*K1401</x:f>
        <x:v>34</x:v>
      </x:c>
      <x:c r="O1401" s="9" t="n">
        <x:f>M1401-N1401</x:f>
        <x:v>306</x:v>
      </x:c>
      <x:c r="P1401" s="9" t="n">
        <x:f>IF(D1401="Completed",L1401*J1401*(1-K1401),0)</x:f>
        <x:v>0</x:v>
      </x:c>
      <x:c r="Q1401" s="9" t="n">
        <x:f>O1401-P1401</x:f>
        <x:v>306</x:v>
      </x:c>
      <x:c r="R1401" s="11" t="n">
        <x:f>IF(D1401="Completed",I1401,0)</x:f>
        <x:v>5</x:v>
      </x:c>
      <x:c r="S1401" s="11" t="n">
        <x:f>IF(D1401="Completed",L1401,0)</x:f>
        <x:v>0</x:v>
      </x:c>
      <x:c r="T1401" s="8" t="n">
        <x:f>DATE(YEAR(C1401),MONTH(C1401),1)</x:f>
        <x:v>45658</x:v>
      </x:c>
    </x:row>
    <x:row r="1402" ht="22" customHeight="1">
      <x:c r="A1402" s="2" t="str">
        <x:v>L001398</x:v>
      </x:c>
      <x:c r="B1402" s="2" t="str">
        <x:v>O00569</x:v>
      </x:c>
      <x:c r="C1402" s="7" t="n">
        <x:v>45875</x:v>
      </x:c>
      <x:c r="D1402" s="2" t="str">
        <x:v>Completed</x:v>
      </x:c>
      <x:c r="E1402" s="2" t="str">
        <x:v>South</x:v>
      </x:c>
      <x:c r="F1402" s="2" t="str">
        <x:v>Store</x:v>
      </x:c>
      <x:c r="G1402" s="2" t="str">
        <x:v>Storage</x:v>
      </x:c>
      <x:c r="H1402" s="2" t="str">
        <x:v>Shelf 011</x:v>
      </x:c>
      <x:c r="I1402" s="11" t="n">
        <x:v>4</x:v>
      </x:c>
      <x:c r="J1402" s="9" t="n">
        <x:v>80</x:v>
      </x:c>
      <x:c r="K1402" s="10" t="n">
        <x:v>0.05</x:v>
      </x:c>
      <x:c r="L1402" s="11" t="n">
        <x:v>0</x:v>
      </x:c>
      <x:c r="M1402" s="9" t="n">
        <x:f>IF(D1402="Completed",I1402*J1402,0)</x:f>
        <x:v>320</x:v>
      </x:c>
      <x:c r="N1402" s="9" t="n">
        <x:f>M1402*K1402</x:f>
        <x:v>16</x:v>
      </x:c>
      <x:c r="O1402" s="9" t="n">
        <x:f>M1402-N1402</x:f>
        <x:v>304</x:v>
      </x:c>
      <x:c r="P1402" s="9" t="n">
        <x:f>IF(D1402="Completed",L1402*J1402*(1-K1402),0)</x:f>
        <x:v>0</x:v>
      </x:c>
      <x:c r="Q1402" s="9" t="n">
        <x:f>O1402-P1402</x:f>
        <x:v>304</x:v>
      </x:c>
      <x:c r="R1402" s="11" t="n">
        <x:f>IF(D1402="Completed",I1402,0)</x:f>
        <x:v>4</x:v>
      </x:c>
      <x:c r="S1402" s="11" t="n">
        <x:f>IF(D1402="Completed",L1402,0)</x:f>
        <x:v>0</x:v>
      </x:c>
      <x:c r="T1402" s="8" t="n">
        <x:f>DATE(YEAR(C1402),MONTH(C1402),1)</x:f>
        <x:v>45870</x:v>
      </x:c>
    </x:row>
    <x:row r="1403" ht="22" customHeight="1">
      <x:c r="A1403" s="2" t="str">
        <x:v>L001399</x:v>
      </x:c>
      <x:c r="B1403" s="2" t="str">
        <x:v>O00569</x:v>
      </x:c>
      <x:c r="C1403" s="7" t="n">
        <x:v>45875</x:v>
      </x:c>
      <x:c r="D1403" s="2" t="str">
        <x:v>Completed</x:v>
      </x:c>
      <x:c r="E1403" s="2" t="str">
        <x:v>South</x:v>
      </x:c>
      <x:c r="F1403" s="2" t="str">
        <x:v>Store</x:v>
      </x:c>
      <x:c r="G1403" s="2" t="str">
        <x:v>Lighting</x:v>
      </x:c>
      <x:c r="H1403" s="2" t="str">
        <x:v>Lamp 009</x:v>
      </x:c>
      <x:c r="I1403" s="11" t="n">
        <x:v>1</x:v>
      </x:c>
      <x:c r="J1403" s="9" t="n">
        <x:v>93</x:v>
      </x:c>
      <x:c r="K1403" s="10" t="n">
        <x:v>0.2</x:v>
      </x:c>
      <x:c r="L1403" s="11" t="n">
        <x:v>0</x:v>
      </x:c>
      <x:c r="M1403" s="9" t="n">
        <x:f>IF(D1403="Completed",I1403*J1403,0)</x:f>
        <x:v>93</x:v>
      </x:c>
      <x:c r="N1403" s="9" t="n">
        <x:f>M1403*K1403</x:f>
        <x:v>18.6</x:v>
      </x:c>
      <x:c r="O1403" s="9" t="n">
        <x:f>M1403-N1403</x:f>
        <x:v>74.4</x:v>
      </x:c>
      <x:c r="P1403" s="9" t="n">
        <x:f>IF(D1403="Completed",L1403*J1403*(1-K1403),0)</x:f>
        <x:v>0</x:v>
      </x:c>
      <x:c r="Q1403" s="9" t="n">
        <x:f>O1403-P1403</x:f>
        <x:v>74.4</x:v>
      </x:c>
      <x:c r="R1403" s="11" t="n">
        <x:f>IF(D1403="Completed",I1403,0)</x:f>
        <x:v>1</x:v>
      </x:c>
      <x:c r="S1403" s="11" t="n">
        <x:f>IF(D1403="Completed",L1403,0)</x:f>
        <x:v>0</x:v>
      </x:c>
      <x:c r="T1403" s="8" t="n">
        <x:f>DATE(YEAR(C1403),MONTH(C1403),1)</x:f>
        <x:v>45870</x:v>
      </x:c>
    </x:row>
    <x:row r="1404" ht="22" customHeight="1">
      <x:c r="A1404" s="2" t="str">
        <x:v>L001400</x:v>
      </x:c>
      <x:c r="B1404" s="2" t="str">
        <x:v>O00569</x:v>
      </x:c>
      <x:c r="C1404" s="7" t="n">
        <x:v>45875</x:v>
      </x:c>
      <x:c r="D1404" s="2" t="str">
        <x:v>Completed</x:v>
      </x:c>
      <x:c r="E1404" s="2" t="str">
        <x:v>South</x:v>
      </x:c>
      <x:c r="F1404" s="2" t="str">
        <x:v>Store</x:v>
      </x:c>
      <x:c r="G1404" s="2" t="str">
        <x:v>Storage</x:v>
      </x:c>
      <x:c r="H1404" s="2" t="str">
        <x:v>Shelf 011</x:v>
      </x:c>
      <x:c r="I1404" s="11" t="n">
        <x:v>1</x:v>
      </x:c>
      <x:c r="J1404" s="9" t="n">
        <x:v>80</x:v>
      </x:c>
      <x:c r="K1404" s="10" t="n">
        <x:v>0</x:v>
      </x:c>
      <x:c r="L1404" s="11" t="n">
        <x:v>0</x:v>
      </x:c>
      <x:c r="M1404" s="9" t="n">
        <x:f>IF(D1404="Completed",I1404*J1404,0)</x:f>
        <x:v>80</x:v>
      </x:c>
      <x:c r="N1404" s="9" t="n">
        <x:f>M1404*K1404</x:f>
        <x:v>0</x:v>
      </x:c>
      <x:c r="O1404" s="9" t="n">
        <x:f>M1404-N1404</x:f>
        <x:v>80</x:v>
      </x:c>
      <x:c r="P1404" s="9" t="n">
        <x:f>IF(D1404="Completed",L1404*J1404*(1-K1404),0)</x:f>
        <x:v>0</x:v>
      </x:c>
      <x:c r="Q1404" s="9" t="n">
        <x:f>O1404-P1404</x:f>
        <x:v>80</x:v>
      </x:c>
      <x:c r="R1404" s="11" t="n">
        <x:f>IF(D1404="Completed",I1404,0)</x:f>
        <x:v>1</x:v>
      </x:c>
      <x:c r="S1404" s="11" t="n">
        <x:f>IF(D1404="Completed",L1404,0)</x:f>
        <x:v>0</x:v>
      </x:c>
      <x:c r="T1404" s="8" t="n">
        <x:f>DATE(YEAR(C1404),MONTH(C1404),1)</x:f>
        <x:v>45870</x:v>
      </x:c>
    </x:row>
    <x:row r="1405" ht="22" customHeight="1">
      <x:c r="A1405" s="2" t="str">
        <x:v>L001401</x:v>
      </x:c>
      <x:c r="B1405" s="2" t="str">
        <x:v>O00569</x:v>
      </x:c>
      <x:c r="C1405" s="7" t="n">
        <x:v>45875</x:v>
      </x:c>
      <x:c r="D1405" s="2" t="str">
        <x:v>Completed</x:v>
      </x:c>
      <x:c r="E1405" s="2" t="str">
        <x:v>South</x:v>
      </x:c>
      <x:c r="F1405" s="2" t="str">
        <x:v>Store</x:v>
      </x:c>
      <x:c r="G1405" s="2" t="str">
        <x:v>Furniture</x:v>
      </x:c>
      <x:c r="H1405" s="2" t="str">
        <x:v>Desk 004</x:v>
      </x:c>
      <x:c r="I1405" s="11" t="n">
        <x:v>1</x:v>
      </x:c>
      <x:c r="J1405" s="9" t="n">
        <x:v>123</x:v>
      </x:c>
      <x:c r="K1405" s="10" t="n">
        <x:v>0.05</x:v>
      </x:c>
      <x:c r="L1405" s="11" t="n">
        <x:v>0</x:v>
      </x:c>
      <x:c r="M1405" s="9" t="n">
        <x:f>IF(D1405="Completed",I1405*J1405,0)</x:f>
        <x:v>123</x:v>
      </x:c>
      <x:c r="N1405" s="9" t="n">
        <x:f>M1405*K1405</x:f>
        <x:v>6.15</x:v>
      </x:c>
      <x:c r="O1405" s="9" t="n">
        <x:f>M1405-N1405</x:f>
        <x:v>116.85</x:v>
      </x:c>
      <x:c r="P1405" s="9" t="n">
        <x:f>IF(D1405="Completed",L1405*J1405*(1-K1405),0)</x:f>
        <x:v>0</x:v>
      </x:c>
      <x:c r="Q1405" s="9" t="n">
        <x:f>O1405-P1405</x:f>
        <x:v>116.85</x:v>
      </x:c>
      <x:c r="R1405" s="11" t="n">
        <x:f>IF(D1405="Completed",I1405,0)</x:f>
        <x:v>1</x:v>
      </x:c>
      <x:c r="S1405" s="11" t="n">
        <x:f>IF(D1405="Completed",L1405,0)</x:f>
        <x:v>0</x:v>
      </x:c>
      <x:c r="T1405" s="8" t="n">
        <x:f>DATE(YEAR(C1405),MONTH(C1405),1)</x:f>
        <x:v>45870</x:v>
      </x:c>
    </x:row>
    <x:row r="1406" ht="22" customHeight="1">
      <x:c r="A1406" s="2" t="str">
        <x:v>L001402</x:v>
      </x:c>
      <x:c r="B1406" s="2" t="str">
        <x:v>O00570</x:v>
      </x:c>
      <x:c r="C1406" s="7" t="n">
        <x:v>45850</x:v>
      </x:c>
      <x:c r="D1406" s="2" t="str">
        <x:v>Completed</x:v>
      </x:c>
      <x:c r="E1406" s="2" t="str">
        <x:v>South</x:v>
      </x:c>
      <x:c r="F1406" s="2" t="str">
        <x:v>Online</x:v>
      </x:c>
      <x:c r="G1406" s="2" t="str">
        <x:v>Furniture</x:v>
      </x:c>
      <x:c r="H1406" s="2" t="str">
        <x:v>Desk 004</x:v>
      </x:c>
      <x:c r="I1406" s="11" t="n">
        <x:v>4</x:v>
      </x:c>
      <x:c r="J1406" s="9" t="n">
        <x:v>123</x:v>
      </x:c>
      <x:c r="K1406" s="10" t="n">
        <x:v>0.1</x:v>
      </x:c>
      <x:c r="L1406" s="11" t="n">
        <x:v>0</x:v>
      </x:c>
      <x:c r="M1406" s="9" t="n">
        <x:f>IF(D1406="Completed",I1406*J1406,0)</x:f>
        <x:v>492</x:v>
      </x:c>
      <x:c r="N1406" s="9" t="n">
        <x:f>M1406*K1406</x:f>
        <x:v>49.2</x:v>
      </x:c>
      <x:c r="O1406" s="9" t="n">
        <x:f>M1406-N1406</x:f>
        <x:v>442.8</x:v>
      </x:c>
      <x:c r="P1406" s="9" t="n">
        <x:f>IF(D1406="Completed",L1406*J1406*(1-K1406),0)</x:f>
        <x:v>0</x:v>
      </x:c>
      <x:c r="Q1406" s="9" t="n">
        <x:f>O1406-P1406</x:f>
        <x:v>442.8</x:v>
      </x:c>
      <x:c r="R1406" s="11" t="n">
        <x:f>IF(D1406="Completed",I1406,0)</x:f>
        <x:v>4</x:v>
      </x:c>
      <x:c r="S1406" s="11" t="n">
        <x:f>IF(D1406="Completed",L1406,0)</x:f>
        <x:v>0</x:v>
      </x:c>
      <x:c r="T1406" s="8" t="n">
        <x:f>DATE(YEAR(C1406),MONTH(C1406),1)</x:f>
        <x:v>45839</x:v>
      </x:c>
    </x:row>
    <x:row r="1407" ht="22" customHeight="1">
      <x:c r="A1407" s="2" t="str">
        <x:v>L001403</x:v>
      </x:c>
      <x:c r="B1407" s="2" t="str">
        <x:v>O00570</x:v>
      </x:c>
      <x:c r="C1407" s="7" t="n">
        <x:v>45850</x:v>
      </x:c>
      <x:c r="D1407" s="2" t="str">
        <x:v>Completed</x:v>
      </x:c>
      <x:c r="E1407" s="2" t="str">
        <x:v>South</x:v>
      </x:c>
      <x:c r="F1407" s="2" t="str">
        <x:v>Online</x:v>
      </x:c>
      <x:c r="G1407" s="2" t="str">
        <x:v>Furniture</x:v>
      </x:c>
      <x:c r="H1407" s="2" t="str">
        <x:v>Desk 020</x:v>
      </x:c>
      <x:c r="I1407" s="11" t="n">
        <x:v>5</x:v>
      </x:c>
      <x:c r="J1407" s="9" t="n">
        <x:v>189</x:v>
      </x:c>
      <x:c r="K1407" s="10" t="n">
        <x:v>0.1</x:v>
      </x:c>
      <x:c r="L1407" s="11" t="n">
        <x:v>0</x:v>
      </x:c>
      <x:c r="M1407" s="9" t="n">
        <x:f>IF(D1407="Completed",I1407*J1407,0)</x:f>
        <x:v>945</x:v>
      </x:c>
      <x:c r="N1407" s="9" t="n">
        <x:f>M1407*K1407</x:f>
        <x:v>94.5</x:v>
      </x:c>
      <x:c r="O1407" s="9" t="n">
        <x:f>M1407-N1407</x:f>
        <x:v>850.5</x:v>
      </x:c>
      <x:c r="P1407" s="9" t="n">
        <x:f>IF(D1407="Completed",L1407*J1407*(1-K1407),0)</x:f>
        <x:v>0</x:v>
      </x:c>
      <x:c r="Q1407" s="9" t="n">
        <x:f>O1407-P1407</x:f>
        <x:v>850.5</x:v>
      </x:c>
      <x:c r="R1407" s="11" t="n">
        <x:f>IF(D1407="Completed",I1407,0)</x:f>
        <x:v>5</x:v>
      </x:c>
      <x:c r="S1407" s="11" t="n">
        <x:f>IF(D1407="Completed",L1407,0)</x:f>
        <x:v>0</x:v>
      </x:c>
      <x:c r="T1407" s="8" t="n">
        <x:f>DATE(YEAR(C1407),MONTH(C1407),1)</x:f>
        <x:v>45839</x:v>
      </x:c>
    </x:row>
    <x:row r="1408" ht="22" customHeight="1">
      <x:c r="A1408" s="2" t="str">
        <x:v>L001404</x:v>
      </x:c>
      <x:c r="B1408" s="2" t="str">
        <x:v>O00570</x:v>
      </x:c>
      <x:c r="C1408" s="7" t="n">
        <x:v>45850</x:v>
      </x:c>
      <x:c r="D1408" s="2" t="str">
        <x:v>Completed</x:v>
      </x:c>
      <x:c r="E1408" s="2" t="str">
        <x:v>South</x:v>
      </x:c>
      <x:c r="F1408" s="2" t="str">
        <x:v>Online</x:v>
      </x:c>
      <x:c r="G1408" s="2" t="str">
        <x:v>Furniture</x:v>
      </x:c>
      <x:c r="H1408" s="2" t="str">
        <x:v>Desk 004</x:v>
      </x:c>
      <x:c r="I1408" s="11" t="n">
        <x:v>2</x:v>
      </x:c>
      <x:c r="J1408" s="9" t="n">
        <x:v>123</x:v>
      </x:c>
      <x:c r="K1408" s="10" t="n">
        <x:v>0.2</x:v>
      </x:c>
      <x:c r="L1408" s="11" t="n">
        <x:v>0</x:v>
      </x:c>
      <x:c r="M1408" s="9" t="n">
        <x:f>IF(D1408="Completed",I1408*J1408,0)</x:f>
        <x:v>246</x:v>
      </x:c>
      <x:c r="N1408" s="9" t="n">
        <x:f>M1408*K1408</x:f>
        <x:v>49.2</x:v>
      </x:c>
      <x:c r="O1408" s="9" t="n">
        <x:f>M1408-N1408</x:f>
        <x:v>196.8</x:v>
      </x:c>
      <x:c r="P1408" s="9" t="n">
        <x:f>IF(D1408="Completed",L1408*J1408*(1-K1408),0)</x:f>
        <x:v>0</x:v>
      </x:c>
      <x:c r="Q1408" s="9" t="n">
        <x:f>O1408-P1408</x:f>
        <x:v>196.8</x:v>
      </x:c>
      <x:c r="R1408" s="11" t="n">
        <x:f>IF(D1408="Completed",I1408,0)</x:f>
        <x:v>2</x:v>
      </x:c>
      <x:c r="S1408" s="11" t="n">
        <x:f>IF(D1408="Completed",L1408,0)</x:f>
        <x:v>0</x:v>
      </x:c>
      <x:c r="T1408" s="8" t="n">
        <x:f>DATE(YEAR(C1408),MONTH(C1408),1)</x:f>
        <x:v>45839</x:v>
      </x:c>
    </x:row>
    <x:row r="1409" ht="22" customHeight="1">
      <x:c r="A1409" s="2" t="str">
        <x:v>L001405</x:v>
      </x:c>
      <x:c r="B1409" s="2" t="str">
        <x:v>O00571</x:v>
      </x:c>
      <x:c r="C1409" s="7" t="n">
        <x:v>45957</x:v>
      </x:c>
      <x:c r="D1409" s="2" t="str">
        <x:v>Completed</x:v>
      </x:c>
      <x:c r="E1409" s="2" t="str">
        <x:v>West</x:v>
      </x:c>
      <x:c r="F1409" s="2" t="str">
        <x:v>Store</x:v>
      </x:c>
      <x:c r="G1409" s="2" t="str">
        <x:v>Furniture</x:v>
      </x:c>
      <x:c r="H1409" s="2" t="str">
        <x:v>Desk 012</x:v>
      </x:c>
      <x:c r="I1409" s="11" t="n">
        <x:v>1</x:v>
      </x:c>
      <x:c r="J1409" s="9" t="n">
        <x:v>134</x:v>
      </x:c>
      <x:c r="K1409" s="10" t="n">
        <x:v>0.05</x:v>
      </x:c>
      <x:c r="L1409" s="11" t="n">
        <x:v>0</x:v>
      </x:c>
      <x:c r="M1409" s="9" t="n">
        <x:f>IF(D1409="Completed",I1409*J1409,0)</x:f>
        <x:v>134</x:v>
      </x:c>
      <x:c r="N1409" s="9" t="n">
        <x:f>M1409*K1409</x:f>
        <x:v>6.7</x:v>
      </x:c>
      <x:c r="O1409" s="9" t="n">
        <x:f>M1409-N1409</x:f>
        <x:v>127.3</x:v>
      </x:c>
      <x:c r="P1409" s="9" t="n">
        <x:f>IF(D1409="Completed",L1409*J1409*(1-K1409),0)</x:f>
        <x:v>0</x:v>
      </x:c>
      <x:c r="Q1409" s="9" t="n">
        <x:f>O1409-P1409</x:f>
        <x:v>127.3</x:v>
      </x:c>
      <x:c r="R1409" s="11" t="n">
        <x:f>IF(D1409="Completed",I1409,0)</x:f>
        <x:v>1</x:v>
      </x:c>
      <x:c r="S1409" s="11" t="n">
        <x:f>IF(D1409="Completed",L1409,0)</x:f>
        <x:v>0</x:v>
      </x:c>
      <x:c r="T1409" s="8" t="n">
        <x:f>DATE(YEAR(C1409),MONTH(C1409),1)</x:f>
        <x:v>45931</x:v>
      </x:c>
    </x:row>
    <x:row r="1410" ht="22" customHeight="1">
      <x:c r="A1410" s="2" t="str">
        <x:v>L001406</x:v>
      </x:c>
      <x:c r="B1410" s="2" t="str">
        <x:v>O00571</x:v>
      </x:c>
      <x:c r="C1410" s="7" t="n">
        <x:v>45957</x:v>
      </x:c>
      <x:c r="D1410" s="2" t="str">
        <x:v>Completed</x:v>
      </x:c>
      <x:c r="E1410" s="2" t="str">
        <x:v>West</x:v>
      </x:c>
      <x:c r="F1410" s="2" t="str">
        <x:v>Store</x:v>
      </x:c>
      <x:c r="G1410" s="2" t="str">
        <x:v>Lighting</x:v>
      </x:c>
      <x:c r="H1410" s="2" t="str">
        <x:v>Lamp 017</x:v>
      </x:c>
      <x:c r="I1410" s="11" t="n">
        <x:v>1</x:v>
      </x:c>
      <x:c r="J1410" s="9" t="n">
        <x:v>300</x:v>
      </x:c>
      <x:c r="K1410" s="10" t="n">
        <x:v>0.1</x:v>
      </x:c>
      <x:c r="L1410" s="11" t="n">
        <x:v>0</x:v>
      </x:c>
      <x:c r="M1410" s="9" t="n">
        <x:f>IF(D1410="Completed",I1410*J1410,0)</x:f>
        <x:v>300</x:v>
      </x:c>
      <x:c r="N1410" s="9" t="n">
        <x:f>M1410*K1410</x:f>
        <x:v>30</x:v>
      </x:c>
      <x:c r="O1410" s="9" t="n">
        <x:f>M1410-N1410</x:f>
        <x:v>270</x:v>
      </x:c>
      <x:c r="P1410" s="9" t="n">
        <x:f>IF(D1410="Completed",L1410*J1410*(1-K1410),0)</x:f>
        <x:v>0</x:v>
      </x:c>
      <x:c r="Q1410" s="9" t="n">
        <x:f>O1410-P1410</x:f>
        <x:v>270</x:v>
      </x:c>
      <x:c r="R1410" s="11" t="n">
        <x:f>IF(D1410="Completed",I1410,0)</x:f>
        <x:v>1</x:v>
      </x:c>
      <x:c r="S1410" s="11" t="n">
        <x:f>IF(D1410="Completed",L1410,0)</x:f>
        <x:v>0</x:v>
      </x:c>
      <x:c r="T1410" s="8" t="n">
        <x:f>DATE(YEAR(C1410),MONTH(C1410),1)</x:f>
        <x:v>45931</x:v>
      </x:c>
    </x:row>
    <x:row r="1411" ht="22" customHeight="1">
      <x:c r="A1411" s="2" t="str">
        <x:v>L001407</x:v>
      </x:c>
      <x:c r="B1411" s="2" t="str">
        <x:v>O00572</x:v>
      </x:c>
      <x:c r="C1411" s="7" t="n">
        <x:v>45952</x:v>
      </x:c>
      <x:c r="D1411" s="2" t="str">
        <x:v>Completed</x:v>
      </x:c>
      <x:c r="E1411" s="2" t="str">
        <x:v>East</x:v>
      </x:c>
      <x:c r="F1411" s="2" t="str">
        <x:v>Online</x:v>
      </x:c>
      <x:c r="G1411" s="2" t="str">
        <x:v>Furniture</x:v>
      </x:c>
      <x:c r="H1411" s="2" t="str">
        <x:v>Desk 024</x:v>
      </x:c>
      <x:c r="I1411" s="11" t="n">
        <x:v>2</x:v>
      </x:c>
      <x:c r="J1411" s="9" t="n">
        <x:v>81</x:v>
      </x:c>
      <x:c r="K1411" s="10" t="n">
        <x:v>0.05</x:v>
      </x:c>
      <x:c r="L1411" s="11" t="n">
        <x:v>0</x:v>
      </x:c>
      <x:c r="M1411" s="9" t="n">
        <x:f>IF(D1411="Completed",I1411*J1411,0)</x:f>
        <x:v>162</x:v>
      </x:c>
      <x:c r="N1411" s="9" t="n">
        <x:f>M1411*K1411</x:f>
        <x:v>8.1</x:v>
      </x:c>
      <x:c r="O1411" s="9" t="n">
        <x:f>M1411-N1411</x:f>
        <x:v>153.9</x:v>
      </x:c>
      <x:c r="P1411" s="9" t="n">
        <x:f>IF(D1411="Completed",L1411*J1411*(1-K1411),0)</x:f>
        <x:v>0</x:v>
      </x:c>
      <x:c r="Q1411" s="9" t="n">
        <x:f>O1411-P1411</x:f>
        <x:v>153.9</x:v>
      </x:c>
      <x:c r="R1411" s="11" t="n">
        <x:f>IF(D1411="Completed",I1411,0)</x:f>
        <x:v>2</x:v>
      </x:c>
      <x:c r="S1411" s="11" t="n">
        <x:f>IF(D1411="Completed",L1411,0)</x:f>
        <x:v>0</x:v>
      </x:c>
      <x:c r="T1411" s="8" t="n">
        <x:f>DATE(YEAR(C1411),MONTH(C1411),1)</x:f>
        <x:v>45931</x:v>
      </x:c>
    </x:row>
    <x:row r="1412" ht="22" customHeight="1">
      <x:c r="A1412" s="2" t="str">
        <x:v>L001408</x:v>
      </x:c>
      <x:c r="B1412" s="2" t="str">
        <x:v>O00572</x:v>
      </x:c>
      <x:c r="C1412" s="7" t="n">
        <x:v>45952</x:v>
      </x:c>
      <x:c r="D1412" s="2" t="str">
        <x:v>Completed</x:v>
      </x:c>
      <x:c r="E1412" s="2" t="str">
        <x:v>East</x:v>
      </x:c>
      <x:c r="F1412" s="2" t="str">
        <x:v>Online</x:v>
      </x:c>
      <x:c r="G1412" s="2" t="str">
        <x:v>Furniture</x:v>
      </x:c>
      <x:c r="H1412" s="2" t="str">
        <x:v>Chair 006</x:v>
      </x:c>
      <x:c r="I1412" s="11" t="n">
        <x:v>1</x:v>
      </x:c>
      <x:c r="J1412" s="9" t="n">
        <x:v>196</x:v>
      </x:c>
      <x:c r="K1412" s="10" t="n">
        <x:v>0</x:v>
      </x:c>
      <x:c r="L1412" s="11" t="n">
        <x:v>0</x:v>
      </x:c>
      <x:c r="M1412" s="9" t="n">
        <x:f>IF(D1412="Completed",I1412*J1412,0)</x:f>
        <x:v>196</x:v>
      </x:c>
      <x:c r="N1412" s="9" t="n">
        <x:f>M1412*K1412</x:f>
        <x:v>0</x:v>
      </x:c>
      <x:c r="O1412" s="9" t="n">
        <x:f>M1412-N1412</x:f>
        <x:v>196</x:v>
      </x:c>
      <x:c r="P1412" s="9" t="n">
        <x:f>IF(D1412="Completed",L1412*J1412*(1-K1412),0)</x:f>
        <x:v>0</x:v>
      </x:c>
      <x:c r="Q1412" s="9" t="n">
        <x:f>O1412-P1412</x:f>
        <x:v>196</x:v>
      </x:c>
      <x:c r="R1412" s="11" t="n">
        <x:f>IF(D1412="Completed",I1412,0)</x:f>
        <x:v>1</x:v>
      </x:c>
      <x:c r="S1412" s="11" t="n">
        <x:f>IF(D1412="Completed",L1412,0)</x:f>
        <x:v>0</x:v>
      </x:c>
      <x:c r="T1412" s="8" t="n">
        <x:f>DATE(YEAR(C1412),MONTH(C1412),1)</x:f>
        <x:v>45931</x:v>
      </x:c>
    </x:row>
    <x:row r="1413" ht="22" customHeight="1">
      <x:c r="A1413" s="2" t="str">
        <x:v>L001409</x:v>
      </x:c>
      <x:c r="B1413" s="2" t="str">
        <x:v>O00572</x:v>
      </x:c>
      <x:c r="C1413" s="7" t="n">
        <x:v>45952</x:v>
      </x:c>
      <x:c r="D1413" s="2" t="str">
        <x:v>Completed</x:v>
      </x:c>
      <x:c r="E1413" s="2" t="str">
        <x:v>East</x:v>
      </x:c>
      <x:c r="F1413" s="2" t="str">
        <x:v>Online</x:v>
      </x:c>
      <x:c r="G1413" s="2" t="str">
        <x:v>Lighting</x:v>
      </x:c>
      <x:c r="H1413" s="2" t="str">
        <x:v>Lamp 013</x:v>
      </x:c>
      <x:c r="I1413" s="11" t="n">
        <x:v>2</x:v>
      </x:c>
      <x:c r="J1413" s="9" t="n">
        <x:v>271</x:v>
      </x:c>
      <x:c r="K1413" s="10" t="n">
        <x:v>0</x:v>
      </x:c>
      <x:c r="L1413" s="11" t="n">
        <x:v>0</x:v>
      </x:c>
      <x:c r="M1413" s="9" t="n">
        <x:f>IF(D1413="Completed",I1413*J1413,0)</x:f>
        <x:v>542</x:v>
      </x:c>
      <x:c r="N1413" s="9" t="n">
        <x:f>M1413*K1413</x:f>
        <x:v>0</x:v>
      </x:c>
      <x:c r="O1413" s="9" t="n">
        <x:f>M1413-N1413</x:f>
        <x:v>542</x:v>
      </x:c>
      <x:c r="P1413" s="9" t="n">
        <x:f>IF(D1413="Completed",L1413*J1413*(1-K1413),0)</x:f>
        <x:v>0</x:v>
      </x:c>
      <x:c r="Q1413" s="9" t="n">
        <x:f>O1413-P1413</x:f>
        <x:v>542</x:v>
      </x:c>
      <x:c r="R1413" s="11" t="n">
        <x:f>IF(D1413="Completed",I1413,0)</x:f>
        <x:v>2</x:v>
      </x:c>
      <x:c r="S1413" s="11" t="n">
        <x:f>IF(D1413="Completed",L1413,0)</x:f>
        <x:v>0</x:v>
      </x:c>
      <x:c r="T1413" s="8" t="n">
        <x:f>DATE(YEAR(C1413),MONTH(C1413),1)</x:f>
        <x:v>45931</x:v>
      </x:c>
    </x:row>
    <x:row r="1414" ht="22" customHeight="1">
      <x:c r="A1414" s="2" t="str">
        <x:v>L001410</x:v>
      </x:c>
      <x:c r="B1414" s="2" t="str">
        <x:v>O00573</x:v>
      </x:c>
      <x:c r="C1414" s="7" t="n">
        <x:v>45882</x:v>
      </x:c>
      <x:c r="D1414" s="2" t="str">
        <x:v>Completed</x:v>
      </x:c>
      <x:c r="E1414" s="2" t="str">
        <x:v>North</x:v>
      </x:c>
      <x:c r="F1414" s="2" t="str">
        <x:v>Online</x:v>
      </x:c>
      <x:c r="G1414" s="2" t="str">
        <x:v>Furniture</x:v>
      </x:c>
      <x:c r="H1414" s="2" t="str">
        <x:v>Desk 004</x:v>
      </x:c>
      <x:c r="I1414" s="11" t="n">
        <x:v>2</x:v>
      </x:c>
      <x:c r="J1414" s="9" t="n">
        <x:v>123</x:v>
      </x:c>
      <x:c r="K1414" s="10" t="n">
        <x:v>0.2</x:v>
      </x:c>
      <x:c r="L1414" s="11" t="n">
        <x:v>2</x:v>
      </x:c>
      <x:c r="M1414" s="9" t="n">
        <x:f>IF(D1414="Completed",I1414*J1414,0)</x:f>
        <x:v>246</x:v>
      </x:c>
      <x:c r="N1414" s="9" t="n">
        <x:f>M1414*K1414</x:f>
        <x:v>49.2</x:v>
      </x:c>
      <x:c r="O1414" s="9" t="n">
        <x:f>M1414-N1414</x:f>
        <x:v>196.8</x:v>
      </x:c>
      <x:c r="P1414" s="9" t="n">
        <x:f>IF(D1414="Completed",L1414*J1414*(1-K1414),0)</x:f>
        <x:v>196.8</x:v>
      </x:c>
      <x:c r="Q1414" s="9" t="n">
        <x:f>O1414-P1414</x:f>
        <x:v>0</x:v>
      </x:c>
      <x:c r="R1414" s="11" t="n">
        <x:f>IF(D1414="Completed",I1414,0)</x:f>
        <x:v>2</x:v>
      </x:c>
      <x:c r="S1414" s="11" t="n">
        <x:f>IF(D1414="Completed",L1414,0)</x:f>
        <x:v>2</x:v>
      </x:c>
      <x:c r="T1414" s="8" t="n">
        <x:f>DATE(YEAR(C1414),MONTH(C1414),1)</x:f>
        <x:v>45870</x:v>
      </x:c>
    </x:row>
    <x:row r="1415" ht="22" customHeight="1">
      <x:c r="A1415" s="2" t="str">
        <x:v>L001411</x:v>
      </x:c>
      <x:c r="B1415" s="2" t="str">
        <x:v>O00573</x:v>
      </x:c>
      <x:c r="C1415" s="7" t="n">
        <x:v>45882</x:v>
      </x:c>
      <x:c r="D1415" s="2" t="str">
        <x:v>Completed</x:v>
      </x:c>
      <x:c r="E1415" s="2" t="str">
        <x:v>North</x:v>
      </x:c>
      <x:c r="F1415" s="2" t="str">
        <x:v>Online</x:v>
      </x:c>
      <x:c r="G1415" s="2" t="str">
        <x:v>Furniture</x:v>
      </x:c>
      <x:c r="H1415" s="2" t="str">
        <x:v>Desk 020</x:v>
      </x:c>
      <x:c r="I1415" s="11" t="n">
        <x:v>4</x:v>
      </x:c>
      <x:c r="J1415" s="9" t="n">
        <x:v>189</x:v>
      </x:c>
      <x:c r="K1415" s="10" t="n">
        <x:v>0</x:v>
      </x:c>
      <x:c r="L1415" s="11" t="n">
        <x:v>0</x:v>
      </x:c>
      <x:c r="M1415" s="9" t="n">
        <x:f>IF(D1415="Completed",I1415*J1415,0)</x:f>
        <x:v>756</x:v>
      </x:c>
      <x:c r="N1415" s="9" t="n">
        <x:f>M1415*K1415</x:f>
        <x:v>0</x:v>
      </x:c>
      <x:c r="O1415" s="9" t="n">
        <x:f>M1415-N1415</x:f>
        <x:v>756</x:v>
      </x:c>
      <x:c r="P1415" s="9" t="n">
        <x:f>IF(D1415="Completed",L1415*J1415*(1-K1415),0)</x:f>
        <x:v>0</x:v>
      </x:c>
      <x:c r="Q1415" s="9" t="n">
        <x:f>O1415-P1415</x:f>
        <x:v>756</x:v>
      </x:c>
      <x:c r="R1415" s="11" t="n">
        <x:f>IF(D1415="Completed",I1415,0)</x:f>
        <x:v>4</x:v>
      </x:c>
      <x:c r="S1415" s="11" t="n">
        <x:f>IF(D1415="Completed",L1415,0)</x:f>
        <x:v>0</x:v>
      </x:c>
      <x:c r="T1415" s="8" t="n">
        <x:f>DATE(YEAR(C1415),MONTH(C1415),1)</x:f>
        <x:v>45870</x:v>
      </x:c>
    </x:row>
    <x:row r="1416" ht="22" customHeight="1">
      <x:c r="A1416" s="2" t="str">
        <x:v>L001412</x:v>
      </x:c>
      <x:c r="B1416" s="2" t="str">
        <x:v>O00573</x:v>
      </x:c>
      <x:c r="C1416" s="7" t="n">
        <x:v>45882</x:v>
      </x:c>
      <x:c r="D1416" s="2" t="str">
        <x:v>Completed</x:v>
      </x:c>
      <x:c r="E1416" s="2" t="str">
        <x:v>North</x:v>
      </x:c>
      <x:c r="F1416" s="2" t="str">
        <x:v>Online</x:v>
      </x:c>
      <x:c r="G1416" s="2" t="str">
        <x:v>Storage</x:v>
      </x:c>
      <x:c r="H1416" s="2" t="str">
        <x:v>Shelf 007</x:v>
      </x:c>
      <x:c r="I1416" s="11" t="n">
        <x:v>2</x:v>
      </x:c>
      <x:c r="J1416" s="9" t="n">
        <x:v>35</x:v>
      </x:c>
      <x:c r="K1416" s="10" t="n">
        <x:v>0.2</x:v>
      </x:c>
      <x:c r="L1416" s="11" t="n">
        <x:v>0</x:v>
      </x:c>
      <x:c r="M1416" s="9" t="n">
        <x:f>IF(D1416="Completed",I1416*J1416,0)</x:f>
        <x:v>70</x:v>
      </x:c>
      <x:c r="N1416" s="9" t="n">
        <x:f>M1416*K1416</x:f>
        <x:v>14</x:v>
      </x:c>
      <x:c r="O1416" s="9" t="n">
        <x:f>M1416-N1416</x:f>
        <x:v>56</x:v>
      </x:c>
      <x:c r="P1416" s="9" t="n">
        <x:f>IF(D1416="Completed",L1416*J1416*(1-K1416),0)</x:f>
        <x:v>0</x:v>
      </x:c>
      <x:c r="Q1416" s="9" t="n">
        <x:f>O1416-P1416</x:f>
        <x:v>56</x:v>
      </x:c>
      <x:c r="R1416" s="11" t="n">
        <x:f>IF(D1416="Completed",I1416,0)</x:f>
        <x:v>2</x:v>
      </x:c>
      <x:c r="S1416" s="11" t="n">
        <x:f>IF(D1416="Completed",L1416,0)</x:f>
        <x:v>0</x:v>
      </x:c>
      <x:c r="T1416" s="8" t="n">
        <x:f>DATE(YEAR(C1416),MONTH(C1416),1)</x:f>
        <x:v>45870</x:v>
      </x:c>
    </x:row>
    <x:row r="1417" ht="22" customHeight="1">
      <x:c r="A1417" s="2" t="str">
        <x:v>L001413</x:v>
      </x:c>
      <x:c r="B1417" s="2" t="str">
        <x:v>O00574</x:v>
      </x:c>
      <x:c r="C1417" s="7" t="n">
        <x:v>45701</x:v>
      </x:c>
      <x:c r="D1417" s="2" t="str">
        <x:v>Completed</x:v>
      </x:c>
      <x:c r="E1417" s="2" t="str">
        <x:v>North</x:v>
      </x:c>
      <x:c r="F1417" s="2" t="str">
        <x:v>Store</x:v>
      </x:c>
      <x:c r="G1417" s="2" t="str">
        <x:v>Furniture</x:v>
      </x:c>
      <x:c r="H1417" s="2" t="str">
        <x:v>Desk 024</x:v>
      </x:c>
      <x:c r="I1417" s="11" t="n">
        <x:v>4</x:v>
      </x:c>
      <x:c r="J1417" s="9" t="n">
        <x:v>81</x:v>
      </x:c>
      <x:c r="K1417" s="10" t="n">
        <x:v>0</x:v>
      </x:c>
      <x:c r="L1417" s="11" t="n">
        <x:v>0</x:v>
      </x:c>
      <x:c r="M1417" s="9" t="n">
        <x:f>IF(D1417="Completed",I1417*J1417,0)</x:f>
        <x:v>324</x:v>
      </x:c>
      <x:c r="N1417" s="9" t="n">
        <x:f>M1417*K1417</x:f>
        <x:v>0</x:v>
      </x:c>
      <x:c r="O1417" s="9" t="n">
        <x:f>M1417-N1417</x:f>
        <x:v>324</x:v>
      </x:c>
      <x:c r="P1417" s="9" t="n">
        <x:f>IF(D1417="Completed",L1417*J1417*(1-K1417),0)</x:f>
        <x:v>0</x:v>
      </x:c>
      <x:c r="Q1417" s="9" t="n">
        <x:f>O1417-P1417</x:f>
        <x:v>324</x:v>
      </x:c>
      <x:c r="R1417" s="11" t="n">
        <x:f>IF(D1417="Completed",I1417,0)</x:f>
        <x:v>4</x:v>
      </x:c>
      <x:c r="S1417" s="11" t="n">
        <x:f>IF(D1417="Completed",L1417,0)</x:f>
        <x:v>0</x:v>
      </x:c>
      <x:c r="T1417" s="8" t="n">
        <x:f>DATE(YEAR(C1417),MONTH(C1417),1)</x:f>
        <x:v>45689</x:v>
      </x:c>
    </x:row>
    <x:row r="1418" ht="22" customHeight="1">
      <x:c r="A1418" s="2" t="str">
        <x:v>L001414</x:v>
      </x:c>
      <x:c r="B1418" s="2" t="str">
        <x:v>O00574</x:v>
      </x:c>
      <x:c r="C1418" s="7" t="n">
        <x:v>45701</x:v>
      </x:c>
      <x:c r="D1418" s="2" t="str">
        <x:v>Completed</x:v>
      </x:c>
      <x:c r="E1418" s="2" t="str">
        <x:v>North</x:v>
      </x:c>
      <x:c r="F1418" s="2" t="str">
        <x:v>Store</x:v>
      </x:c>
      <x:c r="G1418" s="2" t="str">
        <x:v>Furniture</x:v>
      </x:c>
      <x:c r="H1418" s="2" t="str">
        <x:v>Desk 024</x:v>
      </x:c>
      <x:c r="I1418" s="11" t="n">
        <x:v>2</x:v>
      </x:c>
      <x:c r="J1418" s="9" t="n">
        <x:v>81</x:v>
      </x:c>
      <x:c r="K1418" s="10" t="n">
        <x:v>0.2</x:v>
      </x:c>
      <x:c r="L1418" s="11" t="n">
        <x:v>0</x:v>
      </x:c>
      <x:c r="M1418" s="9" t="n">
        <x:f>IF(D1418="Completed",I1418*J1418,0)</x:f>
        <x:v>162</x:v>
      </x:c>
      <x:c r="N1418" s="9" t="n">
        <x:f>M1418*K1418</x:f>
        <x:v>32.4</x:v>
      </x:c>
      <x:c r="O1418" s="9" t="n">
        <x:f>M1418-N1418</x:f>
        <x:v>129.6</x:v>
      </x:c>
      <x:c r="P1418" s="9" t="n">
        <x:f>IF(D1418="Completed",L1418*J1418*(1-K1418),0)</x:f>
        <x:v>0</x:v>
      </x:c>
      <x:c r="Q1418" s="9" t="n">
        <x:f>O1418-P1418</x:f>
        <x:v>129.6</x:v>
      </x:c>
      <x:c r="R1418" s="11" t="n">
        <x:f>IF(D1418="Completed",I1418,0)</x:f>
        <x:v>2</x:v>
      </x:c>
      <x:c r="S1418" s="11" t="n">
        <x:f>IF(D1418="Completed",L1418,0)</x:f>
        <x:v>0</x:v>
      </x:c>
      <x:c r="T1418" s="8" t="n">
        <x:f>DATE(YEAR(C1418),MONTH(C1418),1)</x:f>
        <x:v>45689</x:v>
      </x:c>
    </x:row>
    <x:row r="1419" ht="22" customHeight="1">
      <x:c r="A1419" s="2" t="str">
        <x:v>L001415</x:v>
      </x:c>
      <x:c r="B1419" s="2" t="str">
        <x:v>O00575</x:v>
      </x:c>
      <x:c r="C1419" s="7" t="n">
        <x:v>45848</x:v>
      </x:c>
      <x:c r="D1419" s="2" t="str">
        <x:v>Cancelled</x:v>
      </x:c>
      <x:c r="E1419" s="2" t="str">
        <x:v>South</x:v>
      </x:c>
      <x:c r="F1419" s="2" t="str">
        <x:v>Online</x:v>
      </x:c>
      <x:c r="G1419" s="2" t="str">
        <x:v>Storage</x:v>
      </x:c>
      <x:c r="H1419" s="2" t="str">
        <x:v>Shelf 007</x:v>
      </x:c>
      <x:c r="I1419" s="11" t="n">
        <x:v>5</x:v>
      </x:c>
      <x:c r="J1419" s="9" t="n">
        <x:v>35</x:v>
      </x:c>
      <x:c r="K1419" s="10" t="n">
        <x:v>0.2</x:v>
      </x:c>
      <x:c r="L1419" s="11" t="n">
        <x:v>0</x:v>
      </x:c>
      <x:c r="M1419" s="9" t="n">
        <x:f>IF(D1419="Completed",I1419*J1419,0)</x:f>
        <x:v>0</x:v>
      </x:c>
      <x:c r="N1419" s="9" t="n">
        <x:f>M1419*K1419</x:f>
        <x:v>0</x:v>
      </x:c>
      <x:c r="O1419" s="9" t="n">
        <x:f>M1419-N1419</x:f>
        <x:v>0</x:v>
      </x:c>
      <x:c r="P1419" s="9" t="n">
        <x:f>IF(D1419="Completed",L1419*J1419*(1-K1419),0)</x:f>
        <x:v>0</x:v>
      </x:c>
      <x:c r="Q1419" s="9" t="n">
        <x:f>O1419-P1419</x:f>
        <x:v>0</x:v>
      </x:c>
      <x:c r="R1419" s="11" t="n">
        <x:f>IF(D1419="Completed",I1419,0)</x:f>
        <x:v>0</x:v>
      </x:c>
      <x:c r="S1419" s="11" t="n">
        <x:f>IF(D1419="Completed",L1419,0)</x:f>
        <x:v>0</x:v>
      </x:c>
      <x:c r="T1419" s="8" t="n">
        <x:f>DATE(YEAR(C1419),MONTH(C1419),1)</x:f>
        <x:v>45839</x:v>
      </x:c>
    </x:row>
    <x:row r="1420" ht="22" customHeight="1">
      <x:c r="A1420" s="2" t="str">
        <x:v>L001416</x:v>
      </x:c>
      <x:c r="B1420" s="2" t="str">
        <x:v>O00576</x:v>
      </x:c>
      <x:c r="C1420" s="7" t="n">
        <x:v>45691</x:v>
      </x:c>
      <x:c r="D1420" s="2" t="str">
        <x:v>Completed</x:v>
      </x:c>
      <x:c r="E1420" s="2" t="str">
        <x:v>North</x:v>
      </x:c>
      <x:c r="F1420" s="2" t="str">
        <x:v>Store</x:v>
      </x:c>
      <x:c r="G1420" s="2" t="str">
        <x:v>Lighting</x:v>
      </x:c>
      <x:c r="H1420" s="2" t="str">
        <x:v>Lamp 005</x:v>
      </x:c>
      <x:c r="I1420" s="11" t="n">
        <x:v>3</x:v>
      </x:c>
      <x:c r="J1420" s="9" t="n">
        <x:v>65</x:v>
      </x:c>
      <x:c r="K1420" s="10" t="n">
        <x:v>0.1</x:v>
      </x:c>
      <x:c r="L1420" s="11" t="n">
        <x:v>0</x:v>
      </x:c>
      <x:c r="M1420" s="9" t="n">
        <x:f>IF(D1420="Completed",I1420*J1420,0)</x:f>
        <x:v>195</x:v>
      </x:c>
      <x:c r="N1420" s="9" t="n">
        <x:f>M1420*K1420</x:f>
        <x:v>19.5</x:v>
      </x:c>
      <x:c r="O1420" s="9" t="n">
        <x:f>M1420-N1420</x:f>
        <x:v>175.5</x:v>
      </x:c>
      <x:c r="P1420" s="9" t="n">
        <x:f>IF(D1420="Completed",L1420*J1420*(1-K1420),0)</x:f>
        <x:v>0</x:v>
      </x:c>
      <x:c r="Q1420" s="9" t="n">
        <x:f>O1420-P1420</x:f>
        <x:v>175.5</x:v>
      </x:c>
      <x:c r="R1420" s="11" t="n">
        <x:f>IF(D1420="Completed",I1420,0)</x:f>
        <x:v>3</x:v>
      </x:c>
      <x:c r="S1420" s="11" t="n">
        <x:f>IF(D1420="Completed",L1420,0)</x:f>
        <x:v>0</x:v>
      </x:c>
      <x:c r="T1420" s="8" t="n">
        <x:f>DATE(YEAR(C1420),MONTH(C1420),1)</x:f>
        <x:v>45689</x:v>
      </x:c>
    </x:row>
    <x:row r="1421" ht="22" customHeight="1">
      <x:c r="A1421" s="2" t="str">
        <x:v>L001417</x:v>
      </x:c>
      <x:c r="B1421" s="2" t="str">
        <x:v>O00576</x:v>
      </x:c>
      <x:c r="C1421" s="7" t="n">
        <x:v>45691</x:v>
      </x:c>
      <x:c r="D1421" s="2" t="str">
        <x:v>Completed</x:v>
      </x:c>
      <x:c r="E1421" s="2" t="str">
        <x:v>North</x:v>
      </x:c>
      <x:c r="F1421" s="2" t="str">
        <x:v>Store</x:v>
      </x:c>
      <x:c r="G1421" s="2" t="str">
        <x:v>Lighting</x:v>
      </x:c>
      <x:c r="H1421" s="2" t="str">
        <x:v>Lamp 013</x:v>
      </x:c>
      <x:c r="I1421" s="11" t="n">
        <x:v>1</x:v>
      </x:c>
      <x:c r="J1421" s="9" t="n">
        <x:v>271</x:v>
      </x:c>
      <x:c r="K1421" s="10" t="n">
        <x:v>0</x:v>
      </x:c>
      <x:c r="L1421" s="11" t="n">
        <x:v>0</x:v>
      </x:c>
      <x:c r="M1421" s="9" t="n">
        <x:f>IF(D1421="Completed",I1421*J1421,0)</x:f>
        <x:v>271</x:v>
      </x:c>
      <x:c r="N1421" s="9" t="n">
        <x:f>M1421*K1421</x:f>
        <x:v>0</x:v>
      </x:c>
      <x:c r="O1421" s="9" t="n">
        <x:f>M1421-N1421</x:f>
        <x:v>271</x:v>
      </x:c>
      <x:c r="P1421" s="9" t="n">
        <x:f>IF(D1421="Completed",L1421*J1421*(1-K1421),0)</x:f>
        <x:v>0</x:v>
      </x:c>
      <x:c r="Q1421" s="9" t="n">
        <x:f>O1421-P1421</x:f>
        <x:v>271</x:v>
      </x:c>
      <x:c r="R1421" s="11" t="n">
        <x:f>IF(D1421="Completed",I1421,0)</x:f>
        <x:v>1</x:v>
      </x:c>
      <x:c r="S1421" s="11" t="n">
        <x:f>IF(D1421="Completed",L1421,0)</x:f>
        <x:v>0</x:v>
      </x:c>
      <x:c r="T1421" s="8" t="n">
        <x:f>DATE(YEAR(C1421),MONTH(C1421),1)</x:f>
        <x:v>45689</x:v>
      </x:c>
    </x:row>
    <x:row r="1422" ht="22" customHeight="1">
      <x:c r="A1422" s="2" t="str">
        <x:v>L001418</x:v>
      </x:c>
      <x:c r="B1422" s="2" t="str">
        <x:v>O00577</x:v>
      </x:c>
      <x:c r="C1422" s="7" t="n">
        <x:v>45922</x:v>
      </x:c>
      <x:c r="D1422" s="2" t="str">
        <x:v>Completed</x:v>
      </x:c>
      <x:c r="E1422" s="2" t="str">
        <x:v>West</x:v>
      </x:c>
      <x:c r="F1422" s="2" t="str">
        <x:v>Store</x:v>
      </x:c>
      <x:c r="G1422" s="2" t="str">
        <x:v>Storage</x:v>
      </x:c>
      <x:c r="H1422" s="2" t="str">
        <x:v>Shelf 011</x:v>
      </x:c>
      <x:c r="I1422" s="11" t="n">
        <x:v>1</x:v>
      </x:c>
      <x:c r="J1422" s="9" t="n">
        <x:v>80</x:v>
      </x:c>
      <x:c r="K1422" s="10" t="n">
        <x:v>0.1</x:v>
      </x:c>
      <x:c r="L1422" s="11" t="n">
        <x:v>0</x:v>
      </x:c>
      <x:c r="M1422" s="9" t="n">
        <x:f>IF(D1422="Completed",I1422*J1422,0)</x:f>
        <x:v>80</x:v>
      </x:c>
      <x:c r="N1422" s="9" t="n">
        <x:f>M1422*K1422</x:f>
        <x:v>8</x:v>
      </x:c>
      <x:c r="O1422" s="9" t="n">
        <x:f>M1422-N1422</x:f>
        <x:v>72</x:v>
      </x:c>
      <x:c r="P1422" s="9" t="n">
        <x:f>IF(D1422="Completed",L1422*J1422*(1-K1422),0)</x:f>
        <x:v>0</x:v>
      </x:c>
      <x:c r="Q1422" s="9" t="n">
        <x:f>O1422-P1422</x:f>
        <x:v>72</x:v>
      </x:c>
      <x:c r="R1422" s="11" t="n">
        <x:f>IF(D1422="Completed",I1422,0)</x:f>
        <x:v>1</x:v>
      </x:c>
      <x:c r="S1422" s="11" t="n">
        <x:f>IF(D1422="Completed",L1422,0)</x:f>
        <x:v>0</x:v>
      </x:c>
      <x:c r="T1422" s="8" t="n">
        <x:f>DATE(YEAR(C1422),MONTH(C1422),1)</x:f>
        <x:v>45901</x:v>
      </x:c>
    </x:row>
    <x:row r="1423" ht="22" customHeight="1">
      <x:c r="A1423" s="2" t="str">
        <x:v>L001419</x:v>
      </x:c>
      <x:c r="B1423" s="2" t="str">
        <x:v>O00577</x:v>
      </x:c>
      <x:c r="C1423" s="7" t="n">
        <x:v>45922</x:v>
      </x:c>
      <x:c r="D1423" s="2" t="str">
        <x:v>Completed</x:v>
      </x:c>
      <x:c r="E1423" s="2" t="str">
        <x:v>West</x:v>
      </x:c>
      <x:c r="F1423" s="2" t="str">
        <x:v>Store</x:v>
      </x:c>
      <x:c r="G1423" s="2" t="str">
        <x:v>Furniture</x:v>
      </x:c>
      <x:c r="H1423" s="2" t="str">
        <x:v>Chair 002</x:v>
      </x:c>
      <x:c r="I1423" s="11" t="n">
        <x:v>3</x:v>
      </x:c>
      <x:c r="J1423" s="9" t="n">
        <x:v>284</x:v>
      </x:c>
      <x:c r="K1423" s="10" t="n">
        <x:v>0.1</x:v>
      </x:c>
      <x:c r="L1423" s="11" t="n">
        <x:v>0</x:v>
      </x:c>
      <x:c r="M1423" s="9" t="n">
        <x:f>IF(D1423="Completed",I1423*J1423,0)</x:f>
        <x:v>852</x:v>
      </x:c>
      <x:c r="N1423" s="9" t="n">
        <x:f>M1423*K1423</x:f>
        <x:v>85.2</x:v>
      </x:c>
      <x:c r="O1423" s="9" t="n">
        <x:f>M1423-N1423</x:f>
        <x:v>766.8</x:v>
      </x:c>
      <x:c r="P1423" s="9" t="n">
        <x:f>IF(D1423="Completed",L1423*J1423*(1-K1423),0)</x:f>
        <x:v>0</x:v>
      </x:c>
      <x:c r="Q1423" s="9" t="n">
        <x:f>O1423-P1423</x:f>
        <x:v>766.8</x:v>
      </x:c>
      <x:c r="R1423" s="11" t="n">
        <x:f>IF(D1423="Completed",I1423,0)</x:f>
        <x:v>3</x:v>
      </x:c>
      <x:c r="S1423" s="11" t="n">
        <x:f>IF(D1423="Completed",L1423,0)</x:f>
        <x:v>0</x:v>
      </x:c>
      <x:c r="T1423" s="8" t="n">
        <x:f>DATE(YEAR(C1423),MONTH(C1423),1)</x:f>
        <x:v>45901</x:v>
      </x:c>
    </x:row>
    <x:row r="1424" ht="22" customHeight="1">
      <x:c r="A1424" s="2" t="str">
        <x:v>L001420</x:v>
      </x:c>
      <x:c r="B1424" s="2" t="str">
        <x:v>O00578</x:v>
      </x:c>
      <x:c r="C1424" s="7" t="n">
        <x:v>45904</x:v>
      </x:c>
      <x:c r="D1424" s="2" t="str">
        <x:v>Completed</x:v>
      </x:c>
      <x:c r="E1424" s="2" t="str">
        <x:v>West</x:v>
      </x:c>
      <x:c r="F1424" s="2" t="str">
        <x:v>Online</x:v>
      </x:c>
      <x:c r="G1424" s="2" t="str">
        <x:v>Furniture</x:v>
      </x:c>
      <x:c r="H1424" s="2" t="str">
        <x:v>Desk 020</x:v>
      </x:c>
      <x:c r="I1424" s="11" t="n">
        <x:v>5</x:v>
      </x:c>
      <x:c r="J1424" s="9" t="n">
        <x:v>189</x:v>
      </x:c>
      <x:c r="K1424" s="10" t="n">
        <x:v>0.1</x:v>
      </x:c>
      <x:c r="L1424" s="11" t="n">
        <x:v>0</x:v>
      </x:c>
      <x:c r="M1424" s="9" t="n">
        <x:f>IF(D1424="Completed",I1424*J1424,0)</x:f>
        <x:v>945</x:v>
      </x:c>
      <x:c r="N1424" s="9" t="n">
        <x:f>M1424*K1424</x:f>
        <x:v>94.5</x:v>
      </x:c>
      <x:c r="O1424" s="9" t="n">
        <x:f>M1424-N1424</x:f>
        <x:v>850.5</x:v>
      </x:c>
      <x:c r="P1424" s="9" t="n">
        <x:f>IF(D1424="Completed",L1424*J1424*(1-K1424),0)</x:f>
        <x:v>0</x:v>
      </x:c>
      <x:c r="Q1424" s="9" t="n">
        <x:f>O1424-P1424</x:f>
        <x:v>850.5</x:v>
      </x:c>
      <x:c r="R1424" s="11" t="n">
        <x:f>IF(D1424="Completed",I1424,0)</x:f>
        <x:v>5</x:v>
      </x:c>
      <x:c r="S1424" s="11" t="n">
        <x:f>IF(D1424="Completed",L1424,0)</x:f>
        <x:v>0</x:v>
      </x:c>
      <x:c r="T1424" s="8" t="n">
        <x:f>DATE(YEAR(C1424),MONTH(C1424),1)</x:f>
        <x:v>45901</x:v>
      </x:c>
    </x:row>
    <x:row r="1425" ht="22" customHeight="1">
      <x:c r="A1425" s="2" t="str">
        <x:v>L001421</x:v>
      </x:c>
      <x:c r="B1425" s="2" t="str">
        <x:v>O00578</x:v>
      </x:c>
      <x:c r="C1425" s="7" t="n">
        <x:v>45904</x:v>
      </x:c>
      <x:c r="D1425" s="2" t="str">
        <x:v>Completed</x:v>
      </x:c>
      <x:c r="E1425" s="2" t="str">
        <x:v>West</x:v>
      </x:c>
      <x:c r="F1425" s="2" t="str">
        <x:v>Online</x:v>
      </x:c>
      <x:c r="G1425" s="2" t="str">
        <x:v>Storage</x:v>
      </x:c>
      <x:c r="H1425" s="2" t="str">
        <x:v>Shelf 019</x:v>
      </x:c>
      <x:c r="I1425" s="11" t="n">
        <x:v>2</x:v>
      </x:c>
      <x:c r="J1425" s="9" t="n">
        <x:v>78</x:v>
      </x:c>
      <x:c r="K1425" s="10" t="n">
        <x:v>0.1</x:v>
      </x:c>
      <x:c r="L1425" s="11" t="n">
        <x:v>0</x:v>
      </x:c>
      <x:c r="M1425" s="9" t="n">
        <x:f>IF(D1425="Completed",I1425*J1425,0)</x:f>
        <x:v>156</x:v>
      </x:c>
      <x:c r="N1425" s="9" t="n">
        <x:f>M1425*K1425</x:f>
        <x:v>15.600000000000001</x:v>
      </x:c>
      <x:c r="O1425" s="9" t="n">
        <x:f>M1425-N1425</x:f>
        <x:v>140.4</x:v>
      </x:c>
      <x:c r="P1425" s="9" t="n">
        <x:f>IF(D1425="Completed",L1425*J1425*(1-K1425),0)</x:f>
        <x:v>0</x:v>
      </x:c>
      <x:c r="Q1425" s="9" t="n">
        <x:f>O1425-P1425</x:f>
        <x:v>140.4</x:v>
      </x:c>
      <x:c r="R1425" s="11" t="n">
        <x:f>IF(D1425="Completed",I1425,0)</x:f>
        <x:v>2</x:v>
      </x:c>
      <x:c r="S1425" s="11" t="n">
        <x:f>IF(D1425="Completed",L1425,0)</x:f>
        <x:v>0</x:v>
      </x:c>
      <x:c r="T1425" s="8" t="n">
        <x:f>DATE(YEAR(C1425),MONTH(C1425),1)</x:f>
        <x:v>45901</x:v>
      </x:c>
    </x:row>
    <x:row r="1426" ht="22" customHeight="1">
      <x:c r="A1426" s="2" t="str">
        <x:v>L001422</x:v>
      </x:c>
      <x:c r="B1426" s="2" t="str">
        <x:v>O00578</x:v>
      </x:c>
      <x:c r="C1426" s="7" t="n">
        <x:v>45904</x:v>
      </x:c>
      <x:c r="D1426" s="2" t="str">
        <x:v>Completed</x:v>
      </x:c>
      <x:c r="E1426" s="2" t="str">
        <x:v>West</x:v>
      </x:c>
      <x:c r="F1426" s="2" t="str">
        <x:v>Online</x:v>
      </x:c>
      <x:c r="G1426" s="2" t="str">
        <x:v>Storage</x:v>
      </x:c>
      <x:c r="H1426" s="2" t="str">
        <x:v>Shelf 019</x:v>
      </x:c>
      <x:c r="I1426" s="11" t="n">
        <x:v>4</x:v>
      </x:c>
      <x:c r="J1426" s="9" t="n">
        <x:v>78</x:v>
      </x:c>
      <x:c r="K1426" s="10" t="n">
        <x:v>0.2</x:v>
      </x:c>
      <x:c r="L1426" s="11" t="n">
        <x:v>0</x:v>
      </x:c>
      <x:c r="M1426" s="9" t="n">
        <x:f>IF(D1426="Completed",I1426*J1426,0)</x:f>
        <x:v>312</x:v>
      </x:c>
      <x:c r="N1426" s="9" t="n">
        <x:f>M1426*K1426</x:f>
        <x:v>62.400000000000006</x:v>
      </x:c>
      <x:c r="O1426" s="9" t="n">
        <x:f>M1426-N1426</x:f>
        <x:v>249.6</x:v>
      </x:c>
      <x:c r="P1426" s="9" t="n">
        <x:f>IF(D1426="Completed",L1426*J1426*(1-K1426),0)</x:f>
        <x:v>0</x:v>
      </x:c>
      <x:c r="Q1426" s="9" t="n">
        <x:f>O1426-P1426</x:f>
        <x:v>249.6</x:v>
      </x:c>
      <x:c r="R1426" s="11" t="n">
        <x:f>IF(D1426="Completed",I1426,0)</x:f>
        <x:v>4</x:v>
      </x:c>
      <x:c r="S1426" s="11" t="n">
        <x:f>IF(D1426="Completed",L1426,0)</x:f>
        <x:v>0</x:v>
      </x:c>
      <x:c r="T1426" s="8" t="n">
        <x:f>DATE(YEAR(C1426),MONTH(C1426),1)</x:f>
        <x:v>45901</x:v>
      </x:c>
    </x:row>
    <x:row r="1427" ht="22" customHeight="1">
      <x:c r="A1427" s="2" t="str">
        <x:v>L001423</x:v>
      </x:c>
      <x:c r="B1427" s="2" t="str">
        <x:v>O00579</x:v>
      </x:c>
      <x:c r="C1427" s="7" t="n">
        <x:v>45977</x:v>
      </x:c>
      <x:c r="D1427" s="2" t="str">
        <x:v>Cancelled</x:v>
      </x:c>
      <x:c r="E1427" s="2" t="str">
        <x:v>South</x:v>
      </x:c>
      <x:c r="F1427" s="2" t="str">
        <x:v>Online</x:v>
      </x:c>
      <x:c r="G1427" s="2" t="str">
        <x:v>Furniture</x:v>
      </x:c>
      <x:c r="H1427" s="2" t="str">
        <x:v>Desk 024</x:v>
      </x:c>
      <x:c r="I1427" s="11" t="n">
        <x:v>4</x:v>
      </x:c>
      <x:c r="J1427" s="9" t="n">
        <x:v>81</x:v>
      </x:c>
      <x:c r="K1427" s="10" t="n">
        <x:v>0</x:v>
      </x:c>
      <x:c r="L1427" s="11" t="n">
        <x:v>0</x:v>
      </x:c>
      <x:c r="M1427" s="9" t="n">
        <x:f>IF(D1427="Completed",I1427*J1427,0)</x:f>
        <x:v>0</x:v>
      </x:c>
      <x:c r="N1427" s="9" t="n">
        <x:f>M1427*K1427</x:f>
        <x:v>0</x:v>
      </x:c>
      <x:c r="O1427" s="9" t="n">
        <x:f>M1427-N1427</x:f>
        <x:v>0</x:v>
      </x:c>
      <x:c r="P1427" s="9" t="n">
        <x:f>IF(D1427="Completed",L1427*J1427*(1-K1427),0)</x:f>
        <x:v>0</x:v>
      </x:c>
      <x:c r="Q1427" s="9" t="n">
        <x:f>O1427-P1427</x:f>
        <x:v>0</x:v>
      </x:c>
      <x:c r="R1427" s="11" t="n">
        <x:f>IF(D1427="Completed",I1427,0)</x:f>
        <x:v>0</x:v>
      </x:c>
      <x:c r="S1427" s="11" t="n">
        <x:f>IF(D1427="Completed",L1427,0)</x:f>
        <x:v>0</x:v>
      </x:c>
      <x:c r="T1427" s="8" t="n">
        <x:f>DATE(YEAR(C1427),MONTH(C1427),1)</x:f>
        <x:v>45962</x:v>
      </x:c>
    </x:row>
    <x:row r="1428" ht="22" customHeight="1">
      <x:c r="A1428" s="2" t="str">
        <x:v>L001424</x:v>
      </x:c>
      <x:c r="B1428" s="2" t="str">
        <x:v>O00579</x:v>
      </x:c>
      <x:c r="C1428" s="7" t="n">
        <x:v>45977</x:v>
      </x:c>
      <x:c r="D1428" s="2" t="str">
        <x:v>Cancelled</x:v>
      </x:c>
      <x:c r="E1428" s="2" t="str">
        <x:v>South</x:v>
      </x:c>
      <x:c r="F1428" s="2" t="str">
        <x:v>Online</x:v>
      </x:c>
      <x:c r="G1428" s="2" t="str">
        <x:v>Furniture</x:v>
      </x:c>
      <x:c r="H1428" s="2" t="str">
        <x:v>Chair 014</x:v>
      </x:c>
      <x:c r="I1428" s="11" t="n">
        <x:v>1</x:v>
      </x:c>
      <x:c r="J1428" s="9" t="n">
        <x:v>294</x:v>
      </x:c>
      <x:c r="K1428" s="10" t="n">
        <x:v>0</x:v>
      </x:c>
      <x:c r="L1428" s="11" t="n">
        <x:v>0</x:v>
      </x:c>
      <x:c r="M1428" s="9" t="n">
        <x:f>IF(D1428="Completed",I1428*J1428,0)</x:f>
        <x:v>0</x:v>
      </x:c>
      <x:c r="N1428" s="9" t="n">
        <x:f>M1428*K1428</x:f>
        <x:v>0</x:v>
      </x:c>
      <x:c r="O1428" s="9" t="n">
        <x:f>M1428-N1428</x:f>
        <x:v>0</x:v>
      </x:c>
      <x:c r="P1428" s="9" t="n">
        <x:f>IF(D1428="Completed",L1428*J1428*(1-K1428),0)</x:f>
        <x:v>0</x:v>
      </x:c>
      <x:c r="Q1428" s="9" t="n">
        <x:f>O1428-P1428</x:f>
        <x:v>0</x:v>
      </x:c>
      <x:c r="R1428" s="11" t="n">
        <x:f>IF(D1428="Completed",I1428,0)</x:f>
        <x:v>0</x:v>
      </x:c>
      <x:c r="S1428" s="11" t="n">
        <x:f>IF(D1428="Completed",L1428,0)</x:f>
        <x:v>0</x:v>
      </x:c>
      <x:c r="T1428" s="8" t="n">
        <x:f>DATE(YEAR(C1428),MONTH(C1428),1)</x:f>
        <x:v>45962</x:v>
      </x:c>
    </x:row>
    <x:row r="1429" ht="22" customHeight="1">
      <x:c r="A1429" s="2" t="str">
        <x:v>L001425</x:v>
      </x:c>
      <x:c r="B1429" s="2" t="str">
        <x:v>O00579</x:v>
      </x:c>
      <x:c r="C1429" s="7" t="n">
        <x:v>45977</x:v>
      </x:c>
      <x:c r="D1429" s="2" t="str">
        <x:v>Cancelled</x:v>
      </x:c>
      <x:c r="E1429" s="2" t="str">
        <x:v>South</x:v>
      </x:c>
      <x:c r="F1429" s="2" t="str">
        <x:v>Online</x:v>
      </x:c>
      <x:c r="G1429" s="2" t="str">
        <x:v>Furniture</x:v>
      </x:c>
      <x:c r="H1429" s="2" t="str">
        <x:v>Desk 004</x:v>
      </x:c>
      <x:c r="I1429" s="11" t="n">
        <x:v>3</x:v>
      </x:c>
      <x:c r="J1429" s="9" t="n">
        <x:v>123</x:v>
      </x:c>
      <x:c r="K1429" s="10" t="n">
        <x:v>0.2</x:v>
      </x:c>
      <x:c r="L1429" s="11" t="n">
        <x:v>0</x:v>
      </x:c>
      <x:c r="M1429" s="9" t="n">
        <x:f>IF(D1429="Completed",I1429*J1429,0)</x:f>
        <x:v>0</x:v>
      </x:c>
      <x:c r="N1429" s="9" t="n">
        <x:f>M1429*K1429</x:f>
        <x:v>0</x:v>
      </x:c>
      <x:c r="O1429" s="9" t="n">
        <x:f>M1429-N1429</x:f>
        <x:v>0</x:v>
      </x:c>
      <x:c r="P1429" s="9" t="n">
        <x:f>IF(D1429="Completed",L1429*J1429*(1-K1429),0)</x:f>
        <x:v>0</x:v>
      </x:c>
      <x:c r="Q1429" s="9" t="n">
        <x:f>O1429-P1429</x:f>
        <x:v>0</x:v>
      </x:c>
      <x:c r="R1429" s="11" t="n">
        <x:f>IF(D1429="Completed",I1429,0)</x:f>
        <x:v>0</x:v>
      </x:c>
      <x:c r="S1429" s="11" t="n">
        <x:f>IF(D1429="Completed",L1429,0)</x:f>
        <x:v>0</x:v>
      </x:c>
      <x:c r="T1429" s="8" t="n">
        <x:f>DATE(YEAR(C1429),MONTH(C1429),1)</x:f>
        <x:v>45962</x:v>
      </x:c>
    </x:row>
    <x:row r="1430" ht="22" customHeight="1">
      <x:c r="A1430" s="2" t="str">
        <x:v>L001426</x:v>
      </x:c>
      <x:c r="B1430" s="2" t="str">
        <x:v>O00579</x:v>
      </x:c>
      <x:c r="C1430" s="7" t="n">
        <x:v>45977</x:v>
      </x:c>
      <x:c r="D1430" s="2" t="str">
        <x:v>Cancelled</x:v>
      </x:c>
      <x:c r="E1430" s="2" t="str">
        <x:v>South</x:v>
      </x:c>
      <x:c r="F1430" s="2" t="str">
        <x:v>Online</x:v>
      </x:c>
      <x:c r="G1430" s="2" t="str">
        <x:v>Storage</x:v>
      </x:c>
      <x:c r="H1430" s="2" t="str">
        <x:v>Shelf 015</x:v>
      </x:c>
      <x:c r="I1430" s="11" t="n">
        <x:v>4</x:v>
      </x:c>
      <x:c r="J1430" s="9" t="n">
        <x:v>254</x:v>
      </x:c>
      <x:c r="K1430" s="10" t="n">
        <x:v>0.05</x:v>
      </x:c>
      <x:c r="L1430" s="11" t="n">
        <x:v>0</x:v>
      </x:c>
      <x:c r="M1430" s="9" t="n">
        <x:f>IF(D1430="Completed",I1430*J1430,0)</x:f>
        <x:v>0</x:v>
      </x:c>
      <x:c r="N1430" s="9" t="n">
        <x:f>M1430*K1430</x:f>
        <x:v>0</x:v>
      </x:c>
      <x:c r="O1430" s="9" t="n">
        <x:f>M1430-N1430</x:f>
        <x:v>0</x:v>
      </x:c>
      <x:c r="P1430" s="9" t="n">
        <x:f>IF(D1430="Completed",L1430*J1430*(1-K1430),0)</x:f>
        <x:v>0</x:v>
      </x:c>
      <x:c r="Q1430" s="9" t="n">
        <x:f>O1430-P1430</x:f>
        <x:v>0</x:v>
      </x:c>
      <x:c r="R1430" s="11" t="n">
        <x:f>IF(D1430="Completed",I1430,0)</x:f>
        <x:v>0</x:v>
      </x:c>
      <x:c r="S1430" s="11" t="n">
        <x:f>IF(D1430="Completed",L1430,0)</x:f>
        <x:v>0</x:v>
      </x:c>
      <x:c r="T1430" s="8" t="n">
        <x:f>DATE(YEAR(C1430),MONTH(C1430),1)</x:f>
        <x:v>45962</x:v>
      </x:c>
    </x:row>
    <x:row r="1431" ht="22" customHeight="1">
      <x:c r="A1431" s="2" t="str">
        <x:v>L001427</x:v>
      </x:c>
      <x:c r="B1431" s="2" t="str">
        <x:v>O00580</x:v>
      </x:c>
      <x:c r="C1431" s="7" t="n">
        <x:v>46012</x:v>
      </x:c>
      <x:c r="D1431" s="2" t="str">
        <x:v>Completed</x:v>
      </x:c>
      <x:c r="E1431" s="2" t="str">
        <x:v>South</x:v>
      </x:c>
      <x:c r="F1431" s="2" t="str">
        <x:v>Online</x:v>
      </x:c>
      <x:c r="G1431" s="2" t="str">
        <x:v>Storage</x:v>
      </x:c>
      <x:c r="H1431" s="2" t="str">
        <x:v>Shelf 007</x:v>
      </x:c>
      <x:c r="I1431" s="11" t="n">
        <x:v>3</x:v>
      </x:c>
      <x:c r="J1431" s="9" t="n">
        <x:v>35</x:v>
      </x:c>
      <x:c r="K1431" s="10" t="n">
        <x:v>0.1</x:v>
      </x:c>
      <x:c r="L1431" s="11" t="n">
        <x:v>0</x:v>
      </x:c>
      <x:c r="M1431" s="9" t="n">
        <x:f>IF(D1431="Completed",I1431*J1431,0)</x:f>
        <x:v>105</x:v>
      </x:c>
      <x:c r="N1431" s="9" t="n">
        <x:f>M1431*K1431</x:f>
        <x:v>10.5</x:v>
      </x:c>
      <x:c r="O1431" s="9" t="n">
        <x:f>M1431-N1431</x:f>
        <x:v>94.5</x:v>
      </x:c>
      <x:c r="P1431" s="9" t="n">
        <x:f>IF(D1431="Completed",L1431*J1431*(1-K1431),0)</x:f>
        <x:v>0</x:v>
      </x:c>
      <x:c r="Q1431" s="9" t="n">
        <x:f>O1431-P1431</x:f>
        <x:v>94.5</x:v>
      </x:c>
      <x:c r="R1431" s="11" t="n">
        <x:f>IF(D1431="Completed",I1431,0)</x:f>
        <x:v>3</x:v>
      </x:c>
      <x:c r="S1431" s="11" t="n">
        <x:f>IF(D1431="Completed",L1431,0)</x:f>
        <x:v>0</x:v>
      </x:c>
      <x:c r="T1431" s="8" t="n">
        <x:f>DATE(YEAR(C1431),MONTH(C1431),1)</x:f>
        <x:v>45992</x:v>
      </x:c>
    </x:row>
    <x:row r="1432" ht="22" customHeight="1">
      <x:c r="A1432" s="2" t="str">
        <x:v>L001428</x:v>
      </x:c>
      <x:c r="B1432" s="2" t="str">
        <x:v>O00580</x:v>
      </x:c>
      <x:c r="C1432" s="7" t="n">
        <x:v>46012</x:v>
      </x:c>
      <x:c r="D1432" s="2" t="str">
        <x:v>Completed</x:v>
      </x:c>
      <x:c r="E1432" s="2" t="str">
        <x:v>South</x:v>
      </x:c>
      <x:c r="F1432" s="2" t="str">
        <x:v>Online</x:v>
      </x:c>
      <x:c r="G1432" s="2" t="str">
        <x:v>Lighting</x:v>
      </x:c>
      <x:c r="H1432" s="2" t="str">
        <x:v>Lamp 009</x:v>
      </x:c>
      <x:c r="I1432" s="11" t="n">
        <x:v>5</x:v>
      </x:c>
      <x:c r="J1432" s="9" t="n">
        <x:v>93</x:v>
      </x:c>
      <x:c r="K1432" s="10" t="n">
        <x:v>0</x:v>
      </x:c>
      <x:c r="L1432" s="11" t="n">
        <x:v>0</x:v>
      </x:c>
      <x:c r="M1432" s="9" t="n">
        <x:f>IF(D1432="Completed",I1432*J1432,0)</x:f>
        <x:v>465</x:v>
      </x:c>
      <x:c r="N1432" s="9" t="n">
        <x:f>M1432*K1432</x:f>
        <x:v>0</x:v>
      </x:c>
      <x:c r="O1432" s="9" t="n">
        <x:f>M1432-N1432</x:f>
        <x:v>465</x:v>
      </x:c>
      <x:c r="P1432" s="9" t="n">
        <x:f>IF(D1432="Completed",L1432*J1432*(1-K1432),0)</x:f>
        <x:v>0</x:v>
      </x:c>
      <x:c r="Q1432" s="9" t="n">
        <x:f>O1432-P1432</x:f>
        <x:v>465</x:v>
      </x:c>
      <x:c r="R1432" s="11" t="n">
        <x:f>IF(D1432="Completed",I1432,0)</x:f>
        <x:v>5</x:v>
      </x:c>
      <x:c r="S1432" s="11" t="n">
        <x:f>IF(D1432="Completed",L1432,0)</x:f>
        <x:v>0</x:v>
      </x:c>
      <x:c r="T1432" s="8" t="n">
        <x:f>DATE(YEAR(C1432),MONTH(C1432),1)</x:f>
        <x:v>45992</x:v>
      </x:c>
    </x:row>
    <x:row r="1433" ht="22" customHeight="1">
      <x:c r="A1433" s="2" t="str">
        <x:v>L001429</x:v>
      </x:c>
      <x:c r="B1433" s="2" t="str">
        <x:v>O00581</x:v>
      </x:c>
      <x:c r="C1433" s="7" t="n">
        <x:v>45674</x:v>
      </x:c>
      <x:c r="D1433" s="2" t="str">
        <x:v>Completed</x:v>
      </x:c>
      <x:c r="E1433" s="2" t="str">
        <x:v>South</x:v>
      </x:c>
      <x:c r="F1433" s="2" t="str">
        <x:v>Store</x:v>
      </x:c>
      <x:c r="G1433" s="2" t="str">
        <x:v>Furniture</x:v>
      </x:c>
      <x:c r="H1433" s="2" t="str">
        <x:v>Chair 002</x:v>
      </x:c>
      <x:c r="I1433" s="11" t="n">
        <x:v>1</x:v>
      </x:c>
      <x:c r="J1433" s="9" t="n">
        <x:v>284</x:v>
      </x:c>
      <x:c r="K1433" s="10" t="n">
        <x:v>0.2</x:v>
      </x:c>
      <x:c r="L1433" s="11" t="n">
        <x:v>0</x:v>
      </x:c>
      <x:c r="M1433" s="9" t="n">
        <x:f>IF(D1433="Completed",I1433*J1433,0)</x:f>
        <x:v>284</x:v>
      </x:c>
      <x:c r="N1433" s="9" t="n">
        <x:f>M1433*K1433</x:f>
        <x:v>56.800000000000004</x:v>
      </x:c>
      <x:c r="O1433" s="9" t="n">
        <x:f>M1433-N1433</x:f>
        <x:v>227.2</x:v>
      </x:c>
      <x:c r="P1433" s="9" t="n">
        <x:f>IF(D1433="Completed",L1433*J1433*(1-K1433),0)</x:f>
        <x:v>0</x:v>
      </x:c>
      <x:c r="Q1433" s="9" t="n">
        <x:f>O1433-P1433</x:f>
        <x:v>227.2</x:v>
      </x:c>
      <x:c r="R1433" s="11" t="n">
        <x:f>IF(D1433="Completed",I1433,0)</x:f>
        <x:v>1</x:v>
      </x:c>
      <x:c r="S1433" s="11" t="n">
        <x:f>IF(D1433="Completed",L1433,0)</x:f>
        <x:v>0</x:v>
      </x:c>
      <x:c r="T1433" s="8" t="n">
        <x:f>DATE(YEAR(C1433),MONTH(C1433),1)</x:f>
        <x:v>45658</x:v>
      </x:c>
    </x:row>
    <x:row r="1434" ht="22" customHeight="1">
      <x:c r="A1434" s="2" t="str">
        <x:v>L001430</x:v>
      </x:c>
      <x:c r="B1434" s="2" t="str">
        <x:v>O00581</x:v>
      </x:c>
      <x:c r="C1434" s="7" t="n">
        <x:v>45674</x:v>
      </x:c>
      <x:c r="D1434" s="2" t="str">
        <x:v>Completed</x:v>
      </x:c>
      <x:c r="E1434" s="2" t="str">
        <x:v>South</x:v>
      </x:c>
      <x:c r="F1434" s="2" t="str">
        <x:v>Store</x:v>
      </x:c>
      <x:c r="G1434" s="2" t="str">
        <x:v>Furniture</x:v>
      </x:c>
      <x:c r="H1434" s="2" t="str">
        <x:v>Desk 004</x:v>
      </x:c>
      <x:c r="I1434" s="11" t="n">
        <x:v>5</x:v>
      </x:c>
      <x:c r="J1434" s="9" t="n">
        <x:v>123</x:v>
      </x:c>
      <x:c r="K1434" s="10" t="n">
        <x:v>0</x:v>
      </x:c>
      <x:c r="L1434" s="11" t="n">
        <x:v>0</x:v>
      </x:c>
      <x:c r="M1434" s="9" t="n">
        <x:f>IF(D1434="Completed",I1434*J1434,0)</x:f>
        <x:v>615</x:v>
      </x:c>
      <x:c r="N1434" s="9" t="n">
        <x:f>M1434*K1434</x:f>
        <x:v>0</x:v>
      </x:c>
      <x:c r="O1434" s="9" t="n">
        <x:f>M1434-N1434</x:f>
        <x:v>615</x:v>
      </x:c>
      <x:c r="P1434" s="9" t="n">
        <x:f>IF(D1434="Completed",L1434*J1434*(1-K1434),0)</x:f>
        <x:v>0</x:v>
      </x:c>
      <x:c r="Q1434" s="9" t="n">
        <x:f>O1434-P1434</x:f>
        <x:v>615</x:v>
      </x:c>
      <x:c r="R1434" s="11" t="n">
        <x:f>IF(D1434="Completed",I1434,0)</x:f>
        <x:v>5</x:v>
      </x:c>
      <x:c r="S1434" s="11" t="n">
        <x:f>IF(D1434="Completed",L1434,0)</x:f>
        <x:v>0</x:v>
      </x:c>
      <x:c r="T1434" s="8" t="n">
        <x:f>DATE(YEAR(C1434),MONTH(C1434),1)</x:f>
        <x:v>45658</x:v>
      </x:c>
    </x:row>
    <x:row r="1435" ht="22" customHeight="1">
      <x:c r="A1435" s="2" t="str">
        <x:v>L001431</x:v>
      </x:c>
      <x:c r="B1435" s="2" t="str">
        <x:v>O00582</x:v>
      </x:c>
      <x:c r="C1435" s="7" t="n">
        <x:v>45909</x:v>
      </x:c>
      <x:c r="D1435" s="2" t="str">
        <x:v>Completed</x:v>
      </x:c>
      <x:c r="E1435" s="2" t="str">
        <x:v>North</x:v>
      </x:c>
      <x:c r="F1435" s="2" t="str">
        <x:v>Online</x:v>
      </x:c>
      <x:c r="G1435" s="2" t="str">
        <x:v>Storage</x:v>
      </x:c>
      <x:c r="H1435" s="2" t="str">
        <x:v>Shelf 003</x:v>
      </x:c>
      <x:c r="I1435" s="11" t="n">
        <x:v>5</x:v>
      </x:c>
      <x:c r="J1435" s="9" t="n">
        <x:v>199</x:v>
      </x:c>
      <x:c r="K1435" s="10" t="n">
        <x:v>0.2</x:v>
      </x:c>
      <x:c r="L1435" s="11" t="n">
        <x:v>0</x:v>
      </x:c>
      <x:c r="M1435" s="9" t="n">
        <x:f>IF(D1435="Completed",I1435*J1435,0)</x:f>
        <x:v>995</x:v>
      </x:c>
      <x:c r="N1435" s="9" t="n">
        <x:f>M1435*K1435</x:f>
        <x:v>199</x:v>
      </x:c>
      <x:c r="O1435" s="9" t="n">
        <x:f>M1435-N1435</x:f>
        <x:v>796</x:v>
      </x:c>
      <x:c r="P1435" s="9" t="n">
        <x:f>IF(D1435="Completed",L1435*J1435*(1-K1435),0)</x:f>
        <x:v>0</x:v>
      </x:c>
      <x:c r="Q1435" s="9" t="n">
        <x:f>O1435-P1435</x:f>
        <x:v>796</x:v>
      </x:c>
      <x:c r="R1435" s="11" t="n">
        <x:f>IF(D1435="Completed",I1435,0)</x:f>
        <x:v>5</x:v>
      </x:c>
      <x:c r="S1435" s="11" t="n">
        <x:f>IF(D1435="Completed",L1435,0)</x:f>
        <x:v>0</x:v>
      </x:c>
      <x:c r="T1435" s="8" t="n">
        <x:f>DATE(YEAR(C1435),MONTH(C1435),1)</x:f>
        <x:v>45901</x:v>
      </x:c>
    </x:row>
    <x:row r="1436" ht="22" customHeight="1">
      <x:c r="A1436" s="2" t="str">
        <x:v>L001432</x:v>
      </x:c>
      <x:c r="B1436" s="2" t="str">
        <x:v>O00582</x:v>
      </x:c>
      <x:c r="C1436" s="7" t="n">
        <x:v>45909</x:v>
      </x:c>
      <x:c r="D1436" s="2" t="str">
        <x:v>Completed</x:v>
      </x:c>
      <x:c r="E1436" s="2" t="str">
        <x:v>North</x:v>
      </x:c>
      <x:c r="F1436" s="2" t="str">
        <x:v>Online</x:v>
      </x:c>
      <x:c r="G1436" s="2" t="str">
        <x:v>Furniture</x:v>
      </x:c>
      <x:c r="H1436" s="2" t="str">
        <x:v>Chair 018</x:v>
      </x:c>
      <x:c r="I1436" s="11" t="n">
        <x:v>5</x:v>
      </x:c>
      <x:c r="J1436" s="9" t="n">
        <x:v>269</x:v>
      </x:c>
      <x:c r="K1436" s="10" t="n">
        <x:v>0</x:v>
      </x:c>
      <x:c r="L1436" s="11" t="n">
        <x:v>0</x:v>
      </x:c>
      <x:c r="M1436" s="9" t="n">
        <x:f>IF(D1436="Completed",I1436*J1436,0)</x:f>
        <x:v>1345</x:v>
      </x:c>
      <x:c r="N1436" s="9" t="n">
        <x:f>M1436*K1436</x:f>
        <x:v>0</x:v>
      </x:c>
      <x:c r="O1436" s="9" t="n">
        <x:f>M1436-N1436</x:f>
        <x:v>1345</x:v>
      </x:c>
      <x:c r="P1436" s="9" t="n">
        <x:f>IF(D1436="Completed",L1436*J1436*(1-K1436),0)</x:f>
        <x:v>0</x:v>
      </x:c>
      <x:c r="Q1436" s="9" t="n">
        <x:f>O1436-P1436</x:f>
        <x:v>1345</x:v>
      </x:c>
      <x:c r="R1436" s="11" t="n">
        <x:f>IF(D1436="Completed",I1436,0)</x:f>
        <x:v>5</x:v>
      </x:c>
      <x:c r="S1436" s="11" t="n">
        <x:f>IF(D1436="Completed",L1436,0)</x:f>
        <x:v>0</x:v>
      </x:c>
      <x:c r="T1436" s="8" t="n">
        <x:f>DATE(YEAR(C1436),MONTH(C1436),1)</x:f>
        <x:v>45901</x:v>
      </x:c>
    </x:row>
    <x:row r="1437" ht="22" customHeight="1">
      <x:c r="A1437" s="2" t="str">
        <x:v>L001433</x:v>
      </x:c>
      <x:c r="B1437" s="2" t="str">
        <x:v>O00582</x:v>
      </x:c>
      <x:c r="C1437" s="7" t="n">
        <x:v>45909</x:v>
      </x:c>
      <x:c r="D1437" s="2" t="str">
        <x:v>Completed</x:v>
      </x:c>
      <x:c r="E1437" s="2" t="str">
        <x:v>North</x:v>
      </x:c>
      <x:c r="F1437" s="2" t="str">
        <x:v>Online</x:v>
      </x:c>
      <x:c r="G1437" s="2" t="str">
        <x:v>Storage</x:v>
      </x:c>
      <x:c r="H1437" s="2" t="str">
        <x:v>Shelf 003</x:v>
      </x:c>
      <x:c r="I1437" s="11" t="n">
        <x:v>3</x:v>
      </x:c>
      <x:c r="J1437" s="9" t="n">
        <x:v>199</x:v>
      </x:c>
      <x:c r="K1437" s="10" t="n">
        <x:v>0.1</x:v>
      </x:c>
      <x:c r="L1437" s="11" t="n">
        <x:v>0</x:v>
      </x:c>
      <x:c r="M1437" s="9" t="n">
        <x:f>IF(D1437="Completed",I1437*J1437,0)</x:f>
        <x:v>597</x:v>
      </x:c>
      <x:c r="N1437" s="9" t="n">
        <x:f>M1437*K1437</x:f>
        <x:v>59.7</x:v>
      </x:c>
      <x:c r="O1437" s="9" t="n">
        <x:f>M1437-N1437</x:f>
        <x:v>537.3</x:v>
      </x:c>
      <x:c r="P1437" s="9" t="n">
        <x:f>IF(D1437="Completed",L1437*J1437*(1-K1437),0)</x:f>
        <x:v>0</x:v>
      </x:c>
      <x:c r="Q1437" s="9" t="n">
        <x:f>O1437-P1437</x:f>
        <x:v>537.3</x:v>
      </x:c>
      <x:c r="R1437" s="11" t="n">
        <x:f>IF(D1437="Completed",I1437,0)</x:f>
        <x:v>3</x:v>
      </x:c>
      <x:c r="S1437" s="11" t="n">
        <x:f>IF(D1437="Completed",L1437,0)</x:f>
        <x:v>0</x:v>
      </x:c>
      <x:c r="T1437" s="8" t="n">
        <x:f>DATE(YEAR(C1437),MONTH(C1437),1)</x:f>
        <x:v>45901</x:v>
      </x:c>
    </x:row>
    <x:row r="1438" ht="22" customHeight="1">
      <x:c r="A1438" s="2" t="str">
        <x:v>L001434</x:v>
      </x:c>
      <x:c r="B1438" s="2" t="str">
        <x:v>O00582</x:v>
      </x:c>
      <x:c r="C1438" s="7" t="n">
        <x:v>45909</x:v>
      </x:c>
      <x:c r="D1438" s="2" t="str">
        <x:v>Completed</x:v>
      </x:c>
      <x:c r="E1438" s="2" t="str">
        <x:v>North</x:v>
      </x:c>
      <x:c r="F1438" s="2" t="str">
        <x:v>Online</x:v>
      </x:c>
      <x:c r="G1438" s="2" t="str">
        <x:v>Storage</x:v>
      </x:c>
      <x:c r="H1438" s="2" t="str">
        <x:v>Shelf 023</x:v>
      </x:c>
      <x:c r="I1438" s="11" t="n">
        <x:v>3</x:v>
      </x:c>
      <x:c r="J1438" s="9" t="n">
        <x:v>68</x:v>
      </x:c>
      <x:c r="K1438" s="10" t="n">
        <x:v>0.1</x:v>
      </x:c>
      <x:c r="L1438" s="11" t="n">
        <x:v>0</x:v>
      </x:c>
      <x:c r="M1438" s="9" t="n">
        <x:f>IF(D1438="Completed",I1438*J1438,0)</x:f>
        <x:v>204</x:v>
      </x:c>
      <x:c r="N1438" s="9" t="n">
        <x:f>M1438*K1438</x:f>
        <x:v>20.400000000000002</x:v>
      </x:c>
      <x:c r="O1438" s="9" t="n">
        <x:f>M1438-N1438</x:f>
        <x:v>183.6</x:v>
      </x:c>
      <x:c r="P1438" s="9" t="n">
        <x:f>IF(D1438="Completed",L1438*J1438*(1-K1438),0)</x:f>
        <x:v>0</x:v>
      </x:c>
      <x:c r="Q1438" s="9" t="n">
        <x:f>O1438-P1438</x:f>
        <x:v>183.6</x:v>
      </x:c>
      <x:c r="R1438" s="11" t="n">
        <x:f>IF(D1438="Completed",I1438,0)</x:f>
        <x:v>3</x:v>
      </x:c>
      <x:c r="S1438" s="11" t="n">
        <x:f>IF(D1438="Completed",L1438,0)</x:f>
        <x:v>0</x:v>
      </x:c>
      <x:c r="T1438" s="8" t="n">
        <x:f>DATE(YEAR(C1438),MONTH(C1438),1)</x:f>
        <x:v>45901</x:v>
      </x:c>
    </x:row>
    <x:row r="1439" ht="22" customHeight="1">
      <x:c r="A1439" s="2" t="str">
        <x:v>L001435</x:v>
      </x:c>
      <x:c r="B1439" s="2" t="str">
        <x:v>O00583</x:v>
      </x:c>
      <x:c r="C1439" s="7" t="n">
        <x:v>45944</x:v>
      </x:c>
      <x:c r="D1439" s="2" t="str">
        <x:v>Completed</x:v>
      </x:c>
      <x:c r="E1439" s="2" t="str">
        <x:v>North</x:v>
      </x:c>
      <x:c r="F1439" s="2" t="str">
        <x:v>Online</x:v>
      </x:c>
      <x:c r="G1439" s="2" t="str">
        <x:v>Furniture</x:v>
      </x:c>
      <x:c r="H1439" s="2" t="str">
        <x:v>Chair 022</x:v>
      </x:c>
      <x:c r="I1439" s="11" t="n">
        <x:v>1</x:v>
      </x:c>
      <x:c r="J1439" s="9" t="n">
        <x:v>134</x:v>
      </x:c>
      <x:c r="K1439" s="10" t="n">
        <x:v>0.05</x:v>
      </x:c>
      <x:c r="L1439" s="11" t="n">
        <x:v>0</x:v>
      </x:c>
      <x:c r="M1439" s="9" t="n">
        <x:f>IF(D1439="Completed",I1439*J1439,0)</x:f>
        <x:v>134</x:v>
      </x:c>
      <x:c r="N1439" s="9" t="n">
        <x:f>M1439*K1439</x:f>
        <x:v>6.7</x:v>
      </x:c>
      <x:c r="O1439" s="9" t="n">
        <x:f>M1439-N1439</x:f>
        <x:v>127.3</x:v>
      </x:c>
      <x:c r="P1439" s="9" t="n">
        <x:f>IF(D1439="Completed",L1439*J1439*(1-K1439),0)</x:f>
        <x:v>0</x:v>
      </x:c>
      <x:c r="Q1439" s="9" t="n">
        <x:f>O1439-P1439</x:f>
        <x:v>127.3</x:v>
      </x:c>
      <x:c r="R1439" s="11" t="n">
        <x:f>IF(D1439="Completed",I1439,0)</x:f>
        <x:v>1</x:v>
      </x:c>
      <x:c r="S1439" s="11" t="n">
        <x:f>IF(D1439="Completed",L1439,0)</x:f>
        <x:v>0</x:v>
      </x:c>
      <x:c r="T1439" s="8" t="n">
        <x:f>DATE(YEAR(C1439),MONTH(C1439),1)</x:f>
        <x:v>45931</x:v>
      </x:c>
    </x:row>
    <x:row r="1440" ht="22" customHeight="1">
      <x:c r="A1440" s="2" t="str">
        <x:v>L001436</x:v>
      </x:c>
      <x:c r="B1440" s="2" t="str">
        <x:v>O00584</x:v>
      </x:c>
      <x:c r="C1440" s="7" t="n">
        <x:v>45785</x:v>
      </x:c>
      <x:c r="D1440" s="2" t="str">
        <x:v>Cancelled</x:v>
      </x:c>
      <x:c r="E1440" s="2" t="str">
        <x:v>North</x:v>
      </x:c>
      <x:c r="F1440" s="2" t="str">
        <x:v>Online</x:v>
      </x:c>
      <x:c r="G1440" s="2" t="str">
        <x:v>Furniture</x:v>
      </x:c>
      <x:c r="H1440" s="2" t="str">
        <x:v>Desk 024</x:v>
      </x:c>
      <x:c r="I1440" s="11" t="n">
        <x:v>3</x:v>
      </x:c>
      <x:c r="J1440" s="9" t="n">
        <x:v>81</x:v>
      </x:c>
      <x:c r="K1440" s="10" t="n">
        <x:v>0</x:v>
      </x:c>
      <x:c r="L1440" s="11" t="n">
        <x:v>0</x:v>
      </x:c>
      <x:c r="M1440" s="9" t="n">
        <x:f>IF(D1440="Completed",I1440*J1440,0)</x:f>
        <x:v>0</x:v>
      </x:c>
      <x:c r="N1440" s="9" t="n">
        <x:f>M1440*K1440</x:f>
        <x:v>0</x:v>
      </x:c>
      <x:c r="O1440" s="9" t="n">
        <x:f>M1440-N1440</x:f>
        <x:v>0</x:v>
      </x:c>
      <x:c r="P1440" s="9" t="n">
        <x:f>IF(D1440="Completed",L1440*J1440*(1-K1440),0)</x:f>
        <x:v>0</x:v>
      </x:c>
      <x:c r="Q1440" s="9" t="n">
        <x:f>O1440-P1440</x:f>
        <x:v>0</x:v>
      </x:c>
      <x:c r="R1440" s="11" t="n">
        <x:f>IF(D1440="Completed",I1440,0)</x:f>
        <x:v>0</x:v>
      </x:c>
      <x:c r="S1440" s="11" t="n">
        <x:f>IF(D1440="Completed",L1440,0)</x:f>
        <x:v>0</x:v>
      </x:c>
      <x:c r="T1440" s="8" t="n">
        <x:f>DATE(YEAR(C1440),MONTH(C1440),1)</x:f>
        <x:v>45778</x:v>
      </x:c>
    </x:row>
    <x:row r="1441" ht="22" customHeight="1">
      <x:c r="A1441" s="2" t="str">
        <x:v>L001437</x:v>
      </x:c>
      <x:c r="B1441" s="2" t="str">
        <x:v>O00584</x:v>
      </x:c>
      <x:c r="C1441" s="7" t="n">
        <x:v>45785</x:v>
      </x:c>
      <x:c r="D1441" s="2" t="str">
        <x:v>Cancelled</x:v>
      </x:c>
      <x:c r="E1441" s="2" t="str">
        <x:v>North</x:v>
      </x:c>
      <x:c r="F1441" s="2" t="str">
        <x:v>Online</x:v>
      </x:c>
      <x:c r="G1441" s="2" t="str">
        <x:v>Lighting</x:v>
      </x:c>
      <x:c r="H1441" s="2" t="str">
        <x:v>Lamp 005</x:v>
      </x:c>
      <x:c r="I1441" s="11" t="n">
        <x:v>1</x:v>
      </x:c>
      <x:c r="J1441" s="9" t="n">
        <x:v>65</x:v>
      </x:c>
      <x:c r="K1441" s="10" t="n">
        <x:v>0</x:v>
      </x:c>
      <x:c r="L1441" s="11" t="n">
        <x:v>0</x:v>
      </x:c>
      <x:c r="M1441" s="9" t="n">
        <x:f>IF(D1441="Completed",I1441*J1441,0)</x:f>
        <x:v>0</x:v>
      </x:c>
      <x:c r="N1441" s="9" t="n">
        <x:f>M1441*K1441</x:f>
        <x:v>0</x:v>
      </x:c>
      <x:c r="O1441" s="9" t="n">
        <x:f>M1441-N1441</x:f>
        <x:v>0</x:v>
      </x:c>
      <x:c r="P1441" s="9" t="n">
        <x:f>IF(D1441="Completed",L1441*J1441*(1-K1441),0)</x:f>
        <x:v>0</x:v>
      </x:c>
      <x:c r="Q1441" s="9" t="n">
        <x:f>O1441-P1441</x:f>
        <x:v>0</x:v>
      </x:c>
      <x:c r="R1441" s="11" t="n">
        <x:f>IF(D1441="Completed",I1441,0)</x:f>
        <x:v>0</x:v>
      </x:c>
      <x:c r="S1441" s="11" t="n">
        <x:f>IF(D1441="Completed",L1441,0)</x:f>
        <x:v>0</x:v>
      </x:c>
      <x:c r="T1441" s="8" t="n">
        <x:f>DATE(YEAR(C1441),MONTH(C1441),1)</x:f>
        <x:v>45778</x:v>
      </x:c>
    </x:row>
    <x:row r="1442" ht="22" customHeight="1">
      <x:c r="A1442" s="2" t="str">
        <x:v>L001438</x:v>
      </x:c>
      <x:c r="B1442" s="2" t="str">
        <x:v>O00585</x:v>
      </x:c>
      <x:c r="C1442" s="7" t="n">
        <x:v>45852</x:v>
      </x:c>
      <x:c r="D1442" s="2" t="str">
        <x:v>Cancelled</x:v>
      </x:c>
      <x:c r="E1442" s="2" t="str">
        <x:v>South</x:v>
      </x:c>
      <x:c r="F1442" s="2" t="str">
        <x:v>Store</x:v>
      </x:c>
      <x:c r="G1442" s="2" t="str">
        <x:v>Lighting</x:v>
      </x:c>
      <x:c r="H1442" s="2" t="str">
        <x:v>Lamp 009</x:v>
      </x:c>
      <x:c r="I1442" s="11" t="n">
        <x:v>5</x:v>
      </x:c>
      <x:c r="J1442" s="9" t="n">
        <x:v>93</x:v>
      </x:c>
      <x:c r="K1442" s="10" t="n">
        <x:v>0.1</x:v>
      </x:c>
      <x:c r="L1442" s="11" t="n">
        <x:v>0</x:v>
      </x:c>
      <x:c r="M1442" s="9" t="n">
        <x:f>IF(D1442="Completed",I1442*J1442,0)</x:f>
        <x:v>0</x:v>
      </x:c>
      <x:c r="N1442" s="9" t="n">
        <x:f>M1442*K1442</x:f>
        <x:v>0</x:v>
      </x:c>
      <x:c r="O1442" s="9" t="n">
        <x:f>M1442-N1442</x:f>
        <x:v>0</x:v>
      </x:c>
      <x:c r="P1442" s="9" t="n">
        <x:f>IF(D1442="Completed",L1442*J1442*(1-K1442),0)</x:f>
        <x:v>0</x:v>
      </x:c>
      <x:c r="Q1442" s="9" t="n">
        <x:f>O1442-P1442</x:f>
        <x:v>0</x:v>
      </x:c>
      <x:c r="R1442" s="11" t="n">
        <x:f>IF(D1442="Completed",I1442,0)</x:f>
        <x:v>0</x:v>
      </x:c>
      <x:c r="S1442" s="11" t="n">
        <x:f>IF(D1442="Completed",L1442,0)</x:f>
        <x:v>0</x:v>
      </x:c>
      <x:c r="T1442" s="8" t="n">
        <x:f>DATE(YEAR(C1442),MONTH(C1442),1)</x:f>
        <x:v>45839</x:v>
      </x:c>
    </x:row>
    <x:row r="1443" ht="22" customHeight="1">
      <x:c r="A1443" s="2" t="str">
        <x:v>L001439</x:v>
      </x:c>
      <x:c r="B1443" s="2" t="str">
        <x:v>O00586</x:v>
      </x:c>
      <x:c r="C1443" s="7" t="n">
        <x:v>46006</x:v>
      </x:c>
      <x:c r="D1443" s="2" t="str">
        <x:v>Completed</x:v>
      </x:c>
      <x:c r="E1443" s="2" t="str">
        <x:v>West</x:v>
      </x:c>
      <x:c r="F1443" s="2" t="str">
        <x:v>Store</x:v>
      </x:c>
      <x:c r="G1443" s="2" t="str">
        <x:v>Furniture</x:v>
      </x:c>
      <x:c r="H1443" s="2" t="str">
        <x:v>Desk 004</x:v>
      </x:c>
      <x:c r="I1443" s="11" t="n">
        <x:v>5</x:v>
      </x:c>
      <x:c r="J1443" s="9" t="n">
        <x:v>123</x:v>
      </x:c>
      <x:c r="K1443" s="10" t="n">
        <x:v>0.1</x:v>
      </x:c>
      <x:c r="L1443" s="11" t="n">
        <x:v>0</x:v>
      </x:c>
      <x:c r="M1443" s="9" t="n">
        <x:f>IF(D1443="Completed",I1443*J1443,0)</x:f>
        <x:v>615</x:v>
      </x:c>
      <x:c r="N1443" s="9" t="n">
        <x:f>M1443*K1443</x:f>
        <x:v>61.5</x:v>
      </x:c>
      <x:c r="O1443" s="9" t="n">
        <x:f>M1443-N1443</x:f>
        <x:v>553.5</x:v>
      </x:c>
      <x:c r="P1443" s="9" t="n">
        <x:f>IF(D1443="Completed",L1443*J1443*(1-K1443),0)</x:f>
        <x:v>0</x:v>
      </x:c>
      <x:c r="Q1443" s="9" t="n">
        <x:f>O1443-P1443</x:f>
        <x:v>553.5</x:v>
      </x:c>
      <x:c r="R1443" s="11" t="n">
        <x:f>IF(D1443="Completed",I1443,0)</x:f>
        <x:v>5</x:v>
      </x:c>
      <x:c r="S1443" s="11" t="n">
        <x:f>IF(D1443="Completed",L1443,0)</x:f>
        <x:v>0</x:v>
      </x:c>
      <x:c r="T1443" s="8" t="n">
        <x:f>DATE(YEAR(C1443),MONTH(C1443),1)</x:f>
        <x:v>45992</x:v>
      </x:c>
    </x:row>
    <x:row r="1444" ht="22" customHeight="1">
      <x:c r="A1444" s="2" t="str">
        <x:v>L001440</x:v>
      </x:c>
      <x:c r="B1444" s="2" t="str">
        <x:v>O00586</x:v>
      </x:c>
      <x:c r="C1444" s="7" t="n">
        <x:v>46006</x:v>
      </x:c>
      <x:c r="D1444" s="2" t="str">
        <x:v>Completed</x:v>
      </x:c>
      <x:c r="E1444" s="2" t="str">
        <x:v>West</x:v>
      </x:c>
      <x:c r="F1444" s="2" t="str">
        <x:v>Store</x:v>
      </x:c>
      <x:c r="G1444" s="2" t="str">
        <x:v>Storage</x:v>
      </x:c>
      <x:c r="H1444" s="2" t="str">
        <x:v>Shelf 011</x:v>
      </x:c>
      <x:c r="I1444" s="11" t="n">
        <x:v>2</x:v>
      </x:c>
      <x:c r="J1444" s="9" t="n">
        <x:v>80</x:v>
      </x:c>
      <x:c r="K1444" s="10" t="n">
        <x:v>0.2</x:v>
      </x:c>
      <x:c r="L1444" s="11" t="n">
        <x:v>0</x:v>
      </x:c>
      <x:c r="M1444" s="9" t="n">
        <x:f>IF(D1444="Completed",I1444*J1444,0)</x:f>
        <x:v>160</x:v>
      </x:c>
      <x:c r="N1444" s="9" t="n">
        <x:f>M1444*K1444</x:f>
        <x:v>32</x:v>
      </x:c>
      <x:c r="O1444" s="9" t="n">
        <x:f>M1444-N1444</x:f>
        <x:v>128</x:v>
      </x:c>
      <x:c r="P1444" s="9" t="n">
        <x:f>IF(D1444="Completed",L1444*J1444*(1-K1444),0)</x:f>
        <x:v>0</x:v>
      </x:c>
      <x:c r="Q1444" s="9" t="n">
        <x:f>O1444-P1444</x:f>
        <x:v>128</x:v>
      </x:c>
      <x:c r="R1444" s="11" t="n">
        <x:f>IF(D1444="Completed",I1444,0)</x:f>
        <x:v>2</x:v>
      </x:c>
      <x:c r="S1444" s="11" t="n">
        <x:f>IF(D1444="Completed",L1444,0)</x:f>
        <x:v>0</x:v>
      </x:c>
      <x:c r="T1444" s="8" t="n">
        <x:f>DATE(YEAR(C1444),MONTH(C1444),1)</x:f>
        <x:v>45992</x:v>
      </x:c>
    </x:row>
    <x:row r="1445" ht="22" customHeight="1">
      <x:c r="A1445" s="2" t="str">
        <x:v>L001441</x:v>
      </x:c>
      <x:c r="B1445" s="2" t="str">
        <x:v>O00586</x:v>
      </x:c>
      <x:c r="C1445" s="7" t="n">
        <x:v>46006</x:v>
      </x:c>
      <x:c r="D1445" s="2" t="str">
        <x:v>Completed</x:v>
      </x:c>
      <x:c r="E1445" s="2" t="str">
        <x:v>West</x:v>
      </x:c>
      <x:c r="F1445" s="2" t="str">
        <x:v>Store</x:v>
      </x:c>
      <x:c r="G1445" s="2" t="str">
        <x:v>Lighting</x:v>
      </x:c>
      <x:c r="H1445" s="2" t="str">
        <x:v>Lamp 013</x:v>
      </x:c>
      <x:c r="I1445" s="11" t="n">
        <x:v>5</x:v>
      </x:c>
      <x:c r="J1445" s="9" t="n">
        <x:v>271</x:v>
      </x:c>
      <x:c r="K1445" s="10" t="n">
        <x:v>0.2</x:v>
      </x:c>
      <x:c r="L1445" s="11" t="n">
        <x:v>0</x:v>
      </x:c>
      <x:c r="M1445" s="9" t="n">
        <x:f>IF(D1445="Completed",I1445*J1445,0)</x:f>
        <x:v>1355</x:v>
      </x:c>
      <x:c r="N1445" s="9" t="n">
        <x:f>M1445*K1445</x:f>
        <x:v>271</x:v>
      </x:c>
      <x:c r="O1445" s="9" t="n">
        <x:f>M1445-N1445</x:f>
        <x:v>1084</x:v>
      </x:c>
      <x:c r="P1445" s="9" t="n">
        <x:f>IF(D1445="Completed",L1445*J1445*(1-K1445),0)</x:f>
        <x:v>0</x:v>
      </x:c>
      <x:c r="Q1445" s="9" t="n">
        <x:f>O1445-P1445</x:f>
        <x:v>1084</x:v>
      </x:c>
      <x:c r="R1445" s="11" t="n">
        <x:f>IF(D1445="Completed",I1445,0)</x:f>
        <x:v>5</x:v>
      </x:c>
      <x:c r="S1445" s="11" t="n">
        <x:f>IF(D1445="Completed",L1445,0)</x:f>
        <x:v>0</x:v>
      </x:c>
      <x:c r="T1445" s="8" t="n">
        <x:f>DATE(YEAR(C1445),MONTH(C1445),1)</x:f>
        <x:v>45992</x:v>
      </x:c>
    </x:row>
    <x:row r="1446" ht="22" customHeight="1">
      <x:c r="A1446" s="2" t="str">
        <x:v>L001442</x:v>
      </x:c>
      <x:c r="B1446" s="2" t="str">
        <x:v>O00587</x:v>
      </x:c>
      <x:c r="C1446" s="7" t="n">
        <x:v>45807</x:v>
      </x:c>
      <x:c r="D1446" s="2" t="str">
        <x:v>Completed</x:v>
      </x:c>
      <x:c r="E1446" s="2" t="str">
        <x:v>South</x:v>
      </x:c>
      <x:c r="F1446" s="2" t="str">
        <x:v>Store</x:v>
      </x:c>
      <x:c r="G1446" s="2" t="str">
        <x:v>Lighting</x:v>
      </x:c>
      <x:c r="H1446" s="2" t="str">
        <x:v>Lamp 013</x:v>
      </x:c>
      <x:c r="I1446" s="11" t="n">
        <x:v>4</x:v>
      </x:c>
      <x:c r="J1446" s="9" t="n">
        <x:v>271</x:v>
      </x:c>
      <x:c r="K1446" s="10" t="n">
        <x:v>0</x:v>
      </x:c>
      <x:c r="L1446" s="11" t="n">
        <x:v>0</x:v>
      </x:c>
      <x:c r="M1446" s="9" t="n">
        <x:f>IF(D1446="Completed",I1446*J1446,0)</x:f>
        <x:v>1084</x:v>
      </x:c>
      <x:c r="N1446" s="9" t="n">
        <x:f>M1446*K1446</x:f>
        <x:v>0</x:v>
      </x:c>
      <x:c r="O1446" s="9" t="n">
        <x:f>M1446-N1446</x:f>
        <x:v>1084</x:v>
      </x:c>
      <x:c r="P1446" s="9" t="n">
        <x:f>IF(D1446="Completed",L1446*J1446*(1-K1446),0)</x:f>
        <x:v>0</x:v>
      </x:c>
      <x:c r="Q1446" s="9" t="n">
        <x:f>O1446-P1446</x:f>
        <x:v>1084</x:v>
      </x:c>
      <x:c r="R1446" s="11" t="n">
        <x:f>IF(D1446="Completed",I1446,0)</x:f>
        <x:v>4</x:v>
      </x:c>
      <x:c r="S1446" s="11" t="n">
        <x:f>IF(D1446="Completed",L1446,0)</x:f>
        <x:v>0</x:v>
      </x:c>
      <x:c r="T1446" s="8" t="n">
        <x:f>DATE(YEAR(C1446),MONTH(C1446),1)</x:f>
        <x:v>45778</x:v>
      </x:c>
    </x:row>
    <x:row r="1447" ht="22" customHeight="1">
      <x:c r="A1447" s="2" t="str">
        <x:v>L001443</x:v>
      </x:c>
      <x:c r="B1447" s="2" t="str">
        <x:v>O00587</x:v>
      </x:c>
      <x:c r="C1447" s="7" t="n">
        <x:v>45807</x:v>
      </x:c>
      <x:c r="D1447" s="2" t="str">
        <x:v>Completed</x:v>
      </x:c>
      <x:c r="E1447" s="2" t="str">
        <x:v>South</x:v>
      </x:c>
      <x:c r="F1447" s="2" t="str">
        <x:v>Store</x:v>
      </x:c>
      <x:c r="G1447" s="2" t="str">
        <x:v>Furniture</x:v>
      </x:c>
      <x:c r="H1447" s="2" t="str">
        <x:v>Desk 012</x:v>
      </x:c>
      <x:c r="I1447" s="11" t="n">
        <x:v>4</x:v>
      </x:c>
      <x:c r="J1447" s="9" t="n">
        <x:v>134</x:v>
      </x:c>
      <x:c r="K1447" s="10" t="n">
        <x:v>0.1</x:v>
      </x:c>
      <x:c r="L1447" s="11" t="n">
        <x:v>0</x:v>
      </x:c>
      <x:c r="M1447" s="9" t="n">
        <x:f>IF(D1447="Completed",I1447*J1447,0)</x:f>
        <x:v>536</x:v>
      </x:c>
      <x:c r="N1447" s="9" t="n">
        <x:f>M1447*K1447</x:f>
        <x:v>53.6</x:v>
      </x:c>
      <x:c r="O1447" s="9" t="n">
        <x:f>M1447-N1447</x:f>
        <x:v>482.4</x:v>
      </x:c>
      <x:c r="P1447" s="9" t="n">
        <x:f>IF(D1447="Completed",L1447*J1447*(1-K1447),0)</x:f>
        <x:v>0</x:v>
      </x:c>
      <x:c r="Q1447" s="9" t="n">
        <x:f>O1447-P1447</x:f>
        <x:v>482.4</x:v>
      </x:c>
      <x:c r="R1447" s="11" t="n">
        <x:f>IF(D1447="Completed",I1447,0)</x:f>
        <x:v>4</x:v>
      </x:c>
      <x:c r="S1447" s="11" t="n">
        <x:f>IF(D1447="Completed",L1447,0)</x:f>
        <x:v>0</x:v>
      </x:c>
      <x:c r="T1447" s="8" t="n">
        <x:f>DATE(YEAR(C1447),MONTH(C1447),1)</x:f>
        <x:v>45778</x:v>
      </x:c>
    </x:row>
    <x:row r="1448" ht="22" customHeight="1">
      <x:c r="A1448" s="2" t="str">
        <x:v>L001444</x:v>
      </x:c>
      <x:c r="B1448" s="2" t="str">
        <x:v>O00587</x:v>
      </x:c>
      <x:c r="C1448" s="7" t="n">
        <x:v>45807</x:v>
      </x:c>
      <x:c r="D1448" s="2" t="str">
        <x:v>Completed</x:v>
      </x:c>
      <x:c r="E1448" s="2" t="str">
        <x:v>South</x:v>
      </x:c>
      <x:c r="F1448" s="2" t="str">
        <x:v>Store</x:v>
      </x:c>
      <x:c r="G1448" s="2" t="str">
        <x:v>Lighting</x:v>
      </x:c>
      <x:c r="H1448" s="2" t="str">
        <x:v>Lamp 021</x:v>
      </x:c>
      <x:c r="I1448" s="11" t="n">
        <x:v>1</x:v>
      </x:c>
      <x:c r="J1448" s="9" t="n">
        <x:v>249</x:v>
      </x:c>
      <x:c r="K1448" s="10" t="n">
        <x:v>0.1</x:v>
      </x:c>
      <x:c r="L1448" s="11" t="n">
        <x:v>0</x:v>
      </x:c>
      <x:c r="M1448" s="9" t="n">
        <x:f>IF(D1448="Completed",I1448*J1448,0)</x:f>
        <x:v>249</x:v>
      </x:c>
      <x:c r="N1448" s="9" t="n">
        <x:f>M1448*K1448</x:f>
        <x:v>24.900000000000002</x:v>
      </x:c>
      <x:c r="O1448" s="9" t="n">
        <x:f>M1448-N1448</x:f>
        <x:v>224.1</x:v>
      </x:c>
      <x:c r="P1448" s="9" t="n">
        <x:f>IF(D1448="Completed",L1448*J1448*(1-K1448),0)</x:f>
        <x:v>0</x:v>
      </x:c>
      <x:c r="Q1448" s="9" t="n">
        <x:f>O1448-P1448</x:f>
        <x:v>224.1</x:v>
      </x:c>
      <x:c r="R1448" s="11" t="n">
        <x:f>IF(D1448="Completed",I1448,0)</x:f>
        <x:v>1</x:v>
      </x:c>
      <x:c r="S1448" s="11" t="n">
        <x:f>IF(D1448="Completed",L1448,0)</x:f>
        <x:v>0</x:v>
      </x:c>
      <x:c r="T1448" s="8" t="n">
        <x:f>DATE(YEAR(C1448),MONTH(C1448),1)</x:f>
        <x:v>45778</x:v>
      </x:c>
    </x:row>
    <x:row r="1449" ht="22" customHeight="1">
      <x:c r="A1449" s="2" t="str">
        <x:v>L001445</x:v>
      </x:c>
      <x:c r="B1449" s="2" t="str">
        <x:v>O00588</x:v>
      </x:c>
      <x:c r="C1449" s="7" t="n">
        <x:v>45800</x:v>
      </x:c>
      <x:c r="D1449" s="2" t="str">
        <x:v>Completed</x:v>
      </x:c>
      <x:c r="E1449" s="2" t="str">
        <x:v>West</x:v>
      </x:c>
      <x:c r="F1449" s="2" t="str">
        <x:v>Store</x:v>
      </x:c>
      <x:c r="G1449" s="2" t="str">
        <x:v>Storage</x:v>
      </x:c>
      <x:c r="H1449" s="2" t="str">
        <x:v>Shelf 019</x:v>
      </x:c>
      <x:c r="I1449" s="11" t="n">
        <x:v>4</x:v>
      </x:c>
      <x:c r="J1449" s="9" t="n">
        <x:v>78</x:v>
      </x:c>
      <x:c r="K1449" s="10" t="n">
        <x:v>0.2</x:v>
      </x:c>
      <x:c r="L1449" s="11" t="n">
        <x:v>0</x:v>
      </x:c>
      <x:c r="M1449" s="9" t="n">
        <x:f>IF(D1449="Completed",I1449*J1449,0)</x:f>
        <x:v>312</x:v>
      </x:c>
      <x:c r="N1449" s="9" t="n">
        <x:f>M1449*K1449</x:f>
        <x:v>62.400000000000006</x:v>
      </x:c>
      <x:c r="O1449" s="9" t="n">
        <x:f>M1449-N1449</x:f>
        <x:v>249.6</x:v>
      </x:c>
      <x:c r="P1449" s="9" t="n">
        <x:f>IF(D1449="Completed",L1449*J1449*(1-K1449),0)</x:f>
        <x:v>0</x:v>
      </x:c>
      <x:c r="Q1449" s="9" t="n">
        <x:f>O1449-P1449</x:f>
        <x:v>249.6</x:v>
      </x:c>
      <x:c r="R1449" s="11" t="n">
        <x:f>IF(D1449="Completed",I1449,0)</x:f>
        <x:v>4</x:v>
      </x:c>
      <x:c r="S1449" s="11" t="n">
        <x:f>IF(D1449="Completed",L1449,0)</x:f>
        <x:v>0</x:v>
      </x:c>
      <x:c r="T1449" s="8" t="n">
        <x:f>DATE(YEAR(C1449),MONTH(C1449),1)</x:f>
        <x:v>45778</x:v>
      </x:c>
    </x:row>
    <x:row r="1450" ht="22" customHeight="1">
      <x:c r="A1450" s="2" t="str">
        <x:v>L001446</x:v>
      </x:c>
      <x:c r="B1450" s="2" t="str">
        <x:v>O00589</x:v>
      </x:c>
      <x:c r="C1450" s="7" t="n">
        <x:v>45867</x:v>
      </x:c>
      <x:c r="D1450" s="2" t="str">
        <x:v>Completed</x:v>
      </x:c>
      <x:c r="E1450" s="2" t="str">
        <x:v>East</x:v>
      </x:c>
      <x:c r="F1450" s="2" t="str">
        <x:v>Online</x:v>
      </x:c>
      <x:c r="G1450" s="2" t="str">
        <x:v>Lighting</x:v>
      </x:c>
      <x:c r="H1450" s="2" t="str">
        <x:v>Lamp 017</x:v>
      </x:c>
      <x:c r="I1450" s="11" t="n">
        <x:v>2</x:v>
      </x:c>
      <x:c r="J1450" s="9" t="n">
        <x:v>300</x:v>
      </x:c>
      <x:c r="K1450" s="10" t="n">
        <x:v>0.2</x:v>
      </x:c>
      <x:c r="L1450" s="11" t="n">
        <x:v>0</x:v>
      </x:c>
      <x:c r="M1450" s="9" t="n">
        <x:f>IF(D1450="Completed",I1450*J1450,0)</x:f>
        <x:v>600</x:v>
      </x:c>
      <x:c r="N1450" s="9" t="n">
        <x:f>M1450*K1450</x:f>
        <x:v>120</x:v>
      </x:c>
      <x:c r="O1450" s="9" t="n">
        <x:f>M1450-N1450</x:f>
        <x:v>480</x:v>
      </x:c>
      <x:c r="P1450" s="9" t="n">
        <x:f>IF(D1450="Completed",L1450*J1450*(1-K1450),0)</x:f>
        <x:v>0</x:v>
      </x:c>
      <x:c r="Q1450" s="9" t="n">
        <x:f>O1450-P1450</x:f>
        <x:v>480</x:v>
      </x:c>
      <x:c r="R1450" s="11" t="n">
        <x:f>IF(D1450="Completed",I1450,0)</x:f>
        <x:v>2</x:v>
      </x:c>
      <x:c r="S1450" s="11" t="n">
        <x:f>IF(D1450="Completed",L1450,0)</x:f>
        <x:v>0</x:v>
      </x:c>
      <x:c r="T1450" s="8" t="n">
        <x:f>DATE(YEAR(C1450),MONTH(C1450),1)</x:f>
        <x:v>45839</x:v>
      </x:c>
    </x:row>
    <x:row r="1451" ht="22" customHeight="1">
      <x:c r="A1451" s="2" t="str">
        <x:v>L001447</x:v>
      </x:c>
      <x:c r="B1451" s="2" t="str">
        <x:v>O00590</x:v>
      </x:c>
      <x:c r="C1451" s="7" t="n">
        <x:v>45815</x:v>
      </x:c>
      <x:c r="D1451" s="2" t="str">
        <x:v>Completed</x:v>
      </x:c>
      <x:c r="E1451" s="2" t="str">
        <x:v>South</x:v>
      </x:c>
      <x:c r="F1451" s="2" t="str">
        <x:v>Online</x:v>
      </x:c>
      <x:c r="G1451" s="2" t="str">
        <x:v>Lighting</x:v>
      </x:c>
      <x:c r="H1451" s="2" t="str">
        <x:v>Lamp 013</x:v>
      </x:c>
      <x:c r="I1451" s="11" t="n">
        <x:v>2</x:v>
      </x:c>
      <x:c r="J1451" s="9" t="n">
        <x:v>271</x:v>
      </x:c>
      <x:c r="K1451" s="10" t="n">
        <x:v>0</x:v>
      </x:c>
      <x:c r="L1451" s="11" t="n">
        <x:v>0</x:v>
      </x:c>
      <x:c r="M1451" s="9" t="n">
        <x:f>IF(D1451="Completed",I1451*J1451,0)</x:f>
        <x:v>542</x:v>
      </x:c>
      <x:c r="N1451" s="9" t="n">
        <x:f>M1451*K1451</x:f>
        <x:v>0</x:v>
      </x:c>
      <x:c r="O1451" s="9" t="n">
        <x:f>M1451-N1451</x:f>
        <x:v>542</x:v>
      </x:c>
      <x:c r="P1451" s="9" t="n">
        <x:f>IF(D1451="Completed",L1451*J1451*(1-K1451),0)</x:f>
        <x:v>0</x:v>
      </x:c>
      <x:c r="Q1451" s="9" t="n">
        <x:f>O1451-P1451</x:f>
        <x:v>542</x:v>
      </x:c>
      <x:c r="R1451" s="11" t="n">
        <x:f>IF(D1451="Completed",I1451,0)</x:f>
        <x:v>2</x:v>
      </x:c>
      <x:c r="S1451" s="11" t="n">
        <x:f>IF(D1451="Completed",L1451,0)</x:f>
        <x:v>0</x:v>
      </x:c>
      <x:c r="T1451" s="8" t="n">
        <x:f>DATE(YEAR(C1451),MONTH(C1451),1)</x:f>
        <x:v>45809</x:v>
      </x:c>
    </x:row>
    <x:row r="1452" ht="22" customHeight="1">
      <x:c r="A1452" s="2" t="str">
        <x:v>L001448</x:v>
      </x:c>
      <x:c r="B1452" s="2" t="str">
        <x:v>O00590</x:v>
      </x:c>
      <x:c r="C1452" s="7" t="n">
        <x:v>45815</x:v>
      </x:c>
      <x:c r="D1452" s="2" t="str">
        <x:v>Completed</x:v>
      </x:c>
      <x:c r="E1452" s="2" t="str">
        <x:v>South</x:v>
      </x:c>
      <x:c r="F1452" s="2" t="str">
        <x:v>Online</x:v>
      </x:c>
      <x:c r="G1452" s="2" t="str">
        <x:v>Furniture</x:v>
      </x:c>
      <x:c r="H1452" s="2" t="str">
        <x:v>Desk 004</x:v>
      </x:c>
      <x:c r="I1452" s="11" t="n">
        <x:v>4</x:v>
      </x:c>
      <x:c r="J1452" s="9" t="n">
        <x:v>123</x:v>
      </x:c>
      <x:c r="K1452" s="10" t="n">
        <x:v>0.05</x:v>
      </x:c>
      <x:c r="L1452" s="11" t="n">
        <x:v>0</x:v>
      </x:c>
      <x:c r="M1452" s="9" t="n">
        <x:f>IF(D1452="Completed",I1452*J1452,0)</x:f>
        <x:v>492</x:v>
      </x:c>
      <x:c r="N1452" s="9" t="n">
        <x:f>M1452*K1452</x:f>
        <x:v>24.6</x:v>
      </x:c>
      <x:c r="O1452" s="9" t="n">
        <x:f>M1452-N1452</x:f>
        <x:v>467.4</x:v>
      </x:c>
      <x:c r="P1452" s="9" t="n">
        <x:f>IF(D1452="Completed",L1452*J1452*(1-K1452),0)</x:f>
        <x:v>0</x:v>
      </x:c>
      <x:c r="Q1452" s="9" t="n">
        <x:f>O1452-P1452</x:f>
        <x:v>467.4</x:v>
      </x:c>
      <x:c r="R1452" s="11" t="n">
        <x:f>IF(D1452="Completed",I1452,0)</x:f>
        <x:v>4</x:v>
      </x:c>
      <x:c r="S1452" s="11" t="n">
        <x:f>IF(D1452="Completed",L1452,0)</x:f>
        <x:v>0</x:v>
      </x:c>
      <x:c r="T1452" s="8" t="n">
        <x:f>DATE(YEAR(C1452),MONTH(C1452),1)</x:f>
        <x:v>45809</x:v>
      </x:c>
    </x:row>
    <x:row r="1453" ht="22" customHeight="1">
      <x:c r="A1453" s="2" t="str">
        <x:v>L001449</x:v>
      </x:c>
      <x:c r="B1453" s="2" t="str">
        <x:v>O00590</x:v>
      </x:c>
      <x:c r="C1453" s="7" t="n">
        <x:v>45815</x:v>
      </x:c>
      <x:c r="D1453" s="2" t="str">
        <x:v>Completed</x:v>
      </x:c>
      <x:c r="E1453" s="2" t="str">
        <x:v>South</x:v>
      </x:c>
      <x:c r="F1453" s="2" t="str">
        <x:v>Online</x:v>
      </x:c>
      <x:c r="G1453" s="2" t="str">
        <x:v>Lighting</x:v>
      </x:c>
      <x:c r="H1453" s="2" t="str">
        <x:v>Lamp 005</x:v>
      </x:c>
      <x:c r="I1453" s="11" t="n">
        <x:v>4</x:v>
      </x:c>
      <x:c r="J1453" s="9" t="n">
        <x:v>65</x:v>
      </x:c>
      <x:c r="K1453" s="10" t="n">
        <x:v>0</x:v>
      </x:c>
      <x:c r="L1453" s="11" t="n">
        <x:v>0</x:v>
      </x:c>
      <x:c r="M1453" s="9" t="n">
        <x:f>IF(D1453="Completed",I1453*J1453,0)</x:f>
        <x:v>260</x:v>
      </x:c>
      <x:c r="N1453" s="9" t="n">
        <x:f>M1453*K1453</x:f>
        <x:v>0</x:v>
      </x:c>
      <x:c r="O1453" s="9" t="n">
        <x:f>M1453-N1453</x:f>
        <x:v>260</x:v>
      </x:c>
      <x:c r="P1453" s="9" t="n">
        <x:f>IF(D1453="Completed",L1453*J1453*(1-K1453),0)</x:f>
        <x:v>0</x:v>
      </x:c>
      <x:c r="Q1453" s="9" t="n">
        <x:f>O1453-P1453</x:f>
        <x:v>260</x:v>
      </x:c>
      <x:c r="R1453" s="11" t="n">
        <x:f>IF(D1453="Completed",I1453,0)</x:f>
        <x:v>4</x:v>
      </x:c>
      <x:c r="S1453" s="11" t="n">
        <x:f>IF(D1453="Completed",L1453,0)</x:f>
        <x:v>0</x:v>
      </x:c>
      <x:c r="T1453" s="8" t="n">
        <x:f>DATE(YEAR(C1453),MONTH(C1453),1)</x:f>
        <x:v>45809</x:v>
      </x:c>
    </x:row>
    <x:row r="1454" ht="22" customHeight="1">
      <x:c r="A1454" s="2" t="str">
        <x:v>L001450</x:v>
      </x:c>
      <x:c r="B1454" s="2" t="str">
        <x:v>O00590</x:v>
      </x:c>
      <x:c r="C1454" s="7" t="n">
        <x:v>45815</x:v>
      </x:c>
      <x:c r="D1454" s="2" t="str">
        <x:v>Completed</x:v>
      </x:c>
      <x:c r="E1454" s="2" t="str">
        <x:v>South</x:v>
      </x:c>
      <x:c r="F1454" s="2" t="str">
        <x:v>Online</x:v>
      </x:c>
      <x:c r="G1454" s="2" t="str">
        <x:v>Furniture</x:v>
      </x:c>
      <x:c r="H1454" s="2" t="str">
        <x:v>Desk 008</x:v>
      </x:c>
      <x:c r="I1454" s="11" t="n">
        <x:v>4</x:v>
      </x:c>
      <x:c r="J1454" s="9" t="n">
        <x:v>188</x:v>
      </x:c>
      <x:c r="K1454" s="10" t="n">
        <x:v>0</x:v>
      </x:c>
      <x:c r="L1454" s="11" t="n">
        <x:v>0</x:v>
      </x:c>
      <x:c r="M1454" s="9" t="n">
        <x:f>IF(D1454="Completed",I1454*J1454,0)</x:f>
        <x:v>752</x:v>
      </x:c>
      <x:c r="N1454" s="9" t="n">
        <x:f>M1454*K1454</x:f>
        <x:v>0</x:v>
      </x:c>
      <x:c r="O1454" s="9" t="n">
        <x:f>M1454-N1454</x:f>
        <x:v>752</x:v>
      </x:c>
      <x:c r="P1454" s="9" t="n">
        <x:f>IF(D1454="Completed",L1454*J1454*(1-K1454),0)</x:f>
        <x:v>0</x:v>
      </x:c>
      <x:c r="Q1454" s="9" t="n">
        <x:f>O1454-P1454</x:f>
        <x:v>752</x:v>
      </x:c>
      <x:c r="R1454" s="11" t="n">
        <x:f>IF(D1454="Completed",I1454,0)</x:f>
        <x:v>4</x:v>
      </x:c>
      <x:c r="S1454" s="11" t="n">
        <x:f>IF(D1454="Completed",L1454,0)</x:f>
        <x:v>0</x:v>
      </x:c>
      <x:c r="T1454" s="8" t="n">
        <x:f>DATE(YEAR(C1454),MONTH(C1454),1)</x:f>
        <x:v>45809</x:v>
      </x:c>
    </x:row>
    <x:row r="1455" ht="22" customHeight="1">
      <x:c r="A1455" s="2" t="str">
        <x:v>L001451</x:v>
      </x:c>
      <x:c r="B1455" s="2" t="str">
        <x:v>O00591</x:v>
      </x:c>
      <x:c r="C1455" s="7" t="n">
        <x:v>45658</x:v>
      </x:c>
      <x:c r="D1455" s="2" t="str">
        <x:v>Completed</x:v>
      </x:c>
      <x:c r="E1455" s="2" t="str">
        <x:v>West</x:v>
      </x:c>
      <x:c r="F1455" s="2" t="str">
        <x:v>Store</x:v>
      </x:c>
      <x:c r="G1455" s="2" t="str">
        <x:v>Furniture</x:v>
      </x:c>
      <x:c r="H1455" s="2" t="str">
        <x:v>Desk 008</x:v>
      </x:c>
      <x:c r="I1455" s="11" t="n">
        <x:v>3</x:v>
      </x:c>
      <x:c r="J1455" s="9" t="n">
        <x:v>188</x:v>
      </x:c>
      <x:c r="K1455" s="10" t="n">
        <x:v>0.05</x:v>
      </x:c>
      <x:c r="L1455" s="11" t="n">
        <x:v>0</x:v>
      </x:c>
      <x:c r="M1455" s="9" t="n">
        <x:f>IF(D1455="Completed",I1455*J1455,0)</x:f>
        <x:v>564</x:v>
      </x:c>
      <x:c r="N1455" s="9" t="n">
        <x:f>M1455*K1455</x:f>
        <x:v>28.200000000000003</x:v>
      </x:c>
      <x:c r="O1455" s="9" t="n">
        <x:f>M1455-N1455</x:f>
        <x:v>535.8</x:v>
      </x:c>
      <x:c r="P1455" s="9" t="n">
        <x:f>IF(D1455="Completed",L1455*J1455*(1-K1455),0)</x:f>
        <x:v>0</x:v>
      </x:c>
      <x:c r="Q1455" s="9" t="n">
        <x:f>O1455-P1455</x:f>
        <x:v>535.8</x:v>
      </x:c>
      <x:c r="R1455" s="11" t="n">
        <x:f>IF(D1455="Completed",I1455,0)</x:f>
        <x:v>3</x:v>
      </x:c>
      <x:c r="S1455" s="11" t="n">
        <x:f>IF(D1455="Completed",L1455,0)</x:f>
        <x:v>0</x:v>
      </x:c>
      <x:c r="T1455" s="8" t="n">
        <x:f>DATE(YEAR(C1455),MONTH(C1455),1)</x:f>
        <x:v>45658</x:v>
      </x:c>
    </x:row>
    <x:row r="1456" ht="22" customHeight="1">
      <x:c r="A1456" s="2" t="str">
        <x:v>L001452</x:v>
      </x:c>
      <x:c r="B1456" s="2" t="str">
        <x:v>O00591</x:v>
      </x:c>
      <x:c r="C1456" s="7" t="n">
        <x:v>45658</x:v>
      </x:c>
      <x:c r="D1456" s="2" t="str">
        <x:v>Completed</x:v>
      </x:c>
      <x:c r="E1456" s="2" t="str">
        <x:v>West</x:v>
      </x:c>
      <x:c r="F1456" s="2" t="str">
        <x:v>Store</x:v>
      </x:c>
      <x:c r="G1456" s="2" t="str">
        <x:v>Lighting</x:v>
      </x:c>
      <x:c r="H1456" s="2" t="str">
        <x:v>Lamp 001</x:v>
      </x:c>
      <x:c r="I1456" s="11" t="n">
        <x:v>4</x:v>
      </x:c>
      <x:c r="J1456" s="9" t="n">
        <x:v>122</x:v>
      </x:c>
      <x:c r="K1456" s="10" t="n">
        <x:v>0</x:v>
      </x:c>
      <x:c r="L1456" s="11" t="n">
        <x:v>0</x:v>
      </x:c>
      <x:c r="M1456" s="9" t="n">
        <x:f>IF(D1456="Completed",I1456*J1456,0)</x:f>
        <x:v>488</x:v>
      </x:c>
      <x:c r="N1456" s="9" t="n">
        <x:f>M1456*K1456</x:f>
        <x:v>0</x:v>
      </x:c>
      <x:c r="O1456" s="9" t="n">
        <x:f>M1456-N1456</x:f>
        <x:v>488</x:v>
      </x:c>
      <x:c r="P1456" s="9" t="n">
        <x:f>IF(D1456="Completed",L1456*J1456*(1-K1456),0)</x:f>
        <x:v>0</x:v>
      </x:c>
      <x:c r="Q1456" s="9" t="n">
        <x:f>O1456-P1456</x:f>
        <x:v>488</x:v>
      </x:c>
      <x:c r="R1456" s="11" t="n">
        <x:f>IF(D1456="Completed",I1456,0)</x:f>
        <x:v>4</x:v>
      </x:c>
      <x:c r="S1456" s="11" t="n">
        <x:f>IF(D1456="Completed",L1456,0)</x:f>
        <x:v>0</x:v>
      </x:c>
      <x:c r="T1456" s="8" t="n">
        <x:f>DATE(YEAR(C1456),MONTH(C1456),1)</x:f>
        <x:v>45658</x:v>
      </x:c>
    </x:row>
    <x:row r="1457" ht="22" customHeight="1">
      <x:c r="A1457" s="2" t="str">
        <x:v>L001453</x:v>
      </x:c>
      <x:c r="B1457" s="2" t="str">
        <x:v>O00592</x:v>
      </x:c>
      <x:c r="C1457" s="7" t="n">
        <x:v>45819</x:v>
      </x:c>
      <x:c r="D1457" s="2" t="str">
        <x:v>Completed</x:v>
      </x:c>
      <x:c r="E1457" s="2" t="str">
        <x:v>East</x:v>
      </x:c>
      <x:c r="F1457" s="2" t="str">
        <x:v>Online</x:v>
      </x:c>
      <x:c r="G1457" s="2" t="str">
        <x:v>Storage</x:v>
      </x:c>
      <x:c r="H1457" s="2" t="str">
        <x:v>Shelf 007</x:v>
      </x:c>
      <x:c r="I1457" s="11" t="n">
        <x:v>5</x:v>
      </x:c>
      <x:c r="J1457" s="9" t="n">
        <x:v>35</x:v>
      </x:c>
      <x:c r="K1457" s="10" t="n">
        <x:v>0.05</x:v>
      </x:c>
      <x:c r="L1457" s="11" t="n">
        <x:v>5</x:v>
      </x:c>
      <x:c r="M1457" s="9" t="n">
        <x:f>IF(D1457="Completed",I1457*J1457,0)</x:f>
        <x:v>175</x:v>
      </x:c>
      <x:c r="N1457" s="9" t="n">
        <x:f>M1457*K1457</x:f>
        <x:v>8.75</x:v>
      </x:c>
      <x:c r="O1457" s="9" t="n">
        <x:f>M1457-N1457</x:f>
        <x:v>166.25</x:v>
      </x:c>
      <x:c r="P1457" s="9" t="n">
        <x:f>IF(D1457="Completed",L1457*J1457*(1-K1457),0)</x:f>
        <x:v>166.25</x:v>
      </x:c>
      <x:c r="Q1457" s="9" t="n">
        <x:f>O1457-P1457</x:f>
        <x:v>0</x:v>
      </x:c>
      <x:c r="R1457" s="11" t="n">
        <x:f>IF(D1457="Completed",I1457,0)</x:f>
        <x:v>5</x:v>
      </x:c>
      <x:c r="S1457" s="11" t="n">
        <x:f>IF(D1457="Completed",L1457,0)</x:f>
        <x:v>5</x:v>
      </x:c>
      <x:c r="T1457" s="8" t="n">
        <x:f>DATE(YEAR(C1457),MONTH(C1457),1)</x:f>
        <x:v>45809</x:v>
      </x:c>
    </x:row>
    <x:row r="1458" ht="22" customHeight="1">
      <x:c r="A1458" s="2" t="str">
        <x:v>L001454</x:v>
      </x:c>
      <x:c r="B1458" s="2" t="str">
        <x:v>O00593</x:v>
      </x:c>
      <x:c r="C1458" s="7" t="n">
        <x:v>45785</x:v>
      </x:c>
      <x:c r="D1458" s="2" t="str">
        <x:v>Completed</x:v>
      </x:c>
      <x:c r="E1458" s="2" t="str">
        <x:v>West</x:v>
      </x:c>
      <x:c r="F1458" s="2" t="str">
        <x:v>Store</x:v>
      </x:c>
      <x:c r="G1458" s="2" t="str">
        <x:v>Storage</x:v>
      </x:c>
      <x:c r="H1458" s="2" t="str">
        <x:v>Shelf 015</x:v>
      </x:c>
      <x:c r="I1458" s="11" t="n">
        <x:v>1</x:v>
      </x:c>
      <x:c r="J1458" s="9" t="n">
        <x:v>254</x:v>
      </x:c>
      <x:c r="K1458" s="10" t="n">
        <x:v>0.1</x:v>
      </x:c>
      <x:c r="L1458" s="11" t="n">
        <x:v>0</x:v>
      </x:c>
      <x:c r="M1458" s="9" t="n">
        <x:f>IF(D1458="Completed",I1458*J1458,0)</x:f>
        <x:v>254</x:v>
      </x:c>
      <x:c r="N1458" s="9" t="n">
        <x:f>M1458*K1458</x:f>
        <x:v>25.400000000000002</x:v>
      </x:c>
      <x:c r="O1458" s="9" t="n">
        <x:f>M1458-N1458</x:f>
        <x:v>228.6</x:v>
      </x:c>
      <x:c r="P1458" s="9" t="n">
        <x:f>IF(D1458="Completed",L1458*J1458*(1-K1458),0)</x:f>
        <x:v>0</x:v>
      </x:c>
      <x:c r="Q1458" s="9" t="n">
        <x:f>O1458-P1458</x:f>
        <x:v>228.6</x:v>
      </x:c>
      <x:c r="R1458" s="11" t="n">
        <x:f>IF(D1458="Completed",I1458,0)</x:f>
        <x:v>1</x:v>
      </x:c>
      <x:c r="S1458" s="11" t="n">
        <x:f>IF(D1458="Completed",L1458,0)</x:f>
        <x:v>0</x:v>
      </x:c>
      <x:c r="T1458" s="8" t="n">
        <x:f>DATE(YEAR(C1458),MONTH(C1458),1)</x:f>
        <x:v>45778</x:v>
      </x:c>
    </x:row>
    <x:row r="1459" ht="22" customHeight="1">
      <x:c r="A1459" s="2" t="str">
        <x:v>L001455</x:v>
      </x:c>
      <x:c r="B1459" s="2" t="str">
        <x:v>O00593</x:v>
      </x:c>
      <x:c r="C1459" s="7" t="n">
        <x:v>45785</x:v>
      </x:c>
      <x:c r="D1459" s="2" t="str">
        <x:v>Completed</x:v>
      </x:c>
      <x:c r="E1459" s="2" t="str">
        <x:v>West</x:v>
      </x:c>
      <x:c r="F1459" s="2" t="str">
        <x:v>Store</x:v>
      </x:c>
      <x:c r="G1459" s="2" t="str">
        <x:v>Lighting</x:v>
      </x:c>
      <x:c r="H1459" s="2" t="str">
        <x:v>Lamp 013</x:v>
      </x:c>
      <x:c r="I1459" s="11" t="n">
        <x:v>5</x:v>
      </x:c>
      <x:c r="J1459" s="9" t="n">
        <x:v>271</x:v>
      </x:c>
      <x:c r="K1459" s="10" t="n">
        <x:v>0.05</x:v>
      </x:c>
      <x:c r="L1459" s="11" t="n">
        <x:v>0</x:v>
      </x:c>
      <x:c r="M1459" s="9" t="n">
        <x:f>IF(D1459="Completed",I1459*J1459,0)</x:f>
        <x:v>1355</x:v>
      </x:c>
      <x:c r="N1459" s="9" t="n">
        <x:f>M1459*K1459</x:f>
        <x:v>67.75</x:v>
      </x:c>
      <x:c r="O1459" s="9" t="n">
        <x:f>M1459-N1459</x:f>
        <x:v>1287.25</x:v>
      </x:c>
      <x:c r="P1459" s="9" t="n">
        <x:f>IF(D1459="Completed",L1459*J1459*(1-K1459),0)</x:f>
        <x:v>0</x:v>
      </x:c>
      <x:c r="Q1459" s="9" t="n">
        <x:f>O1459-P1459</x:f>
        <x:v>1287.25</x:v>
      </x:c>
      <x:c r="R1459" s="11" t="n">
        <x:f>IF(D1459="Completed",I1459,0)</x:f>
        <x:v>5</x:v>
      </x:c>
      <x:c r="S1459" s="11" t="n">
        <x:f>IF(D1459="Completed",L1459,0)</x:f>
        <x:v>0</x:v>
      </x:c>
      <x:c r="T1459" s="8" t="n">
        <x:f>DATE(YEAR(C1459),MONTH(C1459),1)</x:f>
        <x:v>45778</x:v>
      </x:c>
    </x:row>
    <x:row r="1460" ht="22" customHeight="1">
      <x:c r="A1460" s="2" t="str">
        <x:v>L001456</x:v>
      </x:c>
      <x:c r="B1460" s="2" t="str">
        <x:v>O00594</x:v>
      </x:c>
      <x:c r="C1460" s="7" t="n">
        <x:v>45883</x:v>
      </x:c>
      <x:c r="D1460" s="2" t="str">
        <x:v>Completed</x:v>
      </x:c>
      <x:c r="E1460" s="2" t="str">
        <x:v>North</x:v>
      </x:c>
      <x:c r="F1460" s="2" t="str">
        <x:v>Online</x:v>
      </x:c>
      <x:c r="G1460" s="2" t="str">
        <x:v>Storage</x:v>
      </x:c>
      <x:c r="H1460" s="2" t="str">
        <x:v>Shelf 023</x:v>
      </x:c>
      <x:c r="I1460" s="11" t="n">
        <x:v>4</x:v>
      </x:c>
      <x:c r="J1460" s="9" t="n">
        <x:v>68</x:v>
      </x:c>
      <x:c r="K1460" s="10" t="n">
        <x:v>0.2</x:v>
      </x:c>
      <x:c r="L1460" s="11" t="n">
        <x:v>0</x:v>
      </x:c>
      <x:c r="M1460" s="9" t="n">
        <x:f>IF(D1460="Completed",I1460*J1460,0)</x:f>
        <x:v>272</x:v>
      </x:c>
      <x:c r="N1460" s="9" t="n">
        <x:f>M1460*K1460</x:f>
        <x:v>54.400000000000006</x:v>
      </x:c>
      <x:c r="O1460" s="9" t="n">
        <x:f>M1460-N1460</x:f>
        <x:v>217.6</x:v>
      </x:c>
      <x:c r="P1460" s="9" t="n">
        <x:f>IF(D1460="Completed",L1460*J1460*(1-K1460),0)</x:f>
        <x:v>0</x:v>
      </x:c>
      <x:c r="Q1460" s="9" t="n">
        <x:f>O1460-P1460</x:f>
        <x:v>217.6</x:v>
      </x:c>
      <x:c r="R1460" s="11" t="n">
        <x:f>IF(D1460="Completed",I1460,0)</x:f>
        <x:v>4</x:v>
      </x:c>
      <x:c r="S1460" s="11" t="n">
        <x:f>IF(D1460="Completed",L1460,0)</x:f>
        <x:v>0</x:v>
      </x:c>
      <x:c r="T1460" s="8" t="n">
        <x:f>DATE(YEAR(C1460),MONTH(C1460),1)</x:f>
        <x:v>45870</x:v>
      </x:c>
    </x:row>
    <x:row r="1461" ht="22" customHeight="1">
      <x:c r="A1461" s="2" t="str">
        <x:v>L001457</x:v>
      </x:c>
      <x:c r="B1461" s="2" t="str">
        <x:v>O00595</x:v>
      </x:c>
      <x:c r="C1461" s="7" t="n">
        <x:v>45669</x:v>
      </x:c>
      <x:c r="D1461" s="2" t="str">
        <x:v>Completed</x:v>
      </x:c>
      <x:c r="E1461" s="2" t="str">
        <x:v>South</x:v>
      </x:c>
      <x:c r="F1461" s="2" t="str">
        <x:v>Store</x:v>
      </x:c>
      <x:c r="G1461" s="2" t="str">
        <x:v>Lighting</x:v>
      </x:c>
      <x:c r="H1461" s="2" t="str">
        <x:v>Lamp 001</x:v>
      </x:c>
      <x:c r="I1461" s="11" t="n">
        <x:v>2</x:v>
      </x:c>
      <x:c r="J1461" s="9" t="n">
        <x:v>122</x:v>
      </x:c>
      <x:c r="K1461" s="10" t="n">
        <x:v>0.05</x:v>
      </x:c>
      <x:c r="L1461" s="11" t="n">
        <x:v>1</x:v>
      </x:c>
      <x:c r="M1461" s="9" t="n">
        <x:f>IF(D1461="Completed",I1461*J1461,0)</x:f>
        <x:v>244</x:v>
      </x:c>
      <x:c r="N1461" s="9" t="n">
        <x:f>M1461*K1461</x:f>
        <x:v>12.200000000000001</x:v>
      </x:c>
      <x:c r="O1461" s="9" t="n">
        <x:f>M1461-N1461</x:f>
        <x:v>231.8</x:v>
      </x:c>
      <x:c r="P1461" s="9" t="n">
        <x:f>IF(D1461="Completed",L1461*J1461*(1-K1461),0)</x:f>
        <x:v>115.89999999999999</x:v>
      </x:c>
      <x:c r="Q1461" s="9" t="n">
        <x:f>O1461-P1461</x:f>
        <x:v>115.90000000000002</x:v>
      </x:c>
      <x:c r="R1461" s="11" t="n">
        <x:f>IF(D1461="Completed",I1461,0)</x:f>
        <x:v>2</x:v>
      </x:c>
      <x:c r="S1461" s="11" t="n">
        <x:f>IF(D1461="Completed",L1461,0)</x:f>
        <x:v>1</x:v>
      </x:c>
      <x:c r="T1461" s="8" t="n">
        <x:f>DATE(YEAR(C1461),MONTH(C1461),1)</x:f>
        <x:v>45658</x:v>
      </x:c>
    </x:row>
    <x:row r="1462" ht="22" customHeight="1">
      <x:c r="A1462" s="2" t="str">
        <x:v>L001458</x:v>
      </x:c>
      <x:c r="B1462" s="2" t="str">
        <x:v>O00595</x:v>
      </x:c>
      <x:c r="C1462" s="7" t="n">
        <x:v>45669</x:v>
      </x:c>
      <x:c r="D1462" s="2" t="str">
        <x:v>Completed</x:v>
      </x:c>
      <x:c r="E1462" s="2" t="str">
        <x:v>South</x:v>
      </x:c>
      <x:c r="F1462" s="2" t="str">
        <x:v>Store</x:v>
      </x:c>
      <x:c r="G1462" s="2" t="str">
        <x:v>Lighting</x:v>
      </x:c>
      <x:c r="H1462" s="2" t="str">
        <x:v>Lamp 001</x:v>
      </x:c>
      <x:c r="I1462" s="11" t="n">
        <x:v>2</x:v>
      </x:c>
      <x:c r="J1462" s="9" t="n">
        <x:v>122</x:v>
      </x:c>
      <x:c r="K1462" s="10" t="n">
        <x:v>0.05</x:v>
      </x:c>
      <x:c r="L1462" s="11" t="n">
        <x:v>0</x:v>
      </x:c>
      <x:c r="M1462" s="9" t="n">
        <x:f>IF(D1462="Completed",I1462*J1462,0)</x:f>
        <x:v>244</x:v>
      </x:c>
      <x:c r="N1462" s="9" t="n">
        <x:f>M1462*K1462</x:f>
        <x:v>12.200000000000001</x:v>
      </x:c>
      <x:c r="O1462" s="9" t="n">
        <x:f>M1462-N1462</x:f>
        <x:v>231.8</x:v>
      </x:c>
      <x:c r="P1462" s="9" t="n">
        <x:f>IF(D1462="Completed",L1462*J1462*(1-K1462),0)</x:f>
        <x:v>0</x:v>
      </x:c>
      <x:c r="Q1462" s="9" t="n">
        <x:f>O1462-P1462</x:f>
        <x:v>231.8</x:v>
      </x:c>
      <x:c r="R1462" s="11" t="n">
        <x:f>IF(D1462="Completed",I1462,0)</x:f>
        <x:v>2</x:v>
      </x:c>
      <x:c r="S1462" s="11" t="n">
        <x:f>IF(D1462="Completed",L1462,0)</x:f>
        <x:v>0</x:v>
      </x:c>
      <x:c r="T1462" s="8" t="n">
        <x:f>DATE(YEAR(C1462),MONTH(C1462),1)</x:f>
        <x:v>45658</x:v>
      </x:c>
    </x:row>
    <x:row r="1463" ht="22" customHeight="1">
      <x:c r="A1463" s="2" t="str">
        <x:v>L001459</x:v>
      </x:c>
      <x:c r="B1463" s="2" t="str">
        <x:v>O00595</x:v>
      </x:c>
      <x:c r="C1463" s="7" t="n">
        <x:v>45669</x:v>
      </x:c>
      <x:c r="D1463" s="2" t="str">
        <x:v>Completed</x:v>
      </x:c>
      <x:c r="E1463" s="2" t="str">
        <x:v>South</x:v>
      </x:c>
      <x:c r="F1463" s="2" t="str">
        <x:v>Store</x:v>
      </x:c>
      <x:c r="G1463" s="2" t="str">
        <x:v>Furniture</x:v>
      </x:c>
      <x:c r="H1463" s="2" t="str">
        <x:v>Desk 004</x:v>
      </x:c>
      <x:c r="I1463" s="11" t="n">
        <x:v>5</x:v>
      </x:c>
      <x:c r="J1463" s="9" t="n">
        <x:v>123</x:v>
      </x:c>
      <x:c r="K1463" s="10" t="n">
        <x:v>0.1</x:v>
      </x:c>
      <x:c r="L1463" s="11" t="n">
        <x:v>0</x:v>
      </x:c>
      <x:c r="M1463" s="9" t="n">
        <x:f>IF(D1463="Completed",I1463*J1463,0)</x:f>
        <x:v>615</x:v>
      </x:c>
      <x:c r="N1463" s="9" t="n">
        <x:f>M1463*K1463</x:f>
        <x:v>61.5</x:v>
      </x:c>
      <x:c r="O1463" s="9" t="n">
        <x:f>M1463-N1463</x:f>
        <x:v>553.5</x:v>
      </x:c>
      <x:c r="P1463" s="9" t="n">
        <x:f>IF(D1463="Completed",L1463*J1463*(1-K1463),0)</x:f>
        <x:v>0</x:v>
      </x:c>
      <x:c r="Q1463" s="9" t="n">
        <x:f>O1463-P1463</x:f>
        <x:v>553.5</x:v>
      </x:c>
      <x:c r="R1463" s="11" t="n">
        <x:f>IF(D1463="Completed",I1463,0)</x:f>
        <x:v>5</x:v>
      </x:c>
      <x:c r="S1463" s="11" t="n">
        <x:f>IF(D1463="Completed",L1463,0)</x:f>
        <x:v>0</x:v>
      </x:c>
      <x:c r="T1463" s="8" t="n">
        <x:f>DATE(YEAR(C1463),MONTH(C1463),1)</x:f>
        <x:v>45658</x:v>
      </x:c>
    </x:row>
    <x:row r="1464" ht="22" customHeight="1">
      <x:c r="A1464" s="2" t="str">
        <x:v>L001460</x:v>
      </x:c>
      <x:c r="B1464" s="2" t="str">
        <x:v>O00595</x:v>
      </x:c>
      <x:c r="C1464" s="7" t="n">
        <x:v>45669</x:v>
      </x:c>
      <x:c r="D1464" s="2" t="str">
        <x:v>Completed</x:v>
      </x:c>
      <x:c r="E1464" s="2" t="str">
        <x:v>South</x:v>
      </x:c>
      <x:c r="F1464" s="2" t="str">
        <x:v>Store</x:v>
      </x:c>
      <x:c r="G1464" s="2" t="str">
        <x:v>Storage</x:v>
      </x:c>
      <x:c r="H1464" s="2" t="str">
        <x:v>Shelf 011</x:v>
      </x:c>
      <x:c r="I1464" s="11" t="n">
        <x:v>1</x:v>
      </x:c>
      <x:c r="J1464" s="9" t="n">
        <x:v>80</x:v>
      </x:c>
      <x:c r="K1464" s="10" t="n">
        <x:v>0.05</x:v>
      </x:c>
      <x:c r="L1464" s="11" t="n">
        <x:v>0</x:v>
      </x:c>
      <x:c r="M1464" s="9" t="n">
        <x:f>IF(D1464="Completed",I1464*J1464,0)</x:f>
        <x:v>80</x:v>
      </x:c>
      <x:c r="N1464" s="9" t="n">
        <x:f>M1464*K1464</x:f>
        <x:v>4</x:v>
      </x:c>
      <x:c r="O1464" s="9" t="n">
        <x:f>M1464-N1464</x:f>
        <x:v>76</x:v>
      </x:c>
      <x:c r="P1464" s="9" t="n">
        <x:f>IF(D1464="Completed",L1464*J1464*(1-K1464),0)</x:f>
        <x:v>0</x:v>
      </x:c>
      <x:c r="Q1464" s="9" t="n">
        <x:f>O1464-P1464</x:f>
        <x:v>76</x:v>
      </x:c>
      <x:c r="R1464" s="11" t="n">
        <x:f>IF(D1464="Completed",I1464,0)</x:f>
        <x:v>1</x:v>
      </x:c>
      <x:c r="S1464" s="11" t="n">
        <x:f>IF(D1464="Completed",L1464,0)</x:f>
        <x:v>0</x:v>
      </x:c>
      <x:c r="T1464" s="8" t="n">
        <x:f>DATE(YEAR(C1464),MONTH(C1464),1)</x:f>
        <x:v>45658</x:v>
      </x:c>
    </x:row>
    <x:row r="1465" ht="22" customHeight="1">
      <x:c r="A1465" s="2" t="str">
        <x:v>L001461</x:v>
      </x:c>
      <x:c r="B1465" s="2" t="str">
        <x:v>O00596</x:v>
      </x:c>
      <x:c r="C1465" s="7" t="n">
        <x:v>45923</x:v>
      </x:c>
      <x:c r="D1465" s="2" t="str">
        <x:v>Completed</x:v>
      </x:c>
      <x:c r="E1465" s="2" t="str">
        <x:v>East</x:v>
      </x:c>
      <x:c r="F1465" s="2" t="str">
        <x:v>Online</x:v>
      </x:c>
      <x:c r="G1465" s="2" t="str">
        <x:v>Furniture</x:v>
      </x:c>
      <x:c r="H1465" s="2" t="str">
        <x:v>Desk 016</x:v>
      </x:c>
      <x:c r="I1465" s="11" t="n">
        <x:v>3</x:v>
      </x:c>
      <x:c r="J1465" s="9" t="n">
        <x:v>231</x:v>
      </x:c>
      <x:c r="K1465" s="10" t="n">
        <x:v>0.05</x:v>
      </x:c>
      <x:c r="L1465" s="11" t="n">
        <x:v>0</x:v>
      </x:c>
      <x:c r="M1465" s="9" t="n">
        <x:f>IF(D1465="Completed",I1465*J1465,0)</x:f>
        <x:v>693</x:v>
      </x:c>
      <x:c r="N1465" s="9" t="n">
        <x:f>M1465*K1465</x:f>
        <x:v>34.65</x:v>
      </x:c>
      <x:c r="O1465" s="9" t="n">
        <x:f>M1465-N1465</x:f>
        <x:v>658.35</x:v>
      </x:c>
      <x:c r="P1465" s="9" t="n">
        <x:f>IF(D1465="Completed",L1465*J1465*(1-K1465),0)</x:f>
        <x:v>0</x:v>
      </x:c>
      <x:c r="Q1465" s="9" t="n">
        <x:f>O1465-P1465</x:f>
        <x:v>658.35</x:v>
      </x:c>
      <x:c r="R1465" s="11" t="n">
        <x:f>IF(D1465="Completed",I1465,0)</x:f>
        <x:v>3</x:v>
      </x:c>
      <x:c r="S1465" s="11" t="n">
        <x:f>IF(D1465="Completed",L1465,0)</x:f>
        <x:v>0</x:v>
      </x:c>
      <x:c r="T1465" s="8" t="n">
        <x:f>DATE(YEAR(C1465),MONTH(C1465),1)</x:f>
        <x:v>45901</x:v>
      </x:c>
    </x:row>
    <x:row r="1466" ht="22" customHeight="1">
      <x:c r="A1466" s="2" t="str">
        <x:v>L001462</x:v>
      </x:c>
      <x:c r="B1466" s="2" t="str">
        <x:v>O00596</x:v>
      </x:c>
      <x:c r="C1466" s="7" t="n">
        <x:v>45923</x:v>
      </x:c>
      <x:c r="D1466" s="2" t="str">
        <x:v>Completed</x:v>
      </x:c>
      <x:c r="E1466" s="2" t="str">
        <x:v>East</x:v>
      </x:c>
      <x:c r="F1466" s="2" t="str">
        <x:v>Online</x:v>
      </x:c>
      <x:c r="G1466" s="2" t="str">
        <x:v>Furniture</x:v>
      </x:c>
      <x:c r="H1466" s="2" t="str">
        <x:v>Chair 018</x:v>
      </x:c>
      <x:c r="I1466" s="11" t="n">
        <x:v>4</x:v>
      </x:c>
      <x:c r="J1466" s="9" t="n">
        <x:v>269</x:v>
      </x:c>
      <x:c r="K1466" s="10" t="n">
        <x:v>0.2</x:v>
      </x:c>
      <x:c r="L1466" s="11" t="n">
        <x:v>0</x:v>
      </x:c>
      <x:c r="M1466" s="9" t="n">
        <x:f>IF(D1466="Completed",I1466*J1466,0)</x:f>
        <x:v>1076</x:v>
      </x:c>
      <x:c r="N1466" s="9" t="n">
        <x:f>M1466*K1466</x:f>
        <x:v>215.20000000000002</x:v>
      </x:c>
      <x:c r="O1466" s="9" t="n">
        <x:f>M1466-N1466</x:f>
        <x:v>860.8</x:v>
      </x:c>
      <x:c r="P1466" s="9" t="n">
        <x:f>IF(D1466="Completed",L1466*J1466*(1-K1466),0)</x:f>
        <x:v>0</x:v>
      </x:c>
      <x:c r="Q1466" s="9" t="n">
        <x:f>O1466-P1466</x:f>
        <x:v>860.8</x:v>
      </x:c>
      <x:c r="R1466" s="11" t="n">
        <x:f>IF(D1466="Completed",I1466,0)</x:f>
        <x:v>4</x:v>
      </x:c>
      <x:c r="S1466" s="11" t="n">
        <x:f>IF(D1466="Completed",L1466,0)</x:f>
        <x:v>0</x:v>
      </x:c>
      <x:c r="T1466" s="8" t="n">
        <x:f>DATE(YEAR(C1466),MONTH(C1466),1)</x:f>
        <x:v>45901</x:v>
      </x:c>
    </x:row>
    <x:row r="1467" ht="22" customHeight="1">
      <x:c r="A1467" s="2" t="str">
        <x:v>L001463</x:v>
      </x:c>
      <x:c r="B1467" s="2" t="str">
        <x:v>O00597</x:v>
      </x:c>
      <x:c r="C1467" s="7" t="n">
        <x:v>45971</x:v>
      </x:c>
      <x:c r="D1467" s="2" t="str">
        <x:v>Completed</x:v>
      </x:c>
      <x:c r="E1467" s="2" t="str">
        <x:v>West</x:v>
      </x:c>
      <x:c r="F1467" s="2" t="str">
        <x:v>Store</x:v>
      </x:c>
      <x:c r="G1467" s="2" t="str">
        <x:v>Lighting</x:v>
      </x:c>
      <x:c r="H1467" s="2" t="str">
        <x:v>Lamp 017</x:v>
      </x:c>
      <x:c r="I1467" s="11" t="n">
        <x:v>3</x:v>
      </x:c>
      <x:c r="J1467" s="9" t="n">
        <x:v>300</x:v>
      </x:c>
      <x:c r="K1467" s="10" t="n">
        <x:v>0.2</x:v>
      </x:c>
      <x:c r="L1467" s="11" t="n">
        <x:v>0</x:v>
      </x:c>
      <x:c r="M1467" s="9" t="n">
        <x:f>IF(D1467="Completed",I1467*J1467,0)</x:f>
        <x:v>900</x:v>
      </x:c>
      <x:c r="N1467" s="9" t="n">
        <x:f>M1467*K1467</x:f>
        <x:v>180</x:v>
      </x:c>
      <x:c r="O1467" s="9" t="n">
        <x:f>M1467-N1467</x:f>
        <x:v>720</x:v>
      </x:c>
      <x:c r="P1467" s="9" t="n">
        <x:f>IF(D1467="Completed",L1467*J1467*(1-K1467),0)</x:f>
        <x:v>0</x:v>
      </x:c>
      <x:c r="Q1467" s="9" t="n">
        <x:f>O1467-P1467</x:f>
        <x:v>720</x:v>
      </x:c>
      <x:c r="R1467" s="11" t="n">
        <x:f>IF(D1467="Completed",I1467,0)</x:f>
        <x:v>3</x:v>
      </x:c>
      <x:c r="S1467" s="11" t="n">
        <x:f>IF(D1467="Completed",L1467,0)</x:f>
        <x:v>0</x:v>
      </x:c>
      <x:c r="T1467" s="8" t="n">
        <x:f>DATE(YEAR(C1467),MONTH(C1467),1)</x:f>
        <x:v>45962</x:v>
      </x:c>
    </x:row>
    <x:row r="1468" ht="22" customHeight="1">
      <x:c r="A1468" s="2" t="str">
        <x:v>L001464</x:v>
      </x:c>
      <x:c r="B1468" s="2" t="str">
        <x:v>O00597</x:v>
      </x:c>
      <x:c r="C1468" s="7" t="n">
        <x:v>45971</x:v>
      </x:c>
      <x:c r="D1468" s="2" t="str">
        <x:v>Completed</x:v>
      </x:c>
      <x:c r="E1468" s="2" t="str">
        <x:v>West</x:v>
      </x:c>
      <x:c r="F1468" s="2" t="str">
        <x:v>Store</x:v>
      </x:c>
      <x:c r="G1468" s="2" t="str">
        <x:v>Furniture</x:v>
      </x:c>
      <x:c r="H1468" s="2" t="str">
        <x:v>Chair 006</x:v>
      </x:c>
      <x:c r="I1468" s="11" t="n">
        <x:v>5</x:v>
      </x:c>
      <x:c r="J1468" s="9" t="n">
        <x:v>196</x:v>
      </x:c>
      <x:c r="K1468" s="10" t="n">
        <x:v>0.05</x:v>
      </x:c>
      <x:c r="L1468" s="11" t="n">
        <x:v>0</x:v>
      </x:c>
      <x:c r="M1468" s="9" t="n">
        <x:f>IF(D1468="Completed",I1468*J1468,0)</x:f>
        <x:v>980</x:v>
      </x:c>
      <x:c r="N1468" s="9" t="n">
        <x:f>M1468*K1468</x:f>
        <x:v>49</x:v>
      </x:c>
      <x:c r="O1468" s="9" t="n">
        <x:f>M1468-N1468</x:f>
        <x:v>931</x:v>
      </x:c>
      <x:c r="P1468" s="9" t="n">
        <x:f>IF(D1468="Completed",L1468*J1468*(1-K1468),0)</x:f>
        <x:v>0</x:v>
      </x:c>
      <x:c r="Q1468" s="9" t="n">
        <x:f>O1468-P1468</x:f>
        <x:v>931</x:v>
      </x:c>
      <x:c r="R1468" s="11" t="n">
        <x:f>IF(D1468="Completed",I1468,0)</x:f>
        <x:v>5</x:v>
      </x:c>
      <x:c r="S1468" s="11" t="n">
        <x:f>IF(D1468="Completed",L1468,0)</x:f>
        <x:v>0</x:v>
      </x:c>
      <x:c r="T1468" s="8" t="n">
        <x:f>DATE(YEAR(C1468),MONTH(C1468),1)</x:f>
        <x:v>45962</x:v>
      </x:c>
    </x:row>
    <x:row r="1469" ht="22" customHeight="1">
      <x:c r="A1469" s="2" t="str">
        <x:v>L001465</x:v>
      </x:c>
      <x:c r="B1469" s="2" t="str">
        <x:v>O00597</x:v>
      </x:c>
      <x:c r="C1469" s="7" t="n">
        <x:v>45971</x:v>
      </x:c>
      <x:c r="D1469" s="2" t="str">
        <x:v>Completed</x:v>
      </x:c>
      <x:c r="E1469" s="2" t="str">
        <x:v>West</x:v>
      </x:c>
      <x:c r="F1469" s="2" t="str">
        <x:v>Store</x:v>
      </x:c>
      <x:c r="G1469" s="2" t="str">
        <x:v>Storage</x:v>
      </x:c>
      <x:c r="H1469" s="2" t="str">
        <x:v>Shelf 019</x:v>
      </x:c>
      <x:c r="I1469" s="11" t="n">
        <x:v>2</x:v>
      </x:c>
      <x:c r="J1469" s="9" t="n">
        <x:v>78</x:v>
      </x:c>
      <x:c r="K1469" s="10" t="n">
        <x:v>0.1</x:v>
      </x:c>
      <x:c r="L1469" s="11" t="n">
        <x:v>0</x:v>
      </x:c>
      <x:c r="M1469" s="9" t="n">
        <x:f>IF(D1469="Completed",I1469*J1469,0)</x:f>
        <x:v>156</x:v>
      </x:c>
      <x:c r="N1469" s="9" t="n">
        <x:f>M1469*K1469</x:f>
        <x:v>15.600000000000001</x:v>
      </x:c>
      <x:c r="O1469" s="9" t="n">
        <x:f>M1469-N1469</x:f>
        <x:v>140.4</x:v>
      </x:c>
      <x:c r="P1469" s="9" t="n">
        <x:f>IF(D1469="Completed",L1469*J1469*(1-K1469),0)</x:f>
        <x:v>0</x:v>
      </x:c>
      <x:c r="Q1469" s="9" t="n">
        <x:f>O1469-P1469</x:f>
        <x:v>140.4</x:v>
      </x:c>
      <x:c r="R1469" s="11" t="n">
        <x:f>IF(D1469="Completed",I1469,0)</x:f>
        <x:v>2</x:v>
      </x:c>
      <x:c r="S1469" s="11" t="n">
        <x:f>IF(D1469="Completed",L1469,0)</x:f>
        <x:v>0</x:v>
      </x:c>
      <x:c r="T1469" s="8" t="n">
        <x:f>DATE(YEAR(C1469),MONTH(C1469),1)</x:f>
        <x:v>45962</x:v>
      </x:c>
    </x:row>
    <x:row r="1470" ht="22" customHeight="1">
      <x:c r="A1470" s="2" t="str">
        <x:v>L001466</x:v>
      </x:c>
      <x:c r="B1470" s="2" t="str">
        <x:v>O00597</x:v>
      </x:c>
      <x:c r="C1470" s="7" t="n">
        <x:v>45971</x:v>
      </x:c>
      <x:c r="D1470" s="2" t="str">
        <x:v>Completed</x:v>
      </x:c>
      <x:c r="E1470" s="2" t="str">
        <x:v>West</x:v>
      </x:c>
      <x:c r="F1470" s="2" t="str">
        <x:v>Store</x:v>
      </x:c>
      <x:c r="G1470" s="2" t="str">
        <x:v>Lighting</x:v>
      </x:c>
      <x:c r="H1470" s="2" t="str">
        <x:v>Lamp 013</x:v>
      </x:c>
      <x:c r="I1470" s="11" t="n">
        <x:v>1</x:v>
      </x:c>
      <x:c r="J1470" s="9" t="n">
        <x:v>271</x:v>
      </x:c>
      <x:c r="K1470" s="10" t="n">
        <x:v>0.05</x:v>
      </x:c>
      <x:c r="L1470" s="11" t="n">
        <x:v>0</x:v>
      </x:c>
      <x:c r="M1470" s="9" t="n">
        <x:f>IF(D1470="Completed",I1470*J1470,0)</x:f>
        <x:v>271</x:v>
      </x:c>
      <x:c r="N1470" s="9" t="n">
        <x:f>M1470*K1470</x:f>
        <x:v>13.55</x:v>
      </x:c>
      <x:c r="O1470" s="9" t="n">
        <x:f>M1470-N1470</x:f>
        <x:v>257.45</x:v>
      </x:c>
      <x:c r="P1470" s="9" t="n">
        <x:f>IF(D1470="Completed",L1470*J1470*(1-K1470),0)</x:f>
        <x:v>0</x:v>
      </x:c>
      <x:c r="Q1470" s="9" t="n">
        <x:f>O1470-P1470</x:f>
        <x:v>257.45</x:v>
      </x:c>
      <x:c r="R1470" s="11" t="n">
        <x:f>IF(D1470="Completed",I1470,0)</x:f>
        <x:v>1</x:v>
      </x:c>
      <x:c r="S1470" s="11" t="n">
        <x:f>IF(D1470="Completed",L1470,0)</x:f>
        <x:v>0</x:v>
      </x:c>
      <x:c r="T1470" s="8" t="n">
        <x:f>DATE(YEAR(C1470),MONTH(C1470),1)</x:f>
        <x:v>45962</x:v>
      </x:c>
    </x:row>
    <x:row r="1471" ht="22" customHeight="1">
      <x:c r="A1471" s="2" t="str">
        <x:v>L001467</x:v>
      </x:c>
      <x:c r="B1471" s="2" t="str">
        <x:v>O00598</x:v>
      </x:c>
      <x:c r="C1471" s="7" t="n">
        <x:v>45731</x:v>
      </x:c>
      <x:c r="D1471" s="2" t="str">
        <x:v>Completed</x:v>
      </x:c>
      <x:c r="E1471" s="2" t="str">
        <x:v>North</x:v>
      </x:c>
      <x:c r="F1471" s="2" t="str">
        <x:v>Online</x:v>
      </x:c>
      <x:c r="G1471" s="2" t="str">
        <x:v>Lighting</x:v>
      </x:c>
      <x:c r="H1471" s="2" t="str">
        <x:v>Lamp 009</x:v>
      </x:c>
      <x:c r="I1471" s="11" t="n">
        <x:v>4</x:v>
      </x:c>
      <x:c r="J1471" s="9" t="n">
        <x:v>93</x:v>
      </x:c>
      <x:c r="K1471" s="10" t="n">
        <x:v>0</x:v>
      </x:c>
      <x:c r="L1471" s="11" t="n">
        <x:v>0</x:v>
      </x:c>
      <x:c r="M1471" s="9" t="n">
        <x:f>IF(D1471="Completed",I1471*J1471,0)</x:f>
        <x:v>372</x:v>
      </x:c>
      <x:c r="N1471" s="9" t="n">
        <x:f>M1471*K1471</x:f>
        <x:v>0</x:v>
      </x:c>
      <x:c r="O1471" s="9" t="n">
        <x:f>M1471-N1471</x:f>
        <x:v>372</x:v>
      </x:c>
      <x:c r="P1471" s="9" t="n">
        <x:f>IF(D1471="Completed",L1471*J1471*(1-K1471),0)</x:f>
        <x:v>0</x:v>
      </x:c>
      <x:c r="Q1471" s="9" t="n">
        <x:f>O1471-P1471</x:f>
        <x:v>372</x:v>
      </x:c>
      <x:c r="R1471" s="11" t="n">
        <x:f>IF(D1471="Completed",I1471,0)</x:f>
        <x:v>4</x:v>
      </x:c>
      <x:c r="S1471" s="11" t="n">
        <x:f>IF(D1471="Completed",L1471,0)</x:f>
        <x:v>0</x:v>
      </x:c>
      <x:c r="T1471" s="8" t="n">
        <x:f>DATE(YEAR(C1471),MONTH(C1471),1)</x:f>
        <x:v>45717</x:v>
      </x:c>
    </x:row>
    <x:row r="1472" ht="22" customHeight="1">
      <x:c r="A1472" s="2" t="str">
        <x:v>L001468</x:v>
      </x:c>
      <x:c r="B1472" s="2" t="str">
        <x:v>O00598</x:v>
      </x:c>
      <x:c r="C1472" s="7" t="n">
        <x:v>45731</x:v>
      </x:c>
      <x:c r="D1472" s="2" t="str">
        <x:v>Completed</x:v>
      </x:c>
      <x:c r="E1472" s="2" t="str">
        <x:v>North</x:v>
      </x:c>
      <x:c r="F1472" s="2" t="str">
        <x:v>Online</x:v>
      </x:c>
      <x:c r="G1472" s="2" t="str">
        <x:v>Lighting</x:v>
      </x:c>
      <x:c r="H1472" s="2" t="str">
        <x:v>Lamp 017</x:v>
      </x:c>
      <x:c r="I1472" s="11" t="n">
        <x:v>2</x:v>
      </x:c>
      <x:c r="J1472" s="9" t="n">
        <x:v>300</x:v>
      </x:c>
      <x:c r="K1472" s="10" t="n">
        <x:v>0.2</x:v>
      </x:c>
      <x:c r="L1472" s="11" t="n">
        <x:v>0</x:v>
      </x:c>
      <x:c r="M1472" s="9" t="n">
        <x:f>IF(D1472="Completed",I1472*J1472,0)</x:f>
        <x:v>600</x:v>
      </x:c>
      <x:c r="N1472" s="9" t="n">
        <x:f>M1472*K1472</x:f>
        <x:v>120</x:v>
      </x:c>
      <x:c r="O1472" s="9" t="n">
        <x:f>M1472-N1472</x:f>
        <x:v>480</x:v>
      </x:c>
      <x:c r="P1472" s="9" t="n">
        <x:f>IF(D1472="Completed",L1472*J1472*(1-K1472),0)</x:f>
        <x:v>0</x:v>
      </x:c>
      <x:c r="Q1472" s="9" t="n">
        <x:f>O1472-P1472</x:f>
        <x:v>480</x:v>
      </x:c>
      <x:c r="R1472" s="11" t="n">
        <x:f>IF(D1472="Completed",I1472,0)</x:f>
        <x:v>2</x:v>
      </x:c>
      <x:c r="S1472" s="11" t="n">
        <x:f>IF(D1472="Completed",L1472,0)</x:f>
        <x:v>0</x:v>
      </x:c>
      <x:c r="T1472" s="8" t="n">
        <x:f>DATE(YEAR(C1472),MONTH(C1472),1)</x:f>
        <x:v>45717</x:v>
      </x:c>
    </x:row>
    <x:row r="1473" ht="22" customHeight="1">
      <x:c r="A1473" s="2" t="str">
        <x:v>L001469</x:v>
      </x:c>
      <x:c r="B1473" s="2" t="str">
        <x:v>O00598</x:v>
      </x:c>
      <x:c r="C1473" s="7" t="n">
        <x:v>45731</x:v>
      </x:c>
      <x:c r="D1473" s="2" t="str">
        <x:v>Completed</x:v>
      </x:c>
      <x:c r="E1473" s="2" t="str">
        <x:v>North</x:v>
      </x:c>
      <x:c r="F1473" s="2" t="str">
        <x:v>Online</x:v>
      </x:c>
      <x:c r="G1473" s="2" t="str">
        <x:v>Furniture</x:v>
      </x:c>
      <x:c r="H1473" s="2" t="str">
        <x:v>Chair 010</x:v>
      </x:c>
      <x:c r="I1473" s="11" t="n">
        <x:v>2</x:v>
      </x:c>
      <x:c r="J1473" s="9" t="n">
        <x:v>211</x:v>
      </x:c>
      <x:c r="K1473" s="10" t="n">
        <x:v>0.2</x:v>
      </x:c>
      <x:c r="L1473" s="11" t="n">
        <x:v>0</x:v>
      </x:c>
      <x:c r="M1473" s="9" t="n">
        <x:f>IF(D1473="Completed",I1473*J1473,0)</x:f>
        <x:v>422</x:v>
      </x:c>
      <x:c r="N1473" s="9" t="n">
        <x:f>M1473*K1473</x:f>
        <x:v>84.4</x:v>
      </x:c>
      <x:c r="O1473" s="9" t="n">
        <x:f>M1473-N1473</x:f>
        <x:v>337.6</x:v>
      </x:c>
      <x:c r="P1473" s="9" t="n">
        <x:f>IF(D1473="Completed",L1473*J1473*(1-K1473),0)</x:f>
        <x:v>0</x:v>
      </x:c>
      <x:c r="Q1473" s="9" t="n">
        <x:f>O1473-P1473</x:f>
        <x:v>337.6</x:v>
      </x:c>
      <x:c r="R1473" s="11" t="n">
        <x:f>IF(D1473="Completed",I1473,0)</x:f>
        <x:v>2</x:v>
      </x:c>
      <x:c r="S1473" s="11" t="n">
        <x:f>IF(D1473="Completed",L1473,0)</x:f>
        <x:v>0</x:v>
      </x:c>
      <x:c r="T1473" s="8" t="n">
        <x:f>DATE(YEAR(C1473),MONTH(C1473),1)</x:f>
        <x:v>45717</x:v>
      </x:c>
    </x:row>
    <x:row r="1474" ht="22" customHeight="1">
      <x:c r="A1474" s="2" t="str">
        <x:v>L001470</x:v>
      </x:c>
      <x:c r="B1474" s="2" t="str">
        <x:v>O00598</x:v>
      </x:c>
      <x:c r="C1474" s="7" t="n">
        <x:v>45731</x:v>
      </x:c>
      <x:c r="D1474" s="2" t="str">
        <x:v>Completed</x:v>
      </x:c>
      <x:c r="E1474" s="2" t="str">
        <x:v>North</x:v>
      </x:c>
      <x:c r="F1474" s="2" t="str">
        <x:v>Online</x:v>
      </x:c>
      <x:c r="G1474" s="2" t="str">
        <x:v>Storage</x:v>
      </x:c>
      <x:c r="H1474" s="2" t="str">
        <x:v>Shelf 003</x:v>
      </x:c>
      <x:c r="I1474" s="11" t="n">
        <x:v>4</x:v>
      </x:c>
      <x:c r="J1474" s="9" t="n">
        <x:v>199</x:v>
      </x:c>
      <x:c r="K1474" s="10" t="n">
        <x:v>0.05</x:v>
      </x:c>
      <x:c r="L1474" s="11" t="n">
        <x:v>0</x:v>
      </x:c>
      <x:c r="M1474" s="9" t="n">
        <x:f>IF(D1474="Completed",I1474*J1474,0)</x:f>
        <x:v>796</x:v>
      </x:c>
      <x:c r="N1474" s="9" t="n">
        <x:f>M1474*K1474</x:f>
        <x:v>39.800000000000004</x:v>
      </x:c>
      <x:c r="O1474" s="9" t="n">
        <x:f>M1474-N1474</x:f>
        <x:v>756.2</x:v>
      </x:c>
      <x:c r="P1474" s="9" t="n">
        <x:f>IF(D1474="Completed",L1474*J1474*(1-K1474),0)</x:f>
        <x:v>0</x:v>
      </x:c>
      <x:c r="Q1474" s="9" t="n">
        <x:f>O1474-P1474</x:f>
        <x:v>756.2</x:v>
      </x:c>
      <x:c r="R1474" s="11" t="n">
        <x:f>IF(D1474="Completed",I1474,0)</x:f>
        <x:v>4</x:v>
      </x:c>
      <x:c r="S1474" s="11" t="n">
        <x:f>IF(D1474="Completed",L1474,0)</x:f>
        <x:v>0</x:v>
      </x:c>
      <x:c r="T1474" s="8" t="n">
        <x:f>DATE(YEAR(C1474),MONTH(C1474),1)</x:f>
        <x:v>45717</x:v>
      </x:c>
    </x:row>
    <x:row r="1475" ht="22" customHeight="1">
      <x:c r="A1475" s="2" t="str">
        <x:v>L001471</x:v>
      </x:c>
      <x:c r="B1475" s="2" t="str">
        <x:v>O00599</x:v>
      </x:c>
      <x:c r="C1475" s="7" t="n">
        <x:v>45718</x:v>
      </x:c>
      <x:c r="D1475" s="2" t="str">
        <x:v>Completed</x:v>
      </x:c>
      <x:c r="E1475" s="2" t="str">
        <x:v>South</x:v>
      </x:c>
      <x:c r="F1475" s="2" t="str">
        <x:v>Online</x:v>
      </x:c>
      <x:c r="G1475" s="2" t="str">
        <x:v>Furniture</x:v>
      </x:c>
      <x:c r="H1475" s="2" t="str">
        <x:v>Chair 010</x:v>
      </x:c>
      <x:c r="I1475" s="11" t="n">
        <x:v>5</x:v>
      </x:c>
      <x:c r="J1475" s="9" t="n">
        <x:v>211</x:v>
      </x:c>
      <x:c r="K1475" s="10" t="n">
        <x:v>0.05</x:v>
      </x:c>
      <x:c r="L1475" s="11" t="n">
        <x:v>0</x:v>
      </x:c>
      <x:c r="M1475" s="9" t="n">
        <x:f>IF(D1475="Completed",I1475*J1475,0)</x:f>
        <x:v>1055</x:v>
      </x:c>
      <x:c r="N1475" s="9" t="n">
        <x:f>M1475*K1475</x:f>
        <x:v>52.75</x:v>
      </x:c>
      <x:c r="O1475" s="9" t="n">
        <x:f>M1475-N1475</x:f>
        <x:v>1002.25</x:v>
      </x:c>
      <x:c r="P1475" s="9" t="n">
        <x:f>IF(D1475="Completed",L1475*J1475*(1-K1475),0)</x:f>
        <x:v>0</x:v>
      </x:c>
      <x:c r="Q1475" s="9" t="n">
        <x:f>O1475-P1475</x:f>
        <x:v>1002.25</x:v>
      </x:c>
      <x:c r="R1475" s="11" t="n">
        <x:f>IF(D1475="Completed",I1475,0)</x:f>
        <x:v>5</x:v>
      </x:c>
      <x:c r="S1475" s="11" t="n">
        <x:f>IF(D1475="Completed",L1475,0)</x:f>
        <x:v>0</x:v>
      </x:c>
      <x:c r="T1475" s="8" t="n">
        <x:f>DATE(YEAR(C1475),MONTH(C1475),1)</x:f>
        <x:v>45717</x:v>
      </x:c>
    </x:row>
    <x:row r="1476" ht="22" customHeight="1">
      <x:c r="A1476" s="2" t="str">
        <x:v>L001472</x:v>
      </x:c>
      <x:c r="B1476" s="2" t="str">
        <x:v>O00599</x:v>
      </x:c>
      <x:c r="C1476" s="7" t="n">
        <x:v>45718</x:v>
      </x:c>
      <x:c r="D1476" s="2" t="str">
        <x:v>Completed</x:v>
      </x:c>
      <x:c r="E1476" s="2" t="str">
        <x:v>South</x:v>
      </x:c>
      <x:c r="F1476" s="2" t="str">
        <x:v>Online</x:v>
      </x:c>
      <x:c r="G1476" s="2" t="str">
        <x:v>Storage</x:v>
      </x:c>
      <x:c r="H1476" s="2" t="str">
        <x:v>Shelf 007</x:v>
      </x:c>
      <x:c r="I1476" s="11" t="n">
        <x:v>5</x:v>
      </x:c>
      <x:c r="J1476" s="9" t="n">
        <x:v>35</x:v>
      </x:c>
      <x:c r="K1476" s="10" t="n">
        <x:v>0.1</x:v>
      </x:c>
      <x:c r="L1476" s="11" t="n">
        <x:v>0</x:v>
      </x:c>
      <x:c r="M1476" s="9" t="n">
        <x:f>IF(D1476="Completed",I1476*J1476,0)</x:f>
        <x:v>175</x:v>
      </x:c>
      <x:c r="N1476" s="9" t="n">
        <x:f>M1476*K1476</x:f>
        <x:v>17.5</x:v>
      </x:c>
      <x:c r="O1476" s="9" t="n">
        <x:f>M1476-N1476</x:f>
        <x:v>157.5</x:v>
      </x:c>
      <x:c r="P1476" s="9" t="n">
        <x:f>IF(D1476="Completed",L1476*J1476*(1-K1476),0)</x:f>
        <x:v>0</x:v>
      </x:c>
      <x:c r="Q1476" s="9" t="n">
        <x:f>O1476-P1476</x:f>
        <x:v>157.5</x:v>
      </x:c>
      <x:c r="R1476" s="11" t="n">
        <x:f>IF(D1476="Completed",I1476,0)</x:f>
        <x:v>5</x:v>
      </x:c>
      <x:c r="S1476" s="11" t="n">
        <x:f>IF(D1476="Completed",L1476,0)</x:f>
        <x:v>0</x:v>
      </x:c>
      <x:c r="T1476" s="8" t="n">
        <x:f>DATE(YEAR(C1476),MONTH(C1476),1)</x:f>
        <x:v>45717</x:v>
      </x:c>
    </x:row>
    <x:row r="1477" ht="22" customHeight="1">
      <x:c r="A1477" s="2" t="str">
        <x:v>L001473</x:v>
      </x:c>
      <x:c r="B1477" s="2" t="str">
        <x:v>O00599</x:v>
      </x:c>
      <x:c r="C1477" s="7" t="n">
        <x:v>45718</x:v>
      </x:c>
      <x:c r="D1477" s="2" t="str">
        <x:v>Completed</x:v>
      </x:c>
      <x:c r="E1477" s="2" t="str">
        <x:v>South</x:v>
      </x:c>
      <x:c r="F1477" s="2" t="str">
        <x:v>Online</x:v>
      </x:c>
      <x:c r="G1477" s="2" t="str">
        <x:v>Storage</x:v>
      </x:c>
      <x:c r="H1477" s="2" t="str">
        <x:v>Shelf 015</x:v>
      </x:c>
      <x:c r="I1477" s="11" t="n">
        <x:v>4</x:v>
      </x:c>
      <x:c r="J1477" s="9" t="n">
        <x:v>254</x:v>
      </x:c>
      <x:c r="K1477" s="10" t="n">
        <x:v>0</x:v>
      </x:c>
      <x:c r="L1477" s="11" t="n">
        <x:v>0</x:v>
      </x:c>
      <x:c r="M1477" s="9" t="n">
        <x:f>IF(D1477="Completed",I1477*J1477,0)</x:f>
        <x:v>1016</x:v>
      </x:c>
      <x:c r="N1477" s="9" t="n">
        <x:f>M1477*K1477</x:f>
        <x:v>0</x:v>
      </x:c>
      <x:c r="O1477" s="9" t="n">
        <x:f>M1477-N1477</x:f>
        <x:v>1016</x:v>
      </x:c>
      <x:c r="P1477" s="9" t="n">
        <x:f>IF(D1477="Completed",L1477*J1477*(1-K1477),0)</x:f>
        <x:v>0</x:v>
      </x:c>
      <x:c r="Q1477" s="9" t="n">
        <x:f>O1477-P1477</x:f>
        <x:v>1016</x:v>
      </x:c>
      <x:c r="R1477" s="11" t="n">
        <x:f>IF(D1477="Completed",I1477,0)</x:f>
        <x:v>4</x:v>
      </x:c>
      <x:c r="S1477" s="11" t="n">
        <x:f>IF(D1477="Completed",L1477,0)</x:f>
        <x:v>0</x:v>
      </x:c>
      <x:c r="T1477" s="8" t="n">
        <x:f>DATE(YEAR(C1477),MONTH(C1477),1)</x:f>
        <x:v>45717</x:v>
      </x:c>
    </x:row>
    <x:row r="1478" ht="22" customHeight="1">
      <x:c r="A1478" s="2" t="str">
        <x:v>L001474</x:v>
      </x:c>
      <x:c r="B1478" s="2" t="str">
        <x:v>O00600</x:v>
      </x:c>
      <x:c r="C1478" s="7" t="n">
        <x:v>46018</x:v>
      </x:c>
      <x:c r="D1478" s="2" t="str">
        <x:v>Completed</x:v>
      </x:c>
      <x:c r="E1478" s="2" t="str">
        <x:v>South</x:v>
      </x:c>
      <x:c r="F1478" s="2" t="str">
        <x:v>Store</x:v>
      </x:c>
      <x:c r="G1478" s="2" t="str">
        <x:v>Storage</x:v>
      </x:c>
      <x:c r="H1478" s="2" t="str">
        <x:v>Shelf 023</x:v>
      </x:c>
      <x:c r="I1478" s="11" t="n">
        <x:v>4</x:v>
      </x:c>
      <x:c r="J1478" s="9" t="n">
        <x:v>68</x:v>
      </x:c>
      <x:c r="K1478" s="10" t="n">
        <x:v>0.05</x:v>
      </x:c>
      <x:c r="L1478" s="11" t="n">
        <x:v>0</x:v>
      </x:c>
      <x:c r="M1478" s="9" t="n">
        <x:f>IF(D1478="Completed",I1478*J1478,0)</x:f>
        <x:v>272</x:v>
      </x:c>
      <x:c r="N1478" s="9" t="n">
        <x:f>M1478*K1478</x:f>
        <x:v>13.600000000000001</x:v>
      </x:c>
      <x:c r="O1478" s="9" t="n">
        <x:f>M1478-N1478</x:f>
        <x:v>258.4</x:v>
      </x:c>
      <x:c r="P1478" s="9" t="n">
        <x:f>IF(D1478="Completed",L1478*J1478*(1-K1478),0)</x:f>
        <x:v>0</x:v>
      </x:c>
      <x:c r="Q1478" s="9" t="n">
        <x:f>O1478-P1478</x:f>
        <x:v>258.4</x:v>
      </x:c>
      <x:c r="R1478" s="11" t="n">
        <x:f>IF(D1478="Completed",I1478,0)</x:f>
        <x:v>4</x:v>
      </x:c>
      <x:c r="S1478" s="11" t="n">
        <x:f>IF(D1478="Completed",L1478,0)</x:f>
        <x:v>0</x:v>
      </x:c>
      <x:c r="T1478" s="8" t="n">
        <x:f>DATE(YEAR(C1478),MONTH(C1478),1)</x:f>
        <x:v>45992</x:v>
      </x:c>
    </x:row>
    <x:row r="1479" ht="22" customHeight="1">
      <x:c r="A1479" s="2" t="str">
        <x:v>L001475</x:v>
      </x:c>
      <x:c r="B1479" s="2" t="str">
        <x:v>O00600</x:v>
      </x:c>
      <x:c r="C1479" s="7" t="n">
        <x:v>46018</x:v>
      </x:c>
      <x:c r="D1479" s="2" t="str">
        <x:v>Completed</x:v>
      </x:c>
      <x:c r="E1479" s="2" t="str">
        <x:v>South</x:v>
      </x:c>
      <x:c r="F1479" s="2" t="str">
        <x:v>Store</x:v>
      </x:c>
      <x:c r="G1479" s="2" t="str">
        <x:v>Storage</x:v>
      </x:c>
      <x:c r="H1479" s="2" t="str">
        <x:v>Shelf 011</x:v>
      </x:c>
      <x:c r="I1479" s="11" t="n">
        <x:v>5</x:v>
      </x:c>
      <x:c r="J1479" s="9" t="n">
        <x:v>80</x:v>
      </x:c>
      <x:c r="K1479" s="10" t="n">
        <x:v>0.2</x:v>
      </x:c>
      <x:c r="L1479" s="11" t="n">
        <x:v>0</x:v>
      </x:c>
      <x:c r="M1479" s="9" t="n">
        <x:f>IF(D1479="Completed",I1479*J1479,0)</x:f>
        <x:v>400</x:v>
      </x:c>
      <x:c r="N1479" s="9" t="n">
        <x:f>M1479*K1479</x:f>
        <x:v>80</x:v>
      </x:c>
      <x:c r="O1479" s="9" t="n">
        <x:f>M1479-N1479</x:f>
        <x:v>320</x:v>
      </x:c>
      <x:c r="P1479" s="9" t="n">
        <x:f>IF(D1479="Completed",L1479*J1479*(1-K1479),0)</x:f>
        <x:v>0</x:v>
      </x:c>
      <x:c r="Q1479" s="9" t="n">
        <x:f>O1479-P1479</x:f>
        <x:v>320</x:v>
      </x:c>
      <x:c r="R1479" s="11" t="n">
        <x:f>IF(D1479="Completed",I1479,0)</x:f>
        <x:v>5</x:v>
      </x:c>
      <x:c r="S1479" s="11" t="n">
        <x:f>IF(D1479="Completed",L1479,0)</x:f>
        <x:v>0</x:v>
      </x:c>
      <x:c r="T1479" s="8" t="n">
        <x:f>DATE(YEAR(C1479),MONTH(C1479),1)</x:f>
        <x:v>45992</x:v>
      </x:c>
    </x:row>
    <x:row r="1480" ht="22" customHeight="1">
      <x:c r="A1480" s="2" t="str">
        <x:v>L001476</x:v>
      </x:c>
      <x:c r="B1480" s="2" t="str">
        <x:v>O00600</x:v>
      </x:c>
      <x:c r="C1480" s="7" t="n">
        <x:v>46018</x:v>
      </x:c>
      <x:c r="D1480" s="2" t="str">
        <x:v>Completed</x:v>
      </x:c>
      <x:c r="E1480" s="2" t="str">
        <x:v>South</x:v>
      </x:c>
      <x:c r="F1480" s="2" t="str">
        <x:v>Store</x:v>
      </x:c>
      <x:c r="G1480" s="2" t="str">
        <x:v>Furniture</x:v>
      </x:c>
      <x:c r="H1480" s="2" t="str">
        <x:v>Desk 016</x:v>
      </x:c>
      <x:c r="I1480" s="11" t="n">
        <x:v>3</x:v>
      </x:c>
      <x:c r="J1480" s="9" t="n">
        <x:v>231</x:v>
      </x:c>
      <x:c r="K1480" s="10" t="n">
        <x:v>0</x:v>
      </x:c>
      <x:c r="L1480" s="11" t="n">
        <x:v>0</x:v>
      </x:c>
      <x:c r="M1480" s="9" t="n">
        <x:f>IF(D1480="Completed",I1480*J1480,0)</x:f>
        <x:v>693</x:v>
      </x:c>
      <x:c r="N1480" s="9" t="n">
        <x:f>M1480*K1480</x:f>
        <x:v>0</x:v>
      </x:c>
      <x:c r="O1480" s="9" t="n">
        <x:f>M1480-N1480</x:f>
        <x:v>693</x:v>
      </x:c>
      <x:c r="P1480" s="9" t="n">
        <x:f>IF(D1480="Completed",L1480*J1480*(1-K1480),0)</x:f>
        <x:v>0</x:v>
      </x:c>
      <x:c r="Q1480" s="9" t="n">
        <x:f>O1480-P1480</x:f>
        <x:v>693</x:v>
      </x:c>
      <x:c r="R1480" s="11" t="n">
        <x:f>IF(D1480="Completed",I1480,0)</x:f>
        <x:v>3</x:v>
      </x:c>
      <x:c r="S1480" s="11" t="n">
        <x:f>IF(D1480="Completed",L1480,0)</x:f>
        <x:v>0</x:v>
      </x:c>
      <x:c r="T1480" s="8" t="n">
        <x:f>DATE(YEAR(C1480),MONTH(C1480),1)</x:f>
        <x:v>45992</x:v>
      </x:c>
    </x:row>
    <x:row r="1481" ht="22" customHeight="1">
      <x:c r="A1481" s="2" t="str">
        <x:v>L001477</x:v>
      </x:c>
      <x:c r="B1481" s="2" t="str">
        <x:v>O00600</x:v>
      </x:c>
      <x:c r="C1481" s="7" t="n">
        <x:v>46018</x:v>
      </x:c>
      <x:c r="D1481" s="2" t="str">
        <x:v>Completed</x:v>
      </x:c>
      <x:c r="E1481" s="2" t="str">
        <x:v>South</x:v>
      </x:c>
      <x:c r="F1481" s="2" t="str">
        <x:v>Store</x:v>
      </x:c>
      <x:c r="G1481" s="2" t="str">
        <x:v>Furniture</x:v>
      </x:c>
      <x:c r="H1481" s="2" t="str">
        <x:v>Chair 010</x:v>
      </x:c>
      <x:c r="I1481" s="11" t="n">
        <x:v>3</x:v>
      </x:c>
      <x:c r="J1481" s="9" t="n">
        <x:v>211</x:v>
      </x:c>
      <x:c r="K1481" s="10" t="n">
        <x:v>0.2</x:v>
      </x:c>
      <x:c r="L1481" s="11" t="n">
        <x:v>0</x:v>
      </x:c>
      <x:c r="M1481" s="9" t="n">
        <x:f>IF(D1481="Completed",I1481*J1481,0)</x:f>
        <x:v>633</x:v>
      </x:c>
      <x:c r="N1481" s="9" t="n">
        <x:f>M1481*K1481</x:f>
        <x:v>126.60000000000001</x:v>
      </x:c>
      <x:c r="O1481" s="9" t="n">
        <x:f>M1481-N1481</x:f>
        <x:v>506.4</x:v>
      </x:c>
      <x:c r="P1481" s="9" t="n">
        <x:f>IF(D1481="Completed",L1481*J1481*(1-K1481),0)</x:f>
        <x:v>0</x:v>
      </x:c>
      <x:c r="Q1481" s="9" t="n">
        <x:f>O1481-P1481</x:f>
        <x:v>506.4</x:v>
      </x:c>
      <x:c r="R1481" s="11" t="n">
        <x:f>IF(D1481="Completed",I1481,0)</x:f>
        <x:v>3</x:v>
      </x:c>
      <x:c r="S1481" s="11" t="n">
        <x:f>IF(D1481="Completed",L1481,0)</x:f>
        <x:v>0</x:v>
      </x:c>
      <x:c r="T1481" s="8" t="n">
        <x:f>DATE(YEAR(C1481),MONTH(C1481),1)</x:f>
        <x:v>45992</x:v>
      </x:c>
    </x:row>
    <x:row r="1482" ht="22" customHeight="1">
      <x:c r="A1482" s="2" t="str">
        <x:v>L001478</x:v>
      </x:c>
      <x:c r="B1482" s="2" t="str">
        <x:v>O00601</x:v>
      </x:c>
      <x:c r="C1482" s="7" t="n">
        <x:v>45701</x:v>
      </x:c>
      <x:c r="D1482" s="2" t="str">
        <x:v>Completed</x:v>
      </x:c>
      <x:c r="E1482" s="2" t="str">
        <x:v>East</x:v>
      </x:c>
      <x:c r="F1482" s="2" t="str">
        <x:v>Store</x:v>
      </x:c>
      <x:c r="G1482" s="2" t="str">
        <x:v>Furniture</x:v>
      </x:c>
      <x:c r="H1482" s="2" t="str">
        <x:v>Chair 006</x:v>
      </x:c>
      <x:c r="I1482" s="11" t="n">
        <x:v>1</x:v>
      </x:c>
      <x:c r="J1482" s="9" t="n">
        <x:v>196</x:v>
      </x:c>
      <x:c r="K1482" s="10" t="n">
        <x:v>0</x:v>
      </x:c>
      <x:c r="L1482" s="11" t="n">
        <x:v>0</x:v>
      </x:c>
      <x:c r="M1482" s="9" t="n">
        <x:f>IF(D1482="Completed",I1482*J1482,0)</x:f>
        <x:v>196</x:v>
      </x:c>
      <x:c r="N1482" s="9" t="n">
        <x:f>M1482*K1482</x:f>
        <x:v>0</x:v>
      </x:c>
      <x:c r="O1482" s="9" t="n">
        <x:f>M1482-N1482</x:f>
        <x:v>196</x:v>
      </x:c>
      <x:c r="P1482" s="9" t="n">
        <x:f>IF(D1482="Completed",L1482*J1482*(1-K1482),0)</x:f>
        <x:v>0</x:v>
      </x:c>
      <x:c r="Q1482" s="9" t="n">
        <x:f>O1482-P1482</x:f>
        <x:v>196</x:v>
      </x:c>
      <x:c r="R1482" s="11" t="n">
        <x:f>IF(D1482="Completed",I1482,0)</x:f>
        <x:v>1</x:v>
      </x:c>
      <x:c r="S1482" s="11" t="n">
        <x:f>IF(D1482="Completed",L1482,0)</x:f>
        <x:v>0</x:v>
      </x:c>
      <x:c r="T1482" s="8" t="n">
        <x:f>DATE(YEAR(C1482),MONTH(C1482),1)</x:f>
        <x:v>45689</x:v>
      </x:c>
    </x:row>
    <x:row r="1483" ht="22" customHeight="1">
      <x:c r="A1483" s="2" t="str">
        <x:v>L001479</x:v>
      </x:c>
      <x:c r="B1483" s="2" t="str">
        <x:v>O00601</x:v>
      </x:c>
      <x:c r="C1483" s="7" t="n">
        <x:v>45701</x:v>
      </x:c>
      <x:c r="D1483" s="2" t="str">
        <x:v>Completed</x:v>
      </x:c>
      <x:c r="E1483" s="2" t="str">
        <x:v>East</x:v>
      </x:c>
      <x:c r="F1483" s="2" t="str">
        <x:v>Store</x:v>
      </x:c>
      <x:c r="G1483" s="2" t="str">
        <x:v>Lighting</x:v>
      </x:c>
      <x:c r="H1483" s="2" t="str">
        <x:v>Lamp 017</x:v>
      </x:c>
      <x:c r="I1483" s="11" t="n">
        <x:v>3</x:v>
      </x:c>
      <x:c r="J1483" s="9" t="n">
        <x:v>300</x:v>
      </x:c>
      <x:c r="K1483" s="10" t="n">
        <x:v>0.05</x:v>
      </x:c>
      <x:c r="L1483" s="11" t="n">
        <x:v>0</x:v>
      </x:c>
      <x:c r="M1483" s="9" t="n">
        <x:f>IF(D1483="Completed",I1483*J1483,0)</x:f>
        <x:v>900</x:v>
      </x:c>
      <x:c r="N1483" s="9" t="n">
        <x:f>M1483*K1483</x:f>
        <x:v>45</x:v>
      </x:c>
      <x:c r="O1483" s="9" t="n">
        <x:f>M1483-N1483</x:f>
        <x:v>855</x:v>
      </x:c>
      <x:c r="P1483" s="9" t="n">
        <x:f>IF(D1483="Completed",L1483*J1483*(1-K1483),0)</x:f>
        <x:v>0</x:v>
      </x:c>
      <x:c r="Q1483" s="9" t="n">
        <x:f>O1483-P1483</x:f>
        <x:v>855</x:v>
      </x:c>
      <x:c r="R1483" s="11" t="n">
        <x:f>IF(D1483="Completed",I1483,0)</x:f>
        <x:v>3</x:v>
      </x:c>
      <x:c r="S1483" s="11" t="n">
        <x:f>IF(D1483="Completed",L1483,0)</x:f>
        <x:v>0</x:v>
      </x:c>
      <x:c r="T1483" s="8" t="n">
        <x:f>DATE(YEAR(C1483),MONTH(C1483),1)</x:f>
        <x:v>45689</x:v>
      </x:c>
    </x:row>
    <x:row r="1484" ht="22" customHeight="1">
      <x:c r="A1484" s="2" t="str">
        <x:v>L001480</x:v>
      </x:c>
      <x:c r="B1484" s="2" t="str">
        <x:v>O00601</x:v>
      </x:c>
      <x:c r="C1484" s="7" t="n">
        <x:v>45701</x:v>
      </x:c>
      <x:c r="D1484" s="2" t="str">
        <x:v>Completed</x:v>
      </x:c>
      <x:c r="E1484" s="2" t="str">
        <x:v>East</x:v>
      </x:c>
      <x:c r="F1484" s="2" t="str">
        <x:v>Store</x:v>
      </x:c>
      <x:c r="G1484" s="2" t="str">
        <x:v>Furniture</x:v>
      </x:c>
      <x:c r="H1484" s="2" t="str">
        <x:v>Desk 024</x:v>
      </x:c>
      <x:c r="I1484" s="11" t="n">
        <x:v>1</x:v>
      </x:c>
      <x:c r="J1484" s="9" t="n">
        <x:v>81</x:v>
      </x:c>
      <x:c r="K1484" s="10" t="n">
        <x:v>0.05</x:v>
      </x:c>
      <x:c r="L1484" s="11" t="n">
        <x:v>1</x:v>
      </x:c>
      <x:c r="M1484" s="9" t="n">
        <x:f>IF(D1484="Completed",I1484*J1484,0)</x:f>
        <x:v>81</x:v>
      </x:c>
      <x:c r="N1484" s="9" t="n">
        <x:f>M1484*K1484</x:f>
        <x:v>4.05</x:v>
      </x:c>
      <x:c r="O1484" s="9" t="n">
        <x:f>M1484-N1484</x:f>
        <x:v>76.95</x:v>
      </x:c>
      <x:c r="P1484" s="9" t="n">
        <x:f>IF(D1484="Completed",L1484*J1484*(1-K1484),0)</x:f>
        <x:v>76.95</x:v>
      </x:c>
      <x:c r="Q1484" s="9" t="n">
        <x:f>O1484-P1484</x:f>
        <x:v>0</x:v>
      </x:c>
      <x:c r="R1484" s="11" t="n">
        <x:f>IF(D1484="Completed",I1484,0)</x:f>
        <x:v>1</x:v>
      </x:c>
      <x:c r="S1484" s="11" t="n">
        <x:f>IF(D1484="Completed",L1484,0)</x:f>
        <x:v>1</x:v>
      </x:c>
      <x:c r="T1484" s="8" t="n">
        <x:f>DATE(YEAR(C1484),MONTH(C1484),1)</x:f>
        <x:v>45689</x:v>
      </x:c>
    </x:row>
    <x:row r="1485" ht="22" customHeight="1">
      <x:c r="A1485" s="2" t="str">
        <x:v>L001481</x:v>
      </x:c>
      <x:c r="B1485" s="2" t="str">
        <x:v>O00601</x:v>
      </x:c>
      <x:c r="C1485" s="7" t="n">
        <x:v>45701</x:v>
      </x:c>
      <x:c r="D1485" s="2" t="str">
        <x:v>Completed</x:v>
      </x:c>
      <x:c r="E1485" s="2" t="str">
        <x:v>East</x:v>
      </x:c>
      <x:c r="F1485" s="2" t="str">
        <x:v>Store</x:v>
      </x:c>
      <x:c r="G1485" s="2" t="str">
        <x:v>Furniture</x:v>
      </x:c>
      <x:c r="H1485" s="2" t="str">
        <x:v>Desk 008</x:v>
      </x:c>
      <x:c r="I1485" s="11" t="n">
        <x:v>3</x:v>
      </x:c>
      <x:c r="J1485" s="9" t="n">
        <x:v>188</x:v>
      </x:c>
      <x:c r="K1485" s="10" t="n">
        <x:v>0</x:v>
      </x:c>
      <x:c r="L1485" s="11" t="n">
        <x:v>0</x:v>
      </x:c>
      <x:c r="M1485" s="9" t="n">
        <x:f>IF(D1485="Completed",I1485*J1485,0)</x:f>
        <x:v>564</x:v>
      </x:c>
      <x:c r="N1485" s="9" t="n">
        <x:f>M1485*K1485</x:f>
        <x:v>0</x:v>
      </x:c>
      <x:c r="O1485" s="9" t="n">
        <x:f>M1485-N1485</x:f>
        <x:v>564</x:v>
      </x:c>
      <x:c r="P1485" s="9" t="n">
        <x:f>IF(D1485="Completed",L1485*J1485*(1-K1485),0)</x:f>
        <x:v>0</x:v>
      </x:c>
      <x:c r="Q1485" s="9" t="n">
        <x:f>O1485-P1485</x:f>
        <x:v>564</x:v>
      </x:c>
      <x:c r="R1485" s="11" t="n">
        <x:f>IF(D1485="Completed",I1485,0)</x:f>
        <x:v>3</x:v>
      </x:c>
      <x:c r="S1485" s="11" t="n">
        <x:f>IF(D1485="Completed",L1485,0)</x:f>
        <x:v>0</x:v>
      </x:c>
      <x:c r="T1485" s="8" t="n">
        <x:f>DATE(YEAR(C1485),MONTH(C1485),1)</x:f>
        <x:v>45689</x:v>
      </x:c>
    </x:row>
    <x:row r="1486" ht="22" customHeight="1">
      <x:c r="A1486" s="2" t="str">
        <x:v>L001482</x:v>
      </x:c>
      <x:c r="B1486" s="2" t="str">
        <x:v>O00602</x:v>
      </x:c>
      <x:c r="C1486" s="7" t="n">
        <x:v>45711</x:v>
      </x:c>
      <x:c r="D1486" s="2" t="str">
        <x:v>Completed</x:v>
      </x:c>
      <x:c r="E1486" s="2" t="str">
        <x:v>South</x:v>
      </x:c>
      <x:c r="F1486" s="2" t="str">
        <x:v>Online</x:v>
      </x:c>
      <x:c r="G1486" s="2" t="str">
        <x:v>Furniture</x:v>
      </x:c>
      <x:c r="H1486" s="2" t="str">
        <x:v>Chair 006</x:v>
      </x:c>
      <x:c r="I1486" s="11" t="n">
        <x:v>2</x:v>
      </x:c>
      <x:c r="J1486" s="9" t="n">
        <x:v>196</x:v>
      </x:c>
      <x:c r="K1486" s="10" t="n">
        <x:v>0.2</x:v>
      </x:c>
      <x:c r="L1486" s="11" t="n">
        <x:v>0</x:v>
      </x:c>
      <x:c r="M1486" s="9" t="n">
        <x:f>IF(D1486="Completed",I1486*J1486,0)</x:f>
        <x:v>392</x:v>
      </x:c>
      <x:c r="N1486" s="9" t="n">
        <x:f>M1486*K1486</x:f>
        <x:v>78.4</x:v>
      </x:c>
      <x:c r="O1486" s="9" t="n">
        <x:f>M1486-N1486</x:f>
        <x:v>313.6</x:v>
      </x:c>
      <x:c r="P1486" s="9" t="n">
        <x:f>IF(D1486="Completed",L1486*J1486*(1-K1486),0)</x:f>
        <x:v>0</x:v>
      </x:c>
      <x:c r="Q1486" s="9" t="n">
        <x:f>O1486-P1486</x:f>
        <x:v>313.6</x:v>
      </x:c>
      <x:c r="R1486" s="11" t="n">
        <x:f>IF(D1486="Completed",I1486,0)</x:f>
        <x:v>2</x:v>
      </x:c>
      <x:c r="S1486" s="11" t="n">
        <x:f>IF(D1486="Completed",L1486,0)</x:f>
        <x:v>0</x:v>
      </x:c>
      <x:c r="T1486" s="8" t="n">
        <x:f>DATE(YEAR(C1486),MONTH(C1486),1)</x:f>
        <x:v>45689</x:v>
      </x:c>
    </x:row>
    <x:row r="1487" ht="22" customHeight="1">
      <x:c r="A1487" s="2" t="str">
        <x:v>L001483</x:v>
      </x:c>
      <x:c r="B1487" s="2" t="str">
        <x:v>O00602</x:v>
      </x:c>
      <x:c r="C1487" s="7" t="n">
        <x:v>45711</x:v>
      </x:c>
      <x:c r="D1487" s="2" t="str">
        <x:v>Completed</x:v>
      </x:c>
      <x:c r="E1487" s="2" t="str">
        <x:v>South</x:v>
      </x:c>
      <x:c r="F1487" s="2" t="str">
        <x:v>Online</x:v>
      </x:c>
      <x:c r="G1487" s="2" t="str">
        <x:v>Furniture</x:v>
      </x:c>
      <x:c r="H1487" s="2" t="str">
        <x:v>Chair 002</x:v>
      </x:c>
      <x:c r="I1487" s="11" t="n">
        <x:v>4</x:v>
      </x:c>
      <x:c r="J1487" s="9" t="n">
        <x:v>284</x:v>
      </x:c>
      <x:c r="K1487" s="10" t="n">
        <x:v>0.2</x:v>
      </x:c>
      <x:c r="L1487" s="11" t="n">
        <x:v>0</x:v>
      </x:c>
      <x:c r="M1487" s="9" t="n">
        <x:f>IF(D1487="Completed",I1487*J1487,0)</x:f>
        <x:v>1136</x:v>
      </x:c>
      <x:c r="N1487" s="9" t="n">
        <x:f>M1487*K1487</x:f>
        <x:v>227.20000000000002</x:v>
      </x:c>
      <x:c r="O1487" s="9" t="n">
        <x:f>M1487-N1487</x:f>
        <x:v>908.8</x:v>
      </x:c>
      <x:c r="P1487" s="9" t="n">
        <x:f>IF(D1487="Completed",L1487*J1487*(1-K1487),0)</x:f>
        <x:v>0</x:v>
      </x:c>
      <x:c r="Q1487" s="9" t="n">
        <x:f>O1487-P1487</x:f>
        <x:v>908.8</x:v>
      </x:c>
      <x:c r="R1487" s="11" t="n">
        <x:f>IF(D1487="Completed",I1487,0)</x:f>
        <x:v>4</x:v>
      </x:c>
      <x:c r="S1487" s="11" t="n">
        <x:f>IF(D1487="Completed",L1487,0)</x:f>
        <x:v>0</x:v>
      </x:c>
      <x:c r="T1487" s="8" t="n">
        <x:f>DATE(YEAR(C1487),MONTH(C1487),1)</x:f>
        <x:v>45689</x:v>
      </x:c>
    </x:row>
    <x:row r="1488" ht="22" customHeight="1">
      <x:c r="A1488" s="2" t="str">
        <x:v>L001484</x:v>
      </x:c>
      <x:c r="B1488" s="2" t="str">
        <x:v>O00602</x:v>
      </x:c>
      <x:c r="C1488" s="7" t="n">
        <x:v>45711</x:v>
      </x:c>
      <x:c r="D1488" s="2" t="str">
        <x:v>Completed</x:v>
      </x:c>
      <x:c r="E1488" s="2" t="str">
        <x:v>South</x:v>
      </x:c>
      <x:c r="F1488" s="2" t="str">
        <x:v>Online</x:v>
      </x:c>
      <x:c r="G1488" s="2" t="str">
        <x:v>Lighting</x:v>
      </x:c>
      <x:c r="H1488" s="2" t="str">
        <x:v>Lamp 017</x:v>
      </x:c>
      <x:c r="I1488" s="11" t="n">
        <x:v>5</x:v>
      </x:c>
      <x:c r="J1488" s="9" t="n">
        <x:v>300</x:v>
      </x:c>
      <x:c r="K1488" s="10" t="n">
        <x:v>0</x:v>
      </x:c>
      <x:c r="L1488" s="11" t="n">
        <x:v>0</x:v>
      </x:c>
      <x:c r="M1488" s="9" t="n">
        <x:f>IF(D1488="Completed",I1488*J1488,0)</x:f>
        <x:v>1500</x:v>
      </x:c>
      <x:c r="N1488" s="9" t="n">
        <x:f>M1488*K1488</x:f>
        <x:v>0</x:v>
      </x:c>
      <x:c r="O1488" s="9" t="n">
        <x:f>M1488-N1488</x:f>
        <x:v>1500</x:v>
      </x:c>
      <x:c r="P1488" s="9" t="n">
        <x:f>IF(D1488="Completed",L1488*J1488*(1-K1488),0)</x:f>
        <x:v>0</x:v>
      </x:c>
      <x:c r="Q1488" s="9" t="n">
        <x:f>O1488-P1488</x:f>
        <x:v>1500</x:v>
      </x:c>
      <x:c r="R1488" s="11" t="n">
        <x:f>IF(D1488="Completed",I1488,0)</x:f>
        <x:v>5</x:v>
      </x:c>
      <x:c r="S1488" s="11" t="n">
        <x:f>IF(D1488="Completed",L1488,0)</x:f>
        <x:v>0</x:v>
      </x:c>
      <x:c r="T1488" s="8" t="n">
        <x:f>DATE(YEAR(C1488),MONTH(C1488),1)</x:f>
        <x:v>45689</x:v>
      </x:c>
    </x:row>
    <x:row r="1489" ht="22" customHeight="1">
      <x:c r="A1489" s="2" t="str">
        <x:v>L001485</x:v>
      </x:c>
      <x:c r="B1489" s="2" t="str">
        <x:v>O00603</x:v>
      </x:c>
      <x:c r="C1489" s="7" t="n">
        <x:v>46011</x:v>
      </x:c>
      <x:c r="D1489" s="2" t="str">
        <x:v>Completed</x:v>
      </x:c>
      <x:c r="E1489" s="2" t="str">
        <x:v>North</x:v>
      </x:c>
      <x:c r="F1489" s="2" t="str">
        <x:v>Store</x:v>
      </x:c>
      <x:c r="G1489" s="2" t="str">
        <x:v>Lighting</x:v>
      </x:c>
      <x:c r="H1489" s="2" t="str">
        <x:v>Lamp 009</x:v>
      </x:c>
      <x:c r="I1489" s="11" t="n">
        <x:v>4</x:v>
      </x:c>
      <x:c r="J1489" s="9" t="n">
        <x:v>93</x:v>
      </x:c>
      <x:c r="K1489" s="10" t="n">
        <x:v>0.05</x:v>
      </x:c>
      <x:c r="L1489" s="11" t="n">
        <x:v>0</x:v>
      </x:c>
      <x:c r="M1489" s="9" t="n">
        <x:f>IF(D1489="Completed",I1489*J1489,0)</x:f>
        <x:v>372</x:v>
      </x:c>
      <x:c r="N1489" s="9" t="n">
        <x:f>M1489*K1489</x:f>
        <x:v>18.6</x:v>
      </x:c>
      <x:c r="O1489" s="9" t="n">
        <x:f>M1489-N1489</x:f>
        <x:v>353.4</x:v>
      </x:c>
      <x:c r="P1489" s="9" t="n">
        <x:f>IF(D1489="Completed",L1489*J1489*(1-K1489),0)</x:f>
        <x:v>0</x:v>
      </x:c>
      <x:c r="Q1489" s="9" t="n">
        <x:f>O1489-P1489</x:f>
        <x:v>353.4</x:v>
      </x:c>
      <x:c r="R1489" s="11" t="n">
        <x:f>IF(D1489="Completed",I1489,0)</x:f>
        <x:v>4</x:v>
      </x:c>
      <x:c r="S1489" s="11" t="n">
        <x:f>IF(D1489="Completed",L1489,0)</x:f>
        <x:v>0</x:v>
      </x:c>
      <x:c r="T1489" s="8" t="n">
        <x:f>DATE(YEAR(C1489),MONTH(C1489),1)</x:f>
        <x:v>45992</x:v>
      </x:c>
    </x:row>
    <x:row r="1490" ht="22" customHeight="1">
      <x:c r="A1490" s="2" t="str">
        <x:v>L001486</x:v>
      </x:c>
      <x:c r="B1490" s="2" t="str">
        <x:v>O00603</x:v>
      </x:c>
      <x:c r="C1490" s="7" t="n">
        <x:v>46011</x:v>
      </x:c>
      <x:c r="D1490" s="2" t="str">
        <x:v>Completed</x:v>
      </x:c>
      <x:c r="E1490" s="2" t="str">
        <x:v>North</x:v>
      </x:c>
      <x:c r="F1490" s="2" t="str">
        <x:v>Store</x:v>
      </x:c>
      <x:c r="G1490" s="2" t="str">
        <x:v>Furniture</x:v>
      </x:c>
      <x:c r="H1490" s="2" t="str">
        <x:v>Desk 004</x:v>
      </x:c>
      <x:c r="I1490" s="11" t="n">
        <x:v>5</x:v>
      </x:c>
      <x:c r="J1490" s="9" t="n">
        <x:v>123</x:v>
      </x:c>
      <x:c r="K1490" s="10" t="n">
        <x:v>0.1</x:v>
      </x:c>
      <x:c r="L1490" s="11" t="n">
        <x:v>0</x:v>
      </x:c>
      <x:c r="M1490" s="9" t="n">
        <x:f>IF(D1490="Completed",I1490*J1490,0)</x:f>
        <x:v>615</x:v>
      </x:c>
      <x:c r="N1490" s="9" t="n">
        <x:f>M1490*K1490</x:f>
        <x:v>61.5</x:v>
      </x:c>
      <x:c r="O1490" s="9" t="n">
        <x:f>M1490-N1490</x:f>
        <x:v>553.5</x:v>
      </x:c>
      <x:c r="P1490" s="9" t="n">
        <x:f>IF(D1490="Completed",L1490*J1490*(1-K1490),0)</x:f>
        <x:v>0</x:v>
      </x:c>
      <x:c r="Q1490" s="9" t="n">
        <x:f>O1490-P1490</x:f>
        <x:v>553.5</x:v>
      </x:c>
      <x:c r="R1490" s="11" t="n">
        <x:f>IF(D1490="Completed",I1490,0)</x:f>
        <x:v>5</x:v>
      </x:c>
      <x:c r="S1490" s="11" t="n">
        <x:f>IF(D1490="Completed",L1490,0)</x:f>
        <x:v>0</x:v>
      </x:c>
      <x:c r="T1490" s="8" t="n">
        <x:f>DATE(YEAR(C1490),MONTH(C1490),1)</x:f>
        <x:v>45992</x:v>
      </x:c>
    </x:row>
    <x:row r="1491" ht="22" customHeight="1">
      <x:c r="A1491" s="2" t="str">
        <x:v>L001487</x:v>
      </x:c>
      <x:c r="B1491" s="2" t="str">
        <x:v>O00603</x:v>
      </x:c>
      <x:c r="C1491" s="7" t="n">
        <x:v>46011</x:v>
      </x:c>
      <x:c r="D1491" s="2" t="str">
        <x:v>Completed</x:v>
      </x:c>
      <x:c r="E1491" s="2" t="str">
        <x:v>North</x:v>
      </x:c>
      <x:c r="F1491" s="2" t="str">
        <x:v>Store</x:v>
      </x:c>
      <x:c r="G1491" s="2" t="str">
        <x:v>Furniture</x:v>
      </x:c>
      <x:c r="H1491" s="2" t="str">
        <x:v>Desk 008</x:v>
      </x:c>
      <x:c r="I1491" s="11" t="n">
        <x:v>3</x:v>
      </x:c>
      <x:c r="J1491" s="9" t="n">
        <x:v>188</x:v>
      </x:c>
      <x:c r="K1491" s="10" t="n">
        <x:v>0.2</x:v>
      </x:c>
      <x:c r="L1491" s="11" t="n">
        <x:v>0</x:v>
      </x:c>
      <x:c r="M1491" s="9" t="n">
        <x:f>IF(D1491="Completed",I1491*J1491,0)</x:f>
        <x:v>564</x:v>
      </x:c>
      <x:c r="N1491" s="9" t="n">
        <x:f>M1491*K1491</x:f>
        <x:v>112.80000000000001</x:v>
      </x:c>
      <x:c r="O1491" s="9" t="n">
        <x:f>M1491-N1491</x:f>
        <x:v>451.2</x:v>
      </x:c>
      <x:c r="P1491" s="9" t="n">
        <x:f>IF(D1491="Completed",L1491*J1491*(1-K1491),0)</x:f>
        <x:v>0</x:v>
      </x:c>
      <x:c r="Q1491" s="9" t="n">
        <x:f>O1491-P1491</x:f>
        <x:v>451.2</x:v>
      </x:c>
      <x:c r="R1491" s="11" t="n">
        <x:f>IF(D1491="Completed",I1491,0)</x:f>
        <x:v>3</x:v>
      </x:c>
      <x:c r="S1491" s="11" t="n">
        <x:f>IF(D1491="Completed",L1491,0)</x:f>
        <x:v>0</x:v>
      </x:c>
      <x:c r="T1491" s="8" t="n">
        <x:f>DATE(YEAR(C1491),MONTH(C1491),1)</x:f>
        <x:v>45992</x:v>
      </x:c>
    </x:row>
    <x:row r="1492" ht="22" customHeight="1">
      <x:c r="A1492" s="2" t="str">
        <x:v>L001488</x:v>
      </x:c>
      <x:c r="B1492" s="2" t="str">
        <x:v>O00604</x:v>
      </x:c>
      <x:c r="C1492" s="7" t="n">
        <x:v>45682</x:v>
      </x:c>
      <x:c r="D1492" s="2" t="str">
        <x:v>Completed</x:v>
      </x:c>
      <x:c r="E1492" s="2" t="str">
        <x:v>North</x:v>
      </x:c>
      <x:c r="F1492" s="2" t="str">
        <x:v>Store</x:v>
      </x:c>
      <x:c r="G1492" s="2" t="str">
        <x:v>Storage</x:v>
      </x:c>
      <x:c r="H1492" s="2" t="str">
        <x:v>Shelf 003</x:v>
      </x:c>
      <x:c r="I1492" s="11" t="n">
        <x:v>5</x:v>
      </x:c>
      <x:c r="J1492" s="9" t="n">
        <x:v>199</x:v>
      </x:c>
      <x:c r="K1492" s="10" t="n">
        <x:v>0.1</x:v>
      </x:c>
      <x:c r="L1492" s="11" t="n">
        <x:v>0</x:v>
      </x:c>
      <x:c r="M1492" s="9" t="n">
        <x:f>IF(D1492="Completed",I1492*J1492,0)</x:f>
        <x:v>995</x:v>
      </x:c>
      <x:c r="N1492" s="9" t="n">
        <x:f>M1492*K1492</x:f>
        <x:v>99.5</x:v>
      </x:c>
      <x:c r="O1492" s="9" t="n">
        <x:f>M1492-N1492</x:f>
        <x:v>895.5</x:v>
      </x:c>
      <x:c r="P1492" s="9" t="n">
        <x:f>IF(D1492="Completed",L1492*J1492*(1-K1492),0)</x:f>
        <x:v>0</x:v>
      </x:c>
      <x:c r="Q1492" s="9" t="n">
        <x:f>O1492-P1492</x:f>
        <x:v>895.5</x:v>
      </x:c>
      <x:c r="R1492" s="11" t="n">
        <x:f>IF(D1492="Completed",I1492,0)</x:f>
        <x:v>5</x:v>
      </x:c>
      <x:c r="S1492" s="11" t="n">
        <x:f>IF(D1492="Completed",L1492,0)</x:f>
        <x:v>0</x:v>
      </x:c>
      <x:c r="T1492" s="8" t="n">
        <x:f>DATE(YEAR(C1492),MONTH(C1492),1)</x:f>
        <x:v>45658</x:v>
      </x:c>
    </x:row>
    <x:row r="1493" ht="22" customHeight="1">
      <x:c r="A1493" s="2" t="str">
        <x:v>L001489</x:v>
      </x:c>
      <x:c r="B1493" s="2" t="str">
        <x:v>O00604</x:v>
      </x:c>
      <x:c r="C1493" s="7" t="n">
        <x:v>45682</x:v>
      </x:c>
      <x:c r="D1493" s="2" t="str">
        <x:v>Completed</x:v>
      </x:c>
      <x:c r="E1493" s="2" t="str">
        <x:v>North</x:v>
      </x:c>
      <x:c r="F1493" s="2" t="str">
        <x:v>Store</x:v>
      </x:c>
      <x:c r="G1493" s="2" t="str">
        <x:v>Storage</x:v>
      </x:c>
      <x:c r="H1493" s="2" t="str">
        <x:v>Shelf 015</x:v>
      </x:c>
      <x:c r="I1493" s="11" t="n">
        <x:v>2</x:v>
      </x:c>
      <x:c r="J1493" s="9" t="n">
        <x:v>254</x:v>
      </x:c>
      <x:c r="K1493" s="10" t="n">
        <x:v>0.1</x:v>
      </x:c>
      <x:c r="L1493" s="11" t="n">
        <x:v>0</x:v>
      </x:c>
      <x:c r="M1493" s="9" t="n">
        <x:f>IF(D1493="Completed",I1493*J1493,0)</x:f>
        <x:v>508</x:v>
      </x:c>
      <x:c r="N1493" s="9" t="n">
        <x:f>M1493*K1493</x:f>
        <x:v>50.800000000000004</x:v>
      </x:c>
      <x:c r="O1493" s="9" t="n">
        <x:f>M1493-N1493</x:f>
        <x:v>457.2</x:v>
      </x:c>
      <x:c r="P1493" s="9" t="n">
        <x:f>IF(D1493="Completed",L1493*J1493*(1-K1493),0)</x:f>
        <x:v>0</x:v>
      </x:c>
      <x:c r="Q1493" s="9" t="n">
        <x:f>O1493-P1493</x:f>
        <x:v>457.2</x:v>
      </x:c>
      <x:c r="R1493" s="11" t="n">
        <x:f>IF(D1493="Completed",I1493,0)</x:f>
        <x:v>2</x:v>
      </x:c>
      <x:c r="S1493" s="11" t="n">
        <x:f>IF(D1493="Completed",L1493,0)</x:f>
        <x:v>0</x:v>
      </x:c>
      <x:c r="T1493" s="8" t="n">
        <x:f>DATE(YEAR(C1493),MONTH(C1493),1)</x:f>
        <x:v>45658</x:v>
      </x:c>
    </x:row>
    <x:row r="1494" ht="22" customHeight="1">
      <x:c r="A1494" s="2" t="str">
        <x:v>L001490</x:v>
      </x:c>
      <x:c r="B1494" s="2" t="str">
        <x:v>O00604</x:v>
      </x:c>
      <x:c r="C1494" s="7" t="n">
        <x:v>45682</x:v>
      </x:c>
      <x:c r="D1494" s="2" t="str">
        <x:v>Completed</x:v>
      </x:c>
      <x:c r="E1494" s="2" t="str">
        <x:v>North</x:v>
      </x:c>
      <x:c r="F1494" s="2" t="str">
        <x:v>Store</x:v>
      </x:c>
      <x:c r="G1494" s="2" t="str">
        <x:v>Storage</x:v>
      </x:c>
      <x:c r="H1494" s="2" t="str">
        <x:v>Shelf 003</x:v>
      </x:c>
      <x:c r="I1494" s="11" t="n">
        <x:v>5</x:v>
      </x:c>
      <x:c r="J1494" s="9" t="n">
        <x:v>199</x:v>
      </x:c>
      <x:c r="K1494" s="10" t="n">
        <x:v>0.2</x:v>
      </x:c>
      <x:c r="L1494" s="11" t="n">
        <x:v>0</x:v>
      </x:c>
      <x:c r="M1494" s="9" t="n">
        <x:f>IF(D1494="Completed",I1494*J1494,0)</x:f>
        <x:v>995</x:v>
      </x:c>
      <x:c r="N1494" s="9" t="n">
        <x:f>M1494*K1494</x:f>
        <x:v>199</x:v>
      </x:c>
      <x:c r="O1494" s="9" t="n">
        <x:f>M1494-N1494</x:f>
        <x:v>796</x:v>
      </x:c>
      <x:c r="P1494" s="9" t="n">
        <x:f>IF(D1494="Completed",L1494*J1494*(1-K1494),0)</x:f>
        <x:v>0</x:v>
      </x:c>
      <x:c r="Q1494" s="9" t="n">
        <x:f>O1494-P1494</x:f>
        <x:v>796</x:v>
      </x:c>
      <x:c r="R1494" s="11" t="n">
        <x:f>IF(D1494="Completed",I1494,0)</x:f>
        <x:v>5</x:v>
      </x:c>
      <x:c r="S1494" s="11" t="n">
        <x:f>IF(D1494="Completed",L1494,0)</x:f>
        <x:v>0</x:v>
      </x:c>
      <x:c r="T1494" s="8" t="n">
        <x:f>DATE(YEAR(C1494),MONTH(C1494),1)</x:f>
        <x:v>45658</x:v>
      </x:c>
    </x:row>
    <x:row r="1495" ht="22" customHeight="1">
      <x:c r="A1495" s="2" t="str">
        <x:v>L001491</x:v>
      </x:c>
      <x:c r="B1495" s="2" t="str">
        <x:v>O00605</x:v>
      </x:c>
      <x:c r="C1495" s="7" t="n">
        <x:v>45990</x:v>
      </x:c>
      <x:c r="D1495" s="2" t="str">
        <x:v>Completed</x:v>
      </x:c>
      <x:c r="E1495" s="2" t="str">
        <x:v>South</x:v>
      </x:c>
      <x:c r="F1495" s="2" t="str">
        <x:v>Store</x:v>
      </x:c>
      <x:c r="G1495" s="2" t="str">
        <x:v>Furniture</x:v>
      </x:c>
      <x:c r="H1495" s="2" t="str">
        <x:v>Chair 022</x:v>
      </x:c>
      <x:c r="I1495" s="11" t="n">
        <x:v>4</x:v>
      </x:c>
      <x:c r="J1495" s="9" t="n">
        <x:v>134</x:v>
      </x:c>
      <x:c r="K1495" s="10" t="n">
        <x:v>0.2</x:v>
      </x:c>
      <x:c r="L1495" s="11" t="n">
        <x:v>3</x:v>
      </x:c>
      <x:c r="M1495" s="9" t="n">
        <x:f>IF(D1495="Completed",I1495*J1495,0)</x:f>
        <x:v>536</x:v>
      </x:c>
      <x:c r="N1495" s="9" t="n">
        <x:f>M1495*K1495</x:f>
        <x:v>107.2</x:v>
      </x:c>
      <x:c r="O1495" s="9" t="n">
        <x:f>M1495-N1495</x:f>
        <x:v>428.8</x:v>
      </x:c>
      <x:c r="P1495" s="9" t="n">
        <x:f>IF(D1495="Completed",L1495*J1495*(1-K1495),0)</x:f>
        <x:v>321.6</x:v>
      </x:c>
      <x:c r="Q1495" s="9" t="n">
        <x:f>O1495-P1495</x:f>
        <x:v>107.19999999999999</x:v>
      </x:c>
      <x:c r="R1495" s="11" t="n">
        <x:f>IF(D1495="Completed",I1495,0)</x:f>
        <x:v>4</x:v>
      </x:c>
      <x:c r="S1495" s="11" t="n">
        <x:f>IF(D1495="Completed",L1495,0)</x:f>
        <x:v>3</x:v>
      </x:c>
      <x:c r="T1495" s="8" t="n">
        <x:f>DATE(YEAR(C1495),MONTH(C1495),1)</x:f>
        <x:v>45962</x:v>
      </x:c>
    </x:row>
    <x:row r="1496" ht="22" customHeight="1">
      <x:c r="A1496" s="2" t="str">
        <x:v>L001492</x:v>
      </x:c>
      <x:c r="B1496" s="2" t="str">
        <x:v>O00606</x:v>
      </x:c>
      <x:c r="C1496" s="7" t="n">
        <x:v>45690</x:v>
      </x:c>
      <x:c r="D1496" s="2" t="str">
        <x:v>Completed</x:v>
      </x:c>
      <x:c r="E1496" s="2" t="str">
        <x:v>West</x:v>
      </x:c>
      <x:c r="F1496" s="2" t="str">
        <x:v>Store</x:v>
      </x:c>
      <x:c r="G1496" s="2" t="str">
        <x:v>Storage</x:v>
      </x:c>
      <x:c r="H1496" s="2" t="str">
        <x:v>Shelf 015</x:v>
      </x:c>
      <x:c r="I1496" s="11" t="n">
        <x:v>5</x:v>
      </x:c>
      <x:c r="J1496" s="9" t="n">
        <x:v>254</x:v>
      </x:c>
      <x:c r="K1496" s="10" t="n">
        <x:v>0.1</x:v>
      </x:c>
      <x:c r="L1496" s="11" t="n">
        <x:v>0</x:v>
      </x:c>
      <x:c r="M1496" s="9" t="n">
        <x:f>IF(D1496="Completed",I1496*J1496,0)</x:f>
        <x:v>1270</x:v>
      </x:c>
      <x:c r="N1496" s="9" t="n">
        <x:f>M1496*K1496</x:f>
        <x:v>127</x:v>
      </x:c>
      <x:c r="O1496" s="9" t="n">
        <x:f>M1496-N1496</x:f>
        <x:v>1143</x:v>
      </x:c>
      <x:c r="P1496" s="9" t="n">
        <x:f>IF(D1496="Completed",L1496*J1496*(1-K1496),0)</x:f>
        <x:v>0</x:v>
      </x:c>
      <x:c r="Q1496" s="9" t="n">
        <x:f>O1496-P1496</x:f>
        <x:v>1143</x:v>
      </x:c>
      <x:c r="R1496" s="11" t="n">
        <x:f>IF(D1496="Completed",I1496,0)</x:f>
        <x:v>5</x:v>
      </x:c>
      <x:c r="S1496" s="11" t="n">
        <x:f>IF(D1496="Completed",L1496,0)</x:f>
        <x:v>0</x:v>
      </x:c>
      <x:c r="T1496" s="8" t="n">
        <x:f>DATE(YEAR(C1496),MONTH(C1496),1)</x:f>
        <x:v>45689</x:v>
      </x:c>
    </x:row>
    <x:row r="1497" ht="22" customHeight="1">
      <x:c r="A1497" s="2" t="str">
        <x:v>L001493</x:v>
      </x:c>
      <x:c r="B1497" s="2" t="str">
        <x:v>O00606</x:v>
      </x:c>
      <x:c r="C1497" s="7" t="n">
        <x:v>45690</x:v>
      </x:c>
      <x:c r="D1497" s="2" t="str">
        <x:v>Completed</x:v>
      </x:c>
      <x:c r="E1497" s="2" t="str">
        <x:v>West</x:v>
      </x:c>
      <x:c r="F1497" s="2" t="str">
        <x:v>Store</x:v>
      </x:c>
      <x:c r="G1497" s="2" t="str">
        <x:v>Furniture</x:v>
      </x:c>
      <x:c r="H1497" s="2" t="str">
        <x:v>Chair 022</x:v>
      </x:c>
      <x:c r="I1497" s="11" t="n">
        <x:v>1</x:v>
      </x:c>
      <x:c r="J1497" s="9" t="n">
        <x:v>134</x:v>
      </x:c>
      <x:c r="K1497" s="10" t="n">
        <x:v>0</x:v>
      </x:c>
      <x:c r="L1497" s="11" t="n">
        <x:v>0</x:v>
      </x:c>
      <x:c r="M1497" s="9" t="n">
        <x:f>IF(D1497="Completed",I1497*J1497,0)</x:f>
        <x:v>134</x:v>
      </x:c>
      <x:c r="N1497" s="9" t="n">
        <x:f>M1497*K1497</x:f>
        <x:v>0</x:v>
      </x:c>
      <x:c r="O1497" s="9" t="n">
        <x:f>M1497-N1497</x:f>
        <x:v>134</x:v>
      </x:c>
      <x:c r="P1497" s="9" t="n">
        <x:f>IF(D1497="Completed",L1497*J1497*(1-K1497),0)</x:f>
        <x:v>0</x:v>
      </x:c>
      <x:c r="Q1497" s="9" t="n">
        <x:f>O1497-P1497</x:f>
        <x:v>134</x:v>
      </x:c>
      <x:c r="R1497" s="11" t="n">
        <x:f>IF(D1497="Completed",I1497,0)</x:f>
        <x:v>1</x:v>
      </x:c>
      <x:c r="S1497" s="11" t="n">
        <x:f>IF(D1497="Completed",L1497,0)</x:f>
        <x:v>0</x:v>
      </x:c>
      <x:c r="T1497" s="8" t="n">
        <x:f>DATE(YEAR(C1497),MONTH(C1497),1)</x:f>
        <x:v>45689</x:v>
      </x:c>
    </x:row>
    <x:row r="1498" ht="22" customHeight="1">
      <x:c r="A1498" s="2" t="str">
        <x:v>L001494</x:v>
      </x:c>
      <x:c r="B1498" s="2" t="str">
        <x:v>O00606</x:v>
      </x:c>
      <x:c r="C1498" s="7" t="n">
        <x:v>45690</x:v>
      </x:c>
      <x:c r="D1498" s="2" t="str">
        <x:v>Completed</x:v>
      </x:c>
      <x:c r="E1498" s="2" t="str">
        <x:v>West</x:v>
      </x:c>
      <x:c r="F1498" s="2" t="str">
        <x:v>Store</x:v>
      </x:c>
      <x:c r="G1498" s="2" t="str">
        <x:v>Furniture</x:v>
      </x:c>
      <x:c r="H1498" s="2" t="str">
        <x:v>Desk 020</x:v>
      </x:c>
      <x:c r="I1498" s="11" t="n">
        <x:v>4</x:v>
      </x:c>
      <x:c r="J1498" s="9" t="n">
        <x:v>189</x:v>
      </x:c>
      <x:c r="K1498" s="10" t="n">
        <x:v>0.2</x:v>
      </x:c>
      <x:c r="L1498" s="11" t="n">
        <x:v>0</x:v>
      </x:c>
      <x:c r="M1498" s="9" t="n">
        <x:f>IF(D1498="Completed",I1498*J1498,0)</x:f>
        <x:v>756</x:v>
      </x:c>
      <x:c r="N1498" s="9" t="n">
        <x:f>M1498*K1498</x:f>
        <x:v>151.20000000000002</x:v>
      </x:c>
      <x:c r="O1498" s="9" t="n">
        <x:f>M1498-N1498</x:f>
        <x:v>604.8</x:v>
      </x:c>
      <x:c r="P1498" s="9" t="n">
        <x:f>IF(D1498="Completed",L1498*J1498*(1-K1498),0)</x:f>
        <x:v>0</x:v>
      </x:c>
      <x:c r="Q1498" s="9" t="n">
        <x:f>O1498-P1498</x:f>
        <x:v>604.8</x:v>
      </x:c>
      <x:c r="R1498" s="11" t="n">
        <x:f>IF(D1498="Completed",I1498,0)</x:f>
        <x:v>4</x:v>
      </x:c>
      <x:c r="S1498" s="11" t="n">
        <x:f>IF(D1498="Completed",L1498,0)</x:f>
        <x:v>0</x:v>
      </x:c>
      <x:c r="T1498" s="8" t="n">
        <x:f>DATE(YEAR(C1498),MONTH(C1498),1)</x:f>
        <x:v>45689</x:v>
      </x:c>
    </x:row>
    <x:row r="1499" ht="22" customHeight="1">
      <x:c r="A1499" s="2" t="str">
        <x:v>L001495</x:v>
      </x:c>
      <x:c r="B1499" s="2" t="str">
        <x:v>O00606</x:v>
      </x:c>
      <x:c r="C1499" s="7" t="n">
        <x:v>45690</x:v>
      </x:c>
      <x:c r="D1499" s="2" t="str">
        <x:v>Completed</x:v>
      </x:c>
      <x:c r="E1499" s="2" t="str">
        <x:v>West</x:v>
      </x:c>
      <x:c r="F1499" s="2" t="str">
        <x:v>Store</x:v>
      </x:c>
      <x:c r="G1499" s="2" t="str">
        <x:v>Lighting</x:v>
      </x:c>
      <x:c r="H1499" s="2" t="str">
        <x:v>Lamp 005</x:v>
      </x:c>
      <x:c r="I1499" s="11" t="n">
        <x:v>4</x:v>
      </x:c>
      <x:c r="J1499" s="9" t="n">
        <x:v>65</x:v>
      </x:c>
      <x:c r="K1499" s="10" t="n">
        <x:v>0.05</x:v>
      </x:c>
      <x:c r="L1499" s="11" t="n">
        <x:v>0</x:v>
      </x:c>
      <x:c r="M1499" s="9" t="n">
        <x:f>IF(D1499="Completed",I1499*J1499,0)</x:f>
        <x:v>260</x:v>
      </x:c>
      <x:c r="N1499" s="9" t="n">
        <x:f>M1499*K1499</x:f>
        <x:v>13</x:v>
      </x:c>
      <x:c r="O1499" s="9" t="n">
        <x:f>M1499-N1499</x:f>
        <x:v>247</x:v>
      </x:c>
      <x:c r="P1499" s="9" t="n">
        <x:f>IF(D1499="Completed",L1499*J1499*(1-K1499),0)</x:f>
        <x:v>0</x:v>
      </x:c>
      <x:c r="Q1499" s="9" t="n">
        <x:f>O1499-P1499</x:f>
        <x:v>247</x:v>
      </x:c>
      <x:c r="R1499" s="11" t="n">
        <x:f>IF(D1499="Completed",I1499,0)</x:f>
        <x:v>4</x:v>
      </x:c>
      <x:c r="S1499" s="11" t="n">
        <x:f>IF(D1499="Completed",L1499,0)</x:f>
        <x:v>0</x:v>
      </x:c>
      <x:c r="T1499" s="8" t="n">
        <x:f>DATE(YEAR(C1499),MONTH(C1499),1)</x:f>
        <x:v>45689</x:v>
      </x:c>
    </x:row>
    <x:row r="1500" ht="22" customHeight="1">
      <x:c r="A1500" s="2" t="str">
        <x:v>L001496</x:v>
      </x:c>
      <x:c r="B1500" s="2" t="str">
        <x:v>O00607</x:v>
      </x:c>
      <x:c r="C1500" s="7" t="n">
        <x:v>45731</x:v>
      </x:c>
      <x:c r="D1500" s="2" t="str">
        <x:v>Completed</x:v>
      </x:c>
      <x:c r="E1500" s="2" t="str">
        <x:v>South</x:v>
      </x:c>
      <x:c r="F1500" s="2" t="str">
        <x:v>Store</x:v>
      </x:c>
      <x:c r="G1500" s="2" t="str">
        <x:v>Furniture</x:v>
      </x:c>
      <x:c r="H1500" s="2" t="str">
        <x:v>Chair 018</x:v>
      </x:c>
      <x:c r="I1500" s="11" t="n">
        <x:v>5</x:v>
      </x:c>
      <x:c r="J1500" s="9" t="n">
        <x:v>269</x:v>
      </x:c>
      <x:c r="K1500" s="10" t="n">
        <x:v>0.05</x:v>
      </x:c>
      <x:c r="L1500" s="11" t="n">
        <x:v>0</x:v>
      </x:c>
      <x:c r="M1500" s="9" t="n">
        <x:f>IF(D1500="Completed",I1500*J1500,0)</x:f>
        <x:v>1345</x:v>
      </x:c>
      <x:c r="N1500" s="9" t="n">
        <x:f>M1500*K1500</x:f>
        <x:v>67.25</x:v>
      </x:c>
      <x:c r="O1500" s="9" t="n">
        <x:f>M1500-N1500</x:f>
        <x:v>1277.75</x:v>
      </x:c>
      <x:c r="P1500" s="9" t="n">
        <x:f>IF(D1500="Completed",L1500*J1500*(1-K1500),0)</x:f>
        <x:v>0</x:v>
      </x:c>
      <x:c r="Q1500" s="9" t="n">
        <x:f>O1500-P1500</x:f>
        <x:v>1277.75</x:v>
      </x:c>
      <x:c r="R1500" s="11" t="n">
        <x:f>IF(D1500="Completed",I1500,0)</x:f>
        <x:v>5</x:v>
      </x:c>
      <x:c r="S1500" s="11" t="n">
        <x:f>IF(D1500="Completed",L1500,0)</x:f>
        <x:v>0</x:v>
      </x:c>
      <x:c r="T1500" s="8" t="n">
        <x:f>DATE(YEAR(C1500),MONTH(C1500),1)</x:f>
        <x:v>45717</x:v>
      </x:c>
    </x:row>
    <x:row r="1501" ht="22" customHeight="1">
      <x:c r="A1501" s="2" t="str">
        <x:v>L001497</x:v>
      </x:c>
      <x:c r="B1501" s="2" t="str">
        <x:v>O00607</x:v>
      </x:c>
      <x:c r="C1501" s="7" t="n">
        <x:v>45731</x:v>
      </x:c>
      <x:c r="D1501" s="2" t="str">
        <x:v>Completed</x:v>
      </x:c>
      <x:c r="E1501" s="2" t="str">
        <x:v>South</x:v>
      </x:c>
      <x:c r="F1501" s="2" t="str">
        <x:v>Store</x:v>
      </x:c>
      <x:c r="G1501" s="2" t="str">
        <x:v>Storage</x:v>
      </x:c>
      <x:c r="H1501" s="2" t="str">
        <x:v>Shelf 015</x:v>
      </x:c>
      <x:c r="I1501" s="11" t="n">
        <x:v>5</x:v>
      </x:c>
      <x:c r="J1501" s="9" t="n">
        <x:v>254</x:v>
      </x:c>
      <x:c r="K1501" s="10" t="n">
        <x:v>0.1</x:v>
      </x:c>
      <x:c r="L1501" s="11" t="n">
        <x:v>0</x:v>
      </x:c>
      <x:c r="M1501" s="9" t="n">
        <x:f>IF(D1501="Completed",I1501*J1501,0)</x:f>
        <x:v>1270</x:v>
      </x:c>
      <x:c r="N1501" s="9" t="n">
        <x:f>M1501*K1501</x:f>
        <x:v>127</x:v>
      </x:c>
      <x:c r="O1501" s="9" t="n">
        <x:f>M1501-N1501</x:f>
        <x:v>1143</x:v>
      </x:c>
      <x:c r="P1501" s="9" t="n">
        <x:f>IF(D1501="Completed",L1501*J1501*(1-K1501),0)</x:f>
        <x:v>0</x:v>
      </x:c>
      <x:c r="Q1501" s="9" t="n">
        <x:f>O1501-P1501</x:f>
        <x:v>1143</x:v>
      </x:c>
      <x:c r="R1501" s="11" t="n">
        <x:f>IF(D1501="Completed",I1501,0)</x:f>
        <x:v>5</x:v>
      </x:c>
      <x:c r="S1501" s="11" t="n">
        <x:f>IF(D1501="Completed",L1501,0)</x:f>
        <x:v>0</x:v>
      </x:c>
      <x:c r="T1501" s="8" t="n">
        <x:f>DATE(YEAR(C1501),MONTH(C1501),1)</x:f>
        <x:v>45717</x:v>
      </x:c>
    </x:row>
    <x:row r="1502" ht="22" customHeight="1">
      <x:c r="A1502" s="2" t="str">
        <x:v>L001498</x:v>
      </x:c>
      <x:c r="B1502" s="2" t="str">
        <x:v>O00608</x:v>
      </x:c>
      <x:c r="C1502" s="7" t="n">
        <x:v>45914</x:v>
      </x:c>
      <x:c r="D1502" s="2" t="str">
        <x:v>Completed</x:v>
      </x:c>
      <x:c r="E1502" s="2" t="str">
        <x:v>West</x:v>
      </x:c>
      <x:c r="F1502" s="2" t="str">
        <x:v>Online</x:v>
      </x:c>
      <x:c r="G1502" s="2" t="str">
        <x:v>Furniture</x:v>
      </x:c>
      <x:c r="H1502" s="2" t="str">
        <x:v>Chair 010</x:v>
      </x:c>
      <x:c r="I1502" s="11" t="n">
        <x:v>4</x:v>
      </x:c>
      <x:c r="J1502" s="9" t="n">
        <x:v>211</x:v>
      </x:c>
      <x:c r="K1502" s="10" t="n">
        <x:v>0.2</x:v>
      </x:c>
      <x:c r="L1502" s="11" t="n">
        <x:v>0</x:v>
      </x:c>
      <x:c r="M1502" s="9" t="n">
        <x:f>IF(D1502="Completed",I1502*J1502,0)</x:f>
        <x:v>844</x:v>
      </x:c>
      <x:c r="N1502" s="9" t="n">
        <x:f>M1502*K1502</x:f>
        <x:v>168.8</x:v>
      </x:c>
      <x:c r="O1502" s="9" t="n">
        <x:f>M1502-N1502</x:f>
        <x:v>675.2</x:v>
      </x:c>
      <x:c r="P1502" s="9" t="n">
        <x:f>IF(D1502="Completed",L1502*J1502*(1-K1502),0)</x:f>
        <x:v>0</x:v>
      </x:c>
      <x:c r="Q1502" s="9" t="n">
        <x:f>O1502-P1502</x:f>
        <x:v>675.2</x:v>
      </x:c>
      <x:c r="R1502" s="11" t="n">
        <x:f>IF(D1502="Completed",I1502,0)</x:f>
        <x:v>4</x:v>
      </x:c>
      <x:c r="S1502" s="11" t="n">
        <x:f>IF(D1502="Completed",L1502,0)</x:f>
        <x:v>0</x:v>
      </x:c>
      <x:c r="T1502" s="8" t="n">
        <x:f>DATE(YEAR(C1502),MONTH(C1502),1)</x:f>
        <x:v>45901</x:v>
      </x:c>
    </x:row>
    <x:row r="1503" ht="22" customHeight="1">
      <x:c r="A1503" s="2" t="str">
        <x:v>L001499</x:v>
      </x:c>
      <x:c r="B1503" s="2" t="str">
        <x:v>O00608</x:v>
      </x:c>
      <x:c r="C1503" s="7" t="n">
        <x:v>45914</x:v>
      </x:c>
      <x:c r="D1503" s="2" t="str">
        <x:v>Completed</x:v>
      </x:c>
      <x:c r="E1503" s="2" t="str">
        <x:v>West</x:v>
      </x:c>
      <x:c r="F1503" s="2" t="str">
        <x:v>Online</x:v>
      </x:c>
      <x:c r="G1503" s="2" t="str">
        <x:v>Lighting</x:v>
      </x:c>
      <x:c r="H1503" s="2" t="str">
        <x:v>Lamp 013</x:v>
      </x:c>
      <x:c r="I1503" s="11" t="n">
        <x:v>4</x:v>
      </x:c>
      <x:c r="J1503" s="9" t="n">
        <x:v>271</x:v>
      </x:c>
      <x:c r="K1503" s="10" t="n">
        <x:v>0.2</x:v>
      </x:c>
      <x:c r="L1503" s="11" t="n">
        <x:v>0</x:v>
      </x:c>
      <x:c r="M1503" s="9" t="n">
        <x:f>IF(D1503="Completed",I1503*J1503,0)</x:f>
        <x:v>1084</x:v>
      </x:c>
      <x:c r="N1503" s="9" t="n">
        <x:f>M1503*K1503</x:f>
        <x:v>216.8</x:v>
      </x:c>
      <x:c r="O1503" s="9" t="n">
        <x:f>M1503-N1503</x:f>
        <x:v>867.2</x:v>
      </x:c>
      <x:c r="P1503" s="9" t="n">
        <x:f>IF(D1503="Completed",L1503*J1503*(1-K1503),0)</x:f>
        <x:v>0</x:v>
      </x:c>
      <x:c r="Q1503" s="9" t="n">
        <x:f>O1503-P1503</x:f>
        <x:v>867.2</x:v>
      </x:c>
      <x:c r="R1503" s="11" t="n">
        <x:f>IF(D1503="Completed",I1503,0)</x:f>
        <x:v>4</x:v>
      </x:c>
      <x:c r="S1503" s="11" t="n">
        <x:f>IF(D1503="Completed",L1503,0)</x:f>
        <x:v>0</x:v>
      </x:c>
      <x:c r="T1503" s="8" t="n">
        <x:f>DATE(YEAR(C1503),MONTH(C1503),1)</x:f>
        <x:v>45901</x:v>
      </x:c>
    </x:row>
    <x:row r="1504" ht="22" customHeight="1">
      <x:c r="A1504" s="2" t="str">
        <x:v>L001500</x:v>
      </x:c>
      <x:c r="B1504" s="2" t="str">
        <x:v>O00608</x:v>
      </x:c>
      <x:c r="C1504" s="7" t="n">
        <x:v>45914</x:v>
      </x:c>
      <x:c r="D1504" s="2" t="str">
        <x:v>Completed</x:v>
      </x:c>
      <x:c r="E1504" s="2" t="str">
        <x:v>West</x:v>
      </x:c>
      <x:c r="F1504" s="2" t="str">
        <x:v>Online</x:v>
      </x:c>
      <x:c r="G1504" s="2" t="str">
        <x:v>Furniture</x:v>
      </x:c>
      <x:c r="H1504" s="2" t="str">
        <x:v>Chair 002</x:v>
      </x:c>
      <x:c r="I1504" s="11" t="n">
        <x:v>5</x:v>
      </x:c>
      <x:c r="J1504" s="9" t="n">
        <x:v>284</x:v>
      </x:c>
      <x:c r="K1504" s="10" t="n">
        <x:v>0.2</x:v>
      </x:c>
      <x:c r="L1504" s="11" t="n">
        <x:v>0</x:v>
      </x:c>
      <x:c r="M1504" s="9" t="n">
        <x:f>IF(D1504="Completed",I1504*J1504,0)</x:f>
        <x:v>1420</x:v>
      </x:c>
      <x:c r="N1504" s="9" t="n">
        <x:f>M1504*K1504</x:f>
        <x:v>284</x:v>
      </x:c>
      <x:c r="O1504" s="9" t="n">
        <x:f>M1504-N1504</x:f>
        <x:v>1136</x:v>
      </x:c>
      <x:c r="P1504" s="9" t="n">
        <x:f>IF(D1504="Completed",L1504*J1504*(1-K1504),0)</x:f>
        <x:v>0</x:v>
      </x:c>
      <x:c r="Q1504" s="9" t="n">
        <x:f>O1504-P1504</x:f>
        <x:v>1136</x:v>
      </x:c>
      <x:c r="R1504" s="11" t="n">
        <x:f>IF(D1504="Completed",I1504,0)</x:f>
        <x:v>5</x:v>
      </x:c>
      <x:c r="S1504" s="11" t="n">
        <x:f>IF(D1504="Completed",L1504,0)</x:f>
        <x:v>0</x:v>
      </x:c>
      <x:c r="T1504" s="8" t="n">
        <x:f>DATE(YEAR(C1504),MONTH(C1504),1)</x:f>
        <x:v>45901</x:v>
      </x:c>
    </x:row>
    <x:row r="1505" ht="22" customHeight="1">
      <x:c r="A1505" s="2" t="str">
        <x:v>L001501</x:v>
      </x:c>
      <x:c r="B1505" s="2" t="str">
        <x:v>O00609</x:v>
      </x:c>
      <x:c r="C1505" s="7" t="n">
        <x:v>45818</x:v>
      </x:c>
      <x:c r="D1505" s="2" t="str">
        <x:v>Completed</x:v>
      </x:c>
      <x:c r="E1505" s="2" t="str">
        <x:v>North</x:v>
      </x:c>
      <x:c r="F1505" s="2" t="str">
        <x:v>Online</x:v>
      </x:c>
      <x:c r="G1505" s="2" t="str">
        <x:v>Lighting</x:v>
      </x:c>
      <x:c r="H1505" s="2" t="str">
        <x:v>Lamp 013</x:v>
      </x:c>
      <x:c r="I1505" s="11" t="n">
        <x:v>4</x:v>
      </x:c>
      <x:c r="J1505" s="9" t="n">
        <x:v>271</x:v>
      </x:c>
      <x:c r="K1505" s="10" t="n">
        <x:v>0.1</x:v>
      </x:c>
      <x:c r="L1505" s="11" t="n">
        <x:v>0</x:v>
      </x:c>
      <x:c r="M1505" s="9" t="n">
        <x:f>IF(D1505="Completed",I1505*J1505,0)</x:f>
        <x:v>1084</x:v>
      </x:c>
      <x:c r="N1505" s="9" t="n">
        <x:f>M1505*K1505</x:f>
        <x:v>108.4</x:v>
      </x:c>
      <x:c r="O1505" s="9" t="n">
        <x:f>M1505-N1505</x:f>
        <x:v>975.6</x:v>
      </x:c>
      <x:c r="P1505" s="9" t="n">
        <x:f>IF(D1505="Completed",L1505*J1505*(1-K1505),0)</x:f>
        <x:v>0</x:v>
      </x:c>
      <x:c r="Q1505" s="9" t="n">
        <x:f>O1505-P1505</x:f>
        <x:v>975.6</x:v>
      </x:c>
      <x:c r="R1505" s="11" t="n">
        <x:f>IF(D1505="Completed",I1505,0)</x:f>
        <x:v>4</x:v>
      </x:c>
      <x:c r="S1505" s="11" t="n">
        <x:f>IF(D1505="Completed",L1505,0)</x:f>
        <x:v>0</x:v>
      </x:c>
      <x:c r="T1505" s="8" t="n">
        <x:f>DATE(YEAR(C1505),MONTH(C1505),1)</x:f>
        <x:v>45809</x:v>
      </x:c>
    </x:row>
    <x:row r="1506" ht="22" customHeight="1">
      <x:c r="A1506" s="2" t="str">
        <x:v>L001502</x:v>
      </x:c>
      <x:c r="B1506" s="2" t="str">
        <x:v>O00609</x:v>
      </x:c>
      <x:c r="C1506" s="7" t="n">
        <x:v>45818</x:v>
      </x:c>
      <x:c r="D1506" s="2" t="str">
        <x:v>Completed</x:v>
      </x:c>
      <x:c r="E1506" s="2" t="str">
        <x:v>North</x:v>
      </x:c>
      <x:c r="F1506" s="2" t="str">
        <x:v>Online</x:v>
      </x:c>
      <x:c r="G1506" s="2" t="str">
        <x:v>Furniture</x:v>
      </x:c>
      <x:c r="H1506" s="2" t="str">
        <x:v>Chair 006</x:v>
      </x:c>
      <x:c r="I1506" s="11" t="n">
        <x:v>2</x:v>
      </x:c>
      <x:c r="J1506" s="9" t="n">
        <x:v>196</x:v>
      </x:c>
      <x:c r="K1506" s="10" t="n">
        <x:v>0</x:v>
      </x:c>
      <x:c r="L1506" s="11" t="n">
        <x:v>0</x:v>
      </x:c>
      <x:c r="M1506" s="9" t="n">
        <x:f>IF(D1506="Completed",I1506*J1506,0)</x:f>
        <x:v>392</x:v>
      </x:c>
      <x:c r="N1506" s="9" t="n">
        <x:f>M1506*K1506</x:f>
        <x:v>0</x:v>
      </x:c>
      <x:c r="O1506" s="9" t="n">
        <x:f>M1506-N1506</x:f>
        <x:v>392</x:v>
      </x:c>
      <x:c r="P1506" s="9" t="n">
        <x:f>IF(D1506="Completed",L1506*J1506*(1-K1506),0)</x:f>
        <x:v>0</x:v>
      </x:c>
      <x:c r="Q1506" s="9" t="n">
        <x:f>O1506-P1506</x:f>
        <x:v>392</x:v>
      </x:c>
      <x:c r="R1506" s="11" t="n">
        <x:f>IF(D1506="Completed",I1506,0)</x:f>
        <x:v>2</x:v>
      </x:c>
      <x:c r="S1506" s="11" t="n">
        <x:f>IF(D1506="Completed",L1506,0)</x:f>
        <x:v>0</x:v>
      </x:c>
      <x:c r="T1506" s="8" t="n">
        <x:f>DATE(YEAR(C1506),MONTH(C1506),1)</x:f>
        <x:v>45809</x:v>
      </x:c>
    </x:row>
    <x:row r="1507" ht="22" customHeight="1">
      <x:c r="A1507" s="2" t="str">
        <x:v>L001503</x:v>
      </x:c>
      <x:c r="B1507" s="2" t="str">
        <x:v>O00610</x:v>
      </x:c>
      <x:c r="C1507" s="7" t="n">
        <x:v>45684</x:v>
      </x:c>
      <x:c r="D1507" s="2" t="str">
        <x:v>Completed</x:v>
      </x:c>
      <x:c r="E1507" s="2" t="str">
        <x:v>North</x:v>
      </x:c>
      <x:c r="F1507" s="2" t="str">
        <x:v>Store</x:v>
      </x:c>
      <x:c r="G1507" s="2" t="str">
        <x:v>Lighting</x:v>
      </x:c>
      <x:c r="H1507" s="2" t="str">
        <x:v>Lamp 017</x:v>
      </x:c>
      <x:c r="I1507" s="11" t="n">
        <x:v>3</x:v>
      </x:c>
      <x:c r="J1507" s="9" t="n">
        <x:v>300</x:v>
      </x:c>
      <x:c r="K1507" s="10" t="n">
        <x:v>0.05</x:v>
      </x:c>
      <x:c r="L1507" s="11" t="n">
        <x:v>0</x:v>
      </x:c>
      <x:c r="M1507" s="9" t="n">
        <x:f>IF(D1507="Completed",I1507*J1507,0)</x:f>
        <x:v>900</x:v>
      </x:c>
      <x:c r="N1507" s="9" t="n">
        <x:f>M1507*K1507</x:f>
        <x:v>45</x:v>
      </x:c>
      <x:c r="O1507" s="9" t="n">
        <x:f>M1507-N1507</x:f>
        <x:v>855</x:v>
      </x:c>
      <x:c r="P1507" s="9" t="n">
        <x:f>IF(D1507="Completed",L1507*J1507*(1-K1507),0)</x:f>
        <x:v>0</x:v>
      </x:c>
      <x:c r="Q1507" s="9" t="n">
        <x:f>O1507-P1507</x:f>
        <x:v>855</x:v>
      </x:c>
      <x:c r="R1507" s="11" t="n">
        <x:f>IF(D1507="Completed",I1507,0)</x:f>
        <x:v>3</x:v>
      </x:c>
      <x:c r="S1507" s="11" t="n">
        <x:f>IF(D1507="Completed",L1507,0)</x:f>
        <x:v>0</x:v>
      </x:c>
      <x:c r="T1507" s="8" t="n">
        <x:f>DATE(YEAR(C1507),MONTH(C1507),1)</x:f>
        <x:v>45658</x:v>
      </x:c>
    </x:row>
    <x:row r="1508" ht="22" customHeight="1">
      <x:c r="A1508" s="2" t="str">
        <x:v>L001504</x:v>
      </x:c>
      <x:c r="B1508" s="2" t="str">
        <x:v>O00610</x:v>
      </x:c>
      <x:c r="C1508" s="7" t="n">
        <x:v>45684</x:v>
      </x:c>
      <x:c r="D1508" s="2" t="str">
        <x:v>Completed</x:v>
      </x:c>
      <x:c r="E1508" s="2" t="str">
        <x:v>North</x:v>
      </x:c>
      <x:c r="F1508" s="2" t="str">
        <x:v>Store</x:v>
      </x:c>
      <x:c r="G1508" s="2" t="str">
        <x:v>Furniture</x:v>
      </x:c>
      <x:c r="H1508" s="2" t="str">
        <x:v>Chair 014</x:v>
      </x:c>
      <x:c r="I1508" s="11" t="n">
        <x:v>3</x:v>
      </x:c>
      <x:c r="J1508" s="9" t="n">
        <x:v>294</x:v>
      </x:c>
      <x:c r="K1508" s="10" t="n">
        <x:v>0.2</x:v>
      </x:c>
      <x:c r="L1508" s="11" t="n">
        <x:v>0</x:v>
      </x:c>
      <x:c r="M1508" s="9" t="n">
        <x:f>IF(D1508="Completed",I1508*J1508,0)</x:f>
        <x:v>882</x:v>
      </x:c>
      <x:c r="N1508" s="9" t="n">
        <x:f>M1508*K1508</x:f>
        <x:v>176.4</x:v>
      </x:c>
      <x:c r="O1508" s="9" t="n">
        <x:f>M1508-N1508</x:f>
        <x:v>705.6</x:v>
      </x:c>
      <x:c r="P1508" s="9" t="n">
        <x:f>IF(D1508="Completed",L1508*J1508*(1-K1508),0)</x:f>
        <x:v>0</x:v>
      </x:c>
      <x:c r="Q1508" s="9" t="n">
        <x:f>O1508-P1508</x:f>
        <x:v>705.6</x:v>
      </x:c>
      <x:c r="R1508" s="11" t="n">
        <x:f>IF(D1508="Completed",I1508,0)</x:f>
        <x:v>3</x:v>
      </x:c>
      <x:c r="S1508" s="11" t="n">
        <x:f>IF(D1508="Completed",L1508,0)</x:f>
        <x:v>0</x:v>
      </x:c>
      <x:c r="T1508" s="8" t="n">
        <x:f>DATE(YEAR(C1508),MONTH(C1508),1)</x:f>
        <x:v>45658</x:v>
      </x:c>
    </x:row>
    <x:row r="1509" ht="22" customHeight="1">
      <x:c r="A1509" s="2" t="str">
        <x:v>L001505</x:v>
      </x:c>
      <x:c r="B1509" s="2" t="str">
        <x:v>O00610</x:v>
      </x:c>
      <x:c r="C1509" s="7" t="n">
        <x:v>45684</x:v>
      </x:c>
      <x:c r="D1509" s="2" t="str">
        <x:v>Completed</x:v>
      </x:c>
      <x:c r="E1509" s="2" t="str">
        <x:v>North</x:v>
      </x:c>
      <x:c r="F1509" s="2" t="str">
        <x:v>Store</x:v>
      </x:c>
      <x:c r="G1509" s="2" t="str">
        <x:v>Furniture</x:v>
      </x:c>
      <x:c r="H1509" s="2" t="str">
        <x:v>Desk 012</x:v>
      </x:c>
      <x:c r="I1509" s="11" t="n">
        <x:v>1</x:v>
      </x:c>
      <x:c r="J1509" s="9" t="n">
        <x:v>134</x:v>
      </x:c>
      <x:c r="K1509" s="10" t="n">
        <x:v>0.1</x:v>
      </x:c>
      <x:c r="L1509" s="11" t="n">
        <x:v>0</x:v>
      </x:c>
      <x:c r="M1509" s="9" t="n">
        <x:f>IF(D1509="Completed",I1509*J1509,0)</x:f>
        <x:v>134</x:v>
      </x:c>
      <x:c r="N1509" s="9" t="n">
        <x:f>M1509*K1509</x:f>
        <x:v>13.4</x:v>
      </x:c>
      <x:c r="O1509" s="9" t="n">
        <x:f>M1509-N1509</x:f>
        <x:v>120.6</x:v>
      </x:c>
      <x:c r="P1509" s="9" t="n">
        <x:f>IF(D1509="Completed",L1509*J1509*(1-K1509),0)</x:f>
        <x:v>0</x:v>
      </x:c>
      <x:c r="Q1509" s="9" t="n">
        <x:f>O1509-P1509</x:f>
        <x:v>120.6</x:v>
      </x:c>
      <x:c r="R1509" s="11" t="n">
        <x:f>IF(D1509="Completed",I1509,0)</x:f>
        <x:v>1</x:v>
      </x:c>
      <x:c r="S1509" s="11" t="n">
        <x:f>IF(D1509="Completed",L1509,0)</x:f>
        <x:v>0</x:v>
      </x:c>
      <x:c r="T1509" s="8" t="n">
        <x:f>DATE(YEAR(C1509),MONTH(C1509),1)</x:f>
        <x:v>45658</x:v>
      </x:c>
    </x:row>
    <x:row r="1510" ht="22" customHeight="1">
      <x:c r="A1510" s="2" t="str">
        <x:v>L001506</x:v>
      </x:c>
      <x:c r="B1510" s="2" t="str">
        <x:v>O00610</x:v>
      </x:c>
      <x:c r="C1510" s="7" t="n">
        <x:v>45684</x:v>
      </x:c>
      <x:c r="D1510" s="2" t="str">
        <x:v>Completed</x:v>
      </x:c>
      <x:c r="E1510" s="2" t="str">
        <x:v>North</x:v>
      </x:c>
      <x:c r="F1510" s="2" t="str">
        <x:v>Store</x:v>
      </x:c>
      <x:c r="G1510" s="2" t="str">
        <x:v>Lighting</x:v>
      </x:c>
      <x:c r="H1510" s="2" t="str">
        <x:v>Lamp 017</x:v>
      </x:c>
      <x:c r="I1510" s="11" t="n">
        <x:v>4</x:v>
      </x:c>
      <x:c r="J1510" s="9" t="n">
        <x:v>300</x:v>
      </x:c>
      <x:c r="K1510" s="10" t="n">
        <x:v>0.05</x:v>
      </x:c>
      <x:c r="L1510" s="11" t="n">
        <x:v>0</x:v>
      </x:c>
      <x:c r="M1510" s="9" t="n">
        <x:f>IF(D1510="Completed",I1510*J1510,0)</x:f>
        <x:v>1200</x:v>
      </x:c>
      <x:c r="N1510" s="9" t="n">
        <x:f>M1510*K1510</x:f>
        <x:v>60</x:v>
      </x:c>
      <x:c r="O1510" s="9" t="n">
        <x:f>M1510-N1510</x:f>
        <x:v>1140</x:v>
      </x:c>
      <x:c r="P1510" s="9" t="n">
        <x:f>IF(D1510="Completed",L1510*J1510*(1-K1510),0)</x:f>
        <x:v>0</x:v>
      </x:c>
      <x:c r="Q1510" s="9" t="n">
        <x:f>O1510-P1510</x:f>
        <x:v>1140</x:v>
      </x:c>
      <x:c r="R1510" s="11" t="n">
        <x:f>IF(D1510="Completed",I1510,0)</x:f>
        <x:v>4</x:v>
      </x:c>
      <x:c r="S1510" s="11" t="n">
        <x:f>IF(D1510="Completed",L1510,0)</x:f>
        <x:v>0</x:v>
      </x:c>
      <x:c r="T1510" s="8" t="n">
        <x:f>DATE(YEAR(C1510),MONTH(C1510),1)</x:f>
        <x:v>45658</x:v>
      </x:c>
    </x:row>
    <x:row r="1511" ht="22" customHeight="1">
      <x:c r="A1511" s="2" t="str">
        <x:v>L001507</x:v>
      </x:c>
      <x:c r="B1511" s="2" t="str">
        <x:v>O00611</x:v>
      </x:c>
      <x:c r="C1511" s="7" t="n">
        <x:v>45956</x:v>
      </x:c>
      <x:c r="D1511" s="2" t="str">
        <x:v>Completed</x:v>
      </x:c>
      <x:c r="E1511" s="2" t="str">
        <x:v>North</x:v>
      </x:c>
      <x:c r="F1511" s="2" t="str">
        <x:v>Store</x:v>
      </x:c>
      <x:c r="G1511" s="2" t="str">
        <x:v>Storage</x:v>
      </x:c>
      <x:c r="H1511" s="2" t="str">
        <x:v>Shelf 015</x:v>
      </x:c>
      <x:c r="I1511" s="11" t="n">
        <x:v>1</x:v>
      </x:c>
      <x:c r="J1511" s="9" t="n">
        <x:v>254</x:v>
      </x:c>
      <x:c r="K1511" s="10" t="n">
        <x:v>0.2</x:v>
      </x:c>
      <x:c r="L1511" s="11" t="n">
        <x:v>0</x:v>
      </x:c>
      <x:c r="M1511" s="9" t="n">
        <x:f>IF(D1511="Completed",I1511*J1511,0)</x:f>
        <x:v>254</x:v>
      </x:c>
      <x:c r="N1511" s="9" t="n">
        <x:f>M1511*K1511</x:f>
        <x:v>50.800000000000004</x:v>
      </x:c>
      <x:c r="O1511" s="9" t="n">
        <x:f>M1511-N1511</x:f>
        <x:v>203.2</x:v>
      </x:c>
      <x:c r="P1511" s="9" t="n">
        <x:f>IF(D1511="Completed",L1511*J1511*(1-K1511),0)</x:f>
        <x:v>0</x:v>
      </x:c>
      <x:c r="Q1511" s="9" t="n">
        <x:f>O1511-P1511</x:f>
        <x:v>203.2</x:v>
      </x:c>
      <x:c r="R1511" s="11" t="n">
        <x:f>IF(D1511="Completed",I1511,0)</x:f>
        <x:v>1</x:v>
      </x:c>
      <x:c r="S1511" s="11" t="n">
        <x:f>IF(D1511="Completed",L1511,0)</x:f>
        <x:v>0</x:v>
      </x:c>
      <x:c r="T1511" s="8" t="n">
        <x:f>DATE(YEAR(C1511),MONTH(C1511),1)</x:f>
        <x:v>45931</x:v>
      </x:c>
    </x:row>
    <x:row r="1512" ht="22" customHeight="1">
      <x:c r="A1512" s="2" t="str">
        <x:v>L001508</x:v>
      </x:c>
      <x:c r="B1512" s="2" t="str">
        <x:v>O00612</x:v>
      </x:c>
      <x:c r="C1512" s="7" t="n">
        <x:v>45980</x:v>
      </x:c>
      <x:c r="D1512" s="2" t="str">
        <x:v>Completed</x:v>
      </x:c>
      <x:c r="E1512" s="2" t="str">
        <x:v>North</x:v>
      </x:c>
      <x:c r="F1512" s="2" t="str">
        <x:v>Online</x:v>
      </x:c>
      <x:c r="G1512" s="2" t="str">
        <x:v>Furniture</x:v>
      </x:c>
      <x:c r="H1512" s="2" t="str">
        <x:v>Chair 002</x:v>
      </x:c>
      <x:c r="I1512" s="11" t="n">
        <x:v>4</x:v>
      </x:c>
      <x:c r="J1512" s="9" t="n">
        <x:v>284</x:v>
      </x:c>
      <x:c r="K1512" s="10" t="n">
        <x:v>0.05</x:v>
      </x:c>
      <x:c r="L1512" s="11" t="n">
        <x:v>0</x:v>
      </x:c>
      <x:c r="M1512" s="9" t="n">
        <x:f>IF(D1512="Completed",I1512*J1512,0)</x:f>
        <x:v>1136</x:v>
      </x:c>
      <x:c r="N1512" s="9" t="n">
        <x:f>M1512*K1512</x:f>
        <x:v>56.800000000000004</x:v>
      </x:c>
      <x:c r="O1512" s="9" t="n">
        <x:f>M1512-N1512</x:f>
        <x:v>1079.2</x:v>
      </x:c>
      <x:c r="P1512" s="9" t="n">
        <x:f>IF(D1512="Completed",L1512*J1512*(1-K1512),0)</x:f>
        <x:v>0</x:v>
      </x:c>
      <x:c r="Q1512" s="9" t="n">
        <x:f>O1512-P1512</x:f>
        <x:v>1079.2</x:v>
      </x:c>
      <x:c r="R1512" s="11" t="n">
        <x:f>IF(D1512="Completed",I1512,0)</x:f>
        <x:v>4</x:v>
      </x:c>
      <x:c r="S1512" s="11" t="n">
        <x:f>IF(D1512="Completed",L1512,0)</x:f>
        <x:v>0</x:v>
      </x:c>
      <x:c r="T1512" s="8" t="n">
        <x:f>DATE(YEAR(C1512),MONTH(C1512),1)</x:f>
        <x:v>45962</x:v>
      </x:c>
    </x:row>
    <x:row r="1513" ht="22" customHeight="1">
      <x:c r="A1513" s="2" t="str">
        <x:v>L001509</x:v>
      </x:c>
      <x:c r="B1513" s="2" t="str">
        <x:v>O00612</x:v>
      </x:c>
      <x:c r="C1513" s="7" t="n">
        <x:v>45980</x:v>
      </x:c>
      <x:c r="D1513" s="2" t="str">
        <x:v>Completed</x:v>
      </x:c>
      <x:c r="E1513" s="2" t="str">
        <x:v>North</x:v>
      </x:c>
      <x:c r="F1513" s="2" t="str">
        <x:v>Online</x:v>
      </x:c>
      <x:c r="G1513" s="2" t="str">
        <x:v>Furniture</x:v>
      </x:c>
      <x:c r="H1513" s="2" t="str">
        <x:v>Desk 008</x:v>
      </x:c>
      <x:c r="I1513" s="11" t="n">
        <x:v>5</x:v>
      </x:c>
      <x:c r="J1513" s="9" t="n">
        <x:v>188</x:v>
      </x:c>
      <x:c r="K1513" s="10" t="n">
        <x:v>0.2</x:v>
      </x:c>
      <x:c r="L1513" s="11" t="n">
        <x:v>0</x:v>
      </x:c>
      <x:c r="M1513" s="9" t="n">
        <x:f>IF(D1513="Completed",I1513*J1513,0)</x:f>
        <x:v>940</x:v>
      </x:c>
      <x:c r="N1513" s="9" t="n">
        <x:f>M1513*K1513</x:f>
        <x:v>188</x:v>
      </x:c>
      <x:c r="O1513" s="9" t="n">
        <x:f>M1513-N1513</x:f>
        <x:v>752</x:v>
      </x:c>
      <x:c r="P1513" s="9" t="n">
        <x:f>IF(D1513="Completed",L1513*J1513*(1-K1513),0)</x:f>
        <x:v>0</x:v>
      </x:c>
      <x:c r="Q1513" s="9" t="n">
        <x:f>O1513-P1513</x:f>
        <x:v>752</x:v>
      </x:c>
      <x:c r="R1513" s="11" t="n">
        <x:f>IF(D1513="Completed",I1513,0)</x:f>
        <x:v>5</x:v>
      </x:c>
      <x:c r="S1513" s="11" t="n">
        <x:f>IF(D1513="Completed",L1513,0)</x:f>
        <x:v>0</x:v>
      </x:c>
      <x:c r="T1513" s="8" t="n">
        <x:f>DATE(YEAR(C1513),MONTH(C1513),1)</x:f>
        <x:v>45962</x:v>
      </x:c>
    </x:row>
    <x:row r="1514" ht="22" customHeight="1">
      <x:c r="A1514" s="2" t="str">
        <x:v>L001510</x:v>
      </x:c>
      <x:c r="B1514" s="2" t="str">
        <x:v>O00612</x:v>
      </x:c>
      <x:c r="C1514" s="7" t="n">
        <x:v>45980</x:v>
      </x:c>
      <x:c r="D1514" s="2" t="str">
        <x:v>Completed</x:v>
      </x:c>
      <x:c r="E1514" s="2" t="str">
        <x:v>North</x:v>
      </x:c>
      <x:c r="F1514" s="2" t="str">
        <x:v>Online</x:v>
      </x:c>
      <x:c r="G1514" s="2" t="str">
        <x:v>Lighting</x:v>
      </x:c>
      <x:c r="H1514" s="2" t="str">
        <x:v>Lamp 009</x:v>
      </x:c>
      <x:c r="I1514" s="11" t="n">
        <x:v>5</x:v>
      </x:c>
      <x:c r="J1514" s="9" t="n">
        <x:v>93</x:v>
      </x:c>
      <x:c r="K1514" s="10" t="n">
        <x:v>0.1</x:v>
      </x:c>
      <x:c r="L1514" s="11" t="n">
        <x:v>0</x:v>
      </x:c>
      <x:c r="M1514" s="9" t="n">
        <x:f>IF(D1514="Completed",I1514*J1514,0)</x:f>
        <x:v>465</x:v>
      </x:c>
      <x:c r="N1514" s="9" t="n">
        <x:f>M1514*K1514</x:f>
        <x:v>46.5</x:v>
      </x:c>
      <x:c r="O1514" s="9" t="n">
        <x:f>M1514-N1514</x:f>
        <x:v>418.5</x:v>
      </x:c>
      <x:c r="P1514" s="9" t="n">
        <x:f>IF(D1514="Completed",L1514*J1514*(1-K1514),0)</x:f>
        <x:v>0</x:v>
      </x:c>
      <x:c r="Q1514" s="9" t="n">
        <x:f>O1514-P1514</x:f>
        <x:v>418.5</x:v>
      </x:c>
      <x:c r="R1514" s="11" t="n">
        <x:f>IF(D1514="Completed",I1514,0)</x:f>
        <x:v>5</x:v>
      </x:c>
      <x:c r="S1514" s="11" t="n">
        <x:f>IF(D1514="Completed",L1514,0)</x:f>
        <x:v>0</x:v>
      </x:c>
      <x:c r="T1514" s="8" t="n">
        <x:f>DATE(YEAR(C1514),MONTH(C1514),1)</x:f>
        <x:v>45962</x:v>
      </x:c>
    </x:row>
    <x:row r="1515" ht="22" customHeight="1">
      <x:c r="A1515" s="2" t="str">
        <x:v>L001511</x:v>
      </x:c>
      <x:c r="B1515" s="2" t="str">
        <x:v>O00612</x:v>
      </x:c>
      <x:c r="C1515" s="7" t="n">
        <x:v>45980</x:v>
      </x:c>
      <x:c r="D1515" s="2" t="str">
        <x:v>Completed</x:v>
      </x:c>
      <x:c r="E1515" s="2" t="str">
        <x:v>North</x:v>
      </x:c>
      <x:c r="F1515" s="2" t="str">
        <x:v>Online</x:v>
      </x:c>
      <x:c r="G1515" s="2" t="str">
        <x:v>Lighting</x:v>
      </x:c>
      <x:c r="H1515" s="2" t="str">
        <x:v>Lamp 001</x:v>
      </x:c>
      <x:c r="I1515" s="11" t="n">
        <x:v>4</x:v>
      </x:c>
      <x:c r="J1515" s="9" t="n">
        <x:v>122</x:v>
      </x:c>
      <x:c r="K1515" s="10" t="n">
        <x:v>0</x:v>
      </x:c>
      <x:c r="L1515" s="11" t="n">
        <x:v>0</x:v>
      </x:c>
      <x:c r="M1515" s="9" t="n">
        <x:f>IF(D1515="Completed",I1515*J1515,0)</x:f>
        <x:v>488</x:v>
      </x:c>
      <x:c r="N1515" s="9" t="n">
        <x:f>M1515*K1515</x:f>
        <x:v>0</x:v>
      </x:c>
      <x:c r="O1515" s="9" t="n">
        <x:f>M1515-N1515</x:f>
        <x:v>488</x:v>
      </x:c>
      <x:c r="P1515" s="9" t="n">
        <x:f>IF(D1515="Completed",L1515*J1515*(1-K1515),0)</x:f>
        <x:v>0</x:v>
      </x:c>
      <x:c r="Q1515" s="9" t="n">
        <x:f>O1515-P1515</x:f>
        <x:v>488</x:v>
      </x:c>
      <x:c r="R1515" s="11" t="n">
        <x:f>IF(D1515="Completed",I1515,0)</x:f>
        <x:v>4</x:v>
      </x:c>
      <x:c r="S1515" s="11" t="n">
        <x:f>IF(D1515="Completed",L1515,0)</x:f>
        <x:v>0</x:v>
      </x:c>
      <x:c r="T1515" s="8" t="n">
        <x:f>DATE(YEAR(C1515),MONTH(C1515),1)</x:f>
        <x:v>45962</x:v>
      </x:c>
    </x:row>
    <x:row r="1516" ht="22" customHeight="1">
      <x:c r="A1516" s="2" t="str">
        <x:v>L001512</x:v>
      </x:c>
      <x:c r="B1516" s="2" t="str">
        <x:v>O00613</x:v>
      </x:c>
      <x:c r="C1516" s="7" t="n">
        <x:v>45835</x:v>
      </x:c>
      <x:c r="D1516" s="2" t="str">
        <x:v>Completed</x:v>
      </x:c>
      <x:c r="E1516" s="2" t="str">
        <x:v>South</x:v>
      </x:c>
      <x:c r="F1516" s="2" t="str">
        <x:v>Online</x:v>
      </x:c>
      <x:c r="G1516" s="2" t="str">
        <x:v>Furniture</x:v>
      </x:c>
      <x:c r="H1516" s="2" t="str">
        <x:v>Desk 008</x:v>
      </x:c>
      <x:c r="I1516" s="11" t="n">
        <x:v>4</x:v>
      </x:c>
      <x:c r="J1516" s="9" t="n">
        <x:v>188</x:v>
      </x:c>
      <x:c r="K1516" s="10" t="n">
        <x:v>0.2</x:v>
      </x:c>
      <x:c r="L1516" s="11" t="n">
        <x:v>0</x:v>
      </x:c>
      <x:c r="M1516" s="9" t="n">
        <x:f>IF(D1516="Completed",I1516*J1516,0)</x:f>
        <x:v>752</x:v>
      </x:c>
      <x:c r="N1516" s="9" t="n">
        <x:f>M1516*K1516</x:f>
        <x:v>150.4</x:v>
      </x:c>
      <x:c r="O1516" s="9" t="n">
        <x:f>M1516-N1516</x:f>
        <x:v>601.6</x:v>
      </x:c>
      <x:c r="P1516" s="9" t="n">
        <x:f>IF(D1516="Completed",L1516*J1516*(1-K1516),0)</x:f>
        <x:v>0</x:v>
      </x:c>
      <x:c r="Q1516" s="9" t="n">
        <x:f>O1516-P1516</x:f>
        <x:v>601.6</x:v>
      </x:c>
      <x:c r="R1516" s="11" t="n">
        <x:f>IF(D1516="Completed",I1516,0)</x:f>
        <x:v>4</x:v>
      </x:c>
      <x:c r="S1516" s="11" t="n">
        <x:f>IF(D1516="Completed",L1516,0)</x:f>
        <x:v>0</x:v>
      </x:c>
      <x:c r="T1516" s="8" t="n">
        <x:f>DATE(YEAR(C1516),MONTH(C1516),1)</x:f>
        <x:v>45809</x:v>
      </x:c>
    </x:row>
    <x:row r="1517" ht="22" customHeight="1">
      <x:c r="A1517" s="2" t="str">
        <x:v>L001513</x:v>
      </x:c>
      <x:c r="B1517" s="2" t="str">
        <x:v>O00613</x:v>
      </x:c>
      <x:c r="C1517" s="7" t="n">
        <x:v>45835</x:v>
      </x:c>
      <x:c r="D1517" s="2" t="str">
        <x:v>Completed</x:v>
      </x:c>
      <x:c r="E1517" s="2" t="str">
        <x:v>South</x:v>
      </x:c>
      <x:c r="F1517" s="2" t="str">
        <x:v>Online</x:v>
      </x:c>
      <x:c r="G1517" s="2" t="str">
        <x:v>Storage</x:v>
      </x:c>
      <x:c r="H1517" s="2" t="str">
        <x:v>Shelf 007</x:v>
      </x:c>
      <x:c r="I1517" s="11" t="n">
        <x:v>5</x:v>
      </x:c>
      <x:c r="J1517" s="9" t="n">
        <x:v>35</x:v>
      </x:c>
      <x:c r="K1517" s="10" t="n">
        <x:v>0.1</x:v>
      </x:c>
      <x:c r="L1517" s="11" t="n">
        <x:v>0</x:v>
      </x:c>
      <x:c r="M1517" s="9" t="n">
        <x:f>IF(D1517="Completed",I1517*J1517,0)</x:f>
        <x:v>175</x:v>
      </x:c>
      <x:c r="N1517" s="9" t="n">
        <x:f>M1517*K1517</x:f>
        <x:v>17.5</x:v>
      </x:c>
      <x:c r="O1517" s="9" t="n">
        <x:f>M1517-N1517</x:f>
        <x:v>157.5</x:v>
      </x:c>
      <x:c r="P1517" s="9" t="n">
        <x:f>IF(D1517="Completed",L1517*J1517*(1-K1517),0)</x:f>
        <x:v>0</x:v>
      </x:c>
      <x:c r="Q1517" s="9" t="n">
        <x:f>O1517-P1517</x:f>
        <x:v>157.5</x:v>
      </x:c>
      <x:c r="R1517" s="11" t="n">
        <x:f>IF(D1517="Completed",I1517,0)</x:f>
        <x:v>5</x:v>
      </x:c>
      <x:c r="S1517" s="11" t="n">
        <x:f>IF(D1517="Completed",L1517,0)</x:f>
        <x:v>0</x:v>
      </x:c>
      <x:c r="T1517" s="8" t="n">
        <x:f>DATE(YEAR(C1517),MONTH(C1517),1)</x:f>
        <x:v>45809</x:v>
      </x:c>
    </x:row>
    <x:row r="1518" ht="22" customHeight="1">
      <x:c r="A1518" s="2" t="str">
        <x:v>L001514</x:v>
      </x:c>
      <x:c r="B1518" s="2" t="str">
        <x:v>O00614</x:v>
      </x:c>
      <x:c r="C1518" s="7" t="n">
        <x:v>45786</x:v>
      </x:c>
      <x:c r="D1518" s="2" t="str">
        <x:v>Completed</x:v>
      </x:c>
      <x:c r="E1518" s="2" t="str">
        <x:v>East</x:v>
      </x:c>
      <x:c r="F1518" s="2" t="str">
        <x:v>Online</x:v>
      </x:c>
      <x:c r="G1518" s="2" t="str">
        <x:v>Storage</x:v>
      </x:c>
      <x:c r="H1518" s="2" t="str">
        <x:v>Shelf 003</x:v>
      </x:c>
      <x:c r="I1518" s="11" t="n">
        <x:v>1</x:v>
      </x:c>
      <x:c r="J1518" s="9" t="n">
        <x:v>199</x:v>
      </x:c>
      <x:c r="K1518" s="10" t="n">
        <x:v>0.1</x:v>
      </x:c>
      <x:c r="L1518" s="11" t="n">
        <x:v>0</x:v>
      </x:c>
      <x:c r="M1518" s="9" t="n">
        <x:f>IF(D1518="Completed",I1518*J1518,0)</x:f>
        <x:v>199</x:v>
      </x:c>
      <x:c r="N1518" s="9" t="n">
        <x:f>M1518*K1518</x:f>
        <x:v>19.900000000000002</x:v>
      </x:c>
      <x:c r="O1518" s="9" t="n">
        <x:f>M1518-N1518</x:f>
        <x:v>179.1</x:v>
      </x:c>
      <x:c r="P1518" s="9" t="n">
        <x:f>IF(D1518="Completed",L1518*J1518*(1-K1518),0)</x:f>
        <x:v>0</x:v>
      </x:c>
      <x:c r="Q1518" s="9" t="n">
        <x:f>O1518-P1518</x:f>
        <x:v>179.1</x:v>
      </x:c>
      <x:c r="R1518" s="11" t="n">
        <x:f>IF(D1518="Completed",I1518,0)</x:f>
        <x:v>1</x:v>
      </x:c>
      <x:c r="S1518" s="11" t="n">
        <x:f>IF(D1518="Completed",L1518,0)</x:f>
        <x:v>0</x:v>
      </x:c>
      <x:c r="T1518" s="8" t="n">
        <x:f>DATE(YEAR(C1518),MONTH(C1518),1)</x:f>
        <x:v>45778</x:v>
      </x:c>
    </x:row>
    <x:row r="1519" ht="22" customHeight="1">
      <x:c r="A1519" s="2" t="str">
        <x:v>L001515</x:v>
      </x:c>
      <x:c r="B1519" s="2" t="str">
        <x:v>O00615</x:v>
      </x:c>
      <x:c r="C1519" s="7" t="n">
        <x:v>45695</x:v>
      </x:c>
      <x:c r="D1519" s="2" t="str">
        <x:v>Completed</x:v>
      </x:c>
      <x:c r="E1519" s="2" t="str">
        <x:v>North</x:v>
      </x:c>
      <x:c r="F1519" s="2" t="str">
        <x:v>Online</x:v>
      </x:c>
      <x:c r="G1519" s="2" t="str">
        <x:v>Furniture</x:v>
      </x:c>
      <x:c r="H1519" s="2" t="str">
        <x:v>Desk 008</x:v>
      </x:c>
      <x:c r="I1519" s="11" t="n">
        <x:v>1</x:v>
      </x:c>
      <x:c r="J1519" s="9" t="n">
        <x:v>188</x:v>
      </x:c>
      <x:c r="K1519" s="10" t="n">
        <x:v>0</x:v>
      </x:c>
      <x:c r="L1519" s="11" t="n">
        <x:v>0</x:v>
      </x:c>
      <x:c r="M1519" s="9" t="n">
        <x:f>IF(D1519="Completed",I1519*J1519,0)</x:f>
        <x:v>188</x:v>
      </x:c>
      <x:c r="N1519" s="9" t="n">
        <x:f>M1519*K1519</x:f>
        <x:v>0</x:v>
      </x:c>
      <x:c r="O1519" s="9" t="n">
        <x:f>M1519-N1519</x:f>
        <x:v>188</x:v>
      </x:c>
      <x:c r="P1519" s="9" t="n">
        <x:f>IF(D1519="Completed",L1519*J1519*(1-K1519),0)</x:f>
        <x:v>0</x:v>
      </x:c>
      <x:c r="Q1519" s="9" t="n">
        <x:f>O1519-P1519</x:f>
        <x:v>188</x:v>
      </x:c>
      <x:c r="R1519" s="11" t="n">
        <x:f>IF(D1519="Completed",I1519,0)</x:f>
        <x:v>1</x:v>
      </x:c>
      <x:c r="S1519" s="11" t="n">
        <x:f>IF(D1519="Completed",L1519,0)</x:f>
        <x:v>0</x:v>
      </x:c>
      <x:c r="T1519" s="8" t="n">
        <x:f>DATE(YEAR(C1519),MONTH(C1519),1)</x:f>
        <x:v>45689</x:v>
      </x:c>
    </x:row>
    <x:row r="1520" ht="22" customHeight="1">
      <x:c r="A1520" s="2" t="str">
        <x:v>L001516</x:v>
      </x:c>
      <x:c r="B1520" s="2" t="str">
        <x:v>O00615</x:v>
      </x:c>
      <x:c r="C1520" s="7" t="n">
        <x:v>45695</x:v>
      </x:c>
      <x:c r="D1520" s="2" t="str">
        <x:v>Completed</x:v>
      </x:c>
      <x:c r="E1520" s="2" t="str">
        <x:v>North</x:v>
      </x:c>
      <x:c r="F1520" s="2" t="str">
        <x:v>Online</x:v>
      </x:c>
      <x:c r="G1520" s="2" t="str">
        <x:v>Lighting</x:v>
      </x:c>
      <x:c r="H1520" s="2" t="str">
        <x:v>Lamp 001</x:v>
      </x:c>
      <x:c r="I1520" s="11" t="n">
        <x:v>3</x:v>
      </x:c>
      <x:c r="J1520" s="9" t="n">
        <x:v>122</x:v>
      </x:c>
      <x:c r="K1520" s="10" t="n">
        <x:v>0</x:v>
      </x:c>
      <x:c r="L1520" s="11" t="n">
        <x:v>0</x:v>
      </x:c>
      <x:c r="M1520" s="9" t="n">
        <x:f>IF(D1520="Completed",I1520*J1520,0)</x:f>
        <x:v>366</x:v>
      </x:c>
      <x:c r="N1520" s="9" t="n">
        <x:f>M1520*K1520</x:f>
        <x:v>0</x:v>
      </x:c>
      <x:c r="O1520" s="9" t="n">
        <x:f>M1520-N1520</x:f>
        <x:v>366</x:v>
      </x:c>
      <x:c r="P1520" s="9" t="n">
        <x:f>IF(D1520="Completed",L1520*J1520*(1-K1520),0)</x:f>
        <x:v>0</x:v>
      </x:c>
      <x:c r="Q1520" s="9" t="n">
        <x:f>O1520-P1520</x:f>
        <x:v>366</x:v>
      </x:c>
      <x:c r="R1520" s="11" t="n">
        <x:f>IF(D1520="Completed",I1520,0)</x:f>
        <x:v>3</x:v>
      </x:c>
      <x:c r="S1520" s="11" t="n">
        <x:f>IF(D1520="Completed",L1520,0)</x:f>
        <x:v>0</x:v>
      </x:c>
      <x:c r="T1520" s="8" t="n">
        <x:f>DATE(YEAR(C1520),MONTH(C1520),1)</x:f>
        <x:v>45689</x:v>
      </x:c>
    </x:row>
    <x:row r="1521" ht="22" customHeight="1">
      <x:c r="A1521" s="2" t="str">
        <x:v>L001517</x:v>
      </x:c>
      <x:c r="B1521" s="2" t="str">
        <x:v>O00615</x:v>
      </x:c>
      <x:c r="C1521" s="7" t="n">
        <x:v>45695</x:v>
      </x:c>
      <x:c r="D1521" s="2" t="str">
        <x:v>Completed</x:v>
      </x:c>
      <x:c r="E1521" s="2" t="str">
        <x:v>North</x:v>
      </x:c>
      <x:c r="F1521" s="2" t="str">
        <x:v>Online</x:v>
      </x:c>
      <x:c r="G1521" s="2" t="str">
        <x:v>Furniture</x:v>
      </x:c>
      <x:c r="H1521" s="2" t="str">
        <x:v>Desk 016</x:v>
      </x:c>
      <x:c r="I1521" s="11" t="n">
        <x:v>5</x:v>
      </x:c>
      <x:c r="J1521" s="9" t="n">
        <x:v>231</x:v>
      </x:c>
      <x:c r="K1521" s="10" t="n">
        <x:v>0.05</x:v>
      </x:c>
      <x:c r="L1521" s="11" t="n">
        <x:v>0</x:v>
      </x:c>
      <x:c r="M1521" s="9" t="n">
        <x:f>IF(D1521="Completed",I1521*J1521,0)</x:f>
        <x:v>1155</x:v>
      </x:c>
      <x:c r="N1521" s="9" t="n">
        <x:f>M1521*K1521</x:f>
        <x:v>57.75</x:v>
      </x:c>
      <x:c r="O1521" s="9" t="n">
        <x:f>M1521-N1521</x:f>
        <x:v>1097.25</x:v>
      </x:c>
      <x:c r="P1521" s="9" t="n">
        <x:f>IF(D1521="Completed",L1521*J1521*(1-K1521),0)</x:f>
        <x:v>0</x:v>
      </x:c>
      <x:c r="Q1521" s="9" t="n">
        <x:f>O1521-P1521</x:f>
        <x:v>1097.25</x:v>
      </x:c>
      <x:c r="R1521" s="11" t="n">
        <x:f>IF(D1521="Completed",I1521,0)</x:f>
        <x:v>5</x:v>
      </x:c>
      <x:c r="S1521" s="11" t="n">
        <x:f>IF(D1521="Completed",L1521,0)</x:f>
        <x:v>0</x:v>
      </x:c>
      <x:c r="T1521" s="8" t="n">
        <x:f>DATE(YEAR(C1521),MONTH(C1521),1)</x:f>
        <x:v>45689</x:v>
      </x:c>
    </x:row>
    <x:row r="1522" ht="22" customHeight="1">
      <x:c r="A1522" s="2" t="str">
        <x:v>L001518</x:v>
      </x:c>
      <x:c r="B1522" s="2" t="str">
        <x:v>O00616</x:v>
      </x:c>
      <x:c r="C1522" s="7" t="n">
        <x:v>45963</x:v>
      </x:c>
      <x:c r="D1522" s="2" t="str">
        <x:v>Completed</x:v>
      </x:c>
      <x:c r="E1522" s="2" t="str">
        <x:v>North</x:v>
      </x:c>
      <x:c r="F1522" s="2" t="str">
        <x:v>Store</x:v>
      </x:c>
      <x:c r="G1522" s="2" t="str">
        <x:v>Lighting</x:v>
      </x:c>
      <x:c r="H1522" s="2" t="str">
        <x:v>Lamp 005</x:v>
      </x:c>
      <x:c r="I1522" s="11" t="n">
        <x:v>5</x:v>
      </x:c>
      <x:c r="J1522" s="9" t="n">
        <x:v>65</x:v>
      </x:c>
      <x:c r="K1522" s="10" t="n">
        <x:v>0</x:v>
      </x:c>
      <x:c r="L1522" s="11" t="n">
        <x:v>0</x:v>
      </x:c>
      <x:c r="M1522" s="9" t="n">
        <x:f>IF(D1522="Completed",I1522*J1522,0)</x:f>
        <x:v>325</x:v>
      </x:c>
      <x:c r="N1522" s="9" t="n">
        <x:f>M1522*K1522</x:f>
        <x:v>0</x:v>
      </x:c>
      <x:c r="O1522" s="9" t="n">
        <x:f>M1522-N1522</x:f>
        <x:v>325</x:v>
      </x:c>
      <x:c r="P1522" s="9" t="n">
        <x:f>IF(D1522="Completed",L1522*J1522*(1-K1522),0)</x:f>
        <x:v>0</x:v>
      </x:c>
      <x:c r="Q1522" s="9" t="n">
        <x:f>O1522-P1522</x:f>
        <x:v>325</x:v>
      </x:c>
      <x:c r="R1522" s="11" t="n">
        <x:f>IF(D1522="Completed",I1522,0)</x:f>
        <x:v>5</x:v>
      </x:c>
      <x:c r="S1522" s="11" t="n">
        <x:f>IF(D1522="Completed",L1522,0)</x:f>
        <x:v>0</x:v>
      </x:c>
      <x:c r="T1522" s="8" t="n">
        <x:f>DATE(YEAR(C1522),MONTH(C1522),1)</x:f>
        <x:v>45962</x:v>
      </x:c>
    </x:row>
    <x:row r="1523" ht="22" customHeight="1">
      <x:c r="A1523" s="2" t="str">
        <x:v>L001519</x:v>
      </x:c>
      <x:c r="B1523" s="2" t="str">
        <x:v>O00616</x:v>
      </x:c>
      <x:c r="C1523" s="7" t="n">
        <x:v>45963</x:v>
      </x:c>
      <x:c r="D1523" s="2" t="str">
        <x:v>Completed</x:v>
      </x:c>
      <x:c r="E1523" s="2" t="str">
        <x:v>North</x:v>
      </x:c>
      <x:c r="F1523" s="2" t="str">
        <x:v>Store</x:v>
      </x:c>
      <x:c r="G1523" s="2" t="str">
        <x:v>Furniture</x:v>
      </x:c>
      <x:c r="H1523" s="2" t="str">
        <x:v>Chair 014</x:v>
      </x:c>
      <x:c r="I1523" s="11" t="n">
        <x:v>5</x:v>
      </x:c>
      <x:c r="J1523" s="9" t="n">
        <x:v>294</x:v>
      </x:c>
      <x:c r="K1523" s="10" t="n">
        <x:v>0.1</x:v>
      </x:c>
      <x:c r="L1523" s="11" t="n">
        <x:v>0</x:v>
      </x:c>
      <x:c r="M1523" s="9" t="n">
        <x:f>IF(D1523="Completed",I1523*J1523,0)</x:f>
        <x:v>1470</x:v>
      </x:c>
      <x:c r="N1523" s="9" t="n">
        <x:f>M1523*K1523</x:f>
        <x:v>147</x:v>
      </x:c>
      <x:c r="O1523" s="9" t="n">
        <x:f>M1523-N1523</x:f>
        <x:v>1323</x:v>
      </x:c>
      <x:c r="P1523" s="9" t="n">
        <x:f>IF(D1523="Completed",L1523*J1523*(1-K1523),0)</x:f>
        <x:v>0</x:v>
      </x:c>
      <x:c r="Q1523" s="9" t="n">
        <x:f>O1523-P1523</x:f>
        <x:v>1323</x:v>
      </x:c>
      <x:c r="R1523" s="11" t="n">
        <x:f>IF(D1523="Completed",I1523,0)</x:f>
        <x:v>5</x:v>
      </x:c>
      <x:c r="S1523" s="11" t="n">
        <x:f>IF(D1523="Completed",L1523,0)</x:f>
        <x:v>0</x:v>
      </x:c>
      <x:c r="T1523" s="8" t="n">
        <x:f>DATE(YEAR(C1523),MONTH(C1523),1)</x:f>
        <x:v>45962</x:v>
      </x:c>
    </x:row>
    <x:row r="1524" ht="22" customHeight="1">
      <x:c r="A1524" s="2" t="str">
        <x:v>L001520</x:v>
      </x:c>
      <x:c r="B1524" s="2" t="str">
        <x:v>O00616</x:v>
      </x:c>
      <x:c r="C1524" s="7" t="n">
        <x:v>45963</x:v>
      </x:c>
      <x:c r="D1524" s="2" t="str">
        <x:v>Completed</x:v>
      </x:c>
      <x:c r="E1524" s="2" t="str">
        <x:v>North</x:v>
      </x:c>
      <x:c r="F1524" s="2" t="str">
        <x:v>Store</x:v>
      </x:c>
      <x:c r="G1524" s="2" t="str">
        <x:v>Storage</x:v>
      </x:c>
      <x:c r="H1524" s="2" t="str">
        <x:v>Shelf 015</x:v>
      </x:c>
      <x:c r="I1524" s="11" t="n">
        <x:v>4</x:v>
      </x:c>
      <x:c r="J1524" s="9" t="n">
        <x:v>254</x:v>
      </x:c>
      <x:c r="K1524" s="10" t="n">
        <x:v>0.2</x:v>
      </x:c>
      <x:c r="L1524" s="11" t="n">
        <x:v>0</x:v>
      </x:c>
      <x:c r="M1524" s="9" t="n">
        <x:f>IF(D1524="Completed",I1524*J1524,0)</x:f>
        <x:v>1016</x:v>
      </x:c>
      <x:c r="N1524" s="9" t="n">
        <x:f>M1524*K1524</x:f>
        <x:v>203.20000000000002</x:v>
      </x:c>
      <x:c r="O1524" s="9" t="n">
        <x:f>M1524-N1524</x:f>
        <x:v>812.8</x:v>
      </x:c>
      <x:c r="P1524" s="9" t="n">
        <x:f>IF(D1524="Completed",L1524*J1524*(1-K1524),0)</x:f>
        <x:v>0</x:v>
      </x:c>
      <x:c r="Q1524" s="9" t="n">
        <x:f>O1524-P1524</x:f>
        <x:v>812.8</x:v>
      </x:c>
      <x:c r="R1524" s="11" t="n">
        <x:f>IF(D1524="Completed",I1524,0)</x:f>
        <x:v>4</x:v>
      </x:c>
      <x:c r="S1524" s="11" t="n">
        <x:f>IF(D1524="Completed",L1524,0)</x:f>
        <x:v>0</x:v>
      </x:c>
      <x:c r="T1524" s="8" t="n">
        <x:f>DATE(YEAR(C1524),MONTH(C1524),1)</x:f>
        <x:v>45962</x:v>
      </x:c>
    </x:row>
    <x:row r="1525" ht="22" customHeight="1">
      <x:c r="A1525" s="2" t="str">
        <x:v>L001521</x:v>
      </x:c>
      <x:c r="B1525" s="2" t="str">
        <x:v>O00617</x:v>
      </x:c>
      <x:c r="C1525" s="7" t="n">
        <x:v>46016</x:v>
      </x:c>
      <x:c r="D1525" s="2" t="str">
        <x:v>Completed</x:v>
      </x:c>
      <x:c r="E1525" s="2" t="str">
        <x:v>West</x:v>
      </x:c>
      <x:c r="F1525" s="2" t="str">
        <x:v>Online</x:v>
      </x:c>
      <x:c r="G1525" s="2" t="str">
        <x:v>Furniture</x:v>
      </x:c>
      <x:c r="H1525" s="2" t="str">
        <x:v>Chair 006</x:v>
      </x:c>
      <x:c r="I1525" s="11" t="n">
        <x:v>3</x:v>
      </x:c>
      <x:c r="J1525" s="9" t="n">
        <x:v>196</x:v>
      </x:c>
      <x:c r="K1525" s="10" t="n">
        <x:v>0</x:v>
      </x:c>
      <x:c r="L1525" s="11" t="n">
        <x:v>0</x:v>
      </x:c>
      <x:c r="M1525" s="9" t="n">
        <x:f>IF(D1525="Completed",I1525*J1525,0)</x:f>
        <x:v>588</x:v>
      </x:c>
      <x:c r="N1525" s="9" t="n">
        <x:f>M1525*K1525</x:f>
        <x:v>0</x:v>
      </x:c>
      <x:c r="O1525" s="9" t="n">
        <x:f>M1525-N1525</x:f>
        <x:v>588</x:v>
      </x:c>
      <x:c r="P1525" s="9" t="n">
        <x:f>IF(D1525="Completed",L1525*J1525*(1-K1525),0)</x:f>
        <x:v>0</x:v>
      </x:c>
      <x:c r="Q1525" s="9" t="n">
        <x:f>O1525-P1525</x:f>
        <x:v>588</x:v>
      </x:c>
      <x:c r="R1525" s="11" t="n">
        <x:f>IF(D1525="Completed",I1525,0)</x:f>
        <x:v>3</x:v>
      </x:c>
      <x:c r="S1525" s="11" t="n">
        <x:f>IF(D1525="Completed",L1525,0)</x:f>
        <x:v>0</x:v>
      </x:c>
      <x:c r="T1525" s="8" t="n">
        <x:f>DATE(YEAR(C1525),MONTH(C1525),1)</x:f>
        <x:v>45992</x:v>
      </x:c>
    </x:row>
    <x:row r="1526" ht="22" customHeight="1">
      <x:c r="A1526" s="2" t="str">
        <x:v>L001522</x:v>
      </x:c>
      <x:c r="B1526" s="2" t="str">
        <x:v>O00618</x:v>
      </x:c>
      <x:c r="C1526" s="7" t="n">
        <x:v>45997</x:v>
      </x:c>
      <x:c r="D1526" s="2" t="str">
        <x:v>Completed</x:v>
      </x:c>
      <x:c r="E1526" s="2" t="str">
        <x:v>East</x:v>
      </x:c>
      <x:c r="F1526" s="2" t="str">
        <x:v>Store</x:v>
      </x:c>
      <x:c r="G1526" s="2" t="str">
        <x:v>Lighting</x:v>
      </x:c>
      <x:c r="H1526" s="2" t="str">
        <x:v>Lamp 001</x:v>
      </x:c>
      <x:c r="I1526" s="11" t="n">
        <x:v>4</x:v>
      </x:c>
      <x:c r="J1526" s="9" t="n">
        <x:v>122</x:v>
      </x:c>
      <x:c r="K1526" s="10" t="n">
        <x:v>0</x:v>
      </x:c>
      <x:c r="L1526" s="11" t="n">
        <x:v>0</x:v>
      </x:c>
      <x:c r="M1526" s="9" t="n">
        <x:f>IF(D1526="Completed",I1526*J1526,0)</x:f>
        <x:v>488</x:v>
      </x:c>
      <x:c r="N1526" s="9" t="n">
        <x:f>M1526*K1526</x:f>
        <x:v>0</x:v>
      </x:c>
      <x:c r="O1526" s="9" t="n">
        <x:f>M1526-N1526</x:f>
        <x:v>488</x:v>
      </x:c>
      <x:c r="P1526" s="9" t="n">
        <x:f>IF(D1526="Completed",L1526*J1526*(1-K1526),0)</x:f>
        <x:v>0</x:v>
      </x:c>
      <x:c r="Q1526" s="9" t="n">
        <x:f>O1526-P1526</x:f>
        <x:v>488</x:v>
      </x:c>
      <x:c r="R1526" s="11" t="n">
        <x:f>IF(D1526="Completed",I1526,0)</x:f>
        <x:v>4</x:v>
      </x:c>
      <x:c r="S1526" s="11" t="n">
        <x:f>IF(D1526="Completed",L1526,0)</x:f>
        <x:v>0</x:v>
      </x:c>
      <x:c r="T1526" s="8" t="n">
        <x:f>DATE(YEAR(C1526),MONTH(C1526),1)</x:f>
        <x:v>45992</x:v>
      </x:c>
    </x:row>
    <x:row r="1527" ht="22" customHeight="1">
      <x:c r="A1527" s="2" t="str">
        <x:v>L001523</x:v>
      </x:c>
      <x:c r="B1527" s="2" t="str">
        <x:v>O00619</x:v>
      </x:c>
      <x:c r="C1527" s="7" t="n">
        <x:v>45990</x:v>
      </x:c>
      <x:c r="D1527" s="2" t="str">
        <x:v>Completed</x:v>
      </x:c>
      <x:c r="E1527" s="2" t="str">
        <x:v>South</x:v>
      </x:c>
      <x:c r="F1527" s="2" t="str">
        <x:v>Online</x:v>
      </x:c>
      <x:c r="G1527" s="2" t="str">
        <x:v>Furniture</x:v>
      </x:c>
      <x:c r="H1527" s="2" t="str">
        <x:v>Desk 024</x:v>
      </x:c>
      <x:c r="I1527" s="11" t="n">
        <x:v>2</x:v>
      </x:c>
      <x:c r="J1527" s="9" t="n">
        <x:v>81</x:v>
      </x:c>
      <x:c r="K1527" s="10" t="n">
        <x:v>0.2</x:v>
      </x:c>
      <x:c r="L1527" s="11" t="n">
        <x:v>0</x:v>
      </x:c>
      <x:c r="M1527" s="9" t="n">
        <x:f>IF(D1527="Completed",I1527*J1527,0)</x:f>
        <x:v>162</x:v>
      </x:c>
      <x:c r="N1527" s="9" t="n">
        <x:f>M1527*K1527</x:f>
        <x:v>32.4</x:v>
      </x:c>
      <x:c r="O1527" s="9" t="n">
        <x:f>M1527-N1527</x:f>
        <x:v>129.6</x:v>
      </x:c>
      <x:c r="P1527" s="9" t="n">
        <x:f>IF(D1527="Completed",L1527*J1527*(1-K1527),0)</x:f>
        <x:v>0</x:v>
      </x:c>
      <x:c r="Q1527" s="9" t="n">
        <x:f>O1527-P1527</x:f>
        <x:v>129.6</x:v>
      </x:c>
      <x:c r="R1527" s="11" t="n">
        <x:f>IF(D1527="Completed",I1527,0)</x:f>
        <x:v>2</x:v>
      </x:c>
      <x:c r="S1527" s="11" t="n">
        <x:f>IF(D1527="Completed",L1527,0)</x:f>
        <x:v>0</x:v>
      </x:c>
      <x:c r="T1527" s="8" t="n">
        <x:f>DATE(YEAR(C1527),MONTH(C1527),1)</x:f>
        <x:v>45962</x:v>
      </x:c>
    </x:row>
    <x:row r="1528" ht="22" customHeight="1">
      <x:c r="A1528" s="2" t="str">
        <x:v>L001524</x:v>
      </x:c>
      <x:c r="B1528" s="2" t="str">
        <x:v>O00619</x:v>
      </x:c>
      <x:c r="C1528" s="7" t="n">
        <x:v>45990</x:v>
      </x:c>
      <x:c r="D1528" s="2" t="str">
        <x:v>Completed</x:v>
      </x:c>
      <x:c r="E1528" s="2" t="str">
        <x:v>South</x:v>
      </x:c>
      <x:c r="F1528" s="2" t="str">
        <x:v>Online</x:v>
      </x:c>
      <x:c r="G1528" s="2" t="str">
        <x:v>Furniture</x:v>
      </x:c>
      <x:c r="H1528" s="2" t="str">
        <x:v>Desk 016</x:v>
      </x:c>
      <x:c r="I1528" s="11" t="n">
        <x:v>3</x:v>
      </x:c>
      <x:c r="J1528" s="9" t="n">
        <x:v>231</x:v>
      </x:c>
      <x:c r="K1528" s="10" t="n">
        <x:v>0</x:v>
      </x:c>
      <x:c r="L1528" s="11" t="n">
        <x:v>0</x:v>
      </x:c>
      <x:c r="M1528" s="9" t="n">
        <x:f>IF(D1528="Completed",I1528*J1528,0)</x:f>
        <x:v>693</x:v>
      </x:c>
      <x:c r="N1528" s="9" t="n">
        <x:f>M1528*K1528</x:f>
        <x:v>0</x:v>
      </x:c>
      <x:c r="O1528" s="9" t="n">
        <x:f>M1528-N1528</x:f>
        <x:v>693</x:v>
      </x:c>
      <x:c r="P1528" s="9" t="n">
        <x:f>IF(D1528="Completed",L1528*J1528*(1-K1528),0)</x:f>
        <x:v>0</x:v>
      </x:c>
      <x:c r="Q1528" s="9" t="n">
        <x:f>O1528-P1528</x:f>
        <x:v>693</x:v>
      </x:c>
      <x:c r="R1528" s="11" t="n">
        <x:f>IF(D1528="Completed",I1528,0)</x:f>
        <x:v>3</x:v>
      </x:c>
      <x:c r="S1528" s="11" t="n">
        <x:f>IF(D1528="Completed",L1528,0)</x:f>
        <x:v>0</x:v>
      </x:c>
      <x:c r="T1528" s="8" t="n">
        <x:f>DATE(YEAR(C1528),MONTH(C1528),1)</x:f>
        <x:v>45962</x:v>
      </x:c>
    </x:row>
    <x:row r="1529" ht="22" customHeight="1">
      <x:c r="A1529" s="2" t="str">
        <x:v>L001525</x:v>
      </x:c>
      <x:c r="B1529" s="2" t="str">
        <x:v>O00619</x:v>
      </x:c>
      <x:c r="C1529" s="7" t="n">
        <x:v>45990</x:v>
      </x:c>
      <x:c r="D1529" s="2" t="str">
        <x:v>Completed</x:v>
      </x:c>
      <x:c r="E1529" s="2" t="str">
        <x:v>South</x:v>
      </x:c>
      <x:c r="F1529" s="2" t="str">
        <x:v>Online</x:v>
      </x:c>
      <x:c r="G1529" s="2" t="str">
        <x:v>Furniture</x:v>
      </x:c>
      <x:c r="H1529" s="2" t="str">
        <x:v>Chair 006</x:v>
      </x:c>
      <x:c r="I1529" s="11" t="n">
        <x:v>2</x:v>
      </x:c>
      <x:c r="J1529" s="9" t="n">
        <x:v>196</x:v>
      </x:c>
      <x:c r="K1529" s="10" t="n">
        <x:v>0</x:v>
      </x:c>
      <x:c r="L1529" s="11" t="n">
        <x:v>0</x:v>
      </x:c>
      <x:c r="M1529" s="9" t="n">
        <x:f>IF(D1529="Completed",I1529*J1529,0)</x:f>
        <x:v>392</x:v>
      </x:c>
      <x:c r="N1529" s="9" t="n">
        <x:f>M1529*K1529</x:f>
        <x:v>0</x:v>
      </x:c>
      <x:c r="O1529" s="9" t="n">
        <x:f>M1529-N1529</x:f>
        <x:v>392</x:v>
      </x:c>
      <x:c r="P1529" s="9" t="n">
        <x:f>IF(D1529="Completed",L1529*J1529*(1-K1529),0)</x:f>
        <x:v>0</x:v>
      </x:c>
      <x:c r="Q1529" s="9" t="n">
        <x:f>O1529-P1529</x:f>
        <x:v>392</x:v>
      </x:c>
      <x:c r="R1529" s="11" t="n">
        <x:f>IF(D1529="Completed",I1529,0)</x:f>
        <x:v>2</x:v>
      </x:c>
      <x:c r="S1529" s="11" t="n">
        <x:f>IF(D1529="Completed",L1529,0)</x:f>
        <x:v>0</x:v>
      </x:c>
      <x:c r="T1529" s="8" t="n">
        <x:f>DATE(YEAR(C1529),MONTH(C1529),1)</x:f>
        <x:v>45962</x:v>
      </x:c>
    </x:row>
    <x:row r="1530" ht="22" customHeight="1">
      <x:c r="A1530" s="2" t="str">
        <x:v>L001526</x:v>
      </x:c>
      <x:c r="B1530" s="2" t="str">
        <x:v>O00620</x:v>
      </x:c>
      <x:c r="C1530" s="7" t="n">
        <x:v>45785</x:v>
      </x:c>
      <x:c r="D1530" s="2" t="str">
        <x:v>Completed</x:v>
      </x:c>
      <x:c r="E1530" s="2" t="str">
        <x:v>South</x:v>
      </x:c>
      <x:c r="F1530" s="2" t="str">
        <x:v>Online</x:v>
      </x:c>
      <x:c r="G1530" s="2" t="str">
        <x:v>Furniture</x:v>
      </x:c>
      <x:c r="H1530" s="2" t="str">
        <x:v>Chair 006</x:v>
      </x:c>
      <x:c r="I1530" s="11" t="n">
        <x:v>4</x:v>
      </x:c>
      <x:c r="J1530" s="9" t="n">
        <x:v>196</x:v>
      </x:c>
      <x:c r="K1530" s="10" t="n">
        <x:v>0.1</x:v>
      </x:c>
      <x:c r="L1530" s="11" t="n">
        <x:v>0</x:v>
      </x:c>
      <x:c r="M1530" s="9" t="n">
        <x:f>IF(D1530="Completed",I1530*J1530,0)</x:f>
        <x:v>784</x:v>
      </x:c>
      <x:c r="N1530" s="9" t="n">
        <x:f>M1530*K1530</x:f>
        <x:v>78.4</x:v>
      </x:c>
      <x:c r="O1530" s="9" t="n">
        <x:f>M1530-N1530</x:f>
        <x:v>705.6</x:v>
      </x:c>
      <x:c r="P1530" s="9" t="n">
        <x:f>IF(D1530="Completed",L1530*J1530*(1-K1530),0)</x:f>
        <x:v>0</x:v>
      </x:c>
      <x:c r="Q1530" s="9" t="n">
        <x:f>O1530-P1530</x:f>
        <x:v>705.6</x:v>
      </x:c>
      <x:c r="R1530" s="11" t="n">
        <x:f>IF(D1530="Completed",I1530,0)</x:f>
        <x:v>4</x:v>
      </x:c>
      <x:c r="S1530" s="11" t="n">
        <x:f>IF(D1530="Completed",L1530,0)</x:f>
        <x:v>0</x:v>
      </x:c>
      <x:c r="T1530" s="8" t="n">
        <x:f>DATE(YEAR(C1530),MONTH(C1530),1)</x:f>
        <x:v>45778</x:v>
      </x:c>
    </x:row>
    <x:row r="1531" ht="22" customHeight="1">
      <x:c r="A1531" s="2" t="str">
        <x:v>L001527</x:v>
      </x:c>
      <x:c r="B1531" s="2" t="str">
        <x:v>O00621</x:v>
      </x:c>
      <x:c r="C1531" s="7" t="n">
        <x:v>45664</x:v>
      </x:c>
      <x:c r="D1531" s="2" t="str">
        <x:v>Completed</x:v>
      </x:c>
      <x:c r="E1531" s="2" t="str">
        <x:v>West</x:v>
      </x:c>
      <x:c r="F1531" s="2" t="str">
        <x:v>Online</x:v>
      </x:c>
      <x:c r="G1531" s="2" t="str">
        <x:v>Lighting</x:v>
      </x:c>
      <x:c r="H1531" s="2" t="str">
        <x:v>Lamp 009</x:v>
      </x:c>
      <x:c r="I1531" s="11" t="n">
        <x:v>3</x:v>
      </x:c>
      <x:c r="J1531" s="9" t="n">
        <x:v>93</x:v>
      </x:c>
      <x:c r="K1531" s="10" t="n">
        <x:v>0.1</x:v>
      </x:c>
      <x:c r="L1531" s="11" t="n">
        <x:v>0</x:v>
      </x:c>
      <x:c r="M1531" s="9" t="n">
        <x:f>IF(D1531="Completed",I1531*J1531,0)</x:f>
        <x:v>279</x:v>
      </x:c>
      <x:c r="N1531" s="9" t="n">
        <x:f>M1531*K1531</x:f>
        <x:v>27.900000000000002</x:v>
      </x:c>
      <x:c r="O1531" s="9" t="n">
        <x:f>M1531-N1531</x:f>
        <x:v>251.1</x:v>
      </x:c>
      <x:c r="P1531" s="9" t="n">
        <x:f>IF(D1531="Completed",L1531*J1531*(1-K1531),0)</x:f>
        <x:v>0</x:v>
      </x:c>
      <x:c r="Q1531" s="9" t="n">
        <x:f>O1531-P1531</x:f>
        <x:v>251.1</x:v>
      </x:c>
      <x:c r="R1531" s="11" t="n">
        <x:f>IF(D1531="Completed",I1531,0)</x:f>
        <x:v>3</x:v>
      </x:c>
      <x:c r="S1531" s="11" t="n">
        <x:f>IF(D1531="Completed",L1531,0)</x:f>
        <x:v>0</x:v>
      </x:c>
      <x:c r="T1531" s="8" t="n">
        <x:f>DATE(YEAR(C1531),MONTH(C1531),1)</x:f>
        <x:v>45658</x:v>
      </x:c>
    </x:row>
    <x:row r="1532" ht="22" customHeight="1">
      <x:c r="A1532" s="2" t="str">
        <x:v>L001528</x:v>
      </x:c>
      <x:c r="B1532" s="2" t="str">
        <x:v>O00621</x:v>
      </x:c>
      <x:c r="C1532" s="7" t="n">
        <x:v>45664</x:v>
      </x:c>
      <x:c r="D1532" s="2" t="str">
        <x:v>Completed</x:v>
      </x:c>
      <x:c r="E1532" s="2" t="str">
        <x:v>West</x:v>
      </x:c>
      <x:c r="F1532" s="2" t="str">
        <x:v>Online</x:v>
      </x:c>
      <x:c r="G1532" s="2" t="str">
        <x:v>Lighting</x:v>
      </x:c>
      <x:c r="H1532" s="2" t="str">
        <x:v>Lamp 001</x:v>
      </x:c>
      <x:c r="I1532" s="11" t="n">
        <x:v>2</x:v>
      </x:c>
      <x:c r="J1532" s="9" t="n">
        <x:v>122</x:v>
      </x:c>
      <x:c r="K1532" s="10" t="n">
        <x:v>0.2</x:v>
      </x:c>
      <x:c r="L1532" s="11" t="n">
        <x:v>0</x:v>
      </x:c>
      <x:c r="M1532" s="9" t="n">
        <x:f>IF(D1532="Completed",I1532*J1532,0)</x:f>
        <x:v>244</x:v>
      </x:c>
      <x:c r="N1532" s="9" t="n">
        <x:f>M1532*K1532</x:f>
        <x:v>48.800000000000004</x:v>
      </x:c>
      <x:c r="O1532" s="9" t="n">
        <x:f>M1532-N1532</x:f>
        <x:v>195.2</x:v>
      </x:c>
      <x:c r="P1532" s="9" t="n">
        <x:f>IF(D1532="Completed",L1532*J1532*(1-K1532),0)</x:f>
        <x:v>0</x:v>
      </x:c>
      <x:c r="Q1532" s="9" t="n">
        <x:f>O1532-P1532</x:f>
        <x:v>195.2</x:v>
      </x:c>
      <x:c r="R1532" s="11" t="n">
        <x:f>IF(D1532="Completed",I1532,0)</x:f>
        <x:v>2</x:v>
      </x:c>
      <x:c r="S1532" s="11" t="n">
        <x:f>IF(D1532="Completed",L1532,0)</x:f>
        <x:v>0</x:v>
      </x:c>
      <x:c r="T1532" s="8" t="n">
        <x:f>DATE(YEAR(C1532),MONTH(C1532),1)</x:f>
        <x:v>45658</x:v>
      </x:c>
    </x:row>
    <x:row r="1533" ht="22" customHeight="1">
      <x:c r="A1533" s="2" t="str">
        <x:v>L001529</x:v>
      </x:c>
      <x:c r="B1533" s="2" t="str">
        <x:v>O00621</x:v>
      </x:c>
      <x:c r="C1533" s="7" t="n">
        <x:v>45664</x:v>
      </x:c>
      <x:c r="D1533" s="2" t="str">
        <x:v>Completed</x:v>
      </x:c>
      <x:c r="E1533" s="2" t="str">
        <x:v>West</x:v>
      </x:c>
      <x:c r="F1533" s="2" t="str">
        <x:v>Online</x:v>
      </x:c>
      <x:c r="G1533" s="2" t="str">
        <x:v>Furniture</x:v>
      </x:c>
      <x:c r="H1533" s="2" t="str">
        <x:v>Desk 020</x:v>
      </x:c>
      <x:c r="I1533" s="11" t="n">
        <x:v>1</x:v>
      </x:c>
      <x:c r="J1533" s="9" t="n">
        <x:v>189</x:v>
      </x:c>
      <x:c r="K1533" s="10" t="n">
        <x:v>0</x:v>
      </x:c>
      <x:c r="L1533" s="11" t="n">
        <x:v>0</x:v>
      </x:c>
      <x:c r="M1533" s="9" t="n">
        <x:f>IF(D1533="Completed",I1533*J1533,0)</x:f>
        <x:v>189</x:v>
      </x:c>
      <x:c r="N1533" s="9" t="n">
        <x:f>M1533*K1533</x:f>
        <x:v>0</x:v>
      </x:c>
      <x:c r="O1533" s="9" t="n">
        <x:f>M1533-N1533</x:f>
        <x:v>189</x:v>
      </x:c>
      <x:c r="P1533" s="9" t="n">
        <x:f>IF(D1533="Completed",L1533*J1533*(1-K1533),0)</x:f>
        <x:v>0</x:v>
      </x:c>
      <x:c r="Q1533" s="9" t="n">
        <x:f>O1533-P1533</x:f>
        <x:v>189</x:v>
      </x:c>
      <x:c r="R1533" s="11" t="n">
        <x:f>IF(D1533="Completed",I1533,0)</x:f>
        <x:v>1</x:v>
      </x:c>
      <x:c r="S1533" s="11" t="n">
        <x:f>IF(D1533="Completed",L1533,0)</x:f>
        <x:v>0</x:v>
      </x:c>
      <x:c r="T1533" s="8" t="n">
        <x:f>DATE(YEAR(C1533),MONTH(C1533),1)</x:f>
        <x:v>45658</x:v>
      </x:c>
    </x:row>
    <x:row r="1534" ht="22" customHeight="1">
      <x:c r="A1534" s="2" t="str">
        <x:v>L001530</x:v>
      </x:c>
      <x:c r="B1534" s="2" t="str">
        <x:v>O00622</x:v>
      </x:c>
      <x:c r="C1534" s="7" t="n">
        <x:v>45741</x:v>
      </x:c>
      <x:c r="D1534" s="2" t="str">
        <x:v>Completed</x:v>
      </x:c>
      <x:c r="E1534" s="2" t="str">
        <x:v>West</x:v>
      </x:c>
      <x:c r="F1534" s="2" t="str">
        <x:v>Online</x:v>
      </x:c>
      <x:c r="G1534" s="2" t="str">
        <x:v>Furniture</x:v>
      </x:c>
      <x:c r="H1534" s="2" t="str">
        <x:v>Desk 020</x:v>
      </x:c>
      <x:c r="I1534" s="11" t="n">
        <x:v>3</x:v>
      </x:c>
      <x:c r="J1534" s="9" t="n">
        <x:v>189</x:v>
      </x:c>
      <x:c r="K1534" s="10" t="n">
        <x:v>0</x:v>
      </x:c>
      <x:c r="L1534" s="11" t="n">
        <x:v>3</x:v>
      </x:c>
      <x:c r="M1534" s="9" t="n">
        <x:f>IF(D1534="Completed",I1534*J1534,0)</x:f>
        <x:v>567</x:v>
      </x:c>
      <x:c r="N1534" s="9" t="n">
        <x:f>M1534*K1534</x:f>
        <x:v>0</x:v>
      </x:c>
      <x:c r="O1534" s="9" t="n">
        <x:f>M1534-N1534</x:f>
        <x:v>567</x:v>
      </x:c>
      <x:c r="P1534" s="9" t="n">
        <x:f>IF(D1534="Completed",L1534*J1534*(1-K1534),0)</x:f>
        <x:v>567</x:v>
      </x:c>
      <x:c r="Q1534" s="9" t="n">
        <x:f>O1534-P1534</x:f>
        <x:v>0</x:v>
      </x:c>
      <x:c r="R1534" s="11" t="n">
        <x:f>IF(D1534="Completed",I1534,0)</x:f>
        <x:v>3</x:v>
      </x:c>
      <x:c r="S1534" s="11" t="n">
        <x:f>IF(D1534="Completed",L1534,0)</x:f>
        <x:v>3</x:v>
      </x:c>
      <x:c r="T1534" s="8" t="n">
        <x:f>DATE(YEAR(C1534),MONTH(C1534),1)</x:f>
        <x:v>45717</x:v>
      </x:c>
    </x:row>
    <x:row r="1535" ht="22" customHeight="1">
      <x:c r="A1535" s="2" t="str">
        <x:v>L001531</x:v>
      </x:c>
      <x:c r="B1535" s="2" t="str">
        <x:v>O00622</x:v>
      </x:c>
      <x:c r="C1535" s="7" t="n">
        <x:v>45741</x:v>
      </x:c>
      <x:c r="D1535" s="2" t="str">
        <x:v>Completed</x:v>
      </x:c>
      <x:c r="E1535" s="2" t="str">
        <x:v>West</x:v>
      </x:c>
      <x:c r="F1535" s="2" t="str">
        <x:v>Online</x:v>
      </x:c>
      <x:c r="G1535" s="2" t="str">
        <x:v>Furniture</x:v>
      </x:c>
      <x:c r="H1535" s="2" t="str">
        <x:v>Desk 020</x:v>
      </x:c>
      <x:c r="I1535" s="11" t="n">
        <x:v>1</x:v>
      </x:c>
      <x:c r="J1535" s="9" t="n">
        <x:v>189</x:v>
      </x:c>
      <x:c r="K1535" s="10" t="n">
        <x:v>0.1</x:v>
      </x:c>
      <x:c r="L1535" s="11" t="n">
        <x:v>1</x:v>
      </x:c>
      <x:c r="M1535" s="9" t="n">
        <x:f>IF(D1535="Completed",I1535*J1535,0)</x:f>
        <x:v>189</x:v>
      </x:c>
      <x:c r="N1535" s="9" t="n">
        <x:f>M1535*K1535</x:f>
        <x:v>18.900000000000002</x:v>
      </x:c>
      <x:c r="O1535" s="9" t="n">
        <x:f>M1535-N1535</x:f>
        <x:v>170.1</x:v>
      </x:c>
      <x:c r="P1535" s="9" t="n">
        <x:f>IF(D1535="Completed",L1535*J1535*(1-K1535),0)</x:f>
        <x:v>170.1</x:v>
      </x:c>
      <x:c r="Q1535" s="9" t="n">
        <x:f>O1535-P1535</x:f>
        <x:v>0</x:v>
      </x:c>
      <x:c r="R1535" s="11" t="n">
        <x:f>IF(D1535="Completed",I1535,0)</x:f>
        <x:v>1</x:v>
      </x:c>
      <x:c r="S1535" s="11" t="n">
        <x:f>IF(D1535="Completed",L1535,0)</x:f>
        <x:v>1</x:v>
      </x:c>
      <x:c r="T1535" s="8" t="n">
        <x:f>DATE(YEAR(C1535),MONTH(C1535),1)</x:f>
        <x:v>45717</x:v>
      </x:c>
    </x:row>
    <x:row r="1536" ht="22" customHeight="1">
      <x:c r="A1536" s="2" t="str">
        <x:v>L001532</x:v>
      </x:c>
      <x:c r="B1536" s="2" t="str">
        <x:v>O00622</x:v>
      </x:c>
      <x:c r="C1536" s="7" t="n">
        <x:v>45741</x:v>
      </x:c>
      <x:c r="D1536" s="2" t="str">
        <x:v>Completed</x:v>
      </x:c>
      <x:c r="E1536" s="2" t="str">
        <x:v>West</x:v>
      </x:c>
      <x:c r="F1536" s="2" t="str">
        <x:v>Online</x:v>
      </x:c>
      <x:c r="G1536" s="2" t="str">
        <x:v>Furniture</x:v>
      </x:c>
      <x:c r="H1536" s="2" t="str">
        <x:v>Chair 014</x:v>
      </x:c>
      <x:c r="I1536" s="11" t="n">
        <x:v>2</x:v>
      </x:c>
      <x:c r="J1536" s="9" t="n">
        <x:v>294</x:v>
      </x:c>
      <x:c r="K1536" s="10" t="n">
        <x:v>0</x:v>
      </x:c>
      <x:c r="L1536" s="11" t="n">
        <x:v>0</x:v>
      </x:c>
      <x:c r="M1536" s="9" t="n">
        <x:f>IF(D1536="Completed",I1536*J1536,0)</x:f>
        <x:v>588</x:v>
      </x:c>
      <x:c r="N1536" s="9" t="n">
        <x:f>M1536*K1536</x:f>
        <x:v>0</x:v>
      </x:c>
      <x:c r="O1536" s="9" t="n">
        <x:f>M1536-N1536</x:f>
        <x:v>588</x:v>
      </x:c>
      <x:c r="P1536" s="9" t="n">
        <x:f>IF(D1536="Completed",L1536*J1536*(1-K1536),0)</x:f>
        <x:v>0</x:v>
      </x:c>
      <x:c r="Q1536" s="9" t="n">
        <x:f>O1536-P1536</x:f>
        <x:v>588</x:v>
      </x:c>
      <x:c r="R1536" s="11" t="n">
        <x:f>IF(D1536="Completed",I1536,0)</x:f>
        <x:v>2</x:v>
      </x:c>
      <x:c r="S1536" s="11" t="n">
        <x:f>IF(D1536="Completed",L1536,0)</x:f>
        <x:v>0</x:v>
      </x:c>
      <x:c r="T1536" s="8" t="n">
        <x:f>DATE(YEAR(C1536),MONTH(C1536),1)</x:f>
        <x:v>45717</x:v>
      </x:c>
    </x:row>
    <x:row r="1537" ht="22" customHeight="1">
      <x:c r="A1537" s="2" t="str">
        <x:v>L001533</x:v>
      </x:c>
      <x:c r="B1537" s="2" t="str">
        <x:v>O00623</x:v>
      </x:c>
      <x:c r="C1537" s="7" t="n">
        <x:v>45800</x:v>
      </x:c>
      <x:c r="D1537" s="2" t="str">
        <x:v>Completed</x:v>
      </x:c>
      <x:c r="E1537" s="2" t="str">
        <x:v>North</x:v>
      </x:c>
      <x:c r="F1537" s="2" t="str">
        <x:v>Online</x:v>
      </x:c>
      <x:c r="G1537" s="2" t="str">
        <x:v>Lighting</x:v>
      </x:c>
      <x:c r="H1537" s="2" t="str">
        <x:v>Lamp 001</x:v>
      </x:c>
      <x:c r="I1537" s="11" t="n">
        <x:v>1</x:v>
      </x:c>
      <x:c r="J1537" s="9" t="n">
        <x:v>122</x:v>
      </x:c>
      <x:c r="K1537" s="10" t="n">
        <x:v>0.2</x:v>
      </x:c>
      <x:c r="L1537" s="11" t="n">
        <x:v>0</x:v>
      </x:c>
      <x:c r="M1537" s="9" t="n">
        <x:f>IF(D1537="Completed",I1537*J1537,0)</x:f>
        <x:v>122</x:v>
      </x:c>
      <x:c r="N1537" s="9" t="n">
        <x:f>M1537*K1537</x:f>
        <x:v>24.400000000000002</x:v>
      </x:c>
      <x:c r="O1537" s="9" t="n">
        <x:f>M1537-N1537</x:f>
        <x:v>97.6</x:v>
      </x:c>
      <x:c r="P1537" s="9" t="n">
        <x:f>IF(D1537="Completed",L1537*J1537*(1-K1537),0)</x:f>
        <x:v>0</x:v>
      </x:c>
      <x:c r="Q1537" s="9" t="n">
        <x:f>O1537-P1537</x:f>
        <x:v>97.6</x:v>
      </x:c>
      <x:c r="R1537" s="11" t="n">
        <x:f>IF(D1537="Completed",I1537,0)</x:f>
        <x:v>1</x:v>
      </x:c>
      <x:c r="S1537" s="11" t="n">
        <x:f>IF(D1537="Completed",L1537,0)</x:f>
        <x:v>0</x:v>
      </x:c>
      <x:c r="T1537" s="8" t="n">
        <x:f>DATE(YEAR(C1537),MONTH(C1537),1)</x:f>
        <x:v>45778</x:v>
      </x:c>
    </x:row>
    <x:row r="1538" ht="22" customHeight="1">
      <x:c r="A1538" s="2" t="str">
        <x:v>L001534</x:v>
      </x:c>
      <x:c r="B1538" s="2" t="str">
        <x:v>O00624</x:v>
      </x:c>
      <x:c r="C1538" s="7" t="n">
        <x:v>45848</x:v>
      </x:c>
      <x:c r="D1538" s="2" t="str">
        <x:v>Completed</x:v>
      </x:c>
      <x:c r="E1538" s="2" t="str">
        <x:v>North</x:v>
      </x:c>
      <x:c r="F1538" s="2" t="str">
        <x:v>Online</x:v>
      </x:c>
      <x:c r="G1538" s="2" t="str">
        <x:v>Furniture</x:v>
      </x:c>
      <x:c r="H1538" s="2" t="str">
        <x:v>Desk 008</x:v>
      </x:c>
      <x:c r="I1538" s="11" t="n">
        <x:v>3</x:v>
      </x:c>
      <x:c r="J1538" s="9" t="n">
        <x:v>188</x:v>
      </x:c>
      <x:c r="K1538" s="10" t="n">
        <x:v>0.2</x:v>
      </x:c>
      <x:c r="L1538" s="11" t="n">
        <x:v>0</x:v>
      </x:c>
      <x:c r="M1538" s="9" t="n">
        <x:f>IF(D1538="Completed",I1538*J1538,0)</x:f>
        <x:v>564</x:v>
      </x:c>
      <x:c r="N1538" s="9" t="n">
        <x:f>M1538*K1538</x:f>
        <x:v>112.80000000000001</x:v>
      </x:c>
      <x:c r="O1538" s="9" t="n">
        <x:f>M1538-N1538</x:f>
        <x:v>451.2</x:v>
      </x:c>
      <x:c r="P1538" s="9" t="n">
        <x:f>IF(D1538="Completed",L1538*J1538*(1-K1538),0)</x:f>
        <x:v>0</x:v>
      </x:c>
      <x:c r="Q1538" s="9" t="n">
        <x:f>O1538-P1538</x:f>
        <x:v>451.2</x:v>
      </x:c>
      <x:c r="R1538" s="11" t="n">
        <x:f>IF(D1538="Completed",I1538,0)</x:f>
        <x:v>3</x:v>
      </x:c>
      <x:c r="S1538" s="11" t="n">
        <x:f>IF(D1538="Completed",L1538,0)</x:f>
        <x:v>0</x:v>
      </x:c>
      <x:c r="T1538" s="8" t="n">
        <x:f>DATE(YEAR(C1538),MONTH(C1538),1)</x:f>
        <x:v>45839</x:v>
      </x:c>
    </x:row>
    <x:row r="1539" ht="22" customHeight="1">
      <x:c r="A1539" s="2" t="str">
        <x:v>L001535</x:v>
      </x:c>
      <x:c r="B1539" s="2" t="str">
        <x:v>O00624</x:v>
      </x:c>
      <x:c r="C1539" s="7" t="n">
        <x:v>45848</x:v>
      </x:c>
      <x:c r="D1539" s="2" t="str">
        <x:v>Completed</x:v>
      </x:c>
      <x:c r="E1539" s="2" t="str">
        <x:v>North</x:v>
      </x:c>
      <x:c r="F1539" s="2" t="str">
        <x:v>Online</x:v>
      </x:c>
      <x:c r="G1539" s="2" t="str">
        <x:v>Storage</x:v>
      </x:c>
      <x:c r="H1539" s="2" t="str">
        <x:v>Shelf 003</x:v>
      </x:c>
      <x:c r="I1539" s="11" t="n">
        <x:v>3</x:v>
      </x:c>
      <x:c r="J1539" s="9" t="n">
        <x:v>199</x:v>
      </x:c>
      <x:c r="K1539" s="10" t="n">
        <x:v>0.2</x:v>
      </x:c>
      <x:c r="L1539" s="11" t="n">
        <x:v>0</x:v>
      </x:c>
      <x:c r="M1539" s="9" t="n">
        <x:f>IF(D1539="Completed",I1539*J1539,0)</x:f>
        <x:v>597</x:v>
      </x:c>
      <x:c r="N1539" s="9" t="n">
        <x:f>M1539*K1539</x:f>
        <x:v>119.4</x:v>
      </x:c>
      <x:c r="O1539" s="9" t="n">
        <x:f>M1539-N1539</x:f>
        <x:v>477.6</x:v>
      </x:c>
      <x:c r="P1539" s="9" t="n">
        <x:f>IF(D1539="Completed",L1539*J1539*(1-K1539),0)</x:f>
        <x:v>0</x:v>
      </x:c>
      <x:c r="Q1539" s="9" t="n">
        <x:f>O1539-P1539</x:f>
        <x:v>477.6</x:v>
      </x:c>
      <x:c r="R1539" s="11" t="n">
        <x:f>IF(D1539="Completed",I1539,0)</x:f>
        <x:v>3</x:v>
      </x:c>
      <x:c r="S1539" s="11" t="n">
        <x:f>IF(D1539="Completed",L1539,0)</x:f>
        <x:v>0</x:v>
      </x:c>
      <x:c r="T1539" s="8" t="n">
        <x:f>DATE(YEAR(C1539),MONTH(C1539),1)</x:f>
        <x:v>45839</x:v>
      </x:c>
    </x:row>
    <x:row r="1540" ht="22" customHeight="1">
      <x:c r="A1540" s="2" t="str">
        <x:v>L001536</x:v>
      </x:c>
      <x:c r="B1540" s="2" t="str">
        <x:v>O00624</x:v>
      </x:c>
      <x:c r="C1540" s="7" t="n">
        <x:v>45848</x:v>
      </x:c>
      <x:c r="D1540" s="2" t="str">
        <x:v>Completed</x:v>
      </x:c>
      <x:c r="E1540" s="2" t="str">
        <x:v>North</x:v>
      </x:c>
      <x:c r="F1540" s="2" t="str">
        <x:v>Online</x:v>
      </x:c>
      <x:c r="G1540" s="2" t="str">
        <x:v>Storage</x:v>
      </x:c>
      <x:c r="H1540" s="2" t="str">
        <x:v>Shelf 003</x:v>
      </x:c>
      <x:c r="I1540" s="11" t="n">
        <x:v>2</x:v>
      </x:c>
      <x:c r="J1540" s="9" t="n">
        <x:v>199</x:v>
      </x:c>
      <x:c r="K1540" s="10" t="n">
        <x:v>0.1</x:v>
      </x:c>
      <x:c r="L1540" s="11" t="n">
        <x:v>0</x:v>
      </x:c>
      <x:c r="M1540" s="9" t="n">
        <x:f>IF(D1540="Completed",I1540*J1540,0)</x:f>
        <x:v>398</x:v>
      </x:c>
      <x:c r="N1540" s="9" t="n">
        <x:f>M1540*K1540</x:f>
        <x:v>39.800000000000004</x:v>
      </x:c>
      <x:c r="O1540" s="9" t="n">
        <x:f>M1540-N1540</x:f>
        <x:v>358.2</x:v>
      </x:c>
      <x:c r="P1540" s="9" t="n">
        <x:f>IF(D1540="Completed",L1540*J1540*(1-K1540),0)</x:f>
        <x:v>0</x:v>
      </x:c>
      <x:c r="Q1540" s="9" t="n">
        <x:f>O1540-P1540</x:f>
        <x:v>358.2</x:v>
      </x:c>
      <x:c r="R1540" s="11" t="n">
        <x:f>IF(D1540="Completed",I1540,0)</x:f>
        <x:v>2</x:v>
      </x:c>
      <x:c r="S1540" s="11" t="n">
        <x:f>IF(D1540="Completed",L1540,0)</x:f>
        <x:v>0</x:v>
      </x:c>
      <x:c r="T1540" s="8" t="n">
        <x:f>DATE(YEAR(C1540),MONTH(C1540),1)</x:f>
        <x:v>45839</x:v>
      </x:c>
    </x:row>
    <x:row r="1541" ht="22" customHeight="1">
      <x:c r="A1541" s="2" t="str">
        <x:v>L001537</x:v>
      </x:c>
      <x:c r="B1541" s="2" t="str">
        <x:v>O00624</x:v>
      </x:c>
      <x:c r="C1541" s="7" t="n">
        <x:v>45848</x:v>
      </x:c>
      <x:c r="D1541" s="2" t="str">
        <x:v>Completed</x:v>
      </x:c>
      <x:c r="E1541" s="2" t="str">
        <x:v>North</x:v>
      </x:c>
      <x:c r="F1541" s="2" t="str">
        <x:v>Online</x:v>
      </x:c>
      <x:c r="G1541" s="2" t="str">
        <x:v>Furniture</x:v>
      </x:c>
      <x:c r="H1541" s="2" t="str">
        <x:v>Desk 004</x:v>
      </x:c>
      <x:c r="I1541" s="11" t="n">
        <x:v>4</x:v>
      </x:c>
      <x:c r="J1541" s="9" t="n">
        <x:v>123</x:v>
      </x:c>
      <x:c r="K1541" s="10" t="n">
        <x:v>0.05</x:v>
      </x:c>
      <x:c r="L1541" s="11" t="n">
        <x:v>3</x:v>
      </x:c>
      <x:c r="M1541" s="9" t="n">
        <x:f>IF(D1541="Completed",I1541*J1541,0)</x:f>
        <x:v>492</x:v>
      </x:c>
      <x:c r="N1541" s="9" t="n">
        <x:f>M1541*K1541</x:f>
        <x:v>24.6</x:v>
      </x:c>
      <x:c r="O1541" s="9" t="n">
        <x:f>M1541-N1541</x:f>
        <x:v>467.4</x:v>
      </x:c>
      <x:c r="P1541" s="9" t="n">
        <x:f>IF(D1541="Completed",L1541*J1541*(1-K1541),0)</x:f>
        <x:v>350.55</x:v>
      </x:c>
      <x:c r="Q1541" s="9" t="n">
        <x:f>O1541-P1541</x:f>
        <x:v>116.84999999999997</x:v>
      </x:c>
      <x:c r="R1541" s="11" t="n">
        <x:f>IF(D1541="Completed",I1541,0)</x:f>
        <x:v>4</x:v>
      </x:c>
      <x:c r="S1541" s="11" t="n">
        <x:f>IF(D1541="Completed",L1541,0)</x:f>
        <x:v>3</x:v>
      </x:c>
      <x:c r="T1541" s="8" t="n">
        <x:f>DATE(YEAR(C1541),MONTH(C1541),1)</x:f>
        <x:v>45839</x:v>
      </x:c>
    </x:row>
    <x:row r="1542" ht="22" customHeight="1">
      <x:c r="A1542" s="2" t="str">
        <x:v>L001538</x:v>
      </x:c>
      <x:c r="B1542" s="2" t="str">
        <x:v>O00625</x:v>
      </x:c>
      <x:c r="C1542" s="7" t="n">
        <x:v>45737</x:v>
      </x:c>
      <x:c r="D1542" s="2" t="str">
        <x:v>Completed</x:v>
      </x:c>
      <x:c r="E1542" s="2" t="str">
        <x:v>West</x:v>
      </x:c>
      <x:c r="F1542" s="2" t="str">
        <x:v>Store</x:v>
      </x:c>
      <x:c r="G1542" s="2" t="str">
        <x:v>Lighting</x:v>
      </x:c>
      <x:c r="H1542" s="2" t="str">
        <x:v>Lamp 013</x:v>
      </x:c>
      <x:c r="I1542" s="11" t="n">
        <x:v>3</x:v>
      </x:c>
      <x:c r="J1542" s="9" t="n">
        <x:v>271</x:v>
      </x:c>
      <x:c r="K1542" s="10" t="n">
        <x:v>0.05</x:v>
      </x:c>
      <x:c r="L1542" s="11" t="n">
        <x:v>0</x:v>
      </x:c>
      <x:c r="M1542" s="9" t="n">
        <x:f>IF(D1542="Completed",I1542*J1542,0)</x:f>
        <x:v>813</x:v>
      </x:c>
      <x:c r="N1542" s="9" t="n">
        <x:f>M1542*K1542</x:f>
        <x:v>40.650000000000006</x:v>
      </x:c>
      <x:c r="O1542" s="9" t="n">
        <x:f>M1542-N1542</x:f>
        <x:v>772.35</x:v>
      </x:c>
      <x:c r="P1542" s="9" t="n">
        <x:f>IF(D1542="Completed",L1542*J1542*(1-K1542),0)</x:f>
        <x:v>0</x:v>
      </x:c>
      <x:c r="Q1542" s="9" t="n">
        <x:f>O1542-P1542</x:f>
        <x:v>772.35</x:v>
      </x:c>
      <x:c r="R1542" s="11" t="n">
        <x:f>IF(D1542="Completed",I1542,0)</x:f>
        <x:v>3</x:v>
      </x:c>
      <x:c r="S1542" s="11" t="n">
        <x:f>IF(D1542="Completed",L1542,0)</x:f>
        <x:v>0</x:v>
      </x:c>
      <x:c r="T1542" s="8" t="n">
        <x:f>DATE(YEAR(C1542),MONTH(C1542),1)</x:f>
        <x:v>45717</x:v>
      </x:c>
    </x:row>
    <x:row r="1543" ht="22" customHeight="1">
      <x:c r="A1543" s="2" t="str">
        <x:v>L001539</x:v>
      </x:c>
      <x:c r="B1543" s="2" t="str">
        <x:v>O00625</x:v>
      </x:c>
      <x:c r="C1543" s="7" t="n">
        <x:v>45737</x:v>
      </x:c>
      <x:c r="D1543" s="2" t="str">
        <x:v>Completed</x:v>
      </x:c>
      <x:c r="E1543" s="2" t="str">
        <x:v>West</x:v>
      </x:c>
      <x:c r="F1543" s="2" t="str">
        <x:v>Store</x:v>
      </x:c>
      <x:c r="G1543" s="2" t="str">
        <x:v>Lighting</x:v>
      </x:c>
      <x:c r="H1543" s="2" t="str">
        <x:v>Lamp 009</x:v>
      </x:c>
      <x:c r="I1543" s="11" t="n">
        <x:v>5</x:v>
      </x:c>
      <x:c r="J1543" s="9" t="n">
        <x:v>93</x:v>
      </x:c>
      <x:c r="K1543" s="10" t="n">
        <x:v>0.1</x:v>
      </x:c>
      <x:c r="L1543" s="11" t="n">
        <x:v>0</x:v>
      </x:c>
      <x:c r="M1543" s="9" t="n">
        <x:f>IF(D1543="Completed",I1543*J1543,0)</x:f>
        <x:v>465</x:v>
      </x:c>
      <x:c r="N1543" s="9" t="n">
        <x:f>M1543*K1543</x:f>
        <x:v>46.5</x:v>
      </x:c>
      <x:c r="O1543" s="9" t="n">
        <x:f>M1543-N1543</x:f>
        <x:v>418.5</x:v>
      </x:c>
      <x:c r="P1543" s="9" t="n">
        <x:f>IF(D1543="Completed",L1543*J1543*(1-K1543),0)</x:f>
        <x:v>0</x:v>
      </x:c>
      <x:c r="Q1543" s="9" t="n">
        <x:f>O1543-P1543</x:f>
        <x:v>418.5</x:v>
      </x:c>
      <x:c r="R1543" s="11" t="n">
        <x:f>IF(D1543="Completed",I1543,0)</x:f>
        <x:v>5</x:v>
      </x:c>
      <x:c r="S1543" s="11" t="n">
        <x:f>IF(D1543="Completed",L1543,0)</x:f>
        <x:v>0</x:v>
      </x:c>
      <x:c r="T1543" s="8" t="n">
        <x:f>DATE(YEAR(C1543),MONTH(C1543),1)</x:f>
        <x:v>45717</x:v>
      </x:c>
    </x:row>
    <x:row r="1544" ht="22" customHeight="1">
      <x:c r="A1544" s="2" t="str">
        <x:v>L001540</x:v>
      </x:c>
      <x:c r="B1544" s="2" t="str">
        <x:v>O00625</x:v>
      </x:c>
      <x:c r="C1544" s="7" t="n">
        <x:v>45737</x:v>
      </x:c>
      <x:c r="D1544" s="2" t="str">
        <x:v>Completed</x:v>
      </x:c>
      <x:c r="E1544" s="2" t="str">
        <x:v>West</x:v>
      </x:c>
      <x:c r="F1544" s="2" t="str">
        <x:v>Store</x:v>
      </x:c>
      <x:c r="G1544" s="2" t="str">
        <x:v>Storage</x:v>
      </x:c>
      <x:c r="H1544" s="2" t="str">
        <x:v>Shelf 007</x:v>
      </x:c>
      <x:c r="I1544" s="11" t="n">
        <x:v>1</x:v>
      </x:c>
      <x:c r="J1544" s="9" t="n">
        <x:v>35</x:v>
      </x:c>
      <x:c r="K1544" s="10" t="n">
        <x:v>0.1</x:v>
      </x:c>
      <x:c r="L1544" s="11" t="n">
        <x:v>0</x:v>
      </x:c>
      <x:c r="M1544" s="9" t="n">
        <x:f>IF(D1544="Completed",I1544*J1544,0)</x:f>
        <x:v>35</x:v>
      </x:c>
      <x:c r="N1544" s="9" t="n">
        <x:f>M1544*K1544</x:f>
        <x:v>3.5</x:v>
      </x:c>
      <x:c r="O1544" s="9" t="n">
        <x:f>M1544-N1544</x:f>
        <x:v>31.5</x:v>
      </x:c>
      <x:c r="P1544" s="9" t="n">
        <x:f>IF(D1544="Completed",L1544*J1544*(1-K1544),0)</x:f>
        <x:v>0</x:v>
      </x:c>
      <x:c r="Q1544" s="9" t="n">
        <x:f>O1544-P1544</x:f>
        <x:v>31.5</x:v>
      </x:c>
      <x:c r="R1544" s="11" t="n">
        <x:f>IF(D1544="Completed",I1544,0)</x:f>
        <x:v>1</x:v>
      </x:c>
      <x:c r="S1544" s="11" t="n">
        <x:f>IF(D1544="Completed",L1544,0)</x:f>
        <x:v>0</x:v>
      </x:c>
      <x:c r="T1544" s="8" t="n">
        <x:f>DATE(YEAR(C1544),MONTH(C1544),1)</x:f>
        <x:v>45717</x:v>
      </x:c>
    </x:row>
    <x:row r="1545" ht="22" customHeight="1">
      <x:c r="A1545" s="2" t="str">
        <x:v>L001541</x:v>
      </x:c>
      <x:c r="B1545" s="2" t="str">
        <x:v>O00625</x:v>
      </x:c>
      <x:c r="C1545" s="7" t="n">
        <x:v>45737</x:v>
      </x:c>
      <x:c r="D1545" s="2" t="str">
        <x:v>Completed</x:v>
      </x:c>
      <x:c r="E1545" s="2" t="str">
        <x:v>West</x:v>
      </x:c>
      <x:c r="F1545" s="2" t="str">
        <x:v>Store</x:v>
      </x:c>
      <x:c r="G1545" s="2" t="str">
        <x:v>Lighting</x:v>
      </x:c>
      <x:c r="H1545" s="2" t="str">
        <x:v>Lamp 005</x:v>
      </x:c>
      <x:c r="I1545" s="11" t="n">
        <x:v>5</x:v>
      </x:c>
      <x:c r="J1545" s="9" t="n">
        <x:v>65</x:v>
      </x:c>
      <x:c r="K1545" s="10" t="n">
        <x:v>0.2</x:v>
      </x:c>
      <x:c r="L1545" s="11" t="n">
        <x:v>0</x:v>
      </x:c>
      <x:c r="M1545" s="9" t="n">
        <x:f>IF(D1545="Completed",I1545*J1545,0)</x:f>
        <x:v>325</x:v>
      </x:c>
      <x:c r="N1545" s="9" t="n">
        <x:f>M1545*K1545</x:f>
        <x:v>65</x:v>
      </x:c>
      <x:c r="O1545" s="9" t="n">
        <x:f>M1545-N1545</x:f>
        <x:v>260</x:v>
      </x:c>
      <x:c r="P1545" s="9" t="n">
        <x:f>IF(D1545="Completed",L1545*J1545*(1-K1545),0)</x:f>
        <x:v>0</x:v>
      </x:c>
      <x:c r="Q1545" s="9" t="n">
        <x:f>O1545-P1545</x:f>
        <x:v>260</x:v>
      </x:c>
      <x:c r="R1545" s="11" t="n">
        <x:f>IF(D1545="Completed",I1545,0)</x:f>
        <x:v>5</x:v>
      </x:c>
      <x:c r="S1545" s="11" t="n">
        <x:f>IF(D1545="Completed",L1545,0)</x:f>
        <x:v>0</x:v>
      </x:c>
      <x:c r="T1545" s="8" t="n">
        <x:f>DATE(YEAR(C1545),MONTH(C1545),1)</x:f>
        <x:v>45717</x:v>
      </x:c>
    </x:row>
    <x:row r="1546" ht="22" customHeight="1">
      <x:c r="A1546" s="2" t="str">
        <x:v>L001542</x:v>
      </x:c>
      <x:c r="B1546" s="2" t="str">
        <x:v>O00626</x:v>
      </x:c>
      <x:c r="C1546" s="7" t="n">
        <x:v>45983</x:v>
      </x:c>
      <x:c r="D1546" s="2" t="str">
        <x:v>Completed</x:v>
      </x:c>
      <x:c r="E1546" s="2" t="str">
        <x:v>West</x:v>
      </x:c>
      <x:c r="F1546" s="2" t="str">
        <x:v>Online</x:v>
      </x:c>
      <x:c r="G1546" s="2" t="str">
        <x:v>Furniture</x:v>
      </x:c>
      <x:c r="H1546" s="2" t="str">
        <x:v>Chair 022</x:v>
      </x:c>
      <x:c r="I1546" s="11" t="n">
        <x:v>3</x:v>
      </x:c>
      <x:c r="J1546" s="9" t="n">
        <x:v>134</x:v>
      </x:c>
      <x:c r="K1546" s="10" t="n">
        <x:v>0.05</x:v>
      </x:c>
      <x:c r="L1546" s="11" t="n">
        <x:v>2</x:v>
      </x:c>
      <x:c r="M1546" s="9" t="n">
        <x:f>IF(D1546="Completed",I1546*J1546,0)</x:f>
        <x:v>402</x:v>
      </x:c>
      <x:c r="N1546" s="9" t="n">
        <x:f>M1546*K1546</x:f>
        <x:v>20.1</x:v>
      </x:c>
      <x:c r="O1546" s="9" t="n">
        <x:f>M1546-N1546</x:f>
        <x:v>381.9</x:v>
      </x:c>
      <x:c r="P1546" s="9" t="n">
        <x:f>IF(D1546="Completed",L1546*J1546*(1-K1546),0)</x:f>
        <x:v>254.6</x:v>
      </x:c>
      <x:c r="Q1546" s="9" t="n">
        <x:f>O1546-P1546</x:f>
        <x:v>127.29999999999998</x:v>
      </x:c>
      <x:c r="R1546" s="11" t="n">
        <x:f>IF(D1546="Completed",I1546,0)</x:f>
        <x:v>3</x:v>
      </x:c>
      <x:c r="S1546" s="11" t="n">
        <x:f>IF(D1546="Completed",L1546,0)</x:f>
        <x:v>2</x:v>
      </x:c>
      <x:c r="T1546" s="8" t="n">
        <x:f>DATE(YEAR(C1546),MONTH(C1546),1)</x:f>
        <x:v>45962</x:v>
      </x:c>
    </x:row>
    <x:row r="1547" ht="22" customHeight="1">
      <x:c r="A1547" s="2" t="str">
        <x:v>L001543</x:v>
      </x:c>
      <x:c r="B1547" s="2" t="str">
        <x:v>O00626</x:v>
      </x:c>
      <x:c r="C1547" s="7" t="n">
        <x:v>45983</x:v>
      </x:c>
      <x:c r="D1547" s="2" t="str">
        <x:v>Completed</x:v>
      </x:c>
      <x:c r="E1547" s="2" t="str">
        <x:v>West</x:v>
      </x:c>
      <x:c r="F1547" s="2" t="str">
        <x:v>Online</x:v>
      </x:c>
      <x:c r="G1547" s="2" t="str">
        <x:v>Storage</x:v>
      </x:c>
      <x:c r="H1547" s="2" t="str">
        <x:v>Shelf 003</x:v>
      </x:c>
      <x:c r="I1547" s="11" t="n">
        <x:v>4</x:v>
      </x:c>
      <x:c r="J1547" s="9" t="n">
        <x:v>199</x:v>
      </x:c>
      <x:c r="K1547" s="10" t="n">
        <x:v>0.05</x:v>
      </x:c>
      <x:c r="L1547" s="11" t="n">
        <x:v>0</x:v>
      </x:c>
      <x:c r="M1547" s="9" t="n">
        <x:f>IF(D1547="Completed",I1547*J1547,0)</x:f>
        <x:v>796</x:v>
      </x:c>
      <x:c r="N1547" s="9" t="n">
        <x:f>M1547*K1547</x:f>
        <x:v>39.800000000000004</x:v>
      </x:c>
      <x:c r="O1547" s="9" t="n">
        <x:f>M1547-N1547</x:f>
        <x:v>756.2</x:v>
      </x:c>
      <x:c r="P1547" s="9" t="n">
        <x:f>IF(D1547="Completed",L1547*J1547*(1-K1547),0)</x:f>
        <x:v>0</x:v>
      </x:c>
      <x:c r="Q1547" s="9" t="n">
        <x:f>O1547-P1547</x:f>
        <x:v>756.2</x:v>
      </x:c>
      <x:c r="R1547" s="11" t="n">
        <x:f>IF(D1547="Completed",I1547,0)</x:f>
        <x:v>4</x:v>
      </x:c>
      <x:c r="S1547" s="11" t="n">
        <x:f>IF(D1547="Completed",L1547,0)</x:f>
        <x:v>0</x:v>
      </x:c>
      <x:c r="T1547" s="8" t="n">
        <x:f>DATE(YEAR(C1547),MONTH(C1547),1)</x:f>
        <x:v>45962</x:v>
      </x:c>
    </x:row>
    <x:row r="1548" ht="22" customHeight="1">
      <x:c r="A1548" s="2" t="str">
        <x:v>L001544</x:v>
      </x:c>
      <x:c r="B1548" s="2" t="str">
        <x:v>O00626</x:v>
      </x:c>
      <x:c r="C1548" s="7" t="n">
        <x:v>45983</x:v>
      </x:c>
      <x:c r="D1548" s="2" t="str">
        <x:v>Completed</x:v>
      </x:c>
      <x:c r="E1548" s="2" t="str">
        <x:v>West</x:v>
      </x:c>
      <x:c r="F1548" s="2" t="str">
        <x:v>Online</x:v>
      </x:c>
      <x:c r="G1548" s="2" t="str">
        <x:v>Storage</x:v>
      </x:c>
      <x:c r="H1548" s="2" t="str">
        <x:v>Shelf 003</x:v>
      </x:c>
      <x:c r="I1548" s="11" t="n">
        <x:v>5</x:v>
      </x:c>
      <x:c r="J1548" s="9" t="n">
        <x:v>199</x:v>
      </x:c>
      <x:c r="K1548" s="10" t="n">
        <x:v>0</x:v>
      </x:c>
      <x:c r="L1548" s="11" t="n">
        <x:v>0</x:v>
      </x:c>
      <x:c r="M1548" s="9" t="n">
        <x:f>IF(D1548="Completed",I1548*J1548,0)</x:f>
        <x:v>995</x:v>
      </x:c>
      <x:c r="N1548" s="9" t="n">
        <x:f>M1548*K1548</x:f>
        <x:v>0</x:v>
      </x:c>
      <x:c r="O1548" s="9" t="n">
        <x:f>M1548-N1548</x:f>
        <x:v>995</x:v>
      </x:c>
      <x:c r="P1548" s="9" t="n">
        <x:f>IF(D1548="Completed",L1548*J1548*(1-K1548),0)</x:f>
        <x:v>0</x:v>
      </x:c>
      <x:c r="Q1548" s="9" t="n">
        <x:f>O1548-P1548</x:f>
        <x:v>995</x:v>
      </x:c>
      <x:c r="R1548" s="11" t="n">
        <x:f>IF(D1548="Completed",I1548,0)</x:f>
        <x:v>5</x:v>
      </x:c>
      <x:c r="S1548" s="11" t="n">
        <x:f>IF(D1548="Completed",L1548,0)</x:f>
        <x:v>0</x:v>
      </x:c>
      <x:c r="T1548" s="8" t="n">
        <x:f>DATE(YEAR(C1548),MONTH(C1548),1)</x:f>
        <x:v>45962</x:v>
      </x:c>
    </x:row>
    <x:row r="1549" ht="22" customHeight="1">
      <x:c r="A1549" s="2" t="str">
        <x:v>L001545</x:v>
      </x:c>
      <x:c r="B1549" s="2" t="str">
        <x:v>O00626</x:v>
      </x:c>
      <x:c r="C1549" s="7" t="n">
        <x:v>45983</x:v>
      </x:c>
      <x:c r="D1549" s="2" t="str">
        <x:v>Completed</x:v>
      </x:c>
      <x:c r="E1549" s="2" t="str">
        <x:v>West</x:v>
      </x:c>
      <x:c r="F1549" s="2" t="str">
        <x:v>Online</x:v>
      </x:c>
      <x:c r="G1549" s="2" t="str">
        <x:v>Furniture</x:v>
      </x:c>
      <x:c r="H1549" s="2" t="str">
        <x:v>Chair 014</x:v>
      </x:c>
      <x:c r="I1549" s="11" t="n">
        <x:v>1</x:v>
      </x:c>
      <x:c r="J1549" s="9" t="n">
        <x:v>294</x:v>
      </x:c>
      <x:c r="K1549" s="10" t="n">
        <x:v>0</x:v>
      </x:c>
      <x:c r="L1549" s="11" t="n">
        <x:v>1</x:v>
      </x:c>
      <x:c r="M1549" s="9" t="n">
        <x:f>IF(D1549="Completed",I1549*J1549,0)</x:f>
        <x:v>294</x:v>
      </x:c>
      <x:c r="N1549" s="9" t="n">
        <x:f>M1549*K1549</x:f>
        <x:v>0</x:v>
      </x:c>
      <x:c r="O1549" s="9" t="n">
        <x:f>M1549-N1549</x:f>
        <x:v>294</x:v>
      </x:c>
      <x:c r="P1549" s="9" t="n">
        <x:f>IF(D1549="Completed",L1549*J1549*(1-K1549),0)</x:f>
        <x:v>294</x:v>
      </x:c>
      <x:c r="Q1549" s="9" t="n">
        <x:f>O1549-P1549</x:f>
        <x:v>0</x:v>
      </x:c>
      <x:c r="R1549" s="11" t="n">
        <x:f>IF(D1549="Completed",I1549,0)</x:f>
        <x:v>1</x:v>
      </x:c>
      <x:c r="S1549" s="11" t="n">
        <x:f>IF(D1549="Completed",L1549,0)</x:f>
        <x:v>1</x:v>
      </x:c>
      <x:c r="T1549" s="8" t="n">
        <x:f>DATE(YEAR(C1549),MONTH(C1549),1)</x:f>
        <x:v>45962</x:v>
      </x:c>
    </x:row>
    <x:row r="1550" ht="22" customHeight="1">
      <x:c r="A1550" s="2" t="str">
        <x:v>L001546</x:v>
      </x:c>
      <x:c r="B1550" s="2" t="str">
        <x:v>O00627</x:v>
      </x:c>
      <x:c r="C1550" s="7" t="n">
        <x:v>45758</x:v>
      </x:c>
      <x:c r="D1550" s="2" t="str">
        <x:v>Completed</x:v>
      </x:c>
      <x:c r="E1550" s="2" t="str">
        <x:v>West</x:v>
      </x:c>
      <x:c r="F1550" s="2" t="str">
        <x:v>Online</x:v>
      </x:c>
      <x:c r="G1550" s="2" t="str">
        <x:v>Lighting</x:v>
      </x:c>
      <x:c r="H1550" s="2" t="str">
        <x:v>Lamp 005</x:v>
      </x:c>
      <x:c r="I1550" s="11" t="n">
        <x:v>4</x:v>
      </x:c>
      <x:c r="J1550" s="9" t="n">
        <x:v>65</x:v>
      </x:c>
      <x:c r="K1550" s="10" t="n">
        <x:v>0.05</x:v>
      </x:c>
      <x:c r="L1550" s="11" t="n">
        <x:v>0</x:v>
      </x:c>
      <x:c r="M1550" s="9" t="n">
        <x:f>IF(D1550="Completed",I1550*J1550,0)</x:f>
        <x:v>260</x:v>
      </x:c>
      <x:c r="N1550" s="9" t="n">
        <x:f>M1550*K1550</x:f>
        <x:v>13</x:v>
      </x:c>
      <x:c r="O1550" s="9" t="n">
        <x:f>M1550-N1550</x:f>
        <x:v>247</x:v>
      </x:c>
      <x:c r="P1550" s="9" t="n">
        <x:f>IF(D1550="Completed",L1550*J1550*(1-K1550),0)</x:f>
        <x:v>0</x:v>
      </x:c>
      <x:c r="Q1550" s="9" t="n">
        <x:f>O1550-P1550</x:f>
        <x:v>247</x:v>
      </x:c>
      <x:c r="R1550" s="11" t="n">
        <x:f>IF(D1550="Completed",I1550,0)</x:f>
        <x:v>4</x:v>
      </x:c>
      <x:c r="S1550" s="11" t="n">
        <x:f>IF(D1550="Completed",L1550,0)</x:f>
        <x:v>0</x:v>
      </x:c>
      <x:c r="T1550" s="8" t="n">
        <x:f>DATE(YEAR(C1550),MONTH(C1550),1)</x:f>
        <x:v>45748</x:v>
      </x:c>
    </x:row>
    <x:row r="1551" ht="22" customHeight="1">
      <x:c r="A1551" s="2" t="str">
        <x:v>L001547</x:v>
      </x:c>
      <x:c r="B1551" s="2" t="str">
        <x:v>O00627</x:v>
      </x:c>
      <x:c r="C1551" s="7" t="n">
        <x:v>45758</x:v>
      </x:c>
      <x:c r="D1551" s="2" t="str">
        <x:v>Completed</x:v>
      </x:c>
      <x:c r="E1551" s="2" t="str">
        <x:v>West</x:v>
      </x:c>
      <x:c r="F1551" s="2" t="str">
        <x:v>Online</x:v>
      </x:c>
      <x:c r="G1551" s="2" t="str">
        <x:v>Furniture</x:v>
      </x:c>
      <x:c r="H1551" s="2" t="str">
        <x:v>Chair 014</x:v>
      </x:c>
      <x:c r="I1551" s="11" t="n">
        <x:v>4</x:v>
      </x:c>
      <x:c r="J1551" s="9" t="n">
        <x:v>294</x:v>
      </x:c>
      <x:c r="K1551" s="10" t="n">
        <x:v>0.1</x:v>
      </x:c>
      <x:c r="L1551" s="11" t="n">
        <x:v>0</x:v>
      </x:c>
      <x:c r="M1551" s="9" t="n">
        <x:f>IF(D1551="Completed",I1551*J1551,0)</x:f>
        <x:v>1176</x:v>
      </x:c>
      <x:c r="N1551" s="9" t="n">
        <x:f>M1551*K1551</x:f>
        <x:v>117.60000000000001</x:v>
      </x:c>
      <x:c r="O1551" s="9" t="n">
        <x:f>M1551-N1551</x:f>
        <x:v>1058.4</x:v>
      </x:c>
      <x:c r="P1551" s="9" t="n">
        <x:f>IF(D1551="Completed",L1551*J1551*(1-K1551),0)</x:f>
        <x:v>0</x:v>
      </x:c>
      <x:c r="Q1551" s="9" t="n">
        <x:f>O1551-P1551</x:f>
        <x:v>1058.4</x:v>
      </x:c>
      <x:c r="R1551" s="11" t="n">
        <x:f>IF(D1551="Completed",I1551,0)</x:f>
        <x:v>4</x:v>
      </x:c>
      <x:c r="S1551" s="11" t="n">
        <x:f>IF(D1551="Completed",L1551,0)</x:f>
        <x:v>0</x:v>
      </x:c>
      <x:c r="T1551" s="8" t="n">
        <x:f>DATE(YEAR(C1551),MONTH(C1551),1)</x:f>
        <x:v>45748</x:v>
      </x:c>
    </x:row>
    <x:row r="1552" ht="22" customHeight="1">
      <x:c r="A1552" s="2" t="str">
        <x:v>L001548</x:v>
      </x:c>
      <x:c r="B1552" s="2" t="str">
        <x:v>O00628</x:v>
      </x:c>
      <x:c r="C1552" s="7" t="n">
        <x:v>45976</x:v>
      </x:c>
      <x:c r="D1552" s="2" t="str">
        <x:v>Completed</x:v>
      </x:c>
      <x:c r="E1552" s="2" t="str">
        <x:v>East</x:v>
      </x:c>
      <x:c r="F1552" s="2" t="str">
        <x:v>Store</x:v>
      </x:c>
      <x:c r="G1552" s="2" t="str">
        <x:v>Storage</x:v>
      </x:c>
      <x:c r="H1552" s="2" t="str">
        <x:v>Shelf 003</x:v>
      </x:c>
      <x:c r="I1552" s="11" t="n">
        <x:v>4</x:v>
      </x:c>
      <x:c r="J1552" s="9" t="n">
        <x:v>199</x:v>
      </x:c>
      <x:c r="K1552" s="10" t="n">
        <x:v>0.05</x:v>
      </x:c>
      <x:c r="L1552" s="11" t="n">
        <x:v>0</x:v>
      </x:c>
      <x:c r="M1552" s="9" t="n">
        <x:f>IF(D1552="Completed",I1552*J1552,0)</x:f>
        <x:v>796</x:v>
      </x:c>
      <x:c r="N1552" s="9" t="n">
        <x:f>M1552*K1552</x:f>
        <x:v>39.800000000000004</x:v>
      </x:c>
      <x:c r="O1552" s="9" t="n">
        <x:f>M1552-N1552</x:f>
        <x:v>756.2</x:v>
      </x:c>
      <x:c r="P1552" s="9" t="n">
        <x:f>IF(D1552="Completed",L1552*J1552*(1-K1552),0)</x:f>
        <x:v>0</x:v>
      </x:c>
      <x:c r="Q1552" s="9" t="n">
        <x:f>O1552-P1552</x:f>
        <x:v>756.2</x:v>
      </x:c>
      <x:c r="R1552" s="11" t="n">
        <x:f>IF(D1552="Completed",I1552,0)</x:f>
        <x:v>4</x:v>
      </x:c>
      <x:c r="S1552" s="11" t="n">
        <x:f>IF(D1552="Completed",L1552,0)</x:f>
        <x:v>0</x:v>
      </x:c>
      <x:c r="T1552" s="8" t="n">
        <x:f>DATE(YEAR(C1552),MONTH(C1552),1)</x:f>
        <x:v>45962</x:v>
      </x:c>
    </x:row>
    <x:row r="1553" ht="22" customHeight="1">
      <x:c r="A1553" s="2" t="str">
        <x:v>L001549</x:v>
      </x:c>
      <x:c r="B1553" s="2" t="str">
        <x:v>O00628</x:v>
      </x:c>
      <x:c r="C1553" s="7" t="n">
        <x:v>45976</x:v>
      </x:c>
      <x:c r="D1553" s="2" t="str">
        <x:v>Completed</x:v>
      </x:c>
      <x:c r="E1553" s="2" t="str">
        <x:v>East</x:v>
      </x:c>
      <x:c r="F1553" s="2" t="str">
        <x:v>Store</x:v>
      </x:c>
      <x:c r="G1553" s="2" t="str">
        <x:v>Storage</x:v>
      </x:c>
      <x:c r="H1553" s="2" t="str">
        <x:v>Shelf 023</x:v>
      </x:c>
      <x:c r="I1553" s="11" t="n">
        <x:v>5</x:v>
      </x:c>
      <x:c r="J1553" s="9" t="n">
        <x:v>68</x:v>
      </x:c>
      <x:c r="K1553" s="10" t="n">
        <x:v>0.2</x:v>
      </x:c>
      <x:c r="L1553" s="11" t="n">
        <x:v>0</x:v>
      </x:c>
      <x:c r="M1553" s="9" t="n">
        <x:f>IF(D1553="Completed",I1553*J1553,0)</x:f>
        <x:v>340</x:v>
      </x:c>
      <x:c r="N1553" s="9" t="n">
        <x:f>M1553*K1553</x:f>
        <x:v>68</x:v>
      </x:c>
      <x:c r="O1553" s="9" t="n">
        <x:f>M1553-N1553</x:f>
        <x:v>272</x:v>
      </x:c>
      <x:c r="P1553" s="9" t="n">
        <x:f>IF(D1553="Completed",L1553*J1553*(1-K1553),0)</x:f>
        <x:v>0</x:v>
      </x:c>
      <x:c r="Q1553" s="9" t="n">
        <x:f>O1553-P1553</x:f>
        <x:v>272</x:v>
      </x:c>
      <x:c r="R1553" s="11" t="n">
        <x:f>IF(D1553="Completed",I1553,0)</x:f>
        <x:v>5</x:v>
      </x:c>
      <x:c r="S1553" s="11" t="n">
        <x:f>IF(D1553="Completed",L1553,0)</x:f>
        <x:v>0</x:v>
      </x:c>
      <x:c r="T1553" s="8" t="n">
        <x:f>DATE(YEAR(C1553),MONTH(C1553),1)</x:f>
        <x:v>45962</x:v>
      </x:c>
    </x:row>
    <x:row r="1554" ht="22" customHeight="1">
      <x:c r="A1554" s="2" t="str">
        <x:v>L001550</x:v>
      </x:c>
      <x:c r="B1554" s="2" t="str">
        <x:v>O00628</x:v>
      </x:c>
      <x:c r="C1554" s="7" t="n">
        <x:v>45976</x:v>
      </x:c>
      <x:c r="D1554" s="2" t="str">
        <x:v>Completed</x:v>
      </x:c>
      <x:c r="E1554" s="2" t="str">
        <x:v>East</x:v>
      </x:c>
      <x:c r="F1554" s="2" t="str">
        <x:v>Store</x:v>
      </x:c>
      <x:c r="G1554" s="2" t="str">
        <x:v>Furniture</x:v>
      </x:c>
      <x:c r="H1554" s="2" t="str">
        <x:v>Chair 014</x:v>
      </x:c>
      <x:c r="I1554" s="11" t="n">
        <x:v>5</x:v>
      </x:c>
      <x:c r="J1554" s="9" t="n">
        <x:v>294</x:v>
      </x:c>
      <x:c r="K1554" s="10" t="n">
        <x:v>0</x:v>
      </x:c>
      <x:c r="L1554" s="11" t="n">
        <x:v>0</x:v>
      </x:c>
      <x:c r="M1554" s="9" t="n">
        <x:f>IF(D1554="Completed",I1554*J1554,0)</x:f>
        <x:v>1470</x:v>
      </x:c>
      <x:c r="N1554" s="9" t="n">
        <x:f>M1554*K1554</x:f>
        <x:v>0</x:v>
      </x:c>
      <x:c r="O1554" s="9" t="n">
        <x:f>M1554-N1554</x:f>
        <x:v>1470</x:v>
      </x:c>
      <x:c r="P1554" s="9" t="n">
        <x:f>IF(D1554="Completed",L1554*J1554*(1-K1554),0)</x:f>
        <x:v>0</x:v>
      </x:c>
      <x:c r="Q1554" s="9" t="n">
        <x:f>O1554-P1554</x:f>
        <x:v>1470</x:v>
      </x:c>
      <x:c r="R1554" s="11" t="n">
        <x:f>IF(D1554="Completed",I1554,0)</x:f>
        <x:v>5</x:v>
      </x:c>
      <x:c r="S1554" s="11" t="n">
        <x:f>IF(D1554="Completed",L1554,0)</x:f>
        <x:v>0</x:v>
      </x:c>
      <x:c r="T1554" s="8" t="n">
        <x:f>DATE(YEAR(C1554),MONTH(C1554),1)</x:f>
        <x:v>45962</x:v>
      </x:c>
    </x:row>
    <x:row r="1555" ht="22" customHeight="1">
      <x:c r="A1555" s="2" t="str">
        <x:v>L001551</x:v>
      </x:c>
      <x:c r="B1555" s="2" t="str">
        <x:v>O00628</x:v>
      </x:c>
      <x:c r="C1555" s="7" t="n">
        <x:v>45976</x:v>
      </x:c>
      <x:c r="D1555" s="2" t="str">
        <x:v>Completed</x:v>
      </x:c>
      <x:c r="E1555" s="2" t="str">
        <x:v>East</x:v>
      </x:c>
      <x:c r="F1555" s="2" t="str">
        <x:v>Store</x:v>
      </x:c>
      <x:c r="G1555" s="2" t="str">
        <x:v>Lighting</x:v>
      </x:c>
      <x:c r="H1555" s="2" t="str">
        <x:v>Lamp 013</x:v>
      </x:c>
      <x:c r="I1555" s="11" t="n">
        <x:v>3</x:v>
      </x:c>
      <x:c r="J1555" s="9" t="n">
        <x:v>271</x:v>
      </x:c>
      <x:c r="K1555" s="10" t="n">
        <x:v>0.1</x:v>
      </x:c>
      <x:c r="L1555" s="11" t="n">
        <x:v>0</x:v>
      </x:c>
      <x:c r="M1555" s="9" t="n">
        <x:f>IF(D1555="Completed",I1555*J1555,0)</x:f>
        <x:v>813</x:v>
      </x:c>
      <x:c r="N1555" s="9" t="n">
        <x:f>M1555*K1555</x:f>
        <x:v>81.30000000000001</x:v>
      </x:c>
      <x:c r="O1555" s="9" t="n">
        <x:f>M1555-N1555</x:f>
        <x:v>731.7</x:v>
      </x:c>
      <x:c r="P1555" s="9" t="n">
        <x:f>IF(D1555="Completed",L1555*J1555*(1-K1555),0)</x:f>
        <x:v>0</x:v>
      </x:c>
      <x:c r="Q1555" s="9" t="n">
        <x:f>O1555-P1555</x:f>
        <x:v>731.7</x:v>
      </x:c>
      <x:c r="R1555" s="11" t="n">
        <x:f>IF(D1555="Completed",I1555,0)</x:f>
        <x:v>3</x:v>
      </x:c>
      <x:c r="S1555" s="11" t="n">
        <x:f>IF(D1555="Completed",L1555,0)</x:f>
        <x:v>0</x:v>
      </x:c>
      <x:c r="T1555" s="8" t="n">
        <x:f>DATE(YEAR(C1555),MONTH(C1555),1)</x:f>
        <x:v>45962</x:v>
      </x:c>
    </x:row>
    <x:row r="1556" ht="22" customHeight="1">
      <x:c r="A1556" s="2" t="str">
        <x:v>L001552</x:v>
      </x:c>
      <x:c r="B1556" s="2" t="str">
        <x:v>O00629</x:v>
      </x:c>
      <x:c r="C1556" s="7" t="n">
        <x:v>45755</x:v>
      </x:c>
      <x:c r="D1556" s="2" t="str">
        <x:v>Completed</x:v>
      </x:c>
      <x:c r="E1556" s="2" t="str">
        <x:v>West</x:v>
      </x:c>
      <x:c r="F1556" s="2" t="str">
        <x:v>Store</x:v>
      </x:c>
      <x:c r="G1556" s="2" t="str">
        <x:v>Storage</x:v>
      </x:c>
      <x:c r="H1556" s="2" t="str">
        <x:v>Shelf 015</x:v>
      </x:c>
      <x:c r="I1556" s="11" t="n">
        <x:v>1</x:v>
      </x:c>
      <x:c r="J1556" s="9" t="n">
        <x:v>254</x:v>
      </x:c>
      <x:c r="K1556" s="10" t="n">
        <x:v>0</x:v>
      </x:c>
      <x:c r="L1556" s="11" t="n">
        <x:v>0</x:v>
      </x:c>
      <x:c r="M1556" s="9" t="n">
        <x:f>IF(D1556="Completed",I1556*J1556,0)</x:f>
        <x:v>254</x:v>
      </x:c>
      <x:c r="N1556" s="9" t="n">
        <x:f>M1556*K1556</x:f>
        <x:v>0</x:v>
      </x:c>
      <x:c r="O1556" s="9" t="n">
        <x:f>M1556-N1556</x:f>
        <x:v>254</x:v>
      </x:c>
      <x:c r="P1556" s="9" t="n">
        <x:f>IF(D1556="Completed",L1556*J1556*(1-K1556),0)</x:f>
        <x:v>0</x:v>
      </x:c>
      <x:c r="Q1556" s="9" t="n">
        <x:f>O1556-P1556</x:f>
        <x:v>254</x:v>
      </x:c>
      <x:c r="R1556" s="11" t="n">
        <x:f>IF(D1556="Completed",I1556,0)</x:f>
        <x:v>1</x:v>
      </x:c>
      <x:c r="S1556" s="11" t="n">
        <x:f>IF(D1556="Completed",L1556,0)</x:f>
        <x:v>0</x:v>
      </x:c>
      <x:c r="T1556" s="8" t="n">
        <x:f>DATE(YEAR(C1556),MONTH(C1556),1)</x:f>
        <x:v>45748</x:v>
      </x:c>
    </x:row>
    <x:row r="1557" ht="22" customHeight="1">
      <x:c r="A1557" s="2" t="str">
        <x:v>L001553</x:v>
      </x:c>
      <x:c r="B1557" s="2" t="str">
        <x:v>O00629</x:v>
      </x:c>
      <x:c r="C1557" s="7" t="n">
        <x:v>45755</x:v>
      </x:c>
      <x:c r="D1557" s="2" t="str">
        <x:v>Completed</x:v>
      </x:c>
      <x:c r="E1557" s="2" t="str">
        <x:v>West</x:v>
      </x:c>
      <x:c r="F1557" s="2" t="str">
        <x:v>Store</x:v>
      </x:c>
      <x:c r="G1557" s="2" t="str">
        <x:v>Furniture</x:v>
      </x:c>
      <x:c r="H1557" s="2" t="str">
        <x:v>Chair 018</x:v>
      </x:c>
      <x:c r="I1557" s="11" t="n">
        <x:v>4</x:v>
      </x:c>
      <x:c r="J1557" s="9" t="n">
        <x:v>269</x:v>
      </x:c>
      <x:c r="K1557" s="10" t="n">
        <x:v>0</x:v>
      </x:c>
      <x:c r="L1557" s="11" t="n">
        <x:v>0</x:v>
      </x:c>
      <x:c r="M1557" s="9" t="n">
        <x:f>IF(D1557="Completed",I1557*J1557,0)</x:f>
        <x:v>1076</x:v>
      </x:c>
      <x:c r="N1557" s="9" t="n">
        <x:f>M1557*K1557</x:f>
        <x:v>0</x:v>
      </x:c>
      <x:c r="O1557" s="9" t="n">
        <x:f>M1557-N1557</x:f>
        <x:v>1076</x:v>
      </x:c>
      <x:c r="P1557" s="9" t="n">
        <x:f>IF(D1557="Completed",L1557*J1557*(1-K1557),0)</x:f>
        <x:v>0</x:v>
      </x:c>
      <x:c r="Q1557" s="9" t="n">
        <x:f>O1557-P1557</x:f>
        <x:v>1076</x:v>
      </x:c>
      <x:c r="R1557" s="11" t="n">
        <x:f>IF(D1557="Completed",I1557,0)</x:f>
        <x:v>4</x:v>
      </x:c>
      <x:c r="S1557" s="11" t="n">
        <x:f>IF(D1557="Completed",L1557,0)</x:f>
        <x:v>0</x:v>
      </x:c>
      <x:c r="T1557" s="8" t="n">
        <x:f>DATE(YEAR(C1557),MONTH(C1557),1)</x:f>
        <x:v>45748</x:v>
      </x:c>
    </x:row>
    <x:row r="1558" ht="22" customHeight="1">
      <x:c r="A1558" s="2" t="str">
        <x:v>L001554</x:v>
      </x:c>
      <x:c r="B1558" s="2" t="str">
        <x:v>O00629</x:v>
      </x:c>
      <x:c r="C1558" s="7" t="n">
        <x:v>45755</x:v>
      </x:c>
      <x:c r="D1558" s="2" t="str">
        <x:v>Completed</x:v>
      </x:c>
      <x:c r="E1558" s="2" t="str">
        <x:v>West</x:v>
      </x:c>
      <x:c r="F1558" s="2" t="str">
        <x:v>Store</x:v>
      </x:c>
      <x:c r="G1558" s="2" t="str">
        <x:v>Furniture</x:v>
      </x:c>
      <x:c r="H1558" s="2" t="str">
        <x:v>Desk 012</x:v>
      </x:c>
      <x:c r="I1558" s="11" t="n">
        <x:v>5</x:v>
      </x:c>
      <x:c r="J1558" s="9" t="n">
        <x:v>134</x:v>
      </x:c>
      <x:c r="K1558" s="10" t="n">
        <x:v>0.1</x:v>
      </x:c>
      <x:c r="L1558" s="11" t="n">
        <x:v>0</x:v>
      </x:c>
      <x:c r="M1558" s="9" t="n">
        <x:f>IF(D1558="Completed",I1558*J1558,0)</x:f>
        <x:v>670</x:v>
      </x:c>
      <x:c r="N1558" s="9" t="n">
        <x:f>M1558*K1558</x:f>
        <x:v>67</x:v>
      </x:c>
      <x:c r="O1558" s="9" t="n">
        <x:f>M1558-N1558</x:f>
        <x:v>603</x:v>
      </x:c>
      <x:c r="P1558" s="9" t="n">
        <x:f>IF(D1558="Completed",L1558*J1558*(1-K1558),0)</x:f>
        <x:v>0</x:v>
      </x:c>
      <x:c r="Q1558" s="9" t="n">
        <x:f>O1558-P1558</x:f>
        <x:v>603</x:v>
      </x:c>
      <x:c r="R1558" s="11" t="n">
        <x:f>IF(D1558="Completed",I1558,0)</x:f>
        <x:v>5</x:v>
      </x:c>
      <x:c r="S1558" s="11" t="n">
        <x:f>IF(D1558="Completed",L1558,0)</x:f>
        <x:v>0</x:v>
      </x:c>
      <x:c r="T1558" s="8" t="n">
        <x:f>DATE(YEAR(C1558),MONTH(C1558),1)</x:f>
        <x:v>45748</x:v>
      </x:c>
    </x:row>
    <x:row r="1559" ht="22" customHeight="1">
      <x:c r="A1559" s="2" t="str">
        <x:v>L001555</x:v>
      </x:c>
      <x:c r="B1559" s="2" t="str">
        <x:v>O00630</x:v>
      </x:c>
      <x:c r="C1559" s="7" t="n">
        <x:v>45830</x:v>
      </x:c>
      <x:c r="D1559" s="2" t="str">
        <x:v>Completed</x:v>
      </x:c>
      <x:c r="E1559" s="2" t="str">
        <x:v>West</x:v>
      </x:c>
      <x:c r="F1559" s="2" t="str">
        <x:v>Store</x:v>
      </x:c>
      <x:c r="G1559" s="2" t="str">
        <x:v>Lighting</x:v>
      </x:c>
      <x:c r="H1559" s="2" t="str">
        <x:v>Lamp 001</x:v>
      </x:c>
      <x:c r="I1559" s="11" t="n">
        <x:v>2</x:v>
      </x:c>
      <x:c r="J1559" s="9" t="n">
        <x:v>122</x:v>
      </x:c>
      <x:c r="K1559" s="10" t="n">
        <x:v>0.05</x:v>
      </x:c>
      <x:c r="L1559" s="11" t="n">
        <x:v>0</x:v>
      </x:c>
      <x:c r="M1559" s="9" t="n">
        <x:f>IF(D1559="Completed",I1559*J1559,0)</x:f>
        <x:v>244</x:v>
      </x:c>
      <x:c r="N1559" s="9" t="n">
        <x:f>M1559*K1559</x:f>
        <x:v>12.200000000000001</x:v>
      </x:c>
      <x:c r="O1559" s="9" t="n">
        <x:f>M1559-N1559</x:f>
        <x:v>231.8</x:v>
      </x:c>
      <x:c r="P1559" s="9" t="n">
        <x:f>IF(D1559="Completed",L1559*J1559*(1-K1559),0)</x:f>
        <x:v>0</x:v>
      </x:c>
      <x:c r="Q1559" s="9" t="n">
        <x:f>O1559-P1559</x:f>
        <x:v>231.8</x:v>
      </x:c>
      <x:c r="R1559" s="11" t="n">
        <x:f>IF(D1559="Completed",I1559,0)</x:f>
        <x:v>2</x:v>
      </x:c>
      <x:c r="S1559" s="11" t="n">
        <x:f>IF(D1559="Completed",L1559,0)</x:f>
        <x:v>0</x:v>
      </x:c>
      <x:c r="T1559" s="8" t="n">
        <x:f>DATE(YEAR(C1559),MONTH(C1559),1)</x:f>
        <x:v>45809</x:v>
      </x:c>
    </x:row>
    <x:row r="1560" ht="22" customHeight="1">
      <x:c r="A1560" s="2" t="str">
        <x:v>L001556</x:v>
      </x:c>
      <x:c r="B1560" s="2" t="str">
        <x:v>O00630</x:v>
      </x:c>
      <x:c r="C1560" s="7" t="n">
        <x:v>45830</x:v>
      </x:c>
      <x:c r="D1560" s="2" t="str">
        <x:v>Completed</x:v>
      </x:c>
      <x:c r="E1560" s="2" t="str">
        <x:v>West</x:v>
      </x:c>
      <x:c r="F1560" s="2" t="str">
        <x:v>Store</x:v>
      </x:c>
      <x:c r="G1560" s="2" t="str">
        <x:v>Storage</x:v>
      </x:c>
      <x:c r="H1560" s="2" t="str">
        <x:v>Shelf 019</x:v>
      </x:c>
      <x:c r="I1560" s="11" t="n">
        <x:v>3</x:v>
      </x:c>
      <x:c r="J1560" s="9" t="n">
        <x:v>78</x:v>
      </x:c>
      <x:c r="K1560" s="10" t="n">
        <x:v>0.05</x:v>
      </x:c>
      <x:c r="L1560" s="11" t="n">
        <x:v>0</x:v>
      </x:c>
      <x:c r="M1560" s="9" t="n">
        <x:f>IF(D1560="Completed",I1560*J1560,0)</x:f>
        <x:v>234</x:v>
      </x:c>
      <x:c r="N1560" s="9" t="n">
        <x:f>M1560*K1560</x:f>
        <x:v>11.700000000000001</x:v>
      </x:c>
      <x:c r="O1560" s="9" t="n">
        <x:f>M1560-N1560</x:f>
        <x:v>222.3</x:v>
      </x:c>
      <x:c r="P1560" s="9" t="n">
        <x:f>IF(D1560="Completed",L1560*J1560*(1-K1560),0)</x:f>
        <x:v>0</x:v>
      </x:c>
      <x:c r="Q1560" s="9" t="n">
        <x:f>O1560-P1560</x:f>
        <x:v>222.3</x:v>
      </x:c>
      <x:c r="R1560" s="11" t="n">
        <x:f>IF(D1560="Completed",I1560,0)</x:f>
        <x:v>3</x:v>
      </x:c>
      <x:c r="S1560" s="11" t="n">
        <x:f>IF(D1560="Completed",L1560,0)</x:f>
        <x:v>0</x:v>
      </x:c>
      <x:c r="T1560" s="8" t="n">
        <x:f>DATE(YEAR(C1560),MONTH(C1560),1)</x:f>
        <x:v>45809</x:v>
      </x:c>
    </x:row>
    <x:row r="1561" ht="22" customHeight="1">
      <x:c r="A1561" s="2" t="str">
        <x:v>L001557</x:v>
      </x:c>
      <x:c r="B1561" s="2" t="str">
        <x:v>O00630</x:v>
      </x:c>
      <x:c r="C1561" s="7" t="n">
        <x:v>45830</x:v>
      </x:c>
      <x:c r="D1561" s="2" t="str">
        <x:v>Completed</x:v>
      </x:c>
      <x:c r="E1561" s="2" t="str">
        <x:v>West</x:v>
      </x:c>
      <x:c r="F1561" s="2" t="str">
        <x:v>Store</x:v>
      </x:c>
      <x:c r="G1561" s="2" t="str">
        <x:v>Lighting</x:v>
      </x:c>
      <x:c r="H1561" s="2" t="str">
        <x:v>Lamp 001</x:v>
      </x:c>
      <x:c r="I1561" s="11" t="n">
        <x:v>2</x:v>
      </x:c>
      <x:c r="J1561" s="9" t="n">
        <x:v>122</x:v>
      </x:c>
      <x:c r="K1561" s="10" t="n">
        <x:v>0</x:v>
      </x:c>
      <x:c r="L1561" s="11" t="n">
        <x:v>0</x:v>
      </x:c>
      <x:c r="M1561" s="9" t="n">
        <x:f>IF(D1561="Completed",I1561*J1561,0)</x:f>
        <x:v>244</x:v>
      </x:c>
      <x:c r="N1561" s="9" t="n">
        <x:f>M1561*K1561</x:f>
        <x:v>0</x:v>
      </x:c>
      <x:c r="O1561" s="9" t="n">
        <x:f>M1561-N1561</x:f>
        <x:v>244</x:v>
      </x:c>
      <x:c r="P1561" s="9" t="n">
        <x:f>IF(D1561="Completed",L1561*J1561*(1-K1561),0)</x:f>
        <x:v>0</x:v>
      </x:c>
      <x:c r="Q1561" s="9" t="n">
        <x:f>O1561-P1561</x:f>
        <x:v>244</x:v>
      </x:c>
      <x:c r="R1561" s="11" t="n">
        <x:f>IF(D1561="Completed",I1561,0)</x:f>
        <x:v>2</x:v>
      </x:c>
      <x:c r="S1561" s="11" t="n">
        <x:f>IF(D1561="Completed",L1561,0)</x:f>
        <x:v>0</x:v>
      </x:c>
      <x:c r="T1561" s="8" t="n">
        <x:f>DATE(YEAR(C1561),MONTH(C1561),1)</x:f>
        <x:v>45809</x:v>
      </x:c>
    </x:row>
    <x:row r="1562" ht="22" customHeight="1">
      <x:c r="A1562" s="2" t="str">
        <x:v>L001558</x:v>
      </x:c>
      <x:c r="B1562" s="2" t="str">
        <x:v>O00630</x:v>
      </x:c>
      <x:c r="C1562" s="7" t="n">
        <x:v>45830</x:v>
      </x:c>
      <x:c r="D1562" s="2" t="str">
        <x:v>Completed</x:v>
      </x:c>
      <x:c r="E1562" s="2" t="str">
        <x:v>West</x:v>
      </x:c>
      <x:c r="F1562" s="2" t="str">
        <x:v>Store</x:v>
      </x:c>
      <x:c r="G1562" s="2" t="str">
        <x:v>Lighting</x:v>
      </x:c>
      <x:c r="H1562" s="2" t="str">
        <x:v>Lamp 017</x:v>
      </x:c>
      <x:c r="I1562" s="11" t="n">
        <x:v>3</x:v>
      </x:c>
      <x:c r="J1562" s="9" t="n">
        <x:v>300</x:v>
      </x:c>
      <x:c r="K1562" s="10" t="n">
        <x:v>0.05</x:v>
      </x:c>
      <x:c r="L1562" s="11" t="n">
        <x:v>0</x:v>
      </x:c>
      <x:c r="M1562" s="9" t="n">
        <x:f>IF(D1562="Completed",I1562*J1562,0)</x:f>
        <x:v>900</x:v>
      </x:c>
      <x:c r="N1562" s="9" t="n">
        <x:f>M1562*K1562</x:f>
        <x:v>45</x:v>
      </x:c>
      <x:c r="O1562" s="9" t="n">
        <x:f>M1562-N1562</x:f>
        <x:v>855</x:v>
      </x:c>
      <x:c r="P1562" s="9" t="n">
        <x:f>IF(D1562="Completed",L1562*J1562*(1-K1562),0)</x:f>
        <x:v>0</x:v>
      </x:c>
      <x:c r="Q1562" s="9" t="n">
        <x:f>O1562-P1562</x:f>
        <x:v>855</x:v>
      </x:c>
      <x:c r="R1562" s="11" t="n">
        <x:f>IF(D1562="Completed",I1562,0)</x:f>
        <x:v>3</x:v>
      </x:c>
      <x:c r="S1562" s="11" t="n">
        <x:f>IF(D1562="Completed",L1562,0)</x:f>
        <x:v>0</x:v>
      </x:c>
      <x:c r="T1562" s="8" t="n">
        <x:f>DATE(YEAR(C1562),MONTH(C1562),1)</x:f>
        <x:v>45809</x:v>
      </x:c>
    </x:row>
    <x:row r="1563" ht="22" customHeight="1">
      <x:c r="A1563" s="2" t="str">
        <x:v>L001559</x:v>
      </x:c>
      <x:c r="B1563" s="2" t="str">
        <x:v>O00631</x:v>
      </x:c>
      <x:c r="C1563" s="7" t="n">
        <x:v>45744</x:v>
      </x:c>
      <x:c r="D1563" s="2" t="str">
        <x:v>Completed</x:v>
      </x:c>
      <x:c r="E1563" s="2" t="str">
        <x:v>South</x:v>
      </x:c>
      <x:c r="F1563" s="2" t="str">
        <x:v>Store</x:v>
      </x:c>
      <x:c r="G1563" s="2" t="str">
        <x:v>Furniture</x:v>
      </x:c>
      <x:c r="H1563" s="2" t="str">
        <x:v>Chair 014</x:v>
      </x:c>
      <x:c r="I1563" s="11" t="n">
        <x:v>2</x:v>
      </x:c>
      <x:c r="J1563" s="9" t="n">
        <x:v>294</x:v>
      </x:c>
      <x:c r="K1563" s="10" t="n">
        <x:v>0.05</x:v>
      </x:c>
      <x:c r="L1563" s="11" t="n">
        <x:v>0</x:v>
      </x:c>
      <x:c r="M1563" s="9" t="n">
        <x:f>IF(D1563="Completed",I1563*J1563,0)</x:f>
        <x:v>588</x:v>
      </x:c>
      <x:c r="N1563" s="9" t="n">
        <x:f>M1563*K1563</x:f>
        <x:v>29.400000000000002</x:v>
      </x:c>
      <x:c r="O1563" s="9" t="n">
        <x:f>M1563-N1563</x:f>
        <x:v>558.6</x:v>
      </x:c>
      <x:c r="P1563" s="9" t="n">
        <x:f>IF(D1563="Completed",L1563*J1563*(1-K1563),0)</x:f>
        <x:v>0</x:v>
      </x:c>
      <x:c r="Q1563" s="9" t="n">
        <x:f>O1563-P1563</x:f>
        <x:v>558.6</x:v>
      </x:c>
      <x:c r="R1563" s="11" t="n">
        <x:f>IF(D1563="Completed",I1563,0)</x:f>
        <x:v>2</x:v>
      </x:c>
      <x:c r="S1563" s="11" t="n">
        <x:f>IF(D1563="Completed",L1563,0)</x:f>
        <x:v>0</x:v>
      </x:c>
      <x:c r="T1563" s="8" t="n">
        <x:f>DATE(YEAR(C1563),MONTH(C1563),1)</x:f>
        <x:v>45717</x:v>
      </x:c>
    </x:row>
    <x:row r="1564" ht="22" customHeight="1">
      <x:c r="A1564" s="2" t="str">
        <x:v>L001560</x:v>
      </x:c>
      <x:c r="B1564" s="2" t="str">
        <x:v>O00631</x:v>
      </x:c>
      <x:c r="C1564" s="7" t="n">
        <x:v>45744</x:v>
      </x:c>
      <x:c r="D1564" s="2" t="str">
        <x:v>Completed</x:v>
      </x:c>
      <x:c r="E1564" s="2" t="str">
        <x:v>South</x:v>
      </x:c>
      <x:c r="F1564" s="2" t="str">
        <x:v>Store</x:v>
      </x:c>
      <x:c r="G1564" s="2" t="str">
        <x:v>Furniture</x:v>
      </x:c>
      <x:c r="H1564" s="2" t="str">
        <x:v>Desk 012</x:v>
      </x:c>
      <x:c r="I1564" s="11" t="n">
        <x:v>2</x:v>
      </x:c>
      <x:c r="J1564" s="9" t="n">
        <x:v>134</x:v>
      </x:c>
      <x:c r="K1564" s="10" t="n">
        <x:v>0</x:v>
      </x:c>
      <x:c r="L1564" s="11" t="n">
        <x:v>0</x:v>
      </x:c>
      <x:c r="M1564" s="9" t="n">
        <x:f>IF(D1564="Completed",I1564*J1564,0)</x:f>
        <x:v>268</x:v>
      </x:c>
      <x:c r="N1564" s="9" t="n">
        <x:f>M1564*K1564</x:f>
        <x:v>0</x:v>
      </x:c>
      <x:c r="O1564" s="9" t="n">
        <x:f>M1564-N1564</x:f>
        <x:v>268</x:v>
      </x:c>
      <x:c r="P1564" s="9" t="n">
        <x:f>IF(D1564="Completed",L1564*J1564*(1-K1564),0)</x:f>
        <x:v>0</x:v>
      </x:c>
      <x:c r="Q1564" s="9" t="n">
        <x:f>O1564-P1564</x:f>
        <x:v>268</x:v>
      </x:c>
      <x:c r="R1564" s="11" t="n">
        <x:f>IF(D1564="Completed",I1564,0)</x:f>
        <x:v>2</x:v>
      </x:c>
      <x:c r="S1564" s="11" t="n">
        <x:f>IF(D1564="Completed",L1564,0)</x:f>
        <x:v>0</x:v>
      </x:c>
      <x:c r="T1564" s="8" t="n">
        <x:f>DATE(YEAR(C1564),MONTH(C1564),1)</x:f>
        <x:v>45717</x:v>
      </x:c>
    </x:row>
    <x:row r="1565" ht="22" customHeight="1">
      <x:c r="A1565" s="2" t="str">
        <x:v>L001561</x:v>
      </x:c>
      <x:c r="B1565" s="2" t="str">
        <x:v>O00631</x:v>
      </x:c>
      <x:c r="C1565" s="7" t="n">
        <x:v>45744</x:v>
      </x:c>
      <x:c r="D1565" s="2" t="str">
        <x:v>Completed</x:v>
      </x:c>
      <x:c r="E1565" s="2" t="str">
        <x:v>South</x:v>
      </x:c>
      <x:c r="F1565" s="2" t="str">
        <x:v>Store</x:v>
      </x:c>
      <x:c r="G1565" s="2" t="str">
        <x:v>Storage</x:v>
      </x:c>
      <x:c r="H1565" s="2" t="str">
        <x:v>Shelf 011</x:v>
      </x:c>
      <x:c r="I1565" s="11" t="n">
        <x:v>1</x:v>
      </x:c>
      <x:c r="J1565" s="9" t="n">
        <x:v>80</x:v>
      </x:c>
      <x:c r="K1565" s="10" t="n">
        <x:v>0.1</x:v>
      </x:c>
      <x:c r="L1565" s="11" t="n">
        <x:v>0</x:v>
      </x:c>
      <x:c r="M1565" s="9" t="n">
        <x:f>IF(D1565="Completed",I1565*J1565,0)</x:f>
        <x:v>80</x:v>
      </x:c>
      <x:c r="N1565" s="9" t="n">
        <x:f>M1565*K1565</x:f>
        <x:v>8</x:v>
      </x:c>
      <x:c r="O1565" s="9" t="n">
        <x:f>M1565-N1565</x:f>
        <x:v>72</x:v>
      </x:c>
      <x:c r="P1565" s="9" t="n">
        <x:f>IF(D1565="Completed",L1565*J1565*(1-K1565),0)</x:f>
        <x:v>0</x:v>
      </x:c>
      <x:c r="Q1565" s="9" t="n">
        <x:f>O1565-P1565</x:f>
        <x:v>72</x:v>
      </x:c>
      <x:c r="R1565" s="11" t="n">
        <x:f>IF(D1565="Completed",I1565,0)</x:f>
        <x:v>1</x:v>
      </x:c>
      <x:c r="S1565" s="11" t="n">
        <x:f>IF(D1565="Completed",L1565,0)</x:f>
        <x:v>0</x:v>
      </x:c>
      <x:c r="T1565" s="8" t="n">
        <x:f>DATE(YEAR(C1565),MONTH(C1565),1)</x:f>
        <x:v>45717</x:v>
      </x:c>
    </x:row>
    <x:row r="1566" ht="22" customHeight="1">
      <x:c r="A1566" s="2" t="str">
        <x:v>L001562</x:v>
      </x:c>
      <x:c r="B1566" s="2" t="str">
        <x:v>O00631</x:v>
      </x:c>
      <x:c r="C1566" s="7" t="n">
        <x:v>45744</x:v>
      </x:c>
      <x:c r="D1566" s="2" t="str">
        <x:v>Completed</x:v>
      </x:c>
      <x:c r="E1566" s="2" t="str">
        <x:v>South</x:v>
      </x:c>
      <x:c r="F1566" s="2" t="str">
        <x:v>Store</x:v>
      </x:c>
      <x:c r="G1566" s="2" t="str">
        <x:v>Furniture</x:v>
      </x:c>
      <x:c r="H1566" s="2" t="str">
        <x:v>Chair 014</x:v>
      </x:c>
      <x:c r="I1566" s="11" t="n">
        <x:v>1</x:v>
      </x:c>
      <x:c r="J1566" s="9" t="n">
        <x:v>294</x:v>
      </x:c>
      <x:c r="K1566" s="10" t="n">
        <x:v>0.1</x:v>
      </x:c>
      <x:c r="L1566" s="11" t="n">
        <x:v>0</x:v>
      </x:c>
      <x:c r="M1566" s="9" t="n">
        <x:f>IF(D1566="Completed",I1566*J1566,0)</x:f>
        <x:v>294</x:v>
      </x:c>
      <x:c r="N1566" s="9" t="n">
        <x:f>M1566*K1566</x:f>
        <x:v>29.400000000000002</x:v>
      </x:c>
      <x:c r="O1566" s="9" t="n">
        <x:f>M1566-N1566</x:f>
        <x:v>264.6</x:v>
      </x:c>
      <x:c r="P1566" s="9" t="n">
        <x:f>IF(D1566="Completed",L1566*J1566*(1-K1566),0)</x:f>
        <x:v>0</x:v>
      </x:c>
      <x:c r="Q1566" s="9" t="n">
        <x:f>O1566-P1566</x:f>
        <x:v>264.6</x:v>
      </x:c>
      <x:c r="R1566" s="11" t="n">
        <x:f>IF(D1566="Completed",I1566,0)</x:f>
        <x:v>1</x:v>
      </x:c>
      <x:c r="S1566" s="11" t="n">
        <x:f>IF(D1566="Completed",L1566,0)</x:f>
        <x:v>0</x:v>
      </x:c>
      <x:c r="T1566" s="8" t="n">
        <x:f>DATE(YEAR(C1566),MONTH(C1566),1)</x:f>
        <x:v>45717</x:v>
      </x:c>
    </x:row>
    <x:row r="1567" ht="22" customHeight="1">
      <x:c r="A1567" s="2" t="str">
        <x:v>L001563</x:v>
      </x:c>
      <x:c r="B1567" s="2" t="str">
        <x:v>O00632</x:v>
      </x:c>
      <x:c r="C1567" s="7" t="n">
        <x:v>45920</x:v>
      </x:c>
      <x:c r="D1567" s="2" t="str">
        <x:v>Completed</x:v>
      </x:c>
      <x:c r="E1567" s="2" t="str">
        <x:v>North</x:v>
      </x:c>
      <x:c r="F1567" s="2" t="str">
        <x:v>Store</x:v>
      </x:c>
      <x:c r="G1567" s="2" t="str">
        <x:v>Furniture</x:v>
      </x:c>
      <x:c r="H1567" s="2" t="str">
        <x:v>Chair 018</x:v>
      </x:c>
      <x:c r="I1567" s="11" t="n">
        <x:v>2</x:v>
      </x:c>
      <x:c r="J1567" s="9" t="n">
        <x:v>269</x:v>
      </x:c>
      <x:c r="K1567" s="10" t="n">
        <x:v>0.1</x:v>
      </x:c>
      <x:c r="L1567" s="11" t="n">
        <x:v>0</x:v>
      </x:c>
      <x:c r="M1567" s="9" t="n">
        <x:f>IF(D1567="Completed",I1567*J1567,0)</x:f>
        <x:v>538</x:v>
      </x:c>
      <x:c r="N1567" s="9" t="n">
        <x:f>M1567*K1567</x:f>
        <x:v>53.800000000000004</x:v>
      </x:c>
      <x:c r="O1567" s="9" t="n">
        <x:f>M1567-N1567</x:f>
        <x:v>484.2</x:v>
      </x:c>
      <x:c r="P1567" s="9" t="n">
        <x:f>IF(D1567="Completed",L1567*J1567*(1-K1567),0)</x:f>
        <x:v>0</x:v>
      </x:c>
      <x:c r="Q1567" s="9" t="n">
        <x:f>O1567-P1567</x:f>
        <x:v>484.2</x:v>
      </x:c>
      <x:c r="R1567" s="11" t="n">
        <x:f>IF(D1567="Completed",I1567,0)</x:f>
        <x:v>2</x:v>
      </x:c>
      <x:c r="S1567" s="11" t="n">
        <x:f>IF(D1567="Completed",L1567,0)</x:f>
        <x:v>0</x:v>
      </x:c>
      <x:c r="T1567" s="8" t="n">
        <x:f>DATE(YEAR(C1567),MONTH(C1567),1)</x:f>
        <x:v>45901</x:v>
      </x:c>
    </x:row>
    <x:row r="1568" ht="22" customHeight="1">
      <x:c r="A1568" s="2" t="str">
        <x:v>L001564</x:v>
      </x:c>
      <x:c r="B1568" s="2" t="str">
        <x:v>O00632</x:v>
      </x:c>
      <x:c r="C1568" s="7" t="n">
        <x:v>45920</x:v>
      </x:c>
      <x:c r="D1568" s="2" t="str">
        <x:v>Completed</x:v>
      </x:c>
      <x:c r="E1568" s="2" t="str">
        <x:v>North</x:v>
      </x:c>
      <x:c r="F1568" s="2" t="str">
        <x:v>Store</x:v>
      </x:c>
      <x:c r="G1568" s="2" t="str">
        <x:v>Storage</x:v>
      </x:c>
      <x:c r="H1568" s="2" t="str">
        <x:v>Shelf 011</x:v>
      </x:c>
      <x:c r="I1568" s="11" t="n">
        <x:v>2</x:v>
      </x:c>
      <x:c r="J1568" s="9" t="n">
        <x:v>80</x:v>
      </x:c>
      <x:c r="K1568" s="10" t="n">
        <x:v>0</x:v>
      </x:c>
      <x:c r="L1568" s="11" t="n">
        <x:v>0</x:v>
      </x:c>
      <x:c r="M1568" s="9" t="n">
        <x:f>IF(D1568="Completed",I1568*J1568,0)</x:f>
        <x:v>160</x:v>
      </x:c>
      <x:c r="N1568" s="9" t="n">
        <x:f>M1568*K1568</x:f>
        <x:v>0</x:v>
      </x:c>
      <x:c r="O1568" s="9" t="n">
        <x:f>M1568-N1568</x:f>
        <x:v>160</x:v>
      </x:c>
      <x:c r="P1568" s="9" t="n">
        <x:f>IF(D1568="Completed",L1568*J1568*(1-K1568),0)</x:f>
        <x:v>0</x:v>
      </x:c>
      <x:c r="Q1568" s="9" t="n">
        <x:f>O1568-P1568</x:f>
        <x:v>160</x:v>
      </x:c>
      <x:c r="R1568" s="11" t="n">
        <x:f>IF(D1568="Completed",I1568,0)</x:f>
        <x:v>2</x:v>
      </x:c>
      <x:c r="S1568" s="11" t="n">
        <x:f>IF(D1568="Completed",L1568,0)</x:f>
        <x:v>0</x:v>
      </x:c>
      <x:c r="T1568" s="8" t="n">
        <x:f>DATE(YEAR(C1568),MONTH(C1568),1)</x:f>
        <x:v>45901</x:v>
      </x:c>
    </x:row>
    <x:row r="1569" ht="22" customHeight="1">
      <x:c r="A1569" s="2" t="str">
        <x:v>L001565</x:v>
      </x:c>
      <x:c r="B1569" s="2" t="str">
        <x:v>O00632</x:v>
      </x:c>
      <x:c r="C1569" s="7" t="n">
        <x:v>45920</x:v>
      </x:c>
      <x:c r="D1569" s="2" t="str">
        <x:v>Completed</x:v>
      </x:c>
      <x:c r="E1569" s="2" t="str">
        <x:v>North</x:v>
      </x:c>
      <x:c r="F1569" s="2" t="str">
        <x:v>Store</x:v>
      </x:c>
      <x:c r="G1569" s="2" t="str">
        <x:v>Furniture</x:v>
      </x:c>
      <x:c r="H1569" s="2" t="str">
        <x:v>Desk 012</x:v>
      </x:c>
      <x:c r="I1569" s="11" t="n">
        <x:v>2</x:v>
      </x:c>
      <x:c r="J1569" s="9" t="n">
        <x:v>134</x:v>
      </x:c>
      <x:c r="K1569" s="10" t="n">
        <x:v>0.2</x:v>
      </x:c>
      <x:c r="L1569" s="11" t="n">
        <x:v>0</x:v>
      </x:c>
      <x:c r="M1569" s="9" t="n">
        <x:f>IF(D1569="Completed",I1569*J1569,0)</x:f>
        <x:v>268</x:v>
      </x:c>
      <x:c r="N1569" s="9" t="n">
        <x:f>M1569*K1569</x:f>
        <x:v>53.6</x:v>
      </x:c>
      <x:c r="O1569" s="9" t="n">
        <x:f>M1569-N1569</x:f>
        <x:v>214.4</x:v>
      </x:c>
      <x:c r="P1569" s="9" t="n">
        <x:f>IF(D1569="Completed",L1569*J1569*(1-K1569),0)</x:f>
        <x:v>0</x:v>
      </x:c>
      <x:c r="Q1569" s="9" t="n">
        <x:f>O1569-P1569</x:f>
        <x:v>214.4</x:v>
      </x:c>
      <x:c r="R1569" s="11" t="n">
        <x:f>IF(D1569="Completed",I1569,0)</x:f>
        <x:v>2</x:v>
      </x:c>
      <x:c r="S1569" s="11" t="n">
        <x:f>IF(D1569="Completed",L1569,0)</x:f>
        <x:v>0</x:v>
      </x:c>
      <x:c r="T1569" s="8" t="n">
        <x:f>DATE(YEAR(C1569),MONTH(C1569),1)</x:f>
        <x:v>45901</x:v>
      </x:c>
    </x:row>
    <x:row r="1570" ht="22" customHeight="1">
      <x:c r="A1570" s="2" t="str">
        <x:v>L001566</x:v>
      </x:c>
      <x:c r="B1570" s="2" t="str">
        <x:v>O00632</x:v>
      </x:c>
      <x:c r="C1570" s="7" t="n">
        <x:v>45920</x:v>
      </x:c>
      <x:c r="D1570" s="2" t="str">
        <x:v>Completed</x:v>
      </x:c>
      <x:c r="E1570" s="2" t="str">
        <x:v>North</x:v>
      </x:c>
      <x:c r="F1570" s="2" t="str">
        <x:v>Store</x:v>
      </x:c>
      <x:c r="G1570" s="2" t="str">
        <x:v>Storage</x:v>
      </x:c>
      <x:c r="H1570" s="2" t="str">
        <x:v>Shelf 019</x:v>
      </x:c>
      <x:c r="I1570" s="11" t="n">
        <x:v>3</x:v>
      </x:c>
      <x:c r="J1570" s="9" t="n">
        <x:v>78</x:v>
      </x:c>
      <x:c r="K1570" s="10" t="n">
        <x:v>0.05</x:v>
      </x:c>
      <x:c r="L1570" s="11" t="n">
        <x:v>0</x:v>
      </x:c>
      <x:c r="M1570" s="9" t="n">
        <x:f>IF(D1570="Completed",I1570*J1570,0)</x:f>
        <x:v>234</x:v>
      </x:c>
      <x:c r="N1570" s="9" t="n">
        <x:f>M1570*K1570</x:f>
        <x:v>11.700000000000001</x:v>
      </x:c>
      <x:c r="O1570" s="9" t="n">
        <x:f>M1570-N1570</x:f>
        <x:v>222.3</x:v>
      </x:c>
      <x:c r="P1570" s="9" t="n">
        <x:f>IF(D1570="Completed",L1570*J1570*(1-K1570),0)</x:f>
        <x:v>0</x:v>
      </x:c>
      <x:c r="Q1570" s="9" t="n">
        <x:f>O1570-P1570</x:f>
        <x:v>222.3</x:v>
      </x:c>
      <x:c r="R1570" s="11" t="n">
        <x:f>IF(D1570="Completed",I1570,0)</x:f>
        <x:v>3</x:v>
      </x:c>
      <x:c r="S1570" s="11" t="n">
        <x:f>IF(D1570="Completed",L1570,0)</x:f>
        <x:v>0</x:v>
      </x:c>
      <x:c r="T1570" s="8" t="n">
        <x:f>DATE(YEAR(C1570),MONTH(C1570),1)</x:f>
        <x:v>45901</x:v>
      </x:c>
    </x:row>
    <x:row r="1571" ht="22" customHeight="1">
      <x:c r="A1571" s="2" t="str">
        <x:v>L001567</x:v>
      </x:c>
      <x:c r="B1571" s="2" t="str">
        <x:v>O00633</x:v>
      </x:c>
      <x:c r="C1571" s="7" t="n">
        <x:v>46020</x:v>
      </x:c>
      <x:c r="D1571" s="2" t="str">
        <x:v>Completed</x:v>
      </x:c>
      <x:c r="E1571" s="2" t="str">
        <x:v>South</x:v>
      </x:c>
      <x:c r="F1571" s="2" t="str">
        <x:v>Store</x:v>
      </x:c>
      <x:c r="G1571" s="2" t="str">
        <x:v>Storage</x:v>
      </x:c>
      <x:c r="H1571" s="2" t="str">
        <x:v>Shelf 011</x:v>
      </x:c>
      <x:c r="I1571" s="11" t="n">
        <x:v>4</x:v>
      </x:c>
      <x:c r="J1571" s="9" t="n">
        <x:v>80</x:v>
      </x:c>
      <x:c r="K1571" s="10" t="n">
        <x:v>0.05</x:v>
      </x:c>
      <x:c r="L1571" s="11" t="n">
        <x:v>0</x:v>
      </x:c>
      <x:c r="M1571" s="9" t="n">
        <x:f>IF(D1571="Completed",I1571*J1571,0)</x:f>
        <x:v>320</x:v>
      </x:c>
      <x:c r="N1571" s="9" t="n">
        <x:f>M1571*K1571</x:f>
        <x:v>16</x:v>
      </x:c>
      <x:c r="O1571" s="9" t="n">
        <x:f>M1571-N1571</x:f>
        <x:v>304</x:v>
      </x:c>
      <x:c r="P1571" s="9" t="n">
        <x:f>IF(D1571="Completed",L1571*J1571*(1-K1571),0)</x:f>
        <x:v>0</x:v>
      </x:c>
      <x:c r="Q1571" s="9" t="n">
        <x:f>O1571-P1571</x:f>
        <x:v>304</x:v>
      </x:c>
      <x:c r="R1571" s="11" t="n">
        <x:f>IF(D1571="Completed",I1571,0)</x:f>
        <x:v>4</x:v>
      </x:c>
      <x:c r="S1571" s="11" t="n">
        <x:f>IF(D1571="Completed",L1571,0)</x:f>
        <x:v>0</x:v>
      </x:c>
      <x:c r="T1571" s="8" t="n">
        <x:f>DATE(YEAR(C1571),MONTH(C1571),1)</x:f>
        <x:v>45992</x:v>
      </x:c>
    </x:row>
    <x:row r="1572" ht="22" customHeight="1">
      <x:c r="A1572" s="2" t="str">
        <x:v>L001568</x:v>
      </x:c>
      <x:c r="B1572" s="2" t="str">
        <x:v>O00633</x:v>
      </x:c>
      <x:c r="C1572" s="7" t="n">
        <x:v>46020</x:v>
      </x:c>
      <x:c r="D1572" s="2" t="str">
        <x:v>Completed</x:v>
      </x:c>
      <x:c r="E1572" s="2" t="str">
        <x:v>South</x:v>
      </x:c>
      <x:c r="F1572" s="2" t="str">
        <x:v>Store</x:v>
      </x:c>
      <x:c r="G1572" s="2" t="str">
        <x:v>Furniture</x:v>
      </x:c>
      <x:c r="H1572" s="2" t="str">
        <x:v>Desk 024</x:v>
      </x:c>
      <x:c r="I1572" s="11" t="n">
        <x:v>1</x:v>
      </x:c>
      <x:c r="J1572" s="9" t="n">
        <x:v>81</x:v>
      </x:c>
      <x:c r="K1572" s="10" t="n">
        <x:v>0.2</x:v>
      </x:c>
      <x:c r="L1572" s="11" t="n">
        <x:v>0</x:v>
      </x:c>
      <x:c r="M1572" s="9" t="n">
        <x:f>IF(D1572="Completed",I1572*J1572,0)</x:f>
        <x:v>81</x:v>
      </x:c>
      <x:c r="N1572" s="9" t="n">
        <x:f>M1572*K1572</x:f>
        <x:v>16.2</x:v>
      </x:c>
      <x:c r="O1572" s="9" t="n">
        <x:f>M1572-N1572</x:f>
        <x:v>64.8</x:v>
      </x:c>
      <x:c r="P1572" s="9" t="n">
        <x:f>IF(D1572="Completed",L1572*J1572*(1-K1572),0)</x:f>
        <x:v>0</x:v>
      </x:c>
      <x:c r="Q1572" s="9" t="n">
        <x:f>O1572-P1572</x:f>
        <x:v>64.8</x:v>
      </x:c>
      <x:c r="R1572" s="11" t="n">
        <x:f>IF(D1572="Completed",I1572,0)</x:f>
        <x:v>1</x:v>
      </x:c>
      <x:c r="S1572" s="11" t="n">
        <x:f>IF(D1572="Completed",L1572,0)</x:f>
        <x:v>0</x:v>
      </x:c>
      <x:c r="T1572" s="8" t="n">
        <x:f>DATE(YEAR(C1572),MONTH(C1572),1)</x:f>
        <x:v>45992</x:v>
      </x:c>
    </x:row>
    <x:row r="1573" ht="22" customHeight="1">
      <x:c r="A1573" s="2" t="str">
        <x:v>L001569</x:v>
      </x:c>
      <x:c r="B1573" s="2" t="str">
        <x:v>O00633</x:v>
      </x:c>
      <x:c r="C1573" s="7" t="n">
        <x:v>46020</x:v>
      </x:c>
      <x:c r="D1573" s="2" t="str">
        <x:v>Completed</x:v>
      </x:c>
      <x:c r="E1573" s="2" t="str">
        <x:v>South</x:v>
      </x:c>
      <x:c r="F1573" s="2" t="str">
        <x:v>Store</x:v>
      </x:c>
      <x:c r="G1573" s="2" t="str">
        <x:v>Furniture</x:v>
      </x:c>
      <x:c r="H1573" s="2" t="str">
        <x:v>Chair 014</x:v>
      </x:c>
      <x:c r="I1573" s="11" t="n">
        <x:v>3</x:v>
      </x:c>
      <x:c r="J1573" s="9" t="n">
        <x:v>294</x:v>
      </x:c>
      <x:c r="K1573" s="10" t="n">
        <x:v>0.05</x:v>
      </x:c>
      <x:c r="L1573" s="11" t="n">
        <x:v>2</x:v>
      </x:c>
      <x:c r="M1573" s="9" t="n">
        <x:f>IF(D1573="Completed",I1573*J1573,0)</x:f>
        <x:v>882</x:v>
      </x:c>
      <x:c r="N1573" s="9" t="n">
        <x:f>M1573*K1573</x:f>
        <x:v>44.1</x:v>
      </x:c>
      <x:c r="O1573" s="9" t="n">
        <x:f>M1573-N1573</x:f>
        <x:v>837.9</x:v>
      </x:c>
      <x:c r="P1573" s="9" t="n">
        <x:f>IF(D1573="Completed",L1573*J1573*(1-K1573),0)</x:f>
        <x:v>558.6</x:v>
      </x:c>
      <x:c r="Q1573" s="9" t="n">
        <x:f>O1573-P1573</x:f>
        <x:v>279.29999999999995</x:v>
      </x:c>
      <x:c r="R1573" s="11" t="n">
        <x:f>IF(D1573="Completed",I1573,0)</x:f>
        <x:v>3</x:v>
      </x:c>
      <x:c r="S1573" s="11" t="n">
        <x:f>IF(D1573="Completed",L1573,0)</x:f>
        <x:v>2</x:v>
      </x:c>
      <x:c r="T1573" s="8" t="n">
        <x:f>DATE(YEAR(C1573),MONTH(C1573),1)</x:f>
        <x:v>45992</x:v>
      </x:c>
    </x:row>
    <x:row r="1574" ht="22" customHeight="1">
      <x:c r="A1574" s="2" t="str">
        <x:v>L001570</x:v>
      </x:c>
      <x:c r="B1574" s="2" t="str">
        <x:v>O00634</x:v>
      </x:c>
      <x:c r="C1574" s="7" t="n">
        <x:v>46009</x:v>
      </x:c>
      <x:c r="D1574" s="2" t="str">
        <x:v>Completed</x:v>
      </x:c>
      <x:c r="E1574" s="2" t="str">
        <x:v>North</x:v>
      </x:c>
      <x:c r="F1574" s="2" t="str">
        <x:v>Store</x:v>
      </x:c>
      <x:c r="G1574" s="2" t="str">
        <x:v>Furniture</x:v>
      </x:c>
      <x:c r="H1574" s="2" t="str">
        <x:v>Chair 006</x:v>
      </x:c>
      <x:c r="I1574" s="11" t="n">
        <x:v>1</x:v>
      </x:c>
      <x:c r="J1574" s="9" t="n">
        <x:v>196</x:v>
      </x:c>
      <x:c r="K1574" s="10" t="n">
        <x:v>0.2</x:v>
      </x:c>
      <x:c r="L1574" s="11" t="n">
        <x:v>0</x:v>
      </x:c>
      <x:c r="M1574" s="9" t="n">
        <x:f>IF(D1574="Completed",I1574*J1574,0)</x:f>
        <x:v>196</x:v>
      </x:c>
      <x:c r="N1574" s="9" t="n">
        <x:f>M1574*K1574</x:f>
        <x:v>39.2</x:v>
      </x:c>
      <x:c r="O1574" s="9" t="n">
        <x:f>M1574-N1574</x:f>
        <x:v>156.8</x:v>
      </x:c>
      <x:c r="P1574" s="9" t="n">
        <x:f>IF(D1574="Completed",L1574*J1574*(1-K1574),0)</x:f>
        <x:v>0</x:v>
      </x:c>
      <x:c r="Q1574" s="9" t="n">
        <x:f>O1574-P1574</x:f>
        <x:v>156.8</x:v>
      </x:c>
      <x:c r="R1574" s="11" t="n">
        <x:f>IF(D1574="Completed",I1574,0)</x:f>
        <x:v>1</x:v>
      </x:c>
      <x:c r="S1574" s="11" t="n">
        <x:f>IF(D1574="Completed",L1574,0)</x:f>
        <x:v>0</x:v>
      </x:c>
      <x:c r="T1574" s="8" t="n">
        <x:f>DATE(YEAR(C1574),MONTH(C1574),1)</x:f>
        <x:v>45992</x:v>
      </x:c>
    </x:row>
    <x:row r="1575" ht="22" customHeight="1">
      <x:c r="A1575" s="2" t="str">
        <x:v>L001571</x:v>
      </x:c>
      <x:c r="B1575" s="2" t="str">
        <x:v>O00635</x:v>
      </x:c>
      <x:c r="C1575" s="7" t="n">
        <x:v>45914</x:v>
      </x:c>
      <x:c r="D1575" s="2" t="str">
        <x:v>Completed</x:v>
      </x:c>
      <x:c r="E1575" s="2" t="str">
        <x:v>South</x:v>
      </x:c>
      <x:c r="F1575" s="2" t="str">
        <x:v>Online</x:v>
      </x:c>
      <x:c r="G1575" s="2" t="str">
        <x:v>Storage</x:v>
      </x:c>
      <x:c r="H1575" s="2" t="str">
        <x:v>Shelf 015</x:v>
      </x:c>
      <x:c r="I1575" s="11" t="n">
        <x:v>2</x:v>
      </x:c>
      <x:c r="J1575" s="9" t="n">
        <x:v>254</x:v>
      </x:c>
      <x:c r="K1575" s="10" t="n">
        <x:v>0.05</x:v>
      </x:c>
      <x:c r="L1575" s="11" t="n">
        <x:v>2</x:v>
      </x:c>
      <x:c r="M1575" s="9" t="n">
        <x:f>IF(D1575="Completed",I1575*J1575,0)</x:f>
        <x:v>508</x:v>
      </x:c>
      <x:c r="N1575" s="9" t="n">
        <x:f>M1575*K1575</x:f>
        <x:v>25.400000000000002</x:v>
      </x:c>
      <x:c r="O1575" s="9" t="n">
        <x:f>M1575-N1575</x:f>
        <x:v>482.6</x:v>
      </x:c>
      <x:c r="P1575" s="9" t="n">
        <x:f>IF(D1575="Completed",L1575*J1575*(1-K1575),0)</x:f>
        <x:v>482.59999999999997</x:v>
      </x:c>
      <x:c r="Q1575" s="9" t="n">
        <x:f>O1575-P1575</x:f>
        <x:v>5.684341886080802e-14</x:v>
      </x:c>
      <x:c r="R1575" s="11" t="n">
        <x:f>IF(D1575="Completed",I1575,0)</x:f>
        <x:v>2</x:v>
      </x:c>
      <x:c r="S1575" s="11" t="n">
        <x:f>IF(D1575="Completed",L1575,0)</x:f>
        <x:v>2</x:v>
      </x:c>
      <x:c r="T1575" s="8" t="n">
        <x:f>DATE(YEAR(C1575),MONTH(C1575),1)</x:f>
        <x:v>45901</x:v>
      </x:c>
    </x:row>
    <x:row r="1576" ht="22" customHeight="1">
      <x:c r="A1576" s="2" t="str">
        <x:v>L001572</x:v>
      </x:c>
      <x:c r="B1576" s="2" t="str">
        <x:v>O00635</x:v>
      </x:c>
      <x:c r="C1576" s="7" t="n">
        <x:v>45914</x:v>
      </x:c>
      <x:c r="D1576" s="2" t="str">
        <x:v>Completed</x:v>
      </x:c>
      <x:c r="E1576" s="2" t="str">
        <x:v>South</x:v>
      </x:c>
      <x:c r="F1576" s="2" t="str">
        <x:v>Online</x:v>
      </x:c>
      <x:c r="G1576" s="2" t="str">
        <x:v>Lighting</x:v>
      </x:c>
      <x:c r="H1576" s="2" t="str">
        <x:v>Lamp 013</x:v>
      </x:c>
      <x:c r="I1576" s="11" t="n">
        <x:v>2</x:v>
      </x:c>
      <x:c r="J1576" s="9" t="n">
        <x:v>271</x:v>
      </x:c>
      <x:c r="K1576" s="10" t="n">
        <x:v>0.1</x:v>
      </x:c>
      <x:c r="L1576" s="11" t="n">
        <x:v>0</x:v>
      </x:c>
      <x:c r="M1576" s="9" t="n">
        <x:f>IF(D1576="Completed",I1576*J1576,0)</x:f>
        <x:v>542</x:v>
      </x:c>
      <x:c r="N1576" s="9" t="n">
        <x:f>M1576*K1576</x:f>
        <x:v>54.2</x:v>
      </x:c>
      <x:c r="O1576" s="9" t="n">
        <x:f>M1576-N1576</x:f>
        <x:v>487.8</x:v>
      </x:c>
      <x:c r="P1576" s="9" t="n">
        <x:f>IF(D1576="Completed",L1576*J1576*(1-K1576),0)</x:f>
        <x:v>0</x:v>
      </x:c>
      <x:c r="Q1576" s="9" t="n">
        <x:f>O1576-P1576</x:f>
        <x:v>487.8</x:v>
      </x:c>
      <x:c r="R1576" s="11" t="n">
        <x:f>IF(D1576="Completed",I1576,0)</x:f>
        <x:v>2</x:v>
      </x:c>
      <x:c r="S1576" s="11" t="n">
        <x:f>IF(D1576="Completed",L1576,0)</x:f>
        <x:v>0</x:v>
      </x:c>
      <x:c r="T1576" s="8" t="n">
        <x:f>DATE(YEAR(C1576),MONTH(C1576),1)</x:f>
        <x:v>45901</x:v>
      </x:c>
    </x:row>
    <x:row r="1577" ht="22" customHeight="1">
      <x:c r="A1577" s="2" t="str">
        <x:v>L001573</x:v>
      </x:c>
      <x:c r="B1577" s="2" t="str">
        <x:v>O00635</x:v>
      </x:c>
      <x:c r="C1577" s="7" t="n">
        <x:v>45914</x:v>
      </x:c>
      <x:c r="D1577" s="2" t="str">
        <x:v>Completed</x:v>
      </x:c>
      <x:c r="E1577" s="2" t="str">
        <x:v>South</x:v>
      </x:c>
      <x:c r="F1577" s="2" t="str">
        <x:v>Online</x:v>
      </x:c>
      <x:c r="G1577" s="2" t="str">
        <x:v>Lighting</x:v>
      </x:c>
      <x:c r="H1577" s="2" t="str">
        <x:v>Lamp 009</x:v>
      </x:c>
      <x:c r="I1577" s="11" t="n">
        <x:v>5</x:v>
      </x:c>
      <x:c r="J1577" s="9" t="n">
        <x:v>93</x:v>
      </x:c>
      <x:c r="K1577" s="10" t="n">
        <x:v>0</x:v>
      </x:c>
      <x:c r="L1577" s="11" t="n">
        <x:v>0</x:v>
      </x:c>
      <x:c r="M1577" s="9" t="n">
        <x:f>IF(D1577="Completed",I1577*J1577,0)</x:f>
        <x:v>465</x:v>
      </x:c>
      <x:c r="N1577" s="9" t="n">
        <x:f>M1577*K1577</x:f>
        <x:v>0</x:v>
      </x:c>
      <x:c r="O1577" s="9" t="n">
        <x:f>M1577-N1577</x:f>
        <x:v>465</x:v>
      </x:c>
      <x:c r="P1577" s="9" t="n">
        <x:f>IF(D1577="Completed",L1577*J1577*(1-K1577),0)</x:f>
        <x:v>0</x:v>
      </x:c>
      <x:c r="Q1577" s="9" t="n">
        <x:f>O1577-P1577</x:f>
        <x:v>465</x:v>
      </x:c>
      <x:c r="R1577" s="11" t="n">
        <x:f>IF(D1577="Completed",I1577,0)</x:f>
        <x:v>5</x:v>
      </x:c>
      <x:c r="S1577" s="11" t="n">
        <x:f>IF(D1577="Completed",L1577,0)</x:f>
        <x:v>0</x:v>
      </x:c>
      <x:c r="T1577" s="8" t="n">
        <x:f>DATE(YEAR(C1577),MONTH(C1577),1)</x:f>
        <x:v>45901</x:v>
      </x:c>
    </x:row>
    <x:row r="1578" ht="22" customHeight="1">
      <x:c r="A1578" s="2" t="str">
        <x:v>L001574</x:v>
      </x:c>
      <x:c r="B1578" s="2" t="str">
        <x:v>O00635</x:v>
      </x:c>
      <x:c r="C1578" s="7" t="n">
        <x:v>45914</x:v>
      </x:c>
      <x:c r="D1578" s="2" t="str">
        <x:v>Completed</x:v>
      </x:c>
      <x:c r="E1578" s="2" t="str">
        <x:v>South</x:v>
      </x:c>
      <x:c r="F1578" s="2" t="str">
        <x:v>Online</x:v>
      </x:c>
      <x:c r="G1578" s="2" t="str">
        <x:v>Lighting</x:v>
      </x:c>
      <x:c r="H1578" s="2" t="str">
        <x:v>Lamp 009</x:v>
      </x:c>
      <x:c r="I1578" s="11" t="n">
        <x:v>4</x:v>
      </x:c>
      <x:c r="J1578" s="9" t="n">
        <x:v>93</x:v>
      </x:c>
      <x:c r="K1578" s="10" t="n">
        <x:v>0.05</x:v>
      </x:c>
      <x:c r="L1578" s="11" t="n">
        <x:v>0</x:v>
      </x:c>
      <x:c r="M1578" s="9" t="n">
        <x:f>IF(D1578="Completed",I1578*J1578,0)</x:f>
        <x:v>372</x:v>
      </x:c>
      <x:c r="N1578" s="9" t="n">
        <x:f>M1578*K1578</x:f>
        <x:v>18.6</x:v>
      </x:c>
      <x:c r="O1578" s="9" t="n">
        <x:f>M1578-N1578</x:f>
        <x:v>353.4</x:v>
      </x:c>
      <x:c r="P1578" s="9" t="n">
        <x:f>IF(D1578="Completed",L1578*J1578*(1-K1578),0)</x:f>
        <x:v>0</x:v>
      </x:c>
      <x:c r="Q1578" s="9" t="n">
        <x:f>O1578-P1578</x:f>
        <x:v>353.4</x:v>
      </x:c>
      <x:c r="R1578" s="11" t="n">
        <x:f>IF(D1578="Completed",I1578,0)</x:f>
        <x:v>4</x:v>
      </x:c>
      <x:c r="S1578" s="11" t="n">
        <x:f>IF(D1578="Completed",L1578,0)</x:f>
        <x:v>0</x:v>
      </x:c>
      <x:c r="T1578" s="8" t="n">
        <x:f>DATE(YEAR(C1578),MONTH(C1578),1)</x:f>
        <x:v>45901</x:v>
      </x:c>
    </x:row>
    <x:row r="1579" ht="22" customHeight="1">
      <x:c r="A1579" s="2" t="str">
        <x:v>L001575</x:v>
      </x:c>
      <x:c r="B1579" s="2" t="str">
        <x:v>O00636</x:v>
      </x:c>
      <x:c r="C1579" s="7" t="n">
        <x:v>45897</x:v>
      </x:c>
      <x:c r="D1579" s="2" t="str">
        <x:v>Completed</x:v>
      </x:c>
      <x:c r="E1579" s="2" t="str">
        <x:v>North</x:v>
      </x:c>
      <x:c r="F1579" s="2" t="str">
        <x:v>Online</x:v>
      </x:c>
      <x:c r="G1579" s="2" t="str">
        <x:v>Lighting</x:v>
      </x:c>
      <x:c r="H1579" s="2" t="str">
        <x:v>Lamp 017</x:v>
      </x:c>
      <x:c r="I1579" s="11" t="n">
        <x:v>1</x:v>
      </x:c>
      <x:c r="J1579" s="9" t="n">
        <x:v>300</x:v>
      </x:c>
      <x:c r="K1579" s="10" t="n">
        <x:v>0.05</x:v>
      </x:c>
      <x:c r="L1579" s="11" t="n">
        <x:v>1</x:v>
      </x:c>
      <x:c r="M1579" s="9" t="n">
        <x:f>IF(D1579="Completed",I1579*J1579,0)</x:f>
        <x:v>300</x:v>
      </x:c>
      <x:c r="N1579" s="9" t="n">
        <x:f>M1579*K1579</x:f>
        <x:v>15</x:v>
      </x:c>
      <x:c r="O1579" s="9" t="n">
        <x:f>M1579-N1579</x:f>
        <x:v>285</x:v>
      </x:c>
      <x:c r="P1579" s="9" t="n">
        <x:f>IF(D1579="Completed",L1579*J1579*(1-K1579),0)</x:f>
        <x:v>285</x:v>
      </x:c>
      <x:c r="Q1579" s="9" t="n">
        <x:f>O1579-P1579</x:f>
        <x:v>0</x:v>
      </x:c>
      <x:c r="R1579" s="11" t="n">
        <x:f>IF(D1579="Completed",I1579,0)</x:f>
        <x:v>1</x:v>
      </x:c>
      <x:c r="S1579" s="11" t="n">
        <x:f>IF(D1579="Completed",L1579,0)</x:f>
        <x:v>1</x:v>
      </x:c>
      <x:c r="T1579" s="8" t="n">
        <x:f>DATE(YEAR(C1579),MONTH(C1579),1)</x:f>
        <x:v>45870</x:v>
      </x:c>
    </x:row>
    <x:row r="1580" ht="22" customHeight="1">
      <x:c r="A1580" s="2" t="str">
        <x:v>L001576</x:v>
      </x:c>
      <x:c r="B1580" s="2" t="str">
        <x:v>O00637</x:v>
      </x:c>
      <x:c r="C1580" s="7" t="n">
        <x:v>45870</x:v>
      </x:c>
      <x:c r="D1580" s="2" t="str">
        <x:v>Completed</x:v>
      </x:c>
      <x:c r="E1580" s="2" t="str">
        <x:v>West</x:v>
      </x:c>
      <x:c r="F1580" s="2" t="str">
        <x:v>Store</x:v>
      </x:c>
      <x:c r="G1580" s="2" t="str">
        <x:v>Furniture</x:v>
      </x:c>
      <x:c r="H1580" s="2" t="str">
        <x:v>Chair 002</x:v>
      </x:c>
      <x:c r="I1580" s="11" t="n">
        <x:v>3</x:v>
      </x:c>
      <x:c r="J1580" s="9" t="n">
        <x:v>284</x:v>
      </x:c>
      <x:c r="K1580" s="10" t="n">
        <x:v>0.2</x:v>
      </x:c>
      <x:c r="L1580" s="11" t="n">
        <x:v>0</x:v>
      </x:c>
      <x:c r="M1580" s="9" t="n">
        <x:f>IF(D1580="Completed",I1580*J1580,0)</x:f>
        <x:v>852</x:v>
      </x:c>
      <x:c r="N1580" s="9" t="n">
        <x:f>M1580*K1580</x:f>
        <x:v>170.4</x:v>
      </x:c>
      <x:c r="O1580" s="9" t="n">
        <x:f>M1580-N1580</x:f>
        <x:v>681.6</x:v>
      </x:c>
      <x:c r="P1580" s="9" t="n">
        <x:f>IF(D1580="Completed",L1580*J1580*(1-K1580),0)</x:f>
        <x:v>0</x:v>
      </x:c>
      <x:c r="Q1580" s="9" t="n">
        <x:f>O1580-P1580</x:f>
        <x:v>681.6</x:v>
      </x:c>
      <x:c r="R1580" s="11" t="n">
        <x:f>IF(D1580="Completed",I1580,0)</x:f>
        <x:v>3</x:v>
      </x:c>
      <x:c r="S1580" s="11" t="n">
        <x:f>IF(D1580="Completed",L1580,0)</x:f>
        <x:v>0</x:v>
      </x:c>
      <x:c r="T1580" s="8" t="n">
        <x:f>DATE(YEAR(C1580),MONTH(C1580),1)</x:f>
        <x:v>45870</x:v>
      </x:c>
    </x:row>
    <x:row r="1581" ht="22" customHeight="1">
      <x:c r="A1581" s="2" t="str">
        <x:v>L001577</x:v>
      </x:c>
      <x:c r="B1581" s="2" t="str">
        <x:v>O00637</x:v>
      </x:c>
      <x:c r="C1581" s="7" t="n">
        <x:v>45870</x:v>
      </x:c>
      <x:c r="D1581" s="2" t="str">
        <x:v>Completed</x:v>
      </x:c>
      <x:c r="E1581" s="2" t="str">
        <x:v>West</x:v>
      </x:c>
      <x:c r="F1581" s="2" t="str">
        <x:v>Store</x:v>
      </x:c>
      <x:c r="G1581" s="2" t="str">
        <x:v>Storage</x:v>
      </x:c>
      <x:c r="H1581" s="2" t="str">
        <x:v>Shelf 023</x:v>
      </x:c>
      <x:c r="I1581" s="11" t="n">
        <x:v>4</x:v>
      </x:c>
      <x:c r="J1581" s="9" t="n">
        <x:v>68</x:v>
      </x:c>
      <x:c r="K1581" s="10" t="n">
        <x:v>0</x:v>
      </x:c>
      <x:c r="L1581" s="11" t="n">
        <x:v>0</x:v>
      </x:c>
      <x:c r="M1581" s="9" t="n">
        <x:f>IF(D1581="Completed",I1581*J1581,0)</x:f>
        <x:v>272</x:v>
      </x:c>
      <x:c r="N1581" s="9" t="n">
        <x:f>M1581*K1581</x:f>
        <x:v>0</x:v>
      </x:c>
      <x:c r="O1581" s="9" t="n">
        <x:f>M1581-N1581</x:f>
        <x:v>272</x:v>
      </x:c>
      <x:c r="P1581" s="9" t="n">
        <x:f>IF(D1581="Completed",L1581*J1581*(1-K1581),0)</x:f>
        <x:v>0</x:v>
      </x:c>
      <x:c r="Q1581" s="9" t="n">
        <x:f>O1581-P1581</x:f>
        <x:v>272</x:v>
      </x:c>
      <x:c r="R1581" s="11" t="n">
        <x:f>IF(D1581="Completed",I1581,0)</x:f>
        <x:v>4</x:v>
      </x:c>
      <x:c r="S1581" s="11" t="n">
        <x:f>IF(D1581="Completed",L1581,0)</x:f>
        <x:v>0</x:v>
      </x:c>
      <x:c r="T1581" s="8" t="n">
        <x:f>DATE(YEAR(C1581),MONTH(C1581),1)</x:f>
        <x:v>45870</x:v>
      </x:c>
    </x:row>
    <x:row r="1582" ht="22" customHeight="1">
      <x:c r="A1582" s="2" t="str">
        <x:v>L001578</x:v>
      </x:c>
      <x:c r="B1582" s="2" t="str">
        <x:v>O00637</x:v>
      </x:c>
      <x:c r="C1582" s="7" t="n">
        <x:v>45870</x:v>
      </x:c>
      <x:c r="D1582" s="2" t="str">
        <x:v>Completed</x:v>
      </x:c>
      <x:c r="E1582" s="2" t="str">
        <x:v>West</x:v>
      </x:c>
      <x:c r="F1582" s="2" t="str">
        <x:v>Store</x:v>
      </x:c>
      <x:c r="G1582" s="2" t="str">
        <x:v>Lighting</x:v>
      </x:c>
      <x:c r="H1582" s="2" t="str">
        <x:v>Lamp 005</x:v>
      </x:c>
      <x:c r="I1582" s="11" t="n">
        <x:v>5</x:v>
      </x:c>
      <x:c r="J1582" s="9" t="n">
        <x:v>65</x:v>
      </x:c>
      <x:c r="K1582" s="10" t="n">
        <x:v>0</x:v>
      </x:c>
      <x:c r="L1582" s="11" t="n">
        <x:v>0</x:v>
      </x:c>
      <x:c r="M1582" s="9" t="n">
        <x:f>IF(D1582="Completed",I1582*J1582,0)</x:f>
        <x:v>325</x:v>
      </x:c>
      <x:c r="N1582" s="9" t="n">
        <x:f>M1582*K1582</x:f>
        <x:v>0</x:v>
      </x:c>
      <x:c r="O1582" s="9" t="n">
        <x:f>M1582-N1582</x:f>
        <x:v>325</x:v>
      </x:c>
      <x:c r="P1582" s="9" t="n">
        <x:f>IF(D1582="Completed",L1582*J1582*(1-K1582),0)</x:f>
        <x:v>0</x:v>
      </x:c>
      <x:c r="Q1582" s="9" t="n">
        <x:f>O1582-P1582</x:f>
        <x:v>325</x:v>
      </x:c>
      <x:c r="R1582" s="11" t="n">
        <x:f>IF(D1582="Completed",I1582,0)</x:f>
        <x:v>5</x:v>
      </x:c>
      <x:c r="S1582" s="11" t="n">
        <x:f>IF(D1582="Completed",L1582,0)</x:f>
        <x:v>0</x:v>
      </x:c>
      <x:c r="T1582" s="8" t="n">
        <x:f>DATE(YEAR(C1582),MONTH(C1582),1)</x:f>
        <x:v>45870</x:v>
      </x:c>
    </x:row>
    <x:row r="1583" ht="22" customHeight="1">
      <x:c r="A1583" s="2" t="str">
        <x:v>L001579</x:v>
      </x:c>
      <x:c r="B1583" s="2" t="str">
        <x:v>O00637</x:v>
      </x:c>
      <x:c r="C1583" s="7" t="n">
        <x:v>45870</x:v>
      </x:c>
      <x:c r="D1583" s="2" t="str">
        <x:v>Completed</x:v>
      </x:c>
      <x:c r="E1583" s="2" t="str">
        <x:v>West</x:v>
      </x:c>
      <x:c r="F1583" s="2" t="str">
        <x:v>Store</x:v>
      </x:c>
      <x:c r="G1583" s="2" t="str">
        <x:v>Furniture</x:v>
      </x:c>
      <x:c r="H1583" s="2" t="str">
        <x:v>Desk 016</x:v>
      </x:c>
      <x:c r="I1583" s="11" t="n">
        <x:v>4</x:v>
      </x:c>
      <x:c r="J1583" s="9" t="n">
        <x:v>231</x:v>
      </x:c>
      <x:c r="K1583" s="10" t="n">
        <x:v>0.05</x:v>
      </x:c>
      <x:c r="L1583" s="11" t="n">
        <x:v>0</x:v>
      </x:c>
      <x:c r="M1583" s="9" t="n">
        <x:f>IF(D1583="Completed",I1583*J1583,0)</x:f>
        <x:v>924</x:v>
      </x:c>
      <x:c r="N1583" s="9" t="n">
        <x:f>M1583*K1583</x:f>
        <x:v>46.2</x:v>
      </x:c>
      <x:c r="O1583" s="9" t="n">
        <x:f>M1583-N1583</x:f>
        <x:v>877.8</x:v>
      </x:c>
      <x:c r="P1583" s="9" t="n">
        <x:f>IF(D1583="Completed",L1583*J1583*(1-K1583),0)</x:f>
        <x:v>0</x:v>
      </x:c>
      <x:c r="Q1583" s="9" t="n">
        <x:f>O1583-P1583</x:f>
        <x:v>877.8</x:v>
      </x:c>
      <x:c r="R1583" s="11" t="n">
        <x:f>IF(D1583="Completed",I1583,0)</x:f>
        <x:v>4</x:v>
      </x:c>
      <x:c r="S1583" s="11" t="n">
        <x:f>IF(D1583="Completed",L1583,0)</x:f>
        <x:v>0</x:v>
      </x:c>
      <x:c r="T1583" s="8" t="n">
        <x:f>DATE(YEAR(C1583),MONTH(C1583),1)</x:f>
        <x:v>45870</x:v>
      </x:c>
    </x:row>
    <x:row r="1584" ht="22" customHeight="1">
      <x:c r="A1584" s="2" t="str">
        <x:v>L001580</x:v>
      </x:c>
      <x:c r="B1584" s="2" t="str">
        <x:v>O00638</x:v>
      </x:c>
      <x:c r="C1584" s="7" t="n">
        <x:v>45999</x:v>
      </x:c>
      <x:c r="D1584" s="2" t="str">
        <x:v>Completed</x:v>
      </x:c>
      <x:c r="E1584" s="2" t="str">
        <x:v>South</x:v>
      </x:c>
      <x:c r="F1584" s="2" t="str">
        <x:v>Store</x:v>
      </x:c>
      <x:c r="G1584" s="2" t="str">
        <x:v>Lighting</x:v>
      </x:c>
      <x:c r="H1584" s="2" t="str">
        <x:v>Lamp 017</x:v>
      </x:c>
      <x:c r="I1584" s="11" t="n">
        <x:v>5</x:v>
      </x:c>
      <x:c r="J1584" s="9" t="n">
        <x:v>300</x:v>
      </x:c>
      <x:c r="K1584" s="10" t="n">
        <x:v>0</x:v>
      </x:c>
      <x:c r="L1584" s="11" t="n">
        <x:v>5</x:v>
      </x:c>
      <x:c r="M1584" s="9" t="n">
        <x:f>IF(D1584="Completed",I1584*J1584,0)</x:f>
        <x:v>1500</x:v>
      </x:c>
      <x:c r="N1584" s="9" t="n">
        <x:f>M1584*K1584</x:f>
        <x:v>0</x:v>
      </x:c>
      <x:c r="O1584" s="9" t="n">
        <x:f>M1584-N1584</x:f>
        <x:v>1500</x:v>
      </x:c>
      <x:c r="P1584" s="9" t="n">
        <x:f>IF(D1584="Completed",L1584*J1584*(1-K1584),0)</x:f>
        <x:v>1500</x:v>
      </x:c>
      <x:c r="Q1584" s="9" t="n">
        <x:f>O1584-P1584</x:f>
        <x:v>0</x:v>
      </x:c>
      <x:c r="R1584" s="11" t="n">
        <x:f>IF(D1584="Completed",I1584,0)</x:f>
        <x:v>5</x:v>
      </x:c>
      <x:c r="S1584" s="11" t="n">
        <x:f>IF(D1584="Completed",L1584,0)</x:f>
        <x:v>5</x:v>
      </x:c>
      <x:c r="T1584" s="8" t="n">
        <x:f>DATE(YEAR(C1584),MONTH(C1584),1)</x:f>
        <x:v>45992</x:v>
      </x:c>
    </x:row>
    <x:row r="1585" ht="22" customHeight="1">
      <x:c r="A1585" s="2" t="str">
        <x:v>L001581</x:v>
      </x:c>
      <x:c r="B1585" s="2" t="str">
        <x:v>O00638</x:v>
      </x:c>
      <x:c r="C1585" s="7" t="n">
        <x:v>45999</x:v>
      </x:c>
      <x:c r="D1585" s="2" t="str">
        <x:v>Completed</x:v>
      </x:c>
      <x:c r="E1585" s="2" t="str">
        <x:v>South</x:v>
      </x:c>
      <x:c r="F1585" s="2" t="str">
        <x:v>Store</x:v>
      </x:c>
      <x:c r="G1585" s="2" t="str">
        <x:v>Furniture</x:v>
      </x:c>
      <x:c r="H1585" s="2" t="str">
        <x:v>Desk 024</x:v>
      </x:c>
      <x:c r="I1585" s="11" t="n">
        <x:v>4</x:v>
      </x:c>
      <x:c r="J1585" s="9" t="n">
        <x:v>81</x:v>
      </x:c>
      <x:c r="K1585" s="10" t="n">
        <x:v>0.2</x:v>
      </x:c>
      <x:c r="L1585" s="11" t="n">
        <x:v>0</x:v>
      </x:c>
      <x:c r="M1585" s="9" t="n">
        <x:f>IF(D1585="Completed",I1585*J1585,0)</x:f>
        <x:v>324</x:v>
      </x:c>
      <x:c r="N1585" s="9" t="n">
        <x:f>M1585*K1585</x:f>
        <x:v>64.8</x:v>
      </x:c>
      <x:c r="O1585" s="9" t="n">
        <x:f>M1585-N1585</x:f>
        <x:v>259.2</x:v>
      </x:c>
      <x:c r="P1585" s="9" t="n">
        <x:f>IF(D1585="Completed",L1585*J1585*(1-K1585),0)</x:f>
        <x:v>0</x:v>
      </x:c>
      <x:c r="Q1585" s="9" t="n">
        <x:f>O1585-P1585</x:f>
        <x:v>259.2</x:v>
      </x:c>
      <x:c r="R1585" s="11" t="n">
        <x:f>IF(D1585="Completed",I1585,0)</x:f>
        <x:v>4</x:v>
      </x:c>
      <x:c r="S1585" s="11" t="n">
        <x:f>IF(D1585="Completed",L1585,0)</x:f>
        <x:v>0</x:v>
      </x:c>
      <x:c r="T1585" s="8" t="n">
        <x:f>DATE(YEAR(C1585),MONTH(C1585),1)</x:f>
        <x:v>45992</x:v>
      </x:c>
    </x:row>
    <x:row r="1586" ht="22" customHeight="1">
      <x:c r="A1586" s="2" t="str">
        <x:v>L001582</x:v>
      </x:c>
      <x:c r="B1586" s="2" t="str">
        <x:v>O00638</x:v>
      </x:c>
      <x:c r="C1586" s="7" t="n">
        <x:v>45999</x:v>
      </x:c>
      <x:c r="D1586" s="2" t="str">
        <x:v>Completed</x:v>
      </x:c>
      <x:c r="E1586" s="2" t="str">
        <x:v>South</x:v>
      </x:c>
      <x:c r="F1586" s="2" t="str">
        <x:v>Store</x:v>
      </x:c>
      <x:c r="G1586" s="2" t="str">
        <x:v>Storage</x:v>
      </x:c>
      <x:c r="H1586" s="2" t="str">
        <x:v>Shelf 019</x:v>
      </x:c>
      <x:c r="I1586" s="11" t="n">
        <x:v>3</x:v>
      </x:c>
      <x:c r="J1586" s="9" t="n">
        <x:v>78</x:v>
      </x:c>
      <x:c r="K1586" s="10" t="n">
        <x:v>0.05</x:v>
      </x:c>
      <x:c r="L1586" s="11" t="n">
        <x:v>0</x:v>
      </x:c>
      <x:c r="M1586" s="9" t="n">
        <x:f>IF(D1586="Completed",I1586*J1586,0)</x:f>
        <x:v>234</x:v>
      </x:c>
      <x:c r="N1586" s="9" t="n">
        <x:f>M1586*K1586</x:f>
        <x:v>11.700000000000001</x:v>
      </x:c>
      <x:c r="O1586" s="9" t="n">
        <x:f>M1586-N1586</x:f>
        <x:v>222.3</x:v>
      </x:c>
      <x:c r="P1586" s="9" t="n">
        <x:f>IF(D1586="Completed",L1586*J1586*(1-K1586),0)</x:f>
        <x:v>0</x:v>
      </x:c>
      <x:c r="Q1586" s="9" t="n">
        <x:f>O1586-P1586</x:f>
        <x:v>222.3</x:v>
      </x:c>
      <x:c r="R1586" s="11" t="n">
        <x:f>IF(D1586="Completed",I1586,0)</x:f>
        <x:v>3</x:v>
      </x:c>
      <x:c r="S1586" s="11" t="n">
        <x:f>IF(D1586="Completed",L1586,0)</x:f>
        <x:v>0</x:v>
      </x:c>
      <x:c r="T1586" s="8" t="n">
        <x:f>DATE(YEAR(C1586),MONTH(C1586),1)</x:f>
        <x:v>45992</x:v>
      </x:c>
    </x:row>
    <x:row r="1587" ht="22" customHeight="1">
      <x:c r="A1587" s="2" t="str">
        <x:v>L001583</x:v>
      </x:c>
      <x:c r="B1587" s="2" t="str">
        <x:v>O00639</x:v>
      </x:c>
      <x:c r="C1587" s="7" t="n">
        <x:v>45817</x:v>
      </x:c>
      <x:c r="D1587" s="2" t="str">
        <x:v>Completed</x:v>
      </x:c>
      <x:c r="E1587" s="2" t="str">
        <x:v>East</x:v>
      </x:c>
      <x:c r="F1587" s="2" t="str">
        <x:v>Online</x:v>
      </x:c>
      <x:c r="G1587" s="2" t="str">
        <x:v>Furniture</x:v>
      </x:c>
      <x:c r="H1587" s="2" t="str">
        <x:v>Chair 014</x:v>
      </x:c>
      <x:c r="I1587" s="11" t="n">
        <x:v>4</x:v>
      </x:c>
      <x:c r="J1587" s="9" t="n">
        <x:v>294</x:v>
      </x:c>
      <x:c r="K1587" s="10" t="n">
        <x:v>0.1</x:v>
      </x:c>
      <x:c r="L1587" s="11" t="n">
        <x:v>0</x:v>
      </x:c>
      <x:c r="M1587" s="9" t="n">
        <x:f>IF(D1587="Completed",I1587*J1587,0)</x:f>
        <x:v>1176</x:v>
      </x:c>
      <x:c r="N1587" s="9" t="n">
        <x:f>M1587*K1587</x:f>
        <x:v>117.60000000000001</x:v>
      </x:c>
      <x:c r="O1587" s="9" t="n">
        <x:f>M1587-N1587</x:f>
        <x:v>1058.4</x:v>
      </x:c>
      <x:c r="P1587" s="9" t="n">
        <x:f>IF(D1587="Completed",L1587*J1587*(1-K1587),0)</x:f>
        <x:v>0</x:v>
      </x:c>
      <x:c r="Q1587" s="9" t="n">
        <x:f>O1587-P1587</x:f>
        <x:v>1058.4</x:v>
      </x:c>
      <x:c r="R1587" s="11" t="n">
        <x:f>IF(D1587="Completed",I1587,0)</x:f>
        <x:v>4</x:v>
      </x:c>
      <x:c r="S1587" s="11" t="n">
        <x:f>IF(D1587="Completed",L1587,0)</x:f>
        <x:v>0</x:v>
      </x:c>
      <x:c r="T1587" s="8" t="n">
        <x:f>DATE(YEAR(C1587),MONTH(C1587),1)</x:f>
        <x:v>45809</x:v>
      </x:c>
    </x:row>
    <x:row r="1588" ht="22" customHeight="1">
      <x:c r="A1588" s="2" t="str">
        <x:v>L001584</x:v>
      </x:c>
      <x:c r="B1588" s="2" t="str">
        <x:v>O00640</x:v>
      </x:c>
      <x:c r="C1588" s="7" t="n">
        <x:v>46015</x:v>
      </x:c>
      <x:c r="D1588" s="2" t="str">
        <x:v>Completed</x:v>
      </x:c>
      <x:c r="E1588" s="2" t="str">
        <x:v>West</x:v>
      </x:c>
      <x:c r="F1588" s="2" t="str">
        <x:v>Online</x:v>
      </x:c>
      <x:c r="G1588" s="2" t="str">
        <x:v>Lighting</x:v>
      </x:c>
      <x:c r="H1588" s="2" t="str">
        <x:v>Lamp 021</x:v>
      </x:c>
      <x:c r="I1588" s="11" t="n">
        <x:v>1</x:v>
      </x:c>
      <x:c r="J1588" s="9" t="n">
        <x:v>249</x:v>
      </x:c>
      <x:c r="K1588" s="10" t="n">
        <x:v>0.05</x:v>
      </x:c>
      <x:c r="L1588" s="11" t="n">
        <x:v>0</x:v>
      </x:c>
      <x:c r="M1588" s="9" t="n">
        <x:f>IF(D1588="Completed",I1588*J1588,0)</x:f>
        <x:v>249</x:v>
      </x:c>
      <x:c r="N1588" s="9" t="n">
        <x:f>M1588*K1588</x:f>
        <x:v>12.450000000000001</x:v>
      </x:c>
      <x:c r="O1588" s="9" t="n">
        <x:f>M1588-N1588</x:f>
        <x:v>236.55</x:v>
      </x:c>
      <x:c r="P1588" s="9" t="n">
        <x:f>IF(D1588="Completed",L1588*J1588*(1-K1588),0)</x:f>
        <x:v>0</x:v>
      </x:c>
      <x:c r="Q1588" s="9" t="n">
        <x:f>O1588-P1588</x:f>
        <x:v>236.55</x:v>
      </x:c>
      <x:c r="R1588" s="11" t="n">
        <x:f>IF(D1588="Completed",I1588,0)</x:f>
        <x:v>1</x:v>
      </x:c>
      <x:c r="S1588" s="11" t="n">
        <x:f>IF(D1588="Completed",L1588,0)</x:f>
        <x:v>0</x:v>
      </x:c>
      <x:c r="T1588" s="8" t="n">
        <x:f>DATE(YEAR(C1588),MONTH(C1588),1)</x:f>
        <x:v>45992</x:v>
      </x:c>
    </x:row>
    <x:row r="1589" ht="22" customHeight="1">
      <x:c r="A1589" s="2" t="str">
        <x:v>L001585</x:v>
      </x:c>
      <x:c r="B1589" s="2" t="str">
        <x:v>O00640</x:v>
      </x:c>
      <x:c r="C1589" s="7" t="n">
        <x:v>46015</x:v>
      </x:c>
      <x:c r="D1589" s="2" t="str">
        <x:v>Completed</x:v>
      </x:c>
      <x:c r="E1589" s="2" t="str">
        <x:v>West</x:v>
      </x:c>
      <x:c r="F1589" s="2" t="str">
        <x:v>Online</x:v>
      </x:c>
      <x:c r="G1589" s="2" t="str">
        <x:v>Furniture</x:v>
      </x:c>
      <x:c r="H1589" s="2" t="str">
        <x:v>Desk 012</x:v>
      </x:c>
      <x:c r="I1589" s="11" t="n">
        <x:v>1</x:v>
      </x:c>
      <x:c r="J1589" s="9" t="n">
        <x:v>134</x:v>
      </x:c>
      <x:c r="K1589" s="10" t="n">
        <x:v>0</x:v>
      </x:c>
      <x:c r="L1589" s="11" t="n">
        <x:v>0</x:v>
      </x:c>
      <x:c r="M1589" s="9" t="n">
        <x:f>IF(D1589="Completed",I1589*J1589,0)</x:f>
        <x:v>134</x:v>
      </x:c>
      <x:c r="N1589" s="9" t="n">
        <x:f>M1589*K1589</x:f>
        <x:v>0</x:v>
      </x:c>
      <x:c r="O1589" s="9" t="n">
        <x:f>M1589-N1589</x:f>
        <x:v>134</x:v>
      </x:c>
      <x:c r="P1589" s="9" t="n">
        <x:f>IF(D1589="Completed",L1589*J1589*(1-K1589),0)</x:f>
        <x:v>0</x:v>
      </x:c>
      <x:c r="Q1589" s="9" t="n">
        <x:f>O1589-P1589</x:f>
        <x:v>134</x:v>
      </x:c>
      <x:c r="R1589" s="11" t="n">
        <x:f>IF(D1589="Completed",I1589,0)</x:f>
        <x:v>1</x:v>
      </x:c>
      <x:c r="S1589" s="11" t="n">
        <x:f>IF(D1589="Completed",L1589,0)</x:f>
        <x:v>0</x:v>
      </x:c>
      <x:c r="T1589" s="8" t="n">
        <x:f>DATE(YEAR(C1589),MONTH(C1589),1)</x:f>
        <x:v>45992</x:v>
      </x:c>
    </x:row>
    <x:row r="1590" ht="22" customHeight="1">
      <x:c r="A1590" s="2" t="str">
        <x:v>L001586</x:v>
      </x:c>
      <x:c r="B1590" s="2" t="str">
        <x:v>O00641</x:v>
      </x:c>
      <x:c r="C1590" s="7" t="n">
        <x:v>45919</x:v>
      </x:c>
      <x:c r="D1590" s="2" t="str">
        <x:v>Completed</x:v>
      </x:c>
      <x:c r="E1590" s="2" t="str">
        <x:v>South</x:v>
      </x:c>
      <x:c r="F1590" s="2" t="str">
        <x:v>Store</x:v>
      </x:c>
      <x:c r="G1590" s="2" t="str">
        <x:v>Furniture</x:v>
      </x:c>
      <x:c r="H1590" s="2" t="str">
        <x:v>Desk 012</x:v>
      </x:c>
      <x:c r="I1590" s="11" t="n">
        <x:v>4</x:v>
      </x:c>
      <x:c r="J1590" s="9" t="n">
        <x:v>134</x:v>
      </x:c>
      <x:c r="K1590" s="10" t="n">
        <x:v>0</x:v>
      </x:c>
      <x:c r="L1590" s="11" t="n">
        <x:v>0</x:v>
      </x:c>
      <x:c r="M1590" s="9" t="n">
        <x:f>IF(D1590="Completed",I1590*J1590,0)</x:f>
        <x:v>536</x:v>
      </x:c>
      <x:c r="N1590" s="9" t="n">
        <x:f>M1590*K1590</x:f>
        <x:v>0</x:v>
      </x:c>
      <x:c r="O1590" s="9" t="n">
        <x:f>M1590-N1590</x:f>
        <x:v>536</x:v>
      </x:c>
      <x:c r="P1590" s="9" t="n">
        <x:f>IF(D1590="Completed",L1590*J1590*(1-K1590),0)</x:f>
        <x:v>0</x:v>
      </x:c>
      <x:c r="Q1590" s="9" t="n">
        <x:f>O1590-P1590</x:f>
        <x:v>536</x:v>
      </x:c>
      <x:c r="R1590" s="11" t="n">
        <x:f>IF(D1590="Completed",I1590,0)</x:f>
        <x:v>4</x:v>
      </x:c>
      <x:c r="S1590" s="11" t="n">
        <x:f>IF(D1590="Completed",L1590,0)</x:f>
        <x:v>0</x:v>
      </x:c>
      <x:c r="T1590" s="8" t="n">
        <x:f>DATE(YEAR(C1590),MONTH(C1590),1)</x:f>
        <x:v>45901</x:v>
      </x:c>
    </x:row>
    <x:row r="1591" ht="22" customHeight="1">
      <x:c r="A1591" s="2" t="str">
        <x:v>L001587</x:v>
      </x:c>
      <x:c r="B1591" s="2" t="str">
        <x:v>O00641</x:v>
      </x:c>
      <x:c r="C1591" s="7" t="n">
        <x:v>45919</x:v>
      </x:c>
      <x:c r="D1591" s="2" t="str">
        <x:v>Completed</x:v>
      </x:c>
      <x:c r="E1591" s="2" t="str">
        <x:v>South</x:v>
      </x:c>
      <x:c r="F1591" s="2" t="str">
        <x:v>Store</x:v>
      </x:c>
      <x:c r="G1591" s="2" t="str">
        <x:v>Storage</x:v>
      </x:c>
      <x:c r="H1591" s="2" t="str">
        <x:v>Shelf 019</x:v>
      </x:c>
      <x:c r="I1591" s="11" t="n">
        <x:v>1</x:v>
      </x:c>
      <x:c r="J1591" s="9" t="n">
        <x:v>78</x:v>
      </x:c>
      <x:c r="K1591" s="10" t="n">
        <x:v>0</x:v>
      </x:c>
      <x:c r="L1591" s="11" t="n">
        <x:v>0</x:v>
      </x:c>
      <x:c r="M1591" s="9" t="n">
        <x:f>IF(D1591="Completed",I1591*J1591,0)</x:f>
        <x:v>78</x:v>
      </x:c>
      <x:c r="N1591" s="9" t="n">
        <x:f>M1591*K1591</x:f>
        <x:v>0</x:v>
      </x:c>
      <x:c r="O1591" s="9" t="n">
        <x:f>M1591-N1591</x:f>
        <x:v>78</x:v>
      </x:c>
      <x:c r="P1591" s="9" t="n">
        <x:f>IF(D1591="Completed",L1591*J1591*(1-K1591),0)</x:f>
        <x:v>0</x:v>
      </x:c>
      <x:c r="Q1591" s="9" t="n">
        <x:f>O1591-P1591</x:f>
        <x:v>78</x:v>
      </x:c>
      <x:c r="R1591" s="11" t="n">
        <x:f>IF(D1591="Completed",I1591,0)</x:f>
        <x:v>1</x:v>
      </x:c>
      <x:c r="S1591" s="11" t="n">
        <x:f>IF(D1591="Completed",L1591,0)</x:f>
        <x:v>0</x:v>
      </x:c>
      <x:c r="T1591" s="8" t="n">
        <x:f>DATE(YEAR(C1591),MONTH(C1591),1)</x:f>
        <x:v>45901</x:v>
      </x:c>
    </x:row>
    <x:row r="1592" ht="22" customHeight="1">
      <x:c r="A1592" s="2" t="str">
        <x:v>L001588</x:v>
      </x:c>
      <x:c r="B1592" s="2" t="str">
        <x:v>O00641</x:v>
      </x:c>
      <x:c r="C1592" s="7" t="n">
        <x:v>45919</x:v>
      </x:c>
      <x:c r="D1592" s="2" t="str">
        <x:v>Completed</x:v>
      </x:c>
      <x:c r="E1592" s="2" t="str">
        <x:v>South</x:v>
      </x:c>
      <x:c r="F1592" s="2" t="str">
        <x:v>Store</x:v>
      </x:c>
      <x:c r="G1592" s="2" t="str">
        <x:v>Storage</x:v>
      </x:c>
      <x:c r="H1592" s="2" t="str">
        <x:v>Shelf 023</x:v>
      </x:c>
      <x:c r="I1592" s="11" t="n">
        <x:v>2</x:v>
      </x:c>
      <x:c r="J1592" s="9" t="n">
        <x:v>68</x:v>
      </x:c>
      <x:c r="K1592" s="10" t="n">
        <x:v>0.2</x:v>
      </x:c>
      <x:c r="L1592" s="11" t="n">
        <x:v>0</x:v>
      </x:c>
      <x:c r="M1592" s="9" t="n">
        <x:f>IF(D1592="Completed",I1592*J1592,0)</x:f>
        <x:v>136</x:v>
      </x:c>
      <x:c r="N1592" s="9" t="n">
        <x:f>M1592*K1592</x:f>
        <x:v>27.200000000000003</x:v>
      </x:c>
      <x:c r="O1592" s="9" t="n">
        <x:f>M1592-N1592</x:f>
        <x:v>108.8</x:v>
      </x:c>
      <x:c r="P1592" s="9" t="n">
        <x:f>IF(D1592="Completed",L1592*J1592*(1-K1592),0)</x:f>
        <x:v>0</x:v>
      </x:c>
      <x:c r="Q1592" s="9" t="n">
        <x:f>O1592-P1592</x:f>
        <x:v>108.8</x:v>
      </x:c>
      <x:c r="R1592" s="11" t="n">
        <x:f>IF(D1592="Completed",I1592,0)</x:f>
        <x:v>2</x:v>
      </x:c>
      <x:c r="S1592" s="11" t="n">
        <x:f>IF(D1592="Completed",L1592,0)</x:f>
        <x:v>0</x:v>
      </x:c>
      <x:c r="T1592" s="8" t="n">
        <x:f>DATE(YEAR(C1592),MONTH(C1592),1)</x:f>
        <x:v>45901</x:v>
      </x:c>
    </x:row>
    <x:row r="1593" ht="22" customHeight="1">
      <x:c r="A1593" s="2" t="str">
        <x:v>L001589</x:v>
      </x:c>
      <x:c r="B1593" s="2" t="str">
        <x:v>O00641</x:v>
      </x:c>
      <x:c r="C1593" s="7" t="n">
        <x:v>45919</x:v>
      </x:c>
      <x:c r="D1593" s="2" t="str">
        <x:v>Completed</x:v>
      </x:c>
      <x:c r="E1593" s="2" t="str">
        <x:v>South</x:v>
      </x:c>
      <x:c r="F1593" s="2" t="str">
        <x:v>Store</x:v>
      </x:c>
      <x:c r="G1593" s="2" t="str">
        <x:v>Storage</x:v>
      </x:c>
      <x:c r="H1593" s="2" t="str">
        <x:v>Shelf 019</x:v>
      </x:c>
      <x:c r="I1593" s="11" t="n">
        <x:v>1</x:v>
      </x:c>
      <x:c r="J1593" s="9" t="n">
        <x:v>78</x:v>
      </x:c>
      <x:c r="K1593" s="10" t="n">
        <x:v>0.1</x:v>
      </x:c>
      <x:c r="L1593" s="11" t="n">
        <x:v>0</x:v>
      </x:c>
      <x:c r="M1593" s="9" t="n">
        <x:f>IF(D1593="Completed",I1593*J1593,0)</x:f>
        <x:v>78</x:v>
      </x:c>
      <x:c r="N1593" s="9" t="n">
        <x:f>M1593*K1593</x:f>
        <x:v>7.800000000000001</x:v>
      </x:c>
      <x:c r="O1593" s="9" t="n">
        <x:f>M1593-N1593</x:f>
        <x:v>70.2</x:v>
      </x:c>
      <x:c r="P1593" s="9" t="n">
        <x:f>IF(D1593="Completed",L1593*J1593*(1-K1593),0)</x:f>
        <x:v>0</x:v>
      </x:c>
      <x:c r="Q1593" s="9" t="n">
        <x:f>O1593-P1593</x:f>
        <x:v>70.2</x:v>
      </x:c>
      <x:c r="R1593" s="11" t="n">
        <x:f>IF(D1593="Completed",I1593,0)</x:f>
        <x:v>1</x:v>
      </x:c>
      <x:c r="S1593" s="11" t="n">
        <x:f>IF(D1593="Completed",L1593,0)</x:f>
        <x:v>0</x:v>
      </x:c>
      <x:c r="T1593" s="8" t="n">
        <x:f>DATE(YEAR(C1593),MONTH(C1593),1)</x:f>
        <x:v>45901</x:v>
      </x:c>
    </x:row>
    <x:row r="1594" ht="22" customHeight="1">
      <x:c r="A1594" s="2" t="str">
        <x:v>L001590</x:v>
      </x:c>
      <x:c r="B1594" s="2" t="str">
        <x:v>O00642</x:v>
      </x:c>
      <x:c r="C1594" s="7" t="n">
        <x:v>45712</x:v>
      </x:c>
      <x:c r="D1594" s="2" t="str">
        <x:v>Completed</x:v>
      </x:c>
      <x:c r="E1594" s="2" t="str">
        <x:v>West</x:v>
      </x:c>
      <x:c r="F1594" s="2" t="str">
        <x:v>Store</x:v>
      </x:c>
      <x:c r="G1594" s="2" t="str">
        <x:v>Lighting</x:v>
      </x:c>
      <x:c r="H1594" s="2" t="str">
        <x:v>Lamp 005</x:v>
      </x:c>
      <x:c r="I1594" s="11" t="n">
        <x:v>5</x:v>
      </x:c>
      <x:c r="J1594" s="9" t="n">
        <x:v>65</x:v>
      </x:c>
      <x:c r="K1594" s="10" t="n">
        <x:v>0.1</x:v>
      </x:c>
      <x:c r="L1594" s="11" t="n">
        <x:v>0</x:v>
      </x:c>
      <x:c r="M1594" s="9" t="n">
        <x:f>IF(D1594="Completed",I1594*J1594,0)</x:f>
        <x:v>325</x:v>
      </x:c>
      <x:c r="N1594" s="9" t="n">
        <x:f>M1594*K1594</x:f>
        <x:v>32.5</x:v>
      </x:c>
      <x:c r="O1594" s="9" t="n">
        <x:f>M1594-N1594</x:f>
        <x:v>292.5</x:v>
      </x:c>
      <x:c r="P1594" s="9" t="n">
        <x:f>IF(D1594="Completed",L1594*J1594*(1-K1594),0)</x:f>
        <x:v>0</x:v>
      </x:c>
      <x:c r="Q1594" s="9" t="n">
        <x:f>O1594-P1594</x:f>
        <x:v>292.5</x:v>
      </x:c>
      <x:c r="R1594" s="11" t="n">
        <x:f>IF(D1594="Completed",I1594,0)</x:f>
        <x:v>5</x:v>
      </x:c>
      <x:c r="S1594" s="11" t="n">
        <x:f>IF(D1594="Completed",L1594,0)</x:f>
        <x:v>0</x:v>
      </x:c>
      <x:c r="T1594" s="8" t="n">
        <x:f>DATE(YEAR(C1594),MONTH(C1594),1)</x:f>
        <x:v>45689</x:v>
      </x:c>
    </x:row>
    <x:row r="1595" ht="22" customHeight="1">
      <x:c r="A1595" s="2" t="str">
        <x:v>L001591</x:v>
      </x:c>
      <x:c r="B1595" s="2" t="str">
        <x:v>O00642</x:v>
      </x:c>
      <x:c r="C1595" s="7" t="n">
        <x:v>45712</x:v>
      </x:c>
      <x:c r="D1595" s="2" t="str">
        <x:v>Completed</x:v>
      </x:c>
      <x:c r="E1595" s="2" t="str">
        <x:v>West</x:v>
      </x:c>
      <x:c r="F1595" s="2" t="str">
        <x:v>Store</x:v>
      </x:c>
      <x:c r="G1595" s="2" t="str">
        <x:v>Storage</x:v>
      </x:c>
      <x:c r="H1595" s="2" t="str">
        <x:v>Shelf 003</x:v>
      </x:c>
      <x:c r="I1595" s="11" t="n">
        <x:v>5</x:v>
      </x:c>
      <x:c r="J1595" s="9" t="n">
        <x:v>199</x:v>
      </x:c>
      <x:c r="K1595" s="10" t="n">
        <x:v>0</x:v>
      </x:c>
      <x:c r="L1595" s="11" t="n">
        <x:v>0</x:v>
      </x:c>
      <x:c r="M1595" s="9" t="n">
        <x:f>IF(D1595="Completed",I1595*J1595,0)</x:f>
        <x:v>995</x:v>
      </x:c>
      <x:c r="N1595" s="9" t="n">
        <x:f>M1595*K1595</x:f>
        <x:v>0</x:v>
      </x:c>
      <x:c r="O1595" s="9" t="n">
        <x:f>M1595-N1595</x:f>
        <x:v>995</x:v>
      </x:c>
      <x:c r="P1595" s="9" t="n">
        <x:f>IF(D1595="Completed",L1595*J1595*(1-K1595),0)</x:f>
        <x:v>0</x:v>
      </x:c>
      <x:c r="Q1595" s="9" t="n">
        <x:f>O1595-P1595</x:f>
        <x:v>995</x:v>
      </x:c>
      <x:c r="R1595" s="11" t="n">
        <x:f>IF(D1595="Completed",I1595,0)</x:f>
        <x:v>5</x:v>
      </x:c>
      <x:c r="S1595" s="11" t="n">
        <x:f>IF(D1595="Completed",L1595,0)</x:f>
        <x:v>0</x:v>
      </x:c>
      <x:c r="T1595" s="8" t="n">
        <x:f>DATE(YEAR(C1595),MONTH(C1595),1)</x:f>
        <x:v>45689</x:v>
      </x:c>
    </x:row>
    <x:row r="1596" ht="22" customHeight="1">
      <x:c r="A1596" s="2" t="str">
        <x:v>L001592</x:v>
      </x:c>
      <x:c r="B1596" s="2" t="str">
        <x:v>O00642</x:v>
      </x:c>
      <x:c r="C1596" s="7" t="n">
        <x:v>45712</x:v>
      </x:c>
      <x:c r="D1596" s="2" t="str">
        <x:v>Completed</x:v>
      </x:c>
      <x:c r="E1596" s="2" t="str">
        <x:v>West</x:v>
      </x:c>
      <x:c r="F1596" s="2" t="str">
        <x:v>Store</x:v>
      </x:c>
      <x:c r="G1596" s="2" t="str">
        <x:v>Storage</x:v>
      </x:c>
      <x:c r="H1596" s="2" t="str">
        <x:v>Shelf 023</x:v>
      </x:c>
      <x:c r="I1596" s="11" t="n">
        <x:v>2</x:v>
      </x:c>
      <x:c r="J1596" s="9" t="n">
        <x:v>68</x:v>
      </x:c>
      <x:c r="K1596" s="10" t="n">
        <x:v>0.05</x:v>
      </x:c>
      <x:c r="L1596" s="11" t="n">
        <x:v>0</x:v>
      </x:c>
      <x:c r="M1596" s="9" t="n">
        <x:f>IF(D1596="Completed",I1596*J1596,0)</x:f>
        <x:v>136</x:v>
      </x:c>
      <x:c r="N1596" s="9" t="n">
        <x:f>M1596*K1596</x:f>
        <x:v>6.800000000000001</x:v>
      </x:c>
      <x:c r="O1596" s="9" t="n">
        <x:f>M1596-N1596</x:f>
        <x:v>129.2</x:v>
      </x:c>
      <x:c r="P1596" s="9" t="n">
        <x:f>IF(D1596="Completed",L1596*J1596*(1-K1596),0)</x:f>
        <x:v>0</x:v>
      </x:c>
      <x:c r="Q1596" s="9" t="n">
        <x:f>O1596-P1596</x:f>
        <x:v>129.2</x:v>
      </x:c>
      <x:c r="R1596" s="11" t="n">
        <x:f>IF(D1596="Completed",I1596,0)</x:f>
        <x:v>2</x:v>
      </x:c>
      <x:c r="S1596" s="11" t="n">
        <x:f>IF(D1596="Completed",L1596,0)</x:f>
        <x:v>0</x:v>
      </x:c>
      <x:c r="T1596" s="8" t="n">
        <x:f>DATE(YEAR(C1596),MONTH(C1596),1)</x:f>
        <x:v>45689</x:v>
      </x:c>
    </x:row>
    <x:row r="1597" ht="22" customHeight="1">
      <x:c r="A1597" s="2" t="str">
        <x:v>L001593</x:v>
      </x:c>
      <x:c r="B1597" s="2" t="str">
        <x:v>O00642</x:v>
      </x:c>
      <x:c r="C1597" s="7" t="n">
        <x:v>45712</x:v>
      </x:c>
      <x:c r="D1597" s="2" t="str">
        <x:v>Completed</x:v>
      </x:c>
      <x:c r="E1597" s="2" t="str">
        <x:v>West</x:v>
      </x:c>
      <x:c r="F1597" s="2" t="str">
        <x:v>Store</x:v>
      </x:c>
      <x:c r="G1597" s="2" t="str">
        <x:v>Furniture</x:v>
      </x:c>
      <x:c r="H1597" s="2" t="str">
        <x:v>Chair 010</x:v>
      </x:c>
      <x:c r="I1597" s="11" t="n">
        <x:v>5</x:v>
      </x:c>
      <x:c r="J1597" s="9" t="n">
        <x:v>211</x:v>
      </x:c>
      <x:c r="K1597" s="10" t="n">
        <x:v>0.2</x:v>
      </x:c>
      <x:c r="L1597" s="11" t="n">
        <x:v>4</x:v>
      </x:c>
      <x:c r="M1597" s="9" t="n">
        <x:f>IF(D1597="Completed",I1597*J1597,0)</x:f>
        <x:v>1055</x:v>
      </x:c>
      <x:c r="N1597" s="9" t="n">
        <x:f>M1597*K1597</x:f>
        <x:v>211</x:v>
      </x:c>
      <x:c r="O1597" s="9" t="n">
        <x:f>M1597-N1597</x:f>
        <x:v>844</x:v>
      </x:c>
      <x:c r="P1597" s="9" t="n">
        <x:f>IF(D1597="Completed",L1597*J1597*(1-K1597),0)</x:f>
        <x:v>675.2</x:v>
      </x:c>
      <x:c r="Q1597" s="9" t="n">
        <x:f>O1597-P1597</x:f>
        <x:v>168.79999999999995</x:v>
      </x:c>
      <x:c r="R1597" s="11" t="n">
        <x:f>IF(D1597="Completed",I1597,0)</x:f>
        <x:v>5</x:v>
      </x:c>
      <x:c r="S1597" s="11" t="n">
        <x:f>IF(D1597="Completed",L1597,0)</x:f>
        <x:v>4</x:v>
      </x:c>
      <x:c r="T1597" s="8" t="n">
        <x:f>DATE(YEAR(C1597),MONTH(C1597),1)</x:f>
        <x:v>45689</x:v>
      </x:c>
    </x:row>
    <x:row r="1598" ht="22" customHeight="1">
      <x:c r="A1598" s="2" t="str">
        <x:v>L001594</x:v>
      </x:c>
      <x:c r="B1598" s="2" t="str">
        <x:v>O00643</x:v>
      </x:c>
      <x:c r="C1598" s="7" t="n">
        <x:v>45906</x:v>
      </x:c>
      <x:c r="D1598" s="2" t="str">
        <x:v>Completed</x:v>
      </x:c>
      <x:c r="E1598" s="2" t="str">
        <x:v>North</x:v>
      </x:c>
      <x:c r="F1598" s="2" t="str">
        <x:v>Online</x:v>
      </x:c>
      <x:c r="G1598" s="2" t="str">
        <x:v>Furniture</x:v>
      </x:c>
      <x:c r="H1598" s="2" t="str">
        <x:v>Desk 004</x:v>
      </x:c>
      <x:c r="I1598" s="11" t="n">
        <x:v>4</x:v>
      </x:c>
      <x:c r="J1598" s="9" t="n">
        <x:v>123</x:v>
      </x:c>
      <x:c r="K1598" s="10" t="n">
        <x:v>0</x:v>
      </x:c>
      <x:c r="L1598" s="11" t="n">
        <x:v>0</x:v>
      </x:c>
      <x:c r="M1598" s="9" t="n">
        <x:f>IF(D1598="Completed",I1598*J1598,0)</x:f>
        <x:v>492</x:v>
      </x:c>
      <x:c r="N1598" s="9" t="n">
        <x:f>M1598*K1598</x:f>
        <x:v>0</x:v>
      </x:c>
      <x:c r="O1598" s="9" t="n">
        <x:f>M1598-N1598</x:f>
        <x:v>492</x:v>
      </x:c>
      <x:c r="P1598" s="9" t="n">
        <x:f>IF(D1598="Completed",L1598*J1598*(1-K1598),0)</x:f>
        <x:v>0</x:v>
      </x:c>
      <x:c r="Q1598" s="9" t="n">
        <x:f>O1598-P1598</x:f>
        <x:v>492</x:v>
      </x:c>
      <x:c r="R1598" s="11" t="n">
        <x:f>IF(D1598="Completed",I1598,0)</x:f>
        <x:v>4</x:v>
      </x:c>
      <x:c r="S1598" s="11" t="n">
        <x:f>IF(D1598="Completed",L1598,0)</x:f>
        <x:v>0</x:v>
      </x:c>
      <x:c r="T1598" s="8" t="n">
        <x:f>DATE(YEAR(C1598),MONTH(C1598),1)</x:f>
        <x:v>45901</x:v>
      </x:c>
    </x:row>
    <x:row r="1599" ht="22" customHeight="1">
      <x:c r="A1599" s="2" t="str">
        <x:v>L001595</x:v>
      </x:c>
      <x:c r="B1599" s="2" t="str">
        <x:v>O00643</x:v>
      </x:c>
      <x:c r="C1599" s="7" t="n">
        <x:v>45906</x:v>
      </x:c>
      <x:c r="D1599" s="2" t="str">
        <x:v>Completed</x:v>
      </x:c>
      <x:c r="E1599" s="2" t="str">
        <x:v>North</x:v>
      </x:c>
      <x:c r="F1599" s="2" t="str">
        <x:v>Online</x:v>
      </x:c>
      <x:c r="G1599" s="2" t="str">
        <x:v>Storage</x:v>
      </x:c>
      <x:c r="H1599" s="2" t="str">
        <x:v>Shelf 003</x:v>
      </x:c>
      <x:c r="I1599" s="11" t="n">
        <x:v>5</x:v>
      </x:c>
      <x:c r="J1599" s="9" t="n">
        <x:v>199</x:v>
      </x:c>
      <x:c r="K1599" s="10" t="n">
        <x:v>0.2</x:v>
      </x:c>
      <x:c r="L1599" s="11" t="n">
        <x:v>0</x:v>
      </x:c>
      <x:c r="M1599" s="9" t="n">
        <x:f>IF(D1599="Completed",I1599*J1599,0)</x:f>
        <x:v>995</x:v>
      </x:c>
      <x:c r="N1599" s="9" t="n">
        <x:f>M1599*K1599</x:f>
        <x:v>199</x:v>
      </x:c>
      <x:c r="O1599" s="9" t="n">
        <x:f>M1599-N1599</x:f>
        <x:v>796</x:v>
      </x:c>
      <x:c r="P1599" s="9" t="n">
        <x:f>IF(D1599="Completed",L1599*J1599*(1-K1599),0)</x:f>
        <x:v>0</x:v>
      </x:c>
      <x:c r="Q1599" s="9" t="n">
        <x:f>O1599-P1599</x:f>
        <x:v>796</x:v>
      </x:c>
      <x:c r="R1599" s="11" t="n">
        <x:f>IF(D1599="Completed",I1599,0)</x:f>
        <x:v>5</x:v>
      </x:c>
      <x:c r="S1599" s="11" t="n">
        <x:f>IF(D1599="Completed",L1599,0)</x:f>
        <x:v>0</x:v>
      </x:c>
      <x:c r="T1599" s="8" t="n">
        <x:f>DATE(YEAR(C1599),MONTH(C1599),1)</x:f>
        <x:v>45901</x:v>
      </x:c>
    </x:row>
    <x:row r="1600" ht="22" customHeight="1">
      <x:c r="A1600" s="2" t="str">
        <x:v>L001596</x:v>
      </x:c>
      <x:c r="B1600" s="2" t="str">
        <x:v>O00643</x:v>
      </x:c>
      <x:c r="C1600" s="7" t="n">
        <x:v>45906</x:v>
      </x:c>
      <x:c r="D1600" s="2" t="str">
        <x:v>Completed</x:v>
      </x:c>
      <x:c r="E1600" s="2" t="str">
        <x:v>North</x:v>
      </x:c>
      <x:c r="F1600" s="2" t="str">
        <x:v>Online</x:v>
      </x:c>
      <x:c r="G1600" s="2" t="str">
        <x:v>Storage</x:v>
      </x:c>
      <x:c r="H1600" s="2" t="str">
        <x:v>Shelf 019</x:v>
      </x:c>
      <x:c r="I1600" s="11" t="n">
        <x:v>4</x:v>
      </x:c>
      <x:c r="J1600" s="9" t="n">
        <x:v>78</x:v>
      </x:c>
      <x:c r="K1600" s="10" t="n">
        <x:v>0.1</x:v>
      </x:c>
      <x:c r="L1600" s="11" t="n">
        <x:v>0</x:v>
      </x:c>
      <x:c r="M1600" s="9" t="n">
        <x:f>IF(D1600="Completed",I1600*J1600,0)</x:f>
        <x:v>312</x:v>
      </x:c>
      <x:c r="N1600" s="9" t="n">
        <x:f>M1600*K1600</x:f>
        <x:v>31.200000000000003</x:v>
      </x:c>
      <x:c r="O1600" s="9" t="n">
        <x:f>M1600-N1600</x:f>
        <x:v>280.8</x:v>
      </x:c>
      <x:c r="P1600" s="9" t="n">
        <x:f>IF(D1600="Completed",L1600*J1600*(1-K1600),0)</x:f>
        <x:v>0</x:v>
      </x:c>
      <x:c r="Q1600" s="9" t="n">
        <x:f>O1600-P1600</x:f>
        <x:v>280.8</x:v>
      </x:c>
      <x:c r="R1600" s="11" t="n">
        <x:f>IF(D1600="Completed",I1600,0)</x:f>
        <x:v>4</x:v>
      </x:c>
      <x:c r="S1600" s="11" t="n">
        <x:f>IF(D1600="Completed",L1600,0)</x:f>
        <x:v>0</x:v>
      </x:c>
      <x:c r="T1600" s="8" t="n">
        <x:f>DATE(YEAR(C1600),MONTH(C1600),1)</x:f>
        <x:v>45901</x:v>
      </x:c>
    </x:row>
    <x:row r="1601" ht="22" customHeight="1">
      <x:c r="A1601" s="2" t="str">
        <x:v>L001597</x:v>
      </x:c>
      <x:c r="B1601" s="2" t="str">
        <x:v>O00644</x:v>
      </x:c>
      <x:c r="C1601" s="7" t="n">
        <x:v>45939</x:v>
      </x:c>
      <x:c r="D1601" s="2" t="str">
        <x:v>Completed</x:v>
      </x:c>
      <x:c r="E1601" s="2" t="str">
        <x:v>East</x:v>
      </x:c>
      <x:c r="F1601" s="2" t="str">
        <x:v>Store</x:v>
      </x:c>
      <x:c r="G1601" s="2" t="str">
        <x:v>Lighting</x:v>
      </x:c>
      <x:c r="H1601" s="2" t="str">
        <x:v>Lamp 005</x:v>
      </x:c>
      <x:c r="I1601" s="11" t="n">
        <x:v>5</x:v>
      </x:c>
      <x:c r="J1601" s="9" t="n">
        <x:v>65</x:v>
      </x:c>
      <x:c r="K1601" s="10" t="n">
        <x:v>0</x:v>
      </x:c>
      <x:c r="L1601" s="11" t="n">
        <x:v>2</x:v>
      </x:c>
      <x:c r="M1601" s="9" t="n">
        <x:f>IF(D1601="Completed",I1601*J1601,0)</x:f>
        <x:v>325</x:v>
      </x:c>
      <x:c r="N1601" s="9" t="n">
        <x:f>M1601*K1601</x:f>
        <x:v>0</x:v>
      </x:c>
      <x:c r="O1601" s="9" t="n">
        <x:f>M1601-N1601</x:f>
        <x:v>325</x:v>
      </x:c>
      <x:c r="P1601" s="9" t="n">
        <x:f>IF(D1601="Completed",L1601*J1601*(1-K1601),0)</x:f>
        <x:v>130</x:v>
      </x:c>
      <x:c r="Q1601" s="9" t="n">
        <x:f>O1601-P1601</x:f>
        <x:v>195</x:v>
      </x:c>
      <x:c r="R1601" s="11" t="n">
        <x:f>IF(D1601="Completed",I1601,0)</x:f>
        <x:v>5</x:v>
      </x:c>
      <x:c r="S1601" s="11" t="n">
        <x:f>IF(D1601="Completed",L1601,0)</x:f>
        <x:v>2</x:v>
      </x:c>
      <x:c r="T1601" s="8" t="n">
        <x:f>DATE(YEAR(C1601),MONTH(C1601),1)</x:f>
        <x:v>45931</x:v>
      </x:c>
    </x:row>
    <x:row r="1602" ht="22" customHeight="1">
      <x:c r="A1602" s="2" t="str">
        <x:v>L001598</x:v>
      </x:c>
      <x:c r="B1602" s="2" t="str">
        <x:v>O00644</x:v>
      </x:c>
      <x:c r="C1602" s="7" t="n">
        <x:v>45939</x:v>
      </x:c>
      <x:c r="D1602" s="2" t="str">
        <x:v>Completed</x:v>
      </x:c>
      <x:c r="E1602" s="2" t="str">
        <x:v>East</x:v>
      </x:c>
      <x:c r="F1602" s="2" t="str">
        <x:v>Store</x:v>
      </x:c>
      <x:c r="G1602" s="2" t="str">
        <x:v>Furniture</x:v>
      </x:c>
      <x:c r="H1602" s="2" t="str">
        <x:v>Desk 020</x:v>
      </x:c>
      <x:c r="I1602" s="11" t="n">
        <x:v>4</x:v>
      </x:c>
      <x:c r="J1602" s="9" t="n">
        <x:v>189</x:v>
      </x:c>
      <x:c r="K1602" s="10" t="n">
        <x:v>0.2</x:v>
      </x:c>
      <x:c r="L1602" s="11" t="n">
        <x:v>0</x:v>
      </x:c>
      <x:c r="M1602" s="9" t="n">
        <x:f>IF(D1602="Completed",I1602*J1602,0)</x:f>
        <x:v>756</x:v>
      </x:c>
      <x:c r="N1602" s="9" t="n">
        <x:f>M1602*K1602</x:f>
        <x:v>151.20000000000002</x:v>
      </x:c>
      <x:c r="O1602" s="9" t="n">
        <x:f>M1602-N1602</x:f>
        <x:v>604.8</x:v>
      </x:c>
      <x:c r="P1602" s="9" t="n">
        <x:f>IF(D1602="Completed",L1602*J1602*(1-K1602),0)</x:f>
        <x:v>0</x:v>
      </x:c>
      <x:c r="Q1602" s="9" t="n">
        <x:f>O1602-P1602</x:f>
        <x:v>604.8</x:v>
      </x:c>
      <x:c r="R1602" s="11" t="n">
        <x:f>IF(D1602="Completed",I1602,0)</x:f>
        <x:v>4</x:v>
      </x:c>
      <x:c r="S1602" s="11" t="n">
        <x:f>IF(D1602="Completed",L1602,0)</x:f>
        <x:v>0</x:v>
      </x:c>
      <x:c r="T1602" s="8" t="n">
        <x:f>DATE(YEAR(C1602),MONTH(C1602),1)</x:f>
        <x:v>45931</x:v>
      </x:c>
    </x:row>
    <x:row r="1603" ht="22" customHeight="1">
      <x:c r="A1603" s="2" t="str">
        <x:v>L001599</x:v>
      </x:c>
      <x:c r="B1603" s="2" t="str">
        <x:v>O00644</x:v>
      </x:c>
      <x:c r="C1603" s="7" t="n">
        <x:v>45939</x:v>
      </x:c>
      <x:c r="D1603" s="2" t="str">
        <x:v>Completed</x:v>
      </x:c>
      <x:c r="E1603" s="2" t="str">
        <x:v>East</x:v>
      </x:c>
      <x:c r="F1603" s="2" t="str">
        <x:v>Store</x:v>
      </x:c>
      <x:c r="G1603" s="2" t="str">
        <x:v>Storage</x:v>
      </x:c>
      <x:c r="H1603" s="2" t="str">
        <x:v>Shelf 015</x:v>
      </x:c>
      <x:c r="I1603" s="11" t="n">
        <x:v>2</x:v>
      </x:c>
      <x:c r="J1603" s="9" t="n">
        <x:v>254</x:v>
      </x:c>
      <x:c r="K1603" s="10" t="n">
        <x:v>0.1</x:v>
      </x:c>
      <x:c r="L1603" s="11" t="n">
        <x:v>0</x:v>
      </x:c>
      <x:c r="M1603" s="9" t="n">
        <x:f>IF(D1603="Completed",I1603*J1603,0)</x:f>
        <x:v>508</x:v>
      </x:c>
      <x:c r="N1603" s="9" t="n">
        <x:f>M1603*K1603</x:f>
        <x:v>50.800000000000004</x:v>
      </x:c>
      <x:c r="O1603" s="9" t="n">
        <x:f>M1603-N1603</x:f>
        <x:v>457.2</x:v>
      </x:c>
      <x:c r="P1603" s="9" t="n">
        <x:f>IF(D1603="Completed",L1603*J1603*(1-K1603),0)</x:f>
        <x:v>0</x:v>
      </x:c>
      <x:c r="Q1603" s="9" t="n">
        <x:f>O1603-P1603</x:f>
        <x:v>457.2</x:v>
      </x:c>
      <x:c r="R1603" s="11" t="n">
        <x:f>IF(D1603="Completed",I1603,0)</x:f>
        <x:v>2</x:v>
      </x:c>
      <x:c r="S1603" s="11" t="n">
        <x:f>IF(D1603="Completed",L1603,0)</x:f>
        <x:v>0</x:v>
      </x:c>
      <x:c r="T1603" s="8" t="n">
        <x:f>DATE(YEAR(C1603),MONTH(C1603),1)</x:f>
        <x:v>45931</x:v>
      </x:c>
    </x:row>
    <x:row r="1604" ht="22" customHeight="1">
      <x:c r="A1604" s="2" t="str">
        <x:v>L001600</x:v>
      </x:c>
      <x:c r="B1604" s="2" t="str">
        <x:v>O00645</x:v>
      </x:c>
      <x:c r="C1604" s="7" t="n">
        <x:v>45948</x:v>
      </x:c>
      <x:c r="D1604" s="2" t="str">
        <x:v>Completed</x:v>
      </x:c>
      <x:c r="E1604" s="2" t="str">
        <x:v>North</x:v>
      </x:c>
      <x:c r="F1604" s="2" t="str">
        <x:v>Store</x:v>
      </x:c>
      <x:c r="G1604" s="2" t="str">
        <x:v>Furniture</x:v>
      </x:c>
      <x:c r="H1604" s="2" t="str">
        <x:v>Chair 006</x:v>
      </x:c>
      <x:c r="I1604" s="11" t="n">
        <x:v>2</x:v>
      </x:c>
      <x:c r="J1604" s="9" t="n">
        <x:v>196</x:v>
      </x:c>
      <x:c r="K1604" s="10" t="n">
        <x:v>0.2</x:v>
      </x:c>
      <x:c r="L1604" s="11" t="n">
        <x:v>0</x:v>
      </x:c>
      <x:c r="M1604" s="9" t="n">
        <x:f>IF(D1604="Completed",I1604*J1604,0)</x:f>
        <x:v>392</x:v>
      </x:c>
      <x:c r="N1604" s="9" t="n">
        <x:f>M1604*K1604</x:f>
        <x:v>78.4</x:v>
      </x:c>
      <x:c r="O1604" s="9" t="n">
        <x:f>M1604-N1604</x:f>
        <x:v>313.6</x:v>
      </x:c>
      <x:c r="P1604" s="9" t="n">
        <x:f>IF(D1604="Completed",L1604*J1604*(1-K1604),0)</x:f>
        <x:v>0</x:v>
      </x:c>
      <x:c r="Q1604" s="9" t="n">
        <x:f>O1604-P1604</x:f>
        <x:v>313.6</x:v>
      </x:c>
      <x:c r="R1604" s="11" t="n">
        <x:f>IF(D1604="Completed",I1604,0)</x:f>
        <x:v>2</x:v>
      </x:c>
      <x:c r="S1604" s="11" t="n">
        <x:f>IF(D1604="Completed",L1604,0)</x:f>
        <x:v>0</x:v>
      </x:c>
      <x:c r="T1604" s="8" t="n">
        <x:f>DATE(YEAR(C1604),MONTH(C1604),1)</x:f>
        <x:v>45931</x:v>
      </x:c>
    </x:row>
    <x:row r="1605" ht="22" customHeight="1">
      <x:c r="A1605" s="2" t="str">
        <x:v>L001601</x:v>
      </x:c>
      <x:c r="B1605" s="2" t="str">
        <x:v>O00645</x:v>
      </x:c>
      <x:c r="C1605" s="7" t="n">
        <x:v>45948</x:v>
      </x:c>
      <x:c r="D1605" s="2" t="str">
        <x:v>Completed</x:v>
      </x:c>
      <x:c r="E1605" s="2" t="str">
        <x:v>North</x:v>
      </x:c>
      <x:c r="F1605" s="2" t="str">
        <x:v>Store</x:v>
      </x:c>
      <x:c r="G1605" s="2" t="str">
        <x:v>Furniture</x:v>
      </x:c>
      <x:c r="H1605" s="2" t="str">
        <x:v>Chair 002</x:v>
      </x:c>
      <x:c r="I1605" s="11" t="n">
        <x:v>4</x:v>
      </x:c>
      <x:c r="J1605" s="9" t="n">
        <x:v>284</x:v>
      </x:c>
      <x:c r="K1605" s="10" t="n">
        <x:v>0.1</x:v>
      </x:c>
      <x:c r="L1605" s="11" t="n">
        <x:v>0</x:v>
      </x:c>
      <x:c r="M1605" s="9" t="n">
        <x:f>IF(D1605="Completed",I1605*J1605,0)</x:f>
        <x:v>1136</x:v>
      </x:c>
      <x:c r="N1605" s="9" t="n">
        <x:f>M1605*K1605</x:f>
        <x:v>113.60000000000001</x:v>
      </x:c>
      <x:c r="O1605" s="9" t="n">
        <x:f>M1605-N1605</x:f>
        <x:v>1022.4</x:v>
      </x:c>
      <x:c r="P1605" s="9" t="n">
        <x:f>IF(D1605="Completed",L1605*J1605*(1-K1605),0)</x:f>
        <x:v>0</x:v>
      </x:c>
      <x:c r="Q1605" s="9" t="n">
        <x:f>O1605-P1605</x:f>
        <x:v>1022.4</x:v>
      </x:c>
      <x:c r="R1605" s="11" t="n">
        <x:f>IF(D1605="Completed",I1605,0)</x:f>
        <x:v>4</x:v>
      </x:c>
      <x:c r="S1605" s="11" t="n">
        <x:f>IF(D1605="Completed",L1605,0)</x:f>
        <x:v>0</x:v>
      </x:c>
      <x:c r="T1605" s="8" t="n">
        <x:f>DATE(YEAR(C1605),MONTH(C1605),1)</x:f>
        <x:v>45931</x:v>
      </x:c>
    </x:row>
    <x:row r="1606" ht="22" customHeight="1">
      <x:c r="A1606" s="2" t="str">
        <x:v>L001602</x:v>
      </x:c>
      <x:c r="B1606" s="2" t="str">
        <x:v>O00645</x:v>
      </x:c>
      <x:c r="C1606" s="7" t="n">
        <x:v>45948</x:v>
      </x:c>
      <x:c r="D1606" s="2" t="str">
        <x:v>Completed</x:v>
      </x:c>
      <x:c r="E1606" s="2" t="str">
        <x:v>North</x:v>
      </x:c>
      <x:c r="F1606" s="2" t="str">
        <x:v>Store</x:v>
      </x:c>
      <x:c r="G1606" s="2" t="str">
        <x:v>Storage</x:v>
      </x:c>
      <x:c r="H1606" s="2" t="str">
        <x:v>Shelf 015</x:v>
      </x:c>
      <x:c r="I1606" s="11" t="n">
        <x:v>5</x:v>
      </x:c>
      <x:c r="J1606" s="9" t="n">
        <x:v>254</x:v>
      </x:c>
      <x:c r="K1606" s="10" t="n">
        <x:v>0.05</x:v>
      </x:c>
      <x:c r="L1606" s="11" t="n">
        <x:v>0</x:v>
      </x:c>
      <x:c r="M1606" s="9" t="n">
        <x:f>IF(D1606="Completed",I1606*J1606,0)</x:f>
        <x:v>1270</x:v>
      </x:c>
      <x:c r="N1606" s="9" t="n">
        <x:f>M1606*K1606</x:f>
        <x:v>63.5</x:v>
      </x:c>
      <x:c r="O1606" s="9" t="n">
        <x:f>M1606-N1606</x:f>
        <x:v>1206.5</x:v>
      </x:c>
      <x:c r="P1606" s="9" t="n">
        <x:f>IF(D1606="Completed",L1606*J1606*(1-K1606),0)</x:f>
        <x:v>0</x:v>
      </x:c>
      <x:c r="Q1606" s="9" t="n">
        <x:f>O1606-P1606</x:f>
        <x:v>1206.5</x:v>
      </x:c>
      <x:c r="R1606" s="11" t="n">
        <x:f>IF(D1606="Completed",I1606,0)</x:f>
        <x:v>5</x:v>
      </x:c>
      <x:c r="S1606" s="11" t="n">
        <x:f>IF(D1606="Completed",L1606,0)</x:f>
        <x:v>0</x:v>
      </x:c>
      <x:c r="T1606" s="8" t="n">
        <x:f>DATE(YEAR(C1606),MONTH(C1606),1)</x:f>
        <x:v>45931</x:v>
      </x:c>
    </x:row>
    <x:row r="1607" ht="22" customHeight="1">
      <x:c r="A1607" s="2" t="str">
        <x:v>L001603</x:v>
      </x:c>
      <x:c r="B1607" s="2" t="str">
        <x:v>O00646</x:v>
      </x:c>
      <x:c r="C1607" s="7" t="n">
        <x:v>45885</x:v>
      </x:c>
      <x:c r="D1607" s="2" t="str">
        <x:v>Completed</x:v>
      </x:c>
      <x:c r="E1607" s="2" t="str">
        <x:v>East</x:v>
      </x:c>
      <x:c r="F1607" s="2" t="str">
        <x:v>Online</x:v>
      </x:c>
      <x:c r="G1607" s="2" t="str">
        <x:v>Storage</x:v>
      </x:c>
      <x:c r="H1607" s="2" t="str">
        <x:v>Shelf 007</x:v>
      </x:c>
      <x:c r="I1607" s="11" t="n">
        <x:v>5</x:v>
      </x:c>
      <x:c r="J1607" s="9" t="n">
        <x:v>35</x:v>
      </x:c>
      <x:c r="K1607" s="10" t="n">
        <x:v>0.05</x:v>
      </x:c>
      <x:c r="L1607" s="11" t="n">
        <x:v>0</x:v>
      </x:c>
      <x:c r="M1607" s="9" t="n">
        <x:f>IF(D1607="Completed",I1607*J1607,0)</x:f>
        <x:v>175</x:v>
      </x:c>
      <x:c r="N1607" s="9" t="n">
        <x:f>M1607*K1607</x:f>
        <x:v>8.75</x:v>
      </x:c>
      <x:c r="O1607" s="9" t="n">
        <x:f>M1607-N1607</x:f>
        <x:v>166.25</x:v>
      </x:c>
      <x:c r="P1607" s="9" t="n">
        <x:f>IF(D1607="Completed",L1607*J1607*(1-K1607),0)</x:f>
        <x:v>0</x:v>
      </x:c>
      <x:c r="Q1607" s="9" t="n">
        <x:f>O1607-P1607</x:f>
        <x:v>166.25</x:v>
      </x:c>
      <x:c r="R1607" s="11" t="n">
        <x:f>IF(D1607="Completed",I1607,0)</x:f>
        <x:v>5</x:v>
      </x:c>
      <x:c r="S1607" s="11" t="n">
        <x:f>IF(D1607="Completed",L1607,0)</x:f>
        <x:v>0</x:v>
      </x:c>
      <x:c r="T1607" s="8" t="n">
        <x:f>DATE(YEAR(C1607),MONTH(C1607),1)</x:f>
        <x:v>45870</x:v>
      </x:c>
    </x:row>
    <x:row r="1608" ht="22" customHeight="1">
      <x:c r="A1608" s="2" t="str">
        <x:v>L001604</x:v>
      </x:c>
      <x:c r="B1608" s="2" t="str">
        <x:v>O00647</x:v>
      </x:c>
      <x:c r="C1608" s="7" t="n">
        <x:v>45721</x:v>
      </x:c>
      <x:c r="D1608" s="2" t="str">
        <x:v>Completed</x:v>
      </x:c>
      <x:c r="E1608" s="2" t="str">
        <x:v>South</x:v>
      </x:c>
      <x:c r="F1608" s="2" t="str">
        <x:v>Store</x:v>
      </x:c>
      <x:c r="G1608" s="2" t="str">
        <x:v>Storage</x:v>
      </x:c>
      <x:c r="H1608" s="2" t="str">
        <x:v>Shelf 007</x:v>
      </x:c>
      <x:c r="I1608" s="11" t="n">
        <x:v>4</x:v>
      </x:c>
      <x:c r="J1608" s="9" t="n">
        <x:v>35</x:v>
      </x:c>
      <x:c r="K1608" s="10" t="n">
        <x:v>0.05</x:v>
      </x:c>
      <x:c r="L1608" s="11" t="n">
        <x:v>0</x:v>
      </x:c>
      <x:c r="M1608" s="9" t="n">
        <x:f>IF(D1608="Completed",I1608*J1608,0)</x:f>
        <x:v>140</x:v>
      </x:c>
      <x:c r="N1608" s="9" t="n">
        <x:f>M1608*K1608</x:f>
        <x:v>7</x:v>
      </x:c>
      <x:c r="O1608" s="9" t="n">
        <x:f>M1608-N1608</x:f>
        <x:v>133</x:v>
      </x:c>
      <x:c r="P1608" s="9" t="n">
        <x:f>IF(D1608="Completed",L1608*J1608*(1-K1608),0)</x:f>
        <x:v>0</x:v>
      </x:c>
      <x:c r="Q1608" s="9" t="n">
        <x:f>O1608-P1608</x:f>
        <x:v>133</x:v>
      </x:c>
      <x:c r="R1608" s="11" t="n">
        <x:f>IF(D1608="Completed",I1608,0)</x:f>
        <x:v>4</x:v>
      </x:c>
      <x:c r="S1608" s="11" t="n">
        <x:f>IF(D1608="Completed",L1608,0)</x:f>
        <x:v>0</x:v>
      </x:c>
      <x:c r="T1608" s="8" t="n">
        <x:f>DATE(YEAR(C1608),MONTH(C1608),1)</x:f>
        <x:v>45717</x:v>
      </x:c>
    </x:row>
    <x:row r="1609" ht="22" customHeight="1">
      <x:c r="A1609" s="2" t="str">
        <x:v>L001605</x:v>
      </x:c>
      <x:c r="B1609" s="2" t="str">
        <x:v>O00647</x:v>
      </x:c>
      <x:c r="C1609" s="7" t="n">
        <x:v>45721</x:v>
      </x:c>
      <x:c r="D1609" s="2" t="str">
        <x:v>Completed</x:v>
      </x:c>
      <x:c r="E1609" s="2" t="str">
        <x:v>South</x:v>
      </x:c>
      <x:c r="F1609" s="2" t="str">
        <x:v>Store</x:v>
      </x:c>
      <x:c r="G1609" s="2" t="str">
        <x:v>Storage</x:v>
      </x:c>
      <x:c r="H1609" s="2" t="str">
        <x:v>Shelf 015</x:v>
      </x:c>
      <x:c r="I1609" s="11" t="n">
        <x:v>5</x:v>
      </x:c>
      <x:c r="J1609" s="9" t="n">
        <x:v>254</x:v>
      </x:c>
      <x:c r="K1609" s="10" t="n">
        <x:v>0.2</x:v>
      </x:c>
      <x:c r="L1609" s="11" t="n">
        <x:v>0</x:v>
      </x:c>
      <x:c r="M1609" s="9" t="n">
        <x:f>IF(D1609="Completed",I1609*J1609,0)</x:f>
        <x:v>1270</x:v>
      </x:c>
      <x:c r="N1609" s="9" t="n">
        <x:f>M1609*K1609</x:f>
        <x:v>254</x:v>
      </x:c>
      <x:c r="O1609" s="9" t="n">
        <x:f>M1609-N1609</x:f>
        <x:v>1016</x:v>
      </x:c>
      <x:c r="P1609" s="9" t="n">
        <x:f>IF(D1609="Completed",L1609*J1609*(1-K1609),0)</x:f>
        <x:v>0</x:v>
      </x:c>
      <x:c r="Q1609" s="9" t="n">
        <x:f>O1609-P1609</x:f>
        <x:v>1016</x:v>
      </x:c>
      <x:c r="R1609" s="11" t="n">
        <x:f>IF(D1609="Completed",I1609,0)</x:f>
        <x:v>5</x:v>
      </x:c>
      <x:c r="S1609" s="11" t="n">
        <x:f>IF(D1609="Completed",L1609,0)</x:f>
        <x:v>0</x:v>
      </x:c>
      <x:c r="T1609" s="8" t="n">
        <x:f>DATE(YEAR(C1609),MONTH(C1609),1)</x:f>
        <x:v>45717</x:v>
      </x:c>
    </x:row>
    <x:row r="1610" ht="22" customHeight="1">
      <x:c r="A1610" s="2" t="str">
        <x:v>L001606</x:v>
      </x:c>
      <x:c r="B1610" s="2" t="str">
        <x:v>O00647</x:v>
      </x:c>
      <x:c r="C1610" s="7" t="n">
        <x:v>45721</x:v>
      </x:c>
      <x:c r="D1610" s="2" t="str">
        <x:v>Completed</x:v>
      </x:c>
      <x:c r="E1610" s="2" t="str">
        <x:v>South</x:v>
      </x:c>
      <x:c r="F1610" s="2" t="str">
        <x:v>Store</x:v>
      </x:c>
      <x:c r="G1610" s="2" t="str">
        <x:v>Lighting</x:v>
      </x:c>
      <x:c r="H1610" s="2" t="str">
        <x:v>Lamp 005</x:v>
      </x:c>
      <x:c r="I1610" s="11" t="n">
        <x:v>3</x:v>
      </x:c>
      <x:c r="J1610" s="9" t="n">
        <x:v>65</x:v>
      </x:c>
      <x:c r="K1610" s="10" t="n">
        <x:v>0.05</x:v>
      </x:c>
      <x:c r="L1610" s="11" t="n">
        <x:v>0</x:v>
      </x:c>
      <x:c r="M1610" s="9" t="n">
        <x:f>IF(D1610="Completed",I1610*J1610,0)</x:f>
        <x:v>195</x:v>
      </x:c>
      <x:c r="N1610" s="9" t="n">
        <x:f>M1610*K1610</x:f>
        <x:v>9.75</x:v>
      </x:c>
      <x:c r="O1610" s="9" t="n">
        <x:f>M1610-N1610</x:f>
        <x:v>185.25</x:v>
      </x:c>
      <x:c r="P1610" s="9" t="n">
        <x:f>IF(D1610="Completed",L1610*J1610*(1-K1610),0)</x:f>
        <x:v>0</x:v>
      </x:c>
      <x:c r="Q1610" s="9" t="n">
        <x:f>O1610-P1610</x:f>
        <x:v>185.25</x:v>
      </x:c>
      <x:c r="R1610" s="11" t="n">
        <x:f>IF(D1610="Completed",I1610,0)</x:f>
        <x:v>3</x:v>
      </x:c>
      <x:c r="S1610" s="11" t="n">
        <x:f>IF(D1610="Completed",L1610,0)</x:f>
        <x:v>0</x:v>
      </x:c>
      <x:c r="T1610" s="8" t="n">
        <x:f>DATE(YEAR(C1610),MONTH(C1610),1)</x:f>
        <x:v>45717</x:v>
      </x:c>
    </x:row>
    <x:row r="1611" ht="22" customHeight="1">
      <x:c r="A1611" s="2" t="str">
        <x:v>L001607</x:v>
      </x:c>
      <x:c r="B1611" s="2" t="str">
        <x:v>O00648</x:v>
      </x:c>
      <x:c r="C1611" s="7" t="n">
        <x:v>45685</x:v>
      </x:c>
      <x:c r="D1611" s="2" t="str">
        <x:v>Completed</x:v>
      </x:c>
      <x:c r="E1611" s="2" t="str">
        <x:v>North</x:v>
      </x:c>
      <x:c r="F1611" s="2" t="str">
        <x:v>Online</x:v>
      </x:c>
      <x:c r="G1611" s="2" t="str">
        <x:v>Furniture</x:v>
      </x:c>
      <x:c r="H1611" s="2" t="str">
        <x:v>Desk 004</x:v>
      </x:c>
      <x:c r="I1611" s="11" t="n">
        <x:v>1</x:v>
      </x:c>
      <x:c r="J1611" s="9" t="n">
        <x:v>123</x:v>
      </x:c>
      <x:c r="K1611" s="10" t="n">
        <x:v>0.1</x:v>
      </x:c>
      <x:c r="L1611" s="11" t="n">
        <x:v>0</x:v>
      </x:c>
      <x:c r="M1611" s="9" t="n">
        <x:f>IF(D1611="Completed",I1611*J1611,0)</x:f>
        <x:v>123</x:v>
      </x:c>
      <x:c r="N1611" s="9" t="n">
        <x:f>M1611*K1611</x:f>
        <x:v>12.3</x:v>
      </x:c>
      <x:c r="O1611" s="9" t="n">
        <x:f>M1611-N1611</x:f>
        <x:v>110.7</x:v>
      </x:c>
      <x:c r="P1611" s="9" t="n">
        <x:f>IF(D1611="Completed",L1611*J1611*(1-K1611),0)</x:f>
        <x:v>0</x:v>
      </x:c>
      <x:c r="Q1611" s="9" t="n">
        <x:f>O1611-P1611</x:f>
        <x:v>110.7</x:v>
      </x:c>
      <x:c r="R1611" s="11" t="n">
        <x:f>IF(D1611="Completed",I1611,0)</x:f>
        <x:v>1</x:v>
      </x:c>
      <x:c r="S1611" s="11" t="n">
        <x:f>IF(D1611="Completed",L1611,0)</x:f>
        <x:v>0</x:v>
      </x:c>
      <x:c r="T1611" s="8" t="n">
        <x:f>DATE(YEAR(C1611),MONTH(C1611),1)</x:f>
        <x:v>45658</x:v>
      </x:c>
    </x:row>
    <x:row r="1612" ht="22" customHeight="1">
      <x:c r="A1612" s="2" t="str">
        <x:v>L001608</x:v>
      </x:c>
      <x:c r="B1612" s="2" t="str">
        <x:v>O00648</x:v>
      </x:c>
      <x:c r="C1612" s="7" t="n">
        <x:v>45685</x:v>
      </x:c>
      <x:c r="D1612" s="2" t="str">
        <x:v>Completed</x:v>
      </x:c>
      <x:c r="E1612" s="2" t="str">
        <x:v>North</x:v>
      </x:c>
      <x:c r="F1612" s="2" t="str">
        <x:v>Online</x:v>
      </x:c>
      <x:c r="G1612" s="2" t="str">
        <x:v>Furniture</x:v>
      </x:c>
      <x:c r="H1612" s="2" t="str">
        <x:v>Desk 012</x:v>
      </x:c>
      <x:c r="I1612" s="11" t="n">
        <x:v>5</x:v>
      </x:c>
      <x:c r="J1612" s="9" t="n">
        <x:v>134</x:v>
      </x:c>
      <x:c r="K1612" s="10" t="n">
        <x:v>0.2</x:v>
      </x:c>
      <x:c r="L1612" s="11" t="n">
        <x:v>0</x:v>
      </x:c>
      <x:c r="M1612" s="9" t="n">
        <x:f>IF(D1612="Completed",I1612*J1612,0)</x:f>
        <x:v>670</x:v>
      </x:c>
      <x:c r="N1612" s="9" t="n">
        <x:f>M1612*K1612</x:f>
        <x:v>134</x:v>
      </x:c>
      <x:c r="O1612" s="9" t="n">
        <x:f>M1612-N1612</x:f>
        <x:v>536</x:v>
      </x:c>
      <x:c r="P1612" s="9" t="n">
        <x:f>IF(D1612="Completed",L1612*J1612*(1-K1612),0)</x:f>
        <x:v>0</x:v>
      </x:c>
      <x:c r="Q1612" s="9" t="n">
        <x:f>O1612-P1612</x:f>
        <x:v>536</x:v>
      </x:c>
      <x:c r="R1612" s="11" t="n">
        <x:f>IF(D1612="Completed",I1612,0)</x:f>
        <x:v>5</x:v>
      </x:c>
      <x:c r="S1612" s="11" t="n">
        <x:f>IF(D1612="Completed",L1612,0)</x:f>
        <x:v>0</x:v>
      </x:c>
      <x:c r="T1612" s="8" t="n">
        <x:f>DATE(YEAR(C1612),MONTH(C1612),1)</x:f>
        <x:v>45658</x:v>
      </x:c>
    </x:row>
    <x:row r="1613" ht="22" customHeight="1">
      <x:c r="A1613" s="2" t="str">
        <x:v>L001609</x:v>
      </x:c>
      <x:c r="B1613" s="2" t="str">
        <x:v>O00649</x:v>
      </x:c>
      <x:c r="C1613" s="7" t="n">
        <x:v>45682</x:v>
      </x:c>
      <x:c r="D1613" s="2" t="str">
        <x:v>Completed</x:v>
      </x:c>
      <x:c r="E1613" s="2" t="str">
        <x:v>West</x:v>
      </x:c>
      <x:c r="F1613" s="2" t="str">
        <x:v>Store</x:v>
      </x:c>
      <x:c r="G1613" s="2" t="str">
        <x:v>Furniture</x:v>
      </x:c>
      <x:c r="H1613" s="2" t="str">
        <x:v>Desk 004</x:v>
      </x:c>
      <x:c r="I1613" s="11" t="n">
        <x:v>3</x:v>
      </x:c>
      <x:c r="J1613" s="9" t="n">
        <x:v>123</x:v>
      </x:c>
      <x:c r="K1613" s="10" t="n">
        <x:v>0.2</x:v>
      </x:c>
      <x:c r="L1613" s="11" t="n">
        <x:v>0</x:v>
      </x:c>
      <x:c r="M1613" s="9" t="n">
        <x:f>IF(D1613="Completed",I1613*J1613,0)</x:f>
        <x:v>369</x:v>
      </x:c>
      <x:c r="N1613" s="9" t="n">
        <x:f>M1613*K1613</x:f>
        <x:v>73.8</x:v>
      </x:c>
      <x:c r="O1613" s="9" t="n">
        <x:f>M1613-N1613</x:f>
        <x:v>295.2</x:v>
      </x:c>
      <x:c r="P1613" s="9" t="n">
        <x:f>IF(D1613="Completed",L1613*J1613*(1-K1613),0)</x:f>
        <x:v>0</x:v>
      </x:c>
      <x:c r="Q1613" s="9" t="n">
        <x:f>O1613-P1613</x:f>
        <x:v>295.2</x:v>
      </x:c>
      <x:c r="R1613" s="11" t="n">
        <x:f>IF(D1613="Completed",I1613,0)</x:f>
        <x:v>3</x:v>
      </x:c>
      <x:c r="S1613" s="11" t="n">
        <x:f>IF(D1613="Completed",L1613,0)</x:f>
        <x:v>0</x:v>
      </x:c>
      <x:c r="T1613" s="8" t="n">
        <x:f>DATE(YEAR(C1613),MONTH(C1613),1)</x:f>
        <x:v>45658</x:v>
      </x:c>
    </x:row>
    <x:row r="1614" ht="22" customHeight="1">
      <x:c r="A1614" s="2" t="str">
        <x:v>L001610</x:v>
      </x:c>
      <x:c r="B1614" s="2" t="str">
        <x:v>O00649</x:v>
      </x:c>
      <x:c r="C1614" s="7" t="n">
        <x:v>45682</x:v>
      </x:c>
      <x:c r="D1614" s="2" t="str">
        <x:v>Completed</x:v>
      </x:c>
      <x:c r="E1614" s="2" t="str">
        <x:v>West</x:v>
      </x:c>
      <x:c r="F1614" s="2" t="str">
        <x:v>Store</x:v>
      </x:c>
      <x:c r="G1614" s="2" t="str">
        <x:v>Furniture</x:v>
      </x:c>
      <x:c r="H1614" s="2" t="str">
        <x:v>Chair 014</x:v>
      </x:c>
      <x:c r="I1614" s="11" t="n">
        <x:v>4</x:v>
      </x:c>
      <x:c r="J1614" s="9" t="n">
        <x:v>294</x:v>
      </x:c>
      <x:c r="K1614" s="10" t="n">
        <x:v>0.2</x:v>
      </x:c>
      <x:c r="L1614" s="11" t="n">
        <x:v>0</x:v>
      </x:c>
      <x:c r="M1614" s="9" t="n">
        <x:f>IF(D1614="Completed",I1614*J1614,0)</x:f>
        <x:v>1176</x:v>
      </x:c>
      <x:c r="N1614" s="9" t="n">
        <x:f>M1614*K1614</x:f>
        <x:v>235.20000000000002</x:v>
      </x:c>
      <x:c r="O1614" s="9" t="n">
        <x:f>M1614-N1614</x:f>
        <x:v>940.8</x:v>
      </x:c>
      <x:c r="P1614" s="9" t="n">
        <x:f>IF(D1614="Completed",L1614*J1614*(1-K1614),0)</x:f>
        <x:v>0</x:v>
      </x:c>
      <x:c r="Q1614" s="9" t="n">
        <x:f>O1614-P1614</x:f>
        <x:v>940.8</x:v>
      </x:c>
      <x:c r="R1614" s="11" t="n">
        <x:f>IF(D1614="Completed",I1614,0)</x:f>
        <x:v>4</x:v>
      </x:c>
      <x:c r="S1614" s="11" t="n">
        <x:f>IF(D1614="Completed",L1614,0)</x:f>
        <x:v>0</x:v>
      </x:c>
      <x:c r="T1614" s="8" t="n">
        <x:f>DATE(YEAR(C1614),MONTH(C1614),1)</x:f>
        <x:v>45658</x:v>
      </x:c>
    </x:row>
    <x:row r="1615" ht="22" customHeight="1">
      <x:c r="A1615" s="2" t="str">
        <x:v>L001611</x:v>
      </x:c>
      <x:c r="B1615" s="2" t="str">
        <x:v>O00649</x:v>
      </x:c>
      <x:c r="C1615" s="7" t="n">
        <x:v>45682</x:v>
      </x:c>
      <x:c r="D1615" s="2" t="str">
        <x:v>Completed</x:v>
      </x:c>
      <x:c r="E1615" s="2" t="str">
        <x:v>West</x:v>
      </x:c>
      <x:c r="F1615" s="2" t="str">
        <x:v>Store</x:v>
      </x:c>
      <x:c r="G1615" s="2" t="str">
        <x:v>Furniture</x:v>
      </x:c>
      <x:c r="H1615" s="2" t="str">
        <x:v>Chair 002</x:v>
      </x:c>
      <x:c r="I1615" s="11" t="n">
        <x:v>2</x:v>
      </x:c>
      <x:c r="J1615" s="9" t="n">
        <x:v>284</x:v>
      </x:c>
      <x:c r="K1615" s="10" t="n">
        <x:v>0.05</x:v>
      </x:c>
      <x:c r="L1615" s="11" t="n">
        <x:v>0</x:v>
      </x:c>
      <x:c r="M1615" s="9" t="n">
        <x:f>IF(D1615="Completed",I1615*J1615,0)</x:f>
        <x:v>568</x:v>
      </x:c>
      <x:c r="N1615" s="9" t="n">
        <x:f>M1615*K1615</x:f>
        <x:v>28.400000000000002</x:v>
      </x:c>
      <x:c r="O1615" s="9" t="n">
        <x:f>M1615-N1615</x:f>
        <x:v>539.6</x:v>
      </x:c>
      <x:c r="P1615" s="9" t="n">
        <x:f>IF(D1615="Completed",L1615*J1615*(1-K1615),0)</x:f>
        <x:v>0</x:v>
      </x:c>
      <x:c r="Q1615" s="9" t="n">
        <x:f>O1615-P1615</x:f>
        <x:v>539.6</x:v>
      </x:c>
      <x:c r="R1615" s="11" t="n">
        <x:f>IF(D1615="Completed",I1615,0)</x:f>
        <x:v>2</x:v>
      </x:c>
      <x:c r="S1615" s="11" t="n">
        <x:f>IF(D1615="Completed",L1615,0)</x:f>
        <x:v>0</x:v>
      </x:c>
      <x:c r="T1615" s="8" t="n">
        <x:f>DATE(YEAR(C1615),MONTH(C1615),1)</x:f>
        <x:v>45658</x:v>
      </x:c>
    </x:row>
    <x:row r="1616" ht="22" customHeight="1">
      <x:c r="A1616" s="2" t="str">
        <x:v>L001612</x:v>
      </x:c>
      <x:c r="B1616" s="2" t="str">
        <x:v>O00650</x:v>
      </x:c>
      <x:c r="C1616" s="7" t="n">
        <x:v>45895</x:v>
      </x:c>
      <x:c r="D1616" s="2" t="str">
        <x:v>Completed</x:v>
      </x:c>
      <x:c r="E1616" s="2" t="str">
        <x:v>West</x:v>
      </x:c>
      <x:c r="F1616" s="2" t="str">
        <x:v>Store</x:v>
      </x:c>
      <x:c r="G1616" s="2" t="str">
        <x:v>Furniture</x:v>
      </x:c>
      <x:c r="H1616" s="2" t="str">
        <x:v>Chair 002</x:v>
      </x:c>
      <x:c r="I1616" s="11" t="n">
        <x:v>2</x:v>
      </x:c>
      <x:c r="J1616" s="9" t="n">
        <x:v>284</x:v>
      </x:c>
      <x:c r="K1616" s="10" t="n">
        <x:v>0.05</x:v>
      </x:c>
      <x:c r="L1616" s="11" t="n">
        <x:v>0</x:v>
      </x:c>
      <x:c r="M1616" s="9" t="n">
        <x:f>IF(D1616="Completed",I1616*J1616,0)</x:f>
        <x:v>568</x:v>
      </x:c>
      <x:c r="N1616" s="9" t="n">
        <x:f>M1616*K1616</x:f>
        <x:v>28.400000000000002</x:v>
      </x:c>
      <x:c r="O1616" s="9" t="n">
        <x:f>M1616-N1616</x:f>
        <x:v>539.6</x:v>
      </x:c>
      <x:c r="P1616" s="9" t="n">
        <x:f>IF(D1616="Completed",L1616*J1616*(1-K1616),0)</x:f>
        <x:v>0</x:v>
      </x:c>
      <x:c r="Q1616" s="9" t="n">
        <x:f>O1616-P1616</x:f>
        <x:v>539.6</x:v>
      </x:c>
      <x:c r="R1616" s="11" t="n">
        <x:f>IF(D1616="Completed",I1616,0)</x:f>
        <x:v>2</x:v>
      </x:c>
      <x:c r="S1616" s="11" t="n">
        <x:f>IF(D1616="Completed",L1616,0)</x:f>
        <x:v>0</x:v>
      </x:c>
      <x:c r="T1616" s="8" t="n">
        <x:f>DATE(YEAR(C1616),MONTH(C1616),1)</x:f>
        <x:v>45870</x:v>
      </x:c>
    </x:row>
    <x:row r="1617" ht="22" customHeight="1">
      <x:c r="A1617" s="2" t="str">
        <x:v>L001613</x:v>
      </x:c>
      <x:c r="B1617" s="2" t="str">
        <x:v>O00650</x:v>
      </x:c>
      <x:c r="C1617" s="7" t="n">
        <x:v>45895</x:v>
      </x:c>
      <x:c r="D1617" s="2" t="str">
        <x:v>Completed</x:v>
      </x:c>
      <x:c r="E1617" s="2" t="str">
        <x:v>West</x:v>
      </x:c>
      <x:c r="F1617" s="2" t="str">
        <x:v>Store</x:v>
      </x:c>
      <x:c r="G1617" s="2" t="str">
        <x:v>Furniture</x:v>
      </x:c>
      <x:c r="H1617" s="2" t="str">
        <x:v>Desk 012</x:v>
      </x:c>
      <x:c r="I1617" s="11" t="n">
        <x:v>3</x:v>
      </x:c>
      <x:c r="J1617" s="9" t="n">
        <x:v>134</x:v>
      </x:c>
      <x:c r="K1617" s="10" t="n">
        <x:v>0.2</x:v>
      </x:c>
      <x:c r="L1617" s="11" t="n">
        <x:v>0</x:v>
      </x:c>
      <x:c r="M1617" s="9" t="n">
        <x:f>IF(D1617="Completed",I1617*J1617,0)</x:f>
        <x:v>402</x:v>
      </x:c>
      <x:c r="N1617" s="9" t="n">
        <x:f>M1617*K1617</x:f>
        <x:v>80.4</x:v>
      </x:c>
      <x:c r="O1617" s="9" t="n">
        <x:f>M1617-N1617</x:f>
        <x:v>321.6</x:v>
      </x:c>
      <x:c r="P1617" s="9" t="n">
        <x:f>IF(D1617="Completed",L1617*J1617*(1-K1617),0)</x:f>
        <x:v>0</x:v>
      </x:c>
      <x:c r="Q1617" s="9" t="n">
        <x:f>O1617-P1617</x:f>
        <x:v>321.6</x:v>
      </x:c>
      <x:c r="R1617" s="11" t="n">
        <x:f>IF(D1617="Completed",I1617,0)</x:f>
        <x:v>3</x:v>
      </x:c>
      <x:c r="S1617" s="11" t="n">
        <x:f>IF(D1617="Completed",L1617,0)</x:f>
        <x:v>0</x:v>
      </x:c>
      <x:c r="T1617" s="8" t="n">
        <x:f>DATE(YEAR(C1617),MONTH(C1617),1)</x:f>
        <x:v>45870</x:v>
      </x:c>
    </x:row>
    <x:row r="1618" ht="22" customHeight="1">
      <x:c r="A1618" s="2" t="str">
        <x:v>L001614</x:v>
      </x:c>
      <x:c r="B1618" s="2" t="str">
        <x:v>O00651</x:v>
      </x:c>
      <x:c r="C1618" s="7" t="n">
        <x:v>45895</x:v>
      </x:c>
      <x:c r="D1618" s="2" t="str">
        <x:v>Completed</x:v>
      </x:c>
      <x:c r="E1618" s="2" t="str">
        <x:v>East</x:v>
      </x:c>
      <x:c r="F1618" s="2" t="str">
        <x:v>Online</x:v>
      </x:c>
      <x:c r="G1618" s="2" t="str">
        <x:v>Storage</x:v>
      </x:c>
      <x:c r="H1618" s="2" t="str">
        <x:v>Shelf 003</x:v>
      </x:c>
      <x:c r="I1618" s="11" t="n">
        <x:v>5</x:v>
      </x:c>
      <x:c r="J1618" s="9" t="n">
        <x:v>199</x:v>
      </x:c>
      <x:c r="K1618" s="10" t="n">
        <x:v>0</x:v>
      </x:c>
      <x:c r="L1618" s="11" t="n">
        <x:v>0</x:v>
      </x:c>
      <x:c r="M1618" s="9" t="n">
        <x:f>IF(D1618="Completed",I1618*J1618,0)</x:f>
        <x:v>995</x:v>
      </x:c>
      <x:c r="N1618" s="9" t="n">
        <x:f>M1618*K1618</x:f>
        <x:v>0</x:v>
      </x:c>
      <x:c r="O1618" s="9" t="n">
        <x:f>M1618-N1618</x:f>
        <x:v>995</x:v>
      </x:c>
      <x:c r="P1618" s="9" t="n">
        <x:f>IF(D1618="Completed",L1618*J1618*(1-K1618),0)</x:f>
        <x:v>0</x:v>
      </x:c>
      <x:c r="Q1618" s="9" t="n">
        <x:f>O1618-P1618</x:f>
        <x:v>995</x:v>
      </x:c>
      <x:c r="R1618" s="11" t="n">
        <x:f>IF(D1618="Completed",I1618,0)</x:f>
        <x:v>5</x:v>
      </x:c>
      <x:c r="S1618" s="11" t="n">
        <x:f>IF(D1618="Completed",L1618,0)</x:f>
        <x:v>0</x:v>
      </x:c>
      <x:c r="T1618" s="8" t="n">
        <x:f>DATE(YEAR(C1618),MONTH(C1618),1)</x:f>
        <x:v>45870</x:v>
      </x:c>
    </x:row>
    <x:row r="1619" ht="22" customHeight="1">
      <x:c r="A1619" s="2" t="str">
        <x:v>L001615</x:v>
      </x:c>
      <x:c r="B1619" s="2" t="str">
        <x:v>O00652</x:v>
      </x:c>
      <x:c r="C1619" s="7" t="n">
        <x:v>45902</x:v>
      </x:c>
      <x:c r="D1619" s="2" t="str">
        <x:v>Completed</x:v>
      </x:c>
      <x:c r="E1619" s="2" t="str">
        <x:v>North</x:v>
      </x:c>
      <x:c r="F1619" s="2" t="str">
        <x:v>Store</x:v>
      </x:c>
      <x:c r="G1619" s="2" t="str">
        <x:v>Furniture</x:v>
      </x:c>
      <x:c r="H1619" s="2" t="str">
        <x:v>Chair 010</x:v>
      </x:c>
      <x:c r="I1619" s="11" t="n">
        <x:v>3</x:v>
      </x:c>
      <x:c r="J1619" s="9" t="n">
        <x:v>211</x:v>
      </x:c>
      <x:c r="K1619" s="10" t="n">
        <x:v>0.05</x:v>
      </x:c>
      <x:c r="L1619" s="11" t="n">
        <x:v>3</x:v>
      </x:c>
      <x:c r="M1619" s="9" t="n">
        <x:f>IF(D1619="Completed",I1619*J1619,0)</x:f>
        <x:v>633</x:v>
      </x:c>
      <x:c r="N1619" s="9" t="n">
        <x:f>M1619*K1619</x:f>
        <x:v>31.650000000000002</x:v>
      </x:c>
      <x:c r="O1619" s="9" t="n">
        <x:f>M1619-N1619</x:f>
        <x:v>601.35</x:v>
      </x:c>
      <x:c r="P1619" s="9" t="n">
        <x:f>IF(D1619="Completed",L1619*J1619*(1-K1619),0)</x:f>
        <x:v>601.35</x:v>
      </x:c>
      <x:c r="Q1619" s="9" t="n">
        <x:f>O1619-P1619</x:f>
        <x:v>0</x:v>
      </x:c>
      <x:c r="R1619" s="11" t="n">
        <x:f>IF(D1619="Completed",I1619,0)</x:f>
        <x:v>3</x:v>
      </x:c>
      <x:c r="S1619" s="11" t="n">
        <x:f>IF(D1619="Completed",L1619,0)</x:f>
        <x:v>3</x:v>
      </x:c>
      <x:c r="T1619" s="8" t="n">
        <x:f>DATE(YEAR(C1619),MONTH(C1619),1)</x:f>
        <x:v>45901</x:v>
      </x:c>
    </x:row>
    <x:row r="1620" ht="22" customHeight="1">
      <x:c r="A1620" s="2" t="str">
        <x:v>L001616</x:v>
      </x:c>
      <x:c r="B1620" s="2" t="str">
        <x:v>O00653</x:v>
      </x:c>
      <x:c r="C1620" s="7" t="n">
        <x:v>45916</x:v>
      </x:c>
      <x:c r="D1620" s="2" t="str">
        <x:v>Completed</x:v>
      </x:c>
      <x:c r="E1620" s="2" t="str">
        <x:v>South</x:v>
      </x:c>
      <x:c r="F1620" s="2" t="str">
        <x:v>Online</x:v>
      </x:c>
      <x:c r="G1620" s="2" t="str">
        <x:v>Lighting</x:v>
      </x:c>
      <x:c r="H1620" s="2" t="str">
        <x:v>Lamp 017</x:v>
      </x:c>
      <x:c r="I1620" s="11" t="n">
        <x:v>2</x:v>
      </x:c>
      <x:c r="J1620" s="9" t="n">
        <x:v>300</x:v>
      </x:c>
      <x:c r="K1620" s="10" t="n">
        <x:v>0.1</x:v>
      </x:c>
      <x:c r="L1620" s="11" t="n">
        <x:v>0</x:v>
      </x:c>
      <x:c r="M1620" s="9" t="n">
        <x:f>IF(D1620="Completed",I1620*J1620,0)</x:f>
        <x:v>600</x:v>
      </x:c>
      <x:c r="N1620" s="9" t="n">
        <x:f>M1620*K1620</x:f>
        <x:v>60</x:v>
      </x:c>
      <x:c r="O1620" s="9" t="n">
        <x:f>M1620-N1620</x:f>
        <x:v>540</x:v>
      </x:c>
      <x:c r="P1620" s="9" t="n">
        <x:f>IF(D1620="Completed",L1620*J1620*(1-K1620),0)</x:f>
        <x:v>0</x:v>
      </x:c>
      <x:c r="Q1620" s="9" t="n">
        <x:f>O1620-P1620</x:f>
        <x:v>540</x:v>
      </x:c>
      <x:c r="R1620" s="11" t="n">
        <x:f>IF(D1620="Completed",I1620,0)</x:f>
        <x:v>2</x:v>
      </x:c>
      <x:c r="S1620" s="11" t="n">
        <x:f>IF(D1620="Completed",L1620,0)</x:f>
        <x:v>0</x:v>
      </x:c>
      <x:c r="T1620" s="8" t="n">
        <x:f>DATE(YEAR(C1620),MONTH(C1620),1)</x:f>
        <x:v>45901</x:v>
      </x:c>
    </x:row>
    <x:row r="1621" ht="22" customHeight="1">
      <x:c r="A1621" s="2" t="str">
        <x:v>L001617</x:v>
      </x:c>
      <x:c r="B1621" s="2" t="str">
        <x:v>O00653</x:v>
      </x:c>
      <x:c r="C1621" s="7" t="n">
        <x:v>45916</x:v>
      </x:c>
      <x:c r="D1621" s="2" t="str">
        <x:v>Completed</x:v>
      </x:c>
      <x:c r="E1621" s="2" t="str">
        <x:v>South</x:v>
      </x:c>
      <x:c r="F1621" s="2" t="str">
        <x:v>Online</x:v>
      </x:c>
      <x:c r="G1621" s="2" t="str">
        <x:v>Furniture</x:v>
      </x:c>
      <x:c r="H1621" s="2" t="str">
        <x:v>Chair 010</x:v>
      </x:c>
      <x:c r="I1621" s="11" t="n">
        <x:v>3</x:v>
      </x:c>
      <x:c r="J1621" s="9" t="n">
        <x:v>211</x:v>
      </x:c>
      <x:c r="K1621" s="10" t="n">
        <x:v>0</x:v>
      </x:c>
      <x:c r="L1621" s="11" t="n">
        <x:v>0</x:v>
      </x:c>
      <x:c r="M1621" s="9" t="n">
        <x:f>IF(D1621="Completed",I1621*J1621,0)</x:f>
        <x:v>633</x:v>
      </x:c>
      <x:c r="N1621" s="9" t="n">
        <x:f>M1621*K1621</x:f>
        <x:v>0</x:v>
      </x:c>
      <x:c r="O1621" s="9" t="n">
        <x:f>M1621-N1621</x:f>
        <x:v>633</x:v>
      </x:c>
      <x:c r="P1621" s="9" t="n">
        <x:f>IF(D1621="Completed",L1621*J1621*(1-K1621),0)</x:f>
        <x:v>0</x:v>
      </x:c>
      <x:c r="Q1621" s="9" t="n">
        <x:f>O1621-P1621</x:f>
        <x:v>633</x:v>
      </x:c>
      <x:c r="R1621" s="11" t="n">
        <x:f>IF(D1621="Completed",I1621,0)</x:f>
        <x:v>3</x:v>
      </x:c>
      <x:c r="S1621" s="11" t="n">
        <x:f>IF(D1621="Completed",L1621,0)</x:f>
        <x:v>0</x:v>
      </x:c>
      <x:c r="T1621" s="8" t="n">
        <x:f>DATE(YEAR(C1621),MONTH(C1621),1)</x:f>
        <x:v>45901</x:v>
      </x:c>
    </x:row>
    <x:row r="1622" ht="22" customHeight="1">
      <x:c r="A1622" s="2" t="str">
        <x:v>L001618</x:v>
      </x:c>
      <x:c r="B1622" s="2" t="str">
        <x:v>O00654</x:v>
      </x:c>
      <x:c r="C1622" s="7" t="n">
        <x:v>45833</x:v>
      </x:c>
      <x:c r="D1622" s="2" t="str">
        <x:v>Completed</x:v>
      </x:c>
      <x:c r="E1622" s="2" t="str">
        <x:v>West</x:v>
      </x:c>
      <x:c r="F1622" s="2" t="str">
        <x:v>Online</x:v>
      </x:c>
      <x:c r="G1622" s="2" t="str">
        <x:v>Storage</x:v>
      </x:c>
      <x:c r="H1622" s="2" t="str">
        <x:v>Shelf 023</x:v>
      </x:c>
      <x:c r="I1622" s="11" t="n">
        <x:v>5</x:v>
      </x:c>
      <x:c r="J1622" s="9" t="n">
        <x:v>68</x:v>
      </x:c>
      <x:c r="K1622" s="10" t="n">
        <x:v>0.05</x:v>
      </x:c>
      <x:c r="L1622" s="11" t="n">
        <x:v>0</x:v>
      </x:c>
      <x:c r="M1622" s="9" t="n">
        <x:f>IF(D1622="Completed",I1622*J1622,0)</x:f>
        <x:v>340</x:v>
      </x:c>
      <x:c r="N1622" s="9" t="n">
        <x:f>M1622*K1622</x:f>
        <x:v>17</x:v>
      </x:c>
      <x:c r="O1622" s="9" t="n">
        <x:f>M1622-N1622</x:f>
        <x:v>323</x:v>
      </x:c>
      <x:c r="P1622" s="9" t="n">
        <x:f>IF(D1622="Completed",L1622*J1622*(1-K1622),0)</x:f>
        <x:v>0</x:v>
      </x:c>
      <x:c r="Q1622" s="9" t="n">
        <x:f>O1622-P1622</x:f>
        <x:v>323</x:v>
      </x:c>
      <x:c r="R1622" s="11" t="n">
        <x:f>IF(D1622="Completed",I1622,0)</x:f>
        <x:v>5</x:v>
      </x:c>
      <x:c r="S1622" s="11" t="n">
        <x:f>IF(D1622="Completed",L1622,0)</x:f>
        <x:v>0</x:v>
      </x:c>
      <x:c r="T1622" s="8" t="n">
        <x:f>DATE(YEAR(C1622),MONTH(C1622),1)</x:f>
        <x:v>45809</x:v>
      </x:c>
    </x:row>
    <x:row r="1623" ht="22" customHeight="1">
      <x:c r="A1623" s="2" t="str">
        <x:v>L001619</x:v>
      </x:c>
      <x:c r="B1623" s="2" t="str">
        <x:v>O00654</x:v>
      </x:c>
      <x:c r="C1623" s="7" t="n">
        <x:v>45833</x:v>
      </x:c>
      <x:c r="D1623" s="2" t="str">
        <x:v>Completed</x:v>
      </x:c>
      <x:c r="E1623" s="2" t="str">
        <x:v>West</x:v>
      </x:c>
      <x:c r="F1623" s="2" t="str">
        <x:v>Online</x:v>
      </x:c>
      <x:c r="G1623" s="2" t="str">
        <x:v>Furniture</x:v>
      </x:c>
      <x:c r="H1623" s="2" t="str">
        <x:v>Desk 016</x:v>
      </x:c>
      <x:c r="I1623" s="11" t="n">
        <x:v>5</x:v>
      </x:c>
      <x:c r="J1623" s="9" t="n">
        <x:v>231</x:v>
      </x:c>
      <x:c r="K1623" s="10" t="n">
        <x:v>0.1</x:v>
      </x:c>
      <x:c r="L1623" s="11" t="n">
        <x:v>0</x:v>
      </x:c>
      <x:c r="M1623" s="9" t="n">
        <x:f>IF(D1623="Completed",I1623*J1623,0)</x:f>
        <x:v>1155</x:v>
      </x:c>
      <x:c r="N1623" s="9" t="n">
        <x:f>M1623*K1623</x:f>
        <x:v>115.5</x:v>
      </x:c>
      <x:c r="O1623" s="9" t="n">
        <x:f>M1623-N1623</x:f>
        <x:v>1039.5</x:v>
      </x:c>
      <x:c r="P1623" s="9" t="n">
        <x:f>IF(D1623="Completed",L1623*J1623*(1-K1623),0)</x:f>
        <x:v>0</x:v>
      </x:c>
      <x:c r="Q1623" s="9" t="n">
        <x:f>O1623-P1623</x:f>
        <x:v>1039.5</x:v>
      </x:c>
      <x:c r="R1623" s="11" t="n">
        <x:f>IF(D1623="Completed",I1623,0)</x:f>
        <x:v>5</x:v>
      </x:c>
      <x:c r="S1623" s="11" t="n">
        <x:f>IF(D1623="Completed",L1623,0)</x:f>
        <x:v>0</x:v>
      </x:c>
      <x:c r="T1623" s="8" t="n">
        <x:f>DATE(YEAR(C1623),MONTH(C1623),1)</x:f>
        <x:v>45809</x:v>
      </x:c>
    </x:row>
    <x:row r="1624" ht="22" customHeight="1">
      <x:c r="A1624" s="2" t="str">
        <x:v>L001620</x:v>
      </x:c>
      <x:c r="B1624" s="2" t="str">
        <x:v>O00654</x:v>
      </x:c>
      <x:c r="C1624" s="7" t="n">
        <x:v>45833</x:v>
      </x:c>
      <x:c r="D1624" s="2" t="str">
        <x:v>Completed</x:v>
      </x:c>
      <x:c r="E1624" s="2" t="str">
        <x:v>West</x:v>
      </x:c>
      <x:c r="F1624" s="2" t="str">
        <x:v>Online</x:v>
      </x:c>
      <x:c r="G1624" s="2" t="str">
        <x:v>Furniture</x:v>
      </x:c>
      <x:c r="H1624" s="2" t="str">
        <x:v>Desk 020</x:v>
      </x:c>
      <x:c r="I1624" s="11" t="n">
        <x:v>3</x:v>
      </x:c>
      <x:c r="J1624" s="9" t="n">
        <x:v>189</x:v>
      </x:c>
      <x:c r="K1624" s="10" t="n">
        <x:v>0.2</x:v>
      </x:c>
      <x:c r="L1624" s="11" t="n">
        <x:v>0</x:v>
      </x:c>
      <x:c r="M1624" s="9" t="n">
        <x:f>IF(D1624="Completed",I1624*J1624,0)</x:f>
        <x:v>567</x:v>
      </x:c>
      <x:c r="N1624" s="9" t="n">
        <x:f>M1624*K1624</x:f>
        <x:v>113.4</x:v>
      </x:c>
      <x:c r="O1624" s="9" t="n">
        <x:f>M1624-N1624</x:f>
        <x:v>453.6</x:v>
      </x:c>
      <x:c r="P1624" s="9" t="n">
        <x:f>IF(D1624="Completed",L1624*J1624*(1-K1624),0)</x:f>
        <x:v>0</x:v>
      </x:c>
      <x:c r="Q1624" s="9" t="n">
        <x:f>O1624-P1624</x:f>
        <x:v>453.6</x:v>
      </x:c>
      <x:c r="R1624" s="11" t="n">
        <x:f>IF(D1624="Completed",I1624,0)</x:f>
        <x:v>3</x:v>
      </x:c>
      <x:c r="S1624" s="11" t="n">
        <x:f>IF(D1624="Completed",L1624,0)</x:f>
        <x:v>0</x:v>
      </x:c>
      <x:c r="T1624" s="8" t="n">
        <x:f>DATE(YEAR(C1624),MONTH(C1624),1)</x:f>
        <x:v>45809</x:v>
      </x:c>
    </x:row>
    <x:row r="1625" ht="22" customHeight="1">
      <x:c r="A1625" s="2" t="str">
        <x:v>L001621</x:v>
      </x:c>
      <x:c r="B1625" s="2" t="str">
        <x:v>O00655</x:v>
      </x:c>
      <x:c r="C1625" s="7" t="n">
        <x:v>45957</x:v>
      </x:c>
      <x:c r="D1625" s="2" t="str">
        <x:v>Completed</x:v>
      </x:c>
      <x:c r="E1625" s="2" t="str">
        <x:v>South</x:v>
      </x:c>
      <x:c r="F1625" s="2" t="str">
        <x:v>Store</x:v>
      </x:c>
      <x:c r="G1625" s="2" t="str">
        <x:v>Furniture</x:v>
      </x:c>
      <x:c r="H1625" s="2" t="str">
        <x:v>Desk 020</x:v>
      </x:c>
      <x:c r="I1625" s="11" t="n">
        <x:v>3</x:v>
      </x:c>
      <x:c r="J1625" s="9" t="n">
        <x:v>189</x:v>
      </x:c>
      <x:c r="K1625" s="10" t="n">
        <x:v>0.05</x:v>
      </x:c>
      <x:c r="L1625" s="11" t="n">
        <x:v>0</x:v>
      </x:c>
      <x:c r="M1625" s="9" t="n">
        <x:f>IF(D1625="Completed",I1625*J1625,0)</x:f>
        <x:v>567</x:v>
      </x:c>
      <x:c r="N1625" s="9" t="n">
        <x:f>M1625*K1625</x:f>
        <x:v>28.35</x:v>
      </x:c>
      <x:c r="O1625" s="9" t="n">
        <x:f>M1625-N1625</x:f>
        <x:v>538.65</x:v>
      </x:c>
      <x:c r="P1625" s="9" t="n">
        <x:f>IF(D1625="Completed",L1625*J1625*(1-K1625),0)</x:f>
        <x:v>0</x:v>
      </x:c>
      <x:c r="Q1625" s="9" t="n">
        <x:f>O1625-P1625</x:f>
        <x:v>538.65</x:v>
      </x:c>
      <x:c r="R1625" s="11" t="n">
        <x:f>IF(D1625="Completed",I1625,0)</x:f>
        <x:v>3</x:v>
      </x:c>
      <x:c r="S1625" s="11" t="n">
        <x:f>IF(D1625="Completed",L1625,0)</x:f>
        <x:v>0</x:v>
      </x:c>
      <x:c r="T1625" s="8" t="n">
        <x:f>DATE(YEAR(C1625),MONTH(C1625),1)</x:f>
        <x:v>45931</x:v>
      </x:c>
    </x:row>
    <x:row r="1626" ht="22" customHeight="1">
      <x:c r="A1626" s="2" t="str">
        <x:v>L001622</x:v>
      </x:c>
      <x:c r="B1626" s="2" t="str">
        <x:v>O00655</x:v>
      </x:c>
      <x:c r="C1626" s="7" t="n">
        <x:v>45957</x:v>
      </x:c>
      <x:c r="D1626" s="2" t="str">
        <x:v>Completed</x:v>
      </x:c>
      <x:c r="E1626" s="2" t="str">
        <x:v>South</x:v>
      </x:c>
      <x:c r="F1626" s="2" t="str">
        <x:v>Store</x:v>
      </x:c>
      <x:c r="G1626" s="2" t="str">
        <x:v>Lighting</x:v>
      </x:c>
      <x:c r="H1626" s="2" t="str">
        <x:v>Lamp 001</x:v>
      </x:c>
      <x:c r="I1626" s="11" t="n">
        <x:v>2</x:v>
      </x:c>
      <x:c r="J1626" s="9" t="n">
        <x:v>122</x:v>
      </x:c>
      <x:c r="K1626" s="10" t="n">
        <x:v>0</x:v>
      </x:c>
      <x:c r="L1626" s="11" t="n">
        <x:v>0</x:v>
      </x:c>
      <x:c r="M1626" s="9" t="n">
        <x:f>IF(D1626="Completed",I1626*J1626,0)</x:f>
        <x:v>244</x:v>
      </x:c>
      <x:c r="N1626" s="9" t="n">
        <x:f>M1626*K1626</x:f>
        <x:v>0</x:v>
      </x:c>
      <x:c r="O1626" s="9" t="n">
        <x:f>M1626-N1626</x:f>
        <x:v>244</x:v>
      </x:c>
      <x:c r="P1626" s="9" t="n">
        <x:f>IF(D1626="Completed",L1626*J1626*(1-K1626),0)</x:f>
        <x:v>0</x:v>
      </x:c>
      <x:c r="Q1626" s="9" t="n">
        <x:f>O1626-P1626</x:f>
        <x:v>244</x:v>
      </x:c>
      <x:c r="R1626" s="11" t="n">
        <x:f>IF(D1626="Completed",I1626,0)</x:f>
        <x:v>2</x:v>
      </x:c>
      <x:c r="S1626" s="11" t="n">
        <x:f>IF(D1626="Completed",L1626,0)</x:f>
        <x:v>0</x:v>
      </x:c>
      <x:c r="T1626" s="8" t="n">
        <x:f>DATE(YEAR(C1626),MONTH(C1626),1)</x:f>
        <x:v>45931</x:v>
      </x:c>
    </x:row>
    <x:row r="1627" ht="22" customHeight="1">
      <x:c r="A1627" s="2" t="str">
        <x:v>L001623</x:v>
      </x:c>
      <x:c r="B1627" s="2" t="str">
        <x:v>O00656</x:v>
      </x:c>
      <x:c r="C1627" s="7" t="n">
        <x:v>45682</x:v>
      </x:c>
      <x:c r="D1627" s="2" t="str">
        <x:v>Completed</x:v>
      </x:c>
      <x:c r="E1627" s="2" t="str">
        <x:v>West</x:v>
      </x:c>
      <x:c r="F1627" s="2" t="str">
        <x:v>Store</x:v>
      </x:c>
      <x:c r="G1627" s="2" t="str">
        <x:v>Furniture</x:v>
      </x:c>
      <x:c r="H1627" s="2" t="str">
        <x:v>Desk 012</x:v>
      </x:c>
      <x:c r="I1627" s="11" t="n">
        <x:v>4</x:v>
      </x:c>
      <x:c r="J1627" s="9" t="n">
        <x:v>134</x:v>
      </x:c>
      <x:c r="K1627" s="10" t="n">
        <x:v>0.05</x:v>
      </x:c>
      <x:c r="L1627" s="11" t="n">
        <x:v>0</x:v>
      </x:c>
      <x:c r="M1627" s="9" t="n">
        <x:f>IF(D1627="Completed",I1627*J1627,0)</x:f>
        <x:v>536</x:v>
      </x:c>
      <x:c r="N1627" s="9" t="n">
        <x:f>M1627*K1627</x:f>
        <x:v>26.8</x:v>
      </x:c>
      <x:c r="O1627" s="9" t="n">
        <x:f>M1627-N1627</x:f>
        <x:v>509.2</x:v>
      </x:c>
      <x:c r="P1627" s="9" t="n">
        <x:f>IF(D1627="Completed",L1627*J1627*(1-K1627),0)</x:f>
        <x:v>0</x:v>
      </x:c>
      <x:c r="Q1627" s="9" t="n">
        <x:f>O1627-P1627</x:f>
        <x:v>509.2</x:v>
      </x:c>
      <x:c r="R1627" s="11" t="n">
        <x:f>IF(D1627="Completed",I1627,0)</x:f>
        <x:v>4</x:v>
      </x:c>
      <x:c r="S1627" s="11" t="n">
        <x:f>IF(D1627="Completed",L1627,0)</x:f>
        <x:v>0</x:v>
      </x:c>
      <x:c r="T1627" s="8" t="n">
        <x:f>DATE(YEAR(C1627),MONTH(C1627),1)</x:f>
        <x:v>45658</x:v>
      </x:c>
    </x:row>
    <x:row r="1628" ht="22" customHeight="1">
      <x:c r="A1628" s="2" t="str">
        <x:v>L001624</x:v>
      </x:c>
      <x:c r="B1628" s="2" t="str">
        <x:v>O00657</x:v>
      </x:c>
      <x:c r="C1628" s="7" t="n">
        <x:v>45945</x:v>
      </x:c>
      <x:c r="D1628" s="2" t="str">
        <x:v>Completed</x:v>
      </x:c>
      <x:c r="E1628" s="2" t="str">
        <x:v>East</x:v>
      </x:c>
      <x:c r="F1628" s="2" t="str">
        <x:v>Store</x:v>
      </x:c>
      <x:c r="G1628" s="2" t="str">
        <x:v>Furniture</x:v>
      </x:c>
      <x:c r="H1628" s="2" t="str">
        <x:v>Desk 004</x:v>
      </x:c>
      <x:c r="I1628" s="11" t="n">
        <x:v>2</x:v>
      </x:c>
      <x:c r="J1628" s="9" t="n">
        <x:v>123</x:v>
      </x:c>
      <x:c r="K1628" s="10" t="n">
        <x:v>0.05</x:v>
      </x:c>
      <x:c r="L1628" s="11" t="n">
        <x:v>0</x:v>
      </x:c>
      <x:c r="M1628" s="9" t="n">
        <x:f>IF(D1628="Completed",I1628*J1628,0)</x:f>
        <x:v>246</x:v>
      </x:c>
      <x:c r="N1628" s="9" t="n">
        <x:f>M1628*K1628</x:f>
        <x:v>12.3</x:v>
      </x:c>
      <x:c r="O1628" s="9" t="n">
        <x:f>M1628-N1628</x:f>
        <x:v>233.7</x:v>
      </x:c>
      <x:c r="P1628" s="9" t="n">
        <x:f>IF(D1628="Completed",L1628*J1628*(1-K1628),0)</x:f>
        <x:v>0</x:v>
      </x:c>
      <x:c r="Q1628" s="9" t="n">
        <x:f>O1628-P1628</x:f>
        <x:v>233.7</x:v>
      </x:c>
      <x:c r="R1628" s="11" t="n">
        <x:f>IF(D1628="Completed",I1628,0)</x:f>
        <x:v>2</x:v>
      </x:c>
      <x:c r="S1628" s="11" t="n">
        <x:f>IF(D1628="Completed",L1628,0)</x:f>
        <x:v>0</x:v>
      </x:c>
      <x:c r="T1628" s="8" t="n">
        <x:f>DATE(YEAR(C1628),MONTH(C1628),1)</x:f>
        <x:v>45931</x:v>
      </x:c>
    </x:row>
    <x:row r="1629" ht="22" customHeight="1">
      <x:c r="A1629" s="2" t="str">
        <x:v>L001625</x:v>
      </x:c>
      <x:c r="B1629" s="2" t="str">
        <x:v>O00658</x:v>
      </x:c>
      <x:c r="C1629" s="7" t="n">
        <x:v>45687</x:v>
      </x:c>
      <x:c r="D1629" s="2" t="str">
        <x:v>Cancelled</x:v>
      </x:c>
      <x:c r="E1629" s="2" t="str">
        <x:v>West</x:v>
      </x:c>
      <x:c r="F1629" s="2" t="str">
        <x:v>Online</x:v>
      </x:c>
      <x:c r="G1629" s="2" t="str">
        <x:v>Lighting</x:v>
      </x:c>
      <x:c r="H1629" s="2" t="str">
        <x:v>Lamp 009</x:v>
      </x:c>
      <x:c r="I1629" s="11" t="n">
        <x:v>1</x:v>
      </x:c>
      <x:c r="J1629" s="9" t="n">
        <x:v>93</x:v>
      </x:c>
      <x:c r="K1629" s="10" t="n">
        <x:v>0.1</x:v>
      </x:c>
      <x:c r="L1629" s="11" t="n">
        <x:v>0</x:v>
      </x:c>
      <x:c r="M1629" s="9" t="n">
        <x:f>IF(D1629="Completed",I1629*J1629,0)</x:f>
        <x:v>0</x:v>
      </x:c>
      <x:c r="N1629" s="9" t="n">
        <x:f>M1629*K1629</x:f>
        <x:v>0</x:v>
      </x:c>
      <x:c r="O1629" s="9" t="n">
        <x:f>M1629-N1629</x:f>
        <x:v>0</x:v>
      </x:c>
      <x:c r="P1629" s="9" t="n">
        <x:f>IF(D1629="Completed",L1629*J1629*(1-K1629),0)</x:f>
        <x:v>0</x:v>
      </x:c>
      <x:c r="Q1629" s="9" t="n">
        <x:f>O1629-P1629</x:f>
        <x:v>0</x:v>
      </x:c>
      <x:c r="R1629" s="11" t="n">
        <x:f>IF(D1629="Completed",I1629,0)</x:f>
        <x:v>0</x:v>
      </x:c>
      <x:c r="S1629" s="11" t="n">
        <x:f>IF(D1629="Completed",L1629,0)</x:f>
        <x:v>0</x:v>
      </x:c>
      <x:c r="T1629" s="8" t="n">
        <x:f>DATE(YEAR(C1629),MONTH(C1629),1)</x:f>
        <x:v>45658</x:v>
      </x:c>
    </x:row>
    <x:row r="1630" ht="22" customHeight="1">
      <x:c r="A1630" s="2" t="str">
        <x:v>L001626</x:v>
      </x:c>
      <x:c r="B1630" s="2" t="str">
        <x:v>O00658</x:v>
      </x:c>
      <x:c r="C1630" s="7" t="n">
        <x:v>45687</x:v>
      </x:c>
      <x:c r="D1630" s="2" t="str">
        <x:v>Cancelled</x:v>
      </x:c>
      <x:c r="E1630" s="2" t="str">
        <x:v>West</x:v>
      </x:c>
      <x:c r="F1630" s="2" t="str">
        <x:v>Online</x:v>
      </x:c>
      <x:c r="G1630" s="2" t="str">
        <x:v>Furniture</x:v>
      </x:c>
      <x:c r="H1630" s="2" t="str">
        <x:v>Chair 002</x:v>
      </x:c>
      <x:c r="I1630" s="11" t="n">
        <x:v>4</x:v>
      </x:c>
      <x:c r="J1630" s="9" t="n">
        <x:v>284</x:v>
      </x:c>
      <x:c r="K1630" s="10" t="n">
        <x:v>0.1</x:v>
      </x:c>
      <x:c r="L1630" s="11" t="n">
        <x:v>0</x:v>
      </x:c>
      <x:c r="M1630" s="9" t="n">
        <x:f>IF(D1630="Completed",I1630*J1630,0)</x:f>
        <x:v>0</x:v>
      </x:c>
      <x:c r="N1630" s="9" t="n">
        <x:f>M1630*K1630</x:f>
        <x:v>0</x:v>
      </x:c>
      <x:c r="O1630" s="9" t="n">
        <x:f>M1630-N1630</x:f>
        <x:v>0</x:v>
      </x:c>
      <x:c r="P1630" s="9" t="n">
        <x:f>IF(D1630="Completed",L1630*J1630*(1-K1630),0)</x:f>
        <x:v>0</x:v>
      </x:c>
      <x:c r="Q1630" s="9" t="n">
        <x:f>O1630-P1630</x:f>
        <x:v>0</x:v>
      </x:c>
      <x:c r="R1630" s="11" t="n">
        <x:f>IF(D1630="Completed",I1630,0)</x:f>
        <x:v>0</x:v>
      </x:c>
      <x:c r="S1630" s="11" t="n">
        <x:f>IF(D1630="Completed",L1630,0)</x:f>
        <x:v>0</x:v>
      </x:c>
      <x:c r="T1630" s="8" t="n">
        <x:f>DATE(YEAR(C1630),MONTH(C1630),1)</x:f>
        <x:v>45658</x:v>
      </x:c>
    </x:row>
    <x:row r="1631" ht="22" customHeight="1">
      <x:c r="A1631" s="2" t="str">
        <x:v>L001627</x:v>
      </x:c>
      <x:c r="B1631" s="2" t="str">
        <x:v>O00658</x:v>
      </x:c>
      <x:c r="C1631" s="7" t="n">
        <x:v>45687</x:v>
      </x:c>
      <x:c r="D1631" s="2" t="str">
        <x:v>Cancelled</x:v>
      </x:c>
      <x:c r="E1631" s="2" t="str">
        <x:v>West</x:v>
      </x:c>
      <x:c r="F1631" s="2" t="str">
        <x:v>Online</x:v>
      </x:c>
      <x:c r="G1631" s="2" t="str">
        <x:v>Furniture</x:v>
      </x:c>
      <x:c r="H1631" s="2" t="str">
        <x:v>Chair 002</x:v>
      </x:c>
      <x:c r="I1631" s="11" t="n">
        <x:v>5</x:v>
      </x:c>
      <x:c r="J1631" s="9" t="n">
        <x:v>284</x:v>
      </x:c>
      <x:c r="K1631" s="10" t="n">
        <x:v>0.2</x:v>
      </x:c>
      <x:c r="L1631" s="11" t="n">
        <x:v>0</x:v>
      </x:c>
      <x:c r="M1631" s="9" t="n">
        <x:f>IF(D1631="Completed",I1631*J1631,0)</x:f>
        <x:v>0</x:v>
      </x:c>
      <x:c r="N1631" s="9" t="n">
        <x:f>M1631*K1631</x:f>
        <x:v>0</x:v>
      </x:c>
      <x:c r="O1631" s="9" t="n">
        <x:f>M1631-N1631</x:f>
        <x:v>0</x:v>
      </x:c>
      <x:c r="P1631" s="9" t="n">
        <x:f>IF(D1631="Completed",L1631*J1631*(1-K1631),0)</x:f>
        <x:v>0</x:v>
      </x:c>
      <x:c r="Q1631" s="9" t="n">
        <x:f>O1631-P1631</x:f>
        <x:v>0</x:v>
      </x:c>
      <x:c r="R1631" s="11" t="n">
        <x:f>IF(D1631="Completed",I1631,0)</x:f>
        <x:v>0</x:v>
      </x:c>
      <x:c r="S1631" s="11" t="n">
        <x:f>IF(D1631="Completed",L1631,0)</x:f>
        <x:v>0</x:v>
      </x:c>
      <x:c r="T1631" s="8" t="n">
        <x:f>DATE(YEAR(C1631),MONTH(C1631),1)</x:f>
        <x:v>45658</x:v>
      </x:c>
    </x:row>
    <x:row r="1632" ht="22" customHeight="1">
      <x:c r="A1632" s="2" t="str">
        <x:v>L001628</x:v>
      </x:c>
      <x:c r="B1632" s="2" t="str">
        <x:v>O00658</x:v>
      </x:c>
      <x:c r="C1632" s="7" t="n">
        <x:v>45687</x:v>
      </x:c>
      <x:c r="D1632" s="2" t="str">
        <x:v>Cancelled</x:v>
      </x:c>
      <x:c r="E1632" s="2" t="str">
        <x:v>West</x:v>
      </x:c>
      <x:c r="F1632" s="2" t="str">
        <x:v>Online</x:v>
      </x:c>
      <x:c r="G1632" s="2" t="str">
        <x:v>Storage</x:v>
      </x:c>
      <x:c r="H1632" s="2" t="str">
        <x:v>Shelf 011</x:v>
      </x:c>
      <x:c r="I1632" s="11" t="n">
        <x:v>5</x:v>
      </x:c>
      <x:c r="J1632" s="9" t="n">
        <x:v>80</x:v>
      </x:c>
      <x:c r="K1632" s="10" t="n">
        <x:v>0</x:v>
      </x:c>
      <x:c r="L1632" s="11" t="n">
        <x:v>0</x:v>
      </x:c>
      <x:c r="M1632" s="9" t="n">
        <x:f>IF(D1632="Completed",I1632*J1632,0)</x:f>
        <x:v>0</x:v>
      </x:c>
      <x:c r="N1632" s="9" t="n">
        <x:f>M1632*K1632</x:f>
        <x:v>0</x:v>
      </x:c>
      <x:c r="O1632" s="9" t="n">
        <x:f>M1632-N1632</x:f>
        <x:v>0</x:v>
      </x:c>
      <x:c r="P1632" s="9" t="n">
        <x:f>IF(D1632="Completed",L1632*J1632*(1-K1632),0)</x:f>
        <x:v>0</x:v>
      </x:c>
      <x:c r="Q1632" s="9" t="n">
        <x:f>O1632-P1632</x:f>
        <x:v>0</x:v>
      </x:c>
      <x:c r="R1632" s="11" t="n">
        <x:f>IF(D1632="Completed",I1632,0)</x:f>
        <x:v>0</x:v>
      </x:c>
      <x:c r="S1632" s="11" t="n">
        <x:f>IF(D1632="Completed",L1632,0)</x:f>
        <x:v>0</x:v>
      </x:c>
      <x:c r="T1632" s="8" t="n">
        <x:f>DATE(YEAR(C1632),MONTH(C1632),1)</x:f>
        <x:v>45658</x:v>
      </x:c>
    </x:row>
    <x:row r="1633" ht="22" customHeight="1">
      <x:c r="A1633" s="2" t="str">
        <x:v>L001629</x:v>
      </x:c>
      <x:c r="B1633" s="2" t="str">
        <x:v>O00659</x:v>
      </x:c>
      <x:c r="C1633" s="7" t="n">
        <x:v>45662</x:v>
      </x:c>
      <x:c r="D1633" s="2" t="str">
        <x:v>Completed</x:v>
      </x:c>
      <x:c r="E1633" s="2" t="str">
        <x:v>North</x:v>
      </x:c>
      <x:c r="F1633" s="2" t="str">
        <x:v>Store</x:v>
      </x:c>
      <x:c r="G1633" s="2" t="str">
        <x:v>Furniture</x:v>
      </x:c>
      <x:c r="H1633" s="2" t="str">
        <x:v>Chair 006</x:v>
      </x:c>
      <x:c r="I1633" s="11" t="n">
        <x:v>4</x:v>
      </x:c>
      <x:c r="J1633" s="9" t="n">
        <x:v>196</x:v>
      </x:c>
      <x:c r="K1633" s="10" t="n">
        <x:v>0</x:v>
      </x:c>
      <x:c r="L1633" s="11" t="n">
        <x:v>2</x:v>
      </x:c>
      <x:c r="M1633" s="9" t="n">
        <x:f>IF(D1633="Completed",I1633*J1633,0)</x:f>
        <x:v>784</x:v>
      </x:c>
      <x:c r="N1633" s="9" t="n">
        <x:f>M1633*K1633</x:f>
        <x:v>0</x:v>
      </x:c>
      <x:c r="O1633" s="9" t="n">
        <x:f>M1633-N1633</x:f>
        <x:v>784</x:v>
      </x:c>
      <x:c r="P1633" s="9" t="n">
        <x:f>IF(D1633="Completed",L1633*J1633*(1-K1633),0)</x:f>
        <x:v>392</x:v>
      </x:c>
      <x:c r="Q1633" s="9" t="n">
        <x:f>O1633-P1633</x:f>
        <x:v>392</x:v>
      </x:c>
      <x:c r="R1633" s="11" t="n">
        <x:f>IF(D1633="Completed",I1633,0)</x:f>
        <x:v>4</x:v>
      </x:c>
      <x:c r="S1633" s="11" t="n">
        <x:f>IF(D1633="Completed",L1633,0)</x:f>
        <x:v>2</x:v>
      </x:c>
      <x:c r="T1633" s="8" t="n">
        <x:f>DATE(YEAR(C1633),MONTH(C1633),1)</x:f>
        <x:v>45658</x:v>
      </x:c>
    </x:row>
    <x:row r="1634" ht="22" customHeight="1">
      <x:c r="A1634" s="2" t="str">
        <x:v>L001630</x:v>
      </x:c>
      <x:c r="B1634" s="2" t="str">
        <x:v>O00659</x:v>
      </x:c>
      <x:c r="C1634" s="7" t="n">
        <x:v>45662</x:v>
      </x:c>
      <x:c r="D1634" s="2" t="str">
        <x:v>Completed</x:v>
      </x:c>
      <x:c r="E1634" s="2" t="str">
        <x:v>North</x:v>
      </x:c>
      <x:c r="F1634" s="2" t="str">
        <x:v>Store</x:v>
      </x:c>
      <x:c r="G1634" s="2" t="str">
        <x:v>Storage</x:v>
      </x:c>
      <x:c r="H1634" s="2" t="str">
        <x:v>Shelf 015</x:v>
      </x:c>
      <x:c r="I1634" s="11" t="n">
        <x:v>3</x:v>
      </x:c>
      <x:c r="J1634" s="9" t="n">
        <x:v>254</x:v>
      </x:c>
      <x:c r="K1634" s="10" t="n">
        <x:v>0</x:v>
      </x:c>
      <x:c r="L1634" s="11" t="n">
        <x:v>0</x:v>
      </x:c>
      <x:c r="M1634" s="9" t="n">
        <x:f>IF(D1634="Completed",I1634*J1634,0)</x:f>
        <x:v>762</x:v>
      </x:c>
      <x:c r="N1634" s="9" t="n">
        <x:f>M1634*K1634</x:f>
        <x:v>0</x:v>
      </x:c>
      <x:c r="O1634" s="9" t="n">
        <x:f>M1634-N1634</x:f>
        <x:v>762</x:v>
      </x:c>
      <x:c r="P1634" s="9" t="n">
        <x:f>IF(D1634="Completed",L1634*J1634*(1-K1634),0)</x:f>
        <x:v>0</x:v>
      </x:c>
      <x:c r="Q1634" s="9" t="n">
        <x:f>O1634-P1634</x:f>
        <x:v>762</x:v>
      </x:c>
      <x:c r="R1634" s="11" t="n">
        <x:f>IF(D1634="Completed",I1634,0)</x:f>
        <x:v>3</x:v>
      </x:c>
      <x:c r="S1634" s="11" t="n">
        <x:f>IF(D1634="Completed",L1634,0)</x:f>
        <x:v>0</x:v>
      </x:c>
      <x:c r="T1634" s="8" t="n">
        <x:f>DATE(YEAR(C1634),MONTH(C1634),1)</x:f>
        <x:v>45658</x:v>
      </x:c>
    </x:row>
    <x:row r="1635" ht="22" customHeight="1">
      <x:c r="A1635" s="2" t="str">
        <x:v>L001631</x:v>
      </x:c>
      <x:c r="B1635" s="2" t="str">
        <x:v>O00660</x:v>
      </x:c>
      <x:c r="C1635" s="7" t="n">
        <x:v>46003</x:v>
      </x:c>
      <x:c r="D1635" s="2" t="str">
        <x:v>Cancelled</x:v>
      </x:c>
      <x:c r="E1635" s="2" t="str">
        <x:v>North</x:v>
      </x:c>
      <x:c r="F1635" s="2" t="str">
        <x:v>Online</x:v>
      </x:c>
      <x:c r="G1635" s="2" t="str">
        <x:v>Furniture</x:v>
      </x:c>
      <x:c r="H1635" s="2" t="str">
        <x:v>Desk 004</x:v>
      </x:c>
      <x:c r="I1635" s="11" t="n">
        <x:v>1</x:v>
      </x:c>
      <x:c r="J1635" s="9" t="n">
        <x:v>123</x:v>
      </x:c>
      <x:c r="K1635" s="10" t="n">
        <x:v>0.1</x:v>
      </x:c>
      <x:c r="L1635" s="11" t="n">
        <x:v>0</x:v>
      </x:c>
      <x:c r="M1635" s="9" t="n">
        <x:f>IF(D1635="Completed",I1635*J1635,0)</x:f>
        <x:v>0</x:v>
      </x:c>
      <x:c r="N1635" s="9" t="n">
        <x:f>M1635*K1635</x:f>
        <x:v>0</x:v>
      </x:c>
      <x:c r="O1635" s="9" t="n">
        <x:f>M1635-N1635</x:f>
        <x:v>0</x:v>
      </x:c>
      <x:c r="P1635" s="9" t="n">
        <x:f>IF(D1635="Completed",L1635*J1635*(1-K1635),0)</x:f>
        <x:v>0</x:v>
      </x:c>
      <x:c r="Q1635" s="9" t="n">
        <x:f>O1635-P1635</x:f>
        <x:v>0</x:v>
      </x:c>
      <x:c r="R1635" s="11" t="n">
        <x:f>IF(D1635="Completed",I1635,0)</x:f>
        <x:v>0</x:v>
      </x:c>
      <x:c r="S1635" s="11" t="n">
        <x:f>IF(D1635="Completed",L1635,0)</x:f>
        <x:v>0</x:v>
      </x:c>
      <x:c r="T1635" s="8" t="n">
        <x:f>DATE(YEAR(C1635),MONTH(C1635),1)</x:f>
        <x:v>45992</x:v>
      </x:c>
    </x:row>
    <x:row r="1636" ht="22" customHeight="1">
      <x:c r="A1636" s="2" t="str">
        <x:v>L001632</x:v>
      </x:c>
      <x:c r="B1636" s="2" t="str">
        <x:v>O00661</x:v>
      </x:c>
      <x:c r="C1636" s="7" t="n">
        <x:v>45887</x:v>
      </x:c>
      <x:c r="D1636" s="2" t="str">
        <x:v>Completed</x:v>
      </x:c>
      <x:c r="E1636" s="2" t="str">
        <x:v>West</x:v>
      </x:c>
      <x:c r="F1636" s="2" t="str">
        <x:v>Online</x:v>
      </x:c>
      <x:c r="G1636" s="2" t="str">
        <x:v>Lighting</x:v>
      </x:c>
      <x:c r="H1636" s="2" t="str">
        <x:v>Lamp 017</x:v>
      </x:c>
      <x:c r="I1636" s="11" t="n">
        <x:v>4</x:v>
      </x:c>
      <x:c r="J1636" s="9" t="n">
        <x:v>300</x:v>
      </x:c>
      <x:c r="K1636" s="10" t="n">
        <x:v>0.1</x:v>
      </x:c>
      <x:c r="L1636" s="11" t="n">
        <x:v>0</x:v>
      </x:c>
      <x:c r="M1636" s="9" t="n">
        <x:f>IF(D1636="Completed",I1636*J1636,0)</x:f>
        <x:v>1200</x:v>
      </x:c>
      <x:c r="N1636" s="9" t="n">
        <x:f>M1636*K1636</x:f>
        <x:v>120</x:v>
      </x:c>
      <x:c r="O1636" s="9" t="n">
        <x:f>M1636-N1636</x:f>
        <x:v>1080</x:v>
      </x:c>
      <x:c r="P1636" s="9" t="n">
        <x:f>IF(D1636="Completed",L1636*J1636*(1-K1636),0)</x:f>
        <x:v>0</x:v>
      </x:c>
      <x:c r="Q1636" s="9" t="n">
        <x:f>O1636-P1636</x:f>
        <x:v>1080</x:v>
      </x:c>
      <x:c r="R1636" s="11" t="n">
        <x:f>IF(D1636="Completed",I1636,0)</x:f>
        <x:v>4</x:v>
      </x:c>
      <x:c r="S1636" s="11" t="n">
        <x:f>IF(D1636="Completed",L1636,0)</x:f>
        <x:v>0</x:v>
      </x:c>
      <x:c r="T1636" s="8" t="n">
        <x:f>DATE(YEAR(C1636),MONTH(C1636),1)</x:f>
        <x:v>45870</x:v>
      </x:c>
    </x:row>
    <x:row r="1637" ht="22" customHeight="1">
      <x:c r="A1637" s="2" t="str">
        <x:v>L001633</x:v>
      </x:c>
      <x:c r="B1637" s="2" t="str">
        <x:v>O00661</x:v>
      </x:c>
      <x:c r="C1637" s="7" t="n">
        <x:v>45887</x:v>
      </x:c>
      <x:c r="D1637" s="2" t="str">
        <x:v>Completed</x:v>
      </x:c>
      <x:c r="E1637" s="2" t="str">
        <x:v>West</x:v>
      </x:c>
      <x:c r="F1637" s="2" t="str">
        <x:v>Online</x:v>
      </x:c>
      <x:c r="G1637" s="2" t="str">
        <x:v>Storage</x:v>
      </x:c>
      <x:c r="H1637" s="2" t="str">
        <x:v>Shelf 015</x:v>
      </x:c>
      <x:c r="I1637" s="11" t="n">
        <x:v>4</x:v>
      </x:c>
      <x:c r="J1637" s="9" t="n">
        <x:v>254</x:v>
      </x:c>
      <x:c r="K1637" s="10" t="n">
        <x:v>0</x:v>
      </x:c>
      <x:c r="L1637" s="11" t="n">
        <x:v>0</x:v>
      </x:c>
      <x:c r="M1637" s="9" t="n">
        <x:f>IF(D1637="Completed",I1637*J1637,0)</x:f>
        <x:v>1016</x:v>
      </x:c>
      <x:c r="N1637" s="9" t="n">
        <x:f>M1637*K1637</x:f>
        <x:v>0</x:v>
      </x:c>
      <x:c r="O1637" s="9" t="n">
        <x:f>M1637-N1637</x:f>
        <x:v>1016</x:v>
      </x:c>
      <x:c r="P1637" s="9" t="n">
        <x:f>IF(D1637="Completed",L1637*J1637*(1-K1637),0)</x:f>
        <x:v>0</x:v>
      </x:c>
      <x:c r="Q1637" s="9" t="n">
        <x:f>O1637-P1637</x:f>
        <x:v>1016</x:v>
      </x:c>
      <x:c r="R1637" s="11" t="n">
        <x:f>IF(D1637="Completed",I1637,0)</x:f>
        <x:v>4</x:v>
      </x:c>
      <x:c r="S1637" s="11" t="n">
        <x:f>IF(D1637="Completed",L1637,0)</x:f>
        <x:v>0</x:v>
      </x:c>
      <x:c r="T1637" s="8" t="n">
        <x:f>DATE(YEAR(C1637),MONTH(C1637),1)</x:f>
        <x:v>45870</x:v>
      </x:c>
    </x:row>
    <x:row r="1638" ht="22" customHeight="1">
      <x:c r="A1638" s="2" t="str">
        <x:v>L001634</x:v>
      </x:c>
      <x:c r="B1638" s="2" t="str">
        <x:v>O00661</x:v>
      </x:c>
      <x:c r="C1638" s="7" t="n">
        <x:v>45887</x:v>
      </x:c>
      <x:c r="D1638" s="2" t="str">
        <x:v>Completed</x:v>
      </x:c>
      <x:c r="E1638" s="2" t="str">
        <x:v>West</x:v>
      </x:c>
      <x:c r="F1638" s="2" t="str">
        <x:v>Online</x:v>
      </x:c>
      <x:c r="G1638" s="2" t="str">
        <x:v>Furniture</x:v>
      </x:c>
      <x:c r="H1638" s="2" t="str">
        <x:v>Desk 008</x:v>
      </x:c>
      <x:c r="I1638" s="11" t="n">
        <x:v>2</x:v>
      </x:c>
      <x:c r="J1638" s="9" t="n">
        <x:v>188</x:v>
      </x:c>
      <x:c r="K1638" s="10" t="n">
        <x:v>0</x:v>
      </x:c>
      <x:c r="L1638" s="11" t="n">
        <x:v>1</x:v>
      </x:c>
      <x:c r="M1638" s="9" t="n">
        <x:f>IF(D1638="Completed",I1638*J1638,0)</x:f>
        <x:v>376</x:v>
      </x:c>
      <x:c r="N1638" s="9" t="n">
        <x:f>M1638*K1638</x:f>
        <x:v>0</x:v>
      </x:c>
      <x:c r="O1638" s="9" t="n">
        <x:f>M1638-N1638</x:f>
        <x:v>376</x:v>
      </x:c>
      <x:c r="P1638" s="9" t="n">
        <x:f>IF(D1638="Completed",L1638*J1638*(1-K1638),0)</x:f>
        <x:v>188</x:v>
      </x:c>
      <x:c r="Q1638" s="9" t="n">
        <x:f>O1638-P1638</x:f>
        <x:v>188</x:v>
      </x:c>
      <x:c r="R1638" s="11" t="n">
        <x:f>IF(D1638="Completed",I1638,0)</x:f>
        <x:v>2</x:v>
      </x:c>
      <x:c r="S1638" s="11" t="n">
        <x:f>IF(D1638="Completed",L1638,0)</x:f>
        <x:v>1</x:v>
      </x:c>
      <x:c r="T1638" s="8" t="n">
        <x:f>DATE(YEAR(C1638),MONTH(C1638),1)</x:f>
        <x:v>45870</x:v>
      </x:c>
    </x:row>
    <x:row r="1639" ht="22" customHeight="1">
      <x:c r="A1639" s="2" t="str">
        <x:v>L001635</x:v>
      </x:c>
      <x:c r="B1639" s="2" t="str">
        <x:v>O00662</x:v>
      </x:c>
      <x:c r="C1639" s="7" t="n">
        <x:v>45766</x:v>
      </x:c>
      <x:c r="D1639" s="2" t="str">
        <x:v>Completed</x:v>
      </x:c>
      <x:c r="E1639" s="2" t="str">
        <x:v>North</x:v>
      </x:c>
      <x:c r="F1639" s="2" t="str">
        <x:v>Online</x:v>
      </x:c>
      <x:c r="G1639" s="2" t="str">
        <x:v>Furniture</x:v>
      </x:c>
      <x:c r="H1639" s="2" t="str">
        <x:v>Chair 006</x:v>
      </x:c>
      <x:c r="I1639" s="11" t="n">
        <x:v>4</x:v>
      </x:c>
      <x:c r="J1639" s="9" t="n">
        <x:v>196</x:v>
      </x:c>
      <x:c r="K1639" s="10" t="n">
        <x:v>0.2</x:v>
      </x:c>
      <x:c r="L1639" s="11" t="n">
        <x:v>0</x:v>
      </x:c>
      <x:c r="M1639" s="9" t="n">
        <x:f>IF(D1639="Completed",I1639*J1639,0)</x:f>
        <x:v>784</x:v>
      </x:c>
      <x:c r="N1639" s="9" t="n">
        <x:f>M1639*K1639</x:f>
        <x:v>156.8</x:v>
      </x:c>
      <x:c r="O1639" s="9" t="n">
        <x:f>M1639-N1639</x:f>
        <x:v>627.2</x:v>
      </x:c>
      <x:c r="P1639" s="9" t="n">
        <x:f>IF(D1639="Completed",L1639*J1639*(1-K1639),0)</x:f>
        <x:v>0</x:v>
      </x:c>
      <x:c r="Q1639" s="9" t="n">
        <x:f>O1639-P1639</x:f>
        <x:v>627.2</x:v>
      </x:c>
      <x:c r="R1639" s="11" t="n">
        <x:f>IF(D1639="Completed",I1639,0)</x:f>
        <x:v>4</x:v>
      </x:c>
      <x:c r="S1639" s="11" t="n">
        <x:f>IF(D1639="Completed",L1639,0)</x:f>
        <x:v>0</x:v>
      </x:c>
      <x:c r="T1639" s="8" t="n">
        <x:f>DATE(YEAR(C1639),MONTH(C1639),1)</x:f>
        <x:v>45748</x:v>
      </x:c>
    </x:row>
    <x:row r="1640" ht="22" customHeight="1">
      <x:c r="A1640" s="2" t="str">
        <x:v>L001636</x:v>
      </x:c>
      <x:c r="B1640" s="2" t="str">
        <x:v>O00662</x:v>
      </x:c>
      <x:c r="C1640" s="7" t="n">
        <x:v>45766</x:v>
      </x:c>
      <x:c r="D1640" s="2" t="str">
        <x:v>Completed</x:v>
      </x:c>
      <x:c r="E1640" s="2" t="str">
        <x:v>North</x:v>
      </x:c>
      <x:c r="F1640" s="2" t="str">
        <x:v>Online</x:v>
      </x:c>
      <x:c r="G1640" s="2" t="str">
        <x:v>Storage</x:v>
      </x:c>
      <x:c r="H1640" s="2" t="str">
        <x:v>Shelf 011</x:v>
      </x:c>
      <x:c r="I1640" s="11" t="n">
        <x:v>4</x:v>
      </x:c>
      <x:c r="J1640" s="9" t="n">
        <x:v>80</x:v>
      </x:c>
      <x:c r="K1640" s="10" t="n">
        <x:v>0</x:v>
      </x:c>
      <x:c r="L1640" s="11" t="n">
        <x:v>0</x:v>
      </x:c>
      <x:c r="M1640" s="9" t="n">
        <x:f>IF(D1640="Completed",I1640*J1640,0)</x:f>
        <x:v>320</x:v>
      </x:c>
      <x:c r="N1640" s="9" t="n">
        <x:f>M1640*K1640</x:f>
        <x:v>0</x:v>
      </x:c>
      <x:c r="O1640" s="9" t="n">
        <x:f>M1640-N1640</x:f>
        <x:v>320</x:v>
      </x:c>
      <x:c r="P1640" s="9" t="n">
        <x:f>IF(D1640="Completed",L1640*J1640*(1-K1640),0)</x:f>
        <x:v>0</x:v>
      </x:c>
      <x:c r="Q1640" s="9" t="n">
        <x:f>O1640-P1640</x:f>
        <x:v>320</x:v>
      </x:c>
      <x:c r="R1640" s="11" t="n">
        <x:f>IF(D1640="Completed",I1640,0)</x:f>
        <x:v>4</x:v>
      </x:c>
      <x:c r="S1640" s="11" t="n">
        <x:f>IF(D1640="Completed",L1640,0)</x:f>
        <x:v>0</x:v>
      </x:c>
      <x:c r="T1640" s="8" t="n">
        <x:f>DATE(YEAR(C1640),MONTH(C1640),1)</x:f>
        <x:v>45748</x:v>
      </x:c>
    </x:row>
    <x:row r="1641" ht="22" customHeight="1">
      <x:c r="A1641" s="2" t="str">
        <x:v>L001637</x:v>
      </x:c>
      <x:c r="B1641" s="2" t="str">
        <x:v>O00663</x:v>
      </x:c>
      <x:c r="C1641" s="7" t="n">
        <x:v>45992</x:v>
      </x:c>
      <x:c r="D1641" s="2" t="str">
        <x:v>Completed</x:v>
      </x:c>
      <x:c r="E1641" s="2" t="str">
        <x:v>West</x:v>
      </x:c>
      <x:c r="F1641" s="2" t="str">
        <x:v>Store</x:v>
      </x:c>
      <x:c r="G1641" s="2" t="str">
        <x:v>Furniture</x:v>
      </x:c>
      <x:c r="H1641" s="2" t="str">
        <x:v>Desk 004</x:v>
      </x:c>
      <x:c r="I1641" s="11" t="n">
        <x:v>3</x:v>
      </x:c>
      <x:c r="J1641" s="9" t="n">
        <x:v>123</x:v>
      </x:c>
      <x:c r="K1641" s="10" t="n">
        <x:v>0.2</x:v>
      </x:c>
      <x:c r="L1641" s="11" t="n">
        <x:v>0</x:v>
      </x:c>
      <x:c r="M1641" s="9" t="n">
        <x:f>IF(D1641="Completed",I1641*J1641,0)</x:f>
        <x:v>369</x:v>
      </x:c>
      <x:c r="N1641" s="9" t="n">
        <x:f>M1641*K1641</x:f>
        <x:v>73.8</x:v>
      </x:c>
      <x:c r="O1641" s="9" t="n">
        <x:f>M1641-N1641</x:f>
        <x:v>295.2</x:v>
      </x:c>
      <x:c r="P1641" s="9" t="n">
        <x:f>IF(D1641="Completed",L1641*J1641*(1-K1641),0)</x:f>
        <x:v>0</x:v>
      </x:c>
      <x:c r="Q1641" s="9" t="n">
        <x:f>O1641-P1641</x:f>
        <x:v>295.2</x:v>
      </x:c>
      <x:c r="R1641" s="11" t="n">
        <x:f>IF(D1641="Completed",I1641,0)</x:f>
        <x:v>3</x:v>
      </x:c>
      <x:c r="S1641" s="11" t="n">
        <x:f>IF(D1641="Completed",L1641,0)</x:f>
        <x:v>0</x:v>
      </x:c>
      <x:c r="T1641" s="8" t="n">
        <x:f>DATE(YEAR(C1641),MONTH(C1641),1)</x:f>
        <x:v>45992</x:v>
      </x:c>
    </x:row>
    <x:row r="1642" ht="22" customHeight="1">
      <x:c r="A1642" s="2" t="str">
        <x:v>L001638</x:v>
      </x:c>
      <x:c r="B1642" s="2" t="str">
        <x:v>O00663</x:v>
      </x:c>
      <x:c r="C1642" s="7" t="n">
        <x:v>45992</x:v>
      </x:c>
      <x:c r="D1642" s="2" t="str">
        <x:v>Completed</x:v>
      </x:c>
      <x:c r="E1642" s="2" t="str">
        <x:v>West</x:v>
      </x:c>
      <x:c r="F1642" s="2" t="str">
        <x:v>Store</x:v>
      </x:c>
      <x:c r="G1642" s="2" t="str">
        <x:v>Furniture</x:v>
      </x:c>
      <x:c r="H1642" s="2" t="str">
        <x:v>Desk 008</x:v>
      </x:c>
      <x:c r="I1642" s="11" t="n">
        <x:v>1</x:v>
      </x:c>
      <x:c r="J1642" s="9" t="n">
        <x:v>188</x:v>
      </x:c>
      <x:c r="K1642" s="10" t="n">
        <x:v>0.2</x:v>
      </x:c>
      <x:c r="L1642" s="11" t="n">
        <x:v>0</x:v>
      </x:c>
      <x:c r="M1642" s="9" t="n">
        <x:f>IF(D1642="Completed",I1642*J1642,0)</x:f>
        <x:v>188</x:v>
      </x:c>
      <x:c r="N1642" s="9" t="n">
        <x:f>M1642*K1642</x:f>
        <x:v>37.6</x:v>
      </x:c>
      <x:c r="O1642" s="9" t="n">
        <x:f>M1642-N1642</x:f>
        <x:v>150.4</x:v>
      </x:c>
      <x:c r="P1642" s="9" t="n">
        <x:f>IF(D1642="Completed",L1642*J1642*(1-K1642),0)</x:f>
        <x:v>0</x:v>
      </x:c>
      <x:c r="Q1642" s="9" t="n">
        <x:f>O1642-P1642</x:f>
        <x:v>150.4</x:v>
      </x:c>
      <x:c r="R1642" s="11" t="n">
        <x:f>IF(D1642="Completed",I1642,0)</x:f>
        <x:v>1</x:v>
      </x:c>
      <x:c r="S1642" s="11" t="n">
        <x:f>IF(D1642="Completed",L1642,0)</x:f>
        <x:v>0</x:v>
      </x:c>
      <x:c r="T1642" s="8" t="n">
        <x:f>DATE(YEAR(C1642),MONTH(C1642),1)</x:f>
        <x:v>45992</x:v>
      </x:c>
    </x:row>
    <x:row r="1643" ht="22" customHeight="1">
      <x:c r="A1643" s="2" t="str">
        <x:v>L001639</x:v>
      </x:c>
      <x:c r="B1643" s="2" t="str">
        <x:v>O00663</x:v>
      </x:c>
      <x:c r="C1643" s="7" t="n">
        <x:v>45992</x:v>
      </x:c>
      <x:c r="D1643" s="2" t="str">
        <x:v>Completed</x:v>
      </x:c>
      <x:c r="E1643" s="2" t="str">
        <x:v>West</x:v>
      </x:c>
      <x:c r="F1643" s="2" t="str">
        <x:v>Store</x:v>
      </x:c>
      <x:c r="G1643" s="2" t="str">
        <x:v>Storage</x:v>
      </x:c>
      <x:c r="H1643" s="2" t="str">
        <x:v>Shelf 019</x:v>
      </x:c>
      <x:c r="I1643" s="11" t="n">
        <x:v>5</x:v>
      </x:c>
      <x:c r="J1643" s="9" t="n">
        <x:v>78</x:v>
      </x:c>
      <x:c r="K1643" s="10" t="n">
        <x:v>0</x:v>
      </x:c>
      <x:c r="L1643" s="11" t="n">
        <x:v>0</x:v>
      </x:c>
      <x:c r="M1643" s="9" t="n">
        <x:f>IF(D1643="Completed",I1643*J1643,0)</x:f>
        <x:v>390</x:v>
      </x:c>
      <x:c r="N1643" s="9" t="n">
        <x:f>M1643*K1643</x:f>
        <x:v>0</x:v>
      </x:c>
      <x:c r="O1643" s="9" t="n">
        <x:f>M1643-N1643</x:f>
        <x:v>390</x:v>
      </x:c>
      <x:c r="P1643" s="9" t="n">
        <x:f>IF(D1643="Completed",L1643*J1643*(1-K1643),0)</x:f>
        <x:v>0</x:v>
      </x:c>
      <x:c r="Q1643" s="9" t="n">
        <x:f>O1643-P1643</x:f>
        <x:v>390</x:v>
      </x:c>
      <x:c r="R1643" s="11" t="n">
        <x:f>IF(D1643="Completed",I1643,0)</x:f>
        <x:v>5</x:v>
      </x:c>
      <x:c r="S1643" s="11" t="n">
        <x:f>IF(D1643="Completed",L1643,0)</x:f>
        <x:v>0</x:v>
      </x:c>
      <x:c r="T1643" s="8" t="n">
        <x:f>DATE(YEAR(C1643),MONTH(C1643),1)</x:f>
        <x:v>45992</x:v>
      </x:c>
    </x:row>
    <x:row r="1644" ht="22" customHeight="1">
      <x:c r="A1644" s="2" t="str">
        <x:v>L001640</x:v>
      </x:c>
      <x:c r="B1644" s="2" t="str">
        <x:v>O00664</x:v>
      </x:c>
      <x:c r="C1644" s="7" t="n">
        <x:v>45931</x:v>
      </x:c>
      <x:c r="D1644" s="2" t="str">
        <x:v>Completed</x:v>
      </x:c>
      <x:c r="E1644" s="2" t="str">
        <x:v>East</x:v>
      </x:c>
      <x:c r="F1644" s="2" t="str">
        <x:v>Store</x:v>
      </x:c>
      <x:c r="G1644" s="2" t="str">
        <x:v>Storage</x:v>
      </x:c>
      <x:c r="H1644" s="2" t="str">
        <x:v>Shelf 003</x:v>
      </x:c>
      <x:c r="I1644" s="11" t="n">
        <x:v>4</x:v>
      </x:c>
      <x:c r="J1644" s="9" t="n">
        <x:v>199</x:v>
      </x:c>
      <x:c r="K1644" s="10" t="n">
        <x:v>0.1</x:v>
      </x:c>
      <x:c r="L1644" s="11" t="n">
        <x:v>0</x:v>
      </x:c>
      <x:c r="M1644" s="9" t="n">
        <x:f>IF(D1644="Completed",I1644*J1644,0)</x:f>
        <x:v>796</x:v>
      </x:c>
      <x:c r="N1644" s="9" t="n">
        <x:f>M1644*K1644</x:f>
        <x:v>79.60000000000001</x:v>
      </x:c>
      <x:c r="O1644" s="9" t="n">
        <x:f>M1644-N1644</x:f>
        <x:v>716.4</x:v>
      </x:c>
      <x:c r="P1644" s="9" t="n">
        <x:f>IF(D1644="Completed",L1644*J1644*(1-K1644),0)</x:f>
        <x:v>0</x:v>
      </x:c>
      <x:c r="Q1644" s="9" t="n">
        <x:f>O1644-P1644</x:f>
        <x:v>716.4</x:v>
      </x:c>
      <x:c r="R1644" s="11" t="n">
        <x:f>IF(D1644="Completed",I1644,0)</x:f>
        <x:v>4</x:v>
      </x:c>
      <x:c r="S1644" s="11" t="n">
        <x:f>IF(D1644="Completed",L1644,0)</x:f>
        <x:v>0</x:v>
      </x:c>
      <x:c r="T1644" s="8" t="n">
        <x:f>DATE(YEAR(C1644),MONTH(C1644),1)</x:f>
        <x:v>45931</x:v>
      </x:c>
    </x:row>
    <x:row r="1645" ht="22" customHeight="1">
      <x:c r="A1645" s="2" t="str">
        <x:v>L001641</x:v>
      </x:c>
      <x:c r="B1645" s="2" t="str">
        <x:v>O00665</x:v>
      </x:c>
      <x:c r="C1645" s="7" t="n">
        <x:v>45868</x:v>
      </x:c>
      <x:c r="D1645" s="2" t="str">
        <x:v>Completed</x:v>
      </x:c>
      <x:c r="E1645" s="2" t="str">
        <x:v>West</x:v>
      </x:c>
      <x:c r="F1645" s="2" t="str">
        <x:v>Online</x:v>
      </x:c>
      <x:c r="G1645" s="2" t="str">
        <x:v>Storage</x:v>
      </x:c>
      <x:c r="H1645" s="2" t="str">
        <x:v>Shelf 003</x:v>
      </x:c>
      <x:c r="I1645" s="11" t="n">
        <x:v>4</x:v>
      </x:c>
      <x:c r="J1645" s="9" t="n">
        <x:v>199</x:v>
      </x:c>
      <x:c r="K1645" s="10" t="n">
        <x:v>0.05</x:v>
      </x:c>
      <x:c r="L1645" s="11" t="n">
        <x:v>0</x:v>
      </x:c>
      <x:c r="M1645" s="9" t="n">
        <x:f>IF(D1645="Completed",I1645*J1645,0)</x:f>
        <x:v>796</x:v>
      </x:c>
      <x:c r="N1645" s="9" t="n">
        <x:f>M1645*K1645</x:f>
        <x:v>39.800000000000004</x:v>
      </x:c>
      <x:c r="O1645" s="9" t="n">
        <x:f>M1645-N1645</x:f>
        <x:v>756.2</x:v>
      </x:c>
      <x:c r="P1645" s="9" t="n">
        <x:f>IF(D1645="Completed",L1645*J1645*(1-K1645),0)</x:f>
        <x:v>0</x:v>
      </x:c>
      <x:c r="Q1645" s="9" t="n">
        <x:f>O1645-P1645</x:f>
        <x:v>756.2</x:v>
      </x:c>
      <x:c r="R1645" s="11" t="n">
        <x:f>IF(D1645="Completed",I1645,0)</x:f>
        <x:v>4</x:v>
      </x:c>
      <x:c r="S1645" s="11" t="n">
        <x:f>IF(D1645="Completed",L1645,0)</x:f>
        <x:v>0</x:v>
      </x:c>
      <x:c r="T1645" s="8" t="n">
        <x:f>DATE(YEAR(C1645),MONTH(C1645),1)</x:f>
        <x:v>45839</x:v>
      </x:c>
    </x:row>
    <x:row r="1646" ht="22" customHeight="1">
      <x:c r="A1646" s="2" t="str">
        <x:v>L001642</x:v>
      </x:c>
      <x:c r="B1646" s="2" t="str">
        <x:v>O00665</x:v>
      </x:c>
      <x:c r="C1646" s="7" t="n">
        <x:v>45868</x:v>
      </x:c>
      <x:c r="D1646" s="2" t="str">
        <x:v>Completed</x:v>
      </x:c>
      <x:c r="E1646" s="2" t="str">
        <x:v>West</x:v>
      </x:c>
      <x:c r="F1646" s="2" t="str">
        <x:v>Online</x:v>
      </x:c>
      <x:c r="G1646" s="2" t="str">
        <x:v>Lighting</x:v>
      </x:c>
      <x:c r="H1646" s="2" t="str">
        <x:v>Lamp 013</x:v>
      </x:c>
      <x:c r="I1646" s="11" t="n">
        <x:v>2</x:v>
      </x:c>
      <x:c r="J1646" s="9" t="n">
        <x:v>271</x:v>
      </x:c>
      <x:c r="K1646" s="10" t="n">
        <x:v>0.2</x:v>
      </x:c>
      <x:c r="L1646" s="11" t="n">
        <x:v>0</x:v>
      </x:c>
      <x:c r="M1646" s="9" t="n">
        <x:f>IF(D1646="Completed",I1646*J1646,0)</x:f>
        <x:v>542</x:v>
      </x:c>
      <x:c r="N1646" s="9" t="n">
        <x:f>M1646*K1646</x:f>
        <x:v>108.4</x:v>
      </x:c>
      <x:c r="O1646" s="9" t="n">
        <x:f>M1646-N1646</x:f>
        <x:v>433.6</x:v>
      </x:c>
      <x:c r="P1646" s="9" t="n">
        <x:f>IF(D1646="Completed",L1646*J1646*(1-K1646),0)</x:f>
        <x:v>0</x:v>
      </x:c>
      <x:c r="Q1646" s="9" t="n">
        <x:f>O1646-P1646</x:f>
        <x:v>433.6</x:v>
      </x:c>
      <x:c r="R1646" s="11" t="n">
        <x:f>IF(D1646="Completed",I1646,0)</x:f>
        <x:v>2</x:v>
      </x:c>
      <x:c r="S1646" s="11" t="n">
        <x:f>IF(D1646="Completed",L1646,0)</x:f>
        <x:v>0</x:v>
      </x:c>
      <x:c r="T1646" s="8" t="n">
        <x:f>DATE(YEAR(C1646),MONTH(C1646),1)</x:f>
        <x:v>45839</x:v>
      </x:c>
    </x:row>
    <x:row r="1647" ht="22" customHeight="1">
      <x:c r="A1647" s="2" t="str">
        <x:v>L001643</x:v>
      </x:c>
      <x:c r="B1647" s="2" t="str">
        <x:v>O00665</x:v>
      </x:c>
      <x:c r="C1647" s="7" t="n">
        <x:v>45868</x:v>
      </x:c>
      <x:c r="D1647" s="2" t="str">
        <x:v>Completed</x:v>
      </x:c>
      <x:c r="E1647" s="2" t="str">
        <x:v>West</x:v>
      </x:c>
      <x:c r="F1647" s="2" t="str">
        <x:v>Online</x:v>
      </x:c>
      <x:c r="G1647" s="2" t="str">
        <x:v>Storage</x:v>
      </x:c>
      <x:c r="H1647" s="2" t="str">
        <x:v>Shelf 015</x:v>
      </x:c>
      <x:c r="I1647" s="11" t="n">
        <x:v>3</x:v>
      </x:c>
      <x:c r="J1647" s="9" t="n">
        <x:v>254</x:v>
      </x:c>
      <x:c r="K1647" s="10" t="n">
        <x:v>0</x:v>
      </x:c>
      <x:c r="L1647" s="11" t="n">
        <x:v>0</x:v>
      </x:c>
      <x:c r="M1647" s="9" t="n">
        <x:f>IF(D1647="Completed",I1647*J1647,0)</x:f>
        <x:v>762</x:v>
      </x:c>
      <x:c r="N1647" s="9" t="n">
        <x:f>M1647*K1647</x:f>
        <x:v>0</x:v>
      </x:c>
      <x:c r="O1647" s="9" t="n">
        <x:f>M1647-N1647</x:f>
        <x:v>762</x:v>
      </x:c>
      <x:c r="P1647" s="9" t="n">
        <x:f>IF(D1647="Completed",L1647*J1647*(1-K1647),0)</x:f>
        <x:v>0</x:v>
      </x:c>
      <x:c r="Q1647" s="9" t="n">
        <x:f>O1647-P1647</x:f>
        <x:v>762</x:v>
      </x:c>
      <x:c r="R1647" s="11" t="n">
        <x:f>IF(D1647="Completed",I1647,0)</x:f>
        <x:v>3</x:v>
      </x:c>
      <x:c r="S1647" s="11" t="n">
        <x:f>IF(D1647="Completed",L1647,0)</x:f>
        <x:v>0</x:v>
      </x:c>
      <x:c r="T1647" s="8" t="n">
        <x:f>DATE(YEAR(C1647),MONTH(C1647),1)</x:f>
        <x:v>45839</x:v>
      </x:c>
    </x:row>
    <x:row r="1648" ht="22" customHeight="1">
      <x:c r="A1648" s="2" t="str">
        <x:v>L001644</x:v>
      </x:c>
      <x:c r="B1648" s="2" t="str">
        <x:v>O00666</x:v>
      </x:c>
      <x:c r="C1648" s="7" t="n">
        <x:v>45800</x:v>
      </x:c>
      <x:c r="D1648" s="2" t="str">
        <x:v>Completed</x:v>
      </x:c>
      <x:c r="E1648" s="2" t="str">
        <x:v>East</x:v>
      </x:c>
      <x:c r="F1648" s="2" t="str">
        <x:v>Online</x:v>
      </x:c>
      <x:c r="G1648" s="2" t="str">
        <x:v>Furniture</x:v>
      </x:c>
      <x:c r="H1648" s="2" t="str">
        <x:v>Chair 002</x:v>
      </x:c>
      <x:c r="I1648" s="11" t="n">
        <x:v>1</x:v>
      </x:c>
      <x:c r="J1648" s="9" t="n">
        <x:v>284</x:v>
      </x:c>
      <x:c r="K1648" s="10" t="n">
        <x:v>0.2</x:v>
      </x:c>
      <x:c r="L1648" s="11" t="n">
        <x:v>0</x:v>
      </x:c>
      <x:c r="M1648" s="9" t="n">
        <x:f>IF(D1648="Completed",I1648*J1648,0)</x:f>
        <x:v>284</x:v>
      </x:c>
      <x:c r="N1648" s="9" t="n">
        <x:f>M1648*K1648</x:f>
        <x:v>56.800000000000004</x:v>
      </x:c>
      <x:c r="O1648" s="9" t="n">
        <x:f>M1648-N1648</x:f>
        <x:v>227.2</x:v>
      </x:c>
      <x:c r="P1648" s="9" t="n">
        <x:f>IF(D1648="Completed",L1648*J1648*(1-K1648),0)</x:f>
        <x:v>0</x:v>
      </x:c>
      <x:c r="Q1648" s="9" t="n">
        <x:f>O1648-P1648</x:f>
        <x:v>227.2</x:v>
      </x:c>
      <x:c r="R1648" s="11" t="n">
        <x:f>IF(D1648="Completed",I1648,0)</x:f>
        <x:v>1</x:v>
      </x:c>
      <x:c r="S1648" s="11" t="n">
        <x:f>IF(D1648="Completed",L1648,0)</x:f>
        <x:v>0</x:v>
      </x:c>
      <x:c r="T1648" s="8" t="n">
        <x:f>DATE(YEAR(C1648),MONTH(C1648),1)</x:f>
        <x:v>45778</x:v>
      </x:c>
    </x:row>
    <x:row r="1649" ht="22" customHeight="1">
      <x:c r="A1649" s="2" t="str">
        <x:v>L001645</x:v>
      </x:c>
      <x:c r="B1649" s="2" t="str">
        <x:v>O00666</x:v>
      </x:c>
      <x:c r="C1649" s="7" t="n">
        <x:v>45800</x:v>
      </x:c>
      <x:c r="D1649" s="2" t="str">
        <x:v>Completed</x:v>
      </x:c>
      <x:c r="E1649" s="2" t="str">
        <x:v>East</x:v>
      </x:c>
      <x:c r="F1649" s="2" t="str">
        <x:v>Online</x:v>
      </x:c>
      <x:c r="G1649" s="2" t="str">
        <x:v>Storage</x:v>
      </x:c>
      <x:c r="H1649" s="2" t="str">
        <x:v>Shelf 015</x:v>
      </x:c>
      <x:c r="I1649" s="11" t="n">
        <x:v>2</x:v>
      </x:c>
      <x:c r="J1649" s="9" t="n">
        <x:v>254</x:v>
      </x:c>
      <x:c r="K1649" s="10" t="n">
        <x:v>0.1</x:v>
      </x:c>
      <x:c r="L1649" s="11" t="n">
        <x:v>0</x:v>
      </x:c>
      <x:c r="M1649" s="9" t="n">
        <x:f>IF(D1649="Completed",I1649*J1649,0)</x:f>
        <x:v>508</x:v>
      </x:c>
      <x:c r="N1649" s="9" t="n">
        <x:f>M1649*K1649</x:f>
        <x:v>50.800000000000004</x:v>
      </x:c>
      <x:c r="O1649" s="9" t="n">
        <x:f>M1649-N1649</x:f>
        <x:v>457.2</x:v>
      </x:c>
      <x:c r="P1649" s="9" t="n">
        <x:f>IF(D1649="Completed",L1649*J1649*(1-K1649),0)</x:f>
        <x:v>0</x:v>
      </x:c>
      <x:c r="Q1649" s="9" t="n">
        <x:f>O1649-P1649</x:f>
        <x:v>457.2</x:v>
      </x:c>
      <x:c r="R1649" s="11" t="n">
        <x:f>IF(D1649="Completed",I1649,0)</x:f>
        <x:v>2</x:v>
      </x:c>
      <x:c r="S1649" s="11" t="n">
        <x:f>IF(D1649="Completed",L1649,0)</x:f>
        <x:v>0</x:v>
      </x:c>
      <x:c r="T1649" s="8" t="n">
        <x:f>DATE(YEAR(C1649),MONTH(C1649),1)</x:f>
        <x:v>45778</x:v>
      </x:c>
    </x:row>
    <x:row r="1650" ht="22" customHeight="1">
      <x:c r="A1650" s="2" t="str">
        <x:v>L001646</x:v>
      </x:c>
      <x:c r="B1650" s="2" t="str">
        <x:v>O00667</x:v>
      </x:c>
      <x:c r="C1650" s="7" t="n">
        <x:v>45987</x:v>
      </x:c>
      <x:c r="D1650" s="2" t="str">
        <x:v>Cancelled</x:v>
      </x:c>
      <x:c r="E1650" s="2" t="str">
        <x:v>North</x:v>
      </x:c>
      <x:c r="F1650" s="2" t="str">
        <x:v>Online</x:v>
      </x:c>
      <x:c r="G1650" s="2" t="str">
        <x:v>Lighting</x:v>
      </x:c>
      <x:c r="H1650" s="2" t="str">
        <x:v>Lamp 021</x:v>
      </x:c>
      <x:c r="I1650" s="11" t="n">
        <x:v>3</x:v>
      </x:c>
      <x:c r="J1650" s="9" t="n">
        <x:v>249</x:v>
      </x:c>
      <x:c r="K1650" s="10" t="n">
        <x:v>0.1</x:v>
      </x:c>
      <x:c r="L1650" s="11" t="n">
        <x:v>0</x:v>
      </x:c>
      <x:c r="M1650" s="9" t="n">
        <x:f>IF(D1650="Completed",I1650*J1650,0)</x:f>
        <x:v>0</x:v>
      </x:c>
      <x:c r="N1650" s="9" t="n">
        <x:f>M1650*K1650</x:f>
        <x:v>0</x:v>
      </x:c>
      <x:c r="O1650" s="9" t="n">
        <x:f>M1650-N1650</x:f>
        <x:v>0</x:v>
      </x:c>
      <x:c r="P1650" s="9" t="n">
        <x:f>IF(D1650="Completed",L1650*J1650*(1-K1650),0)</x:f>
        <x:v>0</x:v>
      </x:c>
      <x:c r="Q1650" s="9" t="n">
        <x:f>O1650-P1650</x:f>
        <x:v>0</x:v>
      </x:c>
      <x:c r="R1650" s="11" t="n">
        <x:f>IF(D1650="Completed",I1650,0)</x:f>
        <x:v>0</x:v>
      </x:c>
      <x:c r="S1650" s="11" t="n">
        <x:f>IF(D1650="Completed",L1650,0)</x:f>
        <x:v>0</x:v>
      </x:c>
      <x:c r="T1650" s="8" t="n">
        <x:f>DATE(YEAR(C1650),MONTH(C1650),1)</x:f>
        <x:v>45962</x:v>
      </x:c>
    </x:row>
    <x:row r="1651" ht="22" customHeight="1">
      <x:c r="A1651" s="2" t="str">
        <x:v>L001647</x:v>
      </x:c>
      <x:c r="B1651" s="2" t="str">
        <x:v>O00667</x:v>
      </x:c>
      <x:c r="C1651" s="7" t="n">
        <x:v>45987</x:v>
      </x:c>
      <x:c r="D1651" s="2" t="str">
        <x:v>Cancelled</x:v>
      </x:c>
      <x:c r="E1651" s="2" t="str">
        <x:v>North</x:v>
      </x:c>
      <x:c r="F1651" s="2" t="str">
        <x:v>Online</x:v>
      </x:c>
      <x:c r="G1651" s="2" t="str">
        <x:v>Lighting</x:v>
      </x:c>
      <x:c r="H1651" s="2" t="str">
        <x:v>Lamp 001</x:v>
      </x:c>
      <x:c r="I1651" s="11" t="n">
        <x:v>4</x:v>
      </x:c>
      <x:c r="J1651" s="9" t="n">
        <x:v>122</x:v>
      </x:c>
      <x:c r="K1651" s="10" t="n">
        <x:v>0.05</x:v>
      </x:c>
      <x:c r="L1651" s="11" t="n">
        <x:v>0</x:v>
      </x:c>
      <x:c r="M1651" s="9" t="n">
        <x:f>IF(D1651="Completed",I1651*J1651,0)</x:f>
        <x:v>0</x:v>
      </x:c>
      <x:c r="N1651" s="9" t="n">
        <x:f>M1651*K1651</x:f>
        <x:v>0</x:v>
      </x:c>
      <x:c r="O1651" s="9" t="n">
        <x:f>M1651-N1651</x:f>
        <x:v>0</x:v>
      </x:c>
      <x:c r="P1651" s="9" t="n">
        <x:f>IF(D1651="Completed",L1651*J1651*(1-K1651),0)</x:f>
        <x:v>0</x:v>
      </x:c>
      <x:c r="Q1651" s="9" t="n">
        <x:f>O1651-P1651</x:f>
        <x:v>0</x:v>
      </x:c>
      <x:c r="R1651" s="11" t="n">
        <x:f>IF(D1651="Completed",I1651,0)</x:f>
        <x:v>0</x:v>
      </x:c>
      <x:c r="S1651" s="11" t="n">
        <x:f>IF(D1651="Completed",L1651,0)</x:f>
        <x:v>0</x:v>
      </x:c>
      <x:c r="T1651" s="8" t="n">
        <x:f>DATE(YEAR(C1651),MONTH(C1651),1)</x:f>
        <x:v>45962</x:v>
      </x:c>
    </x:row>
    <x:row r="1652" ht="22" customHeight="1">
      <x:c r="A1652" s="2" t="str">
        <x:v>L001648</x:v>
      </x:c>
      <x:c r="B1652" s="2" t="str">
        <x:v>O00667</x:v>
      </x:c>
      <x:c r="C1652" s="7" t="n">
        <x:v>45987</x:v>
      </x:c>
      <x:c r="D1652" s="2" t="str">
        <x:v>Cancelled</x:v>
      </x:c>
      <x:c r="E1652" s="2" t="str">
        <x:v>North</x:v>
      </x:c>
      <x:c r="F1652" s="2" t="str">
        <x:v>Online</x:v>
      </x:c>
      <x:c r="G1652" s="2" t="str">
        <x:v>Furniture</x:v>
      </x:c>
      <x:c r="H1652" s="2" t="str">
        <x:v>Chair 010</x:v>
      </x:c>
      <x:c r="I1652" s="11" t="n">
        <x:v>5</x:v>
      </x:c>
      <x:c r="J1652" s="9" t="n">
        <x:v>211</x:v>
      </x:c>
      <x:c r="K1652" s="10" t="n">
        <x:v>0.05</x:v>
      </x:c>
      <x:c r="L1652" s="11" t="n">
        <x:v>0</x:v>
      </x:c>
      <x:c r="M1652" s="9" t="n">
        <x:f>IF(D1652="Completed",I1652*J1652,0)</x:f>
        <x:v>0</x:v>
      </x:c>
      <x:c r="N1652" s="9" t="n">
        <x:f>M1652*K1652</x:f>
        <x:v>0</x:v>
      </x:c>
      <x:c r="O1652" s="9" t="n">
        <x:f>M1652-N1652</x:f>
        <x:v>0</x:v>
      </x:c>
      <x:c r="P1652" s="9" t="n">
        <x:f>IF(D1652="Completed",L1652*J1652*(1-K1652),0)</x:f>
        <x:v>0</x:v>
      </x:c>
      <x:c r="Q1652" s="9" t="n">
        <x:f>O1652-P1652</x:f>
        <x:v>0</x:v>
      </x:c>
      <x:c r="R1652" s="11" t="n">
        <x:f>IF(D1652="Completed",I1652,0)</x:f>
        <x:v>0</x:v>
      </x:c>
      <x:c r="S1652" s="11" t="n">
        <x:f>IF(D1652="Completed",L1652,0)</x:f>
        <x:v>0</x:v>
      </x:c>
      <x:c r="T1652" s="8" t="n">
        <x:f>DATE(YEAR(C1652),MONTH(C1652),1)</x:f>
        <x:v>45962</x:v>
      </x:c>
    </x:row>
    <x:row r="1653" ht="22" customHeight="1">
      <x:c r="A1653" s="2" t="str">
        <x:v>L001649</x:v>
      </x:c>
      <x:c r="B1653" s="2" t="str">
        <x:v>O00667</x:v>
      </x:c>
      <x:c r="C1653" s="7" t="n">
        <x:v>45987</x:v>
      </x:c>
      <x:c r="D1653" s="2" t="str">
        <x:v>Cancelled</x:v>
      </x:c>
      <x:c r="E1653" s="2" t="str">
        <x:v>North</x:v>
      </x:c>
      <x:c r="F1653" s="2" t="str">
        <x:v>Online</x:v>
      </x:c>
      <x:c r="G1653" s="2" t="str">
        <x:v>Storage</x:v>
      </x:c>
      <x:c r="H1653" s="2" t="str">
        <x:v>Shelf 007</x:v>
      </x:c>
      <x:c r="I1653" s="11" t="n">
        <x:v>5</x:v>
      </x:c>
      <x:c r="J1653" s="9" t="n">
        <x:v>35</x:v>
      </x:c>
      <x:c r="K1653" s="10" t="n">
        <x:v>0.2</x:v>
      </x:c>
      <x:c r="L1653" s="11" t="n">
        <x:v>0</x:v>
      </x:c>
      <x:c r="M1653" s="9" t="n">
        <x:f>IF(D1653="Completed",I1653*J1653,0)</x:f>
        <x:v>0</x:v>
      </x:c>
      <x:c r="N1653" s="9" t="n">
        <x:f>M1653*K1653</x:f>
        <x:v>0</x:v>
      </x:c>
      <x:c r="O1653" s="9" t="n">
        <x:f>M1653-N1653</x:f>
        <x:v>0</x:v>
      </x:c>
      <x:c r="P1653" s="9" t="n">
        <x:f>IF(D1653="Completed",L1653*J1653*(1-K1653),0)</x:f>
        <x:v>0</x:v>
      </x:c>
      <x:c r="Q1653" s="9" t="n">
        <x:f>O1653-P1653</x:f>
        <x:v>0</x:v>
      </x:c>
      <x:c r="R1653" s="11" t="n">
        <x:f>IF(D1653="Completed",I1653,0)</x:f>
        <x:v>0</x:v>
      </x:c>
      <x:c r="S1653" s="11" t="n">
        <x:f>IF(D1653="Completed",L1653,0)</x:f>
        <x:v>0</x:v>
      </x:c>
      <x:c r="T1653" s="8" t="n">
        <x:f>DATE(YEAR(C1653),MONTH(C1653),1)</x:f>
        <x:v>45962</x:v>
      </x:c>
    </x:row>
    <x:row r="1654" ht="22" customHeight="1">
      <x:c r="A1654" s="2" t="str">
        <x:v>L001650</x:v>
      </x:c>
      <x:c r="B1654" s="2" t="str">
        <x:v>O00668</x:v>
      </x:c>
      <x:c r="C1654" s="7" t="n">
        <x:v>45883</x:v>
      </x:c>
      <x:c r="D1654" s="2" t="str">
        <x:v>Completed</x:v>
      </x:c>
      <x:c r="E1654" s="2" t="str">
        <x:v>East</x:v>
      </x:c>
      <x:c r="F1654" s="2" t="str">
        <x:v>Store</x:v>
      </x:c>
      <x:c r="G1654" s="2" t="str">
        <x:v>Storage</x:v>
      </x:c>
      <x:c r="H1654" s="2" t="str">
        <x:v>Shelf 015</x:v>
      </x:c>
      <x:c r="I1654" s="11" t="n">
        <x:v>2</x:v>
      </x:c>
      <x:c r="J1654" s="9" t="n">
        <x:v>254</x:v>
      </x:c>
      <x:c r="K1654" s="10" t="n">
        <x:v>0.1</x:v>
      </x:c>
      <x:c r="L1654" s="11" t="n">
        <x:v>0</x:v>
      </x:c>
      <x:c r="M1654" s="9" t="n">
        <x:f>IF(D1654="Completed",I1654*J1654,0)</x:f>
        <x:v>508</x:v>
      </x:c>
      <x:c r="N1654" s="9" t="n">
        <x:f>M1654*K1654</x:f>
        <x:v>50.800000000000004</x:v>
      </x:c>
      <x:c r="O1654" s="9" t="n">
        <x:f>M1654-N1654</x:f>
        <x:v>457.2</x:v>
      </x:c>
      <x:c r="P1654" s="9" t="n">
        <x:f>IF(D1654="Completed",L1654*J1654*(1-K1654),0)</x:f>
        <x:v>0</x:v>
      </x:c>
      <x:c r="Q1654" s="9" t="n">
        <x:f>O1654-P1654</x:f>
        <x:v>457.2</x:v>
      </x:c>
      <x:c r="R1654" s="11" t="n">
        <x:f>IF(D1654="Completed",I1654,0)</x:f>
        <x:v>2</x:v>
      </x:c>
      <x:c r="S1654" s="11" t="n">
        <x:f>IF(D1654="Completed",L1654,0)</x:f>
        <x:v>0</x:v>
      </x:c>
      <x:c r="T1654" s="8" t="n">
        <x:f>DATE(YEAR(C1654),MONTH(C1654),1)</x:f>
        <x:v>45870</x:v>
      </x:c>
    </x:row>
    <x:row r="1655" ht="22" customHeight="1">
      <x:c r="A1655" s="2" t="str">
        <x:v>L001651</x:v>
      </x:c>
      <x:c r="B1655" s="2" t="str">
        <x:v>O00669</x:v>
      </x:c>
      <x:c r="C1655" s="7" t="n">
        <x:v>45707</x:v>
      </x:c>
      <x:c r="D1655" s="2" t="str">
        <x:v>Completed</x:v>
      </x:c>
      <x:c r="E1655" s="2" t="str">
        <x:v>East</x:v>
      </x:c>
      <x:c r="F1655" s="2" t="str">
        <x:v>Store</x:v>
      </x:c>
      <x:c r="G1655" s="2" t="str">
        <x:v>Furniture</x:v>
      </x:c>
      <x:c r="H1655" s="2" t="str">
        <x:v>Chair 018</x:v>
      </x:c>
      <x:c r="I1655" s="11" t="n">
        <x:v>5</x:v>
      </x:c>
      <x:c r="J1655" s="9" t="n">
        <x:v>269</x:v>
      </x:c>
      <x:c r="K1655" s="10" t="n">
        <x:v>0.05</x:v>
      </x:c>
      <x:c r="L1655" s="11" t="n">
        <x:v>0</x:v>
      </x:c>
      <x:c r="M1655" s="9" t="n">
        <x:f>IF(D1655="Completed",I1655*J1655,0)</x:f>
        <x:v>1345</x:v>
      </x:c>
      <x:c r="N1655" s="9" t="n">
        <x:f>M1655*K1655</x:f>
        <x:v>67.25</x:v>
      </x:c>
      <x:c r="O1655" s="9" t="n">
        <x:f>M1655-N1655</x:f>
        <x:v>1277.75</x:v>
      </x:c>
      <x:c r="P1655" s="9" t="n">
        <x:f>IF(D1655="Completed",L1655*J1655*(1-K1655),0)</x:f>
        <x:v>0</x:v>
      </x:c>
      <x:c r="Q1655" s="9" t="n">
        <x:f>O1655-P1655</x:f>
        <x:v>1277.75</x:v>
      </x:c>
      <x:c r="R1655" s="11" t="n">
        <x:f>IF(D1655="Completed",I1655,0)</x:f>
        <x:v>5</x:v>
      </x:c>
      <x:c r="S1655" s="11" t="n">
        <x:f>IF(D1655="Completed",L1655,0)</x:f>
        <x:v>0</x:v>
      </x:c>
      <x:c r="T1655" s="8" t="n">
        <x:f>DATE(YEAR(C1655),MONTH(C1655),1)</x:f>
        <x:v>45689</x:v>
      </x:c>
    </x:row>
    <x:row r="1656" ht="22" customHeight="1">
      <x:c r="A1656" s="2" t="str">
        <x:v>L001652</x:v>
      </x:c>
      <x:c r="B1656" s="2" t="str">
        <x:v>O00669</x:v>
      </x:c>
      <x:c r="C1656" s="7" t="n">
        <x:v>45707</x:v>
      </x:c>
      <x:c r="D1656" s="2" t="str">
        <x:v>Completed</x:v>
      </x:c>
      <x:c r="E1656" s="2" t="str">
        <x:v>East</x:v>
      </x:c>
      <x:c r="F1656" s="2" t="str">
        <x:v>Store</x:v>
      </x:c>
      <x:c r="G1656" s="2" t="str">
        <x:v>Furniture</x:v>
      </x:c>
      <x:c r="H1656" s="2" t="str">
        <x:v>Chair 014</x:v>
      </x:c>
      <x:c r="I1656" s="11" t="n">
        <x:v>4</x:v>
      </x:c>
      <x:c r="J1656" s="9" t="n">
        <x:v>294</x:v>
      </x:c>
      <x:c r="K1656" s="10" t="n">
        <x:v>0.05</x:v>
      </x:c>
      <x:c r="L1656" s="11" t="n">
        <x:v>4</x:v>
      </x:c>
      <x:c r="M1656" s="9" t="n">
        <x:f>IF(D1656="Completed",I1656*J1656,0)</x:f>
        <x:v>1176</x:v>
      </x:c>
      <x:c r="N1656" s="9" t="n">
        <x:f>M1656*K1656</x:f>
        <x:v>58.800000000000004</x:v>
      </x:c>
      <x:c r="O1656" s="9" t="n">
        <x:f>M1656-N1656</x:f>
        <x:v>1117.2</x:v>
      </x:c>
      <x:c r="P1656" s="9" t="n">
        <x:f>IF(D1656="Completed",L1656*J1656*(1-K1656),0)</x:f>
        <x:v>1117.2</x:v>
      </x:c>
      <x:c r="Q1656" s="9" t="n">
        <x:f>O1656-P1656</x:f>
        <x:v>0</x:v>
      </x:c>
      <x:c r="R1656" s="11" t="n">
        <x:f>IF(D1656="Completed",I1656,0)</x:f>
        <x:v>4</x:v>
      </x:c>
      <x:c r="S1656" s="11" t="n">
        <x:f>IF(D1656="Completed",L1656,0)</x:f>
        <x:v>4</x:v>
      </x:c>
      <x:c r="T1656" s="8" t="n">
        <x:f>DATE(YEAR(C1656),MONTH(C1656),1)</x:f>
        <x:v>45689</x:v>
      </x:c>
    </x:row>
    <x:row r="1657" ht="22" customHeight="1">
      <x:c r="A1657" s="2" t="str">
        <x:v>L001653</x:v>
      </x:c>
      <x:c r="B1657" s="2" t="str">
        <x:v>O00670</x:v>
      </x:c>
      <x:c r="C1657" s="7" t="n">
        <x:v>45920</x:v>
      </x:c>
      <x:c r="D1657" s="2" t="str">
        <x:v>Completed</x:v>
      </x:c>
      <x:c r="E1657" s="2" t="str">
        <x:v>North</x:v>
      </x:c>
      <x:c r="F1657" s="2" t="str">
        <x:v>Store</x:v>
      </x:c>
      <x:c r="G1657" s="2" t="str">
        <x:v>Furniture</x:v>
      </x:c>
      <x:c r="H1657" s="2" t="str">
        <x:v>Chair 010</x:v>
      </x:c>
      <x:c r="I1657" s="11" t="n">
        <x:v>5</x:v>
      </x:c>
      <x:c r="J1657" s="9" t="n">
        <x:v>211</x:v>
      </x:c>
      <x:c r="K1657" s="10" t="n">
        <x:v>0.2</x:v>
      </x:c>
      <x:c r="L1657" s="11" t="n">
        <x:v>1</x:v>
      </x:c>
      <x:c r="M1657" s="9" t="n">
        <x:f>IF(D1657="Completed",I1657*J1657,0)</x:f>
        <x:v>1055</x:v>
      </x:c>
      <x:c r="N1657" s="9" t="n">
        <x:f>M1657*K1657</x:f>
        <x:v>211</x:v>
      </x:c>
      <x:c r="O1657" s="9" t="n">
        <x:f>M1657-N1657</x:f>
        <x:v>844</x:v>
      </x:c>
      <x:c r="P1657" s="9" t="n">
        <x:f>IF(D1657="Completed",L1657*J1657*(1-K1657),0)</x:f>
        <x:v>168.8</x:v>
      </x:c>
      <x:c r="Q1657" s="9" t="n">
        <x:f>O1657-P1657</x:f>
        <x:v>675.2</x:v>
      </x:c>
      <x:c r="R1657" s="11" t="n">
        <x:f>IF(D1657="Completed",I1657,0)</x:f>
        <x:v>5</x:v>
      </x:c>
      <x:c r="S1657" s="11" t="n">
        <x:f>IF(D1657="Completed",L1657,0)</x:f>
        <x:v>1</x:v>
      </x:c>
      <x:c r="T1657" s="8" t="n">
        <x:f>DATE(YEAR(C1657),MONTH(C1657),1)</x:f>
        <x:v>45901</x:v>
      </x:c>
    </x:row>
    <x:row r="1658" ht="22" customHeight="1">
      <x:c r="A1658" s="2" t="str">
        <x:v>L001654</x:v>
      </x:c>
      <x:c r="B1658" s="2" t="str">
        <x:v>O00670</x:v>
      </x:c>
      <x:c r="C1658" s="7" t="n">
        <x:v>45920</x:v>
      </x:c>
      <x:c r="D1658" s="2" t="str">
        <x:v>Completed</x:v>
      </x:c>
      <x:c r="E1658" s="2" t="str">
        <x:v>North</x:v>
      </x:c>
      <x:c r="F1658" s="2" t="str">
        <x:v>Store</x:v>
      </x:c>
      <x:c r="G1658" s="2" t="str">
        <x:v>Lighting</x:v>
      </x:c>
      <x:c r="H1658" s="2" t="str">
        <x:v>Lamp 017</x:v>
      </x:c>
      <x:c r="I1658" s="11" t="n">
        <x:v>3</x:v>
      </x:c>
      <x:c r="J1658" s="9" t="n">
        <x:v>300</x:v>
      </x:c>
      <x:c r="K1658" s="10" t="n">
        <x:v>0.05</x:v>
      </x:c>
      <x:c r="L1658" s="11" t="n">
        <x:v>0</x:v>
      </x:c>
      <x:c r="M1658" s="9" t="n">
        <x:f>IF(D1658="Completed",I1658*J1658,0)</x:f>
        <x:v>900</x:v>
      </x:c>
      <x:c r="N1658" s="9" t="n">
        <x:f>M1658*K1658</x:f>
        <x:v>45</x:v>
      </x:c>
      <x:c r="O1658" s="9" t="n">
        <x:f>M1658-N1658</x:f>
        <x:v>855</x:v>
      </x:c>
      <x:c r="P1658" s="9" t="n">
        <x:f>IF(D1658="Completed",L1658*J1658*(1-K1658),0)</x:f>
        <x:v>0</x:v>
      </x:c>
      <x:c r="Q1658" s="9" t="n">
        <x:f>O1658-P1658</x:f>
        <x:v>855</x:v>
      </x:c>
      <x:c r="R1658" s="11" t="n">
        <x:f>IF(D1658="Completed",I1658,0)</x:f>
        <x:v>3</x:v>
      </x:c>
      <x:c r="S1658" s="11" t="n">
        <x:f>IF(D1658="Completed",L1658,0)</x:f>
        <x:v>0</x:v>
      </x:c>
      <x:c r="T1658" s="8" t="n">
        <x:f>DATE(YEAR(C1658),MONTH(C1658),1)</x:f>
        <x:v>45901</x:v>
      </x:c>
    </x:row>
    <x:row r="1659" ht="22" customHeight="1">
      <x:c r="A1659" s="2" t="str">
        <x:v>L001655</x:v>
      </x:c>
      <x:c r="B1659" s="2" t="str">
        <x:v>O00671</x:v>
      </x:c>
      <x:c r="C1659" s="7" t="n">
        <x:v>45851</x:v>
      </x:c>
      <x:c r="D1659" s="2" t="str">
        <x:v>Completed</x:v>
      </x:c>
      <x:c r="E1659" s="2" t="str">
        <x:v>South</x:v>
      </x:c>
      <x:c r="F1659" s="2" t="str">
        <x:v>Store</x:v>
      </x:c>
      <x:c r="G1659" s="2" t="str">
        <x:v>Furniture</x:v>
      </x:c>
      <x:c r="H1659" s="2" t="str">
        <x:v>Desk 016</x:v>
      </x:c>
      <x:c r="I1659" s="11" t="n">
        <x:v>4</x:v>
      </x:c>
      <x:c r="J1659" s="9" t="n">
        <x:v>231</x:v>
      </x:c>
      <x:c r="K1659" s="10" t="n">
        <x:v>0.2</x:v>
      </x:c>
      <x:c r="L1659" s="11" t="n">
        <x:v>0</x:v>
      </x:c>
      <x:c r="M1659" s="9" t="n">
        <x:f>IF(D1659="Completed",I1659*J1659,0)</x:f>
        <x:v>924</x:v>
      </x:c>
      <x:c r="N1659" s="9" t="n">
        <x:f>M1659*K1659</x:f>
        <x:v>184.8</x:v>
      </x:c>
      <x:c r="O1659" s="9" t="n">
        <x:f>M1659-N1659</x:f>
        <x:v>739.2</x:v>
      </x:c>
      <x:c r="P1659" s="9" t="n">
        <x:f>IF(D1659="Completed",L1659*J1659*(1-K1659),0)</x:f>
        <x:v>0</x:v>
      </x:c>
      <x:c r="Q1659" s="9" t="n">
        <x:f>O1659-P1659</x:f>
        <x:v>739.2</x:v>
      </x:c>
      <x:c r="R1659" s="11" t="n">
        <x:f>IF(D1659="Completed",I1659,0)</x:f>
        <x:v>4</x:v>
      </x:c>
      <x:c r="S1659" s="11" t="n">
        <x:f>IF(D1659="Completed",L1659,0)</x:f>
        <x:v>0</x:v>
      </x:c>
      <x:c r="T1659" s="8" t="n">
        <x:f>DATE(YEAR(C1659),MONTH(C1659),1)</x:f>
        <x:v>45839</x:v>
      </x:c>
    </x:row>
    <x:row r="1660" ht="22" customHeight="1">
      <x:c r="A1660" s="2" t="str">
        <x:v>L001656</x:v>
      </x:c>
      <x:c r="B1660" s="2" t="str">
        <x:v>O00671</x:v>
      </x:c>
      <x:c r="C1660" s="7" t="n">
        <x:v>45851</x:v>
      </x:c>
      <x:c r="D1660" s="2" t="str">
        <x:v>Completed</x:v>
      </x:c>
      <x:c r="E1660" s="2" t="str">
        <x:v>South</x:v>
      </x:c>
      <x:c r="F1660" s="2" t="str">
        <x:v>Store</x:v>
      </x:c>
      <x:c r="G1660" s="2" t="str">
        <x:v>Storage</x:v>
      </x:c>
      <x:c r="H1660" s="2" t="str">
        <x:v>Shelf 015</x:v>
      </x:c>
      <x:c r="I1660" s="11" t="n">
        <x:v>5</x:v>
      </x:c>
      <x:c r="J1660" s="9" t="n">
        <x:v>254</x:v>
      </x:c>
      <x:c r="K1660" s="10" t="n">
        <x:v>0.1</x:v>
      </x:c>
      <x:c r="L1660" s="11" t="n">
        <x:v>0</x:v>
      </x:c>
      <x:c r="M1660" s="9" t="n">
        <x:f>IF(D1660="Completed",I1660*J1660,0)</x:f>
        <x:v>1270</x:v>
      </x:c>
      <x:c r="N1660" s="9" t="n">
        <x:f>M1660*K1660</x:f>
        <x:v>127</x:v>
      </x:c>
      <x:c r="O1660" s="9" t="n">
        <x:f>M1660-N1660</x:f>
        <x:v>1143</x:v>
      </x:c>
      <x:c r="P1660" s="9" t="n">
        <x:f>IF(D1660="Completed",L1660*J1660*(1-K1660),0)</x:f>
        <x:v>0</x:v>
      </x:c>
      <x:c r="Q1660" s="9" t="n">
        <x:f>O1660-P1660</x:f>
        <x:v>1143</x:v>
      </x:c>
      <x:c r="R1660" s="11" t="n">
        <x:f>IF(D1660="Completed",I1660,0)</x:f>
        <x:v>5</x:v>
      </x:c>
      <x:c r="S1660" s="11" t="n">
        <x:f>IF(D1660="Completed",L1660,0)</x:f>
        <x:v>0</x:v>
      </x:c>
      <x:c r="T1660" s="8" t="n">
        <x:f>DATE(YEAR(C1660),MONTH(C1660),1)</x:f>
        <x:v>45839</x:v>
      </x:c>
    </x:row>
    <x:row r="1661" ht="22" customHeight="1">
      <x:c r="A1661" s="2" t="str">
        <x:v>L001657</x:v>
      </x:c>
      <x:c r="B1661" s="2" t="str">
        <x:v>O00671</x:v>
      </x:c>
      <x:c r="C1661" s="7" t="n">
        <x:v>45851</x:v>
      </x:c>
      <x:c r="D1661" s="2" t="str">
        <x:v>Completed</x:v>
      </x:c>
      <x:c r="E1661" s="2" t="str">
        <x:v>South</x:v>
      </x:c>
      <x:c r="F1661" s="2" t="str">
        <x:v>Store</x:v>
      </x:c>
      <x:c r="G1661" s="2" t="str">
        <x:v>Furniture</x:v>
      </x:c>
      <x:c r="H1661" s="2" t="str">
        <x:v>Chair 022</x:v>
      </x:c>
      <x:c r="I1661" s="11" t="n">
        <x:v>5</x:v>
      </x:c>
      <x:c r="J1661" s="9" t="n">
        <x:v>134</x:v>
      </x:c>
      <x:c r="K1661" s="10" t="n">
        <x:v>0</x:v>
      </x:c>
      <x:c r="L1661" s="11" t="n">
        <x:v>0</x:v>
      </x:c>
      <x:c r="M1661" s="9" t="n">
        <x:f>IF(D1661="Completed",I1661*J1661,0)</x:f>
        <x:v>670</x:v>
      </x:c>
      <x:c r="N1661" s="9" t="n">
        <x:f>M1661*K1661</x:f>
        <x:v>0</x:v>
      </x:c>
      <x:c r="O1661" s="9" t="n">
        <x:f>M1661-N1661</x:f>
        <x:v>670</x:v>
      </x:c>
      <x:c r="P1661" s="9" t="n">
        <x:f>IF(D1661="Completed",L1661*J1661*(1-K1661),0)</x:f>
        <x:v>0</x:v>
      </x:c>
      <x:c r="Q1661" s="9" t="n">
        <x:f>O1661-P1661</x:f>
        <x:v>670</x:v>
      </x:c>
      <x:c r="R1661" s="11" t="n">
        <x:f>IF(D1661="Completed",I1661,0)</x:f>
        <x:v>5</x:v>
      </x:c>
      <x:c r="S1661" s="11" t="n">
        <x:f>IF(D1661="Completed",L1661,0)</x:f>
        <x:v>0</x:v>
      </x:c>
      <x:c r="T1661" s="8" t="n">
        <x:f>DATE(YEAR(C1661),MONTH(C1661),1)</x:f>
        <x:v>45839</x:v>
      </x:c>
    </x:row>
    <x:row r="1662" ht="22" customHeight="1">
      <x:c r="A1662" s="2" t="str">
        <x:v>L001658</x:v>
      </x:c>
      <x:c r="B1662" s="2" t="str">
        <x:v>O00671</x:v>
      </x:c>
      <x:c r="C1662" s="7" t="n">
        <x:v>45851</x:v>
      </x:c>
      <x:c r="D1662" s="2" t="str">
        <x:v>Completed</x:v>
      </x:c>
      <x:c r="E1662" s="2" t="str">
        <x:v>South</x:v>
      </x:c>
      <x:c r="F1662" s="2" t="str">
        <x:v>Store</x:v>
      </x:c>
      <x:c r="G1662" s="2" t="str">
        <x:v>Lighting</x:v>
      </x:c>
      <x:c r="H1662" s="2" t="str">
        <x:v>Lamp 017</x:v>
      </x:c>
      <x:c r="I1662" s="11" t="n">
        <x:v>3</x:v>
      </x:c>
      <x:c r="J1662" s="9" t="n">
        <x:v>300</x:v>
      </x:c>
      <x:c r="K1662" s="10" t="n">
        <x:v>0.05</x:v>
      </x:c>
      <x:c r="L1662" s="11" t="n">
        <x:v>3</x:v>
      </x:c>
      <x:c r="M1662" s="9" t="n">
        <x:f>IF(D1662="Completed",I1662*J1662,0)</x:f>
        <x:v>900</x:v>
      </x:c>
      <x:c r="N1662" s="9" t="n">
        <x:f>M1662*K1662</x:f>
        <x:v>45</x:v>
      </x:c>
      <x:c r="O1662" s="9" t="n">
        <x:f>M1662-N1662</x:f>
        <x:v>855</x:v>
      </x:c>
      <x:c r="P1662" s="9" t="n">
        <x:f>IF(D1662="Completed",L1662*J1662*(1-K1662),0)</x:f>
        <x:v>855</x:v>
      </x:c>
      <x:c r="Q1662" s="9" t="n">
        <x:f>O1662-P1662</x:f>
        <x:v>0</x:v>
      </x:c>
      <x:c r="R1662" s="11" t="n">
        <x:f>IF(D1662="Completed",I1662,0)</x:f>
        <x:v>3</x:v>
      </x:c>
      <x:c r="S1662" s="11" t="n">
        <x:f>IF(D1662="Completed",L1662,0)</x:f>
        <x:v>3</x:v>
      </x:c>
      <x:c r="T1662" s="8" t="n">
        <x:f>DATE(YEAR(C1662),MONTH(C1662),1)</x:f>
        <x:v>45839</x:v>
      </x:c>
    </x:row>
    <x:row r="1663" ht="22" customHeight="1">
      <x:c r="A1663" s="2" t="str">
        <x:v>L001659</x:v>
      </x:c>
      <x:c r="B1663" s="2" t="str">
        <x:v>O00672</x:v>
      </x:c>
      <x:c r="C1663" s="7" t="n">
        <x:v>45679</x:v>
      </x:c>
      <x:c r="D1663" s="2" t="str">
        <x:v>Completed</x:v>
      </x:c>
      <x:c r="E1663" s="2" t="str">
        <x:v>East</x:v>
      </x:c>
      <x:c r="F1663" s="2" t="str">
        <x:v>Online</x:v>
      </x:c>
      <x:c r="G1663" s="2" t="str">
        <x:v>Storage</x:v>
      </x:c>
      <x:c r="H1663" s="2" t="str">
        <x:v>Shelf 023</x:v>
      </x:c>
      <x:c r="I1663" s="11" t="n">
        <x:v>5</x:v>
      </x:c>
      <x:c r="J1663" s="9" t="n">
        <x:v>68</x:v>
      </x:c>
      <x:c r="K1663" s="10" t="n">
        <x:v>0.2</x:v>
      </x:c>
      <x:c r="L1663" s="11" t="n">
        <x:v>0</x:v>
      </x:c>
      <x:c r="M1663" s="9" t="n">
        <x:f>IF(D1663="Completed",I1663*J1663,0)</x:f>
        <x:v>340</x:v>
      </x:c>
      <x:c r="N1663" s="9" t="n">
        <x:f>M1663*K1663</x:f>
        <x:v>68</x:v>
      </x:c>
      <x:c r="O1663" s="9" t="n">
        <x:f>M1663-N1663</x:f>
        <x:v>272</x:v>
      </x:c>
      <x:c r="P1663" s="9" t="n">
        <x:f>IF(D1663="Completed",L1663*J1663*(1-K1663),0)</x:f>
        <x:v>0</x:v>
      </x:c>
      <x:c r="Q1663" s="9" t="n">
        <x:f>O1663-P1663</x:f>
        <x:v>272</x:v>
      </x:c>
      <x:c r="R1663" s="11" t="n">
        <x:f>IF(D1663="Completed",I1663,0)</x:f>
        <x:v>5</x:v>
      </x:c>
      <x:c r="S1663" s="11" t="n">
        <x:f>IF(D1663="Completed",L1663,0)</x:f>
        <x:v>0</x:v>
      </x:c>
      <x:c r="T1663" s="8" t="n">
        <x:f>DATE(YEAR(C1663),MONTH(C1663),1)</x:f>
        <x:v>45658</x:v>
      </x:c>
    </x:row>
    <x:row r="1664" ht="22" customHeight="1">
      <x:c r="A1664" s="2" t="str">
        <x:v>L001660</x:v>
      </x:c>
      <x:c r="B1664" s="2" t="str">
        <x:v>O00672</x:v>
      </x:c>
      <x:c r="C1664" s="7" t="n">
        <x:v>45679</x:v>
      </x:c>
      <x:c r="D1664" s="2" t="str">
        <x:v>Completed</x:v>
      </x:c>
      <x:c r="E1664" s="2" t="str">
        <x:v>East</x:v>
      </x:c>
      <x:c r="F1664" s="2" t="str">
        <x:v>Online</x:v>
      </x:c>
      <x:c r="G1664" s="2" t="str">
        <x:v>Storage</x:v>
      </x:c>
      <x:c r="H1664" s="2" t="str">
        <x:v>Shelf 015</x:v>
      </x:c>
      <x:c r="I1664" s="11" t="n">
        <x:v>4</x:v>
      </x:c>
      <x:c r="J1664" s="9" t="n">
        <x:v>254</x:v>
      </x:c>
      <x:c r="K1664" s="10" t="n">
        <x:v>0.2</x:v>
      </x:c>
      <x:c r="L1664" s="11" t="n">
        <x:v>0</x:v>
      </x:c>
      <x:c r="M1664" s="9" t="n">
        <x:f>IF(D1664="Completed",I1664*J1664,0)</x:f>
        <x:v>1016</x:v>
      </x:c>
      <x:c r="N1664" s="9" t="n">
        <x:f>M1664*K1664</x:f>
        <x:v>203.20000000000002</x:v>
      </x:c>
      <x:c r="O1664" s="9" t="n">
        <x:f>M1664-N1664</x:f>
        <x:v>812.8</x:v>
      </x:c>
      <x:c r="P1664" s="9" t="n">
        <x:f>IF(D1664="Completed",L1664*J1664*(1-K1664),0)</x:f>
        <x:v>0</x:v>
      </x:c>
      <x:c r="Q1664" s="9" t="n">
        <x:f>O1664-P1664</x:f>
        <x:v>812.8</x:v>
      </x:c>
      <x:c r="R1664" s="11" t="n">
        <x:f>IF(D1664="Completed",I1664,0)</x:f>
        <x:v>4</x:v>
      </x:c>
      <x:c r="S1664" s="11" t="n">
        <x:f>IF(D1664="Completed",L1664,0)</x:f>
        <x:v>0</x:v>
      </x:c>
      <x:c r="T1664" s="8" t="n">
        <x:f>DATE(YEAR(C1664),MONTH(C1664),1)</x:f>
        <x:v>45658</x:v>
      </x:c>
    </x:row>
    <x:row r="1665" ht="22" customHeight="1">
      <x:c r="A1665" s="2" t="str">
        <x:v>L001661</x:v>
      </x:c>
      <x:c r="B1665" s="2" t="str">
        <x:v>O00672</x:v>
      </x:c>
      <x:c r="C1665" s="7" t="n">
        <x:v>45679</x:v>
      </x:c>
      <x:c r="D1665" s="2" t="str">
        <x:v>Completed</x:v>
      </x:c>
      <x:c r="E1665" s="2" t="str">
        <x:v>East</x:v>
      </x:c>
      <x:c r="F1665" s="2" t="str">
        <x:v>Online</x:v>
      </x:c>
      <x:c r="G1665" s="2" t="str">
        <x:v>Furniture</x:v>
      </x:c>
      <x:c r="H1665" s="2" t="str">
        <x:v>Chair 006</x:v>
      </x:c>
      <x:c r="I1665" s="11" t="n">
        <x:v>4</x:v>
      </x:c>
      <x:c r="J1665" s="9" t="n">
        <x:v>196</x:v>
      </x:c>
      <x:c r="K1665" s="10" t="n">
        <x:v>0.05</x:v>
      </x:c>
      <x:c r="L1665" s="11" t="n">
        <x:v>0</x:v>
      </x:c>
      <x:c r="M1665" s="9" t="n">
        <x:f>IF(D1665="Completed",I1665*J1665,0)</x:f>
        <x:v>784</x:v>
      </x:c>
      <x:c r="N1665" s="9" t="n">
        <x:f>M1665*K1665</x:f>
        <x:v>39.2</x:v>
      </x:c>
      <x:c r="O1665" s="9" t="n">
        <x:f>M1665-N1665</x:f>
        <x:v>744.8</x:v>
      </x:c>
      <x:c r="P1665" s="9" t="n">
        <x:f>IF(D1665="Completed",L1665*J1665*(1-K1665),0)</x:f>
        <x:v>0</x:v>
      </x:c>
      <x:c r="Q1665" s="9" t="n">
        <x:f>O1665-P1665</x:f>
        <x:v>744.8</x:v>
      </x:c>
      <x:c r="R1665" s="11" t="n">
        <x:f>IF(D1665="Completed",I1665,0)</x:f>
        <x:v>4</x:v>
      </x:c>
      <x:c r="S1665" s="11" t="n">
        <x:f>IF(D1665="Completed",L1665,0)</x:f>
        <x:v>0</x:v>
      </x:c>
      <x:c r="T1665" s="8" t="n">
        <x:f>DATE(YEAR(C1665),MONTH(C1665),1)</x:f>
        <x:v>45658</x:v>
      </x:c>
    </x:row>
    <x:row r="1666" ht="22" customHeight="1">
      <x:c r="A1666" s="2" t="str">
        <x:v>L001662</x:v>
      </x:c>
      <x:c r="B1666" s="2" t="str">
        <x:v>O00673</x:v>
      </x:c>
      <x:c r="C1666" s="7" t="n">
        <x:v>45663</x:v>
      </x:c>
      <x:c r="D1666" s="2" t="str">
        <x:v>Completed</x:v>
      </x:c>
      <x:c r="E1666" s="2" t="str">
        <x:v>South</x:v>
      </x:c>
      <x:c r="F1666" s="2" t="str">
        <x:v>Online</x:v>
      </x:c>
      <x:c r="G1666" s="2" t="str">
        <x:v>Lighting</x:v>
      </x:c>
      <x:c r="H1666" s="2" t="str">
        <x:v>Lamp 005</x:v>
      </x:c>
      <x:c r="I1666" s="11" t="n">
        <x:v>3</x:v>
      </x:c>
      <x:c r="J1666" s="9" t="n">
        <x:v>65</x:v>
      </x:c>
      <x:c r="K1666" s="10" t="n">
        <x:v>0.05</x:v>
      </x:c>
      <x:c r="L1666" s="11" t="n">
        <x:v>0</x:v>
      </x:c>
      <x:c r="M1666" s="9" t="n">
        <x:f>IF(D1666="Completed",I1666*J1666,0)</x:f>
        <x:v>195</x:v>
      </x:c>
      <x:c r="N1666" s="9" t="n">
        <x:f>M1666*K1666</x:f>
        <x:v>9.75</x:v>
      </x:c>
      <x:c r="O1666" s="9" t="n">
        <x:f>M1666-N1666</x:f>
        <x:v>185.25</x:v>
      </x:c>
      <x:c r="P1666" s="9" t="n">
        <x:f>IF(D1666="Completed",L1666*J1666*(1-K1666),0)</x:f>
        <x:v>0</x:v>
      </x:c>
      <x:c r="Q1666" s="9" t="n">
        <x:f>O1666-P1666</x:f>
        <x:v>185.25</x:v>
      </x:c>
      <x:c r="R1666" s="11" t="n">
        <x:f>IF(D1666="Completed",I1666,0)</x:f>
        <x:v>3</x:v>
      </x:c>
      <x:c r="S1666" s="11" t="n">
        <x:f>IF(D1666="Completed",L1666,0)</x:f>
        <x:v>0</x:v>
      </x:c>
      <x:c r="T1666" s="8" t="n">
        <x:f>DATE(YEAR(C1666),MONTH(C1666),1)</x:f>
        <x:v>45658</x:v>
      </x:c>
    </x:row>
    <x:row r="1667" ht="22" customHeight="1">
      <x:c r="A1667" s="2" t="str">
        <x:v>L001663</x:v>
      </x:c>
      <x:c r="B1667" s="2" t="str">
        <x:v>O00673</x:v>
      </x:c>
      <x:c r="C1667" s="7" t="n">
        <x:v>45663</x:v>
      </x:c>
      <x:c r="D1667" s="2" t="str">
        <x:v>Completed</x:v>
      </x:c>
      <x:c r="E1667" s="2" t="str">
        <x:v>South</x:v>
      </x:c>
      <x:c r="F1667" s="2" t="str">
        <x:v>Online</x:v>
      </x:c>
      <x:c r="G1667" s="2" t="str">
        <x:v>Furniture</x:v>
      </x:c>
      <x:c r="H1667" s="2" t="str">
        <x:v>Chair 018</x:v>
      </x:c>
      <x:c r="I1667" s="11" t="n">
        <x:v>2</x:v>
      </x:c>
      <x:c r="J1667" s="9" t="n">
        <x:v>269</x:v>
      </x:c>
      <x:c r="K1667" s="10" t="n">
        <x:v>0</x:v>
      </x:c>
      <x:c r="L1667" s="11" t="n">
        <x:v>0</x:v>
      </x:c>
      <x:c r="M1667" s="9" t="n">
        <x:f>IF(D1667="Completed",I1667*J1667,0)</x:f>
        <x:v>538</x:v>
      </x:c>
      <x:c r="N1667" s="9" t="n">
        <x:f>M1667*K1667</x:f>
        <x:v>0</x:v>
      </x:c>
      <x:c r="O1667" s="9" t="n">
        <x:f>M1667-N1667</x:f>
        <x:v>538</x:v>
      </x:c>
      <x:c r="P1667" s="9" t="n">
        <x:f>IF(D1667="Completed",L1667*J1667*(1-K1667),0)</x:f>
        <x:v>0</x:v>
      </x:c>
      <x:c r="Q1667" s="9" t="n">
        <x:f>O1667-P1667</x:f>
        <x:v>538</x:v>
      </x:c>
      <x:c r="R1667" s="11" t="n">
        <x:f>IF(D1667="Completed",I1667,0)</x:f>
        <x:v>2</x:v>
      </x:c>
      <x:c r="S1667" s="11" t="n">
        <x:f>IF(D1667="Completed",L1667,0)</x:f>
        <x:v>0</x:v>
      </x:c>
      <x:c r="T1667" s="8" t="n">
        <x:f>DATE(YEAR(C1667),MONTH(C1667),1)</x:f>
        <x:v>45658</x:v>
      </x:c>
    </x:row>
    <x:row r="1668" ht="22" customHeight="1">
      <x:c r="A1668" s="2" t="str">
        <x:v>L001664</x:v>
      </x:c>
      <x:c r="B1668" s="2" t="str">
        <x:v>O00674</x:v>
      </x:c>
      <x:c r="C1668" s="7" t="n">
        <x:v>45883</x:v>
      </x:c>
      <x:c r="D1668" s="2" t="str">
        <x:v>Completed</x:v>
      </x:c>
      <x:c r="E1668" s="2" t="str">
        <x:v>West</x:v>
      </x:c>
      <x:c r="F1668" s="2" t="str">
        <x:v>Online</x:v>
      </x:c>
      <x:c r="G1668" s="2" t="str">
        <x:v>Storage</x:v>
      </x:c>
      <x:c r="H1668" s="2" t="str">
        <x:v>Shelf 023</x:v>
      </x:c>
      <x:c r="I1668" s="11" t="n">
        <x:v>5</x:v>
      </x:c>
      <x:c r="J1668" s="9" t="n">
        <x:v>68</x:v>
      </x:c>
      <x:c r="K1668" s="10" t="n">
        <x:v>0.1</x:v>
      </x:c>
      <x:c r="L1668" s="11" t="n">
        <x:v>0</x:v>
      </x:c>
      <x:c r="M1668" s="9" t="n">
        <x:f>IF(D1668="Completed",I1668*J1668,0)</x:f>
        <x:v>340</x:v>
      </x:c>
      <x:c r="N1668" s="9" t="n">
        <x:f>M1668*K1668</x:f>
        <x:v>34</x:v>
      </x:c>
      <x:c r="O1668" s="9" t="n">
        <x:f>M1668-N1668</x:f>
        <x:v>306</x:v>
      </x:c>
      <x:c r="P1668" s="9" t="n">
        <x:f>IF(D1668="Completed",L1668*J1668*(1-K1668),0)</x:f>
        <x:v>0</x:v>
      </x:c>
      <x:c r="Q1668" s="9" t="n">
        <x:f>O1668-P1668</x:f>
        <x:v>306</x:v>
      </x:c>
      <x:c r="R1668" s="11" t="n">
        <x:f>IF(D1668="Completed",I1668,0)</x:f>
        <x:v>5</x:v>
      </x:c>
      <x:c r="S1668" s="11" t="n">
        <x:f>IF(D1668="Completed",L1668,0)</x:f>
        <x:v>0</x:v>
      </x:c>
      <x:c r="T1668" s="8" t="n">
        <x:f>DATE(YEAR(C1668),MONTH(C1668),1)</x:f>
        <x:v>45870</x:v>
      </x:c>
    </x:row>
    <x:row r="1669" ht="22" customHeight="1">
      <x:c r="A1669" s="2" t="str">
        <x:v>L001665</x:v>
      </x:c>
      <x:c r="B1669" s="2" t="str">
        <x:v>O00675</x:v>
      </x:c>
      <x:c r="C1669" s="7" t="n">
        <x:v>45983</x:v>
      </x:c>
      <x:c r="D1669" s="2" t="str">
        <x:v>Completed</x:v>
      </x:c>
      <x:c r="E1669" s="2" t="str">
        <x:v>East</x:v>
      </x:c>
      <x:c r="F1669" s="2" t="str">
        <x:v>Store</x:v>
      </x:c>
      <x:c r="G1669" s="2" t="str">
        <x:v>Furniture</x:v>
      </x:c>
      <x:c r="H1669" s="2" t="str">
        <x:v>Chair 022</x:v>
      </x:c>
      <x:c r="I1669" s="11" t="n">
        <x:v>3</x:v>
      </x:c>
      <x:c r="J1669" s="9" t="n">
        <x:v>134</x:v>
      </x:c>
      <x:c r="K1669" s="10" t="n">
        <x:v>0</x:v>
      </x:c>
      <x:c r="L1669" s="11" t="n">
        <x:v>0</x:v>
      </x:c>
      <x:c r="M1669" s="9" t="n">
        <x:f>IF(D1669="Completed",I1669*J1669,0)</x:f>
        <x:v>402</x:v>
      </x:c>
      <x:c r="N1669" s="9" t="n">
        <x:f>M1669*K1669</x:f>
        <x:v>0</x:v>
      </x:c>
      <x:c r="O1669" s="9" t="n">
        <x:f>M1669-N1669</x:f>
        <x:v>402</x:v>
      </x:c>
      <x:c r="P1669" s="9" t="n">
        <x:f>IF(D1669="Completed",L1669*J1669*(1-K1669),0)</x:f>
        <x:v>0</x:v>
      </x:c>
      <x:c r="Q1669" s="9" t="n">
        <x:f>O1669-P1669</x:f>
        <x:v>402</x:v>
      </x:c>
      <x:c r="R1669" s="11" t="n">
        <x:f>IF(D1669="Completed",I1669,0)</x:f>
        <x:v>3</x:v>
      </x:c>
      <x:c r="S1669" s="11" t="n">
        <x:f>IF(D1669="Completed",L1669,0)</x:f>
        <x:v>0</x:v>
      </x:c>
      <x:c r="T1669" s="8" t="n">
        <x:f>DATE(YEAR(C1669),MONTH(C1669),1)</x:f>
        <x:v>45962</x:v>
      </x:c>
    </x:row>
    <x:row r="1670" ht="22" customHeight="1">
      <x:c r="A1670" s="2" t="str">
        <x:v>L001666</x:v>
      </x:c>
      <x:c r="B1670" s="2" t="str">
        <x:v>O00675</x:v>
      </x:c>
      <x:c r="C1670" s="7" t="n">
        <x:v>45983</x:v>
      </x:c>
      <x:c r="D1670" s="2" t="str">
        <x:v>Completed</x:v>
      </x:c>
      <x:c r="E1670" s="2" t="str">
        <x:v>East</x:v>
      </x:c>
      <x:c r="F1670" s="2" t="str">
        <x:v>Store</x:v>
      </x:c>
      <x:c r="G1670" s="2" t="str">
        <x:v>Furniture</x:v>
      </x:c>
      <x:c r="H1670" s="2" t="str">
        <x:v>Desk 004</x:v>
      </x:c>
      <x:c r="I1670" s="11" t="n">
        <x:v>1</x:v>
      </x:c>
      <x:c r="J1670" s="9" t="n">
        <x:v>123</x:v>
      </x:c>
      <x:c r="K1670" s="10" t="n">
        <x:v>0.1</x:v>
      </x:c>
      <x:c r="L1670" s="11" t="n">
        <x:v>0</x:v>
      </x:c>
      <x:c r="M1670" s="9" t="n">
        <x:f>IF(D1670="Completed",I1670*J1670,0)</x:f>
        <x:v>123</x:v>
      </x:c>
      <x:c r="N1670" s="9" t="n">
        <x:f>M1670*K1670</x:f>
        <x:v>12.3</x:v>
      </x:c>
      <x:c r="O1670" s="9" t="n">
        <x:f>M1670-N1670</x:f>
        <x:v>110.7</x:v>
      </x:c>
      <x:c r="P1670" s="9" t="n">
        <x:f>IF(D1670="Completed",L1670*J1670*(1-K1670),0)</x:f>
        <x:v>0</x:v>
      </x:c>
      <x:c r="Q1670" s="9" t="n">
        <x:f>O1670-P1670</x:f>
        <x:v>110.7</x:v>
      </x:c>
      <x:c r="R1670" s="11" t="n">
        <x:f>IF(D1670="Completed",I1670,0)</x:f>
        <x:v>1</x:v>
      </x:c>
      <x:c r="S1670" s="11" t="n">
        <x:f>IF(D1670="Completed",L1670,0)</x:f>
        <x:v>0</x:v>
      </x:c>
      <x:c r="T1670" s="8" t="n">
        <x:f>DATE(YEAR(C1670),MONTH(C1670),1)</x:f>
        <x:v>45962</x:v>
      </x:c>
    </x:row>
    <x:row r="1671" ht="22" customHeight="1">
      <x:c r="A1671" s="2" t="str">
        <x:v>L001667</x:v>
      </x:c>
      <x:c r="B1671" s="2" t="str">
        <x:v>O00676</x:v>
      </x:c>
      <x:c r="C1671" s="7" t="n">
        <x:v>45977</x:v>
      </x:c>
      <x:c r="D1671" s="2" t="str">
        <x:v>Completed</x:v>
      </x:c>
      <x:c r="E1671" s="2" t="str">
        <x:v>West</x:v>
      </x:c>
      <x:c r="F1671" s="2" t="str">
        <x:v>Store</x:v>
      </x:c>
      <x:c r="G1671" s="2" t="str">
        <x:v>Storage</x:v>
      </x:c>
      <x:c r="H1671" s="2" t="str">
        <x:v>Shelf 019</x:v>
      </x:c>
      <x:c r="I1671" s="11" t="n">
        <x:v>1</x:v>
      </x:c>
      <x:c r="J1671" s="9" t="n">
        <x:v>78</x:v>
      </x:c>
      <x:c r="K1671" s="10" t="n">
        <x:v>0</x:v>
      </x:c>
      <x:c r="L1671" s="11" t="n">
        <x:v>0</x:v>
      </x:c>
      <x:c r="M1671" s="9" t="n">
        <x:f>IF(D1671="Completed",I1671*J1671,0)</x:f>
        <x:v>78</x:v>
      </x:c>
      <x:c r="N1671" s="9" t="n">
        <x:f>M1671*K1671</x:f>
        <x:v>0</x:v>
      </x:c>
      <x:c r="O1671" s="9" t="n">
        <x:f>M1671-N1671</x:f>
        <x:v>78</x:v>
      </x:c>
      <x:c r="P1671" s="9" t="n">
        <x:f>IF(D1671="Completed",L1671*J1671*(1-K1671),0)</x:f>
        <x:v>0</x:v>
      </x:c>
      <x:c r="Q1671" s="9" t="n">
        <x:f>O1671-P1671</x:f>
        <x:v>78</x:v>
      </x:c>
      <x:c r="R1671" s="11" t="n">
        <x:f>IF(D1671="Completed",I1671,0)</x:f>
        <x:v>1</x:v>
      </x:c>
      <x:c r="S1671" s="11" t="n">
        <x:f>IF(D1671="Completed",L1671,0)</x:f>
        <x:v>0</x:v>
      </x:c>
      <x:c r="T1671" s="8" t="n">
        <x:f>DATE(YEAR(C1671),MONTH(C1671),1)</x:f>
        <x:v>45962</x:v>
      </x:c>
    </x:row>
    <x:row r="1672" ht="22" customHeight="1">
      <x:c r="A1672" s="2" t="str">
        <x:v>L001668</x:v>
      </x:c>
      <x:c r="B1672" s="2" t="str">
        <x:v>O00676</x:v>
      </x:c>
      <x:c r="C1672" s="7" t="n">
        <x:v>45977</x:v>
      </x:c>
      <x:c r="D1672" s="2" t="str">
        <x:v>Completed</x:v>
      </x:c>
      <x:c r="E1672" s="2" t="str">
        <x:v>West</x:v>
      </x:c>
      <x:c r="F1672" s="2" t="str">
        <x:v>Store</x:v>
      </x:c>
      <x:c r="G1672" s="2" t="str">
        <x:v>Furniture</x:v>
      </x:c>
      <x:c r="H1672" s="2" t="str">
        <x:v>Chair 018</x:v>
      </x:c>
      <x:c r="I1672" s="11" t="n">
        <x:v>3</x:v>
      </x:c>
      <x:c r="J1672" s="9" t="n">
        <x:v>269</x:v>
      </x:c>
      <x:c r="K1672" s="10" t="n">
        <x:v>0</x:v>
      </x:c>
      <x:c r="L1672" s="11" t="n">
        <x:v>0</x:v>
      </x:c>
      <x:c r="M1672" s="9" t="n">
        <x:f>IF(D1672="Completed",I1672*J1672,0)</x:f>
        <x:v>807</x:v>
      </x:c>
      <x:c r="N1672" s="9" t="n">
        <x:f>M1672*K1672</x:f>
        <x:v>0</x:v>
      </x:c>
      <x:c r="O1672" s="9" t="n">
        <x:f>M1672-N1672</x:f>
        <x:v>807</x:v>
      </x:c>
      <x:c r="P1672" s="9" t="n">
        <x:f>IF(D1672="Completed",L1672*J1672*(1-K1672),0)</x:f>
        <x:v>0</x:v>
      </x:c>
      <x:c r="Q1672" s="9" t="n">
        <x:f>O1672-P1672</x:f>
        <x:v>807</x:v>
      </x:c>
      <x:c r="R1672" s="11" t="n">
        <x:f>IF(D1672="Completed",I1672,0)</x:f>
        <x:v>3</x:v>
      </x:c>
      <x:c r="S1672" s="11" t="n">
        <x:f>IF(D1672="Completed",L1672,0)</x:f>
        <x:v>0</x:v>
      </x:c>
      <x:c r="T1672" s="8" t="n">
        <x:f>DATE(YEAR(C1672),MONTH(C1672),1)</x:f>
        <x:v>45962</x:v>
      </x:c>
    </x:row>
    <x:row r="1673" ht="22" customHeight="1">
      <x:c r="A1673" s="2" t="str">
        <x:v>L001669</x:v>
      </x:c>
      <x:c r="B1673" s="2" t="str">
        <x:v>O00676</x:v>
      </x:c>
      <x:c r="C1673" s="7" t="n">
        <x:v>45977</x:v>
      </x:c>
      <x:c r="D1673" s="2" t="str">
        <x:v>Completed</x:v>
      </x:c>
      <x:c r="E1673" s="2" t="str">
        <x:v>West</x:v>
      </x:c>
      <x:c r="F1673" s="2" t="str">
        <x:v>Store</x:v>
      </x:c>
      <x:c r="G1673" s="2" t="str">
        <x:v>Lighting</x:v>
      </x:c>
      <x:c r="H1673" s="2" t="str">
        <x:v>Lamp 017</x:v>
      </x:c>
      <x:c r="I1673" s="11" t="n">
        <x:v>3</x:v>
      </x:c>
      <x:c r="J1673" s="9" t="n">
        <x:v>300</x:v>
      </x:c>
      <x:c r="K1673" s="10" t="n">
        <x:v>0.1</x:v>
      </x:c>
      <x:c r="L1673" s="11" t="n">
        <x:v>0</x:v>
      </x:c>
      <x:c r="M1673" s="9" t="n">
        <x:f>IF(D1673="Completed",I1673*J1673,0)</x:f>
        <x:v>900</x:v>
      </x:c>
      <x:c r="N1673" s="9" t="n">
        <x:f>M1673*K1673</x:f>
        <x:v>90</x:v>
      </x:c>
      <x:c r="O1673" s="9" t="n">
        <x:f>M1673-N1673</x:f>
        <x:v>810</x:v>
      </x:c>
      <x:c r="P1673" s="9" t="n">
        <x:f>IF(D1673="Completed",L1673*J1673*(1-K1673),0)</x:f>
        <x:v>0</x:v>
      </x:c>
      <x:c r="Q1673" s="9" t="n">
        <x:f>O1673-P1673</x:f>
        <x:v>810</x:v>
      </x:c>
      <x:c r="R1673" s="11" t="n">
        <x:f>IF(D1673="Completed",I1673,0)</x:f>
        <x:v>3</x:v>
      </x:c>
      <x:c r="S1673" s="11" t="n">
        <x:f>IF(D1673="Completed",L1673,0)</x:f>
        <x:v>0</x:v>
      </x:c>
      <x:c r="T1673" s="8" t="n">
        <x:f>DATE(YEAR(C1673),MONTH(C1673),1)</x:f>
        <x:v>45962</x:v>
      </x:c>
    </x:row>
    <x:row r="1674" ht="22" customHeight="1">
      <x:c r="A1674" s="2" t="str">
        <x:v>L001670</x:v>
      </x:c>
      <x:c r="B1674" s="2" t="str">
        <x:v>O00677</x:v>
      </x:c>
      <x:c r="C1674" s="7" t="n">
        <x:v>45822</x:v>
      </x:c>
      <x:c r="D1674" s="2" t="str">
        <x:v>Completed</x:v>
      </x:c>
      <x:c r="E1674" s="2" t="str">
        <x:v>North</x:v>
      </x:c>
      <x:c r="F1674" s="2" t="str">
        <x:v>Online</x:v>
      </x:c>
      <x:c r="G1674" s="2" t="str">
        <x:v>Furniture</x:v>
      </x:c>
      <x:c r="H1674" s="2" t="str">
        <x:v>Desk 020</x:v>
      </x:c>
      <x:c r="I1674" s="11" t="n">
        <x:v>4</x:v>
      </x:c>
      <x:c r="J1674" s="9" t="n">
        <x:v>189</x:v>
      </x:c>
      <x:c r="K1674" s="10" t="n">
        <x:v>0</x:v>
      </x:c>
      <x:c r="L1674" s="11" t="n">
        <x:v>0</x:v>
      </x:c>
      <x:c r="M1674" s="9" t="n">
        <x:f>IF(D1674="Completed",I1674*J1674,0)</x:f>
        <x:v>756</x:v>
      </x:c>
      <x:c r="N1674" s="9" t="n">
        <x:f>M1674*K1674</x:f>
        <x:v>0</x:v>
      </x:c>
      <x:c r="O1674" s="9" t="n">
        <x:f>M1674-N1674</x:f>
        <x:v>756</x:v>
      </x:c>
      <x:c r="P1674" s="9" t="n">
        <x:f>IF(D1674="Completed",L1674*J1674*(1-K1674),0)</x:f>
        <x:v>0</x:v>
      </x:c>
      <x:c r="Q1674" s="9" t="n">
        <x:f>O1674-P1674</x:f>
        <x:v>756</x:v>
      </x:c>
      <x:c r="R1674" s="11" t="n">
        <x:f>IF(D1674="Completed",I1674,0)</x:f>
        <x:v>4</x:v>
      </x:c>
      <x:c r="S1674" s="11" t="n">
        <x:f>IF(D1674="Completed",L1674,0)</x:f>
        <x:v>0</x:v>
      </x:c>
      <x:c r="T1674" s="8" t="n">
        <x:f>DATE(YEAR(C1674),MONTH(C1674),1)</x:f>
        <x:v>45809</x:v>
      </x:c>
    </x:row>
    <x:row r="1675" ht="22" customHeight="1">
      <x:c r="A1675" s="2" t="str">
        <x:v>L001671</x:v>
      </x:c>
      <x:c r="B1675" s="2" t="str">
        <x:v>O00677</x:v>
      </x:c>
      <x:c r="C1675" s="7" t="n">
        <x:v>45822</x:v>
      </x:c>
      <x:c r="D1675" s="2" t="str">
        <x:v>Completed</x:v>
      </x:c>
      <x:c r="E1675" s="2" t="str">
        <x:v>North</x:v>
      </x:c>
      <x:c r="F1675" s="2" t="str">
        <x:v>Online</x:v>
      </x:c>
      <x:c r="G1675" s="2" t="str">
        <x:v>Furniture</x:v>
      </x:c>
      <x:c r="H1675" s="2" t="str">
        <x:v>Chair 006</x:v>
      </x:c>
      <x:c r="I1675" s="11" t="n">
        <x:v>2</x:v>
      </x:c>
      <x:c r="J1675" s="9" t="n">
        <x:v>196</x:v>
      </x:c>
      <x:c r="K1675" s="10" t="n">
        <x:v>0</x:v>
      </x:c>
      <x:c r="L1675" s="11" t="n">
        <x:v>0</x:v>
      </x:c>
      <x:c r="M1675" s="9" t="n">
        <x:f>IF(D1675="Completed",I1675*J1675,0)</x:f>
        <x:v>392</x:v>
      </x:c>
      <x:c r="N1675" s="9" t="n">
        <x:f>M1675*K1675</x:f>
        <x:v>0</x:v>
      </x:c>
      <x:c r="O1675" s="9" t="n">
        <x:f>M1675-N1675</x:f>
        <x:v>392</x:v>
      </x:c>
      <x:c r="P1675" s="9" t="n">
        <x:f>IF(D1675="Completed",L1675*J1675*(1-K1675),0)</x:f>
        <x:v>0</x:v>
      </x:c>
      <x:c r="Q1675" s="9" t="n">
        <x:f>O1675-P1675</x:f>
        <x:v>392</x:v>
      </x:c>
      <x:c r="R1675" s="11" t="n">
        <x:f>IF(D1675="Completed",I1675,0)</x:f>
        <x:v>2</x:v>
      </x:c>
      <x:c r="S1675" s="11" t="n">
        <x:f>IF(D1675="Completed",L1675,0)</x:f>
        <x:v>0</x:v>
      </x:c>
      <x:c r="T1675" s="8" t="n">
        <x:f>DATE(YEAR(C1675),MONTH(C1675),1)</x:f>
        <x:v>45809</x:v>
      </x:c>
    </x:row>
    <x:row r="1676" ht="22" customHeight="1">
      <x:c r="A1676" s="2" t="str">
        <x:v>L001672</x:v>
      </x:c>
      <x:c r="B1676" s="2" t="str">
        <x:v>O00678</x:v>
      </x:c>
      <x:c r="C1676" s="7" t="n">
        <x:v>46002</x:v>
      </x:c>
      <x:c r="D1676" s="2" t="str">
        <x:v>Completed</x:v>
      </x:c>
      <x:c r="E1676" s="2" t="str">
        <x:v>North</x:v>
      </x:c>
      <x:c r="F1676" s="2" t="str">
        <x:v>Store</x:v>
      </x:c>
      <x:c r="G1676" s="2" t="str">
        <x:v>Lighting</x:v>
      </x:c>
      <x:c r="H1676" s="2" t="str">
        <x:v>Lamp 017</x:v>
      </x:c>
      <x:c r="I1676" s="11" t="n">
        <x:v>4</x:v>
      </x:c>
      <x:c r="J1676" s="9" t="n">
        <x:v>300</x:v>
      </x:c>
      <x:c r="K1676" s="10" t="n">
        <x:v>0</x:v>
      </x:c>
      <x:c r="L1676" s="11" t="n">
        <x:v>0</x:v>
      </x:c>
      <x:c r="M1676" s="9" t="n">
        <x:f>IF(D1676="Completed",I1676*J1676,0)</x:f>
        <x:v>1200</x:v>
      </x:c>
      <x:c r="N1676" s="9" t="n">
        <x:f>M1676*K1676</x:f>
        <x:v>0</x:v>
      </x:c>
      <x:c r="O1676" s="9" t="n">
        <x:f>M1676-N1676</x:f>
        <x:v>1200</x:v>
      </x:c>
      <x:c r="P1676" s="9" t="n">
        <x:f>IF(D1676="Completed",L1676*J1676*(1-K1676),0)</x:f>
        <x:v>0</x:v>
      </x:c>
      <x:c r="Q1676" s="9" t="n">
        <x:f>O1676-P1676</x:f>
        <x:v>1200</x:v>
      </x:c>
      <x:c r="R1676" s="11" t="n">
        <x:f>IF(D1676="Completed",I1676,0)</x:f>
        <x:v>4</x:v>
      </x:c>
      <x:c r="S1676" s="11" t="n">
        <x:f>IF(D1676="Completed",L1676,0)</x:f>
        <x:v>0</x:v>
      </x:c>
      <x:c r="T1676" s="8" t="n">
        <x:f>DATE(YEAR(C1676),MONTH(C1676),1)</x:f>
        <x:v>45992</x:v>
      </x:c>
    </x:row>
    <x:row r="1677" ht="22" customHeight="1">
      <x:c r="A1677" s="2" t="str">
        <x:v>L001673</x:v>
      </x:c>
      <x:c r="B1677" s="2" t="str">
        <x:v>O00678</x:v>
      </x:c>
      <x:c r="C1677" s="7" t="n">
        <x:v>46002</x:v>
      </x:c>
      <x:c r="D1677" s="2" t="str">
        <x:v>Completed</x:v>
      </x:c>
      <x:c r="E1677" s="2" t="str">
        <x:v>North</x:v>
      </x:c>
      <x:c r="F1677" s="2" t="str">
        <x:v>Store</x:v>
      </x:c>
      <x:c r="G1677" s="2" t="str">
        <x:v>Furniture</x:v>
      </x:c>
      <x:c r="H1677" s="2" t="str">
        <x:v>Chair 006</x:v>
      </x:c>
      <x:c r="I1677" s="11" t="n">
        <x:v>5</x:v>
      </x:c>
      <x:c r="J1677" s="9" t="n">
        <x:v>196</x:v>
      </x:c>
      <x:c r="K1677" s="10" t="n">
        <x:v>0.1</x:v>
      </x:c>
      <x:c r="L1677" s="11" t="n">
        <x:v>0</x:v>
      </x:c>
      <x:c r="M1677" s="9" t="n">
        <x:f>IF(D1677="Completed",I1677*J1677,0)</x:f>
        <x:v>980</x:v>
      </x:c>
      <x:c r="N1677" s="9" t="n">
        <x:f>M1677*K1677</x:f>
        <x:v>98</x:v>
      </x:c>
      <x:c r="O1677" s="9" t="n">
        <x:f>M1677-N1677</x:f>
        <x:v>882</x:v>
      </x:c>
      <x:c r="P1677" s="9" t="n">
        <x:f>IF(D1677="Completed",L1677*J1677*(1-K1677),0)</x:f>
        <x:v>0</x:v>
      </x:c>
      <x:c r="Q1677" s="9" t="n">
        <x:f>O1677-P1677</x:f>
        <x:v>882</x:v>
      </x:c>
      <x:c r="R1677" s="11" t="n">
        <x:f>IF(D1677="Completed",I1677,0)</x:f>
        <x:v>5</x:v>
      </x:c>
      <x:c r="S1677" s="11" t="n">
        <x:f>IF(D1677="Completed",L1677,0)</x:f>
        <x:v>0</x:v>
      </x:c>
      <x:c r="T1677" s="8" t="n">
        <x:f>DATE(YEAR(C1677),MONTH(C1677),1)</x:f>
        <x:v>45992</x:v>
      </x:c>
    </x:row>
    <x:row r="1678" ht="22" customHeight="1">
      <x:c r="A1678" s="2" t="str">
        <x:v>L001674</x:v>
      </x:c>
      <x:c r="B1678" s="2" t="str">
        <x:v>O00679</x:v>
      </x:c>
      <x:c r="C1678" s="7" t="n">
        <x:v>45969</x:v>
      </x:c>
      <x:c r="D1678" s="2" t="str">
        <x:v>Completed</x:v>
      </x:c>
      <x:c r="E1678" s="2" t="str">
        <x:v>North</x:v>
      </x:c>
      <x:c r="F1678" s="2" t="str">
        <x:v>Store</x:v>
      </x:c>
      <x:c r="G1678" s="2" t="str">
        <x:v>Furniture</x:v>
      </x:c>
      <x:c r="H1678" s="2" t="str">
        <x:v>Chair 002</x:v>
      </x:c>
      <x:c r="I1678" s="11" t="n">
        <x:v>3</x:v>
      </x:c>
      <x:c r="J1678" s="9" t="n">
        <x:v>284</x:v>
      </x:c>
      <x:c r="K1678" s="10" t="n">
        <x:v>0.2</x:v>
      </x:c>
      <x:c r="L1678" s="11" t="n">
        <x:v>0</x:v>
      </x:c>
      <x:c r="M1678" s="9" t="n">
        <x:f>IF(D1678="Completed",I1678*J1678,0)</x:f>
        <x:v>852</x:v>
      </x:c>
      <x:c r="N1678" s="9" t="n">
        <x:f>M1678*K1678</x:f>
        <x:v>170.4</x:v>
      </x:c>
      <x:c r="O1678" s="9" t="n">
        <x:f>M1678-N1678</x:f>
        <x:v>681.6</x:v>
      </x:c>
      <x:c r="P1678" s="9" t="n">
        <x:f>IF(D1678="Completed",L1678*J1678*(1-K1678),0)</x:f>
        <x:v>0</x:v>
      </x:c>
      <x:c r="Q1678" s="9" t="n">
        <x:f>O1678-P1678</x:f>
        <x:v>681.6</x:v>
      </x:c>
      <x:c r="R1678" s="11" t="n">
        <x:f>IF(D1678="Completed",I1678,0)</x:f>
        <x:v>3</x:v>
      </x:c>
      <x:c r="S1678" s="11" t="n">
        <x:f>IF(D1678="Completed",L1678,0)</x:f>
        <x:v>0</x:v>
      </x:c>
      <x:c r="T1678" s="8" t="n">
        <x:f>DATE(YEAR(C1678),MONTH(C1678),1)</x:f>
        <x:v>45962</x:v>
      </x:c>
    </x:row>
    <x:row r="1679" ht="22" customHeight="1">
      <x:c r="A1679" s="2" t="str">
        <x:v>L001675</x:v>
      </x:c>
      <x:c r="B1679" s="2" t="str">
        <x:v>O00679</x:v>
      </x:c>
      <x:c r="C1679" s="7" t="n">
        <x:v>45969</x:v>
      </x:c>
      <x:c r="D1679" s="2" t="str">
        <x:v>Completed</x:v>
      </x:c>
      <x:c r="E1679" s="2" t="str">
        <x:v>North</x:v>
      </x:c>
      <x:c r="F1679" s="2" t="str">
        <x:v>Store</x:v>
      </x:c>
      <x:c r="G1679" s="2" t="str">
        <x:v>Lighting</x:v>
      </x:c>
      <x:c r="H1679" s="2" t="str">
        <x:v>Lamp 005</x:v>
      </x:c>
      <x:c r="I1679" s="11" t="n">
        <x:v>4</x:v>
      </x:c>
      <x:c r="J1679" s="9" t="n">
        <x:v>65</x:v>
      </x:c>
      <x:c r="K1679" s="10" t="n">
        <x:v>0.1</x:v>
      </x:c>
      <x:c r="L1679" s="11" t="n">
        <x:v>0</x:v>
      </x:c>
      <x:c r="M1679" s="9" t="n">
        <x:f>IF(D1679="Completed",I1679*J1679,0)</x:f>
        <x:v>260</x:v>
      </x:c>
      <x:c r="N1679" s="9" t="n">
        <x:f>M1679*K1679</x:f>
        <x:v>26</x:v>
      </x:c>
      <x:c r="O1679" s="9" t="n">
        <x:f>M1679-N1679</x:f>
        <x:v>234</x:v>
      </x:c>
      <x:c r="P1679" s="9" t="n">
        <x:f>IF(D1679="Completed",L1679*J1679*(1-K1679),0)</x:f>
        <x:v>0</x:v>
      </x:c>
      <x:c r="Q1679" s="9" t="n">
        <x:f>O1679-P1679</x:f>
        <x:v>234</x:v>
      </x:c>
      <x:c r="R1679" s="11" t="n">
        <x:f>IF(D1679="Completed",I1679,0)</x:f>
        <x:v>4</x:v>
      </x:c>
      <x:c r="S1679" s="11" t="n">
        <x:f>IF(D1679="Completed",L1679,0)</x:f>
        <x:v>0</x:v>
      </x:c>
      <x:c r="T1679" s="8" t="n">
        <x:f>DATE(YEAR(C1679),MONTH(C1679),1)</x:f>
        <x:v>45962</x:v>
      </x:c>
    </x:row>
    <x:row r="1680" ht="22" customHeight="1">
      <x:c r="A1680" s="2" t="str">
        <x:v>L001676</x:v>
      </x:c>
      <x:c r="B1680" s="2" t="str">
        <x:v>O00680</x:v>
      </x:c>
      <x:c r="C1680" s="7" t="n">
        <x:v>45922</x:v>
      </x:c>
      <x:c r="D1680" s="2" t="str">
        <x:v>Completed</x:v>
      </x:c>
      <x:c r="E1680" s="2" t="str">
        <x:v>West</x:v>
      </x:c>
      <x:c r="F1680" s="2" t="str">
        <x:v>Online</x:v>
      </x:c>
      <x:c r="G1680" s="2" t="str">
        <x:v>Storage</x:v>
      </x:c>
      <x:c r="H1680" s="2" t="str">
        <x:v>Shelf 011</x:v>
      </x:c>
      <x:c r="I1680" s="11" t="n">
        <x:v>4</x:v>
      </x:c>
      <x:c r="J1680" s="9" t="n">
        <x:v>80</x:v>
      </x:c>
      <x:c r="K1680" s="10" t="n">
        <x:v>0</x:v>
      </x:c>
      <x:c r="L1680" s="11" t="n">
        <x:v>0</x:v>
      </x:c>
      <x:c r="M1680" s="9" t="n">
        <x:f>IF(D1680="Completed",I1680*J1680,0)</x:f>
        <x:v>320</x:v>
      </x:c>
      <x:c r="N1680" s="9" t="n">
        <x:f>M1680*K1680</x:f>
        <x:v>0</x:v>
      </x:c>
      <x:c r="O1680" s="9" t="n">
        <x:f>M1680-N1680</x:f>
        <x:v>320</x:v>
      </x:c>
      <x:c r="P1680" s="9" t="n">
        <x:f>IF(D1680="Completed",L1680*J1680*(1-K1680),0)</x:f>
        <x:v>0</x:v>
      </x:c>
      <x:c r="Q1680" s="9" t="n">
        <x:f>O1680-P1680</x:f>
        <x:v>320</x:v>
      </x:c>
      <x:c r="R1680" s="11" t="n">
        <x:f>IF(D1680="Completed",I1680,0)</x:f>
        <x:v>4</x:v>
      </x:c>
      <x:c r="S1680" s="11" t="n">
        <x:f>IF(D1680="Completed",L1680,0)</x:f>
        <x:v>0</x:v>
      </x:c>
      <x:c r="T1680" s="8" t="n">
        <x:f>DATE(YEAR(C1680),MONTH(C1680),1)</x:f>
        <x:v>45901</x:v>
      </x:c>
    </x:row>
    <x:row r="1681" ht="22" customHeight="1">
      <x:c r="A1681" s="2" t="str">
        <x:v>L001677</x:v>
      </x:c>
      <x:c r="B1681" s="2" t="str">
        <x:v>O00681</x:v>
      </x:c>
      <x:c r="C1681" s="7" t="n">
        <x:v>45802</x:v>
      </x:c>
      <x:c r="D1681" s="2" t="str">
        <x:v>Completed</x:v>
      </x:c>
      <x:c r="E1681" s="2" t="str">
        <x:v>West</x:v>
      </x:c>
      <x:c r="F1681" s="2" t="str">
        <x:v>Store</x:v>
      </x:c>
      <x:c r="G1681" s="2" t="str">
        <x:v>Lighting</x:v>
      </x:c>
      <x:c r="H1681" s="2" t="str">
        <x:v>Lamp 021</x:v>
      </x:c>
      <x:c r="I1681" s="11" t="n">
        <x:v>4</x:v>
      </x:c>
      <x:c r="J1681" s="9" t="n">
        <x:v>249</x:v>
      </x:c>
      <x:c r="K1681" s="10" t="n">
        <x:v>0.2</x:v>
      </x:c>
      <x:c r="L1681" s="11" t="n">
        <x:v>0</x:v>
      </x:c>
      <x:c r="M1681" s="9" t="n">
        <x:f>IF(D1681="Completed",I1681*J1681,0)</x:f>
        <x:v>996</x:v>
      </x:c>
      <x:c r="N1681" s="9" t="n">
        <x:f>M1681*K1681</x:f>
        <x:v>199.20000000000002</x:v>
      </x:c>
      <x:c r="O1681" s="9" t="n">
        <x:f>M1681-N1681</x:f>
        <x:v>796.8</x:v>
      </x:c>
      <x:c r="P1681" s="9" t="n">
        <x:f>IF(D1681="Completed",L1681*J1681*(1-K1681),0)</x:f>
        <x:v>0</x:v>
      </x:c>
      <x:c r="Q1681" s="9" t="n">
        <x:f>O1681-P1681</x:f>
        <x:v>796.8</x:v>
      </x:c>
      <x:c r="R1681" s="11" t="n">
        <x:f>IF(D1681="Completed",I1681,0)</x:f>
        <x:v>4</x:v>
      </x:c>
      <x:c r="S1681" s="11" t="n">
        <x:f>IF(D1681="Completed",L1681,0)</x:f>
        <x:v>0</x:v>
      </x:c>
      <x:c r="T1681" s="8" t="n">
        <x:f>DATE(YEAR(C1681),MONTH(C1681),1)</x:f>
        <x:v>45778</x:v>
      </x:c>
    </x:row>
    <x:row r="1682" ht="22" customHeight="1">
      <x:c r="A1682" s="2" t="str">
        <x:v>L001678</x:v>
      </x:c>
      <x:c r="B1682" s="2" t="str">
        <x:v>O00681</x:v>
      </x:c>
      <x:c r="C1682" s="7" t="n">
        <x:v>45802</x:v>
      </x:c>
      <x:c r="D1682" s="2" t="str">
        <x:v>Completed</x:v>
      </x:c>
      <x:c r="E1682" s="2" t="str">
        <x:v>West</x:v>
      </x:c>
      <x:c r="F1682" s="2" t="str">
        <x:v>Store</x:v>
      </x:c>
      <x:c r="G1682" s="2" t="str">
        <x:v>Furniture</x:v>
      </x:c>
      <x:c r="H1682" s="2" t="str">
        <x:v>Chair 006</x:v>
      </x:c>
      <x:c r="I1682" s="11" t="n">
        <x:v>4</x:v>
      </x:c>
      <x:c r="J1682" s="9" t="n">
        <x:v>196</x:v>
      </x:c>
      <x:c r="K1682" s="10" t="n">
        <x:v>0.2</x:v>
      </x:c>
      <x:c r="L1682" s="11" t="n">
        <x:v>0</x:v>
      </x:c>
      <x:c r="M1682" s="9" t="n">
        <x:f>IF(D1682="Completed",I1682*J1682,0)</x:f>
        <x:v>784</x:v>
      </x:c>
      <x:c r="N1682" s="9" t="n">
        <x:f>M1682*K1682</x:f>
        <x:v>156.8</x:v>
      </x:c>
      <x:c r="O1682" s="9" t="n">
        <x:f>M1682-N1682</x:f>
        <x:v>627.2</x:v>
      </x:c>
      <x:c r="P1682" s="9" t="n">
        <x:f>IF(D1682="Completed",L1682*J1682*(1-K1682),0)</x:f>
        <x:v>0</x:v>
      </x:c>
      <x:c r="Q1682" s="9" t="n">
        <x:f>O1682-P1682</x:f>
        <x:v>627.2</x:v>
      </x:c>
      <x:c r="R1682" s="11" t="n">
        <x:f>IF(D1682="Completed",I1682,0)</x:f>
        <x:v>4</x:v>
      </x:c>
      <x:c r="S1682" s="11" t="n">
        <x:f>IF(D1682="Completed",L1682,0)</x:f>
        <x:v>0</x:v>
      </x:c>
      <x:c r="T1682" s="8" t="n">
        <x:f>DATE(YEAR(C1682),MONTH(C1682),1)</x:f>
        <x:v>45778</x:v>
      </x:c>
    </x:row>
    <x:row r="1683" ht="22" customHeight="1">
      <x:c r="A1683" s="2" t="str">
        <x:v>L001679</x:v>
      </x:c>
      <x:c r="B1683" s="2" t="str">
        <x:v>O00681</x:v>
      </x:c>
      <x:c r="C1683" s="7" t="n">
        <x:v>45802</x:v>
      </x:c>
      <x:c r="D1683" s="2" t="str">
        <x:v>Completed</x:v>
      </x:c>
      <x:c r="E1683" s="2" t="str">
        <x:v>West</x:v>
      </x:c>
      <x:c r="F1683" s="2" t="str">
        <x:v>Store</x:v>
      </x:c>
      <x:c r="G1683" s="2" t="str">
        <x:v>Lighting</x:v>
      </x:c>
      <x:c r="H1683" s="2" t="str">
        <x:v>Lamp 005</x:v>
      </x:c>
      <x:c r="I1683" s="11" t="n">
        <x:v>1</x:v>
      </x:c>
      <x:c r="J1683" s="9" t="n">
        <x:v>65</x:v>
      </x:c>
      <x:c r="K1683" s="10" t="n">
        <x:v>0.2</x:v>
      </x:c>
      <x:c r="L1683" s="11" t="n">
        <x:v>0</x:v>
      </x:c>
      <x:c r="M1683" s="9" t="n">
        <x:f>IF(D1683="Completed",I1683*J1683,0)</x:f>
        <x:v>65</x:v>
      </x:c>
      <x:c r="N1683" s="9" t="n">
        <x:f>M1683*K1683</x:f>
        <x:v>13</x:v>
      </x:c>
      <x:c r="O1683" s="9" t="n">
        <x:f>M1683-N1683</x:f>
        <x:v>52</x:v>
      </x:c>
      <x:c r="P1683" s="9" t="n">
        <x:f>IF(D1683="Completed",L1683*J1683*(1-K1683),0)</x:f>
        <x:v>0</x:v>
      </x:c>
      <x:c r="Q1683" s="9" t="n">
        <x:f>O1683-P1683</x:f>
        <x:v>52</x:v>
      </x:c>
      <x:c r="R1683" s="11" t="n">
        <x:f>IF(D1683="Completed",I1683,0)</x:f>
        <x:v>1</x:v>
      </x:c>
      <x:c r="S1683" s="11" t="n">
        <x:f>IF(D1683="Completed",L1683,0)</x:f>
        <x:v>0</x:v>
      </x:c>
      <x:c r="T1683" s="8" t="n">
        <x:f>DATE(YEAR(C1683),MONTH(C1683),1)</x:f>
        <x:v>45778</x:v>
      </x:c>
    </x:row>
    <x:row r="1684" ht="22" customHeight="1">
      <x:c r="A1684" s="2" t="str">
        <x:v>L001680</x:v>
      </x:c>
      <x:c r="B1684" s="2" t="str">
        <x:v>O00681</x:v>
      </x:c>
      <x:c r="C1684" s="7" t="n">
        <x:v>45802</x:v>
      </x:c>
      <x:c r="D1684" s="2" t="str">
        <x:v>Completed</x:v>
      </x:c>
      <x:c r="E1684" s="2" t="str">
        <x:v>West</x:v>
      </x:c>
      <x:c r="F1684" s="2" t="str">
        <x:v>Store</x:v>
      </x:c>
      <x:c r="G1684" s="2" t="str">
        <x:v>Lighting</x:v>
      </x:c>
      <x:c r="H1684" s="2" t="str">
        <x:v>Lamp 017</x:v>
      </x:c>
      <x:c r="I1684" s="11" t="n">
        <x:v>5</x:v>
      </x:c>
      <x:c r="J1684" s="9" t="n">
        <x:v>300</x:v>
      </x:c>
      <x:c r="K1684" s="10" t="n">
        <x:v>0.05</x:v>
      </x:c>
      <x:c r="L1684" s="11" t="n">
        <x:v>0</x:v>
      </x:c>
      <x:c r="M1684" s="9" t="n">
        <x:f>IF(D1684="Completed",I1684*J1684,0)</x:f>
        <x:v>1500</x:v>
      </x:c>
      <x:c r="N1684" s="9" t="n">
        <x:f>M1684*K1684</x:f>
        <x:v>75</x:v>
      </x:c>
      <x:c r="O1684" s="9" t="n">
        <x:f>M1684-N1684</x:f>
        <x:v>1425</x:v>
      </x:c>
      <x:c r="P1684" s="9" t="n">
        <x:f>IF(D1684="Completed",L1684*J1684*(1-K1684),0)</x:f>
        <x:v>0</x:v>
      </x:c>
      <x:c r="Q1684" s="9" t="n">
        <x:f>O1684-P1684</x:f>
        <x:v>1425</x:v>
      </x:c>
      <x:c r="R1684" s="11" t="n">
        <x:f>IF(D1684="Completed",I1684,0)</x:f>
        <x:v>5</x:v>
      </x:c>
      <x:c r="S1684" s="11" t="n">
        <x:f>IF(D1684="Completed",L1684,0)</x:f>
        <x:v>0</x:v>
      </x:c>
      <x:c r="T1684" s="8" t="n">
        <x:f>DATE(YEAR(C1684),MONTH(C1684),1)</x:f>
        <x:v>45778</x:v>
      </x:c>
    </x:row>
    <x:row r="1685" ht="22" customHeight="1">
      <x:c r="A1685" s="2" t="str">
        <x:v>L001681</x:v>
      </x:c>
      <x:c r="B1685" s="2" t="str">
        <x:v>O00682</x:v>
      </x:c>
      <x:c r="C1685" s="7" t="n">
        <x:v>45897</x:v>
      </x:c>
      <x:c r="D1685" s="2" t="str">
        <x:v>Completed</x:v>
      </x:c>
      <x:c r="E1685" s="2" t="str">
        <x:v>North</x:v>
      </x:c>
      <x:c r="F1685" s="2" t="str">
        <x:v>Store</x:v>
      </x:c>
      <x:c r="G1685" s="2" t="str">
        <x:v>Lighting</x:v>
      </x:c>
      <x:c r="H1685" s="2" t="str">
        <x:v>Lamp 013</x:v>
      </x:c>
      <x:c r="I1685" s="11" t="n">
        <x:v>2</x:v>
      </x:c>
      <x:c r="J1685" s="9" t="n">
        <x:v>271</x:v>
      </x:c>
      <x:c r="K1685" s="10" t="n">
        <x:v>0</x:v>
      </x:c>
      <x:c r="L1685" s="11" t="n">
        <x:v>0</x:v>
      </x:c>
      <x:c r="M1685" s="9" t="n">
        <x:f>IF(D1685="Completed",I1685*J1685,0)</x:f>
        <x:v>542</x:v>
      </x:c>
      <x:c r="N1685" s="9" t="n">
        <x:f>M1685*K1685</x:f>
        <x:v>0</x:v>
      </x:c>
      <x:c r="O1685" s="9" t="n">
        <x:f>M1685-N1685</x:f>
        <x:v>542</x:v>
      </x:c>
      <x:c r="P1685" s="9" t="n">
        <x:f>IF(D1685="Completed",L1685*J1685*(1-K1685),0)</x:f>
        <x:v>0</x:v>
      </x:c>
      <x:c r="Q1685" s="9" t="n">
        <x:f>O1685-P1685</x:f>
        <x:v>542</x:v>
      </x:c>
      <x:c r="R1685" s="11" t="n">
        <x:f>IF(D1685="Completed",I1685,0)</x:f>
        <x:v>2</x:v>
      </x:c>
      <x:c r="S1685" s="11" t="n">
        <x:f>IF(D1685="Completed",L1685,0)</x:f>
        <x:v>0</x:v>
      </x:c>
      <x:c r="T1685" s="8" t="n">
        <x:f>DATE(YEAR(C1685),MONTH(C1685),1)</x:f>
        <x:v>45870</x:v>
      </x:c>
    </x:row>
    <x:row r="1686" ht="22" customHeight="1">
      <x:c r="A1686" s="2" t="str">
        <x:v>L001682</x:v>
      </x:c>
      <x:c r="B1686" s="2" t="str">
        <x:v>O00682</x:v>
      </x:c>
      <x:c r="C1686" s="7" t="n">
        <x:v>45897</x:v>
      </x:c>
      <x:c r="D1686" s="2" t="str">
        <x:v>Completed</x:v>
      </x:c>
      <x:c r="E1686" s="2" t="str">
        <x:v>North</x:v>
      </x:c>
      <x:c r="F1686" s="2" t="str">
        <x:v>Store</x:v>
      </x:c>
      <x:c r="G1686" s="2" t="str">
        <x:v>Furniture</x:v>
      </x:c>
      <x:c r="H1686" s="2" t="str">
        <x:v>Desk 004</x:v>
      </x:c>
      <x:c r="I1686" s="11" t="n">
        <x:v>3</x:v>
      </x:c>
      <x:c r="J1686" s="9" t="n">
        <x:v>123</x:v>
      </x:c>
      <x:c r="K1686" s="10" t="n">
        <x:v>0.2</x:v>
      </x:c>
      <x:c r="L1686" s="11" t="n">
        <x:v>0</x:v>
      </x:c>
      <x:c r="M1686" s="9" t="n">
        <x:f>IF(D1686="Completed",I1686*J1686,0)</x:f>
        <x:v>369</x:v>
      </x:c>
      <x:c r="N1686" s="9" t="n">
        <x:f>M1686*K1686</x:f>
        <x:v>73.8</x:v>
      </x:c>
      <x:c r="O1686" s="9" t="n">
        <x:f>M1686-N1686</x:f>
        <x:v>295.2</x:v>
      </x:c>
      <x:c r="P1686" s="9" t="n">
        <x:f>IF(D1686="Completed",L1686*J1686*(1-K1686),0)</x:f>
        <x:v>0</x:v>
      </x:c>
      <x:c r="Q1686" s="9" t="n">
        <x:f>O1686-P1686</x:f>
        <x:v>295.2</x:v>
      </x:c>
      <x:c r="R1686" s="11" t="n">
        <x:f>IF(D1686="Completed",I1686,0)</x:f>
        <x:v>3</x:v>
      </x:c>
      <x:c r="S1686" s="11" t="n">
        <x:f>IF(D1686="Completed",L1686,0)</x:f>
        <x:v>0</x:v>
      </x:c>
      <x:c r="T1686" s="8" t="n">
        <x:f>DATE(YEAR(C1686),MONTH(C1686),1)</x:f>
        <x:v>45870</x:v>
      </x:c>
    </x:row>
    <x:row r="1687" ht="22" customHeight="1">
      <x:c r="A1687" s="2" t="str">
        <x:v>L001683</x:v>
      </x:c>
      <x:c r="B1687" s="2" t="str">
        <x:v>O00682</x:v>
      </x:c>
      <x:c r="C1687" s="7" t="n">
        <x:v>45897</x:v>
      </x:c>
      <x:c r="D1687" s="2" t="str">
        <x:v>Completed</x:v>
      </x:c>
      <x:c r="E1687" s="2" t="str">
        <x:v>North</x:v>
      </x:c>
      <x:c r="F1687" s="2" t="str">
        <x:v>Store</x:v>
      </x:c>
      <x:c r="G1687" s="2" t="str">
        <x:v>Furniture</x:v>
      </x:c>
      <x:c r="H1687" s="2" t="str">
        <x:v>Chair 010</x:v>
      </x:c>
      <x:c r="I1687" s="11" t="n">
        <x:v>2</x:v>
      </x:c>
      <x:c r="J1687" s="9" t="n">
        <x:v>211</x:v>
      </x:c>
      <x:c r="K1687" s="10" t="n">
        <x:v>0</x:v>
      </x:c>
      <x:c r="L1687" s="11" t="n">
        <x:v>0</x:v>
      </x:c>
      <x:c r="M1687" s="9" t="n">
        <x:f>IF(D1687="Completed",I1687*J1687,0)</x:f>
        <x:v>422</x:v>
      </x:c>
      <x:c r="N1687" s="9" t="n">
        <x:f>M1687*K1687</x:f>
        <x:v>0</x:v>
      </x:c>
      <x:c r="O1687" s="9" t="n">
        <x:f>M1687-N1687</x:f>
        <x:v>422</x:v>
      </x:c>
      <x:c r="P1687" s="9" t="n">
        <x:f>IF(D1687="Completed",L1687*J1687*(1-K1687),0)</x:f>
        <x:v>0</x:v>
      </x:c>
      <x:c r="Q1687" s="9" t="n">
        <x:f>O1687-P1687</x:f>
        <x:v>422</x:v>
      </x:c>
      <x:c r="R1687" s="11" t="n">
        <x:f>IF(D1687="Completed",I1687,0)</x:f>
        <x:v>2</x:v>
      </x:c>
      <x:c r="S1687" s="11" t="n">
        <x:f>IF(D1687="Completed",L1687,0)</x:f>
        <x:v>0</x:v>
      </x:c>
      <x:c r="T1687" s="8" t="n">
        <x:f>DATE(YEAR(C1687),MONTH(C1687),1)</x:f>
        <x:v>45870</x:v>
      </x:c>
    </x:row>
    <x:row r="1688" ht="22" customHeight="1">
      <x:c r="A1688" s="2" t="str">
        <x:v>L001684</x:v>
      </x:c>
      <x:c r="B1688" s="2" t="str">
        <x:v>O00683</x:v>
      </x:c>
      <x:c r="C1688" s="7" t="n">
        <x:v>45952</x:v>
      </x:c>
      <x:c r="D1688" s="2" t="str">
        <x:v>Completed</x:v>
      </x:c>
      <x:c r="E1688" s="2" t="str">
        <x:v>South</x:v>
      </x:c>
      <x:c r="F1688" s="2" t="str">
        <x:v>Store</x:v>
      </x:c>
      <x:c r="G1688" s="2" t="str">
        <x:v>Furniture</x:v>
      </x:c>
      <x:c r="H1688" s="2" t="str">
        <x:v>Chair 002</x:v>
      </x:c>
      <x:c r="I1688" s="11" t="n">
        <x:v>2</x:v>
      </x:c>
      <x:c r="J1688" s="9" t="n">
        <x:v>284</x:v>
      </x:c>
      <x:c r="K1688" s="10" t="n">
        <x:v>0.2</x:v>
      </x:c>
      <x:c r="L1688" s="11" t="n">
        <x:v>0</x:v>
      </x:c>
      <x:c r="M1688" s="9" t="n">
        <x:f>IF(D1688="Completed",I1688*J1688,0)</x:f>
        <x:v>568</x:v>
      </x:c>
      <x:c r="N1688" s="9" t="n">
        <x:f>M1688*K1688</x:f>
        <x:v>113.60000000000001</x:v>
      </x:c>
      <x:c r="O1688" s="9" t="n">
        <x:f>M1688-N1688</x:f>
        <x:v>454.4</x:v>
      </x:c>
      <x:c r="P1688" s="9" t="n">
        <x:f>IF(D1688="Completed",L1688*J1688*(1-K1688),0)</x:f>
        <x:v>0</x:v>
      </x:c>
      <x:c r="Q1688" s="9" t="n">
        <x:f>O1688-P1688</x:f>
        <x:v>454.4</x:v>
      </x:c>
      <x:c r="R1688" s="11" t="n">
        <x:f>IF(D1688="Completed",I1688,0)</x:f>
        <x:v>2</x:v>
      </x:c>
      <x:c r="S1688" s="11" t="n">
        <x:f>IF(D1688="Completed",L1688,0)</x:f>
        <x:v>0</x:v>
      </x:c>
      <x:c r="T1688" s="8" t="n">
        <x:f>DATE(YEAR(C1688),MONTH(C1688),1)</x:f>
        <x:v>45931</x:v>
      </x:c>
    </x:row>
    <x:row r="1689" ht="22" customHeight="1">
      <x:c r="A1689" s="2" t="str">
        <x:v>L001685</x:v>
      </x:c>
      <x:c r="B1689" s="2" t="str">
        <x:v>O00684</x:v>
      </x:c>
      <x:c r="C1689" s="7" t="n">
        <x:v>45718</x:v>
      </x:c>
      <x:c r="D1689" s="2" t="str">
        <x:v>Completed</x:v>
      </x:c>
      <x:c r="E1689" s="2" t="str">
        <x:v>East</x:v>
      </x:c>
      <x:c r="F1689" s="2" t="str">
        <x:v>Store</x:v>
      </x:c>
      <x:c r="G1689" s="2" t="str">
        <x:v>Lighting</x:v>
      </x:c>
      <x:c r="H1689" s="2" t="str">
        <x:v>Lamp 005</x:v>
      </x:c>
      <x:c r="I1689" s="11" t="n">
        <x:v>4</x:v>
      </x:c>
      <x:c r="J1689" s="9" t="n">
        <x:v>65</x:v>
      </x:c>
      <x:c r="K1689" s="10" t="n">
        <x:v>0</x:v>
      </x:c>
      <x:c r="L1689" s="11" t="n">
        <x:v>0</x:v>
      </x:c>
      <x:c r="M1689" s="9" t="n">
        <x:f>IF(D1689="Completed",I1689*J1689,0)</x:f>
        <x:v>260</x:v>
      </x:c>
      <x:c r="N1689" s="9" t="n">
        <x:f>M1689*K1689</x:f>
        <x:v>0</x:v>
      </x:c>
      <x:c r="O1689" s="9" t="n">
        <x:f>M1689-N1689</x:f>
        <x:v>260</x:v>
      </x:c>
      <x:c r="P1689" s="9" t="n">
        <x:f>IF(D1689="Completed",L1689*J1689*(1-K1689),0)</x:f>
        <x:v>0</x:v>
      </x:c>
      <x:c r="Q1689" s="9" t="n">
        <x:f>O1689-P1689</x:f>
        <x:v>260</x:v>
      </x:c>
      <x:c r="R1689" s="11" t="n">
        <x:f>IF(D1689="Completed",I1689,0)</x:f>
        <x:v>4</x:v>
      </x:c>
      <x:c r="S1689" s="11" t="n">
        <x:f>IF(D1689="Completed",L1689,0)</x:f>
        <x:v>0</x:v>
      </x:c>
      <x:c r="T1689" s="8" t="n">
        <x:f>DATE(YEAR(C1689),MONTH(C1689),1)</x:f>
        <x:v>45717</x:v>
      </x:c>
    </x:row>
    <x:row r="1690" ht="22" customHeight="1">
      <x:c r="A1690" s="2" t="str">
        <x:v>L001686</x:v>
      </x:c>
      <x:c r="B1690" s="2" t="str">
        <x:v>O00684</x:v>
      </x:c>
      <x:c r="C1690" s="7" t="n">
        <x:v>45718</x:v>
      </x:c>
      <x:c r="D1690" s="2" t="str">
        <x:v>Completed</x:v>
      </x:c>
      <x:c r="E1690" s="2" t="str">
        <x:v>East</x:v>
      </x:c>
      <x:c r="F1690" s="2" t="str">
        <x:v>Store</x:v>
      </x:c>
      <x:c r="G1690" s="2" t="str">
        <x:v>Lighting</x:v>
      </x:c>
      <x:c r="H1690" s="2" t="str">
        <x:v>Lamp 005</x:v>
      </x:c>
      <x:c r="I1690" s="11" t="n">
        <x:v>5</x:v>
      </x:c>
      <x:c r="J1690" s="9" t="n">
        <x:v>65</x:v>
      </x:c>
      <x:c r="K1690" s="10" t="n">
        <x:v>0.05</x:v>
      </x:c>
      <x:c r="L1690" s="11" t="n">
        <x:v>0</x:v>
      </x:c>
      <x:c r="M1690" s="9" t="n">
        <x:f>IF(D1690="Completed",I1690*J1690,0)</x:f>
        <x:v>325</x:v>
      </x:c>
      <x:c r="N1690" s="9" t="n">
        <x:f>M1690*K1690</x:f>
        <x:v>16.25</x:v>
      </x:c>
      <x:c r="O1690" s="9" t="n">
        <x:f>M1690-N1690</x:f>
        <x:v>308.75</x:v>
      </x:c>
      <x:c r="P1690" s="9" t="n">
        <x:f>IF(D1690="Completed",L1690*J1690*(1-K1690),0)</x:f>
        <x:v>0</x:v>
      </x:c>
      <x:c r="Q1690" s="9" t="n">
        <x:f>O1690-P1690</x:f>
        <x:v>308.75</x:v>
      </x:c>
      <x:c r="R1690" s="11" t="n">
        <x:f>IF(D1690="Completed",I1690,0)</x:f>
        <x:v>5</x:v>
      </x:c>
      <x:c r="S1690" s="11" t="n">
        <x:f>IF(D1690="Completed",L1690,0)</x:f>
        <x:v>0</x:v>
      </x:c>
      <x:c r="T1690" s="8" t="n">
        <x:f>DATE(YEAR(C1690),MONTH(C1690),1)</x:f>
        <x:v>45717</x:v>
      </x:c>
    </x:row>
    <x:row r="1691" ht="22" customHeight="1">
      <x:c r="A1691" s="2" t="str">
        <x:v>L001687</x:v>
      </x:c>
      <x:c r="B1691" s="2" t="str">
        <x:v>O00684</x:v>
      </x:c>
      <x:c r="C1691" s="7" t="n">
        <x:v>45718</x:v>
      </x:c>
      <x:c r="D1691" s="2" t="str">
        <x:v>Completed</x:v>
      </x:c>
      <x:c r="E1691" s="2" t="str">
        <x:v>East</x:v>
      </x:c>
      <x:c r="F1691" s="2" t="str">
        <x:v>Store</x:v>
      </x:c>
      <x:c r="G1691" s="2" t="str">
        <x:v>Storage</x:v>
      </x:c>
      <x:c r="H1691" s="2" t="str">
        <x:v>Shelf 019</x:v>
      </x:c>
      <x:c r="I1691" s="11" t="n">
        <x:v>4</x:v>
      </x:c>
      <x:c r="J1691" s="9" t="n">
        <x:v>78</x:v>
      </x:c>
      <x:c r="K1691" s="10" t="n">
        <x:v>0.1</x:v>
      </x:c>
      <x:c r="L1691" s="11" t="n">
        <x:v>0</x:v>
      </x:c>
      <x:c r="M1691" s="9" t="n">
        <x:f>IF(D1691="Completed",I1691*J1691,0)</x:f>
        <x:v>312</x:v>
      </x:c>
      <x:c r="N1691" s="9" t="n">
        <x:f>M1691*K1691</x:f>
        <x:v>31.200000000000003</x:v>
      </x:c>
      <x:c r="O1691" s="9" t="n">
        <x:f>M1691-N1691</x:f>
        <x:v>280.8</x:v>
      </x:c>
      <x:c r="P1691" s="9" t="n">
        <x:f>IF(D1691="Completed",L1691*J1691*(1-K1691),0)</x:f>
        <x:v>0</x:v>
      </x:c>
      <x:c r="Q1691" s="9" t="n">
        <x:f>O1691-P1691</x:f>
        <x:v>280.8</x:v>
      </x:c>
      <x:c r="R1691" s="11" t="n">
        <x:f>IF(D1691="Completed",I1691,0)</x:f>
        <x:v>4</x:v>
      </x:c>
      <x:c r="S1691" s="11" t="n">
        <x:f>IF(D1691="Completed",L1691,0)</x:f>
        <x:v>0</x:v>
      </x:c>
      <x:c r="T1691" s="8" t="n">
        <x:f>DATE(YEAR(C1691),MONTH(C1691),1)</x:f>
        <x:v>45717</x:v>
      </x:c>
    </x:row>
    <x:row r="1692" ht="22" customHeight="1">
      <x:c r="A1692" s="2" t="str">
        <x:v>L001688</x:v>
      </x:c>
      <x:c r="B1692" s="2" t="str">
        <x:v>O00684</x:v>
      </x:c>
      <x:c r="C1692" s="7" t="n">
        <x:v>45718</x:v>
      </x:c>
      <x:c r="D1692" s="2" t="str">
        <x:v>Completed</x:v>
      </x:c>
      <x:c r="E1692" s="2" t="str">
        <x:v>East</x:v>
      </x:c>
      <x:c r="F1692" s="2" t="str">
        <x:v>Store</x:v>
      </x:c>
      <x:c r="G1692" s="2" t="str">
        <x:v>Lighting</x:v>
      </x:c>
      <x:c r="H1692" s="2" t="str">
        <x:v>Lamp 021</x:v>
      </x:c>
      <x:c r="I1692" s="11" t="n">
        <x:v>5</x:v>
      </x:c>
      <x:c r="J1692" s="9" t="n">
        <x:v>249</x:v>
      </x:c>
      <x:c r="K1692" s="10" t="n">
        <x:v>0.2</x:v>
      </x:c>
      <x:c r="L1692" s="11" t="n">
        <x:v>0</x:v>
      </x:c>
      <x:c r="M1692" s="9" t="n">
        <x:f>IF(D1692="Completed",I1692*J1692,0)</x:f>
        <x:v>1245</x:v>
      </x:c>
      <x:c r="N1692" s="9" t="n">
        <x:f>M1692*K1692</x:f>
        <x:v>249</x:v>
      </x:c>
      <x:c r="O1692" s="9" t="n">
        <x:f>M1692-N1692</x:f>
        <x:v>996</x:v>
      </x:c>
      <x:c r="P1692" s="9" t="n">
        <x:f>IF(D1692="Completed",L1692*J1692*(1-K1692),0)</x:f>
        <x:v>0</x:v>
      </x:c>
      <x:c r="Q1692" s="9" t="n">
        <x:f>O1692-P1692</x:f>
        <x:v>996</x:v>
      </x:c>
      <x:c r="R1692" s="11" t="n">
        <x:f>IF(D1692="Completed",I1692,0)</x:f>
        <x:v>5</x:v>
      </x:c>
      <x:c r="S1692" s="11" t="n">
        <x:f>IF(D1692="Completed",L1692,0)</x:f>
        <x:v>0</x:v>
      </x:c>
      <x:c r="T1692" s="8" t="n">
        <x:f>DATE(YEAR(C1692),MONTH(C1692),1)</x:f>
        <x:v>45717</x:v>
      </x:c>
    </x:row>
    <x:row r="1693" ht="22" customHeight="1">
      <x:c r="A1693" s="2" t="str">
        <x:v>L001689</x:v>
      </x:c>
      <x:c r="B1693" s="2" t="str">
        <x:v>O00685</x:v>
      </x:c>
      <x:c r="C1693" s="7" t="n">
        <x:v>45679</x:v>
      </x:c>
      <x:c r="D1693" s="2" t="str">
        <x:v>Completed</x:v>
      </x:c>
      <x:c r="E1693" s="2" t="str">
        <x:v>West</x:v>
      </x:c>
      <x:c r="F1693" s="2" t="str">
        <x:v>Online</x:v>
      </x:c>
      <x:c r="G1693" s="2" t="str">
        <x:v>Lighting</x:v>
      </x:c>
      <x:c r="H1693" s="2" t="str">
        <x:v>Lamp 009</x:v>
      </x:c>
      <x:c r="I1693" s="11" t="n">
        <x:v>2</x:v>
      </x:c>
      <x:c r="J1693" s="9" t="n">
        <x:v>93</x:v>
      </x:c>
      <x:c r="K1693" s="10" t="n">
        <x:v>0.2</x:v>
      </x:c>
      <x:c r="L1693" s="11" t="n">
        <x:v>0</x:v>
      </x:c>
      <x:c r="M1693" s="9" t="n">
        <x:f>IF(D1693="Completed",I1693*J1693,0)</x:f>
        <x:v>186</x:v>
      </x:c>
      <x:c r="N1693" s="9" t="n">
        <x:f>M1693*K1693</x:f>
        <x:v>37.2</x:v>
      </x:c>
      <x:c r="O1693" s="9" t="n">
        <x:f>M1693-N1693</x:f>
        <x:v>148.8</x:v>
      </x:c>
      <x:c r="P1693" s="9" t="n">
        <x:f>IF(D1693="Completed",L1693*J1693*(1-K1693),0)</x:f>
        <x:v>0</x:v>
      </x:c>
      <x:c r="Q1693" s="9" t="n">
        <x:f>O1693-P1693</x:f>
        <x:v>148.8</x:v>
      </x:c>
      <x:c r="R1693" s="11" t="n">
        <x:f>IF(D1693="Completed",I1693,0)</x:f>
        <x:v>2</x:v>
      </x:c>
      <x:c r="S1693" s="11" t="n">
        <x:f>IF(D1693="Completed",L1693,0)</x:f>
        <x:v>0</x:v>
      </x:c>
      <x:c r="T1693" s="8" t="n">
        <x:f>DATE(YEAR(C1693),MONTH(C1693),1)</x:f>
        <x:v>45658</x:v>
      </x:c>
    </x:row>
    <x:row r="1694" ht="22" customHeight="1">
      <x:c r="A1694" s="2" t="str">
        <x:v>L001690</x:v>
      </x:c>
      <x:c r="B1694" s="2" t="str">
        <x:v>O00685</x:v>
      </x:c>
      <x:c r="C1694" s="7" t="n">
        <x:v>45679</x:v>
      </x:c>
      <x:c r="D1694" s="2" t="str">
        <x:v>Completed</x:v>
      </x:c>
      <x:c r="E1694" s="2" t="str">
        <x:v>West</x:v>
      </x:c>
      <x:c r="F1694" s="2" t="str">
        <x:v>Online</x:v>
      </x:c>
      <x:c r="G1694" s="2" t="str">
        <x:v>Furniture</x:v>
      </x:c>
      <x:c r="H1694" s="2" t="str">
        <x:v>Chair 022</x:v>
      </x:c>
      <x:c r="I1694" s="11" t="n">
        <x:v>3</x:v>
      </x:c>
      <x:c r="J1694" s="9" t="n">
        <x:v>134</x:v>
      </x:c>
      <x:c r="K1694" s="10" t="n">
        <x:v>0</x:v>
      </x:c>
      <x:c r="L1694" s="11" t="n">
        <x:v>0</x:v>
      </x:c>
      <x:c r="M1694" s="9" t="n">
        <x:f>IF(D1694="Completed",I1694*J1694,0)</x:f>
        <x:v>402</x:v>
      </x:c>
      <x:c r="N1694" s="9" t="n">
        <x:f>M1694*K1694</x:f>
        <x:v>0</x:v>
      </x:c>
      <x:c r="O1694" s="9" t="n">
        <x:f>M1694-N1694</x:f>
        <x:v>402</x:v>
      </x:c>
      <x:c r="P1694" s="9" t="n">
        <x:f>IF(D1694="Completed",L1694*J1694*(1-K1694),0)</x:f>
        <x:v>0</x:v>
      </x:c>
      <x:c r="Q1694" s="9" t="n">
        <x:f>O1694-P1694</x:f>
        <x:v>402</x:v>
      </x:c>
      <x:c r="R1694" s="11" t="n">
        <x:f>IF(D1694="Completed",I1694,0)</x:f>
        <x:v>3</x:v>
      </x:c>
      <x:c r="S1694" s="11" t="n">
        <x:f>IF(D1694="Completed",L1694,0)</x:f>
        <x:v>0</x:v>
      </x:c>
      <x:c r="T1694" s="8" t="n">
        <x:f>DATE(YEAR(C1694),MONTH(C1694),1)</x:f>
        <x:v>45658</x:v>
      </x:c>
    </x:row>
    <x:row r="1695" ht="22" customHeight="1">
      <x:c r="A1695" s="2" t="str">
        <x:v>L001691</x:v>
      </x:c>
      <x:c r="B1695" s="2" t="str">
        <x:v>O00686</x:v>
      </x:c>
      <x:c r="C1695" s="7" t="n">
        <x:v>45939</x:v>
      </x:c>
      <x:c r="D1695" s="2" t="str">
        <x:v>Completed</x:v>
      </x:c>
      <x:c r="E1695" s="2" t="str">
        <x:v>East</x:v>
      </x:c>
      <x:c r="F1695" s="2" t="str">
        <x:v>Store</x:v>
      </x:c>
      <x:c r="G1695" s="2" t="str">
        <x:v>Storage</x:v>
      </x:c>
      <x:c r="H1695" s="2" t="str">
        <x:v>Shelf 007</x:v>
      </x:c>
      <x:c r="I1695" s="11" t="n">
        <x:v>4</x:v>
      </x:c>
      <x:c r="J1695" s="9" t="n">
        <x:v>35</x:v>
      </x:c>
      <x:c r="K1695" s="10" t="n">
        <x:v>0.2</x:v>
      </x:c>
      <x:c r="L1695" s="11" t="n">
        <x:v>0</x:v>
      </x:c>
      <x:c r="M1695" s="9" t="n">
        <x:f>IF(D1695="Completed",I1695*J1695,0)</x:f>
        <x:v>140</x:v>
      </x:c>
      <x:c r="N1695" s="9" t="n">
        <x:f>M1695*K1695</x:f>
        <x:v>28</x:v>
      </x:c>
      <x:c r="O1695" s="9" t="n">
        <x:f>M1695-N1695</x:f>
        <x:v>112</x:v>
      </x:c>
      <x:c r="P1695" s="9" t="n">
        <x:f>IF(D1695="Completed",L1695*J1695*(1-K1695),0)</x:f>
        <x:v>0</x:v>
      </x:c>
      <x:c r="Q1695" s="9" t="n">
        <x:f>O1695-P1695</x:f>
        <x:v>112</x:v>
      </x:c>
      <x:c r="R1695" s="11" t="n">
        <x:f>IF(D1695="Completed",I1695,0)</x:f>
        <x:v>4</x:v>
      </x:c>
      <x:c r="S1695" s="11" t="n">
        <x:f>IF(D1695="Completed",L1695,0)</x:f>
        <x:v>0</x:v>
      </x:c>
      <x:c r="T1695" s="8" t="n">
        <x:f>DATE(YEAR(C1695),MONTH(C1695),1)</x:f>
        <x:v>45931</x:v>
      </x:c>
    </x:row>
    <x:row r="1696" ht="22" customHeight="1">
      <x:c r="A1696" s="2" t="str">
        <x:v>L001692</x:v>
      </x:c>
      <x:c r="B1696" s="2" t="str">
        <x:v>O00686</x:v>
      </x:c>
      <x:c r="C1696" s="7" t="n">
        <x:v>45939</x:v>
      </x:c>
      <x:c r="D1696" s="2" t="str">
        <x:v>Completed</x:v>
      </x:c>
      <x:c r="E1696" s="2" t="str">
        <x:v>East</x:v>
      </x:c>
      <x:c r="F1696" s="2" t="str">
        <x:v>Store</x:v>
      </x:c>
      <x:c r="G1696" s="2" t="str">
        <x:v>Furniture</x:v>
      </x:c>
      <x:c r="H1696" s="2" t="str">
        <x:v>Desk 016</x:v>
      </x:c>
      <x:c r="I1696" s="11" t="n">
        <x:v>3</x:v>
      </x:c>
      <x:c r="J1696" s="9" t="n">
        <x:v>231</x:v>
      </x:c>
      <x:c r="K1696" s="10" t="n">
        <x:v>0</x:v>
      </x:c>
      <x:c r="L1696" s="11" t="n">
        <x:v>0</x:v>
      </x:c>
      <x:c r="M1696" s="9" t="n">
        <x:f>IF(D1696="Completed",I1696*J1696,0)</x:f>
        <x:v>693</x:v>
      </x:c>
      <x:c r="N1696" s="9" t="n">
        <x:f>M1696*K1696</x:f>
        <x:v>0</x:v>
      </x:c>
      <x:c r="O1696" s="9" t="n">
        <x:f>M1696-N1696</x:f>
        <x:v>693</x:v>
      </x:c>
      <x:c r="P1696" s="9" t="n">
        <x:f>IF(D1696="Completed",L1696*J1696*(1-K1696),0)</x:f>
        <x:v>0</x:v>
      </x:c>
      <x:c r="Q1696" s="9" t="n">
        <x:f>O1696-P1696</x:f>
        <x:v>693</x:v>
      </x:c>
      <x:c r="R1696" s="11" t="n">
        <x:f>IF(D1696="Completed",I1696,0)</x:f>
        <x:v>3</x:v>
      </x:c>
      <x:c r="S1696" s="11" t="n">
        <x:f>IF(D1696="Completed",L1696,0)</x:f>
        <x:v>0</x:v>
      </x:c>
      <x:c r="T1696" s="8" t="n">
        <x:f>DATE(YEAR(C1696),MONTH(C1696),1)</x:f>
        <x:v>45931</x:v>
      </x:c>
    </x:row>
    <x:row r="1697" ht="22" customHeight="1">
      <x:c r="A1697" s="2" t="str">
        <x:v>L001693</x:v>
      </x:c>
      <x:c r="B1697" s="2" t="str">
        <x:v>O00686</x:v>
      </x:c>
      <x:c r="C1697" s="7" t="n">
        <x:v>45939</x:v>
      </x:c>
      <x:c r="D1697" s="2" t="str">
        <x:v>Completed</x:v>
      </x:c>
      <x:c r="E1697" s="2" t="str">
        <x:v>East</x:v>
      </x:c>
      <x:c r="F1697" s="2" t="str">
        <x:v>Store</x:v>
      </x:c>
      <x:c r="G1697" s="2" t="str">
        <x:v>Lighting</x:v>
      </x:c>
      <x:c r="H1697" s="2" t="str">
        <x:v>Lamp 013</x:v>
      </x:c>
      <x:c r="I1697" s="11" t="n">
        <x:v>2</x:v>
      </x:c>
      <x:c r="J1697" s="9" t="n">
        <x:v>271</x:v>
      </x:c>
      <x:c r="K1697" s="10" t="n">
        <x:v>0.1</x:v>
      </x:c>
      <x:c r="L1697" s="11" t="n">
        <x:v>0</x:v>
      </x:c>
      <x:c r="M1697" s="9" t="n">
        <x:f>IF(D1697="Completed",I1697*J1697,0)</x:f>
        <x:v>542</x:v>
      </x:c>
      <x:c r="N1697" s="9" t="n">
        <x:f>M1697*K1697</x:f>
        <x:v>54.2</x:v>
      </x:c>
      <x:c r="O1697" s="9" t="n">
        <x:f>M1697-N1697</x:f>
        <x:v>487.8</x:v>
      </x:c>
      <x:c r="P1697" s="9" t="n">
        <x:f>IF(D1697="Completed",L1697*J1697*(1-K1697),0)</x:f>
        <x:v>0</x:v>
      </x:c>
      <x:c r="Q1697" s="9" t="n">
        <x:f>O1697-P1697</x:f>
        <x:v>487.8</x:v>
      </x:c>
      <x:c r="R1697" s="11" t="n">
        <x:f>IF(D1697="Completed",I1697,0)</x:f>
        <x:v>2</x:v>
      </x:c>
      <x:c r="S1697" s="11" t="n">
        <x:f>IF(D1697="Completed",L1697,0)</x:f>
        <x:v>0</x:v>
      </x:c>
      <x:c r="T1697" s="8" t="n">
        <x:f>DATE(YEAR(C1697),MONTH(C1697),1)</x:f>
        <x:v>45931</x:v>
      </x:c>
    </x:row>
    <x:row r="1698" ht="22" customHeight="1">
      <x:c r="A1698" s="2" t="str">
        <x:v>L001694</x:v>
      </x:c>
      <x:c r="B1698" s="2" t="str">
        <x:v>O00687</x:v>
      </x:c>
      <x:c r="C1698" s="7" t="n">
        <x:v>45827</x:v>
      </x:c>
      <x:c r="D1698" s="2" t="str">
        <x:v>Completed</x:v>
      </x:c>
      <x:c r="E1698" s="2" t="str">
        <x:v>North</x:v>
      </x:c>
      <x:c r="F1698" s="2" t="str">
        <x:v>Online</x:v>
      </x:c>
      <x:c r="G1698" s="2" t="str">
        <x:v>Furniture</x:v>
      </x:c>
      <x:c r="H1698" s="2" t="str">
        <x:v>Desk 008</x:v>
      </x:c>
      <x:c r="I1698" s="11" t="n">
        <x:v>1</x:v>
      </x:c>
      <x:c r="J1698" s="9" t="n">
        <x:v>188</x:v>
      </x:c>
      <x:c r="K1698" s="10" t="n">
        <x:v>0</x:v>
      </x:c>
      <x:c r="L1698" s="11" t="n">
        <x:v>0</x:v>
      </x:c>
      <x:c r="M1698" s="9" t="n">
        <x:f>IF(D1698="Completed",I1698*J1698,0)</x:f>
        <x:v>188</x:v>
      </x:c>
      <x:c r="N1698" s="9" t="n">
        <x:f>M1698*K1698</x:f>
        <x:v>0</x:v>
      </x:c>
      <x:c r="O1698" s="9" t="n">
        <x:f>M1698-N1698</x:f>
        <x:v>188</x:v>
      </x:c>
      <x:c r="P1698" s="9" t="n">
        <x:f>IF(D1698="Completed",L1698*J1698*(1-K1698),0)</x:f>
        <x:v>0</x:v>
      </x:c>
      <x:c r="Q1698" s="9" t="n">
        <x:f>O1698-P1698</x:f>
        <x:v>188</x:v>
      </x:c>
      <x:c r="R1698" s="11" t="n">
        <x:f>IF(D1698="Completed",I1698,0)</x:f>
        <x:v>1</x:v>
      </x:c>
      <x:c r="S1698" s="11" t="n">
        <x:f>IF(D1698="Completed",L1698,0)</x:f>
        <x:v>0</x:v>
      </x:c>
      <x:c r="T1698" s="8" t="n">
        <x:f>DATE(YEAR(C1698),MONTH(C1698),1)</x:f>
        <x:v>45809</x:v>
      </x:c>
    </x:row>
    <x:row r="1699" ht="22" customHeight="1">
      <x:c r="A1699" s="2" t="str">
        <x:v>L001695</x:v>
      </x:c>
      <x:c r="B1699" s="2" t="str">
        <x:v>O00687</x:v>
      </x:c>
      <x:c r="C1699" s="7" t="n">
        <x:v>45827</x:v>
      </x:c>
      <x:c r="D1699" s="2" t="str">
        <x:v>Completed</x:v>
      </x:c>
      <x:c r="E1699" s="2" t="str">
        <x:v>North</x:v>
      </x:c>
      <x:c r="F1699" s="2" t="str">
        <x:v>Online</x:v>
      </x:c>
      <x:c r="G1699" s="2" t="str">
        <x:v>Furniture</x:v>
      </x:c>
      <x:c r="H1699" s="2" t="str">
        <x:v>Chair 002</x:v>
      </x:c>
      <x:c r="I1699" s="11" t="n">
        <x:v>2</x:v>
      </x:c>
      <x:c r="J1699" s="9" t="n">
        <x:v>284</x:v>
      </x:c>
      <x:c r="K1699" s="10" t="n">
        <x:v>0.05</x:v>
      </x:c>
      <x:c r="L1699" s="11" t="n">
        <x:v>2</x:v>
      </x:c>
      <x:c r="M1699" s="9" t="n">
        <x:f>IF(D1699="Completed",I1699*J1699,0)</x:f>
        <x:v>568</x:v>
      </x:c>
      <x:c r="N1699" s="9" t="n">
        <x:f>M1699*K1699</x:f>
        <x:v>28.400000000000002</x:v>
      </x:c>
      <x:c r="O1699" s="9" t="n">
        <x:f>M1699-N1699</x:f>
        <x:v>539.6</x:v>
      </x:c>
      <x:c r="P1699" s="9" t="n">
        <x:f>IF(D1699="Completed",L1699*J1699*(1-K1699),0)</x:f>
        <x:v>539.6</x:v>
      </x:c>
      <x:c r="Q1699" s="9" t="n">
        <x:f>O1699-P1699</x:f>
        <x:v>0</x:v>
      </x:c>
      <x:c r="R1699" s="11" t="n">
        <x:f>IF(D1699="Completed",I1699,0)</x:f>
        <x:v>2</x:v>
      </x:c>
      <x:c r="S1699" s="11" t="n">
        <x:f>IF(D1699="Completed",L1699,0)</x:f>
        <x:v>2</x:v>
      </x:c>
      <x:c r="T1699" s="8" t="n">
        <x:f>DATE(YEAR(C1699),MONTH(C1699),1)</x:f>
        <x:v>45809</x:v>
      </x:c>
    </x:row>
    <x:row r="1700" ht="22" customHeight="1">
      <x:c r="A1700" s="2" t="str">
        <x:v>L001696</x:v>
      </x:c>
      <x:c r="B1700" s="2" t="str">
        <x:v>O00687</x:v>
      </x:c>
      <x:c r="C1700" s="7" t="n">
        <x:v>45827</x:v>
      </x:c>
      <x:c r="D1700" s="2" t="str">
        <x:v>Completed</x:v>
      </x:c>
      <x:c r="E1700" s="2" t="str">
        <x:v>North</x:v>
      </x:c>
      <x:c r="F1700" s="2" t="str">
        <x:v>Online</x:v>
      </x:c>
      <x:c r="G1700" s="2" t="str">
        <x:v>Storage</x:v>
      </x:c>
      <x:c r="H1700" s="2" t="str">
        <x:v>Shelf 007</x:v>
      </x:c>
      <x:c r="I1700" s="11" t="n">
        <x:v>2</x:v>
      </x:c>
      <x:c r="J1700" s="9" t="n">
        <x:v>35</x:v>
      </x:c>
      <x:c r="K1700" s="10" t="n">
        <x:v>0.05</x:v>
      </x:c>
      <x:c r="L1700" s="11" t="n">
        <x:v>0</x:v>
      </x:c>
      <x:c r="M1700" s="9" t="n">
        <x:f>IF(D1700="Completed",I1700*J1700,0)</x:f>
        <x:v>70</x:v>
      </x:c>
      <x:c r="N1700" s="9" t="n">
        <x:f>M1700*K1700</x:f>
        <x:v>3.5</x:v>
      </x:c>
      <x:c r="O1700" s="9" t="n">
        <x:f>M1700-N1700</x:f>
        <x:v>66.5</x:v>
      </x:c>
      <x:c r="P1700" s="9" t="n">
        <x:f>IF(D1700="Completed",L1700*J1700*(1-K1700),0)</x:f>
        <x:v>0</x:v>
      </x:c>
      <x:c r="Q1700" s="9" t="n">
        <x:f>O1700-P1700</x:f>
        <x:v>66.5</x:v>
      </x:c>
      <x:c r="R1700" s="11" t="n">
        <x:f>IF(D1700="Completed",I1700,0)</x:f>
        <x:v>2</x:v>
      </x:c>
      <x:c r="S1700" s="11" t="n">
        <x:f>IF(D1700="Completed",L1700,0)</x:f>
        <x:v>0</x:v>
      </x:c>
      <x:c r="T1700" s="8" t="n">
        <x:f>DATE(YEAR(C1700),MONTH(C1700),1)</x:f>
        <x:v>45809</x:v>
      </x:c>
    </x:row>
    <x:row r="1701" ht="22" customHeight="1">
      <x:c r="A1701" s="2" t="str">
        <x:v>L001697</x:v>
      </x:c>
      <x:c r="B1701" s="2" t="str">
        <x:v>O00687</x:v>
      </x:c>
      <x:c r="C1701" s="7" t="n">
        <x:v>45827</x:v>
      </x:c>
      <x:c r="D1701" s="2" t="str">
        <x:v>Completed</x:v>
      </x:c>
      <x:c r="E1701" s="2" t="str">
        <x:v>North</x:v>
      </x:c>
      <x:c r="F1701" s="2" t="str">
        <x:v>Online</x:v>
      </x:c>
      <x:c r="G1701" s="2" t="str">
        <x:v>Furniture</x:v>
      </x:c>
      <x:c r="H1701" s="2" t="str">
        <x:v>Desk 012</x:v>
      </x:c>
      <x:c r="I1701" s="11" t="n">
        <x:v>2</x:v>
      </x:c>
      <x:c r="J1701" s="9" t="n">
        <x:v>134</x:v>
      </x:c>
      <x:c r="K1701" s="10" t="n">
        <x:v>0.2</x:v>
      </x:c>
      <x:c r="L1701" s="11" t="n">
        <x:v>0</x:v>
      </x:c>
      <x:c r="M1701" s="9" t="n">
        <x:f>IF(D1701="Completed",I1701*J1701,0)</x:f>
        <x:v>268</x:v>
      </x:c>
      <x:c r="N1701" s="9" t="n">
        <x:f>M1701*K1701</x:f>
        <x:v>53.6</x:v>
      </x:c>
      <x:c r="O1701" s="9" t="n">
        <x:f>M1701-N1701</x:f>
        <x:v>214.4</x:v>
      </x:c>
      <x:c r="P1701" s="9" t="n">
        <x:f>IF(D1701="Completed",L1701*J1701*(1-K1701),0)</x:f>
        <x:v>0</x:v>
      </x:c>
      <x:c r="Q1701" s="9" t="n">
        <x:f>O1701-P1701</x:f>
        <x:v>214.4</x:v>
      </x:c>
      <x:c r="R1701" s="11" t="n">
        <x:f>IF(D1701="Completed",I1701,0)</x:f>
        <x:v>2</x:v>
      </x:c>
      <x:c r="S1701" s="11" t="n">
        <x:f>IF(D1701="Completed",L1701,0)</x:f>
        <x:v>0</x:v>
      </x:c>
      <x:c r="T1701" s="8" t="n">
        <x:f>DATE(YEAR(C1701),MONTH(C1701),1)</x:f>
        <x:v>45809</x:v>
      </x:c>
    </x:row>
    <x:row r="1702" ht="22" customHeight="1">
      <x:c r="A1702" s="2" t="str">
        <x:v>L001698</x:v>
      </x:c>
      <x:c r="B1702" s="2" t="str">
        <x:v>O00688</x:v>
      </x:c>
      <x:c r="C1702" s="7" t="n">
        <x:v>45909</x:v>
      </x:c>
      <x:c r="D1702" s="2" t="str">
        <x:v>Completed</x:v>
      </x:c>
      <x:c r="E1702" s="2" t="str">
        <x:v>West</x:v>
      </x:c>
      <x:c r="F1702" s="2" t="str">
        <x:v>Store</x:v>
      </x:c>
      <x:c r="G1702" s="2" t="str">
        <x:v>Furniture</x:v>
      </x:c>
      <x:c r="H1702" s="2" t="str">
        <x:v>Desk 012</x:v>
      </x:c>
      <x:c r="I1702" s="11" t="n">
        <x:v>3</x:v>
      </x:c>
      <x:c r="J1702" s="9" t="n">
        <x:v>134</x:v>
      </x:c>
      <x:c r="K1702" s="10" t="n">
        <x:v>0.2</x:v>
      </x:c>
      <x:c r="L1702" s="11" t="n">
        <x:v>0</x:v>
      </x:c>
      <x:c r="M1702" s="9" t="n">
        <x:f>IF(D1702="Completed",I1702*J1702,0)</x:f>
        <x:v>402</x:v>
      </x:c>
      <x:c r="N1702" s="9" t="n">
        <x:f>M1702*K1702</x:f>
        <x:v>80.4</x:v>
      </x:c>
      <x:c r="O1702" s="9" t="n">
        <x:f>M1702-N1702</x:f>
        <x:v>321.6</x:v>
      </x:c>
      <x:c r="P1702" s="9" t="n">
        <x:f>IF(D1702="Completed",L1702*J1702*(1-K1702),0)</x:f>
        <x:v>0</x:v>
      </x:c>
      <x:c r="Q1702" s="9" t="n">
        <x:f>O1702-P1702</x:f>
        <x:v>321.6</x:v>
      </x:c>
      <x:c r="R1702" s="11" t="n">
        <x:f>IF(D1702="Completed",I1702,0)</x:f>
        <x:v>3</x:v>
      </x:c>
      <x:c r="S1702" s="11" t="n">
        <x:f>IF(D1702="Completed",L1702,0)</x:f>
        <x:v>0</x:v>
      </x:c>
      <x:c r="T1702" s="8" t="n">
        <x:f>DATE(YEAR(C1702),MONTH(C1702),1)</x:f>
        <x:v>45901</x:v>
      </x:c>
    </x:row>
    <x:row r="1703" ht="22" customHeight="1">
      <x:c r="A1703" s="2" t="str">
        <x:v>L001699</x:v>
      </x:c>
      <x:c r="B1703" s="2" t="str">
        <x:v>O00688</x:v>
      </x:c>
      <x:c r="C1703" s="7" t="n">
        <x:v>45909</x:v>
      </x:c>
      <x:c r="D1703" s="2" t="str">
        <x:v>Completed</x:v>
      </x:c>
      <x:c r="E1703" s="2" t="str">
        <x:v>West</x:v>
      </x:c>
      <x:c r="F1703" s="2" t="str">
        <x:v>Store</x:v>
      </x:c>
      <x:c r="G1703" s="2" t="str">
        <x:v>Furniture</x:v>
      </x:c>
      <x:c r="H1703" s="2" t="str">
        <x:v>Chair 014</x:v>
      </x:c>
      <x:c r="I1703" s="11" t="n">
        <x:v>3</x:v>
      </x:c>
      <x:c r="J1703" s="9" t="n">
        <x:v>294</x:v>
      </x:c>
      <x:c r="K1703" s="10" t="n">
        <x:v>0</x:v>
      </x:c>
      <x:c r="L1703" s="11" t="n">
        <x:v>0</x:v>
      </x:c>
      <x:c r="M1703" s="9" t="n">
        <x:f>IF(D1703="Completed",I1703*J1703,0)</x:f>
        <x:v>882</x:v>
      </x:c>
      <x:c r="N1703" s="9" t="n">
        <x:f>M1703*K1703</x:f>
        <x:v>0</x:v>
      </x:c>
      <x:c r="O1703" s="9" t="n">
        <x:f>M1703-N1703</x:f>
        <x:v>882</x:v>
      </x:c>
      <x:c r="P1703" s="9" t="n">
        <x:f>IF(D1703="Completed",L1703*J1703*(1-K1703),0)</x:f>
        <x:v>0</x:v>
      </x:c>
      <x:c r="Q1703" s="9" t="n">
        <x:f>O1703-P1703</x:f>
        <x:v>882</x:v>
      </x:c>
      <x:c r="R1703" s="11" t="n">
        <x:f>IF(D1703="Completed",I1703,0)</x:f>
        <x:v>3</x:v>
      </x:c>
      <x:c r="S1703" s="11" t="n">
        <x:f>IF(D1703="Completed",L1703,0)</x:f>
        <x:v>0</x:v>
      </x:c>
      <x:c r="T1703" s="8" t="n">
        <x:f>DATE(YEAR(C1703),MONTH(C1703),1)</x:f>
        <x:v>45901</x:v>
      </x:c>
    </x:row>
    <x:row r="1704" ht="22" customHeight="1">
      <x:c r="A1704" s="2" t="str">
        <x:v>L001700</x:v>
      </x:c>
      <x:c r="B1704" s="2" t="str">
        <x:v>O00688</x:v>
      </x:c>
      <x:c r="C1704" s="7" t="n">
        <x:v>45909</x:v>
      </x:c>
      <x:c r="D1704" s="2" t="str">
        <x:v>Completed</x:v>
      </x:c>
      <x:c r="E1704" s="2" t="str">
        <x:v>West</x:v>
      </x:c>
      <x:c r="F1704" s="2" t="str">
        <x:v>Store</x:v>
      </x:c>
      <x:c r="G1704" s="2" t="str">
        <x:v>Lighting</x:v>
      </x:c>
      <x:c r="H1704" s="2" t="str">
        <x:v>Lamp 021</x:v>
      </x:c>
      <x:c r="I1704" s="11" t="n">
        <x:v>1</x:v>
      </x:c>
      <x:c r="J1704" s="9" t="n">
        <x:v>249</x:v>
      </x:c>
      <x:c r="K1704" s="10" t="n">
        <x:v>0</x:v>
      </x:c>
      <x:c r="L1704" s="11" t="n">
        <x:v>1</x:v>
      </x:c>
      <x:c r="M1704" s="9" t="n">
        <x:f>IF(D1704="Completed",I1704*J1704,0)</x:f>
        <x:v>249</x:v>
      </x:c>
      <x:c r="N1704" s="9" t="n">
        <x:f>M1704*K1704</x:f>
        <x:v>0</x:v>
      </x:c>
      <x:c r="O1704" s="9" t="n">
        <x:f>M1704-N1704</x:f>
        <x:v>249</x:v>
      </x:c>
      <x:c r="P1704" s="9" t="n">
        <x:f>IF(D1704="Completed",L1704*J1704*(1-K1704),0)</x:f>
        <x:v>249</x:v>
      </x:c>
      <x:c r="Q1704" s="9" t="n">
        <x:f>O1704-P1704</x:f>
        <x:v>0</x:v>
      </x:c>
      <x:c r="R1704" s="11" t="n">
        <x:f>IF(D1704="Completed",I1704,0)</x:f>
        <x:v>1</x:v>
      </x:c>
      <x:c r="S1704" s="11" t="n">
        <x:f>IF(D1704="Completed",L1704,0)</x:f>
        <x:v>1</x:v>
      </x:c>
      <x:c r="T1704" s="8" t="n">
        <x:f>DATE(YEAR(C1704),MONTH(C1704),1)</x:f>
        <x:v>45901</x:v>
      </x:c>
    </x:row>
    <x:row r="1705" ht="22" customHeight="1">
      <x:c r="A1705" s="2" t="str">
        <x:v>L001701</x:v>
      </x:c>
      <x:c r="B1705" s="2" t="str">
        <x:v>O00689</x:v>
      </x:c>
      <x:c r="C1705" s="7" t="n">
        <x:v>45802</x:v>
      </x:c>
      <x:c r="D1705" s="2" t="str">
        <x:v>Completed</x:v>
      </x:c>
      <x:c r="E1705" s="2" t="str">
        <x:v>North</x:v>
      </x:c>
      <x:c r="F1705" s="2" t="str">
        <x:v>Online</x:v>
      </x:c>
      <x:c r="G1705" s="2" t="str">
        <x:v>Furniture</x:v>
      </x:c>
      <x:c r="H1705" s="2" t="str">
        <x:v>Chair 014</x:v>
      </x:c>
      <x:c r="I1705" s="11" t="n">
        <x:v>3</x:v>
      </x:c>
      <x:c r="J1705" s="9" t="n">
        <x:v>294</x:v>
      </x:c>
      <x:c r="K1705" s="10" t="n">
        <x:v>0.05</x:v>
      </x:c>
      <x:c r="L1705" s="11" t="n">
        <x:v>0</x:v>
      </x:c>
      <x:c r="M1705" s="9" t="n">
        <x:f>IF(D1705="Completed",I1705*J1705,0)</x:f>
        <x:v>882</x:v>
      </x:c>
      <x:c r="N1705" s="9" t="n">
        <x:f>M1705*K1705</x:f>
        <x:v>44.1</x:v>
      </x:c>
      <x:c r="O1705" s="9" t="n">
        <x:f>M1705-N1705</x:f>
        <x:v>837.9</x:v>
      </x:c>
      <x:c r="P1705" s="9" t="n">
        <x:f>IF(D1705="Completed",L1705*J1705*(1-K1705),0)</x:f>
        <x:v>0</x:v>
      </x:c>
      <x:c r="Q1705" s="9" t="n">
        <x:f>O1705-P1705</x:f>
        <x:v>837.9</x:v>
      </x:c>
      <x:c r="R1705" s="11" t="n">
        <x:f>IF(D1705="Completed",I1705,0)</x:f>
        <x:v>3</x:v>
      </x:c>
      <x:c r="S1705" s="11" t="n">
        <x:f>IF(D1705="Completed",L1705,0)</x:f>
        <x:v>0</x:v>
      </x:c>
      <x:c r="T1705" s="8" t="n">
        <x:f>DATE(YEAR(C1705),MONTH(C1705),1)</x:f>
        <x:v>45778</x:v>
      </x:c>
    </x:row>
    <x:row r="1706" ht="22" customHeight="1">
      <x:c r="A1706" s="2" t="str">
        <x:v>L001702</x:v>
      </x:c>
      <x:c r="B1706" s="2" t="str">
        <x:v>O00690</x:v>
      </x:c>
      <x:c r="C1706" s="7" t="n">
        <x:v>45673</x:v>
      </x:c>
      <x:c r="D1706" s="2" t="str">
        <x:v>Completed</x:v>
      </x:c>
      <x:c r="E1706" s="2" t="str">
        <x:v>East</x:v>
      </x:c>
      <x:c r="F1706" s="2" t="str">
        <x:v>Online</x:v>
      </x:c>
      <x:c r="G1706" s="2" t="str">
        <x:v>Furniture</x:v>
      </x:c>
      <x:c r="H1706" s="2" t="str">
        <x:v>Desk 016</x:v>
      </x:c>
      <x:c r="I1706" s="11" t="n">
        <x:v>4</x:v>
      </x:c>
      <x:c r="J1706" s="9" t="n">
        <x:v>231</x:v>
      </x:c>
      <x:c r="K1706" s="10" t="n">
        <x:v>0.05</x:v>
      </x:c>
      <x:c r="L1706" s="11" t="n">
        <x:v>0</x:v>
      </x:c>
      <x:c r="M1706" s="9" t="n">
        <x:f>IF(D1706="Completed",I1706*J1706,0)</x:f>
        <x:v>924</x:v>
      </x:c>
      <x:c r="N1706" s="9" t="n">
        <x:f>M1706*K1706</x:f>
        <x:v>46.2</x:v>
      </x:c>
      <x:c r="O1706" s="9" t="n">
        <x:f>M1706-N1706</x:f>
        <x:v>877.8</x:v>
      </x:c>
      <x:c r="P1706" s="9" t="n">
        <x:f>IF(D1706="Completed",L1706*J1706*(1-K1706),0)</x:f>
        <x:v>0</x:v>
      </x:c>
      <x:c r="Q1706" s="9" t="n">
        <x:f>O1706-P1706</x:f>
        <x:v>877.8</x:v>
      </x:c>
      <x:c r="R1706" s="11" t="n">
        <x:f>IF(D1706="Completed",I1706,0)</x:f>
        <x:v>4</x:v>
      </x:c>
      <x:c r="S1706" s="11" t="n">
        <x:f>IF(D1706="Completed",L1706,0)</x:f>
        <x:v>0</x:v>
      </x:c>
      <x:c r="T1706" s="8" t="n">
        <x:f>DATE(YEAR(C1706),MONTH(C1706),1)</x:f>
        <x:v>45658</x:v>
      </x:c>
    </x:row>
    <x:row r="1707" ht="22" customHeight="1">
      <x:c r="A1707" s="2" t="str">
        <x:v>L001703</x:v>
      </x:c>
      <x:c r="B1707" s="2" t="str">
        <x:v>O00690</x:v>
      </x:c>
      <x:c r="C1707" s="7" t="n">
        <x:v>45673</x:v>
      </x:c>
      <x:c r="D1707" s="2" t="str">
        <x:v>Completed</x:v>
      </x:c>
      <x:c r="E1707" s="2" t="str">
        <x:v>East</x:v>
      </x:c>
      <x:c r="F1707" s="2" t="str">
        <x:v>Online</x:v>
      </x:c>
      <x:c r="G1707" s="2" t="str">
        <x:v>Furniture</x:v>
      </x:c>
      <x:c r="H1707" s="2" t="str">
        <x:v>Chair 010</x:v>
      </x:c>
      <x:c r="I1707" s="11" t="n">
        <x:v>5</x:v>
      </x:c>
      <x:c r="J1707" s="9" t="n">
        <x:v>211</x:v>
      </x:c>
      <x:c r="K1707" s="10" t="n">
        <x:v>0.2</x:v>
      </x:c>
      <x:c r="L1707" s="11" t="n">
        <x:v>0</x:v>
      </x:c>
      <x:c r="M1707" s="9" t="n">
        <x:f>IF(D1707="Completed",I1707*J1707,0)</x:f>
        <x:v>1055</x:v>
      </x:c>
      <x:c r="N1707" s="9" t="n">
        <x:f>M1707*K1707</x:f>
        <x:v>211</x:v>
      </x:c>
      <x:c r="O1707" s="9" t="n">
        <x:f>M1707-N1707</x:f>
        <x:v>844</x:v>
      </x:c>
      <x:c r="P1707" s="9" t="n">
        <x:f>IF(D1707="Completed",L1707*J1707*(1-K1707),0)</x:f>
        <x:v>0</x:v>
      </x:c>
      <x:c r="Q1707" s="9" t="n">
        <x:f>O1707-P1707</x:f>
        <x:v>844</x:v>
      </x:c>
      <x:c r="R1707" s="11" t="n">
        <x:f>IF(D1707="Completed",I1707,0)</x:f>
        <x:v>5</x:v>
      </x:c>
      <x:c r="S1707" s="11" t="n">
        <x:f>IF(D1707="Completed",L1707,0)</x:f>
        <x:v>0</x:v>
      </x:c>
      <x:c r="T1707" s="8" t="n">
        <x:f>DATE(YEAR(C1707),MONTH(C1707),1)</x:f>
        <x:v>45658</x:v>
      </x:c>
    </x:row>
    <x:row r="1708" ht="22" customHeight="1">
      <x:c r="A1708" s="2" t="str">
        <x:v>L001704</x:v>
      </x:c>
      <x:c r="B1708" s="2" t="str">
        <x:v>O00690</x:v>
      </x:c>
      <x:c r="C1708" s="7" t="n">
        <x:v>45673</x:v>
      </x:c>
      <x:c r="D1708" s="2" t="str">
        <x:v>Completed</x:v>
      </x:c>
      <x:c r="E1708" s="2" t="str">
        <x:v>East</x:v>
      </x:c>
      <x:c r="F1708" s="2" t="str">
        <x:v>Online</x:v>
      </x:c>
      <x:c r="G1708" s="2" t="str">
        <x:v>Lighting</x:v>
      </x:c>
      <x:c r="H1708" s="2" t="str">
        <x:v>Lamp 001</x:v>
      </x:c>
      <x:c r="I1708" s="11" t="n">
        <x:v>4</x:v>
      </x:c>
      <x:c r="J1708" s="9" t="n">
        <x:v>122</x:v>
      </x:c>
      <x:c r="K1708" s="10" t="n">
        <x:v>0.2</x:v>
      </x:c>
      <x:c r="L1708" s="11" t="n">
        <x:v>0</x:v>
      </x:c>
      <x:c r="M1708" s="9" t="n">
        <x:f>IF(D1708="Completed",I1708*J1708,0)</x:f>
        <x:v>488</x:v>
      </x:c>
      <x:c r="N1708" s="9" t="n">
        <x:f>M1708*K1708</x:f>
        <x:v>97.60000000000001</x:v>
      </x:c>
      <x:c r="O1708" s="9" t="n">
        <x:f>M1708-N1708</x:f>
        <x:v>390.4</x:v>
      </x:c>
      <x:c r="P1708" s="9" t="n">
        <x:f>IF(D1708="Completed",L1708*J1708*(1-K1708),0)</x:f>
        <x:v>0</x:v>
      </x:c>
      <x:c r="Q1708" s="9" t="n">
        <x:f>O1708-P1708</x:f>
        <x:v>390.4</x:v>
      </x:c>
      <x:c r="R1708" s="11" t="n">
        <x:f>IF(D1708="Completed",I1708,0)</x:f>
        <x:v>4</x:v>
      </x:c>
      <x:c r="S1708" s="11" t="n">
        <x:f>IF(D1708="Completed",L1708,0)</x:f>
        <x:v>0</x:v>
      </x:c>
      <x:c r="T1708" s="8" t="n">
        <x:f>DATE(YEAR(C1708),MONTH(C1708),1)</x:f>
        <x:v>45658</x:v>
      </x:c>
    </x:row>
    <x:row r="1709" ht="22" customHeight="1">
      <x:c r="A1709" s="2" t="str">
        <x:v>L001705</x:v>
      </x:c>
      <x:c r="B1709" s="2" t="str">
        <x:v>O00691</x:v>
      </x:c>
      <x:c r="C1709" s="7" t="n">
        <x:v>45722</x:v>
      </x:c>
      <x:c r="D1709" s="2" t="str">
        <x:v>Completed</x:v>
      </x:c>
      <x:c r="E1709" s="2" t="str">
        <x:v>East</x:v>
      </x:c>
      <x:c r="F1709" s="2" t="str">
        <x:v>Online</x:v>
      </x:c>
      <x:c r="G1709" s="2" t="str">
        <x:v>Furniture</x:v>
      </x:c>
      <x:c r="H1709" s="2" t="str">
        <x:v>Desk 004</x:v>
      </x:c>
      <x:c r="I1709" s="11" t="n">
        <x:v>1</x:v>
      </x:c>
      <x:c r="J1709" s="9" t="n">
        <x:v>123</x:v>
      </x:c>
      <x:c r="K1709" s="10" t="n">
        <x:v>0</x:v>
      </x:c>
      <x:c r="L1709" s="11" t="n">
        <x:v>0</x:v>
      </x:c>
      <x:c r="M1709" s="9" t="n">
        <x:f>IF(D1709="Completed",I1709*J1709,0)</x:f>
        <x:v>123</x:v>
      </x:c>
      <x:c r="N1709" s="9" t="n">
        <x:f>M1709*K1709</x:f>
        <x:v>0</x:v>
      </x:c>
      <x:c r="O1709" s="9" t="n">
        <x:f>M1709-N1709</x:f>
        <x:v>123</x:v>
      </x:c>
      <x:c r="P1709" s="9" t="n">
        <x:f>IF(D1709="Completed",L1709*J1709*(1-K1709),0)</x:f>
        <x:v>0</x:v>
      </x:c>
      <x:c r="Q1709" s="9" t="n">
        <x:f>O1709-P1709</x:f>
        <x:v>123</x:v>
      </x:c>
      <x:c r="R1709" s="11" t="n">
        <x:f>IF(D1709="Completed",I1709,0)</x:f>
        <x:v>1</x:v>
      </x:c>
      <x:c r="S1709" s="11" t="n">
        <x:f>IF(D1709="Completed",L1709,0)</x:f>
        <x:v>0</x:v>
      </x:c>
      <x:c r="T1709" s="8" t="n">
        <x:f>DATE(YEAR(C1709),MONTH(C1709),1)</x:f>
        <x:v>45717</x:v>
      </x:c>
    </x:row>
    <x:row r="1710" ht="22" customHeight="1">
      <x:c r="A1710" s="2" t="str">
        <x:v>L001706</x:v>
      </x:c>
      <x:c r="B1710" s="2" t="str">
        <x:v>O00691</x:v>
      </x:c>
      <x:c r="C1710" s="7" t="n">
        <x:v>45722</x:v>
      </x:c>
      <x:c r="D1710" s="2" t="str">
        <x:v>Completed</x:v>
      </x:c>
      <x:c r="E1710" s="2" t="str">
        <x:v>East</x:v>
      </x:c>
      <x:c r="F1710" s="2" t="str">
        <x:v>Online</x:v>
      </x:c>
      <x:c r="G1710" s="2" t="str">
        <x:v>Furniture</x:v>
      </x:c>
      <x:c r="H1710" s="2" t="str">
        <x:v>Chair 006</x:v>
      </x:c>
      <x:c r="I1710" s="11" t="n">
        <x:v>2</x:v>
      </x:c>
      <x:c r="J1710" s="9" t="n">
        <x:v>196</x:v>
      </x:c>
      <x:c r="K1710" s="10" t="n">
        <x:v>0</x:v>
      </x:c>
      <x:c r="L1710" s="11" t="n">
        <x:v>0</x:v>
      </x:c>
      <x:c r="M1710" s="9" t="n">
        <x:f>IF(D1710="Completed",I1710*J1710,0)</x:f>
        <x:v>392</x:v>
      </x:c>
      <x:c r="N1710" s="9" t="n">
        <x:f>M1710*K1710</x:f>
        <x:v>0</x:v>
      </x:c>
      <x:c r="O1710" s="9" t="n">
        <x:f>M1710-N1710</x:f>
        <x:v>392</x:v>
      </x:c>
      <x:c r="P1710" s="9" t="n">
        <x:f>IF(D1710="Completed",L1710*J1710*(1-K1710),0)</x:f>
        <x:v>0</x:v>
      </x:c>
      <x:c r="Q1710" s="9" t="n">
        <x:f>O1710-P1710</x:f>
        <x:v>392</x:v>
      </x:c>
      <x:c r="R1710" s="11" t="n">
        <x:f>IF(D1710="Completed",I1710,0)</x:f>
        <x:v>2</x:v>
      </x:c>
      <x:c r="S1710" s="11" t="n">
        <x:f>IF(D1710="Completed",L1710,0)</x:f>
        <x:v>0</x:v>
      </x:c>
      <x:c r="T1710" s="8" t="n">
        <x:f>DATE(YEAR(C1710),MONTH(C1710),1)</x:f>
        <x:v>45717</x:v>
      </x:c>
    </x:row>
    <x:row r="1711" ht="22" customHeight="1">
      <x:c r="A1711" s="2" t="str">
        <x:v>L001707</x:v>
      </x:c>
      <x:c r="B1711" s="2" t="str">
        <x:v>O00691</x:v>
      </x:c>
      <x:c r="C1711" s="7" t="n">
        <x:v>45722</x:v>
      </x:c>
      <x:c r="D1711" s="2" t="str">
        <x:v>Completed</x:v>
      </x:c>
      <x:c r="E1711" s="2" t="str">
        <x:v>East</x:v>
      </x:c>
      <x:c r="F1711" s="2" t="str">
        <x:v>Online</x:v>
      </x:c>
      <x:c r="G1711" s="2" t="str">
        <x:v>Lighting</x:v>
      </x:c>
      <x:c r="H1711" s="2" t="str">
        <x:v>Lamp 017</x:v>
      </x:c>
      <x:c r="I1711" s="11" t="n">
        <x:v>1</x:v>
      </x:c>
      <x:c r="J1711" s="9" t="n">
        <x:v>300</x:v>
      </x:c>
      <x:c r="K1711" s="10" t="n">
        <x:v>0.2</x:v>
      </x:c>
      <x:c r="L1711" s="11" t="n">
        <x:v>0</x:v>
      </x:c>
      <x:c r="M1711" s="9" t="n">
        <x:f>IF(D1711="Completed",I1711*J1711,0)</x:f>
        <x:v>300</x:v>
      </x:c>
      <x:c r="N1711" s="9" t="n">
        <x:f>M1711*K1711</x:f>
        <x:v>60</x:v>
      </x:c>
      <x:c r="O1711" s="9" t="n">
        <x:f>M1711-N1711</x:f>
        <x:v>240</x:v>
      </x:c>
      <x:c r="P1711" s="9" t="n">
        <x:f>IF(D1711="Completed",L1711*J1711*(1-K1711),0)</x:f>
        <x:v>0</x:v>
      </x:c>
      <x:c r="Q1711" s="9" t="n">
        <x:f>O1711-P1711</x:f>
        <x:v>240</x:v>
      </x:c>
      <x:c r="R1711" s="11" t="n">
        <x:f>IF(D1711="Completed",I1711,0)</x:f>
        <x:v>1</x:v>
      </x:c>
      <x:c r="S1711" s="11" t="n">
        <x:f>IF(D1711="Completed",L1711,0)</x:f>
        <x:v>0</x:v>
      </x:c>
      <x:c r="T1711" s="8" t="n">
        <x:f>DATE(YEAR(C1711),MONTH(C1711),1)</x:f>
        <x:v>45717</x:v>
      </x:c>
    </x:row>
    <x:row r="1712" ht="22" customHeight="1">
      <x:c r="A1712" s="2" t="str">
        <x:v>L001708</x:v>
      </x:c>
      <x:c r="B1712" s="2" t="str">
        <x:v>O00692</x:v>
      </x:c>
      <x:c r="C1712" s="7" t="n">
        <x:v>45699</x:v>
      </x:c>
      <x:c r="D1712" s="2" t="str">
        <x:v>Completed</x:v>
      </x:c>
      <x:c r="E1712" s="2" t="str">
        <x:v>North</x:v>
      </x:c>
      <x:c r="F1712" s="2" t="str">
        <x:v>Store</x:v>
      </x:c>
      <x:c r="G1712" s="2" t="str">
        <x:v>Furniture</x:v>
      </x:c>
      <x:c r="H1712" s="2" t="str">
        <x:v>Desk 016</x:v>
      </x:c>
      <x:c r="I1712" s="11" t="n">
        <x:v>4</x:v>
      </x:c>
      <x:c r="J1712" s="9" t="n">
        <x:v>231</x:v>
      </x:c>
      <x:c r="K1712" s="10" t="n">
        <x:v>0.05</x:v>
      </x:c>
      <x:c r="L1712" s="11" t="n">
        <x:v>0</x:v>
      </x:c>
      <x:c r="M1712" s="9" t="n">
        <x:f>IF(D1712="Completed",I1712*J1712,0)</x:f>
        <x:v>924</x:v>
      </x:c>
      <x:c r="N1712" s="9" t="n">
        <x:f>M1712*K1712</x:f>
        <x:v>46.2</x:v>
      </x:c>
      <x:c r="O1712" s="9" t="n">
        <x:f>M1712-N1712</x:f>
        <x:v>877.8</x:v>
      </x:c>
      <x:c r="P1712" s="9" t="n">
        <x:f>IF(D1712="Completed",L1712*J1712*(1-K1712),0)</x:f>
        <x:v>0</x:v>
      </x:c>
      <x:c r="Q1712" s="9" t="n">
        <x:f>O1712-P1712</x:f>
        <x:v>877.8</x:v>
      </x:c>
      <x:c r="R1712" s="11" t="n">
        <x:f>IF(D1712="Completed",I1712,0)</x:f>
        <x:v>4</x:v>
      </x:c>
      <x:c r="S1712" s="11" t="n">
        <x:f>IF(D1712="Completed",L1712,0)</x:f>
        <x:v>0</x:v>
      </x:c>
      <x:c r="T1712" s="8" t="n">
        <x:f>DATE(YEAR(C1712),MONTH(C1712),1)</x:f>
        <x:v>45689</x:v>
      </x:c>
    </x:row>
    <x:row r="1713" ht="22" customHeight="1">
      <x:c r="A1713" s="2" t="str">
        <x:v>L001709</x:v>
      </x:c>
      <x:c r="B1713" s="2" t="str">
        <x:v>O00692</x:v>
      </x:c>
      <x:c r="C1713" s="7" t="n">
        <x:v>45699</x:v>
      </x:c>
      <x:c r="D1713" s="2" t="str">
        <x:v>Completed</x:v>
      </x:c>
      <x:c r="E1713" s="2" t="str">
        <x:v>North</x:v>
      </x:c>
      <x:c r="F1713" s="2" t="str">
        <x:v>Store</x:v>
      </x:c>
      <x:c r="G1713" s="2" t="str">
        <x:v>Storage</x:v>
      </x:c>
      <x:c r="H1713" s="2" t="str">
        <x:v>Shelf 003</x:v>
      </x:c>
      <x:c r="I1713" s="11" t="n">
        <x:v>5</x:v>
      </x:c>
      <x:c r="J1713" s="9" t="n">
        <x:v>199</x:v>
      </x:c>
      <x:c r="K1713" s="10" t="n">
        <x:v>0.1</x:v>
      </x:c>
      <x:c r="L1713" s="11" t="n">
        <x:v>0</x:v>
      </x:c>
      <x:c r="M1713" s="9" t="n">
        <x:f>IF(D1713="Completed",I1713*J1713,0)</x:f>
        <x:v>995</x:v>
      </x:c>
      <x:c r="N1713" s="9" t="n">
        <x:f>M1713*K1713</x:f>
        <x:v>99.5</x:v>
      </x:c>
      <x:c r="O1713" s="9" t="n">
        <x:f>M1713-N1713</x:f>
        <x:v>895.5</x:v>
      </x:c>
      <x:c r="P1713" s="9" t="n">
        <x:f>IF(D1713="Completed",L1713*J1713*(1-K1713),0)</x:f>
        <x:v>0</x:v>
      </x:c>
      <x:c r="Q1713" s="9" t="n">
        <x:f>O1713-P1713</x:f>
        <x:v>895.5</x:v>
      </x:c>
      <x:c r="R1713" s="11" t="n">
        <x:f>IF(D1713="Completed",I1713,0)</x:f>
        <x:v>5</x:v>
      </x:c>
      <x:c r="S1713" s="11" t="n">
        <x:f>IF(D1713="Completed",L1713,0)</x:f>
        <x:v>0</x:v>
      </x:c>
      <x:c r="T1713" s="8" t="n">
        <x:f>DATE(YEAR(C1713),MONTH(C1713),1)</x:f>
        <x:v>45689</x:v>
      </x:c>
    </x:row>
    <x:row r="1714" ht="22" customHeight="1">
      <x:c r="A1714" s="2" t="str">
        <x:v>L001710</x:v>
      </x:c>
      <x:c r="B1714" s="2" t="str">
        <x:v>O00693</x:v>
      </x:c>
      <x:c r="C1714" s="7" t="n">
        <x:v>45744</x:v>
      </x:c>
      <x:c r="D1714" s="2" t="str">
        <x:v>Cancelled</x:v>
      </x:c>
      <x:c r="E1714" s="2" t="str">
        <x:v>North</x:v>
      </x:c>
      <x:c r="F1714" s="2" t="str">
        <x:v>Online</x:v>
      </x:c>
      <x:c r="G1714" s="2" t="str">
        <x:v>Storage</x:v>
      </x:c>
      <x:c r="H1714" s="2" t="str">
        <x:v>Shelf 015</x:v>
      </x:c>
      <x:c r="I1714" s="11" t="n">
        <x:v>3</x:v>
      </x:c>
      <x:c r="J1714" s="9" t="n">
        <x:v>254</x:v>
      </x:c>
      <x:c r="K1714" s="10" t="n">
        <x:v>0.05</x:v>
      </x:c>
      <x:c r="L1714" s="11" t="n">
        <x:v>0</x:v>
      </x:c>
      <x:c r="M1714" s="9" t="n">
        <x:f>IF(D1714="Completed",I1714*J1714,0)</x:f>
        <x:v>0</x:v>
      </x:c>
      <x:c r="N1714" s="9" t="n">
        <x:f>M1714*K1714</x:f>
        <x:v>0</x:v>
      </x:c>
      <x:c r="O1714" s="9" t="n">
        <x:f>M1714-N1714</x:f>
        <x:v>0</x:v>
      </x:c>
      <x:c r="P1714" s="9" t="n">
        <x:f>IF(D1714="Completed",L1714*J1714*(1-K1714),0)</x:f>
        <x:v>0</x:v>
      </x:c>
      <x:c r="Q1714" s="9" t="n">
        <x:f>O1714-P1714</x:f>
        <x:v>0</x:v>
      </x:c>
      <x:c r="R1714" s="11" t="n">
        <x:f>IF(D1714="Completed",I1714,0)</x:f>
        <x:v>0</x:v>
      </x:c>
      <x:c r="S1714" s="11" t="n">
        <x:f>IF(D1714="Completed",L1714,0)</x:f>
        <x:v>0</x:v>
      </x:c>
      <x:c r="T1714" s="8" t="n">
        <x:f>DATE(YEAR(C1714),MONTH(C1714),1)</x:f>
        <x:v>45717</x:v>
      </x:c>
    </x:row>
    <x:row r="1715" ht="22" customHeight="1">
      <x:c r="A1715" s="2" t="str">
        <x:v>L001711</x:v>
      </x:c>
      <x:c r="B1715" s="2" t="str">
        <x:v>O00693</x:v>
      </x:c>
      <x:c r="C1715" s="7" t="n">
        <x:v>45744</x:v>
      </x:c>
      <x:c r="D1715" s="2" t="str">
        <x:v>Cancelled</x:v>
      </x:c>
      <x:c r="E1715" s="2" t="str">
        <x:v>North</x:v>
      </x:c>
      <x:c r="F1715" s="2" t="str">
        <x:v>Online</x:v>
      </x:c>
      <x:c r="G1715" s="2" t="str">
        <x:v>Lighting</x:v>
      </x:c>
      <x:c r="H1715" s="2" t="str">
        <x:v>Lamp 001</x:v>
      </x:c>
      <x:c r="I1715" s="11" t="n">
        <x:v>4</x:v>
      </x:c>
      <x:c r="J1715" s="9" t="n">
        <x:v>122</x:v>
      </x:c>
      <x:c r="K1715" s="10" t="n">
        <x:v>0.2</x:v>
      </x:c>
      <x:c r="L1715" s="11" t="n">
        <x:v>0</x:v>
      </x:c>
      <x:c r="M1715" s="9" t="n">
        <x:f>IF(D1715="Completed",I1715*J1715,0)</x:f>
        <x:v>0</x:v>
      </x:c>
      <x:c r="N1715" s="9" t="n">
        <x:f>M1715*K1715</x:f>
        <x:v>0</x:v>
      </x:c>
      <x:c r="O1715" s="9" t="n">
        <x:f>M1715-N1715</x:f>
        <x:v>0</x:v>
      </x:c>
      <x:c r="P1715" s="9" t="n">
        <x:f>IF(D1715="Completed",L1715*J1715*(1-K1715),0)</x:f>
        <x:v>0</x:v>
      </x:c>
      <x:c r="Q1715" s="9" t="n">
        <x:f>O1715-P1715</x:f>
        <x:v>0</x:v>
      </x:c>
      <x:c r="R1715" s="11" t="n">
        <x:f>IF(D1715="Completed",I1715,0)</x:f>
        <x:v>0</x:v>
      </x:c>
      <x:c r="S1715" s="11" t="n">
        <x:f>IF(D1715="Completed",L1715,0)</x:f>
        <x:v>0</x:v>
      </x:c>
      <x:c r="T1715" s="8" t="n">
        <x:f>DATE(YEAR(C1715),MONTH(C1715),1)</x:f>
        <x:v>45717</x:v>
      </x:c>
    </x:row>
    <x:row r="1716" ht="22" customHeight="1">
      <x:c r="A1716" s="2" t="str">
        <x:v>L001712</x:v>
      </x:c>
      <x:c r="B1716" s="2" t="str">
        <x:v>O00694</x:v>
      </x:c>
      <x:c r="C1716" s="7" t="n">
        <x:v>45956</x:v>
      </x:c>
      <x:c r="D1716" s="2" t="str">
        <x:v>Completed</x:v>
      </x:c>
      <x:c r="E1716" s="2" t="str">
        <x:v>North</x:v>
      </x:c>
      <x:c r="F1716" s="2" t="str">
        <x:v>Online</x:v>
      </x:c>
      <x:c r="G1716" s="2" t="str">
        <x:v>Furniture</x:v>
      </x:c>
      <x:c r="H1716" s="2" t="str">
        <x:v>Chair 002</x:v>
      </x:c>
      <x:c r="I1716" s="11" t="n">
        <x:v>1</x:v>
      </x:c>
      <x:c r="J1716" s="9" t="n">
        <x:v>284</x:v>
      </x:c>
      <x:c r="K1716" s="10" t="n">
        <x:v>0</x:v>
      </x:c>
      <x:c r="L1716" s="11" t="n">
        <x:v>0</x:v>
      </x:c>
      <x:c r="M1716" s="9" t="n">
        <x:f>IF(D1716="Completed",I1716*J1716,0)</x:f>
        <x:v>284</x:v>
      </x:c>
      <x:c r="N1716" s="9" t="n">
        <x:f>M1716*K1716</x:f>
        <x:v>0</x:v>
      </x:c>
      <x:c r="O1716" s="9" t="n">
        <x:f>M1716-N1716</x:f>
        <x:v>284</x:v>
      </x:c>
      <x:c r="P1716" s="9" t="n">
        <x:f>IF(D1716="Completed",L1716*J1716*(1-K1716),0)</x:f>
        <x:v>0</x:v>
      </x:c>
      <x:c r="Q1716" s="9" t="n">
        <x:f>O1716-P1716</x:f>
        <x:v>284</x:v>
      </x:c>
      <x:c r="R1716" s="11" t="n">
        <x:f>IF(D1716="Completed",I1716,0)</x:f>
        <x:v>1</x:v>
      </x:c>
      <x:c r="S1716" s="11" t="n">
        <x:f>IF(D1716="Completed",L1716,0)</x:f>
        <x:v>0</x:v>
      </x:c>
      <x:c r="T1716" s="8" t="n">
        <x:f>DATE(YEAR(C1716),MONTH(C1716),1)</x:f>
        <x:v>45931</x:v>
      </x:c>
    </x:row>
    <x:row r="1717" ht="22" customHeight="1">
      <x:c r="A1717" s="2" t="str">
        <x:v>L001713</x:v>
      </x:c>
      <x:c r="B1717" s="2" t="str">
        <x:v>O00694</x:v>
      </x:c>
      <x:c r="C1717" s="7" t="n">
        <x:v>45956</x:v>
      </x:c>
      <x:c r="D1717" s="2" t="str">
        <x:v>Completed</x:v>
      </x:c>
      <x:c r="E1717" s="2" t="str">
        <x:v>North</x:v>
      </x:c>
      <x:c r="F1717" s="2" t="str">
        <x:v>Online</x:v>
      </x:c>
      <x:c r="G1717" s="2" t="str">
        <x:v>Furniture</x:v>
      </x:c>
      <x:c r="H1717" s="2" t="str">
        <x:v>Desk 012</x:v>
      </x:c>
      <x:c r="I1717" s="11" t="n">
        <x:v>5</x:v>
      </x:c>
      <x:c r="J1717" s="9" t="n">
        <x:v>134</x:v>
      </x:c>
      <x:c r="K1717" s="10" t="n">
        <x:v>0.1</x:v>
      </x:c>
      <x:c r="L1717" s="11" t="n">
        <x:v>0</x:v>
      </x:c>
      <x:c r="M1717" s="9" t="n">
        <x:f>IF(D1717="Completed",I1717*J1717,0)</x:f>
        <x:v>670</x:v>
      </x:c>
      <x:c r="N1717" s="9" t="n">
        <x:f>M1717*K1717</x:f>
        <x:v>67</x:v>
      </x:c>
      <x:c r="O1717" s="9" t="n">
        <x:f>M1717-N1717</x:f>
        <x:v>603</x:v>
      </x:c>
      <x:c r="P1717" s="9" t="n">
        <x:f>IF(D1717="Completed",L1717*J1717*(1-K1717),0)</x:f>
        <x:v>0</x:v>
      </x:c>
      <x:c r="Q1717" s="9" t="n">
        <x:f>O1717-P1717</x:f>
        <x:v>603</x:v>
      </x:c>
      <x:c r="R1717" s="11" t="n">
        <x:f>IF(D1717="Completed",I1717,0)</x:f>
        <x:v>5</x:v>
      </x:c>
      <x:c r="S1717" s="11" t="n">
        <x:f>IF(D1717="Completed",L1717,0)</x:f>
        <x:v>0</x:v>
      </x:c>
      <x:c r="T1717" s="8" t="n">
        <x:f>DATE(YEAR(C1717),MONTH(C1717),1)</x:f>
        <x:v>45931</x:v>
      </x:c>
    </x:row>
    <x:row r="1718" ht="22" customHeight="1">
      <x:c r="A1718" s="2" t="str">
        <x:v>L001714</x:v>
      </x:c>
      <x:c r="B1718" s="2" t="str">
        <x:v>O00695</x:v>
      </x:c>
      <x:c r="C1718" s="7" t="n">
        <x:v>45979</x:v>
      </x:c>
      <x:c r="D1718" s="2" t="str">
        <x:v>Completed</x:v>
      </x:c>
      <x:c r="E1718" s="2" t="str">
        <x:v>West</x:v>
      </x:c>
      <x:c r="F1718" s="2" t="str">
        <x:v>Store</x:v>
      </x:c>
      <x:c r="G1718" s="2" t="str">
        <x:v>Storage</x:v>
      </x:c>
      <x:c r="H1718" s="2" t="str">
        <x:v>Shelf 019</x:v>
      </x:c>
      <x:c r="I1718" s="11" t="n">
        <x:v>2</x:v>
      </x:c>
      <x:c r="J1718" s="9" t="n">
        <x:v>78</x:v>
      </x:c>
      <x:c r="K1718" s="10" t="n">
        <x:v>0.1</x:v>
      </x:c>
      <x:c r="L1718" s="11" t="n">
        <x:v>0</x:v>
      </x:c>
      <x:c r="M1718" s="9" t="n">
        <x:f>IF(D1718="Completed",I1718*J1718,0)</x:f>
        <x:v>156</x:v>
      </x:c>
      <x:c r="N1718" s="9" t="n">
        <x:f>M1718*K1718</x:f>
        <x:v>15.600000000000001</x:v>
      </x:c>
      <x:c r="O1718" s="9" t="n">
        <x:f>M1718-N1718</x:f>
        <x:v>140.4</x:v>
      </x:c>
      <x:c r="P1718" s="9" t="n">
        <x:f>IF(D1718="Completed",L1718*J1718*(1-K1718),0)</x:f>
        <x:v>0</x:v>
      </x:c>
      <x:c r="Q1718" s="9" t="n">
        <x:f>O1718-P1718</x:f>
        <x:v>140.4</x:v>
      </x:c>
      <x:c r="R1718" s="11" t="n">
        <x:f>IF(D1718="Completed",I1718,0)</x:f>
        <x:v>2</x:v>
      </x:c>
      <x:c r="S1718" s="11" t="n">
        <x:f>IF(D1718="Completed",L1718,0)</x:f>
        <x:v>0</x:v>
      </x:c>
      <x:c r="T1718" s="8" t="n">
        <x:f>DATE(YEAR(C1718),MONTH(C1718),1)</x:f>
        <x:v>45962</x:v>
      </x:c>
    </x:row>
    <x:row r="1719" ht="22" customHeight="1">
      <x:c r="A1719" s="2" t="str">
        <x:v>L001715</x:v>
      </x:c>
      <x:c r="B1719" s="2" t="str">
        <x:v>O00696</x:v>
      </x:c>
      <x:c r="C1719" s="7" t="n">
        <x:v>45968</x:v>
      </x:c>
      <x:c r="D1719" s="2" t="str">
        <x:v>Cancelled</x:v>
      </x:c>
      <x:c r="E1719" s="2" t="str">
        <x:v>North</x:v>
      </x:c>
      <x:c r="F1719" s="2" t="str">
        <x:v>Online</x:v>
      </x:c>
      <x:c r="G1719" s="2" t="str">
        <x:v>Lighting</x:v>
      </x:c>
      <x:c r="H1719" s="2" t="str">
        <x:v>Lamp 005</x:v>
      </x:c>
      <x:c r="I1719" s="11" t="n">
        <x:v>2</x:v>
      </x:c>
      <x:c r="J1719" s="9" t="n">
        <x:v>65</x:v>
      </x:c>
      <x:c r="K1719" s="10" t="n">
        <x:v>0.1</x:v>
      </x:c>
      <x:c r="L1719" s="11" t="n">
        <x:v>0</x:v>
      </x:c>
      <x:c r="M1719" s="9" t="n">
        <x:f>IF(D1719="Completed",I1719*J1719,0)</x:f>
        <x:v>0</x:v>
      </x:c>
      <x:c r="N1719" s="9" t="n">
        <x:f>M1719*K1719</x:f>
        <x:v>0</x:v>
      </x:c>
      <x:c r="O1719" s="9" t="n">
        <x:f>M1719-N1719</x:f>
        <x:v>0</x:v>
      </x:c>
      <x:c r="P1719" s="9" t="n">
        <x:f>IF(D1719="Completed",L1719*J1719*(1-K1719),0)</x:f>
        <x:v>0</x:v>
      </x:c>
      <x:c r="Q1719" s="9" t="n">
        <x:f>O1719-P1719</x:f>
        <x:v>0</x:v>
      </x:c>
      <x:c r="R1719" s="11" t="n">
        <x:f>IF(D1719="Completed",I1719,0)</x:f>
        <x:v>0</x:v>
      </x:c>
      <x:c r="S1719" s="11" t="n">
        <x:f>IF(D1719="Completed",L1719,0)</x:f>
        <x:v>0</x:v>
      </x:c>
      <x:c r="T1719" s="8" t="n">
        <x:f>DATE(YEAR(C1719),MONTH(C1719),1)</x:f>
        <x:v>45962</x:v>
      </x:c>
    </x:row>
    <x:row r="1720" ht="22" customHeight="1">
      <x:c r="A1720" s="2" t="str">
        <x:v>L001716</x:v>
      </x:c>
      <x:c r="B1720" s="2" t="str">
        <x:v>O00697</x:v>
      </x:c>
      <x:c r="C1720" s="7" t="n">
        <x:v>45706</x:v>
      </x:c>
      <x:c r="D1720" s="2" t="str">
        <x:v>Completed</x:v>
      </x:c>
      <x:c r="E1720" s="2" t="str">
        <x:v>North</x:v>
      </x:c>
      <x:c r="F1720" s="2" t="str">
        <x:v>Store</x:v>
      </x:c>
      <x:c r="G1720" s="2" t="str">
        <x:v>Storage</x:v>
      </x:c>
      <x:c r="H1720" s="2" t="str">
        <x:v>Shelf 003</x:v>
      </x:c>
      <x:c r="I1720" s="11" t="n">
        <x:v>1</x:v>
      </x:c>
      <x:c r="J1720" s="9" t="n">
        <x:v>199</x:v>
      </x:c>
      <x:c r="K1720" s="10" t="n">
        <x:v>0</x:v>
      </x:c>
      <x:c r="L1720" s="11" t="n">
        <x:v>0</x:v>
      </x:c>
      <x:c r="M1720" s="9" t="n">
        <x:f>IF(D1720="Completed",I1720*J1720,0)</x:f>
        <x:v>199</x:v>
      </x:c>
      <x:c r="N1720" s="9" t="n">
        <x:f>M1720*K1720</x:f>
        <x:v>0</x:v>
      </x:c>
      <x:c r="O1720" s="9" t="n">
        <x:f>M1720-N1720</x:f>
        <x:v>199</x:v>
      </x:c>
      <x:c r="P1720" s="9" t="n">
        <x:f>IF(D1720="Completed",L1720*J1720*(1-K1720),0)</x:f>
        <x:v>0</x:v>
      </x:c>
      <x:c r="Q1720" s="9" t="n">
        <x:f>O1720-P1720</x:f>
        <x:v>199</x:v>
      </x:c>
      <x:c r="R1720" s="11" t="n">
        <x:f>IF(D1720="Completed",I1720,0)</x:f>
        <x:v>1</x:v>
      </x:c>
      <x:c r="S1720" s="11" t="n">
        <x:f>IF(D1720="Completed",L1720,0)</x:f>
        <x:v>0</x:v>
      </x:c>
      <x:c r="T1720" s="8" t="n">
        <x:f>DATE(YEAR(C1720),MONTH(C1720),1)</x:f>
        <x:v>45689</x:v>
      </x:c>
    </x:row>
    <x:row r="1721" ht="22" customHeight="1">
      <x:c r="A1721" s="2" t="str">
        <x:v>L001717</x:v>
      </x:c>
      <x:c r="B1721" s="2" t="str">
        <x:v>O00697</x:v>
      </x:c>
      <x:c r="C1721" s="7" t="n">
        <x:v>45706</x:v>
      </x:c>
      <x:c r="D1721" s="2" t="str">
        <x:v>Completed</x:v>
      </x:c>
      <x:c r="E1721" s="2" t="str">
        <x:v>North</x:v>
      </x:c>
      <x:c r="F1721" s="2" t="str">
        <x:v>Store</x:v>
      </x:c>
      <x:c r="G1721" s="2" t="str">
        <x:v>Furniture</x:v>
      </x:c>
      <x:c r="H1721" s="2" t="str">
        <x:v>Desk 024</x:v>
      </x:c>
      <x:c r="I1721" s="11" t="n">
        <x:v>3</x:v>
      </x:c>
      <x:c r="J1721" s="9" t="n">
        <x:v>81</x:v>
      </x:c>
      <x:c r="K1721" s="10" t="n">
        <x:v>0.05</x:v>
      </x:c>
      <x:c r="L1721" s="11" t="n">
        <x:v>0</x:v>
      </x:c>
      <x:c r="M1721" s="9" t="n">
        <x:f>IF(D1721="Completed",I1721*J1721,0)</x:f>
        <x:v>243</x:v>
      </x:c>
      <x:c r="N1721" s="9" t="n">
        <x:f>M1721*K1721</x:f>
        <x:v>12.15</x:v>
      </x:c>
      <x:c r="O1721" s="9" t="n">
        <x:f>M1721-N1721</x:f>
        <x:v>230.85</x:v>
      </x:c>
      <x:c r="P1721" s="9" t="n">
        <x:f>IF(D1721="Completed",L1721*J1721*(1-K1721),0)</x:f>
        <x:v>0</x:v>
      </x:c>
      <x:c r="Q1721" s="9" t="n">
        <x:f>O1721-P1721</x:f>
        <x:v>230.85</x:v>
      </x:c>
      <x:c r="R1721" s="11" t="n">
        <x:f>IF(D1721="Completed",I1721,0)</x:f>
        <x:v>3</x:v>
      </x:c>
      <x:c r="S1721" s="11" t="n">
        <x:f>IF(D1721="Completed",L1721,0)</x:f>
        <x:v>0</x:v>
      </x:c>
      <x:c r="T1721" s="8" t="n">
        <x:f>DATE(YEAR(C1721),MONTH(C1721),1)</x:f>
        <x:v>45689</x:v>
      </x:c>
    </x:row>
    <x:row r="1722" ht="22" customHeight="1">
      <x:c r="A1722" s="2" t="str">
        <x:v>L001718</x:v>
      </x:c>
      <x:c r="B1722" s="2" t="str">
        <x:v>O00697</x:v>
      </x:c>
      <x:c r="C1722" s="7" t="n">
        <x:v>45706</x:v>
      </x:c>
      <x:c r="D1722" s="2" t="str">
        <x:v>Completed</x:v>
      </x:c>
      <x:c r="E1722" s="2" t="str">
        <x:v>North</x:v>
      </x:c>
      <x:c r="F1722" s="2" t="str">
        <x:v>Store</x:v>
      </x:c>
      <x:c r="G1722" s="2" t="str">
        <x:v>Storage</x:v>
      </x:c>
      <x:c r="H1722" s="2" t="str">
        <x:v>Shelf 011</x:v>
      </x:c>
      <x:c r="I1722" s="11" t="n">
        <x:v>5</x:v>
      </x:c>
      <x:c r="J1722" s="9" t="n">
        <x:v>80</x:v>
      </x:c>
      <x:c r="K1722" s="10" t="n">
        <x:v>0.2</x:v>
      </x:c>
      <x:c r="L1722" s="11" t="n">
        <x:v>0</x:v>
      </x:c>
      <x:c r="M1722" s="9" t="n">
        <x:f>IF(D1722="Completed",I1722*J1722,0)</x:f>
        <x:v>400</x:v>
      </x:c>
      <x:c r="N1722" s="9" t="n">
        <x:f>M1722*K1722</x:f>
        <x:v>80</x:v>
      </x:c>
      <x:c r="O1722" s="9" t="n">
        <x:f>M1722-N1722</x:f>
        <x:v>320</x:v>
      </x:c>
      <x:c r="P1722" s="9" t="n">
        <x:f>IF(D1722="Completed",L1722*J1722*(1-K1722),0)</x:f>
        <x:v>0</x:v>
      </x:c>
      <x:c r="Q1722" s="9" t="n">
        <x:f>O1722-P1722</x:f>
        <x:v>320</x:v>
      </x:c>
      <x:c r="R1722" s="11" t="n">
        <x:f>IF(D1722="Completed",I1722,0)</x:f>
        <x:v>5</x:v>
      </x:c>
      <x:c r="S1722" s="11" t="n">
        <x:f>IF(D1722="Completed",L1722,0)</x:f>
        <x:v>0</x:v>
      </x:c>
      <x:c r="T1722" s="8" t="n">
        <x:f>DATE(YEAR(C1722),MONTH(C1722),1)</x:f>
        <x:v>45689</x:v>
      </x:c>
    </x:row>
    <x:row r="1723" ht="22" customHeight="1">
      <x:c r="A1723" s="2" t="str">
        <x:v>L001719</x:v>
      </x:c>
      <x:c r="B1723" s="2" t="str">
        <x:v>O00698</x:v>
      </x:c>
      <x:c r="C1723" s="7" t="n">
        <x:v>45971</x:v>
      </x:c>
      <x:c r="D1723" s="2" t="str">
        <x:v>Completed</x:v>
      </x:c>
      <x:c r="E1723" s="2" t="str">
        <x:v>South</x:v>
      </x:c>
      <x:c r="F1723" s="2" t="str">
        <x:v>Store</x:v>
      </x:c>
      <x:c r="G1723" s="2" t="str">
        <x:v>Lighting</x:v>
      </x:c>
      <x:c r="H1723" s="2" t="str">
        <x:v>Lamp 021</x:v>
      </x:c>
      <x:c r="I1723" s="11" t="n">
        <x:v>4</x:v>
      </x:c>
      <x:c r="J1723" s="9" t="n">
        <x:v>249</x:v>
      </x:c>
      <x:c r="K1723" s="10" t="n">
        <x:v>0.1</x:v>
      </x:c>
      <x:c r="L1723" s="11" t="n">
        <x:v>0</x:v>
      </x:c>
      <x:c r="M1723" s="9" t="n">
        <x:f>IF(D1723="Completed",I1723*J1723,0)</x:f>
        <x:v>996</x:v>
      </x:c>
      <x:c r="N1723" s="9" t="n">
        <x:f>M1723*K1723</x:f>
        <x:v>99.60000000000001</x:v>
      </x:c>
      <x:c r="O1723" s="9" t="n">
        <x:f>M1723-N1723</x:f>
        <x:v>896.4</x:v>
      </x:c>
      <x:c r="P1723" s="9" t="n">
        <x:f>IF(D1723="Completed",L1723*J1723*(1-K1723),0)</x:f>
        <x:v>0</x:v>
      </x:c>
      <x:c r="Q1723" s="9" t="n">
        <x:f>O1723-P1723</x:f>
        <x:v>896.4</x:v>
      </x:c>
      <x:c r="R1723" s="11" t="n">
        <x:f>IF(D1723="Completed",I1723,0)</x:f>
        <x:v>4</x:v>
      </x:c>
      <x:c r="S1723" s="11" t="n">
        <x:f>IF(D1723="Completed",L1723,0)</x:f>
        <x:v>0</x:v>
      </x:c>
      <x:c r="T1723" s="8" t="n">
        <x:f>DATE(YEAR(C1723),MONTH(C1723),1)</x:f>
        <x:v>45962</x:v>
      </x:c>
    </x:row>
    <x:row r="1724" ht="22" customHeight="1">
      <x:c r="A1724" s="2" t="str">
        <x:v>L001720</x:v>
      </x:c>
      <x:c r="B1724" s="2" t="str">
        <x:v>O00698</x:v>
      </x:c>
      <x:c r="C1724" s="7" t="n">
        <x:v>45971</x:v>
      </x:c>
      <x:c r="D1724" s="2" t="str">
        <x:v>Completed</x:v>
      </x:c>
      <x:c r="E1724" s="2" t="str">
        <x:v>South</x:v>
      </x:c>
      <x:c r="F1724" s="2" t="str">
        <x:v>Store</x:v>
      </x:c>
      <x:c r="G1724" s="2" t="str">
        <x:v>Furniture</x:v>
      </x:c>
      <x:c r="H1724" s="2" t="str">
        <x:v>Chair 010</x:v>
      </x:c>
      <x:c r="I1724" s="11" t="n">
        <x:v>5</x:v>
      </x:c>
      <x:c r="J1724" s="9" t="n">
        <x:v>211</x:v>
      </x:c>
      <x:c r="K1724" s="10" t="n">
        <x:v>0.05</x:v>
      </x:c>
      <x:c r="L1724" s="11" t="n">
        <x:v>0</x:v>
      </x:c>
      <x:c r="M1724" s="9" t="n">
        <x:f>IF(D1724="Completed",I1724*J1724,0)</x:f>
        <x:v>1055</x:v>
      </x:c>
      <x:c r="N1724" s="9" t="n">
        <x:f>M1724*K1724</x:f>
        <x:v>52.75</x:v>
      </x:c>
      <x:c r="O1724" s="9" t="n">
        <x:f>M1724-N1724</x:f>
        <x:v>1002.25</x:v>
      </x:c>
      <x:c r="P1724" s="9" t="n">
        <x:f>IF(D1724="Completed",L1724*J1724*(1-K1724),0)</x:f>
        <x:v>0</x:v>
      </x:c>
      <x:c r="Q1724" s="9" t="n">
        <x:f>O1724-P1724</x:f>
        <x:v>1002.25</x:v>
      </x:c>
      <x:c r="R1724" s="11" t="n">
        <x:f>IF(D1724="Completed",I1724,0)</x:f>
        <x:v>5</x:v>
      </x:c>
      <x:c r="S1724" s="11" t="n">
        <x:f>IF(D1724="Completed",L1724,0)</x:f>
        <x:v>0</x:v>
      </x:c>
      <x:c r="T1724" s="8" t="n">
        <x:f>DATE(YEAR(C1724),MONTH(C1724),1)</x:f>
        <x:v>45962</x:v>
      </x:c>
    </x:row>
    <x:row r="1725" ht="22" customHeight="1">
      <x:c r="A1725" s="2" t="str">
        <x:v>L001721</x:v>
      </x:c>
      <x:c r="B1725" s="2" t="str">
        <x:v>O00698</x:v>
      </x:c>
      <x:c r="C1725" s="7" t="n">
        <x:v>45971</x:v>
      </x:c>
      <x:c r="D1725" s="2" t="str">
        <x:v>Completed</x:v>
      </x:c>
      <x:c r="E1725" s="2" t="str">
        <x:v>South</x:v>
      </x:c>
      <x:c r="F1725" s="2" t="str">
        <x:v>Store</x:v>
      </x:c>
      <x:c r="G1725" s="2" t="str">
        <x:v>Lighting</x:v>
      </x:c>
      <x:c r="H1725" s="2" t="str">
        <x:v>Lamp 013</x:v>
      </x:c>
      <x:c r="I1725" s="11" t="n">
        <x:v>1</x:v>
      </x:c>
      <x:c r="J1725" s="9" t="n">
        <x:v>271</x:v>
      </x:c>
      <x:c r="K1725" s="10" t="n">
        <x:v>0.2</x:v>
      </x:c>
      <x:c r="L1725" s="11" t="n">
        <x:v>0</x:v>
      </x:c>
      <x:c r="M1725" s="9" t="n">
        <x:f>IF(D1725="Completed",I1725*J1725,0)</x:f>
        <x:v>271</x:v>
      </x:c>
      <x:c r="N1725" s="9" t="n">
        <x:f>M1725*K1725</x:f>
        <x:v>54.2</x:v>
      </x:c>
      <x:c r="O1725" s="9" t="n">
        <x:f>M1725-N1725</x:f>
        <x:v>216.8</x:v>
      </x:c>
      <x:c r="P1725" s="9" t="n">
        <x:f>IF(D1725="Completed",L1725*J1725*(1-K1725),0)</x:f>
        <x:v>0</x:v>
      </x:c>
      <x:c r="Q1725" s="9" t="n">
        <x:f>O1725-P1725</x:f>
        <x:v>216.8</x:v>
      </x:c>
      <x:c r="R1725" s="11" t="n">
        <x:f>IF(D1725="Completed",I1725,0)</x:f>
        <x:v>1</x:v>
      </x:c>
      <x:c r="S1725" s="11" t="n">
        <x:f>IF(D1725="Completed",L1725,0)</x:f>
        <x:v>0</x:v>
      </x:c>
      <x:c r="T1725" s="8" t="n">
        <x:f>DATE(YEAR(C1725),MONTH(C1725),1)</x:f>
        <x:v>45962</x:v>
      </x:c>
    </x:row>
    <x:row r="1726" ht="22" customHeight="1">
      <x:c r="A1726" s="2" t="str">
        <x:v>L001722</x:v>
      </x:c>
      <x:c r="B1726" s="2" t="str">
        <x:v>O00698</x:v>
      </x:c>
      <x:c r="C1726" s="7" t="n">
        <x:v>45971</x:v>
      </x:c>
      <x:c r="D1726" s="2" t="str">
        <x:v>Completed</x:v>
      </x:c>
      <x:c r="E1726" s="2" t="str">
        <x:v>South</x:v>
      </x:c>
      <x:c r="F1726" s="2" t="str">
        <x:v>Store</x:v>
      </x:c>
      <x:c r="G1726" s="2" t="str">
        <x:v>Lighting</x:v>
      </x:c>
      <x:c r="H1726" s="2" t="str">
        <x:v>Lamp 013</x:v>
      </x:c>
      <x:c r="I1726" s="11" t="n">
        <x:v>4</x:v>
      </x:c>
      <x:c r="J1726" s="9" t="n">
        <x:v>271</x:v>
      </x:c>
      <x:c r="K1726" s="10" t="n">
        <x:v>0</x:v>
      </x:c>
      <x:c r="L1726" s="11" t="n">
        <x:v>0</x:v>
      </x:c>
      <x:c r="M1726" s="9" t="n">
        <x:f>IF(D1726="Completed",I1726*J1726,0)</x:f>
        <x:v>1084</x:v>
      </x:c>
      <x:c r="N1726" s="9" t="n">
        <x:f>M1726*K1726</x:f>
        <x:v>0</x:v>
      </x:c>
      <x:c r="O1726" s="9" t="n">
        <x:f>M1726-N1726</x:f>
        <x:v>1084</x:v>
      </x:c>
      <x:c r="P1726" s="9" t="n">
        <x:f>IF(D1726="Completed",L1726*J1726*(1-K1726),0)</x:f>
        <x:v>0</x:v>
      </x:c>
      <x:c r="Q1726" s="9" t="n">
        <x:f>O1726-P1726</x:f>
        <x:v>1084</x:v>
      </x:c>
      <x:c r="R1726" s="11" t="n">
        <x:f>IF(D1726="Completed",I1726,0)</x:f>
        <x:v>4</x:v>
      </x:c>
      <x:c r="S1726" s="11" t="n">
        <x:f>IF(D1726="Completed",L1726,0)</x:f>
        <x:v>0</x:v>
      </x:c>
      <x:c r="T1726" s="8" t="n">
        <x:f>DATE(YEAR(C1726),MONTH(C1726),1)</x:f>
        <x:v>45962</x:v>
      </x:c>
    </x:row>
    <x:row r="1727" ht="22" customHeight="1">
      <x:c r="A1727" s="2" t="str">
        <x:v>L001723</x:v>
      </x:c>
      <x:c r="B1727" s="2" t="str">
        <x:v>O00699</x:v>
      </x:c>
      <x:c r="C1727" s="7" t="n">
        <x:v>45958</x:v>
      </x:c>
      <x:c r="D1727" s="2" t="str">
        <x:v>Completed</x:v>
      </x:c>
      <x:c r="E1727" s="2" t="str">
        <x:v>West</x:v>
      </x:c>
      <x:c r="F1727" s="2" t="str">
        <x:v>Store</x:v>
      </x:c>
      <x:c r="G1727" s="2" t="str">
        <x:v>Furniture</x:v>
      </x:c>
      <x:c r="H1727" s="2" t="str">
        <x:v>Desk 016</x:v>
      </x:c>
      <x:c r="I1727" s="11" t="n">
        <x:v>5</x:v>
      </x:c>
      <x:c r="J1727" s="9" t="n">
        <x:v>231</x:v>
      </x:c>
      <x:c r="K1727" s="10" t="n">
        <x:v>0</x:v>
      </x:c>
      <x:c r="L1727" s="11" t="n">
        <x:v>0</x:v>
      </x:c>
      <x:c r="M1727" s="9" t="n">
        <x:f>IF(D1727="Completed",I1727*J1727,0)</x:f>
        <x:v>1155</x:v>
      </x:c>
      <x:c r="N1727" s="9" t="n">
        <x:f>M1727*K1727</x:f>
        <x:v>0</x:v>
      </x:c>
      <x:c r="O1727" s="9" t="n">
        <x:f>M1727-N1727</x:f>
        <x:v>1155</x:v>
      </x:c>
      <x:c r="P1727" s="9" t="n">
        <x:f>IF(D1727="Completed",L1727*J1727*(1-K1727),0)</x:f>
        <x:v>0</x:v>
      </x:c>
      <x:c r="Q1727" s="9" t="n">
        <x:f>O1727-P1727</x:f>
        <x:v>1155</x:v>
      </x:c>
      <x:c r="R1727" s="11" t="n">
        <x:f>IF(D1727="Completed",I1727,0)</x:f>
        <x:v>5</x:v>
      </x:c>
      <x:c r="S1727" s="11" t="n">
        <x:f>IF(D1727="Completed",L1727,0)</x:f>
        <x:v>0</x:v>
      </x:c>
      <x:c r="T1727" s="8" t="n">
        <x:f>DATE(YEAR(C1727),MONTH(C1727),1)</x:f>
        <x:v>45931</x:v>
      </x:c>
    </x:row>
    <x:row r="1728" ht="22" customHeight="1">
      <x:c r="A1728" s="2" t="str">
        <x:v>L001724</x:v>
      </x:c>
      <x:c r="B1728" s="2" t="str">
        <x:v>O00699</x:v>
      </x:c>
      <x:c r="C1728" s="7" t="n">
        <x:v>45958</x:v>
      </x:c>
      <x:c r="D1728" s="2" t="str">
        <x:v>Completed</x:v>
      </x:c>
      <x:c r="E1728" s="2" t="str">
        <x:v>West</x:v>
      </x:c>
      <x:c r="F1728" s="2" t="str">
        <x:v>Store</x:v>
      </x:c>
      <x:c r="G1728" s="2" t="str">
        <x:v>Lighting</x:v>
      </x:c>
      <x:c r="H1728" s="2" t="str">
        <x:v>Lamp 001</x:v>
      </x:c>
      <x:c r="I1728" s="11" t="n">
        <x:v>5</x:v>
      </x:c>
      <x:c r="J1728" s="9" t="n">
        <x:v>122</x:v>
      </x:c>
      <x:c r="K1728" s="10" t="n">
        <x:v>0.1</x:v>
      </x:c>
      <x:c r="L1728" s="11" t="n">
        <x:v>0</x:v>
      </x:c>
      <x:c r="M1728" s="9" t="n">
        <x:f>IF(D1728="Completed",I1728*J1728,0)</x:f>
        <x:v>610</x:v>
      </x:c>
      <x:c r="N1728" s="9" t="n">
        <x:f>M1728*K1728</x:f>
        <x:v>61</x:v>
      </x:c>
      <x:c r="O1728" s="9" t="n">
        <x:f>M1728-N1728</x:f>
        <x:v>549</x:v>
      </x:c>
      <x:c r="P1728" s="9" t="n">
        <x:f>IF(D1728="Completed",L1728*J1728*(1-K1728),0)</x:f>
        <x:v>0</x:v>
      </x:c>
      <x:c r="Q1728" s="9" t="n">
        <x:f>O1728-P1728</x:f>
        <x:v>549</x:v>
      </x:c>
      <x:c r="R1728" s="11" t="n">
        <x:f>IF(D1728="Completed",I1728,0)</x:f>
        <x:v>5</x:v>
      </x:c>
      <x:c r="S1728" s="11" t="n">
        <x:f>IF(D1728="Completed",L1728,0)</x:f>
        <x:v>0</x:v>
      </x:c>
      <x:c r="T1728" s="8" t="n">
        <x:f>DATE(YEAR(C1728),MONTH(C1728),1)</x:f>
        <x:v>45931</x:v>
      </x:c>
    </x:row>
    <x:row r="1729" ht="22" customHeight="1">
      <x:c r="A1729" s="2" t="str">
        <x:v>L001725</x:v>
      </x:c>
      <x:c r="B1729" s="2" t="str">
        <x:v>O00700</x:v>
      </x:c>
      <x:c r="C1729" s="7" t="n">
        <x:v>45880</x:v>
      </x:c>
      <x:c r="D1729" s="2" t="str">
        <x:v>Completed</x:v>
      </x:c>
      <x:c r="E1729" s="2" t="str">
        <x:v>North</x:v>
      </x:c>
      <x:c r="F1729" s="2" t="str">
        <x:v>Store</x:v>
      </x:c>
      <x:c r="G1729" s="2" t="str">
        <x:v>Furniture</x:v>
      </x:c>
      <x:c r="H1729" s="2" t="str">
        <x:v>Chair 002</x:v>
      </x:c>
      <x:c r="I1729" s="11" t="n">
        <x:v>1</x:v>
      </x:c>
      <x:c r="J1729" s="9" t="n">
        <x:v>284</x:v>
      </x:c>
      <x:c r="K1729" s="10" t="n">
        <x:v>0.2</x:v>
      </x:c>
      <x:c r="L1729" s="11" t="n">
        <x:v>0</x:v>
      </x:c>
      <x:c r="M1729" s="9" t="n">
        <x:f>IF(D1729="Completed",I1729*J1729,0)</x:f>
        <x:v>284</x:v>
      </x:c>
      <x:c r="N1729" s="9" t="n">
        <x:f>M1729*K1729</x:f>
        <x:v>56.800000000000004</x:v>
      </x:c>
      <x:c r="O1729" s="9" t="n">
        <x:f>M1729-N1729</x:f>
        <x:v>227.2</x:v>
      </x:c>
      <x:c r="P1729" s="9" t="n">
        <x:f>IF(D1729="Completed",L1729*J1729*(1-K1729),0)</x:f>
        <x:v>0</x:v>
      </x:c>
      <x:c r="Q1729" s="9" t="n">
        <x:f>O1729-P1729</x:f>
        <x:v>227.2</x:v>
      </x:c>
      <x:c r="R1729" s="11" t="n">
        <x:f>IF(D1729="Completed",I1729,0)</x:f>
        <x:v>1</x:v>
      </x:c>
      <x:c r="S1729" s="11" t="n">
        <x:f>IF(D1729="Completed",L1729,0)</x:f>
        <x:v>0</x:v>
      </x:c>
      <x:c r="T1729" s="8" t="n">
        <x:f>DATE(YEAR(C1729),MONTH(C1729),1)</x:f>
        <x:v>45870</x:v>
      </x:c>
    </x:row>
    <x:row r="1730" ht="22" customHeight="1">
      <x:c r="A1730" s="2" t="str">
        <x:v>L001726</x:v>
      </x:c>
      <x:c r="B1730" s="2" t="str">
        <x:v>O00701</x:v>
      </x:c>
      <x:c r="C1730" s="7" t="n">
        <x:v>45758</x:v>
      </x:c>
      <x:c r="D1730" s="2" t="str">
        <x:v>Completed</x:v>
      </x:c>
      <x:c r="E1730" s="2" t="str">
        <x:v>South</x:v>
      </x:c>
      <x:c r="F1730" s="2" t="str">
        <x:v>Store</x:v>
      </x:c>
      <x:c r="G1730" s="2" t="str">
        <x:v>Lighting</x:v>
      </x:c>
      <x:c r="H1730" s="2" t="str">
        <x:v>Lamp 001</x:v>
      </x:c>
      <x:c r="I1730" s="11" t="n">
        <x:v>5</x:v>
      </x:c>
      <x:c r="J1730" s="9" t="n">
        <x:v>122</x:v>
      </x:c>
      <x:c r="K1730" s="10" t="n">
        <x:v>0</x:v>
      </x:c>
      <x:c r="L1730" s="11" t="n">
        <x:v>0</x:v>
      </x:c>
      <x:c r="M1730" s="9" t="n">
        <x:f>IF(D1730="Completed",I1730*J1730,0)</x:f>
        <x:v>610</x:v>
      </x:c>
      <x:c r="N1730" s="9" t="n">
        <x:f>M1730*K1730</x:f>
        <x:v>0</x:v>
      </x:c>
      <x:c r="O1730" s="9" t="n">
        <x:f>M1730-N1730</x:f>
        <x:v>610</x:v>
      </x:c>
      <x:c r="P1730" s="9" t="n">
        <x:f>IF(D1730="Completed",L1730*J1730*(1-K1730),0)</x:f>
        <x:v>0</x:v>
      </x:c>
      <x:c r="Q1730" s="9" t="n">
        <x:f>O1730-P1730</x:f>
        <x:v>610</x:v>
      </x:c>
      <x:c r="R1730" s="11" t="n">
        <x:f>IF(D1730="Completed",I1730,0)</x:f>
        <x:v>5</x:v>
      </x:c>
      <x:c r="S1730" s="11" t="n">
        <x:f>IF(D1730="Completed",L1730,0)</x:f>
        <x:v>0</x:v>
      </x:c>
      <x:c r="T1730" s="8" t="n">
        <x:f>DATE(YEAR(C1730),MONTH(C1730),1)</x:f>
        <x:v>45748</x:v>
      </x:c>
    </x:row>
    <x:row r="1731" ht="22" customHeight="1">
      <x:c r="A1731" s="2" t="str">
        <x:v>L001727</x:v>
      </x:c>
      <x:c r="B1731" s="2" t="str">
        <x:v>O00701</x:v>
      </x:c>
      <x:c r="C1731" s="7" t="n">
        <x:v>45758</x:v>
      </x:c>
      <x:c r="D1731" s="2" t="str">
        <x:v>Completed</x:v>
      </x:c>
      <x:c r="E1731" s="2" t="str">
        <x:v>South</x:v>
      </x:c>
      <x:c r="F1731" s="2" t="str">
        <x:v>Store</x:v>
      </x:c>
      <x:c r="G1731" s="2" t="str">
        <x:v>Furniture</x:v>
      </x:c>
      <x:c r="H1731" s="2" t="str">
        <x:v>Chair 002</x:v>
      </x:c>
      <x:c r="I1731" s="11" t="n">
        <x:v>2</x:v>
      </x:c>
      <x:c r="J1731" s="9" t="n">
        <x:v>284</x:v>
      </x:c>
      <x:c r="K1731" s="10" t="n">
        <x:v>0.2</x:v>
      </x:c>
      <x:c r="L1731" s="11" t="n">
        <x:v>0</x:v>
      </x:c>
      <x:c r="M1731" s="9" t="n">
        <x:f>IF(D1731="Completed",I1731*J1731,0)</x:f>
        <x:v>568</x:v>
      </x:c>
      <x:c r="N1731" s="9" t="n">
        <x:f>M1731*K1731</x:f>
        <x:v>113.60000000000001</x:v>
      </x:c>
      <x:c r="O1731" s="9" t="n">
        <x:f>M1731-N1731</x:f>
        <x:v>454.4</x:v>
      </x:c>
      <x:c r="P1731" s="9" t="n">
        <x:f>IF(D1731="Completed",L1731*J1731*(1-K1731),0)</x:f>
        <x:v>0</x:v>
      </x:c>
      <x:c r="Q1731" s="9" t="n">
        <x:f>O1731-P1731</x:f>
        <x:v>454.4</x:v>
      </x:c>
      <x:c r="R1731" s="11" t="n">
        <x:f>IF(D1731="Completed",I1731,0)</x:f>
        <x:v>2</x:v>
      </x:c>
      <x:c r="S1731" s="11" t="n">
        <x:f>IF(D1731="Completed",L1731,0)</x:f>
        <x:v>0</x:v>
      </x:c>
      <x:c r="T1731" s="8" t="n">
        <x:f>DATE(YEAR(C1731),MONTH(C1731),1)</x:f>
        <x:v>45748</x:v>
      </x:c>
    </x:row>
    <x:row r="1732" ht="22" customHeight="1">
      <x:c r="A1732" s="2" t="str">
        <x:v>L001728</x:v>
      </x:c>
      <x:c r="B1732" s="2" t="str">
        <x:v>O00702</x:v>
      </x:c>
      <x:c r="C1732" s="7" t="n">
        <x:v>45903</x:v>
      </x:c>
      <x:c r="D1732" s="2" t="str">
        <x:v>Completed</x:v>
      </x:c>
      <x:c r="E1732" s="2" t="str">
        <x:v>South</x:v>
      </x:c>
      <x:c r="F1732" s="2" t="str">
        <x:v>Store</x:v>
      </x:c>
      <x:c r="G1732" s="2" t="str">
        <x:v>Lighting</x:v>
      </x:c>
      <x:c r="H1732" s="2" t="str">
        <x:v>Lamp 001</x:v>
      </x:c>
      <x:c r="I1732" s="11" t="n">
        <x:v>5</x:v>
      </x:c>
      <x:c r="J1732" s="9" t="n">
        <x:v>122</x:v>
      </x:c>
      <x:c r="K1732" s="10" t="n">
        <x:v>0.2</x:v>
      </x:c>
      <x:c r="L1732" s="11" t="n">
        <x:v>0</x:v>
      </x:c>
      <x:c r="M1732" s="9" t="n">
        <x:f>IF(D1732="Completed",I1732*J1732,0)</x:f>
        <x:v>610</x:v>
      </x:c>
      <x:c r="N1732" s="9" t="n">
        <x:f>M1732*K1732</x:f>
        <x:v>122</x:v>
      </x:c>
      <x:c r="O1732" s="9" t="n">
        <x:f>M1732-N1732</x:f>
        <x:v>488</x:v>
      </x:c>
      <x:c r="P1732" s="9" t="n">
        <x:f>IF(D1732="Completed",L1732*J1732*(1-K1732),0)</x:f>
        <x:v>0</x:v>
      </x:c>
      <x:c r="Q1732" s="9" t="n">
        <x:f>O1732-P1732</x:f>
        <x:v>488</x:v>
      </x:c>
      <x:c r="R1732" s="11" t="n">
        <x:f>IF(D1732="Completed",I1732,0)</x:f>
        <x:v>5</x:v>
      </x:c>
      <x:c r="S1732" s="11" t="n">
        <x:f>IF(D1732="Completed",L1732,0)</x:f>
        <x:v>0</x:v>
      </x:c>
      <x:c r="T1732" s="8" t="n">
        <x:f>DATE(YEAR(C1732),MONTH(C1732),1)</x:f>
        <x:v>45901</x:v>
      </x:c>
    </x:row>
    <x:row r="1733" ht="22" customHeight="1">
      <x:c r="A1733" s="2" t="str">
        <x:v>L001729</x:v>
      </x:c>
      <x:c r="B1733" s="2" t="str">
        <x:v>O00702</x:v>
      </x:c>
      <x:c r="C1733" s="7" t="n">
        <x:v>45903</x:v>
      </x:c>
      <x:c r="D1733" s="2" t="str">
        <x:v>Completed</x:v>
      </x:c>
      <x:c r="E1733" s="2" t="str">
        <x:v>South</x:v>
      </x:c>
      <x:c r="F1733" s="2" t="str">
        <x:v>Store</x:v>
      </x:c>
      <x:c r="G1733" s="2" t="str">
        <x:v>Furniture</x:v>
      </x:c>
      <x:c r="H1733" s="2" t="str">
        <x:v>Chair 006</x:v>
      </x:c>
      <x:c r="I1733" s="11" t="n">
        <x:v>1</x:v>
      </x:c>
      <x:c r="J1733" s="9" t="n">
        <x:v>196</x:v>
      </x:c>
      <x:c r="K1733" s="10" t="n">
        <x:v>0.2</x:v>
      </x:c>
      <x:c r="L1733" s="11" t="n">
        <x:v>0</x:v>
      </x:c>
      <x:c r="M1733" s="9" t="n">
        <x:f>IF(D1733="Completed",I1733*J1733,0)</x:f>
        <x:v>196</x:v>
      </x:c>
      <x:c r="N1733" s="9" t="n">
        <x:f>M1733*K1733</x:f>
        <x:v>39.2</x:v>
      </x:c>
      <x:c r="O1733" s="9" t="n">
        <x:f>M1733-N1733</x:f>
        <x:v>156.8</x:v>
      </x:c>
      <x:c r="P1733" s="9" t="n">
        <x:f>IF(D1733="Completed",L1733*J1733*(1-K1733),0)</x:f>
        <x:v>0</x:v>
      </x:c>
      <x:c r="Q1733" s="9" t="n">
        <x:f>O1733-P1733</x:f>
        <x:v>156.8</x:v>
      </x:c>
      <x:c r="R1733" s="11" t="n">
        <x:f>IF(D1733="Completed",I1733,0)</x:f>
        <x:v>1</x:v>
      </x:c>
      <x:c r="S1733" s="11" t="n">
        <x:f>IF(D1733="Completed",L1733,0)</x:f>
        <x:v>0</x:v>
      </x:c>
      <x:c r="T1733" s="8" t="n">
        <x:f>DATE(YEAR(C1733),MONTH(C1733),1)</x:f>
        <x:v>45901</x:v>
      </x:c>
    </x:row>
    <x:row r="1734" ht="22" customHeight="1">
      <x:c r="A1734" s="2" t="str">
        <x:v>L001730</x:v>
      </x:c>
      <x:c r="B1734" s="2" t="str">
        <x:v>O00703</x:v>
      </x:c>
      <x:c r="C1734" s="7" t="n">
        <x:v>45891</x:v>
      </x:c>
      <x:c r="D1734" s="2" t="str">
        <x:v>Completed</x:v>
      </x:c>
      <x:c r="E1734" s="2" t="str">
        <x:v>West</x:v>
      </x:c>
      <x:c r="F1734" s="2" t="str">
        <x:v>Online</x:v>
      </x:c>
      <x:c r="G1734" s="2" t="str">
        <x:v>Furniture</x:v>
      </x:c>
      <x:c r="H1734" s="2" t="str">
        <x:v>Desk 004</x:v>
      </x:c>
      <x:c r="I1734" s="11" t="n">
        <x:v>2</x:v>
      </x:c>
      <x:c r="J1734" s="9" t="n">
        <x:v>123</x:v>
      </x:c>
      <x:c r="K1734" s="10" t="n">
        <x:v>0.1</x:v>
      </x:c>
      <x:c r="L1734" s="11" t="n">
        <x:v>0</x:v>
      </x:c>
      <x:c r="M1734" s="9" t="n">
        <x:f>IF(D1734="Completed",I1734*J1734,0)</x:f>
        <x:v>246</x:v>
      </x:c>
      <x:c r="N1734" s="9" t="n">
        <x:f>M1734*K1734</x:f>
        <x:v>24.6</x:v>
      </x:c>
      <x:c r="O1734" s="9" t="n">
        <x:f>M1734-N1734</x:f>
        <x:v>221.4</x:v>
      </x:c>
      <x:c r="P1734" s="9" t="n">
        <x:f>IF(D1734="Completed",L1734*J1734*(1-K1734),0)</x:f>
        <x:v>0</x:v>
      </x:c>
      <x:c r="Q1734" s="9" t="n">
        <x:f>O1734-P1734</x:f>
        <x:v>221.4</x:v>
      </x:c>
      <x:c r="R1734" s="11" t="n">
        <x:f>IF(D1734="Completed",I1734,0)</x:f>
        <x:v>2</x:v>
      </x:c>
      <x:c r="S1734" s="11" t="n">
        <x:f>IF(D1734="Completed",L1734,0)</x:f>
        <x:v>0</x:v>
      </x:c>
      <x:c r="T1734" s="8" t="n">
        <x:f>DATE(YEAR(C1734),MONTH(C1734),1)</x:f>
        <x:v>45870</x:v>
      </x:c>
    </x:row>
    <x:row r="1735" ht="22" customHeight="1">
      <x:c r="A1735" s="2" t="str">
        <x:v>L001731</x:v>
      </x:c>
      <x:c r="B1735" s="2" t="str">
        <x:v>O00703</x:v>
      </x:c>
      <x:c r="C1735" s="7" t="n">
        <x:v>45891</x:v>
      </x:c>
      <x:c r="D1735" s="2" t="str">
        <x:v>Completed</x:v>
      </x:c>
      <x:c r="E1735" s="2" t="str">
        <x:v>West</x:v>
      </x:c>
      <x:c r="F1735" s="2" t="str">
        <x:v>Online</x:v>
      </x:c>
      <x:c r="G1735" s="2" t="str">
        <x:v>Storage</x:v>
      </x:c>
      <x:c r="H1735" s="2" t="str">
        <x:v>Shelf 003</x:v>
      </x:c>
      <x:c r="I1735" s="11" t="n">
        <x:v>1</x:v>
      </x:c>
      <x:c r="J1735" s="9" t="n">
        <x:v>199</x:v>
      </x:c>
      <x:c r="K1735" s="10" t="n">
        <x:v>0.05</x:v>
      </x:c>
      <x:c r="L1735" s="11" t="n">
        <x:v>0</x:v>
      </x:c>
      <x:c r="M1735" s="9" t="n">
        <x:f>IF(D1735="Completed",I1735*J1735,0)</x:f>
        <x:v>199</x:v>
      </x:c>
      <x:c r="N1735" s="9" t="n">
        <x:f>M1735*K1735</x:f>
        <x:v>9.950000000000001</x:v>
      </x:c>
      <x:c r="O1735" s="9" t="n">
        <x:f>M1735-N1735</x:f>
        <x:v>189.05</x:v>
      </x:c>
      <x:c r="P1735" s="9" t="n">
        <x:f>IF(D1735="Completed",L1735*J1735*(1-K1735),0)</x:f>
        <x:v>0</x:v>
      </x:c>
      <x:c r="Q1735" s="9" t="n">
        <x:f>O1735-P1735</x:f>
        <x:v>189.05</x:v>
      </x:c>
      <x:c r="R1735" s="11" t="n">
        <x:f>IF(D1735="Completed",I1735,0)</x:f>
        <x:v>1</x:v>
      </x:c>
      <x:c r="S1735" s="11" t="n">
        <x:f>IF(D1735="Completed",L1735,0)</x:f>
        <x:v>0</x:v>
      </x:c>
      <x:c r="T1735" s="8" t="n">
        <x:f>DATE(YEAR(C1735),MONTH(C1735),1)</x:f>
        <x:v>45870</x:v>
      </x:c>
    </x:row>
    <x:row r="1736" ht="22" customHeight="1">
      <x:c r="A1736" s="2" t="str">
        <x:v>L001732</x:v>
      </x:c>
      <x:c r="B1736" s="2" t="str">
        <x:v>O00704</x:v>
      </x:c>
      <x:c r="C1736" s="7" t="n">
        <x:v>45812</x:v>
      </x:c>
      <x:c r="D1736" s="2" t="str">
        <x:v>Completed</x:v>
      </x:c>
      <x:c r="E1736" s="2" t="str">
        <x:v>East</x:v>
      </x:c>
      <x:c r="F1736" s="2" t="str">
        <x:v>Online</x:v>
      </x:c>
      <x:c r="G1736" s="2" t="str">
        <x:v>Furniture</x:v>
      </x:c>
      <x:c r="H1736" s="2" t="str">
        <x:v>Desk 008</x:v>
      </x:c>
      <x:c r="I1736" s="11" t="n">
        <x:v>4</x:v>
      </x:c>
      <x:c r="J1736" s="9" t="n">
        <x:v>188</x:v>
      </x:c>
      <x:c r="K1736" s="10" t="n">
        <x:v>0.1</x:v>
      </x:c>
      <x:c r="L1736" s="11" t="n">
        <x:v>0</x:v>
      </x:c>
      <x:c r="M1736" s="9" t="n">
        <x:f>IF(D1736="Completed",I1736*J1736,0)</x:f>
        <x:v>752</x:v>
      </x:c>
      <x:c r="N1736" s="9" t="n">
        <x:f>M1736*K1736</x:f>
        <x:v>75.2</x:v>
      </x:c>
      <x:c r="O1736" s="9" t="n">
        <x:f>M1736-N1736</x:f>
        <x:v>676.8</x:v>
      </x:c>
      <x:c r="P1736" s="9" t="n">
        <x:f>IF(D1736="Completed",L1736*J1736*(1-K1736),0)</x:f>
        <x:v>0</x:v>
      </x:c>
      <x:c r="Q1736" s="9" t="n">
        <x:f>O1736-P1736</x:f>
        <x:v>676.8</x:v>
      </x:c>
      <x:c r="R1736" s="11" t="n">
        <x:f>IF(D1736="Completed",I1736,0)</x:f>
        <x:v>4</x:v>
      </x:c>
      <x:c r="S1736" s="11" t="n">
        <x:f>IF(D1736="Completed",L1736,0)</x:f>
        <x:v>0</x:v>
      </x:c>
      <x:c r="T1736" s="8" t="n">
        <x:f>DATE(YEAR(C1736),MONTH(C1736),1)</x:f>
        <x:v>45809</x:v>
      </x:c>
    </x:row>
    <x:row r="1737" ht="22" customHeight="1">
      <x:c r="A1737" s="2" t="str">
        <x:v>L001733</x:v>
      </x:c>
      <x:c r="B1737" s="2" t="str">
        <x:v>O00704</x:v>
      </x:c>
      <x:c r="C1737" s="7" t="n">
        <x:v>45812</x:v>
      </x:c>
      <x:c r="D1737" s="2" t="str">
        <x:v>Completed</x:v>
      </x:c>
      <x:c r="E1737" s="2" t="str">
        <x:v>East</x:v>
      </x:c>
      <x:c r="F1737" s="2" t="str">
        <x:v>Online</x:v>
      </x:c>
      <x:c r="G1737" s="2" t="str">
        <x:v>Furniture</x:v>
      </x:c>
      <x:c r="H1737" s="2" t="str">
        <x:v>Chair 014</x:v>
      </x:c>
      <x:c r="I1737" s="11" t="n">
        <x:v>2</x:v>
      </x:c>
      <x:c r="J1737" s="9" t="n">
        <x:v>294</x:v>
      </x:c>
      <x:c r="K1737" s="10" t="n">
        <x:v>0.2</x:v>
      </x:c>
      <x:c r="L1737" s="11" t="n">
        <x:v>0</x:v>
      </x:c>
      <x:c r="M1737" s="9" t="n">
        <x:f>IF(D1737="Completed",I1737*J1737,0)</x:f>
        <x:v>588</x:v>
      </x:c>
      <x:c r="N1737" s="9" t="n">
        <x:f>M1737*K1737</x:f>
        <x:v>117.60000000000001</x:v>
      </x:c>
      <x:c r="O1737" s="9" t="n">
        <x:f>M1737-N1737</x:f>
        <x:v>470.4</x:v>
      </x:c>
      <x:c r="P1737" s="9" t="n">
        <x:f>IF(D1737="Completed",L1737*J1737*(1-K1737),0)</x:f>
        <x:v>0</x:v>
      </x:c>
      <x:c r="Q1737" s="9" t="n">
        <x:f>O1737-P1737</x:f>
        <x:v>470.4</x:v>
      </x:c>
      <x:c r="R1737" s="11" t="n">
        <x:f>IF(D1737="Completed",I1737,0)</x:f>
        <x:v>2</x:v>
      </x:c>
      <x:c r="S1737" s="11" t="n">
        <x:f>IF(D1737="Completed",L1737,0)</x:f>
        <x:v>0</x:v>
      </x:c>
      <x:c r="T1737" s="8" t="n">
        <x:f>DATE(YEAR(C1737),MONTH(C1737),1)</x:f>
        <x:v>45809</x:v>
      </x:c>
    </x:row>
    <x:row r="1738" ht="22" customHeight="1">
      <x:c r="A1738" s="2" t="str">
        <x:v>L001734</x:v>
      </x:c>
      <x:c r="B1738" s="2" t="str">
        <x:v>O00705</x:v>
      </x:c>
      <x:c r="C1738" s="7" t="n">
        <x:v>45815</x:v>
      </x:c>
      <x:c r="D1738" s="2" t="str">
        <x:v>Completed</x:v>
      </x:c>
      <x:c r="E1738" s="2" t="str">
        <x:v>North</x:v>
      </x:c>
      <x:c r="F1738" s="2" t="str">
        <x:v>Online</x:v>
      </x:c>
      <x:c r="G1738" s="2" t="str">
        <x:v>Storage</x:v>
      </x:c>
      <x:c r="H1738" s="2" t="str">
        <x:v>Shelf 011</x:v>
      </x:c>
      <x:c r="I1738" s="11" t="n">
        <x:v>2</x:v>
      </x:c>
      <x:c r="J1738" s="9" t="n">
        <x:v>80</x:v>
      </x:c>
      <x:c r="K1738" s="10" t="n">
        <x:v>0.1</x:v>
      </x:c>
      <x:c r="L1738" s="11" t="n">
        <x:v>0</x:v>
      </x:c>
      <x:c r="M1738" s="9" t="n">
        <x:f>IF(D1738="Completed",I1738*J1738,0)</x:f>
        <x:v>160</x:v>
      </x:c>
      <x:c r="N1738" s="9" t="n">
        <x:f>M1738*K1738</x:f>
        <x:v>16</x:v>
      </x:c>
      <x:c r="O1738" s="9" t="n">
        <x:f>M1738-N1738</x:f>
        <x:v>144</x:v>
      </x:c>
      <x:c r="P1738" s="9" t="n">
        <x:f>IF(D1738="Completed",L1738*J1738*(1-K1738),0)</x:f>
        <x:v>0</x:v>
      </x:c>
      <x:c r="Q1738" s="9" t="n">
        <x:f>O1738-P1738</x:f>
        <x:v>144</x:v>
      </x:c>
      <x:c r="R1738" s="11" t="n">
        <x:f>IF(D1738="Completed",I1738,0)</x:f>
        <x:v>2</x:v>
      </x:c>
      <x:c r="S1738" s="11" t="n">
        <x:f>IF(D1738="Completed",L1738,0)</x:f>
        <x:v>0</x:v>
      </x:c>
      <x:c r="T1738" s="8" t="n">
        <x:f>DATE(YEAR(C1738),MONTH(C1738),1)</x:f>
        <x:v>45809</x:v>
      </x:c>
    </x:row>
    <x:row r="1739" ht="22" customHeight="1">
      <x:c r="A1739" s="2" t="str">
        <x:v>L001735</x:v>
      </x:c>
      <x:c r="B1739" s="2" t="str">
        <x:v>O00705</x:v>
      </x:c>
      <x:c r="C1739" s="7" t="n">
        <x:v>45815</x:v>
      </x:c>
      <x:c r="D1739" s="2" t="str">
        <x:v>Completed</x:v>
      </x:c>
      <x:c r="E1739" s="2" t="str">
        <x:v>North</x:v>
      </x:c>
      <x:c r="F1739" s="2" t="str">
        <x:v>Online</x:v>
      </x:c>
      <x:c r="G1739" s="2" t="str">
        <x:v>Furniture</x:v>
      </x:c>
      <x:c r="H1739" s="2" t="str">
        <x:v>Chair 022</x:v>
      </x:c>
      <x:c r="I1739" s="11" t="n">
        <x:v>5</x:v>
      </x:c>
      <x:c r="J1739" s="9" t="n">
        <x:v>134</x:v>
      </x:c>
      <x:c r="K1739" s="10" t="n">
        <x:v>0</x:v>
      </x:c>
      <x:c r="L1739" s="11" t="n">
        <x:v>0</x:v>
      </x:c>
      <x:c r="M1739" s="9" t="n">
        <x:f>IF(D1739="Completed",I1739*J1739,0)</x:f>
        <x:v>670</x:v>
      </x:c>
      <x:c r="N1739" s="9" t="n">
        <x:f>M1739*K1739</x:f>
        <x:v>0</x:v>
      </x:c>
      <x:c r="O1739" s="9" t="n">
        <x:f>M1739-N1739</x:f>
        <x:v>670</x:v>
      </x:c>
      <x:c r="P1739" s="9" t="n">
        <x:f>IF(D1739="Completed",L1739*J1739*(1-K1739),0)</x:f>
        <x:v>0</x:v>
      </x:c>
      <x:c r="Q1739" s="9" t="n">
        <x:f>O1739-P1739</x:f>
        <x:v>670</x:v>
      </x:c>
      <x:c r="R1739" s="11" t="n">
        <x:f>IF(D1739="Completed",I1739,0)</x:f>
        <x:v>5</x:v>
      </x:c>
      <x:c r="S1739" s="11" t="n">
        <x:f>IF(D1739="Completed",L1739,0)</x:f>
        <x:v>0</x:v>
      </x:c>
      <x:c r="T1739" s="8" t="n">
        <x:f>DATE(YEAR(C1739),MONTH(C1739),1)</x:f>
        <x:v>45809</x:v>
      </x:c>
    </x:row>
    <x:row r="1740" ht="22" customHeight="1">
      <x:c r="A1740" s="2" t="str">
        <x:v>L001736</x:v>
      </x:c>
      <x:c r="B1740" s="2" t="str">
        <x:v>O00706</x:v>
      </x:c>
      <x:c r="C1740" s="7" t="n">
        <x:v>45985</x:v>
      </x:c>
      <x:c r="D1740" s="2" t="str">
        <x:v>Completed</x:v>
      </x:c>
      <x:c r="E1740" s="2" t="str">
        <x:v>East</x:v>
      </x:c>
      <x:c r="F1740" s="2" t="str">
        <x:v>Online</x:v>
      </x:c>
      <x:c r="G1740" s="2" t="str">
        <x:v>Furniture</x:v>
      </x:c>
      <x:c r="H1740" s="2" t="str">
        <x:v>Desk 008</x:v>
      </x:c>
      <x:c r="I1740" s="11" t="n">
        <x:v>3</x:v>
      </x:c>
      <x:c r="J1740" s="9" t="n">
        <x:v>188</x:v>
      </x:c>
      <x:c r="K1740" s="10" t="n">
        <x:v>0.2</x:v>
      </x:c>
      <x:c r="L1740" s="11" t="n">
        <x:v>0</x:v>
      </x:c>
      <x:c r="M1740" s="9" t="n">
        <x:f>IF(D1740="Completed",I1740*J1740,0)</x:f>
        <x:v>564</x:v>
      </x:c>
      <x:c r="N1740" s="9" t="n">
        <x:f>M1740*K1740</x:f>
        <x:v>112.80000000000001</x:v>
      </x:c>
      <x:c r="O1740" s="9" t="n">
        <x:f>M1740-N1740</x:f>
        <x:v>451.2</x:v>
      </x:c>
      <x:c r="P1740" s="9" t="n">
        <x:f>IF(D1740="Completed",L1740*J1740*(1-K1740),0)</x:f>
        <x:v>0</x:v>
      </x:c>
      <x:c r="Q1740" s="9" t="n">
        <x:f>O1740-P1740</x:f>
        <x:v>451.2</x:v>
      </x:c>
      <x:c r="R1740" s="11" t="n">
        <x:f>IF(D1740="Completed",I1740,0)</x:f>
        <x:v>3</x:v>
      </x:c>
      <x:c r="S1740" s="11" t="n">
        <x:f>IF(D1740="Completed",L1740,0)</x:f>
        <x:v>0</x:v>
      </x:c>
      <x:c r="T1740" s="8" t="n">
        <x:f>DATE(YEAR(C1740),MONTH(C1740),1)</x:f>
        <x:v>45962</x:v>
      </x:c>
    </x:row>
    <x:row r="1741" ht="22" customHeight="1">
      <x:c r="A1741" s="2" t="str">
        <x:v>L001737</x:v>
      </x:c>
      <x:c r="B1741" s="2" t="str">
        <x:v>O00706</x:v>
      </x:c>
      <x:c r="C1741" s="7" t="n">
        <x:v>45985</x:v>
      </x:c>
      <x:c r="D1741" s="2" t="str">
        <x:v>Completed</x:v>
      </x:c>
      <x:c r="E1741" s="2" t="str">
        <x:v>East</x:v>
      </x:c>
      <x:c r="F1741" s="2" t="str">
        <x:v>Online</x:v>
      </x:c>
      <x:c r="G1741" s="2" t="str">
        <x:v>Furniture</x:v>
      </x:c>
      <x:c r="H1741" s="2" t="str">
        <x:v>Chair 002</x:v>
      </x:c>
      <x:c r="I1741" s="11" t="n">
        <x:v>4</x:v>
      </x:c>
      <x:c r="J1741" s="9" t="n">
        <x:v>284</x:v>
      </x:c>
      <x:c r="K1741" s="10" t="n">
        <x:v>0.1</x:v>
      </x:c>
      <x:c r="L1741" s="11" t="n">
        <x:v>0</x:v>
      </x:c>
      <x:c r="M1741" s="9" t="n">
        <x:f>IF(D1741="Completed",I1741*J1741,0)</x:f>
        <x:v>1136</x:v>
      </x:c>
      <x:c r="N1741" s="9" t="n">
        <x:f>M1741*K1741</x:f>
        <x:v>113.60000000000001</x:v>
      </x:c>
      <x:c r="O1741" s="9" t="n">
        <x:f>M1741-N1741</x:f>
        <x:v>1022.4</x:v>
      </x:c>
      <x:c r="P1741" s="9" t="n">
        <x:f>IF(D1741="Completed",L1741*J1741*(1-K1741),0)</x:f>
        <x:v>0</x:v>
      </x:c>
      <x:c r="Q1741" s="9" t="n">
        <x:f>O1741-P1741</x:f>
        <x:v>1022.4</x:v>
      </x:c>
      <x:c r="R1741" s="11" t="n">
        <x:f>IF(D1741="Completed",I1741,0)</x:f>
        <x:v>4</x:v>
      </x:c>
      <x:c r="S1741" s="11" t="n">
        <x:f>IF(D1741="Completed",L1741,0)</x:f>
        <x:v>0</x:v>
      </x:c>
      <x:c r="T1741" s="8" t="n">
        <x:f>DATE(YEAR(C1741),MONTH(C1741),1)</x:f>
        <x:v>45962</x:v>
      </x:c>
    </x:row>
    <x:row r="1742" ht="22" customHeight="1">
      <x:c r="A1742" s="2" t="str">
        <x:v>L001738</x:v>
      </x:c>
      <x:c r="B1742" s="2" t="str">
        <x:v>O00707</x:v>
      </x:c>
      <x:c r="C1742" s="7" t="n">
        <x:v>45910</x:v>
      </x:c>
      <x:c r="D1742" s="2" t="str">
        <x:v>Completed</x:v>
      </x:c>
      <x:c r="E1742" s="2" t="str">
        <x:v>North</x:v>
      </x:c>
      <x:c r="F1742" s="2" t="str">
        <x:v>Store</x:v>
      </x:c>
      <x:c r="G1742" s="2" t="str">
        <x:v>Lighting</x:v>
      </x:c>
      <x:c r="H1742" s="2" t="str">
        <x:v>Lamp 001</x:v>
      </x:c>
      <x:c r="I1742" s="11" t="n">
        <x:v>3</x:v>
      </x:c>
      <x:c r="J1742" s="9" t="n">
        <x:v>122</x:v>
      </x:c>
      <x:c r="K1742" s="10" t="n">
        <x:v>0</x:v>
      </x:c>
      <x:c r="L1742" s="11" t="n">
        <x:v>0</x:v>
      </x:c>
      <x:c r="M1742" s="9" t="n">
        <x:f>IF(D1742="Completed",I1742*J1742,0)</x:f>
        <x:v>366</x:v>
      </x:c>
      <x:c r="N1742" s="9" t="n">
        <x:f>M1742*K1742</x:f>
        <x:v>0</x:v>
      </x:c>
      <x:c r="O1742" s="9" t="n">
        <x:f>M1742-N1742</x:f>
        <x:v>366</x:v>
      </x:c>
      <x:c r="P1742" s="9" t="n">
        <x:f>IF(D1742="Completed",L1742*J1742*(1-K1742),0)</x:f>
        <x:v>0</x:v>
      </x:c>
      <x:c r="Q1742" s="9" t="n">
        <x:f>O1742-P1742</x:f>
        <x:v>366</x:v>
      </x:c>
      <x:c r="R1742" s="11" t="n">
        <x:f>IF(D1742="Completed",I1742,0)</x:f>
        <x:v>3</x:v>
      </x:c>
      <x:c r="S1742" s="11" t="n">
        <x:f>IF(D1742="Completed",L1742,0)</x:f>
        <x:v>0</x:v>
      </x:c>
      <x:c r="T1742" s="8" t="n">
        <x:f>DATE(YEAR(C1742),MONTH(C1742),1)</x:f>
        <x:v>45901</x:v>
      </x:c>
    </x:row>
    <x:row r="1743" ht="22" customHeight="1">
      <x:c r="A1743" s="2" t="str">
        <x:v>L001739</x:v>
      </x:c>
      <x:c r="B1743" s="2" t="str">
        <x:v>O00707</x:v>
      </x:c>
      <x:c r="C1743" s="7" t="n">
        <x:v>45910</x:v>
      </x:c>
      <x:c r="D1743" s="2" t="str">
        <x:v>Completed</x:v>
      </x:c>
      <x:c r="E1743" s="2" t="str">
        <x:v>North</x:v>
      </x:c>
      <x:c r="F1743" s="2" t="str">
        <x:v>Store</x:v>
      </x:c>
      <x:c r="G1743" s="2" t="str">
        <x:v>Lighting</x:v>
      </x:c>
      <x:c r="H1743" s="2" t="str">
        <x:v>Lamp 013</x:v>
      </x:c>
      <x:c r="I1743" s="11" t="n">
        <x:v>4</x:v>
      </x:c>
      <x:c r="J1743" s="9" t="n">
        <x:v>271</x:v>
      </x:c>
      <x:c r="K1743" s="10" t="n">
        <x:v>0.1</x:v>
      </x:c>
      <x:c r="L1743" s="11" t="n">
        <x:v>0</x:v>
      </x:c>
      <x:c r="M1743" s="9" t="n">
        <x:f>IF(D1743="Completed",I1743*J1743,0)</x:f>
        <x:v>1084</x:v>
      </x:c>
      <x:c r="N1743" s="9" t="n">
        <x:f>M1743*K1743</x:f>
        <x:v>108.4</x:v>
      </x:c>
      <x:c r="O1743" s="9" t="n">
        <x:f>M1743-N1743</x:f>
        <x:v>975.6</x:v>
      </x:c>
      <x:c r="P1743" s="9" t="n">
        <x:f>IF(D1743="Completed",L1743*J1743*(1-K1743),0)</x:f>
        <x:v>0</x:v>
      </x:c>
      <x:c r="Q1743" s="9" t="n">
        <x:f>O1743-P1743</x:f>
        <x:v>975.6</x:v>
      </x:c>
      <x:c r="R1743" s="11" t="n">
        <x:f>IF(D1743="Completed",I1743,0)</x:f>
        <x:v>4</x:v>
      </x:c>
      <x:c r="S1743" s="11" t="n">
        <x:f>IF(D1743="Completed",L1743,0)</x:f>
        <x:v>0</x:v>
      </x:c>
      <x:c r="T1743" s="8" t="n">
        <x:f>DATE(YEAR(C1743),MONTH(C1743),1)</x:f>
        <x:v>45901</x:v>
      </x:c>
    </x:row>
    <x:row r="1744" ht="22" customHeight="1">
      <x:c r="A1744" s="2" t="str">
        <x:v>L001740</x:v>
      </x:c>
      <x:c r="B1744" s="2" t="str">
        <x:v>O00707</x:v>
      </x:c>
      <x:c r="C1744" s="7" t="n">
        <x:v>45910</x:v>
      </x:c>
      <x:c r="D1744" s="2" t="str">
        <x:v>Completed</x:v>
      </x:c>
      <x:c r="E1744" s="2" t="str">
        <x:v>North</x:v>
      </x:c>
      <x:c r="F1744" s="2" t="str">
        <x:v>Store</x:v>
      </x:c>
      <x:c r="G1744" s="2" t="str">
        <x:v>Lighting</x:v>
      </x:c>
      <x:c r="H1744" s="2" t="str">
        <x:v>Lamp 005</x:v>
      </x:c>
      <x:c r="I1744" s="11" t="n">
        <x:v>2</x:v>
      </x:c>
      <x:c r="J1744" s="9" t="n">
        <x:v>65</x:v>
      </x:c>
      <x:c r="K1744" s="10" t="n">
        <x:v>0</x:v>
      </x:c>
      <x:c r="L1744" s="11" t="n">
        <x:v>0</x:v>
      </x:c>
      <x:c r="M1744" s="9" t="n">
        <x:f>IF(D1744="Completed",I1744*J1744,0)</x:f>
        <x:v>130</x:v>
      </x:c>
      <x:c r="N1744" s="9" t="n">
        <x:f>M1744*K1744</x:f>
        <x:v>0</x:v>
      </x:c>
      <x:c r="O1744" s="9" t="n">
        <x:f>M1744-N1744</x:f>
        <x:v>130</x:v>
      </x:c>
      <x:c r="P1744" s="9" t="n">
        <x:f>IF(D1744="Completed",L1744*J1744*(1-K1744),0)</x:f>
        <x:v>0</x:v>
      </x:c>
      <x:c r="Q1744" s="9" t="n">
        <x:f>O1744-P1744</x:f>
        <x:v>130</x:v>
      </x:c>
      <x:c r="R1744" s="11" t="n">
        <x:f>IF(D1744="Completed",I1744,0)</x:f>
        <x:v>2</x:v>
      </x:c>
      <x:c r="S1744" s="11" t="n">
        <x:f>IF(D1744="Completed",L1744,0)</x:f>
        <x:v>0</x:v>
      </x:c>
      <x:c r="T1744" s="8" t="n">
        <x:f>DATE(YEAR(C1744),MONTH(C1744),1)</x:f>
        <x:v>45901</x:v>
      </x:c>
    </x:row>
    <x:row r="1745" ht="22" customHeight="1">
      <x:c r="A1745" s="2" t="str">
        <x:v>L001741</x:v>
      </x:c>
      <x:c r="B1745" s="2" t="str">
        <x:v>O00708</x:v>
      </x:c>
      <x:c r="C1745" s="7" t="n">
        <x:v>45772</x:v>
      </x:c>
      <x:c r="D1745" s="2" t="str">
        <x:v>Cancelled</x:v>
      </x:c>
      <x:c r="E1745" s="2" t="str">
        <x:v>West</x:v>
      </x:c>
      <x:c r="F1745" s="2" t="str">
        <x:v>Store</x:v>
      </x:c>
      <x:c r="G1745" s="2" t="str">
        <x:v>Furniture</x:v>
      </x:c>
      <x:c r="H1745" s="2" t="str">
        <x:v>Desk 004</x:v>
      </x:c>
      <x:c r="I1745" s="11" t="n">
        <x:v>4</x:v>
      </x:c>
      <x:c r="J1745" s="9" t="n">
        <x:v>123</x:v>
      </x:c>
      <x:c r="K1745" s="10" t="n">
        <x:v>0</x:v>
      </x:c>
      <x:c r="L1745" s="11" t="n">
        <x:v>0</x:v>
      </x:c>
      <x:c r="M1745" s="9" t="n">
        <x:f>IF(D1745="Completed",I1745*J1745,0)</x:f>
        <x:v>0</x:v>
      </x:c>
      <x:c r="N1745" s="9" t="n">
        <x:f>M1745*K1745</x:f>
        <x:v>0</x:v>
      </x:c>
      <x:c r="O1745" s="9" t="n">
        <x:f>M1745-N1745</x:f>
        <x:v>0</x:v>
      </x:c>
      <x:c r="P1745" s="9" t="n">
        <x:f>IF(D1745="Completed",L1745*J1745*(1-K1745),0)</x:f>
        <x:v>0</x:v>
      </x:c>
      <x:c r="Q1745" s="9" t="n">
        <x:f>O1745-P1745</x:f>
        <x:v>0</x:v>
      </x:c>
      <x:c r="R1745" s="11" t="n">
        <x:f>IF(D1745="Completed",I1745,0)</x:f>
        <x:v>0</x:v>
      </x:c>
      <x:c r="S1745" s="11" t="n">
        <x:f>IF(D1745="Completed",L1745,0)</x:f>
        <x:v>0</x:v>
      </x:c>
      <x:c r="T1745" s="8" t="n">
        <x:f>DATE(YEAR(C1745),MONTH(C1745),1)</x:f>
        <x:v>45748</x:v>
      </x:c>
    </x:row>
    <x:row r="1746" ht="22" customHeight="1">
      <x:c r="A1746" s="2" t="str">
        <x:v>L001742</x:v>
      </x:c>
      <x:c r="B1746" s="2" t="str">
        <x:v>O00709</x:v>
      </x:c>
      <x:c r="C1746" s="7" t="n">
        <x:v>45695</x:v>
      </x:c>
      <x:c r="D1746" s="2" t="str">
        <x:v>Completed</x:v>
      </x:c>
      <x:c r="E1746" s="2" t="str">
        <x:v>East</x:v>
      </x:c>
      <x:c r="F1746" s="2" t="str">
        <x:v>Store</x:v>
      </x:c>
      <x:c r="G1746" s="2" t="str">
        <x:v>Storage</x:v>
      </x:c>
      <x:c r="H1746" s="2" t="str">
        <x:v>Shelf 019</x:v>
      </x:c>
      <x:c r="I1746" s="11" t="n">
        <x:v>2</x:v>
      </x:c>
      <x:c r="J1746" s="9" t="n">
        <x:v>78</x:v>
      </x:c>
      <x:c r="K1746" s="10" t="n">
        <x:v>0.2</x:v>
      </x:c>
      <x:c r="L1746" s="11" t="n">
        <x:v>0</x:v>
      </x:c>
      <x:c r="M1746" s="9" t="n">
        <x:f>IF(D1746="Completed",I1746*J1746,0)</x:f>
        <x:v>156</x:v>
      </x:c>
      <x:c r="N1746" s="9" t="n">
        <x:f>M1746*K1746</x:f>
        <x:v>31.200000000000003</x:v>
      </x:c>
      <x:c r="O1746" s="9" t="n">
        <x:f>M1746-N1746</x:f>
        <x:v>124.8</x:v>
      </x:c>
      <x:c r="P1746" s="9" t="n">
        <x:f>IF(D1746="Completed",L1746*J1746*(1-K1746),0)</x:f>
        <x:v>0</x:v>
      </x:c>
      <x:c r="Q1746" s="9" t="n">
        <x:f>O1746-P1746</x:f>
        <x:v>124.8</x:v>
      </x:c>
      <x:c r="R1746" s="11" t="n">
        <x:f>IF(D1746="Completed",I1746,0)</x:f>
        <x:v>2</x:v>
      </x:c>
      <x:c r="S1746" s="11" t="n">
        <x:f>IF(D1746="Completed",L1746,0)</x:f>
        <x:v>0</x:v>
      </x:c>
      <x:c r="T1746" s="8" t="n">
        <x:f>DATE(YEAR(C1746),MONTH(C1746),1)</x:f>
        <x:v>45689</x:v>
      </x:c>
    </x:row>
    <x:row r="1747" ht="22" customHeight="1">
      <x:c r="A1747" s="2" t="str">
        <x:v>L001743</x:v>
      </x:c>
      <x:c r="B1747" s="2" t="str">
        <x:v>O00709</x:v>
      </x:c>
      <x:c r="C1747" s="7" t="n">
        <x:v>45695</x:v>
      </x:c>
      <x:c r="D1747" s="2" t="str">
        <x:v>Completed</x:v>
      </x:c>
      <x:c r="E1747" s="2" t="str">
        <x:v>East</x:v>
      </x:c>
      <x:c r="F1747" s="2" t="str">
        <x:v>Store</x:v>
      </x:c>
      <x:c r="G1747" s="2" t="str">
        <x:v>Storage</x:v>
      </x:c>
      <x:c r="H1747" s="2" t="str">
        <x:v>Shelf 015</x:v>
      </x:c>
      <x:c r="I1747" s="11" t="n">
        <x:v>5</x:v>
      </x:c>
      <x:c r="J1747" s="9" t="n">
        <x:v>254</x:v>
      </x:c>
      <x:c r="K1747" s="10" t="n">
        <x:v>0.2</x:v>
      </x:c>
      <x:c r="L1747" s="11" t="n">
        <x:v>0</x:v>
      </x:c>
      <x:c r="M1747" s="9" t="n">
        <x:f>IF(D1747="Completed",I1747*J1747,0)</x:f>
        <x:v>1270</x:v>
      </x:c>
      <x:c r="N1747" s="9" t="n">
        <x:f>M1747*K1747</x:f>
        <x:v>254</x:v>
      </x:c>
      <x:c r="O1747" s="9" t="n">
        <x:f>M1747-N1747</x:f>
        <x:v>1016</x:v>
      </x:c>
      <x:c r="P1747" s="9" t="n">
        <x:f>IF(D1747="Completed",L1747*J1747*(1-K1747),0)</x:f>
        <x:v>0</x:v>
      </x:c>
      <x:c r="Q1747" s="9" t="n">
        <x:f>O1747-P1747</x:f>
        <x:v>1016</x:v>
      </x:c>
      <x:c r="R1747" s="11" t="n">
        <x:f>IF(D1747="Completed",I1747,0)</x:f>
        <x:v>5</x:v>
      </x:c>
      <x:c r="S1747" s="11" t="n">
        <x:f>IF(D1747="Completed",L1747,0)</x:f>
        <x:v>0</x:v>
      </x:c>
      <x:c r="T1747" s="8" t="n">
        <x:f>DATE(YEAR(C1747),MONTH(C1747),1)</x:f>
        <x:v>45689</x:v>
      </x:c>
    </x:row>
    <x:row r="1748" ht="22" customHeight="1">
      <x:c r="A1748" s="2" t="str">
        <x:v>L001744</x:v>
      </x:c>
      <x:c r="B1748" s="2" t="str">
        <x:v>O00709</x:v>
      </x:c>
      <x:c r="C1748" s="7" t="n">
        <x:v>45695</x:v>
      </x:c>
      <x:c r="D1748" s="2" t="str">
        <x:v>Completed</x:v>
      </x:c>
      <x:c r="E1748" s="2" t="str">
        <x:v>East</x:v>
      </x:c>
      <x:c r="F1748" s="2" t="str">
        <x:v>Store</x:v>
      </x:c>
      <x:c r="G1748" s="2" t="str">
        <x:v>Lighting</x:v>
      </x:c>
      <x:c r="H1748" s="2" t="str">
        <x:v>Lamp 005</x:v>
      </x:c>
      <x:c r="I1748" s="11" t="n">
        <x:v>3</x:v>
      </x:c>
      <x:c r="J1748" s="9" t="n">
        <x:v>65</x:v>
      </x:c>
      <x:c r="K1748" s="10" t="n">
        <x:v>0.2</x:v>
      </x:c>
      <x:c r="L1748" s="11" t="n">
        <x:v>0</x:v>
      </x:c>
      <x:c r="M1748" s="9" t="n">
        <x:f>IF(D1748="Completed",I1748*J1748,0)</x:f>
        <x:v>195</x:v>
      </x:c>
      <x:c r="N1748" s="9" t="n">
        <x:f>M1748*K1748</x:f>
        <x:v>39</x:v>
      </x:c>
      <x:c r="O1748" s="9" t="n">
        <x:f>M1748-N1748</x:f>
        <x:v>156</x:v>
      </x:c>
      <x:c r="P1748" s="9" t="n">
        <x:f>IF(D1748="Completed",L1748*J1748*(1-K1748),0)</x:f>
        <x:v>0</x:v>
      </x:c>
      <x:c r="Q1748" s="9" t="n">
        <x:f>O1748-P1748</x:f>
        <x:v>156</x:v>
      </x:c>
      <x:c r="R1748" s="11" t="n">
        <x:f>IF(D1748="Completed",I1748,0)</x:f>
        <x:v>3</x:v>
      </x:c>
      <x:c r="S1748" s="11" t="n">
        <x:f>IF(D1748="Completed",L1748,0)</x:f>
        <x:v>0</x:v>
      </x:c>
      <x:c r="T1748" s="8" t="n">
        <x:f>DATE(YEAR(C1748),MONTH(C1748),1)</x:f>
        <x:v>45689</x:v>
      </x:c>
    </x:row>
    <x:row r="1749" ht="22" customHeight="1">
      <x:c r="A1749" s="2" t="str">
        <x:v>L001745</x:v>
      </x:c>
      <x:c r="B1749" s="2" t="str">
        <x:v>O00710</x:v>
      </x:c>
      <x:c r="C1749" s="7" t="n">
        <x:v>45727</x:v>
      </x:c>
      <x:c r="D1749" s="2" t="str">
        <x:v>Completed</x:v>
      </x:c>
      <x:c r="E1749" s="2" t="str">
        <x:v>South</x:v>
      </x:c>
      <x:c r="F1749" s="2" t="str">
        <x:v>Online</x:v>
      </x:c>
      <x:c r="G1749" s="2" t="str">
        <x:v>Storage</x:v>
      </x:c>
      <x:c r="H1749" s="2" t="str">
        <x:v>Shelf 019</x:v>
      </x:c>
      <x:c r="I1749" s="11" t="n">
        <x:v>2</x:v>
      </x:c>
      <x:c r="J1749" s="9" t="n">
        <x:v>78</x:v>
      </x:c>
      <x:c r="K1749" s="10" t="n">
        <x:v>0</x:v>
      </x:c>
      <x:c r="L1749" s="11" t="n">
        <x:v>2</x:v>
      </x:c>
      <x:c r="M1749" s="9" t="n">
        <x:f>IF(D1749="Completed",I1749*J1749,0)</x:f>
        <x:v>156</x:v>
      </x:c>
      <x:c r="N1749" s="9" t="n">
        <x:f>M1749*K1749</x:f>
        <x:v>0</x:v>
      </x:c>
      <x:c r="O1749" s="9" t="n">
        <x:f>M1749-N1749</x:f>
        <x:v>156</x:v>
      </x:c>
      <x:c r="P1749" s="9" t="n">
        <x:f>IF(D1749="Completed",L1749*J1749*(1-K1749),0)</x:f>
        <x:v>156</x:v>
      </x:c>
      <x:c r="Q1749" s="9" t="n">
        <x:f>O1749-P1749</x:f>
        <x:v>0</x:v>
      </x:c>
      <x:c r="R1749" s="11" t="n">
        <x:f>IF(D1749="Completed",I1749,0)</x:f>
        <x:v>2</x:v>
      </x:c>
      <x:c r="S1749" s="11" t="n">
        <x:f>IF(D1749="Completed",L1749,0)</x:f>
        <x:v>2</x:v>
      </x:c>
      <x:c r="T1749" s="8" t="n">
        <x:f>DATE(YEAR(C1749),MONTH(C1749),1)</x:f>
        <x:v>45717</x:v>
      </x:c>
    </x:row>
    <x:row r="1750" ht="22" customHeight="1">
      <x:c r="A1750" s="2" t="str">
        <x:v>L001746</x:v>
      </x:c>
      <x:c r="B1750" s="2" t="str">
        <x:v>O00710</x:v>
      </x:c>
      <x:c r="C1750" s="7" t="n">
        <x:v>45727</x:v>
      </x:c>
      <x:c r="D1750" s="2" t="str">
        <x:v>Completed</x:v>
      </x:c>
      <x:c r="E1750" s="2" t="str">
        <x:v>South</x:v>
      </x:c>
      <x:c r="F1750" s="2" t="str">
        <x:v>Online</x:v>
      </x:c>
      <x:c r="G1750" s="2" t="str">
        <x:v>Lighting</x:v>
      </x:c>
      <x:c r="H1750" s="2" t="str">
        <x:v>Lamp 017</x:v>
      </x:c>
      <x:c r="I1750" s="11" t="n">
        <x:v>4</x:v>
      </x:c>
      <x:c r="J1750" s="9" t="n">
        <x:v>300</x:v>
      </x:c>
      <x:c r="K1750" s="10" t="n">
        <x:v>0</x:v>
      </x:c>
      <x:c r="L1750" s="11" t="n">
        <x:v>0</x:v>
      </x:c>
      <x:c r="M1750" s="9" t="n">
        <x:f>IF(D1750="Completed",I1750*J1750,0)</x:f>
        <x:v>1200</x:v>
      </x:c>
      <x:c r="N1750" s="9" t="n">
        <x:f>M1750*K1750</x:f>
        <x:v>0</x:v>
      </x:c>
      <x:c r="O1750" s="9" t="n">
        <x:f>M1750-N1750</x:f>
        <x:v>1200</x:v>
      </x:c>
      <x:c r="P1750" s="9" t="n">
        <x:f>IF(D1750="Completed",L1750*J1750*(1-K1750),0)</x:f>
        <x:v>0</x:v>
      </x:c>
      <x:c r="Q1750" s="9" t="n">
        <x:f>O1750-P1750</x:f>
        <x:v>1200</x:v>
      </x:c>
      <x:c r="R1750" s="11" t="n">
        <x:f>IF(D1750="Completed",I1750,0)</x:f>
        <x:v>4</x:v>
      </x:c>
      <x:c r="S1750" s="11" t="n">
        <x:f>IF(D1750="Completed",L1750,0)</x:f>
        <x:v>0</x:v>
      </x:c>
      <x:c r="T1750" s="8" t="n">
        <x:f>DATE(YEAR(C1750),MONTH(C1750),1)</x:f>
        <x:v>45717</x:v>
      </x:c>
    </x:row>
    <x:row r="1751" ht="22" customHeight="1">
      <x:c r="A1751" s="2" t="str">
        <x:v>L001747</x:v>
      </x:c>
      <x:c r="B1751" s="2" t="str">
        <x:v>O00710</x:v>
      </x:c>
      <x:c r="C1751" s="7" t="n">
        <x:v>45727</x:v>
      </x:c>
      <x:c r="D1751" s="2" t="str">
        <x:v>Completed</x:v>
      </x:c>
      <x:c r="E1751" s="2" t="str">
        <x:v>South</x:v>
      </x:c>
      <x:c r="F1751" s="2" t="str">
        <x:v>Online</x:v>
      </x:c>
      <x:c r="G1751" s="2" t="str">
        <x:v>Furniture</x:v>
      </x:c>
      <x:c r="H1751" s="2" t="str">
        <x:v>Chair 010</x:v>
      </x:c>
      <x:c r="I1751" s="11" t="n">
        <x:v>5</x:v>
      </x:c>
      <x:c r="J1751" s="9" t="n">
        <x:v>211</x:v>
      </x:c>
      <x:c r="K1751" s="10" t="n">
        <x:v>0.05</x:v>
      </x:c>
      <x:c r="L1751" s="11" t="n">
        <x:v>0</x:v>
      </x:c>
      <x:c r="M1751" s="9" t="n">
        <x:f>IF(D1751="Completed",I1751*J1751,0)</x:f>
        <x:v>1055</x:v>
      </x:c>
      <x:c r="N1751" s="9" t="n">
        <x:f>M1751*K1751</x:f>
        <x:v>52.75</x:v>
      </x:c>
      <x:c r="O1751" s="9" t="n">
        <x:f>M1751-N1751</x:f>
        <x:v>1002.25</x:v>
      </x:c>
      <x:c r="P1751" s="9" t="n">
        <x:f>IF(D1751="Completed",L1751*J1751*(1-K1751),0)</x:f>
        <x:v>0</x:v>
      </x:c>
      <x:c r="Q1751" s="9" t="n">
        <x:f>O1751-P1751</x:f>
        <x:v>1002.25</x:v>
      </x:c>
      <x:c r="R1751" s="11" t="n">
        <x:f>IF(D1751="Completed",I1751,0)</x:f>
        <x:v>5</x:v>
      </x:c>
      <x:c r="S1751" s="11" t="n">
        <x:f>IF(D1751="Completed",L1751,0)</x:f>
        <x:v>0</x:v>
      </x:c>
      <x:c r="T1751" s="8" t="n">
        <x:f>DATE(YEAR(C1751),MONTH(C1751),1)</x:f>
        <x:v>45717</x:v>
      </x:c>
    </x:row>
    <x:row r="1752" ht="22" customHeight="1">
      <x:c r="A1752" s="2" t="str">
        <x:v>L001748</x:v>
      </x:c>
      <x:c r="B1752" s="2" t="str">
        <x:v>O00711</x:v>
      </x:c>
      <x:c r="C1752" s="7" t="n">
        <x:v>46018</x:v>
      </x:c>
      <x:c r="D1752" s="2" t="str">
        <x:v>Completed</x:v>
      </x:c>
      <x:c r="E1752" s="2" t="str">
        <x:v>West</x:v>
      </x:c>
      <x:c r="F1752" s="2" t="str">
        <x:v>Online</x:v>
      </x:c>
      <x:c r="G1752" s="2" t="str">
        <x:v>Furniture</x:v>
      </x:c>
      <x:c r="H1752" s="2" t="str">
        <x:v>Chair 006</x:v>
      </x:c>
      <x:c r="I1752" s="11" t="n">
        <x:v>3</x:v>
      </x:c>
      <x:c r="J1752" s="9" t="n">
        <x:v>196</x:v>
      </x:c>
      <x:c r="K1752" s="10" t="n">
        <x:v>0.1</x:v>
      </x:c>
      <x:c r="L1752" s="11" t="n">
        <x:v>0</x:v>
      </x:c>
      <x:c r="M1752" s="9" t="n">
        <x:f>IF(D1752="Completed",I1752*J1752,0)</x:f>
        <x:v>588</x:v>
      </x:c>
      <x:c r="N1752" s="9" t="n">
        <x:f>M1752*K1752</x:f>
        <x:v>58.800000000000004</x:v>
      </x:c>
      <x:c r="O1752" s="9" t="n">
        <x:f>M1752-N1752</x:f>
        <x:v>529.2</x:v>
      </x:c>
      <x:c r="P1752" s="9" t="n">
        <x:f>IF(D1752="Completed",L1752*J1752*(1-K1752),0)</x:f>
        <x:v>0</x:v>
      </x:c>
      <x:c r="Q1752" s="9" t="n">
        <x:f>O1752-P1752</x:f>
        <x:v>529.2</x:v>
      </x:c>
      <x:c r="R1752" s="11" t="n">
        <x:f>IF(D1752="Completed",I1752,0)</x:f>
        <x:v>3</x:v>
      </x:c>
      <x:c r="S1752" s="11" t="n">
        <x:f>IF(D1752="Completed",L1752,0)</x:f>
        <x:v>0</x:v>
      </x:c>
      <x:c r="T1752" s="8" t="n">
        <x:f>DATE(YEAR(C1752),MONTH(C1752),1)</x:f>
        <x:v>45992</x:v>
      </x:c>
    </x:row>
    <x:row r="1753" ht="22" customHeight="1">
      <x:c r="A1753" s="2" t="str">
        <x:v>L001749</x:v>
      </x:c>
      <x:c r="B1753" s="2" t="str">
        <x:v>O00712</x:v>
      </x:c>
      <x:c r="C1753" s="7" t="n">
        <x:v>45900</x:v>
      </x:c>
      <x:c r="D1753" s="2" t="str">
        <x:v>Completed</x:v>
      </x:c>
      <x:c r="E1753" s="2" t="str">
        <x:v>East</x:v>
      </x:c>
      <x:c r="F1753" s="2" t="str">
        <x:v>Store</x:v>
      </x:c>
      <x:c r="G1753" s="2" t="str">
        <x:v>Furniture</x:v>
      </x:c>
      <x:c r="H1753" s="2" t="str">
        <x:v>Desk 008</x:v>
      </x:c>
      <x:c r="I1753" s="11" t="n">
        <x:v>3</x:v>
      </x:c>
      <x:c r="J1753" s="9" t="n">
        <x:v>188</x:v>
      </x:c>
      <x:c r="K1753" s="10" t="n">
        <x:v>0.1</x:v>
      </x:c>
      <x:c r="L1753" s="11" t="n">
        <x:v>0</x:v>
      </x:c>
      <x:c r="M1753" s="9" t="n">
        <x:f>IF(D1753="Completed",I1753*J1753,0)</x:f>
        <x:v>564</x:v>
      </x:c>
      <x:c r="N1753" s="9" t="n">
        <x:f>M1753*K1753</x:f>
        <x:v>56.400000000000006</x:v>
      </x:c>
      <x:c r="O1753" s="9" t="n">
        <x:f>M1753-N1753</x:f>
        <x:v>507.6</x:v>
      </x:c>
      <x:c r="P1753" s="9" t="n">
        <x:f>IF(D1753="Completed",L1753*J1753*(1-K1753),0)</x:f>
        <x:v>0</x:v>
      </x:c>
      <x:c r="Q1753" s="9" t="n">
        <x:f>O1753-P1753</x:f>
        <x:v>507.6</x:v>
      </x:c>
      <x:c r="R1753" s="11" t="n">
        <x:f>IF(D1753="Completed",I1753,0)</x:f>
        <x:v>3</x:v>
      </x:c>
      <x:c r="S1753" s="11" t="n">
        <x:f>IF(D1753="Completed",L1753,0)</x:f>
        <x:v>0</x:v>
      </x:c>
      <x:c r="T1753" s="8" t="n">
        <x:f>DATE(YEAR(C1753),MONTH(C1753),1)</x:f>
        <x:v>45870</x:v>
      </x:c>
    </x:row>
    <x:row r="1754" ht="22" customHeight="1">
      <x:c r="A1754" s="2" t="str">
        <x:v>L001750</x:v>
      </x:c>
      <x:c r="B1754" s="2" t="str">
        <x:v>O00712</x:v>
      </x:c>
      <x:c r="C1754" s="7" t="n">
        <x:v>45900</x:v>
      </x:c>
      <x:c r="D1754" s="2" t="str">
        <x:v>Completed</x:v>
      </x:c>
      <x:c r="E1754" s="2" t="str">
        <x:v>East</x:v>
      </x:c>
      <x:c r="F1754" s="2" t="str">
        <x:v>Store</x:v>
      </x:c>
      <x:c r="G1754" s="2" t="str">
        <x:v>Furniture</x:v>
      </x:c>
      <x:c r="H1754" s="2" t="str">
        <x:v>Desk 004</x:v>
      </x:c>
      <x:c r="I1754" s="11" t="n">
        <x:v>2</x:v>
      </x:c>
      <x:c r="J1754" s="9" t="n">
        <x:v>123</x:v>
      </x:c>
      <x:c r="K1754" s="10" t="n">
        <x:v>0</x:v>
      </x:c>
      <x:c r="L1754" s="11" t="n">
        <x:v>0</x:v>
      </x:c>
      <x:c r="M1754" s="9" t="n">
        <x:f>IF(D1754="Completed",I1754*J1754,0)</x:f>
        <x:v>246</x:v>
      </x:c>
      <x:c r="N1754" s="9" t="n">
        <x:f>M1754*K1754</x:f>
        <x:v>0</x:v>
      </x:c>
      <x:c r="O1754" s="9" t="n">
        <x:f>M1754-N1754</x:f>
        <x:v>246</x:v>
      </x:c>
      <x:c r="P1754" s="9" t="n">
        <x:f>IF(D1754="Completed",L1754*J1754*(1-K1754),0)</x:f>
        <x:v>0</x:v>
      </x:c>
      <x:c r="Q1754" s="9" t="n">
        <x:f>O1754-P1754</x:f>
        <x:v>246</x:v>
      </x:c>
      <x:c r="R1754" s="11" t="n">
        <x:f>IF(D1754="Completed",I1754,0)</x:f>
        <x:v>2</x:v>
      </x:c>
      <x:c r="S1754" s="11" t="n">
        <x:f>IF(D1754="Completed",L1754,0)</x:f>
        <x:v>0</x:v>
      </x:c>
      <x:c r="T1754" s="8" t="n">
        <x:f>DATE(YEAR(C1754),MONTH(C1754),1)</x:f>
        <x:v>45870</x:v>
      </x:c>
    </x:row>
    <x:row r="1755" ht="22" customHeight="1">
      <x:c r="A1755" s="2" t="str">
        <x:v>L001751</x:v>
      </x:c>
      <x:c r="B1755" s="2" t="str">
        <x:v>O00712</x:v>
      </x:c>
      <x:c r="C1755" s="7" t="n">
        <x:v>45900</x:v>
      </x:c>
      <x:c r="D1755" s="2" t="str">
        <x:v>Completed</x:v>
      </x:c>
      <x:c r="E1755" s="2" t="str">
        <x:v>East</x:v>
      </x:c>
      <x:c r="F1755" s="2" t="str">
        <x:v>Store</x:v>
      </x:c>
      <x:c r="G1755" s="2" t="str">
        <x:v>Furniture</x:v>
      </x:c>
      <x:c r="H1755" s="2" t="str">
        <x:v>Chair 014</x:v>
      </x:c>
      <x:c r="I1755" s="11" t="n">
        <x:v>3</x:v>
      </x:c>
      <x:c r="J1755" s="9" t="n">
        <x:v>294</x:v>
      </x:c>
      <x:c r="K1755" s="10" t="n">
        <x:v>0.05</x:v>
      </x:c>
      <x:c r="L1755" s="11" t="n">
        <x:v>0</x:v>
      </x:c>
      <x:c r="M1755" s="9" t="n">
        <x:f>IF(D1755="Completed",I1755*J1755,0)</x:f>
        <x:v>882</x:v>
      </x:c>
      <x:c r="N1755" s="9" t="n">
        <x:f>M1755*K1755</x:f>
        <x:v>44.1</x:v>
      </x:c>
      <x:c r="O1755" s="9" t="n">
        <x:f>M1755-N1755</x:f>
        <x:v>837.9</x:v>
      </x:c>
      <x:c r="P1755" s="9" t="n">
        <x:f>IF(D1755="Completed",L1755*J1755*(1-K1755),0)</x:f>
        <x:v>0</x:v>
      </x:c>
      <x:c r="Q1755" s="9" t="n">
        <x:f>O1755-P1755</x:f>
        <x:v>837.9</x:v>
      </x:c>
      <x:c r="R1755" s="11" t="n">
        <x:f>IF(D1755="Completed",I1755,0)</x:f>
        <x:v>3</x:v>
      </x:c>
      <x:c r="S1755" s="11" t="n">
        <x:f>IF(D1755="Completed",L1755,0)</x:f>
        <x:v>0</x:v>
      </x:c>
      <x:c r="T1755" s="8" t="n">
        <x:f>DATE(YEAR(C1755),MONTH(C1755),1)</x:f>
        <x:v>45870</x:v>
      </x:c>
    </x:row>
    <x:row r="1756" ht="22" customHeight="1">
      <x:c r="A1756" s="2" t="str">
        <x:v>L001752</x:v>
      </x:c>
      <x:c r="B1756" s="2" t="str">
        <x:v>O00712</x:v>
      </x:c>
      <x:c r="C1756" s="7" t="n">
        <x:v>45900</x:v>
      </x:c>
      <x:c r="D1756" s="2" t="str">
        <x:v>Completed</x:v>
      </x:c>
      <x:c r="E1756" s="2" t="str">
        <x:v>East</x:v>
      </x:c>
      <x:c r="F1756" s="2" t="str">
        <x:v>Store</x:v>
      </x:c>
      <x:c r="G1756" s="2" t="str">
        <x:v>Storage</x:v>
      </x:c>
      <x:c r="H1756" s="2" t="str">
        <x:v>Shelf 003</x:v>
      </x:c>
      <x:c r="I1756" s="11" t="n">
        <x:v>3</x:v>
      </x:c>
      <x:c r="J1756" s="9" t="n">
        <x:v>199</x:v>
      </x:c>
      <x:c r="K1756" s="10" t="n">
        <x:v>0.1</x:v>
      </x:c>
      <x:c r="L1756" s="11" t="n">
        <x:v>0</x:v>
      </x:c>
      <x:c r="M1756" s="9" t="n">
        <x:f>IF(D1756="Completed",I1756*J1756,0)</x:f>
        <x:v>597</x:v>
      </x:c>
      <x:c r="N1756" s="9" t="n">
        <x:f>M1756*K1756</x:f>
        <x:v>59.7</x:v>
      </x:c>
      <x:c r="O1756" s="9" t="n">
        <x:f>M1756-N1756</x:f>
        <x:v>537.3</x:v>
      </x:c>
      <x:c r="P1756" s="9" t="n">
        <x:f>IF(D1756="Completed",L1756*J1756*(1-K1756),0)</x:f>
        <x:v>0</x:v>
      </x:c>
      <x:c r="Q1756" s="9" t="n">
        <x:f>O1756-P1756</x:f>
        <x:v>537.3</x:v>
      </x:c>
      <x:c r="R1756" s="11" t="n">
        <x:f>IF(D1756="Completed",I1756,0)</x:f>
        <x:v>3</x:v>
      </x:c>
      <x:c r="S1756" s="11" t="n">
        <x:f>IF(D1756="Completed",L1756,0)</x:f>
        <x:v>0</x:v>
      </x:c>
      <x:c r="T1756" s="8" t="n">
        <x:f>DATE(YEAR(C1756),MONTH(C1756),1)</x:f>
        <x:v>45870</x:v>
      </x:c>
    </x:row>
    <x:row r="1757" ht="22" customHeight="1">
      <x:c r="A1757" s="2" t="str">
        <x:v>L001753</x:v>
      </x:c>
      <x:c r="B1757" s="2" t="str">
        <x:v>O00713</x:v>
      </x:c>
      <x:c r="C1757" s="7" t="n">
        <x:v>45928</x:v>
      </x:c>
      <x:c r="D1757" s="2" t="str">
        <x:v>Completed</x:v>
      </x:c>
      <x:c r="E1757" s="2" t="str">
        <x:v>West</x:v>
      </x:c>
      <x:c r="F1757" s="2" t="str">
        <x:v>Online</x:v>
      </x:c>
      <x:c r="G1757" s="2" t="str">
        <x:v>Storage</x:v>
      </x:c>
      <x:c r="H1757" s="2" t="str">
        <x:v>Shelf 019</x:v>
      </x:c>
      <x:c r="I1757" s="11" t="n">
        <x:v>3</x:v>
      </x:c>
      <x:c r="J1757" s="9" t="n">
        <x:v>78</x:v>
      </x:c>
      <x:c r="K1757" s="10" t="n">
        <x:v>0.2</x:v>
      </x:c>
      <x:c r="L1757" s="11" t="n">
        <x:v>0</x:v>
      </x:c>
      <x:c r="M1757" s="9" t="n">
        <x:f>IF(D1757="Completed",I1757*J1757,0)</x:f>
        <x:v>234</x:v>
      </x:c>
      <x:c r="N1757" s="9" t="n">
        <x:f>M1757*K1757</x:f>
        <x:v>46.800000000000004</x:v>
      </x:c>
      <x:c r="O1757" s="9" t="n">
        <x:f>M1757-N1757</x:f>
        <x:v>187.2</x:v>
      </x:c>
      <x:c r="P1757" s="9" t="n">
        <x:f>IF(D1757="Completed",L1757*J1757*(1-K1757),0)</x:f>
        <x:v>0</x:v>
      </x:c>
      <x:c r="Q1757" s="9" t="n">
        <x:f>O1757-P1757</x:f>
        <x:v>187.2</x:v>
      </x:c>
      <x:c r="R1757" s="11" t="n">
        <x:f>IF(D1757="Completed",I1757,0)</x:f>
        <x:v>3</x:v>
      </x:c>
      <x:c r="S1757" s="11" t="n">
        <x:f>IF(D1757="Completed",L1757,0)</x:f>
        <x:v>0</x:v>
      </x:c>
      <x:c r="T1757" s="8" t="n">
        <x:f>DATE(YEAR(C1757),MONTH(C1757),1)</x:f>
        <x:v>45901</x:v>
      </x:c>
    </x:row>
    <x:row r="1758" ht="22" customHeight="1">
      <x:c r="A1758" s="2" t="str">
        <x:v>L001754</x:v>
      </x:c>
      <x:c r="B1758" s="2" t="str">
        <x:v>O00714</x:v>
      </x:c>
      <x:c r="C1758" s="7" t="n">
        <x:v>45694</x:v>
      </x:c>
      <x:c r="D1758" s="2" t="str">
        <x:v>Completed</x:v>
      </x:c>
      <x:c r="E1758" s="2" t="str">
        <x:v>West</x:v>
      </x:c>
      <x:c r="F1758" s="2" t="str">
        <x:v>Online</x:v>
      </x:c>
      <x:c r="G1758" s="2" t="str">
        <x:v>Furniture</x:v>
      </x:c>
      <x:c r="H1758" s="2" t="str">
        <x:v>Chair 014</x:v>
      </x:c>
      <x:c r="I1758" s="11" t="n">
        <x:v>1</x:v>
      </x:c>
      <x:c r="J1758" s="9" t="n">
        <x:v>294</x:v>
      </x:c>
      <x:c r="K1758" s="10" t="n">
        <x:v>0.2</x:v>
      </x:c>
      <x:c r="L1758" s="11" t="n">
        <x:v>0</x:v>
      </x:c>
      <x:c r="M1758" s="9" t="n">
        <x:f>IF(D1758="Completed",I1758*J1758,0)</x:f>
        <x:v>294</x:v>
      </x:c>
      <x:c r="N1758" s="9" t="n">
        <x:f>M1758*K1758</x:f>
        <x:v>58.800000000000004</x:v>
      </x:c>
      <x:c r="O1758" s="9" t="n">
        <x:f>M1758-N1758</x:f>
        <x:v>235.2</x:v>
      </x:c>
      <x:c r="P1758" s="9" t="n">
        <x:f>IF(D1758="Completed",L1758*J1758*(1-K1758),0)</x:f>
        <x:v>0</x:v>
      </x:c>
      <x:c r="Q1758" s="9" t="n">
        <x:f>O1758-P1758</x:f>
        <x:v>235.2</x:v>
      </x:c>
      <x:c r="R1758" s="11" t="n">
        <x:f>IF(D1758="Completed",I1758,0)</x:f>
        <x:v>1</x:v>
      </x:c>
      <x:c r="S1758" s="11" t="n">
        <x:f>IF(D1758="Completed",L1758,0)</x:f>
        <x:v>0</x:v>
      </x:c>
      <x:c r="T1758" s="8" t="n">
        <x:f>DATE(YEAR(C1758),MONTH(C1758),1)</x:f>
        <x:v>45689</x:v>
      </x:c>
    </x:row>
    <x:row r="1759" ht="22" customHeight="1">
      <x:c r="A1759" s="2" t="str">
        <x:v>L001755</x:v>
      </x:c>
      <x:c r="B1759" s="2" t="str">
        <x:v>O00714</x:v>
      </x:c>
      <x:c r="C1759" s="7" t="n">
        <x:v>45694</x:v>
      </x:c>
      <x:c r="D1759" s="2" t="str">
        <x:v>Completed</x:v>
      </x:c>
      <x:c r="E1759" s="2" t="str">
        <x:v>West</x:v>
      </x:c>
      <x:c r="F1759" s="2" t="str">
        <x:v>Online</x:v>
      </x:c>
      <x:c r="G1759" s="2" t="str">
        <x:v>Storage</x:v>
      </x:c>
      <x:c r="H1759" s="2" t="str">
        <x:v>Shelf 019</x:v>
      </x:c>
      <x:c r="I1759" s="11" t="n">
        <x:v>2</x:v>
      </x:c>
      <x:c r="J1759" s="9" t="n">
        <x:v>78</x:v>
      </x:c>
      <x:c r="K1759" s="10" t="n">
        <x:v>0</x:v>
      </x:c>
      <x:c r="L1759" s="11" t="n">
        <x:v>0</x:v>
      </x:c>
      <x:c r="M1759" s="9" t="n">
        <x:f>IF(D1759="Completed",I1759*J1759,0)</x:f>
        <x:v>156</x:v>
      </x:c>
      <x:c r="N1759" s="9" t="n">
        <x:f>M1759*K1759</x:f>
        <x:v>0</x:v>
      </x:c>
      <x:c r="O1759" s="9" t="n">
        <x:f>M1759-N1759</x:f>
        <x:v>156</x:v>
      </x:c>
      <x:c r="P1759" s="9" t="n">
        <x:f>IF(D1759="Completed",L1759*J1759*(1-K1759),0)</x:f>
        <x:v>0</x:v>
      </x:c>
      <x:c r="Q1759" s="9" t="n">
        <x:f>O1759-P1759</x:f>
        <x:v>156</x:v>
      </x:c>
      <x:c r="R1759" s="11" t="n">
        <x:f>IF(D1759="Completed",I1759,0)</x:f>
        <x:v>2</x:v>
      </x:c>
      <x:c r="S1759" s="11" t="n">
        <x:f>IF(D1759="Completed",L1759,0)</x:f>
        <x:v>0</x:v>
      </x:c>
      <x:c r="T1759" s="8" t="n">
        <x:f>DATE(YEAR(C1759),MONTH(C1759),1)</x:f>
        <x:v>45689</x:v>
      </x:c>
    </x:row>
    <x:row r="1760" ht="22" customHeight="1">
      <x:c r="A1760" s="2" t="str">
        <x:v>L001756</x:v>
      </x:c>
      <x:c r="B1760" s="2" t="str">
        <x:v>O00714</x:v>
      </x:c>
      <x:c r="C1760" s="7" t="n">
        <x:v>45694</x:v>
      </x:c>
      <x:c r="D1760" s="2" t="str">
        <x:v>Completed</x:v>
      </x:c>
      <x:c r="E1760" s="2" t="str">
        <x:v>West</x:v>
      </x:c>
      <x:c r="F1760" s="2" t="str">
        <x:v>Online</x:v>
      </x:c>
      <x:c r="G1760" s="2" t="str">
        <x:v>Furniture</x:v>
      </x:c>
      <x:c r="H1760" s="2" t="str">
        <x:v>Chair 010</x:v>
      </x:c>
      <x:c r="I1760" s="11" t="n">
        <x:v>3</x:v>
      </x:c>
      <x:c r="J1760" s="9" t="n">
        <x:v>211</x:v>
      </x:c>
      <x:c r="K1760" s="10" t="n">
        <x:v>0.2</x:v>
      </x:c>
      <x:c r="L1760" s="11" t="n">
        <x:v>1</x:v>
      </x:c>
      <x:c r="M1760" s="9" t="n">
        <x:f>IF(D1760="Completed",I1760*J1760,0)</x:f>
        <x:v>633</x:v>
      </x:c>
      <x:c r="N1760" s="9" t="n">
        <x:f>M1760*K1760</x:f>
        <x:v>126.60000000000001</x:v>
      </x:c>
      <x:c r="O1760" s="9" t="n">
        <x:f>M1760-N1760</x:f>
        <x:v>506.4</x:v>
      </x:c>
      <x:c r="P1760" s="9" t="n">
        <x:f>IF(D1760="Completed",L1760*J1760*(1-K1760),0)</x:f>
        <x:v>168.8</x:v>
      </x:c>
      <x:c r="Q1760" s="9" t="n">
        <x:f>O1760-P1760</x:f>
        <x:v>337.59999999999997</x:v>
      </x:c>
      <x:c r="R1760" s="11" t="n">
        <x:f>IF(D1760="Completed",I1760,0)</x:f>
        <x:v>3</x:v>
      </x:c>
      <x:c r="S1760" s="11" t="n">
        <x:f>IF(D1760="Completed",L1760,0)</x:f>
        <x:v>1</x:v>
      </x:c>
      <x:c r="T1760" s="8" t="n">
        <x:f>DATE(YEAR(C1760),MONTH(C1760),1)</x:f>
        <x:v>45689</x:v>
      </x:c>
    </x:row>
    <x:row r="1761" ht="22" customHeight="1">
      <x:c r="A1761" s="2" t="str">
        <x:v>L001757</x:v>
      </x:c>
      <x:c r="B1761" s="2" t="str">
        <x:v>O00714</x:v>
      </x:c>
      <x:c r="C1761" s="7" t="n">
        <x:v>45694</x:v>
      </x:c>
      <x:c r="D1761" s="2" t="str">
        <x:v>Completed</x:v>
      </x:c>
      <x:c r="E1761" s="2" t="str">
        <x:v>West</x:v>
      </x:c>
      <x:c r="F1761" s="2" t="str">
        <x:v>Online</x:v>
      </x:c>
      <x:c r="G1761" s="2" t="str">
        <x:v>Furniture</x:v>
      </x:c>
      <x:c r="H1761" s="2" t="str">
        <x:v>Chair 010</x:v>
      </x:c>
      <x:c r="I1761" s="11" t="n">
        <x:v>3</x:v>
      </x:c>
      <x:c r="J1761" s="9" t="n">
        <x:v>211</x:v>
      </x:c>
      <x:c r="K1761" s="10" t="n">
        <x:v>0.2</x:v>
      </x:c>
      <x:c r="L1761" s="11" t="n">
        <x:v>0</x:v>
      </x:c>
      <x:c r="M1761" s="9" t="n">
        <x:f>IF(D1761="Completed",I1761*J1761,0)</x:f>
        <x:v>633</x:v>
      </x:c>
      <x:c r="N1761" s="9" t="n">
        <x:f>M1761*K1761</x:f>
        <x:v>126.60000000000001</x:v>
      </x:c>
      <x:c r="O1761" s="9" t="n">
        <x:f>M1761-N1761</x:f>
        <x:v>506.4</x:v>
      </x:c>
      <x:c r="P1761" s="9" t="n">
        <x:f>IF(D1761="Completed",L1761*J1761*(1-K1761),0)</x:f>
        <x:v>0</x:v>
      </x:c>
      <x:c r="Q1761" s="9" t="n">
        <x:f>O1761-P1761</x:f>
        <x:v>506.4</x:v>
      </x:c>
      <x:c r="R1761" s="11" t="n">
        <x:f>IF(D1761="Completed",I1761,0)</x:f>
        <x:v>3</x:v>
      </x:c>
      <x:c r="S1761" s="11" t="n">
        <x:f>IF(D1761="Completed",L1761,0)</x:f>
        <x:v>0</x:v>
      </x:c>
      <x:c r="T1761" s="8" t="n">
        <x:f>DATE(YEAR(C1761),MONTH(C1761),1)</x:f>
        <x:v>45689</x:v>
      </x:c>
    </x:row>
    <x:row r="1762" ht="22" customHeight="1">
      <x:c r="A1762" s="2" t="str">
        <x:v>L001758</x:v>
      </x:c>
      <x:c r="B1762" s="2" t="str">
        <x:v>O00715</x:v>
      </x:c>
      <x:c r="C1762" s="7" t="n">
        <x:v>45782</x:v>
      </x:c>
      <x:c r="D1762" s="2" t="str">
        <x:v>Completed</x:v>
      </x:c>
      <x:c r="E1762" s="2" t="str">
        <x:v>South</x:v>
      </x:c>
      <x:c r="F1762" s="2" t="str">
        <x:v>Store</x:v>
      </x:c>
      <x:c r="G1762" s="2" t="str">
        <x:v>Furniture</x:v>
      </x:c>
      <x:c r="H1762" s="2" t="str">
        <x:v>Desk 008</x:v>
      </x:c>
      <x:c r="I1762" s="11" t="n">
        <x:v>3</x:v>
      </x:c>
      <x:c r="J1762" s="9" t="n">
        <x:v>188</x:v>
      </x:c>
      <x:c r="K1762" s="10" t="n">
        <x:v>0.2</x:v>
      </x:c>
      <x:c r="L1762" s="11" t="n">
        <x:v>0</x:v>
      </x:c>
      <x:c r="M1762" s="9" t="n">
        <x:f>IF(D1762="Completed",I1762*J1762,0)</x:f>
        <x:v>564</x:v>
      </x:c>
      <x:c r="N1762" s="9" t="n">
        <x:f>M1762*K1762</x:f>
        <x:v>112.80000000000001</x:v>
      </x:c>
      <x:c r="O1762" s="9" t="n">
        <x:f>M1762-N1762</x:f>
        <x:v>451.2</x:v>
      </x:c>
      <x:c r="P1762" s="9" t="n">
        <x:f>IF(D1762="Completed",L1762*J1762*(1-K1762),0)</x:f>
        <x:v>0</x:v>
      </x:c>
      <x:c r="Q1762" s="9" t="n">
        <x:f>O1762-P1762</x:f>
        <x:v>451.2</x:v>
      </x:c>
      <x:c r="R1762" s="11" t="n">
        <x:f>IF(D1762="Completed",I1762,0)</x:f>
        <x:v>3</x:v>
      </x:c>
      <x:c r="S1762" s="11" t="n">
        <x:f>IF(D1762="Completed",L1762,0)</x:f>
        <x:v>0</x:v>
      </x:c>
      <x:c r="T1762" s="8" t="n">
        <x:f>DATE(YEAR(C1762),MONTH(C1762),1)</x:f>
        <x:v>45778</x:v>
      </x:c>
    </x:row>
    <x:row r="1763" ht="22" customHeight="1">
      <x:c r="A1763" s="2" t="str">
        <x:v>L001759</x:v>
      </x:c>
      <x:c r="B1763" s="2" t="str">
        <x:v>O00715</x:v>
      </x:c>
      <x:c r="C1763" s="7" t="n">
        <x:v>45782</x:v>
      </x:c>
      <x:c r="D1763" s="2" t="str">
        <x:v>Completed</x:v>
      </x:c>
      <x:c r="E1763" s="2" t="str">
        <x:v>South</x:v>
      </x:c>
      <x:c r="F1763" s="2" t="str">
        <x:v>Store</x:v>
      </x:c>
      <x:c r="G1763" s="2" t="str">
        <x:v>Storage</x:v>
      </x:c>
      <x:c r="H1763" s="2" t="str">
        <x:v>Shelf 019</x:v>
      </x:c>
      <x:c r="I1763" s="11" t="n">
        <x:v>1</x:v>
      </x:c>
      <x:c r="J1763" s="9" t="n">
        <x:v>78</x:v>
      </x:c>
      <x:c r="K1763" s="10" t="n">
        <x:v>0.1</x:v>
      </x:c>
      <x:c r="L1763" s="11" t="n">
        <x:v>0</x:v>
      </x:c>
      <x:c r="M1763" s="9" t="n">
        <x:f>IF(D1763="Completed",I1763*J1763,0)</x:f>
        <x:v>78</x:v>
      </x:c>
      <x:c r="N1763" s="9" t="n">
        <x:f>M1763*K1763</x:f>
        <x:v>7.800000000000001</x:v>
      </x:c>
      <x:c r="O1763" s="9" t="n">
        <x:f>M1763-N1763</x:f>
        <x:v>70.2</x:v>
      </x:c>
      <x:c r="P1763" s="9" t="n">
        <x:f>IF(D1763="Completed",L1763*J1763*(1-K1763),0)</x:f>
        <x:v>0</x:v>
      </x:c>
      <x:c r="Q1763" s="9" t="n">
        <x:f>O1763-P1763</x:f>
        <x:v>70.2</x:v>
      </x:c>
      <x:c r="R1763" s="11" t="n">
        <x:f>IF(D1763="Completed",I1763,0)</x:f>
        <x:v>1</x:v>
      </x:c>
      <x:c r="S1763" s="11" t="n">
        <x:f>IF(D1763="Completed",L1763,0)</x:f>
        <x:v>0</x:v>
      </x:c>
      <x:c r="T1763" s="8" t="n">
        <x:f>DATE(YEAR(C1763),MONTH(C1763),1)</x:f>
        <x:v>45778</x:v>
      </x:c>
    </x:row>
    <x:row r="1764" ht="22" customHeight="1">
      <x:c r="A1764" s="2" t="str">
        <x:v>L001760</x:v>
      </x:c>
      <x:c r="B1764" s="2" t="str">
        <x:v>O00716</x:v>
      </x:c>
      <x:c r="C1764" s="7" t="n">
        <x:v>45853</x:v>
      </x:c>
      <x:c r="D1764" s="2" t="str">
        <x:v>Completed</x:v>
      </x:c>
      <x:c r="E1764" s="2" t="str">
        <x:v>South</x:v>
      </x:c>
      <x:c r="F1764" s="2" t="str">
        <x:v>Store</x:v>
      </x:c>
      <x:c r="G1764" s="2" t="str">
        <x:v>Furniture</x:v>
      </x:c>
      <x:c r="H1764" s="2" t="str">
        <x:v>Desk 016</x:v>
      </x:c>
      <x:c r="I1764" s="11" t="n">
        <x:v>5</x:v>
      </x:c>
      <x:c r="J1764" s="9" t="n">
        <x:v>231</x:v>
      </x:c>
      <x:c r="K1764" s="10" t="n">
        <x:v>0.2</x:v>
      </x:c>
      <x:c r="L1764" s="11" t="n">
        <x:v>0</x:v>
      </x:c>
      <x:c r="M1764" s="9" t="n">
        <x:f>IF(D1764="Completed",I1764*J1764,0)</x:f>
        <x:v>1155</x:v>
      </x:c>
      <x:c r="N1764" s="9" t="n">
        <x:f>M1764*K1764</x:f>
        <x:v>231</x:v>
      </x:c>
      <x:c r="O1764" s="9" t="n">
        <x:f>M1764-N1764</x:f>
        <x:v>924</x:v>
      </x:c>
      <x:c r="P1764" s="9" t="n">
        <x:f>IF(D1764="Completed",L1764*J1764*(1-K1764),0)</x:f>
        <x:v>0</x:v>
      </x:c>
      <x:c r="Q1764" s="9" t="n">
        <x:f>O1764-P1764</x:f>
        <x:v>924</x:v>
      </x:c>
      <x:c r="R1764" s="11" t="n">
        <x:f>IF(D1764="Completed",I1764,0)</x:f>
        <x:v>5</x:v>
      </x:c>
      <x:c r="S1764" s="11" t="n">
        <x:f>IF(D1764="Completed",L1764,0)</x:f>
        <x:v>0</x:v>
      </x:c>
      <x:c r="T1764" s="8" t="n">
        <x:f>DATE(YEAR(C1764),MONTH(C1764),1)</x:f>
        <x:v>45839</x:v>
      </x:c>
    </x:row>
    <x:row r="1765" ht="22" customHeight="1">
      <x:c r="A1765" s="2" t="str">
        <x:v>L001761</x:v>
      </x:c>
      <x:c r="B1765" s="2" t="str">
        <x:v>O00716</x:v>
      </x:c>
      <x:c r="C1765" s="7" t="n">
        <x:v>45853</x:v>
      </x:c>
      <x:c r="D1765" s="2" t="str">
        <x:v>Completed</x:v>
      </x:c>
      <x:c r="E1765" s="2" t="str">
        <x:v>South</x:v>
      </x:c>
      <x:c r="F1765" s="2" t="str">
        <x:v>Store</x:v>
      </x:c>
      <x:c r="G1765" s="2" t="str">
        <x:v>Furniture</x:v>
      </x:c>
      <x:c r="H1765" s="2" t="str">
        <x:v>Desk 024</x:v>
      </x:c>
      <x:c r="I1765" s="11" t="n">
        <x:v>4</x:v>
      </x:c>
      <x:c r="J1765" s="9" t="n">
        <x:v>81</x:v>
      </x:c>
      <x:c r="K1765" s="10" t="n">
        <x:v>0.2</x:v>
      </x:c>
      <x:c r="L1765" s="11" t="n">
        <x:v>0</x:v>
      </x:c>
      <x:c r="M1765" s="9" t="n">
        <x:f>IF(D1765="Completed",I1765*J1765,0)</x:f>
        <x:v>324</x:v>
      </x:c>
      <x:c r="N1765" s="9" t="n">
        <x:f>M1765*K1765</x:f>
        <x:v>64.8</x:v>
      </x:c>
      <x:c r="O1765" s="9" t="n">
        <x:f>M1765-N1765</x:f>
        <x:v>259.2</x:v>
      </x:c>
      <x:c r="P1765" s="9" t="n">
        <x:f>IF(D1765="Completed",L1765*J1765*(1-K1765),0)</x:f>
        <x:v>0</x:v>
      </x:c>
      <x:c r="Q1765" s="9" t="n">
        <x:f>O1765-P1765</x:f>
        <x:v>259.2</x:v>
      </x:c>
      <x:c r="R1765" s="11" t="n">
        <x:f>IF(D1765="Completed",I1765,0)</x:f>
        <x:v>4</x:v>
      </x:c>
      <x:c r="S1765" s="11" t="n">
        <x:f>IF(D1765="Completed",L1765,0)</x:f>
        <x:v>0</x:v>
      </x:c>
      <x:c r="T1765" s="8" t="n">
        <x:f>DATE(YEAR(C1765),MONTH(C1765),1)</x:f>
        <x:v>45839</x:v>
      </x:c>
    </x:row>
    <x:row r="1766" ht="22" customHeight="1">
      <x:c r="A1766" s="2" t="str">
        <x:v>L001762</x:v>
      </x:c>
      <x:c r="B1766" s="2" t="str">
        <x:v>O00717</x:v>
      </x:c>
      <x:c r="C1766" s="7" t="n">
        <x:v>45897</x:v>
      </x:c>
      <x:c r="D1766" s="2" t="str">
        <x:v>Completed</x:v>
      </x:c>
      <x:c r="E1766" s="2" t="str">
        <x:v>East</x:v>
      </x:c>
      <x:c r="F1766" s="2" t="str">
        <x:v>Store</x:v>
      </x:c>
      <x:c r="G1766" s="2" t="str">
        <x:v>Furniture</x:v>
      </x:c>
      <x:c r="H1766" s="2" t="str">
        <x:v>Desk 008</x:v>
      </x:c>
      <x:c r="I1766" s="11" t="n">
        <x:v>3</x:v>
      </x:c>
      <x:c r="J1766" s="9" t="n">
        <x:v>188</x:v>
      </x:c>
      <x:c r="K1766" s="10" t="n">
        <x:v>0.1</x:v>
      </x:c>
      <x:c r="L1766" s="11" t="n">
        <x:v>0</x:v>
      </x:c>
      <x:c r="M1766" s="9" t="n">
        <x:f>IF(D1766="Completed",I1766*J1766,0)</x:f>
        <x:v>564</x:v>
      </x:c>
      <x:c r="N1766" s="9" t="n">
        <x:f>M1766*K1766</x:f>
        <x:v>56.400000000000006</x:v>
      </x:c>
      <x:c r="O1766" s="9" t="n">
        <x:f>M1766-N1766</x:f>
        <x:v>507.6</x:v>
      </x:c>
      <x:c r="P1766" s="9" t="n">
        <x:f>IF(D1766="Completed",L1766*J1766*(1-K1766),0)</x:f>
        <x:v>0</x:v>
      </x:c>
      <x:c r="Q1766" s="9" t="n">
        <x:f>O1766-P1766</x:f>
        <x:v>507.6</x:v>
      </x:c>
      <x:c r="R1766" s="11" t="n">
        <x:f>IF(D1766="Completed",I1766,0)</x:f>
        <x:v>3</x:v>
      </x:c>
      <x:c r="S1766" s="11" t="n">
        <x:f>IF(D1766="Completed",L1766,0)</x:f>
        <x:v>0</x:v>
      </x:c>
      <x:c r="T1766" s="8" t="n">
        <x:f>DATE(YEAR(C1766),MONTH(C1766),1)</x:f>
        <x:v>45870</x:v>
      </x:c>
    </x:row>
    <x:row r="1767" ht="22" customHeight="1">
      <x:c r="A1767" s="2" t="str">
        <x:v>L001763</x:v>
      </x:c>
      <x:c r="B1767" s="2" t="str">
        <x:v>O00717</x:v>
      </x:c>
      <x:c r="C1767" s="7" t="n">
        <x:v>45897</x:v>
      </x:c>
      <x:c r="D1767" s="2" t="str">
        <x:v>Completed</x:v>
      </x:c>
      <x:c r="E1767" s="2" t="str">
        <x:v>East</x:v>
      </x:c>
      <x:c r="F1767" s="2" t="str">
        <x:v>Store</x:v>
      </x:c>
      <x:c r="G1767" s="2" t="str">
        <x:v>Lighting</x:v>
      </x:c>
      <x:c r="H1767" s="2" t="str">
        <x:v>Lamp 017</x:v>
      </x:c>
      <x:c r="I1767" s="11" t="n">
        <x:v>1</x:v>
      </x:c>
      <x:c r="J1767" s="9" t="n">
        <x:v>300</x:v>
      </x:c>
      <x:c r="K1767" s="10" t="n">
        <x:v>0</x:v>
      </x:c>
      <x:c r="L1767" s="11" t="n">
        <x:v>0</x:v>
      </x:c>
      <x:c r="M1767" s="9" t="n">
        <x:f>IF(D1767="Completed",I1767*J1767,0)</x:f>
        <x:v>300</x:v>
      </x:c>
      <x:c r="N1767" s="9" t="n">
        <x:f>M1767*K1767</x:f>
        <x:v>0</x:v>
      </x:c>
      <x:c r="O1767" s="9" t="n">
        <x:f>M1767-N1767</x:f>
        <x:v>300</x:v>
      </x:c>
      <x:c r="P1767" s="9" t="n">
        <x:f>IF(D1767="Completed",L1767*J1767*(1-K1767),0)</x:f>
        <x:v>0</x:v>
      </x:c>
      <x:c r="Q1767" s="9" t="n">
        <x:f>O1767-P1767</x:f>
        <x:v>300</x:v>
      </x:c>
      <x:c r="R1767" s="11" t="n">
        <x:f>IF(D1767="Completed",I1767,0)</x:f>
        <x:v>1</x:v>
      </x:c>
      <x:c r="S1767" s="11" t="n">
        <x:f>IF(D1767="Completed",L1767,0)</x:f>
        <x:v>0</x:v>
      </x:c>
      <x:c r="T1767" s="8" t="n">
        <x:f>DATE(YEAR(C1767),MONTH(C1767),1)</x:f>
        <x:v>45870</x:v>
      </x:c>
    </x:row>
    <x:row r="1768" ht="22" customHeight="1">
      <x:c r="A1768" s="2" t="str">
        <x:v>L001764</x:v>
      </x:c>
      <x:c r="B1768" s="2" t="str">
        <x:v>O00717</x:v>
      </x:c>
      <x:c r="C1768" s="7" t="n">
        <x:v>45897</x:v>
      </x:c>
      <x:c r="D1768" s="2" t="str">
        <x:v>Completed</x:v>
      </x:c>
      <x:c r="E1768" s="2" t="str">
        <x:v>East</x:v>
      </x:c>
      <x:c r="F1768" s="2" t="str">
        <x:v>Store</x:v>
      </x:c>
      <x:c r="G1768" s="2" t="str">
        <x:v>Storage</x:v>
      </x:c>
      <x:c r="H1768" s="2" t="str">
        <x:v>Shelf 003</x:v>
      </x:c>
      <x:c r="I1768" s="11" t="n">
        <x:v>1</x:v>
      </x:c>
      <x:c r="J1768" s="9" t="n">
        <x:v>199</x:v>
      </x:c>
      <x:c r="K1768" s="10" t="n">
        <x:v>0.2</x:v>
      </x:c>
      <x:c r="L1768" s="11" t="n">
        <x:v>0</x:v>
      </x:c>
      <x:c r="M1768" s="9" t="n">
        <x:f>IF(D1768="Completed",I1768*J1768,0)</x:f>
        <x:v>199</x:v>
      </x:c>
      <x:c r="N1768" s="9" t="n">
        <x:f>M1768*K1768</x:f>
        <x:v>39.800000000000004</x:v>
      </x:c>
      <x:c r="O1768" s="9" t="n">
        <x:f>M1768-N1768</x:f>
        <x:v>159.2</x:v>
      </x:c>
      <x:c r="P1768" s="9" t="n">
        <x:f>IF(D1768="Completed",L1768*J1768*(1-K1768),0)</x:f>
        <x:v>0</x:v>
      </x:c>
      <x:c r="Q1768" s="9" t="n">
        <x:f>O1768-P1768</x:f>
        <x:v>159.2</x:v>
      </x:c>
      <x:c r="R1768" s="11" t="n">
        <x:f>IF(D1768="Completed",I1768,0)</x:f>
        <x:v>1</x:v>
      </x:c>
      <x:c r="S1768" s="11" t="n">
        <x:f>IF(D1768="Completed",L1768,0)</x:f>
        <x:v>0</x:v>
      </x:c>
      <x:c r="T1768" s="8" t="n">
        <x:f>DATE(YEAR(C1768),MONTH(C1768),1)</x:f>
        <x:v>45870</x:v>
      </x:c>
    </x:row>
    <x:row r="1769" ht="22" customHeight="1">
      <x:c r="A1769" s="2" t="str">
        <x:v>L001765</x:v>
      </x:c>
      <x:c r="B1769" s="2" t="str">
        <x:v>O00718</x:v>
      </x:c>
      <x:c r="C1769" s="7" t="n">
        <x:v>45821</x:v>
      </x:c>
      <x:c r="D1769" s="2" t="str">
        <x:v>Completed</x:v>
      </x:c>
      <x:c r="E1769" s="2" t="str">
        <x:v>North</x:v>
      </x:c>
      <x:c r="F1769" s="2" t="str">
        <x:v>Online</x:v>
      </x:c>
      <x:c r="G1769" s="2" t="str">
        <x:v>Storage</x:v>
      </x:c>
      <x:c r="H1769" s="2" t="str">
        <x:v>Shelf 007</x:v>
      </x:c>
      <x:c r="I1769" s="11" t="n">
        <x:v>5</x:v>
      </x:c>
      <x:c r="J1769" s="9" t="n">
        <x:v>35</x:v>
      </x:c>
      <x:c r="K1769" s="10" t="n">
        <x:v>0.05</x:v>
      </x:c>
      <x:c r="L1769" s="11" t="n">
        <x:v>0</x:v>
      </x:c>
      <x:c r="M1769" s="9" t="n">
        <x:f>IF(D1769="Completed",I1769*J1769,0)</x:f>
        <x:v>175</x:v>
      </x:c>
      <x:c r="N1769" s="9" t="n">
        <x:f>M1769*K1769</x:f>
        <x:v>8.75</x:v>
      </x:c>
      <x:c r="O1769" s="9" t="n">
        <x:f>M1769-N1769</x:f>
        <x:v>166.25</x:v>
      </x:c>
      <x:c r="P1769" s="9" t="n">
        <x:f>IF(D1769="Completed",L1769*J1769*(1-K1769),0)</x:f>
        <x:v>0</x:v>
      </x:c>
      <x:c r="Q1769" s="9" t="n">
        <x:f>O1769-P1769</x:f>
        <x:v>166.25</x:v>
      </x:c>
      <x:c r="R1769" s="11" t="n">
        <x:f>IF(D1769="Completed",I1769,0)</x:f>
        <x:v>5</x:v>
      </x:c>
      <x:c r="S1769" s="11" t="n">
        <x:f>IF(D1769="Completed",L1769,0)</x:f>
        <x:v>0</x:v>
      </x:c>
      <x:c r="T1769" s="8" t="n">
        <x:f>DATE(YEAR(C1769),MONTH(C1769),1)</x:f>
        <x:v>45809</x:v>
      </x:c>
    </x:row>
    <x:row r="1770" ht="22" customHeight="1">
      <x:c r="A1770" s="2" t="str">
        <x:v>L001766</x:v>
      </x:c>
      <x:c r="B1770" s="2" t="str">
        <x:v>O00718</x:v>
      </x:c>
      <x:c r="C1770" s="7" t="n">
        <x:v>45821</x:v>
      </x:c>
      <x:c r="D1770" s="2" t="str">
        <x:v>Completed</x:v>
      </x:c>
      <x:c r="E1770" s="2" t="str">
        <x:v>North</x:v>
      </x:c>
      <x:c r="F1770" s="2" t="str">
        <x:v>Online</x:v>
      </x:c>
      <x:c r="G1770" s="2" t="str">
        <x:v>Furniture</x:v>
      </x:c>
      <x:c r="H1770" s="2" t="str">
        <x:v>Desk 024</x:v>
      </x:c>
      <x:c r="I1770" s="11" t="n">
        <x:v>5</x:v>
      </x:c>
      <x:c r="J1770" s="9" t="n">
        <x:v>81</x:v>
      </x:c>
      <x:c r="K1770" s="10" t="n">
        <x:v>0.05</x:v>
      </x:c>
      <x:c r="L1770" s="11" t="n">
        <x:v>0</x:v>
      </x:c>
      <x:c r="M1770" s="9" t="n">
        <x:f>IF(D1770="Completed",I1770*J1770,0)</x:f>
        <x:v>405</x:v>
      </x:c>
      <x:c r="N1770" s="9" t="n">
        <x:f>M1770*K1770</x:f>
        <x:v>20.25</x:v>
      </x:c>
      <x:c r="O1770" s="9" t="n">
        <x:f>M1770-N1770</x:f>
        <x:v>384.75</x:v>
      </x:c>
      <x:c r="P1770" s="9" t="n">
        <x:f>IF(D1770="Completed",L1770*J1770*(1-K1770),0)</x:f>
        <x:v>0</x:v>
      </x:c>
      <x:c r="Q1770" s="9" t="n">
        <x:f>O1770-P1770</x:f>
        <x:v>384.75</x:v>
      </x:c>
      <x:c r="R1770" s="11" t="n">
        <x:f>IF(D1770="Completed",I1770,0)</x:f>
        <x:v>5</x:v>
      </x:c>
      <x:c r="S1770" s="11" t="n">
        <x:f>IF(D1770="Completed",L1770,0)</x:f>
        <x:v>0</x:v>
      </x:c>
      <x:c r="T1770" s="8" t="n">
        <x:f>DATE(YEAR(C1770),MONTH(C1770),1)</x:f>
        <x:v>45809</x:v>
      </x:c>
    </x:row>
    <x:row r="1771" ht="22" customHeight="1">
      <x:c r="A1771" s="2" t="str">
        <x:v>L001767</x:v>
      </x:c>
      <x:c r="B1771" s="2" t="str">
        <x:v>O00718</x:v>
      </x:c>
      <x:c r="C1771" s="7" t="n">
        <x:v>45821</x:v>
      </x:c>
      <x:c r="D1771" s="2" t="str">
        <x:v>Completed</x:v>
      </x:c>
      <x:c r="E1771" s="2" t="str">
        <x:v>North</x:v>
      </x:c>
      <x:c r="F1771" s="2" t="str">
        <x:v>Online</x:v>
      </x:c>
      <x:c r="G1771" s="2" t="str">
        <x:v>Storage</x:v>
      </x:c>
      <x:c r="H1771" s="2" t="str">
        <x:v>Shelf 007</x:v>
      </x:c>
      <x:c r="I1771" s="11" t="n">
        <x:v>1</x:v>
      </x:c>
      <x:c r="J1771" s="9" t="n">
        <x:v>35</x:v>
      </x:c>
      <x:c r="K1771" s="10" t="n">
        <x:v>0.05</x:v>
      </x:c>
      <x:c r="L1771" s="11" t="n">
        <x:v>0</x:v>
      </x:c>
      <x:c r="M1771" s="9" t="n">
        <x:f>IF(D1771="Completed",I1771*J1771,0)</x:f>
        <x:v>35</x:v>
      </x:c>
      <x:c r="N1771" s="9" t="n">
        <x:f>M1771*K1771</x:f>
        <x:v>1.75</x:v>
      </x:c>
      <x:c r="O1771" s="9" t="n">
        <x:f>M1771-N1771</x:f>
        <x:v>33.25</x:v>
      </x:c>
      <x:c r="P1771" s="9" t="n">
        <x:f>IF(D1771="Completed",L1771*J1771*(1-K1771),0)</x:f>
        <x:v>0</x:v>
      </x:c>
      <x:c r="Q1771" s="9" t="n">
        <x:f>O1771-P1771</x:f>
        <x:v>33.25</x:v>
      </x:c>
      <x:c r="R1771" s="11" t="n">
        <x:f>IF(D1771="Completed",I1771,0)</x:f>
        <x:v>1</x:v>
      </x:c>
      <x:c r="S1771" s="11" t="n">
        <x:f>IF(D1771="Completed",L1771,0)</x:f>
        <x:v>0</x:v>
      </x:c>
      <x:c r="T1771" s="8" t="n">
        <x:f>DATE(YEAR(C1771),MONTH(C1771),1)</x:f>
        <x:v>45809</x:v>
      </x:c>
    </x:row>
    <x:row r="1772" ht="22" customHeight="1">
      <x:c r="A1772" s="2" t="str">
        <x:v>L001768</x:v>
      </x:c>
      <x:c r="B1772" s="2" t="str">
        <x:v>O00719</x:v>
      </x:c>
      <x:c r="C1772" s="7" t="n">
        <x:v>45855</x:v>
      </x:c>
      <x:c r="D1772" s="2" t="str">
        <x:v>Completed</x:v>
      </x:c>
      <x:c r="E1772" s="2" t="str">
        <x:v>North</x:v>
      </x:c>
      <x:c r="F1772" s="2" t="str">
        <x:v>Online</x:v>
      </x:c>
      <x:c r="G1772" s="2" t="str">
        <x:v>Lighting</x:v>
      </x:c>
      <x:c r="H1772" s="2" t="str">
        <x:v>Lamp 017</x:v>
      </x:c>
      <x:c r="I1772" s="11" t="n">
        <x:v>1</x:v>
      </x:c>
      <x:c r="J1772" s="9" t="n">
        <x:v>300</x:v>
      </x:c>
      <x:c r="K1772" s="10" t="n">
        <x:v>0.2</x:v>
      </x:c>
      <x:c r="L1772" s="11" t="n">
        <x:v>0</x:v>
      </x:c>
      <x:c r="M1772" s="9" t="n">
        <x:f>IF(D1772="Completed",I1772*J1772,0)</x:f>
        <x:v>300</x:v>
      </x:c>
      <x:c r="N1772" s="9" t="n">
        <x:f>M1772*K1772</x:f>
        <x:v>60</x:v>
      </x:c>
      <x:c r="O1772" s="9" t="n">
        <x:f>M1772-N1772</x:f>
        <x:v>240</x:v>
      </x:c>
      <x:c r="P1772" s="9" t="n">
        <x:f>IF(D1772="Completed",L1772*J1772*(1-K1772),0)</x:f>
        <x:v>0</x:v>
      </x:c>
      <x:c r="Q1772" s="9" t="n">
        <x:f>O1772-P1772</x:f>
        <x:v>240</x:v>
      </x:c>
      <x:c r="R1772" s="11" t="n">
        <x:f>IF(D1772="Completed",I1772,0)</x:f>
        <x:v>1</x:v>
      </x:c>
      <x:c r="S1772" s="11" t="n">
        <x:f>IF(D1772="Completed",L1772,0)</x:f>
        <x:v>0</x:v>
      </x:c>
      <x:c r="T1772" s="8" t="n">
        <x:f>DATE(YEAR(C1772),MONTH(C1772),1)</x:f>
        <x:v>45839</x:v>
      </x:c>
    </x:row>
    <x:row r="1773" ht="22" customHeight="1">
      <x:c r="A1773" s="2" t="str">
        <x:v>L001769</x:v>
      </x:c>
      <x:c r="B1773" s="2" t="str">
        <x:v>O00719</x:v>
      </x:c>
      <x:c r="C1773" s="7" t="n">
        <x:v>45855</x:v>
      </x:c>
      <x:c r="D1773" s="2" t="str">
        <x:v>Completed</x:v>
      </x:c>
      <x:c r="E1773" s="2" t="str">
        <x:v>North</x:v>
      </x:c>
      <x:c r="F1773" s="2" t="str">
        <x:v>Online</x:v>
      </x:c>
      <x:c r="G1773" s="2" t="str">
        <x:v>Furniture</x:v>
      </x:c>
      <x:c r="H1773" s="2" t="str">
        <x:v>Desk 024</x:v>
      </x:c>
      <x:c r="I1773" s="11" t="n">
        <x:v>4</x:v>
      </x:c>
      <x:c r="J1773" s="9" t="n">
        <x:v>81</x:v>
      </x:c>
      <x:c r="K1773" s="10" t="n">
        <x:v>0</x:v>
      </x:c>
      <x:c r="L1773" s="11" t="n">
        <x:v>0</x:v>
      </x:c>
      <x:c r="M1773" s="9" t="n">
        <x:f>IF(D1773="Completed",I1773*J1773,0)</x:f>
        <x:v>324</x:v>
      </x:c>
      <x:c r="N1773" s="9" t="n">
        <x:f>M1773*K1773</x:f>
        <x:v>0</x:v>
      </x:c>
      <x:c r="O1773" s="9" t="n">
        <x:f>M1773-N1773</x:f>
        <x:v>324</x:v>
      </x:c>
      <x:c r="P1773" s="9" t="n">
        <x:f>IF(D1773="Completed",L1773*J1773*(1-K1773),0)</x:f>
        <x:v>0</x:v>
      </x:c>
      <x:c r="Q1773" s="9" t="n">
        <x:f>O1773-P1773</x:f>
        <x:v>324</x:v>
      </x:c>
      <x:c r="R1773" s="11" t="n">
        <x:f>IF(D1773="Completed",I1773,0)</x:f>
        <x:v>4</x:v>
      </x:c>
      <x:c r="S1773" s="11" t="n">
        <x:f>IF(D1773="Completed",L1773,0)</x:f>
        <x:v>0</x:v>
      </x:c>
      <x:c r="T1773" s="8" t="n">
        <x:f>DATE(YEAR(C1773),MONTH(C1773),1)</x:f>
        <x:v>45839</x:v>
      </x:c>
    </x:row>
    <x:row r="1774" ht="22" customHeight="1">
      <x:c r="A1774" s="2" t="str">
        <x:v>L001770</x:v>
      </x:c>
      <x:c r="B1774" s="2" t="str">
        <x:v>O00719</x:v>
      </x:c>
      <x:c r="C1774" s="7" t="n">
        <x:v>45855</x:v>
      </x:c>
      <x:c r="D1774" s="2" t="str">
        <x:v>Completed</x:v>
      </x:c>
      <x:c r="E1774" s="2" t="str">
        <x:v>North</x:v>
      </x:c>
      <x:c r="F1774" s="2" t="str">
        <x:v>Online</x:v>
      </x:c>
      <x:c r="G1774" s="2" t="str">
        <x:v>Furniture</x:v>
      </x:c>
      <x:c r="H1774" s="2" t="str">
        <x:v>Desk 024</x:v>
      </x:c>
      <x:c r="I1774" s="11" t="n">
        <x:v>5</x:v>
      </x:c>
      <x:c r="J1774" s="9" t="n">
        <x:v>81</x:v>
      </x:c>
      <x:c r="K1774" s="10" t="n">
        <x:v>0</x:v>
      </x:c>
      <x:c r="L1774" s="11" t="n">
        <x:v>0</x:v>
      </x:c>
      <x:c r="M1774" s="9" t="n">
        <x:f>IF(D1774="Completed",I1774*J1774,0)</x:f>
        <x:v>405</x:v>
      </x:c>
      <x:c r="N1774" s="9" t="n">
        <x:f>M1774*K1774</x:f>
        <x:v>0</x:v>
      </x:c>
      <x:c r="O1774" s="9" t="n">
        <x:f>M1774-N1774</x:f>
        <x:v>405</x:v>
      </x:c>
      <x:c r="P1774" s="9" t="n">
        <x:f>IF(D1774="Completed",L1774*J1774*(1-K1774),0)</x:f>
        <x:v>0</x:v>
      </x:c>
      <x:c r="Q1774" s="9" t="n">
        <x:f>O1774-P1774</x:f>
        <x:v>405</x:v>
      </x:c>
      <x:c r="R1774" s="11" t="n">
        <x:f>IF(D1774="Completed",I1774,0)</x:f>
        <x:v>5</x:v>
      </x:c>
      <x:c r="S1774" s="11" t="n">
        <x:f>IF(D1774="Completed",L1774,0)</x:f>
        <x:v>0</x:v>
      </x:c>
      <x:c r="T1774" s="8" t="n">
        <x:f>DATE(YEAR(C1774),MONTH(C1774),1)</x:f>
        <x:v>45839</x:v>
      </x:c>
    </x:row>
    <x:row r="1775" ht="22" customHeight="1">
      <x:c r="A1775" s="2" t="str">
        <x:v>L001771</x:v>
      </x:c>
      <x:c r="B1775" s="2" t="str">
        <x:v>O00719</x:v>
      </x:c>
      <x:c r="C1775" s="7" t="n">
        <x:v>45855</x:v>
      </x:c>
      <x:c r="D1775" s="2" t="str">
        <x:v>Completed</x:v>
      </x:c>
      <x:c r="E1775" s="2" t="str">
        <x:v>North</x:v>
      </x:c>
      <x:c r="F1775" s="2" t="str">
        <x:v>Online</x:v>
      </x:c>
      <x:c r="G1775" s="2" t="str">
        <x:v>Furniture</x:v>
      </x:c>
      <x:c r="H1775" s="2" t="str">
        <x:v>Chair 006</x:v>
      </x:c>
      <x:c r="I1775" s="11" t="n">
        <x:v>5</x:v>
      </x:c>
      <x:c r="J1775" s="9" t="n">
        <x:v>196</x:v>
      </x:c>
      <x:c r="K1775" s="10" t="n">
        <x:v>0.2</x:v>
      </x:c>
      <x:c r="L1775" s="11" t="n">
        <x:v>0</x:v>
      </x:c>
      <x:c r="M1775" s="9" t="n">
        <x:f>IF(D1775="Completed",I1775*J1775,0)</x:f>
        <x:v>980</x:v>
      </x:c>
      <x:c r="N1775" s="9" t="n">
        <x:f>M1775*K1775</x:f>
        <x:v>196</x:v>
      </x:c>
      <x:c r="O1775" s="9" t="n">
        <x:f>M1775-N1775</x:f>
        <x:v>784</x:v>
      </x:c>
      <x:c r="P1775" s="9" t="n">
        <x:f>IF(D1775="Completed",L1775*J1775*(1-K1775),0)</x:f>
        <x:v>0</x:v>
      </x:c>
      <x:c r="Q1775" s="9" t="n">
        <x:f>O1775-P1775</x:f>
        <x:v>784</x:v>
      </x:c>
      <x:c r="R1775" s="11" t="n">
        <x:f>IF(D1775="Completed",I1775,0)</x:f>
        <x:v>5</x:v>
      </x:c>
      <x:c r="S1775" s="11" t="n">
        <x:f>IF(D1775="Completed",L1775,0)</x:f>
        <x:v>0</x:v>
      </x:c>
      <x:c r="T1775" s="8" t="n">
        <x:f>DATE(YEAR(C1775),MONTH(C1775),1)</x:f>
        <x:v>45839</x:v>
      </x:c>
    </x:row>
    <x:row r="1776" ht="22" customHeight="1">
      <x:c r="A1776" s="2" t="str">
        <x:v>L001772</x:v>
      </x:c>
      <x:c r="B1776" s="2" t="str">
        <x:v>O00720</x:v>
      </x:c>
      <x:c r="C1776" s="7" t="n">
        <x:v>45718</x:v>
      </x:c>
      <x:c r="D1776" s="2" t="str">
        <x:v>Completed</x:v>
      </x:c>
      <x:c r="E1776" s="2" t="str">
        <x:v>West</x:v>
      </x:c>
      <x:c r="F1776" s="2" t="str">
        <x:v>Online</x:v>
      </x:c>
      <x:c r="G1776" s="2" t="str">
        <x:v>Storage</x:v>
      </x:c>
      <x:c r="H1776" s="2" t="str">
        <x:v>Shelf 023</x:v>
      </x:c>
      <x:c r="I1776" s="11" t="n">
        <x:v>5</x:v>
      </x:c>
      <x:c r="J1776" s="9" t="n">
        <x:v>68</x:v>
      </x:c>
      <x:c r="K1776" s="10" t="n">
        <x:v>0.2</x:v>
      </x:c>
      <x:c r="L1776" s="11" t="n">
        <x:v>0</x:v>
      </x:c>
      <x:c r="M1776" s="9" t="n">
        <x:f>IF(D1776="Completed",I1776*J1776,0)</x:f>
        <x:v>340</x:v>
      </x:c>
      <x:c r="N1776" s="9" t="n">
        <x:f>M1776*K1776</x:f>
        <x:v>68</x:v>
      </x:c>
      <x:c r="O1776" s="9" t="n">
        <x:f>M1776-N1776</x:f>
        <x:v>272</x:v>
      </x:c>
      <x:c r="P1776" s="9" t="n">
        <x:f>IF(D1776="Completed",L1776*J1776*(1-K1776),0)</x:f>
        <x:v>0</x:v>
      </x:c>
      <x:c r="Q1776" s="9" t="n">
        <x:f>O1776-P1776</x:f>
        <x:v>272</x:v>
      </x:c>
      <x:c r="R1776" s="11" t="n">
        <x:f>IF(D1776="Completed",I1776,0)</x:f>
        <x:v>5</x:v>
      </x:c>
      <x:c r="S1776" s="11" t="n">
        <x:f>IF(D1776="Completed",L1776,0)</x:f>
        <x:v>0</x:v>
      </x:c>
      <x:c r="T1776" s="8" t="n">
        <x:f>DATE(YEAR(C1776),MONTH(C1776),1)</x:f>
        <x:v>45717</x:v>
      </x:c>
    </x:row>
    <x:row r="1777" ht="22" customHeight="1">
      <x:c r="A1777" s="2" t="str">
        <x:v>L001773</x:v>
      </x:c>
      <x:c r="B1777" s="2" t="str">
        <x:v>O00720</x:v>
      </x:c>
      <x:c r="C1777" s="7" t="n">
        <x:v>45718</x:v>
      </x:c>
      <x:c r="D1777" s="2" t="str">
        <x:v>Completed</x:v>
      </x:c>
      <x:c r="E1777" s="2" t="str">
        <x:v>West</x:v>
      </x:c>
      <x:c r="F1777" s="2" t="str">
        <x:v>Online</x:v>
      </x:c>
      <x:c r="G1777" s="2" t="str">
        <x:v>Furniture</x:v>
      </x:c>
      <x:c r="H1777" s="2" t="str">
        <x:v>Chair 014</x:v>
      </x:c>
      <x:c r="I1777" s="11" t="n">
        <x:v>3</x:v>
      </x:c>
      <x:c r="J1777" s="9" t="n">
        <x:v>294</x:v>
      </x:c>
      <x:c r="K1777" s="10" t="n">
        <x:v>0.1</x:v>
      </x:c>
      <x:c r="L1777" s="11" t="n">
        <x:v>0</x:v>
      </x:c>
      <x:c r="M1777" s="9" t="n">
        <x:f>IF(D1777="Completed",I1777*J1777,0)</x:f>
        <x:v>882</x:v>
      </x:c>
      <x:c r="N1777" s="9" t="n">
        <x:f>M1777*K1777</x:f>
        <x:v>88.2</x:v>
      </x:c>
      <x:c r="O1777" s="9" t="n">
        <x:f>M1777-N1777</x:f>
        <x:v>793.8</x:v>
      </x:c>
      <x:c r="P1777" s="9" t="n">
        <x:f>IF(D1777="Completed",L1777*J1777*(1-K1777),0)</x:f>
        <x:v>0</x:v>
      </x:c>
      <x:c r="Q1777" s="9" t="n">
        <x:f>O1777-P1777</x:f>
        <x:v>793.8</x:v>
      </x:c>
      <x:c r="R1777" s="11" t="n">
        <x:f>IF(D1777="Completed",I1777,0)</x:f>
        <x:v>3</x:v>
      </x:c>
      <x:c r="S1777" s="11" t="n">
        <x:f>IF(D1777="Completed",L1777,0)</x:f>
        <x:v>0</x:v>
      </x:c>
      <x:c r="T1777" s="8" t="n">
        <x:f>DATE(YEAR(C1777),MONTH(C1777),1)</x:f>
        <x:v>45717</x:v>
      </x:c>
    </x:row>
    <x:row r="1778" ht="22" customHeight="1">
      <x:c r="A1778" s="2" t="str">
        <x:v>L001774</x:v>
      </x:c>
      <x:c r="B1778" s="2" t="str">
        <x:v>O00721</x:v>
      </x:c>
      <x:c r="C1778" s="7" t="n">
        <x:v>45986</x:v>
      </x:c>
      <x:c r="D1778" s="2" t="str">
        <x:v>Completed</x:v>
      </x:c>
      <x:c r="E1778" s="2" t="str">
        <x:v>East</x:v>
      </x:c>
      <x:c r="F1778" s="2" t="str">
        <x:v>Online</x:v>
      </x:c>
      <x:c r="G1778" s="2" t="str">
        <x:v>Furniture</x:v>
      </x:c>
      <x:c r="H1778" s="2" t="str">
        <x:v>Chair 018</x:v>
      </x:c>
      <x:c r="I1778" s="11" t="n">
        <x:v>1</x:v>
      </x:c>
      <x:c r="J1778" s="9" t="n">
        <x:v>269</x:v>
      </x:c>
      <x:c r="K1778" s="10" t="n">
        <x:v>0.05</x:v>
      </x:c>
      <x:c r="L1778" s="11" t="n">
        <x:v>0</x:v>
      </x:c>
      <x:c r="M1778" s="9" t="n">
        <x:f>IF(D1778="Completed",I1778*J1778,0)</x:f>
        <x:v>269</x:v>
      </x:c>
      <x:c r="N1778" s="9" t="n">
        <x:f>M1778*K1778</x:f>
        <x:v>13.450000000000001</x:v>
      </x:c>
      <x:c r="O1778" s="9" t="n">
        <x:f>M1778-N1778</x:f>
        <x:v>255.55</x:v>
      </x:c>
      <x:c r="P1778" s="9" t="n">
        <x:f>IF(D1778="Completed",L1778*J1778*(1-K1778),0)</x:f>
        <x:v>0</x:v>
      </x:c>
      <x:c r="Q1778" s="9" t="n">
        <x:f>O1778-P1778</x:f>
        <x:v>255.55</x:v>
      </x:c>
      <x:c r="R1778" s="11" t="n">
        <x:f>IF(D1778="Completed",I1778,0)</x:f>
        <x:v>1</x:v>
      </x:c>
      <x:c r="S1778" s="11" t="n">
        <x:f>IF(D1778="Completed",L1778,0)</x:f>
        <x:v>0</x:v>
      </x:c>
      <x:c r="T1778" s="8" t="n">
        <x:f>DATE(YEAR(C1778),MONTH(C1778),1)</x:f>
        <x:v>45962</x:v>
      </x:c>
    </x:row>
    <x:row r="1779" ht="22" customHeight="1">
      <x:c r="A1779" s="2" t="str">
        <x:v>L001775</x:v>
      </x:c>
      <x:c r="B1779" s="2" t="str">
        <x:v>O00721</x:v>
      </x:c>
      <x:c r="C1779" s="7" t="n">
        <x:v>45986</x:v>
      </x:c>
      <x:c r="D1779" s="2" t="str">
        <x:v>Completed</x:v>
      </x:c>
      <x:c r="E1779" s="2" t="str">
        <x:v>East</x:v>
      </x:c>
      <x:c r="F1779" s="2" t="str">
        <x:v>Online</x:v>
      </x:c>
      <x:c r="G1779" s="2" t="str">
        <x:v>Lighting</x:v>
      </x:c>
      <x:c r="H1779" s="2" t="str">
        <x:v>Lamp 005</x:v>
      </x:c>
      <x:c r="I1779" s="11" t="n">
        <x:v>4</x:v>
      </x:c>
      <x:c r="J1779" s="9" t="n">
        <x:v>65</x:v>
      </x:c>
      <x:c r="K1779" s="10" t="n">
        <x:v>0.2</x:v>
      </x:c>
      <x:c r="L1779" s="11" t="n">
        <x:v>0</x:v>
      </x:c>
      <x:c r="M1779" s="9" t="n">
        <x:f>IF(D1779="Completed",I1779*J1779,0)</x:f>
        <x:v>260</x:v>
      </x:c>
      <x:c r="N1779" s="9" t="n">
        <x:f>M1779*K1779</x:f>
        <x:v>52</x:v>
      </x:c>
      <x:c r="O1779" s="9" t="n">
        <x:f>M1779-N1779</x:f>
        <x:v>208</x:v>
      </x:c>
      <x:c r="P1779" s="9" t="n">
        <x:f>IF(D1779="Completed",L1779*J1779*(1-K1779),0)</x:f>
        <x:v>0</x:v>
      </x:c>
      <x:c r="Q1779" s="9" t="n">
        <x:f>O1779-P1779</x:f>
        <x:v>208</x:v>
      </x:c>
      <x:c r="R1779" s="11" t="n">
        <x:f>IF(D1779="Completed",I1779,0)</x:f>
        <x:v>4</x:v>
      </x:c>
      <x:c r="S1779" s="11" t="n">
        <x:f>IF(D1779="Completed",L1779,0)</x:f>
        <x:v>0</x:v>
      </x:c>
      <x:c r="T1779" s="8" t="n">
        <x:f>DATE(YEAR(C1779),MONTH(C1779),1)</x:f>
        <x:v>45962</x:v>
      </x:c>
    </x:row>
    <x:row r="1780" ht="22" customHeight="1">
      <x:c r="A1780" s="2" t="str">
        <x:v>L001776</x:v>
      </x:c>
      <x:c r="B1780" s="2" t="str">
        <x:v>O00721</x:v>
      </x:c>
      <x:c r="C1780" s="7" t="n">
        <x:v>45986</x:v>
      </x:c>
      <x:c r="D1780" s="2" t="str">
        <x:v>Completed</x:v>
      </x:c>
      <x:c r="E1780" s="2" t="str">
        <x:v>East</x:v>
      </x:c>
      <x:c r="F1780" s="2" t="str">
        <x:v>Online</x:v>
      </x:c>
      <x:c r="G1780" s="2" t="str">
        <x:v>Lighting</x:v>
      </x:c>
      <x:c r="H1780" s="2" t="str">
        <x:v>Lamp 005</x:v>
      </x:c>
      <x:c r="I1780" s="11" t="n">
        <x:v>1</x:v>
      </x:c>
      <x:c r="J1780" s="9" t="n">
        <x:v>65</x:v>
      </x:c>
      <x:c r="K1780" s="10" t="n">
        <x:v>0</x:v>
      </x:c>
      <x:c r="L1780" s="11" t="n">
        <x:v>0</x:v>
      </x:c>
      <x:c r="M1780" s="9" t="n">
        <x:f>IF(D1780="Completed",I1780*J1780,0)</x:f>
        <x:v>65</x:v>
      </x:c>
      <x:c r="N1780" s="9" t="n">
        <x:f>M1780*K1780</x:f>
        <x:v>0</x:v>
      </x:c>
      <x:c r="O1780" s="9" t="n">
        <x:f>M1780-N1780</x:f>
        <x:v>65</x:v>
      </x:c>
      <x:c r="P1780" s="9" t="n">
        <x:f>IF(D1780="Completed",L1780*J1780*(1-K1780),0)</x:f>
        <x:v>0</x:v>
      </x:c>
      <x:c r="Q1780" s="9" t="n">
        <x:f>O1780-P1780</x:f>
        <x:v>65</x:v>
      </x:c>
      <x:c r="R1780" s="11" t="n">
        <x:f>IF(D1780="Completed",I1780,0)</x:f>
        <x:v>1</x:v>
      </x:c>
      <x:c r="S1780" s="11" t="n">
        <x:f>IF(D1780="Completed",L1780,0)</x:f>
        <x:v>0</x:v>
      </x:c>
      <x:c r="T1780" s="8" t="n">
        <x:f>DATE(YEAR(C1780),MONTH(C1780),1)</x:f>
        <x:v>45962</x:v>
      </x:c>
    </x:row>
    <x:row r="1781" ht="22" customHeight="1">
      <x:c r="A1781" s="2" t="str">
        <x:v>L001777</x:v>
      </x:c>
      <x:c r="B1781" s="2" t="str">
        <x:v>O00722</x:v>
      </x:c>
      <x:c r="C1781" s="7" t="n">
        <x:v>45766</x:v>
      </x:c>
      <x:c r="D1781" s="2" t="str">
        <x:v>Completed</x:v>
      </x:c>
      <x:c r="E1781" s="2" t="str">
        <x:v>South</x:v>
      </x:c>
      <x:c r="F1781" s="2" t="str">
        <x:v>Online</x:v>
      </x:c>
      <x:c r="G1781" s="2" t="str">
        <x:v>Storage</x:v>
      </x:c>
      <x:c r="H1781" s="2" t="str">
        <x:v>Shelf 007</x:v>
      </x:c>
      <x:c r="I1781" s="11" t="n">
        <x:v>4</x:v>
      </x:c>
      <x:c r="J1781" s="9" t="n">
        <x:v>35</x:v>
      </x:c>
      <x:c r="K1781" s="10" t="n">
        <x:v>0.1</x:v>
      </x:c>
      <x:c r="L1781" s="11" t="n">
        <x:v>0</x:v>
      </x:c>
      <x:c r="M1781" s="9" t="n">
        <x:f>IF(D1781="Completed",I1781*J1781,0)</x:f>
        <x:v>140</x:v>
      </x:c>
      <x:c r="N1781" s="9" t="n">
        <x:f>M1781*K1781</x:f>
        <x:v>14</x:v>
      </x:c>
      <x:c r="O1781" s="9" t="n">
        <x:f>M1781-N1781</x:f>
        <x:v>126</x:v>
      </x:c>
      <x:c r="P1781" s="9" t="n">
        <x:f>IF(D1781="Completed",L1781*J1781*(1-K1781),0)</x:f>
        <x:v>0</x:v>
      </x:c>
      <x:c r="Q1781" s="9" t="n">
        <x:f>O1781-P1781</x:f>
        <x:v>126</x:v>
      </x:c>
      <x:c r="R1781" s="11" t="n">
        <x:f>IF(D1781="Completed",I1781,0)</x:f>
        <x:v>4</x:v>
      </x:c>
      <x:c r="S1781" s="11" t="n">
        <x:f>IF(D1781="Completed",L1781,0)</x:f>
        <x:v>0</x:v>
      </x:c>
      <x:c r="T1781" s="8" t="n">
        <x:f>DATE(YEAR(C1781),MONTH(C1781),1)</x:f>
        <x:v>45748</x:v>
      </x:c>
    </x:row>
    <x:row r="1782" ht="22" customHeight="1">
      <x:c r="A1782" s="2" t="str">
        <x:v>L001778</x:v>
      </x:c>
      <x:c r="B1782" s="2" t="str">
        <x:v>O00722</x:v>
      </x:c>
      <x:c r="C1782" s="7" t="n">
        <x:v>45766</x:v>
      </x:c>
      <x:c r="D1782" s="2" t="str">
        <x:v>Completed</x:v>
      </x:c>
      <x:c r="E1782" s="2" t="str">
        <x:v>South</x:v>
      </x:c>
      <x:c r="F1782" s="2" t="str">
        <x:v>Online</x:v>
      </x:c>
      <x:c r="G1782" s="2" t="str">
        <x:v>Furniture</x:v>
      </x:c>
      <x:c r="H1782" s="2" t="str">
        <x:v>Desk 012</x:v>
      </x:c>
      <x:c r="I1782" s="11" t="n">
        <x:v>4</x:v>
      </x:c>
      <x:c r="J1782" s="9" t="n">
        <x:v>134</x:v>
      </x:c>
      <x:c r="K1782" s="10" t="n">
        <x:v>0.1</x:v>
      </x:c>
      <x:c r="L1782" s="11" t="n">
        <x:v>0</x:v>
      </x:c>
      <x:c r="M1782" s="9" t="n">
        <x:f>IF(D1782="Completed",I1782*J1782,0)</x:f>
        <x:v>536</x:v>
      </x:c>
      <x:c r="N1782" s="9" t="n">
        <x:f>M1782*K1782</x:f>
        <x:v>53.6</x:v>
      </x:c>
      <x:c r="O1782" s="9" t="n">
        <x:f>M1782-N1782</x:f>
        <x:v>482.4</x:v>
      </x:c>
      <x:c r="P1782" s="9" t="n">
        <x:f>IF(D1782="Completed",L1782*J1782*(1-K1782),0)</x:f>
        <x:v>0</x:v>
      </x:c>
      <x:c r="Q1782" s="9" t="n">
        <x:f>O1782-P1782</x:f>
        <x:v>482.4</x:v>
      </x:c>
      <x:c r="R1782" s="11" t="n">
        <x:f>IF(D1782="Completed",I1782,0)</x:f>
        <x:v>4</x:v>
      </x:c>
      <x:c r="S1782" s="11" t="n">
        <x:f>IF(D1782="Completed",L1782,0)</x:f>
        <x:v>0</x:v>
      </x:c>
      <x:c r="T1782" s="8" t="n">
        <x:f>DATE(YEAR(C1782),MONTH(C1782),1)</x:f>
        <x:v>45748</x:v>
      </x:c>
    </x:row>
    <x:row r="1783" ht="22" customHeight="1">
      <x:c r="A1783" s="2" t="str">
        <x:v>L001779</x:v>
      </x:c>
      <x:c r="B1783" s="2" t="str">
        <x:v>O00723</x:v>
      </x:c>
      <x:c r="C1783" s="7" t="n">
        <x:v>46002</x:v>
      </x:c>
      <x:c r="D1783" s="2" t="str">
        <x:v>Completed</x:v>
      </x:c>
      <x:c r="E1783" s="2" t="str">
        <x:v>West</x:v>
      </x:c>
      <x:c r="F1783" s="2" t="str">
        <x:v>Online</x:v>
      </x:c>
      <x:c r="G1783" s="2" t="str">
        <x:v>Furniture</x:v>
      </x:c>
      <x:c r="H1783" s="2" t="str">
        <x:v>Desk 012</x:v>
      </x:c>
      <x:c r="I1783" s="11" t="n">
        <x:v>2</x:v>
      </x:c>
      <x:c r="J1783" s="9" t="n">
        <x:v>134</x:v>
      </x:c>
      <x:c r="K1783" s="10" t="n">
        <x:v>0.05</x:v>
      </x:c>
      <x:c r="L1783" s="11" t="n">
        <x:v>0</x:v>
      </x:c>
      <x:c r="M1783" s="9" t="n">
        <x:f>IF(D1783="Completed",I1783*J1783,0)</x:f>
        <x:v>268</x:v>
      </x:c>
      <x:c r="N1783" s="9" t="n">
        <x:f>M1783*K1783</x:f>
        <x:v>13.4</x:v>
      </x:c>
      <x:c r="O1783" s="9" t="n">
        <x:f>M1783-N1783</x:f>
        <x:v>254.6</x:v>
      </x:c>
      <x:c r="P1783" s="9" t="n">
        <x:f>IF(D1783="Completed",L1783*J1783*(1-K1783),0)</x:f>
        <x:v>0</x:v>
      </x:c>
      <x:c r="Q1783" s="9" t="n">
        <x:f>O1783-P1783</x:f>
        <x:v>254.6</x:v>
      </x:c>
      <x:c r="R1783" s="11" t="n">
        <x:f>IF(D1783="Completed",I1783,0)</x:f>
        <x:v>2</x:v>
      </x:c>
      <x:c r="S1783" s="11" t="n">
        <x:f>IF(D1783="Completed",L1783,0)</x:f>
        <x:v>0</x:v>
      </x:c>
      <x:c r="T1783" s="8" t="n">
        <x:f>DATE(YEAR(C1783),MONTH(C1783),1)</x:f>
        <x:v>45992</x:v>
      </x:c>
    </x:row>
    <x:row r="1784" ht="22" customHeight="1">
      <x:c r="A1784" s="2" t="str">
        <x:v>L001780</x:v>
      </x:c>
      <x:c r="B1784" s="2" t="str">
        <x:v>O00723</x:v>
      </x:c>
      <x:c r="C1784" s="7" t="n">
        <x:v>46002</x:v>
      </x:c>
      <x:c r="D1784" s="2" t="str">
        <x:v>Completed</x:v>
      </x:c>
      <x:c r="E1784" s="2" t="str">
        <x:v>West</x:v>
      </x:c>
      <x:c r="F1784" s="2" t="str">
        <x:v>Online</x:v>
      </x:c>
      <x:c r="G1784" s="2" t="str">
        <x:v>Storage</x:v>
      </x:c>
      <x:c r="H1784" s="2" t="str">
        <x:v>Shelf 023</x:v>
      </x:c>
      <x:c r="I1784" s="11" t="n">
        <x:v>3</x:v>
      </x:c>
      <x:c r="J1784" s="9" t="n">
        <x:v>68</x:v>
      </x:c>
      <x:c r="K1784" s="10" t="n">
        <x:v>0</x:v>
      </x:c>
      <x:c r="L1784" s="11" t="n">
        <x:v>0</x:v>
      </x:c>
      <x:c r="M1784" s="9" t="n">
        <x:f>IF(D1784="Completed",I1784*J1784,0)</x:f>
        <x:v>204</x:v>
      </x:c>
      <x:c r="N1784" s="9" t="n">
        <x:f>M1784*K1784</x:f>
        <x:v>0</x:v>
      </x:c>
      <x:c r="O1784" s="9" t="n">
        <x:f>M1784-N1784</x:f>
        <x:v>204</x:v>
      </x:c>
      <x:c r="P1784" s="9" t="n">
        <x:f>IF(D1784="Completed",L1784*J1784*(1-K1784),0)</x:f>
        <x:v>0</x:v>
      </x:c>
      <x:c r="Q1784" s="9" t="n">
        <x:f>O1784-P1784</x:f>
        <x:v>204</x:v>
      </x:c>
      <x:c r="R1784" s="11" t="n">
        <x:f>IF(D1784="Completed",I1784,0)</x:f>
        <x:v>3</x:v>
      </x:c>
      <x:c r="S1784" s="11" t="n">
        <x:f>IF(D1784="Completed",L1784,0)</x:f>
        <x:v>0</x:v>
      </x:c>
      <x:c r="T1784" s="8" t="n">
        <x:f>DATE(YEAR(C1784),MONTH(C1784),1)</x:f>
        <x:v>45992</x:v>
      </x:c>
    </x:row>
    <x:row r="1785" ht="22" customHeight="1">
      <x:c r="A1785" s="2" t="str">
        <x:v>L001781</x:v>
      </x:c>
      <x:c r="B1785" s="2" t="str">
        <x:v>O00724</x:v>
      </x:c>
      <x:c r="C1785" s="7" t="n">
        <x:v>46008</x:v>
      </x:c>
      <x:c r="D1785" s="2" t="str">
        <x:v>Completed</x:v>
      </x:c>
      <x:c r="E1785" s="2" t="str">
        <x:v>North</x:v>
      </x:c>
      <x:c r="F1785" s="2" t="str">
        <x:v>Store</x:v>
      </x:c>
      <x:c r="G1785" s="2" t="str">
        <x:v>Lighting</x:v>
      </x:c>
      <x:c r="H1785" s="2" t="str">
        <x:v>Lamp 021</x:v>
      </x:c>
      <x:c r="I1785" s="11" t="n">
        <x:v>1</x:v>
      </x:c>
      <x:c r="J1785" s="9" t="n">
        <x:v>249</x:v>
      </x:c>
      <x:c r="K1785" s="10" t="n">
        <x:v>0.05</x:v>
      </x:c>
      <x:c r="L1785" s="11" t="n">
        <x:v>0</x:v>
      </x:c>
      <x:c r="M1785" s="9" t="n">
        <x:f>IF(D1785="Completed",I1785*J1785,0)</x:f>
        <x:v>249</x:v>
      </x:c>
      <x:c r="N1785" s="9" t="n">
        <x:f>M1785*K1785</x:f>
        <x:v>12.450000000000001</x:v>
      </x:c>
      <x:c r="O1785" s="9" t="n">
        <x:f>M1785-N1785</x:f>
        <x:v>236.55</x:v>
      </x:c>
      <x:c r="P1785" s="9" t="n">
        <x:f>IF(D1785="Completed",L1785*J1785*(1-K1785),0)</x:f>
        <x:v>0</x:v>
      </x:c>
      <x:c r="Q1785" s="9" t="n">
        <x:f>O1785-P1785</x:f>
        <x:v>236.55</x:v>
      </x:c>
      <x:c r="R1785" s="11" t="n">
        <x:f>IF(D1785="Completed",I1785,0)</x:f>
        <x:v>1</x:v>
      </x:c>
      <x:c r="S1785" s="11" t="n">
        <x:f>IF(D1785="Completed",L1785,0)</x:f>
        <x:v>0</x:v>
      </x:c>
      <x:c r="T1785" s="8" t="n">
        <x:f>DATE(YEAR(C1785),MONTH(C1785),1)</x:f>
        <x:v>45992</x:v>
      </x:c>
    </x:row>
    <x:row r="1786" ht="22" customHeight="1">
      <x:c r="A1786" s="2" t="str">
        <x:v>L001782</x:v>
      </x:c>
      <x:c r="B1786" s="2" t="str">
        <x:v>O00724</x:v>
      </x:c>
      <x:c r="C1786" s="7" t="n">
        <x:v>46008</x:v>
      </x:c>
      <x:c r="D1786" s="2" t="str">
        <x:v>Completed</x:v>
      </x:c>
      <x:c r="E1786" s="2" t="str">
        <x:v>North</x:v>
      </x:c>
      <x:c r="F1786" s="2" t="str">
        <x:v>Store</x:v>
      </x:c>
      <x:c r="G1786" s="2" t="str">
        <x:v>Furniture</x:v>
      </x:c>
      <x:c r="H1786" s="2" t="str">
        <x:v>Chair 014</x:v>
      </x:c>
      <x:c r="I1786" s="11" t="n">
        <x:v>4</x:v>
      </x:c>
      <x:c r="J1786" s="9" t="n">
        <x:v>294</x:v>
      </x:c>
      <x:c r="K1786" s="10" t="n">
        <x:v>0.1</x:v>
      </x:c>
      <x:c r="L1786" s="11" t="n">
        <x:v>0</x:v>
      </x:c>
      <x:c r="M1786" s="9" t="n">
        <x:f>IF(D1786="Completed",I1786*J1786,0)</x:f>
        <x:v>1176</x:v>
      </x:c>
      <x:c r="N1786" s="9" t="n">
        <x:f>M1786*K1786</x:f>
        <x:v>117.60000000000001</x:v>
      </x:c>
      <x:c r="O1786" s="9" t="n">
        <x:f>M1786-N1786</x:f>
        <x:v>1058.4</x:v>
      </x:c>
      <x:c r="P1786" s="9" t="n">
        <x:f>IF(D1786="Completed",L1786*J1786*(1-K1786),0)</x:f>
        <x:v>0</x:v>
      </x:c>
      <x:c r="Q1786" s="9" t="n">
        <x:f>O1786-P1786</x:f>
        <x:v>1058.4</x:v>
      </x:c>
      <x:c r="R1786" s="11" t="n">
        <x:f>IF(D1786="Completed",I1786,0)</x:f>
        <x:v>4</x:v>
      </x:c>
      <x:c r="S1786" s="11" t="n">
        <x:f>IF(D1786="Completed",L1786,0)</x:f>
        <x:v>0</x:v>
      </x:c>
      <x:c r="T1786" s="8" t="n">
        <x:f>DATE(YEAR(C1786),MONTH(C1786),1)</x:f>
        <x:v>45992</x:v>
      </x:c>
    </x:row>
    <x:row r="1787" ht="22" customHeight="1">
      <x:c r="A1787" s="2" t="str">
        <x:v>L001783</x:v>
      </x:c>
      <x:c r="B1787" s="2" t="str">
        <x:v>O00724</x:v>
      </x:c>
      <x:c r="C1787" s="7" t="n">
        <x:v>46008</x:v>
      </x:c>
      <x:c r="D1787" s="2" t="str">
        <x:v>Completed</x:v>
      </x:c>
      <x:c r="E1787" s="2" t="str">
        <x:v>North</x:v>
      </x:c>
      <x:c r="F1787" s="2" t="str">
        <x:v>Store</x:v>
      </x:c>
      <x:c r="G1787" s="2" t="str">
        <x:v>Furniture</x:v>
      </x:c>
      <x:c r="H1787" s="2" t="str">
        <x:v>Desk 024</x:v>
      </x:c>
      <x:c r="I1787" s="11" t="n">
        <x:v>4</x:v>
      </x:c>
      <x:c r="J1787" s="9" t="n">
        <x:v>81</x:v>
      </x:c>
      <x:c r="K1787" s="10" t="n">
        <x:v>0.05</x:v>
      </x:c>
      <x:c r="L1787" s="11" t="n">
        <x:v>0</x:v>
      </x:c>
      <x:c r="M1787" s="9" t="n">
        <x:f>IF(D1787="Completed",I1787*J1787,0)</x:f>
        <x:v>324</x:v>
      </x:c>
      <x:c r="N1787" s="9" t="n">
        <x:f>M1787*K1787</x:f>
        <x:v>16.2</x:v>
      </x:c>
      <x:c r="O1787" s="9" t="n">
        <x:f>M1787-N1787</x:f>
        <x:v>307.8</x:v>
      </x:c>
      <x:c r="P1787" s="9" t="n">
        <x:f>IF(D1787="Completed",L1787*J1787*(1-K1787),0)</x:f>
        <x:v>0</x:v>
      </x:c>
      <x:c r="Q1787" s="9" t="n">
        <x:f>O1787-P1787</x:f>
        <x:v>307.8</x:v>
      </x:c>
      <x:c r="R1787" s="11" t="n">
        <x:f>IF(D1787="Completed",I1787,0)</x:f>
        <x:v>4</x:v>
      </x:c>
      <x:c r="S1787" s="11" t="n">
        <x:f>IF(D1787="Completed",L1787,0)</x:f>
        <x:v>0</x:v>
      </x:c>
      <x:c r="T1787" s="8" t="n">
        <x:f>DATE(YEAR(C1787),MONTH(C1787),1)</x:f>
        <x:v>45992</x:v>
      </x:c>
    </x:row>
    <x:row r="1788" ht="22" customHeight="1">
      <x:c r="A1788" s="2" t="str">
        <x:v>L001784</x:v>
      </x:c>
      <x:c r="B1788" s="2" t="str">
        <x:v>O00724</x:v>
      </x:c>
      <x:c r="C1788" s="7" t="n">
        <x:v>46008</x:v>
      </x:c>
      <x:c r="D1788" s="2" t="str">
        <x:v>Completed</x:v>
      </x:c>
      <x:c r="E1788" s="2" t="str">
        <x:v>North</x:v>
      </x:c>
      <x:c r="F1788" s="2" t="str">
        <x:v>Store</x:v>
      </x:c>
      <x:c r="G1788" s="2" t="str">
        <x:v>Furniture</x:v>
      </x:c>
      <x:c r="H1788" s="2" t="str">
        <x:v>Chair 014</x:v>
      </x:c>
      <x:c r="I1788" s="11" t="n">
        <x:v>2</x:v>
      </x:c>
      <x:c r="J1788" s="9" t="n">
        <x:v>294</x:v>
      </x:c>
      <x:c r="K1788" s="10" t="n">
        <x:v>0</x:v>
      </x:c>
      <x:c r="L1788" s="11" t="n">
        <x:v>0</x:v>
      </x:c>
      <x:c r="M1788" s="9" t="n">
        <x:f>IF(D1788="Completed",I1788*J1788,0)</x:f>
        <x:v>588</x:v>
      </x:c>
      <x:c r="N1788" s="9" t="n">
        <x:f>M1788*K1788</x:f>
        <x:v>0</x:v>
      </x:c>
      <x:c r="O1788" s="9" t="n">
        <x:f>M1788-N1788</x:f>
        <x:v>588</x:v>
      </x:c>
      <x:c r="P1788" s="9" t="n">
        <x:f>IF(D1788="Completed",L1788*J1788*(1-K1788),0)</x:f>
        <x:v>0</x:v>
      </x:c>
      <x:c r="Q1788" s="9" t="n">
        <x:f>O1788-P1788</x:f>
        <x:v>588</x:v>
      </x:c>
      <x:c r="R1788" s="11" t="n">
        <x:f>IF(D1788="Completed",I1788,0)</x:f>
        <x:v>2</x:v>
      </x:c>
      <x:c r="S1788" s="11" t="n">
        <x:f>IF(D1788="Completed",L1788,0)</x:f>
        <x:v>0</x:v>
      </x:c>
      <x:c r="T1788" s="8" t="n">
        <x:f>DATE(YEAR(C1788),MONTH(C1788),1)</x:f>
        <x:v>45992</x:v>
      </x:c>
    </x:row>
    <x:row r="1789" ht="22" customHeight="1">
      <x:c r="A1789" s="2" t="str">
        <x:v>L001785</x:v>
      </x:c>
      <x:c r="B1789" s="2" t="str">
        <x:v>O00725</x:v>
      </x:c>
      <x:c r="C1789" s="7" t="n">
        <x:v>45991</x:v>
      </x:c>
      <x:c r="D1789" s="2" t="str">
        <x:v>Completed</x:v>
      </x:c>
      <x:c r="E1789" s="2" t="str">
        <x:v>West</x:v>
      </x:c>
      <x:c r="F1789" s="2" t="str">
        <x:v>Store</x:v>
      </x:c>
      <x:c r="G1789" s="2" t="str">
        <x:v>Furniture</x:v>
      </x:c>
      <x:c r="H1789" s="2" t="str">
        <x:v>Desk 008</x:v>
      </x:c>
      <x:c r="I1789" s="11" t="n">
        <x:v>1</x:v>
      </x:c>
      <x:c r="J1789" s="9" t="n">
        <x:v>188</x:v>
      </x:c>
      <x:c r="K1789" s="10" t="n">
        <x:v>0.1</x:v>
      </x:c>
      <x:c r="L1789" s="11" t="n">
        <x:v>0</x:v>
      </x:c>
      <x:c r="M1789" s="9" t="n">
        <x:f>IF(D1789="Completed",I1789*J1789,0)</x:f>
        <x:v>188</x:v>
      </x:c>
      <x:c r="N1789" s="9" t="n">
        <x:f>M1789*K1789</x:f>
        <x:v>18.8</x:v>
      </x:c>
      <x:c r="O1789" s="9" t="n">
        <x:f>M1789-N1789</x:f>
        <x:v>169.2</x:v>
      </x:c>
      <x:c r="P1789" s="9" t="n">
        <x:f>IF(D1789="Completed",L1789*J1789*(1-K1789),0)</x:f>
        <x:v>0</x:v>
      </x:c>
      <x:c r="Q1789" s="9" t="n">
        <x:f>O1789-P1789</x:f>
        <x:v>169.2</x:v>
      </x:c>
      <x:c r="R1789" s="11" t="n">
        <x:f>IF(D1789="Completed",I1789,0)</x:f>
        <x:v>1</x:v>
      </x:c>
      <x:c r="S1789" s="11" t="n">
        <x:f>IF(D1789="Completed",L1789,0)</x:f>
        <x:v>0</x:v>
      </x:c>
      <x:c r="T1789" s="8" t="n">
        <x:f>DATE(YEAR(C1789),MONTH(C1789),1)</x:f>
        <x:v>45962</x:v>
      </x:c>
    </x:row>
    <x:row r="1790" ht="22" customHeight="1">
      <x:c r="A1790" s="2" t="str">
        <x:v>L001786</x:v>
      </x:c>
      <x:c r="B1790" s="2" t="str">
        <x:v>O00726</x:v>
      </x:c>
      <x:c r="C1790" s="7" t="n">
        <x:v>45708</x:v>
      </x:c>
      <x:c r="D1790" s="2" t="str">
        <x:v>Completed</x:v>
      </x:c>
      <x:c r="E1790" s="2" t="str">
        <x:v>West</x:v>
      </x:c>
      <x:c r="F1790" s="2" t="str">
        <x:v>Store</x:v>
      </x:c>
      <x:c r="G1790" s="2" t="str">
        <x:v>Furniture</x:v>
      </x:c>
      <x:c r="H1790" s="2" t="str">
        <x:v>Desk 024</x:v>
      </x:c>
      <x:c r="I1790" s="11" t="n">
        <x:v>1</x:v>
      </x:c>
      <x:c r="J1790" s="9" t="n">
        <x:v>81</x:v>
      </x:c>
      <x:c r="K1790" s="10" t="n">
        <x:v>0.05</x:v>
      </x:c>
      <x:c r="L1790" s="11" t="n">
        <x:v>0</x:v>
      </x:c>
      <x:c r="M1790" s="9" t="n">
        <x:f>IF(D1790="Completed",I1790*J1790,0)</x:f>
        <x:v>81</x:v>
      </x:c>
      <x:c r="N1790" s="9" t="n">
        <x:f>M1790*K1790</x:f>
        <x:v>4.05</x:v>
      </x:c>
      <x:c r="O1790" s="9" t="n">
        <x:f>M1790-N1790</x:f>
        <x:v>76.95</x:v>
      </x:c>
      <x:c r="P1790" s="9" t="n">
        <x:f>IF(D1790="Completed",L1790*J1790*(1-K1790),0)</x:f>
        <x:v>0</x:v>
      </x:c>
      <x:c r="Q1790" s="9" t="n">
        <x:f>O1790-P1790</x:f>
        <x:v>76.95</x:v>
      </x:c>
      <x:c r="R1790" s="11" t="n">
        <x:f>IF(D1790="Completed",I1790,0)</x:f>
        <x:v>1</x:v>
      </x:c>
      <x:c r="S1790" s="11" t="n">
        <x:f>IF(D1790="Completed",L1790,0)</x:f>
        <x:v>0</x:v>
      </x:c>
      <x:c r="T1790" s="8" t="n">
        <x:f>DATE(YEAR(C1790),MONTH(C1790),1)</x:f>
        <x:v>45689</x:v>
      </x:c>
    </x:row>
    <x:row r="1791" ht="22" customHeight="1">
      <x:c r="A1791" s="2" t="str">
        <x:v>L001787</x:v>
      </x:c>
      <x:c r="B1791" s="2" t="str">
        <x:v>O00726</x:v>
      </x:c>
      <x:c r="C1791" s="7" t="n">
        <x:v>45708</x:v>
      </x:c>
      <x:c r="D1791" s="2" t="str">
        <x:v>Completed</x:v>
      </x:c>
      <x:c r="E1791" s="2" t="str">
        <x:v>West</x:v>
      </x:c>
      <x:c r="F1791" s="2" t="str">
        <x:v>Store</x:v>
      </x:c>
      <x:c r="G1791" s="2" t="str">
        <x:v>Furniture</x:v>
      </x:c>
      <x:c r="H1791" s="2" t="str">
        <x:v>Chair 014</x:v>
      </x:c>
      <x:c r="I1791" s="11" t="n">
        <x:v>1</x:v>
      </x:c>
      <x:c r="J1791" s="9" t="n">
        <x:v>294</x:v>
      </x:c>
      <x:c r="K1791" s="10" t="n">
        <x:v>0.1</x:v>
      </x:c>
      <x:c r="L1791" s="11" t="n">
        <x:v>0</x:v>
      </x:c>
      <x:c r="M1791" s="9" t="n">
        <x:f>IF(D1791="Completed",I1791*J1791,0)</x:f>
        <x:v>294</x:v>
      </x:c>
      <x:c r="N1791" s="9" t="n">
        <x:f>M1791*K1791</x:f>
        <x:v>29.400000000000002</x:v>
      </x:c>
      <x:c r="O1791" s="9" t="n">
        <x:f>M1791-N1791</x:f>
        <x:v>264.6</x:v>
      </x:c>
      <x:c r="P1791" s="9" t="n">
        <x:f>IF(D1791="Completed",L1791*J1791*(1-K1791),0)</x:f>
        <x:v>0</x:v>
      </x:c>
      <x:c r="Q1791" s="9" t="n">
        <x:f>O1791-P1791</x:f>
        <x:v>264.6</x:v>
      </x:c>
      <x:c r="R1791" s="11" t="n">
        <x:f>IF(D1791="Completed",I1791,0)</x:f>
        <x:v>1</x:v>
      </x:c>
      <x:c r="S1791" s="11" t="n">
        <x:f>IF(D1791="Completed",L1791,0)</x:f>
        <x:v>0</x:v>
      </x:c>
      <x:c r="T1791" s="8" t="n">
        <x:f>DATE(YEAR(C1791),MONTH(C1791),1)</x:f>
        <x:v>45689</x:v>
      </x:c>
    </x:row>
    <x:row r="1792" ht="22" customHeight="1">
      <x:c r="A1792" s="2" t="str">
        <x:v>L001788</x:v>
      </x:c>
      <x:c r="B1792" s="2" t="str">
        <x:v>O00727</x:v>
      </x:c>
      <x:c r="C1792" s="7" t="n">
        <x:v>45812</x:v>
      </x:c>
      <x:c r="D1792" s="2" t="str">
        <x:v>Completed</x:v>
      </x:c>
      <x:c r="E1792" s="2" t="str">
        <x:v>South</x:v>
      </x:c>
      <x:c r="F1792" s="2" t="str">
        <x:v>Store</x:v>
      </x:c>
      <x:c r="G1792" s="2" t="str">
        <x:v>Storage</x:v>
      </x:c>
      <x:c r="H1792" s="2" t="str">
        <x:v>Shelf 011</x:v>
      </x:c>
      <x:c r="I1792" s="11" t="n">
        <x:v>1</x:v>
      </x:c>
      <x:c r="J1792" s="9" t="n">
        <x:v>80</x:v>
      </x:c>
      <x:c r="K1792" s="10" t="n">
        <x:v>0.1</x:v>
      </x:c>
      <x:c r="L1792" s="11" t="n">
        <x:v>0</x:v>
      </x:c>
      <x:c r="M1792" s="9" t="n">
        <x:f>IF(D1792="Completed",I1792*J1792,0)</x:f>
        <x:v>80</x:v>
      </x:c>
      <x:c r="N1792" s="9" t="n">
        <x:f>M1792*K1792</x:f>
        <x:v>8</x:v>
      </x:c>
      <x:c r="O1792" s="9" t="n">
        <x:f>M1792-N1792</x:f>
        <x:v>72</x:v>
      </x:c>
      <x:c r="P1792" s="9" t="n">
        <x:f>IF(D1792="Completed",L1792*J1792*(1-K1792),0)</x:f>
        <x:v>0</x:v>
      </x:c>
      <x:c r="Q1792" s="9" t="n">
        <x:f>O1792-P1792</x:f>
        <x:v>72</x:v>
      </x:c>
      <x:c r="R1792" s="11" t="n">
        <x:f>IF(D1792="Completed",I1792,0)</x:f>
        <x:v>1</x:v>
      </x:c>
      <x:c r="S1792" s="11" t="n">
        <x:f>IF(D1792="Completed",L1792,0)</x:f>
        <x:v>0</x:v>
      </x:c>
      <x:c r="T1792" s="8" t="n">
        <x:f>DATE(YEAR(C1792),MONTH(C1792),1)</x:f>
        <x:v>45809</x:v>
      </x:c>
    </x:row>
    <x:row r="1793" ht="22" customHeight="1">
      <x:c r="A1793" s="2" t="str">
        <x:v>L001789</x:v>
      </x:c>
      <x:c r="B1793" s="2" t="str">
        <x:v>O00728</x:v>
      </x:c>
      <x:c r="C1793" s="7" t="n">
        <x:v>45783</x:v>
      </x:c>
      <x:c r="D1793" s="2" t="str">
        <x:v>Completed</x:v>
      </x:c>
      <x:c r="E1793" s="2" t="str">
        <x:v>South</x:v>
      </x:c>
      <x:c r="F1793" s="2" t="str">
        <x:v>Store</x:v>
      </x:c>
      <x:c r="G1793" s="2" t="str">
        <x:v>Furniture</x:v>
      </x:c>
      <x:c r="H1793" s="2" t="str">
        <x:v>Chair 006</x:v>
      </x:c>
      <x:c r="I1793" s="11" t="n">
        <x:v>2</x:v>
      </x:c>
      <x:c r="J1793" s="9" t="n">
        <x:v>196</x:v>
      </x:c>
      <x:c r="K1793" s="10" t="n">
        <x:v>0.05</x:v>
      </x:c>
      <x:c r="L1793" s="11" t="n">
        <x:v>0</x:v>
      </x:c>
      <x:c r="M1793" s="9" t="n">
        <x:f>IF(D1793="Completed",I1793*J1793,0)</x:f>
        <x:v>392</x:v>
      </x:c>
      <x:c r="N1793" s="9" t="n">
        <x:f>M1793*K1793</x:f>
        <x:v>19.6</x:v>
      </x:c>
      <x:c r="O1793" s="9" t="n">
        <x:f>M1793-N1793</x:f>
        <x:v>372.4</x:v>
      </x:c>
      <x:c r="P1793" s="9" t="n">
        <x:f>IF(D1793="Completed",L1793*J1793*(1-K1793),0)</x:f>
        <x:v>0</x:v>
      </x:c>
      <x:c r="Q1793" s="9" t="n">
        <x:f>O1793-P1793</x:f>
        <x:v>372.4</x:v>
      </x:c>
      <x:c r="R1793" s="11" t="n">
        <x:f>IF(D1793="Completed",I1793,0)</x:f>
        <x:v>2</x:v>
      </x:c>
      <x:c r="S1793" s="11" t="n">
        <x:f>IF(D1793="Completed",L1793,0)</x:f>
        <x:v>0</x:v>
      </x:c>
      <x:c r="T1793" s="8" t="n">
        <x:f>DATE(YEAR(C1793),MONTH(C1793),1)</x:f>
        <x:v>45778</x:v>
      </x:c>
    </x:row>
    <x:row r="1794" ht="22" customHeight="1">
      <x:c r="A1794" s="2" t="str">
        <x:v>L001790</x:v>
      </x:c>
      <x:c r="B1794" s="2" t="str">
        <x:v>O00728</x:v>
      </x:c>
      <x:c r="C1794" s="7" t="n">
        <x:v>45783</x:v>
      </x:c>
      <x:c r="D1794" s="2" t="str">
        <x:v>Completed</x:v>
      </x:c>
      <x:c r="E1794" s="2" t="str">
        <x:v>South</x:v>
      </x:c>
      <x:c r="F1794" s="2" t="str">
        <x:v>Store</x:v>
      </x:c>
      <x:c r="G1794" s="2" t="str">
        <x:v>Storage</x:v>
      </x:c>
      <x:c r="H1794" s="2" t="str">
        <x:v>Shelf 023</x:v>
      </x:c>
      <x:c r="I1794" s="11" t="n">
        <x:v>5</x:v>
      </x:c>
      <x:c r="J1794" s="9" t="n">
        <x:v>68</x:v>
      </x:c>
      <x:c r="K1794" s="10" t="n">
        <x:v>0.05</x:v>
      </x:c>
      <x:c r="L1794" s="11" t="n">
        <x:v>0</x:v>
      </x:c>
      <x:c r="M1794" s="9" t="n">
        <x:f>IF(D1794="Completed",I1794*J1794,0)</x:f>
        <x:v>340</x:v>
      </x:c>
      <x:c r="N1794" s="9" t="n">
        <x:f>M1794*K1794</x:f>
        <x:v>17</x:v>
      </x:c>
      <x:c r="O1794" s="9" t="n">
        <x:f>M1794-N1794</x:f>
        <x:v>323</x:v>
      </x:c>
      <x:c r="P1794" s="9" t="n">
        <x:f>IF(D1794="Completed",L1794*J1794*(1-K1794),0)</x:f>
        <x:v>0</x:v>
      </x:c>
      <x:c r="Q1794" s="9" t="n">
        <x:f>O1794-P1794</x:f>
        <x:v>323</x:v>
      </x:c>
      <x:c r="R1794" s="11" t="n">
        <x:f>IF(D1794="Completed",I1794,0)</x:f>
        <x:v>5</x:v>
      </x:c>
      <x:c r="S1794" s="11" t="n">
        <x:f>IF(D1794="Completed",L1794,0)</x:f>
        <x:v>0</x:v>
      </x:c>
      <x:c r="T1794" s="8" t="n">
        <x:f>DATE(YEAR(C1794),MONTH(C1794),1)</x:f>
        <x:v>45778</x:v>
      </x:c>
    </x:row>
    <x:row r="1795" ht="22" customHeight="1">
      <x:c r="A1795" s="2" t="str">
        <x:v>L001791</x:v>
      </x:c>
      <x:c r="B1795" s="2" t="str">
        <x:v>O00728</x:v>
      </x:c>
      <x:c r="C1795" s="7" t="n">
        <x:v>45783</x:v>
      </x:c>
      <x:c r="D1795" s="2" t="str">
        <x:v>Completed</x:v>
      </x:c>
      <x:c r="E1795" s="2" t="str">
        <x:v>South</x:v>
      </x:c>
      <x:c r="F1795" s="2" t="str">
        <x:v>Store</x:v>
      </x:c>
      <x:c r="G1795" s="2" t="str">
        <x:v>Furniture</x:v>
      </x:c>
      <x:c r="H1795" s="2" t="str">
        <x:v>Chair 014</x:v>
      </x:c>
      <x:c r="I1795" s="11" t="n">
        <x:v>5</x:v>
      </x:c>
      <x:c r="J1795" s="9" t="n">
        <x:v>294</x:v>
      </x:c>
      <x:c r="K1795" s="10" t="n">
        <x:v>0.1</x:v>
      </x:c>
      <x:c r="L1795" s="11" t="n">
        <x:v>0</x:v>
      </x:c>
      <x:c r="M1795" s="9" t="n">
        <x:f>IF(D1795="Completed",I1795*J1795,0)</x:f>
        <x:v>1470</x:v>
      </x:c>
      <x:c r="N1795" s="9" t="n">
        <x:f>M1795*K1795</x:f>
        <x:v>147</x:v>
      </x:c>
      <x:c r="O1795" s="9" t="n">
        <x:f>M1795-N1795</x:f>
        <x:v>1323</x:v>
      </x:c>
      <x:c r="P1795" s="9" t="n">
        <x:f>IF(D1795="Completed",L1795*J1795*(1-K1795),0)</x:f>
        <x:v>0</x:v>
      </x:c>
      <x:c r="Q1795" s="9" t="n">
        <x:f>O1795-P1795</x:f>
        <x:v>1323</x:v>
      </x:c>
      <x:c r="R1795" s="11" t="n">
        <x:f>IF(D1795="Completed",I1795,0)</x:f>
        <x:v>5</x:v>
      </x:c>
      <x:c r="S1795" s="11" t="n">
        <x:f>IF(D1795="Completed",L1795,0)</x:f>
        <x:v>0</x:v>
      </x:c>
      <x:c r="T1795" s="8" t="n">
        <x:f>DATE(YEAR(C1795),MONTH(C1795),1)</x:f>
        <x:v>45778</x:v>
      </x:c>
    </x:row>
    <x:row r="1796" ht="22" customHeight="1">
      <x:c r="A1796" s="2" t="str">
        <x:v>L001792</x:v>
      </x:c>
      <x:c r="B1796" s="2" t="str">
        <x:v>O00729</x:v>
      </x:c>
      <x:c r="C1796" s="7" t="n">
        <x:v>45908</x:v>
      </x:c>
      <x:c r="D1796" s="2" t="str">
        <x:v>Completed</x:v>
      </x:c>
      <x:c r="E1796" s="2" t="str">
        <x:v>South</x:v>
      </x:c>
      <x:c r="F1796" s="2" t="str">
        <x:v>Store</x:v>
      </x:c>
      <x:c r="G1796" s="2" t="str">
        <x:v>Storage</x:v>
      </x:c>
      <x:c r="H1796" s="2" t="str">
        <x:v>Shelf 019</x:v>
      </x:c>
      <x:c r="I1796" s="11" t="n">
        <x:v>3</x:v>
      </x:c>
      <x:c r="J1796" s="9" t="n">
        <x:v>78</x:v>
      </x:c>
      <x:c r="K1796" s="10" t="n">
        <x:v>0.05</x:v>
      </x:c>
      <x:c r="L1796" s="11" t="n">
        <x:v>0</x:v>
      </x:c>
      <x:c r="M1796" s="9" t="n">
        <x:f>IF(D1796="Completed",I1796*J1796,0)</x:f>
        <x:v>234</x:v>
      </x:c>
      <x:c r="N1796" s="9" t="n">
        <x:f>M1796*K1796</x:f>
        <x:v>11.700000000000001</x:v>
      </x:c>
      <x:c r="O1796" s="9" t="n">
        <x:f>M1796-N1796</x:f>
        <x:v>222.3</x:v>
      </x:c>
      <x:c r="P1796" s="9" t="n">
        <x:f>IF(D1796="Completed",L1796*J1796*(1-K1796),0)</x:f>
        <x:v>0</x:v>
      </x:c>
      <x:c r="Q1796" s="9" t="n">
        <x:f>O1796-P1796</x:f>
        <x:v>222.3</x:v>
      </x:c>
      <x:c r="R1796" s="11" t="n">
        <x:f>IF(D1796="Completed",I1796,0)</x:f>
        <x:v>3</x:v>
      </x:c>
      <x:c r="S1796" s="11" t="n">
        <x:f>IF(D1796="Completed",L1796,0)</x:f>
        <x:v>0</x:v>
      </x:c>
      <x:c r="T1796" s="8" t="n">
        <x:f>DATE(YEAR(C1796),MONTH(C1796),1)</x:f>
        <x:v>45901</x:v>
      </x:c>
    </x:row>
    <x:row r="1797" ht="22" customHeight="1">
      <x:c r="A1797" s="2" t="str">
        <x:v>L001793</x:v>
      </x:c>
      <x:c r="B1797" s="2" t="str">
        <x:v>O00730</x:v>
      </x:c>
      <x:c r="C1797" s="7" t="n">
        <x:v>45674</x:v>
      </x:c>
      <x:c r="D1797" s="2" t="str">
        <x:v>Completed</x:v>
      </x:c>
      <x:c r="E1797" s="2" t="str">
        <x:v>North</x:v>
      </x:c>
      <x:c r="F1797" s="2" t="str">
        <x:v>Store</x:v>
      </x:c>
      <x:c r="G1797" s="2" t="str">
        <x:v>Furniture</x:v>
      </x:c>
      <x:c r="H1797" s="2" t="str">
        <x:v>Chair 010</x:v>
      </x:c>
      <x:c r="I1797" s="11" t="n">
        <x:v>5</x:v>
      </x:c>
      <x:c r="J1797" s="9" t="n">
        <x:v>211</x:v>
      </x:c>
      <x:c r="K1797" s="10" t="n">
        <x:v>0</x:v>
      </x:c>
      <x:c r="L1797" s="11" t="n">
        <x:v>2</x:v>
      </x:c>
      <x:c r="M1797" s="9" t="n">
        <x:f>IF(D1797="Completed",I1797*J1797,0)</x:f>
        <x:v>1055</x:v>
      </x:c>
      <x:c r="N1797" s="9" t="n">
        <x:f>M1797*K1797</x:f>
        <x:v>0</x:v>
      </x:c>
      <x:c r="O1797" s="9" t="n">
        <x:f>M1797-N1797</x:f>
        <x:v>1055</x:v>
      </x:c>
      <x:c r="P1797" s="9" t="n">
        <x:f>IF(D1797="Completed",L1797*J1797*(1-K1797),0)</x:f>
        <x:v>422</x:v>
      </x:c>
      <x:c r="Q1797" s="9" t="n">
        <x:f>O1797-P1797</x:f>
        <x:v>633</x:v>
      </x:c>
      <x:c r="R1797" s="11" t="n">
        <x:f>IF(D1797="Completed",I1797,0)</x:f>
        <x:v>5</x:v>
      </x:c>
      <x:c r="S1797" s="11" t="n">
        <x:f>IF(D1797="Completed",L1797,0)</x:f>
        <x:v>2</x:v>
      </x:c>
      <x:c r="T1797" s="8" t="n">
        <x:f>DATE(YEAR(C1797),MONTH(C1797),1)</x:f>
        <x:v>45658</x:v>
      </x:c>
    </x:row>
    <x:row r="1798" ht="22" customHeight="1">
      <x:c r="A1798" s="2" t="str">
        <x:v>L001794</x:v>
      </x:c>
      <x:c r="B1798" s="2" t="str">
        <x:v>O00730</x:v>
      </x:c>
      <x:c r="C1798" s="7" t="n">
        <x:v>45674</x:v>
      </x:c>
      <x:c r="D1798" s="2" t="str">
        <x:v>Completed</x:v>
      </x:c>
      <x:c r="E1798" s="2" t="str">
        <x:v>North</x:v>
      </x:c>
      <x:c r="F1798" s="2" t="str">
        <x:v>Store</x:v>
      </x:c>
      <x:c r="G1798" s="2" t="str">
        <x:v>Furniture</x:v>
      </x:c>
      <x:c r="H1798" s="2" t="str">
        <x:v>Desk 020</x:v>
      </x:c>
      <x:c r="I1798" s="11" t="n">
        <x:v>4</x:v>
      </x:c>
      <x:c r="J1798" s="9" t="n">
        <x:v>189</x:v>
      </x:c>
      <x:c r="K1798" s="10" t="n">
        <x:v>0.1</x:v>
      </x:c>
      <x:c r="L1798" s="11" t="n">
        <x:v>0</x:v>
      </x:c>
      <x:c r="M1798" s="9" t="n">
        <x:f>IF(D1798="Completed",I1798*J1798,0)</x:f>
        <x:v>756</x:v>
      </x:c>
      <x:c r="N1798" s="9" t="n">
        <x:f>M1798*K1798</x:f>
        <x:v>75.60000000000001</x:v>
      </x:c>
      <x:c r="O1798" s="9" t="n">
        <x:f>M1798-N1798</x:f>
        <x:v>680.4</x:v>
      </x:c>
      <x:c r="P1798" s="9" t="n">
        <x:f>IF(D1798="Completed",L1798*J1798*(1-K1798),0)</x:f>
        <x:v>0</x:v>
      </x:c>
      <x:c r="Q1798" s="9" t="n">
        <x:f>O1798-P1798</x:f>
        <x:v>680.4</x:v>
      </x:c>
      <x:c r="R1798" s="11" t="n">
        <x:f>IF(D1798="Completed",I1798,0)</x:f>
        <x:v>4</x:v>
      </x:c>
      <x:c r="S1798" s="11" t="n">
        <x:f>IF(D1798="Completed",L1798,0)</x:f>
        <x:v>0</x:v>
      </x:c>
      <x:c r="T1798" s="8" t="n">
        <x:f>DATE(YEAR(C1798),MONTH(C1798),1)</x:f>
        <x:v>45658</x:v>
      </x:c>
    </x:row>
    <x:row r="1799" ht="22" customHeight="1">
      <x:c r="A1799" s="2" t="str">
        <x:v>L001795</x:v>
      </x:c>
      <x:c r="B1799" s="2" t="str">
        <x:v>O00730</x:v>
      </x:c>
      <x:c r="C1799" s="7" t="n">
        <x:v>45674</x:v>
      </x:c>
      <x:c r="D1799" s="2" t="str">
        <x:v>Completed</x:v>
      </x:c>
      <x:c r="E1799" s="2" t="str">
        <x:v>North</x:v>
      </x:c>
      <x:c r="F1799" s="2" t="str">
        <x:v>Store</x:v>
      </x:c>
      <x:c r="G1799" s="2" t="str">
        <x:v>Furniture</x:v>
      </x:c>
      <x:c r="H1799" s="2" t="str">
        <x:v>Desk 008</x:v>
      </x:c>
      <x:c r="I1799" s="11" t="n">
        <x:v>2</x:v>
      </x:c>
      <x:c r="J1799" s="9" t="n">
        <x:v>188</x:v>
      </x:c>
      <x:c r="K1799" s="10" t="n">
        <x:v>0.2</x:v>
      </x:c>
      <x:c r="L1799" s="11" t="n">
        <x:v>1</x:v>
      </x:c>
      <x:c r="M1799" s="9" t="n">
        <x:f>IF(D1799="Completed",I1799*J1799,0)</x:f>
        <x:v>376</x:v>
      </x:c>
      <x:c r="N1799" s="9" t="n">
        <x:f>M1799*K1799</x:f>
        <x:v>75.2</x:v>
      </x:c>
      <x:c r="O1799" s="9" t="n">
        <x:f>M1799-N1799</x:f>
        <x:v>300.8</x:v>
      </x:c>
      <x:c r="P1799" s="9" t="n">
        <x:f>IF(D1799="Completed",L1799*J1799*(1-K1799),0)</x:f>
        <x:v>150.4</x:v>
      </x:c>
      <x:c r="Q1799" s="9" t="n">
        <x:f>O1799-P1799</x:f>
        <x:v>150.4</x:v>
      </x:c>
      <x:c r="R1799" s="11" t="n">
        <x:f>IF(D1799="Completed",I1799,0)</x:f>
        <x:v>2</x:v>
      </x:c>
      <x:c r="S1799" s="11" t="n">
        <x:f>IF(D1799="Completed",L1799,0)</x:f>
        <x:v>1</x:v>
      </x:c>
      <x:c r="T1799" s="8" t="n">
        <x:f>DATE(YEAR(C1799),MONTH(C1799),1)</x:f>
        <x:v>45658</x:v>
      </x:c>
    </x:row>
    <x:row r="1800" ht="22" customHeight="1">
      <x:c r="A1800" s="2" t="str">
        <x:v>L001796</x:v>
      </x:c>
      <x:c r="B1800" s="2" t="str">
        <x:v>O00730</x:v>
      </x:c>
      <x:c r="C1800" s="7" t="n">
        <x:v>45674</x:v>
      </x:c>
      <x:c r="D1800" s="2" t="str">
        <x:v>Completed</x:v>
      </x:c>
      <x:c r="E1800" s="2" t="str">
        <x:v>North</x:v>
      </x:c>
      <x:c r="F1800" s="2" t="str">
        <x:v>Store</x:v>
      </x:c>
      <x:c r="G1800" s="2" t="str">
        <x:v>Lighting</x:v>
      </x:c>
      <x:c r="H1800" s="2" t="str">
        <x:v>Lamp 021</x:v>
      </x:c>
      <x:c r="I1800" s="11" t="n">
        <x:v>4</x:v>
      </x:c>
      <x:c r="J1800" s="9" t="n">
        <x:v>249</x:v>
      </x:c>
      <x:c r="K1800" s="10" t="n">
        <x:v>0.2</x:v>
      </x:c>
      <x:c r="L1800" s="11" t="n">
        <x:v>0</x:v>
      </x:c>
      <x:c r="M1800" s="9" t="n">
        <x:f>IF(D1800="Completed",I1800*J1800,0)</x:f>
        <x:v>996</x:v>
      </x:c>
      <x:c r="N1800" s="9" t="n">
        <x:f>M1800*K1800</x:f>
        <x:v>199.20000000000002</x:v>
      </x:c>
      <x:c r="O1800" s="9" t="n">
        <x:f>M1800-N1800</x:f>
        <x:v>796.8</x:v>
      </x:c>
      <x:c r="P1800" s="9" t="n">
        <x:f>IF(D1800="Completed",L1800*J1800*(1-K1800),0)</x:f>
        <x:v>0</x:v>
      </x:c>
      <x:c r="Q1800" s="9" t="n">
        <x:f>O1800-P1800</x:f>
        <x:v>796.8</x:v>
      </x:c>
      <x:c r="R1800" s="11" t="n">
        <x:f>IF(D1800="Completed",I1800,0)</x:f>
        <x:v>4</x:v>
      </x:c>
      <x:c r="S1800" s="11" t="n">
        <x:f>IF(D1800="Completed",L1800,0)</x:f>
        <x:v>0</x:v>
      </x:c>
      <x:c r="T1800" s="8" t="n">
        <x:f>DATE(YEAR(C1800),MONTH(C1800),1)</x:f>
        <x:v>45658</x:v>
      </x:c>
    </x:row>
    <x:row r="1801" ht="22" customHeight="1">
      <x:c r="A1801" s="2" t="str">
        <x:v>L001797</x:v>
      </x:c>
      <x:c r="B1801" s="2" t="str">
        <x:v>O00731</x:v>
      </x:c>
      <x:c r="C1801" s="7" t="n">
        <x:v>45859</x:v>
      </x:c>
      <x:c r="D1801" s="2" t="str">
        <x:v>Completed</x:v>
      </x:c>
      <x:c r="E1801" s="2" t="str">
        <x:v>West</x:v>
      </x:c>
      <x:c r="F1801" s="2" t="str">
        <x:v>Store</x:v>
      </x:c>
      <x:c r="G1801" s="2" t="str">
        <x:v>Furniture</x:v>
      </x:c>
      <x:c r="H1801" s="2" t="str">
        <x:v>Desk 008</x:v>
      </x:c>
      <x:c r="I1801" s="11" t="n">
        <x:v>1</x:v>
      </x:c>
      <x:c r="J1801" s="9" t="n">
        <x:v>188</x:v>
      </x:c>
      <x:c r="K1801" s="10" t="n">
        <x:v>0.2</x:v>
      </x:c>
      <x:c r="L1801" s="11" t="n">
        <x:v>0</x:v>
      </x:c>
      <x:c r="M1801" s="9" t="n">
        <x:f>IF(D1801="Completed",I1801*J1801,0)</x:f>
        <x:v>188</x:v>
      </x:c>
      <x:c r="N1801" s="9" t="n">
        <x:f>M1801*K1801</x:f>
        <x:v>37.6</x:v>
      </x:c>
      <x:c r="O1801" s="9" t="n">
        <x:f>M1801-N1801</x:f>
        <x:v>150.4</x:v>
      </x:c>
      <x:c r="P1801" s="9" t="n">
        <x:f>IF(D1801="Completed",L1801*J1801*(1-K1801),0)</x:f>
        <x:v>0</x:v>
      </x:c>
      <x:c r="Q1801" s="9" t="n">
        <x:f>O1801-P1801</x:f>
        <x:v>150.4</x:v>
      </x:c>
      <x:c r="R1801" s="11" t="n">
        <x:f>IF(D1801="Completed",I1801,0)</x:f>
        <x:v>1</x:v>
      </x:c>
      <x:c r="S1801" s="11" t="n">
        <x:f>IF(D1801="Completed",L1801,0)</x:f>
        <x:v>0</x:v>
      </x:c>
      <x:c r="T1801" s="8" t="n">
        <x:f>DATE(YEAR(C1801),MONTH(C1801),1)</x:f>
        <x:v>45839</x:v>
      </x:c>
    </x:row>
    <x:row r="1802" ht="22" customHeight="1">
      <x:c r="A1802" s="2" t="str">
        <x:v>L001798</x:v>
      </x:c>
      <x:c r="B1802" s="2" t="str">
        <x:v>O00731</x:v>
      </x:c>
      <x:c r="C1802" s="7" t="n">
        <x:v>45859</x:v>
      </x:c>
      <x:c r="D1802" s="2" t="str">
        <x:v>Completed</x:v>
      </x:c>
      <x:c r="E1802" s="2" t="str">
        <x:v>West</x:v>
      </x:c>
      <x:c r="F1802" s="2" t="str">
        <x:v>Store</x:v>
      </x:c>
      <x:c r="G1802" s="2" t="str">
        <x:v>Lighting</x:v>
      </x:c>
      <x:c r="H1802" s="2" t="str">
        <x:v>Lamp 009</x:v>
      </x:c>
      <x:c r="I1802" s="11" t="n">
        <x:v>1</x:v>
      </x:c>
      <x:c r="J1802" s="9" t="n">
        <x:v>93</x:v>
      </x:c>
      <x:c r="K1802" s="10" t="n">
        <x:v>0</x:v>
      </x:c>
      <x:c r="L1802" s="11" t="n">
        <x:v>0</x:v>
      </x:c>
      <x:c r="M1802" s="9" t="n">
        <x:f>IF(D1802="Completed",I1802*J1802,0)</x:f>
        <x:v>93</x:v>
      </x:c>
      <x:c r="N1802" s="9" t="n">
        <x:f>M1802*K1802</x:f>
        <x:v>0</x:v>
      </x:c>
      <x:c r="O1802" s="9" t="n">
        <x:f>M1802-N1802</x:f>
        <x:v>93</x:v>
      </x:c>
      <x:c r="P1802" s="9" t="n">
        <x:f>IF(D1802="Completed",L1802*J1802*(1-K1802),0)</x:f>
        <x:v>0</x:v>
      </x:c>
      <x:c r="Q1802" s="9" t="n">
        <x:f>O1802-P1802</x:f>
        <x:v>93</x:v>
      </x:c>
      <x:c r="R1802" s="11" t="n">
        <x:f>IF(D1802="Completed",I1802,0)</x:f>
        <x:v>1</x:v>
      </x:c>
      <x:c r="S1802" s="11" t="n">
        <x:f>IF(D1802="Completed",L1802,0)</x:f>
        <x:v>0</x:v>
      </x:c>
      <x:c r="T1802" s="8" t="n">
        <x:f>DATE(YEAR(C1802),MONTH(C1802),1)</x:f>
        <x:v>45839</x:v>
      </x:c>
    </x:row>
    <x:row r="1803" ht="22" customHeight="1">
      <x:c r="A1803" s="2" t="str">
        <x:v>L001799</x:v>
      </x:c>
      <x:c r="B1803" s="2" t="str">
        <x:v>O00732</x:v>
      </x:c>
      <x:c r="C1803" s="7" t="n">
        <x:v>45931</x:v>
      </x:c>
      <x:c r="D1803" s="2" t="str">
        <x:v>Completed</x:v>
      </x:c>
      <x:c r="E1803" s="2" t="str">
        <x:v>North</x:v>
      </x:c>
      <x:c r="F1803" s="2" t="str">
        <x:v>Store</x:v>
      </x:c>
      <x:c r="G1803" s="2" t="str">
        <x:v>Storage</x:v>
      </x:c>
      <x:c r="H1803" s="2" t="str">
        <x:v>Shelf 003</x:v>
      </x:c>
      <x:c r="I1803" s="11" t="n">
        <x:v>5</x:v>
      </x:c>
      <x:c r="J1803" s="9" t="n">
        <x:v>199</x:v>
      </x:c>
      <x:c r="K1803" s="10" t="n">
        <x:v>0.2</x:v>
      </x:c>
      <x:c r="L1803" s="11" t="n">
        <x:v>0</x:v>
      </x:c>
      <x:c r="M1803" s="9" t="n">
        <x:f>IF(D1803="Completed",I1803*J1803,0)</x:f>
        <x:v>995</x:v>
      </x:c>
      <x:c r="N1803" s="9" t="n">
        <x:f>M1803*K1803</x:f>
        <x:v>199</x:v>
      </x:c>
      <x:c r="O1803" s="9" t="n">
        <x:f>M1803-N1803</x:f>
        <x:v>796</x:v>
      </x:c>
      <x:c r="P1803" s="9" t="n">
        <x:f>IF(D1803="Completed",L1803*J1803*(1-K1803),0)</x:f>
        <x:v>0</x:v>
      </x:c>
      <x:c r="Q1803" s="9" t="n">
        <x:f>O1803-P1803</x:f>
        <x:v>796</x:v>
      </x:c>
      <x:c r="R1803" s="11" t="n">
        <x:f>IF(D1803="Completed",I1803,0)</x:f>
        <x:v>5</x:v>
      </x:c>
      <x:c r="S1803" s="11" t="n">
        <x:f>IF(D1803="Completed",L1803,0)</x:f>
        <x:v>0</x:v>
      </x:c>
      <x:c r="T1803" s="8" t="n">
        <x:f>DATE(YEAR(C1803),MONTH(C1803),1)</x:f>
        <x:v>45931</x:v>
      </x:c>
    </x:row>
    <x:row r="1804" ht="22" customHeight="1">
      <x:c r="A1804" s="2" t="str">
        <x:v>L001800</x:v>
      </x:c>
      <x:c r="B1804" s="2" t="str">
        <x:v>O00732</x:v>
      </x:c>
      <x:c r="C1804" s="7" t="n">
        <x:v>45931</x:v>
      </x:c>
      <x:c r="D1804" s="2" t="str">
        <x:v>Completed</x:v>
      </x:c>
      <x:c r="E1804" s="2" t="str">
        <x:v>North</x:v>
      </x:c>
      <x:c r="F1804" s="2" t="str">
        <x:v>Store</x:v>
      </x:c>
      <x:c r="G1804" s="2" t="str">
        <x:v>Furniture</x:v>
      </x:c>
      <x:c r="H1804" s="2" t="str">
        <x:v>Chair 006</x:v>
      </x:c>
      <x:c r="I1804" s="11" t="n">
        <x:v>3</x:v>
      </x:c>
      <x:c r="J1804" s="9" t="n">
        <x:v>196</x:v>
      </x:c>
      <x:c r="K1804" s="10" t="n">
        <x:v>0.1</x:v>
      </x:c>
      <x:c r="L1804" s="11" t="n">
        <x:v>0</x:v>
      </x:c>
      <x:c r="M1804" s="9" t="n">
        <x:f>IF(D1804="Completed",I1804*J1804,0)</x:f>
        <x:v>588</x:v>
      </x:c>
      <x:c r="N1804" s="9" t="n">
        <x:f>M1804*K1804</x:f>
        <x:v>58.800000000000004</x:v>
      </x:c>
      <x:c r="O1804" s="9" t="n">
        <x:f>M1804-N1804</x:f>
        <x:v>529.2</x:v>
      </x:c>
      <x:c r="P1804" s="9" t="n">
        <x:f>IF(D1804="Completed",L1804*J1804*(1-K1804),0)</x:f>
        <x:v>0</x:v>
      </x:c>
      <x:c r="Q1804" s="9" t="n">
        <x:f>O1804-P1804</x:f>
        <x:v>529.2</x:v>
      </x:c>
      <x:c r="R1804" s="11" t="n">
        <x:f>IF(D1804="Completed",I1804,0)</x:f>
        <x:v>3</x:v>
      </x:c>
      <x:c r="S1804" s="11" t="n">
        <x:f>IF(D1804="Completed",L1804,0)</x:f>
        <x:v>0</x:v>
      </x:c>
      <x:c r="T1804" s="8" t="n">
        <x:f>DATE(YEAR(C1804),MONTH(C1804),1)</x:f>
        <x:v>45931</x:v>
      </x:c>
    </x:row>
    <x:row r="1805" ht="22" customHeight="1">
      <x:c r="A1805" s="2" t="str">
        <x:v>L001801</x:v>
      </x:c>
      <x:c r="B1805" s="2" t="str">
        <x:v>O00732</x:v>
      </x:c>
      <x:c r="C1805" s="7" t="n">
        <x:v>45931</x:v>
      </x:c>
      <x:c r="D1805" s="2" t="str">
        <x:v>Completed</x:v>
      </x:c>
      <x:c r="E1805" s="2" t="str">
        <x:v>North</x:v>
      </x:c>
      <x:c r="F1805" s="2" t="str">
        <x:v>Store</x:v>
      </x:c>
      <x:c r="G1805" s="2" t="str">
        <x:v>Furniture</x:v>
      </x:c>
      <x:c r="H1805" s="2" t="str">
        <x:v>Desk 008</x:v>
      </x:c>
      <x:c r="I1805" s="11" t="n">
        <x:v>1</x:v>
      </x:c>
      <x:c r="J1805" s="9" t="n">
        <x:v>188</x:v>
      </x:c>
      <x:c r="K1805" s="10" t="n">
        <x:v>0.2</x:v>
      </x:c>
      <x:c r="L1805" s="11" t="n">
        <x:v>0</x:v>
      </x:c>
      <x:c r="M1805" s="9" t="n">
        <x:f>IF(D1805="Completed",I1805*J1805,0)</x:f>
        <x:v>188</x:v>
      </x:c>
      <x:c r="N1805" s="9" t="n">
        <x:f>M1805*K1805</x:f>
        <x:v>37.6</x:v>
      </x:c>
      <x:c r="O1805" s="9" t="n">
        <x:f>M1805-N1805</x:f>
        <x:v>150.4</x:v>
      </x:c>
      <x:c r="P1805" s="9" t="n">
        <x:f>IF(D1805="Completed",L1805*J1805*(1-K1805),0)</x:f>
        <x:v>0</x:v>
      </x:c>
      <x:c r="Q1805" s="9" t="n">
        <x:f>O1805-P1805</x:f>
        <x:v>150.4</x:v>
      </x:c>
      <x:c r="R1805" s="11" t="n">
        <x:f>IF(D1805="Completed",I1805,0)</x:f>
        <x:v>1</x:v>
      </x:c>
      <x:c r="S1805" s="11" t="n">
        <x:f>IF(D1805="Completed",L1805,0)</x:f>
        <x:v>0</x:v>
      </x:c>
      <x:c r="T1805" s="8" t="n">
        <x:f>DATE(YEAR(C1805),MONTH(C1805),1)</x:f>
        <x:v>45931</x:v>
      </x:c>
    </x:row>
    <x:row r="1806" ht="22" customHeight="1">
      <x:c r="A1806" s="2" t="str">
        <x:v>L001802</x:v>
      </x:c>
      <x:c r="B1806" s="2" t="str">
        <x:v>O00733</x:v>
      </x:c>
      <x:c r="C1806" s="7" t="n">
        <x:v>45947</x:v>
      </x:c>
      <x:c r="D1806" s="2" t="str">
        <x:v>Completed</x:v>
      </x:c>
      <x:c r="E1806" s="2" t="str">
        <x:v>South</x:v>
      </x:c>
      <x:c r="F1806" s="2" t="str">
        <x:v>Store</x:v>
      </x:c>
      <x:c r="G1806" s="2" t="str">
        <x:v>Furniture</x:v>
      </x:c>
      <x:c r="H1806" s="2" t="str">
        <x:v>Desk 004</x:v>
      </x:c>
      <x:c r="I1806" s="11" t="n">
        <x:v>5</x:v>
      </x:c>
      <x:c r="J1806" s="9" t="n">
        <x:v>123</x:v>
      </x:c>
      <x:c r="K1806" s="10" t="n">
        <x:v>0</x:v>
      </x:c>
      <x:c r="L1806" s="11" t="n">
        <x:v>0</x:v>
      </x:c>
      <x:c r="M1806" s="9" t="n">
        <x:f>IF(D1806="Completed",I1806*J1806,0)</x:f>
        <x:v>615</x:v>
      </x:c>
      <x:c r="N1806" s="9" t="n">
        <x:f>M1806*K1806</x:f>
        <x:v>0</x:v>
      </x:c>
      <x:c r="O1806" s="9" t="n">
        <x:f>M1806-N1806</x:f>
        <x:v>615</x:v>
      </x:c>
      <x:c r="P1806" s="9" t="n">
        <x:f>IF(D1806="Completed",L1806*J1806*(1-K1806),0)</x:f>
        <x:v>0</x:v>
      </x:c>
      <x:c r="Q1806" s="9" t="n">
        <x:f>O1806-P1806</x:f>
        <x:v>615</x:v>
      </x:c>
      <x:c r="R1806" s="11" t="n">
        <x:f>IF(D1806="Completed",I1806,0)</x:f>
        <x:v>5</x:v>
      </x:c>
      <x:c r="S1806" s="11" t="n">
        <x:f>IF(D1806="Completed",L1806,0)</x:f>
        <x:v>0</x:v>
      </x:c>
      <x:c r="T1806" s="8" t="n">
        <x:f>DATE(YEAR(C1806),MONTH(C1806),1)</x:f>
        <x:v>45931</x:v>
      </x:c>
    </x:row>
    <x:row r="1807" ht="22" customHeight="1">
      <x:c r="A1807" s="2" t="str">
        <x:v>L001803</x:v>
      </x:c>
      <x:c r="B1807" s="2" t="str">
        <x:v>O00733</x:v>
      </x:c>
      <x:c r="C1807" s="7" t="n">
        <x:v>45947</x:v>
      </x:c>
      <x:c r="D1807" s="2" t="str">
        <x:v>Completed</x:v>
      </x:c>
      <x:c r="E1807" s="2" t="str">
        <x:v>South</x:v>
      </x:c>
      <x:c r="F1807" s="2" t="str">
        <x:v>Store</x:v>
      </x:c>
      <x:c r="G1807" s="2" t="str">
        <x:v>Lighting</x:v>
      </x:c>
      <x:c r="H1807" s="2" t="str">
        <x:v>Lamp 005</x:v>
      </x:c>
      <x:c r="I1807" s="11" t="n">
        <x:v>3</x:v>
      </x:c>
      <x:c r="J1807" s="9" t="n">
        <x:v>65</x:v>
      </x:c>
      <x:c r="K1807" s="10" t="n">
        <x:v>0</x:v>
      </x:c>
      <x:c r="L1807" s="11" t="n">
        <x:v>0</x:v>
      </x:c>
      <x:c r="M1807" s="9" t="n">
        <x:f>IF(D1807="Completed",I1807*J1807,0)</x:f>
        <x:v>195</x:v>
      </x:c>
      <x:c r="N1807" s="9" t="n">
        <x:f>M1807*K1807</x:f>
        <x:v>0</x:v>
      </x:c>
      <x:c r="O1807" s="9" t="n">
        <x:f>M1807-N1807</x:f>
        <x:v>195</x:v>
      </x:c>
      <x:c r="P1807" s="9" t="n">
        <x:f>IF(D1807="Completed",L1807*J1807*(1-K1807),0)</x:f>
        <x:v>0</x:v>
      </x:c>
      <x:c r="Q1807" s="9" t="n">
        <x:f>O1807-P1807</x:f>
        <x:v>195</x:v>
      </x:c>
      <x:c r="R1807" s="11" t="n">
        <x:f>IF(D1807="Completed",I1807,0)</x:f>
        <x:v>3</x:v>
      </x:c>
      <x:c r="S1807" s="11" t="n">
        <x:f>IF(D1807="Completed",L1807,0)</x:f>
        <x:v>0</x:v>
      </x:c>
      <x:c r="T1807" s="8" t="n">
        <x:f>DATE(YEAR(C1807),MONTH(C1807),1)</x:f>
        <x:v>45931</x:v>
      </x:c>
    </x:row>
    <x:row r="1808" ht="22" customHeight="1">
      <x:c r="A1808" s="2" t="str">
        <x:v>L001804</x:v>
      </x:c>
      <x:c r="B1808" s="2" t="str">
        <x:v>O00733</x:v>
      </x:c>
      <x:c r="C1808" s="7" t="n">
        <x:v>45947</x:v>
      </x:c>
      <x:c r="D1808" s="2" t="str">
        <x:v>Completed</x:v>
      </x:c>
      <x:c r="E1808" s="2" t="str">
        <x:v>South</x:v>
      </x:c>
      <x:c r="F1808" s="2" t="str">
        <x:v>Store</x:v>
      </x:c>
      <x:c r="G1808" s="2" t="str">
        <x:v>Storage</x:v>
      </x:c>
      <x:c r="H1808" s="2" t="str">
        <x:v>Shelf 023</x:v>
      </x:c>
      <x:c r="I1808" s="11" t="n">
        <x:v>2</x:v>
      </x:c>
      <x:c r="J1808" s="9" t="n">
        <x:v>68</x:v>
      </x:c>
      <x:c r="K1808" s="10" t="n">
        <x:v>0.05</x:v>
      </x:c>
      <x:c r="L1808" s="11" t="n">
        <x:v>0</x:v>
      </x:c>
      <x:c r="M1808" s="9" t="n">
        <x:f>IF(D1808="Completed",I1808*J1808,0)</x:f>
        <x:v>136</x:v>
      </x:c>
      <x:c r="N1808" s="9" t="n">
        <x:f>M1808*K1808</x:f>
        <x:v>6.800000000000001</x:v>
      </x:c>
      <x:c r="O1808" s="9" t="n">
        <x:f>M1808-N1808</x:f>
        <x:v>129.2</x:v>
      </x:c>
      <x:c r="P1808" s="9" t="n">
        <x:f>IF(D1808="Completed",L1808*J1808*(1-K1808),0)</x:f>
        <x:v>0</x:v>
      </x:c>
      <x:c r="Q1808" s="9" t="n">
        <x:f>O1808-P1808</x:f>
        <x:v>129.2</x:v>
      </x:c>
      <x:c r="R1808" s="11" t="n">
        <x:f>IF(D1808="Completed",I1808,0)</x:f>
        <x:v>2</x:v>
      </x:c>
      <x:c r="S1808" s="11" t="n">
        <x:f>IF(D1808="Completed",L1808,0)</x:f>
        <x:v>0</x:v>
      </x:c>
      <x:c r="T1808" s="8" t="n">
        <x:f>DATE(YEAR(C1808),MONTH(C1808),1)</x:f>
        <x:v>45931</x:v>
      </x:c>
    </x:row>
    <x:row r="1809" ht="22" customHeight="1">
      <x:c r="A1809" s="2" t="str">
        <x:v>L001805</x:v>
      </x:c>
      <x:c r="B1809" s="2" t="str">
        <x:v>O00733</x:v>
      </x:c>
      <x:c r="C1809" s="7" t="n">
        <x:v>45947</x:v>
      </x:c>
      <x:c r="D1809" s="2" t="str">
        <x:v>Completed</x:v>
      </x:c>
      <x:c r="E1809" s="2" t="str">
        <x:v>South</x:v>
      </x:c>
      <x:c r="F1809" s="2" t="str">
        <x:v>Store</x:v>
      </x:c>
      <x:c r="G1809" s="2" t="str">
        <x:v>Furniture</x:v>
      </x:c>
      <x:c r="H1809" s="2" t="str">
        <x:v>Chair 014</x:v>
      </x:c>
      <x:c r="I1809" s="11" t="n">
        <x:v>4</x:v>
      </x:c>
      <x:c r="J1809" s="9" t="n">
        <x:v>294</x:v>
      </x:c>
      <x:c r="K1809" s="10" t="n">
        <x:v>0</x:v>
      </x:c>
      <x:c r="L1809" s="11" t="n">
        <x:v>0</x:v>
      </x:c>
      <x:c r="M1809" s="9" t="n">
        <x:f>IF(D1809="Completed",I1809*J1809,0)</x:f>
        <x:v>1176</x:v>
      </x:c>
      <x:c r="N1809" s="9" t="n">
        <x:f>M1809*K1809</x:f>
        <x:v>0</x:v>
      </x:c>
      <x:c r="O1809" s="9" t="n">
        <x:f>M1809-N1809</x:f>
        <x:v>1176</x:v>
      </x:c>
      <x:c r="P1809" s="9" t="n">
        <x:f>IF(D1809="Completed",L1809*J1809*(1-K1809),0)</x:f>
        <x:v>0</x:v>
      </x:c>
      <x:c r="Q1809" s="9" t="n">
        <x:f>O1809-P1809</x:f>
        <x:v>1176</x:v>
      </x:c>
      <x:c r="R1809" s="11" t="n">
        <x:f>IF(D1809="Completed",I1809,0)</x:f>
        <x:v>4</x:v>
      </x:c>
      <x:c r="S1809" s="11" t="n">
        <x:f>IF(D1809="Completed",L1809,0)</x:f>
        <x:v>0</x:v>
      </x:c>
      <x:c r="T1809" s="8" t="n">
        <x:f>DATE(YEAR(C1809),MONTH(C1809),1)</x:f>
        <x:v>45931</x:v>
      </x:c>
    </x:row>
    <x:row r="1810" ht="22" customHeight="1">
      <x:c r="A1810" s="2" t="str">
        <x:v>L001806</x:v>
      </x:c>
      <x:c r="B1810" s="2" t="str">
        <x:v>O00734</x:v>
      </x:c>
      <x:c r="C1810" s="7" t="n">
        <x:v>45932</x:v>
      </x:c>
      <x:c r="D1810" s="2" t="str">
        <x:v>Completed</x:v>
      </x:c>
      <x:c r="E1810" s="2" t="str">
        <x:v>North</x:v>
      </x:c>
      <x:c r="F1810" s="2" t="str">
        <x:v>Online</x:v>
      </x:c>
      <x:c r="G1810" s="2" t="str">
        <x:v>Furniture</x:v>
      </x:c>
      <x:c r="H1810" s="2" t="str">
        <x:v>Desk 016</x:v>
      </x:c>
      <x:c r="I1810" s="11" t="n">
        <x:v>1</x:v>
      </x:c>
      <x:c r="J1810" s="9" t="n">
        <x:v>231</x:v>
      </x:c>
      <x:c r="K1810" s="10" t="n">
        <x:v>0.1</x:v>
      </x:c>
      <x:c r="L1810" s="11" t="n">
        <x:v>1</x:v>
      </x:c>
      <x:c r="M1810" s="9" t="n">
        <x:f>IF(D1810="Completed",I1810*J1810,0)</x:f>
        <x:v>231</x:v>
      </x:c>
      <x:c r="N1810" s="9" t="n">
        <x:f>M1810*K1810</x:f>
        <x:v>23.1</x:v>
      </x:c>
      <x:c r="O1810" s="9" t="n">
        <x:f>M1810-N1810</x:f>
        <x:v>207.9</x:v>
      </x:c>
      <x:c r="P1810" s="9" t="n">
        <x:f>IF(D1810="Completed",L1810*J1810*(1-K1810),0)</x:f>
        <x:v>207.9</x:v>
      </x:c>
      <x:c r="Q1810" s="9" t="n">
        <x:f>O1810-P1810</x:f>
        <x:v>0</x:v>
      </x:c>
      <x:c r="R1810" s="11" t="n">
        <x:f>IF(D1810="Completed",I1810,0)</x:f>
        <x:v>1</x:v>
      </x:c>
      <x:c r="S1810" s="11" t="n">
        <x:f>IF(D1810="Completed",L1810,0)</x:f>
        <x:v>1</x:v>
      </x:c>
      <x:c r="T1810" s="8" t="n">
        <x:f>DATE(YEAR(C1810),MONTH(C1810),1)</x:f>
        <x:v>45931</x:v>
      </x:c>
    </x:row>
    <x:row r="1811" ht="22" customHeight="1">
      <x:c r="A1811" s="2" t="str">
        <x:v>L001807</x:v>
      </x:c>
      <x:c r="B1811" s="2" t="str">
        <x:v>O00734</x:v>
      </x:c>
      <x:c r="C1811" s="7" t="n">
        <x:v>45932</x:v>
      </x:c>
      <x:c r="D1811" s="2" t="str">
        <x:v>Completed</x:v>
      </x:c>
      <x:c r="E1811" s="2" t="str">
        <x:v>North</x:v>
      </x:c>
      <x:c r="F1811" s="2" t="str">
        <x:v>Online</x:v>
      </x:c>
      <x:c r="G1811" s="2" t="str">
        <x:v>Lighting</x:v>
      </x:c>
      <x:c r="H1811" s="2" t="str">
        <x:v>Lamp 009</x:v>
      </x:c>
      <x:c r="I1811" s="11" t="n">
        <x:v>1</x:v>
      </x:c>
      <x:c r="J1811" s="9" t="n">
        <x:v>93</x:v>
      </x:c>
      <x:c r="K1811" s="10" t="n">
        <x:v>0.1</x:v>
      </x:c>
      <x:c r="L1811" s="11" t="n">
        <x:v>0</x:v>
      </x:c>
      <x:c r="M1811" s="9" t="n">
        <x:f>IF(D1811="Completed",I1811*J1811,0)</x:f>
        <x:v>93</x:v>
      </x:c>
      <x:c r="N1811" s="9" t="n">
        <x:f>M1811*K1811</x:f>
        <x:v>9.3</x:v>
      </x:c>
      <x:c r="O1811" s="9" t="n">
        <x:f>M1811-N1811</x:f>
        <x:v>83.7</x:v>
      </x:c>
      <x:c r="P1811" s="9" t="n">
        <x:f>IF(D1811="Completed",L1811*J1811*(1-K1811),0)</x:f>
        <x:v>0</x:v>
      </x:c>
      <x:c r="Q1811" s="9" t="n">
        <x:f>O1811-P1811</x:f>
        <x:v>83.7</x:v>
      </x:c>
      <x:c r="R1811" s="11" t="n">
        <x:f>IF(D1811="Completed",I1811,0)</x:f>
        <x:v>1</x:v>
      </x:c>
      <x:c r="S1811" s="11" t="n">
        <x:f>IF(D1811="Completed",L1811,0)</x:f>
        <x:v>0</x:v>
      </x:c>
      <x:c r="T1811" s="8" t="n">
        <x:f>DATE(YEAR(C1811),MONTH(C1811),1)</x:f>
        <x:v>45931</x:v>
      </x:c>
    </x:row>
    <x:row r="1812" ht="22" customHeight="1">
      <x:c r="A1812" s="2" t="str">
        <x:v>L001808</x:v>
      </x:c>
      <x:c r="B1812" s="2" t="str">
        <x:v>O00734</x:v>
      </x:c>
      <x:c r="C1812" s="7" t="n">
        <x:v>45932</x:v>
      </x:c>
      <x:c r="D1812" s="2" t="str">
        <x:v>Completed</x:v>
      </x:c>
      <x:c r="E1812" s="2" t="str">
        <x:v>North</x:v>
      </x:c>
      <x:c r="F1812" s="2" t="str">
        <x:v>Online</x:v>
      </x:c>
      <x:c r="G1812" s="2" t="str">
        <x:v>Lighting</x:v>
      </x:c>
      <x:c r="H1812" s="2" t="str">
        <x:v>Lamp 013</x:v>
      </x:c>
      <x:c r="I1812" s="11" t="n">
        <x:v>4</x:v>
      </x:c>
      <x:c r="J1812" s="9" t="n">
        <x:v>271</x:v>
      </x:c>
      <x:c r="K1812" s="10" t="n">
        <x:v>0.1</x:v>
      </x:c>
      <x:c r="L1812" s="11" t="n">
        <x:v>0</x:v>
      </x:c>
      <x:c r="M1812" s="9" t="n">
        <x:f>IF(D1812="Completed",I1812*J1812,0)</x:f>
        <x:v>1084</x:v>
      </x:c>
      <x:c r="N1812" s="9" t="n">
        <x:f>M1812*K1812</x:f>
        <x:v>108.4</x:v>
      </x:c>
      <x:c r="O1812" s="9" t="n">
        <x:f>M1812-N1812</x:f>
        <x:v>975.6</x:v>
      </x:c>
      <x:c r="P1812" s="9" t="n">
        <x:f>IF(D1812="Completed",L1812*J1812*(1-K1812),0)</x:f>
        <x:v>0</x:v>
      </x:c>
      <x:c r="Q1812" s="9" t="n">
        <x:f>O1812-P1812</x:f>
        <x:v>975.6</x:v>
      </x:c>
      <x:c r="R1812" s="11" t="n">
        <x:f>IF(D1812="Completed",I1812,0)</x:f>
        <x:v>4</x:v>
      </x:c>
      <x:c r="S1812" s="11" t="n">
        <x:f>IF(D1812="Completed",L1812,0)</x:f>
        <x:v>0</x:v>
      </x:c>
      <x:c r="T1812" s="8" t="n">
        <x:f>DATE(YEAR(C1812),MONTH(C1812),1)</x:f>
        <x:v>45931</x:v>
      </x:c>
    </x:row>
    <x:row r="1813" ht="22" customHeight="1">
      <x:c r="A1813" s="2" t="str">
        <x:v>L001809</x:v>
      </x:c>
      <x:c r="B1813" s="2" t="str">
        <x:v>O00734</x:v>
      </x:c>
      <x:c r="C1813" s="7" t="n">
        <x:v>45932</x:v>
      </x:c>
      <x:c r="D1813" s="2" t="str">
        <x:v>Completed</x:v>
      </x:c>
      <x:c r="E1813" s="2" t="str">
        <x:v>North</x:v>
      </x:c>
      <x:c r="F1813" s="2" t="str">
        <x:v>Online</x:v>
      </x:c>
      <x:c r="G1813" s="2" t="str">
        <x:v>Lighting</x:v>
      </x:c>
      <x:c r="H1813" s="2" t="str">
        <x:v>Lamp 017</x:v>
      </x:c>
      <x:c r="I1813" s="11" t="n">
        <x:v>3</x:v>
      </x:c>
      <x:c r="J1813" s="9" t="n">
        <x:v>300</x:v>
      </x:c>
      <x:c r="K1813" s="10" t="n">
        <x:v>0.1</x:v>
      </x:c>
      <x:c r="L1813" s="11" t="n">
        <x:v>0</x:v>
      </x:c>
      <x:c r="M1813" s="9" t="n">
        <x:f>IF(D1813="Completed",I1813*J1813,0)</x:f>
        <x:v>900</x:v>
      </x:c>
      <x:c r="N1813" s="9" t="n">
        <x:f>M1813*K1813</x:f>
        <x:v>90</x:v>
      </x:c>
      <x:c r="O1813" s="9" t="n">
        <x:f>M1813-N1813</x:f>
        <x:v>810</x:v>
      </x:c>
      <x:c r="P1813" s="9" t="n">
        <x:f>IF(D1813="Completed",L1813*J1813*(1-K1813),0)</x:f>
        <x:v>0</x:v>
      </x:c>
      <x:c r="Q1813" s="9" t="n">
        <x:f>O1813-P1813</x:f>
        <x:v>810</x:v>
      </x:c>
      <x:c r="R1813" s="11" t="n">
        <x:f>IF(D1813="Completed",I1813,0)</x:f>
        <x:v>3</x:v>
      </x:c>
      <x:c r="S1813" s="11" t="n">
        <x:f>IF(D1813="Completed",L1813,0)</x:f>
        <x:v>0</x:v>
      </x:c>
      <x:c r="T1813" s="8" t="n">
        <x:f>DATE(YEAR(C1813),MONTH(C1813),1)</x:f>
        <x:v>45931</x:v>
      </x:c>
    </x:row>
    <x:row r="1814" ht="22" customHeight="1">
      <x:c r="A1814" s="2" t="str">
        <x:v>L001810</x:v>
      </x:c>
      <x:c r="B1814" s="2" t="str">
        <x:v>O00735</x:v>
      </x:c>
      <x:c r="C1814" s="7" t="n">
        <x:v>45676</x:v>
      </x:c>
      <x:c r="D1814" s="2" t="str">
        <x:v>Completed</x:v>
      </x:c>
      <x:c r="E1814" s="2" t="str">
        <x:v>East</x:v>
      </x:c>
      <x:c r="F1814" s="2" t="str">
        <x:v>Online</x:v>
      </x:c>
      <x:c r="G1814" s="2" t="str">
        <x:v>Storage</x:v>
      </x:c>
      <x:c r="H1814" s="2" t="str">
        <x:v>Shelf 007</x:v>
      </x:c>
      <x:c r="I1814" s="11" t="n">
        <x:v>4</x:v>
      </x:c>
      <x:c r="J1814" s="9" t="n">
        <x:v>35</x:v>
      </x:c>
      <x:c r="K1814" s="10" t="n">
        <x:v>0.05</x:v>
      </x:c>
      <x:c r="L1814" s="11" t="n">
        <x:v>0</x:v>
      </x:c>
      <x:c r="M1814" s="9" t="n">
        <x:f>IF(D1814="Completed",I1814*J1814,0)</x:f>
        <x:v>140</x:v>
      </x:c>
      <x:c r="N1814" s="9" t="n">
        <x:f>M1814*K1814</x:f>
        <x:v>7</x:v>
      </x:c>
      <x:c r="O1814" s="9" t="n">
        <x:f>M1814-N1814</x:f>
        <x:v>133</x:v>
      </x:c>
      <x:c r="P1814" s="9" t="n">
        <x:f>IF(D1814="Completed",L1814*J1814*(1-K1814),0)</x:f>
        <x:v>0</x:v>
      </x:c>
      <x:c r="Q1814" s="9" t="n">
        <x:f>O1814-P1814</x:f>
        <x:v>133</x:v>
      </x:c>
      <x:c r="R1814" s="11" t="n">
        <x:f>IF(D1814="Completed",I1814,0)</x:f>
        <x:v>4</x:v>
      </x:c>
      <x:c r="S1814" s="11" t="n">
        <x:f>IF(D1814="Completed",L1814,0)</x:f>
        <x:v>0</x:v>
      </x:c>
      <x:c r="T1814" s="8" t="n">
        <x:f>DATE(YEAR(C1814),MONTH(C1814),1)</x:f>
        <x:v>45658</x:v>
      </x:c>
    </x:row>
    <x:row r="1815" ht="22" customHeight="1">
      <x:c r="A1815" s="2" t="str">
        <x:v>L001811</x:v>
      </x:c>
      <x:c r="B1815" s="2" t="str">
        <x:v>O00735</x:v>
      </x:c>
      <x:c r="C1815" s="7" t="n">
        <x:v>45676</x:v>
      </x:c>
      <x:c r="D1815" s="2" t="str">
        <x:v>Completed</x:v>
      </x:c>
      <x:c r="E1815" s="2" t="str">
        <x:v>East</x:v>
      </x:c>
      <x:c r="F1815" s="2" t="str">
        <x:v>Online</x:v>
      </x:c>
      <x:c r="G1815" s="2" t="str">
        <x:v>Furniture</x:v>
      </x:c>
      <x:c r="H1815" s="2" t="str">
        <x:v>Chair 018</x:v>
      </x:c>
      <x:c r="I1815" s="11" t="n">
        <x:v>5</x:v>
      </x:c>
      <x:c r="J1815" s="9" t="n">
        <x:v>269</x:v>
      </x:c>
      <x:c r="K1815" s="10" t="n">
        <x:v>0.1</x:v>
      </x:c>
      <x:c r="L1815" s="11" t="n">
        <x:v>0</x:v>
      </x:c>
      <x:c r="M1815" s="9" t="n">
        <x:f>IF(D1815="Completed",I1815*J1815,0)</x:f>
        <x:v>1345</x:v>
      </x:c>
      <x:c r="N1815" s="9" t="n">
        <x:f>M1815*K1815</x:f>
        <x:v>134.5</x:v>
      </x:c>
      <x:c r="O1815" s="9" t="n">
        <x:f>M1815-N1815</x:f>
        <x:v>1210.5</x:v>
      </x:c>
      <x:c r="P1815" s="9" t="n">
        <x:f>IF(D1815="Completed",L1815*J1815*(1-K1815),0)</x:f>
        <x:v>0</x:v>
      </x:c>
      <x:c r="Q1815" s="9" t="n">
        <x:f>O1815-P1815</x:f>
        <x:v>1210.5</x:v>
      </x:c>
      <x:c r="R1815" s="11" t="n">
        <x:f>IF(D1815="Completed",I1815,0)</x:f>
        <x:v>5</x:v>
      </x:c>
      <x:c r="S1815" s="11" t="n">
        <x:f>IF(D1815="Completed",L1815,0)</x:f>
        <x:v>0</x:v>
      </x:c>
      <x:c r="T1815" s="8" t="n">
        <x:f>DATE(YEAR(C1815),MONTH(C1815),1)</x:f>
        <x:v>45658</x:v>
      </x:c>
    </x:row>
    <x:row r="1816" ht="22" customHeight="1">
      <x:c r="A1816" s="2" t="str">
        <x:v>L001812</x:v>
      </x:c>
      <x:c r="B1816" s="2" t="str">
        <x:v>O00735</x:v>
      </x:c>
      <x:c r="C1816" s="7" t="n">
        <x:v>45676</x:v>
      </x:c>
      <x:c r="D1816" s="2" t="str">
        <x:v>Completed</x:v>
      </x:c>
      <x:c r="E1816" s="2" t="str">
        <x:v>East</x:v>
      </x:c>
      <x:c r="F1816" s="2" t="str">
        <x:v>Online</x:v>
      </x:c>
      <x:c r="G1816" s="2" t="str">
        <x:v>Furniture</x:v>
      </x:c>
      <x:c r="H1816" s="2" t="str">
        <x:v>Desk 008</x:v>
      </x:c>
      <x:c r="I1816" s="11" t="n">
        <x:v>2</x:v>
      </x:c>
      <x:c r="J1816" s="9" t="n">
        <x:v>188</x:v>
      </x:c>
      <x:c r="K1816" s="10" t="n">
        <x:v>0.1</x:v>
      </x:c>
      <x:c r="L1816" s="11" t="n">
        <x:v>0</x:v>
      </x:c>
      <x:c r="M1816" s="9" t="n">
        <x:f>IF(D1816="Completed",I1816*J1816,0)</x:f>
        <x:v>376</x:v>
      </x:c>
      <x:c r="N1816" s="9" t="n">
        <x:f>M1816*K1816</x:f>
        <x:v>37.6</x:v>
      </x:c>
      <x:c r="O1816" s="9" t="n">
        <x:f>M1816-N1816</x:f>
        <x:v>338.4</x:v>
      </x:c>
      <x:c r="P1816" s="9" t="n">
        <x:f>IF(D1816="Completed",L1816*J1816*(1-K1816),0)</x:f>
        <x:v>0</x:v>
      </x:c>
      <x:c r="Q1816" s="9" t="n">
        <x:f>O1816-P1816</x:f>
        <x:v>338.4</x:v>
      </x:c>
      <x:c r="R1816" s="11" t="n">
        <x:f>IF(D1816="Completed",I1816,0)</x:f>
        <x:v>2</x:v>
      </x:c>
      <x:c r="S1816" s="11" t="n">
        <x:f>IF(D1816="Completed",L1816,0)</x:f>
        <x:v>0</x:v>
      </x:c>
      <x:c r="T1816" s="8" t="n">
        <x:f>DATE(YEAR(C1816),MONTH(C1816),1)</x:f>
        <x:v>45658</x:v>
      </x:c>
    </x:row>
    <x:row r="1817" ht="22" customHeight="1">
      <x:c r="A1817" s="2" t="str">
        <x:v>L001813</x:v>
      </x:c>
      <x:c r="B1817" s="2" t="str">
        <x:v>O00736</x:v>
      </x:c>
      <x:c r="C1817" s="7" t="n">
        <x:v>45827</x:v>
      </x:c>
      <x:c r="D1817" s="2" t="str">
        <x:v>Completed</x:v>
      </x:c>
      <x:c r="E1817" s="2" t="str">
        <x:v>North</x:v>
      </x:c>
      <x:c r="F1817" s="2" t="str">
        <x:v>Store</x:v>
      </x:c>
      <x:c r="G1817" s="2" t="str">
        <x:v>Lighting</x:v>
      </x:c>
      <x:c r="H1817" s="2" t="str">
        <x:v>Lamp 021</x:v>
      </x:c>
      <x:c r="I1817" s="11" t="n">
        <x:v>3</x:v>
      </x:c>
      <x:c r="J1817" s="9" t="n">
        <x:v>249</x:v>
      </x:c>
      <x:c r="K1817" s="10" t="n">
        <x:v>0.2</x:v>
      </x:c>
      <x:c r="L1817" s="11" t="n">
        <x:v>0</x:v>
      </x:c>
      <x:c r="M1817" s="9" t="n">
        <x:f>IF(D1817="Completed",I1817*J1817,0)</x:f>
        <x:v>747</x:v>
      </x:c>
      <x:c r="N1817" s="9" t="n">
        <x:f>M1817*K1817</x:f>
        <x:v>149.4</x:v>
      </x:c>
      <x:c r="O1817" s="9" t="n">
        <x:f>M1817-N1817</x:f>
        <x:v>597.6</x:v>
      </x:c>
      <x:c r="P1817" s="9" t="n">
        <x:f>IF(D1817="Completed",L1817*J1817*(1-K1817),0)</x:f>
        <x:v>0</x:v>
      </x:c>
      <x:c r="Q1817" s="9" t="n">
        <x:f>O1817-P1817</x:f>
        <x:v>597.6</x:v>
      </x:c>
      <x:c r="R1817" s="11" t="n">
        <x:f>IF(D1817="Completed",I1817,0)</x:f>
        <x:v>3</x:v>
      </x:c>
      <x:c r="S1817" s="11" t="n">
        <x:f>IF(D1817="Completed",L1817,0)</x:f>
        <x:v>0</x:v>
      </x:c>
      <x:c r="T1817" s="8" t="n">
        <x:f>DATE(YEAR(C1817),MONTH(C1817),1)</x:f>
        <x:v>45809</x:v>
      </x:c>
    </x:row>
    <x:row r="1818" ht="22" customHeight="1">
      <x:c r="A1818" s="2" t="str">
        <x:v>L001814</x:v>
      </x:c>
      <x:c r="B1818" s="2" t="str">
        <x:v>O00736</x:v>
      </x:c>
      <x:c r="C1818" s="7" t="n">
        <x:v>45827</x:v>
      </x:c>
      <x:c r="D1818" s="2" t="str">
        <x:v>Completed</x:v>
      </x:c>
      <x:c r="E1818" s="2" t="str">
        <x:v>North</x:v>
      </x:c>
      <x:c r="F1818" s="2" t="str">
        <x:v>Store</x:v>
      </x:c>
      <x:c r="G1818" s="2" t="str">
        <x:v>Furniture</x:v>
      </x:c>
      <x:c r="H1818" s="2" t="str">
        <x:v>Chair 006</x:v>
      </x:c>
      <x:c r="I1818" s="11" t="n">
        <x:v>4</x:v>
      </x:c>
      <x:c r="J1818" s="9" t="n">
        <x:v>196</x:v>
      </x:c>
      <x:c r="K1818" s="10" t="n">
        <x:v>0.1</x:v>
      </x:c>
      <x:c r="L1818" s="11" t="n">
        <x:v>0</x:v>
      </x:c>
      <x:c r="M1818" s="9" t="n">
        <x:f>IF(D1818="Completed",I1818*J1818,0)</x:f>
        <x:v>784</x:v>
      </x:c>
      <x:c r="N1818" s="9" t="n">
        <x:f>M1818*K1818</x:f>
        <x:v>78.4</x:v>
      </x:c>
      <x:c r="O1818" s="9" t="n">
        <x:f>M1818-N1818</x:f>
        <x:v>705.6</x:v>
      </x:c>
      <x:c r="P1818" s="9" t="n">
        <x:f>IF(D1818="Completed",L1818*J1818*(1-K1818),0)</x:f>
        <x:v>0</x:v>
      </x:c>
      <x:c r="Q1818" s="9" t="n">
        <x:f>O1818-P1818</x:f>
        <x:v>705.6</x:v>
      </x:c>
      <x:c r="R1818" s="11" t="n">
        <x:f>IF(D1818="Completed",I1818,0)</x:f>
        <x:v>4</x:v>
      </x:c>
      <x:c r="S1818" s="11" t="n">
        <x:f>IF(D1818="Completed",L1818,0)</x:f>
        <x:v>0</x:v>
      </x:c>
      <x:c r="T1818" s="8" t="n">
        <x:f>DATE(YEAR(C1818),MONTH(C1818),1)</x:f>
        <x:v>45809</x:v>
      </x:c>
    </x:row>
    <x:row r="1819" ht="22" customHeight="1">
      <x:c r="A1819" s="2" t="str">
        <x:v>L001815</x:v>
      </x:c>
      <x:c r="B1819" s="2" t="str">
        <x:v>O00736</x:v>
      </x:c>
      <x:c r="C1819" s="7" t="n">
        <x:v>45827</x:v>
      </x:c>
      <x:c r="D1819" s="2" t="str">
        <x:v>Completed</x:v>
      </x:c>
      <x:c r="E1819" s="2" t="str">
        <x:v>North</x:v>
      </x:c>
      <x:c r="F1819" s="2" t="str">
        <x:v>Store</x:v>
      </x:c>
      <x:c r="G1819" s="2" t="str">
        <x:v>Storage</x:v>
      </x:c>
      <x:c r="H1819" s="2" t="str">
        <x:v>Shelf 007</x:v>
      </x:c>
      <x:c r="I1819" s="11" t="n">
        <x:v>1</x:v>
      </x:c>
      <x:c r="J1819" s="9" t="n">
        <x:v>35</x:v>
      </x:c>
      <x:c r="K1819" s="10" t="n">
        <x:v>0</x:v>
      </x:c>
      <x:c r="L1819" s="11" t="n">
        <x:v>1</x:v>
      </x:c>
      <x:c r="M1819" s="9" t="n">
        <x:f>IF(D1819="Completed",I1819*J1819,0)</x:f>
        <x:v>35</x:v>
      </x:c>
      <x:c r="N1819" s="9" t="n">
        <x:f>M1819*K1819</x:f>
        <x:v>0</x:v>
      </x:c>
      <x:c r="O1819" s="9" t="n">
        <x:f>M1819-N1819</x:f>
        <x:v>35</x:v>
      </x:c>
      <x:c r="P1819" s="9" t="n">
        <x:f>IF(D1819="Completed",L1819*J1819*(1-K1819),0)</x:f>
        <x:v>35</x:v>
      </x:c>
      <x:c r="Q1819" s="9" t="n">
        <x:f>O1819-P1819</x:f>
        <x:v>0</x:v>
      </x:c>
      <x:c r="R1819" s="11" t="n">
        <x:f>IF(D1819="Completed",I1819,0)</x:f>
        <x:v>1</x:v>
      </x:c>
      <x:c r="S1819" s="11" t="n">
        <x:f>IF(D1819="Completed",L1819,0)</x:f>
        <x:v>1</x:v>
      </x:c>
      <x:c r="T1819" s="8" t="n">
        <x:f>DATE(YEAR(C1819),MONTH(C1819),1)</x:f>
        <x:v>45809</x:v>
      </x:c>
    </x:row>
    <x:row r="1820" ht="22" customHeight="1">
      <x:c r="A1820" s="2" t="str">
        <x:v>L001816</x:v>
      </x:c>
      <x:c r="B1820" s="2" t="str">
        <x:v>O00737</x:v>
      </x:c>
      <x:c r="C1820" s="7" t="n">
        <x:v>45950</x:v>
      </x:c>
      <x:c r="D1820" s="2" t="str">
        <x:v>Completed</x:v>
      </x:c>
      <x:c r="E1820" s="2" t="str">
        <x:v>West</x:v>
      </x:c>
      <x:c r="F1820" s="2" t="str">
        <x:v>Store</x:v>
      </x:c>
      <x:c r="G1820" s="2" t="str">
        <x:v>Furniture</x:v>
      </x:c>
      <x:c r="H1820" s="2" t="str">
        <x:v>Chair 022</x:v>
      </x:c>
      <x:c r="I1820" s="11" t="n">
        <x:v>4</x:v>
      </x:c>
      <x:c r="J1820" s="9" t="n">
        <x:v>134</x:v>
      </x:c>
      <x:c r="K1820" s="10" t="n">
        <x:v>0.05</x:v>
      </x:c>
      <x:c r="L1820" s="11" t="n">
        <x:v>0</x:v>
      </x:c>
      <x:c r="M1820" s="9" t="n">
        <x:f>IF(D1820="Completed",I1820*J1820,0)</x:f>
        <x:v>536</x:v>
      </x:c>
      <x:c r="N1820" s="9" t="n">
        <x:f>M1820*K1820</x:f>
        <x:v>26.8</x:v>
      </x:c>
      <x:c r="O1820" s="9" t="n">
        <x:f>M1820-N1820</x:f>
        <x:v>509.2</x:v>
      </x:c>
      <x:c r="P1820" s="9" t="n">
        <x:f>IF(D1820="Completed",L1820*J1820*(1-K1820),0)</x:f>
        <x:v>0</x:v>
      </x:c>
      <x:c r="Q1820" s="9" t="n">
        <x:f>O1820-P1820</x:f>
        <x:v>509.2</x:v>
      </x:c>
      <x:c r="R1820" s="11" t="n">
        <x:f>IF(D1820="Completed",I1820,0)</x:f>
        <x:v>4</x:v>
      </x:c>
      <x:c r="S1820" s="11" t="n">
        <x:f>IF(D1820="Completed",L1820,0)</x:f>
        <x:v>0</x:v>
      </x:c>
      <x:c r="T1820" s="8" t="n">
        <x:f>DATE(YEAR(C1820),MONTH(C1820),1)</x:f>
        <x:v>45931</x:v>
      </x:c>
    </x:row>
    <x:row r="1821" ht="22" customHeight="1">
      <x:c r="A1821" s="2" t="str">
        <x:v>L001817</x:v>
      </x:c>
      <x:c r="B1821" s="2" t="str">
        <x:v>O00737</x:v>
      </x:c>
      <x:c r="C1821" s="7" t="n">
        <x:v>45950</x:v>
      </x:c>
      <x:c r="D1821" s="2" t="str">
        <x:v>Completed</x:v>
      </x:c>
      <x:c r="E1821" s="2" t="str">
        <x:v>West</x:v>
      </x:c>
      <x:c r="F1821" s="2" t="str">
        <x:v>Store</x:v>
      </x:c>
      <x:c r="G1821" s="2" t="str">
        <x:v>Furniture</x:v>
      </x:c>
      <x:c r="H1821" s="2" t="str">
        <x:v>Desk 008</x:v>
      </x:c>
      <x:c r="I1821" s="11" t="n">
        <x:v>3</x:v>
      </x:c>
      <x:c r="J1821" s="9" t="n">
        <x:v>188</x:v>
      </x:c>
      <x:c r="K1821" s="10" t="n">
        <x:v>0</x:v>
      </x:c>
      <x:c r="L1821" s="11" t="n">
        <x:v>0</x:v>
      </x:c>
      <x:c r="M1821" s="9" t="n">
        <x:f>IF(D1821="Completed",I1821*J1821,0)</x:f>
        <x:v>564</x:v>
      </x:c>
      <x:c r="N1821" s="9" t="n">
        <x:f>M1821*K1821</x:f>
        <x:v>0</x:v>
      </x:c>
      <x:c r="O1821" s="9" t="n">
        <x:f>M1821-N1821</x:f>
        <x:v>564</x:v>
      </x:c>
      <x:c r="P1821" s="9" t="n">
        <x:f>IF(D1821="Completed",L1821*J1821*(1-K1821),0)</x:f>
        <x:v>0</x:v>
      </x:c>
      <x:c r="Q1821" s="9" t="n">
        <x:f>O1821-P1821</x:f>
        <x:v>564</x:v>
      </x:c>
      <x:c r="R1821" s="11" t="n">
        <x:f>IF(D1821="Completed",I1821,0)</x:f>
        <x:v>3</x:v>
      </x:c>
      <x:c r="S1821" s="11" t="n">
        <x:f>IF(D1821="Completed",L1821,0)</x:f>
        <x:v>0</x:v>
      </x:c>
      <x:c r="T1821" s="8" t="n">
        <x:f>DATE(YEAR(C1821),MONTH(C1821),1)</x:f>
        <x:v>45931</x:v>
      </x:c>
    </x:row>
    <x:row r="1822" ht="22" customHeight="1">
      <x:c r="A1822" s="2" t="str">
        <x:v>L001818</x:v>
      </x:c>
      <x:c r="B1822" s="2" t="str">
        <x:v>O00737</x:v>
      </x:c>
      <x:c r="C1822" s="7" t="n">
        <x:v>45950</x:v>
      </x:c>
      <x:c r="D1822" s="2" t="str">
        <x:v>Completed</x:v>
      </x:c>
      <x:c r="E1822" s="2" t="str">
        <x:v>West</x:v>
      </x:c>
      <x:c r="F1822" s="2" t="str">
        <x:v>Store</x:v>
      </x:c>
      <x:c r="G1822" s="2" t="str">
        <x:v>Storage</x:v>
      </x:c>
      <x:c r="H1822" s="2" t="str">
        <x:v>Shelf 019</x:v>
      </x:c>
      <x:c r="I1822" s="11" t="n">
        <x:v>1</x:v>
      </x:c>
      <x:c r="J1822" s="9" t="n">
        <x:v>78</x:v>
      </x:c>
      <x:c r="K1822" s="10" t="n">
        <x:v>0.05</x:v>
      </x:c>
      <x:c r="L1822" s="11" t="n">
        <x:v>0</x:v>
      </x:c>
      <x:c r="M1822" s="9" t="n">
        <x:f>IF(D1822="Completed",I1822*J1822,0)</x:f>
        <x:v>78</x:v>
      </x:c>
      <x:c r="N1822" s="9" t="n">
        <x:f>M1822*K1822</x:f>
        <x:v>3.9000000000000004</x:v>
      </x:c>
      <x:c r="O1822" s="9" t="n">
        <x:f>M1822-N1822</x:f>
        <x:v>74.1</x:v>
      </x:c>
      <x:c r="P1822" s="9" t="n">
        <x:f>IF(D1822="Completed",L1822*J1822*(1-K1822),0)</x:f>
        <x:v>0</x:v>
      </x:c>
      <x:c r="Q1822" s="9" t="n">
        <x:f>O1822-P1822</x:f>
        <x:v>74.1</x:v>
      </x:c>
      <x:c r="R1822" s="11" t="n">
        <x:f>IF(D1822="Completed",I1822,0)</x:f>
        <x:v>1</x:v>
      </x:c>
      <x:c r="S1822" s="11" t="n">
        <x:f>IF(D1822="Completed",L1822,0)</x:f>
        <x:v>0</x:v>
      </x:c>
      <x:c r="T1822" s="8" t="n">
        <x:f>DATE(YEAR(C1822),MONTH(C1822),1)</x:f>
        <x:v>45931</x:v>
      </x:c>
    </x:row>
    <x:row r="1823" ht="22" customHeight="1">
      <x:c r="A1823" s="2" t="str">
        <x:v>L001819</x:v>
      </x:c>
      <x:c r="B1823" s="2" t="str">
        <x:v>O00737</x:v>
      </x:c>
      <x:c r="C1823" s="7" t="n">
        <x:v>45950</x:v>
      </x:c>
      <x:c r="D1823" s="2" t="str">
        <x:v>Completed</x:v>
      </x:c>
      <x:c r="E1823" s="2" t="str">
        <x:v>West</x:v>
      </x:c>
      <x:c r="F1823" s="2" t="str">
        <x:v>Store</x:v>
      </x:c>
      <x:c r="G1823" s="2" t="str">
        <x:v>Storage</x:v>
      </x:c>
      <x:c r="H1823" s="2" t="str">
        <x:v>Shelf 007</x:v>
      </x:c>
      <x:c r="I1823" s="11" t="n">
        <x:v>2</x:v>
      </x:c>
      <x:c r="J1823" s="9" t="n">
        <x:v>35</x:v>
      </x:c>
      <x:c r="K1823" s="10" t="n">
        <x:v>0.05</x:v>
      </x:c>
      <x:c r="L1823" s="11" t="n">
        <x:v>0</x:v>
      </x:c>
      <x:c r="M1823" s="9" t="n">
        <x:f>IF(D1823="Completed",I1823*J1823,0)</x:f>
        <x:v>70</x:v>
      </x:c>
      <x:c r="N1823" s="9" t="n">
        <x:f>M1823*K1823</x:f>
        <x:v>3.5</x:v>
      </x:c>
      <x:c r="O1823" s="9" t="n">
        <x:f>M1823-N1823</x:f>
        <x:v>66.5</x:v>
      </x:c>
      <x:c r="P1823" s="9" t="n">
        <x:f>IF(D1823="Completed",L1823*J1823*(1-K1823),0)</x:f>
        <x:v>0</x:v>
      </x:c>
      <x:c r="Q1823" s="9" t="n">
        <x:f>O1823-P1823</x:f>
        <x:v>66.5</x:v>
      </x:c>
      <x:c r="R1823" s="11" t="n">
        <x:f>IF(D1823="Completed",I1823,0)</x:f>
        <x:v>2</x:v>
      </x:c>
      <x:c r="S1823" s="11" t="n">
        <x:f>IF(D1823="Completed",L1823,0)</x:f>
        <x:v>0</x:v>
      </x:c>
      <x:c r="T1823" s="8" t="n">
        <x:f>DATE(YEAR(C1823),MONTH(C1823),1)</x:f>
        <x:v>45931</x:v>
      </x:c>
    </x:row>
    <x:row r="1824" ht="22" customHeight="1">
      <x:c r="A1824" s="2" t="str">
        <x:v>L001820</x:v>
      </x:c>
      <x:c r="B1824" s="2" t="str">
        <x:v>O00738</x:v>
      </x:c>
      <x:c r="C1824" s="7" t="n">
        <x:v>45944</x:v>
      </x:c>
      <x:c r="D1824" s="2" t="str">
        <x:v>Completed</x:v>
      </x:c>
      <x:c r="E1824" s="2" t="str">
        <x:v>South</x:v>
      </x:c>
      <x:c r="F1824" s="2" t="str">
        <x:v>Store</x:v>
      </x:c>
      <x:c r="G1824" s="2" t="str">
        <x:v>Lighting</x:v>
      </x:c>
      <x:c r="H1824" s="2" t="str">
        <x:v>Lamp 001</x:v>
      </x:c>
      <x:c r="I1824" s="11" t="n">
        <x:v>5</x:v>
      </x:c>
      <x:c r="J1824" s="9" t="n">
        <x:v>122</x:v>
      </x:c>
      <x:c r="K1824" s="10" t="n">
        <x:v>0.2</x:v>
      </x:c>
      <x:c r="L1824" s="11" t="n">
        <x:v>4</x:v>
      </x:c>
      <x:c r="M1824" s="9" t="n">
        <x:f>IF(D1824="Completed",I1824*J1824,0)</x:f>
        <x:v>610</x:v>
      </x:c>
      <x:c r="N1824" s="9" t="n">
        <x:f>M1824*K1824</x:f>
        <x:v>122</x:v>
      </x:c>
      <x:c r="O1824" s="9" t="n">
        <x:f>M1824-N1824</x:f>
        <x:v>488</x:v>
      </x:c>
      <x:c r="P1824" s="9" t="n">
        <x:f>IF(D1824="Completed",L1824*J1824*(1-K1824),0)</x:f>
        <x:v>390.40000000000003</x:v>
      </x:c>
      <x:c r="Q1824" s="9" t="n">
        <x:f>O1824-P1824</x:f>
        <x:v>97.59999999999997</x:v>
      </x:c>
      <x:c r="R1824" s="11" t="n">
        <x:f>IF(D1824="Completed",I1824,0)</x:f>
        <x:v>5</x:v>
      </x:c>
      <x:c r="S1824" s="11" t="n">
        <x:f>IF(D1824="Completed",L1824,0)</x:f>
        <x:v>4</x:v>
      </x:c>
      <x:c r="T1824" s="8" t="n">
        <x:f>DATE(YEAR(C1824),MONTH(C1824),1)</x:f>
        <x:v>45931</x:v>
      </x:c>
    </x:row>
    <x:row r="1825" ht="22" customHeight="1">
      <x:c r="A1825" s="2" t="str">
        <x:v>L001821</x:v>
      </x:c>
      <x:c r="B1825" s="2" t="str">
        <x:v>O00739</x:v>
      </x:c>
      <x:c r="C1825" s="7" t="n">
        <x:v>45880</x:v>
      </x:c>
      <x:c r="D1825" s="2" t="str">
        <x:v>Completed</x:v>
      </x:c>
      <x:c r="E1825" s="2" t="str">
        <x:v>East</x:v>
      </x:c>
      <x:c r="F1825" s="2" t="str">
        <x:v>Online</x:v>
      </x:c>
      <x:c r="G1825" s="2" t="str">
        <x:v>Furniture</x:v>
      </x:c>
      <x:c r="H1825" s="2" t="str">
        <x:v>Chair 010</x:v>
      </x:c>
      <x:c r="I1825" s="11" t="n">
        <x:v>2</x:v>
      </x:c>
      <x:c r="J1825" s="9" t="n">
        <x:v>211</x:v>
      </x:c>
      <x:c r="K1825" s="10" t="n">
        <x:v>0.1</x:v>
      </x:c>
      <x:c r="L1825" s="11" t="n">
        <x:v>0</x:v>
      </x:c>
      <x:c r="M1825" s="9" t="n">
        <x:f>IF(D1825="Completed",I1825*J1825,0)</x:f>
        <x:v>422</x:v>
      </x:c>
      <x:c r="N1825" s="9" t="n">
        <x:f>M1825*K1825</x:f>
        <x:v>42.2</x:v>
      </x:c>
      <x:c r="O1825" s="9" t="n">
        <x:f>M1825-N1825</x:f>
        <x:v>379.8</x:v>
      </x:c>
      <x:c r="P1825" s="9" t="n">
        <x:f>IF(D1825="Completed",L1825*J1825*(1-K1825),0)</x:f>
        <x:v>0</x:v>
      </x:c>
      <x:c r="Q1825" s="9" t="n">
        <x:f>O1825-P1825</x:f>
        <x:v>379.8</x:v>
      </x:c>
      <x:c r="R1825" s="11" t="n">
        <x:f>IF(D1825="Completed",I1825,0)</x:f>
        <x:v>2</x:v>
      </x:c>
      <x:c r="S1825" s="11" t="n">
        <x:f>IF(D1825="Completed",L1825,0)</x:f>
        <x:v>0</x:v>
      </x:c>
      <x:c r="T1825" s="8" t="n">
        <x:f>DATE(YEAR(C1825),MONTH(C1825),1)</x:f>
        <x:v>45870</x:v>
      </x:c>
    </x:row>
    <x:row r="1826" ht="22" customHeight="1">
      <x:c r="A1826" s="2" t="str">
        <x:v>L001822</x:v>
      </x:c>
      <x:c r="B1826" s="2" t="str">
        <x:v>O00740</x:v>
      </x:c>
      <x:c r="C1826" s="7" t="n">
        <x:v>45798</x:v>
      </x:c>
      <x:c r="D1826" s="2" t="str">
        <x:v>Completed</x:v>
      </x:c>
      <x:c r="E1826" s="2" t="str">
        <x:v>South</x:v>
      </x:c>
      <x:c r="F1826" s="2" t="str">
        <x:v>Online</x:v>
      </x:c>
      <x:c r="G1826" s="2" t="str">
        <x:v>Lighting</x:v>
      </x:c>
      <x:c r="H1826" s="2" t="str">
        <x:v>Lamp 013</x:v>
      </x:c>
      <x:c r="I1826" s="11" t="n">
        <x:v>2</x:v>
      </x:c>
      <x:c r="J1826" s="9" t="n">
        <x:v>271</x:v>
      </x:c>
      <x:c r="K1826" s="10" t="n">
        <x:v>0.2</x:v>
      </x:c>
      <x:c r="L1826" s="11" t="n">
        <x:v>0</x:v>
      </x:c>
      <x:c r="M1826" s="9" t="n">
        <x:f>IF(D1826="Completed",I1826*J1826,0)</x:f>
        <x:v>542</x:v>
      </x:c>
      <x:c r="N1826" s="9" t="n">
        <x:f>M1826*K1826</x:f>
        <x:v>108.4</x:v>
      </x:c>
      <x:c r="O1826" s="9" t="n">
        <x:f>M1826-N1826</x:f>
        <x:v>433.6</x:v>
      </x:c>
      <x:c r="P1826" s="9" t="n">
        <x:f>IF(D1826="Completed",L1826*J1826*(1-K1826),0)</x:f>
        <x:v>0</x:v>
      </x:c>
      <x:c r="Q1826" s="9" t="n">
        <x:f>O1826-P1826</x:f>
        <x:v>433.6</x:v>
      </x:c>
      <x:c r="R1826" s="11" t="n">
        <x:f>IF(D1826="Completed",I1826,0)</x:f>
        <x:v>2</x:v>
      </x:c>
      <x:c r="S1826" s="11" t="n">
        <x:f>IF(D1826="Completed",L1826,0)</x:f>
        <x:v>0</x:v>
      </x:c>
      <x:c r="T1826" s="8" t="n">
        <x:f>DATE(YEAR(C1826),MONTH(C1826),1)</x:f>
        <x:v>45778</x:v>
      </x:c>
    </x:row>
    <x:row r="1827" ht="22" customHeight="1">
      <x:c r="A1827" s="2" t="str">
        <x:v>L001823</x:v>
      </x:c>
      <x:c r="B1827" s="2" t="str">
        <x:v>O00740</x:v>
      </x:c>
      <x:c r="C1827" s="7" t="n">
        <x:v>45798</x:v>
      </x:c>
      <x:c r="D1827" s="2" t="str">
        <x:v>Completed</x:v>
      </x:c>
      <x:c r="E1827" s="2" t="str">
        <x:v>South</x:v>
      </x:c>
      <x:c r="F1827" s="2" t="str">
        <x:v>Online</x:v>
      </x:c>
      <x:c r="G1827" s="2" t="str">
        <x:v>Lighting</x:v>
      </x:c>
      <x:c r="H1827" s="2" t="str">
        <x:v>Lamp 013</x:v>
      </x:c>
      <x:c r="I1827" s="11" t="n">
        <x:v>3</x:v>
      </x:c>
      <x:c r="J1827" s="9" t="n">
        <x:v>271</x:v>
      </x:c>
      <x:c r="K1827" s="10" t="n">
        <x:v>0</x:v>
      </x:c>
      <x:c r="L1827" s="11" t="n">
        <x:v>0</x:v>
      </x:c>
      <x:c r="M1827" s="9" t="n">
        <x:f>IF(D1827="Completed",I1827*J1827,0)</x:f>
        <x:v>813</x:v>
      </x:c>
      <x:c r="N1827" s="9" t="n">
        <x:f>M1827*K1827</x:f>
        <x:v>0</x:v>
      </x:c>
      <x:c r="O1827" s="9" t="n">
        <x:f>M1827-N1827</x:f>
        <x:v>813</x:v>
      </x:c>
      <x:c r="P1827" s="9" t="n">
        <x:f>IF(D1827="Completed",L1827*J1827*(1-K1827),0)</x:f>
        <x:v>0</x:v>
      </x:c>
      <x:c r="Q1827" s="9" t="n">
        <x:f>O1827-P1827</x:f>
        <x:v>813</x:v>
      </x:c>
      <x:c r="R1827" s="11" t="n">
        <x:f>IF(D1827="Completed",I1827,0)</x:f>
        <x:v>3</x:v>
      </x:c>
      <x:c r="S1827" s="11" t="n">
        <x:f>IF(D1827="Completed",L1827,0)</x:f>
        <x:v>0</x:v>
      </x:c>
      <x:c r="T1827" s="8" t="n">
        <x:f>DATE(YEAR(C1827),MONTH(C1827),1)</x:f>
        <x:v>45778</x:v>
      </x:c>
    </x:row>
    <x:row r="1828" ht="22" customHeight="1">
      <x:c r="A1828" s="2" t="str">
        <x:v>L001824</x:v>
      </x:c>
      <x:c r="B1828" s="2" t="str">
        <x:v>O00741</x:v>
      </x:c>
      <x:c r="C1828" s="7" t="n">
        <x:v>45950</x:v>
      </x:c>
      <x:c r="D1828" s="2" t="str">
        <x:v>Completed</x:v>
      </x:c>
      <x:c r="E1828" s="2" t="str">
        <x:v>East</x:v>
      </x:c>
      <x:c r="F1828" s="2" t="str">
        <x:v>Online</x:v>
      </x:c>
      <x:c r="G1828" s="2" t="str">
        <x:v>Furniture</x:v>
      </x:c>
      <x:c r="H1828" s="2" t="str">
        <x:v>Chair 002</x:v>
      </x:c>
      <x:c r="I1828" s="11" t="n">
        <x:v>2</x:v>
      </x:c>
      <x:c r="J1828" s="9" t="n">
        <x:v>284</x:v>
      </x:c>
      <x:c r="K1828" s="10" t="n">
        <x:v>0.1</x:v>
      </x:c>
      <x:c r="L1828" s="11" t="n">
        <x:v>0</x:v>
      </x:c>
      <x:c r="M1828" s="9" t="n">
        <x:f>IF(D1828="Completed",I1828*J1828,0)</x:f>
        <x:v>568</x:v>
      </x:c>
      <x:c r="N1828" s="9" t="n">
        <x:f>M1828*K1828</x:f>
        <x:v>56.800000000000004</x:v>
      </x:c>
      <x:c r="O1828" s="9" t="n">
        <x:f>M1828-N1828</x:f>
        <x:v>511.2</x:v>
      </x:c>
      <x:c r="P1828" s="9" t="n">
        <x:f>IF(D1828="Completed",L1828*J1828*(1-K1828),0)</x:f>
        <x:v>0</x:v>
      </x:c>
      <x:c r="Q1828" s="9" t="n">
        <x:f>O1828-P1828</x:f>
        <x:v>511.2</x:v>
      </x:c>
      <x:c r="R1828" s="11" t="n">
        <x:f>IF(D1828="Completed",I1828,0)</x:f>
        <x:v>2</x:v>
      </x:c>
      <x:c r="S1828" s="11" t="n">
        <x:f>IF(D1828="Completed",L1828,0)</x:f>
        <x:v>0</x:v>
      </x:c>
      <x:c r="T1828" s="8" t="n">
        <x:f>DATE(YEAR(C1828),MONTH(C1828),1)</x:f>
        <x:v>45931</x:v>
      </x:c>
    </x:row>
    <x:row r="1829" ht="22" customHeight="1">
      <x:c r="A1829" s="2" t="str">
        <x:v>L001825</x:v>
      </x:c>
      <x:c r="B1829" s="2" t="str">
        <x:v>O00741</x:v>
      </x:c>
      <x:c r="C1829" s="7" t="n">
        <x:v>45950</x:v>
      </x:c>
      <x:c r="D1829" s="2" t="str">
        <x:v>Completed</x:v>
      </x:c>
      <x:c r="E1829" s="2" t="str">
        <x:v>East</x:v>
      </x:c>
      <x:c r="F1829" s="2" t="str">
        <x:v>Online</x:v>
      </x:c>
      <x:c r="G1829" s="2" t="str">
        <x:v>Furniture</x:v>
      </x:c>
      <x:c r="H1829" s="2" t="str">
        <x:v>Desk 004</x:v>
      </x:c>
      <x:c r="I1829" s="11" t="n">
        <x:v>1</x:v>
      </x:c>
      <x:c r="J1829" s="9" t="n">
        <x:v>123</x:v>
      </x:c>
      <x:c r="K1829" s="10" t="n">
        <x:v>0.05</x:v>
      </x:c>
      <x:c r="L1829" s="11" t="n">
        <x:v>0</x:v>
      </x:c>
      <x:c r="M1829" s="9" t="n">
        <x:f>IF(D1829="Completed",I1829*J1829,0)</x:f>
        <x:v>123</x:v>
      </x:c>
      <x:c r="N1829" s="9" t="n">
        <x:f>M1829*K1829</x:f>
        <x:v>6.15</x:v>
      </x:c>
      <x:c r="O1829" s="9" t="n">
        <x:f>M1829-N1829</x:f>
        <x:v>116.85</x:v>
      </x:c>
      <x:c r="P1829" s="9" t="n">
        <x:f>IF(D1829="Completed",L1829*J1829*(1-K1829),0)</x:f>
        <x:v>0</x:v>
      </x:c>
      <x:c r="Q1829" s="9" t="n">
        <x:f>O1829-P1829</x:f>
        <x:v>116.85</x:v>
      </x:c>
      <x:c r="R1829" s="11" t="n">
        <x:f>IF(D1829="Completed",I1829,0)</x:f>
        <x:v>1</x:v>
      </x:c>
      <x:c r="S1829" s="11" t="n">
        <x:f>IF(D1829="Completed",L1829,0)</x:f>
        <x:v>0</x:v>
      </x:c>
      <x:c r="T1829" s="8" t="n">
        <x:f>DATE(YEAR(C1829),MONTH(C1829),1)</x:f>
        <x:v>45931</x:v>
      </x:c>
    </x:row>
    <x:row r="1830" ht="22" customHeight="1">
      <x:c r="A1830" s="2" t="str">
        <x:v>L001826</x:v>
      </x:c>
      <x:c r="B1830" s="2" t="str">
        <x:v>O00741</x:v>
      </x:c>
      <x:c r="C1830" s="7" t="n">
        <x:v>45950</x:v>
      </x:c>
      <x:c r="D1830" s="2" t="str">
        <x:v>Completed</x:v>
      </x:c>
      <x:c r="E1830" s="2" t="str">
        <x:v>East</x:v>
      </x:c>
      <x:c r="F1830" s="2" t="str">
        <x:v>Online</x:v>
      </x:c>
      <x:c r="G1830" s="2" t="str">
        <x:v>Furniture</x:v>
      </x:c>
      <x:c r="H1830" s="2" t="str">
        <x:v>Chair 018</x:v>
      </x:c>
      <x:c r="I1830" s="11" t="n">
        <x:v>2</x:v>
      </x:c>
      <x:c r="J1830" s="9" t="n">
        <x:v>269</x:v>
      </x:c>
      <x:c r="K1830" s="10" t="n">
        <x:v>0.2</x:v>
      </x:c>
      <x:c r="L1830" s="11" t="n">
        <x:v>2</x:v>
      </x:c>
      <x:c r="M1830" s="9" t="n">
        <x:f>IF(D1830="Completed",I1830*J1830,0)</x:f>
        <x:v>538</x:v>
      </x:c>
      <x:c r="N1830" s="9" t="n">
        <x:f>M1830*K1830</x:f>
        <x:v>107.60000000000001</x:v>
      </x:c>
      <x:c r="O1830" s="9" t="n">
        <x:f>M1830-N1830</x:f>
        <x:v>430.4</x:v>
      </x:c>
      <x:c r="P1830" s="9" t="n">
        <x:f>IF(D1830="Completed",L1830*J1830*(1-K1830),0)</x:f>
        <x:v>430.40000000000003</x:v>
      </x:c>
      <x:c r="Q1830" s="9" t="n">
        <x:f>O1830-P1830</x:f>
        <x:v>-5.684341886080802e-14</x:v>
      </x:c>
      <x:c r="R1830" s="11" t="n">
        <x:f>IF(D1830="Completed",I1830,0)</x:f>
        <x:v>2</x:v>
      </x:c>
      <x:c r="S1830" s="11" t="n">
        <x:f>IF(D1830="Completed",L1830,0)</x:f>
        <x:v>2</x:v>
      </x:c>
      <x:c r="T1830" s="8" t="n">
        <x:f>DATE(YEAR(C1830),MONTH(C1830),1)</x:f>
        <x:v>45931</x:v>
      </x:c>
    </x:row>
    <x:row r="1831" ht="22" customHeight="1">
      <x:c r="A1831" s="2" t="str">
        <x:v>L001827</x:v>
      </x:c>
      <x:c r="B1831" s="2" t="str">
        <x:v>O00742</x:v>
      </x:c>
      <x:c r="C1831" s="7" t="n">
        <x:v>45853</x:v>
      </x:c>
      <x:c r="D1831" s="2" t="str">
        <x:v>Completed</x:v>
      </x:c>
      <x:c r="E1831" s="2" t="str">
        <x:v>East</x:v>
      </x:c>
      <x:c r="F1831" s="2" t="str">
        <x:v>Online</x:v>
      </x:c>
      <x:c r="G1831" s="2" t="str">
        <x:v>Storage</x:v>
      </x:c>
      <x:c r="H1831" s="2" t="str">
        <x:v>Shelf 015</x:v>
      </x:c>
      <x:c r="I1831" s="11" t="n">
        <x:v>2</x:v>
      </x:c>
      <x:c r="J1831" s="9" t="n">
        <x:v>254</x:v>
      </x:c>
      <x:c r="K1831" s="10" t="n">
        <x:v>0.2</x:v>
      </x:c>
      <x:c r="L1831" s="11" t="n">
        <x:v>0</x:v>
      </x:c>
      <x:c r="M1831" s="9" t="n">
        <x:f>IF(D1831="Completed",I1831*J1831,0)</x:f>
        <x:v>508</x:v>
      </x:c>
      <x:c r="N1831" s="9" t="n">
        <x:f>M1831*K1831</x:f>
        <x:v>101.60000000000001</x:v>
      </x:c>
      <x:c r="O1831" s="9" t="n">
        <x:f>M1831-N1831</x:f>
        <x:v>406.4</x:v>
      </x:c>
      <x:c r="P1831" s="9" t="n">
        <x:f>IF(D1831="Completed",L1831*J1831*(1-K1831),0)</x:f>
        <x:v>0</x:v>
      </x:c>
      <x:c r="Q1831" s="9" t="n">
        <x:f>O1831-P1831</x:f>
        <x:v>406.4</x:v>
      </x:c>
      <x:c r="R1831" s="11" t="n">
        <x:f>IF(D1831="Completed",I1831,0)</x:f>
        <x:v>2</x:v>
      </x:c>
      <x:c r="S1831" s="11" t="n">
        <x:f>IF(D1831="Completed",L1831,0)</x:f>
        <x:v>0</x:v>
      </x:c>
      <x:c r="T1831" s="8" t="n">
        <x:f>DATE(YEAR(C1831),MONTH(C1831),1)</x:f>
        <x:v>45839</x:v>
      </x:c>
    </x:row>
    <x:row r="1832" ht="22" customHeight="1">
      <x:c r="A1832" s="2" t="str">
        <x:v>L001828</x:v>
      </x:c>
      <x:c r="B1832" s="2" t="str">
        <x:v>O00743</x:v>
      </x:c>
      <x:c r="C1832" s="7" t="n">
        <x:v>45953</x:v>
      </x:c>
      <x:c r="D1832" s="2" t="str">
        <x:v>Completed</x:v>
      </x:c>
      <x:c r="E1832" s="2" t="str">
        <x:v>East</x:v>
      </x:c>
      <x:c r="F1832" s="2" t="str">
        <x:v>Store</x:v>
      </x:c>
      <x:c r="G1832" s="2" t="str">
        <x:v>Furniture</x:v>
      </x:c>
      <x:c r="H1832" s="2" t="str">
        <x:v>Desk 024</x:v>
      </x:c>
      <x:c r="I1832" s="11" t="n">
        <x:v>1</x:v>
      </x:c>
      <x:c r="J1832" s="9" t="n">
        <x:v>81</x:v>
      </x:c>
      <x:c r="K1832" s="10" t="n">
        <x:v>0.2</x:v>
      </x:c>
      <x:c r="L1832" s="11" t="n">
        <x:v>1</x:v>
      </x:c>
      <x:c r="M1832" s="9" t="n">
        <x:f>IF(D1832="Completed",I1832*J1832,0)</x:f>
        <x:v>81</x:v>
      </x:c>
      <x:c r="N1832" s="9" t="n">
        <x:f>M1832*K1832</x:f>
        <x:v>16.2</x:v>
      </x:c>
      <x:c r="O1832" s="9" t="n">
        <x:f>M1832-N1832</x:f>
        <x:v>64.8</x:v>
      </x:c>
      <x:c r="P1832" s="9" t="n">
        <x:f>IF(D1832="Completed",L1832*J1832*(1-K1832),0)</x:f>
        <x:v>64.8</x:v>
      </x:c>
      <x:c r="Q1832" s="9" t="n">
        <x:f>O1832-P1832</x:f>
        <x:v>0</x:v>
      </x:c>
      <x:c r="R1832" s="11" t="n">
        <x:f>IF(D1832="Completed",I1832,0)</x:f>
        <x:v>1</x:v>
      </x:c>
      <x:c r="S1832" s="11" t="n">
        <x:f>IF(D1832="Completed",L1832,0)</x:f>
        <x:v>1</x:v>
      </x:c>
      <x:c r="T1832" s="8" t="n">
        <x:f>DATE(YEAR(C1832),MONTH(C1832),1)</x:f>
        <x:v>45931</x:v>
      </x:c>
    </x:row>
    <x:row r="1833" ht="22" customHeight="1">
      <x:c r="A1833" s="2" t="str">
        <x:v>L001829</x:v>
      </x:c>
      <x:c r="B1833" s="2" t="str">
        <x:v>O00743</x:v>
      </x:c>
      <x:c r="C1833" s="7" t="n">
        <x:v>45953</x:v>
      </x:c>
      <x:c r="D1833" s="2" t="str">
        <x:v>Completed</x:v>
      </x:c>
      <x:c r="E1833" s="2" t="str">
        <x:v>East</x:v>
      </x:c>
      <x:c r="F1833" s="2" t="str">
        <x:v>Store</x:v>
      </x:c>
      <x:c r="G1833" s="2" t="str">
        <x:v>Storage</x:v>
      </x:c>
      <x:c r="H1833" s="2" t="str">
        <x:v>Shelf 019</x:v>
      </x:c>
      <x:c r="I1833" s="11" t="n">
        <x:v>2</x:v>
      </x:c>
      <x:c r="J1833" s="9" t="n">
        <x:v>78</x:v>
      </x:c>
      <x:c r="K1833" s="10" t="n">
        <x:v>0.2</x:v>
      </x:c>
      <x:c r="L1833" s="11" t="n">
        <x:v>0</x:v>
      </x:c>
      <x:c r="M1833" s="9" t="n">
        <x:f>IF(D1833="Completed",I1833*J1833,0)</x:f>
        <x:v>156</x:v>
      </x:c>
      <x:c r="N1833" s="9" t="n">
        <x:f>M1833*K1833</x:f>
        <x:v>31.200000000000003</x:v>
      </x:c>
      <x:c r="O1833" s="9" t="n">
        <x:f>M1833-N1833</x:f>
        <x:v>124.8</x:v>
      </x:c>
      <x:c r="P1833" s="9" t="n">
        <x:f>IF(D1833="Completed",L1833*J1833*(1-K1833),0)</x:f>
        <x:v>0</x:v>
      </x:c>
      <x:c r="Q1833" s="9" t="n">
        <x:f>O1833-P1833</x:f>
        <x:v>124.8</x:v>
      </x:c>
      <x:c r="R1833" s="11" t="n">
        <x:f>IF(D1833="Completed",I1833,0)</x:f>
        <x:v>2</x:v>
      </x:c>
      <x:c r="S1833" s="11" t="n">
        <x:f>IF(D1833="Completed",L1833,0)</x:f>
        <x:v>0</x:v>
      </x:c>
      <x:c r="T1833" s="8" t="n">
        <x:f>DATE(YEAR(C1833),MONTH(C1833),1)</x:f>
        <x:v>45931</x:v>
      </x:c>
    </x:row>
    <x:row r="1834" ht="22" customHeight="1">
      <x:c r="A1834" s="2" t="str">
        <x:v>L001830</x:v>
      </x:c>
      <x:c r="B1834" s="2" t="str">
        <x:v>O00743</x:v>
      </x:c>
      <x:c r="C1834" s="7" t="n">
        <x:v>45953</x:v>
      </x:c>
      <x:c r="D1834" s="2" t="str">
        <x:v>Completed</x:v>
      </x:c>
      <x:c r="E1834" s="2" t="str">
        <x:v>East</x:v>
      </x:c>
      <x:c r="F1834" s="2" t="str">
        <x:v>Store</x:v>
      </x:c>
      <x:c r="G1834" s="2" t="str">
        <x:v>Furniture</x:v>
      </x:c>
      <x:c r="H1834" s="2" t="str">
        <x:v>Chair 014</x:v>
      </x:c>
      <x:c r="I1834" s="11" t="n">
        <x:v>1</x:v>
      </x:c>
      <x:c r="J1834" s="9" t="n">
        <x:v>294</x:v>
      </x:c>
      <x:c r="K1834" s="10" t="n">
        <x:v>0</x:v>
      </x:c>
      <x:c r="L1834" s="11" t="n">
        <x:v>1</x:v>
      </x:c>
      <x:c r="M1834" s="9" t="n">
        <x:f>IF(D1834="Completed",I1834*J1834,0)</x:f>
        <x:v>294</x:v>
      </x:c>
      <x:c r="N1834" s="9" t="n">
        <x:f>M1834*K1834</x:f>
        <x:v>0</x:v>
      </x:c>
      <x:c r="O1834" s="9" t="n">
        <x:f>M1834-N1834</x:f>
        <x:v>294</x:v>
      </x:c>
      <x:c r="P1834" s="9" t="n">
        <x:f>IF(D1834="Completed",L1834*J1834*(1-K1834),0)</x:f>
        <x:v>294</x:v>
      </x:c>
      <x:c r="Q1834" s="9" t="n">
        <x:f>O1834-P1834</x:f>
        <x:v>0</x:v>
      </x:c>
      <x:c r="R1834" s="11" t="n">
        <x:f>IF(D1834="Completed",I1834,0)</x:f>
        <x:v>1</x:v>
      </x:c>
      <x:c r="S1834" s="11" t="n">
        <x:f>IF(D1834="Completed",L1834,0)</x:f>
        <x:v>1</x:v>
      </x:c>
      <x:c r="T1834" s="8" t="n">
        <x:f>DATE(YEAR(C1834),MONTH(C1834),1)</x:f>
        <x:v>45931</x:v>
      </x:c>
    </x:row>
    <x:row r="1835" ht="22" customHeight="1">
      <x:c r="A1835" s="2" t="str">
        <x:v>L001831</x:v>
      </x:c>
      <x:c r="B1835" s="2" t="str">
        <x:v>O00744</x:v>
      </x:c>
      <x:c r="C1835" s="7" t="n">
        <x:v>45884</x:v>
      </x:c>
      <x:c r="D1835" s="2" t="str">
        <x:v>Completed</x:v>
      </x:c>
      <x:c r="E1835" s="2" t="str">
        <x:v>South</x:v>
      </x:c>
      <x:c r="F1835" s="2" t="str">
        <x:v>Store</x:v>
      </x:c>
      <x:c r="G1835" s="2" t="str">
        <x:v>Storage</x:v>
      </x:c>
      <x:c r="H1835" s="2" t="str">
        <x:v>Shelf 011</x:v>
      </x:c>
      <x:c r="I1835" s="11" t="n">
        <x:v>3</x:v>
      </x:c>
      <x:c r="J1835" s="9" t="n">
        <x:v>80</x:v>
      </x:c>
      <x:c r="K1835" s="10" t="n">
        <x:v>0</x:v>
      </x:c>
      <x:c r="L1835" s="11" t="n">
        <x:v>0</x:v>
      </x:c>
      <x:c r="M1835" s="9" t="n">
        <x:f>IF(D1835="Completed",I1835*J1835,0)</x:f>
        <x:v>240</x:v>
      </x:c>
      <x:c r="N1835" s="9" t="n">
        <x:f>M1835*K1835</x:f>
        <x:v>0</x:v>
      </x:c>
      <x:c r="O1835" s="9" t="n">
        <x:f>M1835-N1835</x:f>
        <x:v>240</x:v>
      </x:c>
      <x:c r="P1835" s="9" t="n">
        <x:f>IF(D1835="Completed",L1835*J1835*(1-K1835),0)</x:f>
        <x:v>0</x:v>
      </x:c>
      <x:c r="Q1835" s="9" t="n">
        <x:f>O1835-P1835</x:f>
        <x:v>240</x:v>
      </x:c>
      <x:c r="R1835" s="11" t="n">
        <x:f>IF(D1835="Completed",I1835,0)</x:f>
        <x:v>3</x:v>
      </x:c>
      <x:c r="S1835" s="11" t="n">
        <x:f>IF(D1835="Completed",L1835,0)</x:f>
        <x:v>0</x:v>
      </x:c>
      <x:c r="T1835" s="8" t="n">
        <x:f>DATE(YEAR(C1835),MONTH(C1835),1)</x:f>
        <x:v>45870</x:v>
      </x:c>
    </x:row>
    <x:row r="1836" ht="22" customHeight="1">
      <x:c r="A1836" s="2" t="str">
        <x:v>L001832</x:v>
      </x:c>
      <x:c r="B1836" s="2" t="str">
        <x:v>O00744</x:v>
      </x:c>
      <x:c r="C1836" s="7" t="n">
        <x:v>45884</x:v>
      </x:c>
      <x:c r="D1836" s="2" t="str">
        <x:v>Completed</x:v>
      </x:c>
      <x:c r="E1836" s="2" t="str">
        <x:v>South</x:v>
      </x:c>
      <x:c r="F1836" s="2" t="str">
        <x:v>Store</x:v>
      </x:c>
      <x:c r="G1836" s="2" t="str">
        <x:v>Storage</x:v>
      </x:c>
      <x:c r="H1836" s="2" t="str">
        <x:v>Shelf 003</x:v>
      </x:c>
      <x:c r="I1836" s="11" t="n">
        <x:v>2</x:v>
      </x:c>
      <x:c r="J1836" s="9" t="n">
        <x:v>199</x:v>
      </x:c>
      <x:c r="K1836" s="10" t="n">
        <x:v>0.2</x:v>
      </x:c>
      <x:c r="L1836" s="11" t="n">
        <x:v>0</x:v>
      </x:c>
      <x:c r="M1836" s="9" t="n">
        <x:f>IF(D1836="Completed",I1836*J1836,0)</x:f>
        <x:v>398</x:v>
      </x:c>
      <x:c r="N1836" s="9" t="n">
        <x:f>M1836*K1836</x:f>
        <x:v>79.60000000000001</x:v>
      </x:c>
      <x:c r="O1836" s="9" t="n">
        <x:f>M1836-N1836</x:f>
        <x:v>318.4</x:v>
      </x:c>
      <x:c r="P1836" s="9" t="n">
        <x:f>IF(D1836="Completed",L1836*J1836*(1-K1836),0)</x:f>
        <x:v>0</x:v>
      </x:c>
      <x:c r="Q1836" s="9" t="n">
        <x:f>O1836-P1836</x:f>
        <x:v>318.4</x:v>
      </x:c>
      <x:c r="R1836" s="11" t="n">
        <x:f>IF(D1836="Completed",I1836,0)</x:f>
        <x:v>2</x:v>
      </x:c>
      <x:c r="S1836" s="11" t="n">
        <x:f>IF(D1836="Completed",L1836,0)</x:f>
        <x:v>0</x:v>
      </x:c>
      <x:c r="T1836" s="8" t="n">
        <x:f>DATE(YEAR(C1836),MONTH(C1836),1)</x:f>
        <x:v>45870</x:v>
      </x:c>
    </x:row>
    <x:row r="1837" ht="22" customHeight="1">
      <x:c r="A1837" s="2" t="str">
        <x:v>L001833</x:v>
      </x:c>
      <x:c r="B1837" s="2" t="str">
        <x:v>O00744</x:v>
      </x:c>
      <x:c r="C1837" s="7" t="n">
        <x:v>45884</x:v>
      </x:c>
      <x:c r="D1837" s="2" t="str">
        <x:v>Completed</x:v>
      </x:c>
      <x:c r="E1837" s="2" t="str">
        <x:v>South</x:v>
      </x:c>
      <x:c r="F1837" s="2" t="str">
        <x:v>Store</x:v>
      </x:c>
      <x:c r="G1837" s="2" t="str">
        <x:v>Furniture</x:v>
      </x:c>
      <x:c r="H1837" s="2" t="str">
        <x:v>Chair 002</x:v>
      </x:c>
      <x:c r="I1837" s="11" t="n">
        <x:v>1</x:v>
      </x:c>
      <x:c r="J1837" s="9" t="n">
        <x:v>284</x:v>
      </x:c>
      <x:c r="K1837" s="10" t="n">
        <x:v>0.2</x:v>
      </x:c>
      <x:c r="L1837" s="11" t="n">
        <x:v>0</x:v>
      </x:c>
      <x:c r="M1837" s="9" t="n">
        <x:f>IF(D1837="Completed",I1837*J1837,0)</x:f>
        <x:v>284</x:v>
      </x:c>
      <x:c r="N1837" s="9" t="n">
        <x:f>M1837*K1837</x:f>
        <x:v>56.800000000000004</x:v>
      </x:c>
      <x:c r="O1837" s="9" t="n">
        <x:f>M1837-N1837</x:f>
        <x:v>227.2</x:v>
      </x:c>
      <x:c r="P1837" s="9" t="n">
        <x:f>IF(D1837="Completed",L1837*J1837*(1-K1837),0)</x:f>
        <x:v>0</x:v>
      </x:c>
      <x:c r="Q1837" s="9" t="n">
        <x:f>O1837-P1837</x:f>
        <x:v>227.2</x:v>
      </x:c>
      <x:c r="R1837" s="11" t="n">
        <x:f>IF(D1837="Completed",I1837,0)</x:f>
        <x:v>1</x:v>
      </x:c>
      <x:c r="S1837" s="11" t="n">
        <x:f>IF(D1837="Completed",L1837,0)</x:f>
        <x:v>0</x:v>
      </x:c>
      <x:c r="T1837" s="8" t="n">
        <x:f>DATE(YEAR(C1837),MONTH(C1837),1)</x:f>
        <x:v>45870</x:v>
      </x:c>
    </x:row>
    <x:row r="1838" ht="22" customHeight="1">
      <x:c r="A1838" s="2" t="str">
        <x:v>L001834</x:v>
      </x:c>
      <x:c r="B1838" s="2" t="str">
        <x:v>O00745</x:v>
      </x:c>
      <x:c r="C1838" s="7" t="n">
        <x:v>45864</x:v>
      </x:c>
      <x:c r="D1838" s="2" t="str">
        <x:v>Completed</x:v>
      </x:c>
      <x:c r="E1838" s="2" t="str">
        <x:v>West</x:v>
      </x:c>
      <x:c r="F1838" s="2" t="str">
        <x:v>Online</x:v>
      </x:c>
      <x:c r="G1838" s="2" t="str">
        <x:v>Storage</x:v>
      </x:c>
      <x:c r="H1838" s="2" t="str">
        <x:v>Shelf 019</x:v>
      </x:c>
      <x:c r="I1838" s="11" t="n">
        <x:v>5</x:v>
      </x:c>
      <x:c r="J1838" s="9" t="n">
        <x:v>78</x:v>
      </x:c>
      <x:c r="K1838" s="10" t="n">
        <x:v>0.1</x:v>
      </x:c>
      <x:c r="L1838" s="11" t="n">
        <x:v>0</x:v>
      </x:c>
      <x:c r="M1838" s="9" t="n">
        <x:f>IF(D1838="Completed",I1838*J1838,0)</x:f>
        <x:v>390</x:v>
      </x:c>
      <x:c r="N1838" s="9" t="n">
        <x:f>M1838*K1838</x:f>
        <x:v>39</x:v>
      </x:c>
      <x:c r="O1838" s="9" t="n">
        <x:f>M1838-N1838</x:f>
        <x:v>351</x:v>
      </x:c>
      <x:c r="P1838" s="9" t="n">
        <x:f>IF(D1838="Completed",L1838*J1838*(1-K1838),0)</x:f>
        <x:v>0</x:v>
      </x:c>
      <x:c r="Q1838" s="9" t="n">
        <x:f>O1838-P1838</x:f>
        <x:v>351</x:v>
      </x:c>
      <x:c r="R1838" s="11" t="n">
        <x:f>IF(D1838="Completed",I1838,0)</x:f>
        <x:v>5</x:v>
      </x:c>
      <x:c r="S1838" s="11" t="n">
        <x:f>IF(D1838="Completed",L1838,0)</x:f>
        <x:v>0</x:v>
      </x:c>
      <x:c r="T1838" s="8" t="n">
        <x:f>DATE(YEAR(C1838),MONTH(C1838),1)</x:f>
        <x:v>45839</x:v>
      </x:c>
    </x:row>
    <x:row r="1839" ht="22" customHeight="1">
      <x:c r="A1839" s="2" t="str">
        <x:v>L001835</x:v>
      </x:c>
      <x:c r="B1839" s="2" t="str">
        <x:v>O00746</x:v>
      </x:c>
      <x:c r="C1839" s="7" t="n">
        <x:v>45869</x:v>
      </x:c>
      <x:c r="D1839" s="2" t="str">
        <x:v>Completed</x:v>
      </x:c>
      <x:c r="E1839" s="2" t="str">
        <x:v>North</x:v>
      </x:c>
      <x:c r="F1839" s="2" t="str">
        <x:v>Store</x:v>
      </x:c>
      <x:c r="G1839" s="2" t="str">
        <x:v>Furniture</x:v>
      </x:c>
      <x:c r="H1839" s="2" t="str">
        <x:v>Desk 004</x:v>
      </x:c>
      <x:c r="I1839" s="11" t="n">
        <x:v>2</x:v>
      </x:c>
      <x:c r="J1839" s="9" t="n">
        <x:v>123</x:v>
      </x:c>
      <x:c r="K1839" s="10" t="n">
        <x:v>0.1</x:v>
      </x:c>
      <x:c r="L1839" s="11" t="n">
        <x:v>0</x:v>
      </x:c>
      <x:c r="M1839" s="9" t="n">
        <x:f>IF(D1839="Completed",I1839*J1839,0)</x:f>
        <x:v>246</x:v>
      </x:c>
      <x:c r="N1839" s="9" t="n">
        <x:f>M1839*K1839</x:f>
        <x:v>24.6</x:v>
      </x:c>
      <x:c r="O1839" s="9" t="n">
        <x:f>M1839-N1839</x:f>
        <x:v>221.4</x:v>
      </x:c>
      <x:c r="P1839" s="9" t="n">
        <x:f>IF(D1839="Completed",L1839*J1839*(1-K1839),0)</x:f>
        <x:v>0</x:v>
      </x:c>
      <x:c r="Q1839" s="9" t="n">
        <x:f>O1839-P1839</x:f>
        <x:v>221.4</x:v>
      </x:c>
      <x:c r="R1839" s="11" t="n">
        <x:f>IF(D1839="Completed",I1839,0)</x:f>
        <x:v>2</x:v>
      </x:c>
      <x:c r="S1839" s="11" t="n">
        <x:f>IF(D1839="Completed",L1839,0)</x:f>
        <x:v>0</x:v>
      </x:c>
      <x:c r="T1839" s="8" t="n">
        <x:f>DATE(YEAR(C1839),MONTH(C1839),1)</x:f>
        <x:v>45839</x:v>
      </x:c>
    </x:row>
    <x:row r="1840" ht="22" customHeight="1">
      <x:c r="A1840" s="2" t="str">
        <x:v>L001836</x:v>
      </x:c>
      <x:c r="B1840" s="2" t="str">
        <x:v>O00746</x:v>
      </x:c>
      <x:c r="C1840" s="7" t="n">
        <x:v>45869</x:v>
      </x:c>
      <x:c r="D1840" s="2" t="str">
        <x:v>Completed</x:v>
      </x:c>
      <x:c r="E1840" s="2" t="str">
        <x:v>North</x:v>
      </x:c>
      <x:c r="F1840" s="2" t="str">
        <x:v>Store</x:v>
      </x:c>
      <x:c r="G1840" s="2" t="str">
        <x:v>Lighting</x:v>
      </x:c>
      <x:c r="H1840" s="2" t="str">
        <x:v>Lamp 021</x:v>
      </x:c>
      <x:c r="I1840" s="11" t="n">
        <x:v>5</x:v>
      </x:c>
      <x:c r="J1840" s="9" t="n">
        <x:v>249</x:v>
      </x:c>
      <x:c r="K1840" s="10" t="n">
        <x:v>0</x:v>
      </x:c>
      <x:c r="L1840" s="11" t="n">
        <x:v>2</x:v>
      </x:c>
      <x:c r="M1840" s="9" t="n">
        <x:f>IF(D1840="Completed",I1840*J1840,0)</x:f>
        <x:v>1245</x:v>
      </x:c>
      <x:c r="N1840" s="9" t="n">
        <x:f>M1840*K1840</x:f>
        <x:v>0</x:v>
      </x:c>
      <x:c r="O1840" s="9" t="n">
        <x:f>M1840-N1840</x:f>
        <x:v>1245</x:v>
      </x:c>
      <x:c r="P1840" s="9" t="n">
        <x:f>IF(D1840="Completed",L1840*J1840*(1-K1840),0)</x:f>
        <x:v>498</x:v>
      </x:c>
      <x:c r="Q1840" s="9" t="n">
        <x:f>O1840-P1840</x:f>
        <x:v>747</x:v>
      </x:c>
      <x:c r="R1840" s="11" t="n">
        <x:f>IF(D1840="Completed",I1840,0)</x:f>
        <x:v>5</x:v>
      </x:c>
      <x:c r="S1840" s="11" t="n">
        <x:f>IF(D1840="Completed",L1840,0)</x:f>
        <x:v>2</x:v>
      </x:c>
      <x:c r="T1840" s="8" t="n">
        <x:f>DATE(YEAR(C1840),MONTH(C1840),1)</x:f>
        <x:v>45839</x:v>
      </x:c>
    </x:row>
    <x:row r="1841" ht="22" customHeight="1">
      <x:c r="A1841" s="2" t="str">
        <x:v>L001837</x:v>
      </x:c>
      <x:c r="B1841" s="2" t="str">
        <x:v>O00747</x:v>
      </x:c>
      <x:c r="C1841" s="7" t="n">
        <x:v>45860</x:v>
      </x:c>
      <x:c r="D1841" s="2" t="str">
        <x:v>Completed</x:v>
      </x:c>
      <x:c r="E1841" s="2" t="str">
        <x:v>West</x:v>
      </x:c>
      <x:c r="F1841" s="2" t="str">
        <x:v>Online</x:v>
      </x:c>
      <x:c r="G1841" s="2" t="str">
        <x:v>Furniture</x:v>
      </x:c>
      <x:c r="H1841" s="2" t="str">
        <x:v>Chair 002</x:v>
      </x:c>
      <x:c r="I1841" s="11" t="n">
        <x:v>2</x:v>
      </x:c>
      <x:c r="J1841" s="9" t="n">
        <x:v>284</x:v>
      </x:c>
      <x:c r="K1841" s="10" t="n">
        <x:v>0.05</x:v>
      </x:c>
      <x:c r="L1841" s="11" t="n">
        <x:v>0</x:v>
      </x:c>
      <x:c r="M1841" s="9" t="n">
        <x:f>IF(D1841="Completed",I1841*J1841,0)</x:f>
        <x:v>568</x:v>
      </x:c>
      <x:c r="N1841" s="9" t="n">
        <x:f>M1841*K1841</x:f>
        <x:v>28.400000000000002</x:v>
      </x:c>
      <x:c r="O1841" s="9" t="n">
        <x:f>M1841-N1841</x:f>
        <x:v>539.6</x:v>
      </x:c>
      <x:c r="P1841" s="9" t="n">
        <x:f>IF(D1841="Completed",L1841*J1841*(1-K1841),0)</x:f>
        <x:v>0</x:v>
      </x:c>
      <x:c r="Q1841" s="9" t="n">
        <x:f>O1841-P1841</x:f>
        <x:v>539.6</x:v>
      </x:c>
      <x:c r="R1841" s="11" t="n">
        <x:f>IF(D1841="Completed",I1841,0)</x:f>
        <x:v>2</x:v>
      </x:c>
      <x:c r="S1841" s="11" t="n">
        <x:f>IF(D1841="Completed",L1841,0)</x:f>
        <x:v>0</x:v>
      </x:c>
      <x:c r="T1841" s="8" t="n">
        <x:f>DATE(YEAR(C1841),MONTH(C1841),1)</x:f>
        <x:v>45839</x:v>
      </x:c>
    </x:row>
    <x:row r="1842" ht="22" customHeight="1">
      <x:c r="A1842" s="2" t="str">
        <x:v>L001838</x:v>
      </x:c>
      <x:c r="B1842" s="2" t="str">
        <x:v>O00747</x:v>
      </x:c>
      <x:c r="C1842" s="7" t="n">
        <x:v>45860</x:v>
      </x:c>
      <x:c r="D1842" s="2" t="str">
        <x:v>Completed</x:v>
      </x:c>
      <x:c r="E1842" s="2" t="str">
        <x:v>West</x:v>
      </x:c>
      <x:c r="F1842" s="2" t="str">
        <x:v>Online</x:v>
      </x:c>
      <x:c r="G1842" s="2" t="str">
        <x:v>Furniture</x:v>
      </x:c>
      <x:c r="H1842" s="2" t="str">
        <x:v>Chair 010</x:v>
      </x:c>
      <x:c r="I1842" s="11" t="n">
        <x:v>5</x:v>
      </x:c>
      <x:c r="J1842" s="9" t="n">
        <x:v>211</x:v>
      </x:c>
      <x:c r="K1842" s="10" t="n">
        <x:v>0</x:v>
      </x:c>
      <x:c r="L1842" s="11" t="n">
        <x:v>0</x:v>
      </x:c>
      <x:c r="M1842" s="9" t="n">
        <x:f>IF(D1842="Completed",I1842*J1842,0)</x:f>
        <x:v>1055</x:v>
      </x:c>
      <x:c r="N1842" s="9" t="n">
        <x:f>M1842*K1842</x:f>
        <x:v>0</x:v>
      </x:c>
      <x:c r="O1842" s="9" t="n">
        <x:f>M1842-N1842</x:f>
        <x:v>1055</x:v>
      </x:c>
      <x:c r="P1842" s="9" t="n">
        <x:f>IF(D1842="Completed",L1842*J1842*(1-K1842),0)</x:f>
        <x:v>0</x:v>
      </x:c>
      <x:c r="Q1842" s="9" t="n">
        <x:f>O1842-P1842</x:f>
        <x:v>1055</x:v>
      </x:c>
      <x:c r="R1842" s="11" t="n">
        <x:f>IF(D1842="Completed",I1842,0)</x:f>
        <x:v>5</x:v>
      </x:c>
      <x:c r="S1842" s="11" t="n">
        <x:f>IF(D1842="Completed",L1842,0)</x:f>
        <x:v>0</x:v>
      </x:c>
      <x:c r="T1842" s="8" t="n">
        <x:f>DATE(YEAR(C1842),MONTH(C1842),1)</x:f>
        <x:v>45839</x:v>
      </x:c>
    </x:row>
    <x:row r="1843" ht="22" customHeight="1">
      <x:c r="A1843" s="2" t="str">
        <x:v>L001839</x:v>
      </x:c>
      <x:c r="B1843" s="2" t="str">
        <x:v>O00747</x:v>
      </x:c>
      <x:c r="C1843" s="7" t="n">
        <x:v>45860</x:v>
      </x:c>
      <x:c r="D1843" s="2" t="str">
        <x:v>Completed</x:v>
      </x:c>
      <x:c r="E1843" s="2" t="str">
        <x:v>West</x:v>
      </x:c>
      <x:c r="F1843" s="2" t="str">
        <x:v>Online</x:v>
      </x:c>
      <x:c r="G1843" s="2" t="str">
        <x:v>Lighting</x:v>
      </x:c>
      <x:c r="H1843" s="2" t="str">
        <x:v>Lamp 017</x:v>
      </x:c>
      <x:c r="I1843" s="11" t="n">
        <x:v>3</x:v>
      </x:c>
      <x:c r="J1843" s="9" t="n">
        <x:v>300</x:v>
      </x:c>
      <x:c r="K1843" s="10" t="n">
        <x:v>0</x:v>
      </x:c>
      <x:c r="L1843" s="11" t="n">
        <x:v>0</x:v>
      </x:c>
      <x:c r="M1843" s="9" t="n">
        <x:f>IF(D1843="Completed",I1843*J1843,0)</x:f>
        <x:v>900</x:v>
      </x:c>
      <x:c r="N1843" s="9" t="n">
        <x:f>M1843*K1843</x:f>
        <x:v>0</x:v>
      </x:c>
      <x:c r="O1843" s="9" t="n">
        <x:f>M1843-N1843</x:f>
        <x:v>900</x:v>
      </x:c>
      <x:c r="P1843" s="9" t="n">
        <x:f>IF(D1843="Completed",L1843*J1843*(1-K1843),0)</x:f>
        <x:v>0</x:v>
      </x:c>
      <x:c r="Q1843" s="9" t="n">
        <x:f>O1843-P1843</x:f>
        <x:v>900</x:v>
      </x:c>
      <x:c r="R1843" s="11" t="n">
        <x:f>IF(D1843="Completed",I1843,0)</x:f>
        <x:v>3</x:v>
      </x:c>
      <x:c r="S1843" s="11" t="n">
        <x:f>IF(D1843="Completed",L1843,0)</x:f>
        <x:v>0</x:v>
      </x:c>
      <x:c r="T1843" s="8" t="n">
        <x:f>DATE(YEAR(C1843),MONTH(C1843),1)</x:f>
        <x:v>45839</x:v>
      </x:c>
    </x:row>
    <x:row r="1844" ht="22" customHeight="1">
      <x:c r="A1844" s="2" t="str">
        <x:v>L001840</x:v>
      </x:c>
      <x:c r="B1844" s="2" t="str">
        <x:v>O00748</x:v>
      </x:c>
      <x:c r="C1844" s="7" t="n">
        <x:v>45731</x:v>
      </x:c>
      <x:c r="D1844" s="2" t="str">
        <x:v>Cancelled</x:v>
      </x:c>
      <x:c r="E1844" s="2" t="str">
        <x:v>East</x:v>
      </x:c>
      <x:c r="F1844" s="2" t="str">
        <x:v>Online</x:v>
      </x:c>
      <x:c r="G1844" s="2" t="str">
        <x:v>Storage</x:v>
      </x:c>
      <x:c r="H1844" s="2" t="str">
        <x:v>Shelf 011</x:v>
      </x:c>
      <x:c r="I1844" s="11" t="n">
        <x:v>3</x:v>
      </x:c>
      <x:c r="J1844" s="9" t="n">
        <x:v>80</x:v>
      </x:c>
      <x:c r="K1844" s="10" t="n">
        <x:v>0.05</x:v>
      </x:c>
      <x:c r="L1844" s="11" t="n">
        <x:v>0</x:v>
      </x:c>
      <x:c r="M1844" s="9" t="n">
        <x:f>IF(D1844="Completed",I1844*J1844,0)</x:f>
        <x:v>0</x:v>
      </x:c>
      <x:c r="N1844" s="9" t="n">
        <x:f>M1844*K1844</x:f>
        <x:v>0</x:v>
      </x:c>
      <x:c r="O1844" s="9" t="n">
        <x:f>M1844-N1844</x:f>
        <x:v>0</x:v>
      </x:c>
      <x:c r="P1844" s="9" t="n">
        <x:f>IF(D1844="Completed",L1844*J1844*(1-K1844),0)</x:f>
        <x:v>0</x:v>
      </x:c>
      <x:c r="Q1844" s="9" t="n">
        <x:f>O1844-P1844</x:f>
        <x:v>0</x:v>
      </x:c>
      <x:c r="R1844" s="11" t="n">
        <x:f>IF(D1844="Completed",I1844,0)</x:f>
        <x:v>0</x:v>
      </x:c>
      <x:c r="S1844" s="11" t="n">
        <x:f>IF(D1844="Completed",L1844,0)</x:f>
        <x:v>0</x:v>
      </x:c>
      <x:c r="T1844" s="8" t="n">
        <x:f>DATE(YEAR(C1844),MONTH(C1844),1)</x:f>
        <x:v>45717</x:v>
      </x:c>
    </x:row>
    <x:row r="1845" ht="22" customHeight="1">
      <x:c r="A1845" s="2" t="str">
        <x:v>L001841</x:v>
      </x:c>
      <x:c r="B1845" s="2" t="str">
        <x:v>O00749</x:v>
      </x:c>
      <x:c r="C1845" s="7" t="n">
        <x:v>45882</x:v>
      </x:c>
      <x:c r="D1845" s="2" t="str">
        <x:v>Completed</x:v>
      </x:c>
      <x:c r="E1845" s="2" t="str">
        <x:v>East</x:v>
      </x:c>
      <x:c r="F1845" s="2" t="str">
        <x:v>Store</x:v>
      </x:c>
      <x:c r="G1845" s="2" t="str">
        <x:v>Storage</x:v>
      </x:c>
      <x:c r="H1845" s="2" t="str">
        <x:v>Shelf 007</x:v>
      </x:c>
      <x:c r="I1845" s="11" t="n">
        <x:v>4</x:v>
      </x:c>
      <x:c r="J1845" s="9" t="n">
        <x:v>35</x:v>
      </x:c>
      <x:c r="K1845" s="10" t="n">
        <x:v>0.2</x:v>
      </x:c>
      <x:c r="L1845" s="11" t="n">
        <x:v>0</x:v>
      </x:c>
      <x:c r="M1845" s="9" t="n">
        <x:f>IF(D1845="Completed",I1845*J1845,0)</x:f>
        <x:v>140</x:v>
      </x:c>
      <x:c r="N1845" s="9" t="n">
        <x:f>M1845*K1845</x:f>
        <x:v>28</x:v>
      </x:c>
      <x:c r="O1845" s="9" t="n">
        <x:f>M1845-N1845</x:f>
        <x:v>112</x:v>
      </x:c>
      <x:c r="P1845" s="9" t="n">
        <x:f>IF(D1845="Completed",L1845*J1845*(1-K1845),0)</x:f>
        <x:v>0</x:v>
      </x:c>
      <x:c r="Q1845" s="9" t="n">
        <x:f>O1845-P1845</x:f>
        <x:v>112</x:v>
      </x:c>
      <x:c r="R1845" s="11" t="n">
        <x:f>IF(D1845="Completed",I1845,0)</x:f>
        <x:v>4</x:v>
      </x:c>
      <x:c r="S1845" s="11" t="n">
        <x:f>IF(D1845="Completed",L1845,0)</x:f>
        <x:v>0</x:v>
      </x:c>
      <x:c r="T1845" s="8" t="n">
        <x:f>DATE(YEAR(C1845),MONTH(C1845),1)</x:f>
        <x:v>45870</x:v>
      </x:c>
    </x:row>
    <x:row r="1846" ht="22" customHeight="1">
      <x:c r="A1846" s="2" t="str">
        <x:v>L001842</x:v>
      </x:c>
      <x:c r="B1846" s="2" t="str">
        <x:v>O00749</x:v>
      </x:c>
      <x:c r="C1846" s="7" t="n">
        <x:v>45882</x:v>
      </x:c>
      <x:c r="D1846" s="2" t="str">
        <x:v>Completed</x:v>
      </x:c>
      <x:c r="E1846" s="2" t="str">
        <x:v>East</x:v>
      </x:c>
      <x:c r="F1846" s="2" t="str">
        <x:v>Store</x:v>
      </x:c>
      <x:c r="G1846" s="2" t="str">
        <x:v>Furniture</x:v>
      </x:c>
      <x:c r="H1846" s="2" t="str">
        <x:v>Desk 024</x:v>
      </x:c>
      <x:c r="I1846" s="11" t="n">
        <x:v>5</x:v>
      </x:c>
      <x:c r="J1846" s="9" t="n">
        <x:v>81</x:v>
      </x:c>
      <x:c r="K1846" s="10" t="n">
        <x:v>0.2</x:v>
      </x:c>
      <x:c r="L1846" s="11" t="n">
        <x:v>0</x:v>
      </x:c>
      <x:c r="M1846" s="9" t="n">
        <x:f>IF(D1846="Completed",I1846*J1846,0)</x:f>
        <x:v>405</x:v>
      </x:c>
      <x:c r="N1846" s="9" t="n">
        <x:f>M1846*K1846</x:f>
        <x:v>81</x:v>
      </x:c>
      <x:c r="O1846" s="9" t="n">
        <x:f>M1846-N1846</x:f>
        <x:v>324</x:v>
      </x:c>
      <x:c r="P1846" s="9" t="n">
        <x:f>IF(D1846="Completed",L1846*J1846*(1-K1846),0)</x:f>
        <x:v>0</x:v>
      </x:c>
      <x:c r="Q1846" s="9" t="n">
        <x:f>O1846-P1846</x:f>
        <x:v>324</x:v>
      </x:c>
      <x:c r="R1846" s="11" t="n">
        <x:f>IF(D1846="Completed",I1846,0)</x:f>
        <x:v>5</x:v>
      </x:c>
      <x:c r="S1846" s="11" t="n">
        <x:f>IF(D1846="Completed",L1846,0)</x:f>
        <x:v>0</x:v>
      </x:c>
      <x:c r="T1846" s="8" t="n">
        <x:f>DATE(YEAR(C1846),MONTH(C1846),1)</x:f>
        <x:v>45870</x:v>
      </x:c>
    </x:row>
    <x:row r="1847" ht="22" customHeight="1">
      <x:c r="A1847" s="2" t="str">
        <x:v>L001843</x:v>
      </x:c>
      <x:c r="B1847" s="2" t="str">
        <x:v>O00750</x:v>
      </x:c>
      <x:c r="C1847" s="7" t="n">
        <x:v>45876</x:v>
      </x:c>
      <x:c r="D1847" s="2" t="str">
        <x:v>Cancelled</x:v>
      </x:c>
      <x:c r="E1847" s="2" t="str">
        <x:v>North</x:v>
      </x:c>
      <x:c r="F1847" s="2" t="str">
        <x:v>Store</x:v>
      </x:c>
      <x:c r="G1847" s="2" t="str">
        <x:v>Furniture</x:v>
      </x:c>
      <x:c r="H1847" s="2" t="str">
        <x:v>Chair 018</x:v>
      </x:c>
      <x:c r="I1847" s="11" t="n">
        <x:v>3</x:v>
      </x:c>
      <x:c r="J1847" s="9" t="n">
        <x:v>269</x:v>
      </x:c>
      <x:c r="K1847" s="10" t="n">
        <x:v>0</x:v>
      </x:c>
      <x:c r="L1847" s="11" t="n">
        <x:v>0</x:v>
      </x:c>
      <x:c r="M1847" s="9" t="n">
        <x:f>IF(D1847="Completed",I1847*J1847,0)</x:f>
        <x:v>0</x:v>
      </x:c>
      <x:c r="N1847" s="9" t="n">
        <x:f>M1847*K1847</x:f>
        <x:v>0</x:v>
      </x:c>
      <x:c r="O1847" s="9" t="n">
        <x:f>M1847-N1847</x:f>
        <x:v>0</x:v>
      </x:c>
      <x:c r="P1847" s="9" t="n">
        <x:f>IF(D1847="Completed",L1847*J1847*(1-K1847),0)</x:f>
        <x:v>0</x:v>
      </x:c>
      <x:c r="Q1847" s="9" t="n">
        <x:f>O1847-P1847</x:f>
        <x:v>0</x:v>
      </x:c>
      <x:c r="R1847" s="11" t="n">
        <x:f>IF(D1847="Completed",I1847,0)</x:f>
        <x:v>0</x:v>
      </x:c>
      <x:c r="S1847" s="11" t="n">
        <x:f>IF(D1847="Completed",L1847,0)</x:f>
        <x:v>0</x:v>
      </x:c>
      <x:c r="T1847" s="8" t="n">
        <x:f>DATE(YEAR(C1847),MONTH(C1847),1)</x:f>
        <x:v>45870</x:v>
      </x:c>
    </x:row>
    <x:row r="1848" ht="22" customHeight="1">
      <x:c r="A1848" s="2" t="str">
        <x:v>L001844</x:v>
      </x:c>
      <x:c r="B1848" s="2" t="str">
        <x:v>O00751</x:v>
      </x:c>
      <x:c r="C1848" s="7" t="n">
        <x:v>45820</x:v>
      </x:c>
      <x:c r="D1848" s="2" t="str">
        <x:v>Completed</x:v>
      </x:c>
      <x:c r="E1848" s="2" t="str">
        <x:v>South</x:v>
      </x:c>
      <x:c r="F1848" s="2" t="str">
        <x:v>Store</x:v>
      </x:c>
      <x:c r="G1848" s="2" t="str">
        <x:v>Furniture</x:v>
      </x:c>
      <x:c r="H1848" s="2" t="str">
        <x:v>Chair 014</x:v>
      </x:c>
      <x:c r="I1848" s="11" t="n">
        <x:v>1</x:v>
      </x:c>
      <x:c r="J1848" s="9" t="n">
        <x:v>294</x:v>
      </x:c>
      <x:c r="K1848" s="10" t="n">
        <x:v>0.05</x:v>
      </x:c>
      <x:c r="L1848" s="11" t="n">
        <x:v>0</x:v>
      </x:c>
      <x:c r="M1848" s="9" t="n">
        <x:f>IF(D1848="Completed",I1848*J1848,0)</x:f>
        <x:v>294</x:v>
      </x:c>
      <x:c r="N1848" s="9" t="n">
        <x:f>M1848*K1848</x:f>
        <x:v>14.700000000000001</x:v>
      </x:c>
      <x:c r="O1848" s="9" t="n">
        <x:f>M1848-N1848</x:f>
        <x:v>279.3</x:v>
      </x:c>
      <x:c r="P1848" s="9" t="n">
        <x:f>IF(D1848="Completed",L1848*J1848*(1-K1848),0)</x:f>
        <x:v>0</x:v>
      </x:c>
      <x:c r="Q1848" s="9" t="n">
        <x:f>O1848-P1848</x:f>
        <x:v>279.3</x:v>
      </x:c>
      <x:c r="R1848" s="11" t="n">
        <x:f>IF(D1848="Completed",I1848,0)</x:f>
        <x:v>1</x:v>
      </x:c>
      <x:c r="S1848" s="11" t="n">
        <x:f>IF(D1848="Completed",L1848,0)</x:f>
        <x:v>0</x:v>
      </x:c>
      <x:c r="T1848" s="8" t="n">
        <x:f>DATE(YEAR(C1848),MONTH(C1848),1)</x:f>
        <x:v>45809</x:v>
      </x:c>
    </x:row>
    <x:row r="1849" ht="22" customHeight="1">
      <x:c r="A1849" s="2" t="str">
        <x:v>L001845</x:v>
      </x:c>
      <x:c r="B1849" s="2" t="str">
        <x:v>O00751</x:v>
      </x:c>
      <x:c r="C1849" s="7" t="n">
        <x:v>45820</x:v>
      </x:c>
      <x:c r="D1849" s="2" t="str">
        <x:v>Completed</x:v>
      </x:c>
      <x:c r="E1849" s="2" t="str">
        <x:v>South</x:v>
      </x:c>
      <x:c r="F1849" s="2" t="str">
        <x:v>Store</x:v>
      </x:c>
      <x:c r="G1849" s="2" t="str">
        <x:v>Storage</x:v>
      </x:c>
      <x:c r="H1849" s="2" t="str">
        <x:v>Shelf 019</x:v>
      </x:c>
      <x:c r="I1849" s="11" t="n">
        <x:v>5</x:v>
      </x:c>
      <x:c r="J1849" s="9" t="n">
        <x:v>78</x:v>
      </x:c>
      <x:c r="K1849" s="10" t="n">
        <x:v>0</x:v>
      </x:c>
      <x:c r="L1849" s="11" t="n">
        <x:v>0</x:v>
      </x:c>
      <x:c r="M1849" s="9" t="n">
        <x:f>IF(D1849="Completed",I1849*J1849,0)</x:f>
        <x:v>390</x:v>
      </x:c>
      <x:c r="N1849" s="9" t="n">
        <x:f>M1849*K1849</x:f>
        <x:v>0</x:v>
      </x:c>
      <x:c r="O1849" s="9" t="n">
        <x:f>M1849-N1849</x:f>
        <x:v>390</x:v>
      </x:c>
      <x:c r="P1849" s="9" t="n">
        <x:f>IF(D1849="Completed",L1849*J1849*(1-K1849),0)</x:f>
        <x:v>0</x:v>
      </x:c>
      <x:c r="Q1849" s="9" t="n">
        <x:f>O1849-P1849</x:f>
        <x:v>390</x:v>
      </x:c>
      <x:c r="R1849" s="11" t="n">
        <x:f>IF(D1849="Completed",I1849,0)</x:f>
        <x:v>5</x:v>
      </x:c>
      <x:c r="S1849" s="11" t="n">
        <x:f>IF(D1849="Completed",L1849,0)</x:f>
        <x:v>0</x:v>
      </x:c>
      <x:c r="T1849" s="8" t="n">
        <x:f>DATE(YEAR(C1849),MONTH(C1849),1)</x:f>
        <x:v>45809</x:v>
      </x:c>
    </x:row>
    <x:row r="1850" ht="22" customHeight="1">
      <x:c r="A1850" s="2" t="str">
        <x:v>L001846</x:v>
      </x:c>
      <x:c r="B1850" s="2" t="str">
        <x:v>O00751</x:v>
      </x:c>
      <x:c r="C1850" s="7" t="n">
        <x:v>45820</x:v>
      </x:c>
      <x:c r="D1850" s="2" t="str">
        <x:v>Completed</x:v>
      </x:c>
      <x:c r="E1850" s="2" t="str">
        <x:v>South</x:v>
      </x:c>
      <x:c r="F1850" s="2" t="str">
        <x:v>Store</x:v>
      </x:c>
      <x:c r="G1850" s="2" t="str">
        <x:v>Lighting</x:v>
      </x:c>
      <x:c r="H1850" s="2" t="str">
        <x:v>Lamp 021</x:v>
      </x:c>
      <x:c r="I1850" s="11" t="n">
        <x:v>3</x:v>
      </x:c>
      <x:c r="J1850" s="9" t="n">
        <x:v>249</x:v>
      </x:c>
      <x:c r="K1850" s="10" t="n">
        <x:v>0.05</x:v>
      </x:c>
      <x:c r="L1850" s="11" t="n">
        <x:v>0</x:v>
      </x:c>
      <x:c r="M1850" s="9" t="n">
        <x:f>IF(D1850="Completed",I1850*J1850,0)</x:f>
        <x:v>747</x:v>
      </x:c>
      <x:c r="N1850" s="9" t="n">
        <x:f>M1850*K1850</x:f>
        <x:v>37.35</x:v>
      </x:c>
      <x:c r="O1850" s="9" t="n">
        <x:f>M1850-N1850</x:f>
        <x:v>709.65</x:v>
      </x:c>
      <x:c r="P1850" s="9" t="n">
        <x:f>IF(D1850="Completed",L1850*J1850*(1-K1850),0)</x:f>
        <x:v>0</x:v>
      </x:c>
      <x:c r="Q1850" s="9" t="n">
        <x:f>O1850-P1850</x:f>
        <x:v>709.65</x:v>
      </x:c>
      <x:c r="R1850" s="11" t="n">
        <x:f>IF(D1850="Completed",I1850,0)</x:f>
        <x:v>3</x:v>
      </x:c>
      <x:c r="S1850" s="11" t="n">
        <x:f>IF(D1850="Completed",L1850,0)</x:f>
        <x:v>0</x:v>
      </x:c>
      <x:c r="T1850" s="8" t="n">
        <x:f>DATE(YEAR(C1850),MONTH(C1850),1)</x:f>
        <x:v>45809</x:v>
      </x:c>
    </x:row>
    <x:row r="1851" ht="22" customHeight="1">
      <x:c r="A1851" s="2" t="str">
        <x:v>L001847</x:v>
      </x:c>
      <x:c r="B1851" s="2" t="str">
        <x:v>O00751</x:v>
      </x:c>
      <x:c r="C1851" s="7" t="n">
        <x:v>45820</x:v>
      </x:c>
      <x:c r="D1851" s="2" t="str">
        <x:v>Completed</x:v>
      </x:c>
      <x:c r="E1851" s="2" t="str">
        <x:v>South</x:v>
      </x:c>
      <x:c r="F1851" s="2" t="str">
        <x:v>Store</x:v>
      </x:c>
      <x:c r="G1851" s="2" t="str">
        <x:v>Furniture</x:v>
      </x:c>
      <x:c r="H1851" s="2" t="str">
        <x:v>Desk 024</x:v>
      </x:c>
      <x:c r="I1851" s="11" t="n">
        <x:v>3</x:v>
      </x:c>
      <x:c r="J1851" s="9" t="n">
        <x:v>81</x:v>
      </x:c>
      <x:c r="K1851" s="10" t="n">
        <x:v>0.2</x:v>
      </x:c>
      <x:c r="L1851" s="11" t="n">
        <x:v>0</x:v>
      </x:c>
      <x:c r="M1851" s="9" t="n">
        <x:f>IF(D1851="Completed",I1851*J1851,0)</x:f>
        <x:v>243</x:v>
      </x:c>
      <x:c r="N1851" s="9" t="n">
        <x:f>M1851*K1851</x:f>
        <x:v>48.6</x:v>
      </x:c>
      <x:c r="O1851" s="9" t="n">
        <x:f>M1851-N1851</x:f>
        <x:v>194.4</x:v>
      </x:c>
      <x:c r="P1851" s="9" t="n">
        <x:f>IF(D1851="Completed",L1851*J1851*(1-K1851),0)</x:f>
        <x:v>0</x:v>
      </x:c>
      <x:c r="Q1851" s="9" t="n">
        <x:f>O1851-P1851</x:f>
        <x:v>194.4</x:v>
      </x:c>
      <x:c r="R1851" s="11" t="n">
        <x:f>IF(D1851="Completed",I1851,0)</x:f>
        <x:v>3</x:v>
      </x:c>
      <x:c r="S1851" s="11" t="n">
        <x:f>IF(D1851="Completed",L1851,0)</x:f>
        <x:v>0</x:v>
      </x:c>
      <x:c r="T1851" s="8" t="n">
        <x:f>DATE(YEAR(C1851),MONTH(C1851),1)</x:f>
        <x:v>45809</x:v>
      </x:c>
    </x:row>
    <x:row r="1852" ht="22" customHeight="1">
      <x:c r="A1852" s="2" t="str">
        <x:v>L001848</x:v>
      </x:c>
      <x:c r="B1852" s="2" t="str">
        <x:v>O00752</x:v>
      </x:c>
      <x:c r="C1852" s="7" t="n">
        <x:v>45850</x:v>
      </x:c>
      <x:c r="D1852" s="2" t="str">
        <x:v>Completed</x:v>
      </x:c>
      <x:c r="E1852" s="2" t="str">
        <x:v>West</x:v>
      </x:c>
      <x:c r="F1852" s="2" t="str">
        <x:v>Online</x:v>
      </x:c>
      <x:c r="G1852" s="2" t="str">
        <x:v>Storage</x:v>
      </x:c>
      <x:c r="H1852" s="2" t="str">
        <x:v>Shelf 007</x:v>
      </x:c>
      <x:c r="I1852" s="11" t="n">
        <x:v>3</x:v>
      </x:c>
      <x:c r="J1852" s="9" t="n">
        <x:v>35</x:v>
      </x:c>
      <x:c r="K1852" s="10" t="n">
        <x:v>0</x:v>
      </x:c>
      <x:c r="L1852" s="11" t="n">
        <x:v>0</x:v>
      </x:c>
      <x:c r="M1852" s="9" t="n">
        <x:f>IF(D1852="Completed",I1852*J1852,0)</x:f>
        <x:v>105</x:v>
      </x:c>
      <x:c r="N1852" s="9" t="n">
        <x:f>M1852*K1852</x:f>
        <x:v>0</x:v>
      </x:c>
      <x:c r="O1852" s="9" t="n">
        <x:f>M1852-N1852</x:f>
        <x:v>105</x:v>
      </x:c>
      <x:c r="P1852" s="9" t="n">
        <x:f>IF(D1852="Completed",L1852*J1852*(1-K1852),0)</x:f>
        <x:v>0</x:v>
      </x:c>
      <x:c r="Q1852" s="9" t="n">
        <x:f>O1852-P1852</x:f>
        <x:v>105</x:v>
      </x:c>
      <x:c r="R1852" s="11" t="n">
        <x:f>IF(D1852="Completed",I1852,0)</x:f>
        <x:v>3</x:v>
      </x:c>
      <x:c r="S1852" s="11" t="n">
        <x:f>IF(D1852="Completed",L1852,0)</x:f>
        <x:v>0</x:v>
      </x:c>
      <x:c r="T1852" s="8" t="n">
        <x:f>DATE(YEAR(C1852),MONTH(C1852),1)</x:f>
        <x:v>45839</x:v>
      </x:c>
    </x:row>
    <x:row r="1853" ht="22" customHeight="1">
      <x:c r="A1853" s="2" t="str">
        <x:v>L001849</x:v>
      </x:c>
      <x:c r="B1853" s="2" t="str">
        <x:v>O00752</x:v>
      </x:c>
      <x:c r="C1853" s="7" t="n">
        <x:v>45850</x:v>
      </x:c>
      <x:c r="D1853" s="2" t="str">
        <x:v>Completed</x:v>
      </x:c>
      <x:c r="E1853" s="2" t="str">
        <x:v>West</x:v>
      </x:c>
      <x:c r="F1853" s="2" t="str">
        <x:v>Online</x:v>
      </x:c>
      <x:c r="G1853" s="2" t="str">
        <x:v>Furniture</x:v>
      </x:c>
      <x:c r="H1853" s="2" t="str">
        <x:v>Chair 002</x:v>
      </x:c>
      <x:c r="I1853" s="11" t="n">
        <x:v>1</x:v>
      </x:c>
      <x:c r="J1853" s="9" t="n">
        <x:v>284</x:v>
      </x:c>
      <x:c r="K1853" s="10" t="n">
        <x:v>0.05</x:v>
      </x:c>
      <x:c r="L1853" s="11" t="n">
        <x:v>0</x:v>
      </x:c>
      <x:c r="M1853" s="9" t="n">
        <x:f>IF(D1853="Completed",I1853*J1853,0)</x:f>
        <x:v>284</x:v>
      </x:c>
      <x:c r="N1853" s="9" t="n">
        <x:f>M1853*K1853</x:f>
        <x:v>14.200000000000001</x:v>
      </x:c>
      <x:c r="O1853" s="9" t="n">
        <x:f>M1853-N1853</x:f>
        <x:v>269.8</x:v>
      </x:c>
      <x:c r="P1853" s="9" t="n">
        <x:f>IF(D1853="Completed",L1853*J1853*(1-K1853),0)</x:f>
        <x:v>0</x:v>
      </x:c>
      <x:c r="Q1853" s="9" t="n">
        <x:f>O1853-P1853</x:f>
        <x:v>269.8</x:v>
      </x:c>
      <x:c r="R1853" s="11" t="n">
        <x:f>IF(D1853="Completed",I1853,0)</x:f>
        <x:v>1</x:v>
      </x:c>
      <x:c r="S1853" s="11" t="n">
        <x:f>IF(D1853="Completed",L1853,0)</x:f>
        <x:v>0</x:v>
      </x:c>
      <x:c r="T1853" s="8" t="n">
        <x:f>DATE(YEAR(C1853),MONTH(C1853),1)</x:f>
        <x:v>45839</x:v>
      </x:c>
    </x:row>
    <x:row r="1854" ht="22" customHeight="1">
      <x:c r="A1854" s="2" t="str">
        <x:v>L001850</x:v>
      </x:c>
      <x:c r="B1854" s="2" t="str">
        <x:v>O00752</x:v>
      </x:c>
      <x:c r="C1854" s="7" t="n">
        <x:v>45850</x:v>
      </x:c>
      <x:c r="D1854" s="2" t="str">
        <x:v>Completed</x:v>
      </x:c>
      <x:c r="E1854" s="2" t="str">
        <x:v>West</x:v>
      </x:c>
      <x:c r="F1854" s="2" t="str">
        <x:v>Online</x:v>
      </x:c>
      <x:c r="G1854" s="2" t="str">
        <x:v>Furniture</x:v>
      </x:c>
      <x:c r="H1854" s="2" t="str">
        <x:v>Desk 020</x:v>
      </x:c>
      <x:c r="I1854" s="11" t="n">
        <x:v>1</x:v>
      </x:c>
      <x:c r="J1854" s="9" t="n">
        <x:v>189</x:v>
      </x:c>
      <x:c r="K1854" s="10" t="n">
        <x:v>0.05</x:v>
      </x:c>
      <x:c r="L1854" s="11" t="n">
        <x:v>0</x:v>
      </x:c>
      <x:c r="M1854" s="9" t="n">
        <x:f>IF(D1854="Completed",I1854*J1854,0)</x:f>
        <x:v>189</x:v>
      </x:c>
      <x:c r="N1854" s="9" t="n">
        <x:f>M1854*K1854</x:f>
        <x:v>9.450000000000001</x:v>
      </x:c>
      <x:c r="O1854" s="9" t="n">
        <x:f>M1854-N1854</x:f>
        <x:v>179.55</x:v>
      </x:c>
      <x:c r="P1854" s="9" t="n">
        <x:f>IF(D1854="Completed",L1854*J1854*(1-K1854),0)</x:f>
        <x:v>0</x:v>
      </x:c>
      <x:c r="Q1854" s="9" t="n">
        <x:f>O1854-P1854</x:f>
        <x:v>179.55</x:v>
      </x:c>
      <x:c r="R1854" s="11" t="n">
        <x:f>IF(D1854="Completed",I1854,0)</x:f>
        <x:v>1</x:v>
      </x:c>
      <x:c r="S1854" s="11" t="n">
        <x:f>IF(D1854="Completed",L1854,0)</x:f>
        <x:v>0</x:v>
      </x:c>
      <x:c r="T1854" s="8" t="n">
        <x:f>DATE(YEAR(C1854),MONTH(C1854),1)</x:f>
        <x:v>45839</x:v>
      </x:c>
    </x:row>
    <x:row r="1855" ht="22" customHeight="1">
      <x:c r="A1855" s="2" t="str">
        <x:v>L001851</x:v>
      </x:c>
      <x:c r="B1855" s="2" t="str">
        <x:v>O00753</x:v>
      </x:c>
      <x:c r="C1855" s="7" t="n">
        <x:v>45710</x:v>
      </x:c>
      <x:c r="D1855" s="2" t="str">
        <x:v>Completed</x:v>
      </x:c>
      <x:c r="E1855" s="2" t="str">
        <x:v>North</x:v>
      </x:c>
      <x:c r="F1855" s="2" t="str">
        <x:v>Store</x:v>
      </x:c>
      <x:c r="G1855" s="2" t="str">
        <x:v>Storage</x:v>
      </x:c>
      <x:c r="H1855" s="2" t="str">
        <x:v>Shelf 007</x:v>
      </x:c>
      <x:c r="I1855" s="11" t="n">
        <x:v>4</x:v>
      </x:c>
      <x:c r="J1855" s="9" t="n">
        <x:v>35</x:v>
      </x:c>
      <x:c r="K1855" s="10" t="n">
        <x:v>0.1</x:v>
      </x:c>
      <x:c r="L1855" s="11" t="n">
        <x:v>0</x:v>
      </x:c>
      <x:c r="M1855" s="9" t="n">
        <x:f>IF(D1855="Completed",I1855*J1855,0)</x:f>
        <x:v>140</x:v>
      </x:c>
      <x:c r="N1855" s="9" t="n">
        <x:f>M1855*K1855</x:f>
        <x:v>14</x:v>
      </x:c>
      <x:c r="O1855" s="9" t="n">
        <x:f>M1855-N1855</x:f>
        <x:v>126</x:v>
      </x:c>
      <x:c r="P1855" s="9" t="n">
        <x:f>IF(D1855="Completed",L1855*J1855*(1-K1855),0)</x:f>
        <x:v>0</x:v>
      </x:c>
      <x:c r="Q1855" s="9" t="n">
        <x:f>O1855-P1855</x:f>
        <x:v>126</x:v>
      </x:c>
      <x:c r="R1855" s="11" t="n">
        <x:f>IF(D1855="Completed",I1855,0)</x:f>
        <x:v>4</x:v>
      </x:c>
      <x:c r="S1855" s="11" t="n">
        <x:f>IF(D1855="Completed",L1855,0)</x:f>
        <x:v>0</x:v>
      </x:c>
      <x:c r="T1855" s="8" t="n">
        <x:f>DATE(YEAR(C1855),MONTH(C1855),1)</x:f>
        <x:v>45689</x:v>
      </x:c>
    </x:row>
    <x:row r="1856" ht="22" customHeight="1">
      <x:c r="A1856" s="2" t="str">
        <x:v>L001852</x:v>
      </x:c>
      <x:c r="B1856" s="2" t="str">
        <x:v>O00753</x:v>
      </x:c>
      <x:c r="C1856" s="7" t="n">
        <x:v>45710</x:v>
      </x:c>
      <x:c r="D1856" s="2" t="str">
        <x:v>Completed</x:v>
      </x:c>
      <x:c r="E1856" s="2" t="str">
        <x:v>North</x:v>
      </x:c>
      <x:c r="F1856" s="2" t="str">
        <x:v>Store</x:v>
      </x:c>
      <x:c r="G1856" s="2" t="str">
        <x:v>Furniture</x:v>
      </x:c>
      <x:c r="H1856" s="2" t="str">
        <x:v>Desk 016</x:v>
      </x:c>
      <x:c r="I1856" s="11" t="n">
        <x:v>4</x:v>
      </x:c>
      <x:c r="J1856" s="9" t="n">
        <x:v>231</x:v>
      </x:c>
      <x:c r="K1856" s="10" t="n">
        <x:v>0.05</x:v>
      </x:c>
      <x:c r="L1856" s="11" t="n">
        <x:v>0</x:v>
      </x:c>
      <x:c r="M1856" s="9" t="n">
        <x:f>IF(D1856="Completed",I1856*J1856,0)</x:f>
        <x:v>924</x:v>
      </x:c>
      <x:c r="N1856" s="9" t="n">
        <x:f>M1856*K1856</x:f>
        <x:v>46.2</x:v>
      </x:c>
      <x:c r="O1856" s="9" t="n">
        <x:f>M1856-N1856</x:f>
        <x:v>877.8</x:v>
      </x:c>
      <x:c r="P1856" s="9" t="n">
        <x:f>IF(D1856="Completed",L1856*J1856*(1-K1856),0)</x:f>
        <x:v>0</x:v>
      </x:c>
      <x:c r="Q1856" s="9" t="n">
        <x:f>O1856-P1856</x:f>
        <x:v>877.8</x:v>
      </x:c>
      <x:c r="R1856" s="11" t="n">
        <x:f>IF(D1856="Completed",I1856,0)</x:f>
        <x:v>4</x:v>
      </x:c>
      <x:c r="S1856" s="11" t="n">
        <x:f>IF(D1856="Completed",L1856,0)</x:f>
        <x:v>0</x:v>
      </x:c>
      <x:c r="T1856" s="8" t="n">
        <x:f>DATE(YEAR(C1856),MONTH(C1856),1)</x:f>
        <x:v>45689</x:v>
      </x:c>
    </x:row>
    <x:row r="1857" ht="22" customHeight="1">
      <x:c r="A1857" s="2" t="str">
        <x:v>L001853</x:v>
      </x:c>
      <x:c r="B1857" s="2" t="str">
        <x:v>O00753</x:v>
      </x:c>
      <x:c r="C1857" s="7" t="n">
        <x:v>45710</x:v>
      </x:c>
      <x:c r="D1857" s="2" t="str">
        <x:v>Completed</x:v>
      </x:c>
      <x:c r="E1857" s="2" t="str">
        <x:v>North</x:v>
      </x:c>
      <x:c r="F1857" s="2" t="str">
        <x:v>Store</x:v>
      </x:c>
      <x:c r="G1857" s="2" t="str">
        <x:v>Furniture</x:v>
      </x:c>
      <x:c r="H1857" s="2" t="str">
        <x:v>Desk 020</x:v>
      </x:c>
      <x:c r="I1857" s="11" t="n">
        <x:v>4</x:v>
      </x:c>
      <x:c r="J1857" s="9" t="n">
        <x:v>189</x:v>
      </x:c>
      <x:c r="K1857" s="10" t="n">
        <x:v>0.2</x:v>
      </x:c>
      <x:c r="L1857" s="11" t="n">
        <x:v>0</x:v>
      </x:c>
      <x:c r="M1857" s="9" t="n">
        <x:f>IF(D1857="Completed",I1857*J1857,0)</x:f>
        <x:v>756</x:v>
      </x:c>
      <x:c r="N1857" s="9" t="n">
        <x:f>M1857*K1857</x:f>
        <x:v>151.20000000000002</x:v>
      </x:c>
      <x:c r="O1857" s="9" t="n">
        <x:f>M1857-N1857</x:f>
        <x:v>604.8</x:v>
      </x:c>
      <x:c r="P1857" s="9" t="n">
        <x:f>IF(D1857="Completed",L1857*J1857*(1-K1857),0)</x:f>
        <x:v>0</x:v>
      </x:c>
      <x:c r="Q1857" s="9" t="n">
        <x:f>O1857-P1857</x:f>
        <x:v>604.8</x:v>
      </x:c>
      <x:c r="R1857" s="11" t="n">
        <x:f>IF(D1857="Completed",I1857,0)</x:f>
        <x:v>4</x:v>
      </x:c>
      <x:c r="S1857" s="11" t="n">
        <x:f>IF(D1857="Completed",L1857,0)</x:f>
        <x:v>0</x:v>
      </x:c>
      <x:c r="T1857" s="8" t="n">
        <x:f>DATE(YEAR(C1857),MONTH(C1857),1)</x:f>
        <x:v>45689</x:v>
      </x:c>
    </x:row>
    <x:row r="1858" ht="22" customHeight="1">
      <x:c r="A1858" s="2" t="str">
        <x:v>L001854</x:v>
      </x:c>
      <x:c r="B1858" s="2" t="str">
        <x:v>O00753</x:v>
      </x:c>
      <x:c r="C1858" s="7" t="n">
        <x:v>45710</x:v>
      </x:c>
      <x:c r="D1858" s="2" t="str">
        <x:v>Completed</x:v>
      </x:c>
      <x:c r="E1858" s="2" t="str">
        <x:v>North</x:v>
      </x:c>
      <x:c r="F1858" s="2" t="str">
        <x:v>Store</x:v>
      </x:c>
      <x:c r="G1858" s="2" t="str">
        <x:v>Lighting</x:v>
      </x:c>
      <x:c r="H1858" s="2" t="str">
        <x:v>Lamp 021</x:v>
      </x:c>
      <x:c r="I1858" s="11" t="n">
        <x:v>1</x:v>
      </x:c>
      <x:c r="J1858" s="9" t="n">
        <x:v>249</x:v>
      </x:c>
      <x:c r="K1858" s="10" t="n">
        <x:v>0</x:v>
      </x:c>
      <x:c r="L1858" s="11" t="n">
        <x:v>0</x:v>
      </x:c>
      <x:c r="M1858" s="9" t="n">
        <x:f>IF(D1858="Completed",I1858*J1858,0)</x:f>
        <x:v>249</x:v>
      </x:c>
      <x:c r="N1858" s="9" t="n">
        <x:f>M1858*K1858</x:f>
        <x:v>0</x:v>
      </x:c>
      <x:c r="O1858" s="9" t="n">
        <x:f>M1858-N1858</x:f>
        <x:v>249</x:v>
      </x:c>
      <x:c r="P1858" s="9" t="n">
        <x:f>IF(D1858="Completed",L1858*J1858*(1-K1858),0)</x:f>
        <x:v>0</x:v>
      </x:c>
      <x:c r="Q1858" s="9" t="n">
        <x:f>O1858-P1858</x:f>
        <x:v>249</x:v>
      </x:c>
      <x:c r="R1858" s="11" t="n">
        <x:f>IF(D1858="Completed",I1858,0)</x:f>
        <x:v>1</x:v>
      </x:c>
      <x:c r="S1858" s="11" t="n">
        <x:f>IF(D1858="Completed",L1858,0)</x:f>
        <x:v>0</x:v>
      </x:c>
      <x:c r="T1858" s="8" t="n">
        <x:f>DATE(YEAR(C1858),MONTH(C1858),1)</x:f>
        <x:v>45689</x:v>
      </x:c>
    </x:row>
    <x:row r="1859" ht="22" customHeight="1">
      <x:c r="A1859" s="2" t="str">
        <x:v>L001855</x:v>
      </x:c>
      <x:c r="B1859" s="2" t="str">
        <x:v>O00754</x:v>
      </x:c>
      <x:c r="C1859" s="7" t="n">
        <x:v>45727</x:v>
      </x:c>
      <x:c r="D1859" s="2" t="str">
        <x:v>Completed</x:v>
      </x:c>
      <x:c r="E1859" s="2" t="str">
        <x:v>North</x:v>
      </x:c>
      <x:c r="F1859" s="2" t="str">
        <x:v>Online</x:v>
      </x:c>
      <x:c r="G1859" s="2" t="str">
        <x:v>Furniture</x:v>
      </x:c>
      <x:c r="H1859" s="2" t="str">
        <x:v>Desk 004</x:v>
      </x:c>
      <x:c r="I1859" s="11" t="n">
        <x:v>5</x:v>
      </x:c>
      <x:c r="J1859" s="9" t="n">
        <x:v>123</x:v>
      </x:c>
      <x:c r="K1859" s="10" t="n">
        <x:v>0.1</x:v>
      </x:c>
      <x:c r="L1859" s="11" t="n">
        <x:v>0</x:v>
      </x:c>
      <x:c r="M1859" s="9" t="n">
        <x:f>IF(D1859="Completed",I1859*J1859,0)</x:f>
        <x:v>615</x:v>
      </x:c>
      <x:c r="N1859" s="9" t="n">
        <x:f>M1859*K1859</x:f>
        <x:v>61.5</x:v>
      </x:c>
      <x:c r="O1859" s="9" t="n">
        <x:f>M1859-N1859</x:f>
        <x:v>553.5</x:v>
      </x:c>
      <x:c r="P1859" s="9" t="n">
        <x:f>IF(D1859="Completed",L1859*J1859*(1-K1859),0)</x:f>
        <x:v>0</x:v>
      </x:c>
      <x:c r="Q1859" s="9" t="n">
        <x:f>O1859-P1859</x:f>
        <x:v>553.5</x:v>
      </x:c>
      <x:c r="R1859" s="11" t="n">
        <x:f>IF(D1859="Completed",I1859,0)</x:f>
        <x:v>5</x:v>
      </x:c>
      <x:c r="S1859" s="11" t="n">
        <x:f>IF(D1859="Completed",L1859,0)</x:f>
        <x:v>0</x:v>
      </x:c>
      <x:c r="T1859" s="8" t="n">
        <x:f>DATE(YEAR(C1859),MONTH(C1859),1)</x:f>
        <x:v>45717</x:v>
      </x:c>
    </x:row>
    <x:row r="1860" ht="22" customHeight="1">
      <x:c r="A1860" s="2" t="str">
        <x:v>L001856</x:v>
      </x:c>
      <x:c r="B1860" s="2" t="str">
        <x:v>O00754</x:v>
      </x:c>
      <x:c r="C1860" s="7" t="n">
        <x:v>45727</x:v>
      </x:c>
      <x:c r="D1860" s="2" t="str">
        <x:v>Completed</x:v>
      </x:c>
      <x:c r="E1860" s="2" t="str">
        <x:v>North</x:v>
      </x:c>
      <x:c r="F1860" s="2" t="str">
        <x:v>Online</x:v>
      </x:c>
      <x:c r="G1860" s="2" t="str">
        <x:v>Furniture</x:v>
      </x:c>
      <x:c r="H1860" s="2" t="str">
        <x:v>Chair 014</x:v>
      </x:c>
      <x:c r="I1860" s="11" t="n">
        <x:v>5</x:v>
      </x:c>
      <x:c r="J1860" s="9" t="n">
        <x:v>294</x:v>
      </x:c>
      <x:c r="K1860" s="10" t="n">
        <x:v>0</x:v>
      </x:c>
      <x:c r="L1860" s="11" t="n">
        <x:v>0</x:v>
      </x:c>
      <x:c r="M1860" s="9" t="n">
        <x:f>IF(D1860="Completed",I1860*J1860,0)</x:f>
        <x:v>1470</x:v>
      </x:c>
      <x:c r="N1860" s="9" t="n">
        <x:f>M1860*K1860</x:f>
        <x:v>0</x:v>
      </x:c>
      <x:c r="O1860" s="9" t="n">
        <x:f>M1860-N1860</x:f>
        <x:v>1470</x:v>
      </x:c>
      <x:c r="P1860" s="9" t="n">
        <x:f>IF(D1860="Completed",L1860*J1860*(1-K1860),0)</x:f>
        <x:v>0</x:v>
      </x:c>
      <x:c r="Q1860" s="9" t="n">
        <x:f>O1860-P1860</x:f>
        <x:v>1470</x:v>
      </x:c>
      <x:c r="R1860" s="11" t="n">
        <x:f>IF(D1860="Completed",I1860,0)</x:f>
        <x:v>5</x:v>
      </x:c>
      <x:c r="S1860" s="11" t="n">
        <x:f>IF(D1860="Completed",L1860,0)</x:f>
        <x:v>0</x:v>
      </x:c>
      <x:c r="T1860" s="8" t="n">
        <x:f>DATE(YEAR(C1860),MONTH(C1860),1)</x:f>
        <x:v>45717</x:v>
      </x:c>
    </x:row>
    <x:row r="1861" ht="22" customHeight="1">
      <x:c r="A1861" s="2" t="str">
        <x:v>L001857</x:v>
      </x:c>
      <x:c r="B1861" s="2" t="str">
        <x:v>O00754</x:v>
      </x:c>
      <x:c r="C1861" s="7" t="n">
        <x:v>45727</x:v>
      </x:c>
      <x:c r="D1861" s="2" t="str">
        <x:v>Completed</x:v>
      </x:c>
      <x:c r="E1861" s="2" t="str">
        <x:v>North</x:v>
      </x:c>
      <x:c r="F1861" s="2" t="str">
        <x:v>Online</x:v>
      </x:c>
      <x:c r="G1861" s="2" t="str">
        <x:v>Storage</x:v>
      </x:c>
      <x:c r="H1861" s="2" t="str">
        <x:v>Shelf 003</x:v>
      </x:c>
      <x:c r="I1861" s="11" t="n">
        <x:v>2</x:v>
      </x:c>
      <x:c r="J1861" s="9" t="n">
        <x:v>199</x:v>
      </x:c>
      <x:c r="K1861" s="10" t="n">
        <x:v>0</x:v>
      </x:c>
      <x:c r="L1861" s="11" t="n">
        <x:v>0</x:v>
      </x:c>
      <x:c r="M1861" s="9" t="n">
        <x:f>IF(D1861="Completed",I1861*J1861,0)</x:f>
        <x:v>398</x:v>
      </x:c>
      <x:c r="N1861" s="9" t="n">
        <x:f>M1861*K1861</x:f>
        <x:v>0</x:v>
      </x:c>
      <x:c r="O1861" s="9" t="n">
        <x:f>M1861-N1861</x:f>
        <x:v>398</x:v>
      </x:c>
      <x:c r="P1861" s="9" t="n">
        <x:f>IF(D1861="Completed",L1861*J1861*(1-K1861),0)</x:f>
        <x:v>0</x:v>
      </x:c>
      <x:c r="Q1861" s="9" t="n">
        <x:f>O1861-P1861</x:f>
        <x:v>398</x:v>
      </x:c>
      <x:c r="R1861" s="11" t="n">
        <x:f>IF(D1861="Completed",I1861,0)</x:f>
        <x:v>2</x:v>
      </x:c>
      <x:c r="S1861" s="11" t="n">
        <x:f>IF(D1861="Completed",L1861,0)</x:f>
        <x:v>0</x:v>
      </x:c>
      <x:c r="T1861" s="8" t="n">
        <x:f>DATE(YEAR(C1861),MONTH(C1861),1)</x:f>
        <x:v>45717</x:v>
      </x:c>
    </x:row>
    <x:row r="1862" ht="22" customHeight="1">
      <x:c r="A1862" s="2" t="str">
        <x:v>L001858</x:v>
      </x:c>
      <x:c r="B1862" s="2" t="str">
        <x:v>O00754</x:v>
      </x:c>
      <x:c r="C1862" s="7" t="n">
        <x:v>45727</x:v>
      </x:c>
      <x:c r="D1862" s="2" t="str">
        <x:v>Completed</x:v>
      </x:c>
      <x:c r="E1862" s="2" t="str">
        <x:v>North</x:v>
      </x:c>
      <x:c r="F1862" s="2" t="str">
        <x:v>Online</x:v>
      </x:c>
      <x:c r="G1862" s="2" t="str">
        <x:v>Furniture</x:v>
      </x:c>
      <x:c r="H1862" s="2" t="str">
        <x:v>Chair 006</x:v>
      </x:c>
      <x:c r="I1862" s="11" t="n">
        <x:v>1</x:v>
      </x:c>
      <x:c r="J1862" s="9" t="n">
        <x:v>196</x:v>
      </x:c>
      <x:c r="K1862" s="10" t="n">
        <x:v>0.05</x:v>
      </x:c>
      <x:c r="L1862" s="11" t="n">
        <x:v>0</x:v>
      </x:c>
      <x:c r="M1862" s="9" t="n">
        <x:f>IF(D1862="Completed",I1862*J1862,0)</x:f>
        <x:v>196</x:v>
      </x:c>
      <x:c r="N1862" s="9" t="n">
        <x:f>M1862*K1862</x:f>
        <x:v>9.8</x:v>
      </x:c>
      <x:c r="O1862" s="9" t="n">
        <x:f>M1862-N1862</x:f>
        <x:v>186.2</x:v>
      </x:c>
      <x:c r="P1862" s="9" t="n">
        <x:f>IF(D1862="Completed",L1862*J1862*(1-K1862),0)</x:f>
        <x:v>0</x:v>
      </x:c>
      <x:c r="Q1862" s="9" t="n">
        <x:f>O1862-P1862</x:f>
        <x:v>186.2</x:v>
      </x:c>
      <x:c r="R1862" s="11" t="n">
        <x:f>IF(D1862="Completed",I1862,0)</x:f>
        <x:v>1</x:v>
      </x:c>
      <x:c r="S1862" s="11" t="n">
        <x:f>IF(D1862="Completed",L1862,0)</x:f>
        <x:v>0</x:v>
      </x:c>
      <x:c r="T1862" s="8" t="n">
        <x:f>DATE(YEAR(C1862),MONTH(C1862),1)</x:f>
        <x:v>45717</x:v>
      </x:c>
    </x:row>
    <x:row r="1863" ht="22" customHeight="1">
      <x:c r="A1863" s="2" t="str">
        <x:v>L001859</x:v>
      </x:c>
      <x:c r="B1863" s="2" t="str">
        <x:v>O00755</x:v>
      </x:c>
      <x:c r="C1863" s="7" t="n">
        <x:v>45889</x:v>
      </x:c>
      <x:c r="D1863" s="2" t="str">
        <x:v>Completed</x:v>
      </x:c>
      <x:c r="E1863" s="2" t="str">
        <x:v>West</x:v>
      </x:c>
      <x:c r="F1863" s="2" t="str">
        <x:v>Store</x:v>
      </x:c>
      <x:c r="G1863" s="2" t="str">
        <x:v>Furniture</x:v>
      </x:c>
      <x:c r="H1863" s="2" t="str">
        <x:v>Chair 006</x:v>
      </x:c>
      <x:c r="I1863" s="11" t="n">
        <x:v>2</x:v>
      </x:c>
      <x:c r="J1863" s="9" t="n">
        <x:v>196</x:v>
      </x:c>
      <x:c r="K1863" s="10" t="n">
        <x:v>0.05</x:v>
      </x:c>
      <x:c r="L1863" s="11" t="n">
        <x:v>0</x:v>
      </x:c>
      <x:c r="M1863" s="9" t="n">
        <x:f>IF(D1863="Completed",I1863*J1863,0)</x:f>
        <x:v>392</x:v>
      </x:c>
      <x:c r="N1863" s="9" t="n">
        <x:f>M1863*K1863</x:f>
        <x:v>19.6</x:v>
      </x:c>
      <x:c r="O1863" s="9" t="n">
        <x:f>M1863-N1863</x:f>
        <x:v>372.4</x:v>
      </x:c>
      <x:c r="P1863" s="9" t="n">
        <x:f>IF(D1863="Completed",L1863*J1863*(1-K1863),0)</x:f>
        <x:v>0</x:v>
      </x:c>
      <x:c r="Q1863" s="9" t="n">
        <x:f>O1863-P1863</x:f>
        <x:v>372.4</x:v>
      </x:c>
      <x:c r="R1863" s="11" t="n">
        <x:f>IF(D1863="Completed",I1863,0)</x:f>
        <x:v>2</x:v>
      </x:c>
      <x:c r="S1863" s="11" t="n">
        <x:f>IF(D1863="Completed",L1863,0)</x:f>
        <x:v>0</x:v>
      </x:c>
      <x:c r="T1863" s="8" t="n">
        <x:f>DATE(YEAR(C1863),MONTH(C1863),1)</x:f>
        <x:v>45870</x:v>
      </x:c>
    </x:row>
    <x:row r="1864" ht="22" customHeight="1">
      <x:c r="A1864" s="2" t="str">
        <x:v>L001860</x:v>
      </x:c>
      <x:c r="B1864" s="2" t="str">
        <x:v>O00755</x:v>
      </x:c>
      <x:c r="C1864" s="7" t="n">
        <x:v>45889</x:v>
      </x:c>
      <x:c r="D1864" s="2" t="str">
        <x:v>Completed</x:v>
      </x:c>
      <x:c r="E1864" s="2" t="str">
        <x:v>West</x:v>
      </x:c>
      <x:c r="F1864" s="2" t="str">
        <x:v>Store</x:v>
      </x:c>
      <x:c r="G1864" s="2" t="str">
        <x:v>Lighting</x:v>
      </x:c>
      <x:c r="H1864" s="2" t="str">
        <x:v>Lamp 017</x:v>
      </x:c>
      <x:c r="I1864" s="11" t="n">
        <x:v>3</x:v>
      </x:c>
      <x:c r="J1864" s="9" t="n">
        <x:v>300</x:v>
      </x:c>
      <x:c r="K1864" s="10" t="n">
        <x:v>0.05</x:v>
      </x:c>
      <x:c r="L1864" s="11" t="n">
        <x:v>1</x:v>
      </x:c>
      <x:c r="M1864" s="9" t="n">
        <x:f>IF(D1864="Completed",I1864*J1864,0)</x:f>
        <x:v>900</x:v>
      </x:c>
      <x:c r="N1864" s="9" t="n">
        <x:f>M1864*K1864</x:f>
        <x:v>45</x:v>
      </x:c>
      <x:c r="O1864" s="9" t="n">
        <x:f>M1864-N1864</x:f>
        <x:v>855</x:v>
      </x:c>
      <x:c r="P1864" s="9" t="n">
        <x:f>IF(D1864="Completed",L1864*J1864*(1-K1864),0)</x:f>
        <x:v>285</x:v>
      </x:c>
      <x:c r="Q1864" s="9" t="n">
        <x:f>O1864-P1864</x:f>
        <x:v>570</x:v>
      </x:c>
      <x:c r="R1864" s="11" t="n">
        <x:f>IF(D1864="Completed",I1864,0)</x:f>
        <x:v>3</x:v>
      </x:c>
      <x:c r="S1864" s="11" t="n">
        <x:f>IF(D1864="Completed",L1864,0)</x:f>
        <x:v>1</x:v>
      </x:c>
      <x:c r="T1864" s="8" t="n">
        <x:f>DATE(YEAR(C1864),MONTH(C1864),1)</x:f>
        <x:v>45870</x:v>
      </x:c>
    </x:row>
    <x:row r="1865" ht="22" customHeight="1">
      <x:c r="A1865" s="2" t="str">
        <x:v>L001861</x:v>
      </x:c>
      <x:c r="B1865" s="2" t="str">
        <x:v>O00755</x:v>
      </x:c>
      <x:c r="C1865" s="7" t="n">
        <x:v>45889</x:v>
      </x:c>
      <x:c r="D1865" s="2" t="str">
        <x:v>Completed</x:v>
      </x:c>
      <x:c r="E1865" s="2" t="str">
        <x:v>West</x:v>
      </x:c>
      <x:c r="F1865" s="2" t="str">
        <x:v>Store</x:v>
      </x:c>
      <x:c r="G1865" s="2" t="str">
        <x:v>Storage</x:v>
      </x:c>
      <x:c r="H1865" s="2" t="str">
        <x:v>Shelf 011</x:v>
      </x:c>
      <x:c r="I1865" s="11" t="n">
        <x:v>5</x:v>
      </x:c>
      <x:c r="J1865" s="9" t="n">
        <x:v>80</x:v>
      </x:c>
      <x:c r="K1865" s="10" t="n">
        <x:v>0.2</x:v>
      </x:c>
      <x:c r="L1865" s="11" t="n">
        <x:v>0</x:v>
      </x:c>
      <x:c r="M1865" s="9" t="n">
        <x:f>IF(D1865="Completed",I1865*J1865,0)</x:f>
        <x:v>400</x:v>
      </x:c>
      <x:c r="N1865" s="9" t="n">
        <x:f>M1865*K1865</x:f>
        <x:v>80</x:v>
      </x:c>
      <x:c r="O1865" s="9" t="n">
        <x:f>M1865-N1865</x:f>
        <x:v>320</x:v>
      </x:c>
      <x:c r="P1865" s="9" t="n">
        <x:f>IF(D1865="Completed",L1865*J1865*(1-K1865),0)</x:f>
        <x:v>0</x:v>
      </x:c>
      <x:c r="Q1865" s="9" t="n">
        <x:f>O1865-P1865</x:f>
        <x:v>320</x:v>
      </x:c>
      <x:c r="R1865" s="11" t="n">
        <x:f>IF(D1865="Completed",I1865,0)</x:f>
        <x:v>5</x:v>
      </x:c>
      <x:c r="S1865" s="11" t="n">
        <x:f>IF(D1865="Completed",L1865,0)</x:f>
        <x:v>0</x:v>
      </x:c>
      <x:c r="T1865" s="8" t="n">
        <x:f>DATE(YEAR(C1865),MONTH(C1865),1)</x:f>
        <x:v>45870</x:v>
      </x:c>
    </x:row>
    <x:row r="1866" ht="22" customHeight="1">
      <x:c r="A1866" s="2" t="str">
        <x:v>L001862</x:v>
      </x:c>
      <x:c r="B1866" s="2" t="str">
        <x:v>O00755</x:v>
      </x:c>
      <x:c r="C1866" s="7" t="n">
        <x:v>45889</x:v>
      </x:c>
      <x:c r="D1866" s="2" t="str">
        <x:v>Completed</x:v>
      </x:c>
      <x:c r="E1866" s="2" t="str">
        <x:v>West</x:v>
      </x:c>
      <x:c r="F1866" s="2" t="str">
        <x:v>Store</x:v>
      </x:c>
      <x:c r="G1866" s="2" t="str">
        <x:v>Lighting</x:v>
      </x:c>
      <x:c r="H1866" s="2" t="str">
        <x:v>Lamp 021</x:v>
      </x:c>
      <x:c r="I1866" s="11" t="n">
        <x:v>3</x:v>
      </x:c>
      <x:c r="J1866" s="9" t="n">
        <x:v>249</x:v>
      </x:c>
      <x:c r="K1866" s="10" t="n">
        <x:v>0.1</x:v>
      </x:c>
      <x:c r="L1866" s="11" t="n">
        <x:v>0</x:v>
      </x:c>
      <x:c r="M1866" s="9" t="n">
        <x:f>IF(D1866="Completed",I1866*J1866,0)</x:f>
        <x:v>747</x:v>
      </x:c>
      <x:c r="N1866" s="9" t="n">
        <x:f>M1866*K1866</x:f>
        <x:v>74.7</x:v>
      </x:c>
      <x:c r="O1866" s="9" t="n">
        <x:f>M1866-N1866</x:f>
        <x:v>672.3</x:v>
      </x:c>
      <x:c r="P1866" s="9" t="n">
        <x:f>IF(D1866="Completed",L1866*J1866*(1-K1866),0)</x:f>
        <x:v>0</x:v>
      </x:c>
      <x:c r="Q1866" s="9" t="n">
        <x:f>O1866-P1866</x:f>
        <x:v>672.3</x:v>
      </x:c>
      <x:c r="R1866" s="11" t="n">
        <x:f>IF(D1866="Completed",I1866,0)</x:f>
        <x:v>3</x:v>
      </x:c>
      <x:c r="S1866" s="11" t="n">
        <x:f>IF(D1866="Completed",L1866,0)</x:f>
        <x:v>0</x:v>
      </x:c>
      <x:c r="T1866" s="8" t="n">
        <x:f>DATE(YEAR(C1866),MONTH(C1866),1)</x:f>
        <x:v>45870</x:v>
      </x:c>
    </x:row>
    <x:row r="1867" ht="22" customHeight="1">
      <x:c r="A1867" s="2" t="str">
        <x:v>L001863</x:v>
      </x:c>
      <x:c r="B1867" s="2" t="str">
        <x:v>O00756</x:v>
      </x:c>
      <x:c r="C1867" s="7" t="n">
        <x:v>45862</x:v>
      </x:c>
      <x:c r="D1867" s="2" t="str">
        <x:v>Completed</x:v>
      </x:c>
      <x:c r="E1867" s="2" t="str">
        <x:v>North</x:v>
      </x:c>
      <x:c r="F1867" s="2" t="str">
        <x:v>Store</x:v>
      </x:c>
      <x:c r="G1867" s="2" t="str">
        <x:v>Furniture</x:v>
      </x:c>
      <x:c r="H1867" s="2" t="str">
        <x:v>Chair 018</x:v>
      </x:c>
      <x:c r="I1867" s="11" t="n">
        <x:v>4</x:v>
      </x:c>
      <x:c r="J1867" s="9" t="n">
        <x:v>269</x:v>
      </x:c>
      <x:c r="K1867" s="10" t="n">
        <x:v>0.1</x:v>
      </x:c>
      <x:c r="L1867" s="11" t="n">
        <x:v>0</x:v>
      </x:c>
      <x:c r="M1867" s="9" t="n">
        <x:f>IF(D1867="Completed",I1867*J1867,0)</x:f>
        <x:v>1076</x:v>
      </x:c>
      <x:c r="N1867" s="9" t="n">
        <x:f>M1867*K1867</x:f>
        <x:v>107.60000000000001</x:v>
      </x:c>
      <x:c r="O1867" s="9" t="n">
        <x:f>M1867-N1867</x:f>
        <x:v>968.4</x:v>
      </x:c>
      <x:c r="P1867" s="9" t="n">
        <x:f>IF(D1867="Completed",L1867*J1867*(1-K1867),0)</x:f>
        <x:v>0</x:v>
      </x:c>
      <x:c r="Q1867" s="9" t="n">
        <x:f>O1867-P1867</x:f>
        <x:v>968.4</x:v>
      </x:c>
      <x:c r="R1867" s="11" t="n">
        <x:f>IF(D1867="Completed",I1867,0)</x:f>
        <x:v>4</x:v>
      </x:c>
      <x:c r="S1867" s="11" t="n">
        <x:f>IF(D1867="Completed",L1867,0)</x:f>
        <x:v>0</x:v>
      </x:c>
      <x:c r="T1867" s="8" t="n">
        <x:f>DATE(YEAR(C1867),MONTH(C1867),1)</x:f>
        <x:v>45839</x:v>
      </x:c>
    </x:row>
    <x:row r="1868" ht="22" customHeight="1">
      <x:c r="A1868" s="2" t="str">
        <x:v>L001864</x:v>
      </x:c>
      <x:c r="B1868" s="2" t="str">
        <x:v>O00756</x:v>
      </x:c>
      <x:c r="C1868" s="7" t="n">
        <x:v>45862</x:v>
      </x:c>
      <x:c r="D1868" s="2" t="str">
        <x:v>Completed</x:v>
      </x:c>
      <x:c r="E1868" s="2" t="str">
        <x:v>North</x:v>
      </x:c>
      <x:c r="F1868" s="2" t="str">
        <x:v>Store</x:v>
      </x:c>
      <x:c r="G1868" s="2" t="str">
        <x:v>Lighting</x:v>
      </x:c>
      <x:c r="H1868" s="2" t="str">
        <x:v>Lamp 001</x:v>
      </x:c>
      <x:c r="I1868" s="11" t="n">
        <x:v>4</x:v>
      </x:c>
      <x:c r="J1868" s="9" t="n">
        <x:v>122</x:v>
      </x:c>
      <x:c r="K1868" s="10" t="n">
        <x:v>0</x:v>
      </x:c>
      <x:c r="L1868" s="11" t="n">
        <x:v>1</x:v>
      </x:c>
      <x:c r="M1868" s="9" t="n">
        <x:f>IF(D1868="Completed",I1868*J1868,0)</x:f>
        <x:v>488</x:v>
      </x:c>
      <x:c r="N1868" s="9" t="n">
        <x:f>M1868*K1868</x:f>
        <x:v>0</x:v>
      </x:c>
      <x:c r="O1868" s="9" t="n">
        <x:f>M1868-N1868</x:f>
        <x:v>488</x:v>
      </x:c>
      <x:c r="P1868" s="9" t="n">
        <x:f>IF(D1868="Completed",L1868*J1868*(1-K1868),0)</x:f>
        <x:v>122</x:v>
      </x:c>
      <x:c r="Q1868" s="9" t="n">
        <x:f>O1868-P1868</x:f>
        <x:v>366</x:v>
      </x:c>
      <x:c r="R1868" s="11" t="n">
        <x:f>IF(D1868="Completed",I1868,0)</x:f>
        <x:v>4</x:v>
      </x:c>
      <x:c r="S1868" s="11" t="n">
        <x:f>IF(D1868="Completed",L1868,0)</x:f>
        <x:v>1</x:v>
      </x:c>
      <x:c r="T1868" s="8" t="n">
        <x:f>DATE(YEAR(C1868),MONTH(C1868),1)</x:f>
        <x:v>45839</x:v>
      </x:c>
    </x:row>
    <x:row r="1869" ht="22" customHeight="1">
      <x:c r="A1869" s="2" t="str">
        <x:v>L001865</x:v>
      </x:c>
      <x:c r="B1869" s="2" t="str">
        <x:v>O00756</x:v>
      </x:c>
      <x:c r="C1869" s="7" t="n">
        <x:v>45862</x:v>
      </x:c>
      <x:c r="D1869" s="2" t="str">
        <x:v>Completed</x:v>
      </x:c>
      <x:c r="E1869" s="2" t="str">
        <x:v>North</x:v>
      </x:c>
      <x:c r="F1869" s="2" t="str">
        <x:v>Store</x:v>
      </x:c>
      <x:c r="G1869" s="2" t="str">
        <x:v>Storage</x:v>
      </x:c>
      <x:c r="H1869" s="2" t="str">
        <x:v>Shelf 019</x:v>
      </x:c>
      <x:c r="I1869" s="11" t="n">
        <x:v>4</x:v>
      </x:c>
      <x:c r="J1869" s="9" t="n">
        <x:v>78</x:v>
      </x:c>
      <x:c r="K1869" s="10" t="n">
        <x:v>0.1</x:v>
      </x:c>
      <x:c r="L1869" s="11" t="n">
        <x:v>0</x:v>
      </x:c>
      <x:c r="M1869" s="9" t="n">
        <x:f>IF(D1869="Completed",I1869*J1869,0)</x:f>
        <x:v>312</x:v>
      </x:c>
      <x:c r="N1869" s="9" t="n">
        <x:f>M1869*K1869</x:f>
        <x:v>31.200000000000003</x:v>
      </x:c>
      <x:c r="O1869" s="9" t="n">
        <x:f>M1869-N1869</x:f>
        <x:v>280.8</x:v>
      </x:c>
      <x:c r="P1869" s="9" t="n">
        <x:f>IF(D1869="Completed",L1869*J1869*(1-K1869),0)</x:f>
        <x:v>0</x:v>
      </x:c>
      <x:c r="Q1869" s="9" t="n">
        <x:f>O1869-P1869</x:f>
        <x:v>280.8</x:v>
      </x:c>
      <x:c r="R1869" s="11" t="n">
        <x:f>IF(D1869="Completed",I1869,0)</x:f>
        <x:v>4</x:v>
      </x:c>
      <x:c r="S1869" s="11" t="n">
        <x:f>IF(D1869="Completed",L1869,0)</x:f>
        <x:v>0</x:v>
      </x:c>
      <x:c r="T1869" s="8" t="n">
        <x:f>DATE(YEAR(C1869),MONTH(C1869),1)</x:f>
        <x:v>45839</x:v>
      </x:c>
    </x:row>
    <x:row r="1870" ht="22" customHeight="1">
      <x:c r="A1870" s="2" t="str">
        <x:v>L001866</x:v>
      </x:c>
      <x:c r="B1870" s="2" t="str">
        <x:v>O00756</x:v>
      </x:c>
      <x:c r="C1870" s="7" t="n">
        <x:v>45862</x:v>
      </x:c>
      <x:c r="D1870" s="2" t="str">
        <x:v>Completed</x:v>
      </x:c>
      <x:c r="E1870" s="2" t="str">
        <x:v>North</x:v>
      </x:c>
      <x:c r="F1870" s="2" t="str">
        <x:v>Store</x:v>
      </x:c>
      <x:c r="G1870" s="2" t="str">
        <x:v>Storage</x:v>
      </x:c>
      <x:c r="H1870" s="2" t="str">
        <x:v>Shelf 007</x:v>
      </x:c>
      <x:c r="I1870" s="11" t="n">
        <x:v>1</x:v>
      </x:c>
      <x:c r="J1870" s="9" t="n">
        <x:v>35</x:v>
      </x:c>
      <x:c r="K1870" s="10" t="n">
        <x:v>0.1</x:v>
      </x:c>
      <x:c r="L1870" s="11" t="n">
        <x:v>0</x:v>
      </x:c>
      <x:c r="M1870" s="9" t="n">
        <x:f>IF(D1870="Completed",I1870*J1870,0)</x:f>
        <x:v>35</x:v>
      </x:c>
      <x:c r="N1870" s="9" t="n">
        <x:f>M1870*K1870</x:f>
        <x:v>3.5</x:v>
      </x:c>
      <x:c r="O1870" s="9" t="n">
        <x:f>M1870-N1870</x:f>
        <x:v>31.5</x:v>
      </x:c>
      <x:c r="P1870" s="9" t="n">
        <x:f>IF(D1870="Completed",L1870*J1870*(1-K1870),0)</x:f>
        <x:v>0</x:v>
      </x:c>
      <x:c r="Q1870" s="9" t="n">
        <x:f>O1870-P1870</x:f>
        <x:v>31.5</x:v>
      </x:c>
      <x:c r="R1870" s="11" t="n">
        <x:f>IF(D1870="Completed",I1870,0)</x:f>
        <x:v>1</x:v>
      </x:c>
      <x:c r="S1870" s="11" t="n">
        <x:f>IF(D1870="Completed",L1870,0)</x:f>
        <x:v>0</x:v>
      </x:c>
      <x:c r="T1870" s="8" t="n">
        <x:f>DATE(YEAR(C1870),MONTH(C1870),1)</x:f>
        <x:v>45839</x:v>
      </x:c>
    </x:row>
    <x:row r="1871" ht="22" customHeight="1">
      <x:c r="A1871" s="2" t="str">
        <x:v>L001867</x:v>
      </x:c>
      <x:c r="B1871" s="2" t="str">
        <x:v>O00757</x:v>
      </x:c>
      <x:c r="C1871" s="7" t="n">
        <x:v>45770</x:v>
      </x:c>
      <x:c r="D1871" s="2" t="str">
        <x:v>Completed</x:v>
      </x:c>
      <x:c r="E1871" s="2" t="str">
        <x:v>West</x:v>
      </x:c>
      <x:c r="F1871" s="2" t="str">
        <x:v>Store</x:v>
      </x:c>
      <x:c r="G1871" s="2" t="str">
        <x:v>Lighting</x:v>
      </x:c>
      <x:c r="H1871" s="2" t="str">
        <x:v>Lamp 001</x:v>
      </x:c>
      <x:c r="I1871" s="11" t="n">
        <x:v>5</x:v>
      </x:c>
      <x:c r="J1871" s="9" t="n">
        <x:v>122</x:v>
      </x:c>
      <x:c r="K1871" s="10" t="n">
        <x:v>0.2</x:v>
      </x:c>
      <x:c r="L1871" s="11" t="n">
        <x:v>0</x:v>
      </x:c>
      <x:c r="M1871" s="9" t="n">
        <x:f>IF(D1871="Completed",I1871*J1871,0)</x:f>
        <x:v>610</x:v>
      </x:c>
      <x:c r="N1871" s="9" t="n">
        <x:f>M1871*K1871</x:f>
        <x:v>122</x:v>
      </x:c>
      <x:c r="O1871" s="9" t="n">
        <x:f>M1871-N1871</x:f>
        <x:v>488</x:v>
      </x:c>
      <x:c r="P1871" s="9" t="n">
        <x:f>IF(D1871="Completed",L1871*J1871*(1-K1871),0)</x:f>
        <x:v>0</x:v>
      </x:c>
      <x:c r="Q1871" s="9" t="n">
        <x:f>O1871-P1871</x:f>
        <x:v>488</x:v>
      </x:c>
      <x:c r="R1871" s="11" t="n">
        <x:f>IF(D1871="Completed",I1871,0)</x:f>
        <x:v>5</x:v>
      </x:c>
      <x:c r="S1871" s="11" t="n">
        <x:f>IF(D1871="Completed",L1871,0)</x:f>
        <x:v>0</x:v>
      </x:c>
      <x:c r="T1871" s="8" t="n">
        <x:f>DATE(YEAR(C1871),MONTH(C1871),1)</x:f>
        <x:v>45748</x:v>
      </x:c>
    </x:row>
    <x:row r="1872" ht="22" customHeight="1">
      <x:c r="A1872" s="2" t="str">
        <x:v>L001868</x:v>
      </x:c>
      <x:c r="B1872" s="2" t="str">
        <x:v>O00757</x:v>
      </x:c>
      <x:c r="C1872" s="7" t="n">
        <x:v>45770</x:v>
      </x:c>
      <x:c r="D1872" s="2" t="str">
        <x:v>Completed</x:v>
      </x:c>
      <x:c r="E1872" s="2" t="str">
        <x:v>West</x:v>
      </x:c>
      <x:c r="F1872" s="2" t="str">
        <x:v>Store</x:v>
      </x:c>
      <x:c r="G1872" s="2" t="str">
        <x:v>Furniture</x:v>
      </x:c>
      <x:c r="H1872" s="2" t="str">
        <x:v>Desk 020</x:v>
      </x:c>
      <x:c r="I1872" s="11" t="n">
        <x:v>2</x:v>
      </x:c>
      <x:c r="J1872" s="9" t="n">
        <x:v>189</x:v>
      </x:c>
      <x:c r="K1872" s="10" t="n">
        <x:v>0.05</x:v>
      </x:c>
      <x:c r="L1872" s="11" t="n">
        <x:v>0</x:v>
      </x:c>
      <x:c r="M1872" s="9" t="n">
        <x:f>IF(D1872="Completed",I1872*J1872,0)</x:f>
        <x:v>378</x:v>
      </x:c>
      <x:c r="N1872" s="9" t="n">
        <x:f>M1872*K1872</x:f>
        <x:v>18.900000000000002</x:v>
      </x:c>
      <x:c r="O1872" s="9" t="n">
        <x:f>M1872-N1872</x:f>
        <x:v>359.1</x:v>
      </x:c>
      <x:c r="P1872" s="9" t="n">
        <x:f>IF(D1872="Completed",L1872*J1872*(1-K1872),0)</x:f>
        <x:v>0</x:v>
      </x:c>
      <x:c r="Q1872" s="9" t="n">
        <x:f>O1872-P1872</x:f>
        <x:v>359.1</x:v>
      </x:c>
      <x:c r="R1872" s="11" t="n">
        <x:f>IF(D1872="Completed",I1872,0)</x:f>
        <x:v>2</x:v>
      </x:c>
      <x:c r="S1872" s="11" t="n">
        <x:f>IF(D1872="Completed",L1872,0)</x:f>
        <x:v>0</x:v>
      </x:c>
      <x:c r="T1872" s="8" t="n">
        <x:f>DATE(YEAR(C1872),MONTH(C1872),1)</x:f>
        <x:v>45748</x:v>
      </x:c>
    </x:row>
    <x:row r="1873" ht="22" customHeight="1">
      <x:c r="A1873" s="2" t="str">
        <x:v>L001869</x:v>
      </x:c>
      <x:c r="B1873" s="2" t="str">
        <x:v>O00757</x:v>
      </x:c>
      <x:c r="C1873" s="7" t="n">
        <x:v>45770</x:v>
      </x:c>
      <x:c r="D1873" s="2" t="str">
        <x:v>Completed</x:v>
      </x:c>
      <x:c r="E1873" s="2" t="str">
        <x:v>West</x:v>
      </x:c>
      <x:c r="F1873" s="2" t="str">
        <x:v>Store</x:v>
      </x:c>
      <x:c r="G1873" s="2" t="str">
        <x:v>Lighting</x:v>
      </x:c>
      <x:c r="H1873" s="2" t="str">
        <x:v>Lamp 013</x:v>
      </x:c>
      <x:c r="I1873" s="11" t="n">
        <x:v>4</x:v>
      </x:c>
      <x:c r="J1873" s="9" t="n">
        <x:v>271</x:v>
      </x:c>
      <x:c r="K1873" s="10" t="n">
        <x:v>0.1</x:v>
      </x:c>
      <x:c r="L1873" s="11" t="n">
        <x:v>0</x:v>
      </x:c>
      <x:c r="M1873" s="9" t="n">
        <x:f>IF(D1873="Completed",I1873*J1873,0)</x:f>
        <x:v>1084</x:v>
      </x:c>
      <x:c r="N1873" s="9" t="n">
        <x:f>M1873*K1873</x:f>
        <x:v>108.4</x:v>
      </x:c>
      <x:c r="O1873" s="9" t="n">
        <x:f>M1873-N1873</x:f>
        <x:v>975.6</x:v>
      </x:c>
      <x:c r="P1873" s="9" t="n">
        <x:f>IF(D1873="Completed",L1873*J1873*(1-K1873),0)</x:f>
        <x:v>0</x:v>
      </x:c>
      <x:c r="Q1873" s="9" t="n">
        <x:f>O1873-P1873</x:f>
        <x:v>975.6</x:v>
      </x:c>
      <x:c r="R1873" s="11" t="n">
        <x:f>IF(D1873="Completed",I1873,0)</x:f>
        <x:v>4</x:v>
      </x:c>
      <x:c r="S1873" s="11" t="n">
        <x:f>IF(D1873="Completed",L1873,0)</x:f>
        <x:v>0</x:v>
      </x:c>
      <x:c r="T1873" s="8" t="n">
        <x:f>DATE(YEAR(C1873),MONTH(C1873),1)</x:f>
        <x:v>45748</x:v>
      </x:c>
    </x:row>
    <x:row r="1874" ht="22" customHeight="1">
      <x:c r="A1874" s="2" t="str">
        <x:v>L001870</x:v>
      </x:c>
      <x:c r="B1874" s="2" t="str">
        <x:v>O00757</x:v>
      </x:c>
      <x:c r="C1874" s="7" t="n">
        <x:v>45770</x:v>
      </x:c>
      <x:c r="D1874" s="2" t="str">
        <x:v>Completed</x:v>
      </x:c>
      <x:c r="E1874" s="2" t="str">
        <x:v>West</x:v>
      </x:c>
      <x:c r="F1874" s="2" t="str">
        <x:v>Store</x:v>
      </x:c>
      <x:c r="G1874" s="2" t="str">
        <x:v>Furniture</x:v>
      </x:c>
      <x:c r="H1874" s="2" t="str">
        <x:v>Desk 024</x:v>
      </x:c>
      <x:c r="I1874" s="11" t="n">
        <x:v>5</x:v>
      </x:c>
      <x:c r="J1874" s="9" t="n">
        <x:v>81</x:v>
      </x:c>
      <x:c r="K1874" s="10" t="n">
        <x:v>0</x:v>
      </x:c>
      <x:c r="L1874" s="11" t="n">
        <x:v>0</x:v>
      </x:c>
      <x:c r="M1874" s="9" t="n">
        <x:f>IF(D1874="Completed",I1874*J1874,0)</x:f>
        <x:v>405</x:v>
      </x:c>
      <x:c r="N1874" s="9" t="n">
        <x:f>M1874*K1874</x:f>
        <x:v>0</x:v>
      </x:c>
      <x:c r="O1874" s="9" t="n">
        <x:f>M1874-N1874</x:f>
        <x:v>405</x:v>
      </x:c>
      <x:c r="P1874" s="9" t="n">
        <x:f>IF(D1874="Completed",L1874*J1874*(1-K1874),0)</x:f>
        <x:v>0</x:v>
      </x:c>
      <x:c r="Q1874" s="9" t="n">
        <x:f>O1874-P1874</x:f>
        <x:v>405</x:v>
      </x:c>
      <x:c r="R1874" s="11" t="n">
        <x:f>IF(D1874="Completed",I1874,0)</x:f>
        <x:v>5</x:v>
      </x:c>
      <x:c r="S1874" s="11" t="n">
        <x:f>IF(D1874="Completed",L1874,0)</x:f>
        <x:v>0</x:v>
      </x:c>
      <x:c r="T1874" s="8" t="n">
        <x:f>DATE(YEAR(C1874),MONTH(C1874),1)</x:f>
        <x:v>45748</x:v>
      </x:c>
    </x:row>
    <x:row r="1875" ht="22" customHeight="1">
      <x:c r="A1875" s="2" t="str">
        <x:v>L001871</x:v>
      </x:c>
      <x:c r="B1875" s="2" t="str">
        <x:v>O00758</x:v>
      </x:c>
      <x:c r="C1875" s="7" t="n">
        <x:v>45951</x:v>
      </x:c>
      <x:c r="D1875" s="2" t="str">
        <x:v>Completed</x:v>
      </x:c>
      <x:c r="E1875" s="2" t="str">
        <x:v>North</x:v>
      </x:c>
      <x:c r="F1875" s="2" t="str">
        <x:v>Store</x:v>
      </x:c>
      <x:c r="G1875" s="2" t="str">
        <x:v>Furniture</x:v>
      </x:c>
      <x:c r="H1875" s="2" t="str">
        <x:v>Desk 004</x:v>
      </x:c>
      <x:c r="I1875" s="11" t="n">
        <x:v>5</x:v>
      </x:c>
      <x:c r="J1875" s="9" t="n">
        <x:v>123</x:v>
      </x:c>
      <x:c r="K1875" s="10" t="n">
        <x:v>0.05</x:v>
      </x:c>
      <x:c r="L1875" s="11" t="n">
        <x:v>0</x:v>
      </x:c>
      <x:c r="M1875" s="9" t="n">
        <x:f>IF(D1875="Completed",I1875*J1875,0)</x:f>
        <x:v>615</x:v>
      </x:c>
      <x:c r="N1875" s="9" t="n">
        <x:f>M1875*K1875</x:f>
        <x:v>30.75</x:v>
      </x:c>
      <x:c r="O1875" s="9" t="n">
        <x:f>M1875-N1875</x:f>
        <x:v>584.25</x:v>
      </x:c>
      <x:c r="P1875" s="9" t="n">
        <x:f>IF(D1875="Completed",L1875*J1875*(1-K1875),0)</x:f>
        <x:v>0</x:v>
      </x:c>
      <x:c r="Q1875" s="9" t="n">
        <x:f>O1875-P1875</x:f>
        <x:v>584.25</x:v>
      </x:c>
      <x:c r="R1875" s="11" t="n">
        <x:f>IF(D1875="Completed",I1875,0)</x:f>
        <x:v>5</x:v>
      </x:c>
      <x:c r="S1875" s="11" t="n">
        <x:f>IF(D1875="Completed",L1875,0)</x:f>
        <x:v>0</x:v>
      </x:c>
      <x:c r="T1875" s="8" t="n">
        <x:f>DATE(YEAR(C1875),MONTH(C1875),1)</x:f>
        <x:v>45931</x:v>
      </x:c>
    </x:row>
    <x:row r="1876" ht="22" customHeight="1">
      <x:c r="A1876" s="2" t="str">
        <x:v>L001872</x:v>
      </x:c>
      <x:c r="B1876" s="2" t="str">
        <x:v>O00759</x:v>
      </x:c>
      <x:c r="C1876" s="7" t="n">
        <x:v>46014</x:v>
      </x:c>
      <x:c r="D1876" s="2" t="str">
        <x:v>Completed</x:v>
      </x:c>
      <x:c r="E1876" s="2" t="str">
        <x:v>South</x:v>
      </x:c>
      <x:c r="F1876" s="2" t="str">
        <x:v>Online</x:v>
      </x:c>
      <x:c r="G1876" s="2" t="str">
        <x:v>Furniture</x:v>
      </x:c>
      <x:c r="H1876" s="2" t="str">
        <x:v>Desk 004</x:v>
      </x:c>
      <x:c r="I1876" s="11" t="n">
        <x:v>3</x:v>
      </x:c>
      <x:c r="J1876" s="9" t="n">
        <x:v>123</x:v>
      </x:c>
      <x:c r="K1876" s="10" t="n">
        <x:v>0.05</x:v>
      </x:c>
      <x:c r="L1876" s="11" t="n">
        <x:v>0</x:v>
      </x:c>
      <x:c r="M1876" s="9" t="n">
        <x:f>IF(D1876="Completed",I1876*J1876,0)</x:f>
        <x:v>369</x:v>
      </x:c>
      <x:c r="N1876" s="9" t="n">
        <x:f>M1876*K1876</x:f>
        <x:v>18.45</x:v>
      </x:c>
      <x:c r="O1876" s="9" t="n">
        <x:f>M1876-N1876</x:f>
        <x:v>350.55</x:v>
      </x:c>
      <x:c r="P1876" s="9" t="n">
        <x:f>IF(D1876="Completed",L1876*J1876*(1-K1876),0)</x:f>
        <x:v>0</x:v>
      </x:c>
      <x:c r="Q1876" s="9" t="n">
        <x:f>O1876-P1876</x:f>
        <x:v>350.55</x:v>
      </x:c>
      <x:c r="R1876" s="11" t="n">
        <x:f>IF(D1876="Completed",I1876,0)</x:f>
        <x:v>3</x:v>
      </x:c>
      <x:c r="S1876" s="11" t="n">
        <x:f>IF(D1876="Completed",L1876,0)</x:f>
        <x:v>0</x:v>
      </x:c>
      <x:c r="T1876" s="8" t="n">
        <x:f>DATE(YEAR(C1876),MONTH(C1876),1)</x:f>
        <x:v>45992</x:v>
      </x:c>
    </x:row>
    <x:row r="1877" ht="22" customHeight="1">
      <x:c r="A1877" s="2" t="str">
        <x:v>L001873</x:v>
      </x:c>
      <x:c r="B1877" s="2" t="str">
        <x:v>O00760</x:v>
      </x:c>
      <x:c r="C1877" s="7" t="n">
        <x:v>45945</x:v>
      </x:c>
      <x:c r="D1877" s="2" t="str">
        <x:v>Completed</x:v>
      </x:c>
      <x:c r="E1877" s="2" t="str">
        <x:v>North</x:v>
      </x:c>
      <x:c r="F1877" s="2" t="str">
        <x:v>Store</x:v>
      </x:c>
      <x:c r="G1877" s="2" t="str">
        <x:v>Lighting</x:v>
      </x:c>
      <x:c r="H1877" s="2" t="str">
        <x:v>Lamp 017</x:v>
      </x:c>
      <x:c r="I1877" s="11" t="n">
        <x:v>5</x:v>
      </x:c>
      <x:c r="J1877" s="9" t="n">
        <x:v>300</x:v>
      </x:c>
      <x:c r="K1877" s="10" t="n">
        <x:v>0.2</x:v>
      </x:c>
      <x:c r="L1877" s="11" t="n">
        <x:v>0</x:v>
      </x:c>
      <x:c r="M1877" s="9" t="n">
        <x:f>IF(D1877="Completed",I1877*J1877,0)</x:f>
        <x:v>1500</x:v>
      </x:c>
      <x:c r="N1877" s="9" t="n">
        <x:f>M1877*K1877</x:f>
        <x:v>300</x:v>
      </x:c>
      <x:c r="O1877" s="9" t="n">
        <x:f>M1877-N1877</x:f>
        <x:v>1200</x:v>
      </x:c>
      <x:c r="P1877" s="9" t="n">
        <x:f>IF(D1877="Completed",L1877*J1877*(1-K1877),0)</x:f>
        <x:v>0</x:v>
      </x:c>
      <x:c r="Q1877" s="9" t="n">
        <x:f>O1877-P1877</x:f>
        <x:v>1200</x:v>
      </x:c>
      <x:c r="R1877" s="11" t="n">
        <x:f>IF(D1877="Completed",I1877,0)</x:f>
        <x:v>5</x:v>
      </x:c>
      <x:c r="S1877" s="11" t="n">
        <x:f>IF(D1877="Completed",L1877,0)</x:f>
        <x:v>0</x:v>
      </x:c>
      <x:c r="T1877" s="8" t="n">
        <x:f>DATE(YEAR(C1877),MONTH(C1877),1)</x:f>
        <x:v>45931</x:v>
      </x:c>
    </x:row>
    <x:row r="1878" ht="22" customHeight="1">
      <x:c r="A1878" s="2" t="str">
        <x:v>L001874</x:v>
      </x:c>
      <x:c r="B1878" s="2" t="str">
        <x:v>O00760</x:v>
      </x:c>
      <x:c r="C1878" s="7" t="n">
        <x:v>45945</x:v>
      </x:c>
      <x:c r="D1878" s="2" t="str">
        <x:v>Completed</x:v>
      </x:c>
      <x:c r="E1878" s="2" t="str">
        <x:v>North</x:v>
      </x:c>
      <x:c r="F1878" s="2" t="str">
        <x:v>Store</x:v>
      </x:c>
      <x:c r="G1878" s="2" t="str">
        <x:v>Storage</x:v>
      </x:c>
      <x:c r="H1878" s="2" t="str">
        <x:v>Shelf 023</x:v>
      </x:c>
      <x:c r="I1878" s="11" t="n">
        <x:v>5</x:v>
      </x:c>
      <x:c r="J1878" s="9" t="n">
        <x:v>68</x:v>
      </x:c>
      <x:c r="K1878" s="10" t="n">
        <x:v>0.1</x:v>
      </x:c>
      <x:c r="L1878" s="11" t="n">
        <x:v>0</x:v>
      </x:c>
      <x:c r="M1878" s="9" t="n">
        <x:f>IF(D1878="Completed",I1878*J1878,0)</x:f>
        <x:v>340</x:v>
      </x:c>
      <x:c r="N1878" s="9" t="n">
        <x:f>M1878*K1878</x:f>
        <x:v>34</x:v>
      </x:c>
      <x:c r="O1878" s="9" t="n">
        <x:f>M1878-N1878</x:f>
        <x:v>306</x:v>
      </x:c>
      <x:c r="P1878" s="9" t="n">
        <x:f>IF(D1878="Completed",L1878*J1878*(1-K1878),0)</x:f>
        <x:v>0</x:v>
      </x:c>
      <x:c r="Q1878" s="9" t="n">
        <x:f>O1878-P1878</x:f>
        <x:v>306</x:v>
      </x:c>
      <x:c r="R1878" s="11" t="n">
        <x:f>IF(D1878="Completed",I1878,0)</x:f>
        <x:v>5</x:v>
      </x:c>
      <x:c r="S1878" s="11" t="n">
        <x:f>IF(D1878="Completed",L1878,0)</x:f>
        <x:v>0</x:v>
      </x:c>
      <x:c r="T1878" s="8" t="n">
        <x:f>DATE(YEAR(C1878),MONTH(C1878),1)</x:f>
        <x:v>45931</x:v>
      </x:c>
    </x:row>
    <x:row r="1879" ht="22" customHeight="1">
      <x:c r="A1879" s="2" t="str">
        <x:v>L001875</x:v>
      </x:c>
      <x:c r="B1879" s="2" t="str">
        <x:v>O00761</x:v>
      </x:c>
      <x:c r="C1879" s="7" t="n">
        <x:v>46011</x:v>
      </x:c>
      <x:c r="D1879" s="2" t="str">
        <x:v>Completed</x:v>
      </x:c>
      <x:c r="E1879" s="2" t="str">
        <x:v>East</x:v>
      </x:c>
      <x:c r="F1879" s="2" t="str">
        <x:v>Store</x:v>
      </x:c>
      <x:c r="G1879" s="2" t="str">
        <x:v>Lighting</x:v>
      </x:c>
      <x:c r="H1879" s="2" t="str">
        <x:v>Lamp 009</x:v>
      </x:c>
      <x:c r="I1879" s="11" t="n">
        <x:v>4</x:v>
      </x:c>
      <x:c r="J1879" s="9" t="n">
        <x:v>93</x:v>
      </x:c>
      <x:c r="K1879" s="10" t="n">
        <x:v>0.1</x:v>
      </x:c>
      <x:c r="L1879" s="11" t="n">
        <x:v>0</x:v>
      </x:c>
      <x:c r="M1879" s="9" t="n">
        <x:f>IF(D1879="Completed",I1879*J1879,0)</x:f>
        <x:v>372</x:v>
      </x:c>
      <x:c r="N1879" s="9" t="n">
        <x:f>M1879*K1879</x:f>
        <x:v>37.2</x:v>
      </x:c>
      <x:c r="O1879" s="9" t="n">
        <x:f>M1879-N1879</x:f>
        <x:v>334.8</x:v>
      </x:c>
      <x:c r="P1879" s="9" t="n">
        <x:f>IF(D1879="Completed",L1879*J1879*(1-K1879),0)</x:f>
        <x:v>0</x:v>
      </x:c>
      <x:c r="Q1879" s="9" t="n">
        <x:f>O1879-P1879</x:f>
        <x:v>334.8</x:v>
      </x:c>
      <x:c r="R1879" s="11" t="n">
        <x:f>IF(D1879="Completed",I1879,0)</x:f>
        <x:v>4</x:v>
      </x:c>
      <x:c r="S1879" s="11" t="n">
        <x:f>IF(D1879="Completed",L1879,0)</x:f>
        <x:v>0</x:v>
      </x:c>
      <x:c r="T1879" s="8" t="n">
        <x:f>DATE(YEAR(C1879),MONTH(C1879),1)</x:f>
        <x:v>45992</x:v>
      </x:c>
    </x:row>
    <x:row r="1880" ht="22" customHeight="1">
      <x:c r="A1880" s="2" t="str">
        <x:v>L001876</x:v>
      </x:c>
      <x:c r="B1880" s="2" t="str">
        <x:v>O00762</x:v>
      </x:c>
      <x:c r="C1880" s="7" t="n">
        <x:v>45922</x:v>
      </x:c>
      <x:c r="D1880" s="2" t="str">
        <x:v>Completed</x:v>
      </x:c>
      <x:c r="E1880" s="2" t="str">
        <x:v>North</x:v>
      </x:c>
      <x:c r="F1880" s="2" t="str">
        <x:v>Store</x:v>
      </x:c>
      <x:c r="G1880" s="2" t="str">
        <x:v>Furniture</x:v>
      </x:c>
      <x:c r="H1880" s="2" t="str">
        <x:v>Chair 014</x:v>
      </x:c>
      <x:c r="I1880" s="11" t="n">
        <x:v>5</x:v>
      </x:c>
      <x:c r="J1880" s="9" t="n">
        <x:v>294</x:v>
      </x:c>
      <x:c r="K1880" s="10" t="n">
        <x:v>0.2</x:v>
      </x:c>
      <x:c r="L1880" s="11" t="n">
        <x:v>0</x:v>
      </x:c>
      <x:c r="M1880" s="9" t="n">
        <x:f>IF(D1880="Completed",I1880*J1880,0)</x:f>
        <x:v>1470</x:v>
      </x:c>
      <x:c r="N1880" s="9" t="n">
        <x:f>M1880*K1880</x:f>
        <x:v>294</x:v>
      </x:c>
      <x:c r="O1880" s="9" t="n">
        <x:f>M1880-N1880</x:f>
        <x:v>1176</x:v>
      </x:c>
      <x:c r="P1880" s="9" t="n">
        <x:f>IF(D1880="Completed",L1880*J1880*(1-K1880),0)</x:f>
        <x:v>0</x:v>
      </x:c>
      <x:c r="Q1880" s="9" t="n">
        <x:f>O1880-P1880</x:f>
        <x:v>1176</x:v>
      </x:c>
      <x:c r="R1880" s="11" t="n">
        <x:f>IF(D1880="Completed",I1880,0)</x:f>
        <x:v>5</x:v>
      </x:c>
      <x:c r="S1880" s="11" t="n">
        <x:f>IF(D1880="Completed",L1880,0)</x:f>
        <x:v>0</x:v>
      </x:c>
      <x:c r="T1880" s="8" t="n">
        <x:f>DATE(YEAR(C1880),MONTH(C1880),1)</x:f>
        <x:v>45901</x:v>
      </x:c>
    </x:row>
    <x:row r="1881" ht="22" customHeight="1">
      <x:c r="A1881" s="2" t="str">
        <x:v>L001877</x:v>
      </x:c>
      <x:c r="B1881" s="2" t="str">
        <x:v>O00763</x:v>
      </x:c>
      <x:c r="C1881" s="7" t="n">
        <x:v>45988</x:v>
      </x:c>
      <x:c r="D1881" s="2" t="str">
        <x:v>Completed</x:v>
      </x:c>
      <x:c r="E1881" s="2" t="str">
        <x:v>West</x:v>
      </x:c>
      <x:c r="F1881" s="2" t="str">
        <x:v>Online</x:v>
      </x:c>
      <x:c r="G1881" s="2" t="str">
        <x:v>Furniture</x:v>
      </x:c>
      <x:c r="H1881" s="2" t="str">
        <x:v>Desk 008</x:v>
      </x:c>
      <x:c r="I1881" s="11" t="n">
        <x:v>4</x:v>
      </x:c>
      <x:c r="J1881" s="9" t="n">
        <x:v>188</x:v>
      </x:c>
      <x:c r="K1881" s="10" t="n">
        <x:v>0</x:v>
      </x:c>
      <x:c r="L1881" s="11" t="n">
        <x:v>0</x:v>
      </x:c>
      <x:c r="M1881" s="9" t="n">
        <x:f>IF(D1881="Completed",I1881*J1881,0)</x:f>
        <x:v>752</x:v>
      </x:c>
      <x:c r="N1881" s="9" t="n">
        <x:f>M1881*K1881</x:f>
        <x:v>0</x:v>
      </x:c>
      <x:c r="O1881" s="9" t="n">
        <x:f>M1881-N1881</x:f>
        <x:v>752</x:v>
      </x:c>
      <x:c r="P1881" s="9" t="n">
        <x:f>IF(D1881="Completed",L1881*J1881*(1-K1881),0)</x:f>
        <x:v>0</x:v>
      </x:c>
      <x:c r="Q1881" s="9" t="n">
        <x:f>O1881-P1881</x:f>
        <x:v>752</x:v>
      </x:c>
      <x:c r="R1881" s="11" t="n">
        <x:f>IF(D1881="Completed",I1881,0)</x:f>
        <x:v>4</x:v>
      </x:c>
      <x:c r="S1881" s="11" t="n">
        <x:f>IF(D1881="Completed",L1881,0)</x:f>
        <x:v>0</x:v>
      </x:c>
      <x:c r="T1881" s="8" t="n">
        <x:f>DATE(YEAR(C1881),MONTH(C1881),1)</x:f>
        <x:v>45962</x:v>
      </x:c>
    </x:row>
    <x:row r="1882" ht="22" customHeight="1">
      <x:c r="A1882" s="2" t="str">
        <x:v>L001878</x:v>
      </x:c>
      <x:c r="B1882" s="2" t="str">
        <x:v>O00763</x:v>
      </x:c>
      <x:c r="C1882" s="7" t="n">
        <x:v>45988</x:v>
      </x:c>
      <x:c r="D1882" s="2" t="str">
        <x:v>Completed</x:v>
      </x:c>
      <x:c r="E1882" s="2" t="str">
        <x:v>West</x:v>
      </x:c>
      <x:c r="F1882" s="2" t="str">
        <x:v>Online</x:v>
      </x:c>
      <x:c r="G1882" s="2" t="str">
        <x:v>Lighting</x:v>
      </x:c>
      <x:c r="H1882" s="2" t="str">
        <x:v>Lamp 017</x:v>
      </x:c>
      <x:c r="I1882" s="11" t="n">
        <x:v>5</x:v>
      </x:c>
      <x:c r="J1882" s="9" t="n">
        <x:v>300</x:v>
      </x:c>
      <x:c r="K1882" s="10" t="n">
        <x:v>0</x:v>
      </x:c>
      <x:c r="L1882" s="11" t="n">
        <x:v>0</x:v>
      </x:c>
      <x:c r="M1882" s="9" t="n">
        <x:f>IF(D1882="Completed",I1882*J1882,0)</x:f>
        <x:v>1500</x:v>
      </x:c>
      <x:c r="N1882" s="9" t="n">
        <x:f>M1882*K1882</x:f>
        <x:v>0</x:v>
      </x:c>
      <x:c r="O1882" s="9" t="n">
        <x:f>M1882-N1882</x:f>
        <x:v>1500</x:v>
      </x:c>
      <x:c r="P1882" s="9" t="n">
        <x:f>IF(D1882="Completed",L1882*J1882*(1-K1882),0)</x:f>
        <x:v>0</x:v>
      </x:c>
      <x:c r="Q1882" s="9" t="n">
        <x:f>O1882-P1882</x:f>
        <x:v>1500</x:v>
      </x:c>
      <x:c r="R1882" s="11" t="n">
        <x:f>IF(D1882="Completed",I1882,0)</x:f>
        <x:v>5</x:v>
      </x:c>
      <x:c r="S1882" s="11" t="n">
        <x:f>IF(D1882="Completed",L1882,0)</x:f>
        <x:v>0</x:v>
      </x:c>
      <x:c r="T1882" s="8" t="n">
        <x:f>DATE(YEAR(C1882),MONTH(C1882),1)</x:f>
        <x:v>45962</x:v>
      </x:c>
    </x:row>
    <x:row r="1883" ht="22" customHeight="1">
      <x:c r="A1883" s="2" t="str">
        <x:v>L001879</x:v>
      </x:c>
      <x:c r="B1883" s="2" t="str">
        <x:v>O00764</x:v>
      </x:c>
      <x:c r="C1883" s="7" t="n">
        <x:v>45893</x:v>
      </x:c>
      <x:c r="D1883" s="2" t="str">
        <x:v>Completed</x:v>
      </x:c>
      <x:c r="E1883" s="2" t="str">
        <x:v>East</x:v>
      </x:c>
      <x:c r="F1883" s="2" t="str">
        <x:v>Store</x:v>
      </x:c>
      <x:c r="G1883" s="2" t="str">
        <x:v>Storage</x:v>
      </x:c>
      <x:c r="H1883" s="2" t="str">
        <x:v>Shelf 011</x:v>
      </x:c>
      <x:c r="I1883" s="11" t="n">
        <x:v>1</x:v>
      </x:c>
      <x:c r="J1883" s="9" t="n">
        <x:v>80</x:v>
      </x:c>
      <x:c r="K1883" s="10" t="n">
        <x:v>0</x:v>
      </x:c>
      <x:c r="L1883" s="11" t="n">
        <x:v>0</x:v>
      </x:c>
      <x:c r="M1883" s="9" t="n">
        <x:f>IF(D1883="Completed",I1883*J1883,0)</x:f>
        <x:v>80</x:v>
      </x:c>
      <x:c r="N1883" s="9" t="n">
        <x:f>M1883*K1883</x:f>
        <x:v>0</x:v>
      </x:c>
      <x:c r="O1883" s="9" t="n">
        <x:f>M1883-N1883</x:f>
        <x:v>80</x:v>
      </x:c>
      <x:c r="P1883" s="9" t="n">
        <x:f>IF(D1883="Completed",L1883*J1883*(1-K1883),0)</x:f>
        <x:v>0</x:v>
      </x:c>
      <x:c r="Q1883" s="9" t="n">
        <x:f>O1883-P1883</x:f>
        <x:v>80</x:v>
      </x:c>
      <x:c r="R1883" s="11" t="n">
        <x:f>IF(D1883="Completed",I1883,0)</x:f>
        <x:v>1</x:v>
      </x:c>
      <x:c r="S1883" s="11" t="n">
        <x:f>IF(D1883="Completed",L1883,0)</x:f>
        <x:v>0</x:v>
      </x:c>
      <x:c r="T1883" s="8" t="n">
        <x:f>DATE(YEAR(C1883),MONTH(C1883),1)</x:f>
        <x:v>45870</x:v>
      </x:c>
    </x:row>
    <x:row r="1884" ht="22" customHeight="1">
      <x:c r="A1884" s="2" t="str">
        <x:v>L001880</x:v>
      </x:c>
      <x:c r="B1884" s="2" t="str">
        <x:v>O00765</x:v>
      </x:c>
      <x:c r="C1884" s="7" t="n">
        <x:v>46004</x:v>
      </x:c>
      <x:c r="D1884" s="2" t="str">
        <x:v>Completed</x:v>
      </x:c>
      <x:c r="E1884" s="2" t="str">
        <x:v>West</x:v>
      </x:c>
      <x:c r="F1884" s="2" t="str">
        <x:v>Store</x:v>
      </x:c>
      <x:c r="G1884" s="2" t="str">
        <x:v>Storage</x:v>
      </x:c>
      <x:c r="H1884" s="2" t="str">
        <x:v>Shelf 015</x:v>
      </x:c>
      <x:c r="I1884" s="11" t="n">
        <x:v>1</x:v>
      </x:c>
      <x:c r="J1884" s="9" t="n">
        <x:v>254</x:v>
      </x:c>
      <x:c r="K1884" s="10" t="n">
        <x:v>0</x:v>
      </x:c>
      <x:c r="L1884" s="11" t="n">
        <x:v>0</x:v>
      </x:c>
      <x:c r="M1884" s="9" t="n">
        <x:f>IF(D1884="Completed",I1884*J1884,0)</x:f>
        <x:v>254</x:v>
      </x:c>
      <x:c r="N1884" s="9" t="n">
        <x:f>M1884*K1884</x:f>
        <x:v>0</x:v>
      </x:c>
      <x:c r="O1884" s="9" t="n">
        <x:f>M1884-N1884</x:f>
        <x:v>254</x:v>
      </x:c>
      <x:c r="P1884" s="9" t="n">
        <x:f>IF(D1884="Completed",L1884*J1884*(1-K1884),0)</x:f>
        <x:v>0</x:v>
      </x:c>
      <x:c r="Q1884" s="9" t="n">
        <x:f>O1884-P1884</x:f>
        <x:v>254</x:v>
      </x:c>
      <x:c r="R1884" s="11" t="n">
        <x:f>IF(D1884="Completed",I1884,0)</x:f>
        <x:v>1</x:v>
      </x:c>
      <x:c r="S1884" s="11" t="n">
        <x:f>IF(D1884="Completed",L1884,0)</x:f>
        <x:v>0</x:v>
      </x:c>
      <x:c r="T1884" s="8" t="n">
        <x:f>DATE(YEAR(C1884),MONTH(C1884),1)</x:f>
        <x:v>45992</x:v>
      </x:c>
    </x:row>
    <x:row r="1885" ht="22" customHeight="1">
      <x:c r="A1885" s="2" t="str">
        <x:v>L001881</x:v>
      </x:c>
      <x:c r="B1885" s="2" t="str">
        <x:v>O00766</x:v>
      </x:c>
      <x:c r="C1885" s="7" t="n">
        <x:v>45992</x:v>
      </x:c>
      <x:c r="D1885" s="2" t="str">
        <x:v>Completed</x:v>
      </x:c>
      <x:c r="E1885" s="2" t="str">
        <x:v>North</x:v>
      </x:c>
      <x:c r="F1885" s="2" t="str">
        <x:v>Online</x:v>
      </x:c>
      <x:c r="G1885" s="2" t="str">
        <x:v>Furniture</x:v>
      </x:c>
      <x:c r="H1885" s="2" t="str">
        <x:v>Desk 008</x:v>
      </x:c>
      <x:c r="I1885" s="11" t="n">
        <x:v>3</x:v>
      </x:c>
      <x:c r="J1885" s="9" t="n">
        <x:v>188</x:v>
      </x:c>
      <x:c r="K1885" s="10" t="n">
        <x:v>0.2</x:v>
      </x:c>
      <x:c r="L1885" s="11" t="n">
        <x:v>0</x:v>
      </x:c>
      <x:c r="M1885" s="9" t="n">
        <x:f>IF(D1885="Completed",I1885*J1885,0)</x:f>
        <x:v>564</x:v>
      </x:c>
      <x:c r="N1885" s="9" t="n">
        <x:f>M1885*K1885</x:f>
        <x:v>112.80000000000001</x:v>
      </x:c>
      <x:c r="O1885" s="9" t="n">
        <x:f>M1885-N1885</x:f>
        <x:v>451.2</x:v>
      </x:c>
      <x:c r="P1885" s="9" t="n">
        <x:f>IF(D1885="Completed",L1885*J1885*(1-K1885),0)</x:f>
        <x:v>0</x:v>
      </x:c>
      <x:c r="Q1885" s="9" t="n">
        <x:f>O1885-P1885</x:f>
        <x:v>451.2</x:v>
      </x:c>
      <x:c r="R1885" s="11" t="n">
        <x:f>IF(D1885="Completed",I1885,0)</x:f>
        <x:v>3</x:v>
      </x:c>
      <x:c r="S1885" s="11" t="n">
        <x:f>IF(D1885="Completed",L1885,0)</x:f>
        <x:v>0</x:v>
      </x:c>
      <x:c r="T1885" s="8" t="n">
        <x:f>DATE(YEAR(C1885),MONTH(C1885),1)</x:f>
        <x:v>45992</x:v>
      </x:c>
    </x:row>
    <x:row r="1886" ht="22" customHeight="1">
      <x:c r="A1886" s="2" t="str">
        <x:v>L001882</x:v>
      </x:c>
      <x:c r="B1886" s="2" t="str">
        <x:v>O00766</x:v>
      </x:c>
      <x:c r="C1886" s="7" t="n">
        <x:v>45992</x:v>
      </x:c>
      <x:c r="D1886" s="2" t="str">
        <x:v>Completed</x:v>
      </x:c>
      <x:c r="E1886" s="2" t="str">
        <x:v>North</x:v>
      </x:c>
      <x:c r="F1886" s="2" t="str">
        <x:v>Online</x:v>
      </x:c>
      <x:c r="G1886" s="2" t="str">
        <x:v>Lighting</x:v>
      </x:c>
      <x:c r="H1886" s="2" t="str">
        <x:v>Lamp 005</x:v>
      </x:c>
      <x:c r="I1886" s="11" t="n">
        <x:v>4</x:v>
      </x:c>
      <x:c r="J1886" s="9" t="n">
        <x:v>65</x:v>
      </x:c>
      <x:c r="K1886" s="10" t="n">
        <x:v>0.05</x:v>
      </x:c>
      <x:c r="L1886" s="11" t="n">
        <x:v>0</x:v>
      </x:c>
      <x:c r="M1886" s="9" t="n">
        <x:f>IF(D1886="Completed",I1886*J1886,0)</x:f>
        <x:v>260</x:v>
      </x:c>
      <x:c r="N1886" s="9" t="n">
        <x:f>M1886*K1886</x:f>
        <x:v>13</x:v>
      </x:c>
      <x:c r="O1886" s="9" t="n">
        <x:f>M1886-N1886</x:f>
        <x:v>247</x:v>
      </x:c>
      <x:c r="P1886" s="9" t="n">
        <x:f>IF(D1886="Completed",L1886*J1886*(1-K1886),0)</x:f>
        <x:v>0</x:v>
      </x:c>
      <x:c r="Q1886" s="9" t="n">
        <x:f>O1886-P1886</x:f>
        <x:v>247</x:v>
      </x:c>
      <x:c r="R1886" s="11" t="n">
        <x:f>IF(D1886="Completed",I1886,0)</x:f>
        <x:v>4</x:v>
      </x:c>
      <x:c r="S1886" s="11" t="n">
        <x:f>IF(D1886="Completed",L1886,0)</x:f>
        <x:v>0</x:v>
      </x:c>
      <x:c r="T1886" s="8" t="n">
        <x:f>DATE(YEAR(C1886),MONTH(C1886),1)</x:f>
        <x:v>45992</x:v>
      </x:c>
    </x:row>
    <x:row r="1887" ht="22" customHeight="1">
      <x:c r="A1887" s="2" t="str">
        <x:v>L001883</x:v>
      </x:c>
      <x:c r="B1887" s="2" t="str">
        <x:v>O00767</x:v>
      </x:c>
      <x:c r="C1887" s="7" t="n">
        <x:v>45826</x:v>
      </x:c>
      <x:c r="D1887" s="2" t="str">
        <x:v>Completed</x:v>
      </x:c>
      <x:c r="E1887" s="2" t="str">
        <x:v>North</x:v>
      </x:c>
      <x:c r="F1887" s="2" t="str">
        <x:v>Store</x:v>
      </x:c>
      <x:c r="G1887" s="2" t="str">
        <x:v>Storage</x:v>
      </x:c>
      <x:c r="H1887" s="2" t="str">
        <x:v>Shelf 007</x:v>
      </x:c>
      <x:c r="I1887" s="11" t="n">
        <x:v>3</x:v>
      </x:c>
      <x:c r="J1887" s="9" t="n">
        <x:v>35</x:v>
      </x:c>
      <x:c r="K1887" s="10" t="n">
        <x:v>0</x:v>
      </x:c>
      <x:c r="L1887" s="11" t="n">
        <x:v>0</x:v>
      </x:c>
      <x:c r="M1887" s="9" t="n">
        <x:f>IF(D1887="Completed",I1887*J1887,0)</x:f>
        <x:v>105</x:v>
      </x:c>
      <x:c r="N1887" s="9" t="n">
        <x:f>M1887*K1887</x:f>
        <x:v>0</x:v>
      </x:c>
      <x:c r="O1887" s="9" t="n">
        <x:f>M1887-N1887</x:f>
        <x:v>105</x:v>
      </x:c>
      <x:c r="P1887" s="9" t="n">
        <x:f>IF(D1887="Completed",L1887*J1887*(1-K1887),0)</x:f>
        <x:v>0</x:v>
      </x:c>
      <x:c r="Q1887" s="9" t="n">
        <x:f>O1887-P1887</x:f>
        <x:v>105</x:v>
      </x:c>
      <x:c r="R1887" s="11" t="n">
        <x:f>IF(D1887="Completed",I1887,0)</x:f>
        <x:v>3</x:v>
      </x:c>
      <x:c r="S1887" s="11" t="n">
        <x:f>IF(D1887="Completed",L1887,0)</x:f>
        <x:v>0</x:v>
      </x:c>
      <x:c r="T1887" s="8" t="n">
        <x:f>DATE(YEAR(C1887),MONTH(C1887),1)</x:f>
        <x:v>45809</x:v>
      </x:c>
    </x:row>
    <x:row r="1888" ht="22" customHeight="1">
      <x:c r="A1888" s="2" t="str">
        <x:v>L001884</x:v>
      </x:c>
      <x:c r="B1888" s="2" t="str">
        <x:v>O00767</x:v>
      </x:c>
      <x:c r="C1888" s="7" t="n">
        <x:v>45826</x:v>
      </x:c>
      <x:c r="D1888" s="2" t="str">
        <x:v>Completed</x:v>
      </x:c>
      <x:c r="E1888" s="2" t="str">
        <x:v>North</x:v>
      </x:c>
      <x:c r="F1888" s="2" t="str">
        <x:v>Store</x:v>
      </x:c>
      <x:c r="G1888" s="2" t="str">
        <x:v>Furniture</x:v>
      </x:c>
      <x:c r="H1888" s="2" t="str">
        <x:v>Desk 016</x:v>
      </x:c>
      <x:c r="I1888" s="11" t="n">
        <x:v>1</x:v>
      </x:c>
      <x:c r="J1888" s="9" t="n">
        <x:v>231</x:v>
      </x:c>
      <x:c r="K1888" s="10" t="n">
        <x:v>0.2</x:v>
      </x:c>
      <x:c r="L1888" s="11" t="n">
        <x:v>0</x:v>
      </x:c>
      <x:c r="M1888" s="9" t="n">
        <x:f>IF(D1888="Completed",I1888*J1888,0)</x:f>
        <x:v>231</x:v>
      </x:c>
      <x:c r="N1888" s="9" t="n">
        <x:f>M1888*K1888</x:f>
        <x:v>46.2</x:v>
      </x:c>
      <x:c r="O1888" s="9" t="n">
        <x:f>M1888-N1888</x:f>
        <x:v>184.8</x:v>
      </x:c>
      <x:c r="P1888" s="9" t="n">
        <x:f>IF(D1888="Completed",L1888*J1888*(1-K1888),0)</x:f>
        <x:v>0</x:v>
      </x:c>
      <x:c r="Q1888" s="9" t="n">
        <x:f>O1888-P1888</x:f>
        <x:v>184.8</x:v>
      </x:c>
      <x:c r="R1888" s="11" t="n">
        <x:f>IF(D1888="Completed",I1888,0)</x:f>
        <x:v>1</x:v>
      </x:c>
      <x:c r="S1888" s="11" t="n">
        <x:f>IF(D1888="Completed",L1888,0)</x:f>
        <x:v>0</x:v>
      </x:c>
      <x:c r="T1888" s="8" t="n">
        <x:f>DATE(YEAR(C1888),MONTH(C1888),1)</x:f>
        <x:v>45809</x:v>
      </x:c>
    </x:row>
    <x:row r="1889" ht="22" customHeight="1">
      <x:c r="A1889" s="2" t="str">
        <x:v>L001885</x:v>
      </x:c>
      <x:c r="B1889" s="2" t="str">
        <x:v>O00768</x:v>
      </x:c>
      <x:c r="C1889" s="7" t="n">
        <x:v>45882</x:v>
      </x:c>
      <x:c r="D1889" s="2" t="str">
        <x:v>Completed</x:v>
      </x:c>
      <x:c r="E1889" s="2" t="str">
        <x:v>South</x:v>
      </x:c>
      <x:c r="F1889" s="2" t="str">
        <x:v>Store</x:v>
      </x:c>
      <x:c r="G1889" s="2" t="str">
        <x:v>Furniture</x:v>
      </x:c>
      <x:c r="H1889" s="2" t="str">
        <x:v>Desk 024</x:v>
      </x:c>
      <x:c r="I1889" s="11" t="n">
        <x:v>2</x:v>
      </x:c>
      <x:c r="J1889" s="9" t="n">
        <x:v>81</x:v>
      </x:c>
      <x:c r="K1889" s="10" t="n">
        <x:v>0.2</x:v>
      </x:c>
      <x:c r="L1889" s="11" t="n">
        <x:v>0</x:v>
      </x:c>
      <x:c r="M1889" s="9" t="n">
        <x:f>IF(D1889="Completed",I1889*J1889,0)</x:f>
        <x:v>162</x:v>
      </x:c>
      <x:c r="N1889" s="9" t="n">
        <x:f>M1889*K1889</x:f>
        <x:v>32.4</x:v>
      </x:c>
      <x:c r="O1889" s="9" t="n">
        <x:f>M1889-N1889</x:f>
        <x:v>129.6</x:v>
      </x:c>
      <x:c r="P1889" s="9" t="n">
        <x:f>IF(D1889="Completed",L1889*J1889*(1-K1889),0)</x:f>
        <x:v>0</x:v>
      </x:c>
      <x:c r="Q1889" s="9" t="n">
        <x:f>O1889-P1889</x:f>
        <x:v>129.6</x:v>
      </x:c>
      <x:c r="R1889" s="11" t="n">
        <x:f>IF(D1889="Completed",I1889,0)</x:f>
        <x:v>2</x:v>
      </x:c>
      <x:c r="S1889" s="11" t="n">
        <x:f>IF(D1889="Completed",L1889,0)</x:f>
        <x:v>0</x:v>
      </x:c>
      <x:c r="T1889" s="8" t="n">
        <x:f>DATE(YEAR(C1889),MONTH(C1889),1)</x:f>
        <x:v>45870</x:v>
      </x:c>
    </x:row>
    <x:row r="1890" ht="22" customHeight="1">
      <x:c r="A1890" s="2" t="str">
        <x:v>L001886</x:v>
      </x:c>
      <x:c r="B1890" s="2" t="str">
        <x:v>O00769</x:v>
      </x:c>
      <x:c r="C1890" s="7" t="n">
        <x:v>45890</x:v>
      </x:c>
      <x:c r="D1890" s="2" t="str">
        <x:v>Completed</x:v>
      </x:c>
      <x:c r="E1890" s="2" t="str">
        <x:v>South</x:v>
      </x:c>
      <x:c r="F1890" s="2" t="str">
        <x:v>Online</x:v>
      </x:c>
      <x:c r="G1890" s="2" t="str">
        <x:v>Furniture</x:v>
      </x:c>
      <x:c r="H1890" s="2" t="str">
        <x:v>Chair 006</x:v>
      </x:c>
      <x:c r="I1890" s="11" t="n">
        <x:v>2</x:v>
      </x:c>
      <x:c r="J1890" s="9" t="n">
        <x:v>196</x:v>
      </x:c>
      <x:c r="K1890" s="10" t="n">
        <x:v>0.1</x:v>
      </x:c>
      <x:c r="L1890" s="11" t="n">
        <x:v>2</x:v>
      </x:c>
      <x:c r="M1890" s="9" t="n">
        <x:f>IF(D1890="Completed",I1890*J1890,0)</x:f>
        <x:v>392</x:v>
      </x:c>
      <x:c r="N1890" s="9" t="n">
        <x:f>M1890*K1890</x:f>
        <x:v>39.2</x:v>
      </x:c>
      <x:c r="O1890" s="9" t="n">
        <x:f>M1890-N1890</x:f>
        <x:v>352.8</x:v>
      </x:c>
      <x:c r="P1890" s="9" t="n">
        <x:f>IF(D1890="Completed",L1890*J1890*(1-K1890),0)</x:f>
        <x:v>352.8</x:v>
      </x:c>
      <x:c r="Q1890" s="9" t="n">
        <x:f>O1890-P1890</x:f>
        <x:v>0</x:v>
      </x:c>
      <x:c r="R1890" s="11" t="n">
        <x:f>IF(D1890="Completed",I1890,0)</x:f>
        <x:v>2</x:v>
      </x:c>
      <x:c r="S1890" s="11" t="n">
        <x:f>IF(D1890="Completed",L1890,0)</x:f>
        <x:v>2</x:v>
      </x:c>
      <x:c r="T1890" s="8" t="n">
        <x:f>DATE(YEAR(C1890),MONTH(C1890),1)</x:f>
        <x:v>45870</x:v>
      </x:c>
    </x:row>
    <x:row r="1891" ht="22" customHeight="1">
      <x:c r="A1891" s="2" t="str">
        <x:v>L001887</x:v>
      </x:c>
      <x:c r="B1891" s="2" t="str">
        <x:v>O00769</x:v>
      </x:c>
      <x:c r="C1891" s="7" t="n">
        <x:v>45890</x:v>
      </x:c>
      <x:c r="D1891" s="2" t="str">
        <x:v>Completed</x:v>
      </x:c>
      <x:c r="E1891" s="2" t="str">
        <x:v>South</x:v>
      </x:c>
      <x:c r="F1891" s="2" t="str">
        <x:v>Online</x:v>
      </x:c>
      <x:c r="G1891" s="2" t="str">
        <x:v>Furniture</x:v>
      </x:c>
      <x:c r="H1891" s="2" t="str">
        <x:v>Chair 018</x:v>
      </x:c>
      <x:c r="I1891" s="11" t="n">
        <x:v>5</x:v>
      </x:c>
      <x:c r="J1891" s="9" t="n">
        <x:v>269</x:v>
      </x:c>
      <x:c r="K1891" s="10" t="n">
        <x:v>0.1</x:v>
      </x:c>
      <x:c r="L1891" s="11" t="n">
        <x:v>0</x:v>
      </x:c>
      <x:c r="M1891" s="9" t="n">
        <x:f>IF(D1891="Completed",I1891*J1891,0)</x:f>
        <x:v>1345</x:v>
      </x:c>
      <x:c r="N1891" s="9" t="n">
        <x:f>M1891*K1891</x:f>
        <x:v>134.5</x:v>
      </x:c>
      <x:c r="O1891" s="9" t="n">
        <x:f>M1891-N1891</x:f>
        <x:v>1210.5</x:v>
      </x:c>
      <x:c r="P1891" s="9" t="n">
        <x:f>IF(D1891="Completed",L1891*J1891*(1-K1891),0)</x:f>
        <x:v>0</x:v>
      </x:c>
      <x:c r="Q1891" s="9" t="n">
        <x:f>O1891-P1891</x:f>
        <x:v>1210.5</x:v>
      </x:c>
      <x:c r="R1891" s="11" t="n">
        <x:f>IF(D1891="Completed",I1891,0)</x:f>
        <x:v>5</x:v>
      </x:c>
      <x:c r="S1891" s="11" t="n">
        <x:f>IF(D1891="Completed",L1891,0)</x:f>
        <x:v>0</x:v>
      </x:c>
      <x:c r="T1891" s="8" t="n">
        <x:f>DATE(YEAR(C1891),MONTH(C1891),1)</x:f>
        <x:v>45870</x:v>
      </x:c>
    </x:row>
    <x:row r="1892" ht="22" customHeight="1">
      <x:c r="A1892" s="2" t="str">
        <x:v>L001888</x:v>
      </x:c>
      <x:c r="B1892" s="2" t="str">
        <x:v>O00770</x:v>
      </x:c>
      <x:c r="C1892" s="7" t="n">
        <x:v>45751</x:v>
      </x:c>
      <x:c r="D1892" s="2" t="str">
        <x:v>Completed</x:v>
      </x:c>
      <x:c r="E1892" s="2" t="str">
        <x:v>West</x:v>
      </x:c>
      <x:c r="F1892" s="2" t="str">
        <x:v>Store</x:v>
      </x:c>
      <x:c r="G1892" s="2" t="str">
        <x:v>Furniture</x:v>
      </x:c>
      <x:c r="H1892" s="2" t="str">
        <x:v>Chair 010</x:v>
      </x:c>
      <x:c r="I1892" s="11" t="n">
        <x:v>1</x:v>
      </x:c>
      <x:c r="J1892" s="9" t="n">
        <x:v>211</x:v>
      </x:c>
      <x:c r="K1892" s="10" t="n">
        <x:v>0.05</x:v>
      </x:c>
      <x:c r="L1892" s="11" t="n">
        <x:v>0</x:v>
      </x:c>
      <x:c r="M1892" s="9" t="n">
        <x:f>IF(D1892="Completed",I1892*J1892,0)</x:f>
        <x:v>211</x:v>
      </x:c>
      <x:c r="N1892" s="9" t="n">
        <x:f>M1892*K1892</x:f>
        <x:v>10.55</x:v>
      </x:c>
      <x:c r="O1892" s="9" t="n">
        <x:f>M1892-N1892</x:f>
        <x:v>200.45</x:v>
      </x:c>
      <x:c r="P1892" s="9" t="n">
        <x:f>IF(D1892="Completed",L1892*J1892*(1-K1892),0)</x:f>
        <x:v>0</x:v>
      </x:c>
      <x:c r="Q1892" s="9" t="n">
        <x:f>O1892-P1892</x:f>
        <x:v>200.45</x:v>
      </x:c>
      <x:c r="R1892" s="11" t="n">
        <x:f>IF(D1892="Completed",I1892,0)</x:f>
        <x:v>1</x:v>
      </x:c>
      <x:c r="S1892" s="11" t="n">
        <x:f>IF(D1892="Completed",L1892,0)</x:f>
        <x:v>0</x:v>
      </x:c>
      <x:c r="T1892" s="8" t="n">
        <x:f>DATE(YEAR(C1892),MONTH(C1892),1)</x:f>
        <x:v>45748</x:v>
      </x:c>
    </x:row>
    <x:row r="1893" ht="22" customHeight="1">
      <x:c r="A1893" s="2" t="str">
        <x:v>L001889</x:v>
      </x:c>
      <x:c r="B1893" s="2" t="str">
        <x:v>O00771</x:v>
      </x:c>
      <x:c r="C1893" s="7" t="n">
        <x:v>45852</x:v>
      </x:c>
      <x:c r="D1893" s="2" t="str">
        <x:v>Completed</x:v>
      </x:c>
      <x:c r="E1893" s="2" t="str">
        <x:v>North</x:v>
      </x:c>
      <x:c r="F1893" s="2" t="str">
        <x:v>Online</x:v>
      </x:c>
      <x:c r="G1893" s="2" t="str">
        <x:v>Lighting</x:v>
      </x:c>
      <x:c r="H1893" s="2" t="str">
        <x:v>Lamp 009</x:v>
      </x:c>
      <x:c r="I1893" s="11" t="n">
        <x:v>5</x:v>
      </x:c>
      <x:c r="J1893" s="9" t="n">
        <x:v>93</x:v>
      </x:c>
      <x:c r="K1893" s="10" t="n">
        <x:v>0.2</x:v>
      </x:c>
      <x:c r="L1893" s="11" t="n">
        <x:v>0</x:v>
      </x:c>
      <x:c r="M1893" s="9" t="n">
        <x:f>IF(D1893="Completed",I1893*J1893,0)</x:f>
        <x:v>465</x:v>
      </x:c>
      <x:c r="N1893" s="9" t="n">
        <x:f>M1893*K1893</x:f>
        <x:v>93</x:v>
      </x:c>
      <x:c r="O1893" s="9" t="n">
        <x:f>M1893-N1893</x:f>
        <x:v>372</x:v>
      </x:c>
      <x:c r="P1893" s="9" t="n">
        <x:f>IF(D1893="Completed",L1893*J1893*(1-K1893),0)</x:f>
        <x:v>0</x:v>
      </x:c>
      <x:c r="Q1893" s="9" t="n">
        <x:f>O1893-P1893</x:f>
        <x:v>372</x:v>
      </x:c>
      <x:c r="R1893" s="11" t="n">
        <x:f>IF(D1893="Completed",I1893,0)</x:f>
        <x:v>5</x:v>
      </x:c>
      <x:c r="S1893" s="11" t="n">
        <x:f>IF(D1893="Completed",L1893,0)</x:f>
        <x:v>0</x:v>
      </x:c>
      <x:c r="T1893" s="8" t="n">
        <x:f>DATE(YEAR(C1893),MONTH(C1893),1)</x:f>
        <x:v>45839</x:v>
      </x:c>
    </x:row>
    <x:row r="1894" ht="22" customHeight="1">
      <x:c r="A1894" s="2" t="str">
        <x:v>L001890</x:v>
      </x:c>
      <x:c r="B1894" s="2" t="str">
        <x:v>O00771</x:v>
      </x:c>
      <x:c r="C1894" s="7" t="n">
        <x:v>45852</x:v>
      </x:c>
      <x:c r="D1894" s="2" t="str">
        <x:v>Completed</x:v>
      </x:c>
      <x:c r="E1894" s="2" t="str">
        <x:v>North</x:v>
      </x:c>
      <x:c r="F1894" s="2" t="str">
        <x:v>Online</x:v>
      </x:c>
      <x:c r="G1894" s="2" t="str">
        <x:v>Storage</x:v>
      </x:c>
      <x:c r="H1894" s="2" t="str">
        <x:v>Shelf 023</x:v>
      </x:c>
      <x:c r="I1894" s="11" t="n">
        <x:v>3</x:v>
      </x:c>
      <x:c r="J1894" s="9" t="n">
        <x:v>68</x:v>
      </x:c>
      <x:c r="K1894" s="10" t="n">
        <x:v>0.05</x:v>
      </x:c>
      <x:c r="L1894" s="11" t="n">
        <x:v>0</x:v>
      </x:c>
      <x:c r="M1894" s="9" t="n">
        <x:f>IF(D1894="Completed",I1894*J1894,0)</x:f>
        <x:v>204</x:v>
      </x:c>
      <x:c r="N1894" s="9" t="n">
        <x:f>M1894*K1894</x:f>
        <x:v>10.200000000000001</x:v>
      </x:c>
      <x:c r="O1894" s="9" t="n">
        <x:f>M1894-N1894</x:f>
        <x:v>193.8</x:v>
      </x:c>
      <x:c r="P1894" s="9" t="n">
        <x:f>IF(D1894="Completed",L1894*J1894*(1-K1894),0)</x:f>
        <x:v>0</x:v>
      </x:c>
      <x:c r="Q1894" s="9" t="n">
        <x:f>O1894-P1894</x:f>
        <x:v>193.8</x:v>
      </x:c>
      <x:c r="R1894" s="11" t="n">
        <x:f>IF(D1894="Completed",I1894,0)</x:f>
        <x:v>3</x:v>
      </x:c>
      <x:c r="S1894" s="11" t="n">
        <x:f>IF(D1894="Completed",L1894,0)</x:f>
        <x:v>0</x:v>
      </x:c>
      <x:c r="T1894" s="8" t="n">
        <x:f>DATE(YEAR(C1894),MONTH(C1894),1)</x:f>
        <x:v>45839</x:v>
      </x:c>
    </x:row>
    <x:row r="1895" ht="22" customHeight="1">
      <x:c r="A1895" s="2" t="str">
        <x:v>L001891</x:v>
      </x:c>
      <x:c r="B1895" s="2" t="str">
        <x:v>O00771</x:v>
      </x:c>
      <x:c r="C1895" s="7" t="n">
        <x:v>45852</x:v>
      </x:c>
      <x:c r="D1895" s="2" t="str">
        <x:v>Completed</x:v>
      </x:c>
      <x:c r="E1895" s="2" t="str">
        <x:v>North</x:v>
      </x:c>
      <x:c r="F1895" s="2" t="str">
        <x:v>Online</x:v>
      </x:c>
      <x:c r="G1895" s="2" t="str">
        <x:v>Furniture</x:v>
      </x:c>
      <x:c r="H1895" s="2" t="str">
        <x:v>Chair 014</x:v>
      </x:c>
      <x:c r="I1895" s="11" t="n">
        <x:v>2</x:v>
      </x:c>
      <x:c r="J1895" s="9" t="n">
        <x:v>294</x:v>
      </x:c>
      <x:c r="K1895" s="10" t="n">
        <x:v>0.05</x:v>
      </x:c>
      <x:c r="L1895" s="11" t="n">
        <x:v>0</x:v>
      </x:c>
      <x:c r="M1895" s="9" t="n">
        <x:f>IF(D1895="Completed",I1895*J1895,0)</x:f>
        <x:v>588</x:v>
      </x:c>
      <x:c r="N1895" s="9" t="n">
        <x:f>M1895*K1895</x:f>
        <x:v>29.400000000000002</x:v>
      </x:c>
      <x:c r="O1895" s="9" t="n">
        <x:f>M1895-N1895</x:f>
        <x:v>558.6</x:v>
      </x:c>
      <x:c r="P1895" s="9" t="n">
        <x:f>IF(D1895="Completed",L1895*J1895*(1-K1895),0)</x:f>
        <x:v>0</x:v>
      </x:c>
      <x:c r="Q1895" s="9" t="n">
        <x:f>O1895-P1895</x:f>
        <x:v>558.6</x:v>
      </x:c>
      <x:c r="R1895" s="11" t="n">
        <x:f>IF(D1895="Completed",I1895,0)</x:f>
        <x:v>2</x:v>
      </x:c>
      <x:c r="S1895" s="11" t="n">
        <x:f>IF(D1895="Completed",L1895,0)</x:f>
        <x:v>0</x:v>
      </x:c>
      <x:c r="T1895" s="8" t="n">
        <x:f>DATE(YEAR(C1895),MONTH(C1895),1)</x:f>
        <x:v>45839</x:v>
      </x:c>
    </x:row>
    <x:row r="1896" ht="22" customHeight="1">
      <x:c r="A1896" s="2" t="str">
        <x:v>L001892</x:v>
      </x:c>
      <x:c r="B1896" s="2" t="str">
        <x:v>O00772</x:v>
      </x:c>
      <x:c r="C1896" s="7" t="n">
        <x:v>45762</x:v>
      </x:c>
      <x:c r="D1896" s="2" t="str">
        <x:v>Completed</x:v>
      </x:c>
      <x:c r="E1896" s="2" t="str">
        <x:v>West</x:v>
      </x:c>
      <x:c r="F1896" s="2" t="str">
        <x:v>Store</x:v>
      </x:c>
      <x:c r="G1896" s="2" t="str">
        <x:v>Lighting</x:v>
      </x:c>
      <x:c r="H1896" s="2" t="str">
        <x:v>Lamp 001</x:v>
      </x:c>
      <x:c r="I1896" s="11" t="n">
        <x:v>2</x:v>
      </x:c>
      <x:c r="J1896" s="9" t="n">
        <x:v>122</x:v>
      </x:c>
      <x:c r="K1896" s="10" t="n">
        <x:v>0.1</x:v>
      </x:c>
      <x:c r="L1896" s="11" t="n">
        <x:v>0</x:v>
      </x:c>
      <x:c r="M1896" s="9" t="n">
        <x:f>IF(D1896="Completed",I1896*J1896,0)</x:f>
        <x:v>244</x:v>
      </x:c>
      <x:c r="N1896" s="9" t="n">
        <x:f>M1896*K1896</x:f>
        <x:v>24.400000000000002</x:v>
      </x:c>
      <x:c r="O1896" s="9" t="n">
        <x:f>M1896-N1896</x:f>
        <x:v>219.6</x:v>
      </x:c>
      <x:c r="P1896" s="9" t="n">
        <x:f>IF(D1896="Completed",L1896*J1896*(1-K1896),0)</x:f>
        <x:v>0</x:v>
      </x:c>
      <x:c r="Q1896" s="9" t="n">
        <x:f>O1896-P1896</x:f>
        <x:v>219.6</x:v>
      </x:c>
      <x:c r="R1896" s="11" t="n">
        <x:f>IF(D1896="Completed",I1896,0)</x:f>
        <x:v>2</x:v>
      </x:c>
      <x:c r="S1896" s="11" t="n">
        <x:f>IF(D1896="Completed",L1896,0)</x:f>
        <x:v>0</x:v>
      </x:c>
      <x:c r="T1896" s="8" t="n">
        <x:f>DATE(YEAR(C1896),MONTH(C1896),1)</x:f>
        <x:v>45748</x:v>
      </x:c>
    </x:row>
    <x:row r="1897" ht="22" customHeight="1">
      <x:c r="A1897" s="2" t="str">
        <x:v>L001893</x:v>
      </x:c>
      <x:c r="B1897" s="2" t="str">
        <x:v>O00772</x:v>
      </x:c>
      <x:c r="C1897" s="7" t="n">
        <x:v>45762</x:v>
      </x:c>
      <x:c r="D1897" s="2" t="str">
        <x:v>Completed</x:v>
      </x:c>
      <x:c r="E1897" s="2" t="str">
        <x:v>West</x:v>
      </x:c>
      <x:c r="F1897" s="2" t="str">
        <x:v>Store</x:v>
      </x:c>
      <x:c r="G1897" s="2" t="str">
        <x:v>Storage</x:v>
      </x:c>
      <x:c r="H1897" s="2" t="str">
        <x:v>Shelf 003</x:v>
      </x:c>
      <x:c r="I1897" s="11" t="n">
        <x:v>4</x:v>
      </x:c>
      <x:c r="J1897" s="9" t="n">
        <x:v>199</x:v>
      </x:c>
      <x:c r="K1897" s="10" t="n">
        <x:v>0.2</x:v>
      </x:c>
      <x:c r="L1897" s="11" t="n">
        <x:v>0</x:v>
      </x:c>
      <x:c r="M1897" s="9" t="n">
        <x:f>IF(D1897="Completed",I1897*J1897,0)</x:f>
        <x:v>796</x:v>
      </x:c>
      <x:c r="N1897" s="9" t="n">
        <x:f>M1897*K1897</x:f>
        <x:v>159.20000000000002</x:v>
      </x:c>
      <x:c r="O1897" s="9" t="n">
        <x:f>M1897-N1897</x:f>
        <x:v>636.8</x:v>
      </x:c>
      <x:c r="P1897" s="9" t="n">
        <x:f>IF(D1897="Completed",L1897*J1897*(1-K1897),0)</x:f>
        <x:v>0</x:v>
      </x:c>
      <x:c r="Q1897" s="9" t="n">
        <x:f>O1897-P1897</x:f>
        <x:v>636.8</x:v>
      </x:c>
      <x:c r="R1897" s="11" t="n">
        <x:f>IF(D1897="Completed",I1897,0)</x:f>
        <x:v>4</x:v>
      </x:c>
      <x:c r="S1897" s="11" t="n">
        <x:f>IF(D1897="Completed",L1897,0)</x:f>
        <x:v>0</x:v>
      </x:c>
      <x:c r="T1897" s="8" t="n">
        <x:f>DATE(YEAR(C1897),MONTH(C1897),1)</x:f>
        <x:v>45748</x:v>
      </x:c>
    </x:row>
    <x:row r="1898" ht="22" customHeight="1">
      <x:c r="A1898" s="2" t="str">
        <x:v>L001894</x:v>
      </x:c>
      <x:c r="B1898" s="2" t="str">
        <x:v>O00772</x:v>
      </x:c>
      <x:c r="C1898" s="7" t="n">
        <x:v>45762</x:v>
      </x:c>
      <x:c r="D1898" s="2" t="str">
        <x:v>Completed</x:v>
      </x:c>
      <x:c r="E1898" s="2" t="str">
        <x:v>West</x:v>
      </x:c>
      <x:c r="F1898" s="2" t="str">
        <x:v>Store</x:v>
      </x:c>
      <x:c r="G1898" s="2" t="str">
        <x:v>Furniture</x:v>
      </x:c>
      <x:c r="H1898" s="2" t="str">
        <x:v>Chair 014</x:v>
      </x:c>
      <x:c r="I1898" s="11" t="n">
        <x:v>1</x:v>
      </x:c>
      <x:c r="J1898" s="9" t="n">
        <x:v>294</x:v>
      </x:c>
      <x:c r="K1898" s="10" t="n">
        <x:v>0.05</x:v>
      </x:c>
      <x:c r="L1898" s="11" t="n">
        <x:v>1</x:v>
      </x:c>
      <x:c r="M1898" s="9" t="n">
        <x:f>IF(D1898="Completed",I1898*J1898,0)</x:f>
        <x:v>294</x:v>
      </x:c>
      <x:c r="N1898" s="9" t="n">
        <x:f>M1898*K1898</x:f>
        <x:v>14.700000000000001</x:v>
      </x:c>
      <x:c r="O1898" s="9" t="n">
        <x:f>M1898-N1898</x:f>
        <x:v>279.3</x:v>
      </x:c>
      <x:c r="P1898" s="9" t="n">
        <x:f>IF(D1898="Completed",L1898*J1898*(1-K1898),0)</x:f>
        <x:v>279.3</x:v>
      </x:c>
      <x:c r="Q1898" s="9" t="n">
        <x:f>O1898-P1898</x:f>
        <x:v>0</x:v>
      </x:c>
      <x:c r="R1898" s="11" t="n">
        <x:f>IF(D1898="Completed",I1898,0)</x:f>
        <x:v>1</x:v>
      </x:c>
      <x:c r="S1898" s="11" t="n">
        <x:f>IF(D1898="Completed",L1898,0)</x:f>
        <x:v>1</x:v>
      </x:c>
      <x:c r="T1898" s="8" t="n">
        <x:f>DATE(YEAR(C1898),MONTH(C1898),1)</x:f>
        <x:v>45748</x:v>
      </x:c>
    </x:row>
    <x:row r="1899" ht="22" customHeight="1">
      <x:c r="A1899" s="2" t="str">
        <x:v>L001895</x:v>
      </x:c>
      <x:c r="B1899" s="2" t="str">
        <x:v>O00772</x:v>
      </x:c>
      <x:c r="C1899" s="7" t="n">
        <x:v>45762</x:v>
      </x:c>
      <x:c r="D1899" s="2" t="str">
        <x:v>Completed</x:v>
      </x:c>
      <x:c r="E1899" s="2" t="str">
        <x:v>West</x:v>
      </x:c>
      <x:c r="F1899" s="2" t="str">
        <x:v>Store</x:v>
      </x:c>
      <x:c r="G1899" s="2" t="str">
        <x:v>Storage</x:v>
      </x:c>
      <x:c r="H1899" s="2" t="str">
        <x:v>Shelf 015</x:v>
      </x:c>
      <x:c r="I1899" s="11" t="n">
        <x:v>3</x:v>
      </x:c>
      <x:c r="J1899" s="9" t="n">
        <x:v>254</x:v>
      </x:c>
      <x:c r="K1899" s="10" t="n">
        <x:v>0.2</x:v>
      </x:c>
      <x:c r="L1899" s="11" t="n">
        <x:v>0</x:v>
      </x:c>
      <x:c r="M1899" s="9" t="n">
        <x:f>IF(D1899="Completed",I1899*J1899,0)</x:f>
        <x:v>762</x:v>
      </x:c>
      <x:c r="N1899" s="9" t="n">
        <x:f>M1899*K1899</x:f>
        <x:v>152.4</x:v>
      </x:c>
      <x:c r="O1899" s="9" t="n">
        <x:f>M1899-N1899</x:f>
        <x:v>609.6</x:v>
      </x:c>
      <x:c r="P1899" s="9" t="n">
        <x:f>IF(D1899="Completed",L1899*J1899*(1-K1899),0)</x:f>
        <x:v>0</x:v>
      </x:c>
      <x:c r="Q1899" s="9" t="n">
        <x:f>O1899-P1899</x:f>
        <x:v>609.6</x:v>
      </x:c>
      <x:c r="R1899" s="11" t="n">
        <x:f>IF(D1899="Completed",I1899,0)</x:f>
        <x:v>3</x:v>
      </x:c>
      <x:c r="S1899" s="11" t="n">
        <x:f>IF(D1899="Completed",L1899,0)</x:f>
        <x:v>0</x:v>
      </x:c>
      <x:c r="T1899" s="8" t="n">
        <x:f>DATE(YEAR(C1899),MONTH(C1899),1)</x:f>
        <x:v>45748</x:v>
      </x:c>
    </x:row>
    <x:row r="1900" ht="22" customHeight="1">
      <x:c r="A1900" s="2" t="str">
        <x:v>L001896</x:v>
      </x:c>
      <x:c r="B1900" s="2" t="str">
        <x:v>O00773</x:v>
      </x:c>
      <x:c r="C1900" s="7" t="n">
        <x:v>45933</x:v>
      </x:c>
      <x:c r="D1900" s="2" t="str">
        <x:v>Completed</x:v>
      </x:c>
      <x:c r="E1900" s="2" t="str">
        <x:v>East</x:v>
      </x:c>
      <x:c r="F1900" s="2" t="str">
        <x:v>Online</x:v>
      </x:c>
      <x:c r="G1900" s="2" t="str">
        <x:v>Storage</x:v>
      </x:c>
      <x:c r="H1900" s="2" t="str">
        <x:v>Shelf 023</x:v>
      </x:c>
      <x:c r="I1900" s="11" t="n">
        <x:v>3</x:v>
      </x:c>
      <x:c r="J1900" s="9" t="n">
        <x:v>68</x:v>
      </x:c>
      <x:c r="K1900" s="10" t="n">
        <x:v>0.2</x:v>
      </x:c>
      <x:c r="L1900" s="11" t="n">
        <x:v>0</x:v>
      </x:c>
      <x:c r="M1900" s="9" t="n">
        <x:f>IF(D1900="Completed",I1900*J1900,0)</x:f>
        <x:v>204</x:v>
      </x:c>
      <x:c r="N1900" s="9" t="n">
        <x:f>M1900*K1900</x:f>
        <x:v>40.800000000000004</x:v>
      </x:c>
      <x:c r="O1900" s="9" t="n">
        <x:f>M1900-N1900</x:f>
        <x:v>163.2</x:v>
      </x:c>
      <x:c r="P1900" s="9" t="n">
        <x:f>IF(D1900="Completed",L1900*J1900*(1-K1900),0)</x:f>
        <x:v>0</x:v>
      </x:c>
      <x:c r="Q1900" s="9" t="n">
        <x:f>O1900-P1900</x:f>
        <x:v>163.2</x:v>
      </x:c>
      <x:c r="R1900" s="11" t="n">
        <x:f>IF(D1900="Completed",I1900,0)</x:f>
        <x:v>3</x:v>
      </x:c>
      <x:c r="S1900" s="11" t="n">
        <x:f>IF(D1900="Completed",L1900,0)</x:f>
        <x:v>0</x:v>
      </x:c>
      <x:c r="T1900" s="8" t="n">
        <x:f>DATE(YEAR(C1900),MONTH(C1900),1)</x:f>
        <x:v>45931</x:v>
      </x:c>
    </x:row>
    <x:row r="1901" ht="22" customHeight="1">
      <x:c r="A1901" s="2" t="str">
        <x:v>L001897</x:v>
      </x:c>
      <x:c r="B1901" s="2" t="str">
        <x:v>O00774</x:v>
      </x:c>
      <x:c r="C1901" s="7" t="n">
        <x:v>45683</x:v>
      </x:c>
      <x:c r="D1901" s="2" t="str">
        <x:v>Cancelled</x:v>
      </x:c>
      <x:c r="E1901" s="2" t="str">
        <x:v>East</x:v>
      </x:c>
      <x:c r="F1901" s="2" t="str">
        <x:v>Online</x:v>
      </x:c>
      <x:c r="G1901" s="2" t="str">
        <x:v>Storage</x:v>
      </x:c>
      <x:c r="H1901" s="2" t="str">
        <x:v>Shelf 011</x:v>
      </x:c>
      <x:c r="I1901" s="11" t="n">
        <x:v>5</x:v>
      </x:c>
      <x:c r="J1901" s="9" t="n">
        <x:v>80</x:v>
      </x:c>
      <x:c r="K1901" s="10" t="n">
        <x:v>0.05</x:v>
      </x:c>
      <x:c r="L1901" s="11" t="n">
        <x:v>0</x:v>
      </x:c>
      <x:c r="M1901" s="9" t="n">
        <x:f>IF(D1901="Completed",I1901*J1901,0)</x:f>
        <x:v>0</x:v>
      </x:c>
      <x:c r="N1901" s="9" t="n">
        <x:f>M1901*K1901</x:f>
        <x:v>0</x:v>
      </x:c>
      <x:c r="O1901" s="9" t="n">
        <x:f>M1901-N1901</x:f>
        <x:v>0</x:v>
      </x:c>
      <x:c r="P1901" s="9" t="n">
        <x:f>IF(D1901="Completed",L1901*J1901*(1-K1901),0)</x:f>
        <x:v>0</x:v>
      </x:c>
      <x:c r="Q1901" s="9" t="n">
        <x:f>O1901-P1901</x:f>
        <x:v>0</x:v>
      </x:c>
      <x:c r="R1901" s="11" t="n">
        <x:f>IF(D1901="Completed",I1901,0)</x:f>
        <x:v>0</x:v>
      </x:c>
      <x:c r="S1901" s="11" t="n">
        <x:f>IF(D1901="Completed",L1901,0)</x:f>
        <x:v>0</x:v>
      </x:c>
      <x:c r="T1901" s="8" t="n">
        <x:f>DATE(YEAR(C1901),MONTH(C1901),1)</x:f>
        <x:v>45658</x:v>
      </x:c>
    </x:row>
    <x:row r="1902" ht="22" customHeight="1">
      <x:c r="A1902" s="2" t="str">
        <x:v>L001898</x:v>
      </x:c>
      <x:c r="B1902" s="2" t="str">
        <x:v>O00774</x:v>
      </x:c>
      <x:c r="C1902" s="7" t="n">
        <x:v>45683</x:v>
      </x:c>
      <x:c r="D1902" s="2" t="str">
        <x:v>Cancelled</x:v>
      </x:c>
      <x:c r="E1902" s="2" t="str">
        <x:v>East</x:v>
      </x:c>
      <x:c r="F1902" s="2" t="str">
        <x:v>Online</x:v>
      </x:c>
      <x:c r="G1902" s="2" t="str">
        <x:v>Furniture</x:v>
      </x:c>
      <x:c r="H1902" s="2" t="str">
        <x:v>Desk 024</x:v>
      </x:c>
      <x:c r="I1902" s="11" t="n">
        <x:v>4</x:v>
      </x:c>
      <x:c r="J1902" s="9" t="n">
        <x:v>81</x:v>
      </x:c>
      <x:c r="K1902" s="10" t="n">
        <x:v>0</x:v>
      </x:c>
      <x:c r="L1902" s="11" t="n">
        <x:v>0</x:v>
      </x:c>
      <x:c r="M1902" s="9" t="n">
        <x:f>IF(D1902="Completed",I1902*J1902,0)</x:f>
        <x:v>0</x:v>
      </x:c>
      <x:c r="N1902" s="9" t="n">
        <x:f>M1902*K1902</x:f>
        <x:v>0</x:v>
      </x:c>
      <x:c r="O1902" s="9" t="n">
        <x:f>M1902-N1902</x:f>
        <x:v>0</x:v>
      </x:c>
      <x:c r="P1902" s="9" t="n">
        <x:f>IF(D1902="Completed",L1902*J1902*(1-K1902),0)</x:f>
        <x:v>0</x:v>
      </x:c>
      <x:c r="Q1902" s="9" t="n">
        <x:f>O1902-P1902</x:f>
        <x:v>0</x:v>
      </x:c>
      <x:c r="R1902" s="11" t="n">
        <x:f>IF(D1902="Completed",I1902,0)</x:f>
        <x:v>0</x:v>
      </x:c>
      <x:c r="S1902" s="11" t="n">
        <x:f>IF(D1902="Completed",L1902,0)</x:f>
        <x:v>0</x:v>
      </x:c>
      <x:c r="T1902" s="8" t="n">
        <x:f>DATE(YEAR(C1902),MONTH(C1902),1)</x:f>
        <x:v>45658</x:v>
      </x:c>
    </x:row>
    <x:row r="1903" ht="22" customHeight="1">
      <x:c r="A1903" s="2" t="str">
        <x:v>L001899</x:v>
      </x:c>
      <x:c r="B1903" s="2" t="str">
        <x:v>O00774</x:v>
      </x:c>
      <x:c r="C1903" s="7" t="n">
        <x:v>45683</x:v>
      </x:c>
      <x:c r="D1903" s="2" t="str">
        <x:v>Cancelled</x:v>
      </x:c>
      <x:c r="E1903" s="2" t="str">
        <x:v>East</x:v>
      </x:c>
      <x:c r="F1903" s="2" t="str">
        <x:v>Online</x:v>
      </x:c>
      <x:c r="G1903" s="2" t="str">
        <x:v>Furniture</x:v>
      </x:c>
      <x:c r="H1903" s="2" t="str">
        <x:v>Desk 008</x:v>
      </x:c>
      <x:c r="I1903" s="11" t="n">
        <x:v>4</x:v>
      </x:c>
      <x:c r="J1903" s="9" t="n">
        <x:v>188</x:v>
      </x:c>
      <x:c r="K1903" s="10" t="n">
        <x:v>0.05</x:v>
      </x:c>
      <x:c r="L1903" s="11" t="n">
        <x:v>0</x:v>
      </x:c>
      <x:c r="M1903" s="9" t="n">
        <x:f>IF(D1903="Completed",I1903*J1903,0)</x:f>
        <x:v>0</x:v>
      </x:c>
      <x:c r="N1903" s="9" t="n">
        <x:f>M1903*K1903</x:f>
        <x:v>0</x:v>
      </x:c>
      <x:c r="O1903" s="9" t="n">
        <x:f>M1903-N1903</x:f>
        <x:v>0</x:v>
      </x:c>
      <x:c r="P1903" s="9" t="n">
        <x:f>IF(D1903="Completed",L1903*J1903*(1-K1903),0)</x:f>
        <x:v>0</x:v>
      </x:c>
      <x:c r="Q1903" s="9" t="n">
        <x:f>O1903-P1903</x:f>
        <x:v>0</x:v>
      </x:c>
      <x:c r="R1903" s="11" t="n">
        <x:f>IF(D1903="Completed",I1903,0)</x:f>
        <x:v>0</x:v>
      </x:c>
      <x:c r="S1903" s="11" t="n">
        <x:f>IF(D1903="Completed",L1903,0)</x:f>
        <x:v>0</x:v>
      </x:c>
      <x:c r="T1903" s="8" t="n">
        <x:f>DATE(YEAR(C1903),MONTH(C1903),1)</x:f>
        <x:v>45658</x:v>
      </x:c>
    </x:row>
    <x:row r="1904" ht="22" customHeight="1">
      <x:c r="A1904" s="2" t="str">
        <x:v>L001900</x:v>
      </x:c>
      <x:c r="B1904" s="2" t="str">
        <x:v>O00775</x:v>
      </x:c>
      <x:c r="C1904" s="7" t="n">
        <x:v>45759</x:v>
      </x:c>
      <x:c r="D1904" s="2" t="str">
        <x:v>Completed</x:v>
      </x:c>
      <x:c r="E1904" s="2" t="str">
        <x:v>South</x:v>
      </x:c>
      <x:c r="F1904" s="2" t="str">
        <x:v>Online</x:v>
      </x:c>
      <x:c r="G1904" s="2" t="str">
        <x:v>Furniture</x:v>
      </x:c>
      <x:c r="H1904" s="2" t="str">
        <x:v>Desk 008</x:v>
      </x:c>
      <x:c r="I1904" s="11" t="n">
        <x:v>5</x:v>
      </x:c>
      <x:c r="J1904" s="9" t="n">
        <x:v>188</x:v>
      </x:c>
      <x:c r="K1904" s="10" t="n">
        <x:v>0.1</x:v>
      </x:c>
      <x:c r="L1904" s="11" t="n">
        <x:v>0</x:v>
      </x:c>
      <x:c r="M1904" s="9" t="n">
        <x:f>IF(D1904="Completed",I1904*J1904,0)</x:f>
        <x:v>940</x:v>
      </x:c>
      <x:c r="N1904" s="9" t="n">
        <x:f>M1904*K1904</x:f>
        <x:v>94</x:v>
      </x:c>
      <x:c r="O1904" s="9" t="n">
        <x:f>M1904-N1904</x:f>
        <x:v>846</x:v>
      </x:c>
      <x:c r="P1904" s="9" t="n">
        <x:f>IF(D1904="Completed",L1904*J1904*(1-K1904),0)</x:f>
        <x:v>0</x:v>
      </x:c>
      <x:c r="Q1904" s="9" t="n">
        <x:f>O1904-P1904</x:f>
        <x:v>846</x:v>
      </x:c>
      <x:c r="R1904" s="11" t="n">
        <x:f>IF(D1904="Completed",I1904,0)</x:f>
        <x:v>5</x:v>
      </x:c>
      <x:c r="S1904" s="11" t="n">
        <x:f>IF(D1904="Completed",L1904,0)</x:f>
        <x:v>0</x:v>
      </x:c>
      <x:c r="T1904" s="8" t="n">
        <x:f>DATE(YEAR(C1904),MONTH(C1904),1)</x:f>
        <x:v>45748</x:v>
      </x:c>
    </x:row>
    <x:row r="1905" ht="22" customHeight="1">
      <x:c r="A1905" s="2" t="str">
        <x:v>L001901</x:v>
      </x:c>
      <x:c r="B1905" s="2" t="str">
        <x:v>O00775</x:v>
      </x:c>
      <x:c r="C1905" s="7" t="n">
        <x:v>45759</x:v>
      </x:c>
      <x:c r="D1905" s="2" t="str">
        <x:v>Completed</x:v>
      </x:c>
      <x:c r="E1905" s="2" t="str">
        <x:v>South</x:v>
      </x:c>
      <x:c r="F1905" s="2" t="str">
        <x:v>Online</x:v>
      </x:c>
      <x:c r="G1905" s="2" t="str">
        <x:v>Furniture</x:v>
      </x:c>
      <x:c r="H1905" s="2" t="str">
        <x:v>Chair 006</x:v>
      </x:c>
      <x:c r="I1905" s="11" t="n">
        <x:v>2</x:v>
      </x:c>
      <x:c r="J1905" s="9" t="n">
        <x:v>196</x:v>
      </x:c>
      <x:c r="K1905" s="10" t="n">
        <x:v>0</x:v>
      </x:c>
      <x:c r="L1905" s="11" t="n">
        <x:v>1</x:v>
      </x:c>
      <x:c r="M1905" s="9" t="n">
        <x:f>IF(D1905="Completed",I1905*J1905,0)</x:f>
        <x:v>392</x:v>
      </x:c>
      <x:c r="N1905" s="9" t="n">
        <x:f>M1905*K1905</x:f>
        <x:v>0</x:v>
      </x:c>
      <x:c r="O1905" s="9" t="n">
        <x:f>M1905-N1905</x:f>
        <x:v>392</x:v>
      </x:c>
      <x:c r="P1905" s="9" t="n">
        <x:f>IF(D1905="Completed",L1905*J1905*(1-K1905),0)</x:f>
        <x:v>196</x:v>
      </x:c>
      <x:c r="Q1905" s="9" t="n">
        <x:f>O1905-P1905</x:f>
        <x:v>196</x:v>
      </x:c>
      <x:c r="R1905" s="11" t="n">
        <x:f>IF(D1905="Completed",I1905,0)</x:f>
        <x:v>2</x:v>
      </x:c>
      <x:c r="S1905" s="11" t="n">
        <x:f>IF(D1905="Completed",L1905,0)</x:f>
        <x:v>1</x:v>
      </x:c>
      <x:c r="T1905" s="8" t="n">
        <x:f>DATE(YEAR(C1905),MONTH(C1905),1)</x:f>
        <x:v>45748</x:v>
      </x:c>
    </x:row>
    <x:row r="1906" ht="22" customHeight="1">
      <x:c r="A1906" s="2" t="str">
        <x:v>L001902</x:v>
      </x:c>
      <x:c r="B1906" s="2" t="str">
        <x:v>O00775</x:v>
      </x:c>
      <x:c r="C1906" s="7" t="n">
        <x:v>45759</x:v>
      </x:c>
      <x:c r="D1906" s="2" t="str">
        <x:v>Completed</x:v>
      </x:c>
      <x:c r="E1906" s="2" t="str">
        <x:v>South</x:v>
      </x:c>
      <x:c r="F1906" s="2" t="str">
        <x:v>Online</x:v>
      </x:c>
      <x:c r="G1906" s="2" t="str">
        <x:v>Lighting</x:v>
      </x:c>
      <x:c r="H1906" s="2" t="str">
        <x:v>Lamp 017</x:v>
      </x:c>
      <x:c r="I1906" s="11" t="n">
        <x:v>5</x:v>
      </x:c>
      <x:c r="J1906" s="9" t="n">
        <x:v>300</x:v>
      </x:c>
      <x:c r="K1906" s="10" t="n">
        <x:v>0.05</x:v>
      </x:c>
      <x:c r="L1906" s="11" t="n">
        <x:v>0</x:v>
      </x:c>
      <x:c r="M1906" s="9" t="n">
        <x:f>IF(D1906="Completed",I1906*J1906,0)</x:f>
        <x:v>1500</x:v>
      </x:c>
      <x:c r="N1906" s="9" t="n">
        <x:f>M1906*K1906</x:f>
        <x:v>75</x:v>
      </x:c>
      <x:c r="O1906" s="9" t="n">
        <x:f>M1906-N1906</x:f>
        <x:v>1425</x:v>
      </x:c>
      <x:c r="P1906" s="9" t="n">
        <x:f>IF(D1906="Completed",L1906*J1906*(1-K1906),0)</x:f>
        <x:v>0</x:v>
      </x:c>
      <x:c r="Q1906" s="9" t="n">
        <x:f>O1906-P1906</x:f>
        <x:v>1425</x:v>
      </x:c>
      <x:c r="R1906" s="11" t="n">
        <x:f>IF(D1906="Completed",I1906,0)</x:f>
        <x:v>5</x:v>
      </x:c>
      <x:c r="S1906" s="11" t="n">
        <x:f>IF(D1906="Completed",L1906,0)</x:f>
        <x:v>0</x:v>
      </x:c>
      <x:c r="T1906" s="8" t="n">
        <x:f>DATE(YEAR(C1906),MONTH(C1906),1)</x:f>
        <x:v>45748</x:v>
      </x:c>
    </x:row>
    <x:row r="1907" ht="22" customHeight="1">
      <x:c r="A1907" s="2" t="str">
        <x:v>L001903</x:v>
      </x:c>
      <x:c r="B1907" s="2" t="str">
        <x:v>O00775</x:v>
      </x:c>
      <x:c r="C1907" s="7" t="n">
        <x:v>45759</x:v>
      </x:c>
      <x:c r="D1907" s="2" t="str">
        <x:v>Completed</x:v>
      </x:c>
      <x:c r="E1907" s="2" t="str">
        <x:v>South</x:v>
      </x:c>
      <x:c r="F1907" s="2" t="str">
        <x:v>Online</x:v>
      </x:c>
      <x:c r="G1907" s="2" t="str">
        <x:v>Lighting</x:v>
      </x:c>
      <x:c r="H1907" s="2" t="str">
        <x:v>Lamp 021</x:v>
      </x:c>
      <x:c r="I1907" s="11" t="n">
        <x:v>4</x:v>
      </x:c>
      <x:c r="J1907" s="9" t="n">
        <x:v>249</x:v>
      </x:c>
      <x:c r="K1907" s="10" t="n">
        <x:v>0</x:v>
      </x:c>
      <x:c r="L1907" s="11" t="n">
        <x:v>0</x:v>
      </x:c>
      <x:c r="M1907" s="9" t="n">
        <x:f>IF(D1907="Completed",I1907*J1907,0)</x:f>
        <x:v>996</x:v>
      </x:c>
      <x:c r="N1907" s="9" t="n">
        <x:f>M1907*K1907</x:f>
        <x:v>0</x:v>
      </x:c>
      <x:c r="O1907" s="9" t="n">
        <x:f>M1907-N1907</x:f>
        <x:v>996</x:v>
      </x:c>
      <x:c r="P1907" s="9" t="n">
        <x:f>IF(D1907="Completed",L1907*J1907*(1-K1907),0)</x:f>
        <x:v>0</x:v>
      </x:c>
      <x:c r="Q1907" s="9" t="n">
        <x:f>O1907-P1907</x:f>
        <x:v>996</x:v>
      </x:c>
      <x:c r="R1907" s="11" t="n">
        <x:f>IF(D1907="Completed",I1907,0)</x:f>
        <x:v>4</x:v>
      </x:c>
      <x:c r="S1907" s="11" t="n">
        <x:f>IF(D1907="Completed",L1907,0)</x:f>
        <x:v>0</x:v>
      </x:c>
      <x:c r="T1907" s="8" t="n">
        <x:f>DATE(YEAR(C1907),MONTH(C1907),1)</x:f>
        <x:v>45748</x:v>
      </x:c>
    </x:row>
    <x:row r="1908" ht="22" customHeight="1">
      <x:c r="A1908" s="2" t="str">
        <x:v>L001904</x:v>
      </x:c>
      <x:c r="B1908" s="2" t="str">
        <x:v>O00776</x:v>
      </x:c>
      <x:c r="C1908" s="7" t="n">
        <x:v>45696</x:v>
      </x:c>
      <x:c r="D1908" s="2" t="str">
        <x:v>Completed</x:v>
      </x:c>
      <x:c r="E1908" s="2" t="str">
        <x:v>East</x:v>
      </x:c>
      <x:c r="F1908" s="2" t="str">
        <x:v>Online</x:v>
      </x:c>
      <x:c r="G1908" s="2" t="str">
        <x:v>Storage</x:v>
      </x:c>
      <x:c r="H1908" s="2" t="str">
        <x:v>Shelf 003</x:v>
      </x:c>
      <x:c r="I1908" s="11" t="n">
        <x:v>3</x:v>
      </x:c>
      <x:c r="J1908" s="9" t="n">
        <x:v>199</x:v>
      </x:c>
      <x:c r="K1908" s="10" t="n">
        <x:v>0.1</x:v>
      </x:c>
      <x:c r="L1908" s="11" t="n">
        <x:v>0</x:v>
      </x:c>
      <x:c r="M1908" s="9" t="n">
        <x:f>IF(D1908="Completed",I1908*J1908,0)</x:f>
        <x:v>597</x:v>
      </x:c>
      <x:c r="N1908" s="9" t="n">
        <x:f>M1908*K1908</x:f>
        <x:v>59.7</x:v>
      </x:c>
      <x:c r="O1908" s="9" t="n">
        <x:f>M1908-N1908</x:f>
        <x:v>537.3</x:v>
      </x:c>
      <x:c r="P1908" s="9" t="n">
        <x:f>IF(D1908="Completed",L1908*J1908*(1-K1908),0)</x:f>
        <x:v>0</x:v>
      </x:c>
      <x:c r="Q1908" s="9" t="n">
        <x:f>O1908-P1908</x:f>
        <x:v>537.3</x:v>
      </x:c>
      <x:c r="R1908" s="11" t="n">
        <x:f>IF(D1908="Completed",I1908,0)</x:f>
        <x:v>3</x:v>
      </x:c>
      <x:c r="S1908" s="11" t="n">
        <x:f>IF(D1908="Completed",L1908,0)</x:f>
        <x:v>0</x:v>
      </x:c>
      <x:c r="T1908" s="8" t="n">
        <x:f>DATE(YEAR(C1908),MONTH(C1908),1)</x:f>
        <x:v>45689</x:v>
      </x:c>
    </x:row>
    <x:row r="1909" ht="22" customHeight="1">
      <x:c r="A1909" s="2" t="str">
        <x:v>L001905</x:v>
      </x:c>
      <x:c r="B1909" s="2" t="str">
        <x:v>O00777</x:v>
      </x:c>
      <x:c r="C1909" s="7" t="n">
        <x:v>46015</x:v>
      </x:c>
      <x:c r="D1909" s="2" t="str">
        <x:v>Completed</x:v>
      </x:c>
      <x:c r="E1909" s="2" t="str">
        <x:v>East</x:v>
      </x:c>
      <x:c r="F1909" s="2" t="str">
        <x:v>Store</x:v>
      </x:c>
      <x:c r="G1909" s="2" t="str">
        <x:v>Lighting</x:v>
      </x:c>
      <x:c r="H1909" s="2" t="str">
        <x:v>Lamp 001</x:v>
      </x:c>
      <x:c r="I1909" s="11" t="n">
        <x:v>1</x:v>
      </x:c>
      <x:c r="J1909" s="9" t="n">
        <x:v>122</x:v>
      </x:c>
      <x:c r="K1909" s="10" t="n">
        <x:v>0.1</x:v>
      </x:c>
      <x:c r="L1909" s="11" t="n">
        <x:v>0</x:v>
      </x:c>
      <x:c r="M1909" s="9" t="n">
        <x:f>IF(D1909="Completed",I1909*J1909,0)</x:f>
        <x:v>122</x:v>
      </x:c>
      <x:c r="N1909" s="9" t="n">
        <x:f>M1909*K1909</x:f>
        <x:v>12.200000000000001</x:v>
      </x:c>
      <x:c r="O1909" s="9" t="n">
        <x:f>M1909-N1909</x:f>
        <x:v>109.8</x:v>
      </x:c>
      <x:c r="P1909" s="9" t="n">
        <x:f>IF(D1909="Completed",L1909*J1909*(1-K1909),0)</x:f>
        <x:v>0</x:v>
      </x:c>
      <x:c r="Q1909" s="9" t="n">
        <x:f>O1909-P1909</x:f>
        <x:v>109.8</x:v>
      </x:c>
      <x:c r="R1909" s="11" t="n">
        <x:f>IF(D1909="Completed",I1909,0)</x:f>
        <x:v>1</x:v>
      </x:c>
      <x:c r="S1909" s="11" t="n">
        <x:f>IF(D1909="Completed",L1909,0)</x:f>
        <x:v>0</x:v>
      </x:c>
      <x:c r="T1909" s="8" t="n">
        <x:f>DATE(YEAR(C1909),MONTH(C1909),1)</x:f>
        <x:v>45992</x:v>
      </x:c>
    </x:row>
    <x:row r="1910" ht="22" customHeight="1">
      <x:c r="A1910" s="2" t="str">
        <x:v>L001906</x:v>
      </x:c>
      <x:c r="B1910" s="2" t="str">
        <x:v>O00777</x:v>
      </x:c>
      <x:c r="C1910" s="7" t="n">
        <x:v>46015</x:v>
      </x:c>
      <x:c r="D1910" s="2" t="str">
        <x:v>Completed</x:v>
      </x:c>
      <x:c r="E1910" s="2" t="str">
        <x:v>East</x:v>
      </x:c>
      <x:c r="F1910" s="2" t="str">
        <x:v>Store</x:v>
      </x:c>
      <x:c r="G1910" s="2" t="str">
        <x:v>Lighting</x:v>
      </x:c>
      <x:c r="H1910" s="2" t="str">
        <x:v>Lamp 001</x:v>
      </x:c>
      <x:c r="I1910" s="11" t="n">
        <x:v>2</x:v>
      </x:c>
      <x:c r="J1910" s="9" t="n">
        <x:v>122</x:v>
      </x:c>
      <x:c r="K1910" s="10" t="n">
        <x:v>0</x:v>
      </x:c>
      <x:c r="L1910" s="11" t="n">
        <x:v>0</x:v>
      </x:c>
      <x:c r="M1910" s="9" t="n">
        <x:f>IF(D1910="Completed",I1910*J1910,0)</x:f>
        <x:v>244</x:v>
      </x:c>
      <x:c r="N1910" s="9" t="n">
        <x:f>M1910*K1910</x:f>
        <x:v>0</x:v>
      </x:c>
      <x:c r="O1910" s="9" t="n">
        <x:f>M1910-N1910</x:f>
        <x:v>244</x:v>
      </x:c>
      <x:c r="P1910" s="9" t="n">
        <x:f>IF(D1910="Completed",L1910*J1910*(1-K1910),0)</x:f>
        <x:v>0</x:v>
      </x:c>
      <x:c r="Q1910" s="9" t="n">
        <x:f>O1910-P1910</x:f>
        <x:v>244</x:v>
      </x:c>
      <x:c r="R1910" s="11" t="n">
        <x:f>IF(D1910="Completed",I1910,0)</x:f>
        <x:v>2</x:v>
      </x:c>
      <x:c r="S1910" s="11" t="n">
        <x:f>IF(D1910="Completed",L1910,0)</x:f>
        <x:v>0</x:v>
      </x:c>
      <x:c r="T1910" s="8" t="n">
        <x:f>DATE(YEAR(C1910),MONTH(C1910),1)</x:f>
        <x:v>45992</x:v>
      </x:c>
    </x:row>
    <x:row r="1911" ht="22" customHeight="1">
      <x:c r="A1911" s="2" t="str">
        <x:v>L001907</x:v>
      </x:c>
      <x:c r="B1911" s="2" t="str">
        <x:v>O00777</x:v>
      </x:c>
      <x:c r="C1911" s="7" t="n">
        <x:v>46015</x:v>
      </x:c>
      <x:c r="D1911" s="2" t="str">
        <x:v>Completed</x:v>
      </x:c>
      <x:c r="E1911" s="2" t="str">
        <x:v>East</x:v>
      </x:c>
      <x:c r="F1911" s="2" t="str">
        <x:v>Store</x:v>
      </x:c>
      <x:c r="G1911" s="2" t="str">
        <x:v>Furniture</x:v>
      </x:c>
      <x:c r="H1911" s="2" t="str">
        <x:v>Chair 022</x:v>
      </x:c>
      <x:c r="I1911" s="11" t="n">
        <x:v>1</x:v>
      </x:c>
      <x:c r="J1911" s="9" t="n">
        <x:v>134</x:v>
      </x:c>
      <x:c r="K1911" s="10" t="n">
        <x:v>0.1</x:v>
      </x:c>
      <x:c r="L1911" s="11" t="n">
        <x:v>0</x:v>
      </x:c>
      <x:c r="M1911" s="9" t="n">
        <x:f>IF(D1911="Completed",I1911*J1911,0)</x:f>
        <x:v>134</x:v>
      </x:c>
      <x:c r="N1911" s="9" t="n">
        <x:f>M1911*K1911</x:f>
        <x:v>13.4</x:v>
      </x:c>
      <x:c r="O1911" s="9" t="n">
        <x:f>M1911-N1911</x:f>
        <x:v>120.6</x:v>
      </x:c>
      <x:c r="P1911" s="9" t="n">
        <x:f>IF(D1911="Completed",L1911*J1911*(1-K1911),0)</x:f>
        <x:v>0</x:v>
      </x:c>
      <x:c r="Q1911" s="9" t="n">
        <x:f>O1911-P1911</x:f>
        <x:v>120.6</x:v>
      </x:c>
      <x:c r="R1911" s="11" t="n">
        <x:f>IF(D1911="Completed",I1911,0)</x:f>
        <x:v>1</x:v>
      </x:c>
      <x:c r="S1911" s="11" t="n">
        <x:f>IF(D1911="Completed",L1911,0)</x:f>
        <x:v>0</x:v>
      </x:c>
      <x:c r="T1911" s="8" t="n">
        <x:f>DATE(YEAR(C1911),MONTH(C1911),1)</x:f>
        <x:v>45992</x:v>
      </x:c>
    </x:row>
    <x:row r="1912" ht="22" customHeight="1">
      <x:c r="A1912" s="2" t="str">
        <x:v>L001908</x:v>
      </x:c>
      <x:c r="B1912" s="2" t="str">
        <x:v>O00778</x:v>
      </x:c>
      <x:c r="C1912" s="7" t="n">
        <x:v>45761</x:v>
      </x:c>
      <x:c r="D1912" s="2" t="str">
        <x:v>Completed</x:v>
      </x:c>
      <x:c r="E1912" s="2" t="str">
        <x:v>West</x:v>
      </x:c>
      <x:c r="F1912" s="2" t="str">
        <x:v>Store</x:v>
      </x:c>
      <x:c r="G1912" s="2" t="str">
        <x:v>Furniture</x:v>
      </x:c>
      <x:c r="H1912" s="2" t="str">
        <x:v>Desk 004</x:v>
      </x:c>
      <x:c r="I1912" s="11" t="n">
        <x:v>2</x:v>
      </x:c>
      <x:c r="J1912" s="9" t="n">
        <x:v>123</x:v>
      </x:c>
      <x:c r="K1912" s="10" t="n">
        <x:v>0</x:v>
      </x:c>
      <x:c r="L1912" s="11" t="n">
        <x:v>0</x:v>
      </x:c>
      <x:c r="M1912" s="9" t="n">
        <x:f>IF(D1912="Completed",I1912*J1912,0)</x:f>
        <x:v>246</x:v>
      </x:c>
      <x:c r="N1912" s="9" t="n">
        <x:f>M1912*K1912</x:f>
        <x:v>0</x:v>
      </x:c>
      <x:c r="O1912" s="9" t="n">
        <x:f>M1912-N1912</x:f>
        <x:v>246</x:v>
      </x:c>
      <x:c r="P1912" s="9" t="n">
        <x:f>IF(D1912="Completed",L1912*J1912*(1-K1912),0)</x:f>
        <x:v>0</x:v>
      </x:c>
      <x:c r="Q1912" s="9" t="n">
        <x:f>O1912-P1912</x:f>
        <x:v>246</x:v>
      </x:c>
      <x:c r="R1912" s="11" t="n">
        <x:f>IF(D1912="Completed",I1912,0)</x:f>
        <x:v>2</x:v>
      </x:c>
      <x:c r="S1912" s="11" t="n">
        <x:f>IF(D1912="Completed",L1912,0)</x:f>
        <x:v>0</x:v>
      </x:c>
      <x:c r="T1912" s="8" t="n">
        <x:f>DATE(YEAR(C1912),MONTH(C1912),1)</x:f>
        <x:v>45748</x:v>
      </x:c>
    </x:row>
    <x:row r="1913" ht="22" customHeight="1">
      <x:c r="A1913" s="2" t="str">
        <x:v>L001909</x:v>
      </x:c>
      <x:c r="B1913" s="2" t="str">
        <x:v>O00778</x:v>
      </x:c>
      <x:c r="C1913" s="7" t="n">
        <x:v>45761</x:v>
      </x:c>
      <x:c r="D1913" s="2" t="str">
        <x:v>Completed</x:v>
      </x:c>
      <x:c r="E1913" s="2" t="str">
        <x:v>West</x:v>
      </x:c>
      <x:c r="F1913" s="2" t="str">
        <x:v>Store</x:v>
      </x:c>
      <x:c r="G1913" s="2" t="str">
        <x:v>Furniture</x:v>
      </x:c>
      <x:c r="H1913" s="2" t="str">
        <x:v>Desk 016</x:v>
      </x:c>
      <x:c r="I1913" s="11" t="n">
        <x:v>3</x:v>
      </x:c>
      <x:c r="J1913" s="9" t="n">
        <x:v>231</x:v>
      </x:c>
      <x:c r="K1913" s="10" t="n">
        <x:v>0.2</x:v>
      </x:c>
      <x:c r="L1913" s="11" t="n">
        <x:v>0</x:v>
      </x:c>
      <x:c r="M1913" s="9" t="n">
        <x:f>IF(D1913="Completed",I1913*J1913,0)</x:f>
        <x:v>693</x:v>
      </x:c>
      <x:c r="N1913" s="9" t="n">
        <x:f>M1913*K1913</x:f>
        <x:v>138.6</x:v>
      </x:c>
      <x:c r="O1913" s="9" t="n">
        <x:f>M1913-N1913</x:f>
        <x:v>554.4</x:v>
      </x:c>
      <x:c r="P1913" s="9" t="n">
        <x:f>IF(D1913="Completed",L1913*J1913*(1-K1913),0)</x:f>
        <x:v>0</x:v>
      </x:c>
      <x:c r="Q1913" s="9" t="n">
        <x:f>O1913-P1913</x:f>
        <x:v>554.4</x:v>
      </x:c>
      <x:c r="R1913" s="11" t="n">
        <x:f>IF(D1913="Completed",I1913,0)</x:f>
        <x:v>3</x:v>
      </x:c>
      <x:c r="S1913" s="11" t="n">
        <x:f>IF(D1913="Completed",L1913,0)</x:f>
        <x:v>0</x:v>
      </x:c>
      <x:c r="T1913" s="8" t="n">
        <x:f>DATE(YEAR(C1913),MONTH(C1913),1)</x:f>
        <x:v>45748</x:v>
      </x:c>
    </x:row>
    <x:row r="1914" ht="22" customHeight="1">
      <x:c r="A1914" s="2" t="str">
        <x:v>L001910</x:v>
      </x:c>
      <x:c r="B1914" s="2" t="str">
        <x:v>O00778</x:v>
      </x:c>
      <x:c r="C1914" s="7" t="n">
        <x:v>45761</x:v>
      </x:c>
      <x:c r="D1914" s="2" t="str">
        <x:v>Completed</x:v>
      </x:c>
      <x:c r="E1914" s="2" t="str">
        <x:v>West</x:v>
      </x:c>
      <x:c r="F1914" s="2" t="str">
        <x:v>Store</x:v>
      </x:c>
      <x:c r="G1914" s="2" t="str">
        <x:v>Furniture</x:v>
      </x:c>
      <x:c r="H1914" s="2" t="str">
        <x:v>Chair 014</x:v>
      </x:c>
      <x:c r="I1914" s="11" t="n">
        <x:v>2</x:v>
      </x:c>
      <x:c r="J1914" s="9" t="n">
        <x:v>294</x:v>
      </x:c>
      <x:c r="K1914" s="10" t="n">
        <x:v>0.1</x:v>
      </x:c>
      <x:c r="L1914" s="11" t="n">
        <x:v>0</x:v>
      </x:c>
      <x:c r="M1914" s="9" t="n">
        <x:f>IF(D1914="Completed",I1914*J1914,0)</x:f>
        <x:v>588</x:v>
      </x:c>
      <x:c r="N1914" s="9" t="n">
        <x:f>M1914*K1914</x:f>
        <x:v>58.800000000000004</x:v>
      </x:c>
      <x:c r="O1914" s="9" t="n">
        <x:f>M1914-N1914</x:f>
        <x:v>529.2</x:v>
      </x:c>
      <x:c r="P1914" s="9" t="n">
        <x:f>IF(D1914="Completed",L1914*J1914*(1-K1914),0)</x:f>
        <x:v>0</x:v>
      </x:c>
      <x:c r="Q1914" s="9" t="n">
        <x:f>O1914-P1914</x:f>
        <x:v>529.2</x:v>
      </x:c>
      <x:c r="R1914" s="11" t="n">
        <x:f>IF(D1914="Completed",I1914,0)</x:f>
        <x:v>2</x:v>
      </x:c>
      <x:c r="S1914" s="11" t="n">
        <x:f>IF(D1914="Completed",L1914,0)</x:f>
        <x:v>0</x:v>
      </x:c>
      <x:c r="T1914" s="8" t="n">
        <x:f>DATE(YEAR(C1914),MONTH(C1914),1)</x:f>
        <x:v>45748</x:v>
      </x:c>
    </x:row>
    <x:row r="1915" ht="22" customHeight="1">
      <x:c r="A1915" s="2" t="str">
        <x:v>L001911</x:v>
      </x:c>
      <x:c r="B1915" s="2" t="str">
        <x:v>O00778</x:v>
      </x:c>
      <x:c r="C1915" s="7" t="n">
        <x:v>45761</x:v>
      </x:c>
      <x:c r="D1915" s="2" t="str">
        <x:v>Completed</x:v>
      </x:c>
      <x:c r="E1915" s="2" t="str">
        <x:v>West</x:v>
      </x:c>
      <x:c r="F1915" s="2" t="str">
        <x:v>Store</x:v>
      </x:c>
      <x:c r="G1915" s="2" t="str">
        <x:v>Furniture</x:v>
      </x:c>
      <x:c r="H1915" s="2" t="str">
        <x:v>Desk 012</x:v>
      </x:c>
      <x:c r="I1915" s="11" t="n">
        <x:v>3</x:v>
      </x:c>
      <x:c r="J1915" s="9" t="n">
        <x:v>134</x:v>
      </x:c>
      <x:c r="K1915" s="10" t="n">
        <x:v>0.1</x:v>
      </x:c>
      <x:c r="L1915" s="11" t="n">
        <x:v>0</x:v>
      </x:c>
      <x:c r="M1915" s="9" t="n">
        <x:f>IF(D1915="Completed",I1915*J1915,0)</x:f>
        <x:v>402</x:v>
      </x:c>
      <x:c r="N1915" s="9" t="n">
        <x:f>M1915*K1915</x:f>
        <x:v>40.2</x:v>
      </x:c>
      <x:c r="O1915" s="9" t="n">
        <x:f>M1915-N1915</x:f>
        <x:v>361.8</x:v>
      </x:c>
      <x:c r="P1915" s="9" t="n">
        <x:f>IF(D1915="Completed",L1915*J1915*(1-K1915),0)</x:f>
        <x:v>0</x:v>
      </x:c>
      <x:c r="Q1915" s="9" t="n">
        <x:f>O1915-P1915</x:f>
        <x:v>361.8</x:v>
      </x:c>
      <x:c r="R1915" s="11" t="n">
        <x:f>IF(D1915="Completed",I1915,0)</x:f>
        <x:v>3</x:v>
      </x:c>
      <x:c r="S1915" s="11" t="n">
        <x:f>IF(D1915="Completed",L1915,0)</x:f>
        <x:v>0</x:v>
      </x:c>
      <x:c r="T1915" s="8" t="n">
        <x:f>DATE(YEAR(C1915),MONTH(C1915),1)</x:f>
        <x:v>45748</x:v>
      </x:c>
    </x:row>
    <x:row r="1916" ht="22" customHeight="1">
      <x:c r="A1916" s="2" t="str">
        <x:v>L001912</x:v>
      </x:c>
      <x:c r="B1916" s="2" t="str">
        <x:v>O00779</x:v>
      </x:c>
      <x:c r="C1916" s="7" t="n">
        <x:v>45972</x:v>
      </x:c>
      <x:c r="D1916" s="2" t="str">
        <x:v>Cancelled</x:v>
      </x:c>
      <x:c r="E1916" s="2" t="str">
        <x:v>North</x:v>
      </x:c>
      <x:c r="F1916" s="2" t="str">
        <x:v>Online</x:v>
      </x:c>
      <x:c r="G1916" s="2" t="str">
        <x:v>Furniture</x:v>
      </x:c>
      <x:c r="H1916" s="2" t="str">
        <x:v>Desk 008</x:v>
      </x:c>
      <x:c r="I1916" s="11" t="n">
        <x:v>2</x:v>
      </x:c>
      <x:c r="J1916" s="9" t="n">
        <x:v>188</x:v>
      </x:c>
      <x:c r="K1916" s="10" t="n">
        <x:v>0.05</x:v>
      </x:c>
      <x:c r="L1916" s="11" t="n">
        <x:v>0</x:v>
      </x:c>
      <x:c r="M1916" s="9" t="n">
        <x:f>IF(D1916="Completed",I1916*J1916,0)</x:f>
        <x:v>0</x:v>
      </x:c>
      <x:c r="N1916" s="9" t="n">
        <x:f>M1916*K1916</x:f>
        <x:v>0</x:v>
      </x:c>
      <x:c r="O1916" s="9" t="n">
        <x:f>M1916-N1916</x:f>
        <x:v>0</x:v>
      </x:c>
      <x:c r="P1916" s="9" t="n">
        <x:f>IF(D1916="Completed",L1916*J1916*(1-K1916),0)</x:f>
        <x:v>0</x:v>
      </x:c>
      <x:c r="Q1916" s="9" t="n">
        <x:f>O1916-P1916</x:f>
        <x:v>0</x:v>
      </x:c>
      <x:c r="R1916" s="11" t="n">
        <x:f>IF(D1916="Completed",I1916,0)</x:f>
        <x:v>0</x:v>
      </x:c>
      <x:c r="S1916" s="11" t="n">
        <x:f>IF(D1916="Completed",L1916,0)</x:f>
        <x:v>0</x:v>
      </x:c>
      <x:c r="T1916" s="8" t="n">
        <x:f>DATE(YEAR(C1916),MONTH(C1916),1)</x:f>
        <x:v>45962</x:v>
      </x:c>
    </x:row>
    <x:row r="1917" ht="22" customHeight="1">
      <x:c r="A1917" s="2" t="str">
        <x:v>L001913</x:v>
      </x:c>
      <x:c r="B1917" s="2" t="str">
        <x:v>O00779</x:v>
      </x:c>
      <x:c r="C1917" s="7" t="n">
        <x:v>45972</x:v>
      </x:c>
      <x:c r="D1917" s="2" t="str">
        <x:v>Cancelled</x:v>
      </x:c>
      <x:c r="E1917" s="2" t="str">
        <x:v>North</x:v>
      </x:c>
      <x:c r="F1917" s="2" t="str">
        <x:v>Online</x:v>
      </x:c>
      <x:c r="G1917" s="2" t="str">
        <x:v>Storage</x:v>
      </x:c>
      <x:c r="H1917" s="2" t="str">
        <x:v>Shelf 011</x:v>
      </x:c>
      <x:c r="I1917" s="11" t="n">
        <x:v>1</x:v>
      </x:c>
      <x:c r="J1917" s="9" t="n">
        <x:v>80</x:v>
      </x:c>
      <x:c r="K1917" s="10" t="n">
        <x:v>0.05</x:v>
      </x:c>
      <x:c r="L1917" s="11" t="n">
        <x:v>0</x:v>
      </x:c>
      <x:c r="M1917" s="9" t="n">
        <x:f>IF(D1917="Completed",I1917*J1917,0)</x:f>
        <x:v>0</x:v>
      </x:c>
      <x:c r="N1917" s="9" t="n">
        <x:f>M1917*K1917</x:f>
        <x:v>0</x:v>
      </x:c>
      <x:c r="O1917" s="9" t="n">
        <x:f>M1917-N1917</x:f>
        <x:v>0</x:v>
      </x:c>
      <x:c r="P1917" s="9" t="n">
        <x:f>IF(D1917="Completed",L1917*J1917*(1-K1917),0)</x:f>
        <x:v>0</x:v>
      </x:c>
      <x:c r="Q1917" s="9" t="n">
        <x:f>O1917-P1917</x:f>
        <x:v>0</x:v>
      </x:c>
      <x:c r="R1917" s="11" t="n">
        <x:f>IF(D1917="Completed",I1917,0)</x:f>
        <x:v>0</x:v>
      </x:c>
      <x:c r="S1917" s="11" t="n">
        <x:f>IF(D1917="Completed",L1917,0)</x:f>
        <x:v>0</x:v>
      </x:c>
      <x:c r="T1917" s="8" t="n">
        <x:f>DATE(YEAR(C1917),MONTH(C1917),1)</x:f>
        <x:v>45962</x:v>
      </x:c>
    </x:row>
    <x:row r="1918" ht="22" customHeight="1">
      <x:c r="A1918" s="2" t="str">
        <x:v>L001914</x:v>
      </x:c>
      <x:c r="B1918" s="2" t="str">
        <x:v>O00779</x:v>
      </x:c>
      <x:c r="C1918" s="7" t="n">
        <x:v>45972</x:v>
      </x:c>
      <x:c r="D1918" s="2" t="str">
        <x:v>Cancelled</x:v>
      </x:c>
      <x:c r="E1918" s="2" t="str">
        <x:v>North</x:v>
      </x:c>
      <x:c r="F1918" s="2" t="str">
        <x:v>Online</x:v>
      </x:c>
      <x:c r="G1918" s="2" t="str">
        <x:v>Storage</x:v>
      </x:c>
      <x:c r="H1918" s="2" t="str">
        <x:v>Shelf 019</x:v>
      </x:c>
      <x:c r="I1918" s="11" t="n">
        <x:v>1</x:v>
      </x:c>
      <x:c r="J1918" s="9" t="n">
        <x:v>78</x:v>
      </x:c>
      <x:c r="K1918" s="10" t="n">
        <x:v>0.2</x:v>
      </x:c>
      <x:c r="L1918" s="11" t="n">
        <x:v>0</x:v>
      </x:c>
      <x:c r="M1918" s="9" t="n">
        <x:f>IF(D1918="Completed",I1918*J1918,0)</x:f>
        <x:v>0</x:v>
      </x:c>
      <x:c r="N1918" s="9" t="n">
        <x:f>M1918*K1918</x:f>
        <x:v>0</x:v>
      </x:c>
      <x:c r="O1918" s="9" t="n">
        <x:f>M1918-N1918</x:f>
        <x:v>0</x:v>
      </x:c>
      <x:c r="P1918" s="9" t="n">
        <x:f>IF(D1918="Completed",L1918*J1918*(1-K1918),0)</x:f>
        <x:v>0</x:v>
      </x:c>
      <x:c r="Q1918" s="9" t="n">
        <x:f>O1918-P1918</x:f>
        <x:v>0</x:v>
      </x:c>
      <x:c r="R1918" s="11" t="n">
        <x:f>IF(D1918="Completed",I1918,0)</x:f>
        <x:v>0</x:v>
      </x:c>
      <x:c r="S1918" s="11" t="n">
        <x:f>IF(D1918="Completed",L1918,0)</x:f>
        <x:v>0</x:v>
      </x:c>
      <x:c r="T1918" s="8" t="n">
        <x:f>DATE(YEAR(C1918),MONTH(C1918),1)</x:f>
        <x:v>45962</x:v>
      </x:c>
    </x:row>
    <x:row r="1919" ht="22" customHeight="1">
      <x:c r="A1919" s="2" t="str">
        <x:v>L001915</x:v>
      </x:c>
      <x:c r="B1919" s="2" t="str">
        <x:v>O00780</x:v>
      </x:c>
      <x:c r="C1919" s="7" t="n">
        <x:v>45722</x:v>
      </x:c>
      <x:c r="D1919" s="2" t="str">
        <x:v>Completed</x:v>
      </x:c>
      <x:c r="E1919" s="2" t="str">
        <x:v>East</x:v>
      </x:c>
      <x:c r="F1919" s="2" t="str">
        <x:v>Online</x:v>
      </x:c>
      <x:c r="G1919" s="2" t="str">
        <x:v>Storage</x:v>
      </x:c>
      <x:c r="H1919" s="2" t="str">
        <x:v>Shelf 015</x:v>
      </x:c>
      <x:c r="I1919" s="11" t="n">
        <x:v>3</x:v>
      </x:c>
      <x:c r="J1919" s="9" t="n">
        <x:v>254</x:v>
      </x:c>
      <x:c r="K1919" s="10" t="n">
        <x:v>0.1</x:v>
      </x:c>
      <x:c r="L1919" s="11" t="n">
        <x:v>0</x:v>
      </x:c>
      <x:c r="M1919" s="9" t="n">
        <x:f>IF(D1919="Completed",I1919*J1919,0)</x:f>
        <x:v>762</x:v>
      </x:c>
      <x:c r="N1919" s="9" t="n">
        <x:f>M1919*K1919</x:f>
        <x:v>76.2</x:v>
      </x:c>
      <x:c r="O1919" s="9" t="n">
        <x:f>M1919-N1919</x:f>
        <x:v>685.8</x:v>
      </x:c>
      <x:c r="P1919" s="9" t="n">
        <x:f>IF(D1919="Completed",L1919*J1919*(1-K1919),0)</x:f>
        <x:v>0</x:v>
      </x:c>
      <x:c r="Q1919" s="9" t="n">
        <x:f>O1919-P1919</x:f>
        <x:v>685.8</x:v>
      </x:c>
      <x:c r="R1919" s="11" t="n">
        <x:f>IF(D1919="Completed",I1919,0)</x:f>
        <x:v>3</x:v>
      </x:c>
      <x:c r="S1919" s="11" t="n">
        <x:f>IF(D1919="Completed",L1919,0)</x:f>
        <x:v>0</x:v>
      </x:c>
      <x:c r="T1919" s="8" t="n">
        <x:f>DATE(YEAR(C1919),MONTH(C1919),1)</x:f>
        <x:v>45717</x:v>
      </x:c>
    </x:row>
    <x:row r="1920" ht="22" customHeight="1">
      <x:c r="A1920" s="2" t="str">
        <x:v>L001916</x:v>
      </x:c>
      <x:c r="B1920" s="2" t="str">
        <x:v>O00781</x:v>
      </x:c>
      <x:c r="C1920" s="7" t="n">
        <x:v>45658</x:v>
      </x:c>
      <x:c r="D1920" s="2" t="str">
        <x:v>Completed</x:v>
      </x:c>
      <x:c r="E1920" s="2" t="str">
        <x:v>West</x:v>
      </x:c>
      <x:c r="F1920" s="2" t="str">
        <x:v>Online</x:v>
      </x:c>
      <x:c r="G1920" s="2" t="str">
        <x:v>Lighting</x:v>
      </x:c>
      <x:c r="H1920" s="2" t="str">
        <x:v>Lamp 013</x:v>
      </x:c>
      <x:c r="I1920" s="11" t="n">
        <x:v>2</x:v>
      </x:c>
      <x:c r="J1920" s="9" t="n">
        <x:v>271</x:v>
      </x:c>
      <x:c r="K1920" s="10" t="n">
        <x:v>0.05</x:v>
      </x:c>
      <x:c r="L1920" s="11" t="n">
        <x:v>0</x:v>
      </x:c>
      <x:c r="M1920" s="9" t="n">
        <x:f>IF(D1920="Completed",I1920*J1920,0)</x:f>
        <x:v>542</x:v>
      </x:c>
      <x:c r="N1920" s="9" t="n">
        <x:f>M1920*K1920</x:f>
        <x:v>27.1</x:v>
      </x:c>
      <x:c r="O1920" s="9" t="n">
        <x:f>M1920-N1920</x:f>
        <x:v>514.9</x:v>
      </x:c>
      <x:c r="P1920" s="9" t="n">
        <x:f>IF(D1920="Completed",L1920*J1920*(1-K1920),0)</x:f>
        <x:v>0</x:v>
      </x:c>
      <x:c r="Q1920" s="9" t="n">
        <x:f>O1920-P1920</x:f>
        <x:v>514.9</x:v>
      </x:c>
      <x:c r="R1920" s="11" t="n">
        <x:f>IF(D1920="Completed",I1920,0)</x:f>
        <x:v>2</x:v>
      </x:c>
      <x:c r="S1920" s="11" t="n">
        <x:f>IF(D1920="Completed",L1920,0)</x:f>
        <x:v>0</x:v>
      </x:c>
      <x:c r="T1920" s="8" t="n">
        <x:f>DATE(YEAR(C1920),MONTH(C1920),1)</x:f>
        <x:v>45658</x:v>
      </x:c>
    </x:row>
    <x:row r="1921" ht="22" customHeight="1">
      <x:c r="A1921" s="2" t="str">
        <x:v>L001917</x:v>
      </x:c>
      <x:c r="B1921" s="2" t="str">
        <x:v>O00782</x:v>
      </x:c>
      <x:c r="C1921" s="7" t="n">
        <x:v>45979</x:v>
      </x:c>
      <x:c r="D1921" s="2" t="str">
        <x:v>Completed</x:v>
      </x:c>
      <x:c r="E1921" s="2" t="str">
        <x:v>South</x:v>
      </x:c>
      <x:c r="F1921" s="2" t="str">
        <x:v>Store</x:v>
      </x:c>
      <x:c r="G1921" s="2" t="str">
        <x:v>Furniture</x:v>
      </x:c>
      <x:c r="H1921" s="2" t="str">
        <x:v>Chair 018</x:v>
      </x:c>
      <x:c r="I1921" s="11" t="n">
        <x:v>2</x:v>
      </x:c>
      <x:c r="J1921" s="9" t="n">
        <x:v>269</x:v>
      </x:c>
      <x:c r="K1921" s="10" t="n">
        <x:v>0</x:v>
      </x:c>
      <x:c r="L1921" s="11" t="n">
        <x:v>0</x:v>
      </x:c>
      <x:c r="M1921" s="9" t="n">
        <x:f>IF(D1921="Completed",I1921*J1921,0)</x:f>
        <x:v>538</x:v>
      </x:c>
      <x:c r="N1921" s="9" t="n">
        <x:f>M1921*K1921</x:f>
        <x:v>0</x:v>
      </x:c>
      <x:c r="O1921" s="9" t="n">
        <x:f>M1921-N1921</x:f>
        <x:v>538</x:v>
      </x:c>
      <x:c r="P1921" s="9" t="n">
        <x:f>IF(D1921="Completed",L1921*J1921*(1-K1921),0)</x:f>
        <x:v>0</x:v>
      </x:c>
      <x:c r="Q1921" s="9" t="n">
        <x:f>O1921-P1921</x:f>
        <x:v>538</x:v>
      </x:c>
      <x:c r="R1921" s="11" t="n">
        <x:f>IF(D1921="Completed",I1921,0)</x:f>
        <x:v>2</x:v>
      </x:c>
      <x:c r="S1921" s="11" t="n">
        <x:f>IF(D1921="Completed",L1921,0)</x:f>
        <x:v>0</x:v>
      </x:c>
      <x:c r="T1921" s="8" t="n">
        <x:f>DATE(YEAR(C1921),MONTH(C1921),1)</x:f>
        <x:v>45962</x:v>
      </x:c>
    </x:row>
    <x:row r="1922" ht="22" customHeight="1">
      <x:c r="A1922" s="2" t="str">
        <x:v>L001918</x:v>
      </x:c>
      <x:c r="B1922" s="2" t="str">
        <x:v>O00782</x:v>
      </x:c>
      <x:c r="C1922" s="7" t="n">
        <x:v>45979</x:v>
      </x:c>
      <x:c r="D1922" s="2" t="str">
        <x:v>Completed</x:v>
      </x:c>
      <x:c r="E1922" s="2" t="str">
        <x:v>South</x:v>
      </x:c>
      <x:c r="F1922" s="2" t="str">
        <x:v>Store</x:v>
      </x:c>
      <x:c r="G1922" s="2" t="str">
        <x:v>Lighting</x:v>
      </x:c>
      <x:c r="H1922" s="2" t="str">
        <x:v>Lamp 001</x:v>
      </x:c>
      <x:c r="I1922" s="11" t="n">
        <x:v>2</x:v>
      </x:c>
      <x:c r="J1922" s="9" t="n">
        <x:v>122</x:v>
      </x:c>
      <x:c r="K1922" s="10" t="n">
        <x:v>0.1</x:v>
      </x:c>
      <x:c r="L1922" s="11" t="n">
        <x:v>0</x:v>
      </x:c>
      <x:c r="M1922" s="9" t="n">
        <x:f>IF(D1922="Completed",I1922*J1922,0)</x:f>
        <x:v>244</x:v>
      </x:c>
      <x:c r="N1922" s="9" t="n">
        <x:f>M1922*K1922</x:f>
        <x:v>24.400000000000002</x:v>
      </x:c>
      <x:c r="O1922" s="9" t="n">
        <x:f>M1922-N1922</x:f>
        <x:v>219.6</x:v>
      </x:c>
      <x:c r="P1922" s="9" t="n">
        <x:f>IF(D1922="Completed",L1922*J1922*(1-K1922),0)</x:f>
        <x:v>0</x:v>
      </x:c>
      <x:c r="Q1922" s="9" t="n">
        <x:f>O1922-P1922</x:f>
        <x:v>219.6</x:v>
      </x:c>
      <x:c r="R1922" s="11" t="n">
        <x:f>IF(D1922="Completed",I1922,0)</x:f>
        <x:v>2</x:v>
      </x:c>
      <x:c r="S1922" s="11" t="n">
        <x:f>IF(D1922="Completed",L1922,0)</x:f>
        <x:v>0</x:v>
      </x:c>
      <x:c r="T1922" s="8" t="n">
        <x:f>DATE(YEAR(C1922),MONTH(C1922),1)</x:f>
        <x:v>45962</x:v>
      </x:c>
    </x:row>
    <x:row r="1923" ht="22" customHeight="1">
      <x:c r="A1923" s="2" t="str">
        <x:v>L001919</x:v>
      </x:c>
      <x:c r="B1923" s="2" t="str">
        <x:v>O00782</x:v>
      </x:c>
      <x:c r="C1923" s="7" t="n">
        <x:v>45979</x:v>
      </x:c>
      <x:c r="D1923" s="2" t="str">
        <x:v>Completed</x:v>
      </x:c>
      <x:c r="E1923" s="2" t="str">
        <x:v>South</x:v>
      </x:c>
      <x:c r="F1923" s="2" t="str">
        <x:v>Store</x:v>
      </x:c>
      <x:c r="G1923" s="2" t="str">
        <x:v>Furniture</x:v>
      </x:c>
      <x:c r="H1923" s="2" t="str">
        <x:v>Chair 014</x:v>
      </x:c>
      <x:c r="I1923" s="11" t="n">
        <x:v>2</x:v>
      </x:c>
      <x:c r="J1923" s="9" t="n">
        <x:v>294</x:v>
      </x:c>
      <x:c r="K1923" s="10" t="n">
        <x:v>0.2</x:v>
      </x:c>
      <x:c r="L1923" s="11" t="n">
        <x:v>0</x:v>
      </x:c>
      <x:c r="M1923" s="9" t="n">
        <x:f>IF(D1923="Completed",I1923*J1923,0)</x:f>
        <x:v>588</x:v>
      </x:c>
      <x:c r="N1923" s="9" t="n">
        <x:f>M1923*K1923</x:f>
        <x:v>117.60000000000001</x:v>
      </x:c>
      <x:c r="O1923" s="9" t="n">
        <x:f>M1923-N1923</x:f>
        <x:v>470.4</x:v>
      </x:c>
      <x:c r="P1923" s="9" t="n">
        <x:f>IF(D1923="Completed",L1923*J1923*(1-K1923),0)</x:f>
        <x:v>0</x:v>
      </x:c>
      <x:c r="Q1923" s="9" t="n">
        <x:f>O1923-P1923</x:f>
        <x:v>470.4</x:v>
      </x:c>
      <x:c r="R1923" s="11" t="n">
        <x:f>IF(D1923="Completed",I1923,0)</x:f>
        <x:v>2</x:v>
      </x:c>
      <x:c r="S1923" s="11" t="n">
        <x:f>IF(D1923="Completed",L1923,0)</x:f>
        <x:v>0</x:v>
      </x:c>
      <x:c r="T1923" s="8" t="n">
        <x:f>DATE(YEAR(C1923),MONTH(C1923),1)</x:f>
        <x:v>45962</x:v>
      </x:c>
    </x:row>
    <x:row r="1924" ht="22" customHeight="1">
      <x:c r="A1924" s="2" t="str">
        <x:v>L001920</x:v>
      </x:c>
      <x:c r="B1924" s="2" t="str">
        <x:v>O00782</x:v>
      </x:c>
      <x:c r="C1924" s="7" t="n">
        <x:v>45979</x:v>
      </x:c>
      <x:c r="D1924" s="2" t="str">
        <x:v>Completed</x:v>
      </x:c>
      <x:c r="E1924" s="2" t="str">
        <x:v>South</x:v>
      </x:c>
      <x:c r="F1924" s="2" t="str">
        <x:v>Store</x:v>
      </x:c>
      <x:c r="G1924" s="2" t="str">
        <x:v>Lighting</x:v>
      </x:c>
      <x:c r="H1924" s="2" t="str">
        <x:v>Lamp 021</x:v>
      </x:c>
      <x:c r="I1924" s="11" t="n">
        <x:v>5</x:v>
      </x:c>
      <x:c r="J1924" s="9" t="n">
        <x:v>249</x:v>
      </x:c>
      <x:c r="K1924" s="10" t="n">
        <x:v>0.05</x:v>
      </x:c>
      <x:c r="L1924" s="11" t="n">
        <x:v>0</x:v>
      </x:c>
      <x:c r="M1924" s="9" t="n">
        <x:f>IF(D1924="Completed",I1924*J1924,0)</x:f>
        <x:v>1245</x:v>
      </x:c>
      <x:c r="N1924" s="9" t="n">
        <x:f>M1924*K1924</x:f>
        <x:v>62.25</x:v>
      </x:c>
      <x:c r="O1924" s="9" t="n">
        <x:f>M1924-N1924</x:f>
        <x:v>1182.75</x:v>
      </x:c>
      <x:c r="P1924" s="9" t="n">
        <x:f>IF(D1924="Completed",L1924*J1924*(1-K1924),0)</x:f>
        <x:v>0</x:v>
      </x:c>
      <x:c r="Q1924" s="9" t="n">
        <x:f>O1924-P1924</x:f>
        <x:v>1182.75</x:v>
      </x:c>
      <x:c r="R1924" s="11" t="n">
        <x:f>IF(D1924="Completed",I1924,0)</x:f>
        <x:v>5</x:v>
      </x:c>
      <x:c r="S1924" s="11" t="n">
        <x:f>IF(D1924="Completed",L1924,0)</x:f>
        <x:v>0</x:v>
      </x:c>
      <x:c r="T1924" s="8" t="n">
        <x:f>DATE(YEAR(C1924),MONTH(C1924),1)</x:f>
        <x:v>45962</x:v>
      </x:c>
    </x:row>
    <x:row r="1925" ht="22" customHeight="1">
      <x:c r="A1925" s="2" t="str">
        <x:v>L001921</x:v>
      </x:c>
      <x:c r="B1925" s="2" t="str">
        <x:v>O00783</x:v>
      </x:c>
      <x:c r="C1925" s="7" t="n">
        <x:v>45917</x:v>
      </x:c>
      <x:c r="D1925" s="2" t="str">
        <x:v>Completed</x:v>
      </x:c>
      <x:c r="E1925" s="2" t="str">
        <x:v>East</x:v>
      </x:c>
      <x:c r="F1925" s="2" t="str">
        <x:v>Online</x:v>
      </x:c>
      <x:c r="G1925" s="2" t="str">
        <x:v>Furniture</x:v>
      </x:c>
      <x:c r="H1925" s="2" t="str">
        <x:v>Chair 022</x:v>
      </x:c>
      <x:c r="I1925" s="11" t="n">
        <x:v>5</x:v>
      </x:c>
      <x:c r="J1925" s="9" t="n">
        <x:v>134</x:v>
      </x:c>
      <x:c r="K1925" s="10" t="n">
        <x:v>0.2</x:v>
      </x:c>
      <x:c r="L1925" s="11" t="n">
        <x:v>0</x:v>
      </x:c>
      <x:c r="M1925" s="9" t="n">
        <x:f>IF(D1925="Completed",I1925*J1925,0)</x:f>
        <x:v>670</x:v>
      </x:c>
      <x:c r="N1925" s="9" t="n">
        <x:f>M1925*K1925</x:f>
        <x:v>134</x:v>
      </x:c>
      <x:c r="O1925" s="9" t="n">
        <x:f>M1925-N1925</x:f>
        <x:v>536</x:v>
      </x:c>
      <x:c r="P1925" s="9" t="n">
        <x:f>IF(D1925="Completed",L1925*J1925*(1-K1925),0)</x:f>
        <x:v>0</x:v>
      </x:c>
      <x:c r="Q1925" s="9" t="n">
        <x:f>O1925-P1925</x:f>
        <x:v>536</x:v>
      </x:c>
      <x:c r="R1925" s="11" t="n">
        <x:f>IF(D1925="Completed",I1925,0)</x:f>
        <x:v>5</x:v>
      </x:c>
      <x:c r="S1925" s="11" t="n">
        <x:f>IF(D1925="Completed",L1925,0)</x:f>
        <x:v>0</x:v>
      </x:c>
      <x:c r="T1925" s="8" t="n">
        <x:f>DATE(YEAR(C1925),MONTH(C1925),1)</x:f>
        <x:v>45901</x:v>
      </x:c>
    </x:row>
    <x:row r="1926" ht="22" customHeight="1">
      <x:c r="A1926" s="2" t="str">
        <x:v>L001922</x:v>
      </x:c>
      <x:c r="B1926" s="2" t="str">
        <x:v>O00783</x:v>
      </x:c>
      <x:c r="C1926" s="7" t="n">
        <x:v>45917</x:v>
      </x:c>
      <x:c r="D1926" s="2" t="str">
        <x:v>Completed</x:v>
      </x:c>
      <x:c r="E1926" s="2" t="str">
        <x:v>East</x:v>
      </x:c>
      <x:c r="F1926" s="2" t="str">
        <x:v>Online</x:v>
      </x:c>
      <x:c r="G1926" s="2" t="str">
        <x:v>Furniture</x:v>
      </x:c>
      <x:c r="H1926" s="2" t="str">
        <x:v>Desk 004</x:v>
      </x:c>
      <x:c r="I1926" s="11" t="n">
        <x:v>3</x:v>
      </x:c>
      <x:c r="J1926" s="9" t="n">
        <x:v>123</x:v>
      </x:c>
      <x:c r="K1926" s="10" t="n">
        <x:v>0</x:v>
      </x:c>
      <x:c r="L1926" s="11" t="n">
        <x:v>0</x:v>
      </x:c>
      <x:c r="M1926" s="9" t="n">
        <x:f>IF(D1926="Completed",I1926*J1926,0)</x:f>
        <x:v>369</x:v>
      </x:c>
      <x:c r="N1926" s="9" t="n">
        <x:f>M1926*K1926</x:f>
        <x:v>0</x:v>
      </x:c>
      <x:c r="O1926" s="9" t="n">
        <x:f>M1926-N1926</x:f>
        <x:v>369</x:v>
      </x:c>
      <x:c r="P1926" s="9" t="n">
        <x:f>IF(D1926="Completed",L1926*J1926*(1-K1926),0)</x:f>
        <x:v>0</x:v>
      </x:c>
      <x:c r="Q1926" s="9" t="n">
        <x:f>O1926-P1926</x:f>
        <x:v>369</x:v>
      </x:c>
      <x:c r="R1926" s="11" t="n">
        <x:f>IF(D1926="Completed",I1926,0)</x:f>
        <x:v>3</x:v>
      </x:c>
      <x:c r="S1926" s="11" t="n">
        <x:f>IF(D1926="Completed",L1926,0)</x:f>
        <x:v>0</x:v>
      </x:c>
      <x:c r="T1926" s="8" t="n">
        <x:f>DATE(YEAR(C1926),MONTH(C1926),1)</x:f>
        <x:v>45901</x:v>
      </x:c>
    </x:row>
    <x:row r="1927" ht="22" customHeight="1">
      <x:c r="A1927" s="2" t="str">
        <x:v>L001923</x:v>
      </x:c>
      <x:c r="B1927" s="2" t="str">
        <x:v>O00784</x:v>
      </x:c>
      <x:c r="C1927" s="7" t="n">
        <x:v>45810</x:v>
      </x:c>
      <x:c r="D1927" s="2" t="str">
        <x:v>Completed</x:v>
      </x:c>
      <x:c r="E1927" s="2" t="str">
        <x:v>West</x:v>
      </x:c>
      <x:c r="F1927" s="2" t="str">
        <x:v>Online</x:v>
      </x:c>
      <x:c r="G1927" s="2" t="str">
        <x:v>Lighting</x:v>
      </x:c>
      <x:c r="H1927" s="2" t="str">
        <x:v>Lamp 005</x:v>
      </x:c>
      <x:c r="I1927" s="11" t="n">
        <x:v>1</x:v>
      </x:c>
      <x:c r="J1927" s="9" t="n">
        <x:v>65</x:v>
      </x:c>
      <x:c r="K1927" s="10" t="n">
        <x:v>0.05</x:v>
      </x:c>
      <x:c r="L1927" s="11" t="n">
        <x:v>0</x:v>
      </x:c>
      <x:c r="M1927" s="9" t="n">
        <x:f>IF(D1927="Completed",I1927*J1927,0)</x:f>
        <x:v>65</x:v>
      </x:c>
      <x:c r="N1927" s="9" t="n">
        <x:f>M1927*K1927</x:f>
        <x:v>3.25</x:v>
      </x:c>
      <x:c r="O1927" s="9" t="n">
        <x:f>M1927-N1927</x:f>
        <x:v>61.75</x:v>
      </x:c>
      <x:c r="P1927" s="9" t="n">
        <x:f>IF(D1927="Completed",L1927*J1927*(1-K1927),0)</x:f>
        <x:v>0</x:v>
      </x:c>
      <x:c r="Q1927" s="9" t="n">
        <x:f>O1927-P1927</x:f>
        <x:v>61.75</x:v>
      </x:c>
      <x:c r="R1927" s="11" t="n">
        <x:f>IF(D1927="Completed",I1927,0)</x:f>
        <x:v>1</x:v>
      </x:c>
      <x:c r="S1927" s="11" t="n">
        <x:f>IF(D1927="Completed",L1927,0)</x:f>
        <x:v>0</x:v>
      </x:c>
      <x:c r="T1927" s="8" t="n">
        <x:f>DATE(YEAR(C1927),MONTH(C1927),1)</x:f>
        <x:v>45809</x:v>
      </x:c>
    </x:row>
    <x:row r="1928" ht="22" customHeight="1">
      <x:c r="A1928" s="2" t="str">
        <x:v>L001924</x:v>
      </x:c>
      <x:c r="B1928" s="2" t="str">
        <x:v>O00784</x:v>
      </x:c>
      <x:c r="C1928" s="7" t="n">
        <x:v>45810</x:v>
      </x:c>
      <x:c r="D1928" s="2" t="str">
        <x:v>Completed</x:v>
      </x:c>
      <x:c r="E1928" s="2" t="str">
        <x:v>West</x:v>
      </x:c>
      <x:c r="F1928" s="2" t="str">
        <x:v>Online</x:v>
      </x:c>
      <x:c r="G1928" s="2" t="str">
        <x:v>Lighting</x:v>
      </x:c>
      <x:c r="H1928" s="2" t="str">
        <x:v>Lamp 017</x:v>
      </x:c>
      <x:c r="I1928" s="11" t="n">
        <x:v>3</x:v>
      </x:c>
      <x:c r="J1928" s="9" t="n">
        <x:v>300</x:v>
      </x:c>
      <x:c r="K1928" s="10" t="n">
        <x:v>0.05</x:v>
      </x:c>
      <x:c r="L1928" s="11" t="n">
        <x:v>0</x:v>
      </x:c>
      <x:c r="M1928" s="9" t="n">
        <x:f>IF(D1928="Completed",I1928*J1928,0)</x:f>
        <x:v>900</x:v>
      </x:c>
      <x:c r="N1928" s="9" t="n">
        <x:f>M1928*K1928</x:f>
        <x:v>45</x:v>
      </x:c>
      <x:c r="O1928" s="9" t="n">
        <x:f>M1928-N1928</x:f>
        <x:v>855</x:v>
      </x:c>
      <x:c r="P1928" s="9" t="n">
        <x:f>IF(D1928="Completed",L1928*J1928*(1-K1928),0)</x:f>
        <x:v>0</x:v>
      </x:c>
      <x:c r="Q1928" s="9" t="n">
        <x:f>O1928-P1928</x:f>
        <x:v>855</x:v>
      </x:c>
      <x:c r="R1928" s="11" t="n">
        <x:f>IF(D1928="Completed",I1928,0)</x:f>
        <x:v>3</x:v>
      </x:c>
      <x:c r="S1928" s="11" t="n">
        <x:f>IF(D1928="Completed",L1928,0)</x:f>
        <x:v>0</x:v>
      </x:c>
      <x:c r="T1928" s="8" t="n">
        <x:f>DATE(YEAR(C1928),MONTH(C1928),1)</x:f>
        <x:v>45809</x:v>
      </x:c>
    </x:row>
    <x:row r="1929" ht="22" customHeight="1">
      <x:c r="A1929" s="2" t="str">
        <x:v>L001925</x:v>
      </x:c>
      <x:c r="B1929" s="2" t="str">
        <x:v>O00784</x:v>
      </x:c>
      <x:c r="C1929" s="7" t="n">
        <x:v>45810</x:v>
      </x:c>
      <x:c r="D1929" s="2" t="str">
        <x:v>Completed</x:v>
      </x:c>
      <x:c r="E1929" s="2" t="str">
        <x:v>West</x:v>
      </x:c>
      <x:c r="F1929" s="2" t="str">
        <x:v>Online</x:v>
      </x:c>
      <x:c r="G1929" s="2" t="str">
        <x:v>Furniture</x:v>
      </x:c>
      <x:c r="H1929" s="2" t="str">
        <x:v>Chair 010</x:v>
      </x:c>
      <x:c r="I1929" s="11" t="n">
        <x:v>1</x:v>
      </x:c>
      <x:c r="J1929" s="9" t="n">
        <x:v>211</x:v>
      </x:c>
      <x:c r="K1929" s="10" t="n">
        <x:v>0.05</x:v>
      </x:c>
      <x:c r="L1929" s="11" t="n">
        <x:v>0</x:v>
      </x:c>
      <x:c r="M1929" s="9" t="n">
        <x:f>IF(D1929="Completed",I1929*J1929,0)</x:f>
        <x:v>211</x:v>
      </x:c>
      <x:c r="N1929" s="9" t="n">
        <x:f>M1929*K1929</x:f>
        <x:v>10.55</x:v>
      </x:c>
      <x:c r="O1929" s="9" t="n">
        <x:f>M1929-N1929</x:f>
        <x:v>200.45</x:v>
      </x:c>
      <x:c r="P1929" s="9" t="n">
        <x:f>IF(D1929="Completed",L1929*J1929*(1-K1929),0)</x:f>
        <x:v>0</x:v>
      </x:c>
      <x:c r="Q1929" s="9" t="n">
        <x:f>O1929-P1929</x:f>
        <x:v>200.45</x:v>
      </x:c>
      <x:c r="R1929" s="11" t="n">
        <x:f>IF(D1929="Completed",I1929,0)</x:f>
        <x:v>1</x:v>
      </x:c>
      <x:c r="S1929" s="11" t="n">
        <x:f>IF(D1929="Completed",L1929,0)</x:f>
        <x:v>0</x:v>
      </x:c>
      <x:c r="T1929" s="8" t="n">
        <x:f>DATE(YEAR(C1929),MONTH(C1929),1)</x:f>
        <x:v>45809</x:v>
      </x:c>
    </x:row>
    <x:row r="1930" ht="22" customHeight="1">
      <x:c r="A1930" s="2" t="str">
        <x:v>L001926</x:v>
      </x:c>
      <x:c r="B1930" s="2" t="str">
        <x:v>O00785</x:v>
      </x:c>
      <x:c r="C1930" s="7" t="n">
        <x:v>45928</x:v>
      </x:c>
      <x:c r="D1930" s="2" t="str">
        <x:v>Completed</x:v>
      </x:c>
      <x:c r="E1930" s="2" t="str">
        <x:v>South</x:v>
      </x:c>
      <x:c r="F1930" s="2" t="str">
        <x:v>Online</x:v>
      </x:c>
      <x:c r="G1930" s="2" t="str">
        <x:v>Lighting</x:v>
      </x:c>
      <x:c r="H1930" s="2" t="str">
        <x:v>Lamp 017</x:v>
      </x:c>
      <x:c r="I1930" s="11" t="n">
        <x:v>2</x:v>
      </x:c>
      <x:c r="J1930" s="9" t="n">
        <x:v>300</x:v>
      </x:c>
      <x:c r="K1930" s="10" t="n">
        <x:v>0.2</x:v>
      </x:c>
      <x:c r="L1930" s="11" t="n">
        <x:v>0</x:v>
      </x:c>
      <x:c r="M1930" s="9" t="n">
        <x:f>IF(D1930="Completed",I1930*J1930,0)</x:f>
        <x:v>600</x:v>
      </x:c>
      <x:c r="N1930" s="9" t="n">
        <x:f>M1930*K1930</x:f>
        <x:v>120</x:v>
      </x:c>
      <x:c r="O1930" s="9" t="n">
        <x:f>M1930-N1930</x:f>
        <x:v>480</x:v>
      </x:c>
      <x:c r="P1930" s="9" t="n">
        <x:f>IF(D1930="Completed",L1930*J1930*(1-K1930),0)</x:f>
        <x:v>0</x:v>
      </x:c>
      <x:c r="Q1930" s="9" t="n">
        <x:f>O1930-P1930</x:f>
        <x:v>480</x:v>
      </x:c>
      <x:c r="R1930" s="11" t="n">
        <x:f>IF(D1930="Completed",I1930,0)</x:f>
        <x:v>2</x:v>
      </x:c>
      <x:c r="S1930" s="11" t="n">
        <x:f>IF(D1930="Completed",L1930,0)</x:f>
        <x:v>0</x:v>
      </x:c>
      <x:c r="T1930" s="8" t="n">
        <x:f>DATE(YEAR(C1930),MONTH(C1930),1)</x:f>
        <x:v>45901</x:v>
      </x:c>
    </x:row>
    <x:row r="1931" ht="22" customHeight="1">
      <x:c r="A1931" s="2" t="str">
        <x:v>L001927</x:v>
      </x:c>
      <x:c r="B1931" s="2" t="str">
        <x:v>O00785</x:v>
      </x:c>
      <x:c r="C1931" s="7" t="n">
        <x:v>45928</x:v>
      </x:c>
      <x:c r="D1931" s="2" t="str">
        <x:v>Completed</x:v>
      </x:c>
      <x:c r="E1931" s="2" t="str">
        <x:v>South</x:v>
      </x:c>
      <x:c r="F1931" s="2" t="str">
        <x:v>Online</x:v>
      </x:c>
      <x:c r="G1931" s="2" t="str">
        <x:v>Furniture</x:v>
      </x:c>
      <x:c r="H1931" s="2" t="str">
        <x:v>Desk 020</x:v>
      </x:c>
      <x:c r="I1931" s="11" t="n">
        <x:v>2</x:v>
      </x:c>
      <x:c r="J1931" s="9" t="n">
        <x:v>189</x:v>
      </x:c>
      <x:c r="K1931" s="10" t="n">
        <x:v>0.1</x:v>
      </x:c>
      <x:c r="L1931" s="11" t="n">
        <x:v>0</x:v>
      </x:c>
      <x:c r="M1931" s="9" t="n">
        <x:f>IF(D1931="Completed",I1931*J1931,0)</x:f>
        <x:v>378</x:v>
      </x:c>
      <x:c r="N1931" s="9" t="n">
        <x:f>M1931*K1931</x:f>
        <x:v>37.800000000000004</x:v>
      </x:c>
      <x:c r="O1931" s="9" t="n">
        <x:f>M1931-N1931</x:f>
        <x:v>340.2</x:v>
      </x:c>
      <x:c r="P1931" s="9" t="n">
        <x:f>IF(D1931="Completed",L1931*J1931*(1-K1931),0)</x:f>
        <x:v>0</x:v>
      </x:c>
      <x:c r="Q1931" s="9" t="n">
        <x:f>O1931-P1931</x:f>
        <x:v>340.2</x:v>
      </x:c>
      <x:c r="R1931" s="11" t="n">
        <x:f>IF(D1931="Completed",I1931,0)</x:f>
        <x:v>2</x:v>
      </x:c>
      <x:c r="S1931" s="11" t="n">
        <x:f>IF(D1931="Completed",L1931,0)</x:f>
        <x:v>0</x:v>
      </x:c>
      <x:c r="T1931" s="8" t="n">
        <x:f>DATE(YEAR(C1931),MONTH(C1931),1)</x:f>
        <x:v>45901</x:v>
      </x:c>
    </x:row>
    <x:row r="1932" ht="22" customHeight="1">
      <x:c r="A1932" s="2" t="str">
        <x:v>L001928</x:v>
      </x:c>
      <x:c r="B1932" s="2" t="str">
        <x:v>O00785</x:v>
      </x:c>
      <x:c r="C1932" s="7" t="n">
        <x:v>45928</x:v>
      </x:c>
      <x:c r="D1932" s="2" t="str">
        <x:v>Completed</x:v>
      </x:c>
      <x:c r="E1932" s="2" t="str">
        <x:v>South</x:v>
      </x:c>
      <x:c r="F1932" s="2" t="str">
        <x:v>Online</x:v>
      </x:c>
      <x:c r="G1932" s="2" t="str">
        <x:v>Storage</x:v>
      </x:c>
      <x:c r="H1932" s="2" t="str">
        <x:v>Shelf 007</x:v>
      </x:c>
      <x:c r="I1932" s="11" t="n">
        <x:v>5</x:v>
      </x:c>
      <x:c r="J1932" s="9" t="n">
        <x:v>35</x:v>
      </x:c>
      <x:c r="K1932" s="10" t="n">
        <x:v>0.2</x:v>
      </x:c>
      <x:c r="L1932" s="11" t="n">
        <x:v>0</x:v>
      </x:c>
      <x:c r="M1932" s="9" t="n">
        <x:f>IF(D1932="Completed",I1932*J1932,0)</x:f>
        <x:v>175</x:v>
      </x:c>
      <x:c r="N1932" s="9" t="n">
        <x:f>M1932*K1932</x:f>
        <x:v>35</x:v>
      </x:c>
      <x:c r="O1932" s="9" t="n">
        <x:f>M1932-N1932</x:f>
        <x:v>140</x:v>
      </x:c>
      <x:c r="P1932" s="9" t="n">
        <x:f>IF(D1932="Completed",L1932*J1932*(1-K1932),0)</x:f>
        <x:v>0</x:v>
      </x:c>
      <x:c r="Q1932" s="9" t="n">
        <x:f>O1932-P1932</x:f>
        <x:v>140</x:v>
      </x:c>
      <x:c r="R1932" s="11" t="n">
        <x:f>IF(D1932="Completed",I1932,0)</x:f>
        <x:v>5</x:v>
      </x:c>
      <x:c r="S1932" s="11" t="n">
        <x:f>IF(D1932="Completed",L1932,0)</x:f>
        <x:v>0</x:v>
      </x:c>
      <x:c r="T1932" s="8" t="n">
        <x:f>DATE(YEAR(C1932),MONTH(C1932),1)</x:f>
        <x:v>45901</x:v>
      </x:c>
    </x:row>
    <x:row r="1933" ht="22" customHeight="1">
      <x:c r="A1933" s="2" t="str">
        <x:v>L001929</x:v>
      </x:c>
      <x:c r="B1933" s="2" t="str">
        <x:v>O00785</x:v>
      </x:c>
      <x:c r="C1933" s="7" t="n">
        <x:v>45928</x:v>
      </x:c>
      <x:c r="D1933" s="2" t="str">
        <x:v>Completed</x:v>
      </x:c>
      <x:c r="E1933" s="2" t="str">
        <x:v>South</x:v>
      </x:c>
      <x:c r="F1933" s="2" t="str">
        <x:v>Online</x:v>
      </x:c>
      <x:c r="G1933" s="2" t="str">
        <x:v>Storage</x:v>
      </x:c>
      <x:c r="H1933" s="2" t="str">
        <x:v>Shelf 019</x:v>
      </x:c>
      <x:c r="I1933" s="11" t="n">
        <x:v>1</x:v>
      </x:c>
      <x:c r="J1933" s="9" t="n">
        <x:v>78</x:v>
      </x:c>
      <x:c r="K1933" s="10" t="n">
        <x:v>0</x:v>
      </x:c>
      <x:c r="L1933" s="11" t="n">
        <x:v>0</x:v>
      </x:c>
      <x:c r="M1933" s="9" t="n">
        <x:f>IF(D1933="Completed",I1933*J1933,0)</x:f>
        <x:v>78</x:v>
      </x:c>
      <x:c r="N1933" s="9" t="n">
        <x:f>M1933*K1933</x:f>
        <x:v>0</x:v>
      </x:c>
      <x:c r="O1933" s="9" t="n">
        <x:f>M1933-N1933</x:f>
        <x:v>78</x:v>
      </x:c>
      <x:c r="P1933" s="9" t="n">
        <x:f>IF(D1933="Completed",L1933*J1933*(1-K1933),0)</x:f>
        <x:v>0</x:v>
      </x:c>
      <x:c r="Q1933" s="9" t="n">
        <x:f>O1933-P1933</x:f>
        <x:v>78</x:v>
      </x:c>
      <x:c r="R1933" s="11" t="n">
        <x:f>IF(D1933="Completed",I1933,0)</x:f>
        <x:v>1</x:v>
      </x:c>
      <x:c r="S1933" s="11" t="n">
        <x:f>IF(D1933="Completed",L1933,0)</x:f>
        <x:v>0</x:v>
      </x:c>
      <x:c r="T1933" s="8" t="n">
        <x:f>DATE(YEAR(C1933),MONTH(C1933),1)</x:f>
        <x:v>45901</x:v>
      </x:c>
    </x:row>
    <x:row r="1934" ht="22" customHeight="1">
      <x:c r="A1934" s="2" t="str">
        <x:v>L001930</x:v>
      </x:c>
      <x:c r="B1934" s="2" t="str">
        <x:v>O00786</x:v>
      </x:c>
      <x:c r="C1934" s="7" t="n">
        <x:v>45979</x:v>
      </x:c>
      <x:c r="D1934" s="2" t="str">
        <x:v>Completed</x:v>
      </x:c>
      <x:c r="E1934" s="2" t="str">
        <x:v>North</x:v>
      </x:c>
      <x:c r="F1934" s="2" t="str">
        <x:v>Store</x:v>
      </x:c>
      <x:c r="G1934" s="2" t="str">
        <x:v>Storage</x:v>
      </x:c>
      <x:c r="H1934" s="2" t="str">
        <x:v>Shelf 003</x:v>
      </x:c>
      <x:c r="I1934" s="11" t="n">
        <x:v>4</x:v>
      </x:c>
      <x:c r="J1934" s="9" t="n">
        <x:v>199</x:v>
      </x:c>
      <x:c r="K1934" s="10" t="n">
        <x:v>0.05</x:v>
      </x:c>
      <x:c r="L1934" s="11" t="n">
        <x:v>0</x:v>
      </x:c>
      <x:c r="M1934" s="9" t="n">
        <x:f>IF(D1934="Completed",I1934*J1934,0)</x:f>
        <x:v>796</x:v>
      </x:c>
      <x:c r="N1934" s="9" t="n">
        <x:f>M1934*K1934</x:f>
        <x:v>39.800000000000004</x:v>
      </x:c>
      <x:c r="O1934" s="9" t="n">
        <x:f>M1934-N1934</x:f>
        <x:v>756.2</x:v>
      </x:c>
      <x:c r="P1934" s="9" t="n">
        <x:f>IF(D1934="Completed",L1934*J1934*(1-K1934),0)</x:f>
        <x:v>0</x:v>
      </x:c>
      <x:c r="Q1934" s="9" t="n">
        <x:f>O1934-P1934</x:f>
        <x:v>756.2</x:v>
      </x:c>
      <x:c r="R1934" s="11" t="n">
        <x:f>IF(D1934="Completed",I1934,0)</x:f>
        <x:v>4</x:v>
      </x:c>
      <x:c r="S1934" s="11" t="n">
        <x:f>IF(D1934="Completed",L1934,0)</x:f>
        <x:v>0</x:v>
      </x:c>
      <x:c r="T1934" s="8" t="n">
        <x:f>DATE(YEAR(C1934),MONTH(C1934),1)</x:f>
        <x:v>45962</x:v>
      </x:c>
    </x:row>
    <x:row r="1935" ht="22" customHeight="1">
      <x:c r="A1935" s="2" t="str">
        <x:v>L001931</x:v>
      </x:c>
      <x:c r="B1935" s="2" t="str">
        <x:v>O00786</x:v>
      </x:c>
      <x:c r="C1935" s="7" t="n">
        <x:v>45979</x:v>
      </x:c>
      <x:c r="D1935" s="2" t="str">
        <x:v>Completed</x:v>
      </x:c>
      <x:c r="E1935" s="2" t="str">
        <x:v>North</x:v>
      </x:c>
      <x:c r="F1935" s="2" t="str">
        <x:v>Store</x:v>
      </x:c>
      <x:c r="G1935" s="2" t="str">
        <x:v>Furniture</x:v>
      </x:c>
      <x:c r="H1935" s="2" t="str">
        <x:v>Desk 020</x:v>
      </x:c>
      <x:c r="I1935" s="11" t="n">
        <x:v>5</x:v>
      </x:c>
      <x:c r="J1935" s="9" t="n">
        <x:v>189</x:v>
      </x:c>
      <x:c r="K1935" s="10" t="n">
        <x:v>0.1</x:v>
      </x:c>
      <x:c r="L1935" s="11" t="n">
        <x:v>0</x:v>
      </x:c>
      <x:c r="M1935" s="9" t="n">
        <x:f>IF(D1935="Completed",I1935*J1935,0)</x:f>
        <x:v>945</x:v>
      </x:c>
      <x:c r="N1935" s="9" t="n">
        <x:f>M1935*K1935</x:f>
        <x:v>94.5</x:v>
      </x:c>
      <x:c r="O1935" s="9" t="n">
        <x:f>M1935-N1935</x:f>
        <x:v>850.5</x:v>
      </x:c>
      <x:c r="P1935" s="9" t="n">
        <x:f>IF(D1935="Completed",L1935*J1935*(1-K1935),0)</x:f>
        <x:v>0</x:v>
      </x:c>
      <x:c r="Q1935" s="9" t="n">
        <x:f>O1935-P1935</x:f>
        <x:v>850.5</x:v>
      </x:c>
      <x:c r="R1935" s="11" t="n">
        <x:f>IF(D1935="Completed",I1935,0)</x:f>
        <x:v>5</x:v>
      </x:c>
      <x:c r="S1935" s="11" t="n">
        <x:f>IF(D1935="Completed",L1935,0)</x:f>
        <x:v>0</x:v>
      </x:c>
      <x:c r="T1935" s="8" t="n">
        <x:f>DATE(YEAR(C1935),MONTH(C1935),1)</x:f>
        <x:v>45962</x:v>
      </x:c>
    </x:row>
    <x:row r="1936" ht="22" customHeight="1">
      <x:c r="A1936" s="2" t="str">
        <x:v>L001932</x:v>
      </x:c>
      <x:c r="B1936" s="2" t="str">
        <x:v>O00786</x:v>
      </x:c>
      <x:c r="C1936" s="7" t="n">
        <x:v>45979</x:v>
      </x:c>
      <x:c r="D1936" s="2" t="str">
        <x:v>Completed</x:v>
      </x:c>
      <x:c r="E1936" s="2" t="str">
        <x:v>North</x:v>
      </x:c>
      <x:c r="F1936" s="2" t="str">
        <x:v>Store</x:v>
      </x:c>
      <x:c r="G1936" s="2" t="str">
        <x:v>Furniture</x:v>
      </x:c>
      <x:c r="H1936" s="2" t="str">
        <x:v>Chair 010</x:v>
      </x:c>
      <x:c r="I1936" s="11" t="n">
        <x:v>1</x:v>
      </x:c>
      <x:c r="J1936" s="9" t="n">
        <x:v>211</x:v>
      </x:c>
      <x:c r="K1936" s="10" t="n">
        <x:v>0.2</x:v>
      </x:c>
      <x:c r="L1936" s="11" t="n">
        <x:v>0</x:v>
      </x:c>
      <x:c r="M1936" s="9" t="n">
        <x:f>IF(D1936="Completed",I1936*J1936,0)</x:f>
        <x:v>211</x:v>
      </x:c>
      <x:c r="N1936" s="9" t="n">
        <x:f>M1936*K1936</x:f>
        <x:v>42.2</x:v>
      </x:c>
      <x:c r="O1936" s="9" t="n">
        <x:f>M1936-N1936</x:f>
        <x:v>168.8</x:v>
      </x:c>
      <x:c r="P1936" s="9" t="n">
        <x:f>IF(D1936="Completed",L1936*J1936*(1-K1936),0)</x:f>
        <x:v>0</x:v>
      </x:c>
      <x:c r="Q1936" s="9" t="n">
        <x:f>O1936-P1936</x:f>
        <x:v>168.8</x:v>
      </x:c>
      <x:c r="R1936" s="11" t="n">
        <x:f>IF(D1936="Completed",I1936,0)</x:f>
        <x:v>1</x:v>
      </x:c>
      <x:c r="S1936" s="11" t="n">
        <x:f>IF(D1936="Completed",L1936,0)</x:f>
        <x:v>0</x:v>
      </x:c>
      <x:c r="T1936" s="8" t="n">
        <x:f>DATE(YEAR(C1936),MONTH(C1936),1)</x:f>
        <x:v>45962</x:v>
      </x:c>
    </x:row>
    <x:row r="1937" ht="22" customHeight="1">
      <x:c r="A1937" s="2" t="str">
        <x:v>L001933</x:v>
      </x:c>
      <x:c r="B1937" s="2" t="str">
        <x:v>O00787</x:v>
      </x:c>
      <x:c r="C1937" s="7" t="n">
        <x:v>45777</x:v>
      </x:c>
      <x:c r="D1937" s="2" t="str">
        <x:v>Cancelled</x:v>
      </x:c>
      <x:c r="E1937" s="2" t="str">
        <x:v>East</x:v>
      </x:c>
      <x:c r="F1937" s="2" t="str">
        <x:v>Store</x:v>
      </x:c>
      <x:c r="G1937" s="2" t="str">
        <x:v>Furniture</x:v>
      </x:c>
      <x:c r="H1937" s="2" t="str">
        <x:v>Desk 008</x:v>
      </x:c>
      <x:c r="I1937" s="11" t="n">
        <x:v>3</x:v>
      </x:c>
      <x:c r="J1937" s="9" t="n">
        <x:v>188</x:v>
      </x:c>
      <x:c r="K1937" s="10" t="n">
        <x:v>0.2</x:v>
      </x:c>
      <x:c r="L1937" s="11" t="n">
        <x:v>0</x:v>
      </x:c>
      <x:c r="M1937" s="9" t="n">
        <x:f>IF(D1937="Completed",I1937*J1937,0)</x:f>
        <x:v>0</x:v>
      </x:c>
      <x:c r="N1937" s="9" t="n">
        <x:f>M1937*K1937</x:f>
        <x:v>0</x:v>
      </x:c>
      <x:c r="O1937" s="9" t="n">
        <x:f>M1937-N1937</x:f>
        <x:v>0</x:v>
      </x:c>
      <x:c r="P1937" s="9" t="n">
        <x:f>IF(D1937="Completed",L1937*J1937*(1-K1937),0)</x:f>
        <x:v>0</x:v>
      </x:c>
      <x:c r="Q1937" s="9" t="n">
        <x:f>O1937-P1937</x:f>
        <x:v>0</x:v>
      </x:c>
      <x:c r="R1937" s="11" t="n">
        <x:f>IF(D1937="Completed",I1937,0)</x:f>
        <x:v>0</x:v>
      </x:c>
      <x:c r="S1937" s="11" t="n">
        <x:f>IF(D1937="Completed",L1937,0)</x:f>
        <x:v>0</x:v>
      </x:c>
      <x:c r="T1937" s="8" t="n">
        <x:f>DATE(YEAR(C1937),MONTH(C1937),1)</x:f>
        <x:v>45748</x:v>
      </x:c>
    </x:row>
    <x:row r="1938" ht="22" customHeight="1">
      <x:c r="A1938" s="2" t="str">
        <x:v>L001934</x:v>
      </x:c>
      <x:c r="B1938" s="2" t="str">
        <x:v>O00788</x:v>
      </x:c>
      <x:c r="C1938" s="7" t="n">
        <x:v>46006</x:v>
      </x:c>
      <x:c r="D1938" s="2" t="str">
        <x:v>Completed</x:v>
      </x:c>
      <x:c r="E1938" s="2" t="str">
        <x:v>West</x:v>
      </x:c>
      <x:c r="F1938" s="2" t="str">
        <x:v>Store</x:v>
      </x:c>
      <x:c r="G1938" s="2" t="str">
        <x:v>Furniture</x:v>
      </x:c>
      <x:c r="H1938" s="2" t="str">
        <x:v>Desk 020</x:v>
      </x:c>
      <x:c r="I1938" s="11" t="n">
        <x:v>4</x:v>
      </x:c>
      <x:c r="J1938" s="9" t="n">
        <x:v>189</x:v>
      </x:c>
      <x:c r="K1938" s="10" t="n">
        <x:v>0.05</x:v>
      </x:c>
      <x:c r="L1938" s="11" t="n">
        <x:v>0</x:v>
      </x:c>
      <x:c r="M1938" s="9" t="n">
        <x:f>IF(D1938="Completed",I1938*J1938,0)</x:f>
        <x:v>756</x:v>
      </x:c>
      <x:c r="N1938" s="9" t="n">
        <x:f>M1938*K1938</x:f>
        <x:v>37.800000000000004</x:v>
      </x:c>
      <x:c r="O1938" s="9" t="n">
        <x:f>M1938-N1938</x:f>
        <x:v>718.2</x:v>
      </x:c>
      <x:c r="P1938" s="9" t="n">
        <x:f>IF(D1938="Completed",L1938*J1938*(1-K1938),0)</x:f>
        <x:v>0</x:v>
      </x:c>
      <x:c r="Q1938" s="9" t="n">
        <x:f>O1938-P1938</x:f>
        <x:v>718.2</x:v>
      </x:c>
      <x:c r="R1938" s="11" t="n">
        <x:f>IF(D1938="Completed",I1938,0)</x:f>
        <x:v>4</x:v>
      </x:c>
      <x:c r="S1938" s="11" t="n">
        <x:f>IF(D1938="Completed",L1938,0)</x:f>
        <x:v>0</x:v>
      </x:c>
      <x:c r="T1938" s="8" t="n">
        <x:f>DATE(YEAR(C1938),MONTH(C1938),1)</x:f>
        <x:v>45992</x:v>
      </x:c>
    </x:row>
    <x:row r="1939" ht="22" customHeight="1">
      <x:c r="A1939" s="2" t="str">
        <x:v>L001935</x:v>
      </x:c>
      <x:c r="B1939" s="2" t="str">
        <x:v>O00789</x:v>
      </x:c>
      <x:c r="C1939" s="7" t="n">
        <x:v>45690</x:v>
      </x:c>
      <x:c r="D1939" s="2" t="str">
        <x:v>Completed</x:v>
      </x:c>
      <x:c r="E1939" s="2" t="str">
        <x:v>North</x:v>
      </x:c>
      <x:c r="F1939" s="2" t="str">
        <x:v>Online</x:v>
      </x:c>
      <x:c r="G1939" s="2" t="str">
        <x:v>Furniture</x:v>
      </x:c>
      <x:c r="H1939" s="2" t="str">
        <x:v>Chair 002</x:v>
      </x:c>
      <x:c r="I1939" s="11" t="n">
        <x:v>2</x:v>
      </x:c>
      <x:c r="J1939" s="9" t="n">
        <x:v>284</x:v>
      </x:c>
      <x:c r="K1939" s="10" t="n">
        <x:v>0.2</x:v>
      </x:c>
      <x:c r="L1939" s="11" t="n">
        <x:v>0</x:v>
      </x:c>
      <x:c r="M1939" s="9" t="n">
        <x:f>IF(D1939="Completed",I1939*J1939,0)</x:f>
        <x:v>568</x:v>
      </x:c>
      <x:c r="N1939" s="9" t="n">
        <x:f>M1939*K1939</x:f>
        <x:v>113.60000000000001</x:v>
      </x:c>
      <x:c r="O1939" s="9" t="n">
        <x:f>M1939-N1939</x:f>
        <x:v>454.4</x:v>
      </x:c>
      <x:c r="P1939" s="9" t="n">
        <x:f>IF(D1939="Completed",L1939*J1939*(1-K1939),0)</x:f>
        <x:v>0</x:v>
      </x:c>
      <x:c r="Q1939" s="9" t="n">
        <x:f>O1939-P1939</x:f>
        <x:v>454.4</x:v>
      </x:c>
      <x:c r="R1939" s="11" t="n">
        <x:f>IF(D1939="Completed",I1939,0)</x:f>
        <x:v>2</x:v>
      </x:c>
      <x:c r="S1939" s="11" t="n">
        <x:f>IF(D1939="Completed",L1939,0)</x:f>
        <x:v>0</x:v>
      </x:c>
      <x:c r="T1939" s="8" t="n">
        <x:f>DATE(YEAR(C1939),MONTH(C1939),1)</x:f>
        <x:v>45689</x:v>
      </x:c>
    </x:row>
    <x:row r="1940" ht="22" customHeight="1">
      <x:c r="A1940" s="2" t="str">
        <x:v>L001936</x:v>
      </x:c>
      <x:c r="B1940" s="2" t="str">
        <x:v>O00789</x:v>
      </x:c>
      <x:c r="C1940" s="7" t="n">
        <x:v>45690</x:v>
      </x:c>
      <x:c r="D1940" s="2" t="str">
        <x:v>Completed</x:v>
      </x:c>
      <x:c r="E1940" s="2" t="str">
        <x:v>North</x:v>
      </x:c>
      <x:c r="F1940" s="2" t="str">
        <x:v>Online</x:v>
      </x:c>
      <x:c r="G1940" s="2" t="str">
        <x:v>Furniture</x:v>
      </x:c>
      <x:c r="H1940" s="2" t="str">
        <x:v>Desk 016</x:v>
      </x:c>
      <x:c r="I1940" s="11" t="n">
        <x:v>2</x:v>
      </x:c>
      <x:c r="J1940" s="9" t="n">
        <x:v>231</x:v>
      </x:c>
      <x:c r="K1940" s="10" t="n">
        <x:v>0.1</x:v>
      </x:c>
      <x:c r="L1940" s="11" t="n">
        <x:v>0</x:v>
      </x:c>
      <x:c r="M1940" s="9" t="n">
        <x:f>IF(D1940="Completed",I1940*J1940,0)</x:f>
        <x:v>462</x:v>
      </x:c>
      <x:c r="N1940" s="9" t="n">
        <x:f>M1940*K1940</x:f>
        <x:v>46.2</x:v>
      </x:c>
      <x:c r="O1940" s="9" t="n">
        <x:f>M1940-N1940</x:f>
        <x:v>415.8</x:v>
      </x:c>
      <x:c r="P1940" s="9" t="n">
        <x:f>IF(D1940="Completed",L1940*J1940*(1-K1940),0)</x:f>
        <x:v>0</x:v>
      </x:c>
      <x:c r="Q1940" s="9" t="n">
        <x:f>O1940-P1940</x:f>
        <x:v>415.8</x:v>
      </x:c>
      <x:c r="R1940" s="11" t="n">
        <x:f>IF(D1940="Completed",I1940,0)</x:f>
        <x:v>2</x:v>
      </x:c>
      <x:c r="S1940" s="11" t="n">
        <x:f>IF(D1940="Completed",L1940,0)</x:f>
        <x:v>0</x:v>
      </x:c>
      <x:c r="T1940" s="8" t="n">
        <x:f>DATE(YEAR(C1940),MONTH(C1940),1)</x:f>
        <x:v>45689</x:v>
      </x:c>
    </x:row>
    <x:row r="1941" ht="22" customHeight="1">
      <x:c r="A1941" s="2" t="str">
        <x:v>L001937</x:v>
      </x:c>
      <x:c r="B1941" s="2" t="str">
        <x:v>O00790</x:v>
      </x:c>
      <x:c r="C1941" s="7" t="n">
        <x:v>45847</x:v>
      </x:c>
      <x:c r="D1941" s="2" t="str">
        <x:v>Completed</x:v>
      </x:c>
      <x:c r="E1941" s="2" t="str">
        <x:v>West</x:v>
      </x:c>
      <x:c r="F1941" s="2" t="str">
        <x:v>Online</x:v>
      </x:c>
      <x:c r="G1941" s="2" t="str">
        <x:v>Furniture</x:v>
      </x:c>
      <x:c r="H1941" s="2" t="str">
        <x:v>Desk 004</x:v>
      </x:c>
      <x:c r="I1941" s="11" t="n">
        <x:v>1</x:v>
      </x:c>
      <x:c r="J1941" s="9" t="n">
        <x:v>123</x:v>
      </x:c>
      <x:c r="K1941" s="10" t="n">
        <x:v>0</x:v>
      </x:c>
      <x:c r="L1941" s="11" t="n">
        <x:v>1</x:v>
      </x:c>
      <x:c r="M1941" s="9" t="n">
        <x:f>IF(D1941="Completed",I1941*J1941,0)</x:f>
        <x:v>123</x:v>
      </x:c>
      <x:c r="N1941" s="9" t="n">
        <x:f>M1941*K1941</x:f>
        <x:v>0</x:v>
      </x:c>
      <x:c r="O1941" s="9" t="n">
        <x:f>M1941-N1941</x:f>
        <x:v>123</x:v>
      </x:c>
      <x:c r="P1941" s="9" t="n">
        <x:f>IF(D1941="Completed",L1941*J1941*(1-K1941),0)</x:f>
        <x:v>123</x:v>
      </x:c>
      <x:c r="Q1941" s="9" t="n">
        <x:f>O1941-P1941</x:f>
        <x:v>0</x:v>
      </x:c>
      <x:c r="R1941" s="11" t="n">
        <x:f>IF(D1941="Completed",I1941,0)</x:f>
        <x:v>1</x:v>
      </x:c>
      <x:c r="S1941" s="11" t="n">
        <x:f>IF(D1941="Completed",L1941,0)</x:f>
        <x:v>1</x:v>
      </x:c>
      <x:c r="T1941" s="8" t="n">
        <x:f>DATE(YEAR(C1941),MONTH(C1941),1)</x:f>
        <x:v>45839</x:v>
      </x:c>
    </x:row>
    <x:row r="1942" ht="22" customHeight="1">
      <x:c r="A1942" s="2" t="str">
        <x:v>L001938</x:v>
      </x:c>
      <x:c r="B1942" s="2" t="str">
        <x:v>O00790</x:v>
      </x:c>
      <x:c r="C1942" s="7" t="n">
        <x:v>45847</x:v>
      </x:c>
      <x:c r="D1942" s="2" t="str">
        <x:v>Completed</x:v>
      </x:c>
      <x:c r="E1942" s="2" t="str">
        <x:v>West</x:v>
      </x:c>
      <x:c r="F1942" s="2" t="str">
        <x:v>Online</x:v>
      </x:c>
      <x:c r="G1942" s="2" t="str">
        <x:v>Furniture</x:v>
      </x:c>
      <x:c r="H1942" s="2" t="str">
        <x:v>Desk 024</x:v>
      </x:c>
      <x:c r="I1942" s="11" t="n">
        <x:v>3</x:v>
      </x:c>
      <x:c r="J1942" s="9" t="n">
        <x:v>81</x:v>
      </x:c>
      <x:c r="K1942" s="10" t="n">
        <x:v>0</x:v>
      </x:c>
      <x:c r="L1942" s="11" t="n">
        <x:v>0</x:v>
      </x:c>
      <x:c r="M1942" s="9" t="n">
        <x:f>IF(D1942="Completed",I1942*J1942,0)</x:f>
        <x:v>243</x:v>
      </x:c>
      <x:c r="N1942" s="9" t="n">
        <x:f>M1942*K1942</x:f>
        <x:v>0</x:v>
      </x:c>
      <x:c r="O1942" s="9" t="n">
        <x:f>M1942-N1942</x:f>
        <x:v>243</x:v>
      </x:c>
      <x:c r="P1942" s="9" t="n">
        <x:f>IF(D1942="Completed",L1942*J1942*(1-K1942),0)</x:f>
        <x:v>0</x:v>
      </x:c>
      <x:c r="Q1942" s="9" t="n">
        <x:f>O1942-P1942</x:f>
        <x:v>243</x:v>
      </x:c>
      <x:c r="R1942" s="11" t="n">
        <x:f>IF(D1942="Completed",I1942,0)</x:f>
        <x:v>3</x:v>
      </x:c>
      <x:c r="S1942" s="11" t="n">
        <x:f>IF(D1942="Completed",L1942,0)</x:f>
        <x:v>0</x:v>
      </x:c>
      <x:c r="T1942" s="8" t="n">
        <x:f>DATE(YEAR(C1942),MONTH(C1942),1)</x:f>
        <x:v>45839</x:v>
      </x:c>
    </x:row>
    <x:row r="1943" ht="22" customHeight="1">
      <x:c r="A1943" s="2" t="str">
        <x:v>L001939</x:v>
      </x:c>
      <x:c r="B1943" s="2" t="str">
        <x:v>O00791</x:v>
      </x:c>
      <x:c r="C1943" s="7" t="n">
        <x:v>46020</x:v>
      </x:c>
      <x:c r="D1943" s="2" t="str">
        <x:v>Completed</x:v>
      </x:c>
      <x:c r="E1943" s="2" t="str">
        <x:v>South</x:v>
      </x:c>
      <x:c r="F1943" s="2" t="str">
        <x:v>Store</x:v>
      </x:c>
      <x:c r="G1943" s="2" t="str">
        <x:v>Storage</x:v>
      </x:c>
      <x:c r="H1943" s="2" t="str">
        <x:v>Shelf 007</x:v>
      </x:c>
      <x:c r="I1943" s="11" t="n">
        <x:v>3</x:v>
      </x:c>
      <x:c r="J1943" s="9" t="n">
        <x:v>35</x:v>
      </x:c>
      <x:c r="K1943" s="10" t="n">
        <x:v>0</x:v>
      </x:c>
      <x:c r="L1943" s="11" t="n">
        <x:v>0</x:v>
      </x:c>
      <x:c r="M1943" s="9" t="n">
        <x:f>IF(D1943="Completed",I1943*J1943,0)</x:f>
        <x:v>105</x:v>
      </x:c>
      <x:c r="N1943" s="9" t="n">
        <x:f>M1943*K1943</x:f>
        <x:v>0</x:v>
      </x:c>
      <x:c r="O1943" s="9" t="n">
        <x:f>M1943-N1943</x:f>
        <x:v>105</x:v>
      </x:c>
      <x:c r="P1943" s="9" t="n">
        <x:f>IF(D1943="Completed",L1943*J1943*(1-K1943),0)</x:f>
        <x:v>0</x:v>
      </x:c>
      <x:c r="Q1943" s="9" t="n">
        <x:f>O1943-P1943</x:f>
        <x:v>105</x:v>
      </x:c>
      <x:c r="R1943" s="11" t="n">
        <x:f>IF(D1943="Completed",I1943,0)</x:f>
        <x:v>3</x:v>
      </x:c>
      <x:c r="S1943" s="11" t="n">
        <x:f>IF(D1943="Completed",L1943,0)</x:f>
        <x:v>0</x:v>
      </x:c>
      <x:c r="T1943" s="8" t="n">
        <x:f>DATE(YEAR(C1943),MONTH(C1943),1)</x:f>
        <x:v>45992</x:v>
      </x:c>
    </x:row>
    <x:row r="1944" ht="22" customHeight="1">
      <x:c r="A1944" s="2" t="str">
        <x:v>L001940</x:v>
      </x:c>
      <x:c r="B1944" s="2" t="str">
        <x:v>O00791</x:v>
      </x:c>
      <x:c r="C1944" s="7" t="n">
        <x:v>46020</x:v>
      </x:c>
      <x:c r="D1944" s="2" t="str">
        <x:v>Completed</x:v>
      </x:c>
      <x:c r="E1944" s="2" t="str">
        <x:v>South</x:v>
      </x:c>
      <x:c r="F1944" s="2" t="str">
        <x:v>Store</x:v>
      </x:c>
      <x:c r="G1944" s="2" t="str">
        <x:v>Lighting</x:v>
      </x:c>
      <x:c r="H1944" s="2" t="str">
        <x:v>Lamp 021</x:v>
      </x:c>
      <x:c r="I1944" s="11" t="n">
        <x:v>2</x:v>
      </x:c>
      <x:c r="J1944" s="9" t="n">
        <x:v>249</x:v>
      </x:c>
      <x:c r="K1944" s="10" t="n">
        <x:v>0</x:v>
      </x:c>
      <x:c r="L1944" s="11" t="n">
        <x:v>1</x:v>
      </x:c>
      <x:c r="M1944" s="9" t="n">
        <x:f>IF(D1944="Completed",I1944*J1944,0)</x:f>
        <x:v>498</x:v>
      </x:c>
      <x:c r="N1944" s="9" t="n">
        <x:f>M1944*K1944</x:f>
        <x:v>0</x:v>
      </x:c>
      <x:c r="O1944" s="9" t="n">
        <x:f>M1944-N1944</x:f>
        <x:v>498</x:v>
      </x:c>
      <x:c r="P1944" s="9" t="n">
        <x:f>IF(D1944="Completed",L1944*J1944*(1-K1944),0)</x:f>
        <x:v>249</x:v>
      </x:c>
      <x:c r="Q1944" s="9" t="n">
        <x:f>O1944-P1944</x:f>
        <x:v>249</x:v>
      </x:c>
      <x:c r="R1944" s="11" t="n">
        <x:f>IF(D1944="Completed",I1944,0)</x:f>
        <x:v>2</x:v>
      </x:c>
      <x:c r="S1944" s="11" t="n">
        <x:f>IF(D1944="Completed",L1944,0)</x:f>
        <x:v>1</x:v>
      </x:c>
      <x:c r="T1944" s="8" t="n">
        <x:f>DATE(YEAR(C1944),MONTH(C1944),1)</x:f>
        <x:v>45992</x:v>
      </x:c>
    </x:row>
    <x:row r="1945" ht="22" customHeight="1">
      <x:c r="A1945" s="2" t="str">
        <x:v>L001941</x:v>
      </x:c>
      <x:c r="B1945" s="2" t="str">
        <x:v>O00791</x:v>
      </x:c>
      <x:c r="C1945" s="7" t="n">
        <x:v>46020</x:v>
      </x:c>
      <x:c r="D1945" s="2" t="str">
        <x:v>Completed</x:v>
      </x:c>
      <x:c r="E1945" s="2" t="str">
        <x:v>South</x:v>
      </x:c>
      <x:c r="F1945" s="2" t="str">
        <x:v>Store</x:v>
      </x:c>
      <x:c r="G1945" s="2" t="str">
        <x:v>Storage</x:v>
      </x:c>
      <x:c r="H1945" s="2" t="str">
        <x:v>Shelf 007</x:v>
      </x:c>
      <x:c r="I1945" s="11" t="n">
        <x:v>1</x:v>
      </x:c>
      <x:c r="J1945" s="9" t="n">
        <x:v>35</x:v>
      </x:c>
      <x:c r="K1945" s="10" t="n">
        <x:v>0.1</x:v>
      </x:c>
      <x:c r="L1945" s="11" t="n">
        <x:v>0</x:v>
      </x:c>
      <x:c r="M1945" s="9" t="n">
        <x:f>IF(D1945="Completed",I1945*J1945,0)</x:f>
        <x:v>35</x:v>
      </x:c>
      <x:c r="N1945" s="9" t="n">
        <x:f>M1945*K1945</x:f>
        <x:v>3.5</x:v>
      </x:c>
      <x:c r="O1945" s="9" t="n">
        <x:f>M1945-N1945</x:f>
        <x:v>31.5</x:v>
      </x:c>
      <x:c r="P1945" s="9" t="n">
        <x:f>IF(D1945="Completed",L1945*J1945*(1-K1945),0)</x:f>
        <x:v>0</x:v>
      </x:c>
      <x:c r="Q1945" s="9" t="n">
        <x:f>O1945-P1945</x:f>
        <x:v>31.5</x:v>
      </x:c>
      <x:c r="R1945" s="11" t="n">
        <x:f>IF(D1945="Completed",I1945,0)</x:f>
        <x:v>1</x:v>
      </x:c>
      <x:c r="S1945" s="11" t="n">
        <x:f>IF(D1945="Completed",L1945,0)</x:f>
        <x:v>0</x:v>
      </x:c>
      <x:c r="T1945" s="8" t="n">
        <x:f>DATE(YEAR(C1945),MONTH(C1945),1)</x:f>
        <x:v>45992</x:v>
      </x:c>
    </x:row>
    <x:row r="1946" ht="22" customHeight="1">
      <x:c r="A1946" s="2" t="str">
        <x:v>L001942</x:v>
      </x:c>
      <x:c r="B1946" s="2" t="str">
        <x:v>O00791</x:v>
      </x:c>
      <x:c r="C1946" s="7" t="n">
        <x:v>46020</x:v>
      </x:c>
      <x:c r="D1946" s="2" t="str">
        <x:v>Completed</x:v>
      </x:c>
      <x:c r="E1946" s="2" t="str">
        <x:v>South</x:v>
      </x:c>
      <x:c r="F1946" s="2" t="str">
        <x:v>Store</x:v>
      </x:c>
      <x:c r="G1946" s="2" t="str">
        <x:v>Furniture</x:v>
      </x:c>
      <x:c r="H1946" s="2" t="str">
        <x:v>Desk 004</x:v>
      </x:c>
      <x:c r="I1946" s="11" t="n">
        <x:v>3</x:v>
      </x:c>
      <x:c r="J1946" s="9" t="n">
        <x:v>123</x:v>
      </x:c>
      <x:c r="K1946" s="10" t="n">
        <x:v>0.1</x:v>
      </x:c>
      <x:c r="L1946" s="11" t="n">
        <x:v>0</x:v>
      </x:c>
      <x:c r="M1946" s="9" t="n">
        <x:f>IF(D1946="Completed",I1946*J1946,0)</x:f>
        <x:v>369</x:v>
      </x:c>
      <x:c r="N1946" s="9" t="n">
        <x:f>M1946*K1946</x:f>
        <x:v>36.9</x:v>
      </x:c>
      <x:c r="O1946" s="9" t="n">
        <x:f>M1946-N1946</x:f>
        <x:v>332.1</x:v>
      </x:c>
      <x:c r="P1946" s="9" t="n">
        <x:f>IF(D1946="Completed",L1946*J1946*(1-K1946),0)</x:f>
        <x:v>0</x:v>
      </x:c>
      <x:c r="Q1946" s="9" t="n">
        <x:f>O1946-P1946</x:f>
        <x:v>332.1</x:v>
      </x:c>
      <x:c r="R1946" s="11" t="n">
        <x:f>IF(D1946="Completed",I1946,0)</x:f>
        <x:v>3</x:v>
      </x:c>
      <x:c r="S1946" s="11" t="n">
        <x:f>IF(D1946="Completed",L1946,0)</x:f>
        <x:v>0</x:v>
      </x:c>
      <x:c r="T1946" s="8" t="n">
        <x:f>DATE(YEAR(C1946),MONTH(C1946),1)</x:f>
        <x:v>45992</x:v>
      </x:c>
    </x:row>
    <x:row r="1947" ht="22" customHeight="1">
      <x:c r="A1947" s="2" t="str">
        <x:v>L001943</x:v>
      </x:c>
      <x:c r="B1947" s="2" t="str">
        <x:v>O00792</x:v>
      </x:c>
      <x:c r="C1947" s="7" t="n">
        <x:v>45935</x:v>
      </x:c>
      <x:c r="D1947" s="2" t="str">
        <x:v>Completed</x:v>
      </x:c>
      <x:c r="E1947" s="2" t="str">
        <x:v>West</x:v>
      </x:c>
      <x:c r="F1947" s="2" t="str">
        <x:v>Online</x:v>
      </x:c>
      <x:c r="G1947" s="2" t="str">
        <x:v>Lighting</x:v>
      </x:c>
      <x:c r="H1947" s="2" t="str">
        <x:v>Lamp 017</x:v>
      </x:c>
      <x:c r="I1947" s="11" t="n">
        <x:v>2</x:v>
      </x:c>
      <x:c r="J1947" s="9" t="n">
        <x:v>300</x:v>
      </x:c>
      <x:c r="K1947" s="10" t="n">
        <x:v>0</x:v>
      </x:c>
      <x:c r="L1947" s="11" t="n">
        <x:v>0</x:v>
      </x:c>
      <x:c r="M1947" s="9" t="n">
        <x:f>IF(D1947="Completed",I1947*J1947,0)</x:f>
        <x:v>600</x:v>
      </x:c>
      <x:c r="N1947" s="9" t="n">
        <x:f>M1947*K1947</x:f>
        <x:v>0</x:v>
      </x:c>
      <x:c r="O1947" s="9" t="n">
        <x:f>M1947-N1947</x:f>
        <x:v>600</x:v>
      </x:c>
      <x:c r="P1947" s="9" t="n">
        <x:f>IF(D1947="Completed",L1947*J1947*(1-K1947),0)</x:f>
        <x:v>0</x:v>
      </x:c>
      <x:c r="Q1947" s="9" t="n">
        <x:f>O1947-P1947</x:f>
        <x:v>600</x:v>
      </x:c>
      <x:c r="R1947" s="11" t="n">
        <x:f>IF(D1947="Completed",I1947,0)</x:f>
        <x:v>2</x:v>
      </x:c>
      <x:c r="S1947" s="11" t="n">
        <x:f>IF(D1947="Completed",L1947,0)</x:f>
        <x:v>0</x:v>
      </x:c>
      <x:c r="T1947" s="8" t="n">
        <x:f>DATE(YEAR(C1947),MONTH(C1947),1)</x:f>
        <x:v>45931</x:v>
      </x:c>
    </x:row>
    <x:row r="1948" ht="22" customHeight="1">
      <x:c r="A1948" s="2" t="str">
        <x:v>L001944</x:v>
      </x:c>
      <x:c r="B1948" s="2" t="str">
        <x:v>O00792</x:v>
      </x:c>
      <x:c r="C1948" s="7" t="n">
        <x:v>45935</x:v>
      </x:c>
      <x:c r="D1948" s="2" t="str">
        <x:v>Completed</x:v>
      </x:c>
      <x:c r="E1948" s="2" t="str">
        <x:v>West</x:v>
      </x:c>
      <x:c r="F1948" s="2" t="str">
        <x:v>Online</x:v>
      </x:c>
      <x:c r="G1948" s="2" t="str">
        <x:v>Storage</x:v>
      </x:c>
      <x:c r="H1948" s="2" t="str">
        <x:v>Shelf 007</x:v>
      </x:c>
      <x:c r="I1948" s="11" t="n">
        <x:v>4</x:v>
      </x:c>
      <x:c r="J1948" s="9" t="n">
        <x:v>35</x:v>
      </x:c>
      <x:c r="K1948" s="10" t="n">
        <x:v>0.2</x:v>
      </x:c>
      <x:c r="L1948" s="11" t="n">
        <x:v>2</x:v>
      </x:c>
      <x:c r="M1948" s="9" t="n">
        <x:f>IF(D1948="Completed",I1948*J1948,0)</x:f>
        <x:v>140</x:v>
      </x:c>
      <x:c r="N1948" s="9" t="n">
        <x:f>M1948*K1948</x:f>
        <x:v>28</x:v>
      </x:c>
      <x:c r="O1948" s="9" t="n">
        <x:f>M1948-N1948</x:f>
        <x:v>112</x:v>
      </x:c>
      <x:c r="P1948" s="9" t="n">
        <x:f>IF(D1948="Completed",L1948*J1948*(1-K1948),0)</x:f>
        <x:v>56</x:v>
      </x:c>
      <x:c r="Q1948" s="9" t="n">
        <x:f>O1948-P1948</x:f>
        <x:v>56</x:v>
      </x:c>
      <x:c r="R1948" s="11" t="n">
        <x:f>IF(D1948="Completed",I1948,0)</x:f>
        <x:v>4</x:v>
      </x:c>
      <x:c r="S1948" s="11" t="n">
        <x:f>IF(D1948="Completed",L1948,0)</x:f>
        <x:v>2</x:v>
      </x:c>
      <x:c r="T1948" s="8" t="n">
        <x:f>DATE(YEAR(C1948),MONTH(C1948),1)</x:f>
        <x:v>45931</x:v>
      </x:c>
    </x:row>
    <x:row r="1949" ht="22" customHeight="1">
      <x:c r="A1949" s="2" t="str">
        <x:v>L001945</x:v>
      </x:c>
      <x:c r="B1949" s="2" t="str">
        <x:v>O00792</x:v>
      </x:c>
      <x:c r="C1949" s="7" t="n">
        <x:v>45935</x:v>
      </x:c>
      <x:c r="D1949" s="2" t="str">
        <x:v>Completed</x:v>
      </x:c>
      <x:c r="E1949" s="2" t="str">
        <x:v>West</x:v>
      </x:c>
      <x:c r="F1949" s="2" t="str">
        <x:v>Online</x:v>
      </x:c>
      <x:c r="G1949" s="2" t="str">
        <x:v>Furniture</x:v>
      </x:c>
      <x:c r="H1949" s="2" t="str">
        <x:v>Desk 008</x:v>
      </x:c>
      <x:c r="I1949" s="11" t="n">
        <x:v>5</x:v>
      </x:c>
      <x:c r="J1949" s="9" t="n">
        <x:v>188</x:v>
      </x:c>
      <x:c r="K1949" s="10" t="n">
        <x:v>0.2</x:v>
      </x:c>
      <x:c r="L1949" s="11" t="n">
        <x:v>0</x:v>
      </x:c>
      <x:c r="M1949" s="9" t="n">
        <x:f>IF(D1949="Completed",I1949*J1949,0)</x:f>
        <x:v>940</x:v>
      </x:c>
      <x:c r="N1949" s="9" t="n">
        <x:f>M1949*K1949</x:f>
        <x:v>188</x:v>
      </x:c>
      <x:c r="O1949" s="9" t="n">
        <x:f>M1949-N1949</x:f>
        <x:v>752</x:v>
      </x:c>
      <x:c r="P1949" s="9" t="n">
        <x:f>IF(D1949="Completed",L1949*J1949*(1-K1949),0)</x:f>
        <x:v>0</x:v>
      </x:c>
      <x:c r="Q1949" s="9" t="n">
        <x:f>O1949-P1949</x:f>
        <x:v>752</x:v>
      </x:c>
      <x:c r="R1949" s="11" t="n">
        <x:f>IF(D1949="Completed",I1949,0)</x:f>
        <x:v>5</x:v>
      </x:c>
      <x:c r="S1949" s="11" t="n">
        <x:f>IF(D1949="Completed",L1949,0)</x:f>
        <x:v>0</x:v>
      </x:c>
      <x:c r="T1949" s="8" t="n">
        <x:f>DATE(YEAR(C1949),MONTH(C1949),1)</x:f>
        <x:v>45931</x:v>
      </x:c>
    </x:row>
    <x:row r="1950" ht="22" customHeight="1">
      <x:c r="A1950" s="2" t="str">
        <x:v>L001946</x:v>
      </x:c>
      <x:c r="B1950" s="2" t="str">
        <x:v>O00792</x:v>
      </x:c>
      <x:c r="C1950" s="7" t="n">
        <x:v>45935</x:v>
      </x:c>
      <x:c r="D1950" s="2" t="str">
        <x:v>Completed</x:v>
      </x:c>
      <x:c r="E1950" s="2" t="str">
        <x:v>West</x:v>
      </x:c>
      <x:c r="F1950" s="2" t="str">
        <x:v>Online</x:v>
      </x:c>
      <x:c r="G1950" s="2" t="str">
        <x:v>Furniture</x:v>
      </x:c>
      <x:c r="H1950" s="2" t="str">
        <x:v>Chair 022</x:v>
      </x:c>
      <x:c r="I1950" s="11" t="n">
        <x:v>1</x:v>
      </x:c>
      <x:c r="J1950" s="9" t="n">
        <x:v>134</x:v>
      </x:c>
      <x:c r="K1950" s="10" t="n">
        <x:v>0.05</x:v>
      </x:c>
      <x:c r="L1950" s="11" t="n">
        <x:v>1</x:v>
      </x:c>
      <x:c r="M1950" s="9" t="n">
        <x:f>IF(D1950="Completed",I1950*J1950,0)</x:f>
        <x:v>134</x:v>
      </x:c>
      <x:c r="N1950" s="9" t="n">
        <x:f>M1950*K1950</x:f>
        <x:v>6.7</x:v>
      </x:c>
      <x:c r="O1950" s="9" t="n">
        <x:f>M1950-N1950</x:f>
        <x:v>127.3</x:v>
      </x:c>
      <x:c r="P1950" s="9" t="n">
        <x:f>IF(D1950="Completed",L1950*J1950*(1-K1950),0)</x:f>
        <x:v>127.3</x:v>
      </x:c>
      <x:c r="Q1950" s="9" t="n">
        <x:f>O1950-P1950</x:f>
        <x:v>0</x:v>
      </x:c>
      <x:c r="R1950" s="11" t="n">
        <x:f>IF(D1950="Completed",I1950,0)</x:f>
        <x:v>1</x:v>
      </x:c>
      <x:c r="S1950" s="11" t="n">
        <x:f>IF(D1950="Completed",L1950,0)</x:f>
        <x:v>1</x:v>
      </x:c>
      <x:c r="T1950" s="8" t="n">
        <x:f>DATE(YEAR(C1950),MONTH(C1950),1)</x:f>
        <x:v>45931</x:v>
      </x:c>
    </x:row>
    <x:row r="1951" ht="22" customHeight="1">
      <x:c r="A1951" s="2" t="str">
        <x:v>L001947</x:v>
      </x:c>
      <x:c r="B1951" s="2" t="str">
        <x:v>O00793</x:v>
      </x:c>
      <x:c r="C1951" s="7" t="n">
        <x:v>45827</x:v>
      </x:c>
      <x:c r="D1951" s="2" t="str">
        <x:v>Completed</x:v>
      </x:c>
      <x:c r="E1951" s="2" t="str">
        <x:v>South</x:v>
      </x:c>
      <x:c r="F1951" s="2" t="str">
        <x:v>Online</x:v>
      </x:c>
      <x:c r="G1951" s="2" t="str">
        <x:v>Storage</x:v>
      </x:c>
      <x:c r="H1951" s="2" t="str">
        <x:v>Shelf 023</x:v>
      </x:c>
      <x:c r="I1951" s="11" t="n">
        <x:v>4</x:v>
      </x:c>
      <x:c r="J1951" s="9" t="n">
        <x:v>68</x:v>
      </x:c>
      <x:c r="K1951" s="10" t="n">
        <x:v>0.1</x:v>
      </x:c>
      <x:c r="L1951" s="11" t="n">
        <x:v>0</x:v>
      </x:c>
      <x:c r="M1951" s="9" t="n">
        <x:f>IF(D1951="Completed",I1951*J1951,0)</x:f>
        <x:v>272</x:v>
      </x:c>
      <x:c r="N1951" s="9" t="n">
        <x:f>M1951*K1951</x:f>
        <x:v>27.200000000000003</x:v>
      </x:c>
      <x:c r="O1951" s="9" t="n">
        <x:f>M1951-N1951</x:f>
        <x:v>244.8</x:v>
      </x:c>
      <x:c r="P1951" s="9" t="n">
        <x:f>IF(D1951="Completed",L1951*J1951*(1-K1951),0)</x:f>
        <x:v>0</x:v>
      </x:c>
      <x:c r="Q1951" s="9" t="n">
        <x:f>O1951-P1951</x:f>
        <x:v>244.8</x:v>
      </x:c>
      <x:c r="R1951" s="11" t="n">
        <x:f>IF(D1951="Completed",I1951,0)</x:f>
        <x:v>4</x:v>
      </x:c>
      <x:c r="S1951" s="11" t="n">
        <x:f>IF(D1951="Completed",L1951,0)</x:f>
        <x:v>0</x:v>
      </x:c>
      <x:c r="T1951" s="8" t="n">
        <x:f>DATE(YEAR(C1951),MONTH(C1951),1)</x:f>
        <x:v>45809</x:v>
      </x:c>
    </x:row>
    <x:row r="1952" ht="22" customHeight="1">
      <x:c r="A1952" s="2" t="str">
        <x:v>L001948</x:v>
      </x:c>
      <x:c r="B1952" s="2" t="str">
        <x:v>O00793</x:v>
      </x:c>
      <x:c r="C1952" s="7" t="n">
        <x:v>45827</x:v>
      </x:c>
      <x:c r="D1952" s="2" t="str">
        <x:v>Completed</x:v>
      </x:c>
      <x:c r="E1952" s="2" t="str">
        <x:v>South</x:v>
      </x:c>
      <x:c r="F1952" s="2" t="str">
        <x:v>Online</x:v>
      </x:c>
      <x:c r="G1952" s="2" t="str">
        <x:v>Storage</x:v>
      </x:c>
      <x:c r="H1952" s="2" t="str">
        <x:v>Shelf 015</x:v>
      </x:c>
      <x:c r="I1952" s="11" t="n">
        <x:v>3</x:v>
      </x:c>
      <x:c r="J1952" s="9" t="n">
        <x:v>254</x:v>
      </x:c>
      <x:c r="K1952" s="10" t="n">
        <x:v>0.2</x:v>
      </x:c>
      <x:c r="L1952" s="11" t="n">
        <x:v>0</x:v>
      </x:c>
      <x:c r="M1952" s="9" t="n">
        <x:f>IF(D1952="Completed",I1952*J1952,0)</x:f>
        <x:v>762</x:v>
      </x:c>
      <x:c r="N1952" s="9" t="n">
        <x:f>M1952*K1952</x:f>
        <x:v>152.4</x:v>
      </x:c>
      <x:c r="O1952" s="9" t="n">
        <x:f>M1952-N1952</x:f>
        <x:v>609.6</x:v>
      </x:c>
      <x:c r="P1952" s="9" t="n">
        <x:f>IF(D1952="Completed",L1952*J1952*(1-K1952),0)</x:f>
        <x:v>0</x:v>
      </x:c>
      <x:c r="Q1952" s="9" t="n">
        <x:f>O1952-P1952</x:f>
        <x:v>609.6</x:v>
      </x:c>
      <x:c r="R1952" s="11" t="n">
        <x:f>IF(D1952="Completed",I1952,0)</x:f>
        <x:v>3</x:v>
      </x:c>
      <x:c r="S1952" s="11" t="n">
        <x:f>IF(D1952="Completed",L1952,0)</x:f>
        <x:v>0</x:v>
      </x:c>
      <x:c r="T1952" s="8" t="n">
        <x:f>DATE(YEAR(C1952),MONTH(C1952),1)</x:f>
        <x:v>45809</x:v>
      </x:c>
    </x:row>
    <x:row r="1953" ht="22" customHeight="1">
      <x:c r="A1953" s="2" t="str">
        <x:v>L001949</x:v>
      </x:c>
      <x:c r="B1953" s="2" t="str">
        <x:v>O00793</x:v>
      </x:c>
      <x:c r="C1953" s="7" t="n">
        <x:v>45827</x:v>
      </x:c>
      <x:c r="D1953" s="2" t="str">
        <x:v>Completed</x:v>
      </x:c>
      <x:c r="E1953" s="2" t="str">
        <x:v>South</x:v>
      </x:c>
      <x:c r="F1953" s="2" t="str">
        <x:v>Online</x:v>
      </x:c>
      <x:c r="G1953" s="2" t="str">
        <x:v>Furniture</x:v>
      </x:c>
      <x:c r="H1953" s="2" t="str">
        <x:v>Chair 022</x:v>
      </x:c>
      <x:c r="I1953" s="11" t="n">
        <x:v>3</x:v>
      </x:c>
      <x:c r="J1953" s="9" t="n">
        <x:v>134</x:v>
      </x:c>
      <x:c r="K1953" s="10" t="n">
        <x:v>0.1</x:v>
      </x:c>
      <x:c r="L1953" s="11" t="n">
        <x:v>0</x:v>
      </x:c>
      <x:c r="M1953" s="9" t="n">
        <x:f>IF(D1953="Completed",I1953*J1953,0)</x:f>
        <x:v>402</x:v>
      </x:c>
      <x:c r="N1953" s="9" t="n">
        <x:f>M1953*K1953</x:f>
        <x:v>40.2</x:v>
      </x:c>
      <x:c r="O1953" s="9" t="n">
        <x:f>M1953-N1953</x:f>
        <x:v>361.8</x:v>
      </x:c>
      <x:c r="P1953" s="9" t="n">
        <x:f>IF(D1953="Completed",L1953*J1953*(1-K1953),0)</x:f>
        <x:v>0</x:v>
      </x:c>
      <x:c r="Q1953" s="9" t="n">
        <x:f>O1953-P1953</x:f>
        <x:v>361.8</x:v>
      </x:c>
      <x:c r="R1953" s="11" t="n">
        <x:f>IF(D1953="Completed",I1953,0)</x:f>
        <x:v>3</x:v>
      </x:c>
      <x:c r="S1953" s="11" t="n">
        <x:f>IF(D1953="Completed",L1953,0)</x:f>
        <x:v>0</x:v>
      </x:c>
      <x:c r="T1953" s="8" t="n">
        <x:f>DATE(YEAR(C1953),MONTH(C1953),1)</x:f>
        <x:v>45809</x:v>
      </x:c>
    </x:row>
    <x:row r="1954" ht="22" customHeight="1">
      <x:c r="A1954" s="2" t="str">
        <x:v>L001950</x:v>
      </x:c>
      <x:c r="B1954" s="2" t="str">
        <x:v>O00793</x:v>
      </x:c>
      <x:c r="C1954" s="7" t="n">
        <x:v>45827</x:v>
      </x:c>
      <x:c r="D1954" s="2" t="str">
        <x:v>Completed</x:v>
      </x:c>
      <x:c r="E1954" s="2" t="str">
        <x:v>South</x:v>
      </x:c>
      <x:c r="F1954" s="2" t="str">
        <x:v>Online</x:v>
      </x:c>
      <x:c r="G1954" s="2" t="str">
        <x:v>Storage</x:v>
      </x:c>
      <x:c r="H1954" s="2" t="str">
        <x:v>Shelf 019</x:v>
      </x:c>
      <x:c r="I1954" s="11" t="n">
        <x:v>2</x:v>
      </x:c>
      <x:c r="J1954" s="9" t="n">
        <x:v>78</x:v>
      </x:c>
      <x:c r="K1954" s="10" t="n">
        <x:v>0.05</x:v>
      </x:c>
      <x:c r="L1954" s="11" t="n">
        <x:v>0</x:v>
      </x:c>
      <x:c r="M1954" s="9" t="n">
        <x:f>IF(D1954="Completed",I1954*J1954,0)</x:f>
        <x:v>156</x:v>
      </x:c>
      <x:c r="N1954" s="9" t="n">
        <x:f>M1954*K1954</x:f>
        <x:v>7.800000000000001</x:v>
      </x:c>
      <x:c r="O1954" s="9" t="n">
        <x:f>M1954-N1954</x:f>
        <x:v>148.2</x:v>
      </x:c>
      <x:c r="P1954" s="9" t="n">
        <x:f>IF(D1954="Completed",L1954*J1954*(1-K1954),0)</x:f>
        <x:v>0</x:v>
      </x:c>
      <x:c r="Q1954" s="9" t="n">
        <x:f>O1954-P1954</x:f>
        <x:v>148.2</x:v>
      </x:c>
      <x:c r="R1954" s="11" t="n">
        <x:f>IF(D1954="Completed",I1954,0)</x:f>
        <x:v>2</x:v>
      </x:c>
      <x:c r="S1954" s="11" t="n">
        <x:f>IF(D1954="Completed",L1954,0)</x:f>
        <x:v>0</x:v>
      </x:c>
      <x:c r="T1954" s="8" t="n">
        <x:f>DATE(YEAR(C1954),MONTH(C1954),1)</x:f>
        <x:v>45809</x:v>
      </x:c>
    </x:row>
    <x:row r="1955" ht="22" customHeight="1">
      <x:c r="A1955" s="2" t="str">
        <x:v>L001951</x:v>
      </x:c>
      <x:c r="B1955" s="2" t="str">
        <x:v>O00794</x:v>
      </x:c>
      <x:c r="C1955" s="7" t="n">
        <x:v>45689</x:v>
      </x:c>
      <x:c r="D1955" s="2" t="str">
        <x:v>Completed</x:v>
      </x:c>
      <x:c r="E1955" s="2" t="str">
        <x:v>South</x:v>
      </x:c>
      <x:c r="F1955" s="2" t="str">
        <x:v>Store</x:v>
      </x:c>
      <x:c r="G1955" s="2" t="str">
        <x:v>Storage</x:v>
      </x:c>
      <x:c r="H1955" s="2" t="str">
        <x:v>Shelf 011</x:v>
      </x:c>
      <x:c r="I1955" s="11" t="n">
        <x:v>1</x:v>
      </x:c>
      <x:c r="J1955" s="9" t="n">
        <x:v>80</x:v>
      </x:c>
      <x:c r="K1955" s="10" t="n">
        <x:v>0.2</x:v>
      </x:c>
      <x:c r="L1955" s="11" t="n">
        <x:v>0</x:v>
      </x:c>
      <x:c r="M1955" s="9" t="n">
        <x:f>IF(D1955="Completed",I1955*J1955,0)</x:f>
        <x:v>80</x:v>
      </x:c>
      <x:c r="N1955" s="9" t="n">
        <x:f>M1955*K1955</x:f>
        <x:v>16</x:v>
      </x:c>
      <x:c r="O1955" s="9" t="n">
        <x:f>M1955-N1955</x:f>
        <x:v>64</x:v>
      </x:c>
      <x:c r="P1955" s="9" t="n">
        <x:f>IF(D1955="Completed",L1955*J1955*(1-K1955),0)</x:f>
        <x:v>0</x:v>
      </x:c>
      <x:c r="Q1955" s="9" t="n">
        <x:f>O1955-P1955</x:f>
        <x:v>64</x:v>
      </x:c>
      <x:c r="R1955" s="11" t="n">
        <x:f>IF(D1955="Completed",I1955,0)</x:f>
        <x:v>1</x:v>
      </x:c>
      <x:c r="S1955" s="11" t="n">
        <x:f>IF(D1955="Completed",L1955,0)</x:f>
        <x:v>0</x:v>
      </x:c>
      <x:c r="T1955" s="8" t="n">
        <x:f>DATE(YEAR(C1955),MONTH(C1955),1)</x:f>
        <x:v>45689</x:v>
      </x:c>
    </x:row>
    <x:row r="1956" ht="22" customHeight="1">
      <x:c r="A1956" s="2" t="str">
        <x:v>L001952</x:v>
      </x:c>
      <x:c r="B1956" s="2" t="str">
        <x:v>O00795</x:v>
      </x:c>
      <x:c r="C1956" s="7" t="n">
        <x:v>45916</x:v>
      </x:c>
      <x:c r="D1956" s="2" t="str">
        <x:v>Completed</x:v>
      </x:c>
      <x:c r="E1956" s="2" t="str">
        <x:v>South</x:v>
      </x:c>
      <x:c r="F1956" s="2" t="str">
        <x:v>Online</x:v>
      </x:c>
      <x:c r="G1956" s="2" t="str">
        <x:v>Furniture</x:v>
      </x:c>
      <x:c r="H1956" s="2" t="str">
        <x:v>Chair 014</x:v>
      </x:c>
      <x:c r="I1956" s="11" t="n">
        <x:v>3</x:v>
      </x:c>
      <x:c r="J1956" s="9" t="n">
        <x:v>294</x:v>
      </x:c>
      <x:c r="K1956" s="10" t="n">
        <x:v>0.05</x:v>
      </x:c>
      <x:c r="L1956" s="11" t="n">
        <x:v>0</x:v>
      </x:c>
      <x:c r="M1956" s="9" t="n">
        <x:f>IF(D1956="Completed",I1956*J1956,0)</x:f>
        <x:v>882</x:v>
      </x:c>
      <x:c r="N1956" s="9" t="n">
        <x:f>M1956*K1956</x:f>
        <x:v>44.1</x:v>
      </x:c>
      <x:c r="O1956" s="9" t="n">
        <x:f>M1956-N1956</x:f>
        <x:v>837.9</x:v>
      </x:c>
      <x:c r="P1956" s="9" t="n">
        <x:f>IF(D1956="Completed",L1956*J1956*(1-K1956),0)</x:f>
        <x:v>0</x:v>
      </x:c>
      <x:c r="Q1956" s="9" t="n">
        <x:f>O1956-P1956</x:f>
        <x:v>837.9</x:v>
      </x:c>
      <x:c r="R1956" s="11" t="n">
        <x:f>IF(D1956="Completed",I1956,0)</x:f>
        <x:v>3</x:v>
      </x:c>
      <x:c r="S1956" s="11" t="n">
        <x:f>IF(D1956="Completed",L1956,0)</x:f>
        <x:v>0</x:v>
      </x:c>
      <x:c r="T1956" s="8" t="n">
        <x:f>DATE(YEAR(C1956),MONTH(C1956),1)</x:f>
        <x:v>45901</x:v>
      </x:c>
    </x:row>
    <x:row r="1957" ht="22" customHeight="1">
      <x:c r="A1957" s="2" t="str">
        <x:v>L001953</x:v>
      </x:c>
      <x:c r="B1957" s="2" t="str">
        <x:v>O00795</x:v>
      </x:c>
      <x:c r="C1957" s="7" t="n">
        <x:v>45916</x:v>
      </x:c>
      <x:c r="D1957" s="2" t="str">
        <x:v>Completed</x:v>
      </x:c>
      <x:c r="E1957" s="2" t="str">
        <x:v>South</x:v>
      </x:c>
      <x:c r="F1957" s="2" t="str">
        <x:v>Online</x:v>
      </x:c>
      <x:c r="G1957" s="2" t="str">
        <x:v>Lighting</x:v>
      </x:c>
      <x:c r="H1957" s="2" t="str">
        <x:v>Lamp 013</x:v>
      </x:c>
      <x:c r="I1957" s="11" t="n">
        <x:v>1</x:v>
      </x:c>
      <x:c r="J1957" s="9" t="n">
        <x:v>271</x:v>
      </x:c>
      <x:c r="K1957" s="10" t="n">
        <x:v>0.2</x:v>
      </x:c>
      <x:c r="L1957" s="11" t="n">
        <x:v>0</x:v>
      </x:c>
      <x:c r="M1957" s="9" t="n">
        <x:f>IF(D1957="Completed",I1957*J1957,0)</x:f>
        <x:v>271</x:v>
      </x:c>
      <x:c r="N1957" s="9" t="n">
        <x:f>M1957*K1957</x:f>
        <x:v>54.2</x:v>
      </x:c>
      <x:c r="O1957" s="9" t="n">
        <x:f>M1957-N1957</x:f>
        <x:v>216.8</x:v>
      </x:c>
      <x:c r="P1957" s="9" t="n">
        <x:f>IF(D1957="Completed",L1957*J1957*(1-K1957),0)</x:f>
        <x:v>0</x:v>
      </x:c>
      <x:c r="Q1957" s="9" t="n">
        <x:f>O1957-P1957</x:f>
        <x:v>216.8</x:v>
      </x:c>
      <x:c r="R1957" s="11" t="n">
        <x:f>IF(D1957="Completed",I1957,0)</x:f>
        <x:v>1</x:v>
      </x:c>
      <x:c r="S1957" s="11" t="n">
        <x:f>IF(D1957="Completed",L1957,0)</x:f>
        <x:v>0</x:v>
      </x:c>
      <x:c r="T1957" s="8" t="n">
        <x:f>DATE(YEAR(C1957),MONTH(C1957),1)</x:f>
        <x:v>45901</x:v>
      </x:c>
    </x:row>
    <x:row r="1958" ht="22" customHeight="1">
      <x:c r="A1958" s="2" t="str">
        <x:v>L001954</x:v>
      </x:c>
      <x:c r="B1958" s="2" t="str">
        <x:v>O00795</x:v>
      </x:c>
      <x:c r="C1958" s="7" t="n">
        <x:v>45916</x:v>
      </x:c>
      <x:c r="D1958" s="2" t="str">
        <x:v>Completed</x:v>
      </x:c>
      <x:c r="E1958" s="2" t="str">
        <x:v>South</x:v>
      </x:c>
      <x:c r="F1958" s="2" t="str">
        <x:v>Online</x:v>
      </x:c>
      <x:c r="G1958" s="2" t="str">
        <x:v>Furniture</x:v>
      </x:c>
      <x:c r="H1958" s="2" t="str">
        <x:v>Desk 004</x:v>
      </x:c>
      <x:c r="I1958" s="11" t="n">
        <x:v>1</x:v>
      </x:c>
      <x:c r="J1958" s="9" t="n">
        <x:v>123</x:v>
      </x:c>
      <x:c r="K1958" s="10" t="n">
        <x:v>0.2</x:v>
      </x:c>
      <x:c r="L1958" s="11" t="n">
        <x:v>0</x:v>
      </x:c>
      <x:c r="M1958" s="9" t="n">
        <x:f>IF(D1958="Completed",I1958*J1958,0)</x:f>
        <x:v>123</x:v>
      </x:c>
      <x:c r="N1958" s="9" t="n">
        <x:f>M1958*K1958</x:f>
        <x:v>24.6</x:v>
      </x:c>
      <x:c r="O1958" s="9" t="n">
        <x:f>M1958-N1958</x:f>
        <x:v>98.4</x:v>
      </x:c>
      <x:c r="P1958" s="9" t="n">
        <x:f>IF(D1958="Completed",L1958*J1958*(1-K1958),0)</x:f>
        <x:v>0</x:v>
      </x:c>
      <x:c r="Q1958" s="9" t="n">
        <x:f>O1958-P1958</x:f>
        <x:v>98.4</x:v>
      </x:c>
      <x:c r="R1958" s="11" t="n">
        <x:f>IF(D1958="Completed",I1958,0)</x:f>
        <x:v>1</x:v>
      </x:c>
      <x:c r="S1958" s="11" t="n">
        <x:f>IF(D1958="Completed",L1958,0)</x:f>
        <x:v>0</x:v>
      </x:c>
      <x:c r="T1958" s="8" t="n">
        <x:f>DATE(YEAR(C1958),MONTH(C1958),1)</x:f>
        <x:v>45901</x:v>
      </x:c>
    </x:row>
    <x:row r="1959" ht="22" customHeight="1">
      <x:c r="A1959" s="2" t="str">
        <x:v>L001955</x:v>
      </x:c>
      <x:c r="B1959" s="2" t="str">
        <x:v>O00796</x:v>
      </x:c>
      <x:c r="C1959" s="7" t="n">
        <x:v>45662</x:v>
      </x:c>
      <x:c r="D1959" s="2" t="str">
        <x:v>Completed</x:v>
      </x:c>
      <x:c r="E1959" s="2" t="str">
        <x:v>East</x:v>
      </x:c>
      <x:c r="F1959" s="2" t="str">
        <x:v>Online</x:v>
      </x:c>
      <x:c r="G1959" s="2" t="str">
        <x:v>Storage</x:v>
      </x:c>
      <x:c r="H1959" s="2" t="str">
        <x:v>Shelf 019</x:v>
      </x:c>
      <x:c r="I1959" s="11" t="n">
        <x:v>4</x:v>
      </x:c>
      <x:c r="J1959" s="9" t="n">
        <x:v>78</x:v>
      </x:c>
      <x:c r="K1959" s="10" t="n">
        <x:v>0.1</x:v>
      </x:c>
      <x:c r="L1959" s="11" t="n">
        <x:v>0</x:v>
      </x:c>
      <x:c r="M1959" s="9" t="n">
        <x:f>IF(D1959="Completed",I1959*J1959,0)</x:f>
        <x:v>312</x:v>
      </x:c>
      <x:c r="N1959" s="9" t="n">
        <x:f>M1959*K1959</x:f>
        <x:v>31.200000000000003</x:v>
      </x:c>
      <x:c r="O1959" s="9" t="n">
        <x:f>M1959-N1959</x:f>
        <x:v>280.8</x:v>
      </x:c>
      <x:c r="P1959" s="9" t="n">
        <x:f>IF(D1959="Completed",L1959*J1959*(1-K1959),0)</x:f>
        <x:v>0</x:v>
      </x:c>
      <x:c r="Q1959" s="9" t="n">
        <x:f>O1959-P1959</x:f>
        <x:v>280.8</x:v>
      </x:c>
      <x:c r="R1959" s="11" t="n">
        <x:f>IF(D1959="Completed",I1959,0)</x:f>
        <x:v>4</x:v>
      </x:c>
      <x:c r="S1959" s="11" t="n">
        <x:f>IF(D1959="Completed",L1959,0)</x:f>
        <x:v>0</x:v>
      </x:c>
      <x:c r="T1959" s="8" t="n">
        <x:f>DATE(YEAR(C1959),MONTH(C1959),1)</x:f>
        <x:v>45658</x:v>
      </x:c>
    </x:row>
    <x:row r="1960" ht="22" customHeight="1">
      <x:c r="A1960" s="2" t="str">
        <x:v>L001956</x:v>
      </x:c>
      <x:c r="B1960" s="2" t="str">
        <x:v>O00797</x:v>
      </x:c>
      <x:c r="C1960" s="7" t="n">
        <x:v>45910</x:v>
      </x:c>
      <x:c r="D1960" s="2" t="str">
        <x:v>Completed</x:v>
      </x:c>
      <x:c r="E1960" s="2" t="str">
        <x:v>East</x:v>
      </x:c>
      <x:c r="F1960" s="2" t="str">
        <x:v>Online</x:v>
      </x:c>
      <x:c r="G1960" s="2" t="str">
        <x:v>Furniture</x:v>
      </x:c>
      <x:c r="H1960" s="2" t="str">
        <x:v>Chair 006</x:v>
      </x:c>
      <x:c r="I1960" s="11" t="n">
        <x:v>5</x:v>
      </x:c>
      <x:c r="J1960" s="9" t="n">
        <x:v>196</x:v>
      </x:c>
      <x:c r="K1960" s="10" t="n">
        <x:v>0.2</x:v>
      </x:c>
      <x:c r="L1960" s="11" t="n">
        <x:v>0</x:v>
      </x:c>
      <x:c r="M1960" s="9" t="n">
        <x:f>IF(D1960="Completed",I1960*J1960,0)</x:f>
        <x:v>980</x:v>
      </x:c>
      <x:c r="N1960" s="9" t="n">
        <x:f>M1960*K1960</x:f>
        <x:v>196</x:v>
      </x:c>
      <x:c r="O1960" s="9" t="n">
        <x:f>M1960-N1960</x:f>
        <x:v>784</x:v>
      </x:c>
      <x:c r="P1960" s="9" t="n">
        <x:f>IF(D1960="Completed",L1960*J1960*(1-K1960),0)</x:f>
        <x:v>0</x:v>
      </x:c>
      <x:c r="Q1960" s="9" t="n">
        <x:f>O1960-P1960</x:f>
        <x:v>784</x:v>
      </x:c>
      <x:c r="R1960" s="11" t="n">
        <x:f>IF(D1960="Completed",I1960,0)</x:f>
        <x:v>5</x:v>
      </x:c>
      <x:c r="S1960" s="11" t="n">
        <x:f>IF(D1960="Completed",L1960,0)</x:f>
        <x:v>0</x:v>
      </x:c>
      <x:c r="T1960" s="8" t="n">
        <x:f>DATE(YEAR(C1960),MONTH(C1960),1)</x:f>
        <x:v>45901</x:v>
      </x:c>
    </x:row>
    <x:row r="1961" ht="22" customHeight="1">
      <x:c r="A1961" s="2" t="str">
        <x:v>L001957</x:v>
      </x:c>
      <x:c r="B1961" s="2" t="str">
        <x:v>O00798</x:v>
      </x:c>
      <x:c r="C1961" s="7" t="n">
        <x:v>45758</x:v>
      </x:c>
      <x:c r="D1961" s="2" t="str">
        <x:v>Completed</x:v>
      </x:c>
      <x:c r="E1961" s="2" t="str">
        <x:v>West</x:v>
      </x:c>
      <x:c r="F1961" s="2" t="str">
        <x:v>Online</x:v>
      </x:c>
      <x:c r="G1961" s="2" t="str">
        <x:v>Furniture</x:v>
      </x:c>
      <x:c r="H1961" s="2" t="str">
        <x:v>Chair 014</x:v>
      </x:c>
      <x:c r="I1961" s="11" t="n">
        <x:v>4</x:v>
      </x:c>
      <x:c r="J1961" s="9" t="n">
        <x:v>294</x:v>
      </x:c>
      <x:c r="K1961" s="10" t="n">
        <x:v>0.2</x:v>
      </x:c>
      <x:c r="L1961" s="11" t="n">
        <x:v>0</x:v>
      </x:c>
      <x:c r="M1961" s="9" t="n">
        <x:f>IF(D1961="Completed",I1961*J1961,0)</x:f>
        <x:v>1176</x:v>
      </x:c>
      <x:c r="N1961" s="9" t="n">
        <x:f>M1961*K1961</x:f>
        <x:v>235.20000000000002</x:v>
      </x:c>
      <x:c r="O1961" s="9" t="n">
        <x:f>M1961-N1961</x:f>
        <x:v>940.8</x:v>
      </x:c>
      <x:c r="P1961" s="9" t="n">
        <x:f>IF(D1961="Completed",L1961*J1961*(1-K1961),0)</x:f>
        <x:v>0</x:v>
      </x:c>
      <x:c r="Q1961" s="9" t="n">
        <x:f>O1961-P1961</x:f>
        <x:v>940.8</x:v>
      </x:c>
      <x:c r="R1961" s="11" t="n">
        <x:f>IF(D1961="Completed",I1961,0)</x:f>
        <x:v>4</x:v>
      </x:c>
      <x:c r="S1961" s="11" t="n">
        <x:f>IF(D1961="Completed",L1961,0)</x:f>
        <x:v>0</x:v>
      </x:c>
      <x:c r="T1961" s="8" t="n">
        <x:f>DATE(YEAR(C1961),MONTH(C1961),1)</x:f>
        <x:v>45748</x:v>
      </x:c>
    </x:row>
    <x:row r="1962" ht="22" customHeight="1">
      <x:c r="A1962" s="2" t="str">
        <x:v>L001958</x:v>
      </x:c>
      <x:c r="B1962" s="2" t="str">
        <x:v>O00798</x:v>
      </x:c>
      <x:c r="C1962" s="7" t="n">
        <x:v>45758</x:v>
      </x:c>
      <x:c r="D1962" s="2" t="str">
        <x:v>Completed</x:v>
      </x:c>
      <x:c r="E1962" s="2" t="str">
        <x:v>West</x:v>
      </x:c>
      <x:c r="F1962" s="2" t="str">
        <x:v>Online</x:v>
      </x:c>
      <x:c r="G1962" s="2" t="str">
        <x:v>Lighting</x:v>
      </x:c>
      <x:c r="H1962" s="2" t="str">
        <x:v>Lamp 017</x:v>
      </x:c>
      <x:c r="I1962" s="11" t="n">
        <x:v>2</x:v>
      </x:c>
      <x:c r="J1962" s="9" t="n">
        <x:v>300</x:v>
      </x:c>
      <x:c r="K1962" s="10" t="n">
        <x:v>0.05</x:v>
      </x:c>
      <x:c r="L1962" s="11" t="n">
        <x:v>0</x:v>
      </x:c>
      <x:c r="M1962" s="9" t="n">
        <x:f>IF(D1962="Completed",I1962*J1962,0)</x:f>
        <x:v>600</x:v>
      </x:c>
      <x:c r="N1962" s="9" t="n">
        <x:f>M1962*K1962</x:f>
        <x:v>30</x:v>
      </x:c>
      <x:c r="O1962" s="9" t="n">
        <x:f>M1962-N1962</x:f>
        <x:v>570</x:v>
      </x:c>
      <x:c r="P1962" s="9" t="n">
        <x:f>IF(D1962="Completed",L1962*J1962*(1-K1962),0)</x:f>
        <x:v>0</x:v>
      </x:c>
      <x:c r="Q1962" s="9" t="n">
        <x:f>O1962-P1962</x:f>
        <x:v>570</x:v>
      </x:c>
      <x:c r="R1962" s="11" t="n">
        <x:f>IF(D1962="Completed",I1962,0)</x:f>
        <x:v>2</x:v>
      </x:c>
      <x:c r="S1962" s="11" t="n">
        <x:f>IF(D1962="Completed",L1962,0)</x:f>
        <x:v>0</x:v>
      </x:c>
      <x:c r="T1962" s="8" t="n">
        <x:f>DATE(YEAR(C1962),MONTH(C1962),1)</x:f>
        <x:v>45748</x:v>
      </x:c>
    </x:row>
    <x:row r="1963" ht="22" customHeight="1">
      <x:c r="A1963" s="2" t="str">
        <x:v>L001959</x:v>
      </x:c>
      <x:c r="B1963" s="2" t="str">
        <x:v>O00798</x:v>
      </x:c>
      <x:c r="C1963" s="7" t="n">
        <x:v>45758</x:v>
      </x:c>
      <x:c r="D1963" s="2" t="str">
        <x:v>Completed</x:v>
      </x:c>
      <x:c r="E1963" s="2" t="str">
        <x:v>West</x:v>
      </x:c>
      <x:c r="F1963" s="2" t="str">
        <x:v>Online</x:v>
      </x:c>
      <x:c r="G1963" s="2" t="str">
        <x:v>Furniture</x:v>
      </x:c>
      <x:c r="H1963" s="2" t="str">
        <x:v>Desk 024</x:v>
      </x:c>
      <x:c r="I1963" s="11" t="n">
        <x:v>4</x:v>
      </x:c>
      <x:c r="J1963" s="9" t="n">
        <x:v>81</x:v>
      </x:c>
      <x:c r="K1963" s="10" t="n">
        <x:v>0.05</x:v>
      </x:c>
      <x:c r="L1963" s="11" t="n">
        <x:v>0</x:v>
      </x:c>
      <x:c r="M1963" s="9" t="n">
        <x:f>IF(D1963="Completed",I1963*J1963,0)</x:f>
        <x:v>324</x:v>
      </x:c>
      <x:c r="N1963" s="9" t="n">
        <x:f>M1963*K1963</x:f>
        <x:v>16.2</x:v>
      </x:c>
      <x:c r="O1963" s="9" t="n">
        <x:f>M1963-N1963</x:f>
        <x:v>307.8</x:v>
      </x:c>
      <x:c r="P1963" s="9" t="n">
        <x:f>IF(D1963="Completed",L1963*J1963*(1-K1963),0)</x:f>
        <x:v>0</x:v>
      </x:c>
      <x:c r="Q1963" s="9" t="n">
        <x:f>O1963-P1963</x:f>
        <x:v>307.8</x:v>
      </x:c>
      <x:c r="R1963" s="11" t="n">
        <x:f>IF(D1963="Completed",I1963,0)</x:f>
        <x:v>4</x:v>
      </x:c>
      <x:c r="S1963" s="11" t="n">
        <x:f>IF(D1963="Completed",L1963,0)</x:f>
        <x:v>0</x:v>
      </x:c>
      <x:c r="T1963" s="8" t="n">
        <x:f>DATE(YEAR(C1963),MONTH(C1963),1)</x:f>
        <x:v>45748</x:v>
      </x:c>
    </x:row>
    <x:row r="1964" ht="22" customHeight="1">
      <x:c r="A1964" s="2" t="str">
        <x:v>L001960</x:v>
      </x:c>
      <x:c r="B1964" s="2" t="str">
        <x:v>O00799</x:v>
      </x:c>
      <x:c r="C1964" s="7" t="n">
        <x:v>45668</x:v>
      </x:c>
      <x:c r="D1964" s="2" t="str">
        <x:v>Completed</x:v>
      </x:c>
      <x:c r="E1964" s="2" t="str">
        <x:v>North</x:v>
      </x:c>
      <x:c r="F1964" s="2" t="str">
        <x:v>Store</x:v>
      </x:c>
      <x:c r="G1964" s="2" t="str">
        <x:v>Furniture</x:v>
      </x:c>
      <x:c r="H1964" s="2" t="str">
        <x:v>Chair 006</x:v>
      </x:c>
      <x:c r="I1964" s="11" t="n">
        <x:v>5</x:v>
      </x:c>
      <x:c r="J1964" s="9" t="n">
        <x:v>196</x:v>
      </x:c>
      <x:c r="K1964" s="10" t="n">
        <x:v>0.05</x:v>
      </x:c>
      <x:c r="L1964" s="11" t="n">
        <x:v>0</x:v>
      </x:c>
      <x:c r="M1964" s="9" t="n">
        <x:f>IF(D1964="Completed",I1964*J1964,0)</x:f>
        <x:v>980</x:v>
      </x:c>
      <x:c r="N1964" s="9" t="n">
        <x:f>M1964*K1964</x:f>
        <x:v>49</x:v>
      </x:c>
      <x:c r="O1964" s="9" t="n">
        <x:f>M1964-N1964</x:f>
        <x:v>931</x:v>
      </x:c>
      <x:c r="P1964" s="9" t="n">
        <x:f>IF(D1964="Completed",L1964*J1964*(1-K1964),0)</x:f>
        <x:v>0</x:v>
      </x:c>
      <x:c r="Q1964" s="9" t="n">
        <x:f>O1964-P1964</x:f>
        <x:v>931</x:v>
      </x:c>
      <x:c r="R1964" s="11" t="n">
        <x:f>IF(D1964="Completed",I1964,0)</x:f>
        <x:v>5</x:v>
      </x:c>
      <x:c r="S1964" s="11" t="n">
        <x:f>IF(D1964="Completed",L1964,0)</x:f>
        <x:v>0</x:v>
      </x:c>
      <x:c r="T1964" s="8" t="n">
        <x:f>DATE(YEAR(C1964),MONTH(C1964),1)</x:f>
        <x:v>45658</x:v>
      </x:c>
    </x:row>
    <x:row r="1965" ht="22" customHeight="1">
      <x:c r="A1965" s="2" t="str">
        <x:v>L001961</x:v>
      </x:c>
      <x:c r="B1965" s="2" t="str">
        <x:v>O00800</x:v>
      </x:c>
      <x:c r="C1965" s="7" t="n">
        <x:v>45799</x:v>
      </x:c>
      <x:c r="D1965" s="2" t="str">
        <x:v>Completed</x:v>
      </x:c>
      <x:c r="E1965" s="2" t="str">
        <x:v>South</x:v>
      </x:c>
      <x:c r="F1965" s="2" t="str">
        <x:v>Store</x:v>
      </x:c>
      <x:c r="G1965" s="2" t="str">
        <x:v>Lighting</x:v>
      </x:c>
      <x:c r="H1965" s="2" t="str">
        <x:v>Lamp 009</x:v>
      </x:c>
      <x:c r="I1965" s="11" t="n">
        <x:v>4</x:v>
      </x:c>
      <x:c r="J1965" s="9" t="n">
        <x:v>93</x:v>
      </x:c>
      <x:c r="K1965" s="10" t="n">
        <x:v>0.1</x:v>
      </x:c>
      <x:c r="L1965" s="11" t="n">
        <x:v>0</x:v>
      </x:c>
      <x:c r="M1965" s="9" t="n">
        <x:f>IF(D1965="Completed",I1965*J1965,0)</x:f>
        <x:v>372</x:v>
      </x:c>
      <x:c r="N1965" s="9" t="n">
        <x:f>M1965*K1965</x:f>
        <x:v>37.2</x:v>
      </x:c>
      <x:c r="O1965" s="9" t="n">
        <x:f>M1965-N1965</x:f>
        <x:v>334.8</x:v>
      </x:c>
      <x:c r="P1965" s="9" t="n">
        <x:f>IF(D1965="Completed",L1965*J1965*(1-K1965),0)</x:f>
        <x:v>0</x:v>
      </x:c>
      <x:c r="Q1965" s="9" t="n">
        <x:f>O1965-P1965</x:f>
        <x:v>334.8</x:v>
      </x:c>
      <x:c r="R1965" s="11" t="n">
        <x:f>IF(D1965="Completed",I1965,0)</x:f>
        <x:v>4</x:v>
      </x:c>
      <x:c r="S1965" s="11" t="n">
        <x:f>IF(D1965="Completed",L1965,0)</x:f>
        <x:v>0</x:v>
      </x:c>
      <x:c r="T1965" s="8" t="n">
        <x:f>DATE(YEAR(C1965),MONTH(C1965),1)</x:f>
        <x:v>45778</x:v>
      </x:c>
    </x:row>
    <x:row r="1966" ht="22" customHeight="1">
      <x:c r="A1966" s="2" t="str">
        <x:v>L001962</x:v>
      </x:c>
      <x:c r="B1966" s="2" t="str">
        <x:v>O00800</x:v>
      </x:c>
      <x:c r="C1966" s="7" t="n">
        <x:v>45799</x:v>
      </x:c>
      <x:c r="D1966" s="2" t="str">
        <x:v>Completed</x:v>
      </x:c>
      <x:c r="E1966" s="2" t="str">
        <x:v>South</x:v>
      </x:c>
      <x:c r="F1966" s="2" t="str">
        <x:v>Store</x:v>
      </x:c>
      <x:c r="G1966" s="2" t="str">
        <x:v>Lighting</x:v>
      </x:c>
      <x:c r="H1966" s="2" t="str">
        <x:v>Lamp 001</x:v>
      </x:c>
      <x:c r="I1966" s="11" t="n">
        <x:v>3</x:v>
      </x:c>
      <x:c r="J1966" s="9" t="n">
        <x:v>122</x:v>
      </x:c>
      <x:c r="K1966" s="10" t="n">
        <x:v>0.2</x:v>
      </x:c>
      <x:c r="L1966" s="11" t="n">
        <x:v>0</x:v>
      </x:c>
      <x:c r="M1966" s="9" t="n">
        <x:f>IF(D1966="Completed",I1966*J1966,0)</x:f>
        <x:v>366</x:v>
      </x:c>
      <x:c r="N1966" s="9" t="n">
        <x:f>M1966*K1966</x:f>
        <x:v>73.2</x:v>
      </x:c>
      <x:c r="O1966" s="9" t="n">
        <x:f>M1966-N1966</x:f>
        <x:v>292.8</x:v>
      </x:c>
      <x:c r="P1966" s="9" t="n">
        <x:f>IF(D1966="Completed",L1966*J1966*(1-K1966),0)</x:f>
        <x:v>0</x:v>
      </x:c>
      <x:c r="Q1966" s="9" t="n">
        <x:f>O1966-P1966</x:f>
        <x:v>292.8</x:v>
      </x:c>
      <x:c r="R1966" s="11" t="n">
        <x:f>IF(D1966="Completed",I1966,0)</x:f>
        <x:v>3</x:v>
      </x:c>
      <x:c r="S1966" s="11" t="n">
        <x:f>IF(D1966="Completed",L1966,0)</x:f>
        <x:v>0</x:v>
      </x:c>
      <x:c r="T1966" s="8" t="n">
        <x:f>DATE(YEAR(C1966),MONTH(C1966),1)</x:f>
        <x:v>45778</x:v>
      </x:c>
    </x:row>
    <x:row r="1967" ht="22" customHeight="1">
      <x:c r="A1967" s="2" t="str">
        <x:v>L001963</x:v>
      </x:c>
      <x:c r="B1967" s="2" t="str">
        <x:v>O00800</x:v>
      </x:c>
      <x:c r="C1967" s="7" t="n">
        <x:v>45799</x:v>
      </x:c>
      <x:c r="D1967" s="2" t="str">
        <x:v>Completed</x:v>
      </x:c>
      <x:c r="E1967" s="2" t="str">
        <x:v>South</x:v>
      </x:c>
      <x:c r="F1967" s="2" t="str">
        <x:v>Store</x:v>
      </x:c>
      <x:c r="G1967" s="2" t="str">
        <x:v>Lighting</x:v>
      </x:c>
      <x:c r="H1967" s="2" t="str">
        <x:v>Lamp 005</x:v>
      </x:c>
      <x:c r="I1967" s="11" t="n">
        <x:v>1</x:v>
      </x:c>
      <x:c r="J1967" s="9" t="n">
        <x:v>65</x:v>
      </x:c>
      <x:c r="K1967" s="10" t="n">
        <x:v>0.1</x:v>
      </x:c>
      <x:c r="L1967" s="11" t="n">
        <x:v>0</x:v>
      </x:c>
      <x:c r="M1967" s="9" t="n">
        <x:f>IF(D1967="Completed",I1967*J1967,0)</x:f>
        <x:v>65</x:v>
      </x:c>
      <x:c r="N1967" s="9" t="n">
        <x:f>M1967*K1967</x:f>
        <x:v>6.5</x:v>
      </x:c>
      <x:c r="O1967" s="9" t="n">
        <x:f>M1967-N1967</x:f>
        <x:v>58.5</x:v>
      </x:c>
      <x:c r="P1967" s="9" t="n">
        <x:f>IF(D1967="Completed",L1967*J1967*(1-K1967),0)</x:f>
        <x:v>0</x:v>
      </x:c>
      <x:c r="Q1967" s="9" t="n">
        <x:f>O1967-P1967</x:f>
        <x:v>58.5</x:v>
      </x:c>
      <x:c r="R1967" s="11" t="n">
        <x:f>IF(D1967="Completed",I1967,0)</x:f>
        <x:v>1</x:v>
      </x:c>
      <x:c r="S1967" s="11" t="n">
        <x:f>IF(D1967="Completed",L1967,0)</x:f>
        <x:v>0</x:v>
      </x:c>
      <x:c r="T1967" s="8" t="n">
        <x:f>DATE(YEAR(C1967),MONTH(C1967),1)</x:f>
        <x:v>45778</x:v>
      </x:c>
    </x:row>
    <x:row r="1968" ht="22" customHeight="1">
      <x:c r="A1968" s="2" t="str">
        <x:v>L001964</x:v>
      </x:c>
      <x:c r="B1968" s="2" t="str">
        <x:v>O00801</x:v>
      </x:c>
      <x:c r="C1968" s="7" t="n">
        <x:v>45868</x:v>
      </x:c>
      <x:c r="D1968" s="2" t="str">
        <x:v>Completed</x:v>
      </x:c>
      <x:c r="E1968" s="2" t="str">
        <x:v>South</x:v>
      </x:c>
      <x:c r="F1968" s="2" t="str">
        <x:v>Store</x:v>
      </x:c>
      <x:c r="G1968" s="2" t="str">
        <x:v>Lighting</x:v>
      </x:c>
      <x:c r="H1968" s="2" t="str">
        <x:v>Lamp 017</x:v>
      </x:c>
      <x:c r="I1968" s="11" t="n">
        <x:v>2</x:v>
      </x:c>
      <x:c r="J1968" s="9" t="n">
        <x:v>300</x:v>
      </x:c>
      <x:c r="K1968" s="10" t="n">
        <x:v>0.1</x:v>
      </x:c>
      <x:c r="L1968" s="11" t="n">
        <x:v>0</x:v>
      </x:c>
      <x:c r="M1968" s="9" t="n">
        <x:f>IF(D1968="Completed",I1968*J1968,0)</x:f>
        <x:v>600</x:v>
      </x:c>
      <x:c r="N1968" s="9" t="n">
        <x:f>M1968*K1968</x:f>
        <x:v>60</x:v>
      </x:c>
      <x:c r="O1968" s="9" t="n">
        <x:f>M1968-N1968</x:f>
        <x:v>540</x:v>
      </x:c>
      <x:c r="P1968" s="9" t="n">
        <x:f>IF(D1968="Completed",L1968*J1968*(1-K1968),0)</x:f>
        <x:v>0</x:v>
      </x:c>
      <x:c r="Q1968" s="9" t="n">
        <x:f>O1968-P1968</x:f>
        <x:v>540</x:v>
      </x:c>
      <x:c r="R1968" s="11" t="n">
        <x:f>IF(D1968="Completed",I1968,0)</x:f>
        <x:v>2</x:v>
      </x:c>
      <x:c r="S1968" s="11" t="n">
        <x:f>IF(D1968="Completed",L1968,0)</x:f>
        <x:v>0</x:v>
      </x:c>
      <x:c r="T1968" s="8" t="n">
        <x:f>DATE(YEAR(C1968),MONTH(C1968),1)</x:f>
        <x:v>45839</x:v>
      </x:c>
    </x:row>
    <x:row r="1969" ht="22" customHeight="1">
      <x:c r="A1969" s="2" t="str">
        <x:v>L001965</x:v>
      </x:c>
      <x:c r="B1969" s="2" t="str">
        <x:v>O00801</x:v>
      </x:c>
      <x:c r="C1969" s="7" t="n">
        <x:v>45868</x:v>
      </x:c>
      <x:c r="D1969" s="2" t="str">
        <x:v>Completed</x:v>
      </x:c>
      <x:c r="E1969" s="2" t="str">
        <x:v>South</x:v>
      </x:c>
      <x:c r="F1969" s="2" t="str">
        <x:v>Store</x:v>
      </x:c>
      <x:c r="G1969" s="2" t="str">
        <x:v>Furniture</x:v>
      </x:c>
      <x:c r="H1969" s="2" t="str">
        <x:v>Chair 014</x:v>
      </x:c>
      <x:c r="I1969" s="11" t="n">
        <x:v>3</x:v>
      </x:c>
      <x:c r="J1969" s="9" t="n">
        <x:v>294</x:v>
      </x:c>
      <x:c r="K1969" s="10" t="n">
        <x:v>0.2</x:v>
      </x:c>
      <x:c r="L1969" s="11" t="n">
        <x:v>0</x:v>
      </x:c>
      <x:c r="M1969" s="9" t="n">
        <x:f>IF(D1969="Completed",I1969*J1969,0)</x:f>
        <x:v>882</x:v>
      </x:c>
      <x:c r="N1969" s="9" t="n">
        <x:f>M1969*K1969</x:f>
        <x:v>176.4</x:v>
      </x:c>
      <x:c r="O1969" s="9" t="n">
        <x:f>M1969-N1969</x:f>
        <x:v>705.6</x:v>
      </x:c>
      <x:c r="P1969" s="9" t="n">
        <x:f>IF(D1969="Completed",L1969*J1969*(1-K1969),0)</x:f>
        <x:v>0</x:v>
      </x:c>
      <x:c r="Q1969" s="9" t="n">
        <x:f>O1969-P1969</x:f>
        <x:v>705.6</x:v>
      </x:c>
      <x:c r="R1969" s="11" t="n">
        <x:f>IF(D1969="Completed",I1969,0)</x:f>
        <x:v>3</x:v>
      </x:c>
      <x:c r="S1969" s="11" t="n">
        <x:f>IF(D1969="Completed",L1969,0)</x:f>
        <x:v>0</x:v>
      </x:c>
      <x:c r="T1969" s="8" t="n">
        <x:f>DATE(YEAR(C1969),MONTH(C1969),1)</x:f>
        <x:v>45839</x:v>
      </x:c>
    </x:row>
    <x:row r="1970" ht="22" customHeight="1">
      <x:c r="A1970" s="2" t="str">
        <x:v>L001966</x:v>
      </x:c>
      <x:c r="B1970" s="2" t="str">
        <x:v>O00801</x:v>
      </x:c>
      <x:c r="C1970" s="7" t="n">
        <x:v>45868</x:v>
      </x:c>
      <x:c r="D1970" s="2" t="str">
        <x:v>Completed</x:v>
      </x:c>
      <x:c r="E1970" s="2" t="str">
        <x:v>South</x:v>
      </x:c>
      <x:c r="F1970" s="2" t="str">
        <x:v>Store</x:v>
      </x:c>
      <x:c r="G1970" s="2" t="str">
        <x:v>Storage</x:v>
      </x:c>
      <x:c r="H1970" s="2" t="str">
        <x:v>Shelf 007</x:v>
      </x:c>
      <x:c r="I1970" s="11" t="n">
        <x:v>2</x:v>
      </x:c>
      <x:c r="J1970" s="9" t="n">
        <x:v>35</x:v>
      </x:c>
      <x:c r="K1970" s="10" t="n">
        <x:v>0.1</x:v>
      </x:c>
      <x:c r="L1970" s="11" t="n">
        <x:v>0</x:v>
      </x:c>
      <x:c r="M1970" s="9" t="n">
        <x:f>IF(D1970="Completed",I1970*J1970,0)</x:f>
        <x:v>70</x:v>
      </x:c>
      <x:c r="N1970" s="9" t="n">
        <x:f>M1970*K1970</x:f>
        <x:v>7</x:v>
      </x:c>
      <x:c r="O1970" s="9" t="n">
        <x:f>M1970-N1970</x:f>
        <x:v>63</x:v>
      </x:c>
      <x:c r="P1970" s="9" t="n">
        <x:f>IF(D1970="Completed",L1970*J1970*(1-K1970),0)</x:f>
        <x:v>0</x:v>
      </x:c>
      <x:c r="Q1970" s="9" t="n">
        <x:f>O1970-P1970</x:f>
        <x:v>63</x:v>
      </x:c>
      <x:c r="R1970" s="11" t="n">
        <x:f>IF(D1970="Completed",I1970,0)</x:f>
        <x:v>2</x:v>
      </x:c>
      <x:c r="S1970" s="11" t="n">
        <x:f>IF(D1970="Completed",L1970,0)</x:f>
        <x:v>0</x:v>
      </x:c>
      <x:c r="T1970" s="8" t="n">
        <x:f>DATE(YEAR(C1970),MONTH(C1970),1)</x:f>
        <x:v>45839</x:v>
      </x:c>
    </x:row>
    <x:row r="1971" ht="22" customHeight="1">
      <x:c r="A1971" s="2" t="str">
        <x:v>L001967</x:v>
      </x:c>
      <x:c r="B1971" s="2" t="str">
        <x:v>O00801</x:v>
      </x:c>
      <x:c r="C1971" s="7" t="n">
        <x:v>45868</x:v>
      </x:c>
      <x:c r="D1971" s="2" t="str">
        <x:v>Completed</x:v>
      </x:c>
      <x:c r="E1971" s="2" t="str">
        <x:v>South</x:v>
      </x:c>
      <x:c r="F1971" s="2" t="str">
        <x:v>Store</x:v>
      </x:c>
      <x:c r="G1971" s="2" t="str">
        <x:v>Storage</x:v>
      </x:c>
      <x:c r="H1971" s="2" t="str">
        <x:v>Shelf 003</x:v>
      </x:c>
      <x:c r="I1971" s="11" t="n">
        <x:v>5</x:v>
      </x:c>
      <x:c r="J1971" s="9" t="n">
        <x:v>199</x:v>
      </x:c>
      <x:c r="K1971" s="10" t="n">
        <x:v>0.1</x:v>
      </x:c>
      <x:c r="L1971" s="11" t="n">
        <x:v>0</x:v>
      </x:c>
      <x:c r="M1971" s="9" t="n">
        <x:f>IF(D1971="Completed",I1971*J1971,0)</x:f>
        <x:v>995</x:v>
      </x:c>
      <x:c r="N1971" s="9" t="n">
        <x:f>M1971*K1971</x:f>
        <x:v>99.5</x:v>
      </x:c>
      <x:c r="O1971" s="9" t="n">
        <x:f>M1971-N1971</x:f>
        <x:v>895.5</x:v>
      </x:c>
      <x:c r="P1971" s="9" t="n">
        <x:f>IF(D1971="Completed",L1971*J1971*(1-K1971),0)</x:f>
        <x:v>0</x:v>
      </x:c>
      <x:c r="Q1971" s="9" t="n">
        <x:f>O1971-P1971</x:f>
        <x:v>895.5</x:v>
      </x:c>
      <x:c r="R1971" s="11" t="n">
        <x:f>IF(D1971="Completed",I1971,0)</x:f>
        <x:v>5</x:v>
      </x:c>
      <x:c r="S1971" s="11" t="n">
        <x:f>IF(D1971="Completed",L1971,0)</x:f>
        <x:v>0</x:v>
      </x:c>
      <x:c r="T1971" s="8" t="n">
        <x:f>DATE(YEAR(C1971),MONTH(C1971),1)</x:f>
        <x:v>45839</x:v>
      </x:c>
    </x:row>
    <x:row r="1972" ht="22" customHeight="1">
      <x:c r="A1972" s="2" t="str">
        <x:v>L001968</x:v>
      </x:c>
      <x:c r="B1972" s="2" t="str">
        <x:v>O00802</x:v>
      </x:c>
      <x:c r="C1972" s="7" t="n">
        <x:v>45999</x:v>
      </x:c>
      <x:c r="D1972" s="2" t="str">
        <x:v>Completed</x:v>
      </x:c>
      <x:c r="E1972" s="2" t="str">
        <x:v>South</x:v>
      </x:c>
      <x:c r="F1972" s="2" t="str">
        <x:v>Online</x:v>
      </x:c>
      <x:c r="G1972" s="2" t="str">
        <x:v>Furniture</x:v>
      </x:c>
      <x:c r="H1972" s="2" t="str">
        <x:v>Chair 010</x:v>
      </x:c>
      <x:c r="I1972" s="11" t="n">
        <x:v>3</x:v>
      </x:c>
      <x:c r="J1972" s="9" t="n">
        <x:v>211</x:v>
      </x:c>
      <x:c r="K1972" s="10" t="n">
        <x:v>0.2</x:v>
      </x:c>
      <x:c r="L1972" s="11" t="n">
        <x:v>0</x:v>
      </x:c>
      <x:c r="M1972" s="9" t="n">
        <x:f>IF(D1972="Completed",I1972*J1972,0)</x:f>
        <x:v>633</x:v>
      </x:c>
      <x:c r="N1972" s="9" t="n">
        <x:f>M1972*K1972</x:f>
        <x:v>126.60000000000001</x:v>
      </x:c>
      <x:c r="O1972" s="9" t="n">
        <x:f>M1972-N1972</x:f>
        <x:v>506.4</x:v>
      </x:c>
      <x:c r="P1972" s="9" t="n">
        <x:f>IF(D1972="Completed",L1972*J1972*(1-K1972),0)</x:f>
        <x:v>0</x:v>
      </x:c>
      <x:c r="Q1972" s="9" t="n">
        <x:f>O1972-P1972</x:f>
        <x:v>506.4</x:v>
      </x:c>
      <x:c r="R1972" s="11" t="n">
        <x:f>IF(D1972="Completed",I1972,0)</x:f>
        <x:v>3</x:v>
      </x:c>
      <x:c r="S1972" s="11" t="n">
        <x:f>IF(D1972="Completed",L1972,0)</x:f>
        <x:v>0</x:v>
      </x:c>
      <x:c r="T1972" s="8" t="n">
        <x:f>DATE(YEAR(C1972),MONTH(C1972),1)</x:f>
        <x:v>45992</x:v>
      </x:c>
    </x:row>
    <x:row r="1973" ht="22" customHeight="1">
      <x:c r="A1973" s="2" t="str">
        <x:v>L001969</x:v>
      </x:c>
      <x:c r="B1973" s="2" t="str">
        <x:v>O00802</x:v>
      </x:c>
      <x:c r="C1973" s="7" t="n">
        <x:v>45999</x:v>
      </x:c>
      <x:c r="D1973" s="2" t="str">
        <x:v>Completed</x:v>
      </x:c>
      <x:c r="E1973" s="2" t="str">
        <x:v>South</x:v>
      </x:c>
      <x:c r="F1973" s="2" t="str">
        <x:v>Online</x:v>
      </x:c>
      <x:c r="G1973" s="2" t="str">
        <x:v>Furniture</x:v>
      </x:c>
      <x:c r="H1973" s="2" t="str">
        <x:v>Chair 018</x:v>
      </x:c>
      <x:c r="I1973" s="11" t="n">
        <x:v>5</x:v>
      </x:c>
      <x:c r="J1973" s="9" t="n">
        <x:v>269</x:v>
      </x:c>
      <x:c r="K1973" s="10" t="n">
        <x:v>0.1</x:v>
      </x:c>
      <x:c r="L1973" s="11" t="n">
        <x:v>0</x:v>
      </x:c>
      <x:c r="M1973" s="9" t="n">
        <x:f>IF(D1973="Completed",I1973*J1973,0)</x:f>
        <x:v>1345</x:v>
      </x:c>
      <x:c r="N1973" s="9" t="n">
        <x:f>M1973*K1973</x:f>
        <x:v>134.5</x:v>
      </x:c>
      <x:c r="O1973" s="9" t="n">
        <x:f>M1973-N1973</x:f>
        <x:v>1210.5</x:v>
      </x:c>
      <x:c r="P1973" s="9" t="n">
        <x:f>IF(D1973="Completed",L1973*J1973*(1-K1973),0)</x:f>
        <x:v>0</x:v>
      </x:c>
      <x:c r="Q1973" s="9" t="n">
        <x:f>O1973-P1973</x:f>
        <x:v>1210.5</x:v>
      </x:c>
      <x:c r="R1973" s="11" t="n">
        <x:f>IF(D1973="Completed",I1973,0)</x:f>
        <x:v>5</x:v>
      </x:c>
      <x:c r="S1973" s="11" t="n">
        <x:f>IF(D1973="Completed",L1973,0)</x:f>
        <x:v>0</x:v>
      </x:c>
      <x:c r="T1973" s="8" t="n">
        <x:f>DATE(YEAR(C1973),MONTH(C1973),1)</x:f>
        <x:v>45992</x:v>
      </x:c>
    </x:row>
    <x:row r="1974" ht="22" customHeight="1">
      <x:c r="A1974" s="2" t="str">
        <x:v>L001970</x:v>
      </x:c>
      <x:c r="B1974" s="2" t="str">
        <x:v>O00802</x:v>
      </x:c>
      <x:c r="C1974" s="7" t="n">
        <x:v>45999</x:v>
      </x:c>
      <x:c r="D1974" s="2" t="str">
        <x:v>Completed</x:v>
      </x:c>
      <x:c r="E1974" s="2" t="str">
        <x:v>South</x:v>
      </x:c>
      <x:c r="F1974" s="2" t="str">
        <x:v>Online</x:v>
      </x:c>
      <x:c r="G1974" s="2" t="str">
        <x:v>Lighting</x:v>
      </x:c>
      <x:c r="H1974" s="2" t="str">
        <x:v>Lamp 009</x:v>
      </x:c>
      <x:c r="I1974" s="11" t="n">
        <x:v>5</x:v>
      </x:c>
      <x:c r="J1974" s="9" t="n">
        <x:v>93</x:v>
      </x:c>
      <x:c r="K1974" s="10" t="n">
        <x:v>0.1</x:v>
      </x:c>
      <x:c r="L1974" s="11" t="n">
        <x:v>0</x:v>
      </x:c>
      <x:c r="M1974" s="9" t="n">
        <x:f>IF(D1974="Completed",I1974*J1974,0)</x:f>
        <x:v>465</x:v>
      </x:c>
      <x:c r="N1974" s="9" t="n">
        <x:f>M1974*K1974</x:f>
        <x:v>46.5</x:v>
      </x:c>
      <x:c r="O1974" s="9" t="n">
        <x:f>M1974-N1974</x:f>
        <x:v>418.5</x:v>
      </x:c>
      <x:c r="P1974" s="9" t="n">
        <x:f>IF(D1974="Completed",L1974*J1974*(1-K1974),0)</x:f>
        <x:v>0</x:v>
      </x:c>
      <x:c r="Q1974" s="9" t="n">
        <x:f>O1974-P1974</x:f>
        <x:v>418.5</x:v>
      </x:c>
      <x:c r="R1974" s="11" t="n">
        <x:f>IF(D1974="Completed",I1974,0)</x:f>
        <x:v>5</x:v>
      </x:c>
      <x:c r="S1974" s="11" t="n">
        <x:f>IF(D1974="Completed",L1974,0)</x:f>
        <x:v>0</x:v>
      </x:c>
      <x:c r="T1974" s="8" t="n">
        <x:f>DATE(YEAR(C1974),MONTH(C1974),1)</x:f>
        <x:v>45992</x:v>
      </x:c>
    </x:row>
    <x:row r="1975" ht="22" customHeight="1">
      <x:c r="A1975" s="2" t="str">
        <x:v>L001971</x:v>
      </x:c>
      <x:c r="B1975" s="2" t="str">
        <x:v>O00802</x:v>
      </x:c>
      <x:c r="C1975" s="7" t="n">
        <x:v>45999</x:v>
      </x:c>
      <x:c r="D1975" s="2" t="str">
        <x:v>Completed</x:v>
      </x:c>
      <x:c r="E1975" s="2" t="str">
        <x:v>South</x:v>
      </x:c>
      <x:c r="F1975" s="2" t="str">
        <x:v>Online</x:v>
      </x:c>
      <x:c r="G1975" s="2" t="str">
        <x:v>Lighting</x:v>
      </x:c>
      <x:c r="H1975" s="2" t="str">
        <x:v>Lamp 021</x:v>
      </x:c>
      <x:c r="I1975" s="11" t="n">
        <x:v>3</x:v>
      </x:c>
      <x:c r="J1975" s="9" t="n">
        <x:v>249</x:v>
      </x:c>
      <x:c r="K1975" s="10" t="n">
        <x:v>0.05</x:v>
      </x:c>
      <x:c r="L1975" s="11" t="n">
        <x:v>0</x:v>
      </x:c>
      <x:c r="M1975" s="9" t="n">
        <x:f>IF(D1975="Completed",I1975*J1975,0)</x:f>
        <x:v>747</x:v>
      </x:c>
      <x:c r="N1975" s="9" t="n">
        <x:f>M1975*K1975</x:f>
        <x:v>37.35</x:v>
      </x:c>
      <x:c r="O1975" s="9" t="n">
        <x:f>M1975-N1975</x:f>
        <x:v>709.65</x:v>
      </x:c>
      <x:c r="P1975" s="9" t="n">
        <x:f>IF(D1975="Completed",L1975*J1975*(1-K1975),0)</x:f>
        <x:v>0</x:v>
      </x:c>
      <x:c r="Q1975" s="9" t="n">
        <x:f>O1975-P1975</x:f>
        <x:v>709.65</x:v>
      </x:c>
      <x:c r="R1975" s="11" t="n">
        <x:f>IF(D1975="Completed",I1975,0)</x:f>
        <x:v>3</x:v>
      </x:c>
      <x:c r="S1975" s="11" t="n">
        <x:f>IF(D1975="Completed",L1975,0)</x:f>
        <x:v>0</x:v>
      </x:c>
      <x:c r="T1975" s="8" t="n">
        <x:f>DATE(YEAR(C1975),MONTH(C1975),1)</x:f>
        <x:v>45992</x:v>
      </x:c>
    </x:row>
    <x:row r="1976" ht="22" customHeight="1">
      <x:c r="A1976" s="2" t="str">
        <x:v>L001972</x:v>
      </x:c>
      <x:c r="B1976" s="2" t="str">
        <x:v>O00803</x:v>
      </x:c>
      <x:c r="C1976" s="7" t="n">
        <x:v>45713</x:v>
      </x:c>
      <x:c r="D1976" s="2" t="str">
        <x:v>Completed</x:v>
      </x:c>
      <x:c r="E1976" s="2" t="str">
        <x:v>South</x:v>
      </x:c>
      <x:c r="F1976" s="2" t="str">
        <x:v>Store</x:v>
      </x:c>
      <x:c r="G1976" s="2" t="str">
        <x:v>Furniture</x:v>
      </x:c>
      <x:c r="H1976" s="2" t="str">
        <x:v>Chair 002</x:v>
      </x:c>
      <x:c r="I1976" s="11" t="n">
        <x:v>4</x:v>
      </x:c>
      <x:c r="J1976" s="9" t="n">
        <x:v>284</x:v>
      </x:c>
      <x:c r="K1976" s="10" t="n">
        <x:v>0.2</x:v>
      </x:c>
      <x:c r="L1976" s="11" t="n">
        <x:v>0</x:v>
      </x:c>
      <x:c r="M1976" s="9" t="n">
        <x:f>IF(D1976="Completed",I1976*J1976,0)</x:f>
        <x:v>1136</x:v>
      </x:c>
      <x:c r="N1976" s="9" t="n">
        <x:f>M1976*K1976</x:f>
        <x:v>227.20000000000002</x:v>
      </x:c>
      <x:c r="O1976" s="9" t="n">
        <x:f>M1976-N1976</x:f>
        <x:v>908.8</x:v>
      </x:c>
      <x:c r="P1976" s="9" t="n">
        <x:f>IF(D1976="Completed",L1976*J1976*(1-K1976),0)</x:f>
        <x:v>0</x:v>
      </x:c>
      <x:c r="Q1976" s="9" t="n">
        <x:f>O1976-P1976</x:f>
        <x:v>908.8</x:v>
      </x:c>
      <x:c r="R1976" s="11" t="n">
        <x:f>IF(D1976="Completed",I1976,0)</x:f>
        <x:v>4</x:v>
      </x:c>
      <x:c r="S1976" s="11" t="n">
        <x:f>IF(D1976="Completed",L1976,0)</x:f>
        <x:v>0</x:v>
      </x:c>
      <x:c r="T1976" s="8" t="n">
        <x:f>DATE(YEAR(C1976),MONTH(C1976),1)</x:f>
        <x:v>45689</x:v>
      </x:c>
    </x:row>
    <x:row r="1977" ht="22" customHeight="1">
      <x:c r="A1977" s="2" t="str">
        <x:v>L001973</x:v>
      </x:c>
      <x:c r="B1977" s="2" t="str">
        <x:v>O00803</x:v>
      </x:c>
      <x:c r="C1977" s="7" t="n">
        <x:v>45713</x:v>
      </x:c>
      <x:c r="D1977" s="2" t="str">
        <x:v>Completed</x:v>
      </x:c>
      <x:c r="E1977" s="2" t="str">
        <x:v>South</x:v>
      </x:c>
      <x:c r="F1977" s="2" t="str">
        <x:v>Store</x:v>
      </x:c>
      <x:c r="G1977" s="2" t="str">
        <x:v>Storage</x:v>
      </x:c>
      <x:c r="H1977" s="2" t="str">
        <x:v>Shelf 015</x:v>
      </x:c>
      <x:c r="I1977" s="11" t="n">
        <x:v>1</x:v>
      </x:c>
      <x:c r="J1977" s="9" t="n">
        <x:v>254</x:v>
      </x:c>
      <x:c r="K1977" s="10" t="n">
        <x:v>0.2</x:v>
      </x:c>
      <x:c r="L1977" s="11" t="n">
        <x:v>0</x:v>
      </x:c>
      <x:c r="M1977" s="9" t="n">
        <x:f>IF(D1977="Completed",I1977*J1977,0)</x:f>
        <x:v>254</x:v>
      </x:c>
      <x:c r="N1977" s="9" t="n">
        <x:f>M1977*K1977</x:f>
        <x:v>50.800000000000004</x:v>
      </x:c>
      <x:c r="O1977" s="9" t="n">
        <x:f>M1977-N1977</x:f>
        <x:v>203.2</x:v>
      </x:c>
      <x:c r="P1977" s="9" t="n">
        <x:f>IF(D1977="Completed",L1977*J1977*(1-K1977),0)</x:f>
        <x:v>0</x:v>
      </x:c>
      <x:c r="Q1977" s="9" t="n">
        <x:f>O1977-P1977</x:f>
        <x:v>203.2</x:v>
      </x:c>
      <x:c r="R1977" s="11" t="n">
        <x:f>IF(D1977="Completed",I1977,0)</x:f>
        <x:v>1</x:v>
      </x:c>
      <x:c r="S1977" s="11" t="n">
        <x:f>IF(D1977="Completed",L1977,0)</x:f>
        <x:v>0</x:v>
      </x:c>
      <x:c r="T1977" s="8" t="n">
        <x:f>DATE(YEAR(C1977),MONTH(C1977),1)</x:f>
        <x:v>45689</x:v>
      </x:c>
    </x:row>
    <x:row r="1978" ht="22" customHeight="1">
      <x:c r="A1978" s="2" t="str">
        <x:v>L001974</x:v>
      </x:c>
      <x:c r="B1978" s="2" t="str">
        <x:v>O00803</x:v>
      </x:c>
      <x:c r="C1978" s="7" t="n">
        <x:v>45713</x:v>
      </x:c>
      <x:c r="D1978" s="2" t="str">
        <x:v>Completed</x:v>
      </x:c>
      <x:c r="E1978" s="2" t="str">
        <x:v>South</x:v>
      </x:c>
      <x:c r="F1978" s="2" t="str">
        <x:v>Store</x:v>
      </x:c>
      <x:c r="G1978" s="2" t="str">
        <x:v>Furniture</x:v>
      </x:c>
      <x:c r="H1978" s="2" t="str">
        <x:v>Chair 002</x:v>
      </x:c>
      <x:c r="I1978" s="11" t="n">
        <x:v>5</x:v>
      </x:c>
      <x:c r="J1978" s="9" t="n">
        <x:v>284</x:v>
      </x:c>
      <x:c r="K1978" s="10" t="n">
        <x:v>0.2</x:v>
      </x:c>
      <x:c r="L1978" s="11" t="n">
        <x:v>0</x:v>
      </x:c>
      <x:c r="M1978" s="9" t="n">
        <x:f>IF(D1978="Completed",I1978*J1978,0)</x:f>
        <x:v>1420</x:v>
      </x:c>
      <x:c r="N1978" s="9" t="n">
        <x:f>M1978*K1978</x:f>
        <x:v>284</x:v>
      </x:c>
      <x:c r="O1978" s="9" t="n">
        <x:f>M1978-N1978</x:f>
        <x:v>1136</x:v>
      </x:c>
      <x:c r="P1978" s="9" t="n">
        <x:f>IF(D1978="Completed",L1978*J1978*(1-K1978),0)</x:f>
        <x:v>0</x:v>
      </x:c>
      <x:c r="Q1978" s="9" t="n">
        <x:f>O1978-P1978</x:f>
        <x:v>1136</x:v>
      </x:c>
      <x:c r="R1978" s="11" t="n">
        <x:f>IF(D1978="Completed",I1978,0)</x:f>
        <x:v>5</x:v>
      </x:c>
      <x:c r="S1978" s="11" t="n">
        <x:f>IF(D1978="Completed",L1978,0)</x:f>
        <x:v>0</x:v>
      </x:c>
      <x:c r="T1978" s="8" t="n">
        <x:f>DATE(YEAR(C1978),MONTH(C1978),1)</x:f>
        <x:v>45689</x:v>
      </x:c>
    </x:row>
    <x:row r="1979" ht="22" customHeight="1">
      <x:c r="A1979" s="2" t="str">
        <x:v>L001975</x:v>
      </x:c>
      <x:c r="B1979" s="2" t="str">
        <x:v>O00803</x:v>
      </x:c>
      <x:c r="C1979" s="7" t="n">
        <x:v>45713</x:v>
      </x:c>
      <x:c r="D1979" s="2" t="str">
        <x:v>Completed</x:v>
      </x:c>
      <x:c r="E1979" s="2" t="str">
        <x:v>South</x:v>
      </x:c>
      <x:c r="F1979" s="2" t="str">
        <x:v>Store</x:v>
      </x:c>
      <x:c r="G1979" s="2" t="str">
        <x:v>Lighting</x:v>
      </x:c>
      <x:c r="H1979" s="2" t="str">
        <x:v>Lamp 005</x:v>
      </x:c>
      <x:c r="I1979" s="11" t="n">
        <x:v>3</x:v>
      </x:c>
      <x:c r="J1979" s="9" t="n">
        <x:v>65</x:v>
      </x:c>
      <x:c r="K1979" s="10" t="n">
        <x:v>0.05</x:v>
      </x:c>
      <x:c r="L1979" s="11" t="n">
        <x:v>0</x:v>
      </x:c>
      <x:c r="M1979" s="9" t="n">
        <x:f>IF(D1979="Completed",I1979*J1979,0)</x:f>
        <x:v>195</x:v>
      </x:c>
      <x:c r="N1979" s="9" t="n">
        <x:f>M1979*K1979</x:f>
        <x:v>9.75</x:v>
      </x:c>
      <x:c r="O1979" s="9" t="n">
        <x:f>M1979-N1979</x:f>
        <x:v>185.25</x:v>
      </x:c>
      <x:c r="P1979" s="9" t="n">
        <x:f>IF(D1979="Completed",L1979*J1979*(1-K1979),0)</x:f>
        <x:v>0</x:v>
      </x:c>
      <x:c r="Q1979" s="9" t="n">
        <x:f>O1979-P1979</x:f>
        <x:v>185.25</x:v>
      </x:c>
      <x:c r="R1979" s="11" t="n">
        <x:f>IF(D1979="Completed",I1979,0)</x:f>
        <x:v>3</x:v>
      </x:c>
      <x:c r="S1979" s="11" t="n">
        <x:f>IF(D1979="Completed",L1979,0)</x:f>
        <x:v>0</x:v>
      </x:c>
      <x:c r="T1979" s="8" t="n">
        <x:f>DATE(YEAR(C1979),MONTH(C1979),1)</x:f>
        <x:v>45689</x:v>
      </x:c>
    </x:row>
    <x:row r="1980" ht="22" customHeight="1">
      <x:c r="A1980" s="2" t="str">
        <x:v>L001976</x:v>
      </x:c>
      <x:c r="B1980" s="2" t="str">
        <x:v>O00804</x:v>
      </x:c>
      <x:c r="C1980" s="7" t="n">
        <x:v>46000</x:v>
      </x:c>
      <x:c r="D1980" s="2" t="str">
        <x:v>Completed</x:v>
      </x:c>
      <x:c r="E1980" s="2" t="str">
        <x:v>West</x:v>
      </x:c>
      <x:c r="F1980" s="2" t="str">
        <x:v>Store</x:v>
      </x:c>
      <x:c r="G1980" s="2" t="str">
        <x:v>Furniture</x:v>
      </x:c>
      <x:c r="H1980" s="2" t="str">
        <x:v>Chair 002</x:v>
      </x:c>
      <x:c r="I1980" s="11" t="n">
        <x:v>3</x:v>
      </x:c>
      <x:c r="J1980" s="9" t="n">
        <x:v>284</x:v>
      </x:c>
      <x:c r="K1980" s="10" t="n">
        <x:v>0.1</x:v>
      </x:c>
      <x:c r="L1980" s="11" t="n">
        <x:v>0</x:v>
      </x:c>
      <x:c r="M1980" s="9" t="n">
        <x:f>IF(D1980="Completed",I1980*J1980,0)</x:f>
        <x:v>852</x:v>
      </x:c>
      <x:c r="N1980" s="9" t="n">
        <x:f>M1980*K1980</x:f>
        <x:v>85.2</x:v>
      </x:c>
      <x:c r="O1980" s="9" t="n">
        <x:f>M1980-N1980</x:f>
        <x:v>766.8</x:v>
      </x:c>
      <x:c r="P1980" s="9" t="n">
        <x:f>IF(D1980="Completed",L1980*J1980*(1-K1980),0)</x:f>
        <x:v>0</x:v>
      </x:c>
      <x:c r="Q1980" s="9" t="n">
        <x:f>O1980-P1980</x:f>
        <x:v>766.8</x:v>
      </x:c>
      <x:c r="R1980" s="11" t="n">
        <x:f>IF(D1980="Completed",I1980,0)</x:f>
        <x:v>3</x:v>
      </x:c>
      <x:c r="S1980" s="11" t="n">
        <x:f>IF(D1980="Completed",L1980,0)</x:f>
        <x:v>0</x:v>
      </x:c>
      <x:c r="T1980" s="8" t="n">
        <x:f>DATE(YEAR(C1980),MONTH(C1980),1)</x:f>
        <x:v>45992</x:v>
      </x:c>
    </x:row>
    <x:row r="1981" ht="22" customHeight="1">
      <x:c r="A1981" s="2" t="str">
        <x:v>L001977</x:v>
      </x:c>
      <x:c r="B1981" s="2" t="str">
        <x:v>O00804</x:v>
      </x:c>
      <x:c r="C1981" s="7" t="n">
        <x:v>46000</x:v>
      </x:c>
      <x:c r="D1981" s="2" t="str">
        <x:v>Completed</x:v>
      </x:c>
      <x:c r="E1981" s="2" t="str">
        <x:v>West</x:v>
      </x:c>
      <x:c r="F1981" s="2" t="str">
        <x:v>Store</x:v>
      </x:c>
      <x:c r="G1981" s="2" t="str">
        <x:v>Storage</x:v>
      </x:c>
      <x:c r="H1981" s="2" t="str">
        <x:v>Shelf 003</x:v>
      </x:c>
      <x:c r="I1981" s="11" t="n">
        <x:v>5</x:v>
      </x:c>
      <x:c r="J1981" s="9" t="n">
        <x:v>199</x:v>
      </x:c>
      <x:c r="K1981" s="10" t="n">
        <x:v>0</x:v>
      </x:c>
      <x:c r="L1981" s="11" t="n">
        <x:v>0</x:v>
      </x:c>
      <x:c r="M1981" s="9" t="n">
        <x:f>IF(D1981="Completed",I1981*J1981,0)</x:f>
        <x:v>995</x:v>
      </x:c>
      <x:c r="N1981" s="9" t="n">
        <x:f>M1981*K1981</x:f>
        <x:v>0</x:v>
      </x:c>
      <x:c r="O1981" s="9" t="n">
        <x:f>M1981-N1981</x:f>
        <x:v>995</x:v>
      </x:c>
      <x:c r="P1981" s="9" t="n">
        <x:f>IF(D1981="Completed",L1981*J1981*(1-K1981),0)</x:f>
        <x:v>0</x:v>
      </x:c>
      <x:c r="Q1981" s="9" t="n">
        <x:f>O1981-P1981</x:f>
        <x:v>995</x:v>
      </x:c>
      <x:c r="R1981" s="11" t="n">
        <x:f>IF(D1981="Completed",I1981,0)</x:f>
        <x:v>5</x:v>
      </x:c>
      <x:c r="S1981" s="11" t="n">
        <x:f>IF(D1981="Completed",L1981,0)</x:f>
        <x:v>0</x:v>
      </x:c>
      <x:c r="T1981" s="8" t="n">
        <x:f>DATE(YEAR(C1981),MONTH(C1981),1)</x:f>
        <x:v>45992</x:v>
      </x:c>
    </x:row>
    <x:row r="1982" ht="22" customHeight="1">
      <x:c r="A1982" s="2" t="str">
        <x:v>L001978</x:v>
      </x:c>
      <x:c r="B1982" s="2" t="str">
        <x:v>O00805</x:v>
      </x:c>
      <x:c r="C1982" s="7" t="n">
        <x:v>45935</x:v>
      </x:c>
      <x:c r="D1982" s="2" t="str">
        <x:v>Completed</x:v>
      </x:c>
      <x:c r="E1982" s="2" t="str">
        <x:v>North</x:v>
      </x:c>
      <x:c r="F1982" s="2" t="str">
        <x:v>Online</x:v>
      </x:c>
      <x:c r="G1982" s="2" t="str">
        <x:v>Furniture</x:v>
      </x:c>
      <x:c r="H1982" s="2" t="str">
        <x:v>Chair 022</x:v>
      </x:c>
      <x:c r="I1982" s="11" t="n">
        <x:v>3</x:v>
      </x:c>
      <x:c r="J1982" s="9" t="n">
        <x:v>134</x:v>
      </x:c>
      <x:c r="K1982" s="10" t="n">
        <x:v>0</x:v>
      </x:c>
      <x:c r="L1982" s="11" t="n">
        <x:v>0</x:v>
      </x:c>
      <x:c r="M1982" s="9" t="n">
        <x:f>IF(D1982="Completed",I1982*J1982,0)</x:f>
        <x:v>402</x:v>
      </x:c>
      <x:c r="N1982" s="9" t="n">
        <x:f>M1982*K1982</x:f>
        <x:v>0</x:v>
      </x:c>
      <x:c r="O1982" s="9" t="n">
        <x:f>M1982-N1982</x:f>
        <x:v>402</x:v>
      </x:c>
      <x:c r="P1982" s="9" t="n">
        <x:f>IF(D1982="Completed",L1982*J1982*(1-K1982),0)</x:f>
        <x:v>0</x:v>
      </x:c>
      <x:c r="Q1982" s="9" t="n">
        <x:f>O1982-P1982</x:f>
        <x:v>402</x:v>
      </x:c>
      <x:c r="R1982" s="11" t="n">
        <x:f>IF(D1982="Completed",I1982,0)</x:f>
        <x:v>3</x:v>
      </x:c>
      <x:c r="S1982" s="11" t="n">
        <x:f>IF(D1982="Completed",L1982,0)</x:f>
        <x:v>0</x:v>
      </x:c>
      <x:c r="T1982" s="8" t="n">
        <x:f>DATE(YEAR(C1982),MONTH(C1982),1)</x:f>
        <x:v>45931</x:v>
      </x:c>
    </x:row>
    <x:row r="1983" ht="22" customHeight="1">
      <x:c r="A1983" s="2" t="str">
        <x:v>L001979</x:v>
      </x:c>
      <x:c r="B1983" s="2" t="str">
        <x:v>O00806</x:v>
      </x:c>
      <x:c r="C1983" s="7" t="n">
        <x:v>45874</x:v>
      </x:c>
      <x:c r="D1983" s="2" t="str">
        <x:v>Completed</x:v>
      </x:c>
      <x:c r="E1983" s="2" t="str">
        <x:v>East</x:v>
      </x:c>
      <x:c r="F1983" s="2" t="str">
        <x:v>Online</x:v>
      </x:c>
      <x:c r="G1983" s="2" t="str">
        <x:v>Lighting</x:v>
      </x:c>
      <x:c r="H1983" s="2" t="str">
        <x:v>Lamp 017</x:v>
      </x:c>
      <x:c r="I1983" s="11" t="n">
        <x:v>3</x:v>
      </x:c>
      <x:c r="J1983" s="9" t="n">
        <x:v>300</x:v>
      </x:c>
      <x:c r="K1983" s="10" t="n">
        <x:v>0.05</x:v>
      </x:c>
      <x:c r="L1983" s="11" t="n">
        <x:v>0</x:v>
      </x:c>
      <x:c r="M1983" s="9" t="n">
        <x:f>IF(D1983="Completed",I1983*J1983,0)</x:f>
        <x:v>900</x:v>
      </x:c>
      <x:c r="N1983" s="9" t="n">
        <x:f>M1983*K1983</x:f>
        <x:v>45</x:v>
      </x:c>
      <x:c r="O1983" s="9" t="n">
        <x:f>M1983-N1983</x:f>
        <x:v>855</x:v>
      </x:c>
      <x:c r="P1983" s="9" t="n">
        <x:f>IF(D1983="Completed",L1983*J1983*(1-K1983),0)</x:f>
        <x:v>0</x:v>
      </x:c>
      <x:c r="Q1983" s="9" t="n">
        <x:f>O1983-P1983</x:f>
        <x:v>855</x:v>
      </x:c>
      <x:c r="R1983" s="11" t="n">
        <x:f>IF(D1983="Completed",I1983,0)</x:f>
        <x:v>3</x:v>
      </x:c>
      <x:c r="S1983" s="11" t="n">
        <x:f>IF(D1983="Completed",L1983,0)</x:f>
        <x:v>0</x:v>
      </x:c>
      <x:c r="T1983" s="8" t="n">
        <x:f>DATE(YEAR(C1983),MONTH(C1983),1)</x:f>
        <x:v>45870</x:v>
      </x:c>
    </x:row>
    <x:row r="1984" ht="22" customHeight="1">
      <x:c r="A1984" s="2" t="str">
        <x:v>L001980</x:v>
      </x:c>
      <x:c r="B1984" s="2" t="str">
        <x:v>O00807</x:v>
      </x:c>
      <x:c r="C1984" s="7" t="n">
        <x:v>45949</x:v>
      </x:c>
      <x:c r="D1984" s="2" t="str">
        <x:v>Completed</x:v>
      </x:c>
      <x:c r="E1984" s="2" t="str">
        <x:v>West</x:v>
      </x:c>
      <x:c r="F1984" s="2" t="str">
        <x:v>Store</x:v>
      </x:c>
      <x:c r="G1984" s="2" t="str">
        <x:v>Storage</x:v>
      </x:c>
      <x:c r="H1984" s="2" t="str">
        <x:v>Shelf 007</x:v>
      </x:c>
      <x:c r="I1984" s="11" t="n">
        <x:v>3</x:v>
      </x:c>
      <x:c r="J1984" s="9" t="n">
        <x:v>35</x:v>
      </x:c>
      <x:c r="K1984" s="10" t="n">
        <x:v>0.2</x:v>
      </x:c>
      <x:c r="L1984" s="11" t="n">
        <x:v>2</x:v>
      </x:c>
      <x:c r="M1984" s="9" t="n">
        <x:f>IF(D1984="Completed",I1984*J1984,0)</x:f>
        <x:v>105</x:v>
      </x:c>
      <x:c r="N1984" s="9" t="n">
        <x:f>M1984*K1984</x:f>
        <x:v>21</x:v>
      </x:c>
      <x:c r="O1984" s="9" t="n">
        <x:f>M1984-N1984</x:f>
        <x:v>84</x:v>
      </x:c>
      <x:c r="P1984" s="9" t="n">
        <x:f>IF(D1984="Completed",L1984*J1984*(1-K1984),0)</x:f>
        <x:v>56</x:v>
      </x:c>
      <x:c r="Q1984" s="9" t="n">
        <x:f>O1984-P1984</x:f>
        <x:v>28</x:v>
      </x:c>
      <x:c r="R1984" s="11" t="n">
        <x:f>IF(D1984="Completed",I1984,0)</x:f>
        <x:v>3</x:v>
      </x:c>
      <x:c r="S1984" s="11" t="n">
        <x:f>IF(D1984="Completed",L1984,0)</x:f>
        <x:v>2</x:v>
      </x:c>
      <x:c r="T1984" s="8" t="n">
        <x:f>DATE(YEAR(C1984),MONTH(C1984),1)</x:f>
        <x:v>45931</x:v>
      </x:c>
    </x:row>
    <x:row r="1985" ht="22" customHeight="1">
      <x:c r="A1985" s="2" t="str">
        <x:v>L001981</x:v>
      </x:c>
      <x:c r="B1985" s="2" t="str">
        <x:v>O00808</x:v>
      </x:c>
      <x:c r="C1985" s="7" t="n">
        <x:v>45824</x:v>
      </x:c>
      <x:c r="D1985" s="2" t="str">
        <x:v>Completed</x:v>
      </x:c>
      <x:c r="E1985" s="2" t="str">
        <x:v>West</x:v>
      </x:c>
      <x:c r="F1985" s="2" t="str">
        <x:v>Store</x:v>
      </x:c>
      <x:c r="G1985" s="2" t="str">
        <x:v>Lighting</x:v>
      </x:c>
      <x:c r="H1985" s="2" t="str">
        <x:v>Lamp 009</x:v>
      </x:c>
      <x:c r="I1985" s="11" t="n">
        <x:v>5</x:v>
      </x:c>
      <x:c r="J1985" s="9" t="n">
        <x:v>93</x:v>
      </x:c>
      <x:c r="K1985" s="10" t="n">
        <x:v>0.05</x:v>
      </x:c>
      <x:c r="L1985" s="11" t="n">
        <x:v>0</x:v>
      </x:c>
      <x:c r="M1985" s="9" t="n">
        <x:f>IF(D1985="Completed",I1985*J1985,0)</x:f>
        <x:v>465</x:v>
      </x:c>
      <x:c r="N1985" s="9" t="n">
        <x:f>M1985*K1985</x:f>
        <x:v>23.25</x:v>
      </x:c>
      <x:c r="O1985" s="9" t="n">
        <x:f>M1985-N1985</x:f>
        <x:v>441.75</x:v>
      </x:c>
      <x:c r="P1985" s="9" t="n">
        <x:f>IF(D1985="Completed",L1985*J1985*(1-K1985),0)</x:f>
        <x:v>0</x:v>
      </x:c>
      <x:c r="Q1985" s="9" t="n">
        <x:f>O1985-P1985</x:f>
        <x:v>441.75</x:v>
      </x:c>
      <x:c r="R1985" s="11" t="n">
        <x:f>IF(D1985="Completed",I1985,0)</x:f>
        <x:v>5</x:v>
      </x:c>
      <x:c r="S1985" s="11" t="n">
        <x:f>IF(D1985="Completed",L1985,0)</x:f>
        <x:v>0</x:v>
      </x:c>
      <x:c r="T1985" s="8" t="n">
        <x:f>DATE(YEAR(C1985),MONTH(C1985),1)</x:f>
        <x:v>45809</x:v>
      </x:c>
    </x:row>
    <x:row r="1986" ht="22" customHeight="1">
      <x:c r="A1986" s="2" t="str">
        <x:v>L001982</x:v>
      </x:c>
      <x:c r="B1986" s="2" t="str">
        <x:v>O00808</x:v>
      </x:c>
      <x:c r="C1986" s="7" t="n">
        <x:v>45824</x:v>
      </x:c>
      <x:c r="D1986" s="2" t="str">
        <x:v>Completed</x:v>
      </x:c>
      <x:c r="E1986" s="2" t="str">
        <x:v>West</x:v>
      </x:c>
      <x:c r="F1986" s="2" t="str">
        <x:v>Store</x:v>
      </x:c>
      <x:c r="G1986" s="2" t="str">
        <x:v>Storage</x:v>
      </x:c>
      <x:c r="H1986" s="2" t="str">
        <x:v>Shelf 003</x:v>
      </x:c>
      <x:c r="I1986" s="11" t="n">
        <x:v>3</x:v>
      </x:c>
      <x:c r="J1986" s="9" t="n">
        <x:v>199</x:v>
      </x:c>
      <x:c r="K1986" s="10" t="n">
        <x:v>0.1</x:v>
      </x:c>
      <x:c r="L1986" s="11" t="n">
        <x:v>0</x:v>
      </x:c>
      <x:c r="M1986" s="9" t="n">
        <x:f>IF(D1986="Completed",I1986*J1986,0)</x:f>
        <x:v>597</x:v>
      </x:c>
      <x:c r="N1986" s="9" t="n">
        <x:f>M1986*K1986</x:f>
        <x:v>59.7</x:v>
      </x:c>
      <x:c r="O1986" s="9" t="n">
        <x:f>M1986-N1986</x:f>
        <x:v>537.3</x:v>
      </x:c>
      <x:c r="P1986" s="9" t="n">
        <x:f>IF(D1986="Completed",L1986*J1986*(1-K1986),0)</x:f>
        <x:v>0</x:v>
      </x:c>
      <x:c r="Q1986" s="9" t="n">
        <x:f>O1986-P1986</x:f>
        <x:v>537.3</x:v>
      </x:c>
      <x:c r="R1986" s="11" t="n">
        <x:f>IF(D1986="Completed",I1986,0)</x:f>
        <x:v>3</x:v>
      </x:c>
      <x:c r="S1986" s="11" t="n">
        <x:f>IF(D1986="Completed",L1986,0)</x:f>
        <x:v>0</x:v>
      </x:c>
      <x:c r="T1986" s="8" t="n">
        <x:f>DATE(YEAR(C1986),MONTH(C1986),1)</x:f>
        <x:v>45809</x:v>
      </x:c>
    </x:row>
    <x:row r="1987" ht="22" customHeight="1">
      <x:c r="A1987" s="2" t="str">
        <x:v>L001983</x:v>
      </x:c>
      <x:c r="B1987" s="2" t="str">
        <x:v>O00808</x:v>
      </x:c>
      <x:c r="C1987" s="7" t="n">
        <x:v>45824</x:v>
      </x:c>
      <x:c r="D1987" s="2" t="str">
        <x:v>Completed</x:v>
      </x:c>
      <x:c r="E1987" s="2" t="str">
        <x:v>West</x:v>
      </x:c>
      <x:c r="F1987" s="2" t="str">
        <x:v>Store</x:v>
      </x:c>
      <x:c r="G1987" s="2" t="str">
        <x:v>Furniture</x:v>
      </x:c>
      <x:c r="H1987" s="2" t="str">
        <x:v>Desk 020</x:v>
      </x:c>
      <x:c r="I1987" s="11" t="n">
        <x:v>2</x:v>
      </x:c>
      <x:c r="J1987" s="9" t="n">
        <x:v>189</x:v>
      </x:c>
      <x:c r="K1987" s="10" t="n">
        <x:v>0</x:v>
      </x:c>
      <x:c r="L1987" s="11" t="n">
        <x:v>0</x:v>
      </x:c>
      <x:c r="M1987" s="9" t="n">
        <x:f>IF(D1987="Completed",I1987*J1987,0)</x:f>
        <x:v>378</x:v>
      </x:c>
      <x:c r="N1987" s="9" t="n">
        <x:f>M1987*K1987</x:f>
        <x:v>0</x:v>
      </x:c>
      <x:c r="O1987" s="9" t="n">
        <x:f>M1987-N1987</x:f>
        <x:v>378</x:v>
      </x:c>
      <x:c r="P1987" s="9" t="n">
        <x:f>IF(D1987="Completed",L1987*J1987*(1-K1987),0)</x:f>
        <x:v>0</x:v>
      </x:c>
      <x:c r="Q1987" s="9" t="n">
        <x:f>O1987-P1987</x:f>
        <x:v>378</x:v>
      </x:c>
      <x:c r="R1987" s="11" t="n">
        <x:f>IF(D1987="Completed",I1987,0)</x:f>
        <x:v>2</x:v>
      </x:c>
      <x:c r="S1987" s="11" t="n">
        <x:f>IF(D1987="Completed",L1987,0)</x:f>
        <x:v>0</x:v>
      </x:c>
      <x:c r="T1987" s="8" t="n">
        <x:f>DATE(YEAR(C1987),MONTH(C1987),1)</x:f>
        <x:v>45809</x:v>
      </x:c>
    </x:row>
    <x:row r="1988" ht="22" customHeight="1">
      <x:c r="A1988" s="2" t="str">
        <x:v>L001984</x:v>
      </x:c>
      <x:c r="B1988" s="2" t="str">
        <x:v>O00809</x:v>
      </x:c>
      <x:c r="C1988" s="7" t="n">
        <x:v>45794</x:v>
      </x:c>
      <x:c r="D1988" s="2" t="str">
        <x:v>Completed</x:v>
      </x:c>
      <x:c r="E1988" s="2" t="str">
        <x:v>West</x:v>
      </x:c>
      <x:c r="F1988" s="2" t="str">
        <x:v>Online</x:v>
      </x:c>
      <x:c r="G1988" s="2" t="str">
        <x:v>Furniture</x:v>
      </x:c>
      <x:c r="H1988" s="2" t="str">
        <x:v>Chair 014</x:v>
      </x:c>
      <x:c r="I1988" s="11" t="n">
        <x:v>5</x:v>
      </x:c>
      <x:c r="J1988" s="9" t="n">
        <x:v>294</x:v>
      </x:c>
      <x:c r="K1988" s="10" t="n">
        <x:v>0.2</x:v>
      </x:c>
      <x:c r="L1988" s="11" t="n">
        <x:v>0</x:v>
      </x:c>
      <x:c r="M1988" s="9" t="n">
        <x:f>IF(D1988="Completed",I1988*J1988,0)</x:f>
        <x:v>1470</x:v>
      </x:c>
      <x:c r="N1988" s="9" t="n">
        <x:f>M1988*K1988</x:f>
        <x:v>294</x:v>
      </x:c>
      <x:c r="O1988" s="9" t="n">
        <x:f>M1988-N1988</x:f>
        <x:v>1176</x:v>
      </x:c>
      <x:c r="P1988" s="9" t="n">
        <x:f>IF(D1988="Completed",L1988*J1988*(1-K1988),0)</x:f>
        <x:v>0</x:v>
      </x:c>
      <x:c r="Q1988" s="9" t="n">
        <x:f>O1988-P1988</x:f>
        <x:v>1176</x:v>
      </x:c>
      <x:c r="R1988" s="11" t="n">
        <x:f>IF(D1988="Completed",I1988,0)</x:f>
        <x:v>5</x:v>
      </x:c>
      <x:c r="S1988" s="11" t="n">
        <x:f>IF(D1988="Completed",L1988,0)</x:f>
        <x:v>0</x:v>
      </x:c>
      <x:c r="T1988" s="8" t="n">
        <x:f>DATE(YEAR(C1988),MONTH(C1988),1)</x:f>
        <x:v>45778</x:v>
      </x:c>
    </x:row>
    <x:row r="1989" ht="22" customHeight="1">
      <x:c r="A1989" s="2" t="str">
        <x:v>L001985</x:v>
      </x:c>
      <x:c r="B1989" s="2" t="str">
        <x:v>O00810</x:v>
      </x:c>
      <x:c r="C1989" s="7" t="n">
        <x:v>45681</x:v>
      </x:c>
      <x:c r="D1989" s="2" t="str">
        <x:v>Completed</x:v>
      </x:c>
      <x:c r="E1989" s="2" t="str">
        <x:v>South</x:v>
      </x:c>
      <x:c r="F1989" s="2" t="str">
        <x:v>Store</x:v>
      </x:c>
      <x:c r="G1989" s="2" t="str">
        <x:v>Storage</x:v>
      </x:c>
      <x:c r="H1989" s="2" t="str">
        <x:v>Shelf 019</x:v>
      </x:c>
      <x:c r="I1989" s="11" t="n">
        <x:v>2</x:v>
      </x:c>
      <x:c r="J1989" s="9" t="n">
        <x:v>78</x:v>
      </x:c>
      <x:c r="K1989" s="10" t="n">
        <x:v>0.2</x:v>
      </x:c>
      <x:c r="L1989" s="11" t="n">
        <x:v>0</x:v>
      </x:c>
      <x:c r="M1989" s="9" t="n">
        <x:f>IF(D1989="Completed",I1989*J1989,0)</x:f>
        <x:v>156</x:v>
      </x:c>
      <x:c r="N1989" s="9" t="n">
        <x:f>M1989*K1989</x:f>
        <x:v>31.200000000000003</x:v>
      </x:c>
      <x:c r="O1989" s="9" t="n">
        <x:f>M1989-N1989</x:f>
        <x:v>124.8</x:v>
      </x:c>
      <x:c r="P1989" s="9" t="n">
        <x:f>IF(D1989="Completed",L1989*J1989*(1-K1989),0)</x:f>
        <x:v>0</x:v>
      </x:c>
      <x:c r="Q1989" s="9" t="n">
        <x:f>O1989-P1989</x:f>
        <x:v>124.8</x:v>
      </x:c>
      <x:c r="R1989" s="11" t="n">
        <x:f>IF(D1989="Completed",I1989,0)</x:f>
        <x:v>2</x:v>
      </x:c>
      <x:c r="S1989" s="11" t="n">
        <x:f>IF(D1989="Completed",L1989,0)</x:f>
        <x:v>0</x:v>
      </x:c>
      <x:c r="T1989" s="8" t="n">
        <x:f>DATE(YEAR(C1989),MONTH(C1989),1)</x:f>
        <x:v>45658</x:v>
      </x:c>
    </x:row>
    <x:row r="1990" ht="22" customHeight="1">
      <x:c r="A1990" s="2" t="str">
        <x:v>L001986</x:v>
      </x:c>
      <x:c r="B1990" s="2" t="str">
        <x:v>O00810</x:v>
      </x:c>
      <x:c r="C1990" s="7" t="n">
        <x:v>45681</x:v>
      </x:c>
      <x:c r="D1990" s="2" t="str">
        <x:v>Completed</x:v>
      </x:c>
      <x:c r="E1990" s="2" t="str">
        <x:v>South</x:v>
      </x:c>
      <x:c r="F1990" s="2" t="str">
        <x:v>Store</x:v>
      </x:c>
      <x:c r="G1990" s="2" t="str">
        <x:v>Storage</x:v>
      </x:c>
      <x:c r="H1990" s="2" t="str">
        <x:v>Shelf 015</x:v>
      </x:c>
      <x:c r="I1990" s="11" t="n">
        <x:v>2</x:v>
      </x:c>
      <x:c r="J1990" s="9" t="n">
        <x:v>254</x:v>
      </x:c>
      <x:c r="K1990" s="10" t="n">
        <x:v>0.1</x:v>
      </x:c>
      <x:c r="L1990" s="11" t="n">
        <x:v>0</x:v>
      </x:c>
      <x:c r="M1990" s="9" t="n">
        <x:f>IF(D1990="Completed",I1990*J1990,0)</x:f>
        <x:v>508</x:v>
      </x:c>
      <x:c r="N1990" s="9" t="n">
        <x:f>M1990*K1990</x:f>
        <x:v>50.800000000000004</x:v>
      </x:c>
      <x:c r="O1990" s="9" t="n">
        <x:f>M1990-N1990</x:f>
        <x:v>457.2</x:v>
      </x:c>
      <x:c r="P1990" s="9" t="n">
        <x:f>IF(D1990="Completed",L1990*J1990*(1-K1990),0)</x:f>
        <x:v>0</x:v>
      </x:c>
      <x:c r="Q1990" s="9" t="n">
        <x:f>O1990-P1990</x:f>
        <x:v>457.2</x:v>
      </x:c>
      <x:c r="R1990" s="11" t="n">
        <x:f>IF(D1990="Completed",I1990,0)</x:f>
        <x:v>2</x:v>
      </x:c>
      <x:c r="S1990" s="11" t="n">
        <x:f>IF(D1990="Completed",L1990,0)</x:f>
        <x:v>0</x:v>
      </x:c>
      <x:c r="T1990" s="8" t="n">
        <x:f>DATE(YEAR(C1990),MONTH(C1990),1)</x:f>
        <x:v>45658</x:v>
      </x:c>
    </x:row>
    <x:row r="1991" ht="22" customHeight="1">
      <x:c r="A1991" s="2" t="str">
        <x:v>L001987</x:v>
      </x:c>
      <x:c r="B1991" s="2" t="str">
        <x:v>O00811</x:v>
      </x:c>
      <x:c r="C1991" s="7" t="n">
        <x:v>45821</x:v>
      </x:c>
      <x:c r="D1991" s="2" t="str">
        <x:v>Completed</x:v>
      </x:c>
      <x:c r="E1991" s="2" t="str">
        <x:v>West</x:v>
      </x:c>
      <x:c r="F1991" s="2" t="str">
        <x:v>Store</x:v>
      </x:c>
      <x:c r="G1991" s="2" t="str">
        <x:v>Lighting</x:v>
      </x:c>
      <x:c r="H1991" s="2" t="str">
        <x:v>Lamp 001</x:v>
      </x:c>
      <x:c r="I1991" s="11" t="n">
        <x:v>5</x:v>
      </x:c>
      <x:c r="J1991" s="9" t="n">
        <x:v>122</x:v>
      </x:c>
      <x:c r="K1991" s="10" t="n">
        <x:v>0</x:v>
      </x:c>
      <x:c r="L1991" s="11" t="n">
        <x:v>0</x:v>
      </x:c>
      <x:c r="M1991" s="9" t="n">
        <x:f>IF(D1991="Completed",I1991*J1991,0)</x:f>
        <x:v>610</x:v>
      </x:c>
      <x:c r="N1991" s="9" t="n">
        <x:f>M1991*K1991</x:f>
        <x:v>0</x:v>
      </x:c>
      <x:c r="O1991" s="9" t="n">
        <x:f>M1991-N1991</x:f>
        <x:v>610</x:v>
      </x:c>
      <x:c r="P1991" s="9" t="n">
        <x:f>IF(D1991="Completed",L1991*J1991*(1-K1991),0)</x:f>
        <x:v>0</x:v>
      </x:c>
      <x:c r="Q1991" s="9" t="n">
        <x:f>O1991-P1991</x:f>
        <x:v>610</x:v>
      </x:c>
      <x:c r="R1991" s="11" t="n">
        <x:f>IF(D1991="Completed",I1991,0)</x:f>
        <x:v>5</x:v>
      </x:c>
      <x:c r="S1991" s="11" t="n">
        <x:f>IF(D1991="Completed",L1991,0)</x:f>
        <x:v>0</x:v>
      </x:c>
      <x:c r="T1991" s="8" t="n">
        <x:f>DATE(YEAR(C1991),MONTH(C1991),1)</x:f>
        <x:v>45809</x:v>
      </x:c>
    </x:row>
    <x:row r="1992" ht="22" customHeight="1">
      <x:c r="A1992" s="2" t="str">
        <x:v>L001988</x:v>
      </x:c>
      <x:c r="B1992" s="2" t="str">
        <x:v>O00811</x:v>
      </x:c>
      <x:c r="C1992" s="7" t="n">
        <x:v>45821</x:v>
      </x:c>
      <x:c r="D1992" s="2" t="str">
        <x:v>Completed</x:v>
      </x:c>
      <x:c r="E1992" s="2" t="str">
        <x:v>West</x:v>
      </x:c>
      <x:c r="F1992" s="2" t="str">
        <x:v>Store</x:v>
      </x:c>
      <x:c r="G1992" s="2" t="str">
        <x:v>Storage</x:v>
      </x:c>
      <x:c r="H1992" s="2" t="str">
        <x:v>Shelf 011</x:v>
      </x:c>
      <x:c r="I1992" s="11" t="n">
        <x:v>4</x:v>
      </x:c>
      <x:c r="J1992" s="9" t="n">
        <x:v>80</x:v>
      </x:c>
      <x:c r="K1992" s="10" t="n">
        <x:v>0.1</x:v>
      </x:c>
      <x:c r="L1992" s="11" t="n">
        <x:v>0</x:v>
      </x:c>
      <x:c r="M1992" s="9" t="n">
        <x:f>IF(D1992="Completed",I1992*J1992,0)</x:f>
        <x:v>320</x:v>
      </x:c>
      <x:c r="N1992" s="9" t="n">
        <x:f>M1992*K1992</x:f>
        <x:v>32</x:v>
      </x:c>
      <x:c r="O1992" s="9" t="n">
        <x:f>M1992-N1992</x:f>
        <x:v>288</x:v>
      </x:c>
      <x:c r="P1992" s="9" t="n">
        <x:f>IF(D1992="Completed",L1992*J1992*(1-K1992),0)</x:f>
        <x:v>0</x:v>
      </x:c>
      <x:c r="Q1992" s="9" t="n">
        <x:f>O1992-P1992</x:f>
        <x:v>288</x:v>
      </x:c>
      <x:c r="R1992" s="11" t="n">
        <x:f>IF(D1992="Completed",I1992,0)</x:f>
        <x:v>4</x:v>
      </x:c>
      <x:c r="S1992" s="11" t="n">
        <x:f>IF(D1992="Completed",L1992,0)</x:f>
        <x:v>0</x:v>
      </x:c>
      <x:c r="T1992" s="8" t="n">
        <x:f>DATE(YEAR(C1992),MONTH(C1992),1)</x:f>
        <x:v>45809</x:v>
      </x:c>
    </x:row>
    <x:row r="1993" ht="22" customHeight="1">
      <x:c r="A1993" s="2" t="str">
        <x:v>L001989</x:v>
      </x:c>
      <x:c r="B1993" s="2" t="str">
        <x:v>O00811</x:v>
      </x:c>
      <x:c r="C1993" s="7" t="n">
        <x:v>45821</x:v>
      </x:c>
      <x:c r="D1993" s="2" t="str">
        <x:v>Completed</x:v>
      </x:c>
      <x:c r="E1993" s="2" t="str">
        <x:v>West</x:v>
      </x:c>
      <x:c r="F1993" s="2" t="str">
        <x:v>Store</x:v>
      </x:c>
      <x:c r="G1993" s="2" t="str">
        <x:v>Lighting</x:v>
      </x:c>
      <x:c r="H1993" s="2" t="str">
        <x:v>Lamp 013</x:v>
      </x:c>
      <x:c r="I1993" s="11" t="n">
        <x:v>4</x:v>
      </x:c>
      <x:c r="J1993" s="9" t="n">
        <x:v>271</x:v>
      </x:c>
      <x:c r="K1993" s="10" t="n">
        <x:v>0.1</x:v>
      </x:c>
      <x:c r="L1993" s="11" t="n">
        <x:v>0</x:v>
      </x:c>
      <x:c r="M1993" s="9" t="n">
        <x:f>IF(D1993="Completed",I1993*J1993,0)</x:f>
        <x:v>1084</x:v>
      </x:c>
      <x:c r="N1993" s="9" t="n">
        <x:f>M1993*K1993</x:f>
        <x:v>108.4</x:v>
      </x:c>
      <x:c r="O1993" s="9" t="n">
        <x:f>M1993-N1993</x:f>
        <x:v>975.6</x:v>
      </x:c>
      <x:c r="P1993" s="9" t="n">
        <x:f>IF(D1993="Completed",L1993*J1993*(1-K1993),0)</x:f>
        <x:v>0</x:v>
      </x:c>
      <x:c r="Q1993" s="9" t="n">
        <x:f>O1993-P1993</x:f>
        <x:v>975.6</x:v>
      </x:c>
      <x:c r="R1993" s="11" t="n">
        <x:f>IF(D1993="Completed",I1993,0)</x:f>
        <x:v>4</x:v>
      </x:c>
      <x:c r="S1993" s="11" t="n">
        <x:f>IF(D1993="Completed",L1993,0)</x:f>
        <x:v>0</x:v>
      </x:c>
      <x:c r="T1993" s="8" t="n">
        <x:f>DATE(YEAR(C1993),MONTH(C1993),1)</x:f>
        <x:v>45809</x:v>
      </x:c>
    </x:row>
    <x:row r="1994" ht="22" customHeight="1">
      <x:c r="A1994" s="2" t="str">
        <x:v>L001990</x:v>
      </x:c>
      <x:c r="B1994" s="2" t="str">
        <x:v>O00812</x:v>
      </x:c>
      <x:c r="C1994" s="7" t="n">
        <x:v>45684</x:v>
      </x:c>
      <x:c r="D1994" s="2" t="str">
        <x:v>Completed</x:v>
      </x:c>
      <x:c r="E1994" s="2" t="str">
        <x:v>South</x:v>
      </x:c>
      <x:c r="F1994" s="2" t="str">
        <x:v>Store</x:v>
      </x:c>
      <x:c r="G1994" s="2" t="str">
        <x:v>Furniture</x:v>
      </x:c>
      <x:c r="H1994" s="2" t="str">
        <x:v>Desk 024</x:v>
      </x:c>
      <x:c r="I1994" s="11" t="n">
        <x:v>1</x:v>
      </x:c>
      <x:c r="J1994" s="9" t="n">
        <x:v>81</x:v>
      </x:c>
      <x:c r="K1994" s="10" t="n">
        <x:v>0.2</x:v>
      </x:c>
      <x:c r="L1994" s="11" t="n">
        <x:v>1</x:v>
      </x:c>
      <x:c r="M1994" s="9" t="n">
        <x:f>IF(D1994="Completed",I1994*J1994,0)</x:f>
        <x:v>81</x:v>
      </x:c>
      <x:c r="N1994" s="9" t="n">
        <x:f>M1994*K1994</x:f>
        <x:v>16.2</x:v>
      </x:c>
      <x:c r="O1994" s="9" t="n">
        <x:f>M1994-N1994</x:f>
        <x:v>64.8</x:v>
      </x:c>
      <x:c r="P1994" s="9" t="n">
        <x:f>IF(D1994="Completed",L1994*J1994*(1-K1994),0)</x:f>
        <x:v>64.8</x:v>
      </x:c>
      <x:c r="Q1994" s="9" t="n">
        <x:f>O1994-P1994</x:f>
        <x:v>0</x:v>
      </x:c>
      <x:c r="R1994" s="11" t="n">
        <x:f>IF(D1994="Completed",I1994,0)</x:f>
        <x:v>1</x:v>
      </x:c>
      <x:c r="S1994" s="11" t="n">
        <x:f>IF(D1994="Completed",L1994,0)</x:f>
        <x:v>1</x:v>
      </x:c>
      <x:c r="T1994" s="8" t="n">
        <x:f>DATE(YEAR(C1994),MONTH(C1994),1)</x:f>
        <x:v>45658</x:v>
      </x:c>
    </x:row>
    <x:row r="1995" ht="22" customHeight="1">
      <x:c r="A1995" s="2" t="str">
        <x:v>L001991</x:v>
      </x:c>
      <x:c r="B1995" s="2" t="str">
        <x:v>O00812</x:v>
      </x:c>
      <x:c r="C1995" s="7" t="n">
        <x:v>45684</x:v>
      </x:c>
      <x:c r="D1995" s="2" t="str">
        <x:v>Completed</x:v>
      </x:c>
      <x:c r="E1995" s="2" t="str">
        <x:v>South</x:v>
      </x:c>
      <x:c r="F1995" s="2" t="str">
        <x:v>Store</x:v>
      </x:c>
      <x:c r="G1995" s="2" t="str">
        <x:v>Furniture</x:v>
      </x:c>
      <x:c r="H1995" s="2" t="str">
        <x:v>Chair 002</x:v>
      </x:c>
      <x:c r="I1995" s="11" t="n">
        <x:v>5</x:v>
      </x:c>
      <x:c r="J1995" s="9" t="n">
        <x:v>284</x:v>
      </x:c>
      <x:c r="K1995" s="10" t="n">
        <x:v>0</x:v>
      </x:c>
      <x:c r="L1995" s="11" t="n">
        <x:v>0</x:v>
      </x:c>
      <x:c r="M1995" s="9" t="n">
        <x:f>IF(D1995="Completed",I1995*J1995,0)</x:f>
        <x:v>1420</x:v>
      </x:c>
      <x:c r="N1995" s="9" t="n">
        <x:f>M1995*K1995</x:f>
        <x:v>0</x:v>
      </x:c>
      <x:c r="O1995" s="9" t="n">
        <x:f>M1995-N1995</x:f>
        <x:v>1420</x:v>
      </x:c>
      <x:c r="P1995" s="9" t="n">
        <x:f>IF(D1995="Completed",L1995*J1995*(1-K1995),0)</x:f>
        <x:v>0</x:v>
      </x:c>
      <x:c r="Q1995" s="9" t="n">
        <x:f>O1995-P1995</x:f>
        <x:v>1420</x:v>
      </x:c>
      <x:c r="R1995" s="11" t="n">
        <x:f>IF(D1995="Completed",I1995,0)</x:f>
        <x:v>5</x:v>
      </x:c>
      <x:c r="S1995" s="11" t="n">
        <x:f>IF(D1995="Completed",L1995,0)</x:f>
        <x:v>0</x:v>
      </x:c>
      <x:c r="T1995" s="8" t="n">
        <x:f>DATE(YEAR(C1995),MONTH(C1995),1)</x:f>
        <x:v>45658</x:v>
      </x:c>
    </x:row>
    <x:row r="1996" ht="22" customHeight="1">
      <x:c r="A1996" s="2" t="str">
        <x:v>L001992</x:v>
      </x:c>
      <x:c r="B1996" s="2" t="str">
        <x:v>O00813</x:v>
      </x:c>
      <x:c r="C1996" s="7" t="n">
        <x:v>45978</x:v>
      </x:c>
      <x:c r="D1996" s="2" t="str">
        <x:v>Completed</x:v>
      </x:c>
      <x:c r="E1996" s="2" t="str">
        <x:v>North</x:v>
      </x:c>
      <x:c r="F1996" s="2" t="str">
        <x:v>Store</x:v>
      </x:c>
      <x:c r="G1996" s="2" t="str">
        <x:v>Storage</x:v>
      </x:c>
      <x:c r="H1996" s="2" t="str">
        <x:v>Shelf 007</x:v>
      </x:c>
      <x:c r="I1996" s="11" t="n">
        <x:v>1</x:v>
      </x:c>
      <x:c r="J1996" s="9" t="n">
        <x:v>35</x:v>
      </x:c>
      <x:c r="K1996" s="10" t="n">
        <x:v>0.05</x:v>
      </x:c>
      <x:c r="L1996" s="11" t="n">
        <x:v>0</x:v>
      </x:c>
      <x:c r="M1996" s="9" t="n">
        <x:f>IF(D1996="Completed",I1996*J1996,0)</x:f>
        <x:v>35</x:v>
      </x:c>
      <x:c r="N1996" s="9" t="n">
        <x:f>M1996*K1996</x:f>
        <x:v>1.75</x:v>
      </x:c>
      <x:c r="O1996" s="9" t="n">
        <x:f>M1996-N1996</x:f>
        <x:v>33.25</x:v>
      </x:c>
      <x:c r="P1996" s="9" t="n">
        <x:f>IF(D1996="Completed",L1996*J1996*(1-K1996),0)</x:f>
        <x:v>0</x:v>
      </x:c>
      <x:c r="Q1996" s="9" t="n">
        <x:f>O1996-P1996</x:f>
        <x:v>33.25</x:v>
      </x:c>
      <x:c r="R1996" s="11" t="n">
        <x:f>IF(D1996="Completed",I1996,0)</x:f>
        <x:v>1</x:v>
      </x:c>
      <x:c r="S1996" s="11" t="n">
        <x:f>IF(D1996="Completed",L1996,0)</x:f>
        <x:v>0</x:v>
      </x:c>
      <x:c r="T1996" s="8" t="n">
        <x:f>DATE(YEAR(C1996),MONTH(C1996),1)</x:f>
        <x:v>45962</x:v>
      </x:c>
    </x:row>
    <x:row r="1997" ht="22" customHeight="1">
      <x:c r="A1997" s="2" t="str">
        <x:v>L001993</x:v>
      </x:c>
      <x:c r="B1997" s="2" t="str">
        <x:v>O00813</x:v>
      </x:c>
      <x:c r="C1997" s="7" t="n">
        <x:v>45978</x:v>
      </x:c>
      <x:c r="D1997" s="2" t="str">
        <x:v>Completed</x:v>
      </x:c>
      <x:c r="E1997" s="2" t="str">
        <x:v>North</x:v>
      </x:c>
      <x:c r="F1997" s="2" t="str">
        <x:v>Store</x:v>
      </x:c>
      <x:c r="G1997" s="2" t="str">
        <x:v>Lighting</x:v>
      </x:c>
      <x:c r="H1997" s="2" t="str">
        <x:v>Lamp 017</x:v>
      </x:c>
      <x:c r="I1997" s="11" t="n">
        <x:v>1</x:v>
      </x:c>
      <x:c r="J1997" s="9" t="n">
        <x:v>300</x:v>
      </x:c>
      <x:c r="K1997" s="10" t="n">
        <x:v>0</x:v>
      </x:c>
      <x:c r="L1997" s="11" t="n">
        <x:v>0</x:v>
      </x:c>
      <x:c r="M1997" s="9" t="n">
        <x:f>IF(D1997="Completed",I1997*J1997,0)</x:f>
        <x:v>300</x:v>
      </x:c>
      <x:c r="N1997" s="9" t="n">
        <x:f>M1997*K1997</x:f>
        <x:v>0</x:v>
      </x:c>
      <x:c r="O1997" s="9" t="n">
        <x:f>M1997-N1997</x:f>
        <x:v>300</x:v>
      </x:c>
      <x:c r="P1997" s="9" t="n">
        <x:f>IF(D1997="Completed",L1997*J1997*(1-K1997),0)</x:f>
        <x:v>0</x:v>
      </x:c>
      <x:c r="Q1997" s="9" t="n">
        <x:f>O1997-P1997</x:f>
        <x:v>300</x:v>
      </x:c>
      <x:c r="R1997" s="11" t="n">
        <x:f>IF(D1997="Completed",I1997,0)</x:f>
        <x:v>1</x:v>
      </x:c>
      <x:c r="S1997" s="11" t="n">
        <x:f>IF(D1997="Completed",L1997,0)</x:f>
        <x:v>0</x:v>
      </x:c>
      <x:c r="T1997" s="8" t="n">
        <x:f>DATE(YEAR(C1997),MONTH(C1997),1)</x:f>
        <x:v>45962</x:v>
      </x:c>
    </x:row>
    <x:row r="1998" ht="22" customHeight="1">
      <x:c r="A1998" s="2" t="str">
        <x:v>L001994</x:v>
      </x:c>
      <x:c r="B1998" s="2" t="str">
        <x:v>O00814</x:v>
      </x:c>
      <x:c r="C1998" s="7" t="n">
        <x:v>45989</x:v>
      </x:c>
      <x:c r="D1998" s="2" t="str">
        <x:v>Completed</x:v>
      </x:c>
      <x:c r="E1998" s="2" t="str">
        <x:v>West</x:v>
      </x:c>
      <x:c r="F1998" s="2" t="str">
        <x:v>Online</x:v>
      </x:c>
      <x:c r="G1998" s="2" t="str">
        <x:v>Storage</x:v>
      </x:c>
      <x:c r="H1998" s="2" t="str">
        <x:v>Shelf 023</x:v>
      </x:c>
      <x:c r="I1998" s="11" t="n">
        <x:v>3</x:v>
      </x:c>
      <x:c r="J1998" s="9" t="n">
        <x:v>68</x:v>
      </x:c>
      <x:c r="K1998" s="10" t="n">
        <x:v>0</x:v>
      </x:c>
      <x:c r="L1998" s="11" t="n">
        <x:v>0</x:v>
      </x:c>
      <x:c r="M1998" s="9" t="n">
        <x:f>IF(D1998="Completed",I1998*J1998,0)</x:f>
        <x:v>204</x:v>
      </x:c>
      <x:c r="N1998" s="9" t="n">
        <x:f>M1998*K1998</x:f>
        <x:v>0</x:v>
      </x:c>
      <x:c r="O1998" s="9" t="n">
        <x:f>M1998-N1998</x:f>
        <x:v>204</x:v>
      </x:c>
      <x:c r="P1998" s="9" t="n">
        <x:f>IF(D1998="Completed",L1998*J1998*(1-K1998),0)</x:f>
        <x:v>0</x:v>
      </x:c>
      <x:c r="Q1998" s="9" t="n">
        <x:f>O1998-P1998</x:f>
        <x:v>204</x:v>
      </x:c>
      <x:c r="R1998" s="11" t="n">
        <x:f>IF(D1998="Completed",I1998,0)</x:f>
        <x:v>3</x:v>
      </x:c>
      <x:c r="S1998" s="11" t="n">
        <x:f>IF(D1998="Completed",L1998,0)</x:f>
        <x:v>0</x:v>
      </x:c>
      <x:c r="T1998" s="8" t="n">
        <x:f>DATE(YEAR(C1998),MONTH(C1998),1)</x:f>
        <x:v>45962</x:v>
      </x:c>
    </x:row>
    <x:row r="1999" ht="22" customHeight="1">
      <x:c r="A1999" s="2" t="str">
        <x:v>L001995</x:v>
      </x:c>
      <x:c r="B1999" s="2" t="str">
        <x:v>O00815</x:v>
      </x:c>
      <x:c r="C1999" s="7" t="n">
        <x:v>45884</x:v>
      </x:c>
      <x:c r="D1999" s="2" t="str">
        <x:v>Completed</x:v>
      </x:c>
      <x:c r="E1999" s="2" t="str">
        <x:v>West</x:v>
      </x:c>
      <x:c r="F1999" s="2" t="str">
        <x:v>Online</x:v>
      </x:c>
      <x:c r="G1999" s="2" t="str">
        <x:v>Lighting</x:v>
      </x:c>
      <x:c r="H1999" s="2" t="str">
        <x:v>Lamp 005</x:v>
      </x:c>
      <x:c r="I1999" s="11" t="n">
        <x:v>4</x:v>
      </x:c>
      <x:c r="J1999" s="9" t="n">
        <x:v>65</x:v>
      </x:c>
      <x:c r="K1999" s="10" t="n">
        <x:v>0</x:v>
      </x:c>
      <x:c r="L1999" s="11" t="n">
        <x:v>0</x:v>
      </x:c>
      <x:c r="M1999" s="9" t="n">
        <x:f>IF(D1999="Completed",I1999*J1999,0)</x:f>
        <x:v>260</x:v>
      </x:c>
      <x:c r="N1999" s="9" t="n">
        <x:f>M1999*K1999</x:f>
        <x:v>0</x:v>
      </x:c>
      <x:c r="O1999" s="9" t="n">
        <x:f>M1999-N1999</x:f>
        <x:v>260</x:v>
      </x:c>
      <x:c r="P1999" s="9" t="n">
        <x:f>IF(D1999="Completed",L1999*J1999*(1-K1999),0)</x:f>
        <x:v>0</x:v>
      </x:c>
      <x:c r="Q1999" s="9" t="n">
        <x:f>O1999-P1999</x:f>
        <x:v>260</x:v>
      </x:c>
      <x:c r="R1999" s="11" t="n">
        <x:f>IF(D1999="Completed",I1999,0)</x:f>
        <x:v>4</x:v>
      </x:c>
      <x:c r="S1999" s="11" t="n">
        <x:f>IF(D1999="Completed",L1999,0)</x:f>
        <x:v>0</x:v>
      </x:c>
      <x:c r="T1999" s="8" t="n">
        <x:f>DATE(YEAR(C1999),MONTH(C1999),1)</x:f>
        <x:v>45870</x:v>
      </x:c>
    </x:row>
    <x:row r="2000" ht="22" customHeight="1">
      <x:c r="A2000" s="2" t="str">
        <x:v>L001996</x:v>
      </x:c>
      <x:c r="B2000" s="2" t="str">
        <x:v>O00815</x:v>
      </x:c>
      <x:c r="C2000" s="7" t="n">
        <x:v>45884</x:v>
      </x:c>
      <x:c r="D2000" s="2" t="str">
        <x:v>Completed</x:v>
      </x:c>
      <x:c r="E2000" s="2" t="str">
        <x:v>West</x:v>
      </x:c>
      <x:c r="F2000" s="2" t="str">
        <x:v>Online</x:v>
      </x:c>
      <x:c r="G2000" s="2" t="str">
        <x:v>Furniture</x:v>
      </x:c>
      <x:c r="H2000" s="2" t="str">
        <x:v>Desk 012</x:v>
      </x:c>
      <x:c r="I2000" s="11" t="n">
        <x:v>5</x:v>
      </x:c>
      <x:c r="J2000" s="9" t="n">
        <x:v>134</x:v>
      </x:c>
      <x:c r="K2000" s="10" t="n">
        <x:v>0.05</x:v>
      </x:c>
      <x:c r="L2000" s="11" t="n">
        <x:v>0</x:v>
      </x:c>
      <x:c r="M2000" s="9" t="n">
        <x:f>IF(D2000="Completed",I2000*J2000,0)</x:f>
        <x:v>670</x:v>
      </x:c>
      <x:c r="N2000" s="9" t="n">
        <x:f>M2000*K2000</x:f>
        <x:v>33.5</x:v>
      </x:c>
      <x:c r="O2000" s="9" t="n">
        <x:f>M2000-N2000</x:f>
        <x:v>636.5</x:v>
      </x:c>
      <x:c r="P2000" s="9" t="n">
        <x:f>IF(D2000="Completed",L2000*J2000*(1-K2000),0)</x:f>
        <x:v>0</x:v>
      </x:c>
      <x:c r="Q2000" s="9" t="n">
        <x:f>O2000-P2000</x:f>
        <x:v>636.5</x:v>
      </x:c>
      <x:c r="R2000" s="11" t="n">
        <x:f>IF(D2000="Completed",I2000,0)</x:f>
        <x:v>5</x:v>
      </x:c>
      <x:c r="S2000" s="11" t="n">
        <x:f>IF(D2000="Completed",L2000,0)</x:f>
        <x:v>0</x:v>
      </x:c>
      <x:c r="T2000" s="8" t="n">
        <x:f>DATE(YEAR(C2000),MONTH(C2000),1)</x:f>
        <x:v>45870</x:v>
      </x:c>
    </x:row>
    <x:row r="2001" ht="22" customHeight="1">
      <x:c r="A2001" s="2" t="str">
        <x:v>L001997</x:v>
      </x:c>
      <x:c r="B2001" s="2" t="str">
        <x:v>O00816</x:v>
      </x:c>
      <x:c r="C2001" s="7" t="n">
        <x:v>45834</x:v>
      </x:c>
      <x:c r="D2001" s="2" t="str">
        <x:v>Completed</x:v>
      </x:c>
      <x:c r="E2001" s="2" t="str">
        <x:v>North</x:v>
      </x:c>
      <x:c r="F2001" s="2" t="str">
        <x:v>Store</x:v>
      </x:c>
      <x:c r="G2001" s="2" t="str">
        <x:v>Furniture</x:v>
      </x:c>
      <x:c r="H2001" s="2" t="str">
        <x:v>Desk 004</x:v>
      </x:c>
      <x:c r="I2001" s="11" t="n">
        <x:v>3</x:v>
      </x:c>
      <x:c r="J2001" s="9" t="n">
        <x:v>123</x:v>
      </x:c>
      <x:c r="K2001" s="10" t="n">
        <x:v>0</x:v>
      </x:c>
      <x:c r="L2001" s="11" t="n">
        <x:v>0</x:v>
      </x:c>
      <x:c r="M2001" s="9" t="n">
        <x:f>IF(D2001="Completed",I2001*J2001,0)</x:f>
        <x:v>369</x:v>
      </x:c>
      <x:c r="N2001" s="9" t="n">
        <x:f>M2001*K2001</x:f>
        <x:v>0</x:v>
      </x:c>
      <x:c r="O2001" s="9" t="n">
        <x:f>M2001-N2001</x:f>
        <x:v>369</x:v>
      </x:c>
      <x:c r="P2001" s="9" t="n">
        <x:f>IF(D2001="Completed",L2001*J2001*(1-K2001),0)</x:f>
        <x:v>0</x:v>
      </x:c>
      <x:c r="Q2001" s="9" t="n">
        <x:f>O2001-P2001</x:f>
        <x:v>369</x:v>
      </x:c>
      <x:c r="R2001" s="11" t="n">
        <x:f>IF(D2001="Completed",I2001,0)</x:f>
        <x:v>3</x:v>
      </x:c>
      <x:c r="S2001" s="11" t="n">
        <x:f>IF(D2001="Completed",L2001,0)</x:f>
        <x:v>0</x:v>
      </x:c>
      <x:c r="T2001" s="8" t="n">
        <x:f>DATE(YEAR(C2001),MONTH(C2001),1)</x:f>
        <x:v>45809</x:v>
      </x:c>
    </x:row>
    <x:row r="2002" ht="22" customHeight="1">
      <x:c r="A2002" s="2" t="str">
        <x:v>L001998</x:v>
      </x:c>
      <x:c r="B2002" s="2" t="str">
        <x:v>O00816</x:v>
      </x:c>
      <x:c r="C2002" s="7" t="n">
        <x:v>45834</x:v>
      </x:c>
      <x:c r="D2002" s="2" t="str">
        <x:v>Completed</x:v>
      </x:c>
      <x:c r="E2002" s="2" t="str">
        <x:v>North</x:v>
      </x:c>
      <x:c r="F2002" s="2" t="str">
        <x:v>Store</x:v>
      </x:c>
      <x:c r="G2002" s="2" t="str">
        <x:v>Furniture</x:v>
      </x:c>
      <x:c r="H2002" s="2" t="str">
        <x:v>Chair 022</x:v>
      </x:c>
      <x:c r="I2002" s="11" t="n">
        <x:v>1</x:v>
      </x:c>
      <x:c r="J2002" s="9" t="n">
        <x:v>134</x:v>
      </x:c>
      <x:c r="K2002" s="10" t="n">
        <x:v>0.05</x:v>
      </x:c>
      <x:c r="L2002" s="11" t="n">
        <x:v>0</x:v>
      </x:c>
      <x:c r="M2002" s="9" t="n">
        <x:f>IF(D2002="Completed",I2002*J2002,0)</x:f>
        <x:v>134</x:v>
      </x:c>
      <x:c r="N2002" s="9" t="n">
        <x:f>M2002*K2002</x:f>
        <x:v>6.7</x:v>
      </x:c>
      <x:c r="O2002" s="9" t="n">
        <x:f>M2002-N2002</x:f>
        <x:v>127.3</x:v>
      </x:c>
      <x:c r="P2002" s="9" t="n">
        <x:f>IF(D2002="Completed",L2002*J2002*(1-K2002),0)</x:f>
        <x:v>0</x:v>
      </x:c>
      <x:c r="Q2002" s="9" t="n">
        <x:f>O2002-P2002</x:f>
        <x:v>127.3</x:v>
      </x:c>
      <x:c r="R2002" s="11" t="n">
        <x:f>IF(D2002="Completed",I2002,0)</x:f>
        <x:v>1</x:v>
      </x:c>
      <x:c r="S2002" s="11" t="n">
        <x:f>IF(D2002="Completed",L2002,0)</x:f>
        <x:v>0</x:v>
      </x:c>
      <x:c r="T2002" s="8" t="n">
        <x:f>DATE(YEAR(C2002),MONTH(C2002),1)</x:f>
        <x:v>45809</x:v>
      </x:c>
    </x:row>
    <x:row r="2003" ht="22" customHeight="1">
      <x:c r="A2003" s="2" t="str">
        <x:v>L001999</x:v>
      </x:c>
      <x:c r="B2003" s="2" t="str">
        <x:v>O00816</x:v>
      </x:c>
      <x:c r="C2003" s="7" t="n">
        <x:v>45834</x:v>
      </x:c>
      <x:c r="D2003" s="2" t="str">
        <x:v>Completed</x:v>
      </x:c>
      <x:c r="E2003" s="2" t="str">
        <x:v>North</x:v>
      </x:c>
      <x:c r="F2003" s="2" t="str">
        <x:v>Store</x:v>
      </x:c>
      <x:c r="G2003" s="2" t="str">
        <x:v>Storage</x:v>
      </x:c>
      <x:c r="H2003" s="2" t="str">
        <x:v>Shelf 011</x:v>
      </x:c>
      <x:c r="I2003" s="11" t="n">
        <x:v>1</x:v>
      </x:c>
      <x:c r="J2003" s="9" t="n">
        <x:v>80</x:v>
      </x:c>
      <x:c r="K2003" s="10" t="n">
        <x:v>0.1</x:v>
      </x:c>
      <x:c r="L2003" s="11" t="n">
        <x:v>0</x:v>
      </x:c>
      <x:c r="M2003" s="9" t="n">
        <x:f>IF(D2003="Completed",I2003*J2003,0)</x:f>
        <x:v>80</x:v>
      </x:c>
      <x:c r="N2003" s="9" t="n">
        <x:f>M2003*K2003</x:f>
        <x:v>8</x:v>
      </x:c>
      <x:c r="O2003" s="9" t="n">
        <x:f>M2003-N2003</x:f>
        <x:v>72</x:v>
      </x:c>
      <x:c r="P2003" s="9" t="n">
        <x:f>IF(D2003="Completed",L2003*J2003*(1-K2003),0)</x:f>
        <x:v>0</x:v>
      </x:c>
      <x:c r="Q2003" s="9" t="n">
        <x:f>O2003-P2003</x:f>
        <x:v>72</x:v>
      </x:c>
      <x:c r="R2003" s="11" t="n">
        <x:f>IF(D2003="Completed",I2003,0)</x:f>
        <x:v>1</x:v>
      </x:c>
      <x:c r="S2003" s="11" t="n">
        <x:f>IF(D2003="Completed",L2003,0)</x:f>
        <x:v>0</x:v>
      </x:c>
      <x:c r="T2003" s="8" t="n">
        <x:f>DATE(YEAR(C2003),MONTH(C2003),1)</x:f>
        <x:v>45809</x:v>
      </x:c>
    </x:row>
    <x:row r="2004" ht="22" customHeight="1">
      <x:c r="A2004" s="2" t="str">
        <x:v>L002000</x:v>
      </x:c>
      <x:c r="B2004" s="2" t="str">
        <x:v>O00817</x:v>
      </x:c>
      <x:c r="C2004" s="7" t="n">
        <x:v>45734</x:v>
      </x:c>
      <x:c r="D2004" s="2" t="str">
        <x:v>Completed</x:v>
      </x:c>
      <x:c r="E2004" s="2" t="str">
        <x:v>South</x:v>
      </x:c>
      <x:c r="F2004" s="2" t="str">
        <x:v>Store</x:v>
      </x:c>
      <x:c r="G2004" s="2" t="str">
        <x:v>Furniture</x:v>
      </x:c>
      <x:c r="H2004" s="2" t="str">
        <x:v>Chair 022</x:v>
      </x:c>
      <x:c r="I2004" s="11" t="n">
        <x:v>1</x:v>
      </x:c>
      <x:c r="J2004" s="9" t="n">
        <x:v>134</x:v>
      </x:c>
      <x:c r="K2004" s="10" t="n">
        <x:v>0</x:v>
      </x:c>
      <x:c r="L2004" s="11" t="n">
        <x:v>1</x:v>
      </x:c>
      <x:c r="M2004" s="9" t="n">
        <x:f>IF(D2004="Completed",I2004*J2004,0)</x:f>
        <x:v>134</x:v>
      </x:c>
      <x:c r="N2004" s="9" t="n">
        <x:f>M2004*K2004</x:f>
        <x:v>0</x:v>
      </x:c>
      <x:c r="O2004" s="9" t="n">
        <x:f>M2004-N2004</x:f>
        <x:v>134</x:v>
      </x:c>
      <x:c r="P2004" s="9" t="n">
        <x:f>IF(D2004="Completed",L2004*J2004*(1-K2004),0)</x:f>
        <x:v>134</x:v>
      </x:c>
      <x:c r="Q2004" s="9" t="n">
        <x:f>O2004-P2004</x:f>
        <x:v>0</x:v>
      </x:c>
      <x:c r="R2004" s="11" t="n">
        <x:f>IF(D2004="Completed",I2004,0)</x:f>
        <x:v>1</x:v>
      </x:c>
      <x:c r="S2004" s="11" t="n">
        <x:f>IF(D2004="Completed",L2004,0)</x:f>
        <x:v>1</x:v>
      </x:c>
      <x:c r="T2004" s="8" t="n">
        <x:f>DATE(YEAR(C2004),MONTH(C2004),1)</x:f>
        <x:v>45717</x:v>
      </x:c>
    </x:row>
    <x:row r="2005" ht="22" customHeight="1">
      <x:c r="A2005" s="2" t="str">
        <x:v>L002001</x:v>
      </x:c>
      <x:c r="B2005" s="2" t="str">
        <x:v>O00817</x:v>
      </x:c>
      <x:c r="C2005" s="7" t="n">
        <x:v>45734</x:v>
      </x:c>
      <x:c r="D2005" s="2" t="str">
        <x:v>Completed</x:v>
      </x:c>
      <x:c r="E2005" s="2" t="str">
        <x:v>South</x:v>
      </x:c>
      <x:c r="F2005" s="2" t="str">
        <x:v>Store</x:v>
      </x:c>
      <x:c r="G2005" s="2" t="str">
        <x:v>Furniture</x:v>
      </x:c>
      <x:c r="H2005" s="2" t="str">
        <x:v>Desk 012</x:v>
      </x:c>
      <x:c r="I2005" s="11" t="n">
        <x:v>4</x:v>
      </x:c>
      <x:c r="J2005" s="9" t="n">
        <x:v>134</x:v>
      </x:c>
      <x:c r="K2005" s="10" t="n">
        <x:v>0.2</x:v>
      </x:c>
      <x:c r="L2005" s="11" t="n">
        <x:v>0</x:v>
      </x:c>
      <x:c r="M2005" s="9" t="n">
        <x:f>IF(D2005="Completed",I2005*J2005,0)</x:f>
        <x:v>536</x:v>
      </x:c>
      <x:c r="N2005" s="9" t="n">
        <x:f>M2005*K2005</x:f>
        <x:v>107.2</x:v>
      </x:c>
      <x:c r="O2005" s="9" t="n">
        <x:f>M2005-N2005</x:f>
        <x:v>428.8</x:v>
      </x:c>
      <x:c r="P2005" s="9" t="n">
        <x:f>IF(D2005="Completed",L2005*J2005*(1-K2005),0)</x:f>
        <x:v>0</x:v>
      </x:c>
      <x:c r="Q2005" s="9" t="n">
        <x:f>O2005-P2005</x:f>
        <x:v>428.8</x:v>
      </x:c>
      <x:c r="R2005" s="11" t="n">
        <x:f>IF(D2005="Completed",I2005,0)</x:f>
        <x:v>4</x:v>
      </x:c>
      <x:c r="S2005" s="11" t="n">
        <x:f>IF(D2005="Completed",L2005,0)</x:f>
        <x:v>0</x:v>
      </x:c>
      <x:c r="T2005" s="8" t="n">
        <x:f>DATE(YEAR(C2005),MONTH(C2005),1)</x:f>
        <x:v>45717</x:v>
      </x:c>
    </x:row>
    <x:row r="2006" ht="22" customHeight="1">
      <x:c r="A2006" s="2" t="str">
        <x:v>L002002</x:v>
      </x:c>
      <x:c r="B2006" s="2" t="str">
        <x:v>O00818</x:v>
      </x:c>
      <x:c r="C2006" s="7" t="n">
        <x:v>45940</x:v>
      </x:c>
      <x:c r="D2006" s="2" t="str">
        <x:v>Completed</x:v>
      </x:c>
      <x:c r="E2006" s="2" t="str">
        <x:v>East</x:v>
      </x:c>
      <x:c r="F2006" s="2" t="str">
        <x:v>Store</x:v>
      </x:c>
      <x:c r="G2006" s="2" t="str">
        <x:v>Lighting</x:v>
      </x:c>
      <x:c r="H2006" s="2" t="str">
        <x:v>Lamp 021</x:v>
      </x:c>
      <x:c r="I2006" s="11" t="n">
        <x:v>3</x:v>
      </x:c>
      <x:c r="J2006" s="9" t="n">
        <x:v>249</x:v>
      </x:c>
      <x:c r="K2006" s="10" t="n">
        <x:v>0.1</x:v>
      </x:c>
      <x:c r="L2006" s="11" t="n">
        <x:v>0</x:v>
      </x:c>
      <x:c r="M2006" s="9" t="n">
        <x:f>IF(D2006="Completed",I2006*J2006,0)</x:f>
        <x:v>747</x:v>
      </x:c>
      <x:c r="N2006" s="9" t="n">
        <x:f>M2006*K2006</x:f>
        <x:v>74.7</x:v>
      </x:c>
      <x:c r="O2006" s="9" t="n">
        <x:f>M2006-N2006</x:f>
        <x:v>672.3</x:v>
      </x:c>
      <x:c r="P2006" s="9" t="n">
        <x:f>IF(D2006="Completed",L2006*J2006*(1-K2006),0)</x:f>
        <x:v>0</x:v>
      </x:c>
      <x:c r="Q2006" s="9" t="n">
        <x:f>O2006-P2006</x:f>
        <x:v>672.3</x:v>
      </x:c>
      <x:c r="R2006" s="11" t="n">
        <x:f>IF(D2006="Completed",I2006,0)</x:f>
        <x:v>3</x:v>
      </x:c>
      <x:c r="S2006" s="11" t="n">
        <x:f>IF(D2006="Completed",L2006,0)</x:f>
        <x:v>0</x:v>
      </x:c>
      <x:c r="T2006" s="8" t="n">
        <x:f>DATE(YEAR(C2006),MONTH(C2006),1)</x:f>
        <x:v>45931</x:v>
      </x:c>
    </x:row>
    <x:row r="2007" ht="22" customHeight="1">
      <x:c r="A2007" s="2" t="str">
        <x:v>L002003</x:v>
      </x:c>
      <x:c r="B2007" s="2" t="str">
        <x:v>O00818</x:v>
      </x:c>
      <x:c r="C2007" s="7" t="n">
        <x:v>45940</x:v>
      </x:c>
      <x:c r="D2007" s="2" t="str">
        <x:v>Completed</x:v>
      </x:c>
      <x:c r="E2007" s="2" t="str">
        <x:v>East</x:v>
      </x:c>
      <x:c r="F2007" s="2" t="str">
        <x:v>Store</x:v>
      </x:c>
      <x:c r="G2007" s="2" t="str">
        <x:v>Lighting</x:v>
      </x:c>
      <x:c r="H2007" s="2" t="str">
        <x:v>Lamp 005</x:v>
      </x:c>
      <x:c r="I2007" s="11" t="n">
        <x:v>3</x:v>
      </x:c>
      <x:c r="J2007" s="9" t="n">
        <x:v>65</x:v>
      </x:c>
      <x:c r="K2007" s="10" t="n">
        <x:v>0.1</x:v>
      </x:c>
      <x:c r="L2007" s="11" t="n">
        <x:v>0</x:v>
      </x:c>
      <x:c r="M2007" s="9" t="n">
        <x:f>IF(D2007="Completed",I2007*J2007,0)</x:f>
        <x:v>195</x:v>
      </x:c>
      <x:c r="N2007" s="9" t="n">
        <x:f>M2007*K2007</x:f>
        <x:v>19.5</x:v>
      </x:c>
      <x:c r="O2007" s="9" t="n">
        <x:f>M2007-N2007</x:f>
        <x:v>175.5</x:v>
      </x:c>
      <x:c r="P2007" s="9" t="n">
        <x:f>IF(D2007="Completed",L2007*J2007*(1-K2007),0)</x:f>
        <x:v>0</x:v>
      </x:c>
      <x:c r="Q2007" s="9" t="n">
        <x:f>O2007-P2007</x:f>
        <x:v>175.5</x:v>
      </x:c>
      <x:c r="R2007" s="11" t="n">
        <x:f>IF(D2007="Completed",I2007,0)</x:f>
        <x:v>3</x:v>
      </x:c>
      <x:c r="S2007" s="11" t="n">
        <x:f>IF(D2007="Completed",L2007,0)</x:f>
        <x:v>0</x:v>
      </x:c>
      <x:c r="T2007" s="8" t="n">
        <x:f>DATE(YEAR(C2007),MONTH(C2007),1)</x:f>
        <x:v>45931</x:v>
      </x:c>
    </x:row>
    <x:row r="2008" ht="22" customHeight="1">
      <x:c r="A2008" s="2" t="str">
        <x:v>L002004</x:v>
      </x:c>
      <x:c r="B2008" s="2" t="str">
        <x:v>O00818</x:v>
      </x:c>
      <x:c r="C2008" s="7" t="n">
        <x:v>45940</x:v>
      </x:c>
      <x:c r="D2008" s="2" t="str">
        <x:v>Completed</x:v>
      </x:c>
      <x:c r="E2008" s="2" t="str">
        <x:v>East</x:v>
      </x:c>
      <x:c r="F2008" s="2" t="str">
        <x:v>Store</x:v>
      </x:c>
      <x:c r="G2008" s="2" t="str">
        <x:v>Storage</x:v>
      </x:c>
      <x:c r="H2008" s="2" t="str">
        <x:v>Shelf 019</x:v>
      </x:c>
      <x:c r="I2008" s="11" t="n">
        <x:v>3</x:v>
      </x:c>
      <x:c r="J2008" s="9" t="n">
        <x:v>78</x:v>
      </x:c>
      <x:c r="K2008" s="10" t="n">
        <x:v>0.1</x:v>
      </x:c>
      <x:c r="L2008" s="11" t="n">
        <x:v>0</x:v>
      </x:c>
      <x:c r="M2008" s="9" t="n">
        <x:f>IF(D2008="Completed",I2008*J2008,0)</x:f>
        <x:v>234</x:v>
      </x:c>
      <x:c r="N2008" s="9" t="n">
        <x:f>M2008*K2008</x:f>
        <x:v>23.400000000000002</x:v>
      </x:c>
      <x:c r="O2008" s="9" t="n">
        <x:f>M2008-N2008</x:f>
        <x:v>210.6</x:v>
      </x:c>
      <x:c r="P2008" s="9" t="n">
        <x:f>IF(D2008="Completed",L2008*J2008*(1-K2008),0)</x:f>
        <x:v>0</x:v>
      </x:c>
      <x:c r="Q2008" s="9" t="n">
        <x:f>O2008-P2008</x:f>
        <x:v>210.6</x:v>
      </x:c>
      <x:c r="R2008" s="11" t="n">
        <x:f>IF(D2008="Completed",I2008,0)</x:f>
        <x:v>3</x:v>
      </x:c>
      <x:c r="S2008" s="11" t="n">
        <x:f>IF(D2008="Completed",L2008,0)</x:f>
        <x:v>0</x:v>
      </x:c>
      <x:c r="T2008" s="8" t="n">
        <x:f>DATE(YEAR(C2008),MONTH(C2008),1)</x:f>
        <x:v>45931</x:v>
      </x:c>
    </x:row>
    <x:row r="2009" ht="22" customHeight="1">
      <x:c r="A2009" s="2" t="str">
        <x:v>L002005</x:v>
      </x:c>
      <x:c r="B2009" s="2" t="str">
        <x:v>O00819</x:v>
      </x:c>
      <x:c r="C2009" s="7" t="n">
        <x:v>45798</x:v>
      </x:c>
      <x:c r="D2009" s="2" t="str">
        <x:v>Cancelled</x:v>
      </x:c>
      <x:c r="E2009" s="2" t="str">
        <x:v>West</x:v>
      </x:c>
      <x:c r="F2009" s="2" t="str">
        <x:v>Online</x:v>
      </x:c>
      <x:c r="G2009" s="2" t="str">
        <x:v>Lighting</x:v>
      </x:c>
      <x:c r="H2009" s="2" t="str">
        <x:v>Lamp 013</x:v>
      </x:c>
      <x:c r="I2009" s="11" t="n">
        <x:v>2</x:v>
      </x:c>
      <x:c r="J2009" s="9" t="n">
        <x:v>271</x:v>
      </x:c>
      <x:c r="K2009" s="10" t="n">
        <x:v>0.2</x:v>
      </x:c>
      <x:c r="L2009" s="11" t="n">
        <x:v>0</x:v>
      </x:c>
      <x:c r="M2009" s="9" t="n">
        <x:f>IF(D2009="Completed",I2009*J2009,0)</x:f>
        <x:v>0</x:v>
      </x:c>
      <x:c r="N2009" s="9" t="n">
        <x:f>M2009*K2009</x:f>
        <x:v>0</x:v>
      </x:c>
      <x:c r="O2009" s="9" t="n">
        <x:f>M2009-N2009</x:f>
        <x:v>0</x:v>
      </x:c>
      <x:c r="P2009" s="9" t="n">
        <x:f>IF(D2009="Completed",L2009*J2009*(1-K2009),0)</x:f>
        <x:v>0</x:v>
      </x:c>
      <x:c r="Q2009" s="9" t="n">
        <x:f>O2009-P2009</x:f>
        <x:v>0</x:v>
      </x:c>
      <x:c r="R2009" s="11" t="n">
        <x:f>IF(D2009="Completed",I2009,0)</x:f>
        <x:v>0</x:v>
      </x:c>
      <x:c r="S2009" s="11" t="n">
        <x:f>IF(D2009="Completed",L2009,0)</x:f>
        <x:v>0</x:v>
      </x:c>
      <x:c r="T2009" s="8" t="n">
        <x:f>DATE(YEAR(C2009),MONTH(C2009),1)</x:f>
        <x:v>45778</x:v>
      </x:c>
    </x:row>
    <x:row r="2010" ht="22" customHeight="1">
      <x:c r="A2010" s="2" t="str">
        <x:v>L002006</x:v>
      </x:c>
      <x:c r="B2010" s="2" t="str">
        <x:v>O00819</x:v>
      </x:c>
      <x:c r="C2010" s="7" t="n">
        <x:v>45798</x:v>
      </x:c>
      <x:c r="D2010" s="2" t="str">
        <x:v>Cancelled</x:v>
      </x:c>
      <x:c r="E2010" s="2" t="str">
        <x:v>West</x:v>
      </x:c>
      <x:c r="F2010" s="2" t="str">
        <x:v>Online</x:v>
      </x:c>
      <x:c r="G2010" s="2" t="str">
        <x:v>Lighting</x:v>
      </x:c>
      <x:c r="H2010" s="2" t="str">
        <x:v>Lamp 009</x:v>
      </x:c>
      <x:c r="I2010" s="11" t="n">
        <x:v>5</x:v>
      </x:c>
      <x:c r="J2010" s="9" t="n">
        <x:v>93</x:v>
      </x:c>
      <x:c r="K2010" s="10" t="n">
        <x:v>0.05</x:v>
      </x:c>
      <x:c r="L2010" s="11" t="n">
        <x:v>0</x:v>
      </x:c>
      <x:c r="M2010" s="9" t="n">
        <x:f>IF(D2010="Completed",I2010*J2010,0)</x:f>
        <x:v>0</x:v>
      </x:c>
      <x:c r="N2010" s="9" t="n">
        <x:f>M2010*K2010</x:f>
        <x:v>0</x:v>
      </x:c>
      <x:c r="O2010" s="9" t="n">
        <x:f>M2010-N2010</x:f>
        <x:v>0</x:v>
      </x:c>
      <x:c r="P2010" s="9" t="n">
        <x:f>IF(D2010="Completed",L2010*J2010*(1-K2010),0)</x:f>
        <x:v>0</x:v>
      </x:c>
      <x:c r="Q2010" s="9" t="n">
        <x:f>O2010-P2010</x:f>
        <x:v>0</x:v>
      </x:c>
      <x:c r="R2010" s="11" t="n">
        <x:f>IF(D2010="Completed",I2010,0)</x:f>
        <x:v>0</x:v>
      </x:c>
      <x:c r="S2010" s="11" t="n">
        <x:f>IF(D2010="Completed",L2010,0)</x:f>
        <x:v>0</x:v>
      </x:c>
      <x:c r="T2010" s="8" t="n">
        <x:f>DATE(YEAR(C2010),MONTH(C2010),1)</x:f>
        <x:v>45778</x:v>
      </x:c>
    </x:row>
    <x:row r="2011" ht="22" customHeight="1">
      <x:c r="A2011" s="2" t="str">
        <x:v>L002007</x:v>
      </x:c>
      <x:c r="B2011" s="2" t="str">
        <x:v>O00820</x:v>
      </x:c>
      <x:c r="C2011" s="7" t="n">
        <x:v>46000</x:v>
      </x:c>
      <x:c r="D2011" s="2" t="str">
        <x:v>Completed</x:v>
      </x:c>
      <x:c r="E2011" s="2" t="str">
        <x:v>West</x:v>
      </x:c>
      <x:c r="F2011" s="2" t="str">
        <x:v>Online</x:v>
      </x:c>
      <x:c r="G2011" s="2" t="str">
        <x:v>Lighting</x:v>
      </x:c>
      <x:c r="H2011" s="2" t="str">
        <x:v>Lamp 009</x:v>
      </x:c>
      <x:c r="I2011" s="11" t="n">
        <x:v>1</x:v>
      </x:c>
      <x:c r="J2011" s="9" t="n">
        <x:v>93</x:v>
      </x:c>
      <x:c r="K2011" s="10" t="n">
        <x:v>0.1</x:v>
      </x:c>
      <x:c r="L2011" s="11" t="n">
        <x:v>0</x:v>
      </x:c>
      <x:c r="M2011" s="9" t="n">
        <x:f>IF(D2011="Completed",I2011*J2011,0)</x:f>
        <x:v>93</x:v>
      </x:c>
      <x:c r="N2011" s="9" t="n">
        <x:f>M2011*K2011</x:f>
        <x:v>9.3</x:v>
      </x:c>
      <x:c r="O2011" s="9" t="n">
        <x:f>M2011-N2011</x:f>
        <x:v>83.7</x:v>
      </x:c>
      <x:c r="P2011" s="9" t="n">
        <x:f>IF(D2011="Completed",L2011*J2011*(1-K2011),0)</x:f>
        <x:v>0</x:v>
      </x:c>
      <x:c r="Q2011" s="9" t="n">
        <x:f>O2011-P2011</x:f>
        <x:v>83.7</x:v>
      </x:c>
      <x:c r="R2011" s="11" t="n">
        <x:f>IF(D2011="Completed",I2011,0)</x:f>
        <x:v>1</x:v>
      </x:c>
      <x:c r="S2011" s="11" t="n">
        <x:f>IF(D2011="Completed",L2011,0)</x:f>
        <x:v>0</x:v>
      </x:c>
      <x:c r="T2011" s="8" t="n">
        <x:f>DATE(YEAR(C2011),MONTH(C2011),1)</x:f>
        <x:v>45992</x:v>
      </x:c>
    </x:row>
    <x:row r="2012" ht="22" customHeight="1">
      <x:c r="A2012" s="2" t="str">
        <x:v>L002008</x:v>
      </x:c>
      <x:c r="B2012" s="2" t="str">
        <x:v>O00820</x:v>
      </x:c>
      <x:c r="C2012" s="7" t="n">
        <x:v>46000</x:v>
      </x:c>
      <x:c r="D2012" s="2" t="str">
        <x:v>Completed</x:v>
      </x:c>
      <x:c r="E2012" s="2" t="str">
        <x:v>West</x:v>
      </x:c>
      <x:c r="F2012" s="2" t="str">
        <x:v>Online</x:v>
      </x:c>
      <x:c r="G2012" s="2" t="str">
        <x:v>Lighting</x:v>
      </x:c>
      <x:c r="H2012" s="2" t="str">
        <x:v>Lamp 017</x:v>
      </x:c>
      <x:c r="I2012" s="11" t="n">
        <x:v>5</x:v>
      </x:c>
      <x:c r="J2012" s="9" t="n">
        <x:v>300</x:v>
      </x:c>
      <x:c r="K2012" s="10" t="n">
        <x:v>0</x:v>
      </x:c>
      <x:c r="L2012" s="11" t="n">
        <x:v>0</x:v>
      </x:c>
      <x:c r="M2012" s="9" t="n">
        <x:f>IF(D2012="Completed",I2012*J2012,0)</x:f>
        <x:v>1500</x:v>
      </x:c>
      <x:c r="N2012" s="9" t="n">
        <x:f>M2012*K2012</x:f>
        <x:v>0</x:v>
      </x:c>
      <x:c r="O2012" s="9" t="n">
        <x:f>M2012-N2012</x:f>
        <x:v>1500</x:v>
      </x:c>
      <x:c r="P2012" s="9" t="n">
        <x:f>IF(D2012="Completed",L2012*J2012*(1-K2012),0)</x:f>
        <x:v>0</x:v>
      </x:c>
      <x:c r="Q2012" s="9" t="n">
        <x:f>O2012-P2012</x:f>
        <x:v>1500</x:v>
      </x:c>
      <x:c r="R2012" s="11" t="n">
        <x:f>IF(D2012="Completed",I2012,0)</x:f>
        <x:v>5</x:v>
      </x:c>
      <x:c r="S2012" s="11" t="n">
        <x:f>IF(D2012="Completed",L2012,0)</x:f>
        <x:v>0</x:v>
      </x:c>
      <x:c r="T2012" s="8" t="n">
        <x:f>DATE(YEAR(C2012),MONTH(C2012),1)</x:f>
        <x:v>45992</x:v>
      </x:c>
    </x:row>
    <x:row r="2013" ht="22" customHeight="1">
      <x:c r="A2013" s="2" t="str">
        <x:v>L002009</x:v>
      </x:c>
      <x:c r="B2013" s="2" t="str">
        <x:v>O00820</x:v>
      </x:c>
      <x:c r="C2013" s="7" t="n">
        <x:v>46000</x:v>
      </x:c>
      <x:c r="D2013" s="2" t="str">
        <x:v>Completed</x:v>
      </x:c>
      <x:c r="E2013" s="2" t="str">
        <x:v>West</x:v>
      </x:c>
      <x:c r="F2013" s="2" t="str">
        <x:v>Online</x:v>
      </x:c>
      <x:c r="G2013" s="2" t="str">
        <x:v>Furniture</x:v>
      </x:c>
      <x:c r="H2013" s="2" t="str">
        <x:v>Chair 002</x:v>
      </x:c>
      <x:c r="I2013" s="11" t="n">
        <x:v>5</x:v>
      </x:c>
      <x:c r="J2013" s="9" t="n">
        <x:v>284</x:v>
      </x:c>
      <x:c r="K2013" s="10" t="n">
        <x:v>0.05</x:v>
      </x:c>
      <x:c r="L2013" s="11" t="n">
        <x:v>0</x:v>
      </x:c>
      <x:c r="M2013" s="9" t="n">
        <x:f>IF(D2013="Completed",I2013*J2013,0)</x:f>
        <x:v>1420</x:v>
      </x:c>
      <x:c r="N2013" s="9" t="n">
        <x:f>M2013*K2013</x:f>
        <x:v>71</x:v>
      </x:c>
      <x:c r="O2013" s="9" t="n">
        <x:f>M2013-N2013</x:f>
        <x:v>1349</x:v>
      </x:c>
      <x:c r="P2013" s="9" t="n">
        <x:f>IF(D2013="Completed",L2013*J2013*(1-K2013),0)</x:f>
        <x:v>0</x:v>
      </x:c>
      <x:c r="Q2013" s="9" t="n">
        <x:f>O2013-P2013</x:f>
        <x:v>1349</x:v>
      </x:c>
      <x:c r="R2013" s="11" t="n">
        <x:f>IF(D2013="Completed",I2013,0)</x:f>
        <x:v>5</x:v>
      </x:c>
      <x:c r="S2013" s="11" t="n">
        <x:f>IF(D2013="Completed",L2013,0)</x:f>
        <x:v>0</x:v>
      </x:c>
      <x:c r="T2013" s="8" t="n">
        <x:f>DATE(YEAR(C2013),MONTH(C2013),1)</x:f>
        <x:v>45992</x:v>
      </x:c>
    </x:row>
    <x:row r="2014" ht="22" customHeight="1">
      <x:c r="A2014" s="2" t="str">
        <x:v>L002010</x:v>
      </x:c>
      <x:c r="B2014" s="2" t="str">
        <x:v>O00820</x:v>
      </x:c>
      <x:c r="C2014" s="7" t="n">
        <x:v>46000</x:v>
      </x:c>
      <x:c r="D2014" s="2" t="str">
        <x:v>Completed</x:v>
      </x:c>
      <x:c r="E2014" s="2" t="str">
        <x:v>West</x:v>
      </x:c>
      <x:c r="F2014" s="2" t="str">
        <x:v>Online</x:v>
      </x:c>
      <x:c r="G2014" s="2" t="str">
        <x:v>Furniture</x:v>
      </x:c>
      <x:c r="H2014" s="2" t="str">
        <x:v>Chair 002</x:v>
      </x:c>
      <x:c r="I2014" s="11" t="n">
        <x:v>1</x:v>
      </x:c>
      <x:c r="J2014" s="9" t="n">
        <x:v>284</x:v>
      </x:c>
      <x:c r="K2014" s="10" t="n">
        <x:v>0.05</x:v>
      </x:c>
      <x:c r="L2014" s="11" t="n">
        <x:v>0</x:v>
      </x:c>
      <x:c r="M2014" s="9" t="n">
        <x:f>IF(D2014="Completed",I2014*J2014,0)</x:f>
        <x:v>284</x:v>
      </x:c>
      <x:c r="N2014" s="9" t="n">
        <x:f>M2014*K2014</x:f>
        <x:v>14.200000000000001</x:v>
      </x:c>
      <x:c r="O2014" s="9" t="n">
        <x:f>M2014-N2014</x:f>
        <x:v>269.8</x:v>
      </x:c>
      <x:c r="P2014" s="9" t="n">
        <x:f>IF(D2014="Completed",L2014*J2014*(1-K2014),0)</x:f>
        <x:v>0</x:v>
      </x:c>
      <x:c r="Q2014" s="9" t="n">
        <x:f>O2014-P2014</x:f>
        <x:v>269.8</x:v>
      </x:c>
      <x:c r="R2014" s="11" t="n">
        <x:f>IF(D2014="Completed",I2014,0)</x:f>
        <x:v>1</x:v>
      </x:c>
      <x:c r="S2014" s="11" t="n">
        <x:f>IF(D2014="Completed",L2014,0)</x:f>
        <x:v>0</x:v>
      </x:c>
      <x:c r="T2014" s="8" t="n">
        <x:f>DATE(YEAR(C2014),MONTH(C2014),1)</x:f>
        <x:v>45992</x:v>
      </x:c>
    </x:row>
    <x:row r="2015" ht="22" customHeight="1">
      <x:c r="A2015" s="2" t="str">
        <x:v>L002011</x:v>
      </x:c>
      <x:c r="B2015" s="2" t="str">
        <x:v>O00821</x:v>
      </x:c>
      <x:c r="C2015" s="7" t="n">
        <x:v>45766</x:v>
      </x:c>
      <x:c r="D2015" s="2" t="str">
        <x:v>Completed</x:v>
      </x:c>
      <x:c r="E2015" s="2" t="str">
        <x:v>West</x:v>
      </x:c>
      <x:c r="F2015" s="2" t="str">
        <x:v>Store</x:v>
      </x:c>
      <x:c r="G2015" s="2" t="str">
        <x:v>Furniture</x:v>
      </x:c>
      <x:c r="H2015" s="2" t="str">
        <x:v>Desk 020</x:v>
      </x:c>
      <x:c r="I2015" s="11" t="n">
        <x:v>4</x:v>
      </x:c>
      <x:c r="J2015" s="9" t="n">
        <x:v>189</x:v>
      </x:c>
      <x:c r="K2015" s="10" t="n">
        <x:v>0</x:v>
      </x:c>
      <x:c r="L2015" s="11" t="n">
        <x:v>0</x:v>
      </x:c>
      <x:c r="M2015" s="9" t="n">
        <x:f>IF(D2015="Completed",I2015*J2015,0)</x:f>
        <x:v>756</x:v>
      </x:c>
      <x:c r="N2015" s="9" t="n">
        <x:f>M2015*K2015</x:f>
        <x:v>0</x:v>
      </x:c>
      <x:c r="O2015" s="9" t="n">
        <x:f>M2015-N2015</x:f>
        <x:v>756</x:v>
      </x:c>
      <x:c r="P2015" s="9" t="n">
        <x:f>IF(D2015="Completed",L2015*J2015*(1-K2015),0)</x:f>
        <x:v>0</x:v>
      </x:c>
      <x:c r="Q2015" s="9" t="n">
        <x:f>O2015-P2015</x:f>
        <x:v>756</x:v>
      </x:c>
      <x:c r="R2015" s="11" t="n">
        <x:f>IF(D2015="Completed",I2015,0)</x:f>
        <x:v>4</x:v>
      </x:c>
      <x:c r="S2015" s="11" t="n">
        <x:f>IF(D2015="Completed",L2015,0)</x:f>
        <x:v>0</x:v>
      </x:c>
      <x:c r="T2015" s="8" t="n">
        <x:f>DATE(YEAR(C2015),MONTH(C2015),1)</x:f>
        <x:v>45748</x:v>
      </x:c>
    </x:row>
    <x:row r="2016" ht="22" customHeight="1">
      <x:c r="A2016" s="2" t="str">
        <x:v>L002012</x:v>
      </x:c>
      <x:c r="B2016" s="2" t="str">
        <x:v>O00821</x:v>
      </x:c>
      <x:c r="C2016" s="7" t="n">
        <x:v>45766</x:v>
      </x:c>
      <x:c r="D2016" s="2" t="str">
        <x:v>Completed</x:v>
      </x:c>
      <x:c r="E2016" s="2" t="str">
        <x:v>West</x:v>
      </x:c>
      <x:c r="F2016" s="2" t="str">
        <x:v>Store</x:v>
      </x:c>
      <x:c r="G2016" s="2" t="str">
        <x:v>Lighting</x:v>
      </x:c>
      <x:c r="H2016" s="2" t="str">
        <x:v>Lamp 001</x:v>
      </x:c>
      <x:c r="I2016" s="11" t="n">
        <x:v>4</x:v>
      </x:c>
      <x:c r="J2016" s="9" t="n">
        <x:v>122</x:v>
      </x:c>
      <x:c r="K2016" s="10" t="n">
        <x:v>0.2</x:v>
      </x:c>
      <x:c r="L2016" s="11" t="n">
        <x:v>0</x:v>
      </x:c>
      <x:c r="M2016" s="9" t="n">
        <x:f>IF(D2016="Completed",I2016*J2016,0)</x:f>
        <x:v>488</x:v>
      </x:c>
      <x:c r="N2016" s="9" t="n">
        <x:f>M2016*K2016</x:f>
        <x:v>97.60000000000001</x:v>
      </x:c>
      <x:c r="O2016" s="9" t="n">
        <x:f>M2016-N2016</x:f>
        <x:v>390.4</x:v>
      </x:c>
      <x:c r="P2016" s="9" t="n">
        <x:f>IF(D2016="Completed",L2016*J2016*(1-K2016),0)</x:f>
        <x:v>0</x:v>
      </x:c>
      <x:c r="Q2016" s="9" t="n">
        <x:f>O2016-P2016</x:f>
        <x:v>390.4</x:v>
      </x:c>
      <x:c r="R2016" s="11" t="n">
        <x:f>IF(D2016="Completed",I2016,0)</x:f>
        <x:v>4</x:v>
      </x:c>
      <x:c r="S2016" s="11" t="n">
        <x:f>IF(D2016="Completed",L2016,0)</x:f>
        <x:v>0</x:v>
      </x:c>
      <x:c r="T2016" s="8" t="n">
        <x:f>DATE(YEAR(C2016),MONTH(C2016),1)</x:f>
        <x:v>45748</x:v>
      </x:c>
    </x:row>
    <x:row r="2017" ht="22" customHeight="1">
      <x:c r="A2017" s="2" t="str">
        <x:v>L002013</x:v>
      </x:c>
      <x:c r="B2017" s="2" t="str">
        <x:v>O00822</x:v>
      </x:c>
      <x:c r="C2017" s="7" t="n">
        <x:v>45962</x:v>
      </x:c>
      <x:c r="D2017" s="2" t="str">
        <x:v>Completed</x:v>
      </x:c>
      <x:c r="E2017" s="2" t="str">
        <x:v>West</x:v>
      </x:c>
      <x:c r="F2017" s="2" t="str">
        <x:v>Store</x:v>
      </x:c>
      <x:c r="G2017" s="2" t="str">
        <x:v>Lighting</x:v>
      </x:c>
      <x:c r="H2017" s="2" t="str">
        <x:v>Lamp 017</x:v>
      </x:c>
      <x:c r="I2017" s="11" t="n">
        <x:v>2</x:v>
      </x:c>
      <x:c r="J2017" s="9" t="n">
        <x:v>300</x:v>
      </x:c>
      <x:c r="K2017" s="10" t="n">
        <x:v>0</x:v>
      </x:c>
      <x:c r="L2017" s="11" t="n">
        <x:v>0</x:v>
      </x:c>
      <x:c r="M2017" s="9" t="n">
        <x:f>IF(D2017="Completed",I2017*J2017,0)</x:f>
        <x:v>600</x:v>
      </x:c>
      <x:c r="N2017" s="9" t="n">
        <x:f>M2017*K2017</x:f>
        <x:v>0</x:v>
      </x:c>
      <x:c r="O2017" s="9" t="n">
        <x:f>M2017-N2017</x:f>
        <x:v>600</x:v>
      </x:c>
      <x:c r="P2017" s="9" t="n">
        <x:f>IF(D2017="Completed",L2017*J2017*(1-K2017),0)</x:f>
        <x:v>0</x:v>
      </x:c>
      <x:c r="Q2017" s="9" t="n">
        <x:f>O2017-P2017</x:f>
        <x:v>600</x:v>
      </x:c>
      <x:c r="R2017" s="11" t="n">
        <x:f>IF(D2017="Completed",I2017,0)</x:f>
        <x:v>2</x:v>
      </x:c>
      <x:c r="S2017" s="11" t="n">
        <x:f>IF(D2017="Completed",L2017,0)</x:f>
        <x:v>0</x:v>
      </x:c>
      <x:c r="T2017" s="8" t="n">
        <x:f>DATE(YEAR(C2017),MONTH(C2017),1)</x:f>
        <x:v>45962</x:v>
      </x:c>
    </x:row>
    <x:row r="2018" ht="22" customHeight="1">
      <x:c r="A2018" s="2" t="str">
        <x:v>L002014</x:v>
      </x:c>
      <x:c r="B2018" s="2" t="str">
        <x:v>O00822</x:v>
      </x:c>
      <x:c r="C2018" s="7" t="n">
        <x:v>45962</x:v>
      </x:c>
      <x:c r="D2018" s="2" t="str">
        <x:v>Completed</x:v>
      </x:c>
      <x:c r="E2018" s="2" t="str">
        <x:v>West</x:v>
      </x:c>
      <x:c r="F2018" s="2" t="str">
        <x:v>Store</x:v>
      </x:c>
      <x:c r="G2018" s="2" t="str">
        <x:v>Lighting</x:v>
      </x:c>
      <x:c r="H2018" s="2" t="str">
        <x:v>Lamp 005</x:v>
      </x:c>
      <x:c r="I2018" s="11" t="n">
        <x:v>4</x:v>
      </x:c>
      <x:c r="J2018" s="9" t="n">
        <x:v>65</x:v>
      </x:c>
      <x:c r="K2018" s="10" t="n">
        <x:v>0.05</x:v>
      </x:c>
      <x:c r="L2018" s="11" t="n">
        <x:v>0</x:v>
      </x:c>
      <x:c r="M2018" s="9" t="n">
        <x:f>IF(D2018="Completed",I2018*J2018,0)</x:f>
        <x:v>260</x:v>
      </x:c>
      <x:c r="N2018" s="9" t="n">
        <x:f>M2018*K2018</x:f>
        <x:v>13</x:v>
      </x:c>
      <x:c r="O2018" s="9" t="n">
        <x:f>M2018-N2018</x:f>
        <x:v>247</x:v>
      </x:c>
      <x:c r="P2018" s="9" t="n">
        <x:f>IF(D2018="Completed",L2018*J2018*(1-K2018),0)</x:f>
        <x:v>0</x:v>
      </x:c>
      <x:c r="Q2018" s="9" t="n">
        <x:f>O2018-P2018</x:f>
        <x:v>247</x:v>
      </x:c>
      <x:c r="R2018" s="11" t="n">
        <x:f>IF(D2018="Completed",I2018,0)</x:f>
        <x:v>4</x:v>
      </x:c>
      <x:c r="S2018" s="11" t="n">
        <x:f>IF(D2018="Completed",L2018,0)</x:f>
        <x:v>0</x:v>
      </x:c>
      <x:c r="T2018" s="8" t="n">
        <x:f>DATE(YEAR(C2018),MONTH(C2018),1)</x:f>
        <x:v>45962</x:v>
      </x:c>
    </x:row>
    <x:row r="2019" ht="22" customHeight="1">
      <x:c r="A2019" s="2" t="str">
        <x:v>L002015</x:v>
      </x:c>
      <x:c r="B2019" s="2" t="str">
        <x:v>O00823</x:v>
      </x:c>
      <x:c r="C2019" s="7" t="n">
        <x:v>45995</x:v>
      </x:c>
      <x:c r="D2019" s="2" t="str">
        <x:v>Completed</x:v>
      </x:c>
      <x:c r="E2019" s="2" t="str">
        <x:v>East</x:v>
      </x:c>
      <x:c r="F2019" s="2" t="str">
        <x:v>Store</x:v>
      </x:c>
      <x:c r="G2019" s="2" t="str">
        <x:v>Storage</x:v>
      </x:c>
      <x:c r="H2019" s="2" t="str">
        <x:v>Shelf 011</x:v>
      </x:c>
      <x:c r="I2019" s="11" t="n">
        <x:v>2</x:v>
      </x:c>
      <x:c r="J2019" s="9" t="n">
        <x:v>80</x:v>
      </x:c>
      <x:c r="K2019" s="10" t="n">
        <x:v>0</x:v>
      </x:c>
      <x:c r="L2019" s="11" t="n">
        <x:v>0</x:v>
      </x:c>
      <x:c r="M2019" s="9" t="n">
        <x:f>IF(D2019="Completed",I2019*J2019,0)</x:f>
        <x:v>160</x:v>
      </x:c>
      <x:c r="N2019" s="9" t="n">
        <x:f>M2019*K2019</x:f>
        <x:v>0</x:v>
      </x:c>
      <x:c r="O2019" s="9" t="n">
        <x:f>M2019-N2019</x:f>
        <x:v>160</x:v>
      </x:c>
      <x:c r="P2019" s="9" t="n">
        <x:f>IF(D2019="Completed",L2019*J2019*(1-K2019),0)</x:f>
        <x:v>0</x:v>
      </x:c>
      <x:c r="Q2019" s="9" t="n">
        <x:f>O2019-P2019</x:f>
        <x:v>160</x:v>
      </x:c>
      <x:c r="R2019" s="11" t="n">
        <x:f>IF(D2019="Completed",I2019,0)</x:f>
        <x:v>2</x:v>
      </x:c>
      <x:c r="S2019" s="11" t="n">
        <x:f>IF(D2019="Completed",L2019,0)</x:f>
        <x:v>0</x:v>
      </x:c>
      <x:c r="T2019" s="8" t="n">
        <x:f>DATE(YEAR(C2019),MONTH(C2019),1)</x:f>
        <x:v>45992</x:v>
      </x:c>
    </x:row>
    <x:row r="2020" ht="22" customHeight="1">
      <x:c r="A2020" s="2" t="str">
        <x:v>L002016</x:v>
      </x:c>
      <x:c r="B2020" s="2" t="str">
        <x:v>O00824</x:v>
      </x:c>
      <x:c r="C2020" s="7" t="n">
        <x:v>45737</x:v>
      </x:c>
      <x:c r="D2020" s="2" t="str">
        <x:v>Completed</x:v>
      </x:c>
      <x:c r="E2020" s="2" t="str">
        <x:v>East</x:v>
      </x:c>
      <x:c r="F2020" s="2" t="str">
        <x:v>Store</x:v>
      </x:c>
      <x:c r="G2020" s="2" t="str">
        <x:v>Storage</x:v>
      </x:c>
      <x:c r="H2020" s="2" t="str">
        <x:v>Shelf 023</x:v>
      </x:c>
      <x:c r="I2020" s="11" t="n">
        <x:v>2</x:v>
      </x:c>
      <x:c r="J2020" s="9" t="n">
        <x:v>68</x:v>
      </x:c>
      <x:c r="K2020" s="10" t="n">
        <x:v>0.1</x:v>
      </x:c>
      <x:c r="L2020" s="11" t="n">
        <x:v>0</x:v>
      </x:c>
      <x:c r="M2020" s="9" t="n">
        <x:f>IF(D2020="Completed",I2020*J2020,0)</x:f>
        <x:v>136</x:v>
      </x:c>
      <x:c r="N2020" s="9" t="n">
        <x:f>M2020*K2020</x:f>
        <x:v>13.600000000000001</x:v>
      </x:c>
      <x:c r="O2020" s="9" t="n">
        <x:f>M2020-N2020</x:f>
        <x:v>122.4</x:v>
      </x:c>
      <x:c r="P2020" s="9" t="n">
        <x:f>IF(D2020="Completed",L2020*J2020*(1-K2020),0)</x:f>
        <x:v>0</x:v>
      </x:c>
      <x:c r="Q2020" s="9" t="n">
        <x:f>O2020-P2020</x:f>
        <x:v>122.4</x:v>
      </x:c>
      <x:c r="R2020" s="11" t="n">
        <x:f>IF(D2020="Completed",I2020,0)</x:f>
        <x:v>2</x:v>
      </x:c>
      <x:c r="S2020" s="11" t="n">
        <x:f>IF(D2020="Completed",L2020,0)</x:f>
        <x:v>0</x:v>
      </x:c>
      <x:c r="T2020" s="8" t="n">
        <x:f>DATE(YEAR(C2020),MONTH(C2020),1)</x:f>
        <x:v>45717</x:v>
      </x:c>
    </x:row>
    <x:row r="2021" ht="22" customHeight="1">
      <x:c r="A2021" s="2" t="str">
        <x:v>L002017</x:v>
      </x:c>
      <x:c r="B2021" s="2" t="str">
        <x:v>O00825</x:v>
      </x:c>
      <x:c r="C2021" s="7" t="n">
        <x:v>45852</x:v>
      </x:c>
      <x:c r="D2021" s="2" t="str">
        <x:v>Completed</x:v>
      </x:c>
      <x:c r="E2021" s="2" t="str">
        <x:v>West</x:v>
      </x:c>
      <x:c r="F2021" s="2" t="str">
        <x:v>Store</x:v>
      </x:c>
      <x:c r="G2021" s="2" t="str">
        <x:v>Furniture</x:v>
      </x:c>
      <x:c r="H2021" s="2" t="str">
        <x:v>Desk 020</x:v>
      </x:c>
      <x:c r="I2021" s="11" t="n">
        <x:v>5</x:v>
      </x:c>
      <x:c r="J2021" s="9" t="n">
        <x:v>189</x:v>
      </x:c>
      <x:c r="K2021" s="10" t="n">
        <x:v>0.2</x:v>
      </x:c>
      <x:c r="L2021" s="11" t="n">
        <x:v>0</x:v>
      </x:c>
      <x:c r="M2021" s="9" t="n">
        <x:f>IF(D2021="Completed",I2021*J2021,0)</x:f>
        <x:v>945</x:v>
      </x:c>
      <x:c r="N2021" s="9" t="n">
        <x:f>M2021*K2021</x:f>
        <x:v>189</x:v>
      </x:c>
      <x:c r="O2021" s="9" t="n">
        <x:f>M2021-N2021</x:f>
        <x:v>756</x:v>
      </x:c>
      <x:c r="P2021" s="9" t="n">
        <x:f>IF(D2021="Completed",L2021*J2021*(1-K2021),0)</x:f>
        <x:v>0</x:v>
      </x:c>
      <x:c r="Q2021" s="9" t="n">
        <x:f>O2021-P2021</x:f>
        <x:v>756</x:v>
      </x:c>
      <x:c r="R2021" s="11" t="n">
        <x:f>IF(D2021="Completed",I2021,0)</x:f>
        <x:v>5</x:v>
      </x:c>
      <x:c r="S2021" s="11" t="n">
        <x:f>IF(D2021="Completed",L2021,0)</x:f>
        <x:v>0</x:v>
      </x:c>
      <x:c r="T2021" s="8" t="n">
        <x:f>DATE(YEAR(C2021),MONTH(C2021),1)</x:f>
        <x:v>45839</x:v>
      </x:c>
    </x:row>
    <x:row r="2022" ht="22" customHeight="1">
      <x:c r="A2022" s="2" t="str">
        <x:v>L002018</x:v>
      </x:c>
      <x:c r="B2022" s="2" t="str">
        <x:v>O00826</x:v>
      </x:c>
      <x:c r="C2022" s="7" t="n">
        <x:v>45767</x:v>
      </x:c>
      <x:c r="D2022" s="2" t="str">
        <x:v>Completed</x:v>
      </x:c>
      <x:c r="E2022" s="2" t="str">
        <x:v>North</x:v>
      </x:c>
      <x:c r="F2022" s="2" t="str">
        <x:v>Store</x:v>
      </x:c>
      <x:c r="G2022" s="2" t="str">
        <x:v>Storage</x:v>
      </x:c>
      <x:c r="H2022" s="2" t="str">
        <x:v>Shelf 015</x:v>
      </x:c>
      <x:c r="I2022" s="11" t="n">
        <x:v>1</x:v>
      </x:c>
      <x:c r="J2022" s="9" t="n">
        <x:v>254</x:v>
      </x:c>
      <x:c r="K2022" s="10" t="n">
        <x:v>0.05</x:v>
      </x:c>
      <x:c r="L2022" s="11" t="n">
        <x:v>0</x:v>
      </x:c>
      <x:c r="M2022" s="9" t="n">
        <x:f>IF(D2022="Completed",I2022*J2022,0)</x:f>
        <x:v>254</x:v>
      </x:c>
      <x:c r="N2022" s="9" t="n">
        <x:f>M2022*K2022</x:f>
        <x:v>12.700000000000001</x:v>
      </x:c>
      <x:c r="O2022" s="9" t="n">
        <x:f>M2022-N2022</x:f>
        <x:v>241.3</x:v>
      </x:c>
      <x:c r="P2022" s="9" t="n">
        <x:f>IF(D2022="Completed",L2022*J2022*(1-K2022),0)</x:f>
        <x:v>0</x:v>
      </x:c>
      <x:c r="Q2022" s="9" t="n">
        <x:f>O2022-P2022</x:f>
        <x:v>241.3</x:v>
      </x:c>
      <x:c r="R2022" s="11" t="n">
        <x:f>IF(D2022="Completed",I2022,0)</x:f>
        <x:v>1</x:v>
      </x:c>
      <x:c r="S2022" s="11" t="n">
        <x:f>IF(D2022="Completed",L2022,0)</x:f>
        <x:v>0</x:v>
      </x:c>
      <x:c r="T2022" s="8" t="n">
        <x:f>DATE(YEAR(C2022),MONTH(C2022),1)</x:f>
        <x:v>45748</x:v>
      </x:c>
    </x:row>
    <x:row r="2023" ht="22" customHeight="1">
      <x:c r="A2023" s="2" t="str">
        <x:v>L002019</x:v>
      </x:c>
      <x:c r="B2023" s="2" t="str">
        <x:v>O00826</x:v>
      </x:c>
      <x:c r="C2023" s="7" t="n">
        <x:v>45767</x:v>
      </x:c>
      <x:c r="D2023" s="2" t="str">
        <x:v>Completed</x:v>
      </x:c>
      <x:c r="E2023" s="2" t="str">
        <x:v>North</x:v>
      </x:c>
      <x:c r="F2023" s="2" t="str">
        <x:v>Store</x:v>
      </x:c>
      <x:c r="G2023" s="2" t="str">
        <x:v>Furniture</x:v>
      </x:c>
      <x:c r="H2023" s="2" t="str">
        <x:v>Desk 012</x:v>
      </x:c>
      <x:c r="I2023" s="11" t="n">
        <x:v>2</x:v>
      </x:c>
      <x:c r="J2023" s="9" t="n">
        <x:v>134</x:v>
      </x:c>
      <x:c r="K2023" s="10" t="n">
        <x:v>0.1</x:v>
      </x:c>
      <x:c r="L2023" s="11" t="n">
        <x:v>0</x:v>
      </x:c>
      <x:c r="M2023" s="9" t="n">
        <x:f>IF(D2023="Completed",I2023*J2023,0)</x:f>
        <x:v>268</x:v>
      </x:c>
      <x:c r="N2023" s="9" t="n">
        <x:f>M2023*K2023</x:f>
        <x:v>26.8</x:v>
      </x:c>
      <x:c r="O2023" s="9" t="n">
        <x:f>M2023-N2023</x:f>
        <x:v>241.2</x:v>
      </x:c>
      <x:c r="P2023" s="9" t="n">
        <x:f>IF(D2023="Completed",L2023*J2023*(1-K2023),0)</x:f>
        <x:v>0</x:v>
      </x:c>
      <x:c r="Q2023" s="9" t="n">
        <x:f>O2023-P2023</x:f>
        <x:v>241.2</x:v>
      </x:c>
      <x:c r="R2023" s="11" t="n">
        <x:f>IF(D2023="Completed",I2023,0)</x:f>
        <x:v>2</x:v>
      </x:c>
      <x:c r="S2023" s="11" t="n">
        <x:f>IF(D2023="Completed",L2023,0)</x:f>
        <x:v>0</x:v>
      </x:c>
      <x:c r="T2023" s="8" t="n">
        <x:f>DATE(YEAR(C2023),MONTH(C2023),1)</x:f>
        <x:v>45748</x:v>
      </x:c>
    </x:row>
    <x:row r="2024" ht="22" customHeight="1">
      <x:c r="A2024" s="2" t="str">
        <x:v>L002020</x:v>
      </x:c>
      <x:c r="B2024" s="2" t="str">
        <x:v>O00826</x:v>
      </x:c>
      <x:c r="C2024" s="7" t="n">
        <x:v>45767</x:v>
      </x:c>
      <x:c r="D2024" s="2" t="str">
        <x:v>Completed</x:v>
      </x:c>
      <x:c r="E2024" s="2" t="str">
        <x:v>North</x:v>
      </x:c>
      <x:c r="F2024" s="2" t="str">
        <x:v>Store</x:v>
      </x:c>
      <x:c r="G2024" s="2" t="str">
        <x:v>Lighting</x:v>
      </x:c>
      <x:c r="H2024" s="2" t="str">
        <x:v>Lamp 021</x:v>
      </x:c>
      <x:c r="I2024" s="11" t="n">
        <x:v>3</x:v>
      </x:c>
      <x:c r="J2024" s="9" t="n">
        <x:v>249</x:v>
      </x:c>
      <x:c r="K2024" s="10" t="n">
        <x:v>0.05</x:v>
      </x:c>
      <x:c r="L2024" s="11" t="n">
        <x:v>0</x:v>
      </x:c>
      <x:c r="M2024" s="9" t="n">
        <x:f>IF(D2024="Completed",I2024*J2024,0)</x:f>
        <x:v>747</x:v>
      </x:c>
      <x:c r="N2024" s="9" t="n">
        <x:f>M2024*K2024</x:f>
        <x:v>37.35</x:v>
      </x:c>
      <x:c r="O2024" s="9" t="n">
        <x:f>M2024-N2024</x:f>
        <x:v>709.65</x:v>
      </x:c>
      <x:c r="P2024" s="9" t="n">
        <x:f>IF(D2024="Completed",L2024*J2024*(1-K2024),0)</x:f>
        <x:v>0</x:v>
      </x:c>
      <x:c r="Q2024" s="9" t="n">
        <x:f>O2024-P2024</x:f>
        <x:v>709.65</x:v>
      </x:c>
      <x:c r="R2024" s="11" t="n">
        <x:f>IF(D2024="Completed",I2024,0)</x:f>
        <x:v>3</x:v>
      </x:c>
      <x:c r="S2024" s="11" t="n">
        <x:f>IF(D2024="Completed",L2024,0)</x:f>
        <x:v>0</x:v>
      </x:c>
      <x:c r="T2024" s="8" t="n">
        <x:f>DATE(YEAR(C2024),MONTH(C2024),1)</x:f>
        <x:v>45748</x:v>
      </x:c>
    </x:row>
    <x:row r="2025" ht="22" customHeight="1">
      <x:c r="A2025" s="2" t="str">
        <x:v>L002021</x:v>
      </x:c>
      <x:c r="B2025" s="2" t="str">
        <x:v>O00826</x:v>
      </x:c>
      <x:c r="C2025" s="7" t="n">
        <x:v>45767</x:v>
      </x:c>
      <x:c r="D2025" s="2" t="str">
        <x:v>Completed</x:v>
      </x:c>
      <x:c r="E2025" s="2" t="str">
        <x:v>North</x:v>
      </x:c>
      <x:c r="F2025" s="2" t="str">
        <x:v>Store</x:v>
      </x:c>
      <x:c r="G2025" s="2" t="str">
        <x:v>Lighting</x:v>
      </x:c>
      <x:c r="H2025" s="2" t="str">
        <x:v>Lamp 009</x:v>
      </x:c>
      <x:c r="I2025" s="11" t="n">
        <x:v>1</x:v>
      </x:c>
      <x:c r="J2025" s="9" t="n">
        <x:v>93</x:v>
      </x:c>
      <x:c r="K2025" s="10" t="n">
        <x:v>0.1</x:v>
      </x:c>
      <x:c r="L2025" s="11" t="n">
        <x:v>0</x:v>
      </x:c>
      <x:c r="M2025" s="9" t="n">
        <x:f>IF(D2025="Completed",I2025*J2025,0)</x:f>
        <x:v>93</x:v>
      </x:c>
      <x:c r="N2025" s="9" t="n">
        <x:f>M2025*K2025</x:f>
        <x:v>9.3</x:v>
      </x:c>
      <x:c r="O2025" s="9" t="n">
        <x:f>M2025-N2025</x:f>
        <x:v>83.7</x:v>
      </x:c>
      <x:c r="P2025" s="9" t="n">
        <x:f>IF(D2025="Completed",L2025*J2025*(1-K2025),0)</x:f>
        <x:v>0</x:v>
      </x:c>
      <x:c r="Q2025" s="9" t="n">
        <x:f>O2025-P2025</x:f>
        <x:v>83.7</x:v>
      </x:c>
      <x:c r="R2025" s="11" t="n">
        <x:f>IF(D2025="Completed",I2025,0)</x:f>
        <x:v>1</x:v>
      </x:c>
      <x:c r="S2025" s="11" t="n">
        <x:f>IF(D2025="Completed",L2025,0)</x:f>
        <x:v>0</x:v>
      </x:c>
      <x:c r="T2025" s="8" t="n">
        <x:f>DATE(YEAR(C2025),MONTH(C2025),1)</x:f>
        <x:v>45748</x:v>
      </x:c>
    </x:row>
    <x:row r="2026" ht="22" customHeight="1">
      <x:c r="A2026" s="2" t="str">
        <x:v>L002022</x:v>
      </x:c>
      <x:c r="B2026" s="2" t="str">
        <x:v>O00827</x:v>
      </x:c>
      <x:c r="C2026" s="7" t="n">
        <x:v>45869</x:v>
      </x:c>
      <x:c r="D2026" s="2" t="str">
        <x:v>Completed</x:v>
      </x:c>
      <x:c r="E2026" s="2" t="str">
        <x:v>East</x:v>
      </x:c>
      <x:c r="F2026" s="2" t="str">
        <x:v>Store</x:v>
      </x:c>
      <x:c r="G2026" s="2" t="str">
        <x:v>Storage</x:v>
      </x:c>
      <x:c r="H2026" s="2" t="str">
        <x:v>Shelf 011</x:v>
      </x:c>
      <x:c r="I2026" s="11" t="n">
        <x:v>5</x:v>
      </x:c>
      <x:c r="J2026" s="9" t="n">
        <x:v>80</x:v>
      </x:c>
      <x:c r="K2026" s="10" t="n">
        <x:v>0</x:v>
      </x:c>
      <x:c r="L2026" s="11" t="n">
        <x:v>0</x:v>
      </x:c>
      <x:c r="M2026" s="9" t="n">
        <x:f>IF(D2026="Completed",I2026*J2026,0)</x:f>
        <x:v>400</x:v>
      </x:c>
      <x:c r="N2026" s="9" t="n">
        <x:f>M2026*K2026</x:f>
        <x:v>0</x:v>
      </x:c>
      <x:c r="O2026" s="9" t="n">
        <x:f>M2026-N2026</x:f>
        <x:v>400</x:v>
      </x:c>
      <x:c r="P2026" s="9" t="n">
        <x:f>IF(D2026="Completed",L2026*J2026*(1-K2026),0)</x:f>
        <x:v>0</x:v>
      </x:c>
      <x:c r="Q2026" s="9" t="n">
        <x:f>O2026-P2026</x:f>
        <x:v>400</x:v>
      </x:c>
      <x:c r="R2026" s="11" t="n">
        <x:f>IF(D2026="Completed",I2026,0)</x:f>
        <x:v>5</x:v>
      </x:c>
      <x:c r="S2026" s="11" t="n">
        <x:f>IF(D2026="Completed",L2026,0)</x:f>
        <x:v>0</x:v>
      </x:c>
      <x:c r="T2026" s="8" t="n">
        <x:f>DATE(YEAR(C2026),MONTH(C2026),1)</x:f>
        <x:v>45839</x:v>
      </x:c>
    </x:row>
    <x:row r="2027" ht="22" customHeight="1">
      <x:c r="A2027" s="2" t="str">
        <x:v>L002023</x:v>
      </x:c>
      <x:c r="B2027" s="2" t="str">
        <x:v>O00827</x:v>
      </x:c>
      <x:c r="C2027" s="7" t="n">
        <x:v>45869</x:v>
      </x:c>
      <x:c r="D2027" s="2" t="str">
        <x:v>Completed</x:v>
      </x:c>
      <x:c r="E2027" s="2" t="str">
        <x:v>East</x:v>
      </x:c>
      <x:c r="F2027" s="2" t="str">
        <x:v>Store</x:v>
      </x:c>
      <x:c r="G2027" s="2" t="str">
        <x:v>Lighting</x:v>
      </x:c>
      <x:c r="H2027" s="2" t="str">
        <x:v>Lamp 005</x:v>
      </x:c>
      <x:c r="I2027" s="11" t="n">
        <x:v>2</x:v>
      </x:c>
      <x:c r="J2027" s="9" t="n">
        <x:v>65</x:v>
      </x:c>
      <x:c r="K2027" s="10" t="n">
        <x:v>0.1</x:v>
      </x:c>
      <x:c r="L2027" s="11" t="n">
        <x:v>0</x:v>
      </x:c>
      <x:c r="M2027" s="9" t="n">
        <x:f>IF(D2027="Completed",I2027*J2027,0)</x:f>
        <x:v>130</x:v>
      </x:c>
      <x:c r="N2027" s="9" t="n">
        <x:f>M2027*K2027</x:f>
        <x:v>13</x:v>
      </x:c>
      <x:c r="O2027" s="9" t="n">
        <x:f>M2027-N2027</x:f>
        <x:v>117</x:v>
      </x:c>
      <x:c r="P2027" s="9" t="n">
        <x:f>IF(D2027="Completed",L2027*J2027*(1-K2027),0)</x:f>
        <x:v>0</x:v>
      </x:c>
      <x:c r="Q2027" s="9" t="n">
        <x:f>O2027-P2027</x:f>
        <x:v>117</x:v>
      </x:c>
      <x:c r="R2027" s="11" t="n">
        <x:f>IF(D2027="Completed",I2027,0)</x:f>
        <x:v>2</x:v>
      </x:c>
      <x:c r="S2027" s="11" t="n">
        <x:f>IF(D2027="Completed",L2027,0)</x:f>
        <x:v>0</x:v>
      </x:c>
      <x:c r="T2027" s="8" t="n">
        <x:f>DATE(YEAR(C2027),MONTH(C2027),1)</x:f>
        <x:v>45839</x:v>
      </x:c>
    </x:row>
    <x:row r="2028" ht="22" customHeight="1">
      <x:c r="A2028" s="2" t="str">
        <x:v>L002024</x:v>
      </x:c>
      <x:c r="B2028" s="2" t="str">
        <x:v>O00828</x:v>
      </x:c>
      <x:c r="C2028" s="7" t="n">
        <x:v>45866</x:v>
      </x:c>
      <x:c r="D2028" s="2" t="str">
        <x:v>Completed</x:v>
      </x:c>
      <x:c r="E2028" s="2" t="str">
        <x:v>South</x:v>
      </x:c>
      <x:c r="F2028" s="2" t="str">
        <x:v>Online</x:v>
      </x:c>
      <x:c r="G2028" s="2" t="str">
        <x:v>Furniture</x:v>
      </x:c>
      <x:c r="H2028" s="2" t="str">
        <x:v>Desk 012</x:v>
      </x:c>
      <x:c r="I2028" s="11" t="n">
        <x:v>3</x:v>
      </x:c>
      <x:c r="J2028" s="9" t="n">
        <x:v>134</x:v>
      </x:c>
      <x:c r="K2028" s="10" t="n">
        <x:v>0.2</x:v>
      </x:c>
      <x:c r="L2028" s="11" t="n">
        <x:v>0</x:v>
      </x:c>
      <x:c r="M2028" s="9" t="n">
        <x:f>IF(D2028="Completed",I2028*J2028,0)</x:f>
        <x:v>402</x:v>
      </x:c>
      <x:c r="N2028" s="9" t="n">
        <x:f>M2028*K2028</x:f>
        <x:v>80.4</x:v>
      </x:c>
      <x:c r="O2028" s="9" t="n">
        <x:f>M2028-N2028</x:f>
        <x:v>321.6</x:v>
      </x:c>
      <x:c r="P2028" s="9" t="n">
        <x:f>IF(D2028="Completed",L2028*J2028*(1-K2028),0)</x:f>
        <x:v>0</x:v>
      </x:c>
      <x:c r="Q2028" s="9" t="n">
        <x:f>O2028-P2028</x:f>
        <x:v>321.6</x:v>
      </x:c>
      <x:c r="R2028" s="11" t="n">
        <x:f>IF(D2028="Completed",I2028,0)</x:f>
        <x:v>3</x:v>
      </x:c>
      <x:c r="S2028" s="11" t="n">
        <x:f>IF(D2028="Completed",L2028,0)</x:f>
        <x:v>0</x:v>
      </x:c>
      <x:c r="T2028" s="8" t="n">
        <x:f>DATE(YEAR(C2028),MONTH(C2028),1)</x:f>
        <x:v>45839</x:v>
      </x:c>
    </x:row>
    <x:row r="2029" ht="22" customHeight="1">
      <x:c r="A2029" s="2" t="str">
        <x:v>L002025</x:v>
      </x:c>
      <x:c r="B2029" s="2" t="str">
        <x:v>O00828</x:v>
      </x:c>
      <x:c r="C2029" s="7" t="n">
        <x:v>45866</x:v>
      </x:c>
      <x:c r="D2029" s="2" t="str">
        <x:v>Completed</x:v>
      </x:c>
      <x:c r="E2029" s="2" t="str">
        <x:v>South</x:v>
      </x:c>
      <x:c r="F2029" s="2" t="str">
        <x:v>Online</x:v>
      </x:c>
      <x:c r="G2029" s="2" t="str">
        <x:v>Storage</x:v>
      </x:c>
      <x:c r="H2029" s="2" t="str">
        <x:v>Shelf 019</x:v>
      </x:c>
      <x:c r="I2029" s="11" t="n">
        <x:v>2</x:v>
      </x:c>
      <x:c r="J2029" s="9" t="n">
        <x:v>78</x:v>
      </x:c>
      <x:c r="K2029" s="10" t="n">
        <x:v>0</x:v>
      </x:c>
      <x:c r="L2029" s="11" t="n">
        <x:v>0</x:v>
      </x:c>
      <x:c r="M2029" s="9" t="n">
        <x:f>IF(D2029="Completed",I2029*J2029,0)</x:f>
        <x:v>156</x:v>
      </x:c>
      <x:c r="N2029" s="9" t="n">
        <x:f>M2029*K2029</x:f>
        <x:v>0</x:v>
      </x:c>
      <x:c r="O2029" s="9" t="n">
        <x:f>M2029-N2029</x:f>
        <x:v>156</x:v>
      </x:c>
      <x:c r="P2029" s="9" t="n">
        <x:f>IF(D2029="Completed",L2029*J2029*(1-K2029),0)</x:f>
        <x:v>0</x:v>
      </x:c>
      <x:c r="Q2029" s="9" t="n">
        <x:f>O2029-P2029</x:f>
        <x:v>156</x:v>
      </x:c>
      <x:c r="R2029" s="11" t="n">
        <x:f>IF(D2029="Completed",I2029,0)</x:f>
        <x:v>2</x:v>
      </x:c>
      <x:c r="S2029" s="11" t="n">
        <x:f>IF(D2029="Completed",L2029,0)</x:f>
        <x:v>0</x:v>
      </x:c>
      <x:c r="T2029" s="8" t="n">
        <x:f>DATE(YEAR(C2029),MONTH(C2029),1)</x:f>
        <x:v>45839</x:v>
      </x:c>
    </x:row>
    <x:row r="2030" ht="22" customHeight="1">
      <x:c r="A2030" s="2" t="str">
        <x:v>L002026</x:v>
      </x:c>
      <x:c r="B2030" s="2" t="str">
        <x:v>O00828</x:v>
      </x:c>
      <x:c r="C2030" s="7" t="n">
        <x:v>45866</x:v>
      </x:c>
      <x:c r="D2030" s="2" t="str">
        <x:v>Completed</x:v>
      </x:c>
      <x:c r="E2030" s="2" t="str">
        <x:v>South</x:v>
      </x:c>
      <x:c r="F2030" s="2" t="str">
        <x:v>Online</x:v>
      </x:c>
      <x:c r="G2030" s="2" t="str">
        <x:v>Furniture</x:v>
      </x:c>
      <x:c r="H2030" s="2" t="str">
        <x:v>Desk 020</x:v>
      </x:c>
      <x:c r="I2030" s="11" t="n">
        <x:v>4</x:v>
      </x:c>
      <x:c r="J2030" s="9" t="n">
        <x:v>189</x:v>
      </x:c>
      <x:c r="K2030" s="10" t="n">
        <x:v>0.05</x:v>
      </x:c>
      <x:c r="L2030" s="11" t="n">
        <x:v>0</x:v>
      </x:c>
      <x:c r="M2030" s="9" t="n">
        <x:f>IF(D2030="Completed",I2030*J2030,0)</x:f>
        <x:v>756</x:v>
      </x:c>
      <x:c r="N2030" s="9" t="n">
        <x:f>M2030*K2030</x:f>
        <x:v>37.800000000000004</x:v>
      </x:c>
      <x:c r="O2030" s="9" t="n">
        <x:f>M2030-N2030</x:f>
        <x:v>718.2</x:v>
      </x:c>
      <x:c r="P2030" s="9" t="n">
        <x:f>IF(D2030="Completed",L2030*J2030*(1-K2030),0)</x:f>
        <x:v>0</x:v>
      </x:c>
      <x:c r="Q2030" s="9" t="n">
        <x:f>O2030-P2030</x:f>
        <x:v>718.2</x:v>
      </x:c>
      <x:c r="R2030" s="11" t="n">
        <x:f>IF(D2030="Completed",I2030,0)</x:f>
        <x:v>4</x:v>
      </x:c>
      <x:c r="S2030" s="11" t="n">
        <x:f>IF(D2030="Completed",L2030,0)</x:f>
        <x:v>0</x:v>
      </x:c>
      <x:c r="T2030" s="8" t="n">
        <x:f>DATE(YEAR(C2030),MONTH(C2030),1)</x:f>
        <x:v>45839</x:v>
      </x:c>
    </x:row>
    <x:row r="2031" ht="22" customHeight="1">
      <x:c r="A2031" s="2" t="str">
        <x:v>L002027</x:v>
      </x:c>
      <x:c r="B2031" s="2" t="str">
        <x:v>O00829</x:v>
      </x:c>
      <x:c r="C2031" s="7" t="n">
        <x:v>45982</x:v>
      </x:c>
      <x:c r="D2031" s="2" t="str">
        <x:v>Completed</x:v>
      </x:c>
      <x:c r="E2031" s="2" t="str">
        <x:v>South</x:v>
      </x:c>
      <x:c r="F2031" s="2" t="str">
        <x:v>Online</x:v>
      </x:c>
      <x:c r="G2031" s="2" t="str">
        <x:v>Furniture</x:v>
      </x:c>
      <x:c r="H2031" s="2" t="str">
        <x:v>Desk 024</x:v>
      </x:c>
      <x:c r="I2031" s="11" t="n">
        <x:v>3</x:v>
      </x:c>
      <x:c r="J2031" s="9" t="n">
        <x:v>81</x:v>
      </x:c>
      <x:c r="K2031" s="10" t="n">
        <x:v>0.2</x:v>
      </x:c>
      <x:c r="L2031" s="11" t="n">
        <x:v>0</x:v>
      </x:c>
      <x:c r="M2031" s="9" t="n">
        <x:f>IF(D2031="Completed",I2031*J2031,0)</x:f>
        <x:v>243</x:v>
      </x:c>
      <x:c r="N2031" s="9" t="n">
        <x:f>M2031*K2031</x:f>
        <x:v>48.6</x:v>
      </x:c>
      <x:c r="O2031" s="9" t="n">
        <x:f>M2031-N2031</x:f>
        <x:v>194.4</x:v>
      </x:c>
      <x:c r="P2031" s="9" t="n">
        <x:f>IF(D2031="Completed",L2031*J2031*(1-K2031),0)</x:f>
        <x:v>0</x:v>
      </x:c>
      <x:c r="Q2031" s="9" t="n">
        <x:f>O2031-P2031</x:f>
        <x:v>194.4</x:v>
      </x:c>
      <x:c r="R2031" s="11" t="n">
        <x:f>IF(D2031="Completed",I2031,0)</x:f>
        <x:v>3</x:v>
      </x:c>
      <x:c r="S2031" s="11" t="n">
        <x:f>IF(D2031="Completed",L2031,0)</x:f>
        <x:v>0</x:v>
      </x:c>
      <x:c r="T2031" s="8" t="n">
        <x:f>DATE(YEAR(C2031),MONTH(C2031),1)</x:f>
        <x:v>45962</x:v>
      </x:c>
    </x:row>
    <x:row r="2032" ht="22" customHeight="1">
      <x:c r="A2032" s="2" t="str">
        <x:v>L002028</x:v>
      </x:c>
      <x:c r="B2032" s="2" t="str">
        <x:v>O00829</x:v>
      </x:c>
      <x:c r="C2032" s="7" t="n">
        <x:v>45982</x:v>
      </x:c>
      <x:c r="D2032" s="2" t="str">
        <x:v>Completed</x:v>
      </x:c>
      <x:c r="E2032" s="2" t="str">
        <x:v>South</x:v>
      </x:c>
      <x:c r="F2032" s="2" t="str">
        <x:v>Online</x:v>
      </x:c>
      <x:c r="G2032" s="2" t="str">
        <x:v>Furniture</x:v>
      </x:c>
      <x:c r="H2032" s="2" t="str">
        <x:v>Desk 020</x:v>
      </x:c>
      <x:c r="I2032" s="11" t="n">
        <x:v>5</x:v>
      </x:c>
      <x:c r="J2032" s="9" t="n">
        <x:v>189</x:v>
      </x:c>
      <x:c r="K2032" s="10" t="n">
        <x:v>0.05</x:v>
      </x:c>
      <x:c r="L2032" s="11" t="n">
        <x:v>0</x:v>
      </x:c>
      <x:c r="M2032" s="9" t="n">
        <x:f>IF(D2032="Completed",I2032*J2032,0)</x:f>
        <x:v>945</x:v>
      </x:c>
      <x:c r="N2032" s="9" t="n">
        <x:f>M2032*K2032</x:f>
        <x:v>47.25</x:v>
      </x:c>
      <x:c r="O2032" s="9" t="n">
        <x:f>M2032-N2032</x:f>
        <x:v>897.75</x:v>
      </x:c>
      <x:c r="P2032" s="9" t="n">
        <x:f>IF(D2032="Completed",L2032*J2032*(1-K2032),0)</x:f>
        <x:v>0</x:v>
      </x:c>
      <x:c r="Q2032" s="9" t="n">
        <x:f>O2032-P2032</x:f>
        <x:v>897.75</x:v>
      </x:c>
      <x:c r="R2032" s="11" t="n">
        <x:f>IF(D2032="Completed",I2032,0)</x:f>
        <x:v>5</x:v>
      </x:c>
      <x:c r="S2032" s="11" t="n">
        <x:f>IF(D2032="Completed",L2032,0)</x:f>
        <x:v>0</x:v>
      </x:c>
      <x:c r="T2032" s="8" t="n">
        <x:f>DATE(YEAR(C2032),MONTH(C2032),1)</x:f>
        <x:v>45962</x:v>
      </x:c>
    </x:row>
    <x:row r="2033" ht="22" customHeight="1">
      <x:c r="A2033" s="2" t="str">
        <x:v>L002029</x:v>
      </x:c>
      <x:c r="B2033" s="2" t="str">
        <x:v>O00829</x:v>
      </x:c>
      <x:c r="C2033" s="7" t="n">
        <x:v>45982</x:v>
      </x:c>
      <x:c r="D2033" s="2" t="str">
        <x:v>Completed</x:v>
      </x:c>
      <x:c r="E2033" s="2" t="str">
        <x:v>South</x:v>
      </x:c>
      <x:c r="F2033" s="2" t="str">
        <x:v>Online</x:v>
      </x:c>
      <x:c r="G2033" s="2" t="str">
        <x:v>Furniture</x:v>
      </x:c>
      <x:c r="H2033" s="2" t="str">
        <x:v>Chair 006</x:v>
      </x:c>
      <x:c r="I2033" s="11" t="n">
        <x:v>1</x:v>
      </x:c>
      <x:c r="J2033" s="9" t="n">
        <x:v>196</x:v>
      </x:c>
      <x:c r="K2033" s="10" t="n">
        <x:v>0.2</x:v>
      </x:c>
      <x:c r="L2033" s="11" t="n">
        <x:v>1</x:v>
      </x:c>
      <x:c r="M2033" s="9" t="n">
        <x:f>IF(D2033="Completed",I2033*J2033,0)</x:f>
        <x:v>196</x:v>
      </x:c>
      <x:c r="N2033" s="9" t="n">
        <x:f>M2033*K2033</x:f>
        <x:v>39.2</x:v>
      </x:c>
      <x:c r="O2033" s="9" t="n">
        <x:f>M2033-N2033</x:f>
        <x:v>156.8</x:v>
      </x:c>
      <x:c r="P2033" s="9" t="n">
        <x:f>IF(D2033="Completed",L2033*J2033*(1-K2033),0)</x:f>
        <x:v>156.8</x:v>
      </x:c>
      <x:c r="Q2033" s="9" t="n">
        <x:f>O2033-P2033</x:f>
        <x:v>0</x:v>
      </x:c>
      <x:c r="R2033" s="11" t="n">
        <x:f>IF(D2033="Completed",I2033,0)</x:f>
        <x:v>1</x:v>
      </x:c>
      <x:c r="S2033" s="11" t="n">
        <x:f>IF(D2033="Completed",L2033,0)</x:f>
        <x:v>1</x:v>
      </x:c>
      <x:c r="T2033" s="8" t="n">
        <x:f>DATE(YEAR(C2033),MONTH(C2033),1)</x:f>
        <x:v>45962</x:v>
      </x:c>
    </x:row>
    <x:row r="2034" ht="22" customHeight="1">
      <x:c r="A2034" s="2" t="str">
        <x:v>L002030</x:v>
      </x:c>
      <x:c r="B2034" s="2" t="str">
        <x:v>O00829</x:v>
      </x:c>
      <x:c r="C2034" s="7" t="n">
        <x:v>45982</x:v>
      </x:c>
      <x:c r="D2034" s="2" t="str">
        <x:v>Completed</x:v>
      </x:c>
      <x:c r="E2034" s="2" t="str">
        <x:v>South</x:v>
      </x:c>
      <x:c r="F2034" s="2" t="str">
        <x:v>Online</x:v>
      </x:c>
      <x:c r="G2034" s="2" t="str">
        <x:v>Lighting</x:v>
      </x:c>
      <x:c r="H2034" s="2" t="str">
        <x:v>Lamp 001</x:v>
      </x:c>
      <x:c r="I2034" s="11" t="n">
        <x:v>5</x:v>
      </x:c>
      <x:c r="J2034" s="9" t="n">
        <x:v>122</x:v>
      </x:c>
      <x:c r="K2034" s="10" t="n">
        <x:v>0.1</x:v>
      </x:c>
      <x:c r="L2034" s="11" t="n">
        <x:v>0</x:v>
      </x:c>
      <x:c r="M2034" s="9" t="n">
        <x:f>IF(D2034="Completed",I2034*J2034,0)</x:f>
        <x:v>610</x:v>
      </x:c>
      <x:c r="N2034" s="9" t="n">
        <x:f>M2034*K2034</x:f>
        <x:v>61</x:v>
      </x:c>
      <x:c r="O2034" s="9" t="n">
        <x:f>M2034-N2034</x:f>
        <x:v>549</x:v>
      </x:c>
      <x:c r="P2034" s="9" t="n">
        <x:f>IF(D2034="Completed",L2034*J2034*(1-K2034),0)</x:f>
        <x:v>0</x:v>
      </x:c>
      <x:c r="Q2034" s="9" t="n">
        <x:f>O2034-P2034</x:f>
        <x:v>549</x:v>
      </x:c>
      <x:c r="R2034" s="11" t="n">
        <x:f>IF(D2034="Completed",I2034,0)</x:f>
        <x:v>5</x:v>
      </x:c>
      <x:c r="S2034" s="11" t="n">
        <x:f>IF(D2034="Completed",L2034,0)</x:f>
        <x:v>0</x:v>
      </x:c>
      <x:c r="T2034" s="8" t="n">
        <x:f>DATE(YEAR(C2034),MONTH(C2034),1)</x:f>
        <x:v>45962</x:v>
      </x:c>
    </x:row>
    <x:row r="2035" ht="22" customHeight="1">
      <x:c r="A2035" s="2" t="str">
        <x:v>L002031</x:v>
      </x:c>
      <x:c r="B2035" s="2" t="str">
        <x:v>O00830</x:v>
      </x:c>
      <x:c r="C2035" s="7" t="n">
        <x:v>45832</x:v>
      </x:c>
      <x:c r="D2035" s="2" t="str">
        <x:v>Completed</x:v>
      </x:c>
      <x:c r="E2035" s="2" t="str">
        <x:v>South</x:v>
      </x:c>
      <x:c r="F2035" s="2" t="str">
        <x:v>Online</x:v>
      </x:c>
      <x:c r="G2035" s="2" t="str">
        <x:v>Storage</x:v>
      </x:c>
      <x:c r="H2035" s="2" t="str">
        <x:v>Shelf 023</x:v>
      </x:c>
      <x:c r="I2035" s="11" t="n">
        <x:v>2</x:v>
      </x:c>
      <x:c r="J2035" s="9" t="n">
        <x:v>68</x:v>
      </x:c>
      <x:c r="K2035" s="10" t="n">
        <x:v>0.05</x:v>
      </x:c>
      <x:c r="L2035" s="11" t="n">
        <x:v>0</x:v>
      </x:c>
      <x:c r="M2035" s="9" t="n">
        <x:f>IF(D2035="Completed",I2035*J2035,0)</x:f>
        <x:v>136</x:v>
      </x:c>
      <x:c r="N2035" s="9" t="n">
        <x:f>M2035*K2035</x:f>
        <x:v>6.800000000000001</x:v>
      </x:c>
      <x:c r="O2035" s="9" t="n">
        <x:f>M2035-N2035</x:f>
        <x:v>129.2</x:v>
      </x:c>
      <x:c r="P2035" s="9" t="n">
        <x:f>IF(D2035="Completed",L2035*J2035*(1-K2035),0)</x:f>
        <x:v>0</x:v>
      </x:c>
      <x:c r="Q2035" s="9" t="n">
        <x:f>O2035-P2035</x:f>
        <x:v>129.2</x:v>
      </x:c>
      <x:c r="R2035" s="11" t="n">
        <x:f>IF(D2035="Completed",I2035,0)</x:f>
        <x:v>2</x:v>
      </x:c>
      <x:c r="S2035" s="11" t="n">
        <x:f>IF(D2035="Completed",L2035,0)</x:f>
        <x:v>0</x:v>
      </x:c>
      <x:c r="T2035" s="8" t="n">
        <x:f>DATE(YEAR(C2035),MONTH(C2035),1)</x:f>
        <x:v>45809</x:v>
      </x:c>
    </x:row>
    <x:row r="2036" ht="22" customHeight="1">
      <x:c r="A2036" s="2" t="str">
        <x:v>L002032</x:v>
      </x:c>
      <x:c r="B2036" s="2" t="str">
        <x:v>O00830</x:v>
      </x:c>
      <x:c r="C2036" s="7" t="n">
        <x:v>45832</x:v>
      </x:c>
      <x:c r="D2036" s="2" t="str">
        <x:v>Completed</x:v>
      </x:c>
      <x:c r="E2036" s="2" t="str">
        <x:v>South</x:v>
      </x:c>
      <x:c r="F2036" s="2" t="str">
        <x:v>Online</x:v>
      </x:c>
      <x:c r="G2036" s="2" t="str">
        <x:v>Storage</x:v>
      </x:c>
      <x:c r="H2036" s="2" t="str">
        <x:v>Shelf 023</x:v>
      </x:c>
      <x:c r="I2036" s="11" t="n">
        <x:v>1</x:v>
      </x:c>
      <x:c r="J2036" s="9" t="n">
        <x:v>68</x:v>
      </x:c>
      <x:c r="K2036" s="10" t="n">
        <x:v>0</x:v>
      </x:c>
      <x:c r="L2036" s="11" t="n">
        <x:v>0</x:v>
      </x:c>
      <x:c r="M2036" s="9" t="n">
        <x:f>IF(D2036="Completed",I2036*J2036,0)</x:f>
        <x:v>68</x:v>
      </x:c>
      <x:c r="N2036" s="9" t="n">
        <x:f>M2036*K2036</x:f>
        <x:v>0</x:v>
      </x:c>
      <x:c r="O2036" s="9" t="n">
        <x:f>M2036-N2036</x:f>
        <x:v>68</x:v>
      </x:c>
      <x:c r="P2036" s="9" t="n">
        <x:f>IF(D2036="Completed",L2036*J2036*(1-K2036),0)</x:f>
        <x:v>0</x:v>
      </x:c>
      <x:c r="Q2036" s="9" t="n">
        <x:f>O2036-P2036</x:f>
        <x:v>68</x:v>
      </x:c>
      <x:c r="R2036" s="11" t="n">
        <x:f>IF(D2036="Completed",I2036,0)</x:f>
        <x:v>1</x:v>
      </x:c>
      <x:c r="S2036" s="11" t="n">
        <x:f>IF(D2036="Completed",L2036,0)</x:f>
        <x:v>0</x:v>
      </x:c>
      <x:c r="T2036" s="8" t="n">
        <x:f>DATE(YEAR(C2036),MONTH(C2036),1)</x:f>
        <x:v>45809</x:v>
      </x:c>
    </x:row>
    <x:row r="2037" ht="22" customHeight="1">
      <x:c r="A2037" s="2" t="str">
        <x:v>L002033</x:v>
      </x:c>
      <x:c r="B2037" s="2" t="str">
        <x:v>O00830</x:v>
      </x:c>
      <x:c r="C2037" s="7" t="n">
        <x:v>45832</x:v>
      </x:c>
      <x:c r="D2037" s="2" t="str">
        <x:v>Completed</x:v>
      </x:c>
      <x:c r="E2037" s="2" t="str">
        <x:v>South</x:v>
      </x:c>
      <x:c r="F2037" s="2" t="str">
        <x:v>Online</x:v>
      </x:c>
      <x:c r="G2037" s="2" t="str">
        <x:v>Furniture</x:v>
      </x:c>
      <x:c r="H2037" s="2" t="str">
        <x:v>Desk 024</x:v>
      </x:c>
      <x:c r="I2037" s="11" t="n">
        <x:v>5</x:v>
      </x:c>
      <x:c r="J2037" s="9" t="n">
        <x:v>81</x:v>
      </x:c>
      <x:c r="K2037" s="10" t="n">
        <x:v>0.2</x:v>
      </x:c>
      <x:c r="L2037" s="11" t="n">
        <x:v>0</x:v>
      </x:c>
      <x:c r="M2037" s="9" t="n">
        <x:f>IF(D2037="Completed",I2037*J2037,0)</x:f>
        <x:v>405</x:v>
      </x:c>
      <x:c r="N2037" s="9" t="n">
        <x:f>M2037*K2037</x:f>
        <x:v>81</x:v>
      </x:c>
      <x:c r="O2037" s="9" t="n">
        <x:f>M2037-N2037</x:f>
        <x:v>324</x:v>
      </x:c>
      <x:c r="P2037" s="9" t="n">
        <x:f>IF(D2037="Completed",L2037*J2037*(1-K2037),0)</x:f>
        <x:v>0</x:v>
      </x:c>
      <x:c r="Q2037" s="9" t="n">
        <x:f>O2037-P2037</x:f>
        <x:v>324</x:v>
      </x:c>
      <x:c r="R2037" s="11" t="n">
        <x:f>IF(D2037="Completed",I2037,0)</x:f>
        <x:v>5</x:v>
      </x:c>
      <x:c r="S2037" s="11" t="n">
        <x:f>IF(D2037="Completed",L2037,0)</x:f>
        <x:v>0</x:v>
      </x:c>
      <x:c r="T2037" s="8" t="n">
        <x:f>DATE(YEAR(C2037),MONTH(C2037),1)</x:f>
        <x:v>45809</x:v>
      </x:c>
    </x:row>
    <x:row r="2038" ht="22" customHeight="1">
      <x:c r="A2038" s="2" t="str">
        <x:v>L002034</x:v>
      </x:c>
      <x:c r="B2038" s="2" t="str">
        <x:v>O00831</x:v>
      </x:c>
      <x:c r="C2038" s="7" t="n">
        <x:v>45843</x:v>
      </x:c>
      <x:c r="D2038" s="2" t="str">
        <x:v>Completed</x:v>
      </x:c>
      <x:c r="E2038" s="2" t="str">
        <x:v>South</x:v>
      </x:c>
      <x:c r="F2038" s="2" t="str">
        <x:v>Online</x:v>
      </x:c>
      <x:c r="G2038" s="2" t="str">
        <x:v>Storage</x:v>
      </x:c>
      <x:c r="H2038" s="2" t="str">
        <x:v>Shelf 015</x:v>
      </x:c>
      <x:c r="I2038" s="11" t="n">
        <x:v>5</x:v>
      </x:c>
      <x:c r="J2038" s="9" t="n">
        <x:v>254</x:v>
      </x:c>
      <x:c r="K2038" s="10" t="n">
        <x:v>0.05</x:v>
      </x:c>
      <x:c r="L2038" s="11" t="n">
        <x:v>0</x:v>
      </x:c>
      <x:c r="M2038" s="9" t="n">
        <x:f>IF(D2038="Completed",I2038*J2038,0)</x:f>
        <x:v>1270</x:v>
      </x:c>
      <x:c r="N2038" s="9" t="n">
        <x:f>M2038*K2038</x:f>
        <x:v>63.5</x:v>
      </x:c>
      <x:c r="O2038" s="9" t="n">
        <x:f>M2038-N2038</x:f>
        <x:v>1206.5</x:v>
      </x:c>
      <x:c r="P2038" s="9" t="n">
        <x:f>IF(D2038="Completed",L2038*J2038*(1-K2038),0)</x:f>
        <x:v>0</x:v>
      </x:c>
      <x:c r="Q2038" s="9" t="n">
        <x:f>O2038-P2038</x:f>
        <x:v>1206.5</x:v>
      </x:c>
      <x:c r="R2038" s="11" t="n">
        <x:f>IF(D2038="Completed",I2038,0)</x:f>
        <x:v>5</x:v>
      </x:c>
      <x:c r="S2038" s="11" t="n">
        <x:f>IF(D2038="Completed",L2038,0)</x:f>
        <x:v>0</x:v>
      </x:c>
      <x:c r="T2038" s="8" t="n">
        <x:f>DATE(YEAR(C2038),MONTH(C2038),1)</x:f>
        <x:v>45839</x:v>
      </x:c>
    </x:row>
    <x:row r="2039" ht="22" customHeight="1">
      <x:c r="A2039" s="2" t="str">
        <x:v>L002035</x:v>
      </x:c>
      <x:c r="B2039" s="2" t="str">
        <x:v>O00831</x:v>
      </x:c>
      <x:c r="C2039" s="7" t="n">
        <x:v>45843</x:v>
      </x:c>
      <x:c r="D2039" s="2" t="str">
        <x:v>Completed</x:v>
      </x:c>
      <x:c r="E2039" s="2" t="str">
        <x:v>South</x:v>
      </x:c>
      <x:c r="F2039" s="2" t="str">
        <x:v>Online</x:v>
      </x:c>
      <x:c r="G2039" s="2" t="str">
        <x:v>Storage</x:v>
      </x:c>
      <x:c r="H2039" s="2" t="str">
        <x:v>Shelf 015</x:v>
      </x:c>
      <x:c r="I2039" s="11" t="n">
        <x:v>2</x:v>
      </x:c>
      <x:c r="J2039" s="9" t="n">
        <x:v>254</x:v>
      </x:c>
      <x:c r="K2039" s="10" t="n">
        <x:v>0.05</x:v>
      </x:c>
      <x:c r="L2039" s="11" t="n">
        <x:v>0</x:v>
      </x:c>
      <x:c r="M2039" s="9" t="n">
        <x:f>IF(D2039="Completed",I2039*J2039,0)</x:f>
        <x:v>508</x:v>
      </x:c>
      <x:c r="N2039" s="9" t="n">
        <x:f>M2039*K2039</x:f>
        <x:v>25.400000000000002</x:v>
      </x:c>
      <x:c r="O2039" s="9" t="n">
        <x:f>M2039-N2039</x:f>
        <x:v>482.6</x:v>
      </x:c>
      <x:c r="P2039" s="9" t="n">
        <x:f>IF(D2039="Completed",L2039*J2039*(1-K2039),0)</x:f>
        <x:v>0</x:v>
      </x:c>
      <x:c r="Q2039" s="9" t="n">
        <x:f>O2039-P2039</x:f>
        <x:v>482.6</x:v>
      </x:c>
      <x:c r="R2039" s="11" t="n">
        <x:f>IF(D2039="Completed",I2039,0)</x:f>
        <x:v>2</x:v>
      </x:c>
      <x:c r="S2039" s="11" t="n">
        <x:f>IF(D2039="Completed",L2039,0)</x:f>
        <x:v>0</x:v>
      </x:c>
      <x:c r="T2039" s="8" t="n">
        <x:f>DATE(YEAR(C2039),MONTH(C2039),1)</x:f>
        <x:v>45839</x:v>
      </x:c>
    </x:row>
    <x:row r="2040" ht="22" customHeight="1">
      <x:c r="A2040" s="2" t="str">
        <x:v>L002036</x:v>
      </x:c>
      <x:c r="B2040" s="2" t="str">
        <x:v>O00831</x:v>
      </x:c>
      <x:c r="C2040" s="7" t="n">
        <x:v>45843</x:v>
      </x:c>
      <x:c r="D2040" s="2" t="str">
        <x:v>Completed</x:v>
      </x:c>
      <x:c r="E2040" s="2" t="str">
        <x:v>South</x:v>
      </x:c>
      <x:c r="F2040" s="2" t="str">
        <x:v>Online</x:v>
      </x:c>
      <x:c r="G2040" s="2" t="str">
        <x:v>Storage</x:v>
      </x:c>
      <x:c r="H2040" s="2" t="str">
        <x:v>Shelf 015</x:v>
      </x:c>
      <x:c r="I2040" s="11" t="n">
        <x:v>2</x:v>
      </x:c>
      <x:c r="J2040" s="9" t="n">
        <x:v>254</x:v>
      </x:c>
      <x:c r="K2040" s="10" t="n">
        <x:v>0.2</x:v>
      </x:c>
      <x:c r="L2040" s="11" t="n">
        <x:v>0</x:v>
      </x:c>
      <x:c r="M2040" s="9" t="n">
        <x:f>IF(D2040="Completed",I2040*J2040,0)</x:f>
        <x:v>508</x:v>
      </x:c>
      <x:c r="N2040" s="9" t="n">
        <x:f>M2040*K2040</x:f>
        <x:v>101.60000000000001</x:v>
      </x:c>
      <x:c r="O2040" s="9" t="n">
        <x:f>M2040-N2040</x:f>
        <x:v>406.4</x:v>
      </x:c>
      <x:c r="P2040" s="9" t="n">
        <x:f>IF(D2040="Completed",L2040*J2040*(1-K2040),0)</x:f>
        <x:v>0</x:v>
      </x:c>
      <x:c r="Q2040" s="9" t="n">
        <x:f>O2040-P2040</x:f>
        <x:v>406.4</x:v>
      </x:c>
      <x:c r="R2040" s="11" t="n">
        <x:f>IF(D2040="Completed",I2040,0)</x:f>
        <x:v>2</x:v>
      </x:c>
      <x:c r="S2040" s="11" t="n">
        <x:f>IF(D2040="Completed",L2040,0)</x:f>
        <x:v>0</x:v>
      </x:c>
      <x:c r="T2040" s="8" t="n">
        <x:f>DATE(YEAR(C2040),MONTH(C2040),1)</x:f>
        <x:v>45839</x:v>
      </x:c>
    </x:row>
    <x:row r="2041" ht="22" customHeight="1">
      <x:c r="A2041" s="2" t="str">
        <x:v>L002037</x:v>
      </x:c>
      <x:c r="B2041" s="2" t="str">
        <x:v>O00832</x:v>
      </x:c>
      <x:c r="C2041" s="7" t="n">
        <x:v>45731</x:v>
      </x:c>
      <x:c r="D2041" s="2" t="str">
        <x:v>Completed</x:v>
      </x:c>
      <x:c r="E2041" s="2" t="str">
        <x:v>East</x:v>
      </x:c>
      <x:c r="F2041" s="2" t="str">
        <x:v>Online</x:v>
      </x:c>
      <x:c r="G2041" s="2" t="str">
        <x:v>Storage</x:v>
      </x:c>
      <x:c r="H2041" s="2" t="str">
        <x:v>Shelf 023</x:v>
      </x:c>
      <x:c r="I2041" s="11" t="n">
        <x:v>5</x:v>
      </x:c>
      <x:c r="J2041" s="9" t="n">
        <x:v>68</x:v>
      </x:c>
      <x:c r="K2041" s="10" t="n">
        <x:v>0.05</x:v>
      </x:c>
      <x:c r="L2041" s="11" t="n">
        <x:v>4</x:v>
      </x:c>
      <x:c r="M2041" s="9" t="n">
        <x:f>IF(D2041="Completed",I2041*J2041,0)</x:f>
        <x:v>340</x:v>
      </x:c>
      <x:c r="N2041" s="9" t="n">
        <x:f>M2041*K2041</x:f>
        <x:v>17</x:v>
      </x:c>
      <x:c r="O2041" s="9" t="n">
        <x:f>M2041-N2041</x:f>
        <x:v>323</x:v>
      </x:c>
      <x:c r="P2041" s="9" t="n">
        <x:f>IF(D2041="Completed",L2041*J2041*(1-K2041),0)</x:f>
        <x:v>258.4</x:v>
      </x:c>
      <x:c r="Q2041" s="9" t="n">
        <x:f>O2041-P2041</x:f>
        <x:v>64.60000000000002</x:v>
      </x:c>
      <x:c r="R2041" s="11" t="n">
        <x:f>IF(D2041="Completed",I2041,0)</x:f>
        <x:v>5</x:v>
      </x:c>
      <x:c r="S2041" s="11" t="n">
        <x:f>IF(D2041="Completed",L2041,0)</x:f>
        <x:v>4</x:v>
      </x:c>
      <x:c r="T2041" s="8" t="n">
        <x:f>DATE(YEAR(C2041),MONTH(C2041),1)</x:f>
        <x:v>45717</x:v>
      </x:c>
    </x:row>
    <x:row r="2042" ht="22" customHeight="1">
      <x:c r="A2042" s="2" t="str">
        <x:v>L002038</x:v>
      </x:c>
      <x:c r="B2042" s="2" t="str">
        <x:v>O00832</x:v>
      </x:c>
      <x:c r="C2042" s="7" t="n">
        <x:v>45731</x:v>
      </x:c>
      <x:c r="D2042" s="2" t="str">
        <x:v>Completed</x:v>
      </x:c>
      <x:c r="E2042" s="2" t="str">
        <x:v>East</x:v>
      </x:c>
      <x:c r="F2042" s="2" t="str">
        <x:v>Online</x:v>
      </x:c>
      <x:c r="G2042" s="2" t="str">
        <x:v>Storage</x:v>
      </x:c>
      <x:c r="H2042" s="2" t="str">
        <x:v>Shelf 023</x:v>
      </x:c>
      <x:c r="I2042" s="11" t="n">
        <x:v>5</x:v>
      </x:c>
      <x:c r="J2042" s="9" t="n">
        <x:v>68</x:v>
      </x:c>
      <x:c r="K2042" s="10" t="n">
        <x:v>0.1</x:v>
      </x:c>
      <x:c r="L2042" s="11" t="n">
        <x:v>0</x:v>
      </x:c>
      <x:c r="M2042" s="9" t="n">
        <x:f>IF(D2042="Completed",I2042*J2042,0)</x:f>
        <x:v>340</x:v>
      </x:c>
      <x:c r="N2042" s="9" t="n">
        <x:f>M2042*K2042</x:f>
        <x:v>34</x:v>
      </x:c>
      <x:c r="O2042" s="9" t="n">
        <x:f>M2042-N2042</x:f>
        <x:v>306</x:v>
      </x:c>
      <x:c r="P2042" s="9" t="n">
        <x:f>IF(D2042="Completed",L2042*J2042*(1-K2042),0)</x:f>
        <x:v>0</x:v>
      </x:c>
      <x:c r="Q2042" s="9" t="n">
        <x:f>O2042-P2042</x:f>
        <x:v>306</x:v>
      </x:c>
      <x:c r="R2042" s="11" t="n">
        <x:f>IF(D2042="Completed",I2042,0)</x:f>
        <x:v>5</x:v>
      </x:c>
      <x:c r="S2042" s="11" t="n">
        <x:f>IF(D2042="Completed",L2042,0)</x:f>
        <x:v>0</x:v>
      </x:c>
      <x:c r="T2042" s="8" t="n">
        <x:f>DATE(YEAR(C2042),MONTH(C2042),1)</x:f>
        <x:v>45717</x:v>
      </x:c>
    </x:row>
    <x:row r="2043" ht="22" customHeight="1">
      <x:c r="A2043" s="2" t="str">
        <x:v>L002039</x:v>
      </x:c>
      <x:c r="B2043" s="2" t="str">
        <x:v>O00832</x:v>
      </x:c>
      <x:c r="C2043" s="7" t="n">
        <x:v>45731</x:v>
      </x:c>
      <x:c r="D2043" s="2" t="str">
        <x:v>Completed</x:v>
      </x:c>
      <x:c r="E2043" s="2" t="str">
        <x:v>East</x:v>
      </x:c>
      <x:c r="F2043" s="2" t="str">
        <x:v>Online</x:v>
      </x:c>
      <x:c r="G2043" s="2" t="str">
        <x:v>Furniture</x:v>
      </x:c>
      <x:c r="H2043" s="2" t="str">
        <x:v>Chair 018</x:v>
      </x:c>
      <x:c r="I2043" s="11" t="n">
        <x:v>3</x:v>
      </x:c>
      <x:c r="J2043" s="9" t="n">
        <x:v>269</x:v>
      </x:c>
      <x:c r="K2043" s="10" t="n">
        <x:v>0.2</x:v>
      </x:c>
      <x:c r="L2043" s="11" t="n">
        <x:v>0</x:v>
      </x:c>
      <x:c r="M2043" s="9" t="n">
        <x:f>IF(D2043="Completed",I2043*J2043,0)</x:f>
        <x:v>807</x:v>
      </x:c>
      <x:c r="N2043" s="9" t="n">
        <x:f>M2043*K2043</x:f>
        <x:v>161.4</x:v>
      </x:c>
      <x:c r="O2043" s="9" t="n">
        <x:f>M2043-N2043</x:f>
        <x:v>645.6</x:v>
      </x:c>
      <x:c r="P2043" s="9" t="n">
        <x:f>IF(D2043="Completed",L2043*J2043*(1-K2043),0)</x:f>
        <x:v>0</x:v>
      </x:c>
      <x:c r="Q2043" s="9" t="n">
        <x:f>O2043-P2043</x:f>
        <x:v>645.6</x:v>
      </x:c>
      <x:c r="R2043" s="11" t="n">
        <x:f>IF(D2043="Completed",I2043,0)</x:f>
        <x:v>3</x:v>
      </x:c>
      <x:c r="S2043" s="11" t="n">
        <x:f>IF(D2043="Completed",L2043,0)</x:f>
        <x:v>0</x:v>
      </x:c>
      <x:c r="T2043" s="8" t="n">
        <x:f>DATE(YEAR(C2043),MONTH(C2043),1)</x:f>
        <x:v>45717</x:v>
      </x:c>
    </x:row>
    <x:row r="2044" ht="22" customHeight="1">
      <x:c r="A2044" s="2" t="str">
        <x:v>L002040</x:v>
      </x:c>
      <x:c r="B2044" s="2" t="str">
        <x:v>O00832</x:v>
      </x:c>
      <x:c r="C2044" s="7" t="n">
        <x:v>45731</x:v>
      </x:c>
      <x:c r="D2044" s="2" t="str">
        <x:v>Completed</x:v>
      </x:c>
      <x:c r="E2044" s="2" t="str">
        <x:v>East</x:v>
      </x:c>
      <x:c r="F2044" s="2" t="str">
        <x:v>Online</x:v>
      </x:c>
      <x:c r="G2044" s="2" t="str">
        <x:v>Furniture</x:v>
      </x:c>
      <x:c r="H2044" s="2" t="str">
        <x:v>Chair 018</x:v>
      </x:c>
      <x:c r="I2044" s="11" t="n">
        <x:v>3</x:v>
      </x:c>
      <x:c r="J2044" s="9" t="n">
        <x:v>269</x:v>
      </x:c>
      <x:c r="K2044" s="10" t="n">
        <x:v>0.05</x:v>
      </x:c>
      <x:c r="L2044" s="11" t="n">
        <x:v>0</x:v>
      </x:c>
      <x:c r="M2044" s="9" t="n">
        <x:f>IF(D2044="Completed",I2044*J2044,0)</x:f>
        <x:v>807</x:v>
      </x:c>
      <x:c r="N2044" s="9" t="n">
        <x:f>M2044*K2044</x:f>
        <x:v>40.35</x:v>
      </x:c>
      <x:c r="O2044" s="9" t="n">
        <x:f>M2044-N2044</x:f>
        <x:v>766.65</x:v>
      </x:c>
      <x:c r="P2044" s="9" t="n">
        <x:f>IF(D2044="Completed",L2044*J2044*(1-K2044),0)</x:f>
        <x:v>0</x:v>
      </x:c>
      <x:c r="Q2044" s="9" t="n">
        <x:f>O2044-P2044</x:f>
        <x:v>766.65</x:v>
      </x:c>
      <x:c r="R2044" s="11" t="n">
        <x:f>IF(D2044="Completed",I2044,0)</x:f>
        <x:v>3</x:v>
      </x:c>
      <x:c r="S2044" s="11" t="n">
        <x:f>IF(D2044="Completed",L2044,0)</x:f>
        <x:v>0</x:v>
      </x:c>
      <x:c r="T2044" s="8" t="n">
        <x:f>DATE(YEAR(C2044),MONTH(C2044),1)</x:f>
        <x:v>45717</x:v>
      </x:c>
    </x:row>
    <x:row r="2045" ht="22" customHeight="1">
      <x:c r="A2045" s="2" t="str">
        <x:v>L002041</x:v>
      </x:c>
      <x:c r="B2045" s="2" t="str">
        <x:v>O00833</x:v>
      </x:c>
      <x:c r="C2045" s="7" t="n">
        <x:v>45776</x:v>
      </x:c>
      <x:c r="D2045" s="2" t="str">
        <x:v>Completed</x:v>
      </x:c>
      <x:c r="E2045" s="2" t="str">
        <x:v>North</x:v>
      </x:c>
      <x:c r="F2045" s="2" t="str">
        <x:v>Store</x:v>
      </x:c>
      <x:c r="G2045" s="2" t="str">
        <x:v>Furniture</x:v>
      </x:c>
      <x:c r="H2045" s="2" t="str">
        <x:v>Desk 004</x:v>
      </x:c>
      <x:c r="I2045" s="11" t="n">
        <x:v>2</x:v>
      </x:c>
      <x:c r="J2045" s="9" t="n">
        <x:v>123</x:v>
      </x:c>
      <x:c r="K2045" s="10" t="n">
        <x:v>0.05</x:v>
      </x:c>
      <x:c r="L2045" s="11" t="n">
        <x:v>0</x:v>
      </x:c>
      <x:c r="M2045" s="9" t="n">
        <x:f>IF(D2045="Completed",I2045*J2045,0)</x:f>
        <x:v>246</x:v>
      </x:c>
      <x:c r="N2045" s="9" t="n">
        <x:f>M2045*K2045</x:f>
        <x:v>12.3</x:v>
      </x:c>
      <x:c r="O2045" s="9" t="n">
        <x:f>M2045-N2045</x:f>
        <x:v>233.7</x:v>
      </x:c>
      <x:c r="P2045" s="9" t="n">
        <x:f>IF(D2045="Completed",L2045*J2045*(1-K2045),0)</x:f>
        <x:v>0</x:v>
      </x:c>
      <x:c r="Q2045" s="9" t="n">
        <x:f>O2045-P2045</x:f>
        <x:v>233.7</x:v>
      </x:c>
      <x:c r="R2045" s="11" t="n">
        <x:f>IF(D2045="Completed",I2045,0)</x:f>
        <x:v>2</x:v>
      </x:c>
      <x:c r="S2045" s="11" t="n">
        <x:f>IF(D2045="Completed",L2045,0)</x:f>
        <x:v>0</x:v>
      </x:c>
      <x:c r="T2045" s="8" t="n">
        <x:f>DATE(YEAR(C2045),MONTH(C2045),1)</x:f>
        <x:v>45748</x:v>
      </x:c>
    </x:row>
    <x:row r="2046" ht="22" customHeight="1">
      <x:c r="A2046" s="2" t="str">
        <x:v>L002042</x:v>
      </x:c>
      <x:c r="B2046" s="2" t="str">
        <x:v>O00833</x:v>
      </x:c>
      <x:c r="C2046" s="7" t="n">
        <x:v>45776</x:v>
      </x:c>
      <x:c r="D2046" s="2" t="str">
        <x:v>Completed</x:v>
      </x:c>
      <x:c r="E2046" s="2" t="str">
        <x:v>North</x:v>
      </x:c>
      <x:c r="F2046" s="2" t="str">
        <x:v>Store</x:v>
      </x:c>
      <x:c r="G2046" s="2" t="str">
        <x:v>Lighting</x:v>
      </x:c>
      <x:c r="H2046" s="2" t="str">
        <x:v>Lamp 021</x:v>
      </x:c>
      <x:c r="I2046" s="11" t="n">
        <x:v>4</x:v>
      </x:c>
      <x:c r="J2046" s="9" t="n">
        <x:v>249</x:v>
      </x:c>
      <x:c r="K2046" s="10" t="n">
        <x:v>0</x:v>
      </x:c>
      <x:c r="L2046" s="11" t="n">
        <x:v>0</x:v>
      </x:c>
      <x:c r="M2046" s="9" t="n">
        <x:f>IF(D2046="Completed",I2046*J2046,0)</x:f>
        <x:v>996</x:v>
      </x:c>
      <x:c r="N2046" s="9" t="n">
        <x:f>M2046*K2046</x:f>
        <x:v>0</x:v>
      </x:c>
      <x:c r="O2046" s="9" t="n">
        <x:f>M2046-N2046</x:f>
        <x:v>996</x:v>
      </x:c>
      <x:c r="P2046" s="9" t="n">
        <x:f>IF(D2046="Completed",L2046*J2046*(1-K2046),0)</x:f>
        <x:v>0</x:v>
      </x:c>
      <x:c r="Q2046" s="9" t="n">
        <x:f>O2046-P2046</x:f>
        <x:v>996</x:v>
      </x:c>
      <x:c r="R2046" s="11" t="n">
        <x:f>IF(D2046="Completed",I2046,0)</x:f>
        <x:v>4</x:v>
      </x:c>
      <x:c r="S2046" s="11" t="n">
        <x:f>IF(D2046="Completed",L2046,0)</x:f>
        <x:v>0</x:v>
      </x:c>
      <x:c r="T2046" s="8" t="n">
        <x:f>DATE(YEAR(C2046),MONTH(C2046),1)</x:f>
        <x:v>45748</x:v>
      </x:c>
    </x:row>
    <x:row r="2047" ht="22" customHeight="1">
      <x:c r="A2047" s="2" t="str">
        <x:v>L002043</x:v>
      </x:c>
      <x:c r="B2047" s="2" t="str">
        <x:v>O00833</x:v>
      </x:c>
      <x:c r="C2047" s="7" t="n">
        <x:v>45776</x:v>
      </x:c>
      <x:c r="D2047" s="2" t="str">
        <x:v>Completed</x:v>
      </x:c>
      <x:c r="E2047" s="2" t="str">
        <x:v>North</x:v>
      </x:c>
      <x:c r="F2047" s="2" t="str">
        <x:v>Store</x:v>
      </x:c>
      <x:c r="G2047" s="2" t="str">
        <x:v>Storage</x:v>
      </x:c>
      <x:c r="H2047" s="2" t="str">
        <x:v>Shelf 019</x:v>
      </x:c>
      <x:c r="I2047" s="11" t="n">
        <x:v>4</x:v>
      </x:c>
      <x:c r="J2047" s="9" t="n">
        <x:v>78</x:v>
      </x:c>
      <x:c r="K2047" s="10" t="n">
        <x:v>0.1</x:v>
      </x:c>
      <x:c r="L2047" s="11" t="n">
        <x:v>0</x:v>
      </x:c>
      <x:c r="M2047" s="9" t="n">
        <x:f>IF(D2047="Completed",I2047*J2047,0)</x:f>
        <x:v>312</x:v>
      </x:c>
      <x:c r="N2047" s="9" t="n">
        <x:f>M2047*K2047</x:f>
        <x:v>31.200000000000003</x:v>
      </x:c>
      <x:c r="O2047" s="9" t="n">
        <x:f>M2047-N2047</x:f>
        <x:v>280.8</x:v>
      </x:c>
      <x:c r="P2047" s="9" t="n">
        <x:f>IF(D2047="Completed",L2047*J2047*(1-K2047),0)</x:f>
        <x:v>0</x:v>
      </x:c>
      <x:c r="Q2047" s="9" t="n">
        <x:f>O2047-P2047</x:f>
        <x:v>280.8</x:v>
      </x:c>
      <x:c r="R2047" s="11" t="n">
        <x:f>IF(D2047="Completed",I2047,0)</x:f>
        <x:v>4</x:v>
      </x:c>
      <x:c r="S2047" s="11" t="n">
        <x:f>IF(D2047="Completed",L2047,0)</x:f>
        <x:v>0</x:v>
      </x:c>
      <x:c r="T2047" s="8" t="n">
        <x:f>DATE(YEAR(C2047),MONTH(C2047),1)</x:f>
        <x:v>45748</x:v>
      </x:c>
    </x:row>
    <x:row r="2048" ht="22" customHeight="1">
      <x:c r="A2048" s="2" t="str">
        <x:v>L002044</x:v>
      </x:c>
      <x:c r="B2048" s="2" t="str">
        <x:v>O00834</x:v>
      </x:c>
      <x:c r="C2048" s="7" t="n">
        <x:v>45824</x:v>
      </x:c>
      <x:c r="D2048" s="2" t="str">
        <x:v>Cancelled</x:v>
      </x:c>
      <x:c r="E2048" s="2" t="str">
        <x:v>South</x:v>
      </x:c>
      <x:c r="F2048" s="2" t="str">
        <x:v>Online</x:v>
      </x:c>
      <x:c r="G2048" s="2" t="str">
        <x:v>Lighting</x:v>
      </x:c>
      <x:c r="H2048" s="2" t="str">
        <x:v>Lamp 021</x:v>
      </x:c>
      <x:c r="I2048" s="11" t="n">
        <x:v>1</x:v>
      </x:c>
      <x:c r="J2048" s="9" t="n">
        <x:v>249</x:v>
      </x:c>
      <x:c r="K2048" s="10" t="n">
        <x:v>0.05</x:v>
      </x:c>
      <x:c r="L2048" s="11" t="n">
        <x:v>0</x:v>
      </x:c>
      <x:c r="M2048" s="9" t="n">
        <x:f>IF(D2048="Completed",I2048*J2048,0)</x:f>
        <x:v>0</x:v>
      </x:c>
      <x:c r="N2048" s="9" t="n">
        <x:f>M2048*K2048</x:f>
        <x:v>0</x:v>
      </x:c>
      <x:c r="O2048" s="9" t="n">
        <x:f>M2048-N2048</x:f>
        <x:v>0</x:v>
      </x:c>
      <x:c r="P2048" s="9" t="n">
        <x:f>IF(D2048="Completed",L2048*J2048*(1-K2048),0)</x:f>
        <x:v>0</x:v>
      </x:c>
      <x:c r="Q2048" s="9" t="n">
        <x:f>O2048-P2048</x:f>
        <x:v>0</x:v>
      </x:c>
      <x:c r="R2048" s="11" t="n">
        <x:f>IF(D2048="Completed",I2048,0)</x:f>
        <x:v>0</x:v>
      </x:c>
      <x:c r="S2048" s="11" t="n">
        <x:f>IF(D2048="Completed",L2048,0)</x:f>
        <x:v>0</x:v>
      </x:c>
      <x:c r="T2048" s="8" t="n">
        <x:f>DATE(YEAR(C2048),MONTH(C2048),1)</x:f>
        <x:v>45809</x:v>
      </x:c>
    </x:row>
    <x:row r="2049" ht="22" customHeight="1">
      <x:c r="A2049" s="2" t="str">
        <x:v>L002045</x:v>
      </x:c>
      <x:c r="B2049" s="2" t="str">
        <x:v>O00834</x:v>
      </x:c>
      <x:c r="C2049" s="7" t="n">
        <x:v>45824</x:v>
      </x:c>
      <x:c r="D2049" s="2" t="str">
        <x:v>Cancelled</x:v>
      </x:c>
      <x:c r="E2049" s="2" t="str">
        <x:v>South</x:v>
      </x:c>
      <x:c r="F2049" s="2" t="str">
        <x:v>Online</x:v>
      </x:c>
      <x:c r="G2049" s="2" t="str">
        <x:v>Lighting</x:v>
      </x:c>
      <x:c r="H2049" s="2" t="str">
        <x:v>Lamp 005</x:v>
      </x:c>
      <x:c r="I2049" s="11" t="n">
        <x:v>4</x:v>
      </x:c>
      <x:c r="J2049" s="9" t="n">
        <x:v>65</x:v>
      </x:c>
      <x:c r="K2049" s="10" t="n">
        <x:v>0.1</x:v>
      </x:c>
      <x:c r="L2049" s="11" t="n">
        <x:v>0</x:v>
      </x:c>
      <x:c r="M2049" s="9" t="n">
        <x:f>IF(D2049="Completed",I2049*J2049,0)</x:f>
        <x:v>0</x:v>
      </x:c>
      <x:c r="N2049" s="9" t="n">
        <x:f>M2049*K2049</x:f>
        <x:v>0</x:v>
      </x:c>
      <x:c r="O2049" s="9" t="n">
        <x:f>M2049-N2049</x:f>
        <x:v>0</x:v>
      </x:c>
      <x:c r="P2049" s="9" t="n">
        <x:f>IF(D2049="Completed",L2049*J2049*(1-K2049),0)</x:f>
        <x:v>0</x:v>
      </x:c>
      <x:c r="Q2049" s="9" t="n">
        <x:f>O2049-P2049</x:f>
        <x:v>0</x:v>
      </x:c>
      <x:c r="R2049" s="11" t="n">
        <x:f>IF(D2049="Completed",I2049,0)</x:f>
        <x:v>0</x:v>
      </x:c>
      <x:c r="S2049" s="11" t="n">
        <x:f>IF(D2049="Completed",L2049,0)</x:f>
        <x:v>0</x:v>
      </x:c>
      <x:c r="T2049" s="8" t="n">
        <x:f>DATE(YEAR(C2049),MONTH(C2049),1)</x:f>
        <x:v>45809</x:v>
      </x:c>
    </x:row>
    <x:row r="2050" ht="22" customHeight="1">
      <x:c r="A2050" s="2" t="str">
        <x:v>L002046</x:v>
      </x:c>
      <x:c r="B2050" s="2" t="str">
        <x:v>O00834</x:v>
      </x:c>
      <x:c r="C2050" s="7" t="n">
        <x:v>45824</x:v>
      </x:c>
      <x:c r="D2050" s="2" t="str">
        <x:v>Cancelled</x:v>
      </x:c>
      <x:c r="E2050" s="2" t="str">
        <x:v>South</x:v>
      </x:c>
      <x:c r="F2050" s="2" t="str">
        <x:v>Online</x:v>
      </x:c>
      <x:c r="G2050" s="2" t="str">
        <x:v>Lighting</x:v>
      </x:c>
      <x:c r="H2050" s="2" t="str">
        <x:v>Lamp 013</x:v>
      </x:c>
      <x:c r="I2050" s="11" t="n">
        <x:v>4</x:v>
      </x:c>
      <x:c r="J2050" s="9" t="n">
        <x:v>271</x:v>
      </x:c>
      <x:c r="K2050" s="10" t="n">
        <x:v>0.2</x:v>
      </x:c>
      <x:c r="L2050" s="11" t="n">
        <x:v>0</x:v>
      </x:c>
      <x:c r="M2050" s="9" t="n">
        <x:f>IF(D2050="Completed",I2050*J2050,0)</x:f>
        <x:v>0</x:v>
      </x:c>
      <x:c r="N2050" s="9" t="n">
        <x:f>M2050*K2050</x:f>
        <x:v>0</x:v>
      </x:c>
      <x:c r="O2050" s="9" t="n">
        <x:f>M2050-N2050</x:f>
        <x:v>0</x:v>
      </x:c>
      <x:c r="P2050" s="9" t="n">
        <x:f>IF(D2050="Completed",L2050*J2050*(1-K2050),0)</x:f>
        <x:v>0</x:v>
      </x:c>
      <x:c r="Q2050" s="9" t="n">
        <x:f>O2050-P2050</x:f>
        <x:v>0</x:v>
      </x:c>
      <x:c r="R2050" s="11" t="n">
        <x:f>IF(D2050="Completed",I2050,0)</x:f>
        <x:v>0</x:v>
      </x:c>
      <x:c r="S2050" s="11" t="n">
        <x:f>IF(D2050="Completed",L2050,0)</x:f>
        <x:v>0</x:v>
      </x:c>
      <x:c r="T2050" s="8" t="n">
        <x:f>DATE(YEAR(C2050),MONTH(C2050),1)</x:f>
        <x:v>45809</x:v>
      </x:c>
    </x:row>
    <x:row r="2051" ht="22" customHeight="1">
      <x:c r="A2051" s="2" t="str">
        <x:v>L002047</x:v>
      </x:c>
      <x:c r="B2051" s="2" t="str">
        <x:v>O00835</x:v>
      </x:c>
      <x:c r="C2051" s="7" t="n">
        <x:v>45904</x:v>
      </x:c>
      <x:c r="D2051" s="2" t="str">
        <x:v>Completed</x:v>
      </x:c>
      <x:c r="E2051" s="2" t="str">
        <x:v>West</x:v>
      </x:c>
      <x:c r="F2051" s="2" t="str">
        <x:v>Online</x:v>
      </x:c>
      <x:c r="G2051" s="2" t="str">
        <x:v>Lighting</x:v>
      </x:c>
      <x:c r="H2051" s="2" t="str">
        <x:v>Lamp 005</x:v>
      </x:c>
      <x:c r="I2051" s="11" t="n">
        <x:v>2</x:v>
      </x:c>
      <x:c r="J2051" s="9" t="n">
        <x:v>65</x:v>
      </x:c>
      <x:c r="K2051" s="10" t="n">
        <x:v>0.1</x:v>
      </x:c>
      <x:c r="L2051" s="11" t="n">
        <x:v>0</x:v>
      </x:c>
      <x:c r="M2051" s="9" t="n">
        <x:f>IF(D2051="Completed",I2051*J2051,0)</x:f>
        <x:v>130</x:v>
      </x:c>
      <x:c r="N2051" s="9" t="n">
        <x:f>M2051*K2051</x:f>
        <x:v>13</x:v>
      </x:c>
      <x:c r="O2051" s="9" t="n">
        <x:f>M2051-N2051</x:f>
        <x:v>117</x:v>
      </x:c>
      <x:c r="P2051" s="9" t="n">
        <x:f>IF(D2051="Completed",L2051*J2051*(1-K2051),0)</x:f>
        <x:v>0</x:v>
      </x:c>
      <x:c r="Q2051" s="9" t="n">
        <x:f>O2051-P2051</x:f>
        <x:v>117</x:v>
      </x:c>
      <x:c r="R2051" s="11" t="n">
        <x:f>IF(D2051="Completed",I2051,0)</x:f>
        <x:v>2</x:v>
      </x:c>
      <x:c r="S2051" s="11" t="n">
        <x:f>IF(D2051="Completed",L2051,0)</x:f>
        <x:v>0</x:v>
      </x:c>
      <x:c r="T2051" s="8" t="n">
        <x:f>DATE(YEAR(C2051),MONTH(C2051),1)</x:f>
        <x:v>45901</x:v>
      </x:c>
    </x:row>
    <x:row r="2052" ht="22" customHeight="1">
      <x:c r="A2052" s="2" t="str">
        <x:v>L002048</x:v>
      </x:c>
      <x:c r="B2052" s="2" t="str">
        <x:v>O00836</x:v>
      </x:c>
      <x:c r="C2052" s="7" t="n">
        <x:v>45942</x:v>
      </x:c>
      <x:c r="D2052" s="2" t="str">
        <x:v>Completed</x:v>
      </x:c>
      <x:c r="E2052" s="2" t="str">
        <x:v>North</x:v>
      </x:c>
      <x:c r="F2052" s="2" t="str">
        <x:v>Store</x:v>
      </x:c>
      <x:c r="G2052" s="2" t="str">
        <x:v>Furniture</x:v>
      </x:c>
      <x:c r="H2052" s="2" t="str">
        <x:v>Chair 006</x:v>
      </x:c>
      <x:c r="I2052" s="11" t="n">
        <x:v>2</x:v>
      </x:c>
      <x:c r="J2052" s="9" t="n">
        <x:v>196</x:v>
      </x:c>
      <x:c r="K2052" s="10" t="n">
        <x:v>0</x:v>
      </x:c>
      <x:c r="L2052" s="11" t="n">
        <x:v>0</x:v>
      </x:c>
      <x:c r="M2052" s="9" t="n">
        <x:f>IF(D2052="Completed",I2052*J2052,0)</x:f>
        <x:v>392</x:v>
      </x:c>
      <x:c r="N2052" s="9" t="n">
        <x:f>M2052*K2052</x:f>
        <x:v>0</x:v>
      </x:c>
      <x:c r="O2052" s="9" t="n">
        <x:f>M2052-N2052</x:f>
        <x:v>392</x:v>
      </x:c>
      <x:c r="P2052" s="9" t="n">
        <x:f>IF(D2052="Completed",L2052*J2052*(1-K2052),0)</x:f>
        <x:v>0</x:v>
      </x:c>
      <x:c r="Q2052" s="9" t="n">
        <x:f>O2052-P2052</x:f>
        <x:v>392</x:v>
      </x:c>
      <x:c r="R2052" s="11" t="n">
        <x:f>IF(D2052="Completed",I2052,0)</x:f>
        <x:v>2</x:v>
      </x:c>
      <x:c r="S2052" s="11" t="n">
        <x:f>IF(D2052="Completed",L2052,0)</x:f>
        <x:v>0</x:v>
      </x:c>
      <x:c r="T2052" s="8" t="n">
        <x:f>DATE(YEAR(C2052),MONTH(C2052),1)</x:f>
        <x:v>45931</x:v>
      </x:c>
    </x:row>
    <x:row r="2053" ht="22" customHeight="1">
      <x:c r="A2053" s="2" t="str">
        <x:v>L002049</x:v>
      </x:c>
      <x:c r="B2053" s="2" t="str">
        <x:v>O00836</x:v>
      </x:c>
      <x:c r="C2053" s="7" t="n">
        <x:v>45942</x:v>
      </x:c>
      <x:c r="D2053" s="2" t="str">
        <x:v>Completed</x:v>
      </x:c>
      <x:c r="E2053" s="2" t="str">
        <x:v>North</x:v>
      </x:c>
      <x:c r="F2053" s="2" t="str">
        <x:v>Store</x:v>
      </x:c>
      <x:c r="G2053" s="2" t="str">
        <x:v>Lighting</x:v>
      </x:c>
      <x:c r="H2053" s="2" t="str">
        <x:v>Lamp 021</x:v>
      </x:c>
      <x:c r="I2053" s="11" t="n">
        <x:v>5</x:v>
      </x:c>
      <x:c r="J2053" s="9" t="n">
        <x:v>249</x:v>
      </x:c>
      <x:c r="K2053" s="10" t="n">
        <x:v>0.05</x:v>
      </x:c>
      <x:c r="L2053" s="11" t="n">
        <x:v>0</x:v>
      </x:c>
      <x:c r="M2053" s="9" t="n">
        <x:f>IF(D2053="Completed",I2053*J2053,0)</x:f>
        <x:v>1245</x:v>
      </x:c>
      <x:c r="N2053" s="9" t="n">
        <x:f>M2053*K2053</x:f>
        <x:v>62.25</x:v>
      </x:c>
      <x:c r="O2053" s="9" t="n">
        <x:f>M2053-N2053</x:f>
        <x:v>1182.75</x:v>
      </x:c>
      <x:c r="P2053" s="9" t="n">
        <x:f>IF(D2053="Completed",L2053*J2053*(1-K2053),0)</x:f>
        <x:v>0</x:v>
      </x:c>
      <x:c r="Q2053" s="9" t="n">
        <x:f>O2053-P2053</x:f>
        <x:v>1182.75</x:v>
      </x:c>
      <x:c r="R2053" s="11" t="n">
        <x:f>IF(D2053="Completed",I2053,0)</x:f>
        <x:v>5</x:v>
      </x:c>
      <x:c r="S2053" s="11" t="n">
        <x:f>IF(D2053="Completed",L2053,0)</x:f>
        <x:v>0</x:v>
      </x:c>
      <x:c r="T2053" s="8" t="n">
        <x:f>DATE(YEAR(C2053),MONTH(C2053),1)</x:f>
        <x:v>45931</x:v>
      </x:c>
    </x:row>
    <x:row r="2054" ht="22" customHeight="1">
      <x:c r="A2054" s="2" t="str">
        <x:v>L002050</x:v>
      </x:c>
      <x:c r="B2054" s="2" t="str">
        <x:v>O00836</x:v>
      </x:c>
      <x:c r="C2054" s="7" t="n">
        <x:v>45942</x:v>
      </x:c>
      <x:c r="D2054" s="2" t="str">
        <x:v>Completed</x:v>
      </x:c>
      <x:c r="E2054" s="2" t="str">
        <x:v>North</x:v>
      </x:c>
      <x:c r="F2054" s="2" t="str">
        <x:v>Store</x:v>
      </x:c>
      <x:c r="G2054" s="2" t="str">
        <x:v>Furniture</x:v>
      </x:c>
      <x:c r="H2054" s="2" t="str">
        <x:v>Chair 014</x:v>
      </x:c>
      <x:c r="I2054" s="11" t="n">
        <x:v>5</x:v>
      </x:c>
      <x:c r="J2054" s="9" t="n">
        <x:v>294</x:v>
      </x:c>
      <x:c r="K2054" s="10" t="n">
        <x:v>0.2</x:v>
      </x:c>
      <x:c r="L2054" s="11" t="n">
        <x:v>0</x:v>
      </x:c>
      <x:c r="M2054" s="9" t="n">
        <x:f>IF(D2054="Completed",I2054*J2054,0)</x:f>
        <x:v>1470</x:v>
      </x:c>
      <x:c r="N2054" s="9" t="n">
        <x:f>M2054*K2054</x:f>
        <x:v>294</x:v>
      </x:c>
      <x:c r="O2054" s="9" t="n">
        <x:f>M2054-N2054</x:f>
        <x:v>1176</x:v>
      </x:c>
      <x:c r="P2054" s="9" t="n">
        <x:f>IF(D2054="Completed",L2054*J2054*(1-K2054),0)</x:f>
        <x:v>0</x:v>
      </x:c>
      <x:c r="Q2054" s="9" t="n">
        <x:f>O2054-P2054</x:f>
        <x:v>1176</x:v>
      </x:c>
      <x:c r="R2054" s="11" t="n">
        <x:f>IF(D2054="Completed",I2054,0)</x:f>
        <x:v>5</x:v>
      </x:c>
      <x:c r="S2054" s="11" t="n">
        <x:f>IF(D2054="Completed",L2054,0)</x:f>
        <x:v>0</x:v>
      </x:c>
      <x:c r="T2054" s="8" t="n">
        <x:f>DATE(YEAR(C2054),MONTH(C2054),1)</x:f>
        <x:v>45931</x:v>
      </x:c>
    </x:row>
    <x:row r="2055" ht="22" customHeight="1">
      <x:c r="A2055" s="2" t="str">
        <x:v>L002051</x:v>
      </x:c>
      <x:c r="B2055" s="2" t="str">
        <x:v>O00836</x:v>
      </x:c>
      <x:c r="C2055" s="7" t="n">
        <x:v>45942</x:v>
      </x:c>
      <x:c r="D2055" s="2" t="str">
        <x:v>Completed</x:v>
      </x:c>
      <x:c r="E2055" s="2" t="str">
        <x:v>North</x:v>
      </x:c>
      <x:c r="F2055" s="2" t="str">
        <x:v>Store</x:v>
      </x:c>
      <x:c r="G2055" s="2" t="str">
        <x:v>Lighting</x:v>
      </x:c>
      <x:c r="H2055" s="2" t="str">
        <x:v>Lamp 005</x:v>
      </x:c>
      <x:c r="I2055" s="11" t="n">
        <x:v>3</x:v>
      </x:c>
      <x:c r="J2055" s="9" t="n">
        <x:v>65</x:v>
      </x:c>
      <x:c r="K2055" s="10" t="n">
        <x:v>0.1</x:v>
      </x:c>
      <x:c r="L2055" s="11" t="n">
        <x:v>0</x:v>
      </x:c>
      <x:c r="M2055" s="9" t="n">
        <x:f>IF(D2055="Completed",I2055*J2055,0)</x:f>
        <x:v>195</x:v>
      </x:c>
      <x:c r="N2055" s="9" t="n">
        <x:f>M2055*K2055</x:f>
        <x:v>19.5</x:v>
      </x:c>
      <x:c r="O2055" s="9" t="n">
        <x:f>M2055-N2055</x:f>
        <x:v>175.5</x:v>
      </x:c>
      <x:c r="P2055" s="9" t="n">
        <x:f>IF(D2055="Completed",L2055*J2055*(1-K2055),0)</x:f>
        <x:v>0</x:v>
      </x:c>
      <x:c r="Q2055" s="9" t="n">
        <x:f>O2055-P2055</x:f>
        <x:v>175.5</x:v>
      </x:c>
      <x:c r="R2055" s="11" t="n">
        <x:f>IF(D2055="Completed",I2055,0)</x:f>
        <x:v>3</x:v>
      </x:c>
      <x:c r="S2055" s="11" t="n">
        <x:f>IF(D2055="Completed",L2055,0)</x:f>
        <x:v>0</x:v>
      </x:c>
      <x:c r="T2055" s="8" t="n">
        <x:f>DATE(YEAR(C2055),MONTH(C2055),1)</x:f>
        <x:v>45931</x:v>
      </x:c>
    </x:row>
    <x:row r="2056" ht="22" customHeight="1">
      <x:c r="A2056" s="2" t="str">
        <x:v>L002052</x:v>
      </x:c>
      <x:c r="B2056" s="2" t="str">
        <x:v>O00837</x:v>
      </x:c>
      <x:c r="C2056" s="7" t="n">
        <x:v>45711</x:v>
      </x:c>
      <x:c r="D2056" s="2" t="str">
        <x:v>Cancelled</x:v>
      </x:c>
      <x:c r="E2056" s="2" t="str">
        <x:v>South</x:v>
      </x:c>
      <x:c r="F2056" s="2" t="str">
        <x:v>Store</x:v>
      </x:c>
      <x:c r="G2056" s="2" t="str">
        <x:v>Furniture</x:v>
      </x:c>
      <x:c r="H2056" s="2" t="str">
        <x:v>Chair 006</x:v>
      </x:c>
      <x:c r="I2056" s="11" t="n">
        <x:v>2</x:v>
      </x:c>
      <x:c r="J2056" s="9" t="n">
        <x:v>196</x:v>
      </x:c>
      <x:c r="K2056" s="10" t="n">
        <x:v>0.1</x:v>
      </x:c>
      <x:c r="L2056" s="11" t="n">
        <x:v>0</x:v>
      </x:c>
      <x:c r="M2056" s="9" t="n">
        <x:f>IF(D2056="Completed",I2056*J2056,0)</x:f>
        <x:v>0</x:v>
      </x:c>
      <x:c r="N2056" s="9" t="n">
        <x:f>M2056*K2056</x:f>
        <x:v>0</x:v>
      </x:c>
      <x:c r="O2056" s="9" t="n">
        <x:f>M2056-N2056</x:f>
        <x:v>0</x:v>
      </x:c>
      <x:c r="P2056" s="9" t="n">
        <x:f>IF(D2056="Completed",L2056*J2056*(1-K2056),0)</x:f>
        <x:v>0</x:v>
      </x:c>
      <x:c r="Q2056" s="9" t="n">
        <x:f>O2056-P2056</x:f>
        <x:v>0</x:v>
      </x:c>
      <x:c r="R2056" s="11" t="n">
        <x:f>IF(D2056="Completed",I2056,0)</x:f>
        <x:v>0</x:v>
      </x:c>
      <x:c r="S2056" s="11" t="n">
        <x:f>IF(D2056="Completed",L2056,0)</x:f>
        <x:v>0</x:v>
      </x:c>
      <x:c r="T2056" s="8" t="n">
        <x:f>DATE(YEAR(C2056),MONTH(C2056),1)</x:f>
        <x:v>45689</x:v>
      </x:c>
    </x:row>
    <x:row r="2057" ht="22" customHeight="1">
      <x:c r="A2057" s="2" t="str">
        <x:v>L002053</x:v>
      </x:c>
      <x:c r="B2057" s="2" t="str">
        <x:v>O00837</x:v>
      </x:c>
      <x:c r="C2057" s="7" t="n">
        <x:v>45711</x:v>
      </x:c>
      <x:c r="D2057" s="2" t="str">
        <x:v>Cancelled</x:v>
      </x:c>
      <x:c r="E2057" s="2" t="str">
        <x:v>South</x:v>
      </x:c>
      <x:c r="F2057" s="2" t="str">
        <x:v>Store</x:v>
      </x:c>
      <x:c r="G2057" s="2" t="str">
        <x:v>Storage</x:v>
      </x:c>
      <x:c r="H2057" s="2" t="str">
        <x:v>Shelf 011</x:v>
      </x:c>
      <x:c r="I2057" s="11" t="n">
        <x:v>5</x:v>
      </x:c>
      <x:c r="J2057" s="9" t="n">
        <x:v>80</x:v>
      </x:c>
      <x:c r="K2057" s="10" t="n">
        <x:v>0</x:v>
      </x:c>
      <x:c r="L2057" s="11" t="n">
        <x:v>0</x:v>
      </x:c>
      <x:c r="M2057" s="9" t="n">
        <x:f>IF(D2057="Completed",I2057*J2057,0)</x:f>
        <x:v>0</x:v>
      </x:c>
      <x:c r="N2057" s="9" t="n">
        <x:f>M2057*K2057</x:f>
        <x:v>0</x:v>
      </x:c>
      <x:c r="O2057" s="9" t="n">
        <x:f>M2057-N2057</x:f>
        <x:v>0</x:v>
      </x:c>
      <x:c r="P2057" s="9" t="n">
        <x:f>IF(D2057="Completed",L2057*J2057*(1-K2057),0)</x:f>
        <x:v>0</x:v>
      </x:c>
      <x:c r="Q2057" s="9" t="n">
        <x:f>O2057-P2057</x:f>
        <x:v>0</x:v>
      </x:c>
      <x:c r="R2057" s="11" t="n">
        <x:f>IF(D2057="Completed",I2057,0)</x:f>
        <x:v>0</x:v>
      </x:c>
      <x:c r="S2057" s="11" t="n">
        <x:f>IF(D2057="Completed",L2057,0)</x:f>
        <x:v>0</x:v>
      </x:c>
      <x:c r="T2057" s="8" t="n">
        <x:f>DATE(YEAR(C2057),MONTH(C2057),1)</x:f>
        <x:v>45689</x:v>
      </x:c>
    </x:row>
    <x:row r="2058" ht="22" customHeight="1">
      <x:c r="A2058" s="2" t="str">
        <x:v>L002054</x:v>
      </x:c>
      <x:c r="B2058" s="2" t="str">
        <x:v>O00837</x:v>
      </x:c>
      <x:c r="C2058" s="7" t="n">
        <x:v>45711</x:v>
      </x:c>
      <x:c r="D2058" s="2" t="str">
        <x:v>Cancelled</x:v>
      </x:c>
      <x:c r="E2058" s="2" t="str">
        <x:v>South</x:v>
      </x:c>
      <x:c r="F2058" s="2" t="str">
        <x:v>Store</x:v>
      </x:c>
      <x:c r="G2058" s="2" t="str">
        <x:v>Furniture</x:v>
      </x:c>
      <x:c r="H2058" s="2" t="str">
        <x:v>Desk 008</x:v>
      </x:c>
      <x:c r="I2058" s="11" t="n">
        <x:v>2</x:v>
      </x:c>
      <x:c r="J2058" s="9" t="n">
        <x:v>188</x:v>
      </x:c>
      <x:c r="K2058" s="10" t="n">
        <x:v>0</x:v>
      </x:c>
      <x:c r="L2058" s="11" t="n">
        <x:v>0</x:v>
      </x:c>
      <x:c r="M2058" s="9" t="n">
        <x:f>IF(D2058="Completed",I2058*J2058,0)</x:f>
        <x:v>0</x:v>
      </x:c>
      <x:c r="N2058" s="9" t="n">
        <x:f>M2058*K2058</x:f>
        <x:v>0</x:v>
      </x:c>
      <x:c r="O2058" s="9" t="n">
        <x:f>M2058-N2058</x:f>
        <x:v>0</x:v>
      </x:c>
      <x:c r="P2058" s="9" t="n">
        <x:f>IF(D2058="Completed",L2058*J2058*(1-K2058),0)</x:f>
        <x:v>0</x:v>
      </x:c>
      <x:c r="Q2058" s="9" t="n">
        <x:f>O2058-P2058</x:f>
        <x:v>0</x:v>
      </x:c>
      <x:c r="R2058" s="11" t="n">
        <x:f>IF(D2058="Completed",I2058,0)</x:f>
        <x:v>0</x:v>
      </x:c>
      <x:c r="S2058" s="11" t="n">
        <x:f>IF(D2058="Completed",L2058,0)</x:f>
        <x:v>0</x:v>
      </x:c>
      <x:c r="T2058" s="8" t="n">
        <x:f>DATE(YEAR(C2058),MONTH(C2058),1)</x:f>
        <x:v>45689</x:v>
      </x:c>
    </x:row>
    <x:row r="2059" ht="22" customHeight="1">
      <x:c r="A2059" s="2" t="str">
        <x:v>L002055</x:v>
      </x:c>
      <x:c r="B2059" s="2" t="str">
        <x:v>O00838</x:v>
      </x:c>
      <x:c r="C2059" s="7" t="n">
        <x:v>45874</x:v>
      </x:c>
      <x:c r="D2059" s="2" t="str">
        <x:v>Completed</x:v>
      </x:c>
      <x:c r="E2059" s="2" t="str">
        <x:v>West</x:v>
      </x:c>
      <x:c r="F2059" s="2" t="str">
        <x:v>Store</x:v>
      </x:c>
      <x:c r="G2059" s="2" t="str">
        <x:v>Furniture</x:v>
      </x:c>
      <x:c r="H2059" s="2" t="str">
        <x:v>Chair 014</x:v>
      </x:c>
      <x:c r="I2059" s="11" t="n">
        <x:v>5</x:v>
      </x:c>
      <x:c r="J2059" s="9" t="n">
        <x:v>294</x:v>
      </x:c>
      <x:c r="K2059" s="10" t="n">
        <x:v>0.05</x:v>
      </x:c>
      <x:c r="L2059" s="11" t="n">
        <x:v>0</x:v>
      </x:c>
      <x:c r="M2059" s="9" t="n">
        <x:f>IF(D2059="Completed",I2059*J2059,0)</x:f>
        <x:v>1470</x:v>
      </x:c>
      <x:c r="N2059" s="9" t="n">
        <x:f>M2059*K2059</x:f>
        <x:v>73.5</x:v>
      </x:c>
      <x:c r="O2059" s="9" t="n">
        <x:f>M2059-N2059</x:f>
        <x:v>1396.5</x:v>
      </x:c>
      <x:c r="P2059" s="9" t="n">
        <x:f>IF(D2059="Completed",L2059*J2059*(1-K2059),0)</x:f>
        <x:v>0</x:v>
      </x:c>
      <x:c r="Q2059" s="9" t="n">
        <x:f>O2059-P2059</x:f>
        <x:v>1396.5</x:v>
      </x:c>
      <x:c r="R2059" s="11" t="n">
        <x:f>IF(D2059="Completed",I2059,0)</x:f>
        <x:v>5</x:v>
      </x:c>
      <x:c r="S2059" s="11" t="n">
        <x:f>IF(D2059="Completed",L2059,0)</x:f>
        <x:v>0</x:v>
      </x:c>
      <x:c r="T2059" s="8" t="n">
        <x:f>DATE(YEAR(C2059),MONTH(C2059),1)</x:f>
        <x:v>45870</x:v>
      </x:c>
    </x:row>
    <x:row r="2060" ht="22" customHeight="1">
      <x:c r="A2060" s="2" t="str">
        <x:v>L002056</x:v>
      </x:c>
      <x:c r="B2060" s="2" t="str">
        <x:v>O00838</x:v>
      </x:c>
      <x:c r="C2060" s="7" t="n">
        <x:v>45874</x:v>
      </x:c>
      <x:c r="D2060" s="2" t="str">
        <x:v>Completed</x:v>
      </x:c>
      <x:c r="E2060" s="2" t="str">
        <x:v>West</x:v>
      </x:c>
      <x:c r="F2060" s="2" t="str">
        <x:v>Store</x:v>
      </x:c>
      <x:c r="G2060" s="2" t="str">
        <x:v>Furniture</x:v>
      </x:c>
      <x:c r="H2060" s="2" t="str">
        <x:v>Desk 020</x:v>
      </x:c>
      <x:c r="I2060" s="11" t="n">
        <x:v>4</x:v>
      </x:c>
      <x:c r="J2060" s="9" t="n">
        <x:v>189</x:v>
      </x:c>
      <x:c r="K2060" s="10" t="n">
        <x:v>0.1</x:v>
      </x:c>
      <x:c r="L2060" s="11" t="n">
        <x:v>0</x:v>
      </x:c>
      <x:c r="M2060" s="9" t="n">
        <x:f>IF(D2060="Completed",I2060*J2060,0)</x:f>
        <x:v>756</x:v>
      </x:c>
      <x:c r="N2060" s="9" t="n">
        <x:f>M2060*K2060</x:f>
        <x:v>75.60000000000001</x:v>
      </x:c>
      <x:c r="O2060" s="9" t="n">
        <x:f>M2060-N2060</x:f>
        <x:v>680.4</x:v>
      </x:c>
      <x:c r="P2060" s="9" t="n">
        <x:f>IF(D2060="Completed",L2060*J2060*(1-K2060),0)</x:f>
        <x:v>0</x:v>
      </x:c>
      <x:c r="Q2060" s="9" t="n">
        <x:f>O2060-P2060</x:f>
        <x:v>680.4</x:v>
      </x:c>
      <x:c r="R2060" s="11" t="n">
        <x:f>IF(D2060="Completed",I2060,0)</x:f>
        <x:v>4</x:v>
      </x:c>
      <x:c r="S2060" s="11" t="n">
        <x:f>IF(D2060="Completed",L2060,0)</x:f>
        <x:v>0</x:v>
      </x:c>
      <x:c r="T2060" s="8" t="n">
        <x:f>DATE(YEAR(C2060),MONTH(C2060),1)</x:f>
        <x:v>45870</x:v>
      </x:c>
    </x:row>
    <x:row r="2061" ht="22" customHeight="1">
      <x:c r="A2061" s="2" t="str">
        <x:v>L002057</x:v>
      </x:c>
      <x:c r="B2061" s="2" t="str">
        <x:v>O00839</x:v>
      </x:c>
      <x:c r="C2061" s="7" t="n">
        <x:v>45825</x:v>
      </x:c>
      <x:c r="D2061" s="2" t="str">
        <x:v>Completed</x:v>
      </x:c>
      <x:c r="E2061" s="2" t="str">
        <x:v>South</x:v>
      </x:c>
      <x:c r="F2061" s="2" t="str">
        <x:v>Store</x:v>
      </x:c>
      <x:c r="G2061" s="2" t="str">
        <x:v>Furniture</x:v>
      </x:c>
      <x:c r="H2061" s="2" t="str">
        <x:v>Desk 008</x:v>
      </x:c>
      <x:c r="I2061" s="11" t="n">
        <x:v>5</x:v>
      </x:c>
      <x:c r="J2061" s="9" t="n">
        <x:v>188</x:v>
      </x:c>
      <x:c r="K2061" s="10" t="n">
        <x:v>0.1</x:v>
      </x:c>
      <x:c r="L2061" s="11" t="n">
        <x:v>0</x:v>
      </x:c>
      <x:c r="M2061" s="9" t="n">
        <x:f>IF(D2061="Completed",I2061*J2061,0)</x:f>
        <x:v>940</x:v>
      </x:c>
      <x:c r="N2061" s="9" t="n">
        <x:f>M2061*K2061</x:f>
        <x:v>94</x:v>
      </x:c>
      <x:c r="O2061" s="9" t="n">
        <x:f>M2061-N2061</x:f>
        <x:v>846</x:v>
      </x:c>
      <x:c r="P2061" s="9" t="n">
        <x:f>IF(D2061="Completed",L2061*J2061*(1-K2061),0)</x:f>
        <x:v>0</x:v>
      </x:c>
      <x:c r="Q2061" s="9" t="n">
        <x:f>O2061-P2061</x:f>
        <x:v>846</x:v>
      </x:c>
      <x:c r="R2061" s="11" t="n">
        <x:f>IF(D2061="Completed",I2061,0)</x:f>
        <x:v>5</x:v>
      </x:c>
      <x:c r="S2061" s="11" t="n">
        <x:f>IF(D2061="Completed",L2061,0)</x:f>
        <x:v>0</x:v>
      </x:c>
      <x:c r="T2061" s="8" t="n">
        <x:f>DATE(YEAR(C2061),MONTH(C2061),1)</x:f>
        <x:v>45809</x:v>
      </x:c>
    </x:row>
    <x:row r="2062" ht="22" customHeight="1">
      <x:c r="A2062" s="2" t="str">
        <x:v>L002058</x:v>
      </x:c>
      <x:c r="B2062" s="2" t="str">
        <x:v>O00839</x:v>
      </x:c>
      <x:c r="C2062" s="7" t="n">
        <x:v>45825</x:v>
      </x:c>
      <x:c r="D2062" s="2" t="str">
        <x:v>Completed</x:v>
      </x:c>
      <x:c r="E2062" s="2" t="str">
        <x:v>South</x:v>
      </x:c>
      <x:c r="F2062" s="2" t="str">
        <x:v>Store</x:v>
      </x:c>
      <x:c r="G2062" s="2" t="str">
        <x:v>Lighting</x:v>
      </x:c>
      <x:c r="H2062" s="2" t="str">
        <x:v>Lamp 013</x:v>
      </x:c>
      <x:c r="I2062" s="11" t="n">
        <x:v>2</x:v>
      </x:c>
      <x:c r="J2062" s="9" t="n">
        <x:v>271</x:v>
      </x:c>
      <x:c r="K2062" s="10" t="n">
        <x:v>0</x:v>
      </x:c>
      <x:c r="L2062" s="11" t="n">
        <x:v>0</x:v>
      </x:c>
      <x:c r="M2062" s="9" t="n">
        <x:f>IF(D2062="Completed",I2062*J2062,0)</x:f>
        <x:v>542</x:v>
      </x:c>
      <x:c r="N2062" s="9" t="n">
        <x:f>M2062*K2062</x:f>
        <x:v>0</x:v>
      </x:c>
      <x:c r="O2062" s="9" t="n">
        <x:f>M2062-N2062</x:f>
        <x:v>542</x:v>
      </x:c>
      <x:c r="P2062" s="9" t="n">
        <x:f>IF(D2062="Completed",L2062*J2062*(1-K2062),0)</x:f>
        <x:v>0</x:v>
      </x:c>
      <x:c r="Q2062" s="9" t="n">
        <x:f>O2062-P2062</x:f>
        <x:v>542</x:v>
      </x:c>
      <x:c r="R2062" s="11" t="n">
        <x:f>IF(D2062="Completed",I2062,0)</x:f>
        <x:v>2</x:v>
      </x:c>
      <x:c r="S2062" s="11" t="n">
        <x:f>IF(D2062="Completed",L2062,0)</x:f>
        <x:v>0</x:v>
      </x:c>
      <x:c r="T2062" s="8" t="n">
        <x:f>DATE(YEAR(C2062),MONTH(C2062),1)</x:f>
        <x:v>45809</x:v>
      </x:c>
    </x:row>
    <x:row r="2063" ht="22" customHeight="1">
      <x:c r="A2063" s="2" t="str">
        <x:v>L002059</x:v>
      </x:c>
      <x:c r="B2063" s="2" t="str">
        <x:v>O00840</x:v>
      </x:c>
      <x:c r="C2063" s="7" t="n">
        <x:v>45983</x:v>
      </x:c>
      <x:c r="D2063" s="2" t="str">
        <x:v>Completed</x:v>
      </x:c>
      <x:c r="E2063" s="2" t="str">
        <x:v>South</x:v>
      </x:c>
      <x:c r="F2063" s="2" t="str">
        <x:v>Store</x:v>
      </x:c>
      <x:c r="G2063" s="2" t="str">
        <x:v>Furniture</x:v>
      </x:c>
      <x:c r="H2063" s="2" t="str">
        <x:v>Desk 004</x:v>
      </x:c>
      <x:c r="I2063" s="11" t="n">
        <x:v>3</x:v>
      </x:c>
      <x:c r="J2063" s="9" t="n">
        <x:v>123</x:v>
      </x:c>
      <x:c r="K2063" s="10" t="n">
        <x:v>0</x:v>
      </x:c>
      <x:c r="L2063" s="11" t="n">
        <x:v>0</x:v>
      </x:c>
      <x:c r="M2063" s="9" t="n">
        <x:f>IF(D2063="Completed",I2063*J2063,0)</x:f>
        <x:v>369</x:v>
      </x:c>
      <x:c r="N2063" s="9" t="n">
        <x:f>M2063*K2063</x:f>
        <x:v>0</x:v>
      </x:c>
      <x:c r="O2063" s="9" t="n">
        <x:f>M2063-N2063</x:f>
        <x:v>369</x:v>
      </x:c>
      <x:c r="P2063" s="9" t="n">
        <x:f>IF(D2063="Completed",L2063*J2063*(1-K2063),0)</x:f>
        <x:v>0</x:v>
      </x:c>
      <x:c r="Q2063" s="9" t="n">
        <x:f>O2063-P2063</x:f>
        <x:v>369</x:v>
      </x:c>
      <x:c r="R2063" s="11" t="n">
        <x:f>IF(D2063="Completed",I2063,0)</x:f>
        <x:v>3</x:v>
      </x:c>
      <x:c r="S2063" s="11" t="n">
        <x:f>IF(D2063="Completed",L2063,0)</x:f>
        <x:v>0</x:v>
      </x:c>
      <x:c r="T2063" s="8" t="n">
        <x:f>DATE(YEAR(C2063),MONTH(C2063),1)</x:f>
        <x:v>45962</x:v>
      </x:c>
    </x:row>
    <x:row r="2064" ht="22" customHeight="1">
      <x:c r="A2064" s="2" t="str">
        <x:v>L002060</x:v>
      </x:c>
      <x:c r="B2064" s="2" t="str">
        <x:v>O00841</x:v>
      </x:c>
      <x:c r="C2064" s="7" t="n">
        <x:v>45747</x:v>
      </x:c>
      <x:c r="D2064" s="2" t="str">
        <x:v>Completed</x:v>
      </x:c>
      <x:c r="E2064" s="2" t="str">
        <x:v>East</x:v>
      </x:c>
      <x:c r="F2064" s="2" t="str">
        <x:v>Online</x:v>
      </x:c>
      <x:c r="G2064" s="2" t="str">
        <x:v>Furniture</x:v>
      </x:c>
      <x:c r="H2064" s="2" t="str">
        <x:v>Desk 008</x:v>
      </x:c>
      <x:c r="I2064" s="11" t="n">
        <x:v>1</x:v>
      </x:c>
      <x:c r="J2064" s="9" t="n">
        <x:v>188</x:v>
      </x:c>
      <x:c r="K2064" s="10" t="n">
        <x:v>0</x:v>
      </x:c>
      <x:c r="L2064" s="11" t="n">
        <x:v>0</x:v>
      </x:c>
      <x:c r="M2064" s="9" t="n">
        <x:f>IF(D2064="Completed",I2064*J2064,0)</x:f>
        <x:v>188</x:v>
      </x:c>
      <x:c r="N2064" s="9" t="n">
        <x:f>M2064*K2064</x:f>
        <x:v>0</x:v>
      </x:c>
      <x:c r="O2064" s="9" t="n">
        <x:f>M2064-N2064</x:f>
        <x:v>188</x:v>
      </x:c>
      <x:c r="P2064" s="9" t="n">
        <x:f>IF(D2064="Completed",L2064*J2064*(1-K2064),0)</x:f>
        <x:v>0</x:v>
      </x:c>
      <x:c r="Q2064" s="9" t="n">
        <x:f>O2064-P2064</x:f>
        <x:v>188</x:v>
      </x:c>
      <x:c r="R2064" s="11" t="n">
        <x:f>IF(D2064="Completed",I2064,0)</x:f>
        <x:v>1</x:v>
      </x:c>
      <x:c r="S2064" s="11" t="n">
        <x:f>IF(D2064="Completed",L2064,0)</x:f>
        <x:v>0</x:v>
      </x:c>
      <x:c r="T2064" s="8" t="n">
        <x:f>DATE(YEAR(C2064),MONTH(C2064),1)</x:f>
        <x:v>45717</x:v>
      </x:c>
    </x:row>
    <x:row r="2065" ht="22" customHeight="1">
      <x:c r="A2065" s="2" t="str">
        <x:v>L002061</x:v>
      </x:c>
      <x:c r="B2065" s="2" t="str">
        <x:v>O00842</x:v>
      </x:c>
      <x:c r="C2065" s="7" t="n">
        <x:v>45962</x:v>
      </x:c>
      <x:c r="D2065" s="2" t="str">
        <x:v>Completed</x:v>
      </x:c>
      <x:c r="E2065" s="2" t="str">
        <x:v>North</x:v>
      </x:c>
      <x:c r="F2065" s="2" t="str">
        <x:v>Store</x:v>
      </x:c>
      <x:c r="G2065" s="2" t="str">
        <x:v>Storage</x:v>
      </x:c>
      <x:c r="H2065" s="2" t="str">
        <x:v>Shelf 015</x:v>
      </x:c>
      <x:c r="I2065" s="11" t="n">
        <x:v>2</x:v>
      </x:c>
      <x:c r="J2065" s="9" t="n">
        <x:v>254</x:v>
      </x:c>
      <x:c r="K2065" s="10" t="n">
        <x:v>0.1</x:v>
      </x:c>
      <x:c r="L2065" s="11" t="n">
        <x:v>0</x:v>
      </x:c>
      <x:c r="M2065" s="9" t="n">
        <x:f>IF(D2065="Completed",I2065*J2065,0)</x:f>
        <x:v>508</x:v>
      </x:c>
      <x:c r="N2065" s="9" t="n">
        <x:f>M2065*K2065</x:f>
        <x:v>50.800000000000004</x:v>
      </x:c>
      <x:c r="O2065" s="9" t="n">
        <x:f>M2065-N2065</x:f>
        <x:v>457.2</x:v>
      </x:c>
      <x:c r="P2065" s="9" t="n">
        <x:f>IF(D2065="Completed",L2065*J2065*(1-K2065),0)</x:f>
        <x:v>0</x:v>
      </x:c>
      <x:c r="Q2065" s="9" t="n">
        <x:f>O2065-P2065</x:f>
        <x:v>457.2</x:v>
      </x:c>
      <x:c r="R2065" s="11" t="n">
        <x:f>IF(D2065="Completed",I2065,0)</x:f>
        <x:v>2</x:v>
      </x:c>
      <x:c r="S2065" s="11" t="n">
        <x:f>IF(D2065="Completed",L2065,0)</x:f>
        <x:v>0</x:v>
      </x:c>
      <x:c r="T2065" s="8" t="n">
        <x:f>DATE(YEAR(C2065),MONTH(C2065),1)</x:f>
        <x:v>45962</x:v>
      </x:c>
    </x:row>
    <x:row r="2066" ht="22" customHeight="1">
      <x:c r="A2066" s="2" t="str">
        <x:v>L002062</x:v>
      </x:c>
      <x:c r="B2066" s="2" t="str">
        <x:v>O00842</x:v>
      </x:c>
      <x:c r="C2066" s="7" t="n">
        <x:v>45962</x:v>
      </x:c>
      <x:c r="D2066" s="2" t="str">
        <x:v>Completed</x:v>
      </x:c>
      <x:c r="E2066" s="2" t="str">
        <x:v>North</x:v>
      </x:c>
      <x:c r="F2066" s="2" t="str">
        <x:v>Store</x:v>
      </x:c>
      <x:c r="G2066" s="2" t="str">
        <x:v>Furniture</x:v>
      </x:c>
      <x:c r="H2066" s="2" t="str">
        <x:v>Chair 006</x:v>
      </x:c>
      <x:c r="I2066" s="11" t="n">
        <x:v>4</x:v>
      </x:c>
      <x:c r="J2066" s="9" t="n">
        <x:v>196</x:v>
      </x:c>
      <x:c r="K2066" s="10" t="n">
        <x:v>0.05</x:v>
      </x:c>
      <x:c r="L2066" s="11" t="n">
        <x:v>0</x:v>
      </x:c>
      <x:c r="M2066" s="9" t="n">
        <x:f>IF(D2066="Completed",I2066*J2066,0)</x:f>
        <x:v>784</x:v>
      </x:c>
      <x:c r="N2066" s="9" t="n">
        <x:f>M2066*K2066</x:f>
        <x:v>39.2</x:v>
      </x:c>
      <x:c r="O2066" s="9" t="n">
        <x:f>M2066-N2066</x:f>
        <x:v>744.8</x:v>
      </x:c>
      <x:c r="P2066" s="9" t="n">
        <x:f>IF(D2066="Completed",L2066*J2066*(1-K2066),0)</x:f>
        <x:v>0</x:v>
      </x:c>
      <x:c r="Q2066" s="9" t="n">
        <x:f>O2066-P2066</x:f>
        <x:v>744.8</x:v>
      </x:c>
      <x:c r="R2066" s="11" t="n">
        <x:f>IF(D2066="Completed",I2066,0)</x:f>
        <x:v>4</x:v>
      </x:c>
      <x:c r="S2066" s="11" t="n">
        <x:f>IF(D2066="Completed",L2066,0)</x:f>
        <x:v>0</x:v>
      </x:c>
      <x:c r="T2066" s="8" t="n">
        <x:f>DATE(YEAR(C2066),MONTH(C2066),1)</x:f>
        <x:v>45962</x:v>
      </x:c>
    </x:row>
    <x:row r="2067" ht="22" customHeight="1">
      <x:c r="A2067" s="2" t="str">
        <x:v>L002063</x:v>
      </x:c>
      <x:c r="B2067" s="2" t="str">
        <x:v>O00842</x:v>
      </x:c>
      <x:c r="C2067" s="7" t="n">
        <x:v>45962</x:v>
      </x:c>
      <x:c r="D2067" s="2" t="str">
        <x:v>Completed</x:v>
      </x:c>
      <x:c r="E2067" s="2" t="str">
        <x:v>North</x:v>
      </x:c>
      <x:c r="F2067" s="2" t="str">
        <x:v>Store</x:v>
      </x:c>
      <x:c r="G2067" s="2" t="str">
        <x:v>Furniture</x:v>
      </x:c>
      <x:c r="H2067" s="2" t="str">
        <x:v>Chair 022</x:v>
      </x:c>
      <x:c r="I2067" s="11" t="n">
        <x:v>3</x:v>
      </x:c>
      <x:c r="J2067" s="9" t="n">
        <x:v>134</x:v>
      </x:c>
      <x:c r="K2067" s="10" t="n">
        <x:v>0.05</x:v>
      </x:c>
      <x:c r="L2067" s="11" t="n">
        <x:v>0</x:v>
      </x:c>
      <x:c r="M2067" s="9" t="n">
        <x:f>IF(D2067="Completed",I2067*J2067,0)</x:f>
        <x:v>402</x:v>
      </x:c>
      <x:c r="N2067" s="9" t="n">
        <x:f>M2067*K2067</x:f>
        <x:v>20.1</x:v>
      </x:c>
      <x:c r="O2067" s="9" t="n">
        <x:f>M2067-N2067</x:f>
        <x:v>381.9</x:v>
      </x:c>
      <x:c r="P2067" s="9" t="n">
        <x:f>IF(D2067="Completed",L2067*J2067*(1-K2067),0)</x:f>
        <x:v>0</x:v>
      </x:c>
      <x:c r="Q2067" s="9" t="n">
        <x:f>O2067-P2067</x:f>
        <x:v>381.9</x:v>
      </x:c>
      <x:c r="R2067" s="11" t="n">
        <x:f>IF(D2067="Completed",I2067,0)</x:f>
        <x:v>3</x:v>
      </x:c>
      <x:c r="S2067" s="11" t="n">
        <x:f>IF(D2067="Completed",L2067,0)</x:f>
        <x:v>0</x:v>
      </x:c>
      <x:c r="T2067" s="8" t="n">
        <x:f>DATE(YEAR(C2067),MONTH(C2067),1)</x:f>
        <x:v>45962</x:v>
      </x:c>
    </x:row>
    <x:row r="2068" ht="22" customHeight="1">
      <x:c r="A2068" s="2" t="str">
        <x:v>L002064</x:v>
      </x:c>
      <x:c r="B2068" s="2" t="str">
        <x:v>O00842</x:v>
      </x:c>
      <x:c r="C2068" s="7" t="n">
        <x:v>45962</x:v>
      </x:c>
      <x:c r="D2068" s="2" t="str">
        <x:v>Completed</x:v>
      </x:c>
      <x:c r="E2068" s="2" t="str">
        <x:v>North</x:v>
      </x:c>
      <x:c r="F2068" s="2" t="str">
        <x:v>Store</x:v>
      </x:c>
      <x:c r="G2068" s="2" t="str">
        <x:v>Storage</x:v>
      </x:c>
      <x:c r="H2068" s="2" t="str">
        <x:v>Shelf 003</x:v>
      </x:c>
      <x:c r="I2068" s="11" t="n">
        <x:v>1</x:v>
      </x:c>
      <x:c r="J2068" s="9" t="n">
        <x:v>199</x:v>
      </x:c>
      <x:c r="K2068" s="10" t="n">
        <x:v>0.05</x:v>
      </x:c>
      <x:c r="L2068" s="11" t="n">
        <x:v>0</x:v>
      </x:c>
      <x:c r="M2068" s="9" t="n">
        <x:f>IF(D2068="Completed",I2068*J2068,0)</x:f>
        <x:v>199</x:v>
      </x:c>
      <x:c r="N2068" s="9" t="n">
        <x:f>M2068*K2068</x:f>
        <x:v>9.950000000000001</x:v>
      </x:c>
      <x:c r="O2068" s="9" t="n">
        <x:f>M2068-N2068</x:f>
        <x:v>189.05</x:v>
      </x:c>
      <x:c r="P2068" s="9" t="n">
        <x:f>IF(D2068="Completed",L2068*J2068*(1-K2068),0)</x:f>
        <x:v>0</x:v>
      </x:c>
      <x:c r="Q2068" s="9" t="n">
        <x:f>O2068-P2068</x:f>
        <x:v>189.05</x:v>
      </x:c>
      <x:c r="R2068" s="11" t="n">
        <x:f>IF(D2068="Completed",I2068,0)</x:f>
        <x:v>1</x:v>
      </x:c>
      <x:c r="S2068" s="11" t="n">
        <x:f>IF(D2068="Completed",L2068,0)</x:f>
        <x:v>0</x:v>
      </x:c>
      <x:c r="T2068" s="8" t="n">
        <x:f>DATE(YEAR(C2068),MONTH(C2068),1)</x:f>
        <x:v>45962</x:v>
      </x:c>
    </x:row>
    <x:row r="2069" ht="22" customHeight="1">
      <x:c r="A2069" s="2" t="str">
        <x:v>L002065</x:v>
      </x:c>
      <x:c r="B2069" s="2" t="str">
        <x:v>O00843</x:v>
      </x:c>
      <x:c r="C2069" s="7" t="n">
        <x:v>45969</x:v>
      </x:c>
      <x:c r="D2069" s="2" t="str">
        <x:v>Completed</x:v>
      </x:c>
      <x:c r="E2069" s="2" t="str">
        <x:v>West</x:v>
      </x:c>
      <x:c r="F2069" s="2" t="str">
        <x:v>Online</x:v>
      </x:c>
      <x:c r="G2069" s="2" t="str">
        <x:v>Lighting</x:v>
      </x:c>
      <x:c r="H2069" s="2" t="str">
        <x:v>Lamp 009</x:v>
      </x:c>
      <x:c r="I2069" s="11" t="n">
        <x:v>2</x:v>
      </x:c>
      <x:c r="J2069" s="9" t="n">
        <x:v>93</x:v>
      </x:c>
      <x:c r="K2069" s="10" t="n">
        <x:v>0.1</x:v>
      </x:c>
      <x:c r="L2069" s="11" t="n">
        <x:v>0</x:v>
      </x:c>
      <x:c r="M2069" s="9" t="n">
        <x:f>IF(D2069="Completed",I2069*J2069,0)</x:f>
        <x:v>186</x:v>
      </x:c>
      <x:c r="N2069" s="9" t="n">
        <x:f>M2069*K2069</x:f>
        <x:v>18.6</x:v>
      </x:c>
      <x:c r="O2069" s="9" t="n">
        <x:f>M2069-N2069</x:f>
        <x:v>167.4</x:v>
      </x:c>
      <x:c r="P2069" s="9" t="n">
        <x:f>IF(D2069="Completed",L2069*J2069*(1-K2069),0)</x:f>
        <x:v>0</x:v>
      </x:c>
      <x:c r="Q2069" s="9" t="n">
        <x:f>O2069-P2069</x:f>
        <x:v>167.4</x:v>
      </x:c>
      <x:c r="R2069" s="11" t="n">
        <x:f>IF(D2069="Completed",I2069,0)</x:f>
        <x:v>2</x:v>
      </x:c>
      <x:c r="S2069" s="11" t="n">
        <x:f>IF(D2069="Completed",L2069,0)</x:f>
        <x:v>0</x:v>
      </x:c>
      <x:c r="T2069" s="8" t="n">
        <x:f>DATE(YEAR(C2069),MONTH(C2069),1)</x:f>
        <x:v>45962</x:v>
      </x:c>
    </x:row>
    <x:row r="2070" ht="22" customHeight="1">
      <x:c r="A2070" s="2" t="str">
        <x:v>L002066</x:v>
      </x:c>
      <x:c r="B2070" s="2" t="str">
        <x:v>O00843</x:v>
      </x:c>
      <x:c r="C2070" s="7" t="n">
        <x:v>45969</x:v>
      </x:c>
      <x:c r="D2070" s="2" t="str">
        <x:v>Completed</x:v>
      </x:c>
      <x:c r="E2070" s="2" t="str">
        <x:v>West</x:v>
      </x:c>
      <x:c r="F2070" s="2" t="str">
        <x:v>Online</x:v>
      </x:c>
      <x:c r="G2070" s="2" t="str">
        <x:v>Storage</x:v>
      </x:c>
      <x:c r="H2070" s="2" t="str">
        <x:v>Shelf 023</x:v>
      </x:c>
      <x:c r="I2070" s="11" t="n">
        <x:v>5</x:v>
      </x:c>
      <x:c r="J2070" s="9" t="n">
        <x:v>68</x:v>
      </x:c>
      <x:c r="K2070" s="10" t="n">
        <x:v>0.05</x:v>
      </x:c>
      <x:c r="L2070" s="11" t="n">
        <x:v>0</x:v>
      </x:c>
      <x:c r="M2070" s="9" t="n">
        <x:f>IF(D2070="Completed",I2070*J2070,0)</x:f>
        <x:v>340</x:v>
      </x:c>
      <x:c r="N2070" s="9" t="n">
        <x:f>M2070*K2070</x:f>
        <x:v>17</x:v>
      </x:c>
      <x:c r="O2070" s="9" t="n">
        <x:f>M2070-N2070</x:f>
        <x:v>323</x:v>
      </x:c>
      <x:c r="P2070" s="9" t="n">
        <x:f>IF(D2070="Completed",L2070*J2070*(1-K2070),0)</x:f>
        <x:v>0</x:v>
      </x:c>
      <x:c r="Q2070" s="9" t="n">
        <x:f>O2070-P2070</x:f>
        <x:v>323</x:v>
      </x:c>
      <x:c r="R2070" s="11" t="n">
        <x:f>IF(D2070="Completed",I2070,0)</x:f>
        <x:v>5</x:v>
      </x:c>
      <x:c r="S2070" s="11" t="n">
        <x:f>IF(D2070="Completed",L2070,0)</x:f>
        <x:v>0</x:v>
      </x:c>
      <x:c r="T2070" s="8" t="n">
        <x:f>DATE(YEAR(C2070),MONTH(C2070),1)</x:f>
        <x:v>45962</x:v>
      </x:c>
    </x:row>
    <x:row r="2071" ht="22" customHeight="1">
      <x:c r="A2071" s="2" t="str">
        <x:v>L002067</x:v>
      </x:c>
      <x:c r="B2071" s="2" t="str">
        <x:v>O00843</x:v>
      </x:c>
      <x:c r="C2071" s="7" t="n">
        <x:v>45969</x:v>
      </x:c>
      <x:c r="D2071" s="2" t="str">
        <x:v>Completed</x:v>
      </x:c>
      <x:c r="E2071" s="2" t="str">
        <x:v>West</x:v>
      </x:c>
      <x:c r="F2071" s="2" t="str">
        <x:v>Online</x:v>
      </x:c>
      <x:c r="G2071" s="2" t="str">
        <x:v>Furniture</x:v>
      </x:c>
      <x:c r="H2071" s="2" t="str">
        <x:v>Desk 016</x:v>
      </x:c>
      <x:c r="I2071" s="11" t="n">
        <x:v>4</x:v>
      </x:c>
      <x:c r="J2071" s="9" t="n">
        <x:v>231</x:v>
      </x:c>
      <x:c r="K2071" s="10" t="n">
        <x:v>0</x:v>
      </x:c>
      <x:c r="L2071" s="11" t="n">
        <x:v>0</x:v>
      </x:c>
      <x:c r="M2071" s="9" t="n">
        <x:f>IF(D2071="Completed",I2071*J2071,0)</x:f>
        <x:v>924</x:v>
      </x:c>
      <x:c r="N2071" s="9" t="n">
        <x:f>M2071*K2071</x:f>
        <x:v>0</x:v>
      </x:c>
      <x:c r="O2071" s="9" t="n">
        <x:f>M2071-N2071</x:f>
        <x:v>924</x:v>
      </x:c>
      <x:c r="P2071" s="9" t="n">
        <x:f>IF(D2071="Completed",L2071*J2071*(1-K2071),0)</x:f>
        <x:v>0</x:v>
      </x:c>
      <x:c r="Q2071" s="9" t="n">
        <x:f>O2071-P2071</x:f>
        <x:v>924</x:v>
      </x:c>
      <x:c r="R2071" s="11" t="n">
        <x:f>IF(D2071="Completed",I2071,0)</x:f>
        <x:v>4</x:v>
      </x:c>
      <x:c r="S2071" s="11" t="n">
        <x:f>IF(D2071="Completed",L2071,0)</x:f>
        <x:v>0</x:v>
      </x:c>
      <x:c r="T2071" s="8" t="n">
        <x:f>DATE(YEAR(C2071),MONTH(C2071),1)</x:f>
        <x:v>45962</x:v>
      </x:c>
    </x:row>
    <x:row r="2072" ht="22" customHeight="1">
      <x:c r="A2072" s="2" t="str">
        <x:v>L002068</x:v>
      </x:c>
      <x:c r="B2072" s="2" t="str">
        <x:v>O00843</x:v>
      </x:c>
      <x:c r="C2072" s="7" t="n">
        <x:v>45969</x:v>
      </x:c>
      <x:c r="D2072" s="2" t="str">
        <x:v>Completed</x:v>
      </x:c>
      <x:c r="E2072" s="2" t="str">
        <x:v>West</x:v>
      </x:c>
      <x:c r="F2072" s="2" t="str">
        <x:v>Online</x:v>
      </x:c>
      <x:c r="G2072" s="2" t="str">
        <x:v>Furniture</x:v>
      </x:c>
      <x:c r="H2072" s="2" t="str">
        <x:v>Desk 012</x:v>
      </x:c>
      <x:c r="I2072" s="11" t="n">
        <x:v>4</x:v>
      </x:c>
      <x:c r="J2072" s="9" t="n">
        <x:v>134</x:v>
      </x:c>
      <x:c r="K2072" s="10" t="n">
        <x:v>0</x:v>
      </x:c>
      <x:c r="L2072" s="11" t="n">
        <x:v>0</x:v>
      </x:c>
      <x:c r="M2072" s="9" t="n">
        <x:f>IF(D2072="Completed",I2072*J2072,0)</x:f>
        <x:v>536</x:v>
      </x:c>
      <x:c r="N2072" s="9" t="n">
        <x:f>M2072*K2072</x:f>
        <x:v>0</x:v>
      </x:c>
      <x:c r="O2072" s="9" t="n">
        <x:f>M2072-N2072</x:f>
        <x:v>536</x:v>
      </x:c>
      <x:c r="P2072" s="9" t="n">
        <x:f>IF(D2072="Completed",L2072*J2072*(1-K2072),0)</x:f>
        <x:v>0</x:v>
      </x:c>
      <x:c r="Q2072" s="9" t="n">
        <x:f>O2072-P2072</x:f>
        <x:v>536</x:v>
      </x:c>
      <x:c r="R2072" s="11" t="n">
        <x:f>IF(D2072="Completed",I2072,0)</x:f>
        <x:v>4</x:v>
      </x:c>
      <x:c r="S2072" s="11" t="n">
        <x:f>IF(D2072="Completed",L2072,0)</x:f>
        <x:v>0</x:v>
      </x:c>
      <x:c r="T2072" s="8" t="n">
        <x:f>DATE(YEAR(C2072),MONTH(C2072),1)</x:f>
        <x:v>45962</x:v>
      </x:c>
    </x:row>
    <x:row r="2073" ht="22" customHeight="1">
      <x:c r="A2073" s="2" t="str">
        <x:v>L002069</x:v>
      </x:c>
      <x:c r="B2073" s="2" t="str">
        <x:v>O00844</x:v>
      </x:c>
      <x:c r="C2073" s="7" t="n">
        <x:v>46017</x:v>
      </x:c>
      <x:c r="D2073" s="2" t="str">
        <x:v>Completed</x:v>
      </x:c>
      <x:c r="E2073" s="2" t="str">
        <x:v>South</x:v>
      </x:c>
      <x:c r="F2073" s="2" t="str">
        <x:v>Online</x:v>
      </x:c>
      <x:c r="G2073" s="2" t="str">
        <x:v>Lighting</x:v>
      </x:c>
      <x:c r="H2073" s="2" t="str">
        <x:v>Lamp 013</x:v>
      </x:c>
      <x:c r="I2073" s="11" t="n">
        <x:v>5</x:v>
      </x:c>
      <x:c r="J2073" s="9" t="n">
        <x:v>271</x:v>
      </x:c>
      <x:c r="K2073" s="10" t="n">
        <x:v>0</x:v>
      </x:c>
      <x:c r="L2073" s="11" t="n">
        <x:v>0</x:v>
      </x:c>
      <x:c r="M2073" s="9" t="n">
        <x:f>IF(D2073="Completed",I2073*J2073,0)</x:f>
        <x:v>1355</x:v>
      </x:c>
      <x:c r="N2073" s="9" t="n">
        <x:f>M2073*K2073</x:f>
        <x:v>0</x:v>
      </x:c>
      <x:c r="O2073" s="9" t="n">
        <x:f>M2073-N2073</x:f>
        <x:v>1355</x:v>
      </x:c>
      <x:c r="P2073" s="9" t="n">
        <x:f>IF(D2073="Completed",L2073*J2073*(1-K2073),0)</x:f>
        <x:v>0</x:v>
      </x:c>
      <x:c r="Q2073" s="9" t="n">
        <x:f>O2073-P2073</x:f>
        <x:v>1355</x:v>
      </x:c>
      <x:c r="R2073" s="11" t="n">
        <x:f>IF(D2073="Completed",I2073,0)</x:f>
        <x:v>5</x:v>
      </x:c>
      <x:c r="S2073" s="11" t="n">
        <x:f>IF(D2073="Completed",L2073,0)</x:f>
        <x:v>0</x:v>
      </x:c>
      <x:c r="T2073" s="8" t="n">
        <x:f>DATE(YEAR(C2073),MONTH(C2073),1)</x:f>
        <x:v>45992</x:v>
      </x:c>
    </x:row>
    <x:row r="2074" ht="22" customHeight="1">
      <x:c r="A2074" s="2" t="str">
        <x:v>L002070</x:v>
      </x:c>
      <x:c r="B2074" s="2" t="str">
        <x:v>O00844</x:v>
      </x:c>
      <x:c r="C2074" s="7" t="n">
        <x:v>46017</x:v>
      </x:c>
      <x:c r="D2074" s="2" t="str">
        <x:v>Completed</x:v>
      </x:c>
      <x:c r="E2074" s="2" t="str">
        <x:v>South</x:v>
      </x:c>
      <x:c r="F2074" s="2" t="str">
        <x:v>Online</x:v>
      </x:c>
      <x:c r="G2074" s="2" t="str">
        <x:v>Lighting</x:v>
      </x:c>
      <x:c r="H2074" s="2" t="str">
        <x:v>Lamp 009</x:v>
      </x:c>
      <x:c r="I2074" s="11" t="n">
        <x:v>5</x:v>
      </x:c>
      <x:c r="J2074" s="9" t="n">
        <x:v>93</x:v>
      </x:c>
      <x:c r="K2074" s="10" t="n">
        <x:v>0</x:v>
      </x:c>
      <x:c r="L2074" s="11" t="n">
        <x:v>0</x:v>
      </x:c>
      <x:c r="M2074" s="9" t="n">
        <x:f>IF(D2074="Completed",I2074*J2074,0)</x:f>
        <x:v>465</x:v>
      </x:c>
      <x:c r="N2074" s="9" t="n">
        <x:f>M2074*K2074</x:f>
        <x:v>0</x:v>
      </x:c>
      <x:c r="O2074" s="9" t="n">
        <x:f>M2074-N2074</x:f>
        <x:v>465</x:v>
      </x:c>
      <x:c r="P2074" s="9" t="n">
        <x:f>IF(D2074="Completed",L2074*J2074*(1-K2074),0)</x:f>
        <x:v>0</x:v>
      </x:c>
      <x:c r="Q2074" s="9" t="n">
        <x:f>O2074-P2074</x:f>
        <x:v>465</x:v>
      </x:c>
      <x:c r="R2074" s="11" t="n">
        <x:f>IF(D2074="Completed",I2074,0)</x:f>
        <x:v>5</x:v>
      </x:c>
      <x:c r="S2074" s="11" t="n">
        <x:f>IF(D2074="Completed",L2074,0)</x:f>
        <x:v>0</x:v>
      </x:c>
      <x:c r="T2074" s="8" t="n">
        <x:f>DATE(YEAR(C2074),MONTH(C2074),1)</x:f>
        <x:v>45992</x:v>
      </x:c>
    </x:row>
    <x:row r="2075" ht="22" customHeight="1">
      <x:c r="A2075" s="2" t="str">
        <x:v>L002071</x:v>
      </x:c>
      <x:c r="B2075" s="2" t="str">
        <x:v>O00844</x:v>
      </x:c>
      <x:c r="C2075" s="7" t="n">
        <x:v>46017</x:v>
      </x:c>
      <x:c r="D2075" s="2" t="str">
        <x:v>Completed</x:v>
      </x:c>
      <x:c r="E2075" s="2" t="str">
        <x:v>South</x:v>
      </x:c>
      <x:c r="F2075" s="2" t="str">
        <x:v>Online</x:v>
      </x:c>
      <x:c r="G2075" s="2" t="str">
        <x:v>Furniture</x:v>
      </x:c>
      <x:c r="H2075" s="2" t="str">
        <x:v>Desk 008</x:v>
      </x:c>
      <x:c r="I2075" s="11" t="n">
        <x:v>3</x:v>
      </x:c>
      <x:c r="J2075" s="9" t="n">
        <x:v>188</x:v>
      </x:c>
      <x:c r="K2075" s="10" t="n">
        <x:v>0</x:v>
      </x:c>
      <x:c r="L2075" s="11" t="n">
        <x:v>1</x:v>
      </x:c>
      <x:c r="M2075" s="9" t="n">
        <x:f>IF(D2075="Completed",I2075*J2075,0)</x:f>
        <x:v>564</x:v>
      </x:c>
      <x:c r="N2075" s="9" t="n">
        <x:f>M2075*K2075</x:f>
        <x:v>0</x:v>
      </x:c>
      <x:c r="O2075" s="9" t="n">
        <x:f>M2075-N2075</x:f>
        <x:v>564</x:v>
      </x:c>
      <x:c r="P2075" s="9" t="n">
        <x:f>IF(D2075="Completed",L2075*J2075*(1-K2075),0)</x:f>
        <x:v>188</x:v>
      </x:c>
      <x:c r="Q2075" s="9" t="n">
        <x:f>O2075-P2075</x:f>
        <x:v>376</x:v>
      </x:c>
      <x:c r="R2075" s="11" t="n">
        <x:f>IF(D2075="Completed",I2075,0)</x:f>
        <x:v>3</x:v>
      </x:c>
      <x:c r="S2075" s="11" t="n">
        <x:f>IF(D2075="Completed",L2075,0)</x:f>
        <x:v>1</x:v>
      </x:c>
      <x:c r="T2075" s="8" t="n">
        <x:f>DATE(YEAR(C2075),MONTH(C2075),1)</x:f>
        <x:v>45992</x:v>
      </x:c>
    </x:row>
    <x:row r="2076" ht="22" customHeight="1">
      <x:c r="A2076" s="2" t="str">
        <x:v>L002072</x:v>
      </x:c>
      <x:c r="B2076" s="2" t="str">
        <x:v>O00845</x:v>
      </x:c>
      <x:c r="C2076" s="7" t="n">
        <x:v>45996</x:v>
      </x:c>
      <x:c r="D2076" s="2" t="str">
        <x:v>Completed</x:v>
      </x:c>
      <x:c r="E2076" s="2" t="str">
        <x:v>North</x:v>
      </x:c>
      <x:c r="F2076" s="2" t="str">
        <x:v>Online</x:v>
      </x:c>
      <x:c r="G2076" s="2" t="str">
        <x:v>Storage</x:v>
      </x:c>
      <x:c r="H2076" s="2" t="str">
        <x:v>Shelf 015</x:v>
      </x:c>
      <x:c r="I2076" s="11" t="n">
        <x:v>3</x:v>
      </x:c>
      <x:c r="J2076" s="9" t="n">
        <x:v>254</x:v>
      </x:c>
      <x:c r="K2076" s="10" t="n">
        <x:v>0.2</x:v>
      </x:c>
      <x:c r="L2076" s="11" t="n">
        <x:v>0</x:v>
      </x:c>
      <x:c r="M2076" s="9" t="n">
        <x:f>IF(D2076="Completed",I2076*J2076,0)</x:f>
        <x:v>762</x:v>
      </x:c>
      <x:c r="N2076" s="9" t="n">
        <x:f>M2076*K2076</x:f>
        <x:v>152.4</x:v>
      </x:c>
      <x:c r="O2076" s="9" t="n">
        <x:f>M2076-N2076</x:f>
        <x:v>609.6</x:v>
      </x:c>
      <x:c r="P2076" s="9" t="n">
        <x:f>IF(D2076="Completed",L2076*J2076*(1-K2076),0)</x:f>
        <x:v>0</x:v>
      </x:c>
      <x:c r="Q2076" s="9" t="n">
        <x:f>O2076-P2076</x:f>
        <x:v>609.6</x:v>
      </x:c>
      <x:c r="R2076" s="11" t="n">
        <x:f>IF(D2076="Completed",I2076,0)</x:f>
        <x:v>3</x:v>
      </x:c>
      <x:c r="S2076" s="11" t="n">
        <x:f>IF(D2076="Completed",L2076,0)</x:f>
        <x:v>0</x:v>
      </x:c>
      <x:c r="T2076" s="8" t="n">
        <x:f>DATE(YEAR(C2076),MONTH(C2076),1)</x:f>
        <x:v>45992</x:v>
      </x:c>
    </x:row>
    <x:row r="2077" ht="22" customHeight="1">
      <x:c r="A2077" s="2" t="str">
        <x:v>L002073</x:v>
      </x:c>
      <x:c r="B2077" s="2" t="str">
        <x:v>O00845</x:v>
      </x:c>
      <x:c r="C2077" s="7" t="n">
        <x:v>45996</x:v>
      </x:c>
      <x:c r="D2077" s="2" t="str">
        <x:v>Completed</x:v>
      </x:c>
      <x:c r="E2077" s="2" t="str">
        <x:v>North</x:v>
      </x:c>
      <x:c r="F2077" s="2" t="str">
        <x:v>Online</x:v>
      </x:c>
      <x:c r="G2077" s="2" t="str">
        <x:v>Furniture</x:v>
      </x:c>
      <x:c r="H2077" s="2" t="str">
        <x:v>Chair 006</x:v>
      </x:c>
      <x:c r="I2077" s="11" t="n">
        <x:v>4</x:v>
      </x:c>
      <x:c r="J2077" s="9" t="n">
        <x:v>196</x:v>
      </x:c>
      <x:c r="K2077" s="10" t="n">
        <x:v>0.2</x:v>
      </x:c>
      <x:c r="L2077" s="11" t="n">
        <x:v>0</x:v>
      </x:c>
      <x:c r="M2077" s="9" t="n">
        <x:f>IF(D2077="Completed",I2077*J2077,0)</x:f>
        <x:v>784</x:v>
      </x:c>
      <x:c r="N2077" s="9" t="n">
        <x:f>M2077*K2077</x:f>
        <x:v>156.8</x:v>
      </x:c>
      <x:c r="O2077" s="9" t="n">
        <x:f>M2077-N2077</x:f>
        <x:v>627.2</x:v>
      </x:c>
      <x:c r="P2077" s="9" t="n">
        <x:f>IF(D2077="Completed",L2077*J2077*(1-K2077),0)</x:f>
        <x:v>0</x:v>
      </x:c>
      <x:c r="Q2077" s="9" t="n">
        <x:f>O2077-P2077</x:f>
        <x:v>627.2</x:v>
      </x:c>
      <x:c r="R2077" s="11" t="n">
        <x:f>IF(D2077="Completed",I2077,0)</x:f>
        <x:v>4</x:v>
      </x:c>
      <x:c r="S2077" s="11" t="n">
        <x:f>IF(D2077="Completed",L2077,0)</x:f>
        <x:v>0</x:v>
      </x:c>
      <x:c r="T2077" s="8" t="n">
        <x:f>DATE(YEAR(C2077),MONTH(C2077),1)</x:f>
        <x:v>45992</x:v>
      </x:c>
    </x:row>
    <x:row r="2078" ht="22" customHeight="1">
      <x:c r="A2078" s="2" t="str">
        <x:v>L002074</x:v>
      </x:c>
      <x:c r="B2078" s="2" t="str">
        <x:v>O00846</x:v>
      </x:c>
      <x:c r="C2078" s="7" t="n">
        <x:v>45739</x:v>
      </x:c>
      <x:c r="D2078" s="2" t="str">
        <x:v>Completed</x:v>
      </x:c>
      <x:c r="E2078" s="2" t="str">
        <x:v>East</x:v>
      </x:c>
      <x:c r="F2078" s="2" t="str">
        <x:v>Store</x:v>
      </x:c>
      <x:c r="G2078" s="2" t="str">
        <x:v>Furniture</x:v>
      </x:c>
      <x:c r="H2078" s="2" t="str">
        <x:v>Chair 006</x:v>
      </x:c>
      <x:c r="I2078" s="11" t="n">
        <x:v>1</x:v>
      </x:c>
      <x:c r="J2078" s="9" t="n">
        <x:v>196</x:v>
      </x:c>
      <x:c r="K2078" s="10" t="n">
        <x:v>0.1</x:v>
      </x:c>
      <x:c r="L2078" s="11" t="n">
        <x:v>0</x:v>
      </x:c>
      <x:c r="M2078" s="9" t="n">
        <x:f>IF(D2078="Completed",I2078*J2078,0)</x:f>
        <x:v>196</x:v>
      </x:c>
      <x:c r="N2078" s="9" t="n">
        <x:f>M2078*K2078</x:f>
        <x:v>19.6</x:v>
      </x:c>
      <x:c r="O2078" s="9" t="n">
        <x:f>M2078-N2078</x:f>
        <x:v>176.4</x:v>
      </x:c>
      <x:c r="P2078" s="9" t="n">
        <x:f>IF(D2078="Completed",L2078*J2078*(1-K2078),0)</x:f>
        <x:v>0</x:v>
      </x:c>
      <x:c r="Q2078" s="9" t="n">
        <x:f>O2078-P2078</x:f>
        <x:v>176.4</x:v>
      </x:c>
      <x:c r="R2078" s="11" t="n">
        <x:f>IF(D2078="Completed",I2078,0)</x:f>
        <x:v>1</x:v>
      </x:c>
      <x:c r="S2078" s="11" t="n">
        <x:f>IF(D2078="Completed",L2078,0)</x:f>
        <x:v>0</x:v>
      </x:c>
      <x:c r="T2078" s="8" t="n">
        <x:f>DATE(YEAR(C2078),MONTH(C2078),1)</x:f>
        <x:v>45717</x:v>
      </x:c>
    </x:row>
    <x:row r="2079" ht="22" customHeight="1">
      <x:c r="A2079" s="2" t="str">
        <x:v>L002075</x:v>
      </x:c>
      <x:c r="B2079" s="2" t="str">
        <x:v>O00846</x:v>
      </x:c>
      <x:c r="C2079" s="7" t="n">
        <x:v>45739</x:v>
      </x:c>
      <x:c r="D2079" s="2" t="str">
        <x:v>Completed</x:v>
      </x:c>
      <x:c r="E2079" s="2" t="str">
        <x:v>East</x:v>
      </x:c>
      <x:c r="F2079" s="2" t="str">
        <x:v>Store</x:v>
      </x:c>
      <x:c r="G2079" s="2" t="str">
        <x:v>Storage</x:v>
      </x:c>
      <x:c r="H2079" s="2" t="str">
        <x:v>Shelf 019</x:v>
      </x:c>
      <x:c r="I2079" s="11" t="n">
        <x:v>1</x:v>
      </x:c>
      <x:c r="J2079" s="9" t="n">
        <x:v>78</x:v>
      </x:c>
      <x:c r="K2079" s="10" t="n">
        <x:v>0</x:v>
      </x:c>
      <x:c r="L2079" s="11" t="n">
        <x:v>0</x:v>
      </x:c>
      <x:c r="M2079" s="9" t="n">
        <x:f>IF(D2079="Completed",I2079*J2079,0)</x:f>
        <x:v>78</x:v>
      </x:c>
      <x:c r="N2079" s="9" t="n">
        <x:f>M2079*K2079</x:f>
        <x:v>0</x:v>
      </x:c>
      <x:c r="O2079" s="9" t="n">
        <x:f>M2079-N2079</x:f>
        <x:v>78</x:v>
      </x:c>
      <x:c r="P2079" s="9" t="n">
        <x:f>IF(D2079="Completed",L2079*J2079*(1-K2079),0)</x:f>
        <x:v>0</x:v>
      </x:c>
      <x:c r="Q2079" s="9" t="n">
        <x:f>O2079-P2079</x:f>
        <x:v>78</x:v>
      </x:c>
      <x:c r="R2079" s="11" t="n">
        <x:f>IF(D2079="Completed",I2079,0)</x:f>
        <x:v>1</x:v>
      </x:c>
      <x:c r="S2079" s="11" t="n">
        <x:f>IF(D2079="Completed",L2079,0)</x:f>
        <x:v>0</x:v>
      </x:c>
      <x:c r="T2079" s="8" t="n">
        <x:f>DATE(YEAR(C2079),MONTH(C2079),1)</x:f>
        <x:v>45717</x:v>
      </x:c>
    </x:row>
    <x:row r="2080" ht="22" customHeight="1">
      <x:c r="A2080" s="2" t="str">
        <x:v>L002076</x:v>
      </x:c>
      <x:c r="B2080" s="2" t="str">
        <x:v>O00846</x:v>
      </x:c>
      <x:c r="C2080" s="7" t="n">
        <x:v>45739</x:v>
      </x:c>
      <x:c r="D2080" s="2" t="str">
        <x:v>Completed</x:v>
      </x:c>
      <x:c r="E2080" s="2" t="str">
        <x:v>East</x:v>
      </x:c>
      <x:c r="F2080" s="2" t="str">
        <x:v>Store</x:v>
      </x:c>
      <x:c r="G2080" s="2" t="str">
        <x:v>Lighting</x:v>
      </x:c>
      <x:c r="H2080" s="2" t="str">
        <x:v>Lamp 021</x:v>
      </x:c>
      <x:c r="I2080" s="11" t="n">
        <x:v>1</x:v>
      </x:c>
      <x:c r="J2080" s="9" t="n">
        <x:v>249</x:v>
      </x:c>
      <x:c r="K2080" s="10" t="n">
        <x:v>0.1</x:v>
      </x:c>
      <x:c r="L2080" s="11" t="n">
        <x:v>0</x:v>
      </x:c>
      <x:c r="M2080" s="9" t="n">
        <x:f>IF(D2080="Completed",I2080*J2080,0)</x:f>
        <x:v>249</x:v>
      </x:c>
      <x:c r="N2080" s="9" t="n">
        <x:f>M2080*K2080</x:f>
        <x:v>24.900000000000002</x:v>
      </x:c>
      <x:c r="O2080" s="9" t="n">
        <x:f>M2080-N2080</x:f>
        <x:v>224.1</x:v>
      </x:c>
      <x:c r="P2080" s="9" t="n">
        <x:f>IF(D2080="Completed",L2080*J2080*(1-K2080),0)</x:f>
        <x:v>0</x:v>
      </x:c>
      <x:c r="Q2080" s="9" t="n">
        <x:f>O2080-P2080</x:f>
        <x:v>224.1</x:v>
      </x:c>
      <x:c r="R2080" s="11" t="n">
        <x:f>IF(D2080="Completed",I2080,0)</x:f>
        <x:v>1</x:v>
      </x:c>
      <x:c r="S2080" s="11" t="n">
        <x:f>IF(D2080="Completed",L2080,0)</x:f>
        <x:v>0</x:v>
      </x:c>
      <x:c r="T2080" s="8" t="n">
        <x:f>DATE(YEAR(C2080),MONTH(C2080),1)</x:f>
        <x:v>45717</x:v>
      </x:c>
    </x:row>
    <x:row r="2081" ht="22" customHeight="1">
      <x:c r="A2081" s="2" t="str">
        <x:v>L002077</x:v>
      </x:c>
      <x:c r="B2081" s="2" t="str">
        <x:v>O00847</x:v>
      </x:c>
      <x:c r="C2081" s="7" t="n">
        <x:v>45765</x:v>
      </x:c>
      <x:c r="D2081" s="2" t="str">
        <x:v>Completed</x:v>
      </x:c>
      <x:c r="E2081" s="2" t="str">
        <x:v>North</x:v>
      </x:c>
      <x:c r="F2081" s="2" t="str">
        <x:v>Online</x:v>
      </x:c>
      <x:c r="G2081" s="2" t="str">
        <x:v>Furniture</x:v>
      </x:c>
      <x:c r="H2081" s="2" t="str">
        <x:v>Desk 008</x:v>
      </x:c>
      <x:c r="I2081" s="11" t="n">
        <x:v>3</x:v>
      </x:c>
      <x:c r="J2081" s="9" t="n">
        <x:v>188</x:v>
      </x:c>
      <x:c r="K2081" s="10" t="n">
        <x:v>0.05</x:v>
      </x:c>
      <x:c r="L2081" s="11" t="n">
        <x:v>0</x:v>
      </x:c>
      <x:c r="M2081" s="9" t="n">
        <x:f>IF(D2081="Completed",I2081*J2081,0)</x:f>
        <x:v>564</x:v>
      </x:c>
      <x:c r="N2081" s="9" t="n">
        <x:f>M2081*K2081</x:f>
        <x:v>28.200000000000003</x:v>
      </x:c>
      <x:c r="O2081" s="9" t="n">
        <x:f>M2081-N2081</x:f>
        <x:v>535.8</x:v>
      </x:c>
      <x:c r="P2081" s="9" t="n">
        <x:f>IF(D2081="Completed",L2081*J2081*(1-K2081),0)</x:f>
        <x:v>0</x:v>
      </x:c>
      <x:c r="Q2081" s="9" t="n">
        <x:f>O2081-P2081</x:f>
        <x:v>535.8</x:v>
      </x:c>
      <x:c r="R2081" s="11" t="n">
        <x:f>IF(D2081="Completed",I2081,0)</x:f>
        <x:v>3</x:v>
      </x:c>
      <x:c r="S2081" s="11" t="n">
        <x:f>IF(D2081="Completed",L2081,0)</x:f>
        <x:v>0</x:v>
      </x:c>
      <x:c r="T2081" s="8" t="n">
        <x:f>DATE(YEAR(C2081),MONTH(C2081),1)</x:f>
        <x:v>45748</x:v>
      </x:c>
    </x:row>
    <x:row r="2082" ht="22" customHeight="1">
      <x:c r="A2082" s="2" t="str">
        <x:v>L002078</x:v>
      </x:c>
      <x:c r="B2082" s="2" t="str">
        <x:v>O00847</x:v>
      </x:c>
      <x:c r="C2082" s="7" t="n">
        <x:v>45765</x:v>
      </x:c>
      <x:c r="D2082" s="2" t="str">
        <x:v>Completed</x:v>
      </x:c>
      <x:c r="E2082" s="2" t="str">
        <x:v>North</x:v>
      </x:c>
      <x:c r="F2082" s="2" t="str">
        <x:v>Online</x:v>
      </x:c>
      <x:c r="G2082" s="2" t="str">
        <x:v>Furniture</x:v>
      </x:c>
      <x:c r="H2082" s="2" t="str">
        <x:v>Desk 008</x:v>
      </x:c>
      <x:c r="I2082" s="11" t="n">
        <x:v>1</x:v>
      </x:c>
      <x:c r="J2082" s="9" t="n">
        <x:v>188</x:v>
      </x:c>
      <x:c r="K2082" s="10" t="n">
        <x:v>0</x:v>
      </x:c>
      <x:c r="L2082" s="11" t="n">
        <x:v>0</x:v>
      </x:c>
      <x:c r="M2082" s="9" t="n">
        <x:f>IF(D2082="Completed",I2082*J2082,0)</x:f>
        <x:v>188</x:v>
      </x:c>
      <x:c r="N2082" s="9" t="n">
        <x:f>M2082*K2082</x:f>
        <x:v>0</x:v>
      </x:c>
      <x:c r="O2082" s="9" t="n">
        <x:f>M2082-N2082</x:f>
        <x:v>188</x:v>
      </x:c>
      <x:c r="P2082" s="9" t="n">
        <x:f>IF(D2082="Completed",L2082*J2082*(1-K2082),0)</x:f>
        <x:v>0</x:v>
      </x:c>
      <x:c r="Q2082" s="9" t="n">
        <x:f>O2082-P2082</x:f>
        <x:v>188</x:v>
      </x:c>
      <x:c r="R2082" s="11" t="n">
        <x:f>IF(D2082="Completed",I2082,0)</x:f>
        <x:v>1</x:v>
      </x:c>
      <x:c r="S2082" s="11" t="n">
        <x:f>IF(D2082="Completed",L2082,0)</x:f>
        <x:v>0</x:v>
      </x:c>
      <x:c r="T2082" s="8" t="n">
        <x:f>DATE(YEAR(C2082),MONTH(C2082),1)</x:f>
        <x:v>45748</x:v>
      </x:c>
    </x:row>
    <x:row r="2083" ht="22" customHeight="1">
      <x:c r="A2083" s="2" t="str">
        <x:v>L002079</x:v>
      </x:c>
      <x:c r="B2083" s="2" t="str">
        <x:v>O00848</x:v>
      </x:c>
      <x:c r="C2083" s="7" t="n">
        <x:v>45796</x:v>
      </x:c>
      <x:c r="D2083" s="2" t="str">
        <x:v>Completed</x:v>
      </x:c>
      <x:c r="E2083" s="2" t="str">
        <x:v>South</x:v>
      </x:c>
      <x:c r="F2083" s="2" t="str">
        <x:v>Online</x:v>
      </x:c>
      <x:c r="G2083" s="2" t="str">
        <x:v>Furniture</x:v>
      </x:c>
      <x:c r="H2083" s="2" t="str">
        <x:v>Desk 004</x:v>
      </x:c>
      <x:c r="I2083" s="11" t="n">
        <x:v>2</x:v>
      </x:c>
      <x:c r="J2083" s="9" t="n">
        <x:v>123</x:v>
      </x:c>
      <x:c r="K2083" s="10" t="n">
        <x:v>0.05</x:v>
      </x:c>
      <x:c r="L2083" s="11" t="n">
        <x:v>0</x:v>
      </x:c>
      <x:c r="M2083" s="9" t="n">
        <x:f>IF(D2083="Completed",I2083*J2083,0)</x:f>
        <x:v>246</x:v>
      </x:c>
      <x:c r="N2083" s="9" t="n">
        <x:f>M2083*K2083</x:f>
        <x:v>12.3</x:v>
      </x:c>
      <x:c r="O2083" s="9" t="n">
        <x:f>M2083-N2083</x:f>
        <x:v>233.7</x:v>
      </x:c>
      <x:c r="P2083" s="9" t="n">
        <x:f>IF(D2083="Completed",L2083*J2083*(1-K2083),0)</x:f>
        <x:v>0</x:v>
      </x:c>
      <x:c r="Q2083" s="9" t="n">
        <x:f>O2083-P2083</x:f>
        <x:v>233.7</x:v>
      </x:c>
      <x:c r="R2083" s="11" t="n">
        <x:f>IF(D2083="Completed",I2083,0)</x:f>
        <x:v>2</x:v>
      </x:c>
      <x:c r="S2083" s="11" t="n">
        <x:f>IF(D2083="Completed",L2083,0)</x:f>
        <x:v>0</x:v>
      </x:c>
      <x:c r="T2083" s="8" t="n">
        <x:f>DATE(YEAR(C2083),MONTH(C2083),1)</x:f>
        <x:v>45778</x:v>
      </x:c>
    </x:row>
    <x:row r="2084" ht="22" customHeight="1">
      <x:c r="A2084" s="2" t="str">
        <x:v>L002080</x:v>
      </x:c>
      <x:c r="B2084" s="2" t="str">
        <x:v>O00849</x:v>
      </x:c>
      <x:c r="C2084" s="7" t="n">
        <x:v>45713</x:v>
      </x:c>
      <x:c r="D2084" s="2" t="str">
        <x:v>Completed</x:v>
      </x:c>
      <x:c r="E2084" s="2" t="str">
        <x:v>East</x:v>
      </x:c>
      <x:c r="F2084" s="2" t="str">
        <x:v>Store</x:v>
      </x:c>
      <x:c r="G2084" s="2" t="str">
        <x:v>Furniture</x:v>
      </x:c>
      <x:c r="H2084" s="2" t="str">
        <x:v>Desk 016</x:v>
      </x:c>
      <x:c r="I2084" s="11" t="n">
        <x:v>1</x:v>
      </x:c>
      <x:c r="J2084" s="9" t="n">
        <x:v>231</x:v>
      </x:c>
      <x:c r="K2084" s="10" t="n">
        <x:v>0.05</x:v>
      </x:c>
      <x:c r="L2084" s="11" t="n">
        <x:v>0</x:v>
      </x:c>
      <x:c r="M2084" s="9" t="n">
        <x:f>IF(D2084="Completed",I2084*J2084,0)</x:f>
        <x:v>231</x:v>
      </x:c>
      <x:c r="N2084" s="9" t="n">
        <x:f>M2084*K2084</x:f>
        <x:v>11.55</x:v>
      </x:c>
      <x:c r="O2084" s="9" t="n">
        <x:f>M2084-N2084</x:f>
        <x:v>219.45</x:v>
      </x:c>
      <x:c r="P2084" s="9" t="n">
        <x:f>IF(D2084="Completed",L2084*J2084*(1-K2084),0)</x:f>
        <x:v>0</x:v>
      </x:c>
      <x:c r="Q2084" s="9" t="n">
        <x:f>O2084-P2084</x:f>
        <x:v>219.45</x:v>
      </x:c>
      <x:c r="R2084" s="11" t="n">
        <x:f>IF(D2084="Completed",I2084,0)</x:f>
        <x:v>1</x:v>
      </x:c>
      <x:c r="S2084" s="11" t="n">
        <x:f>IF(D2084="Completed",L2084,0)</x:f>
        <x:v>0</x:v>
      </x:c>
      <x:c r="T2084" s="8" t="n">
        <x:f>DATE(YEAR(C2084),MONTH(C2084),1)</x:f>
        <x:v>45689</x:v>
      </x:c>
    </x:row>
    <x:row r="2085" ht="22" customHeight="1">
      <x:c r="A2085" s="2" t="str">
        <x:v>L002081</x:v>
      </x:c>
      <x:c r="B2085" s="2" t="str">
        <x:v>O00849</x:v>
      </x:c>
      <x:c r="C2085" s="7" t="n">
        <x:v>45713</x:v>
      </x:c>
      <x:c r="D2085" s="2" t="str">
        <x:v>Completed</x:v>
      </x:c>
      <x:c r="E2085" s="2" t="str">
        <x:v>East</x:v>
      </x:c>
      <x:c r="F2085" s="2" t="str">
        <x:v>Store</x:v>
      </x:c>
      <x:c r="G2085" s="2" t="str">
        <x:v>Furniture</x:v>
      </x:c>
      <x:c r="H2085" s="2" t="str">
        <x:v>Chair 002</x:v>
      </x:c>
      <x:c r="I2085" s="11" t="n">
        <x:v>2</x:v>
      </x:c>
      <x:c r="J2085" s="9" t="n">
        <x:v>284</x:v>
      </x:c>
      <x:c r="K2085" s="10" t="n">
        <x:v>0.1</x:v>
      </x:c>
      <x:c r="L2085" s="11" t="n">
        <x:v>0</x:v>
      </x:c>
      <x:c r="M2085" s="9" t="n">
        <x:f>IF(D2085="Completed",I2085*J2085,0)</x:f>
        <x:v>568</x:v>
      </x:c>
      <x:c r="N2085" s="9" t="n">
        <x:f>M2085*K2085</x:f>
        <x:v>56.800000000000004</x:v>
      </x:c>
      <x:c r="O2085" s="9" t="n">
        <x:f>M2085-N2085</x:f>
        <x:v>511.2</x:v>
      </x:c>
      <x:c r="P2085" s="9" t="n">
        <x:f>IF(D2085="Completed",L2085*J2085*(1-K2085),0)</x:f>
        <x:v>0</x:v>
      </x:c>
      <x:c r="Q2085" s="9" t="n">
        <x:f>O2085-P2085</x:f>
        <x:v>511.2</x:v>
      </x:c>
      <x:c r="R2085" s="11" t="n">
        <x:f>IF(D2085="Completed",I2085,0)</x:f>
        <x:v>2</x:v>
      </x:c>
      <x:c r="S2085" s="11" t="n">
        <x:f>IF(D2085="Completed",L2085,0)</x:f>
        <x:v>0</x:v>
      </x:c>
      <x:c r="T2085" s="8" t="n">
        <x:f>DATE(YEAR(C2085),MONTH(C2085),1)</x:f>
        <x:v>45689</x:v>
      </x:c>
    </x:row>
    <x:row r="2086" ht="22" customHeight="1">
      <x:c r="A2086" s="2" t="str">
        <x:v>L002082</x:v>
      </x:c>
      <x:c r="B2086" s="2" t="str">
        <x:v>O00850</x:v>
      </x:c>
      <x:c r="C2086" s="7" t="n">
        <x:v>45979</x:v>
      </x:c>
      <x:c r="D2086" s="2" t="str">
        <x:v>Completed</x:v>
      </x:c>
      <x:c r="E2086" s="2" t="str">
        <x:v>North</x:v>
      </x:c>
      <x:c r="F2086" s="2" t="str">
        <x:v>Online</x:v>
      </x:c>
      <x:c r="G2086" s="2" t="str">
        <x:v>Furniture</x:v>
      </x:c>
      <x:c r="H2086" s="2" t="str">
        <x:v>Desk 024</x:v>
      </x:c>
      <x:c r="I2086" s="11" t="n">
        <x:v>4</x:v>
      </x:c>
      <x:c r="J2086" s="9" t="n">
        <x:v>81</x:v>
      </x:c>
      <x:c r="K2086" s="10" t="n">
        <x:v>0.05</x:v>
      </x:c>
      <x:c r="L2086" s="11" t="n">
        <x:v>0</x:v>
      </x:c>
      <x:c r="M2086" s="9" t="n">
        <x:f>IF(D2086="Completed",I2086*J2086,0)</x:f>
        <x:v>324</x:v>
      </x:c>
      <x:c r="N2086" s="9" t="n">
        <x:f>M2086*K2086</x:f>
        <x:v>16.2</x:v>
      </x:c>
      <x:c r="O2086" s="9" t="n">
        <x:f>M2086-N2086</x:f>
        <x:v>307.8</x:v>
      </x:c>
      <x:c r="P2086" s="9" t="n">
        <x:f>IF(D2086="Completed",L2086*J2086*(1-K2086),0)</x:f>
        <x:v>0</x:v>
      </x:c>
      <x:c r="Q2086" s="9" t="n">
        <x:f>O2086-P2086</x:f>
        <x:v>307.8</x:v>
      </x:c>
      <x:c r="R2086" s="11" t="n">
        <x:f>IF(D2086="Completed",I2086,0)</x:f>
        <x:v>4</x:v>
      </x:c>
      <x:c r="S2086" s="11" t="n">
        <x:f>IF(D2086="Completed",L2086,0)</x:f>
        <x:v>0</x:v>
      </x:c>
      <x:c r="T2086" s="8" t="n">
        <x:f>DATE(YEAR(C2086),MONTH(C2086),1)</x:f>
        <x:v>45962</x:v>
      </x:c>
    </x:row>
    <x:row r="2087" ht="22" customHeight="1">
      <x:c r="A2087" s="2" t="str">
        <x:v>L002083</x:v>
      </x:c>
      <x:c r="B2087" s="2" t="str">
        <x:v>O00850</x:v>
      </x:c>
      <x:c r="C2087" s="7" t="n">
        <x:v>45979</x:v>
      </x:c>
      <x:c r="D2087" s="2" t="str">
        <x:v>Completed</x:v>
      </x:c>
      <x:c r="E2087" s="2" t="str">
        <x:v>North</x:v>
      </x:c>
      <x:c r="F2087" s="2" t="str">
        <x:v>Online</x:v>
      </x:c>
      <x:c r="G2087" s="2" t="str">
        <x:v>Furniture</x:v>
      </x:c>
      <x:c r="H2087" s="2" t="str">
        <x:v>Chair 014</x:v>
      </x:c>
      <x:c r="I2087" s="11" t="n">
        <x:v>5</x:v>
      </x:c>
      <x:c r="J2087" s="9" t="n">
        <x:v>294</x:v>
      </x:c>
      <x:c r="K2087" s="10" t="n">
        <x:v>0.05</x:v>
      </x:c>
      <x:c r="L2087" s="11" t="n">
        <x:v>0</x:v>
      </x:c>
      <x:c r="M2087" s="9" t="n">
        <x:f>IF(D2087="Completed",I2087*J2087,0)</x:f>
        <x:v>1470</x:v>
      </x:c>
      <x:c r="N2087" s="9" t="n">
        <x:f>M2087*K2087</x:f>
        <x:v>73.5</x:v>
      </x:c>
      <x:c r="O2087" s="9" t="n">
        <x:f>M2087-N2087</x:f>
        <x:v>1396.5</x:v>
      </x:c>
      <x:c r="P2087" s="9" t="n">
        <x:f>IF(D2087="Completed",L2087*J2087*(1-K2087),0)</x:f>
        <x:v>0</x:v>
      </x:c>
      <x:c r="Q2087" s="9" t="n">
        <x:f>O2087-P2087</x:f>
        <x:v>1396.5</x:v>
      </x:c>
      <x:c r="R2087" s="11" t="n">
        <x:f>IF(D2087="Completed",I2087,0)</x:f>
        <x:v>5</x:v>
      </x:c>
      <x:c r="S2087" s="11" t="n">
        <x:f>IF(D2087="Completed",L2087,0)</x:f>
        <x:v>0</x:v>
      </x:c>
      <x:c r="T2087" s="8" t="n">
        <x:f>DATE(YEAR(C2087),MONTH(C2087),1)</x:f>
        <x:v>45962</x:v>
      </x:c>
    </x:row>
    <x:row r="2088" ht="22" customHeight="1">
      <x:c r="A2088" s="2" t="str">
        <x:v>L002084</x:v>
      </x:c>
      <x:c r="B2088" s="2" t="str">
        <x:v>O00851</x:v>
      </x:c>
      <x:c r="C2088" s="7" t="n">
        <x:v>45919</x:v>
      </x:c>
      <x:c r="D2088" s="2" t="str">
        <x:v>Completed</x:v>
      </x:c>
      <x:c r="E2088" s="2" t="str">
        <x:v>East</x:v>
      </x:c>
      <x:c r="F2088" s="2" t="str">
        <x:v>Store</x:v>
      </x:c>
      <x:c r="G2088" s="2" t="str">
        <x:v>Furniture</x:v>
      </x:c>
      <x:c r="H2088" s="2" t="str">
        <x:v>Desk 008</x:v>
      </x:c>
      <x:c r="I2088" s="11" t="n">
        <x:v>5</x:v>
      </x:c>
      <x:c r="J2088" s="9" t="n">
        <x:v>188</x:v>
      </x:c>
      <x:c r="K2088" s="10" t="n">
        <x:v>0.1</x:v>
      </x:c>
      <x:c r="L2088" s="11" t="n">
        <x:v>0</x:v>
      </x:c>
      <x:c r="M2088" s="9" t="n">
        <x:f>IF(D2088="Completed",I2088*J2088,0)</x:f>
        <x:v>940</x:v>
      </x:c>
      <x:c r="N2088" s="9" t="n">
        <x:f>M2088*K2088</x:f>
        <x:v>94</x:v>
      </x:c>
      <x:c r="O2088" s="9" t="n">
        <x:f>M2088-N2088</x:f>
        <x:v>846</x:v>
      </x:c>
      <x:c r="P2088" s="9" t="n">
        <x:f>IF(D2088="Completed",L2088*J2088*(1-K2088),0)</x:f>
        <x:v>0</x:v>
      </x:c>
      <x:c r="Q2088" s="9" t="n">
        <x:f>O2088-P2088</x:f>
        <x:v>846</x:v>
      </x:c>
      <x:c r="R2088" s="11" t="n">
        <x:f>IF(D2088="Completed",I2088,0)</x:f>
        <x:v>5</x:v>
      </x:c>
      <x:c r="S2088" s="11" t="n">
        <x:f>IF(D2088="Completed",L2088,0)</x:f>
        <x:v>0</x:v>
      </x:c>
      <x:c r="T2088" s="8" t="n">
        <x:f>DATE(YEAR(C2088),MONTH(C2088),1)</x:f>
        <x:v>45901</x:v>
      </x:c>
    </x:row>
    <x:row r="2089" ht="22" customHeight="1">
      <x:c r="A2089" s="2" t="str">
        <x:v>L002085</x:v>
      </x:c>
      <x:c r="B2089" s="2" t="str">
        <x:v>O00851</x:v>
      </x:c>
      <x:c r="C2089" s="7" t="n">
        <x:v>45919</x:v>
      </x:c>
      <x:c r="D2089" s="2" t="str">
        <x:v>Completed</x:v>
      </x:c>
      <x:c r="E2089" s="2" t="str">
        <x:v>East</x:v>
      </x:c>
      <x:c r="F2089" s="2" t="str">
        <x:v>Store</x:v>
      </x:c>
      <x:c r="G2089" s="2" t="str">
        <x:v>Furniture</x:v>
      </x:c>
      <x:c r="H2089" s="2" t="str">
        <x:v>Desk 004</x:v>
      </x:c>
      <x:c r="I2089" s="11" t="n">
        <x:v>5</x:v>
      </x:c>
      <x:c r="J2089" s="9" t="n">
        <x:v>123</x:v>
      </x:c>
      <x:c r="K2089" s="10" t="n">
        <x:v>0.2</x:v>
      </x:c>
      <x:c r="L2089" s="11" t="n">
        <x:v>0</x:v>
      </x:c>
      <x:c r="M2089" s="9" t="n">
        <x:f>IF(D2089="Completed",I2089*J2089,0)</x:f>
        <x:v>615</x:v>
      </x:c>
      <x:c r="N2089" s="9" t="n">
        <x:f>M2089*K2089</x:f>
        <x:v>123</x:v>
      </x:c>
      <x:c r="O2089" s="9" t="n">
        <x:f>M2089-N2089</x:f>
        <x:v>492</x:v>
      </x:c>
      <x:c r="P2089" s="9" t="n">
        <x:f>IF(D2089="Completed",L2089*J2089*(1-K2089),0)</x:f>
        <x:v>0</x:v>
      </x:c>
      <x:c r="Q2089" s="9" t="n">
        <x:f>O2089-P2089</x:f>
        <x:v>492</x:v>
      </x:c>
      <x:c r="R2089" s="11" t="n">
        <x:f>IF(D2089="Completed",I2089,0)</x:f>
        <x:v>5</x:v>
      </x:c>
      <x:c r="S2089" s="11" t="n">
        <x:f>IF(D2089="Completed",L2089,0)</x:f>
        <x:v>0</x:v>
      </x:c>
      <x:c r="T2089" s="8" t="n">
        <x:f>DATE(YEAR(C2089),MONTH(C2089),1)</x:f>
        <x:v>45901</x:v>
      </x:c>
    </x:row>
    <x:row r="2090" ht="22" customHeight="1">
      <x:c r="A2090" s="2" t="str">
        <x:v>L002086</x:v>
      </x:c>
      <x:c r="B2090" s="2" t="str">
        <x:v>O00852</x:v>
      </x:c>
      <x:c r="C2090" s="7" t="n">
        <x:v>45987</x:v>
      </x:c>
      <x:c r="D2090" s="2" t="str">
        <x:v>Cancelled</x:v>
      </x:c>
      <x:c r="E2090" s="2" t="str">
        <x:v>North</x:v>
      </x:c>
      <x:c r="F2090" s="2" t="str">
        <x:v>Online</x:v>
      </x:c>
      <x:c r="G2090" s="2" t="str">
        <x:v>Lighting</x:v>
      </x:c>
      <x:c r="H2090" s="2" t="str">
        <x:v>Lamp 013</x:v>
      </x:c>
      <x:c r="I2090" s="11" t="n">
        <x:v>4</x:v>
      </x:c>
      <x:c r="J2090" s="9" t="n">
        <x:v>271</x:v>
      </x:c>
      <x:c r="K2090" s="10" t="n">
        <x:v>0.05</x:v>
      </x:c>
      <x:c r="L2090" s="11" t="n">
        <x:v>0</x:v>
      </x:c>
      <x:c r="M2090" s="9" t="n">
        <x:f>IF(D2090="Completed",I2090*J2090,0)</x:f>
        <x:v>0</x:v>
      </x:c>
      <x:c r="N2090" s="9" t="n">
        <x:f>M2090*K2090</x:f>
        <x:v>0</x:v>
      </x:c>
      <x:c r="O2090" s="9" t="n">
        <x:f>M2090-N2090</x:f>
        <x:v>0</x:v>
      </x:c>
      <x:c r="P2090" s="9" t="n">
        <x:f>IF(D2090="Completed",L2090*J2090*(1-K2090),0)</x:f>
        <x:v>0</x:v>
      </x:c>
      <x:c r="Q2090" s="9" t="n">
        <x:f>O2090-P2090</x:f>
        <x:v>0</x:v>
      </x:c>
      <x:c r="R2090" s="11" t="n">
        <x:f>IF(D2090="Completed",I2090,0)</x:f>
        <x:v>0</x:v>
      </x:c>
      <x:c r="S2090" s="11" t="n">
        <x:f>IF(D2090="Completed",L2090,0)</x:f>
        <x:v>0</x:v>
      </x:c>
      <x:c r="T2090" s="8" t="n">
        <x:f>DATE(YEAR(C2090),MONTH(C2090),1)</x:f>
        <x:v>45962</x:v>
      </x:c>
    </x:row>
    <x:row r="2091" ht="22" customHeight="1">
      <x:c r="A2091" s="2" t="str">
        <x:v>L002087</x:v>
      </x:c>
      <x:c r="B2091" s="2" t="str">
        <x:v>O00852</x:v>
      </x:c>
      <x:c r="C2091" s="7" t="n">
        <x:v>45987</x:v>
      </x:c>
      <x:c r="D2091" s="2" t="str">
        <x:v>Cancelled</x:v>
      </x:c>
      <x:c r="E2091" s="2" t="str">
        <x:v>North</x:v>
      </x:c>
      <x:c r="F2091" s="2" t="str">
        <x:v>Online</x:v>
      </x:c>
      <x:c r="G2091" s="2" t="str">
        <x:v>Storage</x:v>
      </x:c>
      <x:c r="H2091" s="2" t="str">
        <x:v>Shelf 011</x:v>
      </x:c>
      <x:c r="I2091" s="11" t="n">
        <x:v>5</x:v>
      </x:c>
      <x:c r="J2091" s="9" t="n">
        <x:v>80</x:v>
      </x:c>
      <x:c r="K2091" s="10" t="n">
        <x:v>0.2</x:v>
      </x:c>
      <x:c r="L2091" s="11" t="n">
        <x:v>0</x:v>
      </x:c>
      <x:c r="M2091" s="9" t="n">
        <x:f>IF(D2091="Completed",I2091*J2091,0)</x:f>
        <x:v>0</x:v>
      </x:c>
      <x:c r="N2091" s="9" t="n">
        <x:f>M2091*K2091</x:f>
        <x:v>0</x:v>
      </x:c>
      <x:c r="O2091" s="9" t="n">
        <x:f>M2091-N2091</x:f>
        <x:v>0</x:v>
      </x:c>
      <x:c r="P2091" s="9" t="n">
        <x:f>IF(D2091="Completed",L2091*J2091*(1-K2091),0)</x:f>
        <x:v>0</x:v>
      </x:c>
      <x:c r="Q2091" s="9" t="n">
        <x:f>O2091-P2091</x:f>
        <x:v>0</x:v>
      </x:c>
      <x:c r="R2091" s="11" t="n">
        <x:f>IF(D2091="Completed",I2091,0)</x:f>
        <x:v>0</x:v>
      </x:c>
      <x:c r="S2091" s="11" t="n">
        <x:f>IF(D2091="Completed",L2091,0)</x:f>
        <x:v>0</x:v>
      </x:c>
      <x:c r="T2091" s="8" t="n">
        <x:f>DATE(YEAR(C2091),MONTH(C2091),1)</x:f>
        <x:v>45962</x:v>
      </x:c>
    </x:row>
    <x:row r="2092" ht="22" customHeight="1">
      <x:c r="A2092" s="2" t="str">
        <x:v>L002088</x:v>
      </x:c>
      <x:c r="B2092" s="2" t="str">
        <x:v>O00853</x:v>
      </x:c>
      <x:c r="C2092" s="7" t="n">
        <x:v>45999</x:v>
      </x:c>
      <x:c r="D2092" s="2" t="str">
        <x:v>Completed</x:v>
      </x:c>
      <x:c r="E2092" s="2" t="str">
        <x:v>South</x:v>
      </x:c>
      <x:c r="F2092" s="2" t="str">
        <x:v>Online</x:v>
      </x:c>
      <x:c r="G2092" s="2" t="str">
        <x:v>Lighting</x:v>
      </x:c>
      <x:c r="H2092" s="2" t="str">
        <x:v>Lamp 001</x:v>
      </x:c>
      <x:c r="I2092" s="11" t="n">
        <x:v>3</x:v>
      </x:c>
      <x:c r="J2092" s="9" t="n">
        <x:v>122</x:v>
      </x:c>
      <x:c r="K2092" s="10" t="n">
        <x:v>0</x:v>
      </x:c>
      <x:c r="L2092" s="11" t="n">
        <x:v>0</x:v>
      </x:c>
      <x:c r="M2092" s="9" t="n">
        <x:f>IF(D2092="Completed",I2092*J2092,0)</x:f>
        <x:v>366</x:v>
      </x:c>
      <x:c r="N2092" s="9" t="n">
        <x:f>M2092*K2092</x:f>
        <x:v>0</x:v>
      </x:c>
      <x:c r="O2092" s="9" t="n">
        <x:f>M2092-N2092</x:f>
        <x:v>366</x:v>
      </x:c>
      <x:c r="P2092" s="9" t="n">
        <x:f>IF(D2092="Completed",L2092*J2092*(1-K2092),0)</x:f>
        <x:v>0</x:v>
      </x:c>
      <x:c r="Q2092" s="9" t="n">
        <x:f>O2092-P2092</x:f>
        <x:v>366</x:v>
      </x:c>
      <x:c r="R2092" s="11" t="n">
        <x:f>IF(D2092="Completed",I2092,0)</x:f>
        <x:v>3</x:v>
      </x:c>
      <x:c r="S2092" s="11" t="n">
        <x:f>IF(D2092="Completed",L2092,0)</x:f>
        <x:v>0</x:v>
      </x:c>
      <x:c r="T2092" s="8" t="n">
        <x:f>DATE(YEAR(C2092),MONTH(C2092),1)</x:f>
        <x:v>45992</x:v>
      </x:c>
    </x:row>
    <x:row r="2093" ht="22" customHeight="1">
      <x:c r="A2093" s="2" t="str">
        <x:v>L002089</x:v>
      </x:c>
      <x:c r="B2093" s="2" t="str">
        <x:v>O00854</x:v>
      </x:c>
      <x:c r="C2093" s="7" t="n">
        <x:v>45902</x:v>
      </x:c>
      <x:c r="D2093" s="2" t="str">
        <x:v>Completed</x:v>
      </x:c>
      <x:c r="E2093" s="2" t="str">
        <x:v>West</x:v>
      </x:c>
      <x:c r="F2093" s="2" t="str">
        <x:v>Online</x:v>
      </x:c>
      <x:c r="G2093" s="2" t="str">
        <x:v>Furniture</x:v>
      </x:c>
      <x:c r="H2093" s="2" t="str">
        <x:v>Desk 008</x:v>
      </x:c>
      <x:c r="I2093" s="11" t="n">
        <x:v>3</x:v>
      </x:c>
      <x:c r="J2093" s="9" t="n">
        <x:v>188</x:v>
      </x:c>
      <x:c r="K2093" s="10" t="n">
        <x:v>0</x:v>
      </x:c>
      <x:c r="L2093" s="11" t="n">
        <x:v>0</x:v>
      </x:c>
      <x:c r="M2093" s="9" t="n">
        <x:f>IF(D2093="Completed",I2093*J2093,0)</x:f>
        <x:v>564</x:v>
      </x:c>
      <x:c r="N2093" s="9" t="n">
        <x:f>M2093*K2093</x:f>
        <x:v>0</x:v>
      </x:c>
      <x:c r="O2093" s="9" t="n">
        <x:f>M2093-N2093</x:f>
        <x:v>564</x:v>
      </x:c>
      <x:c r="P2093" s="9" t="n">
        <x:f>IF(D2093="Completed",L2093*J2093*(1-K2093),0)</x:f>
        <x:v>0</x:v>
      </x:c>
      <x:c r="Q2093" s="9" t="n">
        <x:f>O2093-P2093</x:f>
        <x:v>564</x:v>
      </x:c>
      <x:c r="R2093" s="11" t="n">
        <x:f>IF(D2093="Completed",I2093,0)</x:f>
        <x:v>3</x:v>
      </x:c>
      <x:c r="S2093" s="11" t="n">
        <x:f>IF(D2093="Completed",L2093,0)</x:f>
        <x:v>0</x:v>
      </x:c>
      <x:c r="T2093" s="8" t="n">
        <x:f>DATE(YEAR(C2093),MONTH(C2093),1)</x:f>
        <x:v>45901</x:v>
      </x:c>
    </x:row>
    <x:row r="2094" ht="22" customHeight="1">
      <x:c r="A2094" s="2" t="str">
        <x:v>L002090</x:v>
      </x:c>
      <x:c r="B2094" s="2" t="str">
        <x:v>O00854</x:v>
      </x:c>
      <x:c r="C2094" s="7" t="n">
        <x:v>45902</x:v>
      </x:c>
      <x:c r="D2094" s="2" t="str">
        <x:v>Completed</x:v>
      </x:c>
      <x:c r="E2094" s="2" t="str">
        <x:v>West</x:v>
      </x:c>
      <x:c r="F2094" s="2" t="str">
        <x:v>Online</x:v>
      </x:c>
      <x:c r="G2094" s="2" t="str">
        <x:v>Furniture</x:v>
      </x:c>
      <x:c r="H2094" s="2" t="str">
        <x:v>Desk 024</x:v>
      </x:c>
      <x:c r="I2094" s="11" t="n">
        <x:v>3</x:v>
      </x:c>
      <x:c r="J2094" s="9" t="n">
        <x:v>81</x:v>
      </x:c>
      <x:c r="K2094" s="10" t="n">
        <x:v>0</x:v>
      </x:c>
      <x:c r="L2094" s="11" t="n">
        <x:v>0</x:v>
      </x:c>
      <x:c r="M2094" s="9" t="n">
        <x:f>IF(D2094="Completed",I2094*J2094,0)</x:f>
        <x:v>243</x:v>
      </x:c>
      <x:c r="N2094" s="9" t="n">
        <x:f>M2094*K2094</x:f>
        <x:v>0</x:v>
      </x:c>
      <x:c r="O2094" s="9" t="n">
        <x:f>M2094-N2094</x:f>
        <x:v>243</x:v>
      </x:c>
      <x:c r="P2094" s="9" t="n">
        <x:f>IF(D2094="Completed",L2094*J2094*(1-K2094),0)</x:f>
        <x:v>0</x:v>
      </x:c>
      <x:c r="Q2094" s="9" t="n">
        <x:f>O2094-P2094</x:f>
        <x:v>243</x:v>
      </x:c>
      <x:c r="R2094" s="11" t="n">
        <x:f>IF(D2094="Completed",I2094,0)</x:f>
        <x:v>3</x:v>
      </x:c>
      <x:c r="S2094" s="11" t="n">
        <x:f>IF(D2094="Completed",L2094,0)</x:f>
        <x:v>0</x:v>
      </x:c>
      <x:c r="T2094" s="8" t="n">
        <x:f>DATE(YEAR(C2094),MONTH(C2094),1)</x:f>
        <x:v>45901</x:v>
      </x:c>
    </x:row>
    <x:row r="2095" ht="22" customHeight="1">
      <x:c r="A2095" s="2" t="str">
        <x:v>L002091</x:v>
      </x:c>
      <x:c r="B2095" s="2" t="str">
        <x:v>O00855</x:v>
      </x:c>
      <x:c r="C2095" s="7" t="n">
        <x:v>45752</x:v>
      </x:c>
      <x:c r="D2095" s="2" t="str">
        <x:v>Completed</x:v>
      </x:c>
      <x:c r="E2095" s="2" t="str">
        <x:v>South</x:v>
      </x:c>
      <x:c r="F2095" s="2" t="str">
        <x:v>Online</x:v>
      </x:c>
      <x:c r="G2095" s="2" t="str">
        <x:v>Furniture</x:v>
      </x:c>
      <x:c r="H2095" s="2" t="str">
        <x:v>Desk 020</x:v>
      </x:c>
      <x:c r="I2095" s="11" t="n">
        <x:v>2</x:v>
      </x:c>
      <x:c r="J2095" s="9" t="n">
        <x:v>189</x:v>
      </x:c>
      <x:c r="K2095" s="10" t="n">
        <x:v>0</x:v>
      </x:c>
      <x:c r="L2095" s="11" t="n">
        <x:v>0</x:v>
      </x:c>
      <x:c r="M2095" s="9" t="n">
        <x:f>IF(D2095="Completed",I2095*J2095,0)</x:f>
        <x:v>378</x:v>
      </x:c>
      <x:c r="N2095" s="9" t="n">
        <x:f>M2095*K2095</x:f>
        <x:v>0</x:v>
      </x:c>
      <x:c r="O2095" s="9" t="n">
        <x:f>M2095-N2095</x:f>
        <x:v>378</x:v>
      </x:c>
      <x:c r="P2095" s="9" t="n">
        <x:f>IF(D2095="Completed",L2095*J2095*(1-K2095),0)</x:f>
        <x:v>0</x:v>
      </x:c>
      <x:c r="Q2095" s="9" t="n">
        <x:f>O2095-P2095</x:f>
        <x:v>378</x:v>
      </x:c>
      <x:c r="R2095" s="11" t="n">
        <x:f>IF(D2095="Completed",I2095,0)</x:f>
        <x:v>2</x:v>
      </x:c>
      <x:c r="S2095" s="11" t="n">
        <x:f>IF(D2095="Completed",L2095,0)</x:f>
        <x:v>0</x:v>
      </x:c>
      <x:c r="T2095" s="8" t="n">
        <x:f>DATE(YEAR(C2095),MONTH(C2095),1)</x:f>
        <x:v>45748</x:v>
      </x:c>
    </x:row>
    <x:row r="2096" ht="22" customHeight="1">
      <x:c r="A2096" s="2" t="str">
        <x:v>L002092</x:v>
      </x:c>
      <x:c r="B2096" s="2" t="str">
        <x:v>O00855</x:v>
      </x:c>
      <x:c r="C2096" s="7" t="n">
        <x:v>45752</x:v>
      </x:c>
      <x:c r="D2096" s="2" t="str">
        <x:v>Completed</x:v>
      </x:c>
      <x:c r="E2096" s="2" t="str">
        <x:v>South</x:v>
      </x:c>
      <x:c r="F2096" s="2" t="str">
        <x:v>Online</x:v>
      </x:c>
      <x:c r="G2096" s="2" t="str">
        <x:v>Furniture</x:v>
      </x:c>
      <x:c r="H2096" s="2" t="str">
        <x:v>Desk 008</x:v>
      </x:c>
      <x:c r="I2096" s="11" t="n">
        <x:v>4</x:v>
      </x:c>
      <x:c r="J2096" s="9" t="n">
        <x:v>188</x:v>
      </x:c>
      <x:c r="K2096" s="10" t="n">
        <x:v>0</x:v>
      </x:c>
      <x:c r="L2096" s="11" t="n">
        <x:v>0</x:v>
      </x:c>
      <x:c r="M2096" s="9" t="n">
        <x:f>IF(D2096="Completed",I2096*J2096,0)</x:f>
        <x:v>752</x:v>
      </x:c>
      <x:c r="N2096" s="9" t="n">
        <x:f>M2096*K2096</x:f>
        <x:v>0</x:v>
      </x:c>
      <x:c r="O2096" s="9" t="n">
        <x:f>M2096-N2096</x:f>
        <x:v>752</x:v>
      </x:c>
      <x:c r="P2096" s="9" t="n">
        <x:f>IF(D2096="Completed",L2096*J2096*(1-K2096),0)</x:f>
        <x:v>0</x:v>
      </x:c>
      <x:c r="Q2096" s="9" t="n">
        <x:f>O2096-P2096</x:f>
        <x:v>752</x:v>
      </x:c>
      <x:c r="R2096" s="11" t="n">
        <x:f>IF(D2096="Completed",I2096,0)</x:f>
        <x:v>4</x:v>
      </x:c>
      <x:c r="S2096" s="11" t="n">
        <x:f>IF(D2096="Completed",L2096,0)</x:f>
        <x:v>0</x:v>
      </x:c>
      <x:c r="T2096" s="8" t="n">
        <x:f>DATE(YEAR(C2096),MONTH(C2096),1)</x:f>
        <x:v>45748</x:v>
      </x:c>
    </x:row>
    <x:row r="2097" ht="22" customHeight="1">
      <x:c r="A2097" s="2" t="str">
        <x:v>L002093</x:v>
      </x:c>
      <x:c r="B2097" s="2" t="str">
        <x:v>O00855</x:v>
      </x:c>
      <x:c r="C2097" s="7" t="n">
        <x:v>45752</x:v>
      </x:c>
      <x:c r="D2097" s="2" t="str">
        <x:v>Completed</x:v>
      </x:c>
      <x:c r="E2097" s="2" t="str">
        <x:v>South</x:v>
      </x:c>
      <x:c r="F2097" s="2" t="str">
        <x:v>Online</x:v>
      </x:c>
      <x:c r="G2097" s="2" t="str">
        <x:v>Lighting</x:v>
      </x:c>
      <x:c r="H2097" s="2" t="str">
        <x:v>Lamp 005</x:v>
      </x:c>
      <x:c r="I2097" s="11" t="n">
        <x:v>3</x:v>
      </x:c>
      <x:c r="J2097" s="9" t="n">
        <x:v>65</x:v>
      </x:c>
      <x:c r="K2097" s="10" t="n">
        <x:v>0.05</x:v>
      </x:c>
      <x:c r="L2097" s="11" t="n">
        <x:v>0</x:v>
      </x:c>
      <x:c r="M2097" s="9" t="n">
        <x:f>IF(D2097="Completed",I2097*J2097,0)</x:f>
        <x:v>195</x:v>
      </x:c>
      <x:c r="N2097" s="9" t="n">
        <x:f>M2097*K2097</x:f>
        <x:v>9.75</x:v>
      </x:c>
      <x:c r="O2097" s="9" t="n">
        <x:f>M2097-N2097</x:f>
        <x:v>185.25</x:v>
      </x:c>
      <x:c r="P2097" s="9" t="n">
        <x:f>IF(D2097="Completed",L2097*J2097*(1-K2097),0)</x:f>
        <x:v>0</x:v>
      </x:c>
      <x:c r="Q2097" s="9" t="n">
        <x:f>O2097-P2097</x:f>
        <x:v>185.25</x:v>
      </x:c>
      <x:c r="R2097" s="11" t="n">
        <x:f>IF(D2097="Completed",I2097,0)</x:f>
        <x:v>3</x:v>
      </x:c>
      <x:c r="S2097" s="11" t="n">
        <x:f>IF(D2097="Completed",L2097,0)</x:f>
        <x:v>0</x:v>
      </x:c>
      <x:c r="T2097" s="8" t="n">
        <x:f>DATE(YEAR(C2097),MONTH(C2097),1)</x:f>
        <x:v>45748</x:v>
      </x:c>
    </x:row>
    <x:row r="2098" ht="22" customHeight="1">
      <x:c r="A2098" s="2" t="str">
        <x:v>L002094</x:v>
      </x:c>
      <x:c r="B2098" s="2" t="str">
        <x:v>O00855</x:v>
      </x:c>
      <x:c r="C2098" s="7" t="n">
        <x:v>45752</x:v>
      </x:c>
      <x:c r="D2098" s="2" t="str">
        <x:v>Completed</x:v>
      </x:c>
      <x:c r="E2098" s="2" t="str">
        <x:v>South</x:v>
      </x:c>
      <x:c r="F2098" s="2" t="str">
        <x:v>Online</x:v>
      </x:c>
      <x:c r="G2098" s="2" t="str">
        <x:v>Furniture</x:v>
      </x:c>
      <x:c r="H2098" s="2" t="str">
        <x:v>Desk 024</x:v>
      </x:c>
      <x:c r="I2098" s="11" t="n">
        <x:v>4</x:v>
      </x:c>
      <x:c r="J2098" s="9" t="n">
        <x:v>81</x:v>
      </x:c>
      <x:c r="K2098" s="10" t="n">
        <x:v>0.05</x:v>
      </x:c>
      <x:c r="L2098" s="11" t="n">
        <x:v>0</x:v>
      </x:c>
      <x:c r="M2098" s="9" t="n">
        <x:f>IF(D2098="Completed",I2098*J2098,0)</x:f>
        <x:v>324</x:v>
      </x:c>
      <x:c r="N2098" s="9" t="n">
        <x:f>M2098*K2098</x:f>
        <x:v>16.2</x:v>
      </x:c>
      <x:c r="O2098" s="9" t="n">
        <x:f>M2098-N2098</x:f>
        <x:v>307.8</x:v>
      </x:c>
      <x:c r="P2098" s="9" t="n">
        <x:f>IF(D2098="Completed",L2098*J2098*(1-K2098),0)</x:f>
        <x:v>0</x:v>
      </x:c>
      <x:c r="Q2098" s="9" t="n">
        <x:f>O2098-P2098</x:f>
        <x:v>307.8</x:v>
      </x:c>
      <x:c r="R2098" s="11" t="n">
        <x:f>IF(D2098="Completed",I2098,0)</x:f>
        <x:v>4</x:v>
      </x:c>
      <x:c r="S2098" s="11" t="n">
        <x:f>IF(D2098="Completed",L2098,0)</x:f>
        <x:v>0</x:v>
      </x:c>
      <x:c r="T2098" s="8" t="n">
        <x:f>DATE(YEAR(C2098),MONTH(C2098),1)</x:f>
        <x:v>45748</x:v>
      </x:c>
    </x:row>
    <x:row r="2099" ht="22" customHeight="1">
      <x:c r="A2099" s="2" t="str">
        <x:v>L002095</x:v>
      </x:c>
      <x:c r="B2099" s="2" t="str">
        <x:v>O00856</x:v>
      </x:c>
      <x:c r="C2099" s="7" t="n">
        <x:v>45781</x:v>
      </x:c>
      <x:c r="D2099" s="2" t="str">
        <x:v>Completed</x:v>
      </x:c>
      <x:c r="E2099" s="2" t="str">
        <x:v>South</x:v>
      </x:c>
      <x:c r="F2099" s="2" t="str">
        <x:v>Store</x:v>
      </x:c>
      <x:c r="G2099" s="2" t="str">
        <x:v>Furniture</x:v>
      </x:c>
      <x:c r="H2099" s="2" t="str">
        <x:v>Chair 014</x:v>
      </x:c>
      <x:c r="I2099" s="11" t="n">
        <x:v>3</x:v>
      </x:c>
      <x:c r="J2099" s="9" t="n">
        <x:v>294</x:v>
      </x:c>
      <x:c r="K2099" s="10" t="n">
        <x:v>0.1</x:v>
      </x:c>
      <x:c r="L2099" s="11" t="n">
        <x:v>0</x:v>
      </x:c>
      <x:c r="M2099" s="9" t="n">
        <x:f>IF(D2099="Completed",I2099*J2099,0)</x:f>
        <x:v>882</x:v>
      </x:c>
      <x:c r="N2099" s="9" t="n">
        <x:f>M2099*K2099</x:f>
        <x:v>88.2</x:v>
      </x:c>
      <x:c r="O2099" s="9" t="n">
        <x:f>M2099-N2099</x:f>
        <x:v>793.8</x:v>
      </x:c>
      <x:c r="P2099" s="9" t="n">
        <x:f>IF(D2099="Completed",L2099*J2099*(1-K2099),0)</x:f>
        <x:v>0</x:v>
      </x:c>
      <x:c r="Q2099" s="9" t="n">
        <x:f>O2099-P2099</x:f>
        <x:v>793.8</x:v>
      </x:c>
      <x:c r="R2099" s="11" t="n">
        <x:f>IF(D2099="Completed",I2099,0)</x:f>
        <x:v>3</x:v>
      </x:c>
      <x:c r="S2099" s="11" t="n">
        <x:f>IF(D2099="Completed",L2099,0)</x:f>
        <x:v>0</x:v>
      </x:c>
      <x:c r="T2099" s="8" t="n">
        <x:f>DATE(YEAR(C2099),MONTH(C2099),1)</x:f>
        <x:v>45778</x:v>
      </x:c>
    </x:row>
    <x:row r="2100" ht="22" customHeight="1">
      <x:c r="A2100" s="2" t="str">
        <x:v>L002096</x:v>
      </x:c>
      <x:c r="B2100" s="2" t="str">
        <x:v>O00856</x:v>
      </x:c>
      <x:c r="C2100" s="7" t="n">
        <x:v>45781</x:v>
      </x:c>
      <x:c r="D2100" s="2" t="str">
        <x:v>Completed</x:v>
      </x:c>
      <x:c r="E2100" s="2" t="str">
        <x:v>South</x:v>
      </x:c>
      <x:c r="F2100" s="2" t="str">
        <x:v>Store</x:v>
      </x:c>
      <x:c r="G2100" s="2" t="str">
        <x:v>Furniture</x:v>
      </x:c>
      <x:c r="H2100" s="2" t="str">
        <x:v>Chair 018</x:v>
      </x:c>
      <x:c r="I2100" s="11" t="n">
        <x:v>5</x:v>
      </x:c>
      <x:c r="J2100" s="9" t="n">
        <x:v>269</x:v>
      </x:c>
      <x:c r="K2100" s="10" t="n">
        <x:v>0.2</x:v>
      </x:c>
      <x:c r="L2100" s="11" t="n">
        <x:v>0</x:v>
      </x:c>
      <x:c r="M2100" s="9" t="n">
        <x:f>IF(D2100="Completed",I2100*J2100,0)</x:f>
        <x:v>1345</x:v>
      </x:c>
      <x:c r="N2100" s="9" t="n">
        <x:f>M2100*K2100</x:f>
        <x:v>269</x:v>
      </x:c>
      <x:c r="O2100" s="9" t="n">
        <x:f>M2100-N2100</x:f>
        <x:v>1076</x:v>
      </x:c>
      <x:c r="P2100" s="9" t="n">
        <x:f>IF(D2100="Completed",L2100*J2100*(1-K2100),0)</x:f>
        <x:v>0</x:v>
      </x:c>
      <x:c r="Q2100" s="9" t="n">
        <x:f>O2100-P2100</x:f>
        <x:v>1076</x:v>
      </x:c>
      <x:c r="R2100" s="11" t="n">
        <x:f>IF(D2100="Completed",I2100,0)</x:f>
        <x:v>5</x:v>
      </x:c>
      <x:c r="S2100" s="11" t="n">
        <x:f>IF(D2100="Completed",L2100,0)</x:f>
        <x:v>0</x:v>
      </x:c>
      <x:c r="T2100" s="8" t="n">
        <x:f>DATE(YEAR(C2100),MONTH(C2100),1)</x:f>
        <x:v>45778</x:v>
      </x:c>
    </x:row>
    <x:row r="2101" ht="22" customHeight="1">
      <x:c r="A2101" s="2" t="str">
        <x:v>L002097</x:v>
      </x:c>
      <x:c r="B2101" s="2" t="str">
        <x:v>O00856</x:v>
      </x:c>
      <x:c r="C2101" s="7" t="n">
        <x:v>45781</x:v>
      </x:c>
      <x:c r="D2101" s="2" t="str">
        <x:v>Completed</x:v>
      </x:c>
      <x:c r="E2101" s="2" t="str">
        <x:v>South</x:v>
      </x:c>
      <x:c r="F2101" s="2" t="str">
        <x:v>Store</x:v>
      </x:c>
      <x:c r="G2101" s="2" t="str">
        <x:v>Furniture</x:v>
      </x:c>
      <x:c r="H2101" s="2" t="str">
        <x:v>Desk 020</x:v>
      </x:c>
      <x:c r="I2101" s="11" t="n">
        <x:v>4</x:v>
      </x:c>
      <x:c r="J2101" s="9" t="n">
        <x:v>189</x:v>
      </x:c>
      <x:c r="K2101" s="10" t="n">
        <x:v>0.05</x:v>
      </x:c>
      <x:c r="L2101" s="11" t="n">
        <x:v>0</x:v>
      </x:c>
      <x:c r="M2101" s="9" t="n">
        <x:f>IF(D2101="Completed",I2101*J2101,0)</x:f>
        <x:v>756</x:v>
      </x:c>
      <x:c r="N2101" s="9" t="n">
        <x:f>M2101*K2101</x:f>
        <x:v>37.800000000000004</x:v>
      </x:c>
      <x:c r="O2101" s="9" t="n">
        <x:f>M2101-N2101</x:f>
        <x:v>718.2</x:v>
      </x:c>
      <x:c r="P2101" s="9" t="n">
        <x:f>IF(D2101="Completed",L2101*J2101*(1-K2101),0)</x:f>
        <x:v>0</x:v>
      </x:c>
      <x:c r="Q2101" s="9" t="n">
        <x:f>O2101-P2101</x:f>
        <x:v>718.2</x:v>
      </x:c>
      <x:c r="R2101" s="11" t="n">
        <x:f>IF(D2101="Completed",I2101,0)</x:f>
        <x:v>4</x:v>
      </x:c>
      <x:c r="S2101" s="11" t="n">
        <x:f>IF(D2101="Completed",L2101,0)</x:f>
        <x:v>0</x:v>
      </x:c>
      <x:c r="T2101" s="8" t="n">
        <x:f>DATE(YEAR(C2101),MONTH(C2101),1)</x:f>
        <x:v>45778</x:v>
      </x:c>
    </x:row>
    <x:row r="2102" ht="22" customHeight="1">
      <x:c r="A2102" s="2" t="str">
        <x:v>L002098</x:v>
      </x:c>
      <x:c r="B2102" s="2" t="str">
        <x:v>O00857</x:v>
      </x:c>
      <x:c r="C2102" s="7" t="n">
        <x:v>45809</x:v>
      </x:c>
      <x:c r="D2102" s="2" t="str">
        <x:v>Completed</x:v>
      </x:c>
      <x:c r="E2102" s="2" t="str">
        <x:v>North</x:v>
      </x:c>
      <x:c r="F2102" s="2" t="str">
        <x:v>Online</x:v>
      </x:c>
      <x:c r="G2102" s="2" t="str">
        <x:v>Furniture</x:v>
      </x:c>
      <x:c r="H2102" s="2" t="str">
        <x:v>Chair 014</x:v>
      </x:c>
      <x:c r="I2102" s="11" t="n">
        <x:v>5</x:v>
      </x:c>
      <x:c r="J2102" s="9" t="n">
        <x:v>294</x:v>
      </x:c>
      <x:c r="K2102" s="10" t="n">
        <x:v>0.05</x:v>
      </x:c>
      <x:c r="L2102" s="11" t="n">
        <x:v>0</x:v>
      </x:c>
      <x:c r="M2102" s="9" t="n">
        <x:f>IF(D2102="Completed",I2102*J2102,0)</x:f>
        <x:v>1470</x:v>
      </x:c>
      <x:c r="N2102" s="9" t="n">
        <x:f>M2102*K2102</x:f>
        <x:v>73.5</x:v>
      </x:c>
      <x:c r="O2102" s="9" t="n">
        <x:f>M2102-N2102</x:f>
        <x:v>1396.5</x:v>
      </x:c>
      <x:c r="P2102" s="9" t="n">
        <x:f>IF(D2102="Completed",L2102*J2102*(1-K2102),0)</x:f>
        <x:v>0</x:v>
      </x:c>
      <x:c r="Q2102" s="9" t="n">
        <x:f>O2102-P2102</x:f>
        <x:v>1396.5</x:v>
      </x:c>
      <x:c r="R2102" s="11" t="n">
        <x:f>IF(D2102="Completed",I2102,0)</x:f>
        <x:v>5</x:v>
      </x:c>
      <x:c r="S2102" s="11" t="n">
        <x:f>IF(D2102="Completed",L2102,0)</x:f>
        <x:v>0</x:v>
      </x:c>
      <x:c r="T2102" s="8" t="n">
        <x:f>DATE(YEAR(C2102),MONTH(C2102),1)</x:f>
        <x:v>45809</x:v>
      </x:c>
    </x:row>
    <x:row r="2103" ht="22" customHeight="1">
      <x:c r="A2103" s="2" t="str">
        <x:v>L002099</x:v>
      </x:c>
      <x:c r="B2103" s="2" t="str">
        <x:v>O00857</x:v>
      </x:c>
      <x:c r="C2103" s="7" t="n">
        <x:v>45809</x:v>
      </x:c>
      <x:c r="D2103" s="2" t="str">
        <x:v>Completed</x:v>
      </x:c>
      <x:c r="E2103" s="2" t="str">
        <x:v>North</x:v>
      </x:c>
      <x:c r="F2103" s="2" t="str">
        <x:v>Online</x:v>
      </x:c>
      <x:c r="G2103" s="2" t="str">
        <x:v>Storage</x:v>
      </x:c>
      <x:c r="H2103" s="2" t="str">
        <x:v>Shelf 019</x:v>
      </x:c>
      <x:c r="I2103" s="11" t="n">
        <x:v>3</x:v>
      </x:c>
      <x:c r="J2103" s="9" t="n">
        <x:v>78</x:v>
      </x:c>
      <x:c r="K2103" s="10" t="n">
        <x:v>0</x:v>
      </x:c>
      <x:c r="L2103" s="11" t="n">
        <x:v>0</x:v>
      </x:c>
      <x:c r="M2103" s="9" t="n">
        <x:f>IF(D2103="Completed",I2103*J2103,0)</x:f>
        <x:v>234</x:v>
      </x:c>
      <x:c r="N2103" s="9" t="n">
        <x:f>M2103*K2103</x:f>
        <x:v>0</x:v>
      </x:c>
      <x:c r="O2103" s="9" t="n">
        <x:f>M2103-N2103</x:f>
        <x:v>234</x:v>
      </x:c>
      <x:c r="P2103" s="9" t="n">
        <x:f>IF(D2103="Completed",L2103*J2103*(1-K2103),0)</x:f>
        <x:v>0</x:v>
      </x:c>
      <x:c r="Q2103" s="9" t="n">
        <x:f>O2103-P2103</x:f>
        <x:v>234</x:v>
      </x:c>
      <x:c r="R2103" s="11" t="n">
        <x:f>IF(D2103="Completed",I2103,0)</x:f>
        <x:v>3</x:v>
      </x:c>
      <x:c r="S2103" s="11" t="n">
        <x:f>IF(D2103="Completed",L2103,0)</x:f>
        <x:v>0</x:v>
      </x:c>
      <x:c r="T2103" s="8" t="n">
        <x:f>DATE(YEAR(C2103),MONTH(C2103),1)</x:f>
        <x:v>45809</x:v>
      </x:c>
    </x:row>
    <x:row r="2104" ht="22" customHeight="1">
      <x:c r="A2104" s="2" t="str">
        <x:v>L002100</x:v>
      </x:c>
      <x:c r="B2104" s="2" t="str">
        <x:v>O00857</x:v>
      </x:c>
      <x:c r="C2104" s="7" t="n">
        <x:v>45809</x:v>
      </x:c>
      <x:c r="D2104" s="2" t="str">
        <x:v>Completed</x:v>
      </x:c>
      <x:c r="E2104" s="2" t="str">
        <x:v>North</x:v>
      </x:c>
      <x:c r="F2104" s="2" t="str">
        <x:v>Online</x:v>
      </x:c>
      <x:c r="G2104" s="2" t="str">
        <x:v>Furniture</x:v>
      </x:c>
      <x:c r="H2104" s="2" t="str">
        <x:v>Chair 022</x:v>
      </x:c>
      <x:c r="I2104" s="11" t="n">
        <x:v>2</x:v>
      </x:c>
      <x:c r="J2104" s="9" t="n">
        <x:v>134</x:v>
      </x:c>
      <x:c r="K2104" s="10" t="n">
        <x:v>0.1</x:v>
      </x:c>
      <x:c r="L2104" s="11" t="n">
        <x:v>0</x:v>
      </x:c>
      <x:c r="M2104" s="9" t="n">
        <x:f>IF(D2104="Completed",I2104*J2104,0)</x:f>
        <x:v>268</x:v>
      </x:c>
      <x:c r="N2104" s="9" t="n">
        <x:f>M2104*K2104</x:f>
        <x:v>26.8</x:v>
      </x:c>
      <x:c r="O2104" s="9" t="n">
        <x:f>M2104-N2104</x:f>
        <x:v>241.2</x:v>
      </x:c>
      <x:c r="P2104" s="9" t="n">
        <x:f>IF(D2104="Completed",L2104*J2104*(1-K2104),0)</x:f>
        <x:v>0</x:v>
      </x:c>
      <x:c r="Q2104" s="9" t="n">
        <x:f>O2104-P2104</x:f>
        <x:v>241.2</x:v>
      </x:c>
      <x:c r="R2104" s="11" t="n">
        <x:f>IF(D2104="Completed",I2104,0)</x:f>
        <x:v>2</x:v>
      </x:c>
      <x:c r="S2104" s="11" t="n">
        <x:f>IF(D2104="Completed",L2104,0)</x:f>
        <x:v>0</x:v>
      </x:c>
      <x:c r="T2104" s="8" t="n">
        <x:f>DATE(YEAR(C2104),MONTH(C2104),1)</x:f>
        <x:v>45809</x:v>
      </x:c>
    </x:row>
    <x:row r="2105" ht="22" customHeight="1">
      <x:c r="A2105" s="2" t="str">
        <x:v>L002101</x:v>
      </x:c>
      <x:c r="B2105" s="2" t="str">
        <x:v>O00858</x:v>
      </x:c>
      <x:c r="C2105" s="7" t="n">
        <x:v>45992</x:v>
      </x:c>
      <x:c r="D2105" s="2" t="str">
        <x:v>Completed</x:v>
      </x:c>
      <x:c r="E2105" s="2" t="str">
        <x:v>North</x:v>
      </x:c>
      <x:c r="F2105" s="2" t="str">
        <x:v>Store</x:v>
      </x:c>
      <x:c r="G2105" s="2" t="str">
        <x:v>Furniture</x:v>
      </x:c>
      <x:c r="H2105" s="2" t="str">
        <x:v>Desk 008</x:v>
      </x:c>
      <x:c r="I2105" s="11" t="n">
        <x:v>3</x:v>
      </x:c>
      <x:c r="J2105" s="9" t="n">
        <x:v>188</x:v>
      </x:c>
      <x:c r="K2105" s="10" t="n">
        <x:v>0.1</x:v>
      </x:c>
      <x:c r="L2105" s="11" t="n">
        <x:v>0</x:v>
      </x:c>
      <x:c r="M2105" s="9" t="n">
        <x:f>IF(D2105="Completed",I2105*J2105,0)</x:f>
        <x:v>564</x:v>
      </x:c>
      <x:c r="N2105" s="9" t="n">
        <x:f>M2105*K2105</x:f>
        <x:v>56.400000000000006</x:v>
      </x:c>
      <x:c r="O2105" s="9" t="n">
        <x:f>M2105-N2105</x:f>
        <x:v>507.6</x:v>
      </x:c>
      <x:c r="P2105" s="9" t="n">
        <x:f>IF(D2105="Completed",L2105*J2105*(1-K2105),0)</x:f>
        <x:v>0</x:v>
      </x:c>
      <x:c r="Q2105" s="9" t="n">
        <x:f>O2105-P2105</x:f>
        <x:v>507.6</x:v>
      </x:c>
      <x:c r="R2105" s="11" t="n">
        <x:f>IF(D2105="Completed",I2105,0)</x:f>
        <x:v>3</x:v>
      </x:c>
      <x:c r="S2105" s="11" t="n">
        <x:f>IF(D2105="Completed",L2105,0)</x:f>
        <x:v>0</x:v>
      </x:c>
      <x:c r="T2105" s="8" t="n">
        <x:f>DATE(YEAR(C2105),MONTH(C2105),1)</x:f>
        <x:v>45992</x:v>
      </x:c>
    </x:row>
    <x:row r="2106" ht="22" customHeight="1">
      <x:c r="A2106" s="2" t="str">
        <x:v>L002102</x:v>
      </x:c>
      <x:c r="B2106" s="2" t="str">
        <x:v>O00858</x:v>
      </x:c>
      <x:c r="C2106" s="7" t="n">
        <x:v>45992</x:v>
      </x:c>
      <x:c r="D2106" s="2" t="str">
        <x:v>Completed</x:v>
      </x:c>
      <x:c r="E2106" s="2" t="str">
        <x:v>North</x:v>
      </x:c>
      <x:c r="F2106" s="2" t="str">
        <x:v>Store</x:v>
      </x:c>
      <x:c r="G2106" s="2" t="str">
        <x:v>Storage</x:v>
      </x:c>
      <x:c r="H2106" s="2" t="str">
        <x:v>Shelf 007</x:v>
      </x:c>
      <x:c r="I2106" s="11" t="n">
        <x:v>3</x:v>
      </x:c>
      <x:c r="J2106" s="9" t="n">
        <x:v>35</x:v>
      </x:c>
      <x:c r="K2106" s="10" t="n">
        <x:v>0.05</x:v>
      </x:c>
      <x:c r="L2106" s="11" t="n">
        <x:v>0</x:v>
      </x:c>
      <x:c r="M2106" s="9" t="n">
        <x:f>IF(D2106="Completed",I2106*J2106,0)</x:f>
        <x:v>105</x:v>
      </x:c>
      <x:c r="N2106" s="9" t="n">
        <x:f>M2106*K2106</x:f>
        <x:v>5.25</x:v>
      </x:c>
      <x:c r="O2106" s="9" t="n">
        <x:f>M2106-N2106</x:f>
        <x:v>99.75</x:v>
      </x:c>
      <x:c r="P2106" s="9" t="n">
        <x:f>IF(D2106="Completed",L2106*J2106*(1-K2106),0)</x:f>
        <x:v>0</x:v>
      </x:c>
      <x:c r="Q2106" s="9" t="n">
        <x:f>O2106-P2106</x:f>
        <x:v>99.75</x:v>
      </x:c>
      <x:c r="R2106" s="11" t="n">
        <x:f>IF(D2106="Completed",I2106,0)</x:f>
        <x:v>3</x:v>
      </x:c>
      <x:c r="S2106" s="11" t="n">
        <x:f>IF(D2106="Completed",L2106,0)</x:f>
        <x:v>0</x:v>
      </x:c>
      <x:c r="T2106" s="8" t="n">
        <x:f>DATE(YEAR(C2106),MONTH(C2106),1)</x:f>
        <x:v>45992</x:v>
      </x:c>
    </x:row>
    <x:row r="2107" ht="22" customHeight="1">
      <x:c r="A2107" s="2" t="str">
        <x:v>L002103</x:v>
      </x:c>
      <x:c r="B2107" s="2" t="str">
        <x:v>O00858</x:v>
      </x:c>
      <x:c r="C2107" s="7" t="n">
        <x:v>45992</x:v>
      </x:c>
      <x:c r="D2107" s="2" t="str">
        <x:v>Completed</x:v>
      </x:c>
      <x:c r="E2107" s="2" t="str">
        <x:v>North</x:v>
      </x:c>
      <x:c r="F2107" s="2" t="str">
        <x:v>Store</x:v>
      </x:c>
      <x:c r="G2107" s="2" t="str">
        <x:v>Furniture</x:v>
      </x:c>
      <x:c r="H2107" s="2" t="str">
        <x:v>Desk 004</x:v>
      </x:c>
      <x:c r="I2107" s="11" t="n">
        <x:v>4</x:v>
      </x:c>
      <x:c r="J2107" s="9" t="n">
        <x:v>123</x:v>
      </x:c>
      <x:c r="K2107" s="10" t="n">
        <x:v>0.1</x:v>
      </x:c>
      <x:c r="L2107" s="11" t="n">
        <x:v>0</x:v>
      </x:c>
      <x:c r="M2107" s="9" t="n">
        <x:f>IF(D2107="Completed",I2107*J2107,0)</x:f>
        <x:v>492</x:v>
      </x:c>
      <x:c r="N2107" s="9" t="n">
        <x:f>M2107*K2107</x:f>
        <x:v>49.2</x:v>
      </x:c>
      <x:c r="O2107" s="9" t="n">
        <x:f>M2107-N2107</x:f>
        <x:v>442.8</x:v>
      </x:c>
      <x:c r="P2107" s="9" t="n">
        <x:f>IF(D2107="Completed",L2107*J2107*(1-K2107),0)</x:f>
        <x:v>0</x:v>
      </x:c>
      <x:c r="Q2107" s="9" t="n">
        <x:f>O2107-P2107</x:f>
        <x:v>442.8</x:v>
      </x:c>
      <x:c r="R2107" s="11" t="n">
        <x:f>IF(D2107="Completed",I2107,0)</x:f>
        <x:v>4</x:v>
      </x:c>
      <x:c r="S2107" s="11" t="n">
        <x:f>IF(D2107="Completed",L2107,0)</x:f>
        <x:v>0</x:v>
      </x:c>
      <x:c r="T2107" s="8" t="n">
        <x:f>DATE(YEAR(C2107),MONTH(C2107),1)</x:f>
        <x:v>45992</x:v>
      </x:c>
    </x:row>
    <x:row r="2108" ht="22" customHeight="1">
      <x:c r="A2108" s="2" t="str">
        <x:v>L002104</x:v>
      </x:c>
      <x:c r="B2108" s="2" t="str">
        <x:v>O00858</x:v>
      </x:c>
      <x:c r="C2108" s="7" t="n">
        <x:v>45992</x:v>
      </x:c>
      <x:c r="D2108" s="2" t="str">
        <x:v>Completed</x:v>
      </x:c>
      <x:c r="E2108" s="2" t="str">
        <x:v>North</x:v>
      </x:c>
      <x:c r="F2108" s="2" t="str">
        <x:v>Store</x:v>
      </x:c>
      <x:c r="G2108" s="2" t="str">
        <x:v>Storage</x:v>
      </x:c>
      <x:c r="H2108" s="2" t="str">
        <x:v>Shelf 003</x:v>
      </x:c>
      <x:c r="I2108" s="11" t="n">
        <x:v>4</x:v>
      </x:c>
      <x:c r="J2108" s="9" t="n">
        <x:v>199</x:v>
      </x:c>
      <x:c r="K2108" s="10" t="n">
        <x:v>0.1</x:v>
      </x:c>
      <x:c r="L2108" s="11" t="n">
        <x:v>0</x:v>
      </x:c>
      <x:c r="M2108" s="9" t="n">
        <x:f>IF(D2108="Completed",I2108*J2108,0)</x:f>
        <x:v>796</x:v>
      </x:c>
      <x:c r="N2108" s="9" t="n">
        <x:f>M2108*K2108</x:f>
        <x:v>79.60000000000001</x:v>
      </x:c>
      <x:c r="O2108" s="9" t="n">
        <x:f>M2108-N2108</x:f>
        <x:v>716.4</x:v>
      </x:c>
      <x:c r="P2108" s="9" t="n">
        <x:f>IF(D2108="Completed",L2108*J2108*(1-K2108),0)</x:f>
        <x:v>0</x:v>
      </x:c>
      <x:c r="Q2108" s="9" t="n">
        <x:f>O2108-P2108</x:f>
        <x:v>716.4</x:v>
      </x:c>
      <x:c r="R2108" s="11" t="n">
        <x:f>IF(D2108="Completed",I2108,0)</x:f>
        <x:v>4</x:v>
      </x:c>
      <x:c r="S2108" s="11" t="n">
        <x:f>IF(D2108="Completed",L2108,0)</x:f>
        <x:v>0</x:v>
      </x:c>
      <x:c r="T2108" s="8" t="n">
        <x:f>DATE(YEAR(C2108),MONTH(C2108),1)</x:f>
        <x:v>45992</x:v>
      </x:c>
    </x:row>
    <x:row r="2109" ht="22" customHeight="1">
      <x:c r="A2109" s="2" t="str">
        <x:v>L002105</x:v>
      </x:c>
      <x:c r="B2109" s="2" t="str">
        <x:v>O00859</x:v>
      </x:c>
      <x:c r="C2109" s="7" t="n">
        <x:v>45940</x:v>
      </x:c>
      <x:c r="D2109" s="2" t="str">
        <x:v>Cancelled</x:v>
      </x:c>
      <x:c r="E2109" s="2" t="str">
        <x:v>North</x:v>
      </x:c>
      <x:c r="F2109" s="2" t="str">
        <x:v>Online</x:v>
      </x:c>
      <x:c r="G2109" s="2" t="str">
        <x:v>Lighting</x:v>
      </x:c>
      <x:c r="H2109" s="2" t="str">
        <x:v>Lamp 001</x:v>
      </x:c>
      <x:c r="I2109" s="11" t="n">
        <x:v>1</x:v>
      </x:c>
      <x:c r="J2109" s="9" t="n">
        <x:v>122</x:v>
      </x:c>
      <x:c r="K2109" s="10" t="n">
        <x:v>0.2</x:v>
      </x:c>
      <x:c r="L2109" s="11" t="n">
        <x:v>0</x:v>
      </x:c>
      <x:c r="M2109" s="9" t="n">
        <x:f>IF(D2109="Completed",I2109*J2109,0)</x:f>
        <x:v>0</x:v>
      </x:c>
      <x:c r="N2109" s="9" t="n">
        <x:f>M2109*K2109</x:f>
        <x:v>0</x:v>
      </x:c>
      <x:c r="O2109" s="9" t="n">
        <x:f>M2109-N2109</x:f>
        <x:v>0</x:v>
      </x:c>
      <x:c r="P2109" s="9" t="n">
        <x:f>IF(D2109="Completed",L2109*J2109*(1-K2109),0)</x:f>
        <x:v>0</x:v>
      </x:c>
      <x:c r="Q2109" s="9" t="n">
        <x:f>O2109-P2109</x:f>
        <x:v>0</x:v>
      </x:c>
      <x:c r="R2109" s="11" t="n">
        <x:f>IF(D2109="Completed",I2109,0)</x:f>
        <x:v>0</x:v>
      </x:c>
      <x:c r="S2109" s="11" t="n">
        <x:f>IF(D2109="Completed",L2109,0)</x:f>
        <x:v>0</x:v>
      </x:c>
      <x:c r="T2109" s="8" t="n">
        <x:f>DATE(YEAR(C2109),MONTH(C2109),1)</x:f>
        <x:v>45931</x:v>
      </x:c>
    </x:row>
    <x:row r="2110" ht="22" customHeight="1">
      <x:c r="A2110" s="2" t="str">
        <x:v>L002106</x:v>
      </x:c>
      <x:c r="B2110" s="2" t="str">
        <x:v>O00859</x:v>
      </x:c>
      <x:c r="C2110" s="7" t="n">
        <x:v>45940</x:v>
      </x:c>
      <x:c r="D2110" s="2" t="str">
        <x:v>Cancelled</x:v>
      </x:c>
      <x:c r="E2110" s="2" t="str">
        <x:v>North</x:v>
      </x:c>
      <x:c r="F2110" s="2" t="str">
        <x:v>Online</x:v>
      </x:c>
      <x:c r="G2110" s="2" t="str">
        <x:v>Lighting</x:v>
      </x:c>
      <x:c r="H2110" s="2" t="str">
        <x:v>Lamp 017</x:v>
      </x:c>
      <x:c r="I2110" s="11" t="n">
        <x:v>4</x:v>
      </x:c>
      <x:c r="J2110" s="9" t="n">
        <x:v>300</x:v>
      </x:c>
      <x:c r="K2110" s="10" t="n">
        <x:v>0.2</x:v>
      </x:c>
      <x:c r="L2110" s="11" t="n">
        <x:v>0</x:v>
      </x:c>
      <x:c r="M2110" s="9" t="n">
        <x:f>IF(D2110="Completed",I2110*J2110,0)</x:f>
        <x:v>0</x:v>
      </x:c>
      <x:c r="N2110" s="9" t="n">
        <x:f>M2110*K2110</x:f>
        <x:v>0</x:v>
      </x:c>
      <x:c r="O2110" s="9" t="n">
        <x:f>M2110-N2110</x:f>
        <x:v>0</x:v>
      </x:c>
      <x:c r="P2110" s="9" t="n">
        <x:f>IF(D2110="Completed",L2110*J2110*(1-K2110),0)</x:f>
        <x:v>0</x:v>
      </x:c>
      <x:c r="Q2110" s="9" t="n">
        <x:f>O2110-P2110</x:f>
        <x:v>0</x:v>
      </x:c>
      <x:c r="R2110" s="11" t="n">
        <x:f>IF(D2110="Completed",I2110,0)</x:f>
        <x:v>0</x:v>
      </x:c>
      <x:c r="S2110" s="11" t="n">
        <x:f>IF(D2110="Completed",L2110,0)</x:f>
        <x:v>0</x:v>
      </x:c>
      <x:c r="T2110" s="8" t="n">
        <x:f>DATE(YEAR(C2110),MONTH(C2110),1)</x:f>
        <x:v>45931</x:v>
      </x:c>
    </x:row>
    <x:row r="2111" ht="22" customHeight="1">
      <x:c r="A2111" s="2" t="str">
        <x:v>L002107</x:v>
      </x:c>
      <x:c r="B2111" s="2" t="str">
        <x:v>O00859</x:v>
      </x:c>
      <x:c r="C2111" s="7" t="n">
        <x:v>45940</x:v>
      </x:c>
      <x:c r="D2111" s="2" t="str">
        <x:v>Cancelled</x:v>
      </x:c>
      <x:c r="E2111" s="2" t="str">
        <x:v>North</x:v>
      </x:c>
      <x:c r="F2111" s="2" t="str">
        <x:v>Online</x:v>
      </x:c>
      <x:c r="G2111" s="2" t="str">
        <x:v>Storage</x:v>
      </x:c>
      <x:c r="H2111" s="2" t="str">
        <x:v>Shelf 023</x:v>
      </x:c>
      <x:c r="I2111" s="11" t="n">
        <x:v>5</x:v>
      </x:c>
      <x:c r="J2111" s="9" t="n">
        <x:v>68</x:v>
      </x:c>
      <x:c r="K2111" s="10" t="n">
        <x:v>0</x:v>
      </x:c>
      <x:c r="L2111" s="11" t="n">
        <x:v>0</x:v>
      </x:c>
      <x:c r="M2111" s="9" t="n">
        <x:f>IF(D2111="Completed",I2111*J2111,0)</x:f>
        <x:v>0</x:v>
      </x:c>
      <x:c r="N2111" s="9" t="n">
        <x:f>M2111*K2111</x:f>
        <x:v>0</x:v>
      </x:c>
      <x:c r="O2111" s="9" t="n">
        <x:f>M2111-N2111</x:f>
        <x:v>0</x:v>
      </x:c>
      <x:c r="P2111" s="9" t="n">
        <x:f>IF(D2111="Completed",L2111*J2111*(1-K2111),0)</x:f>
        <x:v>0</x:v>
      </x:c>
      <x:c r="Q2111" s="9" t="n">
        <x:f>O2111-P2111</x:f>
        <x:v>0</x:v>
      </x:c>
      <x:c r="R2111" s="11" t="n">
        <x:f>IF(D2111="Completed",I2111,0)</x:f>
        <x:v>0</x:v>
      </x:c>
      <x:c r="S2111" s="11" t="n">
        <x:f>IF(D2111="Completed",L2111,0)</x:f>
        <x:v>0</x:v>
      </x:c>
      <x:c r="T2111" s="8" t="n">
        <x:f>DATE(YEAR(C2111),MONTH(C2111),1)</x:f>
        <x:v>45931</x:v>
      </x:c>
    </x:row>
    <x:row r="2112" ht="22" customHeight="1">
      <x:c r="A2112" s="2" t="str">
        <x:v>L002108</x:v>
      </x:c>
      <x:c r="B2112" s="2" t="str">
        <x:v>O00860</x:v>
      </x:c>
      <x:c r="C2112" s="7" t="n">
        <x:v>45665</x:v>
      </x:c>
      <x:c r="D2112" s="2" t="str">
        <x:v>Completed</x:v>
      </x:c>
      <x:c r="E2112" s="2" t="str">
        <x:v>East</x:v>
      </x:c>
      <x:c r="F2112" s="2" t="str">
        <x:v>Online</x:v>
      </x:c>
      <x:c r="G2112" s="2" t="str">
        <x:v>Furniture</x:v>
      </x:c>
      <x:c r="H2112" s="2" t="str">
        <x:v>Desk 016</x:v>
      </x:c>
      <x:c r="I2112" s="11" t="n">
        <x:v>3</x:v>
      </x:c>
      <x:c r="J2112" s="9" t="n">
        <x:v>231</x:v>
      </x:c>
      <x:c r="K2112" s="10" t="n">
        <x:v>0.2</x:v>
      </x:c>
      <x:c r="L2112" s="11" t="n">
        <x:v>0</x:v>
      </x:c>
      <x:c r="M2112" s="9" t="n">
        <x:f>IF(D2112="Completed",I2112*J2112,0)</x:f>
        <x:v>693</x:v>
      </x:c>
      <x:c r="N2112" s="9" t="n">
        <x:f>M2112*K2112</x:f>
        <x:v>138.6</x:v>
      </x:c>
      <x:c r="O2112" s="9" t="n">
        <x:f>M2112-N2112</x:f>
        <x:v>554.4</x:v>
      </x:c>
      <x:c r="P2112" s="9" t="n">
        <x:f>IF(D2112="Completed",L2112*J2112*(1-K2112),0)</x:f>
        <x:v>0</x:v>
      </x:c>
      <x:c r="Q2112" s="9" t="n">
        <x:f>O2112-P2112</x:f>
        <x:v>554.4</x:v>
      </x:c>
      <x:c r="R2112" s="11" t="n">
        <x:f>IF(D2112="Completed",I2112,0)</x:f>
        <x:v>3</x:v>
      </x:c>
      <x:c r="S2112" s="11" t="n">
        <x:f>IF(D2112="Completed",L2112,0)</x:f>
        <x:v>0</x:v>
      </x:c>
      <x:c r="T2112" s="8" t="n">
        <x:f>DATE(YEAR(C2112),MONTH(C2112),1)</x:f>
        <x:v>45658</x:v>
      </x:c>
    </x:row>
    <x:row r="2113" ht="22" customHeight="1">
      <x:c r="A2113" s="2" t="str">
        <x:v>L002109</x:v>
      </x:c>
      <x:c r="B2113" s="2" t="str">
        <x:v>O00861</x:v>
      </x:c>
      <x:c r="C2113" s="7" t="n">
        <x:v>45937</x:v>
      </x:c>
      <x:c r="D2113" s="2" t="str">
        <x:v>Completed</x:v>
      </x:c>
      <x:c r="E2113" s="2" t="str">
        <x:v>North</x:v>
      </x:c>
      <x:c r="F2113" s="2" t="str">
        <x:v>Online</x:v>
      </x:c>
      <x:c r="G2113" s="2" t="str">
        <x:v>Furniture</x:v>
      </x:c>
      <x:c r="H2113" s="2" t="str">
        <x:v>Desk 012</x:v>
      </x:c>
      <x:c r="I2113" s="11" t="n">
        <x:v>2</x:v>
      </x:c>
      <x:c r="J2113" s="9" t="n">
        <x:v>134</x:v>
      </x:c>
      <x:c r="K2113" s="10" t="n">
        <x:v>0</x:v>
      </x:c>
      <x:c r="L2113" s="11" t="n">
        <x:v>0</x:v>
      </x:c>
      <x:c r="M2113" s="9" t="n">
        <x:f>IF(D2113="Completed",I2113*J2113,0)</x:f>
        <x:v>268</x:v>
      </x:c>
      <x:c r="N2113" s="9" t="n">
        <x:f>M2113*K2113</x:f>
        <x:v>0</x:v>
      </x:c>
      <x:c r="O2113" s="9" t="n">
        <x:f>M2113-N2113</x:f>
        <x:v>268</x:v>
      </x:c>
      <x:c r="P2113" s="9" t="n">
        <x:f>IF(D2113="Completed",L2113*J2113*(1-K2113),0)</x:f>
        <x:v>0</x:v>
      </x:c>
      <x:c r="Q2113" s="9" t="n">
        <x:f>O2113-P2113</x:f>
        <x:v>268</x:v>
      </x:c>
      <x:c r="R2113" s="11" t="n">
        <x:f>IF(D2113="Completed",I2113,0)</x:f>
        <x:v>2</x:v>
      </x:c>
      <x:c r="S2113" s="11" t="n">
        <x:f>IF(D2113="Completed",L2113,0)</x:f>
        <x:v>0</x:v>
      </x:c>
      <x:c r="T2113" s="8" t="n">
        <x:f>DATE(YEAR(C2113),MONTH(C2113),1)</x:f>
        <x:v>45931</x:v>
      </x:c>
    </x:row>
    <x:row r="2114" ht="22" customHeight="1">
      <x:c r="A2114" s="2" t="str">
        <x:v>L002110</x:v>
      </x:c>
      <x:c r="B2114" s="2" t="str">
        <x:v>O00861</x:v>
      </x:c>
      <x:c r="C2114" s="7" t="n">
        <x:v>45937</x:v>
      </x:c>
      <x:c r="D2114" s="2" t="str">
        <x:v>Completed</x:v>
      </x:c>
      <x:c r="E2114" s="2" t="str">
        <x:v>North</x:v>
      </x:c>
      <x:c r="F2114" s="2" t="str">
        <x:v>Online</x:v>
      </x:c>
      <x:c r="G2114" s="2" t="str">
        <x:v>Furniture</x:v>
      </x:c>
      <x:c r="H2114" s="2" t="str">
        <x:v>Desk 020</x:v>
      </x:c>
      <x:c r="I2114" s="11" t="n">
        <x:v>1</x:v>
      </x:c>
      <x:c r="J2114" s="9" t="n">
        <x:v>189</x:v>
      </x:c>
      <x:c r="K2114" s="10" t="n">
        <x:v>0.1</x:v>
      </x:c>
      <x:c r="L2114" s="11" t="n">
        <x:v>0</x:v>
      </x:c>
      <x:c r="M2114" s="9" t="n">
        <x:f>IF(D2114="Completed",I2114*J2114,0)</x:f>
        <x:v>189</x:v>
      </x:c>
      <x:c r="N2114" s="9" t="n">
        <x:f>M2114*K2114</x:f>
        <x:v>18.900000000000002</x:v>
      </x:c>
      <x:c r="O2114" s="9" t="n">
        <x:f>M2114-N2114</x:f>
        <x:v>170.1</x:v>
      </x:c>
      <x:c r="P2114" s="9" t="n">
        <x:f>IF(D2114="Completed",L2114*J2114*(1-K2114),0)</x:f>
        <x:v>0</x:v>
      </x:c>
      <x:c r="Q2114" s="9" t="n">
        <x:f>O2114-P2114</x:f>
        <x:v>170.1</x:v>
      </x:c>
      <x:c r="R2114" s="11" t="n">
        <x:f>IF(D2114="Completed",I2114,0)</x:f>
        <x:v>1</x:v>
      </x:c>
      <x:c r="S2114" s="11" t="n">
        <x:f>IF(D2114="Completed",L2114,0)</x:f>
        <x:v>0</x:v>
      </x:c>
      <x:c r="T2114" s="8" t="n">
        <x:f>DATE(YEAR(C2114),MONTH(C2114),1)</x:f>
        <x:v>45931</x:v>
      </x:c>
    </x:row>
    <x:row r="2115" ht="22" customHeight="1">
      <x:c r="A2115" s="2" t="str">
        <x:v>L002111</x:v>
      </x:c>
      <x:c r="B2115" s="2" t="str">
        <x:v>O00861</x:v>
      </x:c>
      <x:c r="C2115" s="7" t="n">
        <x:v>45937</x:v>
      </x:c>
      <x:c r="D2115" s="2" t="str">
        <x:v>Completed</x:v>
      </x:c>
      <x:c r="E2115" s="2" t="str">
        <x:v>North</x:v>
      </x:c>
      <x:c r="F2115" s="2" t="str">
        <x:v>Online</x:v>
      </x:c>
      <x:c r="G2115" s="2" t="str">
        <x:v>Furniture</x:v>
      </x:c>
      <x:c r="H2115" s="2" t="str">
        <x:v>Desk 004</x:v>
      </x:c>
      <x:c r="I2115" s="11" t="n">
        <x:v>3</x:v>
      </x:c>
      <x:c r="J2115" s="9" t="n">
        <x:v>123</x:v>
      </x:c>
      <x:c r="K2115" s="10" t="n">
        <x:v>0.05</x:v>
      </x:c>
      <x:c r="L2115" s="11" t="n">
        <x:v>0</x:v>
      </x:c>
      <x:c r="M2115" s="9" t="n">
        <x:f>IF(D2115="Completed",I2115*J2115,0)</x:f>
        <x:v>369</x:v>
      </x:c>
      <x:c r="N2115" s="9" t="n">
        <x:f>M2115*K2115</x:f>
        <x:v>18.45</x:v>
      </x:c>
      <x:c r="O2115" s="9" t="n">
        <x:f>M2115-N2115</x:f>
        <x:v>350.55</x:v>
      </x:c>
      <x:c r="P2115" s="9" t="n">
        <x:f>IF(D2115="Completed",L2115*J2115*(1-K2115),0)</x:f>
        <x:v>0</x:v>
      </x:c>
      <x:c r="Q2115" s="9" t="n">
        <x:f>O2115-P2115</x:f>
        <x:v>350.55</x:v>
      </x:c>
      <x:c r="R2115" s="11" t="n">
        <x:f>IF(D2115="Completed",I2115,0)</x:f>
        <x:v>3</x:v>
      </x:c>
      <x:c r="S2115" s="11" t="n">
        <x:f>IF(D2115="Completed",L2115,0)</x:f>
        <x:v>0</x:v>
      </x:c>
      <x:c r="T2115" s="8" t="n">
        <x:f>DATE(YEAR(C2115),MONTH(C2115),1)</x:f>
        <x:v>45931</x:v>
      </x:c>
    </x:row>
    <x:row r="2116" ht="22" customHeight="1">
      <x:c r="A2116" s="2" t="str">
        <x:v>L002112</x:v>
      </x:c>
      <x:c r="B2116" s="2" t="str">
        <x:v>O00861</x:v>
      </x:c>
      <x:c r="C2116" s="7" t="n">
        <x:v>45937</x:v>
      </x:c>
      <x:c r="D2116" s="2" t="str">
        <x:v>Completed</x:v>
      </x:c>
      <x:c r="E2116" s="2" t="str">
        <x:v>North</x:v>
      </x:c>
      <x:c r="F2116" s="2" t="str">
        <x:v>Online</x:v>
      </x:c>
      <x:c r="G2116" s="2" t="str">
        <x:v>Storage</x:v>
      </x:c>
      <x:c r="H2116" s="2" t="str">
        <x:v>Shelf 019</x:v>
      </x:c>
      <x:c r="I2116" s="11" t="n">
        <x:v>2</x:v>
      </x:c>
      <x:c r="J2116" s="9" t="n">
        <x:v>78</x:v>
      </x:c>
      <x:c r="K2116" s="10" t="n">
        <x:v>0.1</x:v>
      </x:c>
      <x:c r="L2116" s="11" t="n">
        <x:v>0</x:v>
      </x:c>
      <x:c r="M2116" s="9" t="n">
        <x:f>IF(D2116="Completed",I2116*J2116,0)</x:f>
        <x:v>156</x:v>
      </x:c>
      <x:c r="N2116" s="9" t="n">
        <x:f>M2116*K2116</x:f>
        <x:v>15.600000000000001</x:v>
      </x:c>
      <x:c r="O2116" s="9" t="n">
        <x:f>M2116-N2116</x:f>
        <x:v>140.4</x:v>
      </x:c>
      <x:c r="P2116" s="9" t="n">
        <x:f>IF(D2116="Completed",L2116*J2116*(1-K2116),0)</x:f>
        <x:v>0</x:v>
      </x:c>
      <x:c r="Q2116" s="9" t="n">
        <x:f>O2116-P2116</x:f>
        <x:v>140.4</x:v>
      </x:c>
      <x:c r="R2116" s="11" t="n">
        <x:f>IF(D2116="Completed",I2116,0)</x:f>
        <x:v>2</x:v>
      </x:c>
      <x:c r="S2116" s="11" t="n">
        <x:f>IF(D2116="Completed",L2116,0)</x:f>
        <x:v>0</x:v>
      </x:c>
      <x:c r="T2116" s="8" t="n">
        <x:f>DATE(YEAR(C2116),MONTH(C2116),1)</x:f>
        <x:v>45931</x:v>
      </x:c>
    </x:row>
    <x:row r="2117" ht="22" customHeight="1">
      <x:c r="A2117" s="2" t="str">
        <x:v>L002113</x:v>
      </x:c>
      <x:c r="B2117" s="2" t="str">
        <x:v>O00862</x:v>
      </x:c>
      <x:c r="C2117" s="7" t="n">
        <x:v>45904</x:v>
      </x:c>
      <x:c r="D2117" s="2" t="str">
        <x:v>Completed</x:v>
      </x:c>
      <x:c r="E2117" s="2" t="str">
        <x:v>North</x:v>
      </x:c>
      <x:c r="F2117" s="2" t="str">
        <x:v>Online</x:v>
      </x:c>
      <x:c r="G2117" s="2" t="str">
        <x:v>Furniture</x:v>
      </x:c>
      <x:c r="H2117" s="2" t="str">
        <x:v>Chair 014</x:v>
      </x:c>
      <x:c r="I2117" s="11" t="n">
        <x:v>2</x:v>
      </x:c>
      <x:c r="J2117" s="9" t="n">
        <x:v>294</x:v>
      </x:c>
      <x:c r="K2117" s="10" t="n">
        <x:v>0.2</x:v>
      </x:c>
      <x:c r="L2117" s="11" t="n">
        <x:v>0</x:v>
      </x:c>
      <x:c r="M2117" s="9" t="n">
        <x:f>IF(D2117="Completed",I2117*J2117,0)</x:f>
        <x:v>588</x:v>
      </x:c>
      <x:c r="N2117" s="9" t="n">
        <x:f>M2117*K2117</x:f>
        <x:v>117.60000000000001</x:v>
      </x:c>
      <x:c r="O2117" s="9" t="n">
        <x:f>M2117-N2117</x:f>
        <x:v>470.4</x:v>
      </x:c>
      <x:c r="P2117" s="9" t="n">
        <x:f>IF(D2117="Completed",L2117*J2117*(1-K2117),0)</x:f>
        <x:v>0</x:v>
      </x:c>
      <x:c r="Q2117" s="9" t="n">
        <x:f>O2117-P2117</x:f>
        <x:v>470.4</x:v>
      </x:c>
      <x:c r="R2117" s="11" t="n">
        <x:f>IF(D2117="Completed",I2117,0)</x:f>
        <x:v>2</x:v>
      </x:c>
      <x:c r="S2117" s="11" t="n">
        <x:f>IF(D2117="Completed",L2117,0)</x:f>
        <x:v>0</x:v>
      </x:c>
      <x:c r="T2117" s="8" t="n">
        <x:f>DATE(YEAR(C2117),MONTH(C2117),1)</x:f>
        <x:v>45901</x:v>
      </x:c>
    </x:row>
    <x:row r="2118" ht="22" customHeight="1">
      <x:c r="A2118" s="2" t="str">
        <x:v>L002114</x:v>
      </x:c>
      <x:c r="B2118" s="2" t="str">
        <x:v>O00863</x:v>
      </x:c>
      <x:c r="C2118" s="7" t="n">
        <x:v>45793</x:v>
      </x:c>
      <x:c r="D2118" s="2" t="str">
        <x:v>Completed</x:v>
      </x:c>
      <x:c r="E2118" s="2" t="str">
        <x:v>West</x:v>
      </x:c>
      <x:c r="F2118" s="2" t="str">
        <x:v>Store</x:v>
      </x:c>
      <x:c r="G2118" s="2" t="str">
        <x:v>Storage</x:v>
      </x:c>
      <x:c r="H2118" s="2" t="str">
        <x:v>Shelf 011</x:v>
      </x:c>
      <x:c r="I2118" s="11" t="n">
        <x:v>1</x:v>
      </x:c>
      <x:c r="J2118" s="9" t="n">
        <x:v>80</x:v>
      </x:c>
      <x:c r="K2118" s="10" t="n">
        <x:v>0.2</x:v>
      </x:c>
      <x:c r="L2118" s="11" t="n">
        <x:v>0</x:v>
      </x:c>
      <x:c r="M2118" s="9" t="n">
        <x:f>IF(D2118="Completed",I2118*J2118,0)</x:f>
        <x:v>80</x:v>
      </x:c>
      <x:c r="N2118" s="9" t="n">
        <x:f>M2118*K2118</x:f>
        <x:v>16</x:v>
      </x:c>
      <x:c r="O2118" s="9" t="n">
        <x:f>M2118-N2118</x:f>
        <x:v>64</x:v>
      </x:c>
      <x:c r="P2118" s="9" t="n">
        <x:f>IF(D2118="Completed",L2118*J2118*(1-K2118),0)</x:f>
        <x:v>0</x:v>
      </x:c>
      <x:c r="Q2118" s="9" t="n">
        <x:f>O2118-P2118</x:f>
        <x:v>64</x:v>
      </x:c>
      <x:c r="R2118" s="11" t="n">
        <x:f>IF(D2118="Completed",I2118,0)</x:f>
        <x:v>1</x:v>
      </x:c>
      <x:c r="S2118" s="11" t="n">
        <x:f>IF(D2118="Completed",L2118,0)</x:f>
        <x:v>0</x:v>
      </x:c>
      <x:c r="T2118" s="8" t="n">
        <x:f>DATE(YEAR(C2118),MONTH(C2118),1)</x:f>
        <x:v>45778</x:v>
      </x:c>
    </x:row>
    <x:row r="2119" ht="22" customHeight="1">
      <x:c r="A2119" s="2" t="str">
        <x:v>L002115</x:v>
      </x:c>
      <x:c r="B2119" s="2" t="str">
        <x:v>O00863</x:v>
      </x:c>
      <x:c r="C2119" s="7" t="n">
        <x:v>45793</x:v>
      </x:c>
      <x:c r="D2119" s="2" t="str">
        <x:v>Completed</x:v>
      </x:c>
      <x:c r="E2119" s="2" t="str">
        <x:v>West</x:v>
      </x:c>
      <x:c r="F2119" s="2" t="str">
        <x:v>Store</x:v>
      </x:c>
      <x:c r="G2119" s="2" t="str">
        <x:v>Furniture</x:v>
      </x:c>
      <x:c r="H2119" s="2" t="str">
        <x:v>Chair 014</x:v>
      </x:c>
      <x:c r="I2119" s="11" t="n">
        <x:v>1</x:v>
      </x:c>
      <x:c r="J2119" s="9" t="n">
        <x:v>294</x:v>
      </x:c>
      <x:c r="K2119" s="10" t="n">
        <x:v>0.1</x:v>
      </x:c>
      <x:c r="L2119" s="11" t="n">
        <x:v>1</x:v>
      </x:c>
      <x:c r="M2119" s="9" t="n">
        <x:f>IF(D2119="Completed",I2119*J2119,0)</x:f>
        <x:v>294</x:v>
      </x:c>
      <x:c r="N2119" s="9" t="n">
        <x:f>M2119*K2119</x:f>
        <x:v>29.400000000000002</x:v>
      </x:c>
      <x:c r="O2119" s="9" t="n">
        <x:f>M2119-N2119</x:f>
        <x:v>264.6</x:v>
      </x:c>
      <x:c r="P2119" s="9" t="n">
        <x:f>IF(D2119="Completed",L2119*J2119*(1-K2119),0)</x:f>
        <x:v>264.6</x:v>
      </x:c>
      <x:c r="Q2119" s="9" t="n">
        <x:f>O2119-P2119</x:f>
        <x:v>0</x:v>
      </x:c>
      <x:c r="R2119" s="11" t="n">
        <x:f>IF(D2119="Completed",I2119,0)</x:f>
        <x:v>1</x:v>
      </x:c>
      <x:c r="S2119" s="11" t="n">
        <x:f>IF(D2119="Completed",L2119,0)</x:f>
        <x:v>1</x:v>
      </x:c>
      <x:c r="T2119" s="8" t="n">
        <x:f>DATE(YEAR(C2119),MONTH(C2119),1)</x:f>
        <x:v>45778</x:v>
      </x:c>
    </x:row>
    <x:row r="2120" ht="22" customHeight="1">
      <x:c r="A2120" s="2" t="str">
        <x:v>L002116</x:v>
      </x:c>
      <x:c r="B2120" s="2" t="str">
        <x:v>O00864</x:v>
      </x:c>
      <x:c r="C2120" s="7" t="n">
        <x:v>45705</x:v>
      </x:c>
      <x:c r="D2120" s="2" t="str">
        <x:v>Completed</x:v>
      </x:c>
      <x:c r="E2120" s="2" t="str">
        <x:v>West</x:v>
      </x:c>
      <x:c r="F2120" s="2" t="str">
        <x:v>Store</x:v>
      </x:c>
      <x:c r="G2120" s="2" t="str">
        <x:v>Furniture</x:v>
      </x:c>
      <x:c r="H2120" s="2" t="str">
        <x:v>Desk 008</x:v>
      </x:c>
      <x:c r="I2120" s="11" t="n">
        <x:v>1</x:v>
      </x:c>
      <x:c r="J2120" s="9" t="n">
        <x:v>188</x:v>
      </x:c>
      <x:c r="K2120" s="10" t="n">
        <x:v>0.05</x:v>
      </x:c>
      <x:c r="L2120" s="11" t="n">
        <x:v>0</x:v>
      </x:c>
      <x:c r="M2120" s="9" t="n">
        <x:f>IF(D2120="Completed",I2120*J2120,0)</x:f>
        <x:v>188</x:v>
      </x:c>
      <x:c r="N2120" s="9" t="n">
        <x:f>M2120*K2120</x:f>
        <x:v>9.4</x:v>
      </x:c>
      <x:c r="O2120" s="9" t="n">
        <x:f>M2120-N2120</x:f>
        <x:v>178.6</x:v>
      </x:c>
      <x:c r="P2120" s="9" t="n">
        <x:f>IF(D2120="Completed",L2120*J2120*(1-K2120),0)</x:f>
        <x:v>0</x:v>
      </x:c>
      <x:c r="Q2120" s="9" t="n">
        <x:f>O2120-P2120</x:f>
        <x:v>178.6</x:v>
      </x:c>
      <x:c r="R2120" s="11" t="n">
        <x:f>IF(D2120="Completed",I2120,0)</x:f>
        <x:v>1</x:v>
      </x:c>
      <x:c r="S2120" s="11" t="n">
        <x:f>IF(D2120="Completed",L2120,0)</x:f>
        <x:v>0</x:v>
      </x:c>
      <x:c r="T2120" s="8" t="n">
        <x:f>DATE(YEAR(C2120),MONTH(C2120),1)</x:f>
        <x:v>45689</x:v>
      </x:c>
    </x:row>
    <x:row r="2121" ht="22" customHeight="1">
      <x:c r="A2121" s="2" t="str">
        <x:v>L002117</x:v>
      </x:c>
      <x:c r="B2121" s="2" t="str">
        <x:v>O00864</x:v>
      </x:c>
      <x:c r="C2121" s="7" t="n">
        <x:v>45705</x:v>
      </x:c>
      <x:c r="D2121" s="2" t="str">
        <x:v>Completed</x:v>
      </x:c>
      <x:c r="E2121" s="2" t="str">
        <x:v>West</x:v>
      </x:c>
      <x:c r="F2121" s="2" t="str">
        <x:v>Store</x:v>
      </x:c>
      <x:c r="G2121" s="2" t="str">
        <x:v>Furniture</x:v>
      </x:c>
      <x:c r="H2121" s="2" t="str">
        <x:v>Chair 002</x:v>
      </x:c>
      <x:c r="I2121" s="11" t="n">
        <x:v>3</x:v>
      </x:c>
      <x:c r="J2121" s="9" t="n">
        <x:v>284</x:v>
      </x:c>
      <x:c r="K2121" s="10" t="n">
        <x:v>0</x:v>
      </x:c>
      <x:c r="L2121" s="11" t="n">
        <x:v>0</x:v>
      </x:c>
      <x:c r="M2121" s="9" t="n">
        <x:f>IF(D2121="Completed",I2121*J2121,0)</x:f>
        <x:v>852</x:v>
      </x:c>
      <x:c r="N2121" s="9" t="n">
        <x:f>M2121*K2121</x:f>
        <x:v>0</x:v>
      </x:c>
      <x:c r="O2121" s="9" t="n">
        <x:f>M2121-N2121</x:f>
        <x:v>852</x:v>
      </x:c>
      <x:c r="P2121" s="9" t="n">
        <x:f>IF(D2121="Completed",L2121*J2121*(1-K2121),0)</x:f>
        <x:v>0</x:v>
      </x:c>
      <x:c r="Q2121" s="9" t="n">
        <x:f>O2121-P2121</x:f>
        <x:v>852</x:v>
      </x:c>
      <x:c r="R2121" s="11" t="n">
        <x:f>IF(D2121="Completed",I2121,0)</x:f>
        <x:v>3</x:v>
      </x:c>
      <x:c r="S2121" s="11" t="n">
        <x:f>IF(D2121="Completed",L2121,0)</x:f>
        <x:v>0</x:v>
      </x:c>
      <x:c r="T2121" s="8" t="n">
        <x:f>DATE(YEAR(C2121),MONTH(C2121),1)</x:f>
        <x:v>45689</x:v>
      </x:c>
    </x:row>
    <x:row r="2122" ht="22" customHeight="1">
      <x:c r="A2122" s="2" t="str">
        <x:v>L002118</x:v>
      </x:c>
      <x:c r="B2122" s="2" t="str">
        <x:v>O00865</x:v>
      </x:c>
      <x:c r="C2122" s="7" t="n">
        <x:v>45766</x:v>
      </x:c>
      <x:c r="D2122" s="2" t="str">
        <x:v>Completed</x:v>
      </x:c>
      <x:c r="E2122" s="2" t="str">
        <x:v>South</x:v>
      </x:c>
      <x:c r="F2122" s="2" t="str">
        <x:v>Store</x:v>
      </x:c>
      <x:c r="G2122" s="2" t="str">
        <x:v>Furniture</x:v>
      </x:c>
      <x:c r="H2122" s="2" t="str">
        <x:v>Desk 008</x:v>
      </x:c>
      <x:c r="I2122" s="11" t="n">
        <x:v>4</x:v>
      </x:c>
      <x:c r="J2122" s="9" t="n">
        <x:v>188</x:v>
      </x:c>
      <x:c r="K2122" s="10" t="n">
        <x:v>0.05</x:v>
      </x:c>
      <x:c r="L2122" s="11" t="n">
        <x:v>0</x:v>
      </x:c>
      <x:c r="M2122" s="9" t="n">
        <x:f>IF(D2122="Completed",I2122*J2122,0)</x:f>
        <x:v>752</x:v>
      </x:c>
      <x:c r="N2122" s="9" t="n">
        <x:f>M2122*K2122</x:f>
        <x:v>37.6</x:v>
      </x:c>
      <x:c r="O2122" s="9" t="n">
        <x:f>M2122-N2122</x:f>
        <x:v>714.4</x:v>
      </x:c>
      <x:c r="P2122" s="9" t="n">
        <x:f>IF(D2122="Completed",L2122*J2122*(1-K2122),0)</x:f>
        <x:v>0</x:v>
      </x:c>
      <x:c r="Q2122" s="9" t="n">
        <x:f>O2122-P2122</x:f>
        <x:v>714.4</x:v>
      </x:c>
      <x:c r="R2122" s="11" t="n">
        <x:f>IF(D2122="Completed",I2122,0)</x:f>
        <x:v>4</x:v>
      </x:c>
      <x:c r="S2122" s="11" t="n">
        <x:f>IF(D2122="Completed",L2122,0)</x:f>
        <x:v>0</x:v>
      </x:c>
      <x:c r="T2122" s="8" t="n">
        <x:f>DATE(YEAR(C2122),MONTH(C2122),1)</x:f>
        <x:v>45748</x:v>
      </x:c>
    </x:row>
    <x:row r="2123" ht="22" customHeight="1">
      <x:c r="A2123" s="2" t="str">
        <x:v>L002119</x:v>
      </x:c>
      <x:c r="B2123" s="2" t="str">
        <x:v>O00866</x:v>
      </x:c>
      <x:c r="C2123" s="7" t="n">
        <x:v>45805</x:v>
      </x:c>
      <x:c r="D2123" s="2" t="str">
        <x:v>Completed</x:v>
      </x:c>
      <x:c r="E2123" s="2" t="str">
        <x:v>North</x:v>
      </x:c>
      <x:c r="F2123" s="2" t="str">
        <x:v>Online</x:v>
      </x:c>
      <x:c r="G2123" s="2" t="str">
        <x:v>Furniture</x:v>
      </x:c>
      <x:c r="H2123" s="2" t="str">
        <x:v>Chair 018</x:v>
      </x:c>
      <x:c r="I2123" s="11" t="n">
        <x:v>2</x:v>
      </x:c>
      <x:c r="J2123" s="9" t="n">
        <x:v>269</x:v>
      </x:c>
      <x:c r="K2123" s="10" t="n">
        <x:v>0.1</x:v>
      </x:c>
      <x:c r="L2123" s="11" t="n">
        <x:v>1</x:v>
      </x:c>
      <x:c r="M2123" s="9" t="n">
        <x:f>IF(D2123="Completed",I2123*J2123,0)</x:f>
        <x:v>538</x:v>
      </x:c>
      <x:c r="N2123" s="9" t="n">
        <x:f>M2123*K2123</x:f>
        <x:v>53.800000000000004</x:v>
      </x:c>
      <x:c r="O2123" s="9" t="n">
        <x:f>M2123-N2123</x:f>
        <x:v>484.2</x:v>
      </x:c>
      <x:c r="P2123" s="9" t="n">
        <x:f>IF(D2123="Completed",L2123*J2123*(1-K2123),0)</x:f>
        <x:v>242.1</x:v>
      </x:c>
      <x:c r="Q2123" s="9" t="n">
        <x:f>O2123-P2123</x:f>
        <x:v>242.1</x:v>
      </x:c>
      <x:c r="R2123" s="11" t="n">
        <x:f>IF(D2123="Completed",I2123,0)</x:f>
        <x:v>2</x:v>
      </x:c>
      <x:c r="S2123" s="11" t="n">
        <x:f>IF(D2123="Completed",L2123,0)</x:f>
        <x:v>1</x:v>
      </x:c>
      <x:c r="T2123" s="8" t="n">
        <x:f>DATE(YEAR(C2123),MONTH(C2123),1)</x:f>
        <x:v>45778</x:v>
      </x:c>
    </x:row>
    <x:row r="2124" ht="22" customHeight="1">
      <x:c r="A2124" s="2" t="str">
        <x:v>L002120</x:v>
      </x:c>
      <x:c r="B2124" s="2" t="str">
        <x:v>O00867</x:v>
      </x:c>
      <x:c r="C2124" s="7" t="n">
        <x:v>45881</x:v>
      </x:c>
      <x:c r="D2124" s="2" t="str">
        <x:v>Completed</x:v>
      </x:c>
      <x:c r="E2124" s="2" t="str">
        <x:v>North</x:v>
      </x:c>
      <x:c r="F2124" s="2" t="str">
        <x:v>Store</x:v>
      </x:c>
      <x:c r="G2124" s="2" t="str">
        <x:v>Storage</x:v>
      </x:c>
      <x:c r="H2124" s="2" t="str">
        <x:v>Shelf 015</x:v>
      </x:c>
      <x:c r="I2124" s="11" t="n">
        <x:v>5</x:v>
      </x:c>
      <x:c r="J2124" s="9" t="n">
        <x:v>254</x:v>
      </x:c>
      <x:c r="K2124" s="10" t="n">
        <x:v>0.05</x:v>
      </x:c>
      <x:c r="L2124" s="11" t="n">
        <x:v>0</x:v>
      </x:c>
      <x:c r="M2124" s="9" t="n">
        <x:f>IF(D2124="Completed",I2124*J2124,0)</x:f>
        <x:v>1270</x:v>
      </x:c>
      <x:c r="N2124" s="9" t="n">
        <x:f>M2124*K2124</x:f>
        <x:v>63.5</x:v>
      </x:c>
      <x:c r="O2124" s="9" t="n">
        <x:f>M2124-N2124</x:f>
        <x:v>1206.5</x:v>
      </x:c>
      <x:c r="P2124" s="9" t="n">
        <x:f>IF(D2124="Completed",L2124*J2124*(1-K2124),0)</x:f>
        <x:v>0</x:v>
      </x:c>
      <x:c r="Q2124" s="9" t="n">
        <x:f>O2124-P2124</x:f>
        <x:v>1206.5</x:v>
      </x:c>
      <x:c r="R2124" s="11" t="n">
        <x:f>IF(D2124="Completed",I2124,0)</x:f>
        <x:v>5</x:v>
      </x:c>
      <x:c r="S2124" s="11" t="n">
        <x:f>IF(D2124="Completed",L2124,0)</x:f>
        <x:v>0</x:v>
      </x:c>
      <x:c r="T2124" s="8" t="n">
        <x:f>DATE(YEAR(C2124),MONTH(C2124),1)</x:f>
        <x:v>45870</x:v>
      </x:c>
    </x:row>
    <x:row r="2125" ht="22" customHeight="1">
      <x:c r="A2125" s="2" t="str">
        <x:v>L002121</x:v>
      </x:c>
      <x:c r="B2125" s="2" t="str">
        <x:v>O00867</x:v>
      </x:c>
      <x:c r="C2125" s="7" t="n">
        <x:v>45881</x:v>
      </x:c>
      <x:c r="D2125" s="2" t="str">
        <x:v>Completed</x:v>
      </x:c>
      <x:c r="E2125" s="2" t="str">
        <x:v>North</x:v>
      </x:c>
      <x:c r="F2125" s="2" t="str">
        <x:v>Store</x:v>
      </x:c>
      <x:c r="G2125" s="2" t="str">
        <x:v>Furniture</x:v>
      </x:c>
      <x:c r="H2125" s="2" t="str">
        <x:v>Desk 012</x:v>
      </x:c>
      <x:c r="I2125" s="11" t="n">
        <x:v>4</x:v>
      </x:c>
      <x:c r="J2125" s="9" t="n">
        <x:v>134</x:v>
      </x:c>
      <x:c r="K2125" s="10" t="n">
        <x:v>0</x:v>
      </x:c>
      <x:c r="L2125" s="11" t="n">
        <x:v>0</x:v>
      </x:c>
      <x:c r="M2125" s="9" t="n">
        <x:f>IF(D2125="Completed",I2125*J2125,0)</x:f>
        <x:v>536</x:v>
      </x:c>
      <x:c r="N2125" s="9" t="n">
        <x:f>M2125*K2125</x:f>
        <x:v>0</x:v>
      </x:c>
      <x:c r="O2125" s="9" t="n">
        <x:f>M2125-N2125</x:f>
        <x:v>536</x:v>
      </x:c>
      <x:c r="P2125" s="9" t="n">
        <x:f>IF(D2125="Completed",L2125*J2125*(1-K2125),0)</x:f>
        <x:v>0</x:v>
      </x:c>
      <x:c r="Q2125" s="9" t="n">
        <x:f>O2125-P2125</x:f>
        <x:v>536</x:v>
      </x:c>
      <x:c r="R2125" s="11" t="n">
        <x:f>IF(D2125="Completed",I2125,0)</x:f>
        <x:v>4</x:v>
      </x:c>
      <x:c r="S2125" s="11" t="n">
        <x:f>IF(D2125="Completed",L2125,0)</x:f>
        <x:v>0</x:v>
      </x:c>
      <x:c r="T2125" s="8" t="n">
        <x:f>DATE(YEAR(C2125),MONTH(C2125),1)</x:f>
        <x:v>45870</x:v>
      </x:c>
    </x:row>
    <x:row r="2126" ht="22" customHeight="1">
      <x:c r="A2126" s="2" t="str">
        <x:v>L002122</x:v>
      </x:c>
      <x:c r="B2126" s="2" t="str">
        <x:v>O00867</x:v>
      </x:c>
      <x:c r="C2126" s="7" t="n">
        <x:v>45881</x:v>
      </x:c>
      <x:c r="D2126" s="2" t="str">
        <x:v>Completed</x:v>
      </x:c>
      <x:c r="E2126" s="2" t="str">
        <x:v>North</x:v>
      </x:c>
      <x:c r="F2126" s="2" t="str">
        <x:v>Store</x:v>
      </x:c>
      <x:c r="G2126" s="2" t="str">
        <x:v>Furniture</x:v>
      </x:c>
      <x:c r="H2126" s="2" t="str">
        <x:v>Desk 004</x:v>
      </x:c>
      <x:c r="I2126" s="11" t="n">
        <x:v>1</x:v>
      </x:c>
      <x:c r="J2126" s="9" t="n">
        <x:v>123</x:v>
      </x:c>
      <x:c r="K2126" s="10" t="n">
        <x:v>0</x:v>
      </x:c>
      <x:c r="L2126" s="11" t="n">
        <x:v>0</x:v>
      </x:c>
      <x:c r="M2126" s="9" t="n">
        <x:f>IF(D2126="Completed",I2126*J2126,0)</x:f>
        <x:v>123</x:v>
      </x:c>
      <x:c r="N2126" s="9" t="n">
        <x:f>M2126*K2126</x:f>
        <x:v>0</x:v>
      </x:c>
      <x:c r="O2126" s="9" t="n">
        <x:f>M2126-N2126</x:f>
        <x:v>123</x:v>
      </x:c>
      <x:c r="P2126" s="9" t="n">
        <x:f>IF(D2126="Completed",L2126*J2126*(1-K2126),0)</x:f>
        <x:v>0</x:v>
      </x:c>
      <x:c r="Q2126" s="9" t="n">
        <x:f>O2126-P2126</x:f>
        <x:v>123</x:v>
      </x:c>
      <x:c r="R2126" s="11" t="n">
        <x:f>IF(D2126="Completed",I2126,0)</x:f>
        <x:v>1</x:v>
      </x:c>
      <x:c r="S2126" s="11" t="n">
        <x:f>IF(D2126="Completed",L2126,0)</x:f>
        <x:v>0</x:v>
      </x:c>
      <x:c r="T2126" s="8" t="n">
        <x:f>DATE(YEAR(C2126),MONTH(C2126),1)</x:f>
        <x:v>45870</x:v>
      </x:c>
    </x:row>
    <x:row r="2127" ht="22" customHeight="1">
      <x:c r="A2127" s="2" t="str">
        <x:v>L002123</x:v>
      </x:c>
      <x:c r="B2127" s="2" t="str">
        <x:v>O00868</x:v>
      </x:c>
      <x:c r="C2127" s="7" t="n">
        <x:v>45800</x:v>
      </x:c>
      <x:c r="D2127" s="2" t="str">
        <x:v>Completed</x:v>
      </x:c>
      <x:c r="E2127" s="2" t="str">
        <x:v>West</x:v>
      </x:c>
      <x:c r="F2127" s="2" t="str">
        <x:v>Online</x:v>
      </x:c>
      <x:c r="G2127" s="2" t="str">
        <x:v>Storage</x:v>
      </x:c>
      <x:c r="H2127" s="2" t="str">
        <x:v>Shelf 011</x:v>
      </x:c>
      <x:c r="I2127" s="11" t="n">
        <x:v>5</x:v>
      </x:c>
      <x:c r="J2127" s="9" t="n">
        <x:v>80</x:v>
      </x:c>
      <x:c r="K2127" s="10" t="n">
        <x:v>0.2</x:v>
      </x:c>
      <x:c r="L2127" s="11" t="n">
        <x:v>0</x:v>
      </x:c>
      <x:c r="M2127" s="9" t="n">
        <x:f>IF(D2127="Completed",I2127*J2127,0)</x:f>
        <x:v>400</x:v>
      </x:c>
      <x:c r="N2127" s="9" t="n">
        <x:f>M2127*K2127</x:f>
        <x:v>80</x:v>
      </x:c>
      <x:c r="O2127" s="9" t="n">
        <x:f>M2127-N2127</x:f>
        <x:v>320</x:v>
      </x:c>
      <x:c r="P2127" s="9" t="n">
        <x:f>IF(D2127="Completed",L2127*J2127*(1-K2127),0)</x:f>
        <x:v>0</x:v>
      </x:c>
      <x:c r="Q2127" s="9" t="n">
        <x:f>O2127-P2127</x:f>
        <x:v>320</x:v>
      </x:c>
      <x:c r="R2127" s="11" t="n">
        <x:f>IF(D2127="Completed",I2127,0)</x:f>
        <x:v>5</x:v>
      </x:c>
      <x:c r="S2127" s="11" t="n">
        <x:f>IF(D2127="Completed",L2127,0)</x:f>
        <x:v>0</x:v>
      </x:c>
      <x:c r="T2127" s="8" t="n">
        <x:f>DATE(YEAR(C2127),MONTH(C2127),1)</x:f>
        <x:v>45778</x:v>
      </x:c>
    </x:row>
    <x:row r="2128" ht="22" customHeight="1">
      <x:c r="A2128" s="2" t="str">
        <x:v>L002124</x:v>
      </x:c>
      <x:c r="B2128" s="2" t="str">
        <x:v>O00868</x:v>
      </x:c>
      <x:c r="C2128" s="7" t="n">
        <x:v>45800</x:v>
      </x:c>
      <x:c r="D2128" s="2" t="str">
        <x:v>Completed</x:v>
      </x:c>
      <x:c r="E2128" s="2" t="str">
        <x:v>West</x:v>
      </x:c>
      <x:c r="F2128" s="2" t="str">
        <x:v>Online</x:v>
      </x:c>
      <x:c r="G2128" s="2" t="str">
        <x:v>Furniture</x:v>
      </x:c>
      <x:c r="H2128" s="2" t="str">
        <x:v>Desk 024</x:v>
      </x:c>
      <x:c r="I2128" s="11" t="n">
        <x:v>1</x:v>
      </x:c>
      <x:c r="J2128" s="9" t="n">
        <x:v>81</x:v>
      </x:c>
      <x:c r="K2128" s="10" t="n">
        <x:v>0.1</x:v>
      </x:c>
      <x:c r="L2128" s="11" t="n">
        <x:v>0</x:v>
      </x:c>
      <x:c r="M2128" s="9" t="n">
        <x:f>IF(D2128="Completed",I2128*J2128,0)</x:f>
        <x:v>81</x:v>
      </x:c>
      <x:c r="N2128" s="9" t="n">
        <x:f>M2128*K2128</x:f>
        <x:v>8.1</x:v>
      </x:c>
      <x:c r="O2128" s="9" t="n">
        <x:f>M2128-N2128</x:f>
        <x:v>72.9</x:v>
      </x:c>
      <x:c r="P2128" s="9" t="n">
        <x:f>IF(D2128="Completed",L2128*J2128*(1-K2128),0)</x:f>
        <x:v>0</x:v>
      </x:c>
      <x:c r="Q2128" s="9" t="n">
        <x:f>O2128-P2128</x:f>
        <x:v>72.9</x:v>
      </x:c>
      <x:c r="R2128" s="11" t="n">
        <x:f>IF(D2128="Completed",I2128,0)</x:f>
        <x:v>1</x:v>
      </x:c>
      <x:c r="S2128" s="11" t="n">
        <x:f>IF(D2128="Completed",L2128,0)</x:f>
        <x:v>0</x:v>
      </x:c>
      <x:c r="T2128" s="8" t="n">
        <x:f>DATE(YEAR(C2128),MONTH(C2128),1)</x:f>
        <x:v>45778</x:v>
      </x:c>
    </x:row>
    <x:row r="2129" ht="22" customHeight="1">
      <x:c r="A2129" s="2" t="str">
        <x:v>L002125</x:v>
      </x:c>
      <x:c r="B2129" s="2" t="str">
        <x:v>O00869</x:v>
      </x:c>
      <x:c r="C2129" s="7" t="n">
        <x:v>45941</x:v>
      </x:c>
      <x:c r="D2129" s="2" t="str">
        <x:v>Completed</x:v>
      </x:c>
      <x:c r="E2129" s="2" t="str">
        <x:v>North</x:v>
      </x:c>
      <x:c r="F2129" s="2" t="str">
        <x:v>Online</x:v>
      </x:c>
      <x:c r="G2129" s="2" t="str">
        <x:v>Furniture</x:v>
      </x:c>
      <x:c r="H2129" s="2" t="str">
        <x:v>Desk 020</x:v>
      </x:c>
      <x:c r="I2129" s="11" t="n">
        <x:v>1</x:v>
      </x:c>
      <x:c r="J2129" s="9" t="n">
        <x:v>189</x:v>
      </x:c>
      <x:c r="K2129" s="10" t="n">
        <x:v>0</x:v>
      </x:c>
      <x:c r="L2129" s="11" t="n">
        <x:v>0</x:v>
      </x:c>
      <x:c r="M2129" s="9" t="n">
        <x:f>IF(D2129="Completed",I2129*J2129,0)</x:f>
        <x:v>189</x:v>
      </x:c>
      <x:c r="N2129" s="9" t="n">
        <x:f>M2129*K2129</x:f>
        <x:v>0</x:v>
      </x:c>
      <x:c r="O2129" s="9" t="n">
        <x:f>M2129-N2129</x:f>
        <x:v>189</x:v>
      </x:c>
      <x:c r="P2129" s="9" t="n">
        <x:f>IF(D2129="Completed",L2129*J2129*(1-K2129),0)</x:f>
        <x:v>0</x:v>
      </x:c>
      <x:c r="Q2129" s="9" t="n">
        <x:f>O2129-P2129</x:f>
        <x:v>189</x:v>
      </x:c>
      <x:c r="R2129" s="11" t="n">
        <x:f>IF(D2129="Completed",I2129,0)</x:f>
        <x:v>1</x:v>
      </x:c>
      <x:c r="S2129" s="11" t="n">
        <x:f>IF(D2129="Completed",L2129,0)</x:f>
        <x:v>0</x:v>
      </x:c>
      <x:c r="T2129" s="8" t="n">
        <x:f>DATE(YEAR(C2129),MONTH(C2129),1)</x:f>
        <x:v>45931</x:v>
      </x:c>
    </x:row>
    <x:row r="2130" ht="22" customHeight="1">
      <x:c r="A2130" s="2" t="str">
        <x:v>L002126</x:v>
      </x:c>
      <x:c r="B2130" s="2" t="str">
        <x:v>O00869</x:v>
      </x:c>
      <x:c r="C2130" s="7" t="n">
        <x:v>45941</x:v>
      </x:c>
      <x:c r="D2130" s="2" t="str">
        <x:v>Completed</x:v>
      </x:c>
      <x:c r="E2130" s="2" t="str">
        <x:v>North</x:v>
      </x:c>
      <x:c r="F2130" s="2" t="str">
        <x:v>Online</x:v>
      </x:c>
      <x:c r="G2130" s="2" t="str">
        <x:v>Furniture</x:v>
      </x:c>
      <x:c r="H2130" s="2" t="str">
        <x:v>Desk 016</x:v>
      </x:c>
      <x:c r="I2130" s="11" t="n">
        <x:v>2</x:v>
      </x:c>
      <x:c r="J2130" s="9" t="n">
        <x:v>231</x:v>
      </x:c>
      <x:c r="K2130" s="10" t="n">
        <x:v>0</x:v>
      </x:c>
      <x:c r="L2130" s="11" t="n">
        <x:v>0</x:v>
      </x:c>
      <x:c r="M2130" s="9" t="n">
        <x:f>IF(D2130="Completed",I2130*J2130,0)</x:f>
        <x:v>462</x:v>
      </x:c>
      <x:c r="N2130" s="9" t="n">
        <x:f>M2130*K2130</x:f>
        <x:v>0</x:v>
      </x:c>
      <x:c r="O2130" s="9" t="n">
        <x:f>M2130-N2130</x:f>
        <x:v>462</x:v>
      </x:c>
      <x:c r="P2130" s="9" t="n">
        <x:f>IF(D2130="Completed",L2130*J2130*(1-K2130),0)</x:f>
        <x:v>0</x:v>
      </x:c>
      <x:c r="Q2130" s="9" t="n">
        <x:f>O2130-P2130</x:f>
        <x:v>462</x:v>
      </x:c>
      <x:c r="R2130" s="11" t="n">
        <x:f>IF(D2130="Completed",I2130,0)</x:f>
        <x:v>2</x:v>
      </x:c>
      <x:c r="S2130" s="11" t="n">
        <x:f>IF(D2130="Completed",L2130,0)</x:f>
        <x:v>0</x:v>
      </x:c>
      <x:c r="T2130" s="8" t="n">
        <x:f>DATE(YEAR(C2130),MONTH(C2130),1)</x:f>
        <x:v>45931</x:v>
      </x:c>
    </x:row>
    <x:row r="2131" ht="22" customHeight="1">
      <x:c r="A2131" s="2" t="str">
        <x:v>L002127</x:v>
      </x:c>
      <x:c r="B2131" s="2" t="str">
        <x:v>O00869</x:v>
      </x:c>
      <x:c r="C2131" s="7" t="n">
        <x:v>45941</x:v>
      </x:c>
      <x:c r="D2131" s="2" t="str">
        <x:v>Completed</x:v>
      </x:c>
      <x:c r="E2131" s="2" t="str">
        <x:v>North</x:v>
      </x:c>
      <x:c r="F2131" s="2" t="str">
        <x:v>Online</x:v>
      </x:c>
      <x:c r="G2131" s="2" t="str">
        <x:v>Lighting</x:v>
      </x:c>
      <x:c r="H2131" s="2" t="str">
        <x:v>Lamp 017</x:v>
      </x:c>
      <x:c r="I2131" s="11" t="n">
        <x:v>3</x:v>
      </x:c>
      <x:c r="J2131" s="9" t="n">
        <x:v>300</x:v>
      </x:c>
      <x:c r="K2131" s="10" t="n">
        <x:v>0.1</x:v>
      </x:c>
      <x:c r="L2131" s="11" t="n">
        <x:v>0</x:v>
      </x:c>
      <x:c r="M2131" s="9" t="n">
        <x:f>IF(D2131="Completed",I2131*J2131,0)</x:f>
        <x:v>900</x:v>
      </x:c>
      <x:c r="N2131" s="9" t="n">
        <x:f>M2131*K2131</x:f>
        <x:v>90</x:v>
      </x:c>
      <x:c r="O2131" s="9" t="n">
        <x:f>M2131-N2131</x:f>
        <x:v>810</x:v>
      </x:c>
      <x:c r="P2131" s="9" t="n">
        <x:f>IF(D2131="Completed",L2131*J2131*(1-K2131),0)</x:f>
        <x:v>0</x:v>
      </x:c>
      <x:c r="Q2131" s="9" t="n">
        <x:f>O2131-P2131</x:f>
        <x:v>810</x:v>
      </x:c>
      <x:c r="R2131" s="11" t="n">
        <x:f>IF(D2131="Completed",I2131,0)</x:f>
        <x:v>3</x:v>
      </x:c>
      <x:c r="S2131" s="11" t="n">
        <x:f>IF(D2131="Completed",L2131,0)</x:f>
        <x:v>0</x:v>
      </x:c>
      <x:c r="T2131" s="8" t="n">
        <x:f>DATE(YEAR(C2131),MONTH(C2131),1)</x:f>
        <x:v>45931</x:v>
      </x:c>
    </x:row>
    <x:row r="2132" ht="22" customHeight="1">
      <x:c r="A2132" s="2" t="str">
        <x:v>L002128</x:v>
      </x:c>
      <x:c r="B2132" s="2" t="str">
        <x:v>O00869</x:v>
      </x:c>
      <x:c r="C2132" s="7" t="n">
        <x:v>45941</x:v>
      </x:c>
      <x:c r="D2132" s="2" t="str">
        <x:v>Completed</x:v>
      </x:c>
      <x:c r="E2132" s="2" t="str">
        <x:v>North</x:v>
      </x:c>
      <x:c r="F2132" s="2" t="str">
        <x:v>Online</x:v>
      </x:c>
      <x:c r="G2132" s="2" t="str">
        <x:v>Furniture</x:v>
      </x:c>
      <x:c r="H2132" s="2" t="str">
        <x:v>Desk 024</x:v>
      </x:c>
      <x:c r="I2132" s="11" t="n">
        <x:v>1</x:v>
      </x:c>
      <x:c r="J2132" s="9" t="n">
        <x:v>81</x:v>
      </x:c>
      <x:c r="K2132" s="10" t="n">
        <x:v>0</x:v>
      </x:c>
      <x:c r="L2132" s="11" t="n">
        <x:v>0</x:v>
      </x:c>
      <x:c r="M2132" s="9" t="n">
        <x:f>IF(D2132="Completed",I2132*J2132,0)</x:f>
        <x:v>81</x:v>
      </x:c>
      <x:c r="N2132" s="9" t="n">
        <x:f>M2132*K2132</x:f>
        <x:v>0</x:v>
      </x:c>
      <x:c r="O2132" s="9" t="n">
        <x:f>M2132-N2132</x:f>
        <x:v>81</x:v>
      </x:c>
      <x:c r="P2132" s="9" t="n">
        <x:f>IF(D2132="Completed",L2132*J2132*(1-K2132),0)</x:f>
        <x:v>0</x:v>
      </x:c>
      <x:c r="Q2132" s="9" t="n">
        <x:f>O2132-P2132</x:f>
        <x:v>81</x:v>
      </x:c>
      <x:c r="R2132" s="11" t="n">
        <x:f>IF(D2132="Completed",I2132,0)</x:f>
        <x:v>1</x:v>
      </x:c>
      <x:c r="S2132" s="11" t="n">
        <x:f>IF(D2132="Completed",L2132,0)</x:f>
        <x:v>0</x:v>
      </x:c>
      <x:c r="T2132" s="8" t="n">
        <x:f>DATE(YEAR(C2132),MONTH(C2132),1)</x:f>
        <x:v>45931</x:v>
      </x:c>
    </x:row>
    <x:row r="2133" ht="22" customHeight="1">
      <x:c r="A2133" s="2" t="str">
        <x:v>L002129</x:v>
      </x:c>
      <x:c r="B2133" s="2" t="str">
        <x:v>O00870</x:v>
      </x:c>
      <x:c r="C2133" s="7" t="n">
        <x:v>45816</x:v>
      </x:c>
      <x:c r="D2133" s="2" t="str">
        <x:v>Completed</x:v>
      </x:c>
      <x:c r="E2133" s="2" t="str">
        <x:v>North</x:v>
      </x:c>
      <x:c r="F2133" s="2" t="str">
        <x:v>Store</x:v>
      </x:c>
      <x:c r="G2133" s="2" t="str">
        <x:v>Furniture</x:v>
      </x:c>
      <x:c r="H2133" s="2" t="str">
        <x:v>Chair 014</x:v>
      </x:c>
      <x:c r="I2133" s="11" t="n">
        <x:v>3</x:v>
      </x:c>
      <x:c r="J2133" s="9" t="n">
        <x:v>294</x:v>
      </x:c>
      <x:c r="K2133" s="10" t="n">
        <x:v>0.05</x:v>
      </x:c>
      <x:c r="L2133" s="11" t="n">
        <x:v>0</x:v>
      </x:c>
      <x:c r="M2133" s="9" t="n">
        <x:f>IF(D2133="Completed",I2133*J2133,0)</x:f>
        <x:v>882</x:v>
      </x:c>
      <x:c r="N2133" s="9" t="n">
        <x:f>M2133*K2133</x:f>
        <x:v>44.1</x:v>
      </x:c>
      <x:c r="O2133" s="9" t="n">
        <x:f>M2133-N2133</x:f>
        <x:v>837.9</x:v>
      </x:c>
      <x:c r="P2133" s="9" t="n">
        <x:f>IF(D2133="Completed",L2133*J2133*(1-K2133),0)</x:f>
        <x:v>0</x:v>
      </x:c>
      <x:c r="Q2133" s="9" t="n">
        <x:f>O2133-P2133</x:f>
        <x:v>837.9</x:v>
      </x:c>
      <x:c r="R2133" s="11" t="n">
        <x:f>IF(D2133="Completed",I2133,0)</x:f>
        <x:v>3</x:v>
      </x:c>
      <x:c r="S2133" s="11" t="n">
        <x:f>IF(D2133="Completed",L2133,0)</x:f>
        <x:v>0</x:v>
      </x:c>
      <x:c r="T2133" s="8" t="n">
        <x:f>DATE(YEAR(C2133),MONTH(C2133),1)</x:f>
        <x:v>45809</x:v>
      </x:c>
    </x:row>
    <x:row r="2134" ht="22" customHeight="1">
      <x:c r="A2134" s="2" t="str">
        <x:v>L002130</x:v>
      </x:c>
      <x:c r="B2134" s="2" t="str">
        <x:v>O00870</x:v>
      </x:c>
      <x:c r="C2134" s="7" t="n">
        <x:v>45816</x:v>
      </x:c>
      <x:c r="D2134" s="2" t="str">
        <x:v>Completed</x:v>
      </x:c>
      <x:c r="E2134" s="2" t="str">
        <x:v>North</x:v>
      </x:c>
      <x:c r="F2134" s="2" t="str">
        <x:v>Store</x:v>
      </x:c>
      <x:c r="G2134" s="2" t="str">
        <x:v>Storage</x:v>
      </x:c>
      <x:c r="H2134" s="2" t="str">
        <x:v>Shelf 015</x:v>
      </x:c>
      <x:c r="I2134" s="11" t="n">
        <x:v>3</x:v>
      </x:c>
      <x:c r="J2134" s="9" t="n">
        <x:v>254</x:v>
      </x:c>
      <x:c r="K2134" s="10" t="n">
        <x:v>0.2</x:v>
      </x:c>
      <x:c r="L2134" s="11" t="n">
        <x:v>0</x:v>
      </x:c>
      <x:c r="M2134" s="9" t="n">
        <x:f>IF(D2134="Completed",I2134*J2134,0)</x:f>
        <x:v>762</x:v>
      </x:c>
      <x:c r="N2134" s="9" t="n">
        <x:f>M2134*K2134</x:f>
        <x:v>152.4</x:v>
      </x:c>
      <x:c r="O2134" s="9" t="n">
        <x:f>M2134-N2134</x:f>
        <x:v>609.6</x:v>
      </x:c>
      <x:c r="P2134" s="9" t="n">
        <x:f>IF(D2134="Completed",L2134*J2134*(1-K2134),0)</x:f>
        <x:v>0</x:v>
      </x:c>
      <x:c r="Q2134" s="9" t="n">
        <x:f>O2134-P2134</x:f>
        <x:v>609.6</x:v>
      </x:c>
      <x:c r="R2134" s="11" t="n">
        <x:f>IF(D2134="Completed",I2134,0)</x:f>
        <x:v>3</x:v>
      </x:c>
      <x:c r="S2134" s="11" t="n">
        <x:f>IF(D2134="Completed",L2134,0)</x:f>
        <x:v>0</x:v>
      </x:c>
      <x:c r="T2134" s="8" t="n">
        <x:f>DATE(YEAR(C2134),MONTH(C2134),1)</x:f>
        <x:v>45809</x:v>
      </x:c>
    </x:row>
    <x:row r="2135" ht="22" customHeight="1">
      <x:c r="A2135" s="2" t="str">
        <x:v>L002131</x:v>
      </x:c>
      <x:c r="B2135" s="2" t="str">
        <x:v>O00871</x:v>
      </x:c>
      <x:c r="C2135" s="7" t="n">
        <x:v>45982</x:v>
      </x:c>
      <x:c r="D2135" s="2" t="str">
        <x:v>Completed</x:v>
      </x:c>
      <x:c r="E2135" s="2" t="str">
        <x:v>South</x:v>
      </x:c>
      <x:c r="F2135" s="2" t="str">
        <x:v>Store</x:v>
      </x:c>
      <x:c r="G2135" s="2" t="str">
        <x:v>Furniture</x:v>
      </x:c>
      <x:c r="H2135" s="2" t="str">
        <x:v>Chair 022</x:v>
      </x:c>
      <x:c r="I2135" s="11" t="n">
        <x:v>2</x:v>
      </x:c>
      <x:c r="J2135" s="9" t="n">
        <x:v>134</x:v>
      </x:c>
      <x:c r="K2135" s="10" t="n">
        <x:v>0.2</x:v>
      </x:c>
      <x:c r="L2135" s="11" t="n">
        <x:v>0</x:v>
      </x:c>
      <x:c r="M2135" s="9" t="n">
        <x:f>IF(D2135="Completed",I2135*J2135,0)</x:f>
        <x:v>268</x:v>
      </x:c>
      <x:c r="N2135" s="9" t="n">
        <x:f>M2135*K2135</x:f>
        <x:v>53.6</x:v>
      </x:c>
      <x:c r="O2135" s="9" t="n">
        <x:f>M2135-N2135</x:f>
        <x:v>214.4</x:v>
      </x:c>
      <x:c r="P2135" s="9" t="n">
        <x:f>IF(D2135="Completed",L2135*J2135*(1-K2135),0)</x:f>
        <x:v>0</x:v>
      </x:c>
      <x:c r="Q2135" s="9" t="n">
        <x:f>O2135-P2135</x:f>
        <x:v>214.4</x:v>
      </x:c>
      <x:c r="R2135" s="11" t="n">
        <x:f>IF(D2135="Completed",I2135,0)</x:f>
        <x:v>2</x:v>
      </x:c>
      <x:c r="S2135" s="11" t="n">
        <x:f>IF(D2135="Completed",L2135,0)</x:f>
        <x:v>0</x:v>
      </x:c>
      <x:c r="T2135" s="8" t="n">
        <x:f>DATE(YEAR(C2135),MONTH(C2135),1)</x:f>
        <x:v>45962</x:v>
      </x:c>
    </x:row>
    <x:row r="2136" ht="22" customHeight="1">
      <x:c r="A2136" s="2" t="str">
        <x:v>L002132</x:v>
      </x:c>
      <x:c r="B2136" s="2" t="str">
        <x:v>O00872</x:v>
      </x:c>
      <x:c r="C2136" s="7" t="n">
        <x:v>45904</x:v>
      </x:c>
      <x:c r="D2136" s="2" t="str">
        <x:v>Completed</x:v>
      </x:c>
      <x:c r="E2136" s="2" t="str">
        <x:v>North</x:v>
      </x:c>
      <x:c r="F2136" s="2" t="str">
        <x:v>Store</x:v>
      </x:c>
      <x:c r="G2136" s="2" t="str">
        <x:v>Lighting</x:v>
      </x:c>
      <x:c r="H2136" s="2" t="str">
        <x:v>Lamp 009</x:v>
      </x:c>
      <x:c r="I2136" s="11" t="n">
        <x:v>1</x:v>
      </x:c>
      <x:c r="J2136" s="9" t="n">
        <x:v>93</x:v>
      </x:c>
      <x:c r="K2136" s="10" t="n">
        <x:v>0.1</x:v>
      </x:c>
      <x:c r="L2136" s="11" t="n">
        <x:v>0</x:v>
      </x:c>
      <x:c r="M2136" s="9" t="n">
        <x:f>IF(D2136="Completed",I2136*J2136,0)</x:f>
        <x:v>93</x:v>
      </x:c>
      <x:c r="N2136" s="9" t="n">
        <x:f>M2136*K2136</x:f>
        <x:v>9.3</x:v>
      </x:c>
      <x:c r="O2136" s="9" t="n">
        <x:f>M2136-N2136</x:f>
        <x:v>83.7</x:v>
      </x:c>
      <x:c r="P2136" s="9" t="n">
        <x:f>IF(D2136="Completed",L2136*J2136*(1-K2136),0)</x:f>
        <x:v>0</x:v>
      </x:c>
      <x:c r="Q2136" s="9" t="n">
        <x:f>O2136-P2136</x:f>
        <x:v>83.7</x:v>
      </x:c>
      <x:c r="R2136" s="11" t="n">
        <x:f>IF(D2136="Completed",I2136,0)</x:f>
        <x:v>1</x:v>
      </x:c>
      <x:c r="S2136" s="11" t="n">
        <x:f>IF(D2136="Completed",L2136,0)</x:f>
        <x:v>0</x:v>
      </x:c>
      <x:c r="T2136" s="8" t="n">
        <x:f>DATE(YEAR(C2136),MONTH(C2136),1)</x:f>
        <x:v>45901</x:v>
      </x:c>
    </x:row>
    <x:row r="2137" ht="22" customHeight="1">
      <x:c r="A2137" s="2" t="str">
        <x:v>L002133</x:v>
      </x:c>
      <x:c r="B2137" s="2" t="str">
        <x:v>O00872</x:v>
      </x:c>
      <x:c r="C2137" s="7" t="n">
        <x:v>45904</x:v>
      </x:c>
      <x:c r="D2137" s="2" t="str">
        <x:v>Completed</x:v>
      </x:c>
      <x:c r="E2137" s="2" t="str">
        <x:v>North</x:v>
      </x:c>
      <x:c r="F2137" s="2" t="str">
        <x:v>Store</x:v>
      </x:c>
      <x:c r="G2137" s="2" t="str">
        <x:v>Furniture</x:v>
      </x:c>
      <x:c r="H2137" s="2" t="str">
        <x:v>Chair 022</x:v>
      </x:c>
      <x:c r="I2137" s="11" t="n">
        <x:v>4</x:v>
      </x:c>
      <x:c r="J2137" s="9" t="n">
        <x:v>134</x:v>
      </x:c>
      <x:c r="K2137" s="10" t="n">
        <x:v>0</x:v>
      </x:c>
      <x:c r="L2137" s="11" t="n">
        <x:v>0</x:v>
      </x:c>
      <x:c r="M2137" s="9" t="n">
        <x:f>IF(D2137="Completed",I2137*J2137,0)</x:f>
        <x:v>536</x:v>
      </x:c>
      <x:c r="N2137" s="9" t="n">
        <x:f>M2137*K2137</x:f>
        <x:v>0</x:v>
      </x:c>
      <x:c r="O2137" s="9" t="n">
        <x:f>M2137-N2137</x:f>
        <x:v>536</x:v>
      </x:c>
      <x:c r="P2137" s="9" t="n">
        <x:f>IF(D2137="Completed",L2137*J2137*(1-K2137),0)</x:f>
        <x:v>0</x:v>
      </x:c>
      <x:c r="Q2137" s="9" t="n">
        <x:f>O2137-P2137</x:f>
        <x:v>536</x:v>
      </x:c>
      <x:c r="R2137" s="11" t="n">
        <x:f>IF(D2137="Completed",I2137,0)</x:f>
        <x:v>4</x:v>
      </x:c>
      <x:c r="S2137" s="11" t="n">
        <x:f>IF(D2137="Completed",L2137,0)</x:f>
        <x:v>0</x:v>
      </x:c>
      <x:c r="T2137" s="8" t="n">
        <x:f>DATE(YEAR(C2137),MONTH(C2137),1)</x:f>
        <x:v>45901</x:v>
      </x:c>
    </x:row>
    <x:row r="2138" ht="22" customHeight="1">
      <x:c r="A2138" s="2" t="str">
        <x:v>L002134</x:v>
      </x:c>
      <x:c r="B2138" s="2" t="str">
        <x:v>O00872</x:v>
      </x:c>
      <x:c r="C2138" s="7" t="n">
        <x:v>45904</x:v>
      </x:c>
      <x:c r="D2138" s="2" t="str">
        <x:v>Completed</x:v>
      </x:c>
      <x:c r="E2138" s="2" t="str">
        <x:v>North</x:v>
      </x:c>
      <x:c r="F2138" s="2" t="str">
        <x:v>Store</x:v>
      </x:c>
      <x:c r="G2138" s="2" t="str">
        <x:v>Lighting</x:v>
      </x:c>
      <x:c r="H2138" s="2" t="str">
        <x:v>Lamp 005</x:v>
      </x:c>
      <x:c r="I2138" s="11" t="n">
        <x:v>2</x:v>
      </x:c>
      <x:c r="J2138" s="9" t="n">
        <x:v>65</x:v>
      </x:c>
      <x:c r="K2138" s="10" t="n">
        <x:v>0.1</x:v>
      </x:c>
      <x:c r="L2138" s="11" t="n">
        <x:v>0</x:v>
      </x:c>
      <x:c r="M2138" s="9" t="n">
        <x:f>IF(D2138="Completed",I2138*J2138,0)</x:f>
        <x:v>130</x:v>
      </x:c>
      <x:c r="N2138" s="9" t="n">
        <x:f>M2138*K2138</x:f>
        <x:v>13</x:v>
      </x:c>
      <x:c r="O2138" s="9" t="n">
        <x:f>M2138-N2138</x:f>
        <x:v>117</x:v>
      </x:c>
      <x:c r="P2138" s="9" t="n">
        <x:f>IF(D2138="Completed",L2138*J2138*(1-K2138),0)</x:f>
        <x:v>0</x:v>
      </x:c>
      <x:c r="Q2138" s="9" t="n">
        <x:f>O2138-P2138</x:f>
        <x:v>117</x:v>
      </x:c>
      <x:c r="R2138" s="11" t="n">
        <x:f>IF(D2138="Completed",I2138,0)</x:f>
        <x:v>2</x:v>
      </x:c>
      <x:c r="S2138" s="11" t="n">
        <x:f>IF(D2138="Completed",L2138,0)</x:f>
        <x:v>0</x:v>
      </x:c>
      <x:c r="T2138" s="8" t="n">
        <x:f>DATE(YEAR(C2138),MONTH(C2138),1)</x:f>
        <x:v>45901</x:v>
      </x:c>
    </x:row>
    <x:row r="2139" ht="22" customHeight="1">
      <x:c r="A2139" s="2" t="str">
        <x:v>L002135</x:v>
      </x:c>
      <x:c r="B2139" s="2" t="str">
        <x:v>O00872</x:v>
      </x:c>
      <x:c r="C2139" s="7" t="n">
        <x:v>45904</x:v>
      </x:c>
      <x:c r="D2139" s="2" t="str">
        <x:v>Completed</x:v>
      </x:c>
      <x:c r="E2139" s="2" t="str">
        <x:v>North</x:v>
      </x:c>
      <x:c r="F2139" s="2" t="str">
        <x:v>Store</x:v>
      </x:c>
      <x:c r="G2139" s="2" t="str">
        <x:v>Lighting</x:v>
      </x:c>
      <x:c r="H2139" s="2" t="str">
        <x:v>Lamp 001</x:v>
      </x:c>
      <x:c r="I2139" s="11" t="n">
        <x:v>5</x:v>
      </x:c>
      <x:c r="J2139" s="9" t="n">
        <x:v>122</x:v>
      </x:c>
      <x:c r="K2139" s="10" t="n">
        <x:v>0.1</x:v>
      </x:c>
      <x:c r="L2139" s="11" t="n">
        <x:v>0</x:v>
      </x:c>
      <x:c r="M2139" s="9" t="n">
        <x:f>IF(D2139="Completed",I2139*J2139,0)</x:f>
        <x:v>610</x:v>
      </x:c>
      <x:c r="N2139" s="9" t="n">
        <x:f>M2139*K2139</x:f>
        <x:v>61</x:v>
      </x:c>
      <x:c r="O2139" s="9" t="n">
        <x:f>M2139-N2139</x:f>
        <x:v>549</x:v>
      </x:c>
      <x:c r="P2139" s="9" t="n">
        <x:f>IF(D2139="Completed",L2139*J2139*(1-K2139),0)</x:f>
        <x:v>0</x:v>
      </x:c>
      <x:c r="Q2139" s="9" t="n">
        <x:f>O2139-P2139</x:f>
        <x:v>549</x:v>
      </x:c>
      <x:c r="R2139" s="11" t="n">
        <x:f>IF(D2139="Completed",I2139,0)</x:f>
        <x:v>5</x:v>
      </x:c>
      <x:c r="S2139" s="11" t="n">
        <x:f>IF(D2139="Completed",L2139,0)</x:f>
        <x:v>0</x:v>
      </x:c>
      <x:c r="T2139" s="8" t="n">
        <x:f>DATE(YEAR(C2139),MONTH(C2139),1)</x:f>
        <x:v>45901</x:v>
      </x:c>
    </x:row>
    <x:row r="2140" ht="22" customHeight="1">
      <x:c r="A2140" s="2" t="str">
        <x:v>L002136</x:v>
      </x:c>
      <x:c r="B2140" s="2" t="str">
        <x:v>O00873</x:v>
      </x:c>
      <x:c r="C2140" s="7" t="n">
        <x:v>45710</x:v>
      </x:c>
      <x:c r="D2140" s="2" t="str">
        <x:v>Completed</x:v>
      </x:c>
      <x:c r="E2140" s="2" t="str">
        <x:v>West</x:v>
      </x:c>
      <x:c r="F2140" s="2" t="str">
        <x:v>Online</x:v>
      </x:c>
      <x:c r="G2140" s="2" t="str">
        <x:v>Furniture</x:v>
      </x:c>
      <x:c r="H2140" s="2" t="str">
        <x:v>Desk 008</x:v>
      </x:c>
      <x:c r="I2140" s="11" t="n">
        <x:v>3</x:v>
      </x:c>
      <x:c r="J2140" s="9" t="n">
        <x:v>188</x:v>
      </x:c>
      <x:c r="K2140" s="10" t="n">
        <x:v>0</x:v>
      </x:c>
      <x:c r="L2140" s="11" t="n">
        <x:v>0</x:v>
      </x:c>
      <x:c r="M2140" s="9" t="n">
        <x:f>IF(D2140="Completed",I2140*J2140,0)</x:f>
        <x:v>564</x:v>
      </x:c>
      <x:c r="N2140" s="9" t="n">
        <x:f>M2140*K2140</x:f>
        <x:v>0</x:v>
      </x:c>
      <x:c r="O2140" s="9" t="n">
        <x:f>M2140-N2140</x:f>
        <x:v>564</x:v>
      </x:c>
      <x:c r="P2140" s="9" t="n">
        <x:f>IF(D2140="Completed",L2140*J2140*(1-K2140),0)</x:f>
        <x:v>0</x:v>
      </x:c>
      <x:c r="Q2140" s="9" t="n">
        <x:f>O2140-P2140</x:f>
        <x:v>564</x:v>
      </x:c>
      <x:c r="R2140" s="11" t="n">
        <x:f>IF(D2140="Completed",I2140,0)</x:f>
        <x:v>3</x:v>
      </x:c>
      <x:c r="S2140" s="11" t="n">
        <x:f>IF(D2140="Completed",L2140,0)</x:f>
        <x:v>0</x:v>
      </x:c>
      <x:c r="T2140" s="8" t="n">
        <x:f>DATE(YEAR(C2140),MONTH(C2140),1)</x:f>
        <x:v>45689</x:v>
      </x:c>
    </x:row>
    <x:row r="2141" ht="22" customHeight="1">
      <x:c r="A2141" s="2" t="str">
        <x:v>L002137</x:v>
      </x:c>
      <x:c r="B2141" s="2" t="str">
        <x:v>O00873</x:v>
      </x:c>
      <x:c r="C2141" s="7" t="n">
        <x:v>45710</x:v>
      </x:c>
      <x:c r="D2141" s="2" t="str">
        <x:v>Completed</x:v>
      </x:c>
      <x:c r="E2141" s="2" t="str">
        <x:v>West</x:v>
      </x:c>
      <x:c r="F2141" s="2" t="str">
        <x:v>Online</x:v>
      </x:c>
      <x:c r="G2141" s="2" t="str">
        <x:v>Furniture</x:v>
      </x:c>
      <x:c r="H2141" s="2" t="str">
        <x:v>Chair 014</x:v>
      </x:c>
      <x:c r="I2141" s="11" t="n">
        <x:v>4</x:v>
      </x:c>
      <x:c r="J2141" s="9" t="n">
        <x:v>294</x:v>
      </x:c>
      <x:c r="K2141" s="10" t="n">
        <x:v>0</x:v>
      </x:c>
      <x:c r="L2141" s="11" t="n">
        <x:v>0</x:v>
      </x:c>
      <x:c r="M2141" s="9" t="n">
        <x:f>IF(D2141="Completed",I2141*J2141,0)</x:f>
        <x:v>1176</x:v>
      </x:c>
      <x:c r="N2141" s="9" t="n">
        <x:f>M2141*K2141</x:f>
        <x:v>0</x:v>
      </x:c>
      <x:c r="O2141" s="9" t="n">
        <x:f>M2141-N2141</x:f>
        <x:v>1176</x:v>
      </x:c>
      <x:c r="P2141" s="9" t="n">
        <x:f>IF(D2141="Completed",L2141*J2141*(1-K2141),0)</x:f>
        <x:v>0</x:v>
      </x:c>
      <x:c r="Q2141" s="9" t="n">
        <x:f>O2141-P2141</x:f>
        <x:v>1176</x:v>
      </x:c>
      <x:c r="R2141" s="11" t="n">
        <x:f>IF(D2141="Completed",I2141,0)</x:f>
        <x:v>4</x:v>
      </x:c>
      <x:c r="S2141" s="11" t="n">
        <x:f>IF(D2141="Completed",L2141,0)</x:f>
        <x:v>0</x:v>
      </x:c>
      <x:c r="T2141" s="8" t="n">
        <x:f>DATE(YEAR(C2141),MONTH(C2141),1)</x:f>
        <x:v>45689</x:v>
      </x:c>
    </x:row>
    <x:row r="2142" ht="22" customHeight="1">
      <x:c r="A2142" s="2" t="str">
        <x:v>L002138</x:v>
      </x:c>
      <x:c r="B2142" s="2" t="str">
        <x:v>O00873</x:v>
      </x:c>
      <x:c r="C2142" s="7" t="n">
        <x:v>45710</x:v>
      </x:c>
      <x:c r="D2142" s="2" t="str">
        <x:v>Completed</x:v>
      </x:c>
      <x:c r="E2142" s="2" t="str">
        <x:v>West</x:v>
      </x:c>
      <x:c r="F2142" s="2" t="str">
        <x:v>Online</x:v>
      </x:c>
      <x:c r="G2142" s="2" t="str">
        <x:v>Lighting</x:v>
      </x:c>
      <x:c r="H2142" s="2" t="str">
        <x:v>Lamp 017</x:v>
      </x:c>
      <x:c r="I2142" s="11" t="n">
        <x:v>5</x:v>
      </x:c>
      <x:c r="J2142" s="9" t="n">
        <x:v>300</x:v>
      </x:c>
      <x:c r="K2142" s="10" t="n">
        <x:v>0.1</x:v>
      </x:c>
      <x:c r="L2142" s="11" t="n">
        <x:v>0</x:v>
      </x:c>
      <x:c r="M2142" s="9" t="n">
        <x:f>IF(D2142="Completed",I2142*J2142,0)</x:f>
        <x:v>1500</x:v>
      </x:c>
      <x:c r="N2142" s="9" t="n">
        <x:f>M2142*K2142</x:f>
        <x:v>150</x:v>
      </x:c>
      <x:c r="O2142" s="9" t="n">
        <x:f>M2142-N2142</x:f>
        <x:v>1350</x:v>
      </x:c>
      <x:c r="P2142" s="9" t="n">
        <x:f>IF(D2142="Completed",L2142*J2142*(1-K2142),0)</x:f>
        <x:v>0</x:v>
      </x:c>
      <x:c r="Q2142" s="9" t="n">
        <x:f>O2142-P2142</x:f>
        <x:v>1350</x:v>
      </x:c>
      <x:c r="R2142" s="11" t="n">
        <x:f>IF(D2142="Completed",I2142,0)</x:f>
        <x:v>5</x:v>
      </x:c>
      <x:c r="S2142" s="11" t="n">
        <x:f>IF(D2142="Completed",L2142,0)</x:f>
        <x:v>0</x:v>
      </x:c>
      <x:c r="T2142" s="8" t="n">
        <x:f>DATE(YEAR(C2142),MONTH(C2142),1)</x:f>
        <x:v>45689</x:v>
      </x:c>
    </x:row>
    <x:row r="2143" ht="22" customHeight="1">
      <x:c r="A2143" s="2" t="str">
        <x:v>L002139</x:v>
      </x:c>
      <x:c r="B2143" s="2" t="str">
        <x:v>O00874</x:v>
      </x:c>
      <x:c r="C2143" s="7" t="n">
        <x:v>45751</x:v>
      </x:c>
      <x:c r="D2143" s="2" t="str">
        <x:v>Completed</x:v>
      </x:c>
      <x:c r="E2143" s="2" t="str">
        <x:v>South</x:v>
      </x:c>
      <x:c r="F2143" s="2" t="str">
        <x:v>Store</x:v>
      </x:c>
      <x:c r="G2143" s="2" t="str">
        <x:v>Lighting</x:v>
      </x:c>
      <x:c r="H2143" s="2" t="str">
        <x:v>Lamp 013</x:v>
      </x:c>
      <x:c r="I2143" s="11" t="n">
        <x:v>3</x:v>
      </x:c>
      <x:c r="J2143" s="9" t="n">
        <x:v>271</x:v>
      </x:c>
      <x:c r="K2143" s="10" t="n">
        <x:v>0.2</x:v>
      </x:c>
      <x:c r="L2143" s="11" t="n">
        <x:v>0</x:v>
      </x:c>
      <x:c r="M2143" s="9" t="n">
        <x:f>IF(D2143="Completed",I2143*J2143,0)</x:f>
        <x:v>813</x:v>
      </x:c>
      <x:c r="N2143" s="9" t="n">
        <x:f>M2143*K2143</x:f>
        <x:v>162.60000000000002</x:v>
      </x:c>
      <x:c r="O2143" s="9" t="n">
        <x:f>M2143-N2143</x:f>
        <x:v>650.4</x:v>
      </x:c>
      <x:c r="P2143" s="9" t="n">
        <x:f>IF(D2143="Completed",L2143*J2143*(1-K2143),0)</x:f>
        <x:v>0</x:v>
      </x:c>
      <x:c r="Q2143" s="9" t="n">
        <x:f>O2143-P2143</x:f>
        <x:v>650.4</x:v>
      </x:c>
      <x:c r="R2143" s="11" t="n">
        <x:f>IF(D2143="Completed",I2143,0)</x:f>
        <x:v>3</x:v>
      </x:c>
      <x:c r="S2143" s="11" t="n">
        <x:f>IF(D2143="Completed",L2143,0)</x:f>
        <x:v>0</x:v>
      </x:c>
      <x:c r="T2143" s="8" t="n">
        <x:f>DATE(YEAR(C2143),MONTH(C2143),1)</x:f>
        <x:v>45748</x:v>
      </x:c>
    </x:row>
    <x:row r="2144" ht="22" customHeight="1">
      <x:c r="A2144" s="2" t="str">
        <x:v>L002140</x:v>
      </x:c>
      <x:c r="B2144" s="2" t="str">
        <x:v>O00874</x:v>
      </x:c>
      <x:c r="C2144" s="7" t="n">
        <x:v>45751</x:v>
      </x:c>
      <x:c r="D2144" s="2" t="str">
        <x:v>Completed</x:v>
      </x:c>
      <x:c r="E2144" s="2" t="str">
        <x:v>South</x:v>
      </x:c>
      <x:c r="F2144" s="2" t="str">
        <x:v>Store</x:v>
      </x:c>
      <x:c r="G2144" s="2" t="str">
        <x:v>Furniture</x:v>
      </x:c>
      <x:c r="H2144" s="2" t="str">
        <x:v>Desk 024</x:v>
      </x:c>
      <x:c r="I2144" s="11" t="n">
        <x:v>2</x:v>
      </x:c>
      <x:c r="J2144" s="9" t="n">
        <x:v>81</x:v>
      </x:c>
      <x:c r="K2144" s="10" t="n">
        <x:v>0.05</x:v>
      </x:c>
      <x:c r="L2144" s="11" t="n">
        <x:v>0</x:v>
      </x:c>
      <x:c r="M2144" s="9" t="n">
        <x:f>IF(D2144="Completed",I2144*J2144,0)</x:f>
        <x:v>162</x:v>
      </x:c>
      <x:c r="N2144" s="9" t="n">
        <x:f>M2144*K2144</x:f>
        <x:v>8.1</x:v>
      </x:c>
      <x:c r="O2144" s="9" t="n">
        <x:f>M2144-N2144</x:f>
        <x:v>153.9</x:v>
      </x:c>
      <x:c r="P2144" s="9" t="n">
        <x:f>IF(D2144="Completed",L2144*J2144*(1-K2144),0)</x:f>
        <x:v>0</x:v>
      </x:c>
      <x:c r="Q2144" s="9" t="n">
        <x:f>O2144-P2144</x:f>
        <x:v>153.9</x:v>
      </x:c>
      <x:c r="R2144" s="11" t="n">
        <x:f>IF(D2144="Completed",I2144,0)</x:f>
        <x:v>2</x:v>
      </x:c>
      <x:c r="S2144" s="11" t="n">
        <x:f>IF(D2144="Completed",L2144,0)</x:f>
        <x:v>0</x:v>
      </x:c>
      <x:c r="T2144" s="8" t="n">
        <x:f>DATE(YEAR(C2144),MONTH(C2144),1)</x:f>
        <x:v>45748</x:v>
      </x:c>
    </x:row>
    <x:row r="2145" ht="22" customHeight="1">
      <x:c r="A2145" s="2" t="str">
        <x:v>L002141</x:v>
      </x:c>
      <x:c r="B2145" s="2" t="str">
        <x:v>O00875</x:v>
      </x:c>
      <x:c r="C2145" s="7" t="n">
        <x:v>45668</x:v>
      </x:c>
      <x:c r="D2145" s="2" t="str">
        <x:v>Completed</x:v>
      </x:c>
      <x:c r="E2145" s="2" t="str">
        <x:v>West</x:v>
      </x:c>
      <x:c r="F2145" s="2" t="str">
        <x:v>Online</x:v>
      </x:c>
      <x:c r="G2145" s="2" t="str">
        <x:v>Furniture</x:v>
      </x:c>
      <x:c r="H2145" s="2" t="str">
        <x:v>Desk 004</x:v>
      </x:c>
      <x:c r="I2145" s="11" t="n">
        <x:v>5</x:v>
      </x:c>
      <x:c r="J2145" s="9" t="n">
        <x:v>123</x:v>
      </x:c>
      <x:c r="K2145" s="10" t="n">
        <x:v>0.2</x:v>
      </x:c>
      <x:c r="L2145" s="11" t="n">
        <x:v>0</x:v>
      </x:c>
      <x:c r="M2145" s="9" t="n">
        <x:f>IF(D2145="Completed",I2145*J2145,0)</x:f>
        <x:v>615</x:v>
      </x:c>
      <x:c r="N2145" s="9" t="n">
        <x:f>M2145*K2145</x:f>
        <x:v>123</x:v>
      </x:c>
      <x:c r="O2145" s="9" t="n">
        <x:f>M2145-N2145</x:f>
        <x:v>492</x:v>
      </x:c>
      <x:c r="P2145" s="9" t="n">
        <x:f>IF(D2145="Completed",L2145*J2145*(1-K2145),0)</x:f>
        <x:v>0</x:v>
      </x:c>
      <x:c r="Q2145" s="9" t="n">
        <x:f>O2145-P2145</x:f>
        <x:v>492</x:v>
      </x:c>
      <x:c r="R2145" s="11" t="n">
        <x:f>IF(D2145="Completed",I2145,0)</x:f>
        <x:v>5</x:v>
      </x:c>
      <x:c r="S2145" s="11" t="n">
        <x:f>IF(D2145="Completed",L2145,0)</x:f>
        <x:v>0</x:v>
      </x:c>
      <x:c r="T2145" s="8" t="n">
        <x:f>DATE(YEAR(C2145),MONTH(C2145),1)</x:f>
        <x:v>45658</x:v>
      </x:c>
    </x:row>
    <x:row r="2146" ht="22" customHeight="1">
      <x:c r="A2146" s="2" t="str">
        <x:v>L002142</x:v>
      </x:c>
      <x:c r="B2146" s="2" t="str">
        <x:v>O00875</x:v>
      </x:c>
      <x:c r="C2146" s="7" t="n">
        <x:v>45668</x:v>
      </x:c>
      <x:c r="D2146" s="2" t="str">
        <x:v>Completed</x:v>
      </x:c>
      <x:c r="E2146" s="2" t="str">
        <x:v>West</x:v>
      </x:c>
      <x:c r="F2146" s="2" t="str">
        <x:v>Online</x:v>
      </x:c>
      <x:c r="G2146" s="2" t="str">
        <x:v>Furniture</x:v>
      </x:c>
      <x:c r="H2146" s="2" t="str">
        <x:v>Desk 012</x:v>
      </x:c>
      <x:c r="I2146" s="11" t="n">
        <x:v>5</x:v>
      </x:c>
      <x:c r="J2146" s="9" t="n">
        <x:v>134</x:v>
      </x:c>
      <x:c r="K2146" s="10" t="n">
        <x:v>0.1</x:v>
      </x:c>
      <x:c r="L2146" s="11" t="n">
        <x:v>0</x:v>
      </x:c>
      <x:c r="M2146" s="9" t="n">
        <x:f>IF(D2146="Completed",I2146*J2146,0)</x:f>
        <x:v>670</x:v>
      </x:c>
      <x:c r="N2146" s="9" t="n">
        <x:f>M2146*K2146</x:f>
        <x:v>67</x:v>
      </x:c>
      <x:c r="O2146" s="9" t="n">
        <x:f>M2146-N2146</x:f>
        <x:v>603</x:v>
      </x:c>
      <x:c r="P2146" s="9" t="n">
        <x:f>IF(D2146="Completed",L2146*J2146*(1-K2146),0)</x:f>
        <x:v>0</x:v>
      </x:c>
      <x:c r="Q2146" s="9" t="n">
        <x:f>O2146-P2146</x:f>
        <x:v>603</x:v>
      </x:c>
      <x:c r="R2146" s="11" t="n">
        <x:f>IF(D2146="Completed",I2146,0)</x:f>
        <x:v>5</x:v>
      </x:c>
      <x:c r="S2146" s="11" t="n">
        <x:f>IF(D2146="Completed",L2146,0)</x:f>
        <x:v>0</x:v>
      </x:c>
      <x:c r="T2146" s="8" t="n">
        <x:f>DATE(YEAR(C2146),MONTH(C2146),1)</x:f>
        <x:v>45658</x:v>
      </x:c>
    </x:row>
    <x:row r="2147" ht="22" customHeight="1">
      <x:c r="A2147" s="2" t="str">
        <x:v>L002143</x:v>
      </x:c>
      <x:c r="B2147" s="2" t="str">
        <x:v>O00875</x:v>
      </x:c>
      <x:c r="C2147" s="7" t="n">
        <x:v>45668</x:v>
      </x:c>
      <x:c r="D2147" s="2" t="str">
        <x:v>Completed</x:v>
      </x:c>
      <x:c r="E2147" s="2" t="str">
        <x:v>West</x:v>
      </x:c>
      <x:c r="F2147" s="2" t="str">
        <x:v>Online</x:v>
      </x:c>
      <x:c r="G2147" s="2" t="str">
        <x:v>Lighting</x:v>
      </x:c>
      <x:c r="H2147" s="2" t="str">
        <x:v>Lamp 001</x:v>
      </x:c>
      <x:c r="I2147" s="11" t="n">
        <x:v>5</x:v>
      </x:c>
      <x:c r="J2147" s="9" t="n">
        <x:v>122</x:v>
      </x:c>
      <x:c r="K2147" s="10" t="n">
        <x:v>0.1</x:v>
      </x:c>
      <x:c r="L2147" s="11" t="n">
        <x:v>0</x:v>
      </x:c>
      <x:c r="M2147" s="9" t="n">
        <x:f>IF(D2147="Completed",I2147*J2147,0)</x:f>
        <x:v>610</x:v>
      </x:c>
      <x:c r="N2147" s="9" t="n">
        <x:f>M2147*K2147</x:f>
        <x:v>61</x:v>
      </x:c>
      <x:c r="O2147" s="9" t="n">
        <x:f>M2147-N2147</x:f>
        <x:v>549</x:v>
      </x:c>
      <x:c r="P2147" s="9" t="n">
        <x:f>IF(D2147="Completed",L2147*J2147*(1-K2147),0)</x:f>
        <x:v>0</x:v>
      </x:c>
      <x:c r="Q2147" s="9" t="n">
        <x:f>O2147-P2147</x:f>
        <x:v>549</x:v>
      </x:c>
      <x:c r="R2147" s="11" t="n">
        <x:f>IF(D2147="Completed",I2147,0)</x:f>
        <x:v>5</x:v>
      </x:c>
      <x:c r="S2147" s="11" t="n">
        <x:f>IF(D2147="Completed",L2147,0)</x:f>
        <x:v>0</x:v>
      </x:c>
      <x:c r="T2147" s="8" t="n">
        <x:f>DATE(YEAR(C2147),MONTH(C2147),1)</x:f>
        <x:v>45658</x:v>
      </x:c>
    </x:row>
    <x:row r="2148" ht="22" customHeight="1">
      <x:c r="A2148" s="2" t="str">
        <x:v>L002144</x:v>
      </x:c>
      <x:c r="B2148" s="2" t="str">
        <x:v>O00876</x:v>
      </x:c>
      <x:c r="C2148" s="7" t="n">
        <x:v>45880</x:v>
      </x:c>
      <x:c r="D2148" s="2" t="str">
        <x:v>Completed</x:v>
      </x:c>
      <x:c r="E2148" s="2" t="str">
        <x:v>North</x:v>
      </x:c>
      <x:c r="F2148" s="2" t="str">
        <x:v>Online</x:v>
      </x:c>
      <x:c r="G2148" s="2" t="str">
        <x:v>Furniture</x:v>
      </x:c>
      <x:c r="H2148" s="2" t="str">
        <x:v>Chair 006</x:v>
      </x:c>
      <x:c r="I2148" s="11" t="n">
        <x:v>1</x:v>
      </x:c>
      <x:c r="J2148" s="9" t="n">
        <x:v>196</x:v>
      </x:c>
      <x:c r="K2148" s="10" t="n">
        <x:v>0</x:v>
      </x:c>
      <x:c r="L2148" s="11" t="n">
        <x:v>1</x:v>
      </x:c>
      <x:c r="M2148" s="9" t="n">
        <x:f>IF(D2148="Completed",I2148*J2148,0)</x:f>
        <x:v>196</x:v>
      </x:c>
      <x:c r="N2148" s="9" t="n">
        <x:f>M2148*K2148</x:f>
        <x:v>0</x:v>
      </x:c>
      <x:c r="O2148" s="9" t="n">
        <x:f>M2148-N2148</x:f>
        <x:v>196</x:v>
      </x:c>
      <x:c r="P2148" s="9" t="n">
        <x:f>IF(D2148="Completed",L2148*J2148*(1-K2148),0)</x:f>
        <x:v>196</x:v>
      </x:c>
      <x:c r="Q2148" s="9" t="n">
        <x:f>O2148-P2148</x:f>
        <x:v>0</x:v>
      </x:c>
      <x:c r="R2148" s="11" t="n">
        <x:f>IF(D2148="Completed",I2148,0)</x:f>
        <x:v>1</x:v>
      </x:c>
      <x:c r="S2148" s="11" t="n">
        <x:f>IF(D2148="Completed",L2148,0)</x:f>
        <x:v>1</x:v>
      </x:c>
      <x:c r="T2148" s="8" t="n">
        <x:f>DATE(YEAR(C2148),MONTH(C2148),1)</x:f>
        <x:v>45870</x:v>
      </x:c>
    </x:row>
    <x:row r="2149" ht="22" customHeight="1">
      <x:c r="A2149" s="2" t="str">
        <x:v>L002145</x:v>
      </x:c>
      <x:c r="B2149" s="2" t="str">
        <x:v>O00876</x:v>
      </x:c>
      <x:c r="C2149" s="7" t="n">
        <x:v>45880</x:v>
      </x:c>
      <x:c r="D2149" s="2" t="str">
        <x:v>Completed</x:v>
      </x:c>
      <x:c r="E2149" s="2" t="str">
        <x:v>North</x:v>
      </x:c>
      <x:c r="F2149" s="2" t="str">
        <x:v>Online</x:v>
      </x:c>
      <x:c r="G2149" s="2" t="str">
        <x:v>Furniture</x:v>
      </x:c>
      <x:c r="H2149" s="2" t="str">
        <x:v>Chair 010</x:v>
      </x:c>
      <x:c r="I2149" s="11" t="n">
        <x:v>4</x:v>
      </x:c>
      <x:c r="J2149" s="9" t="n">
        <x:v>211</x:v>
      </x:c>
      <x:c r="K2149" s="10" t="n">
        <x:v>0</x:v>
      </x:c>
      <x:c r="L2149" s="11" t="n">
        <x:v>0</x:v>
      </x:c>
      <x:c r="M2149" s="9" t="n">
        <x:f>IF(D2149="Completed",I2149*J2149,0)</x:f>
        <x:v>844</x:v>
      </x:c>
      <x:c r="N2149" s="9" t="n">
        <x:f>M2149*K2149</x:f>
        <x:v>0</x:v>
      </x:c>
      <x:c r="O2149" s="9" t="n">
        <x:f>M2149-N2149</x:f>
        <x:v>844</x:v>
      </x:c>
      <x:c r="P2149" s="9" t="n">
        <x:f>IF(D2149="Completed",L2149*J2149*(1-K2149),0)</x:f>
        <x:v>0</x:v>
      </x:c>
      <x:c r="Q2149" s="9" t="n">
        <x:f>O2149-P2149</x:f>
        <x:v>844</x:v>
      </x:c>
      <x:c r="R2149" s="11" t="n">
        <x:f>IF(D2149="Completed",I2149,0)</x:f>
        <x:v>4</x:v>
      </x:c>
      <x:c r="S2149" s="11" t="n">
        <x:f>IF(D2149="Completed",L2149,0)</x:f>
        <x:v>0</x:v>
      </x:c>
      <x:c r="T2149" s="8" t="n">
        <x:f>DATE(YEAR(C2149),MONTH(C2149),1)</x:f>
        <x:v>45870</x:v>
      </x:c>
    </x:row>
    <x:row r="2150" ht="22" customHeight="1">
      <x:c r="A2150" s="2" t="str">
        <x:v>L002146</x:v>
      </x:c>
      <x:c r="B2150" s="2" t="str">
        <x:v>O00876</x:v>
      </x:c>
      <x:c r="C2150" s="7" t="n">
        <x:v>45880</x:v>
      </x:c>
      <x:c r="D2150" s="2" t="str">
        <x:v>Completed</x:v>
      </x:c>
      <x:c r="E2150" s="2" t="str">
        <x:v>North</x:v>
      </x:c>
      <x:c r="F2150" s="2" t="str">
        <x:v>Online</x:v>
      </x:c>
      <x:c r="G2150" s="2" t="str">
        <x:v>Furniture</x:v>
      </x:c>
      <x:c r="H2150" s="2" t="str">
        <x:v>Chair 018</x:v>
      </x:c>
      <x:c r="I2150" s="11" t="n">
        <x:v>4</x:v>
      </x:c>
      <x:c r="J2150" s="9" t="n">
        <x:v>269</x:v>
      </x:c>
      <x:c r="K2150" s="10" t="n">
        <x:v>0.05</x:v>
      </x:c>
      <x:c r="L2150" s="11" t="n">
        <x:v>0</x:v>
      </x:c>
      <x:c r="M2150" s="9" t="n">
        <x:f>IF(D2150="Completed",I2150*J2150,0)</x:f>
        <x:v>1076</x:v>
      </x:c>
      <x:c r="N2150" s="9" t="n">
        <x:f>M2150*K2150</x:f>
        <x:v>53.800000000000004</x:v>
      </x:c>
      <x:c r="O2150" s="9" t="n">
        <x:f>M2150-N2150</x:f>
        <x:v>1022.2</x:v>
      </x:c>
      <x:c r="P2150" s="9" t="n">
        <x:f>IF(D2150="Completed",L2150*J2150*(1-K2150),0)</x:f>
        <x:v>0</x:v>
      </x:c>
      <x:c r="Q2150" s="9" t="n">
        <x:f>O2150-P2150</x:f>
        <x:v>1022.2</x:v>
      </x:c>
      <x:c r="R2150" s="11" t="n">
        <x:f>IF(D2150="Completed",I2150,0)</x:f>
        <x:v>4</x:v>
      </x:c>
      <x:c r="S2150" s="11" t="n">
        <x:f>IF(D2150="Completed",L2150,0)</x:f>
        <x:v>0</x:v>
      </x:c>
      <x:c r="T2150" s="8" t="n">
        <x:f>DATE(YEAR(C2150),MONTH(C2150),1)</x:f>
        <x:v>45870</x:v>
      </x:c>
    </x:row>
    <x:row r="2151" ht="22" customHeight="1">
      <x:c r="A2151" s="2" t="str">
        <x:v>L002147</x:v>
      </x:c>
      <x:c r="B2151" s="2" t="str">
        <x:v>O00876</x:v>
      </x:c>
      <x:c r="C2151" s="7" t="n">
        <x:v>45880</x:v>
      </x:c>
      <x:c r="D2151" s="2" t="str">
        <x:v>Completed</x:v>
      </x:c>
      <x:c r="E2151" s="2" t="str">
        <x:v>North</x:v>
      </x:c>
      <x:c r="F2151" s="2" t="str">
        <x:v>Online</x:v>
      </x:c>
      <x:c r="G2151" s="2" t="str">
        <x:v>Lighting</x:v>
      </x:c>
      <x:c r="H2151" s="2" t="str">
        <x:v>Lamp 017</x:v>
      </x:c>
      <x:c r="I2151" s="11" t="n">
        <x:v>3</x:v>
      </x:c>
      <x:c r="J2151" s="9" t="n">
        <x:v>300</x:v>
      </x:c>
      <x:c r="K2151" s="10" t="n">
        <x:v>0</x:v>
      </x:c>
      <x:c r="L2151" s="11" t="n">
        <x:v>0</x:v>
      </x:c>
      <x:c r="M2151" s="9" t="n">
        <x:f>IF(D2151="Completed",I2151*J2151,0)</x:f>
        <x:v>900</x:v>
      </x:c>
      <x:c r="N2151" s="9" t="n">
        <x:f>M2151*K2151</x:f>
        <x:v>0</x:v>
      </x:c>
      <x:c r="O2151" s="9" t="n">
        <x:f>M2151-N2151</x:f>
        <x:v>900</x:v>
      </x:c>
      <x:c r="P2151" s="9" t="n">
        <x:f>IF(D2151="Completed",L2151*J2151*(1-K2151),0)</x:f>
        <x:v>0</x:v>
      </x:c>
      <x:c r="Q2151" s="9" t="n">
        <x:f>O2151-P2151</x:f>
        <x:v>900</x:v>
      </x:c>
      <x:c r="R2151" s="11" t="n">
        <x:f>IF(D2151="Completed",I2151,0)</x:f>
        <x:v>3</x:v>
      </x:c>
      <x:c r="S2151" s="11" t="n">
        <x:f>IF(D2151="Completed",L2151,0)</x:f>
        <x:v>0</x:v>
      </x:c>
      <x:c r="T2151" s="8" t="n">
        <x:f>DATE(YEAR(C2151),MONTH(C2151),1)</x:f>
        <x:v>45870</x:v>
      </x:c>
    </x:row>
    <x:row r="2152" ht="22" customHeight="1">
      <x:c r="A2152" s="2" t="str">
        <x:v>L002148</x:v>
      </x:c>
      <x:c r="B2152" s="2" t="str">
        <x:v>O00877</x:v>
      </x:c>
      <x:c r="C2152" s="7" t="n">
        <x:v>45907</x:v>
      </x:c>
      <x:c r="D2152" s="2" t="str">
        <x:v>Completed</x:v>
      </x:c>
      <x:c r="E2152" s="2" t="str">
        <x:v>North</x:v>
      </x:c>
      <x:c r="F2152" s="2" t="str">
        <x:v>Store</x:v>
      </x:c>
      <x:c r="G2152" s="2" t="str">
        <x:v>Furniture</x:v>
      </x:c>
      <x:c r="H2152" s="2" t="str">
        <x:v>Desk 016</x:v>
      </x:c>
      <x:c r="I2152" s="11" t="n">
        <x:v>3</x:v>
      </x:c>
      <x:c r="J2152" s="9" t="n">
        <x:v>231</x:v>
      </x:c>
      <x:c r="K2152" s="10" t="n">
        <x:v>0.2</x:v>
      </x:c>
      <x:c r="L2152" s="11" t="n">
        <x:v>0</x:v>
      </x:c>
      <x:c r="M2152" s="9" t="n">
        <x:f>IF(D2152="Completed",I2152*J2152,0)</x:f>
        <x:v>693</x:v>
      </x:c>
      <x:c r="N2152" s="9" t="n">
        <x:f>M2152*K2152</x:f>
        <x:v>138.6</x:v>
      </x:c>
      <x:c r="O2152" s="9" t="n">
        <x:f>M2152-N2152</x:f>
        <x:v>554.4</x:v>
      </x:c>
      <x:c r="P2152" s="9" t="n">
        <x:f>IF(D2152="Completed",L2152*J2152*(1-K2152),0)</x:f>
        <x:v>0</x:v>
      </x:c>
      <x:c r="Q2152" s="9" t="n">
        <x:f>O2152-P2152</x:f>
        <x:v>554.4</x:v>
      </x:c>
      <x:c r="R2152" s="11" t="n">
        <x:f>IF(D2152="Completed",I2152,0)</x:f>
        <x:v>3</x:v>
      </x:c>
      <x:c r="S2152" s="11" t="n">
        <x:f>IF(D2152="Completed",L2152,0)</x:f>
        <x:v>0</x:v>
      </x:c>
      <x:c r="T2152" s="8" t="n">
        <x:f>DATE(YEAR(C2152),MONTH(C2152),1)</x:f>
        <x:v>45901</x:v>
      </x:c>
    </x:row>
    <x:row r="2153" ht="22" customHeight="1">
      <x:c r="A2153" s="2" t="str">
        <x:v>L002149</x:v>
      </x:c>
      <x:c r="B2153" s="2" t="str">
        <x:v>O00878</x:v>
      </x:c>
      <x:c r="C2153" s="7" t="n">
        <x:v>45756</x:v>
      </x:c>
      <x:c r="D2153" s="2" t="str">
        <x:v>Completed</x:v>
      </x:c>
      <x:c r="E2153" s="2" t="str">
        <x:v>North</x:v>
      </x:c>
      <x:c r="F2153" s="2" t="str">
        <x:v>Store</x:v>
      </x:c>
      <x:c r="G2153" s="2" t="str">
        <x:v>Lighting</x:v>
      </x:c>
      <x:c r="H2153" s="2" t="str">
        <x:v>Lamp 009</x:v>
      </x:c>
      <x:c r="I2153" s="11" t="n">
        <x:v>5</x:v>
      </x:c>
      <x:c r="J2153" s="9" t="n">
        <x:v>93</x:v>
      </x:c>
      <x:c r="K2153" s="10" t="n">
        <x:v>0.2</x:v>
      </x:c>
      <x:c r="L2153" s="11" t="n">
        <x:v>0</x:v>
      </x:c>
      <x:c r="M2153" s="9" t="n">
        <x:f>IF(D2153="Completed",I2153*J2153,0)</x:f>
        <x:v>465</x:v>
      </x:c>
      <x:c r="N2153" s="9" t="n">
        <x:f>M2153*K2153</x:f>
        <x:v>93</x:v>
      </x:c>
      <x:c r="O2153" s="9" t="n">
        <x:f>M2153-N2153</x:f>
        <x:v>372</x:v>
      </x:c>
      <x:c r="P2153" s="9" t="n">
        <x:f>IF(D2153="Completed",L2153*J2153*(1-K2153),0)</x:f>
        <x:v>0</x:v>
      </x:c>
      <x:c r="Q2153" s="9" t="n">
        <x:f>O2153-P2153</x:f>
        <x:v>372</x:v>
      </x:c>
      <x:c r="R2153" s="11" t="n">
        <x:f>IF(D2153="Completed",I2153,0)</x:f>
        <x:v>5</x:v>
      </x:c>
      <x:c r="S2153" s="11" t="n">
        <x:f>IF(D2153="Completed",L2153,0)</x:f>
        <x:v>0</x:v>
      </x:c>
      <x:c r="T2153" s="8" t="n">
        <x:f>DATE(YEAR(C2153),MONTH(C2153),1)</x:f>
        <x:v>45748</x:v>
      </x:c>
    </x:row>
    <x:row r="2154" ht="22" customHeight="1">
      <x:c r="A2154" s="2" t="str">
        <x:v>L002150</x:v>
      </x:c>
      <x:c r="B2154" s="2" t="str">
        <x:v>O00878</x:v>
      </x:c>
      <x:c r="C2154" s="7" t="n">
        <x:v>45756</x:v>
      </x:c>
      <x:c r="D2154" s="2" t="str">
        <x:v>Completed</x:v>
      </x:c>
      <x:c r="E2154" s="2" t="str">
        <x:v>North</x:v>
      </x:c>
      <x:c r="F2154" s="2" t="str">
        <x:v>Store</x:v>
      </x:c>
      <x:c r="G2154" s="2" t="str">
        <x:v>Furniture</x:v>
      </x:c>
      <x:c r="H2154" s="2" t="str">
        <x:v>Chair 006</x:v>
      </x:c>
      <x:c r="I2154" s="11" t="n">
        <x:v>1</x:v>
      </x:c>
      <x:c r="J2154" s="9" t="n">
        <x:v>196</x:v>
      </x:c>
      <x:c r="K2154" s="10" t="n">
        <x:v>0.2</x:v>
      </x:c>
      <x:c r="L2154" s="11" t="n">
        <x:v>0</x:v>
      </x:c>
      <x:c r="M2154" s="9" t="n">
        <x:f>IF(D2154="Completed",I2154*J2154,0)</x:f>
        <x:v>196</x:v>
      </x:c>
      <x:c r="N2154" s="9" t="n">
        <x:f>M2154*K2154</x:f>
        <x:v>39.2</x:v>
      </x:c>
      <x:c r="O2154" s="9" t="n">
        <x:f>M2154-N2154</x:f>
        <x:v>156.8</x:v>
      </x:c>
      <x:c r="P2154" s="9" t="n">
        <x:f>IF(D2154="Completed",L2154*J2154*(1-K2154),0)</x:f>
        <x:v>0</x:v>
      </x:c>
      <x:c r="Q2154" s="9" t="n">
        <x:f>O2154-P2154</x:f>
        <x:v>156.8</x:v>
      </x:c>
      <x:c r="R2154" s="11" t="n">
        <x:f>IF(D2154="Completed",I2154,0)</x:f>
        <x:v>1</x:v>
      </x:c>
      <x:c r="S2154" s="11" t="n">
        <x:f>IF(D2154="Completed",L2154,0)</x:f>
        <x:v>0</x:v>
      </x:c>
      <x:c r="T2154" s="8" t="n">
        <x:f>DATE(YEAR(C2154),MONTH(C2154),1)</x:f>
        <x:v>45748</x:v>
      </x:c>
    </x:row>
    <x:row r="2155" ht="22" customHeight="1">
      <x:c r="A2155" s="2" t="str">
        <x:v>L002151</x:v>
      </x:c>
      <x:c r="B2155" s="2" t="str">
        <x:v>O00878</x:v>
      </x:c>
      <x:c r="C2155" s="7" t="n">
        <x:v>45756</x:v>
      </x:c>
      <x:c r="D2155" s="2" t="str">
        <x:v>Completed</x:v>
      </x:c>
      <x:c r="E2155" s="2" t="str">
        <x:v>North</x:v>
      </x:c>
      <x:c r="F2155" s="2" t="str">
        <x:v>Store</x:v>
      </x:c>
      <x:c r="G2155" s="2" t="str">
        <x:v>Lighting</x:v>
      </x:c>
      <x:c r="H2155" s="2" t="str">
        <x:v>Lamp 005</x:v>
      </x:c>
      <x:c r="I2155" s="11" t="n">
        <x:v>1</x:v>
      </x:c>
      <x:c r="J2155" s="9" t="n">
        <x:v>65</x:v>
      </x:c>
      <x:c r="K2155" s="10" t="n">
        <x:v>0.05</x:v>
      </x:c>
      <x:c r="L2155" s="11" t="n">
        <x:v>0</x:v>
      </x:c>
      <x:c r="M2155" s="9" t="n">
        <x:f>IF(D2155="Completed",I2155*J2155,0)</x:f>
        <x:v>65</x:v>
      </x:c>
      <x:c r="N2155" s="9" t="n">
        <x:f>M2155*K2155</x:f>
        <x:v>3.25</x:v>
      </x:c>
      <x:c r="O2155" s="9" t="n">
        <x:f>M2155-N2155</x:f>
        <x:v>61.75</x:v>
      </x:c>
      <x:c r="P2155" s="9" t="n">
        <x:f>IF(D2155="Completed",L2155*J2155*(1-K2155),0)</x:f>
        <x:v>0</x:v>
      </x:c>
      <x:c r="Q2155" s="9" t="n">
        <x:f>O2155-P2155</x:f>
        <x:v>61.75</x:v>
      </x:c>
      <x:c r="R2155" s="11" t="n">
        <x:f>IF(D2155="Completed",I2155,0)</x:f>
        <x:v>1</x:v>
      </x:c>
      <x:c r="S2155" s="11" t="n">
        <x:f>IF(D2155="Completed",L2155,0)</x:f>
        <x:v>0</x:v>
      </x:c>
      <x:c r="T2155" s="8" t="n">
        <x:f>DATE(YEAR(C2155),MONTH(C2155),1)</x:f>
        <x:v>45748</x:v>
      </x:c>
    </x:row>
    <x:row r="2156" ht="22" customHeight="1">
      <x:c r="A2156" s="2" t="str">
        <x:v>L002152</x:v>
      </x:c>
      <x:c r="B2156" s="2" t="str">
        <x:v>O00879</x:v>
      </x:c>
      <x:c r="C2156" s="7" t="n">
        <x:v>45971</x:v>
      </x:c>
      <x:c r="D2156" s="2" t="str">
        <x:v>Completed</x:v>
      </x:c>
      <x:c r="E2156" s="2" t="str">
        <x:v>West</x:v>
      </x:c>
      <x:c r="F2156" s="2" t="str">
        <x:v>Store</x:v>
      </x:c>
      <x:c r="G2156" s="2" t="str">
        <x:v>Storage</x:v>
      </x:c>
      <x:c r="H2156" s="2" t="str">
        <x:v>Shelf 011</x:v>
      </x:c>
      <x:c r="I2156" s="11" t="n">
        <x:v>2</x:v>
      </x:c>
      <x:c r="J2156" s="9" t="n">
        <x:v>80</x:v>
      </x:c>
      <x:c r="K2156" s="10" t="n">
        <x:v>0.05</x:v>
      </x:c>
      <x:c r="L2156" s="11" t="n">
        <x:v>0</x:v>
      </x:c>
      <x:c r="M2156" s="9" t="n">
        <x:f>IF(D2156="Completed",I2156*J2156,0)</x:f>
        <x:v>160</x:v>
      </x:c>
      <x:c r="N2156" s="9" t="n">
        <x:f>M2156*K2156</x:f>
        <x:v>8</x:v>
      </x:c>
      <x:c r="O2156" s="9" t="n">
        <x:f>M2156-N2156</x:f>
        <x:v>152</x:v>
      </x:c>
      <x:c r="P2156" s="9" t="n">
        <x:f>IF(D2156="Completed",L2156*J2156*(1-K2156),0)</x:f>
        <x:v>0</x:v>
      </x:c>
      <x:c r="Q2156" s="9" t="n">
        <x:f>O2156-P2156</x:f>
        <x:v>152</x:v>
      </x:c>
      <x:c r="R2156" s="11" t="n">
        <x:f>IF(D2156="Completed",I2156,0)</x:f>
        <x:v>2</x:v>
      </x:c>
      <x:c r="S2156" s="11" t="n">
        <x:f>IF(D2156="Completed",L2156,0)</x:f>
        <x:v>0</x:v>
      </x:c>
      <x:c r="T2156" s="8" t="n">
        <x:f>DATE(YEAR(C2156),MONTH(C2156),1)</x:f>
        <x:v>45962</x:v>
      </x:c>
    </x:row>
    <x:row r="2157" ht="22" customHeight="1">
      <x:c r="A2157" s="2" t="str">
        <x:v>L002153</x:v>
      </x:c>
      <x:c r="B2157" s="2" t="str">
        <x:v>O00880</x:v>
      </x:c>
      <x:c r="C2157" s="7" t="n">
        <x:v>45699</x:v>
      </x:c>
      <x:c r="D2157" s="2" t="str">
        <x:v>Completed</x:v>
      </x:c>
      <x:c r="E2157" s="2" t="str">
        <x:v>West</x:v>
      </x:c>
      <x:c r="F2157" s="2" t="str">
        <x:v>Online</x:v>
      </x:c>
      <x:c r="G2157" s="2" t="str">
        <x:v>Lighting</x:v>
      </x:c>
      <x:c r="H2157" s="2" t="str">
        <x:v>Lamp 001</x:v>
      </x:c>
      <x:c r="I2157" s="11" t="n">
        <x:v>1</x:v>
      </x:c>
      <x:c r="J2157" s="9" t="n">
        <x:v>122</x:v>
      </x:c>
      <x:c r="K2157" s="10" t="n">
        <x:v>0.2</x:v>
      </x:c>
      <x:c r="L2157" s="11" t="n">
        <x:v>0</x:v>
      </x:c>
      <x:c r="M2157" s="9" t="n">
        <x:f>IF(D2157="Completed",I2157*J2157,0)</x:f>
        <x:v>122</x:v>
      </x:c>
      <x:c r="N2157" s="9" t="n">
        <x:f>M2157*K2157</x:f>
        <x:v>24.400000000000002</x:v>
      </x:c>
      <x:c r="O2157" s="9" t="n">
        <x:f>M2157-N2157</x:f>
        <x:v>97.6</x:v>
      </x:c>
      <x:c r="P2157" s="9" t="n">
        <x:f>IF(D2157="Completed",L2157*J2157*(1-K2157),0)</x:f>
        <x:v>0</x:v>
      </x:c>
      <x:c r="Q2157" s="9" t="n">
        <x:f>O2157-P2157</x:f>
        <x:v>97.6</x:v>
      </x:c>
      <x:c r="R2157" s="11" t="n">
        <x:f>IF(D2157="Completed",I2157,0)</x:f>
        <x:v>1</x:v>
      </x:c>
      <x:c r="S2157" s="11" t="n">
        <x:f>IF(D2157="Completed",L2157,0)</x:f>
        <x:v>0</x:v>
      </x:c>
      <x:c r="T2157" s="8" t="n">
        <x:f>DATE(YEAR(C2157),MONTH(C2157),1)</x:f>
        <x:v>45689</x:v>
      </x:c>
    </x:row>
    <x:row r="2158" ht="22" customHeight="1">
      <x:c r="A2158" s="2" t="str">
        <x:v>L002154</x:v>
      </x:c>
      <x:c r="B2158" s="2" t="str">
        <x:v>O00881</x:v>
      </x:c>
      <x:c r="C2158" s="7" t="n">
        <x:v>45898</x:v>
      </x:c>
      <x:c r="D2158" s="2" t="str">
        <x:v>Completed</x:v>
      </x:c>
      <x:c r="E2158" s="2" t="str">
        <x:v>North</x:v>
      </x:c>
      <x:c r="F2158" s="2" t="str">
        <x:v>Online</x:v>
      </x:c>
      <x:c r="G2158" s="2" t="str">
        <x:v>Storage</x:v>
      </x:c>
      <x:c r="H2158" s="2" t="str">
        <x:v>Shelf 019</x:v>
      </x:c>
      <x:c r="I2158" s="11" t="n">
        <x:v>4</x:v>
      </x:c>
      <x:c r="J2158" s="9" t="n">
        <x:v>78</x:v>
      </x:c>
      <x:c r="K2158" s="10" t="n">
        <x:v>0.1</x:v>
      </x:c>
      <x:c r="L2158" s="11" t="n">
        <x:v>0</x:v>
      </x:c>
      <x:c r="M2158" s="9" t="n">
        <x:f>IF(D2158="Completed",I2158*J2158,0)</x:f>
        <x:v>312</x:v>
      </x:c>
      <x:c r="N2158" s="9" t="n">
        <x:f>M2158*K2158</x:f>
        <x:v>31.200000000000003</x:v>
      </x:c>
      <x:c r="O2158" s="9" t="n">
        <x:f>M2158-N2158</x:f>
        <x:v>280.8</x:v>
      </x:c>
      <x:c r="P2158" s="9" t="n">
        <x:f>IF(D2158="Completed",L2158*J2158*(1-K2158),0)</x:f>
        <x:v>0</x:v>
      </x:c>
      <x:c r="Q2158" s="9" t="n">
        <x:f>O2158-P2158</x:f>
        <x:v>280.8</x:v>
      </x:c>
      <x:c r="R2158" s="11" t="n">
        <x:f>IF(D2158="Completed",I2158,0)</x:f>
        <x:v>4</x:v>
      </x:c>
      <x:c r="S2158" s="11" t="n">
        <x:f>IF(D2158="Completed",L2158,0)</x:f>
        <x:v>0</x:v>
      </x:c>
      <x:c r="T2158" s="8" t="n">
        <x:f>DATE(YEAR(C2158),MONTH(C2158),1)</x:f>
        <x:v>45870</x:v>
      </x:c>
    </x:row>
    <x:row r="2159" ht="22" customHeight="1">
      <x:c r="A2159" s="2" t="str">
        <x:v>L002155</x:v>
      </x:c>
      <x:c r="B2159" s="2" t="str">
        <x:v>O00882</x:v>
      </x:c>
      <x:c r="C2159" s="7" t="n">
        <x:v>45837</x:v>
      </x:c>
      <x:c r="D2159" s="2" t="str">
        <x:v>Completed</x:v>
      </x:c>
      <x:c r="E2159" s="2" t="str">
        <x:v>East</x:v>
      </x:c>
      <x:c r="F2159" s="2" t="str">
        <x:v>Store</x:v>
      </x:c>
      <x:c r="G2159" s="2" t="str">
        <x:v>Storage</x:v>
      </x:c>
      <x:c r="H2159" s="2" t="str">
        <x:v>Shelf 023</x:v>
      </x:c>
      <x:c r="I2159" s="11" t="n">
        <x:v>1</x:v>
      </x:c>
      <x:c r="J2159" s="9" t="n">
        <x:v>68</x:v>
      </x:c>
      <x:c r="K2159" s="10" t="n">
        <x:v>0.2</x:v>
      </x:c>
      <x:c r="L2159" s="11" t="n">
        <x:v>0</x:v>
      </x:c>
      <x:c r="M2159" s="9" t="n">
        <x:f>IF(D2159="Completed",I2159*J2159,0)</x:f>
        <x:v>68</x:v>
      </x:c>
      <x:c r="N2159" s="9" t="n">
        <x:f>M2159*K2159</x:f>
        <x:v>13.600000000000001</x:v>
      </x:c>
      <x:c r="O2159" s="9" t="n">
        <x:f>M2159-N2159</x:f>
        <x:v>54.4</x:v>
      </x:c>
      <x:c r="P2159" s="9" t="n">
        <x:f>IF(D2159="Completed",L2159*J2159*(1-K2159),0)</x:f>
        <x:v>0</x:v>
      </x:c>
      <x:c r="Q2159" s="9" t="n">
        <x:f>O2159-P2159</x:f>
        <x:v>54.4</x:v>
      </x:c>
      <x:c r="R2159" s="11" t="n">
        <x:f>IF(D2159="Completed",I2159,0)</x:f>
        <x:v>1</x:v>
      </x:c>
      <x:c r="S2159" s="11" t="n">
        <x:f>IF(D2159="Completed",L2159,0)</x:f>
        <x:v>0</x:v>
      </x:c>
      <x:c r="T2159" s="8" t="n">
        <x:f>DATE(YEAR(C2159),MONTH(C2159),1)</x:f>
        <x:v>45809</x:v>
      </x:c>
    </x:row>
    <x:row r="2160" ht="22" customHeight="1">
      <x:c r="A2160" s="2" t="str">
        <x:v>L002156</x:v>
      </x:c>
      <x:c r="B2160" s="2" t="str">
        <x:v>O00882</x:v>
      </x:c>
      <x:c r="C2160" s="7" t="n">
        <x:v>45837</x:v>
      </x:c>
      <x:c r="D2160" s="2" t="str">
        <x:v>Completed</x:v>
      </x:c>
      <x:c r="E2160" s="2" t="str">
        <x:v>East</x:v>
      </x:c>
      <x:c r="F2160" s="2" t="str">
        <x:v>Store</x:v>
      </x:c>
      <x:c r="G2160" s="2" t="str">
        <x:v>Lighting</x:v>
      </x:c>
      <x:c r="H2160" s="2" t="str">
        <x:v>Lamp 021</x:v>
      </x:c>
      <x:c r="I2160" s="11" t="n">
        <x:v>2</x:v>
      </x:c>
      <x:c r="J2160" s="9" t="n">
        <x:v>249</x:v>
      </x:c>
      <x:c r="K2160" s="10" t="n">
        <x:v>0.05</x:v>
      </x:c>
      <x:c r="L2160" s="11" t="n">
        <x:v>0</x:v>
      </x:c>
      <x:c r="M2160" s="9" t="n">
        <x:f>IF(D2160="Completed",I2160*J2160,0)</x:f>
        <x:v>498</x:v>
      </x:c>
      <x:c r="N2160" s="9" t="n">
        <x:f>M2160*K2160</x:f>
        <x:v>24.900000000000002</x:v>
      </x:c>
      <x:c r="O2160" s="9" t="n">
        <x:f>M2160-N2160</x:f>
        <x:v>473.1</x:v>
      </x:c>
      <x:c r="P2160" s="9" t="n">
        <x:f>IF(D2160="Completed",L2160*J2160*(1-K2160),0)</x:f>
        <x:v>0</x:v>
      </x:c>
      <x:c r="Q2160" s="9" t="n">
        <x:f>O2160-P2160</x:f>
        <x:v>473.1</x:v>
      </x:c>
      <x:c r="R2160" s="11" t="n">
        <x:f>IF(D2160="Completed",I2160,0)</x:f>
        <x:v>2</x:v>
      </x:c>
      <x:c r="S2160" s="11" t="n">
        <x:f>IF(D2160="Completed",L2160,0)</x:f>
        <x:v>0</x:v>
      </x:c>
      <x:c r="T2160" s="8" t="n">
        <x:f>DATE(YEAR(C2160),MONTH(C2160),1)</x:f>
        <x:v>45809</x:v>
      </x:c>
    </x:row>
    <x:row r="2161" ht="22" customHeight="1">
      <x:c r="A2161" s="2" t="str">
        <x:v>L002157</x:v>
      </x:c>
      <x:c r="B2161" s="2" t="str">
        <x:v>O00883</x:v>
      </x:c>
      <x:c r="C2161" s="7" t="n">
        <x:v>45808</x:v>
      </x:c>
      <x:c r="D2161" s="2" t="str">
        <x:v>Completed</x:v>
      </x:c>
      <x:c r="E2161" s="2" t="str">
        <x:v>West</x:v>
      </x:c>
      <x:c r="F2161" s="2" t="str">
        <x:v>Store</x:v>
      </x:c>
      <x:c r="G2161" s="2" t="str">
        <x:v>Furniture</x:v>
      </x:c>
      <x:c r="H2161" s="2" t="str">
        <x:v>Chair 022</x:v>
      </x:c>
      <x:c r="I2161" s="11" t="n">
        <x:v>1</x:v>
      </x:c>
      <x:c r="J2161" s="9" t="n">
        <x:v>134</x:v>
      </x:c>
      <x:c r="K2161" s="10" t="n">
        <x:v>0.2</x:v>
      </x:c>
      <x:c r="L2161" s="11" t="n">
        <x:v>0</x:v>
      </x:c>
      <x:c r="M2161" s="9" t="n">
        <x:f>IF(D2161="Completed",I2161*J2161,0)</x:f>
        <x:v>134</x:v>
      </x:c>
      <x:c r="N2161" s="9" t="n">
        <x:f>M2161*K2161</x:f>
        <x:v>26.8</x:v>
      </x:c>
      <x:c r="O2161" s="9" t="n">
        <x:f>M2161-N2161</x:f>
        <x:v>107.2</x:v>
      </x:c>
      <x:c r="P2161" s="9" t="n">
        <x:f>IF(D2161="Completed",L2161*J2161*(1-K2161),0)</x:f>
        <x:v>0</x:v>
      </x:c>
      <x:c r="Q2161" s="9" t="n">
        <x:f>O2161-P2161</x:f>
        <x:v>107.2</x:v>
      </x:c>
      <x:c r="R2161" s="11" t="n">
        <x:f>IF(D2161="Completed",I2161,0)</x:f>
        <x:v>1</x:v>
      </x:c>
      <x:c r="S2161" s="11" t="n">
        <x:f>IF(D2161="Completed",L2161,0)</x:f>
        <x:v>0</x:v>
      </x:c>
      <x:c r="T2161" s="8" t="n">
        <x:f>DATE(YEAR(C2161),MONTH(C2161),1)</x:f>
        <x:v>45778</x:v>
      </x:c>
    </x:row>
    <x:row r="2162" ht="22" customHeight="1">
      <x:c r="A2162" s="2" t="str">
        <x:v>L002158</x:v>
      </x:c>
      <x:c r="B2162" s="2" t="str">
        <x:v>O00884</x:v>
      </x:c>
      <x:c r="C2162" s="7" t="n">
        <x:v>45957</x:v>
      </x:c>
      <x:c r="D2162" s="2" t="str">
        <x:v>Cancelled</x:v>
      </x:c>
      <x:c r="E2162" s="2" t="str">
        <x:v>South</x:v>
      </x:c>
      <x:c r="F2162" s="2" t="str">
        <x:v>Online</x:v>
      </x:c>
      <x:c r="G2162" s="2" t="str">
        <x:v>Furniture</x:v>
      </x:c>
      <x:c r="H2162" s="2" t="str">
        <x:v>Chair 014</x:v>
      </x:c>
      <x:c r="I2162" s="11" t="n">
        <x:v>5</x:v>
      </x:c>
      <x:c r="J2162" s="9" t="n">
        <x:v>294</x:v>
      </x:c>
      <x:c r="K2162" s="10" t="n">
        <x:v>0</x:v>
      </x:c>
      <x:c r="L2162" s="11" t="n">
        <x:v>0</x:v>
      </x:c>
      <x:c r="M2162" s="9" t="n">
        <x:f>IF(D2162="Completed",I2162*J2162,0)</x:f>
        <x:v>0</x:v>
      </x:c>
      <x:c r="N2162" s="9" t="n">
        <x:f>M2162*K2162</x:f>
        <x:v>0</x:v>
      </x:c>
      <x:c r="O2162" s="9" t="n">
        <x:f>M2162-N2162</x:f>
        <x:v>0</x:v>
      </x:c>
      <x:c r="P2162" s="9" t="n">
        <x:f>IF(D2162="Completed",L2162*J2162*(1-K2162),0)</x:f>
        <x:v>0</x:v>
      </x:c>
      <x:c r="Q2162" s="9" t="n">
        <x:f>O2162-P2162</x:f>
        <x:v>0</x:v>
      </x:c>
      <x:c r="R2162" s="11" t="n">
        <x:f>IF(D2162="Completed",I2162,0)</x:f>
        <x:v>0</x:v>
      </x:c>
      <x:c r="S2162" s="11" t="n">
        <x:f>IF(D2162="Completed",L2162,0)</x:f>
        <x:v>0</x:v>
      </x:c>
      <x:c r="T2162" s="8" t="n">
        <x:f>DATE(YEAR(C2162),MONTH(C2162),1)</x:f>
        <x:v>45931</x:v>
      </x:c>
    </x:row>
    <x:row r="2163" ht="22" customHeight="1">
      <x:c r="A2163" s="2" t="str">
        <x:v>L002159</x:v>
      </x:c>
      <x:c r="B2163" s="2" t="str">
        <x:v>O00884</x:v>
      </x:c>
      <x:c r="C2163" s="7" t="n">
        <x:v>45957</x:v>
      </x:c>
      <x:c r="D2163" s="2" t="str">
        <x:v>Cancelled</x:v>
      </x:c>
      <x:c r="E2163" s="2" t="str">
        <x:v>South</x:v>
      </x:c>
      <x:c r="F2163" s="2" t="str">
        <x:v>Online</x:v>
      </x:c>
      <x:c r="G2163" s="2" t="str">
        <x:v>Storage</x:v>
      </x:c>
      <x:c r="H2163" s="2" t="str">
        <x:v>Shelf 003</x:v>
      </x:c>
      <x:c r="I2163" s="11" t="n">
        <x:v>3</x:v>
      </x:c>
      <x:c r="J2163" s="9" t="n">
        <x:v>199</x:v>
      </x:c>
      <x:c r="K2163" s="10" t="n">
        <x:v>0</x:v>
      </x:c>
      <x:c r="L2163" s="11" t="n">
        <x:v>0</x:v>
      </x:c>
      <x:c r="M2163" s="9" t="n">
        <x:f>IF(D2163="Completed",I2163*J2163,0)</x:f>
        <x:v>0</x:v>
      </x:c>
      <x:c r="N2163" s="9" t="n">
        <x:f>M2163*K2163</x:f>
        <x:v>0</x:v>
      </x:c>
      <x:c r="O2163" s="9" t="n">
        <x:f>M2163-N2163</x:f>
        <x:v>0</x:v>
      </x:c>
      <x:c r="P2163" s="9" t="n">
        <x:f>IF(D2163="Completed",L2163*J2163*(1-K2163),0)</x:f>
        <x:v>0</x:v>
      </x:c>
      <x:c r="Q2163" s="9" t="n">
        <x:f>O2163-P2163</x:f>
        <x:v>0</x:v>
      </x:c>
      <x:c r="R2163" s="11" t="n">
        <x:f>IF(D2163="Completed",I2163,0)</x:f>
        <x:v>0</x:v>
      </x:c>
      <x:c r="S2163" s="11" t="n">
        <x:f>IF(D2163="Completed",L2163,0)</x:f>
        <x:v>0</x:v>
      </x:c>
      <x:c r="T2163" s="8" t="n">
        <x:f>DATE(YEAR(C2163),MONTH(C2163),1)</x:f>
        <x:v>45931</x:v>
      </x:c>
    </x:row>
    <x:row r="2164" ht="22" customHeight="1">
      <x:c r="A2164" s="2" t="str">
        <x:v>L002160</x:v>
      </x:c>
      <x:c r="B2164" s="2" t="str">
        <x:v>O00885</x:v>
      </x:c>
      <x:c r="C2164" s="7" t="n">
        <x:v>45728</x:v>
      </x:c>
      <x:c r="D2164" s="2" t="str">
        <x:v>Completed</x:v>
      </x:c>
      <x:c r="E2164" s="2" t="str">
        <x:v>West</x:v>
      </x:c>
      <x:c r="F2164" s="2" t="str">
        <x:v>Store</x:v>
      </x:c>
      <x:c r="G2164" s="2" t="str">
        <x:v>Furniture</x:v>
      </x:c>
      <x:c r="H2164" s="2" t="str">
        <x:v>Chair 014</x:v>
      </x:c>
      <x:c r="I2164" s="11" t="n">
        <x:v>1</x:v>
      </x:c>
      <x:c r="J2164" s="9" t="n">
        <x:v>294</x:v>
      </x:c>
      <x:c r="K2164" s="10" t="n">
        <x:v>0.05</x:v>
      </x:c>
      <x:c r="L2164" s="11" t="n">
        <x:v>1</x:v>
      </x:c>
      <x:c r="M2164" s="9" t="n">
        <x:f>IF(D2164="Completed",I2164*J2164,0)</x:f>
        <x:v>294</x:v>
      </x:c>
      <x:c r="N2164" s="9" t="n">
        <x:f>M2164*K2164</x:f>
        <x:v>14.700000000000001</x:v>
      </x:c>
      <x:c r="O2164" s="9" t="n">
        <x:f>M2164-N2164</x:f>
        <x:v>279.3</x:v>
      </x:c>
      <x:c r="P2164" s="9" t="n">
        <x:f>IF(D2164="Completed",L2164*J2164*(1-K2164),0)</x:f>
        <x:v>279.3</x:v>
      </x:c>
      <x:c r="Q2164" s="9" t="n">
        <x:f>O2164-P2164</x:f>
        <x:v>0</x:v>
      </x:c>
      <x:c r="R2164" s="11" t="n">
        <x:f>IF(D2164="Completed",I2164,0)</x:f>
        <x:v>1</x:v>
      </x:c>
      <x:c r="S2164" s="11" t="n">
        <x:f>IF(D2164="Completed",L2164,0)</x:f>
        <x:v>1</x:v>
      </x:c>
      <x:c r="T2164" s="8" t="n">
        <x:f>DATE(YEAR(C2164),MONTH(C2164),1)</x:f>
        <x:v>45717</x:v>
      </x:c>
    </x:row>
    <x:row r="2165" ht="22" customHeight="1">
      <x:c r="A2165" s="2" t="str">
        <x:v>L002161</x:v>
      </x:c>
      <x:c r="B2165" s="2" t="str">
        <x:v>O00886</x:v>
      </x:c>
      <x:c r="C2165" s="7" t="n">
        <x:v>45714</x:v>
      </x:c>
      <x:c r="D2165" s="2" t="str">
        <x:v>Completed</x:v>
      </x:c>
      <x:c r="E2165" s="2" t="str">
        <x:v>West</x:v>
      </x:c>
      <x:c r="F2165" s="2" t="str">
        <x:v>Online</x:v>
      </x:c>
      <x:c r="G2165" s="2" t="str">
        <x:v>Lighting</x:v>
      </x:c>
      <x:c r="H2165" s="2" t="str">
        <x:v>Lamp 009</x:v>
      </x:c>
      <x:c r="I2165" s="11" t="n">
        <x:v>4</x:v>
      </x:c>
      <x:c r="J2165" s="9" t="n">
        <x:v>93</x:v>
      </x:c>
      <x:c r="K2165" s="10" t="n">
        <x:v>0.2</x:v>
      </x:c>
      <x:c r="L2165" s="11" t="n">
        <x:v>0</x:v>
      </x:c>
      <x:c r="M2165" s="9" t="n">
        <x:f>IF(D2165="Completed",I2165*J2165,0)</x:f>
        <x:v>372</x:v>
      </x:c>
      <x:c r="N2165" s="9" t="n">
        <x:f>M2165*K2165</x:f>
        <x:v>74.4</x:v>
      </x:c>
      <x:c r="O2165" s="9" t="n">
        <x:f>M2165-N2165</x:f>
        <x:v>297.6</x:v>
      </x:c>
      <x:c r="P2165" s="9" t="n">
        <x:f>IF(D2165="Completed",L2165*J2165*(1-K2165),0)</x:f>
        <x:v>0</x:v>
      </x:c>
      <x:c r="Q2165" s="9" t="n">
        <x:f>O2165-P2165</x:f>
        <x:v>297.6</x:v>
      </x:c>
      <x:c r="R2165" s="11" t="n">
        <x:f>IF(D2165="Completed",I2165,0)</x:f>
        <x:v>4</x:v>
      </x:c>
      <x:c r="S2165" s="11" t="n">
        <x:f>IF(D2165="Completed",L2165,0)</x:f>
        <x:v>0</x:v>
      </x:c>
      <x:c r="T2165" s="8" t="n">
        <x:f>DATE(YEAR(C2165),MONTH(C2165),1)</x:f>
        <x:v>45689</x:v>
      </x:c>
    </x:row>
    <x:row r="2166" ht="22" customHeight="1">
      <x:c r="A2166" s="2" t="str">
        <x:v>L002162</x:v>
      </x:c>
      <x:c r="B2166" s="2" t="str">
        <x:v>O00886</x:v>
      </x:c>
      <x:c r="C2166" s="7" t="n">
        <x:v>45714</x:v>
      </x:c>
      <x:c r="D2166" s="2" t="str">
        <x:v>Completed</x:v>
      </x:c>
      <x:c r="E2166" s="2" t="str">
        <x:v>West</x:v>
      </x:c>
      <x:c r="F2166" s="2" t="str">
        <x:v>Online</x:v>
      </x:c>
      <x:c r="G2166" s="2" t="str">
        <x:v>Furniture</x:v>
      </x:c>
      <x:c r="H2166" s="2" t="str">
        <x:v>Desk 020</x:v>
      </x:c>
      <x:c r="I2166" s="11" t="n">
        <x:v>5</x:v>
      </x:c>
      <x:c r="J2166" s="9" t="n">
        <x:v>189</x:v>
      </x:c>
      <x:c r="K2166" s="10" t="n">
        <x:v>0.05</x:v>
      </x:c>
      <x:c r="L2166" s="11" t="n">
        <x:v>0</x:v>
      </x:c>
      <x:c r="M2166" s="9" t="n">
        <x:f>IF(D2166="Completed",I2166*J2166,0)</x:f>
        <x:v>945</x:v>
      </x:c>
      <x:c r="N2166" s="9" t="n">
        <x:f>M2166*K2166</x:f>
        <x:v>47.25</x:v>
      </x:c>
      <x:c r="O2166" s="9" t="n">
        <x:f>M2166-N2166</x:f>
        <x:v>897.75</x:v>
      </x:c>
      <x:c r="P2166" s="9" t="n">
        <x:f>IF(D2166="Completed",L2166*J2166*(1-K2166),0)</x:f>
        <x:v>0</x:v>
      </x:c>
      <x:c r="Q2166" s="9" t="n">
        <x:f>O2166-P2166</x:f>
        <x:v>897.75</x:v>
      </x:c>
      <x:c r="R2166" s="11" t="n">
        <x:f>IF(D2166="Completed",I2166,0)</x:f>
        <x:v>5</x:v>
      </x:c>
      <x:c r="S2166" s="11" t="n">
        <x:f>IF(D2166="Completed",L2166,0)</x:f>
        <x:v>0</x:v>
      </x:c>
      <x:c r="T2166" s="8" t="n">
        <x:f>DATE(YEAR(C2166),MONTH(C2166),1)</x:f>
        <x:v>45689</x:v>
      </x:c>
    </x:row>
    <x:row r="2167" ht="22" customHeight="1">
      <x:c r="A2167" s="2" t="str">
        <x:v>L002163</x:v>
      </x:c>
      <x:c r="B2167" s="2" t="str">
        <x:v>O00886</x:v>
      </x:c>
      <x:c r="C2167" s="7" t="n">
        <x:v>45714</x:v>
      </x:c>
      <x:c r="D2167" s="2" t="str">
        <x:v>Completed</x:v>
      </x:c>
      <x:c r="E2167" s="2" t="str">
        <x:v>West</x:v>
      </x:c>
      <x:c r="F2167" s="2" t="str">
        <x:v>Online</x:v>
      </x:c>
      <x:c r="G2167" s="2" t="str">
        <x:v>Furniture</x:v>
      </x:c>
      <x:c r="H2167" s="2" t="str">
        <x:v>Desk 020</x:v>
      </x:c>
      <x:c r="I2167" s="11" t="n">
        <x:v>2</x:v>
      </x:c>
      <x:c r="J2167" s="9" t="n">
        <x:v>189</x:v>
      </x:c>
      <x:c r="K2167" s="10" t="n">
        <x:v>0.2</x:v>
      </x:c>
      <x:c r="L2167" s="11" t="n">
        <x:v>2</x:v>
      </x:c>
      <x:c r="M2167" s="9" t="n">
        <x:f>IF(D2167="Completed",I2167*J2167,0)</x:f>
        <x:v>378</x:v>
      </x:c>
      <x:c r="N2167" s="9" t="n">
        <x:f>M2167*K2167</x:f>
        <x:v>75.60000000000001</x:v>
      </x:c>
      <x:c r="O2167" s="9" t="n">
        <x:f>M2167-N2167</x:f>
        <x:v>302.4</x:v>
      </x:c>
      <x:c r="P2167" s="9" t="n">
        <x:f>IF(D2167="Completed",L2167*J2167*(1-K2167),0)</x:f>
        <x:v>302.40000000000003</x:v>
      </x:c>
      <x:c r="Q2167" s="9" t="n">
        <x:f>O2167-P2167</x:f>
        <x:v>-5.684341886080802e-14</x:v>
      </x:c>
      <x:c r="R2167" s="11" t="n">
        <x:f>IF(D2167="Completed",I2167,0)</x:f>
        <x:v>2</x:v>
      </x:c>
      <x:c r="S2167" s="11" t="n">
        <x:f>IF(D2167="Completed",L2167,0)</x:f>
        <x:v>2</x:v>
      </x:c>
      <x:c r="T2167" s="8" t="n">
        <x:f>DATE(YEAR(C2167),MONTH(C2167),1)</x:f>
        <x:v>45689</x:v>
      </x:c>
    </x:row>
    <x:row r="2168" ht="22" customHeight="1">
      <x:c r="A2168" s="2" t="str">
        <x:v>L002164</x:v>
      </x:c>
      <x:c r="B2168" s="2" t="str">
        <x:v>O00887</x:v>
      </x:c>
      <x:c r="C2168" s="7" t="n">
        <x:v>45851</x:v>
      </x:c>
      <x:c r="D2168" s="2" t="str">
        <x:v>Completed</x:v>
      </x:c>
      <x:c r="E2168" s="2" t="str">
        <x:v>North</x:v>
      </x:c>
      <x:c r="F2168" s="2" t="str">
        <x:v>Online</x:v>
      </x:c>
      <x:c r="G2168" s="2" t="str">
        <x:v>Lighting</x:v>
      </x:c>
      <x:c r="H2168" s="2" t="str">
        <x:v>Lamp 017</x:v>
      </x:c>
      <x:c r="I2168" s="11" t="n">
        <x:v>2</x:v>
      </x:c>
      <x:c r="J2168" s="9" t="n">
        <x:v>300</x:v>
      </x:c>
      <x:c r="K2168" s="10" t="n">
        <x:v>0.05</x:v>
      </x:c>
      <x:c r="L2168" s="11" t="n">
        <x:v>0</x:v>
      </x:c>
      <x:c r="M2168" s="9" t="n">
        <x:f>IF(D2168="Completed",I2168*J2168,0)</x:f>
        <x:v>600</x:v>
      </x:c>
      <x:c r="N2168" s="9" t="n">
        <x:f>M2168*K2168</x:f>
        <x:v>30</x:v>
      </x:c>
      <x:c r="O2168" s="9" t="n">
        <x:f>M2168-N2168</x:f>
        <x:v>570</x:v>
      </x:c>
      <x:c r="P2168" s="9" t="n">
        <x:f>IF(D2168="Completed",L2168*J2168*(1-K2168),0)</x:f>
        <x:v>0</x:v>
      </x:c>
      <x:c r="Q2168" s="9" t="n">
        <x:f>O2168-P2168</x:f>
        <x:v>570</x:v>
      </x:c>
      <x:c r="R2168" s="11" t="n">
        <x:f>IF(D2168="Completed",I2168,0)</x:f>
        <x:v>2</x:v>
      </x:c>
      <x:c r="S2168" s="11" t="n">
        <x:f>IF(D2168="Completed",L2168,0)</x:f>
        <x:v>0</x:v>
      </x:c>
      <x:c r="T2168" s="8" t="n">
        <x:f>DATE(YEAR(C2168),MONTH(C2168),1)</x:f>
        <x:v>45839</x:v>
      </x:c>
    </x:row>
    <x:row r="2169" ht="22" customHeight="1">
      <x:c r="A2169" s="2" t="str">
        <x:v>L002165</x:v>
      </x:c>
      <x:c r="B2169" s="2" t="str">
        <x:v>O00887</x:v>
      </x:c>
      <x:c r="C2169" s="7" t="n">
        <x:v>45851</x:v>
      </x:c>
      <x:c r="D2169" s="2" t="str">
        <x:v>Completed</x:v>
      </x:c>
      <x:c r="E2169" s="2" t="str">
        <x:v>North</x:v>
      </x:c>
      <x:c r="F2169" s="2" t="str">
        <x:v>Online</x:v>
      </x:c>
      <x:c r="G2169" s="2" t="str">
        <x:v>Furniture</x:v>
      </x:c>
      <x:c r="H2169" s="2" t="str">
        <x:v>Chair 014</x:v>
      </x:c>
      <x:c r="I2169" s="11" t="n">
        <x:v>3</x:v>
      </x:c>
      <x:c r="J2169" s="9" t="n">
        <x:v>294</x:v>
      </x:c>
      <x:c r="K2169" s="10" t="n">
        <x:v>0.1</x:v>
      </x:c>
      <x:c r="L2169" s="11" t="n">
        <x:v>0</x:v>
      </x:c>
      <x:c r="M2169" s="9" t="n">
        <x:f>IF(D2169="Completed",I2169*J2169,0)</x:f>
        <x:v>882</x:v>
      </x:c>
      <x:c r="N2169" s="9" t="n">
        <x:f>M2169*K2169</x:f>
        <x:v>88.2</x:v>
      </x:c>
      <x:c r="O2169" s="9" t="n">
        <x:f>M2169-N2169</x:f>
        <x:v>793.8</x:v>
      </x:c>
      <x:c r="P2169" s="9" t="n">
        <x:f>IF(D2169="Completed",L2169*J2169*(1-K2169),0)</x:f>
        <x:v>0</x:v>
      </x:c>
      <x:c r="Q2169" s="9" t="n">
        <x:f>O2169-P2169</x:f>
        <x:v>793.8</x:v>
      </x:c>
      <x:c r="R2169" s="11" t="n">
        <x:f>IF(D2169="Completed",I2169,0)</x:f>
        <x:v>3</x:v>
      </x:c>
      <x:c r="S2169" s="11" t="n">
        <x:f>IF(D2169="Completed",L2169,0)</x:f>
        <x:v>0</x:v>
      </x:c>
      <x:c r="T2169" s="8" t="n">
        <x:f>DATE(YEAR(C2169),MONTH(C2169),1)</x:f>
        <x:v>45839</x:v>
      </x:c>
    </x:row>
    <x:row r="2170" ht="22" customHeight="1">
      <x:c r="A2170" s="2" t="str">
        <x:v>L002166</x:v>
      </x:c>
      <x:c r="B2170" s="2" t="str">
        <x:v>O00887</x:v>
      </x:c>
      <x:c r="C2170" s="7" t="n">
        <x:v>45851</x:v>
      </x:c>
      <x:c r="D2170" s="2" t="str">
        <x:v>Completed</x:v>
      </x:c>
      <x:c r="E2170" s="2" t="str">
        <x:v>North</x:v>
      </x:c>
      <x:c r="F2170" s="2" t="str">
        <x:v>Online</x:v>
      </x:c>
      <x:c r="G2170" s="2" t="str">
        <x:v>Furniture</x:v>
      </x:c>
      <x:c r="H2170" s="2" t="str">
        <x:v>Chair 018</x:v>
      </x:c>
      <x:c r="I2170" s="11" t="n">
        <x:v>1</x:v>
      </x:c>
      <x:c r="J2170" s="9" t="n">
        <x:v>269</x:v>
      </x:c>
      <x:c r="K2170" s="10" t="n">
        <x:v>0.05</x:v>
      </x:c>
      <x:c r="L2170" s="11" t="n">
        <x:v>0</x:v>
      </x:c>
      <x:c r="M2170" s="9" t="n">
        <x:f>IF(D2170="Completed",I2170*J2170,0)</x:f>
        <x:v>269</x:v>
      </x:c>
      <x:c r="N2170" s="9" t="n">
        <x:f>M2170*K2170</x:f>
        <x:v>13.450000000000001</x:v>
      </x:c>
      <x:c r="O2170" s="9" t="n">
        <x:f>M2170-N2170</x:f>
        <x:v>255.55</x:v>
      </x:c>
      <x:c r="P2170" s="9" t="n">
        <x:f>IF(D2170="Completed",L2170*J2170*(1-K2170),0)</x:f>
        <x:v>0</x:v>
      </x:c>
      <x:c r="Q2170" s="9" t="n">
        <x:f>O2170-P2170</x:f>
        <x:v>255.55</x:v>
      </x:c>
      <x:c r="R2170" s="11" t="n">
        <x:f>IF(D2170="Completed",I2170,0)</x:f>
        <x:v>1</x:v>
      </x:c>
      <x:c r="S2170" s="11" t="n">
        <x:f>IF(D2170="Completed",L2170,0)</x:f>
        <x:v>0</x:v>
      </x:c>
      <x:c r="T2170" s="8" t="n">
        <x:f>DATE(YEAR(C2170),MONTH(C2170),1)</x:f>
        <x:v>45839</x:v>
      </x:c>
    </x:row>
    <x:row r="2171" ht="22" customHeight="1">
      <x:c r="A2171" s="2" t="str">
        <x:v>L002167</x:v>
      </x:c>
      <x:c r="B2171" s="2" t="str">
        <x:v>O00888</x:v>
      </x:c>
      <x:c r="C2171" s="7" t="n">
        <x:v>45718</x:v>
      </x:c>
      <x:c r="D2171" s="2" t="str">
        <x:v>Completed</x:v>
      </x:c>
      <x:c r="E2171" s="2" t="str">
        <x:v>West</x:v>
      </x:c>
      <x:c r="F2171" s="2" t="str">
        <x:v>Store</x:v>
      </x:c>
      <x:c r="G2171" s="2" t="str">
        <x:v>Storage</x:v>
      </x:c>
      <x:c r="H2171" s="2" t="str">
        <x:v>Shelf 007</x:v>
      </x:c>
      <x:c r="I2171" s="11" t="n">
        <x:v>1</x:v>
      </x:c>
      <x:c r="J2171" s="9" t="n">
        <x:v>35</x:v>
      </x:c>
      <x:c r="K2171" s="10" t="n">
        <x:v>0.05</x:v>
      </x:c>
      <x:c r="L2171" s="11" t="n">
        <x:v>0</x:v>
      </x:c>
      <x:c r="M2171" s="9" t="n">
        <x:f>IF(D2171="Completed",I2171*J2171,0)</x:f>
        <x:v>35</x:v>
      </x:c>
      <x:c r="N2171" s="9" t="n">
        <x:f>M2171*K2171</x:f>
        <x:v>1.75</x:v>
      </x:c>
      <x:c r="O2171" s="9" t="n">
        <x:f>M2171-N2171</x:f>
        <x:v>33.25</x:v>
      </x:c>
      <x:c r="P2171" s="9" t="n">
        <x:f>IF(D2171="Completed",L2171*J2171*(1-K2171),0)</x:f>
        <x:v>0</x:v>
      </x:c>
      <x:c r="Q2171" s="9" t="n">
        <x:f>O2171-P2171</x:f>
        <x:v>33.25</x:v>
      </x:c>
      <x:c r="R2171" s="11" t="n">
        <x:f>IF(D2171="Completed",I2171,0)</x:f>
        <x:v>1</x:v>
      </x:c>
      <x:c r="S2171" s="11" t="n">
        <x:f>IF(D2171="Completed",L2171,0)</x:f>
        <x:v>0</x:v>
      </x:c>
      <x:c r="T2171" s="8" t="n">
        <x:f>DATE(YEAR(C2171),MONTH(C2171),1)</x:f>
        <x:v>45717</x:v>
      </x:c>
    </x:row>
    <x:row r="2172" ht="22" customHeight="1">
      <x:c r="A2172" s="2" t="str">
        <x:v>L002168</x:v>
      </x:c>
      <x:c r="B2172" s="2" t="str">
        <x:v>O00888</x:v>
      </x:c>
      <x:c r="C2172" s="7" t="n">
        <x:v>45718</x:v>
      </x:c>
      <x:c r="D2172" s="2" t="str">
        <x:v>Completed</x:v>
      </x:c>
      <x:c r="E2172" s="2" t="str">
        <x:v>West</x:v>
      </x:c>
      <x:c r="F2172" s="2" t="str">
        <x:v>Store</x:v>
      </x:c>
      <x:c r="G2172" s="2" t="str">
        <x:v>Storage</x:v>
      </x:c>
      <x:c r="H2172" s="2" t="str">
        <x:v>Shelf 015</x:v>
      </x:c>
      <x:c r="I2172" s="11" t="n">
        <x:v>4</x:v>
      </x:c>
      <x:c r="J2172" s="9" t="n">
        <x:v>254</x:v>
      </x:c>
      <x:c r="K2172" s="10" t="n">
        <x:v>0.05</x:v>
      </x:c>
      <x:c r="L2172" s="11" t="n">
        <x:v>2</x:v>
      </x:c>
      <x:c r="M2172" s="9" t="n">
        <x:f>IF(D2172="Completed",I2172*J2172,0)</x:f>
        <x:v>1016</x:v>
      </x:c>
      <x:c r="N2172" s="9" t="n">
        <x:f>M2172*K2172</x:f>
        <x:v>50.800000000000004</x:v>
      </x:c>
      <x:c r="O2172" s="9" t="n">
        <x:f>M2172-N2172</x:f>
        <x:v>965.2</x:v>
      </x:c>
      <x:c r="P2172" s="9" t="n">
        <x:f>IF(D2172="Completed",L2172*J2172*(1-K2172),0)</x:f>
        <x:v>482.59999999999997</x:v>
      </x:c>
      <x:c r="Q2172" s="9" t="n">
        <x:f>O2172-P2172</x:f>
        <x:v>482.6000000000001</x:v>
      </x:c>
      <x:c r="R2172" s="11" t="n">
        <x:f>IF(D2172="Completed",I2172,0)</x:f>
        <x:v>4</x:v>
      </x:c>
      <x:c r="S2172" s="11" t="n">
        <x:f>IF(D2172="Completed",L2172,0)</x:f>
        <x:v>2</x:v>
      </x:c>
      <x:c r="T2172" s="8" t="n">
        <x:f>DATE(YEAR(C2172),MONTH(C2172),1)</x:f>
        <x:v>45717</x:v>
      </x:c>
    </x:row>
    <x:row r="2173" ht="22" customHeight="1">
      <x:c r="A2173" s="2" t="str">
        <x:v>L002169</x:v>
      </x:c>
      <x:c r="B2173" s="2" t="str">
        <x:v>O00888</x:v>
      </x:c>
      <x:c r="C2173" s="7" t="n">
        <x:v>45718</x:v>
      </x:c>
      <x:c r="D2173" s="2" t="str">
        <x:v>Completed</x:v>
      </x:c>
      <x:c r="E2173" s="2" t="str">
        <x:v>West</x:v>
      </x:c>
      <x:c r="F2173" s="2" t="str">
        <x:v>Store</x:v>
      </x:c>
      <x:c r="G2173" s="2" t="str">
        <x:v>Furniture</x:v>
      </x:c>
      <x:c r="H2173" s="2" t="str">
        <x:v>Desk 008</x:v>
      </x:c>
      <x:c r="I2173" s="11" t="n">
        <x:v>2</x:v>
      </x:c>
      <x:c r="J2173" s="9" t="n">
        <x:v>188</x:v>
      </x:c>
      <x:c r="K2173" s="10" t="n">
        <x:v>0</x:v>
      </x:c>
      <x:c r="L2173" s="11" t="n">
        <x:v>0</x:v>
      </x:c>
      <x:c r="M2173" s="9" t="n">
        <x:f>IF(D2173="Completed",I2173*J2173,0)</x:f>
        <x:v>376</x:v>
      </x:c>
      <x:c r="N2173" s="9" t="n">
        <x:f>M2173*K2173</x:f>
        <x:v>0</x:v>
      </x:c>
      <x:c r="O2173" s="9" t="n">
        <x:f>M2173-N2173</x:f>
        <x:v>376</x:v>
      </x:c>
      <x:c r="P2173" s="9" t="n">
        <x:f>IF(D2173="Completed",L2173*J2173*(1-K2173),0)</x:f>
        <x:v>0</x:v>
      </x:c>
      <x:c r="Q2173" s="9" t="n">
        <x:f>O2173-P2173</x:f>
        <x:v>376</x:v>
      </x:c>
      <x:c r="R2173" s="11" t="n">
        <x:f>IF(D2173="Completed",I2173,0)</x:f>
        <x:v>2</x:v>
      </x:c>
      <x:c r="S2173" s="11" t="n">
        <x:f>IF(D2173="Completed",L2173,0)</x:f>
        <x:v>0</x:v>
      </x:c>
      <x:c r="T2173" s="8" t="n">
        <x:f>DATE(YEAR(C2173),MONTH(C2173),1)</x:f>
        <x:v>45717</x:v>
      </x:c>
    </x:row>
    <x:row r="2174" ht="22" customHeight="1">
      <x:c r="A2174" s="2" t="str">
        <x:v>L002170</x:v>
      </x:c>
      <x:c r="B2174" s="2" t="str">
        <x:v>O00888</x:v>
      </x:c>
      <x:c r="C2174" s="7" t="n">
        <x:v>45718</x:v>
      </x:c>
      <x:c r="D2174" s="2" t="str">
        <x:v>Completed</x:v>
      </x:c>
      <x:c r="E2174" s="2" t="str">
        <x:v>West</x:v>
      </x:c>
      <x:c r="F2174" s="2" t="str">
        <x:v>Store</x:v>
      </x:c>
      <x:c r="G2174" s="2" t="str">
        <x:v>Storage</x:v>
      </x:c>
      <x:c r="H2174" s="2" t="str">
        <x:v>Shelf 015</x:v>
      </x:c>
      <x:c r="I2174" s="11" t="n">
        <x:v>4</x:v>
      </x:c>
      <x:c r="J2174" s="9" t="n">
        <x:v>254</x:v>
      </x:c>
      <x:c r="K2174" s="10" t="n">
        <x:v>0.1</x:v>
      </x:c>
      <x:c r="L2174" s="11" t="n">
        <x:v>0</x:v>
      </x:c>
      <x:c r="M2174" s="9" t="n">
        <x:f>IF(D2174="Completed",I2174*J2174,0)</x:f>
        <x:v>1016</x:v>
      </x:c>
      <x:c r="N2174" s="9" t="n">
        <x:f>M2174*K2174</x:f>
        <x:v>101.60000000000001</x:v>
      </x:c>
      <x:c r="O2174" s="9" t="n">
        <x:f>M2174-N2174</x:f>
        <x:v>914.4</x:v>
      </x:c>
      <x:c r="P2174" s="9" t="n">
        <x:f>IF(D2174="Completed",L2174*J2174*(1-K2174),0)</x:f>
        <x:v>0</x:v>
      </x:c>
      <x:c r="Q2174" s="9" t="n">
        <x:f>O2174-P2174</x:f>
        <x:v>914.4</x:v>
      </x:c>
      <x:c r="R2174" s="11" t="n">
        <x:f>IF(D2174="Completed",I2174,0)</x:f>
        <x:v>4</x:v>
      </x:c>
      <x:c r="S2174" s="11" t="n">
        <x:f>IF(D2174="Completed",L2174,0)</x:f>
        <x:v>0</x:v>
      </x:c>
      <x:c r="T2174" s="8" t="n">
        <x:f>DATE(YEAR(C2174),MONTH(C2174),1)</x:f>
        <x:v>45717</x:v>
      </x:c>
    </x:row>
    <x:row r="2175" ht="22" customHeight="1">
      <x:c r="A2175" s="2" t="str">
        <x:v>L002171</x:v>
      </x:c>
      <x:c r="B2175" s="2" t="str">
        <x:v>O00889</x:v>
      </x:c>
      <x:c r="C2175" s="7" t="n">
        <x:v>45910</x:v>
      </x:c>
      <x:c r="D2175" s="2" t="str">
        <x:v>Completed</x:v>
      </x:c>
      <x:c r="E2175" s="2" t="str">
        <x:v>West</x:v>
      </x:c>
      <x:c r="F2175" s="2" t="str">
        <x:v>Store</x:v>
      </x:c>
      <x:c r="G2175" s="2" t="str">
        <x:v>Furniture</x:v>
      </x:c>
      <x:c r="H2175" s="2" t="str">
        <x:v>Desk 004</x:v>
      </x:c>
      <x:c r="I2175" s="11" t="n">
        <x:v>4</x:v>
      </x:c>
      <x:c r="J2175" s="9" t="n">
        <x:v>123</x:v>
      </x:c>
      <x:c r="K2175" s="10" t="n">
        <x:v>0</x:v>
      </x:c>
      <x:c r="L2175" s="11" t="n">
        <x:v>0</x:v>
      </x:c>
      <x:c r="M2175" s="9" t="n">
        <x:f>IF(D2175="Completed",I2175*J2175,0)</x:f>
        <x:v>492</x:v>
      </x:c>
      <x:c r="N2175" s="9" t="n">
        <x:f>M2175*K2175</x:f>
        <x:v>0</x:v>
      </x:c>
      <x:c r="O2175" s="9" t="n">
        <x:f>M2175-N2175</x:f>
        <x:v>492</x:v>
      </x:c>
      <x:c r="P2175" s="9" t="n">
        <x:f>IF(D2175="Completed",L2175*J2175*(1-K2175),0)</x:f>
        <x:v>0</x:v>
      </x:c>
      <x:c r="Q2175" s="9" t="n">
        <x:f>O2175-P2175</x:f>
        <x:v>492</x:v>
      </x:c>
      <x:c r="R2175" s="11" t="n">
        <x:f>IF(D2175="Completed",I2175,0)</x:f>
        <x:v>4</x:v>
      </x:c>
      <x:c r="S2175" s="11" t="n">
        <x:f>IF(D2175="Completed",L2175,0)</x:f>
        <x:v>0</x:v>
      </x:c>
      <x:c r="T2175" s="8" t="n">
        <x:f>DATE(YEAR(C2175),MONTH(C2175),1)</x:f>
        <x:v>45901</x:v>
      </x:c>
    </x:row>
    <x:row r="2176" ht="22" customHeight="1">
      <x:c r="A2176" s="2" t="str">
        <x:v>L002172</x:v>
      </x:c>
      <x:c r="B2176" s="2" t="str">
        <x:v>O00890</x:v>
      </x:c>
      <x:c r="C2176" s="7" t="n">
        <x:v>45910</x:v>
      </x:c>
      <x:c r="D2176" s="2" t="str">
        <x:v>Completed</x:v>
      </x:c>
      <x:c r="E2176" s="2" t="str">
        <x:v>South</x:v>
      </x:c>
      <x:c r="F2176" s="2" t="str">
        <x:v>Online</x:v>
      </x:c>
      <x:c r="G2176" s="2" t="str">
        <x:v>Furniture</x:v>
      </x:c>
      <x:c r="H2176" s="2" t="str">
        <x:v>Chair 010</x:v>
      </x:c>
      <x:c r="I2176" s="11" t="n">
        <x:v>1</x:v>
      </x:c>
      <x:c r="J2176" s="9" t="n">
        <x:v>211</x:v>
      </x:c>
      <x:c r="K2176" s="10" t="n">
        <x:v>0.05</x:v>
      </x:c>
      <x:c r="L2176" s="11" t="n">
        <x:v>0</x:v>
      </x:c>
      <x:c r="M2176" s="9" t="n">
        <x:f>IF(D2176="Completed",I2176*J2176,0)</x:f>
        <x:v>211</x:v>
      </x:c>
      <x:c r="N2176" s="9" t="n">
        <x:f>M2176*K2176</x:f>
        <x:v>10.55</x:v>
      </x:c>
      <x:c r="O2176" s="9" t="n">
        <x:f>M2176-N2176</x:f>
        <x:v>200.45</x:v>
      </x:c>
      <x:c r="P2176" s="9" t="n">
        <x:f>IF(D2176="Completed",L2176*J2176*(1-K2176),0)</x:f>
        <x:v>0</x:v>
      </x:c>
      <x:c r="Q2176" s="9" t="n">
        <x:f>O2176-P2176</x:f>
        <x:v>200.45</x:v>
      </x:c>
      <x:c r="R2176" s="11" t="n">
        <x:f>IF(D2176="Completed",I2176,0)</x:f>
        <x:v>1</x:v>
      </x:c>
      <x:c r="S2176" s="11" t="n">
        <x:f>IF(D2176="Completed",L2176,0)</x:f>
        <x:v>0</x:v>
      </x:c>
      <x:c r="T2176" s="8" t="n">
        <x:f>DATE(YEAR(C2176),MONTH(C2176),1)</x:f>
        <x:v>45901</x:v>
      </x:c>
    </x:row>
    <x:row r="2177" ht="22" customHeight="1">
      <x:c r="A2177" s="2" t="str">
        <x:v>L002173</x:v>
      </x:c>
      <x:c r="B2177" s="2" t="str">
        <x:v>O00890</x:v>
      </x:c>
      <x:c r="C2177" s="7" t="n">
        <x:v>45910</x:v>
      </x:c>
      <x:c r="D2177" s="2" t="str">
        <x:v>Completed</x:v>
      </x:c>
      <x:c r="E2177" s="2" t="str">
        <x:v>South</x:v>
      </x:c>
      <x:c r="F2177" s="2" t="str">
        <x:v>Online</x:v>
      </x:c>
      <x:c r="G2177" s="2" t="str">
        <x:v>Furniture</x:v>
      </x:c>
      <x:c r="H2177" s="2" t="str">
        <x:v>Chair 010</x:v>
      </x:c>
      <x:c r="I2177" s="11" t="n">
        <x:v>2</x:v>
      </x:c>
      <x:c r="J2177" s="9" t="n">
        <x:v>211</x:v>
      </x:c>
      <x:c r="K2177" s="10" t="n">
        <x:v>0</x:v>
      </x:c>
      <x:c r="L2177" s="11" t="n">
        <x:v>0</x:v>
      </x:c>
      <x:c r="M2177" s="9" t="n">
        <x:f>IF(D2177="Completed",I2177*J2177,0)</x:f>
        <x:v>422</x:v>
      </x:c>
      <x:c r="N2177" s="9" t="n">
        <x:f>M2177*K2177</x:f>
        <x:v>0</x:v>
      </x:c>
      <x:c r="O2177" s="9" t="n">
        <x:f>M2177-N2177</x:f>
        <x:v>422</x:v>
      </x:c>
      <x:c r="P2177" s="9" t="n">
        <x:f>IF(D2177="Completed",L2177*J2177*(1-K2177),0)</x:f>
        <x:v>0</x:v>
      </x:c>
      <x:c r="Q2177" s="9" t="n">
        <x:f>O2177-P2177</x:f>
        <x:v>422</x:v>
      </x:c>
      <x:c r="R2177" s="11" t="n">
        <x:f>IF(D2177="Completed",I2177,0)</x:f>
        <x:v>2</x:v>
      </x:c>
      <x:c r="S2177" s="11" t="n">
        <x:f>IF(D2177="Completed",L2177,0)</x:f>
        <x:v>0</x:v>
      </x:c>
      <x:c r="T2177" s="8" t="n">
        <x:f>DATE(YEAR(C2177),MONTH(C2177),1)</x:f>
        <x:v>45901</x:v>
      </x:c>
    </x:row>
    <x:row r="2178" ht="22" customHeight="1">
      <x:c r="A2178" s="2" t="str">
        <x:v>L002174</x:v>
      </x:c>
      <x:c r="B2178" s="2" t="str">
        <x:v>O00890</x:v>
      </x:c>
      <x:c r="C2178" s="7" t="n">
        <x:v>45910</x:v>
      </x:c>
      <x:c r="D2178" s="2" t="str">
        <x:v>Completed</x:v>
      </x:c>
      <x:c r="E2178" s="2" t="str">
        <x:v>South</x:v>
      </x:c>
      <x:c r="F2178" s="2" t="str">
        <x:v>Online</x:v>
      </x:c>
      <x:c r="G2178" s="2" t="str">
        <x:v>Furniture</x:v>
      </x:c>
      <x:c r="H2178" s="2" t="str">
        <x:v>Desk 020</x:v>
      </x:c>
      <x:c r="I2178" s="11" t="n">
        <x:v>5</x:v>
      </x:c>
      <x:c r="J2178" s="9" t="n">
        <x:v>189</x:v>
      </x:c>
      <x:c r="K2178" s="10" t="n">
        <x:v>0.05</x:v>
      </x:c>
      <x:c r="L2178" s="11" t="n">
        <x:v>0</x:v>
      </x:c>
      <x:c r="M2178" s="9" t="n">
        <x:f>IF(D2178="Completed",I2178*J2178,0)</x:f>
        <x:v>945</x:v>
      </x:c>
      <x:c r="N2178" s="9" t="n">
        <x:f>M2178*K2178</x:f>
        <x:v>47.25</x:v>
      </x:c>
      <x:c r="O2178" s="9" t="n">
        <x:f>M2178-N2178</x:f>
        <x:v>897.75</x:v>
      </x:c>
      <x:c r="P2178" s="9" t="n">
        <x:f>IF(D2178="Completed",L2178*J2178*(1-K2178),0)</x:f>
        <x:v>0</x:v>
      </x:c>
      <x:c r="Q2178" s="9" t="n">
        <x:f>O2178-P2178</x:f>
        <x:v>897.75</x:v>
      </x:c>
      <x:c r="R2178" s="11" t="n">
        <x:f>IF(D2178="Completed",I2178,0)</x:f>
        <x:v>5</x:v>
      </x:c>
      <x:c r="S2178" s="11" t="n">
        <x:f>IF(D2178="Completed",L2178,0)</x:f>
        <x:v>0</x:v>
      </x:c>
      <x:c r="T2178" s="8" t="n">
        <x:f>DATE(YEAR(C2178),MONTH(C2178),1)</x:f>
        <x:v>45901</x:v>
      </x:c>
    </x:row>
    <x:row r="2179" ht="22" customHeight="1">
      <x:c r="A2179" s="2" t="str">
        <x:v>L002175</x:v>
      </x:c>
      <x:c r="B2179" s="2" t="str">
        <x:v>O00891</x:v>
      </x:c>
      <x:c r="C2179" s="7" t="n">
        <x:v>45825</x:v>
      </x:c>
      <x:c r="D2179" s="2" t="str">
        <x:v>Completed</x:v>
      </x:c>
      <x:c r="E2179" s="2" t="str">
        <x:v>East</x:v>
      </x:c>
      <x:c r="F2179" s="2" t="str">
        <x:v>Store</x:v>
      </x:c>
      <x:c r="G2179" s="2" t="str">
        <x:v>Furniture</x:v>
      </x:c>
      <x:c r="H2179" s="2" t="str">
        <x:v>Desk 024</x:v>
      </x:c>
      <x:c r="I2179" s="11" t="n">
        <x:v>5</x:v>
      </x:c>
      <x:c r="J2179" s="9" t="n">
        <x:v>81</x:v>
      </x:c>
      <x:c r="K2179" s="10" t="n">
        <x:v>0</x:v>
      </x:c>
      <x:c r="L2179" s="11" t="n">
        <x:v>0</x:v>
      </x:c>
      <x:c r="M2179" s="9" t="n">
        <x:f>IF(D2179="Completed",I2179*J2179,0)</x:f>
        <x:v>405</x:v>
      </x:c>
      <x:c r="N2179" s="9" t="n">
        <x:f>M2179*K2179</x:f>
        <x:v>0</x:v>
      </x:c>
      <x:c r="O2179" s="9" t="n">
        <x:f>M2179-N2179</x:f>
        <x:v>405</x:v>
      </x:c>
      <x:c r="P2179" s="9" t="n">
        <x:f>IF(D2179="Completed",L2179*J2179*(1-K2179),0)</x:f>
        <x:v>0</x:v>
      </x:c>
      <x:c r="Q2179" s="9" t="n">
        <x:f>O2179-P2179</x:f>
        <x:v>405</x:v>
      </x:c>
      <x:c r="R2179" s="11" t="n">
        <x:f>IF(D2179="Completed",I2179,0)</x:f>
        <x:v>5</x:v>
      </x:c>
      <x:c r="S2179" s="11" t="n">
        <x:f>IF(D2179="Completed",L2179,0)</x:f>
        <x:v>0</x:v>
      </x:c>
      <x:c r="T2179" s="8" t="n">
        <x:f>DATE(YEAR(C2179),MONTH(C2179),1)</x:f>
        <x:v>45809</x:v>
      </x:c>
    </x:row>
    <x:row r="2180" ht="22" customHeight="1">
      <x:c r="A2180" s="2" t="str">
        <x:v>L002176</x:v>
      </x:c>
      <x:c r="B2180" s="2" t="str">
        <x:v>O00892</x:v>
      </x:c>
      <x:c r="C2180" s="7" t="n">
        <x:v>46016</x:v>
      </x:c>
      <x:c r="D2180" s="2" t="str">
        <x:v>Completed</x:v>
      </x:c>
      <x:c r="E2180" s="2" t="str">
        <x:v>North</x:v>
      </x:c>
      <x:c r="F2180" s="2" t="str">
        <x:v>Online</x:v>
      </x:c>
      <x:c r="G2180" s="2" t="str">
        <x:v>Furniture</x:v>
      </x:c>
      <x:c r="H2180" s="2" t="str">
        <x:v>Chair 006</x:v>
      </x:c>
      <x:c r="I2180" s="11" t="n">
        <x:v>5</x:v>
      </x:c>
      <x:c r="J2180" s="9" t="n">
        <x:v>196</x:v>
      </x:c>
      <x:c r="K2180" s="10" t="n">
        <x:v>0.1</x:v>
      </x:c>
      <x:c r="L2180" s="11" t="n">
        <x:v>0</x:v>
      </x:c>
      <x:c r="M2180" s="9" t="n">
        <x:f>IF(D2180="Completed",I2180*J2180,0)</x:f>
        <x:v>980</x:v>
      </x:c>
      <x:c r="N2180" s="9" t="n">
        <x:f>M2180*K2180</x:f>
        <x:v>98</x:v>
      </x:c>
      <x:c r="O2180" s="9" t="n">
        <x:f>M2180-N2180</x:f>
        <x:v>882</x:v>
      </x:c>
      <x:c r="P2180" s="9" t="n">
        <x:f>IF(D2180="Completed",L2180*J2180*(1-K2180),0)</x:f>
        <x:v>0</x:v>
      </x:c>
      <x:c r="Q2180" s="9" t="n">
        <x:f>O2180-P2180</x:f>
        <x:v>882</x:v>
      </x:c>
      <x:c r="R2180" s="11" t="n">
        <x:f>IF(D2180="Completed",I2180,0)</x:f>
        <x:v>5</x:v>
      </x:c>
      <x:c r="S2180" s="11" t="n">
        <x:f>IF(D2180="Completed",L2180,0)</x:f>
        <x:v>0</x:v>
      </x:c>
      <x:c r="T2180" s="8" t="n">
        <x:f>DATE(YEAR(C2180),MONTH(C2180),1)</x:f>
        <x:v>45992</x:v>
      </x:c>
    </x:row>
    <x:row r="2181" ht="22" customHeight="1">
      <x:c r="A2181" s="2" t="str">
        <x:v>L002177</x:v>
      </x:c>
      <x:c r="B2181" s="2" t="str">
        <x:v>O00892</x:v>
      </x:c>
      <x:c r="C2181" s="7" t="n">
        <x:v>46016</x:v>
      </x:c>
      <x:c r="D2181" s="2" t="str">
        <x:v>Completed</x:v>
      </x:c>
      <x:c r="E2181" s="2" t="str">
        <x:v>North</x:v>
      </x:c>
      <x:c r="F2181" s="2" t="str">
        <x:v>Online</x:v>
      </x:c>
      <x:c r="G2181" s="2" t="str">
        <x:v>Furniture</x:v>
      </x:c>
      <x:c r="H2181" s="2" t="str">
        <x:v>Chair 010</x:v>
      </x:c>
      <x:c r="I2181" s="11" t="n">
        <x:v>4</x:v>
      </x:c>
      <x:c r="J2181" s="9" t="n">
        <x:v>211</x:v>
      </x:c>
      <x:c r="K2181" s="10" t="n">
        <x:v>0.2</x:v>
      </x:c>
      <x:c r="L2181" s="11" t="n">
        <x:v>0</x:v>
      </x:c>
      <x:c r="M2181" s="9" t="n">
        <x:f>IF(D2181="Completed",I2181*J2181,0)</x:f>
        <x:v>844</x:v>
      </x:c>
      <x:c r="N2181" s="9" t="n">
        <x:f>M2181*K2181</x:f>
        <x:v>168.8</x:v>
      </x:c>
      <x:c r="O2181" s="9" t="n">
        <x:f>M2181-N2181</x:f>
        <x:v>675.2</x:v>
      </x:c>
      <x:c r="P2181" s="9" t="n">
        <x:f>IF(D2181="Completed",L2181*J2181*(1-K2181),0)</x:f>
        <x:v>0</x:v>
      </x:c>
      <x:c r="Q2181" s="9" t="n">
        <x:f>O2181-P2181</x:f>
        <x:v>675.2</x:v>
      </x:c>
      <x:c r="R2181" s="11" t="n">
        <x:f>IF(D2181="Completed",I2181,0)</x:f>
        <x:v>4</x:v>
      </x:c>
      <x:c r="S2181" s="11" t="n">
        <x:f>IF(D2181="Completed",L2181,0)</x:f>
        <x:v>0</x:v>
      </x:c>
      <x:c r="T2181" s="8" t="n">
        <x:f>DATE(YEAR(C2181),MONTH(C2181),1)</x:f>
        <x:v>45992</x:v>
      </x:c>
    </x:row>
    <x:row r="2182" ht="22" customHeight="1">
      <x:c r="A2182" s="2" t="str">
        <x:v>L002178</x:v>
      </x:c>
      <x:c r="B2182" s="2" t="str">
        <x:v>O00892</x:v>
      </x:c>
      <x:c r="C2182" s="7" t="n">
        <x:v>46016</x:v>
      </x:c>
      <x:c r="D2182" s="2" t="str">
        <x:v>Completed</x:v>
      </x:c>
      <x:c r="E2182" s="2" t="str">
        <x:v>North</x:v>
      </x:c>
      <x:c r="F2182" s="2" t="str">
        <x:v>Online</x:v>
      </x:c>
      <x:c r="G2182" s="2" t="str">
        <x:v>Lighting</x:v>
      </x:c>
      <x:c r="H2182" s="2" t="str">
        <x:v>Lamp 021</x:v>
      </x:c>
      <x:c r="I2182" s="11" t="n">
        <x:v>3</x:v>
      </x:c>
      <x:c r="J2182" s="9" t="n">
        <x:v>249</x:v>
      </x:c>
      <x:c r="K2182" s="10" t="n">
        <x:v>0</x:v>
      </x:c>
      <x:c r="L2182" s="11" t="n">
        <x:v>0</x:v>
      </x:c>
      <x:c r="M2182" s="9" t="n">
        <x:f>IF(D2182="Completed",I2182*J2182,0)</x:f>
        <x:v>747</x:v>
      </x:c>
      <x:c r="N2182" s="9" t="n">
        <x:f>M2182*K2182</x:f>
        <x:v>0</x:v>
      </x:c>
      <x:c r="O2182" s="9" t="n">
        <x:f>M2182-N2182</x:f>
        <x:v>747</x:v>
      </x:c>
      <x:c r="P2182" s="9" t="n">
        <x:f>IF(D2182="Completed",L2182*J2182*(1-K2182),0)</x:f>
        <x:v>0</x:v>
      </x:c>
      <x:c r="Q2182" s="9" t="n">
        <x:f>O2182-P2182</x:f>
        <x:v>747</x:v>
      </x:c>
      <x:c r="R2182" s="11" t="n">
        <x:f>IF(D2182="Completed",I2182,0)</x:f>
        <x:v>3</x:v>
      </x:c>
      <x:c r="S2182" s="11" t="n">
        <x:f>IF(D2182="Completed",L2182,0)</x:f>
        <x:v>0</x:v>
      </x:c>
      <x:c r="T2182" s="8" t="n">
        <x:f>DATE(YEAR(C2182),MONTH(C2182),1)</x:f>
        <x:v>45992</x:v>
      </x:c>
    </x:row>
    <x:row r="2183" ht="22" customHeight="1">
      <x:c r="A2183" s="2" t="str">
        <x:v>L002179</x:v>
      </x:c>
      <x:c r="B2183" s="2" t="str">
        <x:v>O00893</x:v>
      </x:c>
      <x:c r="C2183" s="7" t="n">
        <x:v>45981</x:v>
      </x:c>
      <x:c r="D2183" s="2" t="str">
        <x:v>Completed</x:v>
      </x:c>
      <x:c r="E2183" s="2" t="str">
        <x:v>North</x:v>
      </x:c>
      <x:c r="F2183" s="2" t="str">
        <x:v>Store</x:v>
      </x:c>
      <x:c r="G2183" s="2" t="str">
        <x:v>Storage</x:v>
      </x:c>
      <x:c r="H2183" s="2" t="str">
        <x:v>Shelf 003</x:v>
      </x:c>
      <x:c r="I2183" s="11" t="n">
        <x:v>2</x:v>
      </x:c>
      <x:c r="J2183" s="9" t="n">
        <x:v>199</x:v>
      </x:c>
      <x:c r="K2183" s="10" t="n">
        <x:v>0</x:v>
      </x:c>
      <x:c r="L2183" s="11" t="n">
        <x:v>0</x:v>
      </x:c>
      <x:c r="M2183" s="9" t="n">
        <x:f>IF(D2183="Completed",I2183*J2183,0)</x:f>
        <x:v>398</x:v>
      </x:c>
      <x:c r="N2183" s="9" t="n">
        <x:f>M2183*K2183</x:f>
        <x:v>0</x:v>
      </x:c>
      <x:c r="O2183" s="9" t="n">
        <x:f>M2183-N2183</x:f>
        <x:v>398</x:v>
      </x:c>
      <x:c r="P2183" s="9" t="n">
        <x:f>IF(D2183="Completed",L2183*J2183*(1-K2183),0)</x:f>
        <x:v>0</x:v>
      </x:c>
      <x:c r="Q2183" s="9" t="n">
        <x:f>O2183-P2183</x:f>
        <x:v>398</x:v>
      </x:c>
      <x:c r="R2183" s="11" t="n">
        <x:f>IF(D2183="Completed",I2183,0)</x:f>
        <x:v>2</x:v>
      </x:c>
      <x:c r="S2183" s="11" t="n">
        <x:f>IF(D2183="Completed",L2183,0)</x:f>
        <x:v>0</x:v>
      </x:c>
      <x:c r="T2183" s="8" t="n">
        <x:f>DATE(YEAR(C2183),MONTH(C2183),1)</x:f>
        <x:v>45962</x:v>
      </x:c>
    </x:row>
    <x:row r="2184" ht="22" customHeight="1">
      <x:c r="A2184" s="2" t="str">
        <x:v>L002180</x:v>
      </x:c>
      <x:c r="B2184" s="2" t="str">
        <x:v>O00894</x:v>
      </x:c>
      <x:c r="C2184" s="7" t="n">
        <x:v>46011</x:v>
      </x:c>
      <x:c r="D2184" s="2" t="str">
        <x:v>Completed</x:v>
      </x:c>
      <x:c r="E2184" s="2" t="str">
        <x:v>West</x:v>
      </x:c>
      <x:c r="F2184" s="2" t="str">
        <x:v>Store</x:v>
      </x:c>
      <x:c r="G2184" s="2" t="str">
        <x:v>Lighting</x:v>
      </x:c>
      <x:c r="H2184" s="2" t="str">
        <x:v>Lamp 009</x:v>
      </x:c>
      <x:c r="I2184" s="11" t="n">
        <x:v>4</x:v>
      </x:c>
      <x:c r="J2184" s="9" t="n">
        <x:v>93</x:v>
      </x:c>
      <x:c r="K2184" s="10" t="n">
        <x:v>0.05</x:v>
      </x:c>
      <x:c r="L2184" s="11" t="n">
        <x:v>0</x:v>
      </x:c>
      <x:c r="M2184" s="9" t="n">
        <x:f>IF(D2184="Completed",I2184*J2184,0)</x:f>
        <x:v>372</x:v>
      </x:c>
      <x:c r="N2184" s="9" t="n">
        <x:f>M2184*K2184</x:f>
        <x:v>18.6</x:v>
      </x:c>
      <x:c r="O2184" s="9" t="n">
        <x:f>M2184-N2184</x:f>
        <x:v>353.4</x:v>
      </x:c>
      <x:c r="P2184" s="9" t="n">
        <x:f>IF(D2184="Completed",L2184*J2184*(1-K2184),0)</x:f>
        <x:v>0</x:v>
      </x:c>
      <x:c r="Q2184" s="9" t="n">
        <x:f>O2184-P2184</x:f>
        <x:v>353.4</x:v>
      </x:c>
      <x:c r="R2184" s="11" t="n">
        <x:f>IF(D2184="Completed",I2184,0)</x:f>
        <x:v>4</x:v>
      </x:c>
      <x:c r="S2184" s="11" t="n">
        <x:f>IF(D2184="Completed",L2184,0)</x:f>
        <x:v>0</x:v>
      </x:c>
      <x:c r="T2184" s="8" t="n">
        <x:f>DATE(YEAR(C2184),MONTH(C2184),1)</x:f>
        <x:v>45992</x:v>
      </x:c>
    </x:row>
    <x:row r="2185" ht="22" customHeight="1">
      <x:c r="A2185" s="2" t="str">
        <x:v>L002181</x:v>
      </x:c>
      <x:c r="B2185" s="2" t="str">
        <x:v>O00894</x:v>
      </x:c>
      <x:c r="C2185" s="7" t="n">
        <x:v>46011</x:v>
      </x:c>
      <x:c r="D2185" s="2" t="str">
        <x:v>Completed</x:v>
      </x:c>
      <x:c r="E2185" s="2" t="str">
        <x:v>West</x:v>
      </x:c>
      <x:c r="F2185" s="2" t="str">
        <x:v>Store</x:v>
      </x:c>
      <x:c r="G2185" s="2" t="str">
        <x:v>Storage</x:v>
      </x:c>
      <x:c r="H2185" s="2" t="str">
        <x:v>Shelf 003</x:v>
      </x:c>
      <x:c r="I2185" s="11" t="n">
        <x:v>5</x:v>
      </x:c>
      <x:c r="J2185" s="9" t="n">
        <x:v>199</x:v>
      </x:c>
      <x:c r="K2185" s="10" t="n">
        <x:v>0.05</x:v>
      </x:c>
      <x:c r="L2185" s="11" t="n">
        <x:v>0</x:v>
      </x:c>
      <x:c r="M2185" s="9" t="n">
        <x:f>IF(D2185="Completed",I2185*J2185,0)</x:f>
        <x:v>995</x:v>
      </x:c>
      <x:c r="N2185" s="9" t="n">
        <x:f>M2185*K2185</x:f>
        <x:v>49.75</x:v>
      </x:c>
      <x:c r="O2185" s="9" t="n">
        <x:f>M2185-N2185</x:f>
        <x:v>945.25</x:v>
      </x:c>
      <x:c r="P2185" s="9" t="n">
        <x:f>IF(D2185="Completed",L2185*J2185*(1-K2185),0)</x:f>
        <x:v>0</x:v>
      </x:c>
      <x:c r="Q2185" s="9" t="n">
        <x:f>O2185-P2185</x:f>
        <x:v>945.25</x:v>
      </x:c>
      <x:c r="R2185" s="11" t="n">
        <x:f>IF(D2185="Completed",I2185,0)</x:f>
        <x:v>5</x:v>
      </x:c>
      <x:c r="S2185" s="11" t="n">
        <x:f>IF(D2185="Completed",L2185,0)</x:f>
        <x:v>0</x:v>
      </x:c>
      <x:c r="T2185" s="8" t="n">
        <x:f>DATE(YEAR(C2185),MONTH(C2185),1)</x:f>
        <x:v>45992</x:v>
      </x:c>
    </x:row>
    <x:row r="2186" ht="22" customHeight="1">
      <x:c r="A2186" s="2" t="str">
        <x:v>L002182</x:v>
      </x:c>
      <x:c r="B2186" s="2" t="str">
        <x:v>O00894</x:v>
      </x:c>
      <x:c r="C2186" s="7" t="n">
        <x:v>46011</x:v>
      </x:c>
      <x:c r="D2186" s="2" t="str">
        <x:v>Completed</x:v>
      </x:c>
      <x:c r="E2186" s="2" t="str">
        <x:v>West</x:v>
      </x:c>
      <x:c r="F2186" s="2" t="str">
        <x:v>Store</x:v>
      </x:c>
      <x:c r="G2186" s="2" t="str">
        <x:v>Furniture</x:v>
      </x:c>
      <x:c r="H2186" s="2" t="str">
        <x:v>Desk 020</x:v>
      </x:c>
      <x:c r="I2186" s="11" t="n">
        <x:v>2</x:v>
      </x:c>
      <x:c r="J2186" s="9" t="n">
        <x:v>189</x:v>
      </x:c>
      <x:c r="K2186" s="10" t="n">
        <x:v>0</x:v>
      </x:c>
      <x:c r="L2186" s="11" t="n">
        <x:v>0</x:v>
      </x:c>
      <x:c r="M2186" s="9" t="n">
        <x:f>IF(D2186="Completed",I2186*J2186,0)</x:f>
        <x:v>378</x:v>
      </x:c>
      <x:c r="N2186" s="9" t="n">
        <x:f>M2186*K2186</x:f>
        <x:v>0</x:v>
      </x:c>
      <x:c r="O2186" s="9" t="n">
        <x:f>M2186-N2186</x:f>
        <x:v>378</x:v>
      </x:c>
      <x:c r="P2186" s="9" t="n">
        <x:f>IF(D2186="Completed",L2186*J2186*(1-K2186),0)</x:f>
        <x:v>0</x:v>
      </x:c>
      <x:c r="Q2186" s="9" t="n">
        <x:f>O2186-P2186</x:f>
        <x:v>378</x:v>
      </x:c>
      <x:c r="R2186" s="11" t="n">
        <x:f>IF(D2186="Completed",I2186,0)</x:f>
        <x:v>2</x:v>
      </x:c>
      <x:c r="S2186" s="11" t="n">
        <x:f>IF(D2186="Completed",L2186,0)</x:f>
        <x:v>0</x:v>
      </x:c>
      <x:c r="T2186" s="8" t="n">
        <x:f>DATE(YEAR(C2186),MONTH(C2186),1)</x:f>
        <x:v>45992</x:v>
      </x:c>
    </x:row>
    <x:row r="2187" ht="22" customHeight="1">
      <x:c r="A2187" s="2" t="str">
        <x:v>L002183</x:v>
      </x:c>
      <x:c r="B2187" s="2" t="str">
        <x:v>O00895</x:v>
      </x:c>
      <x:c r="C2187" s="7" t="n">
        <x:v>45711</x:v>
      </x:c>
      <x:c r="D2187" s="2" t="str">
        <x:v>Completed</x:v>
      </x:c>
      <x:c r="E2187" s="2" t="str">
        <x:v>East</x:v>
      </x:c>
      <x:c r="F2187" s="2" t="str">
        <x:v>Store</x:v>
      </x:c>
      <x:c r="G2187" s="2" t="str">
        <x:v>Furniture</x:v>
      </x:c>
      <x:c r="H2187" s="2" t="str">
        <x:v>Desk 016</x:v>
      </x:c>
      <x:c r="I2187" s="11" t="n">
        <x:v>2</x:v>
      </x:c>
      <x:c r="J2187" s="9" t="n">
        <x:v>231</x:v>
      </x:c>
      <x:c r="K2187" s="10" t="n">
        <x:v>0.1</x:v>
      </x:c>
      <x:c r="L2187" s="11" t="n">
        <x:v>0</x:v>
      </x:c>
      <x:c r="M2187" s="9" t="n">
        <x:f>IF(D2187="Completed",I2187*J2187,0)</x:f>
        <x:v>462</x:v>
      </x:c>
      <x:c r="N2187" s="9" t="n">
        <x:f>M2187*K2187</x:f>
        <x:v>46.2</x:v>
      </x:c>
      <x:c r="O2187" s="9" t="n">
        <x:f>M2187-N2187</x:f>
        <x:v>415.8</x:v>
      </x:c>
      <x:c r="P2187" s="9" t="n">
        <x:f>IF(D2187="Completed",L2187*J2187*(1-K2187),0)</x:f>
        <x:v>0</x:v>
      </x:c>
      <x:c r="Q2187" s="9" t="n">
        <x:f>O2187-P2187</x:f>
        <x:v>415.8</x:v>
      </x:c>
      <x:c r="R2187" s="11" t="n">
        <x:f>IF(D2187="Completed",I2187,0)</x:f>
        <x:v>2</x:v>
      </x:c>
      <x:c r="S2187" s="11" t="n">
        <x:f>IF(D2187="Completed",L2187,0)</x:f>
        <x:v>0</x:v>
      </x:c>
      <x:c r="T2187" s="8" t="n">
        <x:f>DATE(YEAR(C2187),MONTH(C2187),1)</x:f>
        <x:v>45689</x:v>
      </x:c>
    </x:row>
    <x:row r="2188" ht="22" customHeight="1">
      <x:c r="A2188" s="2" t="str">
        <x:v>L002184</x:v>
      </x:c>
      <x:c r="B2188" s="2" t="str">
        <x:v>O00896</x:v>
      </x:c>
      <x:c r="C2188" s="7" t="n">
        <x:v>45716</x:v>
      </x:c>
      <x:c r="D2188" s="2" t="str">
        <x:v>Completed</x:v>
      </x:c>
      <x:c r="E2188" s="2" t="str">
        <x:v>West</x:v>
      </x:c>
      <x:c r="F2188" s="2" t="str">
        <x:v>Store</x:v>
      </x:c>
      <x:c r="G2188" s="2" t="str">
        <x:v>Furniture</x:v>
      </x:c>
      <x:c r="H2188" s="2" t="str">
        <x:v>Chair 006</x:v>
      </x:c>
      <x:c r="I2188" s="11" t="n">
        <x:v>2</x:v>
      </x:c>
      <x:c r="J2188" s="9" t="n">
        <x:v>196</x:v>
      </x:c>
      <x:c r="K2188" s="10" t="n">
        <x:v>0.05</x:v>
      </x:c>
      <x:c r="L2188" s="11" t="n">
        <x:v>0</x:v>
      </x:c>
      <x:c r="M2188" s="9" t="n">
        <x:f>IF(D2188="Completed",I2188*J2188,0)</x:f>
        <x:v>392</x:v>
      </x:c>
      <x:c r="N2188" s="9" t="n">
        <x:f>M2188*K2188</x:f>
        <x:v>19.6</x:v>
      </x:c>
      <x:c r="O2188" s="9" t="n">
        <x:f>M2188-N2188</x:f>
        <x:v>372.4</x:v>
      </x:c>
      <x:c r="P2188" s="9" t="n">
        <x:f>IF(D2188="Completed",L2188*J2188*(1-K2188),0)</x:f>
        <x:v>0</x:v>
      </x:c>
      <x:c r="Q2188" s="9" t="n">
        <x:f>O2188-P2188</x:f>
        <x:v>372.4</x:v>
      </x:c>
      <x:c r="R2188" s="11" t="n">
        <x:f>IF(D2188="Completed",I2188,0)</x:f>
        <x:v>2</x:v>
      </x:c>
      <x:c r="S2188" s="11" t="n">
        <x:f>IF(D2188="Completed",L2188,0)</x:f>
        <x:v>0</x:v>
      </x:c>
      <x:c r="T2188" s="8" t="n">
        <x:f>DATE(YEAR(C2188),MONTH(C2188),1)</x:f>
        <x:v>45689</x:v>
      </x:c>
    </x:row>
    <x:row r="2189" ht="22" customHeight="1">
      <x:c r="A2189" s="2" t="str">
        <x:v>L002185</x:v>
      </x:c>
      <x:c r="B2189" s="2" t="str">
        <x:v>O00896</x:v>
      </x:c>
      <x:c r="C2189" s="7" t="n">
        <x:v>45716</x:v>
      </x:c>
      <x:c r="D2189" s="2" t="str">
        <x:v>Completed</x:v>
      </x:c>
      <x:c r="E2189" s="2" t="str">
        <x:v>West</x:v>
      </x:c>
      <x:c r="F2189" s="2" t="str">
        <x:v>Store</x:v>
      </x:c>
      <x:c r="G2189" s="2" t="str">
        <x:v>Lighting</x:v>
      </x:c>
      <x:c r="H2189" s="2" t="str">
        <x:v>Lamp 013</x:v>
      </x:c>
      <x:c r="I2189" s="11" t="n">
        <x:v>2</x:v>
      </x:c>
      <x:c r="J2189" s="9" t="n">
        <x:v>271</x:v>
      </x:c>
      <x:c r="K2189" s="10" t="n">
        <x:v>0</x:v>
      </x:c>
      <x:c r="L2189" s="11" t="n">
        <x:v>0</x:v>
      </x:c>
      <x:c r="M2189" s="9" t="n">
        <x:f>IF(D2189="Completed",I2189*J2189,0)</x:f>
        <x:v>542</x:v>
      </x:c>
      <x:c r="N2189" s="9" t="n">
        <x:f>M2189*K2189</x:f>
        <x:v>0</x:v>
      </x:c>
      <x:c r="O2189" s="9" t="n">
        <x:f>M2189-N2189</x:f>
        <x:v>542</x:v>
      </x:c>
      <x:c r="P2189" s="9" t="n">
        <x:f>IF(D2189="Completed",L2189*J2189*(1-K2189),0)</x:f>
        <x:v>0</x:v>
      </x:c>
      <x:c r="Q2189" s="9" t="n">
        <x:f>O2189-P2189</x:f>
        <x:v>542</x:v>
      </x:c>
      <x:c r="R2189" s="11" t="n">
        <x:f>IF(D2189="Completed",I2189,0)</x:f>
        <x:v>2</x:v>
      </x:c>
      <x:c r="S2189" s="11" t="n">
        <x:f>IF(D2189="Completed",L2189,0)</x:f>
        <x:v>0</x:v>
      </x:c>
      <x:c r="T2189" s="8" t="n">
        <x:f>DATE(YEAR(C2189),MONTH(C2189),1)</x:f>
        <x:v>45689</x:v>
      </x:c>
    </x:row>
    <x:row r="2190" ht="22" customHeight="1">
      <x:c r="A2190" s="2" t="str">
        <x:v>L002186</x:v>
      </x:c>
      <x:c r="B2190" s="2" t="str">
        <x:v>O00897</x:v>
      </x:c>
      <x:c r="C2190" s="7" t="n">
        <x:v>45682</x:v>
      </x:c>
      <x:c r="D2190" s="2" t="str">
        <x:v>Completed</x:v>
      </x:c>
      <x:c r="E2190" s="2" t="str">
        <x:v>South</x:v>
      </x:c>
      <x:c r="F2190" s="2" t="str">
        <x:v>Store</x:v>
      </x:c>
      <x:c r="G2190" s="2" t="str">
        <x:v>Lighting</x:v>
      </x:c>
      <x:c r="H2190" s="2" t="str">
        <x:v>Lamp 013</x:v>
      </x:c>
      <x:c r="I2190" s="11" t="n">
        <x:v>3</x:v>
      </x:c>
      <x:c r="J2190" s="9" t="n">
        <x:v>271</x:v>
      </x:c>
      <x:c r="K2190" s="10" t="n">
        <x:v>0</x:v>
      </x:c>
      <x:c r="L2190" s="11" t="n">
        <x:v>1</x:v>
      </x:c>
      <x:c r="M2190" s="9" t="n">
        <x:f>IF(D2190="Completed",I2190*J2190,0)</x:f>
        <x:v>813</x:v>
      </x:c>
      <x:c r="N2190" s="9" t="n">
        <x:f>M2190*K2190</x:f>
        <x:v>0</x:v>
      </x:c>
      <x:c r="O2190" s="9" t="n">
        <x:f>M2190-N2190</x:f>
        <x:v>813</x:v>
      </x:c>
      <x:c r="P2190" s="9" t="n">
        <x:f>IF(D2190="Completed",L2190*J2190*(1-K2190),0)</x:f>
        <x:v>271</x:v>
      </x:c>
      <x:c r="Q2190" s="9" t="n">
        <x:f>O2190-P2190</x:f>
        <x:v>542</x:v>
      </x:c>
      <x:c r="R2190" s="11" t="n">
        <x:f>IF(D2190="Completed",I2190,0)</x:f>
        <x:v>3</x:v>
      </x:c>
      <x:c r="S2190" s="11" t="n">
        <x:f>IF(D2190="Completed",L2190,0)</x:f>
        <x:v>1</x:v>
      </x:c>
      <x:c r="T2190" s="8" t="n">
        <x:f>DATE(YEAR(C2190),MONTH(C2190),1)</x:f>
        <x:v>45658</x:v>
      </x:c>
    </x:row>
    <x:row r="2191" ht="22" customHeight="1">
      <x:c r="A2191" s="2" t="str">
        <x:v>L002187</x:v>
      </x:c>
      <x:c r="B2191" s="2" t="str">
        <x:v>O00897</x:v>
      </x:c>
      <x:c r="C2191" s="7" t="n">
        <x:v>45682</x:v>
      </x:c>
      <x:c r="D2191" s="2" t="str">
        <x:v>Completed</x:v>
      </x:c>
      <x:c r="E2191" s="2" t="str">
        <x:v>South</x:v>
      </x:c>
      <x:c r="F2191" s="2" t="str">
        <x:v>Store</x:v>
      </x:c>
      <x:c r="G2191" s="2" t="str">
        <x:v>Lighting</x:v>
      </x:c>
      <x:c r="H2191" s="2" t="str">
        <x:v>Lamp 017</x:v>
      </x:c>
      <x:c r="I2191" s="11" t="n">
        <x:v>5</x:v>
      </x:c>
      <x:c r="J2191" s="9" t="n">
        <x:v>300</x:v>
      </x:c>
      <x:c r="K2191" s="10" t="n">
        <x:v>0</x:v>
      </x:c>
      <x:c r="L2191" s="11" t="n">
        <x:v>0</x:v>
      </x:c>
      <x:c r="M2191" s="9" t="n">
        <x:f>IF(D2191="Completed",I2191*J2191,0)</x:f>
        <x:v>1500</x:v>
      </x:c>
      <x:c r="N2191" s="9" t="n">
        <x:f>M2191*K2191</x:f>
        <x:v>0</x:v>
      </x:c>
      <x:c r="O2191" s="9" t="n">
        <x:f>M2191-N2191</x:f>
        <x:v>1500</x:v>
      </x:c>
      <x:c r="P2191" s="9" t="n">
        <x:f>IF(D2191="Completed",L2191*J2191*(1-K2191),0)</x:f>
        <x:v>0</x:v>
      </x:c>
      <x:c r="Q2191" s="9" t="n">
        <x:f>O2191-P2191</x:f>
        <x:v>1500</x:v>
      </x:c>
      <x:c r="R2191" s="11" t="n">
        <x:f>IF(D2191="Completed",I2191,0)</x:f>
        <x:v>5</x:v>
      </x:c>
      <x:c r="S2191" s="11" t="n">
        <x:f>IF(D2191="Completed",L2191,0)</x:f>
        <x:v>0</x:v>
      </x:c>
      <x:c r="T2191" s="8" t="n">
        <x:f>DATE(YEAR(C2191),MONTH(C2191),1)</x:f>
        <x:v>45658</x:v>
      </x:c>
    </x:row>
    <x:row r="2192" ht="22" customHeight="1">
      <x:c r="A2192" s="2" t="str">
        <x:v>L002188</x:v>
      </x:c>
      <x:c r="B2192" s="2" t="str">
        <x:v>O00897</x:v>
      </x:c>
      <x:c r="C2192" s="7" t="n">
        <x:v>45682</x:v>
      </x:c>
      <x:c r="D2192" s="2" t="str">
        <x:v>Completed</x:v>
      </x:c>
      <x:c r="E2192" s="2" t="str">
        <x:v>South</x:v>
      </x:c>
      <x:c r="F2192" s="2" t="str">
        <x:v>Store</x:v>
      </x:c>
      <x:c r="G2192" s="2" t="str">
        <x:v>Lighting</x:v>
      </x:c>
      <x:c r="H2192" s="2" t="str">
        <x:v>Lamp 005</x:v>
      </x:c>
      <x:c r="I2192" s="11" t="n">
        <x:v>3</x:v>
      </x:c>
      <x:c r="J2192" s="9" t="n">
        <x:v>65</x:v>
      </x:c>
      <x:c r="K2192" s="10" t="n">
        <x:v>0</x:v>
      </x:c>
      <x:c r="L2192" s="11" t="n">
        <x:v>0</x:v>
      </x:c>
      <x:c r="M2192" s="9" t="n">
        <x:f>IF(D2192="Completed",I2192*J2192,0)</x:f>
        <x:v>195</x:v>
      </x:c>
      <x:c r="N2192" s="9" t="n">
        <x:f>M2192*K2192</x:f>
        <x:v>0</x:v>
      </x:c>
      <x:c r="O2192" s="9" t="n">
        <x:f>M2192-N2192</x:f>
        <x:v>195</x:v>
      </x:c>
      <x:c r="P2192" s="9" t="n">
        <x:f>IF(D2192="Completed",L2192*J2192*(1-K2192),0)</x:f>
        <x:v>0</x:v>
      </x:c>
      <x:c r="Q2192" s="9" t="n">
        <x:f>O2192-P2192</x:f>
        <x:v>195</x:v>
      </x:c>
      <x:c r="R2192" s="11" t="n">
        <x:f>IF(D2192="Completed",I2192,0)</x:f>
        <x:v>3</x:v>
      </x:c>
      <x:c r="S2192" s="11" t="n">
        <x:f>IF(D2192="Completed",L2192,0)</x:f>
        <x:v>0</x:v>
      </x:c>
      <x:c r="T2192" s="8" t="n">
        <x:f>DATE(YEAR(C2192),MONTH(C2192),1)</x:f>
        <x:v>45658</x:v>
      </x:c>
    </x:row>
    <x:row r="2193" ht="22" customHeight="1">
      <x:c r="A2193" s="2" t="str">
        <x:v>L002189</x:v>
      </x:c>
      <x:c r="B2193" s="2" t="str">
        <x:v>O00898</x:v>
      </x:c>
      <x:c r="C2193" s="7" t="n">
        <x:v>45661</x:v>
      </x:c>
      <x:c r="D2193" s="2" t="str">
        <x:v>Completed</x:v>
      </x:c>
      <x:c r="E2193" s="2" t="str">
        <x:v>West</x:v>
      </x:c>
      <x:c r="F2193" s="2" t="str">
        <x:v>Online</x:v>
      </x:c>
      <x:c r="G2193" s="2" t="str">
        <x:v>Lighting</x:v>
      </x:c>
      <x:c r="H2193" s="2" t="str">
        <x:v>Lamp 013</x:v>
      </x:c>
      <x:c r="I2193" s="11" t="n">
        <x:v>3</x:v>
      </x:c>
      <x:c r="J2193" s="9" t="n">
        <x:v>271</x:v>
      </x:c>
      <x:c r="K2193" s="10" t="n">
        <x:v>0.2</x:v>
      </x:c>
      <x:c r="L2193" s="11" t="n">
        <x:v>0</x:v>
      </x:c>
      <x:c r="M2193" s="9" t="n">
        <x:f>IF(D2193="Completed",I2193*J2193,0)</x:f>
        <x:v>813</x:v>
      </x:c>
      <x:c r="N2193" s="9" t="n">
        <x:f>M2193*K2193</x:f>
        <x:v>162.60000000000002</x:v>
      </x:c>
      <x:c r="O2193" s="9" t="n">
        <x:f>M2193-N2193</x:f>
        <x:v>650.4</x:v>
      </x:c>
      <x:c r="P2193" s="9" t="n">
        <x:f>IF(D2193="Completed",L2193*J2193*(1-K2193),0)</x:f>
        <x:v>0</x:v>
      </x:c>
      <x:c r="Q2193" s="9" t="n">
        <x:f>O2193-P2193</x:f>
        <x:v>650.4</x:v>
      </x:c>
      <x:c r="R2193" s="11" t="n">
        <x:f>IF(D2193="Completed",I2193,0)</x:f>
        <x:v>3</x:v>
      </x:c>
      <x:c r="S2193" s="11" t="n">
        <x:f>IF(D2193="Completed",L2193,0)</x:f>
        <x:v>0</x:v>
      </x:c>
      <x:c r="T2193" s="8" t="n">
        <x:f>DATE(YEAR(C2193),MONTH(C2193),1)</x:f>
        <x:v>45658</x:v>
      </x:c>
    </x:row>
    <x:row r="2194" ht="22" customHeight="1">
      <x:c r="A2194" s="2" t="str">
        <x:v>L002190</x:v>
      </x:c>
      <x:c r="B2194" s="2" t="str">
        <x:v>O00898</x:v>
      </x:c>
      <x:c r="C2194" s="7" t="n">
        <x:v>45661</x:v>
      </x:c>
      <x:c r="D2194" s="2" t="str">
        <x:v>Completed</x:v>
      </x:c>
      <x:c r="E2194" s="2" t="str">
        <x:v>West</x:v>
      </x:c>
      <x:c r="F2194" s="2" t="str">
        <x:v>Online</x:v>
      </x:c>
      <x:c r="G2194" s="2" t="str">
        <x:v>Storage</x:v>
      </x:c>
      <x:c r="H2194" s="2" t="str">
        <x:v>Shelf 007</x:v>
      </x:c>
      <x:c r="I2194" s="11" t="n">
        <x:v>1</x:v>
      </x:c>
      <x:c r="J2194" s="9" t="n">
        <x:v>35</x:v>
      </x:c>
      <x:c r="K2194" s="10" t="n">
        <x:v>0.1</x:v>
      </x:c>
      <x:c r="L2194" s="11" t="n">
        <x:v>0</x:v>
      </x:c>
      <x:c r="M2194" s="9" t="n">
        <x:f>IF(D2194="Completed",I2194*J2194,0)</x:f>
        <x:v>35</x:v>
      </x:c>
      <x:c r="N2194" s="9" t="n">
        <x:f>M2194*K2194</x:f>
        <x:v>3.5</x:v>
      </x:c>
      <x:c r="O2194" s="9" t="n">
        <x:f>M2194-N2194</x:f>
        <x:v>31.5</x:v>
      </x:c>
      <x:c r="P2194" s="9" t="n">
        <x:f>IF(D2194="Completed",L2194*J2194*(1-K2194),0)</x:f>
        <x:v>0</x:v>
      </x:c>
      <x:c r="Q2194" s="9" t="n">
        <x:f>O2194-P2194</x:f>
        <x:v>31.5</x:v>
      </x:c>
      <x:c r="R2194" s="11" t="n">
        <x:f>IF(D2194="Completed",I2194,0)</x:f>
        <x:v>1</x:v>
      </x:c>
      <x:c r="S2194" s="11" t="n">
        <x:f>IF(D2194="Completed",L2194,0)</x:f>
        <x:v>0</x:v>
      </x:c>
      <x:c r="T2194" s="8" t="n">
        <x:f>DATE(YEAR(C2194),MONTH(C2194),1)</x:f>
        <x:v>45658</x:v>
      </x:c>
    </x:row>
    <x:row r="2195" ht="22" customHeight="1">
      <x:c r="A2195" s="2" t="str">
        <x:v>L002191</x:v>
      </x:c>
      <x:c r="B2195" s="2" t="str">
        <x:v>O00898</x:v>
      </x:c>
      <x:c r="C2195" s="7" t="n">
        <x:v>45661</x:v>
      </x:c>
      <x:c r="D2195" s="2" t="str">
        <x:v>Completed</x:v>
      </x:c>
      <x:c r="E2195" s="2" t="str">
        <x:v>West</x:v>
      </x:c>
      <x:c r="F2195" s="2" t="str">
        <x:v>Online</x:v>
      </x:c>
      <x:c r="G2195" s="2" t="str">
        <x:v>Furniture</x:v>
      </x:c>
      <x:c r="H2195" s="2" t="str">
        <x:v>Desk 012</x:v>
      </x:c>
      <x:c r="I2195" s="11" t="n">
        <x:v>5</x:v>
      </x:c>
      <x:c r="J2195" s="9" t="n">
        <x:v>134</x:v>
      </x:c>
      <x:c r="K2195" s="10" t="n">
        <x:v>0.2</x:v>
      </x:c>
      <x:c r="L2195" s="11" t="n">
        <x:v>1</x:v>
      </x:c>
      <x:c r="M2195" s="9" t="n">
        <x:f>IF(D2195="Completed",I2195*J2195,0)</x:f>
        <x:v>670</x:v>
      </x:c>
      <x:c r="N2195" s="9" t="n">
        <x:f>M2195*K2195</x:f>
        <x:v>134</x:v>
      </x:c>
      <x:c r="O2195" s="9" t="n">
        <x:f>M2195-N2195</x:f>
        <x:v>536</x:v>
      </x:c>
      <x:c r="P2195" s="9" t="n">
        <x:f>IF(D2195="Completed",L2195*J2195*(1-K2195),0)</x:f>
        <x:v>107.2</x:v>
      </x:c>
      <x:c r="Q2195" s="9" t="n">
        <x:f>O2195-P2195</x:f>
        <x:v>428.8</x:v>
      </x:c>
      <x:c r="R2195" s="11" t="n">
        <x:f>IF(D2195="Completed",I2195,0)</x:f>
        <x:v>5</x:v>
      </x:c>
      <x:c r="S2195" s="11" t="n">
        <x:f>IF(D2195="Completed",L2195,0)</x:f>
        <x:v>1</x:v>
      </x:c>
      <x:c r="T2195" s="8" t="n">
        <x:f>DATE(YEAR(C2195),MONTH(C2195),1)</x:f>
        <x:v>45658</x:v>
      </x:c>
    </x:row>
    <x:row r="2196" ht="22" customHeight="1">
      <x:c r="A2196" s="2" t="str">
        <x:v>L002192</x:v>
      </x:c>
      <x:c r="B2196" s="2" t="str">
        <x:v>O00899</x:v>
      </x:c>
      <x:c r="C2196" s="7" t="n">
        <x:v>46001</x:v>
      </x:c>
      <x:c r="D2196" s="2" t="str">
        <x:v>Completed</x:v>
      </x:c>
      <x:c r="E2196" s="2" t="str">
        <x:v>West</x:v>
      </x:c>
      <x:c r="F2196" s="2" t="str">
        <x:v>Store</x:v>
      </x:c>
      <x:c r="G2196" s="2" t="str">
        <x:v>Lighting</x:v>
      </x:c>
      <x:c r="H2196" s="2" t="str">
        <x:v>Lamp 021</x:v>
      </x:c>
      <x:c r="I2196" s="11" t="n">
        <x:v>1</x:v>
      </x:c>
      <x:c r="J2196" s="9" t="n">
        <x:v>249</x:v>
      </x:c>
      <x:c r="K2196" s="10" t="n">
        <x:v>0.1</x:v>
      </x:c>
      <x:c r="L2196" s="11" t="n">
        <x:v>0</x:v>
      </x:c>
      <x:c r="M2196" s="9" t="n">
        <x:f>IF(D2196="Completed",I2196*J2196,0)</x:f>
        <x:v>249</x:v>
      </x:c>
      <x:c r="N2196" s="9" t="n">
        <x:f>M2196*K2196</x:f>
        <x:v>24.900000000000002</x:v>
      </x:c>
      <x:c r="O2196" s="9" t="n">
        <x:f>M2196-N2196</x:f>
        <x:v>224.1</x:v>
      </x:c>
      <x:c r="P2196" s="9" t="n">
        <x:f>IF(D2196="Completed",L2196*J2196*(1-K2196),0)</x:f>
        <x:v>0</x:v>
      </x:c>
      <x:c r="Q2196" s="9" t="n">
        <x:f>O2196-P2196</x:f>
        <x:v>224.1</x:v>
      </x:c>
      <x:c r="R2196" s="11" t="n">
        <x:f>IF(D2196="Completed",I2196,0)</x:f>
        <x:v>1</x:v>
      </x:c>
      <x:c r="S2196" s="11" t="n">
        <x:f>IF(D2196="Completed",L2196,0)</x:f>
        <x:v>0</x:v>
      </x:c>
      <x:c r="T2196" s="8" t="n">
        <x:f>DATE(YEAR(C2196),MONTH(C2196),1)</x:f>
        <x:v>45992</x:v>
      </x:c>
    </x:row>
    <x:row r="2197" ht="22" customHeight="1">
      <x:c r="A2197" s="2" t="str">
        <x:v>L002193</x:v>
      </x:c>
      <x:c r="B2197" s="2" t="str">
        <x:v>O00900</x:v>
      </x:c>
      <x:c r="C2197" s="7" t="n">
        <x:v>45827</x:v>
      </x:c>
      <x:c r="D2197" s="2" t="str">
        <x:v>Completed</x:v>
      </x:c>
      <x:c r="E2197" s="2" t="str">
        <x:v>East</x:v>
      </x:c>
      <x:c r="F2197" s="2" t="str">
        <x:v>Online</x:v>
      </x:c>
      <x:c r="G2197" s="2" t="str">
        <x:v>Storage</x:v>
      </x:c>
      <x:c r="H2197" s="2" t="str">
        <x:v>Shelf 023</x:v>
      </x:c>
      <x:c r="I2197" s="11" t="n">
        <x:v>4</x:v>
      </x:c>
      <x:c r="J2197" s="9" t="n">
        <x:v>68</x:v>
      </x:c>
      <x:c r="K2197" s="10" t="n">
        <x:v>0</x:v>
      </x:c>
      <x:c r="L2197" s="11" t="n">
        <x:v>0</x:v>
      </x:c>
      <x:c r="M2197" s="9" t="n">
        <x:f>IF(D2197="Completed",I2197*J2197,0)</x:f>
        <x:v>272</x:v>
      </x:c>
      <x:c r="N2197" s="9" t="n">
        <x:f>M2197*K2197</x:f>
        <x:v>0</x:v>
      </x:c>
      <x:c r="O2197" s="9" t="n">
        <x:f>M2197-N2197</x:f>
        <x:v>272</x:v>
      </x:c>
      <x:c r="P2197" s="9" t="n">
        <x:f>IF(D2197="Completed",L2197*J2197*(1-K2197),0)</x:f>
        <x:v>0</x:v>
      </x:c>
      <x:c r="Q2197" s="9" t="n">
        <x:f>O2197-P2197</x:f>
        <x:v>272</x:v>
      </x:c>
      <x:c r="R2197" s="11" t="n">
        <x:f>IF(D2197="Completed",I2197,0)</x:f>
        <x:v>4</x:v>
      </x:c>
      <x:c r="S2197" s="11" t="n">
        <x:f>IF(D2197="Completed",L2197,0)</x:f>
        <x:v>0</x:v>
      </x:c>
      <x:c r="T2197" s="8" t="n">
        <x:f>DATE(YEAR(C2197),MONTH(C2197),1)</x:f>
        <x:v>45809</x:v>
      </x:c>
    </x:row>
    <x:row r="2198" ht="22" customHeight="1">
      <x:c r="A2198" s="2" t="str">
        <x:v>L002194</x:v>
      </x:c>
      <x:c r="B2198" s="2" t="str">
        <x:v>O00901</x:v>
      </x:c>
      <x:c r="C2198" s="7" t="n">
        <x:v>45881</x:v>
      </x:c>
      <x:c r="D2198" s="2" t="str">
        <x:v>Completed</x:v>
      </x:c>
      <x:c r="E2198" s="2" t="str">
        <x:v>East</x:v>
      </x:c>
      <x:c r="F2198" s="2" t="str">
        <x:v>Store</x:v>
      </x:c>
      <x:c r="G2198" s="2" t="str">
        <x:v>Furniture</x:v>
      </x:c>
      <x:c r="H2198" s="2" t="str">
        <x:v>Desk 024</x:v>
      </x:c>
      <x:c r="I2198" s="11" t="n">
        <x:v>4</x:v>
      </x:c>
      <x:c r="J2198" s="9" t="n">
        <x:v>81</x:v>
      </x:c>
      <x:c r="K2198" s="10" t="n">
        <x:v>0</x:v>
      </x:c>
      <x:c r="L2198" s="11" t="n">
        <x:v>0</x:v>
      </x:c>
      <x:c r="M2198" s="9" t="n">
        <x:f>IF(D2198="Completed",I2198*J2198,0)</x:f>
        <x:v>324</x:v>
      </x:c>
      <x:c r="N2198" s="9" t="n">
        <x:f>M2198*K2198</x:f>
        <x:v>0</x:v>
      </x:c>
      <x:c r="O2198" s="9" t="n">
        <x:f>M2198-N2198</x:f>
        <x:v>324</x:v>
      </x:c>
      <x:c r="P2198" s="9" t="n">
        <x:f>IF(D2198="Completed",L2198*J2198*(1-K2198),0)</x:f>
        <x:v>0</x:v>
      </x:c>
      <x:c r="Q2198" s="9" t="n">
        <x:f>O2198-P2198</x:f>
        <x:v>324</x:v>
      </x:c>
      <x:c r="R2198" s="11" t="n">
        <x:f>IF(D2198="Completed",I2198,0)</x:f>
        <x:v>4</x:v>
      </x:c>
      <x:c r="S2198" s="11" t="n">
        <x:f>IF(D2198="Completed",L2198,0)</x:f>
        <x:v>0</x:v>
      </x:c>
      <x:c r="T2198" s="8" t="n">
        <x:f>DATE(YEAR(C2198),MONTH(C2198),1)</x:f>
        <x:v>45870</x:v>
      </x:c>
    </x:row>
    <x:row r="2199" ht="22" customHeight="1">
      <x:c r="A2199" s="2" t="str">
        <x:v>L002195</x:v>
      </x:c>
      <x:c r="B2199" s="2" t="str">
        <x:v>O00901</x:v>
      </x:c>
      <x:c r="C2199" s="7" t="n">
        <x:v>45881</x:v>
      </x:c>
      <x:c r="D2199" s="2" t="str">
        <x:v>Completed</x:v>
      </x:c>
      <x:c r="E2199" s="2" t="str">
        <x:v>East</x:v>
      </x:c>
      <x:c r="F2199" s="2" t="str">
        <x:v>Store</x:v>
      </x:c>
      <x:c r="G2199" s="2" t="str">
        <x:v>Furniture</x:v>
      </x:c>
      <x:c r="H2199" s="2" t="str">
        <x:v>Desk 012</x:v>
      </x:c>
      <x:c r="I2199" s="11" t="n">
        <x:v>4</x:v>
      </x:c>
      <x:c r="J2199" s="9" t="n">
        <x:v>134</x:v>
      </x:c>
      <x:c r="K2199" s="10" t="n">
        <x:v>0.05</x:v>
      </x:c>
      <x:c r="L2199" s="11" t="n">
        <x:v>0</x:v>
      </x:c>
      <x:c r="M2199" s="9" t="n">
        <x:f>IF(D2199="Completed",I2199*J2199,0)</x:f>
        <x:v>536</x:v>
      </x:c>
      <x:c r="N2199" s="9" t="n">
        <x:f>M2199*K2199</x:f>
        <x:v>26.8</x:v>
      </x:c>
      <x:c r="O2199" s="9" t="n">
        <x:f>M2199-N2199</x:f>
        <x:v>509.2</x:v>
      </x:c>
      <x:c r="P2199" s="9" t="n">
        <x:f>IF(D2199="Completed",L2199*J2199*(1-K2199),0)</x:f>
        <x:v>0</x:v>
      </x:c>
      <x:c r="Q2199" s="9" t="n">
        <x:f>O2199-P2199</x:f>
        <x:v>509.2</x:v>
      </x:c>
      <x:c r="R2199" s="11" t="n">
        <x:f>IF(D2199="Completed",I2199,0)</x:f>
        <x:v>4</x:v>
      </x:c>
      <x:c r="S2199" s="11" t="n">
        <x:f>IF(D2199="Completed",L2199,0)</x:f>
        <x:v>0</x:v>
      </x:c>
      <x:c r="T2199" s="8" t="n">
        <x:f>DATE(YEAR(C2199),MONTH(C2199),1)</x:f>
        <x:v>45870</x:v>
      </x:c>
    </x:row>
    <x:row r="2200" ht="22" customHeight="1">
      <x:c r="A2200" s="2" t="str">
        <x:v>L002196</x:v>
      </x:c>
      <x:c r="B2200" s="2" t="str">
        <x:v>O00901</x:v>
      </x:c>
      <x:c r="C2200" s="7" t="n">
        <x:v>45881</x:v>
      </x:c>
      <x:c r="D2200" s="2" t="str">
        <x:v>Completed</x:v>
      </x:c>
      <x:c r="E2200" s="2" t="str">
        <x:v>East</x:v>
      </x:c>
      <x:c r="F2200" s="2" t="str">
        <x:v>Store</x:v>
      </x:c>
      <x:c r="G2200" s="2" t="str">
        <x:v>Furniture</x:v>
      </x:c>
      <x:c r="H2200" s="2" t="str">
        <x:v>Desk 020</x:v>
      </x:c>
      <x:c r="I2200" s="11" t="n">
        <x:v>4</x:v>
      </x:c>
      <x:c r="J2200" s="9" t="n">
        <x:v>189</x:v>
      </x:c>
      <x:c r="K2200" s="10" t="n">
        <x:v>0.05</x:v>
      </x:c>
      <x:c r="L2200" s="11" t="n">
        <x:v>0</x:v>
      </x:c>
      <x:c r="M2200" s="9" t="n">
        <x:f>IF(D2200="Completed",I2200*J2200,0)</x:f>
        <x:v>756</x:v>
      </x:c>
      <x:c r="N2200" s="9" t="n">
        <x:f>M2200*K2200</x:f>
        <x:v>37.800000000000004</x:v>
      </x:c>
      <x:c r="O2200" s="9" t="n">
        <x:f>M2200-N2200</x:f>
        <x:v>718.2</x:v>
      </x:c>
      <x:c r="P2200" s="9" t="n">
        <x:f>IF(D2200="Completed",L2200*J2200*(1-K2200),0)</x:f>
        <x:v>0</x:v>
      </x:c>
      <x:c r="Q2200" s="9" t="n">
        <x:f>O2200-P2200</x:f>
        <x:v>718.2</x:v>
      </x:c>
      <x:c r="R2200" s="11" t="n">
        <x:f>IF(D2200="Completed",I2200,0)</x:f>
        <x:v>4</x:v>
      </x:c>
      <x:c r="S2200" s="11" t="n">
        <x:f>IF(D2200="Completed",L2200,0)</x:f>
        <x:v>0</x:v>
      </x:c>
      <x:c r="T2200" s="8" t="n">
        <x:f>DATE(YEAR(C2200),MONTH(C2200),1)</x:f>
        <x:v>45870</x:v>
      </x:c>
    </x:row>
    <x:row r="2201" ht="22" customHeight="1">
      <x:c r="A2201" s="2" t="str">
        <x:v>L002197</x:v>
      </x:c>
      <x:c r="B2201" s="2" t="str">
        <x:v>O00901</x:v>
      </x:c>
      <x:c r="C2201" s="7" t="n">
        <x:v>45881</x:v>
      </x:c>
      <x:c r="D2201" s="2" t="str">
        <x:v>Completed</x:v>
      </x:c>
      <x:c r="E2201" s="2" t="str">
        <x:v>East</x:v>
      </x:c>
      <x:c r="F2201" s="2" t="str">
        <x:v>Store</x:v>
      </x:c>
      <x:c r="G2201" s="2" t="str">
        <x:v>Furniture</x:v>
      </x:c>
      <x:c r="H2201" s="2" t="str">
        <x:v>Chair 014</x:v>
      </x:c>
      <x:c r="I2201" s="11" t="n">
        <x:v>4</x:v>
      </x:c>
      <x:c r="J2201" s="9" t="n">
        <x:v>294</x:v>
      </x:c>
      <x:c r="K2201" s="10" t="n">
        <x:v>0</x:v>
      </x:c>
      <x:c r="L2201" s="11" t="n">
        <x:v>0</x:v>
      </x:c>
      <x:c r="M2201" s="9" t="n">
        <x:f>IF(D2201="Completed",I2201*J2201,0)</x:f>
        <x:v>1176</x:v>
      </x:c>
      <x:c r="N2201" s="9" t="n">
        <x:f>M2201*K2201</x:f>
        <x:v>0</x:v>
      </x:c>
      <x:c r="O2201" s="9" t="n">
        <x:f>M2201-N2201</x:f>
        <x:v>1176</x:v>
      </x:c>
      <x:c r="P2201" s="9" t="n">
        <x:f>IF(D2201="Completed",L2201*J2201*(1-K2201),0)</x:f>
        <x:v>0</x:v>
      </x:c>
      <x:c r="Q2201" s="9" t="n">
        <x:f>O2201-P2201</x:f>
        <x:v>1176</x:v>
      </x:c>
      <x:c r="R2201" s="11" t="n">
        <x:f>IF(D2201="Completed",I2201,0)</x:f>
        <x:v>4</x:v>
      </x:c>
      <x:c r="S2201" s="11" t="n">
        <x:f>IF(D2201="Completed",L2201,0)</x:f>
        <x:v>0</x:v>
      </x:c>
      <x:c r="T2201" s="8" t="n">
        <x:f>DATE(YEAR(C2201),MONTH(C2201),1)</x:f>
        <x:v>45870</x:v>
      </x:c>
    </x:row>
    <x:row r="2202" ht="22" customHeight="1">
      <x:c r="A2202" s="2" t="str">
        <x:v>L002198</x:v>
      </x:c>
      <x:c r="B2202" s="2" t="str">
        <x:v>O00902</x:v>
      </x:c>
      <x:c r="C2202" s="7" t="n">
        <x:v>45831</x:v>
      </x:c>
      <x:c r="D2202" s="2" t="str">
        <x:v>Completed</x:v>
      </x:c>
      <x:c r="E2202" s="2" t="str">
        <x:v>South</x:v>
      </x:c>
      <x:c r="F2202" s="2" t="str">
        <x:v>Online</x:v>
      </x:c>
      <x:c r="G2202" s="2" t="str">
        <x:v>Lighting</x:v>
      </x:c>
      <x:c r="H2202" s="2" t="str">
        <x:v>Lamp 017</x:v>
      </x:c>
      <x:c r="I2202" s="11" t="n">
        <x:v>2</x:v>
      </x:c>
      <x:c r="J2202" s="9" t="n">
        <x:v>300</x:v>
      </x:c>
      <x:c r="K2202" s="10" t="n">
        <x:v>0.05</x:v>
      </x:c>
      <x:c r="L2202" s="11" t="n">
        <x:v>0</x:v>
      </x:c>
      <x:c r="M2202" s="9" t="n">
        <x:f>IF(D2202="Completed",I2202*J2202,0)</x:f>
        <x:v>600</x:v>
      </x:c>
      <x:c r="N2202" s="9" t="n">
        <x:f>M2202*K2202</x:f>
        <x:v>30</x:v>
      </x:c>
      <x:c r="O2202" s="9" t="n">
        <x:f>M2202-N2202</x:f>
        <x:v>570</x:v>
      </x:c>
      <x:c r="P2202" s="9" t="n">
        <x:f>IF(D2202="Completed",L2202*J2202*(1-K2202),0)</x:f>
        <x:v>0</x:v>
      </x:c>
      <x:c r="Q2202" s="9" t="n">
        <x:f>O2202-P2202</x:f>
        <x:v>570</x:v>
      </x:c>
      <x:c r="R2202" s="11" t="n">
        <x:f>IF(D2202="Completed",I2202,0)</x:f>
        <x:v>2</x:v>
      </x:c>
      <x:c r="S2202" s="11" t="n">
        <x:f>IF(D2202="Completed",L2202,0)</x:f>
        <x:v>0</x:v>
      </x:c>
      <x:c r="T2202" s="8" t="n">
        <x:f>DATE(YEAR(C2202),MONTH(C2202),1)</x:f>
        <x:v>45809</x:v>
      </x:c>
    </x:row>
    <x:row r="2203" ht="22" customHeight="1">
      <x:c r="A2203" s="2" t="str">
        <x:v>L002199</x:v>
      </x:c>
      <x:c r="B2203" s="2" t="str">
        <x:v>O00902</x:v>
      </x:c>
      <x:c r="C2203" s="7" t="n">
        <x:v>45831</x:v>
      </x:c>
      <x:c r="D2203" s="2" t="str">
        <x:v>Completed</x:v>
      </x:c>
      <x:c r="E2203" s="2" t="str">
        <x:v>South</x:v>
      </x:c>
      <x:c r="F2203" s="2" t="str">
        <x:v>Online</x:v>
      </x:c>
      <x:c r="G2203" s="2" t="str">
        <x:v>Furniture</x:v>
      </x:c>
      <x:c r="H2203" s="2" t="str">
        <x:v>Desk 016</x:v>
      </x:c>
      <x:c r="I2203" s="11" t="n">
        <x:v>2</x:v>
      </x:c>
      <x:c r="J2203" s="9" t="n">
        <x:v>231</x:v>
      </x:c>
      <x:c r="K2203" s="10" t="n">
        <x:v>0</x:v>
      </x:c>
      <x:c r="L2203" s="11" t="n">
        <x:v>0</x:v>
      </x:c>
      <x:c r="M2203" s="9" t="n">
        <x:f>IF(D2203="Completed",I2203*J2203,0)</x:f>
        <x:v>462</x:v>
      </x:c>
      <x:c r="N2203" s="9" t="n">
        <x:f>M2203*K2203</x:f>
        <x:v>0</x:v>
      </x:c>
      <x:c r="O2203" s="9" t="n">
        <x:f>M2203-N2203</x:f>
        <x:v>462</x:v>
      </x:c>
      <x:c r="P2203" s="9" t="n">
        <x:f>IF(D2203="Completed",L2203*J2203*(1-K2203),0)</x:f>
        <x:v>0</x:v>
      </x:c>
      <x:c r="Q2203" s="9" t="n">
        <x:f>O2203-P2203</x:f>
        <x:v>462</x:v>
      </x:c>
      <x:c r="R2203" s="11" t="n">
        <x:f>IF(D2203="Completed",I2203,0)</x:f>
        <x:v>2</x:v>
      </x:c>
      <x:c r="S2203" s="11" t="n">
        <x:f>IF(D2203="Completed",L2203,0)</x:f>
        <x:v>0</x:v>
      </x:c>
      <x:c r="T2203" s="8" t="n">
        <x:f>DATE(YEAR(C2203),MONTH(C2203),1)</x:f>
        <x:v>45809</x:v>
      </x:c>
    </x:row>
    <x:row r="2204" ht="22" customHeight="1">
      <x:c r="A2204" s="2" t="str">
        <x:v>L002200</x:v>
      </x:c>
      <x:c r="B2204" s="2" t="str">
        <x:v>O00902</x:v>
      </x:c>
      <x:c r="C2204" s="7" t="n">
        <x:v>45831</x:v>
      </x:c>
      <x:c r="D2204" s="2" t="str">
        <x:v>Completed</x:v>
      </x:c>
      <x:c r="E2204" s="2" t="str">
        <x:v>South</x:v>
      </x:c>
      <x:c r="F2204" s="2" t="str">
        <x:v>Online</x:v>
      </x:c>
      <x:c r="G2204" s="2" t="str">
        <x:v>Storage</x:v>
      </x:c>
      <x:c r="H2204" s="2" t="str">
        <x:v>Shelf 019</x:v>
      </x:c>
      <x:c r="I2204" s="11" t="n">
        <x:v>5</x:v>
      </x:c>
      <x:c r="J2204" s="9" t="n">
        <x:v>78</x:v>
      </x:c>
      <x:c r="K2204" s="10" t="n">
        <x:v>0.1</x:v>
      </x:c>
      <x:c r="L2204" s="11" t="n">
        <x:v>1</x:v>
      </x:c>
      <x:c r="M2204" s="9" t="n">
        <x:f>IF(D2204="Completed",I2204*J2204,0)</x:f>
        <x:v>390</x:v>
      </x:c>
      <x:c r="N2204" s="9" t="n">
        <x:f>M2204*K2204</x:f>
        <x:v>39</x:v>
      </x:c>
      <x:c r="O2204" s="9" t="n">
        <x:f>M2204-N2204</x:f>
        <x:v>351</x:v>
      </x:c>
      <x:c r="P2204" s="9" t="n">
        <x:f>IF(D2204="Completed",L2204*J2204*(1-K2204),0)</x:f>
        <x:v>70.2</x:v>
      </x:c>
      <x:c r="Q2204" s="9" t="n">
        <x:f>O2204-P2204</x:f>
        <x:v>280.8</x:v>
      </x:c>
      <x:c r="R2204" s="11" t="n">
        <x:f>IF(D2204="Completed",I2204,0)</x:f>
        <x:v>5</x:v>
      </x:c>
      <x:c r="S2204" s="11" t="n">
        <x:f>IF(D2204="Completed",L2204,0)</x:f>
        <x:v>1</x:v>
      </x:c>
      <x:c r="T2204" s="8" t="n">
        <x:f>DATE(YEAR(C2204),MONTH(C2204),1)</x:f>
        <x:v>45809</x:v>
      </x:c>
    </x:row>
    <x:row r="2205" ht="22" customHeight="1">
      <x:c r="A2205" s="2" t="str">
        <x:v>L002201</x:v>
      </x:c>
      <x:c r="B2205" s="2" t="str">
        <x:v>O00903</x:v>
      </x:c>
      <x:c r="C2205" s="7" t="n">
        <x:v>45813</x:v>
      </x:c>
      <x:c r="D2205" s="2" t="str">
        <x:v>Completed</x:v>
      </x:c>
      <x:c r="E2205" s="2" t="str">
        <x:v>South</x:v>
      </x:c>
      <x:c r="F2205" s="2" t="str">
        <x:v>Online</x:v>
      </x:c>
      <x:c r="G2205" s="2" t="str">
        <x:v>Furniture</x:v>
      </x:c>
      <x:c r="H2205" s="2" t="str">
        <x:v>Chair 014</x:v>
      </x:c>
      <x:c r="I2205" s="11" t="n">
        <x:v>2</x:v>
      </x:c>
      <x:c r="J2205" s="9" t="n">
        <x:v>294</x:v>
      </x:c>
      <x:c r="K2205" s="10" t="n">
        <x:v>0.05</x:v>
      </x:c>
      <x:c r="L2205" s="11" t="n">
        <x:v>0</x:v>
      </x:c>
      <x:c r="M2205" s="9" t="n">
        <x:f>IF(D2205="Completed",I2205*J2205,0)</x:f>
        <x:v>588</x:v>
      </x:c>
      <x:c r="N2205" s="9" t="n">
        <x:f>M2205*K2205</x:f>
        <x:v>29.400000000000002</x:v>
      </x:c>
      <x:c r="O2205" s="9" t="n">
        <x:f>M2205-N2205</x:f>
        <x:v>558.6</x:v>
      </x:c>
      <x:c r="P2205" s="9" t="n">
        <x:f>IF(D2205="Completed",L2205*J2205*(1-K2205),0)</x:f>
        <x:v>0</x:v>
      </x:c>
      <x:c r="Q2205" s="9" t="n">
        <x:f>O2205-P2205</x:f>
        <x:v>558.6</x:v>
      </x:c>
      <x:c r="R2205" s="11" t="n">
        <x:f>IF(D2205="Completed",I2205,0)</x:f>
        <x:v>2</x:v>
      </x:c>
      <x:c r="S2205" s="11" t="n">
        <x:f>IF(D2205="Completed",L2205,0)</x:f>
        <x:v>0</x:v>
      </x:c>
      <x:c r="T2205" s="8" t="n">
        <x:f>DATE(YEAR(C2205),MONTH(C2205),1)</x:f>
        <x:v>45809</x:v>
      </x:c>
    </x:row>
    <x:row r="2206" ht="22" customHeight="1">
      <x:c r="A2206" s="2" t="str">
        <x:v>L002202</x:v>
      </x:c>
      <x:c r="B2206" s="2" t="str">
        <x:v>O00904</x:v>
      </x:c>
      <x:c r="C2206" s="7" t="n">
        <x:v>45987</x:v>
      </x:c>
      <x:c r="D2206" s="2" t="str">
        <x:v>Completed</x:v>
      </x:c>
      <x:c r="E2206" s="2" t="str">
        <x:v>West</x:v>
      </x:c>
      <x:c r="F2206" s="2" t="str">
        <x:v>Store</x:v>
      </x:c>
      <x:c r="G2206" s="2" t="str">
        <x:v>Furniture</x:v>
      </x:c>
      <x:c r="H2206" s="2" t="str">
        <x:v>Desk 020</x:v>
      </x:c>
      <x:c r="I2206" s="11" t="n">
        <x:v>2</x:v>
      </x:c>
      <x:c r="J2206" s="9" t="n">
        <x:v>189</x:v>
      </x:c>
      <x:c r="K2206" s="10" t="n">
        <x:v>0</x:v>
      </x:c>
      <x:c r="L2206" s="11" t="n">
        <x:v>0</x:v>
      </x:c>
      <x:c r="M2206" s="9" t="n">
        <x:f>IF(D2206="Completed",I2206*J2206,0)</x:f>
        <x:v>378</x:v>
      </x:c>
      <x:c r="N2206" s="9" t="n">
        <x:f>M2206*K2206</x:f>
        <x:v>0</x:v>
      </x:c>
      <x:c r="O2206" s="9" t="n">
        <x:f>M2206-N2206</x:f>
        <x:v>378</x:v>
      </x:c>
      <x:c r="P2206" s="9" t="n">
        <x:f>IF(D2206="Completed",L2206*J2206*(1-K2206),0)</x:f>
        <x:v>0</x:v>
      </x:c>
      <x:c r="Q2206" s="9" t="n">
        <x:f>O2206-P2206</x:f>
        <x:v>378</x:v>
      </x:c>
      <x:c r="R2206" s="11" t="n">
        <x:f>IF(D2206="Completed",I2206,0)</x:f>
        <x:v>2</x:v>
      </x:c>
      <x:c r="S2206" s="11" t="n">
        <x:f>IF(D2206="Completed",L2206,0)</x:f>
        <x:v>0</x:v>
      </x:c>
      <x:c r="T2206" s="8" t="n">
        <x:f>DATE(YEAR(C2206),MONTH(C2206),1)</x:f>
        <x:v>45962</x:v>
      </x:c>
    </x:row>
    <x:row r="2207" ht="22" customHeight="1">
      <x:c r="A2207" s="2" t="str">
        <x:v>L002203</x:v>
      </x:c>
      <x:c r="B2207" s="2" t="str">
        <x:v>O00905</x:v>
      </x:c>
      <x:c r="C2207" s="7" t="n">
        <x:v>45912</x:v>
      </x:c>
      <x:c r="D2207" s="2" t="str">
        <x:v>Completed</x:v>
      </x:c>
      <x:c r="E2207" s="2" t="str">
        <x:v>East</x:v>
      </x:c>
      <x:c r="F2207" s="2" t="str">
        <x:v>Store</x:v>
      </x:c>
      <x:c r="G2207" s="2" t="str">
        <x:v>Furniture</x:v>
      </x:c>
      <x:c r="H2207" s="2" t="str">
        <x:v>Chair 014</x:v>
      </x:c>
      <x:c r="I2207" s="11" t="n">
        <x:v>5</x:v>
      </x:c>
      <x:c r="J2207" s="9" t="n">
        <x:v>294</x:v>
      </x:c>
      <x:c r="K2207" s="10" t="n">
        <x:v>0.05</x:v>
      </x:c>
      <x:c r="L2207" s="11" t="n">
        <x:v>0</x:v>
      </x:c>
      <x:c r="M2207" s="9" t="n">
        <x:f>IF(D2207="Completed",I2207*J2207,0)</x:f>
        <x:v>1470</x:v>
      </x:c>
      <x:c r="N2207" s="9" t="n">
        <x:f>M2207*K2207</x:f>
        <x:v>73.5</x:v>
      </x:c>
      <x:c r="O2207" s="9" t="n">
        <x:f>M2207-N2207</x:f>
        <x:v>1396.5</x:v>
      </x:c>
      <x:c r="P2207" s="9" t="n">
        <x:f>IF(D2207="Completed",L2207*J2207*(1-K2207),0)</x:f>
        <x:v>0</x:v>
      </x:c>
      <x:c r="Q2207" s="9" t="n">
        <x:f>O2207-P2207</x:f>
        <x:v>1396.5</x:v>
      </x:c>
      <x:c r="R2207" s="11" t="n">
        <x:f>IF(D2207="Completed",I2207,0)</x:f>
        <x:v>5</x:v>
      </x:c>
      <x:c r="S2207" s="11" t="n">
        <x:f>IF(D2207="Completed",L2207,0)</x:f>
        <x:v>0</x:v>
      </x:c>
      <x:c r="T2207" s="8" t="n">
        <x:f>DATE(YEAR(C2207),MONTH(C2207),1)</x:f>
        <x:v>45901</x:v>
      </x:c>
    </x:row>
    <x:row r="2208" ht="22" customHeight="1">
      <x:c r="A2208" s="2" t="str">
        <x:v>L002204</x:v>
      </x:c>
      <x:c r="B2208" s="2" t="str">
        <x:v>O00905</x:v>
      </x:c>
      <x:c r="C2208" s="7" t="n">
        <x:v>45912</x:v>
      </x:c>
      <x:c r="D2208" s="2" t="str">
        <x:v>Completed</x:v>
      </x:c>
      <x:c r="E2208" s="2" t="str">
        <x:v>East</x:v>
      </x:c>
      <x:c r="F2208" s="2" t="str">
        <x:v>Store</x:v>
      </x:c>
      <x:c r="G2208" s="2" t="str">
        <x:v>Storage</x:v>
      </x:c>
      <x:c r="H2208" s="2" t="str">
        <x:v>Shelf 019</x:v>
      </x:c>
      <x:c r="I2208" s="11" t="n">
        <x:v>2</x:v>
      </x:c>
      <x:c r="J2208" s="9" t="n">
        <x:v>78</x:v>
      </x:c>
      <x:c r="K2208" s="10" t="n">
        <x:v>0.2</x:v>
      </x:c>
      <x:c r="L2208" s="11" t="n">
        <x:v>0</x:v>
      </x:c>
      <x:c r="M2208" s="9" t="n">
        <x:f>IF(D2208="Completed",I2208*J2208,0)</x:f>
        <x:v>156</x:v>
      </x:c>
      <x:c r="N2208" s="9" t="n">
        <x:f>M2208*K2208</x:f>
        <x:v>31.200000000000003</x:v>
      </x:c>
      <x:c r="O2208" s="9" t="n">
        <x:f>M2208-N2208</x:f>
        <x:v>124.8</x:v>
      </x:c>
      <x:c r="P2208" s="9" t="n">
        <x:f>IF(D2208="Completed",L2208*J2208*(1-K2208),0)</x:f>
        <x:v>0</x:v>
      </x:c>
      <x:c r="Q2208" s="9" t="n">
        <x:f>O2208-P2208</x:f>
        <x:v>124.8</x:v>
      </x:c>
      <x:c r="R2208" s="11" t="n">
        <x:f>IF(D2208="Completed",I2208,0)</x:f>
        <x:v>2</x:v>
      </x:c>
      <x:c r="S2208" s="11" t="n">
        <x:f>IF(D2208="Completed",L2208,0)</x:f>
        <x:v>0</x:v>
      </x:c>
      <x:c r="T2208" s="8" t="n">
        <x:f>DATE(YEAR(C2208),MONTH(C2208),1)</x:f>
        <x:v>45901</x:v>
      </x:c>
    </x:row>
    <x:row r="2209" ht="22" customHeight="1">
      <x:c r="A2209" s="2" t="str">
        <x:v>L002205</x:v>
      </x:c>
      <x:c r="B2209" s="2" t="str">
        <x:v>O00906</x:v>
      </x:c>
      <x:c r="C2209" s="7" t="n">
        <x:v>45958</x:v>
      </x:c>
      <x:c r="D2209" s="2" t="str">
        <x:v>Completed</x:v>
      </x:c>
      <x:c r="E2209" s="2" t="str">
        <x:v>North</x:v>
      </x:c>
      <x:c r="F2209" s="2" t="str">
        <x:v>Online</x:v>
      </x:c>
      <x:c r="G2209" s="2" t="str">
        <x:v>Furniture</x:v>
      </x:c>
      <x:c r="H2209" s="2" t="str">
        <x:v>Desk 004</x:v>
      </x:c>
      <x:c r="I2209" s="11" t="n">
        <x:v>1</x:v>
      </x:c>
      <x:c r="J2209" s="9" t="n">
        <x:v>123</x:v>
      </x:c>
      <x:c r="K2209" s="10" t="n">
        <x:v>0.2</x:v>
      </x:c>
      <x:c r="L2209" s="11" t="n">
        <x:v>1</x:v>
      </x:c>
      <x:c r="M2209" s="9" t="n">
        <x:f>IF(D2209="Completed",I2209*J2209,0)</x:f>
        <x:v>123</x:v>
      </x:c>
      <x:c r="N2209" s="9" t="n">
        <x:f>M2209*K2209</x:f>
        <x:v>24.6</x:v>
      </x:c>
      <x:c r="O2209" s="9" t="n">
        <x:f>M2209-N2209</x:f>
        <x:v>98.4</x:v>
      </x:c>
      <x:c r="P2209" s="9" t="n">
        <x:f>IF(D2209="Completed",L2209*J2209*(1-K2209),0)</x:f>
        <x:v>98.4</x:v>
      </x:c>
      <x:c r="Q2209" s="9" t="n">
        <x:f>O2209-P2209</x:f>
        <x:v>0</x:v>
      </x:c>
      <x:c r="R2209" s="11" t="n">
        <x:f>IF(D2209="Completed",I2209,0)</x:f>
        <x:v>1</x:v>
      </x:c>
      <x:c r="S2209" s="11" t="n">
        <x:f>IF(D2209="Completed",L2209,0)</x:f>
        <x:v>1</x:v>
      </x:c>
      <x:c r="T2209" s="8" t="n">
        <x:f>DATE(YEAR(C2209),MONTH(C2209),1)</x:f>
        <x:v>45931</x:v>
      </x:c>
    </x:row>
    <x:row r="2210" ht="22" customHeight="1">
      <x:c r="A2210" s="2" t="str">
        <x:v>L002206</x:v>
      </x:c>
      <x:c r="B2210" s="2" t="str">
        <x:v>O00907</x:v>
      </x:c>
      <x:c r="C2210" s="7" t="n">
        <x:v>45760</x:v>
      </x:c>
      <x:c r="D2210" s="2" t="str">
        <x:v>Cancelled</x:v>
      </x:c>
      <x:c r="E2210" s="2" t="str">
        <x:v>South</x:v>
      </x:c>
      <x:c r="F2210" s="2" t="str">
        <x:v>Online</x:v>
      </x:c>
      <x:c r="G2210" s="2" t="str">
        <x:v>Lighting</x:v>
      </x:c>
      <x:c r="H2210" s="2" t="str">
        <x:v>Lamp 001</x:v>
      </x:c>
      <x:c r="I2210" s="11" t="n">
        <x:v>2</x:v>
      </x:c>
      <x:c r="J2210" s="9" t="n">
        <x:v>122</x:v>
      </x:c>
      <x:c r="K2210" s="10" t="n">
        <x:v>0.1</x:v>
      </x:c>
      <x:c r="L2210" s="11" t="n">
        <x:v>0</x:v>
      </x:c>
      <x:c r="M2210" s="9" t="n">
        <x:f>IF(D2210="Completed",I2210*J2210,0)</x:f>
        <x:v>0</x:v>
      </x:c>
      <x:c r="N2210" s="9" t="n">
        <x:f>M2210*K2210</x:f>
        <x:v>0</x:v>
      </x:c>
      <x:c r="O2210" s="9" t="n">
        <x:f>M2210-N2210</x:f>
        <x:v>0</x:v>
      </x:c>
      <x:c r="P2210" s="9" t="n">
        <x:f>IF(D2210="Completed",L2210*J2210*(1-K2210),0)</x:f>
        <x:v>0</x:v>
      </x:c>
      <x:c r="Q2210" s="9" t="n">
        <x:f>O2210-P2210</x:f>
        <x:v>0</x:v>
      </x:c>
      <x:c r="R2210" s="11" t="n">
        <x:f>IF(D2210="Completed",I2210,0)</x:f>
        <x:v>0</x:v>
      </x:c>
      <x:c r="S2210" s="11" t="n">
        <x:f>IF(D2210="Completed",L2210,0)</x:f>
        <x:v>0</x:v>
      </x:c>
      <x:c r="T2210" s="8" t="n">
        <x:f>DATE(YEAR(C2210),MONTH(C2210),1)</x:f>
        <x:v>45748</x:v>
      </x:c>
    </x:row>
    <x:row r="2211" ht="22" customHeight="1">
      <x:c r="A2211" s="2" t="str">
        <x:v>L002207</x:v>
      </x:c>
      <x:c r="B2211" s="2" t="str">
        <x:v>O00907</x:v>
      </x:c>
      <x:c r="C2211" s="7" t="n">
        <x:v>45760</x:v>
      </x:c>
      <x:c r="D2211" s="2" t="str">
        <x:v>Cancelled</x:v>
      </x:c>
      <x:c r="E2211" s="2" t="str">
        <x:v>South</x:v>
      </x:c>
      <x:c r="F2211" s="2" t="str">
        <x:v>Online</x:v>
      </x:c>
      <x:c r="G2211" s="2" t="str">
        <x:v>Lighting</x:v>
      </x:c>
      <x:c r="H2211" s="2" t="str">
        <x:v>Lamp 009</x:v>
      </x:c>
      <x:c r="I2211" s="11" t="n">
        <x:v>4</x:v>
      </x:c>
      <x:c r="J2211" s="9" t="n">
        <x:v>93</x:v>
      </x:c>
      <x:c r="K2211" s="10" t="n">
        <x:v>0.2</x:v>
      </x:c>
      <x:c r="L2211" s="11" t="n">
        <x:v>0</x:v>
      </x:c>
      <x:c r="M2211" s="9" t="n">
        <x:f>IF(D2211="Completed",I2211*J2211,0)</x:f>
        <x:v>0</x:v>
      </x:c>
      <x:c r="N2211" s="9" t="n">
        <x:f>M2211*K2211</x:f>
        <x:v>0</x:v>
      </x:c>
      <x:c r="O2211" s="9" t="n">
        <x:f>M2211-N2211</x:f>
        <x:v>0</x:v>
      </x:c>
      <x:c r="P2211" s="9" t="n">
        <x:f>IF(D2211="Completed",L2211*J2211*(1-K2211),0)</x:f>
        <x:v>0</x:v>
      </x:c>
      <x:c r="Q2211" s="9" t="n">
        <x:f>O2211-P2211</x:f>
        <x:v>0</x:v>
      </x:c>
      <x:c r="R2211" s="11" t="n">
        <x:f>IF(D2211="Completed",I2211,0)</x:f>
        <x:v>0</x:v>
      </x:c>
      <x:c r="S2211" s="11" t="n">
        <x:f>IF(D2211="Completed",L2211,0)</x:f>
        <x:v>0</x:v>
      </x:c>
      <x:c r="T2211" s="8" t="n">
        <x:f>DATE(YEAR(C2211),MONTH(C2211),1)</x:f>
        <x:v>45748</x:v>
      </x:c>
    </x:row>
    <x:row r="2212" ht="22" customHeight="1">
      <x:c r="A2212" s="2" t="str">
        <x:v>L002208</x:v>
      </x:c>
      <x:c r="B2212" s="2" t="str">
        <x:v>O00907</x:v>
      </x:c>
      <x:c r="C2212" s="7" t="n">
        <x:v>45760</x:v>
      </x:c>
      <x:c r="D2212" s="2" t="str">
        <x:v>Cancelled</x:v>
      </x:c>
      <x:c r="E2212" s="2" t="str">
        <x:v>South</x:v>
      </x:c>
      <x:c r="F2212" s="2" t="str">
        <x:v>Online</x:v>
      </x:c>
      <x:c r="G2212" s="2" t="str">
        <x:v>Storage</x:v>
      </x:c>
      <x:c r="H2212" s="2" t="str">
        <x:v>Shelf 007</x:v>
      </x:c>
      <x:c r="I2212" s="11" t="n">
        <x:v>4</x:v>
      </x:c>
      <x:c r="J2212" s="9" t="n">
        <x:v>35</x:v>
      </x:c>
      <x:c r="K2212" s="10" t="n">
        <x:v>0.2</x:v>
      </x:c>
      <x:c r="L2212" s="11" t="n">
        <x:v>0</x:v>
      </x:c>
      <x:c r="M2212" s="9" t="n">
        <x:f>IF(D2212="Completed",I2212*J2212,0)</x:f>
        <x:v>0</x:v>
      </x:c>
      <x:c r="N2212" s="9" t="n">
        <x:f>M2212*K2212</x:f>
        <x:v>0</x:v>
      </x:c>
      <x:c r="O2212" s="9" t="n">
        <x:f>M2212-N2212</x:f>
        <x:v>0</x:v>
      </x:c>
      <x:c r="P2212" s="9" t="n">
        <x:f>IF(D2212="Completed",L2212*J2212*(1-K2212),0)</x:f>
        <x:v>0</x:v>
      </x:c>
      <x:c r="Q2212" s="9" t="n">
        <x:f>O2212-P2212</x:f>
        <x:v>0</x:v>
      </x:c>
      <x:c r="R2212" s="11" t="n">
        <x:f>IF(D2212="Completed",I2212,0)</x:f>
        <x:v>0</x:v>
      </x:c>
      <x:c r="S2212" s="11" t="n">
        <x:f>IF(D2212="Completed",L2212,0)</x:f>
        <x:v>0</x:v>
      </x:c>
      <x:c r="T2212" s="8" t="n">
        <x:f>DATE(YEAR(C2212),MONTH(C2212),1)</x:f>
        <x:v>45748</x:v>
      </x:c>
    </x:row>
    <x:row r="2213" ht="22" customHeight="1">
      <x:c r="A2213" s="2" t="str">
        <x:v>L002209</x:v>
      </x:c>
      <x:c r="B2213" s="2" t="str">
        <x:v>O00908</x:v>
      </x:c>
      <x:c r="C2213" s="7" t="n">
        <x:v>45959</x:v>
      </x:c>
      <x:c r="D2213" s="2" t="str">
        <x:v>Completed</x:v>
      </x:c>
      <x:c r="E2213" s="2" t="str">
        <x:v>North</x:v>
      </x:c>
      <x:c r="F2213" s="2" t="str">
        <x:v>Online</x:v>
      </x:c>
      <x:c r="G2213" s="2" t="str">
        <x:v>Storage</x:v>
      </x:c>
      <x:c r="H2213" s="2" t="str">
        <x:v>Shelf 011</x:v>
      </x:c>
      <x:c r="I2213" s="11" t="n">
        <x:v>3</x:v>
      </x:c>
      <x:c r="J2213" s="9" t="n">
        <x:v>80</x:v>
      </x:c>
      <x:c r="K2213" s="10" t="n">
        <x:v>0.1</x:v>
      </x:c>
      <x:c r="L2213" s="11" t="n">
        <x:v>0</x:v>
      </x:c>
      <x:c r="M2213" s="9" t="n">
        <x:f>IF(D2213="Completed",I2213*J2213,0)</x:f>
        <x:v>240</x:v>
      </x:c>
      <x:c r="N2213" s="9" t="n">
        <x:f>M2213*K2213</x:f>
        <x:v>24</x:v>
      </x:c>
      <x:c r="O2213" s="9" t="n">
        <x:f>M2213-N2213</x:f>
        <x:v>216</x:v>
      </x:c>
      <x:c r="P2213" s="9" t="n">
        <x:f>IF(D2213="Completed",L2213*J2213*(1-K2213),0)</x:f>
        <x:v>0</x:v>
      </x:c>
      <x:c r="Q2213" s="9" t="n">
        <x:f>O2213-P2213</x:f>
        <x:v>216</x:v>
      </x:c>
      <x:c r="R2213" s="11" t="n">
        <x:f>IF(D2213="Completed",I2213,0)</x:f>
        <x:v>3</x:v>
      </x:c>
      <x:c r="S2213" s="11" t="n">
        <x:f>IF(D2213="Completed",L2213,0)</x:f>
        <x:v>0</x:v>
      </x:c>
      <x:c r="T2213" s="8" t="n">
        <x:f>DATE(YEAR(C2213),MONTH(C2213),1)</x:f>
        <x:v>45931</x:v>
      </x:c>
    </x:row>
    <x:row r="2214" ht="22" customHeight="1">
      <x:c r="A2214" s="2" t="str">
        <x:v>L002210</x:v>
      </x:c>
      <x:c r="B2214" s="2" t="str">
        <x:v>O00908</x:v>
      </x:c>
      <x:c r="C2214" s="7" t="n">
        <x:v>45959</x:v>
      </x:c>
      <x:c r="D2214" s="2" t="str">
        <x:v>Completed</x:v>
      </x:c>
      <x:c r="E2214" s="2" t="str">
        <x:v>North</x:v>
      </x:c>
      <x:c r="F2214" s="2" t="str">
        <x:v>Online</x:v>
      </x:c>
      <x:c r="G2214" s="2" t="str">
        <x:v>Furniture</x:v>
      </x:c>
      <x:c r="H2214" s="2" t="str">
        <x:v>Chair 002</x:v>
      </x:c>
      <x:c r="I2214" s="11" t="n">
        <x:v>1</x:v>
      </x:c>
      <x:c r="J2214" s="9" t="n">
        <x:v>284</x:v>
      </x:c>
      <x:c r="K2214" s="10" t="n">
        <x:v>0.2</x:v>
      </x:c>
      <x:c r="L2214" s="11" t="n">
        <x:v>0</x:v>
      </x:c>
      <x:c r="M2214" s="9" t="n">
        <x:f>IF(D2214="Completed",I2214*J2214,0)</x:f>
        <x:v>284</x:v>
      </x:c>
      <x:c r="N2214" s="9" t="n">
        <x:f>M2214*K2214</x:f>
        <x:v>56.800000000000004</x:v>
      </x:c>
      <x:c r="O2214" s="9" t="n">
        <x:f>M2214-N2214</x:f>
        <x:v>227.2</x:v>
      </x:c>
      <x:c r="P2214" s="9" t="n">
        <x:f>IF(D2214="Completed",L2214*J2214*(1-K2214),0)</x:f>
        <x:v>0</x:v>
      </x:c>
      <x:c r="Q2214" s="9" t="n">
        <x:f>O2214-P2214</x:f>
        <x:v>227.2</x:v>
      </x:c>
      <x:c r="R2214" s="11" t="n">
        <x:f>IF(D2214="Completed",I2214,0)</x:f>
        <x:v>1</x:v>
      </x:c>
      <x:c r="S2214" s="11" t="n">
        <x:f>IF(D2214="Completed",L2214,0)</x:f>
        <x:v>0</x:v>
      </x:c>
      <x:c r="T2214" s="8" t="n">
        <x:f>DATE(YEAR(C2214),MONTH(C2214),1)</x:f>
        <x:v>45931</x:v>
      </x:c>
    </x:row>
    <x:row r="2215" ht="22" customHeight="1">
      <x:c r="A2215" s="2" t="str">
        <x:v>L002211</x:v>
      </x:c>
      <x:c r="B2215" s="2" t="str">
        <x:v>O00908</x:v>
      </x:c>
      <x:c r="C2215" s="7" t="n">
        <x:v>45959</x:v>
      </x:c>
      <x:c r="D2215" s="2" t="str">
        <x:v>Completed</x:v>
      </x:c>
      <x:c r="E2215" s="2" t="str">
        <x:v>North</x:v>
      </x:c>
      <x:c r="F2215" s="2" t="str">
        <x:v>Online</x:v>
      </x:c>
      <x:c r="G2215" s="2" t="str">
        <x:v>Storage</x:v>
      </x:c>
      <x:c r="H2215" s="2" t="str">
        <x:v>Shelf 011</x:v>
      </x:c>
      <x:c r="I2215" s="11" t="n">
        <x:v>5</x:v>
      </x:c>
      <x:c r="J2215" s="9" t="n">
        <x:v>80</x:v>
      </x:c>
      <x:c r="K2215" s="10" t="n">
        <x:v>0</x:v>
      </x:c>
      <x:c r="L2215" s="11" t="n">
        <x:v>0</x:v>
      </x:c>
      <x:c r="M2215" s="9" t="n">
        <x:f>IF(D2215="Completed",I2215*J2215,0)</x:f>
        <x:v>400</x:v>
      </x:c>
      <x:c r="N2215" s="9" t="n">
        <x:f>M2215*K2215</x:f>
        <x:v>0</x:v>
      </x:c>
      <x:c r="O2215" s="9" t="n">
        <x:f>M2215-N2215</x:f>
        <x:v>400</x:v>
      </x:c>
      <x:c r="P2215" s="9" t="n">
        <x:f>IF(D2215="Completed",L2215*J2215*(1-K2215),0)</x:f>
        <x:v>0</x:v>
      </x:c>
      <x:c r="Q2215" s="9" t="n">
        <x:f>O2215-P2215</x:f>
        <x:v>400</x:v>
      </x:c>
      <x:c r="R2215" s="11" t="n">
        <x:f>IF(D2215="Completed",I2215,0)</x:f>
        <x:v>5</x:v>
      </x:c>
      <x:c r="S2215" s="11" t="n">
        <x:f>IF(D2215="Completed",L2215,0)</x:f>
        <x:v>0</x:v>
      </x:c>
      <x:c r="T2215" s="8" t="n">
        <x:f>DATE(YEAR(C2215),MONTH(C2215),1)</x:f>
        <x:v>45931</x:v>
      </x:c>
    </x:row>
    <x:row r="2216" ht="22" customHeight="1">
      <x:c r="A2216" s="2" t="str">
        <x:v>L002212</x:v>
      </x:c>
      <x:c r="B2216" s="2" t="str">
        <x:v>O00908</x:v>
      </x:c>
      <x:c r="C2216" s="7" t="n">
        <x:v>45959</x:v>
      </x:c>
      <x:c r="D2216" s="2" t="str">
        <x:v>Completed</x:v>
      </x:c>
      <x:c r="E2216" s="2" t="str">
        <x:v>North</x:v>
      </x:c>
      <x:c r="F2216" s="2" t="str">
        <x:v>Online</x:v>
      </x:c>
      <x:c r="G2216" s="2" t="str">
        <x:v>Storage</x:v>
      </x:c>
      <x:c r="H2216" s="2" t="str">
        <x:v>Shelf 003</x:v>
      </x:c>
      <x:c r="I2216" s="11" t="n">
        <x:v>1</x:v>
      </x:c>
      <x:c r="J2216" s="9" t="n">
        <x:v>199</x:v>
      </x:c>
      <x:c r="K2216" s="10" t="n">
        <x:v>0.1</x:v>
      </x:c>
      <x:c r="L2216" s="11" t="n">
        <x:v>0</x:v>
      </x:c>
      <x:c r="M2216" s="9" t="n">
        <x:f>IF(D2216="Completed",I2216*J2216,0)</x:f>
        <x:v>199</x:v>
      </x:c>
      <x:c r="N2216" s="9" t="n">
        <x:f>M2216*K2216</x:f>
        <x:v>19.900000000000002</x:v>
      </x:c>
      <x:c r="O2216" s="9" t="n">
        <x:f>M2216-N2216</x:f>
        <x:v>179.1</x:v>
      </x:c>
      <x:c r="P2216" s="9" t="n">
        <x:f>IF(D2216="Completed",L2216*J2216*(1-K2216),0)</x:f>
        <x:v>0</x:v>
      </x:c>
      <x:c r="Q2216" s="9" t="n">
        <x:f>O2216-P2216</x:f>
        <x:v>179.1</x:v>
      </x:c>
      <x:c r="R2216" s="11" t="n">
        <x:f>IF(D2216="Completed",I2216,0)</x:f>
        <x:v>1</x:v>
      </x:c>
      <x:c r="S2216" s="11" t="n">
        <x:f>IF(D2216="Completed",L2216,0)</x:f>
        <x:v>0</x:v>
      </x:c>
      <x:c r="T2216" s="8" t="n">
        <x:f>DATE(YEAR(C2216),MONTH(C2216),1)</x:f>
        <x:v>45931</x:v>
      </x:c>
    </x:row>
    <x:row r="2217" ht="22" customHeight="1">
      <x:c r="A2217" s="2" t="str">
        <x:v>L002213</x:v>
      </x:c>
      <x:c r="B2217" s="2" t="str">
        <x:v>O00909</x:v>
      </x:c>
      <x:c r="C2217" s="7" t="n">
        <x:v>45861</x:v>
      </x:c>
      <x:c r="D2217" s="2" t="str">
        <x:v>Completed</x:v>
      </x:c>
      <x:c r="E2217" s="2" t="str">
        <x:v>West</x:v>
      </x:c>
      <x:c r="F2217" s="2" t="str">
        <x:v>Online</x:v>
      </x:c>
      <x:c r="G2217" s="2" t="str">
        <x:v>Lighting</x:v>
      </x:c>
      <x:c r="H2217" s="2" t="str">
        <x:v>Lamp 005</x:v>
      </x:c>
      <x:c r="I2217" s="11" t="n">
        <x:v>5</x:v>
      </x:c>
      <x:c r="J2217" s="9" t="n">
        <x:v>65</x:v>
      </x:c>
      <x:c r="K2217" s="10" t="n">
        <x:v>0.1</x:v>
      </x:c>
      <x:c r="L2217" s="11" t="n">
        <x:v>0</x:v>
      </x:c>
      <x:c r="M2217" s="9" t="n">
        <x:f>IF(D2217="Completed",I2217*J2217,0)</x:f>
        <x:v>325</x:v>
      </x:c>
      <x:c r="N2217" s="9" t="n">
        <x:f>M2217*K2217</x:f>
        <x:v>32.5</x:v>
      </x:c>
      <x:c r="O2217" s="9" t="n">
        <x:f>M2217-N2217</x:f>
        <x:v>292.5</x:v>
      </x:c>
      <x:c r="P2217" s="9" t="n">
        <x:f>IF(D2217="Completed",L2217*J2217*(1-K2217),0)</x:f>
        <x:v>0</x:v>
      </x:c>
      <x:c r="Q2217" s="9" t="n">
        <x:f>O2217-P2217</x:f>
        <x:v>292.5</x:v>
      </x:c>
      <x:c r="R2217" s="11" t="n">
        <x:f>IF(D2217="Completed",I2217,0)</x:f>
        <x:v>5</x:v>
      </x:c>
      <x:c r="S2217" s="11" t="n">
        <x:f>IF(D2217="Completed",L2217,0)</x:f>
        <x:v>0</x:v>
      </x:c>
      <x:c r="T2217" s="8" t="n">
        <x:f>DATE(YEAR(C2217),MONTH(C2217),1)</x:f>
        <x:v>45839</x:v>
      </x:c>
    </x:row>
    <x:row r="2218" ht="22" customHeight="1">
      <x:c r="A2218" s="2" t="str">
        <x:v>L002214</x:v>
      </x:c>
      <x:c r="B2218" s="2" t="str">
        <x:v>O00910</x:v>
      </x:c>
      <x:c r="C2218" s="7" t="n">
        <x:v>45821</x:v>
      </x:c>
      <x:c r="D2218" s="2" t="str">
        <x:v>Completed</x:v>
      </x:c>
      <x:c r="E2218" s="2" t="str">
        <x:v>West</x:v>
      </x:c>
      <x:c r="F2218" s="2" t="str">
        <x:v>Online</x:v>
      </x:c>
      <x:c r="G2218" s="2" t="str">
        <x:v>Storage</x:v>
      </x:c>
      <x:c r="H2218" s="2" t="str">
        <x:v>Shelf 011</x:v>
      </x:c>
      <x:c r="I2218" s="11" t="n">
        <x:v>1</x:v>
      </x:c>
      <x:c r="J2218" s="9" t="n">
        <x:v>80</x:v>
      </x:c>
      <x:c r="K2218" s="10" t="n">
        <x:v>0.05</x:v>
      </x:c>
      <x:c r="L2218" s="11" t="n">
        <x:v>0</x:v>
      </x:c>
      <x:c r="M2218" s="9" t="n">
        <x:f>IF(D2218="Completed",I2218*J2218,0)</x:f>
        <x:v>80</x:v>
      </x:c>
      <x:c r="N2218" s="9" t="n">
        <x:f>M2218*K2218</x:f>
        <x:v>4</x:v>
      </x:c>
      <x:c r="O2218" s="9" t="n">
        <x:f>M2218-N2218</x:f>
        <x:v>76</x:v>
      </x:c>
      <x:c r="P2218" s="9" t="n">
        <x:f>IF(D2218="Completed",L2218*J2218*(1-K2218),0)</x:f>
        <x:v>0</x:v>
      </x:c>
      <x:c r="Q2218" s="9" t="n">
        <x:f>O2218-P2218</x:f>
        <x:v>76</x:v>
      </x:c>
      <x:c r="R2218" s="11" t="n">
        <x:f>IF(D2218="Completed",I2218,0)</x:f>
        <x:v>1</x:v>
      </x:c>
      <x:c r="S2218" s="11" t="n">
        <x:f>IF(D2218="Completed",L2218,0)</x:f>
        <x:v>0</x:v>
      </x:c>
      <x:c r="T2218" s="8" t="n">
        <x:f>DATE(YEAR(C2218),MONTH(C2218),1)</x:f>
        <x:v>45809</x:v>
      </x:c>
    </x:row>
    <x:row r="2219" ht="22" customHeight="1">
      <x:c r="A2219" s="2" t="str">
        <x:v>L002215</x:v>
      </x:c>
      <x:c r="B2219" s="2" t="str">
        <x:v>O00910</x:v>
      </x:c>
      <x:c r="C2219" s="7" t="n">
        <x:v>45821</x:v>
      </x:c>
      <x:c r="D2219" s="2" t="str">
        <x:v>Completed</x:v>
      </x:c>
      <x:c r="E2219" s="2" t="str">
        <x:v>West</x:v>
      </x:c>
      <x:c r="F2219" s="2" t="str">
        <x:v>Online</x:v>
      </x:c>
      <x:c r="G2219" s="2" t="str">
        <x:v>Furniture</x:v>
      </x:c>
      <x:c r="H2219" s="2" t="str">
        <x:v>Desk 012</x:v>
      </x:c>
      <x:c r="I2219" s="11" t="n">
        <x:v>2</x:v>
      </x:c>
      <x:c r="J2219" s="9" t="n">
        <x:v>134</x:v>
      </x:c>
      <x:c r="K2219" s="10" t="n">
        <x:v>0</x:v>
      </x:c>
      <x:c r="L2219" s="11" t="n">
        <x:v>0</x:v>
      </x:c>
      <x:c r="M2219" s="9" t="n">
        <x:f>IF(D2219="Completed",I2219*J2219,0)</x:f>
        <x:v>268</x:v>
      </x:c>
      <x:c r="N2219" s="9" t="n">
        <x:f>M2219*K2219</x:f>
        <x:v>0</x:v>
      </x:c>
      <x:c r="O2219" s="9" t="n">
        <x:f>M2219-N2219</x:f>
        <x:v>268</x:v>
      </x:c>
      <x:c r="P2219" s="9" t="n">
        <x:f>IF(D2219="Completed",L2219*J2219*(1-K2219),0)</x:f>
        <x:v>0</x:v>
      </x:c>
      <x:c r="Q2219" s="9" t="n">
        <x:f>O2219-P2219</x:f>
        <x:v>268</x:v>
      </x:c>
      <x:c r="R2219" s="11" t="n">
        <x:f>IF(D2219="Completed",I2219,0)</x:f>
        <x:v>2</x:v>
      </x:c>
      <x:c r="S2219" s="11" t="n">
        <x:f>IF(D2219="Completed",L2219,0)</x:f>
        <x:v>0</x:v>
      </x:c>
      <x:c r="T2219" s="8" t="n">
        <x:f>DATE(YEAR(C2219),MONTH(C2219),1)</x:f>
        <x:v>45809</x:v>
      </x:c>
    </x:row>
    <x:row r="2220" ht="22" customHeight="1">
      <x:c r="A2220" s="2" t="str">
        <x:v>L002216</x:v>
      </x:c>
      <x:c r="B2220" s="2" t="str">
        <x:v>O00911</x:v>
      </x:c>
      <x:c r="C2220" s="7" t="n">
        <x:v>45946</x:v>
      </x:c>
      <x:c r="D2220" s="2" t="str">
        <x:v>Completed</x:v>
      </x:c>
      <x:c r="E2220" s="2" t="str">
        <x:v>North</x:v>
      </x:c>
      <x:c r="F2220" s="2" t="str">
        <x:v>Online</x:v>
      </x:c>
      <x:c r="G2220" s="2" t="str">
        <x:v>Storage</x:v>
      </x:c>
      <x:c r="H2220" s="2" t="str">
        <x:v>Shelf 007</x:v>
      </x:c>
      <x:c r="I2220" s="11" t="n">
        <x:v>5</x:v>
      </x:c>
      <x:c r="J2220" s="9" t="n">
        <x:v>35</x:v>
      </x:c>
      <x:c r="K2220" s="10" t="n">
        <x:v>0.05</x:v>
      </x:c>
      <x:c r="L2220" s="11" t="n">
        <x:v>0</x:v>
      </x:c>
      <x:c r="M2220" s="9" t="n">
        <x:f>IF(D2220="Completed",I2220*J2220,0)</x:f>
        <x:v>175</x:v>
      </x:c>
      <x:c r="N2220" s="9" t="n">
        <x:f>M2220*K2220</x:f>
        <x:v>8.75</x:v>
      </x:c>
      <x:c r="O2220" s="9" t="n">
        <x:f>M2220-N2220</x:f>
        <x:v>166.25</x:v>
      </x:c>
      <x:c r="P2220" s="9" t="n">
        <x:f>IF(D2220="Completed",L2220*J2220*(1-K2220),0)</x:f>
        <x:v>0</x:v>
      </x:c>
      <x:c r="Q2220" s="9" t="n">
        <x:f>O2220-P2220</x:f>
        <x:v>166.25</x:v>
      </x:c>
      <x:c r="R2220" s="11" t="n">
        <x:f>IF(D2220="Completed",I2220,0)</x:f>
        <x:v>5</x:v>
      </x:c>
      <x:c r="S2220" s="11" t="n">
        <x:f>IF(D2220="Completed",L2220,0)</x:f>
        <x:v>0</x:v>
      </x:c>
      <x:c r="T2220" s="8" t="n">
        <x:f>DATE(YEAR(C2220),MONTH(C2220),1)</x:f>
        <x:v>45931</x:v>
      </x:c>
    </x:row>
    <x:row r="2221" ht="22" customHeight="1">
      <x:c r="A2221" s="2" t="str">
        <x:v>L002217</x:v>
      </x:c>
      <x:c r="B2221" s="2" t="str">
        <x:v>O00911</x:v>
      </x:c>
      <x:c r="C2221" s="7" t="n">
        <x:v>45946</x:v>
      </x:c>
      <x:c r="D2221" s="2" t="str">
        <x:v>Completed</x:v>
      </x:c>
      <x:c r="E2221" s="2" t="str">
        <x:v>North</x:v>
      </x:c>
      <x:c r="F2221" s="2" t="str">
        <x:v>Online</x:v>
      </x:c>
      <x:c r="G2221" s="2" t="str">
        <x:v>Furniture</x:v>
      </x:c>
      <x:c r="H2221" s="2" t="str">
        <x:v>Desk 020</x:v>
      </x:c>
      <x:c r="I2221" s="11" t="n">
        <x:v>4</x:v>
      </x:c>
      <x:c r="J2221" s="9" t="n">
        <x:v>189</x:v>
      </x:c>
      <x:c r="K2221" s="10" t="n">
        <x:v>0.1</x:v>
      </x:c>
      <x:c r="L2221" s="11" t="n">
        <x:v>0</x:v>
      </x:c>
      <x:c r="M2221" s="9" t="n">
        <x:f>IF(D2221="Completed",I2221*J2221,0)</x:f>
        <x:v>756</x:v>
      </x:c>
      <x:c r="N2221" s="9" t="n">
        <x:f>M2221*K2221</x:f>
        <x:v>75.60000000000001</x:v>
      </x:c>
      <x:c r="O2221" s="9" t="n">
        <x:f>M2221-N2221</x:f>
        <x:v>680.4</x:v>
      </x:c>
      <x:c r="P2221" s="9" t="n">
        <x:f>IF(D2221="Completed",L2221*J2221*(1-K2221),0)</x:f>
        <x:v>0</x:v>
      </x:c>
      <x:c r="Q2221" s="9" t="n">
        <x:f>O2221-P2221</x:f>
        <x:v>680.4</x:v>
      </x:c>
      <x:c r="R2221" s="11" t="n">
        <x:f>IF(D2221="Completed",I2221,0)</x:f>
        <x:v>4</x:v>
      </x:c>
      <x:c r="S2221" s="11" t="n">
        <x:f>IF(D2221="Completed",L2221,0)</x:f>
        <x:v>0</x:v>
      </x:c>
      <x:c r="T2221" s="8" t="n">
        <x:f>DATE(YEAR(C2221),MONTH(C2221),1)</x:f>
        <x:v>45931</x:v>
      </x:c>
    </x:row>
    <x:row r="2222" ht="22" customHeight="1">
      <x:c r="A2222" s="2" t="str">
        <x:v>L002218</x:v>
      </x:c>
      <x:c r="B2222" s="2" t="str">
        <x:v>O00911</x:v>
      </x:c>
      <x:c r="C2222" s="7" t="n">
        <x:v>45946</x:v>
      </x:c>
      <x:c r="D2222" s="2" t="str">
        <x:v>Completed</x:v>
      </x:c>
      <x:c r="E2222" s="2" t="str">
        <x:v>North</x:v>
      </x:c>
      <x:c r="F2222" s="2" t="str">
        <x:v>Online</x:v>
      </x:c>
      <x:c r="G2222" s="2" t="str">
        <x:v>Furniture</x:v>
      </x:c>
      <x:c r="H2222" s="2" t="str">
        <x:v>Desk 024</x:v>
      </x:c>
      <x:c r="I2222" s="11" t="n">
        <x:v>5</x:v>
      </x:c>
      <x:c r="J2222" s="9" t="n">
        <x:v>81</x:v>
      </x:c>
      <x:c r="K2222" s="10" t="n">
        <x:v>0.05</x:v>
      </x:c>
      <x:c r="L2222" s="11" t="n">
        <x:v>0</x:v>
      </x:c>
      <x:c r="M2222" s="9" t="n">
        <x:f>IF(D2222="Completed",I2222*J2222,0)</x:f>
        <x:v>405</x:v>
      </x:c>
      <x:c r="N2222" s="9" t="n">
        <x:f>M2222*K2222</x:f>
        <x:v>20.25</x:v>
      </x:c>
      <x:c r="O2222" s="9" t="n">
        <x:f>M2222-N2222</x:f>
        <x:v>384.75</x:v>
      </x:c>
      <x:c r="P2222" s="9" t="n">
        <x:f>IF(D2222="Completed",L2222*J2222*(1-K2222),0)</x:f>
        <x:v>0</x:v>
      </x:c>
      <x:c r="Q2222" s="9" t="n">
        <x:f>O2222-P2222</x:f>
        <x:v>384.75</x:v>
      </x:c>
      <x:c r="R2222" s="11" t="n">
        <x:f>IF(D2222="Completed",I2222,0)</x:f>
        <x:v>5</x:v>
      </x:c>
      <x:c r="S2222" s="11" t="n">
        <x:f>IF(D2222="Completed",L2222,0)</x:f>
        <x:v>0</x:v>
      </x:c>
      <x:c r="T2222" s="8" t="n">
        <x:f>DATE(YEAR(C2222),MONTH(C2222),1)</x:f>
        <x:v>45931</x:v>
      </x:c>
    </x:row>
    <x:row r="2223" ht="22" customHeight="1">
      <x:c r="A2223" s="2" t="str">
        <x:v>L002219</x:v>
      </x:c>
      <x:c r="B2223" s="2" t="str">
        <x:v>O00911</x:v>
      </x:c>
      <x:c r="C2223" s="7" t="n">
        <x:v>45946</x:v>
      </x:c>
      <x:c r="D2223" s="2" t="str">
        <x:v>Completed</x:v>
      </x:c>
      <x:c r="E2223" s="2" t="str">
        <x:v>North</x:v>
      </x:c>
      <x:c r="F2223" s="2" t="str">
        <x:v>Online</x:v>
      </x:c>
      <x:c r="G2223" s="2" t="str">
        <x:v>Storage</x:v>
      </x:c>
      <x:c r="H2223" s="2" t="str">
        <x:v>Shelf 011</x:v>
      </x:c>
      <x:c r="I2223" s="11" t="n">
        <x:v>3</x:v>
      </x:c>
      <x:c r="J2223" s="9" t="n">
        <x:v>80</x:v>
      </x:c>
      <x:c r="K2223" s="10" t="n">
        <x:v>0</x:v>
      </x:c>
      <x:c r="L2223" s="11" t="n">
        <x:v>0</x:v>
      </x:c>
      <x:c r="M2223" s="9" t="n">
        <x:f>IF(D2223="Completed",I2223*J2223,0)</x:f>
        <x:v>240</x:v>
      </x:c>
      <x:c r="N2223" s="9" t="n">
        <x:f>M2223*K2223</x:f>
        <x:v>0</x:v>
      </x:c>
      <x:c r="O2223" s="9" t="n">
        <x:f>M2223-N2223</x:f>
        <x:v>240</x:v>
      </x:c>
      <x:c r="P2223" s="9" t="n">
        <x:f>IF(D2223="Completed",L2223*J2223*(1-K2223),0)</x:f>
        <x:v>0</x:v>
      </x:c>
      <x:c r="Q2223" s="9" t="n">
        <x:f>O2223-P2223</x:f>
        <x:v>240</x:v>
      </x:c>
      <x:c r="R2223" s="11" t="n">
        <x:f>IF(D2223="Completed",I2223,0)</x:f>
        <x:v>3</x:v>
      </x:c>
      <x:c r="S2223" s="11" t="n">
        <x:f>IF(D2223="Completed",L2223,0)</x:f>
        <x:v>0</x:v>
      </x:c>
      <x:c r="T2223" s="8" t="n">
        <x:f>DATE(YEAR(C2223),MONTH(C2223),1)</x:f>
        <x:v>45931</x:v>
      </x:c>
    </x:row>
    <x:row r="2224" ht="22" customHeight="1">
      <x:c r="A2224" s="2" t="str">
        <x:v>L002220</x:v>
      </x:c>
      <x:c r="B2224" s="2" t="str">
        <x:v>O00912</x:v>
      </x:c>
      <x:c r="C2224" s="7" t="n">
        <x:v>45950</x:v>
      </x:c>
      <x:c r="D2224" s="2" t="str">
        <x:v>Completed</x:v>
      </x:c>
      <x:c r="E2224" s="2" t="str">
        <x:v>West</x:v>
      </x:c>
      <x:c r="F2224" s="2" t="str">
        <x:v>Store</x:v>
      </x:c>
      <x:c r="G2224" s="2" t="str">
        <x:v>Furniture</x:v>
      </x:c>
      <x:c r="H2224" s="2" t="str">
        <x:v>Chair 010</x:v>
      </x:c>
      <x:c r="I2224" s="11" t="n">
        <x:v>3</x:v>
      </x:c>
      <x:c r="J2224" s="9" t="n">
        <x:v>211</x:v>
      </x:c>
      <x:c r="K2224" s="10" t="n">
        <x:v>0.1</x:v>
      </x:c>
      <x:c r="L2224" s="11" t="n">
        <x:v>2</x:v>
      </x:c>
      <x:c r="M2224" s="9" t="n">
        <x:f>IF(D2224="Completed",I2224*J2224,0)</x:f>
        <x:v>633</x:v>
      </x:c>
      <x:c r="N2224" s="9" t="n">
        <x:f>M2224*K2224</x:f>
        <x:v>63.300000000000004</x:v>
      </x:c>
      <x:c r="O2224" s="9" t="n">
        <x:f>M2224-N2224</x:f>
        <x:v>569.7</x:v>
      </x:c>
      <x:c r="P2224" s="9" t="n">
        <x:f>IF(D2224="Completed",L2224*J2224*(1-K2224),0)</x:f>
        <x:v>379.8</x:v>
      </x:c>
      <x:c r="Q2224" s="9" t="n">
        <x:f>O2224-P2224</x:f>
        <x:v>189.90000000000003</x:v>
      </x:c>
      <x:c r="R2224" s="11" t="n">
        <x:f>IF(D2224="Completed",I2224,0)</x:f>
        <x:v>3</x:v>
      </x:c>
      <x:c r="S2224" s="11" t="n">
        <x:f>IF(D2224="Completed",L2224,0)</x:f>
        <x:v>2</x:v>
      </x:c>
      <x:c r="T2224" s="8" t="n">
        <x:f>DATE(YEAR(C2224),MONTH(C2224),1)</x:f>
        <x:v>45931</x:v>
      </x:c>
    </x:row>
    <x:row r="2225" ht="22" customHeight="1">
      <x:c r="A2225" s="2" t="str">
        <x:v>L002221</x:v>
      </x:c>
      <x:c r="B2225" s="2" t="str">
        <x:v>O00912</x:v>
      </x:c>
      <x:c r="C2225" s="7" t="n">
        <x:v>45950</x:v>
      </x:c>
      <x:c r="D2225" s="2" t="str">
        <x:v>Completed</x:v>
      </x:c>
      <x:c r="E2225" s="2" t="str">
        <x:v>West</x:v>
      </x:c>
      <x:c r="F2225" s="2" t="str">
        <x:v>Store</x:v>
      </x:c>
      <x:c r="G2225" s="2" t="str">
        <x:v>Storage</x:v>
      </x:c>
      <x:c r="H2225" s="2" t="str">
        <x:v>Shelf 003</x:v>
      </x:c>
      <x:c r="I2225" s="11" t="n">
        <x:v>5</x:v>
      </x:c>
      <x:c r="J2225" s="9" t="n">
        <x:v>199</x:v>
      </x:c>
      <x:c r="K2225" s="10" t="n">
        <x:v>0.05</x:v>
      </x:c>
      <x:c r="L2225" s="11" t="n">
        <x:v>0</x:v>
      </x:c>
      <x:c r="M2225" s="9" t="n">
        <x:f>IF(D2225="Completed",I2225*J2225,0)</x:f>
        <x:v>995</x:v>
      </x:c>
      <x:c r="N2225" s="9" t="n">
        <x:f>M2225*K2225</x:f>
        <x:v>49.75</x:v>
      </x:c>
      <x:c r="O2225" s="9" t="n">
        <x:f>M2225-N2225</x:f>
        <x:v>945.25</x:v>
      </x:c>
      <x:c r="P2225" s="9" t="n">
        <x:f>IF(D2225="Completed",L2225*J2225*(1-K2225),0)</x:f>
        <x:v>0</x:v>
      </x:c>
      <x:c r="Q2225" s="9" t="n">
        <x:f>O2225-P2225</x:f>
        <x:v>945.25</x:v>
      </x:c>
      <x:c r="R2225" s="11" t="n">
        <x:f>IF(D2225="Completed",I2225,0)</x:f>
        <x:v>5</x:v>
      </x:c>
      <x:c r="S2225" s="11" t="n">
        <x:f>IF(D2225="Completed",L2225,0)</x:f>
        <x:v>0</x:v>
      </x:c>
      <x:c r="T2225" s="8" t="n">
        <x:f>DATE(YEAR(C2225),MONTH(C2225),1)</x:f>
        <x:v>45931</x:v>
      </x:c>
    </x:row>
    <x:row r="2226" ht="22" customHeight="1">
      <x:c r="A2226" s="2" t="str">
        <x:v>L002222</x:v>
      </x:c>
      <x:c r="B2226" s="2" t="str">
        <x:v>O00913</x:v>
      </x:c>
      <x:c r="C2226" s="7" t="n">
        <x:v>45890</x:v>
      </x:c>
      <x:c r="D2226" s="2" t="str">
        <x:v>Cancelled</x:v>
      </x:c>
      <x:c r="E2226" s="2" t="str">
        <x:v>South</x:v>
      </x:c>
      <x:c r="F2226" s="2" t="str">
        <x:v>Online</x:v>
      </x:c>
      <x:c r="G2226" s="2" t="str">
        <x:v>Storage</x:v>
      </x:c>
      <x:c r="H2226" s="2" t="str">
        <x:v>Shelf 019</x:v>
      </x:c>
      <x:c r="I2226" s="11" t="n">
        <x:v>5</x:v>
      </x:c>
      <x:c r="J2226" s="9" t="n">
        <x:v>78</x:v>
      </x:c>
      <x:c r="K2226" s="10" t="n">
        <x:v>0.1</x:v>
      </x:c>
      <x:c r="L2226" s="11" t="n">
        <x:v>0</x:v>
      </x:c>
      <x:c r="M2226" s="9" t="n">
        <x:f>IF(D2226="Completed",I2226*J2226,0)</x:f>
        <x:v>0</x:v>
      </x:c>
      <x:c r="N2226" s="9" t="n">
        <x:f>M2226*K2226</x:f>
        <x:v>0</x:v>
      </x:c>
      <x:c r="O2226" s="9" t="n">
        <x:f>M2226-N2226</x:f>
        <x:v>0</x:v>
      </x:c>
      <x:c r="P2226" s="9" t="n">
        <x:f>IF(D2226="Completed",L2226*J2226*(1-K2226),0)</x:f>
        <x:v>0</x:v>
      </x:c>
      <x:c r="Q2226" s="9" t="n">
        <x:f>O2226-P2226</x:f>
        <x:v>0</x:v>
      </x:c>
      <x:c r="R2226" s="11" t="n">
        <x:f>IF(D2226="Completed",I2226,0)</x:f>
        <x:v>0</x:v>
      </x:c>
      <x:c r="S2226" s="11" t="n">
        <x:f>IF(D2226="Completed",L2226,0)</x:f>
        <x:v>0</x:v>
      </x:c>
      <x:c r="T2226" s="8" t="n">
        <x:f>DATE(YEAR(C2226),MONTH(C2226),1)</x:f>
        <x:v>45870</x:v>
      </x:c>
    </x:row>
    <x:row r="2227" ht="22" customHeight="1">
      <x:c r="A2227" s="2" t="str">
        <x:v>L002223</x:v>
      </x:c>
      <x:c r="B2227" s="2" t="str">
        <x:v>O00914</x:v>
      </x:c>
      <x:c r="C2227" s="7" t="n">
        <x:v>45702</x:v>
      </x:c>
      <x:c r="D2227" s="2" t="str">
        <x:v>Completed</x:v>
      </x:c>
      <x:c r="E2227" s="2" t="str">
        <x:v>West</x:v>
      </x:c>
      <x:c r="F2227" s="2" t="str">
        <x:v>Online</x:v>
      </x:c>
      <x:c r="G2227" s="2" t="str">
        <x:v>Storage</x:v>
      </x:c>
      <x:c r="H2227" s="2" t="str">
        <x:v>Shelf 007</x:v>
      </x:c>
      <x:c r="I2227" s="11" t="n">
        <x:v>4</x:v>
      </x:c>
      <x:c r="J2227" s="9" t="n">
        <x:v>35</x:v>
      </x:c>
      <x:c r="K2227" s="10" t="n">
        <x:v>0</x:v>
      </x:c>
      <x:c r="L2227" s="11" t="n">
        <x:v>0</x:v>
      </x:c>
      <x:c r="M2227" s="9" t="n">
        <x:f>IF(D2227="Completed",I2227*J2227,0)</x:f>
        <x:v>140</x:v>
      </x:c>
      <x:c r="N2227" s="9" t="n">
        <x:f>M2227*K2227</x:f>
        <x:v>0</x:v>
      </x:c>
      <x:c r="O2227" s="9" t="n">
        <x:f>M2227-N2227</x:f>
        <x:v>140</x:v>
      </x:c>
      <x:c r="P2227" s="9" t="n">
        <x:f>IF(D2227="Completed",L2227*J2227*(1-K2227),0)</x:f>
        <x:v>0</x:v>
      </x:c>
      <x:c r="Q2227" s="9" t="n">
        <x:f>O2227-P2227</x:f>
        <x:v>140</x:v>
      </x:c>
      <x:c r="R2227" s="11" t="n">
        <x:f>IF(D2227="Completed",I2227,0)</x:f>
        <x:v>4</x:v>
      </x:c>
      <x:c r="S2227" s="11" t="n">
        <x:f>IF(D2227="Completed",L2227,0)</x:f>
        <x:v>0</x:v>
      </x:c>
      <x:c r="T2227" s="8" t="n">
        <x:f>DATE(YEAR(C2227),MONTH(C2227),1)</x:f>
        <x:v>45689</x:v>
      </x:c>
    </x:row>
    <x:row r="2228" ht="22" customHeight="1">
      <x:c r="A2228" s="2" t="str">
        <x:v>L002224</x:v>
      </x:c>
      <x:c r="B2228" s="2" t="str">
        <x:v>O00914</x:v>
      </x:c>
      <x:c r="C2228" s="7" t="n">
        <x:v>45702</x:v>
      </x:c>
      <x:c r="D2228" s="2" t="str">
        <x:v>Completed</x:v>
      </x:c>
      <x:c r="E2228" s="2" t="str">
        <x:v>West</x:v>
      </x:c>
      <x:c r="F2228" s="2" t="str">
        <x:v>Online</x:v>
      </x:c>
      <x:c r="G2228" s="2" t="str">
        <x:v>Furniture</x:v>
      </x:c>
      <x:c r="H2228" s="2" t="str">
        <x:v>Desk 004</x:v>
      </x:c>
      <x:c r="I2228" s="11" t="n">
        <x:v>1</x:v>
      </x:c>
      <x:c r="J2228" s="9" t="n">
        <x:v>123</x:v>
      </x:c>
      <x:c r="K2228" s="10" t="n">
        <x:v>0.1</x:v>
      </x:c>
      <x:c r="L2228" s="11" t="n">
        <x:v>0</x:v>
      </x:c>
      <x:c r="M2228" s="9" t="n">
        <x:f>IF(D2228="Completed",I2228*J2228,0)</x:f>
        <x:v>123</x:v>
      </x:c>
      <x:c r="N2228" s="9" t="n">
        <x:f>M2228*K2228</x:f>
        <x:v>12.3</x:v>
      </x:c>
      <x:c r="O2228" s="9" t="n">
        <x:f>M2228-N2228</x:f>
        <x:v>110.7</x:v>
      </x:c>
      <x:c r="P2228" s="9" t="n">
        <x:f>IF(D2228="Completed",L2228*J2228*(1-K2228),0)</x:f>
        <x:v>0</x:v>
      </x:c>
      <x:c r="Q2228" s="9" t="n">
        <x:f>O2228-P2228</x:f>
        <x:v>110.7</x:v>
      </x:c>
      <x:c r="R2228" s="11" t="n">
        <x:f>IF(D2228="Completed",I2228,0)</x:f>
        <x:v>1</x:v>
      </x:c>
      <x:c r="S2228" s="11" t="n">
        <x:f>IF(D2228="Completed",L2228,0)</x:f>
        <x:v>0</x:v>
      </x:c>
      <x:c r="T2228" s="8" t="n">
        <x:f>DATE(YEAR(C2228),MONTH(C2228),1)</x:f>
        <x:v>45689</x:v>
      </x:c>
    </x:row>
    <x:row r="2229" ht="22" customHeight="1">
      <x:c r="A2229" s="2" t="str">
        <x:v>L002225</x:v>
      </x:c>
      <x:c r="B2229" s="2" t="str">
        <x:v>O00914</x:v>
      </x:c>
      <x:c r="C2229" s="7" t="n">
        <x:v>45702</x:v>
      </x:c>
      <x:c r="D2229" s="2" t="str">
        <x:v>Completed</x:v>
      </x:c>
      <x:c r="E2229" s="2" t="str">
        <x:v>West</x:v>
      </x:c>
      <x:c r="F2229" s="2" t="str">
        <x:v>Online</x:v>
      </x:c>
      <x:c r="G2229" s="2" t="str">
        <x:v>Furniture</x:v>
      </x:c>
      <x:c r="H2229" s="2" t="str">
        <x:v>Desk 024</x:v>
      </x:c>
      <x:c r="I2229" s="11" t="n">
        <x:v>2</x:v>
      </x:c>
      <x:c r="J2229" s="9" t="n">
        <x:v>81</x:v>
      </x:c>
      <x:c r="K2229" s="10" t="n">
        <x:v>0.1</x:v>
      </x:c>
      <x:c r="L2229" s="11" t="n">
        <x:v>0</x:v>
      </x:c>
      <x:c r="M2229" s="9" t="n">
        <x:f>IF(D2229="Completed",I2229*J2229,0)</x:f>
        <x:v>162</x:v>
      </x:c>
      <x:c r="N2229" s="9" t="n">
        <x:f>M2229*K2229</x:f>
        <x:v>16.2</x:v>
      </x:c>
      <x:c r="O2229" s="9" t="n">
        <x:f>M2229-N2229</x:f>
        <x:v>145.8</x:v>
      </x:c>
      <x:c r="P2229" s="9" t="n">
        <x:f>IF(D2229="Completed",L2229*J2229*(1-K2229),0)</x:f>
        <x:v>0</x:v>
      </x:c>
      <x:c r="Q2229" s="9" t="n">
        <x:f>O2229-P2229</x:f>
        <x:v>145.8</x:v>
      </x:c>
      <x:c r="R2229" s="11" t="n">
        <x:f>IF(D2229="Completed",I2229,0)</x:f>
        <x:v>2</x:v>
      </x:c>
      <x:c r="S2229" s="11" t="n">
        <x:f>IF(D2229="Completed",L2229,0)</x:f>
        <x:v>0</x:v>
      </x:c>
      <x:c r="T2229" s="8" t="n">
        <x:f>DATE(YEAR(C2229),MONTH(C2229),1)</x:f>
        <x:v>45689</x:v>
      </x:c>
    </x:row>
    <x:row r="2230" ht="22" customHeight="1">
      <x:c r="A2230" s="2" t="str">
        <x:v>L002226</x:v>
      </x:c>
      <x:c r="B2230" s="2" t="str">
        <x:v>O00914</x:v>
      </x:c>
      <x:c r="C2230" s="7" t="n">
        <x:v>45702</x:v>
      </x:c>
      <x:c r="D2230" s="2" t="str">
        <x:v>Completed</x:v>
      </x:c>
      <x:c r="E2230" s="2" t="str">
        <x:v>West</x:v>
      </x:c>
      <x:c r="F2230" s="2" t="str">
        <x:v>Online</x:v>
      </x:c>
      <x:c r="G2230" s="2" t="str">
        <x:v>Furniture</x:v>
      </x:c>
      <x:c r="H2230" s="2" t="str">
        <x:v>Chair 002</x:v>
      </x:c>
      <x:c r="I2230" s="11" t="n">
        <x:v>3</x:v>
      </x:c>
      <x:c r="J2230" s="9" t="n">
        <x:v>284</x:v>
      </x:c>
      <x:c r="K2230" s="10" t="n">
        <x:v>0.2</x:v>
      </x:c>
      <x:c r="L2230" s="11" t="n">
        <x:v>0</x:v>
      </x:c>
      <x:c r="M2230" s="9" t="n">
        <x:f>IF(D2230="Completed",I2230*J2230,0)</x:f>
        <x:v>852</x:v>
      </x:c>
      <x:c r="N2230" s="9" t="n">
        <x:f>M2230*K2230</x:f>
        <x:v>170.4</x:v>
      </x:c>
      <x:c r="O2230" s="9" t="n">
        <x:f>M2230-N2230</x:f>
        <x:v>681.6</x:v>
      </x:c>
      <x:c r="P2230" s="9" t="n">
        <x:f>IF(D2230="Completed",L2230*J2230*(1-K2230),0)</x:f>
        <x:v>0</x:v>
      </x:c>
      <x:c r="Q2230" s="9" t="n">
        <x:f>O2230-P2230</x:f>
        <x:v>681.6</x:v>
      </x:c>
      <x:c r="R2230" s="11" t="n">
        <x:f>IF(D2230="Completed",I2230,0)</x:f>
        <x:v>3</x:v>
      </x:c>
      <x:c r="S2230" s="11" t="n">
        <x:f>IF(D2230="Completed",L2230,0)</x:f>
        <x:v>0</x:v>
      </x:c>
      <x:c r="T2230" s="8" t="n">
        <x:f>DATE(YEAR(C2230),MONTH(C2230),1)</x:f>
        <x:v>45689</x:v>
      </x:c>
    </x:row>
    <x:row r="2231" ht="22" customHeight="1">
      <x:c r="A2231" s="2" t="str">
        <x:v>L002227</x:v>
      </x:c>
      <x:c r="B2231" s="2" t="str">
        <x:v>O00915</x:v>
      </x:c>
      <x:c r="C2231" s="7" t="n">
        <x:v>46001</x:v>
      </x:c>
      <x:c r="D2231" s="2" t="str">
        <x:v>Completed</x:v>
      </x:c>
      <x:c r="E2231" s="2" t="str">
        <x:v>North</x:v>
      </x:c>
      <x:c r="F2231" s="2" t="str">
        <x:v>Store</x:v>
      </x:c>
      <x:c r="G2231" s="2" t="str">
        <x:v>Furniture</x:v>
      </x:c>
      <x:c r="H2231" s="2" t="str">
        <x:v>Desk 004</x:v>
      </x:c>
      <x:c r="I2231" s="11" t="n">
        <x:v>5</x:v>
      </x:c>
      <x:c r="J2231" s="9" t="n">
        <x:v>123</x:v>
      </x:c>
      <x:c r="K2231" s="10" t="n">
        <x:v>0.05</x:v>
      </x:c>
      <x:c r="L2231" s="11" t="n">
        <x:v>0</x:v>
      </x:c>
      <x:c r="M2231" s="9" t="n">
        <x:f>IF(D2231="Completed",I2231*J2231,0)</x:f>
        <x:v>615</x:v>
      </x:c>
      <x:c r="N2231" s="9" t="n">
        <x:f>M2231*K2231</x:f>
        <x:v>30.75</x:v>
      </x:c>
      <x:c r="O2231" s="9" t="n">
        <x:f>M2231-N2231</x:f>
        <x:v>584.25</x:v>
      </x:c>
      <x:c r="P2231" s="9" t="n">
        <x:f>IF(D2231="Completed",L2231*J2231*(1-K2231),0)</x:f>
        <x:v>0</x:v>
      </x:c>
      <x:c r="Q2231" s="9" t="n">
        <x:f>O2231-P2231</x:f>
        <x:v>584.25</x:v>
      </x:c>
      <x:c r="R2231" s="11" t="n">
        <x:f>IF(D2231="Completed",I2231,0)</x:f>
        <x:v>5</x:v>
      </x:c>
      <x:c r="S2231" s="11" t="n">
        <x:f>IF(D2231="Completed",L2231,0)</x:f>
        <x:v>0</x:v>
      </x:c>
      <x:c r="T2231" s="8" t="n">
        <x:f>DATE(YEAR(C2231),MONTH(C2231),1)</x:f>
        <x:v>45992</x:v>
      </x:c>
    </x:row>
    <x:row r="2232" ht="22" customHeight="1">
      <x:c r="A2232" s="2" t="str">
        <x:v>L002228</x:v>
      </x:c>
      <x:c r="B2232" s="2" t="str">
        <x:v>O00915</x:v>
      </x:c>
      <x:c r="C2232" s="7" t="n">
        <x:v>46001</x:v>
      </x:c>
      <x:c r="D2232" s="2" t="str">
        <x:v>Completed</x:v>
      </x:c>
      <x:c r="E2232" s="2" t="str">
        <x:v>North</x:v>
      </x:c>
      <x:c r="F2232" s="2" t="str">
        <x:v>Store</x:v>
      </x:c>
      <x:c r="G2232" s="2" t="str">
        <x:v>Furniture</x:v>
      </x:c>
      <x:c r="H2232" s="2" t="str">
        <x:v>Chair 010</x:v>
      </x:c>
      <x:c r="I2232" s="11" t="n">
        <x:v>4</x:v>
      </x:c>
      <x:c r="J2232" s="9" t="n">
        <x:v>211</x:v>
      </x:c>
      <x:c r="K2232" s="10" t="n">
        <x:v>0.1</x:v>
      </x:c>
      <x:c r="L2232" s="11" t="n">
        <x:v>0</x:v>
      </x:c>
      <x:c r="M2232" s="9" t="n">
        <x:f>IF(D2232="Completed",I2232*J2232,0)</x:f>
        <x:v>844</x:v>
      </x:c>
      <x:c r="N2232" s="9" t="n">
        <x:f>M2232*K2232</x:f>
        <x:v>84.4</x:v>
      </x:c>
      <x:c r="O2232" s="9" t="n">
        <x:f>M2232-N2232</x:f>
        <x:v>759.6</x:v>
      </x:c>
      <x:c r="P2232" s="9" t="n">
        <x:f>IF(D2232="Completed",L2232*J2232*(1-K2232),0)</x:f>
        <x:v>0</x:v>
      </x:c>
      <x:c r="Q2232" s="9" t="n">
        <x:f>O2232-P2232</x:f>
        <x:v>759.6</x:v>
      </x:c>
      <x:c r="R2232" s="11" t="n">
        <x:f>IF(D2232="Completed",I2232,0)</x:f>
        <x:v>4</x:v>
      </x:c>
      <x:c r="S2232" s="11" t="n">
        <x:f>IF(D2232="Completed",L2232,0)</x:f>
        <x:v>0</x:v>
      </x:c>
      <x:c r="T2232" s="8" t="n">
        <x:f>DATE(YEAR(C2232),MONTH(C2232),1)</x:f>
        <x:v>45992</x:v>
      </x:c>
    </x:row>
    <x:row r="2233" ht="22" customHeight="1">
      <x:c r="A2233" s="2" t="str">
        <x:v>L002229</x:v>
      </x:c>
      <x:c r="B2233" s="2" t="str">
        <x:v>O00915</x:v>
      </x:c>
      <x:c r="C2233" s="7" t="n">
        <x:v>46001</x:v>
      </x:c>
      <x:c r="D2233" s="2" t="str">
        <x:v>Completed</x:v>
      </x:c>
      <x:c r="E2233" s="2" t="str">
        <x:v>North</x:v>
      </x:c>
      <x:c r="F2233" s="2" t="str">
        <x:v>Store</x:v>
      </x:c>
      <x:c r="G2233" s="2" t="str">
        <x:v>Furniture</x:v>
      </x:c>
      <x:c r="H2233" s="2" t="str">
        <x:v>Chair 018</x:v>
      </x:c>
      <x:c r="I2233" s="11" t="n">
        <x:v>5</x:v>
      </x:c>
      <x:c r="J2233" s="9" t="n">
        <x:v>269</x:v>
      </x:c>
      <x:c r="K2233" s="10" t="n">
        <x:v>0.05</x:v>
      </x:c>
      <x:c r="L2233" s="11" t="n">
        <x:v>0</x:v>
      </x:c>
      <x:c r="M2233" s="9" t="n">
        <x:f>IF(D2233="Completed",I2233*J2233,0)</x:f>
        <x:v>1345</x:v>
      </x:c>
      <x:c r="N2233" s="9" t="n">
        <x:f>M2233*K2233</x:f>
        <x:v>67.25</x:v>
      </x:c>
      <x:c r="O2233" s="9" t="n">
        <x:f>M2233-N2233</x:f>
        <x:v>1277.75</x:v>
      </x:c>
      <x:c r="P2233" s="9" t="n">
        <x:f>IF(D2233="Completed",L2233*J2233*(1-K2233),0)</x:f>
        <x:v>0</x:v>
      </x:c>
      <x:c r="Q2233" s="9" t="n">
        <x:f>O2233-P2233</x:f>
        <x:v>1277.75</x:v>
      </x:c>
      <x:c r="R2233" s="11" t="n">
        <x:f>IF(D2233="Completed",I2233,0)</x:f>
        <x:v>5</x:v>
      </x:c>
      <x:c r="S2233" s="11" t="n">
        <x:f>IF(D2233="Completed",L2233,0)</x:f>
        <x:v>0</x:v>
      </x:c>
      <x:c r="T2233" s="8" t="n">
        <x:f>DATE(YEAR(C2233),MONTH(C2233),1)</x:f>
        <x:v>45992</x:v>
      </x:c>
    </x:row>
    <x:row r="2234" ht="22" customHeight="1">
      <x:c r="A2234" s="2" t="str">
        <x:v>L002230</x:v>
      </x:c>
      <x:c r="B2234" s="2" t="str">
        <x:v>O00916</x:v>
      </x:c>
      <x:c r="C2234" s="7" t="n">
        <x:v>45668</x:v>
      </x:c>
      <x:c r="D2234" s="2" t="str">
        <x:v>Completed</x:v>
      </x:c>
      <x:c r="E2234" s="2" t="str">
        <x:v>East</x:v>
      </x:c>
      <x:c r="F2234" s="2" t="str">
        <x:v>Online</x:v>
      </x:c>
      <x:c r="G2234" s="2" t="str">
        <x:v>Furniture</x:v>
      </x:c>
      <x:c r="H2234" s="2" t="str">
        <x:v>Chair 006</x:v>
      </x:c>
      <x:c r="I2234" s="11" t="n">
        <x:v>5</x:v>
      </x:c>
      <x:c r="J2234" s="9" t="n">
        <x:v>196</x:v>
      </x:c>
      <x:c r="K2234" s="10" t="n">
        <x:v>0.05</x:v>
      </x:c>
      <x:c r="L2234" s="11" t="n">
        <x:v>0</x:v>
      </x:c>
      <x:c r="M2234" s="9" t="n">
        <x:f>IF(D2234="Completed",I2234*J2234,0)</x:f>
        <x:v>980</x:v>
      </x:c>
      <x:c r="N2234" s="9" t="n">
        <x:f>M2234*K2234</x:f>
        <x:v>49</x:v>
      </x:c>
      <x:c r="O2234" s="9" t="n">
        <x:f>M2234-N2234</x:f>
        <x:v>931</x:v>
      </x:c>
      <x:c r="P2234" s="9" t="n">
        <x:f>IF(D2234="Completed",L2234*J2234*(1-K2234),0)</x:f>
        <x:v>0</x:v>
      </x:c>
      <x:c r="Q2234" s="9" t="n">
        <x:f>O2234-P2234</x:f>
        <x:v>931</x:v>
      </x:c>
      <x:c r="R2234" s="11" t="n">
        <x:f>IF(D2234="Completed",I2234,0)</x:f>
        <x:v>5</x:v>
      </x:c>
      <x:c r="S2234" s="11" t="n">
        <x:f>IF(D2234="Completed",L2234,0)</x:f>
        <x:v>0</x:v>
      </x:c>
      <x:c r="T2234" s="8" t="n">
        <x:f>DATE(YEAR(C2234),MONTH(C2234),1)</x:f>
        <x:v>45658</x:v>
      </x:c>
    </x:row>
    <x:row r="2235" ht="22" customHeight="1">
      <x:c r="A2235" s="2" t="str">
        <x:v>L002231</x:v>
      </x:c>
      <x:c r="B2235" s="2" t="str">
        <x:v>O00917</x:v>
      </x:c>
      <x:c r="C2235" s="7" t="n">
        <x:v>46020</x:v>
      </x:c>
      <x:c r="D2235" s="2" t="str">
        <x:v>Completed</x:v>
      </x:c>
      <x:c r="E2235" s="2" t="str">
        <x:v>West</x:v>
      </x:c>
      <x:c r="F2235" s="2" t="str">
        <x:v>Store</x:v>
      </x:c>
      <x:c r="G2235" s="2" t="str">
        <x:v>Furniture</x:v>
      </x:c>
      <x:c r="H2235" s="2" t="str">
        <x:v>Desk 004</x:v>
      </x:c>
      <x:c r="I2235" s="11" t="n">
        <x:v>4</x:v>
      </x:c>
      <x:c r="J2235" s="9" t="n">
        <x:v>123</x:v>
      </x:c>
      <x:c r="K2235" s="10" t="n">
        <x:v>0</x:v>
      </x:c>
      <x:c r="L2235" s="11" t="n">
        <x:v>0</x:v>
      </x:c>
      <x:c r="M2235" s="9" t="n">
        <x:f>IF(D2235="Completed",I2235*J2235,0)</x:f>
        <x:v>492</x:v>
      </x:c>
      <x:c r="N2235" s="9" t="n">
        <x:f>M2235*K2235</x:f>
        <x:v>0</x:v>
      </x:c>
      <x:c r="O2235" s="9" t="n">
        <x:f>M2235-N2235</x:f>
        <x:v>492</x:v>
      </x:c>
      <x:c r="P2235" s="9" t="n">
        <x:f>IF(D2235="Completed",L2235*J2235*(1-K2235),0)</x:f>
        <x:v>0</x:v>
      </x:c>
      <x:c r="Q2235" s="9" t="n">
        <x:f>O2235-P2235</x:f>
        <x:v>492</x:v>
      </x:c>
      <x:c r="R2235" s="11" t="n">
        <x:f>IF(D2235="Completed",I2235,0)</x:f>
        <x:v>4</x:v>
      </x:c>
      <x:c r="S2235" s="11" t="n">
        <x:f>IF(D2235="Completed",L2235,0)</x:f>
        <x:v>0</x:v>
      </x:c>
      <x:c r="T2235" s="8" t="n">
        <x:f>DATE(YEAR(C2235),MONTH(C2235),1)</x:f>
        <x:v>45992</x:v>
      </x:c>
    </x:row>
    <x:row r="2236" ht="22" customHeight="1">
      <x:c r="A2236" s="2" t="str">
        <x:v>L002232</x:v>
      </x:c>
      <x:c r="B2236" s="2" t="str">
        <x:v>O00917</x:v>
      </x:c>
      <x:c r="C2236" s="7" t="n">
        <x:v>46020</x:v>
      </x:c>
      <x:c r="D2236" s="2" t="str">
        <x:v>Completed</x:v>
      </x:c>
      <x:c r="E2236" s="2" t="str">
        <x:v>West</x:v>
      </x:c>
      <x:c r="F2236" s="2" t="str">
        <x:v>Store</x:v>
      </x:c>
      <x:c r="G2236" s="2" t="str">
        <x:v>Furniture</x:v>
      </x:c>
      <x:c r="H2236" s="2" t="str">
        <x:v>Desk 012</x:v>
      </x:c>
      <x:c r="I2236" s="11" t="n">
        <x:v>3</x:v>
      </x:c>
      <x:c r="J2236" s="9" t="n">
        <x:v>134</x:v>
      </x:c>
      <x:c r="K2236" s="10" t="n">
        <x:v>0.1</x:v>
      </x:c>
      <x:c r="L2236" s="11" t="n">
        <x:v>0</x:v>
      </x:c>
      <x:c r="M2236" s="9" t="n">
        <x:f>IF(D2236="Completed",I2236*J2236,0)</x:f>
        <x:v>402</x:v>
      </x:c>
      <x:c r="N2236" s="9" t="n">
        <x:f>M2236*K2236</x:f>
        <x:v>40.2</x:v>
      </x:c>
      <x:c r="O2236" s="9" t="n">
        <x:f>M2236-N2236</x:f>
        <x:v>361.8</x:v>
      </x:c>
      <x:c r="P2236" s="9" t="n">
        <x:f>IF(D2236="Completed",L2236*J2236*(1-K2236),0)</x:f>
        <x:v>0</x:v>
      </x:c>
      <x:c r="Q2236" s="9" t="n">
        <x:f>O2236-P2236</x:f>
        <x:v>361.8</x:v>
      </x:c>
      <x:c r="R2236" s="11" t="n">
        <x:f>IF(D2236="Completed",I2236,0)</x:f>
        <x:v>3</x:v>
      </x:c>
      <x:c r="S2236" s="11" t="n">
        <x:f>IF(D2236="Completed",L2236,0)</x:f>
        <x:v>0</x:v>
      </x:c>
      <x:c r="T2236" s="8" t="n">
        <x:f>DATE(YEAR(C2236),MONTH(C2236),1)</x:f>
        <x:v>45992</x:v>
      </x:c>
    </x:row>
    <x:row r="2237" ht="22" customHeight="1">
      <x:c r="A2237" s="2" t="str">
        <x:v>L002233</x:v>
      </x:c>
      <x:c r="B2237" s="2" t="str">
        <x:v>O00918</x:v>
      </x:c>
      <x:c r="C2237" s="7" t="n">
        <x:v>45976</x:v>
      </x:c>
      <x:c r="D2237" s="2" t="str">
        <x:v>Completed</x:v>
      </x:c>
      <x:c r="E2237" s="2" t="str">
        <x:v>North</x:v>
      </x:c>
      <x:c r="F2237" s="2" t="str">
        <x:v>Online</x:v>
      </x:c>
      <x:c r="G2237" s="2" t="str">
        <x:v>Storage</x:v>
      </x:c>
      <x:c r="H2237" s="2" t="str">
        <x:v>Shelf 007</x:v>
      </x:c>
      <x:c r="I2237" s="11" t="n">
        <x:v>3</x:v>
      </x:c>
      <x:c r="J2237" s="9" t="n">
        <x:v>35</x:v>
      </x:c>
      <x:c r="K2237" s="10" t="n">
        <x:v>0.05</x:v>
      </x:c>
      <x:c r="L2237" s="11" t="n">
        <x:v>0</x:v>
      </x:c>
      <x:c r="M2237" s="9" t="n">
        <x:f>IF(D2237="Completed",I2237*J2237,0)</x:f>
        <x:v>105</x:v>
      </x:c>
      <x:c r="N2237" s="9" t="n">
        <x:f>M2237*K2237</x:f>
        <x:v>5.25</x:v>
      </x:c>
      <x:c r="O2237" s="9" t="n">
        <x:f>M2237-N2237</x:f>
        <x:v>99.75</x:v>
      </x:c>
      <x:c r="P2237" s="9" t="n">
        <x:f>IF(D2237="Completed",L2237*J2237*(1-K2237),0)</x:f>
        <x:v>0</x:v>
      </x:c>
      <x:c r="Q2237" s="9" t="n">
        <x:f>O2237-P2237</x:f>
        <x:v>99.75</x:v>
      </x:c>
      <x:c r="R2237" s="11" t="n">
        <x:f>IF(D2237="Completed",I2237,0)</x:f>
        <x:v>3</x:v>
      </x:c>
      <x:c r="S2237" s="11" t="n">
        <x:f>IF(D2237="Completed",L2237,0)</x:f>
        <x:v>0</x:v>
      </x:c>
      <x:c r="T2237" s="8" t="n">
        <x:f>DATE(YEAR(C2237),MONTH(C2237),1)</x:f>
        <x:v>45962</x:v>
      </x:c>
    </x:row>
    <x:row r="2238" ht="22" customHeight="1">
      <x:c r="A2238" s="2" t="str">
        <x:v>L002234</x:v>
      </x:c>
      <x:c r="B2238" s="2" t="str">
        <x:v>O00918</x:v>
      </x:c>
      <x:c r="C2238" s="7" t="n">
        <x:v>45976</x:v>
      </x:c>
      <x:c r="D2238" s="2" t="str">
        <x:v>Completed</x:v>
      </x:c>
      <x:c r="E2238" s="2" t="str">
        <x:v>North</x:v>
      </x:c>
      <x:c r="F2238" s="2" t="str">
        <x:v>Online</x:v>
      </x:c>
      <x:c r="G2238" s="2" t="str">
        <x:v>Furniture</x:v>
      </x:c>
      <x:c r="H2238" s="2" t="str">
        <x:v>Desk 016</x:v>
      </x:c>
      <x:c r="I2238" s="11" t="n">
        <x:v>5</x:v>
      </x:c>
      <x:c r="J2238" s="9" t="n">
        <x:v>231</x:v>
      </x:c>
      <x:c r="K2238" s="10" t="n">
        <x:v>0</x:v>
      </x:c>
      <x:c r="L2238" s="11" t="n">
        <x:v>0</x:v>
      </x:c>
      <x:c r="M2238" s="9" t="n">
        <x:f>IF(D2238="Completed",I2238*J2238,0)</x:f>
        <x:v>1155</x:v>
      </x:c>
      <x:c r="N2238" s="9" t="n">
        <x:f>M2238*K2238</x:f>
        <x:v>0</x:v>
      </x:c>
      <x:c r="O2238" s="9" t="n">
        <x:f>M2238-N2238</x:f>
        <x:v>1155</x:v>
      </x:c>
      <x:c r="P2238" s="9" t="n">
        <x:f>IF(D2238="Completed",L2238*J2238*(1-K2238),0)</x:f>
        <x:v>0</x:v>
      </x:c>
      <x:c r="Q2238" s="9" t="n">
        <x:f>O2238-P2238</x:f>
        <x:v>1155</x:v>
      </x:c>
      <x:c r="R2238" s="11" t="n">
        <x:f>IF(D2238="Completed",I2238,0)</x:f>
        <x:v>5</x:v>
      </x:c>
      <x:c r="S2238" s="11" t="n">
        <x:f>IF(D2238="Completed",L2238,0)</x:f>
        <x:v>0</x:v>
      </x:c>
      <x:c r="T2238" s="8" t="n">
        <x:f>DATE(YEAR(C2238),MONTH(C2238),1)</x:f>
        <x:v>45962</x:v>
      </x:c>
    </x:row>
    <x:row r="2239" ht="22" customHeight="1">
      <x:c r="A2239" s="2" t="str">
        <x:v>L002235</x:v>
      </x:c>
      <x:c r="B2239" s="2" t="str">
        <x:v>O00919</x:v>
      </x:c>
      <x:c r="C2239" s="7" t="n">
        <x:v>45779</x:v>
      </x:c>
      <x:c r="D2239" s="2" t="str">
        <x:v>Completed</x:v>
      </x:c>
      <x:c r="E2239" s="2" t="str">
        <x:v>South</x:v>
      </x:c>
      <x:c r="F2239" s="2" t="str">
        <x:v>Online</x:v>
      </x:c>
      <x:c r="G2239" s="2" t="str">
        <x:v>Storage</x:v>
      </x:c>
      <x:c r="H2239" s="2" t="str">
        <x:v>Shelf 019</x:v>
      </x:c>
      <x:c r="I2239" s="11" t="n">
        <x:v>5</x:v>
      </x:c>
      <x:c r="J2239" s="9" t="n">
        <x:v>78</x:v>
      </x:c>
      <x:c r="K2239" s="10" t="n">
        <x:v>0</x:v>
      </x:c>
      <x:c r="L2239" s="11" t="n">
        <x:v>0</x:v>
      </x:c>
      <x:c r="M2239" s="9" t="n">
        <x:f>IF(D2239="Completed",I2239*J2239,0)</x:f>
        <x:v>390</x:v>
      </x:c>
      <x:c r="N2239" s="9" t="n">
        <x:f>M2239*K2239</x:f>
        <x:v>0</x:v>
      </x:c>
      <x:c r="O2239" s="9" t="n">
        <x:f>M2239-N2239</x:f>
        <x:v>390</x:v>
      </x:c>
      <x:c r="P2239" s="9" t="n">
        <x:f>IF(D2239="Completed",L2239*J2239*(1-K2239),0)</x:f>
        <x:v>0</x:v>
      </x:c>
      <x:c r="Q2239" s="9" t="n">
        <x:f>O2239-P2239</x:f>
        <x:v>390</x:v>
      </x:c>
      <x:c r="R2239" s="11" t="n">
        <x:f>IF(D2239="Completed",I2239,0)</x:f>
        <x:v>5</x:v>
      </x:c>
      <x:c r="S2239" s="11" t="n">
        <x:f>IF(D2239="Completed",L2239,0)</x:f>
        <x:v>0</x:v>
      </x:c>
      <x:c r="T2239" s="8" t="n">
        <x:f>DATE(YEAR(C2239),MONTH(C2239),1)</x:f>
        <x:v>45778</x:v>
      </x:c>
    </x:row>
    <x:row r="2240" ht="22" customHeight="1">
      <x:c r="A2240" s="2" t="str">
        <x:v>L002236</x:v>
      </x:c>
      <x:c r="B2240" s="2" t="str">
        <x:v>O00919</x:v>
      </x:c>
      <x:c r="C2240" s="7" t="n">
        <x:v>45779</x:v>
      </x:c>
      <x:c r="D2240" s="2" t="str">
        <x:v>Completed</x:v>
      </x:c>
      <x:c r="E2240" s="2" t="str">
        <x:v>South</x:v>
      </x:c>
      <x:c r="F2240" s="2" t="str">
        <x:v>Online</x:v>
      </x:c>
      <x:c r="G2240" s="2" t="str">
        <x:v>Furniture</x:v>
      </x:c>
      <x:c r="H2240" s="2" t="str">
        <x:v>Desk 020</x:v>
      </x:c>
      <x:c r="I2240" s="11" t="n">
        <x:v>5</x:v>
      </x:c>
      <x:c r="J2240" s="9" t="n">
        <x:v>189</x:v>
      </x:c>
      <x:c r="K2240" s="10" t="n">
        <x:v>0</x:v>
      </x:c>
      <x:c r="L2240" s="11" t="n">
        <x:v>0</x:v>
      </x:c>
      <x:c r="M2240" s="9" t="n">
        <x:f>IF(D2240="Completed",I2240*J2240,0)</x:f>
        <x:v>945</x:v>
      </x:c>
      <x:c r="N2240" s="9" t="n">
        <x:f>M2240*K2240</x:f>
        <x:v>0</x:v>
      </x:c>
      <x:c r="O2240" s="9" t="n">
        <x:f>M2240-N2240</x:f>
        <x:v>945</x:v>
      </x:c>
      <x:c r="P2240" s="9" t="n">
        <x:f>IF(D2240="Completed",L2240*J2240*(1-K2240),0)</x:f>
        <x:v>0</x:v>
      </x:c>
      <x:c r="Q2240" s="9" t="n">
        <x:f>O2240-P2240</x:f>
        <x:v>945</x:v>
      </x:c>
      <x:c r="R2240" s="11" t="n">
        <x:f>IF(D2240="Completed",I2240,0)</x:f>
        <x:v>5</x:v>
      </x:c>
      <x:c r="S2240" s="11" t="n">
        <x:f>IF(D2240="Completed",L2240,0)</x:f>
        <x:v>0</x:v>
      </x:c>
      <x:c r="T2240" s="8" t="n">
        <x:f>DATE(YEAR(C2240),MONTH(C2240),1)</x:f>
        <x:v>45778</x:v>
      </x:c>
    </x:row>
    <x:row r="2241" ht="22" customHeight="1">
      <x:c r="A2241" s="2" t="str">
        <x:v>L002237</x:v>
      </x:c>
      <x:c r="B2241" s="2" t="str">
        <x:v>O00920</x:v>
      </x:c>
      <x:c r="C2241" s="7" t="n">
        <x:v>45683</x:v>
      </x:c>
      <x:c r="D2241" s="2" t="str">
        <x:v>Completed</x:v>
      </x:c>
      <x:c r="E2241" s="2" t="str">
        <x:v>West</x:v>
      </x:c>
      <x:c r="F2241" s="2" t="str">
        <x:v>Store</x:v>
      </x:c>
      <x:c r="G2241" s="2" t="str">
        <x:v>Furniture</x:v>
      </x:c>
      <x:c r="H2241" s="2" t="str">
        <x:v>Desk 012</x:v>
      </x:c>
      <x:c r="I2241" s="11" t="n">
        <x:v>4</x:v>
      </x:c>
      <x:c r="J2241" s="9" t="n">
        <x:v>134</x:v>
      </x:c>
      <x:c r="K2241" s="10" t="n">
        <x:v>0</x:v>
      </x:c>
      <x:c r="L2241" s="11" t="n">
        <x:v>0</x:v>
      </x:c>
      <x:c r="M2241" s="9" t="n">
        <x:f>IF(D2241="Completed",I2241*J2241,0)</x:f>
        <x:v>536</x:v>
      </x:c>
      <x:c r="N2241" s="9" t="n">
        <x:f>M2241*K2241</x:f>
        <x:v>0</x:v>
      </x:c>
      <x:c r="O2241" s="9" t="n">
        <x:f>M2241-N2241</x:f>
        <x:v>536</x:v>
      </x:c>
      <x:c r="P2241" s="9" t="n">
        <x:f>IF(D2241="Completed",L2241*J2241*(1-K2241),0)</x:f>
        <x:v>0</x:v>
      </x:c>
      <x:c r="Q2241" s="9" t="n">
        <x:f>O2241-P2241</x:f>
        <x:v>536</x:v>
      </x:c>
      <x:c r="R2241" s="11" t="n">
        <x:f>IF(D2241="Completed",I2241,0)</x:f>
        <x:v>4</x:v>
      </x:c>
      <x:c r="S2241" s="11" t="n">
        <x:f>IF(D2241="Completed",L2241,0)</x:f>
        <x:v>0</x:v>
      </x:c>
      <x:c r="T2241" s="8" t="n">
        <x:f>DATE(YEAR(C2241),MONTH(C2241),1)</x:f>
        <x:v>45658</x:v>
      </x:c>
    </x:row>
    <x:row r="2242" ht="22" customHeight="1">
      <x:c r="A2242" s="2" t="str">
        <x:v>L002238</x:v>
      </x:c>
      <x:c r="B2242" s="2" t="str">
        <x:v>O00920</x:v>
      </x:c>
      <x:c r="C2242" s="7" t="n">
        <x:v>45683</x:v>
      </x:c>
      <x:c r="D2242" s="2" t="str">
        <x:v>Completed</x:v>
      </x:c>
      <x:c r="E2242" s="2" t="str">
        <x:v>West</x:v>
      </x:c>
      <x:c r="F2242" s="2" t="str">
        <x:v>Store</x:v>
      </x:c>
      <x:c r="G2242" s="2" t="str">
        <x:v>Furniture</x:v>
      </x:c>
      <x:c r="H2242" s="2" t="str">
        <x:v>Desk 004</x:v>
      </x:c>
      <x:c r="I2242" s="11" t="n">
        <x:v>4</x:v>
      </x:c>
      <x:c r="J2242" s="9" t="n">
        <x:v>123</x:v>
      </x:c>
      <x:c r="K2242" s="10" t="n">
        <x:v>0</x:v>
      </x:c>
      <x:c r="L2242" s="11" t="n">
        <x:v>0</x:v>
      </x:c>
      <x:c r="M2242" s="9" t="n">
        <x:f>IF(D2242="Completed",I2242*J2242,0)</x:f>
        <x:v>492</x:v>
      </x:c>
      <x:c r="N2242" s="9" t="n">
        <x:f>M2242*K2242</x:f>
        <x:v>0</x:v>
      </x:c>
      <x:c r="O2242" s="9" t="n">
        <x:f>M2242-N2242</x:f>
        <x:v>492</x:v>
      </x:c>
      <x:c r="P2242" s="9" t="n">
        <x:f>IF(D2242="Completed",L2242*J2242*(1-K2242),0)</x:f>
        <x:v>0</x:v>
      </x:c>
      <x:c r="Q2242" s="9" t="n">
        <x:f>O2242-P2242</x:f>
        <x:v>492</x:v>
      </x:c>
      <x:c r="R2242" s="11" t="n">
        <x:f>IF(D2242="Completed",I2242,0)</x:f>
        <x:v>4</x:v>
      </x:c>
      <x:c r="S2242" s="11" t="n">
        <x:f>IF(D2242="Completed",L2242,0)</x:f>
        <x:v>0</x:v>
      </x:c>
      <x:c r="T2242" s="8" t="n">
        <x:f>DATE(YEAR(C2242),MONTH(C2242),1)</x:f>
        <x:v>45658</x:v>
      </x:c>
    </x:row>
    <x:row r="2243" ht="22" customHeight="1">
      <x:c r="A2243" s="2" t="str">
        <x:v>L002239</x:v>
      </x:c>
      <x:c r="B2243" s="2" t="str">
        <x:v>O00920</x:v>
      </x:c>
      <x:c r="C2243" s="7" t="n">
        <x:v>45683</x:v>
      </x:c>
      <x:c r="D2243" s="2" t="str">
        <x:v>Completed</x:v>
      </x:c>
      <x:c r="E2243" s="2" t="str">
        <x:v>West</x:v>
      </x:c>
      <x:c r="F2243" s="2" t="str">
        <x:v>Store</x:v>
      </x:c>
      <x:c r="G2243" s="2" t="str">
        <x:v>Lighting</x:v>
      </x:c>
      <x:c r="H2243" s="2" t="str">
        <x:v>Lamp 021</x:v>
      </x:c>
      <x:c r="I2243" s="11" t="n">
        <x:v>2</x:v>
      </x:c>
      <x:c r="J2243" s="9" t="n">
        <x:v>249</x:v>
      </x:c>
      <x:c r="K2243" s="10" t="n">
        <x:v>0.1</x:v>
      </x:c>
      <x:c r="L2243" s="11" t="n">
        <x:v>0</x:v>
      </x:c>
      <x:c r="M2243" s="9" t="n">
        <x:f>IF(D2243="Completed",I2243*J2243,0)</x:f>
        <x:v>498</x:v>
      </x:c>
      <x:c r="N2243" s="9" t="n">
        <x:f>M2243*K2243</x:f>
        <x:v>49.800000000000004</x:v>
      </x:c>
      <x:c r="O2243" s="9" t="n">
        <x:f>M2243-N2243</x:f>
        <x:v>448.2</x:v>
      </x:c>
      <x:c r="P2243" s="9" t="n">
        <x:f>IF(D2243="Completed",L2243*J2243*(1-K2243),0)</x:f>
        <x:v>0</x:v>
      </x:c>
      <x:c r="Q2243" s="9" t="n">
        <x:f>O2243-P2243</x:f>
        <x:v>448.2</x:v>
      </x:c>
      <x:c r="R2243" s="11" t="n">
        <x:f>IF(D2243="Completed",I2243,0)</x:f>
        <x:v>2</x:v>
      </x:c>
      <x:c r="S2243" s="11" t="n">
        <x:f>IF(D2243="Completed",L2243,0)</x:f>
        <x:v>0</x:v>
      </x:c>
      <x:c r="T2243" s="8" t="n">
        <x:f>DATE(YEAR(C2243),MONTH(C2243),1)</x:f>
        <x:v>45658</x:v>
      </x:c>
    </x:row>
    <x:row r="2244" ht="22" customHeight="1">
      <x:c r="A2244" s="2" t="str">
        <x:v>L002240</x:v>
      </x:c>
      <x:c r="B2244" s="2" t="str">
        <x:v>O00921</x:v>
      </x:c>
      <x:c r="C2244" s="7" t="n">
        <x:v>45853</x:v>
      </x:c>
      <x:c r="D2244" s="2" t="str">
        <x:v>Completed</x:v>
      </x:c>
      <x:c r="E2244" s="2" t="str">
        <x:v>South</x:v>
      </x:c>
      <x:c r="F2244" s="2" t="str">
        <x:v>Store</x:v>
      </x:c>
      <x:c r="G2244" s="2" t="str">
        <x:v>Lighting</x:v>
      </x:c>
      <x:c r="H2244" s="2" t="str">
        <x:v>Lamp 009</x:v>
      </x:c>
      <x:c r="I2244" s="11" t="n">
        <x:v>3</x:v>
      </x:c>
      <x:c r="J2244" s="9" t="n">
        <x:v>93</x:v>
      </x:c>
      <x:c r="K2244" s="10" t="n">
        <x:v>0</x:v>
      </x:c>
      <x:c r="L2244" s="11" t="n">
        <x:v>0</x:v>
      </x:c>
      <x:c r="M2244" s="9" t="n">
        <x:f>IF(D2244="Completed",I2244*J2244,0)</x:f>
        <x:v>279</x:v>
      </x:c>
      <x:c r="N2244" s="9" t="n">
        <x:f>M2244*K2244</x:f>
        <x:v>0</x:v>
      </x:c>
      <x:c r="O2244" s="9" t="n">
        <x:f>M2244-N2244</x:f>
        <x:v>279</x:v>
      </x:c>
      <x:c r="P2244" s="9" t="n">
        <x:f>IF(D2244="Completed",L2244*J2244*(1-K2244),0)</x:f>
        <x:v>0</x:v>
      </x:c>
      <x:c r="Q2244" s="9" t="n">
        <x:f>O2244-P2244</x:f>
        <x:v>279</x:v>
      </x:c>
      <x:c r="R2244" s="11" t="n">
        <x:f>IF(D2244="Completed",I2244,0)</x:f>
        <x:v>3</x:v>
      </x:c>
      <x:c r="S2244" s="11" t="n">
        <x:f>IF(D2244="Completed",L2244,0)</x:f>
        <x:v>0</x:v>
      </x:c>
      <x:c r="T2244" s="8" t="n">
        <x:f>DATE(YEAR(C2244),MONTH(C2244),1)</x:f>
        <x:v>45839</x:v>
      </x:c>
    </x:row>
    <x:row r="2245" ht="22" customHeight="1">
      <x:c r="A2245" s="2" t="str">
        <x:v>L002241</x:v>
      </x:c>
      <x:c r="B2245" s="2" t="str">
        <x:v>O00921</x:v>
      </x:c>
      <x:c r="C2245" s="7" t="n">
        <x:v>45853</x:v>
      </x:c>
      <x:c r="D2245" s="2" t="str">
        <x:v>Completed</x:v>
      </x:c>
      <x:c r="E2245" s="2" t="str">
        <x:v>South</x:v>
      </x:c>
      <x:c r="F2245" s="2" t="str">
        <x:v>Store</x:v>
      </x:c>
      <x:c r="G2245" s="2" t="str">
        <x:v>Furniture</x:v>
      </x:c>
      <x:c r="H2245" s="2" t="str">
        <x:v>Chair 018</x:v>
      </x:c>
      <x:c r="I2245" s="11" t="n">
        <x:v>4</x:v>
      </x:c>
      <x:c r="J2245" s="9" t="n">
        <x:v>269</x:v>
      </x:c>
      <x:c r="K2245" s="10" t="n">
        <x:v>0</x:v>
      </x:c>
      <x:c r="L2245" s="11" t="n">
        <x:v>0</x:v>
      </x:c>
      <x:c r="M2245" s="9" t="n">
        <x:f>IF(D2245="Completed",I2245*J2245,0)</x:f>
        <x:v>1076</x:v>
      </x:c>
      <x:c r="N2245" s="9" t="n">
        <x:f>M2245*K2245</x:f>
        <x:v>0</x:v>
      </x:c>
      <x:c r="O2245" s="9" t="n">
        <x:f>M2245-N2245</x:f>
        <x:v>1076</x:v>
      </x:c>
      <x:c r="P2245" s="9" t="n">
        <x:f>IF(D2245="Completed",L2245*J2245*(1-K2245),0)</x:f>
        <x:v>0</x:v>
      </x:c>
      <x:c r="Q2245" s="9" t="n">
        <x:f>O2245-P2245</x:f>
        <x:v>1076</x:v>
      </x:c>
      <x:c r="R2245" s="11" t="n">
        <x:f>IF(D2245="Completed",I2245,0)</x:f>
        <x:v>4</x:v>
      </x:c>
      <x:c r="S2245" s="11" t="n">
        <x:f>IF(D2245="Completed",L2245,0)</x:f>
        <x:v>0</x:v>
      </x:c>
      <x:c r="T2245" s="8" t="n">
        <x:f>DATE(YEAR(C2245),MONTH(C2245),1)</x:f>
        <x:v>45839</x:v>
      </x:c>
    </x:row>
    <x:row r="2246" ht="22" customHeight="1">
      <x:c r="A2246" s="2" t="str">
        <x:v>L002242</x:v>
      </x:c>
      <x:c r="B2246" s="2" t="str">
        <x:v>O00922</x:v>
      </x:c>
      <x:c r="C2246" s="7" t="n">
        <x:v>45822</x:v>
      </x:c>
      <x:c r="D2246" s="2" t="str">
        <x:v>Completed</x:v>
      </x:c>
      <x:c r="E2246" s="2" t="str">
        <x:v>North</x:v>
      </x:c>
      <x:c r="F2246" s="2" t="str">
        <x:v>Online</x:v>
      </x:c>
      <x:c r="G2246" s="2" t="str">
        <x:v>Lighting</x:v>
      </x:c>
      <x:c r="H2246" s="2" t="str">
        <x:v>Lamp 017</x:v>
      </x:c>
      <x:c r="I2246" s="11" t="n">
        <x:v>4</x:v>
      </x:c>
      <x:c r="J2246" s="9" t="n">
        <x:v>300</x:v>
      </x:c>
      <x:c r="K2246" s="10" t="n">
        <x:v>0.1</x:v>
      </x:c>
      <x:c r="L2246" s="11" t="n">
        <x:v>0</x:v>
      </x:c>
      <x:c r="M2246" s="9" t="n">
        <x:f>IF(D2246="Completed",I2246*J2246,0)</x:f>
        <x:v>1200</x:v>
      </x:c>
      <x:c r="N2246" s="9" t="n">
        <x:f>M2246*K2246</x:f>
        <x:v>120</x:v>
      </x:c>
      <x:c r="O2246" s="9" t="n">
        <x:f>M2246-N2246</x:f>
        <x:v>1080</x:v>
      </x:c>
      <x:c r="P2246" s="9" t="n">
        <x:f>IF(D2246="Completed",L2246*J2246*(1-K2246),0)</x:f>
        <x:v>0</x:v>
      </x:c>
      <x:c r="Q2246" s="9" t="n">
        <x:f>O2246-P2246</x:f>
        <x:v>1080</x:v>
      </x:c>
      <x:c r="R2246" s="11" t="n">
        <x:f>IF(D2246="Completed",I2246,0)</x:f>
        <x:v>4</x:v>
      </x:c>
      <x:c r="S2246" s="11" t="n">
        <x:f>IF(D2246="Completed",L2246,0)</x:f>
        <x:v>0</x:v>
      </x:c>
      <x:c r="T2246" s="8" t="n">
        <x:f>DATE(YEAR(C2246),MONTH(C2246),1)</x:f>
        <x:v>45809</x:v>
      </x:c>
    </x:row>
    <x:row r="2247" ht="22" customHeight="1">
      <x:c r="A2247" s="2" t="str">
        <x:v>L002243</x:v>
      </x:c>
      <x:c r="B2247" s="2" t="str">
        <x:v>O00922</x:v>
      </x:c>
      <x:c r="C2247" s="7" t="n">
        <x:v>45822</x:v>
      </x:c>
      <x:c r="D2247" s="2" t="str">
        <x:v>Completed</x:v>
      </x:c>
      <x:c r="E2247" s="2" t="str">
        <x:v>North</x:v>
      </x:c>
      <x:c r="F2247" s="2" t="str">
        <x:v>Online</x:v>
      </x:c>
      <x:c r="G2247" s="2" t="str">
        <x:v>Furniture</x:v>
      </x:c>
      <x:c r="H2247" s="2" t="str">
        <x:v>Desk 020</x:v>
      </x:c>
      <x:c r="I2247" s="11" t="n">
        <x:v>3</x:v>
      </x:c>
      <x:c r="J2247" s="9" t="n">
        <x:v>189</x:v>
      </x:c>
      <x:c r="K2247" s="10" t="n">
        <x:v>0</x:v>
      </x:c>
      <x:c r="L2247" s="11" t="n">
        <x:v>0</x:v>
      </x:c>
      <x:c r="M2247" s="9" t="n">
        <x:f>IF(D2247="Completed",I2247*J2247,0)</x:f>
        <x:v>567</x:v>
      </x:c>
      <x:c r="N2247" s="9" t="n">
        <x:f>M2247*K2247</x:f>
        <x:v>0</x:v>
      </x:c>
      <x:c r="O2247" s="9" t="n">
        <x:f>M2247-N2247</x:f>
        <x:v>567</x:v>
      </x:c>
      <x:c r="P2247" s="9" t="n">
        <x:f>IF(D2247="Completed",L2247*J2247*(1-K2247),0)</x:f>
        <x:v>0</x:v>
      </x:c>
      <x:c r="Q2247" s="9" t="n">
        <x:f>O2247-P2247</x:f>
        <x:v>567</x:v>
      </x:c>
      <x:c r="R2247" s="11" t="n">
        <x:f>IF(D2247="Completed",I2247,0)</x:f>
        <x:v>3</x:v>
      </x:c>
      <x:c r="S2247" s="11" t="n">
        <x:f>IF(D2247="Completed",L2247,0)</x:f>
        <x:v>0</x:v>
      </x:c>
      <x:c r="T2247" s="8" t="n">
        <x:f>DATE(YEAR(C2247),MONTH(C2247),1)</x:f>
        <x:v>45809</x:v>
      </x:c>
    </x:row>
    <x:row r="2248" ht="22" customHeight="1">
      <x:c r="A2248" s="2" t="str">
        <x:v>L002244</x:v>
      </x:c>
      <x:c r="B2248" s="2" t="str">
        <x:v>O00922</x:v>
      </x:c>
      <x:c r="C2248" s="7" t="n">
        <x:v>45822</x:v>
      </x:c>
      <x:c r="D2248" s="2" t="str">
        <x:v>Completed</x:v>
      </x:c>
      <x:c r="E2248" s="2" t="str">
        <x:v>North</x:v>
      </x:c>
      <x:c r="F2248" s="2" t="str">
        <x:v>Online</x:v>
      </x:c>
      <x:c r="G2248" s="2" t="str">
        <x:v>Furniture</x:v>
      </x:c>
      <x:c r="H2248" s="2" t="str">
        <x:v>Desk 008</x:v>
      </x:c>
      <x:c r="I2248" s="11" t="n">
        <x:v>1</x:v>
      </x:c>
      <x:c r="J2248" s="9" t="n">
        <x:v>188</x:v>
      </x:c>
      <x:c r="K2248" s="10" t="n">
        <x:v>0</x:v>
      </x:c>
      <x:c r="L2248" s="11" t="n">
        <x:v>0</x:v>
      </x:c>
      <x:c r="M2248" s="9" t="n">
        <x:f>IF(D2248="Completed",I2248*J2248,0)</x:f>
        <x:v>188</x:v>
      </x:c>
      <x:c r="N2248" s="9" t="n">
        <x:f>M2248*K2248</x:f>
        <x:v>0</x:v>
      </x:c>
      <x:c r="O2248" s="9" t="n">
        <x:f>M2248-N2248</x:f>
        <x:v>188</x:v>
      </x:c>
      <x:c r="P2248" s="9" t="n">
        <x:f>IF(D2248="Completed",L2248*J2248*(1-K2248),0)</x:f>
        <x:v>0</x:v>
      </x:c>
      <x:c r="Q2248" s="9" t="n">
        <x:f>O2248-P2248</x:f>
        <x:v>188</x:v>
      </x:c>
      <x:c r="R2248" s="11" t="n">
        <x:f>IF(D2248="Completed",I2248,0)</x:f>
        <x:v>1</x:v>
      </x:c>
      <x:c r="S2248" s="11" t="n">
        <x:f>IF(D2248="Completed",L2248,0)</x:f>
        <x:v>0</x:v>
      </x:c>
      <x:c r="T2248" s="8" t="n">
        <x:f>DATE(YEAR(C2248),MONTH(C2248),1)</x:f>
        <x:v>45809</x:v>
      </x:c>
    </x:row>
    <x:row r="2249" ht="22" customHeight="1">
      <x:c r="A2249" s="2" t="str">
        <x:v>L002245</x:v>
      </x:c>
      <x:c r="B2249" s="2" t="str">
        <x:v>O00923</x:v>
      </x:c>
      <x:c r="C2249" s="7" t="n">
        <x:v>45959</x:v>
      </x:c>
      <x:c r="D2249" s="2" t="str">
        <x:v>Completed</x:v>
      </x:c>
      <x:c r="E2249" s="2" t="str">
        <x:v>West</x:v>
      </x:c>
      <x:c r="F2249" s="2" t="str">
        <x:v>Store</x:v>
      </x:c>
      <x:c r="G2249" s="2" t="str">
        <x:v>Furniture</x:v>
      </x:c>
      <x:c r="H2249" s="2" t="str">
        <x:v>Chair 018</x:v>
      </x:c>
      <x:c r="I2249" s="11" t="n">
        <x:v>2</x:v>
      </x:c>
      <x:c r="J2249" s="9" t="n">
        <x:v>269</x:v>
      </x:c>
      <x:c r="K2249" s="10" t="n">
        <x:v>0.05</x:v>
      </x:c>
      <x:c r="L2249" s="11" t="n">
        <x:v>0</x:v>
      </x:c>
      <x:c r="M2249" s="9" t="n">
        <x:f>IF(D2249="Completed",I2249*J2249,0)</x:f>
        <x:v>538</x:v>
      </x:c>
      <x:c r="N2249" s="9" t="n">
        <x:f>M2249*K2249</x:f>
        <x:v>26.900000000000002</x:v>
      </x:c>
      <x:c r="O2249" s="9" t="n">
        <x:f>M2249-N2249</x:f>
        <x:v>511.1</x:v>
      </x:c>
      <x:c r="P2249" s="9" t="n">
        <x:f>IF(D2249="Completed",L2249*J2249*(1-K2249),0)</x:f>
        <x:v>0</x:v>
      </x:c>
      <x:c r="Q2249" s="9" t="n">
        <x:f>O2249-P2249</x:f>
        <x:v>511.1</x:v>
      </x:c>
      <x:c r="R2249" s="11" t="n">
        <x:f>IF(D2249="Completed",I2249,0)</x:f>
        <x:v>2</x:v>
      </x:c>
      <x:c r="S2249" s="11" t="n">
        <x:f>IF(D2249="Completed",L2249,0)</x:f>
        <x:v>0</x:v>
      </x:c>
      <x:c r="T2249" s="8" t="n">
        <x:f>DATE(YEAR(C2249),MONTH(C2249),1)</x:f>
        <x:v>45931</x:v>
      </x:c>
    </x:row>
    <x:row r="2250" ht="22" customHeight="1">
      <x:c r="A2250" s="2" t="str">
        <x:v>L002246</x:v>
      </x:c>
      <x:c r="B2250" s="2" t="str">
        <x:v>O00924</x:v>
      </x:c>
      <x:c r="C2250" s="7" t="n">
        <x:v>45968</x:v>
      </x:c>
      <x:c r="D2250" s="2" t="str">
        <x:v>Completed</x:v>
      </x:c>
      <x:c r="E2250" s="2" t="str">
        <x:v>South</x:v>
      </x:c>
      <x:c r="F2250" s="2" t="str">
        <x:v>Store</x:v>
      </x:c>
      <x:c r="G2250" s="2" t="str">
        <x:v>Furniture</x:v>
      </x:c>
      <x:c r="H2250" s="2" t="str">
        <x:v>Chair 002</x:v>
      </x:c>
      <x:c r="I2250" s="11" t="n">
        <x:v>4</x:v>
      </x:c>
      <x:c r="J2250" s="9" t="n">
        <x:v>284</x:v>
      </x:c>
      <x:c r="K2250" s="10" t="n">
        <x:v>0.2</x:v>
      </x:c>
      <x:c r="L2250" s="11" t="n">
        <x:v>0</x:v>
      </x:c>
      <x:c r="M2250" s="9" t="n">
        <x:f>IF(D2250="Completed",I2250*J2250,0)</x:f>
        <x:v>1136</x:v>
      </x:c>
      <x:c r="N2250" s="9" t="n">
        <x:f>M2250*K2250</x:f>
        <x:v>227.20000000000002</x:v>
      </x:c>
      <x:c r="O2250" s="9" t="n">
        <x:f>M2250-N2250</x:f>
        <x:v>908.8</x:v>
      </x:c>
      <x:c r="P2250" s="9" t="n">
        <x:f>IF(D2250="Completed",L2250*J2250*(1-K2250),0)</x:f>
        <x:v>0</x:v>
      </x:c>
      <x:c r="Q2250" s="9" t="n">
        <x:f>O2250-P2250</x:f>
        <x:v>908.8</x:v>
      </x:c>
      <x:c r="R2250" s="11" t="n">
        <x:f>IF(D2250="Completed",I2250,0)</x:f>
        <x:v>4</x:v>
      </x:c>
      <x:c r="S2250" s="11" t="n">
        <x:f>IF(D2250="Completed",L2250,0)</x:f>
        <x:v>0</x:v>
      </x:c>
      <x:c r="T2250" s="8" t="n">
        <x:f>DATE(YEAR(C2250),MONTH(C2250),1)</x:f>
        <x:v>45962</x:v>
      </x:c>
    </x:row>
    <x:row r="2251" ht="22" customHeight="1">
      <x:c r="A2251" s="2" t="str">
        <x:v>L002247</x:v>
      </x:c>
      <x:c r="B2251" s="2" t="str">
        <x:v>O00925</x:v>
      </x:c>
      <x:c r="C2251" s="7" t="n">
        <x:v>45740</x:v>
      </x:c>
      <x:c r="D2251" s="2" t="str">
        <x:v>Completed</x:v>
      </x:c>
      <x:c r="E2251" s="2" t="str">
        <x:v>South</x:v>
      </x:c>
      <x:c r="F2251" s="2" t="str">
        <x:v>Store</x:v>
      </x:c>
      <x:c r="G2251" s="2" t="str">
        <x:v>Furniture</x:v>
      </x:c>
      <x:c r="H2251" s="2" t="str">
        <x:v>Desk 004</x:v>
      </x:c>
      <x:c r="I2251" s="11" t="n">
        <x:v>3</x:v>
      </x:c>
      <x:c r="J2251" s="9" t="n">
        <x:v>123</x:v>
      </x:c>
      <x:c r="K2251" s="10" t="n">
        <x:v>0.05</x:v>
      </x:c>
      <x:c r="L2251" s="11" t="n">
        <x:v>0</x:v>
      </x:c>
      <x:c r="M2251" s="9" t="n">
        <x:f>IF(D2251="Completed",I2251*J2251,0)</x:f>
        <x:v>369</x:v>
      </x:c>
      <x:c r="N2251" s="9" t="n">
        <x:f>M2251*K2251</x:f>
        <x:v>18.45</x:v>
      </x:c>
      <x:c r="O2251" s="9" t="n">
        <x:f>M2251-N2251</x:f>
        <x:v>350.55</x:v>
      </x:c>
      <x:c r="P2251" s="9" t="n">
        <x:f>IF(D2251="Completed",L2251*J2251*(1-K2251),0)</x:f>
        <x:v>0</x:v>
      </x:c>
      <x:c r="Q2251" s="9" t="n">
        <x:f>O2251-P2251</x:f>
        <x:v>350.55</x:v>
      </x:c>
      <x:c r="R2251" s="11" t="n">
        <x:f>IF(D2251="Completed",I2251,0)</x:f>
        <x:v>3</x:v>
      </x:c>
      <x:c r="S2251" s="11" t="n">
        <x:f>IF(D2251="Completed",L2251,0)</x:f>
        <x:v>0</x:v>
      </x:c>
      <x:c r="T2251" s="8" t="n">
        <x:f>DATE(YEAR(C2251),MONTH(C2251),1)</x:f>
        <x:v>45717</x:v>
      </x:c>
    </x:row>
    <x:row r="2252" ht="22" customHeight="1">
      <x:c r="A2252" s="2" t="str">
        <x:v>L002248</x:v>
      </x:c>
      <x:c r="B2252" s="2" t="str">
        <x:v>O00925</x:v>
      </x:c>
      <x:c r="C2252" s="7" t="n">
        <x:v>45740</x:v>
      </x:c>
      <x:c r="D2252" s="2" t="str">
        <x:v>Completed</x:v>
      </x:c>
      <x:c r="E2252" s="2" t="str">
        <x:v>South</x:v>
      </x:c>
      <x:c r="F2252" s="2" t="str">
        <x:v>Store</x:v>
      </x:c>
      <x:c r="G2252" s="2" t="str">
        <x:v>Furniture</x:v>
      </x:c>
      <x:c r="H2252" s="2" t="str">
        <x:v>Chair 022</x:v>
      </x:c>
      <x:c r="I2252" s="11" t="n">
        <x:v>1</x:v>
      </x:c>
      <x:c r="J2252" s="9" t="n">
        <x:v>134</x:v>
      </x:c>
      <x:c r="K2252" s="10" t="n">
        <x:v>0.2</x:v>
      </x:c>
      <x:c r="L2252" s="11" t="n">
        <x:v>0</x:v>
      </x:c>
      <x:c r="M2252" s="9" t="n">
        <x:f>IF(D2252="Completed",I2252*J2252,0)</x:f>
        <x:v>134</x:v>
      </x:c>
      <x:c r="N2252" s="9" t="n">
        <x:f>M2252*K2252</x:f>
        <x:v>26.8</x:v>
      </x:c>
      <x:c r="O2252" s="9" t="n">
        <x:f>M2252-N2252</x:f>
        <x:v>107.2</x:v>
      </x:c>
      <x:c r="P2252" s="9" t="n">
        <x:f>IF(D2252="Completed",L2252*J2252*(1-K2252),0)</x:f>
        <x:v>0</x:v>
      </x:c>
      <x:c r="Q2252" s="9" t="n">
        <x:f>O2252-P2252</x:f>
        <x:v>107.2</x:v>
      </x:c>
      <x:c r="R2252" s="11" t="n">
        <x:f>IF(D2252="Completed",I2252,0)</x:f>
        <x:v>1</x:v>
      </x:c>
      <x:c r="S2252" s="11" t="n">
        <x:f>IF(D2252="Completed",L2252,0)</x:f>
        <x:v>0</x:v>
      </x:c>
      <x:c r="T2252" s="8" t="n">
        <x:f>DATE(YEAR(C2252),MONTH(C2252),1)</x:f>
        <x:v>45717</x:v>
      </x:c>
    </x:row>
    <x:row r="2253" ht="22" customHeight="1">
      <x:c r="A2253" s="2" t="str">
        <x:v>L002249</x:v>
      </x:c>
      <x:c r="B2253" s="2" t="str">
        <x:v>O00925</x:v>
      </x:c>
      <x:c r="C2253" s="7" t="n">
        <x:v>45740</x:v>
      </x:c>
      <x:c r="D2253" s="2" t="str">
        <x:v>Completed</x:v>
      </x:c>
      <x:c r="E2253" s="2" t="str">
        <x:v>South</x:v>
      </x:c>
      <x:c r="F2253" s="2" t="str">
        <x:v>Store</x:v>
      </x:c>
      <x:c r="G2253" s="2" t="str">
        <x:v>Lighting</x:v>
      </x:c>
      <x:c r="H2253" s="2" t="str">
        <x:v>Lamp 001</x:v>
      </x:c>
      <x:c r="I2253" s="11" t="n">
        <x:v>4</x:v>
      </x:c>
      <x:c r="J2253" s="9" t="n">
        <x:v>122</x:v>
      </x:c>
      <x:c r="K2253" s="10" t="n">
        <x:v>0</x:v>
      </x:c>
      <x:c r="L2253" s="11" t="n">
        <x:v>0</x:v>
      </x:c>
      <x:c r="M2253" s="9" t="n">
        <x:f>IF(D2253="Completed",I2253*J2253,0)</x:f>
        <x:v>488</x:v>
      </x:c>
      <x:c r="N2253" s="9" t="n">
        <x:f>M2253*K2253</x:f>
        <x:v>0</x:v>
      </x:c>
      <x:c r="O2253" s="9" t="n">
        <x:f>M2253-N2253</x:f>
        <x:v>488</x:v>
      </x:c>
      <x:c r="P2253" s="9" t="n">
        <x:f>IF(D2253="Completed",L2253*J2253*(1-K2253),0)</x:f>
        <x:v>0</x:v>
      </x:c>
      <x:c r="Q2253" s="9" t="n">
        <x:f>O2253-P2253</x:f>
        <x:v>488</x:v>
      </x:c>
      <x:c r="R2253" s="11" t="n">
        <x:f>IF(D2253="Completed",I2253,0)</x:f>
        <x:v>4</x:v>
      </x:c>
      <x:c r="S2253" s="11" t="n">
        <x:f>IF(D2253="Completed",L2253,0)</x:f>
        <x:v>0</x:v>
      </x:c>
      <x:c r="T2253" s="8" t="n">
        <x:f>DATE(YEAR(C2253),MONTH(C2253),1)</x:f>
        <x:v>45717</x:v>
      </x:c>
    </x:row>
    <x:row r="2254" ht="22" customHeight="1">
      <x:c r="A2254" s="2" t="str">
        <x:v>L002250</x:v>
      </x:c>
      <x:c r="B2254" s="2" t="str">
        <x:v>O00925</x:v>
      </x:c>
      <x:c r="C2254" s="7" t="n">
        <x:v>45740</x:v>
      </x:c>
      <x:c r="D2254" s="2" t="str">
        <x:v>Completed</x:v>
      </x:c>
      <x:c r="E2254" s="2" t="str">
        <x:v>South</x:v>
      </x:c>
      <x:c r="F2254" s="2" t="str">
        <x:v>Store</x:v>
      </x:c>
      <x:c r="G2254" s="2" t="str">
        <x:v>Lighting</x:v>
      </x:c>
      <x:c r="H2254" s="2" t="str">
        <x:v>Lamp 005</x:v>
      </x:c>
      <x:c r="I2254" s="11" t="n">
        <x:v>5</x:v>
      </x:c>
      <x:c r="J2254" s="9" t="n">
        <x:v>65</x:v>
      </x:c>
      <x:c r="K2254" s="10" t="n">
        <x:v>0.05</x:v>
      </x:c>
      <x:c r="L2254" s="11" t="n">
        <x:v>0</x:v>
      </x:c>
      <x:c r="M2254" s="9" t="n">
        <x:f>IF(D2254="Completed",I2254*J2254,0)</x:f>
        <x:v>325</x:v>
      </x:c>
      <x:c r="N2254" s="9" t="n">
        <x:f>M2254*K2254</x:f>
        <x:v>16.25</x:v>
      </x:c>
      <x:c r="O2254" s="9" t="n">
        <x:f>M2254-N2254</x:f>
        <x:v>308.75</x:v>
      </x:c>
      <x:c r="P2254" s="9" t="n">
        <x:f>IF(D2254="Completed",L2254*J2254*(1-K2254),0)</x:f>
        <x:v>0</x:v>
      </x:c>
      <x:c r="Q2254" s="9" t="n">
        <x:f>O2254-P2254</x:f>
        <x:v>308.75</x:v>
      </x:c>
      <x:c r="R2254" s="11" t="n">
        <x:f>IF(D2254="Completed",I2254,0)</x:f>
        <x:v>5</x:v>
      </x:c>
      <x:c r="S2254" s="11" t="n">
        <x:f>IF(D2254="Completed",L2254,0)</x:f>
        <x:v>0</x:v>
      </x:c>
      <x:c r="T2254" s="8" t="n">
        <x:f>DATE(YEAR(C2254),MONTH(C2254),1)</x:f>
        <x:v>45717</x:v>
      </x:c>
    </x:row>
    <x:row r="2255" ht="22" customHeight="1">
      <x:c r="A2255" s="2" t="str">
        <x:v>L002251</x:v>
      </x:c>
      <x:c r="B2255" s="2" t="str">
        <x:v>O00926</x:v>
      </x:c>
      <x:c r="C2255" s="7" t="n">
        <x:v>45717</x:v>
      </x:c>
      <x:c r="D2255" s="2" t="str">
        <x:v>Cancelled</x:v>
      </x:c>
      <x:c r="E2255" s="2" t="str">
        <x:v>West</x:v>
      </x:c>
      <x:c r="F2255" s="2" t="str">
        <x:v>Online</x:v>
      </x:c>
      <x:c r="G2255" s="2" t="str">
        <x:v>Furniture</x:v>
      </x:c>
      <x:c r="H2255" s="2" t="str">
        <x:v>Chair 022</x:v>
      </x:c>
      <x:c r="I2255" s="11" t="n">
        <x:v>5</x:v>
      </x:c>
      <x:c r="J2255" s="9" t="n">
        <x:v>134</x:v>
      </x:c>
      <x:c r="K2255" s="10" t="n">
        <x:v>0.2</x:v>
      </x:c>
      <x:c r="L2255" s="11" t="n">
        <x:v>0</x:v>
      </x:c>
      <x:c r="M2255" s="9" t="n">
        <x:f>IF(D2255="Completed",I2255*J2255,0)</x:f>
        <x:v>0</x:v>
      </x:c>
      <x:c r="N2255" s="9" t="n">
        <x:f>M2255*K2255</x:f>
        <x:v>0</x:v>
      </x:c>
      <x:c r="O2255" s="9" t="n">
        <x:f>M2255-N2255</x:f>
        <x:v>0</x:v>
      </x:c>
      <x:c r="P2255" s="9" t="n">
        <x:f>IF(D2255="Completed",L2255*J2255*(1-K2255),0)</x:f>
        <x:v>0</x:v>
      </x:c>
      <x:c r="Q2255" s="9" t="n">
        <x:f>O2255-P2255</x:f>
        <x:v>0</x:v>
      </x:c>
      <x:c r="R2255" s="11" t="n">
        <x:f>IF(D2255="Completed",I2255,0)</x:f>
        <x:v>0</x:v>
      </x:c>
      <x:c r="S2255" s="11" t="n">
        <x:f>IF(D2255="Completed",L2255,0)</x:f>
        <x:v>0</x:v>
      </x:c>
      <x:c r="T2255" s="8" t="n">
        <x:f>DATE(YEAR(C2255),MONTH(C2255),1)</x:f>
        <x:v>45717</x:v>
      </x:c>
    </x:row>
    <x:row r="2256" ht="22" customHeight="1">
      <x:c r="A2256" s="2" t="str">
        <x:v>L002252</x:v>
      </x:c>
      <x:c r="B2256" s="2" t="str">
        <x:v>O00926</x:v>
      </x:c>
      <x:c r="C2256" s="7" t="n">
        <x:v>45717</x:v>
      </x:c>
      <x:c r="D2256" s="2" t="str">
        <x:v>Cancelled</x:v>
      </x:c>
      <x:c r="E2256" s="2" t="str">
        <x:v>West</x:v>
      </x:c>
      <x:c r="F2256" s="2" t="str">
        <x:v>Online</x:v>
      </x:c>
      <x:c r="G2256" s="2" t="str">
        <x:v>Furniture</x:v>
      </x:c>
      <x:c r="H2256" s="2" t="str">
        <x:v>Desk 012</x:v>
      </x:c>
      <x:c r="I2256" s="11" t="n">
        <x:v>2</x:v>
      </x:c>
      <x:c r="J2256" s="9" t="n">
        <x:v>134</x:v>
      </x:c>
      <x:c r="K2256" s="10" t="n">
        <x:v>0.2</x:v>
      </x:c>
      <x:c r="L2256" s="11" t="n">
        <x:v>0</x:v>
      </x:c>
      <x:c r="M2256" s="9" t="n">
        <x:f>IF(D2256="Completed",I2256*J2256,0)</x:f>
        <x:v>0</x:v>
      </x:c>
      <x:c r="N2256" s="9" t="n">
        <x:f>M2256*K2256</x:f>
        <x:v>0</x:v>
      </x:c>
      <x:c r="O2256" s="9" t="n">
        <x:f>M2256-N2256</x:f>
        <x:v>0</x:v>
      </x:c>
      <x:c r="P2256" s="9" t="n">
        <x:f>IF(D2256="Completed",L2256*J2256*(1-K2256),0)</x:f>
        <x:v>0</x:v>
      </x:c>
      <x:c r="Q2256" s="9" t="n">
        <x:f>O2256-P2256</x:f>
        <x:v>0</x:v>
      </x:c>
      <x:c r="R2256" s="11" t="n">
        <x:f>IF(D2256="Completed",I2256,0)</x:f>
        <x:v>0</x:v>
      </x:c>
      <x:c r="S2256" s="11" t="n">
        <x:f>IF(D2256="Completed",L2256,0)</x:f>
        <x:v>0</x:v>
      </x:c>
      <x:c r="T2256" s="8" t="n">
        <x:f>DATE(YEAR(C2256),MONTH(C2256),1)</x:f>
        <x:v>45717</x:v>
      </x:c>
    </x:row>
    <x:row r="2257" ht="22" customHeight="1">
      <x:c r="A2257" s="2" t="str">
        <x:v>L002253</x:v>
      </x:c>
      <x:c r="B2257" s="2" t="str">
        <x:v>O00927</x:v>
      </x:c>
      <x:c r="C2257" s="7" t="n">
        <x:v>45660</x:v>
      </x:c>
      <x:c r="D2257" s="2" t="str">
        <x:v>Completed</x:v>
      </x:c>
      <x:c r="E2257" s="2" t="str">
        <x:v>North</x:v>
      </x:c>
      <x:c r="F2257" s="2" t="str">
        <x:v>Online</x:v>
      </x:c>
      <x:c r="G2257" s="2" t="str">
        <x:v>Lighting</x:v>
      </x:c>
      <x:c r="H2257" s="2" t="str">
        <x:v>Lamp 021</x:v>
      </x:c>
      <x:c r="I2257" s="11" t="n">
        <x:v>4</x:v>
      </x:c>
      <x:c r="J2257" s="9" t="n">
        <x:v>249</x:v>
      </x:c>
      <x:c r="K2257" s="10" t="n">
        <x:v>0.05</x:v>
      </x:c>
      <x:c r="L2257" s="11" t="n">
        <x:v>0</x:v>
      </x:c>
      <x:c r="M2257" s="9" t="n">
        <x:f>IF(D2257="Completed",I2257*J2257,0)</x:f>
        <x:v>996</x:v>
      </x:c>
      <x:c r="N2257" s="9" t="n">
        <x:f>M2257*K2257</x:f>
        <x:v>49.800000000000004</x:v>
      </x:c>
      <x:c r="O2257" s="9" t="n">
        <x:f>M2257-N2257</x:f>
        <x:v>946.2</x:v>
      </x:c>
      <x:c r="P2257" s="9" t="n">
        <x:f>IF(D2257="Completed",L2257*J2257*(1-K2257),0)</x:f>
        <x:v>0</x:v>
      </x:c>
      <x:c r="Q2257" s="9" t="n">
        <x:f>O2257-P2257</x:f>
        <x:v>946.2</x:v>
      </x:c>
      <x:c r="R2257" s="11" t="n">
        <x:f>IF(D2257="Completed",I2257,0)</x:f>
        <x:v>4</x:v>
      </x:c>
      <x:c r="S2257" s="11" t="n">
        <x:f>IF(D2257="Completed",L2257,0)</x:f>
        <x:v>0</x:v>
      </x:c>
      <x:c r="T2257" s="8" t="n">
        <x:f>DATE(YEAR(C2257),MONTH(C2257),1)</x:f>
        <x:v>45658</x:v>
      </x:c>
    </x:row>
    <x:row r="2258" ht="22" customHeight="1">
      <x:c r="A2258" s="2" t="str">
        <x:v>L002254</x:v>
      </x:c>
      <x:c r="B2258" s="2" t="str">
        <x:v>O00927</x:v>
      </x:c>
      <x:c r="C2258" s="7" t="n">
        <x:v>45660</x:v>
      </x:c>
      <x:c r="D2258" s="2" t="str">
        <x:v>Completed</x:v>
      </x:c>
      <x:c r="E2258" s="2" t="str">
        <x:v>North</x:v>
      </x:c>
      <x:c r="F2258" s="2" t="str">
        <x:v>Online</x:v>
      </x:c>
      <x:c r="G2258" s="2" t="str">
        <x:v>Lighting</x:v>
      </x:c>
      <x:c r="H2258" s="2" t="str">
        <x:v>Lamp 017</x:v>
      </x:c>
      <x:c r="I2258" s="11" t="n">
        <x:v>1</x:v>
      </x:c>
      <x:c r="J2258" s="9" t="n">
        <x:v>300</x:v>
      </x:c>
      <x:c r="K2258" s="10" t="n">
        <x:v>0.05</x:v>
      </x:c>
      <x:c r="L2258" s="11" t="n">
        <x:v>0</x:v>
      </x:c>
      <x:c r="M2258" s="9" t="n">
        <x:f>IF(D2258="Completed",I2258*J2258,0)</x:f>
        <x:v>300</x:v>
      </x:c>
      <x:c r="N2258" s="9" t="n">
        <x:f>M2258*K2258</x:f>
        <x:v>15</x:v>
      </x:c>
      <x:c r="O2258" s="9" t="n">
        <x:f>M2258-N2258</x:f>
        <x:v>285</x:v>
      </x:c>
      <x:c r="P2258" s="9" t="n">
        <x:f>IF(D2258="Completed",L2258*J2258*(1-K2258),0)</x:f>
        <x:v>0</x:v>
      </x:c>
      <x:c r="Q2258" s="9" t="n">
        <x:f>O2258-P2258</x:f>
        <x:v>285</x:v>
      </x:c>
      <x:c r="R2258" s="11" t="n">
        <x:f>IF(D2258="Completed",I2258,0)</x:f>
        <x:v>1</x:v>
      </x:c>
      <x:c r="S2258" s="11" t="n">
        <x:f>IF(D2258="Completed",L2258,0)</x:f>
        <x:v>0</x:v>
      </x:c>
      <x:c r="T2258" s="8" t="n">
        <x:f>DATE(YEAR(C2258),MONTH(C2258),1)</x:f>
        <x:v>45658</x:v>
      </x:c>
    </x:row>
    <x:row r="2259" ht="22" customHeight="1">
      <x:c r="A2259" s="2" t="str">
        <x:v>L002255</x:v>
      </x:c>
      <x:c r="B2259" s="2" t="str">
        <x:v>O00927</x:v>
      </x:c>
      <x:c r="C2259" s="7" t="n">
        <x:v>45660</x:v>
      </x:c>
      <x:c r="D2259" s="2" t="str">
        <x:v>Completed</x:v>
      </x:c>
      <x:c r="E2259" s="2" t="str">
        <x:v>North</x:v>
      </x:c>
      <x:c r="F2259" s="2" t="str">
        <x:v>Online</x:v>
      </x:c>
      <x:c r="G2259" s="2" t="str">
        <x:v>Furniture</x:v>
      </x:c>
      <x:c r="H2259" s="2" t="str">
        <x:v>Chair 006</x:v>
      </x:c>
      <x:c r="I2259" s="11" t="n">
        <x:v>1</x:v>
      </x:c>
      <x:c r="J2259" s="9" t="n">
        <x:v>196</x:v>
      </x:c>
      <x:c r="K2259" s="10" t="n">
        <x:v>0.2</x:v>
      </x:c>
      <x:c r="L2259" s="11" t="n">
        <x:v>0</x:v>
      </x:c>
      <x:c r="M2259" s="9" t="n">
        <x:f>IF(D2259="Completed",I2259*J2259,0)</x:f>
        <x:v>196</x:v>
      </x:c>
      <x:c r="N2259" s="9" t="n">
        <x:f>M2259*K2259</x:f>
        <x:v>39.2</x:v>
      </x:c>
      <x:c r="O2259" s="9" t="n">
        <x:f>M2259-N2259</x:f>
        <x:v>156.8</x:v>
      </x:c>
      <x:c r="P2259" s="9" t="n">
        <x:f>IF(D2259="Completed",L2259*J2259*(1-K2259),0)</x:f>
        <x:v>0</x:v>
      </x:c>
      <x:c r="Q2259" s="9" t="n">
        <x:f>O2259-P2259</x:f>
        <x:v>156.8</x:v>
      </x:c>
      <x:c r="R2259" s="11" t="n">
        <x:f>IF(D2259="Completed",I2259,0)</x:f>
        <x:v>1</x:v>
      </x:c>
      <x:c r="S2259" s="11" t="n">
        <x:f>IF(D2259="Completed",L2259,0)</x:f>
        <x:v>0</x:v>
      </x:c>
      <x:c r="T2259" s="8" t="n">
        <x:f>DATE(YEAR(C2259),MONTH(C2259),1)</x:f>
        <x:v>45658</x:v>
      </x:c>
    </x:row>
    <x:row r="2260" ht="22" customHeight="1">
      <x:c r="A2260" s="2" t="str">
        <x:v>L002256</x:v>
      </x:c>
      <x:c r="B2260" s="2" t="str">
        <x:v>O00928</x:v>
      </x:c>
      <x:c r="C2260" s="7" t="n">
        <x:v>45663</x:v>
      </x:c>
      <x:c r="D2260" s="2" t="str">
        <x:v>Completed</x:v>
      </x:c>
      <x:c r="E2260" s="2" t="str">
        <x:v>North</x:v>
      </x:c>
      <x:c r="F2260" s="2" t="str">
        <x:v>Store</x:v>
      </x:c>
      <x:c r="G2260" s="2" t="str">
        <x:v>Lighting</x:v>
      </x:c>
      <x:c r="H2260" s="2" t="str">
        <x:v>Lamp 009</x:v>
      </x:c>
      <x:c r="I2260" s="11" t="n">
        <x:v>3</x:v>
      </x:c>
      <x:c r="J2260" s="9" t="n">
        <x:v>93</x:v>
      </x:c>
      <x:c r="K2260" s="10" t="n">
        <x:v>0</x:v>
      </x:c>
      <x:c r="L2260" s="11" t="n">
        <x:v>0</x:v>
      </x:c>
      <x:c r="M2260" s="9" t="n">
        <x:f>IF(D2260="Completed",I2260*J2260,0)</x:f>
        <x:v>279</x:v>
      </x:c>
      <x:c r="N2260" s="9" t="n">
        <x:f>M2260*K2260</x:f>
        <x:v>0</x:v>
      </x:c>
      <x:c r="O2260" s="9" t="n">
        <x:f>M2260-N2260</x:f>
        <x:v>279</x:v>
      </x:c>
      <x:c r="P2260" s="9" t="n">
        <x:f>IF(D2260="Completed",L2260*J2260*(1-K2260),0)</x:f>
        <x:v>0</x:v>
      </x:c>
      <x:c r="Q2260" s="9" t="n">
        <x:f>O2260-P2260</x:f>
        <x:v>279</x:v>
      </x:c>
      <x:c r="R2260" s="11" t="n">
        <x:f>IF(D2260="Completed",I2260,0)</x:f>
        <x:v>3</x:v>
      </x:c>
      <x:c r="S2260" s="11" t="n">
        <x:f>IF(D2260="Completed",L2260,0)</x:f>
        <x:v>0</x:v>
      </x:c>
      <x:c r="T2260" s="8" t="n">
        <x:f>DATE(YEAR(C2260),MONTH(C2260),1)</x:f>
        <x:v>45658</x:v>
      </x:c>
    </x:row>
    <x:row r="2261" ht="22" customHeight="1">
      <x:c r="A2261" s="2" t="str">
        <x:v>L002257</x:v>
      </x:c>
      <x:c r="B2261" s="2" t="str">
        <x:v>O00928</x:v>
      </x:c>
      <x:c r="C2261" s="7" t="n">
        <x:v>45663</x:v>
      </x:c>
      <x:c r="D2261" s="2" t="str">
        <x:v>Completed</x:v>
      </x:c>
      <x:c r="E2261" s="2" t="str">
        <x:v>North</x:v>
      </x:c>
      <x:c r="F2261" s="2" t="str">
        <x:v>Store</x:v>
      </x:c>
      <x:c r="G2261" s="2" t="str">
        <x:v>Furniture</x:v>
      </x:c>
      <x:c r="H2261" s="2" t="str">
        <x:v>Desk 004</x:v>
      </x:c>
      <x:c r="I2261" s="11" t="n">
        <x:v>3</x:v>
      </x:c>
      <x:c r="J2261" s="9" t="n">
        <x:v>123</x:v>
      </x:c>
      <x:c r="K2261" s="10" t="n">
        <x:v>0</x:v>
      </x:c>
      <x:c r="L2261" s="11" t="n">
        <x:v>0</x:v>
      </x:c>
      <x:c r="M2261" s="9" t="n">
        <x:f>IF(D2261="Completed",I2261*J2261,0)</x:f>
        <x:v>369</x:v>
      </x:c>
      <x:c r="N2261" s="9" t="n">
        <x:f>M2261*K2261</x:f>
        <x:v>0</x:v>
      </x:c>
      <x:c r="O2261" s="9" t="n">
        <x:f>M2261-N2261</x:f>
        <x:v>369</x:v>
      </x:c>
      <x:c r="P2261" s="9" t="n">
        <x:f>IF(D2261="Completed",L2261*J2261*(1-K2261),0)</x:f>
        <x:v>0</x:v>
      </x:c>
      <x:c r="Q2261" s="9" t="n">
        <x:f>O2261-P2261</x:f>
        <x:v>369</x:v>
      </x:c>
      <x:c r="R2261" s="11" t="n">
        <x:f>IF(D2261="Completed",I2261,0)</x:f>
        <x:v>3</x:v>
      </x:c>
      <x:c r="S2261" s="11" t="n">
        <x:f>IF(D2261="Completed",L2261,0)</x:f>
        <x:v>0</x:v>
      </x:c>
      <x:c r="T2261" s="8" t="n">
        <x:f>DATE(YEAR(C2261),MONTH(C2261),1)</x:f>
        <x:v>45658</x:v>
      </x:c>
    </x:row>
    <x:row r="2262" ht="22" customHeight="1">
      <x:c r="A2262" s="2" t="str">
        <x:v>L002258</x:v>
      </x:c>
      <x:c r="B2262" s="2" t="str">
        <x:v>O00928</x:v>
      </x:c>
      <x:c r="C2262" s="7" t="n">
        <x:v>45663</x:v>
      </x:c>
      <x:c r="D2262" s="2" t="str">
        <x:v>Completed</x:v>
      </x:c>
      <x:c r="E2262" s="2" t="str">
        <x:v>North</x:v>
      </x:c>
      <x:c r="F2262" s="2" t="str">
        <x:v>Store</x:v>
      </x:c>
      <x:c r="G2262" s="2" t="str">
        <x:v>Storage</x:v>
      </x:c>
      <x:c r="H2262" s="2" t="str">
        <x:v>Shelf 023</x:v>
      </x:c>
      <x:c r="I2262" s="11" t="n">
        <x:v>5</x:v>
      </x:c>
      <x:c r="J2262" s="9" t="n">
        <x:v>68</x:v>
      </x:c>
      <x:c r="K2262" s="10" t="n">
        <x:v>0.2</x:v>
      </x:c>
      <x:c r="L2262" s="11" t="n">
        <x:v>0</x:v>
      </x:c>
      <x:c r="M2262" s="9" t="n">
        <x:f>IF(D2262="Completed",I2262*J2262,0)</x:f>
        <x:v>340</x:v>
      </x:c>
      <x:c r="N2262" s="9" t="n">
        <x:f>M2262*K2262</x:f>
        <x:v>68</x:v>
      </x:c>
      <x:c r="O2262" s="9" t="n">
        <x:f>M2262-N2262</x:f>
        <x:v>272</x:v>
      </x:c>
      <x:c r="P2262" s="9" t="n">
        <x:f>IF(D2262="Completed",L2262*J2262*(1-K2262),0)</x:f>
        <x:v>0</x:v>
      </x:c>
      <x:c r="Q2262" s="9" t="n">
        <x:f>O2262-P2262</x:f>
        <x:v>272</x:v>
      </x:c>
      <x:c r="R2262" s="11" t="n">
        <x:f>IF(D2262="Completed",I2262,0)</x:f>
        <x:v>5</x:v>
      </x:c>
      <x:c r="S2262" s="11" t="n">
        <x:f>IF(D2262="Completed",L2262,0)</x:f>
        <x:v>0</x:v>
      </x:c>
      <x:c r="T2262" s="8" t="n">
        <x:f>DATE(YEAR(C2262),MONTH(C2262),1)</x:f>
        <x:v>45658</x:v>
      </x:c>
    </x:row>
    <x:row r="2263" ht="22" customHeight="1">
      <x:c r="A2263" s="2" t="str">
        <x:v>L002259</x:v>
      </x:c>
      <x:c r="B2263" s="2" t="str">
        <x:v>O00929</x:v>
      </x:c>
      <x:c r="C2263" s="7" t="n">
        <x:v>45833</x:v>
      </x:c>
      <x:c r="D2263" s="2" t="str">
        <x:v>Completed</x:v>
      </x:c>
      <x:c r="E2263" s="2" t="str">
        <x:v>South</x:v>
      </x:c>
      <x:c r="F2263" s="2" t="str">
        <x:v>Online</x:v>
      </x:c>
      <x:c r="G2263" s="2" t="str">
        <x:v>Storage</x:v>
      </x:c>
      <x:c r="H2263" s="2" t="str">
        <x:v>Shelf 023</x:v>
      </x:c>
      <x:c r="I2263" s="11" t="n">
        <x:v>3</x:v>
      </x:c>
      <x:c r="J2263" s="9" t="n">
        <x:v>68</x:v>
      </x:c>
      <x:c r="K2263" s="10" t="n">
        <x:v>0.05</x:v>
      </x:c>
      <x:c r="L2263" s="11" t="n">
        <x:v>0</x:v>
      </x:c>
      <x:c r="M2263" s="9" t="n">
        <x:f>IF(D2263="Completed",I2263*J2263,0)</x:f>
        <x:v>204</x:v>
      </x:c>
      <x:c r="N2263" s="9" t="n">
        <x:f>M2263*K2263</x:f>
        <x:v>10.200000000000001</x:v>
      </x:c>
      <x:c r="O2263" s="9" t="n">
        <x:f>M2263-N2263</x:f>
        <x:v>193.8</x:v>
      </x:c>
      <x:c r="P2263" s="9" t="n">
        <x:f>IF(D2263="Completed",L2263*J2263*(1-K2263),0)</x:f>
        <x:v>0</x:v>
      </x:c>
      <x:c r="Q2263" s="9" t="n">
        <x:f>O2263-P2263</x:f>
        <x:v>193.8</x:v>
      </x:c>
      <x:c r="R2263" s="11" t="n">
        <x:f>IF(D2263="Completed",I2263,0)</x:f>
        <x:v>3</x:v>
      </x:c>
      <x:c r="S2263" s="11" t="n">
        <x:f>IF(D2263="Completed",L2263,0)</x:f>
        <x:v>0</x:v>
      </x:c>
      <x:c r="T2263" s="8" t="n">
        <x:f>DATE(YEAR(C2263),MONTH(C2263),1)</x:f>
        <x:v>45809</x:v>
      </x:c>
    </x:row>
    <x:row r="2264" ht="22" customHeight="1">
      <x:c r="A2264" s="2" t="str">
        <x:v>L002260</x:v>
      </x:c>
      <x:c r="B2264" s="2" t="str">
        <x:v>O00930</x:v>
      </x:c>
      <x:c r="C2264" s="7" t="n">
        <x:v>45961</x:v>
      </x:c>
      <x:c r="D2264" s="2" t="str">
        <x:v>Completed</x:v>
      </x:c>
      <x:c r="E2264" s="2" t="str">
        <x:v>West</x:v>
      </x:c>
      <x:c r="F2264" s="2" t="str">
        <x:v>Store</x:v>
      </x:c>
      <x:c r="G2264" s="2" t="str">
        <x:v>Furniture</x:v>
      </x:c>
      <x:c r="H2264" s="2" t="str">
        <x:v>Desk 020</x:v>
      </x:c>
      <x:c r="I2264" s="11" t="n">
        <x:v>2</x:v>
      </x:c>
      <x:c r="J2264" s="9" t="n">
        <x:v>189</x:v>
      </x:c>
      <x:c r="K2264" s="10" t="n">
        <x:v>0</x:v>
      </x:c>
      <x:c r="L2264" s="11" t="n">
        <x:v>0</x:v>
      </x:c>
      <x:c r="M2264" s="9" t="n">
        <x:f>IF(D2264="Completed",I2264*J2264,0)</x:f>
        <x:v>378</x:v>
      </x:c>
      <x:c r="N2264" s="9" t="n">
        <x:f>M2264*K2264</x:f>
        <x:v>0</x:v>
      </x:c>
      <x:c r="O2264" s="9" t="n">
        <x:f>M2264-N2264</x:f>
        <x:v>378</x:v>
      </x:c>
      <x:c r="P2264" s="9" t="n">
        <x:f>IF(D2264="Completed",L2264*J2264*(1-K2264),0)</x:f>
        <x:v>0</x:v>
      </x:c>
      <x:c r="Q2264" s="9" t="n">
        <x:f>O2264-P2264</x:f>
        <x:v>378</x:v>
      </x:c>
      <x:c r="R2264" s="11" t="n">
        <x:f>IF(D2264="Completed",I2264,0)</x:f>
        <x:v>2</x:v>
      </x:c>
      <x:c r="S2264" s="11" t="n">
        <x:f>IF(D2264="Completed",L2264,0)</x:f>
        <x:v>0</x:v>
      </x:c>
      <x:c r="T2264" s="8" t="n">
        <x:f>DATE(YEAR(C2264),MONTH(C2264),1)</x:f>
        <x:v>45931</x:v>
      </x:c>
    </x:row>
    <x:row r="2265" ht="22" customHeight="1">
      <x:c r="A2265" s="2" t="str">
        <x:v>L002261</x:v>
      </x:c>
      <x:c r="B2265" s="2" t="str">
        <x:v>O00930</x:v>
      </x:c>
      <x:c r="C2265" s="7" t="n">
        <x:v>45961</x:v>
      </x:c>
      <x:c r="D2265" s="2" t="str">
        <x:v>Completed</x:v>
      </x:c>
      <x:c r="E2265" s="2" t="str">
        <x:v>West</x:v>
      </x:c>
      <x:c r="F2265" s="2" t="str">
        <x:v>Store</x:v>
      </x:c>
      <x:c r="G2265" s="2" t="str">
        <x:v>Lighting</x:v>
      </x:c>
      <x:c r="H2265" s="2" t="str">
        <x:v>Lamp 009</x:v>
      </x:c>
      <x:c r="I2265" s="11" t="n">
        <x:v>3</x:v>
      </x:c>
      <x:c r="J2265" s="9" t="n">
        <x:v>93</x:v>
      </x:c>
      <x:c r="K2265" s="10" t="n">
        <x:v>0.05</x:v>
      </x:c>
      <x:c r="L2265" s="11" t="n">
        <x:v>0</x:v>
      </x:c>
      <x:c r="M2265" s="9" t="n">
        <x:f>IF(D2265="Completed",I2265*J2265,0)</x:f>
        <x:v>279</x:v>
      </x:c>
      <x:c r="N2265" s="9" t="n">
        <x:f>M2265*K2265</x:f>
        <x:v>13.950000000000001</x:v>
      </x:c>
      <x:c r="O2265" s="9" t="n">
        <x:f>M2265-N2265</x:f>
        <x:v>265.05</x:v>
      </x:c>
      <x:c r="P2265" s="9" t="n">
        <x:f>IF(D2265="Completed",L2265*J2265*(1-K2265),0)</x:f>
        <x:v>0</x:v>
      </x:c>
      <x:c r="Q2265" s="9" t="n">
        <x:f>O2265-P2265</x:f>
        <x:v>265.05</x:v>
      </x:c>
      <x:c r="R2265" s="11" t="n">
        <x:f>IF(D2265="Completed",I2265,0)</x:f>
        <x:v>3</x:v>
      </x:c>
      <x:c r="S2265" s="11" t="n">
        <x:f>IF(D2265="Completed",L2265,0)</x:f>
        <x:v>0</x:v>
      </x:c>
      <x:c r="T2265" s="8" t="n">
        <x:f>DATE(YEAR(C2265),MONTH(C2265),1)</x:f>
        <x:v>45931</x:v>
      </x:c>
    </x:row>
    <x:row r="2266" ht="22" customHeight="1">
      <x:c r="A2266" s="2" t="str">
        <x:v>L002262</x:v>
      </x:c>
      <x:c r="B2266" s="2" t="str">
        <x:v>O00931</x:v>
      </x:c>
      <x:c r="C2266" s="7" t="n">
        <x:v>45839</x:v>
      </x:c>
      <x:c r="D2266" s="2" t="str">
        <x:v>Completed</x:v>
      </x:c>
      <x:c r="E2266" s="2" t="str">
        <x:v>West</x:v>
      </x:c>
      <x:c r="F2266" s="2" t="str">
        <x:v>Online</x:v>
      </x:c>
      <x:c r="G2266" s="2" t="str">
        <x:v>Lighting</x:v>
      </x:c>
      <x:c r="H2266" s="2" t="str">
        <x:v>Lamp 009</x:v>
      </x:c>
      <x:c r="I2266" s="11" t="n">
        <x:v>3</x:v>
      </x:c>
      <x:c r="J2266" s="9" t="n">
        <x:v>93</x:v>
      </x:c>
      <x:c r="K2266" s="10" t="n">
        <x:v>0.1</x:v>
      </x:c>
      <x:c r="L2266" s="11" t="n">
        <x:v>0</x:v>
      </x:c>
      <x:c r="M2266" s="9" t="n">
        <x:f>IF(D2266="Completed",I2266*J2266,0)</x:f>
        <x:v>279</x:v>
      </x:c>
      <x:c r="N2266" s="9" t="n">
        <x:f>M2266*K2266</x:f>
        <x:v>27.900000000000002</x:v>
      </x:c>
      <x:c r="O2266" s="9" t="n">
        <x:f>M2266-N2266</x:f>
        <x:v>251.1</x:v>
      </x:c>
      <x:c r="P2266" s="9" t="n">
        <x:f>IF(D2266="Completed",L2266*J2266*(1-K2266),0)</x:f>
        <x:v>0</x:v>
      </x:c>
      <x:c r="Q2266" s="9" t="n">
        <x:f>O2266-P2266</x:f>
        <x:v>251.1</x:v>
      </x:c>
      <x:c r="R2266" s="11" t="n">
        <x:f>IF(D2266="Completed",I2266,0)</x:f>
        <x:v>3</x:v>
      </x:c>
      <x:c r="S2266" s="11" t="n">
        <x:f>IF(D2266="Completed",L2266,0)</x:f>
        <x:v>0</x:v>
      </x:c>
      <x:c r="T2266" s="8" t="n">
        <x:f>DATE(YEAR(C2266),MONTH(C2266),1)</x:f>
        <x:v>45839</x:v>
      </x:c>
    </x:row>
    <x:row r="2267" ht="22" customHeight="1">
      <x:c r="A2267" s="2" t="str">
        <x:v>L002263</x:v>
      </x:c>
      <x:c r="B2267" s="2" t="str">
        <x:v>O00932</x:v>
      </x:c>
      <x:c r="C2267" s="7" t="n">
        <x:v>45808</x:v>
      </x:c>
      <x:c r="D2267" s="2" t="str">
        <x:v>Completed</x:v>
      </x:c>
      <x:c r="E2267" s="2" t="str">
        <x:v>West</x:v>
      </x:c>
      <x:c r="F2267" s="2" t="str">
        <x:v>Store</x:v>
      </x:c>
      <x:c r="G2267" s="2" t="str">
        <x:v>Lighting</x:v>
      </x:c>
      <x:c r="H2267" s="2" t="str">
        <x:v>Lamp 017</x:v>
      </x:c>
      <x:c r="I2267" s="11" t="n">
        <x:v>1</x:v>
      </x:c>
      <x:c r="J2267" s="9" t="n">
        <x:v>300</x:v>
      </x:c>
      <x:c r="K2267" s="10" t="n">
        <x:v>0</x:v>
      </x:c>
      <x:c r="L2267" s="11" t="n">
        <x:v>0</x:v>
      </x:c>
      <x:c r="M2267" s="9" t="n">
        <x:f>IF(D2267="Completed",I2267*J2267,0)</x:f>
        <x:v>300</x:v>
      </x:c>
      <x:c r="N2267" s="9" t="n">
        <x:f>M2267*K2267</x:f>
        <x:v>0</x:v>
      </x:c>
      <x:c r="O2267" s="9" t="n">
        <x:f>M2267-N2267</x:f>
        <x:v>300</x:v>
      </x:c>
      <x:c r="P2267" s="9" t="n">
        <x:f>IF(D2267="Completed",L2267*J2267*(1-K2267),0)</x:f>
        <x:v>0</x:v>
      </x:c>
      <x:c r="Q2267" s="9" t="n">
        <x:f>O2267-P2267</x:f>
        <x:v>300</x:v>
      </x:c>
      <x:c r="R2267" s="11" t="n">
        <x:f>IF(D2267="Completed",I2267,0)</x:f>
        <x:v>1</x:v>
      </x:c>
      <x:c r="S2267" s="11" t="n">
        <x:f>IF(D2267="Completed",L2267,0)</x:f>
        <x:v>0</x:v>
      </x:c>
      <x:c r="T2267" s="8" t="n">
        <x:f>DATE(YEAR(C2267),MONTH(C2267),1)</x:f>
        <x:v>45778</x:v>
      </x:c>
    </x:row>
    <x:row r="2268" ht="22" customHeight="1">
      <x:c r="A2268" s="2" t="str">
        <x:v>L002264</x:v>
      </x:c>
      <x:c r="B2268" s="2" t="str">
        <x:v>O00933</x:v>
      </x:c>
      <x:c r="C2268" s="7" t="n">
        <x:v>45675</x:v>
      </x:c>
      <x:c r="D2268" s="2" t="str">
        <x:v>Completed</x:v>
      </x:c>
      <x:c r="E2268" s="2" t="str">
        <x:v>North</x:v>
      </x:c>
      <x:c r="F2268" s="2" t="str">
        <x:v>Store</x:v>
      </x:c>
      <x:c r="G2268" s="2" t="str">
        <x:v>Furniture</x:v>
      </x:c>
      <x:c r="H2268" s="2" t="str">
        <x:v>Desk 024</x:v>
      </x:c>
      <x:c r="I2268" s="11" t="n">
        <x:v>3</x:v>
      </x:c>
      <x:c r="J2268" s="9" t="n">
        <x:v>81</x:v>
      </x:c>
      <x:c r="K2268" s="10" t="n">
        <x:v>0</x:v>
      </x:c>
      <x:c r="L2268" s="11" t="n">
        <x:v>0</x:v>
      </x:c>
      <x:c r="M2268" s="9" t="n">
        <x:f>IF(D2268="Completed",I2268*J2268,0)</x:f>
        <x:v>243</x:v>
      </x:c>
      <x:c r="N2268" s="9" t="n">
        <x:f>M2268*K2268</x:f>
        <x:v>0</x:v>
      </x:c>
      <x:c r="O2268" s="9" t="n">
        <x:f>M2268-N2268</x:f>
        <x:v>243</x:v>
      </x:c>
      <x:c r="P2268" s="9" t="n">
        <x:f>IF(D2268="Completed",L2268*J2268*(1-K2268),0)</x:f>
        <x:v>0</x:v>
      </x:c>
      <x:c r="Q2268" s="9" t="n">
        <x:f>O2268-P2268</x:f>
        <x:v>243</x:v>
      </x:c>
      <x:c r="R2268" s="11" t="n">
        <x:f>IF(D2268="Completed",I2268,0)</x:f>
        <x:v>3</x:v>
      </x:c>
      <x:c r="S2268" s="11" t="n">
        <x:f>IF(D2268="Completed",L2268,0)</x:f>
        <x:v>0</x:v>
      </x:c>
      <x:c r="T2268" s="8" t="n">
        <x:f>DATE(YEAR(C2268),MONTH(C2268),1)</x:f>
        <x:v>45658</x:v>
      </x:c>
    </x:row>
    <x:row r="2269" ht="22" customHeight="1">
      <x:c r="A2269" s="2" t="str">
        <x:v>L002265</x:v>
      </x:c>
      <x:c r="B2269" s="2" t="str">
        <x:v>O00933</x:v>
      </x:c>
      <x:c r="C2269" s="7" t="n">
        <x:v>45675</x:v>
      </x:c>
      <x:c r="D2269" s="2" t="str">
        <x:v>Completed</x:v>
      </x:c>
      <x:c r="E2269" s="2" t="str">
        <x:v>North</x:v>
      </x:c>
      <x:c r="F2269" s="2" t="str">
        <x:v>Store</x:v>
      </x:c>
      <x:c r="G2269" s="2" t="str">
        <x:v>Storage</x:v>
      </x:c>
      <x:c r="H2269" s="2" t="str">
        <x:v>Shelf 023</x:v>
      </x:c>
      <x:c r="I2269" s="11" t="n">
        <x:v>4</x:v>
      </x:c>
      <x:c r="J2269" s="9" t="n">
        <x:v>68</x:v>
      </x:c>
      <x:c r="K2269" s="10" t="n">
        <x:v>0</x:v>
      </x:c>
      <x:c r="L2269" s="11" t="n">
        <x:v>0</x:v>
      </x:c>
      <x:c r="M2269" s="9" t="n">
        <x:f>IF(D2269="Completed",I2269*J2269,0)</x:f>
        <x:v>272</x:v>
      </x:c>
      <x:c r="N2269" s="9" t="n">
        <x:f>M2269*K2269</x:f>
        <x:v>0</x:v>
      </x:c>
      <x:c r="O2269" s="9" t="n">
        <x:f>M2269-N2269</x:f>
        <x:v>272</x:v>
      </x:c>
      <x:c r="P2269" s="9" t="n">
        <x:f>IF(D2269="Completed",L2269*J2269*(1-K2269),0)</x:f>
        <x:v>0</x:v>
      </x:c>
      <x:c r="Q2269" s="9" t="n">
        <x:f>O2269-P2269</x:f>
        <x:v>272</x:v>
      </x:c>
      <x:c r="R2269" s="11" t="n">
        <x:f>IF(D2269="Completed",I2269,0)</x:f>
        <x:v>4</x:v>
      </x:c>
      <x:c r="S2269" s="11" t="n">
        <x:f>IF(D2269="Completed",L2269,0)</x:f>
        <x:v>0</x:v>
      </x:c>
      <x:c r="T2269" s="8" t="n">
        <x:f>DATE(YEAR(C2269),MONTH(C2269),1)</x:f>
        <x:v>45658</x:v>
      </x:c>
    </x:row>
    <x:row r="2270" ht="22" customHeight="1">
      <x:c r="A2270" s="2" t="str">
        <x:v>L002266</x:v>
      </x:c>
      <x:c r="B2270" s="2" t="str">
        <x:v>O00934</x:v>
      </x:c>
      <x:c r="C2270" s="7" t="n">
        <x:v>45779</x:v>
      </x:c>
      <x:c r="D2270" s="2" t="str">
        <x:v>Completed</x:v>
      </x:c>
      <x:c r="E2270" s="2" t="str">
        <x:v>East</x:v>
      </x:c>
      <x:c r="F2270" s="2" t="str">
        <x:v>Online</x:v>
      </x:c>
      <x:c r="G2270" s="2" t="str">
        <x:v>Lighting</x:v>
      </x:c>
      <x:c r="H2270" s="2" t="str">
        <x:v>Lamp 013</x:v>
      </x:c>
      <x:c r="I2270" s="11" t="n">
        <x:v>1</x:v>
      </x:c>
      <x:c r="J2270" s="9" t="n">
        <x:v>271</x:v>
      </x:c>
      <x:c r="K2270" s="10" t="n">
        <x:v>0</x:v>
      </x:c>
      <x:c r="L2270" s="11" t="n">
        <x:v>0</x:v>
      </x:c>
      <x:c r="M2270" s="9" t="n">
        <x:f>IF(D2270="Completed",I2270*J2270,0)</x:f>
        <x:v>271</x:v>
      </x:c>
      <x:c r="N2270" s="9" t="n">
        <x:f>M2270*K2270</x:f>
        <x:v>0</x:v>
      </x:c>
      <x:c r="O2270" s="9" t="n">
        <x:f>M2270-N2270</x:f>
        <x:v>271</x:v>
      </x:c>
      <x:c r="P2270" s="9" t="n">
        <x:f>IF(D2270="Completed",L2270*J2270*(1-K2270),0)</x:f>
        <x:v>0</x:v>
      </x:c>
      <x:c r="Q2270" s="9" t="n">
        <x:f>O2270-P2270</x:f>
        <x:v>271</x:v>
      </x:c>
      <x:c r="R2270" s="11" t="n">
        <x:f>IF(D2270="Completed",I2270,0)</x:f>
        <x:v>1</x:v>
      </x:c>
      <x:c r="S2270" s="11" t="n">
        <x:f>IF(D2270="Completed",L2270,0)</x:f>
        <x:v>0</x:v>
      </x:c>
      <x:c r="T2270" s="8" t="n">
        <x:f>DATE(YEAR(C2270),MONTH(C2270),1)</x:f>
        <x:v>45778</x:v>
      </x:c>
    </x:row>
    <x:row r="2271" ht="22" customHeight="1">
      <x:c r="A2271" s="2" t="str">
        <x:v>L002267</x:v>
      </x:c>
      <x:c r="B2271" s="2" t="str">
        <x:v>O00934</x:v>
      </x:c>
      <x:c r="C2271" s="7" t="n">
        <x:v>45779</x:v>
      </x:c>
      <x:c r="D2271" s="2" t="str">
        <x:v>Completed</x:v>
      </x:c>
      <x:c r="E2271" s="2" t="str">
        <x:v>East</x:v>
      </x:c>
      <x:c r="F2271" s="2" t="str">
        <x:v>Online</x:v>
      </x:c>
      <x:c r="G2271" s="2" t="str">
        <x:v>Storage</x:v>
      </x:c>
      <x:c r="H2271" s="2" t="str">
        <x:v>Shelf 015</x:v>
      </x:c>
      <x:c r="I2271" s="11" t="n">
        <x:v>5</x:v>
      </x:c>
      <x:c r="J2271" s="9" t="n">
        <x:v>254</x:v>
      </x:c>
      <x:c r="K2271" s="10" t="n">
        <x:v>0.2</x:v>
      </x:c>
      <x:c r="L2271" s="11" t="n">
        <x:v>0</x:v>
      </x:c>
      <x:c r="M2271" s="9" t="n">
        <x:f>IF(D2271="Completed",I2271*J2271,0)</x:f>
        <x:v>1270</x:v>
      </x:c>
      <x:c r="N2271" s="9" t="n">
        <x:f>M2271*K2271</x:f>
        <x:v>254</x:v>
      </x:c>
      <x:c r="O2271" s="9" t="n">
        <x:f>M2271-N2271</x:f>
        <x:v>1016</x:v>
      </x:c>
      <x:c r="P2271" s="9" t="n">
        <x:f>IF(D2271="Completed",L2271*J2271*(1-K2271),0)</x:f>
        <x:v>0</x:v>
      </x:c>
      <x:c r="Q2271" s="9" t="n">
        <x:f>O2271-P2271</x:f>
        <x:v>1016</x:v>
      </x:c>
      <x:c r="R2271" s="11" t="n">
        <x:f>IF(D2271="Completed",I2271,0)</x:f>
        <x:v>5</x:v>
      </x:c>
      <x:c r="S2271" s="11" t="n">
        <x:f>IF(D2271="Completed",L2271,0)</x:f>
        <x:v>0</x:v>
      </x:c>
      <x:c r="T2271" s="8" t="n">
        <x:f>DATE(YEAR(C2271),MONTH(C2271),1)</x:f>
        <x:v>45778</x:v>
      </x:c>
    </x:row>
    <x:row r="2272" ht="22" customHeight="1">
      <x:c r="A2272" s="2" t="str">
        <x:v>L002268</x:v>
      </x:c>
      <x:c r="B2272" s="2" t="str">
        <x:v>O00934</x:v>
      </x:c>
      <x:c r="C2272" s="7" t="n">
        <x:v>45779</x:v>
      </x:c>
      <x:c r="D2272" s="2" t="str">
        <x:v>Completed</x:v>
      </x:c>
      <x:c r="E2272" s="2" t="str">
        <x:v>East</x:v>
      </x:c>
      <x:c r="F2272" s="2" t="str">
        <x:v>Online</x:v>
      </x:c>
      <x:c r="G2272" s="2" t="str">
        <x:v>Lighting</x:v>
      </x:c>
      <x:c r="H2272" s="2" t="str">
        <x:v>Lamp 001</x:v>
      </x:c>
      <x:c r="I2272" s="11" t="n">
        <x:v>2</x:v>
      </x:c>
      <x:c r="J2272" s="9" t="n">
        <x:v>122</x:v>
      </x:c>
      <x:c r="K2272" s="10" t="n">
        <x:v>0.05</x:v>
      </x:c>
      <x:c r="L2272" s="11" t="n">
        <x:v>0</x:v>
      </x:c>
      <x:c r="M2272" s="9" t="n">
        <x:f>IF(D2272="Completed",I2272*J2272,0)</x:f>
        <x:v>244</x:v>
      </x:c>
      <x:c r="N2272" s="9" t="n">
        <x:f>M2272*K2272</x:f>
        <x:v>12.200000000000001</x:v>
      </x:c>
      <x:c r="O2272" s="9" t="n">
        <x:f>M2272-N2272</x:f>
        <x:v>231.8</x:v>
      </x:c>
      <x:c r="P2272" s="9" t="n">
        <x:f>IF(D2272="Completed",L2272*J2272*(1-K2272),0)</x:f>
        <x:v>0</x:v>
      </x:c>
      <x:c r="Q2272" s="9" t="n">
        <x:f>O2272-P2272</x:f>
        <x:v>231.8</x:v>
      </x:c>
      <x:c r="R2272" s="11" t="n">
        <x:f>IF(D2272="Completed",I2272,0)</x:f>
        <x:v>2</x:v>
      </x:c>
      <x:c r="S2272" s="11" t="n">
        <x:f>IF(D2272="Completed",L2272,0)</x:f>
        <x:v>0</x:v>
      </x:c>
      <x:c r="T2272" s="8" t="n">
        <x:f>DATE(YEAR(C2272),MONTH(C2272),1)</x:f>
        <x:v>45778</x:v>
      </x:c>
    </x:row>
    <x:row r="2273" ht="22" customHeight="1">
      <x:c r="A2273" s="2" t="str">
        <x:v>L002269</x:v>
      </x:c>
      <x:c r="B2273" s="2" t="str">
        <x:v>O00935</x:v>
      </x:c>
      <x:c r="C2273" s="7" t="n">
        <x:v>45995</x:v>
      </x:c>
      <x:c r="D2273" s="2" t="str">
        <x:v>Completed</x:v>
      </x:c>
      <x:c r="E2273" s="2" t="str">
        <x:v>South</x:v>
      </x:c>
      <x:c r="F2273" s="2" t="str">
        <x:v>Store</x:v>
      </x:c>
      <x:c r="G2273" s="2" t="str">
        <x:v>Storage</x:v>
      </x:c>
      <x:c r="H2273" s="2" t="str">
        <x:v>Shelf 007</x:v>
      </x:c>
      <x:c r="I2273" s="11" t="n">
        <x:v>3</x:v>
      </x:c>
      <x:c r="J2273" s="9" t="n">
        <x:v>35</x:v>
      </x:c>
      <x:c r="K2273" s="10" t="n">
        <x:v>0.1</x:v>
      </x:c>
      <x:c r="L2273" s="11" t="n">
        <x:v>0</x:v>
      </x:c>
      <x:c r="M2273" s="9" t="n">
        <x:f>IF(D2273="Completed",I2273*J2273,0)</x:f>
        <x:v>105</x:v>
      </x:c>
      <x:c r="N2273" s="9" t="n">
        <x:f>M2273*K2273</x:f>
        <x:v>10.5</x:v>
      </x:c>
      <x:c r="O2273" s="9" t="n">
        <x:f>M2273-N2273</x:f>
        <x:v>94.5</x:v>
      </x:c>
      <x:c r="P2273" s="9" t="n">
        <x:f>IF(D2273="Completed",L2273*J2273*(1-K2273),0)</x:f>
        <x:v>0</x:v>
      </x:c>
      <x:c r="Q2273" s="9" t="n">
        <x:f>O2273-P2273</x:f>
        <x:v>94.5</x:v>
      </x:c>
      <x:c r="R2273" s="11" t="n">
        <x:f>IF(D2273="Completed",I2273,0)</x:f>
        <x:v>3</x:v>
      </x:c>
      <x:c r="S2273" s="11" t="n">
        <x:f>IF(D2273="Completed",L2273,0)</x:f>
        <x:v>0</x:v>
      </x:c>
      <x:c r="T2273" s="8" t="n">
        <x:f>DATE(YEAR(C2273),MONTH(C2273),1)</x:f>
        <x:v>45992</x:v>
      </x:c>
    </x:row>
    <x:row r="2274" ht="22" customHeight="1">
      <x:c r="A2274" s="2" t="str">
        <x:v>L002270</x:v>
      </x:c>
      <x:c r="B2274" s="2" t="str">
        <x:v>O00935</x:v>
      </x:c>
      <x:c r="C2274" s="7" t="n">
        <x:v>45995</x:v>
      </x:c>
      <x:c r="D2274" s="2" t="str">
        <x:v>Completed</x:v>
      </x:c>
      <x:c r="E2274" s="2" t="str">
        <x:v>South</x:v>
      </x:c>
      <x:c r="F2274" s="2" t="str">
        <x:v>Store</x:v>
      </x:c>
      <x:c r="G2274" s="2" t="str">
        <x:v>Lighting</x:v>
      </x:c>
      <x:c r="H2274" s="2" t="str">
        <x:v>Lamp 005</x:v>
      </x:c>
      <x:c r="I2274" s="11" t="n">
        <x:v>2</x:v>
      </x:c>
      <x:c r="J2274" s="9" t="n">
        <x:v>65</x:v>
      </x:c>
      <x:c r="K2274" s="10" t="n">
        <x:v>0.1</x:v>
      </x:c>
      <x:c r="L2274" s="11" t="n">
        <x:v>0</x:v>
      </x:c>
      <x:c r="M2274" s="9" t="n">
        <x:f>IF(D2274="Completed",I2274*J2274,0)</x:f>
        <x:v>130</x:v>
      </x:c>
      <x:c r="N2274" s="9" t="n">
        <x:f>M2274*K2274</x:f>
        <x:v>13</x:v>
      </x:c>
      <x:c r="O2274" s="9" t="n">
        <x:f>M2274-N2274</x:f>
        <x:v>117</x:v>
      </x:c>
      <x:c r="P2274" s="9" t="n">
        <x:f>IF(D2274="Completed",L2274*J2274*(1-K2274),0)</x:f>
        <x:v>0</x:v>
      </x:c>
      <x:c r="Q2274" s="9" t="n">
        <x:f>O2274-P2274</x:f>
        <x:v>117</x:v>
      </x:c>
      <x:c r="R2274" s="11" t="n">
        <x:f>IF(D2274="Completed",I2274,0)</x:f>
        <x:v>2</x:v>
      </x:c>
      <x:c r="S2274" s="11" t="n">
        <x:f>IF(D2274="Completed",L2274,0)</x:f>
        <x:v>0</x:v>
      </x:c>
      <x:c r="T2274" s="8" t="n">
        <x:f>DATE(YEAR(C2274),MONTH(C2274),1)</x:f>
        <x:v>45992</x:v>
      </x:c>
    </x:row>
    <x:row r="2275" ht="22" customHeight="1">
      <x:c r="A2275" s="2" t="str">
        <x:v>L002271</x:v>
      </x:c>
      <x:c r="B2275" s="2" t="str">
        <x:v>O00935</x:v>
      </x:c>
      <x:c r="C2275" s="7" t="n">
        <x:v>45995</x:v>
      </x:c>
      <x:c r="D2275" s="2" t="str">
        <x:v>Completed</x:v>
      </x:c>
      <x:c r="E2275" s="2" t="str">
        <x:v>South</x:v>
      </x:c>
      <x:c r="F2275" s="2" t="str">
        <x:v>Store</x:v>
      </x:c>
      <x:c r="G2275" s="2" t="str">
        <x:v>Storage</x:v>
      </x:c>
      <x:c r="H2275" s="2" t="str">
        <x:v>Shelf 015</x:v>
      </x:c>
      <x:c r="I2275" s="11" t="n">
        <x:v>3</x:v>
      </x:c>
      <x:c r="J2275" s="9" t="n">
        <x:v>254</x:v>
      </x:c>
      <x:c r="K2275" s="10" t="n">
        <x:v>0.2</x:v>
      </x:c>
      <x:c r="L2275" s="11" t="n">
        <x:v>0</x:v>
      </x:c>
      <x:c r="M2275" s="9" t="n">
        <x:f>IF(D2275="Completed",I2275*J2275,0)</x:f>
        <x:v>762</x:v>
      </x:c>
      <x:c r="N2275" s="9" t="n">
        <x:f>M2275*K2275</x:f>
        <x:v>152.4</x:v>
      </x:c>
      <x:c r="O2275" s="9" t="n">
        <x:f>M2275-N2275</x:f>
        <x:v>609.6</x:v>
      </x:c>
      <x:c r="P2275" s="9" t="n">
        <x:f>IF(D2275="Completed",L2275*J2275*(1-K2275),0)</x:f>
        <x:v>0</x:v>
      </x:c>
      <x:c r="Q2275" s="9" t="n">
        <x:f>O2275-P2275</x:f>
        <x:v>609.6</x:v>
      </x:c>
      <x:c r="R2275" s="11" t="n">
        <x:f>IF(D2275="Completed",I2275,0)</x:f>
        <x:v>3</x:v>
      </x:c>
      <x:c r="S2275" s="11" t="n">
        <x:f>IF(D2275="Completed",L2275,0)</x:f>
        <x:v>0</x:v>
      </x:c>
      <x:c r="T2275" s="8" t="n">
        <x:f>DATE(YEAR(C2275),MONTH(C2275),1)</x:f>
        <x:v>45992</x:v>
      </x:c>
    </x:row>
    <x:row r="2276" ht="22" customHeight="1">
      <x:c r="A2276" s="2" t="str">
        <x:v>L002272</x:v>
      </x:c>
      <x:c r="B2276" s="2" t="str">
        <x:v>O00935</x:v>
      </x:c>
      <x:c r="C2276" s="7" t="n">
        <x:v>45995</x:v>
      </x:c>
      <x:c r="D2276" s="2" t="str">
        <x:v>Completed</x:v>
      </x:c>
      <x:c r="E2276" s="2" t="str">
        <x:v>South</x:v>
      </x:c>
      <x:c r="F2276" s="2" t="str">
        <x:v>Store</x:v>
      </x:c>
      <x:c r="G2276" s="2" t="str">
        <x:v>Furniture</x:v>
      </x:c>
      <x:c r="H2276" s="2" t="str">
        <x:v>Desk 012</x:v>
      </x:c>
      <x:c r="I2276" s="11" t="n">
        <x:v>2</x:v>
      </x:c>
      <x:c r="J2276" s="9" t="n">
        <x:v>134</x:v>
      </x:c>
      <x:c r="K2276" s="10" t="n">
        <x:v>0.2</x:v>
      </x:c>
      <x:c r="L2276" s="11" t="n">
        <x:v>0</x:v>
      </x:c>
      <x:c r="M2276" s="9" t="n">
        <x:f>IF(D2276="Completed",I2276*J2276,0)</x:f>
        <x:v>268</x:v>
      </x:c>
      <x:c r="N2276" s="9" t="n">
        <x:f>M2276*K2276</x:f>
        <x:v>53.6</x:v>
      </x:c>
      <x:c r="O2276" s="9" t="n">
        <x:f>M2276-N2276</x:f>
        <x:v>214.4</x:v>
      </x:c>
      <x:c r="P2276" s="9" t="n">
        <x:f>IF(D2276="Completed",L2276*J2276*(1-K2276),0)</x:f>
        <x:v>0</x:v>
      </x:c>
      <x:c r="Q2276" s="9" t="n">
        <x:f>O2276-P2276</x:f>
        <x:v>214.4</x:v>
      </x:c>
      <x:c r="R2276" s="11" t="n">
        <x:f>IF(D2276="Completed",I2276,0)</x:f>
        <x:v>2</x:v>
      </x:c>
      <x:c r="S2276" s="11" t="n">
        <x:f>IF(D2276="Completed",L2276,0)</x:f>
        <x:v>0</x:v>
      </x:c>
      <x:c r="T2276" s="8" t="n">
        <x:f>DATE(YEAR(C2276),MONTH(C2276),1)</x:f>
        <x:v>45992</x:v>
      </x:c>
    </x:row>
    <x:row r="2277" ht="22" customHeight="1">
      <x:c r="A2277" s="2" t="str">
        <x:v>L002273</x:v>
      </x:c>
      <x:c r="B2277" s="2" t="str">
        <x:v>O00936</x:v>
      </x:c>
      <x:c r="C2277" s="7" t="n">
        <x:v>46020</x:v>
      </x:c>
      <x:c r="D2277" s="2" t="str">
        <x:v>Completed</x:v>
      </x:c>
      <x:c r="E2277" s="2" t="str">
        <x:v>West</x:v>
      </x:c>
      <x:c r="F2277" s="2" t="str">
        <x:v>Online</x:v>
      </x:c>
      <x:c r="G2277" s="2" t="str">
        <x:v>Storage</x:v>
      </x:c>
      <x:c r="H2277" s="2" t="str">
        <x:v>Shelf 019</x:v>
      </x:c>
      <x:c r="I2277" s="11" t="n">
        <x:v>4</x:v>
      </x:c>
      <x:c r="J2277" s="9" t="n">
        <x:v>78</x:v>
      </x:c>
      <x:c r="K2277" s="10" t="n">
        <x:v>0.2</x:v>
      </x:c>
      <x:c r="L2277" s="11" t="n">
        <x:v>0</x:v>
      </x:c>
      <x:c r="M2277" s="9" t="n">
        <x:f>IF(D2277="Completed",I2277*J2277,0)</x:f>
        <x:v>312</x:v>
      </x:c>
      <x:c r="N2277" s="9" t="n">
        <x:f>M2277*K2277</x:f>
        <x:v>62.400000000000006</x:v>
      </x:c>
      <x:c r="O2277" s="9" t="n">
        <x:f>M2277-N2277</x:f>
        <x:v>249.6</x:v>
      </x:c>
      <x:c r="P2277" s="9" t="n">
        <x:f>IF(D2277="Completed",L2277*J2277*(1-K2277),0)</x:f>
        <x:v>0</x:v>
      </x:c>
      <x:c r="Q2277" s="9" t="n">
        <x:f>O2277-P2277</x:f>
        <x:v>249.6</x:v>
      </x:c>
      <x:c r="R2277" s="11" t="n">
        <x:f>IF(D2277="Completed",I2277,0)</x:f>
        <x:v>4</x:v>
      </x:c>
      <x:c r="S2277" s="11" t="n">
        <x:f>IF(D2277="Completed",L2277,0)</x:f>
        <x:v>0</x:v>
      </x:c>
      <x:c r="T2277" s="8" t="n">
        <x:f>DATE(YEAR(C2277),MONTH(C2277),1)</x:f>
        <x:v>45992</x:v>
      </x:c>
    </x:row>
    <x:row r="2278" ht="22" customHeight="1">
      <x:c r="A2278" s="2" t="str">
        <x:v>L002274</x:v>
      </x:c>
      <x:c r="B2278" s="2" t="str">
        <x:v>O00936</x:v>
      </x:c>
      <x:c r="C2278" s="7" t="n">
        <x:v>46020</x:v>
      </x:c>
      <x:c r="D2278" s="2" t="str">
        <x:v>Completed</x:v>
      </x:c>
      <x:c r="E2278" s="2" t="str">
        <x:v>West</x:v>
      </x:c>
      <x:c r="F2278" s="2" t="str">
        <x:v>Online</x:v>
      </x:c>
      <x:c r="G2278" s="2" t="str">
        <x:v>Lighting</x:v>
      </x:c>
      <x:c r="H2278" s="2" t="str">
        <x:v>Lamp 017</x:v>
      </x:c>
      <x:c r="I2278" s="11" t="n">
        <x:v>5</x:v>
      </x:c>
      <x:c r="J2278" s="9" t="n">
        <x:v>300</x:v>
      </x:c>
      <x:c r="K2278" s="10" t="n">
        <x:v>0.05</x:v>
      </x:c>
      <x:c r="L2278" s="11" t="n">
        <x:v>0</x:v>
      </x:c>
      <x:c r="M2278" s="9" t="n">
        <x:f>IF(D2278="Completed",I2278*J2278,0)</x:f>
        <x:v>1500</x:v>
      </x:c>
      <x:c r="N2278" s="9" t="n">
        <x:f>M2278*K2278</x:f>
        <x:v>75</x:v>
      </x:c>
      <x:c r="O2278" s="9" t="n">
        <x:f>M2278-N2278</x:f>
        <x:v>1425</x:v>
      </x:c>
      <x:c r="P2278" s="9" t="n">
        <x:f>IF(D2278="Completed",L2278*J2278*(1-K2278),0)</x:f>
        <x:v>0</x:v>
      </x:c>
      <x:c r="Q2278" s="9" t="n">
        <x:f>O2278-P2278</x:f>
        <x:v>1425</x:v>
      </x:c>
      <x:c r="R2278" s="11" t="n">
        <x:f>IF(D2278="Completed",I2278,0)</x:f>
        <x:v>5</x:v>
      </x:c>
      <x:c r="S2278" s="11" t="n">
        <x:f>IF(D2278="Completed",L2278,0)</x:f>
        <x:v>0</x:v>
      </x:c>
      <x:c r="T2278" s="8" t="n">
        <x:f>DATE(YEAR(C2278),MONTH(C2278),1)</x:f>
        <x:v>45992</x:v>
      </x:c>
    </x:row>
    <x:row r="2279" ht="22" customHeight="1">
      <x:c r="A2279" s="2" t="str">
        <x:v>L002275</x:v>
      </x:c>
      <x:c r="B2279" s="2" t="str">
        <x:v>O00937</x:v>
      </x:c>
      <x:c r="C2279" s="7" t="n">
        <x:v>45858</x:v>
      </x:c>
      <x:c r="D2279" s="2" t="str">
        <x:v>Completed</x:v>
      </x:c>
      <x:c r="E2279" s="2" t="str">
        <x:v>West</x:v>
      </x:c>
      <x:c r="F2279" s="2" t="str">
        <x:v>Online</x:v>
      </x:c>
      <x:c r="G2279" s="2" t="str">
        <x:v>Furniture</x:v>
      </x:c>
      <x:c r="H2279" s="2" t="str">
        <x:v>Desk 020</x:v>
      </x:c>
      <x:c r="I2279" s="11" t="n">
        <x:v>3</x:v>
      </x:c>
      <x:c r="J2279" s="9" t="n">
        <x:v>189</x:v>
      </x:c>
      <x:c r="K2279" s="10" t="n">
        <x:v>0.2</x:v>
      </x:c>
      <x:c r="L2279" s="11" t="n">
        <x:v>2</x:v>
      </x:c>
      <x:c r="M2279" s="9" t="n">
        <x:f>IF(D2279="Completed",I2279*J2279,0)</x:f>
        <x:v>567</x:v>
      </x:c>
      <x:c r="N2279" s="9" t="n">
        <x:f>M2279*K2279</x:f>
        <x:v>113.4</x:v>
      </x:c>
      <x:c r="O2279" s="9" t="n">
        <x:f>M2279-N2279</x:f>
        <x:v>453.6</x:v>
      </x:c>
      <x:c r="P2279" s="9" t="n">
        <x:f>IF(D2279="Completed",L2279*J2279*(1-K2279),0)</x:f>
        <x:v>302.40000000000003</x:v>
      </x:c>
      <x:c r="Q2279" s="9" t="n">
        <x:f>O2279-P2279</x:f>
        <x:v>151.2</x:v>
      </x:c>
      <x:c r="R2279" s="11" t="n">
        <x:f>IF(D2279="Completed",I2279,0)</x:f>
        <x:v>3</x:v>
      </x:c>
      <x:c r="S2279" s="11" t="n">
        <x:f>IF(D2279="Completed",L2279,0)</x:f>
        <x:v>2</x:v>
      </x:c>
      <x:c r="T2279" s="8" t="n">
        <x:f>DATE(YEAR(C2279),MONTH(C2279),1)</x:f>
        <x:v>45839</x:v>
      </x:c>
    </x:row>
    <x:row r="2280" ht="22" customHeight="1">
      <x:c r="A2280" s="2" t="str">
        <x:v>L002276</x:v>
      </x:c>
      <x:c r="B2280" s="2" t="str">
        <x:v>O00937</x:v>
      </x:c>
      <x:c r="C2280" s="7" t="n">
        <x:v>45858</x:v>
      </x:c>
      <x:c r="D2280" s="2" t="str">
        <x:v>Completed</x:v>
      </x:c>
      <x:c r="E2280" s="2" t="str">
        <x:v>West</x:v>
      </x:c>
      <x:c r="F2280" s="2" t="str">
        <x:v>Online</x:v>
      </x:c>
      <x:c r="G2280" s="2" t="str">
        <x:v>Furniture</x:v>
      </x:c>
      <x:c r="H2280" s="2" t="str">
        <x:v>Chair 006</x:v>
      </x:c>
      <x:c r="I2280" s="11" t="n">
        <x:v>5</x:v>
      </x:c>
      <x:c r="J2280" s="9" t="n">
        <x:v>196</x:v>
      </x:c>
      <x:c r="K2280" s="10" t="n">
        <x:v>0.1</x:v>
      </x:c>
      <x:c r="L2280" s="11" t="n">
        <x:v>0</x:v>
      </x:c>
      <x:c r="M2280" s="9" t="n">
        <x:f>IF(D2280="Completed",I2280*J2280,0)</x:f>
        <x:v>980</x:v>
      </x:c>
      <x:c r="N2280" s="9" t="n">
        <x:f>M2280*K2280</x:f>
        <x:v>98</x:v>
      </x:c>
      <x:c r="O2280" s="9" t="n">
        <x:f>M2280-N2280</x:f>
        <x:v>882</x:v>
      </x:c>
      <x:c r="P2280" s="9" t="n">
        <x:f>IF(D2280="Completed",L2280*J2280*(1-K2280),0)</x:f>
        <x:v>0</x:v>
      </x:c>
      <x:c r="Q2280" s="9" t="n">
        <x:f>O2280-P2280</x:f>
        <x:v>882</x:v>
      </x:c>
      <x:c r="R2280" s="11" t="n">
        <x:f>IF(D2280="Completed",I2280,0)</x:f>
        <x:v>5</x:v>
      </x:c>
      <x:c r="S2280" s="11" t="n">
        <x:f>IF(D2280="Completed",L2280,0)</x:f>
        <x:v>0</x:v>
      </x:c>
      <x:c r="T2280" s="8" t="n">
        <x:f>DATE(YEAR(C2280),MONTH(C2280),1)</x:f>
        <x:v>45839</x:v>
      </x:c>
    </x:row>
    <x:row r="2281" ht="22" customHeight="1">
      <x:c r="A2281" s="2" t="str">
        <x:v>L002277</x:v>
      </x:c>
      <x:c r="B2281" s="2" t="str">
        <x:v>O00937</x:v>
      </x:c>
      <x:c r="C2281" s="7" t="n">
        <x:v>45858</x:v>
      </x:c>
      <x:c r="D2281" s="2" t="str">
        <x:v>Completed</x:v>
      </x:c>
      <x:c r="E2281" s="2" t="str">
        <x:v>West</x:v>
      </x:c>
      <x:c r="F2281" s="2" t="str">
        <x:v>Online</x:v>
      </x:c>
      <x:c r="G2281" s="2" t="str">
        <x:v>Storage</x:v>
      </x:c>
      <x:c r="H2281" s="2" t="str">
        <x:v>Shelf 023</x:v>
      </x:c>
      <x:c r="I2281" s="11" t="n">
        <x:v>1</x:v>
      </x:c>
      <x:c r="J2281" s="9" t="n">
        <x:v>68</x:v>
      </x:c>
      <x:c r="K2281" s="10" t="n">
        <x:v>0.1</x:v>
      </x:c>
      <x:c r="L2281" s="11" t="n">
        <x:v>0</x:v>
      </x:c>
      <x:c r="M2281" s="9" t="n">
        <x:f>IF(D2281="Completed",I2281*J2281,0)</x:f>
        <x:v>68</x:v>
      </x:c>
      <x:c r="N2281" s="9" t="n">
        <x:f>M2281*K2281</x:f>
        <x:v>6.800000000000001</x:v>
      </x:c>
      <x:c r="O2281" s="9" t="n">
        <x:f>M2281-N2281</x:f>
        <x:v>61.2</x:v>
      </x:c>
      <x:c r="P2281" s="9" t="n">
        <x:f>IF(D2281="Completed",L2281*J2281*(1-K2281),0)</x:f>
        <x:v>0</x:v>
      </x:c>
      <x:c r="Q2281" s="9" t="n">
        <x:f>O2281-P2281</x:f>
        <x:v>61.2</x:v>
      </x:c>
      <x:c r="R2281" s="11" t="n">
        <x:f>IF(D2281="Completed",I2281,0)</x:f>
        <x:v>1</x:v>
      </x:c>
      <x:c r="S2281" s="11" t="n">
        <x:f>IF(D2281="Completed",L2281,0)</x:f>
        <x:v>0</x:v>
      </x:c>
      <x:c r="T2281" s="8" t="n">
        <x:f>DATE(YEAR(C2281),MONTH(C2281),1)</x:f>
        <x:v>45839</x:v>
      </x:c>
    </x:row>
    <x:row r="2282" ht="22" customHeight="1">
      <x:c r="A2282" s="2" t="str">
        <x:v>L002278</x:v>
      </x:c>
      <x:c r="B2282" s="2" t="str">
        <x:v>O00937</x:v>
      </x:c>
      <x:c r="C2282" s="7" t="n">
        <x:v>45858</x:v>
      </x:c>
      <x:c r="D2282" s="2" t="str">
        <x:v>Completed</x:v>
      </x:c>
      <x:c r="E2282" s="2" t="str">
        <x:v>West</x:v>
      </x:c>
      <x:c r="F2282" s="2" t="str">
        <x:v>Online</x:v>
      </x:c>
      <x:c r="G2282" s="2" t="str">
        <x:v>Furniture</x:v>
      </x:c>
      <x:c r="H2282" s="2" t="str">
        <x:v>Chair 010</x:v>
      </x:c>
      <x:c r="I2282" s="11" t="n">
        <x:v>3</x:v>
      </x:c>
      <x:c r="J2282" s="9" t="n">
        <x:v>211</x:v>
      </x:c>
      <x:c r="K2282" s="10" t="n">
        <x:v>0.05</x:v>
      </x:c>
      <x:c r="L2282" s="11" t="n">
        <x:v>0</x:v>
      </x:c>
      <x:c r="M2282" s="9" t="n">
        <x:f>IF(D2282="Completed",I2282*J2282,0)</x:f>
        <x:v>633</x:v>
      </x:c>
      <x:c r="N2282" s="9" t="n">
        <x:f>M2282*K2282</x:f>
        <x:v>31.650000000000002</x:v>
      </x:c>
      <x:c r="O2282" s="9" t="n">
        <x:f>M2282-N2282</x:f>
        <x:v>601.35</x:v>
      </x:c>
      <x:c r="P2282" s="9" t="n">
        <x:f>IF(D2282="Completed",L2282*J2282*(1-K2282),0)</x:f>
        <x:v>0</x:v>
      </x:c>
      <x:c r="Q2282" s="9" t="n">
        <x:f>O2282-P2282</x:f>
        <x:v>601.35</x:v>
      </x:c>
      <x:c r="R2282" s="11" t="n">
        <x:f>IF(D2282="Completed",I2282,0)</x:f>
        <x:v>3</x:v>
      </x:c>
      <x:c r="S2282" s="11" t="n">
        <x:f>IF(D2282="Completed",L2282,0)</x:f>
        <x:v>0</x:v>
      </x:c>
      <x:c r="T2282" s="8" t="n">
        <x:f>DATE(YEAR(C2282),MONTH(C2282),1)</x:f>
        <x:v>45839</x:v>
      </x:c>
    </x:row>
    <x:row r="2283" ht="22" customHeight="1">
      <x:c r="A2283" s="2" t="str">
        <x:v>L002279</x:v>
      </x:c>
      <x:c r="B2283" s="2" t="str">
        <x:v>O00938</x:v>
      </x:c>
      <x:c r="C2283" s="7" t="n">
        <x:v>45810</x:v>
      </x:c>
      <x:c r="D2283" s="2" t="str">
        <x:v>Completed</x:v>
      </x:c>
      <x:c r="E2283" s="2" t="str">
        <x:v>West</x:v>
      </x:c>
      <x:c r="F2283" s="2" t="str">
        <x:v>Store</x:v>
      </x:c>
      <x:c r="G2283" s="2" t="str">
        <x:v>Storage</x:v>
      </x:c>
      <x:c r="H2283" s="2" t="str">
        <x:v>Shelf 003</x:v>
      </x:c>
      <x:c r="I2283" s="11" t="n">
        <x:v>3</x:v>
      </x:c>
      <x:c r="J2283" s="9" t="n">
        <x:v>199</x:v>
      </x:c>
      <x:c r="K2283" s="10" t="n">
        <x:v>0.05</x:v>
      </x:c>
      <x:c r="L2283" s="11" t="n">
        <x:v>0</x:v>
      </x:c>
      <x:c r="M2283" s="9" t="n">
        <x:f>IF(D2283="Completed",I2283*J2283,0)</x:f>
        <x:v>597</x:v>
      </x:c>
      <x:c r="N2283" s="9" t="n">
        <x:f>M2283*K2283</x:f>
        <x:v>29.85</x:v>
      </x:c>
      <x:c r="O2283" s="9" t="n">
        <x:f>M2283-N2283</x:f>
        <x:v>567.15</x:v>
      </x:c>
      <x:c r="P2283" s="9" t="n">
        <x:f>IF(D2283="Completed",L2283*J2283*(1-K2283),0)</x:f>
        <x:v>0</x:v>
      </x:c>
      <x:c r="Q2283" s="9" t="n">
        <x:f>O2283-P2283</x:f>
        <x:v>567.15</x:v>
      </x:c>
      <x:c r="R2283" s="11" t="n">
        <x:f>IF(D2283="Completed",I2283,0)</x:f>
        <x:v>3</x:v>
      </x:c>
      <x:c r="S2283" s="11" t="n">
        <x:f>IF(D2283="Completed",L2283,0)</x:f>
        <x:v>0</x:v>
      </x:c>
      <x:c r="T2283" s="8" t="n">
        <x:f>DATE(YEAR(C2283),MONTH(C2283),1)</x:f>
        <x:v>45809</x:v>
      </x:c>
    </x:row>
    <x:row r="2284" ht="22" customHeight="1">
      <x:c r="A2284" s="2" t="str">
        <x:v>L002280</x:v>
      </x:c>
      <x:c r="B2284" s="2" t="str">
        <x:v>O00938</x:v>
      </x:c>
      <x:c r="C2284" s="7" t="n">
        <x:v>45810</x:v>
      </x:c>
      <x:c r="D2284" s="2" t="str">
        <x:v>Completed</x:v>
      </x:c>
      <x:c r="E2284" s="2" t="str">
        <x:v>West</x:v>
      </x:c>
      <x:c r="F2284" s="2" t="str">
        <x:v>Store</x:v>
      </x:c>
      <x:c r="G2284" s="2" t="str">
        <x:v>Furniture</x:v>
      </x:c>
      <x:c r="H2284" s="2" t="str">
        <x:v>Chair 010</x:v>
      </x:c>
      <x:c r="I2284" s="11" t="n">
        <x:v>4</x:v>
      </x:c>
      <x:c r="J2284" s="9" t="n">
        <x:v>211</x:v>
      </x:c>
      <x:c r="K2284" s="10" t="n">
        <x:v>0.05</x:v>
      </x:c>
      <x:c r="L2284" s="11" t="n">
        <x:v>0</x:v>
      </x:c>
      <x:c r="M2284" s="9" t="n">
        <x:f>IF(D2284="Completed",I2284*J2284,0)</x:f>
        <x:v>844</x:v>
      </x:c>
      <x:c r="N2284" s="9" t="n">
        <x:f>M2284*K2284</x:f>
        <x:v>42.2</x:v>
      </x:c>
      <x:c r="O2284" s="9" t="n">
        <x:f>M2284-N2284</x:f>
        <x:v>801.8</x:v>
      </x:c>
      <x:c r="P2284" s="9" t="n">
        <x:f>IF(D2284="Completed",L2284*J2284*(1-K2284),0)</x:f>
        <x:v>0</x:v>
      </x:c>
      <x:c r="Q2284" s="9" t="n">
        <x:f>O2284-P2284</x:f>
        <x:v>801.8</x:v>
      </x:c>
      <x:c r="R2284" s="11" t="n">
        <x:f>IF(D2284="Completed",I2284,0)</x:f>
        <x:v>4</x:v>
      </x:c>
      <x:c r="S2284" s="11" t="n">
        <x:f>IF(D2284="Completed",L2284,0)</x:f>
        <x:v>0</x:v>
      </x:c>
      <x:c r="T2284" s="8" t="n">
        <x:f>DATE(YEAR(C2284),MONTH(C2284),1)</x:f>
        <x:v>45809</x:v>
      </x:c>
    </x:row>
    <x:row r="2285" ht="22" customHeight="1">
      <x:c r="A2285" s="2" t="str">
        <x:v>L002281</x:v>
      </x:c>
      <x:c r="B2285" s="2" t="str">
        <x:v>O00938</x:v>
      </x:c>
      <x:c r="C2285" s="7" t="n">
        <x:v>45810</x:v>
      </x:c>
      <x:c r="D2285" s="2" t="str">
        <x:v>Completed</x:v>
      </x:c>
      <x:c r="E2285" s="2" t="str">
        <x:v>West</x:v>
      </x:c>
      <x:c r="F2285" s="2" t="str">
        <x:v>Store</x:v>
      </x:c>
      <x:c r="G2285" s="2" t="str">
        <x:v>Lighting</x:v>
      </x:c>
      <x:c r="H2285" s="2" t="str">
        <x:v>Lamp 021</x:v>
      </x:c>
      <x:c r="I2285" s="11" t="n">
        <x:v>2</x:v>
      </x:c>
      <x:c r="J2285" s="9" t="n">
        <x:v>249</x:v>
      </x:c>
      <x:c r="K2285" s="10" t="n">
        <x:v>0.1</x:v>
      </x:c>
      <x:c r="L2285" s="11" t="n">
        <x:v>0</x:v>
      </x:c>
      <x:c r="M2285" s="9" t="n">
        <x:f>IF(D2285="Completed",I2285*J2285,0)</x:f>
        <x:v>498</x:v>
      </x:c>
      <x:c r="N2285" s="9" t="n">
        <x:f>M2285*K2285</x:f>
        <x:v>49.800000000000004</x:v>
      </x:c>
      <x:c r="O2285" s="9" t="n">
        <x:f>M2285-N2285</x:f>
        <x:v>448.2</x:v>
      </x:c>
      <x:c r="P2285" s="9" t="n">
        <x:f>IF(D2285="Completed",L2285*J2285*(1-K2285),0)</x:f>
        <x:v>0</x:v>
      </x:c>
      <x:c r="Q2285" s="9" t="n">
        <x:f>O2285-P2285</x:f>
        <x:v>448.2</x:v>
      </x:c>
      <x:c r="R2285" s="11" t="n">
        <x:f>IF(D2285="Completed",I2285,0)</x:f>
        <x:v>2</x:v>
      </x:c>
      <x:c r="S2285" s="11" t="n">
        <x:f>IF(D2285="Completed",L2285,0)</x:f>
        <x:v>0</x:v>
      </x:c>
      <x:c r="T2285" s="8" t="n">
        <x:f>DATE(YEAR(C2285),MONTH(C2285),1)</x:f>
        <x:v>45809</x:v>
      </x:c>
    </x:row>
    <x:row r="2286" ht="22" customHeight="1">
      <x:c r="A2286" s="2" t="str">
        <x:v>L002282</x:v>
      </x:c>
      <x:c r="B2286" s="2" t="str">
        <x:v>O00938</x:v>
      </x:c>
      <x:c r="C2286" s="7" t="n">
        <x:v>45810</x:v>
      </x:c>
      <x:c r="D2286" s="2" t="str">
        <x:v>Completed</x:v>
      </x:c>
      <x:c r="E2286" s="2" t="str">
        <x:v>West</x:v>
      </x:c>
      <x:c r="F2286" s="2" t="str">
        <x:v>Store</x:v>
      </x:c>
      <x:c r="G2286" s="2" t="str">
        <x:v>Furniture</x:v>
      </x:c>
      <x:c r="H2286" s="2" t="str">
        <x:v>Chair 010</x:v>
      </x:c>
      <x:c r="I2286" s="11" t="n">
        <x:v>3</x:v>
      </x:c>
      <x:c r="J2286" s="9" t="n">
        <x:v>211</x:v>
      </x:c>
      <x:c r="K2286" s="10" t="n">
        <x:v>0</x:v>
      </x:c>
      <x:c r="L2286" s="11" t="n">
        <x:v>0</x:v>
      </x:c>
      <x:c r="M2286" s="9" t="n">
        <x:f>IF(D2286="Completed",I2286*J2286,0)</x:f>
        <x:v>633</x:v>
      </x:c>
      <x:c r="N2286" s="9" t="n">
        <x:f>M2286*K2286</x:f>
        <x:v>0</x:v>
      </x:c>
      <x:c r="O2286" s="9" t="n">
        <x:f>M2286-N2286</x:f>
        <x:v>633</x:v>
      </x:c>
      <x:c r="P2286" s="9" t="n">
        <x:f>IF(D2286="Completed",L2286*J2286*(1-K2286),0)</x:f>
        <x:v>0</x:v>
      </x:c>
      <x:c r="Q2286" s="9" t="n">
        <x:f>O2286-P2286</x:f>
        <x:v>633</x:v>
      </x:c>
      <x:c r="R2286" s="11" t="n">
        <x:f>IF(D2286="Completed",I2286,0)</x:f>
        <x:v>3</x:v>
      </x:c>
      <x:c r="S2286" s="11" t="n">
        <x:f>IF(D2286="Completed",L2286,0)</x:f>
        <x:v>0</x:v>
      </x:c>
      <x:c r="T2286" s="8" t="n">
        <x:f>DATE(YEAR(C2286),MONTH(C2286),1)</x:f>
        <x:v>45809</x:v>
      </x:c>
    </x:row>
    <x:row r="2287" ht="22" customHeight="1">
      <x:c r="A2287" s="2" t="str">
        <x:v>L002283</x:v>
      </x:c>
      <x:c r="B2287" s="2" t="str">
        <x:v>O00939</x:v>
      </x:c>
      <x:c r="C2287" s="7" t="n">
        <x:v>45711</x:v>
      </x:c>
      <x:c r="D2287" s="2" t="str">
        <x:v>Completed</x:v>
      </x:c>
      <x:c r="E2287" s="2" t="str">
        <x:v>South</x:v>
      </x:c>
      <x:c r="F2287" s="2" t="str">
        <x:v>Store</x:v>
      </x:c>
      <x:c r="G2287" s="2" t="str">
        <x:v>Lighting</x:v>
      </x:c>
      <x:c r="H2287" s="2" t="str">
        <x:v>Lamp 013</x:v>
      </x:c>
      <x:c r="I2287" s="11" t="n">
        <x:v>4</x:v>
      </x:c>
      <x:c r="J2287" s="9" t="n">
        <x:v>271</x:v>
      </x:c>
      <x:c r="K2287" s="10" t="n">
        <x:v>0.05</x:v>
      </x:c>
      <x:c r="L2287" s="11" t="n">
        <x:v>0</x:v>
      </x:c>
      <x:c r="M2287" s="9" t="n">
        <x:f>IF(D2287="Completed",I2287*J2287,0)</x:f>
        <x:v>1084</x:v>
      </x:c>
      <x:c r="N2287" s="9" t="n">
        <x:f>M2287*K2287</x:f>
        <x:v>54.2</x:v>
      </x:c>
      <x:c r="O2287" s="9" t="n">
        <x:f>M2287-N2287</x:f>
        <x:v>1029.8</x:v>
      </x:c>
      <x:c r="P2287" s="9" t="n">
        <x:f>IF(D2287="Completed",L2287*J2287*(1-K2287),0)</x:f>
        <x:v>0</x:v>
      </x:c>
      <x:c r="Q2287" s="9" t="n">
        <x:f>O2287-P2287</x:f>
        <x:v>1029.8</x:v>
      </x:c>
      <x:c r="R2287" s="11" t="n">
        <x:f>IF(D2287="Completed",I2287,0)</x:f>
        <x:v>4</x:v>
      </x:c>
      <x:c r="S2287" s="11" t="n">
        <x:f>IF(D2287="Completed",L2287,0)</x:f>
        <x:v>0</x:v>
      </x:c>
      <x:c r="T2287" s="8" t="n">
        <x:f>DATE(YEAR(C2287),MONTH(C2287),1)</x:f>
        <x:v>45689</x:v>
      </x:c>
    </x:row>
    <x:row r="2288" ht="22" customHeight="1">
      <x:c r="A2288" s="2" t="str">
        <x:v>L002284</x:v>
      </x:c>
      <x:c r="B2288" s="2" t="str">
        <x:v>O00939</x:v>
      </x:c>
      <x:c r="C2288" s="7" t="n">
        <x:v>45711</x:v>
      </x:c>
      <x:c r="D2288" s="2" t="str">
        <x:v>Completed</x:v>
      </x:c>
      <x:c r="E2288" s="2" t="str">
        <x:v>South</x:v>
      </x:c>
      <x:c r="F2288" s="2" t="str">
        <x:v>Store</x:v>
      </x:c>
      <x:c r="G2288" s="2" t="str">
        <x:v>Lighting</x:v>
      </x:c>
      <x:c r="H2288" s="2" t="str">
        <x:v>Lamp 013</x:v>
      </x:c>
      <x:c r="I2288" s="11" t="n">
        <x:v>3</x:v>
      </x:c>
      <x:c r="J2288" s="9" t="n">
        <x:v>271</x:v>
      </x:c>
      <x:c r="K2288" s="10" t="n">
        <x:v>0</x:v>
      </x:c>
      <x:c r="L2288" s="11" t="n">
        <x:v>0</x:v>
      </x:c>
      <x:c r="M2288" s="9" t="n">
        <x:f>IF(D2288="Completed",I2288*J2288,0)</x:f>
        <x:v>813</x:v>
      </x:c>
      <x:c r="N2288" s="9" t="n">
        <x:f>M2288*K2288</x:f>
        <x:v>0</x:v>
      </x:c>
      <x:c r="O2288" s="9" t="n">
        <x:f>M2288-N2288</x:f>
        <x:v>813</x:v>
      </x:c>
      <x:c r="P2288" s="9" t="n">
        <x:f>IF(D2288="Completed",L2288*J2288*(1-K2288),0)</x:f>
        <x:v>0</x:v>
      </x:c>
      <x:c r="Q2288" s="9" t="n">
        <x:f>O2288-P2288</x:f>
        <x:v>813</x:v>
      </x:c>
      <x:c r="R2288" s="11" t="n">
        <x:f>IF(D2288="Completed",I2288,0)</x:f>
        <x:v>3</x:v>
      </x:c>
      <x:c r="S2288" s="11" t="n">
        <x:f>IF(D2288="Completed",L2288,0)</x:f>
        <x:v>0</x:v>
      </x:c>
      <x:c r="T2288" s="8" t="n">
        <x:f>DATE(YEAR(C2288),MONTH(C2288),1)</x:f>
        <x:v>45689</x:v>
      </x:c>
    </x:row>
    <x:row r="2289" ht="22" customHeight="1">
      <x:c r="A2289" s="2" t="str">
        <x:v>L002285</x:v>
      </x:c>
      <x:c r="B2289" s="2" t="str">
        <x:v>O00940</x:v>
      </x:c>
      <x:c r="C2289" s="7" t="n">
        <x:v>45843</x:v>
      </x:c>
      <x:c r="D2289" s="2" t="str">
        <x:v>Completed</x:v>
      </x:c>
      <x:c r="E2289" s="2" t="str">
        <x:v>East</x:v>
      </x:c>
      <x:c r="F2289" s="2" t="str">
        <x:v>Online</x:v>
      </x:c>
      <x:c r="G2289" s="2" t="str">
        <x:v>Furniture</x:v>
      </x:c>
      <x:c r="H2289" s="2" t="str">
        <x:v>Chair 002</x:v>
      </x:c>
      <x:c r="I2289" s="11" t="n">
        <x:v>1</x:v>
      </x:c>
      <x:c r="J2289" s="9" t="n">
        <x:v>284</x:v>
      </x:c>
      <x:c r="K2289" s="10" t="n">
        <x:v>0.1</x:v>
      </x:c>
      <x:c r="L2289" s="11" t="n">
        <x:v>0</x:v>
      </x:c>
      <x:c r="M2289" s="9" t="n">
        <x:f>IF(D2289="Completed",I2289*J2289,0)</x:f>
        <x:v>284</x:v>
      </x:c>
      <x:c r="N2289" s="9" t="n">
        <x:f>M2289*K2289</x:f>
        <x:v>28.400000000000002</x:v>
      </x:c>
      <x:c r="O2289" s="9" t="n">
        <x:f>M2289-N2289</x:f>
        <x:v>255.6</x:v>
      </x:c>
      <x:c r="P2289" s="9" t="n">
        <x:f>IF(D2289="Completed",L2289*J2289*(1-K2289),0)</x:f>
        <x:v>0</x:v>
      </x:c>
      <x:c r="Q2289" s="9" t="n">
        <x:f>O2289-P2289</x:f>
        <x:v>255.6</x:v>
      </x:c>
      <x:c r="R2289" s="11" t="n">
        <x:f>IF(D2289="Completed",I2289,0)</x:f>
        <x:v>1</x:v>
      </x:c>
      <x:c r="S2289" s="11" t="n">
        <x:f>IF(D2289="Completed",L2289,0)</x:f>
        <x:v>0</x:v>
      </x:c>
      <x:c r="T2289" s="8" t="n">
        <x:f>DATE(YEAR(C2289),MONTH(C2289),1)</x:f>
        <x:v>45839</x:v>
      </x:c>
    </x:row>
    <x:row r="2290" ht="22" customHeight="1">
      <x:c r="A2290" s="2" t="str">
        <x:v>L002286</x:v>
      </x:c>
      <x:c r="B2290" s="2" t="str">
        <x:v>O00940</x:v>
      </x:c>
      <x:c r="C2290" s="7" t="n">
        <x:v>45843</x:v>
      </x:c>
      <x:c r="D2290" s="2" t="str">
        <x:v>Completed</x:v>
      </x:c>
      <x:c r="E2290" s="2" t="str">
        <x:v>East</x:v>
      </x:c>
      <x:c r="F2290" s="2" t="str">
        <x:v>Online</x:v>
      </x:c>
      <x:c r="G2290" s="2" t="str">
        <x:v>Lighting</x:v>
      </x:c>
      <x:c r="H2290" s="2" t="str">
        <x:v>Lamp 009</x:v>
      </x:c>
      <x:c r="I2290" s="11" t="n">
        <x:v>3</x:v>
      </x:c>
      <x:c r="J2290" s="9" t="n">
        <x:v>93</x:v>
      </x:c>
      <x:c r="K2290" s="10" t="n">
        <x:v>0.2</x:v>
      </x:c>
      <x:c r="L2290" s="11" t="n">
        <x:v>0</x:v>
      </x:c>
      <x:c r="M2290" s="9" t="n">
        <x:f>IF(D2290="Completed",I2290*J2290,0)</x:f>
        <x:v>279</x:v>
      </x:c>
      <x:c r="N2290" s="9" t="n">
        <x:f>M2290*K2290</x:f>
        <x:v>55.800000000000004</x:v>
      </x:c>
      <x:c r="O2290" s="9" t="n">
        <x:f>M2290-N2290</x:f>
        <x:v>223.2</x:v>
      </x:c>
      <x:c r="P2290" s="9" t="n">
        <x:f>IF(D2290="Completed",L2290*J2290*(1-K2290),0)</x:f>
        <x:v>0</x:v>
      </x:c>
      <x:c r="Q2290" s="9" t="n">
        <x:f>O2290-P2290</x:f>
        <x:v>223.2</x:v>
      </x:c>
      <x:c r="R2290" s="11" t="n">
        <x:f>IF(D2290="Completed",I2290,0)</x:f>
        <x:v>3</x:v>
      </x:c>
      <x:c r="S2290" s="11" t="n">
        <x:f>IF(D2290="Completed",L2290,0)</x:f>
        <x:v>0</x:v>
      </x:c>
      <x:c r="T2290" s="8" t="n">
        <x:f>DATE(YEAR(C2290),MONTH(C2290),1)</x:f>
        <x:v>45839</x:v>
      </x:c>
    </x:row>
    <x:row r="2291" ht="22" customHeight="1">
      <x:c r="A2291" s="2" t="str">
        <x:v>L002287</x:v>
      </x:c>
      <x:c r="B2291" s="2" t="str">
        <x:v>O00941</x:v>
      </x:c>
      <x:c r="C2291" s="7" t="n">
        <x:v>46004</x:v>
      </x:c>
      <x:c r="D2291" s="2" t="str">
        <x:v>Completed</x:v>
      </x:c>
      <x:c r="E2291" s="2" t="str">
        <x:v>West</x:v>
      </x:c>
      <x:c r="F2291" s="2" t="str">
        <x:v>Store</x:v>
      </x:c>
      <x:c r="G2291" s="2" t="str">
        <x:v>Furniture</x:v>
      </x:c>
      <x:c r="H2291" s="2" t="str">
        <x:v>Chair 006</x:v>
      </x:c>
      <x:c r="I2291" s="11" t="n">
        <x:v>3</x:v>
      </x:c>
      <x:c r="J2291" s="9" t="n">
        <x:v>196</x:v>
      </x:c>
      <x:c r="K2291" s="10" t="n">
        <x:v>0</x:v>
      </x:c>
      <x:c r="L2291" s="11" t="n">
        <x:v>0</x:v>
      </x:c>
      <x:c r="M2291" s="9" t="n">
        <x:f>IF(D2291="Completed",I2291*J2291,0)</x:f>
        <x:v>588</x:v>
      </x:c>
      <x:c r="N2291" s="9" t="n">
        <x:f>M2291*K2291</x:f>
        <x:v>0</x:v>
      </x:c>
      <x:c r="O2291" s="9" t="n">
        <x:f>M2291-N2291</x:f>
        <x:v>588</x:v>
      </x:c>
      <x:c r="P2291" s="9" t="n">
        <x:f>IF(D2291="Completed",L2291*J2291*(1-K2291),0)</x:f>
        <x:v>0</x:v>
      </x:c>
      <x:c r="Q2291" s="9" t="n">
        <x:f>O2291-P2291</x:f>
        <x:v>588</x:v>
      </x:c>
      <x:c r="R2291" s="11" t="n">
        <x:f>IF(D2291="Completed",I2291,0)</x:f>
        <x:v>3</x:v>
      </x:c>
      <x:c r="S2291" s="11" t="n">
        <x:f>IF(D2291="Completed",L2291,0)</x:f>
        <x:v>0</x:v>
      </x:c>
      <x:c r="T2291" s="8" t="n">
        <x:f>DATE(YEAR(C2291),MONTH(C2291),1)</x:f>
        <x:v>45992</x:v>
      </x:c>
    </x:row>
    <x:row r="2292" ht="22" customHeight="1">
      <x:c r="A2292" s="2" t="str">
        <x:v>L002288</x:v>
      </x:c>
      <x:c r="B2292" s="2" t="str">
        <x:v>O00941</x:v>
      </x:c>
      <x:c r="C2292" s="7" t="n">
        <x:v>46004</x:v>
      </x:c>
      <x:c r="D2292" s="2" t="str">
        <x:v>Completed</x:v>
      </x:c>
      <x:c r="E2292" s="2" t="str">
        <x:v>West</x:v>
      </x:c>
      <x:c r="F2292" s="2" t="str">
        <x:v>Store</x:v>
      </x:c>
      <x:c r="G2292" s="2" t="str">
        <x:v>Furniture</x:v>
      </x:c>
      <x:c r="H2292" s="2" t="str">
        <x:v>Desk 004</x:v>
      </x:c>
      <x:c r="I2292" s="11" t="n">
        <x:v>1</x:v>
      </x:c>
      <x:c r="J2292" s="9" t="n">
        <x:v>123</x:v>
      </x:c>
      <x:c r="K2292" s="10" t="n">
        <x:v>0.05</x:v>
      </x:c>
      <x:c r="L2292" s="11" t="n">
        <x:v>0</x:v>
      </x:c>
      <x:c r="M2292" s="9" t="n">
        <x:f>IF(D2292="Completed",I2292*J2292,0)</x:f>
        <x:v>123</x:v>
      </x:c>
      <x:c r="N2292" s="9" t="n">
        <x:f>M2292*K2292</x:f>
        <x:v>6.15</x:v>
      </x:c>
      <x:c r="O2292" s="9" t="n">
        <x:f>M2292-N2292</x:f>
        <x:v>116.85</x:v>
      </x:c>
      <x:c r="P2292" s="9" t="n">
        <x:f>IF(D2292="Completed",L2292*J2292*(1-K2292),0)</x:f>
        <x:v>0</x:v>
      </x:c>
      <x:c r="Q2292" s="9" t="n">
        <x:f>O2292-P2292</x:f>
        <x:v>116.85</x:v>
      </x:c>
      <x:c r="R2292" s="11" t="n">
        <x:f>IF(D2292="Completed",I2292,0)</x:f>
        <x:v>1</x:v>
      </x:c>
      <x:c r="S2292" s="11" t="n">
        <x:f>IF(D2292="Completed",L2292,0)</x:f>
        <x:v>0</x:v>
      </x:c>
      <x:c r="T2292" s="8" t="n">
        <x:f>DATE(YEAR(C2292),MONTH(C2292),1)</x:f>
        <x:v>45992</x:v>
      </x:c>
    </x:row>
    <x:row r="2293" ht="22" customHeight="1">
      <x:c r="A2293" s="2" t="str">
        <x:v>L002289</x:v>
      </x:c>
      <x:c r="B2293" s="2" t="str">
        <x:v>O00942</x:v>
      </x:c>
      <x:c r="C2293" s="7" t="n">
        <x:v>45879</x:v>
      </x:c>
      <x:c r="D2293" s="2" t="str">
        <x:v>Completed</x:v>
      </x:c>
      <x:c r="E2293" s="2" t="str">
        <x:v>West</x:v>
      </x:c>
      <x:c r="F2293" s="2" t="str">
        <x:v>Store</x:v>
      </x:c>
      <x:c r="G2293" s="2" t="str">
        <x:v>Lighting</x:v>
      </x:c>
      <x:c r="H2293" s="2" t="str">
        <x:v>Lamp 005</x:v>
      </x:c>
      <x:c r="I2293" s="11" t="n">
        <x:v>1</x:v>
      </x:c>
      <x:c r="J2293" s="9" t="n">
        <x:v>65</x:v>
      </x:c>
      <x:c r="K2293" s="10" t="n">
        <x:v>0</x:v>
      </x:c>
      <x:c r="L2293" s="11" t="n">
        <x:v>0</x:v>
      </x:c>
      <x:c r="M2293" s="9" t="n">
        <x:f>IF(D2293="Completed",I2293*J2293,0)</x:f>
        <x:v>65</x:v>
      </x:c>
      <x:c r="N2293" s="9" t="n">
        <x:f>M2293*K2293</x:f>
        <x:v>0</x:v>
      </x:c>
      <x:c r="O2293" s="9" t="n">
        <x:f>M2293-N2293</x:f>
        <x:v>65</x:v>
      </x:c>
      <x:c r="P2293" s="9" t="n">
        <x:f>IF(D2293="Completed",L2293*J2293*(1-K2293),0)</x:f>
        <x:v>0</x:v>
      </x:c>
      <x:c r="Q2293" s="9" t="n">
        <x:f>O2293-P2293</x:f>
        <x:v>65</x:v>
      </x:c>
      <x:c r="R2293" s="11" t="n">
        <x:f>IF(D2293="Completed",I2293,0)</x:f>
        <x:v>1</x:v>
      </x:c>
      <x:c r="S2293" s="11" t="n">
        <x:f>IF(D2293="Completed",L2293,0)</x:f>
        <x:v>0</x:v>
      </x:c>
      <x:c r="T2293" s="8" t="n">
        <x:f>DATE(YEAR(C2293),MONTH(C2293),1)</x:f>
        <x:v>45870</x:v>
      </x:c>
    </x:row>
    <x:row r="2294" ht="22" customHeight="1">
      <x:c r="A2294" s="2" t="str">
        <x:v>L002290</x:v>
      </x:c>
      <x:c r="B2294" s="2" t="str">
        <x:v>O00942</x:v>
      </x:c>
      <x:c r="C2294" s="7" t="n">
        <x:v>45879</x:v>
      </x:c>
      <x:c r="D2294" s="2" t="str">
        <x:v>Completed</x:v>
      </x:c>
      <x:c r="E2294" s="2" t="str">
        <x:v>West</x:v>
      </x:c>
      <x:c r="F2294" s="2" t="str">
        <x:v>Store</x:v>
      </x:c>
      <x:c r="G2294" s="2" t="str">
        <x:v>Furniture</x:v>
      </x:c>
      <x:c r="H2294" s="2" t="str">
        <x:v>Chair 022</x:v>
      </x:c>
      <x:c r="I2294" s="11" t="n">
        <x:v>3</x:v>
      </x:c>
      <x:c r="J2294" s="9" t="n">
        <x:v>134</x:v>
      </x:c>
      <x:c r="K2294" s="10" t="n">
        <x:v>0.05</x:v>
      </x:c>
      <x:c r="L2294" s="11" t="n">
        <x:v>0</x:v>
      </x:c>
      <x:c r="M2294" s="9" t="n">
        <x:f>IF(D2294="Completed",I2294*J2294,0)</x:f>
        <x:v>402</x:v>
      </x:c>
      <x:c r="N2294" s="9" t="n">
        <x:f>M2294*K2294</x:f>
        <x:v>20.1</x:v>
      </x:c>
      <x:c r="O2294" s="9" t="n">
        <x:f>M2294-N2294</x:f>
        <x:v>381.9</x:v>
      </x:c>
      <x:c r="P2294" s="9" t="n">
        <x:f>IF(D2294="Completed",L2294*J2294*(1-K2294),0)</x:f>
        <x:v>0</x:v>
      </x:c>
      <x:c r="Q2294" s="9" t="n">
        <x:f>O2294-P2294</x:f>
        <x:v>381.9</x:v>
      </x:c>
      <x:c r="R2294" s="11" t="n">
        <x:f>IF(D2294="Completed",I2294,0)</x:f>
        <x:v>3</x:v>
      </x:c>
      <x:c r="S2294" s="11" t="n">
        <x:f>IF(D2294="Completed",L2294,0)</x:f>
        <x:v>0</x:v>
      </x:c>
      <x:c r="T2294" s="8" t="n">
        <x:f>DATE(YEAR(C2294),MONTH(C2294),1)</x:f>
        <x:v>45870</x:v>
      </x:c>
    </x:row>
    <x:row r="2295" ht="22" customHeight="1">
      <x:c r="A2295" s="2" t="str">
        <x:v>L002291</x:v>
      </x:c>
      <x:c r="B2295" s="2" t="str">
        <x:v>O00942</x:v>
      </x:c>
      <x:c r="C2295" s="7" t="n">
        <x:v>45879</x:v>
      </x:c>
      <x:c r="D2295" s="2" t="str">
        <x:v>Completed</x:v>
      </x:c>
      <x:c r="E2295" s="2" t="str">
        <x:v>West</x:v>
      </x:c>
      <x:c r="F2295" s="2" t="str">
        <x:v>Store</x:v>
      </x:c>
      <x:c r="G2295" s="2" t="str">
        <x:v>Storage</x:v>
      </x:c>
      <x:c r="H2295" s="2" t="str">
        <x:v>Shelf 007</x:v>
      </x:c>
      <x:c r="I2295" s="11" t="n">
        <x:v>5</x:v>
      </x:c>
      <x:c r="J2295" s="9" t="n">
        <x:v>35</x:v>
      </x:c>
      <x:c r="K2295" s="10" t="n">
        <x:v>0.2</x:v>
      </x:c>
      <x:c r="L2295" s="11" t="n">
        <x:v>0</x:v>
      </x:c>
      <x:c r="M2295" s="9" t="n">
        <x:f>IF(D2295="Completed",I2295*J2295,0)</x:f>
        <x:v>175</x:v>
      </x:c>
      <x:c r="N2295" s="9" t="n">
        <x:f>M2295*K2295</x:f>
        <x:v>35</x:v>
      </x:c>
      <x:c r="O2295" s="9" t="n">
        <x:f>M2295-N2295</x:f>
        <x:v>140</x:v>
      </x:c>
      <x:c r="P2295" s="9" t="n">
        <x:f>IF(D2295="Completed",L2295*J2295*(1-K2295),0)</x:f>
        <x:v>0</x:v>
      </x:c>
      <x:c r="Q2295" s="9" t="n">
        <x:f>O2295-P2295</x:f>
        <x:v>140</x:v>
      </x:c>
      <x:c r="R2295" s="11" t="n">
        <x:f>IF(D2295="Completed",I2295,0)</x:f>
        <x:v>5</x:v>
      </x:c>
      <x:c r="S2295" s="11" t="n">
        <x:f>IF(D2295="Completed",L2295,0)</x:f>
        <x:v>0</x:v>
      </x:c>
      <x:c r="T2295" s="8" t="n">
        <x:f>DATE(YEAR(C2295),MONTH(C2295),1)</x:f>
        <x:v>45870</x:v>
      </x:c>
    </x:row>
    <x:row r="2296" ht="22" customHeight="1">
      <x:c r="A2296" s="2" t="str">
        <x:v>L002292</x:v>
      </x:c>
      <x:c r="B2296" s="2" t="str">
        <x:v>O00942</x:v>
      </x:c>
      <x:c r="C2296" s="7" t="n">
        <x:v>45879</x:v>
      </x:c>
      <x:c r="D2296" s="2" t="str">
        <x:v>Completed</x:v>
      </x:c>
      <x:c r="E2296" s="2" t="str">
        <x:v>West</x:v>
      </x:c>
      <x:c r="F2296" s="2" t="str">
        <x:v>Store</x:v>
      </x:c>
      <x:c r="G2296" s="2" t="str">
        <x:v>Furniture</x:v>
      </x:c>
      <x:c r="H2296" s="2" t="str">
        <x:v>Desk 008</x:v>
      </x:c>
      <x:c r="I2296" s="11" t="n">
        <x:v>1</x:v>
      </x:c>
      <x:c r="J2296" s="9" t="n">
        <x:v>188</x:v>
      </x:c>
      <x:c r="K2296" s="10" t="n">
        <x:v>0</x:v>
      </x:c>
      <x:c r="L2296" s="11" t="n">
        <x:v>0</x:v>
      </x:c>
      <x:c r="M2296" s="9" t="n">
        <x:f>IF(D2296="Completed",I2296*J2296,0)</x:f>
        <x:v>188</x:v>
      </x:c>
      <x:c r="N2296" s="9" t="n">
        <x:f>M2296*K2296</x:f>
        <x:v>0</x:v>
      </x:c>
      <x:c r="O2296" s="9" t="n">
        <x:f>M2296-N2296</x:f>
        <x:v>188</x:v>
      </x:c>
      <x:c r="P2296" s="9" t="n">
        <x:f>IF(D2296="Completed",L2296*J2296*(1-K2296),0)</x:f>
        <x:v>0</x:v>
      </x:c>
      <x:c r="Q2296" s="9" t="n">
        <x:f>O2296-P2296</x:f>
        <x:v>188</x:v>
      </x:c>
      <x:c r="R2296" s="11" t="n">
        <x:f>IF(D2296="Completed",I2296,0)</x:f>
        <x:v>1</x:v>
      </x:c>
      <x:c r="S2296" s="11" t="n">
        <x:f>IF(D2296="Completed",L2296,0)</x:f>
        <x:v>0</x:v>
      </x:c>
      <x:c r="T2296" s="8" t="n">
        <x:f>DATE(YEAR(C2296),MONTH(C2296),1)</x:f>
        <x:v>45870</x:v>
      </x:c>
    </x:row>
    <x:row r="2297" ht="22" customHeight="1">
      <x:c r="A2297" s="2" t="str">
        <x:v>L002293</x:v>
      </x:c>
      <x:c r="B2297" s="2" t="str">
        <x:v>O00943</x:v>
      </x:c>
      <x:c r="C2297" s="7" t="n">
        <x:v>45876</x:v>
      </x:c>
      <x:c r="D2297" s="2" t="str">
        <x:v>Completed</x:v>
      </x:c>
      <x:c r="E2297" s="2" t="str">
        <x:v>North</x:v>
      </x:c>
      <x:c r="F2297" s="2" t="str">
        <x:v>Online</x:v>
      </x:c>
      <x:c r="G2297" s="2" t="str">
        <x:v>Storage</x:v>
      </x:c>
      <x:c r="H2297" s="2" t="str">
        <x:v>Shelf 023</x:v>
      </x:c>
      <x:c r="I2297" s="11" t="n">
        <x:v>1</x:v>
      </x:c>
      <x:c r="J2297" s="9" t="n">
        <x:v>68</x:v>
      </x:c>
      <x:c r="K2297" s="10" t="n">
        <x:v>0</x:v>
      </x:c>
      <x:c r="L2297" s="11" t="n">
        <x:v>0</x:v>
      </x:c>
      <x:c r="M2297" s="9" t="n">
        <x:f>IF(D2297="Completed",I2297*J2297,0)</x:f>
        <x:v>68</x:v>
      </x:c>
      <x:c r="N2297" s="9" t="n">
        <x:f>M2297*K2297</x:f>
        <x:v>0</x:v>
      </x:c>
      <x:c r="O2297" s="9" t="n">
        <x:f>M2297-N2297</x:f>
        <x:v>68</x:v>
      </x:c>
      <x:c r="P2297" s="9" t="n">
        <x:f>IF(D2297="Completed",L2297*J2297*(1-K2297),0)</x:f>
        <x:v>0</x:v>
      </x:c>
      <x:c r="Q2297" s="9" t="n">
        <x:f>O2297-P2297</x:f>
        <x:v>68</x:v>
      </x:c>
      <x:c r="R2297" s="11" t="n">
        <x:f>IF(D2297="Completed",I2297,0)</x:f>
        <x:v>1</x:v>
      </x:c>
      <x:c r="S2297" s="11" t="n">
        <x:f>IF(D2297="Completed",L2297,0)</x:f>
        <x:v>0</x:v>
      </x:c>
      <x:c r="T2297" s="8" t="n">
        <x:f>DATE(YEAR(C2297),MONTH(C2297),1)</x:f>
        <x:v>45870</x:v>
      </x:c>
    </x:row>
    <x:row r="2298" ht="22" customHeight="1">
      <x:c r="A2298" s="2" t="str">
        <x:v>L002294</x:v>
      </x:c>
      <x:c r="B2298" s="2" t="str">
        <x:v>O00943</x:v>
      </x:c>
      <x:c r="C2298" s="7" t="n">
        <x:v>45876</x:v>
      </x:c>
      <x:c r="D2298" s="2" t="str">
        <x:v>Completed</x:v>
      </x:c>
      <x:c r="E2298" s="2" t="str">
        <x:v>North</x:v>
      </x:c>
      <x:c r="F2298" s="2" t="str">
        <x:v>Online</x:v>
      </x:c>
      <x:c r="G2298" s="2" t="str">
        <x:v>Lighting</x:v>
      </x:c>
      <x:c r="H2298" s="2" t="str">
        <x:v>Lamp 017</x:v>
      </x:c>
      <x:c r="I2298" s="11" t="n">
        <x:v>2</x:v>
      </x:c>
      <x:c r="J2298" s="9" t="n">
        <x:v>300</x:v>
      </x:c>
      <x:c r="K2298" s="10" t="n">
        <x:v>0.2</x:v>
      </x:c>
      <x:c r="L2298" s="11" t="n">
        <x:v>0</x:v>
      </x:c>
      <x:c r="M2298" s="9" t="n">
        <x:f>IF(D2298="Completed",I2298*J2298,0)</x:f>
        <x:v>600</x:v>
      </x:c>
      <x:c r="N2298" s="9" t="n">
        <x:f>M2298*K2298</x:f>
        <x:v>120</x:v>
      </x:c>
      <x:c r="O2298" s="9" t="n">
        <x:f>M2298-N2298</x:f>
        <x:v>480</x:v>
      </x:c>
      <x:c r="P2298" s="9" t="n">
        <x:f>IF(D2298="Completed",L2298*J2298*(1-K2298),0)</x:f>
        <x:v>0</x:v>
      </x:c>
      <x:c r="Q2298" s="9" t="n">
        <x:f>O2298-P2298</x:f>
        <x:v>480</x:v>
      </x:c>
      <x:c r="R2298" s="11" t="n">
        <x:f>IF(D2298="Completed",I2298,0)</x:f>
        <x:v>2</x:v>
      </x:c>
      <x:c r="S2298" s="11" t="n">
        <x:f>IF(D2298="Completed",L2298,0)</x:f>
        <x:v>0</x:v>
      </x:c>
      <x:c r="T2298" s="8" t="n">
        <x:f>DATE(YEAR(C2298),MONTH(C2298),1)</x:f>
        <x:v>45870</x:v>
      </x:c>
    </x:row>
    <x:row r="2299" ht="22" customHeight="1">
      <x:c r="A2299" s="2" t="str">
        <x:v>L002295</x:v>
      </x:c>
      <x:c r="B2299" s="2" t="str">
        <x:v>O00944</x:v>
      </x:c>
      <x:c r="C2299" s="7" t="n">
        <x:v>45929</x:v>
      </x:c>
      <x:c r="D2299" s="2" t="str">
        <x:v>Completed</x:v>
      </x:c>
      <x:c r="E2299" s="2" t="str">
        <x:v>East</x:v>
      </x:c>
      <x:c r="F2299" s="2" t="str">
        <x:v>Online</x:v>
      </x:c>
      <x:c r="G2299" s="2" t="str">
        <x:v>Storage</x:v>
      </x:c>
      <x:c r="H2299" s="2" t="str">
        <x:v>Shelf 007</x:v>
      </x:c>
      <x:c r="I2299" s="11" t="n">
        <x:v>1</x:v>
      </x:c>
      <x:c r="J2299" s="9" t="n">
        <x:v>35</x:v>
      </x:c>
      <x:c r="K2299" s="10" t="n">
        <x:v>0.1</x:v>
      </x:c>
      <x:c r="L2299" s="11" t="n">
        <x:v>0</x:v>
      </x:c>
      <x:c r="M2299" s="9" t="n">
        <x:f>IF(D2299="Completed",I2299*J2299,0)</x:f>
        <x:v>35</x:v>
      </x:c>
      <x:c r="N2299" s="9" t="n">
        <x:f>M2299*K2299</x:f>
        <x:v>3.5</x:v>
      </x:c>
      <x:c r="O2299" s="9" t="n">
        <x:f>M2299-N2299</x:f>
        <x:v>31.5</x:v>
      </x:c>
      <x:c r="P2299" s="9" t="n">
        <x:f>IF(D2299="Completed",L2299*J2299*(1-K2299),0)</x:f>
        <x:v>0</x:v>
      </x:c>
      <x:c r="Q2299" s="9" t="n">
        <x:f>O2299-P2299</x:f>
        <x:v>31.5</x:v>
      </x:c>
      <x:c r="R2299" s="11" t="n">
        <x:f>IF(D2299="Completed",I2299,0)</x:f>
        <x:v>1</x:v>
      </x:c>
      <x:c r="S2299" s="11" t="n">
        <x:f>IF(D2299="Completed",L2299,0)</x:f>
        <x:v>0</x:v>
      </x:c>
      <x:c r="T2299" s="8" t="n">
        <x:f>DATE(YEAR(C2299),MONTH(C2299),1)</x:f>
        <x:v>45901</x:v>
      </x:c>
    </x:row>
    <x:row r="2300" ht="22" customHeight="1">
      <x:c r="A2300" s="2" t="str">
        <x:v>L002296</x:v>
      </x:c>
      <x:c r="B2300" s="2" t="str">
        <x:v>O00944</x:v>
      </x:c>
      <x:c r="C2300" s="7" t="n">
        <x:v>45929</x:v>
      </x:c>
      <x:c r="D2300" s="2" t="str">
        <x:v>Completed</x:v>
      </x:c>
      <x:c r="E2300" s="2" t="str">
        <x:v>East</x:v>
      </x:c>
      <x:c r="F2300" s="2" t="str">
        <x:v>Online</x:v>
      </x:c>
      <x:c r="G2300" s="2" t="str">
        <x:v>Furniture</x:v>
      </x:c>
      <x:c r="H2300" s="2" t="str">
        <x:v>Desk 004</x:v>
      </x:c>
      <x:c r="I2300" s="11" t="n">
        <x:v>3</x:v>
      </x:c>
      <x:c r="J2300" s="9" t="n">
        <x:v>123</x:v>
      </x:c>
      <x:c r="K2300" s="10" t="n">
        <x:v>0.1</x:v>
      </x:c>
      <x:c r="L2300" s="11" t="n">
        <x:v>0</x:v>
      </x:c>
      <x:c r="M2300" s="9" t="n">
        <x:f>IF(D2300="Completed",I2300*J2300,0)</x:f>
        <x:v>369</x:v>
      </x:c>
      <x:c r="N2300" s="9" t="n">
        <x:f>M2300*K2300</x:f>
        <x:v>36.9</x:v>
      </x:c>
      <x:c r="O2300" s="9" t="n">
        <x:f>M2300-N2300</x:f>
        <x:v>332.1</x:v>
      </x:c>
      <x:c r="P2300" s="9" t="n">
        <x:f>IF(D2300="Completed",L2300*J2300*(1-K2300),0)</x:f>
        <x:v>0</x:v>
      </x:c>
      <x:c r="Q2300" s="9" t="n">
        <x:f>O2300-P2300</x:f>
        <x:v>332.1</x:v>
      </x:c>
      <x:c r="R2300" s="11" t="n">
        <x:f>IF(D2300="Completed",I2300,0)</x:f>
        <x:v>3</x:v>
      </x:c>
      <x:c r="S2300" s="11" t="n">
        <x:f>IF(D2300="Completed",L2300,0)</x:f>
        <x:v>0</x:v>
      </x:c>
      <x:c r="T2300" s="8" t="n">
        <x:f>DATE(YEAR(C2300),MONTH(C2300),1)</x:f>
        <x:v>45901</x:v>
      </x:c>
    </x:row>
    <x:row r="2301" ht="22" customHeight="1">
      <x:c r="A2301" s="2" t="str">
        <x:v>L002297</x:v>
      </x:c>
      <x:c r="B2301" s="2" t="str">
        <x:v>O00945</x:v>
      </x:c>
      <x:c r="C2301" s="7" t="n">
        <x:v>45719</x:v>
      </x:c>
      <x:c r="D2301" s="2" t="str">
        <x:v>Completed</x:v>
      </x:c>
      <x:c r="E2301" s="2" t="str">
        <x:v>West</x:v>
      </x:c>
      <x:c r="F2301" s="2" t="str">
        <x:v>Online</x:v>
      </x:c>
      <x:c r="G2301" s="2" t="str">
        <x:v>Furniture</x:v>
      </x:c>
      <x:c r="H2301" s="2" t="str">
        <x:v>Chair 010</x:v>
      </x:c>
      <x:c r="I2301" s="11" t="n">
        <x:v>4</x:v>
      </x:c>
      <x:c r="J2301" s="9" t="n">
        <x:v>211</x:v>
      </x:c>
      <x:c r="K2301" s="10" t="n">
        <x:v>0.05</x:v>
      </x:c>
      <x:c r="L2301" s="11" t="n">
        <x:v>0</x:v>
      </x:c>
      <x:c r="M2301" s="9" t="n">
        <x:f>IF(D2301="Completed",I2301*J2301,0)</x:f>
        <x:v>844</x:v>
      </x:c>
      <x:c r="N2301" s="9" t="n">
        <x:f>M2301*K2301</x:f>
        <x:v>42.2</x:v>
      </x:c>
      <x:c r="O2301" s="9" t="n">
        <x:f>M2301-N2301</x:f>
        <x:v>801.8</x:v>
      </x:c>
      <x:c r="P2301" s="9" t="n">
        <x:f>IF(D2301="Completed",L2301*J2301*(1-K2301),0)</x:f>
        <x:v>0</x:v>
      </x:c>
      <x:c r="Q2301" s="9" t="n">
        <x:f>O2301-P2301</x:f>
        <x:v>801.8</x:v>
      </x:c>
      <x:c r="R2301" s="11" t="n">
        <x:f>IF(D2301="Completed",I2301,0)</x:f>
        <x:v>4</x:v>
      </x:c>
      <x:c r="S2301" s="11" t="n">
        <x:f>IF(D2301="Completed",L2301,0)</x:f>
        <x:v>0</x:v>
      </x:c>
      <x:c r="T2301" s="8" t="n">
        <x:f>DATE(YEAR(C2301),MONTH(C2301),1)</x:f>
        <x:v>45717</x:v>
      </x:c>
    </x:row>
    <x:row r="2302" ht="22" customHeight="1">
      <x:c r="A2302" s="2" t="str">
        <x:v>L002298</x:v>
      </x:c>
      <x:c r="B2302" s="2" t="str">
        <x:v>O00945</x:v>
      </x:c>
      <x:c r="C2302" s="7" t="n">
        <x:v>45719</x:v>
      </x:c>
      <x:c r="D2302" s="2" t="str">
        <x:v>Completed</x:v>
      </x:c>
      <x:c r="E2302" s="2" t="str">
        <x:v>West</x:v>
      </x:c>
      <x:c r="F2302" s="2" t="str">
        <x:v>Online</x:v>
      </x:c>
      <x:c r="G2302" s="2" t="str">
        <x:v>Storage</x:v>
      </x:c>
      <x:c r="H2302" s="2" t="str">
        <x:v>Shelf 015</x:v>
      </x:c>
      <x:c r="I2302" s="11" t="n">
        <x:v>2</x:v>
      </x:c>
      <x:c r="J2302" s="9" t="n">
        <x:v>254</x:v>
      </x:c>
      <x:c r="K2302" s="10" t="n">
        <x:v>0.1</x:v>
      </x:c>
      <x:c r="L2302" s="11" t="n">
        <x:v>0</x:v>
      </x:c>
      <x:c r="M2302" s="9" t="n">
        <x:f>IF(D2302="Completed",I2302*J2302,0)</x:f>
        <x:v>508</x:v>
      </x:c>
      <x:c r="N2302" s="9" t="n">
        <x:f>M2302*K2302</x:f>
        <x:v>50.800000000000004</x:v>
      </x:c>
      <x:c r="O2302" s="9" t="n">
        <x:f>M2302-N2302</x:f>
        <x:v>457.2</x:v>
      </x:c>
      <x:c r="P2302" s="9" t="n">
        <x:f>IF(D2302="Completed",L2302*J2302*(1-K2302),0)</x:f>
        <x:v>0</x:v>
      </x:c>
      <x:c r="Q2302" s="9" t="n">
        <x:f>O2302-P2302</x:f>
        <x:v>457.2</x:v>
      </x:c>
      <x:c r="R2302" s="11" t="n">
        <x:f>IF(D2302="Completed",I2302,0)</x:f>
        <x:v>2</x:v>
      </x:c>
      <x:c r="S2302" s="11" t="n">
        <x:f>IF(D2302="Completed",L2302,0)</x:f>
        <x:v>0</x:v>
      </x:c>
      <x:c r="T2302" s="8" t="n">
        <x:f>DATE(YEAR(C2302),MONTH(C2302),1)</x:f>
        <x:v>45717</x:v>
      </x:c>
    </x:row>
    <x:row r="2303" ht="22" customHeight="1">
      <x:c r="A2303" s="2" t="str">
        <x:v>L002299</x:v>
      </x:c>
      <x:c r="B2303" s="2" t="str">
        <x:v>O00946</x:v>
      </x:c>
      <x:c r="C2303" s="7" t="n">
        <x:v>45799</x:v>
      </x:c>
      <x:c r="D2303" s="2" t="str">
        <x:v>Completed</x:v>
      </x:c>
      <x:c r="E2303" s="2" t="str">
        <x:v>West</x:v>
      </x:c>
      <x:c r="F2303" s="2" t="str">
        <x:v>Store</x:v>
      </x:c>
      <x:c r="G2303" s="2" t="str">
        <x:v>Furniture</x:v>
      </x:c>
      <x:c r="H2303" s="2" t="str">
        <x:v>Desk 024</x:v>
      </x:c>
      <x:c r="I2303" s="11" t="n">
        <x:v>3</x:v>
      </x:c>
      <x:c r="J2303" s="9" t="n">
        <x:v>81</x:v>
      </x:c>
      <x:c r="K2303" s="10" t="n">
        <x:v>0</x:v>
      </x:c>
      <x:c r="L2303" s="11" t="n">
        <x:v>0</x:v>
      </x:c>
      <x:c r="M2303" s="9" t="n">
        <x:f>IF(D2303="Completed",I2303*J2303,0)</x:f>
        <x:v>243</x:v>
      </x:c>
      <x:c r="N2303" s="9" t="n">
        <x:f>M2303*K2303</x:f>
        <x:v>0</x:v>
      </x:c>
      <x:c r="O2303" s="9" t="n">
        <x:f>M2303-N2303</x:f>
        <x:v>243</x:v>
      </x:c>
      <x:c r="P2303" s="9" t="n">
        <x:f>IF(D2303="Completed",L2303*J2303*(1-K2303),0)</x:f>
        <x:v>0</x:v>
      </x:c>
      <x:c r="Q2303" s="9" t="n">
        <x:f>O2303-P2303</x:f>
        <x:v>243</x:v>
      </x:c>
      <x:c r="R2303" s="11" t="n">
        <x:f>IF(D2303="Completed",I2303,0)</x:f>
        <x:v>3</x:v>
      </x:c>
      <x:c r="S2303" s="11" t="n">
        <x:f>IF(D2303="Completed",L2303,0)</x:f>
        <x:v>0</x:v>
      </x:c>
      <x:c r="T2303" s="8" t="n">
        <x:f>DATE(YEAR(C2303),MONTH(C2303),1)</x:f>
        <x:v>45778</x:v>
      </x:c>
    </x:row>
    <x:row r="2304" ht="22" customHeight="1">
      <x:c r="A2304" s="2" t="str">
        <x:v>L002300</x:v>
      </x:c>
      <x:c r="B2304" s="2" t="str">
        <x:v>O00947</x:v>
      </x:c>
      <x:c r="C2304" s="7" t="n">
        <x:v>46011</x:v>
      </x:c>
      <x:c r="D2304" s="2" t="str">
        <x:v>Completed</x:v>
      </x:c>
      <x:c r="E2304" s="2" t="str">
        <x:v>West</x:v>
      </x:c>
      <x:c r="F2304" s="2" t="str">
        <x:v>Store</x:v>
      </x:c>
      <x:c r="G2304" s="2" t="str">
        <x:v>Furniture</x:v>
      </x:c>
      <x:c r="H2304" s="2" t="str">
        <x:v>Desk 020</x:v>
      </x:c>
      <x:c r="I2304" s="11" t="n">
        <x:v>3</x:v>
      </x:c>
      <x:c r="J2304" s="9" t="n">
        <x:v>189</x:v>
      </x:c>
      <x:c r="K2304" s="10" t="n">
        <x:v>0.2</x:v>
      </x:c>
      <x:c r="L2304" s="11" t="n">
        <x:v>0</x:v>
      </x:c>
      <x:c r="M2304" s="9" t="n">
        <x:f>IF(D2304="Completed",I2304*J2304,0)</x:f>
        <x:v>567</x:v>
      </x:c>
      <x:c r="N2304" s="9" t="n">
        <x:f>M2304*K2304</x:f>
        <x:v>113.4</x:v>
      </x:c>
      <x:c r="O2304" s="9" t="n">
        <x:f>M2304-N2304</x:f>
        <x:v>453.6</x:v>
      </x:c>
      <x:c r="P2304" s="9" t="n">
        <x:f>IF(D2304="Completed",L2304*J2304*(1-K2304),0)</x:f>
        <x:v>0</x:v>
      </x:c>
      <x:c r="Q2304" s="9" t="n">
        <x:f>O2304-P2304</x:f>
        <x:v>453.6</x:v>
      </x:c>
      <x:c r="R2304" s="11" t="n">
        <x:f>IF(D2304="Completed",I2304,0)</x:f>
        <x:v>3</x:v>
      </x:c>
      <x:c r="S2304" s="11" t="n">
        <x:f>IF(D2304="Completed",L2304,0)</x:f>
        <x:v>0</x:v>
      </x:c>
      <x:c r="T2304" s="8" t="n">
        <x:f>DATE(YEAR(C2304),MONTH(C2304),1)</x:f>
        <x:v>45992</x:v>
      </x:c>
    </x:row>
    <x:row r="2305" ht="22" customHeight="1">
      <x:c r="A2305" s="2" t="str">
        <x:v>L002301</x:v>
      </x:c>
      <x:c r="B2305" s="2" t="str">
        <x:v>O00947</x:v>
      </x:c>
      <x:c r="C2305" s="7" t="n">
        <x:v>46011</x:v>
      </x:c>
      <x:c r="D2305" s="2" t="str">
        <x:v>Completed</x:v>
      </x:c>
      <x:c r="E2305" s="2" t="str">
        <x:v>West</x:v>
      </x:c>
      <x:c r="F2305" s="2" t="str">
        <x:v>Store</x:v>
      </x:c>
      <x:c r="G2305" s="2" t="str">
        <x:v>Lighting</x:v>
      </x:c>
      <x:c r="H2305" s="2" t="str">
        <x:v>Lamp 021</x:v>
      </x:c>
      <x:c r="I2305" s="11" t="n">
        <x:v>1</x:v>
      </x:c>
      <x:c r="J2305" s="9" t="n">
        <x:v>249</x:v>
      </x:c>
      <x:c r="K2305" s="10" t="n">
        <x:v>0.2</x:v>
      </x:c>
      <x:c r="L2305" s="11" t="n">
        <x:v>0</x:v>
      </x:c>
      <x:c r="M2305" s="9" t="n">
        <x:f>IF(D2305="Completed",I2305*J2305,0)</x:f>
        <x:v>249</x:v>
      </x:c>
      <x:c r="N2305" s="9" t="n">
        <x:f>M2305*K2305</x:f>
        <x:v>49.800000000000004</x:v>
      </x:c>
      <x:c r="O2305" s="9" t="n">
        <x:f>M2305-N2305</x:f>
        <x:v>199.2</x:v>
      </x:c>
      <x:c r="P2305" s="9" t="n">
        <x:f>IF(D2305="Completed",L2305*J2305*(1-K2305),0)</x:f>
        <x:v>0</x:v>
      </x:c>
      <x:c r="Q2305" s="9" t="n">
        <x:f>O2305-P2305</x:f>
        <x:v>199.2</x:v>
      </x:c>
      <x:c r="R2305" s="11" t="n">
        <x:f>IF(D2305="Completed",I2305,0)</x:f>
        <x:v>1</x:v>
      </x:c>
      <x:c r="S2305" s="11" t="n">
        <x:f>IF(D2305="Completed",L2305,0)</x:f>
        <x:v>0</x:v>
      </x:c>
      <x:c r="T2305" s="8" t="n">
        <x:f>DATE(YEAR(C2305),MONTH(C2305),1)</x:f>
        <x:v>45992</x:v>
      </x:c>
    </x:row>
    <x:row r="2306" ht="22" customHeight="1">
      <x:c r="A2306" s="2" t="str">
        <x:v>L002302</x:v>
      </x:c>
      <x:c r="B2306" s="2" t="str">
        <x:v>O00948</x:v>
      </x:c>
      <x:c r="C2306" s="7" t="n">
        <x:v>45788</x:v>
      </x:c>
      <x:c r="D2306" s="2" t="str">
        <x:v>Completed</x:v>
      </x:c>
      <x:c r="E2306" s="2" t="str">
        <x:v>East</x:v>
      </x:c>
      <x:c r="F2306" s="2" t="str">
        <x:v>Store</x:v>
      </x:c>
      <x:c r="G2306" s="2" t="str">
        <x:v>Furniture</x:v>
      </x:c>
      <x:c r="H2306" s="2" t="str">
        <x:v>Desk 004</x:v>
      </x:c>
      <x:c r="I2306" s="11" t="n">
        <x:v>3</x:v>
      </x:c>
      <x:c r="J2306" s="9" t="n">
        <x:v>123</x:v>
      </x:c>
      <x:c r="K2306" s="10" t="n">
        <x:v>0</x:v>
      </x:c>
      <x:c r="L2306" s="11" t="n">
        <x:v>3</x:v>
      </x:c>
      <x:c r="M2306" s="9" t="n">
        <x:f>IF(D2306="Completed",I2306*J2306,0)</x:f>
        <x:v>369</x:v>
      </x:c>
      <x:c r="N2306" s="9" t="n">
        <x:f>M2306*K2306</x:f>
        <x:v>0</x:v>
      </x:c>
      <x:c r="O2306" s="9" t="n">
        <x:f>M2306-N2306</x:f>
        <x:v>369</x:v>
      </x:c>
      <x:c r="P2306" s="9" t="n">
        <x:f>IF(D2306="Completed",L2306*J2306*(1-K2306),0)</x:f>
        <x:v>369</x:v>
      </x:c>
      <x:c r="Q2306" s="9" t="n">
        <x:f>O2306-P2306</x:f>
        <x:v>0</x:v>
      </x:c>
      <x:c r="R2306" s="11" t="n">
        <x:f>IF(D2306="Completed",I2306,0)</x:f>
        <x:v>3</x:v>
      </x:c>
      <x:c r="S2306" s="11" t="n">
        <x:f>IF(D2306="Completed",L2306,0)</x:f>
        <x:v>3</x:v>
      </x:c>
      <x:c r="T2306" s="8" t="n">
        <x:f>DATE(YEAR(C2306),MONTH(C2306),1)</x:f>
        <x:v>45778</x:v>
      </x:c>
    </x:row>
    <x:row r="2307" ht="22" customHeight="1">
      <x:c r="A2307" s="2" t="str">
        <x:v>L002303</x:v>
      </x:c>
      <x:c r="B2307" s="2" t="str">
        <x:v>O00949</x:v>
      </x:c>
      <x:c r="C2307" s="7" t="n">
        <x:v>45969</x:v>
      </x:c>
      <x:c r="D2307" s="2" t="str">
        <x:v>Completed</x:v>
      </x:c>
      <x:c r="E2307" s="2" t="str">
        <x:v>South</x:v>
      </x:c>
      <x:c r="F2307" s="2" t="str">
        <x:v>Store</x:v>
      </x:c>
      <x:c r="G2307" s="2" t="str">
        <x:v>Furniture</x:v>
      </x:c>
      <x:c r="H2307" s="2" t="str">
        <x:v>Chair 006</x:v>
      </x:c>
      <x:c r="I2307" s="11" t="n">
        <x:v>4</x:v>
      </x:c>
      <x:c r="J2307" s="9" t="n">
        <x:v>196</x:v>
      </x:c>
      <x:c r="K2307" s="10" t="n">
        <x:v>0.2</x:v>
      </x:c>
      <x:c r="L2307" s="11" t="n">
        <x:v>0</x:v>
      </x:c>
      <x:c r="M2307" s="9" t="n">
        <x:f>IF(D2307="Completed",I2307*J2307,0)</x:f>
        <x:v>784</x:v>
      </x:c>
      <x:c r="N2307" s="9" t="n">
        <x:f>M2307*K2307</x:f>
        <x:v>156.8</x:v>
      </x:c>
      <x:c r="O2307" s="9" t="n">
        <x:f>M2307-N2307</x:f>
        <x:v>627.2</x:v>
      </x:c>
      <x:c r="P2307" s="9" t="n">
        <x:f>IF(D2307="Completed",L2307*J2307*(1-K2307),0)</x:f>
        <x:v>0</x:v>
      </x:c>
      <x:c r="Q2307" s="9" t="n">
        <x:f>O2307-P2307</x:f>
        <x:v>627.2</x:v>
      </x:c>
      <x:c r="R2307" s="11" t="n">
        <x:f>IF(D2307="Completed",I2307,0)</x:f>
        <x:v>4</x:v>
      </x:c>
      <x:c r="S2307" s="11" t="n">
        <x:f>IF(D2307="Completed",L2307,0)</x:f>
        <x:v>0</x:v>
      </x:c>
      <x:c r="T2307" s="8" t="n">
        <x:f>DATE(YEAR(C2307),MONTH(C2307),1)</x:f>
        <x:v>45962</x:v>
      </x:c>
    </x:row>
    <x:row r="2308" ht="22" customHeight="1">
      <x:c r="A2308" s="2" t="str">
        <x:v>L002304</x:v>
      </x:c>
      <x:c r="B2308" s="2" t="str">
        <x:v>O00949</x:v>
      </x:c>
      <x:c r="C2308" s="7" t="n">
        <x:v>45969</x:v>
      </x:c>
      <x:c r="D2308" s="2" t="str">
        <x:v>Completed</x:v>
      </x:c>
      <x:c r="E2308" s="2" t="str">
        <x:v>South</x:v>
      </x:c>
      <x:c r="F2308" s="2" t="str">
        <x:v>Store</x:v>
      </x:c>
      <x:c r="G2308" s="2" t="str">
        <x:v>Lighting</x:v>
      </x:c>
      <x:c r="H2308" s="2" t="str">
        <x:v>Lamp 013</x:v>
      </x:c>
      <x:c r="I2308" s="11" t="n">
        <x:v>5</x:v>
      </x:c>
      <x:c r="J2308" s="9" t="n">
        <x:v>271</x:v>
      </x:c>
      <x:c r="K2308" s="10" t="n">
        <x:v>0.05</x:v>
      </x:c>
      <x:c r="L2308" s="11" t="n">
        <x:v>0</x:v>
      </x:c>
      <x:c r="M2308" s="9" t="n">
        <x:f>IF(D2308="Completed",I2308*J2308,0)</x:f>
        <x:v>1355</x:v>
      </x:c>
      <x:c r="N2308" s="9" t="n">
        <x:f>M2308*K2308</x:f>
        <x:v>67.75</x:v>
      </x:c>
      <x:c r="O2308" s="9" t="n">
        <x:f>M2308-N2308</x:f>
        <x:v>1287.25</x:v>
      </x:c>
      <x:c r="P2308" s="9" t="n">
        <x:f>IF(D2308="Completed",L2308*J2308*(1-K2308),0)</x:f>
        <x:v>0</x:v>
      </x:c>
      <x:c r="Q2308" s="9" t="n">
        <x:f>O2308-P2308</x:f>
        <x:v>1287.25</x:v>
      </x:c>
      <x:c r="R2308" s="11" t="n">
        <x:f>IF(D2308="Completed",I2308,0)</x:f>
        <x:v>5</x:v>
      </x:c>
      <x:c r="S2308" s="11" t="n">
        <x:f>IF(D2308="Completed",L2308,0)</x:f>
        <x:v>0</x:v>
      </x:c>
      <x:c r="T2308" s="8" t="n">
        <x:f>DATE(YEAR(C2308),MONTH(C2308),1)</x:f>
        <x:v>45962</x:v>
      </x:c>
    </x:row>
    <x:row r="2309" ht="22" customHeight="1">
      <x:c r="A2309" s="2" t="str">
        <x:v>L002305</x:v>
      </x:c>
      <x:c r="B2309" s="2" t="str">
        <x:v>O00949</x:v>
      </x:c>
      <x:c r="C2309" s="7" t="n">
        <x:v>45969</x:v>
      </x:c>
      <x:c r="D2309" s="2" t="str">
        <x:v>Completed</x:v>
      </x:c>
      <x:c r="E2309" s="2" t="str">
        <x:v>South</x:v>
      </x:c>
      <x:c r="F2309" s="2" t="str">
        <x:v>Store</x:v>
      </x:c>
      <x:c r="G2309" s="2" t="str">
        <x:v>Lighting</x:v>
      </x:c>
      <x:c r="H2309" s="2" t="str">
        <x:v>Lamp 021</x:v>
      </x:c>
      <x:c r="I2309" s="11" t="n">
        <x:v>3</x:v>
      </x:c>
      <x:c r="J2309" s="9" t="n">
        <x:v>249</x:v>
      </x:c>
      <x:c r="K2309" s="10" t="n">
        <x:v>0.2</x:v>
      </x:c>
      <x:c r="L2309" s="11" t="n">
        <x:v>0</x:v>
      </x:c>
      <x:c r="M2309" s="9" t="n">
        <x:f>IF(D2309="Completed",I2309*J2309,0)</x:f>
        <x:v>747</x:v>
      </x:c>
      <x:c r="N2309" s="9" t="n">
        <x:f>M2309*K2309</x:f>
        <x:v>149.4</x:v>
      </x:c>
      <x:c r="O2309" s="9" t="n">
        <x:f>M2309-N2309</x:f>
        <x:v>597.6</x:v>
      </x:c>
      <x:c r="P2309" s="9" t="n">
        <x:f>IF(D2309="Completed",L2309*J2309*(1-K2309),0)</x:f>
        <x:v>0</x:v>
      </x:c>
      <x:c r="Q2309" s="9" t="n">
        <x:f>O2309-P2309</x:f>
        <x:v>597.6</x:v>
      </x:c>
      <x:c r="R2309" s="11" t="n">
        <x:f>IF(D2309="Completed",I2309,0)</x:f>
        <x:v>3</x:v>
      </x:c>
      <x:c r="S2309" s="11" t="n">
        <x:f>IF(D2309="Completed",L2309,0)</x:f>
        <x:v>0</x:v>
      </x:c>
      <x:c r="T2309" s="8" t="n">
        <x:f>DATE(YEAR(C2309),MONTH(C2309),1)</x:f>
        <x:v>45962</x:v>
      </x:c>
    </x:row>
    <x:row r="2310" ht="22" customHeight="1">
      <x:c r="A2310" s="2" t="str">
        <x:v>L002306</x:v>
      </x:c>
      <x:c r="B2310" s="2" t="str">
        <x:v>O00950</x:v>
      </x:c>
      <x:c r="C2310" s="7" t="n">
        <x:v>45970</x:v>
      </x:c>
      <x:c r="D2310" s="2" t="str">
        <x:v>Completed</x:v>
      </x:c>
      <x:c r="E2310" s="2" t="str">
        <x:v>West</x:v>
      </x:c>
      <x:c r="F2310" s="2" t="str">
        <x:v>Online</x:v>
      </x:c>
      <x:c r="G2310" s="2" t="str">
        <x:v>Furniture</x:v>
      </x:c>
      <x:c r="H2310" s="2" t="str">
        <x:v>Desk 020</x:v>
      </x:c>
      <x:c r="I2310" s="11" t="n">
        <x:v>3</x:v>
      </x:c>
      <x:c r="J2310" s="9" t="n">
        <x:v>189</x:v>
      </x:c>
      <x:c r="K2310" s="10" t="n">
        <x:v>0.1</x:v>
      </x:c>
      <x:c r="L2310" s="11" t="n">
        <x:v>0</x:v>
      </x:c>
      <x:c r="M2310" s="9" t="n">
        <x:f>IF(D2310="Completed",I2310*J2310,0)</x:f>
        <x:v>567</x:v>
      </x:c>
      <x:c r="N2310" s="9" t="n">
        <x:f>M2310*K2310</x:f>
        <x:v>56.7</x:v>
      </x:c>
      <x:c r="O2310" s="9" t="n">
        <x:f>M2310-N2310</x:f>
        <x:v>510.3</x:v>
      </x:c>
      <x:c r="P2310" s="9" t="n">
        <x:f>IF(D2310="Completed",L2310*J2310*(1-K2310),0)</x:f>
        <x:v>0</x:v>
      </x:c>
      <x:c r="Q2310" s="9" t="n">
        <x:f>O2310-P2310</x:f>
        <x:v>510.3</x:v>
      </x:c>
      <x:c r="R2310" s="11" t="n">
        <x:f>IF(D2310="Completed",I2310,0)</x:f>
        <x:v>3</x:v>
      </x:c>
      <x:c r="S2310" s="11" t="n">
        <x:f>IF(D2310="Completed",L2310,0)</x:f>
        <x:v>0</x:v>
      </x:c>
      <x:c r="T2310" s="8" t="n">
        <x:f>DATE(YEAR(C2310),MONTH(C2310),1)</x:f>
        <x:v>45962</x:v>
      </x:c>
    </x:row>
    <x:row r="2311" ht="22" customHeight="1">
      <x:c r="A2311" s="2" t="str">
        <x:v>L002307</x:v>
      </x:c>
      <x:c r="B2311" s="2" t="str">
        <x:v>O00950</x:v>
      </x:c>
      <x:c r="C2311" s="7" t="n">
        <x:v>45970</x:v>
      </x:c>
      <x:c r="D2311" s="2" t="str">
        <x:v>Completed</x:v>
      </x:c>
      <x:c r="E2311" s="2" t="str">
        <x:v>West</x:v>
      </x:c>
      <x:c r="F2311" s="2" t="str">
        <x:v>Online</x:v>
      </x:c>
      <x:c r="G2311" s="2" t="str">
        <x:v>Furniture</x:v>
      </x:c>
      <x:c r="H2311" s="2" t="str">
        <x:v>Desk 004</x:v>
      </x:c>
      <x:c r="I2311" s="11" t="n">
        <x:v>5</x:v>
      </x:c>
      <x:c r="J2311" s="9" t="n">
        <x:v>123</x:v>
      </x:c>
      <x:c r="K2311" s="10" t="n">
        <x:v>0</x:v>
      </x:c>
      <x:c r="L2311" s="11" t="n">
        <x:v>0</x:v>
      </x:c>
      <x:c r="M2311" s="9" t="n">
        <x:f>IF(D2311="Completed",I2311*J2311,0)</x:f>
        <x:v>615</x:v>
      </x:c>
      <x:c r="N2311" s="9" t="n">
        <x:f>M2311*K2311</x:f>
        <x:v>0</x:v>
      </x:c>
      <x:c r="O2311" s="9" t="n">
        <x:f>M2311-N2311</x:f>
        <x:v>615</x:v>
      </x:c>
      <x:c r="P2311" s="9" t="n">
        <x:f>IF(D2311="Completed",L2311*J2311*(1-K2311),0)</x:f>
        <x:v>0</x:v>
      </x:c>
      <x:c r="Q2311" s="9" t="n">
        <x:f>O2311-P2311</x:f>
        <x:v>615</x:v>
      </x:c>
      <x:c r="R2311" s="11" t="n">
        <x:f>IF(D2311="Completed",I2311,0)</x:f>
        <x:v>5</x:v>
      </x:c>
      <x:c r="S2311" s="11" t="n">
        <x:f>IF(D2311="Completed",L2311,0)</x:f>
        <x:v>0</x:v>
      </x:c>
      <x:c r="T2311" s="8" t="n">
        <x:f>DATE(YEAR(C2311),MONTH(C2311),1)</x:f>
        <x:v>45962</x:v>
      </x:c>
    </x:row>
    <x:row r="2312" ht="22" customHeight="1">
      <x:c r="A2312" s="2" t="str">
        <x:v>L002308</x:v>
      </x:c>
      <x:c r="B2312" s="2" t="str">
        <x:v>O00950</x:v>
      </x:c>
      <x:c r="C2312" s="7" t="n">
        <x:v>45970</x:v>
      </x:c>
      <x:c r="D2312" s="2" t="str">
        <x:v>Completed</x:v>
      </x:c>
      <x:c r="E2312" s="2" t="str">
        <x:v>West</x:v>
      </x:c>
      <x:c r="F2312" s="2" t="str">
        <x:v>Online</x:v>
      </x:c>
      <x:c r="G2312" s="2" t="str">
        <x:v>Storage</x:v>
      </x:c>
      <x:c r="H2312" s="2" t="str">
        <x:v>Shelf 003</x:v>
      </x:c>
      <x:c r="I2312" s="11" t="n">
        <x:v>1</x:v>
      </x:c>
      <x:c r="J2312" s="9" t="n">
        <x:v>199</x:v>
      </x:c>
      <x:c r="K2312" s="10" t="n">
        <x:v>0.05</x:v>
      </x:c>
      <x:c r="L2312" s="11" t="n">
        <x:v>0</x:v>
      </x:c>
      <x:c r="M2312" s="9" t="n">
        <x:f>IF(D2312="Completed",I2312*J2312,0)</x:f>
        <x:v>199</x:v>
      </x:c>
      <x:c r="N2312" s="9" t="n">
        <x:f>M2312*K2312</x:f>
        <x:v>9.950000000000001</x:v>
      </x:c>
      <x:c r="O2312" s="9" t="n">
        <x:f>M2312-N2312</x:f>
        <x:v>189.05</x:v>
      </x:c>
      <x:c r="P2312" s="9" t="n">
        <x:f>IF(D2312="Completed",L2312*J2312*(1-K2312),0)</x:f>
        <x:v>0</x:v>
      </x:c>
      <x:c r="Q2312" s="9" t="n">
        <x:f>O2312-P2312</x:f>
        <x:v>189.05</x:v>
      </x:c>
      <x:c r="R2312" s="11" t="n">
        <x:f>IF(D2312="Completed",I2312,0)</x:f>
        <x:v>1</x:v>
      </x:c>
      <x:c r="S2312" s="11" t="n">
        <x:f>IF(D2312="Completed",L2312,0)</x:f>
        <x:v>0</x:v>
      </x:c>
      <x:c r="T2312" s="8" t="n">
        <x:f>DATE(YEAR(C2312),MONTH(C2312),1)</x:f>
        <x:v>45962</x:v>
      </x:c>
    </x:row>
    <x:row r="2313" ht="22" customHeight="1">
      <x:c r="A2313" s="2" t="str">
        <x:v>L002309</x:v>
      </x:c>
      <x:c r="B2313" s="2" t="str">
        <x:v>O00950</x:v>
      </x:c>
      <x:c r="C2313" s="7" t="n">
        <x:v>45970</x:v>
      </x:c>
      <x:c r="D2313" s="2" t="str">
        <x:v>Completed</x:v>
      </x:c>
      <x:c r="E2313" s="2" t="str">
        <x:v>West</x:v>
      </x:c>
      <x:c r="F2313" s="2" t="str">
        <x:v>Online</x:v>
      </x:c>
      <x:c r="G2313" s="2" t="str">
        <x:v>Storage</x:v>
      </x:c>
      <x:c r="H2313" s="2" t="str">
        <x:v>Shelf 003</x:v>
      </x:c>
      <x:c r="I2313" s="11" t="n">
        <x:v>3</x:v>
      </x:c>
      <x:c r="J2313" s="9" t="n">
        <x:v>199</x:v>
      </x:c>
      <x:c r="K2313" s="10" t="n">
        <x:v>0</x:v>
      </x:c>
      <x:c r="L2313" s="11" t="n">
        <x:v>0</x:v>
      </x:c>
      <x:c r="M2313" s="9" t="n">
        <x:f>IF(D2313="Completed",I2313*J2313,0)</x:f>
        <x:v>597</x:v>
      </x:c>
      <x:c r="N2313" s="9" t="n">
        <x:f>M2313*K2313</x:f>
        <x:v>0</x:v>
      </x:c>
      <x:c r="O2313" s="9" t="n">
        <x:f>M2313-N2313</x:f>
        <x:v>597</x:v>
      </x:c>
      <x:c r="P2313" s="9" t="n">
        <x:f>IF(D2313="Completed",L2313*J2313*(1-K2313),0)</x:f>
        <x:v>0</x:v>
      </x:c>
      <x:c r="Q2313" s="9" t="n">
        <x:f>O2313-P2313</x:f>
        <x:v>597</x:v>
      </x:c>
      <x:c r="R2313" s="11" t="n">
        <x:f>IF(D2313="Completed",I2313,0)</x:f>
        <x:v>3</x:v>
      </x:c>
      <x:c r="S2313" s="11" t="n">
        <x:f>IF(D2313="Completed",L2313,0)</x:f>
        <x:v>0</x:v>
      </x:c>
      <x:c r="T2313" s="8" t="n">
        <x:f>DATE(YEAR(C2313),MONTH(C2313),1)</x:f>
        <x:v>45962</x:v>
      </x:c>
    </x:row>
    <x:row r="2314" ht="22" customHeight="1">
      <x:c r="A2314" s="2" t="str">
        <x:v>L002310</x:v>
      </x:c>
      <x:c r="B2314" s="2" t="str">
        <x:v>O00951</x:v>
      </x:c>
      <x:c r="C2314" s="7" t="n">
        <x:v>45706</x:v>
      </x:c>
      <x:c r="D2314" s="2" t="str">
        <x:v>Completed</x:v>
      </x:c>
      <x:c r="E2314" s="2" t="str">
        <x:v>North</x:v>
      </x:c>
      <x:c r="F2314" s="2" t="str">
        <x:v>Store</x:v>
      </x:c>
      <x:c r="G2314" s="2" t="str">
        <x:v>Storage</x:v>
      </x:c>
      <x:c r="H2314" s="2" t="str">
        <x:v>Shelf 003</x:v>
      </x:c>
      <x:c r="I2314" s="11" t="n">
        <x:v>4</x:v>
      </x:c>
      <x:c r="J2314" s="9" t="n">
        <x:v>199</x:v>
      </x:c>
      <x:c r="K2314" s="10" t="n">
        <x:v>0.05</x:v>
      </x:c>
      <x:c r="L2314" s="11" t="n">
        <x:v>0</x:v>
      </x:c>
      <x:c r="M2314" s="9" t="n">
        <x:f>IF(D2314="Completed",I2314*J2314,0)</x:f>
        <x:v>796</x:v>
      </x:c>
      <x:c r="N2314" s="9" t="n">
        <x:f>M2314*K2314</x:f>
        <x:v>39.800000000000004</x:v>
      </x:c>
      <x:c r="O2314" s="9" t="n">
        <x:f>M2314-N2314</x:f>
        <x:v>756.2</x:v>
      </x:c>
      <x:c r="P2314" s="9" t="n">
        <x:f>IF(D2314="Completed",L2314*J2314*(1-K2314),0)</x:f>
        <x:v>0</x:v>
      </x:c>
      <x:c r="Q2314" s="9" t="n">
        <x:f>O2314-P2314</x:f>
        <x:v>756.2</x:v>
      </x:c>
      <x:c r="R2314" s="11" t="n">
        <x:f>IF(D2314="Completed",I2314,0)</x:f>
        <x:v>4</x:v>
      </x:c>
      <x:c r="S2314" s="11" t="n">
        <x:f>IF(D2314="Completed",L2314,0)</x:f>
        <x:v>0</x:v>
      </x:c>
      <x:c r="T2314" s="8" t="n">
        <x:f>DATE(YEAR(C2314),MONTH(C2314),1)</x:f>
        <x:v>45689</x:v>
      </x:c>
    </x:row>
    <x:row r="2315" ht="22" customHeight="1">
      <x:c r="A2315" s="2" t="str">
        <x:v>L002311</x:v>
      </x:c>
      <x:c r="B2315" s="2" t="str">
        <x:v>O00951</x:v>
      </x:c>
      <x:c r="C2315" s="7" t="n">
        <x:v>45706</x:v>
      </x:c>
      <x:c r="D2315" s="2" t="str">
        <x:v>Completed</x:v>
      </x:c>
      <x:c r="E2315" s="2" t="str">
        <x:v>North</x:v>
      </x:c>
      <x:c r="F2315" s="2" t="str">
        <x:v>Store</x:v>
      </x:c>
      <x:c r="G2315" s="2" t="str">
        <x:v>Furniture</x:v>
      </x:c>
      <x:c r="H2315" s="2" t="str">
        <x:v>Chair 002</x:v>
      </x:c>
      <x:c r="I2315" s="11" t="n">
        <x:v>3</x:v>
      </x:c>
      <x:c r="J2315" s="9" t="n">
        <x:v>284</x:v>
      </x:c>
      <x:c r="K2315" s="10" t="n">
        <x:v>0</x:v>
      </x:c>
      <x:c r="L2315" s="11" t="n">
        <x:v>0</x:v>
      </x:c>
      <x:c r="M2315" s="9" t="n">
        <x:f>IF(D2315="Completed",I2315*J2315,0)</x:f>
        <x:v>852</x:v>
      </x:c>
      <x:c r="N2315" s="9" t="n">
        <x:f>M2315*K2315</x:f>
        <x:v>0</x:v>
      </x:c>
      <x:c r="O2315" s="9" t="n">
        <x:f>M2315-N2315</x:f>
        <x:v>852</x:v>
      </x:c>
      <x:c r="P2315" s="9" t="n">
        <x:f>IF(D2315="Completed",L2315*J2315*(1-K2315),0)</x:f>
        <x:v>0</x:v>
      </x:c>
      <x:c r="Q2315" s="9" t="n">
        <x:f>O2315-P2315</x:f>
        <x:v>852</x:v>
      </x:c>
      <x:c r="R2315" s="11" t="n">
        <x:f>IF(D2315="Completed",I2315,0)</x:f>
        <x:v>3</x:v>
      </x:c>
      <x:c r="S2315" s="11" t="n">
        <x:f>IF(D2315="Completed",L2315,0)</x:f>
        <x:v>0</x:v>
      </x:c>
      <x:c r="T2315" s="8" t="n">
        <x:f>DATE(YEAR(C2315),MONTH(C2315),1)</x:f>
        <x:v>45689</x:v>
      </x:c>
    </x:row>
    <x:row r="2316" ht="22" customHeight="1">
      <x:c r="A2316" s="2" t="str">
        <x:v>L002312</x:v>
      </x:c>
      <x:c r="B2316" s="2" t="str">
        <x:v>O00952</x:v>
      </x:c>
      <x:c r="C2316" s="7" t="n">
        <x:v>45879</x:v>
      </x:c>
      <x:c r="D2316" s="2" t="str">
        <x:v>Completed</x:v>
      </x:c>
      <x:c r="E2316" s="2" t="str">
        <x:v>North</x:v>
      </x:c>
      <x:c r="F2316" s="2" t="str">
        <x:v>Online</x:v>
      </x:c>
      <x:c r="G2316" s="2" t="str">
        <x:v>Lighting</x:v>
      </x:c>
      <x:c r="H2316" s="2" t="str">
        <x:v>Lamp 021</x:v>
      </x:c>
      <x:c r="I2316" s="11" t="n">
        <x:v>3</x:v>
      </x:c>
      <x:c r="J2316" s="9" t="n">
        <x:v>249</x:v>
      </x:c>
      <x:c r="K2316" s="10" t="n">
        <x:v>0.05</x:v>
      </x:c>
      <x:c r="L2316" s="11" t="n">
        <x:v>0</x:v>
      </x:c>
      <x:c r="M2316" s="9" t="n">
        <x:f>IF(D2316="Completed",I2316*J2316,0)</x:f>
        <x:v>747</x:v>
      </x:c>
      <x:c r="N2316" s="9" t="n">
        <x:f>M2316*K2316</x:f>
        <x:v>37.35</x:v>
      </x:c>
      <x:c r="O2316" s="9" t="n">
        <x:f>M2316-N2316</x:f>
        <x:v>709.65</x:v>
      </x:c>
      <x:c r="P2316" s="9" t="n">
        <x:f>IF(D2316="Completed",L2316*J2316*(1-K2316),0)</x:f>
        <x:v>0</x:v>
      </x:c>
      <x:c r="Q2316" s="9" t="n">
        <x:f>O2316-P2316</x:f>
        <x:v>709.65</x:v>
      </x:c>
      <x:c r="R2316" s="11" t="n">
        <x:f>IF(D2316="Completed",I2316,0)</x:f>
        <x:v>3</x:v>
      </x:c>
      <x:c r="S2316" s="11" t="n">
        <x:f>IF(D2316="Completed",L2316,0)</x:f>
        <x:v>0</x:v>
      </x:c>
      <x:c r="T2316" s="8" t="n">
        <x:f>DATE(YEAR(C2316),MONTH(C2316),1)</x:f>
        <x:v>45870</x:v>
      </x:c>
    </x:row>
    <x:row r="2317" ht="22" customHeight="1">
      <x:c r="A2317" s="2" t="str">
        <x:v>L002313</x:v>
      </x:c>
      <x:c r="B2317" s="2" t="str">
        <x:v>O00952</x:v>
      </x:c>
      <x:c r="C2317" s="7" t="n">
        <x:v>45879</x:v>
      </x:c>
      <x:c r="D2317" s="2" t="str">
        <x:v>Completed</x:v>
      </x:c>
      <x:c r="E2317" s="2" t="str">
        <x:v>North</x:v>
      </x:c>
      <x:c r="F2317" s="2" t="str">
        <x:v>Online</x:v>
      </x:c>
      <x:c r="G2317" s="2" t="str">
        <x:v>Lighting</x:v>
      </x:c>
      <x:c r="H2317" s="2" t="str">
        <x:v>Lamp 017</x:v>
      </x:c>
      <x:c r="I2317" s="11" t="n">
        <x:v>4</x:v>
      </x:c>
      <x:c r="J2317" s="9" t="n">
        <x:v>300</x:v>
      </x:c>
      <x:c r="K2317" s="10" t="n">
        <x:v>0.05</x:v>
      </x:c>
      <x:c r="L2317" s="11" t="n">
        <x:v>0</x:v>
      </x:c>
      <x:c r="M2317" s="9" t="n">
        <x:f>IF(D2317="Completed",I2317*J2317,0)</x:f>
        <x:v>1200</x:v>
      </x:c>
      <x:c r="N2317" s="9" t="n">
        <x:f>M2317*K2317</x:f>
        <x:v>60</x:v>
      </x:c>
      <x:c r="O2317" s="9" t="n">
        <x:f>M2317-N2317</x:f>
        <x:v>1140</x:v>
      </x:c>
      <x:c r="P2317" s="9" t="n">
        <x:f>IF(D2317="Completed",L2317*J2317*(1-K2317),0)</x:f>
        <x:v>0</x:v>
      </x:c>
      <x:c r="Q2317" s="9" t="n">
        <x:f>O2317-P2317</x:f>
        <x:v>1140</x:v>
      </x:c>
      <x:c r="R2317" s="11" t="n">
        <x:f>IF(D2317="Completed",I2317,0)</x:f>
        <x:v>4</x:v>
      </x:c>
      <x:c r="S2317" s="11" t="n">
        <x:f>IF(D2317="Completed",L2317,0)</x:f>
        <x:v>0</x:v>
      </x:c>
      <x:c r="T2317" s="8" t="n">
        <x:f>DATE(YEAR(C2317),MONTH(C2317),1)</x:f>
        <x:v>45870</x:v>
      </x:c>
    </x:row>
    <x:row r="2318" ht="22" customHeight="1">
      <x:c r="A2318" s="2" t="str">
        <x:v>L002314</x:v>
      </x:c>
      <x:c r="B2318" s="2" t="str">
        <x:v>O00952</x:v>
      </x:c>
      <x:c r="C2318" s="7" t="n">
        <x:v>45879</x:v>
      </x:c>
      <x:c r="D2318" s="2" t="str">
        <x:v>Completed</x:v>
      </x:c>
      <x:c r="E2318" s="2" t="str">
        <x:v>North</x:v>
      </x:c>
      <x:c r="F2318" s="2" t="str">
        <x:v>Online</x:v>
      </x:c>
      <x:c r="G2318" s="2" t="str">
        <x:v>Furniture</x:v>
      </x:c>
      <x:c r="H2318" s="2" t="str">
        <x:v>Desk 016</x:v>
      </x:c>
      <x:c r="I2318" s="11" t="n">
        <x:v>4</x:v>
      </x:c>
      <x:c r="J2318" s="9" t="n">
        <x:v>231</x:v>
      </x:c>
      <x:c r="K2318" s="10" t="n">
        <x:v>0.1</x:v>
      </x:c>
      <x:c r="L2318" s="11" t="n">
        <x:v>0</x:v>
      </x:c>
      <x:c r="M2318" s="9" t="n">
        <x:f>IF(D2318="Completed",I2318*J2318,0)</x:f>
        <x:v>924</x:v>
      </x:c>
      <x:c r="N2318" s="9" t="n">
        <x:f>M2318*K2318</x:f>
        <x:v>92.4</x:v>
      </x:c>
      <x:c r="O2318" s="9" t="n">
        <x:f>M2318-N2318</x:f>
        <x:v>831.6</x:v>
      </x:c>
      <x:c r="P2318" s="9" t="n">
        <x:f>IF(D2318="Completed",L2318*J2318*(1-K2318),0)</x:f>
        <x:v>0</x:v>
      </x:c>
      <x:c r="Q2318" s="9" t="n">
        <x:f>O2318-P2318</x:f>
        <x:v>831.6</x:v>
      </x:c>
      <x:c r="R2318" s="11" t="n">
        <x:f>IF(D2318="Completed",I2318,0)</x:f>
        <x:v>4</x:v>
      </x:c>
      <x:c r="S2318" s="11" t="n">
        <x:f>IF(D2318="Completed",L2318,0)</x:f>
        <x:v>0</x:v>
      </x:c>
      <x:c r="T2318" s="8" t="n">
        <x:f>DATE(YEAR(C2318),MONTH(C2318),1)</x:f>
        <x:v>45870</x:v>
      </x:c>
    </x:row>
    <x:row r="2319" ht="22" customHeight="1">
      <x:c r="A2319" s="2" t="str">
        <x:v>L002315</x:v>
      </x:c>
      <x:c r="B2319" s="2" t="str">
        <x:v>O00953</x:v>
      </x:c>
      <x:c r="C2319" s="7" t="n">
        <x:v>46022</x:v>
      </x:c>
      <x:c r="D2319" s="2" t="str">
        <x:v>Cancelled</x:v>
      </x:c>
      <x:c r="E2319" s="2" t="str">
        <x:v>East</x:v>
      </x:c>
      <x:c r="F2319" s="2" t="str">
        <x:v>Online</x:v>
      </x:c>
      <x:c r="G2319" s="2" t="str">
        <x:v>Lighting</x:v>
      </x:c>
      <x:c r="H2319" s="2" t="str">
        <x:v>Lamp 013</x:v>
      </x:c>
      <x:c r="I2319" s="11" t="n">
        <x:v>3</x:v>
      </x:c>
      <x:c r="J2319" s="9" t="n">
        <x:v>271</x:v>
      </x:c>
      <x:c r="K2319" s="10" t="n">
        <x:v>0.05</x:v>
      </x:c>
      <x:c r="L2319" s="11" t="n">
        <x:v>0</x:v>
      </x:c>
      <x:c r="M2319" s="9" t="n">
        <x:f>IF(D2319="Completed",I2319*J2319,0)</x:f>
        <x:v>0</x:v>
      </x:c>
      <x:c r="N2319" s="9" t="n">
        <x:f>M2319*K2319</x:f>
        <x:v>0</x:v>
      </x:c>
      <x:c r="O2319" s="9" t="n">
        <x:f>M2319-N2319</x:f>
        <x:v>0</x:v>
      </x:c>
      <x:c r="P2319" s="9" t="n">
        <x:f>IF(D2319="Completed",L2319*J2319*(1-K2319),0)</x:f>
        <x:v>0</x:v>
      </x:c>
      <x:c r="Q2319" s="9" t="n">
        <x:f>O2319-P2319</x:f>
        <x:v>0</x:v>
      </x:c>
      <x:c r="R2319" s="11" t="n">
        <x:f>IF(D2319="Completed",I2319,0)</x:f>
        <x:v>0</x:v>
      </x:c>
      <x:c r="S2319" s="11" t="n">
        <x:f>IF(D2319="Completed",L2319,0)</x:f>
        <x:v>0</x:v>
      </x:c>
      <x:c r="T2319" s="8" t="n">
        <x:f>DATE(YEAR(C2319),MONTH(C2319),1)</x:f>
        <x:v>45992</x:v>
      </x:c>
    </x:row>
    <x:row r="2320" ht="22" customHeight="1">
      <x:c r="A2320" s="2" t="str">
        <x:v>L002316</x:v>
      </x:c>
      <x:c r="B2320" s="2" t="str">
        <x:v>O00953</x:v>
      </x:c>
      <x:c r="C2320" s="7" t="n">
        <x:v>46022</x:v>
      </x:c>
      <x:c r="D2320" s="2" t="str">
        <x:v>Cancelled</x:v>
      </x:c>
      <x:c r="E2320" s="2" t="str">
        <x:v>East</x:v>
      </x:c>
      <x:c r="F2320" s="2" t="str">
        <x:v>Online</x:v>
      </x:c>
      <x:c r="G2320" s="2" t="str">
        <x:v>Furniture</x:v>
      </x:c>
      <x:c r="H2320" s="2" t="str">
        <x:v>Chair 002</x:v>
      </x:c>
      <x:c r="I2320" s="11" t="n">
        <x:v>1</x:v>
      </x:c>
      <x:c r="J2320" s="9" t="n">
        <x:v>284</x:v>
      </x:c>
      <x:c r="K2320" s="10" t="n">
        <x:v>0.05</x:v>
      </x:c>
      <x:c r="L2320" s="11" t="n">
        <x:v>0</x:v>
      </x:c>
      <x:c r="M2320" s="9" t="n">
        <x:f>IF(D2320="Completed",I2320*J2320,0)</x:f>
        <x:v>0</x:v>
      </x:c>
      <x:c r="N2320" s="9" t="n">
        <x:f>M2320*K2320</x:f>
        <x:v>0</x:v>
      </x:c>
      <x:c r="O2320" s="9" t="n">
        <x:f>M2320-N2320</x:f>
        <x:v>0</x:v>
      </x:c>
      <x:c r="P2320" s="9" t="n">
        <x:f>IF(D2320="Completed",L2320*J2320*(1-K2320),0)</x:f>
        <x:v>0</x:v>
      </x:c>
      <x:c r="Q2320" s="9" t="n">
        <x:f>O2320-P2320</x:f>
        <x:v>0</x:v>
      </x:c>
      <x:c r="R2320" s="11" t="n">
        <x:f>IF(D2320="Completed",I2320,0)</x:f>
        <x:v>0</x:v>
      </x:c>
      <x:c r="S2320" s="11" t="n">
        <x:f>IF(D2320="Completed",L2320,0)</x:f>
        <x:v>0</x:v>
      </x:c>
      <x:c r="T2320" s="8" t="n">
        <x:f>DATE(YEAR(C2320),MONTH(C2320),1)</x:f>
        <x:v>45992</x:v>
      </x:c>
    </x:row>
    <x:row r="2321" ht="22" customHeight="1">
      <x:c r="A2321" s="2" t="str">
        <x:v>L002317</x:v>
      </x:c>
      <x:c r="B2321" s="2" t="str">
        <x:v>O00953</x:v>
      </x:c>
      <x:c r="C2321" s="7" t="n">
        <x:v>46022</x:v>
      </x:c>
      <x:c r="D2321" s="2" t="str">
        <x:v>Cancelled</x:v>
      </x:c>
      <x:c r="E2321" s="2" t="str">
        <x:v>East</x:v>
      </x:c>
      <x:c r="F2321" s="2" t="str">
        <x:v>Online</x:v>
      </x:c>
      <x:c r="G2321" s="2" t="str">
        <x:v>Furniture</x:v>
      </x:c>
      <x:c r="H2321" s="2" t="str">
        <x:v>Desk 004</x:v>
      </x:c>
      <x:c r="I2321" s="11" t="n">
        <x:v>2</x:v>
      </x:c>
      <x:c r="J2321" s="9" t="n">
        <x:v>123</x:v>
      </x:c>
      <x:c r="K2321" s="10" t="n">
        <x:v>0</x:v>
      </x:c>
      <x:c r="L2321" s="11" t="n">
        <x:v>0</x:v>
      </x:c>
      <x:c r="M2321" s="9" t="n">
        <x:f>IF(D2321="Completed",I2321*J2321,0)</x:f>
        <x:v>0</x:v>
      </x:c>
      <x:c r="N2321" s="9" t="n">
        <x:f>M2321*K2321</x:f>
        <x:v>0</x:v>
      </x:c>
      <x:c r="O2321" s="9" t="n">
        <x:f>M2321-N2321</x:f>
        <x:v>0</x:v>
      </x:c>
      <x:c r="P2321" s="9" t="n">
        <x:f>IF(D2321="Completed",L2321*J2321*(1-K2321),0)</x:f>
        <x:v>0</x:v>
      </x:c>
      <x:c r="Q2321" s="9" t="n">
        <x:f>O2321-P2321</x:f>
        <x:v>0</x:v>
      </x:c>
      <x:c r="R2321" s="11" t="n">
        <x:f>IF(D2321="Completed",I2321,0)</x:f>
        <x:v>0</x:v>
      </x:c>
      <x:c r="S2321" s="11" t="n">
        <x:f>IF(D2321="Completed",L2321,0)</x:f>
        <x:v>0</x:v>
      </x:c>
      <x:c r="T2321" s="8" t="n">
        <x:f>DATE(YEAR(C2321),MONTH(C2321),1)</x:f>
        <x:v>45992</x:v>
      </x:c>
    </x:row>
    <x:row r="2322" ht="22" customHeight="1">
      <x:c r="A2322" s="2" t="str">
        <x:v>L002318</x:v>
      </x:c>
      <x:c r="B2322" s="2" t="str">
        <x:v>O00954</x:v>
      </x:c>
      <x:c r="C2322" s="7" t="n">
        <x:v>45675</x:v>
      </x:c>
      <x:c r="D2322" s="2" t="str">
        <x:v>Completed</x:v>
      </x:c>
      <x:c r="E2322" s="2" t="str">
        <x:v>North</x:v>
      </x:c>
      <x:c r="F2322" s="2" t="str">
        <x:v>Store</x:v>
      </x:c>
      <x:c r="G2322" s="2" t="str">
        <x:v>Lighting</x:v>
      </x:c>
      <x:c r="H2322" s="2" t="str">
        <x:v>Lamp 005</x:v>
      </x:c>
      <x:c r="I2322" s="11" t="n">
        <x:v>1</x:v>
      </x:c>
      <x:c r="J2322" s="9" t="n">
        <x:v>65</x:v>
      </x:c>
      <x:c r="K2322" s="10" t="n">
        <x:v>0.2</x:v>
      </x:c>
      <x:c r="L2322" s="11" t="n">
        <x:v>0</x:v>
      </x:c>
      <x:c r="M2322" s="9" t="n">
        <x:f>IF(D2322="Completed",I2322*J2322,0)</x:f>
        <x:v>65</x:v>
      </x:c>
      <x:c r="N2322" s="9" t="n">
        <x:f>M2322*K2322</x:f>
        <x:v>13</x:v>
      </x:c>
      <x:c r="O2322" s="9" t="n">
        <x:f>M2322-N2322</x:f>
        <x:v>52</x:v>
      </x:c>
      <x:c r="P2322" s="9" t="n">
        <x:f>IF(D2322="Completed",L2322*J2322*(1-K2322),0)</x:f>
        <x:v>0</x:v>
      </x:c>
      <x:c r="Q2322" s="9" t="n">
        <x:f>O2322-P2322</x:f>
        <x:v>52</x:v>
      </x:c>
      <x:c r="R2322" s="11" t="n">
        <x:f>IF(D2322="Completed",I2322,0)</x:f>
        <x:v>1</x:v>
      </x:c>
      <x:c r="S2322" s="11" t="n">
        <x:f>IF(D2322="Completed",L2322,0)</x:f>
        <x:v>0</x:v>
      </x:c>
      <x:c r="T2322" s="8" t="n">
        <x:f>DATE(YEAR(C2322),MONTH(C2322),1)</x:f>
        <x:v>45658</x:v>
      </x:c>
    </x:row>
    <x:row r="2323" ht="22" customHeight="1">
      <x:c r="A2323" s="2" t="str">
        <x:v>L002319</x:v>
      </x:c>
      <x:c r="B2323" s="2" t="str">
        <x:v>O00954</x:v>
      </x:c>
      <x:c r="C2323" s="7" t="n">
        <x:v>45675</x:v>
      </x:c>
      <x:c r="D2323" s="2" t="str">
        <x:v>Completed</x:v>
      </x:c>
      <x:c r="E2323" s="2" t="str">
        <x:v>North</x:v>
      </x:c>
      <x:c r="F2323" s="2" t="str">
        <x:v>Store</x:v>
      </x:c>
      <x:c r="G2323" s="2" t="str">
        <x:v>Storage</x:v>
      </x:c>
      <x:c r="H2323" s="2" t="str">
        <x:v>Shelf 007</x:v>
      </x:c>
      <x:c r="I2323" s="11" t="n">
        <x:v>5</x:v>
      </x:c>
      <x:c r="J2323" s="9" t="n">
        <x:v>35</x:v>
      </x:c>
      <x:c r="K2323" s="10" t="n">
        <x:v>0</x:v>
      </x:c>
      <x:c r="L2323" s="11" t="n">
        <x:v>5</x:v>
      </x:c>
      <x:c r="M2323" s="9" t="n">
        <x:f>IF(D2323="Completed",I2323*J2323,0)</x:f>
        <x:v>175</x:v>
      </x:c>
      <x:c r="N2323" s="9" t="n">
        <x:f>M2323*K2323</x:f>
        <x:v>0</x:v>
      </x:c>
      <x:c r="O2323" s="9" t="n">
        <x:f>M2323-N2323</x:f>
        <x:v>175</x:v>
      </x:c>
      <x:c r="P2323" s="9" t="n">
        <x:f>IF(D2323="Completed",L2323*J2323*(1-K2323),0)</x:f>
        <x:v>175</x:v>
      </x:c>
      <x:c r="Q2323" s="9" t="n">
        <x:f>O2323-P2323</x:f>
        <x:v>0</x:v>
      </x:c>
      <x:c r="R2323" s="11" t="n">
        <x:f>IF(D2323="Completed",I2323,0)</x:f>
        <x:v>5</x:v>
      </x:c>
      <x:c r="S2323" s="11" t="n">
        <x:f>IF(D2323="Completed",L2323,0)</x:f>
        <x:v>5</x:v>
      </x:c>
      <x:c r="T2323" s="8" t="n">
        <x:f>DATE(YEAR(C2323),MONTH(C2323),1)</x:f>
        <x:v>45658</x:v>
      </x:c>
    </x:row>
    <x:row r="2324" ht="22" customHeight="1">
      <x:c r="A2324" s="2" t="str">
        <x:v>L002320</x:v>
      </x:c>
      <x:c r="B2324" s="2" t="str">
        <x:v>O00954</x:v>
      </x:c>
      <x:c r="C2324" s="7" t="n">
        <x:v>45675</x:v>
      </x:c>
      <x:c r="D2324" s="2" t="str">
        <x:v>Completed</x:v>
      </x:c>
      <x:c r="E2324" s="2" t="str">
        <x:v>North</x:v>
      </x:c>
      <x:c r="F2324" s="2" t="str">
        <x:v>Store</x:v>
      </x:c>
      <x:c r="G2324" s="2" t="str">
        <x:v>Lighting</x:v>
      </x:c>
      <x:c r="H2324" s="2" t="str">
        <x:v>Lamp 017</x:v>
      </x:c>
      <x:c r="I2324" s="11" t="n">
        <x:v>2</x:v>
      </x:c>
      <x:c r="J2324" s="9" t="n">
        <x:v>300</x:v>
      </x:c>
      <x:c r="K2324" s="10" t="n">
        <x:v>0</x:v>
      </x:c>
      <x:c r="L2324" s="11" t="n">
        <x:v>0</x:v>
      </x:c>
      <x:c r="M2324" s="9" t="n">
        <x:f>IF(D2324="Completed",I2324*J2324,0)</x:f>
        <x:v>600</x:v>
      </x:c>
      <x:c r="N2324" s="9" t="n">
        <x:f>M2324*K2324</x:f>
        <x:v>0</x:v>
      </x:c>
      <x:c r="O2324" s="9" t="n">
        <x:f>M2324-N2324</x:f>
        <x:v>600</x:v>
      </x:c>
      <x:c r="P2324" s="9" t="n">
        <x:f>IF(D2324="Completed",L2324*J2324*(1-K2324),0)</x:f>
        <x:v>0</x:v>
      </x:c>
      <x:c r="Q2324" s="9" t="n">
        <x:f>O2324-P2324</x:f>
        <x:v>600</x:v>
      </x:c>
      <x:c r="R2324" s="11" t="n">
        <x:f>IF(D2324="Completed",I2324,0)</x:f>
        <x:v>2</x:v>
      </x:c>
      <x:c r="S2324" s="11" t="n">
        <x:f>IF(D2324="Completed",L2324,0)</x:f>
        <x:v>0</x:v>
      </x:c>
      <x:c r="T2324" s="8" t="n">
        <x:f>DATE(YEAR(C2324),MONTH(C2324),1)</x:f>
        <x:v>45658</x:v>
      </x:c>
    </x:row>
    <x:row r="2325" ht="22" customHeight="1">
      <x:c r="A2325" s="2" t="str">
        <x:v>L002321</x:v>
      </x:c>
      <x:c r="B2325" s="2" t="str">
        <x:v>O00954</x:v>
      </x:c>
      <x:c r="C2325" s="7" t="n">
        <x:v>45675</x:v>
      </x:c>
      <x:c r="D2325" s="2" t="str">
        <x:v>Completed</x:v>
      </x:c>
      <x:c r="E2325" s="2" t="str">
        <x:v>North</x:v>
      </x:c>
      <x:c r="F2325" s="2" t="str">
        <x:v>Store</x:v>
      </x:c>
      <x:c r="G2325" s="2" t="str">
        <x:v>Lighting</x:v>
      </x:c>
      <x:c r="H2325" s="2" t="str">
        <x:v>Lamp 009</x:v>
      </x:c>
      <x:c r="I2325" s="11" t="n">
        <x:v>3</x:v>
      </x:c>
      <x:c r="J2325" s="9" t="n">
        <x:v>93</x:v>
      </x:c>
      <x:c r="K2325" s="10" t="n">
        <x:v>0</x:v>
      </x:c>
      <x:c r="L2325" s="11" t="n">
        <x:v>0</x:v>
      </x:c>
      <x:c r="M2325" s="9" t="n">
        <x:f>IF(D2325="Completed",I2325*J2325,0)</x:f>
        <x:v>279</x:v>
      </x:c>
      <x:c r="N2325" s="9" t="n">
        <x:f>M2325*K2325</x:f>
        <x:v>0</x:v>
      </x:c>
      <x:c r="O2325" s="9" t="n">
        <x:f>M2325-N2325</x:f>
        <x:v>279</x:v>
      </x:c>
      <x:c r="P2325" s="9" t="n">
        <x:f>IF(D2325="Completed",L2325*J2325*(1-K2325),0)</x:f>
        <x:v>0</x:v>
      </x:c>
      <x:c r="Q2325" s="9" t="n">
        <x:f>O2325-P2325</x:f>
        <x:v>279</x:v>
      </x:c>
      <x:c r="R2325" s="11" t="n">
        <x:f>IF(D2325="Completed",I2325,0)</x:f>
        <x:v>3</x:v>
      </x:c>
      <x:c r="S2325" s="11" t="n">
        <x:f>IF(D2325="Completed",L2325,0)</x:f>
        <x:v>0</x:v>
      </x:c>
      <x:c r="T2325" s="8" t="n">
        <x:f>DATE(YEAR(C2325),MONTH(C2325),1)</x:f>
        <x:v>45658</x:v>
      </x:c>
    </x:row>
    <x:row r="2326" ht="22" customHeight="1">
      <x:c r="A2326" s="2" t="str">
        <x:v>L002322</x:v>
      </x:c>
      <x:c r="B2326" s="2" t="str">
        <x:v>O00955</x:v>
      </x:c>
      <x:c r="C2326" s="7" t="n">
        <x:v>45825</x:v>
      </x:c>
      <x:c r="D2326" s="2" t="str">
        <x:v>Completed</x:v>
      </x:c>
      <x:c r="E2326" s="2" t="str">
        <x:v>North</x:v>
      </x:c>
      <x:c r="F2326" s="2" t="str">
        <x:v>Store</x:v>
      </x:c>
      <x:c r="G2326" s="2" t="str">
        <x:v>Furniture</x:v>
      </x:c>
      <x:c r="H2326" s="2" t="str">
        <x:v>Desk 020</x:v>
      </x:c>
      <x:c r="I2326" s="11" t="n">
        <x:v>1</x:v>
      </x:c>
      <x:c r="J2326" s="9" t="n">
        <x:v>189</x:v>
      </x:c>
      <x:c r="K2326" s="10" t="n">
        <x:v>0.2</x:v>
      </x:c>
      <x:c r="L2326" s="11" t="n">
        <x:v>0</x:v>
      </x:c>
      <x:c r="M2326" s="9" t="n">
        <x:f>IF(D2326="Completed",I2326*J2326,0)</x:f>
        <x:v>189</x:v>
      </x:c>
      <x:c r="N2326" s="9" t="n">
        <x:f>M2326*K2326</x:f>
        <x:v>37.800000000000004</x:v>
      </x:c>
      <x:c r="O2326" s="9" t="n">
        <x:f>M2326-N2326</x:f>
        <x:v>151.2</x:v>
      </x:c>
      <x:c r="P2326" s="9" t="n">
        <x:f>IF(D2326="Completed",L2326*J2326*(1-K2326),0)</x:f>
        <x:v>0</x:v>
      </x:c>
      <x:c r="Q2326" s="9" t="n">
        <x:f>O2326-P2326</x:f>
        <x:v>151.2</x:v>
      </x:c>
      <x:c r="R2326" s="11" t="n">
        <x:f>IF(D2326="Completed",I2326,0)</x:f>
        <x:v>1</x:v>
      </x:c>
      <x:c r="S2326" s="11" t="n">
        <x:f>IF(D2326="Completed",L2326,0)</x:f>
        <x:v>0</x:v>
      </x:c>
      <x:c r="T2326" s="8" t="n">
        <x:f>DATE(YEAR(C2326),MONTH(C2326),1)</x:f>
        <x:v>45809</x:v>
      </x:c>
    </x:row>
    <x:row r="2327" ht="22" customHeight="1">
      <x:c r="A2327" s="2" t="str">
        <x:v>L002323</x:v>
      </x:c>
      <x:c r="B2327" s="2" t="str">
        <x:v>O00955</x:v>
      </x:c>
      <x:c r="C2327" s="7" t="n">
        <x:v>45825</x:v>
      </x:c>
      <x:c r="D2327" s="2" t="str">
        <x:v>Completed</x:v>
      </x:c>
      <x:c r="E2327" s="2" t="str">
        <x:v>North</x:v>
      </x:c>
      <x:c r="F2327" s="2" t="str">
        <x:v>Store</x:v>
      </x:c>
      <x:c r="G2327" s="2" t="str">
        <x:v>Lighting</x:v>
      </x:c>
      <x:c r="H2327" s="2" t="str">
        <x:v>Lamp 021</x:v>
      </x:c>
      <x:c r="I2327" s="11" t="n">
        <x:v>3</x:v>
      </x:c>
      <x:c r="J2327" s="9" t="n">
        <x:v>249</x:v>
      </x:c>
      <x:c r="K2327" s="10" t="n">
        <x:v>0</x:v>
      </x:c>
      <x:c r="L2327" s="11" t="n">
        <x:v>0</x:v>
      </x:c>
      <x:c r="M2327" s="9" t="n">
        <x:f>IF(D2327="Completed",I2327*J2327,0)</x:f>
        <x:v>747</x:v>
      </x:c>
      <x:c r="N2327" s="9" t="n">
        <x:f>M2327*K2327</x:f>
        <x:v>0</x:v>
      </x:c>
      <x:c r="O2327" s="9" t="n">
        <x:f>M2327-N2327</x:f>
        <x:v>747</x:v>
      </x:c>
      <x:c r="P2327" s="9" t="n">
        <x:f>IF(D2327="Completed",L2327*J2327*(1-K2327),0)</x:f>
        <x:v>0</x:v>
      </x:c>
      <x:c r="Q2327" s="9" t="n">
        <x:f>O2327-P2327</x:f>
        <x:v>747</x:v>
      </x:c>
      <x:c r="R2327" s="11" t="n">
        <x:f>IF(D2327="Completed",I2327,0)</x:f>
        <x:v>3</x:v>
      </x:c>
      <x:c r="S2327" s="11" t="n">
        <x:f>IF(D2327="Completed",L2327,0)</x:f>
        <x:v>0</x:v>
      </x:c>
      <x:c r="T2327" s="8" t="n">
        <x:f>DATE(YEAR(C2327),MONTH(C2327),1)</x:f>
        <x:v>45809</x:v>
      </x:c>
    </x:row>
    <x:row r="2328" ht="22" customHeight="1">
      <x:c r="A2328" s="2" t="str">
        <x:v>L002324</x:v>
      </x:c>
      <x:c r="B2328" s="2" t="str">
        <x:v>O00955</x:v>
      </x:c>
      <x:c r="C2328" s="7" t="n">
        <x:v>45825</x:v>
      </x:c>
      <x:c r="D2328" s="2" t="str">
        <x:v>Completed</x:v>
      </x:c>
      <x:c r="E2328" s="2" t="str">
        <x:v>North</x:v>
      </x:c>
      <x:c r="F2328" s="2" t="str">
        <x:v>Store</x:v>
      </x:c>
      <x:c r="G2328" s="2" t="str">
        <x:v>Furniture</x:v>
      </x:c>
      <x:c r="H2328" s="2" t="str">
        <x:v>Desk 020</x:v>
      </x:c>
      <x:c r="I2328" s="11" t="n">
        <x:v>2</x:v>
      </x:c>
      <x:c r="J2328" s="9" t="n">
        <x:v>189</x:v>
      </x:c>
      <x:c r="K2328" s="10" t="n">
        <x:v>0.05</x:v>
      </x:c>
      <x:c r="L2328" s="11" t="n">
        <x:v>0</x:v>
      </x:c>
      <x:c r="M2328" s="9" t="n">
        <x:f>IF(D2328="Completed",I2328*J2328,0)</x:f>
        <x:v>378</x:v>
      </x:c>
      <x:c r="N2328" s="9" t="n">
        <x:f>M2328*K2328</x:f>
        <x:v>18.900000000000002</x:v>
      </x:c>
      <x:c r="O2328" s="9" t="n">
        <x:f>M2328-N2328</x:f>
        <x:v>359.1</x:v>
      </x:c>
      <x:c r="P2328" s="9" t="n">
        <x:f>IF(D2328="Completed",L2328*J2328*(1-K2328),0)</x:f>
        <x:v>0</x:v>
      </x:c>
      <x:c r="Q2328" s="9" t="n">
        <x:f>O2328-P2328</x:f>
        <x:v>359.1</x:v>
      </x:c>
      <x:c r="R2328" s="11" t="n">
        <x:f>IF(D2328="Completed",I2328,0)</x:f>
        <x:v>2</x:v>
      </x:c>
      <x:c r="S2328" s="11" t="n">
        <x:f>IF(D2328="Completed",L2328,0)</x:f>
        <x:v>0</x:v>
      </x:c>
      <x:c r="T2328" s="8" t="n">
        <x:f>DATE(YEAR(C2328),MONTH(C2328),1)</x:f>
        <x:v>45809</x:v>
      </x:c>
    </x:row>
    <x:row r="2329" ht="22" customHeight="1">
      <x:c r="A2329" s="2" t="str">
        <x:v>L002325</x:v>
      </x:c>
      <x:c r="B2329" s="2" t="str">
        <x:v>O00956</x:v>
      </x:c>
      <x:c r="C2329" s="7" t="n">
        <x:v>45810</x:v>
      </x:c>
      <x:c r="D2329" s="2" t="str">
        <x:v>Completed</x:v>
      </x:c>
      <x:c r="E2329" s="2" t="str">
        <x:v>North</x:v>
      </x:c>
      <x:c r="F2329" s="2" t="str">
        <x:v>Store</x:v>
      </x:c>
      <x:c r="G2329" s="2" t="str">
        <x:v>Furniture</x:v>
      </x:c>
      <x:c r="H2329" s="2" t="str">
        <x:v>Desk 016</x:v>
      </x:c>
      <x:c r="I2329" s="11" t="n">
        <x:v>1</x:v>
      </x:c>
      <x:c r="J2329" s="9" t="n">
        <x:v>231</x:v>
      </x:c>
      <x:c r="K2329" s="10" t="n">
        <x:v>0.05</x:v>
      </x:c>
      <x:c r="L2329" s="11" t="n">
        <x:v>0</x:v>
      </x:c>
      <x:c r="M2329" s="9" t="n">
        <x:f>IF(D2329="Completed",I2329*J2329,0)</x:f>
        <x:v>231</x:v>
      </x:c>
      <x:c r="N2329" s="9" t="n">
        <x:f>M2329*K2329</x:f>
        <x:v>11.55</x:v>
      </x:c>
      <x:c r="O2329" s="9" t="n">
        <x:f>M2329-N2329</x:f>
        <x:v>219.45</x:v>
      </x:c>
      <x:c r="P2329" s="9" t="n">
        <x:f>IF(D2329="Completed",L2329*J2329*(1-K2329),0)</x:f>
        <x:v>0</x:v>
      </x:c>
      <x:c r="Q2329" s="9" t="n">
        <x:f>O2329-P2329</x:f>
        <x:v>219.45</x:v>
      </x:c>
      <x:c r="R2329" s="11" t="n">
        <x:f>IF(D2329="Completed",I2329,0)</x:f>
        <x:v>1</x:v>
      </x:c>
      <x:c r="S2329" s="11" t="n">
        <x:f>IF(D2329="Completed",L2329,0)</x:f>
        <x:v>0</x:v>
      </x:c>
      <x:c r="T2329" s="8" t="n">
        <x:f>DATE(YEAR(C2329),MONTH(C2329),1)</x:f>
        <x:v>45809</x:v>
      </x:c>
    </x:row>
    <x:row r="2330" ht="22" customHeight="1">
      <x:c r="A2330" s="2" t="str">
        <x:v>L002326</x:v>
      </x:c>
      <x:c r="B2330" s="2" t="str">
        <x:v>O00956</x:v>
      </x:c>
      <x:c r="C2330" s="7" t="n">
        <x:v>45810</x:v>
      </x:c>
      <x:c r="D2330" s="2" t="str">
        <x:v>Completed</x:v>
      </x:c>
      <x:c r="E2330" s="2" t="str">
        <x:v>North</x:v>
      </x:c>
      <x:c r="F2330" s="2" t="str">
        <x:v>Store</x:v>
      </x:c>
      <x:c r="G2330" s="2" t="str">
        <x:v>Storage</x:v>
      </x:c>
      <x:c r="H2330" s="2" t="str">
        <x:v>Shelf 019</x:v>
      </x:c>
      <x:c r="I2330" s="11" t="n">
        <x:v>1</x:v>
      </x:c>
      <x:c r="J2330" s="9" t="n">
        <x:v>78</x:v>
      </x:c>
      <x:c r="K2330" s="10" t="n">
        <x:v>0.05</x:v>
      </x:c>
      <x:c r="L2330" s="11" t="n">
        <x:v>0</x:v>
      </x:c>
      <x:c r="M2330" s="9" t="n">
        <x:f>IF(D2330="Completed",I2330*J2330,0)</x:f>
        <x:v>78</x:v>
      </x:c>
      <x:c r="N2330" s="9" t="n">
        <x:f>M2330*K2330</x:f>
        <x:v>3.9000000000000004</x:v>
      </x:c>
      <x:c r="O2330" s="9" t="n">
        <x:f>M2330-N2330</x:f>
        <x:v>74.1</x:v>
      </x:c>
      <x:c r="P2330" s="9" t="n">
        <x:f>IF(D2330="Completed",L2330*J2330*(1-K2330),0)</x:f>
        <x:v>0</x:v>
      </x:c>
      <x:c r="Q2330" s="9" t="n">
        <x:f>O2330-P2330</x:f>
        <x:v>74.1</x:v>
      </x:c>
      <x:c r="R2330" s="11" t="n">
        <x:f>IF(D2330="Completed",I2330,0)</x:f>
        <x:v>1</x:v>
      </x:c>
      <x:c r="S2330" s="11" t="n">
        <x:f>IF(D2330="Completed",L2330,0)</x:f>
        <x:v>0</x:v>
      </x:c>
      <x:c r="T2330" s="8" t="n">
        <x:f>DATE(YEAR(C2330),MONTH(C2330),1)</x:f>
        <x:v>45809</x:v>
      </x:c>
    </x:row>
    <x:row r="2331" ht="22" customHeight="1">
      <x:c r="A2331" s="2" t="str">
        <x:v>L002327</x:v>
      </x:c>
      <x:c r="B2331" s="2" t="str">
        <x:v>O00956</x:v>
      </x:c>
      <x:c r="C2331" s="7" t="n">
        <x:v>45810</x:v>
      </x:c>
      <x:c r="D2331" s="2" t="str">
        <x:v>Completed</x:v>
      </x:c>
      <x:c r="E2331" s="2" t="str">
        <x:v>North</x:v>
      </x:c>
      <x:c r="F2331" s="2" t="str">
        <x:v>Store</x:v>
      </x:c>
      <x:c r="G2331" s="2" t="str">
        <x:v>Furniture</x:v>
      </x:c>
      <x:c r="H2331" s="2" t="str">
        <x:v>Chair 022</x:v>
      </x:c>
      <x:c r="I2331" s="11" t="n">
        <x:v>1</x:v>
      </x:c>
      <x:c r="J2331" s="9" t="n">
        <x:v>134</x:v>
      </x:c>
      <x:c r="K2331" s="10" t="n">
        <x:v>0.2</x:v>
      </x:c>
      <x:c r="L2331" s="11" t="n">
        <x:v>0</x:v>
      </x:c>
      <x:c r="M2331" s="9" t="n">
        <x:f>IF(D2331="Completed",I2331*J2331,0)</x:f>
        <x:v>134</x:v>
      </x:c>
      <x:c r="N2331" s="9" t="n">
        <x:f>M2331*K2331</x:f>
        <x:v>26.8</x:v>
      </x:c>
      <x:c r="O2331" s="9" t="n">
        <x:f>M2331-N2331</x:f>
        <x:v>107.2</x:v>
      </x:c>
      <x:c r="P2331" s="9" t="n">
        <x:f>IF(D2331="Completed",L2331*J2331*(1-K2331),0)</x:f>
        <x:v>0</x:v>
      </x:c>
      <x:c r="Q2331" s="9" t="n">
        <x:f>O2331-P2331</x:f>
        <x:v>107.2</x:v>
      </x:c>
      <x:c r="R2331" s="11" t="n">
        <x:f>IF(D2331="Completed",I2331,0)</x:f>
        <x:v>1</x:v>
      </x:c>
      <x:c r="S2331" s="11" t="n">
        <x:f>IF(D2331="Completed",L2331,0)</x:f>
        <x:v>0</x:v>
      </x:c>
      <x:c r="T2331" s="8" t="n">
        <x:f>DATE(YEAR(C2331),MONTH(C2331),1)</x:f>
        <x:v>45809</x:v>
      </x:c>
    </x:row>
    <x:row r="2332" ht="22" customHeight="1">
      <x:c r="A2332" s="2" t="str">
        <x:v>L002328</x:v>
      </x:c>
      <x:c r="B2332" s="2" t="str">
        <x:v>O00956</x:v>
      </x:c>
      <x:c r="C2332" s="7" t="n">
        <x:v>45810</x:v>
      </x:c>
      <x:c r="D2332" s="2" t="str">
        <x:v>Completed</x:v>
      </x:c>
      <x:c r="E2332" s="2" t="str">
        <x:v>North</x:v>
      </x:c>
      <x:c r="F2332" s="2" t="str">
        <x:v>Store</x:v>
      </x:c>
      <x:c r="G2332" s="2" t="str">
        <x:v>Furniture</x:v>
      </x:c>
      <x:c r="H2332" s="2" t="str">
        <x:v>Desk 020</x:v>
      </x:c>
      <x:c r="I2332" s="11" t="n">
        <x:v>3</x:v>
      </x:c>
      <x:c r="J2332" s="9" t="n">
        <x:v>189</x:v>
      </x:c>
      <x:c r="K2332" s="10" t="n">
        <x:v>0.05</x:v>
      </x:c>
      <x:c r="L2332" s="11" t="n">
        <x:v>0</x:v>
      </x:c>
      <x:c r="M2332" s="9" t="n">
        <x:f>IF(D2332="Completed",I2332*J2332,0)</x:f>
        <x:v>567</x:v>
      </x:c>
      <x:c r="N2332" s="9" t="n">
        <x:f>M2332*K2332</x:f>
        <x:v>28.35</x:v>
      </x:c>
      <x:c r="O2332" s="9" t="n">
        <x:f>M2332-N2332</x:f>
        <x:v>538.65</x:v>
      </x:c>
      <x:c r="P2332" s="9" t="n">
        <x:f>IF(D2332="Completed",L2332*J2332*(1-K2332),0)</x:f>
        <x:v>0</x:v>
      </x:c>
      <x:c r="Q2332" s="9" t="n">
        <x:f>O2332-P2332</x:f>
        <x:v>538.65</x:v>
      </x:c>
      <x:c r="R2332" s="11" t="n">
        <x:f>IF(D2332="Completed",I2332,0)</x:f>
        <x:v>3</x:v>
      </x:c>
      <x:c r="S2332" s="11" t="n">
        <x:f>IF(D2332="Completed",L2332,0)</x:f>
        <x:v>0</x:v>
      </x:c>
      <x:c r="T2332" s="8" t="n">
        <x:f>DATE(YEAR(C2332),MONTH(C2332),1)</x:f>
        <x:v>45809</x:v>
      </x:c>
    </x:row>
    <x:row r="2333" ht="22" customHeight="1">
      <x:c r="A2333" s="2" t="str">
        <x:v>L002329</x:v>
      </x:c>
      <x:c r="B2333" s="2" t="str">
        <x:v>O00957</x:v>
      </x:c>
      <x:c r="C2333" s="7" t="n">
        <x:v>45902</x:v>
      </x:c>
      <x:c r="D2333" s="2" t="str">
        <x:v>Cancelled</x:v>
      </x:c>
      <x:c r="E2333" s="2" t="str">
        <x:v>West</x:v>
      </x:c>
      <x:c r="F2333" s="2" t="str">
        <x:v>Store</x:v>
      </x:c>
      <x:c r="G2333" s="2" t="str">
        <x:v>Lighting</x:v>
      </x:c>
      <x:c r="H2333" s="2" t="str">
        <x:v>Lamp 013</x:v>
      </x:c>
      <x:c r="I2333" s="11" t="n">
        <x:v>4</x:v>
      </x:c>
      <x:c r="J2333" s="9" t="n">
        <x:v>271</x:v>
      </x:c>
      <x:c r="K2333" s="10" t="n">
        <x:v>0</x:v>
      </x:c>
      <x:c r="L2333" s="11" t="n">
        <x:v>0</x:v>
      </x:c>
      <x:c r="M2333" s="9" t="n">
        <x:f>IF(D2333="Completed",I2333*J2333,0)</x:f>
        <x:v>0</x:v>
      </x:c>
      <x:c r="N2333" s="9" t="n">
        <x:f>M2333*K2333</x:f>
        <x:v>0</x:v>
      </x:c>
      <x:c r="O2333" s="9" t="n">
        <x:f>M2333-N2333</x:f>
        <x:v>0</x:v>
      </x:c>
      <x:c r="P2333" s="9" t="n">
        <x:f>IF(D2333="Completed",L2333*J2333*(1-K2333),0)</x:f>
        <x:v>0</x:v>
      </x:c>
      <x:c r="Q2333" s="9" t="n">
        <x:f>O2333-P2333</x:f>
        <x:v>0</x:v>
      </x:c>
      <x:c r="R2333" s="11" t="n">
        <x:f>IF(D2333="Completed",I2333,0)</x:f>
        <x:v>0</x:v>
      </x:c>
      <x:c r="S2333" s="11" t="n">
        <x:f>IF(D2333="Completed",L2333,0)</x:f>
        <x:v>0</x:v>
      </x:c>
      <x:c r="T2333" s="8" t="n">
        <x:f>DATE(YEAR(C2333),MONTH(C2333),1)</x:f>
        <x:v>45901</x:v>
      </x:c>
    </x:row>
    <x:row r="2334" ht="22" customHeight="1">
      <x:c r="A2334" s="2" t="str">
        <x:v>L002330</x:v>
      </x:c>
      <x:c r="B2334" s="2" t="str">
        <x:v>O00957</x:v>
      </x:c>
      <x:c r="C2334" s="7" t="n">
        <x:v>45902</x:v>
      </x:c>
      <x:c r="D2334" s="2" t="str">
        <x:v>Cancelled</x:v>
      </x:c>
      <x:c r="E2334" s="2" t="str">
        <x:v>West</x:v>
      </x:c>
      <x:c r="F2334" s="2" t="str">
        <x:v>Store</x:v>
      </x:c>
      <x:c r="G2334" s="2" t="str">
        <x:v>Furniture</x:v>
      </x:c>
      <x:c r="H2334" s="2" t="str">
        <x:v>Desk 008</x:v>
      </x:c>
      <x:c r="I2334" s="11" t="n">
        <x:v>5</x:v>
      </x:c>
      <x:c r="J2334" s="9" t="n">
        <x:v>188</x:v>
      </x:c>
      <x:c r="K2334" s="10" t="n">
        <x:v>0</x:v>
      </x:c>
      <x:c r="L2334" s="11" t="n">
        <x:v>0</x:v>
      </x:c>
      <x:c r="M2334" s="9" t="n">
        <x:f>IF(D2334="Completed",I2334*J2334,0)</x:f>
        <x:v>0</x:v>
      </x:c>
      <x:c r="N2334" s="9" t="n">
        <x:f>M2334*K2334</x:f>
        <x:v>0</x:v>
      </x:c>
      <x:c r="O2334" s="9" t="n">
        <x:f>M2334-N2334</x:f>
        <x:v>0</x:v>
      </x:c>
      <x:c r="P2334" s="9" t="n">
        <x:f>IF(D2334="Completed",L2334*J2334*(1-K2334),0)</x:f>
        <x:v>0</x:v>
      </x:c>
      <x:c r="Q2334" s="9" t="n">
        <x:f>O2334-P2334</x:f>
        <x:v>0</x:v>
      </x:c>
      <x:c r="R2334" s="11" t="n">
        <x:f>IF(D2334="Completed",I2334,0)</x:f>
        <x:v>0</x:v>
      </x:c>
      <x:c r="S2334" s="11" t="n">
        <x:f>IF(D2334="Completed",L2334,0)</x:f>
        <x:v>0</x:v>
      </x:c>
      <x:c r="T2334" s="8" t="n">
        <x:f>DATE(YEAR(C2334),MONTH(C2334),1)</x:f>
        <x:v>45901</x:v>
      </x:c>
    </x:row>
    <x:row r="2335" ht="22" customHeight="1">
      <x:c r="A2335" s="2" t="str">
        <x:v>L002331</x:v>
      </x:c>
      <x:c r="B2335" s="2" t="str">
        <x:v>O00957</x:v>
      </x:c>
      <x:c r="C2335" s="7" t="n">
        <x:v>45902</x:v>
      </x:c>
      <x:c r="D2335" s="2" t="str">
        <x:v>Cancelled</x:v>
      </x:c>
      <x:c r="E2335" s="2" t="str">
        <x:v>West</x:v>
      </x:c>
      <x:c r="F2335" s="2" t="str">
        <x:v>Store</x:v>
      </x:c>
      <x:c r="G2335" s="2" t="str">
        <x:v>Furniture</x:v>
      </x:c>
      <x:c r="H2335" s="2" t="str">
        <x:v>Chair 022</x:v>
      </x:c>
      <x:c r="I2335" s="11" t="n">
        <x:v>5</x:v>
      </x:c>
      <x:c r="J2335" s="9" t="n">
        <x:v>134</x:v>
      </x:c>
      <x:c r="K2335" s="10" t="n">
        <x:v>0.2</x:v>
      </x:c>
      <x:c r="L2335" s="11" t="n">
        <x:v>0</x:v>
      </x:c>
      <x:c r="M2335" s="9" t="n">
        <x:f>IF(D2335="Completed",I2335*J2335,0)</x:f>
        <x:v>0</x:v>
      </x:c>
      <x:c r="N2335" s="9" t="n">
        <x:f>M2335*K2335</x:f>
        <x:v>0</x:v>
      </x:c>
      <x:c r="O2335" s="9" t="n">
        <x:f>M2335-N2335</x:f>
        <x:v>0</x:v>
      </x:c>
      <x:c r="P2335" s="9" t="n">
        <x:f>IF(D2335="Completed",L2335*J2335*(1-K2335),0)</x:f>
        <x:v>0</x:v>
      </x:c>
      <x:c r="Q2335" s="9" t="n">
        <x:f>O2335-P2335</x:f>
        <x:v>0</x:v>
      </x:c>
      <x:c r="R2335" s="11" t="n">
        <x:f>IF(D2335="Completed",I2335,0)</x:f>
        <x:v>0</x:v>
      </x:c>
      <x:c r="S2335" s="11" t="n">
        <x:f>IF(D2335="Completed",L2335,0)</x:f>
        <x:v>0</x:v>
      </x:c>
      <x:c r="T2335" s="8" t="n">
        <x:f>DATE(YEAR(C2335),MONTH(C2335),1)</x:f>
        <x:v>45901</x:v>
      </x:c>
    </x:row>
    <x:row r="2336" ht="22" customHeight="1">
      <x:c r="A2336" s="2" t="str">
        <x:v>L002332</x:v>
      </x:c>
      <x:c r="B2336" s="2" t="str">
        <x:v>O00957</x:v>
      </x:c>
      <x:c r="C2336" s="7" t="n">
        <x:v>45902</x:v>
      </x:c>
      <x:c r="D2336" s="2" t="str">
        <x:v>Cancelled</x:v>
      </x:c>
      <x:c r="E2336" s="2" t="str">
        <x:v>West</x:v>
      </x:c>
      <x:c r="F2336" s="2" t="str">
        <x:v>Store</x:v>
      </x:c>
      <x:c r="G2336" s="2" t="str">
        <x:v>Furniture</x:v>
      </x:c>
      <x:c r="H2336" s="2" t="str">
        <x:v>Chair 018</x:v>
      </x:c>
      <x:c r="I2336" s="11" t="n">
        <x:v>1</x:v>
      </x:c>
      <x:c r="J2336" s="9" t="n">
        <x:v>269</x:v>
      </x:c>
      <x:c r="K2336" s="10" t="n">
        <x:v>0.1</x:v>
      </x:c>
      <x:c r="L2336" s="11" t="n">
        <x:v>0</x:v>
      </x:c>
      <x:c r="M2336" s="9" t="n">
        <x:f>IF(D2336="Completed",I2336*J2336,0)</x:f>
        <x:v>0</x:v>
      </x:c>
      <x:c r="N2336" s="9" t="n">
        <x:f>M2336*K2336</x:f>
        <x:v>0</x:v>
      </x:c>
      <x:c r="O2336" s="9" t="n">
        <x:f>M2336-N2336</x:f>
        <x:v>0</x:v>
      </x:c>
      <x:c r="P2336" s="9" t="n">
        <x:f>IF(D2336="Completed",L2336*J2336*(1-K2336),0)</x:f>
        <x:v>0</x:v>
      </x:c>
      <x:c r="Q2336" s="9" t="n">
        <x:f>O2336-P2336</x:f>
        <x:v>0</x:v>
      </x:c>
      <x:c r="R2336" s="11" t="n">
        <x:f>IF(D2336="Completed",I2336,0)</x:f>
        <x:v>0</x:v>
      </x:c>
      <x:c r="S2336" s="11" t="n">
        <x:f>IF(D2336="Completed",L2336,0)</x:f>
        <x:v>0</x:v>
      </x:c>
      <x:c r="T2336" s="8" t="n">
        <x:f>DATE(YEAR(C2336),MONTH(C2336),1)</x:f>
        <x:v>45901</x:v>
      </x:c>
    </x:row>
    <x:row r="2337" ht="22" customHeight="1">
      <x:c r="A2337" s="2" t="str">
        <x:v>L002333</x:v>
      </x:c>
      <x:c r="B2337" s="2" t="str">
        <x:v>O00958</x:v>
      </x:c>
      <x:c r="C2337" s="7" t="n">
        <x:v>45813</x:v>
      </x:c>
      <x:c r="D2337" s="2" t="str">
        <x:v>Completed</x:v>
      </x:c>
      <x:c r="E2337" s="2" t="str">
        <x:v>North</x:v>
      </x:c>
      <x:c r="F2337" s="2" t="str">
        <x:v>Online</x:v>
      </x:c>
      <x:c r="G2337" s="2" t="str">
        <x:v>Storage</x:v>
      </x:c>
      <x:c r="H2337" s="2" t="str">
        <x:v>Shelf 011</x:v>
      </x:c>
      <x:c r="I2337" s="11" t="n">
        <x:v>5</x:v>
      </x:c>
      <x:c r="J2337" s="9" t="n">
        <x:v>80</x:v>
      </x:c>
      <x:c r="K2337" s="10" t="n">
        <x:v>0.2</x:v>
      </x:c>
      <x:c r="L2337" s="11" t="n">
        <x:v>0</x:v>
      </x:c>
      <x:c r="M2337" s="9" t="n">
        <x:f>IF(D2337="Completed",I2337*J2337,0)</x:f>
        <x:v>400</x:v>
      </x:c>
      <x:c r="N2337" s="9" t="n">
        <x:f>M2337*K2337</x:f>
        <x:v>80</x:v>
      </x:c>
      <x:c r="O2337" s="9" t="n">
        <x:f>M2337-N2337</x:f>
        <x:v>320</x:v>
      </x:c>
      <x:c r="P2337" s="9" t="n">
        <x:f>IF(D2337="Completed",L2337*J2337*(1-K2337),0)</x:f>
        <x:v>0</x:v>
      </x:c>
      <x:c r="Q2337" s="9" t="n">
        <x:f>O2337-P2337</x:f>
        <x:v>320</x:v>
      </x:c>
      <x:c r="R2337" s="11" t="n">
        <x:f>IF(D2337="Completed",I2337,0)</x:f>
        <x:v>5</x:v>
      </x:c>
      <x:c r="S2337" s="11" t="n">
        <x:f>IF(D2337="Completed",L2337,0)</x:f>
        <x:v>0</x:v>
      </x:c>
      <x:c r="T2337" s="8" t="n">
        <x:f>DATE(YEAR(C2337),MONTH(C2337),1)</x:f>
        <x:v>45809</x:v>
      </x:c>
    </x:row>
    <x:row r="2338" ht="22" customHeight="1">
      <x:c r="A2338" s="2" t="str">
        <x:v>L002334</x:v>
      </x:c>
      <x:c r="B2338" s="2" t="str">
        <x:v>O00959</x:v>
      </x:c>
      <x:c r="C2338" s="7" t="n">
        <x:v>45743</x:v>
      </x:c>
      <x:c r="D2338" s="2" t="str">
        <x:v>Completed</x:v>
      </x:c>
      <x:c r="E2338" s="2" t="str">
        <x:v>North</x:v>
      </x:c>
      <x:c r="F2338" s="2" t="str">
        <x:v>Online</x:v>
      </x:c>
      <x:c r="G2338" s="2" t="str">
        <x:v>Furniture</x:v>
      </x:c>
      <x:c r="H2338" s="2" t="str">
        <x:v>Desk 024</x:v>
      </x:c>
      <x:c r="I2338" s="11" t="n">
        <x:v>4</x:v>
      </x:c>
      <x:c r="J2338" s="9" t="n">
        <x:v>81</x:v>
      </x:c>
      <x:c r="K2338" s="10" t="n">
        <x:v>0.1</x:v>
      </x:c>
      <x:c r="L2338" s="11" t="n">
        <x:v>0</x:v>
      </x:c>
      <x:c r="M2338" s="9" t="n">
        <x:f>IF(D2338="Completed",I2338*J2338,0)</x:f>
        <x:v>324</x:v>
      </x:c>
      <x:c r="N2338" s="9" t="n">
        <x:f>M2338*K2338</x:f>
        <x:v>32.4</x:v>
      </x:c>
      <x:c r="O2338" s="9" t="n">
        <x:f>M2338-N2338</x:f>
        <x:v>291.6</x:v>
      </x:c>
      <x:c r="P2338" s="9" t="n">
        <x:f>IF(D2338="Completed",L2338*J2338*(1-K2338),0)</x:f>
        <x:v>0</x:v>
      </x:c>
      <x:c r="Q2338" s="9" t="n">
        <x:f>O2338-P2338</x:f>
        <x:v>291.6</x:v>
      </x:c>
      <x:c r="R2338" s="11" t="n">
        <x:f>IF(D2338="Completed",I2338,0)</x:f>
        <x:v>4</x:v>
      </x:c>
      <x:c r="S2338" s="11" t="n">
        <x:f>IF(D2338="Completed",L2338,0)</x:f>
        <x:v>0</x:v>
      </x:c>
      <x:c r="T2338" s="8" t="n">
        <x:f>DATE(YEAR(C2338),MONTH(C2338),1)</x:f>
        <x:v>45717</x:v>
      </x:c>
    </x:row>
    <x:row r="2339" ht="22" customHeight="1">
      <x:c r="A2339" s="2" t="str">
        <x:v>L002335</x:v>
      </x:c>
      <x:c r="B2339" s="2" t="str">
        <x:v>O00959</x:v>
      </x:c>
      <x:c r="C2339" s="7" t="n">
        <x:v>45743</x:v>
      </x:c>
      <x:c r="D2339" s="2" t="str">
        <x:v>Completed</x:v>
      </x:c>
      <x:c r="E2339" s="2" t="str">
        <x:v>North</x:v>
      </x:c>
      <x:c r="F2339" s="2" t="str">
        <x:v>Online</x:v>
      </x:c>
      <x:c r="G2339" s="2" t="str">
        <x:v>Storage</x:v>
      </x:c>
      <x:c r="H2339" s="2" t="str">
        <x:v>Shelf 011</x:v>
      </x:c>
      <x:c r="I2339" s="11" t="n">
        <x:v>4</x:v>
      </x:c>
      <x:c r="J2339" s="9" t="n">
        <x:v>80</x:v>
      </x:c>
      <x:c r="K2339" s="10" t="n">
        <x:v>0.2</x:v>
      </x:c>
      <x:c r="L2339" s="11" t="n">
        <x:v>0</x:v>
      </x:c>
      <x:c r="M2339" s="9" t="n">
        <x:f>IF(D2339="Completed",I2339*J2339,0)</x:f>
        <x:v>320</x:v>
      </x:c>
      <x:c r="N2339" s="9" t="n">
        <x:f>M2339*K2339</x:f>
        <x:v>64</x:v>
      </x:c>
      <x:c r="O2339" s="9" t="n">
        <x:f>M2339-N2339</x:f>
        <x:v>256</x:v>
      </x:c>
      <x:c r="P2339" s="9" t="n">
        <x:f>IF(D2339="Completed",L2339*J2339*(1-K2339),0)</x:f>
        <x:v>0</x:v>
      </x:c>
      <x:c r="Q2339" s="9" t="n">
        <x:f>O2339-P2339</x:f>
        <x:v>256</x:v>
      </x:c>
      <x:c r="R2339" s="11" t="n">
        <x:f>IF(D2339="Completed",I2339,0)</x:f>
        <x:v>4</x:v>
      </x:c>
      <x:c r="S2339" s="11" t="n">
        <x:f>IF(D2339="Completed",L2339,0)</x:f>
        <x:v>0</x:v>
      </x:c>
      <x:c r="T2339" s="8" t="n">
        <x:f>DATE(YEAR(C2339),MONTH(C2339),1)</x:f>
        <x:v>45717</x:v>
      </x:c>
    </x:row>
    <x:row r="2340" ht="22" customHeight="1">
      <x:c r="A2340" s="2" t="str">
        <x:v>L002336</x:v>
      </x:c>
      <x:c r="B2340" s="2" t="str">
        <x:v>O00959</x:v>
      </x:c>
      <x:c r="C2340" s="7" t="n">
        <x:v>45743</x:v>
      </x:c>
      <x:c r="D2340" s="2" t="str">
        <x:v>Completed</x:v>
      </x:c>
      <x:c r="E2340" s="2" t="str">
        <x:v>North</x:v>
      </x:c>
      <x:c r="F2340" s="2" t="str">
        <x:v>Online</x:v>
      </x:c>
      <x:c r="G2340" s="2" t="str">
        <x:v>Furniture</x:v>
      </x:c>
      <x:c r="H2340" s="2" t="str">
        <x:v>Chair 006</x:v>
      </x:c>
      <x:c r="I2340" s="11" t="n">
        <x:v>1</x:v>
      </x:c>
      <x:c r="J2340" s="9" t="n">
        <x:v>196</x:v>
      </x:c>
      <x:c r="K2340" s="10" t="n">
        <x:v>0.05</x:v>
      </x:c>
      <x:c r="L2340" s="11" t="n">
        <x:v>0</x:v>
      </x:c>
      <x:c r="M2340" s="9" t="n">
        <x:f>IF(D2340="Completed",I2340*J2340,0)</x:f>
        <x:v>196</x:v>
      </x:c>
      <x:c r="N2340" s="9" t="n">
        <x:f>M2340*K2340</x:f>
        <x:v>9.8</x:v>
      </x:c>
      <x:c r="O2340" s="9" t="n">
        <x:f>M2340-N2340</x:f>
        <x:v>186.2</x:v>
      </x:c>
      <x:c r="P2340" s="9" t="n">
        <x:f>IF(D2340="Completed",L2340*J2340*(1-K2340),0)</x:f>
        <x:v>0</x:v>
      </x:c>
      <x:c r="Q2340" s="9" t="n">
        <x:f>O2340-P2340</x:f>
        <x:v>186.2</x:v>
      </x:c>
      <x:c r="R2340" s="11" t="n">
        <x:f>IF(D2340="Completed",I2340,0)</x:f>
        <x:v>1</x:v>
      </x:c>
      <x:c r="S2340" s="11" t="n">
        <x:f>IF(D2340="Completed",L2340,0)</x:f>
        <x:v>0</x:v>
      </x:c>
      <x:c r="T2340" s="8" t="n">
        <x:f>DATE(YEAR(C2340),MONTH(C2340),1)</x:f>
        <x:v>45717</x:v>
      </x:c>
    </x:row>
    <x:row r="2341" ht="22" customHeight="1">
      <x:c r="A2341" s="2" t="str">
        <x:v>L002337</x:v>
      </x:c>
      <x:c r="B2341" s="2" t="str">
        <x:v>O00960</x:v>
      </x:c>
      <x:c r="C2341" s="7" t="n">
        <x:v>45909</x:v>
      </x:c>
      <x:c r="D2341" s="2" t="str">
        <x:v>Completed</x:v>
      </x:c>
      <x:c r="E2341" s="2" t="str">
        <x:v>East</x:v>
      </x:c>
      <x:c r="F2341" s="2" t="str">
        <x:v>Online</x:v>
      </x:c>
      <x:c r="G2341" s="2" t="str">
        <x:v>Storage</x:v>
      </x:c>
      <x:c r="H2341" s="2" t="str">
        <x:v>Shelf 003</x:v>
      </x:c>
      <x:c r="I2341" s="11" t="n">
        <x:v>1</x:v>
      </x:c>
      <x:c r="J2341" s="9" t="n">
        <x:v>199</x:v>
      </x:c>
      <x:c r="K2341" s="10" t="n">
        <x:v>0.2</x:v>
      </x:c>
      <x:c r="L2341" s="11" t="n">
        <x:v>1</x:v>
      </x:c>
      <x:c r="M2341" s="9" t="n">
        <x:f>IF(D2341="Completed",I2341*J2341,0)</x:f>
        <x:v>199</x:v>
      </x:c>
      <x:c r="N2341" s="9" t="n">
        <x:f>M2341*K2341</x:f>
        <x:v>39.800000000000004</x:v>
      </x:c>
      <x:c r="O2341" s="9" t="n">
        <x:f>M2341-N2341</x:f>
        <x:v>159.2</x:v>
      </x:c>
      <x:c r="P2341" s="9" t="n">
        <x:f>IF(D2341="Completed",L2341*J2341*(1-K2341),0)</x:f>
        <x:v>159.20000000000002</x:v>
      </x:c>
      <x:c r="Q2341" s="9" t="n">
        <x:f>O2341-P2341</x:f>
        <x:v>-2.842170943040401e-14</x:v>
      </x:c>
      <x:c r="R2341" s="11" t="n">
        <x:f>IF(D2341="Completed",I2341,0)</x:f>
        <x:v>1</x:v>
      </x:c>
      <x:c r="S2341" s="11" t="n">
        <x:f>IF(D2341="Completed",L2341,0)</x:f>
        <x:v>1</x:v>
      </x:c>
      <x:c r="T2341" s="8" t="n">
        <x:f>DATE(YEAR(C2341),MONTH(C2341),1)</x:f>
        <x:v>45901</x:v>
      </x:c>
    </x:row>
    <x:row r="2342" ht="22" customHeight="1">
      <x:c r="A2342" s="2" t="str">
        <x:v>L002338</x:v>
      </x:c>
      <x:c r="B2342" s="2" t="str">
        <x:v>O00960</x:v>
      </x:c>
      <x:c r="C2342" s="7" t="n">
        <x:v>45909</x:v>
      </x:c>
      <x:c r="D2342" s="2" t="str">
        <x:v>Completed</x:v>
      </x:c>
      <x:c r="E2342" s="2" t="str">
        <x:v>East</x:v>
      </x:c>
      <x:c r="F2342" s="2" t="str">
        <x:v>Online</x:v>
      </x:c>
      <x:c r="G2342" s="2" t="str">
        <x:v>Furniture</x:v>
      </x:c>
      <x:c r="H2342" s="2" t="str">
        <x:v>Chair 006</x:v>
      </x:c>
      <x:c r="I2342" s="11" t="n">
        <x:v>5</x:v>
      </x:c>
      <x:c r="J2342" s="9" t="n">
        <x:v>196</x:v>
      </x:c>
      <x:c r="K2342" s="10" t="n">
        <x:v>0</x:v>
      </x:c>
      <x:c r="L2342" s="11" t="n">
        <x:v>0</x:v>
      </x:c>
      <x:c r="M2342" s="9" t="n">
        <x:f>IF(D2342="Completed",I2342*J2342,0)</x:f>
        <x:v>980</x:v>
      </x:c>
      <x:c r="N2342" s="9" t="n">
        <x:f>M2342*K2342</x:f>
        <x:v>0</x:v>
      </x:c>
      <x:c r="O2342" s="9" t="n">
        <x:f>M2342-N2342</x:f>
        <x:v>980</x:v>
      </x:c>
      <x:c r="P2342" s="9" t="n">
        <x:f>IF(D2342="Completed",L2342*J2342*(1-K2342),0)</x:f>
        <x:v>0</x:v>
      </x:c>
      <x:c r="Q2342" s="9" t="n">
        <x:f>O2342-P2342</x:f>
        <x:v>980</x:v>
      </x:c>
      <x:c r="R2342" s="11" t="n">
        <x:f>IF(D2342="Completed",I2342,0)</x:f>
        <x:v>5</x:v>
      </x:c>
      <x:c r="S2342" s="11" t="n">
        <x:f>IF(D2342="Completed",L2342,0)</x:f>
        <x:v>0</x:v>
      </x:c>
      <x:c r="T2342" s="8" t="n">
        <x:f>DATE(YEAR(C2342),MONTH(C2342),1)</x:f>
        <x:v>45901</x:v>
      </x:c>
    </x:row>
    <x:row r="2343" ht="22" customHeight="1">
      <x:c r="A2343" s="2" t="str">
        <x:v>L002339</x:v>
      </x:c>
      <x:c r="B2343" s="2" t="str">
        <x:v>O00960</x:v>
      </x:c>
      <x:c r="C2343" s="7" t="n">
        <x:v>45909</x:v>
      </x:c>
      <x:c r="D2343" s="2" t="str">
        <x:v>Completed</x:v>
      </x:c>
      <x:c r="E2343" s="2" t="str">
        <x:v>East</x:v>
      </x:c>
      <x:c r="F2343" s="2" t="str">
        <x:v>Online</x:v>
      </x:c>
      <x:c r="G2343" s="2" t="str">
        <x:v>Lighting</x:v>
      </x:c>
      <x:c r="H2343" s="2" t="str">
        <x:v>Lamp 021</x:v>
      </x:c>
      <x:c r="I2343" s="11" t="n">
        <x:v>5</x:v>
      </x:c>
      <x:c r="J2343" s="9" t="n">
        <x:v>249</x:v>
      </x:c>
      <x:c r="K2343" s="10" t="n">
        <x:v>0.1</x:v>
      </x:c>
      <x:c r="L2343" s="11" t="n">
        <x:v>0</x:v>
      </x:c>
      <x:c r="M2343" s="9" t="n">
        <x:f>IF(D2343="Completed",I2343*J2343,0)</x:f>
        <x:v>1245</x:v>
      </x:c>
      <x:c r="N2343" s="9" t="n">
        <x:f>M2343*K2343</x:f>
        <x:v>124.5</x:v>
      </x:c>
      <x:c r="O2343" s="9" t="n">
        <x:f>M2343-N2343</x:f>
        <x:v>1120.5</x:v>
      </x:c>
      <x:c r="P2343" s="9" t="n">
        <x:f>IF(D2343="Completed",L2343*J2343*(1-K2343),0)</x:f>
        <x:v>0</x:v>
      </x:c>
      <x:c r="Q2343" s="9" t="n">
        <x:f>O2343-P2343</x:f>
        <x:v>1120.5</x:v>
      </x:c>
      <x:c r="R2343" s="11" t="n">
        <x:f>IF(D2343="Completed",I2343,0)</x:f>
        <x:v>5</x:v>
      </x:c>
      <x:c r="S2343" s="11" t="n">
        <x:f>IF(D2343="Completed",L2343,0)</x:f>
        <x:v>0</x:v>
      </x:c>
      <x:c r="T2343" s="8" t="n">
        <x:f>DATE(YEAR(C2343),MONTH(C2343),1)</x:f>
        <x:v>45901</x:v>
      </x:c>
    </x:row>
    <x:row r="2344" ht="22" customHeight="1">
      <x:c r="A2344" s="2" t="str">
        <x:v>L002340</x:v>
      </x:c>
      <x:c r="B2344" s="2" t="str">
        <x:v>O00960</x:v>
      </x:c>
      <x:c r="C2344" s="7" t="n">
        <x:v>45909</x:v>
      </x:c>
      <x:c r="D2344" s="2" t="str">
        <x:v>Completed</x:v>
      </x:c>
      <x:c r="E2344" s="2" t="str">
        <x:v>East</x:v>
      </x:c>
      <x:c r="F2344" s="2" t="str">
        <x:v>Online</x:v>
      </x:c>
      <x:c r="G2344" s="2" t="str">
        <x:v>Lighting</x:v>
      </x:c>
      <x:c r="H2344" s="2" t="str">
        <x:v>Lamp 005</x:v>
      </x:c>
      <x:c r="I2344" s="11" t="n">
        <x:v>4</x:v>
      </x:c>
      <x:c r="J2344" s="9" t="n">
        <x:v>65</x:v>
      </x:c>
      <x:c r="K2344" s="10" t="n">
        <x:v>0.1</x:v>
      </x:c>
      <x:c r="L2344" s="11" t="n">
        <x:v>0</x:v>
      </x:c>
      <x:c r="M2344" s="9" t="n">
        <x:f>IF(D2344="Completed",I2344*J2344,0)</x:f>
        <x:v>260</x:v>
      </x:c>
      <x:c r="N2344" s="9" t="n">
        <x:f>M2344*K2344</x:f>
        <x:v>26</x:v>
      </x:c>
      <x:c r="O2344" s="9" t="n">
        <x:f>M2344-N2344</x:f>
        <x:v>234</x:v>
      </x:c>
      <x:c r="P2344" s="9" t="n">
        <x:f>IF(D2344="Completed",L2344*J2344*(1-K2344),0)</x:f>
        <x:v>0</x:v>
      </x:c>
      <x:c r="Q2344" s="9" t="n">
        <x:f>O2344-P2344</x:f>
        <x:v>234</x:v>
      </x:c>
      <x:c r="R2344" s="11" t="n">
        <x:f>IF(D2344="Completed",I2344,0)</x:f>
        <x:v>4</x:v>
      </x:c>
      <x:c r="S2344" s="11" t="n">
        <x:f>IF(D2344="Completed",L2344,0)</x:f>
        <x:v>0</x:v>
      </x:c>
      <x:c r="T2344" s="8" t="n">
        <x:f>DATE(YEAR(C2344),MONTH(C2344),1)</x:f>
        <x:v>45901</x:v>
      </x:c>
    </x:row>
    <x:row r="2345" ht="22" customHeight="1">
      <x:c r="A2345" s="2" t="str">
        <x:v>L002341</x:v>
      </x:c>
      <x:c r="B2345" s="2" t="str">
        <x:v>O00961</x:v>
      </x:c>
      <x:c r="C2345" s="7" t="n">
        <x:v>45756</x:v>
      </x:c>
      <x:c r="D2345" s="2" t="str">
        <x:v>Completed</x:v>
      </x:c>
      <x:c r="E2345" s="2" t="str">
        <x:v>East</x:v>
      </x:c>
      <x:c r="F2345" s="2" t="str">
        <x:v>Store</x:v>
      </x:c>
      <x:c r="G2345" s="2" t="str">
        <x:v>Lighting</x:v>
      </x:c>
      <x:c r="H2345" s="2" t="str">
        <x:v>Lamp 017</x:v>
      </x:c>
      <x:c r="I2345" s="11" t="n">
        <x:v>4</x:v>
      </x:c>
      <x:c r="J2345" s="9" t="n">
        <x:v>300</x:v>
      </x:c>
      <x:c r="K2345" s="10" t="n">
        <x:v>0</x:v>
      </x:c>
      <x:c r="L2345" s="11" t="n">
        <x:v>0</x:v>
      </x:c>
      <x:c r="M2345" s="9" t="n">
        <x:f>IF(D2345="Completed",I2345*J2345,0)</x:f>
        <x:v>1200</x:v>
      </x:c>
      <x:c r="N2345" s="9" t="n">
        <x:f>M2345*K2345</x:f>
        <x:v>0</x:v>
      </x:c>
      <x:c r="O2345" s="9" t="n">
        <x:f>M2345-N2345</x:f>
        <x:v>1200</x:v>
      </x:c>
      <x:c r="P2345" s="9" t="n">
        <x:f>IF(D2345="Completed",L2345*J2345*(1-K2345),0)</x:f>
        <x:v>0</x:v>
      </x:c>
      <x:c r="Q2345" s="9" t="n">
        <x:f>O2345-P2345</x:f>
        <x:v>1200</x:v>
      </x:c>
      <x:c r="R2345" s="11" t="n">
        <x:f>IF(D2345="Completed",I2345,0)</x:f>
        <x:v>4</x:v>
      </x:c>
      <x:c r="S2345" s="11" t="n">
        <x:f>IF(D2345="Completed",L2345,0)</x:f>
        <x:v>0</x:v>
      </x:c>
      <x:c r="T2345" s="8" t="n">
        <x:f>DATE(YEAR(C2345),MONTH(C2345),1)</x:f>
        <x:v>45748</x:v>
      </x:c>
    </x:row>
    <x:row r="2346" ht="22" customHeight="1">
      <x:c r="A2346" s="2" t="str">
        <x:v>L002342</x:v>
      </x:c>
      <x:c r="B2346" s="2" t="str">
        <x:v>O00961</x:v>
      </x:c>
      <x:c r="C2346" s="7" t="n">
        <x:v>45756</x:v>
      </x:c>
      <x:c r="D2346" s="2" t="str">
        <x:v>Completed</x:v>
      </x:c>
      <x:c r="E2346" s="2" t="str">
        <x:v>East</x:v>
      </x:c>
      <x:c r="F2346" s="2" t="str">
        <x:v>Store</x:v>
      </x:c>
      <x:c r="G2346" s="2" t="str">
        <x:v>Furniture</x:v>
      </x:c>
      <x:c r="H2346" s="2" t="str">
        <x:v>Desk 024</x:v>
      </x:c>
      <x:c r="I2346" s="11" t="n">
        <x:v>4</x:v>
      </x:c>
      <x:c r="J2346" s="9" t="n">
        <x:v>81</x:v>
      </x:c>
      <x:c r="K2346" s="10" t="n">
        <x:v>0</x:v>
      </x:c>
      <x:c r="L2346" s="11" t="n">
        <x:v>0</x:v>
      </x:c>
      <x:c r="M2346" s="9" t="n">
        <x:f>IF(D2346="Completed",I2346*J2346,0)</x:f>
        <x:v>324</x:v>
      </x:c>
      <x:c r="N2346" s="9" t="n">
        <x:f>M2346*K2346</x:f>
        <x:v>0</x:v>
      </x:c>
      <x:c r="O2346" s="9" t="n">
        <x:f>M2346-N2346</x:f>
        <x:v>324</x:v>
      </x:c>
      <x:c r="P2346" s="9" t="n">
        <x:f>IF(D2346="Completed",L2346*J2346*(1-K2346),0)</x:f>
        <x:v>0</x:v>
      </x:c>
      <x:c r="Q2346" s="9" t="n">
        <x:f>O2346-P2346</x:f>
        <x:v>324</x:v>
      </x:c>
      <x:c r="R2346" s="11" t="n">
        <x:f>IF(D2346="Completed",I2346,0)</x:f>
        <x:v>4</x:v>
      </x:c>
      <x:c r="S2346" s="11" t="n">
        <x:f>IF(D2346="Completed",L2346,0)</x:f>
        <x:v>0</x:v>
      </x:c>
      <x:c r="T2346" s="8" t="n">
        <x:f>DATE(YEAR(C2346),MONTH(C2346),1)</x:f>
        <x:v>45748</x:v>
      </x:c>
    </x:row>
    <x:row r="2347" ht="22" customHeight="1">
      <x:c r="A2347" s="2" t="str">
        <x:v>L002343</x:v>
      </x:c>
      <x:c r="B2347" s="2" t="str">
        <x:v>O00961</x:v>
      </x:c>
      <x:c r="C2347" s="7" t="n">
        <x:v>45756</x:v>
      </x:c>
      <x:c r="D2347" s="2" t="str">
        <x:v>Completed</x:v>
      </x:c>
      <x:c r="E2347" s="2" t="str">
        <x:v>East</x:v>
      </x:c>
      <x:c r="F2347" s="2" t="str">
        <x:v>Store</x:v>
      </x:c>
      <x:c r="G2347" s="2" t="str">
        <x:v>Furniture</x:v>
      </x:c>
      <x:c r="H2347" s="2" t="str">
        <x:v>Desk 016</x:v>
      </x:c>
      <x:c r="I2347" s="11" t="n">
        <x:v>5</x:v>
      </x:c>
      <x:c r="J2347" s="9" t="n">
        <x:v>231</x:v>
      </x:c>
      <x:c r="K2347" s="10" t="n">
        <x:v>0.05</x:v>
      </x:c>
      <x:c r="L2347" s="11" t="n">
        <x:v>0</x:v>
      </x:c>
      <x:c r="M2347" s="9" t="n">
        <x:f>IF(D2347="Completed",I2347*J2347,0)</x:f>
        <x:v>1155</x:v>
      </x:c>
      <x:c r="N2347" s="9" t="n">
        <x:f>M2347*K2347</x:f>
        <x:v>57.75</x:v>
      </x:c>
      <x:c r="O2347" s="9" t="n">
        <x:f>M2347-N2347</x:f>
        <x:v>1097.25</x:v>
      </x:c>
      <x:c r="P2347" s="9" t="n">
        <x:f>IF(D2347="Completed",L2347*J2347*(1-K2347),0)</x:f>
        <x:v>0</x:v>
      </x:c>
      <x:c r="Q2347" s="9" t="n">
        <x:f>O2347-P2347</x:f>
        <x:v>1097.25</x:v>
      </x:c>
      <x:c r="R2347" s="11" t="n">
        <x:f>IF(D2347="Completed",I2347,0)</x:f>
        <x:v>5</x:v>
      </x:c>
      <x:c r="S2347" s="11" t="n">
        <x:f>IF(D2347="Completed",L2347,0)</x:f>
        <x:v>0</x:v>
      </x:c>
      <x:c r="T2347" s="8" t="n">
        <x:f>DATE(YEAR(C2347),MONTH(C2347),1)</x:f>
        <x:v>45748</x:v>
      </x:c>
    </x:row>
    <x:row r="2348" ht="22" customHeight="1">
      <x:c r="A2348" s="2" t="str">
        <x:v>L002344</x:v>
      </x:c>
      <x:c r="B2348" s="2" t="str">
        <x:v>O00961</x:v>
      </x:c>
      <x:c r="C2348" s="7" t="n">
        <x:v>45756</x:v>
      </x:c>
      <x:c r="D2348" s="2" t="str">
        <x:v>Completed</x:v>
      </x:c>
      <x:c r="E2348" s="2" t="str">
        <x:v>East</x:v>
      </x:c>
      <x:c r="F2348" s="2" t="str">
        <x:v>Store</x:v>
      </x:c>
      <x:c r="G2348" s="2" t="str">
        <x:v>Storage</x:v>
      </x:c>
      <x:c r="H2348" s="2" t="str">
        <x:v>Shelf 007</x:v>
      </x:c>
      <x:c r="I2348" s="11" t="n">
        <x:v>3</x:v>
      </x:c>
      <x:c r="J2348" s="9" t="n">
        <x:v>35</x:v>
      </x:c>
      <x:c r="K2348" s="10" t="n">
        <x:v>0</x:v>
      </x:c>
      <x:c r="L2348" s="11" t="n">
        <x:v>0</x:v>
      </x:c>
      <x:c r="M2348" s="9" t="n">
        <x:f>IF(D2348="Completed",I2348*J2348,0)</x:f>
        <x:v>105</x:v>
      </x:c>
      <x:c r="N2348" s="9" t="n">
        <x:f>M2348*K2348</x:f>
        <x:v>0</x:v>
      </x:c>
      <x:c r="O2348" s="9" t="n">
        <x:f>M2348-N2348</x:f>
        <x:v>105</x:v>
      </x:c>
      <x:c r="P2348" s="9" t="n">
        <x:f>IF(D2348="Completed",L2348*J2348*(1-K2348),0)</x:f>
        <x:v>0</x:v>
      </x:c>
      <x:c r="Q2348" s="9" t="n">
        <x:f>O2348-P2348</x:f>
        <x:v>105</x:v>
      </x:c>
      <x:c r="R2348" s="11" t="n">
        <x:f>IF(D2348="Completed",I2348,0)</x:f>
        <x:v>3</x:v>
      </x:c>
      <x:c r="S2348" s="11" t="n">
        <x:f>IF(D2348="Completed",L2348,0)</x:f>
        <x:v>0</x:v>
      </x:c>
      <x:c r="T2348" s="8" t="n">
        <x:f>DATE(YEAR(C2348),MONTH(C2348),1)</x:f>
        <x:v>45748</x:v>
      </x:c>
    </x:row>
    <x:row r="2349" ht="22" customHeight="1">
      <x:c r="A2349" s="2" t="str">
        <x:v>L002345</x:v>
      </x:c>
      <x:c r="B2349" s="2" t="str">
        <x:v>O00962</x:v>
      </x:c>
      <x:c r="C2349" s="7" t="n">
        <x:v>45830</x:v>
      </x:c>
      <x:c r="D2349" s="2" t="str">
        <x:v>Completed</x:v>
      </x:c>
      <x:c r="E2349" s="2" t="str">
        <x:v>West</x:v>
      </x:c>
      <x:c r="F2349" s="2" t="str">
        <x:v>Online</x:v>
      </x:c>
      <x:c r="G2349" s="2" t="str">
        <x:v>Lighting</x:v>
      </x:c>
      <x:c r="H2349" s="2" t="str">
        <x:v>Lamp 001</x:v>
      </x:c>
      <x:c r="I2349" s="11" t="n">
        <x:v>5</x:v>
      </x:c>
      <x:c r="J2349" s="9" t="n">
        <x:v>122</x:v>
      </x:c>
      <x:c r="K2349" s="10" t="n">
        <x:v>0.2</x:v>
      </x:c>
      <x:c r="L2349" s="11" t="n">
        <x:v>0</x:v>
      </x:c>
      <x:c r="M2349" s="9" t="n">
        <x:f>IF(D2349="Completed",I2349*J2349,0)</x:f>
        <x:v>610</x:v>
      </x:c>
      <x:c r="N2349" s="9" t="n">
        <x:f>M2349*K2349</x:f>
        <x:v>122</x:v>
      </x:c>
      <x:c r="O2349" s="9" t="n">
        <x:f>M2349-N2349</x:f>
        <x:v>488</x:v>
      </x:c>
      <x:c r="P2349" s="9" t="n">
        <x:f>IF(D2349="Completed",L2349*J2349*(1-K2349),0)</x:f>
        <x:v>0</x:v>
      </x:c>
      <x:c r="Q2349" s="9" t="n">
        <x:f>O2349-P2349</x:f>
        <x:v>488</x:v>
      </x:c>
      <x:c r="R2349" s="11" t="n">
        <x:f>IF(D2349="Completed",I2349,0)</x:f>
        <x:v>5</x:v>
      </x:c>
      <x:c r="S2349" s="11" t="n">
        <x:f>IF(D2349="Completed",L2349,0)</x:f>
        <x:v>0</x:v>
      </x:c>
      <x:c r="T2349" s="8" t="n">
        <x:f>DATE(YEAR(C2349),MONTH(C2349),1)</x:f>
        <x:v>45809</x:v>
      </x:c>
    </x:row>
    <x:row r="2350" ht="22" customHeight="1">
      <x:c r="A2350" s="2" t="str">
        <x:v>L002346</x:v>
      </x:c>
      <x:c r="B2350" s="2" t="str">
        <x:v>O00962</x:v>
      </x:c>
      <x:c r="C2350" s="7" t="n">
        <x:v>45830</x:v>
      </x:c>
      <x:c r="D2350" s="2" t="str">
        <x:v>Completed</x:v>
      </x:c>
      <x:c r="E2350" s="2" t="str">
        <x:v>West</x:v>
      </x:c>
      <x:c r="F2350" s="2" t="str">
        <x:v>Online</x:v>
      </x:c>
      <x:c r="G2350" s="2" t="str">
        <x:v>Furniture</x:v>
      </x:c>
      <x:c r="H2350" s="2" t="str">
        <x:v>Chair 002</x:v>
      </x:c>
      <x:c r="I2350" s="11" t="n">
        <x:v>3</x:v>
      </x:c>
      <x:c r="J2350" s="9" t="n">
        <x:v>284</x:v>
      </x:c>
      <x:c r="K2350" s="10" t="n">
        <x:v>0.2</x:v>
      </x:c>
      <x:c r="L2350" s="11" t="n">
        <x:v>0</x:v>
      </x:c>
      <x:c r="M2350" s="9" t="n">
        <x:f>IF(D2350="Completed",I2350*J2350,0)</x:f>
        <x:v>852</x:v>
      </x:c>
      <x:c r="N2350" s="9" t="n">
        <x:f>M2350*K2350</x:f>
        <x:v>170.4</x:v>
      </x:c>
      <x:c r="O2350" s="9" t="n">
        <x:f>M2350-N2350</x:f>
        <x:v>681.6</x:v>
      </x:c>
      <x:c r="P2350" s="9" t="n">
        <x:f>IF(D2350="Completed",L2350*J2350*(1-K2350),0)</x:f>
        <x:v>0</x:v>
      </x:c>
      <x:c r="Q2350" s="9" t="n">
        <x:f>O2350-P2350</x:f>
        <x:v>681.6</x:v>
      </x:c>
      <x:c r="R2350" s="11" t="n">
        <x:f>IF(D2350="Completed",I2350,0)</x:f>
        <x:v>3</x:v>
      </x:c>
      <x:c r="S2350" s="11" t="n">
        <x:f>IF(D2350="Completed",L2350,0)</x:f>
        <x:v>0</x:v>
      </x:c>
      <x:c r="T2350" s="8" t="n">
        <x:f>DATE(YEAR(C2350),MONTH(C2350),1)</x:f>
        <x:v>45809</x:v>
      </x:c>
    </x:row>
    <x:row r="2351" ht="22" customHeight="1">
      <x:c r="A2351" s="2" t="str">
        <x:v>L002347</x:v>
      </x:c>
      <x:c r="B2351" s="2" t="str">
        <x:v>O00962</x:v>
      </x:c>
      <x:c r="C2351" s="7" t="n">
        <x:v>45830</x:v>
      </x:c>
      <x:c r="D2351" s="2" t="str">
        <x:v>Completed</x:v>
      </x:c>
      <x:c r="E2351" s="2" t="str">
        <x:v>West</x:v>
      </x:c>
      <x:c r="F2351" s="2" t="str">
        <x:v>Online</x:v>
      </x:c>
      <x:c r="G2351" s="2" t="str">
        <x:v>Lighting</x:v>
      </x:c>
      <x:c r="H2351" s="2" t="str">
        <x:v>Lamp 013</x:v>
      </x:c>
      <x:c r="I2351" s="11" t="n">
        <x:v>4</x:v>
      </x:c>
      <x:c r="J2351" s="9" t="n">
        <x:v>271</x:v>
      </x:c>
      <x:c r="K2351" s="10" t="n">
        <x:v>0.2</x:v>
      </x:c>
      <x:c r="L2351" s="11" t="n">
        <x:v>0</x:v>
      </x:c>
      <x:c r="M2351" s="9" t="n">
        <x:f>IF(D2351="Completed",I2351*J2351,0)</x:f>
        <x:v>1084</x:v>
      </x:c>
      <x:c r="N2351" s="9" t="n">
        <x:f>M2351*K2351</x:f>
        <x:v>216.8</x:v>
      </x:c>
      <x:c r="O2351" s="9" t="n">
        <x:f>M2351-N2351</x:f>
        <x:v>867.2</x:v>
      </x:c>
      <x:c r="P2351" s="9" t="n">
        <x:f>IF(D2351="Completed",L2351*J2351*(1-K2351),0)</x:f>
        <x:v>0</x:v>
      </x:c>
      <x:c r="Q2351" s="9" t="n">
        <x:f>O2351-P2351</x:f>
        <x:v>867.2</x:v>
      </x:c>
      <x:c r="R2351" s="11" t="n">
        <x:f>IF(D2351="Completed",I2351,0)</x:f>
        <x:v>4</x:v>
      </x:c>
      <x:c r="S2351" s="11" t="n">
        <x:f>IF(D2351="Completed",L2351,0)</x:f>
        <x:v>0</x:v>
      </x:c>
      <x:c r="T2351" s="8" t="n">
        <x:f>DATE(YEAR(C2351),MONTH(C2351),1)</x:f>
        <x:v>45809</x:v>
      </x:c>
    </x:row>
    <x:row r="2352" ht="22" customHeight="1">
      <x:c r="A2352" s="2" t="str">
        <x:v>L002348</x:v>
      </x:c>
      <x:c r="B2352" s="2" t="str">
        <x:v>O00963</x:v>
      </x:c>
      <x:c r="C2352" s="7" t="n">
        <x:v>45871</x:v>
      </x:c>
      <x:c r="D2352" s="2" t="str">
        <x:v>Completed</x:v>
      </x:c>
      <x:c r="E2352" s="2" t="str">
        <x:v>South</x:v>
      </x:c>
      <x:c r="F2352" s="2" t="str">
        <x:v>Online</x:v>
      </x:c>
      <x:c r="G2352" s="2" t="str">
        <x:v>Lighting</x:v>
      </x:c>
      <x:c r="H2352" s="2" t="str">
        <x:v>Lamp 021</x:v>
      </x:c>
      <x:c r="I2352" s="11" t="n">
        <x:v>4</x:v>
      </x:c>
      <x:c r="J2352" s="9" t="n">
        <x:v>249</x:v>
      </x:c>
      <x:c r="K2352" s="10" t="n">
        <x:v>0</x:v>
      </x:c>
      <x:c r="L2352" s="11" t="n">
        <x:v>0</x:v>
      </x:c>
      <x:c r="M2352" s="9" t="n">
        <x:f>IF(D2352="Completed",I2352*J2352,0)</x:f>
        <x:v>996</x:v>
      </x:c>
      <x:c r="N2352" s="9" t="n">
        <x:f>M2352*K2352</x:f>
        <x:v>0</x:v>
      </x:c>
      <x:c r="O2352" s="9" t="n">
        <x:f>M2352-N2352</x:f>
        <x:v>996</x:v>
      </x:c>
      <x:c r="P2352" s="9" t="n">
        <x:f>IF(D2352="Completed",L2352*J2352*(1-K2352),0)</x:f>
        <x:v>0</x:v>
      </x:c>
      <x:c r="Q2352" s="9" t="n">
        <x:f>O2352-P2352</x:f>
        <x:v>996</x:v>
      </x:c>
      <x:c r="R2352" s="11" t="n">
        <x:f>IF(D2352="Completed",I2352,0)</x:f>
        <x:v>4</x:v>
      </x:c>
      <x:c r="S2352" s="11" t="n">
        <x:f>IF(D2352="Completed",L2352,0)</x:f>
        <x:v>0</x:v>
      </x:c>
      <x:c r="T2352" s="8" t="n">
        <x:f>DATE(YEAR(C2352),MONTH(C2352),1)</x:f>
        <x:v>45870</x:v>
      </x:c>
    </x:row>
    <x:row r="2353" ht="22" customHeight="1">
      <x:c r="A2353" s="2" t="str">
        <x:v>L002349</x:v>
      </x:c>
      <x:c r="B2353" s="2" t="str">
        <x:v>O00963</x:v>
      </x:c>
      <x:c r="C2353" s="7" t="n">
        <x:v>45871</x:v>
      </x:c>
      <x:c r="D2353" s="2" t="str">
        <x:v>Completed</x:v>
      </x:c>
      <x:c r="E2353" s="2" t="str">
        <x:v>South</x:v>
      </x:c>
      <x:c r="F2353" s="2" t="str">
        <x:v>Online</x:v>
      </x:c>
      <x:c r="G2353" s="2" t="str">
        <x:v>Storage</x:v>
      </x:c>
      <x:c r="H2353" s="2" t="str">
        <x:v>Shelf 015</x:v>
      </x:c>
      <x:c r="I2353" s="11" t="n">
        <x:v>1</x:v>
      </x:c>
      <x:c r="J2353" s="9" t="n">
        <x:v>254</x:v>
      </x:c>
      <x:c r="K2353" s="10" t="n">
        <x:v>0.2</x:v>
      </x:c>
      <x:c r="L2353" s="11" t="n">
        <x:v>0</x:v>
      </x:c>
      <x:c r="M2353" s="9" t="n">
        <x:f>IF(D2353="Completed",I2353*J2353,0)</x:f>
        <x:v>254</x:v>
      </x:c>
      <x:c r="N2353" s="9" t="n">
        <x:f>M2353*K2353</x:f>
        <x:v>50.800000000000004</x:v>
      </x:c>
      <x:c r="O2353" s="9" t="n">
        <x:f>M2353-N2353</x:f>
        <x:v>203.2</x:v>
      </x:c>
      <x:c r="P2353" s="9" t="n">
        <x:f>IF(D2353="Completed",L2353*J2353*(1-K2353),0)</x:f>
        <x:v>0</x:v>
      </x:c>
      <x:c r="Q2353" s="9" t="n">
        <x:f>O2353-P2353</x:f>
        <x:v>203.2</x:v>
      </x:c>
      <x:c r="R2353" s="11" t="n">
        <x:f>IF(D2353="Completed",I2353,0)</x:f>
        <x:v>1</x:v>
      </x:c>
      <x:c r="S2353" s="11" t="n">
        <x:f>IF(D2353="Completed",L2353,0)</x:f>
        <x:v>0</x:v>
      </x:c>
      <x:c r="T2353" s="8" t="n">
        <x:f>DATE(YEAR(C2353),MONTH(C2353),1)</x:f>
        <x:v>45870</x:v>
      </x:c>
    </x:row>
    <x:row r="2354" ht="22" customHeight="1">
      <x:c r="A2354" s="2" t="str">
        <x:v>L002350</x:v>
      </x:c>
      <x:c r="B2354" s="2" t="str">
        <x:v>O00963</x:v>
      </x:c>
      <x:c r="C2354" s="7" t="n">
        <x:v>45871</x:v>
      </x:c>
      <x:c r="D2354" s="2" t="str">
        <x:v>Completed</x:v>
      </x:c>
      <x:c r="E2354" s="2" t="str">
        <x:v>South</x:v>
      </x:c>
      <x:c r="F2354" s="2" t="str">
        <x:v>Online</x:v>
      </x:c>
      <x:c r="G2354" s="2" t="str">
        <x:v>Storage</x:v>
      </x:c>
      <x:c r="H2354" s="2" t="str">
        <x:v>Shelf 019</x:v>
      </x:c>
      <x:c r="I2354" s="11" t="n">
        <x:v>3</x:v>
      </x:c>
      <x:c r="J2354" s="9" t="n">
        <x:v>78</x:v>
      </x:c>
      <x:c r="K2354" s="10" t="n">
        <x:v>0.1</x:v>
      </x:c>
      <x:c r="L2354" s="11" t="n">
        <x:v>0</x:v>
      </x:c>
      <x:c r="M2354" s="9" t="n">
        <x:f>IF(D2354="Completed",I2354*J2354,0)</x:f>
        <x:v>234</x:v>
      </x:c>
      <x:c r="N2354" s="9" t="n">
        <x:f>M2354*K2354</x:f>
        <x:v>23.400000000000002</x:v>
      </x:c>
      <x:c r="O2354" s="9" t="n">
        <x:f>M2354-N2354</x:f>
        <x:v>210.6</x:v>
      </x:c>
      <x:c r="P2354" s="9" t="n">
        <x:f>IF(D2354="Completed",L2354*J2354*(1-K2354),0)</x:f>
        <x:v>0</x:v>
      </x:c>
      <x:c r="Q2354" s="9" t="n">
        <x:f>O2354-P2354</x:f>
        <x:v>210.6</x:v>
      </x:c>
      <x:c r="R2354" s="11" t="n">
        <x:f>IF(D2354="Completed",I2354,0)</x:f>
        <x:v>3</x:v>
      </x:c>
      <x:c r="S2354" s="11" t="n">
        <x:f>IF(D2354="Completed",L2354,0)</x:f>
        <x:v>0</x:v>
      </x:c>
      <x:c r="T2354" s="8" t="n">
        <x:f>DATE(YEAR(C2354),MONTH(C2354),1)</x:f>
        <x:v>45870</x:v>
      </x:c>
    </x:row>
    <x:row r="2355" ht="22" customHeight="1">
      <x:c r="A2355" s="2" t="str">
        <x:v>L002351</x:v>
      </x:c>
      <x:c r="B2355" s="2" t="str">
        <x:v>O00963</x:v>
      </x:c>
      <x:c r="C2355" s="7" t="n">
        <x:v>45871</x:v>
      </x:c>
      <x:c r="D2355" s="2" t="str">
        <x:v>Completed</x:v>
      </x:c>
      <x:c r="E2355" s="2" t="str">
        <x:v>South</x:v>
      </x:c>
      <x:c r="F2355" s="2" t="str">
        <x:v>Online</x:v>
      </x:c>
      <x:c r="G2355" s="2" t="str">
        <x:v>Lighting</x:v>
      </x:c>
      <x:c r="H2355" s="2" t="str">
        <x:v>Lamp 017</x:v>
      </x:c>
      <x:c r="I2355" s="11" t="n">
        <x:v>2</x:v>
      </x:c>
      <x:c r="J2355" s="9" t="n">
        <x:v>300</x:v>
      </x:c>
      <x:c r="K2355" s="10" t="n">
        <x:v>0.05</x:v>
      </x:c>
      <x:c r="L2355" s="11" t="n">
        <x:v>0</x:v>
      </x:c>
      <x:c r="M2355" s="9" t="n">
        <x:f>IF(D2355="Completed",I2355*J2355,0)</x:f>
        <x:v>600</x:v>
      </x:c>
      <x:c r="N2355" s="9" t="n">
        <x:f>M2355*K2355</x:f>
        <x:v>30</x:v>
      </x:c>
      <x:c r="O2355" s="9" t="n">
        <x:f>M2355-N2355</x:f>
        <x:v>570</x:v>
      </x:c>
      <x:c r="P2355" s="9" t="n">
        <x:f>IF(D2355="Completed",L2355*J2355*(1-K2355),0)</x:f>
        <x:v>0</x:v>
      </x:c>
      <x:c r="Q2355" s="9" t="n">
        <x:f>O2355-P2355</x:f>
        <x:v>570</x:v>
      </x:c>
      <x:c r="R2355" s="11" t="n">
        <x:f>IF(D2355="Completed",I2355,0)</x:f>
        <x:v>2</x:v>
      </x:c>
      <x:c r="S2355" s="11" t="n">
        <x:f>IF(D2355="Completed",L2355,0)</x:f>
        <x:v>0</x:v>
      </x:c>
      <x:c r="T2355" s="8" t="n">
        <x:f>DATE(YEAR(C2355),MONTH(C2355),1)</x:f>
        <x:v>45870</x:v>
      </x:c>
    </x:row>
    <x:row r="2356" ht="22" customHeight="1">
      <x:c r="A2356" s="2" t="str">
        <x:v>L002352</x:v>
      </x:c>
      <x:c r="B2356" s="2" t="str">
        <x:v>O00964</x:v>
      </x:c>
      <x:c r="C2356" s="7" t="n">
        <x:v>45834</x:v>
      </x:c>
      <x:c r="D2356" s="2" t="str">
        <x:v>Completed</x:v>
      </x:c>
      <x:c r="E2356" s="2" t="str">
        <x:v>North</x:v>
      </x:c>
      <x:c r="F2356" s="2" t="str">
        <x:v>Store</x:v>
      </x:c>
      <x:c r="G2356" s="2" t="str">
        <x:v>Storage</x:v>
      </x:c>
      <x:c r="H2356" s="2" t="str">
        <x:v>Shelf 019</x:v>
      </x:c>
      <x:c r="I2356" s="11" t="n">
        <x:v>5</x:v>
      </x:c>
      <x:c r="J2356" s="9" t="n">
        <x:v>78</x:v>
      </x:c>
      <x:c r="K2356" s="10" t="n">
        <x:v>0.1</x:v>
      </x:c>
      <x:c r="L2356" s="11" t="n">
        <x:v>4</x:v>
      </x:c>
      <x:c r="M2356" s="9" t="n">
        <x:f>IF(D2356="Completed",I2356*J2356,0)</x:f>
        <x:v>390</x:v>
      </x:c>
      <x:c r="N2356" s="9" t="n">
        <x:f>M2356*K2356</x:f>
        <x:v>39</x:v>
      </x:c>
      <x:c r="O2356" s="9" t="n">
        <x:f>M2356-N2356</x:f>
        <x:v>351</x:v>
      </x:c>
      <x:c r="P2356" s="9" t="n">
        <x:f>IF(D2356="Completed",L2356*J2356*(1-K2356),0)</x:f>
        <x:v>280.8</x:v>
      </x:c>
      <x:c r="Q2356" s="9" t="n">
        <x:f>O2356-P2356</x:f>
        <x:v>70.19999999999999</x:v>
      </x:c>
      <x:c r="R2356" s="11" t="n">
        <x:f>IF(D2356="Completed",I2356,0)</x:f>
        <x:v>5</x:v>
      </x:c>
      <x:c r="S2356" s="11" t="n">
        <x:f>IF(D2356="Completed",L2356,0)</x:f>
        <x:v>4</x:v>
      </x:c>
      <x:c r="T2356" s="8" t="n">
        <x:f>DATE(YEAR(C2356),MONTH(C2356),1)</x:f>
        <x:v>45809</x:v>
      </x:c>
    </x:row>
    <x:row r="2357" ht="22" customHeight="1">
      <x:c r="A2357" s="2" t="str">
        <x:v>L002353</x:v>
      </x:c>
      <x:c r="B2357" s="2" t="str">
        <x:v>O00965</x:v>
      </x:c>
      <x:c r="C2357" s="7" t="n">
        <x:v>45986</x:v>
      </x:c>
      <x:c r="D2357" s="2" t="str">
        <x:v>Completed</x:v>
      </x:c>
      <x:c r="E2357" s="2" t="str">
        <x:v>West</x:v>
      </x:c>
      <x:c r="F2357" s="2" t="str">
        <x:v>Online</x:v>
      </x:c>
      <x:c r="G2357" s="2" t="str">
        <x:v>Furniture</x:v>
      </x:c>
      <x:c r="H2357" s="2" t="str">
        <x:v>Desk 004</x:v>
      </x:c>
      <x:c r="I2357" s="11" t="n">
        <x:v>5</x:v>
      </x:c>
      <x:c r="J2357" s="9" t="n">
        <x:v>123</x:v>
      </x:c>
      <x:c r="K2357" s="10" t="n">
        <x:v>0.2</x:v>
      </x:c>
      <x:c r="L2357" s="11" t="n">
        <x:v>0</x:v>
      </x:c>
      <x:c r="M2357" s="9" t="n">
        <x:f>IF(D2357="Completed",I2357*J2357,0)</x:f>
        <x:v>615</x:v>
      </x:c>
      <x:c r="N2357" s="9" t="n">
        <x:f>M2357*K2357</x:f>
        <x:v>123</x:v>
      </x:c>
      <x:c r="O2357" s="9" t="n">
        <x:f>M2357-N2357</x:f>
        <x:v>492</x:v>
      </x:c>
      <x:c r="P2357" s="9" t="n">
        <x:f>IF(D2357="Completed",L2357*J2357*(1-K2357),0)</x:f>
        <x:v>0</x:v>
      </x:c>
      <x:c r="Q2357" s="9" t="n">
        <x:f>O2357-P2357</x:f>
        <x:v>492</x:v>
      </x:c>
      <x:c r="R2357" s="11" t="n">
        <x:f>IF(D2357="Completed",I2357,0)</x:f>
        <x:v>5</x:v>
      </x:c>
      <x:c r="S2357" s="11" t="n">
        <x:f>IF(D2357="Completed",L2357,0)</x:f>
        <x:v>0</x:v>
      </x:c>
      <x:c r="T2357" s="8" t="n">
        <x:f>DATE(YEAR(C2357),MONTH(C2357),1)</x:f>
        <x:v>45962</x:v>
      </x:c>
    </x:row>
    <x:row r="2358" ht="22" customHeight="1">
      <x:c r="A2358" s="2" t="str">
        <x:v>L002354</x:v>
      </x:c>
      <x:c r="B2358" s="2" t="str">
        <x:v>O00965</x:v>
      </x:c>
      <x:c r="C2358" s="7" t="n">
        <x:v>45986</x:v>
      </x:c>
      <x:c r="D2358" s="2" t="str">
        <x:v>Completed</x:v>
      </x:c>
      <x:c r="E2358" s="2" t="str">
        <x:v>West</x:v>
      </x:c>
      <x:c r="F2358" s="2" t="str">
        <x:v>Online</x:v>
      </x:c>
      <x:c r="G2358" s="2" t="str">
        <x:v>Lighting</x:v>
      </x:c>
      <x:c r="H2358" s="2" t="str">
        <x:v>Lamp 017</x:v>
      </x:c>
      <x:c r="I2358" s="11" t="n">
        <x:v>1</x:v>
      </x:c>
      <x:c r="J2358" s="9" t="n">
        <x:v>300</x:v>
      </x:c>
      <x:c r="K2358" s="10" t="n">
        <x:v>0</x:v>
      </x:c>
      <x:c r="L2358" s="11" t="n">
        <x:v>0</x:v>
      </x:c>
      <x:c r="M2358" s="9" t="n">
        <x:f>IF(D2358="Completed",I2358*J2358,0)</x:f>
        <x:v>300</x:v>
      </x:c>
      <x:c r="N2358" s="9" t="n">
        <x:f>M2358*K2358</x:f>
        <x:v>0</x:v>
      </x:c>
      <x:c r="O2358" s="9" t="n">
        <x:f>M2358-N2358</x:f>
        <x:v>300</x:v>
      </x:c>
      <x:c r="P2358" s="9" t="n">
        <x:f>IF(D2358="Completed",L2358*J2358*(1-K2358),0)</x:f>
        <x:v>0</x:v>
      </x:c>
      <x:c r="Q2358" s="9" t="n">
        <x:f>O2358-P2358</x:f>
        <x:v>300</x:v>
      </x:c>
      <x:c r="R2358" s="11" t="n">
        <x:f>IF(D2358="Completed",I2358,0)</x:f>
        <x:v>1</x:v>
      </x:c>
      <x:c r="S2358" s="11" t="n">
        <x:f>IF(D2358="Completed",L2358,0)</x:f>
        <x:v>0</x:v>
      </x:c>
      <x:c r="T2358" s="8" t="n">
        <x:f>DATE(YEAR(C2358),MONTH(C2358),1)</x:f>
        <x:v>45962</x:v>
      </x:c>
    </x:row>
    <x:row r="2359" ht="22" customHeight="1">
      <x:c r="A2359" s="2" t="str">
        <x:v>L002355</x:v>
      </x:c>
      <x:c r="B2359" s="2" t="str">
        <x:v>O00966</x:v>
      </x:c>
      <x:c r="C2359" s="7" t="n">
        <x:v>45866</x:v>
      </x:c>
      <x:c r="D2359" s="2" t="str">
        <x:v>Completed</x:v>
      </x:c>
      <x:c r="E2359" s="2" t="str">
        <x:v>East</x:v>
      </x:c>
      <x:c r="F2359" s="2" t="str">
        <x:v>Store</x:v>
      </x:c>
      <x:c r="G2359" s="2" t="str">
        <x:v>Lighting</x:v>
      </x:c>
      <x:c r="H2359" s="2" t="str">
        <x:v>Lamp 001</x:v>
      </x:c>
      <x:c r="I2359" s="11" t="n">
        <x:v>3</x:v>
      </x:c>
      <x:c r="J2359" s="9" t="n">
        <x:v>122</x:v>
      </x:c>
      <x:c r="K2359" s="10" t="n">
        <x:v>0.1</x:v>
      </x:c>
      <x:c r="L2359" s="11" t="n">
        <x:v>0</x:v>
      </x:c>
      <x:c r="M2359" s="9" t="n">
        <x:f>IF(D2359="Completed",I2359*J2359,0)</x:f>
        <x:v>366</x:v>
      </x:c>
      <x:c r="N2359" s="9" t="n">
        <x:f>M2359*K2359</x:f>
        <x:v>36.6</x:v>
      </x:c>
      <x:c r="O2359" s="9" t="n">
        <x:f>M2359-N2359</x:f>
        <x:v>329.4</x:v>
      </x:c>
      <x:c r="P2359" s="9" t="n">
        <x:f>IF(D2359="Completed",L2359*J2359*(1-K2359),0)</x:f>
        <x:v>0</x:v>
      </x:c>
      <x:c r="Q2359" s="9" t="n">
        <x:f>O2359-P2359</x:f>
        <x:v>329.4</x:v>
      </x:c>
      <x:c r="R2359" s="11" t="n">
        <x:f>IF(D2359="Completed",I2359,0)</x:f>
        <x:v>3</x:v>
      </x:c>
      <x:c r="S2359" s="11" t="n">
        <x:f>IF(D2359="Completed",L2359,0)</x:f>
        <x:v>0</x:v>
      </x:c>
      <x:c r="T2359" s="8" t="n">
        <x:f>DATE(YEAR(C2359),MONTH(C2359),1)</x:f>
        <x:v>45839</x:v>
      </x:c>
    </x:row>
    <x:row r="2360" ht="22" customHeight="1">
      <x:c r="A2360" s="2" t="str">
        <x:v>L002356</x:v>
      </x:c>
      <x:c r="B2360" s="2" t="str">
        <x:v>O00967</x:v>
      </x:c>
      <x:c r="C2360" s="7" t="n">
        <x:v>45719</x:v>
      </x:c>
      <x:c r="D2360" s="2" t="str">
        <x:v>Completed</x:v>
      </x:c>
      <x:c r="E2360" s="2" t="str">
        <x:v>North</x:v>
      </x:c>
      <x:c r="F2360" s="2" t="str">
        <x:v>Online</x:v>
      </x:c>
      <x:c r="G2360" s="2" t="str">
        <x:v>Furniture</x:v>
      </x:c>
      <x:c r="H2360" s="2" t="str">
        <x:v>Chair 022</x:v>
      </x:c>
      <x:c r="I2360" s="11" t="n">
        <x:v>1</x:v>
      </x:c>
      <x:c r="J2360" s="9" t="n">
        <x:v>134</x:v>
      </x:c>
      <x:c r="K2360" s="10" t="n">
        <x:v>0.2</x:v>
      </x:c>
      <x:c r="L2360" s="11" t="n">
        <x:v>0</x:v>
      </x:c>
      <x:c r="M2360" s="9" t="n">
        <x:f>IF(D2360="Completed",I2360*J2360,0)</x:f>
        <x:v>134</x:v>
      </x:c>
      <x:c r="N2360" s="9" t="n">
        <x:f>M2360*K2360</x:f>
        <x:v>26.8</x:v>
      </x:c>
      <x:c r="O2360" s="9" t="n">
        <x:f>M2360-N2360</x:f>
        <x:v>107.2</x:v>
      </x:c>
      <x:c r="P2360" s="9" t="n">
        <x:f>IF(D2360="Completed",L2360*J2360*(1-K2360),0)</x:f>
        <x:v>0</x:v>
      </x:c>
      <x:c r="Q2360" s="9" t="n">
        <x:f>O2360-P2360</x:f>
        <x:v>107.2</x:v>
      </x:c>
      <x:c r="R2360" s="11" t="n">
        <x:f>IF(D2360="Completed",I2360,0)</x:f>
        <x:v>1</x:v>
      </x:c>
      <x:c r="S2360" s="11" t="n">
        <x:f>IF(D2360="Completed",L2360,0)</x:f>
        <x:v>0</x:v>
      </x:c>
      <x:c r="T2360" s="8" t="n">
        <x:f>DATE(YEAR(C2360),MONTH(C2360),1)</x:f>
        <x:v>45717</x:v>
      </x:c>
    </x:row>
    <x:row r="2361" ht="22" customHeight="1">
      <x:c r="A2361" s="2" t="str">
        <x:v>L002357</x:v>
      </x:c>
      <x:c r="B2361" s="2" t="str">
        <x:v>O00967</x:v>
      </x:c>
      <x:c r="C2361" s="7" t="n">
        <x:v>45719</x:v>
      </x:c>
      <x:c r="D2361" s="2" t="str">
        <x:v>Completed</x:v>
      </x:c>
      <x:c r="E2361" s="2" t="str">
        <x:v>North</x:v>
      </x:c>
      <x:c r="F2361" s="2" t="str">
        <x:v>Online</x:v>
      </x:c>
      <x:c r="G2361" s="2" t="str">
        <x:v>Furniture</x:v>
      </x:c>
      <x:c r="H2361" s="2" t="str">
        <x:v>Chair 006</x:v>
      </x:c>
      <x:c r="I2361" s="11" t="n">
        <x:v>3</x:v>
      </x:c>
      <x:c r="J2361" s="9" t="n">
        <x:v>196</x:v>
      </x:c>
      <x:c r="K2361" s="10" t="n">
        <x:v>0.05</x:v>
      </x:c>
      <x:c r="L2361" s="11" t="n">
        <x:v>0</x:v>
      </x:c>
      <x:c r="M2361" s="9" t="n">
        <x:f>IF(D2361="Completed",I2361*J2361,0)</x:f>
        <x:v>588</x:v>
      </x:c>
      <x:c r="N2361" s="9" t="n">
        <x:f>M2361*K2361</x:f>
        <x:v>29.400000000000002</x:v>
      </x:c>
      <x:c r="O2361" s="9" t="n">
        <x:f>M2361-N2361</x:f>
        <x:v>558.6</x:v>
      </x:c>
      <x:c r="P2361" s="9" t="n">
        <x:f>IF(D2361="Completed",L2361*J2361*(1-K2361),0)</x:f>
        <x:v>0</x:v>
      </x:c>
      <x:c r="Q2361" s="9" t="n">
        <x:f>O2361-P2361</x:f>
        <x:v>558.6</x:v>
      </x:c>
      <x:c r="R2361" s="11" t="n">
        <x:f>IF(D2361="Completed",I2361,0)</x:f>
        <x:v>3</x:v>
      </x:c>
      <x:c r="S2361" s="11" t="n">
        <x:f>IF(D2361="Completed",L2361,0)</x:f>
        <x:v>0</x:v>
      </x:c>
      <x:c r="T2361" s="8" t="n">
        <x:f>DATE(YEAR(C2361),MONTH(C2361),1)</x:f>
        <x:v>45717</x:v>
      </x:c>
    </x:row>
    <x:row r="2362" ht="22" customHeight="1">
      <x:c r="A2362" s="2" t="str">
        <x:v>L002358</x:v>
      </x:c>
      <x:c r="B2362" s="2" t="str">
        <x:v>O00967</x:v>
      </x:c>
      <x:c r="C2362" s="7" t="n">
        <x:v>45719</x:v>
      </x:c>
      <x:c r="D2362" s="2" t="str">
        <x:v>Completed</x:v>
      </x:c>
      <x:c r="E2362" s="2" t="str">
        <x:v>North</x:v>
      </x:c>
      <x:c r="F2362" s="2" t="str">
        <x:v>Online</x:v>
      </x:c>
      <x:c r="G2362" s="2" t="str">
        <x:v>Furniture</x:v>
      </x:c>
      <x:c r="H2362" s="2" t="str">
        <x:v>Chair 018</x:v>
      </x:c>
      <x:c r="I2362" s="11" t="n">
        <x:v>5</x:v>
      </x:c>
      <x:c r="J2362" s="9" t="n">
        <x:v>269</x:v>
      </x:c>
      <x:c r="K2362" s="10" t="n">
        <x:v>0.1</x:v>
      </x:c>
      <x:c r="L2362" s="11" t="n">
        <x:v>0</x:v>
      </x:c>
      <x:c r="M2362" s="9" t="n">
        <x:f>IF(D2362="Completed",I2362*J2362,0)</x:f>
        <x:v>1345</x:v>
      </x:c>
      <x:c r="N2362" s="9" t="n">
        <x:f>M2362*K2362</x:f>
        <x:v>134.5</x:v>
      </x:c>
      <x:c r="O2362" s="9" t="n">
        <x:f>M2362-N2362</x:f>
        <x:v>1210.5</x:v>
      </x:c>
      <x:c r="P2362" s="9" t="n">
        <x:f>IF(D2362="Completed",L2362*J2362*(1-K2362),0)</x:f>
        <x:v>0</x:v>
      </x:c>
      <x:c r="Q2362" s="9" t="n">
        <x:f>O2362-P2362</x:f>
        <x:v>1210.5</x:v>
      </x:c>
      <x:c r="R2362" s="11" t="n">
        <x:f>IF(D2362="Completed",I2362,0)</x:f>
        <x:v>5</x:v>
      </x:c>
      <x:c r="S2362" s="11" t="n">
        <x:f>IF(D2362="Completed",L2362,0)</x:f>
        <x:v>0</x:v>
      </x:c>
      <x:c r="T2362" s="8" t="n">
        <x:f>DATE(YEAR(C2362),MONTH(C2362),1)</x:f>
        <x:v>45717</x:v>
      </x:c>
    </x:row>
    <x:row r="2363" ht="22" customHeight="1">
      <x:c r="A2363" s="2" t="str">
        <x:v>L002359</x:v>
      </x:c>
      <x:c r="B2363" s="2" t="str">
        <x:v>O00967</x:v>
      </x:c>
      <x:c r="C2363" s="7" t="n">
        <x:v>45719</x:v>
      </x:c>
      <x:c r="D2363" s="2" t="str">
        <x:v>Completed</x:v>
      </x:c>
      <x:c r="E2363" s="2" t="str">
        <x:v>North</x:v>
      </x:c>
      <x:c r="F2363" s="2" t="str">
        <x:v>Online</x:v>
      </x:c>
      <x:c r="G2363" s="2" t="str">
        <x:v>Lighting</x:v>
      </x:c>
      <x:c r="H2363" s="2" t="str">
        <x:v>Lamp 001</x:v>
      </x:c>
      <x:c r="I2363" s="11" t="n">
        <x:v>1</x:v>
      </x:c>
      <x:c r="J2363" s="9" t="n">
        <x:v>122</x:v>
      </x:c>
      <x:c r="K2363" s="10" t="n">
        <x:v>0.1</x:v>
      </x:c>
      <x:c r="L2363" s="11" t="n">
        <x:v>0</x:v>
      </x:c>
      <x:c r="M2363" s="9" t="n">
        <x:f>IF(D2363="Completed",I2363*J2363,0)</x:f>
        <x:v>122</x:v>
      </x:c>
      <x:c r="N2363" s="9" t="n">
        <x:f>M2363*K2363</x:f>
        <x:v>12.200000000000001</x:v>
      </x:c>
      <x:c r="O2363" s="9" t="n">
        <x:f>M2363-N2363</x:f>
        <x:v>109.8</x:v>
      </x:c>
      <x:c r="P2363" s="9" t="n">
        <x:f>IF(D2363="Completed",L2363*J2363*(1-K2363),0)</x:f>
        <x:v>0</x:v>
      </x:c>
      <x:c r="Q2363" s="9" t="n">
        <x:f>O2363-P2363</x:f>
        <x:v>109.8</x:v>
      </x:c>
      <x:c r="R2363" s="11" t="n">
        <x:f>IF(D2363="Completed",I2363,0)</x:f>
        <x:v>1</x:v>
      </x:c>
      <x:c r="S2363" s="11" t="n">
        <x:f>IF(D2363="Completed",L2363,0)</x:f>
        <x:v>0</x:v>
      </x:c>
      <x:c r="T2363" s="8" t="n">
        <x:f>DATE(YEAR(C2363),MONTH(C2363),1)</x:f>
        <x:v>45717</x:v>
      </x:c>
    </x:row>
    <x:row r="2364" ht="22" customHeight="1">
      <x:c r="A2364" s="2" t="str">
        <x:v>L002360</x:v>
      </x:c>
      <x:c r="B2364" s="2" t="str">
        <x:v>O00968</x:v>
      </x:c>
      <x:c r="C2364" s="7" t="n">
        <x:v>45893</x:v>
      </x:c>
      <x:c r="D2364" s="2" t="str">
        <x:v>Completed</x:v>
      </x:c>
      <x:c r="E2364" s="2" t="str">
        <x:v>North</x:v>
      </x:c>
      <x:c r="F2364" s="2" t="str">
        <x:v>Store</x:v>
      </x:c>
      <x:c r="G2364" s="2" t="str">
        <x:v>Furniture</x:v>
      </x:c>
      <x:c r="H2364" s="2" t="str">
        <x:v>Chair 022</x:v>
      </x:c>
      <x:c r="I2364" s="11" t="n">
        <x:v>1</x:v>
      </x:c>
      <x:c r="J2364" s="9" t="n">
        <x:v>134</x:v>
      </x:c>
      <x:c r="K2364" s="10" t="n">
        <x:v>0</x:v>
      </x:c>
      <x:c r="L2364" s="11" t="n">
        <x:v>0</x:v>
      </x:c>
      <x:c r="M2364" s="9" t="n">
        <x:f>IF(D2364="Completed",I2364*J2364,0)</x:f>
        <x:v>134</x:v>
      </x:c>
      <x:c r="N2364" s="9" t="n">
        <x:f>M2364*K2364</x:f>
        <x:v>0</x:v>
      </x:c>
      <x:c r="O2364" s="9" t="n">
        <x:f>M2364-N2364</x:f>
        <x:v>134</x:v>
      </x:c>
      <x:c r="P2364" s="9" t="n">
        <x:f>IF(D2364="Completed",L2364*J2364*(1-K2364),0)</x:f>
        <x:v>0</x:v>
      </x:c>
      <x:c r="Q2364" s="9" t="n">
        <x:f>O2364-P2364</x:f>
        <x:v>134</x:v>
      </x:c>
      <x:c r="R2364" s="11" t="n">
        <x:f>IF(D2364="Completed",I2364,0)</x:f>
        <x:v>1</x:v>
      </x:c>
      <x:c r="S2364" s="11" t="n">
        <x:f>IF(D2364="Completed",L2364,0)</x:f>
        <x:v>0</x:v>
      </x:c>
      <x:c r="T2364" s="8" t="n">
        <x:f>DATE(YEAR(C2364),MONTH(C2364),1)</x:f>
        <x:v>45870</x:v>
      </x:c>
    </x:row>
    <x:row r="2365" ht="22" customHeight="1">
      <x:c r="A2365" s="2" t="str">
        <x:v>L002361</x:v>
      </x:c>
      <x:c r="B2365" s="2" t="str">
        <x:v>O00968</x:v>
      </x:c>
      <x:c r="C2365" s="7" t="n">
        <x:v>45893</x:v>
      </x:c>
      <x:c r="D2365" s="2" t="str">
        <x:v>Completed</x:v>
      </x:c>
      <x:c r="E2365" s="2" t="str">
        <x:v>North</x:v>
      </x:c>
      <x:c r="F2365" s="2" t="str">
        <x:v>Store</x:v>
      </x:c>
      <x:c r="G2365" s="2" t="str">
        <x:v>Lighting</x:v>
      </x:c>
      <x:c r="H2365" s="2" t="str">
        <x:v>Lamp 021</x:v>
      </x:c>
      <x:c r="I2365" s="11" t="n">
        <x:v>5</x:v>
      </x:c>
      <x:c r="J2365" s="9" t="n">
        <x:v>249</x:v>
      </x:c>
      <x:c r="K2365" s="10" t="n">
        <x:v>0.05</x:v>
      </x:c>
      <x:c r="L2365" s="11" t="n">
        <x:v>0</x:v>
      </x:c>
      <x:c r="M2365" s="9" t="n">
        <x:f>IF(D2365="Completed",I2365*J2365,0)</x:f>
        <x:v>1245</x:v>
      </x:c>
      <x:c r="N2365" s="9" t="n">
        <x:f>M2365*K2365</x:f>
        <x:v>62.25</x:v>
      </x:c>
      <x:c r="O2365" s="9" t="n">
        <x:f>M2365-N2365</x:f>
        <x:v>1182.75</x:v>
      </x:c>
      <x:c r="P2365" s="9" t="n">
        <x:f>IF(D2365="Completed",L2365*J2365*(1-K2365),0)</x:f>
        <x:v>0</x:v>
      </x:c>
      <x:c r="Q2365" s="9" t="n">
        <x:f>O2365-P2365</x:f>
        <x:v>1182.75</x:v>
      </x:c>
      <x:c r="R2365" s="11" t="n">
        <x:f>IF(D2365="Completed",I2365,0)</x:f>
        <x:v>5</x:v>
      </x:c>
      <x:c r="S2365" s="11" t="n">
        <x:f>IF(D2365="Completed",L2365,0)</x:f>
        <x:v>0</x:v>
      </x:c>
      <x:c r="T2365" s="8" t="n">
        <x:f>DATE(YEAR(C2365),MONTH(C2365),1)</x:f>
        <x:v>45870</x:v>
      </x:c>
    </x:row>
    <x:row r="2366" ht="22" customHeight="1">
      <x:c r="A2366" s="2" t="str">
        <x:v>L002362</x:v>
      </x:c>
      <x:c r="B2366" s="2" t="str">
        <x:v>O00969</x:v>
      </x:c>
      <x:c r="C2366" s="7" t="n">
        <x:v>45990</x:v>
      </x:c>
      <x:c r="D2366" s="2" t="str">
        <x:v>Completed</x:v>
      </x:c>
      <x:c r="E2366" s="2" t="str">
        <x:v>East</x:v>
      </x:c>
      <x:c r="F2366" s="2" t="str">
        <x:v>Online</x:v>
      </x:c>
      <x:c r="G2366" s="2" t="str">
        <x:v>Storage</x:v>
      </x:c>
      <x:c r="H2366" s="2" t="str">
        <x:v>Shelf 011</x:v>
      </x:c>
      <x:c r="I2366" s="11" t="n">
        <x:v>5</x:v>
      </x:c>
      <x:c r="J2366" s="9" t="n">
        <x:v>80</x:v>
      </x:c>
      <x:c r="K2366" s="10" t="n">
        <x:v>0.2</x:v>
      </x:c>
      <x:c r="L2366" s="11" t="n">
        <x:v>0</x:v>
      </x:c>
      <x:c r="M2366" s="9" t="n">
        <x:f>IF(D2366="Completed",I2366*J2366,0)</x:f>
        <x:v>400</x:v>
      </x:c>
      <x:c r="N2366" s="9" t="n">
        <x:f>M2366*K2366</x:f>
        <x:v>80</x:v>
      </x:c>
      <x:c r="O2366" s="9" t="n">
        <x:f>M2366-N2366</x:f>
        <x:v>320</x:v>
      </x:c>
      <x:c r="P2366" s="9" t="n">
        <x:f>IF(D2366="Completed",L2366*J2366*(1-K2366),0)</x:f>
        <x:v>0</x:v>
      </x:c>
      <x:c r="Q2366" s="9" t="n">
        <x:f>O2366-P2366</x:f>
        <x:v>320</x:v>
      </x:c>
      <x:c r="R2366" s="11" t="n">
        <x:f>IF(D2366="Completed",I2366,0)</x:f>
        <x:v>5</x:v>
      </x:c>
      <x:c r="S2366" s="11" t="n">
        <x:f>IF(D2366="Completed",L2366,0)</x:f>
        <x:v>0</x:v>
      </x:c>
      <x:c r="T2366" s="8" t="n">
        <x:f>DATE(YEAR(C2366),MONTH(C2366),1)</x:f>
        <x:v>45962</x:v>
      </x:c>
    </x:row>
    <x:row r="2367" ht="22" customHeight="1">
      <x:c r="A2367" s="2" t="str">
        <x:v>L002363</x:v>
      </x:c>
      <x:c r="B2367" s="2" t="str">
        <x:v>O00969</x:v>
      </x:c>
      <x:c r="C2367" s="7" t="n">
        <x:v>45990</x:v>
      </x:c>
      <x:c r="D2367" s="2" t="str">
        <x:v>Completed</x:v>
      </x:c>
      <x:c r="E2367" s="2" t="str">
        <x:v>East</x:v>
      </x:c>
      <x:c r="F2367" s="2" t="str">
        <x:v>Online</x:v>
      </x:c>
      <x:c r="G2367" s="2" t="str">
        <x:v>Furniture</x:v>
      </x:c>
      <x:c r="H2367" s="2" t="str">
        <x:v>Desk 024</x:v>
      </x:c>
      <x:c r="I2367" s="11" t="n">
        <x:v>1</x:v>
      </x:c>
      <x:c r="J2367" s="9" t="n">
        <x:v>81</x:v>
      </x:c>
      <x:c r="K2367" s="10" t="n">
        <x:v>0</x:v>
      </x:c>
      <x:c r="L2367" s="11" t="n">
        <x:v>0</x:v>
      </x:c>
      <x:c r="M2367" s="9" t="n">
        <x:f>IF(D2367="Completed",I2367*J2367,0)</x:f>
        <x:v>81</x:v>
      </x:c>
      <x:c r="N2367" s="9" t="n">
        <x:f>M2367*K2367</x:f>
        <x:v>0</x:v>
      </x:c>
      <x:c r="O2367" s="9" t="n">
        <x:f>M2367-N2367</x:f>
        <x:v>81</x:v>
      </x:c>
      <x:c r="P2367" s="9" t="n">
        <x:f>IF(D2367="Completed",L2367*J2367*(1-K2367),0)</x:f>
        <x:v>0</x:v>
      </x:c>
      <x:c r="Q2367" s="9" t="n">
        <x:f>O2367-P2367</x:f>
        <x:v>81</x:v>
      </x:c>
      <x:c r="R2367" s="11" t="n">
        <x:f>IF(D2367="Completed",I2367,0)</x:f>
        <x:v>1</x:v>
      </x:c>
      <x:c r="S2367" s="11" t="n">
        <x:f>IF(D2367="Completed",L2367,0)</x:f>
        <x:v>0</x:v>
      </x:c>
      <x:c r="T2367" s="8" t="n">
        <x:f>DATE(YEAR(C2367),MONTH(C2367),1)</x:f>
        <x:v>45962</x:v>
      </x:c>
    </x:row>
    <x:row r="2368" ht="22" customHeight="1">
      <x:c r="A2368" s="2" t="str">
        <x:v>L002364</x:v>
      </x:c>
      <x:c r="B2368" s="2" t="str">
        <x:v>O00970</x:v>
      </x:c>
      <x:c r="C2368" s="7" t="n">
        <x:v>45747</x:v>
      </x:c>
      <x:c r="D2368" s="2" t="str">
        <x:v>Completed</x:v>
      </x:c>
      <x:c r="E2368" s="2" t="str">
        <x:v>South</x:v>
      </x:c>
      <x:c r="F2368" s="2" t="str">
        <x:v>Online</x:v>
      </x:c>
      <x:c r="G2368" s="2" t="str">
        <x:v>Furniture</x:v>
      </x:c>
      <x:c r="H2368" s="2" t="str">
        <x:v>Chair 002</x:v>
      </x:c>
      <x:c r="I2368" s="11" t="n">
        <x:v>3</x:v>
      </x:c>
      <x:c r="J2368" s="9" t="n">
        <x:v>284</x:v>
      </x:c>
      <x:c r="K2368" s="10" t="n">
        <x:v>0.05</x:v>
      </x:c>
      <x:c r="L2368" s="11" t="n">
        <x:v>0</x:v>
      </x:c>
      <x:c r="M2368" s="9" t="n">
        <x:f>IF(D2368="Completed",I2368*J2368,0)</x:f>
        <x:v>852</x:v>
      </x:c>
      <x:c r="N2368" s="9" t="n">
        <x:f>M2368*K2368</x:f>
        <x:v>42.6</x:v>
      </x:c>
      <x:c r="O2368" s="9" t="n">
        <x:f>M2368-N2368</x:f>
        <x:v>809.4</x:v>
      </x:c>
      <x:c r="P2368" s="9" t="n">
        <x:f>IF(D2368="Completed",L2368*J2368*(1-K2368),0)</x:f>
        <x:v>0</x:v>
      </x:c>
      <x:c r="Q2368" s="9" t="n">
        <x:f>O2368-P2368</x:f>
        <x:v>809.4</x:v>
      </x:c>
      <x:c r="R2368" s="11" t="n">
        <x:f>IF(D2368="Completed",I2368,0)</x:f>
        <x:v>3</x:v>
      </x:c>
      <x:c r="S2368" s="11" t="n">
        <x:f>IF(D2368="Completed",L2368,0)</x:f>
        <x:v>0</x:v>
      </x:c>
      <x:c r="T2368" s="8" t="n">
        <x:f>DATE(YEAR(C2368),MONTH(C2368),1)</x:f>
        <x:v>45717</x:v>
      </x:c>
    </x:row>
    <x:row r="2369" ht="22" customHeight="1">
      <x:c r="A2369" s="2" t="str">
        <x:v>L002365</x:v>
      </x:c>
      <x:c r="B2369" s="2" t="str">
        <x:v>O00970</x:v>
      </x:c>
      <x:c r="C2369" s="7" t="n">
        <x:v>45747</x:v>
      </x:c>
      <x:c r="D2369" s="2" t="str">
        <x:v>Completed</x:v>
      </x:c>
      <x:c r="E2369" s="2" t="str">
        <x:v>South</x:v>
      </x:c>
      <x:c r="F2369" s="2" t="str">
        <x:v>Online</x:v>
      </x:c>
      <x:c r="G2369" s="2" t="str">
        <x:v>Furniture</x:v>
      </x:c>
      <x:c r="H2369" s="2" t="str">
        <x:v>Chair 018</x:v>
      </x:c>
      <x:c r="I2369" s="11" t="n">
        <x:v>2</x:v>
      </x:c>
      <x:c r="J2369" s="9" t="n">
        <x:v>269</x:v>
      </x:c>
      <x:c r="K2369" s="10" t="n">
        <x:v>0.05</x:v>
      </x:c>
      <x:c r="L2369" s="11" t="n">
        <x:v>0</x:v>
      </x:c>
      <x:c r="M2369" s="9" t="n">
        <x:f>IF(D2369="Completed",I2369*J2369,0)</x:f>
        <x:v>538</x:v>
      </x:c>
      <x:c r="N2369" s="9" t="n">
        <x:f>M2369*K2369</x:f>
        <x:v>26.900000000000002</x:v>
      </x:c>
      <x:c r="O2369" s="9" t="n">
        <x:f>M2369-N2369</x:f>
        <x:v>511.1</x:v>
      </x:c>
      <x:c r="P2369" s="9" t="n">
        <x:f>IF(D2369="Completed",L2369*J2369*(1-K2369),0)</x:f>
        <x:v>0</x:v>
      </x:c>
      <x:c r="Q2369" s="9" t="n">
        <x:f>O2369-P2369</x:f>
        <x:v>511.1</x:v>
      </x:c>
      <x:c r="R2369" s="11" t="n">
        <x:f>IF(D2369="Completed",I2369,0)</x:f>
        <x:v>2</x:v>
      </x:c>
      <x:c r="S2369" s="11" t="n">
        <x:f>IF(D2369="Completed",L2369,0)</x:f>
        <x:v>0</x:v>
      </x:c>
      <x:c r="T2369" s="8" t="n">
        <x:f>DATE(YEAR(C2369),MONTH(C2369),1)</x:f>
        <x:v>45717</x:v>
      </x:c>
    </x:row>
    <x:row r="2370" ht="22" customHeight="1">
      <x:c r="A2370" s="2" t="str">
        <x:v>L002366</x:v>
      </x:c>
      <x:c r="B2370" s="2" t="str">
        <x:v>O00970</x:v>
      </x:c>
      <x:c r="C2370" s="7" t="n">
        <x:v>45747</x:v>
      </x:c>
      <x:c r="D2370" s="2" t="str">
        <x:v>Completed</x:v>
      </x:c>
      <x:c r="E2370" s="2" t="str">
        <x:v>South</x:v>
      </x:c>
      <x:c r="F2370" s="2" t="str">
        <x:v>Online</x:v>
      </x:c>
      <x:c r="G2370" s="2" t="str">
        <x:v>Furniture</x:v>
      </x:c>
      <x:c r="H2370" s="2" t="str">
        <x:v>Desk 012</x:v>
      </x:c>
      <x:c r="I2370" s="11" t="n">
        <x:v>5</x:v>
      </x:c>
      <x:c r="J2370" s="9" t="n">
        <x:v>134</x:v>
      </x:c>
      <x:c r="K2370" s="10" t="n">
        <x:v>0</x:v>
      </x:c>
      <x:c r="L2370" s="11" t="n">
        <x:v>0</x:v>
      </x:c>
      <x:c r="M2370" s="9" t="n">
        <x:f>IF(D2370="Completed",I2370*J2370,0)</x:f>
        <x:v>670</x:v>
      </x:c>
      <x:c r="N2370" s="9" t="n">
        <x:f>M2370*K2370</x:f>
        <x:v>0</x:v>
      </x:c>
      <x:c r="O2370" s="9" t="n">
        <x:f>M2370-N2370</x:f>
        <x:v>670</x:v>
      </x:c>
      <x:c r="P2370" s="9" t="n">
        <x:f>IF(D2370="Completed",L2370*J2370*(1-K2370),0)</x:f>
        <x:v>0</x:v>
      </x:c>
      <x:c r="Q2370" s="9" t="n">
        <x:f>O2370-P2370</x:f>
        <x:v>670</x:v>
      </x:c>
      <x:c r="R2370" s="11" t="n">
        <x:f>IF(D2370="Completed",I2370,0)</x:f>
        <x:v>5</x:v>
      </x:c>
      <x:c r="S2370" s="11" t="n">
        <x:f>IF(D2370="Completed",L2370,0)</x:f>
        <x:v>0</x:v>
      </x:c>
      <x:c r="T2370" s="8" t="n">
        <x:f>DATE(YEAR(C2370),MONTH(C2370),1)</x:f>
        <x:v>45717</x:v>
      </x:c>
    </x:row>
    <x:row r="2371" ht="22" customHeight="1">
      <x:c r="A2371" s="2" t="str">
        <x:v>L002367</x:v>
      </x:c>
      <x:c r="B2371" s="2" t="str">
        <x:v>O00971</x:v>
      </x:c>
      <x:c r="C2371" s="7" t="n">
        <x:v>45902</x:v>
      </x:c>
      <x:c r="D2371" s="2" t="str">
        <x:v>Completed</x:v>
      </x:c>
      <x:c r="E2371" s="2" t="str">
        <x:v>South</x:v>
      </x:c>
      <x:c r="F2371" s="2" t="str">
        <x:v>Store</x:v>
      </x:c>
      <x:c r="G2371" s="2" t="str">
        <x:v>Lighting</x:v>
      </x:c>
      <x:c r="H2371" s="2" t="str">
        <x:v>Lamp 005</x:v>
      </x:c>
      <x:c r="I2371" s="11" t="n">
        <x:v>2</x:v>
      </x:c>
      <x:c r="J2371" s="9" t="n">
        <x:v>65</x:v>
      </x:c>
      <x:c r="K2371" s="10" t="n">
        <x:v>0.05</x:v>
      </x:c>
      <x:c r="L2371" s="11" t="n">
        <x:v>0</x:v>
      </x:c>
      <x:c r="M2371" s="9" t="n">
        <x:f>IF(D2371="Completed",I2371*J2371,0)</x:f>
        <x:v>130</x:v>
      </x:c>
      <x:c r="N2371" s="9" t="n">
        <x:f>M2371*K2371</x:f>
        <x:v>6.5</x:v>
      </x:c>
      <x:c r="O2371" s="9" t="n">
        <x:f>M2371-N2371</x:f>
        <x:v>123.5</x:v>
      </x:c>
      <x:c r="P2371" s="9" t="n">
        <x:f>IF(D2371="Completed",L2371*J2371*(1-K2371),0)</x:f>
        <x:v>0</x:v>
      </x:c>
      <x:c r="Q2371" s="9" t="n">
        <x:f>O2371-P2371</x:f>
        <x:v>123.5</x:v>
      </x:c>
      <x:c r="R2371" s="11" t="n">
        <x:f>IF(D2371="Completed",I2371,0)</x:f>
        <x:v>2</x:v>
      </x:c>
      <x:c r="S2371" s="11" t="n">
        <x:f>IF(D2371="Completed",L2371,0)</x:f>
        <x:v>0</x:v>
      </x:c>
      <x:c r="T2371" s="8" t="n">
        <x:f>DATE(YEAR(C2371),MONTH(C2371),1)</x:f>
        <x:v>45901</x:v>
      </x:c>
    </x:row>
    <x:row r="2372" ht="22" customHeight="1">
      <x:c r="A2372" s="2" t="str">
        <x:v>L002368</x:v>
      </x:c>
      <x:c r="B2372" s="2" t="str">
        <x:v>O00971</x:v>
      </x:c>
      <x:c r="C2372" s="7" t="n">
        <x:v>45902</x:v>
      </x:c>
      <x:c r="D2372" s="2" t="str">
        <x:v>Completed</x:v>
      </x:c>
      <x:c r="E2372" s="2" t="str">
        <x:v>South</x:v>
      </x:c>
      <x:c r="F2372" s="2" t="str">
        <x:v>Store</x:v>
      </x:c>
      <x:c r="G2372" s="2" t="str">
        <x:v>Lighting</x:v>
      </x:c>
      <x:c r="H2372" s="2" t="str">
        <x:v>Lamp 017</x:v>
      </x:c>
      <x:c r="I2372" s="11" t="n">
        <x:v>2</x:v>
      </x:c>
      <x:c r="J2372" s="9" t="n">
        <x:v>300</x:v>
      </x:c>
      <x:c r="K2372" s="10" t="n">
        <x:v>0.1</x:v>
      </x:c>
      <x:c r="L2372" s="11" t="n">
        <x:v>0</x:v>
      </x:c>
      <x:c r="M2372" s="9" t="n">
        <x:f>IF(D2372="Completed",I2372*J2372,0)</x:f>
        <x:v>600</x:v>
      </x:c>
      <x:c r="N2372" s="9" t="n">
        <x:f>M2372*K2372</x:f>
        <x:v>60</x:v>
      </x:c>
      <x:c r="O2372" s="9" t="n">
        <x:f>M2372-N2372</x:f>
        <x:v>540</x:v>
      </x:c>
      <x:c r="P2372" s="9" t="n">
        <x:f>IF(D2372="Completed",L2372*J2372*(1-K2372),0)</x:f>
        <x:v>0</x:v>
      </x:c>
      <x:c r="Q2372" s="9" t="n">
        <x:f>O2372-P2372</x:f>
        <x:v>540</x:v>
      </x:c>
      <x:c r="R2372" s="11" t="n">
        <x:f>IF(D2372="Completed",I2372,0)</x:f>
        <x:v>2</x:v>
      </x:c>
      <x:c r="S2372" s="11" t="n">
        <x:f>IF(D2372="Completed",L2372,0)</x:f>
        <x:v>0</x:v>
      </x:c>
      <x:c r="T2372" s="8" t="n">
        <x:f>DATE(YEAR(C2372),MONTH(C2372),1)</x:f>
        <x:v>45901</x:v>
      </x:c>
    </x:row>
    <x:row r="2373" ht="22" customHeight="1">
      <x:c r="A2373" s="2" t="str">
        <x:v>L002369</x:v>
      </x:c>
      <x:c r="B2373" s="2" t="str">
        <x:v>O00971</x:v>
      </x:c>
      <x:c r="C2373" s="7" t="n">
        <x:v>45902</x:v>
      </x:c>
      <x:c r="D2373" s="2" t="str">
        <x:v>Completed</x:v>
      </x:c>
      <x:c r="E2373" s="2" t="str">
        <x:v>South</x:v>
      </x:c>
      <x:c r="F2373" s="2" t="str">
        <x:v>Store</x:v>
      </x:c>
      <x:c r="G2373" s="2" t="str">
        <x:v>Lighting</x:v>
      </x:c>
      <x:c r="H2373" s="2" t="str">
        <x:v>Lamp 021</x:v>
      </x:c>
      <x:c r="I2373" s="11" t="n">
        <x:v>4</x:v>
      </x:c>
      <x:c r="J2373" s="9" t="n">
        <x:v>249</x:v>
      </x:c>
      <x:c r="K2373" s="10" t="n">
        <x:v>0.05</x:v>
      </x:c>
      <x:c r="L2373" s="11" t="n">
        <x:v>0</x:v>
      </x:c>
      <x:c r="M2373" s="9" t="n">
        <x:f>IF(D2373="Completed",I2373*J2373,0)</x:f>
        <x:v>996</x:v>
      </x:c>
      <x:c r="N2373" s="9" t="n">
        <x:f>M2373*K2373</x:f>
        <x:v>49.800000000000004</x:v>
      </x:c>
      <x:c r="O2373" s="9" t="n">
        <x:f>M2373-N2373</x:f>
        <x:v>946.2</x:v>
      </x:c>
      <x:c r="P2373" s="9" t="n">
        <x:f>IF(D2373="Completed",L2373*J2373*(1-K2373),0)</x:f>
        <x:v>0</x:v>
      </x:c>
      <x:c r="Q2373" s="9" t="n">
        <x:f>O2373-P2373</x:f>
        <x:v>946.2</x:v>
      </x:c>
      <x:c r="R2373" s="11" t="n">
        <x:f>IF(D2373="Completed",I2373,0)</x:f>
        <x:v>4</x:v>
      </x:c>
      <x:c r="S2373" s="11" t="n">
        <x:f>IF(D2373="Completed",L2373,0)</x:f>
        <x:v>0</x:v>
      </x:c>
      <x:c r="T2373" s="8" t="n">
        <x:f>DATE(YEAR(C2373),MONTH(C2373),1)</x:f>
        <x:v>45901</x:v>
      </x:c>
    </x:row>
    <x:row r="2374" ht="22" customHeight="1">
      <x:c r="A2374" s="2" t="str">
        <x:v>L002370</x:v>
      </x:c>
      <x:c r="B2374" s="2" t="str">
        <x:v>O00972</x:v>
      </x:c>
      <x:c r="C2374" s="7" t="n">
        <x:v>45737</x:v>
      </x:c>
      <x:c r="D2374" s="2" t="str">
        <x:v>Completed</x:v>
      </x:c>
      <x:c r="E2374" s="2" t="str">
        <x:v>West</x:v>
      </x:c>
      <x:c r="F2374" s="2" t="str">
        <x:v>Store</x:v>
      </x:c>
      <x:c r="G2374" s="2" t="str">
        <x:v>Lighting</x:v>
      </x:c>
      <x:c r="H2374" s="2" t="str">
        <x:v>Lamp 021</x:v>
      </x:c>
      <x:c r="I2374" s="11" t="n">
        <x:v>2</x:v>
      </x:c>
      <x:c r="J2374" s="9" t="n">
        <x:v>249</x:v>
      </x:c>
      <x:c r="K2374" s="10" t="n">
        <x:v>0.1</x:v>
      </x:c>
      <x:c r="L2374" s="11" t="n">
        <x:v>0</x:v>
      </x:c>
      <x:c r="M2374" s="9" t="n">
        <x:f>IF(D2374="Completed",I2374*J2374,0)</x:f>
        <x:v>498</x:v>
      </x:c>
      <x:c r="N2374" s="9" t="n">
        <x:f>M2374*K2374</x:f>
        <x:v>49.800000000000004</x:v>
      </x:c>
      <x:c r="O2374" s="9" t="n">
        <x:f>M2374-N2374</x:f>
        <x:v>448.2</x:v>
      </x:c>
      <x:c r="P2374" s="9" t="n">
        <x:f>IF(D2374="Completed",L2374*J2374*(1-K2374),0)</x:f>
        <x:v>0</x:v>
      </x:c>
      <x:c r="Q2374" s="9" t="n">
        <x:f>O2374-P2374</x:f>
        <x:v>448.2</x:v>
      </x:c>
      <x:c r="R2374" s="11" t="n">
        <x:f>IF(D2374="Completed",I2374,0)</x:f>
        <x:v>2</x:v>
      </x:c>
      <x:c r="S2374" s="11" t="n">
        <x:f>IF(D2374="Completed",L2374,0)</x:f>
        <x:v>0</x:v>
      </x:c>
      <x:c r="T2374" s="8" t="n">
        <x:f>DATE(YEAR(C2374),MONTH(C2374),1)</x:f>
        <x:v>45717</x:v>
      </x:c>
    </x:row>
    <x:row r="2375" ht="22" customHeight="1">
      <x:c r="A2375" s="2" t="str">
        <x:v>L002371</x:v>
      </x:c>
      <x:c r="B2375" s="2" t="str">
        <x:v>O00972</x:v>
      </x:c>
      <x:c r="C2375" s="7" t="n">
        <x:v>45737</x:v>
      </x:c>
      <x:c r="D2375" s="2" t="str">
        <x:v>Completed</x:v>
      </x:c>
      <x:c r="E2375" s="2" t="str">
        <x:v>West</x:v>
      </x:c>
      <x:c r="F2375" s="2" t="str">
        <x:v>Store</x:v>
      </x:c>
      <x:c r="G2375" s="2" t="str">
        <x:v>Lighting</x:v>
      </x:c>
      <x:c r="H2375" s="2" t="str">
        <x:v>Lamp 009</x:v>
      </x:c>
      <x:c r="I2375" s="11" t="n">
        <x:v>1</x:v>
      </x:c>
      <x:c r="J2375" s="9" t="n">
        <x:v>93</x:v>
      </x:c>
      <x:c r="K2375" s="10" t="n">
        <x:v>0.05</x:v>
      </x:c>
      <x:c r="L2375" s="11" t="n">
        <x:v>0</x:v>
      </x:c>
      <x:c r="M2375" s="9" t="n">
        <x:f>IF(D2375="Completed",I2375*J2375,0)</x:f>
        <x:v>93</x:v>
      </x:c>
      <x:c r="N2375" s="9" t="n">
        <x:f>M2375*K2375</x:f>
        <x:v>4.65</x:v>
      </x:c>
      <x:c r="O2375" s="9" t="n">
        <x:f>M2375-N2375</x:f>
        <x:v>88.35</x:v>
      </x:c>
      <x:c r="P2375" s="9" t="n">
        <x:f>IF(D2375="Completed",L2375*J2375*(1-K2375),0)</x:f>
        <x:v>0</x:v>
      </x:c>
      <x:c r="Q2375" s="9" t="n">
        <x:f>O2375-P2375</x:f>
        <x:v>88.35</x:v>
      </x:c>
      <x:c r="R2375" s="11" t="n">
        <x:f>IF(D2375="Completed",I2375,0)</x:f>
        <x:v>1</x:v>
      </x:c>
      <x:c r="S2375" s="11" t="n">
        <x:f>IF(D2375="Completed",L2375,0)</x:f>
        <x:v>0</x:v>
      </x:c>
      <x:c r="T2375" s="8" t="n">
        <x:f>DATE(YEAR(C2375),MONTH(C2375),1)</x:f>
        <x:v>45717</x:v>
      </x:c>
    </x:row>
    <x:row r="2376" ht="22" customHeight="1">
      <x:c r="A2376" s="2" t="str">
        <x:v>L002372</x:v>
      </x:c>
      <x:c r="B2376" s="2" t="str">
        <x:v>O00972</x:v>
      </x:c>
      <x:c r="C2376" s="7" t="n">
        <x:v>45737</x:v>
      </x:c>
      <x:c r="D2376" s="2" t="str">
        <x:v>Completed</x:v>
      </x:c>
      <x:c r="E2376" s="2" t="str">
        <x:v>West</x:v>
      </x:c>
      <x:c r="F2376" s="2" t="str">
        <x:v>Store</x:v>
      </x:c>
      <x:c r="G2376" s="2" t="str">
        <x:v>Lighting</x:v>
      </x:c>
      <x:c r="H2376" s="2" t="str">
        <x:v>Lamp 021</x:v>
      </x:c>
      <x:c r="I2376" s="11" t="n">
        <x:v>4</x:v>
      </x:c>
      <x:c r="J2376" s="9" t="n">
        <x:v>249</x:v>
      </x:c>
      <x:c r="K2376" s="10" t="n">
        <x:v>0.2</x:v>
      </x:c>
      <x:c r="L2376" s="11" t="n">
        <x:v>0</x:v>
      </x:c>
      <x:c r="M2376" s="9" t="n">
        <x:f>IF(D2376="Completed",I2376*J2376,0)</x:f>
        <x:v>996</x:v>
      </x:c>
      <x:c r="N2376" s="9" t="n">
        <x:f>M2376*K2376</x:f>
        <x:v>199.20000000000002</x:v>
      </x:c>
      <x:c r="O2376" s="9" t="n">
        <x:f>M2376-N2376</x:f>
        <x:v>796.8</x:v>
      </x:c>
      <x:c r="P2376" s="9" t="n">
        <x:f>IF(D2376="Completed",L2376*J2376*(1-K2376),0)</x:f>
        <x:v>0</x:v>
      </x:c>
      <x:c r="Q2376" s="9" t="n">
        <x:f>O2376-P2376</x:f>
        <x:v>796.8</x:v>
      </x:c>
      <x:c r="R2376" s="11" t="n">
        <x:f>IF(D2376="Completed",I2376,0)</x:f>
        <x:v>4</x:v>
      </x:c>
      <x:c r="S2376" s="11" t="n">
        <x:f>IF(D2376="Completed",L2376,0)</x:f>
        <x:v>0</x:v>
      </x:c>
      <x:c r="T2376" s="8" t="n">
        <x:f>DATE(YEAR(C2376),MONTH(C2376),1)</x:f>
        <x:v>45717</x:v>
      </x:c>
    </x:row>
    <x:row r="2377" ht="22" customHeight="1">
      <x:c r="A2377" s="2" t="str">
        <x:v>L002373</x:v>
      </x:c>
      <x:c r="B2377" s="2" t="str">
        <x:v>O00972</x:v>
      </x:c>
      <x:c r="C2377" s="7" t="n">
        <x:v>45737</x:v>
      </x:c>
      <x:c r="D2377" s="2" t="str">
        <x:v>Completed</x:v>
      </x:c>
      <x:c r="E2377" s="2" t="str">
        <x:v>West</x:v>
      </x:c>
      <x:c r="F2377" s="2" t="str">
        <x:v>Store</x:v>
      </x:c>
      <x:c r="G2377" s="2" t="str">
        <x:v>Storage</x:v>
      </x:c>
      <x:c r="H2377" s="2" t="str">
        <x:v>Shelf 015</x:v>
      </x:c>
      <x:c r="I2377" s="11" t="n">
        <x:v>3</x:v>
      </x:c>
      <x:c r="J2377" s="9" t="n">
        <x:v>254</x:v>
      </x:c>
      <x:c r="K2377" s="10" t="n">
        <x:v>0.1</x:v>
      </x:c>
      <x:c r="L2377" s="11" t="n">
        <x:v>0</x:v>
      </x:c>
      <x:c r="M2377" s="9" t="n">
        <x:f>IF(D2377="Completed",I2377*J2377,0)</x:f>
        <x:v>762</x:v>
      </x:c>
      <x:c r="N2377" s="9" t="n">
        <x:f>M2377*K2377</x:f>
        <x:v>76.2</x:v>
      </x:c>
      <x:c r="O2377" s="9" t="n">
        <x:f>M2377-N2377</x:f>
        <x:v>685.8</x:v>
      </x:c>
      <x:c r="P2377" s="9" t="n">
        <x:f>IF(D2377="Completed",L2377*J2377*(1-K2377),0)</x:f>
        <x:v>0</x:v>
      </x:c>
      <x:c r="Q2377" s="9" t="n">
        <x:f>O2377-P2377</x:f>
        <x:v>685.8</x:v>
      </x:c>
      <x:c r="R2377" s="11" t="n">
        <x:f>IF(D2377="Completed",I2377,0)</x:f>
        <x:v>3</x:v>
      </x:c>
      <x:c r="S2377" s="11" t="n">
        <x:f>IF(D2377="Completed",L2377,0)</x:f>
        <x:v>0</x:v>
      </x:c>
      <x:c r="T2377" s="8" t="n">
        <x:f>DATE(YEAR(C2377),MONTH(C2377),1)</x:f>
        <x:v>45717</x:v>
      </x:c>
    </x:row>
    <x:row r="2378" ht="22" customHeight="1">
      <x:c r="A2378" s="2" t="str">
        <x:v>L002374</x:v>
      </x:c>
      <x:c r="B2378" s="2" t="str">
        <x:v>O00973</x:v>
      </x:c>
      <x:c r="C2378" s="7" t="n">
        <x:v>45847</x:v>
      </x:c>
      <x:c r="D2378" s="2" t="str">
        <x:v>Completed</x:v>
      </x:c>
      <x:c r="E2378" s="2" t="str">
        <x:v>West</x:v>
      </x:c>
      <x:c r="F2378" s="2" t="str">
        <x:v>Online</x:v>
      </x:c>
      <x:c r="G2378" s="2" t="str">
        <x:v>Lighting</x:v>
      </x:c>
      <x:c r="H2378" s="2" t="str">
        <x:v>Lamp 001</x:v>
      </x:c>
      <x:c r="I2378" s="11" t="n">
        <x:v>4</x:v>
      </x:c>
      <x:c r="J2378" s="9" t="n">
        <x:v>122</x:v>
      </x:c>
      <x:c r="K2378" s="10" t="n">
        <x:v>0.05</x:v>
      </x:c>
      <x:c r="L2378" s="11" t="n">
        <x:v>0</x:v>
      </x:c>
      <x:c r="M2378" s="9" t="n">
        <x:f>IF(D2378="Completed",I2378*J2378,0)</x:f>
        <x:v>488</x:v>
      </x:c>
      <x:c r="N2378" s="9" t="n">
        <x:f>M2378*K2378</x:f>
        <x:v>24.400000000000002</x:v>
      </x:c>
      <x:c r="O2378" s="9" t="n">
        <x:f>M2378-N2378</x:f>
        <x:v>463.6</x:v>
      </x:c>
      <x:c r="P2378" s="9" t="n">
        <x:f>IF(D2378="Completed",L2378*J2378*(1-K2378),0)</x:f>
        <x:v>0</x:v>
      </x:c>
      <x:c r="Q2378" s="9" t="n">
        <x:f>O2378-P2378</x:f>
        <x:v>463.6</x:v>
      </x:c>
      <x:c r="R2378" s="11" t="n">
        <x:f>IF(D2378="Completed",I2378,0)</x:f>
        <x:v>4</x:v>
      </x:c>
      <x:c r="S2378" s="11" t="n">
        <x:f>IF(D2378="Completed",L2378,0)</x:f>
        <x:v>0</x:v>
      </x:c>
      <x:c r="T2378" s="8" t="n">
        <x:f>DATE(YEAR(C2378),MONTH(C2378),1)</x:f>
        <x:v>45839</x:v>
      </x:c>
    </x:row>
    <x:row r="2379" ht="22" customHeight="1">
      <x:c r="A2379" s="2" t="str">
        <x:v>L002375</x:v>
      </x:c>
      <x:c r="B2379" s="2" t="str">
        <x:v>O00973</x:v>
      </x:c>
      <x:c r="C2379" s="7" t="n">
        <x:v>45847</x:v>
      </x:c>
      <x:c r="D2379" s="2" t="str">
        <x:v>Completed</x:v>
      </x:c>
      <x:c r="E2379" s="2" t="str">
        <x:v>West</x:v>
      </x:c>
      <x:c r="F2379" s="2" t="str">
        <x:v>Online</x:v>
      </x:c>
      <x:c r="G2379" s="2" t="str">
        <x:v>Lighting</x:v>
      </x:c>
      <x:c r="H2379" s="2" t="str">
        <x:v>Lamp 009</x:v>
      </x:c>
      <x:c r="I2379" s="11" t="n">
        <x:v>2</x:v>
      </x:c>
      <x:c r="J2379" s="9" t="n">
        <x:v>93</x:v>
      </x:c>
      <x:c r="K2379" s="10" t="n">
        <x:v>0.1</x:v>
      </x:c>
      <x:c r="L2379" s="11" t="n">
        <x:v>0</x:v>
      </x:c>
      <x:c r="M2379" s="9" t="n">
        <x:f>IF(D2379="Completed",I2379*J2379,0)</x:f>
        <x:v>186</x:v>
      </x:c>
      <x:c r="N2379" s="9" t="n">
        <x:f>M2379*K2379</x:f>
        <x:v>18.6</x:v>
      </x:c>
      <x:c r="O2379" s="9" t="n">
        <x:f>M2379-N2379</x:f>
        <x:v>167.4</x:v>
      </x:c>
      <x:c r="P2379" s="9" t="n">
        <x:f>IF(D2379="Completed",L2379*J2379*(1-K2379),0)</x:f>
        <x:v>0</x:v>
      </x:c>
      <x:c r="Q2379" s="9" t="n">
        <x:f>O2379-P2379</x:f>
        <x:v>167.4</x:v>
      </x:c>
      <x:c r="R2379" s="11" t="n">
        <x:f>IF(D2379="Completed",I2379,0)</x:f>
        <x:v>2</x:v>
      </x:c>
      <x:c r="S2379" s="11" t="n">
        <x:f>IF(D2379="Completed",L2379,0)</x:f>
        <x:v>0</x:v>
      </x:c>
      <x:c r="T2379" s="8" t="n">
        <x:f>DATE(YEAR(C2379),MONTH(C2379),1)</x:f>
        <x:v>45839</x:v>
      </x:c>
    </x:row>
    <x:row r="2380" ht="22" customHeight="1">
      <x:c r="A2380" s="2" t="str">
        <x:v>L002376</x:v>
      </x:c>
      <x:c r="B2380" s="2" t="str">
        <x:v>O00973</x:v>
      </x:c>
      <x:c r="C2380" s="7" t="n">
        <x:v>45847</x:v>
      </x:c>
      <x:c r="D2380" s="2" t="str">
        <x:v>Completed</x:v>
      </x:c>
      <x:c r="E2380" s="2" t="str">
        <x:v>West</x:v>
      </x:c>
      <x:c r="F2380" s="2" t="str">
        <x:v>Online</x:v>
      </x:c>
      <x:c r="G2380" s="2" t="str">
        <x:v>Furniture</x:v>
      </x:c>
      <x:c r="H2380" s="2" t="str">
        <x:v>Chair 014</x:v>
      </x:c>
      <x:c r="I2380" s="11" t="n">
        <x:v>3</x:v>
      </x:c>
      <x:c r="J2380" s="9" t="n">
        <x:v>294</x:v>
      </x:c>
      <x:c r="K2380" s="10" t="n">
        <x:v>0.2</x:v>
      </x:c>
      <x:c r="L2380" s="11" t="n">
        <x:v>0</x:v>
      </x:c>
      <x:c r="M2380" s="9" t="n">
        <x:f>IF(D2380="Completed",I2380*J2380,0)</x:f>
        <x:v>882</x:v>
      </x:c>
      <x:c r="N2380" s="9" t="n">
        <x:f>M2380*K2380</x:f>
        <x:v>176.4</x:v>
      </x:c>
      <x:c r="O2380" s="9" t="n">
        <x:f>M2380-N2380</x:f>
        <x:v>705.6</x:v>
      </x:c>
      <x:c r="P2380" s="9" t="n">
        <x:f>IF(D2380="Completed",L2380*J2380*(1-K2380),0)</x:f>
        <x:v>0</x:v>
      </x:c>
      <x:c r="Q2380" s="9" t="n">
        <x:f>O2380-P2380</x:f>
        <x:v>705.6</x:v>
      </x:c>
      <x:c r="R2380" s="11" t="n">
        <x:f>IF(D2380="Completed",I2380,0)</x:f>
        <x:v>3</x:v>
      </x:c>
      <x:c r="S2380" s="11" t="n">
        <x:f>IF(D2380="Completed",L2380,0)</x:f>
        <x:v>0</x:v>
      </x:c>
      <x:c r="T2380" s="8" t="n">
        <x:f>DATE(YEAR(C2380),MONTH(C2380),1)</x:f>
        <x:v>45839</x:v>
      </x:c>
    </x:row>
    <x:row r="2381" ht="22" customHeight="1">
      <x:c r="A2381" s="2" t="str">
        <x:v>L002377</x:v>
      </x:c>
      <x:c r="B2381" s="2" t="str">
        <x:v>O00973</x:v>
      </x:c>
      <x:c r="C2381" s="7" t="n">
        <x:v>45847</x:v>
      </x:c>
      <x:c r="D2381" s="2" t="str">
        <x:v>Completed</x:v>
      </x:c>
      <x:c r="E2381" s="2" t="str">
        <x:v>West</x:v>
      </x:c>
      <x:c r="F2381" s="2" t="str">
        <x:v>Online</x:v>
      </x:c>
      <x:c r="G2381" s="2" t="str">
        <x:v>Storage</x:v>
      </x:c>
      <x:c r="H2381" s="2" t="str">
        <x:v>Shelf 007</x:v>
      </x:c>
      <x:c r="I2381" s="11" t="n">
        <x:v>5</x:v>
      </x:c>
      <x:c r="J2381" s="9" t="n">
        <x:v>35</x:v>
      </x:c>
      <x:c r="K2381" s="10" t="n">
        <x:v>0</x:v>
      </x:c>
      <x:c r="L2381" s="11" t="n">
        <x:v>0</x:v>
      </x:c>
      <x:c r="M2381" s="9" t="n">
        <x:f>IF(D2381="Completed",I2381*J2381,0)</x:f>
        <x:v>175</x:v>
      </x:c>
      <x:c r="N2381" s="9" t="n">
        <x:f>M2381*K2381</x:f>
        <x:v>0</x:v>
      </x:c>
      <x:c r="O2381" s="9" t="n">
        <x:f>M2381-N2381</x:f>
        <x:v>175</x:v>
      </x:c>
      <x:c r="P2381" s="9" t="n">
        <x:f>IF(D2381="Completed",L2381*J2381*(1-K2381),0)</x:f>
        <x:v>0</x:v>
      </x:c>
      <x:c r="Q2381" s="9" t="n">
        <x:f>O2381-P2381</x:f>
        <x:v>175</x:v>
      </x:c>
      <x:c r="R2381" s="11" t="n">
        <x:f>IF(D2381="Completed",I2381,0)</x:f>
        <x:v>5</x:v>
      </x:c>
      <x:c r="S2381" s="11" t="n">
        <x:f>IF(D2381="Completed",L2381,0)</x:f>
        <x:v>0</x:v>
      </x:c>
      <x:c r="T2381" s="8" t="n">
        <x:f>DATE(YEAR(C2381),MONTH(C2381),1)</x:f>
        <x:v>45839</x:v>
      </x:c>
    </x:row>
    <x:row r="2382" ht="22" customHeight="1">
      <x:c r="A2382" s="2" t="str">
        <x:v>L002378</x:v>
      </x:c>
      <x:c r="B2382" s="2" t="str">
        <x:v>O00974</x:v>
      </x:c>
      <x:c r="C2382" s="7" t="n">
        <x:v>45825</x:v>
      </x:c>
      <x:c r="D2382" s="2" t="str">
        <x:v>Completed</x:v>
      </x:c>
      <x:c r="E2382" s="2" t="str">
        <x:v>South</x:v>
      </x:c>
      <x:c r="F2382" s="2" t="str">
        <x:v>Online</x:v>
      </x:c>
      <x:c r="G2382" s="2" t="str">
        <x:v>Lighting</x:v>
      </x:c>
      <x:c r="H2382" s="2" t="str">
        <x:v>Lamp 001</x:v>
      </x:c>
      <x:c r="I2382" s="11" t="n">
        <x:v>4</x:v>
      </x:c>
      <x:c r="J2382" s="9" t="n">
        <x:v>122</x:v>
      </x:c>
      <x:c r="K2382" s="10" t="n">
        <x:v>0</x:v>
      </x:c>
      <x:c r="L2382" s="11" t="n">
        <x:v>0</x:v>
      </x:c>
      <x:c r="M2382" s="9" t="n">
        <x:f>IF(D2382="Completed",I2382*J2382,0)</x:f>
        <x:v>488</x:v>
      </x:c>
      <x:c r="N2382" s="9" t="n">
        <x:f>M2382*K2382</x:f>
        <x:v>0</x:v>
      </x:c>
      <x:c r="O2382" s="9" t="n">
        <x:f>M2382-N2382</x:f>
        <x:v>488</x:v>
      </x:c>
      <x:c r="P2382" s="9" t="n">
        <x:f>IF(D2382="Completed",L2382*J2382*(1-K2382),0)</x:f>
        <x:v>0</x:v>
      </x:c>
      <x:c r="Q2382" s="9" t="n">
        <x:f>O2382-P2382</x:f>
        <x:v>488</x:v>
      </x:c>
      <x:c r="R2382" s="11" t="n">
        <x:f>IF(D2382="Completed",I2382,0)</x:f>
        <x:v>4</x:v>
      </x:c>
      <x:c r="S2382" s="11" t="n">
        <x:f>IF(D2382="Completed",L2382,0)</x:f>
        <x:v>0</x:v>
      </x:c>
      <x:c r="T2382" s="8" t="n">
        <x:f>DATE(YEAR(C2382),MONTH(C2382),1)</x:f>
        <x:v>45809</x:v>
      </x:c>
    </x:row>
    <x:row r="2383" ht="22" customHeight="1">
      <x:c r="A2383" s="2" t="str">
        <x:v>L002379</x:v>
      </x:c>
      <x:c r="B2383" s="2" t="str">
        <x:v>O00974</x:v>
      </x:c>
      <x:c r="C2383" s="7" t="n">
        <x:v>45825</x:v>
      </x:c>
      <x:c r="D2383" s="2" t="str">
        <x:v>Completed</x:v>
      </x:c>
      <x:c r="E2383" s="2" t="str">
        <x:v>South</x:v>
      </x:c>
      <x:c r="F2383" s="2" t="str">
        <x:v>Online</x:v>
      </x:c>
      <x:c r="G2383" s="2" t="str">
        <x:v>Furniture</x:v>
      </x:c>
      <x:c r="H2383" s="2" t="str">
        <x:v>Chair 010</x:v>
      </x:c>
      <x:c r="I2383" s="11" t="n">
        <x:v>2</x:v>
      </x:c>
      <x:c r="J2383" s="9" t="n">
        <x:v>211</x:v>
      </x:c>
      <x:c r="K2383" s="10" t="n">
        <x:v>0.2</x:v>
      </x:c>
      <x:c r="L2383" s="11" t="n">
        <x:v>0</x:v>
      </x:c>
      <x:c r="M2383" s="9" t="n">
        <x:f>IF(D2383="Completed",I2383*J2383,0)</x:f>
        <x:v>422</x:v>
      </x:c>
      <x:c r="N2383" s="9" t="n">
        <x:f>M2383*K2383</x:f>
        <x:v>84.4</x:v>
      </x:c>
      <x:c r="O2383" s="9" t="n">
        <x:f>M2383-N2383</x:f>
        <x:v>337.6</x:v>
      </x:c>
      <x:c r="P2383" s="9" t="n">
        <x:f>IF(D2383="Completed",L2383*J2383*(1-K2383),0)</x:f>
        <x:v>0</x:v>
      </x:c>
      <x:c r="Q2383" s="9" t="n">
        <x:f>O2383-P2383</x:f>
        <x:v>337.6</x:v>
      </x:c>
      <x:c r="R2383" s="11" t="n">
        <x:f>IF(D2383="Completed",I2383,0)</x:f>
        <x:v>2</x:v>
      </x:c>
      <x:c r="S2383" s="11" t="n">
        <x:f>IF(D2383="Completed",L2383,0)</x:f>
        <x:v>0</x:v>
      </x:c>
      <x:c r="T2383" s="8" t="n">
        <x:f>DATE(YEAR(C2383),MONTH(C2383),1)</x:f>
        <x:v>45809</x:v>
      </x:c>
    </x:row>
    <x:row r="2384" ht="22" customHeight="1">
      <x:c r="A2384" s="2" t="str">
        <x:v>L002380</x:v>
      </x:c>
      <x:c r="B2384" s="2" t="str">
        <x:v>O00974</x:v>
      </x:c>
      <x:c r="C2384" s="7" t="n">
        <x:v>45825</x:v>
      </x:c>
      <x:c r="D2384" s="2" t="str">
        <x:v>Completed</x:v>
      </x:c>
      <x:c r="E2384" s="2" t="str">
        <x:v>South</x:v>
      </x:c>
      <x:c r="F2384" s="2" t="str">
        <x:v>Online</x:v>
      </x:c>
      <x:c r="G2384" s="2" t="str">
        <x:v>Lighting</x:v>
      </x:c>
      <x:c r="H2384" s="2" t="str">
        <x:v>Lamp 021</x:v>
      </x:c>
      <x:c r="I2384" s="11" t="n">
        <x:v>5</x:v>
      </x:c>
      <x:c r="J2384" s="9" t="n">
        <x:v>249</x:v>
      </x:c>
      <x:c r="K2384" s="10" t="n">
        <x:v>0.1</x:v>
      </x:c>
      <x:c r="L2384" s="11" t="n">
        <x:v>0</x:v>
      </x:c>
      <x:c r="M2384" s="9" t="n">
        <x:f>IF(D2384="Completed",I2384*J2384,0)</x:f>
        <x:v>1245</x:v>
      </x:c>
      <x:c r="N2384" s="9" t="n">
        <x:f>M2384*K2384</x:f>
        <x:v>124.5</x:v>
      </x:c>
      <x:c r="O2384" s="9" t="n">
        <x:f>M2384-N2384</x:f>
        <x:v>1120.5</x:v>
      </x:c>
      <x:c r="P2384" s="9" t="n">
        <x:f>IF(D2384="Completed",L2384*J2384*(1-K2384),0)</x:f>
        <x:v>0</x:v>
      </x:c>
      <x:c r="Q2384" s="9" t="n">
        <x:f>O2384-P2384</x:f>
        <x:v>1120.5</x:v>
      </x:c>
      <x:c r="R2384" s="11" t="n">
        <x:f>IF(D2384="Completed",I2384,0)</x:f>
        <x:v>5</x:v>
      </x:c>
      <x:c r="S2384" s="11" t="n">
        <x:f>IF(D2384="Completed",L2384,0)</x:f>
        <x:v>0</x:v>
      </x:c>
      <x:c r="T2384" s="8" t="n">
        <x:f>DATE(YEAR(C2384),MONTH(C2384),1)</x:f>
        <x:v>45809</x:v>
      </x:c>
    </x:row>
    <x:row r="2385" ht="22" customHeight="1">
      <x:c r="A2385" s="2" t="str">
        <x:v>L002381</x:v>
      </x:c>
      <x:c r="B2385" s="2" t="str">
        <x:v>O00975</x:v>
      </x:c>
      <x:c r="C2385" s="7" t="n">
        <x:v>45851</x:v>
      </x:c>
      <x:c r="D2385" s="2" t="str">
        <x:v>Completed</x:v>
      </x:c>
      <x:c r="E2385" s="2" t="str">
        <x:v>South</x:v>
      </x:c>
      <x:c r="F2385" s="2" t="str">
        <x:v>Store</x:v>
      </x:c>
      <x:c r="G2385" s="2" t="str">
        <x:v>Storage</x:v>
      </x:c>
      <x:c r="H2385" s="2" t="str">
        <x:v>Shelf 015</x:v>
      </x:c>
      <x:c r="I2385" s="11" t="n">
        <x:v>2</x:v>
      </x:c>
      <x:c r="J2385" s="9" t="n">
        <x:v>254</x:v>
      </x:c>
      <x:c r="K2385" s="10" t="n">
        <x:v>0.05</x:v>
      </x:c>
      <x:c r="L2385" s="11" t="n">
        <x:v>0</x:v>
      </x:c>
      <x:c r="M2385" s="9" t="n">
        <x:f>IF(D2385="Completed",I2385*J2385,0)</x:f>
        <x:v>508</x:v>
      </x:c>
      <x:c r="N2385" s="9" t="n">
        <x:f>M2385*K2385</x:f>
        <x:v>25.400000000000002</x:v>
      </x:c>
      <x:c r="O2385" s="9" t="n">
        <x:f>M2385-N2385</x:f>
        <x:v>482.6</x:v>
      </x:c>
      <x:c r="P2385" s="9" t="n">
        <x:f>IF(D2385="Completed",L2385*J2385*(1-K2385),0)</x:f>
        <x:v>0</x:v>
      </x:c>
      <x:c r="Q2385" s="9" t="n">
        <x:f>O2385-P2385</x:f>
        <x:v>482.6</x:v>
      </x:c>
      <x:c r="R2385" s="11" t="n">
        <x:f>IF(D2385="Completed",I2385,0)</x:f>
        <x:v>2</x:v>
      </x:c>
      <x:c r="S2385" s="11" t="n">
        <x:f>IF(D2385="Completed",L2385,0)</x:f>
        <x:v>0</x:v>
      </x:c>
      <x:c r="T2385" s="8" t="n">
        <x:f>DATE(YEAR(C2385),MONTH(C2385),1)</x:f>
        <x:v>45839</x:v>
      </x:c>
    </x:row>
    <x:row r="2386" ht="22" customHeight="1">
      <x:c r="A2386" s="2" t="str">
        <x:v>L002382</x:v>
      </x:c>
      <x:c r="B2386" s="2" t="str">
        <x:v>O00975</x:v>
      </x:c>
      <x:c r="C2386" s="7" t="n">
        <x:v>45851</x:v>
      </x:c>
      <x:c r="D2386" s="2" t="str">
        <x:v>Completed</x:v>
      </x:c>
      <x:c r="E2386" s="2" t="str">
        <x:v>South</x:v>
      </x:c>
      <x:c r="F2386" s="2" t="str">
        <x:v>Store</x:v>
      </x:c>
      <x:c r="G2386" s="2" t="str">
        <x:v>Storage</x:v>
      </x:c>
      <x:c r="H2386" s="2" t="str">
        <x:v>Shelf 019</x:v>
      </x:c>
      <x:c r="I2386" s="11" t="n">
        <x:v>1</x:v>
      </x:c>
      <x:c r="J2386" s="9" t="n">
        <x:v>78</x:v>
      </x:c>
      <x:c r="K2386" s="10" t="n">
        <x:v>0.05</x:v>
      </x:c>
      <x:c r="L2386" s="11" t="n">
        <x:v>0</x:v>
      </x:c>
      <x:c r="M2386" s="9" t="n">
        <x:f>IF(D2386="Completed",I2386*J2386,0)</x:f>
        <x:v>78</x:v>
      </x:c>
      <x:c r="N2386" s="9" t="n">
        <x:f>M2386*K2386</x:f>
        <x:v>3.9000000000000004</x:v>
      </x:c>
      <x:c r="O2386" s="9" t="n">
        <x:f>M2386-N2386</x:f>
        <x:v>74.1</x:v>
      </x:c>
      <x:c r="P2386" s="9" t="n">
        <x:f>IF(D2386="Completed",L2386*J2386*(1-K2386),0)</x:f>
        <x:v>0</x:v>
      </x:c>
      <x:c r="Q2386" s="9" t="n">
        <x:f>O2386-P2386</x:f>
        <x:v>74.1</x:v>
      </x:c>
      <x:c r="R2386" s="11" t="n">
        <x:f>IF(D2386="Completed",I2386,0)</x:f>
        <x:v>1</x:v>
      </x:c>
      <x:c r="S2386" s="11" t="n">
        <x:f>IF(D2386="Completed",L2386,0)</x:f>
        <x:v>0</x:v>
      </x:c>
      <x:c r="T2386" s="8" t="n">
        <x:f>DATE(YEAR(C2386),MONTH(C2386),1)</x:f>
        <x:v>45839</x:v>
      </x:c>
    </x:row>
    <x:row r="2387" ht="22" customHeight="1">
      <x:c r="A2387" s="2" t="str">
        <x:v>L002383</x:v>
      </x:c>
      <x:c r="B2387" s="2" t="str">
        <x:v>O00975</x:v>
      </x:c>
      <x:c r="C2387" s="7" t="n">
        <x:v>45851</x:v>
      </x:c>
      <x:c r="D2387" s="2" t="str">
        <x:v>Completed</x:v>
      </x:c>
      <x:c r="E2387" s="2" t="str">
        <x:v>South</x:v>
      </x:c>
      <x:c r="F2387" s="2" t="str">
        <x:v>Store</x:v>
      </x:c>
      <x:c r="G2387" s="2" t="str">
        <x:v>Furniture</x:v>
      </x:c>
      <x:c r="H2387" s="2" t="str">
        <x:v>Chair 006</x:v>
      </x:c>
      <x:c r="I2387" s="11" t="n">
        <x:v>3</x:v>
      </x:c>
      <x:c r="J2387" s="9" t="n">
        <x:v>196</x:v>
      </x:c>
      <x:c r="K2387" s="10" t="n">
        <x:v>0</x:v>
      </x:c>
      <x:c r="L2387" s="11" t="n">
        <x:v>0</x:v>
      </x:c>
      <x:c r="M2387" s="9" t="n">
        <x:f>IF(D2387="Completed",I2387*J2387,0)</x:f>
        <x:v>588</x:v>
      </x:c>
      <x:c r="N2387" s="9" t="n">
        <x:f>M2387*K2387</x:f>
        <x:v>0</x:v>
      </x:c>
      <x:c r="O2387" s="9" t="n">
        <x:f>M2387-N2387</x:f>
        <x:v>588</x:v>
      </x:c>
      <x:c r="P2387" s="9" t="n">
        <x:f>IF(D2387="Completed",L2387*J2387*(1-K2387),0)</x:f>
        <x:v>0</x:v>
      </x:c>
      <x:c r="Q2387" s="9" t="n">
        <x:f>O2387-P2387</x:f>
        <x:v>588</x:v>
      </x:c>
      <x:c r="R2387" s="11" t="n">
        <x:f>IF(D2387="Completed",I2387,0)</x:f>
        <x:v>3</x:v>
      </x:c>
      <x:c r="S2387" s="11" t="n">
        <x:f>IF(D2387="Completed",L2387,0)</x:f>
        <x:v>0</x:v>
      </x:c>
      <x:c r="T2387" s="8" t="n">
        <x:f>DATE(YEAR(C2387),MONTH(C2387),1)</x:f>
        <x:v>45839</x:v>
      </x:c>
    </x:row>
    <x:row r="2388" ht="22" customHeight="1">
      <x:c r="A2388" s="2" t="str">
        <x:v>L002384</x:v>
      </x:c>
      <x:c r="B2388" s="2" t="str">
        <x:v>O00975</x:v>
      </x:c>
      <x:c r="C2388" s="7" t="n">
        <x:v>45851</x:v>
      </x:c>
      <x:c r="D2388" s="2" t="str">
        <x:v>Completed</x:v>
      </x:c>
      <x:c r="E2388" s="2" t="str">
        <x:v>South</x:v>
      </x:c>
      <x:c r="F2388" s="2" t="str">
        <x:v>Store</x:v>
      </x:c>
      <x:c r="G2388" s="2" t="str">
        <x:v>Lighting</x:v>
      </x:c>
      <x:c r="H2388" s="2" t="str">
        <x:v>Lamp 021</x:v>
      </x:c>
      <x:c r="I2388" s="11" t="n">
        <x:v>4</x:v>
      </x:c>
      <x:c r="J2388" s="9" t="n">
        <x:v>249</x:v>
      </x:c>
      <x:c r="K2388" s="10" t="n">
        <x:v>0.2</x:v>
      </x:c>
      <x:c r="L2388" s="11" t="n">
        <x:v>0</x:v>
      </x:c>
      <x:c r="M2388" s="9" t="n">
        <x:f>IF(D2388="Completed",I2388*J2388,0)</x:f>
        <x:v>996</x:v>
      </x:c>
      <x:c r="N2388" s="9" t="n">
        <x:f>M2388*K2388</x:f>
        <x:v>199.20000000000002</x:v>
      </x:c>
      <x:c r="O2388" s="9" t="n">
        <x:f>M2388-N2388</x:f>
        <x:v>796.8</x:v>
      </x:c>
      <x:c r="P2388" s="9" t="n">
        <x:f>IF(D2388="Completed",L2388*J2388*(1-K2388),0)</x:f>
        <x:v>0</x:v>
      </x:c>
      <x:c r="Q2388" s="9" t="n">
        <x:f>O2388-P2388</x:f>
        <x:v>796.8</x:v>
      </x:c>
      <x:c r="R2388" s="11" t="n">
        <x:f>IF(D2388="Completed",I2388,0)</x:f>
        <x:v>4</x:v>
      </x:c>
      <x:c r="S2388" s="11" t="n">
        <x:f>IF(D2388="Completed",L2388,0)</x:f>
        <x:v>0</x:v>
      </x:c>
      <x:c r="T2388" s="8" t="n">
        <x:f>DATE(YEAR(C2388),MONTH(C2388),1)</x:f>
        <x:v>45839</x:v>
      </x:c>
    </x:row>
    <x:row r="2389" ht="22" customHeight="1">
      <x:c r="A2389" s="2" t="str">
        <x:v>L002385</x:v>
      </x:c>
      <x:c r="B2389" s="2" t="str">
        <x:v>O00976</x:v>
      </x:c>
      <x:c r="C2389" s="7" t="n">
        <x:v>45912</x:v>
      </x:c>
      <x:c r="D2389" s="2" t="str">
        <x:v>Completed</x:v>
      </x:c>
      <x:c r="E2389" s="2" t="str">
        <x:v>West</x:v>
      </x:c>
      <x:c r="F2389" s="2" t="str">
        <x:v>Store</x:v>
      </x:c>
      <x:c r="G2389" s="2" t="str">
        <x:v>Furniture</x:v>
      </x:c>
      <x:c r="H2389" s="2" t="str">
        <x:v>Desk 020</x:v>
      </x:c>
      <x:c r="I2389" s="11" t="n">
        <x:v>3</x:v>
      </x:c>
      <x:c r="J2389" s="9" t="n">
        <x:v>189</x:v>
      </x:c>
      <x:c r="K2389" s="10" t="n">
        <x:v>0.2</x:v>
      </x:c>
      <x:c r="L2389" s="11" t="n">
        <x:v>0</x:v>
      </x:c>
      <x:c r="M2389" s="9" t="n">
        <x:f>IF(D2389="Completed",I2389*J2389,0)</x:f>
        <x:v>567</x:v>
      </x:c>
      <x:c r="N2389" s="9" t="n">
        <x:f>M2389*K2389</x:f>
        <x:v>113.4</x:v>
      </x:c>
      <x:c r="O2389" s="9" t="n">
        <x:f>M2389-N2389</x:f>
        <x:v>453.6</x:v>
      </x:c>
      <x:c r="P2389" s="9" t="n">
        <x:f>IF(D2389="Completed",L2389*J2389*(1-K2389),0)</x:f>
        <x:v>0</x:v>
      </x:c>
      <x:c r="Q2389" s="9" t="n">
        <x:f>O2389-P2389</x:f>
        <x:v>453.6</x:v>
      </x:c>
      <x:c r="R2389" s="11" t="n">
        <x:f>IF(D2389="Completed",I2389,0)</x:f>
        <x:v>3</x:v>
      </x:c>
      <x:c r="S2389" s="11" t="n">
        <x:f>IF(D2389="Completed",L2389,0)</x:f>
        <x:v>0</x:v>
      </x:c>
      <x:c r="T2389" s="8" t="n">
        <x:f>DATE(YEAR(C2389),MONTH(C2389),1)</x:f>
        <x:v>45901</x:v>
      </x:c>
    </x:row>
    <x:row r="2390" ht="22" customHeight="1">
      <x:c r="A2390" s="2" t="str">
        <x:v>L002386</x:v>
      </x:c>
      <x:c r="B2390" s="2" t="str">
        <x:v>O00977</x:v>
      </x:c>
      <x:c r="C2390" s="7" t="n">
        <x:v>45890</x:v>
      </x:c>
      <x:c r="D2390" s="2" t="str">
        <x:v>Completed</x:v>
      </x:c>
      <x:c r="E2390" s="2" t="str">
        <x:v>East</x:v>
      </x:c>
      <x:c r="F2390" s="2" t="str">
        <x:v>Store</x:v>
      </x:c>
      <x:c r="G2390" s="2" t="str">
        <x:v>Furniture</x:v>
      </x:c>
      <x:c r="H2390" s="2" t="str">
        <x:v>Chair 014</x:v>
      </x:c>
      <x:c r="I2390" s="11" t="n">
        <x:v>3</x:v>
      </x:c>
      <x:c r="J2390" s="9" t="n">
        <x:v>294</x:v>
      </x:c>
      <x:c r="K2390" s="10" t="n">
        <x:v>0.1</x:v>
      </x:c>
      <x:c r="L2390" s="11" t="n">
        <x:v>0</x:v>
      </x:c>
      <x:c r="M2390" s="9" t="n">
        <x:f>IF(D2390="Completed",I2390*J2390,0)</x:f>
        <x:v>882</x:v>
      </x:c>
      <x:c r="N2390" s="9" t="n">
        <x:f>M2390*K2390</x:f>
        <x:v>88.2</x:v>
      </x:c>
      <x:c r="O2390" s="9" t="n">
        <x:f>M2390-N2390</x:f>
        <x:v>793.8</x:v>
      </x:c>
      <x:c r="P2390" s="9" t="n">
        <x:f>IF(D2390="Completed",L2390*J2390*(1-K2390),0)</x:f>
        <x:v>0</x:v>
      </x:c>
      <x:c r="Q2390" s="9" t="n">
        <x:f>O2390-P2390</x:f>
        <x:v>793.8</x:v>
      </x:c>
      <x:c r="R2390" s="11" t="n">
        <x:f>IF(D2390="Completed",I2390,0)</x:f>
        <x:v>3</x:v>
      </x:c>
      <x:c r="S2390" s="11" t="n">
        <x:f>IF(D2390="Completed",L2390,0)</x:f>
        <x:v>0</x:v>
      </x:c>
      <x:c r="T2390" s="8" t="n">
        <x:f>DATE(YEAR(C2390),MONTH(C2390),1)</x:f>
        <x:v>45870</x:v>
      </x:c>
    </x:row>
    <x:row r="2391" ht="22" customHeight="1">
      <x:c r="A2391" s="2" t="str">
        <x:v>L002387</x:v>
      </x:c>
      <x:c r="B2391" s="2" t="str">
        <x:v>O00977</x:v>
      </x:c>
      <x:c r="C2391" s="7" t="n">
        <x:v>45890</x:v>
      </x:c>
      <x:c r="D2391" s="2" t="str">
        <x:v>Completed</x:v>
      </x:c>
      <x:c r="E2391" s="2" t="str">
        <x:v>East</x:v>
      </x:c>
      <x:c r="F2391" s="2" t="str">
        <x:v>Store</x:v>
      </x:c>
      <x:c r="G2391" s="2" t="str">
        <x:v>Furniture</x:v>
      </x:c>
      <x:c r="H2391" s="2" t="str">
        <x:v>Desk 020</x:v>
      </x:c>
      <x:c r="I2391" s="11" t="n">
        <x:v>5</x:v>
      </x:c>
      <x:c r="J2391" s="9" t="n">
        <x:v>189</x:v>
      </x:c>
      <x:c r="K2391" s="10" t="n">
        <x:v>0.2</x:v>
      </x:c>
      <x:c r="L2391" s="11" t="n">
        <x:v>0</x:v>
      </x:c>
      <x:c r="M2391" s="9" t="n">
        <x:f>IF(D2391="Completed",I2391*J2391,0)</x:f>
        <x:v>945</x:v>
      </x:c>
      <x:c r="N2391" s="9" t="n">
        <x:f>M2391*K2391</x:f>
        <x:v>189</x:v>
      </x:c>
      <x:c r="O2391" s="9" t="n">
        <x:f>M2391-N2391</x:f>
        <x:v>756</x:v>
      </x:c>
      <x:c r="P2391" s="9" t="n">
        <x:f>IF(D2391="Completed",L2391*J2391*(1-K2391),0)</x:f>
        <x:v>0</x:v>
      </x:c>
      <x:c r="Q2391" s="9" t="n">
        <x:f>O2391-P2391</x:f>
        <x:v>756</x:v>
      </x:c>
      <x:c r="R2391" s="11" t="n">
        <x:f>IF(D2391="Completed",I2391,0)</x:f>
        <x:v>5</x:v>
      </x:c>
      <x:c r="S2391" s="11" t="n">
        <x:f>IF(D2391="Completed",L2391,0)</x:f>
        <x:v>0</x:v>
      </x:c>
      <x:c r="T2391" s="8" t="n">
        <x:f>DATE(YEAR(C2391),MONTH(C2391),1)</x:f>
        <x:v>45870</x:v>
      </x:c>
    </x:row>
    <x:row r="2392" ht="22" customHeight="1">
      <x:c r="A2392" s="2" t="str">
        <x:v>L002388</x:v>
      </x:c>
      <x:c r="B2392" s="2" t="str">
        <x:v>O00977</x:v>
      </x:c>
      <x:c r="C2392" s="7" t="n">
        <x:v>45890</x:v>
      </x:c>
      <x:c r="D2392" s="2" t="str">
        <x:v>Completed</x:v>
      </x:c>
      <x:c r="E2392" s="2" t="str">
        <x:v>East</x:v>
      </x:c>
      <x:c r="F2392" s="2" t="str">
        <x:v>Store</x:v>
      </x:c>
      <x:c r="G2392" s="2" t="str">
        <x:v>Furniture</x:v>
      </x:c>
      <x:c r="H2392" s="2" t="str">
        <x:v>Desk 024</x:v>
      </x:c>
      <x:c r="I2392" s="11" t="n">
        <x:v>2</x:v>
      </x:c>
      <x:c r="J2392" s="9" t="n">
        <x:v>81</x:v>
      </x:c>
      <x:c r="K2392" s="10" t="n">
        <x:v>0.1</x:v>
      </x:c>
      <x:c r="L2392" s="11" t="n">
        <x:v>0</x:v>
      </x:c>
      <x:c r="M2392" s="9" t="n">
        <x:f>IF(D2392="Completed",I2392*J2392,0)</x:f>
        <x:v>162</x:v>
      </x:c>
      <x:c r="N2392" s="9" t="n">
        <x:f>M2392*K2392</x:f>
        <x:v>16.2</x:v>
      </x:c>
      <x:c r="O2392" s="9" t="n">
        <x:f>M2392-N2392</x:f>
        <x:v>145.8</x:v>
      </x:c>
      <x:c r="P2392" s="9" t="n">
        <x:f>IF(D2392="Completed",L2392*J2392*(1-K2392),0)</x:f>
        <x:v>0</x:v>
      </x:c>
      <x:c r="Q2392" s="9" t="n">
        <x:f>O2392-P2392</x:f>
        <x:v>145.8</x:v>
      </x:c>
      <x:c r="R2392" s="11" t="n">
        <x:f>IF(D2392="Completed",I2392,0)</x:f>
        <x:v>2</x:v>
      </x:c>
      <x:c r="S2392" s="11" t="n">
        <x:f>IF(D2392="Completed",L2392,0)</x:f>
        <x:v>0</x:v>
      </x:c>
      <x:c r="T2392" s="8" t="n">
        <x:f>DATE(YEAR(C2392),MONTH(C2392),1)</x:f>
        <x:v>45870</x:v>
      </x:c>
    </x:row>
    <x:row r="2393" ht="22" customHeight="1">
      <x:c r="A2393" s="2" t="str">
        <x:v>L002389</x:v>
      </x:c>
      <x:c r="B2393" s="2" t="str">
        <x:v>O00978</x:v>
      </x:c>
      <x:c r="C2393" s="7" t="n">
        <x:v>45658</x:v>
      </x:c>
      <x:c r="D2393" s="2" t="str">
        <x:v>Completed</x:v>
      </x:c>
      <x:c r="E2393" s="2" t="str">
        <x:v>North</x:v>
      </x:c>
      <x:c r="F2393" s="2" t="str">
        <x:v>Online</x:v>
      </x:c>
      <x:c r="G2393" s="2" t="str">
        <x:v>Furniture</x:v>
      </x:c>
      <x:c r="H2393" s="2" t="str">
        <x:v>Chair 018</x:v>
      </x:c>
      <x:c r="I2393" s="11" t="n">
        <x:v>1</x:v>
      </x:c>
      <x:c r="J2393" s="9" t="n">
        <x:v>269</x:v>
      </x:c>
      <x:c r="K2393" s="10" t="n">
        <x:v>0.05</x:v>
      </x:c>
      <x:c r="L2393" s="11" t="n">
        <x:v>0</x:v>
      </x:c>
      <x:c r="M2393" s="9" t="n">
        <x:f>IF(D2393="Completed",I2393*J2393,0)</x:f>
        <x:v>269</x:v>
      </x:c>
      <x:c r="N2393" s="9" t="n">
        <x:f>M2393*K2393</x:f>
        <x:v>13.450000000000001</x:v>
      </x:c>
      <x:c r="O2393" s="9" t="n">
        <x:f>M2393-N2393</x:f>
        <x:v>255.55</x:v>
      </x:c>
      <x:c r="P2393" s="9" t="n">
        <x:f>IF(D2393="Completed",L2393*J2393*(1-K2393),0)</x:f>
        <x:v>0</x:v>
      </x:c>
      <x:c r="Q2393" s="9" t="n">
        <x:f>O2393-P2393</x:f>
        <x:v>255.55</x:v>
      </x:c>
      <x:c r="R2393" s="11" t="n">
        <x:f>IF(D2393="Completed",I2393,0)</x:f>
        <x:v>1</x:v>
      </x:c>
      <x:c r="S2393" s="11" t="n">
        <x:f>IF(D2393="Completed",L2393,0)</x:f>
        <x:v>0</x:v>
      </x:c>
      <x:c r="T2393" s="8" t="n">
        <x:f>DATE(YEAR(C2393),MONTH(C2393),1)</x:f>
        <x:v>45658</x:v>
      </x:c>
    </x:row>
    <x:row r="2394" ht="22" customHeight="1">
      <x:c r="A2394" s="2" t="str">
        <x:v>L002390</x:v>
      </x:c>
      <x:c r="B2394" s="2" t="str">
        <x:v>O00979</x:v>
      </x:c>
      <x:c r="C2394" s="7" t="n">
        <x:v>45892</x:v>
      </x:c>
      <x:c r="D2394" s="2" t="str">
        <x:v>Completed</x:v>
      </x:c>
      <x:c r="E2394" s="2" t="str">
        <x:v>North</x:v>
      </x:c>
      <x:c r="F2394" s="2" t="str">
        <x:v>Store</x:v>
      </x:c>
      <x:c r="G2394" s="2" t="str">
        <x:v>Furniture</x:v>
      </x:c>
      <x:c r="H2394" s="2" t="str">
        <x:v>Desk 024</x:v>
      </x:c>
      <x:c r="I2394" s="11" t="n">
        <x:v>4</x:v>
      </x:c>
      <x:c r="J2394" s="9" t="n">
        <x:v>81</x:v>
      </x:c>
      <x:c r="K2394" s="10" t="n">
        <x:v>0.2</x:v>
      </x:c>
      <x:c r="L2394" s="11" t="n">
        <x:v>0</x:v>
      </x:c>
      <x:c r="M2394" s="9" t="n">
        <x:f>IF(D2394="Completed",I2394*J2394,0)</x:f>
        <x:v>324</x:v>
      </x:c>
      <x:c r="N2394" s="9" t="n">
        <x:f>M2394*K2394</x:f>
        <x:v>64.8</x:v>
      </x:c>
      <x:c r="O2394" s="9" t="n">
        <x:f>M2394-N2394</x:f>
        <x:v>259.2</x:v>
      </x:c>
      <x:c r="P2394" s="9" t="n">
        <x:f>IF(D2394="Completed",L2394*J2394*(1-K2394),0)</x:f>
        <x:v>0</x:v>
      </x:c>
      <x:c r="Q2394" s="9" t="n">
        <x:f>O2394-P2394</x:f>
        <x:v>259.2</x:v>
      </x:c>
      <x:c r="R2394" s="11" t="n">
        <x:f>IF(D2394="Completed",I2394,0)</x:f>
        <x:v>4</x:v>
      </x:c>
      <x:c r="S2394" s="11" t="n">
        <x:f>IF(D2394="Completed",L2394,0)</x:f>
        <x:v>0</x:v>
      </x:c>
      <x:c r="T2394" s="8" t="n">
        <x:f>DATE(YEAR(C2394),MONTH(C2394),1)</x:f>
        <x:v>45870</x:v>
      </x:c>
    </x:row>
    <x:row r="2395" ht="22" customHeight="1">
      <x:c r="A2395" s="2" t="str">
        <x:v>L002391</x:v>
      </x:c>
      <x:c r="B2395" s="2" t="str">
        <x:v>O00979</x:v>
      </x:c>
      <x:c r="C2395" s="7" t="n">
        <x:v>45892</x:v>
      </x:c>
      <x:c r="D2395" s="2" t="str">
        <x:v>Completed</x:v>
      </x:c>
      <x:c r="E2395" s="2" t="str">
        <x:v>North</x:v>
      </x:c>
      <x:c r="F2395" s="2" t="str">
        <x:v>Store</x:v>
      </x:c>
      <x:c r="G2395" s="2" t="str">
        <x:v>Furniture</x:v>
      </x:c>
      <x:c r="H2395" s="2" t="str">
        <x:v>Desk 016</x:v>
      </x:c>
      <x:c r="I2395" s="11" t="n">
        <x:v>4</x:v>
      </x:c>
      <x:c r="J2395" s="9" t="n">
        <x:v>231</x:v>
      </x:c>
      <x:c r="K2395" s="10" t="n">
        <x:v>0.1</x:v>
      </x:c>
      <x:c r="L2395" s="11" t="n">
        <x:v>0</x:v>
      </x:c>
      <x:c r="M2395" s="9" t="n">
        <x:f>IF(D2395="Completed",I2395*J2395,0)</x:f>
        <x:v>924</x:v>
      </x:c>
      <x:c r="N2395" s="9" t="n">
        <x:f>M2395*K2395</x:f>
        <x:v>92.4</x:v>
      </x:c>
      <x:c r="O2395" s="9" t="n">
        <x:f>M2395-N2395</x:f>
        <x:v>831.6</x:v>
      </x:c>
      <x:c r="P2395" s="9" t="n">
        <x:f>IF(D2395="Completed",L2395*J2395*(1-K2395),0)</x:f>
        <x:v>0</x:v>
      </x:c>
      <x:c r="Q2395" s="9" t="n">
        <x:f>O2395-P2395</x:f>
        <x:v>831.6</x:v>
      </x:c>
      <x:c r="R2395" s="11" t="n">
        <x:f>IF(D2395="Completed",I2395,0)</x:f>
        <x:v>4</x:v>
      </x:c>
      <x:c r="S2395" s="11" t="n">
        <x:f>IF(D2395="Completed",L2395,0)</x:f>
        <x:v>0</x:v>
      </x:c>
      <x:c r="T2395" s="8" t="n">
        <x:f>DATE(YEAR(C2395),MONTH(C2395),1)</x:f>
        <x:v>45870</x:v>
      </x:c>
    </x:row>
    <x:row r="2396" ht="22" customHeight="1">
      <x:c r="A2396" s="2" t="str">
        <x:v>L002392</x:v>
      </x:c>
      <x:c r="B2396" s="2" t="str">
        <x:v>O00979</x:v>
      </x:c>
      <x:c r="C2396" s="7" t="n">
        <x:v>45892</x:v>
      </x:c>
      <x:c r="D2396" s="2" t="str">
        <x:v>Completed</x:v>
      </x:c>
      <x:c r="E2396" s="2" t="str">
        <x:v>North</x:v>
      </x:c>
      <x:c r="F2396" s="2" t="str">
        <x:v>Store</x:v>
      </x:c>
      <x:c r="G2396" s="2" t="str">
        <x:v>Furniture</x:v>
      </x:c>
      <x:c r="H2396" s="2" t="str">
        <x:v>Chair 010</x:v>
      </x:c>
      <x:c r="I2396" s="11" t="n">
        <x:v>3</x:v>
      </x:c>
      <x:c r="J2396" s="9" t="n">
        <x:v>211</x:v>
      </x:c>
      <x:c r="K2396" s="10" t="n">
        <x:v>0</x:v>
      </x:c>
      <x:c r="L2396" s="11" t="n">
        <x:v>0</x:v>
      </x:c>
      <x:c r="M2396" s="9" t="n">
        <x:f>IF(D2396="Completed",I2396*J2396,0)</x:f>
        <x:v>633</x:v>
      </x:c>
      <x:c r="N2396" s="9" t="n">
        <x:f>M2396*K2396</x:f>
        <x:v>0</x:v>
      </x:c>
      <x:c r="O2396" s="9" t="n">
        <x:f>M2396-N2396</x:f>
        <x:v>633</x:v>
      </x:c>
      <x:c r="P2396" s="9" t="n">
        <x:f>IF(D2396="Completed",L2396*J2396*(1-K2396),0)</x:f>
        <x:v>0</x:v>
      </x:c>
      <x:c r="Q2396" s="9" t="n">
        <x:f>O2396-P2396</x:f>
        <x:v>633</x:v>
      </x:c>
      <x:c r="R2396" s="11" t="n">
        <x:f>IF(D2396="Completed",I2396,0)</x:f>
        <x:v>3</x:v>
      </x:c>
      <x:c r="S2396" s="11" t="n">
        <x:f>IF(D2396="Completed",L2396,0)</x:f>
        <x:v>0</x:v>
      </x:c>
      <x:c r="T2396" s="8" t="n">
        <x:f>DATE(YEAR(C2396),MONTH(C2396),1)</x:f>
        <x:v>45870</x:v>
      </x:c>
    </x:row>
    <x:row r="2397" ht="22" customHeight="1">
      <x:c r="A2397" s="2" t="str">
        <x:v>L002393</x:v>
      </x:c>
      <x:c r="B2397" s="2" t="str">
        <x:v>O00980</x:v>
      </x:c>
      <x:c r="C2397" s="7" t="n">
        <x:v>45732</x:v>
      </x:c>
      <x:c r="D2397" s="2" t="str">
        <x:v>Completed</x:v>
      </x:c>
      <x:c r="E2397" s="2" t="str">
        <x:v>South</x:v>
      </x:c>
      <x:c r="F2397" s="2" t="str">
        <x:v>Store</x:v>
      </x:c>
      <x:c r="G2397" s="2" t="str">
        <x:v>Storage</x:v>
      </x:c>
      <x:c r="H2397" s="2" t="str">
        <x:v>Shelf 007</x:v>
      </x:c>
      <x:c r="I2397" s="11" t="n">
        <x:v>2</x:v>
      </x:c>
      <x:c r="J2397" s="9" t="n">
        <x:v>35</x:v>
      </x:c>
      <x:c r="K2397" s="10" t="n">
        <x:v>0.1</x:v>
      </x:c>
      <x:c r="L2397" s="11" t="n">
        <x:v>0</x:v>
      </x:c>
      <x:c r="M2397" s="9" t="n">
        <x:f>IF(D2397="Completed",I2397*J2397,0)</x:f>
        <x:v>70</x:v>
      </x:c>
      <x:c r="N2397" s="9" t="n">
        <x:f>M2397*K2397</x:f>
        <x:v>7</x:v>
      </x:c>
      <x:c r="O2397" s="9" t="n">
        <x:f>M2397-N2397</x:f>
        <x:v>63</x:v>
      </x:c>
      <x:c r="P2397" s="9" t="n">
        <x:f>IF(D2397="Completed",L2397*J2397*(1-K2397),0)</x:f>
        <x:v>0</x:v>
      </x:c>
      <x:c r="Q2397" s="9" t="n">
        <x:f>O2397-P2397</x:f>
        <x:v>63</x:v>
      </x:c>
      <x:c r="R2397" s="11" t="n">
        <x:f>IF(D2397="Completed",I2397,0)</x:f>
        <x:v>2</x:v>
      </x:c>
      <x:c r="S2397" s="11" t="n">
        <x:f>IF(D2397="Completed",L2397,0)</x:f>
        <x:v>0</x:v>
      </x:c>
      <x:c r="T2397" s="8" t="n">
        <x:f>DATE(YEAR(C2397),MONTH(C2397),1)</x:f>
        <x:v>45717</x:v>
      </x:c>
    </x:row>
    <x:row r="2398" ht="22" customHeight="1">
      <x:c r="A2398" s="2" t="str">
        <x:v>L002394</x:v>
      </x:c>
      <x:c r="B2398" s="2" t="str">
        <x:v>O00980</x:v>
      </x:c>
      <x:c r="C2398" s="7" t="n">
        <x:v>45732</x:v>
      </x:c>
      <x:c r="D2398" s="2" t="str">
        <x:v>Completed</x:v>
      </x:c>
      <x:c r="E2398" s="2" t="str">
        <x:v>South</x:v>
      </x:c>
      <x:c r="F2398" s="2" t="str">
        <x:v>Store</x:v>
      </x:c>
      <x:c r="G2398" s="2" t="str">
        <x:v>Furniture</x:v>
      </x:c>
      <x:c r="H2398" s="2" t="str">
        <x:v>Chair 010</x:v>
      </x:c>
      <x:c r="I2398" s="11" t="n">
        <x:v>1</x:v>
      </x:c>
      <x:c r="J2398" s="9" t="n">
        <x:v>211</x:v>
      </x:c>
      <x:c r="K2398" s="10" t="n">
        <x:v>0.2</x:v>
      </x:c>
      <x:c r="L2398" s="11" t="n">
        <x:v>0</x:v>
      </x:c>
      <x:c r="M2398" s="9" t="n">
        <x:f>IF(D2398="Completed",I2398*J2398,0)</x:f>
        <x:v>211</x:v>
      </x:c>
      <x:c r="N2398" s="9" t="n">
        <x:f>M2398*K2398</x:f>
        <x:v>42.2</x:v>
      </x:c>
      <x:c r="O2398" s="9" t="n">
        <x:f>M2398-N2398</x:f>
        <x:v>168.8</x:v>
      </x:c>
      <x:c r="P2398" s="9" t="n">
        <x:f>IF(D2398="Completed",L2398*J2398*(1-K2398),0)</x:f>
        <x:v>0</x:v>
      </x:c>
      <x:c r="Q2398" s="9" t="n">
        <x:f>O2398-P2398</x:f>
        <x:v>168.8</x:v>
      </x:c>
      <x:c r="R2398" s="11" t="n">
        <x:f>IF(D2398="Completed",I2398,0)</x:f>
        <x:v>1</x:v>
      </x:c>
      <x:c r="S2398" s="11" t="n">
        <x:f>IF(D2398="Completed",L2398,0)</x:f>
        <x:v>0</x:v>
      </x:c>
      <x:c r="T2398" s="8" t="n">
        <x:f>DATE(YEAR(C2398),MONTH(C2398),1)</x:f>
        <x:v>45717</x:v>
      </x:c>
    </x:row>
    <x:row r="2399" ht="22" customHeight="1">
      <x:c r="A2399" s="2" t="str">
        <x:v>L002395</x:v>
      </x:c>
      <x:c r="B2399" s="2" t="str">
        <x:v>O00980</x:v>
      </x:c>
      <x:c r="C2399" s="7" t="n">
        <x:v>45732</x:v>
      </x:c>
      <x:c r="D2399" s="2" t="str">
        <x:v>Completed</x:v>
      </x:c>
      <x:c r="E2399" s="2" t="str">
        <x:v>South</x:v>
      </x:c>
      <x:c r="F2399" s="2" t="str">
        <x:v>Store</x:v>
      </x:c>
      <x:c r="G2399" s="2" t="str">
        <x:v>Storage</x:v>
      </x:c>
      <x:c r="H2399" s="2" t="str">
        <x:v>Shelf 007</x:v>
      </x:c>
      <x:c r="I2399" s="11" t="n">
        <x:v>3</x:v>
      </x:c>
      <x:c r="J2399" s="9" t="n">
        <x:v>35</x:v>
      </x:c>
      <x:c r="K2399" s="10" t="n">
        <x:v>0</x:v>
      </x:c>
      <x:c r="L2399" s="11" t="n">
        <x:v>0</x:v>
      </x:c>
      <x:c r="M2399" s="9" t="n">
        <x:f>IF(D2399="Completed",I2399*J2399,0)</x:f>
        <x:v>105</x:v>
      </x:c>
      <x:c r="N2399" s="9" t="n">
        <x:f>M2399*K2399</x:f>
        <x:v>0</x:v>
      </x:c>
      <x:c r="O2399" s="9" t="n">
        <x:f>M2399-N2399</x:f>
        <x:v>105</x:v>
      </x:c>
      <x:c r="P2399" s="9" t="n">
        <x:f>IF(D2399="Completed",L2399*J2399*(1-K2399),0)</x:f>
        <x:v>0</x:v>
      </x:c>
      <x:c r="Q2399" s="9" t="n">
        <x:f>O2399-P2399</x:f>
        <x:v>105</x:v>
      </x:c>
      <x:c r="R2399" s="11" t="n">
        <x:f>IF(D2399="Completed",I2399,0)</x:f>
        <x:v>3</x:v>
      </x:c>
      <x:c r="S2399" s="11" t="n">
        <x:f>IF(D2399="Completed",L2399,0)</x:f>
        <x:v>0</x:v>
      </x:c>
      <x:c r="T2399" s="8" t="n">
        <x:f>DATE(YEAR(C2399),MONTH(C2399),1)</x:f>
        <x:v>45717</x:v>
      </x:c>
    </x:row>
    <x:row r="2400" ht="22" customHeight="1">
      <x:c r="A2400" s="2" t="str">
        <x:v>L002396</x:v>
      </x:c>
      <x:c r="B2400" s="2" t="str">
        <x:v>O00981</x:v>
      </x:c>
      <x:c r="C2400" s="7" t="n">
        <x:v>45928</x:v>
      </x:c>
      <x:c r="D2400" s="2" t="str">
        <x:v>Completed</x:v>
      </x:c>
      <x:c r="E2400" s="2" t="str">
        <x:v>South</x:v>
      </x:c>
      <x:c r="F2400" s="2" t="str">
        <x:v>Online</x:v>
      </x:c>
      <x:c r="G2400" s="2" t="str">
        <x:v>Furniture</x:v>
      </x:c>
      <x:c r="H2400" s="2" t="str">
        <x:v>Desk 020</x:v>
      </x:c>
      <x:c r="I2400" s="11" t="n">
        <x:v>4</x:v>
      </x:c>
      <x:c r="J2400" s="9" t="n">
        <x:v>189</x:v>
      </x:c>
      <x:c r="K2400" s="10" t="n">
        <x:v>0.2</x:v>
      </x:c>
      <x:c r="L2400" s="11" t="n">
        <x:v>0</x:v>
      </x:c>
      <x:c r="M2400" s="9" t="n">
        <x:f>IF(D2400="Completed",I2400*J2400,0)</x:f>
        <x:v>756</x:v>
      </x:c>
      <x:c r="N2400" s="9" t="n">
        <x:f>M2400*K2400</x:f>
        <x:v>151.20000000000002</x:v>
      </x:c>
      <x:c r="O2400" s="9" t="n">
        <x:f>M2400-N2400</x:f>
        <x:v>604.8</x:v>
      </x:c>
      <x:c r="P2400" s="9" t="n">
        <x:f>IF(D2400="Completed",L2400*J2400*(1-K2400),0)</x:f>
        <x:v>0</x:v>
      </x:c>
      <x:c r="Q2400" s="9" t="n">
        <x:f>O2400-P2400</x:f>
        <x:v>604.8</x:v>
      </x:c>
      <x:c r="R2400" s="11" t="n">
        <x:f>IF(D2400="Completed",I2400,0)</x:f>
        <x:v>4</x:v>
      </x:c>
      <x:c r="S2400" s="11" t="n">
        <x:f>IF(D2400="Completed",L2400,0)</x:f>
        <x:v>0</x:v>
      </x:c>
      <x:c r="T2400" s="8" t="n">
        <x:f>DATE(YEAR(C2400),MONTH(C2400),1)</x:f>
        <x:v>45901</x:v>
      </x:c>
    </x:row>
    <x:row r="2401" ht="22" customHeight="1">
      <x:c r="A2401" s="2" t="str">
        <x:v>L002397</x:v>
      </x:c>
      <x:c r="B2401" s="2" t="str">
        <x:v>O00981</x:v>
      </x:c>
      <x:c r="C2401" s="7" t="n">
        <x:v>45928</x:v>
      </x:c>
      <x:c r="D2401" s="2" t="str">
        <x:v>Completed</x:v>
      </x:c>
      <x:c r="E2401" s="2" t="str">
        <x:v>South</x:v>
      </x:c>
      <x:c r="F2401" s="2" t="str">
        <x:v>Online</x:v>
      </x:c>
      <x:c r="G2401" s="2" t="str">
        <x:v>Lighting</x:v>
      </x:c>
      <x:c r="H2401" s="2" t="str">
        <x:v>Lamp 021</x:v>
      </x:c>
      <x:c r="I2401" s="11" t="n">
        <x:v>2</x:v>
      </x:c>
      <x:c r="J2401" s="9" t="n">
        <x:v>249</x:v>
      </x:c>
      <x:c r="K2401" s="10" t="n">
        <x:v>0.1</x:v>
      </x:c>
      <x:c r="L2401" s="11" t="n">
        <x:v>0</x:v>
      </x:c>
      <x:c r="M2401" s="9" t="n">
        <x:f>IF(D2401="Completed",I2401*J2401,0)</x:f>
        <x:v>498</x:v>
      </x:c>
      <x:c r="N2401" s="9" t="n">
        <x:f>M2401*K2401</x:f>
        <x:v>49.800000000000004</x:v>
      </x:c>
      <x:c r="O2401" s="9" t="n">
        <x:f>M2401-N2401</x:f>
        <x:v>448.2</x:v>
      </x:c>
      <x:c r="P2401" s="9" t="n">
        <x:f>IF(D2401="Completed",L2401*J2401*(1-K2401),0)</x:f>
        <x:v>0</x:v>
      </x:c>
      <x:c r="Q2401" s="9" t="n">
        <x:f>O2401-P2401</x:f>
        <x:v>448.2</x:v>
      </x:c>
      <x:c r="R2401" s="11" t="n">
        <x:f>IF(D2401="Completed",I2401,0)</x:f>
        <x:v>2</x:v>
      </x:c>
      <x:c r="S2401" s="11" t="n">
        <x:f>IF(D2401="Completed",L2401,0)</x:f>
        <x:v>0</x:v>
      </x:c>
      <x:c r="T2401" s="8" t="n">
        <x:f>DATE(YEAR(C2401),MONTH(C2401),1)</x:f>
        <x:v>45901</x:v>
      </x:c>
    </x:row>
    <x:row r="2402" ht="22" customHeight="1">
      <x:c r="A2402" s="2" t="str">
        <x:v>L002398</x:v>
      </x:c>
      <x:c r="B2402" s="2" t="str">
        <x:v>O00982</x:v>
      </x:c>
      <x:c r="C2402" s="7" t="n">
        <x:v>45949</x:v>
      </x:c>
      <x:c r="D2402" s="2" t="str">
        <x:v>Completed</x:v>
      </x:c>
      <x:c r="E2402" s="2" t="str">
        <x:v>South</x:v>
      </x:c>
      <x:c r="F2402" s="2" t="str">
        <x:v>Online</x:v>
      </x:c>
      <x:c r="G2402" s="2" t="str">
        <x:v>Storage</x:v>
      </x:c>
      <x:c r="H2402" s="2" t="str">
        <x:v>Shelf 019</x:v>
      </x:c>
      <x:c r="I2402" s="11" t="n">
        <x:v>2</x:v>
      </x:c>
      <x:c r="J2402" s="9" t="n">
        <x:v>78</x:v>
      </x:c>
      <x:c r="K2402" s="10" t="n">
        <x:v>0.05</x:v>
      </x:c>
      <x:c r="L2402" s="11" t="n">
        <x:v>0</x:v>
      </x:c>
      <x:c r="M2402" s="9" t="n">
        <x:f>IF(D2402="Completed",I2402*J2402,0)</x:f>
        <x:v>156</x:v>
      </x:c>
      <x:c r="N2402" s="9" t="n">
        <x:f>M2402*K2402</x:f>
        <x:v>7.800000000000001</x:v>
      </x:c>
      <x:c r="O2402" s="9" t="n">
        <x:f>M2402-N2402</x:f>
        <x:v>148.2</x:v>
      </x:c>
      <x:c r="P2402" s="9" t="n">
        <x:f>IF(D2402="Completed",L2402*J2402*(1-K2402),0)</x:f>
        <x:v>0</x:v>
      </x:c>
      <x:c r="Q2402" s="9" t="n">
        <x:f>O2402-P2402</x:f>
        <x:v>148.2</x:v>
      </x:c>
      <x:c r="R2402" s="11" t="n">
        <x:f>IF(D2402="Completed",I2402,0)</x:f>
        <x:v>2</x:v>
      </x:c>
      <x:c r="S2402" s="11" t="n">
        <x:f>IF(D2402="Completed",L2402,0)</x:f>
        <x:v>0</x:v>
      </x:c>
      <x:c r="T2402" s="8" t="n">
        <x:f>DATE(YEAR(C2402),MONTH(C2402),1)</x:f>
        <x:v>45931</x:v>
      </x:c>
    </x:row>
    <x:row r="2403" ht="22" customHeight="1">
      <x:c r="A2403" s="2" t="str">
        <x:v>L002399</x:v>
      </x:c>
      <x:c r="B2403" s="2" t="str">
        <x:v>O00982</x:v>
      </x:c>
      <x:c r="C2403" s="7" t="n">
        <x:v>45949</x:v>
      </x:c>
      <x:c r="D2403" s="2" t="str">
        <x:v>Completed</x:v>
      </x:c>
      <x:c r="E2403" s="2" t="str">
        <x:v>South</x:v>
      </x:c>
      <x:c r="F2403" s="2" t="str">
        <x:v>Online</x:v>
      </x:c>
      <x:c r="G2403" s="2" t="str">
        <x:v>Storage</x:v>
      </x:c>
      <x:c r="H2403" s="2" t="str">
        <x:v>Shelf 019</x:v>
      </x:c>
      <x:c r="I2403" s="11" t="n">
        <x:v>3</x:v>
      </x:c>
      <x:c r="J2403" s="9" t="n">
        <x:v>78</x:v>
      </x:c>
      <x:c r="K2403" s="10" t="n">
        <x:v>0.2</x:v>
      </x:c>
      <x:c r="L2403" s="11" t="n">
        <x:v>0</x:v>
      </x:c>
      <x:c r="M2403" s="9" t="n">
        <x:f>IF(D2403="Completed",I2403*J2403,0)</x:f>
        <x:v>234</x:v>
      </x:c>
      <x:c r="N2403" s="9" t="n">
        <x:f>M2403*K2403</x:f>
        <x:v>46.800000000000004</x:v>
      </x:c>
      <x:c r="O2403" s="9" t="n">
        <x:f>M2403-N2403</x:f>
        <x:v>187.2</x:v>
      </x:c>
      <x:c r="P2403" s="9" t="n">
        <x:f>IF(D2403="Completed",L2403*J2403*(1-K2403),0)</x:f>
        <x:v>0</x:v>
      </x:c>
      <x:c r="Q2403" s="9" t="n">
        <x:f>O2403-P2403</x:f>
        <x:v>187.2</x:v>
      </x:c>
      <x:c r="R2403" s="11" t="n">
        <x:f>IF(D2403="Completed",I2403,0)</x:f>
        <x:v>3</x:v>
      </x:c>
      <x:c r="S2403" s="11" t="n">
        <x:f>IF(D2403="Completed",L2403,0)</x:f>
        <x:v>0</x:v>
      </x:c>
      <x:c r="T2403" s="8" t="n">
        <x:f>DATE(YEAR(C2403),MONTH(C2403),1)</x:f>
        <x:v>45931</x:v>
      </x:c>
    </x:row>
    <x:row r="2404" ht="22" customHeight="1">
      <x:c r="A2404" s="2" t="str">
        <x:v>L002400</x:v>
      </x:c>
      <x:c r="B2404" s="2" t="str">
        <x:v>O00983</x:v>
      </x:c>
      <x:c r="C2404" s="7" t="n">
        <x:v>45803</x:v>
      </x:c>
      <x:c r="D2404" s="2" t="str">
        <x:v>Completed</x:v>
      </x:c>
      <x:c r="E2404" s="2" t="str">
        <x:v>North</x:v>
      </x:c>
      <x:c r="F2404" s="2" t="str">
        <x:v>Online</x:v>
      </x:c>
      <x:c r="G2404" s="2" t="str">
        <x:v>Furniture</x:v>
      </x:c>
      <x:c r="H2404" s="2" t="str">
        <x:v>Desk 020</x:v>
      </x:c>
      <x:c r="I2404" s="11" t="n">
        <x:v>1</x:v>
      </x:c>
      <x:c r="J2404" s="9" t="n">
        <x:v>189</x:v>
      </x:c>
      <x:c r="K2404" s="10" t="n">
        <x:v>0.05</x:v>
      </x:c>
      <x:c r="L2404" s="11" t="n">
        <x:v>0</x:v>
      </x:c>
      <x:c r="M2404" s="9" t="n">
        <x:f>IF(D2404="Completed",I2404*J2404,0)</x:f>
        <x:v>189</x:v>
      </x:c>
      <x:c r="N2404" s="9" t="n">
        <x:f>M2404*K2404</x:f>
        <x:v>9.450000000000001</x:v>
      </x:c>
      <x:c r="O2404" s="9" t="n">
        <x:f>M2404-N2404</x:f>
        <x:v>179.55</x:v>
      </x:c>
      <x:c r="P2404" s="9" t="n">
        <x:f>IF(D2404="Completed",L2404*J2404*(1-K2404),0)</x:f>
        <x:v>0</x:v>
      </x:c>
      <x:c r="Q2404" s="9" t="n">
        <x:f>O2404-P2404</x:f>
        <x:v>179.55</x:v>
      </x:c>
      <x:c r="R2404" s="11" t="n">
        <x:f>IF(D2404="Completed",I2404,0)</x:f>
        <x:v>1</x:v>
      </x:c>
      <x:c r="S2404" s="11" t="n">
        <x:f>IF(D2404="Completed",L2404,0)</x:f>
        <x:v>0</x:v>
      </x:c>
      <x:c r="T2404" s="8" t="n">
        <x:f>DATE(YEAR(C2404),MONTH(C2404),1)</x:f>
        <x:v>45778</x:v>
      </x:c>
    </x:row>
    <x:row r="2405" ht="22" customHeight="1">
      <x:c r="A2405" s="2" t="str">
        <x:v>L002401</x:v>
      </x:c>
      <x:c r="B2405" s="2" t="str">
        <x:v>O00983</x:v>
      </x:c>
      <x:c r="C2405" s="7" t="n">
        <x:v>45803</x:v>
      </x:c>
      <x:c r="D2405" s="2" t="str">
        <x:v>Completed</x:v>
      </x:c>
      <x:c r="E2405" s="2" t="str">
        <x:v>North</x:v>
      </x:c>
      <x:c r="F2405" s="2" t="str">
        <x:v>Online</x:v>
      </x:c>
      <x:c r="G2405" s="2" t="str">
        <x:v>Lighting</x:v>
      </x:c>
      <x:c r="H2405" s="2" t="str">
        <x:v>Lamp 017</x:v>
      </x:c>
      <x:c r="I2405" s="11" t="n">
        <x:v>2</x:v>
      </x:c>
      <x:c r="J2405" s="9" t="n">
        <x:v>300</x:v>
      </x:c>
      <x:c r="K2405" s="10" t="n">
        <x:v>0</x:v>
      </x:c>
      <x:c r="L2405" s="11" t="n">
        <x:v>0</x:v>
      </x:c>
      <x:c r="M2405" s="9" t="n">
        <x:f>IF(D2405="Completed",I2405*J2405,0)</x:f>
        <x:v>600</x:v>
      </x:c>
      <x:c r="N2405" s="9" t="n">
        <x:f>M2405*K2405</x:f>
        <x:v>0</x:v>
      </x:c>
      <x:c r="O2405" s="9" t="n">
        <x:f>M2405-N2405</x:f>
        <x:v>600</x:v>
      </x:c>
      <x:c r="P2405" s="9" t="n">
        <x:f>IF(D2405="Completed",L2405*J2405*(1-K2405),0)</x:f>
        <x:v>0</x:v>
      </x:c>
      <x:c r="Q2405" s="9" t="n">
        <x:f>O2405-P2405</x:f>
        <x:v>600</x:v>
      </x:c>
      <x:c r="R2405" s="11" t="n">
        <x:f>IF(D2405="Completed",I2405,0)</x:f>
        <x:v>2</x:v>
      </x:c>
      <x:c r="S2405" s="11" t="n">
        <x:f>IF(D2405="Completed",L2405,0)</x:f>
        <x:v>0</x:v>
      </x:c>
      <x:c r="T2405" s="8" t="n">
        <x:f>DATE(YEAR(C2405),MONTH(C2405),1)</x:f>
        <x:v>45778</x:v>
      </x:c>
    </x:row>
    <x:row r="2406" ht="22" customHeight="1">
      <x:c r="A2406" s="2" t="str">
        <x:v>L002402</x:v>
      </x:c>
      <x:c r="B2406" s="2" t="str">
        <x:v>O00983</x:v>
      </x:c>
      <x:c r="C2406" s="7" t="n">
        <x:v>45803</x:v>
      </x:c>
      <x:c r="D2406" s="2" t="str">
        <x:v>Completed</x:v>
      </x:c>
      <x:c r="E2406" s="2" t="str">
        <x:v>North</x:v>
      </x:c>
      <x:c r="F2406" s="2" t="str">
        <x:v>Online</x:v>
      </x:c>
      <x:c r="G2406" s="2" t="str">
        <x:v>Lighting</x:v>
      </x:c>
      <x:c r="H2406" s="2" t="str">
        <x:v>Lamp 017</x:v>
      </x:c>
      <x:c r="I2406" s="11" t="n">
        <x:v>4</x:v>
      </x:c>
      <x:c r="J2406" s="9" t="n">
        <x:v>300</x:v>
      </x:c>
      <x:c r="K2406" s="10" t="n">
        <x:v>0.1</x:v>
      </x:c>
      <x:c r="L2406" s="11" t="n">
        <x:v>0</x:v>
      </x:c>
      <x:c r="M2406" s="9" t="n">
        <x:f>IF(D2406="Completed",I2406*J2406,0)</x:f>
        <x:v>1200</x:v>
      </x:c>
      <x:c r="N2406" s="9" t="n">
        <x:f>M2406*K2406</x:f>
        <x:v>120</x:v>
      </x:c>
      <x:c r="O2406" s="9" t="n">
        <x:f>M2406-N2406</x:f>
        <x:v>1080</x:v>
      </x:c>
      <x:c r="P2406" s="9" t="n">
        <x:f>IF(D2406="Completed",L2406*J2406*(1-K2406),0)</x:f>
        <x:v>0</x:v>
      </x:c>
      <x:c r="Q2406" s="9" t="n">
        <x:f>O2406-P2406</x:f>
        <x:v>1080</x:v>
      </x:c>
      <x:c r="R2406" s="11" t="n">
        <x:f>IF(D2406="Completed",I2406,0)</x:f>
        <x:v>4</x:v>
      </x:c>
      <x:c r="S2406" s="11" t="n">
        <x:f>IF(D2406="Completed",L2406,0)</x:f>
        <x:v>0</x:v>
      </x:c>
      <x:c r="T2406" s="8" t="n">
        <x:f>DATE(YEAR(C2406),MONTH(C2406),1)</x:f>
        <x:v>45778</x:v>
      </x:c>
    </x:row>
    <x:row r="2407" ht="22" customHeight="1">
      <x:c r="A2407" s="2" t="str">
        <x:v>L002403</x:v>
      </x:c>
      <x:c r="B2407" s="2" t="str">
        <x:v>O00983</x:v>
      </x:c>
      <x:c r="C2407" s="7" t="n">
        <x:v>45803</x:v>
      </x:c>
      <x:c r="D2407" s="2" t="str">
        <x:v>Completed</x:v>
      </x:c>
      <x:c r="E2407" s="2" t="str">
        <x:v>North</x:v>
      </x:c>
      <x:c r="F2407" s="2" t="str">
        <x:v>Online</x:v>
      </x:c>
      <x:c r="G2407" s="2" t="str">
        <x:v>Lighting</x:v>
      </x:c>
      <x:c r="H2407" s="2" t="str">
        <x:v>Lamp 005</x:v>
      </x:c>
      <x:c r="I2407" s="11" t="n">
        <x:v>1</x:v>
      </x:c>
      <x:c r="J2407" s="9" t="n">
        <x:v>65</x:v>
      </x:c>
      <x:c r="K2407" s="10" t="n">
        <x:v>0.1</x:v>
      </x:c>
      <x:c r="L2407" s="11" t="n">
        <x:v>0</x:v>
      </x:c>
      <x:c r="M2407" s="9" t="n">
        <x:f>IF(D2407="Completed",I2407*J2407,0)</x:f>
        <x:v>65</x:v>
      </x:c>
      <x:c r="N2407" s="9" t="n">
        <x:f>M2407*K2407</x:f>
        <x:v>6.5</x:v>
      </x:c>
      <x:c r="O2407" s="9" t="n">
        <x:f>M2407-N2407</x:f>
        <x:v>58.5</x:v>
      </x:c>
      <x:c r="P2407" s="9" t="n">
        <x:f>IF(D2407="Completed",L2407*J2407*(1-K2407),0)</x:f>
        <x:v>0</x:v>
      </x:c>
      <x:c r="Q2407" s="9" t="n">
        <x:f>O2407-P2407</x:f>
        <x:v>58.5</x:v>
      </x:c>
      <x:c r="R2407" s="11" t="n">
        <x:f>IF(D2407="Completed",I2407,0)</x:f>
        <x:v>1</x:v>
      </x:c>
      <x:c r="S2407" s="11" t="n">
        <x:f>IF(D2407="Completed",L2407,0)</x:f>
        <x:v>0</x:v>
      </x:c>
      <x:c r="T2407" s="8" t="n">
        <x:f>DATE(YEAR(C2407),MONTH(C2407),1)</x:f>
        <x:v>45778</x:v>
      </x:c>
    </x:row>
    <x:row r="2408" ht="22" customHeight="1">
      <x:c r="A2408" s="2" t="str">
        <x:v>L002404</x:v>
      </x:c>
      <x:c r="B2408" s="2" t="str">
        <x:v>O00984</x:v>
      </x:c>
      <x:c r="C2408" s="7" t="n">
        <x:v>45758</x:v>
      </x:c>
      <x:c r="D2408" s="2" t="str">
        <x:v>Completed</x:v>
      </x:c>
      <x:c r="E2408" s="2" t="str">
        <x:v>East</x:v>
      </x:c>
      <x:c r="F2408" s="2" t="str">
        <x:v>Online</x:v>
      </x:c>
      <x:c r="G2408" s="2" t="str">
        <x:v>Furniture</x:v>
      </x:c>
      <x:c r="H2408" s="2" t="str">
        <x:v>Chair 002</x:v>
      </x:c>
      <x:c r="I2408" s="11" t="n">
        <x:v>4</x:v>
      </x:c>
      <x:c r="J2408" s="9" t="n">
        <x:v>284</x:v>
      </x:c>
      <x:c r="K2408" s="10" t="n">
        <x:v>0.05</x:v>
      </x:c>
      <x:c r="L2408" s="11" t="n">
        <x:v>0</x:v>
      </x:c>
      <x:c r="M2408" s="9" t="n">
        <x:f>IF(D2408="Completed",I2408*J2408,0)</x:f>
        <x:v>1136</x:v>
      </x:c>
      <x:c r="N2408" s="9" t="n">
        <x:f>M2408*K2408</x:f>
        <x:v>56.800000000000004</x:v>
      </x:c>
      <x:c r="O2408" s="9" t="n">
        <x:f>M2408-N2408</x:f>
        <x:v>1079.2</x:v>
      </x:c>
      <x:c r="P2408" s="9" t="n">
        <x:f>IF(D2408="Completed",L2408*J2408*(1-K2408),0)</x:f>
        <x:v>0</x:v>
      </x:c>
      <x:c r="Q2408" s="9" t="n">
        <x:f>O2408-P2408</x:f>
        <x:v>1079.2</x:v>
      </x:c>
      <x:c r="R2408" s="11" t="n">
        <x:f>IF(D2408="Completed",I2408,0)</x:f>
        <x:v>4</x:v>
      </x:c>
      <x:c r="S2408" s="11" t="n">
        <x:f>IF(D2408="Completed",L2408,0)</x:f>
        <x:v>0</x:v>
      </x:c>
      <x:c r="T2408" s="8" t="n">
        <x:f>DATE(YEAR(C2408),MONTH(C2408),1)</x:f>
        <x:v>45748</x:v>
      </x:c>
    </x:row>
    <x:row r="2409" ht="22" customHeight="1">
      <x:c r="A2409" s="2" t="str">
        <x:v>L002405</x:v>
      </x:c>
      <x:c r="B2409" s="2" t="str">
        <x:v>O00984</x:v>
      </x:c>
      <x:c r="C2409" s="7" t="n">
        <x:v>45758</x:v>
      </x:c>
      <x:c r="D2409" s="2" t="str">
        <x:v>Completed</x:v>
      </x:c>
      <x:c r="E2409" s="2" t="str">
        <x:v>East</x:v>
      </x:c>
      <x:c r="F2409" s="2" t="str">
        <x:v>Online</x:v>
      </x:c>
      <x:c r="G2409" s="2" t="str">
        <x:v>Lighting</x:v>
      </x:c>
      <x:c r="H2409" s="2" t="str">
        <x:v>Lamp 017</x:v>
      </x:c>
      <x:c r="I2409" s="11" t="n">
        <x:v>3</x:v>
      </x:c>
      <x:c r="J2409" s="9" t="n">
        <x:v>300</x:v>
      </x:c>
      <x:c r="K2409" s="10" t="n">
        <x:v>0.05</x:v>
      </x:c>
      <x:c r="L2409" s="11" t="n">
        <x:v>0</x:v>
      </x:c>
      <x:c r="M2409" s="9" t="n">
        <x:f>IF(D2409="Completed",I2409*J2409,0)</x:f>
        <x:v>900</x:v>
      </x:c>
      <x:c r="N2409" s="9" t="n">
        <x:f>M2409*K2409</x:f>
        <x:v>45</x:v>
      </x:c>
      <x:c r="O2409" s="9" t="n">
        <x:f>M2409-N2409</x:f>
        <x:v>855</x:v>
      </x:c>
      <x:c r="P2409" s="9" t="n">
        <x:f>IF(D2409="Completed",L2409*J2409*(1-K2409),0)</x:f>
        <x:v>0</x:v>
      </x:c>
      <x:c r="Q2409" s="9" t="n">
        <x:f>O2409-P2409</x:f>
        <x:v>855</x:v>
      </x:c>
      <x:c r="R2409" s="11" t="n">
        <x:f>IF(D2409="Completed",I2409,0)</x:f>
        <x:v>3</x:v>
      </x:c>
      <x:c r="S2409" s="11" t="n">
        <x:f>IF(D2409="Completed",L2409,0)</x:f>
        <x:v>0</x:v>
      </x:c>
      <x:c r="T2409" s="8" t="n">
        <x:f>DATE(YEAR(C2409),MONTH(C2409),1)</x:f>
        <x:v>45748</x:v>
      </x:c>
    </x:row>
    <x:row r="2410" ht="22" customHeight="1">
      <x:c r="A2410" s="2" t="str">
        <x:v>L002406</x:v>
      </x:c>
      <x:c r="B2410" s="2" t="str">
        <x:v>O00984</x:v>
      </x:c>
      <x:c r="C2410" s="7" t="n">
        <x:v>45758</x:v>
      </x:c>
      <x:c r="D2410" s="2" t="str">
        <x:v>Completed</x:v>
      </x:c>
      <x:c r="E2410" s="2" t="str">
        <x:v>East</x:v>
      </x:c>
      <x:c r="F2410" s="2" t="str">
        <x:v>Online</x:v>
      </x:c>
      <x:c r="G2410" s="2" t="str">
        <x:v>Furniture</x:v>
      </x:c>
      <x:c r="H2410" s="2" t="str">
        <x:v>Desk 012</x:v>
      </x:c>
      <x:c r="I2410" s="11" t="n">
        <x:v>5</x:v>
      </x:c>
      <x:c r="J2410" s="9" t="n">
        <x:v>134</x:v>
      </x:c>
      <x:c r="K2410" s="10" t="n">
        <x:v>0.05</x:v>
      </x:c>
      <x:c r="L2410" s="11" t="n">
        <x:v>0</x:v>
      </x:c>
      <x:c r="M2410" s="9" t="n">
        <x:f>IF(D2410="Completed",I2410*J2410,0)</x:f>
        <x:v>670</x:v>
      </x:c>
      <x:c r="N2410" s="9" t="n">
        <x:f>M2410*K2410</x:f>
        <x:v>33.5</x:v>
      </x:c>
      <x:c r="O2410" s="9" t="n">
        <x:f>M2410-N2410</x:f>
        <x:v>636.5</x:v>
      </x:c>
      <x:c r="P2410" s="9" t="n">
        <x:f>IF(D2410="Completed",L2410*J2410*(1-K2410),0)</x:f>
        <x:v>0</x:v>
      </x:c>
      <x:c r="Q2410" s="9" t="n">
        <x:f>O2410-P2410</x:f>
        <x:v>636.5</x:v>
      </x:c>
      <x:c r="R2410" s="11" t="n">
        <x:f>IF(D2410="Completed",I2410,0)</x:f>
        <x:v>5</x:v>
      </x:c>
      <x:c r="S2410" s="11" t="n">
        <x:f>IF(D2410="Completed",L2410,0)</x:f>
        <x:v>0</x:v>
      </x:c>
      <x:c r="T2410" s="8" t="n">
        <x:f>DATE(YEAR(C2410),MONTH(C2410),1)</x:f>
        <x:v>45748</x:v>
      </x:c>
    </x:row>
    <x:row r="2411" ht="22" customHeight="1">
      <x:c r="A2411" s="2" t="str">
        <x:v>L002407</x:v>
      </x:c>
      <x:c r="B2411" s="2" t="str">
        <x:v>O00985</x:v>
      </x:c>
      <x:c r="C2411" s="7" t="n">
        <x:v>45939</x:v>
      </x:c>
      <x:c r="D2411" s="2" t="str">
        <x:v>Completed</x:v>
      </x:c>
      <x:c r="E2411" s="2" t="str">
        <x:v>West</x:v>
      </x:c>
      <x:c r="F2411" s="2" t="str">
        <x:v>Store</x:v>
      </x:c>
      <x:c r="G2411" s="2" t="str">
        <x:v>Lighting</x:v>
      </x:c>
      <x:c r="H2411" s="2" t="str">
        <x:v>Lamp 013</x:v>
      </x:c>
      <x:c r="I2411" s="11" t="n">
        <x:v>5</x:v>
      </x:c>
      <x:c r="J2411" s="9" t="n">
        <x:v>271</x:v>
      </x:c>
      <x:c r="K2411" s="10" t="n">
        <x:v>0</x:v>
      </x:c>
      <x:c r="L2411" s="11" t="n">
        <x:v>0</x:v>
      </x:c>
      <x:c r="M2411" s="9" t="n">
        <x:f>IF(D2411="Completed",I2411*J2411,0)</x:f>
        <x:v>1355</x:v>
      </x:c>
      <x:c r="N2411" s="9" t="n">
        <x:f>M2411*K2411</x:f>
        <x:v>0</x:v>
      </x:c>
      <x:c r="O2411" s="9" t="n">
        <x:f>M2411-N2411</x:f>
        <x:v>1355</x:v>
      </x:c>
      <x:c r="P2411" s="9" t="n">
        <x:f>IF(D2411="Completed",L2411*J2411*(1-K2411),0)</x:f>
        <x:v>0</x:v>
      </x:c>
      <x:c r="Q2411" s="9" t="n">
        <x:f>O2411-P2411</x:f>
        <x:v>1355</x:v>
      </x:c>
      <x:c r="R2411" s="11" t="n">
        <x:f>IF(D2411="Completed",I2411,0)</x:f>
        <x:v>5</x:v>
      </x:c>
      <x:c r="S2411" s="11" t="n">
        <x:f>IF(D2411="Completed",L2411,0)</x:f>
        <x:v>0</x:v>
      </x:c>
      <x:c r="T2411" s="8" t="n">
        <x:f>DATE(YEAR(C2411),MONTH(C2411),1)</x:f>
        <x:v>45931</x:v>
      </x:c>
    </x:row>
    <x:row r="2412" ht="22" customHeight="1">
      <x:c r="A2412" s="2" t="str">
        <x:v>L002408</x:v>
      </x:c>
      <x:c r="B2412" s="2" t="str">
        <x:v>O00985</x:v>
      </x:c>
      <x:c r="C2412" s="7" t="n">
        <x:v>45939</x:v>
      </x:c>
      <x:c r="D2412" s="2" t="str">
        <x:v>Completed</x:v>
      </x:c>
      <x:c r="E2412" s="2" t="str">
        <x:v>West</x:v>
      </x:c>
      <x:c r="F2412" s="2" t="str">
        <x:v>Store</x:v>
      </x:c>
      <x:c r="G2412" s="2" t="str">
        <x:v>Furniture</x:v>
      </x:c>
      <x:c r="H2412" s="2" t="str">
        <x:v>Chair 010</x:v>
      </x:c>
      <x:c r="I2412" s="11" t="n">
        <x:v>4</x:v>
      </x:c>
      <x:c r="J2412" s="9" t="n">
        <x:v>211</x:v>
      </x:c>
      <x:c r="K2412" s="10" t="n">
        <x:v>0.2</x:v>
      </x:c>
      <x:c r="L2412" s="11" t="n">
        <x:v>0</x:v>
      </x:c>
      <x:c r="M2412" s="9" t="n">
        <x:f>IF(D2412="Completed",I2412*J2412,0)</x:f>
        <x:v>844</x:v>
      </x:c>
      <x:c r="N2412" s="9" t="n">
        <x:f>M2412*K2412</x:f>
        <x:v>168.8</x:v>
      </x:c>
      <x:c r="O2412" s="9" t="n">
        <x:f>M2412-N2412</x:f>
        <x:v>675.2</x:v>
      </x:c>
      <x:c r="P2412" s="9" t="n">
        <x:f>IF(D2412="Completed",L2412*J2412*(1-K2412),0)</x:f>
        <x:v>0</x:v>
      </x:c>
      <x:c r="Q2412" s="9" t="n">
        <x:f>O2412-P2412</x:f>
        <x:v>675.2</x:v>
      </x:c>
      <x:c r="R2412" s="11" t="n">
        <x:f>IF(D2412="Completed",I2412,0)</x:f>
        <x:v>4</x:v>
      </x:c>
      <x:c r="S2412" s="11" t="n">
        <x:f>IF(D2412="Completed",L2412,0)</x:f>
        <x:v>0</x:v>
      </x:c>
      <x:c r="T2412" s="8" t="n">
        <x:f>DATE(YEAR(C2412),MONTH(C2412),1)</x:f>
        <x:v>45931</x:v>
      </x:c>
    </x:row>
    <x:row r="2413" ht="22" customHeight="1">
      <x:c r="A2413" s="2" t="str">
        <x:v>L002409</x:v>
      </x:c>
      <x:c r="B2413" s="2" t="str">
        <x:v>O00986</x:v>
      </x:c>
      <x:c r="C2413" s="7" t="n">
        <x:v>45762</x:v>
      </x:c>
      <x:c r="D2413" s="2" t="str">
        <x:v>Completed</x:v>
      </x:c>
      <x:c r="E2413" s="2" t="str">
        <x:v>South</x:v>
      </x:c>
      <x:c r="F2413" s="2" t="str">
        <x:v>Store</x:v>
      </x:c>
      <x:c r="G2413" s="2" t="str">
        <x:v>Furniture</x:v>
      </x:c>
      <x:c r="H2413" s="2" t="str">
        <x:v>Chair 002</x:v>
      </x:c>
      <x:c r="I2413" s="11" t="n">
        <x:v>4</x:v>
      </x:c>
      <x:c r="J2413" s="9" t="n">
        <x:v>284</x:v>
      </x:c>
      <x:c r="K2413" s="10" t="n">
        <x:v>0.1</x:v>
      </x:c>
      <x:c r="L2413" s="11" t="n">
        <x:v>0</x:v>
      </x:c>
      <x:c r="M2413" s="9" t="n">
        <x:f>IF(D2413="Completed",I2413*J2413,0)</x:f>
        <x:v>1136</x:v>
      </x:c>
      <x:c r="N2413" s="9" t="n">
        <x:f>M2413*K2413</x:f>
        <x:v>113.60000000000001</x:v>
      </x:c>
      <x:c r="O2413" s="9" t="n">
        <x:f>M2413-N2413</x:f>
        <x:v>1022.4</x:v>
      </x:c>
      <x:c r="P2413" s="9" t="n">
        <x:f>IF(D2413="Completed",L2413*J2413*(1-K2413),0)</x:f>
        <x:v>0</x:v>
      </x:c>
      <x:c r="Q2413" s="9" t="n">
        <x:f>O2413-P2413</x:f>
        <x:v>1022.4</x:v>
      </x:c>
      <x:c r="R2413" s="11" t="n">
        <x:f>IF(D2413="Completed",I2413,0)</x:f>
        <x:v>4</x:v>
      </x:c>
      <x:c r="S2413" s="11" t="n">
        <x:f>IF(D2413="Completed",L2413,0)</x:f>
        <x:v>0</x:v>
      </x:c>
      <x:c r="T2413" s="8" t="n">
        <x:f>DATE(YEAR(C2413),MONTH(C2413),1)</x:f>
        <x:v>45748</x:v>
      </x:c>
    </x:row>
    <x:row r="2414" ht="22" customHeight="1">
      <x:c r="A2414" s="2" t="str">
        <x:v>L002410</x:v>
      </x:c>
      <x:c r="B2414" s="2" t="str">
        <x:v>O00987</x:v>
      </x:c>
      <x:c r="C2414" s="7" t="n">
        <x:v>45848</x:v>
      </x:c>
      <x:c r="D2414" s="2" t="str">
        <x:v>Completed</x:v>
      </x:c>
      <x:c r="E2414" s="2" t="str">
        <x:v>South</x:v>
      </x:c>
      <x:c r="F2414" s="2" t="str">
        <x:v>Store</x:v>
      </x:c>
      <x:c r="G2414" s="2" t="str">
        <x:v>Furniture</x:v>
      </x:c>
      <x:c r="H2414" s="2" t="str">
        <x:v>Desk 016</x:v>
      </x:c>
      <x:c r="I2414" s="11" t="n">
        <x:v>3</x:v>
      </x:c>
      <x:c r="J2414" s="9" t="n">
        <x:v>231</x:v>
      </x:c>
      <x:c r="K2414" s="10" t="n">
        <x:v>0.05</x:v>
      </x:c>
      <x:c r="L2414" s="11" t="n">
        <x:v>0</x:v>
      </x:c>
      <x:c r="M2414" s="9" t="n">
        <x:f>IF(D2414="Completed",I2414*J2414,0)</x:f>
        <x:v>693</x:v>
      </x:c>
      <x:c r="N2414" s="9" t="n">
        <x:f>M2414*K2414</x:f>
        <x:v>34.65</x:v>
      </x:c>
      <x:c r="O2414" s="9" t="n">
        <x:f>M2414-N2414</x:f>
        <x:v>658.35</x:v>
      </x:c>
      <x:c r="P2414" s="9" t="n">
        <x:f>IF(D2414="Completed",L2414*J2414*(1-K2414),0)</x:f>
        <x:v>0</x:v>
      </x:c>
      <x:c r="Q2414" s="9" t="n">
        <x:f>O2414-P2414</x:f>
        <x:v>658.35</x:v>
      </x:c>
      <x:c r="R2414" s="11" t="n">
        <x:f>IF(D2414="Completed",I2414,0)</x:f>
        <x:v>3</x:v>
      </x:c>
      <x:c r="S2414" s="11" t="n">
        <x:f>IF(D2414="Completed",L2414,0)</x:f>
        <x:v>0</x:v>
      </x:c>
      <x:c r="T2414" s="8" t="n">
        <x:f>DATE(YEAR(C2414),MONTH(C2414),1)</x:f>
        <x:v>45839</x:v>
      </x:c>
    </x:row>
    <x:row r="2415" ht="22" customHeight="1">
      <x:c r="A2415" s="2" t="str">
        <x:v>L002411</x:v>
      </x:c>
      <x:c r="B2415" s="2" t="str">
        <x:v>O00988</x:v>
      </x:c>
      <x:c r="C2415" s="7" t="n">
        <x:v>45775</x:v>
      </x:c>
      <x:c r="D2415" s="2" t="str">
        <x:v>Completed</x:v>
      </x:c>
      <x:c r="E2415" s="2" t="str">
        <x:v>North</x:v>
      </x:c>
      <x:c r="F2415" s="2" t="str">
        <x:v>Store</x:v>
      </x:c>
      <x:c r="G2415" s="2" t="str">
        <x:v>Furniture</x:v>
      </x:c>
      <x:c r="H2415" s="2" t="str">
        <x:v>Chair 022</x:v>
      </x:c>
      <x:c r="I2415" s="11" t="n">
        <x:v>1</x:v>
      </x:c>
      <x:c r="J2415" s="9" t="n">
        <x:v>134</x:v>
      </x:c>
      <x:c r="K2415" s="10" t="n">
        <x:v>0</x:v>
      </x:c>
      <x:c r="L2415" s="11" t="n">
        <x:v>0</x:v>
      </x:c>
      <x:c r="M2415" s="9" t="n">
        <x:f>IF(D2415="Completed",I2415*J2415,0)</x:f>
        <x:v>134</x:v>
      </x:c>
      <x:c r="N2415" s="9" t="n">
        <x:f>M2415*K2415</x:f>
        <x:v>0</x:v>
      </x:c>
      <x:c r="O2415" s="9" t="n">
        <x:f>M2415-N2415</x:f>
        <x:v>134</x:v>
      </x:c>
      <x:c r="P2415" s="9" t="n">
        <x:f>IF(D2415="Completed",L2415*J2415*(1-K2415),0)</x:f>
        <x:v>0</x:v>
      </x:c>
      <x:c r="Q2415" s="9" t="n">
        <x:f>O2415-P2415</x:f>
        <x:v>134</x:v>
      </x:c>
      <x:c r="R2415" s="11" t="n">
        <x:f>IF(D2415="Completed",I2415,0)</x:f>
        <x:v>1</x:v>
      </x:c>
      <x:c r="S2415" s="11" t="n">
        <x:f>IF(D2415="Completed",L2415,0)</x:f>
        <x:v>0</x:v>
      </x:c>
      <x:c r="T2415" s="8" t="n">
        <x:f>DATE(YEAR(C2415),MONTH(C2415),1)</x:f>
        <x:v>45748</x:v>
      </x:c>
    </x:row>
    <x:row r="2416" ht="22" customHeight="1">
      <x:c r="A2416" s="2" t="str">
        <x:v>L002412</x:v>
      </x:c>
      <x:c r="B2416" s="2" t="str">
        <x:v>O00988</x:v>
      </x:c>
      <x:c r="C2416" s="7" t="n">
        <x:v>45775</x:v>
      </x:c>
      <x:c r="D2416" s="2" t="str">
        <x:v>Completed</x:v>
      </x:c>
      <x:c r="E2416" s="2" t="str">
        <x:v>North</x:v>
      </x:c>
      <x:c r="F2416" s="2" t="str">
        <x:v>Store</x:v>
      </x:c>
      <x:c r="G2416" s="2" t="str">
        <x:v>Furniture</x:v>
      </x:c>
      <x:c r="H2416" s="2" t="str">
        <x:v>Chair 022</x:v>
      </x:c>
      <x:c r="I2416" s="11" t="n">
        <x:v>2</x:v>
      </x:c>
      <x:c r="J2416" s="9" t="n">
        <x:v>134</x:v>
      </x:c>
      <x:c r="K2416" s="10" t="n">
        <x:v>0.1</x:v>
      </x:c>
      <x:c r="L2416" s="11" t="n">
        <x:v>0</x:v>
      </x:c>
      <x:c r="M2416" s="9" t="n">
        <x:f>IF(D2416="Completed",I2416*J2416,0)</x:f>
        <x:v>268</x:v>
      </x:c>
      <x:c r="N2416" s="9" t="n">
        <x:f>M2416*K2416</x:f>
        <x:v>26.8</x:v>
      </x:c>
      <x:c r="O2416" s="9" t="n">
        <x:f>M2416-N2416</x:f>
        <x:v>241.2</x:v>
      </x:c>
      <x:c r="P2416" s="9" t="n">
        <x:f>IF(D2416="Completed",L2416*J2416*(1-K2416),0)</x:f>
        <x:v>0</x:v>
      </x:c>
      <x:c r="Q2416" s="9" t="n">
        <x:f>O2416-P2416</x:f>
        <x:v>241.2</x:v>
      </x:c>
      <x:c r="R2416" s="11" t="n">
        <x:f>IF(D2416="Completed",I2416,0)</x:f>
        <x:v>2</x:v>
      </x:c>
      <x:c r="S2416" s="11" t="n">
        <x:f>IF(D2416="Completed",L2416,0)</x:f>
        <x:v>0</x:v>
      </x:c>
      <x:c r="T2416" s="8" t="n">
        <x:f>DATE(YEAR(C2416),MONTH(C2416),1)</x:f>
        <x:v>45748</x:v>
      </x:c>
    </x:row>
    <x:row r="2417" ht="22" customHeight="1">
      <x:c r="A2417" s="2" t="str">
        <x:v>L002413</x:v>
      </x:c>
      <x:c r="B2417" s="2" t="str">
        <x:v>O00989</x:v>
      </x:c>
      <x:c r="C2417" s="7" t="n">
        <x:v>45872</x:v>
      </x:c>
      <x:c r="D2417" s="2" t="str">
        <x:v>Completed</x:v>
      </x:c>
      <x:c r="E2417" s="2" t="str">
        <x:v>South</x:v>
      </x:c>
      <x:c r="F2417" s="2" t="str">
        <x:v>Store</x:v>
      </x:c>
      <x:c r="G2417" s="2" t="str">
        <x:v>Storage</x:v>
      </x:c>
      <x:c r="H2417" s="2" t="str">
        <x:v>Shelf 003</x:v>
      </x:c>
      <x:c r="I2417" s="11" t="n">
        <x:v>5</x:v>
      </x:c>
      <x:c r="J2417" s="9" t="n">
        <x:v>199</x:v>
      </x:c>
      <x:c r="K2417" s="10" t="n">
        <x:v>0.05</x:v>
      </x:c>
      <x:c r="L2417" s="11" t="n">
        <x:v>0</x:v>
      </x:c>
      <x:c r="M2417" s="9" t="n">
        <x:f>IF(D2417="Completed",I2417*J2417,0)</x:f>
        <x:v>995</x:v>
      </x:c>
      <x:c r="N2417" s="9" t="n">
        <x:f>M2417*K2417</x:f>
        <x:v>49.75</x:v>
      </x:c>
      <x:c r="O2417" s="9" t="n">
        <x:f>M2417-N2417</x:f>
        <x:v>945.25</x:v>
      </x:c>
      <x:c r="P2417" s="9" t="n">
        <x:f>IF(D2417="Completed",L2417*J2417*(1-K2417),0)</x:f>
        <x:v>0</x:v>
      </x:c>
      <x:c r="Q2417" s="9" t="n">
        <x:f>O2417-P2417</x:f>
        <x:v>945.25</x:v>
      </x:c>
      <x:c r="R2417" s="11" t="n">
        <x:f>IF(D2417="Completed",I2417,0)</x:f>
        <x:v>5</x:v>
      </x:c>
      <x:c r="S2417" s="11" t="n">
        <x:f>IF(D2417="Completed",L2417,0)</x:f>
        <x:v>0</x:v>
      </x:c>
      <x:c r="T2417" s="8" t="n">
        <x:f>DATE(YEAR(C2417),MONTH(C2417),1)</x:f>
        <x:v>45870</x:v>
      </x:c>
    </x:row>
    <x:row r="2418" ht="22" customHeight="1">
      <x:c r="A2418" s="2" t="str">
        <x:v>L002414</x:v>
      </x:c>
      <x:c r="B2418" s="2" t="str">
        <x:v>O00989</x:v>
      </x:c>
      <x:c r="C2418" s="7" t="n">
        <x:v>45872</x:v>
      </x:c>
      <x:c r="D2418" s="2" t="str">
        <x:v>Completed</x:v>
      </x:c>
      <x:c r="E2418" s="2" t="str">
        <x:v>South</x:v>
      </x:c>
      <x:c r="F2418" s="2" t="str">
        <x:v>Store</x:v>
      </x:c>
      <x:c r="G2418" s="2" t="str">
        <x:v>Storage</x:v>
      </x:c>
      <x:c r="H2418" s="2" t="str">
        <x:v>Shelf 023</x:v>
      </x:c>
      <x:c r="I2418" s="11" t="n">
        <x:v>3</x:v>
      </x:c>
      <x:c r="J2418" s="9" t="n">
        <x:v>68</x:v>
      </x:c>
      <x:c r="K2418" s="10" t="n">
        <x:v>0</x:v>
      </x:c>
      <x:c r="L2418" s="11" t="n">
        <x:v>0</x:v>
      </x:c>
      <x:c r="M2418" s="9" t="n">
        <x:f>IF(D2418="Completed",I2418*J2418,0)</x:f>
        <x:v>204</x:v>
      </x:c>
      <x:c r="N2418" s="9" t="n">
        <x:f>M2418*K2418</x:f>
        <x:v>0</x:v>
      </x:c>
      <x:c r="O2418" s="9" t="n">
        <x:f>M2418-N2418</x:f>
        <x:v>204</x:v>
      </x:c>
      <x:c r="P2418" s="9" t="n">
        <x:f>IF(D2418="Completed",L2418*J2418*(1-K2418),0)</x:f>
        <x:v>0</x:v>
      </x:c>
      <x:c r="Q2418" s="9" t="n">
        <x:f>O2418-P2418</x:f>
        <x:v>204</x:v>
      </x:c>
      <x:c r="R2418" s="11" t="n">
        <x:f>IF(D2418="Completed",I2418,0)</x:f>
        <x:v>3</x:v>
      </x:c>
      <x:c r="S2418" s="11" t="n">
        <x:f>IF(D2418="Completed",L2418,0)</x:f>
        <x:v>0</x:v>
      </x:c>
      <x:c r="T2418" s="8" t="n">
        <x:f>DATE(YEAR(C2418),MONTH(C2418),1)</x:f>
        <x:v>45870</x:v>
      </x:c>
    </x:row>
    <x:row r="2419" ht="22" customHeight="1">
      <x:c r="A2419" s="2" t="str">
        <x:v>L002415</x:v>
      </x:c>
      <x:c r="B2419" s="2" t="str">
        <x:v>O00989</x:v>
      </x:c>
      <x:c r="C2419" s="7" t="n">
        <x:v>45872</x:v>
      </x:c>
      <x:c r="D2419" s="2" t="str">
        <x:v>Completed</x:v>
      </x:c>
      <x:c r="E2419" s="2" t="str">
        <x:v>South</x:v>
      </x:c>
      <x:c r="F2419" s="2" t="str">
        <x:v>Store</x:v>
      </x:c>
      <x:c r="G2419" s="2" t="str">
        <x:v>Lighting</x:v>
      </x:c>
      <x:c r="H2419" s="2" t="str">
        <x:v>Lamp 017</x:v>
      </x:c>
      <x:c r="I2419" s="11" t="n">
        <x:v>2</x:v>
      </x:c>
      <x:c r="J2419" s="9" t="n">
        <x:v>300</x:v>
      </x:c>
      <x:c r="K2419" s="10" t="n">
        <x:v>0</x:v>
      </x:c>
      <x:c r="L2419" s="11" t="n">
        <x:v>0</x:v>
      </x:c>
      <x:c r="M2419" s="9" t="n">
        <x:f>IF(D2419="Completed",I2419*J2419,0)</x:f>
        <x:v>600</x:v>
      </x:c>
      <x:c r="N2419" s="9" t="n">
        <x:f>M2419*K2419</x:f>
        <x:v>0</x:v>
      </x:c>
      <x:c r="O2419" s="9" t="n">
        <x:f>M2419-N2419</x:f>
        <x:v>600</x:v>
      </x:c>
      <x:c r="P2419" s="9" t="n">
        <x:f>IF(D2419="Completed",L2419*J2419*(1-K2419),0)</x:f>
        <x:v>0</x:v>
      </x:c>
      <x:c r="Q2419" s="9" t="n">
        <x:f>O2419-P2419</x:f>
        <x:v>600</x:v>
      </x:c>
      <x:c r="R2419" s="11" t="n">
        <x:f>IF(D2419="Completed",I2419,0)</x:f>
        <x:v>2</x:v>
      </x:c>
      <x:c r="S2419" s="11" t="n">
        <x:f>IF(D2419="Completed",L2419,0)</x:f>
        <x:v>0</x:v>
      </x:c>
      <x:c r="T2419" s="8" t="n">
        <x:f>DATE(YEAR(C2419),MONTH(C2419),1)</x:f>
        <x:v>45870</x:v>
      </x:c>
    </x:row>
    <x:row r="2420" ht="22" customHeight="1">
      <x:c r="A2420" s="2" t="str">
        <x:v>L002416</x:v>
      </x:c>
      <x:c r="B2420" s="2" t="str">
        <x:v>O00989</x:v>
      </x:c>
      <x:c r="C2420" s="7" t="n">
        <x:v>45872</x:v>
      </x:c>
      <x:c r="D2420" s="2" t="str">
        <x:v>Completed</x:v>
      </x:c>
      <x:c r="E2420" s="2" t="str">
        <x:v>South</x:v>
      </x:c>
      <x:c r="F2420" s="2" t="str">
        <x:v>Store</x:v>
      </x:c>
      <x:c r="G2420" s="2" t="str">
        <x:v>Storage</x:v>
      </x:c>
      <x:c r="H2420" s="2" t="str">
        <x:v>Shelf 023</x:v>
      </x:c>
      <x:c r="I2420" s="11" t="n">
        <x:v>5</x:v>
      </x:c>
      <x:c r="J2420" s="9" t="n">
        <x:v>68</x:v>
      </x:c>
      <x:c r="K2420" s="10" t="n">
        <x:v>0.1</x:v>
      </x:c>
      <x:c r="L2420" s="11" t="n">
        <x:v>0</x:v>
      </x:c>
      <x:c r="M2420" s="9" t="n">
        <x:f>IF(D2420="Completed",I2420*J2420,0)</x:f>
        <x:v>340</x:v>
      </x:c>
      <x:c r="N2420" s="9" t="n">
        <x:f>M2420*K2420</x:f>
        <x:v>34</x:v>
      </x:c>
      <x:c r="O2420" s="9" t="n">
        <x:f>M2420-N2420</x:f>
        <x:v>306</x:v>
      </x:c>
      <x:c r="P2420" s="9" t="n">
        <x:f>IF(D2420="Completed",L2420*J2420*(1-K2420),0)</x:f>
        <x:v>0</x:v>
      </x:c>
      <x:c r="Q2420" s="9" t="n">
        <x:f>O2420-P2420</x:f>
        <x:v>306</x:v>
      </x:c>
      <x:c r="R2420" s="11" t="n">
        <x:f>IF(D2420="Completed",I2420,0)</x:f>
        <x:v>5</x:v>
      </x:c>
      <x:c r="S2420" s="11" t="n">
        <x:f>IF(D2420="Completed",L2420,0)</x:f>
        <x:v>0</x:v>
      </x:c>
      <x:c r="T2420" s="8" t="n">
        <x:f>DATE(YEAR(C2420),MONTH(C2420),1)</x:f>
        <x:v>45870</x:v>
      </x:c>
    </x:row>
    <x:row r="2421" ht="22" customHeight="1">
      <x:c r="A2421" s="2" t="str">
        <x:v>L002417</x:v>
      </x:c>
      <x:c r="B2421" s="2" t="str">
        <x:v>O00990</x:v>
      </x:c>
      <x:c r="C2421" s="7" t="n">
        <x:v>45744</x:v>
      </x:c>
      <x:c r="D2421" s="2" t="str">
        <x:v>Completed</x:v>
      </x:c>
      <x:c r="E2421" s="2" t="str">
        <x:v>North</x:v>
      </x:c>
      <x:c r="F2421" s="2" t="str">
        <x:v>Online</x:v>
      </x:c>
      <x:c r="G2421" s="2" t="str">
        <x:v>Lighting</x:v>
      </x:c>
      <x:c r="H2421" s="2" t="str">
        <x:v>Lamp 013</x:v>
      </x:c>
      <x:c r="I2421" s="11" t="n">
        <x:v>5</x:v>
      </x:c>
      <x:c r="J2421" s="9" t="n">
        <x:v>271</x:v>
      </x:c>
      <x:c r="K2421" s="10" t="n">
        <x:v>0.1</x:v>
      </x:c>
      <x:c r="L2421" s="11" t="n">
        <x:v>0</x:v>
      </x:c>
      <x:c r="M2421" s="9" t="n">
        <x:f>IF(D2421="Completed",I2421*J2421,0)</x:f>
        <x:v>1355</x:v>
      </x:c>
      <x:c r="N2421" s="9" t="n">
        <x:f>M2421*K2421</x:f>
        <x:v>135.5</x:v>
      </x:c>
      <x:c r="O2421" s="9" t="n">
        <x:f>M2421-N2421</x:f>
        <x:v>1219.5</x:v>
      </x:c>
      <x:c r="P2421" s="9" t="n">
        <x:f>IF(D2421="Completed",L2421*J2421*(1-K2421),0)</x:f>
        <x:v>0</x:v>
      </x:c>
      <x:c r="Q2421" s="9" t="n">
        <x:f>O2421-P2421</x:f>
        <x:v>1219.5</x:v>
      </x:c>
      <x:c r="R2421" s="11" t="n">
        <x:f>IF(D2421="Completed",I2421,0)</x:f>
        <x:v>5</x:v>
      </x:c>
      <x:c r="S2421" s="11" t="n">
        <x:f>IF(D2421="Completed",L2421,0)</x:f>
        <x:v>0</x:v>
      </x:c>
      <x:c r="T2421" s="8" t="n">
        <x:f>DATE(YEAR(C2421),MONTH(C2421),1)</x:f>
        <x:v>45717</x:v>
      </x:c>
    </x:row>
    <x:row r="2422" ht="22" customHeight="1">
      <x:c r="A2422" s="2" t="str">
        <x:v>L002418</x:v>
      </x:c>
      <x:c r="B2422" s="2" t="str">
        <x:v>O00990</x:v>
      </x:c>
      <x:c r="C2422" s="7" t="n">
        <x:v>45744</x:v>
      </x:c>
      <x:c r="D2422" s="2" t="str">
        <x:v>Completed</x:v>
      </x:c>
      <x:c r="E2422" s="2" t="str">
        <x:v>North</x:v>
      </x:c>
      <x:c r="F2422" s="2" t="str">
        <x:v>Online</x:v>
      </x:c>
      <x:c r="G2422" s="2" t="str">
        <x:v>Furniture</x:v>
      </x:c>
      <x:c r="H2422" s="2" t="str">
        <x:v>Chair 014</x:v>
      </x:c>
      <x:c r="I2422" s="11" t="n">
        <x:v>5</x:v>
      </x:c>
      <x:c r="J2422" s="9" t="n">
        <x:v>294</x:v>
      </x:c>
      <x:c r="K2422" s="10" t="n">
        <x:v>0.1</x:v>
      </x:c>
      <x:c r="L2422" s="11" t="n">
        <x:v>0</x:v>
      </x:c>
      <x:c r="M2422" s="9" t="n">
        <x:f>IF(D2422="Completed",I2422*J2422,0)</x:f>
        <x:v>1470</x:v>
      </x:c>
      <x:c r="N2422" s="9" t="n">
        <x:f>M2422*K2422</x:f>
        <x:v>147</x:v>
      </x:c>
      <x:c r="O2422" s="9" t="n">
        <x:f>M2422-N2422</x:f>
        <x:v>1323</x:v>
      </x:c>
      <x:c r="P2422" s="9" t="n">
        <x:f>IF(D2422="Completed",L2422*J2422*(1-K2422),0)</x:f>
        <x:v>0</x:v>
      </x:c>
      <x:c r="Q2422" s="9" t="n">
        <x:f>O2422-P2422</x:f>
        <x:v>1323</x:v>
      </x:c>
      <x:c r="R2422" s="11" t="n">
        <x:f>IF(D2422="Completed",I2422,0)</x:f>
        <x:v>5</x:v>
      </x:c>
      <x:c r="S2422" s="11" t="n">
        <x:f>IF(D2422="Completed",L2422,0)</x:f>
        <x:v>0</x:v>
      </x:c>
      <x:c r="T2422" s="8" t="n">
        <x:f>DATE(YEAR(C2422),MONTH(C2422),1)</x:f>
        <x:v>45717</x:v>
      </x:c>
    </x:row>
    <x:row r="2423" ht="22" customHeight="1">
      <x:c r="A2423" s="2" t="str">
        <x:v>L002419</x:v>
      </x:c>
      <x:c r="B2423" s="2" t="str">
        <x:v>O00990</x:v>
      </x:c>
      <x:c r="C2423" s="7" t="n">
        <x:v>45744</x:v>
      </x:c>
      <x:c r="D2423" s="2" t="str">
        <x:v>Completed</x:v>
      </x:c>
      <x:c r="E2423" s="2" t="str">
        <x:v>North</x:v>
      </x:c>
      <x:c r="F2423" s="2" t="str">
        <x:v>Online</x:v>
      </x:c>
      <x:c r="G2423" s="2" t="str">
        <x:v>Storage</x:v>
      </x:c>
      <x:c r="H2423" s="2" t="str">
        <x:v>Shelf 007</x:v>
      </x:c>
      <x:c r="I2423" s="11" t="n">
        <x:v>4</x:v>
      </x:c>
      <x:c r="J2423" s="9" t="n">
        <x:v>35</x:v>
      </x:c>
      <x:c r="K2423" s="10" t="n">
        <x:v>0</x:v>
      </x:c>
      <x:c r="L2423" s="11" t="n">
        <x:v>0</x:v>
      </x:c>
      <x:c r="M2423" s="9" t="n">
        <x:f>IF(D2423="Completed",I2423*J2423,0)</x:f>
        <x:v>140</x:v>
      </x:c>
      <x:c r="N2423" s="9" t="n">
        <x:f>M2423*K2423</x:f>
        <x:v>0</x:v>
      </x:c>
      <x:c r="O2423" s="9" t="n">
        <x:f>M2423-N2423</x:f>
        <x:v>140</x:v>
      </x:c>
      <x:c r="P2423" s="9" t="n">
        <x:f>IF(D2423="Completed",L2423*J2423*(1-K2423),0)</x:f>
        <x:v>0</x:v>
      </x:c>
      <x:c r="Q2423" s="9" t="n">
        <x:f>O2423-P2423</x:f>
        <x:v>140</x:v>
      </x:c>
      <x:c r="R2423" s="11" t="n">
        <x:f>IF(D2423="Completed",I2423,0)</x:f>
        <x:v>4</x:v>
      </x:c>
      <x:c r="S2423" s="11" t="n">
        <x:f>IF(D2423="Completed",L2423,0)</x:f>
        <x:v>0</x:v>
      </x:c>
      <x:c r="T2423" s="8" t="n">
        <x:f>DATE(YEAR(C2423),MONTH(C2423),1)</x:f>
        <x:v>45717</x:v>
      </x:c>
    </x:row>
    <x:row r="2424" ht="22" customHeight="1">
      <x:c r="A2424" s="2" t="str">
        <x:v>L002420</x:v>
      </x:c>
      <x:c r="B2424" s="2" t="str">
        <x:v>O00991</x:v>
      </x:c>
      <x:c r="C2424" s="7" t="n">
        <x:v>45834</x:v>
      </x:c>
      <x:c r="D2424" s="2" t="str">
        <x:v>Completed</x:v>
      </x:c>
      <x:c r="E2424" s="2" t="str">
        <x:v>West</x:v>
      </x:c>
      <x:c r="F2424" s="2" t="str">
        <x:v>Online</x:v>
      </x:c>
      <x:c r="G2424" s="2" t="str">
        <x:v>Furniture</x:v>
      </x:c>
      <x:c r="H2424" s="2" t="str">
        <x:v>Chair 010</x:v>
      </x:c>
      <x:c r="I2424" s="11" t="n">
        <x:v>3</x:v>
      </x:c>
      <x:c r="J2424" s="9" t="n">
        <x:v>211</x:v>
      </x:c>
      <x:c r="K2424" s="10" t="n">
        <x:v>0</x:v>
      </x:c>
      <x:c r="L2424" s="11" t="n">
        <x:v>0</x:v>
      </x:c>
      <x:c r="M2424" s="9" t="n">
        <x:f>IF(D2424="Completed",I2424*J2424,0)</x:f>
        <x:v>633</x:v>
      </x:c>
      <x:c r="N2424" s="9" t="n">
        <x:f>M2424*K2424</x:f>
        <x:v>0</x:v>
      </x:c>
      <x:c r="O2424" s="9" t="n">
        <x:f>M2424-N2424</x:f>
        <x:v>633</x:v>
      </x:c>
      <x:c r="P2424" s="9" t="n">
        <x:f>IF(D2424="Completed",L2424*J2424*(1-K2424),0)</x:f>
        <x:v>0</x:v>
      </x:c>
      <x:c r="Q2424" s="9" t="n">
        <x:f>O2424-P2424</x:f>
        <x:v>633</x:v>
      </x:c>
      <x:c r="R2424" s="11" t="n">
        <x:f>IF(D2424="Completed",I2424,0)</x:f>
        <x:v>3</x:v>
      </x:c>
      <x:c r="S2424" s="11" t="n">
        <x:f>IF(D2424="Completed",L2424,0)</x:f>
        <x:v>0</x:v>
      </x:c>
      <x:c r="T2424" s="8" t="n">
        <x:f>DATE(YEAR(C2424),MONTH(C2424),1)</x:f>
        <x:v>45809</x:v>
      </x:c>
    </x:row>
    <x:row r="2425" ht="22" customHeight="1">
      <x:c r="A2425" s="2" t="str">
        <x:v>L002421</x:v>
      </x:c>
      <x:c r="B2425" s="2" t="str">
        <x:v>O00991</x:v>
      </x:c>
      <x:c r="C2425" s="7" t="n">
        <x:v>45834</x:v>
      </x:c>
      <x:c r="D2425" s="2" t="str">
        <x:v>Completed</x:v>
      </x:c>
      <x:c r="E2425" s="2" t="str">
        <x:v>West</x:v>
      </x:c>
      <x:c r="F2425" s="2" t="str">
        <x:v>Online</x:v>
      </x:c>
      <x:c r="G2425" s="2" t="str">
        <x:v>Furniture</x:v>
      </x:c>
      <x:c r="H2425" s="2" t="str">
        <x:v>Desk 012</x:v>
      </x:c>
      <x:c r="I2425" s="11" t="n">
        <x:v>4</x:v>
      </x:c>
      <x:c r="J2425" s="9" t="n">
        <x:v>134</x:v>
      </x:c>
      <x:c r="K2425" s="10" t="n">
        <x:v>0.2</x:v>
      </x:c>
      <x:c r="L2425" s="11" t="n">
        <x:v>0</x:v>
      </x:c>
      <x:c r="M2425" s="9" t="n">
        <x:f>IF(D2425="Completed",I2425*J2425,0)</x:f>
        <x:v>536</x:v>
      </x:c>
      <x:c r="N2425" s="9" t="n">
        <x:f>M2425*K2425</x:f>
        <x:v>107.2</x:v>
      </x:c>
      <x:c r="O2425" s="9" t="n">
        <x:f>M2425-N2425</x:f>
        <x:v>428.8</x:v>
      </x:c>
      <x:c r="P2425" s="9" t="n">
        <x:f>IF(D2425="Completed",L2425*J2425*(1-K2425),0)</x:f>
        <x:v>0</x:v>
      </x:c>
      <x:c r="Q2425" s="9" t="n">
        <x:f>O2425-P2425</x:f>
        <x:v>428.8</x:v>
      </x:c>
      <x:c r="R2425" s="11" t="n">
        <x:f>IF(D2425="Completed",I2425,0)</x:f>
        <x:v>4</x:v>
      </x:c>
      <x:c r="S2425" s="11" t="n">
        <x:f>IF(D2425="Completed",L2425,0)</x:f>
        <x:v>0</x:v>
      </x:c>
      <x:c r="T2425" s="8" t="n">
        <x:f>DATE(YEAR(C2425),MONTH(C2425),1)</x:f>
        <x:v>45809</x:v>
      </x:c>
    </x:row>
    <x:row r="2426" ht="22" customHeight="1">
      <x:c r="A2426" s="2" t="str">
        <x:v>L002422</x:v>
      </x:c>
      <x:c r="B2426" s="2" t="str">
        <x:v>O00992</x:v>
      </x:c>
      <x:c r="C2426" s="7" t="n">
        <x:v>45677</x:v>
      </x:c>
      <x:c r="D2426" s="2" t="str">
        <x:v>Cancelled</x:v>
      </x:c>
      <x:c r="E2426" s="2" t="str">
        <x:v>West</x:v>
      </x:c>
      <x:c r="F2426" s="2" t="str">
        <x:v>Store</x:v>
      </x:c>
      <x:c r="G2426" s="2" t="str">
        <x:v>Storage</x:v>
      </x:c>
      <x:c r="H2426" s="2" t="str">
        <x:v>Shelf 011</x:v>
      </x:c>
      <x:c r="I2426" s="11" t="n">
        <x:v>2</x:v>
      </x:c>
      <x:c r="J2426" s="9" t="n">
        <x:v>80</x:v>
      </x:c>
      <x:c r="K2426" s="10" t="n">
        <x:v>0.2</x:v>
      </x:c>
      <x:c r="L2426" s="11" t="n">
        <x:v>0</x:v>
      </x:c>
      <x:c r="M2426" s="9" t="n">
        <x:f>IF(D2426="Completed",I2426*J2426,0)</x:f>
        <x:v>0</x:v>
      </x:c>
      <x:c r="N2426" s="9" t="n">
        <x:f>M2426*K2426</x:f>
        <x:v>0</x:v>
      </x:c>
      <x:c r="O2426" s="9" t="n">
        <x:f>M2426-N2426</x:f>
        <x:v>0</x:v>
      </x:c>
      <x:c r="P2426" s="9" t="n">
        <x:f>IF(D2426="Completed",L2426*J2426*(1-K2426),0)</x:f>
        <x:v>0</x:v>
      </x:c>
      <x:c r="Q2426" s="9" t="n">
        <x:f>O2426-P2426</x:f>
        <x:v>0</x:v>
      </x:c>
      <x:c r="R2426" s="11" t="n">
        <x:f>IF(D2426="Completed",I2426,0)</x:f>
        <x:v>0</x:v>
      </x:c>
      <x:c r="S2426" s="11" t="n">
        <x:f>IF(D2426="Completed",L2426,0)</x:f>
        <x:v>0</x:v>
      </x:c>
      <x:c r="T2426" s="8" t="n">
        <x:f>DATE(YEAR(C2426),MONTH(C2426),1)</x:f>
        <x:v>45658</x:v>
      </x:c>
    </x:row>
    <x:row r="2427" ht="22" customHeight="1">
      <x:c r="A2427" s="2" t="str">
        <x:v>L002423</x:v>
      </x:c>
      <x:c r="B2427" s="2" t="str">
        <x:v>O00992</x:v>
      </x:c>
      <x:c r="C2427" s="7" t="n">
        <x:v>45677</x:v>
      </x:c>
      <x:c r="D2427" s="2" t="str">
        <x:v>Cancelled</x:v>
      </x:c>
      <x:c r="E2427" s="2" t="str">
        <x:v>West</x:v>
      </x:c>
      <x:c r="F2427" s="2" t="str">
        <x:v>Store</x:v>
      </x:c>
      <x:c r="G2427" s="2" t="str">
        <x:v>Lighting</x:v>
      </x:c>
      <x:c r="H2427" s="2" t="str">
        <x:v>Lamp 013</x:v>
      </x:c>
      <x:c r="I2427" s="11" t="n">
        <x:v>1</x:v>
      </x:c>
      <x:c r="J2427" s="9" t="n">
        <x:v>271</x:v>
      </x:c>
      <x:c r="K2427" s="10" t="n">
        <x:v>0</x:v>
      </x:c>
      <x:c r="L2427" s="11" t="n">
        <x:v>0</x:v>
      </x:c>
      <x:c r="M2427" s="9" t="n">
        <x:f>IF(D2427="Completed",I2427*J2427,0)</x:f>
        <x:v>0</x:v>
      </x:c>
      <x:c r="N2427" s="9" t="n">
        <x:f>M2427*K2427</x:f>
        <x:v>0</x:v>
      </x:c>
      <x:c r="O2427" s="9" t="n">
        <x:f>M2427-N2427</x:f>
        <x:v>0</x:v>
      </x:c>
      <x:c r="P2427" s="9" t="n">
        <x:f>IF(D2427="Completed",L2427*J2427*(1-K2427),0)</x:f>
        <x:v>0</x:v>
      </x:c>
      <x:c r="Q2427" s="9" t="n">
        <x:f>O2427-P2427</x:f>
        <x:v>0</x:v>
      </x:c>
      <x:c r="R2427" s="11" t="n">
        <x:f>IF(D2427="Completed",I2427,0)</x:f>
        <x:v>0</x:v>
      </x:c>
      <x:c r="S2427" s="11" t="n">
        <x:f>IF(D2427="Completed",L2427,0)</x:f>
        <x:v>0</x:v>
      </x:c>
      <x:c r="T2427" s="8" t="n">
        <x:f>DATE(YEAR(C2427),MONTH(C2427),1)</x:f>
        <x:v>45658</x:v>
      </x:c>
    </x:row>
    <x:row r="2428" ht="22" customHeight="1">
      <x:c r="A2428" s="2" t="str">
        <x:v>L002424</x:v>
      </x:c>
      <x:c r="B2428" s="2" t="str">
        <x:v>O00992</x:v>
      </x:c>
      <x:c r="C2428" s="7" t="n">
        <x:v>45677</x:v>
      </x:c>
      <x:c r="D2428" s="2" t="str">
        <x:v>Cancelled</x:v>
      </x:c>
      <x:c r="E2428" s="2" t="str">
        <x:v>West</x:v>
      </x:c>
      <x:c r="F2428" s="2" t="str">
        <x:v>Store</x:v>
      </x:c>
      <x:c r="G2428" s="2" t="str">
        <x:v>Furniture</x:v>
      </x:c>
      <x:c r="H2428" s="2" t="str">
        <x:v>Chair 002</x:v>
      </x:c>
      <x:c r="I2428" s="11" t="n">
        <x:v>1</x:v>
      </x:c>
      <x:c r="J2428" s="9" t="n">
        <x:v>284</x:v>
      </x:c>
      <x:c r="K2428" s="10" t="n">
        <x:v>0.05</x:v>
      </x:c>
      <x:c r="L2428" s="11" t="n">
        <x:v>0</x:v>
      </x:c>
      <x:c r="M2428" s="9" t="n">
        <x:f>IF(D2428="Completed",I2428*J2428,0)</x:f>
        <x:v>0</x:v>
      </x:c>
      <x:c r="N2428" s="9" t="n">
        <x:f>M2428*K2428</x:f>
        <x:v>0</x:v>
      </x:c>
      <x:c r="O2428" s="9" t="n">
        <x:f>M2428-N2428</x:f>
        <x:v>0</x:v>
      </x:c>
      <x:c r="P2428" s="9" t="n">
        <x:f>IF(D2428="Completed",L2428*J2428*(1-K2428),0)</x:f>
        <x:v>0</x:v>
      </x:c>
      <x:c r="Q2428" s="9" t="n">
        <x:f>O2428-P2428</x:f>
        <x:v>0</x:v>
      </x:c>
      <x:c r="R2428" s="11" t="n">
        <x:f>IF(D2428="Completed",I2428,0)</x:f>
        <x:v>0</x:v>
      </x:c>
      <x:c r="S2428" s="11" t="n">
        <x:f>IF(D2428="Completed",L2428,0)</x:f>
        <x:v>0</x:v>
      </x:c>
      <x:c r="T2428" s="8" t="n">
        <x:f>DATE(YEAR(C2428),MONTH(C2428),1)</x:f>
        <x:v>45658</x:v>
      </x:c>
    </x:row>
    <x:row r="2429" ht="22" customHeight="1">
      <x:c r="A2429" s="2" t="str">
        <x:v>L002425</x:v>
      </x:c>
      <x:c r="B2429" s="2" t="str">
        <x:v>O00993</x:v>
      </x:c>
      <x:c r="C2429" s="7" t="n">
        <x:v>45715</x:v>
      </x:c>
      <x:c r="D2429" s="2" t="str">
        <x:v>Completed</x:v>
      </x:c>
      <x:c r="E2429" s="2" t="str">
        <x:v>West</x:v>
      </x:c>
      <x:c r="F2429" s="2" t="str">
        <x:v>Store</x:v>
      </x:c>
      <x:c r="G2429" s="2" t="str">
        <x:v>Lighting</x:v>
      </x:c>
      <x:c r="H2429" s="2" t="str">
        <x:v>Lamp 001</x:v>
      </x:c>
      <x:c r="I2429" s="11" t="n">
        <x:v>2</x:v>
      </x:c>
      <x:c r="J2429" s="9" t="n">
        <x:v>122</x:v>
      </x:c>
      <x:c r="K2429" s="10" t="n">
        <x:v>0.2</x:v>
      </x:c>
      <x:c r="L2429" s="11" t="n">
        <x:v>0</x:v>
      </x:c>
      <x:c r="M2429" s="9" t="n">
        <x:f>IF(D2429="Completed",I2429*J2429,0)</x:f>
        <x:v>244</x:v>
      </x:c>
      <x:c r="N2429" s="9" t="n">
        <x:f>M2429*K2429</x:f>
        <x:v>48.800000000000004</x:v>
      </x:c>
      <x:c r="O2429" s="9" t="n">
        <x:f>M2429-N2429</x:f>
        <x:v>195.2</x:v>
      </x:c>
      <x:c r="P2429" s="9" t="n">
        <x:f>IF(D2429="Completed",L2429*J2429*(1-K2429),0)</x:f>
        <x:v>0</x:v>
      </x:c>
      <x:c r="Q2429" s="9" t="n">
        <x:f>O2429-P2429</x:f>
        <x:v>195.2</x:v>
      </x:c>
      <x:c r="R2429" s="11" t="n">
        <x:f>IF(D2429="Completed",I2429,0)</x:f>
        <x:v>2</x:v>
      </x:c>
      <x:c r="S2429" s="11" t="n">
        <x:f>IF(D2429="Completed",L2429,0)</x:f>
        <x:v>0</x:v>
      </x:c>
      <x:c r="T2429" s="8" t="n">
        <x:f>DATE(YEAR(C2429),MONTH(C2429),1)</x:f>
        <x:v>45689</x:v>
      </x:c>
    </x:row>
    <x:row r="2430" ht="22" customHeight="1">
      <x:c r="A2430" s="2" t="str">
        <x:v>L002426</x:v>
      </x:c>
      <x:c r="B2430" s="2" t="str">
        <x:v>O00993</x:v>
      </x:c>
      <x:c r="C2430" s="7" t="n">
        <x:v>45715</x:v>
      </x:c>
      <x:c r="D2430" s="2" t="str">
        <x:v>Completed</x:v>
      </x:c>
      <x:c r="E2430" s="2" t="str">
        <x:v>West</x:v>
      </x:c>
      <x:c r="F2430" s="2" t="str">
        <x:v>Store</x:v>
      </x:c>
      <x:c r="G2430" s="2" t="str">
        <x:v>Storage</x:v>
      </x:c>
      <x:c r="H2430" s="2" t="str">
        <x:v>Shelf 007</x:v>
      </x:c>
      <x:c r="I2430" s="11" t="n">
        <x:v>1</x:v>
      </x:c>
      <x:c r="J2430" s="9" t="n">
        <x:v>35</x:v>
      </x:c>
      <x:c r="K2430" s="10" t="n">
        <x:v>0.1</x:v>
      </x:c>
      <x:c r="L2430" s="11" t="n">
        <x:v>0</x:v>
      </x:c>
      <x:c r="M2430" s="9" t="n">
        <x:f>IF(D2430="Completed",I2430*J2430,0)</x:f>
        <x:v>35</x:v>
      </x:c>
      <x:c r="N2430" s="9" t="n">
        <x:f>M2430*K2430</x:f>
        <x:v>3.5</x:v>
      </x:c>
      <x:c r="O2430" s="9" t="n">
        <x:f>M2430-N2430</x:f>
        <x:v>31.5</x:v>
      </x:c>
      <x:c r="P2430" s="9" t="n">
        <x:f>IF(D2430="Completed",L2430*J2430*(1-K2430),0)</x:f>
        <x:v>0</x:v>
      </x:c>
      <x:c r="Q2430" s="9" t="n">
        <x:f>O2430-P2430</x:f>
        <x:v>31.5</x:v>
      </x:c>
      <x:c r="R2430" s="11" t="n">
        <x:f>IF(D2430="Completed",I2430,0)</x:f>
        <x:v>1</x:v>
      </x:c>
      <x:c r="S2430" s="11" t="n">
        <x:f>IF(D2430="Completed",L2430,0)</x:f>
        <x:v>0</x:v>
      </x:c>
      <x:c r="T2430" s="8" t="n">
        <x:f>DATE(YEAR(C2430),MONTH(C2430),1)</x:f>
        <x:v>45689</x:v>
      </x:c>
    </x:row>
    <x:row r="2431" ht="22" customHeight="1">
      <x:c r="A2431" s="2" t="str">
        <x:v>L002427</x:v>
      </x:c>
      <x:c r="B2431" s="2" t="str">
        <x:v>O00994</x:v>
      </x:c>
      <x:c r="C2431" s="7" t="n">
        <x:v>46016</x:v>
      </x:c>
      <x:c r="D2431" s="2" t="str">
        <x:v>Completed</x:v>
      </x:c>
      <x:c r="E2431" s="2" t="str">
        <x:v>North</x:v>
      </x:c>
      <x:c r="F2431" s="2" t="str">
        <x:v>Store</x:v>
      </x:c>
      <x:c r="G2431" s="2" t="str">
        <x:v>Furniture</x:v>
      </x:c>
      <x:c r="H2431" s="2" t="str">
        <x:v>Desk 020</x:v>
      </x:c>
      <x:c r="I2431" s="11" t="n">
        <x:v>3</x:v>
      </x:c>
      <x:c r="J2431" s="9" t="n">
        <x:v>189</x:v>
      </x:c>
      <x:c r="K2431" s="10" t="n">
        <x:v>0</x:v>
      </x:c>
      <x:c r="L2431" s="11" t="n">
        <x:v>0</x:v>
      </x:c>
      <x:c r="M2431" s="9" t="n">
        <x:f>IF(D2431="Completed",I2431*J2431,0)</x:f>
        <x:v>567</x:v>
      </x:c>
      <x:c r="N2431" s="9" t="n">
        <x:f>M2431*K2431</x:f>
        <x:v>0</x:v>
      </x:c>
      <x:c r="O2431" s="9" t="n">
        <x:f>M2431-N2431</x:f>
        <x:v>567</x:v>
      </x:c>
      <x:c r="P2431" s="9" t="n">
        <x:f>IF(D2431="Completed",L2431*J2431*(1-K2431),0)</x:f>
        <x:v>0</x:v>
      </x:c>
      <x:c r="Q2431" s="9" t="n">
        <x:f>O2431-P2431</x:f>
        <x:v>567</x:v>
      </x:c>
      <x:c r="R2431" s="11" t="n">
        <x:f>IF(D2431="Completed",I2431,0)</x:f>
        <x:v>3</x:v>
      </x:c>
      <x:c r="S2431" s="11" t="n">
        <x:f>IF(D2431="Completed",L2431,0)</x:f>
        <x:v>0</x:v>
      </x:c>
      <x:c r="T2431" s="8" t="n">
        <x:f>DATE(YEAR(C2431),MONTH(C2431),1)</x:f>
        <x:v>45992</x:v>
      </x:c>
    </x:row>
    <x:row r="2432" ht="22" customHeight="1">
      <x:c r="A2432" s="2" t="str">
        <x:v>L002428</x:v>
      </x:c>
      <x:c r="B2432" s="2" t="str">
        <x:v>O00995</x:v>
      </x:c>
      <x:c r="C2432" s="7" t="n">
        <x:v>45993</x:v>
      </x:c>
      <x:c r="D2432" s="2" t="str">
        <x:v>Completed</x:v>
      </x:c>
      <x:c r="E2432" s="2" t="str">
        <x:v>West</x:v>
      </x:c>
      <x:c r="F2432" s="2" t="str">
        <x:v>Online</x:v>
      </x:c>
      <x:c r="G2432" s="2" t="str">
        <x:v>Furniture</x:v>
      </x:c>
      <x:c r="H2432" s="2" t="str">
        <x:v>Chair 006</x:v>
      </x:c>
      <x:c r="I2432" s="11" t="n">
        <x:v>2</x:v>
      </x:c>
      <x:c r="J2432" s="9" t="n">
        <x:v>196</x:v>
      </x:c>
      <x:c r="K2432" s="10" t="n">
        <x:v>0.1</x:v>
      </x:c>
      <x:c r="L2432" s="11" t="n">
        <x:v>0</x:v>
      </x:c>
      <x:c r="M2432" s="9" t="n">
        <x:f>IF(D2432="Completed",I2432*J2432,0)</x:f>
        <x:v>392</x:v>
      </x:c>
      <x:c r="N2432" s="9" t="n">
        <x:f>M2432*K2432</x:f>
        <x:v>39.2</x:v>
      </x:c>
      <x:c r="O2432" s="9" t="n">
        <x:f>M2432-N2432</x:f>
        <x:v>352.8</x:v>
      </x:c>
      <x:c r="P2432" s="9" t="n">
        <x:f>IF(D2432="Completed",L2432*J2432*(1-K2432),0)</x:f>
        <x:v>0</x:v>
      </x:c>
      <x:c r="Q2432" s="9" t="n">
        <x:f>O2432-P2432</x:f>
        <x:v>352.8</x:v>
      </x:c>
      <x:c r="R2432" s="11" t="n">
        <x:f>IF(D2432="Completed",I2432,0)</x:f>
        <x:v>2</x:v>
      </x:c>
      <x:c r="S2432" s="11" t="n">
        <x:f>IF(D2432="Completed",L2432,0)</x:f>
        <x:v>0</x:v>
      </x:c>
      <x:c r="T2432" s="8" t="n">
        <x:f>DATE(YEAR(C2432),MONTH(C2432),1)</x:f>
        <x:v>45992</x:v>
      </x:c>
    </x:row>
    <x:row r="2433" ht="22" customHeight="1">
      <x:c r="A2433" s="2" t="str">
        <x:v>L002429</x:v>
      </x:c>
      <x:c r="B2433" s="2" t="str">
        <x:v>O00995</x:v>
      </x:c>
      <x:c r="C2433" s="7" t="n">
        <x:v>45993</x:v>
      </x:c>
      <x:c r="D2433" s="2" t="str">
        <x:v>Completed</x:v>
      </x:c>
      <x:c r="E2433" s="2" t="str">
        <x:v>West</x:v>
      </x:c>
      <x:c r="F2433" s="2" t="str">
        <x:v>Online</x:v>
      </x:c>
      <x:c r="G2433" s="2" t="str">
        <x:v>Furniture</x:v>
      </x:c>
      <x:c r="H2433" s="2" t="str">
        <x:v>Chair 014</x:v>
      </x:c>
      <x:c r="I2433" s="11" t="n">
        <x:v>2</x:v>
      </x:c>
      <x:c r="J2433" s="9" t="n">
        <x:v>294</x:v>
      </x:c>
      <x:c r="K2433" s="10" t="n">
        <x:v>0.05</x:v>
      </x:c>
      <x:c r="L2433" s="11" t="n">
        <x:v>0</x:v>
      </x:c>
      <x:c r="M2433" s="9" t="n">
        <x:f>IF(D2433="Completed",I2433*J2433,0)</x:f>
        <x:v>588</x:v>
      </x:c>
      <x:c r="N2433" s="9" t="n">
        <x:f>M2433*K2433</x:f>
        <x:v>29.400000000000002</x:v>
      </x:c>
      <x:c r="O2433" s="9" t="n">
        <x:f>M2433-N2433</x:f>
        <x:v>558.6</x:v>
      </x:c>
      <x:c r="P2433" s="9" t="n">
        <x:f>IF(D2433="Completed",L2433*J2433*(1-K2433),0)</x:f>
        <x:v>0</x:v>
      </x:c>
      <x:c r="Q2433" s="9" t="n">
        <x:f>O2433-P2433</x:f>
        <x:v>558.6</x:v>
      </x:c>
      <x:c r="R2433" s="11" t="n">
        <x:f>IF(D2433="Completed",I2433,0)</x:f>
        <x:v>2</x:v>
      </x:c>
      <x:c r="S2433" s="11" t="n">
        <x:f>IF(D2433="Completed",L2433,0)</x:f>
        <x:v>0</x:v>
      </x:c>
      <x:c r="T2433" s="8" t="n">
        <x:f>DATE(YEAR(C2433),MONTH(C2433),1)</x:f>
        <x:v>45992</x:v>
      </x:c>
    </x:row>
    <x:row r="2434" ht="22" customHeight="1">
      <x:c r="A2434" s="2" t="str">
        <x:v>L002430</x:v>
      </x:c>
      <x:c r="B2434" s="2" t="str">
        <x:v>O00996</x:v>
      </x:c>
      <x:c r="C2434" s="7" t="n">
        <x:v>45727</x:v>
      </x:c>
      <x:c r="D2434" s="2" t="str">
        <x:v>Completed</x:v>
      </x:c>
      <x:c r="E2434" s="2" t="str">
        <x:v>West</x:v>
      </x:c>
      <x:c r="F2434" s="2" t="str">
        <x:v>Store</x:v>
      </x:c>
      <x:c r="G2434" s="2" t="str">
        <x:v>Storage</x:v>
      </x:c>
      <x:c r="H2434" s="2" t="str">
        <x:v>Shelf 007</x:v>
      </x:c>
      <x:c r="I2434" s="11" t="n">
        <x:v>1</x:v>
      </x:c>
      <x:c r="J2434" s="9" t="n">
        <x:v>35</x:v>
      </x:c>
      <x:c r="K2434" s="10" t="n">
        <x:v>0</x:v>
      </x:c>
      <x:c r="L2434" s="11" t="n">
        <x:v>0</x:v>
      </x:c>
      <x:c r="M2434" s="9" t="n">
        <x:f>IF(D2434="Completed",I2434*J2434,0)</x:f>
        <x:v>35</x:v>
      </x:c>
      <x:c r="N2434" s="9" t="n">
        <x:f>M2434*K2434</x:f>
        <x:v>0</x:v>
      </x:c>
      <x:c r="O2434" s="9" t="n">
        <x:f>M2434-N2434</x:f>
        <x:v>35</x:v>
      </x:c>
      <x:c r="P2434" s="9" t="n">
        <x:f>IF(D2434="Completed",L2434*J2434*(1-K2434),0)</x:f>
        <x:v>0</x:v>
      </x:c>
      <x:c r="Q2434" s="9" t="n">
        <x:f>O2434-P2434</x:f>
        <x:v>35</x:v>
      </x:c>
      <x:c r="R2434" s="11" t="n">
        <x:f>IF(D2434="Completed",I2434,0)</x:f>
        <x:v>1</x:v>
      </x:c>
      <x:c r="S2434" s="11" t="n">
        <x:f>IF(D2434="Completed",L2434,0)</x:f>
        <x:v>0</x:v>
      </x:c>
      <x:c r="T2434" s="8" t="n">
        <x:f>DATE(YEAR(C2434),MONTH(C2434),1)</x:f>
        <x:v>45717</x:v>
      </x:c>
    </x:row>
    <x:row r="2435" ht="22" customHeight="1">
      <x:c r="A2435" s="2" t="str">
        <x:v>L002431</x:v>
      </x:c>
      <x:c r="B2435" s="2" t="str">
        <x:v>O00997</x:v>
      </x:c>
      <x:c r="C2435" s="7" t="n">
        <x:v>45896</x:v>
      </x:c>
      <x:c r="D2435" s="2" t="str">
        <x:v>Completed</x:v>
      </x:c>
      <x:c r="E2435" s="2" t="str">
        <x:v>West</x:v>
      </x:c>
      <x:c r="F2435" s="2" t="str">
        <x:v>Store</x:v>
      </x:c>
      <x:c r="G2435" s="2" t="str">
        <x:v>Furniture</x:v>
      </x:c>
      <x:c r="H2435" s="2" t="str">
        <x:v>Desk 016</x:v>
      </x:c>
      <x:c r="I2435" s="11" t="n">
        <x:v>2</x:v>
      </x:c>
      <x:c r="J2435" s="9" t="n">
        <x:v>231</x:v>
      </x:c>
      <x:c r="K2435" s="10" t="n">
        <x:v>0.2</x:v>
      </x:c>
      <x:c r="L2435" s="11" t="n">
        <x:v>0</x:v>
      </x:c>
      <x:c r="M2435" s="9" t="n">
        <x:f>IF(D2435="Completed",I2435*J2435,0)</x:f>
        <x:v>462</x:v>
      </x:c>
      <x:c r="N2435" s="9" t="n">
        <x:f>M2435*K2435</x:f>
        <x:v>92.4</x:v>
      </x:c>
      <x:c r="O2435" s="9" t="n">
        <x:f>M2435-N2435</x:f>
        <x:v>369.6</x:v>
      </x:c>
      <x:c r="P2435" s="9" t="n">
        <x:f>IF(D2435="Completed",L2435*J2435*(1-K2435),0)</x:f>
        <x:v>0</x:v>
      </x:c>
      <x:c r="Q2435" s="9" t="n">
        <x:f>O2435-P2435</x:f>
        <x:v>369.6</x:v>
      </x:c>
      <x:c r="R2435" s="11" t="n">
        <x:f>IF(D2435="Completed",I2435,0)</x:f>
        <x:v>2</x:v>
      </x:c>
      <x:c r="S2435" s="11" t="n">
        <x:f>IF(D2435="Completed",L2435,0)</x:f>
        <x:v>0</x:v>
      </x:c>
      <x:c r="T2435" s="8" t="n">
        <x:f>DATE(YEAR(C2435),MONTH(C2435),1)</x:f>
        <x:v>45870</x:v>
      </x:c>
    </x:row>
    <x:row r="2436" ht="22" customHeight="1">
      <x:c r="A2436" s="2" t="str">
        <x:v>L002432</x:v>
      </x:c>
      <x:c r="B2436" s="2" t="str">
        <x:v>O00998</x:v>
      </x:c>
      <x:c r="C2436" s="7" t="n">
        <x:v>45828</x:v>
      </x:c>
      <x:c r="D2436" s="2" t="str">
        <x:v>Completed</x:v>
      </x:c>
      <x:c r="E2436" s="2" t="str">
        <x:v>West</x:v>
      </x:c>
      <x:c r="F2436" s="2" t="str">
        <x:v>Online</x:v>
      </x:c>
      <x:c r="G2436" s="2" t="str">
        <x:v>Furniture</x:v>
      </x:c>
      <x:c r="H2436" s="2" t="str">
        <x:v>Chair 010</x:v>
      </x:c>
      <x:c r="I2436" s="11" t="n">
        <x:v>2</x:v>
      </x:c>
      <x:c r="J2436" s="9" t="n">
        <x:v>211</x:v>
      </x:c>
      <x:c r="K2436" s="10" t="n">
        <x:v>0.2</x:v>
      </x:c>
      <x:c r="L2436" s="11" t="n">
        <x:v>0</x:v>
      </x:c>
      <x:c r="M2436" s="9" t="n">
        <x:f>IF(D2436="Completed",I2436*J2436,0)</x:f>
        <x:v>422</x:v>
      </x:c>
      <x:c r="N2436" s="9" t="n">
        <x:f>M2436*K2436</x:f>
        <x:v>84.4</x:v>
      </x:c>
      <x:c r="O2436" s="9" t="n">
        <x:f>M2436-N2436</x:f>
        <x:v>337.6</x:v>
      </x:c>
      <x:c r="P2436" s="9" t="n">
        <x:f>IF(D2436="Completed",L2436*J2436*(1-K2436),0)</x:f>
        <x:v>0</x:v>
      </x:c>
      <x:c r="Q2436" s="9" t="n">
        <x:f>O2436-P2436</x:f>
        <x:v>337.6</x:v>
      </x:c>
      <x:c r="R2436" s="11" t="n">
        <x:f>IF(D2436="Completed",I2436,0)</x:f>
        <x:v>2</x:v>
      </x:c>
      <x:c r="S2436" s="11" t="n">
        <x:f>IF(D2436="Completed",L2436,0)</x:f>
        <x:v>0</x:v>
      </x:c>
      <x:c r="T2436" s="8" t="n">
        <x:f>DATE(YEAR(C2436),MONTH(C2436),1)</x:f>
        <x:v>45809</x:v>
      </x:c>
    </x:row>
    <x:row r="2437" ht="22" customHeight="1">
      <x:c r="A2437" s="2" t="str">
        <x:v>L002433</x:v>
      </x:c>
      <x:c r="B2437" s="2" t="str">
        <x:v>O00999</x:v>
      </x:c>
      <x:c r="C2437" s="7" t="n">
        <x:v>45747</x:v>
      </x:c>
      <x:c r="D2437" s="2" t="str">
        <x:v>Completed</x:v>
      </x:c>
      <x:c r="E2437" s="2" t="str">
        <x:v>South</x:v>
      </x:c>
      <x:c r="F2437" s="2" t="str">
        <x:v>Store</x:v>
      </x:c>
      <x:c r="G2437" s="2" t="str">
        <x:v>Storage</x:v>
      </x:c>
      <x:c r="H2437" s="2" t="str">
        <x:v>Shelf 011</x:v>
      </x:c>
      <x:c r="I2437" s="11" t="n">
        <x:v>3</x:v>
      </x:c>
      <x:c r="J2437" s="9" t="n">
        <x:v>80</x:v>
      </x:c>
      <x:c r="K2437" s="10" t="n">
        <x:v>0</x:v>
      </x:c>
      <x:c r="L2437" s="11" t="n">
        <x:v>0</x:v>
      </x:c>
      <x:c r="M2437" s="9" t="n">
        <x:f>IF(D2437="Completed",I2437*J2437,0)</x:f>
        <x:v>240</x:v>
      </x:c>
      <x:c r="N2437" s="9" t="n">
        <x:f>M2437*K2437</x:f>
        <x:v>0</x:v>
      </x:c>
      <x:c r="O2437" s="9" t="n">
        <x:f>M2437-N2437</x:f>
        <x:v>240</x:v>
      </x:c>
      <x:c r="P2437" s="9" t="n">
        <x:f>IF(D2437="Completed",L2437*J2437*(1-K2437),0)</x:f>
        <x:v>0</x:v>
      </x:c>
      <x:c r="Q2437" s="9" t="n">
        <x:f>O2437-P2437</x:f>
        <x:v>240</x:v>
      </x:c>
      <x:c r="R2437" s="11" t="n">
        <x:f>IF(D2437="Completed",I2437,0)</x:f>
        <x:v>3</x:v>
      </x:c>
      <x:c r="S2437" s="11" t="n">
        <x:f>IF(D2437="Completed",L2437,0)</x:f>
        <x:v>0</x:v>
      </x:c>
      <x:c r="T2437" s="8" t="n">
        <x:f>DATE(YEAR(C2437),MONTH(C2437),1)</x:f>
        <x:v>45717</x:v>
      </x:c>
    </x:row>
    <x:row r="2438" ht="22" customHeight="1">
      <x:c r="A2438" s="2" t="str">
        <x:v>L002434</x:v>
      </x:c>
      <x:c r="B2438" s="2" t="str">
        <x:v>O01000</x:v>
      </x:c>
      <x:c r="C2438" s="7" t="n">
        <x:v>45872</x:v>
      </x:c>
      <x:c r="D2438" s="2" t="str">
        <x:v>Completed</x:v>
      </x:c>
      <x:c r="E2438" s="2" t="str">
        <x:v>South</x:v>
      </x:c>
      <x:c r="F2438" s="2" t="str">
        <x:v>Online</x:v>
      </x:c>
      <x:c r="G2438" s="2" t="str">
        <x:v>Storage</x:v>
      </x:c>
      <x:c r="H2438" s="2" t="str">
        <x:v>Shelf 023</x:v>
      </x:c>
      <x:c r="I2438" s="11" t="n">
        <x:v>3</x:v>
      </x:c>
      <x:c r="J2438" s="9" t="n">
        <x:v>68</x:v>
      </x:c>
      <x:c r="K2438" s="10" t="n">
        <x:v>0.05</x:v>
      </x:c>
      <x:c r="L2438" s="11" t="n">
        <x:v>0</x:v>
      </x:c>
      <x:c r="M2438" s="9" t="n">
        <x:f>IF(D2438="Completed",I2438*J2438,0)</x:f>
        <x:v>204</x:v>
      </x:c>
      <x:c r="N2438" s="9" t="n">
        <x:f>M2438*K2438</x:f>
        <x:v>10.200000000000001</x:v>
      </x:c>
      <x:c r="O2438" s="9" t="n">
        <x:f>M2438-N2438</x:f>
        <x:v>193.8</x:v>
      </x:c>
      <x:c r="P2438" s="9" t="n">
        <x:f>IF(D2438="Completed",L2438*J2438*(1-K2438),0)</x:f>
        <x:v>0</x:v>
      </x:c>
      <x:c r="Q2438" s="9" t="n">
        <x:f>O2438-P2438</x:f>
        <x:v>193.8</x:v>
      </x:c>
      <x:c r="R2438" s="11" t="n">
        <x:f>IF(D2438="Completed",I2438,0)</x:f>
        <x:v>3</x:v>
      </x:c>
      <x:c r="S2438" s="11" t="n">
        <x:f>IF(D2438="Completed",L2438,0)</x:f>
        <x:v>0</x:v>
      </x:c>
      <x:c r="T2438" s="8" t="n">
        <x:f>DATE(YEAR(C2438),MONTH(C2438),1)</x:f>
        <x:v>45870</x:v>
      </x:c>
    </x:row>
    <x:row r="2439" ht="22" customHeight="1">
      <x:c r="A2439" s="2" t="str">
        <x:v>L002435</x:v>
      </x:c>
      <x:c r="B2439" s="2" t="str">
        <x:v>O01000</x:v>
      </x:c>
      <x:c r="C2439" s="7" t="n">
        <x:v>45872</x:v>
      </x:c>
      <x:c r="D2439" s="2" t="str">
        <x:v>Completed</x:v>
      </x:c>
      <x:c r="E2439" s="2" t="str">
        <x:v>South</x:v>
      </x:c>
      <x:c r="F2439" s="2" t="str">
        <x:v>Online</x:v>
      </x:c>
      <x:c r="G2439" s="2" t="str">
        <x:v>Lighting</x:v>
      </x:c>
      <x:c r="H2439" s="2" t="str">
        <x:v>Lamp 009</x:v>
      </x:c>
      <x:c r="I2439" s="11" t="n">
        <x:v>3</x:v>
      </x:c>
      <x:c r="J2439" s="9" t="n">
        <x:v>93</x:v>
      </x:c>
      <x:c r="K2439" s="10" t="n">
        <x:v>0.1</x:v>
      </x:c>
      <x:c r="L2439" s="11" t="n">
        <x:v>0</x:v>
      </x:c>
      <x:c r="M2439" s="9" t="n">
        <x:f>IF(D2439="Completed",I2439*J2439,0)</x:f>
        <x:v>279</x:v>
      </x:c>
      <x:c r="N2439" s="9" t="n">
        <x:f>M2439*K2439</x:f>
        <x:v>27.900000000000002</x:v>
      </x:c>
      <x:c r="O2439" s="9" t="n">
        <x:f>M2439-N2439</x:f>
        <x:v>251.1</x:v>
      </x:c>
      <x:c r="P2439" s="9" t="n">
        <x:f>IF(D2439="Completed",L2439*J2439*(1-K2439),0)</x:f>
        <x:v>0</x:v>
      </x:c>
      <x:c r="Q2439" s="9" t="n">
        <x:f>O2439-P2439</x:f>
        <x:v>251.1</x:v>
      </x:c>
      <x:c r="R2439" s="11" t="n">
        <x:f>IF(D2439="Completed",I2439,0)</x:f>
        <x:v>3</x:v>
      </x:c>
      <x:c r="S2439" s="11" t="n">
        <x:f>IF(D2439="Completed",L2439,0)</x:f>
        <x:v>0</x:v>
      </x:c>
      <x:c r="T2439" s="8" t="n">
        <x:f>DATE(YEAR(C2439),MONTH(C2439),1)</x:f>
        <x:v>45870</x:v>
      </x:c>
    </x:row>
    <x:row r="2440" ht="22" customHeight="1">
      <x:c r="A2440" s="2" t="str">
        <x:v>L002436</x:v>
      </x:c>
      <x:c r="B2440" s="2" t="str">
        <x:v>O01001</x:v>
      </x:c>
      <x:c r="C2440" s="7" t="n">
        <x:v>45812</x:v>
      </x:c>
      <x:c r="D2440" s="2" t="str">
        <x:v>Completed</x:v>
      </x:c>
      <x:c r="E2440" s="2" t="str">
        <x:v>North</x:v>
      </x:c>
      <x:c r="F2440" s="2" t="str">
        <x:v>Online</x:v>
      </x:c>
      <x:c r="G2440" s="2" t="str">
        <x:v>Storage</x:v>
      </x:c>
      <x:c r="H2440" s="2" t="str">
        <x:v>Shelf 023</x:v>
      </x:c>
      <x:c r="I2440" s="11" t="n">
        <x:v>1</x:v>
      </x:c>
      <x:c r="J2440" s="9" t="n">
        <x:v>68</x:v>
      </x:c>
      <x:c r="K2440" s="10" t="n">
        <x:v>0.2</x:v>
      </x:c>
      <x:c r="L2440" s="11" t="n">
        <x:v>1</x:v>
      </x:c>
      <x:c r="M2440" s="9" t="n">
        <x:f>IF(D2440="Completed",I2440*J2440,0)</x:f>
        <x:v>68</x:v>
      </x:c>
      <x:c r="N2440" s="9" t="n">
        <x:f>M2440*K2440</x:f>
        <x:v>13.600000000000001</x:v>
      </x:c>
      <x:c r="O2440" s="9" t="n">
        <x:f>M2440-N2440</x:f>
        <x:v>54.4</x:v>
      </x:c>
      <x:c r="P2440" s="9" t="n">
        <x:f>IF(D2440="Completed",L2440*J2440*(1-K2440),0)</x:f>
        <x:v>54.400000000000006</x:v>
      </x:c>
      <x:c r="Q2440" s="9" t="n">
        <x:f>O2440-P2440</x:f>
        <x:v>-7.105427357601002e-15</x:v>
      </x:c>
      <x:c r="R2440" s="11" t="n">
        <x:f>IF(D2440="Completed",I2440,0)</x:f>
        <x:v>1</x:v>
      </x:c>
      <x:c r="S2440" s="11" t="n">
        <x:f>IF(D2440="Completed",L2440,0)</x:f>
        <x:v>1</x:v>
      </x:c>
      <x:c r="T2440" s="8" t="n">
        <x:f>DATE(YEAR(C2440),MONTH(C2440),1)</x:f>
        <x:v>45809</x:v>
      </x:c>
    </x:row>
    <x:row r="2441" ht="22" customHeight="1">
      <x:c r="A2441" s="2" t="str">
        <x:v>L002437</x:v>
      </x:c>
      <x:c r="B2441" s="2" t="str">
        <x:v>O01001</x:v>
      </x:c>
      <x:c r="C2441" s="7" t="n">
        <x:v>45812</x:v>
      </x:c>
      <x:c r="D2441" s="2" t="str">
        <x:v>Completed</x:v>
      </x:c>
      <x:c r="E2441" s="2" t="str">
        <x:v>North</x:v>
      </x:c>
      <x:c r="F2441" s="2" t="str">
        <x:v>Online</x:v>
      </x:c>
      <x:c r="G2441" s="2" t="str">
        <x:v>Lighting</x:v>
      </x:c>
      <x:c r="H2441" s="2" t="str">
        <x:v>Lamp 005</x:v>
      </x:c>
      <x:c r="I2441" s="11" t="n">
        <x:v>1</x:v>
      </x:c>
      <x:c r="J2441" s="9" t="n">
        <x:v>65</x:v>
      </x:c>
      <x:c r="K2441" s="10" t="n">
        <x:v>0.1</x:v>
      </x:c>
      <x:c r="L2441" s="11" t="n">
        <x:v>0</x:v>
      </x:c>
      <x:c r="M2441" s="9" t="n">
        <x:f>IF(D2441="Completed",I2441*J2441,0)</x:f>
        <x:v>65</x:v>
      </x:c>
      <x:c r="N2441" s="9" t="n">
        <x:f>M2441*K2441</x:f>
        <x:v>6.5</x:v>
      </x:c>
      <x:c r="O2441" s="9" t="n">
        <x:f>M2441-N2441</x:f>
        <x:v>58.5</x:v>
      </x:c>
      <x:c r="P2441" s="9" t="n">
        <x:f>IF(D2441="Completed",L2441*J2441*(1-K2441),0)</x:f>
        <x:v>0</x:v>
      </x:c>
      <x:c r="Q2441" s="9" t="n">
        <x:f>O2441-P2441</x:f>
        <x:v>58.5</x:v>
      </x:c>
      <x:c r="R2441" s="11" t="n">
        <x:f>IF(D2441="Completed",I2441,0)</x:f>
        <x:v>1</x:v>
      </x:c>
      <x:c r="S2441" s="11" t="n">
        <x:f>IF(D2441="Completed",L2441,0)</x:f>
        <x:v>0</x:v>
      </x:c>
      <x:c r="T2441" s="8" t="n">
        <x:f>DATE(YEAR(C2441),MONTH(C2441),1)</x:f>
        <x:v>45809</x:v>
      </x:c>
    </x:row>
    <x:row r="2442" ht="22" customHeight="1">
      <x:c r="A2442" s="2" t="str">
        <x:v>L002438</x:v>
      </x:c>
      <x:c r="B2442" s="2" t="str">
        <x:v>O01001</x:v>
      </x:c>
      <x:c r="C2442" s="7" t="n">
        <x:v>45812</x:v>
      </x:c>
      <x:c r="D2442" s="2" t="str">
        <x:v>Completed</x:v>
      </x:c>
      <x:c r="E2442" s="2" t="str">
        <x:v>North</x:v>
      </x:c>
      <x:c r="F2442" s="2" t="str">
        <x:v>Online</x:v>
      </x:c>
      <x:c r="G2442" s="2" t="str">
        <x:v>Furniture</x:v>
      </x:c>
      <x:c r="H2442" s="2" t="str">
        <x:v>Desk 016</x:v>
      </x:c>
      <x:c r="I2442" s="11" t="n">
        <x:v>3</x:v>
      </x:c>
      <x:c r="J2442" s="9" t="n">
        <x:v>231</x:v>
      </x:c>
      <x:c r="K2442" s="10" t="n">
        <x:v>0.1</x:v>
      </x:c>
      <x:c r="L2442" s="11" t="n">
        <x:v>0</x:v>
      </x:c>
      <x:c r="M2442" s="9" t="n">
        <x:f>IF(D2442="Completed",I2442*J2442,0)</x:f>
        <x:v>693</x:v>
      </x:c>
      <x:c r="N2442" s="9" t="n">
        <x:f>M2442*K2442</x:f>
        <x:v>69.3</x:v>
      </x:c>
      <x:c r="O2442" s="9" t="n">
        <x:f>M2442-N2442</x:f>
        <x:v>623.7</x:v>
      </x:c>
      <x:c r="P2442" s="9" t="n">
        <x:f>IF(D2442="Completed",L2442*J2442*(1-K2442),0)</x:f>
        <x:v>0</x:v>
      </x:c>
      <x:c r="Q2442" s="9" t="n">
        <x:f>O2442-P2442</x:f>
        <x:v>623.7</x:v>
      </x:c>
      <x:c r="R2442" s="11" t="n">
        <x:f>IF(D2442="Completed",I2442,0)</x:f>
        <x:v>3</x:v>
      </x:c>
      <x:c r="S2442" s="11" t="n">
        <x:f>IF(D2442="Completed",L2442,0)</x:f>
        <x:v>0</x:v>
      </x:c>
      <x:c r="T2442" s="8" t="n">
        <x:f>DATE(YEAR(C2442),MONTH(C2442),1)</x:f>
        <x:v>45809</x:v>
      </x:c>
    </x:row>
    <x:row r="2443" ht="22" customHeight="1">
      <x:c r="A2443" s="2" t="str">
        <x:v>L002439</x:v>
      </x:c>
      <x:c r="B2443" s="2" t="str">
        <x:v>O01002</x:v>
      </x:c>
      <x:c r="C2443" s="7" t="n">
        <x:v>45809</x:v>
      </x:c>
      <x:c r="D2443" s="2" t="str">
        <x:v>Completed</x:v>
      </x:c>
      <x:c r="E2443" s="2" t="str">
        <x:v>West</x:v>
      </x:c>
      <x:c r="F2443" s="2" t="str">
        <x:v>Store</x:v>
      </x:c>
      <x:c r="G2443" s="2" t="str">
        <x:v>Storage</x:v>
      </x:c>
      <x:c r="H2443" s="2" t="str">
        <x:v>Shelf 019</x:v>
      </x:c>
      <x:c r="I2443" s="11" t="n">
        <x:v>5</x:v>
      </x:c>
      <x:c r="J2443" s="9" t="n">
        <x:v>78</x:v>
      </x:c>
      <x:c r="K2443" s="10" t="n">
        <x:v>0.2</x:v>
      </x:c>
      <x:c r="L2443" s="11" t="n">
        <x:v>0</x:v>
      </x:c>
      <x:c r="M2443" s="9" t="n">
        <x:f>IF(D2443="Completed",I2443*J2443,0)</x:f>
        <x:v>390</x:v>
      </x:c>
      <x:c r="N2443" s="9" t="n">
        <x:f>M2443*K2443</x:f>
        <x:v>78</x:v>
      </x:c>
      <x:c r="O2443" s="9" t="n">
        <x:f>M2443-N2443</x:f>
        <x:v>312</x:v>
      </x:c>
      <x:c r="P2443" s="9" t="n">
        <x:f>IF(D2443="Completed",L2443*J2443*(1-K2443),0)</x:f>
        <x:v>0</x:v>
      </x:c>
      <x:c r="Q2443" s="9" t="n">
        <x:f>O2443-P2443</x:f>
        <x:v>312</x:v>
      </x:c>
      <x:c r="R2443" s="11" t="n">
        <x:f>IF(D2443="Completed",I2443,0)</x:f>
        <x:v>5</x:v>
      </x:c>
      <x:c r="S2443" s="11" t="n">
        <x:f>IF(D2443="Completed",L2443,0)</x:f>
        <x:v>0</x:v>
      </x:c>
      <x:c r="T2443" s="8" t="n">
        <x:f>DATE(YEAR(C2443),MONTH(C2443),1)</x:f>
        <x:v>45809</x:v>
      </x:c>
    </x:row>
    <x:row r="2444" ht="22" customHeight="1">
      <x:c r="A2444" s="2" t="str">
        <x:v>L002440</x:v>
      </x:c>
      <x:c r="B2444" s="2" t="str">
        <x:v>O01002</x:v>
      </x:c>
      <x:c r="C2444" s="7" t="n">
        <x:v>45809</x:v>
      </x:c>
      <x:c r="D2444" s="2" t="str">
        <x:v>Completed</x:v>
      </x:c>
      <x:c r="E2444" s="2" t="str">
        <x:v>West</x:v>
      </x:c>
      <x:c r="F2444" s="2" t="str">
        <x:v>Store</x:v>
      </x:c>
      <x:c r="G2444" s="2" t="str">
        <x:v>Lighting</x:v>
      </x:c>
      <x:c r="H2444" s="2" t="str">
        <x:v>Lamp 005</x:v>
      </x:c>
      <x:c r="I2444" s="11" t="n">
        <x:v>4</x:v>
      </x:c>
      <x:c r="J2444" s="9" t="n">
        <x:v>65</x:v>
      </x:c>
      <x:c r="K2444" s="10" t="n">
        <x:v>0.05</x:v>
      </x:c>
      <x:c r="L2444" s="11" t="n">
        <x:v>0</x:v>
      </x:c>
      <x:c r="M2444" s="9" t="n">
        <x:f>IF(D2444="Completed",I2444*J2444,0)</x:f>
        <x:v>260</x:v>
      </x:c>
      <x:c r="N2444" s="9" t="n">
        <x:f>M2444*K2444</x:f>
        <x:v>13</x:v>
      </x:c>
      <x:c r="O2444" s="9" t="n">
        <x:f>M2444-N2444</x:f>
        <x:v>247</x:v>
      </x:c>
      <x:c r="P2444" s="9" t="n">
        <x:f>IF(D2444="Completed",L2444*J2444*(1-K2444),0)</x:f>
        <x:v>0</x:v>
      </x:c>
      <x:c r="Q2444" s="9" t="n">
        <x:f>O2444-P2444</x:f>
        <x:v>247</x:v>
      </x:c>
      <x:c r="R2444" s="11" t="n">
        <x:f>IF(D2444="Completed",I2444,0)</x:f>
        <x:v>4</x:v>
      </x:c>
      <x:c r="S2444" s="11" t="n">
        <x:f>IF(D2444="Completed",L2444,0)</x:f>
        <x:v>0</x:v>
      </x:c>
      <x:c r="T2444" s="8" t="n">
        <x:f>DATE(YEAR(C2444),MONTH(C2444),1)</x:f>
        <x:v>45809</x:v>
      </x:c>
    </x:row>
    <x:row r="2445" ht="22" customHeight="1">
      <x:c r="A2445" s="2" t="str">
        <x:v>L002441</x:v>
      </x:c>
      <x:c r="B2445" s="2" t="str">
        <x:v>O01002</x:v>
      </x:c>
      <x:c r="C2445" s="7" t="n">
        <x:v>45809</x:v>
      </x:c>
      <x:c r="D2445" s="2" t="str">
        <x:v>Completed</x:v>
      </x:c>
      <x:c r="E2445" s="2" t="str">
        <x:v>West</x:v>
      </x:c>
      <x:c r="F2445" s="2" t="str">
        <x:v>Store</x:v>
      </x:c>
      <x:c r="G2445" s="2" t="str">
        <x:v>Furniture</x:v>
      </x:c>
      <x:c r="H2445" s="2" t="str">
        <x:v>Chair 010</x:v>
      </x:c>
      <x:c r="I2445" s="11" t="n">
        <x:v>2</x:v>
      </x:c>
      <x:c r="J2445" s="9" t="n">
        <x:v>211</x:v>
      </x:c>
      <x:c r="K2445" s="10" t="n">
        <x:v>0.05</x:v>
      </x:c>
      <x:c r="L2445" s="11" t="n">
        <x:v>0</x:v>
      </x:c>
      <x:c r="M2445" s="9" t="n">
        <x:f>IF(D2445="Completed",I2445*J2445,0)</x:f>
        <x:v>422</x:v>
      </x:c>
      <x:c r="N2445" s="9" t="n">
        <x:f>M2445*K2445</x:f>
        <x:v>21.1</x:v>
      </x:c>
      <x:c r="O2445" s="9" t="n">
        <x:f>M2445-N2445</x:f>
        <x:v>400.9</x:v>
      </x:c>
      <x:c r="P2445" s="9" t="n">
        <x:f>IF(D2445="Completed",L2445*J2445*(1-K2445),0)</x:f>
        <x:v>0</x:v>
      </x:c>
      <x:c r="Q2445" s="9" t="n">
        <x:f>O2445-P2445</x:f>
        <x:v>400.9</x:v>
      </x:c>
      <x:c r="R2445" s="11" t="n">
        <x:f>IF(D2445="Completed",I2445,0)</x:f>
        <x:v>2</x:v>
      </x:c>
      <x:c r="S2445" s="11" t="n">
        <x:f>IF(D2445="Completed",L2445,0)</x:f>
        <x:v>0</x:v>
      </x:c>
      <x:c r="T2445" s="8" t="n">
        <x:f>DATE(YEAR(C2445),MONTH(C2445),1)</x:f>
        <x:v>45809</x:v>
      </x:c>
    </x:row>
    <x:row r="2446" ht="22" customHeight="1">
      <x:c r="A2446" s="2" t="str">
        <x:v>L002442</x:v>
      </x:c>
      <x:c r="B2446" s="2" t="str">
        <x:v>O01003</x:v>
      </x:c>
      <x:c r="C2446" s="7" t="n">
        <x:v>45817</x:v>
      </x:c>
      <x:c r="D2446" s="2" t="str">
        <x:v>Completed</x:v>
      </x:c>
      <x:c r="E2446" s="2" t="str">
        <x:v>West</x:v>
      </x:c>
      <x:c r="F2446" s="2" t="str">
        <x:v>Store</x:v>
      </x:c>
      <x:c r="G2446" s="2" t="str">
        <x:v>Lighting</x:v>
      </x:c>
      <x:c r="H2446" s="2" t="str">
        <x:v>Lamp 021</x:v>
      </x:c>
      <x:c r="I2446" s="11" t="n">
        <x:v>5</x:v>
      </x:c>
      <x:c r="J2446" s="9" t="n">
        <x:v>249</x:v>
      </x:c>
      <x:c r="K2446" s="10" t="n">
        <x:v>0.1</x:v>
      </x:c>
      <x:c r="L2446" s="11" t="n">
        <x:v>3</x:v>
      </x:c>
      <x:c r="M2446" s="9" t="n">
        <x:f>IF(D2446="Completed",I2446*J2446,0)</x:f>
        <x:v>1245</x:v>
      </x:c>
      <x:c r="N2446" s="9" t="n">
        <x:f>M2446*K2446</x:f>
        <x:v>124.5</x:v>
      </x:c>
      <x:c r="O2446" s="9" t="n">
        <x:f>M2446-N2446</x:f>
        <x:v>1120.5</x:v>
      </x:c>
      <x:c r="P2446" s="9" t="n">
        <x:f>IF(D2446="Completed",L2446*J2446*(1-K2446),0)</x:f>
        <x:v>672.3000000000001</x:v>
      </x:c>
      <x:c r="Q2446" s="9" t="n">
        <x:f>O2446-P2446</x:f>
        <x:v>448.19999999999993</x:v>
      </x:c>
      <x:c r="R2446" s="11" t="n">
        <x:f>IF(D2446="Completed",I2446,0)</x:f>
        <x:v>5</x:v>
      </x:c>
      <x:c r="S2446" s="11" t="n">
        <x:f>IF(D2446="Completed",L2446,0)</x:f>
        <x:v>3</x:v>
      </x:c>
      <x:c r="T2446" s="8" t="n">
        <x:f>DATE(YEAR(C2446),MONTH(C2446),1)</x:f>
        <x:v>45809</x:v>
      </x:c>
    </x:row>
    <x:row r="2447" ht="22" customHeight="1">
      <x:c r="A2447" s="2" t="str">
        <x:v>L002443</x:v>
      </x:c>
      <x:c r="B2447" s="2" t="str">
        <x:v>O01004</x:v>
      </x:c>
      <x:c r="C2447" s="7" t="n">
        <x:v>45912</x:v>
      </x:c>
      <x:c r="D2447" s="2" t="str">
        <x:v>Completed</x:v>
      </x:c>
      <x:c r="E2447" s="2" t="str">
        <x:v>West</x:v>
      </x:c>
      <x:c r="F2447" s="2" t="str">
        <x:v>Store</x:v>
      </x:c>
      <x:c r="G2447" s="2" t="str">
        <x:v>Storage</x:v>
      </x:c>
      <x:c r="H2447" s="2" t="str">
        <x:v>Shelf 023</x:v>
      </x:c>
      <x:c r="I2447" s="11" t="n">
        <x:v>2</x:v>
      </x:c>
      <x:c r="J2447" s="9" t="n">
        <x:v>68</x:v>
      </x:c>
      <x:c r="K2447" s="10" t="n">
        <x:v>0.05</x:v>
      </x:c>
      <x:c r="L2447" s="11" t="n">
        <x:v>0</x:v>
      </x:c>
      <x:c r="M2447" s="9" t="n">
        <x:f>IF(D2447="Completed",I2447*J2447,0)</x:f>
        <x:v>136</x:v>
      </x:c>
      <x:c r="N2447" s="9" t="n">
        <x:f>M2447*K2447</x:f>
        <x:v>6.800000000000001</x:v>
      </x:c>
      <x:c r="O2447" s="9" t="n">
        <x:f>M2447-N2447</x:f>
        <x:v>129.2</x:v>
      </x:c>
      <x:c r="P2447" s="9" t="n">
        <x:f>IF(D2447="Completed",L2447*J2447*(1-K2447),0)</x:f>
        <x:v>0</x:v>
      </x:c>
      <x:c r="Q2447" s="9" t="n">
        <x:f>O2447-P2447</x:f>
        <x:v>129.2</x:v>
      </x:c>
      <x:c r="R2447" s="11" t="n">
        <x:f>IF(D2447="Completed",I2447,0)</x:f>
        <x:v>2</x:v>
      </x:c>
      <x:c r="S2447" s="11" t="n">
        <x:f>IF(D2447="Completed",L2447,0)</x:f>
        <x:v>0</x:v>
      </x:c>
      <x:c r="T2447" s="8" t="n">
        <x:f>DATE(YEAR(C2447),MONTH(C2447),1)</x:f>
        <x:v>45901</x:v>
      </x:c>
    </x:row>
    <x:row r="2448" ht="22" customHeight="1">
      <x:c r="A2448" s="2" t="str">
        <x:v>L002444</x:v>
      </x:c>
      <x:c r="B2448" s="2" t="str">
        <x:v>O01004</x:v>
      </x:c>
      <x:c r="C2448" s="7" t="n">
        <x:v>45912</x:v>
      </x:c>
      <x:c r="D2448" s="2" t="str">
        <x:v>Completed</x:v>
      </x:c>
      <x:c r="E2448" s="2" t="str">
        <x:v>West</x:v>
      </x:c>
      <x:c r="F2448" s="2" t="str">
        <x:v>Store</x:v>
      </x:c>
      <x:c r="G2448" s="2" t="str">
        <x:v>Furniture</x:v>
      </x:c>
      <x:c r="H2448" s="2" t="str">
        <x:v>Chair 006</x:v>
      </x:c>
      <x:c r="I2448" s="11" t="n">
        <x:v>2</x:v>
      </x:c>
      <x:c r="J2448" s="9" t="n">
        <x:v>196</x:v>
      </x:c>
      <x:c r="K2448" s="10" t="n">
        <x:v>0.05</x:v>
      </x:c>
      <x:c r="L2448" s="11" t="n">
        <x:v>0</x:v>
      </x:c>
      <x:c r="M2448" s="9" t="n">
        <x:f>IF(D2448="Completed",I2448*J2448,0)</x:f>
        <x:v>392</x:v>
      </x:c>
      <x:c r="N2448" s="9" t="n">
        <x:f>M2448*K2448</x:f>
        <x:v>19.6</x:v>
      </x:c>
      <x:c r="O2448" s="9" t="n">
        <x:f>M2448-N2448</x:f>
        <x:v>372.4</x:v>
      </x:c>
      <x:c r="P2448" s="9" t="n">
        <x:f>IF(D2448="Completed",L2448*J2448*(1-K2448),0)</x:f>
        <x:v>0</x:v>
      </x:c>
      <x:c r="Q2448" s="9" t="n">
        <x:f>O2448-P2448</x:f>
        <x:v>372.4</x:v>
      </x:c>
      <x:c r="R2448" s="11" t="n">
        <x:f>IF(D2448="Completed",I2448,0)</x:f>
        <x:v>2</x:v>
      </x:c>
      <x:c r="S2448" s="11" t="n">
        <x:f>IF(D2448="Completed",L2448,0)</x:f>
        <x:v>0</x:v>
      </x:c>
      <x:c r="T2448" s="8" t="n">
        <x:f>DATE(YEAR(C2448),MONTH(C2448),1)</x:f>
        <x:v>45901</x:v>
      </x:c>
    </x:row>
    <x:row r="2449" ht="22" customHeight="1">
      <x:c r="A2449" s="2" t="str">
        <x:v>L002445</x:v>
      </x:c>
      <x:c r="B2449" s="2" t="str">
        <x:v>O01004</x:v>
      </x:c>
      <x:c r="C2449" s="7" t="n">
        <x:v>45912</x:v>
      </x:c>
      <x:c r="D2449" s="2" t="str">
        <x:v>Completed</x:v>
      </x:c>
      <x:c r="E2449" s="2" t="str">
        <x:v>West</x:v>
      </x:c>
      <x:c r="F2449" s="2" t="str">
        <x:v>Store</x:v>
      </x:c>
      <x:c r="G2449" s="2" t="str">
        <x:v>Lighting</x:v>
      </x:c>
      <x:c r="H2449" s="2" t="str">
        <x:v>Lamp 005</x:v>
      </x:c>
      <x:c r="I2449" s="11" t="n">
        <x:v>4</x:v>
      </x:c>
      <x:c r="J2449" s="9" t="n">
        <x:v>65</x:v>
      </x:c>
      <x:c r="K2449" s="10" t="n">
        <x:v>0.1</x:v>
      </x:c>
      <x:c r="L2449" s="11" t="n">
        <x:v>0</x:v>
      </x:c>
      <x:c r="M2449" s="9" t="n">
        <x:f>IF(D2449="Completed",I2449*J2449,0)</x:f>
        <x:v>260</x:v>
      </x:c>
      <x:c r="N2449" s="9" t="n">
        <x:f>M2449*K2449</x:f>
        <x:v>26</x:v>
      </x:c>
      <x:c r="O2449" s="9" t="n">
        <x:f>M2449-N2449</x:f>
        <x:v>234</x:v>
      </x:c>
      <x:c r="P2449" s="9" t="n">
        <x:f>IF(D2449="Completed",L2449*J2449*(1-K2449),0)</x:f>
        <x:v>0</x:v>
      </x:c>
      <x:c r="Q2449" s="9" t="n">
        <x:f>O2449-P2449</x:f>
        <x:v>234</x:v>
      </x:c>
      <x:c r="R2449" s="11" t="n">
        <x:f>IF(D2449="Completed",I2449,0)</x:f>
        <x:v>4</x:v>
      </x:c>
      <x:c r="S2449" s="11" t="n">
        <x:f>IF(D2449="Completed",L2449,0)</x:f>
        <x:v>0</x:v>
      </x:c>
      <x:c r="T2449" s="8" t="n">
        <x:f>DATE(YEAR(C2449),MONTH(C2449),1)</x:f>
        <x:v>45901</x:v>
      </x:c>
    </x:row>
    <x:row r="2450" ht="22" customHeight="1">
      <x:c r="A2450" s="2" t="str">
        <x:v>L002446</x:v>
      </x:c>
      <x:c r="B2450" s="2" t="str">
        <x:v>O01005</x:v>
      </x:c>
      <x:c r="C2450" s="7" t="n">
        <x:v>45809</x:v>
      </x:c>
      <x:c r="D2450" s="2" t="str">
        <x:v>Completed</x:v>
      </x:c>
      <x:c r="E2450" s="2" t="str">
        <x:v>North</x:v>
      </x:c>
      <x:c r="F2450" s="2" t="str">
        <x:v>Online</x:v>
      </x:c>
      <x:c r="G2450" s="2" t="str">
        <x:v>Furniture</x:v>
      </x:c>
      <x:c r="H2450" s="2" t="str">
        <x:v>Desk 008</x:v>
      </x:c>
      <x:c r="I2450" s="11" t="n">
        <x:v>5</x:v>
      </x:c>
      <x:c r="J2450" s="9" t="n">
        <x:v>188</x:v>
      </x:c>
      <x:c r="K2450" s="10" t="n">
        <x:v>0</x:v>
      </x:c>
      <x:c r="L2450" s="11" t="n">
        <x:v>0</x:v>
      </x:c>
      <x:c r="M2450" s="9" t="n">
        <x:f>IF(D2450="Completed",I2450*J2450,0)</x:f>
        <x:v>940</x:v>
      </x:c>
      <x:c r="N2450" s="9" t="n">
        <x:f>M2450*K2450</x:f>
        <x:v>0</x:v>
      </x:c>
      <x:c r="O2450" s="9" t="n">
        <x:f>M2450-N2450</x:f>
        <x:v>940</x:v>
      </x:c>
      <x:c r="P2450" s="9" t="n">
        <x:f>IF(D2450="Completed",L2450*J2450*(1-K2450),0)</x:f>
        <x:v>0</x:v>
      </x:c>
      <x:c r="Q2450" s="9" t="n">
        <x:f>O2450-P2450</x:f>
        <x:v>940</x:v>
      </x:c>
      <x:c r="R2450" s="11" t="n">
        <x:f>IF(D2450="Completed",I2450,0)</x:f>
        <x:v>5</x:v>
      </x:c>
      <x:c r="S2450" s="11" t="n">
        <x:f>IF(D2450="Completed",L2450,0)</x:f>
        <x:v>0</x:v>
      </x:c>
      <x:c r="T2450" s="8" t="n">
        <x:f>DATE(YEAR(C2450),MONTH(C2450),1)</x:f>
        <x:v>45809</x:v>
      </x:c>
    </x:row>
    <x:row r="2451" ht="22" customHeight="1">
      <x:c r="A2451" s="2" t="str">
        <x:v>L002447</x:v>
      </x:c>
      <x:c r="B2451" s="2" t="str">
        <x:v>O01006</x:v>
      </x:c>
      <x:c r="C2451" s="7" t="n">
        <x:v>45771</x:v>
      </x:c>
      <x:c r="D2451" s="2" t="str">
        <x:v>Completed</x:v>
      </x:c>
      <x:c r="E2451" s="2" t="str">
        <x:v>North</x:v>
      </x:c>
      <x:c r="F2451" s="2" t="str">
        <x:v>Store</x:v>
      </x:c>
      <x:c r="G2451" s="2" t="str">
        <x:v>Lighting</x:v>
      </x:c>
      <x:c r="H2451" s="2" t="str">
        <x:v>Lamp 017</x:v>
      </x:c>
      <x:c r="I2451" s="11" t="n">
        <x:v>2</x:v>
      </x:c>
      <x:c r="J2451" s="9" t="n">
        <x:v>300</x:v>
      </x:c>
      <x:c r="K2451" s="10" t="n">
        <x:v>0</x:v>
      </x:c>
      <x:c r="L2451" s="11" t="n">
        <x:v>0</x:v>
      </x:c>
      <x:c r="M2451" s="9" t="n">
        <x:f>IF(D2451="Completed",I2451*J2451,0)</x:f>
        <x:v>600</x:v>
      </x:c>
      <x:c r="N2451" s="9" t="n">
        <x:f>M2451*K2451</x:f>
        <x:v>0</x:v>
      </x:c>
      <x:c r="O2451" s="9" t="n">
        <x:f>M2451-N2451</x:f>
        <x:v>600</x:v>
      </x:c>
      <x:c r="P2451" s="9" t="n">
        <x:f>IF(D2451="Completed",L2451*J2451*(1-K2451),0)</x:f>
        <x:v>0</x:v>
      </x:c>
      <x:c r="Q2451" s="9" t="n">
        <x:f>O2451-P2451</x:f>
        <x:v>600</x:v>
      </x:c>
      <x:c r="R2451" s="11" t="n">
        <x:f>IF(D2451="Completed",I2451,0)</x:f>
        <x:v>2</x:v>
      </x:c>
      <x:c r="S2451" s="11" t="n">
        <x:f>IF(D2451="Completed",L2451,0)</x:f>
        <x:v>0</x:v>
      </x:c>
      <x:c r="T2451" s="8" t="n">
        <x:f>DATE(YEAR(C2451),MONTH(C2451),1)</x:f>
        <x:v>45748</x:v>
      </x:c>
    </x:row>
    <x:row r="2452" ht="22" customHeight="1">
      <x:c r="A2452" s="2" t="str">
        <x:v>L002448</x:v>
      </x:c>
      <x:c r="B2452" s="2" t="str">
        <x:v>O01006</x:v>
      </x:c>
      <x:c r="C2452" s="7" t="n">
        <x:v>45771</x:v>
      </x:c>
      <x:c r="D2452" s="2" t="str">
        <x:v>Completed</x:v>
      </x:c>
      <x:c r="E2452" s="2" t="str">
        <x:v>North</x:v>
      </x:c>
      <x:c r="F2452" s="2" t="str">
        <x:v>Store</x:v>
      </x:c>
      <x:c r="G2452" s="2" t="str">
        <x:v>Furniture</x:v>
      </x:c>
      <x:c r="H2452" s="2" t="str">
        <x:v>Desk 016</x:v>
      </x:c>
      <x:c r="I2452" s="11" t="n">
        <x:v>3</x:v>
      </x:c>
      <x:c r="J2452" s="9" t="n">
        <x:v>231</x:v>
      </x:c>
      <x:c r="K2452" s="10" t="n">
        <x:v>0.2</x:v>
      </x:c>
      <x:c r="L2452" s="11" t="n">
        <x:v>0</x:v>
      </x:c>
      <x:c r="M2452" s="9" t="n">
        <x:f>IF(D2452="Completed",I2452*J2452,0)</x:f>
        <x:v>693</x:v>
      </x:c>
      <x:c r="N2452" s="9" t="n">
        <x:f>M2452*K2452</x:f>
        <x:v>138.6</x:v>
      </x:c>
      <x:c r="O2452" s="9" t="n">
        <x:f>M2452-N2452</x:f>
        <x:v>554.4</x:v>
      </x:c>
      <x:c r="P2452" s="9" t="n">
        <x:f>IF(D2452="Completed",L2452*J2452*(1-K2452),0)</x:f>
        <x:v>0</x:v>
      </x:c>
      <x:c r="Q2452" s="9" t="n">
        <x:f>O2452-P2452</x:f>
        <x:v>554.4</x:v>
      </x:c>
      <x:c r="R2452" s="11" t="n">
        <x:f>IF(D2452="Completed",I2452,0)</x:f>
        <x:v>3</x:v>
      </x:c>
      <x:c r="S2452" s="11" t="n">
        <x:f>IF(D2452="Completed",L2452,0)</x:f>
        <x:v>0</x:v>
      </x:c>
      <x:c r="T2452" s="8" t="n">
        <x:f>DATE(YEAR(C2452),MONTH(C2452),1)</x:f>
        <x:v>45748</x:v>
      </x:c>
    </x:row>
    <x:row r="2453" ht="22" customHeight="1">
      <x:c r="A2453" s="2" t="str">
        <x:v>L002449</x:v>
      </x:c>
      <x:c r="B2453" s="2" t="str">
        <x:v>O01007</x:v>
      </x:c>
      <x:c r="C2453" s="7" t="n">
        <x:v>45937</x:v>
      </x:c>
      <x:c r="D2453" s="2" t="str">
        <x:v>Completed</x:v>
      </x:c>
      <x:c r="E2453" s="2" t="str">
        <x:v>South</x:v>
      </x:c>
      <x:c r="F2453" s="2" t="str">
        <x:v>Store</x:v>
      </x:c>
      <x:c r="G2453" s="2" t="str">
        <x:v>Furniture</x:v>
      </x:c>
      <x:c r="H2453" s="2" t="str">
        <x:v>Desk 020</x:v>
      </x:c>
      <x:c r="I2453" s="11" t="n">
        <x:v>3</x:v>
      </x:c>
      <x:c r="J2453" s="9" t="n">
        <x:v>189</x:v>
      </x:c>
      <x:c r="K2453" s="10" t="n">
        <x:v>0.1</x:v>
      </x:c>
      <x:c r="L2453" s="11" t="n">
        <x:v>0</x:v>
      </x:c>
      <x:c r="M2453" s="9" t="n">
        <x:f>IF(D2453="Completed",I2453*J2453,0)</x:f>
        <x:v>567</x:v>
      </x:c>
      <x:c r="N2453" s="9" t="n">
        <x:f>M2453*K2453</x:f>
        <x:v>56.7</x:v>
      </x:c>
      <x:c r="O2453" s="9" t="n">
        <x:f>M2453-N2453</x:f>
        <x:v>510.3</x:v>
      </x:c>
      <x:c r="P2453" s="9" t="n">
        <x:f>IF(D2453="Completed",L2453*J2453*(1-K2453),0)</x:f>
        <x:v>0</x:v>
      </x:c>
      <x:c r="Q2453" s="9" t="n">
        <x:f>O2453-P2453</x:f>
        <x:v>510.3</x:v>
      </x:c>
      <x:c r="R2453" s="11" t="n">
        <x:f>IF(D2453="Completed",I2453,0)</x:f>
        <x:v>3</x:v>
      </x:c>
      <x:c r="S2453" s="11" t="n">
        <x:f>IF(D2453="Completed",L2453,0)</x:f>
        <x:v>0</x:v>
      </x:c>
      <x:c r="T2453" s="8" t="n">
        <x:f>DATE(YEAR(C2453),MONTH(C2453),1)</x:f>
        <x:v>45931</x:v>
      </x:c>
    </x:row>
    <x:row r="2454" ht="22" customHeight="1">
      <x:c r="A2454" s="2" t="str">
        <x:v>L002450</x:v>
      </x:c>
      <x:c r="B2454" s="2" t="str">
        <x:v>O01007</x:v>
      </x:c>
      <x:c r="C2454" s="7" t="n">
        <x:v>45937</x:v>
      </x:c>
      <x:c r="D2454" s="2" t="str">
        <x:v>Completed</x:v>
      </x:c>
      <x:c r="E2454" s="2" t="str">
        <x:v>South</x:v>
      </x:c>
      <x:c r="F2454" s="2" t="str">
        <x:v>Store</x:v>
      </x:c>
      <x:c r="G2454" s="2" t="str">
        <x:v>Storage</x:v>
      </x:c>
      <x:c r="H2454" s="2" t="str">
        <x:v>Shelf 007</x:v>
      </x:c>
      <x:c r="I2454" s="11" t="n">
        <x:v>1</x:v>
      </x:c>
      <x:c r="J2454" s="9" t="n">
        <x:v>35</x:v>
      </x:c>
      <x:c r="K2454" s="10" t="n">
        <x:v>0</x:v>
      </x:c>
      <x:c r="L2454" s="11" t="n">
        <x:v>1</x:v>
      </x:c>
      <x:c r="M2454" s="9" t="n">
        <x:f>IF(D2454="Completed",I2454*J2454,0)</x:f>
        <x:v>35</x:v>
      </x:c>
      <x:c r="N2454" s="9" t="n">
        <x:f>M2454*K2454</x:f>
        <x:v>0</x:v>
      </x:c>
      <x:c r="O2454" s="9" t="n">
        <x:f>M2454-N2454</x:f>
        <x:v>35</x:v>
      </x:c>
      <x:c r="P2454" s="9" t="n">
        <x:f>IF(D2454="Completed",L2454*J2454*(1-K2454),0)</x:f>
        <x:v>35</x:v>
      </x:c>
      <x:c r="Q2454" s="9" t="n">
        <x:f>O2454-P2454</x:f>
        <x:v>0</x:v>
      </x:c>
      <x:c r="R2454" s="11" t="n">
        <x:f>IF(D2454="Completed",I2454,0)</x:f>
        <x:v>1</x:v>
      </x:c>
      <x:c r="S2454" s="11" t="n">
        <x:f>IF(D2454="Completed",L2454,0)</x:f>
        <x:v>1</x:v>
      </x:c>
      <x:c r="T2454" s="8" t="n">
        <x:f>DATE(YEAR(C2454),MONTH(C2454),1)</x:f>
        <x:v>45931</x:v>
      </x:c>
    </x:row>
    <x:row r="2455" ht="22" customHeight="1">
      <x:c r="A2455" s="2" t="str">
        <x:v>L002451</x:v>
      </x:c>
      <x:c r="B2455" s="2" t="str">
        <x:v>O01008</x:v>
      </x:c>
      <x:c r="C2455" s="7" t="n">
        <x:v>46007</x:v>
      </x:c>
      <x:c r="D2455" s="2" t="str">
        <x:v>Completed</x:v>
      </x:c>
      <x:c r="E2455" s="2" t="str">
        <x:v>West</x:v>
      </x:c>
      <x:c r="F2455" s="2" t="str">
        <x:v>Store</x:v>
      </x:c>
      <x:c r="G2455" s="2" t="str">
        <x:v>Storage</x:v>
      </x:c>
      <x:c r="H2455" s="2" t="str">
        <x:v>Shelf 011</x:v>
      </x:c>
      <x:c r="I2455" s="11" t="n">
        <x:v>4</x:v>
      </x:c>
      <x:c r="J2455" s="9" t="n">
        <x:v>80</x:v>
      </x:c>
      <x:c r="K2455" s="10" t="n">
        <x:v>0.05</x:v>
      </x:c>
      <x:c r="L2455" s="11" t="n">
        <x:v>0</x:v>
      </x:c>
      <x:c r="M2455" s="9" t="n">
        <x:f>IF(D2455="Completed",I2455*J2455,0)</x:f>
        <x:v>320</x:v>
      </x:c>
      <x:c r="N2455" s="9" t="n">
        <x:f>M2455*K2455</x:f>
        <x:v>16</x:v>
      </x:c>
      <x:c r="O2455" s="9" t="n">
        <x:f>M2455-N2455</x:f>
        <x:v>304</x:v>
      </x:c>
      <x:c r="P2455" s="9" t="n">
        <x:f>IF(D2455="Completed",L2455*J2455*(1-K2455),0)</x:f>
        <x:v>0</x:v>
      </x:c>
      <x:c r="Q2455" s="9" t="n">
        <x:f>O2455-P2455</x:f>
        <x:v>304</x:v>
      </x:c>
      <x:c r="R2455" s="11" t="n">
        <x:f>IF(D2455="Completed",I2455,0)</x:f>
        <x:v>4</x:v>
      </x:c>
      <x:c r="S2455" s="11" t="n">
        <x:f>IF(D2455="Completed",L2455,0)</x:f>
        <x:v>0</x:v>
      </x:c>
      <x:c r="T2455" s="8" t="n">
        <x:f>DATE(YEAR(C2455),MONTH(C2455),1)</x:f>
        <x:v>45992</x:v>
      </x:c>
    </x:row>
    <x:row r="2456" ht="22" customHeight="1">
      <x:c r="A2456" s="2" t="str">
        <x:v>L002452</x:v>
      </x:c>
      <x:c r="B2456" s="2" t="str">
        <x:v>O01009</x:v>
      </x:c>
      <x:c r="C2456" s="7" t="n">
        <x:v>45714</x:v>
      </x:c>
      <x:c r="D2456" s="2" t="str">
        <x:v>Completed</x:v>
      </x:c>
      <x:c r="E2456" s="2" t="str">
        <x:v>North</x:v>
      </x:c>
      <x:c r="F2456" s="2" t="str">
        <x:v>Online</x:v>
      </x:c>
      <x:c r="G2456" s="2" t="str">
        <x:v>Furniture</x:v>
      </x:c>
      <x:c r="H2456" s="2" t="str">
        <x:v>Desk 008</x:v>
      </x:c>
      <x:c r="I2456" s="11" t="n">
        <x:v>1</x:v>
      </x:c>
      <x:c r="J2456" s="9" t="n">
        <x:v>188</x:v>
      </x:c>
      <x:c r="K2456" s="10" t="n">
        <x:v>0</x:v>
      </x:c>
      <x:c r="L2456" s="11" t="n">
        <x:v>0</x:v>
      </x:c>
      <x:c r="M2456" s="9" t="n">
        <x:f>IF(D2456="Completed",I2456*J2456,0)</x:f>
        <x:v>188</x:v>
      </x:c>
      <x:c r="N2456" s="9" t="n">
        <x:f>M2456*K2456</x:f>
        <x:v>0</x:v>
      </x:c>
      <x:c r="O2456" s="9" t="n">
        <x:f>M2456-N2456</x:f>
        <x:v>188</x:v>
      </x:c>
      <x:c r="P2456" s="9" t="n">
        <x:f>IF(D2456="Completed",L2456*J2456*(1-K2456),0)</x:f>
        <x:v>0</x:v>
      </x:c>
      <x:c r="Q2456" s="9" t="n">
        <x:f>O2456-P2456</x:f>
        <x:v>188</x:v>
      </x:c>
      <x:c r="R2456" s="11" t="n">
        <x:f>IF(D2456="Completed",I2456,0)</x:f>
        <x:v>1</x:v>
      </x:c>
      <x:c r="S2456" s="11" t="n">
        <x:f>IF(D2456="Completed",L2456,0)</x:f>
        <x:v>0</x:v>
      </x:c>
      <x:c r="T2456" s="8" t="n">
        <x:f>DATE(YEAR(C2456),MONTH(C2456),1)</x:f>
        <x:v>45689</x:v>
      </x:c>
    </x:row>
    <x:row r="2457" ht="22" customHeight="1">
      <x:c r="A2457" s="2" t="str">
        <x:v>L002453</x:v>
      </x:c>
      <x:c r="B2457" s="2" t="str">
        <x:v>O01009</x:v>
      </x:c>
      <x:c r="C2457" s="7" t="n">
        <x:v>45714</x:v>
      </x:c>
      <x:c r="D2457" s="2" t="str">
        <x:v>Completed</x:v>
      </x:c>
      <x:c r="E2457" s="2" t="str">
        <x:v>North</x:v>
      </x:c>
      <x:c r="F2457" s="2" t="str">
        <x:v>Online</x:v>
      </x:c>
      <x:c r="G2457" s="2" t="str">
        <x:v>Lighting</x:v>
      </x:c>
      <x:c r="H2457" s="2" t="str">
        <x:v>Lamp 013</x:v>
      </x:c>
      <x:c r="I2457" s="11" t="n">
        <x:v>2</x:v>
      </x:c>
      <x:c r="J2457" s="9" t="n">
        <x:v>271</x:v>
      </x:c>
      <x:c r="K2457" s="10" t="n">
        <x:v>0.1</x:v>
      </x:c>
      <x:c r="L2457" s="11" t="n">
        <x:v>0</x:v>
      </x:c>
      <x:c r="M2457" s="9" t="n">
        <x:f>IF(D2457="Completed",I2457*J2457,0)</x:f>
        <x:v>542</x:v>
      </x:c>
      <x:c r="N2457" s="9" t="n">
        <x:f>M2457*K2457</x:f>
        <x:v>54.2</x:v>
      </x:c>
      <x:c r="O2457" s="9" t="n">
        <x:f>M2457-N2457</x:f>
        <x:v>487.8</x:v>
      </x:c>
      <x:c r="P2457" s="9" t="n">
        <x:f>IF(D2457="Completed",L2457*J2457*(1-K2457),0)</x:f>
        <x:v>0</x:v>
      </x:c>
      <x:c r="Q2457" s="9" t="n">
        <x:f>O2457-P2457</x:f>
        <x:v>487.8</x:v>
      </x:c>
      <x:c r="R2457" s="11" t="n">
        <x:f>IF(D2457="Completed",I2457,0)</x:f>
        <x:v>2</x:v>
      </x:c>
      <x:c r="S2457" s="11" t="n">
        <x:f>IF(D2457="Completed",L2457,0)</x:f>
        <x:v>0</x:v>
      </x:c>
      <x:c r="T2457" s="8" t="n">
        <x:f>DATE(YEAR(C2457),MONTH(C2457),1)</x:f>
        <x:v>45689</x:v>
      </x:c>
    </x:row>
    <x:row r="2458" ht="22" customHeight="1">
      <x:c r="A2458" s="2" t="str">
        <x:v>L002454</x:v>
      </x:c>
      <x:c r="B2458" s="2" t="str">
        <x:v>O01009</x:v>
      </x:c>
      <x:c r="C2458" s="7" t="n">
        <x:v>45714</x:v>
      </x:c>
      <x:c r="D2458" s="2" t="str">
        <x:v>Completed</x:v>
      </x:c>
      <x:c r="E2458" s="2" t="str">
        <x:v>North</x:v>
      </x:c>
      <x:c r="F2458" s="2" t="str">
        <x:v>Online</x:v>
      </x:c>
      <x:c r="G2458" s="2" t="str">
        <x:v>Lighting</x:v>
      </x:c>
      <x:c r="H2458" s="2" t="str">
        <x:v>Lamp 009</x:v>
      </x:c>
      <x:c r="I2458" s="11" t="n">
        <x:v>5</x:v>
      </x:c>
      <x:c r="J2458" s="9" t="n">
        <x:v>93</x:v>
      </x:c>
      <x:c r="K2458" s="10" t="n">
        <x:v>0</x:v>
      </x:c>
      <x:c r="L2458" s="11" t="n">
        <x:v>0</x:v>
      </x:c>
      <x:c r="M2458" s="9" t="n">
        <x:f>IF(D2458="Completed",I2458*J2458,0)</x:f>
        <x:v>465</x:v>
      </x:c>
      <x:c r="N2458" s="9" t="n">
        <x:f>M2458*K2458</x:f>
        <x:v>0</x:v>
      </x:c>
      <x:c r="O2458" s="9" t="n">
        <x:f>M2458-N2458</x:f>
        <x:v>465</x:v>
      </x:c>
      <x:c r="P2458" s="9" t="n">
        <x:f>IF(D2458="Completed",L2458*J2458*(1-K2458),0)</x:f>
        <x:v>0</x:v>
      </x:c>
      <x:c r="Q2458" s="9" t="n">
        <x:f>O2458-P2458</x:f>
        <x:v>465</x:v>
      </x:c>
      <x:c r="R2458" s="11" t="n">
        <x:f>IF(D2458="Completed",I2458,0)</x:f>
        <x:v>5</x:v>
      </x:c>
      <x:c r="S2458" s="11" t="n">
        <x:f>IF(D2458="Completed",L2458,0)</x:f>
        <x:v>0</x:v>
      </x:c>
      <x:c r="T2458" s="8" t="n">
        <x:f>DATE(YEAR(C2458),MONTH(C2458),1)</x:f>
        <x:v>45689</x:v>
      </x:c>
    </x:row>
    <x:row r="2459" ht="22" customHeight="1">
      <x:c r="A2459" s="2" t="str">
        <x:v>L002455</x:v>
      </x:c>
      <x:c r="B2459" s="2" t="str">
        <x:v>O01009</x:v>
      </x:c>
      <x:c r="C2459" s="7" t="n">
        <x:v>45714</x:v>
      </x:c>
      <x:c r="D2459" s="2" t="str">
        <x:v>Completed</x:v>
      </x:c>
      <x:c r="E2459" s="2" t="str">
        <x:v>North</x:v>
      </x:c>
      <x:c r="F2459" s="2" t="str">
        <x:v>Online</x:v>
      </x:c>
      <x:c r="G2459" s="2" t="str">
        <x:v>Storage</x:v>
      </x:c>
      <x:c r="H2459" s="2" t="str">
        <x:v>Shelf 003</x:v>
      </x:c>
      <x:c r="I2459" s="11" t="n">
        <x:v>5</x:v>
      </x:c>
      <x:c r="J2459" s="9" t="n">
        <x:v>199</x:v>
      </x:c>
      <x:c r="K2459" s="10" t="n">
        <x:v>0</x:v>
      </x:c>
      <x:c r="L2459" s="11" t="n">
        <x:v>0</x:v>
      </x:c>
      <x:c r="M2459" s="9" t="n">
        <x:f>IF(D2459="Completed",I2459*J2459,0)</x:f>
        <x:v>995</x:v>
      </x:c>
      <x:c r="N2459" s="9" t="n">
        <x:f>M2459*K2459</x:f>
        <x:v>0</x:v>
      </x:c>
      <x:c r="O2459" s="9" t="n">
        <x:f>M2459-N2459</x:f>
        <x:v>995</x:v>
      </x:c>
      <x:c r="P2459" s="9" t="n">
        <x:f>IF(D2459="Completed",L2459*J2459*(1-K2459),0)</x:f>
        <x:v>0</x:v>
      </x:c>
      <x:c r="Q2459" s="9" t="n">
        <x:f>O2459-P2459</x:f>
        <x:v>995</x:v>
      </x:c>
      <x:c r="R2459" s="11" t="n">
        <x:f>IF(D2459="Completed",I2459,0)</x:f>
        <x:v>5</x:v>
      </x:c>
      <x:c r="S2459" s="11" t="n">
        <x:f>IF(D2459="Completed",L2459,0)</x:f>
        <x:v>0</x:v>
      </x:c>
      <x:c r="T2459" s="8" t="n">
        <x:f>DATE(YEAR(C2459),MONTH(C2459),1)</x:f>
        <x:v>45689</x:v>
      </x:c>
    </x:row>
    <x:row r="2460" ht="22" customHeight="1">
      <x:c r="A2460" s="2" t="str">
        <x:v>L002456</x:v>
      </x:c>
      <x:c r="B2460" s="2" t="str">
        <x:v>O01010</x:v>
      </x:c>
      <x:c r="C2460" s="7" t="n">
        <x:v>45830</x:v>
      </x:c>
      <x:c r="D2460" s="2" t="str">
        <x:v>Completed</x:v>
      </x:c>
      <x:c r="E2460" s="2" t="str">
        <x:v>South</x:v>
      </x:c>
      <x:c r="F2460" s="2" t="str">
        <x:v>Store</x:v>
      </x:c>
      <x:c r="G2460" s="2" t="str">
        <x:v>Lighting</x:v>
      </x:c>
      <x:c r="H2460" s="2" t="str">
        <x:v>Lamp 005</x:v>
      </x:c>
      <x:c r="I2460" s="11" t="n">
        <x:v>3</x:v>
      </x:c>
      <x:c r="J2460" s="9" t="n">
        <x:v>65</x:v>
      </x:c>
      <x:c r="K2460" s="10" t="n">
        <x:v>0</x:v>
      </x:c>
      <x:c r="L2460" s="11" t="n">
        <x:v>1</x:v>
      </x:c>
      <x:c r="M2460" s="9" t="n">
        <x:f>IF(D2460="Completed",I2460*J2460,0)</x:f>
        <x:v>195</x:v>
      </x:c>
      <x:c r="N2460" s="9" t="n">
        <x:f>M2460*K2460</x:f>
        <x:v>0</x:v>
      </x:c>
      <x:c r="O2460" s="9" t="n">
        <x:f>M2460-N2460</x:f>
        <x:v>195</x:v>
      </x:c>
      <x:c r="P2460" s="9" t="n">
        <x:f>IF(D2460="Completed",L2460*J2460*(1-K2460),0)</x:f>
        <x:v>65</x:v>
      </x:c>
      <x:c r="Q2460" s="9" t="n">
        <x:f>O2460-P2460</x:f>
        <x:v>130</x:v>
      </x:c>
      <x:c r="R2460" s="11" t="n">
        <x:f>IF(D2460="Completed",I2460,0)</x:f>
        <x:v>3</x:v>
      </x:c>
      <x:c r="S2460" s="11" t="n">
        <x:f>IF(D2460="Completed",L2460,0)</x:f>
        <x:v>1</x:v>
      </x:c>
      <x:c r="T2460" s="8" t="n">
        <x:f>DATE(YEAR(C2460),MONTH(C2460),1)</x:f>
        <x:v>45809</x:v>
      </x:c>
    </x:row>
    <x:row r="2461" ht="22" customHeight="1">
      <x:c r="A2461" s="2" t="str">
        <x:v>L002457</x:v>
      </x:c>
      <x:c r="B2461" s="2" t="str">
        <x:v>O01010</x:v>
      </x:c>
      <x:c r="C2461" s="7" t="n">
        <x:v>45830</x:v>
      </x:c>
      <x:c r="D2461" s="2" t="str">
        <x:v>Completed</x:v>
      </x:c>
      <x:c r="E2461" s="2" t="str">
        <x:v>South</x:v>
      </x:c>
      <x:c r="F2461" s="2" t="str">
        <x:v>Store</x:v>
      </x:c>
      <x:c r="G2461" s="2" t="str">
        <x:v>Lighting</x:v>
      </x:c>
      <x:c r="H2461" s="2" t="str">
        <x:v>Lamp 017</x:v>
      </x:c>
      <x:c r="I2461" s="11" t="n">
        <x:v>3</x:v>
      </x:c>
      <x:c r="J2461" s="9" t="n">
        <x:v>300</x:v>
      </x:c>
      <x:c r="K2461" s="10" t="n">
        <x:v>0.05</x:v>
      </x:c>
      <x:c r="L2461" s="11" t="n">
        <x:v>0</x:v>
      </x:c>
      <x:c r="M2461" s="9" t="n">
        <x:f>IF(D2461="Completed",I2461*J2461,0)</x:f>
        <x:v>900</x:v>
      </x:c>
      <x:c r="N2461" s="9" t="n">
        <x:f>M2461*K2461</x:f>
        <x:v>45</x:v>
      </x:c>
      <x:c r="O2461" s="9" t="n">
        <x:f>M2461-N2461</x:f>
        <x:v>855</x:v>
      </x:c>
      <x:c r="P2461" s="9" t="n">
        <x:f>IF(D2461="Completed",L2461*J2461*(1-K2461),0)</x:f>
        <x:v>0</x:v>
      </x:c>
      <x:c r="Q2461" s="9" t="n">
        <x:f>O2461-P2461</x:f>
        <x:v>855</x:v>
      </x:c>
      <x:c r="R2461" s="11" t="n">
        <x:f>IF(D2461="Completed",I2461,0)</x:f>
        <x:v>3</x:v>
      </x:c>
      <x:c r="S2461" s="11" t="n">
        <x:f>IF(D2461="Completed",L2461,0)</x:f>
        <x:v>0</x:v>
      </x:c>
      <x:c r="T2461" s="8" t="n">
        <x:f>DATE(YEAR(C2461),MONTH(C2461),1)</x:f>
        <x:v>45809</x:v>
      </x:c>
    </x:row>
    <x:row r="2462" ht="22" customHeight="1">
      <x:c r="A2462" s="2" t="str">
        <x:v>L002458</x:v>
      </x:c>
      <x:c r="B2462" s="2" t="str">
        <x:v>O01010</x:v>
      </x:c>
      <x:c r="C2462" s="7" t="n">
        <x:v>45830</x:v>
      </x:c>
      <x:c r="D2462" s="2" t="str">
        <x:v>Completed</x:v>
      </x:c>
      <x:c r="E2462" s="2" t="str">
        <x:v>South</x:v>
      </x:c>
      <x:c r="F2462" s="2" t="str">
        <x:v>Store</x:v>
      </x:c>
      <x:c r="G2462" s="2" t="str">
        <x:v>Furniture</x:v>
      </x:c>
      <x:c r="H2462" s="2" t="str">
        <x:v>Chair 022</x:v>
      </x:c>
      <x:c r="I2462" s="11" t="n">
        <x:v>5</x:v>
      </x:c>
      <x:c r="J2462" s="9" t="n">
        <x:v>134</x:v>
      </x:c>
      <x:c r="K2462" s="10" t="n">
        <x:v>0.2</x:v>
      </x:c>
      <x:c r="L2462" s="11" t="n">
        <x:v>0</x:v>
      </x:c>
      <x:c r="M2462" s="9" t="n">
        <x:f>IF(D2462="Completed",I2462*J2462,0)</x:f>
        <x:v>670</x:v>
      </x:c>
      <x:c r="N2462" s="9" t="n">
        <x:f>M2462*K2462</x:f>
        <x:v>134</x:v>
      </x:c>
      <x:c r="O2462" s="9" t="n">
        <x:f>M2462-N2462</x:f>
        <x:v>536</x:v>
      </x:c>
      <x:c r="P2462" s="9" t="n">
        <x:f>IF(D2462="Completed",L2462*J2462*(1-K2462),0)</x:f>
        <x:v>0</x:v>
      </x:c>
      <x:c r="Q2462" s="9" t="n">
        <x:f>O2462-P2462</x:f>
        <x:v>536</x:v>
      </x:c>
      <x:c r="R2462" s="11" t="n">
        <x:f>IF(D2462="Completed",I2462,0)</x:f>
        <x:v>5</x:v>
      </x:c>
      <x:c r="S2462" s="11" t="n">
        <x:f>IF(D2462="Completed",L2462,0)</x:f>
        <x:v>0</x:v>
      </x:c>
      <x:c r="T2462" s="8" t="n">
        <x:f>DATE(YEAR(C2462),MONTH(C2462),1)</x:f>
        <x:v>45809</x:v>
      </x:c>
    </x:row>
    <x:row r="2463" ht="22" customHeight="1">
      <x:c r="A2463" s="2" t="str">
        <x:v>L002459</x:v>
      </x:c>
      <x:c r="B2463" s="2" t="str">
        <x:v>O01011</x:v>
      </x:c>
      <x:c r="C2463" s="7" t="n">
        <x:v>45992</x:v>
      </x:c>
      <x:c r="D2463" s="2" t="str">
        <x:v>Cancelled</x:v>
      </x:c>
      <x:c r="E2463" s="2" t="str">
        <x:v>East</x:v>
      </x:c>
      <x:c r="F2463" s="2" t="str">
        <x:v>Store</x:v>
      </x:c>
      <x:c r="G2463" s="2" t="str">
        <x:v>Furniture</x:v>
      </x:c>
      <x:c r="H2463" s="2" t="str">
        <x:v>Desk 024</x:v>
      </x:c>
      <x:c r="I2463" s="11" t="n">
        <x:v>4</x:v>
      </x:c>
      <x:c r="J2463" s="9" t="n">
        <x:v>81</x:v>
      </x:c>
      <x:c r="K2463" s="10" t="n">
        <x:v>0.1</x:v>
      </x:c>
      <x:c r="L2463" s="11" t="n">
        <x:v>0</x:v>
      </x:c>
      <x:c r="M2463" s="9" t="n">
        <x:f>IF(D2463="Completed",I2463*J2463,0)</x:f>
        <x:v>0</x:v>
      </x:c>
      <x:c r="N2463" s="9" t="n">
        <x:f>M2463*K2463</x:f>
        <x:v>0</x:v>
      </x:c>
      <x:c r="O2463" s="9" t="n">
        <x:f>M2463-N2463</x:f>
        <x:v>0</x:v>
      </x:c>
      <x:c r="P2463" s="9" t="n">
        <x:f>IF(D2463="Completed",L2463*J2463*(1-K2463),0)</x:f>
        <x:v>0</x:v>
      </x:c>
      <x:c r="Q2463" s="9" t="n">
        <x:f>O2463-P2463</x:f>
        <x:v>0</x:v>
      </x:c>
      <x:c r="R2463" s="11" t="n">
        <x:f>IF(D2463="Completed",I2463,0)</x:f>
        <x:v>0</x:v>
      </x:c>
      <x:c r="S2463" s="11" t="n">
        <x:f>IF(D2463="Completed",L2463,0)</x:f>
        <x:v>0</x:v>
      </x:c>
      <x:c r="T2463" s="8" t="n">
        <x:f>DATE(YEAR(C2463),MONTH(C2463),1)</x:f>
        <x:v>45992</x:v>
      </x:c>
    </x:row>
    <x:row r="2464" ht="22" customHeight="1">
      <x:c r="A2464" s="2" t="str">
        <x:v>L002460</x:v>
      </x:c>
      <x:c r="B2464" s="2" t="str">
        <x:v>O01011</x:v>
      </x:c>
      <x:c r="C2464" s="7" t="n">
        <x:v>45992</x:v>
      </x:c>
      <x:c r="D2464" s="2" t="str">
        <x:v>Cancelled</x:v>
      </x:c>
      <x:c r="E2464" s="2" t="str">
        <x:v>East</x:v>
      </x:c>
      <x:c r="F2464" s="2" t="str">
        <x:v>Store</x:v>
      </x:c>
      <x:c r="G2464" s="2" t="str">
        <x:v>Storage</x:v>
      </x:c>
      <x:c r="H2464" s="2" t="str">
        <x:v>Shelf 015</x:v>
      </x:c>
      <x:c r="I2464" s="11" t="n">
        <x:v>1</x:v>
      </x:c>
      <x:c r="J2464" s="9" t="n">
        <x:v>254</x:v>
      </x:c>
      <x:c r="K2464" s="10" t="n">
        <x:v>0.1</x:v>
      </x:c>
      <x:c r="L2464" s="11" t="n">
        <x:v>0</x:v>
      </x:c>
      <x:c r="M2464" s="9" t="n">
        <x:f>IF(D2464="Completed",I2464*J2464,0)</x:f>
        <x:v>0</x:v>
      </x:c>
      <x:c r="N2464" s="9" t="n">
        <x:f>M2464*K2464</x:f>
        <x:v>0</x:v>
      </x:c>
      <x:c r="O2464" s="9" t="n">
        <x:f>M2464-N2464</x:f>
        <x:v>0</x:v>
      </x:c>
      <x:c r="P2464" s="9" t="n">
        <x:f>IF(D2464="Completed",L2464*J2464*(1-K2464),0)</x:f>
        <x:v>0</x:v>
      </x:c>
      <x:c r="Q2464" s="9" t="n">
        <x:f>O2464-P2464</x:f>
        <x:v>0</x:v>
      </x:c>
      <x:c r="R2464" s="11" t="n">
        <x:f>IF(D2464="Completed",I2464,0)</x:f>
        <x:v>0</x:v>
      </x:c>
      <x:c r="S2464" s="11" t="n">
        <x:f>IF(D2464="Completed",L2464,0)</x:f>
        <x:v>0</x:v>
      </x:c>
      <x:c r="T2464" s="8" t="n">
        <x:f>DATE(YEAR(C2464),MONTH(C2464),1)</x:f>
        <x:v>45992</x:v>
      </x:c>
    </x:row>
    <x:row r="2465" ht="22" customHeight="1">
      <x:c r="A2465" s="2" t="str">
        <x:v>L002461</x:v>
      </x:c>
      <x:c r="B2465" s="2" t="str">
        <x:v>O01012</x:v>
      </x:c>
      <x:c r="C2465" s="7" t="n">
        <x:v>45845</x:v>
      </x:c>
      <x:c r="D2465" s="2" t="str">
        <x:v>Completed</x:v>
      </x:c>
      <x:c r="E2465" s="2" t="str">
        <x:v>East</x:v>
      </x:c>
      <x:c r="F2465" s="2" t="str">
        <x:v>Online</x:v>
      </x:c>
      <x:c r="G2465" s="2" t="str">
        <x:v>Storage</x:v>
      </x:c>
      <x:c r="H2465" s="2" t="str">
        <x:v>Shelf 011</x:v>
      </x:c>
      <x:c r="I2465" s="11" t="n">
        <x:v>4</x:v>
      </x:c>
      <x:c r="J2465" s="9" t="n">
        <x:v>80</x:v>
      </x:c>
      <x:c r="K2465" s="10" t="n">
        <x:v>0</x:v>
      </x:c>
      <x:c r="L2465" s="11" t="n">
        <x:v>0</x:v>
      </x:c>
      <x:c r="M2465" s="9" t="n">
        <x:f>IF(D2465="Completed",I2465*J2465,0)</x:f>
        <x:v>320</x:v>
      </x:c>
      <x:c r="N2465" s="9" t="n">
        <x:f>M2465*K2465</x:f>
        <x:v>0</x:v>
      </x:c>
      <x:c r="O2465" s="9" t="n">
        <x:f>M2465-N2465</x:f>
        <x:v>320</x:v>
      </x:c>
      <x:c r="P2465" s="9" t="n">
        <x:f>IF(D2465="Completed",L2465*J2465*(1-K2465),0)</x:f>
        <x:v>0</x:v>
      </x:c>
      <x:c r="Q2465" s="9" t="n">
        <x:f>O2465-P2465</x:f>
        <x:v>320</x:v>
      </x:c>
      <x:c r="R2465" s="11" t="n">
        <x:f>IF(D2465="Completed",I2465,0)</x:f>
        <x:v>4</x:v>
      </x:c>
      <x:c r="S2465" s="11" t="n">
        <x:f>IF(D2465="Completed",L2465,0)</x:f>
        <x:v>0</x:v>
      </x:c>
      <x:c r="T2465" s="8" t="n">
        <x:f>DATE(YEAR(C2465),MONTH(C2465),1)</x:f>
        <x:v>45839</x:v>
      </x:c>
    </x:row>
    <x:row r="2466" ht="22" customHeight="1">
      <x:c r="A2466" s="2" t="str">
        <x:v>L002462</x:v>
      </x:c>
      <x:c r="B2466" s="2" t="str">
        <x:v>O01013</x:v>
      </x:c>
      <x:c r="C2466" s="7" t="n">
        <x:v>45848</x:v>
      </x:c>
      <x:c r="D2466" s="2" t="str">
        <x:v>Completed</x:v>
      </x:c>
      <x:c r="E2466" s="2" t="str">
        <x:v>South</x:v>
      </x:c>
      <x:c r="F2466" s="2" t="str">
        <x:v>Store</x:v>
      </x:c>
      <x:c r="G2466" s="2" t="str">
        <x:v>Furniture</x:v>
      </x:c>
      <x:c r="H2466" s="2" t="str">
        <x:v>Desk 008</x:v>
      </x:c>
      <x:c r="I2466" s="11" t="n">
        <x:v>5</x:v>
      </x:c>
      <x:c r="J2466" s="9" t="n">
        <x:v>188</x:v>
      </x:c>
      <x:c r="K2466" s="10" t="n">
        <x:v>0.2</x:v>
      </x:c>
      <x:c r="L2466" s="11" t="n">
        <x:v>0</x:v>
      </x:c>
      <x:c r="M2466" s="9" t="n">
        <x:f>IF(D2466="Completed",I2466*J2466,0)</x:f>
        <x:v>940</x:v>
      </x:c>
      <x:c r="N2466" s="9" t="n">
        <x:f>M2466*K2466</x:f>
        <x:v>188</x:v>
      </x:c>
      <x:c r="O2466" s="9" t="n">
        <x:f>M2466-N2466</x:f>
        <x:v>752</x:v>
      </x:c>
      <x:c r="P2466" s="9" t="n">
        <x:f>IF(D2466="Completed",L2466*J2466*(1-K2466),0)</x:f>
        <x:v>0</x:v>
      </x:c>
      <x:c r="Q2466" s="9" t="n">
        <x:f>O2466-P2466</x:f>
        <x:v>752</x:v>
      </x:c>
      <x:c r="R2466" s="11" t="n">
        <x:f>IF(D2466="Completed",I2466,0)</x:f>
        <x:v>5</x:v>
      </x:c>
      <x:c r="S2466" s="11" t="n">
        <x:f>IF(D2466="Completed",L2466,0)</x:f>
        <x:v>0</x:v>
      </x:c>
      <x:c r="T2466" s="8" t="n">
        <x:f>DATE(YEAR(C2466),MONTH(C2466),1)</x:f>
        <x:v>45839</x:v>
      </x:c>
    </x:row>
    <x:row r="2467" ht="22" customHeight="1">
      <x:c r="A2467" s="2" t="str">
        <x:v>L002463</x:v>
      </x:c>
      <x:c r="B2467" s="2" t="str">
        <x:v>O01013</x:v>
      </x:c>
      <x:c r="C2467" s="7" t="n">
        <x:v>45848</x:v>
      </x:c>
      <x:c r="D2467" s="2" t="str">
        <x:v>Completed</x:v>
      </x:c>
      <x:c r="E2467" s="2" t="str">
        <x:v>South</x:v>
      </x:c>
      <x:c r="F2467" s="2" t="str">
        <x:v>Store</x:v>
      </x:c>
      <x:c r="G2467" s="2" t="str">
        <x:v>Furniture</x:v>
      </x:c>
      <x:c r="H2467" s="2" t="str">
        <x:v>Desk 016</x:v>
      </x:c>
      <x:c r="I2467" s="11" t="n">
        <x:v>2</x:v>
      </x:c>
      <x:c r="J2467" s="9" t="n">
        <x:v>231</x:v>
      </x:c>
      <x:c r="K2467" s="10" t="n">
        <x:v>0.05</x:v>
      </x:c>
      <x:c r="L2467" s="11" t="n">
        <x:v>0</x:v>
      </x:c>
      <x:c r="M2467" s="9" t="n">
        <x:f>IF(D2467="Completed",I2467*J2467,0)</x:f>
        <x:v>462</x:v>
      </x:c>
      <x:c r="N2467" s="9" t="n">
        <x:f>M2467*K2467</x:f>
        <x:v>23.1</x:v>
      </x:c>
      <x:c r="O2467" s="9" t="n">
        <x:f>M2467-N2467</x:f>
        <x:v>438.9</x:v>
      </x:c>
      <x:c r="P2467" s="9" t="n">
        <x:f>IF(D2467="Completed",L2467*J2467*(1-K2467),0)</x:f>
        <x:v>0</x:v>
      </x:c>
      <x:c r="Q2467" s="9" t="n">
        <x:f>O2467-P2467</x:f>
        <x:v>438.9</x:v>
      </x:c>
      <x:c r="R2467" s="11" t="n">
        <x:f>IF(D2467="Completed",I2467,0)</x:f>
        <x:v>2</x:v>
      </x:c>
      <x:c r="S2467" s="11" t="n">
        <x:f>IF(D2467="Completed",L2467,0)</x:f>
        <x:v>0</x:v>
      </x:c>
      <x:c r="T2467" s="8" t="n">
        <x:f>DATE(YEAR(C2467),MONTH(C2467),1)</x:f>
        <x:v>45839</x:v>
      </x:c>
    </x:row>
    <x:row r="2468" ht="22" customHeight="1">
      <x:c r="A2468" s="2" t="str">
        <x:v>L002464</x:v>
      </x:c>
      <x:c r="B2468" s="2" t="str">
        <x:v>O01014</x:v>
      </x:c>
      <x:c r="C2468" s="7" t="n">
        <x:v>45910</x:v>
      </x:c>
      <x:c r="D2468" s="2" t="str">
        <x:v>Completed</x:v>
      </x:c>
      <x:c r="E2468" s="2" t="str">
        <x:v>South</x:v>
      </x:c>
      <x:c r="F2468" s="2" t="str">
        <x:v>Store</x:v>
      </x:c>
      <x:c r="G2468" s="2" t="str">
        <x:v>Furniture</x:v>
      </x:c>
      <x:c r="H2468" s="2" t="str">
        <x:v>Desk 020</x:v>
      </x:c>
      <x:c r="I2468" s="11" t="n">
        <x:v>5</x:v>
      </x:c>
      <x:c r="J2468" s="9" t="n">
        <x:v>189</x:v>
      </x:c>
      <x:c r="K2468" s="10" t="n">
        <x:v>0</x:v>
      </x:c>
      <x:c r="L2468" s="11" t="n">
        <x:v>0</x:v>
      </x:c>
      <x:c r="M2468" s="9" t="n">
        <x:f>IF(D2468="Completed",I2468*J2468,0)</x:f>
        <x:v>945</x:v>
      </x:c>
      <x:c r="N2468" s="9" t="n">
        <x:f>M2468*K2468</x:f>
        <x:v>0</x:v>
      </x:c>
      <x:c r="O2468" s="9" t="n">
        <x:f>M2468-N2468</x:f>
        <x:v>945</x:v>
      </x:c>
      <x:c r="P2468" s="9" t="n">
        <x:f>IF(D2468="Completed",L2468*J2468*(1-K2468),0)</x:f>
        <x:v>0</x:v>
      </x:c>
      <x:c r="Q2468" s="9" t="n">
        <x:f>O2468-P2468</x:f>
        <x:v>945</x:v>
      </x:c>
      <x:c r="R2468" s="11" t="n">
        <x:f>IF(D2468="Completed",I2468,0)</x:f>
        <x:v>5</x:v>
      </x:c>
      <x:c r="S2468" s="11" t="n">
        <x:f>IF(D2468="Completed",L2468,0)</x:f>
        <x:v>0</x:v>
      </x:c>
      <x:c r="T2468" s="8" t="n">
        <x:f>DATE(YEAR(C2468),MONTH(C2468),1)</x:f>
        <x:v>45901</x:v>
      </x:c>
    </x:row>
    <x:row r="2469" ht="22" customHeight="1">
      <x:c r="A2469" s="2" t="str">
        <x:v>L002465</x:v>
      </x:c>
      <x:c r="B2469" s="2" t="str">
        <x:v>O01014</x:v>
      </x:c>
      <x:c r="C2469" s="7" t="n">
        <x:v>45910</x:v>
      </x:c>
      <x:c r="D2469" s="2" t="str">
        <x:v>Completed</x:v>
      </x:c>
      <x:c r="E2469" s="2" t="str">
        <x:v>South</x:v>
      </x:c>
      <x:c r="F2469" s="2" t="str">
        <x:v>Store</x:v>
      </x:c>
      <x:c r="G2469" s="2" t="str">
        <x:v>Furniture</x:v>
      </x:c>
      <x:c r="H2469" s="2" t="str">
        <x:v>Chair 002</x:v>
      </x:c>
      <x:c r="I2469" s="11" t="n">
        <x:v>3</x:v>
      </x:c>
      <x:c r="J2469" s="9" t="n">
        <x:v>284</x:v>
      </x:c>
      <x:c r="K2469" s="10" t="n">
        <x:v>0</x:v>
      </x:c>
      <x:c r="L2469" s="11" t="n">
        <x:v>0</x:v>
      </x:c>
      <x:c r="M2469" s="9" t="n">
        <x:f>IF(D2469="Completed",I2469*J2469,0)</x:f>
        <x:v>852</x:v>
      </x:c>
      <x:c r="N2469" s="9" t="n">
        <x:f>M2469*K2469</x:f>
        <x:v>0</x:v>
      </x:c>
      <x:c r="O2469" s="9" t="n">
        <x:f>M2469-N2469</x:f>
        <x:v>852</x:v>
      </x:c>
      <x:c r="P2469" s="9" t="n">
        <x:f>IF(D2469="Completed",L2469*J2469*(1-K2469),0)</x:f>
        <x:v>0</x:v>
      </x:c>
      <x:c r="Q2469" s="9" t="n">
        <x:f>O2469-P2469</x:f>
        <x:v>852</x:v>
      </x:c>
      <x:c r="R2469" s="11" t="n">
        <x:f>IF(D2469="Completed",I2469,0)</x:f>
        <x:v>3</x:v>
      </x:c>
      <x:c r="S2469" s="11" t="n">
        <x:f>IF(D2469="Completed",L2469,0)</x:f>
        <x:v>0</x:v>
      </x:c>
      <x:c r="T2469" s="8" t="n">
        <x:f>DATE(YEAR(C2469),MONTH(C2469),1)</x:f>
        <x:v>45901</x:v>
      </x:c>
    </x:row>
    <x:row r="2470" ht="22" customHeight="1">
      <x:c r="A2470" s="2" t="str">
        <x:v>L002466</x:v>
      </x:c>
      <x:c r="B2470" s="2" t="str">
        <x:v>O01015</x:v>
      </x:c>
      <x:c r="C2470" s="7" t="n">
        <x:v>45779</x:v>
      </x:c>
      <x:c r="D2470" s="2" t="str">
        <x:v>Completed</x:v>
      </x:c>
      <x:c r="E2470" s="2" t="str">
        <x:v>South</x:v>
      </x:c>
      <x:c r="F2470" s="2" t="str">
        <x:v>Online</x:v>
      </x:c>
      <x:c r="G2470" s="2" t="str">
        <x:v>Furniture</x:v>
      </x:c>
      <x:c r="H2470" s="2" t="str">
        <x:v>Desk 016</x:v>
      </x:c>
      <x:c r="I2470" s="11" t="n">
        <x:v>2</x:v>
      </x:c>
      <x:c r="J2470" s="9" t="n">
        <x:v>231</x:v>
      </x:c>
      <x:c r="K2470" s="10" t="n">
        <x:v>0.1</x:v>
      </x:c>
      <x:c r="L2470" s="11" t="n">
        <x:v>0</x:v>
      </x:c>
      <x:c r="M2470" s="9" t="n">
        <x:f>IF(D2470="Completed",I2470*J2470,0)</x:f>
        <x:v>462</x:v>
      </x:c>
      <x:c r="N2470" s="9" t="n">
        <x:f>M2470*K2470</x:f>
        <x:v>46.2</x:v>
      </x:c>
      <x:c r="O2470" s="9" t="n">
        <x:f>M2470-N2470</x:f>
        <x:v>415.8</x:v>
      </x:c>
      <x:c r="P2470" s="9" t="n">
        <x:f>IF(D2470="Completed",L2470*J2470*(1-K2470),0)</x:f>
        <x:v>0</x:v>
      </x:c>
      <x:c r="Q2470" s="9" t="n">
        <x:f>O2470-P2470</x:f>
        <x:v>415.8</x:v>
      </x:c>
      <x:c r="R2470" s="11" t="n">
        <x:f>IF(D2470="Completed",I2470,0)</x:f>
        <x:v>2</x:v>
      </x:c>
      <x:c r="S2470" s="11" t="n">
        <x:f>IF(D2470="Completed",L2470,0)</x:f>
        <x:v>0</x:v>
      </x:c>
      <x:c r="T2470" s="8" t="n">
        <x:f>DATE(YEAR(C2470),MONTH(C2470),1)</x:f>
        <x:v>45778</x:v>
      </x:c>
    </x:row>
    <x:row r="2471" ht="22" customHeight="1">
      <x:c r="A2471" s="2" t="str">
        <x:v>L002467</x:v>
      </x:c>
      <x:c r="B2471" s="2" t="str">
        <x:v>O01015</x:v>
      </x:c>
      <x:c r="C2471" s="7" t="n">
        <x:v>45779</x:v>
      </x:c>
      <x:c r="D2471" s="2" t="str">
        <x:v>Completed</x:v>
      </x:c>
      <x:c r="E2471" s="2" t="str">
        <x:v>South</x:v>
      </x:c>
      <x:c r="F2471" s="2" t="str">
        <x:v>Online</x:v>
      </x:c>
      <x:c r="G2471" s="2" t="str">
        <x:v>Furniture</x:v>
      </x:c>
      <x:c r="H2471" s="2" t="str">
        <x:v>Chair 006</x:v>
      </x:c>
      <x:c r="I2471" s="11" t="n">
        <x:v>2</x:v>
      </x:c>
      <x:c r="J2471" s="9" t="n">
        <x:v>196</x:v>
      </x:c>
      <x:c r="K2471" s="10" t="n">
        <x:v>0.05</x:v>
      </x:c>
      <x:c r="L2471" s="11" t="n">
        <x:v>0</x:v>
      </x:c>
      <x:c r="M2471" s="9" t="n">
        <x:f>IF(D2471="Completed",I2471*J2471,0)</x:f>
        <x:v>392</x:v>
      </x:c>
      <x:c r="N2471" s="9" t="n">
        <x:f>M2471*K2471</x:f>
        <x:v>19.6</x:v>
      </x:c>
      <x:c r="O2471" s="9" t="n">
        <x:f>M2471-N2471</x:f>
        <x:v>372.4</x:v>
      </x:c>
      <x:c r="P2471" s="9" t="n">
        <x:f>IF(D2471="Completed",L2471*J2471*(1-K2471),0)</x:f>
        <x:v>0</x:v>
      </x:c>
      <x:c r="Q2471" s="9" t="n">
        <x:f>O2471-P2471</x:f>
        <x:v>372.4</x:v>
      </x:c>
      <x:c r="R2471" s="11" t="n">
        <x:f>IF(D2471="Completed",I2471,0)</x:f>
        <x:v>2</x:v>
      </x:c>
      <x:c r="S2471" s="11" t="n">
        <x:f>IF(D2471="Completed",L2471,0)</x:f>
        <x:v>0</x:v>
      </x:c>
      <x:c r="T2471" s="8" t="n">
        <x:f>DATE(YEAR(C2471),MONTH(C2471),1)</x:f>
        <x:v>45778</x:v>
      </x:c>
    </x:row>
    <x:row r="2472" ht="22" customHeight="1">
      <x:c r="A2472" s="2" t="str">
        <x:v>L002468</x:v>
      </x:c>
      <x:c r="B2472" s="2" t="str">
        <x:v>O01015</x:v>
      </x:c>
      <x:c r="C2472" s="7" t="n">
        <x:v>45779</x:v>
      </x:c>
      <x:c r="D2472" s="2" t="str">
        <x:v>Completed</x:v>
      </x:c>
      <x:c r="E2472" s="2" t="str">
        <x:v>South</x:v>
      </x:c>
      <x:c r="F2472" s="2" t="str">
        <x:v>Online</x:v>
      </x:c>
      <x:c r="G2472" s="2" t="str">
        <x:v>Furniture</x:v>
      </x:c>
      <x:c r="H2472" s="2" t="str">
        <x:v>Desk 012</x:v>
      </x:c>
      <x:c r="I2472" s="11" t="n">
        <x:v>2</x:v>
      </x:c>
      <x:c r="J2472" s="9" t="n">
        <x:v>134</x:v>
      </x:c>
      <x:c r="K2472" s="10" t="n">
        <x:v>0</x:v>
      </x:c>
      <x:c r="L2472" s="11" t="n">
        <x:v>0</x:v>
      </x:c>
      <x:c r="M2472" s="9" t="n">
        <x:f>IF(D2472="Completed",I2472*J2472,0)</x:f>
        <x:v>268</x:v>
      </x:c>
      <x:c r="N2472" s="9" t="n">
        <x:f>M2472*K2472</x:f>
        <x:v>0</x:v>
      </x:c>
      <x:c r="O2472" s="9" t="n">
        <x:f>M2472-N2472</x:f>
        <x:v>268</x:v>
      </x:c>
      <x:c r="P2472" s="9" t="n">
        <x:f>IF(D2472="Completed",L2472*J2472*(1-K2472),0)</x:f>
        <x:v>0</x:v>
      </x:c>
      <x:c r="Q2472" s="9" t="n">
        <x:f>O2472-P2472</x:f>
        <x:v>268</x:v>
      </x:c>
      <x:c r="R2472" s="11" t="n">
        <x:f>IF(D2472="Completed",I2472,0)</x:f>
        <x:v>2</x:v>
      </x:c>
      <x:c r="S2472" s="11" t="n">
        <x:f>IF(D2472="Completed",L2472,0)</x:f>
        <x:v>0</x:v>
      </x:c>
      <x:c r="T2472" s="8" t="n">
        <x:f>DATE(YEAR(C2472),MONTH(C2472),1)</x:f>
        <x:v>45778</x:v>
      </x:c>
    </x:row>
    <x:row r="2473" ht="22" customHeight="1">
      <x:c r="A2473" s="2" t="str">
        <x:v>L002469</x:v>
      </x:c>
      <x:c r="B2473" s="2" t="str">
        <x:v>O01016</x:v>
      </x:c>
      <x:c r="C2473" s="7" t="n">
        <x:v>46004</x:v>
      </x:c>
      <x:c r="D2473" s="2" t="str">
        <x:v>Completed</x:v>
      </x:c>
      <x:c r="E2473" s="2" t="str">
        <x:v>South</x:v>
      </x:c>
      <x:c r="F2473" s="2" t="str">
        <x:v>Online</x:v>
      </x:c>
      <x:c r="G2473" s="2" t="str">
        <x:v>Lighting</x:v>
      </x:c>
      <x:c r="H2473" s="2" t="str">
        <x:v>Lamp 017</x:v>
      </x:c>
      <x:c r="I2473" s="11" t="n">
        <x:v>5</x:v>
      </x:c>
      <x:c r="J2473" s="9" t="n">
        <x:v>300</x:v>
      </x:c>
      <x:c r="K2473" s="10" t="n">
        <x:v>0.1</x:v>
      </x:c>
      <x:c r="L2473" s="11" t="n">
        <x:v>0</x:v>
      </x:c>
      <x:c r="M2473" s="9" t="n">
        <x:f>IF(D2473="Completed",I2473*J2473,0)</x:f>
        <x:v>1500</x:v>
      </x:c>
      <x:c r="N2473" s="9" t="n">
        <x:f>M2473*K2473</x:f>
        <x:v>150</x:v>
      </x:c>
      <x:c r="O2473" s="9" t="n">
        <x:f>M2473-N2473</x:f>
        <x:v>1350</x:v>
      </x:c>
      <x:c r="P2473" s="9" t="n">
        <x:f>IF(D2473="Completed",L2473*J2473*(1-K2473),0)</x:f>
        <x:v>0</x:v>
      </x:c>
      <x:c r="Q2473" s="9" t="n">
        <x:f>O2473-P2473</x:f>
        <x:v>1350</x:v>
      </x:c>
      <x:c r="R2473" s="11" t="n">
        <x:f>IF(D2473="Completed",I2473,0)</x:f>
        <x:v>5</x:v>
      </x:c>
      <x:c r="S2473" s="11" t="n">
        <x:f>IF(D2473="Completed",L2473,0)</x:f>
        <x:v>0</x:v>
      </x:c>
      <x:c r="T2473" s="8" t="n">
        <x:f>DATE(YEAR(C2473),MONTH(C2473),1)</x:f>
        <x:v>45992</x:v>
      </x:c>
    </x:row>
    <x:row r="2474" ht="22" customHeight="1">
      <x:c r="A2474" s="2" t="str">
        <x:v>L002470</x:v>
      </x:c>
      <x:c r="B2474" s="2" t="str">
        <x:v>O01016</x:v>
      </x:c>
      <x:c r="C2474" s="7" t="n">
        <x:v>46004</x:v>
      </x:c>
      <x:c r="D2474" s="2" t="str">
        <x:v>Completed</x:v>
      </x:c>
      <x:c r="E2474" s="2" t="str">
        <x:v>South</x:v>
      </x:c>
      <x:c r="F2474" s="2" t="str">
        <x:v>Online</x:v>
      </x:c>
      <x:c r="G2474" s="2" t="str">
        <x:v>Furniture</x:v>
      </x:c>
      <x:c r="H2474" s="2" t="str">
        <x:v>Chair 014</x:v>
      </x:c>
      <x:c r="I2474" s="11" t="n">
        <x:v>1</x:v>
      </x:c>
      <x:c r="J2474" s="9" t="n">
        <x:v>294</x:v>
      </x:c>
      <x:c r="K2474" s="10" t="n">
        <x:v>0.05</x:v>
      </x:c>
      <x:c r="L2474" s="11" t="n">
        <x:v>0</x:v>
      </x:c>
      <x:c r="M2474" s="9" t="n">
        <x:f>IF(D2474="Completed",I2474*J2474,0)</x:f>
        <x:v>294</x:v>
      </x:c>
      <x:c r="N2474" s="9" t="n">
        <x:f>M2474*K2474</x:f>
        <x:v>14.700000000000001</x:v>
      </x:c>
      <x:c r="O2474" s="9" t="n">
        <x:f>M2474-N2474</x:f>
        <x:v>279.3</x:v>
      </x:c>
      <x:c r="P2474" s="9" t="n">
        <x:f>IF(D2474="Completed",L2474*J2474*(1-K2474),0)</x:f>
        <x:v>0</x:v>
      </x:c>
      <x:c r="Q2474" s="9" t="n">
        <x:f>O2474-P2474</x:f>
        <x:v>279.3</x:v>
      </x:c>
      <x:c r="R2474" s="11" t="n">
        <x:f>IF(D2474="Completed",I2474,0)</x:f>
        <x:v>1</x:v>
      </x:c>
      <x:c r="S2474" s="11" t="n">
        <x:f>IF(D2474="Completed",L2474,0)</x:f>
        <x:v>0</x:v>
      </x:c>
      <x:c r="T2474" s="8" t="n">
        <x:f>DATE(YEAR(C2474),MONTH(C2474),1)</x:f>
        <x:v>45992</x:v>
      </x:c>
    </x:row>
    <x:row r="2475" ht="22" customHeight="1">
      <x:c r="A2475" s="2" t="str">
        <x:v>L002471</x:v>
      </x:c>
      <x:c r="B2475" s="2" t="str">
        <x:v>O01016</x:v>
      </x:c>
      <x:c r="C2475" s="7" t="n">
        <x:v>46004</x:v>
      </x:c>
      <x:c r="D2475" s="2" t="str">
        <x:v>Completed</x:v>
      </x:c>
      <x:c r="E2475" s="2" t="str">
        <x:v>South</x:v>
      </x:c>
      <x:c r="F2475" s="2" t="str">
        <x:v>Online</x:v>
      </x:c>
      <x:c r="G2475" s="2" t="str">
        <x:v>Storage</x:v>
      </x:c>
      <x:c r="H2475" s="2" t="str">
        <x:v>Shelf 023</x:v>
      </x:c>
      <x:c r="I2475" s="11" t="n">
        <x:v>1</x:v>
      </x:c>
      <x:c r="J2475" s="9" t="n">
        <x:v>68</x:v>
      </x:c>
      <x:c r="K2475" s="10" t="n">
        <x:v>0.2</x:v>
      </x:c>
      <x:c r="L2475" s="11" t="n">
        <x:v>0</x:v>
      </x:c>
      <x:c r="M2475" s="9" t="n">
        <x:f>IF(D2475="Completed",I2475*J2475,0)</x:f>
        <x:v>68</x:v>
      </x:c>
      <x:c r="N2475" s="9" t="n">
        <x:f>M2475*K2475</x:f>
        <x:v>13.600000000000001</x:v>
      </x:c>
      <x:c r="O2475" s="9" t="n">
        <x:f>M2475-N2475</x:f>
        <x:v>54.4</x:v>
      </x:c>
      <x:c r="P2475" s="9" t="n">
        <x:f>IF(D2475="Completed",L2475*J2475*(1-K2475),0)</x:f>
        <x:v>0</x:v>
      </x:c>
      <x:c r="Q2475" s="9" t="n">
        <x:f>O2475-P2475</x:f>
        <x:v>54.4</x:v>
      </x:c>
      <x:c r="R2475" s="11" t="n">
        <x:f>IF(D2475="Completed",I2475,0)</x:f>
        <x:v>1</x:v>
      </x:c>
      <x:c r="S2475" s="11" t="n">
        <x:f>IF(D2475="Completed",L2475,0)</x:f>
        <x:v>0</x:v>
      </x:c>
      <x:c r="T2475" s="8" t="n">
        <x:f>DATE(YEAR(C2475),MONTH(C2475),1)</x:f>
        <x:v>45992</x:v>
      </x:c>
    </x:row>
    <x:row r="2476" ht="22" customHeight="1">
      <x:c r="A2476" s="2" t="str">
        <x:v>L002472</x:v>
      </x:c>
      <x:c r="B2476" s="2" t="str">
        <x:v>O01016</x:v>
      </x:c>
      <x:c r="C2476" s="7" t="n">
        <x:v>46004</x:v>
      </x:c>
      <x:c r="D2476" s="2" t="str">
        <x:v>Completed</x:v>
      </x:c>
      <x:c r="E2476" s="2" t="str">
        <x:v>South</x:v>
      </x:c>
      <x:c r="F2476" s="2" t="str">
        <x:v>Online</x:v>
      </x:c>
      <x:c r="G2476" s="2" t="str">
        <x:v>Furniture</x:v>
      </x:c>
      <x:c r="H2476" s="2" t="str">
        <x:v>Chair 010</x:v>
      </x:c>
      <x:c r="I2476" s="11" t="n">
        <x:v>4</x:v>
      </x:c>
      <x:c r="J2476" s="9" t="n">
        <x:v>211</x:v>
      </x:c>
      <x:c r="K2476" s="10" t="n">
        <x:v>0.1</x:v>
      </x:c>
      <x:c r="L2476" s="11" t="n">
        <x:v>0</x:v>
      </x:c>
      <x:c r="M2476" s="9" t="n">
        <x:f>IF(D2476="Completed",I2476*J2476,0)</x:f>
        <x:v>844</x:v>
      </x:c>
      <x:c r="N2476" s="9" t="n">
        <x:f>M2476*K2476</x:f>
        <x:v>84.4</x:v>
      </x:c>
      <x:c r="O2476" s="9" t="n">
        <x:f>M2476-N2476</x:f>
        <x:v>759.6</x:v>
      </x:c>
      <x:c r="P2476" s="9" t="n">
        <x:f>IF(D2476="Completed",L2476*J2476*(1-K2476),0)</x:f>
        <x:v>0</x:v>
      </x:c>
      <x:c r="Q2476" s="9" t="n">
        <x:f>O2476-P2476</x:f>
        <x:v>759.6</x:v>
      </x:c>
      <x:c r="R2476" s="11" t="n">
        <x:f>IF(D2476="Completed",I2476,0)</x:f>
        <x:v>4</x:v>
      </x:c>
      <x:c r="S2476" s="11" t="n">
        <x:f>IF(D2476="Completed",L2476,0)</x:f>
        <x:v>0</x:v>
      </x:c>
      <x:c r="T2476" s="8" t="n">
        <x:f>DATE(YEAR(C2476),MONTH(C2476),1)</x:f>
        <x:v>45992</x:v>
      </x:c>
    </x:row>
    <x:row r="2477" ht="22" customHeight="1">
      <x:c r="A2477" s="2" t="str">
        <x:v>L002473</x:v>
      </x:c>
      <x:c r="B2477" s="2" t="str">
        <x:v>O01017</x:v>
      </x:c>
      <x:c r="C2477" s="7" t="n">
        <x:v>46010</x:v>
      </x:c>
      <x:c r="D2477" s="2" t="str">
        <x:v>Completed</x:v>
      </x:c>
      <x:c r="E2477" s="2" t="str">
        <x:v>South</x:v>
      </x:c>
      <x:c r="F2477" s="2" t="str">
        <x:v>Online</x:v>
      </x:c>
      <x:c r="G2477" s="2" t="str">
        <x:v>Furniture</x:v>
      </x:c>
      <x:c r="H2477" s="2" t="str">
        <x:v>Chair 014</x:v>
      </x:c>
      <x:c r="I2477" s="11" t="n">
        <x:v>5</x:v>
      </x:c>
      <x:c r="J2477" s="9" t="n">
        <x:v>294</x:v>
      </x:c>
      <x:c r="K2477" s="10" t="n">
        <x:v>0.2</x:v>
      </x:c>
      <x:c r="L2477" s="11" t="n">
        <x:v>0</x:v>
      </x:c>
      <x:c r="M2477" s="9" t="n">
        <x:f>IF(D2477="Completed",I2477*J2477,0)</x:f>
        <x:v>1470</x:v>
      </x:c>
      <x:c r="N2477" s="9" t="n">
        <x:f>M2477*K2477</x:f>
        <x:v>294</x:v>
      </x:c>
      <x:c r="O2477" s="9" t="n">
        <x:f>M2477-N2477</x:f>
        <x:v>1176</x:v>
      </x:c>
      <x:c r="P2477" s="9" t="n">
        <x:f>IF(D2477="Completed",L2477*J2477*(1-K2477),0)</x:f>
        <x:v>0</x:v>
      </x:c>
      <x:c r="Q2477" s="9" t="n">
        <x:f>O2477-P2477</x:f>
        <x:v>1176</x:v>
      </x:c>
      <x:c r="R2477" s="11" t="n">
        <x:f>IF(D2477="Completed",I2477,0)</x:f>
        <x:v>5</x:v>
      </x:c>
      <x:c r="S2477" s="11" t="n">
        <x:f>IF(D2477="Completed",L2477,0)</x:f>
        <x:v>0</x:v>
      </x:c>
      <x:c r="T2477" s="8" t="n">
        <x:f>DATE(YEAR(C2477),MONTH(C2477),1)</x:f>
        <x:v>45992</x:v>
      </x:c>
    </x:row>
    <x:row r="2478" ht="22" customHeight="1">
      <x:c r="A2478" s="2" t="str">
        <x:v>L002474</x:v>
      </x:c>
      <x:c r="B2478" s="2" t="str">
        <x:v>O01017</x:v>
      </x:c>
      <x:c r="C2478" s="7" t="n">
        <x:v>46010</x:v>
      </x:c>
      <x:c r="D2478" s="2" t="str">
        <x:v>Completed</x:v>
      </x:c>
      <x:c r="E2478" s="2" t="str">
        <x:v>South</x:v>
      </x:c>
      <x:c r="F2478" s="2" t="str">
        <x:v>Online</x:v>
      </x:c>
      <x:c r="G2478" s="2" t="str">
        <x:v>Furniture</x:v>
      </x:c>
      <x:c r="H2478" s="2" t="str">
        <x:v>Desk 004</x:v>
      </x:c>
      <x:c r="I2478" s="11" t="n">
        <x:v>2</x:v>
      </x:c>
      <x:c r="J2478" s="9" t="n">
        <x:v>123</x:v>
      </x:c>
      <x:c r="K2478" s="10" t="n">
        <x:v>0.1</x:v>
      </x:c>
      <x:c r="L2478" s="11" t="n">
        <x:v>0</x:v>
      </x:c>
      <x:c r="M2478" s="9" t="n">
        <x:f>IF(D2478="Completed",I2478*J2478,0)</x:f>
        <x:v>246</x:v>
      </x:c>
      <x:c r="N2478" s="9" t="n">
        <x:f>M2478*K2478</x:f>
        <x:v>24.6</x:v>
      </x:c>
      <x:c r="O2478" s="9" t="n">
        <x:f>M2478-N2478</x:f>
        <x:v>221.4</x:v>
      </x:c>
      <x:c r="P2478" s="9" t="n">
        <x:f>IF(D2478="Completed",L2478*J2478*(1-K2478),0)</x:f>
        <x:v>0</x:v>
      </x:c>
      <x:c r="Q2478" s="9" t="n">
        <x:f>O2478-P2478</x:f>
        <x:v>221.4</x:v>
      </x:c>
      <x:c r="R2478" s="11" t="n">
        <x:f>IF(D2478="Completed",I2478,0)</x:f>
        <x:v>2</x:v>
      </x:c>
      <x:c r="S2478" s="11" t="n">
        <x:f>IF(D2478="Completed",L2478,0)</x:f>
        <x:v>0</x:v>
      </x:c>
      <x:c r="T2478" s="8" t="n">
        <x:f>DATE(YEAR(C2478),MONTH(C2478),1)</x:f>
        <x:v>45992</x:v>
      </x:c>
    </x:row>
    <x:row r="2479" ht="22" customHeight="1">
      <x:c r="A2479" s="2" t="str">
        <x:v>L002475</x:v>
      </x:c>
      <x:c r="B2479" s="2" t="str">
        <x:v>O01017</x:v>
      </x:c>
      <x:c r="C2479" s="7" t="n">
        <x:v>46010</x:v>
      </x:c>
      <x:c r="D2479" s="2" t="str">
        <x:v>Completed</x:v>
      </x:c>
      <x:c r="E2479" s="2" t="str">
        <x:v>South</x:v>
      </x:c>
      <x:c r="F2479" s="2" t="str">
        <x:v>Online</x:v>
      </x:c>
      <x:c r="G2479" s="2" t="str">
        <x:v>Storage</x:v>
      </x:c>
      <x:c r="H2479" s="2" t="str">
        <x:v>Shelf 019</x:v>
      </x:c>
      <x:c r="I2479" s="11" t="n">
        <x:v>2</x:v>
      </x:c>
      <x:c r="J2479" s="9" t="n">
        <x:v>78</x:v>
      </x:c>
      <x:c r="K2479" s="10" t="n">
        <x:v>0.1</x:v>
      </x:c>
      <x:c r="L2479" s="11" t="n">
        <x:v>0</x:v>
      </x:c>
      <x:c r="M2479" s="9" t="n">
        <x:f>IF(D2479="Completed",I2479*J2479,0)</x:f>
        <x:v>156</x:v>
      </x:c>
      <x:c r="N2479" s="9" t="n">
        <x:f>M2479*K2479</x:f>
        <x:v>15.600000000000001</x:v>
      </x:c>
      <x:c r="O2479" s="9" t="n">
        <x:f>M2479-N2479</x:f>
        <x:v>140.4</x:v>
      </x:c>
      <x:c r="P2479" s="9" t="n">
        <x:f>IF(D2479="Completed",L2479*J2479*(1-K2479),0)</x:f>
        <x:v>0</x:v>
      </x:c>
      <x:c r="Q2479" s="9" t="n">
        <x:f>O2479-P2479</x:f>
        <x:v>140.4</x:v>
      </x:c>
      <x:c r="R2479" s="11" t="n">
        <x:f>IF(D2479="Completed",I2479,0)</x:f>
        <x:v>2</x:v>
      </x:c>
      <x:c r="S2479" s="11" t="n">
        <x:f>IF(D2479="Completed",L2479,0)</x:f>
        <x:v>0</x:v>
      </x:c>
      <x:c r="T2479" s="8" t="n">
        <x:f>DATE(YEAR(C2479),MONTH(C2479),1)</x:f>
        <x:v>45992</x:v>
      </x:c>
    </x:row>
    <x:row r="2480" ht="22" customHeight="1">
      <x:c r="A2480" s="2" t="str">
        <x:v>L002476</x:v>
      </x:c>
      <x:c r="B2480" s="2" t="str">
        <x:v>O01018</x:v>
      </x:c>
      <x:c r="C2480" s="7" t="n">
        <x:v>45742</x:v>
      </x:c>
      <x:c r="D2480" s="2" t="str">
        <x:v>Completed</x:v>
      </x:c>
      <x:c r="E2480" s="2" t="str">
        <x:v>North</x:v>
      </x:c>
      <x:c r="F2480" s="2" t="str">
        <x:v>Online</x:v>
      </x:c>
      <x:c r="G2480" s="2" t="str">
        <x:v>Furniture</x:v>
      </x:c>
      <x:c r="H2480" s="2" t="str">
        <x:v>Desk 020</x:v>
      </x:c>
      <x:c r="I2480" s="11" t="n">
        <x:v>5</x:v>
      </x:c>
      <x:c r="J2480" s="9" t="n">
        <x:v>189</x:v>
      </x:c>
      <x:c r="K2480" s="10" t="n">
        <x:v>0.05</x:v>
      </x:c>
      <x:c r="L2480" s="11" t="n">
        <x:v>0</x:v>
      </x:c>
      <x:c r="M2480" s="9" t="n">
        <x:f>IF(D2480="Completed",I2480*J2480,0)</x:f>
        <x:v>945</x:v>
      </x:c>
      <x:c r="N2480" s="9" t="n">
        <x:f>M2480*K2480</x:f>
        <x:v>47.25</x:v>
      </x:c>
      <x:c r="O2480" s="9" t="n">
        <x:f>M2480-N2480</x:f>
        <x:v>897.75</x:v>
      </x:c>
      <x:c r="P2480" s="9" t="n">
        <x:f>IF(D2480="Completed",L2480*J2480*(1-K2480),0)</x:f>
        <x:v>0</x:v>
      </x:c>
      <x:c r="Q2480" s="9" t="n">
        <x:f>O2480-P2480</x:f>
        <x:v>897.75</x:v>
      </x:c>
      <x:c r="R2480" s="11" t="n">
        <x:f>IF(D2480="Completed",I2480,0)</x:f>
        <x:v>5</x:v>
      </x:c>
      <x:c r="S2480" s="11" t="n">
        <x:f>IF(D2480="Completed",L2480,0)</x:f>
        <x:v>0</x:v>
      </x:c>
      <x:c r="T2480" s="8" t="n">
        <x:f>DATE(YEAR(C2480),MONTH(C2480),1)</x:f>
        <x:v>45717</x:v>
      </x:c>
    </x:row>
    <x:row r="2481" ht="22" customHeight="1">
      <x:c r="A2481" s="2" t="str">
        <x:v>L002477</x:v>
      </x:c>
      <x:c r="B2481" s="2" t="str">
        <x:v>O01018</x:v>
      </x:c>
      <x:c r="C2481" s="7" t="n">
        <x:v>45742</x:v>
      </x:c>
      <x:c r="D2481" s="2" t="str">
        <x:v>Completed</x:v>
      </x:c>
      <x:c r="E2481" s="2" t="str">
        <x:v>North</x:v>
      </x:c>
      <x:c r="F2481" s="2" t="str">
        <x:v>Online</x:v>
      </x:c>
      <x:c r="G2481" s="2" t="str">
        <x:v>Lighting</x:v>
      </x:c>
      <x:c r="H2481" s="2" t="str">
        <x:v>Lamp 021</x:v>
      </x:c>
      <x:c r="I2481" s="11" t="n">
        <x:v>4</x:v>
      </x:c>
      <x:c r="J2481" s="9" t="n">
        <x:v>249</x:v>
      </x:c>
      <x:c r="K2481" s="10" t="n">
        <x:v>0.2</x:v>
      </x:c>
      <x:c r="L2481" s="11" t="n">
        <x:v>0</x:v>
      </x:c>
      <x:c r="M2481" s="9" t="n">
        <x:f>IF(D2481="Completed",I2481*J2481,0)</x:f>
        <x:v>996</x:v>
      </x:c>
      <x:c r="N2481" s="9" t="n">
        <x:f>M2481*K2481</x:f>
        <x:v>199.20000000000002</x:v>
      </x:c>
      <x:c r="O2481" s="9" t="n">
        <x:f>M2481-N2481</x:f>
        <x:v>796.8</x:v>
      </x:c>
      <x:c r="P2481" s="9" t="n">
        <x:f>IF(D2481="Completed",L2481*J2481*(1-K2481),0)</x:f>
        <x:v>0</x:v>
      </x:c>
      <x:c r="Q2481" s="9" t="n">
        <x:f>O2481-P2481</x:f>
        <x:v>796.8</x:v>
      </x:c>
      <x:c r="R2481" s="11" t="n">
        <x:f>IF(D2481="Completed",I2481,0)</x:f>
        <x:v>4</x:v>
      </x:c>
      <x:c r="S2481" s="11" t="n">
        <x:f>IF(D2481="Completed",L2481,0)</x:f>
        <x:v>0</x:v>
      </x:c>
      <x:c r="T2481" s="8" t="n">
        <x:f>DATE(YEAR(C2481),MONTH(C2481),1)</x:f>
        <x:v>45717</x:v>
      </x:c>
    </x:row>
    <x:row r="2482" ht="22" customHeight="1">
      <x:c r="A2482" s="2" t="str">
        <x:v>L002478</x:v>
      </x:c>
      <x:c r="B2482" s="2" t="str">
        <x:v>O01019</x:v>
      </x:c>
      <x:c r="C2482" s="7" t="n">
        <x:v>45841</x:v>
      </x:c>
      <x:c r="D2482" s="2" t="str">
        <x:v>Completed</x:v>
      </x:c>
      <x:c r="E2482" s="2" t="str">
        <x:v>West</x:v>
      </x:c>
      <x:c r="F2482" s="2" t="str">
        <x:v>Online</x:v>
      </x:c>
      <x:c r="G2482" s="2" t="str">
        <x:v>Furniture</x:v>
      </x:c>
      <x:c r="H2482" s="2" t="str">
        <x:v>Chair 022</x:v>
      </x:c>
      <x:c r="I2482" s="11" t="n">
        <x:v>5</x:v>
      </x:c>
      <x:c r="J2482" s="9" t="n">
        <x:v>134</x:v>
      </x:c>
      <x:c r="K2482" s="10" t="n">
        <x:v>0</x:v>
      </x:c>
      <x:c r="L2482" s="11" t="n">
        <x:v>0</x:v>
      </x:c>
      <x:c r="M2482" s="9" t="n">
        <x:f>IF(D2482="Completed",I2482*J2482,0)</x:f>
        <x:v>670</x:v>
      </x:c>
      <x:c r="N2482" s="9" t="n">
        <x:f>M2482*K2482</x:f>
        <x:v>0</x:v>
      </x:c>
      <x:c r="O2482" s="9" t="n">
        <x:f>M2482-N2482</x:f>
        <x:v>670</x:v>
      </x:c>
      <x:c r="P2482" s="9" t="n">
        <x:f>IF(D2482="Completed",L2482*J2482*(1-K2482),0)</x:f>
        <x:v>0</x:v>
      </x:c>
      <x:c r="Q2482" s="9" t="n">
        <x:f>O2482-P2482</x:f>
        <x:v>670</x:v>
      </x:c>
      <x:c r="R2482" s="11" t="n">
        <x:f>IF(D2482="Completed",I2482,0)</x:f>
        <x:v>5</x:v>
      </x:c>
      <x:c r="S2482" s="11" t="n">
        <x:f>IF(D2482="Completed",L2482,0)</x:f>
        <x:v>0</x:v>
      </x:c>
      <x:c r="T2482" s="8" t="n">
        <x:f>DATE(YEAR(C2482),MONTH(C2482),1)</x:f>
        <x:v>45839</x:v>
      </x:c>
    </x:row>
    <x:row r="2483" ht="22" customHeight="1">
      <x:c r="A2483" s="2" t="str">
        <x:v>L002479</x:v>
      </x:c>
      <x:c r="B2483" s="2" t="str">
        <x:v>O01019</x:v>
      </x:c>
      <x:c r="C2483" s="7" t="n">
        <x:v>45841</x:v>
      </x:c>
      <x:c r="D2483" s="2" t="str">
        <x:v>Completed</x:v>
      </x:c>
      <x:c r="E2483" s="2" t="str">
        <x:v>West</x:v>
      </x:c>
      <x:c r="F2483" s="2" t="str">
        <x:v>Online</x:v>
      </x:c>
      <x:c r="G2483" s="2" t="str">
        <x:v>Furniture</x:v>
      </x:c>
      <x:c r="H2483" s="2" t="str">
        <x:v>Desk 016</x:v>
      </x:c>
      <x:c r="I2483" s="11" t="n">
        <x:v>4</x:v>
      </x:c>
      <x:c r="J2483" s="9" t="n">
        <x:v>231</x:v>
      </x:c>
      <x:c r="K2483" s="10" t="n">
        <x:v>0</x:v>
      </x:c>
      <x:c r="L2483" s="11" t="n">
        <x:v>0</x:v>
      </x:c>
      <x:c r="M2483" s="9" t="n">
        <x:f>IF(D2483="Completed",I2483*J2483,0)</x:f>
        <x:v>924</x:v>
      </x:c>
      <x:c r="N2483" s="9" t="n">
        <x:f>M2483*K2483</x:f>
        <x:v>0</x:v>
      </x:c>
      <x:c r="O2483" s="9" t="n">
        <x:f>M2483-N2483</x:f>
        <x:v>924</x:v>
      </x:c>
      <x:c r="P2483" s="9" t="n">
        <x:f>IF(D2483="Completed",L2483*J2483*(1-K2483),0)</x:f>
        <x:v>0</x:v>
      </x:c>
      <x:c r="Q2483" s="9" t="n">
        <x:f>O2483-P2483</x:f>
        <x:v>924</x:v>
      </x:c>
      <x:c r="R2483" s="11" t="n">
        <x:f>IF(D2483="Completed",I2483,0)</x:f>
        <x:v>4</x:v>
      </x:c>
      <x:c r="S2483" s="11" t="n">
        <x:f>IF(D2483="Completed",L2483,0)</x:f>
        <x:v>0</x:v>
      </x:c>
      <x:c r="T2483" s="8" t="n">
        <x:f>DATE(YEAR(C2483),MONTH(C2483),1)</x:f>
        <x:v>45839</x:v>
      </x:c>
    </x:row>
    <x:row r="2484" ht="22" customHeight="1">
      <x:c r="A2484" s="2" t="str">
        <x:v>L002480</x:v>
      </x:c>
      <x:c r="B2484" s="2" t="str">
        <x:v>O01020</x:v>
      </x:c>
      <x:c r="C2484" s="7" t="n">
        <x:v>45669</x:v>
      </x:c>
      <x:c r="D2484" s="2" t="str">
        <x:v>Completed</x:v>
      </x:c>
      <x:c r="E2484" s="2" t="str">
        <x:v>South</x:v>
      </x:c>
      <x:c r="F2484" s="2" t="str">
        <x:v>Store</x:v>
      </x:c>
      <x:c r="G2484" s="2" t="str">
        <x:v>Furniture</x:v>
      </x:c>
      <x:c r="H2484" s="2" t="str">
        <x:v>Desk 012</x:v>
      </x:c>
      <x:c r="I2484" s="11" t="n">
        <x:v>3</x:v>
      </x:c>
      <x:c r="J2484" s="9" t="n">
        <x:v>134</x:v>
      </x:c>
      <x:c r="K2484" s="10" t="n">
        <x:v>0</x:v>
      </x:c>
      <x:c r="L2484" s="11" t="n">
        <x:v>0</x:v>
      </x:c>
      <x:c r="M2484" s="9" t="n">
        <x:f>IF(D2484="Completed",I2484*J2484,0)</x:f>
        <x:v>402</x:v>
      </x:c>
      <x:c r="N2484" s="9" t="n">
        <x:f>M2484*K2484</x:f>
        <x:v>0</x:v>
      </x:c>
      <x:c r="O2484" s="9" t="n">
        <x:f>M2484-N2484</x:f>
        <x:v>402</x:v>
      </x:c>
      <x:c r="P2484" s="9" t="n">
        <x:f>IF(D2484="Completed",L2484*J2484*(1-K2484),0)</x:f>
        <x:v>0</x:v>
      </x:c>
      <x:c r="Q2484" s="9" t="n">
        <x:f>O2484-P2484</x:f>
        <x:v>402</x:v>
      </x:c>
      <x:c r="R2484" s="11" t="n">
        <x:f>IF(D2484="Completed",I2484,0)</x:f>
        <x:v>3</x:v>
      </x:c>
      <x:c r="S2484" s="11" t="n">
        <x:f>IF(D2484="Completed",L2484,0)</x:f>
        <x:v>0</x:v>
      </x:c>
      <x:c r="T2484" s="8" t="n">
        <x:f>DATE(YEAR(C2484),MONTH(C2484),1)</x:f>
        <x:v>45658</x:v>
      </x:c>
    </x:row>
    <x:row r="2485" ht="22" customHeight="1">
      <x:c r="A2485" s="2" t="str">
        <x:v>L002481</x:v>
      </x:c>
      <x:c r="B2485" s="2" t="str">
        <x:v>O01020</x:v>
      </x:c>
      <x:c r="C2485" s="7" t="n">
        <x:v>45669</x:v>
      </x:c>
      <x:c r="D2485" s="2" t="str">
        <x:v>Completed</x:v>
      </x:c>
      <x:c r="E2485" s="2" t="str">
        <x:v>South</x:v>
      </x:c>
      <x:c r="F2485" s="2" t="str">
        <x:v>Store</x:v>
      </x:c>
      <x:c r="G2485" s="2" t="str">
        <x:v>Furniture</x:v>
      </x:c>
      <x:c r="H2485" s="2" t="str">
        <x:v>Desk 020</x:v>
      </x:c>
      <x:c r="I2485" s="11" t="n">
        <x:v>4</x:v>
      </x:c>
      <x:c r="J2485" s="9" t="n">
        <x:v>189</x:v>
      </x:c>
      <x:c r="K2485" s="10" t="n">
        <x:v>0</x:v>
      </x:c>
      <x:c r="L2485" s="11" t="n">
        <x:v>0</x:v>
      </x:c>
      <x:c r="M2485" s="9" t="n">
        <x:f>IF(D2485="Completed",I2485*J2485,0)</x:f>
        <x:v>756</x:v>
      </x:c>
      <x:c r="N2485" s="9" t="n">
        <x:f>M2485*K2485</x:f>
        <x:v>0</x:v>
      </x:c>
      <x:c r="O2485" s="9" t="n">
        <x:f>M2485-N2485</x:f>
        <x:v>756</x:v>
      </x:c>
      <x:c r="P2485" s="9" t="n">
        <x:f>IF(D2485="Completed",L2485*J2485*(1-K2485),0)</x:f>
        <x:v>0</x:v>
      </x:c>
      <x:c r="Q2485" s="9" t="n">
        <x:f>O2485-P2485</x:f>
        <x:v>756</x:v>
      </x:c>
      <x:c r="R2485" s="11" t="n">
        <x:f>IF(D2485="Completed",I2485,0)</x:f>
        <x:v>4</x:v>
      </x:c>
      <x:c r="S2485" s="11" t="n">
        <x:f>IF(D2485="Completed",L2485,0)</x:f>
        <x:v>0</x:v>
      </x:c>
      <x:c r="T2485" s="8" t="n">
        <x:f>DATE(YEAR(C2485),MONTH(C2485),1)</x:f>
        <x:v>45658</x:v>
      </x:c>
    </x:row>
    <x:row r="2486" ht="22" customHeight="1">
      <x:c r="A2486" s="2" t="str">
        <x:v>L002482</x:v>
      </x:c>
      <x:c r="B2486" s="2" t="str">
        <x:v>O01020</x:v>
      </x:c>
      <x:c r="C2486" s="7" t="n">
        <x:v>45669</x:v>
      </x:c>
      <x:c r="D2486" s="2" t="str">
        <x:v>Completed</x:v>
      </x:c>
      <x:c r="E2486" s="2" t="str">
        <x:v>South</x:v>
      </x:c>
      <x:c r="F2486" s="2" t="str">
        <x:v>Store</x:v>
      </x:c>
      <x:c r="G2486" s="2" t="str">
        <x:v>Furniture</x:v>
      </x:c>
      <x:c r="H2486" s="2" t="str">
        <x:v>Chair 022</x:v>
      </x:c>
      <x:c r="I2486" s="11" t="n">
        <x:v>1</x:v>
      </x:c>
      <x:c r="J2486" s="9" t="n">
        <x:v>134</x:v>
      </x:c>
      <x:c r="K2486" s="10" t="n">
        <x:v>0.2</x:v>
      </x:c>
      <x:c r="L2486" s="11" t="n">
        <x:v>0</x:v>
      </x:c>
      <x:c r="M2486" s="9" t="n">
        <x:f>IF(D2486="Completed",I2486*J2486,0)</x:f>
        <x:v>134</x:v>
      </x:c>
      <x:c r="N2486" s="9" t="n">
        <x:f>M2486*K2486</x:f>
        <x:v>26.8</x:v>
      </x:c>
      <x:c r="O2486" s="9" t="n">
        <x:f>M2486-N2486</x:f>
        <x:v>107.2</x:v>
      </x:c>
      <x:c r="P2486" s="9" t="n">
        <x:f>IF(D2486="Completed",L2486*J2486*(1-K2486),0)</x:f>
        <x:v>0</x:v>
      </x:c>
      <x:c r="Q2486" s="9" t="n">
        <x:f>O2486-P2486</x:f>
        <x:v>107.2</x:v>
      </x:c>
      <x:c r="R2486" s="11" t="n">
        <x:f>IF(D2486="Completed",I2486,0)</x:f>
        <x:v>1</x:v>
      </x:c>
      <x:c r="S2486" s="11" t="n">
        <x:f>IF(D2486="Completed",L2486,0)</x:f>
        <x:v>0</x:v>
      </x:c>
      <x:c r="T2486" s="8" t="n">
        <x:f>DATE(YEAR(C2486),MONTH(C2486),1)</x:f>
        <x:v>45658</x:v>
      </x:c>
    </x:row>
    <x:row r="2487" ht="22" customHeight="1">
      <x:c r="A2487" s="2" t="str">
        <x:v>L002483</x:v>
      </x:c>
      <x:c r="B2487" s="2" t="str">
        <x:v>O01020</x:v>
      </x:c>
      <x:c r="C2487" s="7" t="n">
        <x:v>45669</x:v>
      </x:c>
      <x:c r="D2487" s="2" t="str">
        <x:v>Completed</x:v>
      </x:c>
      <x:c r="E2487" s="2" t="str">
        <x:v>South</x:v>
      </x:c>
      <x:c r="F2487" s="2" t="str">
        <x:v>Store</x:v>
      </x:c>
      <x:c r="G2487" s="2" t="str">
        <x:v>Storage</x:v>
      </x:c>
      <x:c r="H2487" s="2" t="str">
        <x:v>Shelf 015</x:v>
      </x:c>
      <x:c r="I2487" s="11" t="n">
        <x:v>4</x:v>
      </x:c>
      <x:c r="J2487" s="9" t="n">
        <x:v>254</x:v>
      </x:c>
      <x:c r="K2487" s="10" t="n">
        <x:v>0.2</x:v>
      </x:c>
      <x:c r="L2487" s="11" t="n">
        <x:v>0</x:v>
      </x:c>
      <x:c r="M2487" s="9" t="n">
        <x:f>IF(D2487="Completed",I2487*J2487,0)</x:f>
        <x:v>1016</x:v>
      </x:c>
      <x:c r="N2487" s="9" t="n">
        <x:f>M2487*K2487</x:f>
        <x:v>203.20000000000002</x:v>
      </x:c>
      <x:c r="O2487" s="9" t="n">
        <x:f>M2487-N2487</x:f>
        <x:v>812.8</x:v>
      </x:c>
      <x:c r="P2487" s="9" t="n">
        <x:f>IF(D2487="Completed",L2487*J2487*(1-K2487),0)</x:f>
        <x:v>0</x:v>
      </x:c>
      <x:c r="Q2487" s="9" t="n">
        <x:f>O2487-P2487</x:f>
        <x:v>812.8</x:v>
      </x:c>
      <x:c r="R2487" s="11" t="n">
        <x:f>IF(D2487="Completed",I2487,0)</x:f>
        <x:v>4</x:v>
      </x:c>
      <x:c r="S2487" s="11" t="n">
        <x:f>IF(D2487="Completed",L2487,0)</x:f>
        <x:v>0</x:v>
      </x:c>
      <x:c r="T2487" s="8" t="n">
        <x:f>DATE(YEAR(C2487),MONTH(C2487),1)</x:f>
        <x:v>45658</x:v>
      </x:c>
    </x:row>
    <x:row r="2488" ht="22" customHeight="1">
      <x:c r="A2488" s="2" t="str">
        <x:v>L002484</x:v>
      </x:c>
      <x:c r="B2488" s="2" t="str">
        <x:v>O01021</x:v>
      </x:c>
      <x:c r="C2488" s="7" t="n">
        <x:v>45864</x:v>
      </x:c>
      <x:c r="D2488" s="2" t="str">
        <x:v>Completed</x:v>
      </x:c>
      <x:c r="E2488" s="2" t="str">
        <x:v>East</x:v>
      </x:c>
      <x:c r="F2488" s="2" t="str">
        <x:v>Online</x:v>
      </x:c>
      <x:c r="G2488" s="2" t="str">
        <x:v>Furniture</x:v>
      </x:c>
      <x:c r="H2488" s="2" t="str">
        <x:v>Chair 014</x:v>
      </x:c>
      <x:c r="I2488" s="11" t="n">
        <x:v>2</x:v>
      </x:c>
      <x:c r="J2488" s="9" t="n">
        <x:v>294</x:v>
      </x:c>
      <x:c r="K2488" s="10" t="n">
        <x:v>0.05</x:v>
      </x:c>
      <x:c r="L2488" s="11" t="n">
        <x:v>0</x:v>
      </x:c>
      <x:c r="M2488" s="9" t="n">
        <x:f>IF(D2488="Completed",I2488*J2488,0)</x:f>
        <x:v>588</x:v>
      </x:c>
      <x:c r="N2488" s="9" t="n">
        <x:f>M2488*K2488</x:f>
        <x:v>29.400000000000002</x:v>
      </x:c>
      <x:c r="O2488" s="9" t="n">
        <x:f>M2488-N2488</x:f>
        <x:v>558.6</x:v>
      </x:c>
      <x:c r="P2488" s="9" t="n">
        <x:f>IF(D2488="Completed",L2488*J2488*(1-K2488),0)</x:f>
        <x:v>0</x:v>
      </x:c>
      <x:c r="Q2488" s="9" t="n">
        <x:f>O2488-P2488</x:f>
        <x:v>558.6</x:v>
      </x:c>
      <x:c r="R2488" s="11" t="n">
        <x:f>IF(D2488="Completed",I2488,0)</x:f>
        <x:v>2</x:v>
      </x:c>
      <x:c r="S2488" s="11" t="n">
        <x:f>IF(D2488="Completed",L2488,0)</x:f>
        <x:v>0</x:v>
      </x:c>
      <x:c r="T2488" s="8" t="n">
        <x:f>DATE(YEAR(C2488),MONTH(C2488),1)</x:f>
        <x:v>45839</x:v>
      </x:c>
    </x:row>
    <x:row r="2489" ht="22" customHeight="1">
      <x:c r="A2489" s="2" t="str">
        <x:v>L002485</x:v>
      </x:c>
      <x:c r="B2489" s="2" t="str">
        <x:v>O01021</x:v>
      </x:c>
      <x:c r="C2489" s="7" t="n">
        <x:v>45864</x:v>
      </x:c>
      <x:c r="D2489" s="2" t="str">
        <x:v>Completed</x:v>
      </x:c>
      <x:c r="E2489" s="2" t="str">
        <x:v>East</x:v>
      </x:c>
      <x:c r="F2489" s="2" t="str">
        <x:v>Online</x:v>
      </x:c>
      <x:c r="G2489" s="2" t="str">
        <x:v>Furniture</x:v>
      </x:c>
      <x:c r="H2489" s="2" t="str">
        <x:v>Chair 010</x:v>
      </x:c>
      <x:c r="I2489" s="11" t="n">
        <x:v>4</x:v>
      </x:c>
      <x:c r="J2489" s="9" t="n">
        <x:v>211</x:v>
      </x:c>
      <x:c r="K2489" s="10" t="n">
        <x:v>0.2</x:v>
      </x:c>
      <x:c r="L2489" s="11" t="n">
        <x:v>0</x:v>
      </x:c>
      <x:c r="M2489" s="9" t="n">
        <x:f>IF(D2489="Completed",I2489*J2489,0)</x:f>
        <x:v>844</x:v>
      </x:c>
      <x:c r="N2489" s="9" t="n">
        <x:f>M2489*K2489</x:f>
        <x:v>168.8</x:v>
      </x:c>
      <x:c r="O2489" s="9" t="n">
        <x:f>M2489-N2489</x:f>
        <x:v>675.2</x:v>
      </x:c>
      <x:c r="P2489" s="9" t="n">
        <x:f>IF(D2489="Completed",L2489*J2489*(1-K2489),0)</x:f>
        <x:v>0</x:v>
      </x:c>
      <x:c r="Q2489" s="9" t="n">
        <x:f>O2489-P2489</x:f>
        <x:v>675.2</x:v>
      </x:c>
      <x:c r="R2489" s="11" t="n">
        <x:f>IF(D2489="Completed",I2489,0)</x:f>
        <x:v>4</x:v>
      </x:c>
      <x:c r="S2489" s="11" t="n">
        <x:f>IF(D2489="Completed",L2489,0)</x:f>
        <x:v>0</x:v>
      </x:c>
      <x:c r="T2489" s="8" t="n">
        <x:f>DATE(YEAR(C2489),MONTH(C2489),1)</x:f>
        <x:v>45839</x:v>
      </x:c>
    </x:row>
    <x:row r="2490" ht="22" customHeight="1">
      <x:c r="A2490" s="2" t="str">
        <x:v>L002486</x:v>
      </x:c>
      <x:c r="B2490" s="2" t="str">
        <x:v>O01021</x:v>
      </x:c>
      <x:c r="C2490" s="7" t="n">
        <x:v>45864</x:v>
      </x:c>
      <x:c r="D2490" s="2" t="str">
        <x:v>Completed</x:v>
      </x:c>
      <x:c r="E2490" s="2" t="str">
        <x:v>East</x:v>
      </x:c>
      <x:c r="F2490" s="2" t="str">
        <x:v>Online</x:v>
      </x:c>
      <x:c r="G2490" s="2" t="str">
        <x:v>Furniture</x:v>
      </x:c>
      <x:c r="H2490" s="2" t="str">
        <x:v>Chair 006</x:v>
      </x:c>
      <x:c r="I2490" s="11" t="n">
        <x:v>4</x:v>
      </x:c>
      <x:c r="J2490" s="9" t="n">
        <x:v>196</x:v>
      </x:c>
      <x:c r="K2490" s="10" t="n">
        <x:v>0.2</x:v>
      </x:c>
      <x:c r="L2490" s="11" t="n">
        <x:v>0</x:v>
      </x:c>
      <x:c r="M2490" s="9" t="n">
        <x:f>IF(D2490="Completed",I2490*J2490,0)</x:f>
        <x:v>784</x:v>
      </x:c>
      <x:c r="N2490" s="9" t="n">
        <x:f>M2490*K2490</x:f>
        <x:v>156.8</x:v>
      </x:c>
      <x:c r="O2490" s="9" t="n">
        <x:f>M2490-N2490</x:f>
        <x:v>627.2</x:v>
      </x:c>
      <x:c r="P2490" s="9" t="n">
        <x:f>IF(D2490="Completed",L2490*J2490*(1-K2490),0)</x:f>
        <x:v>0</x:v>
      </x:c>
      <x:c r="Q2490" s="9" t="n">
        <x:f>O2490-P2490</x:f>
        <x:v>627.2</x:v>
      </x:c>
      <x:c r="R2490" s="11" t="n">
        <x:f>IF(D2490="Completed",I2490,0)</x:f>
        <x:v>4</x:v>
      </x:c>
      <x:c r="S2490" s="11" t="n">
        <x:f>IF(D2490="Completed",L2490,0)</x:f>
        <x:v>0</x:v>
      </x:c>
      <x:c r="T2490" s="8" t="n">
        <x:f>DATE(YEAR(C2490),MONTH(C2490),1)</x:f>
        <x:v>45839</x:v>
      </x:c>
    </x:row>
    <x:row r="2491" ht="22" customHeight="1">
      <x:c r="A2491" s="2" t="str">
        <x:v>L002487</x:v>
      </x:c>
      <x:c r="B2491" s="2" t="str">
        <x:v>O01022</x:v>
      </x:c>
      <x:c r="C2491" s="7" t="n">
        <x:v>45841</x:v>
      </x:c>
      <x:c r="D2491" s="2" t="str">
        <x:v>Completed</x:v>
      </x:c>
      <x:c r="E2491" s="2" t="str">
        <x:v>South</x:v>
      </x:c>
      <x:c r="F2491" s="2" t="str">
        <x:v>Online</x:v>
      </x:c>
      <x:c r="G2491" s="2" t="str">
        <x:v>Storage</x:v>
      </x:c>
      <x:c r="H2491" s="2" t="str">
        <x:v>Shelf 019</x:v>
      </x:c>
      <x:c r="I2491" s="11" t="n">
        <x:v>3</x:v>
      </x:c>
      <x:c r="J2491" s="9" t="n">
        <x:v>78</x:v>
      </x:c>
      <x:c r="K2491" s="10" t="n">
        <x:v>0.2</x:v>
      </x:c>
      <x:c r="L2491" s="11" t="n">
        <x:v>0</x:v>
      </x:c>
      <x:c r="M2491" s="9" t="n">
        <x:f>IF(D2491="Completed",I2491*J2491,0)</x:f>
        <x:v>234</x:v>
      </x:c>
      <x:c r="N2491" s="9" t="n">
        <x:f>M2491*K2491</x:f>
        <x:v>46.800000000000004</x:v>
      </x:c>
      <x:c r="O2491" s="9" t="n">
        <x:f>M2491-N2491</x:f>
        <x:v>187.2</x:v>
      </x:c>
      <x:c r="P2491" s="9" t="n">
        <x:f>IF(D2491="Completed",L2491*J2491*(1-K2491),0)</x:f>
        <x:v>0</x:v>
      </x:c>
      <x:c r="Q2491" s="9" t="n">
        <x:f>O2491-P2491</x:f>
        <x:v>187.2</x:v>
      </x:c>
      <x:c r="R2491" s="11" t="n">
        <x:f>IF(D2491="Completed",I2491,0)</x:f>
        <x:v>3</x:v>
      </x:c>
      <x:c r="S2491" s="11" t="n">
        <x:f>IF(D2491="Completed",L2491,0)</x:f>
        <x:v>0</x:v>
      </x:c>
      <x:c r="T2491" s="8" t="n">
        <x:f>DATE(YEAR(C2491),MONTH(C2491),1)</x:f>
        <x:v>45839</x:v>
      </x:c>
    </x:row>
    <x:row r="2492" ht="22" customHeight="1">
      <x:c r="A2492" s="2" t="str">
        <x:v>L002488</x:v>
      </x:c>
      <x:c r="B2492" s="2" t="str">
        <x:v>O01022</x:v>
      </x:c>
      <x:c r="C2492" s="7" t="n">
        <x:v>45841</x:v>
      </x:c>
      <x:c r="D2492" s="2" t="str">
        <x:v>Completed</x:v>
      </x:c>
      <x:c r="E2492" s="2" t="str">
        <x:v>South</x:v>
      </x:c>
      <x:c r="F2492" s="2" t="str">
        <x:v>Online</x:v>
      </x:c>
      <x:c r="G2492" s="2" t="str">
        <x:v>Furniture</x:v>
      </x:c>
      <x:c r="H2492" s="2" t="str">
        <x:v>Desk 004</x:v>
      </x:c>
      <x:c r="I2492" s="11" t="n">
        <x:v>5</x:v>
      </x:c>
      <x:c r="J2492" s="9" t="n">
        <x:v>123</x:v>
      </x:c>
      <x:c r="K2492" s="10" t="n">
        <x:v>0.1</x:v>
      </x:c>
      <x:c r="L2492" s="11" t="n">
        <x:v>0</x:v>
      </x:c>
      <x:c r="M2492" s="9" t="n">
        <x:f>IF(D2492="Completed",I2492*J2492,0)</x:f>
        <x:v>615</x:v>
      </x:c>
      <x:c r="N2492" s="9" t="n">
        <x:f>M2492*K2492</x:f>
        <x:v>61.5</x:v>
      </x:c>
      <x:c r="O2492" s="9" t="n">
        <x:f>M2492-N2492</x:f>
        <x:v>553.5</x:v>
      </x:c>
      <x:c r="P2492" s="9" t="n">
        <x:f>IF(D2492="Completed",L2492*J2492*(1-K2492),0)</x:f>
        <x:v>0</x:v>
      </x:c>
      <x:c r="Q2492" s="9" t="n">
        <x:f>O2492-P2492</x:f>
        <x:v>553.5</x:v>
      </x:c>
      <x:c r="R2492" s="11" t="n">
        <x:f>IF(D2492="Completed",I2492,0)</x:f>
        <x:v>5</x:v>
      </x:c>
      <x:c r="S2492" s="11" t="n">
        <x:f>IF(D2492="Completed",L2492,0)</x:f>
        <x:v>0</x:v>
      </x:c>
      <x:c r="T2492" s="8" t="n">
        <x:f>DATE(YEAR(C2492),MONTH(C2492),1)</x:f>
        <x:v>45839</x:v>
      </x:c>
    </x:row>
    <x:row r="2493" ht="22" customHeight="1">
      <x:c r="A2493" s="2" t="str">
        <x:v>L002489</x:v>
      </x:c>
      <x:c r="B2493" s="2" t="str">
        <x:v>O01022</x:v>
      </x:c>
      <x:c r="C2493" s="7" t="n">
        <x:v>45841</x:v>
      </x:c>
      <x:c r="D2493" s="2" t="str">
        <x:v>Completed</x:v>
      </x:c>
      <x:c r="E2493" s="2" t="str">
        <x:v>South</x:v>
      </x:c>
      <x:c r="F2493" s="2" t="str">
        <x:v>Online</x:v>
      </x:c>
      <x:c r="G2493" s="2" t="str">
        <x:v>Lighting</x:v>
      </x:c>
      <x:c r="H2493" s="2" t="str">
        <x:v>Lamp 005</x:v>
      </x:c>
      <x:c r="I2493" s="11" t="n">
        <x:v>5</x:v>
      </x:c>
      <x:c r="J2493" s="9" t="n">
        <x:v>65</x:v>
      </x:c>
      <x:c r="K2493" s="10" t="n">
        <x:v>0</x:v>
      </x:c>
      <x:c r="L2493" s="11" t="n">
        <x:v>5</x:v>
      </x:c>
      <x:c r="M2493" s="9" t="n">
        <x:f>IF(D2493="Completed",I2493*J2493,0)</x:f>
        <x:v>325</x:v>
      </x:c>
      <x:c r="N2493" s="9" t="n">
        <x:f>M2493*K2493</x:f>
        <x:v>0</x:v>
      </x:c>
      <x:c r="O2493" s="9" t="n">
        <x:f>M2493-N2493</x:f>
        <x:v>325</x:v>
      </x:c>
      <x:c r="P2493" s="9" t="n">
        <x:f>IF(D2493="Completed",L2493*J2493*(1-K2493),0)</x:f>
        <x:v>325</x:v>
      </x:c>
      <x:c r="Q2493" s="9" t="n">
        <x:f>O2493-P2493</x:f>
        <x:v>0</x:v>
      </x:c>
      <x:c r="R2493" s="11" t="n">
        <x:f>IF(D2493="Completed",I2493,0)</x:f>
        <x:v>5</x:v>
      </x:c>
      <x:c r="S2493" s="11" t="n">
        <x:f>IF(D2493="Completed",L2493,0)</x:f>
        <x:v>5</x:v>
      </x:c>
      <x:c r="T2493" s="8" t="n">
        <x:f>DATE(YEAR(C2493),MONTH(C2493),1)</x:f>
        <x:v>45839</x:v>
      </x:c>
    </x:row>
    <x:row r="2494" ht="22" customHeight="1">
      <x:c r="A2494" s="2" t="str">
        <x:v>L002490</x:v>
      </x:c>
      <x:c r="B2494" s="2" t="str">
        <x:v>O01023</x:v>
      </x:c>
      <x:c r="C2494" s="7" t="n">
        <x:v>45671</x:v>
      </x:c>
      <x:c r="D2494" s="2" t="str">
        <x:v>Completed</x:v>
      </x:c>
      <x:c r="E2494" s="2" t="str">
        <x:v>West</x:v>
      </x:c>
      <x:c r="F2494" s="2" t="str">
        <x:v>Store</x:v>
      </x:c>
      <x:c r="G2494" s="2" t="str">
        <x:v>Furniture</x:v>
      </x:c>
      <x:c r="H2494" s="2" t="str">
        <x:v>Chair 010</x:v>
      </x:c>
      <x:c r="I2494" s="11" t="n">
        <x:v>2</x:v>
      </x:c>
      <x:c r="J2494" s="9" t="n">
        <x:v>211</x:v>
      </x:c>
      <x:c r="K2494" s="10" t="n">
        <x:v>0</x:v>
      </x:c>
      <x:c r="L2494" s="11" t="n">
        <x:v>0</x:v>
      </x:c>
      <x:c r="M2494" s="9" t="n">
        <x:f>IF(D2494="Completed",I2494*J2494,0)</x:f>
        <x:v>422</x:v>
      </x:c>
      <x:c r="N2494" s="9" t="n">
        <x:f>M2494*K2494</x:f>
        <x:v>0</x:v>
      </x:c>
      <x:c r="O2494" s="9" t="n">
        <x:f>M2494-N2494</x:f>
        <x:v>422</x:v>
      </x:c>
      <x:c r="P2494" s="9" t="n">
        <x:f>IF(D2494="Completed",L2494*J2494*(1-K2494),0)</x:f>
        <x:v>0</x:v>
      </x:c>
      <x:c r="Q2494" s="9" t="n">
        <x:f>O2494-P2494</x:f>
        <x:v>422</x:v>
      </x:c>
      <x:c r="R2494" s="11" t="n">
        <x:f>IF(D2494="Completed",I2494,0)</x:f>
        <x:v>2</x:v>
      </x:c>
      <x:c r="S2494" s="11" t="n">
        <x:f>IF(D2494="Completed",L2494,0)</x:f>
        <x:v>0</x:v>
      </x:c>
      <x:c r="T2494" s="8" t="n">
        <x:f>DATE(YEAR(C2494),MONTH(C2494),1)</x:f>
        <x:v>45658</x:v>
      </x:c>
    </x:row>
    <x:row r="2495" ht="22" customHeight="1">
      <x:c r="A2495" s="2" t="str">
        <x:v>L002491</x:v>
      </x:c>
      <x:c r="B2495" s="2" t="str">
        <x:v>O01024</x:v>
      </x:c>
      <x:c r="C2495" s="7" t="n">
        <x:v>45904</x:v>
      </x:c>
      <x:c r="D2495" s="2" t="str">
        <x:v>Cancelled</x:v>
      </x:c>
      <x:c r="E2495" s="2" t="str">
        <x:v>East</x:v>
      </x:c>
      <x:c r="F2495" s="2" t="str">
        <x:v>Online</x:v>
      </x:c>
      <x:c r="G2495" s="2" t="str">
        <x:v>Storage</x:v>
      </x:c>
      <x:c r="H2495" s="2" t="str">
        <x:v>Shelf 023</x:v>
      </x:c>
      <x:c r="I2495" s="11" t="n">
        <x:v>5</x:v>
      </x:c>
      <x:c r="J2495" s="9" t="n">
        <x:v>68</x:v>
      </x:c>
      <x:c r="K2495" s="10" t="n">
        <x:v>0.2</x:v>
      </x:c>
      <x:c r="L2495" s="11" t="n">
        <x:v>0</x:v>
      </x:c>
      <x:c r="M2495" s="9" t="n">
        <x:f>IF(D2495="Completed",I2495*J2495,0)</x:f>
        <x:v>0</x:v>
      </x:c>
      <x:c r="N2495" s="9" t="n">
        <x:f>M2495*K2495</x:f>
        <x:v>0</x:v>
      </x:c>
      <x:c r="O2495" s="9" t="n">
        <x:f>M2495-N2495</x:f>
        <x:v>0</x:v>
      </x:c>
      <x:c r="P2495" s="9" t="n">
        <x:f>IF(D2495="Completed",L2495*J2495*(1-K2495),0)</x:f>
        <x:v>0</x:v>
      </x:c>
      <x:c r="Q2495" s="9" t="n">
        <x:f>O2495-P2495</x:f>
        <x:v>0</x:v>
      </x:c>
      <x:c r="R2495" s="11" t="n">
        <x:f>IF(D2495="Completed",I2495,0)</x:f>
        <x:v>0</x:v>
      </x:c>
      <x:c r="S2495" s="11" t="n">
        <x:f>IF(D2495="Completed",L2495,0)</x:f>
        <x:v>0</x:v>
      </x:c>
      <x:c r="T2495" s="8" t="n">
        <x:f>DATE(YEAR(C2495),MONTH(C2495),1)</x:f>
        <x:v>45901</x:v>
      </x:c>
    </x:row>
    <x:row r="2496" ht="22" customHeight="1">
      <x:c r="A2496" s="2" t="str">
        <x:v>L002492</x:v>
      </x:c>
      <x:c r="B2496" s="2" t="str">
        <x:v>O01024</x:v>
      </x:c>
      <x:c r="C2496" s="7" t="n">
        <x:v>45904</x:v>
      </x:c>
      <x:c r="D2496" s="2" t="str">
        <x:v>Cancelled</x:v>
      </x:c>
      <x:c r="E2496" s="2" t="str">
        <x:v>East</x:v>
      </x:c>
      <x:c r="F2496" s="2" t="str">
        <x:v>Online</x:v>
      </x:c>
      <x:c r="G2496" s="2" t="str">
        <x:v>Storage</x:v>
      </x:c>
      <x:c r="H2496" s="2" t="str">
        <x:v>Shelf 023</x:v>
      </x:c>
      <x:c r="I2496" s="11" t="n">
        <x:v>2</x:v>
      </x:c>
      <x:c r="J2496" s="9" t="n">
        <x:v>68</x:v>
      </x:c>
      <x:c r="K2496" s="10" t="n">
        <x:v>0.2</x:v>
      </x:c>
      <x:c r="L2496" s="11" t="n">
        <x:v>0</x:v>
      </x:c>
      <x:c r="M2496" s="9" t="n">
        <x:f>IF(D2496="Completed",I2496*J2496,0)</x:f>
        <x:v>0</x:v>
      </x:c>
      <x:c r="N2496" s="9" t="n">
        <x:f>M2496*K2496</x:f>
        <x:v>0</x:v>
      </x:c>
      <x:c r="O2496" s="9" t="n">
        <x:f>M2496-N2496</x:f>
        <x:v>0</x:v>
      </x:c>
      <x:c r="P2496" s="9" t="n">
        <x:f>IF(D2496="Completed",L2496*J2496*(1-K2496),0)</x:f>
        <x:v>0</x:v>
      </x:c>
      <x:c r="Q2496" s="9" t="n">
        <x:f>O2496-P2496</x:f>
        <x:v>0</x:v>
      </x:c>
      <x:c r="R2496" s="11" t="n">
        <x:f>IF(D2496="Completed",I2496,0)</x:f>
        <x:v>0</x:v>
      </x:c>
      <x:c r="S2496" s="11" t="n">
        <x:f>IF(D2496="Completed",L2496,0)</x:f>
        <x:v>0</x:v>
      </x:c>
      <x:c r="T2496" s="8" t="n">
        <x:f>DATE(YEAR(C2496),MONTH(C2496),1)</x:f>
        <x:v>45901</x:v>
      </x:c>
    </x:row>
    <x:row r="2497" ht="22" customHeight="1">
      <x:c r="A2497" s="2" t="str">
        <x:v>L002493</x:v>
      </x:c>
      <x:c r="B2497" s="2" t="str">
        <x:v>O01024</x:v>
      </x:c>
      <x:c r="C2497" s="7" t="n">
        <x:v>45904</x:v>
      </x:c>
      <x:c r="D2497" s="2" t="str">
        <x:v>Cancelled</x:v>
      </x:c>
      <x:c r="E2497" s="2" t="str">
        <x:v>East</x:v>
      </x:c>
      <x:c r="F2497" s="2" t="str">
        <x:v>Online</x:v>
      </x:c>
      <x:c r="G2497" s="2" t="str">
        <x:v>Storage</x:v>
      </x:c>
      <x:c r="H2497" s="2" t="str">
        <x:v>Shelf 023</x:v>
      </x:c>
      <x:c r="I2497" s="11" t="n">
        <x:v>1</x:v>
      </x:c>
      <x:c r="J2497" s="9" t="n">
        <x:v>68</x:v>
      </x:c>
      <x:c r="K2497" s="10" t="n">
        <x:v>0.05</x:v>
      </x:c>
      <x:c r="L2497" s="11" t="n">
        <x:v>0</x:v>
      </x:c>
      <x:c r="M2497" s="9" t="n">
        <x:f>IF(D2497="Completed",I2497*J2497,0)</x:f>
        <x:v>0</x:v>
      </x:c>
      <x:c r="N2497" s="9" t="n">
        <x:f>M2497*K2497</x:f>
        <x:v>0</x:v>
      </x:c>
      <x:c r="O2497" s="9" t="n">
        <x:f>M2497-N2497</x:f>
        <x:v>0</x:v>
      </x:c>
      <x:c r="P2497" s="9" t="n">
        <x:f>IF(D2497="Completed",L2497*J2497*(1-K2497),0)</x:f>
        <x:v>0</x:v>
      </x:c>
      <x:c r="Q2497" s="9" t="n">
        <x:f>O2497-P2497</x:f>
        <x:v>0</x:v>
      </x:c>
      <x:c r="R2497" s="11" t="n">
        <x:f>IF(D2497="Completed",I2497,0)</x:f>
        <x:v>0</x:v>
      </x:c>
      <x:c r="S2497" s="11" t="n">
        <x:f>IF(D2497="Completed",L2497,0)</x:f>
        <x:v>0</x:v>
      </x:c>
      <x:c r="T2497" s="8" t="n">
        <x:f>DATE(YEAR(C2497),MONTH(C2497),1)</x:f>
        <x:v>45901</x:v>
      </x:c>
    </x:row>
    <x:row r="2498" ht="22" customHeight="1">
      <x:c r="A2498" s="2" t="str">
        <x:v>L002494</x:v>
      </x:c>
      <x:c r="B2498" s="2" t="str">
        <x:v>O01025</x:v>
      </x:c>
      <x:c r="C2498" s="7" t="n">
        <x:v>45983</x:v>
      </x:c>
      <x:c r="D2498" s="2" t="str">
        <x:v>Completed</x:v>
      </x:c>
      <x:c r="E2498" s="2" t="str">
        <x:v>South</x:v>
      </x:c>
      <x:c r="F2498" s="2" t="str">
        <x:v>Online</x:v>
      </x:c>
      <x:c r="G2498" s="2" t="str">
        <x:v>Furniture</x:v>
      </x:c>
      <x:c r="H2498" s="2" t="str">
        <x:v>Chair 018</x:v>
      </x:c>
      <x:c r="I2498" s="11" t="n">
        <x:v>2</x:v>
      </x:c>
      <x:c r="J2498" s="9" t="n">
        <x:v>269</x:v>
      </x:c>
      <x:c r="K2498" s="10" t="n">
        <x:v>0</x:v>
      </x:c>
      <x:c r="L2498" s="11" t="n">
        <x:v>0</x:v>
      </x:c>
      <x:c r="M2498" s="9" t="n">
        <x:f>IF(D2498="Completed",I2498*J2498,0)</x:f>
        <x:v>538</x:v>
      </x:c>
      <x:c r="N2498" s="9" t="n">
        <x:f>M2498*K2498</x:f>
        <x:v>0</x:v>
      </x:c>
      <x:c r="O2498" s="9" t="n">
        <x:f>M2498-N2498</x:f>
        <x:v>538</x:v>
      </x:c>
      <x:c r="P2498" s="9" t="n">
        <x:f>IF(D2498="Completed",L2498*J2498*(1-K2498),0)</x:f>
        <x:v>0</x:v>
      </x:c>
      <x:c r="Q2498" s="9" t="n">
        <x:f>O2498-P2498</x:f>
        <x:v>538</x:v>
      </x:c>
      <x:c r="R2498" s="11" t="n">
        <x:f>IF(D2498="Completed",I2498,0)</x:f>
        <x:v>2</x:v>
      </x:c>
      <x:c r="S2498" s="11" t="n">
        <x:f>IF(D2498="Completed",L2498,0)</x:f>
        <x:v>0</x:v>
      </x:c>
      <x:c r="T2498" s="8" t="n">
        <x:f>DATE(YEAR(C2498),MONTH(C2498),1)</x:f>
        <x:v>45962</x:v>
      </x:c>
    </x:row>
    <x:row r="2499" ht="22" customHeight="1">
      <x:c r="A2499" s="2" t="str">
        <x:v>L002495</x:v>
      </x:c>
      <x:c r="B2499" s="2" t="str">
        <x:v>O01026</x:v>
      </x:c>
      <x:c r="C2499" s="7" t="n">
        <x:v>45949</x:v>
      </x:c>
      <x:c r="D2499" s="2" t="str">
        <x:v>Completed</x:v>
      </x:c>
      <x:c r="E2499" s="2" t="str">
        <x:v>West</x:v>
      </x:c>
      <x:c r="F2499" s="2" t="str">
        <x:v>Store</x:v>
      </x:c>
      <x:c r="G2499" s="2" t="str">
        <x:v>Storage</x:v>
      </x:c>
      <x:c r="H2499" s="2" t="str">
        <x:v>Shelf 003</x:v>
      </x:c>
      <x:c r="I2499" s="11" t="n">
        <x:v>3</x:v>
      </x:c>
      <x:c r="J2499" s="9" t="n">
        <x:v>199</x:v>
      </x:c>
      <x:c r="K2499" s="10" t="n">
        <x:v>0.2</x:v>
      </x:c>
      <x:c r="L2499" s="11" t="n">
        <x:v>0</x:v>
      </x:c>
      <x:c r="M2499" s="9" t="n">
        <x:f>IF(D2499="Completed",I2499*J2499,0)</x:f>
        <x:v>597</x:v>
      </x:c>
      <x:c r="N2499" s="9" t="n">
        <x:f>M2499*K2499</x:f>
        <x:v>119.4</x:v>
      </x:c>
      <x:c r="O2499" s="9" t="n">
        <x:f>M2499-N2499</x:f>
        <x:v>477.6</x:v>
      </x:c>
      <x:c r="P2499" s="9" t="n">
        <x:f>IF(D2499="Completed",L2499*J2499*(1-K2499),0)</x:f>
        <x:v>0</x:v>
      </x:c>
      <x:c r="Q2499" s="9" t="n">
        <x:f>O2499-P2499</x:f>
        <x:v>477.6</x:v>
      </x:c>
      <x:c r="R2499" s="11" t="n">
        <x:f>IF(D2499="Completed",I2499,0)</x:f>
        <x:v>3</x:v>
      </x:c>
      <x:c r="S2499" s="11" t="n">
        <x:f>IF(D2499="Completed",L2499,0)</x:f>
        <x:v>0</x:v>
      </x:c>
      <x:c r="T2499" s="8" t="n">
        <x:f>DATE(YEAR(C2499),MONTH(C2499),1)</x:f>
        <x:v>45931</x:v>
      </x:c>
    </x:row>
    <x:row r="2500" ht="22" customHeight="1">
      <x:c r="A2500" s="2" t="str">
        <x:v>L002496</x:v>
      </x:c>
      <x:c r="B2500" s="2" t="str">
        <x:v>O01026</x:v>
      </x:c>
      <x:c r="C2500" s="7" t="n">
        <x:v>45949</x:v>
      </x:c>
      <x:c r="D2500" s="2" t="str">
        <x:v>Completed</x:v>
      </x:c>
      <x:c r="E2500" s="2" t="str">
        <x:v>West</x:v>
      </x:c>
      <x:c r="F2500" s="2" t="str">
        <x:v>Store</x:v>
      </x:c>
      <x:c r="G2500" s="2" t="str">
        <x:v>Furniture</x:v>
      </x:c>
      <x:c r="H2500" s="2" t="str">
        <x:v>Chair 002</x:v>
      </x:c>
      <x:c r="I2500" s="11" t="n">
        <x:v>2</x:v>
      </x:c>
      <x:c r="J2500" s="9" t="n">
        <x:v>284</x:v>
      </x:c>
      <x:c r="K2500" s="10" t="n">
        <x:v>0.2</x:v>
      </x:c>
      <x:c r="L2500" s="11" t="n">
        <x:v>0</x:v>
      </x:c>
      <x:c r="M2500" s="9" t="n">
        <x:f>IF(D2500="Completed",I2500*J2500,0)</x:f>
        <x:v>568</x:v>
      </x:c>
      <x:c r="N2500" s="9" t="n">
        <x:f>M2500*K2500</x:f>
        <x:v>113.60000000000001</x:v>
      </x:c>
      <x:c r="O2500" s="9" t="n">
        <x:f>M2500-N2500</x:f>
        <x:v>454.4</x:v>
      </x:c>
      <x:c r="P2500" s="9" t="n">
        <x:f>IF(D2500="Completed",L2500*J2500*(1-K2500),0)</x:f>
        <x:v>0</x:v>
      </x:c>
      <x:c r="Q2500" s="9" t="n">
        <x:f>O2500-P2500</x:f>
        <x:v>454.4</x:v>
      </x:c>
      <x:c r="R2500" s="11" t="n">
        <x:f>IF(D2500="Completed",I2500,0)</x:f>
        <x:v>2</x:v>
      </x:c>
      <x:c r="S2500" s="11" t="n">
        <x:f>IF(D2500="Completed",L2500,0)</x:f>
        <x:v>0</x:v>
      </x:c>
      <x:c r="T2500" s="8" t="n">
        <x:f>DATE(YEAR(C2500),MONTH(C2500),1)</x:f>
        <x:v>45931</x:v>
      </x:c>
    </x:row>
    <x:row r="2501" ht="22" customHeight="1">
      <x:c r="A2501" s="2" t="str">
        <x:v>L002497</x:v>
      </x:c>
      <x:c r="B2501" s="2" t="str">
        <x:v>O01026</x:v>
      </x:c>
      <x:c r="C2501" s="7" t="n">
        <x:v>45949</x:v>
      </x:c>
      <x:c r="D2501" s="2" t="str">
        <x:v>Completed</x:v>
      </x:c>
      <x:c r="E2501" s="2" t="str">
        <x:v>West</x:v>
      </x:c>
      <x:c r="F2501" s="2" t="str">
        <x:v>Store</x:v>
      </x:c>
      <x:c r="G2501" s="2" t="str">
        <x:v>Lighting</x:v>
      </x:c>
      <x:c r="H2501" s="2" t="str">
        <x:v>Lamp 013</x:v>
      </x:c>
      <x:c r="I2501" s="11" t="n">
        <x:v>3</x:v>
      </x:c>
      <x:c r="J2501" s="9" t="n">
        <x:v>271</x:v>
      </x:c>
      <x:c r="K2501" s="10" t="n">
        <x:v>0.1</x:v>
      </x:c>
      <x:c r="L2501" s="11" t="n">
        <x:v>0</x:v>
      </x:c>
      <x:c r="M2501" s="9" t="n">
        <x:f>IF(D2501="Completed",I2501*J2501,0)</x:f>
        <x:v>813</x:v>
      </x:c>
      <x:c r="N2501" s="9" t="n">
        <x:f>M2501*K2501</x:f>
        <x:v>81.30000000000001</x:v>
      </x:c>
      <x:c r="O2501" s="9" t="n">
        <x:f>M2501-N2501</x:f>
        <x:v>731.7</x:v>
      </x:c>
      <x:c r="P2501" s="9" t="n">
        <x:f>IF(D2501="Completed",L2501*J2501*(1-K2501),0)</x:f>
        <x:v>0</x:v>
      </x:c>
      <x:c r="Q2501" s="9" t="n">
        <x:f>O2501-P2501</x:f>
        <x:v>731.7</x:v>
      </x:c>
      <x:c r="R2501" s="11" t="n">
        <x:f>IF(D2501="Completed",I2501,0)</x:f>
        <x:v>3</x:v>
      </x:c>
      <x:c r="S2501" s="11" t="n">
        <x:f>IF(D2501="Completed",L2501,0)</x:f>
        <x:v>0</x:v>
      </x:c>
      <x:c r="T2501" s="8" t="n">
        <x:f>DATE(YEAR(C2501),MONTH(C2501),1)</x:f>
        <x:v>45931</x:v>
      </x:c>
    </x:row>
    <x:row r="2502" ht="22" customHeight="1">
      <x:c r="A2502" s="2" t="str">
        <x:v>L002498</x:v>
      </x:c>
      <x:c r="B2502" s="2" t="str">
        <x:v>O01026</x:v>
      </x:c>
      <x:c r="C2502" s="7" t="n">
        <x:v>45949</x:v>
      </x:c>
      <x:c r="D2502" s="2" t="str">
        <x:v>Completed</x:v>
      </x:c>
      <x:c r="E2502" s="2" t="str">
        <x:v>West</x:v>
      </x:c>
      <x:c r="F2502" s="2" t="str">
        <x:v>Store</x:v>
      </x:c>
      <x:c r="G2502" s="2" t="str">
        <x:v>Furniture</x:v>
      </x:c>
      <x:c r="H2502" s="2" t="str">
        <x:v>Chair 002</x:v>
      </x:c>
      <x:c r="I2502" s="11" t="n">
        <x:v>5</x:v>
      </x:c>
      <x:c r="J2502" s="9" t="n">
        <x:v>284</x:v>
      </x:c>
      <x:c r="K2502" s="10" t="n">
        <x:v>0</x:v>
      </x:c>
      <x:c r="L2502" s="11" t="n">
        <x:v>0</x:v>
      </x:c>
      <x:c r="M2502" s="9" t="n">
        <x:f>IF(D2502="Completed",I2502*J2502,0)</x:f>
        <x:v>1420</x:v>
      </x:c>
      <x:c r="N2502" s="9" t="n">
        <x:f>M2502*K2502</x:f>
        <x:v>0</x:v>
      </x:c>
      <x:c r="O2502" s="9" t="n">
        <x:f>M2502-N2502</x:f>
        <x:v>1420</x:v>
      </x:c>
      <x:c r="P2502" s="9" t="n">
        <x:f>IF(D2502="Completed",L2502*J2502*(1-K2502),0)</x:f>
        <x:v>0</x:v>
      </x:c>
      <x:c r="Q2502" s="9" t="n">
        <x:f>O2502-P2502</x:f>
        <x:v>1420</x:v>
      </x:c>
      <x:c r="R2502" s="11" t="n">
        <x:f>IF(D2502="Completed",I2502,0)</x:f>
        <x:v>5</x:v>
      </x:c>
      <x:c r="S2502" s="11" t="n">
        <x:f>IF(D2502="Completed",L2502,0)</x:f>
        <x:v>0</x:v>
      </x:c>
      <x:c r="T2502" s="8" t="n">
        <x:f>DATE(YEAR(C2502),MONTH(C2502),1)</x:f>
        <x:v>45931</x:v>
      </x:c>
    </x:row>
    <x:row r="2503" ht="22" customHeight="1">
      <x:c r="A2503" s="2" t="str">
        <x:v>L002499</x:v>
      </x:c>
      <x:c r="B2503" s="2" t="str">
        <x:v>O01027</x:v>
      </x:c>
      <x:c r="C2503" s="7" t="n">
        <x:v>45788</x:v>
      </x:c>
      <x:c r="D2503" s="2" t="str">
        <x:v>Cancelled</x:v>
      </x:c>
      <x:c r="E2503" s="2" t="str">
        <x:v>East</x:v>
      </x:c>
      <x:c r="F2503" s="2" t="str">
        <x:v>Online</x:v>
      </x:c>
      <x:c r="G2503" s="2" t="str">
        <x:v>Storage</x:v>
      </x:c>
      <x:c r="H2503" s="2" t="str">
        <x:v>Shelf 015</x:v>
      </x:c>
      <x:c r="I2503" s="11" t="n">
        <x:v>5</x:v>
      </x:c>
      <x:c r="J2503" s="9" t="n">
        <x:v>254</x:v>
      </x:c>
      <x:c r="K2503" s="10" t="n">
        <x:v>0.05</x:v>
      </x:c>
      <x:c r="L2503" s="11" t="n">
        <x:v>0</x:v>
      </x:c>
      <x:c r="M2503" s="9" t="n">
        <x:f>IF(D2503="Completed",I2503*J2503,0)</x:f>
        <x:v>0</x:v>
      </x:c>
      <x:c r="N2503" s="9" t="n">
        <x:f>M2503*K2503</x:f>
        <x:v>0</x:v>
      </x:c>
      <x:c r="O2503" s="9" t="n">
        <x:f>M2503-N2503</x:f>
        <x:v>0</x:v>
      </x:c>
      <x:c r="P2503" s="9" t="n">
        <x:f>IF(D2503="Completed",L2503*J2503*(1-K2503),0)</x:f>
        <x:v>0</x:v>
      </x:c>
      <x:c r="Q2503" s="9" t="n">
        <x:f>O2503-P2503</x:f>
        <x:v>0</x:v>
      </x:c>
      <x:c r="R2503" s="11" t="n">
        <x:f>IF(D2503="Completed",I2503,0)</x:f>
        <x:v>0</x:v>
      </x:c>
      <x:c r="S2503" s="11" t="n">
        <x:f>IF(D2503="Completed",L2503,0)</x:f>
        <x:v>0</x:v>
      </x:c>
      <x:c r="T2503" s="8" t="n">
        <x:f>DATE(YEAR(C2503),MONTH(C2503),1)</x:f>
        <x:v>45778</x:v>
      </x:c>
    </x:row>
    <x:row r="2504" ht="22" customHeight="1">
      <x:c r="A2504" s="2" t="str">
        <x:v>L002500</x:v>
      </x:c>
      <x:c r="B2504" s="2" t="str">
        <x:v>O01027</x:v>
      </x:c>
      <x:c r="C2504" s="7" t="n">
        <x:v>45788</x:v>
      </x:c>
      <x:c r="D2504" s="2" t="str">
        <x:v>Cancelled</x:v>
      </x:c>
      <x:c r="E2504" s="2" t="str">
        <x:v>East</x:v>
      </x:c>
      <x:c r="F2504" s="2" t="str">
        <x:v>Online</x:v>
      </x:c>
      <x:c r="G2504" s="2" t="str">
        <x:v>Furniture</x:v>
      </x:c>
      <x:c r="H2504" s="2" t="str">
        <x:v>Desk 004</x:v>
      </x:c>
      <x:c r="I2504" s="11" t="n">
        <x:v>3</x:v>
      </x:c>
      <x:c r="J2504" s="9" t="n">
        <x:v>123</x:v>
      </x:c>
      <x:c r="K2504" s="10" t="n">
        <x:v>0.2</x:v>
      </x:c>
      <x:c r="L2504" s="11" t="n">
        <x:v>0</x:v>
      </x:c>
      <x:c r="M2504" s="9" t="n">
        <x:f>IF(D2504="Completed",I2504*J2504,0)</x:f>
        <x:v>0</x:v>
      </x:c>
      <x:c r="N2504" s="9" t="n">
        <x:f>M2504*K2504</x:f>
        <x:v>0</x:v>
      </x:c>
      <x:c r="O2504" s="9" t="n">
        <x:f>M2504-N2504</x:f>
        <x:v>0</x:v>
      </x:c>
      <x:c r="P2504" s="9" t="n">
        <x:f>IF(D2504="Completed",L2504*J2504*(1-K2504),0)</x:f>
        <x:v>0</x:v>
      </x:c>
      <x:c r="Q2504" s="9" t="n">
        <x:f>O2504-P2504</x:f>
        <x:v>0</x:v>
      </x:c>
      <x:c r="R2504" s="11" t="n">
        <x:f>IF(D2504="Completed",I2504,0)</x:f>
        <x:v>0</x:v>
      </x:c>
      <x:c r="S2504" s="11" t="n">
        <x:f>IF(D2504="Completed",L2504,0)</x:f>
        <x:v>0</x:v>
      </x:c>
      <x:c r="T2504" s="8" t="n">
        <x:f>DATE(YEAR(C2504),MONTH(C2504),1)</x:f>
        <x:v>45778</x:v>
      </x:c>
    </x:row>
    <x:row r="2505" ht="22" customHeight="1">
      <x:c r="A2505" s="2" t="str">
        <x:v>L002501</x:v>
      </x:c>
      <x:c r="B2505" s="2" t="str">
        <x:v>O01027</x:v>
      </x:c>
      <x:c r="C2505" s="7" t="n">
        <x:v>45788</x:v>
      </x:c>
      <x:c r="D2505" s="2" t="str">
        <x:v>Cancelled</x:v>
      </x:c>
      <x:c r="E2505" s="2" t="str">
        <x:v>East</x:v>
      </x:c>
      <x:c r="F2505" s="2" t="str">
        <x:v>Online</x:v>
      </x:c>
      <x:c r="G2505" s="2" t="str">
        <x:v>Storage</x:v>
      </x:c>
      <x:c r="H2505" s="2" t="str">
        <x:v>Shelf 003</x:v>
      </x:c>
      <x:c r="I2505" s="11" t="n">
        <x:v>4</x:v>
      </x:c>
      <x:c r="J2505" s="9" t="n">
        <x:v>199</x:v>
      </x:c>
      <x:c r="K2505" s="10" t="n">
        <x:v>0</x:v>
      </x:c>
      <x:c r="L2505" s="11" t="n">
        <x:v>0</x:v>
      </x:c>
      <x:c r="M2505" s="9" t="n">
        <x:f>IF(D2505="Completed",I2505*J2505,0)</x:f>
        <x:v>0</x:v>
      </x:c>
      <x:c r="N2505" s="9" t="n">
        <x:f>M2505*K2505</x:f>
        <x:v>0</x:v>
      </x:c>
      <x:c r="O2505" s="9" t="n">
        <x:f>M2505-N2505</x:f>
        <x:v>0</x:v>
      </x:c>
      <x:c r="P2505" s="9" t="n">
        <x:f>IF(D2505="Completed",L2505*J2505*(1-K2505),0)</x:f>
        <x:v>0</x:v>
      </x:c>
      <x:c r="Q2505" s="9" t="n">
        <x:f>O2505-P2505</x:f>
        <x:v>0</x:v>
      </x:c>
      <x:c r="R2505" s="11" t="n">
        <x:f>IF(D2505="Completed",I2505,0)</x:f>
        <x:v>0</x:v>
      </x:c>
      <x:c r="S2505" s="11" t="n">
        <x:f>IF(D2505="Completed",L2505,0)</x:f>
        <x:v>0</x:v>
      </x:c>
      <x:c r="T2505" s="8" t="n">
        <x:f>DATE(YEAR(C2505),MONTH(C2505),1)</x:f>
        <x:v>45778</x:v>
      </x:c>
    </x:row>
    <x:row r="2506" ht="22" customHeight="1">
      <x:c r="A2506" s="2" t="str">
        <x:v>L002502</x:v>
      </x:c>
      <x:c r="B2506" s="2" t="str">
        <x:v>O01027</x:v>
      </x:c>
      <x:c r="C2506" s="7" t="n">
        <x:v>45788</x:v>
      </x:c>
      <x:c r="D2506" s="2" t="str">
        <x:v>Cancelled</x:v>
      </x:c>
      <x:c r="E2506" s="2" t="str">
        <x:v>East</x:v>
      </x:c>
      <x:c r="F2506" s="2" t="str">
        <x:v>Online</x:v>
      </x:c>
      <x:c r="G2506" s="2" t="str">
        <x:v>Storage</x:v>
      </x:c>
      <x:c r="H2506" s="2" t="str">
        <x:v>Shelf 011</x:v>
      </x:c>
      <x:c r="I2506" s="11" t="n">
        <x:v>3</x:v>
      </x:c>
      <x:c r="J2506" s="9" t="n">
        <x:v>80</x:v>
      </x:c>
      <x:c r="K2506" s="10" t="n">
        <x:v>0.2</x:v>
      </x:c>
      <x:c r="L2506" s="11" t="n">
        <x:v>0</x:v>
      </x:c>
      <x:c r="M2506" s="9" t="n">
        <x:f>IF(D2506="Completed",I2506*J2506,0)</x:f>
        <x:v>0</x:v>
      </x:c>
      <x:c r="N2506" s="9" t="n">
        <x:f>M2506*K2506</x:f>
        <x:v>0</x:v>
      </x:c>
      <x:c r="O2506" s="9" t="n">
        <x:f>M2506-N2506</x:f>
        <x:v>0</x:v>
      </x:c>
      <x:c r="P2506" s="9" t="n">
        <x:f>IF(D2506="Completed",L2506*J2506*(1-K2506),0)</x:f>
        <x:v>0</x:v>
      </x:c>
      <x:c r="Q2506" s="9" t="n">
        <x:f>O2506-P2506</x:f>
        <x:v>0</x:v>
      </x:c>
      <x:c r="R2506" s="11" t="n">
        <x:f>IF(D2506="Completed",I2506,0)</x:f>
        <x:v>0</x:v>
      </x:c>
      <x:c r="S2506" s="11" t="n">
        <x:f>IF(D2506="Completed",L2506,0)</x:f>
        <x:v>0</x:v>
      </x:c>
      <x:c r="T2506" s="8" t="n">
        <x:f>DATE(YEAR(C2506),MONTH(C2506),1)</x:f>
        <x:v>45778</x:v>
      </x:c>
    </x:row>
    <x:row r="2507" ht="22" customHeight="1">
      <x:c r="A2507" s="2" t="str">
        <x:v>L002503</x:v>
      </x:c>
      <x:c r="B2507" s="2" t="str">
        <x:v>O01028</x:v>
      </x:c>
      <x:c r="C2507" s="7" t="n">
        <x:v>45988</x:v>
      </x:c>
      <x:c r="D2507" s="2" t="str">
        <x:v>Completed</x:v>
      </x:c>
      <x:c r="E2507" s="2" t="str">
        <x:v>South</x:v>
      </x:c>
      <x:c r="F2507" s="2" t="str">
        <x:v>Online</x:v>
      </x:c>
      <x:c r="G2507" s="2" t="str">
        <x:v>Lighting</x:v>
      </x:c>
      <x:c r="H2507" s="2" t="str">
        <x:v>Lamp 005</x:v>
      </x:c>
      <x:c r="I2507" s="11" t="n">
        <x:v>1</x:v>
      </x:c>
      <x:c r="J2507" s="9" t="n">
        <x:v>65</x:v>
      </x:c>
      <x:c r="K2507" s="10" t="n">
        <x:v>0.2</x:v>
      </x:c>
      <x:c r="L2507" s="11" t="n">
        <x:v>0</x:v>
      </x:c>
      <x:c r="M2507" s="9" t="n">
        <x:f>IF(D2507="Completed",I2507*J2507,0)</x:f>
        <x:v>65</x:v>
      </x:c>
      <x:c r="N2507" s="9" t="n">
        <x:f>M2507*K2507</x:f>
        <x:v>13</x:v>
      </x:c>
      <x:c r="O2507" s="9" t="n">
        <x:f>M2507-N2507</x:f>
        <x:v>52</x:v>
      </x:c>
      <x:c r="P2507" s="9" t="n">
        <x:f>IF(D2507="Completed",L2507*J2507*(1-K2507),0)</x:f>
        <x:v>0</x:v>
      </x:c>
      <x:c r="Q2507" s="9" t="n">
        <x:f>O2507-P2507</x:f>
        <x:v>52</x:v>
      </x:c>
      <x:c r="R2507" s="11" t="n">
        <x:f>IF(D2507="Completed",I2507,0)</x:f>
        <x:v>1</x:v>
      </x:c>
      <x:c r="S2507" s="11" t="n">
        <x:f>IF(D2507="Completed",L2507,0)</x:f>
        <x:v>0</x:v>
      </x:c>
      <x:c r="T2507" s="8" t="n">
        <x:f>DATE(YEAR(C2507),MONTH(C2507),1)</x:f>
        <x:v>45962</x:v>
      </x:c>
    </x:row>
    <x:row r="2508" ht="22" customHeight="1">
      <x:c r="A2508" s="2" t="str">
        <x:v>L002504</x:v>
      </x:c>
      <x:c r="B2508" s="2" t="str">
        <x:v>O01028</x:v>
      </x:c>
      <x:c r="C2508" s="7" t="n">
        <x:v>45988</x:v>
      </x:c>
      <x:c r="D2508" s="2" t="str">
        <x:v>Completed</x:v>
      </x:c>
      <x:c r="E2508" s="2" t="str">
        <x:v>South</x:v>
      </x:c>
      <x:c r="F2508" s="2" t="str">
        <x:v>Online</x:v>
      </x:c>
      <x:c r="G2508" s="2" t="str">
        <x:v>Lighting</x:v>
      </x:c>
      <x:c r="H2508" s="2" t="str">
        <x:v>Lamp 013</x:v>
      </x:c>
      <x:c r="I2508" s="11" t="n">
        <x:v>3</x:v>
      </x:c>
      <x:c r="J2508" s="9" t="n">
        <x:v>271</x:v>
      </x:c>
      <x:c r="K2508" s="10" t="n">
        <x:v>0</x:v>
      </x:c>
      <x:c r="L2508" s="11" t="n">
        <x:v>0</x:v>
      </x:c>
      <x:c r="M2508" s="9" t="n">
        <x:f>IF(D2508="Completed",I2508*J2508,0)</x:f>
        <x:v>813</x:v>
      </x:c>
      <x:c r="N2508" s="9" t="n">
        <x:f>M2508*K2508</x:f>
        <x:v>0</x:v>
      </x:c>
      <x:c r="O2508" s="9" t="n">
        <x:f>M2508-N2508</x:f>
        <x:v>813</x:v>
      </x:c>
      <x:c r="P2508" s="9" t="n">
        <x:f>IF(D2508="Completed",L2508*J2508*(1-K2508),0)</x:f>
        <x:v>0</x:v>
      </x:c>
      <x:c r="Q2508" s="9" t="n">
        <x:f>O2508-P2508</x:f>
        <x:v>813</x:v>
      </x:c>
      <x:c r="R2508" s="11" t="n">
        <x:f>IF(D2508="Completed",I2508,0)</x:f>
        <x:v>3</x:v>
      </x:c>
      <x:c r="S2508" s="11" t="n">
        <x:f>IF(D2508="Completed",L2508,0)</x:f>
        <x:v>0</x:v>
      </x:c>
      <x:c r="T2508" s="8" t="n">
        <x:f>DATE(YEAR(C2508),MONTH(C2508),1)</x:f>
        <x:v>45962</x:v>
      </x:c>
    </x:row>
    <x:row r="2509" ht="22" customHeight="1">
      <x:c r="A2509" s="2" t="str">
        <x:v>L002505</x:v>
      </x:c>
      <x:c r="B2509" s="2" t="str">
        <x:v>O01029</x:v>
      </x:c>
      <x:c r="C2509" s="7" t="n">
        <x:v>45988</x:v>
      </x:c>
      <x:c r="D2509" s="2" t="str">
        <x:v>Completed</x:v>
      </x:c>
      <x:c r="E2509" s="2" t="str">
        <x:v>South</x:v>
      </x:c>
      <x:c r="F2509" s="2" t="str">
        <x:v>Store</x:v>
      </x:c>
      <x:c r="G2509" s="2" t="str">
        <x:v>Furniture</x:v>
      </x:c>
      <x:c r="H2509" s="2" t="str">
        <x:v>Chair 018</x:v>
      </x:c>
      <x:c r="I2509" s="11" t="n">
        <x:v>4</x:v>
      </x:c>
      <x:c r="J2509" s="9" t="n">
        <x:v>269</x:v>
      </x:c>
      <x:c r="K2509" s="10" t="n">
        <x:v>0.2</x:v>
      </x:c>
      <x:c r="L2509" s="11" t="n">
        <x:v>0</x:v>
      </x:c>
      <x:c r="M2509" s="9" t="n">
        <x:f>IF(D2509="Completed",I2509*J2509,0)</x:f>
        <x:v>1076</x:v>
      </x:c>
      <x:c r="N2509" s="9" t="n">
        <x:f>M2509*K2509</x:f>
        <x:v>215.20000000000002</x:v>
      </x:c>
      <x:c r="O2509" s="9" t="n">
        <x:f>M2509-N2509</x:f>
        <x:v>860.8</x:v>
      </x:c>
      <x:c r="P2509" s="9" t="n">
        <x:f>IF(D2509="Completed",L2509*J2509*(1-K2509),0)</x:f>
        <x:v>0</x:v>
      </x:c>
      <x:c r="Q2509" s="9" t="n">
        <x:f>O2509-P2509</x:f>
        <x:v>860.8</x:v>
      </x:c>
      <x:c r="R2509" s="11" t="n">
        <x:f>IF(D2509="Completed",I2509,0)</x:f>
        <x:v>4</x:v>
      </x:c>
      <x:c r="S2509" s="11" t="n">
        <x:f>IF(D2509="Completed",L2509,0)</x:f>
        <x:v>0</x:v>
      </x:c>
      <x:c r="T2509" s="8" t="n">
        <x:f>DATE(YEAR(C2509),MONTH(C2509),1)</x:f>
        <x:v>45962</x:v>
      </x:c>
    </x:row>
    <x:row r="2510" ht="22" customHeight="1">
      <x:c r="A2510" s="2" t="str">
        <x:v>L002506</x:v>
      </x:c>
      <x:c r="B2510" s="2" t="str">
        <x:v>O01030</x:v>
      </x:c>
      <x:c r="C2510" s="7" t="n">
        <x:v>45822</x:v>
      </x:c>
      <x:c r="D2510" s="2" t="str">
        <x:v>Completed</x:v>
      </x:c>
      <x:c r="E2510" s="2" t="str">
        <x:v>West</x:v>
      </x:c>
      <x:c r="F2510" s="2" t="str">
        <x:v>Online</x:v>
      </x:c>
      <x:c r="G2510" s="2" t="str">
        <x:v>Lighting</x:v>
      </x:c>
      <x:c r="H2510" s="2" t="str">
        <x:v>Lamp 017</x:v>
      </x:c>
      <x:c r="I2510" s="11" t="n">
        <x:v>3</x:v>
      </x:c>
      <x:c r="J2510" s="9" t="n">
        <x:v>300</x:v>
      </x:c>
      <x:c r="K2510" s="10" t="n">
        <x:v>0.05</x:v>
      </x:c>
      <x:c r="L2510" s="11" t="n">
        <x:v>0</x:v>
      </x:c>
      <x:c r="M2510" s="9" t="n">
        <x:f>IF(D2510="Completed",I2510*J2510,0)</x:f>
        <x:v>900</x:v>
      </x:c>
      <x:c r="N2510" s="9" t="n">
        <x:f>M2510*K2510</x:f>
        <x:v>45</x:v>
      </x:c>
      <x:c r="O2510" s="9" t="n">
        <x:f>M2510-N2510</x:f>
        <x:v>855</x:v>
      </x:c>
      <x:c r="P2510" s="9" t="n">
        <x:f>IF(D2510="Completed",L2510*J2510*(1-K2510),0)</x:f>
        <x:v>0</x:v>
      </x:c>
      <x:c r="Q2510" s="9" t="n">
        <x:f>O2510-P2510</x:f>
        <x:v>855</x:v>
      </x:c>
      <x:c r="R2510" s="11" t="n">
        <x:f>IF(D2510="Completed",I2510,0)</x:f>
        <x:v>3</x:v>
      </x:c>
      <x:c r="S2510" s="11" t="n">
        <x:f>IF(D2510="Completed",L2510,0)</x:f>
        <x:v>0</x:v>
      </x:c>
      <x:c r="T2510" s="8" t="n">
        <x:f>DATE(YEAR(C2510),MONTH(C2510),1)</x:f>
        <x:v>45809</x:v>
      </x:c>
    </x:row>
    <x:row r="2511" ht="22" customHeight="1">
      <x:c r="A2511" s="2" t="str">
        <x:v>L002507</x:v>
      </x:c>
      <x:c r="B2511" s="2" t="str">
        <x:v>O01030</x:v>
      </x:c>
      <x:c r="C2511" s="7" t="n">
        <x:v>45822</x:v>
      </x:c>
      <x:c r="D2511" s="2" t="str">
        <x:v>Completed</x:v>
      </x:c>
      <x:c r="E2511" s="2" t="str">
        <x:v>West</x:v>
      </x:c>
      <x:c r="F2511" s="2" t="str">
        <x:v>Online</x:v>
      </x:c>
      <x:c r="G2511" s="2" t="str">
        <x:v>Lighting</x:v>
      </x:c>
      <x:c r="H2511" s="2" t="str">
        <x:v>Lamp 005</x:v>
      </x:c>
      <x:c r="I2511" s="11" t="n">
        <x:v>5</x:v>
      </x:c>
      <x:c r="J2511" s="9" t="n">
        <x:v>65</x:v>
      </x:c>
      <x:c r="K2511" s="10" t="n">
        <x:v>0</x:v>
      </x:c>
      <x:c r="L2511" s="11" t="n">
        <x:v>0</x:v>
      </x:c>
      <x:c r="M2511" s="9" t="n">
        <x:f>IF(D2511="Completed",I2511*J2511,0)</x:f>
        <x:v>325</x:v>
      </x:c>
      <x:c r="N2511" s="9" t="n">
        <x:f>M2511*K2511</x:f>
        <x:v>0</x:v>
      </x:c>
      <x:c r="O2511" s="9" t="n">
        <x:f>M2511-N2511</x:f>
        <x:v>325</x:v>
      </x:c>
      <x:c r="P2511" s="9" t="n">
        <x:f>IF(D2511="Completed",L2511*J2511*(1-K2511),0)</x:f>
        <x:v>0</x:v>
      </x:c>
      <x:c r="Q2511" s="9" t="n">
        <x:f>O2511-P2511</x:f>
        <x:v>325</x:v>
      </x:c>
      <x:c r="R2511" s="11" t="n">
        <x:f>IF(D2511="Completed",I2511,0)</x:f>
        <x:v>5</x:v>
      </x:c>
      <x:c r="S2511" s="11" t="n">
        <x:f>IF(D2511="Completed",L2511,0)</x:f>
        <x:v>0</x:v>
      </x:c>
      <x:c r="T2511" s="8" t="n">
        <x:f>DATE(YEAR(C2511),MONTH(C2511),1)</x:f>
        <x:v>45809</x:v>
      </x:c>
    </x:row>
    <x:row r="2512" ht="22" customHeight="1">
      <x:c r="A2512" s="2" t="str">
        <x:v>L002508</x:v>
      </x:c>
      <x:c r="B2512" s="2" t="str">
        <x:v>O01030</x:v>
      </x:c>
      <x:c r="C2512" s="7" t="n">
        <x:v>45822</x:v>
      </x:c>
      <x:c r="D2512" s="2" t="str">
        <x:v>Completed</x:v>
      </x:c>
      <x:c r="E2512" s="2" t="str">
        <x:v>West</x:v>
      </x:c>
      <x:c r="F2512" s="2" t="str">
        <x:v>Online</x:v>
      </x:c>
      <x:c r="G2512" s="2" t="str">
        <x:v>Furniture</x:v>
      </x:c>
      <x:c r="H2512" s="2" t="str">
        <x:v>Desk 024</x:v>
      </x:c>
      <x:c r="I2512" s="11" t="n">
        <x:v>1</x:v>
      </x:c>
      <x:c r="J2512" s="9" t="n">
        <x:v>81</x:v>
      </x:c>
      <x:c r="K2512" s="10" t="n">
        <x:v>0.2</x:v>
      </x:c>
      <x:c r="L2512" s="11" t="n">
        <x:v>0</x:v>
      </x:c>
      <x:c r="M2512" s="9" t="n">
        <x:f>IF(D2512="Completed",I2512*J2512,0)</x:f>
        <x:v>81</x:v>
      </x:c>
      <x:c r="N2512" s="9" t="n">
        <x:f>M2512*K2512</x:f>
        <x:v>16.2</x:v>
      </x:c>
      <x:c r="O2512" s="9" t="n">
        <x:f>M2512-N2512</x:f>
        <x:v>64.8</x:v>
      </x:c>
      <x:c r="P2512" s="9" t="n">
        <x:f>IF(D2512="Completed",L2512*J2512*(1-K2512),0)</x:f>
        <x:v>0</x:v>
      </x:c>
      <x:c r="Q2512" s="9" t="n">
        <x:f>O2512-P2512</x:f>
        <x:v>64.8</x:v>
      </x:c>
      <x:c r="R2512" s="11" t="n">
        <x:f>IF(D2512="Completed",I2512,0)</x:f>
        <x:v>1</x:v>
      </x:c>
      <x:c r="S2512" s="11" t="n">
        <x:f>IF(D2512="Completed",L2512,0)</x:f>
        <x:v>0</x:v>
      </x:c>
      <x:c r="T2512" s="8" t="n">
        <x:f>DATE(YEAR(C2512),MONTH(C2512),1)</x:f>
        <x:v>45809</x:v>
      </x:c>
    </x:row>
    <x:row r="2513" ht="22" customHeight="1">
      <x:c r="A2513" s="2" t="str">
        <x:v>L002509</x:v>
      </x:c>
      <x:c r="B2513" s="2" t="str">
        <x:v>O01030</x:v>
      </x:c>
      <x:c r="C2513" s="7" t="n">
        <x:v>45822</x:v>
      </x:c>
      <x:c r="D2513" s="2" t="str">
        <x:v>Completed</x:v>
      </x:c>
      <x:c r="E2513" s="2" t="str">
        <x:v>West</x:v>
      </x:c>
      <x:c r="F2513" s="2" t="str">
        <x:v>Online</x:v>
      </x:c>
      <x:c r="G2513" s="2" t="str">
        <x:v>Furniture</x:v>
      </x:c>
      <x:c r="H2513" s="2" t="str">
        <x:v>Chair 010</x:v>
      </x:c>
      <x:c r="I2513" s="11" t="n">
        <x:v>4</x:v>
      </x:c>
      <x:c r="J2513" s="9" t="n">
        <x:v>211</x:v>
      </x:c>
      <x:c r="K2513" s="10" t="n">
        <x:v>0.2</x:v>
      </x:c>
      <x:c r="L2513" s="11" t="n">
        <x:v>0</x:v>
      </x:c>
      <x:c r="M2513" s="9" t="n">
        <x:f>IF(D2513="Completed",I2513*J2513,0)</x:f>
        <x:v>844</x:v>
      </x:c>
      <x:c r="N2513" s="9" t="n">
        <x:f>M2513*K2513</x:f>
        <x:v>168.8</x:v>
      </x:c>
      <x:c r="O2513" s="9" t="n">
        <x:f>M2513-N2513</x:f>
        <x:v>675.2</x:v>
      </x:c>
      <x:c r="P2513" s="9" t="n">
        <x:f>IF(D2513="Completed",L2513*J2513*(1-K2513),0)</x:f>
        <x:v>0</x:v>
      </x:c>
      <x:c r="Q2513" s="9" t="n">
        <x:f>O2513-P2513</x:f>
        <x:v>675.2</x:v>
      </x:c>
      <x:c r="R2513" s="11" t="n">
        <x:f>IF(D2513="Completed",I2513,0)</x:f>
        <x:v>4</x:v>
      </x:c>
      <x:c r="S2513" s="11" t="n">
        <x:f>IF(D2513="Completed",L2513,0)</x:f>
        <x:v>0</x:v>
      </x:c>
      <x:c r="T2513" s="8" t="n">
        <x:f>DATE(YEAR(C2513),MONTH(C2513),1)</x:f>
        <x:v>45809</x:v>
      </x:c>
    </x:row>
    <x:row r="2514" ht="22" customHeight="1">
      <x:c r="A2514" s="2" t="str">
        <x:v>L002510</x:v>
      </x:c>
      <x:c r="B2514" s="2" t="str">
        <x:v>O01031</x:v>
      </x:c>
      <x:c r="C2514" s="7" t="n">
        <x:v>45891</x:v>
      </x:c>
      <x:c r="D2514" s="2" t="str">
        <x:v>Completed</x:v>
      </x:c>
      <x:c r="E2514" s="2" t="str">
        <x:v>East</x:v>
      </x:c>
      <x:c r="F2514" s="2" t="str">
        <x:v>Online</x:v>
      </x:c>
      <x:c r="G2514" s="2" t="str">
        <x:v>Furniture</x:v>
      </x:c>
      <x:c r="H2514" s="2" t="str">
        <x:v>Desk 012</x:v>
      </x:c>
      <x:c r="I2514" s="11" t="n">
        <x:v>1</x:v>
      </x:c>
      <x:c r="J2514" s="9" t="n">
        <x:v>134</x:v>
      </x:c>
      <x:c r="K2514" s="10" t="n">
        <x:v>0.2</x:v>
      </x:c>
      <x:c r="L2514" s="11" t="n">
        <x:v>0</x:v>
      </x:c>
      <x:c r="M2514" s="9" t="n">
        <x:f>IF(D2514="Completed",I2514*J2514,0)</x:f>
        <x:v>134</x:v>
      </x:c>
      <x:c r="N2514" s="9" t="n">
        <x:f>M2514*K2514</x:f>
        <x:v>26.8</x:v>
      </x:c>
      <x:c r="O2514" s="9" t="n">
        <x:f>M2514-N2514</x:f>
        <x:v>107.2</x:v>
      </x:c>
      <x:c r="P2514" s="9" t="n">
        <x:f>IF(D2514="Completed",L2514*J2514*(1-K2514),0)</x:f>
        <x:v>0</x:v>
      </x:c>
      <x:c r="Q2514" s="9" t="n">
        <x:f>O2514-P2514</x:f>
        <x:v>107.2</x:v>
      </x:c>
      <x:c r="R2514" s="11" t="n">
        <x:f>IF(D2514="Completed",I2514,0)</x:f>
        <x:v>1</x:v>
      </x:c>
      <x:c r="S2514" s="11" t="n">
        <x:f>IF(D2514="Completed",L2514,0)</x:f>
        <x:v>0</x:v>
      </x:c>
      <x:c r="T2514" s="8" t="n">
        <x:f>DATE(YEAR(C2514),MONTH(C2514),1)</x:f>
        <x:v>45870</x:v>
      </x:c>
    </x:row>
    <x:row r="2515" ht="22" customHeight="1">
      <x:c r="A2515" s="2" t="str">
        <x:v>L002511</x:v>
      </x:c>
      <x:c r="B2515" s="2" t="str">
        <x:v>O01031</x:v>
      </x:c>
      <x:c r="C2515" s="7" t="n">
        <x:v>45891</x:v>
      </x:c>
      <x:c r="D2515" s="2" t="str">
        <x:v>Completed</x:v>
      </x:c>
      <x:c r="E2515" s="2" t="str">
        <x:v>East</x:v>
      </x:c>
      <x:c r="F2515" s="2" t="str">
        <x:v>Online</x:v>
      </x:c>
      <x:c r="G2515" s="2" t="str">
        <x:v>Furniture</x:v>
      </x:c>
      <x:c r="H2515" s="2" t="str">
        <x:v>Desk 024</x:v>
      </x:c>
      <x:c r="I2515" s="11" t="n">
        <x:v>4</x:v>
      </x:c>
      <x:c r="J2515" s="9" t="n">
        <x:v>81</x:v>
      </x:c>
      <x:c r="K2515" s="10" t="n">
        <x:v>0.1</x:v>
      </x:c>
      <x:c r="L2515" s="11" t="n">
        <x:v>0</x:v>
      </x:c>
      <x:c r="M2515" s="9" t="n">
        <x:f>IF(D2515="Completed",I2515*J2515,0)</x:f>
        <x:v>324</x:v>
      </x:c>
      <x:c r="N2515" s="9" t="n">
        <x:f>M2515*K2515</x:f>
        <x:v>32.4</x:v>
      </x:c>
      <x:c r="O2515" s="9" t="n">
        <x:f>M2515-N2515</x:f>
        <x:v>291.6</x:v>
      </x:c>
      <x:c r="P2515" s="9" t="n">
        <x:f>IF(D2515="Completed",L2515*J2515*(1-K2515),0)</x:f>
        <x:v>0</x:v>
      </x:c>
      <x:c r="Q2515" s="9" t="n">
        <x:f>O2515-P2515</x:f>
        <x:v>291.6</x:v>
      </x:c>
      <x:c r="R2515" s="11" t="n">
        <x:f>IF(D2515="Completed",I2515,0)</x:f>
        <x:v>4</x:v>
      </x:c>
      <x:c r="S2515" s="11" t="n">
        <x:f>IF(D2515="Completed",L2515,0)</x:f>
        <x:v>0</x:v>
      </x:c>
      <x:c r="T2515" s="8" t="n">
        <x:f>DATE(YEAR(C2515),MONTH(C2515),1)</x:f>
        <x:v>45870</x:v>
      </x:c>
    </x:row>
    <x:row r="2516" ht="22" customHeight="1">
      <x:c r="A2516" s="2" t="str">
        <x:v>L002512</x:v>
      </x:c>
      <x:c r="B2516" s="2" t="str">
        <x:v>O01031</x:v>
      </x:c>
      <x:c r="C2516" s="7" t="n">
        <x:v>45891</x:v>
      </x:c>
      <x:c r="D2516" s="2" t="str">
        <x:v>Completed</x:v>
      </x:c>
      <x:c r="E2516" s="2" t="str">
        <x:v>East</x:v>
      </x:c>
      <x:c r="F2516" s="2" t="str">
        <x:v>Online</x:v>
      </x:c>
      <x:c r="G2516" s="2" t="str">
        <x:v>Furniture</x:v>
      </x:c>
      <x:c r="H2516" s="2" t="str">
        <x:v>Desk 008</x:v>
      </x:c>
      <x:c r="I2516" s="11" t="n">
        <x:v>2</x:v>
      </x:c>
      <x:c r="J2516" s="9" t="n">
        <x:v>188</x:v>
      </x:c>
      <x:c r="K2516" s="10" t="n">
        <x:v>0.1</x:v>
      </x:c>
      <x:c r="L2516" s="11" t="n">
        <x:v>0</x:v>
      </x:c>
      <x:c r="M2516" s="9" t="n">
        <x:f>IF(D2516="Completed",I2516*J2516,0)</x:f>
        <x:v>376</x:v>
      </x:c>
      <x:c r="N2516" s="9" t="n">
        <x:f>M2516*K2516</x:f>
        <x:v>37.6</x:v>
      </x:c>
      <x:c r="O2516" s="9" t="n">
        <x:f>M2516-N2516</x:f>
        <x:v>338.4</x:v>
      </x:c>
      <x:c r="P2516" s="9" t="n">
        <x:f>IF(D2516="Completed",L2516*J2516*(1-K2516),0)</x:f>
        <x:v>0</x:v>
      </x:c>
      <x:c r="Q2516" s="9" t="n">
        <x:f>O2516-P2516</x:f>
        <x:v>338.4</x:v>
      </x:c>
      <x:c r="R2516" s="11" t="n">
        <x:f>IF(D2516="Completed",I2516,0)</x:f>
        <x:v>2</x:v>
      </x:c>
      <x:c r="S2516" s="11" t="n">
        <x:f>IF(D2516="Completed",L2516,0)</x:f>
        <x:v>0</x:v>
      </x:c>
      <x:c r="T2516" s="8" t="n">
        <x:f>DATE(YEAR(C2516),MONTH(C2516),1)</x:f>
        <x:v>45870</x:v>
      </x:c>
    </x:row>
    <x:row r="2517" ht="22" customHeight="1">
      <x:c r="A2517" s="2" t="str">
        <x:v>L002513</x:v>
      </x:c>
      <x:c r="B2517" s="2" t="str">
        <x:v>O01032</x:v>
      </x:c>
      <x:c r="C2517" s="7" t="n">
        <x:v>45753</x:v>
      </x:c>
      <x:c r="D2517" s="2" t="str">
        <x:v>Completed</x:v>
      </x:c>
      <x:c r="E2517" s="2" t="str">
        <x:v>South</x:v>
      </x:c>
      <x:c r="F2517" s="2" t="str">
        <x:v>Store</x:v>
      </x:c>
      <x:c r="G2517" s="2" t="str">
        <x:v>Storage</x:v>
      </x:c>
      <x:c r="H2517" s="2" t="str">
        <x:v>Shelf 015</x:v>
      </x:c>
      <x:c r="I2517" s="11" t="n">
        <x:v>1</x:v>
      </x:c>
      <x:c r="J2517" s="9" t="n">
        <x:v>254</x:v>
      </x:c>
      <x:c r="K2517" s="10" t="n">
        <x:v>0.1</x:v>
      </x:c>
      <x:c r="L2517" s="11" t="n">
        <x:v>0</x:v>
      </x:c>
      <x:c r="M2517" s="9" t="n">
        <x:f>IF(D2517="Completed",I2517*J2517,0)</x:f>
        <x:v>254</x:v>
      </x:c>
      <x:c r="N2517" s="9" t="n">
        <x:f>M2517*K2517</x:f>
        <x:v>25.400000000000002</x:v>
      </x:c>
      <x:c r="O2517" s="9" t="n">
        <x:f>M2517-N2517</x:f>
        <x:v>228.6</x:v>
      </x:c>
      <x:c r="P2517" s="9" t="n">
        <x:f>IF(D2517="Completed",L2517*J2517*(1-K2517),0)</x:f>
        <x:v>0</x:v>
      </x:c>
      <x:c r="Q2517" s="9" t="n">
        <x:f>O2517-P2517</x:f>
        <x:v>228.6</x:v>
      </x:c>
      <x:c r="R2517" s="11" t="n">
        <x:f>IF(D2517="Completed",I2517,0)</x:f>
        <x:v>1</x:v>
      </x:c>
      <x:c r="S2517" s="11" t="n">
        <x:f>IF(D2517="Completed",L2517,0)</x:f>
        <x:v>0</x:v>
      </x:c>
      <x:c r="T2517" s="8" t="n">
        <x:f>DATE(YEAR(C2517),MONTH(C2517),1)</x:f>
        <x:v>45748</x:v>
      </x:c>
    </x:row>
    <x:row r="2518" ht="22" customHeight="1">
      <x:c r="A2518" s="2" t="str">
        <x:v>L002514</x:v>
      </x:c>
      <x:c r="B2518" s="2" t="str">
        <x:v>O01032</x:v>
      </x:c>
      <x:c r="C2518" s="7" t="n">
        <x:v>45753</x:v>
      </x:c>
      <x:c r="D2518" s="2" t="str">
        <x:v>Completed</x:v>
      </x:c>
      <x:c r="E2518" s="2" t="str">
        <x:v>South</x:v>
      </x:c>
      <x:c r="F2518" s="2" t="str">
        <x:v>Store</x:v>
      </x:c>
      <x:c r="G2518" s="2" t="str">
        <x:v>Storage</x:v>
      </x:c>
      <x:c r="H2518" s="2" t="str">
        <x:v>Shelf 015</x:v>
      </x:c>
      <x:c r="I2518" s="11" t="n">
        <x:v>5</x:v>
      </x:c>
      <x:c r="J2518" s="9" t="n">
        <x:v>254</x:v>
      </x:c>
      <x:c r="K2518" s="10" t="n">
        <x:v>0.1</x:v>
      </x:c>
      <x:c r="L2518" s="11" t="n">
        <x:v>0</x:v>
      </x:c>
      <x:c r="M2518" s="9" t="n">
        <x:f>IF(D2518="Completed",I2518*J2518,0)</x:f>
        <x:v>1270</x:v>
      </x:c>
      <x:c r="N2518" s="9" t="n">
        <x:f>M2518*K2518</x:f>
        <x:v>127</x:v>
      </x:c>
      <x:c r="O2518" s="9" t="n">
        <x:f>M2518-N2518</x:f>
        <x:v>1143</x:v>
      </x:c>
      <x:c r="P2518" s="9" t="n">
        <x:f>IF(D2518="Completed",L2518*J2518*(1-K2518),0)</x:f>
        <x:v>0</x:v>
      </x:c>
      <x:c r="Q2518" s="9" t="n">
        <x:f>O2518-P2518</x:f>
        <x:v>1143</x:v>
      </x:c>
      <x:c r="R2518" s="11" t="n">
        <x:f>IF(D2518="Completed",I2518,0)</x:f>
        <x:v>5</x:v>
      </x:c>
      <x:c r="S2518" s="11" t="n">
        <x:f>IF(D2518="Completed",L2518,0)</x:f>
        <x:v>0</x:v>
      </x:c>
      <x:c r="T2518" s="8" t="n">
        <x:f>DATE(YEAR(C2518),MONTH(C2518),1)</x:f>
        <x:v>45748</x:v>
      </x:c>
    </x:row>
    <x:row r="2519" ht="22" customHeight="1">
      <x:c r="A2519" s="2" t="str">
        <x:v>L002515</x:v>
      </x:c>
      <x:c r="B2519" s="2" t="str">
        <x:v>O01032</x:v>
      </x:c>
      <x:c r="C2519" s="7" t="n">
        <x:v>45753</x:v>
      </x:c>
      <x:c r="D2519" s="2" t="str">
        <x:v>Completed</x:v>
      </x:c>
      <x:c r="E2519" s="2" t="str">
        <x:v>South</x:v>
      </x:c>
      <x:c r="F2519" s="2" t="str">
        <x:v>Store</x:v>
      </x:c>
      <x:c r="G2519" s="2" t="str">
        <x:v>Storage</x:v>
      </x:c>
      <x:c r="H2519" s="2" t="str">
        <x:v>Shelf 003</x:v>
      </x:c>
      <x:c r="I2519" s="11" t="n">
        <x:v>4</x:v>
      </x:c>
      <x:c r="J2519" s="9" t="n">
        <x:v>199</x:v>
      </x:c>
      <x:c r="K2519" s="10" t="n">
        <x:v>0.1</x:v>
      </x:c>
      <x:c r="L2519" s="11" t="n">
        <x:v>0</x:v>
      </x:c>
      <x:c r="M2519" s="9" t="n">
        <x:f>IF(D2519="Completed",I2519*J2519,0)</x:f>
        <x:v>796</x:v>
      </x:c>
      <x:c r="N2519" s="9" t="n">
        <x:f>M2519*K2519</x:f>
        <x:v>79.60000000000001</x:v>
      </x:c>
      <x:c r="O2519" s="9" t="n">
        <x:f>M2519-N2519</x:f>
        <x:v>716.4</x:v>
      </x:c>
      <x:c r="P2519" s="9" t="n">
        <x:f>IF(D2519="Completed",L2519*J2519*(1-K2519),0)</x:f>
        <x:v>0</x:v>
      </x:c>
      <x:c r="Q2519" s="9" t="n">
        <x:f>O2519-P2519</x:f>
        <x:v>716.4</x:v>
      </x:c>
      <x:c r="R2519" s="11" t="n">
        <x:f>IF(D2519="Completed",I2519,0)</x:f>
        <x:v>4</x:v>
      </x:c>
      <x:c r="S2519" s="11" t="n">
        <x:f>IF(D2519="Completed",L2519,0)</x:f>
        <x:v>0</x:v>
      </x:c>
      <x:c r="T2519" s="8" t="n">
        <x:f>DATE(YEAR(C2519),MONTH(C2519),1)</x:f>
        <x:v>45748</x:v>
      </x:c>
    </x:row>
    <x:row r="2520" ht="22" customHeight="1">
      <x:c r="A2520" s="2" t="str">
        <x:v>L002516</x:v>
      </x:c>
      <x:c r="B2520" s="2" t="str">
        <x:v>O01033</x:v>
      </x:c>
      <x:c r="C2520" s="7" t="n">
        <x:v>45758</x:v>
      </x:c>
      <x:c r="D2520" s="2" t="str">
        <x:v>Completed</x:v>
      </x:c>
      <x:c r="E2520" s="2" t="str">
        <x:v>East</x:v>
      </x:c>
      <x:c r="F2520" s="2" t="str">
        <x:v>Online</x:v>
      </x:c>
      <x:c r="G2520" s="2" t="str">
        <x:v>Storage</x:v>
      </x:c>
      <x:c r="H2520" s="2" t="str">
        <x:v>Shelf 023</x:v>
      </x:c>
      <x:c r="I2520" s="11" t="n">
        <x:v>5</x:v>
      </x:c>
      <x:c r="J2520" s="9" t="n">
        <x:v>68</x:v>
      </x:c>
      <x:c r="K2520" s="10" t="n">
        <x:v>0.1</x:v>
      </x:c>
      <x:c r="L2520" s="11" t="n">
        <x:v>0</x:v>
      </x:c>
      <x:c r="M2520" s="9" t="n">
        <x:f>IF(D2520="Completed",I2520*J2520,0)</x:f>
        <x:v>340</x:v>
      </x:c>
      <x:c r="N2520" s="9" t="n">
        <x:f>M2520*K2520</x:f>
        <x:v>34</x:v>
      </x:c>
      <x:c r="O2520" s="9" t="n">
        <x:f>M2520-N2520</x:f>
        <x:v>306</x:v>
      </x:c>
      <x:c r="P2520" s="9" t="n">
        <x:f>IF(D2520="Completed",L2520*J2520*(1-K2520),0)</x:f>
        <x:v>0</x:v>
      </x:c>
      <x:c r="Q2520" s="9" t="n">
        <x:f>O2520-P2520</x:f>
        <x:v>306</x:v>
      </x:c>
      <x:c r="R2520" s="11" t="n">
        <x:f>IF(D2520="Completed",I2520,0)</x:f>
        <x:v>5</x:v>
      </x:c>
      <x:c r="S2520" s="11" t="n">
        <x:f>IF(D2520="Completed",L2520,0)</x:f>
        <x:v>0</x:v>
      </x:c>
      <x:c r="T2520" s="8" t="n">
        <x:f>DATE(YEAR(C2520),MONTH(C2520),1)</x:f>
        <x:v>45748</x:v>
      </x:c>
    </x:row>
    <x:row r="2521" ht="22" customHeight="1">
      <x:c r="A2521" s="2" t="str">
        <x:v>L002517</x:v>
      </x:c>
      <x:c r="B2521" s="2" t="str">
        <x:v>O01033</x:v>
      </x:c>
      <x:c r="C2521" s="7" t="n">
        <x:v>45758</x:v>
      </x:c>
      <x:c r="D2521" s="2" t="str">
        <x:v>Completed</x:v>
      </x:c>
      <x:c r="E2521" s="2" t="str">
        <x:v>East</x:v>
      </x:c>
      <x:c r="F2521" s="2" t="str">
        <x:v>Online</x:v>
      </x:c>
      <x:c r="G2521" s="2" t="str">
        <x:v>Furniture</x:v>
      </x:c>
      <x:c r="H2521" s="2" t="str">
        <x:v>Desk 024</x:v>
      </x:c>
      <x:c r="I2521" s="11" t="n">
        <x:v>3</x:v>
      </x:c>
      <x:c r="J2521" s="9" t="n">
        <x:v>81</x:v>
      </x:c>
      <x:c r="K2521" s="10" t="n">
        <x:v>0.2</x:v>
      </x:c>
      <x:c r="L2521" s="11" t="n">
        <x:v>0</x:v>
      </x:c>
      <x:c r="M2521" s="9" t="n">
        <x:f>IF(D2521="Completed",I2521*J2521,0)</x:f>
        <x:v>243</x:v>
      </x:c>
      <x:c r="N2521" s="9" t="n">
        <x:f>M2521*K2521</x:f>
        <x:v>48.6</x:v>
      </x:c>
      <x:c r="O2521" s="9" t="n">
        <x:f>M2521-N2521</x:f>
        <x:v>194.4</x:v>
      </x:c>
      <x:c r="P2521" s="9" t="n">
        <x:f>IF(D2521="Completed",L2521*J2521*(1-K2521),0)</x:f>
        <x:v>0</x:v>
      </x:c>
      <x:c r="Q2521" s="9" t="n">
        <x:f>O2521-P2521</x:f>
        <x:v>194.4</x:v>
      </x:c>
      <x:c r="R2521" s="11" t="n">
        <x:f>IF(D2521="Completed",I2521,0)</x:f>
        <x:v>3</x:v>
      </x:c>
      <x:c r="S2521" s="11" t="n">
        <x:f>IF(D2521="Completed",L2521,0)</x:f>
        <x:v>0</x:v>
      </x:c>
      <x:c r="T2521" s="8" t="n">
        <x:f>DATE(YEAR(C2521),MONTH(C2521),1)</x:f>
        <x:v>45748</x:v>
      </x:c>
    </x:row>
    <x:row r="2522" ht="22" customHeight="1">
      <x:c r="A2522" s="2" t="str">
        <x:v>L002518</x:v>
      </x:c>
      <x:c r="B2522" s="2" t="str">
        <x:v>O01034</x:v>
      </x:c>
      <x:c r="C2522" s="7" t="n">
        <x:v>45698</x:v>
      </x:c>
      <x:c r="D2522" s="2" t="str">
        <x:v>Completed</x:v>
      </x:c>
      <x:c r="E2522" s="2" t="str">
        <x:v>West</x:v>
      </x:c>
      <x:c r="F2522" s="2" t="str">
        <x:v>Online</x:v>
      </x:c>
      <x:c r="G2522" s="2" t="str">
        <x:v>Lighting</x:v>
      </x:c>
      <x:c r="H2522" s="2" t="str">
        <x:v>Lamp 013</x:v>
      </x:c>
      <x:c r="I2522" s="11" t="n">
        <x:v>2</x:v>
      </x:c>
      <x:c r="J2522" s="9" t="n">
        <x:v>271</x:v>
      </x:c>
      <x:c r="K2522" s="10" t="n">
        <x:v>0.05</x:v>
      </x:c>
      <x:c r="L2522" s="11" t="n">
        <x:v>0</x:v>
      </x:c>
      <x:c r="M2522" s="9" t="n">
        <x:f>IF(D2522="Completed",I2522*J2522,0)</x:f>
        <x:v>542</x:v>
      </x:c>
      <x:c r="N2522" s="9" t="n">
        <x:f>M2522*K2522</x:f>
        <x:v>27.1</x:v>
      </x:c>
      <x:c r="O2522" s="9" t="n">
        <x:f>M2522-N2522</x:f>
        <x:v>514.9</x:v>
      </x:c>
      <x:c r="P2522" s="9" t="n">
        <x:f>IF(D2522="Completed",L2522*J2522*(1-K2522),0)</x:f>
        <x:v>0</x:v>
      </x:c>
      <x:c r="Q2522" s="9" t="n">
        <x:f>O2522-P2522</x:f>
        <x:v>514.9</x:v>
      </x:c>
      <x:c r="R2522" s="11" t="n">
        <x:f>IF(D2522="Completed",I2522,0)</x:f>
        <x:v>2</x:v>
      </x:c>
      <x:c r="S2522" s="11" t="n">
        <x:f>IF(D2522="Completed",L2522,0)</x:f>
        <x:v>0</x:v>
      </x:c>
      <x:c r="T2522" s="8" t="n">
        <x:f>DATE(YEAR(C2522),MONTH(C2522),1)</x:f>
        <x:v>45689</x:v>
      </x:c>
    </x:row>
    <x:row r="2523" ht="22" customHeight="1">
      <x:c r="A2523" s="2" t="str">
        <x:v>L002519</x:v>
      </x:c>
      <x:c r="B2523" s="2" t="str">
        <x:v>O01035</x:v>
      </x:c>
      <x:c r="C2523" s="7" t="n">
        <x:v>45779</x:v>
      </x:c>
      <x:c r="D2523" s="2" t="str">
        <x:v>Completed</x:v>
      </x:c>
      <x:c r="E2523" s="2" t="str">
        <x:v>South</x:v>
      </x:c>
      <x:c r="F2523" s="2" t="str">
        <x:v>Online</x:v>
      </x:c>
      <x:c r="G2523" s="2" t="str">
        <x:v>Lighting</x:v>
      </x:c>
      <x:c r="H2523" s="2" t="str">
        <x:v>Lamp 017</x:v>
      </x:c>
      <x:c r="I2523" s="11" t="n">
        <x:v>4</x:v>
      </x:c>
      <x:c r="J2523" s="9" t="n">
        <x:v>300</x:v>
      </x:c>
      <x:c r="K2523" s="10" t="n">
        <x:v>0.2</x:v>
      </x:c>
      <x:c r="L2523" s="11" t="n">
        <x:v>0</x:v>
      </x:c>
      <x:c r="M2523" s="9" t="n">
        <x:f>IF(D2523="Completed",I2523*J2523,0)</x:f>
        <x:v>1200</x:v>
      </x:c>
      <x:c r="N2523" s="9" t="n">
        <x:f>M2523*K2523</x:f>
        <x:v>240</x:v>
      </x:c>
      <x:c r="O2523" s="9" t="n">
        <x:f>M2523-N2523</x:f>
        <x:v>960</x:v>
      </x:c>
      <x:c r="P2523" s="9" t="n">
        <x:f>IF(D2523="Completed",L2523*J2523*(1-K2523),0)</x:f>
        <x:v>0</x:v>
      </x:c>
      <x:c r="Q2523" s="9" t="n">
        <x:f>O2523-P2523</x:f>
        <x:v>960</x:v>
      </x:c>
      <x:c r="R2523" s="11" t="n">
        <x:f>IF(D2523="Completed",I2523,0)</x:f>
        <x:v>4</x:v>
      </x:c>
      <x:c r="S2523" s="11" t="n">
        <x:f>IF(D2523="Completed",L2523,0)</x:f>
        <x:v>0</x:v>
      </x:c>
      <x:c r="T2523" s="8" t="n">
        <x:f>DATE(YEAR(C2523),MONTH(C2523),1)</x:f>
        <x:v>45778</x:v>
      </x:c>
    </x:row>
    <x:row r="2524" ht="22" customHeight="1">
      <x:c r="A2524" s="2" t="str">
        <x:v>L002520</x:v>
      </x:c>
      <x:c r="B2524" s="2" t="str">
        <x:v>O01036</x:v>
      </x:c>
      <x:c r="C2524" s="7" t="n">
        <x:v>45756</x:v>
      </x:c>
      <x:c r="D2524" s="2" t="str">
        <x:v>Completed</x:v>
      </x:c>
      <x:c r="E2524" s="2" t="str">
        <x:v>South</x:v>
      </x:c>
      <x:c r="F2524" s="2" t="str">
        <x:v>Store</x:v>
      </x:c>
      <x:c r="G2524" s="2" t="str">
        <x:v>Furniture</x:v>
      </x:c>
      <x:c r="H2524" s="2" t="str">
        <x:v>Chair 022</x:v>
      </x:c>
      <x:c r="I2524" s="11" t="n">
        <x:v>5</x:v>
      </x:c>
      <x:c r="J2524" s="9" t="n">
        <x:v>134</x:v>
      </x:c>
      <x:c r="K2524" s="10" t="n">
        <x:v>0.1</x:v>
      </x:c>
      <x:c r="L2524" s="11" t="n">
        <x:v>0</x:v>
      </x:c>
      <x:c r="M2524" s="9" t="n">
        <x:f>IF(D2524="Completed",I2524*J2524,0)</x:f>
        <x:v>670</x:v>
      </x:c>
      <x:c r="N2524" s="9" t="n">
        <x:f>M2524*K2524</x:f>
        <x:v>67</x:v>
      </x:c>
      <x:c r="O2524" s="9" t="n">
        <x:f>M2524-N2524</x:f>
        <x:v>603</x:v>
      </x:c>
      <x:c r="P2524" s="9" t="n">
        <x:f>IF(D2524="Completed",L2524*J2524*(1-K2524),0)</x:f>
        <x:v>0</x:v>
      </x:c>
      <x:c r="Q2524" s="9" t="n">
        <x:f>O2524-P2524</x:f>
        <x:v>603</x:v>
      </x:c>
      <x:c r="R2524" s="11" t="n">
        <x:f>IF(D2524="Completed",I2524,0)</x:f>
        <x:v>5</x:v>
      </x:c>
      <x:c r="S2524" s="11" t="n">
        <x:f>IF(D2524="Completed",L2524,0)</x:f>
        <x:v>0</x:v>
      </x:c>
      <x:c r="T2524" s="8" t="n">
        <x:f>DATE(YEAR(C2524),MONTH(C2524),1)</x:f>
        <x:v>45748</x:v>
      </x:c>
    </x:row>
    <x:row r="2525" ht="22" customHeight="1">
      <x:c r="A2525" s="2" t="str">
        <x:v>L002521</x:v>
      </x:c>
      <x:c r="B2525" s="2" t="str">
        <x:v>O01036</x:v>
      </x:c>
      <x:c r="C2525" s="7" t="n">
        <x:v>45756</x:v>
      </x:c>
      <x:c r="D2525" s="2" t="str">
        <x:v>Completed</x:v>
      </x:c>
      <x:c r="E2525" s="2" t="str">
        <x:v>South</x:v>
      </x:c>
      <x:c r="F2525" s="2" t="str">
        <x:v>Store</x:v>
      </x:c>
      <x:c r="G2525" s="2" t="str">
        <x:v>Storage</x:v>
      </x:c>
      <x:c r="H2525" s="2" t="str">
        <x:v>Shelf 011</x:v>
      </x:c>
      <x:c r="I2525" s="11" t="n">
        <x:v>5</x:v>
      </x:c>
      <x:c r="J2525" s="9" t="n">
        <x:v>80</x:v>
      </x:c>
      <x:c r="K2525" s="10" t="n">
        <x:v>0.1</x:v>
      </x:c>
      <x:c r="L2525" s="11" t="n">
        <x:v>0</x:v>
      </x:c>
      <x:c r="M2525" s="9" t="n">
        <x:f>IF(D2525="Completed",I2525*J2525,0)</x:f>
        <x:v>400</x:v>
      </x:c>
      <x:c r="N2525" s="9" t="n">
        <x:f>M2525*K2525</x:f>
        <x:v>40</x:v>
      </x:c>
      <x:c r="O2525" s="9" t="n">
        <x:f>M2525-N2525</x:f>
        <x:v>360</x:v>
      </x:c>
      <x:c r="P2525" s="9" t="n">
        <x:f>IF(D2525="Completed",L2525*J2525*(1-K2525),0)</x:f>
        <x:v>0</x:v>
      </x:c>
      <x:c r="Q2525" s="9" t="n">
        <x:f>O2525-P2525</x:f>
        <x:v>360</x:v>
      </x:c>
      <x:c r="R2525" s="11" t="n">
        <x:f>IF(D2525="Completed",I2525,0)</x:f>
        <x:v>5</x:v>
      </x:c>
      <x:c r="S2525" s="11" t="n">
        <x:f>IF(D2525="Completed",L2525,0)</x:f>
        <x:v>0</x:v>
      </x:c>
      <x:c r="T2525" s="8" t="n">
        <x:f>DATE(YEAR(C2525),MONTH(C2525),1)</x:f>
        <x:v>45748</x:v>
      </x:c>
    </x:row>
    <x:row r="2526" ht="22" customHeight="1">
      <x:c r="A2526" s="2" t="str">
        <x:v>L002522</x:v>
      </x:c>
      <x:c r="B2526" s="2" t="str">
        <x:v>O01036</x:v>
      </x:c>
      <x:c r="C2526" s="7" t="n">
        <x:v>45756</x:v>
      </x:c>
      <x:c r="D2526" s="2" t="str">
        <x:v>Completed</x:v>
      </x:c>
      <x:c r="E2526" s="2" t="str">
        <x:v>South</x:v>
      </x:c>
      <x:c r="F2526" s="2" t="str">
        <x:v>Store</x:v>
      </x:c>
      <x:c r="G2526" s="2" t="str">
        <x:v>Lighting</x:v>
      </x:c>
      <x:c r="H2526" s="2" t="str">
        <x:v>Lamp 001</x:v>
      </x:c>
      <x:c r="I2526" s="11" t="n">
        <x:v>5</x:v>
      </x:c>
      <x:c r="J2526" s="9" t="n">
        <x:v>122</x:v>
      </x:c>
      <x:c r="K2526" s="10" t="n">
        <x:v>0.05</x:v>
      </x:c>
      <x:c r="L2526" s="11" t="n">
        <x:v>0</x:v>
      </x:c>
      <x:c r="M2526" s="9" t="n">
        <x:f>IF(D2526="Completed",I2526*J2526,0)</x:f>
        <x:v>610</x:v>
      </x:c>
      <x:c r="N2526" s="9" t="n">
        <x:f>M2526*K2526</x:f>
        <x:v>30.5</x:v>
      </x:c>
      <x:c r="O2526" s="9" t="n">
        <x:f>M2526-N2526</x:f>
        <x:v>579.5</x:v>
      </x:c>
      <x:c r="P2526" s="9" t="n">
        <x:f>IF(D2526="Completed",L2526*J2526*(1-K2526),0)</x:f>
        <x:v>0</x:v>
      </x:c>
      <x:c r="Q2526" s="9" t="n">
        <x:f>O2526-P2526</x:f>
        <x:v>579.5</x:v>
      </x:c>
      <x:c r="R2526" s="11" t="n">
        <x:f>IF(D2526="Completed",I2526,0)</x:f>
        <x:v>5</x:v>
      </x:c>
      <x:c r="S2526" s="11" t="n">
        <x:f>IF(D2526="Completed",L2526,0)</x:f>
        <x:v>0</x:v>
      </x:c>
      <x:c r="T2526" s="8" t="n">
        <x:f>DATE(YEAR(C2526),MONTH(C2526),1)</x:f>
        <x:v>45748</x:v>
      </x:c>
    </x:row>
    <x:row r="2527" ht="22" customHeight="1">
      <x:c r="A2527" s="2" t="str">
        <x:v>L002523</x:v>
      </x:c>
      <x:c r="B2527" s="2" t="str">
        <x:v>O01036</x:v>
      </x:c>
      <x:c r="C2527" s="7" t="n">
        <x:v>45756</x:v>
      </x:c>
      <x:c r="D2527" s="2" t="str">
        <x:v>Completed</x:v>
      </x:c>
      <x:c r="E2527" s="2" t="str">
        <x:v>South</x:v>
      </x:c>
      <x:c r="F2527" s="2" t="str">
        <x:v>Store</x:v>
      </x:c>
      <x:c r="G2527" s="2" t="str">
        <x:v>Lighting</x:v>
      </x:c>
      <x:c r="H2527" s="2" t="str">
        <x:v>Lamp 001</x:v>
      </x:c>
      <x:c r="I2527" s="11" t="n">
        <x:v>4</x:v>
      </x:c>
      <x:c r="J2527" s="9" t="n">
        <x:v>122</x:v>
      </x:c>
      <x:c r="K2527" s="10" t="n">
        <x:v>0.05</x:v>
      </x:c>
      <x:c r="L2527" s="11" t="n">
        <x:v>0</x:v>
      </x:c>
      <x:c r="M2527" s="9" t="n">
        <x:f>IF(D2527="Completed",I2527*J2527,0)</x:f>
        <x:v>488</x:v>
      </x:c>
      <x:c r="N2527" s="9" t="n">
        <x:f>M2527*K2527</x:f>
        <x:v>24.400000000000002</x:v>
      </x:c>
      <x:c r="O2527" s="9" t="n">
        <x:f>M2527-N2527</x:f>
        <x:v>463.6</x:v>
      </x:c>
      <x:c r="P2527" s="9" t="n">
        <x:f>IF(D2527="Completed",L2527*J2527*(1-K2527),0)</x:f>
        <x:v>0</x:v>
      </x:c>
      <x:c r="Q2527" s="9" t="n">
        <x:f>O2527-P2527</x:f>
        <x:v>463.6</x:v>
      </x:c>
      <x:c r="R2527" s="11" t="n">
        <x:f>IF(D2527="Completed",I2527,0)</x:f>
        <x:v>4</x:v>
      </x:c>
      <x:c r="S2527" s="11" t="n">
        <x:f>IF(D2527="Completed",L2527,0)</x:f>
        <x:v>0</x:v>
      </x:c>
      <x:c r="T2527" s="8" t="n">
        <x:f>DATE(YEAR(C2527),MONTH(C2527),1)</x:f>
        <x:v>45748</x:v>
      </x:c>
    </x:row>
    <x:row r="2528" ht="22" customHeight="1">
      <x:c r="A2528" s="2" t="str">
        <x:v>L002524</x:v>
      </x:c>
      <x:c r="B2528" s="2" t="str">
        <x:v>O01037</x:v>
      </x:c>
      <x:c r="C2528" s="7" t="n">
        <x:v>45986</x:v>
      </x:c>
      <x:c r="D2528" s="2" t="str">
        <x:v>Completed</x:v>
      </x:c>
      <x:c r="E2528" s="2" t="str">
        <x:v>East</x:v>
      </x:c>
      <x:c r="F2528" s="2" t="str">
        <x:v>Store</x:v>
      </x:c>
      <x:c r="G2528" s="2" t="str">
        <x:v>Storage</x:v>
      </x:c>
      <x:c r="H2528" s="2" t="str">
        <x:v>Shelf 019</x:v>
      </x:c>
      <x:c r="I2528" s="11" t="n">
        <x:v>4</x:v>
      </x:c>
      <x:c r="J2528" s="9" t="n">
        <x:v>78</x:v>
      </x:c>
      <x:c r="K2528" s="10" t="n">
        <x:v>0.1</x:v>
      </x:c>
      <x:c r="L2528" s="11" t="n">
        <x:v>0</x:v>
      </x:c>
      <x:c r="M2528" s="9" t="n">
        <x:f>IF(D2528="Completed",I2528*J2528,0)</x:f>
        <x:v>312</x:v>
      </x:c>
      <x:c r="N2528" s="9" t="n">
        <x:f>M2528*K2528</x:f>
        <x:v>31.200000000000003</x:v>
      </x:c>
      <x:c r="O2528" s="9" t="n">
        <x:f>M2528-N2528</x:f>
        <x:v>280.8</x:v>
      </x:c>
      <x:c r="P2528" s="9" t="n">
        <x:f>IF(D2528="Completed",L2528*J2528*(1-K2528),0)</x:f>
        <x:v>0</x:v>
      </x:c>
      <x:c r="Q2528" s="9" t="n">
        <x:f>O2528-P2528</x:f>
        <x:v>280.8</x:v>
      </x:c>
      <x:c r="R2528" s="11" t="n">
        <x:f>IF(D2528="Completed",I2528,0)</x:f>
        <x:v>4</x:v>
      </x:c>
      <x:c r="S2528" s="11" t="n">
        <x:f>IF(D2528="Completed",L2528,0)</x:f>
        <x:v>0</x:v>
      </x:c>
      <x:c r="T2528" s="8" t="n">
        <x:f>DATE(YEAR(C2528),MONTH(C2528),1)</x:f>
        <x:v>45962</x:v>
      </x:c>
    </x:row>
    <x:row r="2529" ht="22" customHeight="1">
      <x:c r="A2529" s="2" t="str">
        <x:v>L002525</x:v>
      </x:c>
      <x:c r="B2529" s="2" t="str">
        <x:v>O01037</x:v>
      </x:c>
      <x:c r="C2529" s="7" t="n">
        <x:v>45986</x:v>
      </x:c>
      <x:c r="D2529" s="2" t="str">
        <x:v>Completed</x:v>
      </x:c>
      <x:c r="E2529" s="2" t="str">
        <x:v>East</x:v>
      </x:c>
      <x:c r="F2529" s="2" t="str">
        <x:v>Store</x:v>
      </x:c>
      <x:c r="G2529" s="2" t="str">
        <x:v>Furniture</x:v>
      </x:c>
      <x:c r="H2529" s="2" t="str">
        <x:v>Chair 006</x:v>
      </x:c>
      <x:c r="I2529" s="11" t="n">
        <x:v>4</x:v>
      </x:c>
      <x:c r="J2529" s="9" t="n">
        <x:v>196</x:v>
      </x:c>
      <x:c r="K2529" s="10" t="n">
        <x:v>0.2</x:v>
      </x:c>
      <x:c r="L2529" s="11" t="n">
        <x:v>0</x:v>
      </x:c>
      <x:c r="M2529" s="9" t="n">
        <x:f>IF(D2529="Completed",I2529*J2529,0)</x:f>
        <x:v>784</x:v>
      </x:c>
      <x:c r="N2529" s="9" t="n">
        <x:f>M2529*K2529</x:f>
        <x:v>156.8</x:v>
      </x:c>
      <x:c r="O2529" s="9" t="n">
        <x:f>M2529-N2529</x:f>
        <x:v>627.2</x:v>
      </x:c>
      <x:c r="P2529" s="9" t="n">
        <x:f>IF(D2529="Completed",L2529*J2529*(1-K2529),0)</x:f>
        <x:v>0</x:v>
      </x:c>
      <x:c r="Q2529" s="9" t="n">
        <x:f>O2529-P2529</x:f>
        <x:v>627.2</x:v>
      </x:c>
      <x:c r="R2529" s="11" t="n">
        <x:f>IF(D2529="Completed",I2529,0)</x:f>
        <x:v>4</x:v>
      </x:c>
      <x:c r="S2529" s="11" t="n">
        <x:f>IF(D2529="Completed",L2529,0)</x:f>
        <x:v>0</x:v>
      </x:c>
      <x:c r="T2529" s="8" t="n">
        <x:f>DATE(YEAR(C2529),MONTH(C2529),1)</x:f>
        <x:v>45962</x:v>
      </x:c>
    </x:row>
    <x:row r="2530" ht="22" customHeight="1">
      <x:c r="A2530" s="2" t="str">
        <x:v>L002526</x:v>
      </x:c>
      <x:c r="B2530" s="2" t="str">
        <x:v>O01037</x:v>
      </x:c>
      <x:c r="C2530" s="7" t="n">
        <x:v>45986</x:v>
      </x:c>
      <x:c r="D2530" s="2" t="str">
        <x:v>Completed</x:v>
      </x:c>
      <x:c r="E2530" s="2" t="str">
        <x:v>East</x:v>
      </x:c>
      <x:c r="F2530" s="2" t="str">
        <x:v>Store</x:v>
      </x:c>
      <x:c r="G2530" s="2" t="str">
        <x:v>Storage</x:v>
      </x:c>
      <x:c r="H2530" s="2" t="str">
        <x:v>Shelf 011</x:v>
      </x:c>
      <x:c r="I2530" s="11" t="n">
        <x:v>4</x:v>
      </x:c>
      <x:c r="J2530" s="9" t="n">
        <x:v>80</x:v>
      </x:c>
      <x:c r="K2530" s="10" t="n">
        <x:v>0.2</x:v>
      </x:c>
      <x:c r="L2530" s="11" t="n">
        <x:v>0</x:v>
      </x:c>
      <x:c r="M2530" s="9" t="n">
        <x:f>IF(D2530="Completed",I2530*J2530,0)</x:f>
        <x:v>320</x:v>
      </x:c>
      <x:c r="N2530" s="9" t="n">
        <x:f>M2530*K2530</x:f>
        <x:v>64</x:v>
      </x:c>
      <x:c r="O2530" s="9" t="n">
        <x:f>M2530-N2530</x:f>
        <x:v>256</x:v>
      </x:c>
      <x:c r="P2530" s="9" t="n">
        <x:f>IF(D2530="Completed",L2530*J2530*(1-K2530),0)</x:f>
        <x:v>0</x:v>
      </x:c>
      <x:c r="Q2530" s="9" t="n">
        <x:f>O2530-P2530</x:f>
        <x:v>256</x:v>
      </x:c>
      <x:c r="R2530" s="11" t="n">
        <x:f>IF(D2530="Completed",I2530,0)</x:f>
        <x:v>4</x:v>
      </x:c>
      <x:c r="S2530" s="11" t="n">
        <x:f>IF(D2530="Completed",L2530,0)</x:f>
        <x:v>0</x:v>
      </x:c>
      <x:c r="T2530" s="8" t="n">
        <x:f>DATE(YEAR(C2530),MONTH(C2530),1)</x:f>
        <x:v>45962</x:v>
      </x:c>
    </x:row>
    <x:row r="2531" ht="22" customHeight="1">
      <x:c r="A2531" s="2" t="str">
        <x:v>L002527</x:v>
      </x:c>
      <x:c r="B2531" s="2" t="str">
        <x:v>O01038</x:v>
      </x:c>
      <x:c r="C2531" s="7" t="n">
        <x:v>45732</x:v>
      </x:c>
      <x:c r="D2531" s="2" t="str">
        <x:v>Completed</x:v>
      </x:c>
      <x:c r="E2531" s="2" t="str">
        <x:v>East</x:v>
      </x:c>
      <x:c r="F2531" s="2" t="str">
        <x:v>Store</x:v>
      </x:c>
      <x:c r="G2531" s="2" t="str">
        <x:v>Furniture</x:v>
      </x:c>
      <x:c r="H2531" s="2" t="str">
        <x:v>Chair 002</x:v>
      </x:c>
      <x:c r="I2531" s="11" t="n">
        <x:v>5</x:v>
      </x:c>
      <x:c r="J2531" s="9" t="n">
        <x:v>284</x:v>
      </x:c>
      <x:c r="K2531" s="10" t="n">
        <x:v>0.2</x:v>
      </x:c>
      <x:c r="L2531" s="11" t="n">
        <x:v>0</x:v>
      </x:c>
      <x:c r="M2531" s="9" t="n">
        <x:f>IF(D2531="Completed",I2531*J2531,0)</x:f>
        <x:v>1420</x:v>
      </x:c>
      <x:c r="N2531" s="9" t="n">
        <x:f>M2531*K2531</x:f>
        <x:v>284</x:v>
      </x:c>
      <x:c r="O2531" s="9" t="n">
        <x:f>M2531-N2531</x:f>
        <x:v>1136</x:v>
      </x:c>
      <x:c r="P2531" s="9" t="n">
        <x:f>IF(D2531="Completed",L2531*J2531*(1-K2531),0)</x:f>
        <x:v>0</x:v>
      </x:c>
      <x:c r="Q2531" s="9" t="n">
        <x:f>O2531-P2531</x:f>
        <x:v>1136</x:v>
      </x:c>
      <x:c r="R2531" s="11" t="n">
        <x:f>IF(D2531="Completed",I2531,0)</x:f>
        <x:v>5</x:v>
      </x:c>
      <x:c r="S2531" s="11" t="n">
        <x:f>IF(D2531="Completed",L2531,0)</x:f>
        <x:v>0</x:v>
      </x:c>
      <x:c r="T2531" s="8" t="n">
        <x:f>DATE(YEAR(C2531),MONTH(C2531),1)</x:f>
        <x:v>45717</x:v>
      </x:c>
    </x:row>
    <x:row r="2532" ht="22" customHeight="1">
      <x:c r="A2532" s="2" t="str">
        <x:v>L002528</x:v>
      </x:c>
      <x:c r="B2532" s="2" t="str">
        <x:v>O01039</x:v>
      </x:c>
      <x:c r="C2532" s="7" t="n">
        <x:v>45736</x:v>
      </x:c>
      <x:c r="D2532" s="2" t="str">
        <x:v>Completed</x:v>
      </x:c>
      <x:c r="E2532" s="2" t="str">
        <x:v>East</x:v>
      </x:c>
      <x:c r="F2532" s="2" t="str">
        <x:v>Store</x:v>
      </x:c>
      <x:c r="G2532" s="2" t="str">
        <x:v>Furniture</x:v>
      </x:c>
      <x:c r="H2532" s="2" t="str">
        <x:v>Desk 016</x:v>
      </x:c>
      <x:c r="I2532" s="11" t="n">
        <x:v>3</x:v>
      </x:c>
      <x:c r="J2532" s="9" t="n">
        <x:v>231</x:v>
      </x:c>
      <x:c r="K2532" s="10" t="n">
        <x:v>0</x:v>
      </x:c>
      <x:c r="L2532" s="11" t="n">
        <x:v>0</x:v>
      </x:c>
      <x:c r="M2532" s="9" t="n">
        <x:f>IF(D2532="Completed",I2532*J2532,0)</x:f>
        <x:v>693</x:v>
      </x:c>
      <x:c r="N2532" s="9" t="n">
        <x:f>M2532*K2532</x:f>
        <x:v>0</x:v>
      </x:c>
      <x:c r="O2532" s="9" t="n">
        <x:f>M2532-N2532</x:f>
        <x:v>693</x:v>
      </x:c>
      <x:c r="P2532" s="9" t="n">
        <x:f>IF(D2532="Completed",L2532*J2532*(1-K2532),0)</x:f>
        <x:v>0</x:v>
      </x:c>
      <x:c r="Q2532" s="9" t="n">
        <x:f>O2532-P2532</x:f>
        <x:v>693</x:v>
      </x:c>
      <x:c r="R2532" s="11" t="n">
        <x:f>IF(D2532="Completed",I2532,0)</x:f>
        <x:v>3</x:v>
      </x:c>
      <x:c r="S2532" s="11" t="n">
        <x:f>IF(D2532="Completed",L2532,0)</x:f>
        <x:v>0</x:v>
      </x:c>
      <x:c r="T2532" s="8" t="n">
        <x:f>DATE(YEAR(C2532),MONTH(C2532),1)</x:f>
        <x:v>45717</x:v>
      </x:c>
    </x:row>
    <x:row r="2533" ht="22" customHeight="1">
      <x:c r="A2533" s="2" t="str">
        <x:v>L002529</x:v>
      </x:c>
      <x:c r="B2533" s="2" t="str">
        <x:v>O01039</x:v>
      </x:c>
      <x:c r="C2533" s="7" t="n">
        <x:v>45736</x:v>
      </x:c>
      <x:c r="D2533" s="2" t="str">
        <x:v>Completed</x:v>
      </x:c>
      <x:c r="E2533" s="2" t="str">
        <x:v>East</x:v>
      </x:c>
      <x:c r="F2533" s="2" t="str">
        <x:v>Store</x:v>
      </x:c>
      <x:c r="G2533" s="2" t="str">
        <x:v>Storage</x:v>
      </x:c>
      <x:c r="H2533" s="2" t="str">
        <x:v>Shelf 007</x:v>
      </x:c>
      <x:c r="I2533" s="11" t="n">
        <x:v>1</x:v>
      </x:c>
      <x:c r="J2533" s="9" t="n">
        <x:v>35</x:v>
      </x:c>
      <x:c r="K2533" s="10" t="n">
        <x:v>0.05</x:v>
      </x:c>
      <x:c r="L2533" s="11" t="n">
        <x:v>0</x:v>
      </x:c>
      <x:c r="M2533" s="9" t="n">
        <x:f>IF(D2533="Completed",I2533*J2533,0)</x:f>
        <x:v>35</x:v>
      </x:c>
      <x:c r="N2533" s="9" t="n">
        <x:f>M2533*K2533</x:f>
        <x:v>1.75</x:v>
      </x:c>
      <x:c r="O2533" s="9" t="n">
        <x:f>M2533-N2533</x:f>
        <x:v>33.25</x:v>
      </x:c>
      <x:c r="P2533" s="9" t="n">
        <x:f>IF(D2533="Completed",L2533*J2533*(1-K2533),0)</x:f>
        <x:v>0</x:v>
      </x:c>
      <x:c r="Q2533" s="9" t="n">
        <x:f>O2533-P2533</x:f>
        <x:v>33.25</x:v>
      </x:c>
      <x:c r="R2533" s="11" t="n">
        <x:f>IF(D2533="Completed",I2533,0)</x:f>
        <x:v>1</x:v>
      </x:c>
      <x:c r="S2533" s="11" t="n">
        <x:f>IF(D2533="Completed",L2533,0)</x:f>
        <x:v>0</x:v>
      </x:c>
      <x:c r="T2533" s="8" t="n">
        <x:f>DATE(YEAR(C2533),MONTH(C2533),1)</x:f>
        <x:v>45717</x:v>
      </x:c>
    </x:row>
    <x:row r="2534" ht="22" customHeight="1">
      <x:c r="A2534" s="2" t="str">
        <x:v>L002530</x:v>
      </x:c>
      <x:c r="B2534" s="2" t="str">
        <x:v>O01039</x:v>
      </x:c>
      <x:c r="C2534" s="7" t="n">
        <x:v>45736</x:v>
      </x:c>
      <x:c r="D2534" s="2" t="str">
        <x:v>Completed</x:v>
      </x:c>
      <x:c r="E2534" s="2" t="str">
        <x:v>East</x:v>
      </x:c>
      <x:c r="F2534" s="2" t="str">
        <x:v>Store</x:v>
      </x:c>
      <x:c r="G2534" s="2" t="str">
        <x:v>Lighting</x:v>
      </x:c>
      <x:c r="H2534" s="2" t="str">
        <x:v>Lamp 005</x:v>
      </x:c>
      <x:c r="I2534" s="11" t="n">
        <x:v>5</x:v>
      </x:c>
      <x:c r="J2534" s="9" t="n">
        <x:v>65</x:v>
      </x:c>
      <x:c r="K2534" s="10" t="n">
        <x:v>0.1</x:v>
      </x:c>
      <x:c r="L2534" s="11" t="n">
        <x:v>0</x:v>
      </x:c>
      <x:c r="M2534" s="9" t="n">
        <x:f>IF(D2534="Completed",I2534*J2534,0)</x:f>
        <x:v>325</x:v>
      </x:c>
      <x:c r="N2534" s="9" t="n">
        <x:f>M2534*K2534</x:f>
        <x:v>32.5</x:v>
      </x:c>
      <x:c r="O2534" s="9" t="n">
        <x:f>M2534-N2534</x:f>
        <x:v>292.5</x:v>
      </x:c>
      <x:c r="P2534" s="9" t="n">
        <x:f>IF(D2534="Completed",L2534*J2534*(1-K2534),0)</x:f>
        <x:v>0</x:v>
      </x:c>
      <x:c r="Q2534" s="9" t="n">
        <x:f>O2534-P2534</x:f>
        <x:v>292.5</x:v>
      </x:c>
      <x:c r="R2534" s="11" t="n">
        <x:f>IF(D2534="Completed",I2534,0)</x:f>
        <x:v>5</x:v>
      </x:c>
      <x:c r="S2534" s="11" t="n">
        <x:f>IF(D2534="Completed",L2534,0)</x:f>
        <x:v>0</x:v>
      </x:c>
      <x:c r="T2534" s="8" t="n">
        <x:f>DATE(YEAR(C2534),MONTH(C2534),1)</x:f>
        <x:v>45717</x:v>
      </x:c>
    </x:row>
    <x:row r="2535" ht="22" customHeight="1">
      <x:c r="A2535" s="2" t="str">
        <x:v>L002531</x:v>
      </x:c>
      <x:c r="B2535" s="2" t="str">
        <x:v>O01039</x:v>
      </x:c>
      <x:c r="C2535" s="7" t="n">
        <x:v>45736</x:v>
      </x:c>
      <x:c r="D2535" s="2" t="str">
        <x:v>Completed</x:v>
      </x:c>
      <x:c r="E2535" s="2" t="str">
        <x:v>East</x:v>
      </x:c>
      <x:c r="F2535" s="2" t="str">
        <x:v>Store</x:v>
      </x:c>
      <x:c r="G2535" s="2" t="str">
        <x:v>Lighting</x:v>
      </x:c>
      <x:c r="H2535" s="2" t="str">
        <x:v>Lamp 001</x:v>
      </x:c>
      <x:c r="I2535" s="11" t="n">
        <x:v>5</x:v>
      </x:c>
      <x:c r="J2535" s="9" t="n">
        <x:v>122</x:v>
      </x:c>
      <x:c r="K2535" s="10" t="n">
        <x:v>0</x:v>
      </x:c>
      <x:c r="L2535" s="11" t="n">
        <x:v>0</x:v>
      </x:c>
      <x:c r="M2535" s="9" t="n">
        <x:f>IF(D2535="Completed",I2535*J2535,0)</x:f>
        <x:v>610</x:v>
      </x:c>
      <x:c r="N2535" s="9" t="n">
        <x:f>M2535*K2535</x:f>
        <x:v>0</x:v>
      </x:c>
      <x:c r="O2535" s="9" t="n">
        <x:f>M2535-N2535</x:f>
        <x:v>610</x:v>
      </x:c>
      <x:c r="P2535" s="9" t="n">
        <x:f>IF(D2535="Completed",L2535*J2535*(1-K2535),0)</x:f>
        <x:v>0</x:v>
      </x:c>
      <x:c r="Q2535" s="9" t="n">
        <x:f>O2535-P2535</x:f>
        <x:v>610</x:v>
      </x:c>
      <x:c r="R2535" s="11" t="n">
        <x:f>IF(D2535="Completed",I2535,0)</x:f>
        <x:v>5</x:v>
      </x:c>
      <x:c r="S2535" s="11" t="n">
        <x:f>IF(D2535="Completed",L2535,0)</x:f>
        <x:v>0</x:v>
      </x:c>
      <x:c r="T2535" s="8" t="n">
        <x:f>DATE(YEAR(C2535),MONTH(C2535),1)</x:f>
        <x:v>45717</x:v>
      </x:c>
    </x:row>
    <x:row r="2536" ht="22" customHeight="1">
      <x:c r="A2536" s="2" t="str">
        <x:v>L002532</x:v>
      </x:c>
      <x:c r="B2536" s="2" t="str">
        <x:v>O01040</x:v>
      </x:c>
      <x:c r="C2536" s="7" t="n">
        <x:v>45986</x:v>
      </x:c>
      <x:c r="D2536" s="2" t="str">
        <x:v>Completed</x:v>
      </x:c>
      <x:c r="E2536" s="2" t="str">
        <x:v>West</x:v>
      </x:c>
      <x:c r="F2536" s="2" t="str">
        <x:v>Store</x:v>
      </x:c>
      <x:c r="G2536" s="2" t="str">
        <x:v>Furniture</x:v>
      </x:c>
      <x:c r="H2536" s="2" t="str">
        <x:v>Chair 006</x:v>
      </x:c>
      <x:c r="I2536" s="11" t="n">
        <x:v>4</x:v>
      </x:c>
      <x:c r="J2536" s="9" t="n">
        <x:v>196</x:v>
      </x:c>
      <x:c r="K2536" s="10" t="n">
        <x:v>0.05</x:v>
      </x:c>
      <x:c r="L2536" s="11" t="n">
        <x:v>0</x:v>
      </x:c>
      <x:c r="M2536" s="9" t="n">
        <x:f>IF(D2536="Completed",I2536*J2536,0)</x:f>
        <x:v>784</x:v>
      </x:c>
      <x:c r="N2536" s="9" t="n">
        <x:f>M2536*K2536</x:f>
        <x:v>39.2</x:v>
      </x:c>
      <x:c r="O2536" s="9" t="n">
        <x:f>M2536-N2536</x:f>
        <x:v>744.8</x:v>
      </x:c>
      <x:c r="P2536" s="9" t="n">
        <x:f>IF(D2536="Completed",L2536*J2536*(1-K2536),0)</x:f>
        <x:v>0</x:v>
      </x:c>
      <x:c r="Q2536" s="9" t="n">
        <x:f>O2536-P2536</x:f>
        <x:v>744.8</x:v>
      </x:c>
      <x:c r="R2536" s="11" t="n">
        <x:f>IF(D2536="Completed",I2536,0)</x:f>
        <x:v>4</x:v>
      </x:c>
      <x:c r="S2536" s="11" t="n">
        <x:f>IF(D2536="Completed",L2536,0)</x:f>
        <x:v>0</x:v>
      </x:c>
      <x:c r="T2536" s="8" t="n">
        <x:f>DATE(YEAR(C2536),MONTH(C2536),1)</x:f>
        <x:v>45962</x:v>
      </x:c>
    </x:row>
    <x:row r="2537" ht="22" customHeight="1">
      <x:c r="A2537" s="2" t="str">
        <x:v>L002533</x:v>
      </x:c>
      <x:c r="B2537" s="2" t="str">
        <x:v>O01041</x:v>
      </x:c>
      <x:c r="C2537" s="7" t="n">
        <x:v>45719</x:v>
      </x:c>
      <x:c r="D2537" s="2" t="str">
        <x:v>Completed</x:v>
      </x:c>
      <x:c r="E2537" s="2" t="str">
        <x:v>West</x:v>
      </x:c>
      <x:c r="F2537" s="2" t="str">
        <x:v>Online</x:v>
      </x:c>
      <x:c r="G2537" s="2" t="str">
        <x:v>Storage</x:v>
      </x:c>
      <x:c r="H2537" s="2" t="str">
        <x:v>Shelf 015</x:v>
      </x:c>
      <x:c r="I2537" s="11" t="n">
        <x:v>1</x:v>
      </x:c>
      <x:c r="J2537" s="9" t="n">
        <x:v>254</x:v>
      </x:c>
      <x:c r="K2537" s="10" t="n">
        <x:v>0</x:v>
      </x:c>
      <x:c r="L2537" s="11" t="n">
        <x:v>0</x:v>
      </x:c>
      <x:c r="M2537" s="9" t="n">
        <x:f>IF(D2537="Completed",I2537*J2537,0)</x:f>
        <x:v>254</x:v>
      </x:c>
      <x:c r="N2537" s="9" t="n">
        <x:f>M2537*K2537</x:f>
        <x:v>0</x:v>
      </x:c>
      <x:c r="O2537" s="9" t="n">
        <x:f>M2537-N2537</x:f>
        <x:v>254</x:v>
      </x:c>
      <x:c r="P2537" s="9" t="n">
        <x:f>IF(D2537="Completed",L2537*J2537*(1-K2537),0)</x:f>
        <x:v>0</x:v>
      </x:c>
      <x:c r="Q2537" s="9" t="n">
        <x:f>O2537-P2537</x:f>
        <x:v>254</x:v>
      </x:c>
      <x:c r="R2537" s="11" t="n">
        <x:f>IF(D2537="Completed",I2537,0)</x:f>
        <x:v>1</x:v>
      </x:c>
      <x:c r="S2537" s="11" t="n">
        <x:f>IF(D2537="Completed",L2537,0)</x:f>
        <x:v>0</x:v>
      </x:c>
      <x:c r="T2537" s="8" t="n">
        <x:f>DATE(YEAR(C2537),MONTH(C2537),1)</x:f>
        <x:v>45717</x:v>
      </x:c>
    </x:row>
    <x:row r="2538" ht="22" customHeight="1">
      <x:c r="A2538" s="2" t="str">
        <x:v>L002534</x:v>
      </x:c>
      <x:c r="B2538" s="2" t="str">
        <x:v>O01042</x:v>
      </x:c>
      <x:c r="C2538" s="7" t="n">
        <x:v>45757</x:v>
      </x:c>
      <x:c r="D2538" s="2" t="str">
        <x:v>Completed</x:v>
      </x:c>
      <x:c r="E2538" s="2" t="str">
        <x:v>West</x:v>
      </x:c>
      <x:c r="F2538" s="2" t="str">
        <x:v>Store</x:v>
      </x:c>
      <x:c r="G2538" s="2" t="str">
        <x:v>Furniture</x:v>
      </x:c>
      <x:c r="H2538" s="2" t="str">
        <x:v>Desk 024</x:v>
      </x:c>
      <x:c r="I2538" s="11" t="n">
        <x:v>1</x:v>
      </x:c>
      <x:c r="J2538" s="9" t="n">
        <x:v>81</x:v>
      </x:c>
      <x:c r="K2538" s="10" t="n">
        <x:v>0.2</x:v>
      </x:c>
      <x:c r="L2538" s="11" t="n">
        <x:v>0</x:v>
      </x:c>
      <x:c r="M2538" s="9" t="n">
        <x:f>IF(D2538="Completed",I2538*J2538,0)</x:f>
        <x:v>81</x:v>
      </x:c>
      <x:c r="N2538" s="9" t="n">
        <x:f>M2538*K2538</x:f>
        <x:v>16.2</x:v>
      </x:c>
      <x:c r="O2538" s="9" t="n">
        <x:f>M2538-N2538</x:f>
        <x:v>64.8</x:v>
      </x:c>
      <x:c r="P2538" s="9" t="n">
        <x:f>IF(D2538="Completed",L2538*J2538*(1-K2538),0)</x:f>
        <x:v>0</x:v>
      </x:c>
      <x:c r="Q2538" s="9" t="n">
        <x:f>O2538-P2538</x:f>
        <x:v>64.8</x:v>
      </x:c>
      <x:c r="R2538" s="11" t="n">
        <x:f>IF(D2538="Completed",I2538,0)</x:f>
        <x:v>1</x:v>
      </x:c>
      <x:c r="S2538" s="11" t="n">
        <x:f>IF(D2538="Completed",L2538,0)</x:f>
        <x:v>0</x:v>
      </x:c>
      <x:c r="T2538" s="8" t="n">
        <x:f>DATE(YEAR(C2538),MONTH(C2538),1)</x:f>
        <x:v>45748</x:v>
      </x:c>
    </x:row>
    <x:row r="2539" ht="22" customHeight="1">
      <x:c r="A2539" s="2" t="str">
        <x:v>L002535</x:v>
      </x:c>
      <x:c r="B2539" s="2" t="str">
        <x:v>O01042</x:v>
      </x:c>
      <x:c r="C2539" s="7" t="n">
        <x:v>45757</x:v>
      </x:c>
      <x:c r="D2539" s="2" t="str">
        <x:v>Completed</x:v>
      </x:c>
      <x:c r="E2539" s="2" t="str">
        <x:v>West</x:v>
      </x:c>
      <x:c r="F2539" s="2" t="str">
        <x:v>Store</x:v>
      </x:c>
      <x:c r="G2539" s="2" t="str">
        <x:v>Lighting</x:v>
      </x:c>
      <x:c r="H2539" s="2" t="str">
        <x:v>Lamp 005</x:v>
      </x:c>
      <x:c r="I2539" s="11" t="n">
        <x:v>3</x:v>
      </x:c>
      <x:c r="J2539" s="9" t="n">
        <x:v>65</x:v>
      </x:c>
      <x:c r="K2539" s="10" t="n">
        <x:v>0</x:v>
      </x:c>
      <x:c r="L2539" s="11" t="n">
        <x:v>0</x:v>
      </x:c>
      <x:c r="M2539" s="9" t="n">
        <x:f>IF(D2539="Completed",I2539*J2539,0)</x:f>
        <x:v>195</x:v>
      </x:c>
      <x:c r="N2539" s="9" t="n">
        <x:f>M2539*K2539</x:f>
        <x:v>0</x:v>
      </x:c>
      <x:c r="O2539" s="9" t="n">
        <x:f>M2539-N2539</x:f>
        <x:v>195</x:v>
      </x:c>
      <x:c r="P2539" s="9" t="n">
        <x:f>IF(D2539="Completed",L2539*J2539*(1-K2539),0)</x:f>
        <x:v>0</x:v>
      </x:c>
      <x:c r="Q2539" s="9" t="n">
        <x:f>O2539-P2539</x:f>
        <x:v>195</x:v>
      </x:c>
      <x:c r="R2539" s="11" t="n">
        <x:f>IF(D2539="Completed",I2539,0)</x:f>
        <x:v>3</x:v>
      </x:c>
      <x:c r="S2539" s="11" t="n">
        <x:f>IF(D2539="Completed",L2539,0)</x:f>
        <x:v>0</x:v>
      </x:c>
      <x:c r="T2539" s="8" t="n">
        <x:f>DATE(YEAR(C2539),MONTH(C2539),1)</x:f>
        <x:v>45748</x:v>
      </x:c>
    </x:row>
    <x:row r="2540" ht="22" customHeight="1">
      <x:c r="A2540" s="2" t="str">
        <x:v>L002536</x:v>
      </x:c>
      <x:c r="B2540" s="2" t="str">
        <x:v>O01042</x:v>
      </x:c>
      <x:c r="C2540" s="7" t="n">
        <x:v>45757</x:v>
      </x:c>
      <x:c r="D2540" s="2" t="str">
        <x:v>Completed</x:v>
      </x:c>
      <x:c r="E2540" s="2" t="str">
        <x:v>West</x:v>
      </x:c>
      <x:c r="F2540" s="2" t="str">
        <x:v>Store</x:v>
      </x:c>
      <x:c r="G2540" s="2" t="str">
        <x:v>Furniture</x:v>
      </x:c>
      <x:c r="H2540" s="2" t="str">
        <x:v>Desk 004</x:v>
      </x:c>
      <x:c r="I2540" s="11" t="n">
        <x:v>1</x:v>
      </x:c>
      <x:c r="J2540" s="9" t="n">
        <x:v>123</x:v>
      </x:c>
      <x:c r="K2540" s="10" t="n">
        <x:v>0.05</x:v>
      </x:c>
      <x:c r="L2540" s="11" t="n">
        <x:v>0</x:v>
      </x:c>
      <x:c r="M2540" s="9" t="n">
        <x:f>IF(D2540="Completed",I2540*J2540,0)</x:f>
        <x:v>123</x:v>
      </x:c>
      <x:c r="N2540" s="9" t="n">
        <x:f>M2540*K2540</x:f>
        <x:v>6.15</x:v>
      </x:c>
      <x:c r="O2540" s="9" t="n">
        <x:f>M2540-N2540</x:f>
        <x:v>116.85</x:v>
      </x:c>
      <x:c r="P2540" s="9" t="n">
        <x:f>IF(D2540="Completed",L2540*J2540*(1-K2540),0)</x:f>
        <x:v>0</x:v>
      </x:c>
      <x:c r="Q2540" s="9" t="n">
        <x:f>O2540-P2540</x:f>
        <x:v>116.85</x:v>
      </x:c>
      <x:c r="R2540" s="11" t="n">
        <x:f>IF(D2540="Completed",I2540,0)</x:f>
        <x:v>1</x:v>
      </x:c>
      <x:c r="S2540" s="11" t="n">
        <x:f>IF(D2540="Completed",L2540,0)</x:f>
        <x:v>0</x:v>
      </x:c>
      <x:c r="T2540" s="8" t="n">
        <x:f>DATE(YEAR(C2540),MONTH(C2540),1)</x:f>
        <x:v>45748</x:v>
      </x:c>
    </x:row>
    <x:row r="2541" ht="22" customHeight="1">
      <x:c r="A2541" s="2" t="str">
        <x:v>L002537</x:v>
      </x:c>
      <x:c r="B2541" s="2" t="str">
        <x:v>O01043</x:v>
      </x:c>
      <x:c r="C2541" s="7" t="n">
        <x:v>45843</x:v>
      </x:c>
      <x:c r="D2541" s="2" t="str">
        <x:v>Completed</x:v>
      </x:c>
      <x:c r="E2541" s="2" t="str">
        <x:v>West</x:v>
      </x:c>
      <x:c r="F2541" s="2" t="str">
        <x:v>Store</x:v>
      </x:c>
      <x:c r="G2541" s="2" t="str">
        <x:v>Lighting</x:v>
      </x:c>
      <x:c r="H2541" s="2" t="str">
        <x:v>Lamp 021</x:v>
      </x:c>
      <x:c r="I2541" s="11" t="n">
        <x:v>3</x:v>
      </x:c>
      <x:c r="J2541" s="9" t="n">
        <x:v>249</x:v>
      </x:c>
      <x:c r="K2541" s="10" t="n">
        <x:v>0</x:v>
      </x:c>
      <x:c r="L2541" s="11" t="n">
        <x:v>0</x:v>
      </x:c>
      <x:c r="M2541" s="9" t="n">
        <x:f>IF(D2541="Completed",I2541*J2541,0)</x:f>
        <x:v>747</x:v>
      </x:c>
      <x:c r="N2541" s="9" t="n">
        <x:f>M2541*K2541</x:f>
        <x:v>0</x:v>
      </x:c>
      <x:c r="O2541" s="9" t="n">
        <x:f>M2541-N2541</x:f>
        <x:v>747</x:v>
      </x:c>
      <x:c r="P2541" s="9" t="n">
        <x:f>IF(D2541="Completed",L2541*J2541*(1-K2541),0)</x:f>
        <x:v>0</x:v>
      </x:c>
      <x:c r="Q2541" s="9" t="n">
        <x:f>O2541-P2541</x:f>
        <x:v>747</x:v>
      </x:c>
      <x:c r="R2541" s="11" t="n">
        <x:f>IF(D2541="Completed",I2541,0)</x:f>
        <x:v>3</x:v>
      </x:c>
      <x:c r="S2541" s="11" t="n">
        <x:f>IF(D2541="Completed",L2541,0)</x:f>
        <x:v>0</x:v>
      </x:c>
      <x:c r="T2541" s="8" t="n">
        <x:f>DATE(YEAR(C2541),MONTH(C2541),1)</x:f>
        <x:v>45839</x:v>
      </x:c>
    </x:row>
    <x:row r="2542" ht="22" customHeight="1">
      <x:c r="A2542" s="2" t="str">
        <x:v>L002538</x:v>
      </x:c>
      <x:c r="B2542" s="2" t="str">
        <x:v>O01043</x:v>
      </x:c>
      <x:c r="C2542" s="7" t="n">
        <x:v>45843</x:v>
      </x:c>
      <x:c r="D2542" s="2" t="str">
        <x:v>Completed</x:v>
      </x:c>
      <x:c r="E2542" s="2" t="str">
        <x:v>West</x:v>
      </x:c>
      <x:c r="F2542" s="2" t="str">
        <x:v>Store</x:v>
      </x:c>
      <x:c r="G2542" s="2" t="str">
        <x:v>Furniture</x:v>
      </x:c>
      <x:c r="H2542" s="2" t="str">
        <x:v>Chair 014</x:v>
      </x:c>
      <x:c r="I2542" s="11" t="n">
        <x:v>2</x:v>
      </x:c>
      <x:c r="J2542" s="9" t="n">
        <x:v>294</x:v>
      </x:c>
      <x:c r="K2542" s="10" t="n">
        <x:v>0.2</x:v>
      </x:c>
      <x:c r="L2542" s="11" t="n">
        <x:v>0</x:v>
      </x:c>
      <x:c r="M2542" s="9" t="n">
        <x:f>IF(D2542="Completed",I2542*J2542,0)</x:f>
        <x:v>588</x:v>
      </x:c>
      <x:c r="N2542" s="9" t="n">
        <x:f>M2542*K2542</x:f>
        <x:v>117.60000000000001</x:v>
      </x:c>
      <x:c r="O2542" s="9" t="n">
        <x:f>M2542-N2542</x:f>
        <x:v>470.4</x:v>
      </x:c>
      <x:c r="P2542" s="9" t="n">
        <x:f>IF(D2542="Completed",L2542*J2542*(1-K2542),0)</x:f>
        <x:v>0</x:v>
      </x:c>
      <x:c r="Q2542" s="9" t="n">
        <x:f>O2542-P2542</x:f>
        <x:v>470.4</x:v>
      </x:c>
      <x:c r="R2542" s="11" t="n">
        <x:f>IF(D2542="Completed",I2542,0)</x:f>
        <x:v>2</x:v>
      </x:c>
      <x:c r="S2542" s="11" t="n">
        <x:f>IF(D2542="Completed",L2542,0)</x:f>
        <x:v>0</x:v>
      </x:c>
      <x:c r="T2542" s="8" t="n">
        <x:f>DATE(YEAR(C2542),MONTH(C2542),1)</x:f>
        <x:v>45839</x:v>
      </x:c>
    </x:row>
    <x:row r="2543" ht="22" customHeight="1">
      <x:c r="A2543" s="2" t="str">
        <x:v>L002539</x:v>
      </x:c>
      <x:c r="B2543" s="2" t="str">
        <x:v>O01044</x:v>
      </x:c>
      <x:c r="C2543" s="7" t="n">
        <x:v>46019</x:v>
      </x:c>
      <x:c r="D2543" s="2" t="str">
        <x:v>Completed</x:v>
      </x:c>
      <x:c r="E2543" s="2" t="str">
        <x:v>South</x:v>
      </x:c>
      <x:c r="F2543" s="2" t="str">
        <x:v>Online</x:v>
      </x:c>
      <x:c r="G2543" s="2" t="str">
        <x:v>Storage</x:v>
      </x:c>
      <x:c r="H2543" s="2" t="str">
        <x:v>Shelf 019</x:v>
      </x:c>
      <x:c r="I2543" s="11" t="n">
        <x:v>2</x:v>
      </x:c>
      <x:c r="J2543" s="9" t="n">
        <x:v>78</x:v>
      </x:c>
      <x:c r="K2543" s="10" t="n">
        <x:v>0.2</x:v>
      </x:c>
      <x:c r="L2543" s="11" t="n">
        <x:v>0</x:v>
      </x:c>
      <x:c r="M2543" s="9" t="n">
        <x:f>IF(D2543="Completed",I2543*J2543,0)</x:f>
        <x:v>156</x:v>
      </x:c>
      <x:c r="N2543" s="9" t="n">
        <x:f>M2543*K2543</x:f>
        <x:v>31.200000000000003</x:v>
      </x:c>
      <x:c r="O2543" s="9" t="n">
        <x:f>M2543-N2543</x:f>
        <x:v>124.8</x:v>
      </x:c>
      <x:c r="P2543" s="9" t="n">
        <x:f>IF(D2543="Completed",L2543*J2543*(1-K2543),0)</x:f>
        <x:v>0</x:v>
      </x:c>
      <x:c r="Q2543" s="9" t="n">
        <x:f>O2543-P2543</x:f>
        <x:v>124.8</x:v>
      </x:c>
      <x:c r="R2543" s="11" t="n">
        <x:f>IF(D2543="Completed",I2543,0)</x:f>
        <x:v>2</x:v>
      </x:c>
      <x:c r="S2543" s="11" t="n">
        <x:f>IF(D2543="Completed",L2543,0)</x:f>
        <x:v>0</x:v>
      </x:c>
      <x:c r="T2543" s="8" t="n">
        <x:f>DATE(YEAR(C2543),MONTH(C2543),1)</x:f>
        <x:v>45992</x:v>
      </x:c>
    </x:row>
    <x:row r="2544" ht="22" customHeight="1">
      <x:c r="A2544" s="2" t="str">
        <x:v>L002540</x:v>
      </x:c>
      <x:c r="B2544" s="2" t="str">
        <x:v>O01044</x:v>
      </x:c>
      <x:c r="C2544" s="7" t="n">
        <x:v>46019</x:v>
      </x:c>
      <x:c r="D2544" s="2" t="str">
        <x:v>Completed</x:v>
      </x:c>
      <x:c r="E2544" s="2" t="str">
        <x:v>South</x:v>
      </x:c>
      <x:c r="F2544" s="2" t="str">
        <x:v>Online</x:v>
      </x:c>
      <x:c r="G2544" s="2" t="str">
        <x:v>Lighting</x:v>
      </x:c>
      <x:c r="H2544" s="2" t="str">
        <x:v>Lamp 001</x:v>
      </x:c>
      <x:c r="I2544" s="11" t="n">
        <x:v>5</x:v>
      </x:c>
      <x:c r="J2544" s="9" t="n">
        <x:v>122</x:v>
      </x:c>
      <x:c r="K2544" s="10" t="n">
        <x:v>0.2</x:v>
      </x:c>
      <x:c r="L2544" s="11" t="n">
        <x:v>0</x:v>
      </x:c>
      <x:c r="M2544" s="9" t="n">
        <x:f>IF(D2544="Completed",I2544*J2544,0)</x:f>
        <x:v>610</x:v>
      </x:c>
      <x:c r="N2544" s="9" t="n">
        <x:f>M2544*K2544</x:f>
        <x:v>122</x:v>
      </x:c>
      <x:c r="O2544" s="9" t="n">
        <x:f>M2544-N2544</x:f>
        <x:v>488</x:v>
      </x:c>
      <x:c r="P2544" s="9" t="n">
        <x:f>IF(D2544="Completed",L2544*J2544*(1-K2544),0)</x:f>
        <x:v>0</x:v>
      </x:c>
      <x:c r="Q2544" s="9" t="n">
        <x:f>O2544-P2544</x:f>
        <x:v>488</x:v>
      </x:c>
      <x:c r="R2544" s="11" t="n">
        <x:f>IF(D2544="Completed",I2544,0)</x:f>
        <x:v>5</x:v>
      </x:c>
      <x:c r="S2544" s="11" t="n">
        <x:f>IF(D2544="Completed",L2544,0)</x:f>
        <x:v>0</x:v>
      </x:c>
      <x:c r="T2544" s="8" t="n">
        <x:f>DATE(YEAR(C2544),MONTH(C2544),1)</x:f>
        <x:v>45992</x:v>
      </x:c>
    </x:row>
    <x:row r="2545" ht="22" customHeight="1">
      <x:c r="A2545" s="2" t="str">
        <x:v>L002541</x:v>
      </x:c>
      <x:c r="B2545" s="2" t="str">
        <x:v>O01045</x:v>
      </x:c>
      <x:c r="C2545" s="7" t="n">
        <x:v>45890</x:v>
      </x:c>
      <x:c r="D2545" s="2" t="str">
        <x:v>Completed</x:v>
      </x:c>
      <x:c r="E2545" s="2" t="str">
        <x:v>North</x:v>
      </x:c>
      <x:c r="F2545" s="2" t="str">
        <x:v>Store</x:v>
      </x:c>
      <x:c r="G2545" s="2" t="str">
        <x:v>Lighting</x:v>
      </x:c>
      <x:c r="H2545" s="2" t="str">
        <x:v>Lamp 009</x:v>
      </x:c>
      <x:c r="I2545" s="11" t="n">
        <x:v>3</x:v>
      </x:c>
      <x:c r="J2545" s="9" t="n">
        <x:v>93</x:v>
      </x:c>
      <x:c r="K2545" s="10" t="n">
        <x:v>0.1</x:v>
      </x:c>
      <x:c r="L2545" s="11" t="n">
        <x:v>0</x:v>
      </x:c>
      <x:c r="M2545" s="9" t="n">
        <x:f>IF(D2545="Completed",I2545*J2545,0)</x:f>
        <x:v>279</x:v>
      </x:c>
      <x:c r="N2545" s="9" t="n">
        <x:f>M2545*K2545</x:f>
        <x:v>27.900000000000002</x:v>
      </x:c>
      <x:c r="O2545" s="9" t="n">
        <x:f>M2545-N2545</x:f>
        <x:v>251.1</x:v>
      </x:c>
      <x:c r="P2545" s="9" t="n">
        <x:f>IF(D2545="Completed",L2545*J2545*(1-K2545),0)</x:f>
        <x:v>0</x:v>
      </x:c>
      <x:c r="Q2545" s="9" t="n">
        <x:f>O2545-P2545</x:f>
        <x:v>251.1</x:v>
      </x:c>
      <x:c r="R2545" s="11" t="n">
        <x:f>IF(D2545="Completed",I2545,0)</x:f>
        <x:v>3</x:v>
      </x:c>
      <x:c r="S2545" s="11" t="n">
        <x:f>IF(D2545="Completed",L2545,0)</x:f>
        <x:v>0</x:v>
      </x:c>
      <x:c r="T2545" s="8" t="n">
        <x:f>DATE(YEAR(C2545),MONTH(C2545),1)</x:f>
        <x:v>45870</x:v>
      </x:c>
    </x:row>
    <x:row r="2546" ht="22" customHeight="1">
      <x:c r="A2546" s="2" t="str">
        <x:v>L002542</x:v>
      </x:c>
      <x:c r="B2546" s="2" t="str">
        <x:v>O01045</x:v>
      </x:c>
      <x:c r="C2546" s="7" t="n">
        <x:v>45890</x:v>
      </x:c>
      <x:c r="D2546" s="2" t="str">
        <x:v>Completed</x:v>
      </x:c>
      <x:c r="E2546" s="2" t="str">
        <x:v>North</x:v>
      </x:c>
      <x:c r="F2546" s="2" t="str">
        <x:v>Store</x:v>
      </x:c>
      <x:c r="G2546" s="2" t="str">
        <x:v>Storage</x:v>
      </x:c>
      <x:c r="H2546" s="2" t="str">
        <x:v>Shelf 003</x:v>
      </x:c>
      <x:c r="I2546" s="11" t="n">
        <x:v>1</x:v>
      </x:c>
      <x:c r="J2546" s="9" t="n">
        <x:v>199</x:v>
      </x:c>
      <x:c r="K2546" s="10" t="n">
        <x:v>0.05</x:v>
      </x:c>
      <x:c r="L2546" s="11" t="n">
        <x:v>0</x:v>
      </x:c>
      <x:c r="M2546" s="9" t="n">
        <x:f>IF(D2546="Completed",I2546*J2546,0)</x:f>
        <x:v>199</x:v>
      </x:c>
      <x:c r="N2546" s="9" t="n">
        <x:f>M2546*K2546</x:f>
        <x:v>9.950000000000001</x:v>
      </x:c>
      <x:c r="O2546" s="9" t="n">
        <x:f>M2546-N2546</x:f>
        <x:v>189.05</x:v>
      </x:c>
      <x:c r="P2546" s="9" t="n">
        <x:f>IF(D2546="Completed",L2546*J2546*(1-K2546),0)</x:f>
        <x:v>0</x:v>
      </x:c>
      <x:c r="Q2546" s="9" t="n">
        <x:f>O2546-P2546</x:f>
        <x:v>189.05</x:v>
      </x:c>
      <x:c r="R2546" s="11" t="n">
        <x:f>IF(D2546="Completed",I2546,0)</x:f>
        <x:v>1</x:v>
      </x:c>
      <x:c r="S2546" s="11" t="n">
        <x:f>IF(D2546="Completed",L2546,0)</x:f>
        <x:v>0</x:v>
      </x:c>
      <x:c r="T2546" s="8" t="n">
        <x:f>DATE(YEAR(C2546),MONTH(C2546),1)</x:f>
        <x:v>45870</x:v>
      </x:c>
    </x:row>
    <x:row r="2547" ht="22" customHeight="1">
      <x:c r="A2547" s="2" t="str">
        <x:v>L002543</x:v>
      </x:c>
      <x:c r="B2547" s="2" t="str">
        <x:v>O01046</x:v>
      </x:c>
      <x:c r="C2547" s="7" t="n">
        <x:v>45999</x:v>
      </x:c>
      <x:c r="D2547" s="2" t="str">
        <x:v>Completed</x:v>
      </x:c>
      <x:c r="E2547" s="2" t="str">
        <x:v>East</x:v>
      </x:c>
      <x:c r="F2547" s="2" t="str">
        <x:v>Online</x:v>
      </x:c>
      <x:c r="G2547" s="2" t="str">
        <x:v>Lighting</x:v>
      </x:c>
      <x:c r="H2547" s="2" t="str">
        <x:v>Lamp 001</x:v>
      </x:c>
      <x:c r="I2547" s="11" t="n">
        <x:v>2</x:v>
      </x:c>
      <x:c r="J2547" s="9" t="n">
        <x:v>122</x:v>
      </x:c>
      <x:c r="K2547" s="10" t="n">
        <x:v>0.05</x:v>
      </x:c>
      <x:c r="L2547" s="11" t="n">
        <x:v>0</x:v>
      </x:c>
      <x:c r="M2547" s="9" t="n">
        <x:f>IF(D2547="Completed",I2547*J2547,0)</x:f>
        <x:v>244</x:v>
      </x:c>
      <x:c r="N2547" s="9" t="n">
        <x:f>M2547*K2547</x:f>
        <x:v>12.200000000000001</x:v>
      </x:c>
      <x:c r="O2547" s="9" t="n">
        <x:f>M2547-N2547</x:f>
        <x:v>231.8</x:v>
      </x:c>
      <x:c r="P2547" s="9" t="n">
        <x:f>IF(D2547="Completed",L2547*J2547*(1-K2547),0)</x:f>
        <x:v>0</x:v>
      </x:c>
      <x:c r="Q2547" s="9" t="n">
        <x:f>O2547-P2547</x:f>
        <x:v>231.8</x:v>
      </x:c>
      <x:c r="R2547" s="11" t="n">
        <x:f>IF(D2547="Completed",I2547,0)</x:f>
        <x:v>2</x:v>
      </x:c>
      <x:c r="S2547" s="11" t="n">
        <x:f>IF(D2547="Completed",L2547,0)</x:f>
        <x:v>0</x:v>
      </x:c>
      <x:c r="T2547" s="8" t="n">
        <x:f>DATE(YEAR(C2547),MONTH(C2547),1)</x:f>
        <x:v>45992</x:v>
      </x:c>
    </x:row>
    <x:row r="2548" ht="22" customHeight="1">
      <x:c r="A2548" s="2" t="str">
        <x:v>L002544</x:v>
      </x:c>
      <x:c r="B2548" s="2" t="str">
        <x:v>O01046</x:v>
      </x:c>
      <x:c r="C2548" s="7" t="n">
        <x:v>45999</x:v>
      </x:c>
      <x:c r="D2548" s="2" t="str">
        <x:v>Completed</x:v>
      </x:c>
      <x:c r="E2548" s="2" t="str">
        <x:v>East</x:v>
      </x:c>
      <x:c r="F2548" s="2" t="str">
        <x:v>Online</x:v>
      </x:c>
      <x:c r="G2548" s="2" t="str">
        <x:v>Furniture</x:v>
      </x:c>
      <x:c r="H2548" s="2" t="str">
        <x:v>Chair 022</x:v>
      </x:c>
      <x:c r="I2548" s="11" t="n">
        <x:v>1</x:v>
      </x:c>
      <x:c r="J2548" s="9" t="n">
        <x:v>134</x:v>
      </x:c>
      <x:c r="K2548" s="10" t="n">
        <x:v>0</x:v>
      </x:c>
      <x:c r="L2548" s="11" t="n">
        <x:v>0</x:v>
      </x:c>
      <x:c r="M2548" s="9" t="n">
        <x:f>IF(D2548="Completed",I2548*J2548,0)</x:f>
        <x:v>134</x:v>
      </x:c>
      <x:c r="N2548" s="9" t="n">
        <x:f>M2548*K2548</x:f>
        <x:v>0</x:v>
      </x:c>
      <x:c r="O2548" s="9" t="n">
        <x:f>M2548-N2548</x:f>
        <x:v>134</x:v>
      </x:c>
      <x:c r="P2548" s="9" t="n">
        <x:f>IF(D2548="Completed",L2548*J2548*(1-K2548),0)</x:f>
        <x:v>0</x:v>
      </x:c>
      <x:c r="Q2548" s="9" t="n">
        <x:f>O2548-P2548</x:f>
        <x:v>134</x:v>
      </x:c>
      <x:c r="R2548" s="11" t="n">
        <x:f>IF(D2548="Completed",I2548,0)</x:f>
        <x:v>1</x:v>
      </x:c>
      <x:c r="S2548" s="11" t="n">
        <x:f>IF(D2548="Completed",L2548,0)</x:f>
        <x:v>0</x:v>
      </x:c>
      <x:c r="T2548" s="8" t="n">
        <x:f>DATE(YEAR(C2548),MONTH(C2548),1)</x:f>
        <x:v>45992</x:v>
      </x:c>
    </x:row>
    <x:row r="2549" ht="22" customHeight="1">
      <x:c r="A2549" s="2" t="str">
        <x:v>L002545</x:v>
      </x:c>
      <x:c r="B2549" s="2" t="str">
        <x:v>O01046</x:v>
      </x:c>
      <x:c r="C2549" s="7" t="n">
        <x:v>45999</x:v>
      </x:c>
      <x:c r="D2549" s="2" t="str">
        <x:v>Completed</x:v>
      </x:c>
      <x:c r="E2549" s="2" t="str">
        <x:v>East</x:v>
      </x:c>
      <x:c r="F2549" s="2" t="str">
        <x:v>Online</x:v>
      </x:c>
      <x:c r="G2549" s="2" t="str">
        <x:v>Furniture</x:v>
      </x:c>
      <x:c r="H2549" s="2" t="str">
        <x:v>Chair 018</x:v>
      </x:c>
      <x:c r="I2549" s="11" t="n">
        <x:v>5</x:v>
      </x:c>
      <x:c r="J2549" s="9" t="n">
        <x:v>269</x:v>
      </x:c>
      <x:c r="K2549" s="10" t="n">
        <x:v>0.2</x:v>
      </x:c>
      <x:c r="L2549" s="11" t="n">
        <x:v>0</x:v>
      </x:c>
      <x:c r="M2549" s="9" t="n">
        <x:f>IF(D2549="Completed",I2549*J2549,0)</x:f>
        <x:v>1345</x:v>
      </x:c>
      <x:c r="N2549" s="9" t="n">
        <x:f>M2549*K2549</x:f>
        <x:v>269</x:v>
      </x:c>
      <x:c r="O2549" s="9" t="n">
        <x:f>M2549-N2549</x:f>
        <x:v>1076</x:v>
      </x:c>
      <x:c r="P2549" s="9" t="n">
        <x:f>IF(D2549="Completed",L2549*J2549*(1-K2549),0)</x:f>
        <x:v>0</x:v>
      </x:c>
      <x:c r="Q2549" s="9" t="n">
        <x:f>O2549-P2549</x:f>
        <x:v>1076</x:v>
      </x:c>
      <x:c r="R2549" s="11" t="n">
        <x:f>IF(D2549="Completed",I2549,0)</x:f>
        <x:v>5</x:v>
      </x:c>
      <x:c r="S2549" s="11" t="n">
        <x:f>IF(D2549="Completed",L2549,0)</x:f>
        <x:v>0</x:v>
      </x:c>
      <x:c r="T2549" s="8" t="n">
        <x:f>DATE(YEAR(C2549),MONTH(C2549),1)</x:f>
        <x:v>45992</x:v>
      </x:c>
    </x:row>
    <x:row r="2550" ht="22" customHeight="1">
      <x:c r="A2550" s="2" t="str">
        <x:v>L002546</x:v>
      </x:c>
      <x:c r="B2550" s="2" t="str">
        <x:v>O01047</x:v>
      </x:c>
      <x:c r="C2550" s="7" t="n">
        <x:v>45806</x:v>
      </x:c>
      <x:c r="D2550" s="2" t="str">
        <x:v>Cancelled</x:v>
      </x:c>
      <x:c r="E2550" s="2" t="str">
        <x:v>West</x:v>
      </x:c>
      <x:c r="F2550" s="2" t="str">
        <x:v>Online</x:v>
      </x:c>
      <x:c r="G2550" s="2" t="str">
        <x:v>Furniture</x:v>
      </x:c>
      <x:c r="H2550" s="2" t="str">
        <x:v>Desk 008</x:v>
      </x:c>
      <x:c r="I2550" s="11" t="n">
        <x:v>2</x:v>
      </x:c>
      <x:c r="J2550" s="9" t="n">
        <x:v>188</x:v>
      </x:c>
      <x:c r="K2550" s="10" t="n">
        <x:v>0</x:v>
      </x:c>
      <x:c r="L2550" s="11" t="n">
        <x:v>0</x:v>
      </x:c>
      <x:c r="M2550" s="9" t="n">
        <x:f>IF(D2550="Completed",I2550*J2550,0)</x:f>
        <x:v>0</x:v>
      </x:c>
      <x:c r="N2550" s="9" t="n">
        <x:f>M2550*K2550</x:f>
        <x:v>0</x:v>
      </x:c>
      <x:c r="O2550" s="9" t="n">
        <x:f>M2550-N2550</x:f>
        <x:v>0</x:v>
      </x:c>
      <x:c r="P2550" s="9" t="n">
        <x:f>IF(D2550="Completed",L2550*J2550*(1-K2550),0)</x:f>
        <x:v>0</x:v>
      </x:c>
      <x:c r="Q2550" s="9" t="n">
        <x:f>O2550-P2550</x:f>
        <x:v>0</x:v>
      </x:c>
      <x:c r="R2550" s="11" t="n">
        <x:f>IF(D2550="Completed",I2550,0)</x:f>
        <x:v>0</x:v>
      </x:c>
      <x:c r="S2550" s="11" t="n">
        <x:f>IF(D2550="Completed",L2550,0)</x:f>
        <x:v>0</x:v>
      </x:c>
      <x:c r="T2550" s="8" t="n">
        <x:f>DATE(YEAR(C2550),MONTH(C2550),1)</x:f>
        <x:v>45778</x:v>
      </x:c>
    </x:row>
    <x:row r="2551" ht="22" customHeight="1">
      <x:c r="A2551" s="2" t="str">
        <x:v>L002547</x:v>
      </x:c>
      <x:c r="B2551" s="2" t="str">
        <x:v>O01047</x:v>
      </x:c>
      <x:c r="C2551" s="7" t="n">
        <x:v>45806</x:v>
      </x:c>
      <x:c r="D2551" s="2" t="str">
        <x:v>Cancelled</x:v>
      </x:c>
      <x:c r="E2551" s="2" t="str">
        <x:v>West</x:v>
      </x:c>
      <x:c r="F2551" s="2" t="str">
        <x:v>Online</x:v>
      </x:c>
      <x:c r="G2551" s="2" t="str">
        <x:v>Storage</x:v>
      </x:c>
      <x:c r="H2551" s="2" t="str">
        <x:v>Shelf 007</x:v>
      </x:c>
      <x:c r="I2551" s="11" t="n">
        <x:v>2</x:v>
      </x:c>
      <x:c r="J2551" s="9" t="n">
        <x:v>35</x:v>
      </x:c>
      <x:c r="K2551" s="10" t="n">
        <x:v>0</x:v>
      </x:c>
      <x:c r="L2551" s="11" t="n">
        <x:v>0</x:v>
      </x:c>
      <x:c r="M2551" s="9" t="n">
        <x:f>IF(D2551="Completed",I2551*J2551,0)</x:f>
        <x:v>0</x:v>
      </x:c>
      <x:c r="N2551" s="9" t="n">
        <x:f>M2551*K2551</x:f>
        <x:v>0</x:v>
      </x:c>
      <x:c r="O2551" s="9" t="n">
        <x:f>M2551-N2551</x:f>
        <x:v>0</x:v>
      </x:c>
      <x:c r="P2551" s="9" t="n">
        <x:f>IF(D2551="Completed",L2551*J2551*(1-K2551),0)</x:f>
        <x:v>0</x:v>
      </x:c>
      <x:c r="Q2551" s="9" t="n">
        <x:f>O2551-P2551</x:f>
        <x:v>0</x:v>
      </x:c>
      <x:c r="R2551" s="11" t="n">
        <x:f>IF(D2551="Completed",I2551,0)</x:f>
        <x:v>0</x:v>
      </x:c>
      <x:c r="S2551" s="11" t="n">
        <x:f>IF(D2551="Completed",L2551,0)</x:f>
        <x:v>0</x:v>
      </x:c>
      <x:c r="T2551" s="8" t="n">
        <x:f>DATE(YEAR(C2551),MONTH(C2551),1)</x:f>
        <x:v>45778</x:v>
      </x:c>
    </x:row>
    <x:row r="2552" ht="22" customHeight="1">
      <x:c r="A2552" s="2" t="str">
        <x:v>L002548</x:v>
      </x:c>
      <x:c r="B2552" s="2" t="str">
        <x:v>O01048</x:v>
      </x:c>
      <x:c r="C2552" s="7" t="n">
        <x:v>45900</x:v>
      </x:c>
      <x:c r="D2552" s="2" t="str">
        <x:v>Completed</x:v>
      </x:c>
      <x:c r="E2552" s="2" t="str">
        <x:v>North</x:v>
      </x:c>
      <x:c r="F2552" s="2" t="str">
        <x:v>Store</x:v>
      </x:c>
      <x:c r="G2552" s="2" t="str">
        <x:v>Lighting</x:v>
      </x:c>
      <x:c r="H2552" s="2" t="str">
        <x:v>Lamp 005</x:v>
      </x:c>
      <x:c r="I2552" s="11" t="n">
        <x:v>1</x:v>
      </x:c>
      <x:c r="J2552" s="9" t="n">
        <x:v>65</x:v>
      </x:c>
      <x:c r="K2552" s="10" t="n">
        <x:v>0.1</x:v>
      </x:c>
      <x:c r="L2552" s="11" t="n">
        <x:v>0</x:v>
      </x:c>
      <x:c r="M2552" s="9" t="n">
        <x:f>IF(D2552="Completed",I2552*J2552,0)</x:f>
        <x:v>65</x:v>
      </x:c>
      <x:c r="N2552" s="9" t="n">
        <x:f>M2552*K2552</x:f>
        <x:v>6.5</x:v>
      </x:c>
      <x:c r="O2552" s="9" t="n">
        <x:f>M2552-N2552</x:f>
        <x:v>58.5</x:v>
      </x:c>
      <x:c r="P2552" s="9" t="n">
        <x:f>IF(D2552="Completed",L2552*J2552*(1-K2552),0)</x:f>
        <x:v>0</x:v>
      </x:c>
      <x:c r="Q2552" s="9" t="n">
        <x:f>O2552-P2552</x:f>
        <x:v>58.5</x:v>
      </x:c>
      <x:c r="R2552" s="11" t="n">
        <x:f>IF(D2552="Completed",I2552,0)</x:f>
        <x:v>1</x:v>
      </x:c>
      <x:c r="S2552" s="11" t="n">
        <x:f>IF(D2552="Completed",L2552,0)</x:f>
        <x:v>0</x:v>
      </x:c>
      <x:c r="T2552" s="8" t="n">
        <x:f>DATE(YEAR(C2552),MONTH(C2552),1)</x:f>
        <x:v>45870</x:v>
      </x:c>
    </x:row>
    <x:row r="2553" ht="22" customHeight="1">
      <x:c r="A2553" s="2" t="str">
        <x:v>L002549</x:v>
      </x:c>
      <x:c r="B2553" s="2" t="str">
        <x:v>O01048</x:v>
      </x:c>
      <x:c r="C2553" s="7" t="n">
        <x:v>45900</x:v>
      </x:c>
      <x:c r="D2553" s="2" t="str">
        <x:v>Completed</x:v>
      </x:c>
      <x:c r="E2553" s="2" t="str">
        <x:v>North</x:v>
      </x:c>
      <x:c r="F2553" s="2" t="str">
        <x:v>Store</x:v>
      </x:c>
      <x:c r="G2553" s="2" t="str">
        <x:v>Lighting</x:v>
      </x:c>
      <x:c r="H2553" s="2" t="str">
        <x:v>Lamp 013</x:v>
      </x:c>
      <x:c r="I2553" s="11" t="n">
        <x:v>5</x:v>
      </x:c>
      <x:c r="J2553" s="9" t="n">
        <x:v>271</x:v>
      </x:c>
      <x:c r="K2553" s="10" t="n">
        <x:v>0.2</x:v>
      </x:c>
      <x:c r="L2553" s="11" t="n">
        <x:v>0</x:v>
      </x:c>
      <x:c r="M2553" s="9" t="n">
        <x:f>IF(D2553="Completed",I2553*J2553,0)</x:f>
        <x:v>1355</x:v>
      </x:c>
      <x:c r="N2553" s="9" t="n">
        <x:f>M2553*K2553</x:f>
        <x:v>271</x:v>
      </x:c>
      <x:c r="O2553" s="9" t="n">
        <x:f>M2553-N2553</x:f>
        <x:v>1084</x:v>
      </x:c>
      <x:c r="P2553" s="9" t="n">
        <x:f>IF(D2553="Completed",L2553*J2553*(1-K2553),0)</x:f>
        <x:v>0</x:v>
      </x:c>
      <x:c r="Q2553" s="9" t="n">
        <x:f>O2553-P2553</x:f>
        <x:v>1084</x:v>
      </x:c>
      <x:c r="R2553" s="11" t="n">
        <x:f>IF(D2553="Completed",I2553,0)</x:f>
        <x:v>5</x:v>
      </x:c>
      <x:c r="S2553" s="11" t="n">
        <x:f>IF(D2553="Completed",L2553,0)</x:f>
        <x:v>0</x:v>
      </x:c>
      <x:c r="T2553" s="8" t="n">
        <x:f>DATE(YEAR(C2553),MONTH(C2553),1)</x:f>
        <x:v>45870</x:v>
      </x:c>
    </x:row>
    <x:row r="2554" ht="22" customHeight="1">
      <x:c r="A2554" s="2" t="str">
        <x:v>L002550</x:v>
      </x:c>
      <x:c r="B2554" s="2" t="str">
        <x:v>O01048</x:v>
      </x:c>
      <x:c r="C2554" s="7" t="n">
        <x:v>45900</x:v>
      </x:c>
      <x:c r="D2554" s="2" t="str">
        <x:v>Completed</x:v>
      </x:c>
      <x:c r="E2554" s="2" t="str">
        <x:v>North</x:v>
      </x:c>
      <x:c r="F2554" s="2" t="str">
        <x:v>Store</x:v>
      </x:c>
      <x:c r="G2554" s="2" t="str">
        <x:v>Furniture</x:v>
      </x:c>
      <x:c r="H2554" s="2" t="str">
        <x:v>Chair 022</x:v>
      </x:c>
      <x:c r="I2554" s="11" t="n">
        <x:v>5</x:v>
      </x:c>
      <x:c r="J2554" s="9" t="n">
        <x:v>134</x:v>
      </x:c>
      <x:c r="K2554" s="10" t="n">
        <x:v>0.2</x:v>
      </x:c>
      <x:c r="L2554" s="11" t="n">
        <x:v>0</x:v>
      </x:c>
      <x:c r="M2554" s="9" t="n">
        <x:f>IF(D2554="Completed",I2554*J2554,0)</x:f>
        <x:v>670</x:v>
      </x:c>
      <x:c r="N2554" s="9" t="n">
        <x:f>M2554*K2554</x:f>
        <x:v>134</x:v>
      </x:c>
      <x:c r="O2554" s="9" t="n">
        <x:f>M2554-N2554</x:f>
        <x:v>536</x:v>
      </x:c>
      <x:c r="P2554" s="9" t="n">
        <x:f>IF(D2554="Completed",L2554*J2554*(1-K2554),0)</x:f>
        <x:v>0</x:v>
      </x:c>
      <x:c r="Q2554" s="9" t="n">
        <x:f>O2554-P2554</x:f>
        <x:v>536</x:v>
      </x:c>
      <x:c r="R2554" s="11" t="n">
        <x:f>IF(D2554="Completed",I2554,0)</x:f>
        <x:v>5</x:v>
      </x:c>
      <x:c r="S2554" s="11" t="n">
        <x:f>IF(D2554="Completed",L2554,0)</x:f>
        <x:v>0</x:v>
      </x:c>
      <x:c r="T2554" s="8" t="n">
        <x:f>DATE(YEAR(C2554),MONTH(C2554),1)</x:f>
        <x:v>45870</x:v>
      </x:c>
    </x:row>
    <x:row r="2555" ht="22" customHeight="1">
      <x:c r="A2555" s="2" t="str">
        <x:v>L002551</x:v>
      </x:c>
      <x:c r="B2555" s="2" t="str">
        <x:v>O01049</x:v>
      </x:c>
      <x:c r="C2555" s="7" t="n">
        <x:v>46003</x:v>
      </x:c>
      <x:c r="D2555" s="2" t="str">
        <x:v>Completed</x:v>
      </x:c>
      <x:c r="E2555" s="2" t="str">
        <x:v>North</x:v>
      </x:c>
      <x:c r="F2555" s="2" t="str">
        <x:v>Store</x:v>
      </x:c>
      <x:c r="G2555" s="2" t="str">
        <x:v>Furniture</x:v>
      </x:c>
      <x:c r="H2555" s="2" t="str">
        <x:v>Desk 020</x:v>
      </x:c>
      <x:c r="I2555" s="11" t="n">
        <x:v>2</x:v>
      </x:c>
      <x:c r="J2555" s="9" t="n">
        <x:v>189</x:v>
      </x:c>
      <x:c r="K2555" s="10" t="n">
        <x:v>0.2</x:v>
      </x:c>
      <x:c r="L2555" s="11" t="n">
        <x:v>0</x:v>
      </x:c>
      <x:c r="M2555" s="9" t="n">
        <x:f>IF(D2555="Completed",I2555*J2555,0)</x:f>
        <x:v>378</x:v>
      </x:c>
      <x:c r="N2555" s="9" t="n">
        <x:f>M2555*K2555</x:f>
        <x:v>75.60000000000001</x:v>
      </x:c>
      <x:c r="O2555" s="9" t="n">
        <x:f>M2555-N2555</x:f>
        <x:v>302.4</x:v>
      </x:c>
      <x:c r="P2555" s="9" t="n">
        <x:f>IF(D2555="Completed",L2555*J2555*(1-K2555),0)</x:f>
        <x:v>0</x:v>
      </x:c>
      <x:c r="Q2555" s="9" t="n">
        <x:f>O2555-P2555</x:f>
        <x:v>302.4</x:v>
      </x:c>
      <x:c r="R2555" s="11" t="n">
        <x:f>IF(D2555="Completed",I2555,0)</x:f>
        <x:v>2</x:v>
      </x:c>
      <x:c r="S2555" s="11" t="n">
        <x:f>IF(D2555="Completed",L2555,0)</x:f>
        <x:v>0</x:v>
      </x:c>
      <x:c r="T2555" s="8" t="n">
        <x:f>DATE(YEAR(C2555),MONTH(C2555),1)</x:f>
        <x:v>45992</x:v>
      </x:c>
    </x:row>
    <x:row r="2556" ht="22" customHeight="1">
      <x:c r="A2556" s="2" t="str">
        <x:v>L002552</x:v>
      </x:c>
      <x:c r="B2556" s="2" t="str">
        <x:v>O01050</x:v>
      </x:c>
      <x:c r="C2556" s="7" t="n">
        <x:v>45804</x:v>
      </x:c>
      <x:c r="D2556" s="2" t="str">
        <x:v>Completed</x:v>
      </x:c>
      <x:c r="E2556" s="2" t="str">
        <x:v>West</x:v>
      </x:c>
      <x:c r="F2556" s="2" t="str">
        <x:v>Store</x:v>
      </x:c>
      <x:c r="G2556" s="2" t="str">
        <x:v>Furniture</x:v>
      </x:c>
      <x:c r="H2556" s="2" t="str">
        <x:v>Chair 010</x:v>
      </x:c>
      <x:c r="I2556" s="11" t="n">
        <x:v>3</x:v>
      </x:c>
      <x:c r="J2556" s="9" t="n">
        <x:v>211</x:v>
      </x:c>
      <x:c r="K2556" s="10" t="n">
        <x:v>0.1</x:v>
      </x:c>
      <x:c r="L2556" s="11" t="n">
        <x:v>0</x:v>
      </x:c>
      <x:c r="M2556" s="9" t="n">
        <x:f>IF(D2556="Completed",I2556*J2556,0)</x:f>
        <x:v>633</x:v>
      </x:c>
      <x:c r="N2556" s="9" t="n">
        <x:f>M2556*K2556</x:f>
        <x:v>63.300000000000004</x:v>
      </x:c>
      <x:c r="O2556" s="9" t="n">
        <x:f>M2556-N2556</x:f>
        <x:v>569.7</x:v>
      </x:c>
      <x:c r="P2556" s="9" t="n">
        <x:f>IF(D2556="Completed",L2556*J2556*(1-K2556),0)</x:f>
        <x:v>0</x:v>
      </x:c>
      <x:c r="Q2556" s="9" t="n">
        <x:f>O2556-P2556</x:f>
        <x:v>569.7</x:v>
      </x:c>
      <x:c r="R2556" s="11" t="n">
        <x:f>IF(D2556="Completed",I2556,0)</x:f>
        <x:v>3</x:v>
      </x:c>
      <x:c r="S2556" s="11" t="n">
        <x:f>IF(D2556="Completed",L2556,0)</x:f>
        <x:v>0</x:v>
      </x:c>
      <x:c r="T2556" s="8" t="n">
        <x:f>DATE(YEAR(C2556),MONTH(C2556),1)</x:f>
        <x:v>45778</x:v>
      </x:c>
    </x:row>
    <x:row r="2557" ht="22" customHeight="1">
      <x:c r="A2557" s="2" t="str">
        <x:v>L002553</x:v>
      </x:c>
      <x:c r="B2557" s="2" t="str">
        <x:v>O01050</x:v>
      </x:c>
      <x:c r="C2557" s="7" t="n">
        <x:v>45804</x:v>
      </x:c>
      <x:c r="D2557" s="2" t="str">
        <x:v>Completed</x:v>
      </x:c>
      <x:c r="E2557" s="2" t="str">
        <x:v>West</x:v>
      </x:c>
      <x:c r="F2557" s="2" t="str">
        <x:v>Store</x:v>
      </x:c>
      <x:c r="G2557" s="2" t="str">
        <x:v>Furniture</x:v>
      </x:c>
      <x:c r="H2557" s="2" t="str">
        <x:v>Desk 004</x:v>
      </x:c>
      <x:c r="I2557" s="11" t="n">
        <x:v>1</x:v>
      </x:c>
      <x:c r="J2557" s="9" t="n">
        <x:v>123</x:v>
      </x:c>
      <x:c r="K2557" s="10" t="n">
        <x:v>0.05</x:v>
      </x:c>
      <x:c r="L2557" s="11" t="n">
        <x:v>0</x:v>
      </x:c>
      <x:c r="M2557" s="9" t="n">
        <x:f>IF(D2557="Completed",I2557*J2557,0)</x:f>
        <x:v>123</x:v>
      </x:c>
      <x:c r="N2557" s="9" t="n">
        <x:f>M2557*K2557</x:f>
        <x:v>6.15</x:v>
      </x:c>
      <x:c r="O2557" s="9" t="n">
        <x:f>M2557-N2557</x:f>
        <x:v>116.85</x:v>
      </x:c>
      <x:c r="P2557" s="9" t="n">
        <x:f>IF(D2557="Completed",L2557*J2557*(1-K2557),0)</x:f>
        <x:v>0</x:v>
      </x:c>
      <x:c r="Q2557" s="9" t="n">
        <x:f>O2557-P2557</x:f>
        <x:v>116.85</x:v>
      </x:c>
      <x:c r="R2557" s="11" t="n">
        <x:f>IF(D2557="Completed",I2557,0)</x:f>
        <x:v>1</x:v>
      </x:c>
      <x:c r="S2557" s="11" t="n">
        <x:f>IF(D2557="Completed",L2557,0)</x:f>
        <x:v>0</x:v>
      </x:c>
      <x:c r="T2557" s="8" t="n">
        <x:f>DATE(YEAR(C2557),MONTH(C2557),1)</x:f>
        <x:v>45778</x:v>
      </x:c>
    </x:row>
    <x:row r="2558" ht="22" customHeight="1">
      <x:c r="A2558" s="2" t="str">
        <x:v>L002554</x:v>
      </x:c>
      <x:c r="B2558" s="2" t="str">
        <x:v>O01050</x:v>
      </x:c>
      <x:c r="C2558" s="7" t="n">
        <x:v>45804</x:v>
      </x:c>
      <x:c r="D2558" s="2" t="str">
        <x:v>Completed</x:v>
      </x:c>
      <x:c r="E2558" s="2" t="str">
        <x:v>West</x:v>
      </x:c>
      <x:c r="F2558" s="2" t="str">
        <x:v>Store</x:v>
      </x:c>
      <x:c r="G2558" s="2" t="str">
        <x:v>Furniture</x:v>
      </x:c>
      <x:c r="H2558" s="2" t="str">
        <x:v>Chair 006</x:v>
      </x:c>
      <x:c r="I2558" s="11" t="n">
        <x:v>1</x:v>
      </x:c>
      <x:c r="J2558" s="9" t="n">
        <x:v>196</x:v>
      </x:c>
      <x:c r="K2558" s="10" t="n">
        <x:v>0.1</x:v>
      </x:c>
      <x:c r="L2558" s="11" t="n">
        <x:v>0</x:v>
      </x:c>
      <x:c r="M2558" s="9" t="n">
        <x:f>IF(D2558="Completed",I2558*J2558,0)</x:f>
        <x:v>196</x:v>
      </x:c>
      <x:c r="N2558" s="9" t="n">
        <x:f>M2558*K2558</x:f>
        <x:v>19.6</x:v>
      </x:c>
      <x:c r="O2558" s="9" t="n">
        <x:f>M2558-N2558</x:f>
        <x:v>176.4</x:v>
      </x:c>
      <x:c r="P2558" s="9" t="n">
        <x:f>IF(D2558="Completed",L2558*J2558*(1-K2558),0)</x:f>
        <x:v>0</x:v>
      </x:c>
      <x:c r="Q2558" s="9" t="n">
        <x:f>O2558-P2558</x:f>
        <x:v>176.4</x:v>
      </x:c>
      <x:c r="R2558" s="11" t="n">
        <x:f>IF(D2558="Completed",I2558,0)</x:f>
        <x:v>1</x:v>
      </x:c>
      <x:c r="S2558" s="11" t="n">
        <x:f>IF(D2558="Completed",L2558,0)</x:f>
        <x:v>0</x:v>
      </x:c>
      <x:c r="T2558" s="8" t="n">
        <x:f>DATE(YEAR(C2558),MONTH(C2558),1)</x:f>
        <x:v>45778</x:v>
      </x:c>
    </x:row>
    <x:row r="2559" ht="22" customHeight="1">
      <x:c r="A2559" s="2" t="str">
        <x:v>L002555</x:v>
      </x:c>
      <x:c r="B2559" s="2" t="str">
        <x:v>O01051</x:v>
      </x:c>
      <x:c r="C2559" s="7" t="n">
        <x:v>45839</x:v>
      </x:c>
      <x:c r="D2559" s="2" t="str">
        <x:v>Completed</x:v>
      </x:c>
      <x:c r="E2559" s="2" t="str">
        <x:v>East</x:v>
      </x:c>
      <x:c r="F2559" s="2" t="str">
        <x:v>Store</x:v>
      </x:c>
      <x:c r="G2559" s="2" t="str">
        <x:v>Lighting</x:v>
      </x:c>
      <x:c r="H2559" s="2" t="str">
        <x:v>Lamp 009</x:v>
      </x:c>
      <x:c r="I2559" s="11" t="n">
        <x:v>1</x:v>
      </x:c>
      <x:c r="J2559" s="9" t="n">
        <x:v>93</x:v>
      </x:c>
      <x:c r="K2559" s="10" t="n">
        <x:v>0.2</x:v>
      </x:c>
      <x:c r="L2559" s="11" t="n">
        <x:v>0</x:v>
      </x:c>
      <x:c r="M2559" s="9" t="n">
        <x:f>IF(D2559="Completed",I2559*J2559,0)</x:f>
        <x:v>93</x:v>
      </x:c>
      <x:c r="N2559" s="9" t="n">
        <x:f>M2559*K2559</x:f>
        <x:v>18.6</x:v>
      </x:c>
      <x:c r="O2559" s="9" t="n">
        <x:f>M2559-N2559</x:f>
        <x:v>74.4</x:v>
      </x:c>
      <x:c r="P2559" s="9" t="n">
        <x:f>IF(D2559="Completed",L2559*J2559*(1-K2559),0)</x:f>
        <x:v>0</x:v>
      </x:c>
      <x:c r="Q2559" s="9" t="n">
        <x:f>O2559-P2559</x:f>
        <x:v>74.4</x:v>
      </x:c>
      <x:c r="R2559" s="11" t="n">
        <x:f>IF(D2559="Completed",I2559,0)</x:f>
        <x:v>1</x:v>
      </x:c>
      <x:c r="S2559" s="11" t="n">
        <x:f>IF(D2559="Completed",L2559,0)</x:f>
        <x:v>0</x:v>
      </x:c>
      <x:c r="T2559" s="8" t="n">
        <x:f>DATE(YEAR(C2559),MONTH(C2559),1)</x:f>
        <x:v>45839</x:v>
      </x:c>
    </x:row>
    <x:row r="2560" ht="22" customHeight="1">
      <x:c r="A2560" s="2" t="str">
        <x:v>L002556</x:v>
      </x:c>
      <x:c r="B2560" s="2" t="str">
        <x:v>O01051</x:v>
      </x:c>
      <x:c r="C2560" s="7" t="n">
        <x:v>45839</x:v>
      </x:c>
      <x:c r="D2560" s="2" t="str">
        <x:v>Completed</x:v>
      </x:c>
      <x:c r="E2560" s="2" t="str">
        <x:v>East</x:v>
      </x:c>
      <x:c r="F2560" s="2" t="str">
        <x:v>Store</x:v>
      </x:c>
      <x:c r="G2560" s="2" t="str">
        <x:v>Storage</x:v>
      </x:c>
      <x:c r="H2560" s="2" t="str">
        <x:v>Shelf 007</x:v>
      </x:c>
      <x:c r="I2560" s="11" t="n">
        <x:v>4</x:v>
      </x:c>
      <x:c r="J2560" s="9" t="n">
        <x:v>35</x:v>
      </x:c>
      <x:c r="K2560" s="10" t="n">
        <x:v>0.05</x:v>
      </x:c>
      <x:c r="L2560" s="11" t="n">
        <x:v>0</x:v>
      </x:c>
      <x:c r="M2560" s="9" t="n">
        <x:f>IF(D2560="Completed",I2560*J2560,0)</x:f>
        <x:v>140</x:v>
      </x:c>
      <x:c r="N2560" s="9" t="n">
        <x:f>M2560*K2560</x:f>
        <x:v>7</x:v>
      </x:c>
      <x:c r="O2560" s="9" t="n">
        <x:f>M2560-N2560</x:f>
        <x:v>133</x:v>
      </x:c>
      <x:c r="P2560" s="9" t="n">
        <x:f>IF(D2560="Completed",L2560*J2560*(1-K2560),0)</x:f>
        <x:v>0</x:v>
      </x:c>
      <x:c r="Q2560" s="9" t="n">
        <x:f>O2560-P2560</x:f>
        <x:v>133</x:v>
      </x:c>
      <x:c r="R2560" s="11" t="n">
        <x:f>IF(D2560="Completed",I2560,0)</x:f>
        <x:v>4</x:v>
      </x:c>
      <x:c r="S2560" s="11" t="n">
        <x:f>IF(D2560="Completed",L2560,0)</x:f>
        <x:v>0</x:v>
      </x:c>
      <x:c r="T2560" s="8" t="n">
        <x:f>DATE(YEAR(C2560),MONTH(C2560),1)</x:f>
        <x:v>45839</x:v>
      </x:c>
    </x:row>
    <x:row r="2561" ht="22" customHeight="1">
      <x:c r="A2561" s="2" t="str">
        <x:v>L002557</x:v>
      </x:c>
      <x:c r="B2561" s="2" t="str">
        <x:v>O01051</x:v>
      </x:c>
      <x:c r="C2561" s="7" t="n">
        <x:v>45839</x:v>
      </x:c>
      <x:c r="D2561" s="2" t="str">
        <x:v>Completed</x:v>
      </x:c>
      <x:c r="E2561" s="2" t="str">
        <x:v>East</x:v>
      </x:c>
      <x:c r="F2561" s="2" t="str">
        <x:v>Store</x:v>
      </x:c>
      <x:c r="G2561" s="2" t="str">
        <x:v>Lighting</x:v>
      </x:c>
      <x:c r="H2561" s="2" t="str">
        <x:v>Lamp 021</x:v>
      </x:c>
      <x:c r="I2561" s="11" t="n">
        <x:v>4</x:v>
      </x:c>
      <x:c r="J2561" s="9" t="n">
        <x:v>249</x:v>
      </x:c>
      <x:c r="K2561" s="10" t="n">
        <x:v>0</x:v>
      </x:c>
      <x:c r="L2561" s="11" t="n">
        <x:v>0</x:v>
      </x:c>
      <x:c r="M2561" s="9" t="n">
        <x:f>IF(D2561="Completed",I2561*J2561,0)</x:f>
        <x:v>996</x:v>
      </x:c>
      <x:c r="N2561" s="9" t="n">
        <x:f>M2561*K2561</x:f>
        <x:v>0</x:v>
      </x:c>
      <x:c r="O2561" s="9" t="n">
        <x:f>M2561-N2561</x:f>
        <x:v>996</x:v>
      </x:c>
      <x:c r="P2561" s="9" t="n">
        <x:f>IF(D2561="Completed",L2561*J2561*(1-K2561),0)</x:f>
        <x:v>0</x:v>
      </x:c>
      <x:c r="Q2561" s="9" t="n">
        <x:f>O2561-P2561</x:f>
        <x:v>996</x:v>
      </x:c>
      <x:c r="R2561" s="11" t="n">
        <x:f>IF(D2561="Completed",I2561,0)</x:f>
        <x:v>4</x:v>
      </x:c>
      <x:c r="S2561" s="11" t="n">
        <x:f>IF(D2561="Completed",L2561,0)</x:f>
        <x:v>0</x:v>
      </x:c>
      <x:c r="T2561" s="8" t="n">
        <x:f>DATE(YEAR(C2561),MONTH(C2561),1)</x:f>
        <x:v>45839</x:v>
      </x:c>
    </x:row>
    <x:row r="2562" ht="22" customHeight="1">
      <x:c r="A2562" s="2" t="str">
        <x:v>L002558</x:v>
      </x:c>
      <x:c r="B2562" s="2" t="str">
        <x:v>O01052</x:v>
      </x:c>
      <x:c r="C2562" s="7" t="n">
        <x:v>45913</x:v>
      </x:c>
      <x:c r="D2562" s="2" t="str">
        <x:v>Completed</x:v>
      </x:c>
      <x:c r="E2562" s="2" t="str">
        <x:v>East</x:v>
      </x:c>
      <x:c r="F2562" s="2" t="str">
        <x:v>Online</x:v>
      </x:c>
      <x:c r="G2562" s="2" t="str">
        <x:v>Lighting</x:v>
      </x:c>
      <x:c r="H2562" s="2" t="str">
        <x:v>Lamp 013</x:v>
      </x:c>
      <x:c r="I2562" s="11" t="n">
        <x:v>4</x:v>
      </x:c>
      <x:c r="J2562" s="9" t="n">
        <x:v>271</x:v>
      </x:c>
      <x:c r="K2562" s="10" t="n">
        <x:v>0.05</x:v>
      </x:c>
      <x:c r="L2562" s="11" t="n">
        <x:v>0</x:v>
      </x:c>
      <x:c r="M2562" s="9" t="n">
        <x:f>IF(D2562="Completed",I2562*J2562,0)</x:f>
        <x:v>1084</x:v>
      </x:c>
      <x:c r="N2562" s="9" t="n">
        <x:f>M2562*K2562</x:f>
        <x:v>54.2</x:v>
      </x:c>
      <x:c r="O2562" s="9" t="n">
        <x:f>M2562-N2562</x:f>
        <x:v>1029.8</x:v>
      </x:c>
      <x:c r="P2562" s="9" t="n">
        <x:f>IF(D2562="Completed",L2562*J2562*(1-K2562),0)</x:f>
        <x:v>0</x:v>
      </x:c>
      <x:c r="Q2562" s="9" t="n">
        <x:f>O2562-P2562</x:f>
        <x:v>1029.8</x:v>
      </x:c>
      <x:c r="R2562" s="11" t="n">
        <x:f>IF(D2562="Completed",I2562,0)</x:f>
        <x:v>4</x:v>
      </x:c>
      <x:c r="S2562" s="11" t="n">
        <x:f>IF(D2562="Completed",L2562,0)</x:f>
        <x:v>0</x:v>
      </x:c>
      <x:c r="T2562" s="8" t="n">
        <x:f>DATE(YEAR(C2562),MONTH(C2562),1)</x:f>
        <x:v>45901</x:v>
      </x:c>
    </x:row>
    <x:row r="2563" ht="22" customHeight="1">
      <x:c r="A2563" s="2" t="str">
        <x:v>L002559</x:v>
      </x:c>
      <x:c r="B2563" s="2" t="str">
        <x:v>O01052</x:v>
      </x:c>
      <x:c r="C2563" s="7" t="n">
        <x:v>45913</x:v>
      </x:c>
      <x:c r="D2563" s="2" t="str">
        <x:v>Completed</x:v>
      </x:c>
      <x:c r="E2563" s="2" t="str">
        <x:v>East</x:v>
      </x:c>
      <x:c r="F2563" s="2" t="str">
        <x:v>Online</x:v>
      </x:c>
      <x:c r="G2563" s="2" t="str">
        <x:v>Furniture</x:v>
      </x:c>
      <x:c r="H2563" s="2" t="str">
        <x:v>Chair 006</x:v>
      </x:c>
      <x:c r="I2563" s="11" t="n">
        <x:v>4</x:v>
      </x:c>
      <x:c r="J2563" s="9" t="n">
        <x:v>196</x:v>
      </x:c>
      <x:c r="K2563" s="10" t="n">
        <x:v>0</x:v>
      </x:c>
      <x:c r="L2563" s="11" t="n">
        <x:v>0</x:v>
      </x:c>
      <x:c r="M2563" s="9" t="n">
        <x:f>IF(D2563="Completed",I2563*J2563,0)</x:f>
        <x:v>784</x:v>
      </x:c>
      <x:c r="N2563" s="9" t="n">
        <x:f>M2563*K2563</x:f>
        <x:v>0</x:v>
      </x:c>
      <x:c r="O2563" s="9" t="n">
        <x:f>M2563-N2563</x:f>
        <x:v>784</x:v>
      </x:c>
      <x:c r="P2563" s="9" t="n">
        <x:f>IF(D2563="Completed",L2563*J2563*(1-K2563),0)</x:f>
        <x:v>0</x:v>
      </x:c>
      <x:c r="Q2563" s="9" t="n">
        <x:f>O2563-P2563</x:f>
        <x:v>784</x:v>
      </x:c>
      <x:c r="R2563" s="11" t="n">
        <x:f>IF(D2563="Completed",I2563,0)</x:f>
        <x:v>4</x:v>
      </x:c>
      <x:c r="S2563" s="11" t="n">
        <x:f>IF(D2563="Completed",L2563,0)</x:f>
        <x:v>0</x:v>
      </x:c>
      <x:c r="T2563" s="8" t="n">
        <x:f>DATE(YEAR(C2563),MONTH(C2563),1)</x:f>
        <x:v>45901</x:v>
      </x:c>
    </x:row>
    <x:row r="2564" ht="22" customHeight="1">
      <x:c r="A2564" s="2" t="str">
        <x:v>L002560</x:v>
      </x:c>
      <x:c r="B2564" s="2" t="str">
        <x:v>O01052</x:v>
      </x:c>
      <x:c r="C2564" s="7" t="n">
        <x:v>45913</x:v>
      </x:c>
      <x:c r="D2564" s="2" t="str">
        <x:v>Completed</x:v>
      </x:c>
      <x:c r="E2564" s="2" t="str">
        <x:v>East</x:v>
      </x:c>
      <x:c r="F2564" s="2" t="str">
        <x:v>Online</x:v>
      </x:c>
      <x:c r="G2564" s="2" t="str">
        <x:v>Furniture</x:v>
      </x:c>
      <x:c r="H2564" s="2" t="str">
        <x:v>Desk 008</x:v>
      </x:c>
      <x:c r="I2564" s="11" t="n">
        <x:v>3</x:v>
      </x:c>
      <x:c r="J2564" s="9" t="n">
        <x:v>188</x:v>
      </x:c>
      <x:c r="K2564" s="10" t="n">
        <x:v>0.05</x:v>
      </x:c>
      <x:c r="L2564" s="11" t="n">
        <x:v>0</x:v>
      </x:c>
      <x:c r="M2564" s="9" t="n">
        <x:f>IF(D2564="Completed",I2564*J2564,0)</x:f>
        <x:v>564</x:v>
      </x:c>
      <x:c r="N2564" s="9" t="n">
        <x:f>M2564*K2564</x:f>
        <x:v>28.200000000000003</x:v>
      </x:c>
      <x:c r="O2564" s="9" t="n">
        <x:f>M2564-N2564</x:f>
        <x:v>535.8</x:v>
      </x:c>
      <x:c r="P2564" s="9" t="n">
        <x:f>IF(D2564="Completed",L2564*J2564*(1-K2564),0)</x:f>
        <x:v>0</x:v>
      </x:c>
      <x:c r="Q2564" s="9" t="n">
        <x:f>O2564-P2564</x:f>
        <x:v>535.8</x:v>
      </x:c>
      <x:c r="R2564" s="11" t="n">
        <x:f>IF(D2564="Completed",I2564,0)</x:f>
        <x:v>3</x:v>
      </x:c>
      <x:c r="S2564" s="11" t="n">
        <x:f>IF(D2564="Completed",L2564,0)</x:f>
        <x:v>0</x:v>
      </x:c>
      <x:c r="T2564" s="8" t="n">
        <x:f>DATE(YEAR(C2564),MONTH(C2564),1)</x:f>
        <x:v>45901</x:v>
      </x:c>
    </x:row>
    <x:row r="2565" ht="22" customHeight="1">
      <x:c r="A2565" s="2" t="str">
        <x:v>L002561</x:v>
      </x:c>
      <x:c r="B2565" s="2" t="str">
        <x:v>O01052</x:v>
      </x:c>
      <x:c r="C2565" s="7" t="n">
        <x:v>45913</x:v>
      </x:c>
      <x:c r="D2565" s="2" t="str">
        <x:v>Completed</x:v>
      </x:c>
      <x:c r="E2565" s="2" t="str">
        <x:v>East</x:v>
      </x:c>
      <x:c r="F2565" s="2" t="str">
        <x:v>Online</x:v>
      </x:c>
      <x:c r="G2565" s="2" t="str">
        <x:v>Furniture</x:v>
      </x:c>
      <x:c r="H2565" s="2" t="str">
        <x:v>Desk 004</x:v>
      </x:c>
      <x:c r="I2565" s="11" t="n">
        <x:v>2</x:v>
      </x:c>
      <x:c r="J2565" s="9" t="n">
        <x:v>123</x:v>
      </x:c>
      <x:c r="K2565" s="10" t="n">
        <x:v>0.1</x:v>
      </x:c>
      <x:c r="L2565" s="11" t="n">
        <x:v>0</x:v>
      </x:c>
      <x:c r="M2565" s="9" t="n">
        <x:f>IF(D2565="Completed",I2565*J2565,0)</x:f>
        <x:v>246</x:v>
      </x:c>
      <x:c r="N2565" s="9" t="n">
        <x:f>M2565*K2565</x:f>
        <x:v>24.6</x:v>
      </x:c>
      <x:c r="O2565" s="9" t="n">
        <x:f>M2565-N2565</x:f>
        <x:v>221.4</x:v>
      </x:c>
      <x:c r="P2565" s="9" t="n">
        <x:f>IF(D2565="Completed",L2565*J2565*(1-K2565),0)</x:f>
        <x:v>0</x:v>
      </x:c>
      <x:c r="Q2565" s="9" t="n">
        <x:f>O2565-P2565</x:f>
        <x:v>221.4</x:v>
      </x:c>
      <x:c r="R2565" s="11" t="n">
        <x:f>IF(D2565="Completed",I2565,0)</x:f>
        <x:v>2</x:v>
      </x:c>
      <x:c r="S2565" s="11" t="n">
        <x:f>IF(D2565="Completed",L2565,0)</x:f>
        <x:v>0</x:v>
      </x:c>
      <x:c r="T2565" s="8" t="n">
        <x:f>DATE(YEAR(C2565),MONTH(C2565),1)</x:f>
        <x:v>45901</x:v>
      </x:c>
    </x:row>
    <x:row r="2566" ht="22" customHeight="1">
      <x:c r="A2566" s="2" t="str">
        <x:v>L002562</x:v>
      </x:c>
      <x:c r="B2566" s="2" t="str">
        <x:v>O01053</x:v>
      </x:c>
      <x:c r="C2566" s="7" t="n">
        <x:v>45672</x:v>
      </x:c>
      <x:c r="D2566" s="2" t="str">
        <x:v>Completed</x:v>
      </x:c>
      <x:c r="E2566" s="2" t="str">
        <x:v>East</x:v>
      </x:c>
      <x:c r="F2566" s="2" t="str">
        <x:v>Online</x:v>
      </x:c>
      <x:c r="G2566" s="2" t="str">
        <x:v>Lighting</x:v>
      </x:c>
      <x:c r="H2566" s="2" t="str">
        <x:v>Lamp 021</x:v>
      </x:c>
      <x:c r="I2566" s="11" t="n">
        <x:v>5</x:v>
      </x:c>
      <x:c r="J2566" s="9" t="n">
        <x:v>249</x:v>
      </x:c>
      <x:c r="K2566" s="10" t="n">
        <x:v>0.05</x:v>
      </x:c>
      <x:c r="L2566" s="11" t="n">
        <x:v>0</x:v>
      </x:c>
      <x:c r="M2566" s="9" t="n">
        <x:f>IF(D2566="Completed",I2566*J2566,0)</x:f>
        <x:v>1245</x:v>
      </x:c>
      <x:c r="N2566" s="9" t="n">
        <x:f>M2566*K2566</x:f>
        <x:v>62.25</x:v>
      </x:c>
      <x:c r="O2566" s="9" t="n">
        <x:f>M2566-N2566</x:f>
        <x:v>1182.75</x:v>
      </x:c>
      <x:c r="P2566" s="9" t="n">
        <x:f>IF(D2566="Completed",L2566*J2566*(1-K2566),0)</x:f>
        <x:v>0</x:v>
      </x:c>
      <x:c r="Q2566" s="9" t="n">
        <x:f>O2566-P2566</x:f>
        <x:v>1182.75</x:v>
      </x:c>
      <x:c r="R2566" s="11" t="n">
        <x:f>IF(D2566="Completed",I2566,0)</x:f>
        <x:v>5</x:v>
      </x:c>
      <x:c r="S2566" s="11" t="n">
        <x:f>IF(D2566="Completed",L2566,0)</x:f>
        <x:v>0</x:v>
      </x:c>
      <x:c r="T2566" s="8" t="n">
        <x:f>DATE(YEAR(C2566),MONTH(C2566),1)</x:f>
        <x:v>45658</x:v>
      </x:c>
    </x:row>
    <x:row r="2567" ht="22" customHeight="1">
      <x:c r="A2567" s="2" t="str">
        <x:v>L002563</x:v>
      </x:c>
      <x:c r="B2567" s="2" t="str">
        <x:v>O01053</x:v>
      </x:c>
      <x:c r="C2567" s="7" t="n">
        <x:v>45672</x:v>
      </x:c>
      <x:c r="D2567" s="2" t="str">
        <x:v>Completed</x:v>
      </x:c>
      <x:c r="E2567" s="2" t="str">
        <x:v>East</x:v>
      </x:c>
      <x:c r="F2567" s="2" t="str">
        <x:v>Online</x:v>
      </x:c>
      <x:c r="G2567" s="2" t="str">
        <x:v>Lighting</x:v>
      </x:c>
      <x:c r="H2567" s="2" t="str">
        <x:v>Lamp 017</x:v>
      </x:c>
      <x:c r="I2567" s="11" t="n">
        <x:v>1</x:v>
      </x:c>
      <x:c r="J2567" s="9" t="n">
        <x:v>300</x:v>
      </x:c>
      <x:c r="K2567" s="10" t="n">
        <x:v>0.2</x:v>
      </x:c>
      <x:c r="L2567" s="11" t="n">
        <x:v>0</x:v>
      </x:c>
      <x:c r="M2567" s="9" t="n">
        <x:f>IF(D2567="Completed",I2567*J2567,0)</x:f>
        <x:v>300</x:v>
      </x:c>
      <x:c r="N2567" s="9" t="n">
        <x:f>M2567*K2567</x:f>
        <x:v>60</x:v>
      </x:c>
      <x:c r="O2567" s="9" t="n">
        <x:f>M2567-N2567</x:f>
        <x:v>240</x:v>
      </x:c>
      <x:c r="P2567" s="9" t="n">
        <x:f>IF(D2567="Completed",L2567*J2567*(1-K2567),0)</x:f>
        <x:v>0</x:v>
      </x:c>
      <x:c r="Q2567" s="9" t="n">
        <x:f>O2567-P2567</x:f>
        <x:v>240</x:v>
      </x:c>
      <x:c r="R2567" s="11" t="n">
        <x:f>IF(D2567="Completed",I2567,0)</x:f>
        <x:v>1</x:v>
      </x:c>
      <x:c r="S2567" s="11" t="n">
        <x:f>IF(D2567="Completed",L2567,0)</x:f>
        <x:v>0</x:v>
      </x:c>
      <x:c r="T2567" s="8" t="n">
        <x:f>DATE(YEAR(C2567),MONTH(C2567),1)</x:f>
        <x:v>45658</x:v>
      </x:c>
    </x:row>
    <x:row r="2568" ht="22" customHeight="1">
      <x:c r="A2568" s="2" t="str">
        <x:v>L002564</x:v>
      </x:c>
      <x:c r="B2568" s="2" t="str">
        <x:v>O01054</x:v>
      </x:c>
      <x:c r="C2568" s="7" t="n">
        <x:v>45937</x:v>
      </x:c>
      <x:c r="D2568" s="2" t="str">
        <x:v>Completed</x:v>
      </x:c>
      <x:c r="E2568" s="2" t="str">
        <x:v>East</x:v>
      </x:c>
      <x:c r="F2568" s="2" t="str">
        <x:v>Store</x:v>
      </x:c>
      <x:c r="G2568" s="2" t="str">
        <x:v>Storage</x:v>
      </x:c>
      <x:c r="H2568" s="2" t="str">
        <x:v>Shelf 015</x:v>
      </x:c>
      <x:c r="I2568" s="11" t="n">
        <x:v>2</x:v>
      </x:c>
      <x:c r="J2568" s="9" t="n">
        <x:v>254</x:v>
      </x:c>
      <x:c r="K2568" s="10" t="n">
        <x:v>0.2</x:v>
      </x:c>
      <x:c r="L2568" s="11" t="n">
        <x:v>1</x:v>
      </x:c>
      <x:c r="M2568" s="9" t="n">
        <x:f>IF(D2568="Completed",I2568*J2568,0)</x:f>
        <x:v>508</x:v>
      </x:c>
      <x:c r="N2568" s="9" t="n">
        <x:f>M2568*K2568</x:f>
        <x:v>101.60000000000001</x:v>
      </x:c>
      <x:c r="O2568" s="9" t="n">
        <x:f>M2568-N2568</x:f>
        <x:v>406.4</x:v>
      </x:c>
      <x:c r="P2568" s="9" t="n">
        <x:f>IF(D2568="Completed",L2568*J2568*(1-K2568),0)</x:f>
        <x:v>203.20000000000002</x:v>
      </x:c>
      <x:c r="Q2568" s="9" t="n">
        <x:f>O2568-P2568</x:f>
        <x:v>203.19999999999996</x:v>
      </x:c>
      <x:c r="R2568" s="11" t="n">
        <x:f>IF(D2568="Completed",I2568,0)</x:f>
        <x:v>2</x:v>
      </x:c>
      <x:c r="S2568" s="11" t="n">
        <x:f>IF(D2568="Completed",L2568,0)</x:f>
        <x:v>1</x:v>
      </x:c>
      <x:c r="T2568" s="8" t="n">
        <x:f>DATE(YEAR(C2568),MONTH(C2568),1)</x:f>
        <x:v>45931</x:v>
      </x:c>
    </x:row>
    <x:row r="2569" ht="22" customHeight="1">
      <x:c r="A2569" s="2" t="str">
        <x:v>L002565</x:v>
      </x:c>
      <x:c r="B2569" s="2" t="str">
        <x:v>O01054</x:v>
      </x:c>
      <x:c r="C2569" s="7" t="n">
        <x:v>45937</x:v>
      </x:c>
      <x:c r="D2569" s="2" t="str">
        <x:v>Completed</x:v>
      </x:c>
      <x:c r="E2569" s="2" t="str">
        <x:v>East</x:v>
      </x:c>
      <x:c r="F2569" s="2" t="str">
        <x:v>Store</x:v>
      </x:c>
      <x:c r="G2569" s="2" t="str">
        <x:v>Storage</x:v>
      </x:c>
      <x:c r="H2569" s="2" t="str">
        <x:v>Shelf 015</x:v>
      </x:c>
      <x:c r="I2569" s="11" t="n">
        <x:v>3</x:v>
      </x:c>
      <x:c r="J2569" s="9" t="n">
        <x:v>254</x:v>
      </x:c>
      <x:c r="K2569" s="10" t="n">
        <x:v>0.2</x:v>
      </x:c>
      <x:c r="L2569" s="11" t="n">
        <x:v>0</x:v>
      </x:c>
      <x:c r="M2569" s="9" t="n">
        <x:f>IF(D2569="Completed",I2569*J2569,0)</x:f>
        <x:v>762</x:v>
      </x:c>
      <x:c r="N2569" s="9" t="n">
        <x:f>M2569*K2569</x:f>
        <x:v>152.4</x:v>
      </x:c>
      <x:c r="O2569" s="9" t="n">
        <x:f>M2569-N2569</x:f>
        <x:v>609.6</x:v>
      </x:c>
      <x:c r="P2569" s="9" t="n">
        <x:f>IF(D2569="Completed",L2569*J2569*(1-K2569),0)</x:f>
        <x:v>0</x:v>
      </x:c>
      <x:c r="Q2569" s="9" t="n">
        <x:f>O2569-P2569</x:f>
        <x:v>609.6</x:v>
      </x:c>
      <x:c r="R2569" s="11" t="n">
        <x:f>IF(D2569="Completed",I2569,0)</x:f>
        <x:v>3</x:v>
      </x:c>
      <x:c r="S2569" s="11" t="n">
        <x:f>IF(D2569="Completed",L2569,0)</x:f>
        <x:v>0</x:v>
      </x:c>
      <x:c r="T2569" s="8" t="n">
        <x:f>DATE(YEAR(C2569),MONTH(C2569),1)</x:f>
        <x:v>45931</x:v>
      </x:c>
    </x:row>
    <x:row r="2570" ht="22" customHeight="1">
      <x:c r="A2570" s="2" t="str">
        <x:v>L002566</x:v>
      </x:c>
      <x:c r="B2570" s="2" t="str">
        <x:v>O01054</x:v>
      </x:c>
      <x:c r="C2570" s="7" t="n">
        <x:v>45937</x:v>
      </x:c>
      <x:c r="D2570" s="2" t="str">
        <x:v>Completed</x:v>
      </x:c>
      <x:c r="E2570" s="2" t="str">
        <x:v>East</x:v>
      </x:c>
      <x:c r="F2570" s="2" t="str">
        <x:v>Store</x:v>
      </x:c>
      <x:c r="G2570" s="2" t="str">
        <x:v>Storage</x:v>
      </x:c>
      <x:c r="H2570" s="2" t="str">
        <x:v>Shelf 019</x:v>
      </x:c>
      <x:c r="I2570" s="11" t="n">
        <x:v>5</x:v>
      </x:c>
      <x:c r="J2570" s="9" t="n">
        <x:v>78</x:v>
      </x:c>
      <x:c r="K2570" s="10" t="n">
        <x:v>0.2</x:v>
      </x:c>
      <x:c r="L2570" s="11" t="n">
        <x:v>0</x:v>
      </x:c>
      <x:c r="M2570" s="9" t="n">
        <x:f>IF(D2570="Completed",I2570*J2570,0)</x:f>
        <x:v>390</x:v>
      </x:c>
      <x:c r="N2570" s="9" t="n">
        <x:f>M2570*K2570</x:f>
        <x:v>78</x:v>
      </x:c>
      <x:c r="O2570" s="9" t="n">
        <x:f>M2570-N2570</x:f>
        <x:v>312</x:v>
      </x:c>
      <x:c r="P2570" s="9" t="n">
        <x:f>IF(D2570="Completed",L2570*J2570*(1-K2570),0)</x:f>
        <x:v>0</x:v>
      </x:c>
      <x:c r="Q2570" s="9" t="n">
        <x:f>O2570-P2570</x:f>
        <x:v>312</x:v>
      </x:c>
      <x:c r="R2570" s="11" t="n">
        <x:f>IF(D2570="Completed",I2570,0)</x:f>
        <x:v>5</x:v>
      </x:c>
      <x:c r="S2570" s="11" t="n">
        <x:f>IF(D2570="Completed",L2570,0)</x:f>
        <x:v>0</x:v>
      </x:c>
      <x:c r="T2570" s="8" t="n">
        <x:f>DATE(YEAR(C2570),MONTH(C2570),1)</x:f>
        <x:v>45931</x:v>
      </x:c>
    </x:row>
    <x:row r="2571" ht="22" customHeight="1">
      <x:c r="A2571" s="2" t="str">
        <x:v>L002567</x:v>
      </x:c>
      <x:c r="B2571" s="2" t="str">
        <x:v>O01055</x:v>
      </x:c>
      <x:c r="C2571" s="7" t="n">
        <x:v>45752</x:v>
      </x:c>
      <x:c r="D2571" s="2" t="str">
        <x:v>Completed</x:v>
      </x:c>
      <x:c r="E2571" s="2" t="str">
        <x:v>West</x:v>
      </x:c>
      <x:c r="F2571" s="2" t="str">
        <x:v>Store</x:v>
      </x:c>
      <x:c r="G2571" s="2" t="str">
        <x:v>Lighting</x:v>
      </x:c>
      <x:c r="H2571" s="2" t="str">
        <x:v>Lamp 013</x:v>
      </x:c>
      <x:c r="I2571" s="11" t="n">
        <x:v>5</x:v>
      </x:c>
      <x:c r="J2571" s="9" t="n">
        <x:v>271</x:v>
      </x:c>
      <x:c r="K2571" s="10" t="n">
        <x:v>0.05</x:v>
      </x:c>
      <x:c r="L2571" s="11" t="n">
        <x:v>0</x:v>
      </x:c>
      <x:c r="M2571" s="9" t="n">
        <x:f>IF(D2571="Completed",I2571*J2571,0)</x:f>
        <x:v>1355</x:v>
      </x:c>
      <x:c r="N2571" s="9" t="n">
        <x:f>M2571*K2571</x:f>
        <x:v>67.75</x:v>
      </x:c>
      <x:c r="O2571" s="9" t="n">
        <x:f>M2571-N2571</x:f>
        <x:v>1287.25</x:v>
      </x:c>
      <x:c r="P2571" s="9" t="n">
        <x:f>IF(D2571="Completed",L2571*J2571*(1-K2571),0)</x:f>
        <x:v>0</x:v>
      </x:c>
      <x:c r="Q2571" s="9" t="n">
        <x:f>O2571-P2571</x:f>
        <x:v>1287.25</x:v>
      </x:c>
      <x:c r="R2571" s="11" t="n">
        <x:f>IF(D2571="Completed",I2571,0)</x:f>
        <x:v>5</x:v>
      </x:c>
      <x:c r="S2571" s="11" t="n">
        <x:f>IF(D2571="Completed",L2571,0)</x:f>
        <x:v>0</x:v>
      </x:c>
      <x:c r="T2571" s="8" t="n">
        <x:f>DATE(YEAR(C2571),MONTH(C2571),1)</x:f>
        <x:v>45748</x:v>
      </x:c>
    </x:row>
    <x:row r="2572" ht="22" customHeight="1">
      <x:c r="A2572" s="2" t="str">
        <x:v>L002568</x:v>
      </x:c>
      <x:c r="B2572" s="2" t="str">
        <x:v>O01055</x:v>
      </x:c>
      <x:c r="C2572" s="7" t="n">
        <x:v>45752</x:v>
      </x:c>
      <x:c r="D2572" s="2" t="str">
        <x:v>Completed</x:v>
      </x:c>
      <x:c r="E2572" s="2" t="str">
        <x:v>West</x:v>
      </x:c>
      <x:c r="F2572" s="2" t="str">
        <x:v>Store</x:v>
      </x:c>
      <x:c r="G2572" s="2" t="str">
        <x:v>Storage</x:v>
      </x:c>
      <x:c r="H2572" s="2" t="str">
        <x:v>Shelf 019</x:v>
      </x:c>
      <x:c r="I2572" s="11" t="n">
        <x:v>5</x:v>
      </x:c>
      <x:c r="J2572" s="9" t="n">
        <x:v>78</x:v>
      </x:c>
      <x:c r="K2572" s="10" t="n">
        <x:v>0.1</x:v>
      </x:c>
      <x:c r="L2572" s="11" t="n">
        <x:v>2</x:v>
      </x:c>
      <x:c r="M2572" s="9" t="n">
        <x:f>IF(D2572="Completed",I2572*J2572,0)</x:f>
        <x:v>390</x:v>
      </x:c>
      <x:c r="N2572" s="9" t="n">
        <x:f>M2572*K2572</x:f>
        <x:v>39</x:v>
      </x:c>
      <x:c r="O2572" s="9" t="n">
        <x:f>M2572-N2572</x:f>
        <x:v>351</x:v>
      </x:c>
      <x:c r="P2572" s="9" t="n">
        <x:f>IF(D2572="Completed",L2572*J2572*(1-K2572),0)</x:f>
        <x:v>140.4</x:v>
      </x:c>
      <x:c r="Q2572" s="9" t="n">
        <x:f>O2572-P2572</x:f>
        <x:v>210.6</x:v>
      </x:c>
      <x:c r="R2572" s="11" t="n">
        <x:f>IF(D2572="Completed",I2572,0)</x:f>
        <x:v>5</x:v>
      </x:c>
      <x:c r="S2572" s="11" t="n">
        <x:f>IF(D2572="Completed",L2572,0)</x:f>
        <x:v>2</x:v>
      </x:c>
      <x:c r="T2572" s="8" t="n">
        <x:f>DATE(YEAR(C2572),MONTH(C2572),1)</x:f>
        <x:v>45748</x:v>
      </x:c>
    </x:row>
    <x:row r="2573" ht="22" customHeight="1">
      <x:c r="A2573" s="2" t="str">
        <x:v>L002569</x:v>
      </x:c>
      <x:c r="B2573" s="2" t="str">
        <x:v>O01055</x:v>
      </x:c>
      <x:c r="C2573" s="7" t="n">
        <x:v>45752</x:v>
      </x:c>
      <x:c r="D2573" s="2" t="str">
        <x:v>Completed</x:v>
      </x:c>
      <x:c r="E2573" s="2" t="str">
        <x:v>West</x:v>
      </x:c>
      <x:c r="F2573" s="2" t="str">
        <x:v>Store</x:v>
      </x:c>
      <x:c r="G2573" s="2" t="str">
        <x:v>Furniture</x:v>
      </x:c>
      <x:c r="H2573" s="2" t="str">
        <x:v>Desk 020</x:v>
      </x:c>
      <x:c r="I2573" s="11" t="n">
        <x:v>1</x:v>
      </x:c>
      <x:c r="J2573" s="9" t="n">
        <x:v>189</x:v>
      </x:c>
      <x:c r="K2573" s="10" t="n">
        <x:v>0.05</x:v>
      </x:c>
      <x:c r="L2573" s="11" t="n">
        <x:v>0</x:v>
      </x:c>
      <x:c r="M2573" s="9" t="n">
        <x:f>IF(D2573="Completed",I2573*J2573,0)</x:f>
        <x:v>189</x:v>
      </x:c>
      <x:c r="N2573" s="9" t="n">
        <x:f>M2573*K2573</x:f>
        <x:v>9.450000000000001</x:v>
      </x:c>
      <x:c r="O2573" s="9" t="n">
        <x:f>M2573-N2573</x:f>
        <x:v>179.55</x:v>
      </x:c>
      <x:c r="P2573" s="9" t="n">
        <x:f>IF(D2573="Completed",L2573*J2573*(1-K2573),0)</x:f>
        <x:v>0</x:v>
      </x:c>
      <x:c r="Q2573" s="9" t="n">
        <x:f>O2573-P2573</x:f>
        <x:v>179.55</x:v>
      </x:c>
      <x:c r="R2573" s="11" t="n">
        <x:f>IF(D2573="Completed",I2573,0)</x:f>
        <x:v>1</x:v>
      </x:c>
      <x:c r="S2573" s="11" t="n">
        <x:f>IF(D2573="Completed",L2573,0)</x:f>
        <x:v>0</x:v>
      </x:c>
      <x:c r="T2573" s="8" t="n">
        <x:f>DATE(YEAR(C2573),MONTH(C2573),1)</x:f>
        <x:v>45748</x:v>
      </x:c>
    </x:row>
    <x:row r="2574" ht="22" customHeight="1">
      <x:c r="A2574" s="2" t="str">
        <x:v>L002570</x:v>
      </x:c>
      <x:c r="B2574" s="2" t="str">
        <x:v>O01055</x:v>
      </x:c>
      <x:c r="C2574" s="7" t="n">
        <x:v>45752</x:v>
      </x:c>
      <x:c r="D2574" s="2" t="str">
        <x:v>Completed</x:v>
      </x:c>
      <x:c r="E2574" s="2" t="str">
        <x:v>West</x:v>
      </x:c>
      <x:c r="F2574" s="2" t="str">
        <x:v>Store</x:v>
      </x:c>
      <x:c r="G2574" s="2" t="str">
        <x:v>Furniture</x:v>
      </x:c>
      <x:c r="H2574" s="2" t="str">
        <x:v>Desk 024</x:v>
      </x:c>
      <x:c r="I2574" s="11" t="n">
        <x:v>3</x:v>
      </x:c>
      <x:c r="J2574" s="9" t="n">
        <x:v>81</x:v>
      </x:c>
      <x:c r="K2574" s="10" t="n">
        <x:v>0.1</x:v>
      </x:c>
      <x:c r="L2574" s="11" t="n">
        <x:v>0</x:v>
      </x:c>
      <x:c r="M2574" s="9" t="n">
        <x:f>IF(D2574="Completed",I2574*J2574,0)</x:f>
        <x:v>243</x:v>
      </x:c>
      <x:c r="N2574" s="9" t="n">
        <x:f>M2574*K2574</x:f>
        <x:v>24.3</x:v>
      </x:c>
      <x:c r="O2574" s="9" t="n">
        <x:f>M2574-N2574</x:f>
        <x:v>218.7</x:v>
      </x:c>
      <x:c r="P2574" s="9" t="n">
        <x:f>IF(D2574="Completed",L2574*J2574*(1-K2574),0)</x:f>
        <x:v>0</x:v>
      </x:c>
      <x:c r="Q2574" s="9" t="n">
        <x:f>O2574-P2574</x:f>
        <x:v>218.7</x:v>
      </x:c>
      <x:c r="R2574" s="11" t="n">
        <x:f>IF(D2574="Completed",I2574,0)</x:f>
        <x:v>3</x:v>
      </x:c>
      <x:c r="S2574" s="11" t="n">
        <x:f>IF(D2574="Completed",L2574,0)</x:f>
        <x:v>0</x:v>
      </x:c>
      <x:c r="T2574" s="8" t="n">
        <x:f>DATE(YEAR(C2574),MONTH(C2574),1)</x:f>
        <x:v>45748</x:v>
      </x:c>
    </x:row>
    <x:row r="2575" ht="22" customHeight="1">
      <x:c r="A2575" s="2" t="str">
        <x:v>L002571</x:v>
      </x:c>
      <x:c r="B2575" s="2" t="str">
        <x:v>O01056</x:v>
      </x:c>
      <x:c r="C2575" s="7" t="n">
        <x:v>45739</x:v>
      </x:c>
      <x:c r="D2575" s="2" t="str">
        <x:v>Completed</x:v>
      </x:c>
      <x:c r="E2575" s="2" t="str">
        <x:v>North</x:v>
      </x:c>
      <x:c r="F2575" s="2" t="str">
        <x:v>Store</x:v>
      </x:c>
      <x:c r="G2575" s="2" t="str">
        <x:v>Furniture</x:v>
      </x:c>
      <x:c r="H2575" s="2" t="str">
        <x:v>Desk 012</x:v>
      </x:c>
      <x:c r="I2575" s="11" t="n">
        <x:v>4</x:v>
      </x:c>
      <x:c r="J2575" s="9" t="n">
        <x:v>134</x:v>
      </x:c>
      <x:c r="K2575" s="10" t="n">
        <x:v>0</x:v>
      </x:c>
      <x:c r="L2575" s="11" t="n">
        <x:v>0</x:v>
      </x:c>
      <x:c r="M2575" s="9" t="n">
        <x:f>IF(D2575="Completed",I2575*J2575,0)</x:f>
        <x:v>536</x:v>
      </x:c>
      <x:c r="N2575" s="9" t="n">
        <x:f>M2575*K2575</x:f>
        <x:v>0</x:v>
      </x:c>
      <x:c r="O2575" s="9" t="n">
        <x:f>M2575-N2575</x:f>
        <x:v>536</x:v>
      </x:c>
      <x:c r="P2575" s="9" t="n">
        <x:f>IF(D2575="Completed",L2575*J2575*(1-K2575),0)</x:f>
        <x:v>0</x:v>
      </x:c>
      <x:c r="Q2575" s="9" t="n">
        <x:f>O2575-P2575</x:f>
        <x:v>536</x:v>
      </x:c>
      <x:c r="R2575" s="11" t="n">
        <x:f>IF(D2575="Completed",I2575,0)</x:f>
        <x:v>4</x:v>
      </x:c>
      <x:c r="S2575" s="11" t="n">
        <x:f>IF(D2575="Completed",L2575,0)</x:f>
        <x:v>0</x:v>
      </x:c>
      <x:c r="T2575" s="8" t="n">
        <x:f>DATE(YEAR(C2575),MONTH(C2575),1)</x:f>
        <x:v>45717</x:v>
      </x:c>
    </x:row>
    <x:row r="2576" ht="22" customHeight="1">
      <x:c r="A2576" s="2" t="str">
        <x:v>L002572</x:v>
      </x:c>
      <x:c r="B2576" s="2" t="str">
        <x:v>O01056</x:v>
      </x:c>
      <x:c r="C2576" s="7" t="n">
        <x:v>45739</x:v>
      </x:c>
      <x:c r="D2576" s="2" t="str">
        <x:v>Completed</x:v>
      </x:c>
      <x:c r="E2576" s="2" t="str">
        <x:v>North</x:v>
      </x:c>
      <x:c r="F2576" s="2" t="str">
        <x:v>Store</x:v>
      </x:c>
      <x:c r="G2576" s="2" t="str">
        <x:v>Furniture</x:v>
      </x:c>
      <x:c r="H2576" s="2" t="str">
        <x:v>Desk 008</x:v>
      </x:c>
      <x:c r="I2576" s="11" t="n">
        <x:v>5</x:v>
      </x:c>
      <x:c r="J2576" s="9" t="n">
        <x:v>188</x:v>
      </x:c>
      <x:c r="K2576" s="10" t="n">
        <x:v>0</x:v>
      </x:c>
      <x:c r="L2576" s="11" t="n">
        <x:v>0</x:v>
      </x:c>
      <x:c r="M2576" s="9" t="n">
        <x:f>IF(D2576="Completed",I2576*J2576,0)</x:f>
        <x:v>940</x:v>
      </x:c>
      <x:c r="N2576" s="9" t="n">
        <x:f>M2576*K2576</x:f>
        <x:v>0</x:v>
      </x:c>
      <x:c r="O2576" s="9" t="n">
        <x:f>M2576-N2576</x:f>
        <x:v>940</x:v>
      </x:c>
      <x:c r="P2576" s="9" t="n">
        <x:f>IF(D2576="Completed",L2576*J2576*(1-K2576),0)</x:f>
        <x:v>0</x:v>
      </x:c>
      <x:c r="Q2576" s="9" t="n">
        <x:f>O2576-P2576</x:f>
        <x:v>940</x:v>
      </x:c>
      <x:c r="R2576" s="11" t="n">
        <x:f>IF(D2576="Completed",I2576,0)</x:f>
        <x:v>5</x:v>
      </x:c>
      <x:c r="S2576" s="11" t="n">
        <x:f>IF(D2576="Completed",L2576,0)</x:f>
        <x:v>0</x:v>
      </x:c>
      <x:c r="T2576" s="8" t="n">
        <x:f>DATE(YEAR(C2576),MONTH(C2576),1)</x:f>
        <x:v>45717</x:v>
      </x:c>
    </x:row>
    <x:row r="2577" ht="22" customHeight="1">
      <x:c r="A2577" s="2" t="str">
        <x:v>L002573</x:v>
      </x:c>
      <x:c r="B2577" s="2" t="str">
        <x:v>O01056</x:v>
      </x:c>
      <x:c r="C2577" s="7" t="n">
        <x:v>45739</x:v>
      </x:c>
      <x:c r="D2577" s="2" t="str">
        <x:v>Completed</x:v>
      </x:c>
      <x:c r="E2577" s="2" t="str">
        <x:v>North</x:v>
      </x:c>
      <x:c r="F2577" s="2" t="str">
        <x:v>Store</x:v>
      </x:c>
      <x:c r="G2577" s="2" t="str">
        <x:v>Furniture</x:v>
      </x:c>
      <x:c r="H2577" s="2" t="str">
        <x:v>Desk 012</x:v>
      </x:c>
      <x:c r="I2577" s="11" t="n">
        <x:v>1</x:v>
      </x:c>
      <x:c r="J2577" s="9" t="n">
        <x:v>134</x:v>
      </x:c>
      <x:c r="K2577" s="10" t="n">
        <x:v>0.05</x:v>
      </x:c>
      <x:c r="L2577" s="11" t="n">
        <x:v>0</x:v>
      </x:c>
      <x:c r="M2577" s="9" t="n">
        <x:f>IF(D2577="Completed",I2577*J2577,0)</x:f>
        <x:v>134</x:v>
      </x:c>
      <x:c r="N2577" s="9" t="n">
        <x:f>M2577*K2577</x:f>
        <x:v>6.7</x:v>
      </x:c>
      <x:c r="O2577" s="9" t="n">
        <x:f>M2577-N2577</x:f>
        <x:v>127.3</x:v>
      </x:c>
      <x:c r="P2577" s="9" t="n">
        <x:f>IF(D2577="Completed",L2577*J2577*(1-K2577),0)</x:f>
        <x:v>0</x:v>
      </x:c>
      <x:c r="Q2577" s="9" t="n">
        <x:f>O2577-P2577</x:f>
        <x:v>127.3</x:v>
      </x:c>
      <x:c r="R2577" s="11" t="n">
        <x:f>IF(D2577="Completed",I2577,0)</x:f>
        <x:v>1</x:v>
      </x:c>
      <x:c r="S2577" s="11" t="n">
        <x:f>IF(D2577="Completed",L2577,0)</x:f>
        <x:v>0</x:v>
      </x:c>
      <x:c r="T2577" s="8" t="n">
        <x:f>DATE(YEAR(C2577),MONTH(C2577),1)</x:f>
        <x:v>45717</x:v>
      </x:c>
    </x:row>
    <x:row r="2578" ht="22" customHeight="1">
      <x:c r="A2578" s="2" t="str">
        <x:v>L002574</x:v>
      </x:c>
      <x:c r="B2578" s="2" t="str">
        <x:v>O01056</x:v>
      </x:c>
      <x:c r="C2578" s="7" t="n">
        <x:v>45739</x:v>
      </x:c>
      <x:c r="D2578" s="2" t="str">
        <x:v>Completed</x:v>
      </x:c>
      <x:c r="E2578" s="2" t="str">
        <x:v>North</x:v>
      </x:c>
      <x:c r="F2578" s="2" t="str">
        <x:v>Store</x:v>
      </x:c>
      <x:c r="G2578" s="2" t="str">
        <x:v>Lighting</x:v>
      </x:c>
      <x:c r="H2578" s="2" t="str">
        <x:v>Lamp 001</x:v>
      </x:c>
      <x:c r="I2578" s="11" t="n">
        <x:v>3</x:v>
      </x:c>
      <x:c r="J2578" s="9" t="n">
        <x:v>122</x:v>
      </x:c>
      <x:c r="K2578" s="10" t="n">
        <x:v>0.1</x:v>
      </x:c>
      <x:c r="L2578" s="11" t="n">
        <x:v>2</x:v>
      </x:c>
      <x:c r="M2578" s="9" t="n">
        <x:f>IF(D2578="Completed",I2578*J2578,0)</x:f>
        <x:v>366</x:v>
      </x:c>
      <x:c r="N2578" s="9" t="n">
        <x:f>M2578*K2578</x:f>
        <x:v>36.6</x:v>
      </x:c>
      <x:c r="O2578" s="9" t="n">
        <x:f>M2578-N2578</x:f>
        <x:v>329.4</x:v>
      </x:c>
      <x:c r="P2578" s="9" t="n">
        <x:f>IF(D2578="Completed",L2578*J2578*(1-K2578),0)</x:f>
        <x:v>219.6</x:v>
      </x:c>
      <x:c r="Q2578" s="9" t="n">
        <x:f>O2578-P2578</x:f>
        <x:v>109.79999999999998</x:v>
      </x:c>
      <x:c r="R2578" s="11" t="n">
        <x:f>IF(D2578="Completed",I2578,0)</x:f>
        <x:v>3</x:v>
      </x:c>
      <x:c r="S2578" s="11" t="n">
        <x:f>IF(D2578="Completed",L2578,0)</x:f>
        <x:v>2</x:v>
      </x:c>
      <x:c r="T2578" s="8" t="n">
        <x:f>DATE(YEAR(C2578),MONTH(C2578),1)</x:f>
        <x:v>45717</x:v>
      </x:c>
    </x:row>
    <x:row r="2579" ht="22" customHeight="1">
      <x:c r="A2579" s="2" t="str">
        <x:v>L002575</x:v>
      </x:c>
      <x:c r="B2579" s="2" t="str">
        <x:v>O01057</x:v>
      </x:c>
      <x:c r="C2579" s="7" t="n">
        <x:v>45854</x:v>
      </x:c>
      <x:c r="D2579" s="2" t="str">
        <x:v>Completed</x:v>
      </x:c>
      <x:c r="E2579" s="2" t="str">
        <x:v>South</x:v>
      </x:c>
      <x:c r="F2579" s="2" t="str">
        <x:v>Online</x:v>
      </x:c>
      <x:c r="G2579" s="2" t="str">
        <x:v>Furniture</x:v>
      </x:c>
      <x:c r="H2579" s="2" t="str">
        <x:v>Desk 008</x:v>
      </x:c>
      <x:c r="I2579" s="11" t="n">
        <x:v>5</x:v>
      </x:c>
      <x:c r="J2579" s="9" t="n">
        <x:v>188</x:v>
      </x:c>
      <x:c r="K2579" s="10" t="n">
        <x:v>0</x:v>
      </x:c>
      <x:c r="L2579" s="11" t="n">
        <x:v>0</x:v>
      </x:c>
      <x:c r="M2579" s="9" t="n">
        <x:f>IF(D2579="Completed",I2579*J2579,0)</x:f>
        <x:v>940</x:v>
      </x:c>
      <x:c r="N2579" s="9" t="n">
        <x:f>M2579*K2579</x:f>
        <x:v>0</x:v>
      </x:c>
      <x:c r="O2579" s="9" t="n">
        <x:f>M2579-N2579</x:f>
        <x:v>940</x:v>
      </x:c>
      <x:c r="P2579" s="9" t="n">
        <x:f>IF(D2579="Completed",L2579*J2579*(1-K2579),0)</x:f>
        <x:v>0</x:v>
      </x:c>
      <x:c r="Q2579" s="9" t="n">
        <x:f>O2579-P2579</x:f>
        <x:v>940</x:v>
      </x:c>
      <x:c r="R2579" s="11" t="n">
        <x:f>IF(D2579="Completed",I2579,0)</x:f>
        <x:v>5</x:v>
      </x:c>
      <x:c r="S2579" s="11" t="n">
        <x:f>IF(D2579="Completed",L2579,0)</x:f>
        <x:v>0</x:v>
      </x:c>
      <x:c r="T2579" s="8" t="n">
        <x:f>DATE(YEAR(C2579),MONTH(C2579),1)</x:f>
        <x:v>45839</x:v>
      </x:c>
    </x:row>
    <x:row r="2580" ht="22" customHeight="1">
      <x:c r="A2580" s="2" t="str">
        <x:v>L002576</x:v>
      </x:c>
      <x:c r="B2580" s="2" t="str">
        <x:v>O01057</x:v>
      </x:c>
      <x:c r="C2580" s="7" t="n">
        <x:v>45854</x:v>
      </x:c>
      <x:c r="D2580" s="2" t="str">
        <x:v>Completed</x:v>
      </x:c>
      <x:c r="E2580" s="2" t="str">
        <x:v>South</x:v>
      </x:c>
      <x:c r="F2580" s="2" t="str">
        <x:v>Online</x:v>
      </x:c>
      <x:c r="G2580" s="2" t="str">
        <x:v>Furniture</x:v>
      </x:c>
      <x:c r="H2580" s="2" t="str">
        <x:v>Chair 018</x:v>
      </x:c>
      <x:c r="I2580" s="11" t="n">
        <x:v>1</x:v>
      </x:c>
      <x:c r="J2580" s="9" t="n">
        <x:v>269</x:v>
      </x:c>
      <x:c r="K2580" s="10" t="n">
        <x:v>0</x:v>
      </x:c>
      <x:c r="L2580" s="11" t="n">
        <x:v>0</x:v>
      </x:c>
      <x:c r="M2580" s="9" t="n">
        <x:f>IF(D2580="Completed",I2580*J2580,0)</x:f>
        <x:v>269</x:v>
      </x:c>
      <x:c r="N2580" s="9" t="n">
        <x:f>M2580*K2580</x:f>
        <x:v>0</x:v>
      </x:c>
      <x:c r="O2580" s="9" t="n">
        <x:f>M2580-N2580</x:f>
        <x:v>269</x:v>
      </x:c>
      <x:c r="P2580" s="9" t="n">
        <x:f>IF(D2580="Completed",L2580*J2580*(1-K2580),0)</x:f>
        <x:v>0</x:v>
      </x:c>
      <x:c r="Q2580" s="9" t="n">
        <x:f>O2580-P2580</x:f>
        <x:v>269</x:v>
      </x:c>
      <x:c r="R2580" s="11" t="n">
        <x:f>IF(D2580="Completed",I2580,0)</x:f>
        <x:v>1</x:v>
      </x:c>
      <x:c r="S2580" s="11" t="n">
        <x:f>IF(D2580="Completed",L2580,0)</x:f>
        <x:v>0</x:v>
      </x:c>
      <x:c r="T2580" s="8" t="n">
        <x:f>DATE(YEAR(C2580),MONTH(C2580),1)</x:f>
        <x:v>45839</x:v>
      </x:c>
    </x:row>
    <x:row r="2581" ht="22" customHeight="1">
      <x:c r="A2581" s="2" t="str">
        <x:v>L002577</x:v>
      </x:c>
      <x:c r="B2581" s="2" t="str">
        <x:v>O01058</x:v>
      </x:c>
      <x:c r="C2581" s="7" t="n">
        <x:v>45870</x:v>
      </x:c>
      <x:c r="D2581" s="2" t="str">
        <x:v>Completed</x:v>
      </x:c>
      <x:c r="E2581" s="2" t="str">
        <x:v>East</x:v>
      </x:c>
      <x:c r="F2581" s="2" t="str">
        <x:v>Online</x:v>
      </x:c>
      <x:c r="G2581" s="2" t="str">
        <x:v>Lighting</x:v>
      </x:c>
      <x:c r="H2581" s="2" t="str">
        <x:v>Lamp 013</x:v>
      </x:c>
      <x:c r="I2581" s="11" t="n">
        <x:v>3</x:v>
      </x:c>
      <x:c r="J2581" s="9" t="n">
        <x:v>271</x:v>
      </x:c>
      <x:c r="K2581" s="10" t="n">
        <x:v>0.1</x:v>
      </x:c>
      <x:c r="L2581" s="11" t="n">
        <x:v>0</x:v>
      </x:c>
      <x:c r="M2581" s="9" t="n">
        <x:f>IF(D2581="Completed",I2581*J2581,0)</x:f>
        <x:v>813</x:v>
      </x:c>
      <x:c r="N2581" s="9" t="n">
        <x:f>M2581*K2581</x:f>
        <x:v>81.30000000000001</x:v>
      </x:c>
      <x:c r="O2581" s="9" t="n">
        <x:f>M2581-N2581</x:f>
        <x:v>731.7</x:v>
      </x:c>
      <x:c r="P2581" s="9" t="n">
        <x:f>IF(D2581="Completed",L2581*J2581*(1-K2581),0)</x:f>
        <x:v>0</x:v>
      </x:c>
      <x:c r="Q2581" s="9" t="n">
        <x:f>O2581-P2581</x:f>
        <x:v>731.7</x:v>
      </x:c>
      <x:c r="R2581" s="11" t="n">
        <x:f>IF(D2581="Completed",I2581,0)</x:f>
        <x:v>3</x:v>
      </x:c>
      <x:c r="S2581" s="11" t="n">
        <x:f>IF(D2581="Completed",L2581,0)</x:f>
        <x:v>0</x:v>
      </x:c>
      <x:c r="T2581" s="8" t="n">
        <x:f>DATE(YEAR(C2581),MONTH(C2581),1)</x:f>
        <x:v>45870</x:v>
      </x:c>
    </x:row>
    <x:row r="2582" ht="22" customHeight="1">
      <x:c r="A2582" s="2" t="str">
        <x:v>L002578</x:v>
      </x:c>
      <x:c r="B2582" s="2" t="str">
        <x:v>O01058</x:v>
      </x:c>
      <x:c r="C2582" s="7" t="n">
        <x:v>45870</x:v>
      </x:c>
      <x:c r="D2582" s="2" t="str">
        <x:v>Completed</x:v>
      </x:c>
      <x:c r="E2582" s="2" t="str">
        <x:v>East</x:v>
      </x:c>
      <x:c r="F2582" s="2" t="str">
        <x:v>Online</x:v>
      </x:c>
      <x:c r="G2582" s="2" t="str">
        <x:v>Furniture</x:v>
      </x:c>
      <x:c r="H2582" s="2" t="str">
        <x:v>Chair 002</x:v>
      </x:c>
      <x:c r="I2582" s="11" t="n">
        <x:v>5</x:v>
      </x:c>
      <x:c r="J2582" s="9" t="n">
        <x:v>284</x:v>
      </x:c>
      <x:c r="K2582" s="10" t="n">
        <x:v>0</x:v>
      </x:c>
      <x:c r="L2582" s="11" t="n">
        <x:v>0</x:v>
      </x:c>
      <x:c r="M2582" s="9" t="n">
        <x:f>IF(D2582="Completed",I2582*J2582,0)</x:f>
        <x:v>1420</x:v>
      </x:c>
      <x:c r="N2582" s="9" t="n">
        <x:f>M2582*K2582</x:f>
        <x:v>0</x:v>
      </x:c>
      <x:c r="O2582" s="9" t="n">
        <x:f>M2582-N2582</x:f>
        <x:v>1420</x:v>
      </x:c>
      <x:c r="P2582" s="9" t="n">
        <x:f>IF(D2582="Completed",L2582*J2582*(1-K2582),0)</x:f>
        <x:v>0</x:v>
      </x:c>
      <x:c r="Q2582" s="9" t="n">
        <x:f>O2582-P2582</x:f>
        <x:v>1420</x:v>
      </x:c>
      <x:c r="R2582" s="11" t="n">
        <x:f>IF(D2582="Completed",I2582,0)</x:f>
        <x:v>5</x:v>
      </x:c>
      <x:c r="S2582" s="11" t="n">
        <x:f>IF(D2582="Completed",L2582,0)</x:f>
        <x:v>0</x:v>
      </x:c>
      <x:c r="T2582" s="8" t="n">
        <x:f>DATE(YEAR(C2582),MONTH(C2582),1)</x:f>
        <x:v>45870</x:v>
      </x:c>
    </x:row>
    <x:row r="2583" ht="22" customHeight="1">
      <x:c r="A2583" s="2" t="str">
        <x:v>L002579</x:v>
      </x:c>
      <x:c r="B2583" s="2" t="str">
        <x:v>O01058</x:v>
      </x:c>
      <x:c r="C2583" s="7" t="n">
        <x:v>45870</x:v>
      </x:c>
      <x:c r="D2583" s="2" t="str">
        <x:v>Completed</x:v>
      </x:c>
      <x:c r="E2583" s="2" t="str">
        <x:v>East</x:v>
      </x:c>
      <x:c r="F2583" s="2" t="str">
        <x:v>Online</x:v>
      </x:c>
      <x:c r="G2583" s="2" t="str">
        <x:v>Lighting</x:v>
      </x:c>
      <x:c r="H2583" s="2" t="str">
        <x:v>Lamp 005</x:v>
      </x:c>
      <x:c r="I2583" s="11" t="n">
        <x:v>3</x:v>
      </x:c>
      <x:c r="J2583" s="9" t="n">
        <x:v>65</x:v>
      </x:c>
      <x:c r="K2583" s="10" t="n">
        <x:v>0</x:v>
      </x:c>
      <x:c r="L2583" s="11" t="n">
        <x:v>0</x:v>
      </x:c>
      <x:c r="M2583" s="9" t="n">
        <x:f>IF(D2583="Completed",I2583*J2583,0)</x:f>
        <x:v>195</x:v>
      </x:c>
      <x:c r="N2583" s="9" t="n">
        <x:f>M2583*K2583</x:f>
        <x:v>0</x:v>
      </x:c>
      <x:c r="O2583" s="9" t="n">
        <x:f>M2583-N2583</x:f>
        <x:v>195</x:v>
      </x:c>
      <x:c r="P2583" s="9" t="n">
        <x:f>IF(D2583="Completed",L2583*J2583*(1-K2583),0)</x:f>
        <x:v>0</x:v>
      </x:c>
      <x:c r="Q2583" s="9" t="n">
        <x:f>O2583-P2583</x:f>
        <x:v>195</x:v>
      </x:c>
      <x:c r="R2583" s="11" t="n">
        <x:f>IF(D2583="Completed",I2583,0)</x:f>
        <x:v>3</x:v>
      </x:c>
      <x:c r="S2583" s="11" t="n">
        <x:f>IF(D2583="Completed",L2583,0)</x:f>
        <x:v>0</x:v>
      </x:c>
      <x:c r="T2583" s="8" t="n">
        <x:f>DATE(YEAR(C2583),MONTH(C2583),1)</x:f>
        <x:v>45870</x:v>
      </x:c>
    </x:row>
    <x:row r="2584" ht="22" customHeight="1">
      <x:c r="A2584" s="2" t="str">
        <x:v>L002580</x:v>
      </x:c>
      <x:c r="B2584" s="2" t="str">
        <x:v>O01059</x:v>
      </x:c>
      <x:c r="C2584" s="7" t="n">
        <x:v>45866</x:v>
      </x:c>
      <x:c r="D2584" s="2" t="str">
        <x:v>Completed</x:v>
      </x:c>
      <x:c r="E2584" s="2" t="str">
        <x:v>East</x:v>
      </x:c>
      <x:c r="F2584" s="2" t="str">
        <x:v>Online</x:v>
      </x:c>
      <x:c r="G2584" s="2" t="str">
        <x:v>Furniture</x:v>
      </x:c>
      <x:c r="H2584" s="2" t="str">
        <x:v>Chair 018</x:v>
      </x:c>
      <x:c r="I2584" s="11" t="n">
        <x:v>1</x:v>
      </x:c>
      <x:c r="J2584" s="9" t="n">
        <x:v>269</x:v>
      </x:c>
      <x:c r="K2584" s="10" t="n">
        <x:v>0.05</x:v>
      </x:c>
      <x:c r="L2584" s="11" t="n">
        <x:v>0</x:v>
      </x:c>
      <x:c r="M2584" s="9" t="n">
        <x:f>IF(D2584="Completed",I2584*J2584,0)</x:f>
        <x:v>269</x:v>
      </x:c>
      <x:c r="N2584" s="9" t="n">
        <x:f>M2584*K2584</x:f>
        <x:v>13.450000000000001</x:v>
      </x:c>
      <x:c r="O2584" s="9" t="n">
        <x:f>M2584-N2584</x:f>
        <x:v>255.55</x:v>
      </x:c>
      <x:c r="P2584" s="9" t="n">
        <x:f>IF(D2584="Completed",L2584*J2584*(1-K2584),0)</x:f>
        <x:v>0</x:v>
      </x:c>
      <x:c r="Q2584" s="9" t="n">
        <x:f>O2584-P2584</x:f>
        <x:v>255.55</x:v>
      </x:c>
      <x:c r="R2584" s="11" t="n">
        <x:f>IF(D2584="Completed",I2584,0)</x:f>
        <x:v>1</x:v>
      </x:c>
      <x:c r="S2584" s="11" t="n">
        <x:f>IF(D2584="Completed",L2584,0)</x:f>
        <x:v>0</x:v>
      </x:c>
      <x:c r="T2584" s="8" t="n">
        <x:f>DATE(YEAR(C2584),MONTH(C2584),1)</x:f>
        <x:v>45839</x:v>
      </x:c>
    </x:row>
    <x:row r="2585" ht="22" customHeight="1">
      <x:c r="A2585" s="2" t="str">
        <x:v>L002581</x:v>
      </x:c>
      <x:c r="B2585" s="2" t="str">
        <x:v>O01060</x:v>
      </x:c>
      <x:c r="C2585" s="7" t="n">
        <x:v>46010</x:v>
      </x:c>
      <x:c r="D2585" s="2" t="str">
        <x:v>Completed</x:v>
      </x:c>
      <x:c r="E2585" s="2" t="str">
        <x:v>South</x:v>
      </x:c>
      <x:c r="F2585" s="2" t="str">
        <x:v>Online</x:v>
      </x:c>
      <x:c r="G2585" s="2" t="str">
        <x:v>Lighting</x:v>
      </x:c>
      <x:c r="H2585" s="2" t="str">
        <x:v>Lamp 013</x:v>
      </x:c>
      <x:c r="I2585" s="11" t="n">
        <x:v>4</x:v>
      </x:c>
      <x:c r="J2585" s="9" t="n">
        <x:v>271</x:v>
      </x:c>
      <x:c r="K2585" s="10" t="n">
        <x:v>0.2</x:v>
      </x:c>
      <x:c r="L2585" s="11" t="n">
        <x:v>0</x:v>
      </x:c>
      <x:c r="M2585" s="9" t="n">
        <x:f>IF(D2585="Completed",I2585*J2585,0)</x:f>
        <x:v>1084</x:v>
      </x:c>
      <x:c r="N2585" s="9" t="n">
        <x:f>M2585*K2585</x:f>
        <x:v>216.8</x:v>
      </x:c>
      <x:c r="O2585" s="9" t="n">
        <x:f>M2585-N2585</x:f>
        <x:v>867.2</x:v>
      </x:c>
      <x:c r="P2585" s="9" t="n">
        <x:f>IF(D2585="Completed",L2585*J2585*(1-K2585),0)</x:f>
        <x:v>0</x:v>
      </x:c>
      <x:c r="Q2585" s="9" t="n">
        <x:f>O2585-P2585</x:f>
        <x:v>867.2</x:v>
      </x:c>
      <x:c r="R2585" s="11" t="n">
        <x:f>IF(D2585="Completed",I2585,0)</x:f>
        <x:v>4</x:v>
      </x:c>
      <x:c r="S2585" s="11" t="n">
        <x:f>IF(D2585="Completed",L2585,0)</x:f>
        <x:v>0</x:v>
      </x:c>
      <x:c r="T2585" s="8" t="n">
        <x:f>DATE(YEAR(C2585),MONTH(C2585),1)</x:f>
        <x:v>45992</x:v>
      </x:c>
    </x:row>
    <x:row r="2586" ht="22" customHeight="1">
      <x:c r="A2586" s="2" t="str">
        <x:v>L002582</x:v>
      </x:c>
      <x:c r="B2586" s="2" t="str">
        <x:v>O01061</x:v>
      </x:c>
      <x:c r="C2586" s="7" t="n">
        <x:v>45676</x:v>
      </x:c>
      <x:c r="D2586" s="2" t="str">
        <x:v>Completed</x:v>
      </x:c>
      <x:c r="E2586" s="2" t="str">
        <x:v>East</x:v>
      </x:c>
      <x:c r="F2586" s="2" t="str">
        <x:v>Store</x:v>
      </x:c>
      <x:c r="G2586" s="2" t="str">
        <x:v>Lighting</x:v>
      </x:c>
      <x:c r="H2586" s="2" t="str">
        <x:v>Lamp 013</x:v>
      </x:c>
      <x:c r="I2586" s="11" t="n">
        <x:v>5</x:v>
      </x:c>
      <x:c r="J2586" s="9" t="n">
        <x:v>271</x:v>
      </x:c>
      <x:c r="K2586" s="10" t="n">
        <x:v>0.1</x:v>
      </x:c>
      <x:c r="L2586" s="11" t="n">
        <x:v>5</x:v>
      </x:c>
      <x:c r="M2586" s="9" t="n">
        <x:f>IF(D2586="Completed",I2586*J2586,0)</x:f>
        <x:v>1355</x:v>
      </x:c>
      <x:c r="N2586" s="9" t="n">
        <x:f>M2586*K2586</x:f>
        <x:v>135.5</x:v>
      </x:c>
      <x:c r="O2586" s="9" t="n">
        <x:f>M2586-N2586</x:f>
        <x:v>1219.5</x:v>
      </x:c>
      <x:c r="P2586" s="9" t="n">
        <x:f>IF(D2586="Completed",L2586*J2586*(1-K2586),0)</x:f>
        <x:v>1219.5</x:v>
      </x:c>
      <x:c r="Q2586" s="9" t="n">
        <x:f>O2586-P2586</x:f>
        <x:v>0</x:v>
      </x:c>
      <x:c r="R2586" s="11" t="n">
        <x:f>IF(D2586="Completed",I2586,0)</x:f>
        <x:v>5</x:v>
      </x:c>
      <x:c r="S2586" s="11" t="n">
        <x:f>IF(D2586="Completed",L2586,0)</x:f>
        <x:v>5</x:v>
      </x:c>
      <x:c r="T2586" s="8" t="n">
        <x:f>DATE(YEAR(C2586),MONTH(C2586),1)</x:f>
        <x:v>45658</x:v>
      </x:c>
    </x:row>
    <x:row r="2587" ht="22" customHeight="1">
      <x:c r="A2587" s="2" t="str">
        <x:v>L002583</x:v>
      </x:c>
      <x:c r="B2587" s="2" t="str">
        <x:v>O01061</x:v>
      </x:c>
      <x:c r="C2587" s="7" t="n">
        <x:v>45676</x:v>
      </x:c>
      <x:c r="D2587" s="2" t="str">
        <x:v>Completed</x:v>
      </x:c>
      <x:c r="E2587" s="2" t="str">
        <x:v>East</x:v>
      </x:c>
      <x:c r="F2587" s="2" t="str">
        <x:v>Store</x:v>
      </x:c>
      <x:c r="G2587" s="2" t="str">
        <x:v>Furniture</x:v>
      </x:c>
      <x:c r="H2587" s="2" t="str">
        <x:v>Desk 004</x:v>
      </x:c>
      <x:c r="I2587" s="11" t="n">
        <x:v>5</x:v>
      </x:c>
      <x:c r="J2587" s="9" t="n">
        <x:v>123</x:v>
      </x:c>
      <x:c r="K2587" s="10" t="n">
        <x:v>0.2</x:v>
      </x:c>
      <x:c r="L2587" s="11" t="n">
        <x:v>5</x:v>
      </x:c>
      <x:c r="M2587" s="9" t="n">
        <x:f>IF(D2587="Completed",I2587*J2587,0)</x:f>
        <x:v>615</x:v>
      </x:c>
      <x:c r="N2587" s="9" t="n">
        <x:f>M2587*K2587</x:f>
        <x:v>123</x:v>
      </x:c>
      <x:c r="O2587" s="9" t="n">
        <x:f>M2587-N2587</x:f>
        <x:v>492</x:v>
      </x:c>
      <x:c r="P2587" s="9" t="n">
        <x:f>IF(D2587="Completed",L2587*J2587*(1-K2587),0)</x:f>
        <x:v>492</x:v>
      </x:c>
      <x:c r="Q2587" s="9" t="n">
        <x:f>O2587-P2587</x:f>
        <x:v>0</x:v>
      </x:c>
      <x:c r="R2587" s="11" t="n">
        <x:f>IF(D2587="Completed",I2587,0)</x:f>
        <x:v>5</x:v>
      </x:c>
      <x:c r="S2587" s="11" t="n">
        <x:f>IF(D2587="Completed",L2587,0)</x:f>
        <x:v>5</x:v>
      </x:c>
      <x:c r="T2587" s="8" t="n">
        <x:f>DATE(YEAR(C2587),MONTH(C2587),1)</x:f>
        <x:v>45658</x:v>
      </x:c>
    </x:row>
    <x:row r="2588" ht="22" customHeight="1">
      <x:c r="A2588" s="2" t="str">
        <x:v>L002584</x:v>
      </x:c>
      <x:c r="B2588" s="2" t="str">
        <x:v>O01061</x:v>
      </x:c>
      <x:c r="C2588" s="7" t="n">
        <x:v>45676</x:v>
      </x:c>
      <x:c r="D2588" s="2" t="str">
        <x:v>Completed</x:v>
      </x:c>
      <x:c r="E2588" s="2" t="str">
        <x:v>East</x:v>
      </x:c>
      <x:c r="F2588" s="2" t="str">
        <x:v>Store</x:v>
      </x:c>
      <x:c r="G2588" s="2" t="str">
        <x:v>Furniture</x:v>
      </x:c>
      <x:c r="H2588" s="2" t="str">
        <x:v>Chair 014</x:v>
      </x:c>
      <x:c r="I2588" s="11" t="n">
        <x:v>3</x:v>
      </x:c>
      <x:c r="J2588" s="9" t="n">
        <x:v>294</x:v>
      </x:c>
      <x:c r="K2588" s="10" t="n">
        <x:v>0.2</x:v>
      </x:c>
      <x:c r="L2588" s="11" t="n">
        <x:v>0</x:v>
      </x:c>
      <x:c r="M2588" s="9" t="n">
        <x:f>IF(D2588="Completed",I2588*J2588,0)</x:f>
        <x:v>882</x:v>
      </x:c>
      <x:c r="N2588" s="9" t="n">
        <x:f>M2588*K2588</x:f>
        <x:v>176.4</x:v>
      </x:c>
      <x:c r="O2588" s="9" t="n">
        <x:f>M2588-N2588</x:f>
        <x:v>705.6</x:v>
      </x:c>
      <x:c r="P2588" s="9" t="n">
        <x:f>IF(D2588="Completed",L2588*J2588*(1-K2588),0)</x:f>
        <x:v>0</x:v>
      </x:c>
      <x:c r="Q2588" s="9" t="n">
        <x:f>O2588-P2588</x:f>
        <x:v>705.6</x:v>
      </x:c>
      <x:c r="R2588" s="11" t="n">
        <x:f>IF(D2588="Completed",I2588,0)</x:f>
        <x:v>3</x:v>
      </x:c>
      <x:c r="S2588" s="11" t="n">
        <x:f>IF(D2588="Completed",L2588,0)</x:f>
        <x:v>0</x:v>
      </x:c>
      <x:c r="T2588" s="8" t="n">
        <x:f>DATE(YEAR(C2588),MONTH(C2588),1)</x:f>
        <x:v>45658</x:v>
      </x:c>
    </x:row>
    <x:row r="2589" ht="22" customHeight="1">
      <x:c r="A2589" s="2" t="str">
        <x:v>L002585</x:v>
      </x:c>
      <x:c r="B2589" s="2" t="str">
        <x:v>O01062</x:v>
      </x:c>
      <x:c r="C2589" s="7" t="n">
        <x:v>45840</x:v>
      </x:c>
      <x:c r="D2589" s="2" t="str">
        <x:v>Completed</x:v>
      </x:c>
      <x:c r="E2589" s="2" t="str">
        <x:v>East</x:v>
      </x:c>
      <x:c r="F2589" s="2" t="str">
        <x:v>Online</x:v>
      </x:c>
      <x:c r="G2589" s="2" t="str">
        <x:v>Lighting</x:v>
      </x:c>
      <x:c r="H2589" s="2" t="str">
        <x:v>Lamp 013</x:v>
      </x:c>
      <x:c r="I2589" s="11" t="n">
        <x:v>4</x:v>
      </x:c>
      <x:c r="J2589" s="9" t="n">
        <x:v>271</x:v>
      </x:c>
      <x:c r="K2589" s="10" t="n">
        <x:v>0.05</x:v>
      </x:c>
      <x:c r="L2589" s="11" t="n">
        <x:v>0</x:v>
      </x:c>
      <x:c r="M2589" s="9" t="n">
        <x:f>IF(D2589="Completed",I2589*J2589,0)</x:f>
        <x:v>1084</x:v>
      </x:c>
      <x:c r="N2589" s="9" t="n">
        <x:f>M2589*K2589</x:f>
        <x:v>54.2</x:v>
      </x:c>
      <x:c r="O2589" s="9" t="n">
        <x:f>M2589-N2589</x:f>
        <x:v>1029.8</x:v>
      </x:c>
      <x:c r="P2589" s="9" t="n">
        <x:f>IF(D2589="Completed",L2589*J2589*(1-K2589),0)</x:f>
        <x:v>0</x:v>
      </x:c>
      <x:c r="Q2589" s="9" t="n">
        <x:f>O2589-P2589</x:f>
        <x:v>1029.8</x:v>
      </x:c>
      <x:c r="R2589" s="11" t="n">
        <x:f>IF(D2589="Completed",I2589,0)</x:f>
        <x:v>4</x:v>
      </x:c>
      <x:c r="S2589" s="11" t="n">
        <x:f>IF(D2589="Completed",L2589,0)</x:f>
        <x:v>0</x:v>
      </x:c>
      <x:c r="T2589" s="8" t="n">
        <x:f>DATE(YEAR(C2589),MONTH(C2589),1)</x:f>
        <x:v>45839</x:v>
      </x:c>
    </x:row>
    <x:row r="2590" ht="22" customHeight="1">
      <x:c r="A2590" s="2" t="str">
        <x:v>L002586</x:v>
      </x:c>
      <x:c r="B2590" s="2" t="str">
        <x:v>O01062</x:v>
      </x:c>
      <x:c r="C2590" s="7" t="n">
        <x:v>45840</x:v>
      </x:c>
      <x:c r="D2590" s="2" t="str">
        <x:v>Completed</x:v>
      </x:c>
      <x:c r="E2590" s="2" t="str">
        <x:v>East</x:v>
      </x:c>
      <x:c r="F2590" s="2" t="str">
        <x:v>Online</x:v>
      </x:c>
      <x:c r="G2590" s="2" t="str">
        <x:v>Furniture</x:v>
      </x:c>
      <x:c r="H2590" s="2" t="str">
        <x:v>Desk 024</x:v>
      </x:c>
      <x:c r="I2590" s="11" t="n">
        <x:v>1</x:v>
      </x:c>
      <x:c r="J2590" s="9" t="n">
        <x:v>81</x:v>
      </x:c>
      <x:c r="K2590" s="10" t="n">
        <x:v>0.2</x:v>
      </x:c>
      <x:c r="L2590" s="11" t="n">
        <x:v>0</x:v>
      </x:c>
      <x:c r="M2590" s="9" t="n">
        <x:f>IF(D2590="Completed",I2590*J2590,0)</x:f>
        <x:v>81</x:v>
      </x:c>
      <x:c r="N2590" s="9" t="n">
        <x:f>M2590*K2590</x:f>
        <x:v>16.2</x:v>
      </x:c>
      <x:c r="O2590" s="9" t="n">
        <x:f>M2590-N2590</x:f>
        <x:v>64.8</x:v>
      </x:c>
      <x:c r="P2590" s="9" t="n">
        <x:f>IF(D2590="Completed",L2590*J2590*(1-K2590),0)</x:f>
        <x:v>0</x:v>
      </x:c>
      <x:c r="Q2590" s="9" t="n">
        <x:f>O2590-P2590</x:f>
        <x:v>64.8</x:v>
      </x:c>
      <x:c r="R2590" s="11" t="n">
        <x:f>IF(D2590="Completed",I2590,0)</x:f>
        <x:v>1</x:v>
      </x:c>
      <x:c r="S2590" s="11" t="n">
        <x:f>IF(D2590="Completed",L2590,0)</x:f>
        <x:v>0</x:v>
      </x:c>
      <x:c r="T2590" s="8" t="n">
        <x:f>DATE(YEAR(C2590),MONTH(C2590),1)</x:f>
        <x:v>45839</x:v>
      </x:c>
    </x:row>
    <x:row r="2591" ht="22" customHeight="1">
      <x:c r="A2591" s="2" t="str">
        <x:v>L002587</x:v>
      </x:c>
      <x:c r="B2591" s="2" t="str">
        <x:v>O01062</x:v>
      </x:c>
      <x:c r="C2591" s="7" t="n">
        <x:v>45840</x:v>
      </x:c>
      <x:c r="D2591" s="2" t="str">
        <x:v>Completed</x:v>
      </x:c>
      <x:c r="E2591" s="2" t="str">
        <x:v>East</x:v>
      </x:c>
      <x:c r="F2591" s="2" t="str">
        <x:v>Online</x:v>
      </x:c>
      <x:c r="G2591" s="2" t="str">
        <x:v>Lighting</x:v>
      </x:c>
      <x:c r="H2591" s="2" t="str">
        <x:v>Lamp 005</x:v>
      </x:c>
      <x:c r="I2591" s="11" t="n">
        <x:v>5</x:v>
      </x:c>
      <x:c r="J2591" s="9" t="n">
        <x:v>65</x:v>
      </x:c>
      <x:c r="K2591" s="10" t="n">
        <x:v>0.05</x:v>
      </x:c>
      <x:c r="L2591" s="11" t="n">
        <x:v>0</x:v>
      </x:c>
      <x:c r="M2591" s="9" t="n">
        <x:f>IF(D2591="Completed",I2591*J2591,0)</x:f>
        <x:v>325</x:v>
      </x:c>
      <x:c r="N2591" s="9" t="n">
        <x:f>M2591*K2591</x:f>
        <x:v>16.25</x:v>
      </x:c>
      <x:c r="O2591" s="9" t="n">
        <x:f>M2591-N2591</x:f>
        <x:v>308.75</x:v>
      </x:c>
      <x:c r="P2591" s="9" t="n">
        <x:f>IF(D2591="Completed",L2591*J2591*(1-K2591),0)</x:f>
        <x:v>0</x:v>
      </x:c>
      <x:c r="Q2591" s="9" t="n">
        <x:f>O2591-P2591</x:f>
        <x:v>308.75</x:v>
      </x:c>
      <x:c r="R2591" s="11" t="n">
        <x:f>IF(D2591="Completed",I2591,0)</x:f>
        <x:v>5</x:v>
      </x:c>
      <x:c r="S2591" s="11" t="n">
        <x:f>IF(D2591="Completed",L2591,0)</x:f>
        <x:v>0</x:v>
      </x:c>
      <x:c r="T2591" s="8" t="n">
        <x:f>DATE(YEAR(C2591),MONTH(C2591),1)</x:f>
        <x:v>45839</x:v>
      </x:c>
    </x:row>
    <x:row r="2592" ht="22" customHeight="1">
      <x:c r="A2592" s="2" t="str">
        <x:v>L002588</x:v>
      </x:c>
      <x:c r="B2592" s="2" t="str">
        <x:v>O01063</x:v>
      </x:c>
      <x:c r="C2592" s="7" t="n">
        <x:v>45674</x:v>
      </x:c>
      <x:c r="D2592" s="2" t="str">
        <x:v>Completed</x:v>
      </x:c>
      <x:c r="E2592" s="2" t="str">
        <x:v>North</x:v>
      </x:c>
      <x:c r="F2592" s="2" t="str">
        <x:v>Store</x:v>
      </x:c>
      <x:c r="G2592" s="2" t="str">
        <x:v>Lighting</x:v>
      </x:c>
      <x:c r="H2592" s="2" t="str">
        <x:v>Lamp 013</x:v>
      </x:c>
      <x:c r="I2592" s="11" t="n">
        <x:v>1</x:v>
      </x:c>
      <x:c r="J2592" s="9" t="n">
        <x:v>271</x:v>
      </x:c>
      <x:c r="K2592" s="10" t="n">
        <x:v>0.1</x:v>
      </x:c>
      <x:c r="L2592" s="11" t="n">
        <x:v>0</x:v>
      </x:c>
      <x:c r="M2592" s="9" t="n">
        <x:f>IF(D2592="Completed",I2592*J2592,0)</x:f>
        <x:v>271</x:v>
      </x:c>
      <x:c r="N2592" s="9" t="n">
        <x:f>M2592*K2592</x:f>
        <x:v>27.1</x:v>
      </x:c>
      <x:c r="O2592" s="9" t="n">
        <x:f>M2592-N2592</x:f>
        <x:v>243.9</x:v>
      </x:c>
      <x:c r="P2592" s="9" t="n">
        <x:f>IF(D2592="Completed",L2592*J2592*(1-K2592),0)</x:f>
        <x:v>0</x:v>
      </x:c>
      <x:c r="Q2592" s="9" t="n">
        <x:f>O2592-P2592</x:f>
        <x:v>243.9</x:v>
      </x:c>
      <x:c r="R2592" s="11" t="n">
        <x:f>IF(D2592="Completed",I2592,0)</x:f>
        <x:v>1</x:v>
      </x:c>
      <x:c r="S2592" s="11" t="n">
        <x:f>IF(D2592="Completed",L2592,0)</x:f>
        <x:v>0</x:v>
      </x:c>
      <x:c r="T2592" s="8" t="n">
        <x:f>DATE(YEAR(C2592),MONTH(C2592),1)</x:f>
        <x:v>45658</x:v>
      </x:c>
    </x:row>
    <x:row r="2593" ht="22" customHeight="1">
      <x:c r="A2593" s="2" t="str">
        <x:v>L002589</x:v>
      </x:c>
      <x:c r="B2593" s="2" t="str">
        <x:v>O01063</x:v>
      </x:c>
      <x:c r="C2593" s="7" t="n">
        <x:v>45674</x:v>
      </x:c>
      <x:c r="D2593" s="2" t="str">
        <x:v>Completed</x:v>
      </x:c>
      <x:c r="E2593" s="2" t="str">
        <x:v>North</x:v>
      </x:c>
      <x:c r="F2593" s="2" t="str">
        <x:v>Store</x:v>
      </x:c>
      <x:c r="G2593" s="2" t="str">
        <x:v>Storage</x:v>
      </x:c>
      <x:c r="H2593" s="2" t="str">
        <x:v>Shelf 007</x:v>
      </x:c>
      <x:c r="I2593" s="11" t="n">
        <x:v>1</x:v>
      </x:c>
      <x:c r="J2593" s="9" t="n">
        <x:v>35</x:v>
      </x:c>
      <x:c r="K2593" s="10" t="n">
        <x:v>0.2</x:v>
      </x:c>
      <x:c r="L2593" s="11" t="n">
        <x:v>0</x:v>
      </x:c>
      <x:c r="M2593" s="9" t="n">
        <x:f>IF(D2593="Completed",I2593*J2593,0)</x:f>
        <x:v>35</x:v>
      </x:c>
      <x:c r="N2593" s="9" t="n">
        <x:f>M2593*K2593</x:f>
        <x:v>7</x:v>
      </x:c>
      <x:c r="O2593" s="9" t="n">
        <x:f>M2593-N2593</x:f>
        <x:v>28</x:v>
      </x:c>
      <x:c r="P2593" s="9" t="n">
        <x:f>IF(D2593="Completed",L2593*J2593*(1-K2593),0)</x:f>
        <x:v>0</x:v>
      </x:c>
      <x:c r="Q2593" s="9" t="n">
        <x:f>O2593-P2593</x:f>
        <x:v>28</x:v>
      </x:c>
      <x:c r="R2593" s="11" t="n">
        <x:f>IF(D2593="Completed",I2593,0)</x:f>
        <x:v>1</x:v>
      </x:c>
      <x:c r="S2593" s="11" t="n">
        <x:f>IF(D2593="Completed",L2593,0)</x:f>
        <x:v>0</x:v>
      </x:c>
      <x:c r="T2593" s="8" t="n">
        <x:f>DATE(YEAR(C2593),MONTH(C2593),1)</x:f>
        <x:v>45658</x:v>
      </x:c>
    </x:row>
    <x:row r="2594" ht="22" customHeight="1">
      <x:c r="A2594" s="2" t="str">
        <x:v>L002590</x:v>
      </x:c>
      <x:c r="B2594" s="2" t="str">
        <x:v>O01063</x:v>
      </x:c>
      <x:c r="C2594" s="7" t="n">
        <x:v>45674</x:v>
      </x:c>
      <x:c r="D2594" s="2" t="str">
        <x:v>Completed</x:v>
      </x:c>
      <x:c r="E2594" s="2" t="str">
        <x:v>North</x:v>
      </x:c>
      <x:c r="F2594" s="2" t="str">
        <x:v>Store</x:v>
      </x:c>
      <x:c r="G2594" s="2" t="str">
        <x:v>Furniture</x:v>
      </x:c>
      <x:c r="H2594" s="2" t="str">
        <x:v>Desk 012</x:v>
      </x:c>
      <x:c r="I2594" s="11" t="n">
        <x:v>1</x:v>
      </x:c>
      <x:c r="J2594" s="9" t="n">
        <x:v>134</x:v>
      </x:c>
      <x:c r="K2594" s="10" t="n">
        <x:v>0</x:v>
      </x:c>
      <x:c r="L2594" s="11" t="n">
        <x:v>0</x:v>
      </x:c>
      <x:c r="M2594" s="9" t="n">
        <x:f>IF(D2594="Completed",I2594*J2594,0)</x:f>
        <x:v>134</x:v>
      </x:c>
      <x:c r="N2594" s="9" t="n">
        <x:f>M2594*K2594</x:f>
        <x:v>0</x:v>
      </x:c>
      <x:c r="O2594" s="9" t="n">
        <x:f>M2594-N2594</x:f>
        <x:v>134</x:v>
      </x:c>
      <x:c r="P2594" s="9" t="n">
        <x:f>IF(D2594="Completed",L2594*J2594*(1-K2594),0)</x:f>
        <x:v>0</x:v>
      </x:c>
      <x:c r="Q2594" s="9" t="n">
        <x:f>O2594-P2594</x:f>
        <x:v>134</x:v>
      </x:c>
      <x:c r="R2594" s="11" t="n">
        <x:f>IF(D2594="Completed",I2594,0)</x:f>
        <x:v>1</x:v>
      </x:c>
      <x:c r="S2594" s="11" t="n">
        <x:f>IF(D2594="Completed",L2594,0)</x:f>
        <x:v>0</x:v>
      </x:c>
      <x:c r="T2594" s="8" t="n">
        <x:f>DATE(YEAR(C2594),MONTH(C2594),1)</x:f>
        <x:v>45658</x:v>
      </x:c>
    </x:row>
    <x:row r="2595" ht="22" customHeight="1">
      <x:c r="A2595" s="2" t="str">
        <x:v>L002591</x:v>
      </x:c>
      <x:c r="B2595" s="2" t="str">
        <x:v>O01063</x:v>
      </x:c>
      <x:c r="C2595" s="7" t="n">
        <x:v>45674</x:v>
      </x:c>
      <x:c r="D2595" s="2" t="str">
        <x:v>Completed</x:v>
      </x:c>
      <x:c r="E2595" s="2" t="str">
        <x:v>North</x:v>
      </x:c>
      <x:c r="F2595" s="2" t="str">
        <x:v>Store</x:v>
      </x:c>
      <x:c r="G2595" s="2" t="str">
        <x:v>Furniture</x:v>
      </x:c>
      <x:c r="H2595" s="2" t="str">
        <x:v>Chair 010</x:v>
      </x:c>
      <x:c r="I2595" s="11" t="n">
        <x:v>4</x:v>
      </x:c>
      <x:c r="J2595" s="9" t="n">
        <x:v>211</x:v>
      </x:c>
      <x:c r="K2595" s="10" t="n">
        <x:v>0.1</x:v>
      </x:c>
      <x:c r="L2595" s="11" t="n">
        <x:v>0</x:v>
      </x:c>
      <x:c r="M2595" s="9" t="n">
        <x:f>IF(D2595="Completed",I2595*J2595,0)</x:f>
        <x:v>844</x:v>
      </x:c>
      <x:c r="N2595" s="9" t="n">
        <x:f>M2595*K2595</x:f>
        <x:v>84.4</x:v>
      </x:c>
      <x:c r="O2595" s="9" t="n">
        <x:f>M2595-N2595</x:f>
        <x:v>759.6</x:v>
      </x:c>
      <x:c r="P2595" s="9" t="n">
        <x:f>IF(D2595="Completed",L2595*J2595*(1-K2595),0)</x:f>
        <x:v>0</x:v>
      </x:c>
      <x:c r="Q2595" s="9" t="n">
        <x:f>O2595-P2595</x:f>
        <x:v>759.6</x:v>
      </x:c>
      <x:c r="R2595" s="11" t="n">
        <x:f>IF(D2595="Completed",I2595,0)</x:f>
        <x:v>4</x:v>
      </x:c>
      <x:c r="S2595" s="11" t="n">
        <x:f>IF(D2595="Completed",L2595,0)</x:f>
        <x:v>0</x:v>
      </x:c>
      <x:c r="T2595" s="8" t="n">
        <x:f>DATE(YEAR(C2595),MONTH(C2595),1)</x:f>
        <x:v>45658</x:v>
      </x:c>
    </x:row>
    <x:row r="2596" ht="22" customHeight="1">
      <x:c r="A2596" s="2" t="str">
        <x:v>L002592</x:v>
      </x:c>
      <x:c r="B2596" s="2" t="str">
        <x:v>O01064</x:v>
      </x:c>
      <x:c r="C2596" s="7" t="n">
        <x:v>45853</x:v>
      </x:c>
      <x:c r="D2596" s="2" t="str">
        <x:v>Completed</x:v>
      </x:c>
      <x:c r="E2596" s="2" t="str">
        <x:v>North</x:v>
      </x:c>
      <x:c r="F2596" s="2" t="str">
        <x:v>Online</x:v>
      </x:c>
      <x:c r="G2596" s="2" t="str">
        <x:v>Furniture</x:v>
      </x:c>
      <x:c r="H2596" s="2" t="str">
        <x:v>Chair 010</x:v>
      </x:c>
      <x:c r="I2596" s="11" t="n">
        <x:v>1</x:v>
      </x:c>
      <x:c r="J2596" s="9" t="n">
        <x:v>211</x:v>
      </x:c>
      <x:c r="K2596" s="10" t="n">
        <x:v>0</x:v>
      </x:c>
      <x:c r="L2596" s="11" t="n">
        <x:v>0</x:v>
      </x:c>
      <x:c r="M2596" s="9" t="n">
        <x:f>IF(D2596="Completed",I2596*J2596,0)</x:f>
        <x:v>211</x:v>
      </x:c>
      <x:c r="N2596" s="9" t="n">
        <x:f>M2596*K2596</x:f>
        <x:v>0</x:v>
      </x:c>
      <x:c r="O2596" s="9" t="n">
        <x:f>M2596-N2596</x:f>
        <x:v>211</x:v>
      </x:c>
      <x:c r="P2596" s="9" t="n">
        <x:f>IF(D2596="Completed",L2596*J2596*(1-K2596),0)</x:f>
        <x:v>0</x:v>
      </x:c>
      <x:c r="Q2596" s="9" t="n">
        <x:f>O2596-P2596</x:f>
        <x:v>211</x:v>
      </x:c>
      <x:c r="R2596" s="11" t="n">
        <x:f>IF(D2596="Completed",I2596,0)</x:f>
        <x:v>1</x:v>
      </x:c>
      <x:c r="S2596" s="11" t="n">
        <x:f>IF(D2596="Completed",L2596,0)</x:f>
        <x:v>0</x:v>
      </x:c>
      <x:c r="T2596" s="8" t="n">
        <x:f>DATE(YEAR(C2596),MONTH(C2596),1)</x:f>
        <x:v>45839</x:v>
      </x:c>
    </x:row>
    <x:row r="2597" ht="22" customHeight="1">
      <x:c r="A2597" s="2" t="str">
        <x:v>L002593</x:v>
      </x:c>
      <x:c r="B2597" s="2" t="str">
        <x:v>O01064</x:v>
      </x:c>
      <x:c r="C2597" s="7" t="n">
        <x:v>45853</x:v>
      </x:c>
      <x:c r="D2597" s="2" t="str">
        <x:v>Completed</x:v>
      </x:c>
      <x:c r="E2597" s="2" t="str">
        <x:v>North</x:v>
      </x:c>
      <x:c r="F2597" s="2" t="str">
        <x:v>Online</x:v>
      </x:c>
      <x:c r="G2597" s="2" t="str">
        <x:v>Furniture</x:v>
      </x:c>
      <x:c r="H2597" s="2" t="str">
        <x:v>Chair 022</x:v>
      </x:c>
      <x:c r="I2597" s="11" t="n">
        <x:v>1</x:v>
      </x:c>
      <x:c r="J2597" s="9" t="n">
        <x:v>134</x:v>
      </x:c>
      <x:c r="K2597" s="10" t="n">
        <x:v>0</x:v>
      </x:c>
      <x:c r="L2597" s="11" t="n">
        <x:v>0</x:v>
      </x:c>
      <x:c r="M2597" s="9" t="n">
        <x:f>IF(D2597="Completed",I2597*J2597,0)</x:f>
        <x:v>134</x:v>
      </x:c>
      <x:c r="N2597" s="9" t="n">
        <x:f>M2597*K2597</x:f>
        <x:v>0</x:v>
      </x:c>
      <x:c r="O2597" s="9" t="n">
        <x:f>M2597-N2597</x:f>
        <x:v>134</x:v>
      </x:c>
      <x:c r="P2597" s="9" t="n">
        <x:f>IF(D2597="Completed",L2597*J2597*(1-K2597),0)</x:f>
        <x:v>0</x:v>
      </x:c>
      <x:c r="Q2597" s="9" t="n">
        <x:f>O2597-P2597</x:f>
        <x:v>134</x:v>
      </x:c>
      <x:c r="R2597" s="11" t="n">
        <x:f>IF(D2597="Completed",I2597,0)</x:f>
        <x:v>1</x:v>
      </x:c>
      <x:c r="S2597" s="11" t="n">
        <x:f>IF(D2597="Completed",L2597,0)</x:f>
        <x:v>0</x:v>
      </x:c>
      <x:c r="T2597" s="8" t="n">
        <x:f>DATE(YEAR(C2597),MONTH(C2597),1)</x:f>
        <x:v>45839</x:v>
      </x:c>
    </x:row>
    <x:row r="2598" ht="22" customHeight="1">
      <x:c r="A2598" s="2" t="str">
        <x:v>L002594</x:v>
      </x:c>
      <x:c r="B2598" s="2" t="str">
        <x:v>O01064</x:v>
      </x:c>
      <x:c r="C2598" s="7" t="n">
        <x:v>45853</x:v>
      </x:c>
      <x:c r="D2598" s="2" t="str">
        <x:v>Completed</x:v>
      </x:c>
      <x:c r="E2598" s="2" t="str">
        <x:v>North</x:v>
      </x:c>
      <x:c r="F2598" s="2" t="str">
        <x:v>Online</x:v>
      </x:c>
      <x:c r="G2598" s="2" t="str">
        <x:v>Furniture</x:v>
      </x:c>
      <x:c r="H2598" s="2" t="str">
        <x:v>Chair 002</x:v>
      </x:c>
      <x:c r="I2598" s="11" t="n">
        <x:v>2</x:v>
      </x:c>
      <x:c r="J2598" s="9" t="n">
        <x:v>284</x:v>
      </x:c>
      <x:c r="K2598" s="10" t="n">
        <x:v>0</x:v>
      </x:c>
      <x:c r="L2598" s="11" t="n">
        <x:v>0</x:v>
      </x:c>
      <x:c r="M2598" s="9" t="n">
        <x:f>IF(D2598="Completed",I2598*J2598,0)</x:f>
        <x:v>568</x:v>
      </x:c>
      <x:c r="N2598" s="9" t="n">
        <x:f>M2598*K2598</x:f>
        <x:v>0</x:v>
      </x:c>
      <x:c r="O2598" s="9" t="n">
        <x:f>M2598-N2598</x:f>
        <x:v>568</x:v>
      </x:c>
      <x:c r="P2598" s="9" t="n">
        <x:f>IF(D2598="Completed",L2598*J2598*(1-K2598),0)</x:f>
        <x:v>0</x:v>
      </x:c>
      <x:c r="Q2598" s="9" t="n">
        <x:f>O2598-P2598</x:f>
        <x:v>568</x:v>
      </x:c>
      <x:c r="R2598" s="11" t="n">
        <x:f>IF(D2598="Completed",I2598,0)</x:f>
        <x:v>2</x:v>
      </x:c>
      <x:c r="S2598" s="11" t="n">
        <x:f>IF(D2598="Completed",L2598,0)</x:f>
        <x:v>0</x:v>
      </x:c>
      <x:c r="T2598" s="8" t="n">
        <x:f>DATE(YEAR(C2598),MONTH(C2598),1)</x:f>
        <x:v>45839</x:v>
      </x:c>
    </x:row>
    <x:row r="2599" ht="22" customHeight="1">
      <x:c r="A2599" s="2" t="str">
        <x:v>L002595</x:v>
      </x:c>
      <x:c r="B2599" s="2" t="str">
        <x:v>O01065</x:v>
      </x:c>
      <x:c r="C2599" s="7" t="n">
        <x:v>45705</x:v>
      </x:c>
      <x:c r="D2599" s="2" t="str">
        <x:v>Completed</x:v>
      </x:c>
      <x:c r="E2599" s="2" t="str">
        <x:v>West</x:v>
      </x:c>
      <x:c r="F2599" s="2" t="str">
        <x:v>Store</x:v>
      </x:c>
      <x:c r="G2599" s="2" t="str">
        <x:v>Furniture</x:v>
      </x:c>
      <x:c r="H2599" s="2" t="str">
        <x:v>Desk 012</x:v>
      </x:c>
      <x:c r="I2599" s="11" t="n">
        <x:v>3</x:v>
      </x:c>
      <x:c r="J2599" s="9" t="n">
        <x:v>134</x:v>
      </x:c>
      <x:c r="K2599" s="10" t="n">
        <x:v>0.05</x:v>
      </x:c>
      <x:c r="L2599" s="11" t="n">
        <x:v>0</x:v>
      </x:c>
      <x:c r="M2599" s="9" t="n">
        <x:f>IF(D2599="Completed",I2599*J2599,0)</x:f>
        <x:v>402</x:v>
      </x:c>
      <x:c r="N2599" s="9" t="n">
        <x:f>M2599*K2599</x:f>
        <x:v>20.1</x:v>
      </x:c>
      <x:c r="O2599" s="9" t="n">
        <x:f>M2599-N2599</x:f>
        <x:v>381.9</x:v>
      </x:c>
      <x:c r="P2599" s="9" t="n">
        <x:f>IF(D2599="Completed",L2599*J2599*(1-K2599),0)</x:f>
        <x:v>0</x:v>
      </x:c>
      <x:c r="Q2599" s="9" t="n">
        <x:f>O2599-P2599</x:f>
        <x:v>381.9</x:v>
      </x:c>
      <x:c r="R2599" s="11" t="n">
        <x:f>IF(D2599="Completed",I2599,0)</x:f>
        <x:v>3</x:v>
      </x:c>
      <x:c r="S2599" s="11" t="n">
        <x:f>IF(D2599="Completed",L2599,0)</x:f>
        <x:v>0</x:v>
      </x:c>
      <x:c r="T2599" s="8" t="n">
        <x:f>DATE(YEAR(C2599),MONTH(C2599),1)</x:f>
        <x:v>45689</x:v>
      </x:c>
    </x:row>
    <x:row r="2600" ht="22" customHeight="1">
      <x:c r="A2600" s="2" t="str">
        <x:v>L002596</x:v>
      </x:c>
      <x:c r="B2600" s="2" t="str">
        <x:v>O01065</x:v>
      </x:c>
      <x:c r="C2600" s="7" t="n">
        <x:v>45705</x:v>
      </x:c>
      <x:c r="D2600" s="2" t="str">
        <x:v>Completed</x:v>
      </x:c>
      <x:c r="E2600" s="2" t="str">
        <x:v>West</x:v>
      </x:c>
      <x:c r="F2600" s="2" t="str">
        <x:v>Store</x:v>
      </x:c>
      <x:c r="G2600" s="2" t="str">
        <x:v>Lighting</x:v>
      </x:c>
      <x:c r="H2600" s="2" t="str">
        <x:v>Lamp 005</x:v>
      </x:c>
      <x:c r="I2600" s="11" t="n">
        <x:v>2</x:v>
      </x:c>
      <x:c r="J2600" s="9" t="n">
        <x:v>65</x:v>
      </x:c>
      <x:c r="K2600" s="10" t="n">
        <x:v>0.05</x:v>
      </x:c>
      <x:c r="L2600" s="11" t="n">
        <x:v>1</x:v>
      </x:c>
      <x:c r="M2600" s="9" t="n">
        <x:f>IF(D2600="Completed",I2600*J2600,0)</x:f>
        <x:v>130</x:v>
      </x:c>
      <x:c r="N2600" s="9" t="n">
        <x:f>M2600*K2600</x:f>
        <x:v>6.5</x:v>
      </x:c>
      <x:c r="O2600" s="9" t="n">
        <x:f>M2600-N2600</x:f>
        <x:v>123.5</x:v>
      </x:c>
      <x:c r="P2600" s="9" t="n">
        <x:f>IF(D2600="Completed",L2600*J2600*(1-K2600),0)</x:f>
        <x:v>61.75</x:v>
      </x:c>
      <x:c r="Q2600" s="9" t="n">
        <x:f>O2600-P2600</x:f>
        <x:v>61.75</x:v>
      </x:c>
      <x:c r="R2600" s="11" t="n">
        <x:f>IF(D2600="Completed",I2600,0)</x:f>
        <x:v>2</x:v>
      </x:c>
      <x:c r="S2600" s="11" t="n">
        <x:f>IF(D2600="Completed",L2600,0)</x:f>
        <x:v>1</x:v>
      </x:c>
      <x:c r="T2600" s="8" t="n">
        <x:f>DATE(YEAR(C2600),MONTH(C2600),1)</x:f>
        <x:v>45689</x:v>
      </x:c>
    </x:row>
    <x:row r="2601" ht="22" customHeight="1">
      <x:c r="A2601" s="2" t="str">
        <x:v>L002597</x:v>
      </x:c>
      <x:c r="B2601" s="2" t="str">
        <x:v>O01065</x:v>
      </x:c>
      <x:c r="C2601" s="7" t="n">
        <x:v>45705</x:v>
      </x:c>
      <x:c r="D2601" s="2" t="str">
        <x:v>Completed</x:v>
      </x:c>
      <x:c r="E2601" s="2" t="str">
        <x:v>West</x:v>
      </x:c>
      <x:c r="F2601" s="2" t="str">
        <x:v>Store</x:v>
      </x:c>
      <x:c r="G2601" s="2" t="str">
        <x:v>Lighting</x:v>
      </x:c>
      <x:c r="H2601" s="2" t="str">
        <x:v>Lamp 013</x:v>
      </x:c>
      <x:c r="I2601" s="11" t="n">
        <x:v>3</x:v>
      </x:c>
      <x:c r="J2601" s="9" t="n">
        <x:v>271</x:v>
      </x:c>
      <x:c r="K2601" s="10" t="n">
        <x:v>0.2</x:v>
      </x:c>
      <x:c r="L2601" s="11" t="n">
        <x:v>0</x:v>
      </x:c>
      <x:c r="M2601" s="9" t="n">
        <x:f>IF(D2601="Completed",I2601*J2601,0)</x:f>
        <x:v>813</x:v>
      </x:c>
      <x:c r="N2601" s="9" t="n">
        <x:f>M2601*K2601</x:f>
        <x:v>162.60000000000002</x:v>
      </x:c>
      <x:c r="O2601" s="9" t="n">
        <x:f>M2601-N2601</x:f>
        <x:v>650.4</x:v>
      </x:c>
      <x:c r="P2601" s="9" t="n">
        <x:f>IF(D2601="Completed",L2601*J2601*(1-K2601),0)</x:f>
        <x:v>0</x:v>
      </x:c>
      <x:c r="Q2601" s="9" t="n">
        <x:f>O2601-P2601</x:f>
        <x:v>650.4</x:v>
      </x:c>
      <x:c r="R2601" s="11" t="n">
        <x:f>IF(D2601="Completed",I2601,0)</x:f>
        <x:v>3</x:v>
      </x:c>
      <x:c r="S2601" s="11" t="n">
        <x:f>IF(D2601="Completed",L2601,0)</x:f>
        <x:v>0</x:v>
      </x:c>
      <x:c r="T2601" s="8" t="n">
        <x:f>DATE(YEAR(C2601),MONTH(C2601),1)</x:f>
        <x:v>45689</x:v>
      </x:c>
    </x:row>
    <x:row r="2602" ht="22" customHeight="1">
      <x:c r="A2602" s="2" t="str">
        <x:v>L002598</x:v>
      </x:c>
      <x:c r="B2602" s="2" t="str">
        <x:v>O01065</x:v>
      </x:c>
      <x:c r="C2602" s="7" t="n">
        <x:v>45705</x:v>
      </x:c>
      <x:c r="D2602" s="2" t="str">
        <x:v>Completed</x:v>
      </x:c>
      <x:c r="E2602" s="2" t="str">
        <x:v>West</x:v>
      </x:c>
      <x:c r="F2602" s="2" t="str">
        <x:v>Store</x:v>
      </x:c>
      <x:c r="G2602" s="2" t="str">
        <x:v>Lighting</x:v>
      </x:c>
      <x:c r="H2602" s="2" t="str">
        <x:v>Lamp 017</x:v>
      </x:c>
      <x:c r="I2602" s="11" t="n">
        <x:v>4</x:v>
      </x:c>
      <x:c r="J2602" s="9" t="n">
        <x:v>300</x:v>
      </x:c>
      <x:c r="K2602" s="10" t="n">
        <x:v>0.05</x:v>
      </x:c>
      <x:c r="L2602" s="11" t="n">
        <x:v>0</x:v>
      </x:c>
      <x:c r="M2602" s="9" t="n">
        <x:f>IF(D2602="Completed",I2602*J2602,0)</x:f>
        <x:v>1200</x:v>
      </x:c>
      <x:c r="N2602" s="9" t="n">
        <x:f>M2602*K2602</x:f>
        <x:v>60</x:v>
      </x:c>
      <x:c r="O2602" s="9" t="n">
        <x:f>M2602-N2602</x:f>
        <x:v>1140</x:v>
      </x:c>
      <x:c r="P2602" s="9" t="n">
        <x:f>IF(D2602="Completed",L2602*J2602*(1-K2602),0)</x:f>
        <x:v>0</x:v>
      </x:c>
      <x:c r="Q2602" s="9" t="n">
        <x:f>O2602-P2602</x:f>
        <x:v>1140</x:v>
      </x:c>
      <x:c r="R2602" s="11" t="n">
        <x:f>IF(D2602="Completed",I2602,0)</x:f>
        <x:v>4</x:v>
      </x:c>
      <x:c r="S2602" s="11" t="n">
        <x:f>IF(D2602="Completed",L2602,0)</x:f>
        <x:v>0</x:v>
      </x:c>
      <x:c r="T2602" s="8" t="n">
        <x:f>DATE(YEAR(C2602),MONTH(C2602),1)</x:f>
        <x:v>45689</x:v>
      </x:c>
    </x:row>
    <x:row r="2603" ht="22" customHeight="1">
      <x:c r="A2603" s="2" t="str">
        <x:v>L002599</x:v>
      </x:c>
      <x:c r="B2603" s="2" t="str">
        <x:v>O01066</x:v>
      </x:c>
      <x:c r="C2603" s="7" t="n">
        <x:v>45953</x:v>
      </x:c>
      <x:c r="D2603" s="2" t="str">
        <x:v>Cancelled</x:v>
      </x:c>
      <x:c r="E2603" s="2" t="str">
        <x:v>South</x:v>
      </x:c>
      <x:c r="F2603" s="2" t="str">
        <x:v>Online</x:v>
      </x:c>
      <x:c r="G2603" s="2" t="str">
        <x:v>Furniture</x:v>
      </x:c>
      <x:c r="H2603" s="2" t="str">
        <x:v>Desk 008</x:v>
      </x:c>
      <x:c r="I2603" s="11" t="n">
        <x:v>4</x:v>
      </x:c>
      <x:c r="J2603" s="9" t="n">
        <x:v>188</x:v>
      </x:c>
      <x:c r="K2603" s="10" t="n">
        <x:v>0.2</x:v>
      </x:c>
      <x:c r="L2603" s="11" t="n">
        <x:v>0</x:v>
      </x:c>
      <x:c r="M2603" s="9" t="n">
        <x:f>IF(D2603="Completed",I2603*J2603,0)</x:f>
        <x:v>0</x:v>
      </x:c>
      <x:c r="N2603" s="9" t="n">
        <x:f>M2603*K2603</x:f>
        <x:v>0</x:v>
      </x:c>
      <x:c r="O2603" s="9" t="n">
        <x:f>M2603-N2603</x:f>
        <x:v>0</x:v>
      </x:c>
      <x:c r="P2603" s="9" t="n">
        <x:f>IF(D2603="Completed",L2603*J2603*(1-K2603),0)</x:f>
        <x:v>0</x:v>
      </x:c>
      <x:c r="Q2603" s="9" t="n">
        <x:f>O2603-P2603</x:f>
        <x:v>0</x:v>
      </x:c>
      <x:c r="R2603" s="11" t="n">
        <x:f>IF(D2603="Completed",I2603,0)</x:f>
        <x:v>0</x:v>
      </x:c>
      <x:c r="S2603" s="11" t="n">
        <x:f>IF(D2603="Completed",L2603,0)</x:f>
        <x:v>0</x:v>
      </x:c>
      <x:c r="T2603" s="8" t="n">
        <x:f>DATE(YEAR(C2603),MONTH(C2603),1)</x:f>
        <x:v>45931</x:v>
      </x:c>
    </x:row>
    <x:row r="2604" ht="22" customHeight="1">
      <x:c r="A2604" s="2" t="str">
        <x:v>L002600</x:v>
      </x:c>
      <x:c r="B2604" s="2" t="str">
        <x:v>O01066</x:v>
      </x:c>
      <x:c r="C2604" s="7" t="n">
        <x:v>45953</x:v>
      </x:c>
      <x:c r="D2604" s="2" t="str">
        <x:v>Cancelled</x:v>
      </x:c>
      <x:c r="E2604" s="2" t="str">
        <x:v>South</x:v>
      </x:c>
      <x:c r="F2604" s="2" t="str">
        <x:v>Online</x:v>
      </x:c>
      <x:c r="G2604" s="2" t="str">
        <x:v>Lighting</x:v>
      </x:c>
      <x:c r="H2604" s="2" t="str">
        <x:v>Lamp 013</x:v>
      </x:c>
      <x:c r="I2604" s="11" t="n">
        <x:v>1</x:v>
      </x:c>
      <x:c r="J2604" s="9" t="n">
        <x:v>271</x:v>
      </x:c>
      <x:c r="K2604" s="10" t="n">
        <x:v>0.05</x:v>
      </x:c>
      <x:c r="L2604" s="11" t="n">
        <x:v>0</x:v>
      </x:c>
      <x:c r="M2604" s="9" t="n">
        <x:f>IF(D2604="Completed",I2604*J2604,0)</x:f>
        <x:v>0</x:v>
      </x:c>
      <x:c r="N2604" s="9" t="n">
        <x:f>M2604*K2604</x:f>
        <x:v>0</x:v>
      </x:c>
      <x:c r="O2604" s="9" t="n">
        <x:f>M2604-N2604</x:f>
        <x:v>0</x:v>
      </x:c>
      <x:c r="P2604" s="9" t="n">
        <x:f>IF(D2604="Completed",L2604*J2604*(1-K2604),0)</x:f>
        <x:v>0</x:v>
      </x:c>
      <x:c r="Q2604" s="9" t="n">
        <x:f>O2604-P2604</x:f>
        <x:v>0</x:v>
      </x:c>
      <x:c r="R2604" s="11" t="n">
        <x:f>IF(D2604="Completed",I2604,0)</x:f>
        <x:v>0</x:v>
      </x:c>
      <x:c r="S2604" s="11" t="n">
        <x:f>IF(D2604="Completed",L2604,0)</x:f>
        <x:v>0</x:v>
      </x:c>
      <x:c r="T2604" s="8" t="n">
        <x:f>DATE(YEAR(C2604),MONTH(C2604),1)</x:f>
        <x:v>45931</x:v>
      </x:c>
    </x:row>
    <x:row r="2605" ht="22" customHeight="1">
      <x:c r="A2605" s="2" t="str">
        <x:v>L002601</x:v>
      </x:c>
      <x:c r="B2605" s="2" t="str">
        <x:v>O01067</x:v>
      </x:c>
      <x:c r="C2605" s="7" t="n">
        <x:v>45821</x:v>
      </x:c>
      <x:c r="D2605" s="2" t="str">
        <x:v>Completed</x:v>
      </x:c>
      <x:c r="E2605" s="2" t="str">
        <x:v>South</x:v>
      </x:c>
      <x:c r="F2605" s="2" t="str">
        <x:v>Store</x:v>
      </x:c>
      <x:c r="G2605" s="2" t="str">
        <x:v>Storage</x:v>
      </x:c>
      <x:c r="H2605" s="2" t="str">
        <x:v>Shelf 023</x:v>
      </x:c>
      <x:c r="I2605" s="11" t="n">
        <x:v>4</x:v>
      </x:c>
      <x:c r="J2605" s="9" t="n">
        <x:v>68</x:v>
      </x:c>
      <x:c r="K2605" s="10" t="n">
        <x:v>0</x:v>
      </x:c>
      <x:c r="L2605" s="11" t="n">
        <x:v>0</x:v>
      </x:c>
      <x:c r="M2605" s="9" t="n">
        <x:f>IF(D2605="Completed",I2605*J2605,0)</x:f>
        <x:v>272</x:v>
      </x:c>
      <x:c r="N2605" s="9" t="n">
        <x:f>M2605*K2605</x:f>
        <x:v>0</x:v>
      </x:c>
      <x:c r="O2605" s="9" t="n">
        <x:f>M2605-N2605</x:f>
        <x:v>272</x:v>
      </x:c>
      <x:c r="P2605" s="9" t="n">
        <x:f>IF(D2605="Completed",L2605*J2605*(1-K2605),0)</x:f>
        <x:v>0</x:v>
      </x:c>
      <x:c r="Q2605" s="9" t="n">
        <x:f>O2605-P2605</x:f>
        <x:v>272</x:v>
      </x:c>
      <x:c r="R2605" s="11" t="n">
        <x:f>IF(D2605="Completed",I2605,0)</x:f>
        <x:v>4</x:v>
      </x:c>
      <x:c r="S2605" s="11" t="n">
        <x:f>IF(D2605="Completed",L2605,0)</x:f>
        <x:v>0</x:v>
      </x:c>
      <x:c r="T2605" s="8" t="n">
        <x:f>DATE(YEAR(C2605),MONTH(C2605),1)</x:f>
        <x:v>45809</x:v>
      </x:c>
    </x:row>
    <x:row r="2606" ht="22" customHeight="1">
      <x:c r="A2606" s="2" t="str">
        <x:v>L002602</x:v>
      </x:c>
      <x:c r="B2606" s="2" t="str">
        <x:v>O01067</x:v>
      </x:c>
      <x:c r="C2606" s="7" t="n">
        <x:v>45821</x:v>
      </x:c>
      <x:c r="D2606" s="2" t="str">
        <x:v>Completed</x:v>
      </x:c>
      <x:c r="E2606" s="2" t="str">
        <x:v>South</x:v>
      </x:c>
      <x:c r="F2606" s="2" t="str">
        <x:v>Store</x:v>
      </x:c>
      <x:c r="G2606" s="2" t="str">
        <x:v>Lighting</x:v>
      </x:c>
      <x:c r="H2606" s="2" t="str">
        <x:v>Lamp 017</x:v>
      </x:c>
      <x:c r="I2606" s="11" t="n">
        <x:v>4</x:v>
      </x:c>
      <x:c r="J2606" s="9" t="n">
        <x:v>300</x:v>
      </x:c>
      <x:c r="K2606" s="10" t="n">
        <x:v>0.1</x:v>
      </x:c>
      <x:c r="L2606" s="11" t="n">
        <x:v>0</x:v>
      </x:c>
      <x:c r="M2606" s="9" t="n">
        <x:f>IF(D2606="Completed",I2606*J2606,0)</x:f>
        <x:v>1200</x:v>
      </x:c>
      <x:c r="N2606" s="9" t="n">
        <x:f>M2606*K2606</x:f>
        <x:v>120</x:v>
      </x:c>
      <x:c r="O2606" s="9" t="n">
        <x:f>M2606-N2606</x:f>
        <x:v>1080</x:v>
      </x:c>
      <x:c r="P2606" s="9" t="n">
        <x:f>IF(D2606="Completed",L2606*J2606*(1-K2606),0)</x:f>
        <x:v>0</x:v>
      </x:c>
      <x:c r="Q2606" s="9" t="n">
        <x:f>O2606-P2606</x:f>
        <x:v>1080</x:v>
      </x:c>
      <x:c r="R2606" s="11" t="n">
        <x:f>IF(D2606="Completed",I2606,0)</x:f>
        <x:v>4</x:v>
      </x:c>
      <x:c r="S2606" s="11" t="n">
        <x:f>IF(D2606="Completed",L2606,0)</x:f>
        <x:v>0</x:v>
      </x:c>
      <x:c r="T2606" s="8" t="n">
        <x:f>DATE(YEAR(C2606),MONTH(C2606),1)</x:f>
        <x:v>45809</x:v>
      </x:c>
    </x:row>
    <x:row r="2607" ht="22" customHeight="1">
      <x:c r="A2607" s="2" t="str">
        <x:v>L002603</x:v>
      </x:c>
      <x:c r="B2607" s="2" t="str">
        <x:v>O01067</x:v>
      </x:c>
      <x:c r="C2607" s="7" t="n">
        <x:v>45821</x:v>
      </x:c>
      <x:c r="D2607" s="2" t="str">
        <x:v>Completed</x:v>
      </x:c>
      <x:c r="E2607" s="2" t="str">
        <x:v>South</x:v>
      </x:c>
      <x:c r="F2607" s="2" t="str">
        <x:v>Store</x:v>
      </x:c>
      <x:c r="G2607" s="2" t="str">
        <x:v>Storage</x:v>
      </x:c>
      <x:c r="H2607" s="2" t="str">
        <x:v>Shelf 011</x:v>
      </x:c>
      <x:c r="I2607" s="11" t="n">
        <x:v>3</x:v>
      </x:c>
      <x:c r="J2607" s="9" t="n">
        <x:v>80</x:v>
      </x:c>
      <x:c r="K2607" s="10" t="n">
        <x:v>0.1</x:v>
      </x:c>
      <x:c r="L2607" s="11" t="n">
        <x:v>0</x:v>
      </x:c>
      <x:c r="M2607" s="9" t="n">
        <x:f>IF(D2607="Completed",I2607*J2607,0)</x:f>
        <x:v>240</x:v>
      </x:c>
      <x:c r="N2607" s="9" t="n">
        <x:f>M2607*K2607</x:f>
        <x:v>24</x:v>
      </x:c>
      <x:c r="O2607" s="9" t="n">
        <x:f>M2607-N2607</x:f>
        <x:v>216</x:v>
      </x:c>
      <x:c r="P2607" s="9" t="n">
        <x:f>IF(D2607="Completed",L2607*J2607*(1-K2607),0)</x:f>
        <x:v>0</x:v>
      </x:c>
      <x:c r="Q2607" s="9" t="n">
        <x:f>O2607-P2607</x:f>
        <x:v>216</x:v>
      </x:c>
      <x:c r="R2607" s="11" t="n">
        <x:f>IF(D2607="Completed",I2607,0)</x:f>
        <x:v>3</x:v>
      </x:c>
      <x:c r="S2607" s="11" t="n">
        <x:f>IF(D2607="Completed",L2607,0)</x:f>
        <x:v>0</x:v>
      </x:c>
      <x:c r="T2607" s="8" t="n">
        <x:f>DATE(YEAR(C2607),MONTH(C2607),1)</x:f>
        <x:v>45809</x:v>
      </x:c>
    </x:row>
    <x:row r="2608" ht="22" customHeight="1">
      <x:c r="A2608" s="2" t="str">
        <x:v>L002604</x:v>
      </x:c>
      <x:c r="B2608" s="2" t="str">
        <x:v>O01067</x:v>
      </x:c>
      <x:c r="C2608" s="7" t="n">
        <x:v>45821</x:v>
      </x:c>
      <x:c r="D2608" s="2" t="str">
        <x:v>Completed</x:v>
      </x:c>
      <x:c r="E2608" s="2" t="str">
        <x:v>South</x:v>
      </x:c>
      <x:c r="F2608" s="2" t="str">
        <x:v>Store</x:v>
      </x:c>
      <x:c r="G2608" s="2" t="str">
        <x:v>Furniture</x:v>
      </x:c>
      <x:c r="H2608" s="2" t="str">
        <x:v>Chair 018</x:v>
      </x:c>
      <x:c r="I2608" s="11" t="n">
        <x:v>3</x:v>
      </x:c>
      <x:c r="J2608" s="9" t="n">
        <x:v>269</x:v>
      </x:c>
      <x:c r="K2608" s="10" t="n">
        <x:v>0.2</x:v>
      </x:c>
      <x:c r="L2608" s="11" t="n">
        <x:v>1</x:v>
      </x:c>
      <x:c r="M2608" s="9" t="n">
        <x:f>IF(D2608="Completed",I2608*J2608,0)</x:f>
        <x:v>807</x:v>
      </x:c>
      <x:c r="N2608" s="9" t="n">
        <x:f>M2608*K2608</x:f>
        <x:v>161.4</x:v>
      </x:c>
      <x:c r="O2608" s="9" t="n">
        <x:f>M2608-N2608</x:f>
        <x:v>645.6</x:v>
      </x:c>
      <x:c r="P2608" s="9" t="n">
        <x:f>IF(D2608="Completed",L2608*J2608*(1-K2608),0)</x:f>
        <x:v>215.20000000000002</x:v>
      </x:c>
      <x:c r="Q2608" s="9" t="n">
        <x:f>O2608-P2608</x:f>
        <x:v>430.4</x:v>
      </x:c>
      <x:c r="R2608" s="11" t="n">
        <x:f>IF(D2608="Completed",I2608,0)</x:f>
        <x:v>3</x:v>
      </x:c>
      <x:c r="S2608" s="11" t="n">
        <x:f>IF(D2608="Completed",L2608,0)</x:f>
        <x:v>1</x:v>
      </x:c>
      <x:c r="T2608" s="8" t="n">
        <x:f>DATE(YEAR(C2608),MONTH(C2608),1)</x:f>
        <x:v>45809</x:v>
      </x:c>
    </x:row>
    <x:row r="2609" ht="22" customHeight="1">
      <x:c r="A2609" s="2" t="str">
        <x:v>L002605</x:v>
      </x:c>
      <x:c r="B2609" s="2" t="str">
        <x:v>O01068</x:v>
      </x:c>
      <x:c r="C2609" s="7" t="n">
        <x:v>45959</x:v>
      </x:c>
      <x:c r="D2609" s="2" t="str">
        <x:v>Completed</x:v>
      </x:c>
      <x:c r="E2609" s="2" t="str">
        <x:v>East</x:v>
      </x:c>
      <x:c r="F2609" s="2" t="str">
        <x:v>Store</x:v>
      </x:c>
      <x:c r="G2609" s="2" t="str">
        <x:v>Storage</x:v>
      </x:c>
      <x:c r="H2609" s="2" t="str">
        <x:v>Shelf 011</x:v>
      </x:c>
      <x:c r="I2609" s="11" t="n">
        <x:v>4</x:v>
      </x:c>
      <x:c r="J2609" s="9" t="n">
        <x:v>80</x:v>
      </x:c>
      <x:c r="K2609" s="10" t="n">
        <x:v>0.1</x:v>
      </x:c>
      <x:c r="L2609" s="11" t="n">
        <x:v>0</x:v>
      </x:c>
      <x:c r="M2609" s="9" t="n">
        <x:f>IF(D2609="Completed",I2609*J2609,0)</x:f>
        <x:v>320</x:v>
      </x:c>
      <x:c r="N2609" s="9" t="n">
        <x:f>M2609*K2609</x:f>
        <x:v>32</x:v>
      </x:c>
      <x:c r="O2609" s="9" t="n">
        <x:f>M2609-N2609</x:f>
        <x:v>288</x:v>
      </x:c>
      <x:c r="P2609" s="9" t="n">
        <x:f>IF(D2609="Completed",L2609*J2609*(1-K2609),0)</x:f>
        <x:v>0</x:v>
      </x:c>
      <x:c r="Q2609" s="9" t="n">
        <x:f>O2609-P2609</x:f>
        <x:v>288</x:v>
      </x:c>
      <x:c r="R2609" s="11" t="n">
        <x:f>IF(D2609="Completed",I2609,0)</x:f>
        <x:v>4</x:v>
      </x:c>
      <x:c r="S2609" s="11" t="n">
        <x:f>IF(D2609="Completed",L2609,0)</x:f>
        <x:v>0</x:v>
      </x:c>
      <x:c r="T2609" s="8" t="n">
        <x:f>DATE(YEAR(C2609),MONTH(C2609),1)</x:f>
        <x:v>45931</x:v>
      </x:c>
    </x:row>
    <x:row r="2610" ht="22" customHeight="1">
      <x:c r="A2610" s="2" t="str">
        <x:v>L002606</x:v>
      </x:c>
      <x:c r="B2610" s="2" t="str">
        <x:v>O01069</x:v>
      </x:c>
      <x:c r="C2610" s="7" t="n">
        <x:v>45945</x:v>
      </x:c>
      <x:c r="D2610" s="2" t="str">
        <x:v>Completed</x:v>
      </x:c>
      <x:c r="E2610" s="2" t="str">
        <x:v>South</x:v>
      </x:c>
      <x:c r="F2610" s="2" t="str">
        <x:v>Store</x:v>
      </x:c>
      <x:c r="G2610" s="2" t="str">
        <x:v>Furniture</x:v>
      </x:c>
      <x:c r="H2610" s="2" t="str">
        <x:v>Desk 024</x:v>
      </x:c>
      <x:c r="I2610" s="11" t="n">
        <x:v>3</x:v>
      </x:c>
      <x:c r="J2610" s="9" t="n">
        <x:v>81</x:v>
      </x:c>
      <x:c r="K2610" s="10" t="n">
        <x:v>0.1</x:v>
      </x:c>
      <x:c r="L2610" s="11" t="n">
        <x:v>0</x:v>
      </x:c>
      <x:c r="M2610" s="9" t="n">
        <x:f>IF(D2610="Completed",I2610*J2610,0)</x:f>
        <x:v>243</x:v>
      </x:c>
      <x:c r="N2610" s="9" t="n">
        <x:f>M2610*K2610</x:f>
        <x:v>24.3</x:v>
      </x:c>
      <x:c r="O2610" s="9" t="n">
        <x:f>M2610-N2610</x:f>
        <x:v>218.7</x:v>
      </x:c>
      <x:c r="P2610" s="9" t="n">
        <x:f>IF(D2610="Completed",L2610*J2610*(1-K2610),0)</x:f>
        <x:v>0</x:v>
      </x:c>
      <x:c r="Q2610" s="9" t="n">
        <x:f>O2610-P2610</x:f>
        <x:v>218.7</x:v>
      </x:c>
      <x:c r="R2610" s="11" t="n">
        <x:f>IF(D2610="Completed",I2610,0)</x:f>
        <x:v>3</x:v>
      </x:c>
      <x:c r="S2610" s="11" t="n">
        <x:f>IF(D2610="Completed",L2610,0)</x:f>
        <x:v>0</x:v>
      </x:c>
      <x:c r="T2610" s="8" t="n">
        <x:f>DATE(YEAR(C2610),MONTH(C2610),1)</x:f>
        <x:v>45931</x:v>
      </x:c>
    </x:row>
    <x:row r="2611" ht="22" customHeight="1">
      <x:c r="A2611" s="2" t="str">
        <x:v>L002607</x:v>
      </x:c>
      <x:c r="B2611" s="2" t="str">
        <x:v>O01069</x:v>
      </x:c>
      <x:c r="C2611" s="7" t="n">
        <x:v>45945</x:v>
      </x:c>
      <x:c r="D2611" s="2" t="str">
        <x:v>Completed</x:v>
      </x:c>
      <x:c r="E2611" s="2" t="str">
        <x:v>South</x:v>
      </x:c>
      <x:c r="F2611" s="2" t="str">
        <x:v>Store</x:v>
      </x:c>
      <x:c r="G2611" s="2" t="str">
        <x:v>Furniture</x:v>
      </x:c>
      <x:c r="H2611" s="2" t="str">
        <x:v>Chair 010</x:v>
      </x:c>
      <x:c r="I2611" s="11" t="n">
        <x:v>2</x:v>
      </x:c>
      <x:c r="J2611" s="9" t="n">
        <x:v>211</x:v>
      </x:c>
      <x:c r="K2611" s="10" t="n">
        <x:v>0.05</x:v>
      </x:c>
      <x:c r="L2611" s="11" t="n">
        <x:v>0</x:v>
      </x:c>
      <x:c r="M2611" s="9" t="n">
        <x:f>IF(D2611="Completed",I2611*J2611,0)</x:f>
        <x:v>422</x:v>
      </x:c>
      <x:c r="N2611" s="9" t="n">
        <x:f>M2611*K2611</x:f>
        <x:v>21.1</x:v>
      </x:c>
      <x:c r="O2611" s="9" t="n">
        <x:f>M2611-N2611</x:f>
        <x:v>400.9</x:v>
      </x:c>
      <x:c r="P2611" s="9" t="n">
        <x:f>IF(D2611="Completed",L2611*J2611*(1-K2611),0)</x:f>
        <x:v>0</x:v>
      </x:c>
      <x:c r="Q2611" s="9" t="n">
        <x:f>O2611-P2611</x:f>
        <x:v>400.9</x:v>
      </x:c>
      <x:c r="R2611" s="11" t="n">
        <x:f>IF(D2611="Completed",I2611,0)</x:f>
        <x:v>2</x:v>
      </x:c>
      <x:c r="S2611" s="11" t="n">
        <x:f>IF(D2611="Completed",L2611,0)</x:f>
        <x:v>0</x:v>
      </x:c>
      <x:c r="T2611" s="8" t="n">
        <x:f>DATE(YEAR(C2611),MONTH(C2611),1)</x:f>
        <x:v>45931</x:v>
      </x:c>
    </x:row>
    <x:row r="2612" ht="22" customHeight="1">
      <x:c r="A2612" s="2" t="str">
        <x:v>L002608</x:v>
      </x:c>
      <x:c r="B2612" s="2" t="str">
        <x:v>O01069</x:v>
      </x:c>
      <x:c r="C2612" s="7" t="n">
        <x:v>45945</x:v>
      </x:c>
      <x:c r="D2612" s="2" t="str">
        <x:v>Completed</x:v>
      </x:c>
      <x:c r="E2612" s="2" t="str">
        <x:v>South</x:v>
      </x:c>
      <x:c r="F2612" s="2" t="str">
        <x:v>Store</x:v>
      </x:c>
      <x:c r="G2612" s="2" t="str">
        <x:v>Furniture</x:v>
      </x:c>
      <x:c r="H2612" s="2" t="str">
        <x:v>Desk 016</x:v>
      </x:c>
      <x:c r="I2612" s="11" t="n">
        <x:v>4</x:v>
      </x:c>
      <x:c r="J2612" s="9" t="n">
        <x:v>231</x:v>
      </x:c>
      <x:c r="K2612" s="10" t="n">
        <x:v>0.05</x:v>
      </x:c>
      <x:c r="L2612" s="11" t="n">
        <x:v>3</x:v>
      </x:c>
      <x:c r="M2612" s="9" t="n">
        <x:f>IF(D2612="Completed",I2612*J2612,0)</x:f>
        <x:v>924</x:v>
      </x:c>
      <x:c r="N2612" s="9" t="n">
        <x:f>M2612*K2612</x:f>
        <x:v>46.2</x:v>
      </x:c>
      <x:c r="O2612" s="9" t="n">
        <x:f>M2612-N2612</x:f>
        <x:v>877.8</x:v>
      </x:c>
      <x:c r="P2612" s="9" t="n">
        <x:f>IF(D2612="Completed",L2612*J2612*(1-K2612),0)</x:f>
        <x:v>658.35</x:v>
      </x:c>
      <x:c r="Q2612" s="9" t="n">
        <x:f>O2612-P2612</x:f>
        <x:v>219.44999999999993</x:v>
      </x:c>
      <x:c r="R2612" s="11" t="n">
        <x:f>IF(D2612="Completed",I2612,0)</x:f>
        <x:v>4</x:v>
      </x:c>
      <x:c r="S2612" s="11" t="n">
        <x:f>IF(D2612="Completed",L2612,0)</x:f>
        <x:v>3</x:v>
      </x:c>
      <x:c r="T2612" s="8" t="n">
        <x:f>DATE(YEAR(C2612),MONTH(C2612),1)</x:f>
        <x:v>45931</x:v>
      </x:c>
    </x:row>
    <x:row r="2613" ht="22" customHeight="1">
      <x:c r="A2613" s="2" t="str">
        <x:v>L002609</x:v>
      </x:c>
      <x:c r="B2613" s="2" t="str">
        <x:v>O01069</x:v>
      </x:c>
      <x:c r="C2613" s="7" t="n">
        <x:v>45945</x:v>
      </x:c>
      <x:c r="D2613" s="2" t="str">
        <x:v>Completed</x:v>
      </x:c>
      <x:c r="E2613" s="2" t="str">
        <x:v>South</x:v>
      </x:c>
      <x:c r="F2613" s="2" t="str">
        <x:v>Store</x:v>
      </x:c>
      <x:c r="G2613" s="2" t="str">
        <x:v>Storage</x:v>
      </x:c>
      <x:c r="H2613" s="2" t="str">
        <x:v>Shelf 019</x:v>
      </x:c>
      <x:c r="I2613" s="11" t="n">
        <x:v>3</x:v>
      </x:c>
      <x:c r="J2613" s="9" t="n">
        <x:v>78</x:v>
      </x:c>
      <x:c r="K2613" s="10" t="n">
        <x:v>0</x:v>
      </x:c>
      <x:c r="L2613" s="11" t="n">
        <x:v>0</x:v>
      </x:c>
      <x:c r="M2613" s="9" t="n">
        <x:f>IF(D2613="Completed",I2613*J2613,0)</x:f>
        <x:v>234</x:v>
      </x:c>
      <x:c r="N2613" s="9" t="n">
        <x:f>M2613*K2613</x:f>
        <x:v>0</x:v>
      </x:c>
      <x:c r="O2613" s="9" t="n">
        <x:f>M2613-N2613</x:f>
        <x:v>234</x:v>
      </x:c>
      <x:c r="P2613" s="9" t="n">
        <x:f>IF(D2613="Completed",L2613*J2613*(1-K2613),0)</x:f>
        <x:v>0</x:v>
      </x:c>
      <x:c r="Q2613" s="9" t="n">
        <x:f>O2613-P2613</x:f>
        <x:v>234</x:v>
      </x:c>
      <x:c r="R2613" s="11" t="n">
        <x:f>IF(D2613="Completed",I2613,0)</x:f>
        <x:v>3</x:v>
      </x:c>
      <x:c r="S2613" s="11" t="n">
        <x:f>IF(D2613="Completed",L2613,0)</x:f>
        <x:v>0</x:v>
      </x:c>
      <x:c r="T2613" s="8" t="n">
        <x:f>DATE(YEAR(C2613),MONTH(C2613),1)</x:f>
        <x:v>45931</x:v>
      </x:c>
    </x:row>
    <x:row r="2614" ht="22" customHeight="1">
      <x:c r="A2614" s="2" t="str">
        <x:v>L002610</x:v>
      </x:c>
      <x:c r="B2614" s="2" t="str">
        <x:v>O01070</x:v>
      </x:c>
      <x:c r="C2614" s="7" t="n">
        <x:v>45956</x:v>
      </x:c>
      <x:c r="D2614" s="2" t="str">
        <x:v>Completed</x:v>
      </x:c>
      <x:c r="E2614" s="2" t="str">
        <x:v>South</x:v>
      </x:c>
      <x:c r="F2614" s="2" t="str">
        <x:v>Store</x:v>
      </x:c>
      <x:c r="G2614" s="2" t="str">
        <x:v>Furniture</x:v>
      </x:c>
      <x:c r="H2614" s="2" t="str">
        <x:v>Chair 022</x:v>
      </x:c>
      <x:c r="I2614" s="11" t="n">
        <x:v>3</x:v>
      </x:c>
      <x:c r="J2614" s="9" t="n">
        <x:v>134</x:v>
      </x:c>
      <x:c r="K2614" s="10" t="n">
        <x:v>0.2</x:v>
      </x:c>
      <x:c r="L2614" s="11" t="n">
        <x:v>0</x:v>
      </x:c>
      <x:c r="M2614" s="9" t="n">
        <x:f>IF(D2614="Completed",I2614*J2614,0)</x:f>
        <x:v>402</x:v>
      </x:c>
      <x:c r="N2614" s="9" t="n">
        <x:f>M2614*K2614</x:f>
        <x:v>80.4</x:v>
      </x:c>
      <x:c r="O2614" s="9" t="n">
        <x:f>M2614-N2614</x:f>
        <x:v>321.6</x:v>
      </x:c>
      <x:c r="P2614" s="9" t="n">
        <x:f>IF(D2614="Completed",L2614*J2614*(1-K2614),0)</x:f>
        <x:v>0</x:v>
      </x:c>
      <x:c r="Q2614" s="9" t="n">
        <x:f>O2614-P2614</x:f>
        <x:v>321.6</x:v>
      </x:c>
      <x:c r="R2614" s="11" t="n">
        <x:f>IF(D2614="Completed",I2614,0)</x:f>
        <x:v>3</x:v>
      </x:c>
      <x:c r="S2614" s="11" t="n">
        <x:f>IF(D2614="Completed",L2614,0)</x:f>
        <x:v>0</x:v>
      </x:c>
      <x:c r="T2614" s="8" t="n">
        <x:f>DATE(YEAR(C2614),MONTH(C2614),1)</x:f>
        <x:v>45931</x:v>
      </x:c>
    </x:row>
    <x:row r="2615" ht="22" customHeight="1">
      <x:c r="A2615" s="2" t="str">
        <x:v>L002611</x:v>
      </x:c>
      <x:c r="B2615" s="2" t="str">
        <x:v>O01070</x:v>
      </x:c>
      <x:c r="C2615" s="7" t="n">
        <x:v>45956</x:v>
      </x:c>
      <x:c r="D2615" s="2" t="str">
        <x:v>Completed</x:v>
      </x:c>
      <x:c r="E2615" s="2" t="str">
        <x:v>South</x:v>
      </x:c>
      <x:c r="F2615" s="2" t="str">
        <x:v>Store</x:v>
      </x:c>
      <x:c r="G2615" s="2" t="str">
        <x:v>Storage</x:v>
      </x:c>
      <x:c r="H2615" s="2" t="str">
        <x:v>Shelf 019</x:v>
      </x:c>
      <x:c r="I2615" s="11" t="n">
        <x:v>4</x:v>
      </x:c>
      <x:c r="J2615" s="9" t="n">
        <x:v>78</x:v>
      </x:c>
      <x:c r="K2615" s="10" t="n">
        <x:v>0</x:v>
      </x:c>
      <x:c r="L2615" s="11" t="n">
        <x:v>0</x:v>
      </x:c>
      <x:c r="M2615" s="9" t="n">
        <x:f>IF(D2615="Completed",I2615*J2615,0)</x:f>
        <x:v>312</x:v>
      </x:c>
      <x:c r="N2615" s="9" t="n">
        <x:f>M2615*K2615</x:f>
        <x:v>0</x:v>
      </x:c>
      <x:c r="O2615" s="9" t="n">
        <x:f>M2615-N2615</x:f>
        <x:v>312</x:v>
      </x:c>
      <x:c r="P2615" s="9" t="n">
        <x:f>IF(D2615="Completed",L2615*J2615*(1-K2615),0)</x:f>
        <x:v>0</x:v>
      </x:c>
      <x:c r="Q2615" s="9" t="n">
        <x:f>O2615-P2615</x:f>
        <x:v>312</x:v>
      </x:c>
      <x:c r="R2615" s="11" t="n">
        <x:f>IF(D2615="Completed",I2615,0)</x:f>
        <x:v>4</x:v>
      </x:c>
      <x:c r="S2615" s="11" t="n">
        <x:f>IF(D2615="Completed",L2615,0)</x:f>
        <x:v>0</x:v>
      </x:c>
      <x:c r="T2615" s="8" t="n">
        <x:f>DATE(YEAR(C2615),MONTH(C2615),1)</x:f>
        <x:v>45931</x:v>
      </x:c>
    </x:row>
    <x:row r="2616" ht="22" customHeight="1">
      <x:c r="A2616" s="2" t="str">
        <x:v>L002612</x:v>
      </x:c>
      <x:c r="B2616" s="2" t="str">
        <x:v>O01070</x:v>
      </x:c>
      <x:c r="C2616" s="7" t="n">
        <x:v>45956</x:v>
      </x:c>
      <x:c r="D2616" s="2" t="str">
        <x:v>Completed</x:v>
      </x:c>
      <x:c r="E2616" s="2" t="str">
        <x:v>South</x:v>
      </x:c>
      <x:c r="F2616" s="2" t="str">
        <x:v>Store</x:v>
      </x:c>
      <x:c r="G2616" s="2" t="str">
        <x:v>Lighting</x:v>
      </x:c>
      <x:c r="H2616" s="2" t="str">
        <x:v>Lamp 001</x:v>
      </x:c>
      <x:c r="I2616" s="11" t="n">
        <x:v>5</x:v>
      </x:c>
      <x:c r="J2616" s="9" t="n">
        <x:v>122</x:v>
      </x:c>
      <x:c r="K2616" s="10" t="n">
        <x:v>0.05</x:v>
      </x:c>
      <x:c r="L2616" s="11" t="n">
        <x:v>0</x:v>
      </x:c>
      <x:c r="M2616" s="9" t="n">
        <x:f>IF(D2616="Completed",I2616*J2616,0)</x:f>
        <x:v>610</x:v>
      </x:c>
      <x:c r="N2616" s="9" t="n">
        <x:f>M2616*K2616</x:f>
        <x:v>30.5</x:v>
      </x:c>
      <x:c r="O2616" s="9" t="n">
        <x:f>M2616-N2616</x:f>
        <x:v>579.5</x:v>
      </x:c>
      <x:c r="P2616" s="9" t="n">
        <x:f>IF(D2616="Completed",L2616*J2616*(1-K2616),0)</x:f>
        <x:v>0</x:v>
      </x:c>
      <x:c r="Q2616" s="9" t="n">
        <x:f>O2616-P2616</x:f>
        <x:v>579.5</x:v>
      </x:c>
      <x:c r="R2616" s="11" t="n">
        <x:f>IF(D2616="Completed",I2616,0)</x:f>
        <x:v>5</x:v>
      </x:c>
      <x:c r="S2616" s="11" t="n">
        <x:f>IF(D2616="Completed",L2616,0)</x:f>
        <x:v>0</x:v>
      </x:c>
      <x:c r="T2616" s="8" t="n">
        <x:f>DATE(YEAR(C2616),MONTH(C2616),1)</x:f>
        <x:v>45931</x:v>
      </x:c>
    </x:row>
    <x:row r="2617" ht="22" customHeight="1">
      <x:c r="A2617" s="2" t="str">
        <x:v>L002613</x:v>
      </x:c>
      <x:c r="B2617" s="2" t="str">
        <x:v>O01071</x:v>
      </x:c>
      <x:c r="C2617" s="7" t="n">
        <x:v>45728</x:v>
      </x:c>
      <x:c r="D2617" s="2" t="str">
        <x:v>Cancelled</x:v>
      </x:c>
      <x:c r="E2617" s="2" t="str">
        <x:v>North</x:v>
      </x:c>
      <x:c r="F2617" s="2" t="str">
        <x:v>Store</x:v>
      </x:c>
      <x:c r="G2617" s="2" t="str">
        <x:v>Lighting</x:v>
      </x:c>
      <x:c r="H2617" s="2" t="str">
        <x:v>Lamp 021</x:v>
      </x:c>
      <x:c r="I2617" s="11" t="n">
        <x:v>4</x:v>
      </x:c>
      <x:c r="J2617" s="9" t="n">
        <x:v>249</x:v>
      </x:c>
      <x:c r="K2617" s="10" t="n">
        <x:v>0</x:v>
      </x:c>
      <x:c r="L2617" s="11" t="n">
        <x:v>0</x:v>
      </x:c>
      <x:c r="M2617" s="9" t="n">
        <x:f>IF(D2617="Completed",I2617*J2617,0)</x:f>
        <x:v>0</x:v>
      </x:c>
      <x:c r="N2617" s="9" t="n">
        <x:f>M2617*K2617</x:f>
        <x:v>0</x:v>
      </x:c>
      <x:c r="O2617" s="9" t="n">
        <x:f>M2617-N2617</x:f>
        <x:v>0</x:v>
      </x:c>
      <x:c r="P2617" s="9" t="n">
        <x:f>IF(D2617="Completed",L2617*J2617*(1-K2617),0)</x:f>
        <x:v>0</x:v>
      </x:c>
      <x:c r="Q2617" s="9" t="n">
        <x:f>O2617-P2617</x:f>
        <x:v>0</x:v>
      </x:c>
      <x:c r="R2617" s="11" t="n">
        <x:f>IF(D2617="Completed",I2617,0)</x:f>
        <x:v>0</x:v>
      </x:c>
      <x:c r="S2617" s="11" t="n">
        <x:f>IF(D2617="Completed",L2617,0)</x:f>
        <x:v>0</x:v>
      </x:c>
      <x:c r="T2617" s="8" t="n">
        <x:f>DATE(YEAR(C2617),MONTH(C2617),1)</x:f>
        <x:v>45717</x:v>
      </x:c>
    </x:row>
    <x:row r="2618" ht="22" customHeight="1">
      <x:c r="A2618" s="2" t="str">
        <x:v>L002614</x:v>
      </x:c>
      <x:c r="B2618" s="2" t="str">
        <x:v>O01072</x:v>
      </x:c>
      <x:c r="C2618" s="7" t="n">
        <x:v>46001</x:v>
      </x:c>
      <x:c r="D2618" s="2" t="str">
        <x:v>Completed</x:v>
      </x:c>
      <x:c r="E2618" s="2" t="str">
        <x:v>West</x:v>
      </x:c>
      <x:c r="F2618" s="2" t="str">
        <x:v>Online</x:v>
      </x:c>
      <x:c r="G2618" s="2" t="str">
        <x:v>Lighting</x:v>
      </x:c>
      <x:c r="H2618" s="2" t="str">
        <x:v>Lamp 001</x:v>
      </x:c>
      <x:c r="I2618" s="11" t="n">
        <x:v>1</x:v>
      </x:c>
      <x:c r="J2618" s="9" t="n">
        <x:v>122</x:v>
      </x:c>
      <x:c r="K2618" s="10" t="n">
        <x:v>0.2</x:v>
      </x:c>
      <x:c r="L2618" s="11" t="n">
        <x:v>0</x:v>
      </x:c>
      <x:c r="M2618" s="9" t="n">
        <x:f>IF(D2618="Completed",I2618*J2618,0)</x:f>
        <x:v>122</x:v>
      </x:c>
      <x:c r="N2618" s="9" t="n">
        <x:f>M2618*K2618</x:f>
        <x:v>24.400000000000002</x:v>
      </x:c>
      <x:c r="O2618" s="9" t="n">
        <x:f>M2618-N2618</x:f>
        <x:v>97.6</x:v>
      </x:c>
      <x:c r="P2618" s="9" t="n">
        <x:f>IF(D2618="Completed",L2618*J2618*(1-K2618),0)</x:f>
        <x:v>0</x:v>
      </x:c>
      <x:c r="Q2618" s="9" t="n">
        <x:f>O2618-P2618</x:f>
        <x:v>97.6</x:v>
      </x:c>
      <x:c r="R2618" s="11" t="n">
        <x:f>IF(D2618="Completed",I2618,0)</x:f>
        <x:v>1</x:v>
      </x:c>
      <x:c r="S2618" s="11" t="n">
        <x:f>IF(D2618="Completed",L2618,0)</x:f>
        <x:v>0</x:v>
      </x:c>
      <x:c r="T2618" s="8" t="n">
        <x:f>DATE(YEAR(C2618),MONTH(C2618),1)</x:f>
        <x:v>45992</x:v>
      </x:c>
    </x:row>
    <x:row r="2619" ht="22" customHeight="1">
      <x:c r="A2619" s="2" t="str">
        <x:v>L002615</x:v>
      </x:c>
      <x:c r="B2619" s="2" t="str">
        <x:v>O01072</x:v>
      </x:c>
      <x:c r="C2619" s="7" t="n">
        <x:v>46001</x:v>
      </x:c>
      <x:c r="D2619" s="2" t="str">
        <x:v>Completed</x:v>
      </x:c>
      <x:c r="E2619" s="2" t="str">
        <x:v>West</x:v>
      </x:c>
      <x:c r="F2619" s="2" t="str">
        <x:v>Online</x:v>
      </x:c>
      <x:c r="G2619" s="2" t="str">
        <x:v>Furniture</x:v>
      </x:c>
      <x:c r="H2619" s="2" t="str">
        <x:v>Chair 014</x:v>
      </x:c>
      <x:c r="I2619" s="11" t="n">
        <x:v>4</x:v>
      </x:c>
      <x:c r="J2619" s="9" t="n">
        <x:v>294</x:v>
      </x:c>
      <x:c r="K2619" s="10" t="n">
        <x:v>0.05</x:v>
      </x:c>
      <x:c r="L2619" s="11" t="n">
        <x:v>0</x:v>
      </x:c>
      <x:c r="M2619" s="9" t="n">
        <x:f>IF(D2619="Completed",I2619*J2619,0)</x:f>
        <x:v>1176</x:v>
      </x:c>
      <x:c r="N2619" s="9" t="n">
        <x:f>M2619*K2619</x:f>
        <x:v>58.800000000000004</x:v>
      </x:c>
      <x:c r="O2619" s="9" t="n">
        <x:f>M2619-N2619</x:f>
        <x:v>1117.2</x:v>
      </x:c>
      <x:c r="P2619" s="9" t="n">
        <x:f>IF(D2619="Completed",L2619*J2619*(1-K2619),0)</x:f>
        <x:v>0</x:v>
      </x:c>
      <x:c r="Q2619" s="9" t="n">
        <x:f>O2619-P2619</x:f>
        <x:v>1117.2</x:v>
      </x:c>
      <x:c r="R2619" s="11" t="n">
        <x:f>IF(D2619="Completed",I2619,0)</x:f>
        <x:v>4</x:v>
      </x:c>
      <x:c r="S2619" s="11" t="n">
        <x:f>IF(D2619="Completed",L2619,0)</x:f>
        <x:v>0</x:v>
      </x:c>
      <x:c r="T2619" s="8" t="n">
        <x:f>DATE(YEAR(C2619),MONTH(C2619),1)</x:f>
        <x:v>45992</x:v>
      </x:c>
    </x:row>
    <x:row r="2620" ht="22" customHeight="1">
      <x:c r="A2620" s="2" t="str">
        <x:v>L002616</x:v>
      </x:c>
      <x:c r="B2620" s="2" t="str">
        <x:v>O01073</x:v>
      </x:c>
      <x:c r="C2620" s="7" t="n">
        <x:v>45845</x:v>
      </x:c>
      <x:c r="D2620" s="2" t="str">
        <x:v>Completed</x:v>
      </x:c>
      <x:c r="E2620" s="2" t="str">
        <x:v>South</x:v>
      </x:c>
      <x:c r="F2620" s="2" t="str">
        <x:v>Online</x:v>
      </x:c>
      <x:c r="G2620" s="2" t="str">
        <x:v>Storage</x:v>
      </x:c>
      <x:c r="H2620" s="2" t="str">
        <x:v>Shelf 011</x:v>
      </x:c>
      <x:c r="I2620" s="11" t="n">
        <x:v>5</x:v>
      </x:c>
      <x:c r="J2620" s="9" t="n">
        <x:v>80</x:v>
      </x:c>
      <x:c r="K2620" s="10" t="n">
        <x:v>0.1</x:v>
      </x:c>
      <x:c r="L2620" s="11" t="n">
        <x:v>0</x:v>
      </x:c>
      <x:c r="M2620" s="9" t="n">
        <x:f>IF(D2620="Completed",I2620*J2620,0)</x:f>
        <x:v>400</x:v>
      </x:c>
      <x:c r="N2620" s="9" t="n">
        <x:f>M2620*K2620</x:f>
        <x:v>40</x:v>
      </x:c>
      <x:c r="O2620" s="9" t="n">
        <x:f>M2620-N2620</x:f>
        <x:v>360</x:v>
      </x:c>
      <x:c r="P2620" s="9" t="n">
        <x:f>IF(D2620="Completed",L2620*J2620*(1-K2620),0)</x:f>
        <x:v>0</x:v>
      </x:c>
      <x:c r="Q2620" s="9" t="n">
        <x:f>O2620-P2620</x:f>
        <x:v>360</x:v>
      </x:c>
      <x:c r="R2620" s="11" t="n">
        <x:f>IF(D2620="Completed",I2620,0)</x:f>
        <x:v>5</x:v>
      </x:c>
      <x:c r="S2620" s="11" t="n">
        <x:f>IF(D2620="Completed",L2620,0)</x:f>
        <x:v>0</x:v>
      </x:c>
      <x:c r="T2620" s="8" t="n">
        <x:f>DATE(YEAR(C2620),MONTH(C2620),1)</x:f>
        <x:v>45839</x:v>
      </x:c>
    </x:row>
    <x:row r="2621" ht="22" customHeight="1">
      <x:c r="A2621" s="2" t="str">
        <x:v>L002617</x:v>
      </x:c>
      <x:c r="B2621" s="2" t="str">
        <x:v>O01073</x:v>
      </x:c>
      <x:c r="C2621" s="7" t="n">
        <x:v>45845</x:v>
      </x:c>
      <x:c r="D2621" s="2" t="str">
        <x:v>Completed</x:v>
      </x:c>
      <x:c r="E2621" s="2" t="str">
        <x:v>South</x:v>
      </x:c>
      <x:c r="F2621" s="2" t="str">
        <x:v>Online</x:v>
      </x:c>
      <x:c r="G2621" s="2" t="str">
        <x:v>Lighting</x:v>
      </x:c>
      <x:c r="H2621" s="2" t="str">
        <x:v>Lamp 009</x:v>
      </x:c>
      <x:c r="I2621" s="11" t="n">
        <x:v>5</x:v>
      </x:c>
      <x:c r="J2621" s="9" t="n">
        <x:v>93</x:v>
      </x:c>
      <x:c r="K2621" s="10" t="n">
        <x:v>0</x:v>
      </x:c>
      <x:c r="L2621" s="11" t="n">
        <x:v>4</x:v>
      </x:c>
      <x:c r="M2621" s="9" t="n">
        <x:f>IF(D2621="Completed",I2621*J2621,0)</x:f>
        <x:v>465</x:v>
      </x:c>
      <x:c r="N2621" s="9" t="n">
        <x:f>M2621*K2621</x:f>
        <x:v>0</x:v>
      </x:c>
      <x:c r="O2621" s="9" t="n">
        <x:f>M2621-N2621</x:f>
        <x:v>465</x:v>
      </x:c>
      <x:c r="P2621" s="9" t="n">
        <x:f>IF(D2621="Completed",L2621*J2621*(1-K2621),0)</x:f>
        <x:v>372</x:v>
      </x:c>
      <x:c r="Q2621" s="9" t="n">
        <x:f>O2621-P2621</x:f>
        <x:v>93</x:v>
      </x:c>
      <x:c r="R2621" s="11" t="n">
        <x:f>IF(D2621="Completed",I2621,0)</x:f>
        <x:v>5</x:v>
      </x:c>
      <x:c r="S2621" s="11" t="n">
        <x:f>IF(D2621="Completed",L2621,0)</x:f>
        <x:v>4</x:v>
      </x:c>
      <x:c r="T2621" s="8" t="n">
        <x:f>DATE(YEAR(C2621),MONTH(C2621),1)</x:f>
        <x:v>45839</x:v>
      </x:c>
    </x:row>
    <x:row r="2622" ht="22" customHeight="1">
      <x:c r="A2622" s="2" t="str">
        <x:v>L002618</x:v>
      </x:c>
      <x:c r="B2622" s="2" t="str">
        <x:v>O01073</x:v>
      </x:c>
      <x:c r="C2622" s="7" t="n">
        <x:v>45845</x:v>
      </x:c>
      <x:c r="D2622" s="2" t="str">
        <x:v>Completed</x:v>
      </x:c>
      <x:c r="E2622" s="2" t="str">
        <x:v>South</x:v>
      </x:c>
      <x:c r="F2622" s="2" t="str">
        <x:v>Online</x:v>
      </x:c>
      <x:c r="G2622" s="2" t="str">
        <x:v>Furniture</x:v>
      </x:c>
      <x:c r="H2622" s="2" t="str">
        <x:v>Desk 008</x:v>
      </x:c>
      <x:c r="I2622" s="11" t="n">
        <x:v>2</x:v>
      </x:c>
      <x:c r="J2622" s="9" t="n">
        <x:v>188</x:v>
      </x:c>
      <x:c r="K2622" s="10" t="n">
        <x:v>0</x:v>
      </x:c>
      <x:c r="L2622" s="11" t="n">
        <x:v>0</x:v>
      </x:c>
      <x:c r="M2622" s="9" t="n">
        <x:f>IF(D2622="Completed",I2622*J2622,0)</x:f>
        <x:v>376</x:v>
      </x:c>
      <x:c r="N2622" s="9" t="n">
        <x:f>M2622*K2622</x:f>
        <x:v>0</x:v>
      </x:c>
      <x:c r="O2622" s="9" t="n">
        <x:f>M2622-N2622</x:f>
        <x:v>376</x:v>
      </x:c>
      <x:c r="P2622" s="9" t="n">
        <x:f>IF(D2622="Completed",L2622*J2622*(1-K2622),0)</x:f>
        <x:v>0</x:v>
      </x:c>
      <x:c r="Q2622" s="9" t="n">
        <x:f>O2622-P2622</x:f>
        <x:v>376</x:v>
      </x:c>
      <x:c r="R2622" s="11" t="n">
        <x:f>IF(D2622="Completed",I2622,0)</x:f>
        <x:v>2</x:v>
      </x:c>
      <x:c r="S2622" s="11" t="n">
        <x:f>IF(D2622="Completed",L2622,0)</x:f>
        <x:v>0</x:v>
      </x:c>
      <x:c r="T2622" s="8" t="n">
        <x:f>DATE(YEAR(C2622),MONTH(C2622),1)</x:f>
        <x:v>45839</x:v>
      </x:c>
    </x:row>
    <x:row r="2623" ht="22" customHeight="1">
      <x:c r="A2623" s="2" t="str">
        <x:v>L002619</x:v>
      </x:c>
      <x:c r="B2623" s="2" t="str">
        <x:v>O01074</x:v>
      </x:c>
      <x:c r="C2623" s="7" t="n">
        <x:v>45853</x:v>
      </x:c>
      <x:c r="D2623" s="2" t="str">
        <x:v>Completed</x:v>
      </x:c>
      <x:c r="E2623" s="2" t="str">
        <x:v>North</x:v>
      </x:c>
      <x:c r="F2623" s="2" t="str">
        <x:v>Store</x:v>
      </x:c>
      <x:c r="G2623" s="2" t="str">
        <x:v>Furniture</x:v>
      </x:c>
      <x:c r="H2623" s="2" t="str">
        <x:v>Chair 022</x:v>
      </x:c>
      <x:c r="I2623" s="11" t="n">
        <x:v>4</x:v>
      </x:c>
      <x:c r="J2623" s="9" t="n">
        <x:v>134</x:v>
      </x:c>
      <x:c r="K2623" s="10" t="n">
        <x:v>0.2</x:v>
      </x:c>
      <x:c r="L2623" s="11" t="n">
        <x:v>0</x:v>
      </x:c>
      <x:c r="M2623" s="9" t="n">
        <x:f>IF(D2623="Completed",I2623*J2623,0)</x:f>
        <x:v>536</x:v>
      </x:c>
      <x:c r="N2623" s="9" t="n">
        <x:f>M2623*K2623</x:f>
        <x:v>107.2</x:v>
      </x:c>
      <x:c r="O2623" s="9" t="n">
        <x:f>M2623-N2623</x:f>
        <x:v>428.8</x:v>
      </x:c>
      <x:c r="P2623" s="9" t="n">
        <x:f>IF(D2623="Completed",L2623*J2623*(1-K2623),0)</x:f>
        <x:v>0</x:v>
      </x:c>
      <x:c r="Q2623" s="9" t="n">
        <x:f>O2623-P2623</x:f>
        <x:v>428.8</x:v>
      </x:c>
      <x:c r="R2623" s="11" t="n">
        <x:f>IF(D2623="Completed",I2623,0)</x:f>
        <x:v>4</x:v>
      </x:c>
      <x:c r="S2623" s="11" t="n">
        <x:f>IF(D2623="Completed",L2623,0)</x:f>
        <x:v>0</x:v>
      </x:c>
      <x:c r="T2623" s="8" t="n">
        <x:f>DATE(YEAR(C2623),MONTH(C2623),1)</x:f>
        <x:v>45839</x:v>
      </x:c>
    </x:row>
    <x:row r="2624" ht="22" customHeight="1">
      <x:c r="A2624" s="2" t="str">
        <x:v>L002620</x:v>
      </x:c>
      <x:c r="B2624" s="2" t="str">
        <x:v>O01074</x:v>
      </x:c>
      <x:c r="C2624" s="7" t="n">
        <x:v>45853</x:v>
      </x:c>
      <x:c r="D2624" s="2" t="str">
        <x:v>Completed</x:v>
      </x:c>
      <x:c r="E2624" s="2" t="str">
        <x:v>North</x:v>
      </x:c>
      <x:c r="F2624" s="2" t="str">
        <x:v>Store</x:v>
      </x:c>
      <x:c r="G2624" s="2" t="str">
        <x:v>Furniture</x:v>
      </x:c>
      <x:c r="H2624" s="2" t="str">
        <x:v>Desk 024</x:v>
      </x:c>
      <x:c r="I2624" s="11" t="n">
        <x:v>2</x:v>
      </x:c>
      <x:c r="J2624" s="9" t="n">
        <x:v>81</x:v>
      </x:c>
      <x:c r="K2624" s="10" t="n">
        <x:v>0.2</x:v>
      </x:c>
      <x:c r="L2624" s="11" t="n">
        <x:v>0</x:v>
      </x:c>
      <x:c r="M2624" s="9" t="n">
        <x:f>IF(D2624="Completed",I2624*J2624,0)</x:f>
        <x:v>162</x:v>
      </x:c>
      <x:c r="N2624" s="9" t="n">
        <x:f>M2624*K2624</x:f>
        <x:v>32.4</x:v>
      </x:c>
      <x:c r="O2624" s="9" t="n">
        <x:f>M2624-N2624</x:f>
        <x:v>129.6</x:v>
      </x:c>
      <x:c r="P2624" s="9" t="n">
        <x:f>IF(D2624="Completed",L2624*J2624*(1-K2624),0)</x:f>
        <x:v>0</x:v>
      </x:c>
      <x:c r="Q2624" s="9" t="n">
        <x:f>O2624-P2624</x:f>
        <x:v>129.6</x:v>
      </x:c>
      <x:c r="R2624" s="11" t="n">
        <x:f>IF(D2624="Completed",I2624,0)</x:f>
        <x:v>2</x:v>
      </x:c>
      <x:c r="S2624" s="11" t="n">
        <x:f>IF(D2624="Completed",L2624,0)</x:f>
        <x:v>0</x:v>
      </x:c>
      <x:c r="T2624" s="8" t="n">
        <x:f>DATE(YEAR(C2624),MONTH(C2624),1)</x:f>
        <x:v>45839</x:v>
      </x:c>
    </x:row>
    <x:row r="2625" ht="22" customHeight="1">
      <x:c r="A2625" s="2" t="str">
        <x:v>L002621</x:v>
      </x:c>
      <x:c r="B2625" s="2" t="str">
        <x:v>O01075</x:v>
      </x:c>
      <x:c r="C2625" s="7" t="n">
        <x:v>45798</x:v>
      </x:c>
      <x:c r="D2625" s="2" t="str">
        <x:v>Completed</x:v>
      </x:c>
      <x:c r="E2625" s="2" t="str">
        <x:v>West</x:v>
      </x:c>
      <x:c r="F2625" s="2" t="str">
        <x:v>Store</x:v>
      </x:c>
      <x:c r="G2625" s="2" t="str">
        <x:v>Furniture</x:v>
      </x:c>
      <x:c r="H2625" s="2" t="str">
        <x:v>Chair 014</x:v>
      </x:c>
      <x:c r="I2625" s="11" t="n">
        <x:v>3</x:v>
      </x:c>
      <x:c r="J2625" s="9" t="n">
        <x:v>294</x:v>
      </x:c>
      <x:c r="K2625" s="10" t="n">
        <x:v>0.2</x:v>
      </x:c>
      <x:c r="L2625" s="11" t="n">
        <x:v>0</x:v>
      </x:c>
      <x:c r="M2625" s="9" t="n">
        <x:f>IF(D2625="Completed",I2625*J2625,0)</x:f>
        <x:v>882</x:v>
      </x:c>
      <x:c r="N2625" s="9" t="n">
        <x:f>M2625*K2625</x:f>
        <x:v>176.4</x:v>
      </x:c>
      <x:c r="O2625" s="9" t="n">
        <x:f>M2625-N2625</x:f>
        <x:v>705.6</x:v>
      </x:c>
      <x:c r="P2625" s="9" t="n">
        <x:f>IF(D2625="Completed",L2625*J2625*(1-K2625),0)</x:f>
        <x:v>0</x:v>
      </x:c>
      <x:c r="Q2625" s="9" t="n">
        <x:f>O2625-P2625</x:f>
        <x:v>705.6</x:v>
      </x:c>
      <x:c r="R2625" s="11" t="n">
        <x:f>IF(D2625="Completed",I2625,0)</x:f>
        <x:v>3</x:v>
      </x:c>
      <x:c r="S2625" s="11" t="n">
        <x:f>IF(D2625="Completed",L2625,0)</x:f>
        <x:v>0</x:v>
      </x:c>
      <x:c r="T2625" s="8" t="n">
        <x:f>DATE(YEAR(C2625),MONTH(C2625),1)</x:f>
        <x:v>45778</x:v>
      </x:c>
    </x:row>
    <x:row r="2626" ht="22" customHeight="1">
      <x:c r="A2626" s="2" t="str">
        <x:v>L002622</x:v>
      </x:c>
      <x:c r="B2626" s="2" t="str">
        <x:v>O01075</x:v>
      </x:c>
      <x:c r="C2626" s="7" t="n">
        <x:v>45798</x:v>
      </x:c>
      <x:c r="D2626" s="2" t="str">
        <x:v>Completed</x:v>
      </x:c>
      <x:c r="E2626" s="2" t="str">
        <x:v>West</x:v>
      </x:c>
      <x:c r="F2626" s="2" t="str">
        <x:v>Store</x:v>
      </x:c>
      <x:c r="G2626" s="2" t="str">
        <x:v>Storage</x:v>
      </x:c>
      <x:c r="H2626" s="2" t="str">
        <x:v>Shelf 015</x:v>
      </x:c>
      <x:c r="I2626" s="11" t="n">
        <x:v>2</x:v>
      </x:c>
      <x:c r="J2626" s="9" t="n">
        <x:v>254</x:v>
      </x:c>
      <x:c r="K2626" s="10" t="n">
        <x:v>0</x:v>
      </x:c>
      <x:c r="L2626" s="11" t="n">
        <x:v>0</x:v>
      </x:c>
      <x:c r="M2626" s="9" t="n">
        <x:f>IF(D2626="Completed",I2626*J2626,0)</x:f>
        <x:v>508</x:v>
      </x:c>
      <x:c r="N2626" s="9" t="n">
        <x:f>M2626*K2626</x:f>
        <x:v>0</x:v>
      </x:c>
      <x:c r="O2626" s="9" t="n">
        <x:f>M2626-N2626</x:f>
        <x:v>508</x:v>
      </x:c>
      <x:c r="P2626" s="9" t="n">
        <x:f>IF(D2626="Completed",L2626*J2626*(1-K2626),0)</x:f>
        <x:v>0</x:v>
      </x:c>
      <x:c r="Q2626" s="9" t="n">
        <x:f>O2626-P2626</x:f>
        <x:v>508</x:v>
      </x:c>
      <x:c r="R2626" s="11" t="n">
        <x:f>IF(D2626="Completed",I2626,0)</x:f>
        <x:v>2</x:v>
      </x:c>
      <x:c r="S2626" s="11" t="n">
        <x:f>IF(D2626="Completed",L2626,0)</x:f>
        <x:v>0</x:v>
      </x:c>
      <x:c r="T2626" s="8" t="n">
        <x:f>DATE(YEAR(C2626),MONTH(C2626),1)</x:f>
        <x:v>45778</x:v>
      </x:c>
    </x:row>
    <x:row r="2627" ht="22" customHeight="1">
      <x:c r="A2627" s="2" t="str">
        <x:v>L002623</x:v>
      </x:c>
      <x:c r="B2627" s="2" t="str">
        <x:v>O01075</x:v>
      </x:c>
      <x:c r="C2627" s="7" t="n">
        <x:v>45798</x:v>
      </x:c>
      <x:c r="D2627" s="2" t="str">
        <x:v>Completed</x:v>
      </x:c>
      <x:c r="E2627" s="2" t="str">
        <x:v>West</x:v>
      </x:c>
      <x:c r="F2627" s="2" t="str">
        <x:v>Store</x:v>
      </x:c>
      <x:c r="G2627" s="2" t="str">
        <x:v>Storage</x:v>
      </x:c>
      <x:c r="H2627" s="2" t="str">
        <x:v>Shelf 015</x:v>
      </x:c>
      <x:c r="I2627" s="11" t="n">
        <x:v>2</x:v>
      </x:c>
      <x:c r="J2627" s="9" t="n">
        <x:v>254</x:v>
      </x:c>
      <x:c r="K2627" s="10" t="n">
        <x:v>0.1</x:v>
      </x:c>
      <x:c r="L2627" s="11" t="n">
        <x:v>0</x:v>
      </x:c>
      <x:c r="M2627" s="9" t="n">
        <x:f>IF(D2627="Completed",I2627*J2627,0)</x:f>
        <x:v>508</x:v>
      </x:c>
      <x:c r="N2627" s="9" t="n">
        <x:f>M2627*K2627</x:f>
        <x:v>50.800000000000004</x:v>
      </x:c>
      <x:c r="O2627" s="9" t="n">
        <x:f>M2627-N2627</x:f>
        <x:v>457.2</x:v>
      </x:c>
      <x:c r="P2627" s="9" t="n">
        <x:f>IF(D2627="Completed",L2627*J2627*(1-K2627),0)</x:f>
        <x:v>0</x:v>
      </x:c>
      <x:c r="Q2627" s="9" t="n">
        <x:f>O2627-P2627</x:f>
        <x:v>457.2</x:v>
      </x:c>
      <x:c r="R2627" s="11" t="n">
        <x:f>IF(D2627="Completed",I2627,0)</x:f>
        <x:v>2</x:v>
      </x:c>
      <x:c r="S2627" s="11" t="n">
        <x:f>IF(D2627="Completed",L2627,0)</x:f>
        <x:v>0</x:v>
      </x:c>
      <x:c r="T2627" s="8" t="n">
        <x:f>DATE(YEAR(C2627),MONTH(C2627),1)</x:f>
        <x:v>45778</x:v>
      </x:c>
    </x:row>
    <x:row r="2628" ht="22" customHeight="1">
      <x:c r="A2628" s="2" t="str">
        <x:v>L002624</x:v>
      </x:c>
      <x:c r="B2628" s="2" t="str">
        <x:v>O01075</x:v>
      </x:c>
      <x:c r="C2628" s="7" t="n">
        <x:v>45798</x:v>
      </x:c>
      <x:c r="D2628" s="2" t="str">
        <x:v>Completed</x:v>
      </x:c>
      <x:c r="E2628" s="2" t="str">
        <x:v>West</x:v>
      </x:c>
      <x:c r="F2628" s="2" t="str">
        <x:v>Store</x:v>
      </x:c>
      <x:c r="G2628" s="2" t="str">
        <x:v>Furniture</x:v>
      </x:c>
      <x:c r="H2628" s="2" t="str">
        <x:v>Desk 024</x:v>
      </x:c>
      <x:c r="I2628" s="11" t="n">
        <x:v>1</x:v>
      </x:c>
      <x:c r="J2628" s="9" t="n">
        <x:v>81</x:v>
      </x:c>
      <x:c r="K2628" s="10" t="n">
        <x:v>0.1</x:v>
      </x:c>
      <x:c r="L2628" s="11" t="n">
        <x:v>0</x:v>
      </x:c>
      <x:c r="M2628" s="9" t="n">
        <x:f>IF(D2628="Completed",I2628*J2628,0)</x:f>
        <x:v>81</x:v>
      </x:c>
      <x:c r="N2628" s="9" t="n">
        <x:f>M2628*K2628</x:f>
        <x:v>8.1</x:v>
      </x:c>
      <x:c r="O2628" s="9" t="n">
        <x:f>M2628-N2628</x:f>
        <x:v>72.9</x:v>
      </x:c>
      <x:c r="P2628" s="9" t="n">
        <x:f>IF(D2628="Completed",L2628*J2628*(1-K2628),0)</x:f>
        <x:v>0</x:v>
      </x:c>
      <x:c r="Q2628" s="9" t="n">
        <x:f>O2628-P2628</x:f>
        <x:v>72.9</x:v>
      </x:c>
      <x:c r="R2628" s="11" t="n">
        <x:f>IF(D2628="Completed",I2628,0)</x:f>
        <x:v>1</x:v>
      </x:c>
      <x:c r="S2628" s="11" t="n">
        <x:f>IF(D2628="Completed",L2628,0)</x:f>
        <x:v>0</x:v>
      </x:c>
      <x:c r="T2628" s="8" t="n">
        <x:f>DATE(YEAR(C2628),MONTH(C2628),1)</x:f>
        <x:v>45778</x:v>
      </x:c>
    </x:row>
    <x:row r="2629" ht="22" customHeight="1">
      <x:c r="A2629" s="2" t="str">
        <x:v>L002625</x:v>
      </x:c>
      <x:c r="B2629" s="2" t="str">
        <x:v>O01076</x:v>
      </x:c>
      <x:c r="C2629" s="7" t="n">
        <x:v>45902</x:v>
      </x:c>
      <x:c r="D2629" s="2" t="str">
        <x:v>Completed</x:v>
      </x:c>
      <x:c r="E2629" s="2" t="str">
        <x:v>West</x:v>
      </x:c>
      <x:c r="F2629" s="2" t="str">
        <x:v>Online</x:v>
      </x:c>
      <x:c r="G2629" s="2" t="str">
        <x:v>Furniture</x:v>
      </x:c>
      <x:c r="H2629" s="2" t="str">
        <x:v>Chair 006</x:v>
      </x:c>
      <x:c r="I2629" s="11" t="n">
        <x:v>4</x:v>
      </x:c>
      <x:c r="J2629" s="9" t="n">
        <x:v>196</x:v>
      </x:c>
      <x:c r="K2629" s="10" t="n">
        <x:v>0.05</x:v>
      </x:c>
      <x:c r="L2629" s="11" t="n">
        <x:v>0</x:v>
      </x:c>
      <x:c r="M2629" s="9" t="n">
        <x:f>IF(D2629="Completed",I2629*J2629,0)</x:f>
        <x:v>784</x:v>
      </x:c>
      <x:c r="N2629" s="9" t="n">
        <x:f>M2629*K2629</x:f>
        <x:v>39.2</x:v>
      </x:c>
      <x:c r="O2629" s="9" t="n">
        <x:f>M2629-N2629</x:f>
        <x:v>744.8</x:v>
      </x:c>
      <x:c r="P2629" s="9" t="n">
        <x:f>IF(D2629="Completed",L2629*J2629*(1-K2629),0)</x:f>
        <x:v>0</x:v>
      </x:c>
      <x:c r="Q2629" s="9" t="n">
        <x:f>O2629-P2629</x:f>
        <x:v>744.8</x:v>
      </x:c>
      <x:c r="R2629" s="11" t="n">
        <x:f>IF(D2629="Completed",I2629,0)</x:f>
        <x:v>4</x:v>
      </x:c>
      <x:c r="S2629" s="11" t="n">
        <x:f>IF(D2629="Completed",L2629,0)</x:f>
        <x:v>0</x:v>
      </x:c>
      <x:c r="T2629" s="8" t="n">
        <x:f>DATE(YEAR(C2629),MONTH(C2629),1)</x:f>
        <x:v>45901</x:v>
      </x:c>
    </x:row>
    <x:row r="2630" ht="22" customHeight="1">
      <x:c r="A2630" s="2" t="str">
        <x:v>L002626</x:v>
      </x:c>
      <x:c r="B2630" s="2" t="str">
        <x:v>O01077</x:v>
      </x:c>
      <x:c r="C2630" s="7" t="n">
        <x:v>45845</x:v>
      </x:c>
      <x:c r="D2630" s="2" t="str">
        <x:v>Completed</x:v>
      </x:c>
      <x:c r="E2630" s="2" t="str">
        <x:v>West</x:v>
      </x:c>
      <x:c r="F2630" s="2" t="str">
        <x:v>Online</x:v>
      </x:c>
      <x:c r="G2630" s="2" t="str">
        <x:v>Furniture</x:v>
      </x:c>
      <x:c r="H2630" s="2" t="str">
        <x:v>Desk 016</x:v>
      </x:c>
      <x:c r="I2630" s="11" t="n">
        <x:v>4</x:v>
      </x:c>
      <x:c r="J2630" s="9" t="n">
        <x:v>231</x:v>
      </x:c>
      <x:c r="K2630" s="10" t="n">
        <x:v>0.1</x:v>
      </x:c>
      <x:c r="L2630" s="11" t="n">
        <x:v>0</x:v>
      </x:c>
      <x:c r="M2630" s="9" t="n">
        <x:f>IF(D2630="Completed",I2630*J2630,0)</x:f>
        <x:v>924</x:v>
      </x:c>
      <x:c r="N2630" s="9" t="n">
        <x:f>M2630*K2630</x:f>
        <x:v>92.4</x:v>
      </x:c>
      <x:c r="O2630" s="9" t="n">
        <x:f>M2630-N2630</x:f>
        <x:v>831.6</x:v>
      </x:c>
      <x:c r="P2630" s="9" t="n">
        <x:f>IF(D2630="Completed",L2630*J2630*(1-K2630),0)</x:f>
        <x:v>0</x:v>
      </x:c>
      <x:c r="Q2630" s="9" t="n">
        <x:f>O2630-P2630</x:f>
        <x:v>831.6</x:v>
      </x:c>
      <x:c r="R2630" s="11" t="n">
        <x:f>IF(D2630="Completed",I2630,0)</x:f>
        <x:v>4</x:v>
      </x:c>
      <x:c r="S2630" s="11" t="n">
        <x:f>IF(D2630="Completed",L2630,0)</x:f>
        <x:v>0</x:v>
      </x:c>
      <x:c r="T2630" s="8" t="n">
        <x:f>DATE(YEAR(C2630),MONTH(C2630),1)</x:f>
        <x:v>45839</x:v>
      </x:c>
    </x:row>
    <x:row r="2631" ht="22" customHeight="1">
      <x:c r="A2631" s="2" t="str">
        <x:v>L002627</x:v>
      </x:c>
      <x:c r="B2631" s="2" t="str">
        <x:v>O01077</x:v>
      </x:c>
      <x:c r="C2631" s="7" t="n">
        <x:v>45845</x:v>
      </x:c>
      <x:c r="D2631" s="2" t="str">
        <x:v>Completed</x:v>
      </x:c>
      <x:c r="E2631" s="2" t="str">
        <x:v>West</x:v>
      </x:c>
      <x:c r="F2631" s="2" t="str">
        <x:v>Online</x:v>
      </x:c>
      <x:c r="G2631" s="2" t="str">
        <x:v>Furniture</x:v>
      </x:c>
      <x:c r="H2631" s="2" t="str">
        <x:v>Desk 004</x:v>
      </x:c>
      <x:c r="I2631" s="11" t="n">
        <x:v>5</x:v>
      </x:c>
      <x:c r="J2631" s="9" t="n">
        <x:v>123</x:v>
      </x:c>
      <x:c r="K2631" s="10" t="n">
        <x:v>0.05</x:v>
      </x:c>
      <x:c r="L2631" s="11" t="n">
        <x:v>3</x:v>
      </x:c>
      <x:c r="M2631" s="9" t="n">
        <x:f>IF(D2631="Completed",I2631*J2631,0)</x:f>
        <x:v>615</x:v>
      </x:c>
      <x:c r="N2631" s="9" t="n">
        <x:f>M2631*K2631</x:f>
        <x:v>30.75</x:v>
      </x:c>
      <x:c r="O2631" s="9" t="n">
        <x:f>M2631-N2631</x:f>
        <x:v>584.25</x:v>
      </x:c>
      <x:c r="P2631" s="9" t="n">
        <x:f>IF(D2631="Completed",L2631*J2631*(1-K2631),0)</x:f>
        <x:v>350.55</x:v>
      </x:c>
      <x:c r="Q2631" s="9" t="n">
        <x:f>O2631-P2631</x:f>
        <x:v>233.7</x:v>
      </x:c>
      <x:c r="R2631" s="11" t="n">
        <x:f>IF(D2631="Completed",I2631,0)</x:f>
        <x:v>5</x:v>
      </x:c>
      <x:c r="S2631" s="11" t="n">
        <x:f>IF(D2631="Completed",L2631,0)</x:f>
        <x:v>3</x:v>
      </x:c>
      <x:c r="T2631" s="8" t="n">
        <x:f>DATE(YEAR(C2631),MONTH(C2631),1)</x:f>
        <x:v>45839</x:v>
      </x:c>
    </x:row>
    <x:row r="2632" ht="22" customHeight="1">
      <x:c r="A2632" s="2" t="str">
        <x:v>L002628</x:v>
      </x:c>
      <x:c r="B2632" s="2" t="str">
        <x:v>O01078</x:v>
      </x:c>
      <x:c r="C2632" s="7" t="n">
        <x:v>45958</x:v>
      </x:c>
      <x:c r="D2632" s="2" t="str">
        <x:v>Completed</x:v>
      </x:c>
      <x:c r="E2632" s="2" t="str">
        <x:v>West</x:v>
      </x:c>
      <x:c r="F2632" s="2" t="str">
        <x:v>Online</x:v>
      </x:c>
      <x:c r="G2632" s="2" t="str">
        <x:v>Furniture</x:v>
      </x:c>
      <x:c r="H2632" s="2" t="str">
        <x:v>Desk 004</x:v>
      </x:c>
      <x:c r="I2632" s="11" t="n">
        <x:v>2</x:v>
      </x:c>
      <x:c r="J2632" s="9" t="n">
        <x:v>123</x:v>
      </x:c>
      <x:c r="K2632" s="10" t="n">
        <x:v>0.2</x:v>
      </x:c>
      <x:c r="L2632" s="11" t="n">
        <x:v>0</x:v>
      </x:c>
      <x:c r="M2632" s="9" t="n">
        <x:f>IF(D2632="Completed",I2632*J2632,0)</x:f>
        <x:v>246</x:v>
      </x:c>
      <x:c r="N2632" s="9" t="n">
        <x:f>M2632*K2632</x:f>
        <x:v>49.2</x:v>
      </x:c>
      <x:c r="O2632" s="9" t="n">
        <x:f>M2632-N2632</x:f>
        <x:v>196.8</x:v>
      </x:c>
      <x:c r="P2632" s="9" t="n">
        <x:f>IF(D2632="Completed",L2632*J2632*(1-K2632),0)</x:f>
        <x:v>0</x:v>
      </x:c>
      <x:c r="Q2632" s="9" t="n">
        <x:f>O2632-P2632</x:f>
        <x:v>196.8</x:v>
      </x:c>
      <x:c r="R2632" s="11" t="n">
        <x:f>IF(D2632="Completed",I2632,0)</x:f>
        <x:v>2</x:v>
      </x:c>
      <x:c r="S2632" s="11" t="n">
        <x:f>IF(D2632="Completed",L2632,0)</x:f>
        <x:v>0</x:v>
      </x:c>
      <x:c r="T2632" s="8" t="n">
        <x:f>DATE(YEAR(C2632),MONTH(C2632),1)</x:f>
        <x:v>45931</x:v>
      </x:c>
    </x:row>
    <x:row r="2633" ht="22" customHeight="1">
      <x:c r="A2633" s="2" t="str">
        <x:v>L002629</x:v>
      </x:c>
      <x:c r="B2633" s="2" t="str">
        <x:v>O01078</x:v>
      </x:c>
      <x:c r="C2633" s="7" t="n">
        <x:v>45958</x:v>
      </x:c>
      <x:c r="D2633" s="2" t="str">
        <x:v>Completed</x:v>
      </x:c>
      <x:c r="E2633" s="2" t="str">
        <x:v>West</x:v>
      </x:c>
      <x:c r="F2633" s="2" t="str">
        <x:v>Online</x:v>
      </x:c>
      <x:c r="G2633" s="2" t="str">
        <x:v>Lighting</x:v>
      </x:c>
      <x:c r="H2633" s="2" t="str">
        <x:v>Lamp 021</x:v>
      </x:c>
      <x:c r="I2633" s="11" t="n">
        <x:v>5</x:v>
      </x:c>
      <x:c r="J2633" s="9" t="n">
        <x:v>249</x:v>
      </x:c>
      <x:c r="K2633" s="10" t="n">
        <x:v>0.1</x:v>
      </x:c>
      <x:c r="L2633" s="11" t="n">
        <x:v>0</x:v>
      </x:c>
      <x:c r="M2633" s="9" t="n">
        <x:f>IF(D2633="Completed",I2633*J2633,0)</x:f>
        <x:v>1245</x:v>
      </x:c>
      <x:c r="N2633" s="9" t="n">
        <x:f>M2633*K2633</x:f>
        <x:v>124.5</x:v>
      </x:c>
      <x:c r="O2633" s="9" t="n">
        <x:f>M2633-N2633</x:f>
        <x:v>1120.5</x:v>
      </x:c>
      <x:c r="P2633" s="9" t="n">
        <x:f>IF(D2633="Completed",L2633*J2633*(1-K2633),0)</x:f>
        <x:v>0</x:v>
      </x:c>
      <x:c r="Q2633" s="9" t="n">
        <x:f>O2633-P2633</x:f>
        <x:v>1120.5</x:v>
      </x:c>
      <x:c r="R2633" s="11" t="n">
        <x:f>IF(D2633="Completed",I2633,0)</x:f>
        <x:v>5</x:v>
      </x:c>
      <x:c r="S2633" s="11" t="n">
        <x:f>IF(D2633="Completed",L2633,0)</x:f>
        <x:v>0</x:v>
      </x:c>
      <x:c r="T2633" s="8" t="n">
        <x:f>DATE(YEAR(C2633),MONTH(C2633),1)</x:f>
        <x:v>45931</x:v>
      </x:c>
    </x:row>
    <x:row r="2634" ht="22" customHeight="1">
      <x:c r="A2634" s="2" t="str">
        <x:v>L002630</x:v>
      </x:c>
      <x:c r="B2634" s="2" t="str">
        <x:v>O01078</x:v>
      </x:c>
      <x:c r="C2634" s="7" t="n">
        <x:v>45958</x:v>
      </x:c>
      <x:c r="D2634" s="2" t="str">
        <x:v>Completed</x:v>
      </x:c>
      <x:c r="E2634" s="2" t="str">
        <x:v>West</x:v>
      </x:c>
      <x:c r="F2634" s="2" t="str">
        <x:v>Online</x:v>
      </x:c>
      <x:c r="G2634" s="2" t="str">
        <x:v>Lighting</x:v>
      </x:c>
      <x:c r="H2634" s="2" t="str">
        <x:v>Lamp 001</x:v>
      </x:c>
      <x:c r="I2634" s="11" t="n">
        <x:v>3</x:v>
      </x:c>
      <x:c r="J2634" s="9" t="n">
        <x:v>122</x:v>
      </x:c>
      <x:c r="K2634" s="10" t="n">
        <x:v>0.05</x:v>
      </x:c>
      <x:c r="L2634" s="11" t="n">
        <x:v>0</x:v>
      </x:c>
      <x:c r="M2634" s="9" t="n">
        <x:f>IF(D2634="Completed",I2634*J2634,0)</x:f>
        <x:v>366</x:v>
      </x:c>
      <x:c r="N2634" s="9" t="n">
        <x:f>M2634*K2634</x:f>
        <x:v>18.3</x:v>
      </x:c>
      <x:c r="O2634" s="9" t="n">
        <x:f>M2634-N2634</x:f>
        <x:v>347.7</x:v>
      </x:c>
      <x:c r="P2634" s="9" t="n">
        <x:f>IF(D2634="Completed",L2634*J2634*(1-K2634),0)</x:f>
        <x:v>0</x:v>
      </x:c>
      <x:c r="Q2634" s="9" t="n">
        <x:f>O2634-P2634</x:f>
        <x:v>347.7</x:v>
      </x:c>
      <x:c r="R2634" s="11" t="n">
        <x:f>IF(D2634="Completed",I2634,0)</x:f>
        <x:v>3</x:v>
      </x:c>
      <x:c r="S2634" s="11" t="n">
        <x:f>IF(D2634="Completed",L2634,0)</x:f>
        <x:v>0</x:v>
      </x:c>
      <x:c r="T2634" s="8" t="n">
        <x:f>DATE(YEAR(C2634),MONTH(C2634),1)</x:f>
        <x:v>45931</x:v>
      </x:c>
    </x:row>
    <x:row r="2635" ht="22" customHeight="1">
      <x:c r="A2635" s="2" t="str">
        <x:v>L002631</x:v>
      </x:c>
      <x:c r="B2635" s="2" t="str">
        <x:v>O01078</x:v>
      </x:c>
      <x:c r="C2635" s="7" t="n">
        <x:v>45958</x:v>
      </x:c>
      <x:c r="D2635" s="2" t="str">
        <x:v>Completed</x:v>
      </x:c>
      <x:c r="E2635" s="2" t="str">
        <x:v>West</x:v>
      </x:c>
      <x:c r="F2635" s="2" t="str">
        <x:v>Online</x:v>
      </x:c>
      <x:c r="G2635" s="2" t="str">
        <x:v>Storage</x:v>
      </x:c>
      <x:c r="H2635" s="2" t="str">
        <x:v>Shelf 003</x:v>
      </x:c>
      <x:c r="I2635" s="11" t="n">
        <x:v>5</x:v>
      </x:c>
      <x:c r="J2635" s="9" t="n">
        <x:v>199</x:v>
      </x:c>
      <x:c r="K2635" s="10" t="n">
        <x:v>0.05</x:v>
      </x:c>
      <x:c r="L2635" s="11" t="n">
        <x:v>0</x:v>
      </x:c>
      <x:c r="M2635" s="9" t="n">
        <x:f>IF(D2635="Completed",I2635*J2635,0)</x:f>
        <x:v>995</x:v>
      </x:c>
      <x:c r="N2635" s="9" t="n">
        <x:f>M2635*K2635</x:f>
        <x:v>49.75</x:v>
      </x:c>
      <x:c r="O2635" s="9" t="n">
        <x:f>M2635-N2635</x:f>
        <x:v>945.25</x:v>
      </x:c>
      <x:c r="P2635" s="9" t="n">
        <x:f>IF(D2635="Completed",L2635*J2635*(1-K2635),0)</x:f>
        <x:v>0</x:v>
      </x:c>
      <x:c r="Q2635" s="9" t="n">
        <x:f>O2635-P2635</x:f>
        <x:v>945.25</x:v>
      </x:c>
      <x:c r="R2635" s="11" t="n">
        <x:f>IF(D2635="Completed",I2635,0)</x:f>
        <x:v>5</x:v>
      </x:c>
      <x:c r="S2635" s="11" t="n">
        <x:f>IF(D2635="Completed",L2635,0)</x:f>
        <x:v>0</x:v>
      </x:c>
      <x:c r="T2635" s="8" t="n">
        <x:f>DATE(YEAR(C2635),MONTH(C2635),1)</x:f>
        <x:v>45931</x:v>
      </x:c>
    </x:row>
    <x:row r="2636" ht="22" customHeight="1">
      <x:c r="A2636" s="2" t="str">
        <x:v>L002632</x:v>
      </x:c>
      <x:c r="B2636" s="2" t="str">
        <x:v>O01079</x:v>
      </x:c>
      <x:c r="C2636" s="7" t="n">
        <x:v>45897</x:v>
      </x:c>
      <x:c r="D2636" s="2" t="str">
        <x:v>Completed</x:v>
      </x:c>
      <x:c r="E2636" s="2" t="str">
        <x:v>West</x:v>
      </x:c>
      <x:c r="F2636" s="2" t="str">
        <x:v>Store</x:v>
      </x:c>
      <x:c r="G2636" s="2" t="str">
        <x:v>Lighting</x:v>
      </x:c>
      <x:c r="H2636" s="2" t="str">
        <x:v>Lamp 009</x:v>
      </x:c>
      <x:c r="I2636" s="11" t="n">
        <x:v>3</x:v>
      </x:c>
      <x:c r="J2636" s="9" t="n">
        <x:v>93</x:v>
      </x:c>
      <x:c r="K2636" s="10" t="n">
        <x:v>0.2</x:v>
      </x:c>
      <x:c r="L2636" s="11" t="n">
        <x:v>0</x:v>
      </x:c>
      <x:c r="M2636" s="9" t="n">
        <x:f>IF(D2636="Completed",I2636*J2636,0)</x:f>
        <x:v>279</x:v>
      </x:c>
      <x:c r="N2636" s="9" t="n">
        <x:f>M2636*K2636</x:f>
        <x:v>55.800000000000004</x:v>
      </x:c>
      <x:c r="O2636" s="9" t="n">
        <x:f>M2636-N2636</x:f>
        <x:v>223.2</x:v>
      </x:c>
      <x:c r="P2636" s="9" t="n">
        <x:f>IF(D2636="Completed",L2636*J2636*(1-K2636),0)</x:f>
        <x:v>0</x:v>
      </x:c>
      <x:c r="Q2636" s="9" t="n">
        <x:f>O2636-P2636</x:f>
        <x:v>223.2</x:v>
      </x:c>
      <x:c r="R2636" s="11" t="n">
        <x:f>IF(D2636="Completed",I2636,0)</x:f>
        <x:v>3</x:v>
      </x:c>
      <x:c r="S2636" s="11" t="n">
        <x:f>IF(D2636="Completed",L2636,0)</x:f>
        <x:v>0</x:v>
      </x:c>
      <x:c r="T2636" s="8" t="n">
        <x:f>DATE(YEAR(C2636),MONTH(C2636),1)</x:f>
        <x:v>45870</x:v>
      </x:c>
    </x:row>
    <x:row r="2637" ht="22" customHeight="1">
      <x:c r="A2637" s="2" t="str">
        <x:v>L002633</x:v>
      </x:c>
      <x:c r="B2637" s="2" t="str">
        <x:v>O01079</x:v>
      </x:c>
      <x:c r="C2637" s="7" t="n">
        <x:v>45897</x:v>
      </x:c>
      <x:c r="D2637" s="2" t="str">
        <x:v>Completed</x:v>
      </x:c>
      <x:c r="E2637" s="2" t="str">
        <x:v>West</x:v>
      </x:c>
      <x:c r="F2637" s="2" t="str">
        <x:v>Store</x:v>
      </x:c>
      <x:c r="G2637" s="2" t="str">
        <x:v>Furniture</x:v>
      </x:c>
      <x:c r="H2637" s="2" t="str">
        <x:v>Desk 024</x:v>
      </x:c>
      <x:c r="I2637" s="11" t="n">
        <x:v>1</x:v>
      </x:c>
      <x:c r="J2637" s="9" t="n">
        <x:v>81</x:v>
      </x:c>
      <x:c r="K2637" s="10" t="n">
        <x:v>0.1</x:v>
      </x:c>
      <x:c r="L2637" s="11" t="n">
        <x:v>0</x:v>
      </x:c>
      <x:c r="M2637" s="9" t="n">
        <x:f>IF(D2637="Completed",I2637*J2637,0)</x:f>
        <x:v>81</x:v>
      </x:c>
      <x:c r="N2637" s="9" t="n">
        <x:f>M2637*K2637</x:f>
        <x:v>8.1</x:v>
      </x:c>
      <x:c r="O2637" s="9" t="n">
        <x:f>M2637-N2637</x:f>
        <x:v>72.9</x:v>
      </x:c>
      <x:c r="P2637" s="9" t="n">
        <x:f>IF(D2637="Completed",L2637*J2637*(1-K2637),0)</x:f>
        <x:v>0</x:v>
      </x:c>
      <x:c r="Q2637" s="9" t="n">
        <x:f>O2637-P2637</x:f>
        <x:v>72.9</x:v>
      </x:c>
      <x:c r="R2637" s="11" t="n">
        <x:f>IF(D2637="Completed",I2637,0)</x:f>
        <x:v>1</x:v>
      </x:c>
      <x:c r="S2637" s="11" t="n">
        <x:f>IF(D2637="Completed",L2637,0)</x:f>
        <x:v>0</x:v>
      </x:c>
      <x:c r="T2637" s="8" t="n">
        <x:f>DATE(YEAR(C2637),MONTH(C2637),1)</x:f>
        <x:v>45870</x:v>
      </x:c>
    </x:row>
    <x:row r="2638" ht="22" customHeight="1">
      <x:c r="A2638" s="2" t="str">
        <x:v>L002634</x:v>
      </x:c>
      <x:c r="B2638" s="2" t="str">
        <x:v>O01080</x:v>
      </x:c>
      <x:c r="C2638" s="7" t="n">
        <x:v>45767</x:v>
      </x:c>
      <x:c r="D2638" s="2" t="str">
        <x:v>Completed</x:v>
      </x:c>
      <x:c r="E2638" s="2" t="str">
        <x:v>South</x:v>
      </x:c>
      <x:c r="F2638" s="2" t="str">
        <x:v>Store</x:v>
      </x:c>
      <x:c r="G2638" s="2" t="str">
        <x:v>Furniture</x:v>
      </x:c>
      <x:c r="H2638" s="2" t="str">
        <x:v>Chair 014</x:v>
      </x:c>
      <x:c r="I2638" s="11" t="n">
        <x:v>3</x:v>
      </x:c>
      <x:c r="J2638" s="9" t="n">
        <x:v>294</x:v>
      </x:c>
      <x:c r="K2638" s="10" t="n">
        <x:v>0.2</x:v>
      </x:c>
      <x:c r="L2638" s="11" t="n">
        <x:v>0</x:v>
      </x:c>
      <x:c r="M2638" s="9" t="n">
        <x:f>IF(D2638="Completed",I2638*J2638,0)</x:f>
        <x:v>882</x:v>
      </x:c>
      <x:c r="N2638" s="9" t="n">
        <x:f>M2638*K2638</x:f>
        <x:v>176.4</x:v>
      </x:c>
      <x:c r="O2638" s="9" t="n">
        <x:f>M2638-N2638</x:f>
        <x:v>705.6</x:v>
      </x:c>
      <x:c r="P2638" s="9" t="n">
        <x:f>IF(D2638="Completed",L2638*J2638*(1-K2638),0)</x:f>
        <x:v>0</x:v>
      </x:c>
      <x:c r="Q2638" s="9" t="n">
        <x:f>O2638-P2638</x:f>
        <x:v>705.6</x:v>
      </x:c>
      <x:c r="R2638" s="11" t="n">
        <x:f>IF(D2638="Completed",I2638,0)</x:f>
        <x:v>3</x:v>
      </x:c>
      <x:c r="S2638" s="11" t="n">
        <x:f>IF(D2638="Completed",L2638,0)</x:f>
        <x:v>0</x:v>
      </x:c>
      <x:c r="T2638" s="8" t="n">
        <x:f>DATE(YEAR(C2638),MONTH(C2638),1)</x:f>
        <x:v>45748</x:v>
      </x:c>
    </x:row>
    <x:row r="2639" ht="22" customHeight="1">
      <x:c r="A2639" s="2" t="str">
        <x:v>L002635</x:v>
      </x:c>
      <x:c r="B2639" s="2" t="str">
        <x:v>O01080</x:v>
      </x:c>
      <x:c r="C2639" s="7" t="n">
        <x:v>45767</x:v>
      </x:c>
      <x:c r="D2639" s="2" t="str">
        <x:v>Completed</x:v>
      </x:c>
      <x:c r="E2639" s="2" t="str">
        <x:v>South</x:v>
      </x:c>
      <x:c r="F2639" s="2" t="str">
        <x:v>Store</x:v>
      </x:c>
      <x:c r="G2639" s="2" t="str">
        <x:v>Lighting</x:v>
      </x:c>
      <x:c r="H2639" s="2" t="str">
        <x:v>Lamp 005</x:v>
      </x:c>
      <x:c r="I2639" s="11" t="n">
        <x:v>1</x:v>
      </x:c>
      <x:c r="J2639" s="9" t="n">
        <x:v>65</x:v>
      </x:c>
      <x:c r="K2639" s="10" t="n">
        <x:v>0.1</x:v>
      </x:c>
      <x:c r="L2639" s="11" t="n">
        <x:v>0</x:v>
      </x:c>
      <x:c r="M2639" s="9" t="n">
        <x:f>IF(D2639="Completed",I2639*J2639,0)</x:f>
        <x:v>65</x:v>
      </x:c>
      <x:c r="N2639" s="9" t="n">
        <x:f>M2639*K2639</x:f>
        <x:v>6.5</x:v>
      </x:c>
      <x:c r="O2639" s="9" t="n">
        <x:f>M2639-N2639</x:f>
        <x:v>58.5</x:v>
      </x:c>
      <x:c r="P2639" s="9" t="n">
        <x:f>IF(D2639="Completed",L2639*J2639*(1-K2639),0)</x:f>
        <x:v>0</x:v>
      </x:c>
      <x:c r="Q2639" s="9" t="n">
        <x:f>O2639-P2639</x:f>
        <x:v>58.5</x:v>
      </x:c>
      <x:c r="R2639" s="11" t="n">
        <x:f>IF(D2639="Completed",I2639,0)</x:f>
        <x:v>1</x:v>
      </x:c>
      <x:c r="S2639" s="11" t="n">
        <x:f>IF(D2639="Completed",L2639,0)</x:f>
        <x:v>0</x:v>
      </x:c>
      <x:c r="T2639" s="8" t="n">
        <x:f>DATE(YEAR(C2639),MONTH(C2639),1)</x:f>
        <x:v>45748</x:v>
      </x:c>
    </x:row>
    <x:row r="2640" ht="22" customHeight="1">
      <x:c r="A2640" s="2" t="str">
        <x:v>L002636</x:v>
      </x:c>
      <x:c r="B2640" s="2" t="str">
        <x:v>O01081</x:v>
      </x:c>
      <x:c r="C2640" s="7" t="n">
        <x:v>45679</x:v>
      </x:c>
      <x:c r="D2640" s="2" t="str">
        <x:v>Completed</x:v>
      </x:c>
      <x:c r="E2640" s="2" t="str">
        <x:v>South</x:v>
      </x:c>
      <x:c r="F2640" s="2" t="str">
        <x:v>Store</x:v>
      </x:c>
      <x:c r="G2640" s="2" t="str">
        <x:v>Lighting</x:v>
      </x:c>
      <x:c r="H2640" s="2" t="str">
        <x:v>Lamp 005</x:v>
      </x:c>
      <x:c r="I2640" s="11" t="n">
        <x:v>2</x:v>
      </x:c>
      <x:c r="J2640" s="9" t="n">
        <x:v>65</x:v>
      </x:c>
      <x:c r="K2640" s="10" t="n">
        <x:v>0.1</x:v>
      </x:c>
      <x:c r="L2640" s="11" t="n">
        <x:v>0</x:v>
      </x:c>
      <x:c r="M2640" s="9" t="n">
        <x:f>IF(D2640="Completed",I2640*J2640,0)</x:f>
        <x:v>130</x:v>
      </x:c>
      <x:c r="N2640" s="9" t="n">
        <x:f>M2640*K2640</x:f>
        <x:v>13</x:v>
      </x:c>
      <x:c r="O2640" s="9" t="n">
        <x:f>M2640-N2640</x:f>
        <x:v>117</x:v>
      </x:c>
      <x:c r="P2640" s="9" t="n">
        <x:f>IF(D2640="Completed",L2640*J2640*(1-K2640),0)</x:f>
        <x:v>0</x:v>
      </x:c>
      <x:c r="Q2640" s="9" t="n">
        <x:f>O2640-P2640</x:f>
        <x:v>117</x:v>
      </x:c>
      <x:c r="R2640" s="11" t="n">
        <x:f>IF(D2640="Completed",I2640,0)</x:f>
        <x:v>2</x:v>
      </x:c>
      <x:c r="S2640" s="11" t="n">
        <x:f>IF(D2640="Completed",L2640,0)</x:f>
        <x:v>0</x:v>
      </x:c>
      <x:c r="T2640" s="8" t="n">
        <x:f>DATE(YEAR(C2640),MONTH(C2640),1)</x:f>
        <x:v>45658</x:v>
      </x:c>
    </x:row>
    <x:row r="2641" ht="22" customHeight="1">
      <x:c r="A2641" s="2" t="str">
        <x:v>L002637</x:v>
      </x:c>
      <x:c r="B2641" s="2" t="str">
        <x:v>O01081</x:v>
      </x:c>
      <x:c r="C2641" s="7" t="n">
        <x:v>45679</x:v>
      </x:c>
      <x:c r="D2641" s="2" t="str">
        <x:v>Completed</x:v>
      </x:c>
      <x:c r="E2641" s="2" t="str">
        <x:v>South</x:v>
      </x:c>
      <x:c r="F2641" s="2" t="str">
        <x:v>Store</x:v>
      </x:c>
      <x:c r="G2641" s="2" t="str">
        <x:v>Furniture</x:v>
      </x:c>
      <x:c r="H2641" s="2" t="str">
        <x:v>Desk 024</x:v>
      </x:c>
      <x:c r="I2641" s="11" t="n">
        <x:v>1</x:v>
      </x:c>
      <x:c r="J2641" s="9" t="n">
        <x:v>81</x:v>
      </x:c>
      <x:c r="K2641" s="10" t="n">
        <x:v>0.1</x:v>
      </x:c>
      <x:c r="L2641" s="11" t="n">
        <x:v>0</x:v>
      </x:c>
      <x:c r="M2641" s="9" t="n">
        <x:f>IF(D2641="Completed",I2641*J2641,0)</x:f>
        <x:v>81</x:v>
      </x:c>
      <x:c r="N2641" s="9" t="n">
        <x:f>M2641*K2641</x:f>
        <x:v>8.1</x:v>
      </x:c>
      <x:c r="O2641" s="9" t="n">
        <x:f>M2641-N2641</x:f>
        <x:v>72.9</x:v>
      </x:c>
      <x:c r="P2641" s="9" t="n">
        <x:f>IF(D2641="Completed",L2641*J2641*(1-K2641),0)</x:f>
        <x:v>0</x:v>
      </x:c>
      <x:c r="Q2641" s="9" t="n">
        <x:f>O2641-P2641</x:f>
        <x:v>72.9</x:v>
      </x:c>
      <x:c r="R2641" s="11" t="n">
        <x:f>IF(D2641="Completed",I2641,0)</x:f>
        <x:v>1</x:v>
      </x:c>
      <x:c r="S2641" s="11" t="n">
        <x:f>IF(D2641="Completed",L2641,0)</x:f>
        <x:v>0</x:v>
      </x:c>
      <x:c r="T2641" s="8" t="n">
        <x:f>DATE(YEAR(C2641),MONTH(C2641),1)</x:f>
        <x:v>45658</x:v>
      </x:c>
    </x:row>
    <x:row r="2642" ht="22" customHeight="1">
      <x:c r="A2642" s="2" t="str">
        <x:v>L002638</x:v>
      </x:c>
      <x:c r="B2642" s="2" t="str">
        <x:v>O01081</x:v>
      </x:c>
      <x:c r="C2642" s="7" t="n">
        <x:v>45679</x:v>
      </x:c>
      <x:c r="D2642" s="2" t="str">
        <x:v>Completed</x:v>
      </x:c>
      <x:c r="E2642" s="2" t="str">
        <x:v>South</x:v>
      </x:c>
      <x:c r="F2642" s="2" t="str">
        <x:v>Store</x:v>
      </x:c>
      <x:c r="G2642" s="2" t="str">
        <x:v>Lighting</x:v>
      </x:c>
      <x:c r="H2642" s="2" t="str">
        <x:v>Lamp 017</x:v>
      </x:c>
      <x:c r="I2642" s="11" t="n">
        <x:v>2</x:v>
      </x:c>
      <x:c r="J2642" s="9" t="n">
        <x:v>300</x:v>
      </x:c>
      <x:c r="K2642" s="10" t="n">
        <x:v>0.2</x:v>
      </x:c>
      <x:c r="L2642" s="11" t="n">
        <x:v>1</x:v>
      </x:c>
      <x:c r="M2642" s="9" t="n">
        <x:f>IF(D2642="Completed",I2642*J2642,0)</x:f>
        <x:v>600</x:v>
      </x:c>
      <x:c r="N2642" s="9" t="n">
        <x:f>M2642*K2642</x:f>
        <x:v>120</x:v>
      </x:c>
      <x:c r="O2642" s="9" t="n">
        <x:f>M2642-N2642</x:f>
        <x:v>480</x:v>
      </x:c>
      <x:c r="P2642" s="9" t="n">
        <x:f>IF(D2642="Completed",L2642*J2642*(1-K2642),0)</x:f>
        <x:v>240</x:v>
      </x:c>
      <x:c r="Q2642" s="9" t="n">
        <x:f>O2642-P2642</x:f>
        <x:v>240</x:v>
      </x:c>
      <x:c r="R2642" s="11" t="n">
        <x:f>IF(D2642="Completed",I2642,0)</x:f>
        <x:v>2</x:v>
      </x:c>
      <x:c r="S2642" s="11" t="n">
        <x:f>IF(D2642="Completed",L2642,0)</x:f>
        <x:v>1</x:v>
      </x:c>
      <x:c r="T2642" s="8" t="n">
        <x:f>DATE(YEAR(C2642),MONTH(C2642),1)</x:f>
        <x:v>45658</x:v>
      </x:c>
    </x:row>
    <x:row r="2643" ht="22" customHeight="1">
      <x:c r="A2643" s="2" t="str">
        <x:v>L002639</x:v>
      </x:c>
      <x:c r="B2643" s="2" t="str">
        <x:v>O01082</x:v>
      </x:c>
      <x:c r="C2643" s="7" t="n">
        <x:v>45688</x:v>
      </x:c>
      <x:c r="D2643" s="2" t="str">
        <x:v>Completed</x:v>
      </x:c>
      <x:c r="E2643" s="2" t="str">
        <x:v>East</x:v>
      </x:c>
      <x:c r="F2643" s="2" t="str">
        <x:v>Online</x:v>
      </x:c>
      <x:c r="G2643" s="2" t="str">
        <x:v>Lighting</x:v>
      </x:c>
      <x:c r="H2643" s="2" t="str">
        <x:v>Lamp 001</x:v>
      </x:c>
      <x:c r="I2643" s="11" t="n">
        <x:v>1</x:v>
      </x:c>
      <x:c r="J2643" s="9" t="n">
        <x:v>122</x:v>
      </x:c>
      <x:c r="K2643" s="10" t="n">
        <x:v>0.2</x:v>
      </x:c>
      <x:c r="L2643" s="11" t="n">
        <x:v>0</x:v>
      </x:c>
      <x:c r="M2643" s="9" t="n">
        <x:f>IF(D2643="Completed",I2643*J2643,0)</x:f>
        <x:v>122</x:v>
      </x:c>
      <x:c r="N2643" s="9" t="n">
        <x:f>M2643*K2643</x:f>
        <x:v>24.400000000000002</x:v>
      </x:c>
      <x:c r="O2643" s="9" t="n">
        <x:f>M2643-N2643</x:f>
        <x:v>97.6</x:v>
      </x:c>
      <x:c r="P2643" s="9" t="n">
        <x:f>IF(D2643="Completed",L2643*J2643*(1-K2643),0)</x:f>
        <x:v>0</x:v>
      </x:c>
      <x:c r="Q2643" s="9" t="n">
        <x:f>O2643-P2643</x:f>
        <x:v>97.6</x:v>
      </x:c>
      <x:c r="R2643" s="11" t="n">
        <x:f>IF(D2643="Completed",I2643,0)</x:f>
        <x:v>1</x:v>
      </x:c>
      <x:c r="S2643" s="11" t="n">
        <x:f>IF(D2643="Completed",L2643,0)</x:f>
        <x:v>0</x:v>
      </x:c>
      <x:c r="T2643" s="8" t="n">
        <x:f>DATE(YEAR(C2643),MONTH(C2643),1)</x:f>
        <x:v>45658</x:v>
      </x:c>
    </x:row>
    <x:row r="2644" ht="22" customHeight="1">
      <x:c r="A2644" s="2" t="str">
        <x:v>L002640</x:v>
      </x:c>
      <x:c r="B2644" s="2" t="str">
        <x:v>O01082</x:v>
      </x:c>
      <x:c r="C2644" s="7" t="n">
        <x:v>45688</x:v>
      </x:c>
      <x:c r="D2644" s="2" t="str">
        <x:v>Completed</x:v>
      </x:c>
      <x:c r="E2644" s="2" t="str">
        <x:v>East</x:v>
      </x:c>
      <x:c r="F2644" s="2" t="str">
        <x:v>Online</x:v>
      </x:c>
      <x:c r="G2644" s="2" t="str">
        <x:v>Furniture</x:v>
      </x:c>
      <x:c r="H2644" s="2" t="str">
        <x:v>Desk 004</x:v>
      </x:c>
      <x:c r="I2644" s="11" t="n">
        <x:v>1</x:v>
      </x:c>
      <x:c r="J2644" s="9" t="n">
        <x:v>123</x:v>
      </x:c>
      <x:c r="K2644" s="10" t="n">
        <x:v>0.05</x:v>
      </x:c>
      <x:c r="L2644" s="11" t="n">
        <x:v>0</x:v>
      </x:c>
      <x:c r="M2644" s="9" t="n">
        <x:f>IF(D2644="Completed",I2644*J2644,0)</x:f>
        <x:v>123</x:v>
      </x:c>
      <x:c r="N2644" s="9" t="n">
        <x:f>M2644*K2644</x:f>
        <x:v>6.15</x:v>
      </x:c>
      <x:c r="O2644" s="9" t="n">
        <x:f>M2644-N2644</x:f>
        <x:v>116.85</x:v>
      </x:c>
      <x:c r="P2644" s="9" t="n">
        <x:f>IF(D2644="Completed",L2644*J2644*(1-K2644),0)</x:f>
        <x:v>0</x:v>
      </x:c>
      <x:c r="Q2644" s="9" t="n">
        <x:f>O2644-P2644</x:f>
        <x:v>116.85</x:v>
      </x:c>
      <x:c r="R2644" s="11" t="n">
        <x:f>IF(D2644="Completed",I2644,0)</x:f>
        <x:v>1</x:v>
      </x:c>
      <x:c r="S2644" s="11" t="n">
        <x:f>IF(D2644="Completed",L2644,0)</x:f>
        <x:v>0</x:v>
      </x:c>
      <x:c r="T2644" s="8" t="n">
        <x:f>DATE(YEAR(C2644),MONTH(C2644),1)</x:f>
        <x:v>45658</x:v>
      </x:c>
    </x:row>
    <x:row r="2645" ht="22" customHeight="1">
      <x:c r="A2645" s="2" t="str">
        <x:v>L002641</x:v>
      </x:c>
      <x:c r="B2645" s="2" t="str">
        <x:v>O01082</x:v>
      </x:c>
      <x:c r="C2645" s="7" t="n">
        <x:v>45688</x:v>
      </x:c>
      <x:c r="D2645" s="2" t="str">
        <x:v>Completed</x:v>
      </x:c>
      <x:c r="E2645" s="2" t="str">
        <x:v>East</x:v>
      </x:c>
      <x:c r="F2645" s="2" t="str">
        <x:v>Online</x:v>
      </x:c>
      <x:c r="G2645" s="2" t="str">
        <x:v>Furniture</x:v>
      </x:c>
      <x:c r="H2645" s="2" t="str">
        <x:v>Chair 002</x:v>
      </x:c>
      <x:c r="I2645" s="11" t="n">
        <x:v>1</x:v>
      </x:c>
      <x:c r="J2645" s="9" t="n">
        <x:v>284</x:v>
      </x:c>
      <x:c r="K2645" s="10" t="n">
        <x:v>0.2</x:v>
      </x:c>
      <x:c r="L2645" s="11" t="n">
        <x:v>0</x:v>
      </x:c>
      <x:c r="M2645" s="9" t="n">
        <x:f>IF(D2645="Completed",I2645*J2645,0)</x:f>
        <x:v>284</x:v>
      </x:c>
      <x:c r="N2645" s="9" t="n">
        <x:f>M2645*K2645</x:f>
        <x:v>56.800000000000004</x:v>
      </x:c>
      <x:c r="O2645" s="9" t="n">
        <x:f>M2645-N2645</x:f>
        <x:v>227.2</x:v>
      </x:c>
      <x:c r="P2645" s="9" t="n">
        <x:f>IF(D2645="Completed",L2645*J2645*(1-K2645),0)</x:f>
        <x:v>0</x:v>
      </x:c>
      <x:c r="Q2645" s="9" t="n">
        <x:f>O2645-P2645</x:f>
        <x:v>227.2</x:v>
      </x:c>
      <x:c r="R2645" s="11" t="n">
        <x:f>IF(D2645="Completed",I2645,0)</x:f>
        <x:v>1</x:v>
      </x:c>
      <x:c r="S2645" s="11" t="n">
        <x:f>IF(D2645="Completed",L2645,0)</x:f>
        <x:v>0</x:v>
      </x:c>
      <x:c r="T2645" s="8" t="n">
        <x:f>DATE(YEAR(C2645),MONTH(C2645),1)</x:f>
        <x:v>45658</x:v>
      </x:c>
    </x:row>
    <x:row r="2646" ht="22" customHeight="1">
      <x:c r="A2646" s="2" t="str">
        <x:v>L002642</x:v>
      </x:c>
      <x:c r="B2646" s="2" t="str">
        <x:v>O01083</x:v>
      </x:c>
      <x:c r="C2646" s="7" t="n">
        <x:v>45807</x:v>
      </x:c>
      <x:c r="D2646" s="2" t="str">
        <x:v>Completed</x:v>
      </x:c>
      <x:c r="E2646" s="2" t="str">
        <x:v>East</x:v>
      </x:c>
      <x:c r="F2646" s="2" t="str">
        <x:v>Online</x:v>
      </x:c>
      <x:c r="G2646" s="2" t="str">
        <x:v>Storage</x:v>
      </x:c>
      <x:c r="H2646" s="2" t="str">
        <x:v>Shelf 023</x:v>
      </x:c>
      <x:c r="I2646" s="11" t="n">
        <x:v>4</x:v>
      </x:c>
      <x:c r="J2646" s="9" t="n">
        <x:v>68</x:v>
      </x:c>
      <x:c r="K2646" s="10" t="n">
        <x:v>0.05</x:v>
      </x:c>
      <x:c r="L2646" s="11" t="n">
        <x:v>0</x:v>
      </x:c>
      <x:c r="M2646" s="9" t="n">
        <x:f>IF(D2646="Completed",I2646*J2646,0)</x:f>
        <x:v>272</x:v>
      </x:c>
      <x:c r="N2646" s="9" t="n">
        <x:f>M2646*K2646</x:f>
        <x:v>13.600000000000001</x:v>
      </x:c>
      <x:c r="O2646" s="9" t="n">
        <x:f>M2646-N2646</x:f>
        <x:v>258.4</x:v>
      </x:c>
      <x:c r="P2646" s="9" t="n">
        <x:f>IF(D2646="Completed",L2646*J2646*(1-K2646),0)</x:f>
        <x:v>0</x:v>
      </x:c>
      <x:c r="Q2646" s="9" t="n">
        <x:f>O2646-P2646</x:f>
        <x:v>258.4</x:v>
      </x:c>
      <x:c r="R2646" s="11" t="n">
        <x:f>IF(D2646="Completed",I2646,0)</x:f>
        <x:v>4</x:v>
      </x:c>
      <x:c r="S2646" s="11" t="n">
        <x:f>IF(D2646="Completed",L2646,0)</x:f>
        <x:v>0</x:v>
      </x:c>
      <x:c r="T2646" s="8" t="n">
        <x:f>DATE(YEAR(C2646),MONTH(C2646),1)</x:f>
        <x:v>45778</x:v>
      </x:c>
    </x:row>
    <x:row r="2647" ht="22" customHeight="1">
      <x:c r="A2647" s="2" t="str">
        <x:v>L002643</x:v>
      </x:c>
      <x:c r="B2647" s="2" t="str">
        <x:v>O01083</x:v>
      </x:c>
      <x:c r="C2647" s="7" t="n">
        <x:v>45807</x:v>
      </x:c>
      <x:c r="D2647" s="2" t="str">
        <x:v>Completed</x:v>
      </x:c>
      <x:c r="E2647" s="2" t="str">
        <x:v>East</x:v>
      </x:c>
      <x:c r="F2647" s="2" t="str">
        <x:v>Online</x:v>
      </x:c>
      <x:c r="G2647" s="2" t="str">
        <x:v>Storage</x:v>
      </x:c>
      <x:c r="H2647" s="2" t="str">
        <x:v>Shelf 003</x:v>
      </x:c>
      <x:c r="I2647" s="11" t="n">
        <x:v>1</x:v>
      </x:c>
      <x:c r="J2647" s="9" t="n">
        <x:v>199</x:v>
      </x:c>
      <x:c r="K2647" s="10" t="n">
        <x:v>0.2</x:v>
      </x:c>
      <x:c r="L2647" s="11" t="n">
        <x:v>0</x:v>
      </x:c>
      <x:c r="M2647" s="9" t="n">
        <x:f>IF(D2647="Completed",I2647*J2647,0)</x:f>
        <x:v>199</x:v>
      </x:c>
      <x:c r="N2647" s="9" t="n">
        <x:f>M2647*K2647</x:f>
        <x:v>39.800000000000004</x:v>
      </x:c>
      <x:c r="O2647" s="9" t="n">
        <x:f>M2647-N2647</x:f>
        <x:v>159.2</x:v>
      </x:c>
      <x:c r="P2647" s="9" t="n">
        <x:f>IF(D2647="Completed",L2647*J2647*(1-K2647),0)</x:f>
        <x:v>0</x:v>
      </x:c>
      <x:c r="Q2647" s="9" t="n">
        <x:f>O2647-P2647</x:f>
        <x:v>159.2</x:v>
      </x:c>
      <x:c r="R2647" s="11" t="n">
        <x:f>IF(D2647="Completed",I2647,0)</x:f>
        <x:v>1</x:v>
      </x:c>
      <x:c r="S2647" s="11" t="n">
        <x:f>IF(D2647="Completed",L2647,0)</x:f>
        <x:v>0</x:v>
      </x:c>
      <x:c r="T2647" s="8" t="n">
        <x:f>DATE(YEAR(C2647),MONTH(C2647),1)</x:f>
        <x:v>45778</x:v>
      </x:c>
    </x:row>
    <x:row r="2648" ht="22" customHeight="1">
      <x:c r="A2648" s="2" t="str">
        <x:v>L002644</x:v>
      </x:c>
      <x:c r="B2648" s="2" t="str">
        <x:v>O01084</x:v>
      </x:c>
      <x:c r="C2648" s="7" t="n">
        <x:v>45798</x:v>
      </x:c>
      <x:c r="D2648" s="2" t="str">
        <x:v>Completed</x:v>
      </x:c>
      <x:c r="E2648" s="2" t="str">
        <x:v>East</x:v>
      </x:c>
      <x:c r="F2648" s="2" t="str">
        <x:v>Store</x:v>
      </x:c>
      <x:c r="G2648" s="2" t="str">
        <x:v>Furniture</x:v>
      </x:c>
      <x:c r="H2648" s="2" t="str">
        <x:v>Desk 008</x:v>
      </x:c>
      <x:c r="I2648" s="11" t="n">
        <x:v>3</x:v>
      </x:c>
      <x:c r="J2648" s="9" t="n">
        <x:v>188</x:v>
      </x:c>
      <x:c r="K2648" s="10" t="n">
        <x:v>0.05</x:v>
      </x:c>
      <x:c r="L2648" s="11" t="n">
        <x:v>0</x:v>
      </x:c>
      <x:c r="M2648" s="9" t="n">
        <x:f>IF(D2648="Completed",I2648*J2648,0)</x:f>
        <x:v>564</x:v>
      </x:c>
      <x:c r="N2648" s="9" t="n">
        <x:f>M2648*K2648</x:f>
        <x:v>28.200000000000003</x:v>
      </x:c>
      <x:c r="O2648" s="9" t="n">
        <x:f>M2648-N2648</x:f>
        <x:v>535.8</x:v>
      </x:c>
      <x:c r="P2648" s="9" t="n">
        <x:f>IF(D2648="Completed",L2648*J2648*(1-K2648),0)</x:f>
        <x:v>0</x:v>
      </x:c>
      <x:c r="Q2648" s="9" t="n">
        <x:f>O2648-P2648</x:f>
        <x:v>535.8</x:v>
      </x:c>
      <x:c r="R2648" s="11" t="n">
        <x:f>IF(D2648="Completed",I2648,0)</x:f>
        <x:v>3</x:v>
      </x:c>
      <x:c r="S2648" s="11" t="n">
        <x:f>IF(D2648="Completed",L2648,0)</x:f>
        <x:v>0</x:v>
      </x:c>
      <x:c r="T2648" s="8" t="n">
        <x:f>DATE(YEAR(C2648),MONTH(C2648),1)</x:f>
        <x:v>45778</x:v>
      </x:c>
    </x:row>
    <x:row r="2649" ht="22" customHeight="1">
      <x:c r="A2649" s="2" t="str">
        <x:v>L002645</x:v>
      </x:c>
      <x:c r="B2649" s="2" t="str">
        <x:v>O01085</x:v>
      </x:c>
      <x:c r="C2649" s="7" t="n">
        <x:v>45750</x:v>
      </x:c>
      <x:c r="D2649" s="2" t="str">
        <x:v>Completed</x:v>
      </x:c>
      <x:c r="E2649" s="2" t="str">
        <x:v>West</x:v>
      </x:c>
      <x:c r="F2649" s="2" t="str">
        <x:v>Store</x:v>
      </x:c>
      <x:c r="G2649" s="2" t="str">
        <x:v>Furniture</x:v>
      </x:c>
      <x:c r="H2649" s="2" t="str">
        <x:v>Chair 006</x:v>
      </x:c>
      <x:c r="I2649" s="11" t="n">
        <x:v>2</x:v>
      </x:c>
      <x:c r="J2649" s="9" t="n">
        <x:v>196</x:v>
      </x:c>
      <x:c r="K2649" s="10" t="n">
        <x:v>0</x:v>
      </x:c>
      <x:c r="L2649" s="11" t="n">
        <x:v>0</x:v>
      </x:c>
      <x:c r="M2649" s="9" t="n">
        <x:f>IF(D2649="Completed",I2649*J2649,0)</x:f>
        <x:v>392</x:v>
      </x:c>
      <x:c r="N2649" s="9" t="n">
        <x:f>M2649*K2649</x:f>
        <x:v>0</x:v>
      </x:c>
      <x:c r="O2649" s="9" t="n">
        <x:f>M2649-N2649</x:f>
        <x:v>392</x:v>
      </x:c>
      <x:c r="P2649" s="9" t="n">
        <x:f>IF(D2649="Completed",L2649*J2649*(1-K2649),0)</x:f>
        <x:v>0</x:v>
      </x:c>
      <x:c r="Q2649" s="9" t="n">
        <x:f>O2649-P2649</x:f>
        <x:v>392</x:v>
      </x:c>
      <x:c r="R2649" s="11" t="n">
        <x:f>IF(D2649="Completed",I2649,0)</x:f>
        <x:v>2</x:v>
      </x:c>
      <x:c r="S2649" s="11" t="n">
        <x:f>IF(D2649="Completed",L2649,0)</x:f>
        <x:v>0</x:v>
      </x:c>
      <x:c r="T2649" s="8" t="n">
        <x:f>DATE(YEAR(C2649),MONTH(C2649),1)</x:f>
        <x:v>45748</x:v>
      </x:c>
    </x:row>
    <x:row r="2650" ht="22" customHeight="1">
      <x:c r="A2650" s="2" t="str">
        <x:v>L002646</x:v>
      </x:c>
      <x:c r="B2650" s="2" t="str">
        <x:v>O01085</x:v>
      </x:c>
      <x:c r="C2650" s="7" t="n">
        <x:v>45750</x:v>
      </x:c>
      <x:c r="D2650" s="2" t="str">
        <x:v>Completed</x:v>
      </x:c>
      <x:c r="E2650" s="2" t="str">
        <x:v>West</x:v>
      </x:c>
      <x:c r="F2650" s="2" t="str">
        <x:v>Store</x:v>
      </x:c>
      <x:c r="G2650" s="2" t="str">
        <x:v>Furniture</x:v>
      </x:c>
      <x:c r="H2650" s="2" t="str">
        <x:v>Chair 014</x:v>
      </x:c>
      <x:c r="I2650" s="11" t="n">
        <x:v>3</x:v>
      </x:c>
      <x:c r="J2650" s="9" t="n">
        <x:v>294</x:v>
      </x:c>
      <x:c r="K2650" s="10" t="n">
        <x:v>0.1</x:v>
      </x:c>
      <x:c r="L2650" s="11" t="n">
        <x:v>0</x:v>
      </x:c>
      <x:c r="M2650" s="9" t="n">
        <x:f>IF(D2650="Completed",I2650*J2650,0)</x:f>
        <x:v>882</x:v>
      </x:c>
      <x:c r="N2650" s="9" t="n">
        <x:f>M2650*K2650</x:f>
        <x:v>88.2</x:v>
      </x:c>
      <x:c r="O2650" s="9" t="n">
        <x:f>M2650-N2650</x:f>
        <x:v>793.8</x:v>
      </x:c>
      <x:c r="P2650" s="9" t="n">
        <x:f>IF(D2650="Completed",L2650*J2650*(1-K2650),0)</x:f>
        <x:v>0</x:v>
      </x:c>
      <x:c r="Q2650" s="9" t="n">
        <x:f>O2650-P2650</x:f>
        <x:v>793.8</x:v>
      </x:c>
      <x:c r="R2650" s="11" t="n">
        <x:f>IF(D2650="Completed",I2650,0)</x:f>
        <x:v>3</x:v>
      </x:c>
      <x:c r="S2650" s="11" t="n">
        <x:f>IF(D2650="Completed",L2650,0)</x:f>
        <x:v>0</x:v>
      </x:c>
      <x:c r="T2650" s="8" t="n">
        <x:f>DATE(YEAR(C2650),MONTH(C2650),1)</x:f>
        <x:v>45748</x:v>
      </x:c>
    </x:row>
    <x:row r="2651" ht="22" customHeight="1">
      <x:c r="A2651" s="2" t="str">
        <x:v>L002647</x:v>
      </x:c>
      <x:c r="B2651" s="2" t="str">
        <x:v>O01085</x:v>
      </x:c>
      <x:c r="C2651" s="7" t="n">
        <x:v>45750</x:v>
      </x:c>
      <x:c r="D2651" s="2" t="str">
        <x:v>Completed</x:v>
      </x:c>
      <x:c r="E2651" s="2" t="str">
        <x:v>West</x:v>
      </x:c>
      <x:c r="F2651" s="2" t="str">
        <x:v>Store</x:v>
      </x:c>
      <x:c r="G2651" s="2" t="str">
        <x:v>Storage</x:v>
      </x:c>
      <x:c r="H2651" s="2" t="str">
        <x:v>Shelf 003</x:v>
      </x:c>
      <x:c r="I2651" s="11" t="n">
        <x:v>2</x:v>
      </x:c>
      <x:c r="J2651" s="9" t="n">
        <x:v>199</x:v>
      </x:c>
      <x:c r="K2651" s="10" t="n">
        <x:v>0.2</x:v>
      </x:c>
      <x:c r="L2651" s="11" t="n">
        <x:v>2</x:v>
      </x:c>
      <x:c r="M2651" s="9" t="n">
        <x:f>IF(D2651="Completed",I2651*J2651,0)</x:f>
        <x:v>398</x:v>
      </x:c>
      <x:c r="N2651" s="9" t="n">
        <x:f>M2651*K2651</x:f>
        <x:v>79.60000000000001</x:v>
      </x:c>
      <x:c r="O2651" s="9" t="n">
        <x:f>M2651-N2651</x:f>
        <x:v>318.4</x:v>
      </x:c>
      <x:c r="P2651" s="9" t="n">
        <x:f>IF(D2651="Completed",L2651*J2651*(1-K2651),0)</x:f>
        <x:v>318.40000000000003</x:v>
      </x:c>
      <x:c r="Q2651" s="9" t="n">
        <x:f>O2651-P2651</x:f>
        <x:v>-5.684341886080802e-14</x:v>
      </x:c>
      <x:c r="R2651" s="11" t="n">
        <x:f>IF(D2651="Completed",I2651,0)</x:f>
        <x:v>2</x:v>
      </x:c>
      <x:c r="S2651" s="11" t="n">
        <x:f>IF(D2651="Completed",L2651,0)</x:f>
        <x:v>2</x:v>
      </x:c>
      <x:c r="T2651" s="8" t="n">
        <x:f>DATE(YEAR(C2651),MONTH(C2651),1)</x:f>
        <x:v>45748</x:v>
      </x:c>
    </x:row>
    <x:row r="2652" ht="22" customHeight="1">
      <x:c r="A2652" s="2" t="str">
        <x:v>L002648</x:v>
      </x:c>
      <x:c r="B2652" s="2" t="str">
        <x:v>O01085</x:v>
      </x:c>
      <x:c r="C2652" s="7" t="n">
        <x:v>45750</x:v>
      </x:c>
      <x:c r="D2652" s="2" t="str">
        <x:v>Completed</x:v>
      </x:c>
      <x:c r="E2652" s="2" t="str">
        <x:v>West</x:v>
      </x:c>
      <x:c r="F2652" s="2" t="str">
        <x:v>Store</x:v>
      </x:c>
      <x:c r="G2652" s="2" t="str">
        <x:v>Lighting</x:v>
      </x:c>
      <x:c r="H2652" s="2" t="str">
        <x:v>Lamp 021</x:v>
      </x:c>
      <x:c r="I2652" s="11" t="n">
        <x:v>5</x:v>
      </x:c>
      <x:c r="J2652" s="9" t="n">
        <x:v>249</x:v>
      </x:c>
      <x:c r="K2652" s="10" t="n">
        <x:v>0.2</x:v>
      </x:c>
      <x:c r="L2652" s="11" t="n">
        <x:v>0</x:v>
      </x:c>
      <x:c r="M2652" s="9" t="n">
        <x:f>IF(D2652="Completed",I2652*J2652,0)</x:f>
        <x:v>1245</x:v>
      </x:c>
      <x:c r="N2652" s="9" t="n">
        <x:f>M2652*K2652</x:f>
        <x:v>249</x:v>
      </x:c>
      <x:c r="O2652" s="9" t="n">
        <x:f>M2652-N2652</x:f>
        <x:v>996</x:v>
      </x:c>
      <x:c r="P2652" s="9" t="n">
        <x:f>IF(D2652="Completed",L2652*J2652*(1-K2652),0)</x:f>
        <x:v>0</x:v>
      </x:c>
      <x:c r="Q2652" s="9" t="n">
        <x:f>O2652-P2652</x:f>
        <x:v>996</x:v>
      </x:c>
      <x:c r="R2652" s="11" t="n">
        <x:f>IF(D2652="Completed",I2652,0)</x:f>
        <x:v>5</x:v>
      </x:c>
      <x:c r="S2652" s="11" t="n">
        <x:f>IF(D2652="Completed",L2652,0)</x:f>
        <x:v>0</x:v>
      </x:c>
      <x:c r="T2652" s="8" t="n">
        <x:f>DATE(YEAR(C2652),MONTH(C2652),1)</x:f>
        <x:v>45748</x:v>
      </x:c>
    </x:row>
    <x:row r="2653" ht="22" customHeight="1">
      <x:c r="A2653" s="2" t="str">
        <x:v>L002649</x:v>
      </x:c>
      <x:c r="B2653" s="2" t="str">
        <x:v>O01086</x:v>
      </x:c>
      <x:c r="C2653" s="7" t="n">
        <x:v>45812</x:v>
      </x:c>
      <x:c r="D2653" s="2" t="str">
        <x:v>Completed</x:v>
      </x:c>
      <x:c r="E2653" s="2" t="str">
        <x:v>North</x:v>
      </x:c>
      <x:c r="F2653" s="2" t="str">
        <x:v>Store</x:v>
      </x:c>
      <x:c r="G2653" s="2" t="str">
        <x:v>Furniture</x:v>
      </x:c>
      <x:c r="H2653" s="2" t="str">
        <x:v>Chair 022</x:v>
      </x:c>
      <x:c r="I2653" s="11" t="n">
        <x:v>5</x:v>
      </x:c>
      <x:c r="J2653" s="9" t="n">
        <x:v>134</x:v>
      </x:c>
      <x:c r="K2653" s="10" t="n">
        <x:v>0.05</x:v>
      </x:c>
      <x:c r="L2653" s="11" t="n">
        <x:v>0</x:v>
      </x:c>
      <x:c r="M2653" s="9" t="n">
        <x:f>IF(D2653="Completed",I2653*J2653,0)</x:f>
        <x:v>670</x:v>
      </x:c>
      <x:c r="N2653" s="9" t="n">
        <x:f>M2653*K2653</x:f>
        <x:v>33.5</x:v>
      </x:c>
      <x:c r="O2653" s="9" t="n">
        <x:f>M2653-N2653</x:f>
        <x:v>636.5</x:v>
      </x:c>
      <x:c r="P2653" s="9" t="n">
        <x:f>IF(D2653="Completed",L2653*J2653*(1-K2653),0)</x:f>
        <x:v>0</x:v>
      </x:c>
      <x:c r="Q2653" s="9" t="n">
        <x:f>O2653-P2653</x:f>
        <x:v>636.5</x:v>
      </x:c>
      <x:c r="R2653" s="11" t="n">
        <x:f>IF(D2653="Completed",I2653,0)</x:f>
        <x:v>5</x:v>
      </x:c>
      <x:c r="S2653" s="11" t="n">
        <x:f>IF(D2653="Completed",L2653,0)</x:f>
        <x:v>0</x:v>
      </x:c>
      <x:c r="T2653" s="8" t="n">
        <x:f>DATE(YEAR(C2653),MONTH(C2653),1)</x:f>
        <x:v>45809</x:v>
      </x:c>
    </x:row>
    <x:row r="2654" ht="22" customHeight="1">
      <x:c r="A2654" s="2" t="str">
        <x:v>L002650</x:v>
      </x:c>
      <x:c r="B2654" s="2" t="str">
        <x:v>O01086</x:v>
      </x:c>
      <x:c r="C2654" s="7" t="n">
        <x:v>45812</x:v>
      </x:c>
      <x:c r="D2654" s="2" t="str">
        <x:v>Completed</x:v>
      </x:c>
      <x:c r="E2654" s="2" t="str">
        <x:v>North</x:v>
      </x:c>
      <x:c r="F2654" s="2" t="str">
        <x:v>Store</x:v>
      </x:c>
      <x:c r="G2654" s="2" t="str">
        <x:v>Storage</x:v>
      </x:c>
      <x:c r="H2654" s="2" t="str">
        <x:v>Shelf 011</x:v>
      </x:c>
      <x:c r="I2654" s="11" t="n">
        <x:v>2</x:v>
      </x:c>
      <x:c r="J2654" s="9" t="n">
        <x:v>80</x:v>
      </x:c>
      <x:c r="K2654" s="10" t="n">
        <x:v>0.2</x:v>
      </x:c>
      <x:c r="L2654" s="11" t="n">
        <x:v>0</x:v>
      </x:c>
      <x:c r="M2654" s="9" t="n">
        <x:f>IF(D2654="Completed",I2654*J2654,0)</x:f>
        <x:v>160</x:v>
      </x:c>
      <x:c r="N2654" s="9" t="n">
        <x:f>M2654*K2654</x:f>
        <x:v>32</x:v>
      </x:c>
      <x:c r="O2654" s="9" t="n">
        <x:f>M2654-N2654</x:f>
        <x:v>128</x:v>
      </x:c>
      <x:c r="P2654" s="9" t="n">
        <x:f>IF(D2654="Completed",L2654*J2654*(1-K2654),0)</x:f>
        <x:v>0</x:v>
      </x:c>
      <x:c r="Q2654" s="9" t="n">
        <x:f>O2654-P2654</x:f>
        <x:v>128</x:v>
      </x:c>
      <x:c r="R2654" s="11" t="n">
        <x:f>IF(D2654="Completed",I2654,0)</x:f>
        <x:v>2</x:v>
      </x:c>
      <x:c r="S2654" s="11" t="n">
        <x:f>IF(D2654="Completed",L2654,0)</x:f>
        <x:v>0</x:v>
      </x:c>
      <x:c r="T2654" s="8" t="n">
        <x:f>DATE(YEAR(C2654),MONTH(C2654),1)</x:f>
        <x:v>45809</x:v>
      </x:c>
    </x:row>
    <x:row r="2655" ht="22" customHeight="1">
      <x:c r="A2655" s="2" t="str">
        <x:v>L002651</x:v>
      </x:c>
      <x:c r="B2655" s="2" t="str">
        <x:v>O01086</x:v>
      </x:c>
      <x:c r="C2655" s="7" t="n">
        <x:v>45812</x:v>
      </x:c>
      <x:c r="D2655" s="2" t="str">
        <x:v>Completed</x:v>
      </x:c>
      <x:c r="E2655" s="2" t="str">
        <x:v>North</x:v>
      </x:c>
      <x:c r="F2655" s="2" t="str">
        <x:v>Store</x:v>
      </x:c>
      <x:c r="G2655" s="2" t="str">
        <x:v>Furniture</x:v>
      </x:c>
      <x:c r="H2655" s="2" t="str">
        <x:v>Desk 024</x:v>
      </x:c>
      <x:c r="I2655" s="11" t="n">
        <x:v>2</x:v>
      </x:c>
      <x:c r="J2655" s="9" t="n">
        <x:v>81</x:v>
      </x:c>
      <x:c r="K2655" s="10" t="n">
        <x:v>0.1</x:v>
      </x:c>
      <x:c r="L2655" s="11" t="n">
        <x:v>1</x:v>
      </x:c>
      <x:c r="M2655" s="9" t="n">
        <x:f>IF(D2655="Completed",I2655*J2655,0)</x:f>
        <x:v>162</x:v>
      </x:c>
      <x:c r="N2655" s="9" t="n">
        <x:f>M2655*K2655</x:f>
        <x:v>16.2</x:v>
      </x:c>
      <x:c r="O2655" s="9" t="n">
        <x:f>M2655-N2655</x:f>
        <x:v>145.8</x:v>
      </x:c>
      <x:c r="P2655" s="9" t="n">
        <x:f>IF(D2655="Completed",L2655*J2655*(1-K2655),0)</x:f>
        <x:v>72.9</x:v>
      </x:c>
      <x:c r="Q2655" s="9" t="n">
        <x:f>O2655-P2655</x:f>
        <x:v>72.9</x:v>
      </x:c>
      <x:c r="R2655" s="11" t="n">
        <x:f>IF(D2655="Completed",I2655,0)</x:f>
        <x:v>2</x:v>
      </x:c>
      <x:c r="S2655" s="11" t="n">
        <x:f>IF(D2655="Completed",L2655,0)</x:f>
        <x:v>1</x:v>
      </x:c>
      <x:c r="T2655" s="8" t="n">
        <x:f>DATE(YEAR(C2655),MONTH(C2655),1)</x:f>
        <x:v>45809</x:v>
      </x:c>
    </x:row>
    <x:row r="2656" ht="22" customHeight="1">
      <x:c r="A2656" s="2" t="str">
        <x:v>L002652</x:v>
      </x:c>
      <x:c r="B2656" s="2" t="str">
        <x:v>O01087</x:v>
      </x:c>
      <x:c r="C2656" s="7" t="n">
        <x:v>46010</x:v>
      </x:c>
      <x:c r="D2656" s="2" t="str">
        <x:v>Completed</x:v>
      </x:c>
      <x:c r="E2656" s="2" t="str">
        <x:v>West</x:v>
      </x:c>
      <x:c r="F2656" s="2" t="str">
        <x:v>Store</x:v>
      </x:c>
      <x:c r="G2656" s="2" t="str">
        <x:v>Storage</x:v>
      </x:c>
      <x:c r="H2656" s="2" t="str">
        <x:v>Shelf 015</x:v>
      </x:c>
      <x:c r="I2656" s="11" t="n">
        <x:v>2</x:v>
      </x:c>
      <x:c r="J2656" s="9" t="n">
        <x:v>254</x:v>
      </x:c>
      <x:c r="K2656" s="10" t="n">
        <x:v>0.05</x:v>
      </x:c>
      <x:c r="L2656" s="11" t="n">
        <x:v>0</x:v>
      </x:c>
      <x:c r="M2656" s="9" t="n">
        <x:f>IF(D2656="Completed",I2656*J2656,0)</x:f>
        <x:v>508</x:v>
      </x:c>
      <x:c r="N2656" s="9" t="n">
        <x:f>M2656*K2656</x:f>
        <x:v>25.400000000000002</x:v>
      </x:c>
      <x:c r="O2656" s="9" t="n">
        <x:f>M2656-N2656</x:f>
        <x:v>482.6</x:v>
      </x:c>
      <x:c r="P2656" s="9" t="n">
        <x:f>IF(D2656="Completed",L2656*J2656*(1-K2656),0)</x:f>
        <x:v>0</x:v>
      </x:c>
      <x:c r="Q2656" s="9" t="n">
        <x:f>O2656-P2656</x:f>
        <x:v>482.6</x:v>
      </x:c>
      <x:c r="R2656" s="11" t="n">
        <x:f>IF(D2656="Completed",I2656,0)</x:f>
        <x:v>2</x:v>
      </x:c>
      <x:c r="S2656" s="11" t="n">
        <x:f>IF(D2656="Completed",L2656,0)</x:f>
        <x:v>0</x:v>
      </x:c>
      <x:c r="T2656" s="8" t="n">
        <x:f>DATE(YEAR(C2656),MONTH(C2656),1)</x:f>
        <x:v>45992</x:v>
      </x:c>
    </x:row>
    <x:row r="2657" ht="22" customHeight="1">
      <x:c r="A2657" s="2" t="str">
        <x:v>L002653</x:v>
      </x:c>
      <x:c r="B2657" s="2" t="str">
        <x:v>O01087</x:v>
      </x:c>
      <x:c r="C2657" s="7" t="n">
        <x:v>46010</x:v>
      </x:c>
      <x:c r="D2657" s="2" t="str">
        <x:v>Completed</x:v>
      </x:c>
      <x:c r="E2657" s="2" t="str">
        <x:v>West</x:v>
      </x:c>
      <x:c r="F2657" s="2" t="str">
        <x:v>Store</x:v>
      </x:c>
      <x:c r="G2657" s="2" t="str">
        <x:v>Lighting</x:v>
      </x:c>
      <x:c r="H2657" s="2" t="str">
        <x:v>Lamp 013</x:v>
      </x:c>
      <x:c r="I2657" s="11" t="n">
        <x:v>5</x:v>
      </x:c>
      <x:c r="J2657" s="9" t="n">
        <x:v>271</x:v>
      </x:c>
      <x:c r="K2657" s="10" t="n">
        <x:v>0.1</x:v>
      </x:c>
      <x:c r="L2657" s="11" t="n">
        <x:v>0</x:v>
      </x:c>
      <x:c r="M2657" s="9" t="n">
        <x:f>IF(D2657="Completed",I2657*J2657,0)</x:f>
        <x:v>1355</x:v>
      </x:c>
      <x:c r="N2657" s="9" t="n">
        <x:f>M2657*K2657</x:f>
        <x:v>135.5</x:v>
      </x:c>
      <x:c r="O2657" s="9" t="n">
        <x:f>M2657-N2657</x:f>
        <x:v>1219.5</x:v>
      </x:c>
      <x:c r="P2657" s="9" t="n">
        <x:f>IF(D2657="Completed",L2657*J2657*(1-K2657),0)</x:f>
        <x:v>0</x:v>
      </x:c>
      <x:c r="Q2657" s="9" t="n">
        <x:f>O2657-P2657</x:f>
        <x:v>1219.5</x:v>
      </x:c>
      <x:c r="R2657" s="11" t="n">
        <x:f>IF(D2657="Completed",I2657,0)</x:f>
        <x:v>5</x:v>
      </x:c>
      <x:c r="S2657" s="11" t="n">
        <x:f>IF(D2657="Completed",L2657,0)</x:f>
        <x:v>0</x:v>
      </x:c>
      <x:c r="T2657" s="8" t="n">
        <x:f>DATE(YEAR(C2657),MONTH(C2657),1)</x:f>
        <x:v>45992</x:v>
      </x:c>
    </x:row>
    <x:row r="2658" ht="22" customHeight="1">
      <x:c r="A2658" s="2" t="str">
        <x:v>L002654</x:v>
      </x:c>
      <x:c r="B2658" s="2" t="str">
        <x:v>O01087</x:v>
      </x:c>
      <x:c r="C2658" s="7" t="n">
        <x:v>46010</x:v>
      </x:c>
      <x:c r="D2658" s="2" t="str">
        <x:v>Completed</x:v>
      </x:c>
      <x:c r="E2658" s="2" t="str">
        <x:v>West</x:v>
      </x:c>
      <x:c r="F2658" s="2" t="str">
        <x:v>Store</x:v>
      </x:c>
      <x:c r="G2658" s="2" t="str">
        <x:v>Storage</x:v>
      </x:c>
      <x:c r="H2658" s="2" t="str">
        <x:v>Shelf 007</x:v>
      </x:c>
      <x:c r="I2658" s="11" t="n">
        <x:v>2</x:v>
      </x:c>
      <x:c r="J2658" s="9" t="n">
        <x:v>35</x:v>
      </x:c>
      <x:c r="K2658" s="10" t="n">
        <x:v>0.2</x:v>
      </x:c>
      <x:c r="L2658" s="11" t="n">
        <x:v>0</x:v>
      </x:c>
      <x:c r="M2658" s="9" t="n">
        <x:f>IF(D2658="Completed",I2658*J2658,0)</x:f>
        <x:v>70</x:v>
      </x:c>
      <x:c r="N2658" s="9" t="n">
        <x:f>M2658*K2658</x:f>
        <x:v>14</x:v>
      </x:c>
      <x:c r="O2658" s="9" t="n">
        <x:f>M2658-N2658</x:f>
        <x:v>56</x:v>
      </x:c>
      <x:c r="P2658" s="9" t="n">
        <x:f>IF(D2658="Completed",L2658*J2658*(1-K2658),0)</x:f>
        <x:v>0</x:v>
      </x:c>
      <x:c r="Q2658" s="9" t="n">
        <x:f>O2658-P2658</x:f>
        <x:v>56</x:v>
      </x:c>
      <x:c r="R2658" s="11" t="n">
        <x:f>IF(D2658="Completed",I2658,0)</x:f>
        <x:v>2</x:v>
      </x:c>
      <x:c r="S2658" s="11" t="n">
        <x:f>IF(D2658="Completed",L2658,0)</x:f>
        <x:v>0</x:v>
      </x:c>
      <x:c r="T2658" s="8" t="n">
        <x:f>DATE(YEAR(C2658),MONTH(C2658),1)</x:f>
        <x:v>45992</x:v>
      </x:c>
    </x:row>
    <x:row r="2659" ht="22" customHeight="1">
      <x:c r="A2659" s="2" t="str">
        <x:v>L002655</x:v>
      </x:c>
      <x:c r="B2659" s="2" t="str">
        <x:v>O01088</x:v>
      </x:c>
      <x:c r="C2659" s="7" t="n">
        <x:v>45764</x:v>
      </x:c>
      <x:c r="D2659" s="2" t="str">
        <x:v>Completed</x:v>
      </x:c>
      <x:c r="E2659" s="2" t="str">
        <x:v>North</x:v>
      </x:c>
      <x:c r="F2659" s="2" t="str">
        <x:v>Store</x:v>
      </x:c>
      <x:c r="G2659" s="2" t="str">
        <x:v>Storage</x:v>
      </x:c>
      <x:c r="H2659" s="2" t="str">
        <x:v>Shelf 023</x:v>
      </x:c>
      <x:c r="I2659" s="11" t="n">
        <x:v>1</x:v>
      </x:c>
      <x:c r="J2659" s="9" t="n">
        <x:v>68</x:v>
      </x:c>
      <x:c r="K2659" s="10" t="n">
        <x:v>0.1</x:v>
      </x:c>
      <x:c r="L2659" s="11" t="n">
        <x:v>0</x:v>
      </x:c>
      <x:c r="M2659" s="9" t="n">
        <x:f>IF(D2659="Completed",I2659*J2659,0)</x:f>
        <x:v>68</x:v>
      </x:c>
      <x:c r="N2659" s="9" t="n">
        <x:f>M2659*K2659</x:f>
        <x:v>6.800000000000001</x:v>
      </x:c>
      <x:c r="O2659" s="9" t="n">
        <x:f>M2659-N2659</x:f>
        <x:v>61.2</x:v>
      </x:c>
      <x:c r="P2659" s="9" t="n">
        <x:f>IF(D2659="Completed",L2659*J2659*(1-K2659),0)</x:f>
        <x:v>0</x:v>
      </x:c>
      <x:c r="Q2659" s="9" t="n">
        <x:f>O2659-P2659</x:f>
        <x:v>61.2</x:v>
      </x:c>
      <x:c r="R2659" s="11" t="n">
        <x:f>IF(D2659="Completed",I2659,0)</x:f>
        <x:v>1</x:v>
      </x:c>
      <x:c r="S2659" s="11" t="n">
        <x:f>IF(D2659="Completed",L2659,0)</x:f>
        <x:v>0</x:v>
      </x:c>
      <x:c r="T2659" s="8" t="n">
        <x:f>DATE(YEAR(C2659),MONTH(C2659),1)</x:f>
        <x:v>45748</x:v>
      </x:c>
    </x:row>
    <x:row r="2660" ht="22" customHeight="1">
      <x:c r="A2660" s="2" t="str">
        <x:v>L002656</x:v>
      </x:c>
      <x:c r="B2660" s="2" t="str">
        <x:v>O01088</x:v>
      </x:c>
      <x:c r="C2660" s="7" t="n">
        <x:v>45764</x:v>
      </x:c>
      <x:c r="D2660" s="2" t="str">
        <x:v>Completed</x:v>
      </x:c>
      <x:c r="E2660" s="2" t="str">
        <x:v>North</x:v>
      </x:c>
      <x:c r="F2660" s="2" t="str">
        <x:v>Store</x:v>
      </x:c>
      <x:c r="G2660" s="2" t="str">
        <x:v>Lighting</x:v>
      </x:c>
      <x:c r="H2660" s="2" t="str">
        <x:v>Lamp 013</x:v>
      </x:c>
      <x:c r="I2660" s="11" t="n">
        <x:v>5</x:v>
      </x:c>
      <x:c r="J2660" s="9" t="n">
        <x:v>271</x:v>
      </x:c>
      <x:c r="K2660" s="10" t="n">
        <x:v>0.2</x:v>
      </x:c>
      <x:c r="L2660" s="11" t="n">
        <x:v>0</x:v>
      </x:c>
      <x:c r="M2660" s="9" t="n">
        <x:f>IF(D2660="Completed",I2660*J2660,0)</x:f>
        <x:v>1355</x:v>
      </x:c>
      <x:c r="N2660" s="9" t="n">
        <x:f>M2660*K2660</x:f>
        <x:v>271</x:v>
      </x:c>
      <x:c r="O2660" s="9" t="n">
        <x:f>M2660-N2660</x:f>
        <x:v>1084</x:v>
      </x:c>
      <x:c r="P2660" s="9" t="n">
        <x:f>IF(D2660="Completed",L2660*J2660*(1-K2660),0)</x:f>
        <x:v>0</x:v>
      </x:c>
      <x:c r="Q2660" s="9" t="n">
        <x:f>O2660-P2660</x:f>
        <x:v>1084</x:v>
      </x:c>
      <x:c r="R2660" s="11" t="n">
        <x:f>IF(D2660="Completed",I2660,0)</x:f>
        <x:v>5</x:v>
      </x:c>
      <x:c r="S2660" s="11" t="n">
        <x:f>IF(D2660="Completed",L2660,0)</x:f>
        <x:v>0</x:v>
      </x:c>
      <x:c r="T2660" s="8" t="n">
        <x:f>DATE(YEAR(C2660),MONTH(C2660),1)</x:f>
        <x:v>45748</x:v>
      </x:c>
    </x:row>
    <x:row r="2661" ht="22" customHeight="1">
      <x:c r="A2661" s="2" t="str">
        <x:v>L002657</x:v>
      </x:c>
      <x:c r="B2661" s="2" t="str">
        <x:v>O01088</x:v>
      </x:c>
      <x:c r="C2661" s="7" t="n">
        <x:v>45764</x:v>
      </x:c>
      <x:c r="D2661" s="2" t="str">
        <x:v>Completed</x:v>
      </x:c>
      <x:c r="E2661" s="2" t="str">
        <x:v>North</x:v>
      </x:c>
      <x:c r="F2661" s="2" t="str">
        <x:v>Store</x:v>
      </x:c>
      <x:c r="G2661" s="2" t="str">
        <x:v>Lighting</x:v>
      </x:c>
      <x:c r="H2661" s="2" t="str">
        <x:v>Lamp 013</x:v>
      </x:c>
      <x:c r="I2661" s="11" t="n">
        <x:v>4</x:v>
      </x:c>
      <x:c r="J2661" s="9" t="n">
        <x:v>271</x:v>
      </x:c>
      <x:c r="K2661" s="10" t="n">
        <x:v>0.05</x:v>
      </x:c>
      <x:c r="L2661" s="11" t="n">
        <x:v>0</x:v>
      </x:c>
      <x:c r="M2661" s="9" t="n">
        <x:f>IF(D2661="Completed",I2661*J2661,0)</x:f>
        <x:v>1084</x:v>
      </x:c>
      <x:c r="N2661" s="9" t="n">
        <x:f>M2661*K2661</x:f>
        <x:v>54.2</x:v>
      </x:c>
      <x:c r="O2661" s="9" t="n">
        <x:f>M2661-N2661</x:f>
        <x:v>1029.8</x:v>
      </x:c>
      <x:c r="P2661" s="9" t="n">
        <x:f>IF(D2661="Completed",L2661*J2661*(1-K2661),0)</x:f>
        <x:v>0</x:v>
      </x:c>
      <x:c r="Q2661" s="9" t="n">
        <x:f>O2661-P2661</x:f>
        <x:v>1029.8</x:v>
      </x:c>
      <x:c r="R2661" s="11" t="n">
        <x:f>IF(D2661="Completed",I2661,0)</x:f>
        <x:v>4</x:v>
      </x:c>
      <x:c r="S2661" s="11" t="n">
        <x:f>IF(D2661="Completed",L2661,0)</x:f>
        <x:v>0</x:v>
      </x:c>
      <x:c r="T2661" s="8" t="n">
        <x:f>DATE(YEAR(C2661),MONTH(C2661),1)</x:f>
        <x:v>45748</x:v>
      </x:c>
    </x:row>
    <x:row r="2662" ht="22" customHeight="1">
      <x:c r="A2662" s="2" t="str">
        <x:v>L002658</x:v>
      </x:c>
      <x:c r="B2662" s="2" t="str">
        <x:v>O01088</x:v>
      </x:c>
      <x:c r="C2662" s="7" t="n">
        <x:v>45764</x:v>
      </x:c>
      <x:c r="D2662" s="2" t="str">
        <x:v>Completed</x:v>
      </x:c>
      <x:c r="E2662" s="2" t="str">
        <x:v>North</x:v>
      </x:c>
      <x:c r="F2662" s="2" t="str">
        <x:v>Store</x:v>
      </x:c>
      <x:c r="G2662" s="2" t="str">
        <x:v>Furniture</x:v>
      </x:c>
      <x:c r="H2662" s="2" t="str">
        <x:v>Desk 008</x:v>
      </x:c>
      <x:c r="I2662" s="11" t="n">
        <x:v>1</x:v>
      </x:c>
      <x:c r="J2662" s="9" t="n">
        <x:v>188</x:v>
      </x:c>
      <x:c r="K2662" s="10" t="n">
        <x:v>0.2</x:v>
      </x:c>
      <x:c r="L2662" s="11" t="n">
        <x:v>1</x:v>
      </x:c>
      <x:c r="M2662" s="9" t="n">
        <x:f>IF(D2662="Completed",I2662*J2662,0)</x:f>
        <x:v>188</x:v>
      </x:c>
      <x:c r="N2662" s="9" t="n">
        <x:f>M2662*K2662</x:f>
        <x:v>37.6</x:v>
      </x:c>
      <x:c r="O2662" s="9" t="n">
        <x:f>M2662-N2662</x:f>
        <x:v>150.4</x:v>
      </x:c>
      <x:c r="P2662" s="9" t="n">
        <x:f>IF(D2662="Completed",L2662*J2662*(1-K2662),0)</x:f>
        <x:v>150.4</x:v>
      </x:c>
      <x:c r="Q2662" s="9" t="n">
        <x:f>O2662-P2662</x:f>
        <x:v>0</x:v>
      </x:c>
      <x:c r="R2662" s="11" t="n">
        <x:f>IF(D2662="Completed",I2662,0)</x:f>
        <x:v>1</x:v>
      </x:c>
      <x:c r="S2662" s="11" t="n">
        <x:f>IF(D2662="Completed",L2662,0)</x:f>
        <x:v>1</x:v>
      </x:c>
      <x:c r="T2662" s="8" t="n">
        <x:f>DATE(YEAR(C2662),MONTH(C2662),1)</x:f>
        <x:v>45748</x:v>
      </x:c>
    </x:row>
    <x:row r="2663" ht="22" customHeight="1">
      <x:c r="A2663" s="2" t="str">
        <x:v>L002659</x:v>
      </x:c>
      <x:c r="B2663" s="2" t="str">
        <x:v>O01089</x:v>
      </x:c>
      <x:c r="C2663" s="7" t="n">
        <x:v>45966</x:v>
      </x:c>
      <x:c r="D2663" s="2" t="str">
        <x:v>Completed</x:v>
      </x:c>
      <x:c r="E2663" s="2" t="str">
        <x:v>South</x:v>
      </x:c>
      <x:c r="F2663" s="2" t="str">
        <x:v>Online</x:v>
      </x:c>
      <x:c r="G2663" s="2" t="str">
        <x:v>Furniture</x:v>
      </x:c>
      <x:c r="H2663" s="2" t="str">
        <x:v>Desk 020</x:v>
      </x:c>
      <x:c r="I2663" s="11" t="n">
        <x:v>5</x:v>
      </x:c>
      <x:c r="J2663" s="9" t="n">
        <x:v>189</x:v>
      </x:c>
      <x:c r="K2663" s="10" t="n">
        <x:v>0.05</x:v>
      </x:c>
      <x:c r="L2663" s="11" t="n">
        <x:v>0</x:v>
      </x:c>
      <x:c r="M2663" s="9" t="n">
        <x:f>IF(D2663="Completed",I2663*J2663,0)</x:f>
        <x:v>945</x:v>
      </x:c>
      <x:c r="N2663" s="9" t="n">
        <x:f>M2663*K2663</x:f>
        <x:v>47.25</x:v>
      </x:c>
      <x:c r="O2663" s="9" t="n">
        <x:f>M2663-N2663</x:f>
        <x:v>897.75</x:v>
      </x:c>
      <x:c r="P2663" s="9" t="n">
        <x:f>IF(D2663="Completed",L2663*J2663*(1-K2663),0)</x:f>
        <x:v>0</x:v>
      </x:c>
      <x:c r="Q2663" s="9" t="n">
        <x:f>O2663-P2663</x:f>
        <x:v>897.75</x:v>
      </x:c>
      <x:c r="R2663" s="11" t="n">
        <x:f>IF(D2663="Completed",I2663,0)</x:f>
        <x:v>5</x:v>
      </x:c>
      <x:c r="S2663" s="11" t="n">
        <x:f>IF(D2663="Completed",L2663,0)</x:f>
        <x:v>0</x:v>
      </x:c>
      <x:c r="T2663" s="8" t="n">
        <x:f>DATE(YEAR(C2663),MONTH(C2663),1)</x:f>
        <x:v>45962</x:v>
      </x:c>
    </x:row>
    <x:row r="2664" ht="22" customHeight="1">
      <x:c r="A2664" s="2" t="str">
        <x:v>L002660</x:v>
      </x:c>
      <x:c r="B2664" s="2" t="str">
        <x:v>O01090</x:v>
      </x:c>
      <x:c r="C2664" s="7" t="n">
        <x:v>45733</x:v>
      </x:c>
      <x:c r="D2664" s="2" t="str">
        <x:v>Completed</x:v>
      </x:c>
      <x:c r="E2664" s="2" t="str">
        <x:v>South</x:v>
      </x:c>
      <x:c r="F2664" s="2" t="str">
        <x:v>Store</x:v>
      </x:c>
      <x:c r="G2664" s="2" t="str">
        <x:v>Storage</x:v>
      </x:c>
      <x:c r="H2664" s="2" t="str">
        <x:v>Shelf 015</x:v>
      </x:c>
      <x:c r="I2664" s="11" t="n">
        <x:v>4</x:v>
      </x:c>
      <x:c r="J2664" s="9" t="n">
        <x:v>254</x:v>
      </x:c>
      <x:c r="K2664" s="10" t="n">
        <x:v>0.1</x:v>
      </x:c>
      <x:c r="L2664" s="11" t="n">
        <x:v>0</x:v>
      </x:c>
      <x:c r="M2664" s="9" t="n">
        <x:f>IF(D2664="Completed",I2664*J2664,0)</x:f>
        <x:v>1016</x:v>
      </x:c>
      <x:c r="N2664" s="9" t="n">
        <x:f>M2664*K2664</x:f>
        <x:v>101.60000000000001</x:v>
      </x:c>
      <x:c r="O2664" s="9" t="n">
        <x:f>M2664-N2664</x:f>
        <x:v>914.4</x:v>
      </x:c>
      <x:c r="P2664" s="9" t="n">
        <x:f>IF(D2664="Completed",L2664*J2664*(1-K2664),0)</x:f>
        <x:v>0</x:v>
      </x:c>
      <x:c r="Q2664" s="9" t="n">
        <x:f>O2664-P2664</x:f>
        <x:v>914.4</x:v>
      </x:c>
      <x:c r="R2664" s="11" t="n">
        <x:f>IF(D2664="Completed",I2664,0)</x:f>
        <x:v>4</x:v>
      </x:c>
      <x:c r="S2664" s="11" t="n">
        <x:f>IF(D2664="Completed",L2664,0)</x:f>
        <x:v>0</x:v>
      </x:c>
      <x:c r="T2664" s="8" t="n">
        <x:f>DATE(YEAR(C2664),MONTH(C2664),1)</x:f>
        <x:v>45717</x:v>
      </x:c>
    </x:row>
    <x:row r="2665" ht="22" customHeight="1">
      <x:c r="A2665" s="2" t="str">
        <x:v>L002661</x:v>
      </x:c>
      <x:c r="B2665" s="2" t="str">
        <x:v>O01090</x:v>
      </x:c>
      <x:c r="C2665" s="7" t="n">
        <x:v>45733</x:v>
      </x:c>
      <x:c r="D2665" s="2" t="str">
        <x:v>Completed</x:v>
      </x:c>
      <x:c r="E2665" s="2" t="str">
        <x:v>South</x:v>
      </x:c>
      <x:c r="F2665" s="2" t="str">
        <x:v>Store</x:v>
      </x:c>
      <x:c r="G2665" s="2" t="str">
        <x:v>Lighting</x:v>
      </x:c>
      <x:c r="H2665" s="2" t="str">
        <x:v>Lamp 005</x:v>
      </x:c>
      <x:c r="I2665" s="11" t="n">
        <x:v>1</x:v>
      </x:c>
      <x:c r="J2665" s="9" t="n">
        <x:v>65</x:v>
      </x:c>
      <x:c r="K2665" s="10" t="n">
        <x:v>0.2</x:v>
      </x:c>
      <x:c r="L2665" s="11" t="n">
        <x:v>0</x:v>
      </x:c>
      <x:c r="M2665" s="9" t="n">
        <x:f>IF(D2665="Completed",I2665*J2665,0)</x:f>
        <x:v>65</x:v>
      </x:c>
      <x:c r="N2665" s="9" t="n">
        <x:f>M2665*K2665</x:f>
        <x:v>13</x:v>
      </x:c>
      <x:c r="O2665" s="9" t="n">
        <x:f>M2665-N2665</x:f>
        <x:v>52</x:v>
      </x:c>
      <x:c r="P2665" s="9" t="n">
        <x:f>IF(D2665="Completed",L2665*J2665*(1-K2665),0)</x:f>
        <x:v>0</x:v>
      </x:c>
      <x:c r="Q2665" s="9" t="n">
        <x:f>O2665-P2665</x:f>
        <x:v>52</x:v>
      </x:c>
      <x:c r="R2665" s="11" t="n">
        <x:f>IF(D2665="Completed",I2665,0)</x:f>
        <x:v>1</x:v>
      </x:c>
      <x:c r="S2665" s="11" t="n">
        <x:f>IF(D2665="Completed",L2665,0)</x:f>
        <x:v>0</x:v>
      </x:c>
      <x:c r="T2665" s="8" t="n">
        <x:f>DATE(YEAR(C2665),MONTH(C2665),1)</x:f>
        <x:v>45717</x:v>
      </x:c>
    </x:row>
    <x:row r="2666" ht="22" customHeight="1">
      <x:c r="A2666" s="2" t="str">
        <x:v>L002662</x:v>
      </x:c>
      <x:c r="B2666" s="2" t="str">
        <x:v>O01091</x:v>
      </x:c>
      <x:c r="C2666" s="7" t="n">
        <x:v>45696</x:v>
      </x:c>
      <x:c r="D2666" s="2" t="str">
        <x:v>Completed</x:v>
      </x:c>
      <x:c r="E2666" s="2" t="str">
        <x:v>South</x:v>
      </x:c>
      <x:c r="F2666" s="2" t="str">
        <x:v>Store</x:v>
      </x:c>
      <x:c r="G2666" s="2" t="str">
        <x:v>Furniture</x:v>
      </x:c>
      <x:c r="H2666" s="2" t="str">
        <x:v>Desk 004</x:v>
      </x:c>
      <x:c r="I2666" s="11" t="n">
        <x:v>3</x:v>
      </x:c>
      <x:c r="J2666" s="9" t="n">
        <x:v>123</x:v>
      </x:c>
      <x:c r="K2666" s="10" t="n">
        <x:v>0.2</x:v>
      </x:c>
      <x:c r="L2666" s="11" t="n">
        <x:v>0</x:v>
      </x:c>
      <x:c r="M2666" s="9" t="n">
        <x:f>IF(D2666="Completed",I2666*J2666,0)</x:f>
        <x:v>369</x:v>
      </x:c>
      <x:c r="N2666" s="9" t="n">
        <x:f>M2666*K2666</x:f>
        <x:v>73.8</x:v>
      </x:c>
      <x:c r="O2666" s="9" t="n">
        <x:f>M2666-N2666</x:f>
        <x:v>295.2</x:v>
      </x:c>
      <x:c r="P2666" s="9" t="n">
        <x:f>IF(D2666="Completed",L2666*J2666*(1-K2666),0)</x:f>
        <x:v>0</x:v>
      </x:c>
      <x:c r="Q2666" s="9" t="n">
        <x:f>O2666-P2666</x:f>
        <x:v>295.2</x:v>
      </x:c>
      <x:c r="R2666" s="11" t="n">
        <x:f>IF(D2666="Completed",I2666,0)</x:f>
        <x:v>3</x:v>
      </x:c>
      <x:c r="S2666" s="11" t="n">
        <x:f>IF(D2666="Completed",L2666,0)</x:f>
        <x:v>0</x:v>
      </x:c>
      <x:c r="T2666" s="8" t="n">
        <x:f>DATE(YEAR(C2666),MONTH(C2666),1)</x:f>
        <x:v>45689</x:v>
      </x:c>
    </x:row>
    <x:row r="2667" ht="22" customHeight="1">
      <x:c r="A2667" s="2" t="str">
        <x:v>L002663</x:v>
      </x:c>
      <x:c r="B2667" s="2" t="str">
        <x:v>O01092</x:v>
      </x:c>
      <x:c r="C2667" s="7" t="n">
        <x:v>46010</x:v>
      </x:c>
      <x:c r="D2667" s="2" t="str">
        <x:v>Completed</x:v>
      </x:c>
      <x:c r="E2667" s="2" t="str">
        <x:v>West</x:v>
      </x:c>
      <x:c r="F2667" s="2" t="str">
        <x:v>Store</x:v>
      </x:c>
      <x:c r="G2667" s="2" t="str">
        <x:v>Storage</x:v>
      </x:c>
      <x:c r="H2667" s="2" t="str">
        <x:v>Shelf 023</x:v>
      </x:c>
      <x:c r="I2667" s="11" t="n">
        <x:v>4</x:v>
      </x:c>
      <x:c r="J2667" s="9" t="n">
        <x:v>68</x:v>
      </x:c>
      <x:c r="K2667" s="10" t="n">
        <x:v>0.1</x:v>
      </x:c>
      <x:c r="L2667" s="11" t="n">
        <x:v>0</x:v>
      </x:c>
      <x:c r="M2667" s="9" t="n">
        <x:f>IF(D2667="Completed",I2667*J2667,0)</x:f>
        <x:v>272</x:v>
      </x:c>
      <x:c r="N2667" s="9" t="n">
        <x:f>M2667*K2667</x:f>
        <x:v>27.200000000000003</x:v>
      </x:c>
      <x:c r="O2667" s="9" t="n">
        <x:f>M2667-N2667</x:f>
        <x:v>244.8</x:v>
      </x:c>
      <x:c r="P2667" s="9" t="n">
        <x:f>IF(D2667="Completed",L2667*J2667*(1-K2667),0)</x:f>
        <x:v>0</x:v>
      </x:c>
      <x:c r="Q2667" s="9" t="n">
        <x:f>O2667-P2667</x:f>
        <x:v>244.8</x:v>
      </x:c>
      <x:c r="R2667" s="11" t="n">
        <x:f>IF(D2667="Completed",I2667,0)</x:f>
        <x:v>4</x:v>
      </x:c>
      <x:c r="S2667" s="11" t="n">
        <x:f>IF(D2667="Completed",L2667,0)</x:f>
        <x:v>0</x:v>
      </x:c>
      <x:c r="T2667" s="8" t="n">
        <x:f>DATE(YEAR(C2667),MONTH(C2667),1)</x:f>
        <x:v>45992</x:v>
      </x:c>
    </x:row>
    <x:row r="2668" ht="22" customHeight="1">
      <x:c r="A2668" s="2" t="str">
        <x:v>L002664</x:v>
      </x:c>
      <x:c r="B2668" s="2" t="str">
        <x:v>O01092</x:v>
      </x:c>
      <x:c r="C2668" s="7" t="n">
        <x:v>46010</x:v>
      </x:c>
      <x:c r="D2668" s="2" t="str">
        <x:v>Completed</x:v>
      </x:c>
      <x:c r="E2668" s="2" t="str">
        <x:v>West</x:v>
      </x:c>
      <x:c r="F2668" s="2" t="str">
        <x:v>Store</x:v>
      </x:c>
      <x:c r="G2668" s="2" t="str">
        <x:v>Furniture</x:v>
      </x:c>
      <x:c r="H2668" s="2" t="str">
        <x:v>Chair 018</x:v>
      </x:c>
      <x:c r="I2668" s="11" t="n">
        <x:v>3</x:v>
      </x:c>
      <x:c r="J2668" s="9" t="n">
        <x:v>269</x:v>
      </x:c>
      <x:c r="K2668" s="10" t="n">
        <x:v>0.2</x:v>
      </x:c>
      <x:c r="L2668" s="11" t="n">
        <x:v>0</x:v>
      </x:c>
      <x:c r="M2668" s="9" t="n">
        <x:f>IF(D2668="Completed",I2668*J2668,0)</x:f>
        <x:v>807</x:v>
      </x:c>
      <x:c r="N2668" s="9" t="n">
        <x:f>M2668*K2668</x:f>
        <x:v>161.4</x:v>
      </x:c>
      <x:c r="O2668" s="9" t="n">
        <x:f>M2668-N2668</x:f>
        <x:v>645.6</x:v>
      </x:c>
      <x:c r="P2668" s="9" t="n">
        <x:f>IF(D2668="Completed",L2668*J2668*(1-K2668),0)</x:f>
        <x:v>0</x:v>
      </x:c>
      <x:c r="Q2668" s="9" t="n">
        <x:f>O2668-P2668</x:f>
        <x:v>645.6</x:v>
      </x:c>
      <x:c r="R2668" s="11" t="n">
        <x:f>IF(D2668="Completed",I2668,0)</x:f>
        <x:v>3</x:v>
      </x:c>
      <x:c r="S2668" s="11" t="n">
        <x:f>IF(D2668="Completed",L2668,0)</x:f>
        <x:v>0</x:v>
      </x:c>
      <x:c r="T2668" s="8" t="n">
        <x:f>DATE(YEAR(C2668),MONTH(C2668),1)</x:f>
        <x:v>45992</x:v>
      </x:c>
    </x:row>
    <x:row r="2669" ht="22" customHeight="1">
      <x:c r="A2669" s="2" t="str">
        <x:v>L002665</x:v>
      </x:c>
      <x:c r="B2669" s="2" t="str">
        <x:v>O01092</x:v>
      </x:c>
      <x:c r="C2669" s="7" t="n">
        <x:v>46010</x:v>
      </x:c>
      <x:c r="D2669" s="2" t="str">
        <x:v>Completed</x:v>
      </x:c>
      <x:c r="E2669" s="2" t="str">
        <x:v>West</x:v>
      </x:c>
      <x:c r="F2669" s="2" t="str">
        <x:v>Store</x:v>
      </x:c>
      <x:c r="G2669" s="2" t="str">
        <x:v>Furniture</x:v>
      </x:c>
      <x:c r="H2669" s="2" t="str">
        <x:v>Chair 018</x:v>
      </x:c>
      <x:c r="I2669" s="11" t="n">
        <x:v>4</x:v>
      </x:c>
      <x:c r="J2669" s="9" t="n">
        <x:v>269</x:v>
      </x:c>
      <x:c r="K2669" s="10" t="n">
        <x:v>0</x:v>
      </x:c>
      <x:c r="L2669" s="11" t="n">
        <x:v>0</x:v>
      </x:c>
      <x:c r="M2669" s="9" t="n">
        <x:f>IF(D2669="Completed",I2669*J2669,0)</x:f>
        <x:v>1076</x:v>
      </x:c>
      <x:c r="N2669" s="9" t="n">
        <x:f>M2669*K2669</x:f>
        <x:v>0</x:v>
      </x:c>
      <x:c r="O2669" s="9" t="n">
        <x:f>M2669-N2669</x:f>
        <x:v>1076</x:v>
      </x:c>
      <x:c r="P2669" s="9" t="n">
        <x:f>IF(D2669="Completed",L2669*J2669*(1-K2669),0)</x:f>
        <x:v>0</x:v>
      </x:c>
      <x:c r="Q2669" s="9" t="n">
        <x:f>O2669-P2669</x:f>
        <x:v>1076</x:v>
      </x:c>
      <x:c r="R2669" s="11" t="n">
        <x:f>IF(D2669="Completed",I2669,0)</x:f>
        <x:v>4</x:v>
      </x:c>
      <x:c r="S2669" s="11" t="n">
        <x:f>IF(D2669="Completed",L2669,0)</x:f>
        <x:v>0</x:v>
      </x:c>
      <x:c r="T2669" s="8" t="n">
        <x:f>DATE(YEAR(C2669),MONTH(C2669),1)</x:f>
        <x:v>45992</x:v>
      </x:c>
    </x:row>
    <x:row r="2670" ht="22" customHeight="1">
      <x:c r="A2670" s="2" t="str">
        <x:v>L002666</x:v>
      </x:c>
      <x:c r="B2670" s="2" t="str">
        <x:v>O01092</x:v>
      </x:c>
      <x:c r="C2670" s="7" t="n">
        <x:v>46010</x:v>
      </x:c>
      <x:c r="D2670" s="2" t="str">
        <x:v>Completed</x:v>
      </x:c>
      <x:c r="E2670" s="2" t="str">
        <x:v>West</x:v>
      </x:c>
      <x:c r="F2670" s="2" t="str">
        <x:v>Store</x:v>
      </x:c>
      <x:c r="G2670" s="2" t="str">
        <x:v>Furniture</x:v>
      </x:c>
      <x:c r="H2670" s="2" t="str">
        <x:v>Desk 024</x:v>
      </x:c>
      <x:c r="I2670" s="11" t="n">
        <x:v>2</x:v>
      </x:c>
      <x:c r="J2670" s="9" t="n">
        <x:v>81</x:v>
      </x:c>
      <x:c r="K2670" s="10" t="n">
        <x:v>0</x:v>
      </x:c>
      <x:c r="L2670" s="11" t="n">
        <x:v>0</x:v>
      </x:c>
      <x:c r="M2670" s="9" t="n">
        <x:f>IF(D2670="Completed",I2670*J2670,0)</x:f>
        <x:v>162</x:v>
      </x:c>
      <x:c r="N2670" s="9" t="n">
        <x:f>M2670*K2670</x:f>
        <x:v>0</x:v>
      </x:c>
      <x:c r="O2670" s="9" t="n">
        <x:f>M2670-N2670</x:f>
        <x:v>162</x:v>
      </x:c>
      <x:c r="P2670" s="9" t="n">
        <x:f>IF(D2670="Completed",L2670*J2670*(1-K2670),0)</x:f>
        <x:v>0</x:v>
      </x:c>
      <x:c r="Q2670" s="9" t="n">
        <x:f>O2670-P2670</x:f>
        <x:v>162</x:v>
      </x:c>
      <x:c r="R2670" s="11" t="n">
        <x:f>IF(D2670="Completed",I2670,0)</x:f>
        <x:v>2</x:v>
      </x:c>
      <x:c r="S2670" s="11" t="n">
        <x:f>IF(D2670="Completed",L2670,0)</x:f>
        <x:v>0</x:v>
      </x:c>
      <x:c r="T2670" s="8" t="n">
        <x:f>DATE(YEAR(C2670),MONTH(C2670),1)</x:f>
        <x:v>45992</x:v>
      </x:c>
    </x:row>
    <x:row r="2671" ht="22" customHeight="1">
      <x:c r="A2671" s="2" t="str">
        <x:v>L002667</x:v>
      </x:c>
      <x:c r="B2671" s="2" t="str">
        <x:v>O01093</x:v>
      </x:c>
      <x:c r="C2671" s="7" t="n">
        <x:v>45763</x:v>
      </x:c>
      <x:c r="D2671" s="2" t="str">
        <x:v>Completed</x:v>
      </x:c>
      <x:c r="E2671" s="2" t="str">
        <x:v>West</x:v>
      </x:c>
      <x:c r="F2671" s="2" t="str">
        <x:v>Store</x:v>
      </x:c>
      <x:c r="G2671" s="2" t="str">
        <x:v>Lighting</x:v>
      </x:c>
      <x:c r="H2671" s="2" t="str">
        <x:v>Lamp 001</x:v>
      </x:c>
      <x:c r="I2671" s="11" t="n">
        <x:v>3</x:v>
      </x:c>
      <x:c r="J2671" s="9" t="n">
        <x:v>122</x:v>
      </x:c>
      <x:c r="K2671" s="10" t="n">
        <x:v>0.2</x:v>
      </x:c>
      <x:c r="L2671" s="11" t="n">
        <x:v>0</x:v>
      </x:c>
      <x:c r="M2671" s="9" t="n">
        <x:f>IF(D2671="Completed",I2671*J2671,0)</x:f>
        <x:v>366</x:v>
      </x:c>
      <x:c r="N2671" s="9" t="n">
        <x:f>M2671*K2671</x:f>
        <x:v>73.2</x:v>
      </x:c>
      <x:c r="O2671" s="9" t="n">
        <x:f>M2671-N2671</x:f>
        <x:v>292.8</x:v>
      </x:c>
      <x:c r="P2671" s="9" t="n">
        <x:f>IF(D2671="Completed",L2671*J2671*(1-K2671),0)</x:f>
        <x:v>0</x:v>
      </x:c>
      <x:c r="Q2671" s="9" t="n">
        <x:f>O2671-P2671</x:f>
        <x:v>292.8</x:v>
      </x:c>
      <x:c r="R2671" s="11" t="n">
        <x:f>IF(D2671="Completed",I2671,0)</x:f>
        <x:v>3</x:v>
      </x:c>
      <x:c r="S2671" s="11" t="n">
        <x:f>IF(D2671="Completed",L2671,0)</x:f>
        <x:v>0</x:v>
      </x:c>
      <x:c r="T2671" s="8" t="n">
        <x:f>DATE(YEAR(C2671),MONTH(C2671),1)</x:f>
        <x:v>45748</x:v>
      </x:c>
    </x:row>
    <x:row r="2672" ht="22" customHeight="1">
      <x:c r="A2672" s="2" t="str">
        <x:v>L002668</x:v>
      </x:c>
      <x:c r="B2672" s="2" t="str">
        <x:v>O01093</x:v>
      </x:c>
      <x:c r="C2672" s="7" t="n">
        <x:v>45763</x:v>
      </x:c>
      <x:c r="D2672" s="2" t="str">
        <x:v>Completed</x:v>
      </x:c>
      <x:c r="E2672" s="2" t="str">
        <x:v>West</x:v>
      </x:c>
      <x:c r="F2672" s="2" t="str">
        <x:v>Store</x:v>
      </x:c>
      <x:c r="G2672" s="2" t="str">
        <x:v>Furniture</x:v>
      </x:c>
      <x:c r="H2672" s="2" t="str">
        <x:v>Desk 008</x:v>
      </x:c>
      <x:c r="I2672" s="11" t="n">
        <x:v>4</x:v>
      </x:c>
      <x:c r="J2672" s="9" t="n">
        <x:v>188</x:v>
      </x:c>
      <x:c r="K2672" s="10" t="n">
        <x:v>0.2</x:v>
      </x:c>
      <x:c r="L2672" s="11" t="n">
        <x:v>0</x:v>
      </x:c>
      <x:c r="M2672" s="9" t="n">
        <x:f>IF(D2672="Completed",I2672*J2672,0)</x:f>
        <x:v>752</x:v>
      </x:c>
      <x:c r="N2672" s="9" t="n">
        <x:f>M2672*K2672</x:f>
        <x:v>150.4</x:v>
      </x:c>
      <x:c r="O2672" s="9" t="n">
        <x:f>M2672-N2672</x:f>
        <x:v>601.6</x:v>
      </x:c>
      <x:c r="P2672" s="9" t="n">
        <x:f>IF(D2672="Completed",L2672*J2672*(1-K2672),0)</x:f>
        <x:v>0</x:v>
      </x:c>
      <x:c r="Q2672" s="9" t="n">
        <x:f>O2672-P2672</x:f>
        <x:v>601.6</x:v>
      </x:c>
      <x:c r="R2672" s="11" t="n">
        <x:f>IF(D2672="Completed",I2672,0)</x:f>
        <x:v>4</x:v>
      </x:c>
      <x:c r="S2672" s="11" t="n">
        <x:f>IF(D2672="Completed",L2672,0)</x:f>
        <x:v>0</x:v>
      </x:c>
      <x:c r="T2672" s="8" t="n">
        <x:f>DATE(YEAR(C2672),MONTH(C2672),1)</x:f>
        <x:v>45748</x:v>
      </x:c>
    </x:row>
    <x:row r="2673" ht="22" customHeight="1">
      <x:c r="A2673" s="2" t="str">
        <x:v>L002669</x:v>
      </x:c>
      <x:c r="B2673" s="2" t="str">
        <x:v>O01093</x:v>
      </x:c>
      <x:c r="C2673" s="7" t="n">
        <x:v>45763</x:v>
      </x:c>
      <x:c r="D2673" s="2" t="str">
        <x:v>Completed</x:v>
      </x:c>
      <x:c r="E2673" s="2" t="str">
        <x:v>West</x:v>
      </x:c>
      <x:c r="F2673" s="2" t="str">
        <x:v>Store</x:v>
      </x:c>
      <x:c r="G2673" s="2" t="str">
        <x:v>Storage</x:v>
      </x:c>
      <x:c r="H2673" s="2" t="str">
        <x:v>Shelf 003</x:v>
      </x:c>
      <x:c r="I2673" s="11" t="n">
        <x:v>3</x:v>
      </x:c>
      <x:c r="J2673" s="9" t="n">
        <x:v>199</x:v>
      </x:c>
      <x:c r="K2673" s="10" t="n">
        <x:v>0.05</x:v>
      </x:c>
      <x:c r="L2673" s="11" t="n">
        <x:v>0</x:v>
      </x:c>
      <x:c r="M2673" s="9" t="n">
        <x:f>IF(D2673="Completed",I2673*J2673,0)</x:f>
        <x:v>597</x:v>
      </x:c>
      <x:c r="N2673" s="9" t="n">
        <x:f>M2673*K2673</x:f>
        <x:v>29.85</x:v>
      </x:c>
      <x:c r="O2673" s="9" t="n">
        <x:f>M2673-N2673</x:f>
        <x:v>567.15</x:v>
      </x:c>
      <x:c r="P2673" s="9" t="n">
        <x:f>IF(D2673="Completed",L2673*J2673*(1-K2673),0)</x:f>
        <x:v>0</x:v>
      </x:c>
      <x:c r="Q2673" s="9" t="n">
        <x:f>O2673-P2673</x:f>
        <x:v>567.15</x:v>
      </x:c>
      <x:c r="R2673" s="11" t="n">
        <x:f>IF(D2673="Completed",I2673,0)</x:f>
        <x:v>3</x:v>
      </x:c>
      <x:c r="S2673" s="11" t="n">
        <x:f>IF(D2673="Completed",L2673,0)</x:f>
        <x:v>0</x:v>
      </x:c>
      <x:c r="T2673" s="8" t="n">
        <x:f>DATE(YEAR(C2673),MONTH(C2673),1)</x:f>
        <x:v>45748</x:v>
      </x:c>
    </x:row>
    <x:row r="2674" ht="22" customHeight="1">
      <x:c r="A2674" s="2" t="str">
        <x:v>L002670</x:v>
      </x:c>
      <x:c r="B2674" s="2" t="str">
        <x:v>O01094</x:v>
      </x:c>
      <x:c r="C2674" s="7" t="n">
        <x:v>45985</x:v>
      </x:c>
      <x:c r="D2674" s="2" t="str">
        <x:v>Completed</x:v>
      </x:c>
      <x:c r="E2674" s="2" t="str">
        <x:v>North</x:v>
      </x:c>
      <x:c r="F2674" s="2" t="str">
        <x:v>Store</x:v>
      </x:c>
      <x:c r="G2674" s="2" t="str">
        <x:v>Furniture</x:v>
      </x:c>
      <x:c r="H2674" s="2" t="str">
        <x:v>Chair 010</x:v>
      </x:c>
      <x:c r="I2674" s="11" t="n">
        <x:v>3</x:v>
      </x:c>
      <x:c r="J2674" s="9" t="n">
        <x:v>211</x:v>
      </x:c>
      <x:c r="K2674" s="10" t="n">
        <x:v>0.2</x:v>
      </x:c>
      <x:c r="L2674" s="11" t="n">
        <x:v>0</x:v>
      </x:c>
      <x:c r="M2674" s="9" t="n">
        <x:f>IF(D2674="Completed",I2674*J2674,0)</x:f>
        <x:v>633</x:v>
      </x:c>
      <x:c r="N2674" s="9" t="n">
        <x:f>M2674*K2674</x:f>
        <x:v>126.60000000000001</x:v>
      </x:c>
      <x:c r="O2674" s="9" t="n">
        <x:f>M2674-N2674</x:f>
        <x:v>506.4</x:v>
      </x:c>
      <x:c r="P2674" s="9" t="n">
        <x:f>IF(D2674="Completed",L2674*J2674*(1-K2674),0)</x:f>
        <x:v>0</x:v>
      </x:c>
      <x:c r="Q2674" s="9" t="n">
        <x:f>O2674-P2674</x:f>
        <x:v>506.4</x:v>
      </x:c>
      <x:c r="R2674" s="11" t="n">
        <x:f>IF(D2674="Completed",I2674,0)</x:f>
        <x:v>3</x:v>
      </x:c>
      <x:c r="S2674" s="11" t="n">
        <x:f>IF(D2674="Completed",L2674,0)</x:f>
        <x:v>0</x:v>
      </x:c>
      <x:c r="T2674" s="8" t="n">
        <x:f>DATE(YEAR(C2674),MONTH(C2674),1)</x:f>
        <x:v>45962</x:v>
      </x:c>
    </x:row>
    <x:row r="2675" ht="22" customHeight="1">
      <x:c r="A2675" s="2" t="str">
        <x:v>L002671</x:v>
      </x:c>
      <x:c r="B2675" s="2" t="str">
        <x:v>O01094</x:v>
      </x:c>
      <x:c r="C2675" s="7" t="n">
        <x:v>45985</x:v>
      </x:c>
      <x:c r="D2675" s="2" t="str">
        <x:v>Completed</x:v>
      </x:c>
      <x:c r="E2675" s="2" t="str">
        <x:v>North</x:v>
      </x:c>
      <x:c r="F2675" s="2" t="str">
        <x:v>Store</x:v>
      </x:c>
      <x:c r="G2675" s="2" t="str">
        <x:v>Furniture</x:v>
      </x:c>
      <x:c r="H2675" s="2" t="str">
        <x:v>Chair 014</x:v>
      </x:c>
      <x:c r="I2675" s="11" t="n">
        <x:v>2</x:v>
      </x:c>
      <x:c r="J2675" s="9" t="n">
        <x:v>294</x:v>
      </x:c>
      <x:c r="K2675" s="10" t="n">
        <x:v>0.05</x:v>
      </x:c>
      <x:c r="L2675" s="11" t="n">
        <x:v>0</x:v>
      </x:c>
      <x:c r="M2675" s="9" t="n">
        <x:f>IF(D2675="Completed",I2675*J2675,0)</x:f>
        <x:v>588</x:v>
      </x:c>
      <x:c r="N2675" s="9" t="n">
        <x:f>M2675*K2675</x:f>
        <x:v>29.400000000000002</x:v>
      </x:c>
      <x:c r="O2675" s="9" t="n">
        <x:f>M2675-N2675</x:f>
        <x:v>558.6</x:v>
      </x:c>
      <x:c r="P2675" s="9" t="n">
        <x:f>IF(D2675="Completed",L2675*J2675*(1-K2675),0)</x:f>
        <x:v>0</x:v>
      </x:c>
      <x:c r="Q2675" s="9" t="n">
        <x:f>O2675-P2675</x:f>
        <x:v>558.6</x:v>
      </x:c>
      <x:c r="R2675" s="11" t="n">
        <x:f>IF(D2675="Completed",I2675,0)</x:f>
        <x:v>2</x:v>
      </x:c>
      <x:c r="S2675" s="11" t="n">
        <x:f>IF(D2675="Completed",L2675,0)</x:f>
        <x:v>0</x:v>
      </x:c>
      <x:c r="T2675" s="8" t="n">
        <x:f>DATE(YEAR(C2675),MONTH(C2675),1)</x:f>
        <x:v>45962</x:v>
      </x:c>
    </x:row>
    <x:row r="2676" ht="22" customHeight="1">
      <x:c r="A2676" s="2" t="str">
        <x:v>L002672</x:v>
      </x:c>
      <x:c r="B2676" s="2" t="str">
        <x:v>O01094</x:v>
      </x:c>
      <x:c r="C2676" s="7" t="n">
        <x:v>45985</x:v>
      </x:c>
      <x:c r="D2676" s="2" t="str">
        <x:v>Completed</x:v>
      </x:c>
      <x:c r="E2676" s="2" t="str">
        <x:v>North</x:v>
      </x:c>
      <x:c r="F2676" s="2" t="str">
        <x:v>Store</x:v>
      </x:c>
      <x:c r="G2676" s="2" t="str">
        <x:v>Furniture</x:v>
      </x:c>
      <x:c r="H2676" s="2" t="str">
        <x:v>Desk 004</x:v>
      </x:c>
      <x:c r="I2676" s="11" t="n">
        <x:v>1</x:v>
      </x:c>
      <x:c r="J2676" s="9" t="n">
        <x:v>123</x:v>
      </x:c>
      <x:c r="K2676" s="10" t="n">
        <x:v>0.1</x:v>
      </x:c>
      <x:c r="L2676" s="11" t="n">
        <x:v>0</x:v>
      </x:c>
      <x:c r="M2676" s="9" t="n">
        <x:f>IF(D2676="Completed",I2676*J2676,0)</x:f>
        <x:v>123</x:v>
      </x:c>
      <x:c r="N2676" s="9" t="n">
        <x:f>M2676*K2676</x:f>
        <x:v>12.3</x:v>
      </x:c>
      <x:c r="O2676" s="9" t="n">
        <x:f>M2676-N2676</x:f>
        <x:v>110.7</x:v>
      </x:c>
      <x:c r="P2676" s="9" t="n">
        <x:f>IF(D2676="Completed",L2676*J2676*(1-K2676),0)</x:f>
        <x:v>0</x:v>
      </x:c>
      <x:c r="Q2676" s="9" t="n">
        <x:f>O2676-P2676</x:f>
        <x:v>110.7</x:v>
      </x:c>
      <x:c r="R2676" s="11" t="n">
        <x:f>IF(D2676="Completed",I2676,0)</x:f>
        <x:v>1</x:v>
      </x:c>
      <x:c r="S2676" s="11" t="n">
        <x:f>IF(D2676="Completed",L2676,0)</x:f>
        <x:v>0</x:v>
      </x:c>
      <x:c r="T2676" s="8" t="n">
        <x:f>DATE(YEAR(C2676),MONTH(C2676),1)</x:f>
        <x:v>45962</x:v>
      </x:c>
    </x:row>
    <x:row r="2677" ht="22" customHeight="1">
      <x:c r="A2677" s="2" t="str">
        <x:v>L002673</x:v>
      </x:c>
      <x:c r="B2677" s="2" t="str">
        <x:v>O01094</x:v>
      </x:c>
      <x:c r="C2677" s="7" t="n">
        <x:v>45985</x:v>
      </x:c>
      <x:c r="D2677" s="2" t="str">
        <x:v>Completed</x:v>
      </x:c>
      <x:c r="E2677" s="2" t="str">
        <x:v>North</x:v>
      </x:c>
      <x:c r="F2677" s="2" t="str">
        <x:v>Store</x:v>
      </x:c>
      <x:c r="G2677" s="2" t="str">
        <x:v>Furniture</x:v>
      </x:c>
      <x:c r="H2677" s="2" t="str">
        <x:v>Chair 014</x:v>
      </x:c>
      <x:c r="I2677" s="11" t="n">
        <x:v>5</x:v>
      </x:c>
      <x:c r="J2677" s="9" t="n">
        <x:v>294</x:v>
      </x:c>
      <x:c r="K2677" s="10" t="n">
        <x:v>0.1</x:v>
      </x:c>
      <x:c r="L2677" s="11" t="n">
        <x:v>0</x:v>
      </x:c>
      <x:c r="M2677" s="9" t="n">
        <x:f>IF(D2677="Completed",I2677*J2677,0)</x:f>
        <x:v>1470</x:v>
      </x:c>
      <x:c r="N2677" s="9" t="n">
        <x:f>M2677*K2677</x:f>
        <x:v>147</x:v>
      </x:c>
      <x:c r="O2677" s="9" t="n">
        <x:f>M2677-N2677</x:f>
        <x:v>1323</x:v>
      </x:c>
      <x:c r="P2677" s="9" t="n">
        <x:f>IF(D2677="Completed",L2677*J2677*(1-K2677),0)</x:f>
        <x:v>0</x:v>
      </x:c>
      <x:c r="Q2677" s="9" t="n">
        <x:f>O2677-P2677</x:f>
        <x:v>1323</x:v>
      </x:c>
      <x:c r="R2677" s="11" t="n">
        <x:f>IF(D2677="Completed",I2677,0)</x:f>
        <x:v>5</x:v>
      </x:c>
      <x:c r="S2677" s="11" t="n">
        <x:f>IF(D2677="Completed",L2677,0)</x:f>
        <x:v>0</x:v>
      </x:c>
      <x:c r="T2677" s="8" t="n">
        <x:f>DATE(YEAR(C2677),MONTH(C2677),1)</x:f>
        <x:v>45962</x:v>
      </x:c>
    </x:row>
    <x:row r="2678" ht="22" customHeight="1">
      <x:c r="A2678" s="2" t="str">
        <x:v>L002674</x:v>
      </x:c>
      <x:c r="B2678" s="2" t="str">
        <x:v>O01095</x:v>
      </x:c>
      <x:c r="C2678" s="7" t="n">
        <x:v>45993</x:v>
      </x:c>
      <x:c r="D2678" s="2" t="str">
        <x:v>Completed</x:v>
      </x:c>
      <x:c r="E2678" s="2" t="str">
        <x:v>North</x:v>
      </x:c>
      <x:c r="F2678" s="2" t="str">
        <x:v>Online</x:v>
      </x:c>
      <x:c r="G2678" s="2" t="str">
        <x:v>Furniture</x:v>
      </x:c>
      <x:c r="H2678" s="2" t="str">
        <x:v>Chair 002</x:v>
      </x:c>
      <x:c r="I2678" s="11" t="n">
        <x:v>4</x:v>
      </x:c>
      <x:c r="J2678" s="9" t="n">
        <x:v>284</x:v>
      </x:c>
      <x:c r="K2678" s="10" t="n">
        <x:v>0.2</x:v>
      </x:c>
      <x:c r="L2678" s="11" t="n">
        <x:v>0</x:v>
      </x:c>
      <x:c r="M2678" s="9" t="n">
        <x:f>IF(D2678="Completed",I2678*J2678,0)</x:f>
        <x:v>1136</x:v>
      </x:c>
      <x:c r="N2678" s="9" t="n">
        <x:f>M2678*K2678</x:f>
        <x:v>227.20000000000002</x:v>
      </x:c>
      <x:c r="O2678" s="9" t="n">
        <x:f>M2678-N2678</x:f>
        <x:v>908.8</x:v>
      </x:c>
      <x:c r="P2678" s="9" t="n">
        <x:f>IF(D2678="Completed",L2678*J2678*(1-K2678),0)</x:f>
        <x:v>0</x:v>
      </x:c>
      <x:c r="Q2678" s="9" t="n">
        <x:f>O2678-P2678</x:f>
        <x:v>908.8</x:v>
      </x:c>
      <x:c r="R2678" s="11" t="n">
        <x:f>IF(D2678="Completed",I2678,0)</x:f>
        <x:v>4</x:v>
      </x:c>
      <x:c r="S2678" s="11" t="n">
        <x:f>IF(D2678="Completed",L2678,0)</x:f>
        <x:v>0</x:v>
      </x:c>
      <x:c r="T2678" s="8" t="n">
        <x:f>DATE(YEAR(C2678),MONTH(C2678),1)</x:f>
        <x:v>45992</x:v>
      </x:c>
    </x:row>
    <x:row r="2679" ht="22" customHeight="1">
      <x:c r="A2679" s="2" t="str">
        <x:v>L002675</x:v>
      </x:c>
      <x:c r="B2679" s="2" t="str">
        <x:v>O01095</x:v>
      </x:c>
      <x:c r="C2679" s="7" t="n">
        <x:v>45993</x:v>
      </x:c>
      <x:c r="D2679" s="2" t="str">
        <x:v>Completed</x:v>
      </x:c>
      <x:c r="E2679" s="2" t="str">
        <x:v>North</x:v>
      </x:c>
      <x:c r="F2679" s="2" t="str">
        <x:v>Online</x:v>
      </x:c>
      <x:c r="G2679" s="2" t="str">
        <x:v>Storage</x:v>
      </x:c>
      <x:c r="H2679" s="2" t="str">
        <x:v>Shelf 023</x:v>
      </x:c>
      <x:c r="I2679" s="11" t="n">
        <x:v>2</x:v>
      </x:c>
      <x:c r="J2679" s="9" t="n">
        <x:v>68</x:v>
      </x:c>
      <x:c r="K2679" s="10" t="n">
        <x:v>0.1</x:v>
      </x:c>
      <x:c r="L2679" s="11" t="n">
        <x:v>0</x:v>
      </x:c>
      <x:c r="M2679" s="9" t="n">
        <x:f>IF(D2679="Completed",I2679*J2679,0)</x:f>
        <x:v>136</x:v>
      </x:c>
      <x:c r="N2679" s="9" t="n">
        <x:f>M2679*K2679</x:f>
        <x:v>13.600000000000001</x:v>
      </x:c>
      <x:c r="O2679" s="9" t="n">
        <x:f>M2679-N2679</x:f>
        <x:v>122.4</x:v>
      </x:c>
      <x:c r="P2679" s="9" t="n">
        <x:f>IF(D2679="Completed",L2679*J2679*(1-K2679),0)</x:f>
        <x:v>0</x:v>
      </x:c>
      <x:c r="Q2679" s="9" t="n">
        <x:f>O2679-P2679</x:f>
        <x:v>122.4</x:v>
      </x:c>
      <x:c r="R2679" s="11" t="n">
        <x:f>IF(D2679="Completed",I2679,0)</x:f>
        <x:v>2</x:v>
      </x:c>
      <x:c r="S2679" s="11" t="n">
        <x:f>IF(D2679="Completed",L2679,0)</x:f>
        <x:v>0</x:v>
      </x:c>
      <x:c r="T2679" s="8" t="n">
        <x:f>DATE(YEAR(C2679),MONTH(C2679),1)</x:f>
        <x:v>45992</x:v>
      </x:c>
    </x:row>
    <x:row r="2680" ht="22" customHeight="1">
      <x:c r="A2680" s="2" t="str">
        <x:v>L002676</x:v>
      </x:c>
      <x:c r="B2680" s="2" t="str">
        <x:v>O01095</x:v>
      </x:c>
      <x:c r="C2680" s="7" t="n">
        <x:v>45993</x:v>
      </x:c>
      <x:c r="D2680" s="2" t="str">
        <x:v>Completed</x:v>
      </x:c>
      <x:c r="E2680" s="2" t="str">
        <x:v>North</x:v>
      </x:c>
      <x:c r="F2680" s="2" t="str">
        <x:v>Online</x:v>
      </x:c>
      <x:c r="G2680" s="2" t="str">
        <x:v>Storage</x:v>
      </x:c>
      <x:c r="H2680" s="2" t="str">
        <x:v>Shelf 011</x:v>
      </x:c>
      <x:c r="I2680" s="11" t="n">
        <x:v>1</x:v>
      </x:c>
      <x:c r="J2680" s="9" t="n">
        <x:v>80</x:v>
      </x:c>
      <x:c r="K2680" s="10" t="n">
        <x:v>0.05</x:v>
      </x:c>
      <x:c r="L2680" s="11" t="n">
        <x:v>1</x:v>
      </x:c>
      <x:c r="M2680" s="9" t="n">
        <x:f>IF(D2680="Completed",I2680*J2680,0)</x:f>
        <x:v>80</x:v>
      </x:c>
      <x:c r="N2680" s="9" t="n">
        <x:f>M2680*K2680</x:f>
        <x:v>4</x:v>
      </x:c>
      <x:c r="O2680" s="9" t="n">
        <x:f>M2680-N2680</x:f>
        <x:v>76</x:v>
      </x:c>
      <x:c r="P2680" s="9" t="n">
        <x:f>IF(D2680="Completed",L2680*J2680*(1-K2680),0)</x:f>
        <x:v>76</x:v>
      </x:c>
      <x:c r="Q2680" s="9" t="n">
        <x:f>O2680-P2680</x:f>
        <x:v>0</x:v>
      </x:c>
      <x:c r="R2680" s="11" t="n">
        <x:f>IF(D2680="Completed",I2680,0)</x:f>
        <x:v>1</x:v>
      </x:c>
      <x:c r="S2680" s="11" t="n">
        <x:f>IF(D2680="Completed",L2680,0)</x:f>
        <x:v>1</x:v>
      </x:c>
      <x:c r="T2680" s="8" t="n">
        <x:f>DATE(YEAR(C2680),MONTH(C2680),1)</x:f>
        <x:v>45992</x:v>
      </x:c>
    </x:row>
    <x:row r="2681" ht="22" customHeight="1">
      <x:c r="A2681" s="2" t="str">
        <x:v>L002677</x:v>
      </x:c>
      <x:c r="B2681" s="2" t="str">
        <x:v>O01096</x:v>
      </x:c>
      <x:c r="C2681" s="7" t="n">
        <x:v>45720</x:v>
      </x:c>
      <x:c r="D2681" s="2" t="str">
        <x:v>Completed</x:v>
      </x:c>
      <x:c r="E2681" s="2" t="str">
        <x:v>East</x:v>
      </x:c>
      <x:c r="F2681" s="2" t="str">
        <x:v>Store</x:v>
      </x:c>
      <x:c r="G2681" s="2" t="str">
        <x:v>Lighting</x:v>
      </x:c>
      <x:c r="H2681" s="2" t="str">
        <x:v>Lamp 001</x:v>
      </x:c>
      <x:c r="I2681" s="11" t="n">
        <x:v>3</x:v>
      </x:c>
      <x:c r="J2681" s="9" t="n">
        <x:v>122</x:v>
      </x:c>
      <x:c r="K2681" s="10" t="n">
        <x:v>0</x:v>
      </x:c>
      <x:c r="L2681" s="11" t="n">
        <x:v>0</x:v>
      </x:c>
      <x:c r="M2681" s="9" t="n">
        <x:f>IF(D2681="Completed",I2681*J2681,0)</x:f>
        <x:v>366</x:v>
      </x:c>
      <x:c r="N2681" s="9" t="n">
        <x:f>M2681*K2681</x:f>
        <x:v>0</x:v>
      </x:c>
      <x:c r="O2681" s="9" t="n">
        <x:f>M2681-N2681</x:f>
        <x:v>366</x:v>
      </x:c>
      <x:c r="P2681" s="9" t="n">
        <x:f>IF(D2681="Completed",L2681*J2681*(1-K2681),0)</x:f>
        <x:v>0</x:v>
      </x:c>
      <x:c r="Q2681" s="9" t="n">
        <x:f>O2681-P2681</x:f>
        <x:v>366</x:v>
      </x:c>
      <x:c r="R2681" s="11" t="n">
        <x:f>IF(D2681="Completed",I2681,0)</x:f>
        <x:v>3</x:v>
      </x:c>
      <x:c r="S2681" s="11" t="n">
        <x:f>IF(D2681="Completed",L2681,0)</x:f>
        <x:v>0</x:v>
      </x:c>
      <x:c r="T2681" s="8" t="n">
        <x:f>DATE(YEAR(C2681),MONTH(C2681),1)</x:f>
        <x:v>45717</x:v>
      </x:c>
    </x:row>
    <x:row r="2682" ht="22" customHeight="1">
      <x:c r="A2682" s="2" t="str">
        <x:v>L002678</x:v>
      </x:c>
      <x:c r="B2682" s="2" t="str">
        <x:v>O01096</x:v>
      </x:c>
      <x:c r="C2682" s="7" t="n">
        <x:v>45720</x:v>
      </x:c>
      <x:c r="D2682" s="2" t="str">
        <x:v>Completed</x:v>
      </x:c>
      <x:c r="E2682" s="2" t="str">
        <x:v>East</x:v>
      </x:c>
      <x:c r="F2682" s="2" t="str">
        <x:v>Store</x:v>
      </x:c>
      <x:c r="G2682" s="2" t="str">
        <x:v>Furniture</x:v>
      </x:c>
      <x:c r="H2682" s="2" t="str">
        <x:v>Chair 018</x:v>
      </x:c>
      <x:c r="I2682" s="11" t="n">
        <x:v>3</x:v>
      </x:c>
      <x:c r="J2682" s="9" t="n">
        <x:v>269</x:v>
      </x:c>
      <x:c r="K2682" s="10" t="n">
        <x:v>0.05</x:v>
      </x:c>
      <x:c r="L2682" s="11" t="n">
        <x:v>0</x:v>
      </x:c>
      <x:c r="M2682" s="9" t="n">
        <x:f>IF(D2682="Completed",I2682*J2682,0)</x:f>
        <x:v>807</x:v>
      </x:c>
      <x:c r="N2682" s="9" t="n">
        <x:f>M2682*K2682</x:f>
        <x:v>40.35</x:v>
      </x:c>
      <x:c r="O2682" s="9" t="n">
        <x:f>M2682-N2682</x:f>
        <x:v>766.65</x:v>
      </x:c>
      <x:c r="P2682" s="9" t="n">
        <x:f>IF(D2682="Completed",L2682*J2682*(1-K2682),0)</x:f>
        <x:v>0</x:v>
      </x:c>
      <x:c r="Q2682" s="9" t="n">
        <x:f>O2682-P2682</x:f>
        <x:v>766.65</x:v>
      </x:c>
      <x:c r="R2682" s="11" t="n">
        <x:f>IF(D2682="Completed",I2682,0)</x:f>
        <x:v>3</x:v>
      </x:c>
      <x:c r="S2682" s="11" t="n">
        <x:f>IF(D2682="Completed",L2682,0)</x:f>
        <x:v>0</x:v>
      </x:c>
      <x:c r="T2682" s="8" t="n">
        <x:f>DATE(YEAR(C2682),MONTH(C2682),1)</x:f>
        <x:v>45717</x:v>
      </x:c>
    </x:row>
    <x:row r="2683" ht="22" customHeight="1">
      <x:c r="A2683" s="2" t="str">
        <x:v>L002679</x:v>
      </x:c>
      <x:c r="B2683" s="2" t="str">
        <x:v>O01096</x:v>
      </x:c>
      <x:c r="C2683" s="7" t="n">
        <x:v>45720</x:v>
      </x:c>
      <x:c r="D2683" s="2" t="str">
        <x:v>Completed</x:v>
      </x:c>
      <x:c r="E2683" s="2" t="str">
        <x:v>East</x:v>
      </x:c>
      <x:c r="F2683" s="2" t="str">
        <x:v>Store</x:v>
      </x:c>
      <x:c r="G2683" s="2" t="str">
        <x:v>Furniture</x:v>
      </x:c>
      <x:c r="H2683" s="2" t="str">
        <x:v>Chair 002</x:v>
      </x:c>
      <x:c r="I2683" s="11" t="n">
        <x:v>3</x:v>
      </x:c>
      <x:c r="J2683" s="9" t="n">
        <x:v>284</x:v>
      </x:c>
      <x:c r="K2683" s="10" t="n">
        <x:v>0.2</x:v>
      </x:c>
      <x:c r="L2683" s="11" t="n">
        <x:v>0</x:v>
      </x:c>
      <x:c r="M2683" s="9" t="n">
        <x:f>IF(D2683="Completed",I2683*J2683,0)</x:f>
        <x:v>852</x:v>
      </x:c>
      <x:c r="N2683" s="9" t="n">
        <x:f>M2683*K2683</x:f>
        <x:v>170.4</x:v>
      </x:c>
      <x:c r="O2683" s="9" t="n">
        <x:f>M2683-N2683</x:f>
        <x:v>681.6</x:v>
      </x:c>
      <x:c r="P2683" s="9" t="n">
        <x:f>IF(D2683="Completed",L2683*J2683*(1-K2683),0)</x:f>
        <x:v>0</x:v>
      </x:c>
      <x:c r="Q2683" s="9" t="n">
        <x:f>O2683-P2683</x:f>
        <x:v>681.6</x:v>
      </x:c>
      <x:c r="R2683" s="11" t="n">
        <x:f>IF(D2683="Completed",I2683,0)</x:f>
        <x:v>3</x:v>
      </x:c>
      <x:c r="S2683" s="11" t="n">
        <x:f>IF(D2683="Completed",L2683,0)</x:f>
        <x:v>0</x:v>
      </x:c>
      <x:c r="T2683" s="8" t="n">
        <x:f>DATE(YEAR(C2683),MONTH(C2683),1)</x:f>
        <x:v>45717</x:v>
      </x:c>
    </x:row>
    <x:row r="2684" ht="22" customHeight="1">
      <x:c r="A2684" s="2" t="str">
        <x:v>L002680</x:v>
      </x:c>
      <x:c r="B2684" s="2" t="str">
        <x:v>O01097</x:v>
      </x:c>
      <x:c r="C2684" s="7" t="n">
        <x:v>45811</x:v>
      </x:c>
      <x:c r="D2684" s="2" t="str">
        <x:v>Completed</x:v>
      </x:c>
      <x:c r="E2684" s="2" t="str">
        <x:v>East</x:v>
      </x:c>
      <x:c r="F2684" s="2" t="str">
        <x:v>Store</x:v>
      </x:c>
      <x:c r="G2684" s="2" t="str">
        <x:v>Lighting</x:v>
      </x:c>
      <x:c r="H2684" s="2" t="str">
        <x:v>Lamp 017</x:v>
      </x:c>
      <x:c r="I2684" s="11" t="n">
        <x:v>1</x:v>
      </x:c>
      <x:c r="J2684" s="9" t="n">
        <x:v>300</x:v>
      </x:c>
      <x:c r="K2684" s="10" t="n">
        <x:v>0.1</x:v>
      </x:c>
      <x:c r="L2684" s="11" t="n">
        <x:v>0</x:v>
      </x:c>
      <x:c r="M2684" s="9" t="n">
        <x:f>IF(D2684="Completed",I2684*J2684,0)</x:f>
        <x:v>300</x:v>
      </x:c>
      <x:c r="N2684" s="9" t="n">
        <x:f>M2684*K2684</x:f>
        <x:v>30</x:v>
      </x:c>
      <x:c r="O2684" s="9" t="n">
        <x:f>M2684-N2684</x:f>
        <x:v>270</x:v>
      </x:c>
      <x:c r="P2684" s="9" t="n">
        <x:f>IF(D2684="Completed",L2684*J2684*(1-K2684),0)</x:f>
        <x:v>0</x:v>
      </x:c>
      <x:c r="Q2684" s="9" t="n">
        <x:f>O2684-P2684</x:f>
        <x:v>270</x:v>
      </x:c>
      <x:c r="R2684" s="11" t="n">
        <x:f>IF(D2684="Completed",I2684,0)</x:f>
        <x:v>1</x:v>
      </x:c>
      <x:c r="S2684" s="11" t="n">
        <x:f>IF(D2684="Completed",L2684,0)</x:f>
        <x:v>0</x:v>
      </x:c>
      <x:c r="T2684" s="8" t="n">
        <x:f>DATE(YEAR(C2684),MONTH(C2684),1)</x:f>
        <x:v>45809</x:v>
      </x:c>
    </x:row>
    <x:row r="2685" ht="22" customHeight="1">
      <x:c r="A2685" s="2" t="str">
        <x:v>L002681</x:v>
      </x:c>
      <x:c r="B2685" s="2" t="str">
        <x:v>O01097</x:v>
      </x:c>
      <x:c r="C2685" s="7" t="n">
        <x:v>45811</x:v>
      </x:c>
      <x:c r="D2685" s="2" t="str">
        <x:v>Completed</x:v>
      </x:c>
      <x:c r="E2685" s="2" t="str">
        <x:v>East</x:v>
      </x:c>
      <x:c r="F2685" s="2" t="str">
        <x:v>Store</x:v>
      </x:c>
      <x:c r="G2685" s="2" t="str">
        <x:v>Furniture</x:v>
      </x:c>
      <x:c r="H2685" s="2" t="str">
        <x:v>Chair 022</x:v>
      </x:c>
      <x:c r="I2685" s="11" t="n">
        <x:v>4</x:v>
      </x:c>
      <x:c r="J2685" s="9" t="n">
        <x:v>134</x:v>
      </x:c>
      <x:c r="K2685" s="10" t="n">
        <x:v>0.05</x:v>
      </x:c>
      <x:c r="L2685" s="11" t="n">
        <x:v>0</x:v>
      </x:c>
      <x:c r="M2685" s="9" t="n">
        <x:f>IF(D2685="Completed",I2685*J2685,0)</x:f>
        <x:v>536</x:v>
      </x:c>
      <x:c r="N2685" s="9" t="n">
        <x:f>M2685*K2685</x:f>
        <x:v>26.8</x:v>
      </x:c>
      <x:c r="O2685" s="9" t="n">
        <x:f>M2685-N2685</x:f>
        <x:v>509.2</x:v>
      </x:c>
      <x:c r="P2685" s="9" t="n">
        <x:f>IF(D2685="Completed",L2685*J2685*(1-K2685),0)</x:f>
        <x:v>0</x:v>
      </x:c>
      <x:c r="Q2685" s="9" t="n">
        <x:f>O2685-P2685</x:f>
        <x:v>509.2</x:v>
      </x:c>
      <x:c r="R2685" s="11" t="n">
        <x:f>IF(D2685="Completed",I2685,0)</x:f>
        <x:v>4</x:v>
      </x:c>
      <x:c r="S2685" s="11" t="n">
        <x:f>IF(D2685="Completed",L2685,0)</x:f>
        <x:v>0</x:v>
      </x:c>
      <x:c r="T2685" s="8" t="n">
        <x:f>DATE(YEAR(C2685),MONTH(C2685),1)</x:f>
        <x:v>45809</x:v>
      </x:c>
    </x:row>
    <x:row r="2686" ht="22" customHeight="1">
      <x:c r="A2686" s="2" t="str">
        <x:v>L002682</x:v>
      </x:c>
      <x:c r="B2686" s="2" t="str">
        <x:v>O01097</x:v>
      </x:c>
      <x:c r="C2686" s="7" t="n">
        <x:v>45811</x:v>
      </x:c>
      <x:c r="D2686" s="2" t="str">
        <x:v>Completed</x:v>
      </x:c>
      <x:c r="E2686" s="2" t="str">
        <x:v>East</x:v>
      </x:c>
      <x:c r="F2686" s="2" t="str">
        <x:v>Store</x:v>
      </x:c>
      <x:c r="G2686" s="2" t="str">
        <x:v>Storage</x:v>
      </x:c>
      <x:c r="H2686" s="2" t="str">
        <x:v>Shelf 007</x:v>
      </x:c>
      <x:c r="I2686" s="11" t="n">
        <x:v>5</x:v>
      </x:c>
      <x:c r="J2686" s="9" t="n">
        <x:v>35</x:v>
      </x:c>
      <x:c r="K2686" s="10" t="n">
        <x:v>0.05</x:v>
      </x:c>
      <x:c r="L2686" s="11" t="n">
        <x:v>0</x:v>
      </x:c>
      <x:c r="M2686" s="9" t="n">
        <x:f>IF(D2686="Completed",I2686*J2686,0)</x:f>
        <x:v>175</x:v>
      </x:c>
      <x:c r="N2686" s="9" t="n">
        <x:f>M2686*K2686</x:f>
        <x:v>8.75</x:v>
      </x:c>
      <x:c r="O2686" s="9" t="n">
        <x:f>M2686-N2686</x:f>
        <x:v>166.25</x:v>
      </x:c>
      <x:c r="P2686" s="9" t="n">
        <x:f>IF(D2686="Completed",L2686*J2686*(1-K2686),0)</x:f>
        <x:v>0</x:v>
      </x:c>
      <x:c r="Q2686" s="9" t="n">
        <x:f>O2686-P2686</x:f>
        <x:v>166.25</x:v>
      </x:c>
      <x:c r="R2686" s="11" t="n">
        <x:f>IF(D2686="Completed",I2686,0)</x:f>
        <x:v>5</x:v>
      </x:c>
      <x:c r="S2686" s="11" t="n">
        <x:f>IF(D2686="Completed",L2686,0)</x:f>
        <x:v>0</x:v>
      </x:c>
      <x:c r="T2686" s="8" t="n">
        <x:f>DATE(YEAR(C2686),MONTH(C2686),1)</x:f>
        <x:v>45809</x:v>
      </x:c>
    </x:row>
    <x:row r="2687" ht="22" customHeight="1">
      <x:c r="A2687" s="2" t="str">
        <x:v>L002683</x:v>
      </x:c>
      <x:c r="B2687" s="2" t="str">
        <x:v>O01098</x:v>
      </x:c>
      <x:c r="C2687" s="7" t="n">
        <x:v>45740</x:v>
      </x:c>
      <x:c r="D2687" s="2" t="str">
        <x:v>Completed</x:v>
      </x:c>
      <x:c r="E2687" s="2" t="str">
        <x:v>South</x:v>
      </x:c>
      <x:c r="F2687" s="2" t="str">
        <x:v>Store</x:v>
      </x:c>
      <x:c r="G2687" s="2" t="str">
        <x:v>Lighting</x:v>
      </x:c>
      <x:c r="H2687" s="2" t="str">
        <x:v>Lamp 021</x:v>
      </x:c>
      <x:c r="I2687" s="11" t="n">
        <x:v>1</x:v>
      </x:c>
      <x:c r="J2687" s="9" t="n">
        <x:v>249</x:v>
      </x:c>
      <x:c r="K2687" s="10" t="n">
        <x:v>0.1</x:v>
      </x:c>
      <x:c r="L2687" s="11" t="n">
        <x:v>0</x:v>
      </x:c>
      <x:c r="M2687" s="9" t="n">
        <x:f>IF(D2687="Completed",I2687*J2687,0)</x:f>
        <x:v>249</x:v>
      </x:c>
      <x:c r="N2687" s="9" t="n">
        <x:f>M2687*K2687</x:f>
        <x:v>24.900000000000002</x:v>
      </x:c>
      <x:c r="O2687" s="9" t="n">
        <x:f>M2687-N2687</x:f>
        <x:v>224.1</x:v>
      </x:c>
      <x:c r="P2687" s="9" t="n">
        <x:f>IF(D2687="Completed",L2687*J2687*(1-K2687),0)</x:f>
        <x:v>0</x:v>
      </x:c>
      <x:c r="Q2687" s="9" t="n">
        <x:f>O2687-P2687</x:f>
        <x:v>224.1</x:v>
      </x:c>
      <x:c r="R2687" s="11" t="n">
        <x:f>IF(D2687="Completed",I2687,0)</x:f>
        <x:v>1</x:v>
      </x:c>
      <x:c r="S2687" s="11" t="n">
        <x:f>IF(D2687="Completed",L2687,0)</x:f>
        <x:v>0</x:v>
      </x:c>
      <x:c r="T2687" s="8" t="n">
        <x:f>DATE(YEAR(C2687),MONTH(C2687),1)</x:f>
        <x:v>45717</x:v>
      </x:c>
    </x:row>
    <x:row r="2688" ht="22" customHeight="1">
      <x:c r="A2688" s="2" t="str">
        <x:v>L002684</x:v>
      </x:c>
      <x:c r="B2688" s="2" t="str">
        <x:v>O01098</x:v>
      </x:c>
      <x:c r="C2688" s="7" t="n">
        <x:v>45740</x:v>
      </x:c>
      <x:c r="D2688" s="2" t="str">
        <x:v>Completed</x:v>
      </x:c>
      <x:c r="E2688" s="2" t="str">
        <x:v>South</x:v>
      </x:c>
      <x:c r="F2688" s="2" t="str">
        <x:v>Store</x:v>
      </x:c>
      <x:c r="G2688" s="2" t="str">
        <x:v>Lighting</x:v>
      </x:c>
      <x:c r="H2688" s="2" t="str">
        <x:v>Lamp 001</x:v>
      </x:c>
      <x:c r="I2688" s="11" t="n">
        <x:v>5</x:v>
      </x:c>
      <x:c r="J2688" s="9" t="n">
        <x:v>122</x:v>
      </x:c>
      <x:c r="K2688" s="10" t="n">
        <x:v>0.1</x:v>
      </x:c>
      <x:c r="L2688" s="11" t="n">
        <x:v>4</x:v>
      </x:c>
      <x:c r="M2688" s="9" t="n">
        <x:f>IF(D2688="Completed",I2688*J2688,0)</x:f>
        <x:v>610</x:v>
      </x:c>
      <x:c r="N2688" s="9" t="n">
        <x:f>M2688*K2688</x:f>
        <x:v>61</x:v>
      </x:c>
      <x:c r="O2688" s="9" t="n">
        <x:f>M2688-N2688</x:f>
        <x:v>549</x:v>
      </x:c>
      <x:c r="P2688" s="9" t="n">
        <x:f>IF(D2688="Completed",L2688*J2688*(1-K2688),0)</x:f>
        <x:v>439.2</x:v>
      </x:c>
      <x:c r="Q2688" s="9" t="n">
        <x:f>O2688-P2688</x:f>
        <x:v>109.80000000000001</x:v>
      </x:c>
      <x:c r="R2688" s="11" t="n">
        <x:f>IF(D2688="Completed",I2688,0)</x:f>
        <x:v>5</x:v>
      </x:c>
      <x:c r="S2688" s="11" t="n">
        <x:f>IF(D2688="Completed",L2688,0)</x:f>
        <x:v>4</x:v>
      </x:c>
      <x:c r="T2688" s="8" t="n">
        <x:f>DATE(YEAR(C2688),MONTH(C2688),1)</x:f>
        <x:v>45717</x:v>
      </x:c>
    </x:row>
    <x:row r="2689" ht="22" customHeight="1">
      <x:c r="A2689" s="2" t="str">
        <x:v>L002685</x:v>
      </x:c>
      <x:c r="B2689" s="2" t="str">
        <x:v>O01098</x:v>
      </x:c>
      <x:c r="C2689" s="7" t="n">
        <x:v>45740</x:v>
      </x:c>
      <x:c r="D2689" s="2" t="str">
        <x:v>Completed</x:v>
      </x:c>
      <x:c r="E2689" s="2" t="str">
        <x:v>South</x:v>
      </x:c>
      <x:c r="F2689" s="2" t="str">
        <x:v>Store</x:v>
      </x:c>
      <x:c r="G2689" s="2" t="str">
        <x:v>Storage</x:v>
      </x:c>
      <x:c r="H2689" s="2" t="str">
        <x:v>Shelf 003</x:v>
      </x:c>
      <x:c r="I2689" s="11" t="n">
        <x:v>2</x:v>
      </x:c>
      <x:c r="J2689" s="9" t="n">
        <x:v>199</x:v>
      </x:c>
      <x:c r="K2689" s="10" t="n">
        <x:v>0.2</x:v>
      </x:c>
      <x:c r="L2689" s="11" t="n">
        <x:v>0</x:v>
      </x:c>
      <x:c r="M2689" s="9" t="n">
        <x:f>IF(D2689="Completed",I2689*J2689,0)</x:f>
        <x:v>398</x:v>
      </x:c>
      <x:c r="N2689" s="9" t="n">
        <x:f>M2689*K2689</x:f>
        <x:v>79.60000000000001</x:v>
      </x:c>
      <x:c r="O2689" s="9" t="n">
        <x:f>M2689-N2689</x:f>
        <x:v>318.4</x:v>
      </x:c>
      <x:c r="P2689" s="9" t="n">
        <x:f>IF(D2689="Completed",L2689*J2689*(1-K2689),0)</x:f>
        <x:v>0</x:v>
      </x:c>
      <x:c r="Q2689" s="9" t="n">
        <x:f>O2689-P2689</x:f>
        <x:v>318.4</x:v>
      </x:c>
      <x:c r="R2689" s="11" t="n">
        <x:f>IF(D2689="Completed",I2689,0)</x:f>
        <x:v>2</x:v>
      </x:c>
      <x:c r="S2689" s="11" t="n">
        <x:f>IF(D2689="Completed",L2689,0)</x:f>
        <x:v>0</x:v>
      </x:c>
      <x:c r="T2689" s="8" t="n">
        <x:f>DATE(YEAR(C2689),MONTH(C2689),1)</x:f>
        <x:v>45717</x:v>
      </x:c>
    </x:row>
    <x:row r="2690" ht="22" customHeight="1">
      <x:c r="A2690" s="2" t="str">
        <x:v>L002686</x:v>
      </x:c>
      <x:c r="B2690" s="2" t="str">
        <x:v>O01098</x:v>
      </x:c>
      <x:c r="C2690" s="7" t="n">
        <x:v>45740</x:v>
      </x:c>
      <x:c r="D2690" s="2" t="str">
        <x:v>Completed</x:v>
      </x:c>
      <x:c r="E2690" s="2" t="str">
        <x:v>South</x:v>
      </x:c>
      <x:c r="F2690" s="2" t="str">
        <x:v>Store</x:v>
      </x:c>
      <x:c r="G2690" s="2" t="str">
        <x:v>Lighting</x:v>
      </x:c>
      <x:c r="H2690" s="2" t="str">
        <x:v>Lamp 013</x:v>
      </x:c>
      <x:c r="I2690" s="11" t="n">
        <x:v>1</x:v>
      </x:c>
      <x:c r="J2690" s="9" t="n">
        <x:v>271</x:v>
      </x:c>
      <x:c r="K2690" s="10" t="n">
        <x:v>0.1</x:v>
      </x:c>
      <x:c r="L2690" s="11" t="n">
        <x:v>0</x:v>
      </x:c>
      <x:c r="M2690" s="9" t="n">
        <x:f>IF(D2690="Completed",I2690*J2690,0)</x:f>
        <x:v>271</x:v>
      </x:c>
      <x:c r="N2690" s="9" t="n">
        <x:f>M2690*K2690</x:f>
        <x:v>27.1</x:v>
      </x:c>
      <x:c r="O2690" s="9" t="n">
        <x:f>M2690-N2690</x:f>
        <x:v>243.9</x:v>
      </x:c>
      <x:c r="P2690" s="9" t="n">
        <x:f>IF(D2690="Completed",L2690*J2690*(1-K2690),0)</x:f>
        <x:v>0</x:v>
      </x:c>
      <x:c r="Q2690" s="9" t="n">
        <x:f>O2690-P2690</x:f>
        <x:v>243.9</x:v>
      </x:c>
      <x:c r="R2690" s="11" t="n">
        <x:f>IF(D2690="Completed",I2690,0)</x:f>
        <x:v>1</x:v>
      </x:c>
      <x:c r="S2690" s="11" t="n">
        <x:f>IF(D2690="Completed",L2690,0)</x:f>
        <x:v>0</x:v>
      </x:c>
      <x:c r="T2690" s="8" t="n">
        <x:f>DATE(YEAR(C2690),MONTH(C2690),1)</x:f>
        <x:v>45717</x:v>
      </x:c>
    </x:row>
    <x:row r="2691" ht="22" customHeight="1">
      <x:c r="A2691" s="2" t="str">
        <x:v>L002687</x:v>
      </x:c>
      <x:c r="B2691" s="2" t="str">
        <x:v>O01099</x:v>
      </x:c>
      <x:c r="C2691" s="7" t="n">
        <x:v>45959</x:v>
      </x:c>
      <x:c r="D2691" s="2" t="str">
        <x:v>Completed</x:v>
      </x:c>
      <x:c r="E2691" s="2" t="str">
        <x:v>West</x:v>
      </x:c>
      <x:c r="F2691" s="2" t="str">
        <x:v>Online</x:v>
      </x:c>
      <x:c r="G2691" s="2" t="str">
        <x:v>Furniture</x:v>
      </x:c>
      <x:c r="H2691" s="2" t="str">
        <x:v>Desk 016</x:v>
      </x:c>
      <x:c r="I2691" s="11" t="n">
        <x:v>4</x:v>
      </x:c>
      <x:c r="J2691" s="9" t="n">
        <x:v>231</x:v>
      </x:c>
      <x:c r="K2691" s="10" t="n">
        <x:v>0.05</x:v>
      </x:c>
      <x:c r="L2691" s="11" t="n">
        <x:v>0</x:v>
      </x:c>
      <x:c r="M2691" s="9" t="n">
        <x:f>IF(D2691="Completed",I2691*J2691,0)</x:f>
        <x:v>924</x:v>
      </x:c>
      <x:c r="N2691" s="9" t="n">
        <x:f>M2691*K2691</x:f>
        <x:v>46.2</x:v>
      </x:c>
      <x:c r="O2691" s="9" t="n">
        <x:f>M2691-N2691</x:f>
        <x:v>877.8</x:v>
      </x:c>
      <x:c r="P2691" s="9" t="n">
        <x:f>IF(D2691="Completed",L2691*J2691*(1-K2691),0)</x:f>
        <x:v>0</x:v>
      </x:c>
      <x:c r="Q2691" s="9" t="n">
        <x:f>O2691-P2691</x:f>
        <x:v>877.8</x:v>
      </x:c>
      <x:c r="R2691" s="11" t="n">
        <x:f>IF(D2691="Completed",I2691,0)</x:f>
        <x:v>4</x:v>
      </x:c>
      <x:c r="S2691" s="11" t="n">
        <x:f>IF(D2691="Completed",L2691,0)</x:f>
        <x:v>0</x:v>
      </x:c>
      <x:c r="T2691" s="8" t="n">
        <x:f>DATE(YEAR(C2691),MONTH(C2691),1)</x:f>
        <x:v>45931</x:v>
      </x:c>
    </x:row>
    <x:row r="2692" ht="22" customHeight="1">
      <x:c r="A2692" s="2" t="str">
        <x:v>L002688</x:v>
      </x:c>
      <x:c r="B2692" s="2" t="str">
        <x:v>O01100</x:v>
      </x:c>
      <x:c r="C2692" s="7" t="n">
        <x:v>45904</x:v>
      </x:c>
      <x:c r="D2692" s="2" t="str">
        <x:v>Completed</x:v>
      </x:c>
      <x:c r="E2692" s="2" t="str">
        <x:v>South</x:v>
      </x:c>
      <x:c r="F2692" s="2" t="str">
        <x:v>Store</x:v>
      </x:c>
      <x:c r="G2692" s="2" t="str">
        <x:v>Lighting</x:v>
      </x:c>
      <x:c r="H2692" s="2" t="str">
        <x:v>Lamp 001</x:v>
      </x:c>
      <x:c r="I2692" s="11" t="n">
        <x:v>1</x:v>
      </x:c>
      <x:c r="J2692" s="9" t="n">
        <x:v>122</x:v>
      </x:c>
      <x:c r="K2692" s="10" t="n">
        <x:v>0.2</x:v>
      </x:c>
      <x:c r="L2692" s="11" t="n">
        <x:v>0</x:v>
      </x:c>
      <x:c r="M2692" s="9" t="n">
        <x:f>IF(D2692="Completed",I2692*J2692,0)</x:f>
        <x:v>122</x:v>
      </x:c>
      <x:c r="N2692" s="9" t="n">
        <x:f>M2692*K2692</x:f>
        <x:v>24.400000000000002</x:v>
      </x:c>
      <x:c r="O2692" s="9" t="n">
        <x:f>M2692-N2692</x:f>
        <x:v>97.6</x:v>
      </x:c>
      <x:c r="P2692" s="9" t="n">
        <x:f>IF(D2692="Completed",L2692*J2692*(1-K2692),0)</x:f>
        <x:v>0</x:v>
      </x:c>
      <x:c r="Q2692" s="9" t="n">
        <x:f>O2692-P2692</x:f>
        <x:v>97.6</x:v>
      </x:c>
      <x:c r="R2692" s="11" t="n">
        <x:f>IF(D2692="Completed",I2692,0)</x:f>
        <x:v>1</x:v>
      </x:c>
      <x:c r="S2692" s="11" t="n">
        <x:f>IF(D2692="Completed",L2692,0)</x:f>
        <x:v>0</x:v>
      </x:c>
      <x:c r="T2692" s="8" t="n">
        <x:f>DATE(YEAR(C2692),MONTH(C2692),1)</x:f>
        <x:v>45901</x:v>
      </x:c>
    </x:row>
    <x:row r="2693" ht="22" customHeight="1">
      <x:c r="A2693" s="2" t="str">
        <x:v>L002689</x:v>
      </x:c>
      <x:c r="B2693" s="2" t="str">
        <x:v>O01101</x:v>
      </x:c>
      <x:c r="C2693" s="7" t="n">
        <x:v>45846</x:v>
      </x:c>
      <x:c r="D2693" s="2" t="str">
        <x:v>Completed</x:v>
      </x:c>
      <x:c r="E2693" s="2" t="str">
        <x:v>South</x:v>
      </x:c>
      <x:c r="F2693" s="2" t="str">
        <x:v>Store</x:v>
      </x:c>
      <x:c r="G2693" s="2" t="str">
        <x:v>Storage</x:v>
      </x:c>
      <x:c r="H2693" s="2" t="str">
        <x:v>Shelf 003</x:v>
      </x:c>
      <x:c r="I2693" s="11" t="n">
        <x:v>1</x:v>
      </x:c>
      <x:c r="J2693" s="9" t="n">
        <x:v>199</x:v>
      </x:c>
      <x:c r="K2693" s="10" t="n">
        <x:v>0.1</x:v>
      </x:c>
      <x:c r="L2693" s="11" t="n">
        <x:v>0</x:v>
      </x:c>
      <x:c r="M2693" s="9" t="n">
        <x:f>IF(D2693="Completed",I2693*J2693,0)</x:f>
        <x:v>199</x:v>
      </x:c>
      <x:c r="N2693" s="9" t="n">
        <x:f>M2693*K2693</x:f>
        <x:v>19.900000000000002</x:v>
      </x:c>
      <x:c r="O2693" s="9" t="n">
        <x:f>M2693-N2693</x:f>
        <x:v>179.1</x:v>
      </x:c>
      <x:c r="P2693" s="9" t="n">
        <x:f>IF(D2693="Completed",L2693*J2693*(1-K2693),0)</x:f>
        <x:v>0</x:v>
      </x:c>
      <x:c r="Q2693" s="9" t="n">
        <x:f>O2693-P2693</x:f>
        <x:v>179.1</x:v>
      </x:c>
      <x:c r="R2693" s="11" t="n">
        <x:f>IF(D2693="Completed",I2693,0)</x:f>
        <x:v>1</x:v>
      </x:c>
      <x:c r="S2693" s="11" t="n">
        <x:f>IF(D2693="Completed",L2693,0)</x:f>
        <x:v>0</x:v>
      </x:c>
      <x:c r="T2693" s="8" t="n">
        <x:f>DATE(YEAR(C2693),MONTH(C2693),1)</x:f>
        <x:v>45839</x:v>
      </x:c>
    </x:row>
    <x:row r="2694" ht="22" customHeight="1">
      <x:c r="A2694" s="2" t="str">
        <x:v>L002690</x:v>
      </x:c>
      <x:c r="B2694" s="2" t="str">
        <x:v>O01101</x:v>
      </x:c>
      <x:c r="C2694" s="7" t="n">
        <x:v>45846</x:v>
      </x:c>
      <x:c r="D2694" s="2" t="str">
        <x:v>Completed</x:v>
      </x:c>
      <x:c r="E2694" s="2" t="str">
        <x:v>South</x:v>
      </x:c>
      <x:c r="F2694" s="2" t="str">
        <x:v>Store</x:v>
      </x:c>
      <x:c r="G2694" s="2" t="str">
        <x:v>Lighting</x:v>
      </x:c>
      <x:c r="H2694" s="2" t="str">
        <x:v>Lamp 021</x:v>
      </x:c>
      <x:c r="I2694" s="11" t="n">
        <x:v>1</x:v>
      </x:c>
      <x:c r="J2694" s="9" t="n">
        <x:v>249</x:v>
      </x:c>
      <x:c r="K2694" s="10" t="n">
        <x:v>0.1</x:v>
      </x:c>
      <x:c r="L2694" s="11" t="n">
        <x:v>0</x:v>
      </x:c>
      <x:c r="M2694" s="9" t="n">
        <x:f>IF(D2694="Completed",I2694*J2694,0)</x:f>
        <x:v>249</x:v>
      </x:c>
      <x:c r="N2694" s="9" t="n">
        <x:f>M2694*K2694</x:f>
        <x:v>24.900000000000002</x:v>
      </x:c>
      <x:c r="O2694" s="9" t="n">
        <x:f>M2694-N2694</x:f>
        <x:v>224.1</x:v>
      </x:c>
      <x:c r="P2694" s="9" t="n">
        <x:f>IF(D2694="Completed",L2694*J2694*(1-K2694),0)</x:f>
        <x:v>0</x:v>
      </x:c>
      <x:c r="Q2694" s="9" t="n">
        <x:f>O2694-P2694</x:f>
        <x:v>224.1</x:v>
      </x:c>
      <x:c r="R2694" s="11" t="n">
        <x:f>IF(D2694="Completed",I2694,0)</x:f>
        <x:v>1</x:v>
      </x:c>
      <x:c r="S2694" s="11" t="n">
        <x:f>IF(D2694="Completed",L2694,0)</x:f>
        <x:v>0</x:v>
      </x:c>
      <x:c r="T2694" s="8" t="n">
        <x:f>DATE(YEAR(C2694),MONTH(C2694),1)</x:f>
        <x:v>45839</x:v>
      </x:c>
    </x:row>
    <x:row r="2695" ht="22" customHeight="1">
      <x:c r="A2695" s="2" t="str">
        <x:v>L002691</x:v>
      </x:c>
      <x:c r="B2695" s="2" t="str">
        <x:v>O01101</x:v>
      </x:c>
      <x:c r="C2695" s="7" t="n">
        <x:v>45846</x:v>
      </x:c>
      <x:c r="D2695" s="2" t="str">
        <x:v>Completed</x:v>
      </x:c>
      <x:c r="E2695" s="2" t="str">
        <x:v>South</x:v>
      </x:c>
      <x:c r="F2695" s="2" t="str">
        <x:v>Store</x:v>
      </x:c>
      <x:c r="G2695" s="2" t="str">
        <x:v>Furniture</x:v>
      </x:c>
      <x:c r="H2695" s="2" t="str">
        <x:v>Chair 018</x:v>
      </x:c>
      <x:c r="I2695" s="11" t="n">
        <x:v>3</x:v>
      </x:c>
      <x:c r="J2695" s="9" t="n">
        <x:v>269</x:v>
      </x:c>
      <x:c r="K2695" s="10" t="n">
        <x:v>0</x:v>
      </x:c>
      <x:c r="L2695" s="11" t="n">
        <x:v>0</x:v>
      </x:c>
      <x:c r="M2695" s="9" t="n">
        <x:f>IF(D2695="Completed",I2695*J2695,0)</x:f>
        <x:v>807</x:v>
      </x:c>
      <x:c r="N2695" s="9" t="n">
        <x:f>M2695*K2695</x:f>
        <x:v>0</x:v>
      </x:c>
      <x:c r="O2695" s="9" t="n">
        <x:f>M2695-N2695</x:f>
        <x:v>807</x:v>
      </x:c>
      <x:c r="P2695" s="9" t="n">
        <x:f>IF(D2695="Completed",L2695*J2695*(1-K2695),0)</x:f>
        <x:v>0</x:v>
      </x:c>
      <x:c r="Q2695" s="9" t="n">
        <x:f>O2695-P2695</x:f>
        <x:v>807</x:v>
      </x:c>
      <x:c r="R2695" s="11" t="n">
        <x:f>IF(D2695="Completed",I2695,0)</x:f>
        <x:v>3</x:v>
      </x:c>
      <x:c r="S2695" s="11" t="n">
        <x:f>IF(D2695="Completed",L2695,0)</x:f>
        <x:v>0</x:v>
      </x:c>
      <x:c r="T2695" s="8" t="n">
        <x:f>DATE(YEAR(C2695),MONTH(C2695),1)</x:f>
        <x:v>45839</x:v>
      </x:c>
    </x:row>
    <x:row r="2696" ht="22" customHeight="1">
      <x:c r="A2696" s="2" t="str">
        <x:v>L002692</x:v>
      </x:c>
      <x:c r="B2696" s="2" t="str">
        <x:v>O01102</x:v>
      </x:c>
      <x:c r="C2696" s="7" t="n">
        <x:v>45849</x:v>
      </x:c>
      <x:c r="D2696" s="2" t="str">
        <x:v>Completed</x:v>
      </x:c>
      <x:c r="E2696" s="2" t="str">
        <x:v>North</x:v>
      </x:c>
      <x:c r="F2696" s="2" t="str">
        <x:v>Store</x:v>
      </x:c>
      <x:c r="G2696" s="2" t="str">
        <x:v>Lighting</x:v>
      </x:c>
      <x:c r="H2696" s="2" t="str">
        <x:v>Lamp 009</x:v>
      </x:c>
      <x:c r="I2696" s="11" t="n">
        <x:v>3</x:v>
      </x:c>
      <x:c r="J2696" s="9" t="n">
        <x:v>93</x:v>
      </x:c>
      <x:c r="K2696" s="10" t="n">
        <x:v>0.2</x:v>
      </x:c>
      <x:c r="L2696" s="11" t="n">
        <x:v>0</x:v>
      </x:c>
      <x:c r="M2696" s="9" t="n">
        <x:f>IF(D2696="Completed",I2696*J2696,0)</x:f>
        <x:v>279</x:v>
      </x:c>
      <x:c r="N2696" s="9" t="n">
        <x:f>M2696*K2696</x:f>
        <x:v>55.800000000000004</x:v>
      </x:c>
      <x:c r="O2696" s="9" t="n">
        <x:f>M2696-N2696</x:f>
        <x:v>223.2</x:v>
      </x:c>
      <x:c r="P2696" s="9" t="n">
        <x:f>IF(D2696="Completed",L2696*J2696*(1-K2696),0)</x:f>
        <x:v>0</x:v>
      </x:c>
      <x:c r="Q2696" s="9" t="n">
        <x:f>O2696-P2696</x:f>
        <x:v>223.2</x:v>
      </x:c>
      <x:c r="R2696" s="11" t="n">
        <x:f>IF(D2696="Completed",I2696,0)</x:f>
        <x:v>3</x:v>
      </x:c>
      <x:c r="S2696" s="11" t="n">
        <x:f>IF(D2696="Completed",L2696,0)</x:f>
        <x:v>0</x:v>
      </x:c>
      <x:c r="T2696" s="8" t="n">
        <x:f>DATE(YEAR(C2696),MONTH(C2696),1)</x:f>
        <x:v>45839</x:v>
      </x:c>
    </x:row>
    <x:row r="2697" ht="22" customHeight="1">
      <x:c r="A2697" s="2" t="str">
        <x:v>L002693</x:v>
      </x:c>
      <x:c r="B2697" s="2" t="str">
        <x:v>O01102</x:v>
      </x:c>
      <x:c r="C2697" s="7" t="n">
        <x:v>45849</x:v>
      </x:c>
      <x:c r="D2697" s="2" t="str">
        <x:v>Completed</x:v>
      </x:c>
      <x:c r="E2697" s="2" t="str">
        <x:v>North</x:v>
      </x:c>
      <x:c r="F2697" s="2" t="str">
        <x:v>Store</x:v>
      </x:c>
      <x:c r="G2697" s="2" t="str">
        <x:v>Furniture</x:v>
      </x:c>
      <x:c r="H2697" s="2" t="str">
        <x:v>Desk 008</x:v>
      </x:c>
      <x:c r="I2697" s="11" t="n">
        <x:v>1</x:v>
      </x:c>
      <x:c r="J2697" s="9" t="n">
        <x:v>188</x:v>
      </x:c>
      <x:c r="K2697" s="10" t="n">
        <x:v>0.1</x:v>
      </x:c>
      <x:c r="L2697" s="11" t="n">
        <x:v>0</x:v>
      </x:c>
      <x:c r="M2697" s="9" t="n">
        <x:f>IF(D2697="Completed",I2697*J2697,0)</x:f>
        <x:v>188</x:v>
      </x:c>
      <x:c r="N2697" s="9" t="n">
        <x:f>M2697*K2697</x:f>
        <x:v>18.8</x:v>
      </x:c>
      <x:c r="O2697" s="9" t="n">
        <x:f>M2697-N2697</x:f>
        <x:v>169.2</x:v>
      </x:c>
      <x:c r="P2697" s="9" t="n">
        <x:f>IF(D2697="Completed",L2697*J2697*(1-K2697),0)</x:f>
        <x:v>0</x:v>
      </x:c>
      <x:c r="Q2697" s="9" t="n">
        <x:f>O2697-P2697</x:f>
        <x:v>169.2</x:v>
      </x:c>
      <x:c r="R2697" s="11" t="n">
        <x:f>IF(D2697="Completed",I2697,0)</x:f>
        <x:v>1</x:v>
      </x:c>
      <x:c r="S2697" s="11" t="n">
        <x:f>IF(D2697="Completed",L2697,0)</x:f>
        <x:v>0</x:v>
      </x:c>
      <x:c r="T2697" s="8" t="n">
        <x:f>DATE(YEAR(C2697),MONTH(C2697),1)</x:f>
        <x:v>45839</x:v>
      </x:c>
    </x:row>
    <x:row r="2698" ht="22" customHeight="1">
      <x:c r="A2698" s="2" t="str">
        <x:v>L002694</x:v>
      </x:c>
      <x:c r="B2698" s="2" t="str">
        <x:v>O01102</x:v>
      </x:c>
      <x:c r="C2698" s="7" t="n">
        <x:v>45849</x:v>
      </x:c>
      <x:c r="D2698" s="2" t="str">
        <x:v>Completed</x:v>
      </x:c>
      <x:c r="E2698" s="2" t="str">
        <x:v>North</x:v>
      </x:c>
      <x:c r="F2698" s="2" t="str">
        <x:v>Store</x:v>
      </x:c>
      <x:c r="G2698" s="2" t="str">
        <x:v>Lighting</x:v>
      </x:c>
      <x:c r="H2698" s="2" t="str">
        <x:v>Lamp 021</x:v>
      </x:c>
      <x:c r="I2698" s="11" t="n">
        <x:v>3</x:v>
      </x:c>
      <x:c r="J2698" s="9" t="n">
        <x:v>249</x:v>
      </x:c>
      <x:c r="K2698" s="10" t="n">
        <x:v>0.05</x:v>
      </x:c>
      <x:c r="L2698" s="11" t="n">
        <x:v>0</x:v>
      </x:c>
      <x:c r="M2698" s="9" t="n">
        <x:f>IF(D2698="Completed",I2698*J2698,0)</x:f>
        <x:v>747</x:v>
      </x:c>
      <x:c r="N2698" s="9" t="n">
        <x:f>M2698*K2698</x:f>
        <x:v>37.35</x:v>
      </x:c>
      <x:c r="O2698" s="9" t="n">
        <x:f>M2698-N2698</x:f>
        <x:v>709.65</x:v>
      </x:c>
      <x:c r="P2698" s="9" t="n">
        <x:f>IF(D2698="Completed",L2698*J2698*(1-K2698),0)</x:f>
        <x:v>0</x:v>
      </x:c>
      <x:c r="Q2698" s="9" t="n">
        <x:f>O2698-P2698</x:f>
        <x:v>709.65</x:v>
      </x:c>
      <x:c r="R2698" s="11" t="n">
        <x:f>IF(D2698="Completed",I2698,0)</x:f>
        <x:v>3</x:v>
      </x:c>
      <x:c r="S2698" s="11" t="n">
        <x:f>IF(D2698="Completed",L2698,0)</x:f>
        <x:v>0</x:v>
      </x:c>
      <x:c r="T2698" s="8" t="n">
        <x:f>DATE(YEAR(C2698),MONTH(C2698),1)</x:f>
        <x:v>45839</x:v>
      </x:c>
    </x:row>
    <x:row r="2699" ht="22" customHeight="1">
      <x:c r="A2699" s="2" t="str">
        <x:v>L002695</x:v>
      </x:c>
      <x:c r="B2699" s="2" t="str">
        <x:v>O01103</x:v>
      </x:c>
      <x:c r="C2699" s="7" t="n">
        <x:v>45952</x:v>
      </x:c>
      <x:c r="D2699" s="2" t="str">
        <x:v>Completed</x:v>
      </x:c>
      <x:c r="E2699" s="2" t="str">
        <x:v>West</x:v>
      </x:c>
      <x:c r="F2699" s="2" t="str">
        <x:v>Online</x:v>
      </x:c>
      <x:c r="G2699" s="2" t="str">
        <x:v>Furniture</x:v>
      </x:c>
      <x:c r="H2699" s="2" t="str">
        <x:v>Desk 004</x:v>
      </x:c>
      <x:c r="I2699" s="11" t="n">
        <x:v>1</x:v>
      </x:c>
      <x:c r="J2699" s="9" t="n">
        <x:v>123</x:v>
      </x:c>
      <x:c r="K2699" s="10" t="n">
        <x:v>0.1</x:v>
      </x:c>
      <x:c r="L2699" s="11" t="n">
        <x:v>0</x:v>
      </x:c>
      <x:c r="M2699" s="9" t="n">
        <x:f>IF(D2699="Completed",I2699*J2699,0)</x:f>
        <x:v>123</x:v>
      </x:c>
      <x:c r="N2699" s="9" t="n">
        <x:f>M2699*K2699</x:f>
        <x:v>12.3</x:v>
      </x:c>
      <x:c r="O2699" s="9" t="n">
        <x:f>M2699-N2699</x:f>
        <x:v>110.7</x:v>
      </x:c>
      <x:c r="P2699" s="9" t="n">
        <x:f>IF(D2699="Completed",L2699*J2699*(1-K2699),0)</x:f>
        <x:v>0</x:v>
      </x:c>
      <x:c r="Q2699" s="9" t="n">
        <x:f>O2699-P2699</x:f>
        <x:v>110.7</x:v>
      </x:c>
      <x:c r="R2699" s="11" t="n">
        <x:f>IF(D2699="Completed",I2699,0)</x:f>
        <x:v>1</x:v>
      </x:c>
      <x:c r="S2699" s="11" t="n">
        <x:f>IF(D2699="Completed",L2699,0)</x:f>
        <x:v>0</x:v>
      </x:c>
      <x:c r="T2699" s="8" t="n">
        <x:f>DATE(YEAR(C2699),MONTH(C2699),1)</x:f>
        <x:v>45931</x:v>
      </x:c>
    </x:row>
    <x:row r="2700" ht="22" customHeight="1">
      <x:c r="A2700" s="2" t="str">
        <x:v>L002696</x:v>
      </x:c>
      <x:c r="B2700" s="2" t="str">
        <x:v>O01104</x:v>
      </x:c>
      <x:c r="C2700" s="7" t="n">
        <x:v>45895</x:v>
      </x:c>
      <x:c r="D2700" s="2" t="str">
        <x:v>Completed</x:v>
      </x:c>
      <x:c r="E2700" s="2" t="str">
        <x:v>North</x:v>
      </x:c>
      <x:c r="F2700" s="2" t="str">
        <x:v>Store</x:v>
      </x:c>
      <x:c r="G2700" s="2" t="str">
        <x:v>Furniture</x:v>
      </x:c>
      <x:c r="H2700" s="2" t="str">
        <x:v>Desk 008</x:v>
      </x:c>
      <x:c r="I2700" s="11" t="n">
        <x:v>3</x:v>
      </x:c>
      <x:c r="J2700" s="9" t="n">
        <x:v>188</x:v>
      </x:c>
      <x:c r="K2700" s="10" t="n">
        <x:v>0.05</x:v>
      </x:c>
      <x:c r="L2700" s="11" t="n">
        <x:v>0</x:v>
      </x:c>
      <x:c r="M2700" s="9" t="n">
        <x:f>IF(D2700="Completed",I2700*J2700,0)</x:f>
        <x:v>564</x:v>
      </x:c>
      <x:c r="N2700" s="9" t="n">
        <x:f>M2700*K2700</x:f>
        <x:v>28.200000000000003</x:v>
      </x:c>
      <x:c r="O2700" s="9" t="n">
        <x:f>M2700-N2700</x:f>
        <x:v>535.8</x:v>
      </x:c>
      <x:c r="P2700" s="9" t="n">
        <x:f>IF(D2700="Completed",L2700*J2700*(1-K2700),0)</x:f>
        <x:v>0</x:v>
      </x:c>
      <x:c r="Q2700" s="9" t="n">
        <x:f>O2700-P2700</x:f>
        <x:v>535.8</x:v>
      </x:c>
      <x:c r="R2700" s="11" t="n">
        <x:f>IF(D2700="Completed",I2700,0)</x:f>
        <x:v>3</x:v>
      </x:c>
      <x:c r="S2700" s="11" t="n">
        <x:f>IF(D2700="Completed",L2700,0)</x:f>
        <x:v>0</x:v>
      </x:c>
      <x:c r="T2700" s="8" t="n">
        <x:f>DATE(YEAR(C2700),MONTH(C2700),1)</x:f>
        <x:v>45870</x:v>
      </x:c>
    </x:row>
    <x:row r="2701" ht="22" customHeight="1">
      <x:c r="A2701" s="2" t="str">
        <x:v>L002697</x:v>
      </x:c>
      <x:c r="B2701" s="2" t="str">
        <x:v>O01104</x:v>
      </x:c>
      <x:c r="C2701" s="7" t="n">
        <x:v>45895</x:v>
      </x:c>
      <x:c r="D2701" s="2" t="str">
        <x:v>Completed</x:v>
      </x:c>
      <x:c r="E2701" s="2" t="str">
        <x:v>North</x:v>
      </x:c>
      <x:c r="F2701" s="2" t="str">
        <x:v>Store</x:v>
      </x:c>
      <x:c r="G2701" s="2" t="str">
        <x:v>Furniture</x:v>
      </x:c>
      <x:c r="H2701" s="2" t="str">
        <x:v>Desk 024</x:v>
      </x:c>
      <x:c r="I2701" s="11" t="n">
        <x:v>4</x:v>
      </x:c>
      <x:c r="J2701" s="9" t="n">
        <x:v>81</x:v>
      </x:c>
      <x:c r="K2701" s="10" t="n">
        <x:v>0.1</x:v>
      </x:c>
      <x:c r="L2701" s="11" t="n">
        <x:v>0</x:v>
      </x:c>
      <x:c r="M2701" s="9" t="n">
        <x:f>IF(D2701="Completed",I2701*J2701,0)</x:f>
        <x:v>324</x:v>
      </x:c>
      <x:c r="N2701" s="9" t="n">
        <x:f>M2701*K2701</x:f>
        <x:v>32.4</x:v>
      </x:c>
      <x:c r="O2701" s="9" t="n">
        <x:f>M2701-N2701</x:f>
        <x:v>291.6</x:v>
      </x:c>
      <x:c r="P2701" s="9" t="n">
        <x:f>IF(D2701="Completed",L2701*J2701*(1-K2701),0)</x:f>
        <x:v>0</x:v>
      </x:c>
      <x:c r="Q2701" s="9" t="n">
        <x:f>O2701-P2701</x:f>
        <x:v>291.6</x:v>
      </x:c>
      <x:c r="R2701" s="11" t="n">
        <x:f>IF(D2701="Completed",I2701,0)</x:f>
        <x:v>4</x:v>
      </x:c>
      <x:c r="S2701" s="11" t="n">
        <x:f>IF(D2701="Completed",L2701,0)</x:f>
        <x:v>0</x:v>
      </x:c>
      <x:c r="T2701" s="8" t="n">
        <x:f>DATE(YEAR(C2701),MONTH(C2701),1)</x:f>
        <x:v>45870</x:v>
      </x:c>
    </x:row>
    <x:row r="2702" ht="22" customHeight="1">
      <x:c r="A2702" s="2" t="str">
        <x:v>L002698</x:v>
      </x:c>
      <x:c r="B2702" s="2" t="str">
        <x:v>O01104</x:v>
      </x:c>
      <x:c r="C2702" s="7" t="n">
        <x:v>45895</x:v>
      </x:c>
      <x:c r="D2702" s="2" t="str">
        <x:v>Completed</x:v>
      </x:c>
      <x:c r="E2702" s="2" t="str">
        <x:v>North</x:v>
      </x:c>
      <x:c r="F2702" s="2" t="str">
        <x:v>Store</x:v>
      </x:c>
      <x:c r="G2702" s="2" t="str">
        <x:v>Lighting</x:v>
      </x:c>
      <x:c r="H2702" s="2" t="str">
        <x:v>Lamp 001</x:v>
      </x:c>
      <x:c r="I2702" s="11" t="n">
        <x:v>1</x:v>
      </x:c>
      <x:c r="J2702" s="9" t="n">
        <x:v>122</x:v>
      </x:c>
      <x:c r="K2702" s="10" t="n">
        <x:v>0.2</x:v>
      </x:c>
      <x:c r="L2702" s="11" t="n">
        <x:v>0</x:v>
      </x:c>
      <x:c r="M2702" s="9" t="n">
        <x:f>IF(D2702="Completed",I2702*J2702,0)</x:f>
        <x:v>122</x:v>
      </x:c>
      <x:c r="N2702" s="9" t="n">
        <x:f>M2702*K2702</x:f>
        <x:v>24.400000000000002</x:v>
      </x:c>
      <x:c r="O2702" s="9" t="n">
        <x:f>M2702-N2702</x:f>
        <x:v>97.6</x:v>
      </x:c>
      <x:c r="P2702" s="9" t="n">
        <x:f>IF(D2702="Completed",L2702*J2702*(1-K2702),0)</x:f>
        <x:v>0</x:v>
      </x:c>
      <x:c r="Q2702" s="9" t="n">
        <x:f>O2702-P2702</x:f>
        <x:v>97.6</x:v>
      </x:c>
      <x:c r="R2702" s="11" t="n">
        <x:f>IF(D2702="Completed",I2702,0)</x:f>
        <x:v>1</x:v>
      </x:c>
      <x:c r="S2702" s="11" t="n">
        <x:f>IF(D2702="Completed",L2702,0)</x:f>
        <x:v>0</x:v>
      </x:c>
      <x:c r="T2702" s="8" t="n">
        <x:f>DATE(YEAR(C2702),MONTH(C2702),1)</x:f>
        <x:v>45870</x:v>
      </x:c>
    </x:row>
    <x:row r="2703" ht="22" customHeight="1">
      <x:c r="A2703" s="2" t="str">
        <x:v>L002699</x:v>
      </x:c>
      <x:c r="B2703" s="2" t="str">
        <x:v>O01104</x:v>
      </x:c>
      <x:c r="C2703" s="7" t="n">
        <x:v>45895</x:v>
      </x:c>
      <x:c r="D2703" s="2" t="str">
        <x:v>Completed</x:v>
      </x:c>
      <x:c r="E2703" s="2" t="str">
        <x:v>North</x:v>
      </x:c>
      <x:c r="F2703" s="2" t="str">
        <x:v>Store</x:v>
      </x:c>
      <x:c r="G2703" s="2" t="str">
        <x:v>Storage</x:v>
      </x:c>
      <x:c r="H2703" s="2" t="str">
        <x:v>Shelf 007</x:v>
      </x:c>
      <x:c r="I2703" s="11" t="n">
        <x:v>3</x:v>
      </x:c>
      <x:c r="J2703" s="9" t="n">
        <x:v>35</x:v>
      </x:c>
      <x:c r="K2703" s="10" t="n">
        <x:v>0.2</x:v>
      </x:c>
      <x:c r="L2703" s="11" t="n">
        <x:v>0</x:v>
      </x:c>
      <x:c r="M2703" s="9" t="n">
        <x:f>IF(D2703="Completed",I2703*J2703,0)</x:f>
        <x:v>105</x:v>
      </x:c>
      <x:c r="N2703" s="9" t="n">
        <x:f>M2703*K2703</x:f>
        <x:v>21</x:v>
      </x:c>
      <x:c r="O2703" s="9" t="n">
        <x:f>M2703-N2703</x:f>
        <x:v>84</x:v>
      </x:c>
      <x:c r="P2703" s="9" t="n">
        <x:f>IF(D2703="Completed",L2703*J2703*(1-K2703),0)</x:f>
        <x:v>0</x:v>
      </x:c>
      <x:c r="Q2703" s="9" t="n">
        <x:f>O2703-P2703</x:f>
        <x:v>84</x:v>
      </x:c>
      <x:c r="R2703" s="11" t="n">
        <x:f>IF(D2703="Completed",I2703,0)</x:f>
        <x:v>3</x:v>
      </x:c>
      <x:c r="S2703" s="11" t="n">
        <x:f>IF(D2703="Completed",L2703,0)</x:f>
        <x:v>0</x:v>
      </x:c>
      <x:c r="T2703" s="8" t="n">
        <x:f>DATE(YEAR(C2703),MONTH(C2703),1)</x:f>
        <x:v>45870</x:v>
      </x:c>
    </x:row>
    <x:row r="2704" ht="22" customHeight="1">
      <x:c r="A2704" s="2" t="str">
        <x:v>L002700</x:v>
      </x:c>
      <x:c r="B2704" s="2" t="str">
        <x:v>O01105</x:v>
      </x:c>
      <x:c r="C2704" s="7" t="n">
        <x:v>45715</x:v>
      </x:c>
      <x:c r="D2704" s="2" t="str">
        <x:v>Cancelled</x:v>
      </x:c>
      <x:c r="E2704" s="2" t="str">
        <x:v>East</x:v>
      </x:c>
      <x:c r="F2704" s="2" t="str">
        <x:v>Online</x:v>
      </x:c>
      <x:c r="G2704" s="2" t="str">
        <x:v>Storage</x:v>
      </x:c>
      <x:c r="H2704" s="2" t="str">
        <x:v>Shelf 015</x:v>
      </x:c>
      <x:c r="I2704" s="11" t="n">
        <x:v>5</x:v>
      </x:c>
      <x:c r="J2704" s="9" t="n">
        <x:v>254</x:v>
      </x:c>
      <x:c r="K2704" s="10" t="n">
        <x:v>0</x:v>
      </x:c>
      <x:c r="L2704" s="11" t="n">
        <x:v>0</x:v>
      </x:c>
      <x:c r="M2704" s="9" t="n">
        <x:f>IF(D2704="Completed",I2704*J2704,0)</x:f>
        <x:v>0</x:v>
      </x:c>
      <x:c r="N2704" s="9" t="n">
        <x:f>M2704*K2704</x:f>
        <x:v>0</x:v>
      </x:c>
      <x:c r="O2704" s="9" t="n">
        <x:f>M2704-N2704</x:f>
        <x:v>0</x:v>
      </x:c>
      <x:c r="P2704" s="9" t="n">
        <x:f>IF(D2704="Completed",L2704*J2704*(1-K2704),0)</x:f>
        <x:v>0</x:v>
      </x:c>
      <x:c r="Q2704" s="9" t="n">
        <x:f>O2704-P2704</x:f>
        <x:v>0</x:v>
      </x:c>
      <x:c r="R2704" s="11" t="n">
        <x:f>IF(D2704="Completed",I2704,0)</x:f>
        <x:v>0</x:v>
      </x:c>
      <x:c r="S2704" s="11" t="n">
        <x:f>IF(D2704="Completed",L2704,0)</x:f>
        <x:v>0</x:v>
      </x:c>
      <x:c r="T2704" s="8" t="n">
        <x:f>DATE(YEAR(C2704),MONTH(C2704),1)</x:f>
        <x:v>45689</x:v>
      </x:c>
    </x:row>
    <x:row r="2705" ht="22" customHeight="1">
      <x:c r="A2705" s="2" t="str">
        <x:v>L002701</x:v>
      </x:c>
      <x:c r="B2705" s="2" t="str">
        <x:v>O01106</x:v>
      </x:c>
      <x:c r="C2705" s="7" t="n">
        <x:v>45757</x:v>
      </x:c>
      <x:c r="D2705" s="2" t="str">
        <x:v>Completed</x:v>
      </x:c>
      <x:c r="E2705" s="2" t="str">
        <x:v>South</x:v>
      </x:c>
      <x:c r="F2705" s="2" t="str">
        <x:v>Store</x:v>
      </x:c>
      <x:c r="G2705" s="2" t="str">
        <x:v>Furniture</x:v>
      </x:c>
      <x:c r="H2705" s="2" t="str">
        <x:v>Desk 012</x:v>
      </x:c>
      <x:c r="I2705" s="11" t="n">
        <x:v>1</x:v>
      </x:c>
      <x:c r="J2705" s="9" t="n">
        <x:v>134</x:v>
      </x:c>
      <x:c r="K2705" s="10" t="n">
        <x:v>0.1</x:v>
      </x:c>
      <x:c r="L2705" s="11" t="n">
        <x:v>0</x:v>
      </x:c>
      <x:c r="M2705" s="9" t="n">
        <x:f>IF(D2705="Completed",I2705*J2705,0)</x:f>
        <x:v>134</x:v>
      </x:c>
      <x:c r="N2705" s="9" t="n">
        <x:f>M2705*K2705</x:f>
        <x:v>13.4</x:v>
      </x:c>
      <x:c r="O2705" s="9" t="n">
        <x:f>M2705-N2705</x:f>
        <x:v>120.6</x:v>
      </x:c>
      <x:c r="P2705" s="9" t="n">
        <x:f>IF(D2705="Completed",L2705*J2705*(1-K2705),0)</x:f>
        <x:v>0</x:v>
      </x:c>
      <x:c r="Q2705" s="9" t="n">
        <x:f>O2705-P2705</x:f>
        <x:v>120.6</x:v>
      </x:c>
      <x:c r="R2705" s="11" t="n">
        <x:f>IF(D2705="Completed",I2705,0)</x:f>
        <x:v>1</x:v>
      </x:c>
      <x:c r="S2705" s="11" t="n">
        <x:f>IF(D2705="Completed",L2705,0)</x:f>
        <x:v>0</x:v>
      </x:c>
      <x:c r="T2705" s="8" t="n">
        <x:f>DATE(YEAR(C2705),MONTH(C2705),1)</x:f>
        <x:v>45748</x:v>
      </x:c>
    </x:row>
    <x:row r="2706" ht="22" customHeight="1">
      <x:c r="A2706" s="2" t="str">
        <x:v>L002702</x:v>
      </x:c>
      <x:c r="B2706" s="2" t="str">
        <x:v>O01106</x:v>
      </x:c>
      <x:c r="C2706" s="7" t="n">
        <x:v>45757</x:v>
      </x:c>
      <x:c r="D2706" s="2" t="str">
        <x:v>Completed</x:v>
      </x:c>
      <x:c r="E2706" s="2" t="str">
        <x:v>South</x:v>
      </x:c>
      <x:c r="F2706" s="2" t="str">
        <x:v>Store</x:v>
      </x:c>
      <x:c r="G2706" s="2" t="str">
        <x:v>Furniture</x:v>
      </x:c>
      <x:c r="H2706" s="2" t="str">
        <x:v>Desk 004</x:v>
      </x:c>
      <x:c r="I2706" s="11" t="n">
        <x:v>5</x:v>
      </x:c>
      <x:c r="J2706" s="9" t="n">
        <x:v>123</x:v>
      </x:c>
      <x:c r="K2706" s="10" t="n">
        <x:v>0</x:v>
      </x:c>
      <x:c r="L2706" s="11" t="n">
        <x:v>0</x:v>
      </x:c>
      <x:c r="M2706" s="9" t="n">
        <x:f>IF(D2706="Completed",I2706*J2706,0)</x:f>
        <x:v>615</x:v>
      </x:c>
      <x:c r="N2706" s="9" t="n">
        <x:f>M2706*K2706</x:f>
        <x:v>0</x:v>
      </x:c>
      <x:c r="O2706" s="9" t="n">
        <x:f>M2706-N2706</x:f>
        <x:v>615</x:v>
      </x:c>
      <x:c r="P2706" s="9" t="n">
        <x:f>IF(D2706="Completed",L2706*J2706*(1-K2706),0)</x:f>
        <x:v>0</x:v>
      </x:c>
      <x:c r="Q2706" s="9" t="n">
        <x:f>O2706-P2706</x:f>
        <x:v>615</x:v>
      </x:c>
      <x:c r="R2706" s="11" t="n">
        <x:f>IF(D2706="Completed",I2706,0)</x:f>
        <x:v>5</x:v>
      </x:c>
      <x:c r="S2706" s="11" t="n">
        <x:f>IF(D2706="Completed",L2706,0)</x:f>
        <x:v>0</x:v>
      </x:c>
      <x:c r="T2706" s="8" t="n">
        <x:f>DATE(YEAR(C2706),MONTH(C2706),1)</x:f>
        <x:v>45748</x:v>
      </x:c>
    </x:row>
    <x:row r="2707" ht="22" customHeight="1">
      <x:c r="A2707" s="2" t="str">
        <x:v>L002703</x:v>
      </x:c>
      <x:c r="B2707" s="2" t="str">
        <x:v>O01106</x:v>
      </x:c>
      <x:c r="C2707" s="7" t="n">
        <x:v>45757</x:v>
      </x:c>
      <x:c r="D2707" s="2" t="str">
        <x:v>Completed</x:v>
      </x:c>
      <x:c r="E2707" s="2" t="str">
        <x:v>South</x:v>
      </x:c>
      <x:c r="F2707" s="2" t="str">
        <x:v>Store</x:v>
      </x:c>
      <x:c r="G2707" s="2" t="str">
        <x:v>Storage</x:v>
      </x:c>
      <x:c r="H2707" s="2" t="str">
        <x:v>Shelf 007</x:v>
      </x:c>
      <x:c r="I2707" s="11" t="n">
        <x:v>5</x:v>
      </x:c>
      <x:c r="J2707" s="9" t="n">
        <x:v>35</x:v>
      </x:c>
      <x:c r="K2707" s="10" t="n">
        <x:v>0.05</x:v>
      </x:c>
      <x:c r="L2707" s="11" t="n">
        <x:v>0</x:v>
      </x:c>
      <x:c r="M2707" s="9" t="n">
        <x:f>IF(D2707="Completed",I2707*J2707,0)</x:f>
        <x:v>175</x:v>
      </x:c>
      <x:c r="N2707" s="9" t="n">
        <x:f>M2707*K2707</x:f>
        <x:v>8.75</x:v>
      </x:c>
      <x:c r="O2707" s="9" t="n">
        <x:f>M2707-N2707</x:f>
        <x:v>166.25</x:v>
      </x:c>
      <x:c r="P2707" s="9" t="n">
        <x:f>IF(D2707="Completed",L2707*J2707*(1-K2707),0)</x:f>
        <x:v>0</x:v>
      </x:c>
      <x:c r="Q2707" s="9" t="n">
        <x:f>O2707-P2707</x:f>
        <x:v>166.25</x:v>
      </x:c>
      <x:c r="R2707" s="11" t="n">
        <x:f>IF(D2707="Completed",I2707,0)</x:f>
        <x:v>5</x:v>
      </x:c>
      <x:c r="S2707" s="11" t="n">
        <x:f>IF(D2707="Completed",L2707,0)</x:f>
        <x:v>0</x:v>
      </x:c>
      <x:c r="T2707" s="8" t="n">
        <x:f>DATE(YEAR(C2707),MONTH(C2707),1)</x:f>
        <x:v>45748</x:v>
      </x:c>
    </x:row>
    <x:row r="2708" ht="22" customHeight="1">
      <x:c r="A2708" s="2" t="str">
        <x:v>L002704</x:v>
      </x:c>
      <x:c r="B2708" s="2" t="str">
        <x:v>O01106</x:v>
      </x:c>
      <x:c r="C2708" s="7" t="n">
        <x:v>45757</x:v>
      </x:c>
      <x:c r="D2708" s="2" t="str">
        <x:v>Completed</x:v>
      </x:c>
      <x:c r="E2708" s="2" t="str">
        <x:v>South</x:v>
      </x:c>
      <x:c r="F2708" s="2" t="str">
        <x:v>Store</x:v>
      </x:c>
      <x:c r="G2708" s="2" t="str">
        <x:v>Furniture</x:v>
      </x:c>
      <x:c r="H2708" s="2" t="str">
        <x:v>Desk 004</x:v>
      </x:c>
      <x:c r="I2708" s="11" t="n">
        <x:v>1</x:v>
      </x:c>
      <x:c r="J2708" s="9" t="n">
        <x:v>123</x:v>
      </x:c>
      <x:c r="K2708" s="10" t="n">
        <x:v>0.05</x:v>
      </x:c>
      <x:c r="L2708" s="11" t="n">
        <x:v>0</x:v>
      </x:c>
      <x:c r="M2708" s="9" t="n">
        <x:f>IF(D2708="Completed",I2708*J2708,0)</x:f>
        <x:v>123</x:v>
      </x:c>
      <x:c r="N2708" s="9" t="n">
        <x:f>M2708*K2708</x:f>
        <x:v>6.15</x:v>
      </x:c>
      <x:c r="O2708" s="9" t="n">
        <x:f>M2708-N2708</x:f>
        <x:v>116.85</x:v>
      </x:c>
      <x:c r="P2708" s="9" t="n">
        <x:f>IF(D2708="Completed",L2708*J2708*(1-K2708),0)</x:f>
        <x:v>0</x:v>
      </x:c>
      <x:c r="Q2708" s="9" t="n">
        <x:f>O2708-P2708</x:f>
        <x:v>116.85</x:v>
      </x:c>
      <x:c r="R2708" s="11" t="n">
        <x:f>IF(D2708="Completed",I2708,0)</x:f>
        <x:v>1</x:v>
      </x:c>
      <x:c r="S2708" s="11" t="n">
        <x:f>IF(D2708="Completed",L2708,0)</x:f>
        <x:v>0</x:v>
      </x:c>
      <x:c r="T2708" s="8" t="n">
        <x:f>DATE(YEAR(C2708),MONTH(C2708),1)</x:f>
        <x:v>45748</x:v>
      </x:c>
    </x:row>
    <x:row r="2709" ht="22" customHeight="1">
      <x:c r="A2709" s="2" t="str">
        <x:v>L002705</x:v>
      </x:c>
      <x:c r="B2709" s="2" t="str">
        <x:v>O01107</x:v>
      </x:c>
      <x:c r="C2709" s="7" t="n">
        <x:v>45976</x:v>
      </x:c>
      <x:c r="D2709" s="2" t="str">
        <x:v>Completed</x:v>
      </x:c>
      <x:c r="E2709" s="2" t="str">
        <x:v>West</x:v>
      </x:c>
      <x:c r="F2709" s="2" t="str">
        <x:v>Store</x:v>
      </x:c>
      <x:c r="G2709" s="2" t="str">
        <x:v>Lighting</x:v>
      </x:c>
      <x:c r="H2709" s="2" t="str">
        <x:v>Lamp 009</x:v>
      </x:c>
      <x:c r="I2709" s="11" t="n">
        <x:v>3</x:v>
      </x:c>
      <x:c r="J2709" s="9" t="n">
        <x:v>93</x:v>
      </x:c>
      <x:c r="K2709" s="10" t="n">
        <x:v>0.2</x:v>
      </x:c>
      <x:c r="L2709" s="11" t="n">
        <x:v>0</x:v>
      </x:c>
      <x:c r="M2709" s="9" t="n">
        <x:f>IF(D2709="Completed",I2709*J2709,0)</x:f>
        <x:v>279</x:v>
      </x:c>
      <x:c r="N2709" s="9" t="n">
        <x:f>M2709*K2709</x:f>
        <x:v>55.800000000000004</x:v>
      </x:c>
      <x:c r="O2709" s="9" t="n">
        <x:f>M2709-N2709</x:f>
        <x:v>223.2</x:v>
      </x:c>
      <x:c r="P2709" s="9" t="n">
        <x:f>IF(D2709="Completed",L2709*J2709*(1-K2709),0)</x:f>
        <x:v>0</x:v>
      </x:c>
      <x:c r="Q2709" s="9" t="n">
        <x:f>O2709-P2709</x:f>
        <x:v>223.2</x:v>
      </x:c>
      <x:c r="R2709" s="11" t="n">
        <x:f>IF(D2709="Completed",I2709,0)</x:f>
        <x:v>3</x:v>
      </x:c>
      <x:c r="S2709" s="11" t="n">
        <x:f>IF(D2709="Completed",L2709,0)</x:f>
        <x:v>0</x:v>
      </x:c>
      <x:c r="T2709" s="8" t="n">
        <x:f>DATE(YEAR(C2709),MONTH(C2709),1)</x:f>
        <x:v>45962</x:v>
      </x:c>
    </x:row>
    <x:row r="2710" ht="22" customHeight="1">
      <x:c r="A2710" s="2" t="str">
        <x:v>L002706</x:v>
      </x:c>
      <x:c r="B2710" s="2" t="str">
        <x:v>O01107</x:v>
      </x:c>
      <x:c r="C2710" s="7" t="n">
        <x:v>45976</x:v>
      </x:c>
      <x:c r="D2710" s="2" t="str">
        <x:v>Completed</x:v>
      </x:c>
      <x:c r="E2710" s="2" t="str">
        <x:v>West</x:v>
      </x:c>
      <x:c r="F2710" s="2" t="str">
        <x:v>Store</x:v>
      </x:c>
      <x:c r="G2710" s="2" t="str">
        <x:v>Furniture</x:v>
      </x:c>
      <x:c r="H2710" s="2" t="str">
        <x:v>Desk 024</x:v>
      </x:c>
      <x:c r="I2710" s="11" t="n">
        <x:v>2</x:v>
      </x:c>
      <x:c r="J2710" s="9" t="n">
        <x:v>81</x:v>
      </x:c>
      <x:c r="K2710" s="10" t="n">
        <x:v>0</x:v>
      </x:c>
      <x:c r="L2710" s="11" t="n">
        <x:v>0</x:v>
      </x:c>
      <x:c r="M2710" s="9" t="n">
        <x:f>IF(D2710="Completed",I2710*J2710,0)</x:f>
        <x:v>162</x:v>
      </x:c>
      <x:c r="N2710" s="9" t="n">
        <x:f>M2710*K2710</x:f>
        <x:v>0</x:v>
      </x:c>
      <x:c r="O2710" s="9" t="n">
        <x:f>M2710-N2710</x:f>
        <x:v>162</x:v>
      </x:c>
      <x:c r="P2710" s="9" t="n">
        <x:f>IF(D2710="Completed",L2710*J2710*(1-K2710),0)</x:f>
        <x:v>0</x:v>
      </x:c>
      <x:c r="Q2710" s="9" t="n">
        <x:f>O2710-P2710</x:f>
        <x:v>162</x:v>
      </x:c>
      <x:c r="R2710" s="11" t="n">
        <x:f>IF(D2710="Completed",I2710,0)</x:f>
        <x:v>2</x:v>
      </x:c>
      <x:c r="S2710" s="11" t="n">
        <x:f>IF(D2710="Completed",L2710,0)</x:f>
        <x:v>0</x:v>
      </x:c>
      <x:c r="T2710" s="8" t="n">
        <x:f>DATE(YEAR(C2710),MONTH(C2710),1)</x:f>
        <x:v>45962</x:v>
      </x:c>
    </x:row>
    <x:row r="2711" ht="22" customHeight="1">
      <x:c r="A2711" s="2" t="str">
        <x:v>L002707</x:v>
      </x:c>
      <x:c r="B2711" s="2" t="str">
        <x:v>O01107</x:v>
      </x:c>
      <x:c r="C2711" s="7" t="n">
        <x:v>45976</x:v>
      </x:c>
      <x:c r="D2711" s="2" t="str">
        <x:v>Completed</x:v>
      </x:c>
      <x:c r="E2711" s="2" t="str">
        <x:v>West</x:v>
      </x:c>
      <x:c r="F2711" s="2" t="str">
        <x:v>Store</x:v>
      </x:c>
      <x:c r="G2711" s="2" t="str">
        <x:v>Lighting</x:v>
      </x:c>
      <x:c r="H2711" s="2" t="str">
        <x:v>Lamp 009</x:v>
      </x:c>
      <x:c r="I2711" s="11" t="n">
        <x:v>3</x:v>
      </x:c>
      <x:c r="J2711" s="9" t="n">
        <x:v>93</x:v>
      </x:c>
      <x:c r="K2711" s="10" t="n">
        <x:v>0</x:v>
      </x:c>
      <x:c r="L2711" s="11" t="n">
        <x:v>0</x:v>
      </x:c>
      <x:c r="M2711" s="9" t="n">
        <x:f>IF(D2711="Completed",I2711*J2711,0)</x:f>
        <x:v>279</x:v>
      </x:c>
      <x:c r="N2711" s="9" t="n">
        <x:f>M2711*K2711</x:f>
        <x:v>0</x:v>
      </x:c>
      <x:c r="O2711" s="9" t="n">
        <x:f>M2711-N2711</x:f>
        <x:v>279</x:v>
      </x:c>
      <x:c r="P2711" s="9" t="n">
        <x:f>IF(D2711="Completed",L2711*J2711*(1-K2711),0)</x:f>
        <x:v>0</x:v>
      </x:c>
      <x:c r="Q2711" s="9" t="n">
        <x:f>O2711-P2711</x:f>
        <x:v>279</x:v>
      </x:c>
      <x:c r="R2711" s="11" t="n">
        <x:f>IF(D2711="Completed",I2711,0)</x:f>
        <x:v>3</x:v>
      </x:c>
      <x:c r="S2711" s="11" t="n">
        <x:f>IF(D2711="Completed",L2711,0)</x:f>
        <x:v>0</x:v>
      </x:c>
      <x:c r="T2711" s="8" t="n">
        <x:f>DATE(YEAR(C2711),MONTH(C2711),1)</x:f>
        <x:v>45962</x:v>
      </x:c>
    </x:row>
    <x:row r="2712" ht="22" customHeight="1">
      <x:c r="A2712" s="2" t="str">
        <x:v>L002708</x:v>
      </x:c>
      <x:c r="B2712" s="2" t="str">
        <x:v>O01107</x:v>
      </x:c>
      <x:c r="C2712" s="7" t="n">
        <x:v>45976</x:v>
      </x:c>
      <x:c r="D2712" s="2" t="str">
        <x:v>Completed</x:v>
      </x:c>
      <x:c r="E2712" s="2" t="str">
        <x:v>West</x:v>
      </x:c>
      <x:c r="F2712" s="2" t="str">
        <x:v>Store</x:v>
      </x:c>
      <x:c r="G2712" s="2" t="str">
        <x:v>Furniture</x:v>
      </x:c>
      <x:c r="H2712" s="2" t="str">
        <x:v>Chair 002</x:v>
      </x:c>
      <x:c r="I2712" s="11" t="n">
        <x:v>5</x:v>
      </x:c>
      <x:c r="J2712" s="9" t="n">
        <x:v>284</x:v>
      </x:c>
      <x:c r="K2712" s="10" t="n">
        <x:v>0</x:v>
      </x:c>
      <x:c r="L2712" s="11" t="n">
        <x:v>0</x:v>
      </x:c>
      <x:c r="M2712" s="9" t="n">
        <x:f>IF(D2712="Completed",I2712*J2712,0)</x:f>
        <x:v>1420</x:v>
      </x:c>
      <x:c r="N2712" s="9" t="n">
        <x:f>M2712*K2712</x:f>
        <x:v>0</x:v>
      </x:c>
      <x:c r="O2712" s="9" t="n">
        <x:f>M2712-N2712</x:f>
        <x:v>1420</x:v>
      </x:c>
      <x:c r="P2712" s="9" t="n">
        <x:f>IF(D2712="Completed",L2712*J2712*(1-K2712),0)</x:f>
        <x:v>0</x:v>
      </x:c>
      <x:c r="Q2712" s="9" t="n">
        <x:f>O2712-P2712</x:f>
        <x:v>1420</x:v>
      </x:c>
      <x:c r="R2712" s="11" t="n">
        <x:f>IF(D2712="Completed",I2712,0)</x:f>
        <x:v>5</x:v>
      </x:c>
      <x:c r="S2712" s="11" t="n">
        <x:f>IF(D2712="Completed",L2712,0)</x:f>
        <x:v>0</x:v>
      </x:c>
      <x:c r="T2712" s="8" t="n">
        <x:f>DATE(YEAR(C2712),MONTH(C2712),1)</x:f>
        <x:v>45962</x:v>
      </x:c>
    </x:row>
    <x:row r="2713" ht="22" customHeight="1">
      <x:c r="A2713" s="2" t="str">
        <x:v>L002709</x:v>
      </x:c>
      <x:c r="B2713" s="2" t="str">
        <x:v>O01108</x:v>
      </x:c>
      <x:c r="C2713" s="7" t="n">
        <x:v>45788</x:v>
      </x:c>
      <x:c r="D2713" s="2" t="str">
        <x:v>Completed</x:v>
      </x:c>
      <x:c r="E2713" s="2" t="str">
        <x:v>East</x:v>
      </x:c>
      <x:c r="F2713" s="2" t="str">
        <x:v>Online</x:v>
      </x:c>
      <x:c r="G2713" s="2" t="str">
        <x:v>Storage</x:v>
      </x:c>
      <x:c r="H2713" s="2" t="str">
        <x:v>Shelf 015</x:v>
      </x:c>
      <x:c r="I2713" s="11" t="n">
        <x:v>5</x:v>
      </x:c>
      <x:c r="J2713" s="9" t="n">
        <x:v>254</x:v>
      </x:c>
      <x:c r="K2713" s="10" t="n">
        <x:v>0.2</x:v>
      </x:c>
      <x:c r="L2713" s="11" t="n">
        <x:v>0</x:v>
      </x:c>
      <x:c r="M2713" s="9" t="n">
        <x:f>IF(D2713="Completed",I2713*J2713,0)</x:f>
        <x:v>1270</x:v>
      </x:c>
      <x:c r="N2713" s="9" t="n">
        <x:f>M2713*K2713</x:f>
        <x:v>254</x:v>
      </x:c>
      <x:c r="O2713" s="9" t="n">
        <x:f>M2713-N2713</x:f>
        <x:v>1016</x:v>
      </x:c>
      <x:c r="P2713" s="9" t="n">
        <x:f>IF(D2713="Completed",L2713*J2713*(1-K2713),0)</x:f>
        <x:v>0</x:v>
      </x:c>
      <x:c r="Q2713" s="9" t="n">
        <x:f>O2713-P2713</x:f>
        <x:v>1016</x:v>
      </x:c>
      <x:c r="R2713" s="11" t="n">
        <x:f>IF(D2713="Completed",I2713,0)</x:f>
        <x:v>5</x:v>
      </x:c>
      <x:c r="S2713" s="11" t="n">
        <x:f>IF(D2713="Completed",L2713,0)</x:f>
        <x:v>0</x:v>
      </x:c>
      <x:c r="T2713" s="8" t="n">
        <x:f>DATE(YEAR(C2713),MONTH(C2713),1)</x:f>
        <x:v>45778</x:v>
      </x:c>
    </x:row>
    <x:row r="2714" ht="22" customHeight="1">
      <x:c r="A2714" s="2" t="str">
        <x:v>L002710</x:v>
      </x:c>
      <x:c r="B2714" s="2" t="str">
        <x:v>O01109</x:v>
      </x:c>
      <x:c r="C2714" s="7" t="n">
        <x:v>46017</x:v>
      </x:c>
      <x:c r="D2714" s="2" t="str">
        <x:v>Completed</x:v>
      </x:c>
      <x:c r="E2714" s="2" t="str">
        <x:v>West</x:v>
      </x:c>
      <x:c r="F2714" s="2" t="str">
        <x:v>Online</x:v>
      </x:c>
      <x:c r="G2714" s="2" t="str">
        <x:v>Storage</x:v>
      </x:c>
      <x:c r="H2714" s="2" t="str">
        <x:v>Shelf 023</x:v>
      </x:c>
      <x:c r="I2714" s="11" t="n">
        <x:v>2</x:v>
      </x:c>
      <x:c r="J2714" s="9" t="n">
        <x:v>68</x:v>
      </x:c>
      <x:c r="K2714" s="10" t="n">
        <x:v>0.2</x:v>
      </x:c>
      <x:c r="L2714" s="11" t="n">
        <x:v>0</x:v>
      </x:c>
      <x:c r="M2714" s="9" t="n">
        <x:f>IF(D2714="Completed",I2714*J2714,0)</x:f>
        <x:v>136</x:v>
      </x:c>
      <x:c r="N2714" s="9" t="n">
        <x:f>M2714*K2714</x:f>
        <x:v>27.200000000000003</x:v>
      </x:c>
      <x:c r="O2714" s="9" t="n">
        <x:f>M2714-N2714</x:f>
        <x:v>108.8</x:v>
      </x:c>
      <x:c r="P2714" s="9" t="n">
        <x:f>IF(D2714="Completed",L2714*J2714*(1-K2714),0)</x:f>
        <x:v>0</x:v>
      </x:c>
      <x:c r="Q2714" s="9" t="n">
        <x:f>O2714-P2714</x:f>
        <x:v>108.8</x:v>
      </x:c>
      <x:c r="R2714" s="11" t="n">
        <x:f>IF(D2714="Completed",I2714,0)</x:f>
        <x:v>2</x:v>
      </x:c>
      <x:c r="S2714" s="11" t="n">
        <x:f>IF(D2714="Completed",L2714,0)</x:f>
        <x:v>0</x:v>
      </x:c>
      <x:c r="T2714" s="8" t="n">
        <x:f>DATE(YEAR(C2714),MONTH(C2714),1)</x:f>
        <x:v>45992</x:v>
      </x:c>
    </x:row>
    <x:row r="2715" ht="22" customHeight="1">
      <x:c r="A2715" s="2" t="str">
        <x:v>L002711</x:v>
      </x:c>
      <x:c r="B2715" s="2" t="str">
        <x:v>O01109</x:v>
      </x:c>
      <x:c r="C2715" s="7" t="n">
        <x:v>46017</x:v>
      </x:c>
      <x:c r="D2715" s="2" t="str">
        <x:v>Completed</x:v>
      </x:c>
      <x:c r="E2715" s="2" t="str">
        <x:v>West</x:v>
      </x:c>
      <x:c r="F2715" s="2" t="str">
        <x:v>Online</x:v>
      </x:c>
      <x:c r="G2715" s="2" t="str">
        <x:v>Lighting</x:v>
      </x:c>
      <x:c r="H2715" s="2" t="str">
        <x:v>Lamp 017</x:v>
      </x:c>
      <x:c r="I2715" s="11" t="n">
        <x:v>5</x:v>
      </x:c>
      <x:c r="J2715" s="9" t="n">
        <x:v>300</x:v>
      </x:c>
      <x:c r="K2715" s="10" t="n">
        <x:v>0</x:v>
      </x:c>
      <x:c r="L2715" s="11" t="n">
        <x:v>0</x:v>
      </x:c>
      <x:c r="M2715" s="9" t="n">
        <x:f>IF(D2715="Completed",I2715*J2715,0)</x:f>
        <x:v>1500</x:v>
      </x:c>
      <x:c r="N2715" s="9" t="n">
        <x:f>M2715*K2715</x:f>
        <x:v>0</x:v>
      </x:c>
      <x:c r="O2715" s="9" t="n">
        <x:f>M2715-N2715</x:f>
        <x:v>1500</x:v>
      </x:c>
      <x:c r="P2715" s="9" t="n">
        <x:f>IF(D2715="Completed",L2715*J2715*(1-K2715),0)</x:f>
        <x:v>0</x:v>
      </x:c>
      <x:c r="Q2715" s="9" t="n">
        <x:f>O2715-P2715</x:f>
        <x:v>1500</x:v>
      </x:c>
      <x:c r="R2715" s="11" t="n">
        <x:f>IF(D2715="Completed",I2715,0)</x:f>
        <x:v>5</x:v>
      </x:c>
      <x:c r="S2715" s="11" t="n">
        <x:f>IF(D2715="Completed",L2715,0)</x:f>
        <x:v>0</x:v>
      </x:c>
      <x:c r="T2715" s="8" t="n">
        <x:f>DATE(YEAR(C2715),MONTH(C2715),1)</x:f>
        <x:v>45992</x:v>
      </x:c>
    </x:row>
    <x:row r="2716" ht="22" customHeight="1">
      <x:c r="A2716" s="2" t="str">
        <x:v>L002712</x:v>
      </x:c>
      <x:c r="B2716" s="2" t="str">
        <x:v>O01109</x:v>
      </x:c>
      <x:c r="C2716" s="7" t="n">
        <x:v>46017</x:v>
      </x:c>
      <x:c r="D2716" s="2" t="str">
        <x:v>Completed</x:v>
      </x:c>
      <x:c r="E2716" s="2" t="str">
        <x:v>West</x:v>
      </x:c>
      <x:c r="F2716" s="2" t="str">
        <x:v>Online</x:v>
      </x:c>
      <x:c r="G2716" s="2" t="str">
        <x:v>Furniture</x:v>
      </x:c>
      <x:c r="H2716" s="2" t="str">
        <x:v>Chair 006</x:v>
      </x:c>
      <x:c r="I2716" s="11" t="n">
        <x:v>4</x:v>
      </x:c>
      <x:c r="J2716" s="9" t="n">
        <x:v>196</x:v>
      </x:c>
      <x:c r="K2716" s="10" t="n">
        <x:v>0.1</x:v>
      </x:c>
      <x:c r="L2716" s="11" t="n">
        <x:v>0</x:v>
      </x:c>
      <x:c r="M2716" s="9" t="n">
        <x:f>IF(D2716="Completed",I2716*J2716,0)</x:f>
        <x:v>784</x:v>
      </x:c>
      <x:c r="N2716" s="9" t="n">
        <x:f>M2716*K2716</x:f>
        <x:v>78.4</x:v>
      </x:c>
      <x:c r="O2716" s="9" t="n">
        <x:f>M2716-N2716</x:f>
        <x:v>705.6</x:v>
      </x:c>
      <x:c r="P2716" s="9" t="n">
        <x:f>IF(D2716="Completed",L2716*J2716*(1-K2716),0)</x:f>
        <x:v>0</x:v>
      </x:c>
      <x:c r="Q2716" s="9" t="n">
        <x:f>O2716-P2716</x:f>
        <x:v>705.6</x:v>
      </x:c>
      <x:c r="R2716" s="11" t="n">
        <x:f>IF(D2716="Completed",I2716,0)</x:f>
        <x:v>4</x:v>
      </x:c>
      <x:c r="S2716" s="11" t="n">
        <x:f>IF(D2716="Completed",L2716,0)</x:f>
        <x:v>0</x:v>
      </x:c>
      <x:c r="T2716" s="8" t="n">
        <x:f>DATE(YEAR(C2716),MONTH(C2716),1)</x:f>
        <x:v>45992</x:v>
      </x:c>
    </x:row>
    <x:row r="2717" ht="22" customHeight="1">
      <x:c r="A2717" s="2" t="str">
        <x:v>L002713</x:v>
      </x:c>
      <x:c r="B2717" s="2" t="str">
        <x:v>O01109</x:v>
      </x:c>
      <x:c r="C2717" s="7" t="n">
        <x:v>46017</x:v>
      </x:c>
      <x:c r="D2717" s="2" t="str">
        <x:v>Completed</x:v>
      </x:c>
      <x:c r="E2717" s="2" t="str">
        <x:v>West</x:v>
      </x:c>
      <x:c r="F2717" s="2" t="str">
        <x:v>Online</x:v>
      </x:c>
      <x:c r="G2717" s="2" t="str">
        <x:v>Furniture</x:v>
      </x:c>
      <x:c r="H2717" s="2" t="str">
        <x:v>Chair 018</x:v>
      </x:c>
      <x:c r="I2717" s="11" t="n">
        <x:v>5</x:v>
      </x:c>
      <x:c r="J2717" s="9" t="n">
        <x:v>269</x:v>
      </x:c>
      <x:c r="K2717" s="10" t="n">
        <x:v>0</x:v>
      </x:c>
      <x:c r="L2717" s="11" t="n">
        <x:v>0</x:v>
      </x:c>
      <x:c r="M2717" s="9" t="n">
        <x:f>IF(D2717="Completed",I2717*J2717,0)</x:f>
        <x:v>1345</x:v>
      </x:c>
      <x:c r="N2717" s="9" t="n">
        <x:f>M2717*K2717</x:f>
        <x:v>0</x:v>
      </x:c>
      <x:c r="O2717" s="9" t="n">
        <x:f>M2717-N2717</x:f>
        <x:v>1345</x:v>
      </x:c>
      <x:c r="P2717" s="9" t="n">
        <x:f>IF(D2717="Completed",L2717*J2717*(1-K2717),0)</x:f>
        <x:v>0</x:v>
      </x:c>
      <x:c r="Q2717" s="9" t="n">
        <x:f>O2717-P2717</x:f>
        <x:v>1345</x:v>
      </x:c>
      <x:c r="R2717" s="11" t="n">
        <x:f>IF(D2717="Completed",I2717,0)</x:f>
        <x:v>5</x:v>
      </x:c>
      <x:c r="S2717" s="11" t="n">
        <x:f>IF(D2717="Completed",L2717,0)</x:f>
        <x:v>0</x:v>
      </x:c>
      <x:c r="T2717" s="8" t="n">
        <x:f>DATE(YEAR(C2717),MONTH(C2717),1)</x:f>
        <x:v>45992</x:v>
      </x:c>
    </x:row>
    <x:row r="2718" ht="22" customHeight="1">
      <x:c r="A2718" s="2" t="str">
        <x:v>L002714</x:v>
      </x:c>
      <x:c r="B2718" s="2" t="str">
        <x:v>O01110</x:v>
      </x:c>
      <x:c r="C2718" s="7" t="n">
        <x:v>45663</x:v>
      </x:c>
      <x:c r="D2718" s="2" t="str">
        <x:v>Completed</x:v>
      </x:c>
      <x:c r="E2718" s="2" t="str">
        <x:v>East</x:v>
      </x:c>
      <x:c r="F2718" s="2" t="str">
        <x:v>Online</x:v>
      </x:c>
      <x:c r="G2718" s="2" t="str">
        <x:v>Lighting</x:v>
      </x:c>
      <x:c r="H2718" s="2" t="str">
        <x:v>Lamp 005</x:v>
      </x:c>
      <x:c r="I2718" s="11" t="n">
        <x:v>3</x:v>
      </x:c>
      <x:c r="J2718" s="9" t="n">
        <x:v>65</x:v>
      </x:c>
      <x:c r="K2718" s="10" t="n">
        <x:v>0.2</x:v>
      </x:c>
      <x:c r="L2718" s="11" t="n">
        <x:v>0</x:v>
      </x:c>
      <x:c r="M2718" s="9" t="n">
        <x:f>IF(D2718="Completed",I2718*J2718,0)</x:f>
        <x:v>195</x:v>
      </x:c>
      <x:c r="N2718" s="9" t="n">
        <x:f>M2718*K2718</x:f>
        <x:v>39</x:v>
      </x:c>
      <x:c r="O2718" s="9" t="n">
        <x:f>M2718-N2718</x:f>
        <x:v>156</x:v>
      </x:c>
      <x:c r="P2718" s="9" t="n">
        <x:f>IF(D2718="Completed",L2718*J2718*(1-K2718),0)</x:f>
        <x:v>0</x:v>
      </x:c>
      <x:c r="Q2718" s="9" t="n">
        <x:f>O2718-P2718</x:f>
        <x:v>156</x:v>
      </x:c>
      <x:c r="R2718" s="11" t="n">
        <x:f>IF(D2718="Completed",I2718,0)</x:f>
        <x:v>3</x:v>
      </x:c>
      <x:c r="S2718" s="11" t="n">
        <x:f>IF(D2718="Completed",L2718,0)</x:f>
        <x:v>0</x:v>
      </x:c>
      <x:c r="T2718" s="8" t="n">
        <x:f>DATE(YEAR(C2718),MONTH(C2718),1)</x:f>
        <x:v>45658</x:v>
      </x:c>
    </x:row>
    <x:row r="2719" ht="22" customHeight="1">
      <x:c r="A2719" s="2" t="str">
        <x:v>L002715</x:v>
      </x:c>
      <x:c r="B2719" s="2" t="str">
        <x:v>O01111</x:v>
      </x:c>
      <x:c r="C2719" s="7" t="n">
        <x:v>45792</x:v>
      </x:c>
      <x:c r="D2719" s="2" t="str">
        <x:v>Completed</x:v>
      </x:c>
      <x:c r="E2719" s="2" t="str">
        <x:v>West</x:v>
      </x:c>
      <x:c r="F2719" s="2" t="str">
        <x:v>Online</x:v>
      </x:c>
      <x:c r="G2719" s="2" t="str">
        <x:v>Furniture</x:v>
      </x:c>
      <x:c r="H2719" s="2" t="str">
        <x:v>Desk 004</x:v>
      </x:c>
      <x:c r="I2719" s="11" t="n">
        <x:v>5</x:v>
      </x:c>
      <x:c r="J2719" s="9" t="n">
        <x:v>123</x:v>
      </x:c>
      <x:c r="K2719" s="10" t="n">
        <x:v>0.2</x:v>
      </x:c>
      <x:c r="L2719" s="11" t="n">
        <x:v>0</x:v>
      </x:c>
      <x:c r="M2719" s="9" t="n">
        <x:f>IF(D2719="Completed",I2719*J2719,0)</x:f>
        <x:v>615</x:v>
      </x:c>
      <x:c r="N2719" s="9" t="n">
        <x:f>M2719*K2719</x:f>
        <x:v>123</x:v>
      </x:c>
      <x:c r="O2719" s="9" t="n">
        <x:f>M2719-N2719</x:f>
        <x:v>492</x:v>
      </x:c>
      <x:c r="P2719" s="9" t="n">
        <x:f>IF(D2719="Completed",L2719*J2719*(1-K2719),0)</x:f>
        <x:v>0</x:v>
      </x:c>
      <x:c r="Q2719" s="9" t="n">
        <x:f>O2719-P2719</x:f>
        <x:v>492</x:v>
      </x:c>
      <x:c r="R2719" s="11" t="n">
        <x:f>IF(D2719="Completed",I2719,0)</x:f>
        <x:v>5</x:v>
      </x:c>
      <x:c r="S2719" s="11" t="n">
        <x:f>IF(D2719="Completed",L2719,0)</x:f>
        <x:v>0</x:v>
      </x:c>
      <x:c r="T2719" s="8" t="n">
        <x:f>DATE(YEAR(C2719),MONTH(C2719),1)</x:f>
        <x:v>45778</x:v>
      </x:c>
    </x:row>
    <x:row r="2720" ht="22" customHeight="1">
      <x:c r="A2720" s="2" t="str">
        <x:v>L002716</x:v>
      </x:c>
      <x:c r="B2720" s="2" t="str">
        <x:v>O01111</x:v>
      </x:c>
      <x:c r="C2720" s="7" t="n">
        <x:v>45792</x:v>
      </x:c>
      <x:c r="D2720" s="2" t="str">
        <x:v>Completed</x:v>
      </x:c>
      <x:c r="E2720" s="2" t="str">
        <x:v>West</x:v>
      </x:c>
      <x:c r="F2720" s="2" t="str">
        <x:v>Online</x:v>
      </x:c>
      <x:c r="G2720" s="2" t="str">
        <x:v>Furniture</x:v>
      </x:c>
      <x:c r="H2720" s="2" t="str">
        <x:v>Chair 014</x:v>
      </x:c>
      <x:c r="I2720" s="11" t="n">
        <x:v>4</x:v>
      </x:c>
      <x:c r="J2720" s="9" t="n">
        <x:v>294</x:v>
      </x:c>
      <x:c r="K2720" s="10" t="n">
        <x:v>0.05</x:v>
      </x:c>
      <x:c r="L2720" s="11" t="n">
        <x:v>0</x:v>
      </x:c>
      <x:c r="M2720" s="9" t="n">
        <x:f>IF(D2720="Completed",I2720*J2720,0)</x:f>
        <x:v>1176</x:v>
      </x:c>
      <x:c r="N2720" s="9" t="n">
        <x:f>M2720*K2720</x:f>
        <x:v>58.800000000000004</x:v>
      </x:c>
      <x:c r="O2720" s="9" t="n">
        <x:f>M2720-N2720</x:f>
        <x:v>1117.2</x:v>
      </x:c>
      <x:c r="P2720" s="9" t="n">
        <x:f>IF(D2720="Completed",L2720*J2720*(1-K2720),0)</x:f>
        <x:v>0</x:v>
      </x:c>
      <x:c r="Q2720" s="9" t="n">
        <x:f>O2720-P2720</x:f>
        <x:v>1117.2</x:v>
      </x:c>
      <x:c r="R2720" s="11" t="n">
        <x:f>IF(D2720="Completed",I2720,0)</x:f>
        <x:v>4</x:v>
      </x:c>
      <x:c r="S2720" s="11" t="n">
        <x:f>IF(D2720="Completed",L2720,0)</x:f>
        <x:v>0</x:v>
      </x:c>
      <x:c r="T2720" s="8" t="n">
        <x:f>DATE(YEAR(C2720),MONTH(C2720),1)</x:f>
        <x:v>45778</x:v>
      </x:c>
    </x:row>
    <x:row r="2721" ht="22" customHeight="1">
      <x:c r="A2721" s="2" t="str">
        <x:v>L002717</x:v>
      </x:c>
      <x:c r="B2721" s="2" t="str">
        <x:v>O01111</x:v>
      </x:c>
      <x:c r="C2721" s="7" t="n">
        <x:v>45792</x:v>
      </x:c>
      <x:c r="D2721" s="2" t="str">
        <x:v>Completed</x:v>
      </x:c>
      <x:c r="E2721" s="2" t="str">
        <x:v>West</x:v>
      </x:c>
      <x:c r="F2721" s="2" t="str">
        <x:v>Online</x:v>
      </x:c>
      <x:c r="G2721" s="2" t="str">
        <x:v>Furniture</x:v>
      </x:c>
      <x:c r="H2721" s="2" t="str">
        <x:v>Chair 022</x:v>
      </x:c>
      <x:c r="I2721" s="11" t="n">
        <x:v>3</x:v>
      </x:c>
      <x:c r="J2721" s="9" t="n">
        <x:v>134</x:v>
      </x:c>
      <x:c r="K2721" s="10" t="n">
        <x:v>0.05</x:v>
      </x:c>
      <x:c r="L2721" s="11" t="n">
        <x:v>0</x:v>
      </x:c>
      <x:c r="M2721" s="9" t="n">
        <x:f>IF(D2721="Completed",I2721*J2721,0)</x:f>
        <x:v>402</x:v>
      </x:c>
      <x:c r="N2721" s="9" t="n">
        <x:f>M2721*K2721</x:f>
        <x:v>20.1</x:v>
      </x:c>
      <x:c r="O2721" s="9" t="n">
        <x:f>M2721-N2721</x:f>
        <x:v>381.9</x:v>
      </x:c>
      <x:c r="P2721" s="9" t="n">
        <x:f>IF(D2721="Completed",L2721*J2721*(1-K2721),0)</x:f>
        <x:v>0</x:v>
      </x:c>
      <x:c r="Q2721" s="9" t="n">
        <x:f>O2721-P2721</x:f>
        <x:v>381.9</x:v>
      </x:c>
      <x:c r="R2721" s="11" t="n">
        <x:f>IF(D2721="Completed",I2721,0)</x:f>
        <x:v>3</x:v>
      </x:c>
      <x:c r="S2721" s="11" t="n">
        <x:f>IF(D2721="Completed",L2721,0)</x:f>
        <x:v>0</x:v>
      </x:c>
      <x:c r="T2721" s="8" t="n">
        <x:f>DATE(YEAR(C2721),MONTH(C2721),1)</x:f>
        <x:v>45778</x:v>
      </x:c>
    </x:row>
    <x:row r="2722" ht="22" customHeight="1">
      <x:c r="A2722" s="2" t="str">
        <x:v>L002718</x:v>
      </x:c>
      <x:c r="B2722" s="2" t="str">
        <x:v>O01112</x:v>
      </x:c>
      <x:c r="C2722" s="7" t="n">
        <x:v>45810</x:v>
      </x:c>
      <x:c r="D2722" s="2" t="str">
        <x:v>Completed</x:v>
      </x:c>
      <x:c r="E2722" s="2" t="str">
        <x:v>West</x:v>
      </x:c>
      <x:c r="F2722" s="2" t="str">
        <x:v>Store</x:v>
      </x:c>
      <x:c r="G2722" s="2" t="str">
        <x:v>Furniture</x:v>
      </x:c>
      <x:c r="H2722" s="2" t="str">
        <x:v>Chair 010</x:v>
      </x:c>
      <x:c r="I2722" s="11" t="n">
        <x:v>5</x:v>
      </x:c>
      <x:c r="J2722" s="9" t="n">
        <x:v>211</x:v>
      </x:c>
      <x:c r="K2722" s="10" t="n">
        <x:v>0.05</x:v>
      </x:c>
      <x:c r="L2722" s="11" t="n">
        <x:v>0</x:v>
      </x:c>
      <x:c r="M2722" s="9" t="n">
        <x:f>IF(D2722="Completed",I2722*J2722,0)</x:f>
        <x:v>1055</x:v>
      </x:c>
      <x:c r="N2722" s="9" t="n">
        <x:f>M2722*K2722</x:f>
        <x:v>52.75</x:v>
      </x:c>
      <x:c r="O2722" s="9" t="n">
        <x:f>M2722-N2722</x:f>
        <x:v>1002.25</x:v>
      </x:c>
      <x:c r="P2722" s="9" t="n">
        <x:f>IF(D2722="Completed",L2722*J2722*(1-K2722),0)</x:f>
        <x:v>0</x:v>
      </x:c>
      <x:c r="Q2722" s="9" t="n">
        <x:f>O2722-P2722</x:f>
        <x:v>1002.25</x:v>
      </x:c>
      <x:c r="R2722" s="11" t="n">
        <x:f>IF(D2722="Completed",I2722,0)</x:f>
        <x:v>5</x:v>
      </x:c>
      <x:c r="S2722" s="11" t="n">
        <x:f>IF(D2722="Completed",L2722,0)</x:f>
        <x:v>0</x:v>
      </x:c>
      <x:c r="T2722" s="8" t="n">
        <x:f>DATE(YEAR(C2722),MONTH(C2722),1)</x:f>
        <x:v>45809</x:v>
      </x:c>
    </x:row>
    <x:row r="2723" ht="22" customHeight="1">
      <x:c r="A2723" s="2" t="str">
        <x:v>L002719</x:v>
      </x:c>
      <x:c r="B2723" s="2" t="str">
        <x:v>O01113</x:v>
      </x:c>
      <x:c r="C2723" s="7" t="n">
        <x:v>45780</x:v>
      </x:c>
      <x:c r="D2723" s="2" t="str">
        <x:v>Completed</x:v>
      </x:c>
      <x:c r="E2723" s="2" t="str">
        <x:v>West</x:v>
      </x:c>
      <x:c r="F2723" s="2" t="str">
        <x:v>Store</x:v>
      </x:c>
      <x:c r="G2723" s="2" t="str">
        <x:v>Storage</x:v>
      </x:c>
      <x:c r="H2723" s="2" t="str">
        <x:v>Shelf 023</x:v>
      </x:c>
      <x:c r="I2723" s="11" t="n">
        <x:v>1</x:v>
      </x:c>
      <x:c r="J2723" s="9" t="n">
        <x:v>68</x:v>
      </x:c>
      <x:c r="K2723" s="10" t="n">
        <x:v>0.1</x:v>
      </x:c>
      <x:c r="L2723" s="11" t="n">
        <x:v>0</x:v>
      </x:c>
      <x:c r="M2723" s="9" t="n">
        <x:f>IF(D2723="Completed",I2723*J2723,0)</x:f>
        <x:v>68</x:v>
      </x:c>
      <x:c r="N2723" s="9" t="n">
        <x:f>M2723*K2723</x:f>
        <x:v>6.800000000000001</x:v>
      </x:c>
      <x:c r="O2723" s="9" t="n">
        <x:f>M2723-N2723</x:f>
        <x:v>61.2</x:v>
      </x:c>
      <x:c r="P2723" s="9" t="n">
        <x:f>IF(D2723="Completed",L2723*J2723*(1-K2723),0)</x:f>
        <x:v>0</x:v>
      </x:c>
      <x:c r="Q2723" s="9" t="n">
        <x:f>O2723-P2723</x:f>
        <x:v>61.2</x:v>
      </x:c>
      <x:c r="R2723" s="11" t="n">
        <x:f>IF(D2723="Completed",I2723,0)</x:f>
        <x:v>1</x:v>
      </x:c>
      <x:c r="S2723" s="11" t="n">
        <x:f>IF(D2723="Completed",L2723,0)</x:f>
        <x:v>0</x:v>
      </x:c>
      <x:c r="T2723" s="8" t="n">
        <x:f>DATE(YEAR(C2723),MONTH(C2723),1)</x:f>
        <x:v>45778</x:v>
      </x:c>
    </x:row>
    <x:row r="2724" ht="22" customHeight="1">
      <x:c r="A2724" s="2" t="str">
        <x:v>L002720</x:v>
      </x:c>
      <x:c r="B2724" s="2" t="str">
        <x:v>O01113</x:v>
      </x:c>
      <x:c r="C2724" s="7" t="n">
        <x:v>45780</x:v>
      </x:c>
      <x:c r="D2724" s="2" t="str">
        <x:v>Completed</x:v>
      </x:c>
      <x:c r="E2724" s="2" t="str">
        <x:v>West</x:v>
      </x:c>
      <x:c r="F2724" s="2" t="str">
        <x:v>Store</x:v>
      </x:c>
      <x:c r="G2724" s="2" t="str">
        <x:v>Storage</x:v>
      </x:c>
      <x:c r="H2724" s="2" t="str">
        <x:v>Shelf 015</x:v>
      </x:c>
      <x:c r="I2724" s="11" t="n">
        <x:v>3</x:v>
      </x:c>
      <x:c r="J2724" s="9" t="n">
        <x:v>254</x:v>
      </x:c>
      <x:c r="K2724" s="10" t="n">
        <x:v>0.2</x:v>
      </x:c>
      <x:c r="L2724" s="11" t="n">
        <x:v>0</x:v>
      </x:c>
      <x:c r="M2724" s="9" t="n">
        <x:f>IF(D2724="Completed",I2724*J2724,0)</x:f>
        <x:v>762</x:v>
      </x:c>
      <x:c r="N2724" s="9" t="n">
        <x:f>M2724*K2724</x:f>
        <x:v>152.4</x:v>
      </x:c>
      <x:c r="O2724" s="9" t="n">
        <x:f>M2724-N2724</x:f>
        <x:v>609.6</x:v>
      </x:c>
      <x:c r="P2724" s="9" t="n">
        <x:f>IF(D2724="Completed",L2724*J2724*(1-K2724),0)</x:f>
        <x:v>0</x:v>
      </x:c>
      <x:c r="Q2724" s="9" t="n">
        <x:f>O2724-P2724</x:f>
        <x:v>609.6</x:v>
      </x:c>
      <x:c r="R2724" s="11" t="n">
        <x:f>IF(D2724="Completed",I2724,0)</x:f>
        <x:v>3</x:v>
      </x:c>
      <x:c r="S2724" s="11" t="n">
        <x:f>IF(D2724="Completed",L2724,0)</x:f>
        <x:v>0</x:v>
      </x:c>
      <x:c r="T2724" s="8" t="n">
        <x:f>DATE(YEAR(C2724),MONTH(C2724),1)</x:f>
        <x:v>45778</x:v>
      </x:c>
    </x:row>
    <x:row r="2725" ht="22" customHeight="1">
      <x:c r="A2725" s="2" t="str">
        <x:v>L002721</x:v>
      </x:c>
      <x:c r="B2725" s="2" t="str">
        <x:v>O01113</x:v>
      </x:c>
      <x:c r="C2725" s="7" t="n">
        <x:v>45780</x:v>
      </x:c>
      <x:c r="D2725" s="2" t="str">
        <x:v>Completed</x:v>
      </x:c>
      <x:c r="E2725" s="2" t="str">
        <x:v>West</x:v>
      </x:c>
      <x:c r="F2725" s="2" t="str">
        <x:v>Store</x:v>
      </x:c>
      <x:c r="G2725" s="2" t="str">
        <x:v>Furniture</x:v>
      </x:c>
      <x:c r="H2725" s="2" t="str">
        <x:v>Desk 020</x:v>
      </x:c>
      <x:c r="I2725" s="11" t="n">
        <x:v>3</x:v>
      </x:c>
      <x:c r="J2725" s="9" t="n">
        <x:v>189</x:v>
      </x:c>
      <x:c r="K2725" s="10" t="n">
        <x:v>0</x:v>
      </x:c>
      <x:c r="L2725" s="11" t="n">
        <x:v>0</x:v>
      </x:c>
      <x:c r="M2725" s="9" t="n">
        <x:f>IF(D2725="Completed",I2725*J2725,0)</x:f>
        <x:v>567</x:v>
      </x:c>
      <x:c r="N2725" s="9" t="n">
        <x:f>M2725*K2725</x:f>
        <x:v>0</x:v>
      </x:c>
      <x:c r="O2725" s="9" t="n">
        <x:f>M2725-N2725</x:f>
        <x:v>567</x:v>
      </x:c>
      <x:c r="P2725" s="9" t="n">
        <x:f>IF(D2725="Completed",L2725*J2725*(1-K2725),0)</x:f>
        <x:v>0</x:v>
      </x:c>
      <x:c r="Q2725" s="9" t="n">
        <x:f>O2725-P2725</x:f>
        <x:v>567</x:v>
      </x:c>
      <x:c r="R2725" s="11" t="n">
        <x:f>IF(D2725="Completed",I2725,0)</x:f>
        <x:v>3</x:v>
      </x:c>
      <x:c r="S2725" s="11" t="n">
        <x:f>IF(D2725="Completed",L2725,0)</x:f>
        <x:v>0</x:v>
      </x:c>
      <x:c r="T2725" s="8" t="n">
        <x:f>DATE(YEAR(C2725),MONTH(C2725),1)</x:f>
        <x:v>45778</x:v>
      </x:c>
    </x:row>
    <x:row r="2726" ht="22" customHeight="1">
      <x:c r="A2726" s="2" t="str">
        <x:v>L002722</x:v>
      </x:c>
      <x:c r="B2726" s="2" t="str">
        <x:v>O01114</x:v>
      </x:c>
      <x:c r="C2726" s="7" t="n">
        <x:v>45945</x:v>
      </x:c>
      <x:c r="D2726" s="2" t="str">
        <x:v>Completed</x:v>
      </x:c>
      <x:c r="E2726" s="2" t="str">
        <x:v>South</x:v>
      </x:c>
      <x:c r="F2726" s="2" t="str">
        <x:v>Store</x:v>
      </x:c>
      <x:c r="G2726" s="2" t="str">
        <x:v>Lighting</x:v>
      </x:c>
      <x:c r="H2726" s="2" t="str">
        <x:v>Lamp 013</x:v>
      </x:c>
      <x:c r="I2726" s="11" t="n">
        <x:v>5</x:v>
      </x:c>
      <x:c r="J2726" s="9" t="n">
        <x:v>271</x:v>
      </x:c>
      <x:c r="K2726" s="10" t="n">
        <x:v>0.05</x:v>
      </x:c>
      <x:c r="L2726" s="11" t="n">
        <x:v>4</x:v>
      </x:c>
      <x:c r="M2726" s="9" t="n">
        <x:f>IF(D2726="Completed",I2726*J2726,0)</x:f>
        <x:v>1355</x:v>
      </x:c>
      <x:c r="N2726" s="9" t="n">
        <x:f>M2726*K2726</x:f>
        <x:v>67.75</x:v>
      </x:c>
      <x:c r="O2726" s="9" t="n">
        <x:f>M2726-N2726</x:f>
        <x:v>1287.25</x:v>
      </x:c>
      <x:c r="P2726" s="9" t="n">
        <x:f>IF(D2726="Completed",L2726*J2726*(1-K2726),0)</x:f>
        <x:v>1029.8</x:v>
      </x:c>
      <x:c r="Q2726" s="9" t="n">
        <x:f>O2726-P2726</x:f>
        <x:v>257.45000000000005</x:v>
      </x:c>
      <x:c r="R2726" s="11" t="n">
        <x:f>IF(D2726="Completed",I2726,0)</x:f>
        <x:v>5</x:v>
      </x:c>
      <x:c r="S2726" s="11" t="n">
        <x:f>IF(D2726="Completed",L2726,0)</x:f>
        <x:v>4</x:v>
      </x:c>
      <x:c r="T2726" s="8" t="n">
        <x:f>DATE(YEAR(C2726),MONTH(C2726),1)</x:f>
        <x:v>45931</x:v>
      </x:c>
    </x:row>
    <x:row r="2727" ht="22" customHeight="1">
      <x:c r="A2727" s="2" t="str">
        <x:v>L002723</x:v>
      </x:c>
      <x:c r="B2727" s="2" t="str">
        <x:v>O01114</x:v>
      </x:c>
      <x:c r="C2727" s="7" t="n">
        <x:v>45945</x:v>
      </x:c>
      <x:c r="D2727" s="2" t="str">
        <x:v>Completed</x:v>
      </x:c>
      <x:c r="E2727" s="2" t="str">
        <x:v>South</x:v>
      </x:c>
      <x:c r="F2727" s="2" t="str">
        <x:v>Store</x:v>
      </x:c>
      <x:c r="G2727" s="2" t="str">
        <x:v>Furniture</x:v>
      </x:c>
      <x:c r="H2727" s="2" t="str">
        <x:v>Chair 022</x:v>
      </x:c>
      <x:c r="I2727" s="11" t="n">
        <x:v>5</x:v>
      </x:c>
      <x:c r="J2727" s="9" t="n">
        <x:v>134</x:v>
      </x:c>
      <x:c r="K2727" s="10" t="n">
        <x:v>0.1</x:v>
      </x:c>
      <x:c r="L2727" s="11" t="n">
        <x:v>0</x:v>
      </x:c>
      <x:c r="M2727" s="9" t="n">
        <x:f>IF(D2727="Completed",I2727*J2727,0)</x:f>
        <x:v>670</x:v>
      </x:c>
      <x:c r="N2727" s="9" t="n">
        <x:f>M2727*K2727</x:f>
        <x:v>67</x:v>
      </x:c>
      <x:c r="O2727" s="9" t="n">
        <x:f>M2727-N2727</x:f>
        <x:v>603</x:v>
      </x:c>
      <x:c r="P2727" s="9" t="n">
        <x:f>IF(D2727="Completed",L2727*J2727*(1-K2727),0)</x:f>
        <x:v>0</x:v>
      </x:c>
      <x:c r="Q2727" s="9" t="n">
        <x:f>O2727-P2727</x:f>
        <x:v>603</x:v>
      </x:c>
      <x:c r="R2727" s="11" t="n">
        <x:f>IF(D2727="Completed",I2727,0)</x:f>
        <x:v>5</x:v>
      </x:c>
      <x:c r="S2727" s="11" t="n">
        <x:f>IF(D2727="Completed",L2727,0)</x:f>
        <x:v>0</x:v>
      </x:c>
      <x:c r="T2727" s="8" t="n">
        <x:f>DATE(YEAR(C2727),MONTH(C2727),1)</x:f>
        <x:v>45931</x:v>
      </x:c>
    </x:row>
    <x:row r="2728" ht="22" customHeight="1">
      <x:c r="A2728" s="2" t="str">
        <x:v>L002724</x:v>
      </x:c>
      <x:c r="B2728" s="2" t="str">
        <x:v>O01114</x:v>
      </x:c>
      <x:c r="C2728" s="7" t="n">
        <x:v>45945</x:v>
      </x:c>
      <x:c r="D2728" s="2" t="str">
        <x:v>Completed</x:v>
      </x:c>
      <x:c r="E2728" s="2" t="str">
        <x:v>South</x:v>
      </x:c>
      <x:c r="F2728" s="2" t="str">
        <x:v>Store</x:v>
      </x:c>
      <x:c r="G2728" s="2" t="str">
        <x:v>Furniture</x:v>
      </x:c>
      <x:c r="H2728" s="2" t="str">
        <x:v>Chair 006</x:v>
      </x:c>
      <x:c r="I2728" s="11" t="n">
        <x:v>1</x:v>
      </x:c>
      <x:c r="J2728" s="9" t="n">
        <x:v>196</x:v>
      </x:c>
      <x:c r="K2728" s="10" t="n">
        <x:v>0.05</x:v>
      </x:c>
      <x:c r="L2728" s="11" t="n">
        <x:v>0</x:v>
      </x:c>
      <x:c r="M2728" s="9" t="n">
        <x:f>IF(D2728="Completed",I2728*J2728,0)</x:f>
        <x:v>196</x:v>
      </x:c>
      <x:c r="N2728" s="9" t="n">
        <x:f>M2728*K2728</x:f>
        <x:v>9.8</x:v>
      </x:c>
      <x:c r="O2728" s="9" t="n">
        <x:f>M2728-N2728</x:f>
        <x:v>186.2</x:v>
      </x:c>
      <x:c r="P2728" s="9" t="n">
        <x:f>IF(D2728="Completed",L2728*J2728*(1-K2728),0)</x:f>
        <x:v>0</x:v>
      </x:c>
      <x:c r="Q2728" s="9" t="n">
        <x:f>O2728-P2728</x:f>
        <x:v>186.2</x:v>
      </x:c>
      <x:c r="R2728" s="11" t="n">
        <x:f>IF(D2728="Completed",I2728,0)</x:f>
        <x:v>1</x:v>
      </x:c>
      <x:c r="S2728" s="11" t="n">
        <x:f>IF(D2728="Completed",L2728,0)</x:f>
        <x:v>0</x:v>
      </x:c>
      <x:c r="T2728" s="8" t="n">
        <x:f>DATE(YEAR(C2728),MONTH(C2728),1)</x:f>
        <x:v>45931</x:v>
      </x:c>
    </x:row>
    <x:row r="2729" ht="22" customHeight="1">
      <x:c r="A2729" s="2" t="str">
        <x:v>L002725</x:v>
      </x:c>
      <x:c r="B2729" s="2" t="str">
        <x:v>O01114</x:v>
      </x:c>
      <x:c r="C2729" s="7" t="n">
        <x:v>45945</x:v>
      </x:c>
      <x:c r="D2729" s="2" t="str">
        <x:v>Completed</x:v>
      </x:c>
      <x:c r="E2729" s="2" t="str">
        <x:v>South</x:v>
      </x:c>
      <x:c r="F2729" s="2" t="str">
        <x:v>Store</x:v>
      </x:c>
      <x:c r="G2729" s="2" t="str">
        <x:v>Lighting</x:v>
      </x:c>
      <x:c r="H2729" s="2" t="str">
        <x:v>Lamp 005</x:v>
      </x:c>
      <x:c r="I2729" s="11" t="n">
        <x:v>3</x:v>
      </x:c>
      <x:c r="J2729" s="9" t="n">
        <x:v>65</x:v>
      </x:c>
      <x:c r="K2729" s="10" t="n">
        <x:v>0</x:v>
      </x:c>
      <x:c r="L2729" s="11" t="n">
        <x:v>0</x:v>
      </x:c>
      <x:c r="M2729" s="9" t="n">
        <x:f>IF(D2729="Completed",I2729*J2729,0)</x:f>
        <x:v>195</x:v>
      </x:c>
      <x:c r="N2729" s="9" t="n">
        <x:f>M2729*K2729</x:f>
        <x:v>0</x:v>
      </x:c>
      <x:c r="O2729" s="9" t="n">
        <x:f>M2729-N2729</x:f>
        <x:v>195</x:v>
      </x:c>
      <x:c r="P2729" s="9" t="n">
        <x:f>IF(D2729="Completed",L2729*J2729*(1-K2729),0)</x:f>
        <x:v>0</x:v>
      </x:c>
      <x:c r="Q2729" s="9" t="n">
        <x:f>O2729-P2729</x:f>
        <x:v>195</x:v>
      </x:c>
      <x:c r="R2729" s="11" t="n">
        <x:f>IF(D2729="Completed",I2729,0)</x:f>
        <x:v>3</x:v>
      </x:c>
      <x:c r="S2729" s="11" t="n">
        <x:f>IF(D2729="Completed",L2729,0)</x:f>
        <x:v>0</x:v>
      </x:c>
      <x:c r="T2729" s="8" t="n">
        <x:f>DATE(YEAR(C2729),MONTH(C2729),1)</x:f>
        <x:v>45931</x:v>
      </x:c>
    </x:row>
    <x:row r="2730" ht="22" customHeight="1">
      <x:c r="A2730" s="2" t="str">
        <x:v>L002726</x:v>
      </x:c>
      <x:c r="B2730" s="2" t="str">
        <x:v>O01115</x:v>
      </x:c>
      <x:c r="C2730" s="7" t="n">
        <x:v>45725</x:v>
      </x:c>
      <x:c r="D2730" s="2" t="str">
        <x:v>Completed</x:v>
      </x:c>
      <x:c r="E2730" s="2" t="str">
        <x:v>North</x:v>
      </x:c>
      <x:c r="F2730" s="2" t="str">
        <x:v>Store</x:v>
      </x:c>
      <x:c r="G2730" s="2" t="str">
        <x:v>Furniture</x:v>
      </x:c>
      <x:c r="H2730" s="2" t="str">
        <x:v>Desk 020</x:v>
      </x:c>
      <x:c r="I2730" s="11" t="n">
        <x:v>1</x:v>
      </x:c>
      <x:c r="J2730" s="9" t="n">
        <x:v>189</x:v>
      </x:c>
      <x:c r="K2730" s="10" t="n">
        <x:v>0.2</x:v>
      </x:c>
      <x:c r="L2730" s="11" t="n">
        <x:v>0</x:v>
      </x:c>
      <x:c r="M2730" s="9" t="n">
        <x:f>IF(D2730="Completed",I2730*J2730,0)</x:f>
        <x:v>189</x:v>
      </x:c>
      <x:c r="N2730" s="9" t="n">
        <x:f>M2730*K2730</x:f>
        <x:v>37.800000000000004</x:v>
      </x:c>
      <x:c r="O2730" s="9" t="n">
        <x:f>M2730-N2730</x:f>
        <x:v>151.2</x:v>
      </x:c>
      <x:c r="P2730" s="9" t="n">
        <x:f>IF(D2730="Completed",L2730*J2730*(1-K2730),0)</x:f>
        <x:v>0</x:v>
      </x:c>
      <x:c r="Q2730" s="9" t="n">
        <x:f>O2730-P2730</x:f>
        <x:v>151.2</x:v>
      </x:c>
      <x:c r="R2730" s="11" t="n">
        <x:f>IF(D2730="Completed",I2730,0)</x:f>
        <x:v>1</x:v>
      </x:c>
      <x:c r="S2730" s="11" t="n">
        <x:f>IF(D2730="Completed",L2730,0)</x:f>
        <x:v>0</x:v>
      </x:c>
      <x:c r="T2730" s="8" t="n">
        <x:f>DATE(YEAR(C2730),MONTH(C2730),1)</x:f>
        <x:v>45717</x:v>
      </x:c>
    </x:row>
    <x:row r="2731" ht="22" customHeight="1">
      <x:c r="A2731" s="2" t="str">
        <x:v>L002727</x:v>
      </x:c>
      <x:c r="B2731" s="2" t="str">
        <x:v>O01115</x:v>
      </x:c>
      <x:c r="C2731" s="7" t="n">
        <x:v>45725</x:v>
      </x:c>
      <x:c r="D2731" s="2" t="str">
        <x:v>Completed</x:v>
      </x:c>
      <x:c r="E2731" s="2" t="str">
        <x:v>North</x:v>
      </x:c>
      <x:c r="F2731" s="2" t="str">
        <x:v>Store</x:v>
      </x:c>
      <x:c r="G2731" s="2" t="str">
        <x:v>Furniture</x:v>
      </x:c>
      <x:c r="H2731" s="2" t="str">
        <x:v>Desk 004</x:v>
      </x:c>
      <x:c r="I2731" s="11" t="n">
        <x:v>4</x:v>
      </x:c>
      <x:c r="J2731" s="9" t="n">
        <x:v>123</x:v>
      </x:c>
      <x:c r="K2731" s="10" t="n">
        <x:v>0.2</x:v>
      </x:c>
      <x:c r="L2731" s="11" t="n">
        <x:v>0</x:v>
      </x:c>
      <x:c r="M2731" s="9" t="n">
        <x:f>IF(D2731="Completed",I2731*J2731,0)</x:f>
        <x:v>492</x:v>
      </x:c>
      <x:c r="N2731" s="9" t="n">
        <x:f>M2731*K2731</x:f>
        <x:v>98.4</x:v>
      </x:c>
      <x:c r="O2731" s="9" t="n">
        <x:f>M2731-N2731</x:f>
        <x:v>393.6</x:v>
      </x:c>
      <x:c r="P2731" s="9" t="n">
        <x:f>IF(D2731="Completed",L2731*J2731*(1-K2731),0)</x:f>
        <x:v>0</x:v>
      </x:c>
      <x:c r="Q2731" s="9" t="n">
        <x:f>O2731-P2731</x:f>
        <x:v>393.6</x:v>
      </x:c>
      <x:c r="R2731" s="11" t="n">
        <x:f>IF(D2731="Completed",I2731,0)</x:f>
        <x:v>4</x:v>
      </x:c>
      <x:c r="S2731" s="11" t="n">
        <x:f>IF(D2731="Completed",L2731,0)</x:f>
        <x:v>0</x:v>
      </x:c>
      <x:c r="T2731" s="8" t="n">
        <x:f>DATE(YEAR(C2731),MONTH(C2731),1)</x:f>
        <x:v>45717</x:v>
      </x:c>
    </x:row>
    <x:row r="2732" ht="22" customHeight="1">
      <x:c r="A2732" s="2" t="str">
        <x:v>L002728</x:v>
      </x:c>
      <x:c r="B2732" s="2" t="str">
        <x:v>O01116</x:v>
      </x:c>
      <x:c r="C2732" s="7" t="n">
        <x:v>45913</x:v>
      </x:c>
      <x:c r="D2732" s="2" t="str">
        <x:v>Completed</x:v>
      </x:c>
      <x:c r="E2732" s="2" t="str">
        <x:v>South</x:v>
      </x:c>
      <x:c r="F2732" s="2" t="str">
        <x:v>Online</x:v>
      </x:c>
      <x:c r="G2732" s="2" t="str">
        <x:v>Storage</x:v>
      </x:c>
      <x:c r="H2732" s="2" t="str">
        <x:v>Shelf 019</x:v>
      </x:c>
      <x:c r="I2732" s="11" t="n">
        <x:v>5</x:v>
      </x:c>
      <x:c r="J2732" s="9" t="n">
        <x:v>78</x:v>
      </x:c>
      <x:c r="K2732" s="10" t="n">
        <x:v>0.1</x:v>
      </x:c>
      <x:c r="L2732" s="11" t="n">
        <x:v>0</x:v>
      </x:c>
      <x:c r="M2732" s="9" t="n">
        <x:f>IF(D2732="Completed",I2732*J2732,0)</x:f>
        <x:v>390</x:v>
      </x:c>
      <x:c r="N2732" s="9" t="n">
        <x:f>M2732*K2732</x:f>
        <x:v>39</x:v>
      </x:c>
      <x:c r="O2732" s="9" t="n">
        <x:f>M2732-N2732</x:f>
        <x:v>351</x:v>
      </x:c>
      <x:c r="P2732" s="9" t="n">
        <x:f>IF(D2732="Completed",L2732*J2732*(1-K2732),0)</x:f>
        <x:v>0</x:v>
      </x:c>
      <x:c r="Q2732" s="9" t="n">
        <x:f>O2732-P2732</x:f>
        <x:v>351</x:v>
      </x:c>
      <x:c r="R2732" s="11" t="n">
        <x:f>IF(D2732="Completed",I2732,0)</x:f>
        <x:v>5</x:v>
      </x:c>
      <x:c r="S2732" s="11" t="n">
        <x:f>IF(D2732="Completed",L2732,0)</x:f>
        <x:v>0</x:v>
      </x:c>
      <x:c r="T2732" s="8" t="n">
        <x:f>DATE(YEAR(C2732),MONTH(C2732),1)</x:f>
        <x:v>45901</x:v>
      </x:c>
    </x:row>
    <x:row r="2733" ht="22" customHeight="1">
      <x:c r="A2733" s="2" t="str">
        <x:v>L002729</x:v>
      </x:c>
      <x:c r="B2733" s="2" t="str">
        <x:v>O01117</x:v>
      </x:c>
      <x:c r="C2733" s="7" t="n">
        <x:v>45872</x:v>
      </x:c>
      <x:c r="D2733" s="2" t="str">
        <x:v>Completed</x:v>
      </x:c>
      <x:c r="E2733" s="2" t="str">
        <x:v>North</x:v>
      </x:c>
      <x:c r="F2733" s="2" t="str">
        <x:v>Store</x:v>
      </x:c>
      <x:c r="G2733" s="2" t="str">
        <x:v>Furniture</x:v>
      </x:c>
      <x:c r="H2733" s="2" t="str">
        <x:v>Desk 020</x:v>
      </x:c>
      <x:c r="I2733" s="11" t="n">
        <x:v>1</x:v>
      </x:c>
      <x:c r="J2733" s="9" t="n">
        <x:v>189</x:v>
      </x:c>
      <x:c r="K2733" s="10" t="n">
        <x:v>0.2</x:v>
      </x:c>
      <x:c r="L2733" s="11" t="n">
        <x:v>0</x:v>
      </x:c>
      <x:c r="M2733" s="9" t="n">
        <x:f>IF(D2733="Completed",I2733*J2733,0)</x:f>
        <x:v>189</x:v>
      </x:c>
      <x:c r="N2733" s="9" t="n">
        <x:f>M2733*K2733</x:f>
        <x:v>37.800000000000004</x:v>
      </x:c>
      <x:c r="O2733" s="9" t="n">
        <x:f>M2733-N2733</x:f>
        <x:v>151.2</x:v>
      </x:c>
      <x:c r="P2733" s="9" t="n">
        <x:f>IF(D2733="Completed",L2733*J2733*(1-K2733),0)</x:f>
        <x:v>0</x:v>
      </x:c>
      <x:c r="Q2733" s="9" t="n">
        <x:f>O2733-P2733</x:f>
        <x:v>151.2</x:v>
      </x:c>
      <x:c r="R2733" s="11" t="n">
        <x:f>IF(D2733="Completed",I2733,0)</x:f>
        <x:v>1</x:v>
      </x:c>
      <x:c r="S2733" s="11" t="n">
        <x:f>IF(D2733="Completed",L2733,0)</x:f>
        <x:v>0</x:v>
      </x:c>
      <x:c r="T2733" s="8" t="n">
        <x:f>DATE(YEAR(C2733),MONTH(C2733),1)</x:f>
        <x:v>45870</x:v>
      </x:c>
    </x:row>
    <x:row r="2734" ht="22" customHeight="1">
      <x:c r="A2734" s="2" t="str">
        <x:v>L002730</x:v>
      </x:c>
      <x:c r="B2734" s="2" t="str">
        <x:v>O01117</x:v>
      </x:c>
      <x:c r="C2734" s="7" t="n">
        <x:v>45872</x:v>
      </x:c>
      <x:c r="D2734" s="2" t="str">
        <x:v>Completed</x:v>
      </x:c>
      <x:c r="E2734" s="2" t="str">
        <x:v>North</x:v>
      </x:c>
      <x:c r="F2734" s="2" t="str">
        <x:v>Store</x:v>
      </x:c>
      <x:c r="G2734" s="2" t="str">
        <x:v>Furniture</x:v>
      </x:c>
      <x:c r="H2734" s="2" t="str">
        <x:v>Desk 020</x:v>
      </x:c>
      <x:c r="I2734" s="11" t="n">
        <x:v>1</x:v>
      </x:c>
      <x:c r="J2734" s="9" t="n">
        <x:v>189</x:v>
      </x:c>
      <x:c r="K2734" s="10" t="n">
        <x:v>0.1</x:v>
      </x:c>
      <x:c r="L2734" s="11" t="n">
        <x:v>0</x:v>
      </x:c>
      <x:c r="M2734" s="9" t="n">
        <x:f>IF(D2734="Completed",I2734*J2734,0)</x:f>
        <x:v>189</x:v>
      </x:c>
      <x:c r="N2734" s="9" t="n">
        <x:f>M2734*K2734</x:f>
        <x:v>18.900000000000002</x:v>
      </x:c>
      <x:c r="O2734" s="9" t="n">
        <x:f>M2734-N2734</x:f>
        <x:v>170.1</x:v>
      </x:c>
      <x:c r="P2734" s="9" t="n">
        <x:f>IF(D2734="Completed",L2734*J2734*(1-K2734),0)</x:f>
        <x:v>0</x:v>
      </x:c>
      <x:c r="Q2734" s="9" t="n">
        <x:f>O2734-P2734</x:f>
        <x:v>170.1</x:v>
      </x:c>
      <x:c r="R2734" s="11" t="n">
        <x:f>IF(D2734="Completed",I2734,0)</x:f>
        <x:v>1</x:v>
      </x:c>
      <x:c r="S2734" s="11" t="n">
        <x:f>IF(D2734="Completed",L2734,0)</x:f>
        <x:v>0</x:v>
      </x:c>
      <x:c r="T2734" s="8" t="n">
        <x:f>DATE(YEAR(C2734),MONTH(C2734),1)</x:f>
        <x:v>45870</x:v>
      </x:c>
    </x:row>
    <x:row r="2735" ht="22" customHeight="1">
      <x:c r="A2735" s="2" t="str">
        <x:v>L002731</x:v>
      </x:c>
      <x:c r="B2735" s="2" t="str">
        <x:v>O01117</x:v>
      </x:c>
      <x:c r="C2735" s="7" t="n">
        <x:v>45872</x:v>
      </x:c>
      <x:c r="D2735" s="2" t="str">
        <x:v>Completed</x:v>
      </x:c>
      <x:c r="E2735" s="2" t="str">
        <x:v>North</x:v>
      </x:c>
      <x:c r="F2735" s="2" t="str">
        <x:v>Store</x:v>
      </x:c>
      <x:c r="G2735" s="2" t="str">
        <x:v>Furniture</x:v>
      </x:c>
      <x:c r="H2735" s="2" t="str">
        <x:v>Chair 022</x:v>
      </x:c>
      <x:c r="I2735" s="11" t="n">
        <x:v>5</x:v>
      </x:c>
      <x:c r="J2735" s="9" t="n">
        <x:v>134</x:v>
      </x:c>
      <x:c r="K2735" s="10" t="n">
        <x:v>0.2</x:v>
      </x:c>
      <x:c r="L2735" s="11" t="n">
        <x:v>0</x:v>
      </x:c>
      <x:c r="M2735" s="9" t="n">
        <x:f>IF(D2735="Completed",I2735*J2735,0)</x:f>
        <x:v>670</x:v>
      </x:c>
      <x:c r="N2735" s="9" t="n">
        <x:f>M2735*K2735</x:f>
        <x:v>134</x:v>
      </x:c>
      <x:c r="O2735" s="9" t="n">
        <x:f>M2735-N2735</x:f>
        <x:v>536</x:v>
      </x:c>
      <x:c r="P2735" s="9" t="n">
        <x:f>IF(D2735="Completed",L2735*J2735*(1-K2735),0)</x:f>
        <x:v>0</x:v>
      </x:c>
      <x:c r="Q2735" s="9" t="n">
        <x:f>O2735-P2735</x:f>
        <x:v>536</x:v>
      </x:c>
      <x:c r="R2735" s="11" t="n">
        <x:f>IF(D2735="Completed",I2735,0)</x:f>
        <x:v>5</x:v>
      </x:c>
      <x:c r="S2735" s="11" t="n">
        <x:f>IF(D2735="Completed",L2735,0)</x:f>
        <x:v>0</x:v>
      </x:c>
      <x:c r="T2735" s="8" t="n">
        <x:f>DATE(YEAR(C2735),MONTH(C2735),1)</x:f>
        <x:v>45870</x:v>
      </x:c>
    </x:row>
    <x:row r="2736" ht="22" customHeight="1">
      <x:c r="A2736" s="2" t="str">
        <x:v>L002732</x:v>
      </x:c>
      <x:c r="B2736" s="2" t="str">
        <x:v>O01118</x:v>
      </x:c>
      <x:c r="C2736" s="7" t="n">
        <x:v>45871</x:v>
      </x:c>
      <x:c r="D2736" s="2" t="str">
        <x:v>Completed</x:v>
      </x:c>
      <x:c r="E2736" s="2" t="str">
        <x:v>East</x:v>
      </x:c>
      <x:c r="F2736" s="2" t="str">
        <x:v>Store</x:v>
      </x:c>
      <x:c r="G2736" s="2" t="str">
        <x:v>Storage</x:v>
      </x:c>
      <x:c r="H2736" s="2" t="str">
        <x:v>Shelf 003</x:v>
      </x:c>
      <x:c r="I2736" s="11" t="n">
        <x:v>3</x:v>
      </x:c>
      <x:c r="J2736" s="9" t="n">
        <x:v>199</x:v>
      </x:c>
      <x:c r="K2736" s="10" t="n">
        <x:v>0.1</x:v>
      </x:c>
      <x:c r="L2736" s="11" t="n">
        <x:v>0</x:v>
      </x:c>
      <x:c r="M2736" s="9" t="n">
        <x:f>IF(D2736="Completed",I2736*J2736,0)</x:f>
        <x:v>597</x:v>
      </x:c>
      <x:c r="N2736" s="9" t="n">
        <x:f>M2736*K2736</x:f>
        <x:v>59.7</x:v>
      </x:c>
      <x:c r="O2736" s="9" t="n">
        <x:f>M2736-N2736</x:f>
        <x:v>537.3</x:v>
      </x:c>
      <x:c r="P2736" s="9" t="n">
        <x:f>IF(D2736="Completed",L2736*J2736*(1-K2736),0)</x:f>
        <x:v>0</x:v>
      </x:c>
      <x:c r="Q2736" s="9" t="n">
        <x:f>O2736-P2736</x:f>
        <x:v>537.3</x:v>
      </x:c>
      <x:c r="R2736" s="11" t="n">
        <x:f>IF(D2736="Completed",I2736,0)</x:f>
        <x:v>3</x:v>
      </x:c>
      <x:c r="S2736" s="11" t="n">
        <x:f>IF(D2736="Completed",L2736,0)</x:f>
        <x:v>0</x:v>
      </x:c>
      <x:c r="T2736" s="8" t="n">
        <x:f>DATE(YEAR(C2736),MONTH(C2736),1)</x:f>
        <x:v>45870</x:v>
      </x:c>
    </x:row>
    <x:row r="2737" ht="22" customHeight="1">
      <x:c r="A2737" s="2" t="str">
        <x:v>L002733</x:v>
      </x:c>
      <x:c r="B2737" s="2" t="str">
        <x:v>O01118</x:v>
      </x:c>
      <x:c r="C2737" s="7" t="n">
        <x:v>45871</x:v>
      </x:c>
      <x:c r="D2737" s="2" t="str">
        <x:v>Completed</x:v>
      </x:c>
      <x:c r="E2737" s="2" t="str">
        <x:v>East</x:v>
      </x:c>
      <x:c r="F2737" s="2" t="str">
        <x:v>Store</x:v>
      </x:c>
      <x:c r="G2737" s="2" t="str">
        <x:v>Furniture</x:v>
      </x:c>
      <x:c r="H2737" s="2" t="str">
        <x:v>Desk 012</x:v>
      </x:c>
      <x:c r="I2737" s="11" t="n">
        <x:v>5</x:v>
      </x:c>
      <x:c r="J2737" s="9" t="n">
        <x:v>134</x:v>
      </x:c>
      <x:c r="K2737" s="10" t="n">
        <x:v>0</x:v>
      </x:c>
      <x:c r="L2737" s="11" t="n">
        <x:v>0</x:v>
      </x:c>
      <x:c r="M2737" s="9" t="n">
        <x:f>IF(D2737="Completed",I2737*J2737,0)</x:f>
        <x:v>670</x:v>
      </x:c>
      <x:c r="N2737" s="9" t="n">
        <x:f>M2737*K2737</x:f>
        <x:v>0</x:v>
      </x:c>
      <x:c r="O2737" s="9" t="n">
        <x:f>M2737-N2737</x:f>
        <x:v>670</x:v>
      </x:c>
      <x:c r="P2737" s="9" t="n">
        <x:f>IF(D2737="Completed",L2737*J2737*(1-K2737),0)</x:f>
        <x:v>0</x:v>
      </x:c>
      <x:c r="Q2737" s="9" t="n">
        <x:f>O2737-P2737</x:f>
        <x:v>670</x:v>
      </x:c>
      <x:c r="R2737" s="11" t="n">
        <x:f>IF(D2737="Completed",I2737,0)</x:f>
        <x:v>5</x:v>
      </x:c>
      <x:c r="S2737" s="11" t="n">
        <x:f>IF(D2737="Completed",L2737,0)</x:f>
        <x:v>0</x:v>
      </x:c>
      <x:c r="T2737" s="8" t="n">
        <x:f>DATE(YEAR(C2737),MONTH(C2737),1)</x:f>
        <x:v>45870</x:v>
      </x:c>
    </x:row>
    <x:row r="2738" ht="22" customHeight="1">
      <x:c r="A2738" s="2" t="str">
        <x:v>L002734</x:v>
      </x:c>
      <x:c r="B2738" s="2" t="str">
        <x:v>O01119</x:v>
      </x:c>
      <x:c r="C2738" s="7" t="n">
        <x:v>45669</x:v>
      </x:c>
      <x:c r="D2738" s="2" t="str">
        <x:v>Completed</x:v>
      </x:c>
      <x:c r="E2738" s="2" t="str">
        <x:v>North</x:v>
      </x:c>
      <x:c r="F2738" s="2" t="str">
        <x:v>Store</x:v>
      </x:c>
      <x:c r="G2738" s="2" t="str">
        <x:v>Lighting</x:v>
      </x:c>
      <x:c r="H2738" s="2" t="str">
        <x:v>Lamp 017</x:v>
      </x:c>
      <x:c r="I2738" s="11" t="n">
        <x:v>2</x:v>
      </x:c>
      <x:c r="J2738" s="9" t="n">
        <x:v>300</x:v>
      </x:c>
      <x:c r="K2738" s="10" t="n">
        <x:v>0.05</x:v>
      </x:c>
      <x:c r="L2738" s="11" t="n">
        <x:v>0</x:v>
      </x:c>
      <x:c r="M2738" s="9" t="n">
        <x:f>IF(D2738="Completed",I2738*J2738,0)</x:f>
        <x:v>600</x:v>
      </x:c>
      <x:c r="N2738" s="9" t="n">
        <x:f>M2738*K2738</x:f>
        <x:v>30</x:v>
      </x:c>
      <x:c r="O2738" s="9" t="n">
        <x:f>M2738-N2738</x:f>
        <x:v>570</x:v>
      </x:c>
      <x:c r="P2738" s="9" t="n">
        <x:f>IF(D2738="Completed",L2738*J2738*(1-K2738),0)</x:f>
        <x:v>0</x:v>
      </x:c>
      <x:c r="Q2738" s="9" t="n">
        <x:f>O2738-P2738</x:f>
        <x:v>570</x:v>
      </x:c>
      <x:c r="R2738" s="11" t="n">
        <x:f>IF(D2738="Completed",I2738,0)</x:f>
        <x:v>2</x:v>
      </x:c>
      <x:c r="S2738" s="11" t="n">
        <x:f>IF(D2738="Completed",L2738,0)</x:f>
        <x:v>0</x:v>
      </x:c>
      <x:c r="T2738" s="8" t="n">
        <x:f>DATE(YEAR(C2738),MONTH(C2738),1)</x:f>
        <x:v>45658</x:v>
      </x:c>
    </x:row>
    <x:row r="2739" ht="22" customHeight="1">
      <x:c r="A2739" s="2" t="str">
        <x:v>L002735</x:v>
      </x:c>
      <x:c r="B2739" s="2" t="str">
        <x:v>O01119</x:v>
      </x:c>
      <x:c r="C2739" s="7" t="n">
        <x:v>45669</x:v>
      </x:c>
      <x:c r="D2739" s="2" t="str">
        <x:v>Completed</x:v>
      </x:c>
      <x:c r="E2739" s="2" t="str">
        <x:v>North</x:v>
      </x:c>
      <x:c r="F2739" s="2" t="str">
        <x:v>Store</x:v>
      </x:c>
      <x:c r="G2739" s="2" t="str">
        <x:v>Lighting</x:v>
      </x:c>
      <x:c r="H2739" s="2" t="str">
        <x:v>Lamp 013</x:v>
      </x:c>
      <x:c r="I2739" s="11" t="n">
        <x:v>3</x:v>
      </x:c>
      <x:c r="J2739" s="9" t="n">
        <x:v>271</x:v>
      </x:c>
      <x:c r="K2739" s="10" t="n">
        <x:v>0.05</x:v>
      </x:c>
      <x:c r="L2739" s="11" t="n">
        <x:v>0</x:v>
      </x:c>
      <x:c r="M2739" s="9" t="n">
        <x:f>IF(D2739="Completed",I2739*J2739,0)</x:f>
        <x:v>813</x:v>
      </x:c>
      <x:c r="N2739" s="9" t="n">
        <x:f>M2739*K2739</x:f>
        <x:v>40.650000000000006</x:v>
      </x:c>
      <x:c r="O2739" s="9" t="n">
        <x:f>M2739-N2739</x:f>
        <x:v>772.35</x:v>
      </x:c>
      <x:c r="P2739" s="9" t="n">
        <x:f>IF(D2739="Completed",L2739*J2739*(1-K2739),0)</x:f>
        <x:v>0</x:v>
      </x:c>
      <x:c r="Q2739" s="9" t="n">
        <x:f>O2739-P2739</x:f>
        <x:v>772.35</x:v>
      </x:c>
      <x:c r="R2739" s="11" t="n">
        <x:f>IF(D2739="Completed",I2739,0)</x:f>
        <x:v>3</x:v>
      </x:c>
      <x:c r="S2739" s="11" t="n">
        <x:f>IF(D2739="Completed",L2739,0)</x:f>
        <x:v>0</x:v>
      </x:c>
      <x:c r="T2739" s="8" t="n">
        <x:f>DATE(YEAR(C2739),MONTH(C2739),1)</x:f>
        <x:v>45658</x:v>
      </x:c>
    </x:row>
    <x:row r="2740" ht="22" customHeight="1">
      <x:c r="A2740" s="2" t="str">
        <x:v>L002736</x:v>
      </x:c>
      <x:c r="B2740" s="2" t="str">
        <x:v>O01119</x:v>
      </x:c>
      <x:c r="C2740" s="7" t="n">
        <x:v>45669</x:v>
      </x:c>
      <x:c r="D2740" s="2" t="str">
        <x:v>Completed</x:v>
      </x:c>
      <x:c r="E2740" s="2" t="str">
        <x:v>North</x:v>
      </x:c>
      <x:c r="F2740" s="2" t="str">
        <x:v>Store</x:v>
      </x:c>
      <x:c r="G2740" s="2" t="str">
        <x:v>Furniture</x:v>
      </x:c>
      <x:c r="H2740" s="2" t="str">
        <x:v>Desk 012</x:v>
      </x:c>
      <x:c r="I2740" s="11" t="n">
        <x:v>5</x:v>
      </x:c>
      <x:c r="J2740" s="9" t="n">
        <x:v>134</x:v>
      </x:c>
      <x:c r="K2740" s="10" t="n">
        <x:v>0.2</x:v>
      </x:c>
      <x:c r="L2740" s="11" t="n">
        <x:v>0</x:v>
      </x:c>
      <x:c r="M2740" s="9" t="n">
        <x:f>IF(D2740="Completed",I2740*J2740,0)</x:f>
        <x:v>670</x:v>
      </x:c>
      <x:c r="N2740" s="9" t="n">
        <x:f>M2740*K2740</x:f>
        <x:v>134</x:v>
      </x:c>
      <x:c r="O2740" s="9" t="n">
        <x:f>M2740-N2740</x:f>
        <x:v>536</x:v>
      </x:c>
      <x:c r="P2740" s="9" t="n">
        <x:f>IF(D2740="Completed",L2740*J2740*(1-K2740),0)</x:f>
        <x:v>0</x:v>
      </x:c>
      <x:c r="Q2740" s="9" t="n">
        <x:f>O2740-P2740</x:f>
        <x:v>536</x:v>
      </x:c>
      <x:c r="R2740" s="11" t="n">
        <x:f>IF(D2740="Completed",I2740,0)</x:f>
        <x:v>5</x:v>
      </x:c>
      <x:c r="S2740" s="11" t="n">
        <x:f>IF(D2740="Completed",L2740,0)</x:f>
        <x:v>0</x:v>
      </x:c>
      <x:c r="T2740" s="8" t="n">
        <x:f>DATE(YEAR(C2740),MONTH(C2740),1)</x:f>
        <x:v>45658</x:v>
      </x:c>
    </x:row>
    <x:row r="2741" ht="22" customHeight="1">
      <x:c r="A2741" s="2" t="str">
        <x:v>L002737</x:v>
      </x:c>
      <x:c r="B2741" s="2" t="str">
        <x:v>O01120</x:v>
      </x:c>
      <x:c r="C2741" s="7" t="n">
        <x:v>45923</x:v>
      </x:c>
      <x:c r="D2741" s="2" t="str">
        <x:v>Completed</x:v>
      </x:c>
      <x:c r="E2741" s="2" t="str">
        <x:v>South</x:v>
      </x:c>
      <x:c r="F2741" s="2" t="str">
        <x:v>Online</x:v>
      </x:c>
      <x:c r="G2741" s="2" t="str">
        <x:v>Lighting</x:v>
      </x:c>
      <x:c r="H2741" s="2" t="str">
        <x:v>Lamp 013</x:v>
      </x:c>
      <x:c r="I2741" s="11" t="n">
        <x:v>5</x:v>
      </x:c>
      <x:c r="J2741" s="9" t="n">
        <x:v>271</x:v>
      </x:c>
      <x:c r="K2741" s="10" t="n">
        <x:v>0.2</x:v>
      </x:c>
      <x:c r="L2741" s="11" t="n">
        <x:v>0</x:v>
      </x:c>
      <x:c r="M2741" s="9" t="n">
        <x:f>IF(D2741="Completed",I2741*J2741,0)</x:f>
        <x:v>1355</x:v>
      </x:c>
      <x:c r="N2741" s="9" t="n">
        <x:f>M2741*K2741</x:f>
        <x:v>271</x:v>
      </x:c>
      <x:c r="O2741" s="9" t="n">
        <x:f>M2741-N2741</x:f>
        <x:v>1084</x:v>
      </x:c>
      <x:c r="P2741" s="9" t="n">
        <x:f>IF(D2741="Completed",L2741*J2741*(1-K2741),0)</x:f>
        <x:v>0</x:v>
      </x:c>
      <x:c r="Q2741" s="9" t="n">
        <x:f>O2741-P2741</x:f>
        <x:v>1084</x:v>
      </x:c>
      <x:c r="R2741" s="11" t="n">
        <x:f>IF(D2741="Completed",I2741,0)</x:f>
        <x:v>5</x:v>
      </x:c>
      <x:c r="S2741" s="11" t="n">
        <x:f>IF(D2741="Completed",L2741,0)</x:f>
        <x:v>0</x:v>
      </x:c>
      <x:c r="T2741" s="8" t="n">
        <x:f>DATE(YEAR(C2741),MONTH(C2741),1)</x:f>
        <x:v>45901</x:v>
      </x:c>
    </x:row>
    <x:row r="2742" ht="22" customHeight="1">
      <x:c r="A2742" s="2" t="str">
        <x:v>L002738</x:v>
      </x:c>
      <x:c r="B2742" s="2" t="str">
        <x:v>O01120</x:v>
      </x:c>
      <x:c r="C2742" s="7" t="n">
        <x:v>45923</x:v>
      </x:c>
      <x:c r="D2742" s="2" t="str">
        <x:v>Completed</x:v>
      </x:c>
      <x:c r="E2742" s="2" t="str">
        <x:v>South</x:v>
      </x:c>
      <x:c r="F2742" s="2" t="str">
        <x:v>Online</x:v>
      </x:c>
      <x:c r="G2742" s="2" t="str">
        <x:v>Lighting</x:v>
      </x:c>
      <x:c r="H2742" s="2" t="str">
        <x:v>Lamp 013</x:v>
      </x:c>
      <x:c r="I2742" s="11" t="n">
        <x:v>4</x:v>
      </x:c>
      <x:c r="J2742" s="9" t="n">
        <x:v>271</x:v>
      </x:c>
      <x:c r="K2742" s="10" t="n">
        <x:v>0.2</x:v>
      </x:c>
      <x:c r="L2742" s="11" t="n">
        <x:v>0</x:v>
      </x:c>
      <x:c r="M2742" s="9" t="n">
        <x:f>IF(D2742="Completed",I2742*J2742,0)</x:f>
        <x:v>1084</x:v>
      </x:c>
      <x:c r="N2742" s="9" t="n">
        <x:f>M2742*K2742</x:f>
        <x:v>216.8</x:v>
      </x:c>
      <x:c r="O2742" s="9" t="n">
        <x:f>M2742-N2742</x:f>
        <x:v>867.2</x:v>
      </x:c>
      <x:c r="P2742" s="9" t="n">
        <x:f>IF(D2742="Completed",L2742*J2742*(1-K2742),0)</x:f>
        <x:v>0</x:v>
      </x:c>
      <x:c r="Q2742" s="9" t="n">
        <x:f>O2742-P2742</x:f>
        <x:v>867.2</x:v>
      </x:c>
      <x:c r="R2742" s="11" t="n">
        <x:f>IF(D2742="Completed",I2742,0)</x:f>
        <x:v>4</x:v>
      </x:c>
      <x:c r="S2742" s="11" t="n">
        <x:f>IF(D2742="Completed",L2742,0)</x:f>
        <x:v>0</x:v>
      </x:c>
      <x:c r="T2742" s="8" t="n">
        <x:f>DATE(YEAR(C2742),MONTH(C2742),1)</x:f>
        <x:v>45901</x:v>
      </x:c>
    </x:row>
    <x:row r="2743" ht="22" customHeight="1">
      <x:c r="A2743" s="2" t="str">
        <x:v>L002739</x:v>
      </x:c>
      <x:c r="B2743" s="2" t="str">
        <x:v>O01121</x:v>
      </x:c>
      <x:c r="C2743" s="7" t="n">
        <x:v>45758</x:v>
      </x:c>
      <x:c r="D2743" s="2" t="str">
        <x:v>Completed</x:v>
      </x:c>
      <x:c r="E2743" s="2" t="str">
        <x:v>West</x:v>
      </x:c>
      <x:c r="F2743" s="2" t="str">
        <x:v>Online</x:v>
      </x:c>
      <x:c r="G2743" s="2" t="str">
        <x:v>Furniture</x:v>
      </x:c>
      <x:c r="H2743" s="2" t="str">
        <x:v>Desk 016</x:v>
      </x:c>
      <x:c r="I2743" s="11" t="n">
        <x:v>4</x:v>
      </x:c>
      <x:c r="J2743" s="9" t="n">
        <x:v>231</x:v>
      </x:c>
      <x:c r="K2743" s="10" t="n">
        <x:v>0.05</x:v>
      </x:c>
      <x:c r="L2743" s="11" t="n">
        <x:v>0</x:v>
      </x:c>
      <x:c r="M2743" s="9" t="n">
        <x:f>IF(D2743="Completed",I2743*J2743,0)</x:f>
        <x:v>924</x:v>
      </x:c>
      <x:c r="N2743" s="9" t="n">
        <x:f>M2743*K2743</x:f>
        <x:v>46.2</x:v>
      </x:c>
      <x:c r="O2743" s="9" t="n">
        <x:f>M2743-N2743</x:f>
        <x:v>877.8</x:v>
      </x:c>
      <x:c r="P2743" s="9" t="n">
        <x:f>IF(D2743="Completed",L2743*J2743*(1-K2743),0)</x:f>
        <x:v>0</x:v>
      </x:c>
      <x:c r="Q2743" s="9" t="n">
        <x:f>O2743-P2743</x:f>
        <x:v>877.8</x:v>
      </x:c>
      <x:c r="R2743" s="11" t="n">
        <x:f>IF(D2743="Completed",I2743,0)</x:f>
        <x:v>4</x:v>
      </x:c>
      <x:c r="S2743" s="11" t="n">
        <x:f>IF(D2743="Completed",L2743,0)</x:f>
        <x:v>0</x:v>
      </x:c>
      <x:c r="T2743" s="8" t="n">
        <x:f>DATE(YEAR(C2743),MONTH(C2743),1)</x:f>
        <x:v>45748</x:v>
      </x:c>
    </x:row>
    <x:row r="2744" ht="22" customHeight="1">
      <x:c r="A2744" s="2" t="str">
        <x:v>L002740</x:v>
      </x:c>
      <x:c r="B2744" s="2" t="str">
        <x:v>O01121</x:v>
      </x:c>
      <x:c r="C2744" s="7" t="n">
        <x:v>45758</x:v>
      </x:c>
      <x:c r="D2744" s="2" t="str">
        <x:v>Completed</x:v>
      </x:c>
      <x:c r="E2744" s="2" t="str">
        <x:v>West</x:v>
      </x:c>
      <x:c r="F2744" s="2" t="str">
        <x:v>Online</x:v>
      </x:c>
      <x:c r="G2744" s="2" t="str">
        <x:v>Storage</x:v>
      </x:c>
      <x:c r="H2744" s="2" t="str">
        <x:v>Shelf 019</x:v>
      </x:c>
      <x:c r="I2744" s="11" t="n">
        <x:v>1</x:v>
      </x:c>
      <x:c r="J2744" s="9" t="n">
        <x:v>78</x:v>
      </x:c>
      <x:c r="K2744" s="10" t="n">
        <x:v>0.05</x:v>
      </x:c>
      <x:c r="L2744" s="11" t="n">
        <x:v>0</x:v>
      </x:c>
      <x:c r="M2744" s="9" t="n">
        <x:f>IF(D2744="Completed",I2744*J2744,0)</x:f>
        <x:v>78</x:v>
      </x:c>
      <x:c r="N2744" s="9" t="n">
        <x:f>M2744*K2744</x:f>
        <x:v>3.9000000000000004</x:v>
      </x:c>
      <x:c r="O2744" s="9" t="n">
        <x:f>M2744-N2744</x:f>
        <x:v>74.1</x:v>
      </x:c>
      <x:c r="P2744" s="9" t="n">
        <x:f>IF(D2744="Completed",L2744*J2744*(1-K2744),0)</x:f>
        <x:v>0</x:v>
      </x:c>
      <x:c r="Q2744" s="9" t="n">
        <x:f>O2744-P2744</x:f>
        <x:v>74.1</x:v>
      </x:c>
      <x:c r="R2744" s="11" t="n">
        <x:f>IF(D2744="Completed",I2744,0)</x:f>
        <x:v>1</x:v>
      </x:c>
      <x:c r="S2744" s="11" t="n">
        <x:f>IF(D2744="Completed",L2744,0)</x:f>
        <x:v>0</x:v>
      </x:c>
      <x:c r="T2744" s="8" t="n">
        <x:f>DATE(YEAR(C2744),MONTH(C2744),1)</x:f>
        <x:v>45748</x:v>
      </x:c>
    </x:row>
    <x:row r="2745" ht="22" customHeight="1">
      <x:c r="A2745" s="2" t="str">
        <x:v>L002741</x:v>
      </x:c>
      <x:c r="B2745" s="2" t="str">
        <x:v>O01121</x:v>
      </x:c>
      <x:c r="C2745" s="7" t="n">
        <x:v>45758</x:v>
      </x:c>
      <x:c r="D2745" s="2" t="str">
        <x:v>Completed</x:v>
      </x:c>
      <x:c r="E2745" s="2" t="str">
        <x:v>West</x:v>
      </x:c>
      <x:c r="F2745" s="2" t="str">
        <x:v>Online</x:v>
      </x:c>
      <x:c r="G2745" s="2" t="str">
        <x:v>Furniture</x:v>
      </x:c>
      <x:c r="H2745" s="2" t="str">
        <x:v>Desk 020</x:v>
      </x:c>
      <x:c r="I2745" s="11" t="n">
        <x:v>3</x:v>
      </x:c>
      <x:c r="J2745" s="9" t="n">
        <x:v>189</x:v>
      </x:c>
      <x:c r="K2745" s="10" t="n">
        <x:v>0.1</x:v>
      </x:c>
      <x:c r="L2745" s="11" t="n">
        <x:v>1</x:v>
      </x:c>
      <x:c r="M2745" s="9" t="n">
        <x:f>IF(D2745="Completed",I2745*J2745,0)</x:f>
        <x:v>567</x:v>
      </x:c>
      <x:c r="N2745" s="9" t="n">
        <x:f>M2745*K2745</x:f>
        <x:v>56.7</x:v>
      </x:c>
      <x:c r="O2745" s="9" t="n">
        <x:f>M2745-N2745</x:f>
        <x:v>510.3</x:v>
      </x:c>
      <x:c r="P2745" s="9" t="n">
        <x:f>IF(D2745="Completed",L2745*J2745*(1-K2745),0)</x:f>
        <x:v>170.1</x:v>
      </x:c>
      <x:c r="Q2745" s="9" t="n">
        <x:f>O2745-P2745</x:f>
        <x:v>340.20000000000005</x:v>
      </x:c>
      <x:c r="R2745" s="11" t="n">
        <x:f>IF(D2745="Completed",I2745,0)</x:f>
        <x:v>3</x:v>
      </x:c>
      <x:c r="S2745" s="11" t="n">
        <x:f>IF(D2745="Completed",L2745,0)</x:f>
        <x:v>1</x:v>
      </x:c>
      <x:c r="T2745" s="8" t="n">
        <x:f>DATE(YEAR(C2745),MONTH(C2745),1)</x:f>
        <x:v>45748</x:v>
      </x:c>
    </x:row>
    <x:row r="2746" ht="22" customHeight="1">
      <x:c r="A2746" s="2" t="str">
        <x:v>L002742</x:v>
      </x:c>
      <x:c r="B2746" s="2" t="str">
        <x:v>O01122</x:v>
      </x:c>
      <x:c r="C2746" s="7" t="n">
        <x:v>45790</x:v>
      </x:c>
      <x:c r="D2746" s="2" t="str">
        <x:v>Completed</x:v>
      </x:c>
      <x:c r="E2746" s="2" t="str">
        <x:v>South</x:v>
      </x:c>
      <x:c r="F2746" s="2" t="str">
        <x:v>Store</x:v>
      </x:c>
      <x:c r="G2746" s="2" t="str">
        <x:v>Furniture</x:v>
      </x:c>
      <x:c r="H2746" s="2" t="str">
        <x:v>Chair 014</x:v>
      </x:c>
      <x:c r="I2746" s="11" t="n">
        <x:v>4</x:v>
      </x:c>
      <x:c r="J2746" s="9" t="n">
        <x:v>294</x:v>
      </x:c>
      <x:c r="K2746" s="10" t="n">
        <x:v>0.05</x:v>
      </x:c>
      <x:c r="L2746" s="11" t="n">
        <x:v>0</x:v>
      </x:c>
      <x:c r="M2746" s="9" t="n">
        <x:f>IF(D2746="Completed",I2746*J2746,0)</x:f>
        <x:v>1176</x:v>
      </x:c>
      <x:c r="N2746" s="9" t="n">
        <x:f>M2746*K2746</x:f>
        <x:v>58.800000000000004</x:v>
      </x:c>
      <x:c r="O2746" s="9" t="n">
        <x:f>M2746-N2746</x:f>
        <x:v>1117.2</x:v>
      </x:c>
      <x:c r="P2746" s="9" t="n">
        <x:f>IF(D2746="Completed",L2746*J2746*(1-K2746),0)</x:f>
        <x:v>0</x:v>
      </x:c>
      <x:c r="Q2746" s="9" t="n">
        <x:f>O2746-P2746</x:f>
        <x:v>1117.2</x:v>
      </x:c>
      <x:c r="R2746" s="11" t="n">
        <x:f>IF(D2746="Completed",I2746,0)</x:f>
        <x:v>4</x:v>
      </x:c>
      <x:c r="S2746" s="11" t="n">
        <x:f>IF(D2746="Completed",L2746,0)</x:f>
        <x:v>0</x:v>
      </x:c>
      <x:c r="T2746" s="8" t="n">
        <x:f>DATE(YEAR(C2746),MONTH(C2746),1)</x:f>
        <x:v>45778</x:v>
      </x:c>
    </x:row>
    <x:row r="2747" ht="22" customHeight="1">
      <x:c r="A2747" s="2" t="str">
        <x:v>L002743</x:v>
      </x:c>
      <x:c r="B2747" s="2" t="str">
        <x:v>O01122</x:v>
      </x:c>
      <x:c r="C2747" s="7" t="n">
        <x:v>45790</x:v>
      </x:c>
      <x:c r="D2747" s="2" t="str">
        <x:v>Completed</x:v>
      </x:c>
      <x:c r="E2747" s="2" t="str">
        <x:v>South</x:v>
      </x:c>
      <x:c r="F2747" s="2" t="str">
        <x:v>Store</x:v>
      </x:c>
      <x:c r="G2747" s="2" t="str">
        <x:v>Furniture</x:v>
      </x:c>
      <x:c r="H2747" s="2" t="str">
        <x:v>Chair 022</x:v>
      </x:c>
      <x:c r="I2747" s="11" t="n">
        <x:v>5</x:v>
      </x:c>
      <x:c r="J2747" s="9" t="n">
        <x:v>134</x:v>
      </x:c>
      <x:c r="K2747" s="10" t="n">
        <x:v>0</x:v>
      </x:c>
      <x:c r="L2747" s="11" t="n">
        <x:v>0</x:v>
      </x:c>
      <x:c r="M2747" s="9" t="n">
        <x:f>IF(D2747="Completed",I2747*J2747,0)</x:f>
        <x:v>670</x:v>
      </x:c>
      <x:c r="N2747" s="9" t="n">
        <x:f>M2747*K2747</x:f>
        <x:v>0</x:v>
      </x:c>
      <x:c r="O2747" s="9" t="n">
        <x:f>M2747-N2747</x:f>
        <x:v>670</x:v>
      </x:c>
      <x:c r="P2747" s="9" t="n">
        <x:f>IF(D2747="Completed",L2747*J2747*(1-K2747),0)</x:f>
        <x:v>0</x:v>
      </x:c>
      <x:c r="Q2747" s="9" t="n">
        <x:f>O2747-P2747</x:f>
        <x:v>670</x:v>
      </x:c>
      <x:c r="R2747" s="11" t="n">
        <x:f>IF(D2747="Completed",I2747,0)</x:f>
        <x:v>5</x:v>
      </x:c>
      <x:c r="S2747" s="11" t="n">
        <x:f>IF(D2747="Completed",L2747,0)</x:f>
        <x:v>0</x:v>
      </x:c>
      <x:c r="T2747" s="8" t="n">
        <x:f>DATE(YEAR(C2747),MONTH(C2747),1)</x:f>
        <x:v>45778</x:v>
      </x:c>
    </x:row>
    <x:row r="2748" ht="22" customHeight="1">
      <x:c r="A2748" s="2" t="str">
        <x:v>L002744</x:v>
      </x:c>
      <x:c r="B2748" s="2" t="str">
        <x:v>O01122</x:v>
      </x:c>
      <x:c r="C2748" s="7" t="n">
        <x:v>45790</x:v>
      </x:c>
      <x:c r="D2748" s="2" t="str">
        <x:v>Completed</x:v>
      </x:c>
      <x:c r="E2748" s="2" t="str">
        <x:v>South</x:v>
      </x:c>
      <x:c r="F2748" s="2" t="str">
        <x:v>Store</x:v>
      </x:c>
      <x:c r="G2748" s="2" t="str">
        <x:v>Storage</x:v>
      </x:c>
      <x:c r="H2748" s="2" t="str">
        <x:v>Shelf 023</x:v>
      </x:c>
      <x:c r="I2748" s="11" t="n">
        <x:v>2</x:v>
      </x:c>
      <x:c r="J2748" s="9" t="n">
        <x:v>68</x:v>
      </x:c>
      <x:c r="K2748" s="10" t="n">
        <x:v>0.05</x:v>
      </x:c>
      <x:c r="L2748" s="11" t="n">
        <x:v>0</x:v>
      </x:c>
      <x:c r="M2748" s="9" t="n">
        <x:f>IF(D2748="Completed",I2748*J2748,0)</x:f>
        <x:v>136</x:v>
      </x:c>
      <x:c r="N2748" s="9" t="n">
        <x:f>M2748*K2748</x:f>
        <x:v>6.800000000000001</x:v>
      </x:c>
      <x:c r="O2748" s="9" t="n">
        <x:f>M2748-N2748</x:f>
        <x:v>129.2</x:v>
      </x:c>
      <x:c r="P2748" s="9" t="n">
        <x:f>IF(D2748="Completed",L2748*J2748*(1-K2748),0)</x:f>
        <x:v>0</x:v>
      </x:c>
      <x:c r="Q2748" s="9" t="n">
        <x:f>O2748-P2748</x:f>
        <x:v>129.2</x:v>
      </x:c>
      <x:c r="R2748" s="11" t="n">
        <x:f>IF(D2748="Completed",I2748,0)</x:f>
        <x:v>2</x:v>
      </x:c>
      <x:c r="S2748" s="11" t="n">
        <x:f>IF(D2748="Completed",L2748,0)</x:f>
        <x:v>0</x:v>
      </x:c>
      <x:c r="T2748" s="8" t="n">
        <x:f>DATE(YEAR(C2748),MONTH(C2748),1)</x:f>
        <x:v>45778</x:v>
      </x:c>
    </x:row>
    <x:row r="2749" ht="22" customHeight="1">
      <x:c r="A2749" s="2" t="str">
        <x:v>L002745</x:v>
      </x:c>
      <x:c r="B2749" s="2" t="str">
        <x:v>O01123</x:v>
      </x:c>
      <x:c r="C2749" s="7" t="n">
        <x:v>45777</x:v>
      </x:c>
      <x:c r="D2749" s="2" t="str">
        <x:v>Completed</x:v>
      </x:c>
      <x:c r="E2749" s="2" t="str">
        <x:v>West</x:v>
      </x:c>
      <x:c r="F2749" s="2" t="str">
        <x:v>Store</x:v>
      </x:c>
      <x:c r="G2749" s="2" t="str">
        <x:v>Storage</x:v>
      </x:c>
      <x:c r="H2749" s="2" t="str">
        <x:v>Shelf 015</x:v>
      </x:c>
      <x:c r="I2749" s="11" t="n">
        <x:v>4</x:v>
      </x:c>
      <x:c r="J2749" s="9" t="n">
        <x:v>254</x:v>
      </x:c>
      <x:c r="K2749" s="10" t="n">
        <x:v>0.05</x:v>
      </x:c>
      <x:c r="L2749" s="11" t="n">
        <x:v>2</x:v>
      </x:c>
      <x:c r="M2749" s="9" t="n">
        <x:f>IF(D2749="Completed",I2749*J2749,0)</x:f>
        <x:v>1016</x:v>
      </x:c>
      <x:c r="N2749" s="9" t="n">
        <x:f>M2749*K2749</x:f>
        <x:v>50.800000000000004</x:v>
      </x:c>
      <x:c r="O2749" s="9" t="n">
        <x:f>M2749-N2749</x:f>
        <x:v>965.2</x:v>
      </x:c>
      <x:c r="P2749" s="9" t="n">
        <x:f>IF(D2749="Completed",L2749*J2749*(1-K2749),0)</x:f>
        <x:v>482.59999999999997</x:v>
      </x:c>
      <x:c r="Q2749" s="9" t="n">
        <x:f>O2749-P2749</x:f>
        <x:v>482.6000000000001</x:v>
      </x:c>
      <x:c r="R2749" s="11" t="n">
        <x:f>IF(D2749="Completed",I2749,0)</x:f>
        <x:v>4</x:v>
      </x:c>
      <x:c r="S2749" s="11" t="n">
        <x:f>IF(D2749="Completed",L2749,0)</x:f>
        <x:v>2</x:v>
      </x:c>
      <x:c r="T2749" s="8" t="n">
        <x:f>DATE(YEAR(C2749),MONTH(C2749),1)</x:f>
        <x:v>45748</x:v>
      </x:c>
    </x:row>
    <x:row r="2750" ht="22" customHeight="1">
      <x:c r="A2750" s="2" t="str">
        <x:v>L002746</x:v>
      </x:c>
      <x:c r="B2750" s="2" t="str">
        <x:v>O01123</x:v>
      </x:c>
      <x:c r="C2750" s="7" t="n">
        <x:v>45777</x:v>
      </x:c>
      <x:c r="D2750" s="2" t="str">
        <x:v>Completed</x:v>
      </x:c>
      <x:c r="E2750" s="2" t="str">
        <x:v>West</x:v>
      </x:c>
      <x:c r="F2750" s="2" t="str">
        <x:v>Store</x:v>
      </x:c>
      <x:c r="G2750" s="2" t="str">
        <x:v>Storage</x:v>
      </x:c>
      <x:c r="H2750" s="2" t="str">
        <x:v>Shelf 011</x:v>
      </x:c>
      <x:c r="I2750" s="11" t="n">
        <x:v>1</x:v>
      </x:c>
      <x:c r="J2750" s="9" t="n">
        <x:v>80</x:v>
      </x:c>
      <x:c r="K2750" s="10" t="n">
        <x:v>0.05</x:v>
      </x:c>
      <x:c r="L2750" s="11" t="n">
        <x:v>0</x:v>
      </x:c>
      <x:c r="M2750" s="9" t="n">
        <x:f>IF(D2750="Completed",I2750*J2750,0)</x:f>
        <x:v>80</x:v>
      </x:c>
      <x:c r="N2750" s="9" t="n">
        <x:f>M2750*K2750</x:f>
        <x:v>4</x:v>
      </x:c>
      <x:c r="O2750" s="9" t="n">
        <x:f>M2750-N2750</x:f>
        <x:v>76</x:v>
      </x:c>
      <x:c r="P2750" s="9" t="n">
        <x:f>IF(D2750="Completed",L2750*J2750*(1-K2750),0)</x:f>
        <x:v>0</x:v>
      </x:c>
      <x:c r="Q2750" s="9" t="n">
        <x:f>O2750-P2750</x:f>
        <x:v>76</x:v>
      </x:c>
      <x:c r="R2750" s="11" t="n">
        <x:f>IF(D2750="Completed",I2750,0)</x:f>
        <x:v>1</x:v>
      </x:c>
      <x:c r="S2750" s="11" t="n">
        <x:f>IF(D2750="Completed",L2750,0)</x:f>
        <x:v>0</x:v>
      </x:c>
      <x:c r="T2750" s="8" t="n">
        <x:f>DATE(YEAR(C2750),MONTH(C2750),1)</x:f>
        <x:v>45748</x:v>
      </x:c>
    </x:row>
    <x:row r="2751" ht="22" customHeight="1">
      <x:c r="A2751" s="2" t="str">
        <x:v>L002747</x:v>
      </x:c>
      <x:c r="B2751" s="2" t="str">
        <x:v>O01124</x:v>
      </x:c>
      <x:c r="C2751" s="7" t="n">
        <x:v>45945</x:v>
      </x:c>
      <x:c r="D2751" s="2" t="str">
        <x:v>Completed</x:v>
      </x:c>
      <x:c r="E2751" s="2" t="str">
        <x:v>East</x:v>
      </x:c>
      <x:c r="F2751" s="2" t="str">
        <x:v>Store</x:v>
      </x:c>
      <x:c r="G2751" s="2" t="str">
        <x:v>Lighting</x:v>
      </x:c>
      <x:c r="H2751" s="2" t="str">
        <x:v>Lamp 021</x:v>
      </x:c>
      <x:c r="I2751" s="11" t="n">
        <x:v>3</x:v>
      </x:c>
      <x:c r="J2751" s="9" t="n">
        <x:v>249</x:v>
      </x:c>
      <x:c r="K2751" s="10" t="n">
        <x:v>0.2</x:v>
      </x:c>
      <x:c r="L2751" s="11" t="n">
        <x:v>0</x:v>
      </x:c>
      <x:c r="M2751" s="9" t="n">
        <x:f>IF(D2751="Completed",I2751*J2751,0)</x:f>
        <x:v>747</x:v>
      </x:c>
      <x:c r="N2751" s="9" t="n">
        <x:f>M2751*K2751</x:f>
        <x:v>149.4</x:v>
      </x:c>
      <x:c r="O2751" s="9" t="n">
        <x:f>M2751-N2751</x:f>
        <x:v>597.6</x:v>
      </x:c>
      <x:c r="P2751" s="9" t="n">
        <x:f>IF(D2751="Completed",L2751*J2751*(1-K2751),0)</x:f>
        <x:v>0</x:v>
      </x:c>
      <x:c r="Q2751" s="9" t="n">
        <x:f>O2751-P2751</x:f>
        <x:v>597.6</x:v>
      </x:c>
      <x:c r="R2751" s="11" t="n">
        <x:f>IF(D2751="Completed",I2751,0)</x:f>
        <x:v>3</x:v>
      </x:c>
      <x:c r="S2751" s="11" t="n">
        <x:f>IF(D2751="Completed",L2751,0)</x:f>
        <x:v>0</x:v>
      </x:c>
      <x:c r="T2751" s="8" t="n">
        <x:f>DATE(YEAR(C2751),MONTH(C2751),1)</x:f>
        <x:v>45931</x:v>
      </x:c>
    </x:row>
    <x:row r="2752" ht="22" customHeight="1">
      <x:c r="A2752" s="2" t="str">
        <x:v>L002748</x:v>
      </x:c>
      <x:c r="B2752" s="2" t="str">
        <x:v>O01124</x:v>
      </x:c>
      <x:c r="C2752" s="7" t="n">
        <x:v>45945</x:v>
      </x:c>
      <x:c r="D2752" s="2" t="str">
        <x:v>Completed</x:v>
      </x:c>
      <x:c r="E2752" s="2" t="str">
        <x:v>East</x:v>
      </x:c>
      <x:c r="F2752" s="2" t="str">
        <x:v>Store</x:v>
      </x:c>
      <x:c r="G2752" s="2" t="str">
        <x:v>Lighting</x:v>
      </x:c>
      <x:c r="H2752" s="2" t="str">
        <x:v>Lamp 017</x:v>
      </x:c>
      <x:c r="I2752" s="11" t="n">
        <x:v>4</x:v>
      </x:c>
      <x:c r="J2752" s="9" t="n">
        <x:v>300</x:v>
      </x:c>
      <x:c r="K2752" s="10" t="n">
        <x:v>0</x:v>
      </x:c>
      <x:c r="L2752" s="11" t="n">
        <x:v>0</x:v>
      </x:c>
      <x:c r="M2752" s="9" t="n">
        <x:f>IF(D2752="Completed",I2752*J2752,0)</x:f>
        <x:v>1200</x:v>
      </x:c>
      <x:c r="N2752" s="9" t="n">
        <x:f>M2752*K2752</x:f>
        <x:v>0</x:v>
      </x:c>
      <x:c r="O2752" s="9" t="n">
        <x:f>M2752-N2752</x:f>
        <x:v>1200</x:v>
      </x:c>
      <x:c r="P2752" s="9" t="n">
        <x:f>IF(D2752="Completed",L2752*J2752*(1-K2752),0)</x:f>
        <x:v>0</x:v>
      </x:c>
      <x:c r="Q2752" s="9" t="n">
        <x:f>O2752-P2752</x:f>
        <x:v>1200</x:v>
      </x:c>
      <x:c r="R2752" s="11" t="n">
        <x:f>IF(D2752="Completed",I2752,0)</x:f>
        <x:v>4</x:v>
      </x:c>
      <x:c r="S2752" s="11" t="n">
        <x:f>IF(D2752="Completed",L2752,0)</x:f>
        <x:v>0</x:v>
      </x:c>
      <x:c r="T2752" s="8" t="n">
        <x:f>DATE(YEAR(C2752),MONTH(C2752),1)</x:f>
        <x:v>45931</x:v>
      </x:c>
    </x:row>
    <x:row r="2753" ht="22" customHeight="1">
      <x:c r="A2753" s="2" t="str">
        <x:v>L002749</x:v>
      </x:c>
      <x:c r="B2753" s="2" t="str">
        <x:v>O01124</x:v>
      </x:c>
      <x:c r="C2753" s="7" t="n">
        <x:v>45945</x:v>
      </x:c>
      <x:c r="D2753" s="2" t="str">
        <x:v>Completed</x:v>
      </x:c>
      <x:c r="E2753" s="2" t="str">
        <x:v>East</x:v>
      </x:c>
      <x:c r="F2753" s="2" t="str">
        <x:v>Store</x:v>
      </x:c>
      <x:c r="G2753" s="2" t="str">
        <x:v>Storage</x:v>
      </x:c>
      <x:c r="H2753" s="2" t="str">
        <x:v>Shelf 015</x:v>
      </x:c>
      <x:c r="I2753" s="11" t="n">
        <x:v>1</x:v>
      </x:c>
      <x:c r="J2753" s="9" t="n">
        <x:v>254</x:v>
      </x:c>
      <x:c r="K2753" s="10" t="n">
        <x:v>0.1</x:v>
      </x:c>
      <x:c r="L2753" s="11" t="n">
        <x:v>0</x:v>
      </x:c>
      <x:c r="M2753" s="9" t="n">
        <x:f>IF(D2753="Completed",I2753*J2753,0)</x:f>
        <x:v>254</x:v>
      </x:c>
      <x:c r="N2753" s="9" t="n">
        <x:f>M2753*K2753</x:f>
        <x:v>25.400000000000002</x:v>
      </x:c>
      <x:c r="O2753" s="9" t="n">
        <x:f>M2753-N2753</x:f>
        <x:v>228.6</x:v>
      </x:c>
      <x:c r="P2753" s="9" t="n">
        <x:f>IF(D2753="Completed",L2753*J2753*(1-K2753),0)</x:f>
        <x:v>0</x:v>
      </x:c>
      <x:c r="Q2753" s="9" t="n">
        <x:f>O2753-P2753</x:f>
        <x:v>228.6</x:v>
      </x:c>
      <x:c r="R2753" s="11" t="n">
        <x:f>IF(D2753="Completed",I2753,0)</x:f>
        <x:v>1</x:v>
      </x:c>
      <x:c r="S2753" s="11" t="n">
        <x:f>IF(D2753="Completed",L2753,0)</x:f>
        <x:v>0</x:v>
      </x:c>
      <x:c r="T2753" s="8" t="n">
        <x:f>DATE(YEAR(C2753),MONTH(C2753),1)</x:f>
        <x:v>45931</x:v>
      </x:c>
    </x:row>
    <x:row r="2754" ht="22" customHeight="1">
      <x:c r="A2754" s="2" t="str">
        <x:v>L002750</x:v>
      </x:c>
      <x:c r="B2754" s="2" t="str">
        <x:v>O01125</x:v>
      </x:c>
      <x:c r="C2754" s="7" t="n">
        <x:v>45842</x:v>
      </x:c>
      <x:c r="D2754" s="2" t="str">
        <x:v>Completed</x:v>
      </x:c>
      <x:c r="E2754" s="2" t="str">
        <x:v>East</x:v>
      </x:c>
      <x:c r="F2754" s="2" t="str">
        <x:v>Online</x:v>
      </x:c>
      <x:c r="G2754" s="2" t="str">
        <x:v>Lighting</x:v>
      </x:c>
      <x:c r="H2754" s="2" t="str">
        <x:v>Lamp 005</x:v>
      </x:c>
      <x:c r="I2754" s="11" t="n">
        <x:v>2</x:v>
      </x:c>
      <x:c r="J2754" s="9" t="n">
        <x:v>65</x:v>
      </x:c>
      <x:c r="K2754" s="10" t="n">
        <x:v>0.2</x:v>
      </x:c>
      <x:c r="L2754" s="11" t="n">
        <x:v>0</x:v>
      </x:c>
      <x:c r="M2754" s="9" t="n">
        <x:f>IF(D2754="Completed",I2754*J2754,0)</x:f>
        <x:v>130</x:v>
      </x:c>
      <x:c r="N2754" s="9" t="n">
        <x:f>M2754*K2754</x:f>
        <x:v>26</x:v>
      </x:c>
      <x:c r="O2754" s="9" t="n">
        <x:f>M2754-N2754</x:f>
        <x:v>104</x:v>
      </x:c>
      <x:c r="P2754" s="9" t="n">
        <x:f>IF(D2754="Completed",L2754*J2754*(1-K2754),0)</x:f>
        <x:v>0</x:v>
      </x:c>
      <x:c r="Q2754" s="9" t="n">
        <x:f>O2754-P2754</x:f>
        <x:v>104</x:v>
      </x:c>
      <x:c r="R2754" s="11" t="n">
        <x:f>IF(D2754="Completed",I2754,0)</x:f>
        <x:v>2</x:v>
      </x:c>
      <x:c r="S2754" s="11" t="n">
        <x:f>IF(D2754="Completed",L2754,0)</x:f>
        <x:v>0</x:v>
      </x:c>
      <x:c r="T2754" s="8" t="n">
        <x:f>DATE(YEAR(C2754),MONTH(C2754),1)</x:f>
        <x:v>45839</x:v>
      </x:c>
    </x:row>
    <x:row r="2755" ht="22" customHeight="1">
      <x:c r="A2755" s="2" t="str">
        <x:v>L002751</x:v>
      </x:c>
      <x:c r="B2755" s="2" t="str">
        <x:v>O01125</x:v>
      </x:c>
      <x:c r="C2755" s="7" t="n">
        <x:v>45842</x:v>
      </x:c>
      <x:c r="D2755" s="2" t="str">
        <x:v>Completed</x:v>
      </x:c>
      <x:c r="E2755" s="2" t="str">
        <x:v>East</x:v>
      </x:c>
      <x:c r="F2755" s="2" t="str">
        <x:v>Online</x:v>
      </x:c>
      <x:c r="G2755" s="2" t="str">
        <x:v>Storage</x:v>
      </x:c>
      <x:c r="H2755" s="2" t="str">
        <x:v>Shelf 007</x:v>
      </x:c>
      <x:c r="I2755" s="11" t="n">
        <x:v>4</x:v>
      </x:c>
      <x:c r="J2755" s="9" t="n">
        <x:v>35</x:v>
      </x:c>
      <x:c r="K2755" s="10" t="n">
        <x:v>0.05</x:v>
      </x:c>
      <x:c r="L2755" s="11" t="n">
        <x:v>0</x:v>
      </x:c>
      <x:c r="M2755" s="9" t="n">
        <x:f>IF(D2755="Completed",I2755*J2755,0)</x:f>
        <x:v>140</x:v>
      </x:c>
      <x:c r="N2755" s="9" t="n">
        <x:f>M2755*K2755</x:f>
        <x:v>7</x:v>
      </x:c>
      <x:c r="O2755" s="9" t="n">
        <x:f>M2755-N2755</x:f>
        <x:v>133</x:v>
      </x:c>
      <x:c r="P2755" s="9" t="n">
        <x:f>IF(D2755="Completed",L2755*J2755*(1-K2755),0)</x:f>
        <x:v>0</x:v>
      </x:c>
      <x:c r="Q2755" s="9" t="n">
        <x:f>O2755-P2755</x:f>
        <x:v>133</x:v>
      </x:c>
      <x:c r="R2755" s="11" t="n">
        <x:f>IF(D2755="Completed",I2755,0)</x:f>
        <x:v>4</x:v>
      </x:c>
      <x:c r="S2755" s="11" t="n">
        <x:f>IF(D2755="Completed",L2755,0)</x:f>
        <x:v>0</x:v>
      </x:c>
      <x:c r="T2755" s="8" t="n">
        <x:f>DATE(YEAR(C2755),MONTH(C2755),1)</x:f>
        <x:v>45839</x:v>
      </x:c>
    </x:row>
    <x:row r="2756" ht="22" customHeight="1">
      <x:c r="A2756" s="2" t="str">
        <x:v>L002752</x:v>
      </x:c>
      <x:c r="B2756" s="2" t="str">
        <x:v>O01126</x:v>
      </x:c>
      <x:c r="C2756" s="7" t="n">
        <x:v>45889</x:v>
      </x:c>
      <x:c r="D2756" s="2" t="str">
        <x:v>Completed</x:v>
      </x:c>
      <x:c r="E2756" s="2" t="str">
        <x:v>South</x:v>
      </x:c>
      <x:c r="F2756" s="2" t="str">
        <x:v>Online</x:v>
      </x:c>
      <x:c r="G2756" s="2" t="str">
        <x:v>Furniture</x:v>
      </x:c>
      <x:c r="H2756" s="2" t="str">
        <x:v>Desk 024</x:v>
      </x:c>
      <x:c r="I2756" s="11" t="n">
        <x:v>4</x:v>
      </x:c>
      <x:c r="J2756" s="9" t="n">
        <x:v>81</x:v>
      </x:c>
      <x:c r="K2756" s="10" t="n">
        <x:v>0.2</x:v>
      </x:c>
      <x:c r="L2756" s="11" t="n">
        <x:v>0</x:v>
      </x:c>
      <x:c r="M2756" s="9" t="n">
        <x:f>IF(D2756="Completed",I2756*J2756,0)</x:f>
        <x:v>324</x:v>
      </x:c>
      <x:c r="N2756" s="9" t="n">
        <x:f>M2756*K2756</x:f>
        <x:v>64.8</x:v>
      </x:c>
      <x:c r="O2756" s="9" t="n">
        <x:f>M2756-N2756</x:f>
        <x:v>259.2</x:v>
      </x:c>
      <x:c r="P2756" s="9" t="n">
        <x:f>IF(D2756="Completed",L2756*J2756*(1-K2756),0)</x:f>
        <x:v>0</x:v>
      </x:c>
      <x:c r="Q2756" s="9" t="n">
        <x:f>O2756-P2756</x:f>
        <x:v>259.2</x:v>
      </x:c>
      <x:c r="R2756" s="11" t="n">
        <x:f>IF(D2756="Completed",I2756,0)</x:f>
        <x:v>4</x:v>
      </x:c>
      <x:c r="S2756" s="11" t="n">
        <x:f>IF(D2756="Completed",L2756,0)</x:f>
        <x:v>0</x:v>
      </x:c>
      <x:c r="T2756" s="8" t="n">
        <x:f>DATE(YEAR(C2756),MONTH(C2756),1)</x:f>
        <x:v>45870</x:v>
      </x:c>
    </x:row>
    <x:row r="2757" ht="22" customHeight="1">
      <x:c r="A2757" s="2" t="str">
        <x:v>L002753</x:v>
      </x:c>
      <x:c r="B2757" s="2" t="str">
        <x:v>O01127</x:v>
      </x:c>
      <x:c r="C2757" s="7" t="n">
        <x:v>46017</x:v>
      </x:c>
      <x:c r="D2757" s="2" t="str">
        <x:v>Cancelled</x:v>
      </x:c>
      <x:c r="E2757" s="2" t="str">
        <x:v>North</x:v>
      </x:c>
      <x:c r="F2757" s="2" t="str">
        <x:v>Online</x:v>
      </x:c>
      <x:c r="G2757" s="2" t="str">
        <x:v>Storage</x:v>
      </x:c>
      <x:c r="H2757" s="2" t="str">
        <x:v>Shelf 003</x:v>
      </x:c>
      <x:c r="I2757" s="11" t="n">
        <x:v>5</x:v>
      </x:c>
      <x:c r="J2757" s="9" t="n">
        <x:v>199</x:v>
      </x:c>
      <x:c r="K2757" s="10" t="n">
        <x:v>0.1</x:v>
      </x:c>
      <x:c r="L2757" s="11" t="n">
        <x:v>0</x:v>
      </x:c>
      <x:c r="M2757" s="9" t="n">
        <x:f>IF(D2757="Completed",I2757*J2757,0)</x:f>
        <x:v>0</x:v>
      </x:c>
      <x:c r="N2757" s="9" t="n">
        <x:f>M2757*K2757</x:f>
        <x:v>0</x:v>
      </x:c>
      <x:c r="O2757" s="9" t="n">
        <x:f>M2757-N2757</x:f>
        <x:v>0</x:v>
      </x:c>
      <x:c r="P2757" s="9" t="n">
        <x:f>IF(D2757="Completed",L2757*J2757*(1-K2757),0)</x:f>
        <x:v>0</x:v>
      </x:c>
      <x:c r="Q2757" s="9" t="n">
        <x:f>O2757-P2757</x:f>
        <x:v>0</x:v>
      </x:c>
      <x:c r="R2757" s="11" t="n">
        <x:f>IF(D2757="Completed",I2757,0)</x:f>
        <x:v>0</x:v>
      </x:c>
      <x:c r="S2757" s="11" t="n">
        <x:f>IF(D2757="Completed",L2757,0)</x:f>
        <x:v>0</x:v>
      </x:c>
      <x:c r="T2757" s="8" t="n">
        <x:f>DATE(YEAR(C2757),MONTH(C2757),1)</x:f>
        <x:v>45992</x:v>
      </x:c>
    </x:row>
    <x:row r="2758" ht="22" customHeight="1">
      <x:c r="A2758" s="2" t="str">
        <x:v>L002754</x:v>
      </x:c>
      <x:c r="B2758" s="2" t="str">
        <x:v>O01127</x:v>
      </x:c>
      <x:c r="C2758" s="7" t="n">
        <x:v>46017</x:v>
      </x:c>
      <x:c r="D2758" s="2" t="str">
        <x:v>Cancelled</x:v>
      </x:c>
      <x:c r="E2758" s="2" t="str">
        <x:v>North</x:v>
      </x:c>
      <x:c r="F2758" s="2" t="str">
        <x:v>Online</x:v>
      </x:c>
      <x:c r="G2758" s="2" t="str">
        <x:v>Furniture</x:v>
      </x:c>
      <x:c r="H2758" s="2" t="str">
        <x:v>Chair 002</x:v>
      </x:c>
      <x:c r="I2758" s="11" t="n">
        <x:v>1</x:v>
      </x:c>
      <x:c r="J2758" s="9" t="n">
        <x:v>284</x:v>
      </x:c>
      <x:c r="K2758" s="10" t="n">
        <x:v>0.05</x:v>
      </x:c>
      <x:c r="L2758" s="11" t="n">
        <x:v>0</x:v>
      </x:c>
      <x:c r="M2758" s="9" t="n">
        <x:f>IF(D2758="Completed",I2758*J2758,0)</x:f>
        <x:v>0</x:v>
      </x:c>
      <x:c r="N2758" s="9" t="n">
        <x:f>M2758*K2758</x:f>
        <x:v>0</x:v>
      </x:c>
      <x:c r="O2758" s="9" t="n">
        <x:f>M2758-N2758</x:f>
        <x:v>0</x:v>
      </x:c>
      <x:c r="P2758" s="9" t="n">
        <x:f>IF(D2758="Completed",L2758*J2758*(1-K2758),0)</x:f>
        <x:v>0</x:v>
      </x:c>
      <x:c r="Q2758" s="9" t="n">
        <x:f>O2758-P2758</x:f>
        <x:v>0</x:v>
      </x:c>
      <x:c r="R2758" s="11" t="n">
        <x:f>IF(D2758="Completed",I2758,0)</x:f>
        <x:v>0</x:v>
      </x:c>
      <x:c r="S2758" s="11" t="n">
        <x:f>IF(D2758="Completed",L2758,0)</x:f>
        <x:v>0</x:v>
      </x:c>
      <x:c r="T2758" s="8" t="n">
        <x:f>DATE(YEAR(C2758),MONTH(C2758),1)</x:f>
        <x:v>45992</x:v>
      </x:c>
    </x:row>
    <x:row r="2759" ht="22" customHeight="1">
      <x:c r="A2759" s="2" t="str">
        <x:v>L002755</x:v>
      </x:c>
      <x:c r="B2759" s="2" t="str">
        <x:v>O01127</x:v>
      </x:c>
      <x:c r="C2759" s="7" t="n">
        <x:v>46017</x:v>
      </x:c>
      <x:c r="D2759" s="2" t="str">
        <x:v>Cancelled</x:v>
      </x:c>
      <x:c r="E2759" s="2" t="str">
        <x:v>North</x:v>
      </x:c>
      <x:c r="F2759" s="2" t="str">
        <x:v>Online</x:v>
      </x:c>
      <x:c r="G2759" s="2" t="str">
        <x:v>Lighting</x:v>
      </x:c>
      <x:c r="H2759" s="2" t="str">
        <x:v>Lamp 001</x:v>
      </x:c>
      <x:c r="I2759" s="11" t="n">
        <x:v>4</x:v>
      </x:c>
      <x:c r="J2759" s="9" t="n">
        <x:v>122</x:v>
      </x:c>
      <x:c r="K2759" s="10" t="n">
        <x:v>0.2</x:v>
      </x:c>
      <x:c r="L2759" s="11" t="n">
        <x:v>0</x:v>
      </x:c>
      <x:c r="M2759" s="9" t="n">
        <x:f>IF(D2759="Completed",I2759*J2759,0)</x:f>
        <x:v>0</x:v>
      </x:c>
      <x:c r="N2759" s="9" t="n">
        <x:f>M2759*K2759</x:f>
        <x:v>0</x:v>
      </x:c>
      <x:c r="O2759" s="9" t="n">
        <x:f>M2759-N2759</x:f>
        <x:v>0</x:v>
      </x:c>
      <x:c r="P2759" s="9" t="n">
        <x:f>IF(D2759="Completed",L2759*J2759*(1-K2759),0)</x:f>
        <x:v>0</x:v>
      </x:c>
      <x:c r="Q2759" s="9" t="n">
        <x:f>O2759-P2759</x:f>
        <x:v>0</x:v>
      </x:c>
      <x:c r="R2759" s="11" t="n">
        <x:f>IF(D2759="Completed",I2759,0)</x:f>
        <x:v>0</x:v>
      </x:c>
      <x:c r="S2759" s="11" t="n">
        <x:f>IF(D2759="Completed",L2759,0)</x:f>
        <x:v>0</x:v>
      </x:c>
      <x:c r="T2759" s="8" t="n">
        <x:f>DATE(YEAR(C2759),MONTH(C2759),1)</x:f>
        <x:v>45992</x:v>
      </x:c>
    </x:row>
    <x:row r="2760" ht="22" customHeight="1">
      <x:c r="A2760" s="2" t="str">
        <x:v>L002756</x:v>
      </x:c>
      <x:c r="B2760" s="2" t="str">
        <x:v>O01127</x:v>
      </x:c>
      <x:c r="C2760" s="7" t="n">
        <x:v>46017</x:v>
      </x:c>
      <x:c r="D2760" s="2" t="str">
        <x:v>Cancelled</x:v>
      </x:c>
      <x:c r="E2760" s="2" t="str">
        <x:v>North</x:v>
      </x:c>
      <x:c r="F2760" s="2" t="str">
        <x:v>Online</x:v>
      </x:c>
      <x:c r="G2760" s="2" t="str">
        <x:v>Furniture</x:v>
      </x:c>
      <x:c r="H2760" s="2" t="str">
        <x:v>Desk 008</x:v>
      </x:c>
      <x:c r="I2760" s="11" t="n">
        <x:v>3</x:v>
      </x:c>
      <x:c r="J2760" s="9" t="n">
        <x:v>188</x:v>
      </x:c>
      <x:c r="K2760" s="10" t="n">
        <x:v>0.2</x:v>
      </x:c>
      <x:c r="L2760" s="11" t="n">
        <x:v>0</x:v>
      </x:c>
      <x:c r="M2760" s="9" t="n">
        <x:f>IF(D2760="Completed",I2760*J2760,0)</x:f>
        <x:v>0</x:v>
      </x:c>
      <x:c r="N2760" s="9" t="n">
        <x:f>M2760*K2760</x:f>
        <x:v>0</x:v>
      </x:c>
      <x:c r="O2760" s="9" t="n">
        <x:f>M2760-N2760</x:f>
        <x:v>0</x:v>
      </x:c>
      <x:c r="P2760" s="9" t="n">
        <x:f>IF(D2760="Completed",L2760*J2760*(1-K2760),0)</x:f>
        <x:v>0</x:v>
      </x:c>
      <x:c r="Q2760" s="9" t="n">
        <x:f>O2760-P2760</x:f>
        <x:v>0</x:v>
      </x:c>
      <x:c r="R2760" s="11" t="n">
        <x:f>IF(D2760="Completed",I2760,0)</x:f>
        <x:v>0</x:v>
      </x:c>
      <x:c r="S2760" s="11" t="n">
        <x:f>IF(D2760="Completed",L2760,0)</x:f>
        <x:v>0</x:v>
      </x:c>
      <x:c r="T2760" s="8" t="n">
        <x:f>DATE(YEAR(C2760),MONTH(C2760),1)</x:f>
        <x:v>45992</x:v>
      </x:c>
    </x:row>
    <x:row r="2761" ht="22" customHeight="1">
      <x:c r="A2761" s="2" t="str">
        <x:v>L002757</x:v>
      </x:c>
      <x:c r="B2761" s="2" t="str">
        <x:v>O01128</x:v>
      </x:c>
      <x:c r="C2761" s="7" t="n">
        <x:v>45930</x:v>
      </x:c>
      <x:c r="D2761" s="2" t="str">
        <x:v>Completed</x:v>
      </x:c>
      <x:c r="E2761" s="2" t="str">
        <x:v>West</x:v>
      </x:c>
      <x:c r="F2761" s="2" t="str">
        <x:v>Online</x:v>
      </x:c>
      <x:c r="G2761" s="2" t="str">
        <x:v>Furniture</x:v>
      </x:c>
      <x:c r="H2761" s="2" t="str">
        <x:v>Desk 016</x:v>
      </x:c>
      <x:c r="I2761" s="11" t="n">
        <x:v>5</x:v>
      </x:c>
      <x:c r="J2761" s="9" t="n">
        <x:v>231</x:v>
      </x:c>
      <x:c r="K2761" s="10" t="n">
        <x:v>0.1</x:v>
      </x:c>
      <x:c r="L2761" s="11" t="n">
        <x:v>0</x:v>
      </x:c>
      <x:c r="M2761" s="9" t="n">
        <x:f>IF(D2761="Completed",I2761*J2761,0)</x:f>
        <x:v>1155</x:v>
      </x:c>
      <x:c r="N2761" s="9" t="n">
        <x:f>M2761*K2761</x:f>
        <x:v>115.5</x:v>
      </x:c>
      <x:c r="O2761" s="9" t="n">
        <x:f>M2761-N2761</x:f>
        <x:v>1039.5</x:v>
      </x:c>
      <x:c r="P2761" s="9" t="n">
        <x:f>IF(D2761="Completed",L2761*J2761*(1-K2761),0)</x:f>
        <x:v>0</x:v>
      </x:c>
      <x:c r="Q2761" s="9" t="n">
        <x:f>O2761-P2761</x:f>
        <x:v>1039.5</x:v>
      </x:c>
      <x:c r="R2761" s="11" t="n">
        <x:f>IF(D2761="Completed",I2761,0)</x:f>
        <x:v>5</x:v>
      </x:c>
      <x:c r="S2761" s="11" t="n">
        <x:f>IF(D2761="Completed",L2761,0)</x:f>
        <x:v>0</x:v>
      </x:c>
      <x:c r="T2761" s="8" t="n">
        <x:f>DATE(YEAR(C2761),MONTH(C2761),1)</x:f>
        <x:v>45901</x:v>
      </x:c>
    </x:row>
    <x:row r="2762" ht="22" customHeight="1">
      <x:c r="A2762" s="2" t="str">
        <x:v>L002758</x:v>
      </x:c>
      <x:c r="B2762" s="2" t="str">
        <x:v>O01129</x:v>
      </x:c>
      <x:c r="C2762" s="7" t="n">
        <x:v>45716</x:v>
      </x:c>
      <x:c r="D2762" s="2" t="str">
        <x:v>Completed</x:v>
      </x:c>
      <x:c r="E2762" s="2" t="str">
        <x:v>South</x:v>
      </x:c>
      <x:c r="F2762" s="2" t="str">
        <x:v>Store</x:v>
      </x:c>
      <x:c r="G2762" s="2" t="str">
        <x:v>Lighting</x:v>
      </x:c>
      <x:c r="H2762" s="2" t="str">
        <x:v>Lamp 013</x:v>
      </x:c>
      <x:c r="I2762" s="11" t="n">
        <x:v>5</x:v>
      </x:c>
      <x:c r="J2762" s="9" t="n">
        <x:v>271</x:v>
      </x:c>
      <x:c r="K2762" s="10" t="n">
        <x:v>0</x:v>
      </x:c>
      <x:c r="L2762" s="11" t="n">
        <x:v>4</x:v>
      </x:c>
      <x:c r="M2762" s="9" t="n">
        <x:f>IF(D2762="Completed",I2762*J2762,0)</x:f>
        <x:v>1355</x:v>
      </x:c>
      <x:c r="N2762" s="9" t="n">
        <x:f>M2762*K2762</x:f>
        <x:v>0</x:v>
      </x:c>
      <x:c r="O2762" s="9" t="n">
        <x:f>M2762-N2762</x:f>
        <x:v>1355</x:v>
      </x:c>
      <x:c r="P2762" s="9" t="n">
        <x:f>IF(D2762="Completed",L2762*J2762*(1-K2762),0)</x:f>
        <x:v>1084</x:v>
      </x:c>
      <x:c r="Q2762" s="9" t="n">
        <x:f>O2762-P2762</x:f>
        <x:v>271</x:v>
      </x:c>
      <x:c r="R2762" s="11" t="n">
        <x:f>IF(D2762="Completed",I2762,0)</x:f>
        <x:v>5</x:v>
      </x:c>
      <x:c r="S2762" s="11" t="n">
        <x:f>IF(D2762="Completed",L2762,0)</x:f>
        <x:v>4</x:v>
      </x:c>
      <x:c r="T2762" s="8" t="n">
        <x:f>DATE(YEAR(C2762),MONTH(C2762),1)</x:f>
        <x:v>45689</x:v>
      </x:c>
    </x:row>
    <x:row r="2763" ht="22" customHeight="1">
      <x:c r="A2763" s="2" t="str">
        <x:v>L002759</x:v>
      </x:c>
      <x:c r="B2763" s="2" t="str">
        <x:v>O01129</x:v>
      </x:c>
      <x:c r="C2763" s="7" t="n">
        <x:v>45716</x:v>
      </x:c>
      <x:c r="D2763" s="2" t="str">
        <x:v>Completed</x:v>
      </x:c>
      <x:c r="E2763" s="2" t="str">
        <x:v>South</x:v>
      </x:c>
      <x:c r="F2763" s="2" t="str">
        <x:v>Store</x:v>
      </x:c>
      <x:c r="G2763" s="2" t="str">
        <x:v>Furniture</x:v>
      </x:c>
      <x:c r="H2763" s="2" t="str">
        <x:v>Desk 016</x:v>
      </x:c>
      <x:c r="I2763" s="11" t="n">
        <x:v>5</x:v>
      </x:c>
      <x:c r="J2763" s="9" t="n">
        <x:v>231</x:v>
      </x:c>
      <x:c r="K2763" s="10" t="n">
        <x:v>0</x:v>
      </x:c>
      <x:c r="L2763" s="11" t="n">
        <x:v>0</x:v>
      </x:c>
      <x:c r="M2763" s="9" t="n">
        <x:f>IF(D2763="Completed",I2763*J2763,0)</x:f>
        <x:v>1155</x:v>
      </x:c>
      <x:c r="N2763" s="9" t="n">
        <x:f>M2763*K2763</x:f>
        <x:v>0</x:v>
      </x:c>
      <x:c r="O2763" s="9" t="n">
        <x:f>M2763-N2763</x:f>
        <x:v>1155</x:v>
      </x:c>
      <x:c r="P2763" s="9" t="n">
        <x:f>IF(D2763="Completed",L2763*J2763*(1-K2763),0)</x:f>
        <x:v>0</x:v>
      </x:c>
      <x:c r="Q2763" s="9" t="n">
        <x:f>O2763-P2763</x:f>
        <x:v>1155</x:v>
      </x:c>
      <x:c r="R2763" s="11" t="n">
        <x:f>IF(D2763="Completed",I2763,0)</x:f>
        <x:v>5</x:v>
      </x:c>
      <x:c r="S2763" s="11" t="n">
        <x:f>IF(D2763="Completed",L2763,0)</x:f>
        <x:v>0</x:v>
      </x:c>
      <x:c r="T2763" s="8" t="n">
        <x:f>DATE(YEAR(C2763),MONTH(C2763),1)</x:f>
        <x:v>45689</x:v>
      </x:c>
    </x:row>
    <x:row r="2764" ht="22" customHeight="1">
      <x:c r="A2764" s="2" t="str">
        <x:v>L002760</x:v>
      </x:c>
      <x:c r="B2764" s="2" t="str">
        <x:v>O01129</x:v>
      </x:c>
      <x:c r="C2764" s="7" t="n">
        <x:v>45716</x:v>
      </x:c>
      <x:c r="D2764" s="2" t="str">
        <x:v>Completed</x:v>
      </x:c>
      <x:c r="E2764" s="2" t="str">
        <x:v>South</x:v>
      </x:c>
      <x:c r="F2764" s="2" t="str">
        <x:v>Store</x:v>
      </x:c>
      <x:c r="G2764" s="2" t="str">
        <x:v>Storage</x:v>
      </x:c>
      <x:c r="H2764" s="2" t="str">
        <x:v>Shelf 007</x:v>
      </x:c>
      <x:c r="I2764" s="11" t="n">
        <x:v>2</x:v>
      </x:c>
      <x:c r="J2764" s="9" t="n">
        <x:v>35</x:v>
      </x:c>
      <x:c r="K2764" s="10" t="n">
        <x:v>0.05</x:v>
      </x:c>
      <x:c r="L2764" s="11" t="n">
        <x:v>0</x:v>
      </x:c>
      <x:c r="M2764" s="9" t="n">
        <x:f>IF(D2764="Completed",I2764*J2764,0)</x:f>
        <x:v>70</x:v>
      </x:c>
      <x:c r="N2764" s="9" t="n">
        <x:f>M2764*K2764</x:f>
        <x:v>3.5</x:v>
      </x:c>
      <x:c r="O2764" s="9" t="n">
        <x:f>M2764-N2764</x:f>
        <x:v>66.5</x:v>
      </x:c>
      <x:c r="P2764" s="9" t="n">
        <x:f>IF(D2764="Completed",L2764*J2764*(1-K2764),0)</x:f>
        <x:v>0</x:v>
      </x:c>
      <x:c r="Q2764" s="9" t="n">
        <x:f>O2764-P2764</x:f>
        <x:v>66.5</x:v>
      </x:c>
      <x:c r="R2764" s="11" t="n">
        <x:f>IF(D2764="Completed",I2764,0)</x:f>
        <x:v>2</x:v>
      </x:c>
      <x:c r="S2764" s="11" t="n">
        <x:f>IF(D2764="Completed",L2764,0)</x:f>
        <x:v>0</x:v>
      </x:c>
      <x:c r="T2764" s="8" t="n">
        <x:f>DATE(YEAR(C2764),MONTH(C2764),1)</x:f>
        <x:v>45689</x:v>
      </x:c>
    </x:row>
    <x:row r="2765" ht="22" customHeight="1">
      <x:c r="A2765" s="2" t="str">
        <x:v>L002761</x:v>
      </x:c>
      <x:c r="B2765" s="2" t="str">
        <x:v>O01129</x:v>
      </x:c>
      <x:c r="C2765" s="7" t="n">
        <x:v>45716</x:v>
      </x:c>
      <x:c r="D2765" s="2" t="str">
        <x:v>Completed</x:v>
      </x:c>
      <x:c r="E2765" s="2" t="str">
        <x:v>South</x:v>
      </x:c>
      <x:c r="F2765" s="2" t="str">
        <x:v>Store</x:v>
      </x:c>
      <x:c r="G2765" s="2" t="str">
        <x:v>Storage</x:v>
      </x:c>
      <x:c r="H2765" s="2" t="str">
        <x:v>Shelf 011</x:v>
      </x:c>
      <x:c r="I2765" s="11" t="n">
        <x:v>3</x:v>
      </x:c>
      <x:c r="J2765" s="9" t="n">
        <x:v>80</x:v>
      </x:c>
      <x:c r="K2765" s="10" t="n">
        <x:v>0</x:v>
      </x:c>
      <x:c r="L2765" s="11" t="n">
        <x:v>0</x:v>
      </x:c>
      <x:c r="M2765" s="9" t="n">
        <x:f>IF(D2765="Completed",I2765*J2765,0)</x:f>
        <x:v>240</x:v>
      </x:c>
      <x:c r="N2765" s="9" t="n">
        <x:f>M2765*K2765</x:f>
        <x:v>0</x:v>
      </x:c>
      <x:c r="O2765" s="9" t="n">
        <x:f>M2765-N2765</x:f>
        <x:v>240</x:v>
      </x:c>
      <x:c r="P2765" s="9" t="n">
        <x:f>IF(D2765="Completed",L2765*J2765*(1-K2765),0)</x:f>
        <x:v>0</x:v>
      </x:c>
      <x:c r="Q2765" s="9" t="n">
        <x:f>O2765-P2765</x:f>
        <x:v>240</x:v>
      </x:c>
      <x:c r="R2765" s="11" t="n">
        <x:f>IF(D2765="Completed",I2765,0)</x:f>
        <x:v>3</x:v>
      </x:c>
      <x:c r="S2765" s="11" t="n">
        <x:f>IF(D2765="Completed",L2765,0)</x:f>
        <x:v>0</x:v>
      </x:c>
      <x:c r="T2765" s="8" t="n">
        <x:f>DATE(YEAR(C2765),MONTH(C2765),1)</x:f>
        <x:v>45689</x:v>
      </x:c>
    </x:row>
    <x:row r="2766" ht="22" customHeight="1">
      <x:c r="A2766" s="2" t="str">
        <x:v>L002762</x:v>
      </x:c>
      <x:c r="B2766" s="2" t="str">
        <x:v>O01130</x:v>
      </x:c>
      <x:c r="C2766" s="7" t="n">
        <x:v>45750</x:v>
      </x:c>
      <x:c r="D2766" s="2" t="str">
        <x:v>Completed</x:v>
      </x:c>
      <x:c r="E2766" s="2" t="str">
        <x:v>East</x:v>
      </x:c>
      <x:c r="F2766" s="2" t="str">
        <x:v>Store</x:v>
      </x:c>
      <x:c r="G2766" s="2" t="str">
        <x:v>Lighting</x:v>
      </x:c>
      <x:c r="H2766" s="2" t="str">
        <x:v>Lamp 021</x:v>
      </x:c>
      <x:c r="I2766" s="11" t="n">
        <x:v>4</x:v>
      </x:c>
      <x:c r="J2766" s="9" t="n">
        <x:v>249</x:v>
      </x:c>
      <x:c r="K2766" s="10" t="n">
        <x:v>0.1</x:v>
      </x:c>
      <x:c r="L2766" s="11" t="n">
        <x:v>0</x:v>
      </x:c>
      <x:c r="M2766" s="9" t="n">
        <x:f>IF(D2766="Completed",I2766*J2766,0)</x:f>
        <x:v>996</x:v>
      </x:c>
      <x:c r="N2766" s="9" t="n">
        <x:f>M2766*K2766</x:f>
        <x:v>99.60000000000001</x:v>
      </x:c>
      <x:c r="O2766" s="9" t="n">
        <x:f>M2766-N2766</x:f>
        <x:v>896.4</x:v>
      </x:c>
      <x:c r="P2766" s="9" t="n">
        <x:f>IF(D2766="Completed",L2766*J2766*(1-K2766),0)</x:f>
        <x:v>0</x:v>
      </x:c>
      <x:c r="Q2766" s="9" t="n">
        <x:f>O2766-P2766</x:f>
        <x:v>896.4</x:v>
      </x:c>
      <x:c r="R2766" s="11" t="n">
        <x:f>IF(D2766="Completed",I2766,0)</x:f>
        <x:v>4</x:v>
      </x:c>
      <x:c r="S2766" s="11" t="n">
        <x:f>IF(D2766="Completed",L2766,0)</x:f>
        <x:v>0</x:v>
      </x:c>
      <x:c r="T2766" s="8" t="n">
        <x:f>DATE(YEAR(C2766),MONTH(C2766),1)</x:f>
        <x:v>45748</x:v>
      </x:c>
    </x:row>
    <x:row r="2767" ht="22" customHeight="1">
      <x:c r="A2767" s="2" t="str">
        <x:v>L002763</x:v>
      </x:c>
      <x:c r="B2767" s="2" t="str">
        <x:v>O01131</x:v>
      </x:c>
      <x:c r="C2767" s="7" t="n">
        <x:v>45681</x:v>
      </x:c>
      <x:c r="D2767" s="2" t="str">
        <x:v>Completed</x:v>
      </x:c>
      <x:c r="E2767" s="2" t="str">
        <x:v>West</x:v>
      </x:c>
      <x:c r="F2767" s="2" t="str">
        <x:v>Store</x:v>
      </x:c>
      <x:c r="G2767" s="2" t="str">
        <x:v>Lighting</x:v>
      </x:c>
      <x:c r="H2767" s="2" t="str">
        <x:v>Lamp 013</x:v>
      </x:c>
      <x:c r="I2767" s="11" t="n">
        <x:v>4</x:v>
      </x:c>
      <x:c r="J2767" s="9" t="n">
        <x:v>271</x:v>
      </x:c>
      <x:c r="K2767" s="10" t="n">
        <x:v>0.2</x:v>
      </x:c>
      <x:c r="L2767" s="11" t="n">
        <x:v>0</x:v>
      </x:c>
      <x:c r="M2767" s="9" t="n">
        <x:f>IF(D2767="Completed",I2767*J2767,0)</x:f>
        <x:v>1084</x:v>
      </x:c>
      <x:c r="N2767" s="9" t="n">
        <x:f>M2767*K2767</x:f>
        <x:v>216.8</x:v>
      </x:c>
      <x:c r="O2767" s="9" t="n">
        <x:f>M2767-N2767</x:f>
        <x:v>867.2</x:v>
      </x:c>
      <x:c r="P2767" s="9" t="n">
        <x:f>IF(D2767="Completed",L2767*J2767*(1-K2767),0)</x:f>
        <x:v>0</x:v>
      </x:c>
      <x:c r="Q2767" s="9" t="n">
        <x:f>O2767-P2767</x:f>
        <x:v>867.2</x:v>
      </x:c>
      <x:c r="R2767" s="11" t="n">
        <x:f>IF(D2767="Completed",I2767,0)</x:f>
        <x:v>4</x:v>
      </x:c>
      <x:c r="S2767" s="11" t="n">
        <x:f>IF(D2767="Completed",L2767,0)</x:f>
        <x:v>0</x:v>
      </x:c>
      <x:c r="T2767" s="8" t="n">
        <x:f>DATE(YEAR(C2767),MONTH(C2767),1)</x:f>
        <x:v>45658</x:v>
      </x:c>
    </x:row>
    <x:row r="2768" ht="22" customHeight="1">
      <x:c r="A2768" s="2" t="str">
        <x:v>L002764</x:v>
      </x:c>
      <x:c r="B2768" s="2" t="str">
        <x:v>O01131</x:v>
      </x:c>
      <x:c r="C2768" s="7" t="n">
        <x:v>45681</x:v>
      </x:c>
      <x:c r="D2768" s="2" t="str">
        <x:v>Completed</x:v>
      </x:c>
      <x:c r="E2768" s="2" t="str">
        <x:v>West</x:v>
      </x:c>
      <x:c r="F2768" s="2" t="str">
        <x:v>Store</x:v>
      </x:c>
      <x:c r="G2768" s="2" t="str">
        <x:v>Storage</x:v>
      </x:c>
      <x:c r="H2768" s="2" t="str">
        <x:v>Shelf 019</x:v>
      </x:c>
      <x:c r="I2768" s="11" t="n">
        <x:v>1</x:v>
      </x:c>
      <x:c r="J2768" s="9" t="n">
        <x:v>78</x:v>
      </x:c>
      <x:c r="K2768" s="10" t="n">
        <x:v>0</x:v>
      </x:c>
      <x:c r="L2768" s="11" t="n">
        <x:v>0</x:v>
      </x:c>
      <x:c r="M2768" s="9" t="n">
        <x:f>IF(D2768="Completed",I2768*J2768,0)</x:f>
        <x:v>78</x:v>
      </x:c>
      <x:c r="N2768" s="9" t="n">
        <x:f>M2768*K2768</x:f>
        <x:v>0</x:v>
      </x:c>
      <x:c r="O2768" s="9" t="n">
        <x:f>M2768-N2768</x:f>
        <x:v>78</x:v>
      </x:c>
      <x:c r="P2768" s="9" t="n">
        <x:f>IF(D2768="Completed",L2768*J2768*(1-K2768),0)</x:f>
        <x:v>0</x:v>
      </x:c>
      <x:c r="Q2768" s="9" t="n">
        <x:f>O2768-P2768</x:f>
        <x:v>78</x:v>
      </x:c>
      <x:c r="R2768" s="11" t="n">
        <x:f>IF(D2768="Completed",I2768,0)</x:f>
        <x:v>1</x:v>
      </x:c>
      <x:c r="S2768" s="11" t="n">
        <x:f>IF(D2768="Completed",L2768,0)</x:f>
        <x:v>0</x:v>
      </x:c>
      <x:c r="T2768" s="8" t="n">
        <x:f>DATE(YEAR(C2768),MONTH(C2768),1)</x:f>
        <x:v>45658</x:v>
      </x:c>
    </x:row>
    <x:row r="2769" ht="22" customHeight="1">
      <x:c r="A2769" s="2" t="str">
        <x:v>L002765</x:v>
      </x:c>
      <x:c r="B2769" s="2" t="str">
        <x:v>O01131</x:v>
      </x:c>
      <x:c r="C2769" s="7" t="n">
        <x:v>45681</x:v>
      </x:c>
      <x:c r="D2769" s="2" t="str">
        <x:v>Completed</x:v>
      </x:c>
      <x:c r="E2769" s="2" t="str">
        <x:v>West</x:v>
      </x:c>
      <x:c r="F2769" s="2" t="str">
        <x:v>Store</x:v>
      </x:c>
      <x:c r="G2769" s="2" t="str">
        <x:v>Furniture</x:v>
      </x:c>
      <x:c r="H2769" s="2" t="str">
        <x:v>Desk 024</x:v>
      </x:c>
      <x:c r="I2769" s="11" t="n">
        <x:v>5</x:v>
      </x:c>
      <x:c r="J2769" s="9" t="n">
        <x:v>81</x:v>
      </x:c>
      <x:c r="K2769" s="10" t="n">
        <x:v>0</x:v>
      </x:c>
      <x:c r="L2769" s="11" t="n">
        <x:v>0</x:v>
      </x:c>
      <x:c r="M2769" s="9" t="n">
        <x:f>IF(D2769="Completed",I2769*J2769,0)</x:f>
        <x:v>405</x:v>
      </x:c>
      <x:c r="N2769" s="9" t="n">
        <x:f>M2769*K2769</x:f>
        <x:v>0</x:v>
      </x:c>
      <x:c r="O2769" s="9" t="n">
        <x:f>M2769-N2769</x:f>
        <x:v>405</x:v>
      </x:c>
      <x:c r="P2769" s="9" t="n">
        <x:f>IF(D2769="Completed",L2769*J2769*(1-K2769),0)</x:f>
        <x:v>0</x:v>
      </x:c>
      <x:c r="Q2769" s="9" t="n">
        <x:f>O2769-P2769</x:f>
        <x:v>405</x:v>
      </x:c>
      <x:c r="R2769" s="11" t="n">
        <x:f>IF(D2769="Completed",I2769,0)</x:f>
        <x:v>5</x:v>
      </x:c>
      <x:c r="S2769" s="11" t="n">
        <x:f>IF(D2769="Completed",L2769,0)</x:f>
        <x:v>0</x:v>
      </x:c>
      <x:c r="T2769" s="8" t="n">
        <x:f>DATE(YEAR(C2769),MONTH(C2769),1)</x:f>
        <x:v>45658</x:v>
      </x:c>
    </x:row>
    <x:row r="2770" ht="22" customHeight="1">
      <x:c r="A2770" s="2" t="str">
        <x:v>L002766</x:v>
      </x:c>
      <x:c r="B2770" s="2" t="str">
        <x:v>O01132</x:v>
      </x:c>
      <x:c r="C2770" s="7" t="n">
        <x:v>45916</x:v>
      </x:c>
      <x:c r="D2770" s="2" t="str">
        <x:v>Completed</x:v>
      </x:c>
      <x:c r="E2770" s="2" t="str">
        <x:v>East</x:v>
      </x:c>
      <x:c r="F2770" s="2" t="str">
        <x:v>Online</x:v>
      </x:c>
      <x:c r="G2770" s="2" t="str">
        <x:v>Lighting</x:v>
      </x:c>
      <x:c r="H2770" s="2" t="str">
        <x:v>Lamp 021</x:v>
      </x:c>
      <x:c r="I2770" s="11" t="n">
        <x:v>2</x:v>
      </x:c>
      <x:c r="J2770" s="9" t="n">
        <x:v>249</x:v>
      </x:c>
      <x:c r="K2770" s="10" t="n">
        <x:v>0.05</x:v>
      </x:c>
      <x:c r="L2770" s="11" t="n">
        <x:v>0</x:v>
      </x:c>
      <x:c r="M2770" s="9" t="n">
        <x:f>IF(D2770="Completed",I2770*J2770,0)</x:f>
        <x:v>498</x:v>
      </x:c>
      <x:c r="N2770" s="9" t="n">
        <x:f>M2770*K2770</x:f>
        <x:v>24.900000000000002</x:v>
      </x:c>
      <x:c r="O2770" s="9" t="n">
        <x:f>M2770-N2770</x:f>
        <x:v>473.1</x:v>
      </x:c>
      <x:c r="P2770" s="9" t="n">
        <x:f>IF(D2770="Completed",L2770*J2770*(1-K2770),0)</x:f>
        <x:v>0</x:v>
      </x:c>
      <x:c r="Q2770" s="9" t="n">
        <x:f>O2770-P2770</x:f>
        <x:v>473.1</x:v>
      </x:c>
      <x:c r="R2770" s="11" t="n">
        <x:f>IF(D2770="Completed",I2770,0)</x:f>
        <x:v>2</x:v>
      </x:c>
      <x:c r="S2770" s="11" t="n">
        <x:f>IF(D2770="Completed",L2770,0)</x:f>
        <x:v>0</x:v>
      </x:c>
      <x:c r="T2770" s="8" t="n">
        <x:f>DATE(YEAR(C2770),MONTH(C2770),1)</x:f>
        <x:v>45901</x:v>
      </x:c>
    </x:row>
    <x:row r="2771" ht="22" customHeight="1">
      <x:c r="A2771" s="2" t="str">
        <x:v>L002767</x:v>
      </x:c>
      <x:c r="B2771" s="2" t="str">
        <x:v>O01133</x:v>
      </x:c>
      <x:c r="C2771" s="7" t="n">
        <x:v>45785</x:v>
      </x:c>
      <x:c r="D2771" s="2" t="str">
        <x:v>Completed</x:v>
      </x:c>
      <x:c r="E2771" s="2" t="str">
        <x:v>South</x:v>
      </x:c>
      <x:c r="F2771" s="2" t="str">
        <x:v>Store</x:v>
      </x:c>
      <x:c r="G2771" s="2" t="str">
        <x:v>Furniture</x:v>
      </x:c>
      <x:c r="H2771" s="2" t="str">
        <x:v>Chair 022</x:v>
      </x:c>
      <x:c r="I2771" s="11" t="n">
        <x:v>1</x:v>
      </x:c>
      <x:c r="J2771" s="9" t="n">
        <x:v>134</x:v>
      </x:c>
      <x:c r="K2771" s="10" t="n">
        <x:v>0.2</x:v>
      </x:c>
      <x:c r="L2771" s="11" t="n">
        <x:v>0</x:v>
      </x:c>
      <x:c r="M2771" s="9" t="n">
        <x:f>IF(D2771="Completed",I2771*J2771,0)</x:f>
        <x:v>134</x:v>
      </x:c>
      <x:c r="N2771" s="9" t="n">
        <x:f>M2771*K2771</x:f>
        <x:v>26.8</x:v>
      </x:c>
      <x:c r="O2771" s="9" t="n">
        <x:f>M2771-N2771</x:f>
        <x:v>107.2</x:v>
      </x:c>
      <x:c r="P2771" s="9" t="n">
        <x:f>IF(D2771="Completed",L2771*J2771*(1-K2771),0)</x:f>
        <x:v>0</x:v>
      </x:c>
      <x:c r="Q2771" s="9" t="n">
        <x:f>O2771-P2771</x:f>
        <x:v>107.2</x:v>
      </x:c>
      <x:c r="R2771" s="11" t="n">
        <x:f>IF(D2771="Completed",I2771,0)</x:f>
        <x:v>1</x:v>
      </x:c>
      <x:c r="S2771" s="11" t="n">
        <x:f>IF(D2771="Completed",L2771,0)</x:f>
        <x:v>0</x:v>
      </x:c>
      <x:c r="T2771" s="8" t="n">
        <x:f>DATE(YEAR(C2771),MONTH(C2771),1)</x:f>
        <x:v>45778</x:v>
      </x:c>
    </x:row>
    <x:row r="2772" ht="22" customHeight="1">
      <x:c r="A2772" s="2" t="str">
        <x:v>L002768</x:v>
      </x:c>
      <x:c r="B2772" s="2" t="str">
        <x:v>O01133</x:v>
      </x:c>
      <x:c r="C2772" s="7" t="n">
        <x:v>45785</x:v>
      </x:c>
      <x:c r="D2772" s="2" t="str">
        <x:v>Completed</x:v>
      </x:c>
      <x:c r="E2772" s="2" t="str">
        <x:v>South</x:v>
      </x:c>
      <x:c r="F2772" s="2" t="str">
        <x:v>Store</x:v>
      </x:c>
      <x:c r="G2772" s="2" t="str">
        <x:v>Furniture</x:v>
      </x:c>
      <x:c r="H2772" s="2" t="str">
        <x:v>Desk 024</x:v>
      </x:c>
      <x:c r="I2772" s="11" t="n">
        <x:v>3</x:v>
      </x:c>
      <x:c r="J2772" s="9" t="n">
        <x:v>81</x:v>
      </x:c>
      <x:c r="K2772" s="10" t="n">
        <x:v>0.05</x:v>
      </x:c>
      <x:c r="L2772" s="11" t="n">
        <x:v>0</x:v>
      </x:c>
      <x:c r="M2772" s="9" t="n">
        <x:f>IF(D2772="Completed",I2772*J2772,0)</x:f>
        <x:v>243</x:v>
      </x:c>
      <x:c r="N2772" s="9" t="n">
        <x:f>M2772*K2772</x:f>
        <x:v>12.15</x:v>
      </x:c>
      <x:c r="O2772" s="9" t="n">
        <x:f>M2772-N2772</x:f>
        <x:v>230.85</x:v>
      </x:c>
      <x:c r="P2772" s="9" t="n">
        <x:f>IF(D2772="Completed",L2772*J2772*(1-K2772),0)</x:f>
        <x:v>0</x:v>
      </x:c>
      <x:c r="Q2772" s="9" t="n">
        <x:f>O2772-P2772</x:f>
        <x:v>230.85</x:v>
      </x:c>
      <x:c r="R2772" s="11" t="n">
        <x:f>IF(D2772="Completed",I2772,0)</x:f>
        <x:v>3</x:v>
      </x:c>
      <x:c r="S2772" s="11" t="n">
        <x:f>IF(D2772="Completed",L2772,0)</x:f>
        <x:v>0</x:v>
      </x:c>
      <x:c r="T2772" s="8" t="n">
        <x:f>DATE(YEAR(C2772),MONTH(C2772),1)</x:f>
        <x:v>45778</x:v>
      </x:c>
    </x:row>
    <x:row r="2773" ht="22" customHeight="1">
      <x:c r="A2773" s="2" t="str">
        <x:v>L002769</x:v>
      </x:c>
      <x:c r="B2773" s="2" t="str">
        <x:v>O01134</x:v>
      </x:c>
      <x:c r="C2773" s="7" t="n">
        <x:v>45705</x:v>
      </x:c>
      <x:c r="D2773" s="2" t="str">
        <x:v>Completed</x:v>
      </x:c>
      <x:c r="E2773" s="2" t="str">
        <x:v>West</x:v>
      </x:c>
      <x:c r="F2773" s="2" t="str">
        <x:v>Store</x:v>
      </x:c>
      <x:c r="G2773" s="2" t="str">
        <x:v>Lighting</x:v>
      </x:c>
      <x:c r="H2773" s="2" t="str">
        <x:v>Lamp 017</x:v>
      </x:c>
      <x:c r="I2773" s="11" t="n">
        <x:v>3</x:v>
      </x:c>
      <x:c r="J2773" s="9" t="n">
        <x:v>300</x:v>
      </x:c>
      <x:c r="K2773" s="10" t="n">
        <x:v>0.2</x:v>
      </x:c>
      <x:c r="L2773" s="11" t="n">
        <x:v>0</x:v>
      </x:c>
      <x:c r="M2773" s="9" t="n">
        <x:f>IF(D2773="Completed",I2773*J2773,0)</x:f>
        <x:v>900</x:v>
      </x:c>
      <x:c r="N2773" s="9" t="n">
        <x:f>M2773*K2773</x:f>
        <x:v>180</x:v>
      </x:c>
      <x:c r="O2773" s="9" t="n">
        <x:f>M2773-N2773</x:f>
        <x:v>720</x:v>
      </x:c>
      <x:c r="P2773" s="9" t="n">
        <x:f>IF(D2773="Completed",L2773*J2773*(1-K2773),0)</x:f>
        <x:v>0</x:v>
      </x:c>
      <x:c r="Q2773" s="9" t="n">
        <x:f>O2773-P2773</x:f>
        <x:v>720</x:v>
      </x:c>
      <x:c r="R2773" s="11" t="n">
        <x:f>IF(D2773="Completed",I2773,0)</x:f>
        <x:v>3</x:v>
      </x:c>
      <x:c r="S2773" s="11" t="n">
        <x:f>IF(D2773="Completed",L2773,0)</x:f>
        <x:v>0</x:v>
      </x:c>
      <x:c r="T2773" s="8" t="n">
        <x:f>DATE(YEAR(C2773),MONTH(C2773),1)</x:f>
        <x:v>45689</x:v>
      </x:c>
    </x:row>
    <x:row r="2774" ht="22" customHeight="1">
      <x:c r="A2774" s="2" t="str">
        <x:v>L002770</x:v>
      </x:c>
      <x:c r="B2774" s="2" t="str">
        <x:v>O01134</x:v>
      </x:c>
      <x:c r="C2774" s="7" t="n">
        <x:v>45705</x:v>
      </x:c>
      <x:c r="D2774" s="2" t="str">
        <x:v>Completed</x:v>
      </x:c>
      <x:c r="E2774" s="2" t="str">
        <x:v>West</x:v>
      </x:c>
      <x:c r="F2774" s="2" t="str">
        <x:v>Store</x:v>
      </x:c>
      <x:c r="G2774" s="2" t="str">
        <x:v>Lighting</x:v>
      </x:c>
      <x:c r="H2774" s="2" t="str">
        <x:v>Lamp 005</x:v>
      </x:c>
      <x:c r="I2774" s="11" t="n">
        <x:v>4</x:v>
      </x:c>
      <x:c r="J2774" s="9" t="n">
        <x:v>65</x:v>
      </x:c>
      <x:c r="K2774" s="10" t="n">
        <x:v>0.05</x:v>
      </x:c>
      <x:c r="L2774" s="11" t="n">
        <x:v>0</x:v>
      </x:c>
      <x:c r="M2774" s="9" t="n">
        <x:f>IF(D2774="Completed",I2774*J2774,0)</x:f>
        <x:v>260</x:v>
      </x:c>
      <x:c r="N2774" s="9" t="n">
        <x:f>M2774*K2774</x:f>
        <x:v>13</x:v>
      </x:c>
      <x:c r="O2774" s="9" t="n">
        <x:f>M2774-N2774</x:f>
        <x:v>247</x:v>
      </x:c>
      <x:c r="P2774" s="9" t="n">
        <x:f>IF(D2774="Completed",L2774*J2774*(1-K2774),0)</x:f>
        <x:v>0</x:v>
      </x:c>
      <x:c r="Q2774" s="9" t="n">
        <x:f>O2774-P2774</x:f>
        <x:v>247</x:v>
      </x:c>
      <x:c r="R2774" s="11" t="n">
        <x:f>IF(D2774="Completed",I2774,0)</x:f>
        <x:v>4</x:v>
      </x:c>
      <x:c r="S2774" s="11" t="n">
        <x:f>IF(D2774="Completed",L2774,0)</x:f>
        <x:v>0</x:v>
      </x:c>
      <x:c r="T2774" s="8" t="n">
        <x:f>DATE(YEAR(C2774),MONTH(C2774),1)</x:f>
        <x:v>45689</x:v>
      </x:c>
    </x:row>
    <x:row r="2775" ht="22" customHeight="1">
      <x:c r="A2775" s="2" t="str">
        <x:v>L002771</x:v>
      </x:c>
      <x:c r="B2775" s="2" t="str">
        <x:v>O01134</x:v>
      </x:c>
      <x:c r="C2775" s="7" t="n">
        <x:v>45705</x:v>
      </x:c>
      <x:c r="D2775" s="2" t="str">
        <x:v>Completed</x:v>
      </x:c>
      <x:c r="E2775" s="2" t="str">
        <x:v>West</x:v>
      </x:c>
      <x:c r="F2775" s="2" t="str">
        <x:v>Store</x:v>
      </x:c>
      <x:c r="G2775" s="2" t="str">
        <x:v>Storage</x:v>
      </x:c>
      <x:c r="H2775" s="2" t="str">
        <x:v>Shelf 023</x:v>
      </x:c>
      <x:c r="I2775" s="11" t="n">
        <x:v>3</x:v>
      </x:c>
      <x:c r="J2775" s="9" t="n">
        <x:v>68</x:v>
      </x:c>
      <x:c r="K2775" s="10" t="n">
        <x:v>0.2</x:v>
      </x:c>
      <x:c r="L2775" s="11" t="n">
        <x:v>0</x:v>
      </x:c>
      <x:c r="M2775" s="9" t="n">
        <x:f>IF(D2775="Completed",I2775*J2775,0)</x:f>
        <x:v>204</x:v>
      </x:c>
      <x:c r="N2775" s="9" t="n">
        <x:f>M2775*K2775</x:f>
        <x:v>40.800000000000004</x:v>
      </x:c>
      <x:c r="O2775" s="9" t="n">
        <x:f>M2775-N2775</x:f>
        <x:v>163.2</x:v>
      </x:c>
      <x:c r="P2775" s="9" t="n">
        <x:f>IF(D2775="Completed",L2775*J2775*(1-K2775),0)</x:f>
        <x:v>0</x:v>
      </x:c>
      <x:c r="Q2775" s="9" t="n">
        <x:f>O2775-P2775</x:f>
        <x:v>163.2</x:v>
      </x:c>
      <x:c r="R2775" s="11" t="n">
        <x:f>IF(D2775="Completed",I2775,0)</x:f>
        <x:v>3</x:v>
      </x:c>
      <x:c r="S2775" s="11" t="n">
        <x:f>IF(D2775="Completed",L2775,0)</x:f>
        <x:v>0</x:v>
      </x:c>
      <x:c r="T2775" s="8" t="n">
        <x:f>DATE(YEAR(C2775),MONTH(C2775),1)</x:f>
        <x:v>45689</x:v>
      </x:c>
    </x:row>
    <x:row r="2776" ht="22" customHeight="1">
      <x:c r="A2776" s="2" t="str">
        <x:v>L002772</x:v>
      </x:c>
      <x:c r="B2776" s="2" t="str">
        <x:v>O01134</x:v>
      </x:c>
      <x:c r="C2776" s="7" t="n">
        <x:v>45705</x:v>
      </x:c>
      <x:c r="D2776" s="2" t="str">
        <x:v>Completed</x:v>
      </x:c>
      <x:c r="E2776" s="2" t="str">
        <x:v>West</x:v>
      </x:c>
      <x:c r="F2776" s="2" t="str">
        <x:v>Store</x:v>
      </x:c>
      <x:c r="G2776" s="2" t="str">
        <x:v>Lighting</x:v>
      </x:c>
      <x:c r="H2776" s="2" t="str">
        <x:v>Lamp 013</x:v>
      </x:c>
      <x:c r="I2776" s="11" t="n">
        <x:v>5</x:v>
      </x:c>
      <x:c r="J2776" s="9" t="n">
        <x:v>271</x:v>
      </x:c>
      <x:c r="K2776" s="10" t="n">
        <x:v>0.05</x:v>
      </x:c>
      <x:c r="L2776" s="11" t="n">
        <x:v>0</x:v>
      </x:c>
      <x:c r="M2776" s="9" t="n">
        <x:f>IF(D2776="Completed",I2776*J2776,0)</x:f>
        <x:v>1355</x:v>
      </x:c>
      <x:c r="N2776" s="9" t="n">
        <x:f>M2776*K2776</x:f>
        <x:v>67.75</x:v>
      </x:c>
      <x:c r="O2776" s="9" t="n">
        <x:f>M2776-N2776</x:f>
        <x:v>1287.25</x:v>
      </x:c>
      <x:c r="P2776" s="9" t="n">
        <x:f>IF(D2776="Completed",L2776*J2776*(1-K2776),0)</x:f>
        <x:v>0</x:v>
      </x:c>
      <x:c r="Q2776" s="9" t="n">
        <x:f>O2776-P2776</x:f>
        <x:v>1287.25</x:v>
      </x:c>
      <x:c r="R2776" s="11" t="n">
        <x:f>IF(D2776="Completed",I2776,0)</x:f>
        <x:v>5</x:v>
      </x:c>
      <x:c r="S2776" s="11" t="n">
        <x:f>IF(D2776="Completed",L2776,0)</x:f>
        <x:v>0</x:v>
      </x:c>
      <x:c r="T2776" s="8" t="n">
        <x:f>DATE(YEAR(C2776),MONTH(C2776),1)</x:f>
        <x:v>45689</x:v>
      </x:c>
    </x:row>
    <x:row r="2777" ht="22" customHeight="1">
      <x:c r="A2777" s="2" t="str">
        <x:v>L002773</x:v>
      </x:c>
      <x:c r="B2777" s="2" t="str">
        <x:v>O01135</x:v>
      </x:c>
      <x:c r="C2777" s="7" t="n">
        <x:v>45931</x:v>
      </x:c>
      <x:c r="D2777" s="2" t="str">
        <x:v>Completed</x:v>
      </x:c>
      <x:c r="E2777" s="2" t="str">
        <x:v>North</x:v>
      </x:c>
      <x:c r="F2777" s="2" t="str">
        <x:v>Store</x:v>
      </x:c>
      <x:c r="G2777" s="2" t="str">
        <x:v>Furniture</x:v>
      </x:c>
      <x:c r="H2777" s="2" t="str">
        <x:v>Desk 020</x:v>
      </x:c>
      <x:c r="I2777" s="11" t="n">
        <x:v>2</x:v>
      </x:c>
      <x:c r="J2777" s="9" t="n">
        <x:v>189</x:v>
      </x:c>
      <x:c r="K2777" s="10" t="n">
        <x:v>0.2</x:v>
      </x:c>
      <x:c r="L2777" s="11" t="n">
        <x:v>0</x:v>
      </x:c>
      <x:c r="M2777" s="9" t="n">
        <x:f>IF(D2777="Completed",I2777*J2777,0)</x:f>
        <x:v>378</x:v>
      </x:c>
      <x:c r="N2777" s="9" t="n">
        <x:f>M2777*K2777</x:f>
        <x:v>75.60000000000001</x:v>
      </x:c>
      <x:c r="O2777" s="9" t="n">
        <x:f>M2777-N2777</x:f>
        <x:v>302.4</x:v>
      </x:c>
      <x:c r="P2777" s="9" t="n">
        <x:f>IF(D2777="Completed",L2777*J2777*(1-K2777),0)</x:f>
        <x:v>0</x:v>
      </x:c>
      <x:c r="Q2777" s="9" t="n">
        <x:f>O2777-P2777</x:f>
        <x:v>302.4</x:v>
      </x:c>
      <x:c r="R2777" s="11" t="n">
        <x:f>IF(D2777="Completed",I2777,0)</x:f>
        <x:v>2</x:v>
      </x:c>
      <x:c r="S2777" s="11" t="n">
        <x:f>IF(D2777="Completed",L2777,0)</x:f>
        <x:v>0</x:v>
      </x:c>
      <x:c r="T2777" s="8" t="n">
        <x:f>DATE(YEAR(C2777),MONTH(C2777),1)</x:f>
        <x:v>45931</x:v>
      </x:c>
    </x:row>
    <x:row r="2778" ht="22" customHeight="1">
      <x:c r="A2778" s="2" t="str">
        <x:v>L002774</x:v>
      </x:c>
      <x:c r="B2778" s="2" t="str">
        <x:v>O01135</x:v>
      </x:c>
      <x:c r="C2778" s="7" t="n">
        <x:v>45931</x:v>
      </x:c>
      <x:c r="D2778" s="2" t="str">
        <x:v>Completed</x:v>
      </x:c>
      <x:c r="E2778" s="2" t="str">
        <x:v>North</x:v>
      </x:c>
      <x:c r="F2778" s="2" t="str">
        <x:v>Store</x:v>
      </x:c>
      <x:c r="G2778" s="2" t="str">
        <x:v>Storage</x:v>
      </x:c>
      <x:c r="H2778" s="2" t="str">
        <x:v>Shelf 007</x:v>
      </x:c>
      <x:c r="I2778" s="11" t="n">
        <x:v>1</x:v>
      </x:c>
      <x:c r="J2778" s="9" t="n">
        <x:v>35</x:v>
      </x:c>
      <x:c r="K2778" s="10" t="n">
        <x:v>0.1</x:v>
      </x:c>
      <x:c r="L2778" s="11" t="n">
        <x:v>0</x:v>
      </x:c>
      <x:c r="M2778" s="9" t="n">
        <x:f>IF(D2778="Completed",I2778*J2778,0)</x:f>
        <x:v>35</x:v>
      </x:c>
      <x:c r="N2778" s="9" t="n">
        <x:f>M2778*K2778</x:f>
        <x:v>3.5</x:v>
      </x:c>
      <x:c r="O2778" s="9" t="n">
        <x:f>M2778-N2778</x:f>
        <x:v>31.5</x:v>
      </x:c>
      <x:c r="P2778" s="9" t="n">
        <x:f>IF(D2778="Completed",L2778*J2778*(1-K2778),0)</x:f>
        <x:v>0</x:v>
      </x:c>
      <x:c r="Q2778" s="9" t="n">
        <x:f>O2778-P2778</x:f>
        <x:v>31.5</x:v>
      </x:c>
      <x:c r="R2778" s="11" t="n">
        <x:f>IF(D2778="Completed",I2778,0)</x:f>
        <x:v>1</x:v>
      </x:c>
      <x:c r="S2778" s="11" t="n">
        <x:f>IF(D2778="Completed",L2778,0)</x:f>
        <x:v>0</x:v>
      </x:c>
      <x:c r="T2778" s="8" t="n">
        <x:f>DATE(YEAR(C2778),MONTH(C2778),1)</x:f>
        <x:v>45931</x:v>
      </x:c>
    </x:row>
    <x:row r="2779" ht="22" customHeight="1">
      <x:c r="A2779" s="2" t="str">
        <x:v>L002775</x:v>
      </x:c>
      <x:c r="B2779" s="2" t="str">
        <x:v>O01135</x:v>
      </x:c>
      <x:c r="C2779" s="7" t="n">
        <x:v>45931</x:v>
      </x:c>
      <x:c r="D2779" s="2" t="str">
        <x:v>Completed</x:v>
      </x:c>
      <x:c r="E2779" s="2" t="str">
        <x:v>North</x:v>
      </x:c>
      <x:c r="F2779" s="2" t="str">
        <x:v>Store</x:v>
      </x:c>
      <x:c r="G2779" s="2" t="str">
        <x:v>Storage</x:v>
      </x:c>
      <x:c r="H2779" s="2" t="str">
        <x:v>Shelf 015</x:v>
      </x:c>
      <x:c r="I2779" s="11" t="n">
        <x:v>5</x:v>
      </x:c>
      <x:c r="J2779" s="9" t="n">
        <x:v>254</x:v>
      </x:c>
      <x:c r="K2779" s="10" t="n">
        <x:v>0.05</x:v>
      </x:c>
      <x:c r="L2779" s="11" t="n">
        <x:v>0</x:v>
      </x:c>
      <x:c r="M2779" s="9" t="n">
        <x:f>IF(D2779="Completed",I2779*J2779,0)</x:f>
        <x:v>1270</x:v>
      </x:c>
      <x:c r="N2779" s="9" t="n">
        <x:f>M2779*K2779</x:f>
        <x:v>63.5</x:v>
      </x:c>
      <x:c r="O2779" s="9" t="n">
        <x:f>M2779-N2779</x:f>
        <x:v>1206.5</x:v>
      </x:c>
      <x:c r="P2779" s="9" t="n">
        <x:f>IF(D2779="Completed",L2779*J2779*(1-K2779),0)</x:f>
        <x:v>0</x:v>
      </x:c>
      <x:c r="Q2779" s="9" t="n">
        <x:f>O2779-P2779</x:f>
        <x:v>1206.5</x:v>
      </x:c>
      <x:c r="R2779" s="11" t="n">
        <x:f>IF(D2779="Completed",I2779,0)</x:f>
        <x:v>5</x:v>
      </x:c>
      <x:c r="S2779" s="11" t="n">
        <x:f>IF(D2779="Completed",L2779,0)</x:f>
        <x:v>0</x:v>
      </x:c>
      <x:c r="T2779" s="8" t="n">
        <x:f>DATE(YEAR(C2779),MONTH(C2779),1)</x:f>
        <x:v>45931</x:v>
      </x:c>
    </x:row>
    <x:row r="2780" ht="22" customHeight="1">
      <x:c r="A2780" s="2" t="str">
        <x:v>L002776</x:v>
      </x:c>
      <x:c r="B2780" s="2" t="str">
        <x:v>O01136</x:v>
      </x:c>
      <x:c r="C2780" s="7" t="n">
        <x:v>45939</x:v>
      </x:c>
      <x:c r="D2780" s="2" t="str">
        <x:v>Completed</x:v>
      </x:c>
      <x:c r="E2780" s="2" t="str">
        <x:v>East</x:v>
      </x:c>
      <x:c r="F2780" s="2" t="str">
        <x:v>Store</x:v>
      </x:c>
      <x:c r="G2780" s="2" t="str">
        <x:v>Lighting</x:v>
      </x:c>
      <x:c r="H2780" s="2" t="str">
        <x:v>Lamp 017</x:v>
      </x:c>
      <x:c r="I2780" s="11" t="n">
        <x:v>4</x:v>
      </x:c>
      <x:c r="J2780" s="9" t="n">
        <x:v>300</x:v>
      </x:c>
      <x:c r="K2780" s="10" t="n">
        <x:v>0.05</x:v>
      </x:c>
      <x:c r="L2780" s="11" t="n">
        <x:v>0</x:v>
      </x:c>
      <x:c r="M2780" s="9" t="n">
        <x:f>IF(D2780="Completed",I2780*J2780,0)</x:f>
        <x:v>1200</x:v>
      </x:c>
      <x:c r="N2780" s="9" t="n">
        <x:f>M2780*K2780</x:f>
        <x:v>60</x:v>
      </x:c>
      <x:c r="O2780" s="9" t="n">
        <x:f>M2780-N2780</x:f>
        <x:v>1140</x:v>
      </x:c>
      <x:c r="P2780" s="9" t="n">
        <x:f>IF(D2780="Completed",L2780*J2780*(1-K2780),0)</x:f>
        <x:v>0</x:v>
      </x:c>
      <x:c r="Q2780" s="9" t="n">
        <x:f>O2780-P2780</x:f>
        <x:v>1140</x:v>
      </x:c>
      <x:c r="R2780" s="11" t="n">
        <x:f>IF(D2780="Completed",I2780,0)</x:f>
        <x:v>4</x:v>
      </x:c>
      <x:c r="S2780" s="11" t="n">
        <x:f>IF(D2780="Completed",L2780,0)</x:f>
        <x:v>0</x:v>
      </x:c>
      <x:c r="T2780" s="8" t="n">
        <x:f>DATE(YEAR(C2780),MONTH(C2780),1)</x:f>
        <x:v>45931</x:v>
      </x:c>
    </x:row>
    <x:row r="2781" ht="22" customHeight="1">
      <x:c r="A2781" s="2" t="str">
        <x:v>L002777</x:v>
      </x:c>
      <x:c r="B2781" s="2" t="str">
        <x:v>O01136</x:v>
      </x:c>
      <x:c r="C2781" s="7" t="n">
        <x:v>45939</x:v>
      </x:c>
      <x:c r="D2781" s="2" t="str">
        <x:v>Completed</x:v>
      </x:c>
      <x:c r="E2781" s="2" t="str">
        <x:v>East</x:v>
      </x:c>
      <x:c r="F2781" s="2" t="str">
        <x:v>Store</x:v>
      </x:c>
      <x:c r="G2781" s="2" t="str">
        <x:v>Lighting</x:v>
      </x:c>
      <x:c r="H2781" s="2" t="str">
        <x:v>Lamp 021</x:v>
      </x:c>
      <x:c r="I2781" s="11" t="n">
        <x:v>2</x:v>
      </x:c>
      <x:c r="J2781" s="9" t="n">
        <x:v>249</x:v>
      </x:c>
      <x:c r="K2781" s="10" t="n">
        <x:v>0.1</x:v>
      </x:c>
      <x:c r="L2781" s="11" t="n">
        <x:v>0</x:v>
      </x:c>
      <x:c r="M2781" s="9" t="n">
        <x:f>IF(D2781="Completed",I2781*J2781,0)</x:f>
        <x:v>498</x:v>
      </x:c>
      <x:c r="N2781" s="9" t="n">
        <x:f>M2781*K2781</x:f>
        <x:v>49.800000000000004</x:v>
      </x:c>
      <x:c r="O2781" s="9" t="n">
        <x:f>M2781-N2781</x:f>
        <x:v>448.2</x:v>
      </x:c>
      <x:c r="P2781" s="9" t="n">
        <x:f>IF(D2781="Completed",L2781*J2781*(1-K2781),0)</x:f>
        <x:v>0</x:v>
      </x:c>
      <x:c r="Q2781" s="9" t="n">
        <x:f>O2781-P2781</x:f>
        <x:v>448.2</x:v>
      </x:c>
      <x:c r="R2781" s="11" t="n">
        <x:f>IF(D2781="Completed",I2781,0)</x:f>
        <x:v>2</x:v>
      </x:c>
      <x:c r="S2781" s="11" t="n">
        <x:f>IF(D2781="Completed",L2781,0)</x:f>
        <x:v>0</x:v>
      </x:c>
      <x:c r="T2781" s="8" t="n">
        <x:f>DATE(YEAR(C2781),MONTH(C2781),1)</x:f>
        <x:v>45931</x:v>
      </x:c>
    </x:row>
    <x:row r="2782" ht="22" customHeight="1">
      <x:c r="A2782" s="2" t="str">
        <x:v>L002778</x:v>
      </x:c>
      <x:c r="B2782" s="2" t="str">
        <x:v>O01136</x:v>
      </x:c>
      <x:c r="C2782" s="7" t="n">
        <x:v>45939</x:v>
      </x:c>
      <x:c r="D2782" s="2" t="str">
        <x:v>Completed</x:v>
      </x:c>
      <x:c r="E2782" s="2" t="str">
        <x:v>East</x:v>
      </x:c>
      <x:c r="F2782" s="2" t="str">
        <x:v>Store</x:v>
      </x:c>
      <x:c r="G2782" s="2" t="str">
        <x:v>Furniture</x:v>
      </x:c>
      <x:c r="H2782" s="2" t="str">
        <x:v>Chair 002</x:v>
      </x:c>
      <x:c r="I2782" s="11" t="n">
        <x:v>4</x:v>
      </x:c>
      <x:c r="J2782" s="9" t="n">
        <x:v>284</x:v>
      </x:c>
      <x:c r="K2782" s="10" t="n">
        <x:v>0.05</x:v>
      </x:c>
      <x:c r="L2782" s="11" t="n">
        <x:v>0</x:v>
      </x:c>
      <x:c r="M2782" s="9" t="n">
        <x:f>IF(D2782="Completed",I2782*J2782,0)</x:f>
        <x:v>1136</x:v>
      </x:c>
      <x:c r="N2782" s="9" t="n">
        <x:f>M2782*K2782</x:f>
        <x:v>56.800000000000004</x:v>
      </x:c>
      <x:c r="O2782" s="9" t="n">
        <x:f>M2782-N2782</x:f>
        <x:v>1079.2</x:v>
      </x:c>
      <x:c r="P2782" s="9" t="n">
        <x:f>IF(D2782="Completed",L2782*J2782*(1-K2782),0)</x:f>
        <x:v>0</x:v>
      </x:c>
      <x:c r="Q2782" s="9" t="n">
        <x:f>O2782-P2782</x:f>
        <x:v>1079.2</x:v>
      </x:c>
      <x:c r="R2782" s="11" t="n">
        <x:f>IF(D2782="Completed",I2782,0)</x:f>
        <x:v>4</x:v>
      </x:c>
      <x:c r="S2782" s="11" t="n">
        <x:f>IF(D2782="Completed",L2782,0)</x:f>
        <x:v>0</x:v>
      </x:c>
      <x:c r="T2782" s="8" t="n">
        <x:f>DATE(YEAR(C2782),MONTH(C2782),1)</x:f>
        <x:v>45931</x:v>
      </x:c>
    </x:row>
    <x:row r="2783" ht="22" customHeight="1">
      <x:c r="A2783" s="2" t="str">
        <x:v>L002779</x:v>
      </x:c>
      <x:c r="B2783" s="2" t="str">
        <x:v>O01136</x:v>
      </x:c>
      <x:c r="C2783" s="7" t="n">
        <x:v>45939</x:v>
      </x:c>
      <x:c r="D2783" s="2" t="str">
        <x:v>Completed</x:v>
      </x:c>
      <x:c r="E2783" s="2" t="str">
        <x:v>East</x:v>
      </x:c>
      <x:c r="F2783" s="2" t="str">
        <x:v>Store</x:v>
      </x:c>
      <x:c r="G2783" s="2" t="str">
        <x:v>Lighting</x:v>
      </x:c>
      <x:c r="H2783" s="2" t="str">
        <x:v>Lamp 009</x:v>
      </x:c>
      <x:c r="I2783" s="11" t="n">
        <x:v>1</x:v>
      </x:c>
      <x:c r="J2783" s="9" t="n">
        <x:v>93</x:v>
      </x:c>
      <x:c r="K2783" s="10" t="n">
        <x:v>0.05</x:v>
      </x:c>
      <x:c r="L2783" s="11" t="n">
        <x:v>1</x:v>
      </x:c>
      <x:c r="M2783" s="9" t="n">
        <x:f>IF(D2783="Completed",I2783*J2783,0)</x:f>
        <x:v>93</x:v>
      </x:c>
      <x:c r="N2783" s="9" t="n">
        <x:f>M2783*K2783</x:f>
        <x:v>4.65</x:v>
      </x:c>
      <x:c r="O2783" s="9" t="n">
        <x:f>M2783-N2783</x:f>
        <x:v>88.35</x:v>
      </x:c>
      <x:c r="P2783" s="9" t="n">
        <x:f>IF(D2783="Completed",L2783*J2783*(1-K2783),0)</x:f>
        <x:v>88.35</x:v>
      </x:c>
      <x:c r="Q2783" s="9" t="n">
        <x:f>O2783-P2783</x:f>
        <x:v>0</x:v>
      </x:c>
      <x:c r="R2783" s="11" t="n">
        <x:f>IF(D2783="Completed",I2783,0)</x:f>
        <x:v>1</x:v>
      </x:c>
      <x:c r="S2783" s="11" t="n">
        <x:f>IF(D2783="Completed",L2783,0)</x:f>
        <x:v>1</x:v>
      </x:c>
      <x:c r="T2783" s="8" t="n">
        <x:f>DATE(YEAR(C2783),MONTH(C2783),1)</x:f>
        <x:v>45931</x:v>
      </x:c>
    </x:row>
    <x:row r="2784" ht="22" customHeight="1">
      <x:c r="A2784" s="2" t="str">
        <x:v>L002780</x:v>
      </x:c>
      <x:c r="B2784" s="2" t="str">
        <x:v>O01137</x:v>
      </x:c>
      <x:c r="C2784" s="7" t="n">
        <x:v>45784</x:v>
      </x:c>
      <x:c r="D2784" s="2" t="str">
        <x:v>Completed</x:v>
      </x:c>
      <x:c r="E2784" s="2" t="str">
        <x:v>East</x:v>
      </x:c>
      <x:c r="F2784" s="2" t="str">
        <x:v>Online</x:v>
      </x:c>
      <x:c r="G2784" s="2" t="str">
        <x:v>Furniture</x:v>
      </x:c>
      <x:c r="H2784" s="2" t="str">
        <x:v>Chair 002</x:v>
      </x:c>
      <x:c r="I2784" s="11" t="n">
        <x:v>3</x:v>
      </x:c>
      <x:c r="J2784" s="9" t="n">
        <x:v>284</x:v>
      </x:c>
      <x:c r="K2784" s="10" t="n">
        <x:v>0.2</x:v>
      </x:c>
      <x:c r="L2784" s="11" t="n">
        <x:v>0</x:v>
      </x:c>
      <x:c r="M2784" s="9" t="n">
        <x:f>IF(D2784="Completed",I2784*J2784,0)</x:f>
        <x:v>852</x:v>
      </x:c>
      <x:c r="N2784" s="9" t="n">
        <x:f>M2784*K2784</x:f>
        <x:v>170.4</x:v>
      </x:c>
      <x:c r="O2784" s="9" t="n">
        <x:f>M2784-N2784</x:f>
        <x:v>681.6</x:v>
      </x:c>
      <x:c r="P2784" s="9" t="n">
        <x:f>IF(D2784="Completed",L2784*J2784*(1-K2784),0)</x:f>
        <x:v>0</x:v>
      </x:c>
      <x:c r="Q2784" s="9" t="n">
        <x:f>O2784-P2784</x:f>
        <x:v>681.6</x:v>
      </x:c>
      <x:c r="R2784" s="11" t="n">
        <x:f>IF(D2784="Completed",I2784,0)</x:f>
        <x:v>3</x:v>
      </x:c>
      <x:c r="S2784" s="11" t="n">
        <x:f>IF(D2784="Completed",L2784,0)</x:f>
        <x:v>0</x:v>
      </x:c>
      <x:c r="T2784" s="8" t="n">
        <x:f>DATE(YEAR(C2784),MONTH(C2784),1)</x:f>
        <x:v>45778</x:v>
      </x:c>
    </x:row>
    <x:row r="2785" ht="22" customHeight="1">
      <x:c r="A2785" s="2" t="str">
        <x:v>L002781</x:v>
      </x:c>
      <x:c r="B2785" s="2" t="str">
        <x:v>O01137</x:v>
      </x:c>
      <x:c r="C2785" s="7" t="n">
        <x:v>45784</x:v>
      </x:c>
      <x:c r="D2785" s="2" t="str">
        <x:v>Completed</x:v>
      </x:c>
      <x:c r="E2785" s="2" t="str">
        <x:v>East</x:v>
      </x:c>
      <x:c r="F2785" s="2" t="str">
        <x:v>Online</x:v>
      </x:c>
      <x:c r="G2785" s="2" t="str">
        <x:v>Lighting</x:v>
      </x:c>
      <x:c r="H2785" s="2" t="str">
        <x:v>Lamp 001</x:v>
      </x:c>
      <x:c r="I2785" s="11" t="n">
        <x:v>5</x:v>
      </x:c>
      <x:c r="J2785" s="9" t="n">
        <x:v>122</x:v>
      </x:c>
      <x:c r="K2785" s="10" t="n">
        <x:v>0</x:v>
      </x:c>
      <x:c r="L2785" s="11" t="n">
        <x:v>0</x:v>
      </x:c>
      <x:c r="M2785" s="9" t="n">
        <x:f>IF(D2785="Completed",I2785*J2785,0)</x:f>
        <x:v>610</x:v>
      </x:c>
      <x:c r="N2785" s="9" t="n">
        <x:f>M2785*K2785</x:f>
        <x:v>0</x:v>
      </x:c>
      <x:c r="O2785" s="9" t="n">
        <x:f>M2785-N2785</x:f>
        <x:v>610</x:v>
      </x:c>
      <x:c r="P2785" s="9" t="n">
        <x:f>IF(D2785="Completed",L2785*J2785*(1-K2785),0)</x:f>
        <x:v>0</x:v>
      </x:c>
      <x:c r="Q2785" s="9" t="n">
        <x:f>O2785-P2785</x:f>
        <x:v>610</x:v>
      </x:c>
      <x:c r="R2785" s="11" t="n">
        <x:f>IF(D2785="Completed",I2785,0)</x:f>
        <x:v>5</x:v>
      </x:c>
      <x:c r="S2785" s="11" t="n">
        <x:f>IF(D2785="Completed",L2785,0)</x:f>
        <x:v>0</x:v>
      </x:c>
      <x:c r="T2785" s="8" t="n">
        <x:f>DATE(YEAR(C2785),MONTH(C2785),1)</x:f>
        <x:v>45778</x:v>
      </x:c>
    </x:row>
    <x:row r="2786" ht="22" customHeight="1">
      <x:c r="A2786" s="2" t="str">
        <x:v>L002782</x:v>
      </x:c>
      <x:c r="B2786" s="2" t="str">
        <x:v>O01137</x:v>
      </x:c>
      <x:c r="C2786" s="7" t="n">
        <x:v>45784</x:v>
      </x:c>
      <x:c r="D2786" s="2" t="str">
        <x:v>Completed</x:v>
      </x:c>
      <x:c r="E2786" s="2" t="str">
        <x:v>East</x:v>
      </x:c>
      <x:c r="F2786" s="2" t="str">
        <x:v>Online</x:v>
      </x:c>
      <x:c r="G2786" s="2" t="str">
        <x:v>Furniture</x:v>
      </x:c>
      <x:c r="H2786" s="2" t="str">
        <x:v>Desk 012</x:v>
      </x:c>
      <x:c r="I2786" s="11" t="n">
        <x:v>3</x:v>
      </x:c>
      <x:c r="J2786" s="9" t="n">
        <x:v>134</x:v>
      </x:c>
      <x:c r="K2786" s="10" t="n">
        <x:v>0.2</x:v>
      </x:c>
      <x:c r="L2786" s="11" t="n">
        <x:v>0</x:v>
      </x:c>
      <x:c r="M2786" s="9" t="n">
        <x:f>IF(D2786="Completed",I2786*J2786,0)</x:f>
        <x:v>402</x:v>
      </x:c>
      <x:c r="N2786" s="9" t="n">
        <x:f>M2786*K2786</x:f>
        <x:v>80.4</x:v>
      </x:c>
      <x:c r="O2786" s="9" t="n">
        <x:f>M2786-N2786</x:f>
        <x:v>321.6</x:v>
      </x:c>
      <x:c r="P2786" s="9" t="n">
        <x:f>IF(D2786="Completed",L2786*J2786*(1-K2786),0)</x:f>
        <x:v>0</x:v>
      </x:c>
      <x:c r="Q2786" s="9" t="n">
        <x:f>O2786-P2786</x:f>
        <x:v>321.6</x:v>
      </x:c>
      <x:c r="R2786" s="11" t="n">
        <x:f>IF(D2786="Completed",I2786,0)</x:f>
        <x:v>3</x:v>
      </x:c>
      <x:c r="S2786" s="11" t="n">
        <x:f>IF(D2786="Completed",L2786,0)</x:f>
        <x:v>0</x:v>
      </x:c>
      <x:c r="T2786" s="8" t="n">
        <x:f>DATE(YEAR(C2786),MONTH(C2786),1)</x:f>
        <x:v>45778</x:v>
      </x:c>
    </x:row>
    <x:row r="2787" ht="22" customHeight="1">
      <x:c r="A2787" s="2" t="str">
        <x:v>L002783</x:v>
      </x:c>
      <x:c r="B2787" s="2" t="str">
        <x:v>O01138</x:v>
      </x:c>
      <x:c r="C2787" s="7" t="n">
        <x:v>46006</x:v>
      </x:c>
      <x:c r="D2787" s="2" t="str">
        <x:v>Cancelled</x:v>
      </x:c>
      <x:c r="E2787" s="2" t="str">
        <x:v>North</x:v>
      </x:c>
      <x:c r="F2787" s="2" t="str">
        <x:v>Online</x:v>
      </x:c>
      <x:c r="G2787" s="2" t="str">
        <x:v>Storage</x:v>
      </x:c>
      <x:c r="H2787" s="2" t="str">
        <x:v>Shelf 023</x:v>
      </x:c>
      <x:c r="I2787" s="11" t="n">
        <x:v>4</x:v>
      </x:c>
      <x:c r="J2787" s="9" t="n">
        <x:v>68</x:v>
      </x:c>
      <x:c r="K2787" s="10" t="n">
        <x:v>0.05</x:v>
      </x:c>
      <x:c r="L2787" s="11" t="n">
        <x:v>0</x:v>
      </x:c>
      <x:c r="M2787" s="9" t="n">
        <x:f>IF(D2787="Completed",I2787*J2787,0)</x:f>
        <x:v>0</x:v>
      </x:c>
      <x:c r="N2787" s="9" t="n">
        <x:f>M2787*K2787</x:f>
        <x:v>0</x:v>
      </x:c>
      <x:c r="O2787" s="9" t="n">
        <x:f>M2787-N2787</x:f>
        <x:v>0</x:v>
      </x:c>
      <x:c r="P2787" s="9" t="n">
        <x:f>IF(D2787="Completed",L2787*J2787*(1-K2787),0)</x:f>
        <x:v>0</x:v>
      </x:c>
      <x:c r="Q2787" s="9" t="n">
        <x:f>O2787-P2787</x:f>
        <x:v>0</x:v>
      </x:c>
      <x:c r="R2787" s="11" t="n">
        <x:f>IF(D2787="Completed",I2787,0)</x:f>
        <x:v>0</x:v>
      </x:c>
      <x:c r="S2787" s="11" t="n">
        <x:f>IF(D2787="Completed",L2787,0)</x:f>
        <x:v>0</x:v>
      </x:c>
      <x:c r="T2787" s="8" t="n">
        <x:f>DATE(YEAR(C2787),MONTH(C2787),1)</x:f>
        <x:v>45992</x:v>
      </x:c>
    </x:row>
    <x:row r="2788" ht="22" customHeight="1">
      <x:c r="A2788" s="2" t="str">
        <x:v>L002784</x:v>
      </x:c>
      <x:c r="B2788" s="2" t="str">
        <x:v>O01138</x:v>
      </x:c>
      <x:c r="C2788" s="7" t="n">
        <x:v>46006</x:v>
      </x:c>
      <x:c r="D2788" s="2" t="str">
        <x:v>Cancelled</x:v>
      </x:c>
      <x:c r="E2788" s="2" t="str">
        <x:v>North</x:v>
      </x:c>
      <x:c r="F2788" s="2" t="str">
        <x:v>Online</x:v>
      </x:c>
      <x:c r="G2788" s="2" t="str">
        <x:v>Furniture</x:v>
      </x:c>
      <x:c r="H2788" s="2" t="str">
        <x:v>Desk 016</x:v>
      </x:c>
      <x:c r="I2788" s="11" t="n">
        <x:v>5</x:v>
      </x:c>
      <x:c r="J2788" s="9" t="n">
        <x:v>231</x:v>
      </x:c>
      <x:c r="K2788" s="10" t="n">
        <x:v>0.1</x:v>
      </x:c>
      <x:c r="L2788" s="11" t="n">
        <x:v>0</x:v>
      </x:c>
      <x:c r="M2788" s="9" t="n">
        <x:f>IF(D2788="Completed",I2788*J2788,0)</x:f>
        <x:v>0</x:v>
      </x:c>
      <x:c r="N2788" s="9" t="n">
        <x:f>M2788*K2788</x:f>
        <x:v>0</x:v>
      </x:c>
      <x:c r="O2788" s="9" t="n">
        <x:f>M2788-N2788</x:f>
        <x:v>0</x:v>
      </x:c>
      <x:c r="P2788" s="9" t="n">
        <x:f>IF(D2788="Completed",L2788*J2788*(1-K2788),0)</x:f>
        <x:v>0</x:v>
      </x:c>
      <x:c r="Q2788" s="9" t="n">
        <x:f>O2788-P2788</x:f>
        <x:v>0</x:v>
      </x:c>
      <x:c r="R2788" s="11" t="n">
        <x:f>IF(D2788="Completed",I2788,0)</x:f>
        <x:v>0</x:v>
      </x:c>
      <x:c r="S2788" s="11" t="n">
        <x:f>IF(D2788="Completed",L2788,0)</x:f>
        <x:v>0</x:v>
      </x:c>
      <x:c r="T2788" s="8" t="n">
        <x:f>DATE(YEAR(C2788),MONTH(C2788),1)</x:f>
        <x:v>45992</x:v>
      </x:c>
    </x:row>
    <x:row r="2789" ht="22" customHeight="1">
      <x:c r="A2789" s="2" t="str">
        <x:v>L002785</x:v>
      </x:c>
      <x:c r="B2789" s="2" t="str">
        <x:v>O01138</x:v>
      </x:c>
      <x:c r="C2789" s="7" t="n">
        <x:v>46006</x:v>
      </x:c>
      <x:c r="D2789" s="2" t="str">
        <x:v>Cancelled</x:v>
      </x:c>
      <x:c r="E2789" s="2" t="str">
        <x:v>North</x:v>
      </x:c>
      <x:c r="F2789" s="2" t="str">
        <x:v>Online</x:v>
      </x:c>
      <x:c r="G2789" s="2" t="str">
        <x:v>Lighting</x:v>
      </x:c>
      <x:c r="H2789" s="2" t="str">
        <x:v>Lamp 021</x:v>
      </x:c>
      <x:c r="I2789" s="11" t="n">
        <x:v>4</x:v>
      </x:c>
      <x:c r="J2789" s="9" t="n">
        <x:v>249</x:v>
      </x:c>
      <x:c r="K2789" s="10" t="n">
        <x:v>0.2</x:v>
      </x:c>
      <x:c r="L2789" s="11" t="n">
        <x:v>0</x:v>
      </x:c>
      <x:c r="M2789" s="9" t="n">
        <x:f>IF(D2789="Completed",I2789*J2789,0)</x:f>
        <x:v>0</x:v>
      </x:c>
      <x:c r="N2789" s="9" t="n">
        <x:f>M2789*K2789</x:f>
        <x:v>0</x:v>
      </x:c>
      <x:c r="O2789" s="9" t="n">
        <x:f>M2789-N2789</x:f>
        <x:v>0</x:v>
      </x:c>
      <x:c r="P2789" s="9" t="n">
        <x:f>IF(D2789="Completed",L2789*J2789*(1-K2789),0)</x:f>
        <x:v>0</x:v>
      </x:c>
      <x:c r="Q2789" s="9" t="n">
        <x:f>O2789-P2789</x:f>
        <x:v>0</x:v>
      </x:c>
      <x:c r="R2789" s="11" t="n">
        <x:f>IF(D2789="Completed",I2789,0)</x:f>
        <x:v>0</x:v>
      </x:c>
      <x:c r="S2789" s="11" t="n">
        <x:f>IF(D2789="Completed",L2789,0)</x:f>
        <x:v>0</x:v>
      </x:c>
      <x:c r="T2789" s="8" t="n">
        <x:f>DATE(YEAR(C2789),MONTH(C2789),1)</x:f>
        <x:v>45992</x:v>
      </x:c>
    </x:row>
    <x:row r="2790" ht="22" customHeight="1">
      <x:c r="A2790" s="2" t="str">
        <x:v>L002786</x:v>
      </x:c>
      <x:c r="B2790" s="2" t="str">
        <x:v>O01138</x:v>
      </x:c>
      <x:c r="C2790" s="7" t="n">
        <x:v>46006</x:v>
      </x:c>
      <x:c r="D2790" s="2" t="str">
        <x:v>Cancelled</x:v>
      </x:c>
      <x:c r="E2790" s="2" t="str">
        <x:v>North</x:v>
      </x:c>
      <x:c r="F2790" s="2" t="str">
        <x:v>Online</x:v>
      </x:c>
      <x:c r="G2790" s="2" t="str">
        <x:v>Furniture</x:v>
      </x:c>
      <x:c r="H2790" s="2" t="str">
        <x:v>Chair 006</x:v>
      </x:c>
      <x:c r="I2790" s="11" t="n">
        <x:v>3</x:v>
      </x:c>
      <x:c r="J2790" s="9" t="n">
        <x:v>196</x:v>
      </x:c>
      <x:c r="K2790" s="10" t="n">
        <x:v>0.05</x:v>
      </x:c>
      <x:c r="L2790" s="11" t="n">
        <x:v>0</x:v>
      </x:c>
      <x:c r="M2790" s="9" t="n">
        <x:f>IF(D2790="Completed",I2790*J2790,0)</x:f>
        <x:v>0</x:v>
      </x:c>
      <x:c r="N2790" s="9" t="n">
        <x:f>M2790*K2790</x:f>
        <x:v>0</x:v>
      </x:c>
      <x:c r="O2790" s="9" t="n">
        <x:f>M2790-N2790</x:f>
        <x:v>0</x:v>
      </x:c>
      <x:c r="P2790" s="9" t="n">
        <x:f>IF(D2790="Completed",L2790*J2790*(1-K2790),0)</x:f>
        <x:v>0</x:v>
      </x:c>
      <x:c r="Q2790" s="9" t="n">
        <x:f>O2790-P2790</x:f>
        <x:v>0</x:v>
      </x:c>
      <x:c r="R2790" s="11" t="n">
        <x:f>IF(D2790="Completed",I2790,0)</x:f>
        <x:v>0</x:v>
      </x:c>
      <x:c r="S2790" s="11" t="n">
        <x:f>IF(D2790="Completed",L2790,0)</x:f>
        <x:v>0</x:v>
      </x:c>
      <x:c r="T2790" s="8" t="n">
        <x:f>DATE(YEAR(C2790),MONTH(C2790),1)</x:f>
        <x:v>45992</x:v>
      </x:c>
    </x:row>
    <x:row r="2791" ht="22" customHeight="1">
      <x:c r="A2791" s="2" t="str">
        <x:v>L002787</x:v>
      </x:c>
      <x:c r="B2791" s="2" t="str">
        <x:v>O01139</x:v>
      </x:c>
      <x:c r="C2791" s="7" t="n">
        <x:v>45972</x:v>
      </x:c>
      <x:c r="D2791" s="2" t="str">
        <x:v>Completed</x:v>
      </x:c>
      <x:c r="E2791" s="2" t="str">
        <x:v>West</x:v>
      </x:c>
      <x:c r="F2791" s="2" t="str">
        <x:v>Online</x:v>
      </x:c>
      <x:c r="G2791" s="2" t="str">
        <x:v>Storage</x:v>
      </x:c>
      <x:c r="H2791" s="2" t="str">
        <x:v>Shelf 011</x:v>
      </x:c>
      <x:c r="I2791" s="11" t="n">
        <x:v>3</x:v>
      </x:c>
      <x:c r="J2791" s="9" t="n">
        <x:v>80</x:v>
      </x:c>
      <x:c r="K2791" s="10" t="n">
        <x:v>0.05</x:v>
      </x:c>
      <x:c r="L2791" s="11" t="n">
        <x:v>0</x:v>
      </x:c>
      <x:c r="M2791" s="9" t="n">
        <x:f>IF(D2791="Completed",I2791*J2791,0)</x:f>
        <x:v>240</x:v>
      </x:c>
      <x:c r="N2791" s="9" t="n">
        <x:f>M2791*K2791</x:f>
        <x:v>12</x:v>
      </x:c>
      <x:c r="O2791" s="9" t="n">
        <x:f>M2791-N2791</x:f>
        <x:v>228</x:v>
      </x:c>
      <x:c r="P2791" s="9" t="n">
        <x:f>IF(D2791="Completed",L2791*J2791*(1-K2791),0)</x:f>
        <x:v>0</x:v>
      </x:c>
      <x:c r="Q2791" s="9" t="n">
        <x:f>O2791-P2791</x:f>
        <x:v>228</x:v>
      </x:c>
      <x:c r="R2791" s="11" t="n">
        <x:f>IF(D2791="Completed",I2791,0)</x:f>
        <x:v>3</x:v>
      </x:c>
      <x:c r="S2791" s="11" t="n">
        <x:f>IF(D2791="Completed",L2791,0)</x:f>
        <x:v>0</x:v>
      </x:c>
      <x:c r="T2791" s="8" t="n">
        <x:f>DATE(YEAR(C2791),MONTH(C2791),1)</x:f>
        <x:v>45962</x:v>
      </x:c>
    </x:row>
    <x:row r="2792" ht="22" customHeight="1">
      <x:c r="A2792" s="2" t="str">
        <x:v>L002788</x:v>
      </x:c>
      <x:c r="B2792" s="2" t="str">
        <x:v>O01140</x:v>
      </x:c>
      <x:c r="C2792" s="7" t="n">
        <x:v>45927</x:v>
      </x:c>
      <x:c r="D2792" s="2" t="str">
        <x:v>Completed</x:v>
      </x:c>
      <x:c r="E2792" s="2" t="str">
        <x:v>South</x:v>
      </x:c>
      <x:c r="F2792" s="2" t="str">
        <x:v>Online</x:v>
      </x:c>
      <x:c r="G2792" s="2" t="str">
        <x:v>Furniture</x:v>
      </x:c>
      <x:c r="H2792" s="2" t="str">
        <x:v>Chair 010</x:v>
      </x:c>
      <x:c r="I2792" s="11" t="n">
        <x:v>2</x:v>
      </x:c>
      <x:c r="J2792" s="9" t="n">
        <x:v>211</x:v>
      </x:c>
      <x:c r="K2792" s="10" t="n">
        <x:v>0</x:v>
      </x:c>
      <x:c r="L2792" s="11" t="n">
        <x:v>0</x:v>
      </x:c>
      <x:c r="M2792" s="9" t="n">
        <x:f>IF(D2792="Completed",I2792*J2792,0)</x:f>
        <x:v>422</x:v>
      </x:c>
      <x:c r="N2792" s="9" t="n">
        <x:f>M2792*K2792</x:f>
        <x:v>0</x:v>
      </x:c>
      <x:c r="O2792" s="9" t="n">
        <x:f>M2792-N2792</x:f>
        <x:v>422</x:v>
      </x:c>
      <x:c r="P2792" s="9" t="n">
        <x:f>IF(D2792="Completed",L2792*J2792*(1-K2792),0)</x:f>
        <x:v>0</x:v>
      </x:c>
      <x:c r="Q2792" s="9" t="n">
        <x:f>O2792-P2792</x:f>
        <x:v>422</x:v>
      </x:c>
      <x:c r="R2792" s="11" t="n">
        <x:f>IF(D2792="Completed",I2792,0)</x:f>
        <x:v>2</x:v>
      </x:c>
      <x:c r="S2792" s="11" t="n">
        <x:f>IF(D2792="Completed",L2792,0)</x:f>
        <x:v>0</x:v>
      </x:c>
      <x:c r="T2792" s="8" t="n">
        <x:f>DATE(YEAR(C2792),MONTH(C2792),1)</x:f>
        <x:v>45901</x:v>
      </x:c>
    </x:row>
    <x:row r="2793" ht="22" customHeight="1">
      <x:c r="A2793" s="2" t="str">
        <x:v>L002789</x:v>
      </x:c>
      <x:c r="B2793" s="2" t="str">
        <x:v>O01140</x:v>
      </x:c>
      <x:c r="C2793" s="7" t="n">
        <x:v>45927</x:v>
      </x:c>
      <x:c r="D2793" s="2" t="str">
        <x:v>Completed</x:v>
      </x:c>
      <x:c r="E2793" s="2" t="str">
        <x:v>South</x:v>
      </x:c>
      <x:c r="F2793" s="2" t="str">
        <x:v>Online</x:v>
      </x:c>
      <x:c r="G2793" s="2" t="str">
        <x:v>Storage</x:v>
      </x:c>
      <x:c r="H2793" s="2" t="str">
        <x:v>Shelf 011</x:v>
      </x:c>
      <x:c r="I2793" s="11" t="n">
        <x:v>4</x:v>
      </x:c>
      <x:c r="J2793" s="9" t="n">
        <x:v>80</x:v>
      </x:c>
      <x:c r="K2793" s="10" t="n">
        <x:v>0.2</x:v>
      </x:c>
      <x:c r="L2793" s="11" t="n">
        <x:v>0</x:v>
      </x:c>
      <x:c r="M2793" s="9" t="n">
        <x:f>IF(D2793="Completed",I2793*J2793,0)</x:f>
        <x:v>320</x:v>
      </x:c>
      <x:c r="N2793" s="9" t="n">
        <x:f>M2793*K2793</x:f>
        <x:v>64</x:v>
      </x:c>
      <x:c r="O2793" s="9" t="n">
        <x:f>M2793-N2793</x:f>
        <x:v>256</x:v>
      </x:c>
      <x:c r="P2793" s="9" t="n">
        <x:f>IF(D2793="Completed",L2793*J2793*(1-K2793),0)</x:f>
        <x:v>0</x:v>
      </x:c>
      <x:c r="Q2793" s="9" t="n">
        <x:f>O2793-P2793</x:f>
        <x:v>256</x:v>
      </x:c>
      <x:c r="R2793" s="11" t="n">
        <x:f>IF(D2793="Completed",I2793,0)</x:f>
        <x:v>4</x:v>
      </x:c>
      <x:c r="S2793" s="11" t="n">
        <x:f>IF(D2793="Completed",L2793,0)</x:f>
        <x:v>0</x:v>
      </x:c>
      <x:c r="T2793" s="8" t="n">
        <x:f>DATE(YEAR(C2793),MONTH(C2793),1)</x:f>
        <x:v>45901</x:v>
      </x:c>
    </x:row>
    <x:row r="2794" ht="22" customHeight="1">
      <x:c r="A2794" s="2" t="str">
        <x:v>L002790</x:v>
      </x:c>
      <x:c r="B2794" s="2" t="str">
        <x:v>O01140</x:v>
      </x:c>
      <x:c r="C2794" s="7" t="n">
        <x:v>45927</x:v>
      </x:c>
      <x:c r="D2794" s="2" t="str">
        <x:v>Completed</x:v>
      </x:c>
      <x:c r="E2794" s="2" t="str">
        <x:v>South</x:v>
      </x:c>
      <x:c r="F2794" s="2" t="str">
        <x:v>Online</x:v>
      </x:c>
      <x:c r="G2794" s="2" t="str">
        <x:v>Furniture</x:v>
      </x:c>
      <x:c r="H2794" s="2" t="str">
        <x:v>Desk 004</x:v>
      </x:c>
      <x:c r="I2794" s="11" t="n">
        <x:v>3</x:v>
      </x:c>
      <x:c r="J2794" s="9" t="n">
        <x:v>123</x:v>
      </x:c>
      <x:c r="K2794" s="10" t="n">
        <x:v>0.2</x:v>
      </x:c>
      <x:c r="L2794" s="11" t="n">
        <x:v>0</x:v>
      </x:c>
      <x:c r="M2794" s="9" t="n">
        <x:f>IF(D2794="Completed",I2794*J2794,0)</x:f>
        <x:v>369</x:v>
      </x:c>
      <x:c r="N2794" s="9" t="n">
        <x:f>M2794*K2794</x:f>
        <x:v>73.8</x:v>
      </x:c>
      <x:c r="O2794" s="9" t="n">
        <x:f>M2794-N2794</x:f>
        <x:v>295.2</x:v>
      </x:c>
      <x:c r="P2794" s="9" t="n">
        <x:f>IF(D2794="Completed",L2794*J2794*(1-K2794),0)</x:f>
        <x:v>0</x:v>
      </x:c>
      <x:c r="Q2794" s="9" t="n">
        <x:f>O2794-P2794</x:f>
        <x:v>295.2</x:v>
      </x:c>
      <x:c r="R2794" s="11" t="n">
        <x:f>IF(D2794="Completed",I2794,0)</x:f>
        <x:v>3</x:v>
      </x:c>
      <x:c r="S2794" s="11" t="n">
        <x:f>IF(D2794="Completed",L2794,0)</x:f>
        <x:v>0</x:v>
      </x:c>
      <x:c r="T2794" s="8" t="n">
        <x:f>DATE(YEAR(C2794),MONTH(C2794),1)</x:f>
        <x:v>45901</x:v>
      </x:c>
    </x:row>
    <x:row r="2795" ht="22" customHeight="1">
      <x:c r="A2795" s="2" t="str">
        <x:v>L002791</x:v>
      </x:c>
      <x:c r="B2795" s="2" t="str">
        <x:v>O01141</x:v>
      </x:c>
      <x:c r="C2795" s="7" t="n">
        <x:v>45931</x:v>
      </x:c>
      <x:c r="D2795" s="2" t="str">
        <x:v>Completed</x:v>
      </x:c>
      <x:c r="E2795" s="2" t="str">
        <x:v>North</x:v>
      </x:c>
      <x:c r="F2795" s="2" t="str">
        <x:v>Store</x:v>
      </x:c>
      <x:c r="G2795" s="2" t="str">
        <x:v>Furniture</x:v>
      </x:c>
      <x:c r="H2795" s="2" t="str">
        <x:v>Chair 002</x:v>
      </x:c>
      <x:c r="I2795" s="11" t="n">
        <x:v>3</x:v>
      </x:c>
      <x:c r="J2795" s="9" t="n">
        <x:v>284</x:v>
      </x:c>
      <x:c r="K2795" s="10" t="n">
        <x:v>0.2</x:v>
      </x:c>
      <x:c r="L2795" s="11" t="n">
        <x:v>0</x:v>
      </x:c>
      <x:c r="M2795" s="9" t="n">
        <x:f>IF(D2795="Completed",I2795*J2795,0)</x:f>
        <x:v>852</x:v>
      </x:c>
      <x:c r="N2795" s="9" t="n">
        <x:f>M2795*K2795</x:f>
        <x:v>170.4</x:v>
      </x:c>
      <x:c r="O2795" s="9" t="n">
        <x:f>M2795-N2795</x:f>
        <x:v>681.6</x:v>
      </x:c>
      <x:c r="P2795" s="9" t="n">
        <x:f>IF(D2795="Completed",L2795*J2795*(1-K2795),0)</x:f>
        <x:v>0</x:v>
      </x:c>
      <x:c r="Q2795" s="9" t="n">
        <x:f>O2795-P2795</x:f>
        <x:v>681.6</x:v>
      </x:c>
      <x:c r="R2795" s="11" t="n">
        <x:f>IF(D2795="Completed",I2795,0)</x:f>
        <x:v>3</x:v>
      </x:c>
      <x:c r="S2795" s="11" t="n">
        <x:f>IF(D2795="Completed",L2795,0)</x:f>
        <x:v>0</x:v>
      </x:c>
      <x:c r="T2795" s="8" t="n">
        <x:f>DATE(YEAR(C2795),MONTH(C2795),1)</x:f>
        <x:v>45931</x:v>
      </x:c>
    </x:row>
    <x:row r="2796" ht="22" customHeight="1">
      <x:c r="A2796" s="2" t="str">
        <x:v>L002792</x:v>
      </x:c>
      <x:c r="B2796" s="2" t="str">
        <x:v>O01141</x:v>
      </x:c>
      <x:c r="C2796" s="7" t="n">
        <x:v>45931</x:v>
      </x:c>
      <x:c r="D2796" s="2" t="str">
        <x:v>Completed</x:v>
      </x:c>
      <x:c r="E2796" s="2" t="str">
        <x:v>North</x:v>
      </x:c>
      <x:c r="F2796" s="2" t="str">
        <x:v>Store</x:v>
      </x:c>
      <x:c r="G2796" s="2" t="str">
        <x:v>Furniture</x:v>
      </x:c>
      <x:c r="H2796" s="2" t="str">
        <x:v>Chair 006</x:v>
      </x:c>
      <x:c r="I2796" s="11" t="n">
        <x:v>2</x:v>
      </x:c>
      <x:c r="J2796" s="9" t="n">
        <x:v>196</x:v>
      </x:c>
      <x:c r="K2796" s="10" t="n">
        <x:v>0.1</x:v>
      </x:c>
      <x:c r="L2796" s="11" t="n">
        <x:v>0</x:v>
      </x:c>
      <x:c r="M2796" s="9" t="n">
        <x:f>IF(D2796="Completed",I2796*J2796,0)</x:f>
        <x:v>392</x:v>
      </x:c>
      <x:c r="N2796" s="9" t="n">
        <x:f>M2796*K2796</x:f>
        <x:v>39.2</x:v>
      </x:c>
      <x:c r="O2796" s="9" t="n">
        <x:f>M2796-N2796</x:f>
        <x:v>352.8</x:v>
      </x:c>
      <x:c r="P2796" s="9" t="n">
        <x:f>IF(D2796="Completed",L2796*J2796*(1-K2796),0)</x:f>
        <x:v>0</x:v>
      </x:c>
      <x:c r="Q2796" s="9" t="n">
        <x:f>O2796-P2796</x:f>
        <x:v>352.8</x:v>
      </x:c>
      <x:c r="R2796" s="11" t="n">
        <x:f>IF(D2796="Completed",I2796,0)</x:f>
        <x:v>2</x:v>
      </x:c>
      <x:c r="S2796" s="11" t="n">
        <x:f>IF(D2796="Completed",L2796,0)</x:f>
        <x:v>0</x:v>
      </x:c>
      <x:c r="T2796" s="8" t="n">
        <x:f>DATE(YEAR(C2796),MONTH(C2796),1)</x:f>
        <x:v>45931</x:v>
      </x:c>
    </x:row>
    <x:row r="2797" ht="22" customHeight="1">
      <x:c r="A2797" s="2" t="str">
        <x:v>L002793</x:v>
      </x:c>
      <x:c r="B2797" s="2" t="str">
        <x:v>O01142</x:v>
      </x:c>
      <x:c r="C2797" s="7" t="n">
        <x:v>45805</x:v>
      </x:c>
      <x:c r="D2797" s="2" t="str">
        <x:v>Completed</x:v>
      </x:c>
      <x:c r="E2797" s="2" t="str">
        <x:v>East</x:v>
      </x:c>
      <x:c r="F2797" s="2" t="str">
        <x:v>Online</x:v>
      </x:c>
      <x:c r="G2797" s="2" t="str">
        <x:v>Furniture</x:v>
      </x:c>
      <x:c r="H2797" s="2" t="str">
        <x:v>Desk 004</x:v>
      </x:c>
      <x:c r="I2797" s="11" t="n">
        <x:v>3</x:v>
      </x:c>
      <x:c r="J2797" s="9" t="n">
        <x:v>123</x:v>
      </x:c>
      <x:c r="K2797" s="10" t="n">
        <x:v>0.05</x:v>
      </x:c>
      <x:c r="L2797" s="11" t="n">
        <x:v>1</x:v>
      </x:c>
      <x:c r="M2797" s="9" t="n">
        <x:f>IF(D2797="Completed",I2797*J2797,0)</x:f>
        <x:v>369</x:v>
      </x:c>
      <x:c r="N2797" s="9" t="n">
        <x:f>M2797*K2797</x:f>
        <x:v>18.45</x:v>
      </x:c>
      <x:c r="O2797" s="9" t="n">
        <x:f>M2797-N2797</x:f>
        <x:v>350.55</x:v>
      </x:c>
      <x:c r="P2797" s="9" t="n">
        <x:f>IF(D2797="Completed",L2797*J2797*(1-K2797),0)</x:f>
        <x:v>116.85</x:v>
      </x:c>
      <x:c r="Q2797" s="9" t="n">
        <x:f>O2797-P2797</x:f>
        <x:v>233.70000000000002</x:v>
      </x:c>
      <x:c r="R2797" s="11" t="n">
        <x:f>IF(D2797="Completed",I2797,0)</x:f>
        <x:v>3</x:v>
      </x:c>
      <x:c r="S2797" s="11" t="n">
        <x:f>IF(D2797="Completed",L2797,0)</x:f>
        <x:v>1</x:v>
      </x:c>
      <x:c r="T2797" s="8" t="n">
        <x:f>DATE(YEAR(C2797),MONTH(C2797),1)</x:f>
        <x:v>45778</x:v>
      </x:c>
    </x:row>
    <x:row r="2798" ht="22" customHeight="1">
      <x:c r="A2798" s="2" t="str">
        <x:v>L002794</x:v>
      </x:c>
      <x:c r="B2798" s="2" t="str">
        <x:v>O01142</x:v>
      </x:c>
      <x:c r="C2798" s="7" t="n">
        <x:v>45805</x:v>
      </x:c>
      <x:c r="D2798" s="2" t="str">
        <x:v>Completed</x:v>
      </x:c>
      <x:c r="E2798" s="2" t="str">
        <x:v>East</x:v>
      </x:c>
      <x:c r="F2798" s="2" t="str">
        <x:v>Online</x:v>
      </x:c>
      <x:c r="G2798" s="2" t="str">
        <x:v>Lighting</x:v>
      </x:c>
      <x:c r="H2798" s="2" t="str">
        <x:v>Lamp 017</x:v>
      </x:c>
      <x:c r="I2798" s="11" t="n">
        <x:v>4</x:v>
      </x:c>
      <x:c r="J2798" s="9" t="n">
        <x:v>300</x:v>
      </x:c>
      <x:c r="K2798" s="10" t="n">
        <x:v>0.2</x:v>
      </x:c>
      <x:c r="L2798" s="11" t="n">
        <x:v>3</x:v>
      </x:c>
      <x:c r="M2798" s="9" t="n">
        <x:f>IF(D2798="Completed",I2798*J2798,0)</x:f>
        <x:v>1200</x:v>
      </x:c>
      <x:c r="N2798" s="9" t="n">
        <x:f>M2798*K2798</x:f>
        <x:v>240</x:v>
      </x:c>
      <x:c r="O2798" s="9" t="n">
        <x:f>M2798-N2798</x:f>
        <x:v>960</x:v>
      </x:c>
      <x:c r="P2798" s="9" t="n">
        <x:f>IF(D2798="Completed",L2798*J2798*(1-K2798),0)</x:f>
        <x:v>720</x:v>
      </x:c>
      <x:c r="Q2798" s="9" t="n">
        <x:f>O2798-P2798</x:f>
        <x:v>240</x:v>
      </x:c>
      <x:c r="R2798" s="11" t="n">
        <x:f>IF(D2798="Completed",I2798,0)</x:f>
        <x:v>4</x:v>
      </x:c>
      <x:c r="S2798" s="11" t="n">
        <x:f>IF(D2798="Completed",L2798,0)</x:f>
        <x:v>3</x:v>
      </x:c>
      <x:c r="T2798" s="8" t="n">
        <x:f>DATE(YEAR(C2798),MONTH(C2798),1)</x:f>
        <x:v>45778</x:v>
      </x:c>
    </x:row>
    <x:row r="2799" ht="22" customHeight="1">
      <x:c r="A2799" s="2" t="str">
        <x:v>L002795</x:v>
      </x:c>
      <x:c r="B2799" s="2" t="str">
        <x:v>O01142</x:v>
      </x:c>
      <x:c r="C2799" s="7" t="n">
        <x:v>45805</x:v>
      </x:c>
      <x:c r="D2799" s="2" t="str">
        <x:v>Completed</x:v>
      </x:c>
      <x:c r="E2799" s="2" t="str">
        <x:v>East</x:v>
      </x:c>
      <x:c r="F2799" s="2" t="str">
        <x:v>Online</x:v>
      </x:c>
      <x:c r="G2799" s="2" t="str">
        <x:v>Lighting</x:v>
      </x:c>
      <x:c r="H2799" s="2" t="str">
        <x:v>Lamp 021</x:v>
      </x:c>
      <x:c r="I2799" s="11" t="n">
        <x:v>3</x:v>
      </x:c>
      <x:c r="J2799" s="9" t="n">
        <x:v>249</x:v>
      </x:c>
      <x:c r="K2799" s="10" t="n">
        <x:v>0.2</x:v>
      </x:c>
      <x:c r="L2799" s="11" t="n">
        <x:v>0</x:v>
      </x:c>
      <x:c r="M2799" s="9" t="n">
        <x:f>IF(D2799="Completed",I2799*J2799,0)</x:f>
        <x:v>747</x:v>
      </x:c>
      <x:c r="N2799" s="9" t="n">
        <x:f>M2799*K2799</x:f>
        <x:v>149.4</x:v>
      </x:c>
      <x:c r="O2799" s="9" t="n">
        <x:f>M2799-N2799</x:f>
        <x:v>597.6</x:v>
      </x:c>
      <x:c r="P2799" s="9" t="n">
        <x:f>IF(D2799="Completed",L2799*J2799*(1-K2799),0)</x:f>
        <x:v>0</x:v>
      </x:c>
      <x:c r="Q2799" s="9" t="n">
        <x:f>O2799-P2799</x:f>
        <x:v>597.6</x:v>
      </x:c>
      <x:c r="R2799" s="11" t="n">
        <x:f>IF(D2799="Completed",I2799,0)</x:f>
        <x:v>3</x:v>
      </x:c>
      <x:c r="S2799" s="11" t="n">
        <x:f>IF(D2799="Completed",L2799,0)</x:f>
        <x:v>0</x:v>
      </x:c>
      <x:c r="T2799" s="8" t="n">
        <x:f>DATE(YEAR(C2799),MONTH(C2799),1)</x:f>
        <x:v>45778</x:v>
      </x:c>
    </x:row>
    <x:row r="2800" ht="22" customHeight="1">
      <x:c r="A2800" s="2" t="str">
        <x:v>L002796</x:v>
      </x:c>
      <x:c r="B2800" s="2" t="str">
        <x:v>O01142</x:v>
      </x:c>
      <x:c r="C2800" s="7" t="n">
        <x:v>45805</x:v>
      </x:c>
      <x:c r="D2800" s="2" t="str">
        <x:v>Completed</x:v>
      </x:c>
      <x:c r="E2800" s="2" t="str">
        <x:v>East</x:v>
      </x:c>
      <x:c r="F2800" s="2" t="str">
        <x:v>Online</x:v>
      </x:c>
      <x:c r="G2800" s="2" t="str">
        <x:v>Furniture</x:v>
      </x:c>
      <x:c r="H2800" s="2" t="str">
        <x:v>Chair 018</x:v>
      </x:c>
      <x:c r="I2800" s="11" t="n">
        <x:v>2</x:v>
      </x:c>
      <x:c r="J2800" s="9" t="n">
        <x:v>269</x:v>
      </x:c>
      <x:c r="K2800" s="10" t="n">
        <x:v>0.2</x:v>
      </x:c>
      <x:c r="L2800" s="11" t="n">
        <x:v>0</x:v>
      </x:c>
      <x:c r="M2800" s="9" t="n">
        <x:f>IF(D2800="Completed",I2800*J2800,0)</x:f>
        <x:v>538</x:v>
      </x:c>
      <x:c r="N2800" s="9" t="n">
        <x:f>M2800*K2800</x:f>
        <x:v>107.60000000000001</x:v>
      </x:c>
      <x:c r="O2800" s="9" t="n">
        <x:f>M2800-N2800</x:f>
        <x:v>430.4</x:v>
      </x:c>
      <x:c r="P2800" s="9" t="n">
        <x:f>IF(D2800="Completed",L2800*J2800*(1-K2800),0)</x:f>
        <x:v>0</x:v>
      </x:c>
      <x:c r="Q2800" s="9" t="n">
        <x:f>O2800-P2800</x:f>
        <x:v>430.4</x:v>
      </x:c>
      <x:c r="R2800" s="11" t="n">
        <x:f>IF(D2800="Completed",I2800,0)</x:f>
        <x:v>2</x:v>
      </x:c>
      <x:c r="S2800" s="11" t="n">
        <x:f>IF(D2800="Completed",L2800,0)</x:f>
        <x:v>0</x:v>
      </x:c>
      <x:c r="T2800" s="8" t="n">
        <x:f>DATE(YEAR(C2800),MONTH(C2800),1)</x:f>
        <x:v>45778</x:v>
      </x:c>
    </x:row>
    <x:row r="2801" ht="22" customHeight="1">
      <x:c r="A2801" s="2" t="str">
        <x:v>L002797</x:v>
      </x:c>
      <x:c r="B2801" s="2" t="str">
        <x:v>O01143</x:v>
      </x:c>
      <x:c r="C2801" s="7" t="n">
        <x:v>45901</x:v>
      </x:c>
      <x:c r="D2801" s="2" t="str">
        <x:v>Completed</x:v>
      </x:c>
      <x:c r="E2801" s="2" t="str">
        <x:v>South</x:v>
      </x:c>
      <x:c r="F2801" s="2" t="str">
        <x:v>Online</x:v>
      </x:c>
      <x:c r="G2801" s="2" t="str">
        <x:v>Lighting</x:v>
      </x:c>
      <x:c r="H2801" s="2" t="str">
        <x:v>Lamp 021</x:v>
      </x:c>
      <x:c r="I2801" s="11" t="n">
        <x:v>4</x:v>
      </x:c>
      <x:c r="J2801" s="9" t="n">
        <x:v>249</x:v>
      </x:c>
      <x:c r="K2801" s="10" t="n">
        <x:v>0</x:v>
      </x:c>
      <x:c r="L2801" s="11" t="n">
        <x:v>0</x:v>
      </x:c>
      <x:c r="M2801" s="9" t="n">
        <x:f>IF(D2801="Completed",I2801*J2801,0)</x:f>
        <x:v>996</x:v>
      </x:c>
      <x:c r="N2801" s="9" t="n">
        <x:f>M2801*K2801</x:f>
        <x:v>0</x:v>
      </x:c>
      <x:c r="O2801" s="9" t="n">
        <x:f>M2801-N2801</x:f>
        <x:v>996</x:v>
      </x:c>
      <x:c r="P2801" s="9" t="n">
        <x:f>IF(D2801="Completed",L2801*J2801*(1-K2801),0)</x:f>
        <x:v>0</x:v>
      </x:c>
      <x:c r="Q2801" s="9" t="n">
        <x:f>O2801-P2801</x:f>
        <x:v>996</x:v>
      </x:c>
      <x:c r="R2801" s="11" t="n">
        <x:f>IF(D2801="Completed",I2801,0)</x:f>
        <x:v>4</x:v>
      </x:c>
      <x:c r="S2801" s="11" t="n">
        <x:f>IF(D2801="Completed",L2801,0)</x:f>
        <x:v>0</x:v>
      </x:c>
      <x:c r="T2801" s="8" t="n">
        <x:f>DATE(YEAR(C2801),MONTH(C2801),1)</x:f>
        <x:v>45901</x:v>
      </x:c>
    </x:row>
    <x:row r="2802" ht="22" customHeight="1">
      <x:c r="A2802" s="2" t="str">
        <x:v>L002798</x:v>
      </x:c>
      <x:c r="B2802" s="2" t="str">
        <x:v>O01143</x:v>
      </x:c>
      <x:c r="C2802" s="7" t="n">
        <x:v>45901</x:v>
      </x:c>
      <x:c r="D2802" s="2" t="str">
        <x:v>Completed</x:v>
      </x:c>
      <x:c r="E2802" s="2" t="str">
        <x:v>South</x:v>
      </x:c>
      <x:c r="F2802" s="2" t="str">
        <x:v>Online</x:v>
      </x:c>
      <x:c r="G2802" s="2" t="str">
        <x:v>Furniture</x:v>
      </x:c>
      <x:c r="H2802" s="2" t="str">
        <x:v>Chair 014</x:v>
      </x:c>
      <x:c r="I2802" s="11" t="n">
        <x:v>2</x:v>
      </x:c>
      <x:c r="J2802" s="9" t="n">
        <x:v>294</x:v>
      </x:c>
      <x:c r="K2802" s="10" t="n">
        <x:v>0.1</x:v>
      </x:c>
      <x:c r="L2802" s="11" t="n">
        <x:v>0</x:v>
      </x:c>
      <x:c r="M2802" s="9" t="n">
        <x:f>IF(D2802="Completed",I2802*J2802,0)</x:f>
        <x:v>588</x:v>
      </x:c>
      <x:c r="N2802" s="9" t="n">
        <x:f>M2802*K2802</x:f>
        <x:v>58.800000000000004</x:v>
      </x:c>
      <x:c r="O2802" s="9" t="n">
        <x:f>M2802-N2802</x:f>
        <x:v>529.2</x:v>
      </x:c>
      <x:c r="P2802" s="9" t="n">
        <x:f>IF(D2802="Completed",L2802*J2802*(1-K2802),0)</x:f>
        <x:v>0</x:v>
      </x:c>
      <x:c r="Q2802" s="9" t="n">
        <x:f>O2802-P2802</x:f>
        <x:v>529.2</x:v>
      </x:c>
      <x:c r="R2802" s="11" t="n">
        <x:f>IF(D2802="Completed",I2802,0)</x:f>
        <x:v>2</x:v>
      </x:c>
      <x:c r="S2802" s="11" t="n">
        <x:f>IF(D2802="Completed",L2802,0)</x:f>
        <x:v>0</x:v>
      </x:c>
      <x:c r="T2802" s="8" t="n">
        <x:f>DATE(YEAR(C2802),MONTH(C2802),1)</x:f>
        <x:v>45901</x:v>
      </x:c>
    </x:row>
    <x:row r="2803" ht="22" customHeight="1">
      <x:c r="A2803" s="2" t="str">
        <x:v>L002799</x:v>
      </x:c>
      <x:c r="B2803" s="2" t="str">
        <x:v>O01143</x:v>
      </x:c>
      <x:c r="C2803" s="7" t="n">
        <x:v>45901</x:v>
      </x:c>
      <x:c r="D2803" s="2" t="str">
        <x:v>Completed</x:v>
      </x:c>
      <x:c r="E2803" s="2" t="str">
        <x:v>South</x:v>
      </x:c>
      <x:c r="F2803" s="2" t="str">
        <x:v>Online</x:v>
      </x:c>
      <x:c r="G2803" s="2" t="str">
        <x:v>Lighting</x:v>
      </x:c>
      <x:c r="H2803" s="2" t="str">
        <x:v>Lamp 001</x:v>
      </x:c>
      <x:c r="I2803" s="11" t="n">
        <x:v>4</x:v>
      </x:c>
      <x:c r="J2803" s="9" t="n">
        <x:v>122</x:v>
      </x:c>
      <x:c r="K2803" s="10" t="n">
        <x:v>0.05</x:v>
      </x:c>
      <x:c r="L2803" s="11" t="n">
        <x:v>0</x:v>
      </x:c>
      <x:c r="M2803" s="9" t="n">
        <x:f>IF(D2803="Completed",I2803*J2803,0)</x:f>
        <x:v>488</x:v>
      </x:c>
      <x:c r="N2803" s="9" t="n">
        <x:f>M2803*K2803</x:f>
        <x:v>24.400000000000002</x:v>
      </x:c>
      <x:c r="O2803" s="9" t="n">
        <x:f>M2803-N2803</x:f>
        <x:v>463.6</x:v>
      </x:c>
      <x:c r="P2803" s="9" t="n">
        <x:f>IF(D2803="Completed",L2803*J2803*(1-K2803),0)</x:f>
        <x:v>0</x:v>
      </x:c>
      <x:c r="Q2803" s="9" t="n">
        <x:f>O2803-P2803</x:f>
        <x:v>463.6</x:v>
      </x:c>
      <x:c r="R2803" s="11" t="n">
        <x:f>IF(D2803="Completed",I2803,0)</x:f>
        <x:v>4</x:v>
      </x:c>
      <x:c r="S2803" s="11" t="n">
        <x:f>IF(D2803="Completed",L2803,0)</x:f>
        <x:v>0</x:v>
      </x:c>
      <x:c r="T2803" s="8" t="n">
        <x:f>DATE(YEAR(C2803),MONTH(C2803),1)</x:f>
        <x:v>45901</x:v>
      </x:c>
    </x:row>
    <x:row r="2804" ht="22" customHeight="1">
      <x:c r="A2804" s="2" t="str">
        <x:v>L002800</x:v>
      </x:c>
      <x:c r="B2804" s="2" t="str">
        <x:v>O01143</x:v>
      </x:c>
      <x:c r="C2804" s="7" t="n">
        <x:v>45901</x:v>
      </x:c>
      <x:c r="D2804" s="2" t="str">
        <x:v>Completed</x:v>
      </x:c>
      <x:c r="E2804" s="2" t="str">
        <x:v>South</x:v>
      </x:c>
      <x:c r="F2804" s="2" t="str">
        <x:v>Online</x:v>
      </x:c>
      <x:c r="G2804" s="2" t="str">
        <x:v>Furniture</x:v>
      </x:c>
      <x:c r="H2804" s="2" t="str">
        <x:v>Chair 010</x:v>
      </x:c>
      <x:c r="I2804" s="11" t="n">
        <x:v>5</x:v>
      </x:c>
      <x:c r="J2804" s="9" t="n">
        <x:v>211</x:v>
      </x:c>
      <x:c r="K2804" s="10" t="n">
        <x:v>0.1</x:v>
      </x:c>
      <x:c r="L2804" s="11" t="n">
        <x:v>0</x:v>
      </x:c>
      <x:c r="M2804" s="9" t="n">
        <x:f>IF(D2804="Completed",I2804*J2804,0)</x:f>
        <x:v>1055</x:v>
      </x:c>
      <x:c r="N2804" s="9" t="n">
        <x:f>M2804*K2804</x:f>
        <x:v>105.5</x:v>
      </x:c>
      <x:c r="O2804" s="9" t="n">
        <x:f>M2804-N2804</x:f>
        <x:v>949.5</x:v>
      </x:c>
      <x:c r="P2804" s="9" t="n">
        <x:f>IF(D2804="Completed",L2804*J2804*(1-K2804),0)</x:f>
        <x:v>0</x:v>
      </x:c>
      <x:c r="Q2804" s="9" t="n">
        <x:f>O2804-P2804</x:f>
        <x:v>949.5</x:v>
      </x:c>
      <x:c r="R2804" s="11" t="n">
        <x:f>IF(D2804="Completed",I2804,0)</x:f>
        <x:v>5</x:v>
      </x:c>
      <x:c r="S2804" s="11" t="n">
        <x:f>IF(D2804="Completed",L2804,0)</x:f>
        <x:v>0</x:v>
      </x:c>
      <x:c r="T2804" s="8" t="n">
        <x:f>DATE(YEAR(C2804),MONTH(C2804),1)</x:f>
        <x:v>45901</x:v>
      </x:c>
    </x:row>
    <x:row r="2805" ht="22" customHeight="1">
      <x:c r="A2805" s="2" t="str">
        <x:v>L002801</x:v>
      </x:c>
      <x:c r="B2805" s="2" t="str">
        <x:v>O01144</x:v>
      </x:c>
      <x:c r="C2805" s="7" t="n">
        <x:v>45953</x:v>
      </x:c>
      <x:c r="D2805" s="2" t="str">
        <x:v>Completed</x:v>
      </x:c>
      <x:c r="E2805" s="2" t="str">
        <x:v>West</x:v>
      </x:c>
      <x:c r="F2805" s="2" t="str">
        <x:v>Store</x:v>
      </x:c>
      <x:c r="G2805" s="2" t="str">
        <x:v>Furniture</x:v>
      </x:c>
      <x:c r="H2805" s="2" t="str">
        <x:v>Desk 024</x:v>
      </x:c>
      <x:c r="I2805" s="11" t="n">
        <x:v>5</x:v>
      </x:c>
      <x:c r="J2805" s="9" t="n">
        <x:v>81</x:v>
      </x:c>
      <x:c r="K2805" s="10" t="n">
        <x:v>0.1</x:v>
      </x:c>
      <x:c r="L2805" s="11" t="n">
        <x:v>0</x:v>
      </x:c>
      <x:c r="M2805" s="9" t="n">
        <x:f>IF(D2805="Completed",I2805*J2805,0)</x:f>
        <x:v>405</x:v>
      </x:c>
      <x:c r="N2805" s="9" t="n">
        <x:f>M2805*K2805</x:f>
        <x:v>40.5</x:v>
      </x:c>
      <x:c r="O2805" s="9" t="n">
        <x:f>M2805-N2805</x:f>
        <x:v>364.5</x:v>
      </x:c>
      <x:c r="P2805" s="9" t="n">
        <x:f>IF(D2805="Completed",L2805*J2805*(1-K2805),0)</x:f>
        <x:v>0</x:v>
      </x:c>
      <x:c r="Q2805" s="9" t="n">
        <x:f>O2805-P2805</x:f>
        <x:v>364.5</x:v>
      </x:c>
      <x:c r="R2805" s="11" t="n">
        <x:f>IF(D2805="Completed",I2805,0)</x:f>
        <x:v>5</x:v>
      </x:c>
      <x:c r="S2805" s="11" t="n">
        <x:f>IF(D2805="Completed",L2805,0)</x:f>
        <x:v>0</x:v>
      </x:c>
      <x:c r="T2805" s="8" t="n">
        <x:f>DATE(YEAR(C2805),MONTH(C2805),1)</x:f>
        <x:v>45931</x:v>
      </x:c>
    </x:row>
    <x:row r="2806" ht="22" customHeight="1">
      <x:c r="A2806" s="2" t="str">
        <x:v>L002802</x:v>
      </x:c>
      <x:c r="B2806" s="2" t="str">
        <x:v>O01144</x:v>
      </x:c>
      <x:c r="C2806" s="7" t="n">
        <x:v>45953</x:v>
      </x:c>
      <x:c r="D2806" s="2" t="str">
        <x:v>Completed</x:v>
      </x:c>
      <x:c r="E2806" s="2" t="str">
        <x:v>West</x:v>
      </x:c>
      <x:c r="F2806" s="2" t="str">
        <x:v>Store</x:v>
      </x:c>
      <x:c r="G2806" s="2" t="str">
        <x:v>Furniture</x:v>
      </x:c>
      <x:c r="H2806" s="2" t="str">
        <x:v>Chair 014</x:v>
      </x:c>
      <x:c r="I2806" s="11" t="n">
        <x:v>3</x:v>
      </x:c>
      <x:c r="J2806" s="9" t="n">
        <x:v>294</x:v>
      </x:c>
      <x:c r="K2806" s="10" t="n">
        <x:v>0</x:v>
      </x:c>
      <x:c r="L2806" s="11" t="n">
        <x:v>0</x:v>
      </x:c>
      <x:c r="M2806" s="9" t="n">
        <x:f>IF(D2806="Completed",I2806*J2806,0)</x:f>
        <x:v>882</x:v>
      </x:c>
      <x:c r="N2806" s="9" t="n">
        <x:f>M2806*K2806</x:f>
        <x:v>0</x:v>
      </x:c>
      <x:c r="O2806" s="9" t="n">
        <x:f>M2806-N2806</x:f>
        <x:v>882</x:v>
      </x:c>
      <x:c r="P2806" s="9" t="n">
        <x:f>IF(D2806="Completed",L2806*J2806*(1-K2806),0)</x:f>
        <x:v>0</x:v>
      </x:c>
      <x:c r="Q2806" s="9" t="n">
        <x:f>O2806-P2806</x:f>
        <x:v>882</x:v>
      </x:c>
      <x:c r="R2806" s="11" t="n">
        <x:f>IF(D2806="Completed",I2806,0)</x:f>
        <x:v>3</x:v>
      </x:c>
      <x:c r="S2806" s="11" t="n">
        <x:f>IF(D2806="Completed",L2806,0)</x:f>
        <x:v>0</x:v>
      </x:c>
      <x:c r="T2806" s="8" t="n">
        <x:f>DATE(YEAR(C2806),MONTH(C2806),1)</x:f>
        <x:v>45931</x:v>
      </x:c>
    </x:row>
    <x:row r="2807" ht="22" customHeight="1">
      <x:c r="A2807" s="2" t="str">
        <x:v>L002803</x:v>
      </x:c>
      <x:c r="B2807" s="2" t="str">
        <x:v>O01145</x:v>
      </x:c>
      <x:c r="C2807" s="7" t="n">
        <x:v>45908</x:v>
      </x:c>
      <x:c r="D2807" s="2" t="str">
        <x:v>Completed</x:v>
      </x:c>
      <x:c r="E2807" s="2" t="str">
        <x:v>West</x:v>
      </x:c>
      <x:c r="F2807" s="2" t="str">
        <x:v>Online</x:v>
      </x:c>
      <x:c r="G2807" s="2" t="str">
        <x:v>Furniture</x:v>
      </x:c>
      <x:c r="H2807" s="2" t="str">
        <x:v>Desk 008</x:v>
      </x:c>
      <x:c r="I2807" s="11" t="n">
        <x:v>1</x:v>
      </x:c>
      <x:c r="J2807" s="9" t="n">
        <x:v>188</x:v>
      </x:c>
      <x:c r="K2807" s="10" t="n">
        <x:v>0.2</x:v>
      </x:c>
      <x:c r="L2807" s="11" t="n">
        <x:v>0</x:v>
      </x:c>
      <x:c r="M2807" s="9" t="n">
        <x:f>IF(D2807="Completed",I2807*J2807,0)</x:f>
        <x:v>188</x:v>
      </x:c>
      <x:c r="N2807" s="9" t="n">
        <x:f>M2807*K2807</x:f>
        <x:v>37.6</x:v>
      </x:c>
      <x:c r="O2807" s="9" t="n">
        <x:f>M2807-N2807</x:f>
        <x:v>150.4</x:v>
      </x:c>
      <x:c r="P2807" s="9" t="n">
        <x:f>IF(D2807="Completed",L2807*J2807*(1-K2807),0)</x:f>
        <x:v>0</x:v>
      </x:c>
      <x:c r="Q2807" s="9" t="n">
        <x:f>O2807-P2807</x:f>
        <x:v>150.4</x:v>
      </x:c>
      <x:c r="R2807" s="11" t="n">
        <x:f>IF(D2807="Completed",I2807,0)</x:f>
        <x:v>1</x:v>
      </x:c>
      <x:c r="S2807" s="11" t="n">
        <x:f>IF(D2807="Completed",L2807,0)</x:f>
        <x:v>0</x:v>
      </x:c>
      <x:c r="T2807" s="8" t="n">
        <x:f>DATE(YEAR(C2807),MONTH(C2807),1)</x:f>
        <x:v>45901</x:v>
      </x:c>
    </x:row>
    <x:row r="2808" ht="22" customHeight="1">
      <x:c r="A2808" s="2" t="str">
        <x:v>L002804</x:v>
      </x:c>
      <x:c r="B2808" s="2" t="str">
        <x:v>O01145</x:v>
      </x:c>
      <x:c r="C2808" s="7" t="n">
        <x:v>45908</x:v>
      </x:c>
      <x:c r="D2808" s="2" t="str">
        <x:v>Completed</x:v>
      </x:c>
      <x:c r="E2808" s="2" t="str">
        <x:v>West</x:v>
      </x:c>
      <x:c r="F2808" s="2" t="str">
        <x:v>Online</x:v>
      </x:c>
      <x:c r="G2808" s="2" t="str">
        <x:v>Furniture</x:v>
      </x:c>
      <x:c r="H2808" s="2" t="str">
        <x:v>Desk 004</x:v>
      </x:c>
      <x:c r="I2808" s="11" t="n">
        <x:v>4</x:v>
      </x:c>
      <x:c r="J2808" s="9" t="n">
        <x:v>123</x:v>
      </x:c>
      <x:c r="K2808" s="10" t="n">
        <x:v>0</x:v>
      </x:c>
      <x:c r="L2808" s="11" t="n">
        <x:v>0</x:v>
      </x:c>
      <x:c r="M2808" s="9" t="n">
        <x:f>IF(D2808="Completed",I2808*J2808,0)</x:f>
        <x:v>492</x:v>
      </x:c>
      <x:c r="N2808" s="9" t="n">
        <x:f>M2808*K2808</x:f>
        <x:v>0</x:v>
      </x:c>
      <x:c r="O2808" s="9" t="n">
        <x:f>M2808-N2808</x:f>
        <x:v>492</x:v>
      </x:c>
      <x:c r="P2808" s="9" t="n">
        <x:f>IF(D2808="Completed",L2808*J2808*(1-K2808),0)</x:f>
        <x:v>0</x:v>
      </x:c>
      <x:c r="Q2808" s="9" t="n">
        <x:f>O2808-P2808</x:f>
        <x:v>492</x:v>
      </x:c>
      <x:c r="R2808" s="11" t="n">
        <x:f>IF(D2808="Completed",I2808,0)</x:f>
        <x:v>4</x:v>
      </x:c>
      <x:c r="S2808" s="11" t="n">
        <x:f>IF(D2808="Completed",L2808,0)</x:f>
        <x:v>0</x:v>
      </x:c>
      <x:c r="T2808" s="8" t="n">
        <x:f>DATE(YEAR(C2808),MONTH(C2808),1)</x:f>
        <x:v>45901</x:v>
      </x:c>
    </x:row>
    <x:row r="2809" ht="22" customHeight="1">
      <x:c r="A2809" s="2" t="str">
        <x:v>L002805</x:v>
      </x:c>
      <x:c r="B2809" s="2" t="str">
        <x:v>O01145</x:v>
      </x:c>
      <x:c r="C2809" s="7" t="n">
        <x:v>45908</x:v>
      </x:c>
      <x:c r="D2809" s="2" t="str">
        <x:v>Completed</x:v>
      </x:c>
      <x:c r="E2809" s="2" t="str">
        <x:v>West</x:v>
      </x:c>
      <x:c r="F2809" s="2" t="str">
        <x:v>Online</x:v>
      </x:c>
      <x:c r="G2809" s="2" t="str">
        <x:v>Storage</x:v>
      </x:c>
      <x:c r="H2809" s="2" t="str">
        <x:v>Shelf 003</x:v>
      </x:c>
      <x:c r="I2809" s="11" t="n">
        <x:v>5</x:v>
      </x:c>
      <x:c r="J2809" s="9" t="n">
        <x:v>199</x:v>
      </x:c>
      <x:c r="K2809" s="10" t="n">
        <x:v>0.1</x:v>
      </x:c>
      <x:c r="L2809" s="11" t="n">
        <x:v>0</x:v>
      </x:c>
      <x:c r="M2809" s="9" t="n">
        <x:f>IF(D2809="Completed",I2809*J2809,0)</x:f>
        <x:v>995</x:v>
      </x:c>
      <x:c r="N2809" s="9" t="n">
        <x:f>M2809*K2809</x:f>
        <x:v>99.5</x:v>
      </x:c>
      <x:c r="O2809" s="9" t="n">
        <x:f>M2809-N2809</x:f>
        <x:v>895.5</x:v>
      </x:c>
      <x:c r="P2809" s="9" t="n">
        <x:f>IF(D2809="Completed",L2809*J2809*(1-K2809),0)</x:f>
        <x:v>0</x:v>
      </x:c>
      <x:c r="Q2809" s="9" t="n">
        <x:f>O2809-P2809</x:f>
        <x:v>895.5</x:v>
      </x:c>
      <x:c r="R2809" s="11" t="n">
        <x:f>IF(D2809="Completed",I2809,0)</x:f>
        <x:v>5</x:v>
      </x:c>
      <x:c r="S2809" s="11" t="n">
        <x:f>IF(D2809="Completed",L2809,0)</x:f>
        <x:v>0</x:v>
      </x:c>
      <x:c r="T2809" s="8" t="n">
        <x:f>DATE(YEAR(C2809),MONTH(C2809),1)</x:f>
        <x:v>45901</x:v>
      </x:c>
    </x:row>
    <x:row r="2810" ht="22" customHeight="1">
      <x:c r="A2810" s="2" t="str">
        <x:v>L002806</x:v>
      </x:c>
      <x:c r="B2810" s="2" t="str">
        <x:v>O01145</x:v>
      </x:c>
      <x:c r="C2810" s="7" t="n">
        <x:v>45908</x:v>
      </x:c>
      <x:c r="D2810" s="2" t="str">
        <x:v>Completed</x:v>
      </x:c>
      <x:c r="E2810" s="2" t="str">
        <x:v>West</x:v>
      </x:c>
      <x:c r="F2810" s="2" t="str">
        <x:v>Online</x:v>
      </x:c>
      <x:c r="G2810" s="2" t="str">
        <x:v>Lighting</x:v>
      </x:c>
      <x:c r="H2810" s="2" t="str">
        <x:v>Lamp 005</x:v>
      </x:c>
      <x:c r="I2810" s="11" t="n">
        <x:v>1</x:v>
      </x:c>
      <x:c r="J2810" s="9" t="n">
        <x:v>65</x:v>
      </x:c>
      <x:c r="K2810" s="10" t="n">
        <x:v>0.1</x:v>
      </x:c>
      <x:c r="L2810" s="11" t="n">
        <x:v>0</x:v>
      </x:c>
      <x:c r="M2810" s="9" t="n">
        <x:f>IF(D2810="Completed",I2810*J2810,0)</x:f>
        <x:v>65</x:v>
      </x:c>
      <x:c r="N2810" s="9" t="n">
        <x:f>M2810*K2810</x:f>
        <x:v>6.5</x:v>
      </x:c>
      <x:c r="O2810" s="9" t="n">
        <x:f>M2810-N2810</x:f>
        <x:v>58.5</x:v>
      </x:c>
      <x:c r="P2810" s="9" t="n">
        <x:f>IF(D2810="Completed",L2810*J2810*(1-K2810),0)</x:f>
        <x:v>0</x:v>
      </x:c>
      <x:c r="Q2810" s="9" t="n">
        <x:f>O2810-P2810</x:f>
        <x:v>58.5</x:v>
      </x:c>
      <x:c r="R2810" s="11" t="n">
        <x:f>IF(D2810="Completed",I2810,0)</x:f>
        <x:v>1</x:v>
      </x:c>
      <x:c r="S2810" s="11" t="n">
        <x:f>IF(D2810="Completed",L2810,0)</x:f>
        <x:v>0</x:v>
      </x:c>
      <x:c r="T2810" s="8" t="n">
        <x:f>DATE(YEAR(C2810),MONTH(C2810),1)</x:f>
        <x:v>45901</x:v>
      </x:c>
    </x:row>
    <x:row r="2811" ht="22" customHeight="1">
      <x:c r="A2811" s="2" t="str">
        <x:v>L002807</x:v>
      </x:c>
      <x:c r="B2811" s="2" t="str">
        <x:v>O01146</x:v>
      </x:c>
      <x:c r="C2811" s="7" t="n">
        <x:v>45912</x:v>
      </x:c>
      <x:c r="D2811" s="2" t="str">
        <x:v>Cancelled</x:v>
      </x:c>
      <x:c r="E2811" s="2" t="str">
        <x:v>North</x:v>
      </x:c>
      <x:c r="F2811" s="2" t="str">
        <x:v>Online</x:v>
      </x:c>
      <x:c r="G2811" s="2" t="str">
        <x:v>Storage</x:v>
      </x:c>
      <x:c r="H2811" s="2" t="str">
        <x:v>Shelf 015</x:v>
      </x:c>
      <x:c r="I2811" s="11" t="n">
        <x:v>2</x:v>
      </x:c>
      <x:c r="J2811" s="9" t="n">
        <x:v>254</x:v>
      </x:c>
      <x:c r="K2811" s="10" t="n">
        <x:v>0</x:v>
      </x:c>
      <x:c r="L2811" s="11" t="n">
        <x:v>0</x:v>
      </x:c>
      <x:c r="M2811" s="9" t="n">
        <x:f>IF(D2811="Completed",I2811*J2811,0)</x:f>
        <x:v>0</x:v>
      </x:c>
      <x:c r="N2811" s="9" t="n">
        <x:f>M2811*K2811</x:f>
        <x:v>0</x:v>
      </x:c>
      <x:c r="O2811" s="9" t="n">
        <x:f>M2811-N2811</x:f>
        <x:v>0</x:v>
      </x:c>
      <x:c r="P2811" s="9" t="n">
        <x:f>IF(D2811="Completed",L2811*J2811*(1-K2811),0)</x:f>
        <x:v>0</x:v>
      </x:c>
      <x:c r="Q2811" s="9" t="n">
        <x:f>O2811-P2811</x:f>
        <x:v>0</x:v>
      </x:c>
      <x:c r="R2811" s="11" t="n">
        <x:f>IF(D2811="Completed",I2811,0)</x:f>
        <x:v>0</x:v>
      </x:c>
      <x:c r="S2811" s="11" t="n">
        <x:f>IF(D2811="Completed",L2811,0)</x:f>
        <x:v>0</x:v>
      </x:c>
      <x:c r="T2811" s="8" t="n">
        <x:f>DATE(YEAR(C2811),MONTH(C2811),1)</x:f>
        <x:v>45901</x:v>
      </x:c>
    </x:row>
    <x:row r="2812" ht="22" customHeight="1">
      <x:c r="A2812" s="2" t="str">
        <x:v>L002808</x:v>
      </x:c>
      <x:c r="B2812" s="2" t="str">
        <x:v>O01146</x:v>
      </x:c>
      <x:c r="C2812" s="7" t="n">
        <x:v>45912</x:v>
      </x:c>
      <x:c r="D2812" s="2" t="str">
        <x:v>Cancelled</x:v>
      </x:c>
      <x:c r="E2812" s="2" t="str">
        <x:v>North</x:v>
      </x:c>
      <x:c r="F2812" s="2" t="str">
        <x:v>Online</x:v>
      </x:c>
      <x:c r="G2812" s="2" t="str">
        <x:v>Furniture</x:v>
      </x:c>
      <x:c r="H2812" s="2" t="str">
        <x:v>Chair 022</x:v>
      </x:c>
      <x:c r="I2812" s="11" t="n">
        <x:v>2</x:v>
      </x:c>
      <x:c r="J2812" s="9" t="n">
        <x:v>134</x:v>
      </x:c>
      <x:c r="K2812" s="10" t="n">
        <x:v>0.1</x:v>
      </x:c>
      <x:c r="L2812" s="11" t="n">
        <x:v>0</x:v>
      </x:c>
      <x:c r="M2812" s="9" t="n">
        <x:f>IF(D2812="Completed",I2812*J2812,0)</x:f>
        <x:v>0</x:v>
      </x:c>
      <x:c r="N2812" s="9" t="n">
        <x:f>M2812*K2812</x:f>
        <x:v>0</x:v>
      </x:c>
      <x:c r="O2812" s="9" t="n">
        <x:f>M2812-N2812</x:f>
        <x:v>0</x:v>
      </x:c>
      <x:c r="P2812" s="9" t="n">
        <x:f>IF(D2812="Completed",L2812*J2812*(1-K2812),0)</x:f>
        <x:v>0</x:v>
      </x:c>
      <x:c r="Q2812" s="9" t="n">
        <x:f>O2812-P2812</x:f>
        <x:v>0</x:v>
      </x:c>
      <x:c r="R2812" s="11" t="n">
        <x:f>IF(D2812="Completed",I2812,0)</x:f>
        <x:v>0</x:v>
      </x:c>
      <x:c r="S2812" s="11" t="n">
        <x:f>IF(D2812="Completed",L2812,0)</x:f>
        <x:v>0</x:v>
      </x:c>
      <x:c r="T2812" s="8" t="n">
        <x:f>DATE(YEAR(C2812),MONTH(C2812),1)</x:f>
        <x:v>45901</x:v>
      </x:c>
    </x:row>
    <x:row r="2813" ht="22" customHeight="1">
      <x:c r="A2813" s="2" t="str">
        <x:v>L002809</x:v>
      </x:c>
      <x:c r="B2813" s="2" t="str">
        <x:v>O01146</x:v>
      </x:c>
      <x:c r="C2813" s="7" t="n">
        <x:v>45912</x:v>
      </x:c>
      <x:c r="D2813" s="2" t="str">
        <x:v>Cancelled</x:v>
      </x:c>
      <x:c r="E2813" s="2" t="str">
        <x:v>North</x:v>
      </x:c>
      <x:c r="F2813" s="2" t="str">
        <x:v>Online</x:v>
      </x:c>
      <x:c r="G2813" s="2" t="str">
        <x:v>Storage</x:v>
      </x:c>
      <x:c r="H2813" s="2" t="str">
        <x:v>Shelf 007</x:v>
      </x:c>
      <x:c r="I2813" s="11" t="n">
        <x:v>3</x:v>
      </x:c>
      <x:c r="J2813" s="9" t="n">
        <x:v>35</x:v>
      </x:c>
      <x:c r="K2813" s="10" t="n">
        <x:v>0.05</x:v>
      </x:c>
      <x:c r="L2813" s="11" t="n">
        <x:v>0</x:v>
      </x:c>
      <x:c r="M2813" s="9" t="n">
        <x:f>IF(D2813="Completed",I2813*J2813,0)</x:f>
        <x:v>0</x:v>
      </x:c>
      <x:c r="N2813" s="9" t="n">
        <x:f>M2813*K2813</x:f>
        <x:v>0</x:v>
      </x:c>
      <x:c r="O2813" s="9" t="n">
        <x:f>M2813-N2813</x:f>
        <x:v>0</x:v>
      </x:c>
      <x:c r="P2813" s="9" t="n">
        <x:f>IF(D2813="Completed",L2813*J2813*(1-K2813),0)</x:f>
        <x:v>0</x:v>
      </x:c>
      <x:c r="Q2813" s="9" t="n">
        <x:f>O2813-P2813</x:f>
        <x:v>0</x:v>
      </x:c>
      <x:c r="R2813" s="11" t="n">
        <x:f>IF(D2813="Completed",I2813,0)</x:f>
        <x:v>0</x:v>
      </x:c>
      <x:c r="S2813" s="11" t="n">
        <x:f>IF(D2813="Completed",L2813,0)</x:f>
        <x:v>0</x:v>
      </x:c>
      <x:c r="T2813" s="8" t="n">
        <x:f>DATE(YEAR(C2813),MONTH(C2813),1)</x:f>
        <x:v>45901</x:v>
      </x:c>
    </x:row>
    <x:row r="2814" ht="22" customHeight="1">
      <x:c r="A2814" s="2" t="str">
        <x:v>L002810</x:v>
      </x:c>
      <x:c r="B2814" s="2" t="str">
        <x:v>O01147</x:v>
      </x:c>
      <x:c r="C2814" s="7" t="n">
        <x:v>45947</x:v>
      </x:c>
      <x:c r="D2814" s="2" t="str">
        <x:v>Completed</x:v>
      </x:c>
      <x:c r="E2814" s="2" t="str">
        <x:v>South</x:v>
      </x:c>
      <x:c r="F2814" s="2" t="str">
        <x:v>Store</x:v>
      </x:c>
      <x:c r="G2814" s="2" t="str">
        <x:v>Lighting</x:v>
      </x:c>
      <x:c r="H2814" s="2" t="str">
        <x:v>Lamp 005</x:v>
      </x:c>
      <x:c r="I2814" s="11" t="n">
        <x:v>2</x:v>
      </x:c>
      <x:c r="J2814" s="9" t="n">
        <x:v>65</x:v>
      </x:c>
      <x:c r="K2814" s="10" t="n">
        <x:v>0.2</x:v>
      </x:c>
      <x:c r="L2814" s="11" t="n">
        <x:v>0</x:v>
      </x:c>
      <x:c r="M2814" s="9" t="n">
        <x:f>IF(D2814="Completed",I2814*J2814,0)</x:f>
        <x:v>130</x:v>
      </x:c>
      <x:c r="N2814" s="9" t="n">
        <x:f>M2814*K2814</x:f>
        <x:v>26</x:v>
      </x:c>
      <x:c r="O2814" s="9" t="n">
        <x:f>M2814-N2814</x:f>
        <x:v>104</x:v>
      </x:c>
      <x:c r="P2814" s="9" t="n">
        <x:f>IF(D2814="Completed",L2814*J2814*(1-K2814),0)</x:f>
        <x:v>0</x:v>
      </x:c>
      <x:c r="Q2814" s="9" t="n">
        <x:f>O2814-P2814</x:f>
        <x:v>104</x:v>
      </x:c>
      <x:c r="R2814" s="11" t="n">
        <x:f>IF(D2814="Completed",I2814,0)</x:f>
        <x:v>2</x:v>
      </x:c>
      <x:c r="S2814" s="11" t="n">
        <x:f>IF(D2814="Completed",L2814,0)</x:f>
        <x:v>0</x:v>
      </x:c>
      <x:c r="T2814" s="8" t="n">
        <x:f>DATE(YEAR(C2814),MONTH(C2814),1)</x:f>
        <x:v>45931</x:v>
      </x:c>
    </x:row>
    <x:row r="2815" ht="22" customHeight="1">
      <x:c r="A2815" s="2" t="str">
        <x:v>L002811</x:v>
      </x:c>
      <x:c r="B2815" s="2" t="str">
        <x:v>O01147</x:v>
      </x:c>
      <x:c r="C2815" s="7" t="n">
        <x:v>45947</x:v>
      </x:c>
      <x:c r="D2815" s="2" t="str">
        <x:v>Completed</x:v>
      </x:c>
      <x:c r="E2815" s="2" t="str">
        <x:v>South</x:v>
      </x:c>
      <x:c r="F2815" s="2" t="str">
        <x:v>Store</x:v>
      </x:c>
      <x:c r="G2815" s="2" t="str">
        <x:v>Lighting</x:v>
      </x:c>
      <x:c r="H2815" s="2" t="str">
        <x:v>Lamp 001</x:v>
      </x:c>
      <x:c r="I2815" s="11" t="n">
        <x:v>5</x:v>
      </x:c>
      <x:c r="J2815" s="9" t="n">
        <x:v>122</x:v>
      </x:c>
      <x:c r="K2815" s="10" t="n">
        <x:v>0.2</x:v>
      </x:c>
      <x:c r="L2815" s="11" t="n">
        <x:v>0</x:v>
      </x:c>
      <x:c r="M2815" s="9" t="n">
        <x:f>IF(D2815="Completed",I2815*J2815,0)</x:f>
        <x:v>610</x:v>
      </x:c>
      <x:c r="N2815" s="9" t="n">
        <x:f>M2815*K2815</x:f>
        <x:v>122</x:v>
      </x:c>
      <x:c r="O2815" s="9" t="n">
        <x:f>M2815-N2815</x:f>
        <x:v>488</x:v>
      </x:c>
      <x:c r="P2815" s="9" t="n">
        <x:f>IF(D2815="Completed",L2815*J2815*(1-K2815),0)</x:f>
        <x:v>0</x:v>
      </x:c>
      <x:c r="Q2815" s="9" t="n">
        <x:f>O2815-P2815</x:f>
        <x:v>488</x:v>
      </x:c>
      <x:c r="R2815" s="11" t="n">
        <x:f>IF(D2815="Completed",I2815,0)</x:f>
        <x:v>5</x:v>
      </x:c>
      <x:c r="S2815" s="11" t="n">
        <x:f>IF(D2815="Completed",L2815,0)</x:f>
        <x:v>0</x:v>
      </x:c>
      <x:c r="T2815" s="8" t="n">
        <x:f>DATE(YEAR(C2815),MONTH(C2815),1)</x:f>
        <x:v>45931</x:v>
      </x:c>
    </x:row>
    <x:row r="2816" ht="22" customHeight="1">
      <x:c r="A2816" s="2" t="str">
        <x:v>L002812</x:v>
      </x:c>
      <x:c r="B2816" s="2" t="str">
        <x:v>O01148</x:v>
      </x:c>
      <x:c r="C2816" s="7" t="n">
        <x:v>45799</x:v>
      </x:c>
      <x:c r="D2816" s="2" t="str">
        <x:v>Completed</x:v>
      </x:c>
      <x:c r="E2816" s="2" t="str">
        <x:v>South</x:v>
      </x:c>
      <x:c r="F2816" s="2" t="str">
        <x:v>Store</x:v>
      </x:c>
      <x:c r="G2816" s="2" t="str">
        <x:v>Furniture</x:v>
      </x:c>
      <x:c r="H2816" s="2" t="str">
        <x:v>Chair 010</x:v>
      </x:c>
      <x:c r="I2816" s="11" t="n">
        <x:v>1</x:v>
      </x:c>
      <x:c r="J2816" s="9" t="n">
        <x:v>211</x:v>
      </x:c>
      <x:c r="K2816" s="10" t="n">
        <x:v>0.2</x:v>
      </x:c>
      <x:c r="L2816" s="11" t="n">
        <x:v>0</x:v>
      </x:c>
      <x:c r="M2816" s="9" t="n">
        <x:f>IF(D2816="Completed",I2816*J2816,0)</x:f>
        <x:v>211</x:v>
      </x:c>
      <x:c r="N2816" s="9" t="n">
        <x:f>M2816*K2816</x:f>
        <x:v>42.2</x:v>
      </x:c>
      <x:c r="O2816" s="9" t="n">
        <x:f>M2816-N2816</x:f>
        <x:v>168.8</x:v>
      </x:c>
      <x:c r="P2816" s="9" t="n">
        <x:f>IF(D2816="Completed",L2816*J2816*(1-K2816),0)</x:f>
        <x:v>0</x:v>
      </x:c>
      <x:c r="Q2816" s="9" t="n">
        <x:f>O2816-P2816</x:f>
        <x:v>168.8</x:v>
      </x:c>
      <x:c r="R2816" s="11" t="n">
        <x:f>IF(D2816="Completed",I2816,0)</x:f>
        <x:v>1</x:v>
      </x:c>
      <x:c r="S2816" s="11" t="n">
        <x:f>IF(D2816="Completed",L2816,0)</x:f>
        <x:v>0</x:v>
      </x:c>
      <x:c r="T2816" s="8" t="n">
        <x:f>DATE(YEAR(C2816),MONTH(C2816),1)</x:f>
        <x:v>45778</x:v>
      </x:c>
    </x:row>
    <x:row r="2817" ht="22" customHeight="1">
      <x:c r="A2817" s="2" t="str">
        <x:v>L002813</x:v>
      </x:c>
      <x:c r="B2817" s="2" t="str">
        <x:v>O01149</x:v>
      </x:c>
      <x:c r="C2817" s="7" t="n">
        <x:v>45943</x:v>
      </x:c>
      <x:c r="D2817" s="2" t="str">
        <x:v>Completed</x:v>
      </x:c>
      <x:c r="E2817" s="2" t="str">
        <x:v>North</x:v>
      </x:c>
      <x:c r="F2817" s="2" t="str">
        <x:v>Online</x:v>
      </x:c>
      <x:c r="G2817" s="2" t="str">
        <x:v>Furniture</x:v>
      </x:c>
      <x:c r="H2817" s="2" t="str">
        <x:v>Desk 024</x:v>
      </x:c>
      <x:c r="I2817" s="11" t="n">
        <x:v>4</x:v>
      </x:c>
      <x:c r="J2817" s="9" t="n">
        <x:v>81</x:v>
      </x:c>
      <x:c r="K2817" s="10" t="n">
        <x:v>0.2</x:v>
      </x:c>
      <x:c r="L2817" s="11" t="n">
        <x:v>0</x:v>
      </x:c>
      <x:c r="M2817" s="9" t="n">
        <x:f>IF(D2817="Completed",I2817*J2817,0)</x:f>
        <x:v>324</x:v>
      </x:c>
      <x:c r="N2817" s="9" t="n">
        <x:f>M2817*K2817</x:f>
        <x:v>64.8</x:v>
      </x:c>
      <x:c r="O2817" s="9" t="n">
        <x:f>M2817-N2817</x:f>
        <x:v>259.2</x:v>
      </x:c>
      <x:c r="P2817" s="9" t="n">
        <x:f>IF(D2817="Completed",L2817*J2817*(1-K2817),0)</x:f>
        <x:v>0</x:v>
      </x:c>
      <x:c r="Q2817" s="9" t="n">
        <x:f>O2817-P2817</x:f>
        <x:v>259.2</x:v>
      </x:c>
      <x:c r="R2817" s="11" t="n">
        <x:f>IF(D2817="Completed",I2817,0)</x:f>
        <x:v>4</x:v>
      </x:c>
      <x:c r="S2817" s="11" t="n">
        <x:f>IF(D2817="Completed",L2817,0)</x:f>
        <x:v>0</x:v>
      </x:c>
      <x:c r="T2817" s="8" t="n">
        <x:f>DATE(YEAR(C2817),MONTH(C2817),1)</x:f>
        <x:v>45931</x:v>
      </x:c>
    </x:row>
    <x:row r="2818" ht="22" customHeight="1">
      <x:c r="A2818" s="2" t="str">
        <x:v>L002814</x:v>
      </x:c>
      <x:c r="B2818" s="2" t="str">
        <x:v>O01149</x:v>
      </x:c>
      <x:c r="C2818" s="7" t="n">
        <x:v>45943</x:v>
      </x:c>
      <x:c r="D2818" s="2" t="str">
        <x:v>Completed</x:v>
      </x:c>
      <x:c r="E2818" s="2" t="str">
        <x:v>North</x:v>
      </x:c>
      <x:c r="F2818" s="2" t="str">
        <x:v>Online</x:v>
      </x:c>
      <x:c r="G2818" s="2" t="str">
        <x:v>Furniture</x:v>
      </x:c>
      <x:c r="H2818" s="2" t="str">
        <x:v>Chair 006</x:v>
      </x:c>
      <x:c r="I2818" s="11" t="n">
        <x:v>1</x:v>
      </x:c>
      <x:c r="J2818" s="9" t="n">
        <x:v>196</x:v>
      </x:c>
      <x:c r="K2818" s="10" t="n">
        <x:v>0.1</x:v>
      </x:c>
      <x:c r="L2818" s="11" t="n">
        <x:v>0</x:v>
      </x:c>
      <x:c r="M2818" s="9" t="n">
        <x:f>IF(D2818="Completed",I2818*J2818,0)</x:f>
        <x:v>196</x:v>
      </x:c>
      <x:c r="N2818" s="9" t="n">
        <x:f>M2818*K2818</x:f>
        <x:v>19.6</x:v>
      </x:c>
      <x:c r="O2818" s="9" t="n">
        <x:f>M2818-N2818</x:f>
        <x:v>176.4</x:v>
      </x:c>
      <x:c r="P2818" s="9" t="n">
        <x:f>IF(D2818="Completed",L2818*J2818*(1-K2818),0)</x:f>
        <x:v>0</x:v>
      </x:c>
      <x:c r="Q2818" s="9" t="n">
        <x:f>O2818-P2818</x:f>
        <x:v>176.4</x:v>
      </x:c>
      <x:c r="R2818" s="11" t="n">
        <x:f>IF(D2818="Completed",I2818,0)</x:f>
        <x:v>1</x:v>
      </x:c>
      <x:c r="S2818" s="11" t="n">
        <x:f>IF(D2818="Completed",L2818,0)</x:f>
        <x:v>0</x:v>
      </x:c>
      <x:c r="T2818" s="8" t="n">
        <x:f>DATE(YEAR(C2818),MONTH(C2818),1)</x:f>
        <x:v>45931</x:v>
      </x:c>
    </x:row>
    <x:row r="2819" ht="22" customHeight="1">
      <x:c r="A2819" s="2" t="str">
        <x:v>L002815</x:v>
      </x:c>
      <x:c r="B2819" s="2" t="str">
        <x:v>O01149</x:v>
      </x:c>
      <x:c r="C2819" s="7" t="n">
        <x:v>45943</x:v>
      </x:c>
      <x:c r="D2819" s="2" t="str">
        <x:v>Completed</x:v>
      </x:c>
      <x:c r="E2819" s="2" t="str">
        <x:v>North</x:v>
      </x:c>
      <x:c r="F2819" s="2" t="str">
        <x:v>Online</x:v>
      </x:c>
      <x:c r="G2819" s="2" t="str">
        <x:v>Lighting</x:v>
      </x:c>
      <x:c r="H2819" s="2" t="str">
        <x:v>Lamp 001</x:v>
      </x:c>
      <x:c r="I2819" s="11" t="n">
        <x:v>4</x:v>
      </x:c>
      <x:c r="J2819" s="9" t="n">
        <x:v>122</x:v>
      </x:c>
      <x:c r="K2819" s="10" t="n">
        <x:v>0.05</x:v>
      </x:c>
      <x:c r="L2819" s="11" t="n">
        <x:v>0</x:v>
      </x:c>
      <x:c r="M2819" s="9" t="n">
        <x:f>IF(D2819="Completed",I2819*J2819,0)</x:f>
        <x:v>488</x:v>
      </x:c>
      <x:c r="N2819" s="9" t="n">
        <x:f>M2819*K2819</x:f>
        <x:v>24.400000000000002</x:v>
      </x:c>
      <x:c r="O2819" s="9" t="n">
        <x:f>M2819-N2819</x:f>
        <x:v>463.6</x:v>
      </x:c>
      <x:c r="P2819" s="9" t="n">
        <x:f>IF(D2819="Completed",L2819*J2819*(1-K2819),0)</x:f>
        <x:v>0</x:v>
      </x:c>
      <x:c r="Q2819" s="9" t="n">
        <x:f>O2819-P2819</x:f>
        <x:v>463.6</x:v>
      </x:c>
      <x:c r="R2819" s="11" t="n">
        <x:f>IF(D2819="Completed",I2819,0)</x:f>
        <x:v>4</x:v>
      </x:c>
      <x:c r="S2819" s="11" t="n">
        <x:f>IF(D2819="Completed",L2819,0)</x:f>
        <x:v>0</x:v>
      </x:c>
      <x:c r="T2819" s="8" t="n">
        <x:f>DATE(YEAR(C2819),MONTH(C2819),1)</x:f>
        <x:v>45931</x:v>
      </x:c>
    </x:row>
    <x:row r="2820" ht="22" customHeight="1">
      <x:c r="A2820" s="2" t="str">
        <x:v>L002816</x:v>
      </x:c>
      <x:c r="B2820" s="2" t="str">
        <x:v>O01149</x:v>
      </x:c>
      <x:c r="C2820" s="7" t="n">
        <x:v>45943</x:v>
      </x:c>
      <x:c r="D2820" s="2" t="str">
        <x:v>Completed</x:v>
      </x:c>
      <x:c r="E2820" s="2" t="str">
        <x:v>North</x:v>
      </x:c>
      <x:c r="F2820" s="2" t="str">
        <x:v>Online</x:v>
      </x:c>
      <x:c r="G2820" s="2" t="str">
        <x:v>Storage</x:v>
      </x:c>
      <x:c r="H2820" s="2" t="str">
        <x:v>Shelf 011</x:v>
      </x:c>
      <x:c r="I2820" s="11" t="n">
        <x:v>1</x:v>
      </x:c>
      <x:c r="J2820" s="9" t="n">
        <x:v>80</x:v>
      </x:c>
      <x:c r="K2820" s="10" t="n">
        <x:v>0.05</x:v>
      </x:c>
      <x:c r="L2820" s="11" t="n">
        <x:v>0</x:v>
      </x:c>
      <x:c r="M2820" s="9" t="n">
        <x:f>IF(D2820="Completed",I2820*J2820,0)</x:f>
        <x:v>80</x:v>
      </x:c>
      <x:c r="N2820" s="9" t="n">
        <x:f>M2820*K2820</x:f>
        <x:v>4</x:v>
      </x:c>
      <x:c r="O2820" s="9" t="n">
        <x:f>M2820-N2820</x:f>
        <x:v>76</x:v>
      </x:c>
      <x:c r="P2820" s="9" t="n">
        <x:f>IF(D2820="Completed",L2820*J2820*(1-K2820),0)</x:f>
        <x:v>0</x:v>
      </x:c>
      <x:c r="Q2820" s="9" t="n">
        <x:f>O2820-P2820</x:f>
        <x:v>76</x:v>
      </x:c>
      <x:c r="R2820" s="11" t="n">
        <x:f>IF(D2820="Completed",I2820,0)</x:f>
        <x:v>1</x:v>
      </x:c>
      <x:c r="S2820" s="11" t="n">
        <x:f>IF(D2820="Completed",L2820,0)</x:f>
        <x:v>0</x:v>
      </x:c>
      <x:c r="T2820" s="8" t="n">
        <x:f>DATE(YEAR(C2820),MONTH(C2820),1)</x:f>
        <x:v>45931</x:v>
      </x:c>
    </x:row>
    <x:row r="2821" ht="22" customHeight="1">
      <x:c r="A2821" s="2" t="str">
        <x:v>L002817</x:v>
      </x:c>
      <x:c r="B2821" s="2" t="str">
        <x:v>O01150</x:v>
      </x:c>
      <x:c r="C2821" s="7" t="n">
        <x:v>45830</x:v>
      </x:c>
      <x:c r="D2821" s="2" t="str">
        <x:v>Completed</x:v>
      </x:c>
      <x:c r="E2821" s="2" t="str">
        <x:v>South</x:v>
      </x:c>
      <x:c r="F2821" s="2" t="str">
        <x:v>Online</x:v>
      </x:c>
      <x:c r="G2821" s="2" t="str">
        <x:v>Storage</x:v>
      </x:c>
      <x:c r="H2821" s="2" t="str">
        <x:v>Shelf 011</x:v>
      </x:c>
      <x:c r="I2821" s="11" t="n">
        <x:v>1</x:v>
      </x:c>
      <x:c r="J2821" s="9" t="n">
        <x:v>80</x:v>
      </x:c>
      <x:c r="K2821" s="10" t="n">
        <x:v>0</x:v>
      </x:c>
      <x:c r="L2821" s="11" t="n">
        <x:v>0</x:v>
      </x:c>
      <x:c r="M2821" s="9" t="n">
        <x:f>IF(D2821="Completed",I2821*J2821,0)</x:f>
        <x:v>80</x:v>
      </x:c>
      <x:c r="N2821" s="9" t="n">
        <x:f>M2821*K2821</x:f>
        <x:v>0</x:v>
      </x:c>
      <x:c r="O2821" s="9" t="n">
        <x:f>M2821-N2821</x:f>
        <x:v>80</x:v>
      </x:c>
      <x:c r="P2821" s="9" t="n">
        <x:f>IF(D2821="Completed",L2821*J2821*(1-K2821),0)</x:f>
        <x:v>0</x:v>
      </x:c>
      <x:c r="Q2821" s="9" t="n">
        <x:f>O2821-P2821</x:f>
        <x:v>80</x:v>
      </x:c>
      <x:c r="R2821" s="11" t="n">
        <x:f>IF(D2821="Completed",I2821,0)</x:f>
        <x:v>1</x:v>
      </x:c>
      <x:c r="S2821" s="11" t="n">
        <x:f>IF(D2821="Completed",L2821,0)</x:f>
        <x:v>0</x:v>
      </x:c>
      <x:c r="T2821" s="8" t="n">
        <x:f>DATE(YEAR(C2821),MONTH(C2821),1)</x:f>
        <x:v>45809</x:v>
      </x:c>
    </x:row>
    <x:row r="2822" ht="22" customHeight="1">
      <x:c r="A2822" s="2" t="str">
        <x:v>L002818</x:v>
      </x:c>
      <x:c r="B2822" s="2" t="str">
        <x:v>O01150</x:v>
      </x:c>
      <x:c r="C2822" s="7" t="n">
        <x:v>45830</x:v>
      </x:c>
      <x:c r="D2822" s="2" t="str">
        <x:v>Completed</x:v>
      </x:c>
      <x:c r="E2822" s="2" t="str">
        <x:v>South</x:v>
      </x:c>
      <x:c r="F2822" s="2" t="str">
        <x:v>Online</x:v>
      </x:c>
      <x:c r="G2822" s="2" t="str">
        <x:v>Furniture</x:v>
      </x:c>
      <x:c r="H2822" s="2" t="str">
        <x:v>Desk 016</x:v>
      </x:c>
      <x:c r="I2822" s="11" t="n">
        <x:v>2</x:v>
      </x:c>
      <x:c r="J2822" s="9" t="n">
        <x:v>231</x:v>
      </x:c>
      <x:c r="K2822" s="10" t="n">
        <x:v>0.05</x:v>
      </x:c>
      <x:c r="L2822" s="11" t="n">
        <x:v>0</x:v>
      </x:c>
      <x:c r="M2822" s="9" t="n">
        <x:f>IF(D2822="Completed",I2822*J2822,0)</x:f>
        <x:v>462</x:v>
      </x:c>
      <x:c r="N2822" s="9" t="n">
        <x:f>M2822*K2822</x:f>
        <x:v>23.1</x:v>
      </x:c>
      <x:c r="O2822" s="9" t="n">
        <x:f>M2822-N2822</x:f>
        <x:v>438.9</x:v>
      </x:c>
      <x:c r="P2822" s="9" t="n">
        <x:f>IF(D2822="Completed",L2822*J2822*(1-K2822),0)</x:f>
        <x:v>0</x:v>
      </x:c>
      <x:c r="Q2822" s="9" t="n">
        <x:f>O2822-P2822</x:f>
        <x:v>438.9</x:v>
      </x:c>
      <x:c r="R2822" s="11" t="n">
        <x:f>IF(D2822="Completed",I2822,0)</x:f>
        <x:v>2</x:v>
      </x:c>
      <x:c r="S2822" s="11" t="n">
        <x:f>IF(D2822="Completed",L2822,0)</x:f>
        <x:v>0</x:v>
      </x:c>
      <x:c r="T2822" s="8" t="n">
        <x:f>DATE(YEAR(C2822),MONTH(C2822),1)</x:f>
        <x:v>45809</x:v>
      </x:c>
    </x:row>
    <x:row r="2823" ht="22" customHeight="1">
      <x:c r="A2823" s="2" t="str">
        <x:v>L002819</x:v>
      </x:c>
      <x:c r="B2823" s="2" t="str">
        <x:v>O01151</x:v>
      </x:c>
      <x:c r="C2823" s="7" t="n">
        <x:v>46019</x:v>
      </x:c>
      <x:c r="D2823" s="2" t="str">
        <x:v>Completed</x:v>
      </x:c>
      <x:c r="E2823" s="2" t="str">
        <x:v>South</x:v>
      </x:c>
      <x:c r="F2823" s="2" t="str">
        <x:v>Online</x:v>
      </x:c>
      <x:c r="G2823" s="2" t="str">
        <x:v>Furniture</x:v>
      </x:c>
      <x:c r="H2823" s="2" t="str">
        <x:v>Chair 018</x:v>
      </x:c>
      <x:c r="I2823" s="11" t="n">
        <x:v>2</x:v>
      </x:c>
      <x:c r="J2823" s="9" t="n">
        <x:v>269</x:v>
      </x:c>
      <x:c r="K2823" s="10" t="n">
        <x:v>0</x:v>
      </x:c>
      <x:c r="L2823" s="11" t="n">
        <x:v>1</x:v>
      </x:c>
      <x:c r="M2823" s="9" t="n">
        <x:f>IF(D2823="Completed",I2823*J2823,0)</x:f>
        <x:v>538</x:v>
      </x:c>
      <x:c r="N2823" s="9" t="n">
        <x:f>M2823*K2823</x:f>
        <x:v>0</x:v>
      </x:c>
      <x:c r="O2823" s="9" t="n">
        <x:f>M2823-N2823</x:f>
        <x:v>538</x:v>
      </x:c>
      <x:c r="P2823" s="9" t="n">
        <x:f>IF(D2823="Completed",L2823*J2823*(1-K2823),0)</x:f>
        <x:v>269</x:v>
      </x:c>
      <x:c r="Q2823" s="9" t="n">
        <x:f>O2823-P2823</x:f>
        <x:v>269</x:v>
      </x:c>
      <x:c r="R2823" s="11" t="n">
        <x:f>IF(D2823="Completed",I2823,0)</x:f>
        <x:v>2</x:v>
      </x:c>
      <x:c r="S2823" s="11" t="n">
        <x:f>IF(D2823="Completed",L2823,0)</x:f>
        <x:v>1</x:v>
      </x:c>
      <x:c r="T2823" s="8" t="n">
        <x:f>DATE(YEAR(C2823),MONTH(C2823),1)</x:f>
        <x:v>45992</x:v>
      </x:c>
    </x:row>
    <x:row r="2824" ht="22" customHeight="1">
      <x:c r="A2824" s="2" t="str">
        <x:v>L002820</x:v>
      </x:c>
      <x:c r="B2824" s="2" t="str">
        <x:v>O01151</x:v>
      </x:c>
      <x:c r="C2824" s="7" t="n">
        <x:v>46019</x:v>
      </x:c>
      <x:c r="D2824" s="2" t="str">
        <x:v>Completed</x:v>
      </x:c>
      <x:c r="E2824" s="2" t="str">
        <x:v>South</x:v>
      </x:c>
      <x:c r="F2824" s="2" t="str">
        <x:v>Online</x:v>
      </x:c>
      <x:c r="G2824" s="2" t="str">
        <x:v>Furniture</x:v>
      </x:c>
      <x:c r="H2824" s="2" t="str">
        <x:v>Desk 024</x:v>
      </x:c>
      <x:c r="I2824" s="11" t="n">
        <x:v>1</x:v>
      </x:c>
      <x:c r="J2824" s="9" t="n">
        <x:v>81</x:v>
      </x:c>
      <x:c r="K2824" s="10" t="n">
        <x:v>0</x:v>
      </x:c>
      <x:c r="L2824" s="11" t="n">
        <x:v>0</x:v>
      </x:c>
      <x:c r="M2824" s="9" t="n">
        <x:f>IF(D2824="Completed",I2824*J2824,0)</x:f>
        <x:v>81</x:v>
      </x:c>
      <x:c r="N2824" s="9" t="n">
        <x:f>M2824*K2824</x:f>
        <x:v>0</x:v>
      </x:c>
      <x:c r="O2824" s="9" t="n">
        <x:f>M2824-N2824</x:f>
        <x:v>81</x:v>
      </x:c>
      <x:c r="P2824" s="9" t="n">
        <x:f>IF(D2824="Completed",L2824*J2824*(1-K2824),0)</x:f>
        <x:v>0</x:v>
      </x:c>
      <x:c r="Q2824" s="9" t="n">
        <x:f>O2824-P2824</x:f>
        <x:v>81</x:v>
      </x:c>
      <x:c r="R2824" s="11" t="n">
        <x:f>IF(D2824="Completed",I2824,0)</x:f>
        <x:v>1</x:v>
      </x:c>
      <x:c r="S2824" s="11" t="n">
        <x:f>IF(D2824="Completed",L2824,0)</x:f>
        <x:v>0</x:v>
      </x:c>
      <x:c r="T2824" s="8" t="n">
        <x:f>DATE(YEAR(C2824),MONTH(C2824),1)</x:f>
        <x:v>45992</x:v>
      </x:c>
    </x:row>
    <x:row r="2825" ht="22" customHeight="1">
      <x:c r="A2825" s="2" t="str">
        <x:v>L002821</x:v>
      </x:c>
      <x:c r="B2825" s="2" t="str">
        <x:v>O01151</x:v>
      </x:c>
      <x:c r="C2825" s="7" t="n">
        <x:v>46019</x:v>
      </x:c>
      <x:c r="D2825" s="2" t="str">
        <x:v>Completed</x:v>
      </x:c>
      <x:c r="E2825" s="2" t="str">
        <x:v>South</x:v>
      </x:c>
      <x:c r="F2825" s="2" t="str">
        <x:v>Online</x:v>
      </x:c>
      <x:c r="G2825" s="2" t="str">
        <x:v>Furniture</x:v>
      </x:c>
      <x:c r="H2825" s="2" t="str">
        <x:v>Chair 014</x:v>
      </x:c>
      <x:c r="I2825" s="11" t="n">
        <x:v>2</x:v>
      </x:c>
      <x:c r="J2825" s="9" t="n">
        <x:v>294</x:v>
      </x:c>
      <x:c r="K2825" s="10" t="n">
        <x:v>0.05</x:v>
      </x:c>
      <x:c r="L2825" s="11" t="n">
        <x:v>1</x:v>
      </x:c>
      <x:c r="M2825" s="9" t="n">
        <x:f>IF(D2825="Completed",I2825*J2825,0)</x:f>
        <x:v>588</x:v>
      </x:c>
      <x:c r="N2825" s="9" t="n">
        <x:f>M2825*K2825</x:f>
        <x:v>29.400000000000002</x:v>
      </x:c>
      <x:c r="O2825" s="9" t="n">
        <x:f>M2825-N2825</x:f>
        <x:v>558.6</x:v>
      </x:c>
      <x:c r="P2825" s="9" t="n">
        <x:f>IF(D2825="Completed",L2825*J2825*(1-K2825),0)</x:f>
        <x:v>279.3</x:v>
      </x:c>
      <x:c r="Q2825" s="9" t="n">
        <x:f>O2825-P2825</x:f>
        <x:v>279.3</x:v>
      </x:c>
      <x:c r="R2825" s="11" t="n">
        <x:f>IF(D2825="Completed",I2825,0)</x:f>
        <x:v>2</x:v>
      </x:c>
      <x:c r="S2825" s="11" t="n">
        <x:f>IF(D2825="Completed",L2825,0)</x:f>
        <x:v>1</x:v>
      </x:c>
      <x:c r="T2825" s="8" t="n">
        <x:f>DATE(YEAR(C2825),MONTH(C2825),1)</x:f>
        <x:v>45992</x:v>
      </x:c>
    </x:row>
    <x:row r="2826" ht="22" customHeight="1">
      <x:c r="A2826" s="2" t="str">
        <x:v>L002822</x:v>
      </x:c>
      <x:c r="B2826" s="2" t="str">
        <x:v>O01151</x:v>
      </x:c>
      <x:c r="C2826" s="7" t="n">
        <x:v>46019</x:v>
      </x:c>
      <x:c r="D2826" s="2" t="str">
        <x:v>Completed</x:v>
      </x:c>
      <x:c r="E2826" s="2" t="str">
        <x:v>South</x:v>
      </x:c>
      <x:c r="F2826" s="2" t="str">
        <x:v>Online</x:v>
      </x:c>
      <x:c r="G2826" s="2" t="str">
        <x:v>Furniture</x:v>
      </x:c>
      <x:c r="H2826" s="2" t="str">
        <x:v>Chair 018</x:v>
      </x:c>
      <x:c r="I2826" s="11" t="n">
        <x:v>4</x:v>
      </x:c>
      <x:c r="J2826" s="9" t="n">
        <x:v>269</x:v>
      </x:c>
      <x:c r="K2826" s="10" t="n">
        <x:v>0.2</x:v>
      </x:c>
      <x:c r="L2826" s="11" t="n">
        <x:v>0</x:v>
      </x:c>
      <x:c r="M2826" s="9" t="n">
        <x:f>IF(D2826="Completed",I2826*J2826,0)</x:f>
        <x:v>1076</x:v>
      </x:c>
      <x:c r="N2826" s="9" t="n">
        <x:f>M2826*K2826</x:f>
        <x:v>215.20000000000002</x:v>
      </x:c>
      <x:c r="O2826" s="9" t="n">
        <x:f>M2826-N2826</x:f>
        <x:v>860.8</x:v>
      </x:c>
      <x:c r="P2826" s="9" t="n">
        <x:f>IF(D2826="Completed",L2826*J2826*(1-K2826),0)</x:f>
        <x:v>0</x:v>
      </x:c>
      <x:c r="Q2826" s="9" t="n">
        <x:f>O2826-P2826</x:f>
        <x:v>860.8</x:v>
      </x:c>
      <x:c r="R2826" s="11" t="n">
        <x:f>IF(D2826="Completed",I2826,0)</x:f>
        <x:v>4</x:v>
      </x:c>
      <x:c r="S2826" s="11" t="n">
        <x:f>IF(D2826="Completed",L2826,0)</x:f>
        <x:v>0</x:v>
      </x:c>
      <x:c r="T2826" s="8" t="n">
        <x:f>DATE(YEAR(C2826),MONTH(C2826),1)</x:f>
        <x:v>45992</x:v>
      </x:c>
    </x:row>
    <x:row r="2827" ht="22" customHeight="1">
      <x:c r="A2827" s="2" t="str">
        <x:v>L002823</x:v>
      </x:c>
      <x:c r="B2827" s="2" t="str">
        <x:v>O01152</x:v>
      </x:c>
      <x:c r="C2827" s="7" t="n">
        <x:v>45949</x:v>
      </x:c>
      <x:c r="D2827" s="2" t="str">
        <x:v>Cancelled</x:v>
      </x:c>
      <x:c r="E2827" s="2" t="str">
        <x:v>West</x:v>
      </x:c>
      <x:c r="F2827" s="2" t="str">
        <x:v>Online</x:v>
      </x:c>
      <x:c r="G2827" s="2" t="str">
        <x:v>Lighting</x:v>
      </x:c>
      <x:c r="H2827" s="2" t="str">
        <x:v>Lamp 013</x:v>
      </x:c>
      <x:c r="I2827" s="11" t="n">
        <x:v>1</x:v>
      </x:c>
      <x:c r="J2827" s="9" t="n">
        <x:v>271</x:v>
      </x:c>
      <x:c r="K2827" s="10" t="n">
        <x:v>0</x:v>
      </x:c>
      <x:c r="L2827" s="11" t="n">
        <x:v>0</x:v>
      </x:c>
      <x:c r="M2827" s="9" t="n">
        <x:f>IF(D2827="Completed",I2827*J2827,0)</x:f>
        <x:v>0</x:v>
      </x:c>
      <x:c r="N2827" s="9" t="n">
        <x:f>M2827*K2827</x:f>
        <x:v>0</x:v>
      </x:c>
      <x:c r="O2827" s="9" t="n">
        <x:f>M2827-N2827</x:f>
        <x:v>0</x:v>
      </x:c>
      <x:c r="P2827" s="9" t="n">
        <x:f>IF(D2827="Completed",L2827*J2827*(1-K2827),0)</x:f>
        <x:v>0</x:v>
      </x:c>
      <x:c r="Q2827" s="9" t="n">
        <x:f>O2827-P2827</x:f>
        <x:v>0</x:v>
      </x:c>
      <x:c r="R2827" s="11" t="n">
        <x:f>IF(D2827="Completed",I2827,0)</x:f>
        <x:v>0</x:v>
      </x:c>
      <x:c r="S2827" s="11" t="n">
        <x:f>IF(D2827="Completed",L2827,0)</x:f>
        <x:v>0</x:v>
      </x:c>
      <x:c r="T2827" s="8" t="n">
        <x:f>DATE(YEAR(C2827),MONTH(C2827),1)</x:f>
        <x:v>45931</x:v>
      </x:c>
    </x:row>
    <x:row r="2828" ht="22" customHeight="1">
      <x:c r="A2828" s="2" t="str">
        <x:v>L002824</x:v>
      </x:c>
      <x:c r="B2828" s="2" t="str">
        <x:v>O01152</x:v>
      </x:c>
      <x:c r="C2828" s="7" t="n">
        <x:v>45949</x:v>
      </x:c>
      <x:c r="D2828" s="2" t="str">
        <x:v>Cancelled</x:v>
      </x:c>
      <x:c r="E2828" s="2" t="str">
        <x:v>West</x:v>
      </x:c>
      <x:c r="F2828" s="2" t="str">
        <x:v>Online</x:v>
      </x:c>
      <x:c r="G2828" s="2" t="str">
        <x:v>Storage</x:v>
      </x:c>
      <x:c r="H2828" s="2" t="str">
        <x:v>Shelf 003</x:v>
      </x:c>
      <x:c r="I2828" s="11" t="n">
        <x:v>4</x:v>
      </x:c>
      <x:c r="J2828" s="9" t="n">
        <x:v>199</x:v>
      </x:c>
      <x:c r="K2828" s="10" t="n">
        <x:v>0</x:v>
      </x:c>
      <x:c r="L2828" s="11" t="n">
        <x:v>0</x:v>
      </x:c>
      <x:c r="M2828" s="9" t="n">
        <x:f>IF(D2828="Completed",I2828*J2828,0)</x:f>
        <x:v>0</x:v>
      </x:c>
      <x:c r="N2828" s="9" t="n">
        <x:f>M2828*K2828</x:f>
        <x:v>0</x:v>
      </x:c>
      <x:c r="O2828" s="9" t="n">
        <x:f>M2828-N2828</x:f>
        <x:v>0</x:v>
      </x:c>
      <x:c r="P2828" s="9" t="n">
        <x:f>IF(D2828="Completed",L2828*J2828*(1-K2828),0)</x:f>
        <x:v>0</x:v>
      </x:c>
      <x:c r="Q2828" s="9" t="n">
        <x:f>O2828-P2828</x:f>
        <x:v>0</x:v>
      </x:c>
      <x:c r="R2828" s="11" t="n">
        <x:f>IF(D2828="Completed",I2828,0)</x:f>
        <x:v>0</x:v>
      </x:c>
      <x:c r="S2828" s="11" t="n">
        <x:f>IF(D2828="Completed",L2828,0)</x:f>
        <x:v>0</x:v>
      </x:c>
      <x:c r="T2828" s="8" t="n">
        <x:f>DATE(YEAR(C2828),MONTH(C2828),1)</x:f>
        <x:v>45931</x:v>
      </x:c>
    </x:row>
    <x:row r="2829" ht="22" customHeight="1">
      <x:c r="A2829" s="2" t="str">
        <x:v>L002825</x:v>
      </x:c>
      <x:c r="B2829" s="2" t="str">
        <x:v>O01153</x:v>
      </x:c>
      <x:c r="C2829" s="7" t="n">
        <x:v>45858</x:v>
      </x:c>
      <x:c r="D2829" s="2" t="str">
        <x:v>Completed</x:v>
      </x:c>
      <x:c r="E2829" s="2" t="str">
        <x:v>South</x:v>
      </x:c>
      <x:c r="F2829" s="2" t="str">
        <x:v>Store</x:v>
      </x:c>
      <x:c r="G2829" s="2" t="str">
        <x:v>Storage</x:v>
      </x:c>
      <x:c r="H2829" s="2" t="str">
        <x:v>Shelf 011</x:v>
      </x:c>
      <x:c r="I2829" s="11" t="n">
        <x:v>5</x:v>
      </x:c>
      <x:c r="J2829" s="9" t="n">
        <x:v>80</x:v>
      </x:c>
      <x:c r="K2829" s="10" t="n">
        <x:v>0.1</x:v>
      </x:c>
      <x:c r="L2829" s="11" t="n">
        <x:v>0</x:v>
      </x:c>
      <x:c r="M2829" s="9" t="n">
        <x:f>IF(D2829="Completed",I2829*J2829,0)</x:f>
        <x:v>400</x:v>
      </x:c>
      <x:c r="N2829" s="9" t="n">
        <x:f>M2829*K2829</x:f>
        <x:v>40</x:v>
      </x:c>
      <x:c r="O2829" s="9" t="n">
        <x:f>M2829-N2829</x:f>
        <x:v>360</x:v>
      </x:c>
      <x:c r="P2829" s="9" t="n">
        <x:f>IF(D2829="Completed",L2829*J2829*(1-K2829),0)</x:f>
        <x:v>0</x:v>
      </x:c>
      <x:c r="Q2829" s="9" t="n">
        <x:f>O2829-P2829</x:f>
        <x:v>360</x:v>
      </x:c>
      <x:c r="R2829" s="11" t="n">
        <x:f>IF(D2829="Completed",I2829,0)</x:f>
        <x:v>5</x:v>
      </x:c>
      <x:c r="S2829" s="11" t="n">
        <x:f>IF(D2829="Completed",L2829,0)</x:f>
        <x:v>0</x:v>
      </x:c>
      <x:c r="T2829" s="8" t="n">
        <x:f>DATE(YEAR(C2829),MONTH(C2829),1)</x:f>
        <x:v>45839</x:v>
      </x:c>
    </x:row>
    <x:row r="2830" ht="22" customHeight="1">
      <x:c r="A2830" s="2" t="str">
        <x:v>L002826</x:v>
      </x:c>
      <x:c r="B2830" s="2" t="str">
        <x:v>O01153</x:v>
      </x:c>
      <x:c r="C2830" s="7" t="n">
        <x:v>45858</x:v>
      </x:c>
      <x:c r="D2830" s="2" t="str">
        <x:v>Completed</x:v>
      </x:c>
      <x:c r="E2830" s="2" t="str">
        <x:v>South</x:v>
      </x:c>
      <x:c r="F2830" s="2" t="str">
        <x:v>Store</x:v>
      </x:c>
      <x:c r="G2830" s="2" t="str">
        <x:v>Lighting</x:v>
      </x:c>
      <x:c r="H2830" s="2" t="str">
        <x:v>Lamp 009</x:v>
      </x:c>
      <x:c r="I2830" s="11" t="n">
        <x:v>5</x:v>
      </x:c>
      <x:c r="J2830" s="9" t="n">
        <x:v>93</x:v>
      </x:c>
      <x:c r="K2830" s="10" t="n">
        <x:v>0.2</x:v>
      </x:c>
      <x:c r="L2830" s="11" t="n">
        <x:v>0</x:v>
      </x:c>
      <x:c r="M2830" s="9" t="n">
        <x:f>IF(D2830="Completed",I2830*J2830,0)</x:f>
        <x:v>465</x:v>
      </x:c>
      <x:c r="N2830" s="9" t="n">
        <x:f>M2830*K2830</x:f>
        <x:v>93</x:v>
      </x:c>
      <x:c r="O2830" s="9" t="n">
        <x:f>M2830-N2830</x:f>
        <x:v>372</x:v>
      </x:c>
      <x:c r="P2830" s="9" t="n">
        <x:f>IF(D2830="Completed",L2830*J2830*(1-K2830),0)</x:f>
        <x:v>0</x:v>
      </x:c>
      <x:c r="Q2830" s="9" t="n">
        <x:f>O2830-P2830</x:f>
        <x:v>372</x:v>
      </x:c>
      <x:c r="R2830" s="11" t="n">
        <x:f>IF(D2830="Completed",I2830,0)</x:f>
        <x:v>5</x:v>
      </x:c>
      <x:c r="S2830" s="11" t="n">
        <x:f>IF(D2830="Completed",L2830,0)</x:f>
        <x:v>0</x:v>
      </x:c>
      <x:c r="T2830" s="8" t="n">
        <x:f>DATE(YEAR(C2830),MONTH(C2830),1)</x:f>
        <x:v>45839</x:v>
      </x:c>
    </x:row>
    <x:row r="2831" ht="22" customHeight="1">
      <x:c r="A2831" s="2" t="str">
        <x:v>L002827</x:v>
      </x:c>
      <x:c r="B2831" s="2" t="str">
        <x:v>O01154</x:v>
      </x:c>
      <x:c r="C2831" s="7" t="n">
        <x:v>46000</x:v>
      </x:c>
      <x:c r="D2831" s="2" t="str">
        <x:v>Completed</x:v>
      </x:c>
      <x:c r="E2831" s="2" t="str">
        <x:v>North</x:v>
      </x:c>
      <x:c r="F2831" s="2" t="str">
        <x:v>Online</x:v>
      </x:c>
      <x:c r="G2831" s="2" t="str">
        <x:v>Storage</x:v>
      </x:c>
      <x:c r="H2831" s="2" t="str">
        <x:v>Shelf 007</x:v>
      </x:c>
      <x:c r="I2831" s="11" t="n">
        <x:v>5</x:v>
      </x:c>
      <x:c r="J2831" s="9" t="n">
        <x:v>35</x:v>
      </x:c>
      <x:c r="K2831" s="10" t="n">
        <x:v>0.1</x:v>
      </x:c>
      <x:c r="L2831" s="11" t="n">
        <x:v>0</x:v>
      </x:c>
      <x:c r="M2831" s="9" t="n">
        <x:f>IF(D2831="Completed",I2831*J2831,0)</x:f>
        <x:v>175</x:v>
      </x:c>
      <x:c r="N2831" s="9" t="n">
        <x:f>M2831*K2831</x:f>
        <x:v>17.5</x:v>
      </x:c>
      <x:c r="O2831" s="9" t="n">
        <x:f>M2831-N2831</x:f>
        <x:v>157.5</x:v>
      </x:c>
      <x:c r="P2831" s="9" t="n">
        <x:f>IF(D2831="Completed",L2831*J2831*(1-K2831),0)</x:f>
        <x:v>0</x:v>
      </x:c>
      <x:c r="Q2831" s="9" t="n">
        <x:f>O2831-P2831</x:f>
        <x:v>157.5</x:v>
      </x:c>
      <x:c r="R2831" s="11" t="n">
        <x:f>IF(D2831="Completed",I2831,0)</x:f>
        <x:v>5</x:v>
      </x:c>
      <x:c r="S2831" s="11" t="n">
        <x:f>IF(D2831="Completed",L2831,0)</x:f>
        <x:v>0</x:v>
      </x:c>
      <x:c r="T2831" s="8" t="n">
        <x:f>DATE(YEAR(C2831),MONTH(C2831),1)</x:f>
        <x:v>45992</x:v>
      </x:c>
    </x:row>
    <x:row r="2832" ht="22" customHeight="1">
      <x:c r="A2832" s="2" t="str">
        <x:v>L002828</x:v>
      </x:c>
      <x:c r="B2832" s="2" t="str">
        <x:v>O01154</x:v>
      </x:c>
      <x:c r="C2832" s="7" t="n">
        <x:v>46000</x:v>
      </x:c>
      <x:c r="D2832" s="2" t="str">
        <x:v>Completed</x:v>
      </x:c>
      <x:c r="E2832" s="2" t="str">
        <x:v>North</x:v>
      </x:c>
      <x:c r="F2832" s="2" t="str">
        <x:v>Online</x:v>
      </x:c>
      <x:c r="G2832" s="2" t="str">
        <x:v>Lighting</x:v>
      </x:c>
      <x:c r="H2832" s="2" t="str">
        <x:v>Lamp 017</x:v>
      </x:c>
      <x:c r="I2832" s="11" t="n">
        <x:v>5</x:v>
      </x:c>
      <x:c r="J2832" s="9" t="n">
        <x:v>300</x:v>
      </x:c>
      <x:c r="K2832" s="10" t="n">
        <x:v>0</x:v>
      </x:c>
      <x:c r="L2832" s="11" t="n">
        <x:v>0</x:v>
      </x:c>
      <x:c r="M2832" s="9" t="n">
        <x:f>IF(D2832="Completed",I2832*J2832,0)</x:f>
        <x:v>1500</x:v>
      </x:c>
      <x:c r="N2832" s="9" t="n">
        <x:f>M2832*K2832</x:f>
        <x:v>0</x:v>
      </x:c>
      <x:c r="O2832" s="9" t="n">
        <x:f>M2832-N2832</x:f>
        <x:v>1500</x:v>
      </x:c>
      <x:c r="P2832" s="9" t="n">
        <x:f>IF(D2832="Completed",L2832*J2832*(1-K2832),0)</x:f>
        <x:v>0</x:v>
      </x:c>
      <x:c r="Q2832" s="9" t="n">
        <x:f>O2832-P2832</x:f>
        <x:v>1500</x:v>
      </x:c>
      <x:c r="R2832" s="11" t="n">
        <x:f>IF(D2832="Completed",I2832,0)</x:f>
        <x:v>5</x:v>
      </x:c>
      <x:c r="S2832" s="11" t="n">
        <x:f>IF(D2832="Completed",L2832,0)</x:f>
        <x:v>0</x:v>
      </x:c>
      <x:c r="T2832" s="8" t="n">
        <x:f>DATE(YEAR(C2832),MONTH(C2832),1)</x:f>
        <x:v>45992</x:v>
      </x:c>
    </x:row>
    <x:row r="2833" ht="22" customHeight="1">
      <x:c r="A2833" s="2" t="str">
        <x:v>L002829</x:v>
      </x:c>
      <x:c r="B2833" s="2" t="str">
        <x:v>O01155</x:v>
      </x:c>
      <x:c r="C2833" s="7" t="n">
        <x:v>45864</x:v>
      </x:c>
      <x:c r="D2833" s="2" t="str">
        <x:v>Completed</x:v>
      </x:c>
      <x:c r="E2833" s="2" t="str">
        <x:v>East</x:v>
      </x:c>
      <x:c r="F2833" s="2" t="str">
        <x:v>Online</x:v>
      </x:c>
      <x:c r="G2833" s="2" t="str">
        <x:v>Furniture</x:v>
      </x:c>
      <x:c r="H2833" s="2" t="str">
        <x:v>Chair 022</x:v>
      </x:c>
      <x:c r="I2833" s="11" t="n">
        <x:v>3</x:v>
      </x:c>
      <x:c r="J2833" s="9" t="n">
        <x:v>134</x:v>
      </x:c>
      <x:c r="K2833" s="10" t="n">
        <x:v>0</x:v>
      </x:c>
      <x:c r="L2833" s="11" t="n">
        <x:v>0</x:v>
      </x:c>
      <x:c r="M2833" s="9" t="n">
        <x:f>IF(D2833="Completed",I2833*J2833,0)</x:f>
        <x:v>402</x:v>
      </x:c>
      <x:c r="N2833" s="9" t="n">
        <x:f>M2833*K2833</x:f>
        <x:v>0</x:v>
      </x:c>
      <x:c r="O2833" s="9" t="n">
        <x:f>M2833-N2833</x:f>
        <x:v>402</x:v>
      </x:c>
      <x:c r="P2833" s="9" t="n">
        <x:f>IF(D2833="Completed",L2833*J2833*(1-K2833),0)</x:f>
        <x:v>0</x:v>
      </x:c>
      <x:c r="Q2833" s="9" t="n">
        <x:f>O2833-P2833</x:f>
        <x:v>402</x:v>
      </x:c>
      <x:c r="R2833" s="11" t="n">
        <x:f>IF(D2833="Completed",I2833,0)</x:f>
        <x:v>3</x:v>
      </x:c>
      <x:c r="S2833" s="11" t="n">
        <x:f>IF(D2833="Completed",L2833,0)</x:f>
        <x:v>0</x:v>
      </x:c>
      <x:c r="T2833" s="8" t="n">
        <x:f>DATE(YEAR(C2833),MONTH(C2833),1)</x:f>
        <x:v>45839</x:v>
      </x:c>
    </x:row>
    <x:row r="2834" ht="22" customHeight="1">
      <x:c r="A2834" s="2" t="str">
        <x:v>L002830</x:v>
      </x:c>
      <x:c r="B2834" s="2" t="str">
        <x:v>O01155</x:v>
      </x:c>
      <x:c r="C2834" s="7" t="n">
        <x:v>45864</x:v>
      </x:c>
      <x:c r="D2834" s="2" t="str">
        <x:v>Completed</x:v>
      </x:c>
      <x:c r="E2834" s="2" t="str">
        <x:v>East</x:v>
      </x:c>
      <x:c r="F2834" s="2" t="str">
        <x:v>Online</x:v>
      </x:c>
      <x:c r="G2834" s="2" t="str">
        <x:v>Furniture</x:v>
      </x:c>
      <x:c r="H2834" s="2" t="str">
        <x:v>Desk 016</x:v>
      </x:c>
      <x:c r="I2834" s="11" t="n">
        <x:v>3</x:v>
      </x:c>
      <x:c r="J2834" s="9" t="n">
        <x:v>231</x:v>
      </x:c>
      <x:c r="K2834" s="10" t="n">
        <x:v>0</x:v>
      </x:c>
      <x:c r="L2834" s="11" t="n">
        <x:v>0</x:v>
      </x:c>
      <x:c r="M2834" s="9" t="n">
        <x:f>IF(D2834="Completed",I2834*J2834,0)</x:f>
        <x:v>693</x:v>
      </x:c>
      <x:c r="N2834" s="9" t="n">
        <x:f>M2834*K2834</x:f>
        <x:v>0</x:v>
      </x:c>
      <x:c r="O2834" s="9" t="n">
        <x:f>M2834-N2834</x:f>
        <x:v>693</x:v>
      </x:c>
      <x:c r="P2834" s="9" t="n">
        <x:f>IF(D2834="Completed",L2834*J2834*(1-K2834),0)</x:f>
        <x:v>0</x:v>
      </x:c>
      <x:c r="Q2834" s="9" t="n">
        <x:f>O2834-P2834</x:f>
        <x:v>693</x:v>
      </x:c>
      <x:c r="R2834" s="11" t="n">
        <x:f>IF(D2834="Completed",I2834,0)</x:f>
        <x:v>3</x:v>
      </x:c>
      <x:c r="S2834" s="11" t="n">
        <x:f>IF(D2834="Completed",L2834,0)</x:f>
        <x:v>0</x:v>
      </x:c>
      <x:c r="T2834" s="8" t="n">
        <x:f>DATE(YEAR(C2834),MONTH(C2834),1)</x:f>
        <x:v>45839</x:v>
      </x:c>
    </x:row>
    <x:row r="2835" ht="22" customHeight="1">
      <x:c r="A2835" s="2" t="str">
        <x:v>L002831</x:v>
      </x:c>
      <x:c r="B2835" s="2" t="str">
        <x:v>O01155</x:v>
      </x:c>
      <x:c r="C2835" s="7" t="n">
        <x:v>45864</x:v>
      </x:c>
      <x:c r="D2835" s="2" t="str">
        <x:v>Completed</x:v>
      </x:c>
      <x:c r="E2835" s="2" t="str">
        <x:v>East</x:v>
      </x:c>
      <x:c r="F2835" s="2" t="str">
        <x:v>Online</x:v>
      </x:c>
      <x:c r="G2835" s="2" t="str">
        <x:v>Furniture</x:v>
      </x:c>
      <x:c r="H2835" s="2" t="str">
        <x:v>Chair 002</x:v>
      </x:c>
      <x:c r="I2835" s="11" t="n">
        <x:v>4</x:v>
      </x:c>
      <x:c r="J2835" s="9" t="n">
        <x:v>284</x:v>
      </x:c>
      <x:c r="K2835" s="10" t="n">
        <x:v>0.05</x:v>
      </x:c>
      <x:c r="L2835" s="11" t="n">
        <x:v>0</x:v>
      </x:c>
      <x:c r="M2835" s="9" t="n">
        <x:f>IF(D2835="Completed",I2835*J2835,0)</x:f>
        <x:v>1136</x:v>
      </x:c>
      <x:c r="N2835" s="9" t="n">
        <x:f>M2835*K2835</x:f>
        <x:v>56.800000000000004</x:v>
      </x:c>
      <x:c r="O2835" s="9" t="n">
        <x:f>M2835-N2835</x:f>
        <x:v>1079.2</x:v>
      </x:c>
      <x:c r="P2835" s="9" t="n">
        <x:f>IF(D2835="Completed",L2835*J2835*(1-K2835),0)</x:f>
        <x:v>0</x:v>
      </x:c>
      <x:c r="Q2835" s="9" t="n">
        <x:f>O2835-P2835</x:f>
        <x:v>1079.2</x:v>
      </x:c>
      <x:c r="R2835" s="11" t="n">
        <x:f>IF(D2835="Completed",I2835,0)</x:f>
        <x:v>4</x:v>
      </x:c>
      <x:c r="S2835" s="11" t="n">
        <x:f>IF(D2835="Completed",L2835,0)</x:f>
        <x:v>0</x:v>
      </x:c>
      <x:c r="T2835" s="8" t="n">
        <x:f>DATE(YEAR(C2835),MONTH(C2835),1)</x:f>
        <x:v>45839</x:v>
      </x:c>
    </x:row>
    <x:row r="2836" ht="22" customHeight="1">
      <x:c r="A2836" s="2" t="str">
        <x:v>L002832</x:v>
      </x:c>
      <x:c r="B2836" s="2" t="str">
        <x:v>O01156</x:v>
      </x:c>
      <x:c r="C2836" s="7" t="n">
        <x:v>45697</x:v>
      </x:c>
      <x:c r="D2836" s="2" t="str">
        <x:v>Completed</x:v>
      </x:c>
      <x:c r="E2836" s="2" t="str">
        <x:v>North</x:v>
      </x:c>
      <x:c r="F2836" s="2" t="str">
        <x:v>Store</x:v>
      </x:c>
      <x:c r="G2836" s="2" t="str">
        <x:v>Storage</x:v>
      </x:c>
      <x:c r="H2836" s="2" t="str">
        <x:v>Shelf 011</x:v>
      </x:c>
      <x:c r="I2836" s="11" t="n">
        <x:v>3</x:v>
      </x:c>
      <x:c r="J2836" s="9" t="n">
        <x:v>80</x:v>
      </x:c>
      <x:c r="K2836" s="10" t="n">
        <x:v>0.1</x:v>
      </x:c>
      <x:c r="L2836" s="11" t="n">
        <x:v>0</x:v>
      </x:c>
      <x:c r="M2836" s="9" t="n">
        <x:f>IF(D2836="Completed",I2836*J2836,0)</x:f>
        <x:v>240</x:v>
      </x:c>
      <x:c r="N2836" s="9" t="n">
        <x:f>M2836*K2836</x:f>
        <x:v>24</x:v>
      </x:c>
      <x:c r="O2836" s="9" t="n">
        <x:f>M2836-N2836</x:f>
        <x:v>216</x:v>
      </x:c>
      <x:c r="P2836" s="9" t="n">
        <x:f>IF(D2836="Completed",L2836*J2836*(1-K2836),0)</x:f>
        <x:v>0</x:v>
      </x:c>
      <x:c r="Q2836" s="9" t="n">
        <x:f>O2836-P2836</x:f>
        <x:v>216</x:v>
      </x:c>
      <x:c r="R2836" s="11" t="n">
        <x:f>IF(D2836="Completed",I2836,0)</x:f>
        <x:v>3</x:v>
      </x:c>
      <x:c r="S2836" s="11" t="n">
        <x:f>IF(D2836="Completed",L2836,0)</x:f>
        <x:v>0</x:v>
      </x:c>
      <x:c r="T2836" s="8" t="n">
        <x:f>DATE(YEAR(C2836),MONTH(C2836),1)</x:f>
        <x:v>45689</x:v>
      </x:c>
    </x:row>
    <x:row r="2837" ht="22" customHeight="1">
      <x:c r="A2837" s="2" t="str">
        <x:v>L002833</x:v>
      </x:c>
      <x:c r="B2837" s="2" t="str">
        <x:v>O01156</x:v>
      </x:c>
      <x:c r="C2837" s="7" t="n">
        <x:v>45697</x:v>
      </x:c>
      <x:c r="D2837" s="2" t="str">
        <x:v>Completed</x:v>
      </x:c>
      <x:c r="E2837" s="2" t="str">
        <x:v>North</x:v>
      </x:c>
      <x:c r="F2837" s="2" t="str">
        <x:v>Store</x:v>
      </x:c>
      <x:c r="G2837" s="2" t="str">
        <x:v>Furniture</x:v>
      </x:c>
      <x:c r="H2837" s="2" t="str">
        <x:v>Desk 016</x:v>
      </x:c>
      <x:c r="I2837" s="11" t="n">
        <x:v>3</x:v>
      </x:c>
      <x:c r="J2837" s="9" t="n">
        <x:v>231</x:v>
      </x:c>
      <x:c r="K2837" s="10" t="n">
        <x:v>0.05</x:v>
      </x:c>
      <x:c r="L2837" s="11" t="n">
        <x:v>0</x:v>
      </x:c>
      <x:c r="M2837" s="9" t="n">
        <x:f>IF(D2837="Completed",I2837*J2837,0)</x:f>
        <x:v>693</x:v>
      </x:c>
      <x:c r="N2837" s="9" t="n">
        <x:f>M2837*K2837</x:f>
        <x:v>34.65</x:v>
      </x:c>
      <x:c r="O2837" s="9" t="n">
        <x:f>M2837-N2837</x:f>
        <x:v>658.35</x:v>
      </x:c>
      <x:c r="P2837" s="9" t="n">
        <x:f>IF(D2837="Completed",L2837*J2837*(1-K2837),0)</x:f>
        <x:v>0</x:v>
      </x:c>
      <x:c r="Q2837" s="9" t="n">
        <x:f>O2837-P2837</x:f>
        <x:v>658.35</x:v>
      </x:c>
      <x:c r="R2837" s="11" t="n">
        <x:f>IF(D2837="Completed",I2837,0)</x:f>
        <x:v>3</x:v>
      </x:c>
      <x:c r="S2837" s="11" t="n">
        <x:f>IF(D2837="Completed",L2837,0)</x:f>
        <x:v>0</x:v>
      </x:c>
      <x:c r="T2837" s="8" t="n">
        <x:f>DATE(YEAR(C2837),MONTH(C2837),1)</x:f>
        <x:v>45689</x:v>
      </x:c>
    </x:row>
    <x:row r="2838" ht="22" customHeight="1">
      <x:c r="A2838" s="2" t="str">
        <x:v>L002834</x:v>
      </x:c>
      <x:c r="B2838" s="2" t="str">
        <x:v>O01157</x:v>
      </x:c>
      <x:c r="C2838" s="7" t="n">
        <x:v>45893</x:v>
      </x:c>
      <x:c r="D2838" s="2" t="str">
        <x:v>Completed</x:v>
      </x:c>
      <x:c r="E2838" s="2" t="str">
        <x:v>East</x:v>
      </x:c>
      <x:c r="F2838" s="2" t="str">
        <x:v>Store</x:v>
      </x:c>
      <x:c r="G2838" s="2" t="str">
        <x:v>Furniture</x:v>
      </x:c>
      <x:c r="H2838" s="2" t="str">
        <x:v>Chair 022</x:v>
      </x:c>
      <x:c r="I2838" s="11" t="n">
        <x:v>5</x:v>
      </x:c>
      <x:c r="J2838" s="9" t="n">
        <x:v>134</x:v>
      </x:c>
      <x:c r="K2838" s="10" t="n">
        <x:v>0.2</x:v>
      </x:c>
      <x:c r="L2838" s="11" t="n">
        <x:v>0</x:v>
      </x:c>
      <x:c r="M2838" s="9" t="n">
        <x:f>IF(D2838="Completed",I2838*J2838,0)</x:f>
        <x:v>670</x:v>
      </x:c>
      <x:c r="N2838" s="9" t="n">
        <x:f>M2838*K2838</x:f>
        <x:v>134</x:v>
      </x:c>
      <x:c r="O2838" s="9" t="n">
        <x:f>M2838-N2838</x:f>
        <x:v>536</x:v>
      </x:c>
      <x:c r="P2838" s="9" t="n">
        <x:f>IF(D2838="Completed",L2838*J2838*(1-K2838),0)</x:f>
        <x:v>0</x:v>
      </x:c>
      <x:c r="Q2838" s="9" t="n">
        <x:f>O2838-P2838</x:f>
        <x:v>536</x:v>
      </x:c>
      <x:c r="R2838" s="11" t="n">
        <x:f>IF(D2838="Completed",I2838,0)</x:f>
        <x:v>5</x:v>
      </x:c>
      <x:c r="S2838" s="11" t="n">
        <x:f>IF(D2838="Completed",L2838,0)</x:f>
        <x:v>0</x:v>
      </x:c>
      <x:c r="T2838" s="8" t="n">
        <x:f>DATE(YEAR(C2838),MONTH(C2838),1)</x:f>
        <x:v>45870</x:v>
      </x:c>
    </x:row>
    <x:row r="2839" ht="22" customHeight="1">
      <x:c r="A2839" s="2" t="str">
        <x:v>L002835</x:v>
      </x:c>
      <x:c r="B2839" s="2" t="str">
        <x:v>O01157</x:v>
      </x:c>
      <x:c r="C2839" s="7" t="n">
        <x:v>45893</x:v>
      </x:c>
      <x:c r="D2839" s="2" t="str">
        <x:v>Completed</x:v>
      </x:c>
      <x:c r="E2839" s="2" t="str">
        <x:v>East</x:v>
      </x:c>
      <x:c r="F2839" s="2" t="str">
        <x:v>Store</x:v>
      </x:c>
      <x:c r="G2839" s="2" t="str">
        <x:v>Furniture</x:v>
      </x:c>
      <x:c r="H2839" s="2" t="str">
        <x:v>Chair 010</x:v>
      </x:c>
      <x:c r="I2839" s="11" t="n">
        <x:v>1</x:v>
      </x:c>
      <x:c r="J2839" s="9" t="n">
        <x:v>211</x:v>
      </x:c>
      <x:c r="K2839" s="10" t="n">
        <x:v>0.1</x:v>
      </x:c>
      <x:c r="L2839" s="11" t="n">
        <x:v>0</x:v>
      </x:c>
      <x:c r="M2839" s="9" t="n">
        <x:f>IF(D2839="Completed",I2839*J2839,0)</x:f>
        <x:v>211</x:v>
      </x:c>
      <x:c r="N2839" s="9" t="n">
        <x:f>M2839*K2839</x:f>
        <x:v>21.1</x:v>
      </x:c>
      <x:c r="O2839" s="9" t="n">
        <x:f>M2839-N2839</x:f>
        <x:v>189.9</x:v>
      </x:c>
      <x:c r="P2839" s="9" t="n">
        <x:f>IF(D2839="Completed",L2839*J2839*(1-K2839),0)</x:f>
        <x:v>0</x:v>
      </x:c>
      <x:c r="Q2839" s="9" t="n">
        <x:f>O2839-P2839</x:f>
        <x:v>189.9</x:v>
      </x:c>
      <x:c r="R2839" s="11" t="n">
        <x:f>IF(D2839="Completed",I2839,0)</x:f>
        <x:v>1</x:v>
      </x:c>
      <x:c r="S2839" s="11" t="n">
        <x:f>IF(D2839="Completed",L2839,0)</x:f>
        <x:v>0</x:v>
      </x:c>
      <x:c r="T2839" s="8" t="n">
        <x:f>DATE(YEAR(C2839),MONTH(C2839),1)</x:f>
        <x:v>45870</x:v>
      </x:c>
    </x:row>
    <x:row r="2840" ht="22" customHeight="1">
      <x:c r="A2840" s="2" t="str">
        <x:v>L002836</x:v>
      </x:c>
      <x:c r="B2840" s="2" t="str">
        <x:v>O01158</x:v>
      </x:c>
      <x:c r="C2840" s="7" t="n">
        <x:v>45956</x:v>
      </x:c>
      <x:c r="D2840" s="2" t="str">
        <x:v>Completed</x:v>
      </x:c>
      <x:c r="E2840" s="2" t="str">
        <x:v>South</x:v>
      </x:c>
      <x:c r="F2840" s="2" t="str">
        <x:v>Online</x:v>
      </x:c>
      <x:c r="G2840" s="2" t="str">
        <x:v>Furniture</x:v>
      </x:c>
      <x:c r="H2840" s="2" t="str">
        <x:v>Chair 014</x:v>
      </x:c>
      <x:c r="I2840" s="11" t="n">
        <x:v>1</x:v>
      </x:c>
      <x:c r="J2840" s="9" t="n">
        <x:v>294</x:v>
      </x:c>
      <x:c r="K2840" s="10" t="n">
        <x:v>0.2</x:v>
      </x:c>
      <x:c r="L2840" s="11" t="n">
        <x:v>0</x:v>
      </x:c>
      <x:c r="M2840" s="9" t="n">
        <x:f>IF(D2840="Completed",I2840*J2840,0)</x:f>
        <x:v>294</x:v>
      </x:c>
      <x:c r="N2840" s="9" t="n">
        <x:f>M2840*K2840</x:f>
        <x:v>58.800000000000004</x:v>
      </x:c>
      <x:c r="O2840" s="9" t="n">
        <x:f>M2840-N2840</x:f>
        <x:v>235.2</x:v>
      </x:c>
      <x:c r="P2840" s="9" t="n">
        <x:f>IF(D2840="Completed",L2840*J2840*(1-K2840),0)</x:f>
        <x:v>0</x:v>
      </x:c>
      <x:c r="Q2840" s="9" t="n">
        <x:f>O2840-P2840</x:f>
        <x:v>235.2</x:v>
      </x:c>
      <x:c r="R2840" s="11" t="n">
        <x:f>IF(D2840="Completed",I2840,0)</x:f>
        <x:v>1</x:v>
      </x:c>
      <x:c r="S2840" s="11" t="n">
        <x:f>IF(D2840="Completed",L2840,0)</x:f>
        <x:v>0</x:v>
      </x:c>
      <x:c r="T2840" s="8" t="n">
        <x:f>DATE(YEAR(C2840),MONTH(C2840),1)</x:f>
        <x:v>45931</x:v>
      </x:c>
    </x:row>
    <x:row r="2841" ht="22" customHeight="1">
      <x:c r="A2841" s="2" t="str">
        <x:v>L002837</x:v>
      </x:c>
      <x:c r="B2841" s="2" t="str">
        <x:v>O01159</x:v>
      </x:c>
      <x:c r="C2841" s="7" t="n">
        <x:v>45884</x:v>
      </x:c>
      <x:c r="D2841" s="2" t="str">
        <x:v>Completed</x:v>
      </x:c>
      <x:c r="E2841" s="2" t="str">
        <x:v>West</x:v>
      </x:c>
      <x:c r="F2841" s="2" t="str">
        <x:v>Online</x:v>
      </x:c>
      <x:c r="G2841" s="2" t="str">
        <x:v>Furniture</x:v>
      </x:c>
      <x:c r="H2841" s="2" t="str">
        <x:v>Chair 006</x:v>
      </x:c>
      <x:c r="I2841" s="11" t="n">
        <x:v>4</x:v>
      </x:c>
      <x:c r="J2841" s="9" t="n">
        <x:v>196</x:v>
      </x:c>
      <x:c r="K2841" s="10" t="n">
        <x:v>0</x:v>
      </x:c>
      <x:c r="L2841" s="11" t="n">
        <x:v>1</x:v>
      </x:c>
      <x:c r="M2841" s="9" t="n">
        <x:f>IF(D2841="Completed",I2841*J2841,0)</x:f>
        <x:v>784</x:v>
      </x:c>
      <x:c r="N2841" s="9" t="n">
        <x:f>M2841*K2841</x:f>
        <x:v>0</x:v>
      </x:c>
      <x:c r="O2841" s="9" t="n">
        <x:f>M2841-N2841</x:f>
        <x:v>784</x:v>
      </x:c>
      <x:c r="P2841" s="9" t="n">
        <x:f>IF(D2841="Completed",L2841*J2841*(1-K2841),0)</x:f>
        <x:v>196</x:v>
      </x:c>
      <x:c r="Q2841" s="9" t="n">
        <x:f>O2841-P2841</x:f>
        <x:v>588</x:v>
      </x:c>
      <x:c r="R2841" s="11" t="n">
        <x:f>IF(D2841="Completed",I2841,0)</x:f>
        <x:v>4</x:v>
      </x:c>
      <x:c r="S2841" s="11" t="n">
        <x:f>IF(D2841="Completed",L2841,0)</x:f>
        <x:v>1</x:v>
      </x:c>
      <x:c r="T2841" s="8" t="n">
        <x:f>DATE(YEAR(C2841),MONTH(C2841),1)</x:f>
        <x:v>45870</x:v>
      </x:c>
    </x:row>
    <x:row r="2842" ht="22" customHeight="1">
      <x:c r="A2842" s="2" t="str">
        <x:v>L002838</x:v>
      </x:c>
      <x:c r="B2842" s="2" t="str">
        <x:v>O01159</x:v>
      </x:c>
      <x:c r="C2842" s="7" t="n">
        <x:v>45884</x:v>
      </x:c>
      <x:c r="D2842" s="2" t="str">
        <x:v>Completed</x:v>
      </x:c>
      <x:c r="E2842" s="2" t="str">
        <x:v>West</x:v>
      </x:c>
      <x:c r="F2842" s="2" t="str">
        <x:v>Online</x:v>
      </x:c>
      <x:c r="G2842" s="2" t="str">
        <x:v>Storage</x:v>
      </x:c>
      <x:c r="H2842" s="2" t="str">
        <x:v>Shelf 023</x:v>
      </x:c>
      <x:c r="I2842" s="11" t="n">
        <x:v>4</x:v>
      </x:c>
      <x:c r="J2842" s="9" t="n">
        <x:v>68</x:v>
      </x:c>
      <x:c r="K2842" s="10" t="n">
        <x:v>0.2</x:v>
      </x:c>
      <x:c r="L2842" s="11" t="n">
        <x:v>0</x:v>
      </x:c>
      <x:c r="M2842" s="9" t="n">
        <x:f>IF(D2842="Completed",I2842*J2842,0)</x:f>
        <x:v>272</x:v>
      </x:c>
      <x:c r="N2842" s="9" t="n">
        <x:f>M2842*K2842</x:f>
        <x:v>54.400000000000006</x:v>
      </x:c>
      <x:c r="O2842" s="9" t="n">
        <x:f>M2842-N2842</x:f>
        <x:v>217.6</x:v>
      </x:c>
      <x:c r="P2842" s="9" t="n">
        <x:f>IF(D2842="Completed",L2842*J2842*(1-K2842),0)</x:f>
        <x:v>0</x:v>
      </x:c>
      <x:c r="Q2842" s="9" t="n">
        <x:f>O2842-P2842</x:f>
        <x:v>217.6</x:v>
      </x:c>
      <x:c r="R2842" s="11" t="n">
        <x:f>IF(D2842="Completed",I2842,0)</x:f>
        <x:v>4</x:v>
      </x:c>
      <x:c r="S2842" s="11" t="n">
        <x:f>IF(D2842="Completed",L2842,0)</x:f>
        <x:v>0</x:v>
      </x:c>
      <x:c r="T2842" s="8" t="n">
        <x:f>DATE(YEAR(C2842),MONTH(C2842),1)</x:f>
        <x:v>45870</x:v>
      </x:c>
    </x:row>
    <x:row r="2843" ht="22" customHeight="1">
      <x:c r="A2843" s="2" t="str">
        <x:v>L002839</x:v>
      </x:c>
      <x:c r="B2843" s="2" t="str">
        <x:v>O01159</x:v>
      </x:c>
      <x:c r="C2843" s="7" t="n">
        <x:v>45884</x:v>
      </x:c>
      <x:c r="D2843" s="2" t="str">
        <x:v>Completed</x:v>
      </x:c>
      <x:c r="E2843" s="2" t="str">
        <x:v>West</x:v>
      </x:c>
      <x:c r="F2843" s="2" t="str">
        <x:v>Online</x:v>
      </x:c>
      <x:c r="G2843" s="2" t="str">
        <x:v>Storage</x:v>
      </x:c>
      <x:c r="H2843" s="2" t="str">
        <x:v>Shelf 015</x:v>
      </x:c>
      <x:c r="I2843" s="11" t="n">
        <x:v>2</x:v>
      </x:c>
      <x:c r="J2843" s="9" t="n">
        <x:v>254</x:v>
      </x:c>
      <x:c r="K2843" s="10" t="n">
        <x:v>0.1</x:v>
      </x:c>
      <x:c r="L2843" s="11" t="n">
        <x:v>0</x:v>
      </x:c>
      <x:c r="M2843" s="9" t="n">
        <x:f>IF(D2843="Completed",I2843*J2843,0)</x:f>
        <x:v>508</x:v>
      </x:c>
      <x:c r="N2843" s="9" t="n">
        <x:f>M2843*K2843</x:f>
        <x:v>50.800000000000004</x:v>
      </x:c>
      <x:c r="O2843" s="9" t="n">
        <x:f>M2843-N2843</x:f>
        <x:v>457.2</x:v>
      </x:c>
      <x:c r="P2843" s="9" t="n">
        <x:f>IF(D2843="Completed",L2843*J2843*(1-K2843),0)</x:f>
        <x:v>0</x:v>
      </x:c>
      <x:c r="Q2843" s="9" t="n">
        <x:f>O2843-P2843</x:f>
        <x:v>457.2</x:v>
      </x:c>
      <x:c r="R2843" s="11" t="n">
        <x:f>IF(D2843="Completed",I2843,0)</x:f>
        <x:v>2</x:v>
      </x:c>
      <x:c r="S2843" s="11" t="n">
        <x:f>IF(D2843="Completed",L2843,0)</x:f>
        <x:v>0</x:v>
      </x:c>
      <x:c r="T2843" s="8" t="n">
        <x:f>DATE(YEAR(C2843),MONTH(C2843),1)</x:f>
        <x:v>45870</x:v>
      </x:c>
    </x:row>
    <x:row r="2844" ht="22" customHeight="1">
      <x:c r="A2844" s="2" t="str">
        <x:v>L002840</x:v>
      </x:c>
      <x:c r="B2844" s="2" t="str">
        <x:v>O01159</x:v>
      </x:c>
      <x:c r="C2844" s="7" t="n">
        <x:v>45884</x:v>
      </x:c>
      <x:c r="D2844" s="2" t="str">
        <x:v>Completed</x:v>
      </x:c>
      <x:c r="E2844" s="2" t="str">
        <x:v>West</x:v>
      </x:c>
      <x:c r="F2844" s="2" t="str">
        <x:v>Online</x:v>
      </x:c>
      <x:c r="G2844" s="2" t="str">
        <x:v>Furniture</x:v>
      </x:c>
      <x:c r="H2844" s="2" t="str">
        <x:v>Desk 008</x:v>
      </x:c>
      <x:c r="I2844" s="11" t="n">
        <x:v>2</x:v>
      </x:c>
      <x:c r="J2844" s="9" t="n">
        <x:v>188</x:v>
      </x:c>
      <x:c r="K2844" s="10" t="n">
        <x:v>0</x:v>
      </x:c>
      <x:c r="L2844" s="11" t="n">
        <x:v>0</x:v>
      </x:c>
      <x:c r="M2844" s="9" t="n">
        <x:f>IF(D2844="Completed",I2844*J2844,0)</x:f>
        <x:v>376</x:v>
      </x:c>
      <x:c r="N2844" s="9" t="n">
        <x:f>M2844*K2844</x:f>
        <x:v>0</x:v>
      </x:c>
      <x:c r="O2844" s="9" t="n">
        <x:f>M2844-N2844</x:f>
        <x:v>376</x:v>
      </x:c>
      <x:c r="P2844" s="9" t="n">
        <x:f>IF(D2844="Completed",L2844*J2844*(1-K2844),0)</x:f>
        <x:v>0</x:v>
      </x:c>
      <x:c r="Q2844" s="9" t="n">
        <x:f>O2844-P2844</x:f>
        <x:v>376</x:v>
      </x:c>
      <x:c r="R2844" s="11" t="n">
        <x:f>IF(D2844="Completed",I2844,0)</x:f>
        <x:v>2</x:v>
      </x:c>
      <x:c r="S2844" s="11" t="n">
        <x:f>IF(D2844="Completed",L2844,0)</x:f>
        <x:v>0</x:v>
      </x:c>
      <x:c r="T2844" s="8" t="n">
        <x:f>DATE(YEAR(C2844),MONTH(C2844),1)</x:f>
        <x:v>45870</x:v>
      </x:c>
    </x:row>
    <x:row r="2845" ht="22" customHeight="1">
      <x:c r="A2845" s="2" t="str">
        <x:v>L002841</x:v>
      </x:c>
      <x:c r="B2845" s="2" t="str">
        <x:v>O01160</x:v>
      </x:c>
      <x:c r="C2845" s="7" t="n">
        <x:v>45835</x:v>
      </x:c>
      <x:c r="D2845" s="2" t="str">
        <x:v>Completed</x:v>
      </x:c>
      <x:c r="E2845" s="2" t="str">
        <x:v>East</x:v>
      </x:c>
      <x:c r="F2845" s="2" t="str">
        <x:v>Online</x:v>
      </x:c>
      <x:c r="G2845" s="2" t="str">
        <x:v>Furniture</x:v>
      </x:c>
      <x:c r="H2845" s="2" t="str">
        <x:v>Desk 004</x:v>
      </x:c>
      <x:c r="I2845" s="11" t="n">
        <x:v>1</x:v>
      </x:c>
      <x:c r="J2845" s="9" t="n">
        <x:v>123</x:v>
      </x:c>
      <x:c r="K2845" s="10" t="n">
        <x:v>0.1</x:v>
      </x:c>
      <x:c r="L2845" s="11" t="n">
        <x:v>0</x:v>
      </x:c>
      <x:c r="M2845" s="9" t="n">
        <x:f>IF(D2845="Completed",I2845*J2845,0)</x:f>
        <x:v>123</x:v>
      </x:c>
      <x:c r="N2845" s="9" t="n">
        <x:f>M2845*K2845</x:f>
        <x:v>12.3</x:v>
      </x:c>
      <x:c r="O2845" s="9" t="n">
        <x:f>M2845-N2845</x:f>
        <x:v>110.7</x:v>
      </x:c>
      <x:c r="P2845" s="9" t="n">
        <x:f>IF(D2845="Completed",L2845*J2845*(1-K2845),0)</x:f>
        <x:v>0</x:v>
      </x:c>
      <x:c r="Q2845" s="9" t="n">
        <x:f>O2845-P2845</x:f>
        <x:v>110.7</x:v>
      </x:c>
      <x:c r="R2845" s="11" t="n">
        <x:f>IF(D2845="Completed",I2845,0)</x:f>
        <x:v>1</x:v>
      </x:c>
      <x:c r="S2845" s="11" t="n">
        <x:f>IF(D2845="Completed",L2845,0)</x:f>
        <x:v>0</x:v>
      </x:c>
      <x:c r="T2845" s="8" t="n">
        <x:f>DATE(YEAR(C2845),MONTH(C2845),1)</x:f>
        <x:v>45809</x:v>
      </x:c>
    </x:row>
    <x:row r="2846" ht="22" customHeight="1">
      <x:c r="A2846" s="2" t="str">
        <x:v>L002842</x:v>
      </x:c>
      <x:c r="B2846" s="2" t="str">
        <x:v>O01160</x:v>
      </x:c>
      <x:c r="C2846" s="7" t="n">
        <x:v>45835</x:v>
      </x:c>
      <x:c r="D2846" s="2" t="str">
        <x:v>Completed</x:v>
      </x:c>
      <x:c r="E2846" s="2" t="str">
        <x:v>East</x:v>
      </x:c>
      <x:c r="F2846" s="2" t="str">
        <x:v>Online</x:v>
      </x:c>
      <x:c r="G2846" s="2" t="str">
        <x:v>Storage</x:v>
      </x:c>
      <x:c r="H2846" s="2" t="str">
        <x:v>Shelf 007</x:v>
      </x:c>
      <x:c r="I2846" s="11" t="n">
        <x:v>5</x:v>
      </x:c>
      <x:c r="J2846" s="9" t="n">
        <x:v>35</x:v>
      </x:c>
      <x:c r="K2846" s="10" t="n">
        <x:v>0.05</x:v>
      </x:c>
      <x:c r="L2846" s="11" t="n">
        <x:v>0</x:v>
      </x:c>
      <x:c r="M2846" s="9" t="n">
        <x:f>IF(D2846="Completed",I2846*J2846,0)</x:f>
        <x:v>175</x:v>
      </x:c>
      <x:c r="N2846" s="9" t="n">
        <x:f>M2846*K2846</x:f>
        <x:v>8.75</x:v>
      </x:c>
      <x:c r="O2846" s="9" t="n">
        <x:f>M2846-N2846</x:f>
        <x:v>166.25</x:v>
      </x:c>
      <x:c r="P2846" s="9" t="n">
        <x:f>IF(D2846="Completed",L2846*J2846*(1-K2846),0)</x:f>
        <x:v>0</x:v>
      </x:c>
      <x:c r="Q2846" s="9" t="n">
        <x:f>O2846-P2846</x:f>
        <x:v>166.25</x:v>
      </x:c>
      <x:c r="R2846" s="11" t="n">
        <x:f>IF(D2846="Completed",I2846,0)</x:f>
        <x:v>5</x:v>
      </x:c>
      <x:c r="S2846" s="11" t="n">
        <x:f>IF(D2846="Completed",L2846,0)</x:f>
        <x:v>0</x:v>
      </x:c>
      <x:c r="T2846" s="8" t="n">
        <x:f>DATE(YEAR(C2846),MONTH(C2846),1)</x:f>
        <x:v>45809</x:v>
      </x:c>
    </x:row>
    <x:row r="2847" ht="22" customHeight="1">
      <x:c r="A2847" s="2" t="str">
        <x:v>L002843</x:v>
      </x:c>
      <x:c r="B2847" s="2" t="str">
        <x:v>O01160</x:v>
      </x:c>
      <x:c r="C2847" s="7" t="n">
        <x:v>45835</x:v>
      </x:c>
      <x:c r="D2847" s="2" t="str">
        <x:v>Completed</x:v>
      </x:c>
      <x:c r="E2847" s="2" t="str">
        <x:v>East</x:v>
      </x:c>
      <x:c r="F2847" s="2" t="str">
        <x:v>Online</x:v>
      </x:c>
      <x:c r="G2847" s="2" t="str">
        <x:v>Furniture</x:v>
      </x:c>
      <x:c r="H2847" s="2" t="str">
        <x:v>Chair 018</x:v>
      </x:c>
      <x:c r="I2847" s="11" t="n">
        <x:v>1</x:v>
      </x:c>
      <x:c r="J2847" s="9" t="n">
        <x:v>269</x:v>
      </x:c>
      <x:c r="K2847" s="10" t="n">
        <x:v>0.1</x:v>
      </x:c>
      <x:c r="L2847" s="11" t="n">
        <x:v>0</x:v>
      </x:c>
      <x:c r="M2847" s="9" t="n">
        <x:f>IF(D2847="Completed",I2847*J2847,0)</x:f>
        <x:v>269</x:v>
      </x:c>
      <x:c r="N2847" s="9" t="n">
        <x:f>M2847*K2847</x:f>
        <x:v>26.900000000000002</x:v>
      </x:c>
      <x:c r="O2847" s="9" t="n">
        <x:f>M2847-N2847</x:f>
        <x:v>242.1</x:v>
      </x:c>
      <x:c r="P2847" s="9" t="n">
        <x:f>IF(D2847="Completed",L2847*J2847*(1-K2847),0)</x:f>
        <x:v>0</x:v>
      </x:c>
      <x:c r="Q2847" s="9" t="n">
        <x:f>O2847-P2847</x:f>
        <x:v>242.1</x:v>
      </x:c>
      <x:c r="R2847" s="11" t="n">
        <x:f>IF(D2847="Completed",I2847,0)</x:f>
        <x:v>1</x:v>
      </x:c>
      <x:c r="S2847" s="11" t="n">
        <x:f>IF(D2847="Completed",L2847,0)</x:f>
        <x:v>0</x:v>
      </x:c>
      <x:c r="T2847" s="8" t="n">
        <x:f>DATE(YEAR(C2847),MONTH(C2847),1)</x:f>
        <x:v>45809</x:v>
      </x:c>
    </x:row>
    <x:row r="2848" ht="22" customHeight="1">
      <x:c r="A2848" s="2" t="str">
        <x:v>L002844</x:v>
      </x:c>
      <x:c r="B2848" s="2" t="str">
        <x:v>O01160</x:v>
      </x:c>
      <x:c r="C2848" s="7" t="n">
        <x:v>45835</x:v>
      </x:c>
      <x:c r="D2848" s="2" t="str">
        <x:v>Completed</x:v>
      </x:c>
      <x:c r="E2848" s="2" t="str">
        <x:v>East</x:v>
      </x:c>
      <x:c r="F2848" s="2" t="str">
        <x:v>Online</x:v>
      </x:c>
      <x:c r="G2848" s="2" t="str">
        <x:v>Furniture</x:v>
      </x:c>
      <x:c r="H2848" s="2" t="str">
        <x:v>Chair 022</x:v>
      </x:c>
      <x:c r="I2848" s="11" t="n">
        <x:v>2</x:v>
      </x:c>
      <x:c r="J2848" s="9" t="n">
        <x:v>134</x:v>
      </x:c>
      <x:c r="K2848" s="10" t="n">
        <x:v>0.2</x:v>
      </x:c>
      <x:c r="L2848" s="11" t="n">
        <x:v>0</x:v>
      </x:c>
      <x:c r="M2848" s="9" t="n">
        <x:f>IF(D2848="Completed",I2848*J2848,0)</x:f>
        <x:v>268</x:v>
      </x:c>
      <x:c r="N2848" s="9" t="n">
        <x:f>M2848*K2848</x:f>
        <x:v>53.6</x:v>
      </x:c>
      <x:c r="O2848" s="9" t="n">
        <x:f>M2848-N2848</x:f>
        <x:v>214.4</x:v>
      </x:c>
      <x:c r="P2848" s="9" t="n">
        <x:f>IF(D2848="Completed",L2848*J2848*(1-K2848),0)</x:f>
        <x:v>0</x:v>
      </x:c>
      <x:c r="Q2848" s="9" t="n">
        <x:f>O2848-P2848</x:f>
        <x:v>214.4</x:v>
      </x:c>
      <x:c r="R2848" s="11" t="n">
        <x:f>IF(D2848="Completed",I2848,0)</x:f>
        <x:v>2</x:v>
      </x:c>
      <x:c r="S2848" s="11" t="n">
        <x:f>IF(D2848="Completed",L2848,0)</x:f>
        <x:v>0</x:v>
      </x:c>
      <x:c r="T2848" s="8" t="n">
        <x:f>DATE(YEAR(C2848),MONTH(C2848),1)</x:f>
        <x:v>45809</x:v>
      </x:c>
    </x:row>
    <x:row r="2849" ht="22" customHeight="1">
      <x:c r="A2849" s="2" t="str">
        <x:v>L002845</x:v>
      </x:c>
      <x:c r="B2849" s="2" t="str">
        <x:v>O01161</x:v>
      </x:c>
      <x:c r="C2849" s="7" t="n">
        <x:v>45959</x:v>
      </x:c>
      <x:c r="D2849" s="2" t="str">
        <x:v>Completed</x:v>
      </x:c>
      <x:c r="E2849" s="2" t="str">
        <x:v>West</x:v>
      </x:c>
      <x:c r="F2849" s="2" t="str">
        <x:v>Online</x:v>
      </x:c>
      <x:c r="G2849" s="2" t="str">
        <x:v>Lighting</x:v>
      </x:c>
      <x:c r="H2849" s="2" t="str">
        <x:v>Lamp 005</x:v>
      </x:c>
      <x:c r="I2849" s="11" t="n">
        <x:v>4</x:v>
      </x:c>
      <x:c r="J2849" s="9" t="n">
        <x:v>65</x:v>
      </x:c>
      <x:c r="K2849" s="10" t="n">
        <x:v>0.2</x:v>
      </x:c>
      <x:c r="L2849" s="11" t="n">
        <x:v>0</x:v>
      </x:c>
      <x:c r="M2849" s="9" t="n">
        <x:f>IF(D2849="Completed",I2849*J2849,0)</x:f>
        <x:v>260</x:v>
      </x:c>
      <x:c r="N2849" s="9" t="n">
        <x:f>M2849*K2849</x:f>
        <x:v>52</x:v>
      </x:c>
      <x:c r="O2849" s="9" t="n">
        <x:f>M2849-N2849</x:f>
        <x:v>208</x:v>
      </x:c>
      <x:c r="P2849" s="9" t="n">
        <x:f>IF(D2849="Completed",L2849*J2849*(1-K2849),0)</x:f>
        <x:v>0</x:v>
      </x:c>
      <x:c r="Q2849" s="9" t="n">
        <x:f>O2849-P2849</x:f>
        <x:v>208</x:v>
      </x:c>
      <x:c r="R2849" s="11" t="n">
        <x:f>IF(D2849="Completed",I2849,0)</x:f>
        <x:v>4</x:v>
      </x:c>
      <x:c r="S2849" s="11" t="n">
        <x:f>IF(D2849="Completed",L2849,0)</x:f>
        <x:v>0</x:v>
      </x:c>
      <x:c r="T2849" s="8" t="n">
        <x:f>DATE(YEAR(C2849),MONTH(C2849),1)</x:f>
        <x:v>45931</x:v>
      </x:c>
    </x:row>
    <x:row r="2850" ht="22" customHeight="1">
      <x:c r="A2850" s="2" t="str">
        <x:v>L002846</x:v>
      </x:c>
      <x:c r="B2850" s="2" t="str">
        <x:v>O01161</x:v>
      </x:c>
      <x:c r="C2850" s="7" t="n">
        <x:v>45959</x:v>
      </x:c>
      <x:c r="D2850" s="2" t="str">
        <x:v>Completed</x:v>
      </x:c>
      <x:c r="E2850" s="2" t="str">
        <x:v>West</x:v>
      </x:c>
      <x:c r="F2850" s="2" t="str">
        <x:v>Online</x:v>
      </x:c>
      <x:c r="G2850" s="2" t="str">
        <x:v>Furniture</x:v>
      </x:c>
      <x:c r="H2850" s="2" t="str">
        <x:v>Chair 010</x:v>
      </x:c>
      <x:c r="I2850" s="11" t="n">
        <x:v>2</x:v>
      </x:c>
      <x:c r="J2850" s="9" t="n">
        <x:v>211</x:v>
      </x:c>
      <x:c r="K2850" s="10" t="n">
        <x:v>0.1</x:v>
      </x:c>
      <x:c r="L2850" s="11" t="n">
        <x:v>1</x:v>
      </x:c>
      <x:c r="M2850" s="9" t="n">
        <x:f>IF(D2850="Completed",I2850*J2850,0)</x:f>
        <x:v>422</x:v>
      </x:c>
      <x:c r="N2850" s="9" t="n">
        <x:f>M2850*K2850</x:f>
        <x:v>42.2</x:v>
      </x:c>
      <x:c r="O2850" s="9" t="n">
        <x:f>M2850-N2850</x:f>
        <x:v>379.8</x:v>
      </x:c>
      <x:c r="P2850" s="9" t="n">
        <x:f>IF(D2850="Completed",L2850*J2850*(1-K2850),0)</x:f>
        <x:v>189.9</x:v>
      </x:c>
      <x:c r="Q2850" s="9" t="n">
        <x:f>O2850-P2850</x:f>
        <x:v>189.9</x:v>
      </x:c>
      <x:c r="R2850" s="11" t="n">
        <x:f>IF(D2850="Completed",I2850,0)</x:f>
        <x:v>2</x:v>
      </x:c>
      <x:c r="S2850" s="11" t="n">
        <x:f>IF(D2850="Completed",L2850,0)</x:f>
        <x:v>1</x:v>
      </x:c>
      <x:c r="T2850" s="8" t="n">
        <x:f>DATE(YEAR(C2850),MONTH(C2850),1)</x:f>
        <x:v>45931</x:v>
      </x:c>
    </x:row>
    <x:row r="2851" ht="22" customHeight="1">
      <x:c r="A2851" s="2" t="str">
        <x:v>L002847</x:v>
      </x:c>
      <x:c r="B2851" s="2" t="str">
        <x:v>O01161</x:v>
      </x:c>
      <x:c r="C2851" s="7" t="n">
        <x:v>45959</x:v>
      </x:c>
      <x:c r="D2851" s="2" t="str">
        <x:v>Completed</x:v>
      </x:c>
      <x:c r="E2851" s="2" t="str">
        <x:v>West</x:v>
      </x:c>
      <x:c r="F2851" s="2" t="str">
        <x:v>Online</x:v>
      </x:c>
      <x:c r="G2851" s="2" t="str">
        <x:v>Furniture</x:v>
      </x:c>
      <x:c r="H2851" s="2" t="str">
        <x:v>Desk 024</x:v>
      </x:c>
      <x:c r="I2851" s="11" t="n">
        <x:v>5</x:v>
      </x:c>
      <x:c r="J2851" s="9" t="n">
        <x:v>81</x:v>
      </x:c>
      <x:c r="K2851" s="10" t="n">
        <x:v>0</x:v>
      </x:c>
      <x:c r="L2851" s="11" t="n">
        <x:v>0</x:v>
      </x:c>
      <x:c r="M2851" s="9" t="n">
        <x:f>IF(D2851="Completed",I2851*J2851,0)</x:f>
        <x:v>405</x:v>
      </x:c>
      <x:c r="N2851" s="9" t="n">
        <x:f>M2851*K2851</x:f>
        <x:v>0</x:v>
      </x:c>
      <x:c r="O2851" s="9" t="n">
        <x:f>M2851-N2851</x:f>
        <x:v>405</x:v>
      </x:c>
      <x:c r="P2851" s="9" t="n">
        <x:f>IF(D2851="Completed",L2851*J2851*(1-K2851),0)</x:f>
        <x:v>0</x:v>
      </x:c>
      <x:c r="Q2851" s="9" t="n">
        <x:f>O2851-P2851</x:f>
        <x:v>405</x:v>
      </x:c>
      <x:c r="R2851" s="11" t="n">
        <x:f>IF(D2851="Completed",I2851,0)</x:f>
        <x:v>5</x:v>
      </x:c>
      <x:c r="S2851" s="11" t="n">
        <x:f>IF(D2851="Completed",L2851,0)</x:f>
        <x:v>0</x:v>
      </x:c>
      <x:c r="T2851" s="8" t="n">
        <x:f>DATE(YEAR(C2851),MONTH(C2851),1)</x:f>
        <x:v>45931</x:v>
      </x:c>
    </x:row>
    <x:row r="2852" ht="22" customHeight="1">
      <x:c r="A2852" s="2" t="str">
        <x:v>L002848</x:v>
      </x:c>
      <x:c r="B2852" s="2" t="str">
        <x:v>O01162</x:v>
      </x:c>
      <x:c r="C2852" s="7" t="n">
        <x:v>45778</x:v>
      </x:c>
      <x:c r="D2852" s="2" t="str">
        <x:v>Completed</x:v>
      </x:c>
      <x:c r="E2852" s="2" t="str">
        <x:v>West</x:v>
      </x:c>
      <x:c r="F2852" s="2" t="str">
        <x:v>Store</x:v>
      </x:c>
      <x:c r="G2852" s="2" t="str">
        <x:v>Furniture</x:v>
      </x:c>
      <x:c r="H2852" s="2" t="str">
        <x:v>Desk 004</x:v>
      </x:c>
      <x:c r="I2852" s="11" t="n">
        <x:v>1</x:v>
      </x:c>
      <x:c r="J2852" s="9" t="n">
        <x:v>123</x:v>
      </x:c>
      <x:c r="K2852" s="10" t="n">
        <x:v>0</x:v>
      </x:c>
      <x:c r="L2852" s="11" t="n">
        <x:v>0</x:v>
      </x:c>
      <x:c r="M2852" s="9" t="n">
        <x:f>IF(D2852="Completed",I2852*J2852,0)</x:f>
        <x:v>123</x:v>
      </x:c>
      <x:c r="N2852" s="9" t="n">
        <x:f>M2852*K2852</x:f>
        <x:v>0</x:v>
      </x:c>
      <x:c r="O2852" s="9" t="n">
        <x:f>M2852-N2852</x:f>
        <x:v>123</x:v>
      </x:c>
      <x:c r="P2852" s="9" t="n">
        <x:f>IF(D2852="Completed",L2852*J2852*(1-K2852),0)</x:f>
        <x:v>0</x:v>
      </x:c>
      <x:c r="Q2852" s="9" t="n">
        <x:f>O2852-P2852</x:f>
        <x:v>123</x:v>
      </x:c>
      <x:c r="R2852" s="11" t="n">
        <x:f>IF(D2852="Completed",I2852,0)</x:f>
        <x:v>1</x:v>
      </x:c>
      <x:c r="S2852" s="11" t="n">
        <x:f>IF(D2852="Completed",L2852,0)</x:f>
        <x:v>0</x:v>
      </x:c>
      <x:c r="T2852" s="8" t="n">
        <x:f>DATE(YEAR(C2852),MONTH(C2852),1)</x:f>
        <x:v>45778</x:v>
      </x:c>
    </x:row>
    <x:row r="2853" ht="22" customHeight="1">
      <x:c r="A2853" s="2" t="str">
        <x:v>L002849</x:v>
      </x:c>
      <x:c r="B2853" s="2" t="str">
        <x:v>O01162</x:v>
      </x:c>
      <x:c r="C2853" s="7" t="n">
        <x:v>45778</x:v>
      </x:c>
      <x:c r="D2853" s="2" t="str">
        <x:v>Completed</x:v>
      </x:c>
      <x:c r="E2853" s="2" t="str">
        <x:v>West</x:v>
      </x:c>
      <x:c r="F2853" s="2" t="str">
        <x:v>Store</x:v>
      </x:c>
      <x:c r="G2853" s="2" t="str">
        <x:v>Furniture</x:v>
      </x:c>
      <x:c r="H2853" s="2" t="str">
        <x:v>Desk 024</x:v>
      </x:c>
      <x:c r="I2853" s="11" t="n">
        <x:v>5</x:v>
      </x:c>
      <x:c r="J2853" s="9" t="n">
        <x:v>81</x:v>
      </x:c>
      <x:c r="K2853" s="10" t="n">
        <x:v>0.1</x:v>
      </x:c>
      <x:c r="L2853" s="11" t="n">
        <x:v>0</x:v>
      </x:c>
      <x:c r="M2853" s="9" t="n">
        <x:f>IF(D2853="Completed",I2853*J2853,0)</x:f>
        <x:v>405</x:v>
      </x:c>
      <x:c r="N2853" s="9" t="n">
        <x:f>M2853*K2853</x:f>
        <x:v>40.5</x:v>
      </x:c>
      <x:c r="O2853" s="9" t="n">
        <x:f>M2853-N2853</x:f>
        <x:v>364.5</x:v>
      </x:c>
      <x:c r="P2853" s="9" t="n">
        <x:f>IF(D2853="Completed",L2853*J2853*(1-K2853),0)</x:f>
        <x:v>0</x:v>
      </x:c>
      <x:c r="Q2853" s="9" t="n">
        <x:f>O2853-P2853</x:f>
        <x:v>364.5</x:v>
      </x:c>
      <x:c r="R2853" s="11" t="n">
        <x:f>IF(D2853="Completed",I2853,0)</x:f>
        <x:v>5</x:v>
      </x:c>
      <x:c r="S2853" s="11" t="n">
        <x:f>IF(D2853="Completed",L2853,0)</x:f>
        <x:v>0</x:v>
      </x:c>
      <x:c r="T2853" s="8" t="n">
        <x:f>DATE(YEAR(C2853),MONTH(C2853),1)</x:f>
        <x:v>45778</x:v>
      </x:c>
    </x:row>
    <x:row r="2854" ht="22" customHeight="1">
      <x:c r="A2854" s="2" t="str">
        <x:v>L002850</x:v>
      </x:c>
      <x:c r="B2854" s="2" t="str">
        <x:v>O01162</x:v>
      </x:c>
      <x:c r="C2854" s="7" t="n">
        <x:v>45778</x:v>
      </x:c>
      <x:c r="D2854" s="2" t="str">
        <x:v>Completed</x:v>
      </x:c>
      <x:c r="E2854" s="2" t="str">
        <x:v>West</x:v>
      </x:c>
      <x:c r="F2854" s="2" t="str">
        <x:v>Store</x:v>
      </x:c>
      <x:c r="G2854" s="2" t="str">
        <x:v>Furniture</x:v>
      </x:c>
      <x:c r="H2854" s="2" t="str">
        <x:v>Chair 018</x:v>
      </x:c>
      <x:c r="I2854" s="11" t="n">
        <x:v>3</x:v>
      </x:c>
      <x:c r="J2854" s="9" t="n">
        <x:v>269</x:v>
      </x:c>
      <x:c r="K2854" s="10" t="n">
        <x:v>0.2</x:v>
      </x:c>
      <x:c r="L2854" s="11" t="n">
        <x:v>0</x:v>
      </x:c>
      <x:c r="M2854" s="9" t="n">
        <x:f>IF(D2854="Completed",I2854*J2854,0)</x:f>
        <x:v>807</x:v>
      </x:c>
      <x:c r="N2854" s="9" t="n">
        <x:f>M2854*K2854</x:f>
        <x:v>161.4</x:v>
      </x:c>
      <x:c r="O2854" s="9" t="n">
        <x:f>M2854-N2854</x:f>
        <x:v>645.6</x:v>
      </x:c>
      <x:c r="P2854" s="9" t="n">
        <x:f>IF(D2854="Completed",L2854*J2854*(1-K2854),0)</x:f>
        <x:v>0</x:v>
      </x:c>
      <x:c r="Q2854" s="9" t="n">
        <x:f>O2854-P2854</x:f>
        <x:v>645.6</x:v>
      </x:c>
      <x:c r="R2854" s="11" t="n">
        <x:f>IF(D2854="Completed",I2854,0)</x:f>
        <x:v>3</x:v>
      </x:c>
      <x:c r="S2854" s="11" t="n">
        <x:f>IF(D2854="Completed",L2854,0)</x:f>
        <x:v>0</x:v>
      </x:c>
      <x:c r="T2854" s="8" t="n">
        <x:f>DATE(YEAR(C2854),MONTH(C2854),1)</x:f>
        <x:v>45778</x:v>
      </x:c>
    </x:row>
    <x:row r="2855" ht="22" customHeight="1">
      <x:c r="A2855" s="2" t="str">
        <x:v>L002851</x:v>
      </x:c>
      <x:c r="B2855" s="2" t="str">
        <x:v>O01163</x:v>
      </x:c>
      <x:c r="C2855" s="7" t="n">
        <x:v>45851</x:v>
      </x:c>
      <x:c r="D2855" s="2" t="str">
        <x:v>Completed</x:v>
      </x:c>
      <x:c r="E2855" s="2" t="str">
        <x:v>South</x:v>
      </x:c>
      <x:c r="F2855" s="2" t="str">
        <x:v>Online</x:v>
      </x:c>
      <x:c r="G2855" s="2" t="str">
        <x:v>Storage</x:v>
      </x:c>
      <x:c r="H2855" s="2" t="str">
        <x:v>Shelf 003</x:v>
      </x:c>
      <x:c r="I2855" s="11" t="n">
        <x:v>5</x:v>
      </x:c>
      <x:c r="J2855" s="9" t="n">
        <x:v>199</x:v>
      </x:c>
      <x:c r="K2855" s="10" t="n">
        <x:v>0.1</x:v>
      </x:c>
      <x:c r="L2855" s="11" t="n">
        <x:v>0</x:v>
      </x:c>
      <x:c r="M2855" s="9" t="n">
        <x:f>IF(D2855="Completed",I2855*J2855,0)</x:f>
        <x:v>995</x:v>
      </x:c>
      <x:c r="N2855" s="9" t="n">
        <x:f>M2855*K2855</x:f>
        <x:v>99.5</x:v>
      </x:c>
      <x:c r="O2855" s="9" t="n">
        <x:f>M2855-N2855</x:f>
        <x:v>895.5</x:v>
      </x:c>
      <x:c r="P2855" s="9" t="n">
        <x:f>IF(D2855="Completed",L2855*J2855*(1-K2855),0)</x:f>
        <x:v>0</x:v>
      </x:c>
      <x:c r="Q2855" s="9" t="n">
        <x:f>O2855-P2855</x:f>
        <x:v>895.5</x:v>
      </x:c>
      <x:c r="R2855" s="11" t="n">
        <x:f>IF(D2855="Completed",I2855,0)</x:f>
        <x:v>5</x:v>
      </x:c>
      <x:c r="S2855" s="11" t="n">
        <x:f>IF(D2855="Completed",L2855,0)</x:f>
        <x:v>0</x:v>
      </x:c>
      <x:c r="T2855" s="8" t="n">
        <x:f>DATE(YEAR(C2855),MONTH(C2855),1)</x:f>
        <x:v>45839</x:v>
      </x:c>
    </x:row>
    <x:row r="2856" ht="22" customHeight="1">
      <x:c r="A2856" s="2" t="str">
        <x:v>L002852</x:v>
      </x:c>
      <x:c r="B2856" s="2" t="str">
        <x:v>O01163</x:v>
      </x:c>
      <x:c r="C2856" s="7" t="n">
        <x:v>45851</x:v>
      </x:c>
      <x:c r="D2856" s="2" t="str">
        <x:v>Completed</x:v>
      </x:c>
      <x:c r="E2856" s="2" t="str">
        <x:v>South</x:v>
      </x:c>
      <x:c r="F2856" s="2" t="str">
        <x:v>Online</x:v>
      </x:c>
      <x:c r="G2856" s="2" t="str">
        <x:v>Storage</x:v>
      </x:c>
      <x:c r="H2856" s="2" t="str">
        <x:v>Shelf 003</x:v>
      </x:c>
      <x:c r="I2856" s="11" t="n">
        <x:v>3</x:v>
      </x:c>
      <x:c r="J2856" s="9" t="n">
        <x:v>199</x:v>
      </x:c>
      <x:c r="K2856" s="10" t="n">
        <x:v>0</x:v>
      </x:c>
      <x:c r="L2856" s="11" t="n">
        <x:v>0</x:v>
      </x:c>
      <x:c r="M2856" s="9" t="n">
        <x:f>IF(D2856="Completed",I2856*J2856,0)</x:f>
        <x:v>597</x:v>
      </x:c>
      <x:c r="N2856" s="9" t="n">
        <x:f>M2856*K2856</x:f>
        <x:v>0</x:v>
      </x:c>
      <x:c r="O2856" s="9" t="n">
        <x:f>M2856-N2856</x:f>
        <x:v>597</x:v>
      </x:c>
      <x:c r="P2856" s="9" t="n">
        <x:f>IF(D2856="Completed",L2856*J2856*(1-K2856),0)</x:f>
        <x:v>0</x:v>
      </x:c>
      <x:c r="Q2856" s="9" t="n">
        <x:f>O2856-P2856</x:f>
        <x:v>597</x:v>
      </x:c>
      <x:c r="R2856" s="11" t="n">
        <x:f>IF(D2856="Completed",I2856,0)</x:f>
        <x:v>3</x:v>
      </x:c>
      <x:c r="S2856" s="11" t="n">
        <x:f>IF(D2856="Completed",L2856,0)</x:f>
        <x:v>0</x:v>
      </x:c>
      <x:c r="T2856" s="8" t="n">
        <x:f>DATE(YEAR(C2856),MONTH(C2856),1)</x:f>
        <x:v>45839</x:v>
      </x:c>
    </x:row>
    <x:row r="2857" ht="22" customHeight="1">
      <x:c r="A2857" s="2" t="str">
        <x:v>L002853</x:v>
      </x:c>
      <x:c r="B2857" s="2" t="str">
        <x:v>O01164</x:v>
      </x:c>
      <x:c r="C2857" s="7" t="n">
        <x:v>45850</x:v>
      </x:c>
      <x:c r="D2857" s="2" t="str">
        <x:v>Completed</x:v>
      </x:c>
      <x:c r="E2857" s="2" t="str">
        <x:v>North</x:v>
      </x:c>
      <x:c r="F2857" s="2" t="str">
        <x:v>Store</x:v>
      </x:c>
      <x:c r="G2857" s="2" t="str">
        <x:v>Storage</x:v>
      </x:c>
      <x:c r="H2857" s="2" t="str">
        <x:v>Shelf 023</x:v>
      </x:c>
      <x:c r="I2857" s="11" t="n">
        <x:v>3</x:v>
      </x:c>
      <x:c r="J2857" s="9" t="n">
        <x:v>68</x:v>
      </x:c>
      <x:c r="K2857" s="10" t="n">
        <x:v>0.2</x:v>
      </x:c>
      <x:c r="L2857" s="11" t="n">
        <x:v>0</x:v>
      </x:c>
      <x:c r="M2857" s="9" t="n">
        <x:f>IF(D2857="Completed",I2857*J2857,0)</x:f>
        <x:v>204</x:v>
      </x:c>
      <x:c r="N2857" s="9" t="n">
        <x:f>M2857*K2857</x:f>
        <x:v>40.800000000000004</x:v>
      </x:c>
      <x:c r="O2857" s="9" t="n">
        <x:f>M2857-N2857</x:f>
        <x:v>163.2</x:v>
      </x:c>
      <x:c r="P2857" s="9" t="n">
        <x:f>IF(D2857="Completed",L2857*J2857*(1-K2857),0)</x:f>
        <x:v>0</x:v>
      </x:c>
      <x:c r="Q2857" s="9" t="n">
        <x:f>O2857-P2857</x:f>
        <x:v>163.2</x:v>
      </x:c>
      <x:c r="R2857" s="11" t="n">
        <x:f>IF(D2857="Completed",I2857,0)</x:f>
        <x:v>3</x:v>
      </x:c>
      <x:c r="S2857" s="11" t="n">
        <x:f>IF(D2857="Completed",L2857,0)</x:f>
        <x:v>0</x:v>
      </x:c>
      <x:c r="T2857" s="8" t="n">
        <x:f>DATE(YEAR(C2857),MONTH(C2857),1)</x:f>
        <x:v>45839</x:v>
      </x:c>
    </x:row>
    <x:row r="2858" ht="22" customHeight="1">
      <x:c r="A2858" s="2" t="str">
        <x:v>L002854</x:v>
      </x:c>
      <x:c r="B2858" s="2" t="str">
        <x:v>O01164</x:v>
      </x:c>
      <x:c r="C2858" s="7" t="n">
        <x:v>45850</x:v>
      </x:c>
      <x:c r="D2858" s="2" t="str">
        <x:v>Completed</x:v>
      </x:c>
      <x:c r="E2858" s="2" t="str">
        <x:v>North</x:v>
      </x:c>
      <x:c r="F2858" s="2" t="str">
        <x:v>Store</x:v>
      </x:c>
      <x:c r="G2858" s="2" t="str">
        <x:v>Furniture</x:v>
      </x:c>
      <x:c r="H2858" s="2" t="str">
        <x:v>Desk 016</x:v>
      </x:c>
      <x:c r="I2858" s="11" t="n">
        <x:v>4</x:v>
      </x:c>
      <x:c r="J2858" s="9" t="n">
        <x:v>231</x:v>
      </x:c>
      <x:c r="K2858" s="10" t="n">
        <x:v>0</x:v>
      </x:c>
      <x:c r="L2858" s="11" t="n">
        <x:v>0</x:v>
      </x:c>
      <x:c r="M2858" s="9" t="n">
        <x:f>IF(D2858="Completed",I2858*J2858,0)</x:f>
        <x:v>924</x:v>
      </x:c>
      <x:c r="N2858" s="9" t="n">
        <x:f>M2858*K2858</x:f>
        <x:v>0</x:v>
      </x:c>
      <x:c r="O2858" s="9" t="n">
        <x:f>M2858-N2858</x:f>
        <x:v>924</x:v>
      </x:c>
      <x:c r="P2858" s="9" t="n">
        <x:f>IF(D2858="Completed",L2858*J2858*(1-K2858),0)</x:f>
        <x:v>0</x:v>
      </x:c>
      <x:c r="Q2858" s="9" t="n">
        <x:f>O2858-P2858</x:f>
        <x:v>924</x:v>
      </x:c>
      <x:c r="R2858" s="11" t="n">
        <x:f>IF(D2858="Completed",I2858,0)</x:f>
        <x:v>4</x:v>
      </x:c>
      <x:c r="S2858" s="11" t="n">
        <x:f>IF(D2858="Completed",L2858,0)</x:f>
        <x:v>0</x:v>
      </x:c>
      <x:c r="T2858" s="8" t="n">
        <x:f>DATE(YEAR(C2858),MONTH(C2858),1)</x:f>
        <x:v>45839</x:v>
      </x:c>
    </x:row>
    <x:row r="2859" ht="22" customHeight="1">
      <x:c r="A2859" s="2" t="str">
        <x:v>L002855</x:v>
      </x:c>
      <x:c r="B2859" s="2" t="str">
        <x:v>O01165</x:v>
      </x:c>
      <x:c r="C2859" s="7" t="n">
        <x:v>45962</x:v>
      </x:c>
      <x:c r="D2859" s="2" t="str">
        <x:v>Completed</x:v>
      </x:c>
      <x:c r="E2859" s="2" t="str">
        <x:v>North</x:v>
      </x:c>
      <x:c r="F2859" s="2" t="str">
        <x:v>Store</x:v>
      </x:c>
      <x:c r="G2859" s="2" t="str">
        <x:v>Lighting</x:v>
      </x:c>
      <x:c r="H2859" s="2" t="str">
        <x:v>Lamp 013</x:v>
      </x:c>
      <x:c r="I2859" s="11" t="n">
        <x:v>3</x:v>
      </x:c>
      <x:c r="J2859" s="9" t="n">
        <x:v>271</x:v>
      </x:c>
      <x:c r="K2859" s="10" t="n">
        <x:v>0.05</x:v>
      </x:c>
      <x:c r="L2859" s="11" t="n">
        <x:v>0</x:v>
      </x:c>
      <x:c r="M2859" s="9" t="n">
        <x:f>IF(D2859="Completed",I2859*J2859,0)</x:f>
        <x:v>813</x:v>
      </x:c>
      <x:c r="N2859" s="9" t="n">
        <x:f>M2859*K2859</x:f>
        <x:v>40.650000000000006</x:v>
      </x:c>
      <x:c r="O2859" s="9" t="n">
        <x:f>M2859-N2859</x:f>
        <x:v>772.35</x:v>
      </x:c>
      <x:c r="P2859" s="9" t="n">
        <x:f>IF(D2859="Completed",L2859*J2859*(1-K2859),0)</x:f>
        <x:v>0</x:v>
      </x:c>
      <x:c r="Q2859" s="9" t="n">
        <x:f>O2859-P2859</x:f>
        <x:v>772.35</x:v>
      </x:c>
      <x:c r="R2859" s="11" t="n">
        <x:f>IF(D2859="Completed",I2859,0)</x:f>
        <x:v>3</x:v>
      </x:c>
      <x:c r="S2859" s="11" t="n">
        <x:f>IF(D2859="Completed",L2859,0)</x:f>
        <x:v>0</x:v>
      </x:c>
      <x:c r="T2859" s="8" t="n">
        <x:f>DATE(YEAR(C2859),MONTH(C2859),1)</x:f>
        <x:v>45962</x:v>
      </x:c>
    </x:row>
    <x:row r="2860" ht="22" customHeight="1">
      <x:c r="A2860" s="2" t="str">
        <x:v>L002856</x:v>
      </x:c>
      <x:c r="B2860" s="2" t="str">
        <x:v>O01165</x:v>
      </x:c>
      <x:c r="C2860" s="7" t="n">
        <x:v>45962</x:v>
      </x:c>
      <x:c r="D2860" s="2" t="str">
        <x:v>Completed</x:v>
      </x:c>
      <x:c r="E2860" s="2" t="str">
        <x:v>North</x:v>
      </x:c>
      <x:c r="F2860" s="2" t="str">
        <x:v>Store</x:v>
      </x:c>
      <x:c r="G2860" s="2" t="str">
        <x:v>Furniture</x:v>
      </x:c>
      <x:c r="H2860" s="2" t="str">
        <x:v>Desk 020</x:v>
      </x:c>
      <x:c r="I2860" s="11" t="n">
        <x:v>3</x:v>
      </x:c>
      <x:c r="J2860" s="9" t="n">
        <x:v>189</x:v>
      </x:c>
      <x:c r="K2860" s="10" t="n">
        <x:v>0.1</x:v>
      </x:c>
      <x:c r="L2860" s="11" t="n">
        <x:v>0</x:v>
      </x:c>
      <x:c r="M2860" s="9" t="n">
        <x:f>IF(D2860="Completed",I2860*J2860,0)</x:f>
        <x:v>567</x:v>
      </x:c>
      <x:c r="N2860" s="9" t="n">
        <x:f>M2860*K2860</x:f>
        <x:v>56.7</x:v>
      </x:c>
      <x:c r="O2860" s="9" t="n">
        <x:f>M2860-N2860</x:f>
        <x:v>510.3</x:v>
      </x:c>
      <x:c r="P2860" s="9" t="n">
        <x:f>IF(D2860="Completed",L2860*J2860*(1-K2860),0)</x:f>
        <x:v>0</x:v>
      </x:c>
      <x:c r="Q2860" s="9" t="n">
        <x:f>O2860-P2860</x:f>
        <x:v>510.3</x:v>
      </x:c>
      <x:c r="R2860" s="11" t="n">
        <x:f>IF(D2860="Completed",I2860,0)</x:f>
        <x:v>3</x:v>
      </x:c>
      <x:c r="S2860" s="11" t="n">
        <x:f>IF(D2860="Completed",L2860,0)</x:f>
        <x:v>0</x:v>
      </x:c>
      <x:c r="T2860" s="8" t="n">
        <x:f>DATE(YEAR(C2860),MONTH(C2860),1)</x:f>
        <x:v>45962</x:v>
      </x:c>
    </x:row>
    <x:row r="2861" ht="22" customHeight="1">
      <x:c r="A2861" s="2" t="str">
        <x:v>L002857</x:v>
      </x:c>
      <x:c r="B2861" s="2" t="str">
        <x:v>O01165</x:v>
      </x:c>
      <x:c r="C2861" s="7" t="n">
        <x:v>45962</x:v>
      </x:c>
      <x:c r="D2861" s="2" t="str">
        <x:v>Completed</x:v>
      </x:c>
      <x:c r="E2861" s="2" t="str">
        <x:v>North</x:v>
      </x:c>
      <x:c r="F2861" s="2" t="str">
        <x:v>Store</x:v>
      </x:c>
      <x:c r="G2861" s="2" t="str">
        <x:v>Lighting</x:v>
      </x:c>
      <x:c r="H2861" s="2" t="str">
        <x:v>Lamp 021</x:v>
      </x:c>
      <x:c r="I2861" s="11" t="n">
        <x:v>2</x:v>
      </x:c>
      <x:c r="J2861" s="9" t="n">
        <x:v>249</x:v>
      </x:c>
      <x:c r="K2861" s="10" t="n">
        <x:v>0.2</x:v>
      </x:c>
      <x:c r="L2861" s="11" t="n">
        <x:v>0</x:v>
      </x:c>
      <x:c r="M2861" s="9" t="n">
        <x:f>IF(D2861="Completed",I2861*J2861,0)</x:f>
        <x:v>498</x:v>
      </x:c>
      <x:c r="N2861" s="9" t="n">
        <x:f>M2861*K2861</x:f>
        <x:v>99.60000000000001</x:v>
      </x:c>
      <x:c r="O2861" s="9" t="n">
        <x:f>M2861-N2861</x:f>
        <x:v>398.4</x:v>
      </x:c>
      <x:c r="P2861" s="9" t="n">
        <x:f>IF(D2861="Completed",L2861*J2861*(1-K2861),0)</x:f>
        <x:v>0</x:v>
      </x:c>
      <x:c r="Q2861" s="9" t="n">
        <x:f>O2861-P2861</x:f>
        <x:v>398.4</x:v>
      </x:c>
      <x:c r="R2861" s="11" t="n">
        <x:f>IF(D2861="Completed",I2861,0)</x:f>
        <x:v>2</x:v>
      </x:c>
      <x:c r="S2861" s="11" t="n">
        <x:f>IF(D2861="Completed",L2861,0)</x:f>
        <x:v>0</x:v>
      </x:c>
      <x:c r="T2861" s="8" t="n">
        <x:f>DATE(YEAR(C2861),MONTH(C2861),1)</x:f>
        <x:v>45962</x:v>
      </x:c>
    </x:row>
    <x:row r="2862" ht="22" customHeight="1">
      <x:c r="A2862" s="2" t="str">
        <x:v>L002858</x:v>
      </x:c>
      <x:c r="B2862" s="2" t="str">
        <x:v>O01165</x:v>
      </x:c>
      <x:c r="C2862" s="7" t="n">
        <x:v>45962</x:v>
      </x:c>
      <x:c r="D2862" s="2" t="str">
        <x:v>Completed</x:v>
      </x:c>
      <x:c r="E2862" s="2" t="str">
        <x:v>North</x:v>
      </x:c>
      <x:c r="F2862" s="2" t="str">
        <x:v>Store</x:v>
      </x:c>
      <x:c r="G2862" s="2" t="str">
        <x:v>Furniture</x:v>
      </x:c>
      <x:c r="H2862" s="2" t="str">
        <x:v>Chair 002</x:v>
      </x:c>
      <x:c r="I2862" s="11" t="n">
        <x:v>4</x:v>
      </x:c>
      <x:c r="J2862" s="9" t="n">
        <x:v>284</x:v>
      </x:c>
      <x:c r="K2862" s="10" t="n">
        <x:v>0</x:v>
      </x:c>
      <x:c r="L2862" s="11" t="n">
        <x:v>0</x:v>
      </x:c>
      <x:c r="M2862" s="9" t="n">
        <x:f>IF(D2862="Completed",I2862*J2862,0)</x:f>
        <x:v>1136</x:v>
      </x:c>
      <x:c r="N2862" s="9" t="n">
        <x:f>M2862*K2862</x:f>
        <x:v>0</x:v>
      </x:c>
      <x:c r="O2862" s="9" t="n">
        <x:f>M2862-N2862</x:f>
        <x:v>1136</x:v>
      </x:c>
      <x:c r="P2862" s="9" t="n">
        <x:f>IF(D2862="Completed",L2862*J2862*(1-K2862),0)</x:f>
        <x:v>0</x:v>
      </x:c>
      <x:c r="Q2862" s="9" t="n">
        <x:f>O2862-P2862</x:f>
        <x:v>1136</x:v>
      </x:c>
      <x:c r="R2862" s="11" t="n">
        <x:f>IF(D2862="Completed",I2862,0)</x:f>
        <x:v>4</x:v>
      </x:c>
      <x:c r="S2862" s="11" t="n">
        <x:f>IF(D2862="Completed",L2862,0)</x:f>
        <x:v>0</x:v>
      </x:c>
      <x:c r="T2862" s="8" t="n">
        <x:f>DATE(YEAR(C2862),MONTH(C2862),1)</x:f>
        <x:v>45962</x:v>
      </x:c>
    </x:row>
    <x:row r="2863" ht="22" customHeight="1">
      <x:c r="A2863" s="2" t="str">
        <x:v>L002859</x:v>
      </x:c>
      <x:c r="B2863" s="2" t="str">
        <x:v>O01166</x:v>
      </x:c>
      <x:c r="C2863" s="7" t="n">
        <x:v>45955</x:v>
      </x:c>
      <x:c r="D2863" s="2" t="str">
        <x:v>Completed</x:v>
      </x:c>
      <x:c r="E2863" s="2" t="str">
        <x:v>South</x:v>
      </x:c>
      <x:c r="F2863" s="2" t="str">
        <x:v>Online</x:v>
      </x:c>
      <x:c r="G2863" s="2" t="str">
        <x:v>Lighting</x:v>
      </x:c>
      <x:c r="H2863" s="2" t="str">
        <x:v>Lamp 013</x:v>
      </x:c>
      <x:c r="I2863" s="11" t="n">
        <x:v>1</x:v>
      </x:c>
      <x:c r="J2863" s="9" t="n">
        <x:v>271</x:v>
      </x:c>
      <x:c r="K2863" s="10" t="n">
        <x:v>0.1</x:v>
      </x:c>
      <x:c r="L2863" s="11" t="n">
        <x:v>0</x:v>
      </x:c>
      <x:c r="M2863" s="9" t="n">
        <x:f>IF(D2863="Completed",I2863*J2863,0)</x:f>
        <x:v>271</x:v>
      </x:c>
      <x:c r="N2863" s="9" t="n">
        <x:f>M2863*K2863</x:f>
        <x:v>27.1</x:v>
      </x:c>
      <x:c r="O2863" s="9" t="n">
        <x:f>M2863-N2863</x:f>
        <x:v>243.9</x:v>
      </x:c>
      <x:c r="P2863" s="9" t="n">
        <x:f>IF(D2863="Completed",L2863*J2863*(1-K2863),0)</x:f>
        <x:v>0</x:v>
      </x:c>
      <x:c r="Q2863" s="9" t="n">
        <x:f>O2863-P2863</x:f>
        <x:v>243.9</x:v>
      </x:c>
      <x:c r="R2863" s="11" t="n">
        <x:f>IF(D2863="Completed",I2863,0)</x:f>
        <x:v>1</x:v>
      </x:c>
      <x:c r="S2863" s="11" t="n">
        <x:f>IF(D2863="Completed",L2863,0)</x:f>
        <x:v>0</x:v>
      </x:c>
      <x:c r="T2863" s="8" t="n">
        <x:f>DATE(YEAR(C2863),MONTH(C2863),1)</x:f>
        <x:v>45931</x:v>
      </x:c>
    </x:row>
    <x:row r="2864" ht="22" customHeight="1">
      <x:c r="A2864" s="2" t="str">
        <x:v>L002860</x:v>
      </x:c>
      <x:c r="B2864" s="2" t="str">
        <x:v>O01167</x:v>
      </x:c>
      <x:c r="C2864" s="7" t="n">
        <x:v>46000</x:v>
      </x:c>
      <x:c r="D2864" s="2" t="str">
        <x:v>Completed</x:v>
      </x:c>
      <x:c r="E2864" s="2" t="str">
        <x:v>East</x:v>
      </x:c>
      <x:c r="F2864" s="2" t="str">
        <x:v>Store</x:v>
      </x:c>
      <x:c r="G2864" s="2" t="str">
        <x:v>Lighting</x:v>
      </x:c>
      <x:c r="H2864" s="2" t="str">
        <x:v>Lamp 009</x:v>
      </x:c>
      <x:c r="I2864" s="11" t="n">
        <x:v>5</x:v>
      </x:c>
      <x:c r="J2864" s="9" t="n">
        <x:v>93</x:v>
      </x:c>
      <x:c r="K2864" s="10" t="n">
        <x:v>0</x:v>
      </x:c>
      <x:c r="L2864" s="11" t="n">
        <x:v>0</x:v>
      </x:c>
      <x:c r="M2864" s="9" t="n">
        <x:f>IF(D2864="Completed",I2864*J2864,0)</x:f>
        <x:v>465</x:v>
      </x:c>
      <x:c r="N2864" s="9" t="n">
        <x:f>M2864*K2864</x:f>
        <x:v>0</x:v>
      </x:c>
      <x:c r="O2864" s="9" t="n">
        <x:f>M2864-N2864</x:f>
        <x:v>465</x:v>
      </x:c>
      <x:c r="P2864" s="9" t="n">
        <x:f>IF(D2864="Completed",L2864*J2864*(1-K2864),0)</x:f>
        <x:v>0</x:v>
      </x:c>
      <x:c r="Q2864" s="9" t="n">
        <x:f>O2864-P2864</x:f>
        <x:v>465</x:v>
      </x:c>
      <x:c r="R2864" s="11" t="n">
        <x:f>IF(D2864="Completed",I2864,0)</x:f>
        <x:v>5</x:v>
      </x:c>
      <x:c r="S2864" s="11" t="n">
        <x:f>IF(D2864="Completed",L2864,0)</x:f>
        <x:v>0</x:v>
      </x:c>
      <x:c r="T2864" s="8" t="n">
        <x:f>DATE(YEAR(C2864),MONTH(C2864),1)</x:f>
        <x:v>45992</x:v>
      </x:c>
    </x:row>
    <x:row r="2865" ht="22" customHeight="1">
      <x:c r="A2865" s="2" t="str">
        <x:v>L002861</x:v>
      </x:c>
      <x:c r="B2865" s="2" t="str">
        <x:v>O01167</x:v>
      </x:c>
      <x:c r="C2865" s="7" t="n">
        <x:v>46000</x:v>
      </x:c>
      <x:c r="D2865" s="2" t="str">
        <x:v>Completed</x:v>
      </x:c>
      <x:c r="E2865" s="2" t="str">
        <x:v>East</x:v>
      </x:c>
      <x:c r="F2865" s="2" t="str">
        <x:v>Store</x:v>
      </x:c>
      <x:c r="G2865" s="2" t="str">
        <x:v>Furniture</x:v>
      </x:c>
      <x:c r="H2865" s="2" t="str">
        <x:v>Desk 008</x:v>
      </x:c>
      <x:c r="I2865" s="11" t="n">
        <x:v>3</x:v>
      </x:c>
      <x:c r="J2865" s="9" t="n">
        <x:v>188</x:v>
      </x:c>
      <x:c r="K2865" s="10" t="n">
        <x:v>0</x:v>
      </x:c>
      <x:c r="L2865" s="11" t="n">
        <x:v>0</x:v>
      </x:c>
      <x:c r="M2865" s="9" t="n">
        <x:f>IF(D2865="Completed",I2865*J2865,0)</x:f>
        <x:v>564</x:v>
      </x:c>
      <x:c r="N2865" s="9" t="n">
        <x:f>M2865*K2865</x:f>
        <x:v>0</x:v>
      </x:c>
      <x:c r="O2865" s="9" t="n">
        <x:f>M2865-N2865</x:f>
        <x:v>564</x:v>
      </x:c>
      <x:c r="P2865" s="9" t="n">
        <x:f>IF(D2865="Completed",L2865*J2865*(1-K2865),0)</x:f>
        <x:v>0</x:v>
      </x:c>
      <x:c r="Q2865" s="9" t="n">
        <x:f>O2865-P2865</x:f>
        <x:v>564</x:v>
      </x:c>
      <x:c r="R2865" s="11" t="n">
        <x:f>IF(D2865="Completed",I2865,0)</x:f>
        <x:v>3</x:v>
      </x:c>
      <x:c r="S2865" s="11" t="n">
        <x:f>IF(D2865="Completed",L2865,0)</x:f>
        <x:v>0</x:v>
      </x:c>
      <x:c r="T2865" s="8" t="n">
        <x:f>DATE(YEAR(C2865),MONTH(C2865),1)</x:f>
        <x:v>45992</x:v>
      </x:c>
    </x:row>
    <x:row r="2866" ht="22" customHeight="1">
      <x:c r="A2866" s="2" t="str">
        <x:v>L002862</x:v>
      </x:c>
      <x:c r="B2866" s="2" t="str">
        <x:v>O01168</x:v>
      </x:c>
      <x:c r="C2866" s="7" t="n">
        <x:v>45950</x:v>
      </x:c>
      <x:c r="D2866" s="2" t="str">
        <x:v>Completed</x:v>
      </x:c>
      <x:c r="E2866" s="2" t="str">
        <x:v>East</x:v>
      </x:c>
      <x:c r="F2866" s="2" t="str">
        <x:v>Online</x:v>
      </x:c>
      <x:c r="G2866" s="2" t="str">
        <x:v>Furniture</x:v>
      </x:c>
      <x:c r="H2866" s="2" t="str">
        <x:v>Chair 010</x:v>
      </x:c>
      <x:c r="I2866" s="11" t="n">
        <x:v>2</x:v>
      </x:c>
      <x:c r="J2866" s="9" t="n">
        <x:v>211</x:v>
      </x:c>
      <x:c r="K2866" s="10" t="n">
        <x:v>0.05</x:v>
      </x:c>
      <x:c r="L2866" s="11" t="n">
        <x:v>0</x:v>
      </x:c>
      <x:c r="M2866" s="9" t="n">
        <x:f>IF(D2866="Completed",I2866*J2866,0)</x:f>
        <x:v>422</x:v>
      </x:c>
      <x:c r="N2866" s="9" t="n">
        <x:f>M2866*K2866</x:f>
        <x:v>21.1</x:v>
      </x:c>
      <x:c r="O2866" s="9" t="n">
        <x:f>M2866-N2866</x:f>
        <x:v>400.9</x:v>
      </x:c>
      <x:c r="P2866" s="9" t="n">
        <x:f>IF(D2866="Completed",L2866*J2866*(1-K2866),0)</x:f>
        <x:v>0</x:v>
      </x:c>
      <x:c r="Q2866" s="9" t="n">
        <x:f>O2866-P2866</x:f>
        <x:v>400.9</x:v>
      </x:c>
      <x:c r="R2866" s="11" t="n">
        <x:f>IF(D2866="Completed",I2866,0)</x:f>
        <x:v>2</x:v>
      </x:c>
      <x:c r="S2866" s="11" t="n">
        <x:f>IF(D2866="Completed",L2866,0)</x:f>
        <x:v>0</x:v>
      </x:c>
      <x:c r="T2866" s="8" t="n">
        <x:f>DATE(YEAR(C2866),MONTH(C2866),1)</x:f>
        <x:v>45931</x:v>
      </x:c>
    </x:row>
    <x:row r="2867" ht="22" customHeight="1">
      <x:c r="A2867" s="2" t="str">
        <x:v>L002863</x:v>
      </x:c>
      <x:c r="B2867" s="2" t="str">
        <x:v>O01168</x:v>
      </x:c>
      <x:c r="C2867" s="7" t="n">
        <x:v>45950</x:v>
      </x:c>
      <x:c r="D2867" s="2" t="str">
        <x:v>Completed</x:v>
      </x:c>
      <x:c r="E2867" s="2" t="str">
        <x:v>East</x:v>
      </x:c>
      <x:c r="F2867" s="2" t="str">
        <x:v>Online</x:v>
      </x:c>
      <x:c r="G2867" s="2" t="str">
        <x:v>Furniture</x:v>
      </x:c>
      <x:c r="H2867" s="2" t="str">
        <x:v>Desk 012</x:v>
      </x:c>
      <x:c r="I2867" s="11" t="n">
        <x:v>4</x:v>
      </x:c>
      <x:c r="J2867" s="9" t="n">
        <x:v>134</x:v>
      </x:c>
      <x:c r="K2867" s="10" t="n">
        <x:v>0.1</x:v>
      </x:c>
      <x:c r="L2867" s="11" t="n">
        <x:v>0</x:v>
      </x:c>
      <x:c r="M2867" s="9" t="n">
        <x:f>IF(D2867="Completed",I2867*J2867,0)</x:f>
        <x:v>536</x:v>
      </x:c>
      <x:c r="N2867" s="9" t="n">
        <x:f>M2867*K2867</x:f>
        <x:v>53.6</x:v>
      </x:c>
      <x:c r="O2867" s="9" t="n">
        <x:f>M2867-N2867</x:f>
        <x:v>482.4</x:v>
      </x:c>
      <x:c r="P2867" s="9" t="n">
        <x:f>IF(D2867="Completed",L2867*J2867*(1-K2867),0)</x:f>
        <x:v>0</x:v>
      </x:c>
      <x:c r="Q2867" s="9" t="n">
        <x:f>O2867-P2867</x:f>
        <x:v>482.4</x:v>
      </x:c>
      <x:c r="R2867" s="11" t="n">
        <x:f>IF(D2867="Completed",I2867,0)</x:f>
        <x:v>4</x:v>
      </x:c>
      <x:c r="S2867" s="11" t="n">
        <x:f>IF(D2867="Completed",L2867,0)</x:f>
        <x:v>0</x:v>
      </x:c>
      <x:c r="T2867" s="8" t="n">
        <x:f>DATE(YEAR(C2867),MONTH(C2867),1)</x:f>
        <x:v>45931</x:v>
      </x:c>
    </x:row>
    <x:row r="2868" ht="22" customHeight="1">
      <x:c r="A2868" s="2" t="str">
        <x:v>L002864</x:v>
      </x:c>
      <x:c r="B2868" s="2" t="str">
        <x:v>O01169</x:v>
      </x:c>
      <x:c r="C2868" s="7" t="n">
        <x:v>45968</x:v>
      </x:c>
      <x:c r="D2868" s="2" t="str">
        <x:v>Completed</x:v>
      </x:c>
      <x:c r="E2868" s="2" t="str">
        <x:v>West</x:v>
      </x:c>
      <x:c r="F2868" s="2" t="str">
        <x:v>Online</x:v>
      </x:c>
      <x:c r="G2868" s="2" t="str">
        <x:v>Lighting</x:v>
      </x:c>
      <x:c r="H2868" s="2" t="str">
        <x:v>Lamp 021</x:v>
      </x:c>
      <x:c r="I2868" s="11" t="n">
        <x:v>2</x:v>
      </x:c>
      <x:c r="J2868" s="9" t="n">
        <x:v>249</x:v>
      </x:c>
      <x:c r="K2868" s="10" t="n">
        <x:v>0</x:v>
      </x:c>
      <x:c r="L2868" s="11" t="n">
        <x:v>0</x:v>
      </x:c>
      <x:c r="M2868" s="9" t="n">
        <x:f>IF(D2868="Completed",I2868*J2868,0)</x:f>
        <x:v>498</x:v>
      </x:c>
      <x:c r="N2868" s="9" t="n">
        <x:f>M2868*K2868</x:f>
        <x:v>0</x:v>
      </x:c>
      <x:c r="O2868" s="9" t="n">
        <x:f>M2868-N2868</x:f>
        <x:v>498</x:v>
      </x:c>
      <x:c r="P2868" s="9" t="n">
        <x:f>IF(D2868="Completed",L2868*J2868*(1-K2868),0)</x:f>
        <x:v>0</x:v>
      </x:c>
      <x:c r="Q2868" s="9" t="n">
        <x:f>O2868-P2868</x:f>
        <x:v>498</x:v>
      </x:c>
      <x:c r="R2868" s="11" t="n">
        <x:f>IF(D2868="Completed",I2868,0)</x:f>
        <x:v>2</x:v>
      </x:c>
      <x:c r="S2868" s="11" t="n">
        <x:f>IF(D2868="Completed",L2868,0)</x:f>
        <x:v>0</x:v>
      </x:c>
      <x:c r="T2868" s="8" t="n">
        <x:f>DATE(YEAR(C2868),MONTH(C2868),1)</x:f>
        <x:v>45962</x:v>
      </x:c>
    </x:row>
    <x:row r="2869" ht="22" customHeight="1">
      <x:c r="A2869" s="2" t="str">
        <x:v>L002865</x:v>
      </x:c>
      <x:c r="B2869" s="2" t="str">
        <x:v>O01169</x:v>
      </x:c>
      <x:c r="C2869" s="7" t="n">
        <x:v>45968</x:v>
      </x:c>
      <x:c r="D2869" s="2" t="str">
        <x:v>Completed</x:v>
      </x:c>
      <x:c r="E2869" s="2" t="str">
        <x:v>West</x:v>
      </x:c>
      <x:c r="F2869" s="2" t="str">
        <x:v>Online</x:v>
      </x:c>
      <x:c r="G2869" s="2" t="str">
        <x:v>Furniture</x:v>
      </x:c>
      <x:c r="H2869" s="2" t="str">
        <x:v>Chair 018</x:v>
      </x:c>
      <x:c r="I2869" s="11" t="n">
        <x:v>3</x:v>
      </x:c>
      <x:c r="J2869" s="9" t="n">
        <x:v>269</x:v>
      </x:c>
      <x:c r="K2869" s="10" t="n">
        <x:v>0.1</x:v>
      </x:c>
      <x:c r="L2869" s="11" t="n">
        <x:v>0</x:v>
      </x:c>
      <x:c r="M2869" s="9" t="n">
        <x:f>IF(D2869="Completed",I2869*J2869,0)</x:f>
        <x:v>807</x:v>
      </x:c>
      <x:c r="N2869" s="9" t="n">
        <x:f>M2869*K2869</x:f>
        <x:v>80.7</x:v>
      </x:c>
      <x:c r="O2869" s="9" t="n">
        <x:f>M2869-N2869</x:f>
        <x:v>726.3</x:v>
      </x:c>
      <x:c r="P2869" s="9" t="n">
        <x:f>IF(D2869="Completed",L2869*J2869*(1-K2869),0)</x:f>
        <x:v>0</x:v>
      </x:c>
      <x:c r="Q2869" s="9" t="n">
        <x:f>O2869-P2869</x:f>
        <x:v>726.3</x:v>
      </x:c>
      <x:c r="R2869" s="11" t="n">
        <x:f>IF(D2869="Completed",I2869,0)</x:f>
        <x:v>3</x:v>
      </x:c>
      <x:c r="S2869" s="11" t="n">
        <x:f>IF(D2869="Completed",L2869,0)</x:f>
        <x:v>0</x:v>
      </x:c>
      <x:c r="T2869" s="8" t="n">
        <x:f>DATE(YEAR(C2869),MONTH(C2869),1)</x:f>
        <x:v>45962</x:v>
      </x:c>
    </x:row>
    <x:row r="2870" ht="22" customHeight="1">
      <x:c r="A2870" s="2" t="str">
        <x:v>L002866</x:v>
      </x:c>
      <x:c r="B2870" s="2" t="str">
        <x:v>O01169</x:v>
      </x:c>
      <x:c r="C2870" s="7" t="n">
        <x:v>45968</x:v>
      </x:c>
      <x:c r="D2870" s="2" t="str">
        <x:v>Completed</x:v>
      </x:c>
      <x:c r="E2870" s="2" t="str">
        <x:v>West</x:v>
      </x:c>
      <x:c r="F2870" s="2" t="str">
        <x:v>Online</x:v>
      </x:c>
      <x:c r="G2870" s="2" t="str">
        <x:v>Furniture</x:v>
      </x:c>
      <x:c r="H2870" s="2" t="str">
        <x:v>Chair 006</x:v>
      </x:c>
      <x:c r="I2870" s="11" t="n">
        <x:v>2</x:v>
      </x:c>
      <x:c r="J2870" s="9" t="n">
        <x:v>196</x:v>
      </x:c>
      <x:c r="K2870" s="10" t="n">
        <x:v>0.2</x:v>
      </x:c>
      <x:c r="L2870" s="11" t="n">
        <x:v>0</x:v>
      </x:c>
      <x:c r="M2870" s="9" t="n">
        <x:f>IF(D2870="Completed",I2870*J2870,0)</x:f>
        <x:v>392</x:v>
      </x:c>
      <x:c r="N2870" s="9" t="n">
        <x:f>M2870*K2870</x:f>
        <x:v>78.4</x:v>
      </x:c>
      <x:c r="O2870" s="9" t="n">
        <x:f>M2870-N2870</x:f>
        <x:v>313.6</x:v>
      </x:c>
      <x:c r="P2870" s="9" t="n">
        <x:f>IF(D2870="Completed",L2870*J2870*(1-K2870),0)</x:f>
        <x:v>0</x:v>
      </x:c>
      <x:c r="Q2870" s="9" t="n">
        <x:f>O2870-P2870</x:f>
        <x:v>313.6</x:v>
      </x:c>
      <x:c r="R2870" s="11" t="n">
        <x:f>IF(D2870="Completed",I2870,0)</x:f>
        <x:v>2</x:v>
      </x:c>
      <x:c r="S2870" s="11" t="n">
        <x:f>IF(D2870="Completed",L2870,0)</x:f>
        <x:v>0</x:v>
      </x:c>
      <x:c r="T2870" s="8" t="n">
        <x:f>DATE(YEAR(C2870),MONTH(C2870),1)</x:f>
        <x:v>45962</x:v>
      </x:c>
    </x:row>
    <x:row r="2871" ht="22" customHeight="1">
      <x:c r="A2871" s="2" t="str">
        <x:v>L002867</x:v>
      </x:c>
      <x:c r="B2871" s="2" t="str">
        <x:v>O01169</x:v>
      </x:c>
      <x:c r="C2871" s="7" t="n">
        <x:v>45968</x:v>
      </x:c>
      <x:c r="D2871" s="2" t="str">
        <x:v>Completed</x:v>
      </x:c>
      <x:c r="E2871" s="2" t="str">
        <x:v>West</x:v>
      </x:c>
      <x:c r="F2871" s="2" t="str">
        <x:v>Online</x:v>
      </x:c>
      <x:c r="G2871" s="2" t="str">
        <x:v>Storage</x:v>
      </x:c>
      <x:c r="H2871" s="2" t="str">
        <x:v>Shelf 019</x:v>
      </x:c>
      <x:c r="I2871" s="11" t="n">
        <x:v>3</x:v>
      </x:c>
      <x:c r="J2871" s="9" t="n">
        <x:v>78</x:v>
      </x:c>
      <x:c r="K2871" s="10" t="n">
        <x:v>0.05</x:v>
      </x:c>
      <x:c r="L2871" s="11" t="n">
        <x:v>0</x:v>
      </x:c>
      <x:c r="M2871" s="9" t="n">
        <x:f>IF(D2871="Completed",I2871*J2871,0)</x:f>
        <x:v>234</x:v>
      </x:c>
      <x:c r="N2871" s="9" t="n">
        <x:f>M2871*K2871</x:f>
        <x:v>11.700000000000001</x:v>
      </x:c>
      <x:c r="O2871" s="9" t="n">
        <x:f>M2871-N2871</x:f>
        <x:v>222.3</x:v>
      </x:c>
      <x:c r="P2871" s="9" t="n">
        <x:f>IF(D2871="Completed",L2871*J2871*(1-K2871),0)</x:f>
        <x:v>0</x:v>
      </x:c>
      <x:c r="Q2871" s="9" t="n">
        <x:f>O2871-P2871</x:f>
        <x:v>222.3</x:v>
      </x:c>
      <x:c r="R2871" s="11" t="n">
        <x:f>IF(D2871="Completed",I2871,0)</x:f>
        <x:v>3</x:v>
      </x:c>
      <x:c r="S2871" s="11" t="n">
        <x:f>IF(D2871="Completed",L2871,0)</x:f>
        <x:v>0</x:v>
      </x:c>
      <x:c r="T2871" s="8" t="n">
        <x:f>DATE(YEAR(C2871),MONTH(C2871),1)</x:f>
        <x:v>45962</x:v>
      </x:c>
    </x:row>
    <x:row r="2872" ht="22" customHeight="1">
      <x:c r="A2872" s="2" t="str">
        <x:v>L002868</x:v>
      </x:c>
      <x:c r="B2872" s="2" t="str">
        <x:v>O01170</x:v>
      </x:c>
      <x:c r="C2872" s="7" t="n">
        <x:v>45724</x:v>
      </x:c>
      <x:c r="D2872" s="2" t="str">
        <x:v>Cancelled</x:v>
      </x:c>
      <x:c r="E2872" s="2" t="str">
        <x:v>East</x:v>
      </x:c>
      <x:c r="F2872" s="2" t="str">
        <x:v>Store</x:v>
      </x:c>
      <x:c r="G2872" s="2" t="str">
        <x:v>Lighting</x:v>
      </x:c>
      <x:c r="H2872" s="2" t="str">
        <x:v>Lamp 013</x:v>
      </x:c>
      <x:c r="I2872" s="11" t="n">
        <x:v>1</x:v>
      </x:c>
      <x:c r="J2872" s="9" t="n">
        <x:v>271</x:v>
      </x:c>
      <x:c r="K2872" s="10" t="n">
        <x:v>0.1</x:v>
      </x:c>
      <x:c r="L2872" s="11" t="n">
        <x:v>0</x:v>
      </x:c>
      <x:c r="M2872" s="9" t="n">
        <x:f>IF(D2872="Completed",I2872*J2872,0)</x:f>
        <x:v>0</x:v>
      </x:c>
      <x:c r="N2872" s="9" t="n">
        <x:f>M2872*K2872</x:f>
        <x:v>0</x:v>
      </x:c>
      <x:c r="O2872" s="9" t="n">
        <x:f>M2872-N2872</x:f>
        <x:v>0</x:v>
      </x:c>
      <x:c r="P2872" s="9" t="n">
        <x:f>IF(D2872="Completed",L2872*J2872*(1-K2872),0)</x:f>
        <x:v>0</x:v>
      </x:c>
      <x:c r="Q2872" s="9" t="n">
        <x:f>O2872-P2872</x:f>
        <x:v>0</x:v>
      </x:c>
      <x:c r="R2872" s="11" t="n">
        <x:f>IF(D2872="Completed",I2872,0)</x:f>
        <x:v>0</x:v>
      </x:c>
      <x:c r="S2872" s="11" t="n">
        <x:f>IF(D2872="Completed",L2872,0)</x:f>
        <x:v>0</x:v>
      </x:c>
      <x:c r="T2872" s="8" t="n">
        <x:f>DATE(YEAR(C2872),MONTH(C2872),1)</x:f>
        <x:v>45717</x:v>
      </x:c>
    </x:row>
    <x:row r="2873" ht="22" customHeight="1">
      <x:c r="A2873" s="2" t="str">
        <x:v>L002869</x:v>
      </x:c>
      <x:c r="B2873" s="2" t="str">
        <x:v>O01170</x:v>
      </x:c>
      <x:c r="C2873" s="7" t="n">
        <x:v>45724</x:v>
      </x:c>
      <x:c r="D2873" s="2" t="str">
        <x:v>Cancelled</x:v>
      </x:c>
      <x:c r="E2873" s="2" t="str">
        <x:v>East</x:v>
      </x:c>
      <x:c r="F2873" s="2" t="str">
        <x:v>Store</x:v>
      </x:c>
      <x:c r="G2873" s="2" t="str">
        <x:v>Lighting</x:v>
      </x:c>
      <x:c r="H2873" s="2" t="str">
        <x:v>Lamp 013</x:v>
      </x:c>
      <x:c r="I2873" s="11" t="n">
        <x:v>4</x:v>
      </x:c>
      <x:c r="J2873" s="9" t="n">
        <x:v>271</x:v>
      </x:c>
      <x:c r="K2873" s="10" t="n">
        <x:v>0</x:v>
      </x:c>
      <x:c r="L2873" s="11" t="n">
        <x:v>0</x:v>
      </x:c>
      <x:c r="M2873" s="9" t="n">
        <x:f>IF(D2873="Completed",I2873*J2873,0)</x:f>
        <x:v>0</x:v>
      </x:c>
      <x:c r="N2873" s="9" t="n">
        <x:f>M2873*K2873</x:f>
        <x:v>0</x:v>
      </x:c>
      <x:c r="O2873" s="9" t="n">
        <x:f>M2873-N2873</x:f>
        <x:v>0</x:v>
      </x:c>
      <x:c r="P2873" s="9" t="n">
        <x:f>IF(D2873="Completed",L2873*J2873*(1-K2873),0)</x:f>
        <x:v>0</x:v>
      </x:c>
      <x:c r="Q2873" s="9" t="n">
        <x:f>O2873-P2873</x:f>
        <x:v>0</x:v>
      </x:c>
      <x:c r="R2873" s="11" t="n">
        <x:f>IF(D2873="Completed",I2873,0)</x:f>
        <x:v>0</x:v>
      </x:c>
      <x:c r="S2873" s="11" t="n">
        <x:f>IF(D2873="Completed",L2873,0)</x:f>
        <x:v>0</x:v>
      </x:c>
      <x:c r="T2873" s="8" t="n">
        <x:f>DATE(YEAR(C2873),MONTH(C2873),1)</x:f>
        <x:v>45717</x:v>
      </x:c>
    </x:row>
    <x:row r="2874" ht="22" customHeight="1">
      <x:c r="A2874" s="2" t="str">
        <x:v>L002870</x:v>
      </x:c>
      <x:c r="B2874" s="2" t="str">
        <x:v>O01171</x:v>
      </x:c>
      <x:c r="C2874" s="7" t="n">
        <x:v>45761</x:v>
      </x:c>
      <x:c r="D2874" s="2" t="str">
        <x:v>Completed</x:v>
      </x:c>
      <x:c r="E2874" s="2" t="str">
        <x:v>North</x:v>
      </x:c>
      <x:c r="F2874" s="2" t="str">
        <x:v>Store</x:v>
      </x:c>
      <x:c r="G2874" s="2" t="str">
        <x:v>Storage</x:v>
      </x:c>
      <x:c r="H2874" s="2" t="str">
        <x:v>Shelf 015</x:v>
      </x:c>
      <x:c r="I2874" s="11" t="n">
        <x:v>4</x:v>
      </x:c>
      <x:c r="J2874" s="9" t="n">
        <x:v>254</x:v>
      </x:c>
      <x:c r="K2874" s="10" t="n">
        <x:v>0.1</x:v>
      </x:c>
      <x:c r="L2874" s="11" t="n">
        <x:v>0</x:v>
      </x:c>
      <x:c r="M2874" s="9" t="n">
        <x:f>IF(D2874="Completed",I2874*J2874,0)</x:f>
        <x:v>1016</x:v>
      </x:c>
      <x:c r="N2874" s="9" t="n">
        <x:f>M2874*K2874</x:f>
        <x:v>101.60000000000001</x:v>
      </x:c>
      <x:c r="O2874" s="9" t="n">
        <x:f>M2874-N2874</x:f>
        <x:v>914.4</x:v>
      </x:c>
      <x:c r="P2874" s="9" t="n">
        <x:f>IF(D2874="Completed",L2874*J2874*(1-K2874),0)</x:f>
        <x:v>0</x:v>
      </x:c>
      <x:c r="Q2874" s="9" t="n">
        <x:f>O2874-P2874</x:f>
        <x:v>914.4</x:v>
      </x:c>
      <x:c r="R2874" s="11" t="n">
        <x:f>IF(D2874="Completed",I2874,0)</x:f>
        <x:v>4</x:v>
      </x:c>
      <x:c r="S2874" s="11" t="n">
        <x:f>IF(D2874="Completed",L2874,0)</x:f>
        <x:v>0</x:v>
      </x:c>
      <x:c r="T2874" s="8" t="n">
        <x:f>DATE(YEAR(C2874),MONTH(C2874),1)</x:f>
        <x:v>45748</x:v>
      </x:c>
    </x:row>
    <x:row r="2875" ht="22" customHeight="1">
      <x:c r="A2875" s="2" t="str">
        <x:v>L002871</x:v>
      </x:c>
      <x:c r="B2875" s="2" t="str">
        <x:v>O01171</x:v>
      </x:c>
      <x:c r="C2875" s="7" t="n">
        <x:v>45761</x:v>
      </x:c>
      <x:c r="D2875" s="2" t="str">
        <x:v>Completed</x:v>
      </x:c>
      <x:c r="E2875" s="2" t="str">
        <x:v>North</x:v>
      </x:c>
      <x:c r="F2875" s="2" t="str">
        <x:v>Store</x:v>
      </x:c>
      <x:c r="G2875" s="2" t="str">
        <x:v>Lighting</x:v>
      </x:c>
      <x:c r="H2875" s="2" t="str">
        <x:v>Lamp 021</x:v>
      </x:c>
      <x:c r="I2875" s="11" t="n">
        <x:v>5</x:v>
      </x:c>
      <x:c r="J2875" s="9" t="n">
        <x:v>249</x:v>
      </x:c>
      <x:c r="K2875" s="10" t="n">
        <x:v>0</x:v>
      </x:c>
      <x:c r="L2875" s="11" t="n">
        <x:v>0</x:v>
      </x:c>
      <x:c r="M2875" s="9" t="n">
        <x:f>IF(D2875="Completed",I2875*J2875,0)</x:f>
        <x:v>1245</x:v>
      </x:c>
      <x:c r="N2875" s="9" t="n">
        <x:f>M2875*K2875</x:f>
        <x:v>0</x:v>
      </x:c>
      <x:c r="O2875" s="9" t="n">
        <x:f>M2875-N2875</x:f>
        <x:v>1245</x:v>
      </x:c>
      <x:c r="P2875" s="9" t="n">
        <x:f>IF(D2875="Completed",L2875*J2875*(1-K2875),0)</x:f>
        <x:v>0</x:v>
      </x:c>
      <x:c r="Q2875" s="9" t="n">
        <x:f>O2875-P2875</x:f>
        <x:v>1245</x:v>
      </x:c>
      <x:c r="R2875" s="11" t="n">
        <x:f>IF(D2875="Completed",I2875,0)</x:f>
        <x:v>5</x:v>
      </x:c>
      <x:c r="S2875" s="11" t="n">
        <x:f>IF(D2875="Completed",L2875,0)</x:f>
        <x:v>0</x:v>
      </x:c>
      <x:c r="T2875" s="8" t="n">
        <x:f>DATE(YEAR(C2875),MONTH(C2875),1)</x:f>
        <x:v>45748</x:v>
      </x:c>
    </x:row>
    <x:row r="2876" ht="22" customHeight="1">
      <x:c r="A2876" s="2" t="str">
        <x:v>L002872</x:v>
      </x:c>
      <x:c r="B2876" s="2" t="str">
        <x:v>O01171</x:v>
      </x:c>
      <x:c r="C2876" s="7" t="n">
        <x:v>45761</x:v>
      </x:c>
      <x:c r="D2876" s="2" t="str">
        <x:v>Completed</x:v>
      </x:c>
      <x:c r="E2876" s="2" t="str">
        <x:v>North</x:v>
      </x:c>
      <x:c r="F2876" s="2" t="str">
        <x:v>Store</x:v>
      </x:c>
      <x:c r="G2876" s="2" t="str">
        <x:v>Storage</x:v>
      </x:c>
      <x:c r="H2876" s="2" t="str">
        <x:v>Shelf 007</x:v>
      </x:c>
      <x:c r="I2876" s="11" t="n">
        <x:v>3</x:v>
      </x:c>
      <x:c r="J2876" s="9" t="n">
        <x:v>35</x:v>
      </x:c>
      <x:c r="K2876" s="10" t="n">
        <x:v>0.1</x:v>
      </x:c>
      <x:c r="L2876" s="11" t="n">
        <x:v>0</x:v>
      </x:c>
      <x:c r="M2876" s="9" t="n">
        <x:f>IF(D2876="Completed",I2876*J2876,0)</x:f>
        <x:v>105</x:v>
      </x:c>
      <x:c r="N2876" s="9" t="n">
        <x:f>M2876*K2876</x:f>
        <x:v>10.5</x:v>
      </x:c>
      <x:c r="O2876" s="9" t="n">
        <x:f>M2876-N2876</x:f>
        <x:v>94.5</x:v>
      </x:c>
      <x:c r="P2876" s="9" t="n">
        <x:f>IF(D2876="Completed",L2876*J2876*(1-K2876),0)</x:f>
        <x:v>0</x:v>
      </x:c>
      <x:c r="Q2876" s="9" t="n">
        <x:f>O2876-P2876</x:f>
        <x:v>94.5</x:v>
      </x:c>
      <x:c r="R2876" s="11" t="n">
        <x:f>IF(D2876="Completed",I2876,0)</x:f>
        <x:v>3</x:v>
      </x:c>
      <x:c r="S2876" s="11" t="n">
        <x:f>IF(D2876="Completed",L2876,0)</x:f>
        <x:v>0</x:v>
      </x:c>
      <x:c r="T2876" s="8" t="n">
        <x:f>DATE(YEAR(C2876),MONTH(C2876),1)</x:f>
        <x:v>45748</x:v>
      </x:c>
    </x:row>
    <x:row r="2877" ht="22" customHeight="1">
      <x:c r="A2877" s="2" t="str">
        <x:v>L002873</x:v>
      </x:c>
      <x:c r="B2877" s="2" t="str">
        <x:v>O01171</x:v>
      </x:c>
      <x:c r="C2877" s="7" t="n">
        <x:v>45761</x:v>
      </x:c>
      <x:c r="D2877" s="2" t="str">
        <x:v>Completed</x:v>
      </x:c>
      <x:c r="E2877" s="2" t="str">
        <x:v>North</x:v>
      </x:c>
      <x:c r="F2877" s="2" t="str">
        <x:v>Store</x:v>
      </x:c>
      <x:c r="G2877" s="2" t="str">
        <x:v>Lighting</x:v>
      </x:c>
      <x:c r="H2877" s="2" t="str">
        <x:v>Lamp 009</x:v>
      </x:c>
      <x:c r="I2877" s="11" t="n">
        <x:v>2</x:v>
      </x:c>
      <x:c r="J2877" s="9" t="n">
        <x:v>93</x:v>
      </x:c>
      <x:c r="K2877" s="10" t="n">
        <x:v>0</x:v>
      </x:c>
      <x:c r="L2877" s="11" t="n">
        <x:v>0</x:v>
      </x:c>
      <x:c r="M2877" s="9" t="n">
        <x:f>IF(D2877="Completed",I2877*J2877,0)</x:f>
        <x:v>186</x:v>
      </x:c>
      <x:c r="N2877" s="9" t="n">
        <x:f>M2877*K2877</x:f>
        <x:v>0</x:v>
      </x:c>
      <x:c r="O2877" s="9" t="n">
        <x:f>M2877-N2877</x:f>
        <x:v>186</x:v>
      </x:c>
      <x:c r="P2877" s="9" t="n">
        <x:f>IF(D2877="Completed",L2877*J2877*(1-K2877),0)</x:f>
        <x:v>0</x:v>
      </x:c>
      <x:c r="Q2877" s="9" t="n">
        <x:f>O2877-P2877</x:f>
        <x:v>186</x:v>
      </x:c>
      <x:c r="R2877" s="11" t="n">
        <x:f>IF(D2877="Completed",I2877,0)</x:f>
        <x:v>2</x:v>
      </x:c>
      <x:c r="S2877" s="11" t="n">
        <x:f>IF(D2877="Completed",L2877,0)</x:f>
        <x:v>0</x:v>
      </x:c>
      <x:c r="T2877" s="8" t="n">
        <x:f>DATE(YEAR(C2877),MONTH(C2877),1)</x:f>
        <x:v>45748</x:v>
      </x:c>
    </x:row>
    <x:row r="2878" ht="22" customHeight="1">
      <x:c r="A2878" s="2" t="str">
        <x:v>L002874</x:v>
      </x:c>
      <x:c r="B2878" s="2" t="str">
        <x:v>O01172</x:v>
      </x:c>
      <x:c r="C2878" s="7" t="n">
        <x:v>45891</x:v>
      </x:c>
      <x:c r="D2878" s="2" t="str">
        <x:v>Completed</x:v>
      </x:c>
      <x:c r="E2878" s="2" t="str">
        <x:v>West</x:v>
      </x:c>
      <x:c r="F2878" s="2" t="str">
        <x:v>Online</x:v>
      </x:c>
      <x:c r="G2878" s="2" t="str">
        <x:v>Lighting</x:v>
      </x:c>
      <x:c r="H2878" s="2" t="str">
        <x:v>Lamp 017</x:v>
      </x:c>
      <x:c r="I2878" s="11" t="n">
        <x:v>3</x:v>
      </x:c>
      <x:c r="J2878" s="9" t="n">
        <x:v>300</x:v>
      </x:c>
      <x:c r="K2878" s="10" t="n">
        <x:v>0.2</x:v>
      </x:c>
      <x:c r="L2878" s="11" t="n">
        <x:v>0</x:v>
      </x:c>
      <x:c r="M2878" s="9" t="n">
        <x:f>IF(D2878="Completed",I2878*J2878,0)</x:f>
        <x:v>900</x:v>
      </x:c>
      <x:c r="N2878" s="9" t="n">
        <x:f>M2878*K2878</x:f>
        <x:v>180</x:v>
      </x:c>
      <x:c r="O2878" s="9" t="n">
        <x:f>M2878-N2878</x:f>
        <x:v>720</x:v>
      </x:c>
      <x:c r="P2878" s="9" t="n">
        <x:f>IF(D2878="Completed",L2878*J2878*(1-K2878),0)</x:f>
        <x:v>0</x:v>
      </x:c>
      <x:c r="Q2878" s="9" t="n">
        <x:f>O2878-P2878</x:f>
        <x:v>720</x:v>
      </x:c>
      <x:c r="R2878" s="11" t="n">
        <x:f>IF(D2878="Completed",I2878,0)</x:f>
        <x:v>3</x:v>
      </x:c>
      <x:c r="S2878" s="11" t="n">
        <x:f>IF(D2878="Completed",L2878,0)</x:f>
        <x:v>0</x:v>
      </x:c>
      <x:c r="T2878" s="8" t="n">
        <x:f>DATE(YEAR(C2878),MONTH(C2878),1)</x:f>
        <x:v>45870</x:v>
      </x:c>
    </x:row>
    <x:row r="2879" ht="22" customHeight="1">
      <x:c r="A2879" s="2" t="str">
        <x:v>L002875</x:v>
      </x:c>
      <x:c r="B2879" s="2" t="str">
        <x:v>O01172</x:v>
      </x:c>
      <x:c r="C2879" s="7" t="n">
        <x:v>45891</x:v>
      </x:c>
      <x:c r="D2879" s="2" t="str">
        <x:v>Completed</x:v>
      </x:c>
      <x:c r="E2879" s="2" t="str">
        <x:v>West</x:v>
      </x:c>
      <x:c r="F2879" s="2" t="str">
        <x:v>Online</x:v>
      </x:c>
      <x:c r="G2879" s="2" t="str">
        <x:v>Furniture</x:v>
      </x:c>
      <x:c r="H2879" s="2" t="str">
        <x:v>Chair 006</x:v>
      </x:c>
      <x:c r="I2879" s="11" t="n">
        <x:v>2</x:v>
      </x:c>
      <x:c r="J2879" s="9" t="n">
        <x:v>196</x:v>
      </x:c>
      <x:c r="K2879" s="10" t="n">
        <x:v>0.2</x:v>
      </x:c>
      <x:c r="L2879" s="11" t="n">
        <x:v>0</x:v>
      </x:c>
      <x:c r="M2879" s="9" t="n">
        <x:f>IF(D2879="Completed",I2879*J2879,0)</x:f>
        <x:v>392</x:v>
      </x:c>
      <x:c r="N2879" s="9" t="n">
        <x:f>M2879*K2879</x:f>
        <x:v>78.4</x:v>
      </x:c>
      <x:c r="O2879" s="9" t="n">
        <x:f>M2879-N2879</x:f>
        <x:v>313.6</x:v>
      </x:c>
      <x:c r="P2879" s="9" t="n">
        <x:f>IF(D2879="Completed",L2879*J2879*(1-K2879),0)</x:f>
        <x:v>0</x:v>
      </x:c>
      <x:c r="Q2879" s="9" t="n">
        <x:f>O2879-P2879</x:f>
        <x:v>313.6</x:v>
      </x:c>
      <x:c r="R2879" s="11" t="n">
        <x:f>IF(D2879="Completed",I2879,0)</x:f>
        <x:v>2</x:v>
      </x:c>
      <x:c r="S2879" s="11" t="n">
        <x:f>IF(D2879="Completed",L2879,0)</x:f>
        <x:v>0</x:v>
      </x:c>
      <x:c r="T2879" s="8" t="n">
        <x:f>DATE(YEAR(C2879),MONTH(C2879),1)</x:f>
        <x:v>45870</x:v>
      </x:c>
    </x:row>
    <x:row r="2880" ht="22" customHeight="1">
      <x:c r="A2880" s="2" t="str">
        <x:v>L002876</x:v>
      </x:c>
      <x:c r="B2880" s="2" t="str">
        <x:v>O01172</x:v>
      </x:c>
      <x:c r="C2880" s="7" t="n">
        <x:v>45891</x:v>
      </x:c>
      <x:c r="D2880" s="2" t="str">
        <x:v>Completed</x:v>
      </x:c>
      <x:c r="E2880" s="2" t="str">
        <x:v>West</x:v>
      </x:c>
      <x:c r="F2880" s="2" t="str">
        <x:v>Online</x:v>
      </x:c>
      <x:c r="G2880" s="2" t="str">
        <x:v>Furniture</x:v>
      </x:c>
      <x:c r="H2880" s="2" t="str">
        <x:v>Desk 020</x:v>
      </x:c>
      <x:c r="I2880" s="11" t="n">
        <x:v>4</x:v>
      </x:c>
      <x:c r="J2880" s="9" t="n">
        <x:v>189</x:v>
      </x:c>
      <x:c r="K2880" s="10" t="n">
        <x:v>0.2</x:v>
      </x:c>
      <x:c r="L2880" s="11" t="n">
        <x:v>0</x:v>
      </x:c>
      <x:c r="M2880" s="9" t="n">
        <x:f>IF(D2880="Completed",I2880*J2880,0)</x:f>
        <x:v>756</x:v>
      </x:c>
      <x:c r="N2880" s="9" t="n">
        <x:f>M2880*K2880</x:f>
        <x:v>151.20000000000002</x:v>
      </x:c>
      <x:c r="O2880" s="9" t="n">
        <x:f>M2880-N2880</x:f>
        <x:v>604.8</x:v>
      </x:c>
      <x:c r="P2880" s="9" t="n">
        <x:f>IF(D2880="Completed",L2880*J2880*(1-K2880),0)</x:f>
        <x:v>0</x:v>
      </x:c>
      <x:c r="Q2880" s="9" t="n">
        <x:f>O2880-P2880</x:f>
        <x:v>604.8</x:v>
      </x:c>
      <x:c r="R2880" s="11" t="n">
        <x:f>IF(D2880="Completed",I2880,0)</x:f>
        <x:v>4</x:v>
      </x:c>
      <x:c r="S2880" s="11" t="n">
        <x:f>IF(D2880="Completed",L2880,0)</x:f>
        <x:v>0</x:v>
      </x:c>
      <x:c r="T2880" s="8" t="n">
        <x:f>DATE(YEAR(C2880),MONTH(C2880),1)</x:f>
        <x:v>45870</x:v>
      </x:c>
    </x:row>
    <x:row r="2881" ht="22" customHeight="1">
      <x:c r="A2881" s="2" t="str">
        <x:v>L002877</x:v>
      </x:c>
      <x:c r="B2881" s="2" t="str">
        <x:v>O01173</x:v>
      </x:c>
      <x:c r="C2881" s="7" t="n">
        <x:v>45931</x:v>
      </x:c>
      <x:c r="D2881" s="2" t="str">
        <x:v>Completed</x:v>
      </x:c>
      <x:c r="E2881" s="2" t="str">
        <x:v>South</x:v>
      </x:c>
      <x:c r="F2881" s="2" t="str">
        <x:v>Online</x:v>
      </x:c>
      <x:c r="G2881" s="2" t="str">
        <x:v>Furniture</x:v>
      </x:c>
      <x:c r="H2881" s="2" t="str">
        <x:v>Chair 002</x:v>
      </x:c>
      <x:c r="I2881" s="11" t="n">
        <x:v>5</x:v>
      </x:c>
      <x:c r="J2881" s="9" t="n">
        <x:v>284</x:v>
      </x:c>
      <x:c r="K2881" s="10" t="n">
        <x:v>0.2</x:v>
      </x:c>
      <x:c r="L2881" s="11" t="n">
        <x:v>0</x:v>
      </x:c>
      <x:c r="M2881" s="9" t="n">
        <x:f>IF(D2881="Completed",I2881*J2881,0)</x:f>
        <x:v>1420</x:v>
      </x:c>
      <x:c r="N2881" s="9" t="n">
        <x:f>M2881*K2881</x:f>
        <x:v>284</x:v>
      </x:c>
      <x:c r="O2881" s="9" t="n">
        <x:f>M2881-N2881</x:f>
        <x:v>1136</x:v>
      </x:c>
      <x:c r="P2881" s="9" t="n">
        <x:f>IF(D2881="Completed",L2881*J2881*(1-K2881),0)</x:f>
        <x:v>0</x:v>
      </x:c>
      <x:c r="Q2881" s="9" t="n">
        <x:f>O2881-P2881</x:f>
        <x:v>1136</x:v>
      </x:c>
      <x:c r="R2881" s="11" t="n">
        <x:f>IF(D2881="Completed",I2881,0)</x:f>
        <x:v>5</x:v>
      </x:c>
      <x:c r="S2881" s="11" t="n">
        <x:f>IF(D2881="Completed",L2881,0)</x:f>
        <x:v>0</x:v>
      </x:c>
      <x:c r="T2881" s="8" t="n">
        <x:f>DATE(YEAR(C2881),MONTH(C2881),1)</x:f>
        <x:v>45931</x:v>
      </x:c>
    </x:row>
    <x:row r="2882" ht="22" customHeight="1">
      <x:c r="A2882" s="2" t="str">
        <x:v>L002878</x:v>
      </x:c>
      <x:c r="B2882" s="2" t="str">
        <x:v>O01173</x:v>
      </x:c>
      <x:c r="C2882" s="7" t="n">
        <x:v>45931</x:v>
      </x:c>
      <x:c r="D2882" s="2" t="str">
        <x:v>Completed</x:v>
      </x:c>
      <x:c r="E2882" s="2" t="str">
        <x:v>South</x:v>
      </x:c>
      <x:c r="F2882" s="2" t="str">
        <x:v>Online</x:v>
      </x:c>
      <x:c r="G2882" s="2" t="str">
        <x:v>Furniture</x:v>
      </x:c>
      <x:c r="H2882" s="2" t="str">
        <x:v>Chair 014</x:v>
      </x:c>
      <x:c r="I2882" s="11" t="n">
        <x:v>3</x:v>
      </x:c>
      <x:c r="J2882" s="9" t="n">
        <x:v>294</x:v>
      </x:c>
      <x:c r="K2882" s="10" t="n">
        <x:v>0.2</x:v>
      </x:c>
      <x:c r="L2882" s="11" t="n">
        <x:v>0</x:v>
      </x:c>
      <x:c r="M2882" s="9" t="n">
        <x:f>IF(D2882="Completed",I2882*J2882,0)</x:f>
        <x:v>882</x:v>
      </x:c>
      <x:c r="N2882" s="9" t="n">
        <x:f>M2882*K2882</x:f>
        <x:v>176.4</x:v>
      </x:c>
      <x:c r="O2882" s="9" t="n">
        <x:f>M2882-N2882</x:f>
        <x:v>705.6</x:v>
      </x:c>
      <x:c r="P2882" s="9" t="n">
        <x:f>IF(D2882="Completed",L2882*J2882*(1-K2882),0)</x:f>
        <x:v>0</x:v>
      </x:c>
      <x:c r="Q2882" s="9" t="n">
        <x:f>O2882-P2882</x:f>
        <x:v>705.6</x:v>
      </x:c>
      <x:c r="R2882" s="11" t="n">
        <x:f>IF(D2882="Completed",I2882,0)</x:f>
        <x:v>3</x:v>
      </x:c>
      <x:c r="S2882" s="11" t="n">
        <x:f>IF(D2882="Completed",L2882,0)</x:f>
        <x:v>0</x:v>
      </x:c>
      <x:c r="T2882" s="8" t="n">
        <x:f>DATE(YEAR(C2882),MONTH(C2882),1)</x:f>
        <x:v>45931</x:v>
      </x:c>
    </x:row>
    <x:row r="2883" ht="22" customHeight="1">
      <x:c r="A2883" s="2" t="str">
        <x:v>L002879</x:v>
      </x:c>
      <x:c r="B2883" s="2" t="str">
        <x:v>O01174</x:v>
      </x:c>
      <x:c r="C2883" s="7" t="n">
        <x:v>45881</x:v>
      </x:c>
      <x:c r="D2883" s="2" t="str">
        <x:v>Completed</x:v>
      </x:c>
      <x:c r="E2883" s="2" t="str">
        <x:v>East</x:v>
      </x:c>
      <x:c r="F2883" s="2" t="str">
        <x:v>Store</x:v>
      </x:c>
      <x:c r="G2883" s="2" t="str">
        <x:v>Furniture</x:v>
      </x:c>
      <x:c r="H2883" s="2" t="str">
        <x:v>Chair 014</x:v>
      </x:c>
      <x:c r="I2883" s="11" t="n">
        <x:v>2</x:v>
      </x:c>
      <x:c r="J2883" s="9" t="n">
        <x:v>294</x:v>
      </x:c>
      <x:c r="K2883" s="10" t="n">
        <x:v>0.1</x:v>
      </x:c>
      <x:c r="L2883" s="11" t="n">
        <x:v>0</x:v>
      </x:c>
      <x:c r="M2883" s="9" t="n">
        <x:f>IF(D2883="Completed",I2883*J2883,0)</x:f>
        <x:v>588</x:v>
      </x:c>
      <x:c r="N2883" s="9" t="n">
        <x:f>M2883*K2883</x:f>
        <x:v>58.800000000000004</x:v>
      </x:c>
      <x:c r="O2883" s="9" t="n">
        <x:f>M2883-N2883</x:f>
        <x:v>529.2</x:v>
      </x:c>
      <x:c r="P2883" s="9" t="n">
        <x:f>IF(D2883="Completed",L2883*J2883*(1-K2883),0)</x:f>
        <x:v>0</x:v>
      </x:c>
      <x:c r="Q2883" s="9" t="n">
        <x:f>O2883-P2883</x:f>
        <x:v>529.2</x:v>
      </x:c>
      <x:c r="R2883" s="11" t="n">
        <x:f>IF(D2883="Completed",I2883,0)</x:f>
        <x:v>2</x:v>
      </x:c>
      <x:c r="S2883" s="11" t="n">
        <x:f>IF(D2883="Completed",L2883,0)</x:f>
        <x:v>0</x:v>
      </x:c>
      <x:c r="T2883" s="8" t="n">
        <x:f>DATE(YEAR(C2883),MONTH(C2883),1)</x:f>
        <x:v>45870</x:v>
      </x:c>
    </x:row>
    <x:row r="2884" ht="22" customHeight="1">
      <x:c r="A2884" s="2" t="str">
        <x:v>L002880</x:v>
      </x:c>
      <x:c r="B2884" s="2" t="str">
        <x:v>O01175</x:v>
      </x:c>
      <x:c r="C2884" s="7" t="n">
        <x:v>45780</x:v>
      </x:c>
      <x:c r="D2884" s="2" t="str">
        <x:v>Completed</x:v>
      </x:c>
      <x:c r="E2884" s="2" t="str">
        <x:v>North</x:v>
      </x:c>
      <x:c r="F2884" s="2" t="str">
        <x:v>Store</x:v>
      </x:c>
      <x:c r="G2884" s="2" t="str">
        <x:v>Lighting</x:v>
      </x:c>
      <x:c r="H2884" s="2" t="str">
        <x:v>Lamp 001</x:v>
      </x:c>
      <x:c r="I2884" s="11" t="n">
        <x:v>3</x:v>
      </x:c>
      <x:c r="J2884" s="9" t="n">
        <x:v>122</x:v>
      </x:c>
      <x:c r="K2884" s="10" t="n">
        <x:v>0</x:v>
      </x:c>
      <x:c r="L2884" s="11" t="n">
        <x:v>0</x:v>
      </x:c>
      <x:c r="M2884" s="9" t="n">
        <x:f>IF(D2884="Completed",I2884*J2884,0)</x:f>
        <x:v>366</x:v>
      </x:c>
      <x:c r="N2884" s="9" t="n">
        <x:f>M2884*K2884</x:f>
        <x:v>0</x:v>
      </x:c>
      <x:c r="O2884" s="9" t="n">
        <x:f>M2884-N2884</x:f>
        <x:v>366</x:v>
      </x:c>
      <x:c r="P2884" s="9" t="n">
        <x:f>IF(D2884="Completed",L2884*J2884*(1-K2884),0)</x:f>
        <x:v>0</x:v>
      </x:c>
      <x:c r="Q2884" s="9" t="n">
        <x:f>O2884-P2884</x:f>
        <x:v>366</x:v>
      </x:c>
      <x:c r="R2884" s="11" t="n">
        <x:f>IF(D2884="Completed",I2884,0)</x:f>
        <x:v>3</x:v>
      </x:c>
      <x:c r="S2884" s="11" t="n">
        <x:f>IF(D2884="Completed",L2884,0)</x:f>
        <x:v>0</x:v>
      </x:c>
      <x:c r="T2884" s="8" t="n">
        <x:f>DATE(YEAR(C2884),MONTH(C2884),1)</x:f>
        <x:v>45778</x:v>
      </x:c>
    </x:row>
    <x:row r="2885" ht="22" customHeight="1">
      <x:c r="A2885" s="2" t="str">
        <x:v>L002881</x:v>
      </x:c>
      <x:c r="B2885" s="2" t="str">
        <x:v>O01175</x:v>
      </x:c>
      <x:c r="C2885" s="7" t="n">
        <x:v>45780</x:v>
      </x:c>
      <x:c r="D2885" s="2" t="str">
        <x:v>Completed</x:v>
      </x:c>
      <x:c r="E2885" s="2" t="str">
        <x:v>North</x:v>
      </x:c>
      <x:c r="F2885" s="2" t="str">
        <x:v>Store</x:v>
      </x:c>
      <x:c r="G2885" s="2" t="str">
        <x:v>Lighting</x:v>
      </x:c>
      <x:c r="H2885" s="2" t="str">
        <x:v>Lamp 021</x:v>
      </x:c>
      <x:c r="I2885" s="11" t="n">
        <x:v>4</x:v>
      </x:c>
      <x:c r="J2885" s="9" t="n">
        <x:v>249</x:v>
      </x:c>
      <x:c r="K2885" s="10" t="n">
        <x:v>0</x:v>
      </x:c>
      <x:c r="L2885" s="11" t="n">
        <x:v>0</x:v>
      </x:c>
      <x:c r="M2885" s="9" t="n">
        <x:f>IF(D2885="Completed",I2885*J2885,0)</x:f>
        <x:v>996</x:v>
      </x:c>
      <x:c r="N2885" s="9" t="n">
        <x:f>M2885*K2885</x:f>
        <x:v>0</x:v>
      </x:c>
      <x:c r="O2885" s="9" t="n">
        <x:f>M2885-N2885</x:f>
        <x:v>996</x:v>
      </x:c>
      <x:c r="P2885" s="9" t="n">
        <x:f>IF(D2885="Completed",L2885*J2885*(1-K2885),0)</x:f>
        <x:v>0</x:v>
      </x:c>
      <x:c r="Q2885" s="9" t="n">
        <x:f>O2885-P2885</x:f>
        <x:v>996</x:v>
      </x:c>
      <x:c r="R2885" s="11" t="n">
        <x:f>IF(D2885="Completed",I2885,0)</x:f>
        <x:v>4</x:v>
      </x:c>
      <x:c r="S2885" s="11" t="n">
        <x:f>IF(D2885="Completed",L2885,0)</x:f>
        <x:v>0</x:v>
      </x:c>
      <x:c r="T2885" s="8" t="n">
        <x:f>DATE(YEAR(C2885),MONTH(C2885),1)</x:f>
        <x:v>45778</x:v>
      </x:c>
    </x:row>
    <x:row r="2886" ht="22" customHeight="1">
      <x:c r="A2886" s="2" t="str">
        <x:v>L002882</x:v>
      </x:c>
      <x:c r="B2886" s="2" t="str">
        <x:v>O01176</x:v>
      </x:c>
      <x:c r="C2886" s="7" t="n">
        <x:v>45874</x:v>
      </x:c>
      <x:c r="D2886" s="2" t="str">
        <x:v>Completed</x:v>
      </x:c>
      <x:c r="E2886" s="2" t="str">
        <x:v>North</x:v>
      </x:c>
      <x:c r="F2886" s="2" t="str">
        <x:v>Store</x:v>
      </x:c>
      <x:c r="G2886" s="2" t="str">
        <x:v>Furniture</x:v>
      </x:c>
      <x:c r="H2886" s="2" t="str">
        <x:v>Desk 004</x:v>
      </x:c>
      <x:c r="I2886" s="11" t="n">
        <x:v>3</x:v>
      </x:c>
      <x:c r="J2886" s="9" t="n">
        <x:v>123</x:v>
      </x:c>
      <x:c r="K2886" s="10" t="n">
        <x:v>0</x:v>
      </x:c>
      <x:c r="L2886" s="11" t="n">
        <x:v>0</x:v>
      </x:c>
      <x:c r="M2886" s="9" t="n">
        <x:f>IF(D2886="Completed",I2886*J2886,0)</x:f>
        <x:v>369</x:v>
      </x:c>
      <x:c r="N2886" s="9" t="n">
        <x:f>M2886*K2886</x:f>
        <x:v>0</x:v>
      </x:c>
      <x:c r="O2886" s="9" t="n">
        <x:f>M2886-N2886</x:f>
        <x:v>369</x:v>
      </x:c>
      <x:c r="P2886" s="9" t="n">
        <x:f>IF(D2886="Completed",L2886*J2886*(1-K2886),0)</x:f>
        <x:v>0</x:v>
      </x:c>
      <x:c r="Q2886" s="9" t="n">
        <x:f>O2886-P2886</x:f>
        <x:v>369</x:v>
      </x:c>
      <x:c r="R2886" s="11" t="n">
        <x:f>IF(D2886="Completed",I2886,0)</x:f>
        <x:v>3</x:v>
      </x:c>
      <x:c r="S2886" s="11" t="n">
        <x:f>IF(D2886="Completed",L2886,0)</x:f>
        <x:v>0</x:v>
      </x:c>
      <x:c r="T2886" s="8" t="n">
        <x:f>DATE(YEAR(C2886),MONTH(C2886),1)</x:f>
        <x:v>45870</x:v>
      </x:c>
    </x:row>
    <x:row r="2887" ht="22" customHeight="1">
      <x:c r="A2887" s="2" t="str">
        <x:v>L002883</x:v>
      </x:c>
      <x:c r="B2887" s="2" t="str">
        <x:v>O01176</x:v>
      </x:c>
      <x:c r="C2887" s="7" t="n">
        <x:v>45874</x:v>
      </x:c>
      <x:c r="D2887" s="2" t="str">
        <x:v>Completed</x:v>
      </x:c>
      <x:c r="E2887" s="2" t="str">
        <x:v>North</x:v>
      </x:c>
      <x:c r="F2887" s="2" t="str">
        <x:v>Store</x:v>
      </x:c>
      <x:c r="G2887" s="2" t="str">
        <x:v>Furniture</x:v>
      </x:c>
      <x:c r="H2887" s="2" t="str">
        <x:v>Chair 010</x:v>
      </x:c>
      <x:c r="I2887" s="11" t="n">
        <x:v>4</x:v>
      </x:c>
      <x:c r="J2887" s="9" t="n">
        <x:v>211</x:v>
      </x:c>
      <x:c r="K2887" s="10" t="n">
        <x:v>0.2</x:v>
      </x:c>
      <x:c r="L2887" s="11" t="n">
        <x:v>0</x:v>
      </x:c>
      <x:c r="M2887" s="9" t="n">
        <x:f>IF(D2887="Completed",I2887*J2887,0)</x:f>
        <x:v>844</x:v>
      </x:c>
      <x:c r="N2887" s="9" t="n">
        <x:f>M2887*K2887</x:f>
        <x:v>168.8</x:v>
      </x:c>
      <x:c r="O2887" s="9" t="n">
        <x:f>M2887-N2887</x:f>
        <x:v>675.2</x:v>
      </x:c>
      <x:c r="P2887" s="9" t="n">
        <x:f>IF(D2887="Completed",L2887*J2887*(1-K2887),0)</x:f>
        <x:v>0</x:v>
      </x:c>
      <x:c r="Q2887" s="9" t="n">
        <x:f>O2887-P2887</x:f>
        <x:v>675.2</x:v>
      </x:c>
      <x:c r="R2887" s="11" t="n">
        <x:f>IF(D2887="Completed",I2887,0)</x:f>
        <x:v>4</x:v>
      </x:c>
      <x:c r="S2887" s="11" t="n">
        <x:f>IF(D2887="Completed",L2887,0)</x:f>
        <x:v>0</x:v>
      </x:c>
      <x:c r="T2887" s="8" t="n">
        <x:f>DATE(YEAR(C2887),MONTH(C2887),1)</x:f>
        <x:v>45870</x:v>
      </x:c>
    </x:row>
    <x:row r="2888" ht="22" customHeight="1">
      <x:c r="A2888" s="2" t="str">
        <x:v>L002884</x:v>
      </x:c>
      <x:c r="B2888" s="2" t="str">
        <x:v>O01176</x:v>
      </x:c>
      <x:c r="C2888" s="7" t="n">
        <x:v>45874</x:v>
      </x:c>
      <x:c r="D2888" s="2" t="str">
        <x:v>Completed</x:v>
      </x:c>
      <x:c r="E2888" s="2" t="str">
        <x:v>North</x:v>
      </x:c>
      <x:c r="F2888" s="2" t="str">
        <x:v>Store</x:v>
      </x:c>
      <x:c r="G2888" s="2" t="str">
        <x:v>Lighting</x:v>
      </x:c>
      <x:c r="H2888" s="2" t="str">
        <x:v>Lamp 001</x:v>
      </x:c>
      <x:c r="I2888" s="11" t="n">
        <x:v>2</x:v>
      </x:c>
      <x:c r="J2888" s="9" t="n">
        <x:v>122</x:v>
      </x:c>
      <x:c r="K2888" s="10" t="n">
        <x:v>0</x:v>
      </x:c>
      <x:c r="L2888" s="11" t="n">
        <x:v>0</x:v>
      </x:c>
      <x:c r="M2888" s="9" t="n">
        <x:f>IF(D2888="Completed",I2888*J2888,0)</x:f>
        <x:v>244</x:v>
      </x:c>
      <x:c r="N2888" s="9" t="n">
        <x:f>M2888*K2888</x:f>
        <x:v>0</x:v>
      </x:c>
      <x:c r="O2888" s="9" t="n">
        <x:f>M2888-N2888</x:f>
        <x:v>244</x:v>
      </x:c>
      <x:c r="P2888" s="9" t="n">
        <x:f>IF(D2888="Completed",L2888*J2888*(1-K2888),0)</x:f>
        <x:v>0</x:v>
      </x:c>
      <x:c r="Q2888" s="9" t="n">
        <x:f>O2888-P2888</x:f>
        <x:v>244</x:v>
      </x:c>
      <x:c r="R2888" s="11" t="n">
        <x:f>IF(D2888="Completed",I2888,0)</x:f>
        <x:v>2</x:v>
      </x:c>
      <x:c r="S2888" s="11" t="n">
        <x:f>IF(D2888="Completed",L2888,0)</x:f>
        <x:v>0</x:v>
      </x:c>
      <x:c r="T2888" s="8" t="n">
        <x:f>DATE(YEAR(C2888),MONTH(C2888),1)</x:f>
        <x:v>45870</x:v>
      </x:c>
    </x:row>
    <x:row r="2889" ht="22" customHeight="1">
      <x:c r="A2889" s="2" t="str">
        <x:v>L002885</x:v>
      </x:c>
      <x:c r="B2889" s="2" t="str">
        <x:v>O01177</x:v>
      </x:c>
      <x:c r="C2889" s="7" t="n">
        <x:v>45893</x:v>
      </x:c>
      <x:c r="D2889" s="2" t="str">
        <x:v>Completed</x:v>
      </x:c>
      <x:c r="E2889" s="2" t="str">
        <x:v>West</x:v>
      </x:c>
      <x:c r="F2889" s="2" t="str">
        <x:v>Online</x:v>
      </x:c>
      <x:c r="G2889" s="2" t="str">
        <x:v>Lighting</x:v>
      </x:c>
      <x:c r="H2889" s="2" t="str">
        <x:v>Lamp 021</x:v>
      </x:c>
      <x:c r="I2889" s="11" t="n">
        <x:v>1</x:v>
      </x:c>
      <x:c r="J2889" s="9" t="n">
        <x:v>249</x:v>
      </x:c>
      <x:c r="K2889" s="10" t="n">
        <x:v>0.2</x:v>
      </x:c>
      <x:c r="L2889" s="11" t="n">
        <x:v>1</x:v>
      </x:c>
      <x:c r="M2889" s="9" t="n">
        <x:f>IF(D2889="Completed",I2889*J2889,0)</x:f>
        <x:v>249</x:v>
      </x:c>
      <x:c r="N2889" s="9" t="n">
        <x:f>M2889*K2889</x:f>
        <x:v>49.800000000000004</x:v>
      </x:c>
      <x:c r="O2889" s="9" t="n">
        <x:f>M2889-N2889</x:f>
        <x:v>199.2</x:v>
      </x:c>
      <x:c r="P2889" s="9" t="n">
        <x:f>IF(D2889="Completed",L2889*J2889*(1-K2889),0)</x:f>
        <x:v>199.20000000000002</x:v>
      </x:c>
      <x:c r="Q2889" s="9" t="n">
        <x:f>O2889-P2889</x:f>
        <x:v>-2.842170943040401e-14</x:v>
      </x:c>
      <x:c r="R2889" s="11" t="n">
        <x:f>IF(D2889="Completed",I2889,0)</x:f>
        <x:v>1</x:v>
      </x:c>
      <x:c r="S2889" s="11" t="n">
        <x:f>IF(D2889="Completed",L2889,0)</x:f>
        <x:v>1</x:v>
      </x:c>
      <x:c r="T2889" s="8" t="n">
        <x:f>DATE(YEAR(C2889),MONTH(C2889),1)</x:f>
        <x:v>45870</x:v>
      </x:c>
    </x:row>
    <x:row r="2890" ht="22" customHeight="1">
      <x:c r="A2890" s="2" t="str">
        <x:v>L002886</x:v>
      </x:c>
      <x:c r="B2890" s="2" t="str">
        <x:v>O01177</x:v>
      </x:c>
      <x:c r="C2890" s="7" t="n">
        <x:v>45893</x:v>
      </x:c>
      <x:c r="D2890" s="2" t="str">
        <x:v>Completed</x:v>
      </x:c>
      <x:c r="E2890" s="2" t="str">
        <x:v>West</x:v>
      </x:c>
      <x:c r="F2890" s="2" t="str">
        <x:v>Online</x:v>
      </x:c>
      <x:c r="G2890" s="2" t="str">
        <x:v>Lighting</x:v>
      </x:c>
      <x:c r="H2890" s="2" t="str">
        <x:v>Lamp 013</x:v>
      </x:c>
      <x:c r="I2890" s="11" t="n">
        <x:v>4</x:v>
      </x:c>
      <x:c r="J2890" s="9" t="n">
        <x:v>271</x:v>
      </x:c>
      <x:c r="K2890" s="10" t="n">
        <x:v>0.05</x:v>
      </x:c>
      <x:c r="L2890" s="11" t="n">
        <x:v>0</x:v>
      </x:c>
      <x:c r="M2890" s="9" t="n">
        <x:f>IF(D2890="Completed",I2890*J2890,0)</x:f>
        <x:v>1084</x:v>
      </x:c>
      <x:c r="N2890" s="9" t="n">
        <x:f>M2890*K2890</x:f>
        <x:v>54.2</x:v>
      </x:c>
      <x:c r="O2890" s="9" t="n">
        <x:f>M2890-N2890</x:f>
        <x:v>1029.8</x:v>
      </x:c>
      <x:c r="P2890" s="9" t="n">
        <x:f>IF(D2890="Completed",L2890*J2890*(1-K2890),0)</x:f>
        <x:v>0</x:v>
      </x:c>
      <x:c r="Q2890" s="9" t="n">
        <x:f>O2890-P2890</x:f>
        <x:v>1029.8</x:v>
      </x:c>
      <x:c r="R2890" s="11" t="n">
        <x:f>IF(D2890="Completed",I2890,0)</x:f>
        <x:v>4</x:v>
      </x:c>
      <x:c r="S2890" s="11" t="n">
        <x:f>IF(D2890="Completed",L2890,0)</x:f>
        <x:v>0</x:v>
      </x:c>
      <x:c r="T2890" s="8" t="n">
        <x:f>DATE(YEAR(C2890),MONTH(C2890),1)</x:f>
        <x:v>45870</x:v>
      </x:c>
    </x:row>
    <x:row r="2891" ht="22" customHeight="1">
      <x:c r="A2891" s="2" t="str">
        <x:v>L002887</x:v>
      </x:c>
      <x:c r="B2891" s="2" t="str">
        <x:v>O01178</x:v>
      </x:c>
      <x:c r="C2891" s="7" t="n">
        <x:v>45943</x:v>
      </x:c>
      <x:c r="D2891" s="2" t="str">
        <x:v>Completed</x:v>
      </x:c>
      <x:c r="E2891" s="2" t="str">
        <x:v>West</x:v>
      </x:c>
      <x:c r="F2891" s="2" t="str">
        <x:v>Store</x:v>
      </x:c>
      <x:c r="G2891" s="2" t="str">
        <x:v>Furniture</x:v>
      </x:c>
      <x:c r="H2891" s="2" t="str">
        <x:v>Chair 022</x:v>
      </x:c>
      <x:c r="I2891" s="11" t="n">
        <x:v>1</x:v>
      </x:c>
      <x:c r="J2891" s="9" t="n">
        <x:v>134</x:v>
      </x:c>
      <x:c r="K2891" s="10" t="n">
        <x:v>0.2</x:v>
      </x:c>
      <x:c r="L2891" s="11" t="n">
        <x:v>0</x:v>
      </x:c>
      <x:c r="M2891" s="9" t="n">
        <x:f>IF(D2891="Completed",I2891*J2891,0)</x:f>
        <x:v>134</x:v>
      </x:c>
      <x:c r="N2891" s="9" t="n">
        <x:f>M2891*K2891</x:f>
        <x:v>26.8</x:v>
      </x:c>
      <x:c r="O2891" s="9" t="n">
        <x:f>M2891-N2891</x:f>
        <x:v>107.2</x:v>
      </x:c>
      <x:c r="P2891" s="9" t="n">
        <x:f>IF(D2891="Completed",L2891*J2891*(1-K2891),0)</x:f>
        <x:v>0</x:v>
      </x:c>
      <x:c r="Q2891" s="9" t="n">
        <x:f>O2891-P2891</x:f>
        <x:v>107.2</x:v>
      </x:c>
      <x:c r="R2891" s="11" t="n">
        <x:f>IF(D2891="Completed",I2891,0)</x:f>
        <x:v>1</x:v>
      </x:c>
      <x:c r="S2891" s="11" t="n">
        <x:f>IF(D2891="Completed",L2891,0)</x:f>
        <x:v>0</x:v>
      </x:c>
      <x:c r="T2891" s="8" t="n">
        <x:f>DATE(YEAR(C2891),MONTH(C2891),1)</x:f>
        <x:v>45931</x:v>
      </x:c>
    </x:row>
    <x:row r="2892" ht="22" customHeight="1">
      <x:c r="A2892" s="2" t="str">
        <x:v>L002888</x:v>
      </x:c>
      <x:c r="B2892" s="2" t="str">
        <x:v>O01178</x:v>
      </x:c>
      <x:c r="C2892" s="7" t="n">
        <x:v>45943</x:v>
      </x:c>
      <x:c r="D2892" s="2" t="str">
        <x:v>Completed</x:v>
      </x:c>
      <x:c r="E2892" s="2" t="str">
        <x:v>West</x:v>
      </x:c>
      <x:c r="F2892" s="2" t="str">
        <x:v>Store</x:v>
      </x:c>
      <x:c r="G2892" s="2" t="str">
        <x:v>Furniture</x:v>
      </x:c>
      <x:c r="H2892" s="2" t="str">
        <x:v>Chair 002</x:v>
      </x:c>
      <x:c r="I2892" s="11" t="n">
        <x:v>1</x:v>
      </x:c>
      <x:c r="J2892" s="9" t="n">
        <x:v>284</x:v>
      </x:c>
      <x:c r="K2892" s="10" t="n">
        <x:v>0</x:v>
      </x:c>
      <x:c r="L2892" s="11" t="n">
        <x:v>0</x:v>
      </x:c>
      <x:c r="M2892" s="9" t="n">
        <x:f>IF(D2892="Completed",I2892*J2892,0)</x:f>
        <x:v>284</x:v>
      </x:c>
      <x:c r="N2892" s="9" t="n">
        <x:f>M2892*K2892</x:f>
        <x:v>0</x:v>
      </x:c>
      <x:c r="O2892" s="9" t="n">
        <x:f>M2892-N2892</x:f>
        <x:v>284</x:v>
      </x:c>
      <x:c r="P2892" s="9" t="n">
        <x:f>IF(D2892="Completed",L2892*J2892*(1-K2892),0)</x:f>
        <x:v>0</x:v>
      </x:c>
      <x:c r="Q2892" s="9" t="n">
        <x:f>O2892-P2892</x:f>
        <x:v>284</x:v>
      </x:c>
      <x:c r="R2892" s="11" t="n">
        <x:f>IF(D2892="Completed",I2892,0)</x:f>
        <x:v>1</x:v>
      </x:c>
      <x:c r="S2892" s="11" t="n">
        <x:f>IF(D2892="Completed",L2892,0)</x:f>
        <x:v>0</x:v>
      </x:c>
      <x:c r="T2892" s="8" t="n">
        <x:f>DATE(YEAR(C2892),MONTH(C2892),1)</x:f>
        <x:v>45931</x:v>
      </x:c>
    </x:row>
    <x:row r="2893" ht="22" customHeight="1">
      <x:c r="A2893" s="2" t="str">
        <x:v>L002889</x:v>
      </x:c>
      <x:c r="B2893" s="2" t="str">
        <x:v>O01178</x:v>
      </x:c>
      <x:c r="C2893" s="7" t="n">
        <x:v>45943</x:v>
      </x:c>
      <x:c r="D2893" s="2" t="str">
        <x:v>Completed</x:v>
      </x:c>
      <x:c r="E2893" s="2" t="str">
        <x:v>West</x:v>
      </x:c>
      <x:c r="F2893" s="2" t="str">
        <x:v>Store</x:v>
      </x:c>
      <x:c r="G2893" s="2" t="str">
        <x:v>Furniture</x:v>
      </x:c>
      <x:c r="H2893" s="2" t="str">
        <x:v>Desk 024</x:v>
      </x:c>
      <x:c r="I2893" s="11" t="n">
        <x:v>1</x:v>
      </x:c>
      <x:c r="J2893" s="9" t="n">
        <x:v>81</x:v>
      </x:c>
      <x:c r="K2893" s="10" t="n">
        <x:v>0.1</x:v>
      </x:c>
      <x:c r="L2893" s="11" t="n">
        <x:v>0</x:v>
      </x:c>
      <x:c r="M2893" s="9" t="n">
        <x:f>IF(D2893="Completed",I2893*J2893,0)</x:f>
        <x:v>81</x:v>
      </x:c>
      <x:c r="N2893" s="9" t="n">
        <x:f>M2893*K2893</x:f>
        <x:v>8.1</x:v>
      </x:c>
      <x:c r="O2893" s="9" t="n">
        <x:f>M2893-N2893</x:f>
        <x:v>72.9</x:v>
      </x:c>
      <x:c r="P2893" s="9" t="n">
        <x:f>IF(D2893="Completed",L2893*J2893*(1-K2893),0)</x:f>
        <x:v>0</x:v>
      </x:c>
      <x:c r="Q2893" s="9" t="n">
        <x:f>O2893-P2893</x:f>
        <x:v>72.9</x:v>
      </x:c>
      <x:c r="R2893" s="11" t="n">
        <x:f>IF(D2893="Completed",I2893,0)</x:f>
        <x:v>1</x:v>
      </x:c>
      <x:c r="S2893" s="11" t="n">
        <x:f>IF(D2893="Completed",L2893,0)</x:f>
        <x:v>0</x:v>
      </x:c>
      <x:c r="T2893" s="8" t="n">
        <x:f>DATE(YEAR(C2893),MONTH(C2893),1)</x:f>
        <x:v>45931</x:v>
      </x:c>
    </x:row>
    <x:row r="2894" ht="22" customHeight="1">
      <x:c r="A2894" s="2" t="str">
        <x:v>L002890</x:v>
      </x:c>
      <x:c r="B2894" s="2" t="str">
        <x:v>O01179</x:v>
      </x:c>
      <x:c r="C2894" s="7" t="n">
        <x:v>45765</x:v>
      </x:c>
      <x:c r="D2894" s="2" t="str">
        <x:v>Completed</x:v>
      </x:c>
      <x:c r="E2894" s="2" t="str">
        <x:v>West</x:v>
      </x:c>
      <x:c r="F2894" s="2" t="str">
        <x:v>Online</x:v>
      </x:c>
      <x:c r="G2894" s="2" t="str">
        <x:v>Furniture</x:v>
      </x:c>
      <x:c r="H2894" s="2" t="str">
        <x:v>Chair 018</x:v>
      </x:c>
      <x:c r="I2894" s="11" t="n">
        <x:v>3</x:v>
      </x:c>
      <x:c r="J2894" s="9" t="n">
        <x:v>269</x:v>
      </x:c>
      <x:c r="K2894" s="10" t="n">
        <x:v>0</x:v>
      </x:c>
      <x:c r="L2894" s="11" t="n">
        <x:v>0</x:v>
      </x:c>
      <x:c r="M2894" s="9" t="n">
        <x:f>IF(D2894="Completed",I2894*J2894,0)</x:f>
        <x:v>807</x:v>
      </x:c>
      <x:c r="N2894" s="9" t="n">
        <x:f>M2894*K2894</x:f>
        <x:v>0</x:v>
      </x:c>
      <x:c r="O2894" s="9" t="n">
        <x:f>M2894-N2894</x:f>
        <x:v>807</x:v>
      </x:c>
      <x:c r="P2894" s="9" t="n">
        <x:f>IF(D2894="Completed",L2894*J2894*(1-K2894),0)</x:f>
        <x:v>0</x:v>
      </x:c>
      <x:c r="Q2894" s="9" t="n">
        <x:f>O2894-P2894</x:f>
        <x:v>807</x:v>
      </x:c>
      <x:c r="R2894" s="11" t="n">
        <x:f>IF(D2894="Completed",I2894,0)</x:f>
        <x:v>3</x:v>
      </x:c>
      <x:c r="S2894" s="11" t="n">
        <x:f>IF(D2894="Completed",L2894,0)</x:f>
        <x:v>0</x:v>
      </x:c>
      <x:c r="T2894" s="8" t="n">
        <x:f>DATE(YEAR(C2894),MONTH(C2894),1)</x:f>
        <x:v>45748</x:v>
      </x:c>
    </x:row>
    <x:row r="2895" ht="22" customHeight="1">
      <x:c r="A2895" s="2" t="str">
        <x:v>L002891</x:v>
      </x:c>
      <x:c r="B2895" s="2" t="str">
        <x:v>O01179</x:v>
      </x:c>
      <x:c r="C2895" s="7" t="n">
        <x:v>45765</x:v>
      </x:c>
      <x:c r="D2895" s="2" t="str">
        <x:v>Completed</x:v>
      </x:c>
      <x:c r="E2895" s="2" t="str">
        <x:v>West</x:v>
      </x:c>
      <x:c r="F2895" s="2" t="str">
        <x:v>Online</x:v>
      </x:c>
      <x:c r="G2895" s="2" t="str">
        <x:v>Furniture</x:v>
      </x:c>
      <x:c r="H2895" s="2" t="str">
        <x:v>Chair 022</x:v>
      </x:c>
      <x:c r="I2895" s="11" t="n">
        <x:v>1</x:v>
      </x:c>
      <x:c r="J2895" s="9" t="n">
        <x:v>134</x:v>
      </x:c>
      <x:c r="K2895" s="10" t="n">
        <x:v>0.05</x:v>
      </x:c>
      <x:c r="L2895" s="11" t="n">
        <x:v>0</x:v>
      </x:c>
      <x:c r="M2895" s="9" t="n">
        <x:f>IF(D2895="Completed",I2895*J2895,0)</x:f>
        <x:v>134</x:v>
      </x:c>
      <x:c r="N2895" s="9" t="n">
        <x:f>M2895*K2895</x:f>
        <x:v>6.7</x:v>
      </x:c>
      <x:c r="O2895" s="9" t="n">
        <x:f>M2895-N2895</x:f>
        <x:v>127.3</x:v>
      </x:c>
      <x:c r="P2895" s="9" t="n">
        <x:f>IF(D2895="Completed",L2895*J2895*(1-K2895),0)</x:f>
        <x:v>0</x:v>
      </x:c>
      <x:c r="Q2895" s="9" t="n">
        <x:f>O2895-P2895</x:f>
        <x:v>127.3</x:v>
      </x:c>
      <x:c r="R2895" s="11" t="n">
        <x:f>IF(D2895="Completed",I2895,0)</x:f>
        <x:v>1</x:v>
      </x:c>
      <x:c r="S2895" s="11" t="n">
        <x:f>IF(D2895="Completed",L2895,0)</x:f>
        <x:v>0</x:v>
      </x:c>
      <x:c r="T2895" s="8" t="n">
        <x:f>DATE(YEAR(C2895),MONTH(C2895),1)</x:f>
        <x:v>45748</x:v>
      </x:c>
    </x:row>
    <x:row r="2896" ht="22" customHeight="1">
      <x:c r="A2896" s="2" t="str">
        <x:v>L002892</x:v>
      </x:c>
      <x:c r="B2896" s="2" t="str">
        <x:v>O01179</x:v>
      </x:c>
      <x:c r="C2896" s="7" t="n">
        <x:v>45765</x:v>
      </x:c>
      <x:c r="D2896" s="2" t="str">
        <x:v>Completed</x:v>
      </x:c>
      <x:c r="E2896" s="2" t="str">
        <x:v>West</x:v>
      </x:c>
      <x:c r="F2896" s="2" t="str">
        <x:v>Online</x:v>
      </x:c>
      <x:c r="G2896" s="2" t="str">
        <x:v>Storage</x:v>
      </x:c>
      <x:c r="H2896" s="2" t="str">
        <x:v>Shelf 003</x:v>
      </x:c>
      <x:c r="I2896" s="11" t="n">
        <x:v>3</x:v>
      </x:c>
      <x:c r="J2896" s="9" t="n">
        <x:v>199</x:v>
      </x:c>
      <x:c r="K2896" s="10" t="n">
        <x:v>0.2</x:v>
      </x:c>
      <x:c r="L2896" s="11" t="n">
        <x:v>0</x:v>
      </x:c>
      <x:c r="M2896" s="9" t="n">
        <x:f>IF(D2896="Completed",I2896*J2896,0)</x:f>
        <x:v>597</x:v>
      </x:c>
      <x:c r="N2896" s="9" t="n">
        <x:f>M2896*K2896</x:f>
        <x:v>119.4</x:v>
      </x:c>
      <x:c r="O2896" s="9" t="n">
        <x:f>M2896-N2896</x:f>
        <x:v>477.6</x:v>
      </x:c>
      <x:c r="P2896" s="9" t="n">
        <x:f>IF(D2896="Completed",L2896*J2896*(1-K2896),0)</x:f>
        <x:v>0</x:v>
      </x:c>
      <x:c r="Q2896" s="9" t="n">
        <x:f>O2896-P2896</x:f>
        <x:v>477.6</x:v>
      </x:c>
      <x:c r="R2896" s="11" t="n">
        <x:f>IF(D2896="Completed",I2896,0)</x:f>
        <x:v>3</x:v>
      </x:c>
      <x:c r="S2896" s="11" t="n">
        <x:f>IF(D2896="Completed",L2896,0)</x:f>
        <x:v>0</x:v>
      </x:c>
      <x:c r="T2896" s="8" t="n">
        <x:f>DATE(YEAR(C2896),MONTH(C2896),1)</x:f>
        <x:v>45748</x:v>
      </x:c>
    </x:row>
    <x:row r="2897" ht="22" customHeight="1">
      <x:c r="A2897" s="2" t="str">
        <x:v>L002893</x:v>
      </x:c>
      <x:c r="B2897" s="2" t="str">
        <x:v>O01179</x:v>
      </x:c>
      <x:c r="C2897" s="7" t="n">
        <x:v>45765</x:v>
      </x:c>
      <x:c r="D2897" s="2" t="str">
        <x:v>Completed</x:v>
      </x:c>
      <x:c r="E2897" s="2" t="str">
        <x:v>West</x:v>
      </x:c>
      <x:c r="F2897" s="2" t="str">
        <x:v>Online</x:v>
      </x:c>
      <x:c r="G2897" s="2" t="str">
        <x:v>Storage</x:v>
      </x:c>
      <x:c r="H2897" s="2" t="str">
        <x:v>Shelf 003</x:v>
      </x:c>
      <x:c r="I2897" s="11" t="n">
        <x:v>1</x:v>
      </x:c>
      <x:c r="J2897" s="9" t="n">
        <x:v>199</x:v>
      </x:c>
      <x:c r="K2897" s="10" t="n">
        <x:v>0.1</x:v>
      </x:c>
      <x:c r="L2897" s="11" t="n">
        <x:v>0</x:v>
      </x:c>
      <x:c r="M2897" s="9" t="n">
        <x:f>IF(D2897="Completed",I2897*J2897,0)</x:f>
        <x:v>199</x:v>
      </x:c>
      <x:c r="N2897" s="9" t="n">
        <x:f>M2897*K2897</x:f>
        <x:v>19.900000000000002</x:v>
      </x:c>
      <x:c r="O2897" s="9" t="n">
        <x:f>M2897-N2897</x:f>
        <x:v>179.1</x:v>
      </x:c>
      <x:c r="P2897" s="9" t="n">
        <x:f>IF(D2897="Completed",L2897*J2897*(1-K2897),0)</x:f>
        <x:v>0</x:v>
      </x:c>
      <x:c r="Q2897" s="9" t="n">
        <x:f>O2897-P2897</x:f>
        <x:v>179.1</x:v>
      </x:c>
      <x:c r="R2897" s="11" t="n">
        <x:f>IF(D2897="Completed",I2897,0)</x:f>
        <x:v>1</x:v>
      </x:c>
      <x:c r="S2897" s="11" t="n">
        <x:f>IF(D2897="Completed",L2897,0)</x:f>
        <x:v>0</x:v>
      </x:c>
      <x:c r="T2897" s="8" t="n">
        <x:f>DATE(YEAR(C2897),MONTH(C2897),1)</x:f>
        <x:v>45748</x:v>
      </x:c>
    </x:row>
    <x:row r="2898" ht="22" customHeight="1">
      <x:c r="A2898" s="2" t="str">
        <x:v>L002894</x:v>
      </x:c>
      <x:c r="B2898" s="2" t="str">
        <x:v>O01180</x:v>
      </x:c>
      <x:c r="C2898" s="7" t="n">
        <x:v>45839</x:v>
      </x:c>
      <x:c r="D2898" s="2" t="str">
        <x:v>Completed</x:v>
      </x:c>
      <x:c r="E2898" s="2" t="str">
        <x:v>South</x:v>
      </x:c>
      <x:c r="F2898" s="2" t="str">
        <x:v>Store</x:v>
      </x:c>
      <x:c r="G2898" s="2" t="str">
        <x:v>Lighting</x:v>
      </x:c>
      <x:c r="H2898" s="2" t="str">
        <x:v>Lamp 001</x:v>
      </x:c>
      <x:c r="I2898" s="11" t="n">
        <x:v>4</x:v>
      </x:c>
      <x:c r="J2898" s="9" t="n">
        <x:v>122</x:v>
      </x:c>
      <x:c r="K2898" s="10" t="n">
        <x:v>0.05</x:v>
      </x:c>
      <x:c r="L2898" s="11" t="n">
        <x:v>0</x:v>
      </x:c>
      <x:c r="M2898" s="9" t="n">
        <x:f>IF(D2898="Completed",I2898*J2898,0)</x:f>
        <x:v>488</x:v>
      </x:c>
      <x:c r="N2898" s="9" t="n">
        <x:f>M2898*K2898</x:f>
        <x:v>24.400000000000002</x:v>
      </x:c>
      <x:c r="O2898" s="9" t="n">
        <x:f>M2898-N2898</x:f>
        <x:v>463.6</x:v>
      </x:c>
      <x:c r="P2898" s="9" t="n">
        <x:f>IF(D2898="Completed",L2898*J2898*(1-K2898),0)</x:f>
        <x:v>0</x:v>
      </x:c>
      <x:c r="Q2898" s="9" t="n">
        <x:f>O2898-P2898</x:f>
        <x:v>463.6</x:v>
      </x:c>
      <x:c r="R2898" s="11" t="n">
        <x:f>IF(D2898="Completed",I2898,0)</x:f>
        <x:v>4</x:v>
      </x:c>
      <x:c r="S2898" s="11" t="n">
        <x:f>IF(D2898="Completed",L2898,0)</x:f>
        <x:v>0</x:v>
      </x:c>
      <x:c r="T2898" s="8" t="n">
        <x:f>DATE(YEAR(C2898),MONTH(C2898),1)</x:f>
        <x:v>45839</x:v>
      </x:c>
    </x:row>
    <x:row r="2899" ht="22" customHeight="1">
      <x:c r="A2899" s="2" t="str">
        <x:v>L002895</x:v>
      </x:c>
      <x:c r="B2899" s="2" t="str">
        <x:v>O01181</x:v>
      </x:c>
      <x:c r="C2899" s="7" t="n">
        <x:v>45998</x:v>
      </x:c>
      <x:c r="D2899" s="2" t="str">
        <x:v>Completed</x:v>
      </x:c>
      <x:c r="E2899" s="2" t="str">
        <x:v>East</x:v>
      </x:c>
      <x:c r="F2899" s="2" t="str">
        <x:v>Online</x:v>
      </x:c>
      <x:c r="G2899" s="2" t="str">
        <x:v>Furniture</x:v>
      </x:c>
      <x:c r="H2899" s="2" t="str">
        <x:v>Chair 006</x:v>
      </x:c>
      <x:c r="I2899" s="11" t="n">
        <x:v>5</x:v>
      </x:c>
      <x:c r="J2899" s="9" t="n">
        <x:v>196</x:v>
      </x:c>
      <x:c r="K2899" s="10" t="n">
        <x:v>0.05</x:v>
      </x:c>
      <x:c r="L2899" s="11" t="n">
        <x:v>0</x:v>
      </x:c>
      <x:c r="M2899" s="9" t="n">
        <x:f>IF(D2899="Completed",I2899*J2899,0)</x:f>
        <x:v>980</x:v>
      </x:c>
      <x:c r="N2899" s="9" t="n">
        <x:f>M2899*K2899</x:f>
        <x:v>49</x:v>
      </x:c>
      <x:c r="O2899" s="9" t="n">
        <x:f>M2899-N2899</x:f>
        <x:v>931</x:v>
      </x:c>
      <x:c r="P2899" s="9" t="n">
        <x:f>IF(D2899="Completed",L2899*J2899*(1-K2899),0)</x:f>
        <x:v>0</x:v>
      </x:c>
      <x:c r="Q2899" s="9" t="n">
        <x:f>O2899-P2899</x:f>
        <x:v>931</x:v>
      </x:c>
      <x:c r="R2899" s="11" t="n">
        <x:f>IF(D2899="Completed",I2899,0)</x:f>
        <x:v>5</x:v>
      </x:c>
      <x:c r="S2899" s="11" t="n">
        <x:f>IF(D2899="Completed",L2899,0)</x:f>
        <x:v>0</x:v>
      </x:c>
      <x:c r="T2899" s="8" t="n">
        <x:f>DATE(YEAR(C2899),MONTH(C2899),1)</x:f>
        <x:v>45992</x:v>
      </x:c>
    </x:row>
    <x:row r="2900" ht="22" customHeight="1">
      <x:c r="A2900" s="2" t="str">
        <x:v>L002896</x:v>
      </x:c>
      <x:c r="B2900" s="2" t="str">
        <x:v>O01181</x:v>
      </x:c>
      <x:c r="C2900" s="7" t="n">
        <x:v>45998</x:v>
      </x:c>
      <x:c r="D2900" s="2" t="str">
        <x:v>Completed</x:v>
      </x:c>
      <x:c r="E2900" s="2" t="str">
        <x:v>East</x:v>
      </x:c>
      <x:c r="F2900" s="2" t="str">
        <x:v>Online</x:v>
      </x:c>
      <x:c r="G2900" s="2" t="str">
        <x:v>Lighting</x:v>
      </x:c>
      <x:c r="H2900" s="2" t="str">
        <x:v>Lamp 017</x:v>
      </x:c>
      <x:c r="I2900" s="11" t="n">
        <x:v>3</x:v>
      </x:c>
      <x:c r="J2900" s="9" t="n">
        <x:v>300</x:v>
      </x:c>
      <x:c r="K2900" s="10" t="n">
        <x:v>0</x:v>
      </x:c>
      <x:c r="L2900" s="11" t="n">
        <x:v>0</x:v>
      </x:c>
      <x:c r="M2900" s="9" t="n">
        <x:f>IF(D2900="Completed",I2900*J2900,0)</x:f>
        <x:v>900</x:v>
      </x:c>
      <x:c r="N2900" s="9" t="n">
        <x:f>M2900*K2900</x:f>
        <x:v>0</x:v>
      </x:c>
      <x:c r="O2900" s="9" t="n">
        <x:f>M2900-N2900</x:f>
        <x:v>900</x:v>
      </x:c>
      <x:c r="P2900" s="9" t="n">
        <x:f>IF(D2900="Completed",L2900*J2900*(1-K2900),0)</x:f>
        <x:v>0</x:v>
      </x:c>
      <x:c r="Q2900" s="9" t="n">
        <x:f>O2900-P2900</x:f>
        <x:v>900</x:v>
      </x:c>
      <x:c r="R2900" s="11" t="n">
        <x:f>IF(D2900="Completed",I2900,0)</x:f>
        <x:v>3</x:v>
      </x:c>
      <x:c r="S2900" s="11" t="n">
        <x:f>IF(D2900="Completed",L2900,0)</x:f>
        <x:v>0</x:v>
      </x:c>
      <x:c r="T2900" s="8" t="n">
        <x:f>DATE(YEAR(C2900),MONTH(C2900),1)</x:f>
        <x:v>45992</x:v>
      </x:c>
    </x:row>
    <x:row r="2901" ht="22" customHeight="1">
      <x:c r="A2901" s="2" t="str">
        <x:v>L002897</x:v>
      </x:c>
      <x:c r="B2901" s="2" t="str">
        <x:v>O01182</x:v>
      </x:c>
      <x:c r="C2901" s="7" t="n">
        <x:v>45874</x:v>
      </x:c>
      <x:c r="D2901" s="2" t="str">
        <x:v>Completed</x:v>
      </x:c>
      <x:c r="E2901" s="2" t="str">
        <x:v>North</x:v>
      </x:c>
      <x:c r="F2901" s="2" t="str">
        <x:v>Online</x:v>
      </x:c>
      <x:c r="G2901" s="2" t="str">
        <x:v>Storage</x:v>
      </x:c>
      <x:c r="H2901" s="2" t="str">
        <x:v>Shelf 011</x:v>
      </x:c>
      <x:c r="I2901" s="11" t="n">
        <x:v>5</x:v>
      </x:c>
      <x:c r="J2901" s="9" t="n">
        <x:v>80</x:v>
      </x:c>
      <x:c r="K2901" s="10" t="n">
        <x:v>0.1</x:v>
      </x:c>
      <x:c r="L2901" s="11" t="n">
        <x:v>0</x:v>
      </x:c>
      <x:c r="M2901" s="9" t="n">
        <x:f>IF(D2901="Completed",I2901*J2901,0)</x:f>
        <x:v>400</x:v>
      </x:c>
      <x:c r="N2901" s="9" t="n">
        <x:f>M2901*K2901</x:f>
        <x:v>40</x:v>
      </x:c>
      <x:c r="O2901" s="9" t="n">
        <x:f>M2901-N2901</x:f>
        <x:v>360</x:v>
      </x:c>
      <x:c r="P2901" s="9" t="n">
        <x:f>IF(D2901="Completed",L2901*J2901*(1-K2901),0)</x:f>
        <x:v>0</x:v>
      </x:c>
      <x:c r="Q2901" s="9" t="n">
        <x:f>O2901-P2901</x:f>
        <x:v>360</x:v>
      </x:c>
      <x:c r="R2901" s="11" t="n">
        <x:f>IF(D2901="Completed",I2901,0)</x:f>
        <x:v>5</x:v>
      </x:c>
      <x:c r="S2901" s="11" t="n">
        <x:f>IF(D2901="Completed",L2901,0)</x:f>
        <x:v>0</x:v>
      </x:c>
      <x:c r="T2901" s="8" t="n">
        <x:f>DATE(YEAR(C2901),MONTH(C2901),1)</x:f>
        <x:v>45870</x:v>
      </x:c>
    </x:row>
    <x:row r="2902" ht="22" customHeight="1">
      <x:c r="A2902" s="2" t="str">
        <x:v>L002898</x:v>
      </x:c>
      <x:c r="B2902" s="2" t="str">
        <x:v>O01182</x:v>
      </x:c>
      <x:c r="C2902" s="7" t="n">
        <x:v>45874</x:v>
      </x:c>
      <x:c r="D2902" s="2" t="str">
        <x:v>Completed</x:v>
      </x:c>
      <x:c r="E2902" s="2" t="str">
        <x:v>North</x:v>
      </x:c>
      <x:c r="F2902" s="2" t="str">
        <x:v>Online</x:v>
      </x:c>
      <x:c r="G2902" s="2" t="str">
        <x:v>Furniture</x:v>
      </x:c>
      <x:c r="H2902" s="2" t="str">
        <x:v>Desk 020</x:v>
      </x:c>
      <x:c r="I2902" s="11" t="n">
        <x:v>2</x:v>
      </x:c>
      <x:c r="J2902" s="9" t="n">
        <x:v>189</x:v>
      </x:c>
      <x:c r="K2902" s="10" t="n">
        <x:v>0.1</x:v>
      </x:c>
      <x:c r="L2902" s="11" t="n">
        <x:v>0</x:v>
      </x:c>
      <x:c r="M2902" s="9" t="n">
        <x:f>IF(D2902="Completed",I2902*J2902,0)</x:f>
        <x:v>378</x:v>
      </x:c>
      <x:c r="N2902" s="9" t="n">
        <x:f>M2902*K2902</x:f>
        <x:v>37.800000000000004</x:v>
      </x:c>
      <x:c r="O2902" s="9" t="n">
        <x:f>M2902-N2902</x:f>
        <x:v>340.2</x:v>
      </x:c>
      <x:c r="P2902" s="9" t="n">
        <x:f>IF(D2902="Completed",L2902*J2902*(1-K2902),0)</x:f>
        <x:v>0</x:v>
      </x:c>
      <x:c r="Q2902" s="9" t="n">
        <x:f>O2902-P2902</x:f>
        <x:v>340.2</x:v>
      </x:c>
      <x:c r="R2902" s="11" t="n">
        <x:f>IF(D2902="Completed",I2902,0)</x:f>
        <x:v>2</x:v>
      </x:c>
      <x:c r="S2902" s="11" t="n">
        <x:f>IF(D2902="Completed",L2902,0)</x:f>
        <x:v>0</x:v>
      </x:c>
      <x:c r="T2902" s="8" t="n">
        <x:f>DATE(YEAR(C2902),MONTH(C2902),1)</x:f>
        <x:v>45870</x:v>
      </x:c>
    </x:row>
    <x:row r="2903" ht="22" customHeight="1">
      <x:c r="A2903" s="2" t="str">
        <x:v>L002899</x:v>
      </x:c>
      <x:c r="B2903" s="2" t="str">
        <x:v>O01183</x:v>
      </x:c>
      <x:c r="C2903" s="7" t="n">
        <x:v>45953</x:v>
      </x:c>
      <x:c r="D2903" s="2" t="str">
        <x:v>Completed</x:v>
      </x:c>
      <x:c r="E2903" s="2" t="str">
        <x:v>West</x:v>
      </x:c>
      <x:c r="F2903" s="2" t="str">
        <x:v>Store</x:v>
      </x:c>
      <x:c r="G2903" s="2" t="str">
        <x:v>Storage</x:v>
      </x:c>
      <x:c r="H2903" s="2" t="str">
        <x:v>Shelf 019</x:v>
      </x:c>
      <x:c r="I2903" s="11" t="n">
        <x:v>4</x:v>
      </x:c>
      <x:c r="J2903" s="9" t="n">
        <x:v>78</x:v>
      </x:c>
      <x:c r="K2903" s="10" t="n">
        <x:v>0.1</x:v>
      </x:c>
      <x:c r="L2903" s="11" t="n">
        <x:v>0</x:v>
      </x:c>
      <x:c r="M2903" s="9" t="n">
        <x:f>IF(D2903="Completed",I2903*J2903,0)</x:f>
        <x:v>312</x:v>
      </x:c>
      <x:c r="N2903" s="9" t="n">
        <x:f>M2903*K2903</x:f>
        <x:v>31.200000000000003</x:v>
      </x:c>
      <x:c r="O2903" s="9" t="n">
        <x:f>M2903-N2903</x:f>
        <x:v>280.8</x:v>
      </x:c>
      <x:c r="P2903" s="9" t="n">
        <x:f>IF(D2903="Completed",L2903*J2903*(1-K2903),0)</x:f>
        <x:v>0</x:v>
      </x:c>
      <x:c r="Q2903" s="9" t="n">
        <x:f>O2903-P2903</x:f>
        <x:v>280.8</x:v>
      </x:c>
      <x:c r="R2903" s="11" t="n">
        <x:f>IF(D2903="Completed",I2903,0)</x:f>
        <x:v>4</x:v>
      </x:c>
      <x:c r="S2903" s="11" t="n">
        <x:f>IF(D2903="Completed",L2903,0)</x:f>
        <x:v>0</x:v>
      </x:c>
      <x:c r="T2903" s="8" t="n">
        <x:f>DATE(YEAR(C2903),MONTH(C2903),1)</x:f>
        <x:v>45931</x:v>
      </x:c>
    </x:row>
    <x:row r="2904" ht="22" customHeight="1">
      <x:c r="A2904" s="2" t="str">
        <x:v>L002900</x:v>
      </x:c>
      <x:c r="B2904" s="2" t="str">
        <x:v>O01183</x:v>
      </x:c>
      <x:c r="C2904" s="7" t="n">
        <x:v>45953</x:v>
      </x:c>
      <x:c r="D2904" s="2" t="str">
        <x:v>Completed</x:v>
      </x:c>
      <x:c r="E2904" s="2" t="str">
        <x:v>West</x:v>
      </x:c>
      <x:c r="F2904" s="2" t="str">
        <x:v>Store</x:v>
      </x:c>
      <x:c r="G2904" s="2" t="str">
        <x:v>Lighting</x:v>
      </x:c>
      <x:c r="H2904" s="2" t="str">
        <x:v>Lamp 009</x:v>
      </x:c>
      <x:c r="I2904" s="11" t="n">
        <x:v>5</x:v>
      </x:c>
      <x:c r="J2904" s="9" t="n">
        <x:v>93</x:v>
      </x:c>
      <x:c r="K2904" s="10" t="n">
        <x:v>0.2</x:v>
      </x:c>
      <x:c r="L2904" s="11" t="n">
        <x:v>0</x:v>
      </x:c>
      <x:c r="M2904" s="9" t="n">
        <x:f>IF(D2904="Completed",I2904*J2904,0)</x:f>
        <x:v>465</x:v>
      </x:c>
      <x:c r="N2904" s="9" t="n">
        <x:f>M2904*K2904</x:f>
        <x:v>93</x:v>
      </x:c>
      <x:c r="O2904" s="9" t="n">
        <x:f>M2904-N2904</x:f>
        <x:v>372</x:v>
      </x:c>
      <x:c r="P2904" s="9" t="n">
        <x:f>IF(D2904="Completed",L2904*J2904*(1-K2904),0)</x:f>
        <x:v>0</x:v>
      </x:c>
      <x:c r="Q2904" s="9" t="n">
        <x:f>O2904-P2904</x:f>
        <x:v>372</x:v>
      </x:c>
      <x:c r="R2904" s="11" t="n">
        <x:f>IF(D2904="Completed",I2904,0)</x:f>
        <x:v>5</x:v>
      </x:c>
      <x:c r="S2904" s="11" t="n">
        <x:f>IF(D2904="Completed",L2904,0)</x:f>
        <x:v>0</x:v>
      </x:c>
      <x:c r="T2904" s="8" t="n">
        <x:f>DATE(YEAR(C2904),MONTH(C2904),1)</x:f>
        <x:v>45931</x:v>
      </x:c>
    </x:row>
    <x:row r="2905" ht="22" customHeight="1">
      <x:c r="A2905" s="2" t="str">
        <x:v>L002901</x:v>
      </x:c>
      <x:c r="B2905" s="2" t="str">
        <x:v>O01183</x:v>
      </x:c>
      <x:c r="C2905" s="7" t="n">
        <x:v>45953</x:v>
      </x:c>
      <x:c r="D2905" s="2" t="str">
        <x:v>Completed</x:v>
      </x:c>
      <x:c r="E2905" s="2" t="str">
        <x:v>West</x:v>
      </x:c>
      <x:c r="F2905" s="2" t="str">
        <x:v>Store</x:v>
      </x:c>
      <x:c r="G2905" s="2" t="str">
        <x:v>Lighting</x:v>
      </x:c>
      <x:c r="H2905" s="2" t="str">
        <x:v>Lamp 021</x:v>
      </x:c>
      <x:c r="I2905" s="11" t="n">
        <x:v>1</x:v>
      </x:c>
      <x:c r="J2905" s="9" t="n">
        <x:v>249</x:v>
      </x:c>
      <x:c r="K2905" s="10" t="n">
        <x:v>0.05</x:v>
      </x:c>
      <x:c r="L2905" s="11" t="n">
        <x:v>0</x:v>
      </x:c>
      <x:c r="M2905" s="9" t="n">
        <x:f>IF(D2905="Completed",I2905*J2905,0)</x:f>
        <x:v>249</x:v>
      </x:c>
      <x:c r="N2905" s="9" t="n">
        <x:f>M2905*K2905</x:f>
        <x:v>12.450000000000001</x:v>
      </x:c>
      <x:c r="O2905" s="9" t="n">
        <x:f>M2905-N2905</x:f>
        <x:v>236.55</x:v>
      </x:c>
      <x:c r="P2905" s="9" t="n">
        <x:f>IF(D2905="Completed",L2905*J2905*(1-K2905),0)</x:f>
        <x:v>0</x:v>
      </x:c>
      <x:c r="Q2905" s="9" t="n">
        <x:f>O2905-P2905</x:f>
        <x:v>236.55</x:v>
      </x:c>
      <x:c r="R2905" s="11" t="n">
        <x:f>IF(D2905="Completed",I2905,0)</x:f>
        <x:v>1</x:v>
      </x:c>
      <x:c r="S2905" s="11" t="n">
        <x:f>IF(D2905="Completed",L2905,0)</x:f>
        <x:v>0</x:v>
      </x:c>
      <x:c r="T2905" s="8" t="n">
        <x:f>DATE(YEAR(C2905),MONTH(C2905),1)</x:f>
        <x:v>45931</x:v>
      </x:c>
    </x:row>
    <x:row r="2906" ht="22" customHeight="1">
      <x:c r="A2906" s="2" t="str">
        <x:v>L002902</x:v>
      </x:c>
      <x:c r="B2906" s="2" t="str">
        <x:v>O01183</x:v>
      </x:c>
      <x:c r="C2906" s="7" t="n">
        <x:v>45953</x:v>
      </x:c>
      <x:c r="D2906" s="2" t="str">
        <x:v>Completed</x:v>
      </x:c>
      <x:c r="E2906" s="2" t="str">
        <x:v>West</x:v>
      </x:c>
      <x:c r="F2906" s="2" t="str">
        <x:v>Store</x:v>
      </x:c>
      <x:c r="G2906" s="2" t="str">
        <x:v>Furniture</x:v>
      </x:c>
      <x:c r="H2906" s="2" t="str">
        <x:v>Desk 004</x:v>
      </x:c>
      <x:c r="I2906" s="11" t="n">
        <x:v>4</x:v>
      </x:c>
      <x:c r="J2906" s="9" t="n">
        <x:v>123</x:v>
      </x:c>
      <x:c r="K2906" s="10" t="n">
        <x:v>0</x:v>
      </x:c>
      <x:c r="L2906" s="11" t="n">
        <x:v>0</x:v>
      </x:c>
      <x:c r="M2906" s="9" t="n">
        <x:f>IF(D2906="Completed",I2906*J2906,0)</x:f>
        <x:v>492</x:v>
      </x:c>
      <x:c r="N2906" s="9" t="n">
        <x:f>M2906*K2906</x:f>
        <x:v>0</x:v>
      </x:c>
      <x:c r="O2906" s="9" t="n">
        <x:f>M2906-N2906</x:f>
        <x:v>492</x:v>
      </x:c>
      <x:c r="P2906" s="9" t="n">
        <x:f>IF(D2906="Completed",L2906*J2906*(1-K2906),0)</x:f>
        <x:v>0</x:v>
      </x:c>
      <x:c r="Q2906" s="9" t="n">
        <x:f>O2906-P2906</x:f>
        <x:v>492</x:v>
      </x:c>
      <x:c r="R2906" s="11" t="n">
        <x:f>IF(D2906="Completed",I2906,0)</x:f>
        <x:v>4</x:v>
      </x:c>
      <x:c r="S2906" s="11" t="n">
        <x:f>IF(D2906="Completed",L2906,0)</x:f>
        <x:v>0</x:v>
      </x:c>
      <x:c r="T2906" s="8" t="n">
        <x:f>DATE(YEAR(C2906),MONTH(C2906),1)</x:f>
        <x:v>45931</x:v>
      </x:c>
    </x:row>
    <x:row r="2907" ht="22" customHeight="1">
      <x:c r="A2907" s="2" t="str">
        <x:v>L002903</x:v>
      </x:c>
      <x:c r="B2907" s="2" t="str">
        <x:v>O01184</x:v>
      </x:c>
      <x:c r="C2907" s="7" t="n">
        <x:v>45895</x:v>
      </x:c>
      <x:c r="D2907" s="2" t="str">
        <x:v>Completed</x:v>
      </x:c>
      <x:c r="E2907" s="2" t="str">
        <x:v>East</x:v>
      </x:c>
      <x:c r="F2907" s="2" t="str">
        <x:v>Store</x:v>
      </x:c>
      <x:c r="G2907" s="2" t="str">
        <x:v>Storage</x:v>
      </x:c>
      <x:c r="H2907" s="2" t="str">
        <x:v>Shelf 015</x:v>
      </x:c>
      <x:c r="I2907" s="11" t="n">
        <x:v>4</x:v>
      </x:c>
      <x:c r="J2907" s="9" t="n">
        <x:v>254</x:v>
      </x:c>
      <x:c r="K2907" s="10" t="n">
        <x:v>0</x:v>
      </x:c>
      <x:c r="L2907" s="11" t="n">
        <x:v>0</x:v>
      </x:c>
      <x:c r="M2907" s="9" t="n">
        <x:f>IF(D2907="Completed",I2907*J2907,0)</x:f>
        <x:v>1016</x:v>
      </x:c>
      <x:c r="N2907" s="9" t="n">
        <x:f>M2907*K2907</x:f>
        <x:v>0</x:v>
      </x:c>
      <x:c r="O2907" s="9" t="n">
        <x:f>M2907-N2907</x:f>
        <x:v>1016</x:v>
      </x:c>
      <x:c r="P2907" s="9" t="n">
        <x:f>IF(D2907="Completed",L2907*J2907*(1-K2907),0)</x:f>
        <x:v>0</x:v>
      </x:c>
      <x:c r="Q2907" s="9" t="n">
        <x:f>O2907-P2907</x:f>
        <x:v>1016</x:v>
      </x:c>
      <x:c r="R2907" s="11" t="n">
        <x:f>IF(D2907="Completed",I2907,0)</x:f>
        <x:v>4</x:v>
      </x:c>
      <x:c r="S2907" s="11" t="n">
        <x:f>IF(D2907="Completed",L2907,0)</x:f>
        <x:v>0</x:v>
      </x:c>
      <x:c r="T2907" s="8" t="n">
        <x:f>DATE(YEAR(C2907),MONTH(C2907),1)</x:f>
        <x:v>45870</x:v>
      </x:c>
    </x:row>
    <x:row r="2908" ht="22" customHeight="1">
      <x:c r="A2908" s="2" t="str">
        <x:v>L002904</x:v>
      </x:c>
      <x:c r="B2908" s="2" t="str">
        <x:v>O01184</x:v>
      </x:c>
      <x:c r="C2908" s="7" t="n">
        <x:v>45895</x:v>
      </x:c>
      <x:c r="D2908" s="2" t="str">
        <x:v>Completed</x:v>
      </x:c>
      <x:c r="E2908" s="2" t="str">
        <x:v>East</x:v>
      </x:c>
      <x:c r="F2908" s="2" t="str">
        <x:v>Store</x:v>
      </x:c>
      <x:c r="G2908" s="2" t="str">
        <x:v>Storage</x:v>
      </x:c>
      <x:c r="H2908" s="2" t="str">
        <x:v>Shelf 011</x:v>
      </x:c>
      <x:c r="I2908" s="11" t="n">
        <x:v>5</x:v>
      </x:c>
      <x:c r="J2908" s="9" t="n">
        <x:v>80</x:v>
      </x:c>
      <x:c r="K2908" s="10" t="n">
        <x:v>0.05</x:v>
      </x:c>
      <x:c r="L2908" s="11" t="n">
        <x:v>3</x:v>
      </x:c>
      <x:c r="M2908" s="9" t="n">
        <x:f>IF(D2908="Completed",I2908*J2908,0)</x:f>
        <x:v>400</x:v>
      </x:c>
      <x:c r="N2908" s="9" t="n">
        <x:f>M2908*K2908</x:f>
        <x:v>20</x:v>
      </x:c>
      <x:c r="O2908" s="9" t="n">
        <x:f>M2908-N2908</x:f>
        <x:v>380</x:v>
      </x:c>
      <x:c r="P2908" s="9" t="n">
        <x:f>IF(D2908="Completed",L2908*J2908*(1-K2908),0)</x:f>
        <x:v>228</x:v>
      </x:c>
      <x:c r="Q2908" s="9" t="n">
        <x:f>O2908-P2908</x:f>
        <x:v>152</x:v>
      </x:c>
      <x:c r="R2908" s="11" t="n">
        <x:f>IF(D2908="Completed",I2908,0)</x:f>
        <x:v>5</x:v>
      </x:c>
      <x:c r="S2908" s="11" t="n">
        <x:f>IF(D2908="Completed",L2908,0)</x:f>
        <x:v>3</x:v>
      </x:c>
      <x:c r="T2908" s="8" t="n">
        <x:f>DATE(YEAR(C2908),MONTH(C2908),1)</x:f>
        <x:v>45870</x:v>
      </x:c>
    </x:row>
    <x:row r="2909" ht="22" customHeight="1">
      <x:c r="A2909" s="2" t="str">
        <x:v>L002905</x:v>
      </x:c>
      <x:c r="B2909" s="2" t="str">
        <x:v>O01184</x:v>
      </x:c>
      <x:c r="C2909" s="7" t="n">
        <x:v>45895</x:v>
      </x:c>
      <x:c r="D2909" s="2" t="str">
        <x:v>Completed</x:v>
      </x:c>
      <x:c r="E2909" s="2" t="str">
        <x:v>East</x:v>
      </x:c>
      <x:c r="F2909" s="2" t="str">
        <x:v>Store</x:v>
      </x:c>
      <x:c r="G2909" s="2" t="str">
        <x:v>Storage</x:v>
      </x:c>
      <x:c r="H2909" s="2" t="str">
        <x:v>Shelf 011</x:v>
      </x:c>
      <x:c r="I2909" s="11" t="n">
        <x:v>4</x:v>
      </x:c>
      <x:c r="J2909" s="9" t="n">
        <x:v>80</x:v>
      </x:c>
      <x:c r="K2909" s="10" t="n">
        <x:v>0</x:v>
      </x:c>
      <x:c r="L2909" s="11" t="n">
        <x:v>3</x:v>
      </x:c>
      <x:c r="M2909" s="9" t="n">
        <x:f>IF(D2909="Completed",I2909*J2909,0)</x:f>
        <x:v>320</x:v>
      </x:c>
      <x:c r="N2909" s="9" t="n">
        <x:f>M2909*K2909</x:f>
        <x:v>0</x:v>
      </x:c>
      <x:c r="O2909" s="9" t="n">
        <x:f>M2909-N2909</x:f>
        <x:v>320</x:v>
      </x:c>
      <x:c r="P2909" s="9" t="n">
        <x:f>IF(D2909="Completed",L2909*J2909*(1-K2909),0)</x:f>
        <x:v>240</x:v>
      </x:c>
      <x:c r="Q2909" s="9" t="n">
        <x:f>O2909-P2909</x:f>
        <x:v>80</x:v>
      </x:c>
      <x:c r="R2909" s="11" t="n">
        <x:f>IF(D2909="Completed",I2909,0)</x:f>
        <x:v>4</x:v>
      </x:c>
      <x:c r="S2909" s="11" t="n">
        <x:f>IF(D2909="Completed",L2909,0)</x:f>
        <x:v>3</x:v>
      </x:c>
      <x:c r="T2909" s="8" t="n">
        <x:f>DATE(YEAR(C2909),MONTH(C2909),1)</x:f>
        <x:v>45870</x:v>
      </x:c>
    </x:row>
    <x:row r="2910" ht="22" customHeight="1">
      <x:c r="A2910" s="2" t="str">
        <x:v>L002906</x:v>
      </x:c>
      <x:c r="B2910" s="2" t="str">
        <x:v>O01184</x:v>
      </x:c>
      <x:c r="C2910" s="7" t="n">
        <x:v>45895</x:v>
      </x:c>
      <x:c r="D2910" s="2" t="str">
        <x:v>Completed</x:v>
      </x:c>
      <x:c r="E2910" s="2" t="str">
        <x:v>East</x:v>
      </x:c>
      <x:c r="F2910" s="2" t="str">
        <x:v>Store</x:v>
      </x:c>
      <x:c r="G2910" s="2" t="str">
        <x:v>Storage</x:v>
      </x:c>
      <x:c r="H2910" s="2" t="str">
        <x:v>Shelf 011</x:v>
      </x:c>
      <x:c r="I2910" s="11" t="n">
        <x:v>3</x:v>
      </x:c>
      <x:c r="J2910" s="9" t="n">
        <x:v>80</x:v>
      </x:c>
      <x:c r="K2910" s="10" t="n">
        <x:v>0.2</x:v>
      </x:c>
      <x:c r="L2910" s="11" t="n">
        <x:v>0</x:v>
      </x:c>
      <x:c r="M2910" s="9" t="n">
        <x:f>IF(D2910="Completed",I2910*J2910,0)</x:f>
        <x:v>240</x:v>
      </x:c>
      <x:c r="N2910" s="9" t="n">
        <x:f>M2910*K2910</x:f>
        <x:v>48</x:v>
      </x:c>
      <x:c r="O2910" s="9" t="n">
        <x:f>M2910-N2910</x:f>
        <x:v>192</x:v>
      </x:c>
      <x:c r="P2910" s="9" t="n">
        <x:f>IF(D2910="Completed",L2910*J2910*(1-K2910),0)</x:f>
        <x:v>0</x:v>
      </x:c>
      <x:c r="Q2910" s="9" t="n">
        <x:f>O2910-P2910</x:f>
        <x:v>192</x:v>
      </x:c>
      <x:c r="R2910" s="11" t="n">
        <x:f>IF(D2910="Completed",I2910,0)</x:f>
        <x:v>3</x:v>
      </x:c>
      <x:c r="S2910" s="11" t="n">
        <x:f>IF(D2910="Completed",L2910,0)</x:f>
        <x:v>0</x:v>
      </x:c>
      <x:c r="T2910" s="8" t="n">
        <x:f>DATE(YEAR(C2910),MONTH(C2910),1)</x:f>
        <x:v>45870</x:v>
      </x:c>
    </x:row>
    <x:row r="2911" ht="22" customHeight="1">
      <x:c r="A2911" s="2" t="str">
        <x:v>L002907</x:v>
      </x:c>
      <x:c r="B2911" s="2" t="str">
        <x:v>O01185</x:v>
      </x:c>
      <x:c r="C2911" s="7" t="n">
        <x:v>45958</x:v>
      </x:c>
      <x:c r="D2911" s="2" t="str">
        <x:v>Completed</x:v>
      </x:c>
      <x:c r="E2911" s="2" t="str">
        <x:v>West</x:v>
      </x:c>
      <x:c r="F2911" s="2" t="str">
        <x:v>Online</x:v>
      </x:c>
      <x:c r="G2911" s="2" t="str">
        <x:v>Storage</x:v>
      </x:c>
      <x:c r="H2911" s="2" t="str">
        <x:v>Shelf 011</x:v>
      </x:c>
      <x:c r="I2911" s="11" t="n">
        <x:v>5</x:v>
      </x:c>
      <x:c r="J2911" s="9" t="n">
        <x:v>80</x:v>
      </x:c>
      <x:c r="K2911" s="10" t="n">
        <x:v>0</x:v>
      </x:c>
      <x:c r="L2911" s="11" t="n">
        <x:v>0</x:v>
      </x:c>
      <x:c r="M2911" s="9" t="n">
        <x:f>IF(D2911="Completed",I2911*J2911,0)</x:f>
        <x:v>400</x:v>
      </x:c>
      <x:c r="N2911" s="9" t="n">
        <x:f>M2911*K2911</x:f>
        <x:v>0</x:v>
      </x:c>
      <x:c r="O2911" s="9" t="n">
        <x:f>M2911-N2911</x:f>
        <x:v>400</x:v>
      </x:c>
      <x:c r="P2911" s="9" t="n">
        <x:f>IF(D2911="Completed",L2911*J2911*(1-K2911),0)</x:f>
        <x:v>0</x:v>
      </x:c>
      <x:c r="Q2911" s="9" t="n">
        <x:f>O2911-P2911</x:f>
        <x:v>400</x:v>
      </x:c>
      <x:c r="R2911" s="11" t="n">
        <x:f>IF(D2911="Completed",I2911,0)</x:f>
        <x:v>5</x:v>
      </x:c>
      <x:c r="S2911" s="11" t="n">
        <x:f>IF(D2911="Completed",L2911,0)</x:f>
        <x:v>0</x:v>
      </x:c>
      <x:c r="T2911" s="8" t="n">
        <x:f>DATE(YEAR(C2911),MONTH(C2911),1)</x:f>
        <x:v>45931</x:v>
      </x:c>
    </x:row>
    <x:row r="2912" ht="22" customHeight="1">
      <x:c r="A2912" s="2" t="str">
        <x:v>L002908</x:v>
      </x:c>
      <x:c r="B2912" s="2" t="str">
        <x:v>O01185</x:v>
      </x:c>
      <x:c r="C2912" s="7" t="n">
        <x:v>45958</x:v>
      </x:c>
      <x:c r="D2912" s="2" t="str">
        <x:v>Completed</x:v>
      </x:c>
      <x:c r="E2912" s="2" t="str">
        <x:v>West</x:v>
      </x:c>
      <x:c r="F2912" s="2" t="str">
        <x:v>Online</x:v>
      </x:c>
      <x:c r="G2912" s="2" t="str">
        <x:v>Lighting</x:v>
      </x:c>
      <x:c r="H2912" s="2" t="str">
        <x:v>Lamp 001</x:v>
      </x:c>
      <x:c r="I2912" s="11" t="n">
        <x:v>1</x:v>
      </x:c>
      <x:c r="J2912" s="9" t="n">
        <x:v>122</x:v>
      </x:c>
      <x:c r="K2912" s="10" t="n">
        <x:v>0</x:v>
      </x:c>
      <x:c r="L2912" s="11" t="n">
        <x:v>1</x:v>
      </x:c>
      <x:c r="M2912" s="9" t="n">
        <x:f>IF(D2912="Completed",I2912*J2912,0)</x:f>
        <x:v>122</x:v>
      </x:c>
      <x:c r="N2912" s="9" t="n">
        <x:f>M2912*K2912</x:f>
        <x:v>0</x:v>
      </x:c>
      <x:c r="O2912" s="9" t="n">
        <x:f>M2912-N2912</x:f>
        <x:v>122</x:v>
      </x:c>
      <x:c r="P2912" s="9" t="n">
        <x:f>IF(D2912="Completed",L2912*J2912*(1-K2912),0)</x:f>
        <x:v>122</x:v>
      </x:c>
      <x:c r="Q2912" s="9" t="n">
        <x:f>O2912-P2912</x:f>
        <x:v>0</x:v>
      </x:c>
      <x:c r="R2912" s="11" t="n">
        <x:f>IF(D2912="Completed",I2912,0)</x:f>
        <x:v>1</x:v>
      </x:c>
      <x:c r="S2912" s="11" t="n">
        <x:f>IF(D2912="Completed",L2912,0)</x:f>
        <x:v>1</x:v>
      </x:c>
      <x:c r="T2912" s="8" t="n">
        <x:f>DATE(YEAR(C2912),MONTH(C2912),1)</x:f>
        <x:v>45931</x:v>
      </x:c>
    </x:row>
    <x:row r="2913" ht="22" customHeight="1">
      <x:c r="A2913" s="2" t="str">
        <x:v>L002909</x:v>
      </x:c>
      <x:c r="B2913" s="2" t="str">
        <x:v>O01185</x:v>
      </x:c>
      <x:c r="C2913" s="7" t="n">
        <x:v>45958</x:v>
      </x:c>
      <x:c r="D2913" s="2" t="str">
        <x:v>Completed</x:v>
      </x:c>
      <x:c r="E2913" s="2" t="str">
        <x:v>West</x:v>
      </x:c>
      <x:c r="F2913" s="2" t="str">
        <x:v>Online</x:v>
      </x:c>
      <x:c r="G2913" s="2" t="str">
        <x:v>Storage</x:v>
      </x:c>
      <x:c r="H2913" s="2" t="str">
        <x:v>Shelf 015</x:v>
      </x:c>
      <x:c r="I2913" s="11" t="n">
        <x:v>3</x:v>
      </x:c>
      <x:c r="J2913" s="9" t="n">
        <x:v>254</x:v>
      </x:c>
      <x:c r="K2913" s="10" t="n">
        <x:v>0.1</x:v>
      </x:c>
      <x:c r="L2913" s="11" t="n">
        <x:v>0</x:v>
      </x:c>
      <x:c r="M2913" s="9" t="n">
        <x:f>IF(D2913="Completed",I2913*J2913,0)</x:f>
        <x:v>762</x:v>
      </x:c>
      <x:c r="N2913" s="9" t="n">
        <x:f>M2913*K2913</x:f>
        <x:v>76.2</x:v>
      </x:c>
      <x:c r="O2913" s="9" t="n">
        <x:f>M2913-N2913</x:f>
        <x:v>685.8</x:v>
      </x:c>
      <x:c r="P2913" s="9" t="n">
        <x:f>IF(D2913="Completed",L2913*J2913*(1-K2913),0)</x:f>
        <x:v>0</x:v>
      </x:c>
      <x:c r="Q2913" s="9" t="n">
        <x:f>O2913-P2913</x:f>
        <x:v>685.8</x:v>
      </x:c>
      <x:c r="R2913" s="11" t="n">
        <x:f>IF(D2913="Completed",I2913,0)</x:f>
        <x:v>3</x:v>
      </x:c>
      <x:c r="S2913" s="11" t="n">
        <x:f>IF(D2913="Completed",L2913,0)</x:f>
        <x:v>0</x:v>
      </x:c>
      <x:c r="T2913" s="8" t="n">
        <x:f>DATE(YEAR(C2913),MONTH(C2913),1)</x:f>
        <x:v>45931</x:v>
      </x:c>
    </x:row>
    <x:row r="2914" ht="22" customHeight="1">
      <x:c r="A2914" s="2" t="str">
        <x:v>L002910</x:v>
      </x:c>
      <x:c r="B2914" s="2" t="str">
        <x:v>O01186</x:v>
      </x:c>
      <x:c r="C2914" s="7" t="n">
        <x:v>45821</x:v>
      </x:c>
      <x:c r="D2914" s="2" t="str">
        <x:v>Completed</x:v>
      </x:c>
      <x:c r="E2914" s="2" t="str">
        <x:v>West</x:v>
      </x:c>
      <x:c r="F2914" s="2" t="str">
        <x:v>Store</x:v>
      </x:c>
      <x:c r="G2914" s="2" t="str">
        <x:v>Furniture</x:v>
      </x:c>
      <x:c r="H2914" s="2" t="str">
        <x:v>Desk 020</x:v>
      </x:c>
      <x:c r="I2914" s="11" t="n">
        <x:v>2</x:v>
      </x:c>
      <x:c r="J2914" s="9" t="n">
        <x:v>189</x:v>
      </x:c>
      <x:c r="K2914" s="10" t="n">
        <x:v>0.05</x:v>
      </x:c>
      <x:c r="L2914" s="11" t="n">
        <x:v>0</x:v>
      </x:c>
      <x:c r="M2914" s="9" t="n">
        <x:f>IF(D2914="Completed",I2914*J2914,0)</x:f>
        <x:v>378</x:v>
      </x:c>
      <x:c r="N2914" s="9" t="n">
        <x:f>M2914*K2914</x:f>
        <x:v>18.900000000000002</x:v>
      </x:c>
      <x:c r="O2914" s="9" t="n">
        <x:f>M2914-N2914</x:f>
        <x:v>359.1</x:v>
      </x:c>
      <x:c r="P2914" s="9" t="n">
        <x:f>IF(D2914="Completed",L2914*J2914*(1-K2914),0)</x:f>
        <x:v>0</x:v>
      </x:c>
      <x:c r="Q2914" s="9" t="n">
        <x:f>O2914-P2914</x:f>
        <x:v>359.1</x:v>
      </x:c>
      <x:c r="R2914" s="11" t="n">
        <x:f>IF(D2914="Completed",I2914,0)</x:f>
        <x:v>2</x:v>
      </x:c>
      <x:c r="S2914" s="11" t="n">
        <x:f>IF(D2914="Completed",L2914,0)</x:f>
        <x:v>0</x:v>
      </x:c>
      <x:c r="T2914" s="8" t="n">
        <x:f>DATE(YEAR(C2914),MONTH(C2914),1)</x:f>
        <x:v>45809</x:v>
      </x:c>
    </x:row>
    <x:row r="2915" ht="22" customHeight="1">
      <x:c r="A2915" s="2" t="str">
        <x:v>L002911</x:v>
      </x:c>
      <x:c r="B2915" s="2" t="str">
        <x:v>O01186</x:v>
      </x:c>
      <x:c r="C2915" s="7" t="n">
        <x:v>45821</x:v>
      </x:c>
      <x:c r="D2915" s="2" t="str">
        <x:v>Completed</x:v>
      </x:c>
      <x:c r="E2915" s="2" t="str">
        <x:v>West</x:v>
      </x:c>
      <x:c r="F2915" s="2" t="str">
        <x:v>Store</x:v>
      </x:c>
      <x:c r="G2915" s="2" t="str">
        <x:v>Lighting</x:v>
      </x:c>
      <x:c r="H2915" s="2" t="str">
        <x:v>Lamp 013</x:v>
      </x:c>
      <x:c r="I2915" s="11" t="n">
        <x:v>4</x:v>
      </x:c>
      <x:c r="J2915" s="9" t="n">
        <x:v>271</x:v>
      </x:c>
      <x:c r="K2915" s="10" t="n">
        <x:v>0.1</x:v>
      </x:c>
      <x:c r="L2915" s="11" t="n">
        <x:v>0</x:v>
      </x:c>
      <x:c r="M2915" s="9" t="n">
        <x:f>IF(D2915="Completed",I2915*J2915,0)</x:f>
        <x:v>1084</x:v>
      </x:c>
      <x:c r="N2915" s="9" t="n">
        <x:f>M2915*K2915</x:f>
        <x:v>108.4</x:v>
      </x:c>
      <x:c r="O2915" s="9" t="n">
        <x:f>M2915-N2915</x:f>
        <x:v>975.6</x:v>
      </x:c>
      <x:c r="P2915" s="9" t="n">
        <x:f>IF(D2915="Completed",L2915*J2915*(1-K2915),0)</x:f>
        <x:v>0</x:v>
      </x:c>
      <x:c r="Q2915" s="9" t="n">
        <x:f>O2915-P2915</x:f>
        <x:v>975.6</x:v>
      </x:c>
      <x:c r="R2915" s="11" t="n">
        <x:f>IF(D2915="Completed",I2915,0)</x:f>
        <x:v>4</x:v>
      </x:c>
      <x:c r="S2915" s="11" t="n">
        <x:f>IF(D2915="Completed",L2915,0)</x:f>
        <x:v>0</x:v>
      </x:c>
      <x:c r="T2915" s="8" t="n">
        <x:f>DATE(YEAR(C2915),MONTH(C2915),1)</x:f>
        <x:v>45809</x:v>
      </x:c>
    </x:row>
    <x:row r="2916" ht="22" customHeight="1">
      <x:c r="A2916" s="2" t="str">
        <x:v>L002912</x:v>
      </x:c>
      <x:c r="B2916" s="2" t="str">
        <x:v>O01186</x:v>
      </x:c>
      <x:c r="C2916" s="7" t="n">
        <x:v>45821</x:v>
      </x:c>
      <x:c r="D2916" s="2" t="str">
        <x:v>Completed</x:v>
      </x:c>
      <x:c r="E2916" s="2" t="str">
        <x:v>West</x:v>
      </x:c>
      <x:c r="F2916" s="2" t="str">
        <x:v>Store</x:v>
      </x:c>
      <x:c r="G2916" s="2" t="str">
        <x:v>Lighting</x:v>
      </x:c>
      <x:c r="H2916" s="2" t="str">
        <x:v>Lamp 021</x:v>
      </x:c>
      <x:c r="I2916" s="11" t="n">
        <x:v>3</x:v>
      </x:c>
      <x:c r="J2916" s="9" t="n">
        <x:v>249</x:v>
      </x:c>
      <x:c r="K2916" s="10" t="n">
        <x:v>0</x:v>
      </x:c>
      <x:c r="L2916" s="11" t="n">
        <x:v>0</x:v>
      </x:c>
      <x:c r="M2916" s="9" t="n">
        <x:f>IF(D2916="Completed",I2916*J2916,0)</x:f>
        <x:v>747</x:v>
      </x:c>
      <x:c r="N2916" s="9" t="n">
        <x:f>M2916*K2916</x:f>
        <x:v>0</x:v>
      </x:c>
      <x:c r="O2916" s="9" t="n">
        <x:f>M2916-N2916</x:f>
        <x:v>747</x:v>
      </x:c>
      <x:c r="P2916" s="9" t="n">
        <x:f>IF(D2916="Completed",L2916*J2916*(1-K2916),0)</x:f>
        <x:v>0</x:v>
      </x:c>
      <x:c r="Q2916" s="9" t="n">
        <x:f>O2916-P2916</x:f>
        <x:v>747</x:v>
      </x:c>
      <x:c r="R2916" s="11" t="n">
        <x:f>IF(D2916="Completed",I2916,0)</x:f>
        <x:v>3</x:v>
      </x:c>
      <x:c r="S2916" s="11" t="n">
        <x:f>IF(D2916="Completed",L2916,0)</x:f>
        <x:v>0</x:v>
      </x:c>
      <x:c r="T2916" s="8" t="n">
        <x:f>DATE(YEAR(C2916),MONTH(C2916),1)</x:f>
        <x:v>45809</x:v>
      </x:c>
    </x:row>
    <x:row r="2917" ht="22" customHeight="1">
      <x:c r="A2917" s="2" t="str">
        <x:v>L002913</x:v>
      </x:c>
      <x:c r="B2917" s="2" t="str">
        <x:v>O01186</x:v>
      </x:c>
      <x:c r="C2917" s="7" t="n">
        <x:v>45821</x:v>
      </x:c>
      <x:c r="D2917" s="2" t="str">
        <x:v>Completed</x:v>
      </x:c>
      <x:c r="E2917" s="2" t="str">
        <x:v>West</x:v>
      </x:c>
      <x:c r="F2917" s="2" t="str">
        <x:v>Store</x:v>
      </x:c>
      <x:c r="G2917" s="2" t="str">
        <x:v>Lighting</x:v>
      </x:c>
      <x:c r="H2917" s="2" t="str">
        <x:v>Lamp 009</x:v>
      </x:c>
      <x:c r="I2917" s="11" t="n">
        <x:v>5</x:v>
      </x:c>
      <x:c r="J2917" s="9" t="n">
        <x:v>93</x:v>
      </x:c>
      <x:c r="K2917" s="10" t="n">
        <x:v>0.1</x:v>
      </x:c>
      <x:c r="L2917" s="11" t="n">
        <x:v>0</x:v>
      </x:c>
      <x:c r="M2917" s="9" t="n">
        <x:f>IF(D2917="Completed",I2917*J2917,0)</x:f>
        <x:v>465</x:v>
      </x:c>
      <x:c r="N2917" s="9" t="n">
        <x:f>M2917*K2917</x:f>
        <x:v>46.5</x:v>
      </x:c>
      <x:c r="O2917" s="9" t="n">
        <x:f>M2917-N2917</x:f>
        <x:v>418.5</x:v>
      </x:c>
      <x:c r="P2917" s="9" t="n">
        <x:f>IF(D2917="Completed",L2917*J2917*(1-K2917),0)</x:f>
        <x:v>0</x:v>
      </x:c>
      <x:c r="Q2917" s="9" t="n">
        <x:f>O2917-P2917</x:f>
        <x:v>418.5</x:v>
      </x:c>
      <x:c r="R2917" s="11" t="n">
        <x:f>IF(D2917="Completed",I2917,0)</x:f>
        <x:v>5</x:v>
      </x:c>
      <x:c r="S2917" s="11" t="n">
        <x:f>IF(D2917="Completed",L2917,0)</x:f>
        <x:v>0</x:v>
      </x:c>
      <x:c r="T2917" s="8" t="n">
        <x:f>DATE(YEAR(C2917),MONTH(C2917),1)</x:f>
        <x:v>45809</x:v>
      </x:c>
    </x:row>
    <x:row r="2918" ht="22" customHeight="1">
      <x:c r="A2918" s="2" t="str">
        <x:v>L002914</x:v>
      </x:c>
      <x:c r="B2918" s="2" t="str">
        <x:v>O01187</x:v>
      </x:c>
      <x:c r="C2918" s="7" t="n">
        <x:v>45817</x:v>
      </x:c>
      <x:c r="D2918" s="2" t="str">
        <x:v>Completed</x:v>
      </x:c>
      <x:c r="E2918" s="2" t="str">
        <x:v>East</x:v>
      </x:c>
      <x:c r="F2918" s="2" t="str">
        <x:v>Store</x:v>
      </x:c>
      <x:c r="G2918" s="2" t="str">
        <x:v>Lighting</x:v>
      </x:c>
      <x:c r="H2918" s="2" t="str">
        <x:v>Lamp 017</x:v>
      </x:c>
      <x:c r="I2918" s="11" t="n">
        <x:v>5</x:v>
      </x:c>
      <x:c r="J2918" s="9" t="n">
        <x:v>300</x:v>
      </x:c>
      <x:c r="K2918" s="10" t="n">
        <x:v>0.05</x:v>
      </x:c>
      <x:c r="L2918" s="11" t="n">
        <x:v>0</x:v>
      </x:c>
      <x:c r="M2918" s="9" t="n">
        <x:f>IF(D2918="Completed",I2918*J2918,0)</x:f>
        <x:v>1500</x:v>
      </x:c>
      <x:c r="N2918" s="9" t="n">
        <x:f>M2918*K2918</x:f>
        <x:v>75</x:v>
      </x:c>
      <x:c r="O2918" s="9" t="n">
        <x:f>M2918-N2918</x:f>
        <x:v>1425</x:v>
      </x:c>
      <x:c r="P2918" s="9" t="n">
        <x:f>IF(D2918="Completed",L2918*J2918*(1-K2918),0)</x:f>
        <x:v>0</x:v>
      </x:c>
      <x:c r="Q2918" s="9" t="n">
        <x:f>O2918-P2918</x:f>
        <x:v>1425</x:v>
      </x:c>
      <x:c r="R2918" s="11" t="n">
        <x:f>IF(D2918="Completed",I2918,0)</x:f>
        <x:v>5</x:v>
      </x:c>
      <x:c r="S2918" s="11" t="n">
        <x:f>IF(D2918="Completed",L2918,0)</x:f>
        <x:v>0</x:v>
      </x:c>
      <x:c r="T2918" s="8" t="n">
        <x:f>DATE(YEAR(C2918),MONTH(C2918),1)</x:f>
        <x:v>45809</x:v>
      </x:c>
    </x:row>
    <x:row r="2919" ht="22" customHeight="1">
      <x:c r="A2919" s="2" t="str">
        <x:v>L002915</x:v>
      </x:c>
      <x:c r="B2919" s="2" t="str">
        <x:v>O01188</x:v>
      </x:c>
      <x:c r="C2919" s="7" t="n">
        <x:v>45917</x:v>
      </x:c>
      <x:c r="D2919" s="2" t="str">
        <x:v>Completed</x:v>
      </x:c>
      <x:c r="E2919" s="2" t="str">
        <x:v>West</x:v>
      </x:c>
      <x:c r="F2919" s="2" t="str">
        <x:v>Store</x:v>
      </x:c>
      <x:c r="G2919" s="2" t="str">
        <x:v>Storage</x:v>
      </x:c>
      <x:c r="H2919" s="2" t="str">
        <x:v>Shelf 015</x:v>
      </x:c>
      <x:c r="I2919" s="11" t="n">
        <x:v>4</x:v>
      </x:c>
      <x:c r="J2919" s="9" t="n">
        <x:v>254</x:v>
      </x:c>
      <x:c r="K2919" s="10" t="n">
        <x:v>0</x:v>
      </x:c>
      <x:c r="L2919" s="11" t="n">
        <x:v>0</x:v>
      </x:c>
      <x:c r="M2919" s="9" t="n">
        <x:f>IF(D2919="Completed",I2919*J2919,0)</x:f>
        <x:v>1016</x:v>
      </x:c>
      <x:c r="N2919" s="9" t="n">
        <x:f>M2919*K2919</x:f>
        <x:v>0</x:v>
      </x:c>
      <x:c r="O2919" s="9" t="n">
        <x:f>M2919-N2919</x:f>
        <x:v>1016</x:v>
      </x:c>
      <x:c r="P2919" s="9" t="n">
        <x:f>IF(D2919="Completed",L2919*J2919*(1-K2919),0)</x:f>
        <x:v>0</x:v>
      </x:c>
      <x:c r="Q2919" s="9" t="n">
        <x:f>O2919-P2919</x:f>
        <x:v>1016</x:v>
      </x:c>
      <x:c r="R2919" s="11" t="n">
        <x:f>IF(D2919="Completed",I2919,0)</x:f>
        <x:v>4</x:v>
      </x:c>
      <x:c r="S2919" s="11" t="n">
        <x:f>IF(D2919="Completed",L2919,0)</x:f>
        <x:v>0</x:v>
      </x:c>
      <x:c r="T2919" s="8" t="n">
        <x:f>DATE(YEAR(C2919),MONTH(C2919),1)</x:f>
        <x:v>45901</x:v>
      </x:c>
    </x:row>
    <x:row r="2920" ht="22" customHeight="1">
      <x:c r="A2920" s="2" t="str">
        <x:v>L002916</x:v>
      </x:c>
      <x:c r="B2920" s="2" t="str">
        <x:v>O01188</x:v>
      </x:c>
      <x:c r="C2920" s="7" t="n">
        <x:v>45917</x:v>
      </x:c>
      <x:c r="D2920" s="2" t="str">
        <x:v>Completed</x:v>
      </x:c>
      <x:c r="E2920" s="2" t="str">
        <x:v>West</x:v>
      </x:c>
      <x:c r="F2920" s="2" t="str">
        <x:v>Store</x:v>
      </x:c>
      <x:c r="G2920" s="2" t="str">
        <x:v>Furniture</x:v>
      </x:c>
      <x:c r="H2920" s="2" t="str">
        <x:v>Chair 006</x:v>
      </x:c>
      <x:c r="I2920" s="11" t="n">
        <x:v>5</x:v>
      </x:c>
      <x:c r="J2920" s="9" t="n">
        <x:v>196</x:v>
      </x:c>
      <x:c r="K2920" s="10" t="n">
        <x:v>0.2</x:v>
      </x:c>
      <x:c r="L2920" s="11" t="n">
        <x:v>0</x:v>
      </x:c>
      <x:c r="M2920" s="9" t="n">
        <x:f>IF(D2920="Completed",I2920*J2920,0)</x:f>
        <x:v>980</x:v>
      </x:c>
      <x:c r="N2920" s="9" t="n">
        <x:f>M2920*K2920</x:f>
        <x:v>196</x:v>
      </x:c>
      <x:c r="O2920" s="9" t="n">
        <x:f>M2920-N2920</x:f>
        <x:v>784</x:v>
      </x:c>
      <x:c r="P2920" s="9" t="n">
        <x:f>IF(D2920="Completed",L2920*J2920*(1-K2920),0)</x:f>
        <x:v>0</x:v>
      </x:c>
      <x:c r="Q2920" s="9" t="n">
        <x:f>O2920-P2920</x:f>
        <x:v>784</x:v>
      </x:c>
      <x:c r="R2920" s="11" t="n">
        <x:f>IF(D2920="Completed",I2920,0)</x:f>
        <x:v>5</x:v>
      </x:c>
      <x:c r="S2920" s="11" t="n">
        <x:f>IF(D2920="Completed",L2920,0)</x:f>
        <x:v>0</x:v>
      </x:c>
      <x:c r="T2920" s="8" t="n">
        <x:f>DATE(YEAR(C2920),MONTH(C2920),1)</x:f>
        <x:v>45901</x:v>
      </x:c>
    </x:row>
    <x:row r="2921" ht="22" customHeight="1">
      <x:c r="A2921" s="2" t="str">
        <x:v>L002917</x:v>
      </x:c>
      <x:c r="B2921" s="2" t="str">
        <x:v>O01188</x:v>
      </x:c>
      <x:c r="C2921" s="7" t="n">
        <x:v>45917</x:v>
      </x:c>
      <x:c r="D2921" s="2" t="str">
        <x:v>Completed</x:v>
      </x:c>
      <x:c r="E2921" s="2" t="str">
        <x:v>West</x:v>
      </x:c>
      <x:c r="F2921" s="2" t="str">
        <x:v>Store</x:v>
      </x:c>
      <x:c r="G2921" s="2" t="str">
        <x:v>Furniture</x:v>
      </x:c>
      <x:c r="H2921" s="2" t="str">
        <x:v>Desk 016</x:v>
      </x:c>
      <x:c r="I2921" s="11" t="n">
        <x:v>2</x:v>
      </x:c>
      <x:c r="J2921" s="9" t="n">
        <x:v>231</x:v>
      </x:c>
      <x:c r="K2921" s="10" t="n">
        <x:v>0.2</x:v>
      </x:c>
      <x:c r="L2921" s="11" t="n">
        <x:v>0</x:v>
      </x:c>
      <x:c r="M2921" s="9" t="n">
        <x:f>IF(D2921="Completed",I2921*J2921,0)</x:f>
        <x:v>462</x:v>
      </x:c>
      <x:c r="N2921" s="9" t="n">
        <x:f>M2921*K2921</x:f>
        <x:v>92.4</x:v>
      </x:c>
      <x:c r="O2921" s="9" t="n">
        <x:f>M2921-N2921</x:f>
        <x:v>369.6</x:v>
      </x:c>
      <x:c r="P2921" s="9" t="n">
        <x:f>IF(D2921="Completed",L2921*J2921*(1-K2921),0)</x:f>
        <x:v>0</x:v>
      </x:c>
      <x:c r="Q2921" s="9" t="n">
        <x:f>O2921-P2921</x:f>
        <x:v>369.6</x:v>
      </x:c>
      <x:c r="R2921" s="11" t="n">
        <x:f>IF(D2921="Completed",I2921,0)</x:f>
        <x:v>2</x:v>
      </x:c>
      <x:c r="S2921" s="11" t="n">
        <x:f>IF(D2921="Completed",L2921,0)</x:f>
        <x:v>0</x:v>
      </x:c>
      <x:c r="T2921" s="8" t="n">
        <x:f>DATE(YEAR(C2921),MONTH(C2921),1)</x:f>
        <x:v>45901</x:v>
      </x:c>
    </x:row>
    <x:row r="2922" ht="22" customHeight="1">
      <x:c r="A2922" s="2" t="str">
        <x:v>L002918</x:v>
      </x:c>
      <x:c r="B2922" s="2" t="str">
        <x:v>O01189</x:v>
      </x:c>
      <x:c r="C2922" s="7" t="n">
        <x:v>45690</x:v>
      </x:c>
      <x:c r="D2922" s="2" t="str">
        <x:v>Completed</x:v>
      </x:c>
      <x:c r="E2922" s="2" t="str">
        <x:v>South</x:v>
      </x:c>
      <x:c r="F2922" s="2" t="str">
        <x:v>Online</x:v>
      </x:c>
      <x:c r="G2922" s="2" t="str">
        <x:v>Storage</x:v>
      </x:c>
      <x:c r="H2922" s="2" t="str">
        <x:v>Shelf 015</x:v>
      </x:c>
      <x:c r="I2922" s="11" t="n">
        <x:v>5</x:v>
      </x:c>
      <x:c r="J2922" s="9" t="n">
        <x:v>254</x:v>
      </x:c>
      <x:c r="K2922" s="10" t="n">
        <x:v>0.1</x:v>
      </x:c>
      <x:c r="L2922" s="11" t="n">
        <x:v>0</x:v>
      </x:c>
      <x:c r="M2922" s="9" t="n">
        <x:f>IF(D2922="Completed",I2922*J2922,0)</x:f>
        <x:v>1270</x:v>
      </x:c>
      <x:c r="N2922" s="9" t="n">
        <x:f>M2922*K2922</x:f>
        <x:v>127</x:v>
      </x:c>
      <x:c r="O2922" s="9" t="n">
        <x:f>M2922-N2922</x:f>
        <x:v>1143</x:v>
      </x:c>
      <x:c r="P2922" s="9" t="n">
        <x:f>IF(D2922="Completed",L2922*J2922*(1-K2922),0)</x:f>
        <x:v>0</x:v>
      </x:c>
      <x:c r="Q2922" s="9" t="n">
        <x:f>O2922-P2922</x:f>
        <x:v>1143</x:v>
      </x:c>
      <x:c r="R2922" s="11" t="n">
        <x:f>IF(D2922="Completed",I2922,0)</x:f>
        <x:v>5</x:v>
      </x:c>
      <x:c r="S2922" s="11" t="n">
        <x:f>IF(D2922="Completed",L2922,0)</x:f>
        <x:v>0</x:v>
      </x:c>
      <x:c r="T2922" s="8" t="n">
        <x:f>DATE(YEAR(C2922),MONTH(C2922),1)</x:f>
        <x:v>45689</x:v>
      </x:c>
    </x:row>
    <x:row r="2923" ht="22" customHeight="1">
      <x:c r="A2923" s="2" t="str">
        <x:v>L002919</x:v>
      </x:c>
      <x:c r="B2923" s="2" t="str">
        <x:v>O01190</x:v>
      </x:c>
      <x:c r="C2923" s="7" t="n">
        <x:v>45750</x:v>
      </x:c>
      <x:c r="D2923" s="2" t="str">
        <x:v>Completed</x:v>
      </x:c>
      <x:c r="E2923" s="2" t="str">
        <x:v>South</x:v>
      </x:c>
      <x:c r="F2923" s="2" t="str">
        <x:v>Online</x:v>
      </x:c>
      <x:c r="G2923" s="2" t="str">
        <x:v>Furniture</x:v>
      </x:c>
      <x:c r="H2923" s="2" t="str">
        <x:v>Chair 006</x:v>
      </x:c>
      <x:c r="I2923" s="11" t="n">
        <x:v>2</x:v>
      </x:c>
      <x:c r="J2923" s="9" t="n">
        <x:v>196</x:v>
      </x:c>
      <x:c r="K2923" s="10" t="n">
        <x:v>0.05</x:v>
      </x:c>
      <x:c r="L2923" s="11" t="n">
        <x:v>0</x:v>
      </x:c>
      <x:c r="M2923" s="9" t="n">
        <x:f>IF(D2923="Completed",I2923*J2923,0)</x:f>
        <x:v>392</x:v>
      </x:c>
      <x:c r="N2923" s="9" t="n">
        <x:f>M2923*K2923</x:f>
        <x:v>19.6</x:v>
      </x:c>
      <x:c r="O2923" s="9" t="n">
        <x:f>M2923-N2923</x:f>
        <x:v>372.4</x:v>
      </x:c>
      <x:c r="P2923" s="9" t="n">
        <x:f>IF(D2923="Completed",L2923*J2923*(1-K2923),0)</x:f>
        <x:v>0</x:v>
      </x:c>
      <x:c r="Q2923" s="9" t="n">
        <x:f>O2923-P2923</x:f>
        <x:v>372.4</x:v>
      </x:c>
      <x:c r="R2923" s="11" t="n">
        <x:f>IF(D2923="Completed",I2923,0)</x:f>
        <x:v>2</x:v>
      </x:c>
      <x:c r="S2923" s="11" t="n">
        <x:f>IF(D2923="Completed",L2923,0)</x:f>
        <x:v>0</x:v>
      </x:c>
      <x:c r="T2923" s="8" t="n">
        <x:f>DATE(YEAR(C2923),MONTH(C2923),1)</x:f>
        <x:v>45748</x:v>
      </x:c>
    </x:row>
    <x:row r="2924" ht="22" customHeight="1">
      <x:c r="A2924" s="2" t="str">
        <x:v>L002920</x:v>
      </x:c>
      <x:c r="B2924" s="2" t="str">
        <x:v>O01191</x:v>
      </x:c>
      <x:c r="C2924" s="7" t="n">
        <x:v>45986</x:v>
      </x:c>
      <x:c r="D2924" s="2" t="str">
        <x:v>Completed</x:v>
      </x:c>
      <x:c r="E2924" s="2" t="str">
        <x:v>North</x:v>
      </x:c>
      <x:c r="F2924" s="2" t="str">
        <x:v>Online</x:v>
      </x:c>
      <x:c r="G2924" s="2" t="str">
        <x:v>Furniture</x:v>
      </x:c>
      <x:c r="H2924" s="2" t="str">
        <x:v>Chair 002</x:v>
      </x:c>
      <x:c r="I2924" s="11" t="n">
        <x:v>5</x:v>
      </x:c>
      <x:c r="J2924" s="9" t="n">
        <x:v>284</x:v>
      </x:c>
      <x:c r="K2924" s="10" t="n">
        <x:v>0.05</x:v>
      </x:c>
      <x:c r="L2924" s="11" t="n">
        <x:v>0</x:v>
      </x:c>
      <x:c r="M2924" s="9" t="n">
        <x:f>IF(D2924="Completed",I2924*J2924,0)</x:f>
        <x:v>1420</x:v>
      </x:c>
      <x:c r="N2924" s="9" t="n">
        <x:f>M2924*K2924</x:f>
        <x:v>71</x:v>
      </x:c>
      <x:c r="O2924" s="9" t="n">
        <x:f>M2924-N2924</x:f>
        <x:v>1349</x:v>
      </x:c>
      <x:c r="P2924" s="9" t="n">
        <x:f>IF(D2924="Completed",L2924*J2924*(1-K2924),0)</x:f>
        <x:v>0</x:v>
      </x:c>
      <x:c r="Q2924" s="9" t="n">
        <x:f>O2924-P2924</x:f>
        <x:v>1349</x:v>
      </x:c>
      <x:c r="R2924" s="11" t="n">
        <x:f>IF(D2924="Completed",I2924,0)</x:f>
        <x:v>5</x:v>
      </x:c>
      <x:c r="S2924" s="11" t="n">
        <x:f>IF(D2924="Completed",L2924,0)</x:f>
        <x:v>0</x:v>
      </x:c>
      <x:c r="T2924" s="8" t="n">
        <x:f>DATE(YEAR(C2924),MONTH(C2924),1)</x:f>
        <x:v>45962</x:v>
      </x:c>
    </x:row>
    <x:row r="2925" ht="22" customHeight="1">
      <x:c r="A2925" s="2" t="str">
        <x:v>L002921</x:v>
      </x:c>
      <x:c r="B2925" s="2" t="str">
        <x:v>O01191</x:v>
      </x:c>
      <x:c r="C2925" s="7" t="n">
        <x:v>45986</x:v>
      </x:c>
      <x:c r="D2925" s="2" t="str">
        <x:v>Completed</x:v>
      </x:c>
      <x:c r="E2925" s="2" t="str">
        <x:v>North</x:v>
      </x:c>
      <x:c r="F2925" s="2" t="str">
        <x:v>Online</x:v>
      </x:c>
      <x:c r="G2925" s="2" t="str">
        <x:v>Furniture</x:v>
      </x:c>
      <x:c r="H2925" s="2" t="str">
        <x:v>Desk 016</x:v>
      </x:c>
      <x:c r="I2925" s="11" t="n">
        <x:v>1</x:v>
      </x:c>
      <x:c r="J2925" s="9" t="n">
        <x:v>231</x:v>
      </x:c>
      <x:c r="K2925" s="10" t="n">
        <x:v>0.05</x:v>
      </x:c>
      <x:c r="L2925" s="11" t="n">
        <x:v>0</x:v>
      </x:c>
      <x:c r="M2925" s="9" t="n">
        <x:f>IF(D2925="Completed",I2925*J2925,0)</x:f>
        <x:v>231</x:v>
      </x:c>
      <x:c r="N2925" s="9" t="n">
        <x:f>M2925*K2925</x:f>
        <x:v>11.55</x:v>
      </x:c>
      <x:c r="O2925" s="9" t="n">
        <x:f>M2925-N2925</x:f>
        <x:v>219.45</x:v>
      </x:c>
      <x:c r="P2925" s="9" t="n">
        <x:f>IF(D2925="Completed",L2925*J2925*(1-K2925),0)</x:f>
        <x:v>0</x:v>
      </x:c>
      <x:c r="Q2925" s="9" t="n">
        <x:f>O2925-P2925</x:f>
        <x:v>219.45</x:v>
      </x:c>
      <x:c r="R2925" s="11" t="n">
        <x:f>IF(D2925="Completed",I2925,0)</x:f>
        <x:v>1</x:v>
      </x:c>
      <x:c r="S2925" s="11" t="n">
        <x:f>IF(D2925="Completed",L2925,0)</x:f>
        <x:v>0</x:v>
      </x:c>
      <x:c r="T2925" s="8" t="n">
        <x:f>DATE(YEAR(C2925),MONTH(C2925),1)</x:f>
        <x:v>45962</x:v>
      </x:c>
    </x:row>
    <x:row r="2926" ht="22" customHeight="1">
      <x:c r="A2926" s="2" t="str">
        <x:v>L002922</x:v>
      </x:c>
      <x:c r="B2926" s="2" t="str">
        <x:v>O01191</x:v>
      </x:c>
      <x:c r="C2926" s="7" t="n">
        <x:v>45986</x:v>
      </x:c>
      <x:c r="D2926" s="2" t="str">
        <x:v>Completed</x:v>
      </x:c>
      <x:c r="E2926" s="2" t="str">
        <x:v>North</x:v>
      </x:c>
      <x:c r="F2926" s="2" t="str">
        <x:v>Online</x:v>
      </x:c>
      <x:c r="G2926" s="2" t="str">
        <x:v>Lighting</x:v>
      </x:c>
      <x:c r="H2926" s="2" t="str">
        <x:v>Lamp 001</x:v>
      </x:c>
      <x:c r="I2926" s="11" t="n">
        <x:v>1</x:v>
      </x:c>
      <x:c r="J2926" s="9" t="n">
        <x:v>122</x:v>
      </x:c>
      <x:c r="K2926" s="10" t="n">
        <x:v>0.2</x:v>
      </x:c>
      <x:c r="L2926" s="11" t="n">
        <x:v>0</x:v>
      </x:c>
      <x:c r="M2926" s="9" t="n">
        <x:f>IF(D2926="Completed",I2926*J2926,0)</x:f>
        <x:v>122</x:v>
      </x:c>
      <x:c r="N2926" s="9" t="n">
        <x:f>M2926*K2926</x:f>
        <x:v>24.400000000000002</x:v>
      </x:c>
      <x:c r="O2926" s="9" t="n">
        <x:f>M2926-N2926</x:f>
        <x:v>97.6</x:v>
      </x:c>
      <x:c r="P2926" s="9" t="n">
        <x:f>IF(D2926="Completed",L2926*J2926*(1-K2926),0)</x:f>
        <x:v>0</x:v>
      </x:c>
      <x:c r="Q2926" s="9" t="n">
        <x:f>O2926-P2926</x:f>
        <x:v>97.6</x:v>
      </x:c>
      <x:c r="R2926" s="11" t="n">
        <x:f>IF(D2926="Completed",I2926,0)</x:f>
        <x:v>1</x:v>
      </x:c>
      <x:c r="S2926" s="11" t="n">
        <x:f>IF(D2926="Completed",L2926,0)</x:f>
        <x:v>0</x:v>
      </x:c>
      <x:c r="T2926" s="8" t="n">
        <x:f>DATE(YEAR(C2926),MONTH(C2926),1)</x:f>
        <x:v>45962</x:v>
      </x:c>
    </x:row>
    <x:row r="2927" ht="22" customHeight="1">
      <x:c r="A2927" s="2" t="str">
        <x:v>L002923</x:v>
      </x:c>
      <x:c r="B2927" s="2" t="str">
        <x:v>O01192</x:v>
      </x:c>
      <x:c r="C2927" s="7" t="n">
        <x:v>45895</x:v>
      </x:c>
      <x:c r="D2927" s="2" t="str">
        <x:v>Completed</x:v>
      </x:c>
      <x:c r="E2927" s="2" t="str">
        <x:v>South</x:v>
      </x:c>
      <x:c r="F2927" s="2" t="str">
        <x:v>Online</x:v>
      </x:c>
      <x:c r="G2927" s="2" t="str">
        <x:v>Furniture</x:v>
      </x:c>
      <x:c r="H2927" s="2" t="str">
        <x:v>Chair 022</x:v>
      </x:c>
      <x:c r="I2927" s="11" t="n">
        <x:v>4</x:v>
      </x:c>
      <x:c r="J2927" s="9" t="n">
        <x:v>134</x:v>
      </x:c>
      <x:c r="K2927" s="10" t="n">
        <x:v>0.05</x:v>
      </x:c>
      <x:c r="L2927" s="11" t="n">
        <x:v>0</x:v>
      </x:c>
      <x:c r="M2927" s="9" t="n">
        <x:f>IF(D2927="Completed",I2927*J2927,0)</x:f>
        <x:v>536</x:v>
      </x:c>
      <x:c r="N2927" s="9" t="n">
        <x:f>M2927*K2927</x:f>
        <x:v>26.8</x:v>
      </x:c>
      <x:c r="O2927" s="9" t="n">
        <x:f>M2927-N2927</x:f>
        <x:v>509.2</x:v>
      </x:c>
      <x:c r="P2927" s="9" t="n">
        <x:f>IF(D2927="Completed",L2927*J2927*(1-K2927),0)</x:f>
        <x:v>0</x:v>
      </x:c>
      <x:c r="Q2927" s="9" t="n">
        <x:f>O2927-P2927</x:f>
        <x:v>509.2</x:v>
      </x:c>
      <x:c r="R2927" s="11" t="n">
        <x:f>IF(D2927="Completed",I2927,0)</x:f>
        <x:v>4</x:v>
      </x:c>
      <x:c r="S2927" s="11" t="n">
        <x:f>IF(D2927="Completed",L2927,0)</x:f>
        <x:v>0</x:v>
      </x:c>
      <x:c r="T2927" s="8" t="n">
        <x:f>DATE(YEAR(C2927),MONTH(C2927),1)</x:f>
        <x:v>45870</x:v>
      </x:c>
    </x:row>
    <x:row r="2928" ht="22" customHeight="1">
      <x:c r="A2928" s="2" t="str">
        <x:v>L002924</x:v>
      </x:c>
      <x:c r="B2928" s="2" t="str">
        <x:v>O01192</x:v>
      </x:c>
      <x:c r="C2928" s="7" t="n">
        <x:v>45895</x:v>
      </x:c>
      <x:c r="D2928" s="2" t="str">
        <x:v>Completed</x:v>
      </x:c>
      <x:c r="E2928" s="2" t="str">
        <x:v>South</x:v>
      </x:c>
      <x:c r="F2928" s="2" t="str">
        <x:v>Online</x:v>
      </x:c>
      <x:c r="G2928" s="2" t="str">
        <x:v>Furniture</x:v>
      </x:c>
      <x:c r="H2928" s="2" t="str">
        <x:v>Desk 004</x:v>
      </x:c>
      <x:c r="I2928" s="11" t="n">
        <x:v>4</x:v>
      </x:c>
      <x:c r="J2928" s="9" t="n">
        <x:v>123</x:v>
      </x:c>
      <x:c r="K2928" s="10" t="n">
        <x:v>0.2</x:v>
      </x:c>
      <x:c r="L2928" s="11" t="n">
        <x:v>0</x:v>
      </x:c>
      <x:c r="M2928" s="9" t="n">
        <x:f>IF(D2928="Completed",I2928*J2928,0)</x:f>
        <x:v>492</x:v>
      </x:c>
      <x:c r="N2928" s="9" t="n">
        <x:f>M2928*K2928</x:f>
        <x:v>98.4</x:v>
      </x:c>
      <x:c r="O2928" s="9" t="n">
        <x:f>M2928-N2928</x:f>
        <x:v>393.6</x:v>
      </x:c>
      <x:c r="P2928" s="9" t="n">
        <x:f>IF(D2928="Completed",L2928*J2928*(1-K2928),0)</x:f>
        <x:v>0</x:v>
      </x:c>
      <x:c r="Q2928" s="9" t="n">
        <x:f>O2928-P2928</x:f>
        <x:v>393.6</x:v>
      </x:c>
      <x:c r="R2928" s="11" t="n">
        <x:f>IF(D2928="Completed",I2928,0)</x:f>
        <x:v>4</x:v>
      </x:c>
      <x:c r="S2928" s="11" t="n">
        <x:f>IF(D2928="Completed",L2928,0)</x:f>
        <x:v>0</x:v>
      </x:c>
      <x:c r="T2928" s="8" t="n">
        <x:f>DATE(YEAR(C2928),MONTH(C2928),1)</x:f>
        <x:v>45870</x:v>
      </x:c>
    </x:row>
    <x:row r="2929" ht="22" customHeight="1">
      <x:c r="A2929" s="2" t="str">
        <x:v>L002925</x:v>
      </x:c>
      <x:c r="B2929" s="2" t="str">
        <x:v>O01193</x:v>
      </x:c>
      <x:c r="C2929" s="7" t="n">
        <x:v>45876</x:v>
      </x:c>
      <x:c r="D2929" s="2" t="str">
        <x:v>Completed</x:v>
      </x:c>
      <x:c r="E2929" s="2" t="str">
        <x:v>East</x:v>
      </x:c>
      <x:c r="F2929" s="2" t="str">
        <x:v>Online</x:v>
      </x:c>
      <x:c r="G2929" s="2" t="str">
        <x:v>Lighting</x:v>
      </x:c>
      <x:c r="H2929" s="2" t="str">
        <x:v>Lamp 021</x:v>
      </x:c>
      <x:c r="I2929" s="11" t="n">
        <x:v>2</x:v>
      </x:c>
      <x:c r="J2929" s="9" t="n">
        <x:v>249</x:v>
      </x:c>
      <x:c r="K2929" s="10" t="n">
        <x:v>0.1</x:v>
      </x:c>
      <x:c r="L2929" s="11" t="n">
        <x:v>0</x:v>
      </x:c>
      <x:c r="M2929" s="9" t="n">
        <x:f>IF(D2929="Completed",I2929*J2929,0)</x:f>
        <x:v>498</x:v>
      </x:c>
      <x:c r="N2929" s="9" t="n">
        <x:f>M2929*K2929</x:f>
        <x:v>49.800000000000004</x:v>
      </x:c>
      <x:c r="O2929" s="9" t="n">
        <x:f>M2929-N2929</x:f>
        <x:v>448.2</x:v>
      </x:c>
      <x:c r="P2929" s="9" t="n">
        <x:f>IF(D2929="Completed",L2929*J2929*(1-K2929),0)</x:f>
        <x:v>0</x:v>
      </x:c>
      <x:c r="Q2929" s="9" t="n">
        <x:f>O2929-P2929</x:f>
        <x:v>448.2</x:v>
      </x:c>
      <x:c r="R2929" s="11" t="n">
        <x:f>IF(D2929="Completed",I2929,0)</x:f>
        <x:v>2</x:v>
      </x:c>
      <x:c r="S2929" s="11" t="n">
        <x:f>IF(D2929="Completed",L2929,0)</x:f>
        <x:v>0</x:v>
      </x:c>
      <x:c r="T2929" s="8" t="n">
        <x:f>DATE(YEAR(C2929),MONTH(C2929),1)</x:f>
        <x:v>45870</x:v>
      </x:c>
    </x:row>
    <x:row r="2930" ht="22" customHeight="1">
      <x:c r="A2930" s="2" t="str">
        <x:v>L002926</x:v>
      </x:c>
      <x:c r="B2930" s="2" t="str">
        <x:v>O01194</x:v>
      </x:c>
      <x:c r="C2930" s="7" t="n">
        <x:v>45967</x:v>
      </x:c>
      <x:c r="D2930" s="2" t="str">
        <x:v>Completed</x:v>
      </x:c>
      <x:c r="E2930" s="2" t="str">
        <x:v>North</x:v>
      </x:c>
      <x:c r="F2930" s="2" t="str">
        <x:v>Online</x:v>
      </x:c>
      <x:c r="G2930" s="2" t="str">
        <x:v>Lighting</x:v>
      </x:c>
      <x:c r="H2930" s="2" t="str">
        <x:v>Lamp 009</x:v>
      </x:c>
      <x:c r="I2930" s="11" t="n">
        <x:v>2</x:v>
      </x:c>
      <x:c r="J2930" s="9" t="n">
        <x:v>93</x:v>
      </x:c>
      <x:c r="K2930" s="10" t="n">
        <x:v>0.05</x:v>
      </x:c>
      <x:c r="L2930" s="11" t="n">
        <x:v>0</x:v>
      </x:c>
      <x:c r="M2930" s="9" t="n">
        <x:f>IF(D2930="Completed",I2930*J2930,0)</x:f>
        <x:v>186</x:v>
      </x:c>
      <x:c r="N2930" s="9" t="n">
        <x:f>M2930*K2930</x:f>
        <x:v>9.3</x:v>
      </x:c>
      <x:c r="O2930" s="9" t="n">
        <x:f>M2930-N2930</x:f>
        <x:v>176.7</x:v>
      </x:c>
      <x:c r="P2930" s="9" t="n">
        <x:f>IF(D2930="Completed",L2930*J2930*(1-K2930),0)</x:f>
        <x:v>0</x:v>
      </x:c>
      <x:c r="Q2930" s="9" t="n">
        <x:f>O2930-P2930</x:f>
        <x:v>176.7</x:v>
      </x:c>
      <x:c r="R2930" s="11" t="n">
        <x:f>IF(D2930="Completed",I2930,0)</x:f>
        <x:v>2</x:v>
      </x:c>
      <x:c r="S2930" s="11" t="n">
        <x:f>IF(D2930="Completed",L2930,0)</x:f>
        <x:v>0</x:v>
      </x:c>
      <x:c r="T2930" s="8" t="n">
        <x:f>DATE(YEAR(C2930),MONTH(C2930),1)</x:f>
        <x:v>45962</x:v>
      </x:c>
    </x:row>
    <x:row r="2931" ht="22" customHeight="1">
      <x:c r="A2931" s="2" t="str">
        <x:v>L002927</x:v>
      </x:c>
      <x:c r="B2931" s="2" t="str">
        <x:v>O01195</x:v>
      </x:c>
      <x:c r="C2931" s="7" t="n">
        <x:v>45760</x:v>
      </x:c>
      <x:c r="D2931" s="2" t="str">
        <x:v>Completed</x:v>
      </x:c>
      <x:c r="E2931" s="2" t="str">
        <x:v>West</x:v>
      </x:c>
      <x:c r="F2931" s="2" t="str">
        <x:v>Online</x:v>
      </x:c>
      <x:c r="G2931" s="2" t="str">
        <x:v>Furniture</x:v>
      </x:c>
      <x:c r="H2931" s="2" t="str">
        <x:v>Desk 020</x:v>
      </x:c>
      <x:c r="I2931" s="11" t="n">
        <x:v>2</x:v>
      </x:c>
      <x:c r="J2931" s="9" t="n">
        <x:v>189</x:v>
      </x:c>
      <x:c r="K2931" s="10" t="n">
        <x:v>0.2</x:v>
      </x:c>
      <x:c r="L2931" s="11" t="n">
        <x:v>0</x:v>
      </x:c>
      <x:c r="M2931" s="9" t="n">
        <x:f>IF(D2931="Completed",I2931*J2931,0)</x:f>
        <x:v>378</x:v>
      </x:c>
      <x:c r="N2931" s="9" t="n">
        <x:f>M2931*K2931</x:f>
        <x:v>75.60000000000001</x:v>
      </x:c>
      <x:c r="O2931" s="9" t="n">
        <x:f>M2931-N2931</x:f>
        <x:v>302.4</x:v>
      </x:c>
      <x:c r="P2931" s="9" t="n">
        <x:f>IF(D2931="Completed",L2931*J2931*(1-K2931),0)</x:f>
        <x:v>0</x:v>
      </x:c>
      <x:c r="Q2931" s="9" t="n">
        <x:f>O2931-P2931</x:f>
        <x:v>302.4</x:v>
      </x:c>
      <x:c r="R2931" s="11" t="n">
        <x:f>IF(D2931="Completed",I2931,0)</x:f>
        <x:v>2</x:v>
      </x:c>
      <x:c r="S2931" s="11" t="n">
        <x:f>IF(D2931="Completed",L2931,0)</x:f>
        <x:v>0</x:v>
      </x:c>
      <x:c r="T2931" s="8" t="n">
        <x:f>DATE(YEAR(C2931),MONTH(C2931),1)</x:f>
        <x:v>45748</x:v>
      </x:c>
    </x:row>
    <x:row r="2932" ht="22" customHeight="1">
      <x:c r="A2932" s="2" t="str">
        <x:v>L002928</x:v>
      </x:c>
      <x:c r="B2932" s="2" t="str">
        <x:v>O01195</x:v>
      </x:c>
      <x:c r="C2932" s="7" t="n">
        <x:v>45760</x:v>
      </x:c>
      <x:c r="D2932" s="2" t="str">
        <x:v>Completed</x:v>
      </x:c>
      <x:c r="E2932" s="2" t="str">
        <x:v>West</x:v>
      </x:c>
      <x:c r="F2932" s="2" t="str">
        <x:v>Online</x:v>
      </x:c>
      <x:c r="G2932" s="2" t="str">
        <x:v>Lighting</x:v>
      </x:c>
      <x:c r="H2932" s="2" t="str">
        <x:v>Lamp 017</x:v>
      </x:c>
      <x:c r="I2932" s="11" t="n">
        <x:v>2</x:v>
      </x:c>
      <x:c r="J2932" s="9" t="n">
        <x:v>300</x:v>
      </x:c>
      <x:c r="K2932" s="10" t="n">
        <x:v>0.1</x:v>
      </x:c>
      <x:c r="L2932" s="11" t="n">
        <x:v>0</x:v>
      </x:c>
      <x:c r="M2932" s="9" t="n">
        <x:f>IF(D2932="Completed",I2932*J2932,0)</x:f>
        <x:v>600</x:v>
      </x:c>
      <x:c r="N2932" s="9" t="n">
        <x:f>M2932*K2932</x:f>
        <x:v>60</x:v>
      </x:c>
      <x:c r="O2932" s="9" t="n">
        <x:f>M2932-N2932</x:f>
        <x:v>540</x:v>
      </x:c>
      <x:c r="P2932" s="9" t="n">
        <x:f>IF(D2932="Completed",L2932*J2932*(1-K2932),0)</x:f>
        <x:v>0</x:v>
      </x:c>
      <x:c r="Q2932" s="9" t="n">
        <x:f>O2932-P2932</x:f>
        <x:v>540</x:v>
      </x:c>
      <x:c r="R2932" s="11" t="n">
        <x:f>IF(D2932="Completed",I2932,0)</x:f>
        <x:v>2</x:v>
      </x:c>
      <x:c r="S2932" s="11" t="n">
        <x:f>IF(D2932="Completed",L2932,0)</x:f>
        <x:v>0</x:v>
      </x:c>
      <x:c r="T2932" s="8" t="n">
        <x:f>DATE(YEAR(C2932),MONTH(C2932),1)</x:f>
        <x:v>45748</x:v>
      </x:c>
    </x:row>
    <x:row r="2933" ht="22" customHeight="1">
      <x:c r="A2933" s="2" t="str">
        <x:v>L002929</x:v>
      </x:c>
      <x:c r="B2933" s="2" t="str">
        <x:v>O01196</x:v>
      </x:c>
      <x:c r="C2933" s="7" t="n">
        <x:v>45979</x:v>
      </x:c>
      <x:c r="D2933" s="2" t="str">
        <x:v>Completed</x:v>
      </x:c>
      <x:c r="E2933" s="2" t="str">
        <x:v>North</x:v>
      </x:c>
      <x:c r="F2933" s="2" t="str">
        <x:v>Online</x:v>
      </x:c>
      <x:c r="G2933" s="2" t="str">
        <x:v>Furniture</x:v>
      </x:c>
      <x:c r="H2933" s="2" t="str">
        <x:v>Chair 014</x:v>
      </x:c>
      <x:c r="I2933" s="11" t="n">
        <x:v>4</x:v>
      </x:c>
      <x:c r="J2933" s="9" t="n">
        <x:v>294</x:v>
      </x:c>
      <x:c r="K2933" s="10" t="n">
        <x:v>0.05</x:v>
      </x:c>
      <x:c r="L2933" s="11" t="n">
        <x:v>0</x:v>
      </x:c>
      <x:c r="M2933" s="9" t="n">
        <x:f>IF(D2933="Completed",I2933*J2933,0)</x:f>
        <x:v>1176</x:v>
      </x:c>
      <x:c r="N2933" s="9" t="n">
        <x:f>M2933*K2933</x:f>
        <x:v>58.800000000000004</x:v>
      </x:c>
      <x:c r="O2933" s="9" t="n">
        <x:f>M2933-N2933</x:f>
        <x:v>1117.2</x:v>
      </x:c>
      <x:c r="P2933" s="9" t="n">
        <x:f>IF(D2933="Completed",L2933*J2933*(1-K2933),0)</x:f>
        <x:v>0</x:v>
      </x:c>
      <x:c r="Q2933" s="9" t="n">
        <x:f>O2933-P2933</x:f>
        <x:v>1117.2</x:v>
      </x:c>
      <x:c r="R2933" s="11" t="n">
        <x:f>IF(D2933="Completed",I2933,0)</x:f>
        <x:v>4</x:v>
      </x:c>
      <x:c r="S2933" s="11" t="n">
        <x:f>IF(D2933="Completed",L2933,0)</x:f>
        <x:v>0</x:v>
      </x:c>
      <x:c r="T2933" s="8" t="n">
        <x:f>DATE(YEAR(C2933),MONTH(C2933),1)</x:f>
        <x:v>45962</x:v>
      </x:c>
    </x:row>
    <x:row r="2934" ht="22" customHeight="1">
      <x:c r="A2934" s="2" t="str">
        <x:v>L002930</x:v>
      </x:c>
      <x:c r="B2934" s="2" t="str">
        <x:v>O01196</x:v>
      </x:c>
      <x:c r="C2934" s="7" t="n">
        <x:v>45979</x:v>
      </x:c>
      <x:c r="D2934" s="2" t="str">
        <x:v>Completed</x:v>
      </x:c>
      <x:c r="E2934" s="2" t="str">
        <x:v>North</x:v>
      </x:c>
      <x:c r="F2934" s="2" t="str">
        <x:v>Online</x:v>
      </x:c>
      <x:c r="G2934" s="2" t="str">
        <x:v>Furniture</x:v>
      </x:c>
      <x:c r="H2934" s="2" t="str">
        <x:v>Chair 022</x:v>
      </x:c>
      <x:c r="I2934" s="11" t="n">
        <x:v>1</x:v>
      </x:c>
      <x:c r="J2934" s="9" t="n">
        <x:v>134</x:v>
      </x:c>
      <x:c r="K2934" s="10" t="n">
        <x:v>0.05</x:v>
      </x:c>
      <x:c r="L2934" s="11" t="n">
        <x:v>0</x:v>
      </x:c>
      <x:c r="M2934" s="9" t="n">
        <x:f>IF(D2934="Completed",I2934*J2934,0)</x:f>
        <x:v>134</x:v>
      </x:c>
      <x:c r="N2934" s="9" t="n">
        <x:f>M2934*K2934</x:f>
        <x:v>6.7</x:v>
      </x:c>
      <x:c r="O2934" s="9" t="n">
        <x:f>M2934-N2934</x:f>
        <x:v>127.3</x:v>
      </x:c>
      <x:c r="P2934" s="9" t="n">
        <x:f>IF(D2934="Completed",L2934*J2934*(1-K2934),0)</x:f>
        <x:v>0</x:v>
      </x:c>
      <x:c r="Q2934" s="9" t="n">
        <x:f>O2934-P2934</x:f>
        <x:v>127.3</x:v>
      </x:c>
      <x:c r="R2934" s="11" t="n">
        <x:f>IF(D2934="Completed",I2934,0)</x:f>
        <x:v>1</x:v>
      </x:c>
      <x:c r="S2934" s="11" t="n">
        <x:f>IF(D2934="Completed",L2934,0)</x:f>
        <x:v>0</x:v>
      </x:c>
      <x:c r="T2934" s="8" t="n">
        <x:f>DATE(YEAR(C2934),MONTH(C2934),1)</x:f>
        <x:v>45962</x:v>
      </x:c>
    </x:row>
    <x:row r="2935" ht="22" customHeight="1">
      <x:c r="A2935" s="2" t="str">
        <x:v>L002931</x:v>
      </x:c>
      <x:c r="B2935" s="2" t="str">
        <x:v>O01197</x:v>
      </x:c>
      <x:c r="C2935" s="7" t="n">
        <x:v>45905</x:v>
      </x:c>
      <x:c r="D2935" s="2" t="str">
        <x:v>Completed</x:v>
      </x:c>
      <x:c r="E2935" s="2" t="str">
        <x:v>West</x:v>
      </x:c>
      <x:c r="F2935" s="2" t="str">
        <x:v>Store</x:v>
      </x:c>
      <x:c r="G2935" s="2" t="str">
        <x:v>Lighting</x:v>
      </x:c>
      <x:c r="H2935" s="2" t="str">
        <x:v>Lamp 013</x:v>
      </x:c>
      <x:c r="I2935" s="11" t="n">
        <x:v>3</x:v>
      </x:c>
      <x:c r="J2935" s="9" t="n">
        <x:v>271</x:v>
      </x:c>
      <x:c r="K2935" s="10" t="n">
        <x:v>0.1</x:v>
      </x:c>
      <x:c r="L2935" s="11" t="n">
        <x:v>1</x:v>
      </x:c>
      <x:c r="M2935" s="9" t="n">
        <x:f>IF(D2935="Completed",I2935*J2935,0)</x:f>
        <x:v>813</x:v>
      </x:c>
      <x:c r="N2935" s="9" t="n">
        <x:f>M2935*K2935</x:f>
        <x:v>81.30000000000001</x:v>
      </x:c>
      <x:c r="O2935" s="9" t="n">
        <x:f>M2935-N2935</x:f>
        <x:v>731.7</x:v>
      </x:c>
      <x:c r="P2935" s="9" t="n">
        <x:f>IF(D2935="Completed",L2935*J2935*(1-K2935),0)</x:f>
        <x:v>243.9</x:v>
      </x:c>
      <x:c r="Q2935" s="9" t="n">
        <x:f>O2935-P2935</x:f>
        <x:v>487.80000000000007</x:v>
      </x:c>
      <x:c r="R2935" s="11" t="n">
        <x:f>IF(D2935="Completed",I2935,0)</x:f>
        <x:v>3</x:v>
      </x:c>
      <x:c r="S2935" s="11" t="n">
        <x:f>IF(D2935="Completed",L2935,0)</x:f>
        <x:v>1</x:v>
      </x:c>
      <x:c r="T2935" s="8" t="n">
        <x:f>DATE(YEAR(C2935),MONTH(C2935),1)</x:f>
        <x:v>45901</x:v>
      </x:c>
    </x:row>
    <x:row r="2936" ht="22" customHeight="1">
      <x:c r="A2936" s="2" t="str">
        <x:v>L002932</x:v>
      </x:c>
      <x:c r="B2936" s="2" t="str">
        <x:v>O01197</x:v>
      </x:c>
      <x:c r="C2936" s="7" t="n">
        <x:v>45905</x:v>
      </x:c>
      <x:c r="D2936" s="2" t="str">
        <x:v>Completed</x:v>
      </x:c>
      <x:c r="E2936" s="2" t="str">
        <x:v>West</x:v>
      </x:c>
      <x:c r="F2936" s="2" t="str">
        <x:v>Store</x:v>
      </x:c>
      <x:c r="G2936" s="2" t="str">
        <x:v>Storage</x:v>
      </x:c>
      <x:c r="H2936" s="2" t="str">
        <x:v>Shelf 007</x:v>
      </x:c>
      <x:c r="I2936" s="11" t="n">
        <x:v>2</x:v>
      </x:c>
      <x:c r="J2936" s="9" t="n">
        <x:v>35</x:v>
      </x:c>
      <x:c r="K2936" s="10" t="n">
        <x:v>0.1</x:v>
      </x:c>
      <x:c r="L2936" s="11" t="n">
        <x:v>0</x:v>
      </x:c>
      <x:c r="M2936" s="9" t="n">
        <x:f>IF(D2936="Completed",I2936*J2936,0)</x:f>
        <x:v>70</x:v>
      </x:c>
      <x:c r="N2936" s="9" t="n">
        <x:f>M2936*K2936</x:f>
        <x:v>7</x:v>
      </x:c>
      <x:c r="O2936" s="9" t="n">
        <x:f>M2936-N2936</x:f>
        <x:v>63</x:v>
      </x:c>
      <x:c r="P2936" s="9" t="n">
        <x:f>IF(D2936="Completed",L2936*J2936*(1-K2936),0)</x:f>
        <x:v>0</x:v>
      </x:c>
      <x:c r="Q2936" s="9" t="n">
        <x:f>O2936-P2936</x:f>
        <x:v>63</x:v>
      </x:c>
      <x:c r="R2936" s="11" t="n">
        <x:f>IF(D2936="Completed",I2936,0)</x:f>
        <x:v>2</x:v>
      </x:c>
      <x:c r="S2936" s="11" t="n">
        <x:f>IF(D2936="Completed",L2936,0)</x:f>
        <x:v>0</x:v>
      </x:c>
      <x:c r="T2936" s="8" t="n">
        <x:f>DATE(YEAR(C2936),MONTH(C2936),1)</x:f>
        <x:v>45901</x:v>
      </x:c>
    </x:row>
    <x:row r="2937" ht="22" customHeight="1">
      <x:c r="A2937" s="2" t="str">
        <x:v>L002933</x:v>
      </x:c>
      <x:c r="B2937" s="2" t="str">
        <x:v>O01198</x:v>
      </x:c>
      <x:c r="C2937" s="7" t="n">
        <x:v>46020</x:v>
      </x:c>
      <x:c r="D2937" s="2" t="str">
        <x:v>Completed</x:v>
      </x:c>
      <x:c r="E2937" s="2" t="str">
        <x:v>South</x:v>
      </x:c>
      <x:c r="F2937" s="2" t="str">
        <x:v>Online</x:v>
      </x:c>
      <x:c r="G2937" s="2" t="str">
        <x:v>Furniture</x:v>
      </x:c>
      <x:c r="H2937" s="2" t="str">
        <x:v>Desk 020</x:v>
      </x:c>
      <x:c r="I2937" s="11" t="n">
        <x:v>2</x:v>
      </x:c>
      <x:c r="J2937" s="9" t="n">
        <x:v>189</x:v>
      </x:c>
      <x:c r="K2937" s="10" t="n">
        <x:v>0</x:v>
      </x:c>
      <x:c r="L2937" s="11" t="n">
        <x:v>0</x:v>
      </x:c>
      <x:c r="M2937" s="9" t="n">
        <x:f>IF(D2937="Completed",I2937*J2937,0)</x:f>
        <x:v>378</x:v>
      </x:c>
      <x:c r="N2937" s="9" t="n">
        <x:f>M2937*K2937</x:f>
        <x:v>0</x:v>
      </x:c>
      <x:c r="O2937" s="9" t="n">
        <x:f>M2937-N2937</x:f>
        <x:v>378</x:v>
      </x:c>
      <x:c r="P2937" s="9" t="n">
        <x:f>IF(D2937="Completed",L2937*J2937*(1-K2937),0)</x:f>
        <x:v>0</x:v>
      </x:c>
      <x:c r="Q2937" s="9" t="n">
        <x:f>O2937-P2937</x:f>
        <x:v>378</x:v>
      </x:c>
      <x:c r="R2937" s="11" t="n">
        <x:f>IF(D2937="Completed",I2937,0)</x:f>
        <x:v>2</x:v>
      </x:c>
      <x:c r="S2937" s="11" t="n">
        <x:f>IF(D2937="Completed",L2937,0)</x:f>
        <x:v>0</x:v>
      </x:c>
      <x:c r="T2937" s="8" t="n">
        <x:f>DATE(YEAR(C2937),MONTH(C2937),1)</x:f>
        <x:v>45992</x:v>
      </x:c>
    </x:row>
    <x:row r="2938" ht="22" customHeight="1">
      <x:c r="A2938" s="2" t="str">
        <x:v>L002934</x:v>
      </x:c>
      <x:c r="B2938" s="2" t="str">
        <x:v>O01198</x:v>
      </x:c>
      <x:c r="C2938" s="7" t="n">
        <x:v>46020</x:v>
      </x:c>
      <x:c r="D2938" s="2" t="str">
        <x:v>Completed</x:v>
      </x:c>
      <x:c r="E2938" s="2" t="str">
        <x:v>South</x:v>
      </x:c>
      <x:c r="F2938" s="2" t="str">
        <x:v>Online</x:v>
      </x:c>
      <x:c r="G2938" s="2" t="str">
        <x:v>Furniture</x:v>
      </x:c>
      <x:c r="H2938" s="2" t="str">
        <x:v>Chair 022</x:v>
      </x:c>
      <x:c r="I2938" s="11" t="n">
        <x:v>4</x:v>
      </x:c>
      <x:c r="J2938" s="9" t="n">
        <x:v>134</x:v>
      </x:c>
      <x:c r="K2938" s="10" t="n">
        <x:v>0.1</x:v>
      </x:c>
      <x:c r="L2938" s="11" t="n">
        <x:v>0</x:v>
      </x:c>
      <x:c r="M2938" s="9" t="n">
        <x:f>IF(D2938="Completed",I2938*J2938,0)</x:f>
        <x:v>536</x:v>
      </x:c>
      <x:c r="N2938" s="9" t="n">
        <x:f>M2938*K2938</x:f>
        <x:v>53.6</x:v>
      </x:c>
      <x:c r="O2938" s="9" t="n">
        <x:f>M2938-N2938</x:f>
        <x:v>482.4</x:v>
      </x:c>
      <x:c r="P2938" s="9" t="n">
        <x:f>IF(D2938="Completed",L2938*J2938*(1-K2938),0)</x:f>
        <x:v>0</x:v>
      </x:c>
      <x:c r="Q2938" s="9" t="n">
        <x:f>O2938-P2938</x:f>
        <x:v>482.4</x:v>
      </x:c>
      <x:c r="R2938" s="11" t="n">
        <x:f>IF(D2938="Completed",I2938,0)</x:f>
        <x:v>4</x:v>
      </x:c>
      <x:c r="S2938" s="11" t="n">
        <x:f>IF(D2938="Completed",L2938,0)</x:f>
        <x:v>0</x:v>
      </x:c>
      <x:c r="T2938" s="8" t="n">
        <x:f>DATE(YEAR(C2938),MONTH(C2938),1)</x:f>
        <x:v>45992</x:v>
      </x:c>
    </x:row>
    <x:row r="2939" ht="22" customHeight="1">
      <x:c r="A2939" s="2" t="str">
        <x:v>L002935</x:v>
      </x:c>
      <x:c r="B2939" s="2" t="str">
        <x:v>O01198</x:v>
      </x:c>
      <x:c r="C2939" s="7" t="n">
        <x:v>46020</x:v>
      </x:c>
      <x:c r="D2939" s="2" t="str">
        <x:v>Completed</x:v>
      </x:c>
      <x:c r="E2939" s="2" t="str">
        <x:v>South</x:v>
      </x:c>
      <x:c r="F2939" s="2" t="str">
        <x:v>Online</x:v>
      </x:c>
      <x:c r="G2939" s="2" t="str">
        <x:v>Lighting</x:v>
      </x:c>
      <x:c r="H2939" s="2" t="str">
        <x:v>Lamp 017</x:v>
      </x:c>
      <x:c r="I2939" s="11" t="n">
        <x:v>3</x:v>
      </x:c>
      <x:c r="J2939" s="9" t="n">
        <x:v>300</x:v>
      </x:c>
      <x:c r="K2939" s="10" t="n">
        <x:v>0.2</x:v>
      </x:c>
      <x:c r="L2939" s="11" t="n">
        <x:v>0</x:v>
      </x:c>
      <x:c r="M2939" s="9" t="n">
        <x:f>IF(D2939="Completed",I2939*J2939,0)</x:f>
        <x:v>900</x:v>
      </x:c>
      <x:c r="N2939" s="9" t="n">
        <x:f>M2939*K2939</x:f>
        <x:v>180</x:v>
      </x:c>
      <x:c r="O2939" s="9" t="n">
        <x:f>M2939-N2939</x:f>
        <x:v>720</x:v>
      </x:c>
      <x:c r="P2939" s="9" t="n">
        <x:f>IF(D2939="Completed",L2939*J2939*(1-K2939),0)</x:f>
        <x:v>0</x:v>
      </x:c>
      <x:c r="Q2939" s="9" t="n">
        <x:f>O2939-P2939</x:f>
        <x:v>720</x:v>
      </x:c>
      <x:c r="R2939" s="11" t="n">
        <x:f>IF(D2939="Completed",I2939,0)</x:f>
        <x:v>3</x:v>
      </x:c>
      <x:c r="S2939" s="11" t="n">
        <x:f>IF(D2939="Completed",L2939,0)</x:f>
        <x:v>0</x:v>
      </x:c>
      <x:c r="T2939" s="8" t="n">
        <x:f>DATE(YEAR(C2939),MONTH(C2939),1)</x:f>
        <x:v>45992</x:v>
      </x:c>
    </x:row>
    <x:row r="2940" ht="22" customHeight="1">
      <x:c r="A2940" s="2" t="str">
        <x:v>L002936</x:v>
      </x:c>
      <x:c r="B2940" s="2" t="str">
        <x:v>O01199</x:v>
      </x:c>
      <x:c r="C2940" s="7" t="n">
        <x:v>45781</x:v>
      </x:c>
      <x:c r="D2940" s="2" t="str">
        <x:v>Completed</x:v>
      </x:c>
      <x:c r="E2940" s="2" t="str">
        <x:v>West</x:v>
      </x:c>
      <x:c r="F2940" s="2" t="str">
        <x:v>Store</x:v>
      </x:c>
      <x:c r="G2940" s="2" t="str">
        <x:v>Furniture</x:v>
      </x:c>
      <x:c r="H2940" s="2" t="str">
        <x:v>Chair 002</x:v>
      </x:c>
      <x:c r="I2940" s="11" t="n">
        <x:v>1</x:v>
      </x:c>
      <x:c r="J2940" s="9" t="n">
        <x:v>284</x:v>
      </x:c>
      <x:c r="K2940" s="10" t="n">
        <x:v>0.1</x:v>
      </x:c>
      <x:c r="L2940" s="11" t="n">
        <x:v>0</x:v>
      </x:c>
      <x:c r="M2940" s="9" t="n">
        <x:f>IF(D2940="Completed",I2940*J2940,0)</x:f>
        <x:v>284</x:v>
      </x:c>
      <x:c r="N2940" s="9" t="n">
        <x:f>M2940*K2940</x:f>
        <x:v>28.400000000000002</x:v>
      </x:c>
      <x:c r="O2940" s="9" t="n">
        <x:f>M2940-N2940</x:f>
        <x:v>255.6</x:v>
      </x:c>
      <x:c r="P2940" s="9" t="n">
        <x:f>IF(D2940="Completed",L2940*J2940*(1-K2940),0)</x:f>
        <x:v>0</x:v>
      </x:c>
      <x:c r="Q2940" s="9" t="n">
        <x:f>O2940-P2940</x:f>
        <x:v>255.6</x:v>
      </x:c>
      <x:c r="R2940" s="11" t="n">
        <x:f>IF(D2940="Completed",I2940,0)</x:f>
        <x:v>1</x:v>
      </x:c>
      <x:c r="S2940" s="11" t="n">
        <x:f>IF(D2940="Completed",L2940,0)</x:f>
        <x:v>0</x:v>
      </x:c>
      <x:c r="T2940" s="8" t="n">
        <x:f>DATE(YEAR(C2940),MONTH(C2940),1)</x:f>
        <x:v>45778</x:v>
      </x:c>
    </x:row>
    <x:row r="2941" ht="22" customHeight="1">
      <x:c r="A2941" s="2" t="str">
        <x:v>L002937</x:v>
      </x:c>
      <x:c r="B2941" s="2" t="str">
        <x:v>O01200</x:v>
      </x:c>
      <x:c r="C2941" s="7" t="n">
        <x:v>45750</x:v>
      </x:c>
      <x:c r="D2941" s="2" t="str">
        <x:v>Completed</x:v>
      </x:c>
      <x:c r="E2941" s="2" t="str">
        <x:v>South</x:v>
      </x:c>
      <x:c r="F2941" s="2" t="str">
        <x:v>Store</x:v>
      </x:c>
      <x:c r="G2941" s="2" t="str">
        <x:v>Storage</x:v>
      </x:c>
      <x:c r="H2941" s="2" t="str">
        <x:v>Shelf 003</x:v>
      </x:c>
      <x:c r="I2941" s="11" t="n">
        <x:v>4</x:v>
      </x:c>
      <x:c r="J2941" s="9" t="n">
        <x:v>199</x:v>
      </x:c>
      <x:c r="K2941" s="10" t="n">
        <x:v>0.1</x:v>
      </x:c>
      <x:c r="L2941" s="11" t="n">
        <x:v>0</x:v>
      </x:c>
      <x:c r="M2941" s="9" t="n">
        <x:f>IF(D2941="Completed",I2941*J2941,0)</x:f>
        <x:v>796</x:v>
      </x:c>
      <x:c r="N2941" s="9" t="n">
        <x:f>M2941*K2941</x:f>
        <x:v>79.60000000000001</x:v>
      </x:c>
      <x:c r="O2941" s="9" t="n">
        <x:f>M2941-N2941</x:f>
        <x:v>716.4</x:v>
      </x:c>
      <x:c r="P2941" s="9" t="n">
        <x:f>IF(D2941="Completed",L2941*J2941*(1-K2941),0)</x:f>
        <x:v>0</x:v>
      </x:c>
      <x:c r="Q2941" s="9" t="n">
        <x:f>O2941-P2941</x:f>
        <x:v>716.4</x:v>
      </x:c>
      <x:c r="R2941" s="11" t="n">
        <x:f>IF(D2941="Completed",I2941,0)</x:f>
        <x:v>4</x:v>
      </x:c>
      <x:c r="S2941" s="11" t="n">
        <x:f>IF(D2941="Completed",L2941,0)</x:f>
        <x:v>0</x:v>
      </x:c>
      <x:c r="T2941" s="8" t="n">
        <x:f>DATE(YEAR(C2941),MONTH(C2941),1)</x:f>
        <x:v>45748</x:v>
      </x:c>
    </x:row>
    <x:row r="2942" ht="22" customHeight="1">
      <x:c r="A2942" s="2" t="str">
        <x:v>L002938</x:v>
      </x:c>
      <x:c r="B2942" s="2" t="str">
        <x:v>O01200</x:v>
      </x:c>
      <x:c r="C2942" s="7" t="n">
        <x:v>45750</x:v>
      </x:c>
      <x:c r="D2942" s="2" t="str">
        <x:v>Completed</x:v>
      </x:c>
      <x:c r="E2942" s="2" t="str">
        <x:v>South</x:v>
      </x:c>
      <x:c r="F2942" s="2" t="str">
        <x:v>Store</x:v>
      </x:c>
      <x:c r="G2942" s="2" t="str">
        <x:v>Furniture</x:v>
      </x:c>
      <x:c r="H2942" s="2" t="str">
        <x:v>Chair 022</x:v>
      </x:c>
      <x:c r="I2942" s="11" t="n">
        <x:v>2</x:v>
      </x:c>
      <x:c r="J2942" s="9" t="n">
        <x:v>134</x:v>
      </x:c>
      <x:c r="K2942" s="10" t="n">
        <x:v>0.2</x:v>
      </x:c>
      <x:c r="L2942" s="11" t="n">
        <x:v>0</x:v>
      </x:c>
      <x:c r="M2942" s="9" t="n">
        <x:f>IF(D2942="Completed",I2942*J2942,0)</x:f>
        <x:v>268</x:v>
      </x:c>
      <x:c r="N2942" s="9" t="n">
        <x:f>M2942*K2942</x:f>
        <x:v>53.6</x:v>
      </x:c>
      <x:c r="O2942" s="9" t="n">
        <x:f>M2942-N2942</x:f>
        <x:v>214.4</x:v>
      </x:c>
      <x:c r="P2942" s="9" t="n">
        <x:f>IF(D2942="Completed",L2942*J2942*(1-K2942),0)</x:f>
        <x:v>0</x:v>
      </x:c>
      <x:c r="Q2942" s="9" t="n">
        <x:f>O2942-P2942</x:f>
        <x:v>214.4</x:v>
      </x:c>
      <x:c r="R2942" s="11" t="n">
        <x:f>IF(D2942="Completed",I2942,0)</x:f>
        <x:v>2</x:v>
      </x:c>
      <x:c r="S2942" s="11" t="n">
        <x:f>IF(D2942="Completed",L2942,0)</x:f>
        <x:v>0</x:v>
      </x:c>
      <x:c r="T2942" s="8" t="n">
        <x:f>DATE(YEAR(C2942),MONTH(C2942),1)</x:f>
        <x:v>45748</x:v>
      </x:c>
    </x:row>
    <x:row r="2943" ht="22" customHeight="1">
      <x:c r="A2943" s="2" t="str">
        <x:v>L002939</x:v>
      </x:c>
      <x:c r="B2943" s="2" t="str">
        <x:v>O01201</x:v>
      </x:c>
      <x:c r="C2943" s="7" t="n">
        <x:v>45761</x:v>
      </x:c>
      <x:c r="D2943" s="2" t="str">
        <x:v>Completed</x:v>
      </x:c>
      <x:c r="E2943" s="2" t="str">
        <x:v>East</x:v>
      </x:c>
      <x:c r="F2943" s="2" t="str">
        <x:v>Online</x:v>
      </x:c>
      <x:c r="G2943" s="2" t="str">
        <x:v>Lighting</x:v>
      </x:c>
      <x:c r="H2943" s="2" t="str">
        <x:v>Lamp 017</x:v>
      </x:c>
      <x:c r="I2943" s="11" t="n">
        <x:v>1</x:v>
      </x:c>
      <x:c r="J2943" s="9" t="n">
        <x:v>300</x:v>
      </x:c>
      <x:c r="K2943" s="10" t="n">
        <x:v>0</x:v>
      </x:c>
      <x:c r="L2943" s="11" t="n">
        <x:v>0</x:v>
      </x:c>
      <x:c r="M2943" s="9" t="n">
        <x:f>IF(D2943="Completed",I2943*J2943,0)</x:f>
        <x:v>300</x:v>
      </x:c>
      <x:c r="N2943" s="9" t="n">
        <x:f>M2943*K2943</x:f>
        <x:v>0</x:v>
      </x:c>
      <x:c r="O2943" s="9" t="n">
        <x:f>M2943-N2943</x:f>
        <x:v>300</x:v>
      </x:c>
      <x:c r="P2943" s="9" t="n">
        <x:f>IF(D2943="Completed",L2943*J2943*(1-K2943),0)</x:f>
        <x:v>0</x:v>
      </x:c>
      <x:c r="Q2943" s="9" t="n">
        <x:f>O2943-P2943</x:f>
        <x:v>300</x:v>
      </x:c>
      <x:c r="R2943" s="11" t="n">
        <x:f>IF(D2943="Completed",I2943,0)</x:f>
        <x:v>1</x:v>
      </x:c>
      <x:c r="S2943" s="11" t="n">
        <x:f>IF(D2943="Completed",L2943,0)</x:f>
        <x:v>0</x:v>
      </x:c>
      <x:c r="T2943" s="8" t="n">
        <x:f>DATE(YEAR(C2943),MONTH(C2943),1)</x:f>
        <x:v>45748</x:v>
      </x:c>
    </x:row>
    <x:row r="2944" ht="22" customHeight="1">
      <x:c r="A2944" s="2" t="str">
        <x:v>L002940</x:v>
      </x:c>
      <x:c r="B2944" s="2" t="str">
        <x:v>O01201</x:v>
      </x:c>
      <x:c r="C2944" s="7" t="n">
        <x:v>45761</x:v>
      </x:c>
      <x:c r="D2944" s="2" t="str">
        <x:v>Completed</x:v>
      </x:c>
      <x:c r="E2944" s="2" t="str">
        <x:v>East</x:v>
      </x:c>
      <x:c r="F2944" s="2" t="str">
        <x:v>Online</x:v>
      </x:c>
      <x:c r="G2944" s="2" t="str">
        <x:v>Furniture</x:v>
      </x:c>
      <x:c r="H2944" s="2" t="str">
        <x:v>Chair 014</x:v>
      </x:c>
      <x:c r="I2944" s="11" t="n">
        <x:v>3</x:v>
      </x:c>
      <x:c r="J2944" s="9" t="n">
        <x:v>294</x:v>
      </x:c>
      <x:c r="K2944" s="10" t="n">
        <x:v>0.2</x:v>
      </x:c>
      <x:c r="L2944" s="11" t="n">
        <x:v>0</x:v>
      </x:c>
      <x:c r="M2944" s="9" t="n">
        <x:f>IF(D2944="Completed",I2944*J2944,0)</x:f>
        <x:v>882</x:v>
      </x:c>
      <x:c r="N2944" s="9" t="n">
        <x:f>M2944*K2944</x:f>
        <x:v>176.4</x:v>
      </x:c>
      <x:c r="O2944" s="9" t="n">
        <x:f>M2944-N2944</x:f>
        <x:v>705.6</x:v>
      </x:c>
      <x:c r="P2944" s="9" t="n">
        <x:f>IF(D2944="Completed",L2944*J2944*(1-K2944),0)</x:f>
        <x:v>0</x:v>
      </x:c>
      <x:c r="Q2944" s="9" t="n">
        <x:f>O2944-P2944</x:f>
        <x:v>705.6</x:v>
      </x:c>
      <x:c r="R2944" s="11" t="n">
        <x:f>IF(D2944="Completed",I2944,0)</x:f>
        <x:v>3</x:v>
      </x:c>
      <x:c r="S2944" s="11" t="n">
        <x:f>IF(D2944="Completed",L2944,0)</x:f>
        <x:v>0</x:v>
      </x:c>
      <x:c r="T2944" s="8" t="n">
        <x:f>DATE(YEAR(C2944),MONTH(C2944),1)</x:f>
        <x:v>45748</x:v>
      </x:c>
    </x:row>
    <x:row r="2945" ht="22" customHeight="1">
      <x:c r="A2945" s="2" t="str">
        <x:v>L002941</x:v>
      </x:c>
      <x:c r="B2945" s="2" t="str">
        <x:v>O01201</x:v>
      </x:c>
      <x:c r="C2945" s="7" t="n">
        <x:v>45761</x:v>
      </x:c>
      <x:c r="D2945" s="2" t="str">
        <x:v>Completed</x:v>
      </x:c>
      <x:c r="E2945" s="2" t="str">
        <x:v>East</x:v>
      </x:c>
      <x:c r="F2945" s="2" t="str">
        <x:v>Online</x:v>
      </x:c>
      <x:c r="G2945" s="2" t="str">
        <x:v>Furniture</x:v>
      </x:c>
      <x:c r="H2945" s="2" t="str">
        <x:v>Desk 016</x:v>
      </x:c>
      <x:c r="I2945" s="11" t="n">
        <x:v>3</x:v>
      </x:c>
      <x:c r="J2945" s="9" t="n">
        <x:v>231</x:v>
      </x:c>
      <x:c r="K2945" s="10" t="n">
        <x:v>0</x:v>
      </x:c>
      <x:c r="L2945" s="11" t="n">
        <x:v>0</x:v>
      </x:c>
      <x:c r="M2945" s="9" t="n">
        <x:f>IF(D2945="Completed",I2945*J2945,0)</x:f>
        <x:v>693</x:v>
      </x:c>
      <x:c r="N2945" s="9" t="n">
        <x:f>M2945*K2945</x:f>
        <x:v>0</x:v>
      </x:c>
      <x:c r="O2945" s="9" t="n">
        <x:f>M2945-N2945</x:f>
        <x:v>693</x:v>
      </x:c>
      <x:c r="P2945" s="9" t="n">
        <x:f>IF(D2945="Completed",L2945*J2945*(1-K2945),0)</x:f>
        <x:v>0</x:v>
      </x:c>
      <x:c r="Q2945" s="9" t="n">
        <x:f>O2945-P2945</x:f>
        <x:v>693</x:v>
      </x:c>
      <x:c r="R2945" s="11" t="n">
        <x:f>IF(D2945="Completed",I2945,0)</x:f>
        <x:v>3</x:v>
      </x:c>
      <x:c r="S2945" s="11" t="n">
        <x:f>IF(D2945="Completed",L2945,0)</x:f>
        <x:v>0</x:v>
      </x:c>
      <x:c r="T2945" s="8" t="n">
        <x:f>DATE(YEAR(C2945),MONTH(C2945),1)</x:f>
        <x:v>45748</x:v>
      </x:c>
    </x:row>
    <x:row r="2946" ht="22" customHeight="1">
      <x:c r="A2946" s="2" t="str">
        <x:v>L002942</x:v>
      </x:c>
      <x:c r="B2946" s="2" t="str">
        <x:v>O01202</x:v>
      </x:c>
      <x:c r="C2946" s="7" t="n">
        <x:v>45897</x:v>
      </x:c>
      <x:c r="D2946" s="2" t="str">
        <x:v>Completed</x:v>
      </x:c>
      <x:c r="E2946" s="2" t="str">
        <x:v>West</x:v>
      </x:c>
      <x:c r="F2946" s="2" t="str">
        <x:v>Online</x:v>
      </x:c>
      <x:c r="G2946" s="2" t="str">
        <x:v>Furniture</x:v>
      </x:c>
      <x:c r="H2946" s="2" t="str">
        <x:v>Desk 004</x:v>
      </x:c>
      <x:c r="I2946" s="11" t="n">
        <x:v>5</x:v>
      </x:c>
      <x:c r="J2946" s="9" t="n">
        <x:v>123</x:v>
      </x:c>
      <x:c r="K2946" s="10" t="n">
        <x:v>0.05</x:v>
      </x:c>
      <x:c r="L2946" s="11" t="n">
        <x:v>0</x:v>
      </x:c>
      <x:c r="M2946" s="9" t="n">
        <x:f>IF(D2946="Completed",I2946*J2946,0)</x:f>
        <x:v>615</x:v>
      </x:c>
      <x:c r="N2946" s="9" t="n">
        <x:f>M2946*K2946</x:f>
        <x:v>30.75</x:v>
      </x:c>
      <x:c r="O2946" s="9" t="n">
        <x:f>M2946-N2946</x:f>
        <x:v>584.25</x:v>
      </x:c>
      <x:c r="P2946" s="9" t="n">
        <x:f>IF(D2946="Completed",L2946*J2946*(1-K2946),0)</x:f>
        <x:v>0</x:v>
      </x:c>
      <x:c r="Q2946" s="9" t="n">
        <x:f>O2946-P2946</x:f>
        <x:v>584.25</x:v>
      </x:c>
      <x:c r="R2946" s="11" t="n">
        <x:f>IF(D2946="Completed",I2946,0)</x:f>
        <x:v>5</x:v>
      </x:c>
      <x:c r="S2946" s="11" t="n">
        <x:f>IF(D2946="Completed",L2946,0)</x:f>
        <x:v>0</x:v>
      </x:c>
      <x:c r="T2946" s="8" t="n">
        <x:f>DATE(YEAR(C2946),MONTH(C2946),1)</x:f>
        <x:v>45870</x:v>
      </x:c>
    </x:row>
    <x:row r="2947" ht="22" customHeight="1">
      <x:c r="A2947" s="2" t="str">
        <x:v>L002943</x:v>
      </x:c>
      <x:c r="B2947" s="2" t="str">
        <x:v>O01202</x:v>
      </x:c>
      <x:c r="C2947" s="7" t="n">
        <x:v>45897</x:v>
      </x:c>
      <x:c r="D2947" s="2" t="str">
        <x:v>Completed</x:v>
      </x:c>
      <x:c r="E2947" s="2" t="str">
        <x:v>West</x:v>
      </x:c>
      <x:c r="F2947" s="2" t="str">
        <x:v>Online</x:v>
      </x:c>
      <x:c r="G2947" s="2" t="str">
        <x:v>Storage</x:v>
      </x:c>
      <x:c r="H2947" s="2" t="str">
        <x:v>Shelf 003</x:v>
      </x:c>
      <x:c r="I2947" s="11" t="n">
        <x:v>2</x:v>
      </x:c>
      <x:c r="J2947" s="9" t="n">
        <x:v>199</x:v>
      </x:c>
      <x:c r="K2947" s="10" t="n">
        <x:v>0.2</x:v>
      </x:c>
      <x:c r="L2947" s="11" t="n">
        <x:v>0</x:v>
      </x:c>
      <x:c r="M2947" s="9" t="n">
        <x:f>IF(D2947="Completed",I2947*J2947,0)</x:f>
        <x:v>398</x:v>
      </x:c>
      <x:c r="N2947" s="9" t="n">
        <x:f>M2947*K2947</x:f>
        <x:v>79.60000000000001</x:v>
      </x:c>
      <x:c r="O2947" s="9" t="n">
        <x:f>M2947-N2947</x:f>
        <x:v>318.4</x:v>
      </x:c>
      <x:c r="P2947" s="9" t="n">
        <x:f>IF(D2947="Completed",L2947*J2947*(1-K2947),0)</x:f>
        <x:v>0</x:v>
      </x:c>
      <x:c r="Q2947" s="9" t="n">
        <x:f>O2947-P2947</x:f>
        <x:v>318.4</x:v>
      </x:c>
      <x:c r="R2947" s="11" t="n">
        <x:f>IF(D2947="Completed",I2947,0)</x:f>
        <x:v>2</x:v>
      </x:c>
      <x:c r="S2947" s="11" t="n">
        <x:f>IF(D2947="Completed",L2947,0)</x:f>
        <x:v>0</x:v>
      </x:c>
      <x:c r="T2947" s="8" t="n">
        <x:f>DATE(YEAR(C2947),MONTH(C2947),1)</x:f>
        <x:v>45870</x:v>
      </x:c>
    </x:row>
    <x:row r="2948" ht="22" customHeight="1">
      <x:c r="A2948" s="2" t="str">
        <x:v>L002944</x:v>
      </x:c>
      <x:c r="B2948" s="2" t="str">
        <x:v>O01203</x:v>
      </x:c>
      <x:c r="C2948" s="7" t="n">
        <x:v>45911</x:v>
      </x:c>
      <x:c r="D2948" s="2" t="str">
        <x:v>Completed</x:v>
      </x:c>
      <x:c r="E2948" s="2" t="str">
        <x:v>South</x:v>
      </x:c>
      <x:c r="F2948" s="2" t="str">
        <x:v>Online</x:v>
      </x:c>
      <x:c r="G2948" s="2" t="str">
        <x:v>Furniture</x:v>
      </x:c>
      <x:c r="H2948" s="2" t="str">
        <x:v>Chair 014</x:v>
      </x:c>
      <x:c r="I2948" s="11" t="n">
        <x:v>2</x:v>
      </x:c>
      <x:c r="J2948" s="9" t="n">
        <x:v>294</x:v>
      </x:c>
      <x:c r="K2948" s="10" t="n">
        <x:v>0.05</x:v>
      </x:c>
      <x:c r="L2948" s="11" t="n">
        <x:v>0</x:v>
      </x:c>
      <x:c r="M2948" s="9" t="n">
        <x:f>IF(D2948="Completed",I2948*J2948,0)</x:f>
        <x:v>588</x:v>
      </x:c>
      <x:c r="N2948" s="9" t="n">
        <x:f>M2948*K2948</x:f>
        <x:v>29.400000000000002</x:v>
      </x:c>
      <x:c r="O2948" s="9" t="n">
        <x:f>M2948-N2948</x:f>
        <x:v>558.6</x:v>
      </x:c>
      <x:c r="P2948" s="9" t="n">
        <x:f>IF(D2948="Completed",L2948*J2948*(1-K2948),0)</x:f>
        <x:v>0</x:v>
      </x:c>
      <x:c r="Q2948" s="9" t="n">
        <x:f>O2948-P2948</x:f>
        <x:v>558.6</x:v>
      </x:c>
      <x:c r="R2948" s="11" t="n">
        <x:f>IF(D2948="Completed",I2948,0)</x:f>
        <x:v>2</x:v>
      </x:c>
      <x:c r="S2948" s="11" t="n">
        <x:f>IF(D2948="Completed",L2948,0)</x:f>
        <x:v>0</x:v>
      </x:c>
      <x:c r="T2948" s="8" t="n">
        <x:f>DATE(YEAR(C2948),MONTH(C2948),1)</x:f>
        <x:v>45901</x:v>
      </x:c>
    </x:row>
    <x:row r="2949" ht="22" customHeight="1">
      <x:c r="A2949" s="2" t="str">
        <x:v>L002945</x:v>
      </x:c>
      <x:c r="B2949" s="2" t="str">
        <x:v>O01203</x:v>
      </x:c>
      <x:c r="C2949" s="7" t="n">
        <x:v>45911</x:v>
      </x:c>
      <x:c r="D2949" s="2" t="str">
        <x:v>Completed</x:v>
      </x:c>
      <x:c r="E2949" s="2" t="str">
        <x:v>South</x:v>
      </x:c>
      <x:c r="F2949" s="2" t="str">
        <x:v>Online</x:v>
      </x:c>
      <x:c r="G2949" s="2" t="str">
        <x:v>Furniture</x:v>
      </x:c>
      <x:c r="H2949" s="2" t="str">
        <x:v>Chair 014</x:v>
      </x:c>
      <x:c r="I2949" s="11" t="n">
        <x:v>5</x:v>
      </x:c>
      <x:c r="J2949" s="9" t="n">
        <x:v>294</x:v>
      </x:c>
      <x:c r="K2949" s="10" t="n">
        <x:v>0</x:v>
      </x:c>
      <x:c r="L2949" s="11" t="n">
        <x:v>0</x:v>
      </x:c>
      <x:c r="M2949" s="9" t="n">
        <x:f>IF(D2949="Completed",I2949*J2949,0)</x:f>
        <x:v>1470</x:v>
      </x:c>
      <x:c r="N2949" s="9" t="n">
        <x:f>M2949*K2949</x:f>
        <x:v>0</x:v>
      </x:c>
      <x:c r="O2949" s="9" t="n">
        <x:f>M2949-N2949</x:f>
        <x:v>1470</x:v>
      </x:c>
      <x:c r="P2949" s="9" t="n">
        <x:f>IF(D2949="Completed",L2949*J2949*(1-K2949),0)</x:f>
        <x:v>0</x:v>
      </x:c>
      <x:c r="Q2949" s="9" t="n">
        <x:f>O2949-P2949</x:f>
        <x:v>1470</x:v>
      </x:c>
      <x:c r="R2949" s="11" t="n">
        <x:f>IF(D2949="Completed",I2949,0)</x:f>
        <x:v>5</x:v>
      </x:c>
      <x:c r="S2949" s="11" t="n">
        <x:f>IF(D2949="Completed",L2949,0)</x:f>
        <x:v>0</x:v>
      </x:c>
      <x:c r="T2949" s="8" t="n">
        <x:f>DATE(YEAR(C2949),MONTH(C2949),1)</x:f>
        <x:v>45901</x:v>
      </x:c>
    </x:row>
    <x:row r="2950" ht="22" customHeight="1">
      <x:c r="A2950" s="2" t="str">
        <x:v>L002946</x:v>
      </x:c>
      <x:c r="B2950" s="2" t="str">
        <x:v>O01204</x:v>
      </x:c>
      <x:c r="C2950" s="7" t="n">
        <x:v>45688</x:v>
      </x:c>
      <x:c r="D2950" s="2" t="str">
        <x:v>Completed</x:v>
      </x:c>
      <x:c r="E2950" s="2" t="str">
        <x:v>South</x:v>
      </x:c>
      <x:c r="F2950" s="2" t="str">
        <x:v>Online</x:v>
      </x:c>
      <x:c r="G2950" s="2" t="str">
        <x:v>Furniture</x:v>
      </x:c>
      <x:c r="H2950" s="2" t="str">
        <x:v>Chair 018</x:v>
      </x:c>
      <x:c r="I2950" s="11" t="n">
        <x:v>1</x:v>
      </x:c>
      <x:c r="J2950" s="9" t="n">
        <x:v>269</x:v>
      </x:c>
      <x:c r="K2950" s="10" t="n">
        <x:v>0.2</x:v>
      </x:c>
      <x:c r="L2950" s="11" t="n">
        <x:v>0</x:v>
      </x:c>
      <x:c r="M2950" s="9" t="n">
        <x:f>IF(D2950="Completed",I2950*J2950,0)</x:f>
        <x:v>269</x:v>
      </x:c>
      <x:c r="N2950" s="9" t="n">
        <x:f>M2950*K2950</x:f>
        <x:v>53.800000000000004</x:v>
      </x:c>
      <x:c r="O2950" s="9" t="n">
        <x:f>M2950-N2950</x:f>
        <x:v>215.2</x:v>
      </x:c>
      <x:c r="P2950" s="9" t="n">
        <x:f>IF(D2950="Completed",L2950*J2950*(1-K2950),0)</x:f>
        <x:v>0</x:v>
      </x:c>
      <x:c r="Q2950" s="9" t="n">
        <x:f>O2950-P2950</x:f>
        <x:v>215.2</x:v>
      </x:c>
      <x:c r="R2950" s="11" t="n">
        <x:f>IF(D2950="Completed",I2950,0)</x:f>
        <x:v>1</x:v>
      </x:c>
      <x:c r="S2950" s="11" t="n">
        <x:f>IF(D2950="Completed",L2950,0)</x:f>
        <x:v>0</x:v>
      </x:c>
      <x:c r="T2950" s="8" t="n">
        <x:f>DATE(YEAR(C2950),MONTH(C2950),1)</x:f>
        <x:v>45658</x:v>
      </x:c>
    </x:row>
    <x:row r="2951" ht="22" customHeight="1">
      <x:c r="A2951" s="2" t="str">
        <x:v>L002947</x:v>
      </x:c>
      <x:c r="B2951" s="2" t="str">
        <x:v>O01205</x:v>
      </x:c>
      <x:c r="C2951" s="7" t="n">
        <x:v>45729</x:v>
      </x:c>
      <x:c r="D2951" s="2" t="str">
        <x:v>Completed</x:v>
      </x:c>
      <x:c r="E2951" s="2" t="str">
        <x:v>West</x:v>
      </x:c>
      <x:c r="F2951" s="2" t="str">
        <x:v>Online</x:v>
      </x:c>
      <x:c r="G2951" s="2" t="str">
        <x:v>Furniture</x:v>
      </x:c>
      <x:c r="H2951" s="2" t="str">
        <x:v>Chair 002</x:v>
      </x:c>
      <x:c r="I2951" s="11" t="n">
        <x:v>3</x:v>
      </x:c>
      <x:c r="J2951" s="9" t="n">
        <x:v>284</x:v>
      </x:c>
      <x:c r="K2951" s="10" t="n">
        <x:v>0.05</x:v>
      </x:c>
      <x:c r="L2951" s="11" t="n">
        <x:v>0</x:v>
      </x:c>
      <x:c r="M2951" s="9" t="n">
        <x:f>IF(D2951="Completed",I2951*J2951,0)</x:f>
        <x:v>852</x:v>
      </x:c>
      <x:c r="N2951" s="9" t="n">
        <x:f>M2951*K2951</x:f>
        <x:v>42.6</x:v>
      </x:c>
      <x:c r="O2951" s="9" t="n">
        <x:f>M2951-N2951</x:f>
        <x:v>809.4</x:v>
      </x:c>
      <x:c r="P2951" s="9" t="n">
        <x:f>IF(D2951="Completed",L2951*J2951*(1-K2951),0)</x:f>
        <x:v>0</x:v>
      </x:c>
      <x:c r="Q2951" s="9" t="n">
        <x:f>O2951-P2951</x:f>
        <x:v>809.4</x:v>
      </x:c>
      <x:c r="R2951" s="11" t="n">
        <x:f>IF(D2951="Completed",I2951,0)</x:f>
        <x:v>3</x:v>
      </x:c>
      <x:c r="S2951" s="11" t="n">
        <x:f>IF(D2951="Completed",L2951,0)</x:f>
        <x:v>0</x:v>
      </x:c>
      <x:c r="T2951" s="8" t="n">
        <x:f>DATE(YEAR(C2951),MONTH(C2951),1)</x:f>
        <x:v>45717</x:v>
      </x:c>
    </x:row>
    <x:row r="2952" ht="22" customHeight="1">
      <x:c r="A2952" s="2" t="str">
        <x:v>L002948</x:v>
      </x:c>
      <x:c r="B2952" s="2" t="str">
        <x:v>O01205</x:v>
      </x:c>
      <x:c r="C2952" s="7" t="n">
        <x:v>45729</x:v>
      </x:c>
      <x:c r="D2952" s="2" t="str">
        <x:v>Completed</x:v>
      </x:c>
      <x:c r="E2952" s="2" t="str">
        <x:v>West</x:v>
      </x:c>
      <x:c r="F2952" s="2" t="str">
        <x:v>Online</x:v>
      </x:c>
      <x:c r="G2952" s="2" t="str">
        <x:v>Lighting</x:v>
      </x:c>
      <x:c r="H2952" s="2" t="str">
        <x:v>Lamp 021</x:v>
      </x:c>
      <x:c r="I2952" s="11" t="n">
        <x:v>3</x:v>
      </x:c>
      <x:c r="J2952" s="9" t="n">
        <x:v>249</x:v>
      </x:c>
      <x:c r="K2952" s="10" t="n">
        <x:v>0.1</x:v>
      </x:c>
      <x:c r="L2952" s="11" t="n">
        <x:v>0</x:v>
      </x:c>
      <x:c r="M2952" s="9" t="n">
        <x:f>IF(D2952="Completed",I2952*J2952,0)</x:f>
        <x:v>747</x:v>
      </x:c>
      <x:c r="N2952" s="9" t="n">
        <x:f>M2952*K2952</x:f>
        <x:v>74.7</x:v>
      </x:c>
      <x:c r="O2952" s="9" t="n">
        <x:f>M2952-N2952</x:f>
        <x:v>672.3</x:v>
      </x:c>
      <x:c r="P2952" s="9" t="n">
        <x:f>IF(D2952="Completed",L2952*J2952*(1-K2952),0)</x:f>
        <x:v>0</x:v>
      </x:c>
      <x:c r="Q2952" s="9" t="n">
        <x:f>O2952-P2952</x:f>
        <x:v>672.3</x:v>
      </x:c>
      <x:c r="R2952" s="11" t="n">
        <x:f>IF(D2952="Completed",I2952,0)</x:f>
        <x:v>3</x:v>
      </x:c>
      <x:c r="S2952" s="11" t="n">
        <x:f>IF(D2952="Completed",L2952,0)</x:f>
        <x:v>0</x:v>
      </x:c>
      <x:c r="T2952" s="8" t="n">
        <x:f>DATE(YEAR(C2952),MONTH(C2952),1)</x:f>
        <x:v>45717</x:v>
      </x:c>
    </x:row>
    <x:row r="2953" ht="22" customHeight="1">
      <x:c r="A2953" s="2" t="str">
        <x:v>L002949</x:v>
      </x:c>
      <x:c r="B2953" s="2" t="str">
        <x:v>O01205</x:v>
      </x:c>
      <x:c r="C2953" s="7" t="n">
        <x:v>45729</x:v>
      </x:c>
      <x:c r="D2953" s="2" t="str">
        <x:v>Completed</x:v>
      </x:c>
      <x:c r="E2953" s="2" t="str">
        <x:v>West</x:v>
      </x:c>
      <x:c r="F2953" s="2" t="str">
        <x:v>Online</x:v>
      </x:c>
      <x:c r="G2953" s="2" t="str">
        <x:v>Furniture</x:v>
      </x:c>
      <x:c r="H2953" s="2" t="str">
        <x:v>Chair 010</x:v>
      </x:c>
      <x:c r="I2953" s="11" t="n">
        <x:v>4</x:v>
      </x:c>
      <x:c r="J2953" s="9" t="n">
        <x:v>211</x:v>
      </x:c>
      <x:c r="K2953" s="10" t="n">
        <x:v>0.1</x:v>
      </x:c>
      <x:c r="L2953" s="11" t="n">
        <x:v>0</x:v>
      </x:c>
      <x:c r="M2953" s="9" t="n">
        <x:f>IF(D2953="Completed",I2953*J2953,0)</x:f>
        <x:v>844</x:v>
      </x:c>
      <x:c r="N2953" s="9" t="n">
        <x:f>M2953*K2953</x:f>
        <x:v>84.4</x:v>
      </x:c>
      <x:c r="O2953" s="9" t="n">
        <x:f>M2953-N2953</x:f>
        <x:v>759.6</x:v>
      </x:c>
      <x:c r="P2953" s="9" t="n">
        <x:f>IF(D2953="Completed",L2953*J2953*(1-K2953),0)</x:f>
        <x:v>0</x:v>
      </x:c>
      <x:c r="Q2953" s="9" t="n">
        <x:f>O2953-P2953</x:f>
        <x:v>759.6</x:v>
      </x:c>
      <x:c r="R2953" s="11" t="n">
        <x:f>IF(D2953="Completed",I2953,0)</x:f>
        <x:v>4</x:v>
      </x:c>
      <x:c r="S2953" s="11" t="n">
        <x:f>IF(D2953="Completed",L2953,0)</x:f>
        <x:v>0</x:v>
      </x:c>
      <x:c r="T2953" s="8" t="n">
        <x:f>DATE(YEAR(C2953),MONTH(C2953),1)</x:f>
        <x:v>45717</x:v>
      </x:c>
    </x:row>
    <x:row r="2954" ht="22" customHeight="1">
      <x:c r="A2954" s="2" t="str">
        <x:v>L002950</x:v>
      </x:c>
      <x:c r="B2954" s="2" t="str">
        <x:v>O01206</x:v>
      </x:c>
      <x:c r="C2954" s="7" t="n">
        <x:v>45961</x:v>
      </x:c>
      <x:c r="D2954" s="2" t="str">
        <x:v>Completed</x:v>
      </x:c>
      <x:c r="E2954" s="2" t="str">
        <x:v>East</x:v>
      </x:c>
      <x:c r="F2954" s="2" t="str">
        <x:v>Store</x:v>
      </x:c>
      <x:c r="G2954" s="2" t="str">
        <x:v>Furniture</x:v>
      </x:c>
      <x:c r="H2954" s="2" t="str">
        <x:v>Desk 024</x:v>
      </x:c>
      <x:c r="I2954" s="11" t="n">
        <x:v>4</x:v>
      </x:c>
      <x:c r="J2954" s="9" t="n">
        <x:v>81</x:v>
      </x:c>
      <x:c r="K2954" s="10" t="n">
        <x:v>0.1</x:v>
      </x:c>
      <x:c r="L2954" s="11" t="n">
        <x:v>0</x:v>
      </x:c>
      <x:c r="M2954" s="9" t="n">
        <x:f>IF(D2954="Completed",I2954*J2954,0)</x:f>
        <x:v>324</x:v>
      </x:c>
      <x:c r="N2954" s="9" t="n">
        <x:f>M2954*K2954</x:f>
        <x:v>32.4</x:v>
      </x:c>
      <x:c r="O2954" s="9" t="n">
        <x:f>M2954-N2954</x:f>
        <x:v>291.6</x:v>
      </x:c>
      <x:c r="P2954" s="9" t="n">
        <x:f>IF(D2954="Completed",L2954*J2954*(1-K2954),0)</x:f>
        <x:v>0</x:v>
      </x:c>
      <x:c r="Q2954" s="9" t="n">
        <x:f>O2954-P2954</x:f>
        <x:v>291.6</x:v>
      </x:c>
      <x:c r="R2954" s="11" t="n">
        <x:f>IF(D2954="Completed",I2954,0)</x:f>
        <x:v>4</x:v>
      </x:c>
      <x:c r="S2954" s="11" t="n">
        <x:f>IF(D2954="Completed",L2954,0)</x:f>
        <x:v>0</x:v>
      </x:c>
      <x:c r="T2954" s="8" t="n">
        <x:f>DATE(YEAR(C2954),MONTH(C2954),1)</x:f>
        <x:v>45931</x:v>
      </x:c>
    </x:row>
    <x:row r="2955" ht="22" customHeight="1">
      <x:c r="A2955" s="2" t="str">
        <x:v>L002951</x:v>
      </x:c>
      <x:c r="B2955" s="2" t="str">
        <x:v>O01206</x:v>
      </x:c>
      <x:c r="C2955" s="7" t="n">
        <x:v>45961</x:v>
      </x:c>
      <x:c r="D2955" s="2" t="str">
        <x:v>Completed</x:v>
      </x:c>
      <x:c r="E2955" s="2" t="str">
        <x:v>East</x:v>
      </x:c>
      <x:c r="F2955" s="2" t="str">
        <x:v>Store</x:v>
      </x:c>
      <x:c r="G2955" s="2" t="str">
        <x:v>Furniture</x:v>
      </x:c>
      <x:c r="H2955" s="2" t="str">
        <x:v>Chair 010</x:v>
      </x:c>
      <x:c r="I2955" s="11" t="n">
        <x:v>1</x:v>
      </x:c>
      <x:c r="J2955" s="9" t="n">
        <x:v>211</x:v>
      </x:c>
      <x:c r="K2955" s="10" t="n">
        <x:v>0.05</x:v>
      </x:c>
      <x:c r="L2955" s="11" t="n">
        <x:v>0</x:v>
      </x:c>
      <x:c r="M2955" s="9" t="n">
        <x:f>IF(D2955="Completed",I2955*J2955,0)</x:f>
        <x:v>211</x:v>
      </x:c>
      <x:c r="N2955" s="9" t="n">
        <x:f>M2955*K2955</x:f>
        <x:v>10.55</x:v>
      </x:c>
      <x:c r="O2955" s="9" t="n">
        <x:f>M2955-N2955</x:f>
        <x:v>200.45</x:v>
      </x:c>
      <x:c r="P2955" s="9" t="n">
        <x:f>IF(D2955="Completed",L2955*J2955*(1-K2955),0)</x:f>
        <x:v>0</x:v>
      </x:c>
      <x:c r="Q2955" s="9" t="n">
        <x:f>O2955-P2955</x:f>
        <x:v>200.45</x:v>
      </x:c>
      <x:c r="R2955" s="11" t="n">
        <x:f>IF(D2955="Completed",I2955,0)</x:f>
        <x:v>1</x:v>
      </x:c>
      <x:c r="S2955" s="11" t="n">
        <x:f>IF(D2955="Completed",L2955,0)</x:f>
        <x:v>0</x:v>
      </x:c>
      <x:c r="T2955" s="8" t="n">
        <x:f>DATE(YEAR(C2955),MONTH(C2955),1)</x:f>
        <x:v>45931</x:v>
      </x:c>
    </x:row>
    <x:row r="2956" ht="22" customHeight="1">
      <x:c r="A2956" s="2" t="str">
        <x:v>L002952</x:v>
      </x:c>
      <x:c r="B2956" s="2" t="str">
        <x:v>O01207</x:v>
      </x:c>
      <x:c r="C2956" s="7" t="n">
        <x:v>45847</x:v>
      </x:c>
      <x:c r="D2956" s="2" t="str">
        <x:v>Completed</x:v>
      </x:c>
      <x:c r="E2956" s="2" t="str">
        <x:v>West</x:v>
      </x:c>
      <x:c r="F2956" s="2" t="str">
        <x:v>Store</x:v>
      </x:c>
      <x:c r="G2956" s="2" t="str">
        <x:v>Furniture</x:v>
      </x:c>
      <x:c r="H2956" s="2" t="str">
        <x:v>Chair 014</x:v>
      </x:c>
      <x:c r="I2956" s="11" t="n">
        <x:v>2</x:v>
      </x:c>
      <x:c r="J2956" s="9" t="n">
        <x:v>294</x:v>
      </x:c>
      <x:c r="K2956" s="10" t="n">
        <x:v>0.2</x:v>
      </x:c>
      <x:c r="L2956" s="11" t="n">
        <x:v>0</x:v>
      </x:c>
      <x:c r="M2956" s="9" t="n">
        <x:f>IF(D2956="Completed",I2956*J2956,0)</x:f>
        <x:v>588</x:v>
      </x:c>
      <x:c r="N2956" s="9" t="n">
        <x:f>M2956*K2956</x:f>
        <x:v>117.60000000000001</x:v>
      </x:c>
      <x:c r="O2956" s="9" t="n">
        <x:f>M2956-N2956</x:f>
        <x:v>470.4</x:v>
      </x:c>
      <x:c r="P2956" s="9" t="n">
        <x:f>IF(D2956="Completed",L2956*J2956*(1-K2956),0)</x:f>
        <x:v>0</x:v>
      </x:c>
      <x:c r="Q2956" s="9" t="n">
        <x:f>O2956-P2956</x:f>
        <x:v>470.4</x:v>
      </x:c>
      <x:c r="R2956" s="11" t="n">
        <x:f>IF(D2956="Completed",I2956,0)</x:f>
        <x:v>2</x:v>
      </x:c>
      <x:c r="S2956" s="11" t="n">
        <x:f>IF(D2956="Completed",L2956,0)</x:f>
        <x:v>0</x:v>
      </x:c>
      <x:c r="T2956" s="8" t="n">
        <x:f>DATE(YEAR(C2956),MONTH(C2956),1)</x:f>
        <x:v>45839</x:v>
      </x:c>
    </x:row>
    <x:row r="2957" ht="22" customHeight="1">
      <x:c r="A2957" s="2" t="str">
        <x:v>L002953</x:v>
      </x:c>
      <x:c r="B2957" s="2" t="str">
        <x:v>O01208</x:v>
      </x:c>
      <x:c r="C2957" s="7" t="n">
        <x:v>45864</x:v>
      </x:c>
      <x:c r="D2957" s="2" t="str">
        <x:v>Completed</x:v>
      </x:c>
      <x:c r="E2957" s="2" t="str">
        <x:v>South</x:v>
      </x:c>
      <x:c r="F2957" s="2" t="str">
        <x:v>Online</x:v>
      </x:c>
      <x:c r="G2957" s="2" t="str">
        <x:v>Furniture</x:v>
      </x:c>
      <x:c r="H2957" s="2" t="str">
        <x:v>Chair 002</x:v>
      </x:c>
      <x:c r="I2957" s="11" t="n">
        <x:v>1</x:v>
      </x:c>
      <x:c r="J2957" s="9" t="n">
        <x:v>284</x:v>
      </x:c>
      <x:c r="K2957" s="10" t="n">
        <x:v>0</x:v>
      </x:c>
      <x:c r="L2957" s="11" t="n">
        <x:v>0</x:v>
      </x:c>
      <x:c r="M2957" s="9" t="n">
        <x:f>IF(D2957="Completed",I2957*J2957,0)</x:f>
        <x:v>284</x:v>
      </x:c>
      <x:c r="N2957" s="9" t="n">
        <x:f>M2957*K2957</x:f>
        <x:v>0</x:v>
      </x:c>
      <x:c r="O2957" s="9" t="n">
        <x:f>M2957-N2957</x:f>
        <x:v>284</x:v>
      </x:c>
      <x:c r="P2957" s="9" t="n">
        <x:f>IF(D2957="Completed",L2957*J2957*(1-K2957),0)</x:f>
        <x:v>0</x:v>
      </x:c>
      <x:c r="Q2957" s="9" t="n">
        <x:f>O2957-P2957</x:f>
        <x:v>284</x:v>
      </x:c>
      <x:c r="R2957" s="11" t="n">
        <x:f>IF(D2957="Completed",I2957,0)</x:f>
        <x:v>1</x:v>
      </x:c>
      <x:c r="S2957" s="11" t="n">
        <x:f>IF(D2957="Completed",L2957,0)</x:f>
        <x:v>0</x:v>
      </x:c>
      <x:c r="T2957" s="8" t="n">
        <x:f>DATE(YEAR(C2957),MONTH(C2957),1)</x:f>
        <x:v>45839</x:v>
      </x:c>
    </x:row>
    <x:row r="2958" ht="22" customHeight="1">
      <x:c r="A2958" s="2" t="str">
        <x:v>L002954</x:v>
      </x:c>
      <x:c r="B2958" s="2" t="str">
        <x:v>O01208</x:v>
      </x:c>
      <x:c r="C2958" s="7" t="n">
        <x:v>45864</x:v>
      </x:c>
      <x:c r="D2958" s="2" t="str">
        <x:v>Completed</x:v>
      </x:c>
      <x:c r="E2958" s="2" t="str">
        <x:v>South</x:v>
      </x:c>
      <x:c r="F2958" s="2" t="str">
        <x:v>Online</x:v>
      </x:c>
      <x:c r="G2958" s="2" t="str">
        <x:v>Storage</x:v>
      </x:c>
      <x:c r="H2958" s="2" t="str">
        <x:v>Shelf 023</x:v>
      </x:c>
      <x:c r="I2958" s="11" t="n">
        <x:v>5</x:v>
      </x:c>
      <x:c r="J2958" s="9" t="n">
        <x:v>68</x:v>
      </x:c>
      <x:c r="K2958" s="10" t="n">
        <x:v>0.2</x:v>
      </x:c>
      <x:c r="L2958" s="11" t="n">
        <x:v>0</x:v>
      </x:c>
      <x:c r="M2958" s="9" t="n">
        <x:f>IF(D2958="Completed",I2958*J2958,0)</x:f>
        <x:v>340</x:v>
      </x:c>
      <x:c r="N2958" s="9" t="n">
        <x:f>M2958*K2958</x:f>
        <x:v>68</x:v>
      </x:c>
      <x:c r="O2958" s="9" t="n">
        <x:f>M2958-N2958</x:f>
        <x:v>272</x:v>
      </x:c>
      <x:c r="P2958" s="9" t="n">
        <x:f>IF(D2958="Completed",L2958*J2958*(1-K2958),0)</x:f>
        <x:v>0</x:v>
      </x:c>
      <x:c r="Q2958" s="9" t="n">
        <x:f>O2958-P2958</x:f>
        <x:v>272</x:v>
      </x:c>
      <x:c r="R2958" s="11" t="n">
        <x:f>IF(D2958="Completed",I2958,0)</x:f>
        <x:v>5</x:v>
      </x:c>
      <x:c r="S2958" s="11" t="n">
        <x:f>IF(D2958="Completed",L2958,0)</x:f>
        <x:v>0</x:v>
      </x:c>
      <x:c r="T2958" s="8" t="n">
        <x:f>DATE(YEAR(C2958),MONTH(C2958),1)</x:f>
        <x:v>45839</x:v>
      </x:c>
    </x:row>
    <x:row r="2959" ht="22" customHeight="1">
      <x:c r="A2959" s="2" t="str">
        <x:v>L002955</x:v>
      </x:c>
      <x:c r="B2959" s="2" t="str">
        <x:v>O01208</x:v>
      </x:c>
      <x:c r="C2959" s="7" t="n">
        <x:v>45864</x:v>
      </x:c>
      <x:c r="D2959" s="2" t="str">
        <x:v>Completed</x:v>
      </x:c>
      <x:c r="E2959" s="2" t="str">
        <x:v>South</x:v>
      </x:c>
      <x:c r="F2959" s="2" t="str">
        <x:v>Online</x:v>
      </x:c>
      <x:c r="G2959" s="2" t="str">
        <x:v>Furniture</x:v>
      </x:c>
      <x:c r="H2959" s="2" t="str">
        <x:v>Desk 016</x:v>
      </x:c>
      <x:c r="I2959" s="11" t="n">
        <x:v>5</x:v>
      </x:c>
      <x:c r="J2959" s="9" t="n">
        <x:v>231</x:v>
      </x:c>
      <x:c r="K2959" s="10" t="n">
        <x:v>0.05</x:v>
      </x:c>
      <x:c r="L2959" s="11" t="n">
        <x:v>0</x:v>
      </x:c>
      <x:c r="M2959" s="9" t="n">
        <x:f>IF(D2959="Completed",I2959*J2959,0)</x:f>
        <x:v>1155</x:v>
      </x:c>
      <x:c r="N2959" s="9" t="n">
        <x:f>M2959*K2959</x:f>
        <x:v>57.75</x:v>
      </x:c>
      <x:c r="O2959" s="9" t="n">
        <x:f>M2959-N2959</x:f>
        <x:v>1097.25</x:v>
      </x:c>
      <x:c r="P2959" s="9" t="n">
        <x:f>IF(D2959="Completed",L2959*J2959*(1-K2959),0)</x:f>
        <x:v>0</x:v>
      </x:c>
      <x:c r="Q2959" s="9" t="n">
        <x:f>O2959-P2959</x:f>
        <x:v>1097.25</x:v>
      </x:c>
      <x:c r="R2959" s="11" t="n">
        <x:f>IF(D2959="Completed",I2959,0)</x:f>
        <x:v>5</x:v>
      </x:c>
      <x:c r="S2959" s="11" t="n">
        <x:f>IF(D2959="Completed",L2959,0)</x:f>
        <x:v>0</x:v>
      </x:c>
      <x:c r="T2959" s="8" t="n">
        <x:f>DATE(YEAR(C2959),MONTH(C2959),1)</x:f>
        <x:v>45839</x:v>
      </x:c>
    </x:row>
    <x:row r="2960" ht="22" customHeight="1">
      <x:c r="A2960" s="2" t="str">
        <x:v>L002956</x:v>
      </x:c>
      <x:c r="B2960" s="2" t="str">
        <x:v>O01208</x:v>
      </x:c>
      <x:c r="C2960" s="7" t="n">
        <x:v>45864</x:v>
      </x:c>
      <x:c r="D2960" s="2" t="str">
        <x:v>Completed</x:v>
      </x:c>
      <x:c r="E2960" s="2" t="str">
        <x:v>South</x:v>
      </x:c>
      <x:c r="F2960" s="2" t="str">
        <x:v>Online</x:v>
      </x:c>
      <x:c r="G2960" s="2" t="str">
        <x:v>Storage</x:v>
      </x:c>
      <x:c r="H2960" s="2" t="str">
        <x:v>Shelf 015</x:v>
      </x:c>
      <x:c r="I2960" s="11" t="n">
        <x:v>2</x:v>
      </x:c>
      <x:c r="J2960" s="9" t="n">
        <x:v>254</x:v>
      </x:c>
      <x:c r="K2960" s="10" t="n">
        <x:v>0.2</x:v>
      </x:c>
      <x:c r="L2960" s="11" t="n">
        <x:v>0</x:v>
      </x:c>
      <x:c r="M2960" s="9" t="n">
        <x:f>IF(D2960="Completed",I2960*J2960,0)</x:f>
        <x:v>508</x:v>
      </x:c>
      <x:c r="N2960" s="9" t="n">
        <x:f>M2960*K2960</x:f>
        <x:v>101.60000000000001</x:v>
      </x:c>
      <x:c r="O2960" s="9" t="n">
        <x:f>M2960-N2960</x:f>
        <x:v>406.4</x:v>
      </x:c>
      <x:c r="P2960" s="9" t="n">
        <x:f>IF(D2960="Completed",L2960*J2960*(1-K2960),0)</x:f>
        <x:v>0</x:v>
      </x:c>
      <x:c r="Q2960" s="9" t="n">
        <x:f>O2960-P2960</x:f>
        <x:v>406.4</x:v>
      </x:c>
      <x:c r="R2960" s="11" t="n">
        <x:f>IF(D2960="Completed",I2960,0)</x:f>
        <x:v>2</x:v>
      </x:c>
      <x:c r="S2960" s="11" t="n">
        <x:f>IF(D2960="Completed",L2960,0)</x:f>
        <x:v>0</x:v>
      </x:c>
      <x:c r="T2960" s="8" t="n">
        <x:f>DATE(YEAR(C2960),MONTH(C2960),1)</x:f>
        <x:v>45839</x:v>
      </x:c>
    </x:row>
    <x:row r="2961" ht="22" customHeight="1">
      <x:c r="A2961" s="2" t="str">
        <x:v>L002957</x:v>
      </x:c>
      <x:c r="B2961" s="2" t="str">
        <x:v>O01209</x:v>
      </x:c>
      <x:c r="C2961" s="7" t="n">
        <x:v>45826</x:v>
      </x:c>
      <x:c r="D2961" s="2" t="str">
        <x:v>Completed</x:v>
      </x:c>
      <x:c r="E2961" s="2" t="str">
        <x:v>South</x:v>
      </x:c>
      <x:c r="F2961" s="2" t="str">
        <x:v>Store</x:v>
      </x:c>
      <x:c r="G2961" s="2" t="str">
        <x:v>Furniture</x:v>
      </x:c>
      <x:c r="H2961" s="2" t="str">
        <x:v>Chair 010</x:v>
      </x:c>
      <x:c r="I2961" s="11" t="n">
        <x:v>2</x:v>
      </x:c>
      <x:c r="J2961" s="9" t="n">
        <x:v>211</x:v>
      </x:c>
      <x:c r="K2961" s="10" t="n">
        <x:v>0.1</x:v>
      </x:c>
      <x:c r="L2961" s="11" t="n">
        <x:v>2</x:v>
      </x:c>
      <x:c r="M2961" s="9" t="n">
        <x:f>IF(D2961="Completed",I2961*J2961,0)</x:f>
        <x:v>422</x:v>
      </x:c>
      <x:c r="N2961" s="9" t="n">
        <x:f>M2961*K2961</x:f>
        <x:v>42.2</x:v>
      </x:c>
      <x:c r="O2961" s="9" t="n">
        <x:f>M2961-N2961</x:f>
        <x:v>379.8</x:v>
      </x:c>
      <x:c r="P2961" s="9" t="n">
        <x:f>IF(D2961="Completed",L2961*J2961*(1-K2961),0)</x:f>
        <x:v>379.8</x:v>
      </x:c>
      <x:c r="Q2961" s="9" t="n">
        <x:f>O2961-P2961</x:f>
        <x:v>0</x:v>
      </x:c>
      <x:c r="R2961" s="11" t="n">
        <x:f>IF(D2961="Completed",I2961,0)</x:f>
        <x:v>2</x:v>
      </x:c>
      <x:c r="S2961" s="11" t="n">
        <x:f>IF(D2961="Completed",L2961,0)</x:f>
        <x:v>2</x:v>
      </x:c>
      <x:c r="T2961" s="8" t="n">
        <x:f>DATE(YEAR(C2961),MONTH(C2961),1)</x:f>
        <x:v>45809</x:v>
      </x:c>
    </x:row>
    <x:row r="2962" ht="22" customHeight="1">
      <x:c r="A2962" s="2" t="str">
        <x:v>L002958</x:v>
      </x:c>
      <x:c r="B2962" s="2" t="str">
        <x:v>O01210</x:v>
      </x:c>
      <x:c r="C2962" s="7" t="n">
        <x:v>45864</x:v>
      </x:c>
      <x:c r="D2962" s="2" t="str">
        <x:v>Completed</x:v>
      </x:c>
      <x:c r="E2962" s="2" t="str">
        <x:v>North</x:v>
      </x:c>
      <x:c r="F2962" s="2" t="str">
        <x:v>Online</x:v>
      </x:c>
      <x:c r="G2962" s="2" t="str">
        <x:v>Furniture</x:v>
      </x:c>
      <x:c r="H2962" s="2" t="str">
        <x:v>Desk 024</x:v>
      </x:c>
      <x:c r="I2962" s="11" t="n">
        <x:v>4</x:v>
      </x:c>
      <x:c r="J2962" s="9" t="n">
        <x:v>81</x:v>
      </x:c>
      <x:c r="K2962" s="10" t="n">
        <x:v>0</x:v>
      </x:c>
      <x:c r="L2962" s="11" t="n">
        <x:v>0</x:v>
      </x:c>
      <x:c r="M2962" s="9" t="n">
        <x:f>IF(D2962="Completed",I2962*J2962,0)</x:f>
        <x:v>324</x:v>
      </x:c>
      <x:c r="N2962" s="9" t="n">
        <x:f>M2962*K2962</x:f>
        <x:v>0</x:v>
      </x:c>
      <x:c r="O2962" s="9" t="n">
        <x:f>M2962-N2962</x:f>
        <x:v>324</x:v>
      </x:c>
      <x:c r="P2962" s="9" t="n">
        <x:f>IF(D2962="Completed",L2962*J2962*(1-K2962),0)</x:f>
        <x:v>0</x:v>
      </x:c>
      <x:c r="Q2962" s="9" t="n">
        <x:f>O2962-P2962</x:f>
        <x:v>324</x:v>
      </x:c>
      <x:c r="R2962" s="11" t="n">
        <x:f>IF(D2962="Completed",I2962,0)</x:f>
        <x:v>4</x:v>
      </x:c>
      <x:c r="S2962" s="11" t="n">
        <x:f>IF(D2962="Completed",L2962,0)</x:f>
        <x:v>0</x:v>
      </x:c>
      <x:c r="T2962" s="8" t="n">
        <x:f>DATE(YEAR(C2962),MONTH(C2962),1)</x:f>
        <x:v>45839</x:v>
      </x:c>
    </x:row>
    <x:row r="2963" ht="22" customHeight="1">
      <x:c r="A2963" s="2" t="str">
        <x:v>L002959</x:v>
      </x:c>
      <x:c r="B2963" s="2" t="str">
        <x:v>O01210</x:v>
      </x:c>
      <x:c r="C2963" s="7" t="n">
        <x:v>45864</x:v>
      </x:c>
      <x:c r="D2963" s="2" t="str">
        <x:v>Completed</x:v>
      </x:c>
      <x:c r="E2963" s="2" t="str">
        <x:v>North</x:v>
      </x:c>
      <x:c r="F2963" s="2" t="str">
        <x:v>Online</x:v>
      </x:c>
      <x:c r="G2963" s="2" t="str">
        <x:v>Storage</x:v>
      </x:c>
      <x:c r="H2963" s="2" t="str">
        <x:v>Shelf 019</x:v>
      </x:c>
      <x:c r="I2963" s="11" t="n">
        <x:v>1</x:v>
      </x:c>
      <x:c r="J2963" s="9" t="n">
        <x:v>78</x:v>
      </x:c>
      <x:c r="K2963" s="10" t="n">
        <x:v>0.2</x:v>
      </x:c>
      <x:c r="L2963" s="11" t="n">
        <x:v>1</x:v>
      </x:c>
      <x:c r="M2963" s="9" t="n">
        <x:f>IF(D2963="Completed",I2963*J2963,0)</x:f>
        <x:v>78</x:v>
      </x:c>
      <x:c r="N2963" s="9" t="n">
        <x:f>M2963*K2963</x:f>
        <x:v>15.600000000000001</x:v>
      </x:c>
      <x:c r="O2963" s="9" t="n">
        <x:f>M2963-N2963</x:f>
        <x:v>62.4</x:v>
      </x:c>
      <x:c r="P2963" s="9" t="n">
        <x:f>IF(D2963="Completed",L2963*J2963*(1-K2963),0)</x:f>
        <x:v>62.400000000000006</x:v>
      </x:c>
      <x:c r="Q2963" s="9" t="n">
        <x:f>O2963-P2963</x:f>
        <x:v>-7.105427357601002e-15</x:v>
      </x:c>
      <x:c r="R2963" s="11" t="n">
        <x:f>IF(D2963="Completed",I2963,0)</x:f>
        <x:v>1</x:v>
      </x:c>
      <x:c r="S2963" s="11" t="n">
        <x:f>IF(D2963="Completed",L2963,0)</x:f>
        <x:v>1</x:v>
      </x:c>
      <x:c r="T2963" s="8" t="n">
        <x:f>DATE(YEAR(C2963),MONTH(C2963),1)</x:f>
        <x:v>45839</x:v>
      </x:c>
    </x:row>
    <x:row r="2964" ht="22" customHeight="1">
      <x:c r="A2964" s="2" t="str">
        <x:v>L002960</x:v>
      </x:c>
      <x:c r="B2964" s="2" t="str">
        <x:v>O01210</x:v>
      </x:c>
      <x:c r="C2964" s="7" t="n">
        <x:v>45864</x:v>
      </x:c>
      <x:c r="D2964" s="2" t="str">
        <x:v>Completed</x:v>
      </x:c>
      <x:c r="E2964" s="2" t="str">
        <x:v>North</x:v>
      </x:c>
      <x:c r="F2964" s="2" t="str">
        <x:v>Online</x:v>
      </x:c>
      <x:c r="G2964" s="2" t="str">
        <x:v>Furniture</x:v>
      </x:c>
      <x:c r="H2964" s="2" t="str">
        <x:v>Desk 024</x:v>
      </x:c>
      <x:c r="I2964" s="11" t="n">
        <x:v>2</x:v>
      </x:c>
      <x:c r="J2964" s="9" t="n">
        <x:v>81</x:v>
      </x:c>
      <x:c r="K2964" s="10" t="n">
        <x:v>0.1</x:v>
      </x:c>
      <x:c r="L2964" s="11" t="n">
        <x:v>0</x:v>
      </x:c>
      <x:c r="M2964" s="9" t="n">
        <x:f>IF(D2964="Completed",I2964*J2964,0)</x:f>
        <x:v>162</x:v>
      </x:c>
      <x:c r="N2964" s="9" t="n">
        <x:f>M2964*K2964</x:f>
        <x:v>16.2</x:v>
      </x:c>
      <x:c r="O2964" s="9" t="n">
        <x:f>M2964-N2964</x:f>
        <x:v>145.8</x:v>
      </x:c>
      <x:c r="P2964" s="9" t="n">
        <x:f>IF(D2964="Completed",L2964*J2964*(1-K2964),0)</x:f>
        <x:v>0</x:v>
      </x:c>
      <x:c r="Q2964" s="9" t="n">
        <x:f>O2964-P2964</x:f>
        <x:v>145.8</x:v>
      </x:c>
      <x:c r="R2964" s="11" t="n">
        <x:f>IF(D2964="Completed",I2964,0)</x:f>
        <x:v>2</x:v>
      </x:c>
      <x:c r="S2964" s="11" t="n">
        <x:f>IF(D2964="Completed",L2964,0)</x:f>
        <x:v>0</x:v>
      </x:c>
      <x:c r="T2964" s="8" t="n">
        <x:f>DATE(YEAR(C2964),MONTH(C2964),1)</x:f>
        <x:v>45839</x:v>
      </x:c>
    </x:row>
    <x:row r="2965" ht="22" customHeight="1">
      <x:c r="A2965" s="2" t="str">
        <x:v>L002961</x:v>
      </x:c>
      <x:c r="B2965" s="2" t="str">
        <x:v>O01211</x:v>
      </x:c>
      <x:c r="C2965" s="7" t="n">
        <x:v>45658</x:v>
      </x:c>
      <x:c r="D2965" s="2" t="str">
        <x:v>Completed</x:v>
      </x:c>
      <x:c r="E2965" s="2" t="str">
        <x:v>East</x:v>
      </x:c>
      <x:c r="F2965" s="2" t="str">
        <x:v>Store</x:v>
      </x:c>
      <x:c r="G2965" s="2" t="str">
        <x:v>Storage</x:v>
      </x:c>
      <x:c r="H2965" s="2" t="str">
        <x:v>Shelf 007</x:v>
      </x:c>
      <x:c r="I2965" s="11" t="n">
        <x:v>4</x:v>
      </x:c>
      <x:c r="J2965" s="9" t="n">
        <x:v>35</x:v>
      </x:c>
      <x:c r="K2965" s="10" t="n">
        <x:v>0.05</x:v>
      </x:c>
      <x:c r="L2965" s="11" t="n">
        <x:v>0</x:v>
      </x:c>
      <x:c r="M2965" s="9" t="n">
        <x:f>IF(D2965="Completed",I2965*J2965,0)</x:f>
        <x:v>140</x:v>
      </x:c>
      <x:c r="N2965" s="9" t="n">
        <x:f>M2965*K2965</x:f>
        <x:v>7</x:v>
      </x:c>
      <x:c r="O2965" s="9" t="n">
        <x:f>M2965-N2965</x:f>
        <x:v>133</x:v>
      </x:c>
      <x:c r="P2965" s="9" t="n">
        <x:f>IF(D2965="Completed",L2965*J2965*(1-K2965),0)</x:f>
        <x:v>0</x:v>
      </x:c>
      <x:c r="Q2965" s="9" t="n">
        <x:f>O2965-P2965</x:f>
        <x:v>133</x:v>
      </x:c>
      <x:c r="R2965" s="11" t="n">
        <x:f>IF(D2965="Completed",I2965,0)</x:f>
        <x:v>4</x:v>
      </x:c>
      <x:c r="S2965" s="11" t="n">
        <x:f>IF(D2965="Completed",L2965,0)</x:f>
        <x:v>0</x:v>
      </x:c>
      <x:c r="T2965" s="8" t="n">
        <x:f>DATE(YEAR(C2965),MONTH(C2965),1)</x:f>
        <x:v>45658</x:v>
      </x:c>
    </x:row>
    <x:row r="2966" ht="22" customHeight="1">
      <x:c r="A2966" s="2" t="str">
        <x:v>L002962</x:v>
      </x:c>
      <x:c r="B2966" s="2" t="str">
        <x:v>O01211</x:v>
      </x:c>
      <x:c r="C2966" s="7" t="n">
        <x:v>45658</x:v>
      </x:c>
      <x:c r="D2966" s="2" t="str">
        <x:v>Completed</x:v>
      </x:c>
      <x:c r="E2966" s="2" t="str">
        <x:v>East</x:v>
      </x:c>
      <x:c r="F2966" s="2" t="str">
        <x:v>Store</x:v>
      </x:c>
      <x:c r="G2966" s="2" t="str">
        <x:v>Furniture</x:v>
      </x:c>
      <x:c r="H2966" s="2" t="str">
        <x:v>Chair 006</x:v>
      </x:c>
      <x:c r="I2966" s="11" t="n">
        <x:v>1</x:v>
      </x:c>
      <x:c r="J2966" s="9" t="n">
        <x:v>196</x:v>
      </x:c>
      <x:c r="K2966" s="10" t="n">
        <x:v>0</x:v>
      </x:c>
      <x:c r="L2966" s="11" t="n">
        <x:v>0</x:v>
      </x:c>
      <x:c r="M2966" s="9" t="n">
        <x:f>IF(D2966="Completed",I2966*J2966,0)</x:f>
        <x:v>196</x:v>
      </x:c>
      <x:c r="N2966" s="9" t="n">
        <x:f>M2966*K2966</x:f>
        <x:v>0</x:v>
      </x:c>
      <x:c r="O2966" s="9" t="n">
        <x:f>M2966-N2966</x:f>
        <x:v>196</x:v>
      </x:c>
      <x:c r="P2966" s="9" t="n">
        <x:f>IF(D2966="Completed",L2966*J2966*(1-K2966),0)</x:f>
        <x:v>0</x:v>
      </x:c>
      <x:c r="Q2966" s="9" t="n">
        <x:f>O2966-P2966</x:f>
        <x:v>196</x:v>
      </x:c>
      <x:c r="R2966" s="11" t="n">
        <x:f>IF(D2966="Completed",I2966,0)</x:f>
        <x:v>1</x:v>
      </x:c>
      <x:c r="S2966" s="11" t="n">
        <x:f>IF(D2966="Completed",L2966,0)</x:f>
        <x:v>0</x:v>
      </x:c>
      <x:c r="T2966" s="8" t="n">
        <x:f>DATE(YEAR(C2966),MONTH(C2966),1)</x:f>
        <x:v>45658</x:v>
      </x:c>
    </x:row>
    <x:row r="2967" ht="22" customHeight="1">
      <x:c r="A2967" s="2" t="str">
        <x:v>L002963</x:v>
      </x:c>
      <x:c r="B2967" s="2" t="str">
        <x:v>O01211</x:v>
      </x:c>
      <x:c r="C2967" s="7" t="n">
        <x:v>45658</x:v>
      </x:c>
      <x:c r="D2967" s="2" t="str">
        <x:v>Completed</x:v>
      </x:c>
      <x:c r="E2967" s="2" t="str">
        <x:v>East</x:v>
      </x:c>
      <x:c r="F2967" s="2" t="str">
        <x:v>Store</x:v>
      </x:c>
      <x:c r="G2967" s="2" t="str">
        <x:v>Furniture</x:v>
      </x:c>
      <x:c r="H2967" s="2" t="str">
        <x:v>Desk 020</x:v>
      </x:c>
      <x:c r="I2967" s="11" t="n">
        <x:v>5</x:v>
      </x:c>
      <x:c r="J2967" s="9" t="n">
        <x:v>189</x:v>
      </x:c>
      <x:c r="K2967" s="10" t="n">
        <x:v>0</x:v>
      </x:c>
      <x:c r="L2967" s="11" t="n">
        <x:v>0</x:v>
      </x:c>
      <x:c r="M2967" s="9" t="n">
        <x:f>IF(D2967="Completed",I2967*J2967,0)</x:f>
        <x:v>945</x:v>
      </x:c>
      <x:c r="N2967" s="9" t="n">
        <x:f>M2967*K2967</x:f>
        <x:v>0</x:v>
      </x:c>
      <x:c r="O2967" s="9" t="n">
        <x:f>M2967-N2967</x:f>
        <x:v>945</x:v>
      </x:c>
      <x:c r="P2967" s="9" t="n">
        <x:f>IF(D2967="Completed",L2967*J2967*(1-K2967),0)</x:f>
        <x:v>0</x:v>
      </x:c>
      <x:c r="Q2967" s="9" t="n">
        <x:f>O2967-P2967</x:f>
        <x:v>945</x:v>
      </x:c>
      <x:c r="R2967" s="11" t="n">
        <x:f>IF(D2967="Completed",I2967,0)</x:f>
        <x:v>5</x:v>
      </x:c>
      <x:c r="S2967" s="11" t="n">
        <x:f>IF(D2967="Completed",L2967,0)</x:f>
        <x:v>0</x:v>
      </x:c>
      <x:c r="T2967" s="8" t="n">
        <x:f>DATE(YEAR(C2967),MONTH(C2967),1)</x:f>
        <x:v>45658</x:v>
      </x:c>
    </x:row>
    <x:row r="2968" ht="22" customHeight="1">
      <x:c r="A2968" s="2" t="str">
        <x:v>L002964</x:v>
      </x:c>
      <x:c r="B2968" s="2" t="str">
        <x:v>O01211</x:v>
      </x:c>
      <x:c r="C2968" s="7" t="n">
        <x:v>45658</x:v>
      </x:c>
      <x:c r="D2968" s="2" t="str">
        <x:v>Completed</x:v>
      </x:c>
      <x:c r="E2968" s="2" t="str">
        <x:v>East</x:v>
      </x:c>
      <x:c r="F2968" s="2" t="str">
        <x:v>Store</x:v>
      </x:c>
      <x:c r="G2968" s="2" t="str">
        <x:v>Furniture</x:v>
      </x:c>
      <x:c r="H2968" s="2" t="str">
        <x:v>Desk 016</x:v>
      </x:c>
      <x:c r="I2968" s="11" t="n">
        <x:v>1</x:v>
      </x:c>
      <x:c r="J2968" s="9" t="n">
        <x:v>231</x:v>
      </x:c>
      <x:c r="K2968" s="10" t="n">
        <x:v>0.05</x:v>
      </x:c>
      <x:c r="L2968" s="11" t="n">
        <x:v>0</x:v>
      </x:c>
      <x:c r="M2968" s="9" t="n">
        <x:f>IF(D2968="Completed",I2968*J2968,0)</x:f>
        <x:v>231</x:v>
      </x:c>
      <x:c r="N2968" s="9" t="n">
        <x:f>M2968*K2968</x:f>
        <x:v>11.55</x:v>
      </x:c>
      <x:c r="O2968" s="9" t="n">
        <x:f>M2968-N2968</x:f>
        <x:v>219.45</x:v>
      </x:c>
      <x:c r="P2968" s="9" t="n">
        <x:f>IF(D2968="Completed",L2968*J2968*(1-K2968),0)</x:f>
        <x:v>0</x:v>
      </x:c>
      <x:c r="Q2968" s="9" t="n">
        <x:f>O2968-P2968</x:f>
        <x:v>219.45</x:v>
      </x:c>
      <x:c r="R2968" s="11" t="n">
        <x:f>IF(D2968="Completed",I2968,0)</x:f>
        <x:v>1</x:v>
      </x:c>
      <x:c r="S2968" s="11" t="n">
        <x:f>IF(D2968="Completed",L2968,0)</x:f>
        <x:v>0</x:v>
      </x:c>
      <x:c r="T2968" s="8" t="n">
        <x:f>DATE(YEAR(C2968),MONTH(C2968),1)</x:f>
        <x:v>45658</x:v>
      </x:c>
    </x:row>
    <x:row r="2969" ht="22" customHeight="1">
      <x:c r="A2969" s="2" t="str">
        <x:v>L002965</x:v>
      </x:c>
      <x:c r="B2969" s="2" t="str">
        <x:v>O01212</x:v>
      </x:c>
      <x:c r="C2969" s="7" t="n">
        <x:v>45933</x:v>
      </x:c>
      <x:c r="D2969" s="2" t="str">
        <x:v>Completed</x:v>
      </x:c>
      <x:c r="E2969" s="2" t="str">
        <x:v>West</x:v>
      </x:c>
      <x:c r="F2969" s="2" t="str">
        <x:v>Store</x:v>
      </x:c>
      <x:c r="G2969" s="2" t="str">
        <x:v>Lighting</x:v>
      </x:c>
      <x:c r="H2969" s="2" t="str">
        <x:v>Lamp 005</x:v>
      </x:c>
      <x:c r="I2969" s="11" t="n">
        <x:v>1</x:v>
      </x:c>
      <x:c r="J2969" s="9" t="n">
        <x:v>65</x:v>
      </x:c>
      <x:c r="K2969" s="10" t="n">
        <x:v>0.2</x:v>
      </x:c>
      <x:c r="L2969" s="11" t="n">
        <x:v>0</x:v>
      </x:c>
      <x:c r="M2969" s="9" t="n">
        <x:f>IF(D2969="Completed",I2969*J2969,0)</x:f>
        <x:v>65</x:v>
      </x:c>
      <x:c r="N2969" s="9" t="n">
        <x:f>M2969*K2969</x:f>
        <x:v>13</x:v>
      </x:c>
      <x:c r="O2969" s="9" t="n">
        <x:f>M2969-N2969</x:f>
        <x:v>52</x:v>
      </x:c>
      <x:c r="P2969" s="9" t="n">
        <x:f>IF(D2969="Completed",L2969*J2969*(1-K2969),0)</x:f>
        <x:v>0</x:v>
      </x:c>
      <x:c r="Q2969" s="9" t="n">
        <x:f>O2969-P2969</x:f>
        <x:v>52</x:v>
      </x:c>
      <x:c r="R2969" s="11" t="n">
        <x:f>IF(D2969="Completed",I2969,0)</x:f>
        <x:v>1</x:v>
      </x:c>
      <x:c r="S2969" s="11" t="n">
        <x:f>IF(D2969="Completed",L2969,0)</x:f>
        <x:v>0</x:v>
      </x:c>
      <x:c r="T2969" s="8" t="n">
        <x:f>DATE(YEAR(C2969),MONTH(C2969),1)</x:f>
        <x:v>45931</x:v>
      </x:c>
    </x:row>
    <x:row r="2970" ht="22" customHeight="1">
      <x:c r="A2970" s="2" t="str">
        <x:v>L002966</x:v>
      </x:c>
      <x:c r="B2970" s="2" t="str">
        <x:v>O01212</x:v>
      </x:c>
      <x:c r="C2970" s="7" t="n">
        <x:v>45933</x:v>
      </x:c>
      <x:c r="D2970" s="2" t="str">
        <x:v>Completed</x:v>
      </x:c>
      <x:c r="E2970" s="2" t="str">
        <x:v>West</x:v>
      </x:c>
      <x:c r="F2970" s="2" t="str">
        <x:v>Store</x:v>
      </x:c>
      <x:c r="G2970" s="2" t="str">
        <x:v>Furniture</x:v>
      </x:c>
      <x:c r="H2970" s="2" t="str">
        <x:v>Chair 010</x:v>
      </x:c>
      <x:c r="I2970" s="11" t="n">
        <x:v>1</x:v>
      </x:c>
      <x:c r="J2970" s="9" t="n">
        <x:v>211</x:v>
      </x:c>
      <x:c r="K2970" s="10" t="n">
        <x:v>0.1</x:v>
      </x:c>
      <x:c r="L2970" s="11" t="n">
        <x:v>0</x:v>
      </x:c>
      <x:c r="M2970" s="9" t="n">
        <x:f>IF(D2970="Completed",I2970*J2970,0)</x:f>
        <x:v>211</x:v>
      </x:c>
      <x:c r="N2970" s="9" t="n">
        <x:f>M2970*K2970</x:f>
        <x:v>21.1</x:v>
      </x:c>
      <x:c r="O2970" s="9" t="n">
        <x:f>M2970-N2970</x:f>
        <x:v>189.9</x:v>
      </x:c>
      <x:c r="P2970" s="9" t="n">
        <x:f>IF(D2970="Completed",L2970*J2970*(1-K2970),0)</x:f>
        <x:v>0</x:v>
      </x:c>
      <x:c r="Q2970" s="9" t="n">
        <x:f>O2970-P2970</x:f>
        <x:v>189.9</x:v>
      </x:c>
      <x:c r="R2970" s="11" t="n">
        <x:f>IF(D2970="Completed",I2970,0)</x:f>
        <x:v>1</x:v>
      </x:c>
      <x:c r="S2970" s="11" t="n">
        <x:f>IF(D2970="Completed",L2970,0)</x:f>
        <x:v>0</x:v>
      </x:c>
      <x:c r="T2970" s="8" t="n">
        <x:f>DATE(YEAR(C2970),MONTH(C2970),1)</x:f>
        <x:v>45931</x:v>
      </x:c>
    </x:row>
    <x:row r="2971" ht="22" customHeight="1">
      <x:c r="A2971" s="2" t="str">
        <x:v>L002967</x:v>
      </x:c>
      <x:c r="B2971" s="2" t="str">
        <x:v>O01212</x:v>
      </x:c>
      <x:c r="C2971" s="7" t="n">
        <x:v>45933</x:v>
      </x:c>
      <x:c r="D2971" s="2" t="str">
        <x:v>Completed</x:v>
      </x:c>
      <x:c r="E2971" s="2" t="str">
        <x:v>West</x:v>
      </x:c>
      <x:c r="F2971" s="2" t="str">
        <x:v>Store</x:v>
      </x:c>
      <x:c r="G2971" s="2" t="str">
        <x:v>Furniture</x:v>
      </x:c>
      <x:c r="H2971" s="2" t="str">
        <x:v>Desk 020</x:v>
      </x:c>
      <x:c r="I2971" s="11" t="n">
        <x:v>4</x:v>
      </x:c>
      <x:c r="J2971" s="9" t="n">
        <x:v>189</x:v>
      </x:c>
      <x:c r="K2971" s="10" t="n">
        <x:v>0.2</x:v>
      </x:c>
      <x:c r="L2971" s="11" t="n">
        <x:v>0</x:v>
      </x:c>
      <x:c r="M2971" s="9" t="n">
        <x:f>IF(D2971="Completed",I2971*J2971,0)</x:f>
        <x:v>756</x:v>
      </x:c>
      <x:c r="N2971" s="9" t="n">
        <x:f>M2971*K2971</x:f>
        <x:v>151.20000000000002</x:v>
      </x:c>
      <x:c r="O2971" s="9" t="n">
        <x:f>M2971-N2971</x:f>
        <x:v>604.8</x:v>
      </x:c>
      <x:c r="P2971" s="9" t="n">
        <x:f>IF(D2971="Completed",L2971*J2971*(1-K2971),0)</x:f>
        <x:v>0</x:v>
      </x:c>
      <x:c r="Q2971" s="9" t="n">
        <x:f>O2971-P2971</x:f>
        <x:v>604.8</x:v>
      </x:c>
      <x:c r="R2971" s="11" t="n">
        <x:f>IF(D2971="Completed",I2971,0)</x:f>
        <x:v>4</x:v>
      </x:c>
      <x:c r="S2971" s="11" t="n">
        <x:f>IF(D2971="Completed",L2971,0)</x:f>
        <x:v>0</x:v>
      </x:c>
      <x:c r="T2971" s="8" t="n">
        <x:f>DATE(YEAR(C2971),MONTH(C2971),1)</x:f>
        <x:v>45931</x:v>
      </x:c>
    </x:row>
    <x:row r="2972" ht="22" customHeight="1">
      <x:c r="A2972" s="2" t="str">
        <x:v>L002968</x:v>
      </x:c>
      <x:c r="B2972" s="2" t="str">
        <x:v>O01213</x:v>
      </x:c>
      <x:c r="C2972" s="7" t="n">
        <x:v>45672</x:v>
      </x:c>
      <x:c r="D2972" s="2" t="str">
        <x:v>Completed</x:v>
      </x:c>
      <x:c r="E2972" s="2" t="str">
        <x:v>North</x:v>
      </x:c>
      <x:c r="F2972" s="2" t="str">
        <x:v>Online</x:v>
      </x:c>
      <x:c r="G2972" s="2" t="str">
        <x:v>Furniture</x:v>
      </x:c>
      <x:c r="H2972" s="2" t="str">
        <x:v>Desk 004</x:v>
      </x:c>
      <x:c r="I2972" s="11" t="n">
        <x:v>3</x:v>
      </x:c>
      <x:c r="J2972" s="9" t="n">
        <x:v>123</x:v>
      </x:c>
      <x:c r="K2972" s="10" t="n">
        <x:v>0.1</x:v>
      </x:c>
      <x:c r="L2972" s="11" t="n">
        <x:v>0</x:v>
      </x:c>
      <x:c r="M2972" s="9" t="n">
        <x:f>IF(D2972="Completed",I2972*J2972,0)</x:f>
        <x:v>369</x:v>
      </x:c>
      <x:c r="N2972" s="9" t="n">
        <x:f>M2972*K2972</x:f>
        <x:v>36.9</x:v>
      </x:c>
      <x:c r="O2972" s="9" t="n">
        <x:f>M2972-N2972</x:f>
        <x:v>332.1</x:v>
      </x:c>
      <x:c r="P2972" s="9" t="n">
        <x:f>IF(D2972="Completed",L2972*J2972*(1-K2972),0)</x:f>
        <x:v>0</x:v>
      </x:c>
      <x:c r="Q2972" s="9" t="n">
        <x:f>O2972-P2972</x:f>
        <x:v>332.1</x:v>
      </x:c>
      <x:c r="R2972" s="11" t="n">
        <x:f>IF(D2972="Completed",I2972,0)</x:f>
        <x:v>3</x:v>
      </x:c>
      <x:c r="S2972" s="11" t="n">
        <x:f>IF(D2972="Completed",L2972,0)</x:f>
        <x:v>0</x:v>
      </x:c>
      <x:c r="T2972" s="8" t="n">
        <x:f>DATE(YEAR(C2972),MONTH(C2972),1)</x:f>
        <x:v>45658</x:v>
      </x:c>
    </x:row>
    <x:row r="2973" ht="22" customHeight="1">
      <x:c r="A2973" s="2" t="str">
        <x:v>L002969</x:v>
      </x:c>
      <x:c r="B2973" s="2" t="str">
        <x:v>O01214</x:v>
      </x:c>
      <x:c r="C2973" s="7" t="n">
        <x:v>45685</x:v>
      </x:c>
      <x:c r="D2973" s="2" t="str">
        <x:v>Completed</x:v>
      </x:c>
      <x:c r="E2973" s="2" t="str">
        <x:v>West</x:v>
      </x:c>
      <x:c r="F2973" s="2" t="str">
        <x:v>Online</x:v>
      </x:c>
      <x:c r="G2973" s="2" t="str">
        <x:v>Furniture</x:v>
      </x:c>
      <x:c r="H2973" s="2" t="str">
        <x:v>Desk 012</x:v>
      </x:c>
      <x:c r="I2973" s="11" t="n">
        <x:v>4</x:v>
      </x:c>
      <x:c r="J2973" s="9" t="n">
        <x:v>134</x:v>
      </x:c>
      <x:c r="K2973" s="10" t="n">
        <x:v>0.05</x:v>
      </x:c>
      <x:c r="L2973" s="11" t="n">
        <x:v>0</x:v>
      </x:c>
      <x:c r="M2973" s="9" t="n">
        <x:f>IF(D2973="Completed",I2973*J2973,0)</x:f>
        <x:v>536</x:v>
      </x:c>
      <x:c r="N2973" s="9" t="n">
        <x:f>M2973*K2973</x:f>
        <x:v>26.8</x:v>
      </x:c>
      <x:c r="O2973" s="9" t="n">
        <x:f>M2973-N2973</x:f>
        <x:v>509.2</x:v>
      </x:c>
      <x:c r="P2973" s="9" t="n">
        <x:f>IF(D2973="Completed",L2973*J2973*(1-K2973),0)</x:f>
        <x:v>0</x:v>
      </x:c>
      <x:c r="Q2973" s="9" t="n">
        <x:f>O2973-P2973</x:f>
        <x:v>509.2</x:v>
      </x:c>
      <x:c r="R2973" s="11" t="n">
        <x:f>IF(D2973="Completed",I2973,0)</x:f>
        <x:v>4</x:v>
      </x:c>
      <x:c r="S2973" s="11" t="n">
        <x:f>IF(D2973="Completed",L2973,0)</x:f>
        <x:v>0</x:v>
      </x:c>
      <x:c r="T2973" s="8" t="n">
        <x:f>DATE(YEAR(C2973),MONTH(C2973),1)</x:f>
        <x:v>45658</x:v>
      </x:c>
    </x:row>
    <x:row r="2974" ht="22" customHeight="1">
      <x:c r="A2974" s="2" t="str">
        <x:v>L002970</x:v>
      </x:c>
      <x:c r="B2974" s="2" t="str">
        <x:v>O01214</x:v>
      </x:c>
      <x:c r="C2974" s="7" t="n">
        <x:v>45685</x:v>
      </x:c>
      <x:c r="D2974" s="2" t="str">
        <x:v>Completed</x:v>
      </x:c>
      <x:c r="E2974" s="2" t="str">
        <x:v>West</x:v>
      </x:c>
      <x:c r="F2974" s="2" t="str">
        <x:v>Online</x:v>
      </x:c>
      <x:c r="G2974" s="2" t="str">
        <x:v>Lighting</x:v>
      </x:c>
      <x:c r="H2974" s="2" t="str">
        <x:v>Lamp 001</x:v>
      </x:c>
      <x:c r="I2974" s="11" t="n">
        <x:v>2</x:v>
      </x:c>
      <x:c r="J2974" s="9" t="n">
        <x:v>122</x:v>
      </x:c>
      <x:c r="K2974" s="10" t="n">
        <x:v>0.1</x:v>
      </x:c>
      <x:c r="L2974" s="11" t="n">
        <x:v>1</x:v>
      </x:c>
      <x:c r="M2974" s="9" t="n">
        <x:f>IF(D2974="Completed",I2974*J2974,0)</x:f>
        <x:v>244</x:v>
      </x:c>
      <x:c r="N2974" s="9" t="n">
        <x:f>M2974*K2974</x:f>
        <x:v>24.400000000000002</x:v>
      </x:c>
      <x:c r="O2974" s="9" t="n">
        <x:f>M2974-N2974</x:f>
        <x:v>219.6</x:v>
      </x:c>
      <x:c r="P2974" s="9" t="n">
        <x:f>IF(D2974="Completed",L2974*J2974*(1-K2974),0)</x:f>
        <x:v>109.8</x:v>
      </x:c>
      <x:c r="Q2974" s="9" t="n">
        <x:f>O2974-P2974</x:f>
        <x:v>109.8</x:v>
      </x:c>
      <x:c r="R2974" s="11" t="n">
        <x:f>IF(D2974="Completed",I2974,0)</x:f>
        <x:v>2</x:v>
      </x:c>
      <x:c r="S2974" s="11" t="n">
        <x:f>IF(D2974="Completed",L2974,0)</x:f>
        <x:v>1</x:v>
      </x:c>
      <x:c r="T2974" s="8" t="n">
        <x:f>DATE(YEAR(C2974),MONTH(C2974),1)</x:f>
        <x:v>45658</x:v>
      </x:c>
    </x:row>
    <x:row r="2975" ht="22" customHeight="1">
      <x:c r="A2975" s="2" t="str">
        <x:v>L002971</x:v>
      </x:c>
      <x:c r="B2975" s="2" t="str">
        <x:v>O01214</x:v>
      </x:c>
      <x:c r="C2975" s="7" t="n">
        <x:v>45685</x:v>
      </x:c>
      <x:c r="D2975" s="2" t="str">
        <x:v>Completed</x:v>
      </x:c>
      <x:c r="E2975" s="2" t="str">
        <x:v>West</x:v>
      </x:c>
      <x:c r="F2975" s="2" t="str">
        <x:v>Online</x:v>
      </x:c>
      <x:c r="G2975" s="2" t="str">
        <x:v>Storage</x:v>
      </x:c>
      <x:c r="H2975" s="2" t="str">
        <x:v>Shelf 019</x:v>
      </x:c>
      <x:c r="I2975" s="11" t="n">
        <x:v>4</x:v>
      </x:c>
      <x:c r="J2975" s="9" t="n">
        <x:v>78</x:v>
      </x:c>
      <x:c r="K2975" s="10" t="n">
        <x:v>0.05</x:v>
      </x:c>
      <x:c r="L2975" s="11" t="n">
        <x:v>0</x:v>
      </x:c>
      <x:c r="M2975" s="9" t="n">
        <x:f>IF(D2975="Completed",I2975*J2975,0)</x:f>
        <x:v>312</x:v>
      </x:c>
      <x:c r="N2975" s="9" t="n">
        <x:f>M2975*K2975</x:f>
        <x:v>15.600000000000001</x:v>
      </x:c>
      <x:c r="O2975" s="9" t="n">
        <x:f>M2975-N2975</x:f>
        <x:v>296.4</x:v>
      </x:c>
      <x:c r="P2975" s="9" t="n">
        <x:f>IF(D2975="Completed",L2975*J2975*(1-K2975),0)</x:f>
        <x:v>0</x:v>
      </x:c>
      <x:c r="Q2975" s="9" t="n">
        <x:f>O2975-P2975</x:f>
        <x:v>296.4</x:v>
      </x:c>
      <x:c r="R2975" s="11" t="n">
        <x:f>IF(D2975="Completed",I2975,0)</x:f>
        <x:v>4</x:v>
      </x:c>
      <x:c r="S2975" s="11" t="n">
        <x:f>IF(D2975="Completed",L2975,0)</x:f>
        <x:v>0</x:v>
      </x:c>
      <x:c r="T2975" s="8" t="n">
        <x:f>DATE(YEAR(C2975),MONTH(C2975),1)</x:f>
        <x:v>45658</x:v>
      </x:c>
    </x:row>
    <x:row r="2976" ht="22" customHeight="1">
      <x:c r="A2976" s="2" t="str">
        <x:v>L002972</x:v>
      </x:c>
      <x:c r="B2976" s="2" t="str">
        <x:v>O01215</x:v>
      </x:c>
      <x:c r="C2976" s="7" t="n">
        <x:v>45677</x:v>
      </x:c>
      <x:c r="D2976" s="2" t="str">
        <x:v>Cancelled</x:v>
      </x:c>
      <x:c r="E2976" s="2" t="str">
        <x:v>South</x:v>
      </x:c>
      <x:c r="F2976" s="2" t="str">
        <x:v>Store</x:v>
      </x:c>
      <x:c r="G2976" s="2" t="str">
        <x:v>Furniture</x:v>
      </x:c>
      <x:c r="H2976" s="2" t="str">
        <x:v>Chair 022</x:v>
      </x:c>
      <x:c r="I2976" s="11" t="n">
        <x:v>4</x:v>
      </x:c>
      <x:c r="J2976" s="9" t="n">
        <x:v>134</x:v>
      </x:c>
      <x:c r="K2976" s="10" t="n">
        <x:v>0.2</x:v>
      </x:c>
      <x:c r="L2976" s="11" t="n">
        <x:v>0</x:v>
      </x:c>
      <x:c r="M2976" s="9" t="n">
        <x:f>IF(D2976="Completed",I2976*J2976,0)</x:f>
        <x:v>0</x:v>
      </x:c>
      <x:c r="N2976" s="9" t="n">
        <x:f>M2976*K2976</x:f>
        <x:v>0</x:v>
      </x:c>
      <x:c r="O2976" s="9" t="n">
        <x:f>M2976-N2976</x:f>
        <x:v>0</x:v>
      </x:c>
      <x:c r="P2976" s="9" t="n">
        <x:f>IF(D2976="Completed",L2976*J2976*(1-K2976),0)</x:f>
        <x:v>0</x:v>
      </x:c>
      <x:c r="Q2976" s="9" t="n">
        <x:f>O2976-P2976</x:f>
        <x:v>0</x:v>
      </x:c>
      <x:c r="R2976" s="11" t="n">
        <x:f>IF(D2976="Completed",I2976,0)</x:f>
        <x:v>0</x:v>
      </x:c>
      <x:c r="S2976" s="11" t="n">
        <x:f>IF(D2976="Completed",L2976,0)</x:f>
        <x:v>0</x:v>
      </x:c>
      <x:c r="T2976" s="8" t="n">
        <x:f>DATE(YEAR(C2976),MONTH(C2976),1)</x:f>
        <x:v>45658</x:v>
      </x:c>
    </x:row>
    <x:row r="2977" ht="22" customHeight="1">
      <x:c r="A2977" s="2" t="str">
        <x:v>L002973</x:v>
      </x:c>
      <x:c r="B2977" s="2" t="str">
        <x:v>O01215</x:v>
      </x:c>
      <x:c r="C2977" s="7" t="n">
        <x:v>45677</x:v>
      </x:c>
      <x:c r="D2977" s="2" t="str">
        <x:v>Cancelled</x:v>
      </x:c>
      <x:c r="E2977" s="2" t="str">
        <x:v>South</x:v>
      </x:c>
      <x:c r="F2977" s="2" t="str">
        <x:v>Store</x:v>
      </x:c>
      <x:c r="G2977" s="2" t="str">
        <x:v>Furniture</x:v>
      </x:c>
      <x:c r="H2977" s="2" t="str">
        <x:v>Desk 012</x:v>
      </x:c>
      <x:c r="I2977" s="11" t="n">
        <x:v>1</x:v>
      </x:c>
      <x:c r="J2977" s="9" t="n">
        <x:v>134</x:v>
      </x:c>
      <x:c r="K2977" s="10" t="n">
        <x:v>0.05</x:v>
      </x:c>
      <x:c r="L2977" s="11" t="n">
        <x:v>0</x:v>
      </x:c>
      <x:c r="M2977" s="9" t="n">
        <x:f>IF(D2977="Completed",I2977*J2977,0)</x:f>
        <x:v>0</x:v>
      </x:c>
      <x:c r="N2977" s="9" t="n">
        <x:f>M2977*K2977</x:f>
        <x:v>0</x:v>
      </x:c>
      <x:c r="O2977" s="9" t="n">
        <x:f>M2977-N2977</x:f>
        <x:v>0</x:v>
      </x:c>
      <x:c r="P2977" s="9" t="n">
        <x:f>IF(D2977="Completed",L2977*J2977*(1-K2977),0)</x:f>
        <x:v>0</x:v>
      </x:c>
      <x:c r="Q2977" s="9" t="n">
        <x:f>O2977-P2977</x:f>
        <x:v>0</x:v>
      </x:c>
      <x:c r="R2977" s="11" t="n">
        <x:f>IF(D2977="Completed",I2977,0)</x:f>
        <x:v>0</x:v>
      </x:c>
      <x:c r="S2977" s="11" t="n">
        <x:f>IF(D2977="Completed",L2977,0)</x:f>
        <x:v>0</x:v>
      </x:c>
      <x:c r="T2977" s="8" t="n">
        <x:f>DATE(YEAR(C2977),MONTH(C2977),1)</x:f>
        <x:v>45658</x:v>
      </x:c>
    </x:row>
    <x:row r="2978" ht="22" customHeight="1">
      <x:c r="A2978" s="2" t="str">
        <x:v>L002974</x:v>
      </x:c>
      <x:c r="B2978" s="2" t="str">
        <x:v>O01215</x:v>
      </x:c>
      <x:c r="C2978" s="7" t="n">
        <x:v>45677</x:v>
      </x:c>
      <x:c r="D2978" s="2" t="str">
        <x:v>Cancelled</x:v>
      </x:c>
      <x:c r="E2978" s="2" t="str">
        <x:v>South</x:v>
      </x:c>
      <x:c r="F2978" s="2" t="str">
        <x:v>Store</x:v>
      </x:c>
      <x:c r="G2978" s="2" t="str">
        <x:v>Lighting</x:v>
      </x:c>
      <x:c r="H2978" s="2" t="str">
        <x:v>Lamp 005</x:v>
      </x:c>
      <x:c r="I2978" s="11" t="n">
        <x:v>1</x:v>
      </x:c>
      <x:c r="J2978" s="9" t="n">
        <x:v>65</x:v>
      </x:c>
      <x:c r="K2978" s="10" t="n">
        <x:v>0.05</x:v>
      </x:c>
      <x:c r="L2978" s="11" t="n">
        <x:v>0</x:v>
      </x:c>
      <x:c r="M2978" s="9" t="n">
        <x:f>IF(D2978="Completed",I2978*J2978,0)</x:f>
        <x:v>0</x:v>
      </x:c>
      <x:c r="N2978" s="9" t="n">
        <x:f>M2978*K2978</x:f>
        <x:v>0</x:v>
      </x:c>
      <x:c r="O2978" s="9" t="n">
        <x:f>M2978-N2978</x:f>
        <x:v>0</x:v>
      </x:c>
      <x:c r="P2978" s="9" t="n">
        <x:f>IF(D2978="Completed",L2978*J2978*(1-K2978),0)</x:f>
        <x:v>0</x:v>
      </x:c>
      <x:c r="Q2978" s="9" t="n">
        <x:f>O2978-P2978</x:f>
        <x:v>0</x:v>
      </x:c>
      <x:c r="R2978" s="11" t="n">
        <x:f>IF(D2978="Completed",I2978,0)</x:f>
        <x:v>0</x:v>
      </x:c>
      <x:c r="S2978" s="11" t="n">
        <x:f>IF(D2978="Completed",L2978,0)</x:f>
        <x:v>0</x:v>
      </x:c>
      <x:c r="T2978" s="8" t="n">
        <x:f>DATE(YEAR(C2978),MONTH(C2978),1)</x:f>
        <x:v>45658</x:v>
      </x:c>
    </x:row>
    <x:row r="2979" ht="22" customHeight="1">
      <x:c r="A2979" s="2" t="str">
        <x:v>L002975</x:v>
      </x:c>
      <x:c r="B2979" s="2" t="str">
        <x:v>O01216</x:v>
      </x:c>
      <x:c r="C2979" s="7" t="n">
        <x:v>45799</x:v>
      </x:c>
      <x:c r="D2979" s="2" t="str">
        <x:v>Completed</x:v>
      </x:c>
      <x:c r="E2979" s="2" t="str">
        <x:v>South</x:v>
      </x:c>
      <x:c r="F2979" s="2" t="str">
        <x:v>Store</x:v>
      </x:c>
      <x:c r="G2979" s="2" t="str">
        <x:v>Furniture</x:v>
      </x:c>
      <x:c r="H2979" s="2" t="str">
        <x:v>Chair 006</x:v>
      </x:c>
      <x:c r="I2979" s="11" t="n">
        <x:v>5</x:v>
      </x:c>
      <x:c r="J2979" s="9" t="n">
        <x:v>196</x:v>
      </x:c>
      <x:c r="K2979" s="10" t="n">
        <x:v>0.05</x:v>
      </x:c>
      <x:c r="L2979" s="11" t="n">
        <x:v>0</x:v>
      </x:c>
      <x:c r="M2979" s="9" t="n">
        <x:f>IF(D2979="Completed",I2979*J2979,0)</x:f>
        <x:v>980</x:v>
      </x:c>
      <x:c r="N2979" s="9" t="n">
        <x:f>M2979*K2979</x:f>
        <x:v>49</x:v>
      </x:c>
      <x:c r="O2979" s="9" t="n">
        <x:f>M2979-N2979</x:f>
        <x:v>931</x:v>
      </x:c>
      <x:c r="P2979" s="9" t="n">
        <x:f>IF(D2979="Completed",L2979*J2979*(1-K2979),0)</x:f>
        <x:v>0</x:v>
      </x:c>
      <x:c r="Q2979" s="9" t="n">
        <x:f>O2979-P2979</x:f>
        <x:v>931</x:v>
      </x:c>
      <x:c r="R2979" s="11" t="n">
        <x:f>IF(D2979="Completed",I2979,0)</x:f>
        <x:v>5</x:v>
      </x:c>
      <x:c r="S2979" s="11" t="n">
        <x:f>IF(D2979="Completed",L2979,0)</x:f>
        <x:v>0</x:v>
      </x:c>
      <x:c r="T2979" s="8" t="n">
        <x:f>DATE(YEAR(C2979),MONTH(C2979),1)</x:f>
        <x:v>45778</x:v>
      </x:c>
    </x:row>
    <x:row r="2980" ht="22" customHeight="1">
      <x:c r="A2980" s="2" t="str">
        <x:v>L002976</x:v>
      </x:c>
      <x:c r="B2980" s="2" t="str">
        <x:v>O01216</x:v>
      </x:c>
      <x:c r="C2980" s="7" t="n">
        <x:v>45799</x:v>
      </x:c>
      <x:c r="D2980" s="2" t="str">
        <x:v>Completed</x:v>
      </x:c>
      <x:c r="E2980" s="2" t="str">
        <x:v>South</x:v>
      </x:c>
      <x:c r="F2980" s="2" t="str">
        <x:v>Store</x:v>
      </x:c>
      <x:c r="G2980" s="2" t="str">
        <x:v>Furniture</x:v>
      </x:c>
      <x:c r="H2980" s="2" t="str">
        <x:v>Desk 024</x:v>
      </x:c>
      <x:c r="I2980" s="11" t="n">
        <x:v>2</x:v>
      </x:c>
      <x:c r="J2980" s="9" t="n">
        <x:v>81</x:v>
      </x:c>
      <x:c r="K2980" s="10" t="n">
        <x:v>0.1</x:v>
      </x:c>
      <x:c r="L2980" s="11" t="n">
        <x:v>0</x:v>
      </x:c>
      <x:c r="M2980" s="9" t="n">
        <x:f>IF(D2980="Completed",I2980*J2980,0)</x:f>
        <x:v>162</x:v>
      </x:c>
      <x:c r="N2980" s="9" t="n">
        <x:f>M2980*K2980</x:f>
        <x:v>16.2</x:v>
      </x:c>
      <x:c r="O2980" s="9" t="n">
        <x:f>M2980-N2980</x:f>
        <x:v>145.8</x:v>
      </x:c>
      <x:c r="P2980" s="9" t="n">
        <x:f>IF(D2980="Completed",L2980*J2980*(1-K2980),0)</x:f>
        <x:v>0</x:v>
      </x:c>
      <x:c r="Q2980" s="9" t="n">
        <x:f>O2980-P2980</x:f>
        <x:v>145.8</x:v>
      </x:c>
      <x:c r="R2980" s="11" t="n">
        <x:f>IF(D2980="Completed",I2980,0)</x:f>
        <x:v>2</x:v>
      </x:c>
      <x:c r="S2980" s="11" t="n">
        <x:f>IF(D2980="Completed",L2980,0)</x:f>
        <x:v>0</x:v>
      </x:c>
      <x:c r="T2980" s="8" t="n">
        <x:f>DATE(YEAR(C2980),MONTH(C2980),1)</x:f>
        <x:v>45778</x:v>
      </x:c>
    </x:row>
    <x:row r="2981" ht="22" customHeight="1">
      <x:c r="A2981" s="2" t="str">
        <x:v>L002977</x:v>
      </x:c>
      <x:c r="B2981" s="2" t="str">
        <x:v>O01216</x:v>
      </x:c>
      <x:c r="C2981" s="7" t="n">
        <x:v>45799</x:v>
      </x:c>
      <x:c r="D2981" s="2" t="str">
        <x:v>Completed</x:v>
      </x:c>
      <x:c r="E2981" s="2" t="str">
        <x:v>South</x:v>
      </x:c>
      <x:c r="F2981" s="2" t="str">
        <x:v>Store</x:v>
      </x:c>
      <x:c r="G2981" s="2" t="str">
        <x:v>Storage</x:v>
      </x:c>
      <x:c r="H2981" s="2" t="str">
        <x:v>Shelf 015</x:v>
      </x:c>
      <x:c r="I2981" s="11" t="n">
        <x:v>1</x:v>
      </x:c>
      <x:c r="J2981" s="9" t="n">
        <x:v>254</x:v>
      </x:c>
      <x:c r="K2981" s="10" t="n">
        <x:v>0.2</x:v>
      </x:c>
      <x:c r="L2981" s="11" t="n">
        <x:v>0</x:v>
      </x:c>
      <x:c r="M2981" s="9" t="n">
        <x:f>IF(D2981="Completed",I2981*J2981,0)</x:f>
        <x:v>254</x:v>
      </x:c>
      <x:c r="N2981" s="9" t="n">
        <x:f>M2981*K2981</x:f>
        <x:v>50.800000000000004</x:v>
      </x:c>
      <x:c r="O2981" s="9" t="n">
        <x:f>M2981-N2981</x:f>
        <x:v>203.2</x:v>
      </x:c>
      <x:c r="P2981" s="9" t="n">
        <x:f>IF(D2981="Completed",L2981*J2981*(1-K2981),0)</x:f>
        <x:v>0</x:v>
      </x:c>
      <x:c r="Q2981" s="9" t="n">
        <x:f>O2981-P2981</x:f>
        <x:v>203.2</x:v>
      </x:c>
      <x:c r="R2981" s="11" t="n">
        <x:f>IF(D2981="Completed",I2981,0)</x:f>
        <x:v>1</x:v>
      </x:c>
      <x:c r="S2981" s="11" t="n">
        <x:f>IF(D2981="Completed",L2981,0)</x:f>
        <x:v>0</x:v>
      </x:c>
      <x:c r="T2981" s="8" t="n">
        <x:f>DATE(YEAR(C2981),MONTH(C2981),1)</x:f>
        <x:v>45778</x:v>
      </x:c>
    </x:row>
    <x:row r="2982" ht="22" customHeight="1">
      <x:c r="A2982" s="2" t="str">
        <x:v>L002978</x:v>
      </x:c>
      <x:c r="B2982" s="2" t="str">
        <x:v>O01217</x:v>
      </x:c>
      <x:c r="C2982" s="7" t="n">
        <x:v>45734</x:v>
      </x:c>
      <x:c r="D2982" s="2" t="str">
        <x:v>Completed</x:v>
      </x:c>
      <x:c r="E2982" s="2" t="str">
        <x:v>East</x:v>
      </x:c>
      <x:c r="F2982" s="2" t="str">
        <x:v>Online</x:v>
      </x:c>
      <x:c r="G2982" s="2" t="str">
        <x:v>Lighting</x:v>
      </x:c>
      <x:c r="H2982" s="2" t="str">
        <x:v>Lamp 021</x:v>
      </x:c>
      <x:c r="I2982" s="11" t="n">
        <x:v>4</x:v>
      </x:c>
      <x:c r="J2982" s="9" t="n">
        <x:v>249</x:v>
      </x:c>
      <x:c r="K2982" s="10" t="n">
        <x:v>0</x:v>
      </x:c>
      <x:c r="L2982" s="11" t="n">
        <x:v>0</x:v>
      </x:c>
      <x:c r="M2982" s="9" t="n">
        <x:f>IF(D2982="Completed",I2982*J2982,0)</x:f>
        <x:v>996</x:v>
      </x:c>
      <x:c r="N2982" s="9" t="n">
        <x:f>M2982*K2982</x:f>
        <x:v>0</x:v>
      </x:c>
      <x:c r="O2982" s="9" t="n">
        <x:f>M2982-N2982</x:f>
        <x:v>996</x:v>
      </x:c>
      <x:c r="P2982" s="9" t="n">
        <x:f>IF(D2982="Completed",L2982*J2982*(1-K2982),0)</x:f>
        <x:v>0</x:v>
      </x:c>
      <x:c r="Q2982" s="9" t="n">
        <x:f>O2982-P2982</x:f>
        <x:v>996</x:v>
      </x:c>
      <x:c r="R2982" s="11" t="n">
        <x:f>IF(D2982="Completed",I2982,0)</x:f>
        <x:v>4</x:v>
      </x:c>
      <x:c r="S2982" s="11" t="n">
        <x:f>IF(D2982="Completed",L2982,0)</x:f>
        <x:v>0</x:v>
      </x:c>
      <x:c r="T2982" s="8" t="n">
        <x:f>DATE(YEAR(C2982),MONTH(C2982),1)</x:f>
        <x:v>45717</x:v>
      </x:c>
    </x:row>
    <x:row r="2983" ht="22" customHeight="1">
      <x:c r="A2983" s="2" t="str">
        <x:v>L002979</x:v>
      </x:c>
      <x:c r="B2983" s="2" t="str">
        <x:v>O01217</x:v>
      </x:c>
      <x:c r="C2983" s="7" t="n">
        <x:v>45734</x:v>
      </x:c>
      <x:c r="D2983" s="2" t="str">
        <x:v>Completed</x:v>
      </x:c>
      <x:c r="E2983" s="2" t="str">
        <x:v>East</x:v>
      </x:c>
      <x:c r="F2983" s="2" t="str">
        <x:v>Online</x:v>
      </x:c>
      <x:c r="G2983" s="2" t="str">
        <x:v>Storage</x:v>
      </x:c>
      <x:c r="H2983" s="2" t="str">
        <x:v>Shelf 019</x:v>
      </x:c>
      <x:c r="I2983" s="11" t="n">
        <x:v>2</x:v>
      </x:c>
      <x:c r="J2983" s="9" t="n">
        <x:v>78</x:v>
      </x:c>
      <x:c r="K2983" s="10" t="n">
        <x:v>0</x:v>
      </x:c>
      <x:c r="L2983" s="11" t="n">
        <x:v>0</x:v>
      </x:c>
      <x:c r="M2983" s="9" t="n">
        <x:f>IF(D2983="Completed",I2983*J2983,0)</x:f>
        <x:v>156</x:v>
      </x:c>
      <x:c r="N2983" s="9" t="n">
        <x:f>M2983*K2983</x:f>
        <x:v>0</x:v>
      </x:c>
      <x:c r="O2983" s="9" t="n">
        <x:f>M2983-N2983</x:f>
        <x:v>156</x:v>
      </x:c>
      <x:c r="P2983" s="9" t="n">
        <x:f>IF(D2983="Completed",L2983*J2983*(1-K2983),0)</x:f>
        <x:v>0</x:v>
      </x:c>
      <x:c r="Q2983" s="9" t="n">
        <x:f>O2983-P2983</x:f>
        <x:v>156</x:v>
      </x:c>
      <x:c r="R2983" s="11" t="n">
        <x:f>IF(D2983="Completed",I2983,0)</x:f>
        <x:v>2</x:v>
      </x:c>
      <x:c r="S2983" s="11" t="n">
        <x:f>IF(D2983="Completed",L2983,0)</x:f>
        <x:v>0</x:v>
      </x:c>
      <x:c r="T2983" s="8" t="n">
        <x:f>DATE(YEAR(C2983),MONTH(C2983),1)</x:f>
        <x:v>45717</x:v>
      </x:c>
    </x:row>
    <x:row r="2984" ht="22" customHeight="1">
      <x:c r="A2984" s="2" t="str">
        <x:v>L002980</x:v>
      </x:c>
      <x:c r="B2984" s="2" t="str">
        <x:v>O01217</x:v>
      </x:c>
      <x:c r="C2984" s="7" t="n">
        <x:v>45734</x:v>
      </x:c>
      <x:c r="D2984" s="2" t="str">
        <x:v>Completed</x:v>
      </x:c>
      <x:c r="E2984" s="2" t="str">
        <x:v>East</x:v>
      </x:c>
      <x:c r="F2984" s="2" t="str">
        <x:v>Online</x:v>
      </x:c>
      <x:c r="G2984" s="2" t="str">
        <x:v>Furniture</x:v>
      </x:c>
      <x:c r="H2984" s="2" t="str">
        <x:v>Chair 022</x:v>
      </x:c>
      <x:c r="I2984" s="11" t="n">
        <x:v>4</x:v>
      </x:c>
      <x:c r="J2984" s="9" t="n">
        <x:v>134</x:v>
      </x:c>
      <x:c r="K2984" s="10" t="n">
        <x:v>0</x:v>
      </x:c>
      <x:c r="L2984" s="11" t="n">
        <x:v>0</x:v>
      </x:c>
      <x:c r="M2984" s="9" t="n">
        <x:f>IF(D2984="Completed",I2984*J2984,0)</x:f>
        <x:v>536</x:v>
      </x:c>
      <x:c r="N2984" s="9" t="n">
        <x:f>M2984*K2984</x:f>
        <x:v>0</x:v>
      </x:c>
      <x:c r="O2984" s="9" t="n">
        <x:f>M2984-N2984</x:f>
        <x:v>536</x:v>
      </x:c>
      <x:c r="P2984" s="9" t="n">
        <x:f>IF(D2984="Completed",L2984*J2984*(1-K2984),0)</x:f>
        <x:v>0</x:v>
      </x:c>
      <x:c r="Q2984" s="9" t="n">
        <x:f>O2984-P2984</x:f>
        <x:v>536</x:v>
      </x:c>
      <x:c r="R2984" s="11" t="n">
        <x:f>IF(D2984="Completed",I2984,0)</x:f>
        <x:v>4</x:v>
      </x:c>
      <x:c r="S2984" s="11" t="n">
        <x:f>IF(D2984="Completed",L2984,0)</x:f>
        <x:v>0</x:v>
      </x:c>
      <x:c r="T2984" s="8" t="n">
        <x:f>DATE(YEAR(C2984),MONTH(C2984),1)</x:f>
        <x:v>45717</x:v>
      </x:c>
    </x:row>
    <x:row r="2985" ht="22" customHeight="1">
      <x:c r="A2985" s="2" t="str">
        <x:v>L002981</x:v>
      </x:c>
      <x:c r="B2985" s="2" t="str">
        <x:v>O01217</x:v>
      </x:c>
      <x:c r="C2985" s="7" t="n">
        <x:v>45734</x:v>
      </x:c>
      <x:c r="D2985" s="2" t="str">
        <x:v>Completed</x:v>
      </x:c>
      <x:c r="E2985" s="2" t="str">
        <x:v>East</x:v>
      </x:c>
      <x:c r="F2985" s="2" t="str">
        <x:v>Online</x:v>
      </x:c>
      <x:c r="G2985" s="2" t="str">
        <x:v>Storage</x:v>
      </x:c>
      <x:c r="H2985" s="2" t="str">
        <x:v>Shelf 023</x:v>
      </x:c>
      <x:c r="I2985" s="11" t="n">
        <x:v>3</x:v>
      </x:c>
      <x:c r="J2985" s="9" t="n">
        <x:v>68</x:v>
      </x:c>
      <x:c r="K2985" s="10" t="n">
        <x:v>0.05</x:v>
      </x:c>
      <x:c r="L2985" s="11" t="n">
        <x:v>0</x:v>
      </x:c>
      <x:c r="M2985" s="9" t="n">
        <x:f>IF(D2985="Completed",I2985*J2985,0)</x:f>
        <x:v>204</x:v>
      </x:c>
      <x:c r="N2985" s="9" t="n">
        <x:f>M2985*K2985</x:f>
        <x:v>10.200000000000001</x:v>
      </x:c>
      <x:c r="O2985" s="9" t="n">
        <x:f>M2985-N2985</x:f>
        <x:v>193.8</x:v>
      </x:c>
      <x:c r="P2985" s="9" t="n">
        <x:f>IF(D2985="Completed",L2985*J2985*(1-K2985),0)</x:f>
        <x:v>0</x:v>
      </x:c>
      <x:c r="Q2985" s="9" t="n">
        <x:f>O2985-P2985</x:f>
        <x:v>193.8</x:v>
      </x:c>
      <x:c r="R2985" s="11" t="n">
        <x:f>IF(D2985="Completed",I2985,0)</x:f>
        <x:v>3</x:v>
      </x:c>
      <x:c r="S2985" s="11" t="n">
        <x:f>IF(D2985="Completed",L2985,0)</x:f>
        <x:v>0</x:v>
      </x:c>
      <x:c r="T2985" s="8" t="n">
        <x:f>DATE(YEAR(C2985),MONTH(C2985),1)</x:f>
        <x:v>45717</x:v>
      </x:c>
    </x:row>
    <x:row r="2986" ht="22" customHeight="1">
      <x:c r="A2986" s="2" t="str">
        <x:v>L002982</x:v>
      </x:c>
      <x:c r="B2986" s="2" t="str">
        <x:v>O01218</x:v>
      </x:c>
      <x:c r="C2986" s="7" t="n">
        <x:v>45917</x:v>
      </x:c>
      <x:c r="D2986" s="2" t="str">
        <x:v>Completed</x:v>
      </x:c>
      <x:c r="E2986" s="2" t="str">
        <x:v>East</x:v>
      </x:c>
      <x:c r="F2986" s="2" t="str">
        <x:v>Store</x:v>
      </x:c>
      <x:c r="G2986" s="2" t="str">
        <x:v>Lighting</x:v>
      </x:c>
      <x:c r="H2986" s="2" t="str">
        <x:v>Lamp 013</x:v>
      </x:c>
      <x:c r="I2986" s="11" t="n">
        <x:v>4</x:v>
      </x:c>
      <x:c r="J2986" s="9" t="n">
        <x:v>271</x:v>
      </x:c>
      <x:c r="K2986" s="10" t="n">
        <x:v>0</x:v>
      </x:c>
      <x:c r="L2986" s="11" t="n">
        <x:v>0</x:v>
      </x:c>
      <x:c r="M2986" s="9" t="n">
        <x:f>IF(D2986="Completed",I2986*J2986,0)</x:f>
        <x:v>1084</x:v>
      </x:c>
      <x:c r="N2986" s="9" t="n">
        <x:f>M2986*K2986</x:f>
        <x:v>0</x:v>
      </x:c>
      <x:c r="O2986" s="9" t="n">
        <x:f>M2986-N2986</x:f>
        <x:v>1084</x:v>
      </x:c>
      <x:c r="P2986" s="9" t="n">
        <x:f>IF(D2986="Completed",L2986*J2986*(1-K2986),0)</x:f>
        <x:v>0</x:v>
      </x:c>
      <x:c r="Q2986" s="9" t="n">
        <x:f>O2986-P2986</x:f>
        <x:v>1084</x:v>
      </x:c>
      <x:c r="R2986" s="11" t="n">
        <x:f>IF(D2986="Completed",I2986,0)</x:f>
        <x:v>4</x:v>
      </x:c>
      <x:c r="S2986" s="11" t="n">
        <x:f>IF(D2986="Completed",L2986,0)</x:f>
        <x:v>0</x:v>
      </x:c>
      <x:c r="T2986" s="8" t="n">
        <x:f>DATE(YEAR(C2986),MONTH(C2986),1)</x:f>
        <x:v>45901</x:v>
      </x:c>
    </x:row>
    <x:row r="2987" ht="22" customHeight="1">
      <x:c r="A2987" s="2" t="str">
        <x:v>L002983</x:v>
      </x:c>
      <x:c r="B2987" s="2" t="str">
        <x:v>O01218</x:v>
      </x:c>
      <x:c r="C2987" s="7" t="n">
        <x:v>45917</x:v>
      </x:c>
      <x:c r="D2987" s="2" t="str">
        <x:v>Completed</x:v>
      </x:c>
      <x:c r="E2987" s="2" t="str">
        <x:v>East</x:v>
      </x:c>
      <x:c r="F2987" s="2" t="str">
        <x:v>Store</x:v>
      </x:c>
      <x:c r="G2987" s="2" t="str">
        <x:v>Furniture</x:v>
      </x:c>
      <x:c r="H2987" s="2" t="str">
        <x:v>Desk 024</x:v>
      </x:c>
      <x:c r="I2987" s="11" t="n">
        <x:v>5</x:v>
      </x:c>
      <x:c r="J2987" s="9" t="n">
        <x:v>81</x:v>
      </x:c>
      <x:c r="K2987" s="10" t="n">
        <x:v>0</x:v>
      </x:c>
      <x:c r="L2987" s="11" t="n">
        <x:v>0</x:v>
      </x:c>
      <x:c r="M2987" s="9" t="n">
        <x:f>IF(D2987="Completed",I2987*J2987,0)</x:f>
        <x:v>405</x:v>
      </x:c>
      <x:c r="N2987" s="9" t="n">
        <x:f>M2987*K2987</x:f>
        <x:v>0</x:v>
      </x:c>
      <x:c r="O2987" s="9" t="n">
        <x:f>M2987-N2987</x:f>
        <x:v>405</x:v>
      </x:c>
      <x:c r="P2987" s="9" t="n">
        <x:f>IF(D2987="Completed",L2987*J2987*(1-K2987),0)</x:f>
        <x:v>0</x:v>
      </x:c>
      <x:c r="Q2987" s="9" t="n">
        <x:f>O2987-P2987</x:f>
        <x:v>405</x:v>
      </x:c>
      <x:c r="R2987" s="11" t="n">
        <x:f>IF(D2987="Completed",I2987,0)</x:f>
        <x:v>5</x:v>
      </x:c>
      <x:c r="S2987" s="11" t="n">
        <x:f>IF(D2987="Completed",L2987,0)</x:f>
        <x:v>0</x:v>
      </x:c>
      <x:c r="T2987" s="8" t="n">
        <x:f>DATE(YEAR(C2987),MONTH(C2987),1)</x:f>
        <x:v>45901</x:v>
      </x:c>
    </x:row>
    <x:row r="2988" ht="22" customHeight="1">
      <x:c r="A2988" s="2" t="str">
        <x:v>L002984</x:v>
      </x:c>
      <x:c r="B2988" s="2" t="str">
        <x:v>O01218</x:v>
      </x:c>
      <x:c r="C2988" s="7" t="n">
        <x:v>45917</x:v>
      </x:c>
      <x:c r="D2988" s="2" t="str">
        <x:v>Completed</x:v>
      </x:c>
      <x:c r="E2988" s="2" t="str">
        <x:v>East</x:v>
      </x:c>
      <x:c r="F2988" s="2" t="str">
        <x:v>Store</x:v>
      </x:c>
      <x:c r="G2988" s="2" t="str">
        <x:v>Furniture</x:v>
      </x:c>
      <x:c r="H2988" s="2" t="str">
        <x:v>Chair 018</x:v>
      </x:c>
      <x:c r="I2988" s="11" t="n">
        <x:v>5</x:v>
      </x:c>
      <x:c r="J2988" s="9" t="n">
        <x:v>269</x:v>
      </x:c>
      <x:c r="K2988" s="10" t="n">
        <x:v>0.05</x:v>
      </x:c>
      <x:c r="L2988" s="11" t="n">
        <x:v>0</x:v>
      </x:c>
      <x:c r="M2988" s="9" t="n">
        <x:f>IF(D2988="Completed",I2988*J2988,0)</x:f>
        <x:v>1345</x:v>
      </x:c>
      <x:c r="N2988" s="9" t="n">
        <x:f>M2988*K2988</x:f>
        <x:v>67.25</x:v>
      </x:c>
      <x:c r="O2988" s="9" t="n">
        <x:f>M2988-N2988</x:f>
        <x:v>1277.75</x:v>
      </x:c>
      <x:c r="P2988" s="9" t="n">
        <x:f>IF(D2988="Completed",L2988*J2988*(1-K2988),0)</x:f>
        <x:v>0</x:v>
      </x:c>
      <x:c r="Q2988" s="9" t="n">
        <x:f>O2988-P2988</x:f>
        <x:v>1277.75</x:v>
      </x:c>
      <x:c r="R2988" s="11" t="n">
        <x:f>IF(D2988="Completed",I2988,0)</x:f>
        <x:v>5</x:v>
      </x:c>
      <x:c r="S2988" s="11" t="n">
        <x:f>IF(D2988="Completed",L2988,0)</x:f>
        <x:v>0</x:v>
      </x:c>
      <x:c r="T2988" s="8" t="n">
        <x:f>DATE(YEAR(C2988),MONTH(C2988),1)</x:f>
        <x:v>45901</x:v>
      </x:c>
    </x:row>
    <x:row r="2989" ht="22" customHeight="1">
      <x:c r="A2989" s="2" t="str">
        <x:v>L002985</x:v>
      </x:c>
      <x:c r="B2989" s="2" t="str">
        <x:v>O01219</x:v>
      </x:c>
      <x:c r="C2989" s="7" t="n">
        <x:v>45725</x:v>
      </x:c>
      <x:c r="D2989" s="2" t="str">
        <x:v>Completed</x:v>
      </x:c>
      <x:c r="E2989" s="2" t="str">
        <x:v>North</x:v>
      </x:c>
      <x:c r="F2989" s="2" t="str">
        <x:v>Store</x:v>
      </x:c>
      <x:c r="G2989" s="2" t="str">
        <x:v>Furniture</x:v>
      </x:c>
      <x:c r="H2989" s="2" t="str">
        <x:v>Chair 018</x:v>
      </x:c>
      <x:c r="I2989" s="11" t="n">
        <x:v>1</x:v>
      </x:c>
      <x:c r="J2989" s="9" t="n">
        <x:v>269</x:v>
      </x:c>
      <x:c r="K2989" s="10" t="n">
        <x:v>0</x:v>
      </x:c>
      <x:c r="L2989" s="11" t="n">
        <x:v>0</x:v>
      </x:c>
      <x:c r="M2989" s="9" t="n">
        <x:f>IF(D2989="Completed",I2989*J2989,0)</x:f>
        <x:v>269</x:v>
      </x:c>
      <x:c r="N2989" s="9" t="n">
        <x:f>M2989*K2989</x:f>
        <x:v>0</x:v>
      </x:c>
      <x:c r="O2989" s="9" t="n">
        <x:f>M2989-N2989</x:f>
        <x:v>269</x:v>
      </x:c>
      <x:c r="P2989" s="9" t="n">
        <x:f>IF(D2989="Completed",L2989*J2989*(1-K2989),0)</x:f>
        <x:v>0</x:v>
      </x:c>
      <x:c r="Q2989" s="9" t="n">
        <x:f>O2989-P2989</x:f>
        <x:v>269</x:v>
      </x:c>
      <x:c r="R2989" s="11" t="n">
        <x:f>IF(D2989="Completed",I2989,0)</x:f>
        <x:v>1</x:v>
      </x:c>
      <x:c r="S2989" s="11" t="n">
        <x:f>IF(D2989="Completed",L2989,0)</x:f>
        <x:v>0</x:v>
      </x:c>
      <x:c r="T2989" s="8" t="n">
        <x:f>DATE(YEAR(C2989),MONTH(C2989),1)</x:f>
        <x:v>45717</x:v>
      </x:c>
    </x:row>
    <x:row r="2990" ht="22" customHeight="1">
      <x:c r="A2990" s="2" t="str">
        <x:v>L002986</x:v>
      </x:c>
      <x:c r="B2990" s="2" t="str">
        <x:v>O01220</x:v>
      </x:c>
      <x:c r="C2990" s="7" t="n">
        <x:v>45664</x:v>
      </x:c>
      <x:c r="D2990" s="2" t="str">
        <x:v>Completed</x:v>
      </x:c>
      <x:c r="E2990" s="2" t="str">
        <x:v>West</x:v>
      </x:c>
      <x:c r="F2990" s="2" t="str">
        <x:v>Store</x:v>
      </x:c>
      <x:c r="G2990" s="2" t="str">
        <x:v>Furniture</x:v>
      </x:c>
      <x:c r="H2990" s="2" t="str">
        <x:v>Chair 018</x:v>
      </x:c>
      <x:c r="I2990" s="11" t="n">
        <x:v>4</x:v>
      </x:c>
      <x:c r="J2990" s="9" t="n">
        <x:v>269</x:v>
      </x:c>
      <x:c r="K2990" s="10" t="n">
        <x:v>0.2</x:v>
      </x:c>
      <x:c r="L2990" s="11" t="n">
        <x:v>0</x:v>
      </x:c>
      <x:c r="M2990" s="9" t="n">
        <x:f>IF(D2990="Completed",I2990*J2990,0)</x:f>
        <x:v>1076</x:v>
      </x:c>
      <x:c r="N2990" s="9" t="n">
        <x:f>M2990*K2990</x:f>
        <x:v>215.20000000000002</x:v>
      </x:c>
      <x:c r="O2990" s="9" t="n">
        <x:f>M2990-N2990</x:f>
        <x:v>860.8</x:v>
      </x:c>
      <x:c r="P2990" s="9" t="n">
        <x:f>IF(D2990="Completed",L2990*J2990*(1-K2990),0)</x:f>
        <x:v>0</x:v>
      </x:c>
      <x:c r="Q2990" s="9" t="n">
        <x:f>O2990-P2990</x:f>
        <x:v>860.8</x:v>
      </x:c>
      <x:c r="R2990" s="11" t="n">
        <x:f>IF(D2990="Completed",I2990,0)</x:f>
        <x:v>4</x:v>
      </x:c>
      <x:c r="S2990" s="11" t="n">
        <x:f>IF(D2990="Completed",L2990,0)</x:f>
        <x:v>0</x:v>
      </x:c>
      <x:c r="T2990" s="8" t="n">
        <x:f>DATE(YEAR(C2990),MONTH(C2990),1)</x:f>
        <x:v>45658</x:v>
      </x:c>
    </x:row>
    <x:row r="2991" ht="22" customHeight="1">
      <x:c r="A2991" s="2" t="str">
        <x:v>L002987</x:v>
      </x:c>
      <x:c r="B2991" s="2" t="str">
        <x:v>O01220</x:v>
      </x:c>
      <x:c r="C2991" s="7" t="n">
        <x:v>45664</x:v>
      </x:c>
      <x:c r="D2991" s="2" t="str">
        <x:v>Completed</x:v>
      </x:c>
      <x:c r="E2991" s="2" t="str">
        <x:v>West</x:v>
      </x:c>
      <x:c r="F2991" s="2" t="str">
        <x:v>Store</x:v>
      </x:c>
      <x:c r="G2991" s="2" t="str">
        <x:v>Storage</x:v>
      </x:c>
      <x:c r="H2991" s="2" t="str">
        <x:v>Shelf 023</x:v>
      </x:c>
      <x:c r="I2991" s="11" t="n">
        <x:v>3</x:v>
      </x:c>
      <x:c r="J2991" s="9" t="n">
        <x:v>68</x:v>
      </x:c>
      <x:c r="K2991" s="10" t="n">
        <x:v>0.2</x:v>
      </x:c>
      <x:c r="L2991" s="11" t="n">
        <x:v>0</x:v>
      </x:c>
      <x:c r="M2991" s="9" t="n">
        <x:f>IF(D2991="Completed",I2991*J2991,0)</x:f>
        <x:v>204</x:v>
      </x:c>
      <x:c r="N2991" s="9" t="n">
        <x:f>M2991*K2991</x:f>
        <x:v>40.800000000000004</x:v>
      </x:c>
      <x:c r="O2991" s="9" t="n">
        <x:f>M2991-N2991</x:f>
        <x:v>163.2</x:v>
      </x:c>
      <x:c r="P2991" s="9" t="n">
        <x:f>IF(D2991="Completed",L2991*J2991*(1-K2991),0)</x:f>
        <x:v>0</x:v>
      </x:c>
      <x:c r="Q2991" s="9" t="n">
        <x:f>O2991-P2991</x:f>
        <x:v>163.2</x:v>
      </x:c>
      <x:c r="R2991" s="11" t="n">
        <x:f>IF(D2991="Completed",I2991,0)</x:f>
        <x:v>3</x:v>
      </x:c>
      <x:c r="S2991" s="11" t="n">
        <x:f>IF(D2991="Completed",L2991,0)</x:f>
        <x:v>0</x:v>
      </x:c>
      <x:c r="T2991" s="8" t="n">
        <x:f>DATE(YEAR(C2991),MONTH(C2991),1)</x:f>
        <x:v>45658</x:v>
      </x:c>
    </x:row>
    <x:row r="2992" ht="22" customHeight="1">
      <x:c r="A2992" s="2" t="str">
        <x:v>L002988</x:v>
      </x:c>
      <x:c r="B2992" s="2" t="str">
        <x:v>O01220</x:v>
      </x:c>
      <x:c r="C2992" s="7" t="n">
        <x:v>45664</x:v>
      </x:c>
      <x:c r="D2992" s="2" t="str">
        <x:v>Completed</x:v>
      </x:c>
      <x:c r="E2992" s="2" t="str">
        <x:v>West</x:v>
      </x:c>
      <x:c r="F2992" s="2" t="str">
        <x:v>Store</x:v>
      </x:c>
      <x:c r="G2992" s="2" t="str">
        <x:v>Storage</x:v>
      </x:c>
      <x:c r="H2992" s="2" t="str">
        <x:v>Shelf 019</x:v>
      </x:c>
      <x:c r="I2992" s="11" t="n">
        <x:v>4</x:v>
      </x:c>
      <x:c r="J2992" s="9" t="n">
        <x:v>78</x:v>
      </x:c>
      <x:c r="K2992" s="10" t="n">
        <x:v>0.05</x:v>
      </x:c>
      <x:c r="L2992" s="11" t="n">
        <x:v>0</x:v>
      </x:c>
      <x:c r="M2992" s="9" t="n">
        <x:f>IF(D2992="Completed",I2992*J2992,0)</x:f>
        <x:v>312</x:v>
      </x:c>
      <x:c r="N2992" s="9" t="n">
        <x:f>M2992*K2992</x:f>
        <x:v>15.600000000000001</x:v>
      </x:c>
      <x:c r="O2992" s="9" t="n">
        <x:f>M2992-N2992</x:f>
        <x:v>296.4</x:v>
      </x:c>
      <x:c r="P2992" s="9" t="n">
        <x:f>IF(D2992="Completed",L2992*J2992*(1-K2992),0)</x:f>
        <x:v>0</x:v>
      </x:c>
      <x:c r="Q2992" s="9" t="n">
        <x:f>O2992-P2992</x:f>
        <x:v>296.4</x:v>
      </x:c>
      <x:c r="R2992" s="11" t="n">
        <x:f>IF(D2992="Completed",I2992,0)</x:f>
        <x:v>4</x:v>
      </x:c>
      <x:c r="S2992" s="11" t="n">
        <x:f>IF(D2992="Completed",L2992,0)</x:f>
        <x:v>0</x:v>
      </x:c>
      <x:c r="T2992" s="8" t="n">
        <x:f>DATE(YEAR(C2992),MONTH(C2992),1)</x:f>
        <x:v>45658</x:v>
      </x:c>
    </x:row>
    <x:row r="2993" ht="22" customHeight="1">
      <x:c r="A2993" s="2" t="str">
        <x:v>L002989</x:v>
      </x:c>
      <x:c r="B2993" s="2" t="str">
        <x:v>O01220</x:v>
      </x:c>
      <x:c r="C2993" s="7" t="n">
        <x:v>45664</x:v>
      </x:c>
      <x:c r="D2993" s="2" t="str">
        <x:v>Completed</x:v>
      </x:c>
      <x:c r="E2993" s="2" t="str">
        <x:v>West</x:v>
      </x:c>
      <x:c r="F2993" s="2" t="str">
        <x:v>Store</x:v>
      </x:c>
      <x:c r="G2993" s="2" t="str">
        <x:v>Furniture</x:v>
      </x:c>
      <x:c r="H2993" s="2" t="str">
        <x:v>Chair 002</x:v>
      </x:c>
      <x:c r="I2993" s="11" t="n">
        <x:v>3</x:v>
      </x:c>
      <x:c r="J2993" s="9" t="n">
        <x:v>284</x:v>
      </x:c>
      <x:c r="K2993" s="10" t="n">
        <x:v>0</x:v>
      </x:c>
      <x:c r="L2993" s="11" t="n">
        <x:v>0</x:v>
      </x:c>
      <x:c r="M2993" s="9" t="n">
        <x:f>IF(D2993="Completed",I2993*J2993,0)</x:f>
        <x:v>852</x:v>
      </x:c>
      <x:c r="N2993" s="9" t="n">
        <x:f>M2993*K2993</x:f>
        <x:v>0</x:v>
      </x:c>
      <x:c r="O2993" s="9" t="n">
        <x:f>M2993-N2993</x:f>
        <x:v>852</x:v>
      </x:c>
      <x:c r="P2993" s="9" t="n">
        <x:f>IF(D2993="Completed",L2993*J2993*(1-K2993),0)</x:f>
        <x:v>0</x:v>
      </x:c>
      <x:c r="Q2993" s="9" t="n">
        <x:f>O2993-P2993</x:f>
        <x:v>852</x:v>
      </x:c>
      <x:c r="R2993" s="11" t="n">
        <x:f>IF(D2993="Completed",I2993,0)</x:f>
        <x:v>3</x:v>
      </x:c>
      <x:c r="S2993" s="11" t="n">
        <x:f>IF(D2993="Completed",L2993,0)</x:f>
        <x:v>0</x:v>
      </x:c>
      <x:c r="T2993" s="8" t="n">
        <x:f>DATE(YEAR(C2993),MONTH(C2993),1)</x:f>
        <x:v>45658</x:v>
      </x:c>
    </x:row>
    <x:row r="2994" ht="22" customHeight="1">
      <x:c r="A2994" s="2" t="str">
        <x:v>L002990</x:v>
      </x:c>
      <x:c r="B2994" s="2" t="str">
        <x:v>O01221</x:v>
      </x:c>
      <x:c r="C2994" s="7" t="n">
        <x:v>45864</x:v>
      </x:c>
      <x:c r="D2994" s="2" t="str">
        <x:v>Completed</x:v>
      </x:c>
      <x:c r="E2994" s="2" t="str">
        <x:v>East</x:v>
      </x:c>
      <x:c r="F2994" s="2" t="str">
        <x:v>Online</x:v>
      </x:c>
      <x:c r="G2994" s="2" t="str">
        <x:v>Furniture</x:v>
      </x:c>
      <x:c r="H2994" s="2" t="str">
        <x:v>Desk 008</x:v>
      </x:c>
      <x:c r="I2994" s="11" t="n">
        <x:v>4</x:v>
      </x:c>
      <x:c r="J2994" s="9" t="n">
        <x:v>188</x:v>
      </x:c>
      <x:c r="K2994" s="10" t="n">
        <x:v>0.1</x:v>
      </x:c>
      <x:c r="L2994" s="11" t="n">
        <x:v>0</x:v>
      </x:c>
      <x:c r="M2994" s="9" t="n">
        <x:f>IF(D2994="Completed",I2994*J2994,0)</x:f>
        <x:v>752</x:v>
      </x:c>
      <x:c r="N2994" s="9" t="n">
        <x:f>M2994*K2994</x:f>
        <x:v>75.2</x:v>
      </x:c>
      <x:c r="O2994" s="9" t="n">
        <x:f>M2994-N2994</x:f>
        <x:v>676.8</x:v>
      </x:c>
      <x:c r="P2994" s="9" t="n">
        <x:f>IF(D2994="Completed",L2994*J2994*(1-K2994),0)</x:f>
        <x:v>0</x:v>
      </x:c>
      <x:c r="Q2994" s="9" t="n">
        <x:f>O2994-P2994</x:f>
        <x:v>676.8</x:v>
      </x:c>
      <x:c r="R2994" s="11" t="n">
        <x:f>IF(D2994="Completed",I2994,0)</x:f>
        <x:v>4</x:v>
      </x:c>
      <x:c r="S2994" s="11" t="n">
        <x:f>IF(D2994="Completed",L2994,0)</x:f>
        <x:v>0</x:v>
      </x:c>
      <x:c r="T2994" s="8" t="n">
        <x:f>DATE(YEAR(C2994),MONTH(C2994),1)</x:f>
        <x:v>45839</x:v>
      </x:c>
    </x:row>
    <x:row r="2995" ht="22" customHeight="1">
      <x:c r="A2995" s="2" t="str">
        <x:v>L002991</x:v>
      </x:c>
      <x:c r="B2995" s="2" t="str">
        <x:v>O01221</x:v>
      </x:c>
      <x:c r="C2995" s="7" t="n">
        <x:v>45864</x:v>
      </x:c>
      <x:c r="D2995" s="2" t="str">
        <x:v>Completed</x:v>
      </x:c>
      <x:c r="E2995" s="2" t="str">
        <x:v>East</x:v>
      </x:c>
      <x:c r="F2995" s="2" t="str">
        <x:v>Online</x:v>
      </x:c>
      <x:c r="G2995" s="2" t="str">
        <x:v>Furniture</x:v>
      </x:c>
      <x:c r="H2995" s="2" t="str">
        <x:v>Desk 016</x:v>
      </x:c>
      <x:c r="I2995" s="11" t="n">
        <x:v>2</x:v>
      </x:c>
      <x:c r="J2995" s="9" t="n">
        <x:v>231</x:v>
      </x:c>
      <x:c r="K2995" s="10" t="n">
        <x:v>0</x:v>
      </x:c>
      <x:c r="L2995" s="11" t="n">
        <x:v>1</x:v>
      </x:c>
      <x:c r="M2995" s="9" t="n">
        <x:f>IF(D2995="Completed",I2995*J2995,0)</x:f>
        <x:v>462</x:v>
      </x:c>
      <x:c r="N2995" s="9" t="n">
        <x:f>M2995*K2995</x:f>
        <x:v>0</x:v>
      </x:c>
      <x:c r="O2995" s="9" t="n">
        <x:f>M2995-N2995</x:f>
        <x:v>462</x:v>
      </x:c>
      <x:c r="P2995" s="9" t="n">
        <x:f>IF(D2995="Completed",L2995*J2995*(1-K2995),0)</x:f>
        <x:v>231</x:v>
      </x:c>
      <x:c r="Q2995" s="9" t="n">
        <x:f>O2995-P2995</x:f>
        <x:v>231</x:v>
      </x:c>
      <x:c r="R2995" s="11" t="n">
        <x:f>IF(D2995="Completed",I2995,0)</x:f>
        <x:v>2</x:v>
      </x:c>
      <x:c r="S2995" s="11" t="n">
        <x:f>IF(D2995="Completed",L2995,0)</x:f>
        <x:v>1</x:v>
      </x:c>
      <x:c r="T2995" s="8" t="n">
        <x:f>DATE(YEAR(C2995),MONTH(C2995),1)</x:f>
        <x:v>45839</x:v>
      </x:c>
    </x:row>
    <x:row r="2996" ht="22" customHeight="1">
      <x:c r="A2996" s="2" t="str">
        <x:v>L002992</x:v>
      </x:c>
      <x:c r="B2996" s="2" t="str">
        <x:v>O01222</x:v>
      </x:c>
      <x:c r="C2996" s="7" t="n">
        <x:v>45869</x:v>
      </x:c>
      <x:c r="D2996" s="2" t="str">
        <x:v>Completed</x:v>
      </x:c>
      <x:c r="E2996" s="2" t="str">
        <x:v>West</x:v>
      </x:c>
      <x:c r="F2996" s="2" t="str">
        <x:v>Online</x:v>
      </x:c>
      <x:c r="G2996" s="2" t="str">
        <x:v>Storage</x:v>
      </x:c>
      <x:c r="H2996" s="2" t="str">
        <x:v>Shelf 011</x:v>
      </x:c>
      <x:c r="I2996" s="11" t="n">
        <x:v>1</x:v>
      </x:c>
      <x:c r="J2996" s="9" t="n">
        <x:v>80</x:v>
      </x:c>
      <x:c r="K2996" s="10" t="n">
        <x:v>0.1</x:v>
      </x:c>
      <x:c r="L2996" s="11" t="n">
        <x:v>0</x:v>
      </x:c>
      <x:c r="M2996" s="9" t="n">
        <x:f>IF(D2996="Completed",I2996*J2996,0)</x:f>
        <x:v>80</x:v>
      </x:c>
      <x:c r="N2996" s="9" t="n">
        <x:f>M2996*K2996</x:f>
        <x:v>8</x:v>
      </x:c>
      <x:c r="O2996" s="9" t="n">
        <x:f>M2996-N2996</x:f>
        <x:v>72</x:v>
      </x:c>
      <x:c r="P2996" s="9" t="n">
        <x:f>IF(D2996="Completed",L2996*J2996*(1-K2996),0)</x:f>
        <x:v>0</x:v>
      </x:c>
      <x:c r="Q2996" s="9" t="n">
        <x:f>O2996-P2996</x:f>
        <x:v>72</x:v>
      </x:c>
      <x:c r="R2996" s="11" t="n">
        <x:f>IF(D2996="Completed",I2996,0)</x:f>
        <x:v>1</x:v>
      </x:c>
      <x:c r="S2996" s="11" t="n">
        <x:f>IF(D2996="Completed",L2996,0)</x:f>
        <x:v>0</x:v>
      </x:c>
      <x:c r="T2996" s="8" t="n">
        <x:f>DATE(YEAR(C2996),MONTH(C2996),1)</x:f>
        <x:v>45839</x:v>
      </x:c>
    </x:row>
    <x:row r="2997" ht="22" customHeight="1">
      <x:c r="A2997" s="2" t="str">
        <x:v>L002993</x:v>
      </x:c>
      <x:c r="B2997" s="2" t="str">
        <x:v>O01222</x:v>
      </x:c>
      <x:c r="C2997" s="7" t="n">
        <x:v>45869</x:v>
      </x:c>
      <x:c r="D2997" s="2" t="str">
        <x:v>Completed</x:v>
      </x:c>
      <x:c r="E2997" s="2" t="str">
        <x:v>West</x:v>
      </x:c>
      <x:c r="F2997" s="2" t="str">
        <x:v>Online</x:v>
      </x:c>
      <x:c r="G2997" s="2" t="str">
        <x:v>Storage</x:v>
      </x:c>
      <x:c r="H2997" s="2" t="str">
        <x:v>Shelf 015</x:v>
      </x:c>
      <x:c r="I2997" s="11" t="n">
        <x:v>4</x:v>
      </x:c>
      <x:c r="J2997" s="9" t="n">
        <x:v>254</x:v>
      </x:c>
      <x:c r="K2997" s="10" t="n">
        <x:v>0.1</x:v>
      </x:c>
      <x:c r="L2997" s="11" t="n">
        <x:v>0</x:v>
      </x:c>
      <x:c r="M2997" s="9" t="n">
        <x:f>IF(D2997="Completed",I2997*J2997,0)</x:f>
        <x:v>1016</x:v>
      </x:c>
      <x:c r="N2997" s="9" t="n">
        <x:f>M2997*K2997</x:f>
        <x:v>101.60000000000001</x:v>
      </x:c>
      <x:c r="O2997" s="9" t="n">
        <x:f>M2997-N2997</x:f>
        <x:v>914.4</x:v>
      </x:c>
      <x:c r="P2997" s="9" t="n">
        <x:f>IF(D2997="Completed",L2997*J2997*(1-K2997),0)</x:f>
        <x:v>0</x:v>
      </x:c>
      <x:c r="Q2997" s="9" t="n">
        <x:f>O2997-P2997</x:f>
        <x:v>914.4</x:v>
      </x:c>
      <x:c r="R2997" s="11" t="n">
        <x:f>IF(D2997="Completed",I2997,0)</x:f>
        <x:v>4</x:v>
      </x:c>
      <x:c r="S2997" s="11" t="n">
        <x:f>IF(D2997="Completed",L2997,0)</x:f>
        <x:v>0</x:v>
      </x:c>
      <x:c r="T2997" s="8" t="n">
        <x:f>DATE(YEAR(C2997),MONTH(C2997),1)</x:f>
        <x:v>45839</x:v>
      </x:c>
    </x:row>
    <x:row r="2998" ht="22" customHeight="1">
      <x:c r="A2998" s="2" t="str">
        <x:v>L002994</x:v>
      </x:c>
      <x:c r="B2998" s="2" t="str">
        <x:v>O01223</x:v>
      </x:c>
      <x:c r="C2998" s="7" t="n">
        <x:v>46005</x:v>
      </x:c>
      <x:c r="D2998" s="2" t="str">
        <x:v>Completed</x:v>
      </x:c>
      <x:c r="E2998" s="2" t="str">
        <x:v>North</x:v>
      </x:c>
      <x:c r="F2998" s="2" t="str">
        <x:v>Online</x:v>
      </x:c>
      <x:c r="G2998" s="2" t="str">
        <x:v>Furniture</x:v>
      </x:c>
      <x:c r="H2998" s="2" t="str">
        <x:v>Chair 002</x:v>
      </x:c>
      <x:c r="I2998" s="11" t="n">
        <x:v>4</x:v>
      </x:c>
      <x:c r="J2998" s="9" t="n">
        <x:v>284</x:v>
      </x:c>
      <x:c r="K2998" s="10" t="n">
        <x:v>0.05</x:v>
      </x:c>
      <x:c r="L2998" s="11" t="n">
        <x:v>0</x:v>
      </x:c>
      <x:c r="M2998" s="9" t="n">
        <x:f>IF(D2998="Completed",I2998*J2998,0)</x:f>
        <x:v>1136</x:v>
      </x:c>
      <x:c r="N2998" s="9" t="n">
        <x:f>M2998*K2998</x:f>
        <x:v>56.800000000000004</x:v>
      </x:c>
      <x:c r="O2998" s="9" t="n">
        <x:f>M2998-N2998</x:f>
        <x:v>1079.2</x:v>
      </x:c>
      <x:c r="P2998" s="9" t="n">
        <x:f>IF(D2998="Completed",L2998*J2998*(1-K2998),0)</x:f>
        <x:v>0</x:v>
      </x:c>
      <x:c r="Q2998" s="9" t="n">
        <x:f>O2998-P2998</x:f>
        <x:v>1079.2</x:v>
      </x:c>
      <x:c r="R2998" s="11" t="n">
        <x:f>IF(D2998="Completed",I2998,0)</x:f>
        <x:v>4</x:v>
      </x:c>
      <x:c r="S2998" s="11" t="n">
        <x:f>IF(D2998="Completed",L2998,0)</x:f>
        <x:v>0</x:v>
      </x:c>
      <x:c r="T2998" s="8" t="n">
        <x:f>DATE(YEAR(C2998),MONTH(C2998),1)</x:f>
        <x:v>45992</x:v>
      </x:c>
    </x:row>
    <x:row r="2999" ht="22" customHeight="1">
      <x:c r="A2999" s="2" t="str">
        <x:v>L002995</x:v>
      </x:c>
      <x:c r="B2999" s="2" t="str">
        <x:v>O01223</x:v>
      </x:c>
      <x:c r="C2999" s="7" t="n">
        <x:v>46005</x:v>
      </x:c>
      <x:c r="D2999" s="2" t="str">
        <x:v>Completed</x:v>
      </x:c>
      <x:c r="E2999" s="2" t="str">
        <x:v>North</x:v>
      </x:c>
      <x:c r="F2999" s="2" t="str">
        <x:v>Online</x:v>
      </x:c>
      <x:c r="G2999" s="2" t="str">
        <x:v>Furniture</x:v>
      </x:c>
      <x:c r="H2999" s="2" t="str">
        <x:v>Chair 006</x:v>
      </x:c>
      <x:c r="I2999" s="11" t="n">
        <x:v>3</x:v>
      </x:c>
      <x:c r="J2999" s="9" t="n">
        <x:v>196</x:v>
      </x:c>
      <x:c r="K2999" s="10" t="n">
        <x:v>0.1</x:v>
      </x:c>
      <x:c r="L2999" s="11" t="n">
        <x:v>0</x:v>
      </x:c>
      <x:c r="M2999" s="9" t="n">
        <x:f>IF(D2999="Completed",I2999*J2999,0)</x:f>
        <x:v>588</x:v>
      </x:c>
      <x:c r="N2999" s="9" t="n">
        <x:f>M2999*K2999</x:f>
        <x:v>58.800000000000004</x:v>
      </x:c>
      <x:c r="O2999" s="9" t="n">
        <x:f>M2999-N2999</x:f>
        <x:v>529.2</x:v>
      </x:c>
      <x:c r="P2999" s="9" t="n">
        <x:f>IF(D2999="Completed",L2999*J2999*(1-K2999),0)</x:f>
        <x:v>0</x:v>
      </x:c>
      <x:c r="Q2999" s="9" t="n">
        <x:f>O2999-P2999</x:f>
        <x:v>529.2</x:v>
      </x:c>
      <x:c r="R2999" s="11" t="n">
        <x:f>IF(D2999="Completed",I2999,0)</x:f>
        <x:v>3</x:v>
      </x:c>
      <x:c r="S2999" s="11" t="n">
        <x:f>IF(D2999="Completed",L2999,0)</x:f>
        <x:v>0</x:v>
      </x:c>
      <x:c r="T2999" s="8" t="n">
        <x:f>DATE(YEAR(C2999),MONTH(C2999),1)</x:f>
        <x:v>45992</x:v>
      </x:c>
    </x:row>
    <x:row r="3000" ht="22" customHeight="1">
      <x:c r="A3000" s="2" t="str">
        <x:v>L002996</x:v>
      </x:c>
      <x:c r="B3000" s="2" t="str">
        <x:v>O01224</x:v>
      </x:c>
      <x:c r="C3000" s="7" t="n">
        <x:v>45931</x:v>
      </x:c>
      <x:c r="D3000" s="2" t="str">
        <x:v>Completed</x:v>
      </x:c>
      <x:c r="E3000" s="2" t="str">
        <x:v>East</x:v>
      </x:c>
      <x:c r="F3000" s="2" t="str">
        <x:v>Online</x:v>
      </x:c>
      <x:c r="G3000" s="2" t="str">
        <x:v>Furniture</x:v>
      </x:c>
      <x:c r="H3000" s="2" t="str">
        <x:v>Chair 014</x:v>
      </x:c>
      <x:c r="I3000" s="11" t="n">
        <x:v>4</x:v>
      </x:c>
      <x:c r="J3000" s="9" t="n">
        <x:v>294</x:v>
      </x:c>
      <x:c r="K3000" s="10" t="n">
        <x:v>0.05</x:v>
      </x:c>
      <x:c r="L3000" s="11" t="n">
        <x:v>0</x:v>
      </x:c>
      <x:c r="M3000" s="9" t="n">
        <x:f>IF(D3000="Completed",I3000*J3000,0)</x:f>
        <x:v>1176</x:v>
      </x:c>
      <x:c r="N3000" s="9" t="n">
        <x:f>M3000*K3000</x:f>
        <x:v>58.800000000000004</x:v>
      </x:c>
      <x:c r="O3000" s="9" t="n">
        <x:f>M3000-N3000</x:f>
        <x:v>1117.2</x:v>
      </x:c>
      <x:c r="P3000" s="9" t="n">
        <x:f>IF(D3000="Completed",L3000*J3000*(1-K3000),0)</x:f>
        <x:v>0</x:v>
      </x:c>
      <x:c r="Q3000" s="9" t="n">
        <x:f>O3000-P3000</x:f>
        <x:v>1117.2</x:v>
      </x:c>
      <x:c r="R3000" s="11" t="n">
        <x:f>IF(D3000="Completed",I3000,0)</x:f>
        <x:v>4</x:v>
      </x:c>
      <x:c r="S3000" s="11" t="n">
        <x:f>IF(D3000="Completed",L3000,0)</x:f>
        <x:v>0</x:v>
      </x:c>
      <x:c r="T3000" s="8" t="n">
        <x:f>DATE(YEAR(C3000),MONTH(C3000),1)</x:f>
        <x:v>45931</x:v>
      </x:c>
    </x:row>
    <x:row r="3001" ht="22" customHeight="1">
      <x:c r="A3001" s="2" t="str">
        <x:v>L002997</x:v>
      </x:c>
      <x:c r="B3001" s="2" t="str">
        <x:v>O01224</x:v>
      </x:c>
      <x:c r="C3001" s="7" t="n">
        <x:v>45931</x:v>
      </x:c>
      <x:c r="D3001" s="2" t="str">
        <x:v>Completed</x:v>
      </x:c>
      <x:c r="E3001" s="2" t="str">
        <x:v>East</x:v>
      </x:c>
      <x:c r="F3001" s="2" t="str">
        <x:v>Online</x:v>
      </x:c>
      <x:c r="G3001" s="2" t="str">
        <x:v>Furniture</x:v>
      </x:c>
      <x:c r="H3001" s="2" t="str">
        <x:v>Desk 020</x:v>
      </x:c>
      <x:c r="I3001" s="11" t="n">
        <x:v>5</x:v>
      </x:c>
      <x:c r="J3001" s="9" t="n">
        <x:v>189</x:v>
      </x:c>
      <x:c r="K3001" s="10" t="n">
        <x:v>0.1</x:v>
      </x:c>
      <x:c r="L3001" s="11" t="n">
        <x:v>0</x:v>
      </x:c>
      <x:c r="M3001" s="9" t="n">
        <x:f>IF(D3001="Completed",I3001*J3001,0)</x:f>
        <x:v>945</x:v>
      </x:c>
      <x:c r="N3001" s="9" t="n">
        <x:f>M3001*K3001</x:f>
        <x:v>94.5</x:v>
      </x:c>
      <x:c r="O3001" s="9" t="n">
        <x:f>M3001-N3001</x:f>
        <x:v>850.5</x:v>
      </x:c>
      <x:c r="P3001" s="9" t="n">
        <x:f>IF(D3001="Completed",L3001*J3001*(1-K3001),0)</x:f>
        <x:v>0</x:v>
      </x:c>
      <x:c r="Q3001" s="9" t="n">
        <x:f>O3001-P3001</x:f>
        <x:v>850.5</x:v>
      </x:c>
      <x:c r="R3001" s="11" t="n">
        <x:f>IF(D3001="Completed",I3001,0)</x:f>
        <x:v>5</x:v>
      </x:c>
      <x:c r="S3001" s="11" t="n">
        <x:f>IF(D3001="Completed",L3001,0)</x:f>
        <x:v>0</x:v>
      </x:c>
      <x:c r="T3001" s="8" t="n">
        <x:f>DATE(YEAR(C3001),MONTH(C3001),1)</x:f>
        <x:v>45931</x:v>
      </x:c>
    </x:row>
    <x:row r="3002" ht="22" customHeight="1">
      <x:c r="A3002" s="2" t="str">
        <x:v>L002998</x:v>
      </x:c>
      <x:c r="B3002" s="2" t="str">
        <x:v>O01224</x:v>
      </x:c>
      <x:c r="C3002" s="7" t="n">
        <x:v>45931</x:v>
      </x:c>
      <x:c r="D3002" s="2" t="str">
        <x:v>Completed</x:v>
      </x:c>
      <x:c r="E3002" s="2" t="str">
        <x:v>East</x:v>
      </x:c>
      <x:c r="F3002" s="2" t="str">
        <x:v>Online</x:v>
      </x:c>
      <x:c r="G3002" s="2" t="str">
        <x:v>Lighting</x:v>
      </x:c>
      <x:c r="H3002" s="2" t="str">
        <x:v>Lamp 013</x:v>
      </x:c>
      <x:c r="I3002" s="11" t="n">
        <x:v>3</x:v>
      </x:c>
      <x:c r="J3002" s="9" t="n">
        <x:v>271</x:v>
      </x:c>
      <x:c r="K3002" s="10" t="n">
        <x:v>0</x:v>
      </x:c>
      <x:c r="L3002" s="11" t="n">
        <x:v>0</x:v>
      </x:c>
      <x:c r="M3002" s="9" t="n">
        <x:f>IF(D3002="Completed",I3002*J3002,0)</x:f>
        <x:v>813</x:v>
      </x:c>
      <x:c r="N3002" s="9" t="n">
        <x:f>M3002*K3002</x:f>
        <x:v>0</x:v>
      </x:c>
      <x:c r="O3002" s="9" t="n">
        <x:f>M3002-N3002</x:f>
        <x:v>813</x:v>
      </x:c>
      <x:c r="P3002" s="9" t="n">
        <x:f>IF(D3002="Completed",L3002*J3002*(1-K3002),0)</x:f>
        <x:v>0</x:v>
      </x:c>
      <x:c r="Q3002" s="9" t="n">
        <x:f>O3002-P3002</x:f>
        <x:v>813</x:v>
      </x:c>
      <x:c r="R3002" s="11" t="n">
        <x:f>IF(D3002="Completed",I3002,0)</x:f>
        <x:v>3</x:v>
      </x:c>
      <x:c r="S3002" s="11" t="n">
        <x:f>IF(D3002="Completed",L3002,0)</x:f>
        <x:v>0</x:v>
      </x:c>
      <x:c r="T3002" s="8" t="n">
        <x:f>DATE(YEAR(C3002),MONTH(C3002),1)</x:f>
        <x:v>45931</x:v>
      </x:c>
    </x:row>
    <x:row r="3003" ht="22" customHeight="1">
      <x:c r="A3003" s="2" t="str">
        <x:v>L002999</x:v>
      </x:c>
      <x:c r="B3003" s="2" t="str">
        <x:v>O01224</x:v>
      </x:c>
      <x:c r="C3003" s="7" t="n">
        <x:v>45931</x:v>
      </x:c>
      <x:c r="D3003" s="2" t="str">
        <x:v>Completed</x:v>
      </x:c>
      <x:c r="E3003" s="2" t="str">
        <x:v>East</x:v>
      </x:c>
      <x:c r="F3003" s="2" t="str">
        <x:v>Online</x:v>
      </x:c>
      <x:c r="G3003" s="2" t="str">
        <x:v>Lighting</x:v>
      </x:c>
      <x:c r="H3003" s="2" t="str">
        <x:v>Lamp 009</x:v>
      </x:c>
      <x:c r="I3003" s="11" t="n">
        <x:v>1</x:v>
      </x:c>
      <x:c r="J3003" s="9" t="n">
        <x:v>93</x:v>
      </x:c>
      <x:c r="K3003" s="10" t="n">
        <x:v>0.1</x:v>
      </x:c>
      <x:c r="L3003" s="11" t="n">
        <x:v>0</x:v>
      </x:c>
      <x:c r="M3003" s="9" t="n">
        <x:f>IF(D3003="Completed",I3003*J3003,0)</x:f>
        <x:v>93</x:v>
      </x:c>
      <x:c r="N3003" s="9" t="n">
        <x:f>M3003*K3003</x:f>
        <x:v>9.3</x:v>
      </x:c>
      <x:c r="O3003" s="9" t="n">
        <x:f>M3003-N3003</x:f>
        <x:v>83.7</x:v>
      </x:c>
      <x:c r="P3003" s="9" t="n">
        <x:f>IF(D3003="Completed",L3003*J3003*(1-K3003),0)</x:f>
        <x:v>0</x:v>
      </x:c>
      <x:c r="Q3003" s="9" t="n">
        <x:f>O3003-P3003</x:f>
        <x:v>83.7</x:v>
      </x:c>
      <x:c r="R3003" s="11" t="n">
        <x:f>IF(D3003="Completed",I3003,0)</x:f>
        <x:v>1</x:v>
      </x:c>
      <x:c r="S3003" s="11" t="n">
        <x:f>IF(D3003="Completed",L3003,0)</x:f>
        <x:v>0</x:v>
      </x:c>
      <x:c r="T3003" s="8" t="n">
        <x:f>DATE(YEAR(C3003),MONTH(C3003),1)</x:f>
        <x:v>45931</x:v>
      </x:c>
    </x:row>
    <x:row r="3004" ht="22" customHeight="1">
      <x:c r="A3004" s="2" t="str">
        <x:v>L003000</x:v>
      </x:c>
      <x:c r="B3004" s="2" t="str">
        <x:v>O01225</x:v>
      </x:c>
      <x:c r="C3004" s="7" t="n">
        <x:v>45943</x:v>
      </x:c>
      <x:c r="D3004" s="2" t="str">
        <x:v>Completed</x:v>
      </x:c>
      <x:c r="E3004" s="2" t="str">
        <x:v>West</x:v>
      </x:c>
      <x:c r="F3004" s="2" t="str">
        <x:v>Online</x:v>
      </x:c>
      <x:c r="G3004" s="2" t="str">
        <x:v>Furniture</x:v>
      </x:c>
      <x:c r="H3004" s="2" t="str">
        <x:v>Chair 014</x:v>
      </x:c>
      <x:c r="I3004" s="11" t="n">
        <x:v>2</x:v>
      </x:c>
      <x:c r="J3004" s="9" t="n">
        <x:v>294</x:v>
      </x:c>
      <x:c r="K3004" s="10" t="n">
        <x:v>0</x:v>
      </x:c>
      <x:c r="L3004" s="11" t="n">
        <x:v>0</x:v>
      </x:c>
      <x:c r="M3004" s="9" t="n">
        <x:f>IF(D3004="Completed",I3004*J3004,0)</x:f>
        <x:v>588</x:v>
      </x:c>
      <x:c r="N3004" s="9" t="n">
        <x:f>M3004*K3004</x:f>
        <x:v>0</x:v>
      </x:c>
      <x:c r="O3004" s="9" t="n">
        <x:f>M3004-N3004</x:f>
        <x:v>588</x:v>
      </x:c>
      <x:c r="P3004" s="9" t="n">
        <x:f>IF(D3004="Completed",L3004*J3004*(1-K3004),0)</x:f>
        <x:v>0</x:v>
      </x:c>
      <x:c r="Q3004" s="9" t="n">
        <x:f>O3004-P3004</x:f>
        <x:v>588</x:v>
      </x:c>
      <x:c r="R3004" s="11" t="n">
        <x:f>IF(D3004="Completed",I3004,0)</x:f>
        <x:v>2</x:v>
      </x:c>
      <x:c r="S3004" s="11" t="n">
        <x:f>IF(D3004="Completed",L3004,0)</x:f>
        <x:v>0</x:v>
      </x:c>
      <x:c r="T3004" s="8" t="n">
        <x:f>DATE(YEAR(C3004),MONTH(C3004),1)</x:f>
        <x:v>45931</x:v>
      </x:c>
    </x:row>
    <x:row r="3005" ht="22" customHeight="1">
      <x:c r="A3005" s="2" t="str">
        <x:v>L003001</x:v>
      </x:c>
      <x:c r="B3005" s="2" t="str">
        <x:v>O01225</x:v>
      </x:c>
      <x:c r="C3005" s="7" t="n">
        <x:v>45943</x:v>
      </x:c>
      <x:c r="D3005" s="2" t="str">
        <x:v>Completed</x:v>
      </x:c>
      <x:c r="E3005" s="2" t="str">
        <x:v>West</x:v>
      </x:c>
      <x:c r="F3005" s="2" t="str">
        <x:v>Online</x:v>
      </x:c>
      <x:c r="G3005" s="2" t="str">
        <x:v>Storage</x:v>
      </x:c>
      <x:c r="H3005" s="2" t="str">
        <x:v>Shelf 003</x:v>
      </x:c>
      <x:c r="I3005" s="11" t="n">
        <x:v>3</x:v>
      </x:c>
      <x:c r="J3005" s="9" t="n">
        <x:v>199</x:v>
      </x:c>
      <x:c r="K3005" s="10" t="n">
        <x:v>0.1</x:v>
      </x:c>
      <x:c r="L3005" s="11" t="n">
        <x:v>0</x:v>
      </x:c>
      <x:c r="M3005" s="9" t="n">
        <x:f>IF(D3005="Completed",I3005*J3005,0)</x:f>
        <x:v>597</x:v>
      </x:c>
      <x:c r="N3005" s="9" t="n">
        <x:f>M3005*K3005</x:f>
        <x:v>59.7</x:v>
      </x:c>
      <x:c r="O3005" s="9" t="n">
        <x:f>M3005-N3005</x:f>
        <x:v>537.3</x:v>
      </x:c>
      <x:c r="P3005" s="9" t="n">
        <x:f>IF(D3005="Completed",L3005*J3005*(1-K3005),0)</x:f>
        <x:v>0</x:v>
      </x:c>
      <x:c r="Q3005" s="9" t="n">
        <x:f>O3005-P3005</x:f>
        <x:v>537.3</x:v>
      </x:c>
      <x:c r="R3005" s="11" t="n">
        <x:f>IF(D3005="Completed",I3005,0)</x:f>
        <x:v>3</x:v>
      </x:c>
      <x:c r="S3005" s="11" t="n">
        <x:f>IF(D3005="Completed",L3005,0)</x:f>
        <x:v>0</x:v>
      </x:c>
      <x:c r="T3005" s="8" t="n">
        <x:f>DATE(YEAR(C3005),MONTH(C3005),1)</x:f>
        <x:v>45931</x:v>
      </x:c>
    </x:row>
    <x:row r="3006" ht="22" customHeight="1">
      <x:c r="A3006" s="2" t="str">
        <x:v>L003002</x:v>
      </x:c>
      <x:c r="B3006" s="2" t="str">
        <x:v>O01225</x:v>
      </x:c>
      <x:c r="C3006" s="7" t="n">
        <x:v>45943</x:v>
      </x:c>
      <x:c r="D3006" s="2" t="str">
        <x:v>Completed</x:v>
      </x:c>
      <x:c r="E3006" s="2" t="str">
        <x:v>West</x:v>
      </x:c>
      <x:c r="F3006" s="2" t="str">
        <x:v>Online</x:v>
      </x:c>
      <x:c r="G3006" s="2" t="str">
        <x:v>Furniture</x:v>
      </x:c>
      <x:c r="H3006" s="2" t="str">
        <x:v>Chair 002</x:v>
      </x:c>
      <x:c r="I3006" s="11" t="n">
        <x:v>1</x:v>
      </x:c>
      <x:c r="J3006" s="9" t="n">
        <x:v>284</x:v>
      </x:c>
      <x:c r="K3006" s="10" t="n">
        <x:v>0</x:v>
      </x:c>
      <x:c r="L3006" s="11" t="n">
        <x:v>1</x:v>
      </x:c>
      <x:c r="M3006" s="9" t="n">
        <x:f>IF(D3006="Completed",I3006*J3006,0)</x:f>
        <x:v>284</x:v>
      </x:c>
      <x:c r="N3006" s="9" t="n">
        <x:f>M3006*K3006</x:f>
        <x:v>0</x:v>
      </x:c>
      <x:c r="O3006" s="9" t="n">
        <x:f>M3006-N3006</x:f>
        <x:v>284</x:v>
      </x:c>
      <x:c r="P3006" s="9" t="n">
        <x:f>IF(D3006="Completed",L3006*J3006*(1-K3006),0)</x:f>
        <x:v>284</x:v>
      </x:c>
      <x:c r="Q3006" s="9" t="n">
        <x:f>O3006-P3006</x:f>
        <x:v>0</x:v>
      </x:c>
      <x:c r="R3006" s="11" t="n">
        <x:f>IF(D3006="Completed",I3006,0)</x:f>
        <x:v>1</x:v>
      </x:c>
      <x:c r="S3006" s="11" t="n">
        <x:f>IF(D3006="Completed",L3006,0)</x:f>
        <x:v>1</x:v>
      </x:c>
      <x:c r="T3006" s="8" t="n">
        <x:f>DATE(YEAR(C3006),MONTH(C3006),1)</x:f>
        <x:v>45931</x:v>
      </x:c>
    </x:row>
    <x:row r="3007" ht="22" customHeight="1">
      <x:c r="A3007" s="2" t="str">
        <x:v>L003003</x:v>
      </x:c>
      <x:c r="B3007" s="2" t="str">
        <x:v>O01226</x:v>
      </x:c>
      <x:c r="C3007" s="7" t="n">
        <x:v>45697</x:v>
      </x:c>
      <x:c r="D3007" s="2" t="str">
        <x:v>Completed</x:v>
      </x:c>
      <x:c r="E3007" s="2" t="str">
        <x:v>West</x:v>
      </x:c>
      <x:c r="F3007" s="2" t="str">
        <x:v>Store</x:v>
      </x:c>
      <x:c r="G3007" s="2" t="str">
        <x:v>Storage</x:v>
      </x:c>
      <x:c r="H3007" s="2" t="str">
        <x:v>Shelf 003</x:v>
      </x:c>
      <x:c r="I3007" s="11" t="n">
        <x:v>1</x:v>
      </x:c>
      <x:c r="J3007" s="9" t="n">
        <x:v>199</x:v>
      </x:c>
      <x:c r="K3007" s="10" t="n">
        <x:v>0</x:v>
      </x:c>
      <x:c r="L3007" s="11" t="n">
        <x:v>0</x:v>
      </x:c>
      <x:c r="M3007" s="9" t="n">
        <x:f>IF(D3007="Completed",I3007*J3007,0)</x:f>
        <x:v>199</x:v>
      </x:c>
      <x:c r="N3007" s="9" t="n">
        <x:f>M3007*K3007</x:f>
        <x:v>0</x:v>
      </x:c>
      <x:c r="O3007" s="9" t="n">
        <x:f>M3007-N3007</x:f>
        <x:v>199</x:v>
      </x:c>
      <x:c r="P3007" s="9" t="n">
        <x:f>IF(D3007="Completed",L3007*J3007*(1-K3007),0)</x:f>
        <x:v>0</x:v>
      </x:c>
      <x:c r="Q3007" s="9" t="n">
        <x:f>O3007-P3007</x:f>
        <x:v>199</x:v>
      </x:c>
      <x:c r="R3007" s="11" t="n">
        <x:f>IF(D3007="Completed",I3007,0)</x:f>
        <x:v>1</x:v>
      </x:c>
      <x:c r="S3007" s="11" t="n">
        <x:f>IF(D3007="Completed",L3007,0)</x:f>
        <x:v>0</x:v>
      </x:c>
      <x:c r="T3007" s="8" t="n">
        <x:f>DATE(YEAR(C3007),MONTH(C3007),1)</x:f>
        <x:v>45689</x:v>
      </x:c>
    </x:row>
    <x:row r="3008" ht="22" customHeight="1">
      <x:c r="A3008" s="2" t="str">
        <x:v>L003004</x:v>
      </x:c>
      <x:c r="B3008" s="2" t="str">
        <x:v>O01226</x:v>
      </x:c>
      <x:c r="C3008" s="7" t="n">
        <x:v>45697</x:v>
      </x:c>
      <x:c r="D3008" s="2" t="str">
        <x:v>Completed</x:v>
      </x:c>
      <x:c r="E3008" s="2" t="str">
        <x:v>West</x:v>
      </x:c>
      <x:c r="F3008" s="2" t="str">
        <x:v>Store</x:v>
      </x:c>
      <x:c r="G3008" s="2" t="str">
        <x:v>Furniture</x:v>
      </x:c>
      <x:c r="H3008" s="2" t="str">
        <x:v>Chair 014</x:v>
      </x:c>
      <x:c r="I3008" s="11" t="n">
        <x:v>2</x:v>
      </x:c>
      <x:c r="J3008" s="9" t="n">
        <x:v>294</x:v>
      </x:c>
      <x:c r="K3008" s="10" t="n">
        <x:v>0.2</x:v>
      </x:c>
      <x:c r="L3008" s="11" t="n">
        <x:v>0</x:v>
      </x:c>
      <x:c r="M3008" s="9" t="n">
        <x:f>IF(D3008="Completed",I3008*J3008,0)</x:f>
        <x:v>588</x:v>
      </x:c>
      <x:c r="N3008" s="9" t="n">
        <x:f>M3008*K3008</x:f>
        <x:v>117.60000000000001</x:v>
      </x:c>
      <x:c r="O3008" s="9" t="n">
        <x:f>M3008-N3008</x:f>
        <x:v>470.4</x:v>
      </x:c>
      <x:c r="P3008" s="9" t="n">
        <x:f>IF(D3008="Completed",L3008*J3008*(1-K3008),0)</x:f>
        <x:v>0</x:v>
      </x:c>
      <x:c r="Q3008" s="9" t="n">
        <x:f>O3008-P3008</x:f>
        <x:v>470.4</x:v>
      </x:c>
      <x:c r="R3008" s="11" t="n">
        <x:f>IF(D3008="Completed",I3008,0)</x:f>
        <x:v>2</x:v>
      </x:c>
      <x:c r="S3008" s="11" t="n">
        <x:f>IF(D3008="Completed",L3008,0)</x:f>
        <x:v>0</x:v>
      </x:c>
      <x:c r="T3008" s="8" t="n">
        <x:f>DATE(YEAR(C3008),MONTH(C3008),1)</x:f>
        <x:v>45689</x:v>
      </x:c>
    </x:row>
    <x:row r="3009" ht="22" customHeight="1">
      <x:c r="A3009" s="2" t="str">
        <x:v>L003005</x:v>
      </x:c>
      <x:c r="B3009" s="2" t="str">
        <x:v>O01226</x:v>
      </x:c>
      <x:c r="C3009" s="7" t="n">
        <x:v>45697</x:v>
      </x:c>
      <x:c r="D3009" s="2" t="str">
        <x:v>Completed</x:v>
      </x:c>
      <x:c r="E3009" s="2" t="str">
        <x:v>West</x:v>
      </x:c>
      <x:c r="F3009" s="2" t="str">
        <x:v>Store</x:v>
      </x:c>
      <x:c r="G3009" s="2" t="str">
        <x:v>Furniture</x:v>
      </x:c>
      <x:c r="H3009" s="2" t="str">
        <x:v>Chair 018</x:v>
      </x:c>
      <x:c r="I3009" s="11" t="n">
        <x:v>1</x:v>
      </x:c>
      <x:c r="J3009" s="9" t="n">
        <x:v>269</x:v>
      </x:c>
      <x:c r="K3009" s="10" t="n">
        <x:v>0.1</x:v>
      </x:c>
      <x:c r="L3009" s="11" t="n">
        <x:v>0</x:v>
      </x:c>
      <x:c r="M3009" s="9" t="n">
        <x:f>IF(D3009="Completed",I3009*J3009,0)</x:f>
        <x:v>269</x:v>
      </x:c>
      <x:c r="N3009" s="9" t="n">
        <x:f>M3009*K3009</x:f>
        <x:v>26.900000000000002</x:v>
      </x:c>
      <x:c r="O3009" s="9" t="n">
        <x:f>M3009-N3009</x:f>
        <x:v>242.1</x:v>
      </x:c>
      <x:c r="P3009" s="9" t="n">
        <x:f>IF(D3009="Completed",L3009*J3009*(1-K3009),0)</x:f>
        <x:v>0</x:v>
      </x:c>
      <x:c r="Q3009" s="9" t="n">
        <x:f>O3009-P3009</x:f>
        <x:v>242.1</x:v>
      </x:c>
      <x:c r="R3009" s="11" t="n">
        <x:f>IF(D3009="Completed",I3009,0)</x:f>
        <x:v>1</x:v>
      </x:c>
      <x:c r="S3009" s="11" t="n">
        <x:f>IF(D3009="Completed",L3009,0)</x:f>
        <x:v>0</x:v>
      </x:c>
      <x:c r="T3009" s="8" t="n">
        <x:f>DATE(YEAR(C3009),MONTH(C3009),1)</x:f>
        <x:v>45689</x:v>
      </x:c>
    </x:row>
    <x:row r="3010" ht="22" customHeight="1">
      <x:c r="A3010" s="2" t="str">
        <x:v>L003006</x:v>
      </x:c>
      <x:c r="B3010" s="2" t="str">
        <x:v>O01226</x:v>
      </x:c>
      <x:c r="C3010" s="7" t="n">
        <x:v>45697</x:v>
      </x:c>
      <x:c r="D3010" s="2" t="str">
        <x:v>Completed</x:v>
      </x:c>
      <x:c r="E3010" s="2" t="str">
        <x:v>West</x:v>
      </x:c>
      <x:c r="F3010" s="2" t="str">
        <x:v>Store</x:v>
      </x:c>
      <x:c r="G3010" s="2" t="str">
        <x:v>Furniture</x:v>
      </x:c>
      <x:c r="H3010" s="2" t="str">
        <x:v>Chair 022</x:v>
      </x:c>
      <x:c r="I3010" s="11" t="n">
        <x:v>5</x:v>
      </x:c>
      <x:c r="J3010" s="9" t="n">
        <x:v>134</x:v>
      </x:c>
      <x:c r="K3010" s="10" t="n">
        <x:v>0</x:v>
      </x:c>
      <x:c r="L3010" s="11" t="n">
        <x:v>0</x:v>
      </x:c>
      <x:c r="M3010" s="9" t="n">
        <x:f>IF(D3010="Completed",I3010*J3010,0)</x:f>
        <x:v>670</x:v>
      </x:c>
      <x:c r="N3010" s="9" t="n">
        <x:f>M3010*K3010</x:f>
        <x:v>0</x:v>
      </x:c>
      <x:c r="O3010" s="9" t="n">
        <x:f>M3010-N3010</x:f>
        <x:v>670</x:v>
      </x:c>
      <x:c r="P3010" s="9" t="n">
        <x:f>IF(D3010="Completed",L3010*J3010*(1-K3010),0)</x:f>
        <x:v>0</x:v>
      </x:c>
      <x:c r="Q3010" s="9" t="n">
        <x:f>O3010-P3010</x:f>
        <x:v>670</x:v>
      </x:c>
      <x:c r="R3010" s="11" t="n">
        <x:f>IF(D3010="Completed",I3010,0)</x:f>
        <x:v>5</x:v>
      </x:c>
      <x:c r="S3010" s="11" t="n">
        <x:f>IF(D3010="Completed",L3010,0)</x:f>
        <x:v>0</x:v>
      </x:c>
      <x:c r="T3010" s="8" t="n">
        <x:f>DATE(YEAR(C3010),MONTH(C3010),1)</x:f>
        <x:v>45689</x:v>
      </x:c>
    </x:row>
    <x:row r="3011" ht="22" customHeight="1">
      <x:c r="A3011" s="2" t="str">
        <x:v>L003007</x:v>
      </x:c>
      <x:c r="B3011" s="2" t="str">
        <x:v>O01227</x:v>
      </x:c>
      <x:c r="C3011" s="7" t="n">
        <x:v>45958</x:v>
      </x:c>
      <x:c r="D3011" s="2" t="str">
        <x:v>Completed</x:v>
      </x:c>
      <x:c r="E3011" s="2" t="str">
        <x:v>West</x:v>
      </x:c>
      <x:c r="F3011" s="2" t="str">
        <x:v>Store</x:v>
      </x:c>
      <x:c r="G3011" s="2" t="str">
        <x:v>Storage</x:v>
      </x:c>
      <x:c r="H3011" s="2" t="str">
        <x:v>Shelf 023</x:v>
      </x:c>
      <x:c r="I3011" s="11" t="n">
        <x:v>4</x:v>
      </x:c>
      <x:c r="J3011" s="9" t="n">
        <x:v>68</x:v>
      </x:c>
      <x:c r="K3011" s="10" t="n">
        <x:v>0</x:v>
      </x:c>
      <x:c r="L3011" s="11" t="n">
        <x:v>0</x:v>
      </x:c>
      <x:c r="M3011" s="9" t="n">
        <x:f>IF(D3011="Completed",I3011*J3011,0)</x:f>
        <x:v>272</x:v>
      </x:c>
      <x:c r="N3011" s="9" t="n">
        <x:f>M3011*K3011</x:f>
        <x:v>0</x:v>
      </x:c>
      <x:c r="O3011" s="9" t="n">
        <x:f>M3011-N3011</x:f>
        <x:v>272</x:v>
      </x:c>
      <x:c r="P3011" s="9" t="n">
        <x:f>IF(D3011="Completed",L3011*J3011*(1-K3011),0)</x:f>
        <x:v>0</x:v>
      </x:c>
      <x:c r="Q3011" s="9" t="n">
        <x:f>O3011-P3011</x:f>
        <x:v>272</x:v>
      </x:c>
      <x:c r="R3011" s="11" t="n">
        <x:f>IF(D3011="Completed",I3011,0)</x:f>
        <x:v>4</x:v>
      </x:c>
      <x:c r="S3011" s="11" t="n">
        <x:f>IF(D3011="Completed",L3011,0)</x:f>
        <x:v>0</x:v>
      </x:c>
      <x:c r="T3011" s="8" t="n">
        <x:f>DATE(YEAR(C3011),MONTH(C3011),1)</x:f>
        <x:v>45931</x:v>
      </x:c>
    </x:row>
    <x:row r="3012" ht="22" customHeight="1">
      <x:c r="A3012" s="2" t="str">
        <x:v>L003008</x:v>
      </x:c>
      <x:c r="B3012" s="2" t="str">
        <x:v>O01227</x:v>
      </x:c>
      <x:c r="C3012" s="7" t="n">
        <x:v>45958</x:v>
      </x:c>
      <x:c r="D3012" s="2" t="str">
        <x:v>Completed</x:v>
      </x:c>
      <x:c r="E3012" s="2" t="str">
        <x:v>West</x:v>
      </x:c>
      <x:c r="F3012" s="2" t="str">
        <x:v>Store</x:v>
      </x:c>
      <x:c r="G3012" s="2" t="str">
        <x:v>Furniture</x:v>
      </x:c>
      <x:c r="H3012" s="2" t="str">
        <x:v>Chair 018</x:v>
      </x:c>
      <x:c r="I3012" s="11" t="n">
        <x:v>1</x:v>
      </x:c>
      <x:c r="J3012" s="9" t="n">
        <x:v>269</x:v>
      </x:c>
      <x:c r="K3012" s="10" t="n">
        <x:v>0.05</x:v>
      </x:c>
      <x:c r="L3012" s="11" t="n">
        <x:v>0</x:v>
      </x:c>
      <x:c r="M3012" s="9" t="n">
        <x:f>IF(D3012="Completed",I3012*J3012,0)</x:f>
        <x:v>269</x:v>
      </x:c>
      <x:c r="N3012" s="9" t="n">
        <x:f>M3012*K3012</x:f>
        <x:v>13.450000000000001</x:v>
      </x:c>
      <x:c r="O3012" s="9" t="n">
        <x:f>M3012-N3012</x:f>
        <x:v>255.55</x:v>
      </x:c>
      <x:c r="P3012" s="9" t="n">
        <x:f>IF(D3012="Completed",L3012*J3012*(1-K3012),0)</x:f>
        <x:v>0</x:v>
      </x:c>
      <x:c r="Q3012" s="9" t="n">
        <x:f>O3012-P3012</x:f>
        <x:v>255.55</x:v>
      </x:c>
      <x:c r="R3012" s="11" t="n">
        <x:f>IF(D3012="Completed",I3012,0)</x:f>
        <x:v>1</x:v>
      </x:c>
      <x:c r="S3012" s="11" t="n">
        <x:f>IF(D3012="Completed",L3012,0)</x:f>
        <x:v>0</x:v>
      </x:c>
      <x:c r="T3012" s="8" t="n">
        <x:f>DATE(YEAR(C3012),MONTH(C3012),1)</x:f>
        <x:v>45931</x:v>
      </x:c>
    </x:row>
    <x:row r="3013" ht="22" customHeight="1">
      <x:c r="A3013" s="2" t="str">
        <x:v>L003009</x:v>
      </x:c>
      <x:c r="B3013" s="2" t="str">
        <x:v>O01227</x:v>
      </x:c>
      <x:c r="C3013" s="7" t="n">
        <x:v>45958</x:v>
      </x:c>
      <x:c r="D3013" s="2" t="str">
        <x:v>Completed</x:v>
      </x:c>
      <x:c r="E3013" s="2" t="str">
        <x:v>West</x:v>
      </x:c>
      <x:c r="F3013" s="2" t="str">
        <x:v>Store</x:v>
      </x:c>
      <x:c r="G3013" s="2" t="str">
        <x:v>Lighting</x:v>
      </x:c>
      <x:c r="H3013" s="2" t="str">
        <x:v>Lamp 005</x:v>
      </x:c>
      <x:c r="I3013" s="11" t="n">
        <x:v>2</x:v>
      </x:c>
      <x:c r="J3013" s="9" t="n">
        <x:v>65</x:v>
      </x:c>
      <x:c r="K3013" s="10" t="n">
        <x:v>0.05</x:v>
      </x:c>
      <x:c r="L3013" s="11" t="n">
        <x:v>0</x:v>
      </x:c>
      <x:c r="M3013" s="9" t="n">
        <x:f>IF(D3013="Completed",I3013*J3013,0)</x:f>
        <x:v>130</x:v>
      </x:c>
      <x:c r="N3013" s="9" t="n">
        <x:f>M3013*K3013</x:f>
        <x:v>6.5</x:v>
      </x:c>
      <x:c r="O3013" s="9" t="n">
        <x:f>M3013-N3013</x:f>
        <x:v>123.5</x:v>
      </x:c>
      <x:c r="P3013" s="9" t="n">
        <x:f>IF(D3013="Completed",L3013*J3013*(1-K3013),0)</x:f>
        <x:v>0</x:v>
      </x:c>
      <x:c r="Q3013" s="9" t="n">
        <x:f>O3013-P3013</x:f>
        <x:v>123.5</x:v>
      </x:c>
      <x:c r="R3013" s="11" t="n">
        <x:f>IF(D3013="Completed",I3013,0)</x:f>
        <x:v>2</x:v>
      </x:c>
      <x:c r="S3013" s="11" t="n">
        <x:f>IF(D3013="Completed",L3013,0)</x:f>
        <x:v>0</x:v>
      </x:c>
      <x:c r="T3013" s="8" t="n">
        <x:f>DATE(YEAR(C3013),MONTH(C3013),1)</x:f>
        <x:v>45931</x:v>
      </x:c>
    </x:row>
    <x:row r="3014" ht="22" customHeight="1">
      <x:c r="A3014" s="2" t="str">
        <x:v>L003010</x:v>
      </x:c>
      <x:c r="B3014" s="2" t="str">
        <x:v>O01227</x:v>
      </x:c>
      <x:c r="C3014" s="7" t="n">
        <x:v>45958</x:v>
      </x:c>
      <x:c r="D3014" s="2" t="str">
        <x:v>Completed</x:v>
      </x:c>
      <x:c r="E3014" s="2" t="str">
        <x:v>West</x:v>
      </x:c>
      <x:c r="F3014" s="2" t="str">
        <x:v>Store</x:v>
      </x:c>
      <x:c r="G3014" s="2" t="str">
        <x:v>Lighting</x:v>
      </x:c>
      <x:c r="H3014" s="2" t="str">
        <x:v>Lamp 001</x:v>
      </x:c>
      <x:c r="I3014" s="11" t="n">
        <x:v>2</x:v>
      </x:c>
      <x:c r="J3014" s="9" t="n">
        <x:v>122</x:v>
      </x:c>
      <x:c r="K3014" s="10" t="n">
        <x:v>0</x:v>
      </x:c>
      <x:c r="L3014" s="11" t="n">
        <x:v>0</x:v>
      </x:c>
      <x:c r="M3014" s="9" t="n">
        <x:f>IF(D3014="Completed",I3014*J3014,0)</x:f>
        <x:v>244</x:v>
      </x:c>
      <x:c r="N3014" s="9" t="n">
        <x:f>M3014*K3014</x:f>
        <x:v>0</x:v>
      </x:c>
      <x:c r="O3014" s="9" t="n">
        <x:f>M3014-N3014</x:f>
        <x:v>244</x:v>
      </x:c>
      <x:c r="P3014" s="9" t="n">
        <x:f>IF(D3014="Completed",L3014*J3014*(1-K3014),0)</x:f>
        <x:v>0</x:v>
      </x:c>
      <x:c r="Q3014" s="9" t="n">
        <x:f>O3014-P3014</x:f>
        <x:v>244</x:v>
      </x:c>
      <x:c r="R3014" s="11" t="n">
        <x:f>IF(D3014="Completed",I3014,0)</x:f>
        <x:v>2</x:v>
      </x:c>
      <x:c r="S3014" s="11" t="n">
        <x:f>IF(D3014="Completed",L3014,0)</x:f>
        <x:v>0</x:v>
      </x:c>
      <x:c r="T3014" s="8" t="n">
        <x:f>DATE(YEAR(C3014),MONTH(C3014),1)</x:f>
        <x:v>45931</x:v>
      </x:c>
    </x:row>
    <x:row r="3015" ht="22" customHeight="1">
      <x:c r="A3015" s="2" t="str">
        <x:v>L003011</x:v>
      </x:c>
      <x:c r="B3015" s="2" t="str">
        <x:v>O01228</x:v>
      </x:c>
      <x:c r="C3015" s="7" t="n">
        <x:v>45699</x:v>
      </x:c>
      <x:c r="D3015" s="2" t="str">
        <x:v>Completed</x:v>
      </x:c>
      <x:c r="E3015" s="2" t="str">
        <x:v>South</x:v>
      </x:c>
      <x:c r="F3015" s="2" t="str">
        <x:v>Store</x:v>
      </x:c>
      <x:c r="G3015" s="2" t="str">
        <x:v>Furniture</x:v>
      </x:c>
      <x:c r="H3015" s="2" t="str">
        <x:v>Chair 006</x:v>
      </x:c>
      <x:c r="I3015" s="11" t="n">
        <x:v>4</x:v>
      </x:c>
      <x:c r="J3015" s="9" t="n">
        <x:v>196</x:v>
      </x:c>
      <x:c r="K3015" s="10" t="n">
        <x:v>0.1</x:v>
      </x:c>
      <x:c r="L3015" s="11" t="n">
        <x:v>0</x:v>
      </x:c>
      <x:c r="M3015" s="9" t="n">
        <x:f>IF(D3015="Completed",I3015*J3015,0)</x:f>
        <x:v>784</x:v>
      </x:c>
      <x:c r="N3015" s="9" t="n">
        <x:f>M3015*K3015</x:f>
        <x:v>78.4</x:v>
      </x:c>
      <x:c r="O3015" s="9" t="n">
        <x:f>M3015-N3015</x:f>
        <x:v>705.6</x:v>
      </x:c>
      <x:c r="P3015" s="9" t="n">
        <x:f>IF(D3015="Completed",L3015*J3015*(1-K3015),0)</x:f>
        <x:v>0</x:v>
      </x:c>
      <x:c r="Q3015" s="9" t="n">
        <x:f>O3015-P3015</x:f>
        <x:v>705.6</x:v>
      </x:c>
      <x:c r="R3015" s="11" t="n">
        <x:f>IF(D3015="Completed",I3015,0)</x:f>
        <x:v>4</x:v>
      </x:c>
      <x:c r="S3015" s="11" t="n">
        <x:f>IF(D3015="Completed",L3015,0)</x:f>
        <x:v>0</x:v>
      </x:c>
      <x:c r="T3015" s="8" t="n">
        <x:f>DATE(YEAR(C3015),MONTH(C3015),1)</x:f>
        <x:v>45689</x:v>
      </x:c>
    </x:row>
    <x:row r="3016" ht="22" customHeight="1">
      <x:c r="A3016" s="2" t="str">
        <x:v>L003012</x:v>
      </x:c>
      <x:c r="B3016" s="2" t="str">
        <x:v>O01228</x:v>
      </x:c>
      <x:c r="C3016" s="7" t="n">
        <x:v>45699</x:v>
      </x:c>
      <x:c r="D3016" s="2" t="str">
        <x:v>Completed</x:v>
      </x:c>
      <x:c r="E3016" s="2" t="str">
        <x:v>South</x:v>
      </x:c>
      <x:c r="F3016" s="2" t="str">
        <x:v>Store</x:v>
      </x:c>
      <x:c r="G3016" s="2" t="str">
        <x:v>Furniture</x:v>
      </x:c>
      <x:c r="H3016" s="2" t="str">
        <x:v>Desk 020</x:v>
      </x:c>
      <x:c r="I3016" s="11" t="n">
        <x:v>2</x:v>
      </x:c>
      <x:c r="J3016" s="9" t="n">
        <x:v>189</x:v>
      </x:c>
      <x:c r="K3016" s="10" t="n">
        <x:v>0.1</x:v>
      </x:c>
      <x:c r="L3016" s="11" t="n">
        <x:v>0</x:v>
      </x:c>
      <x:c r="M3016" s="9" t="n">
        <x:f>IF(D3016="Completed",I3016*J3016,0)</x:f>
        <x:v>378</x:v>
      </x:c>
      <x:c r="N3016" s="9" t="n">
        <x:f>M3016*K3016</x:f>
        <x:v>37.800000000000004</x:v>
      </x:c>
      <x:c r="O3016" s="9" t="n">
        <x:f>M3016-N3016</x:f>
        <x:v>340.2</x:v>
      </x:c>
      <x:c r="P3016" s="9" t="n">
        <x:f>IF(D3016="Completed",L3016*J3016*(1-K3016),0)</x:f>
        <x:v>0</x:v>
      </x:c>
      <x:c r="Q3016" s="9" t="n">
        <x:f>O3016-P3016</x:f>
        <x:v>340.2</x:v>
      </x:c>
      <x:c r="R3016" s="11" t="n">
        <x:f>IF(D3016="Completed",I3016,0)</x:f>
        <x:v>2</x:v>
      </x:c>
      <x:c r="S3016" s="11" t="n">
        <x:f>IF(D3016="Completed",L3016,0)</x:f>
        <x:v>0</x:v>
      </x:c>
      <x:c r="T3016" s="8" t="n">
        <x:f>DATE(YEAR(C3016),MONTH(C3016),1)</x:f>
        <x:v>45689</x:v>
      </x:c>
    </x:row>
    <x:row r="3017" ht="22" customHeight="1">
      <x:c r="A3017" s="2" t="str">
        <x:v>L003013</x:v>
      </x:c>
      <x:c r="B3017" s="2" t="str">
        <x:v>O01228</x:v>
      </x:c>
      <x:c r="C3017" s="7" t="n">
        <x:v>45699</x:v>
      </x:c>
      <x:c r="D3017" s="2" t="str">
        <x:v>Completed</x:v>
      </x:c>
      <x:c r="E3017" s="2" t="str">
        <x:v>South</x:v>
      </x:c>
      <x:c r="F3017" s="2" t="str">
        <x:v>Store</x:v>
      </x:c>
      <x:c r="G3017" s="2" t="str">
        <x:v>Furniture</x:v>
      </x:c>
      <x:c r="H3017" s="2" t="str">
        <x:v>Chair 022</x:v>
      </x:c>
      <x:c r="I3017" s="11" t="n">
        <x:v>4</x:v>
      </x:c>
      <x:c r="J3017" s="9" t="n">
        <x:v>134</x:v>
      </x:c>
      <x:c r="K3017" s="10" t="n">
        <x:v>0.2</x:v>
      </x:c>
      <x:c r="L3017" s="11" t="n">
        <x:v>0</x:v>
      </x:c>
      <x:c r="M3017" s="9" t="n">
        <x:f>IF(D3017="Completed",I3017*J3017,0)</x:f>
        <x:v>536</x:v>
      </x:c>
      <x:c r="N3017" s="9" t="n">
        <x:f>M3017*K3017</x:f>
        <x:v>107.2</x:v>
      </x:c>
      <x:c r="O3017" s="9" t="n">
        <x:f>M3017-N3017</x:f>
        <x:v>428.8</x:v>
      </x:c>
      <x:c r="P3017" s="9" t="n">
        <x:f>IF(D3017="Completed",L3017*J3017*(1-K3017),0)</x:f>
        <x:v>0</x:v>
      </x:c>
      <x:c r="Q3017" s="9" t="n">
        <x:f>O3017-P3017</x:f>
        <x:v>428.8</x:v>
      </x:c>
      <x:c r="R3017" s="11" t="n">
        <x:f>IF(D3017="Completed",I3017,0)</x:f>
        <x:v>4</x:v>
      </x:c>
      <x:c r="S3017" s="11" t="n">
        <x:f>IF(D3017="Completed",L3017,0)</x:f>
        <x:v>0</x:v>
      </x:c>
      <x:c r="T3017" s="8" t="n">
        <x:f>DATE(YEAR(C3017),MONTH(C3017),1)</x:f>
        <x:v>45689</x:v>
      </x:c>
    </x:row>
    <x:row r="3018" ht="22" customHeight="1">
      <x:c r="A3018" s="2" t="str">
        <x:v>L003014</x:v>
      </x:c>
      <x:c r="B3018" s="2" t="str">
        <x:v>O01229</x:v>
      </x:c>
      <x:c r="C3018" s="7" t="n">
        <x:v>45812</x:v>
      </x:c>
      <x:c r="D3018" s="2" t="str">
        <x:v>Completed</x:v>
      </x:c>
      <x:c r="E3018" s="2" t="str">
        <x:v>North</x:v>
      </x:c>
      <x:c r="F3018" s="2" t="str">
        <x:v>Online</x:v>
      </x:c>
      <x:c r="G3018" s="2" t="str">
        <x:v>Lighting</x:v>
      </x:c>
      <x:c r="H3018" s="2" t="str">
        <x:v>Lamp 017</x:v>
      </x:c>
      <x:c r="I3018" s="11" t="n">
        <x:v>2</x:v>
      </x:c>
      <x:c r="J3018" s="9" t="n">
        <x:v>300</x:v>
      </x:c>
      <x:c r="K3018" s="10" t="n">
        <x:v>0</x:v>
      </x:c>
      <x:c r="L3018" s="11" t="n">
        <x:v>0</x:v>
      </x:c>
      <x:c r="M3018" s="9" t="n">
        <x:f>IF(D3018="Completed",I3018*J3018,0)</x:f>
        <x:v>600</x:v>
      </x:c>
      <x:c r="N3018" s="9" t="n">
        <x:f>M3018*K3018</x:f>
        <x:v>0</x:v>
      </x:c>
      <x:c r="O3018" s="9" t="n">
        <x:f>M3018-N3018</x:f>
        <x:v>600</x:v>
      </x:c>
      <x:c r="P3018" s="9" t="n">
        <x:f>IF(D3018="Completed",L3018*J3018*(1-K3018),0)</x:f>
        <x:v>0</x:v>
      </x:c>
      <x:c r="Q3018" s="9" t="n">
        <x:f>O3018-P3018</x:f>
        <x:v>600</x:v>
      </x:c>
      <x:c r="R3018" s="11" t="n">
        <x:f>IF(D3018="Completed",I3018,0)</x:f>
        <x:v>2</x:v>
      </x:c>
      <x:c r="S3018" s="11" t="n">
        <x:f>IF(D3018="Completed",L3018,0)</x:f>
        <x:v>0</x:v>
      </x:c>
      <x:c r="T3018" s="8" t="n">
        <x:f>DATE(YEAR(C3018),MONTH(C3018),1)</x:f>
        <x:v>45809</x:v>
      </x:c>
    </x:row>
    <x:row r="3019" ht="22" customHeight="1">
      <x:c r="A3019" s="2" t="str">
        <x:v>L003015</x:v>
      </x:c>
      <x:c r="B3019" s="2" t="str">
        <x:v>O01229</x:v>
      </x:c>
      <x:c r="C3019" s="7" t="n">
        <x:v>45812</x:v>
      </x:c>
      <x:c r="D3019" s="2" t="str">
        <x:v>Completed</x:v>
      </x:c>
      <x:c r="E3019" s="2" t="str">
        <x:v>North</x:v>
      </x:c>
      <x:c r="F3019" s="2" t="str">
        <x:v>Online</x:v>
      </x:c>
      <x:c r="G3019" s="2" t="str">
        <x:v>Furniture</x:v>
      </x:c>
      <x:c r="H3019" s="2" t="str">
        <x:v>Chair 002</x:v>
      </x:c>
      <x:c r="I3019" s="11" t="n">
        <x:v>4</x:v>
      </x:c>
      <x:c r="J3019" s="9" t="n">
        <x:v>284</x:v>
      </x:c>
      <x:c r="K3019" s="10" t="n">
        <x:v>0.05</x:v>
      </x:c>
      <x:c r="L3019" s="11" t="n">
        <x:v>0</x:v>
      </x:c>
      <x:c r="M3019" s="9" t="n">
        <x:f>IF(D3019="Completed",I3019*J3019,0)</x:f>
        <x:v>1136</x:v>
      </x:c>
      <x:c r="N3019" s="9" t="n">
        <x:f>M3019*K3019</x:f>
        <x:v>56.800000000000004</x:v>
      </x:c>
      <x:c r="O3019" s="9" t="n">
        <x:f>M3019-N3019</x:f>
        <x:v>1079.2</x:v>
      </x:c>
      <x:c r="P3019" s="9" t="n">
        <x:f>IF(D3019="Completed",L3019*J3019*(1-K3019),0)</x:f>
        <x:v>0</x:v>
      </x:c>
      <x:c r="Q3019" s="9" t="n">
        <x:f>O3019-P3019</x:f>
        <x:v>1079.2</x:v>
      </x:c>
      <x:c r="R3019" s="11" t="n">
        <x:f>IF(D3019="Completed",I3019,0)</x:f>
        <x:v>4</x:v>
      </x:c>
      <x:c r="S3019" s="11" t="n">
        <x:f>IF(D3019="Completed",L3019,0)</x:f>
        <x:v>0</x:v>
      </x:c>
      <x:c r="T3019" s="8" t="n">
        <x:f>DATE(YEAR(C3019),MONTH(C3019),1)</x:f>
        <x:v>45809</x:v>
      </x:c>
    </x:row>
    <x:row r="3020" ht="22" customHeight="1">
      <x:c r="A3020" s="2" t="str">
        <x:v>L003016</x:v>
      </x:c>
      <x:c r="B3020" s="2" t="str">
        <x:v>O01229</x:v>
      </x:c>
      <x:c r="C3020" s="7" t="n">
        <x:v>45812</x:v>
      </x:c>
      <x:c r="D3020" s="2" t="str">
        <x:v>Completed</x:v>
      </x:c>
      <x:c r="E3020" s="2" t="str">
        <x:v>North</x:v>
      </x:c>
      <x:c r="F3020" s="2" t="str">
        <x:v>Online</x:v>
      </x:c>
      <x:c r="G3020" s="2" t="str">
        <x:v>Furniture</x:v>
      </x:c>
      <x:c r="H3020" s="2" t="str">
        <x:v>Chair 022</x:v>
      </x:c>
      <x:c r="I3020" s="11" t="n">
        <x:v>2</x:v>
      </x:c>
      <x:c r="J3020" s="9" t="n">
        <x:v>134</x:v>
      </x:c>
      <x:c r="K3020" s="10" t="n">
        <x:v>0.05</x:v>
      </x:c>
      <x:c r="L3020" s="11" t="n">
        <x:v>0</x:v>
      </x:c>
      <x:c r="M3020" s="9" t="n">
        <x:f>IF(D3020="Completed",I3020*J3020,0)</x:f>
        <x:v>268</x:v>
      </x:c>
      <x:c r="N3020" s="9" t="n">
        <x:f>M3020*K3020</x:f>
        <x:v>13.4</x:v>
      </x:c>
      <x:c r="O3020" s="9" t="n">
        <x:f>M3020-N3020</x:f>
        <x:v>254.6</x:v>
      </x:c>
      <x:c r="P3020" s="9" t="n">
        <x:f>IF(D3020="Completed",L3020*J3020*(1-K3020),0)</x:f>
        <x:v>0</x:v>
      </x:c>
      <x:c r="Q3020" s="9" t="n">
        <x:f>O3020-P3020</x:f>
        <x:v>254.6</x:v>
      </x:c>
      <x:c r="R3020" s="11" t="n">
        <x:f>IF(D3020="Completed",I3020,0)</x:f>
        <x:v>2</x:v>
      </x:c>
      <x:c r="S3020" s="11" t="n">
        <x:f>IF(D3020="Completed",L3020,0)</x:f>
        <x:v>0</x:v>
      </x:c>
      <x:c r="T3020" s="8" t="n">
        <x:f>DATE(YEAR(C3020),MONTH(C3020),1)</x:f>
        <x:v>45809</x:v>
      </x:c>
    </x:row>
    <x:row r="3021" ht="22" customHeight="1">
      <x:c r="A3021" s="2" t="str">
        <x:v>L003017</x:v>
      </x:c>
      <x:c r="B3021" s="2" t="str">
        <x:v>O01229</x:v>
      </x:c>
      <x:c r="C3021" s="7" t="n">
        <x:v>45812</x:v>
      </x:c>
      <x:c r="D3021" s="2" t="str">
        <x:v>Completed</x:v>
      </x:c>
      <x:c r="E3021" s="2" t="str">
        <x:v>North</x:v>
      </x:c>
      <x:c r="F3021" s="2" t="str">
        <x:v>Online</x:v>
      </x:c>
      <x:c r="G3021" s="2" t="str">
        <x:v>Storage</x:v>
      </x:c>
      <x:c r="H3021" s="2" t="str">
        <x:v>Shelf 015</x:v>
      </x:c>
      <x:c r="I3021" s="11" t="n">
        <x:v>4</x:v>
      </x:c>
      <x:c r="J3021" s="9" t="n">
        <x:v>254</x:v>
      </x:c>
      <x:c r="K3021" s="10" t="n">
        <x:v>0.1</x:v>
      </x:c>
      <x:c r="L3021" s="11" t="n">
        <x:v>0</x:v>
      </x:c>
      <x:c r="M3021" s="9" t="n">
        <x:f>IF(D3021="Completed",I3021*J3021,0)</x:f>
        <x:v>1016</x:v>
      </x:c>
      <x:c r="N3021" s="9" t="n">
        <x:f>M3021*K3021</x:f>
        <x:v>101.60000000000001</x:v>
      </x:c>
      <x:c r="O3021" s="9" t="n">
        <x:f>M3021-N3021</x:f>
        <x:v>914.4</x:v>
      </x:c>
      <x:c r="P3021" s="9" t="n">
        <x:f>IF(D3021="Completed",L3021*J3021*(1-K3021),0)</x:f>
        <x:v>0</x:v>
      </x:c>
      <x:c r="Q3021" s="9" t="n">
        <x:f>O3021-P3021</x:f>
        <x:v>914.4</x:v>
      </x:c>
      <x:c r="R3021" s="11" t="n">
        <x:f>IF(D3021="Completed",I3021,0)</x:f>
        <x:v>4</x:v>
      </x:c>
      <x:c r="S3021" s="11" t="n">
        <x:f>IF(D3021="Completed",L3021,0)</x:f>
        <x:v>0</x:v>
      </x:c>
      <x:c r="T3021" s="8" t="n">
        <x:f>DATE(YEAR(C3021),MONTH(C3021),1)</x:f>
        <x:v>45809</x:v>
      </x:c>
    </x:row>
    <x:row r="3022" ht="22" customHeight="1">
      <x:c r="A3022" s="2" t="str">
        <x:v>L003018</x:v>
      </x:c>
      <x:c r="B3022" s="2" t="str">
        <x:v>O01230</x:v>
      </x:c>
      <x:c r="C3022" s="7" t="n">
        <x:v>45890</x:v>
      </x:c>
      <x:c r="D3022" s="2" t="str">
        <x:v>Completed</x:v>
      </x:c>
      <x:c r="E3022" s="2" t="str">
        <x:v>North</x:v>
      </x:c>
      <x:c r="F3022" s="2" t="str">
        <x:v>Online</x:v>
      </x:c>
      <x:c r="G3022" s="2" t="str">
        <x:v>Furniture</x:v>
      </x:c>
      <x:c r="H3022" s="2" t="str">
        <x:v>Desk 004</x:v>
      </x:c>
      <x:c r="I3022" s="11" t="n">
        <x:v>5</x:v>
      </x:c>
      <x:c r="J3022" s="9" t="n">
        <x:v>123</x:v>
      </x:c>
      <x:c r="K3022" s="10" t="n">
        <x:v>0.05</x:v>
      </x:c>
      <x:c r="L3022" s="11" t="n">
        <x:v>0</x:v>
      </x:c>
      <x:c r="M3022" s="9" t="n">
        <x:f>IF(D3022="Completed",I3022*J3022,0)</x:f>
        <x:v>615</x:v>
      </x:c>
      <x:c r="N3022" s="9" t="n">
        <x:f>M3022*K3022</x:f>
        <x:v>30.75</x:v>
      </x:c>
      <x:c r="O3022" s="9" t="n">
        <x:f>M3022-N3022</x:f>
        <x:v>584.25</x:v>
      </x:c>
      <x:c r="P3022" s="9" t="n">
        <x:f>IF(D3022="Completed",L3022*J3022*(1-K3022),0)</x:f>
        <x:v>0</x:v>
      </x:c>
      <x:c r="Q3022" s="9" t="n">
        <x:f>O3022-P3022</x:f>
        <x:v>584.25</x:v>
      </x:c>
      <x:c r="R3022" s="11" t="n">
        <x:f>IF(D3022="Completed",I3022,0)</x:f>
        <x:v>5</x:v>
      </x:c>
      <x:c r="S3022" s="11" t="n">
        <x:f>IF(D3022="Completed",L3022,0)</x:f>
        <x:v>0</x:v>
      </x:c>
      <x:c r="T3022" s="8" t="n">
        <x:f>DATE(YEAR(C3022),MONTH(C3022),1)</x:f>
        <x:v>45870</x:v>
      </x:c>
    </x:row>
    <x:row r="3023" ht="22" customHeight="1">
      <x:c r="A3023" s="2" t="str">
        <x:v>L003019</x:v>
      </x:c>
      <x:c r="B3023" s="2" t="str">
        <x:v>O01230</x:v>
      </x:c>
      <x:c r="C3023" s="7" t="n">
        <x:v>45890</x:v>
      </x:c>
      <x:c r="D3023" s="2" t="str">
        <x:v>Completed</x:v>
      </x:c>
      <x:c r="E3023" s="2" t="str">
        <x:v>North</x:v>
      </x:c>
      <x:c r="F3023" s="2" t="str">
        <x:v>Online</x:v>
      </x:c>
      <x:c r="G3023" s="2" t="str">
        <x:v>Lighting</x:v>
      </x:c>
      <x:c r="H3023" s="2" t="str">
        <x:v>Lamp 017</x:v>
      </x:c>
      <x:c r="I3023" s="11" t="n">
        <x:v>2</x:v>
      </x:c>
      <x:c r="J3023" s="9" t="n">
        <x:v>300</x:v>
      </x:c>
      <x:c r="K3023" s="10" t="n">
        <x:v>0.1</x:v>
      </x:c>
      <x:c r="L3023" s="11" t="n">
        <x:v>0</x:v>
      </x:c>
      <x:c r="M3023" s="9" t="n">
        <x:f>IF(D3023="Completed",I3023*J3023,0)</x:f>
        <x:v>600</x:v>
      </x:c>
      <x:c r="N3023" s="9" t="n">
        <x:f>M3023*K3023</x:f>
        <x:v>60</x:v>
      </x:c>
      <x:c r="O3023" s="9" t="n">
        <x:f>M3023-N3023</x:f>
        <x:v>540</x:v>
      </x:c>
      <x:c r="P3023" s="9" t="n">
        <x:f>IF(D3023="Completed",L3023*J3023*(1-K3023),0)</x:f>
        <x:v>0</x:v>
      </x:c>
      <x:c r="Q3023" s="9" t="n">
        <x:f>O3023-P3023</x:f>
        <x:v>540</x:v>
      </x:c>
      <x:c r="R3023" s="11" t="n">
        <x:f>IF(D3023="Completed",I3023,0)</x:f>
        <x:v>2</x:v>
      </x:c>
      <x:c r="S3023" s="11" t="n">
        <x:f>IF(D3023="Completed",L3023,0)</x:f>
        <x:v>0</x:v>
      </x:c>
      <x:c r="T3023" s="8" t="n">
        <x:f>DATE(YEAR(C3023),MONTH(C3023),1)</x:f>
        <x:v>45870</x:v>
      </x:c>
    </x:row>
    <x:row r="3024" ht="22" customHeight="1">
      <x:c r="A3024" s="2" t="str">
        <x:v>L003020</x:v>
      </x:c>
      <x:c r="B3024" s="2" t="str">
        <x:v>O01231</x:v>
      </x:c>
      <x:c r="C3024" s="7" t="n">
        <x:v>45701</x:v>
      </x:c>
      <x:c r="D3024" s="2" t="str">
        <x:v>Completed</x:v>
      </x:c>
      <x:c r="E3024" s="2" t="str">
        <x:v>South</x:v>
      </x:c>
      <x:c r="F3024" s="2" t="str">
        <x:v>Online</x:v>
      </x:c>
      <x:c r="G3024" s="2" t="str">
        <x:v>Storage</x:v>
      </x:c>
      <x:c r="H3024" s="2" t="str">
        <x:v>Shelf 003</x:v>
      </x:c>
      <x:c r="I3024" s="11" t="n">
        <x:v>4</x:v>
      </x:c>
      <x:c r="J3024" s="9" t="n">
        <x:v>199</x:v>
      </x:c>
      <x:c r="K3024" s="10" t="n">
        <x:v>0.1</x:v>
      </x:c>
      <x:c r="L3024" s="11" t="n">
        <x:v>0</x:v>
      </x:c>
      <x:c r="M3024" s="9" t="n">
        <x:f>IF(D3024="Completed",I3024*J3024,0)</x:f>
        <x:v>796</x:v>
      </x:c>
      <x:c r="N3024" s="9" t="n">
        <x:f>M3024*K3024</x:f>
        <x:v>79.60000000000001</x:v>
      </x:c>
      <x:c r="O3024" s="9" t="n">
        <x:f>M3024-N3024</x:f>
        <x:v>716.4</x:v>
      </x:c>
      <x:c r="P3024" s="9" t="n">
        <x:f>IF(D3024="Completed",L3024*J3024*(1-K3024),0)</x:f>
        <x:v>0</x:v>
      </x:c>
      <x:c r="Q3024" s="9" t="n">
        <x:f>O3024-P3024</x:f>
        <x:v>716.4</x:v>
      </x:c>
      <x:c r="R3024" s="11" t="n">
        <x:f>IF(D3024="Completed",I3024,0)</x:f>
        <x:v>4</x:v>
      </x:c>
      <x:c r="S3024" s="11" t="n">
        <x:f>IF(D3024="Completed",L3024,0)</x:f>
        <x:v>0</x:v>
      </x:c>
      <x:c r="T3024" s="8" t="n">
        <x:f>DATE(YEAR(C3024),MONTH(C3024),1)</x:f>
        <x:v>45689</x:v>
      </x:c>
    </x:row>
    <x:row r="3025" ht="22" customHeight="1">
      <x:c r="A3025" s="2" t="str">
        <x:v>L003021</x:v>
      </x:c>
      <x:c r="B3025" s="2" t="str">
        <x:v>O01231</x:v>
      </x:c>
      <x:c r="C3025" s="7" t="n">
        <x:v>45701</x:v>
      </x:c>
      <x:c r="D3025" s="2" t="str">
        <x:v>Completed</x:v>
      </x:c>
      <x:c r="E3025" s="2" t="str">
        <x:v>South</x:v>
      </x:c>
      <x:c r="F3025" s="2" t="str">
        <x:v>Online</x:v>
      </x:c>
      <x:c r="G3025" s="2" t="str">
        <x:v>Storage</x:v>
      </x:c>
      <x:c r="H3025" s="2" t="str">
        <x:v>Shelf 015</x:v>
      </x:c>
      <x:c r="I3025" s="11" t="n">
        <x:v>5</x:v>
      </x:c>
      <x:c r="J3025" s="9" t="n">
        <x:v>254</x:v>
      </x:c>
      <x:c r="K3025" s="10" t="n">
        <x:v>0</x:v>
      </x:c>
      <x:c r="L3025" s="11" t="n">
        <x:v>0</x:v>
      </x:c>
      <x:c r="M3025" s="9" t="n">
        <x:f>IF(D3025="Completed",I3025*J3025,0)</x:f>
        <x:v>1270</x:v>
      </x:c>
      <x:c r="N3025" s="9" t="n">
        <x:f>M3025*K3025</x:f>
        <x:v>0</x:v>
      </x:c>
      <x:c r="O3025" s="9" t="n">
        <x:f>M3025-N3025</x:f>
        <x:v>1270</x:v>
      </x:c>
      <x:c r="P3025" s="9" t="n">
        <x:f>IF(D3025="Completed",L3025*J3025*(1-K3025),0)</x:f>
        <x:v>0</x:v>
      </x:c>
      <x:c r="Q3025" s="9" t="n">
        <x:f>O3025-P3025</x:f>
        <x:v>1270</x:v>
      </x:c>
      <x:c r="R3025" s="11" t="n">
        <x:f>IF(D3025="Completed",I3025,0)</x:f>
        <x:v>5</x:v>
      </x:c>
      <x:c r="S3025" s="11" t="n">
        <x:f>IF(D3025="Completed",L3025,0)</x:f>
        <x:v>0</x:v>
      </x:c>
      <x:c r="T3025" s="8" t="n">
        <x:f>DATE(YEAR(C3025),MONTH(C3025),1)</x:f>
        <x:v>45689</x:v>
      </x:c>
    </x:row>
    <x:row r="3026" ht="22" customHeight="1">
      <x:c r="A3026" s="2" t="str">
        <x:v>L003022</x:v>
      </x:c>
      <x:c r="B3026" s="2" t="str">
        <x:v>O01231</x:v>
      </x:c>
      <x:c r="C3026" s="7" t="n">
        <x:v>45701</x:v>
      </x:c>
      <x:c r="D3026" s="2" t="str">
        <x:v>Completed</x:v>
      </x:c>
      <x:c r="E3026" s="2" t="str">
        <x:v>South</x:v>
      </x:c>
      <x:c r="F3026" s="2" t="str">
        <x:v>Online</x:v>
      </x:c>
      <x:c r="G3026" s="2" t="str">
        <x:v>Furniture</x:v>
      </x:c>
      <x:c r="H3026" s="2" t="str">
        <x:v>Desk 004</x:v>
      </x:c>
      <x:c r="I3026" s="11" t="n">
        <x:v>4</x:v>
      </x:c>
      <x:c r="J3026" s="9" t="n">
        <x:v>123</x:v>
      </x:c>
      <x:c r="K3026" s="10" t="n">
        <x:v>0.1</x:v>
      </x:c>
      <x:c r="L3026" s="11" t="n">
        <x:v>0</x:v>
      </x:c>
      <x:c r="M3026" s="9" t="n">
        <x:f>IF(D3026="Completed",I3026*J3026,0)</x:f>
        <x:v>492</x:v>
      </x:c>
      <x:c r="N3026" s="9" t="n">
        <x:f>M3026*K3026</x:f>
        <x:v>49.2</x:v>
      </x:c>
      <x:c r="O3026" s="9" t="n">
        <x:f>M3026-N3026</x:f>
        <x:v>442.8</x:v>
      </x:c>
      <x:c r="P3026" s="9" t="n">
        <x:f>IF(D3026="Completed",L3026*J3026*(1-K3026),0)</x:f>
        <x:v>0</x:v>
      </x:c>
      <x:c r="Q3026" s="9" t="n">
        <x:f>O3026-P3026</x:f>
        <x:v>442.8</x:v>
      </x:c>
      <x:c r="R3026" s="11" t="n">
        <x:f>IF(D3026="Completed",I3026,0)</x:f>
        <x:v>4</x:v>
      </x:c>
      <x:c r="S3026" s="11" t="n">
        <x:f>IF(D3026="Completed",L3026,0)</x:f>
        <x:v>0</x:v>
      </x:c>
      <x:c r="T3026" s="8" t="n">
        <x:f>DATE(YEAR(C3026),MONTH(C3026),1)</x:f>
        <x:v>45689</x:v>
      </x:c>
    </x:row>
    <x:row r="3027" ht="22" customHeight="1">
      <x:c r="A3027" s="2" t="str">
        <x:v>L003023</x:v>
      </x:c>
      <x:c r="B3027" s="2" t="str">
        <x:v>O01231</x:v>
      </x:c>
      <x:c r="C3027" s="7" t="n">
        <x:v>45701</x:v>
      </x:c>
      <x:c r="D3027" s="2" t="str">
        <x:v>Completed</x:v>
      </x:c>
      <x:c r="E3027" s="2" t="str">
        <x:v>South</x:v>
      </x:c>
      <x:c r="F3027" s="2" t="str">
        <x:v>Online</x:v>
      </x:c>
      <x:c r="G3027" s="2" t="str">
        <x:v>Furniture</x:v>
      </x:c>
      <x:c r="H3027" s="2" t="str">
        <x:v>Desk 008</x:v>
      </x:c>
      <x:c r="I3027" s="11" t="n">
        <x:v>3</x:v>
      </x:c>
      <x:c r="J3027" s="9" t="n">
        <x:v>188</x:v>
      </x:c>
      <x:c r="K3027" s="10" t="n">
        <x:v>0.2</x:v>
      </x:c>
      <x:c r="L3027" s="11" t="n">
        <x:v>0</x:v>
      </x:c>
      <x:c r="M3027" s="9" t="n">
        <x:f>IF(D3027="Completed",I3027*J3027,0)</x:f>
        <x:v>564</x:v>
      </x:c>
      <x:c r="N3027" s="9" t="n">
        <x:f>M3027*K3027</x:f>
        <x:v>112.80000000000001</x:v>
      </x:c>
      <x:c r="O3027" s="9" t="n">
        <x:f>M3027-N3027</x:f>
        <x:v>451.2</x:v>
      </x:c>
      <x:c r="P3027" s="9" t="n">
        <x:f>IF(D3027="Completed",L3027*J3027*(1-K3027),0)</x:f>
        <x:v>0</x:v>
      </x:c>
      <x:c r="Q3027" s="9" t="n">
        <x:f>O3027-P3027</x:f>
        <x:v>451.2</x:v>
      </x:c>
      <x:c r="R3027" s="11" t="n">
        <x:f>IF(D3027="Completed",I3027,0)</x:f>
        <x:v>3</x:v>
      </x:c>
      <x:c r="S3027" s="11" t="n">
        <x:f>IF(D3027="Completed",L3027,0)</x:f>
        <x:v>0</x:v>
      </x:c>
      <x:c r="T3027" s="8" t="n">
        <x:f>DATE(YEAR(C3027),MONTH(C3027),1)</x:f>
        <x:v>45689</x:v>
      </x:c>
    </x:row>
    <x:row r="3028" ht="22" customHeight="1">
      <x:c r="A3028" s="2" t="str">
        <x:v>L003024</x:v>
      </x:c>
      <x:c r="B3028" s="2" t="str">
        <x:v>O01232</x:v>
      </x:c>
      <x:c r="C3028" s="7" t="n">
        <x:v>46004</x:v>
      </x:c>
      <x:c r="D3028" s="2" t="str">
        <x:v>Completed</x:v>
      </x:c>
      <x:c r="E3028" s="2" t="str">
        <x:v>West</x:v>
      </x:c>
      <x:c r="F3028" s="2" t="str">
        <x:v>Store</x:v>
      </x:c>
      <x:c r="G3028" s="2" t="str">
        <x:v>Lighting</x:v>
      </x:c>
      <x:c r="H3028" s="2" t="str">
        <x:v>Lamp 013</x:v>
      </x:c>
      <x:c r="I3028" s="11" t="n">
        <x:v>1</x:v>
      </x:c>
      <x:c r="J3028" s="9" t="n">
        <x:v>271</x:v>
      </x:c>
      <x:c r="K3028" s="10" t="n">
        <x:v>0.05</x:v>
      </x:c>
      <x:c r="L3028" s="11" t="n">
        <x:v>0</x:v>
      </x:c>
      <x:c r="M3028" s="9" t="n">
        <x:f>IF(D3028="Completed",I3028*J3028,0)</x:f>
        <x:v>271</x:v>
      </x:c>
      <x:c r="N3028" s="9" t="n">
        <x:f>M3028*K3028</x:f>
        <x:v>13.55</x:v>
      </x:c>
      <x:c r="O3028" s="9" t="n">
        <x:f>M3028-N3028</x:f>
        <x:v>257.45</x:v>
      </x:c>
      <x:c r="P3028" s="9" t="n">
        <x:f>IF(D3028="Completed",L3028*J3028*(1-K3028),0)</x:f>
        <x:v>0</x:v>
      </x:c>
      <x:c r="Q3028" s="9" t="n">
        <x:f>O3028-P3028</x:f>
        <x:v>257.45</x:v>
      </x:c>
      <x:c r="R3028" s="11" t="n">
        <x:f>IF(D3028="Completed",I3028,0)</x:f>
        <x:v>1</x:v>
      </x:c>
      <x:c r="S3028" s="11" t="n">
        <x:f>IF(D3028="Completed",L3028,0)</x:f>
        <x:v>0</x:v>
      </x:c>
      <x:c r="T3028" s="8" t="n">
        <x:f>DATE(YEAR(C3028),MONTH(C3028),1)</x:f>
        <x:v>45992</x:v>
      </x:c>
    </x:row>
    <x:row r="3029" ht="22" customHeight="1">
      <x:c r="A3029" s="2" t="str">
        <x:v>L003025</x:v>
      </x:c>
      <x:c r="B3029" s="2" t="str">
        <x:v>O01233</x:v>
      </x:c>
      <x:c r="C3029" s="7" t="n">
        <x:v>45885</x:v>
      </x:c>
      <x:c r="D3029" s="2" t="str">
        <x:v>Completed</x:v>
      </x:c>
      <x:c r="E3029" s="2" t="str">
        <x:v>East</x:v>
      </x:c>
      <x:c r="F3029" s="2" t="str">
        <x:v>Online</x:v>
      </x:c>
      <x:c r="G3029" s="2" t="str">
        <x:v>Storage</x:v>
      </x:c>
      <x:c r="H3029" s="2" t="str">
        <x:v>Shelf 015</x:v>
      </x:c>
      <x:c r="I3029" s="11" t="n">
        <x:v>2</x:v>
      </x:c>
      <x:c r="J3029" s="9" t="n">
        <x:v>254</x:v>
      </x:c>
      <x:c r="K3029" s="10" t="n">
        <x:v>0.2</x:v>
      </x:c>
      <x:c r="L3029" s="11" t="n">
        <x:v>0</x:v>
      </x:c>
      <x:c r="M3029" s="9" t="n">
        <x:f>IF(D3029="Completed",I3029*J3029,0)</x:f>
        <x:v>508</x:v>
      </x:c>
      <x:c r="N3029" s="9" t="n">
        <x:f>M3029*K3029</x:f>
        <x:v>101.60000000000001</x:v>
      </x:c>
      <x:c r="O3029" s="9" t="n">
        <x:f>M3029-N3029</x:f>
        <x:v>406.4</x:v>
      </x:c>
      <x:c r="P3029" s="9" t="n">
        <x:f>IF(D3029="Completed",L3029*J3029*(1-K3029),0)</x:f>
        <x:v>0</x:v>
      </x:c>
      <x:c r="Q3029" s="9" t="n">
        <x:f>O3029-P3029</x:f>
        <x:v>406.4</x:v>
      </x:c>
      <x:c r="R3029" s="11" t="n">
        <x:f>IF(D3029="Completed",I3029,0)</x:f>
        <x:v>2</x:v>
      </x:c>
      <x:c r="S3029" s="11" t="n">
        <x:f>IF(D3029="Completed",L3029,0)</x:f>
        <x:v>0</x:v>
      </x:c>
      <x:c r="T3029" s="8" t="n">
        <x:f>DATE(YEAR(C3029),MONTH(C3029),1)</x:f>
        <x:v>45870</x:v>
      </x:c>
    </x:row>
    <x:row r="3030" ht="22" customHeight="1">
      <x:c r="A3030" s="2" t="str">
        <x:v>L003026</x:v>
      </x:c>
      <x:c r="B3030" s="2" t="str">
        <x:v>O01233</x:v>
      </x:c>
      <x:c r="C3030" s="7" t="n">
        <x:v>45885</x:v>
      </x:c>
      <x:c r="D3030" s="2" t="str">
        <x:v>Completed</x:v>
      </x:c>
      <x:c r="E3030" s="2" t="str">
        <x:v>East</x:v>
      </x:c>
      <x:c r="F3030" s="2" t="str">
        <x:v>Online</x:v>
      </x:c>
      <x:c r="G3030" s="2" t="str">
        <x:v>Furniture</x:v>
      </x:c>
      <x:c r="H3030" s="2" t="str">
        <x:v>Chair 014</x:v>
      </x:c>
      <x:c r="I3030" s="11" t="n">
        <x:v>1</x:v>
      </x:c>
      <x:c r="J3030" s="9" t="n">
        <x:v>294</x:v>
      </x:c>
      <x:c r="K3030" s="10" t="n">
        <x:v>0.2</x:v>
      </x:c>
      <x:c r="L3030" s="11" t="n">
        <x:v>0</x:v>
      </x:c>
      <x:c r="M3030" s="9" t="n">
        <x:f>IF(D3030="Completed",I3030*J3030,0)</x:f>
        <x:v>294</x:v>
      </x:c>
      <x:c r="N3030" s="9" t="n">
        <x:f>M3030*K3030</x:f>
        <x:v>58.800000000000004</x:v>
      </x:c>
      <x:c r="O3030" s="9" t="n">
        <x:f>M3030-N3030</x:f>
        <x:v>235.2</x:v>
      </x:c>
      <x:c r="P3030" s="9" t="n">
        <x:f>IF(D3030="Completed",L3030*J3030*(1-K3030),0)</x:f>
        <x:v>0</x:v>
      </x:c>
      <x:c r="Q3030" s="9" t="n">
        <x:f>O3030-P3030</x:f>
        <x:v>235.2</x:v>
      </x:c>
      <x:c r="R3030" s="11" t="n">
        <x:f>IF(D3030="Completed",I3030,0)</x:f>
        <x:v>1</x:v>
      </x:c>
      <x:c r="S3030" s="11" t="n">
        <x:f>IF(D3030="Completed",L3030,0)</x:f>
        <x:v>0</x:v>
      </x:c>
      <x:c r="T3030" s="8" t="n">
        <x:f>DATE(YEAR(C3030),MONTH(C3030),1)</x:f>
        <x:v>45870</x:v>
      </x:c>
    </x:row>
    <x:row r="3031" ht="22" customHeight="1">
      <x:c r="A3031" s="2" t="str">
        <x:v>L003027</x:v>
      </x:c>
      <x:c r="B3031" s="2" t="str">
        <x:v>O01233</x:v>
      </x:c>
      <x:c r="C3031" s="7" t="n">
        <x:v>45885</x:v>
      </x:c>
      <x:c r="D3031" s="2" t="str">
        <x:v>Completed</x:v>
      </x:c>
      <x:c r="E3031" s="2" t="str">
        <x:v>East</x:v>
      </x:c>
      <x:c r="F3031" s="2" t="str">
        <x:v>Online</x:v>
      </x:c>
      <x:c r="G3031" s="2" t="str">
        <x:v>Furniture</x:v>
      </x:c>
      <x:c r="H3031" s="2" t="str">
        <x:v>Desk 016</x:v>
      </x:c>
      <x:c r="I3031" s="11" t="n">
        <x:v>4</x:v>
      </x:c>
      <x:c r="J3031" s="9" t="n">
        <x:v>231</x:v>
      </x:c>
      <x:c r="K3031" s="10" t="n">
        <x:v>0</x:v>
      </x:c>
      <x:c r="L3031" s="11" t="n">
        <x:v>0</x:v>
      </x:c>
      <x:c r="M3031" s="9" t="n">
        <x:f>IF(D3031="Completed",I3031*J3031,0)</x:f>
        <x:v>924</x:v>
      </x:c>
      <x:c r="N3031" s="9" t="n">
        <x:f>M3031*K3031</x:f>
        <x:v>0</x:v>
      </x:c>
      <x:c r="O3031" s="9" t="n">
        <x:f>M3031-N3031</x:f>
        <x:v>924</x:v>
      </x:c>
      <x:c r="P3031" s="9" t="n">
        <x:f>IF(D3031="Completed",L3031*J3031*(1-K3031),0)</x:f>
        <x:v>0</x:v>
      </x:c>
      <x:c r="Q3031" s="9" t="n">
        <x:f>O3031-P3031</x:f>
        <x:v>924</x:v>
      </x:c>
      <x:c r="R3031" s="11" t="n">
        <x:f>IF(D3031="Completed",I3031,0)</x:f>
        <x:v>4</x:v>
      </x:c>
      <x:c r="S3031" s="11" t="n">
        <x:f>IF(D3031="Completed",L3031,0)</x:f>
        <x:v>0</x:v>
      </x:c>
      <x:c r="T3031" s="8" t="n">
        <x:f>DATE(YEAR(C3031),MONTH(C3031),1)</x:f>
        <x:v>45870</x:v>
      </x:c>
    </x:row>
    <x:row r="3032" ht="22" customHeight="1">
      <x:c r="A3032" s="2" t="str">
        <x:v>L003028</x:v>
      </x:c>
      <x:c r="B3032" s="2" t="str">
        <x:v>O01234</x:v>
      </x:c>
      <x:c r="C3032" s="7" t="n">
        <x:v>45879</x:v>
      </x:c>
      <x:c r="D3032" s="2" t="str">
        <x:v>Completed</x:v>
      </x:c>
      <x:c r="E3032" s="2" t="str">
        <x:v>West</x:v>
      </x:c>
      <x:c r="F3032" s="2" t="str">
        <x:v>Online</x:v>
      </x:c>
      <x:c r="G3032" s="2" t="str">
        <x:v>Storage</x:v>
      </x:c>
      <x:c r="H3032" s="2" t="str">
        <x:v>Shelf 015</x:v>
      </x:c>
      <x:c r="I3032" s="11" t="n">
        <x:v>2</x:v>
      </x:c>
      <x:c r="J3032" s="9" t="n">
        <x:v>254</x:v>
      </x:c>
      <x:c r="K3032" s="10" t="n">
        <x:v>0.05</x:v>
      </x:c>
      <x:c r="L3032" s="11" t="n">
        <x:v>2</x:v>
      </x:c>
      <x:c r="M3032" s="9" t="n">
        <x:f>IF(D3032="Completed",I3032*J3032,0)</x:f>
        <x:v>508</x:v>
      </x:c>
      <x:c r="N3032" s="9" t="n">
        <x:f>M3032*K3032</x:f>
        <x:v>25.400000000000002</x:v>
      </x:c>
      <x:c r="O3032" s="9" t="n">
        <x:f>M3032-N3032</x:f>
        <x:v>482.6</x:v>
      </x:c>
      <x:c r="P3032" s="9" t="n">
        <x:f>IF(D3032="Completed",L3032*J3032*(1-K3032),0)</x:f>
        <x:v>482.59999999999997</x:v>
      </x:c>
      <x:c r="Q3032" s="9" t="n">
        <x:f>O3032-P3032</x:f>
        <x:v>5.684341886080802e-14</x:v>
      </x:c>
      <x:c r="R3032" s="11" t="n">
        <x:f>IF(D3032="Completed",I3032,0)</x:f>
        <x:v>2</x:v>
      </x:c>
      <x:c r="S3032" s="11" t="n">
        <x:f>IF(D3032="Completed",L3032,0)</x:f>
        <x:v>2</x:v>
      </x:c>
      <x:c r="T3032" s="8" t="n">
        <x:f>DATE(YEAR(C3032),MONTH(C3032),1)</x:f>
        <x:v>45870</x:v>
      </x:c>
    </x:row>
    <x:row r="3033" ht="22" customHeight="1">
      <x:c r="A3033" s="2" t="str">
        <x:v>L003029</x:v>
      </x:c>
      <x:c r="B3033" s="2" t="str">
        <x:v>O01234</x:v>
      </x:c>
      <x:c r="C3033" s="7" t="n">
        <x:v>45879</x:v>
      </x:c>
      <x:c r="D3033" s="2" t="str">
        <x:v>Completed</x:v>
      </x:c>
      <x:c r="E3033" s="2" t="str">
        <x:v>West</x:v>
      </x:c>
      <x:c r="F3033" s="2" t="str">
        <x:v>Online</x:v>
      </x:c>
      <x:c r="G3033" s="2" t="str">
        <x:v>Furniture</x:v>
      </x:c>
      <x:c r="H3033" s="2" t="str">
        <x:v>Chair 014</x:v>
      </x:c>
      <x:c r="I3033" s="11" t="n">
        <x:v>3</x:v>
      </x:c>
      <x:c r="J3033" s="9" t="n">
        <x:v>294</x:v>
      </x:c>
      <x:c r="K3033" s="10" t="n">
        <x:v>0</x:v>
      </x:c>
      <x:c r="L3033" s="11" t="n">
        <x:v>1</x:v>
      </x:c>
      <x:c r="M3033" s="9" t="n">
        <x:f>IF(D3033="Completed",I3033*J3033,0)</x:f>
        <x:v>882</x:v>
      </x:c>
      <x:c r="N3033" s="9" t="n">
        <x:f>M3033*K3033</x:f>
        <x:v>0</x:v>
      </x:c>
      <x:c r="O3033" s="9" t="n">
        <x:f>M3033-N3033</x:f>
        <x:v>882</x:v>
      </x:c>
      <x:c r="P3033" s="9" t="n">
        <x:f>IF(D3033="Completed",L3033*J3033*(1-K3033),0)</x:f>
        <x:v>294</x:v>
      </x:c>
      <x:c r="Q3033" s="9" t="n">
        <x:f>O3033-P3033</x:f>
        <x:v>588</x:v>
      </x:c>
      <x:c r="R3033" s="11" t="n">
        <x:f>IF(D3033="Completed",I3033,0)</x:f>
        <x:v>3</x:v>
      </x:c>
      <x:c r="S3033" s="11" t="n">
        <x:f>IF(D3033="Completed",L3033,0)</x:f>
        <x:v>1</x:v>
      </x:c>
      <x:c r="T3033" s="8" t="n">
        <x:f>DATE(YEAR(C3033),MONTH(C3033),1)</x:f>
        <x:v>45870</x:v>
      </x:c>
    </x:row>
    <x:row r="3034" ht="22" customHeight="1">
      <x:c r="A3034" s="2" t="str">
        <x:v>L003030</x:v>
      </x:c>
      <x:c r="B3034" s="2" t="str">
        <x:v>O01234</x:v>
      </x:c>
      <x:c r="C3034" s="7" t="n">
        <x:v>45879</x:v>
      </x:c>
      <x:c r="D3034" s="2" t="str">
        <x:v>Completed</x:v>
      </x:c>
      <x:c r="E3034" s="2" t="str">
        <x:v>West</x:v>
      </x:c>
      <x:c r="F3034" s="2" t="str">
        <x:v>Online</x:v>
      </x:c>
      <x:c r="G3034" s="2" t="str">
        <x:v>Furniture</x:v>
      </x:c>
      <x:c r="H3034" s="2" t="str">
        <x:v>Chair 018</x:v>
      </x:c>
      <x:c r="I3034" s="11" t="n">
        <x:v>2</x:v>
      </x:c>
      <x:c r="J3034" s="9" t="n">
        <x:v>269</x:v>
      </x:c>
      <x:c r="K3034" s="10" t="n">
        <x:v>0.2</x:v>
      </x:c>
      <x:c r="L3034" s="11" t="n">
        <x:v>2</x:v>
      </x:c>
      <x:c r="M3034" s="9" t="n">
        <x:f>IF(D3034="Completed",I3034*J3034,0)</x:f>
        <x:v>538</x:v>
      </x:c>
      <x:c r="N3034" s="9" t="n">
        <x:f>M3034*K3034</x:f>
        <x:v>107.60000000000001</x:v>
      </x:c>
      <x:c r="O3034" s="9" t="n">
        <x:f>M3034-N3034</x:f>
        <x:v>430.4</x:v>
      </x:c>
      <x:c r="P3034" s="9" t="n">
        <x:f>IF(D3034="Completed",L3034*J3034*(1-K3034),0)</x:f>
        <x:v>430.40000000000003</x:v>
      </x:c>
      <x:c r="Q3034" s="9" t="n">
        <x:f>O3034-P3034</x:f>
        <x:v>-5.684341886080802e-14</x:v>
      </x:c>
      <x:c r="R3034" s="11" t="n">
        <x:f>IF(D3034="Completed",I3034,0)</x:f>
        <x:v>2</x:v>
      </x:c>
      <x:c r="S3034" s="11" t="n">
        <x:f>IF(D3034="Completed",L3034,0)</x:f>
        <x:v>2</x:v>
      </x:c>
      <x:c r="T3034" s="8" t="n">
        <x:f>DATE(YEAR(C3034),MONTH(C3034),1)</x:f>
        <x:v>45870</x:v>
      </x:c>
    </x:row>
    <x:row r="3035" ht="22" customHeight="1">
      <x:c r="A3035" s="2" t="str">
        <x:v>L003031</x:v>
      </x:c>
      <x:c r="B3035" s="2" t="str">
        <x:v>O01234</x:v>
      </x:c>
      <x:c r="C3035" s="7" t="n">
        <x:v>45879</x:v>
      </x:c>
      <x:c r="D3035" s="2" t="str">
        <x:v>Completed</x:v>
      </x:c>
      <x:c r="E3035" s="2" t="str">
        <x:v>West</x:v>
      </x:c>
      <x:c r="F3035" s="2" t="str">
        <x:v>Online</x:v>
      </x:c>
      <x:c r="G3035" s="2" t="str">
        <x:v>Lighting</x:v>
      </x:c>
      <x:c r="H3035" s="2" t="str">
        <x:v>Lamp 001</x:v>
      </x:c>
      <x:c r="I3035" s="11" t="n">
        <x:v>1</x:v>
      </x:c>
      <x:c r="J3035" s="9" t="n">
        <x:v>122</x:v>
      </x:c>
      <x:c r="K3035" s="10" t="n">
        <x:v>0.05</x:v>
      </x:c>
      <x:c r="L3035" s="11" t="n">
        <x:v>0</x:v>
      </x:c>
      <x:c r="M3035" s="9" t="n">
        <x:f>IF(D3035="Completed",I3035*J3035,0)</x:f>
        <x:v>122</x:v>
      </x:c>
      <x:c r="N3035" s="9" t="n">
        <x:f>M3035*K3035</x:f>
        <x:v>6.1000000000000005</x:v>
      </x:c>
      <x:c r="O3035" s="9" t="n">
        <x:f>M3035-N3035</x:f>
        <x:v>115.9</x:v>
      </x:c>
      <x:c r="P3035" s="9" t="n">
        <x:f>IF(D3035="Completed",L3035*J3035*(1-K3035),0)</x:f>
        <x:v>0</x:v>
      </x:c>
      <x:c r="Q3035" s="9" t="n">
        <x:f>O3035-P3035</x:f>
        <x:v>115.9</x:v>
      </x:c>
      <x:c r="R3035" s="11" t="n">
        <x:f>IF(D3035="Completed",I3035,0)</x:f>
        <x:v>1</x:v>
      </x:c>
      <x:c r="S3035" s="11" t="n">
        <x:f>IF(D3035="Completed",L3035,0)</x:f>
        <x:v>0</x:v>
      </x:c>
      <x:c r="T3035" s="8" t="n">
        <x:f>DATE(YEAR(C3035),MONTH(C3035),1)</x:f>
        <x:v>45870</x:v>
      </x:c>
    </x:row>
    <x:row r="3036" ht="22" customHeight="1">
      <x:c r="A3036" s="2" t="str">
        <x:v>L003032</x:v>
      </x:c>
      <x:c r="B3036" s="2" t="str">
        <x:v>O01235</x:v>
      </x:c>
      <x:c r="C3036" s="7" t="n">
        <x:v>45681</x:v>
      </x:c>
      <x:c r="D3036" s="2" t="str">
        <x:v>Completed</x:v>
      </x:c>
      <x:c r="E3036" s="2" t="str">
        <x:v>North</x:v>
      </x:c>
      <x:c r="F3036" s="2" t="str">
        <x:v>Store</x:v>
      </x:c>
      <x:c r="G3036" s="2" t="str">
        <x:v>Furniture</x:v>
      </x:c>
      <x:c r="H3036" s="2" t="str">
        <x:v>Desk 020</x:v>
      </x:c>
      <x:c r="I3036" s="11" t="n">
        <x:v>5</x:v>
      </x:c>
      <x:c r="J3036" s="9" t="n">
        <x:v>189</x:v>
      </x:c>
      <x:c r="K3036" s="10" t="n">
        <x:v>0.2</x:v>
      </x:c>
      <x:c r="L3036" s="11" t="n">
        <x:v>0</x:v>
      </x:c>
      <x:c r="M3036" s="9" t="n">
        <x:f>IF(D3036="Completed",I3036*J3036,0)</x:f>
        <x:v>945</x:v>
      </x:c>
      <x:c r="N3036" s="9" t="n">
        <x:f>M3036*K3036</x:f>
        <x:v>189</x:v>
      </x:c>
      <x:c r="O3036" s="9" t="n">
        <x:f>M3036-N3036</x:f>
        <x:v>756</x:v>
      </x:c>
      <x:c r="P3036" s="9" t="n">
        <x:f>IF(D3036="Completed",L3036*J3036*(1-K3036),0)</x:f>
        <x:v>0</x:v>
      </x:c>
      <x:c r="Q3036" s="9" t="n">
        <x:f>O3036-P3036</x:f>
        <x:v>756</x:v>
      </x:c>
      <x:c r="R3036" s="11" t="n">
        <x:f>IF(D3036="Completed",I3036,0)</x:f>
        <x:v>5</x:v>
      </x:c>
      <x:c r="S3036" s="11" t="n">
        <x:f>IF(D3036="Completed",L3036,0)</x:f>
        <x:v>0</x:v>
      </x:c>
      <x:c r="T3036" s="8" t="n">
        <x:f>DATE(YEAR(C3036),MONTH(C3036),1)</x:f>
        <x:v>45658</x:v>
      </x:c>
    </x:row>
    <x:row r="3037" ht="22" customHeight="1">
      <x:c r="A3037" s="2" t="str">
        <x:v>L003033</x:v>
      </x:c>
      <x:c r="B3037" s="2" t="str">
        <x:v>O01235</x:v>
      </x:c>
      <x:c r="C3037" s="7" t="n">
        <x:v>45681</x:v>
      </x:c>
      <x:c r="D3037" s="2" t="str">
        <x:v>Completed</x:v>
      </x:c>
      <x:c r="E3037" s="2" t="str">
        <x:v>North</x:v>
      </x:c>
      <x:c r="F3037" s="2" t="str">
        <x:v>Store</x:v>
      </x:c>
      <x:c r="G3037" s="2" t="str">
        <x:v>Storage</x:v>
      </x:c>
      <x:c r="H3037" s="2" t="str">
        <x:v>Shelf 015</x:v>
      </x:c>
      <x:c r="I3037" s="11" t="n">
        <x:v>4</x:v>
      </x:c>
      <x:c r="J3037" s="9" t="n">
        <x:v>254</x:v>
      </x:c>
      <x:c r="K3037" s="10" t="n">
        <x:v>0.1</x:v>
      </x:c>
      <x:c r="L3037" s="11" t="n">
        <x:v>0</x:v>
      </x:c>
      <x:c r="M3037" s="9" t="n">
        <x:f>IF(D3037="Completed",I3037*J3037,0)</x:f>
        <x:v>1016</x:v>
      </x:c>
      <x:c r="N3037" s="9" t="n">
        <x:f>M3037*K3037</x:f>
        <x:v>101.60000000000001</x:v>
      </x:c>
      <x:c r="O3037" s="9" t="n">
        <x:f>M3037-N3037</x:f>
        <x:v>914.4</x:v>
      </x:c>
      <x:c r="P3037" s="9" t="n">
        <x:f>IF(D3037="Completed",L3037*J3037*(1-K3037),0)</x:f>
        <x:v>0</x:v>
      </x:c>
      <x:c r="Q3037" s="9" t="n">
        <x:f>O3037-P3037</x:f>
        <x:v>914.4</x:v>
      </x:c>
      <x:c r="R3037" s="11" t="n">
        <x:f>IF(D3037="Completed",I3037,0)</x:f>
        <x:v>4</x:v>
      </x:c>
      <x:c r="S3037" s="11" t="n">
        <x:f>IF(D3037="Completed",L3037,0)</x:f>
        <x:v>0</x:v>
      </x:c>
      <x:c r="T3037" s="8" t="n">
        <x:f>DATE(YEAR(C3037),MONTH(C3037),1)</x:f>
        <x:v>45658</x:v>
      </x:c>
    </x:row>
    <x:row r="3038" ht="22" customHeight="1">
      <x:c r="A3038" s="2" t="str">
        <x:v>L003034</x:v>
      </x:c>
      <x:c r="B3038" s="2" t="str">
        <x:v>O01236</x:v>
      </x:c>
      <x:c r="C3038" s="7" t="n">
        <x:v>45690</x:v>
      </x:c>
      <x:c r="D3038" s="2" t="str">
        <x:v>Completed</x:v>
      </x:c>
      <x:c r="E3038" s="2" t="str">
        <x:v>South</x:v>
      </x:c>
      <x:c r="F3038" s="2" t="str">
        <x:v>Online</x:v>
      </x:c>
      <x:c r="G3038" s="2" t="str">
        <x:v>Furniture</x:v>
      </x:c>
      <x:c r="H3038" s="2" t="str">
        <x:v>Desk 004</x:v>
      </x:c>
      <x:c r="I3038" s="11" t="n">
        <x:v>2</x:v>
      </x:c>
      <x:c r="J3038" s="9" t="n">
        <x:v>123</x:v>
      </x:c>
      <x:c r="K3038" s="10" t="n">
        <x:v>0.05</x:v>
      </x:c>
      <x:c r="L3038" s="11" t="n">
        <x:v>0</x:v>
      </x:c>
      <x:c r="M3038" s="9" t="n">
        <x:f>IF(D3038="Completed",I3038*J3038,0)</x:f>
        <x:v>246</x:v>
      </x:c>
      <x:c r="N3038" s="9" t="n">
        <x:f>M3038*K3038</x:f>
        <x:v>12.3</x:v>
      </x:c>
      <x:c r="O3038" s="9" t="n">
        <x:f>M3038-N3038</x:f>
        <x:v>233.7</x:v>
      </x:c>
      <x:c r="P3038" s="9" t="n">
        <x:f>IF(D3038="Completed",L3038*J3038*(1-K3038),0)</x:f>
        <x:v>0</x:v>
      </x:c>
      <x:c r="Q3038" s="9" t="n">
        <x:f>O3038-P3038</x:f>
        <x:v>233.7</x:v>
      </x:c>
      <x:c r="R3038" s="11" t="n">
        <x:f>IF(D3038="Completed",I3038,0)</x:f>
        <x:v>2</x:v>
      </x:c>
      <x:c r="S3038" s="11" t="n">
        <x:f>IF(D3038="Completed",L3038,0)</x:f>
        <x:v>0</x:v>
      </x:c>
      <x:c r="T3038" s="8" t="n">
        <x:f>DATE(YEAR(C3038),MONTH(C3038),1)</x:f>
        <x:v>45689</x:v>
      </x:c>
    </x:row>
    <x:row r="3039" ht="22" customHeight="1">
      <x:c r="A3039" s="2" t="str">
        <x:v>L003035</x:v>
      </x:c>
      <x:c r="B3039" s="2" t="str">
        <x:v>O01236</x:v>
      </x:c>
      <x:c r="C3039" s="7" t="n">
        <x:v>45690</x:v>
      </x:c>
      <x:c r="D3039" s="2" t="str">
        <x:v>Completed</x:v>
      </x:c>
      <x:c r="E3039" s="2" t="str">
        <x:v>South</x:v>
      </x:c>
      <x:c r="F3039" s="2" t="str">
        <x:v>Online</x:v>
      </x:c>
      <x:c r="G3039" s="2" t="str">
        <x:v>Lighting</x:v>
      </x:c>
      <x:c r="H3039" s="2" t="str">
        <x:v>Lamp 021</x:v>
      </x:c>
      <x:c r="I3039" s="11" t="n">
        <x:v>2</x:v>
      </x:c>
      <x:c r="J3039" s="9" t="n">
        <x:v>249</x:v>
      </x:c>
      <x:c r="K3039" s="10" t="n">
        <x:v>0.05</x:v>
      </x:c>
      <x:c r="L3039" s="11" t="n">
        <x:v>0</x:v>
      </x:c>
      <x:c r="M3039" s="9" t="n">
        <x:f>IF(D3039="Completed",I3039*J3039,0)</x:f>
        <x:v>498</x:v>
      </x:c>
      <x:c r="N3039" s="9" t="n">
        <x:f>M3039*K3039</x:f>
        <x:v>24.900000000000002</x:v>
      </x:c>
      <x:c r="O3039" s="9" t="n">
        <x:f>M3039-N3039</x:f>
        <x:v>473.1</x:v>
      </x:c>
      <x:c r="P3039" s="9" t="n">
        <x:f>IF(D3039="Completed",L3039*J3039*(1-K3039),0)</x:f>
        <x:v>0</x:v>
      </x:c>
      <x:c r="Q3039" s="9" t="n">
        <x:f>O3039-P3039</x:f>
        <x:v>473.1</x:v>
      </x:c>
      <x:c r="R3039" s="11" t="n">
        <x:f>IF(D3039="Completed",I3039,0)</x:f>
        <x:v>2</x:v>
      </x:c>
      <x:c r="S3039" s="11" t="n">
        <x:f>IF(D3039="Completed",L3039,0)</x:f>
        <x:v>0</x:v>
      </x:c>
      <x:c r="T3039" s="8" t="n">
        <x:f>DATE(YEAR(C3039),MONTH(C3039),1)</x:f>
        <x:v>45689</x:v>
      </x:c>
    </x:row>
    <x:row r="3040" ht="22" customHeight="1">
      <x:c r="A3040" s="2" t="str">
        <x:v>L003036</x:v>
      </x:c>
      <x:c r="B3040" s="2" t="str">
        <x:v>O01236</x:v>
      </x:c>
      <x:c r="C3040" s="7" t="n">
        <x:v>45690</x:v>
      </x:c>
      <x:c r="D3040" s="2" t="str">
        <x:v>Completed</x:v>
      </x:c>
      <x:c r="E3040" s="2" t="str">
        <x:v>South</x:v>
      </x:c>
      <x:c r="F3040" s="2" t="str">
        <x:v>Online</x:v>
      </x:c>
      <x:c r="G3040" s="2" t="str">
        <x:v>Furniture</x:v>
      </x:c>
      <x:c r="H3040" s="2" t="str">
        <x:v>Desk 012</x:v>
      </x:c>
      <x:c r="I3040" s="11" t="n">
        <x:v>1</x:v>
      </x:c>
      <x:c r="J3040" s="9" t="n">
        <x:v>134</x:v>
      </x:c>
      <x:c r="K3040" s="10" t="n">
        <x:v>0.2</x:v>
      </x:c>
      <x:c r="L3040" s="11" t="n">
        <x:v>0</x:v>
      </x:c>
      <x:c r="M3040" s="9" t="n">
        <x:f>IF(D3040="Completed",I3040*J3040,0)</x:f>
        <x:v>134</x:v>
      </x:c>
      <x:c r="N3040" s="9" t="n">
        <x:f>M3040*K3040</x:f>
        <x:v>26.8</x:v>
      </x:c>
      <x:c r="O3040" s="9" t="n">
        <x:f>M3040-N3040</x:f>
        <x:v>107.2</x:v>
      </x:c>
      <x:c r="P3040" s="9" t="n">
        <x:f>IF(D3040="Completed",L3040*J3040*(1-K3040),0)</x:f>
        <x:v>0</x:v>
      </x:c>
      <x:c r="Q3040" s="9" t="n">
        <x:f>O3040-P3040</x:f>
        <x:v>107.2</x:v>
      </x:c>
      <x:c r="R3040" s="11" t="n">
        <x:f>IF(D3040="Completed",I3040,0)</x:f>
        <x:v>1</x:v>
      </x:c>
      <x:c r="S3040" s="11" t="n">
        <x:f>IF(D3040="Completed",L3040,0)</x:f>
        <x:v>0</x:v>
      </x:c>
      <x:c r="T3040" s="8" t="n">
        <x:f>DATE(YEAR(C3040),MONTH(C3040),1)</x:f>
        <x:v>45689</x:v>
      </x:c>
    </x:row>
    <x:row r="3041" ht="22" customHeight="1">
      <x:c r="A3041" s="2" t="str">
        <x:v>L003037</x:v>
      </x:c>
      <x:c r="B3041" s="2" t="str">
        <x:v>O01236</x:v>
      </x:c>
      <x:c r="C3041" s="7" t="n">
        <x:v>45690</x:v>
      </x:c>
      <x:c r="D3041" s="2" t="str">
        <x:v>Completed</x:v>
      </x:c>
      <x:c r="E3041" s="2" t="str">
        <x:v>South</x:v>
      </x:c>
      <x:c r="F3041" s="2" t="str">
        <x:v>Online</x:v>
      </x:c>
      <x:c r="G3041" s="2" t="str">
        <x:v>Furniture</x:v>
      </x:c>
      <x:c r="H3041" s="2" t="str">
        <x:v>Desk 016</x:v>
      </x:c>
      <x:c r="I3041" s="11" t="n">
        <x:v>2</x:v>
      </x:c>
      <x:c r="J3041" s="9" t="n">
        <x:v>231</x:v>
      </x:c>
      <x:c r="K3041" s="10" t="n">
        <x:v>0.05</x:v>
      </x:c>
      <x:c r="L3041" s="11" t="n">
        <x:v>0</x:v>
      </x:c>
      <x:c r="M3041" s="9" t="n">
        <x:f>IF(D3041="Completed",I3041*J3041,0)</x:f>
        <x:v>462</x:v>
      </x:c>
      <x:c r="N3041" s="9" t="n">
        <x:f>M3041*K3041</x:f>
        <x:v>23.1</x:v>
      </x:c>
      <x:c r="O3041" s="9" t="n">
        <x:f>M3041-N3041</x:f>
        <x:v>438.9</x:v>
      </x:c>
      <x:c r="P3041" s="9" t="n">
        <x:f>IF(D3041="Completed",L3041*J3041*(1-K3041),0)</x:f>
        <x:v>0</x:v>
      </x:c>
      <x:c r="Q3041" s="9" t="n">
        <x:f>O3041-P3041</x:f>
        <x:v>438.9</x:v>
      </x:c>
      <x:c r="R3041" s="11" t="n">
        <x:f>IF(D3041="Completed",I3041,0)</x:f>
        <x:v>2</x:v>
      </x:c>
      <x:c r="S3041" s="11" t="n">
        <x:f>IF(D3041="Completed",L3041,0)</x:f>
        <x:v>0</x:v>
      </x:c>
      <x:c r="T3041" s="8" t="n">
        <x:f>DATE(YEAR(C3041),MONTH(C3041),1)</x:f>
        <x:v>45689</x:v>
      </x:c>
    </x:row>
    <x:row r="3042" ht="22" customHeight="1">
      <x:c r="A3042" s="2" t="str">
        <x:v>L003038</x:v>
      </x:c>
      <x:c r="B3042" s="2" t="str">
        <x:v>O01237</x:v>
      </x:c>
      <x:c r="C3042" s="7" t="n">
        <x:v>45862</x:v>
      </x:c>
      <x:c r="D3042" s="2" t="str">
        <x:v>Cancelled</x:v>
      </x:c>
      <x:c r="E3042" s="2" t="str">
        <x:v>East</x:v>
      </x:c>
      <x:c r="F3042" s="2" t="str">
        <x:v>Store</x:v>
      </x:c>
      <x:c r="G3042" s="2" t="str">
        <x:v>Storage</x:v>
      </x:c>
      <x:c r="H3042" s="2" t="str">
        <x:v>Shelf 007</x:v>
      </x:c>
      <x:c r="I3042" s="11" t="n">
        <x:v>2</x:v>
      </x:c>
      <x:c r="J3042" s="9" t="n">
        <x:v>35</x:v>
      </x:c>
      <x:c r="K3042" s="10" t="n">
        <x:v>0</x:v>
      </x:c>
      <x:c r="L3042" s="11" t="n">
        <x:v>0</x:v>
      </x:c>
      <x:c r="M3042" s="9" t="n">
        <x:f>IF(D3042="Completed",I3042*J3042,0)</x:f>
        <x:v>0</x:v>
      </x:c>
      <x:c r="N3042" s="9" t="n">
        <x:f>M3042*K3042</x:f>
        <x:v>0</x:v>
      </x:c>
      <x:c r="O3042" s="9" t="n">
        <x:f>M3042-N3042</x:f>
        <x:v>0</x:v>
      </x:c>
      <x:c r="P3042" s="9" t="n">
        <x:f>IF(D3042="Completed",L3042*J3042*(1-K3042),0)</x:f>
        <x:v>0</x:v>
      </x:c>
      <x:c r="Q3042" s="9" t="n">
        <x:f>O3042-P3042</x:f>
        <x:v>0</x:v>
      </x:c>
      <x:c r="R3042" s="11" t="n">
        <x:f>IF(D3042="Completed",I3042,0)</x:f>
        <x:v>0</x:v>
      </x:c>
      <x:c r="S3042" s="11" t="n">
        <x:f>IF(D3042="Completed",L3042,0)</x:f>
        <x:v>0</x:v>
      </x:c>
      <x:c r="T3042" s="8" t="n">
        <x:f>DATE(YEAR(C3042),MONTH(C3042),1)</x:f>
        <x:v>45839</x:v>
      </x:c>
    </x:row>
    <x:row r="3043" ht="22" customHeight="1">
      <x:c r="A3043" s="2" t="str">
        <x:v>L003039</x:v>
      </x:c>
      <x:c r="B3043" s="2" t="str">
        <x:v>O01237</x:v>
      </x:c>
      <x:c r="C3043" s="7" t="n">
        <x:v>45862</x:v>
      </x:c>
      <x:c r="D3043" s="2" t="str">
        <x:v>Cancelled</x:v>
      </x:c>
      <x:c r="E3043" s="2" t="str">
        <x:v>East</x:v>
      </x:c>
      <x:c r="F3043" s="2" t="str">
        <x:v>Store</x:v>
      </x:c>
      <x:c r="G3043" s="2" t="str">
        <x:v>Furniture</x:v>
      </x:c>
      <x:c r="H3043" s="2" t="str">
        <x:v>Desk 008</x:v>
      </x:c>
      <x:c r="I3043" s="11" t="n">
        <x:v>3</x:v>
      </x:c>
      <x:c r="J3043" s="9" t="n">
        <x:v>188</x:v>
      </x:c>
      <x:c r="K3043" s="10" t="n">
        <x:v>0</x:v>
      </x:c>
      <x:c r="L3043" s="11" t="n">
        <x:v>0</x:v>
      </x:c>
      <x:c r="M3043" s="9" t="n">
        <x:f>IF(D3043="Completed",I3043*J3043,0)</x:f>
        <x:v>0</x:v>
      </x:c>
      <x:c r="N3043" s="9" t="n">
        <x:f>M3043*K3043</x:f>
        <x:v>0</x:v>
      </x:c>
      <x:c r="O3043" s="9" t="n">
        <x:f>M3043-N3043</x:f>
        <x:v>0</x:v>
      </x:c>
      <x:c r="P3043" s="9" t="n">
        <x:f>IF(D3043="Completed",L3043*J3043*(1-K3043),0)</x:f>
        <x:v>0</x:v>
      </x:c>
      <x:c r="Q3043" s="9" t="n">
        <x:f>O3043-P3043</x:f>
        <x:v>0</x:v>
      </x:c>
      <x:c r="R3043" s="11" t="n">
        <x:f>IF(D3043="Completed",I3043,0)</x:f>
        <x:v>0</x:v>
      </x:c>
      <x:c r="S3043" s="11" t="n">
        <x:f>IF(D3043="Completed",L3043,0)</x:f>
        <x:v>0</x:v>
      </x:c>
      <x:c r="T3043" s="8" t="n">
        <x:f>DATE(YEAR(C3043),MONTH(C3043),1)</x:f>
        <x:v>45839</x:v>
      </x:c>
    </x:row>
    <x:row r="3044" ht="22" customHeight="1">
      <x:c r="A3044" s="2" t="str">
        <x:v>L003040</x:v>
      </x:c>
      <x:c r="B3044" s="2" t="str">
        <x:v>O01238</x:v>
      </x:c>
      <x:c r="C3044" s="7" t="n">
        <x:v>45797</x:v>
      </x:c>
      <x:c r="D3044" s="2" t="str">
        <x:v>Completed</x:v>
      </x:c>
      <x:c r="E3044" s="2" t="str">
        <x:v>North</x:v>
      </x:c>
      <x:c r="F3044" s="2" t="str">
        <x:v>Online</x:v>
      </x:c>
      <x:c r="G3044" s="2" t="str">
        <x:v>Storage</x:v>
      </x:c>
      <x:c r="H3044" s="2" t="str">
        <x:v>Shelf 023</x:v>
      </x:c>
      <x:c r="I3044" s="11" t="n">
        <x:v>5</x:v>
      </x:c>
      <x:c r="J3044" s="9" t="n">
        <x:v>68</x:v>
      </x:c>
      <x:c r="K3044" s="10" t="n">
        <x:v>0.2</x:v>
      </x:c>
      <x:c r="L3044" s="11" t="n">
        <x:v>0</x:v>
      </x:c>
      <x:c r="M3044" s="9" t="n">
        <x:f>IF(D3044="Completed",I3044*J3044,0)</x:f>
        <x:v>340</x:v>
      </x:c>
      <x:c r="N3044" s="9" t="n">
        <x:f>M3044*K3044</x:f>
        <x:v>68</x:v>
      </x:c>
      <x:c r="O3044" s="9" t="n">
        <x:f>M3044-N3044</x:f>
        <x:v>272</x:v>
      </x:c>
      <x:c r="P3044" s="9" t="n">
        <x:f>IF(D3044="Completed",L3044*J3044*(1-K3044),0)</x:f>
        <x:v>0</x:v>
      </x:c>
      <x:c r="Q3044" s="9" t="n">
        <x:f>O3044-P3044</x:f>
        <x:v>272</x:v>
      </x:c>
      <x:c r="R3044" s="11" t="n">
        <x:f>IF(D3044="Completed",I3044,0)</x:f>
        <x:v>5</x:v>
      </x:c>
      <x:c r="S3044" s="11" t="n">
        <x:f>IF(D3044="Completed",L3044,0)</x:f>
        <x:v>0</x:v>
      </x:c>
      <x:c r="T3044" s="8" t="n">
        <x:f>DATE(YEAR(C3044),MONTH(C3044),1)</x:f>
        <x:v>45778</x:v>
      </x:c>
    </x:row>
    <x:row r="3045" ht="22" customHeight="1">
      <x:c r="A3045" s="2" t="str">
        <x:v>L003041</x:v>
      </x:c>
      <x:c r="B3045" s="2" t="str">
        <x:v>O01238</x:v>
      </x:c>
      <x:c r="C3045" s="7" t="n">
        <x:v>45797</x:v>
      </x:c>
      <x:c r="D3045" s="2" t="str">
        <x:v>Completed</x:v>
      </x:c>
      <x:c r="E3045" s="2" t="str">
        <x:v>North</x:v>
      </x:c>
      <x:c r="F3045" s="2" t="str">
        <x:v>Online</x:v>
      </x:c>
      <x:c r="G3045" s="2" t="str">
        <x:v>Lighting</x:v>
      </x:c>
      <x:c r="H3045" s="2" t="str">
        <x:v>Lamp 017</x:v>
      </x:c>
      <x:c r="I3045" s="11" t="n">
        <x:v>3</x:v>
      </x:c>
      <x:c r="J3045" s="9" t="n">
        <x:v>300</x:v>
      </x:c>
      <x:c r="K3045" s="10" t="n">
        <x:v>0</x:v>
      </x:c>
      <x:c r="L3045" s="11" t="n">
        <x:v>0</x:v>
      </x:c>
      <x:c r="M3045" s="9" t="n">
        <x:f>IF(D3045="Completed",I3045*J3045,0)</x:f>
        <x:v>900</x:v>
      </x:c>
      <x:c r="N3045" s="9" t="n">
        <x:f>M3045*K3045</x:f>
        <x:v>0</x:v>
      </x:c>
      <x:c r="O3045" s="9" t="n">
        <x:f>M3045-N3045</x:f>
        <x:v>900</x:v>
      </x:c>
      <x:c r="P3045" s="9" t="n">
        <x:f>IF(D3045="Completed",L3045*J3045*(1-K3045),0)</x:f>
        <x:v>0</x:v>
      </x:c>
      <x:c r="Q3045" s="9" t="n">
        <x:f>O3045-P3045</x:f>
        <x:v>900</x:v>
      </x:c>
      <x:c r="R3045" s="11" t="n">
        <x:f>IF(D3045="Completed",I3045,0)</x:f>
        <x:v>3</x:v>
      </x:c>
      <x:c r="S3045" s="11" t="n">
        <x:f>IF(D3045="Completed",L3045,0)</x:f>
        <x:v>0</x:v>
      </x:c>
      <x:c r="T3045" s="8" t="n">
        <x:f>DATE(YEAR(C3045),MONTH(C3045),1)</x:f>
        <x:v>45778</x:v>
      </x:c>
    </x:row>
    <x:row r="3046" ht="22" customHeight="1">
      <x:c r="A3046" s="2" t="str">
        <x:v>L003042</x:v>
      </x:c>
      <x:c r="B3046" s="2" t="str">
        <x:v>O01239</x:v>
      </x:c>
      <x:c r="C3046" s="7" t="n">
        <x:v>45793</x:v>
      </x:c>
      <x:c r="D3046" s="2" t="str">
        <x:v>Completed</x:v>
      </x:c>
      <x:c r="E3046" s="2" t="str">
        <x:v>East</x:v>
      </x:c>
      <x:c r="F3046" s="2" t="str">
        <x:v>Online</x:v>
      </x:c>
      <x:c r="G3046" s="2" t="str">
        <x:v>Furniture</x:v>
      </x:c>
      <x:c r="H3046" s="2" t="str">
        <x:v>Chair 006</x:v>
      </x:c>
      <x:c r="I3046" s="11" t="n">
        <x:v>4</x:v>
      </x:c>
      <x:c r="J3046" s="9" t="n">
        <x:v>196</x:v>
      </x:c>
      <x:c r="K3046" s="10" t="n">
        <x:v>0.1</x:v>
      </x:c>
      <x:c r="L3046" s="11" t="n">
        <x:v>0</x:v>
      </x:c>
      <x:c r="M3046" s="9" t="n">
        <x:f>IF(D3046="Completed",I3046*J3046,0)</x:f>
        <x:v>784</x:v>
      </x:c>
      <x:c r="N3046" s="9" t="n">
        <x:f>M3046*K3046</x:f>
        <x:v>78.4</x:v>
      </x:c>
      <x:c r="O3046" s="9" t="n">
        <x:f>M3046-N3046</x:f>
        <x:v>705.6</x:v>
      </x:c>
      <x:c r="P3046" s="9" t="n">
        <x:f>IF(D3046="Completed",L3046*J3046*(1-K3046),0)</x:f>
        <x:v>0</x:v>
      </x:c>
      <x:c r="Q3046" s="9" t="n">
        <x:f>O3046-P3046</x:f>
        <x:v>705.6</x:v>
      </x:c>
      <x:c r="R3046" s="11" t="n">
        <x:f>IF(D3046="Completed",I3046,0)</x:f>
        <x:v>4</x:v>
      </x:c>
      <x:c r="S3046" s="11" t="n">
        <x:f>IF(D3046="Completed",L3046,0)</x:f>
        <x:v>0</x:v>
      </x:c>
      <x:c r="T3046" s="8" t="n">
        <x:f>DATE(YEAR(C3046),MONTH(C3046),1)</x:f>
        <x:v>45778</x:v>
      </x:c>
    </x:row>
    <x:row r="3047" ht="22" customHeight="1">
      <x:c r="A3047" s="2" t="str">
        <x:v>L003043</x:v>
      </x:c>
      <x:c r="B3047" s="2" t="str">
        <x:v>O01239</x:v>
      </x:c>
      <x:c r="C3047" s="7" t="n">
        <x:v>45793</x:v>
      </x:c>
      <x:c r="D3047" s="2" t="str">
        <x:v>Completed</x:v>
      </x:c>
      <x:c r="E3047" s="2" t="str">
        <x:v>East</x:v>
      </x:c>
      <x:c r="F3047" s="2" t="str">
        <x:v>Online</x:v>
      </x:c>
      <x:c r="G3047" s="2" t="str">
        <x:v>Storage</x:v>
      </x:c>
      <x:c r="H3047" s="2" t="str">
        <x:v>Shelf 023</x:v>
      </x:c>
      <x:c r="I3047" s="11" t="n">
        <x:v>1</x:v>
      </x:c>
      <x:c r="J3047" s="9" t="n">
        <x:v>68</x:v>
      </x:c>
      <x:c r="K3047" s="10" t="n">
        <x:v>0.05</x:v>
      </x:c>
      <x:c r="L3047" s="11" t="n">
        <x:v>0</x:v>
      </x:c>
      <x:c r="M3047" s="9" t="n">
        <x:f>IF(D3047="Completed",I3047*J3047,0)</x:f>
        <x:v>68</x:v>
      </x:c>
      <x:c r="N3047" s="9" t="n">
        <x:f>M3047*K3047</x:f>
        <x:v>3.4000000000000004</x:v>
      </x:c>
      <x:c r="O3047" s="9" t="n">
        <x:f>M3047-N3047</x:f>
        <x:v>64.6</x:v>
      </x:c>
      <x:c r="P3047" s="9" t="n">
        <x:f>IF(D3047="Completed",L3047*J3047*(1-K3047),0)</x:f>
        <x:v>0</x:v>
      </x:c>
      <x:c r="Q3047" s="9" t="n">
        <x:f>O3047-P3047</x:f>
        <x:v>64.6</x:v>
      </x:c>
      <x:c r="R3047" s="11" t="n">
        <x:f>IF(D3047="Completed",I3047,0)</x:f>
        <x:v>1</x:v>
      </x:c>
      <x:c r="S3047" s="11" t="n">
        <x:f>IF(D3047="Completed",L3047,0)</x:f>
        <x:v>0</x:v>
      </x:c>
      <x:c r="T3047" s="8" t="n">
        <x:f>DATE(YEAR(C3047),MONTH(C3047),1)</x:f>
        <x:v>45778</x:v>
      </x:c>
    </x:row>
    <x:row r="3048" ht="22" customHeight="1">
      <x:c r="A3048" s="2" t="str">
        <x:v>L003044</x:v>
      </x:c>
      <x:c r="B3048" s="2" t="str">
        <x:v>O01239</x:v>
      </x:c>
      <x:c r="C3048" s="7" t="n">
        <x:v>45793</x:v>
      </x:c>
      <x:c r="D3048" s="2" t="str">
        <x:v>Completed</x:v>
      </x:c>
      <x:c r="E3048" s="2" t="str">
        <x:v>East</x:v>
      </x:c>
      <x:c r="F3048" s="2" t="str">
        <x:v>Online</x:v>
      </x:c>
      <x:c r="G3048" s="2" t="str">
        <x:v>Furniture</x:v>
      </x:c>
      <x:c r="H3048" s="2" t="str">
        <x:v>Chair 002</x:v>
      </x:c>
      <x:c r="I3048" s="11" t="n">
        <x:v>1</x:v>
      </x:c>
      <x:c r="J3048" s="9" t="n">
        <x:v>284</x:v>
      </x:c>
      <x:c r="K3048" s="10" t="n">
        <x:v>0.1</x:v>
      </x:c>
      <x:c r="L3048" s="11" t="n">
        <x:v>0</x:v>
      </x:c>
      <x:c r="M3048" s="9" t="n">
        <x:f>IF(D3048="Completed",I3048*J3048,0)</x:f>
        <x:v>284</x:v>
      </x:c>
      <x:c r="N3048" s="9" t="n">
        <x:f>M3048*K3048</x:f>
        <x:v>28.400000000000002</x:v>
      </x:c>
      <x:c r="O3048" s="9" t="n">
        <x:f>M3048-N3048</x:f>
        <x:v>255.6</x:v>
      </x:c>
      <x:c r="P3048" s="9" t="n">
        <x:f>IF(D3048="Completed",L3048*J3048*(1-K3048),0)</x:f>
        <x:v>0</x:v>
      </x:c>
      <x:c r="Q3048" s="9" t="n">
        <x:f>O3048-P3048</x:f>
        <x:v>255.6</x:v>
      </x:c>
      <x:c r="R3048" s="11" t="n">
        <x:f>IF(D3048="Completed",I3048,0)</x:f>
        <x:v>1</x:v>
      </x:c>
      <x:c r="S3048" s="11" t="n">
        <x:f>IF(D3048="Completed",L3048,0)</x:f>
        <x:v>0</x:v>
      </x:c>
      <x:c r="T3048" s="8" t="n">
        <x:f>DATE(YEAR(C3048),MONTH(C3048),1)</x:f>
        <x:v>45778</x:v>
      </x:c>
    </x:row>
    <x:row r="3049" ht="22" customHeight="1">
      <x:c r="A3049" s="2" t="str">
        <x:v>L003045</x:v>
      </x:c>
      <x:c r="B3049" s="2" t="str">
        <x:v>O01239</x:v>
      </x:c>
      <x:c r="C3049" s="7" t="n">
        <x:v>45793</x:v>
      </x:c>
      <x:c r="D3049" s="2" t="str">
        <x:v>Completed</x:v>
      </x:c>
      <x:c r="E3049" s="2" t="str">
        <x:v>East</x:v>
      </x:c>
      <x:c r="F3049" s="2" t="str">
        <x:v>Online</x:v>
      </x:c>
      <x:c r="G3049" s="2" t="str">
        <x:v>Furniture</x:v>
      </x:c>
      <x:c r="H3049" s="2" t="str">
        <x:v>Chair 018</x:v>
      </x:c>
      <x:c r="I3049" s="11" t="n">
        <x:v>4</x:v>
      </x:c>
      <x:c r="J3049" s="9" t="n">
        <x:v>269</x:v>
      </x:c>
      <x:c r="K3049" s="10" t="n">
        <x:v>0.05</x:v>
      </x:c>
      <x:c r="L3049" s="11" t="n">
        <x:v>0</x:v>
      </x:c>
      <x:c r="M3049" s="9" t="n">
        <x:f>IF(D3049="Completed",I3049*J3049,0)</x:f>
        <x:v>1076</x:v>
      </x:c>
      <x:c r="N3049" s="9" t="n">
        <x:f>M3049*K3049</x:f>
        <x:v>53.800000000000004</x:v>
      </x:c>
      <x:c r="O3049" s="9" t="n">
        <x:f>M3049-N3049</x:f>
        <x:v>1022.2</x:v>
      </x:c>
      <x:c r="P3049" s="9" t="n">
        <x:f>IF(D3049="Completed",L3049*J3049*(1-K3049),0)</x:f>
        <x:v>0</x:v>
      </x:c>
      <x:c r="Q3049" s="9" t="n">
        <x:f>O3049-P3049</x:f>
        <x:v>1022.2</x:v>
      </x:c>
      <x:c r="R3049" s="11" t="n">
        <x:f>IF(D3049="Completed",I3049,0)</x:f>
        <x:v>4</x:v>
      </x:c>
      <x:c r="S3049" s="11" t="n">
        <x:f>IF(D3049="Completed",L3049,0)</x:f>
        <x:v>0</x:v>
      </x:c>
      <x:c r="T3049" s="8" t="n">
        <x:f>DATE(YEAR(C3049),MONTH(C3049),1)</x:f>
        <x:v>45778</x:v>
      </x:c>
    </x:row>
    <x:row r="3050" ht="22" customHeight="1">
      <x:c r="A3050" s="2" t="str">
        <x:v>L003046</x:v>
      </x:c>
      <x:c r="B3050" s="2" t="str">
        <x:v>O01240</x:v>
      </x:c>
      <x:c r="C3050" s="7" t="n">
        <x:v>46000</x:v>
      </x:c>
      <x:c r="D3050" s="2" t="str">
        <x:v>Completed</x:v>
      </x:c>
      <x:c r="E3050" s="2" t="str">
        <x:v>West</x:v>
      </x:c>
      <x:c r="F3050" s="2" t="str">
        <x:v>Store</x:v>
      </x:c>
      <x:c r="G3050" s="2" t="str">
        <x:v>Furniture</x:v>
      </x:c>
      <x:c r="H3050" s="2" t="str">
        <x:v>Desk 008</x:v>
      </x:c>
      <x:c r="I3050" s="11" t="n">
        <x:v>5</x:v>
      </x:c>
      <x:c r="J3050" s="9" t="n">
        <x:v>188</x:v>
      </x:c>
      <x:c r="K3050" s="10" t="n">
        <x:v>0.1</x:v>
      </x:c>
      <x:c r="L3050" s="11" t="n">
        <x:v>0</x:v>
      </x:c>
      <x:c r="M3050" s="9" t="n">
        <x:f>IF(D3050="Completed",I3050*J3050,0)</x:f>
        <x:v>940</x:v>
      </x:c>
      <x:c r="N3050" s="9" t="n">
        <x:f>M3050*K3050</x:f>
        <x:v>94</x:v>
      </x:c>
      <x:c r="O3050" s="9" t="n">
        <x:f>M3050-N3050</x:f>
        <x:v>846</x:v>
      </x:c>
      <x:c r="P3050" s="9" t="n">
        <x:f>IF(D3050="Completed",L3050*J3050*(1-K3050),0)</x:f>
        <x:v>0</x:v>
      </x:c>
      <x:c r="Q3050" s="9" t="n">
        <x:f>O3050-P3050</x:f>
        <x:v>846</x:v>
      </x:c>
      <x:c r="R3050" s="11" t="n">
        <x:f>IF(D3050="Completed",I3050,0)</x:f>
        <x:v>5</x:v>
      </x:c>
      <x:c r="S3050" s="11" t="n">
        <x:f>IF(D3050="Completed",L3050,0)</x:f>
        <x:v>0</x:v>
      </x:c>
      <x:c r="T3050" s="8" t="n">
        <x:f>DATE(YEAR(C3050),MONTH(C3050),1)</x:f>
        <x:v>45992</x:v>
      </x:c>
    </x:row>
    <x:row r="3051" ht="22" customHeight="1">
      <x:c r="A3051" s="2" t="str">
        <x:v>L003047</x:v>
      </x:c>
      <x:c r="B3051" s="2" t="str">
        <x:v>O01240</x:v>
      </x:c>
      <x:c r="C3051" s="7" t="n">
        <x:v>46000</x:v>
      </x:c>
      <x:c r="D3051" s="2" t="str">
        <x:v>Completed</x:v>
      </x:c>
      <x:c r="E3051" s="2" t="str">
        <x:v>West</x:v>
      </x:c>
      <x:c r="F3051" s="2" t="str">
        <x:v>Store</x:v>
      </x:c>
      <x:c r="G3051" s="2" t="str">
        <x:v>Furniture</x:v>
      </x:c>
      <x:c r="H3051" s="2" t="str">
        <x:v>Desk 024</x:v>
      </x:c>
      <x:c r="I3051" s="11" t="n">
        <x:v>4</x:v>
      </x:c>
      <x:c r="J3051" s="9" t="n">
        <x:v>81</x:v>
      </x:c>
      <x:c r="K3051" s="10" t="n">
        <x:v>0.2</x:v>
      </x:c>
      <x:c r="L3051" s="11" t="n">
        <x:v>0</x:v>
      </x:c>
      <x:c r="M3051" s="9" t="n">
        <x:f>IF(D3051="Completed",I3051*J3051,0)</x:f>
        <x:v>324</x:v>
      </x:c>
      <x:c r="N3051" s="9" t="n">
        <x:f>M3051*K3051</x:f>
        <x:v>64.8</x:v>
      </x:c>
      <x:c r="O3051" s="9" t="n">
        <x:f>M3051-N3051</x:f>
        <x:v>259.2</x:v>
      </x:c>
      <x:c r="P3051" s="9" t="n">
        <x:f>IF(D3051="Completed",L3051*J3051*(1-K3051),0)</x:f>
        <x:v>0</x:v>
      </x:c>
      <x:c r="Q3051" s="9" t="n">
        <x:f>O3051-P3051</x:f>
        <x:v>259.2</x:v>
      </x:c>
      <x:c r="R3051" s="11" t="n">
        <x:f>IF(D3051="Completed",I3051,0)</x:f>
        <x:v>4</x:v>
      </x:c>
      <x:c r="S3051" s="11" t="n">
        <x:f>IF(D3051="Completed",L3051,0)</x:f>
        <x:v>0</x:v>
      </x:c>
      <x:c r="T3051" s="8" t="n">
        <x:f>DATE(YEAR(C3051),MONTH(C3051),1)</x:f>
        <x:v>45992</x:v>
      </x:c>
    </x:row>
    <x:row r="3052" ht="22" customHeight="1">
      <x:c r="A3052" s="2" t="str">
        <x:v>L003048</x:v>
      </x:c>
      <x:c r="B3052" s="2" t="str">
        <x:v>O01240</x:v>
      </x:c>
      <x:c r="C3052" s="7" t="n">
        <x:v>46000</x:v>
      </x:c>
      <x:c r="D3052" s="2" t="str">
        <x:v>Completed</x:v>
      </x:c>
      <x:c r="E3052" s="2" t="str">
        <x:v>West</x:v>
      </x:c>
      <x:c r="F3052" s="2" t="str">
        <x:v>Store</x:v>
      </x:c>
      <x:c r="G3052" s="2" t="str">
        <x:v>Lighting</x:v>
      </x:c>
      <x:c r="H3052" s="2" t="str">
        <x:v>Lamp 001</x:v>
      </x:c>
      <x:c r="I3052" s="11" t="n">
        <x:v>4</x:v>
      </x:c>
      <x:c r="J3052" s="9" t="n">
        <x:v>122</x:v>
      </x:c>
      <x:c r="K3052" s="10" t="n">
        <x:v>0.1</x:v>
      </x:c>
      <x:c r="L3052" s="11" t="n">
        <x:v>0</x:v>
      </x:c>
      <x:c r="M3052" s="9" t="n">
        <x:f>IF(D3052="Completed",I3052*J3052,0)</x:f>
        <x:v>488</x:v>
      </x:c>
      <x:c r="N3052" s="9" t="n">
        <x:f>M3052*K3052</x:f>
        <x:v>48.800000000000004</x:v>
      </x:c>
      <x:c r="O3052" s="9" t="n">
        <x:f>M3052-N3052</x:f>
        <x:v>439.2</x:v>
      </x:c>
      <x:c r="P3052" s="9" t="n">
        <x:f>IF(D3052="Completed",L3052*J3052*(1-K3052),0)</x:f>
        <x:v>0</x:v>
      </x:c>
      <x:c r="Q3052" s="9" t="n">
        <x:f>O3052-P3052</x:f>
        <x:v>439.2</x:v>
      </x:c>
      <x:c r="R3052" s="11" t="n">
        <x:f>IF(D3052="Completed",I3052,0)</x:f>
        <x:v>4</x:v>
      </x:c>
      <x:c r="S3052" s="11" t="n">
        <x:f>IF(D3052="Completed",L3052,0)</x:f>
        <x:v>0</x:v>
      </x:c>
      <x:c r="T3052" s="8" t="n">
        <x:f>DATE(YEAR(C3052),MONTH(C3052),1)</x:f>
        <x:v>45992</x:v>
      </x:c>
    </x:row>
    <x:row r="3053" ht="22" customHeight="1">
      <x:c r="A3053" s="2" t="str">
        <x:v>L003049</x:v>
      </x:c>
      <x:c r="B3053" s="2" t="str">
        <x:v>O01241</x:v>
      </x:c>
      <x:c r="C3053" s="7" t="n">
        <x:v>45751</x:v>
      </x:c>
      <x:c r="D3053" s="2" t="str">
        <x:v>Completed</x:v>
      </x:c>
      <x:c r="E3053" s="2" t="str">
        <x:v>South</x:v>
      </x:c>
      <x:c r="F3053" s="2" t="str">
        <x:v>Store</x:v>
      </x:c>
      <x:c r="G3053" s="2" t="str">
        <x:v>Furniture</x:v>
      </x:c>
      <x:c r="H3053" s="2" t="str">
        <x:v>Desk 004</x:v>
      </x:c>
      <x:c r="I3053" s="11" t="n">
        <x:v>5</x:v>
      </x:c>
      <x:c r="J3053" s="9" t="n">
        <x:v>123</x:v>
      </x:c>
      <x:c r="K3053" s="10" t="n">
        <x:v>0</x:v>
      </x:c>
      <x:c r="L3053" s="11" t="n">
        <x:v>0</x:v>
      </x:c>
      <x:c r="M3053" s="9" t="n">
        <x:f>IF(D3053="Completed",I3053*J3053,0)</x:f>
        <x:v>615</x:v>
      </x:c>
      <x:c r="N3053" s="9" t="n">
        <x:f>M3053*K3053</x:f>
        <x:v>0</x:v>
      </x:c>
      <x:c r="O3053" s="9" t="n">
        <x:f>M3053-N3053</x:f>
        <x:v>615</x:v>
      </x:c>
      <x:c r="P3053" s="9" t="n">
        <x:f>IF(D3053="Completed",L3053*J3053*(1-K3053),0)</x:f>
        <x:v>0</x:v>
      </x:c>
      <x:c r="Q3053" s="9" t="n">
        <x:f>O3053-P3053</x:f>
        <x:v>615</x:v>
      </x:c>
      <x:c r="R3053" s="11" t="n">
        <x:f>IF(D3053="Completed",I3053,0)</x:f>
        <x:v>5</x:v>
      </x:c>
      <x:c r="S3053" s="11" t="n">
        <x:f>IF(D3053="Completed",L3053,0)</x:f>
        <x:v>0</x:v>
      </x:c>
      <x:c r="T3053" s="8" t="n">
        <x:f>DATE(YEAR(C3053),MONTH(C3053),1)</x:f>
        <x:v>45748</x:v>
      </x:c>
    </x:row>
    <x:row r="3054" ht="22" customHeight="1">
      <x:c r="A3054" s="2" t="str">
        <x:v>L003050</x:v>
      </x:c>
      <x:c r="B3054" s="2" t="str">
        <x:v>O01242</x:v>
      </x:c>
      <x:c r="C3054" s="7" t="n">
        <x:v>45953</x:v>
      </x:c>
      <x:c r="D3054" s="2" t="str">
        <x:v>Completed</x:v>
      </x:c>
      <x:c r="E3054" s="2" t="str">
        <x:v>West</x:v>
      </x:c>
      <x:c r="F3054" s="2" t="str">
        <x:v>Online</x:v>
      </x:c>
      <x:c r="G3054" s="2" t="str">
        <x:v>Furniture</x:v>
      </x:c>
      <x:c r="H3054" s="2" t="str">
        <x:v>Chair 022</x:v>
      </x:c>
      <x:c r="I3054" s="11" t="n">
        <x:v>2</x:v>
      </x:c>
      <x:c r="J3054" s="9" t="n">
        <x:v>134</x:v>
      </x:c>
      <x:c r="K3054" s="10" t="n">
        <x:v>0.2</x:v>
      </x:c>
      <x:c r="L3054" s="11" t="n">
        <x:v>0</x:v>
      </x:c>
      <x:c r="M3054" s="9" t="n">
        <x:f>IF(D3054="Completed",I3054*J3054,0)</x:f>
        <x:v>268</x:v>
      </x:c>
      <x:c r="N3054" s="9" t="n">
        <x:f>M3054*K3054</x:f>
        <x:v>53.6</x:v>
      </x:c>
      <x:c r="O3054" s="9" t="n">
        <x:f>M3054-N3054</x:f>
        <x:v>214.4</x:v>
      </x:c>
      <x:c r="P3054" s="9" t="n">
        <x:f>IF(D3054="Completed",L3054*J3054*(1-K3054),0)</x:f>
        <x:v>0</x:v>
      </x:c>
      <x:c r="Q3054" s="9" t="n">
        <x:f>O3054-P3054</x:f>
        <x:v>214.4</x:v>
      </x:c>
      <x:c r="R3054" s="11" t="n">
        <x:f>IF(D3054="Completed",I3054,0)</x:f>
        <x:v>2</x:v>
      </x:c>
      <x:c r="S3054" s="11" t="n">
        <x:f>IF(D3054="Completed",L3054,0)</x:f>
        <x:v>0</x:v>
      </x:c>
      <x:c r="T3054" s="8" t="n">
        <x:f>DATE(YEAR(C3054),MONTH(C3054),1)</x:f>
        <x:v>45931</x:v>
      </x:c>
    </x:row>
    <x:row r="3055" ht="22" customHeight="1">
      <x:c r="A3055" s="2" t="str">
        <x:v>L003051</x:v>
      </x:c>
      <x:c r="B3055" s="2" t="str">
        <x:v>O01242</x:v>
      </x:c>
      <x:c r="C3055" s="7" t="n">
        <x:v>45953</x:v>
      </x:c>
      <x:c r="D3055" s="2" t="str">
        <x:v>Completed</x:v>
      </x:c>
      <x:c r="E3055" s="2" t="str">
        <x:v>West</x:v>
      </x:c>
      <x:c r="F3055" s="2" t="str">
        <x:v>Online</x:v>
      </x:c>
      <x:c r="G3055" s="2" t="str">
        <x:v>Furniture</x:v>
      </x:c>
      <x:c r="H3055" s="2" t="str">
        <x:v>Desk 016</x:v>
      </x:c>
      <x:c r="I3055" s="11" t="n">
        <x:v>2</x:v>
      </x:c>
      <x:c r="J3055" s="9" t="n">
        <x:v>231</x:v>
      </x:c>
      <x:c r="K3055" s="10" t="n">
        <x:v>0.1</x:v>
      </x:c>
      <x:c r="L3055" s="11" t="n">
        <x:v>0</x:v>
      </x:c>
      <x:c r="M3055" s="9" t="n">
        <x:f>IF(D3055="Completed",I3055*J3055,0)</x:f>
        <x:v>462</x:v>
      </x:c>
      <x:c r="N3055" s="9" t="n">
        <x:f>M3055*K3055</x:f>
        <x:v>46.2</x:v>
      </x:c>
      <x:c r="O3055" s="9" t="n">
        <x:f>M3055-N3055</x:f>
        <x:v>415.8</x:v>
      </x:c>
      <x:c r="P3055" s="9" t="n">
        <x:f>IF(D3055="Completed",L3055*J3055*(1-K3055),0)</x:f>
        <x:v>0</x:v>
      </x:c>
      <x:c r="Q3055" s="9" t="n">
        <x:f>O3055-P3055</x:f>
        <x:v>415.8</x:v>
      </x:c>
      <x:c r="R3055" s="11" t="n">
        <x:f>IF(D3055="Completed",I3055,0)</x:f>
        <x:v>2</x:v>
      </x:c>
      <x:c r="S3055" s="11" t="n">
        <x:f>IF(D3055="Completed",L3055,0)</x:f>
        <x:v>0</x:v>
      </x:c>
      <x:c r="T3055" s="8" t="n">
        <x:f>DATE(YEAR(C3055),MONTH(C3055),1)</x:f>
        <x:v>45931</x:v>
      </x:c>
    </x:row>
    <x:row r="3056" ht="22" customHeight="1">
      <x:c r="A3056" s="2" t="str">
        <x:v>L003052</x:v>
      </x:c>
      <x:c r="B3056" s="2" t="str">
        <x:v>O01242</x:v>
      </x:c>
      <x:c r="C3056" s="7" t="n">
        <x:v>45953</x:v>
      </x:c>
      <x:c r="D3056" s="2" t="str">
        <x:v>Completed</x:v>
      </x:c>
      <x:c r="E3056" s="2" t="str">
        <x:v>West</x:v>
      </x:c>
      <x:c r="F3056" s="2" t="str">
        <x:v>Online</x:v>
      </x:c>
      <x:c r="G3056" s="2" t="str">
        <x:v>Lighting</x:v>
      </x:c>
      <x:c r="H3056" s="2" t="str">
        <x:v>Lamp 017</x:v>
      </x:c>
      <x:c r="I3056" s="11" t="n">
        <x:v>4</x:v>
      </x:c>
      <x:c r="J3056" s="9" t="n">
        <x:v>300</x:v>
      </x:c>
      <x:c r="K3056" s="10" t="n">
        <x:v>0.1</x:v>
      </x:c>
      <x:c r="L3056" s="11" t="n">
        <x:v>0</x:v>
      </x:c>
      <x:c r="M3056" s="9" t="n">
        <x:f>IF(D3056="Completed",I3056*J3056,0)</x:f>
        <x:v>1200</x:v>
      </x:c>
      <x:c r="N3056" s="9" t="n">
        <x:f>M3056*K3056</x:f>
        <x:v>120</x:v>
      </x:c>
      <x:c r="O3056" s="9" t="n">
        <x:f>M3056-N3056</x:f>
        <x:v>1080</x:v>
      </x:c>
      <x:c r="P3056" s="9" t="n">
        <x:f>IF(D3056="Completed",L3056*J3056*(1-K3056),0)</x:f>
        <x:v>0</x:v>
      </x:c>
      <x:c r="Q3056" s="9" t="n">
        <x:f>O3056-P3056</x:f>
        <x:v>1080</x:v>
      </x:c>
      <x:c r="R3056" s="11" t="n">
        <x:f>IF(D3056="Completed",I3056,0)</x:f>
        <x:v>4</x:v>
      </x:c>
      <x:c r="S3056" s="11" t="n">
        <x:f>IF(D3056="Completed",L3056,0)</x:f>
        <x:v>0</x:v>
      </x:c>
      <x:c r="T3056" s="8" t="n">
        <x:f>DATE(YEAR(C3056),MONTH(C3056),1)</x:f>
        <x:v>45931</x:v>
      </x:c>
    </x:row>
    <x:row r="3057" ht="22" customHeight="1">
      <x:c r="A3057" s="2" t="str">
        <x:v>L003053</x:v>
      </x:c>
      <x:c r="B3057" s="2" t="str">
        <x:v>O01243</x:v>
      </x:c>
      <x:c r="C3057" s="7" t="n">
        <x:v>45847</x:v>
      </x:c>
      <x:c r="D3057" s="2" t="str">
        <x:v>Completed</x:v>
      </x:c>
      <x:c r="E3057" s="2" t="str">
        <x:v>West</x:v>
      </x:c>
      <x:c r="F3057" s="2" t="str">
        <x:v>Online</x:v>
      </x:c>
      <x:c r="G3057" s="2" t="str">
        <x:v>Lighting</x:v>
      </x:c>
      <x:c r="H3057" s="2" t="str">
        <x:v>Lamp 021</x:v>
      </x:c>
      <x:c r="I3057" s="11" t="n">
        <x:v>3</x:v>
      </x:c>
      <x:c r="J3057" s="9" t="n">
        <x:v>249</x:v>
      </x:c>
      <x:c r="K3057" s="10" t="n">
        <x:v>0.05</x:v>
      </x:c>
      <x:c r="L3057" s="11" t="n">
        <x:v>0</x:v>
      </x:c>
      <x:c r="M3057" s="9" t="n">
        <x:f>IF(D3057="Completed",I3057*J3057,0)</x:f>
        <x:v>747</x:v>
      </x:c>
      <x:c r="N3057" s="9" t="n">
        <x:f>M3057*K3057</x:f>
        <x:v>37.35</x:v>
      </x:c>
      <x:c r="O3057" s="9" t="n">
        <x:f>M3057-N3057</x:f>
        <x:v>709.65</x:v>
      </x:c>
      <x:c r="P3057" s="9" t="n">
        <x:f>IF(D3057="Completed",L3057*J3057*(1-K3057),0)</x:f>
        <x:v>0</x:v>
      </x:c>
      <x:c r="Q3057" s="9" t="n">
        <x:f>O3057-P3057</x:f>
        <x:v>709.65</x:v>
      </x:c>
      <x:c r="R3057" s="11" t="n">
        <x:f>IF(D3057="Completed",I3057,0)</x:f>
        <x:v>3</x:v>
      </x:c>
      <x:c r="S3057" s="11" t="n">
        <x:f>IF(D3057="Completed",L3057,0)</x:f>
        <x:v>0</x:v>
      </x:c>
      <x:c r="T3057" s="8" t="n">
        <x:f>DATE(YEAR(C3057),MONTH(C3057),1)</x:f>
        <x:v>45839</x:v>
      </x:c>
    </x:row>
    <x:row r="3058" ht="22" customHeight="1">
      <x:c r="A3058" s="2" t="str">
        <x:v>L003054</x:v>
      </x:c>
      <x:c r="B3058" s="2" t="str">
        <x:v>O01243</x:v>
      </x:c>
      <x:c r="C3058" s="7" t="n">
        <x:v>45847</x:v>
      </x:c>
      <x:c r="D3058" s="2" t="str">
        <x:v>Completed</x:v>
      </x:c>
      <x:c r="E3058" s="2" t="str">
        <x:v>West</x:v>
      </x:c>
      <x:c r="F3058" s="2" t="str">
        <x:v>Online</x:v>
      </x:c>
      <x:c r="G3058" s="2" t="str">
        <x:v>Furniture</x:v>
      </x:c>
      <x:c r="H3058" s="2" t="str">
        <x:v>Chair 014</x:v>
      </x:c>
      <x:c r="I3058" s="11" t="n">
        <x:v>1</x:v>
      </x:c>
      <x:c r="J3058" s="9" t="n">
        <x:v>294</x:v>
      </x:c>
      <x:c r="K3058" s="10" t="n">
        <x:v>0.05</x:v>
      </x:c>
      <x:c r="L3058" s="11" t="n">
        <x:v>0</x:v>
      </x:c>
      <x:c r="M3058" s="9" t="n">
        <x:f>IF(D3058="Completed",I3058*J3058,0)</x:f>
        <x:v>294</x:v>
      </x:c>
      <x:c r="N3058" s="9" t="n">
        <x:f>M3058*K3058</x:f>
        <x:v>14.700000000000001</x:v>
      </x:c>
      <x:c r="O3058" s="9" t="n">
        <x:f>M3058-N3058</x:f>
        <x:v>279.3</x:v>
      </x:c>
      <x:c r="P3058" s="9" t="n">
        <x:f>IF(D3058="Completed",L3058*J3058*(1-K3058),0)</x:f>
        <x:v>0</x:v>
      </x:c>
      <x:c r="Q3058" s="9" t="n">
        <x:f>O3058-P3058</x:f>
        <x:v>279.3</x:v>
      </x:c>
      <x:c r="R3058" s="11" t="n">
        <x:f>IF(D3058="Completed",I3058,0)</x:f>
        <x:v>1</x:v>
      </x:c>
      <x:c r="S3058" s="11" t="n">
        <x:f>IF(D3058="Completed",L3058,0)</x:f>
        <x:v>0</x:v>
      </x:c>
      <x:c r="T3058" s="8" t="n">
        <x:f>DATE(YEAR(C3058),MONTH(C3058),1)</x:f>
        <x:v>45839</x:v>
      </x:c>
    </x:row>
    <x:row r="3059" ht="22" customHeight="1">
      <x:c r="A3059" s="2" t="str">
        <x:v>L003055</x:v>
      </x:c>
      <x:c r="B3059" s="2" t="str">
        <x:v>O01243</x:v>
      </x:c>
      <x:c r="C3059" s="7" t="n">
        <x:v>45847</x:v>
      </x:c>
      <x:c r="D3059" s="2" t="str">
        <x:v>Completed</x:v>
      </x:c>
      <x:c r="E3059" s="2" t="str">
        <x:v>West</x:v>
      </x:c>
      <x:c r="F3059" s="2" t="str">
        <x:v>Online</x:v>
      </x:c>
      <x:c r="G3059" s="2" t="str">
        <x:v>Furniture</x:v>
      </x:c>
      <x:c r="H3059" s="2" t="str">
        <x:v>Desk 008</x:v>
      </x:c>
      <x:c r="I3059" s="11" t="n">
        <x:v>2</x:v>
      </x:c>
      <x:c r="J3059" s="9" t="n">
        <x:v>188</x:v>
      </x:c>
      <x:c r="K3059" s="10" t="n">
        <x:v>0.05</x:v>
      </x:c>
      <x:c r="L3059" s="11" t="n">
        <x:v>0</x:v>
      </x:c>
      <x:c r="M3059" s="9" t="n">
        <x:f>IF(D3059="Completed",I3059*J3059,0)</x:f>
        <x:v>376</x:v>
      </x:c>
      <x:c r="N3059" s="9" t="n">
        <x:f>M3059*K3059</x:f>
        <x:v>18.8</x:v>
      </x:c>
      <x:c r="O3059" s="9" t="n">
        <x:f>M3059-N3059</x:f>
        <x:v>357.2</x:v>
      </x:c>
      <x:c r="P3059" s="9" t="n">
        <x:f>IF(D3059="Completed",L3059*J3059*(1-K3059),0)</x:f>
        <x:v>0</x:v>
      </x:c>
      <x:c r="Q3059" s="9" t="n">
        <x:f>O3059-P3059</x:f>
        <x:v>357.2</x:v>
      </x:c>
      <x:c r="R3059" s="11" t="n">
        <x:f>IF(D3059="Completed",I3059,0)</x:f>
        <x:v>2</x:v>
      </x:c>
      <x:c r="S3059" s="11" t="n">
        <x:f>IF(D3059="Completed",L3059,0)</x:f>
        <x:v>0</x:v>
      </x:c>
      <x:c r="T3059" s="8" t="n">
        <x:f>DATE(YEAR(C3059),MONTH(C3059),1)</x:f>
        <x:v>45839</x:v>
      </x:c>
    </x:row>
    <x:row r="3060" ht="22" customHeight="1">
      <x:c r="A3060" s="2" t="str">
        <x:v>L003056</x:v>
      </x:c>
      <x:c r="B3060" s="2" t="str">
        <x:v>O01243</x:v>
      </x:c>
      <x:c r="C3060" s="7" t="n">
        <x:v>45847</x:v>
      </x:c>
      <x:c r="D3060" s="2" t="str">
        <x:v>Completed</x:v>
      </x:c>
      <x:c r="E3060" s="2" t="str">
        <x:v>West</x:v>
      </x:c>
      <x:c r="F3060" s="2" t="str">
        <x:v>Online</x:v>
      </x:c>
      <x:c r="G3060" s="2" t="str">
        <x:v>Furniture</x:v>
      </x:c>
      <x:c r="H3060" s="2" t="str">
        <x:v>Desk 016</x:v>
      </x:c>
      <x:c r="I3060" s="11" t="n">
        <x:v>2</x:v>
      </x:c>
      <x:c r="J3060" s="9" t="n">
        <x:v>231</x:v>
      </x:c>
      <x:c r="K3060" s="10" t="n">
        <x:v>0.1</x:v>
      </x:c>
      <x:c r="L3060" s="11" t="n">
        <x:v>0</x:v>
      </x:c>
      <x:c r="M3060" s="9" t="n">
        <x:f>IF(D3060="Completed",I3060*J3060,0)</x:f>
        <x:v>462</x:v>
      </x:c>
      <x:c r="N3060" s="9" t="n">
        <x:f>M3060*K3060</x:f>
        <x:v>46.2</x:v>
      </x:c>
      <x:c r="O3060" s="9" t="n">
        <x:f>M3060-N3060</x:f>
        <x:v>415.8</x:v>
      </x:c>
      <x:c r="P3060" s="9" t="n">
        <x:f>IF(D3060="Completed",L3060*J3060*(1-K3060),0)</x:f>
        <x:v>0</x:v>
      </x:c>
      <x:c r="Q3060" s="9" t="n">
        <x:f>O3060-P3060</x:f>
        <x:v>415.8</x:v>
      </x:c>
      <x:c r="R3060" s="11" t="n">
        <x:f>IF(D3060="Completed",I3060,0)</x:f>
        <x:v>2</x:v>
      </x:c>
      <x:c r="S3060" s="11" t="n">
        <x:f>IF(D3060="Completed",L3060,0)</x:f>
        <x:v>0</x:v>
      </x:c>
      <x:c r="T3060" s="8" t="n">
        <x:f>DATE(YEAR(C3060),MONTH(C3060),1)</x:f>
        <x:v>45839</x:v>
      </x:c>
    </x:row>
    <x:row r="3061" ht="22" customHeight="1">
      <x:c r="A3061" s="2" t="str">
        <x:v>L003057</x:v>
      </x:c>
      <x:c r="B3061" s="2" t="str">
        <x:v>O01244</x:v>
      </x:c>
      <x:c r="C3061" s="7" t="n">
        <x:v>45966</x:v>
      </x:c>
      <x:c r="D3061" s="2" t="str">
        <x:v>Completed</x:v>
      </x:c>
      <x:c r="E3061" s="2" t="str">
        <x:v>North</x:v>
      </x:c>
      <x:c r="F3061" s="2" t="str">
        <x:v>Online</x:v>
      </x:c>
      <x:c r="G3061" s="2" t="str">
        <x:v>Storage</x:v>
      </x:c>
      <x:c r="H3061" s="2" t="str">
        <x:v>Shelf 015</x:v>
      </x:c>
      <x:c r="I3061" s="11" t="n">
        <x:v>3</x:v>
      </x:c>
      <x:c r="J3061" s="9" t="n">
        <x:v>254</x:v>
      </x:c>
      <x:c r="K3061" s="10" t="n">
        <x:v>0</x:v>
      </x:c>
      <x:c r="L3061" s="11" t="n">
        <x:v>3</x:v>
      </x:c>
      <x:c r="M3061" s="9" t="n">
        <x:f>IF(D3061="Completed",I3061*J3061,0)</x:f>
        <x:v>762</x:v>
      </x:c>
      <x:c r="N3061" s="9" t="n">
        <x:f>M3061*K3061</x:f>
        <x:v>0</x:v>
      </x:c>
      <x:c r="O3061" s="9" t="n">
        <x:f>M3061-N3061</x:f>
        <x:v>762</x:v>
      </x:c>
      <x:c r="P3061" s="9" t="n">
        <x:f>IF(D3061="Completed",L3061*J3061*(1-K3061),0)</x:f>
        <x:v>762</x:v>
      </x:c>
      <x:c r="Q3061" s="9" t="n">
        <x:f>O3061-P3061</x:f>
        <x:v>0</x:v>
      </x:c>
      <x:c r="R3061" s="11" t="n">
        <x:f>IF(D3061="Completed",I3061,0)</x:f>
        <x:v>3</x:v>
      </x:c>
      <x:c r="S3061" s="11" t="n">
        <x:f>IF(D3061="Completed",L3061,0)</x:f>
        <x:v>3</x:v>
      </x:c>
      <x:c r="T3061" s="8" t="n">
        <x:f>DATE(YEAR(C3061),MONTH(C3061),1)</x:f>
        <x:v>45962</x:v>
      </x:c>
    </x:row>
    <x:row r="3062" ht="22" customHeight="1">
      <x:c r="A3062" s="2" t="str">
        <x:v>L003058</x:v>
      </x:c>
      <x:c r="B3062" s="2" t="str">
        <x:v>O01244</x:v>
      </x:c>
      <x:c r="C3062" s="7" t="n">
        <x:v>45966</x:v>
      </x:c>
      <x:c r="D3062" s="2" t="str">
        <x:v>Completed</x:v>
      </x:c>
      <x:c r="E3062" s="2" t="str">
        <x:v>North</x:v>
      </x:c>
      <x:c r="F3062" s="2" t="str">
        <x:v>Online</x:v>
      </x:c>
      <x:c r="G3062" s="2" t="str">
        <x:v>Storage</x:v>
      </x:c>
      <x:c r="H3062" s="2" t="str">
        <x:v>Shelf 019</x:v>
      </x:c>
      <x:c r="I3062" s="11" t="n">
        <x:v>4</x:v>
      </x:c>
      <x:c r="J3062" s="9" t="n">
        <x:v>78</x:v>
      </x:c>
      <x:c r="K3062" s="10" t="n">
        <x:v>0.1</x:v>
      </x:c>
      <x:c r="L3062" s="11" t="n">
        <x:v>0</x:v>
      </x:c>
      <x:c r="M3062" s="9" t="n">
        <x:f>IF(D3062="Completed",I3062*J3062,0)</x:f>
        <x:v>312</x:v>
      </x:c>
      <x:c r="N3062" s="9" t="n">
        <x:f>M3062*K3062</x:f>
        <x:v>31.200000000000003</x:v>
      </x:c>
      <x:c r="O3062" s="9" t="n">
        <x:f>M3062-N3062</x:f>
        <x:v>280.8</x:v>
      </x:c>
      <x:c r="P3062" s="9" t="n">
        <x:f>IF(D3062="Completed",L3062*J3062*(1-K3062),0)</x:f>
        <x:v>0</x:v>
      </x:c>
      <x:c r="Q3062" s="9" t="n">
        <x:f>O3062-P3062</x:f>
        <x:v>280.8</x:v>
      </x:c>
      <x:c r="R3062" s="11" t="n">
        <x:f>IF(D3062="Completed",I3062,0)</x:f>
        <x:v>4</x:v>
      </x:c>
      <x:c r="S3062" s="11" t="n">
        <x:f>IF(D3062="Completed",L3062,0)</x:f>
        <x:v>0</x:v>
      </x:c>
      <x:c r="T3062" s="8" t="n">
        <x:f>DATE(YEAR(C3062),MONTH(C3062),1)</x:f>
        <x:v>45962</x:v>
      </x:c>
    </x:row>
    <x:row r="3063" ht="22" customHeight="1">
      <x:c r="A3063" s="2" t="str">
        <x:v>L003059</x:v>
      </x:c>
      <x:c r="B3063" s="2" t="str">
        <x:v>O01245</x:v>
      </x:c>
      <x:c r="C3063" s="7" t="n">
        <x:v>45984</x:v>
      </x:c>
      <x:c r="D3063" s="2" t="str">
        <x:v>Completed</x:v>
      </x:c>
      <x:c r="E3063" s="2" t="str">
        <x:v>North</x:v>
      </x:c>
      <x:c r="F3063" s="2" t="str">
        <x:v>Store</x:v>
      </x:c>
      <x:c r="G3063" s="2" t="str">
        <x:v>Lighting</x:v>
      </x:c>
      <x:c r="H3063" s="2" t="str">
        <x:v>Lamp 013</x:v>
      </x:c>
      <x:c r="I3063" s="11" t="n">
        <x:v>3</x:v>
      </x:c>
      <x:c r="J3063" s="9" t="n">
        <x:v>271</x:v>
      </x:c>
      <x:c r="K3063" s="10" t="n">
        <x:v>0.05</x:v>
      </x:c>
      <x:c r="L3063" s="11" t="n">
        <x:v>0</x:v>
      </x:c>
      <x:c r="M3063" s="9" t="n">
        <x:f>IF(D3063="Completed",I3063*J3063,0)</x:f>
        <x:v>813</x:v>
      </x:c>
      <x:c r="N3063" s="9" t="n">
        <x:f>M3063*K3063</x:f>
        <x:v>40.650000000000006</x:v>
      </x:c>
      <x:c r="O3063" s="9" t="n">
        <x:f>M3063-N3063</x:f>
        <x:v>772.35</x:v>
      </x:c>
      <x:c r="P3063" s="9" t="n">
        <x:f>IF(D3063="Completed",L3063*J3063*(1-K3063),0)</x:f>
        <x:v>0</x:v>
      </x:c>
      <x:c r="Q3063" s="9" t="n">
        <x:f>O3063-P3063</x:f>
        <x:v>772.35</x:v>
      </x:c>
      <x:c r="R3063" s="11" t="n">
        <x:f>IF(D3063="Completed",I3063,0)</x:f>
        <x:v>3</x:v>
      </x:c>
      <x:c r="S3063" s="11" t="n">
        <x:f>IF(D3063="Completed",L3063,0)</x:f>
        <x:v>0</x:v>
      </x:c>
      <x:c r="T3063" s="8" t="n">
        <x:f>DATE(YEAR(C3063),MONTH(C3063),1)</x:f>
        <x:v>45962</x:v>
      </x:c>
    </x:row>
    <x:row r="3064" ht="22" customHeight="1">
      <x:c r="A3064" s="2" t="str">
        <x:v>L003060</x:v>
      </x:c>
      <x:c r="B3064" s="2" t="str">
        <x:v>O01245</x:v>
      </x:c>
      <x:c r="C3064" s="7" t="n">
        <x:v>45984</x:v>
      </x:c>
      <x:c r="D3064" s="2" t="str">
        <x:v>Completed</x:v>
      </x:c>
      <x:c r="E3064" s="2" t="str">
        <x:v>North</x:v>
      </x:c>
      <x:c r="F3064" s="2" t="str">
        <x:v>Store</x:v>
      </x:c>
      <x:c r="G3064" s="2" t="str">
        <x:v>Storage</x:v>
      </x:c>
      <x:c r="H3064" s="2" t="str">
        <x:v>Shelf 023</x:v>
      </x:c>
      <x:c r="I3064" s="11" t="n">
        <x:v>5</x:v>
      </x:c>
      <x:c r="J3064" s="9" t="n">
        <x:v>68</x:v>
      </x:c>
      <x:c r="K3064" s="10" t="n">
        <x:v>0.05</x:v>
      </x:c>
      <x:c r="L3064" s="11" t="n">
        <x:v>0</x:v>
      </x:c>
      <x:c r="M3064" s="9" t="n">
        <x:f>IF(D3064="Completed",I3064*J3064,0)</x:f>
        <x:v>340</x:v>
      </x:c>
      <x:c r="N3064" s="9" t="n">
        <x:f>M3064*K3064</x:f>
        <x:v>17</x:v>
      </x:c>
      <x:c r="O3064" s="9" t="n">
        <x:f>M3064-N3064</x:f>
        <x:v>323</x:v>
      </x:c>
      <x:c r="P3064" s="9" t="n">
        <x:f>IF(D3064="Completed",L3064*J3064*(1-K3064),0)</x:f>
        <x:v>0</x:v>
      </x:c>
      <x:c r="Q3064" s="9" t="n">
        <x:f>O3064-P3064</x:f>
        <x:v>323</x:v>
      </x:c>
      <x:c r="R3064" s="11" t="n">
        <x:f>IF(D3064="Completed",I3064,0)</x:f>
        <x:v>5</x:v>
      </x:c>
      <x:c r="S3064" s="11" t="n">
        <x:f>IF(D3064="Completed",L3064,0)</x:f>
        <x:v>0</x:v>
      </x:c>
      <x:c r="T3064" s="8" t="n">
        <x:f>DATE(YEAR(C3064),MONTH(C3064),1)</x:f>
        <x:v>45962</x:v>
      </x:c>
    </x:row>
    <x:row r="3065" ht="22" customHeight="1">
      <x:c r="A3065" s="2" t="str">
        <x:v>L003061</x:v>
      </x:c>
      <x:c r="B3065" s="2" t="str">
        <x:v>O01245</x:v>
      </x:c>
      <x:c r="C3065" s="7" t="n">
        <x:v>45984</x:v>
      </x:c>
      <x:c r="D3065" s="2" t="str">
        <x:v>Completed</x:v>
      </x:c>
      <x:c r="E3065" s="2" t="str">
        <x:v>North</x:v>
      </x:c>
      <x:c r="F3065" s="2" t="str">
        <x:v>Store</x:v>
      </x:c>
      <x:c r="G3065" s="2" t="str">
        <x:v>Storage</x:v>
      </x:c>
      <x:c r="H3065" s="2" t="str">
        <x:v>Shelf 003</x:v>
      </x:c>
      <x:c r="I3065" s="11" t="n">
        <x:v>3</x:v>
      </x:c>
      <x:c r="J3065" s="9" t="n">
        <x:v>199</x:v>
      </x:c>
      <x:c r="K3065" s="10" t="n">
        <x:v>0</x:v>
      </x:c>
      <x:c r="L3065" s="11" t="n">
        <x:v>0</x:v>
      </x:c>
      <x:c r="M3065" s="9" t="n">
        <x:f>IF(D3065="Completed",I3065*J3065,0)</x:f>
        <x:v>597</x:v>
      </x:c>
      <x:c r="N3065" s="9" t="n">
        <x:f>M3065*K3065</x:f>
        <x:v>0</x:v>
      </x:c>
      <x:c r="O3065" s="9" t="n">
        <x:f>M3065-N3065</x:f>
        <x:v>597</x:v>
      </x:c>
      <x:c r="P3065" s="9" t="n">
        <x:f>IF(D3065="Completed",L3065*J3065*(1-K3065),0)</x:f>
        <x:v>0</x:v>
      </x:c>
      <x:c r="Q3065" s="9" t="n">
        <x:f>O3065-P3065</x:f>
        <x:v>597</x:v>
      </x:c>
      <x:c r="R3065" s="11" t="n">
        <x:f>IF(D3065="Completed",I3065,0)</x:f>
        <x:v>3</x:v>
      </x:c>
      <x:c r="S3065" s="11" t="n">
        <x:f>IF(D3065="Completed",L3065,0)</x:f>
        <x:v>0</x:v>
      </x:c>
      <x:c r="T3065" s="8" t="n">
        <x:f>DATE(YEAR(C3065),MONTH(C3065),1)</x:f>
        <x:v>45962</x:v>
      </x:c>
    </x:row>
    <x:row r="3066" ht="22" customHeight="1">
      <x:c r="A3066" s="2" t="str">
        <x:v>L003062</x:v>
      </x:c>
      <x:c r="B3066" s="2" t="str">
        <x:v>O01246</x:v>
      </x:c>
      <x:c r="C3066" s="7" t="n">
        <x:v>46021</x:v>
      </x:c>
      <x:c r="D3066" s="2" t="str">
        <x:v>Completed</x:v>
      </x:c>
      <x:c r="E3066" s="2" t="str">
        <x:v>North</x:v>
      </x:c>
      <x:c r="F3066" s="2" t="str">
        <x:v>Online</x:v>
      </x:c>
      <x:c r="G3066" s="2" t="str">
        <x:v>Lighting</x:v>
      </x:c>
      <x:c r="H3066" s="2" t="str">
        <x:v>Lamp 009</x:v>
      </x:c>
      <x:c r="I3066" s="11" t="n">
        <x:v>1</x:v>
      </x:c>
      <x:c r="J3066" s="9" t="n">
        <x:v>93</x:v>
      </x:c>
      <x:c r="K3066" s="10" t="n">
        <x:v>0.1</x:v>
      </x:c>
      <x:c r="L3066" s="11" t="n">
        <x:v>0</x:v>
      </x:c>
      <x:c r="M3066" s="9" t="n">
        <x:f>IF(D3066="Completed",I3066*J3066,0)</x:f>
        <x:v>93</x:v>
      </x:c>
      <x:c r="N3066" s="9" t="n">
        <x:f>M3066*K3066</x:f>
        <x:v>9.3</x:v>
      </x:c>
      <x:c r="O3066" s="9" t="n">
        <x:f>M3066-N3066</x:f>
        <x:v>83.7</x:v>
      </x:c>
      <x:c r="P3066" s="9" t="n">
        <x:f>IF(D3066="Completed",L3066*J3066*(1-K3066),0)</x:f>
        <x:v>0</x:v>
      </x:c>
      <x:c r="Q3066" s="9" t="n">
        <x:f>O3066-P3066</x:f>
        <x:v>83.7</x:v>
      </x:c>
      <x:c r="R3066" s="11" t="n">
        <x:f>IF(D3066="Completed",I3066,0)</x:f>
        <x:v>1</x:v>
      </x:c>
      <x:c r="S3066" s="11" t="n">
        <x:f>IF(D3066="Completed",L3066,0)</x:f>
        <x:v>0</x:v>
      </x:c>
      <x:c r="T3066" s="8" t="n">
        <x:f>DATE(YEAR(C3066),MONTH(C3066),1)</x:f>
        <x:v>45992</x:v>
      </x:c>
    </x:row>
    <x:row r="3067" ht="22" customHeight="1">
      <x:c r="A3067" s="2" t="str">
        <x:v>L003063</x:v>
      </x:c>
      <x:c r="B3067" s="2" t="str">
        <x:v>O01247</x:v>
      </x:c>
      <x:c r="C3067" s="7" t="n">
        <x:v>45890</x:v>
      </x:c>
      <x:c r="D3067" s="2" t="str">
        <x:v>Completed</x:v>
      </x:c>
      <x:c r="E3067" s="2" t="str">
        <x:v>West</x:v>
      </x:c>
      <x:c r="F3067" s="2" t="str">
        <x:v>Store</x:v>
      </x:c>
      <x:c r="G3067" s="2" t="str">
        <x:v>Furniture</x:v>
      </x:c>
      <x:c r="H3067" s="2" t="str">
        <x:v>Desk 016</x:v>
      </x:c>
      <x:c r="I3067" s="11" t="n">
        <x:v>1</x:v>
      </x:c>
      <x:c r="J3067" s="9" t="n">
        <x:v>231</x:v>
      </x:c>
      <x:c r="K3067" s="10" t="n">
        <x:v>0.1</x:v>
      </x:c>
      <x:c r="L3067" s="11" t="n">
        <x:v>0</x:v>
      </x:c>
      <x:c r="M3067" s="9" t="n">
        <x:f>IF(D3067="Completed",I3067*J3067,0)</x:f>
        <x:v>231</x:v>
      </x:c>
      <x:c r="N3067" s="9" t="n">
        <x:f>M3067*K3067</x:f>
        <x:v>23.1</x:v>
      </x:c>
      <x:c r="O3067" s="9" t="n">
        <x:f>M3067-N3067</x:f>
        <x:v>207.9</x:v>
      </x:c>
      <x:c r="P3067" s="9" t="n">
        <x:f>IF(D3067="Completed",L3067*J3067*(1-K3067),0)</x:f>
        <x:v>0</x:v>
      </x:c>
      <x:c r="Q3067" s="9" t="n">
        <x:f>O3067-P3067</x:f>
        <x:v>207.9</x:v>
      </x:c>
      <x:c r="R3067" s="11" t="n">
        <x:f>IF(D3067="Completed",I3067,0)</x:f>
        <x:v>1</x:v>
      </x:c>
      <x:c r="S3067" s="11" t="n">
        <x:f>IF(D3067="Completed",L3067,0)</x:f>
        <x:v>0</x:v>
      </x:c>
      <x:c r="T3067" s="8" t="n">
        <x:f>DATE(YEAR(C3067),MONTH(C3067),1)</x:f>
        <x:v>45870</x:v>
      </x:c>
    </x:row>
    <x:row r="3068" ht="22" customHeight="1">
      <x:c r="A3068" s="2" t="str">
        <x:v>L003064</x:v>
      </x:c>
      <x:c r="B3068" s="2" t="str">
        <x:v>O01248</x:v>
      </x:c>
      <x:c r="C3068" s="7" t="n">
        <x:v>45754</x:v>
      </x:c>
      <x:c r="D3068" s="2" t="str">
        <x:v>Completed</x:v>
      </x:c>
      <x:c r="E3068" s="2" t="str">
        <x:v>North</x:v>
      </x:c>
      <x:c r="F3068" s="2" t="str">
        <x:v>Online</x:v>
      </x:c>
      <x:c r="G3068" s="2" t="str">
        <x:v>Furniture</x:v>
      </x:c>
      <x:c r="H3068" s="2" t="str">
        <x:v>Chair 014</x:v>
      </x:c>
      <x:c r="I3068" s="11" t="n">
        <x:v>5</x:v>
      </x:c>
      <x:c r="J3068" s="9" t="n">
        <x:v>294</x:v>
      </x:c>
      <x:c r="K3068" s="10" t="n">
        <x:v>0.1</x:v>
      </x:c>
      <x:c r="L3068" s="11" t="n">
        <x:v>0</x:v>
      </x:c>
      <x:c r="M3068" s="9" t="n">
        <x:f>IF(D3068="Completed",I3068*J3068,0)</x:f>
        <x:v>1470</x:v>
      </x:c>
      <x:c r="N3068" s="9" t="n">
        <x:f>M3068*K3068</x:f>
        <x:v>147</x:v>
      </x:c>
      <x:c r="O3068" s="9" t="n">
        <x:f>M3068-N3068</x:f>
        <x:v>1323</x:v>
      </x:c>
      <x:c r="P3068" s="9" t="n">
        <x:f>IF(D3068="Completed",L3068*J3068*(1-K3068),0)</x:f>
        <x:v>0</x:v>
      </x:c>
      <x:c r="Q3068" s="9" t="n">
        <x:f>O3068-P3068</x:f>
        <x:v>1323</x:v>
      </x:c>
      <x:c r="R3068" s="11" t="n">
        <x:f>IF(D3068="Completed",I3068,0)</x:f>
        <x:v>5</x:v>
      </x:c>
      <x:c r="S3068" s="11" t="n">
        <x:f>IF(D3068="Completed",L3068,0)</x:f>
        <x:v>0</x:v>
      </x:c>
      <x:c r="T3068" s="8" t="n">
        <x:f>DATE(YEAR(C3068),MONTH(C3068),1)</x:f>
        <x:v>45748</x:v>
      </x:c>
    </x:row>
    <x:row r="3069" ht="22" customHeight="1">
      <x:c r="A3069" s="2" t="str">
        <x:v>L003065</x:v>
      </x:c>
      <x:c r="B3069" s="2" t="str">
        <x:v>O01248</x:v>
      </x:c>
      <x:c r="C3069" s="7" t="n">
        <x:v>45754</x:v>
      </x:c>
      <x:c r="D3069" s="2" t="str">
        <x:v>Completed</x:v>
      </x:c>
      <x:c r="E3069" s="2" t="str">
        <x:v>North</x:v>
      </x:c>
      <x:c r="F3069" s="2" t="str">
        <x:v>Online</x:v>
      </x:c>
      <x:c r="G3069" s="2" t="str">
        <x:v>Furniture</x:v>
      </x:c>
      <x:c r="H3069" s="2" t="str">
        <x:v>Chair 018</x:v>
      </x:c>
      <x:c r="I3069" s="11" t="n">
        <x:v>2</x:v>
      </x:c>
      <x:c r="J3069" s="9" t="n">
        <x:v>269</x:v>
      </x:c>
      <x:c r="K3069" s="10" t="n">
        <x:v>0</x:v>
      </x:c>
      <x:c r="L3069" s="11" t="n">
        <x:v>0</x:v>
      </x:c>
      <x:c r="M3069" s="9" t="n">
        <x:f>IF(D3069="Completed",I3069*J3069,0)</x:f>
        <x:v>538</x:v>
      </x:c>
      <x:c r="N3069" s="9" t="n">
        <x:f>M3069*K3069</x:f>
        <x:v>0</x:v>
      </x:c>
      <x:c r="O3069" s="9" t="n">
        <x:f>M3069-N3069</x:f>
        <x:v>538</x:v>
      </x:c>
      <x:c r="P3069" s="9" t="n">
        <x:f>IF(D3069="Completed",L3069*J3069*(1-K3069),0)</x:f>
        <x:v>0</x:v>
      </x:c>
      <x:c r="Q3069" s="9" t="n">
        <x:f>O3069-P3069</x:f>
        <x:v>538</x:v>
      </x:c>
      <x:c r="R3069" s="11" t="n">
        <x:f>IF(D3069="Completed",I3069,0)</x:f>
        <x:v>2</x:v>
      </x:c>
      <x:c r="S3069" s="11" t="n">
        <x:f>IF(D3069="Completed",L3069,0)</x:f>
        <x:v>0</x:v>
      </x:c>
      <x:c r="T3069" s="8" t="n">
        <x:f>DATE(YEAR(C3069),MONTH(C3069),1)</x:f>
        <x:v>45748</x:v>
      </x:c>
    </x:row>
    <x:row r="3070" ht="22" customHeight="1">
      <x:c r="A3070" s="2" t="str">
        <x:v>L003066</x:v>
      </x:c>
      <x:c r="B3070" s="2" t="str">
        <x:v>O01248</x:v>
      </x:c>
      <x:c r="C3070" s="7" t="n">
        <x:v>45754</x:v>
      </x:c>
      <x:c r="D3070" s="2" t="str">
        <x:v>Completed</x:v>
      </x:c>
      <x:c r="E3070" s="2" t="str">
        <x:v>North</x:v>
      </x:c>
      <x:c r="F3070" s="2" t="str">
        <x:v>Online</x:v>
      </x:c>
      <x:c r="G3070" s="2" t="str">
        <x:v>Storage</x:v>
      </x:c>
      <x:c r="H3070" s="2" t="str">
        <x:v>Shelf 007</x:v>
      </x:c>
      <x:c r="I3070" s="11" t="n">
        <x:v>1</x:v>
      </x:c>
      <x:c r="J3070" s="9" t="n">
        <x:v>35</x:v>
      </x:c>
      <x:c r="K3070" s="10" t="n">
        <x:v>0</x:v>
      </x:c>
      <x:c r="L3070" s="11" t="n">
        <x:v>0</x:v>
      </x:c>
      <x:c r="M3070" s="9" t="n">
        <x:f>IF(D3070="Completed",I3070*J3070,0)</x:f>
        <x:v>35</x:v>
      </x:c>
      <x:c r="N3070" s="9" t="n">
        <x:f>M3070*K3070</x:f>
        <x:v>0</x:v>
      </x:c>
      <x:c r="O3070" s="9" t="n">
        <x:f>M3070-N3070</x:f>
        <x:v>35</x:v>
      </x:c>
      <x:c r="P3070" s="9" t="n">
        <x:f>IF(D3070="Completed",L3070*J3070*(1-K3070),0)</x:f>
        <x:v>0</x:v>
      </x:c>
      <x:c r="Q3070" s="9" t="n">
        <x:f>O3070-P3070</x:f>
        <x:v>35</x:v>
      </x:c>
      <x:c r="R3070" s="11" t="n">
        <x:f>IF(D3070="Completed",I3070,0)</x:f>
        <x:v>1</x:v>
      </x:c>
      <x:c r="S3070" s="11" t="n">
        <x:f>IF(D3070="Completed",L3070,0)</x:f>
        <x:v>0</x:v>
      </x:c>
      <x:c r="T3070" s="8" t="n">
        <x:f>DATE(YEAR(C3070),MONTH(C3070),1)</x:f>
        <x:v>45748</x:v>
      </x:c>
    </x:row>
    <x:row r="3071" ht="22" customHeight="1">
      <x:c r="A3071" s="2" t="str">
        <x:v>L003067</x:v>
      </x:c>
      <x:c r="B3071" s="2" t="str">
        <x:v>O01249</x:v>
      </x:c>
      <x:c r="C3071" s="7" t="n">
        <x:v>45858</x:v>
      </x:c>
      <x:c r="D3071" s="2" t="str">
        <x:v>Completed</x:v>
      </x:c>
      <x:c r="E3071" s="2" t="str">
        <x:v>South</x:v>
      </x:c>
      <x:c r="F3071" s="2" t="str">
        <x:v>Store</x:v>
      </x:c>
      <x:c r="G3071" s="2" t="str">
        <x:v>Storage</x:v>
      </x:c>
      <x:c r="H3071" s="2" t="str">
        <x:v>Shelf 011</x:v>
      </x:c>
      <x:c r="I3071" s="11" t="n">
        <x:v>4</x:v>
      </x:c>
      <x:c r="J3071" s="9" t="n">
        <x:v>80</x:v>
      </x:c>
      <x:c r="K3071" s="10" t="n">
        <x:v>0.05</x:v>
      </x:c>
      <x:c r="L3071" s="11" t="n">
        <x:v>0</x:v>
      </x:c>
      <x:c r="M3071" s="9" t="n">
        <x:f>IF(D3071="Completed",I3071*J3071,0)</x:f>
        <x:v>320</x:v>
      </x:c>
      <x:c r="N3071" s="9" t="n">
        <x:f>M3071*K3071</x:f>
        <x:v>16</x:v>
      </x:c>
      <x:c r="O3071" s="9" t="n">
        <x:f>M3071-N3071</x:f>
        <x:v>304</x:v>
      </x:c>
      <x:c r="P3071" s="9" t="n">
        <x:f>IF(D3071="Completed",L3071*J3071*(1-K3071),0)</x:f>
        <x:v>0</x:v>
      </x:c>
      <x:c r="Q3071" s="9" t="n">
        <x:f>O3071-P3071</x:f>
        <x:v>304</x:v>
      </x:c>
      <x:c r="R3071" s="11" t="n">
        <x:f>IF(D3071="Completed",I3071,0)</x:f>
        <x:v>4</x:v>
      </x:c>
      <x:c r="S3071" s="11" t="n">
        <x:f>IF(D3071="Completed",L3071,0)</x:f>
        <x:v>0</x:v>
      </x:c>
      <x:c r="T3071" s="8" t="n">
        <x:f>DATE(YEAR(C3071),MONTH(C3071),1)</x:f>
        <x:v>45839</x:v>
      </x:c>
    </x:row>
    <x:row r="3072" ht="22" customHeight="1">
      <x:c r="A3072" s="2" t="str">
        <x:v>L003068</x:v>
      </x:c>
      <x:c r="B3072" s="2" t="str">
        <x:v>O01249</x:v>
      </x:c>
      <x:c r="C3072" s="7" t="n">
        <x:v>45858</x:v>
      </x:c>
      <x:c r="D3072" s="2" t="str">
        <x:v>Completed</x:v>
      </x:c>
      <x:c r="E3072" s="2" t="str">
        <x:v>South</x:v>
      </x:c>
      <x:c r="F3072" s="2" t="str">
        <x:v>Store</x:v>
      </x:c>
      <x:c r="G3072" s="2" t="str">
        <x:v>Furniture</x:v>
      </x:c>
      <x:c r="H3072" s="2" t="str">
        <x:v>Desk 008</x:v>
      </x:c>
      <x:c r="I3072" s="11" t="n">
        <x:v>3</x:v>
      </x:c>
      <x:c r="J3072" s="9" t="n">
        <x:v>188</x:v>
      </x:c>
      <x:c r="K3072" s="10" t="n">
        <x:v>0.05</x:v>
      </x:c>
      <x:c r="L3072" s="11" t="n">
        <x:v>0</x:v>
      </x:c>
      <x:c r="M3072" s="9" t="n">
        <x:f>IF(D3072="Completed",I3072*J3072,0)</x:f>
        <x:v>564</x:v>
      </x:c>
      <x:c r="N3072" s="9" t="n">
        <x:f>M3072*K3072</x:f>
        <x:v>28.200000000000003</x:v>
      </x:c>
      <x:c r="O3072" s="9" t="n">
        <x:f>M3072-N3072</x:f>
        <x:v>535.8</x:v>
      </x:c>
      <x:c r="P3072" s="9" t="n">
        <x:f>IF(D3072="Completed",L3072*J3072*(1-K3072),0)</x:f>
        <x:v>0</x:v>
      </x:c>
      <x:c r="Q3072" s="9" t="n">
        <x:f>O3072-P3072</x:f>
        <x:v>535.8</x:v>
      </x:c>
      <x:c r="R3072" s="11" t="n">
        <x:f>IF(D3072="Completed",I3072,0)</x:f>
        <x:v>3</x:v>
      </x:c>
      <x:c r="S3072" s="11" t="n">
        <x:f>IF(D3072="Completed",L3072,0)</x:f>
        <x:v>0</x:v>
      </x:c>
      <x:c r="T3072" s="8" t="n">
        <x:f>DATE(YEAR(C3072),MONTH(C3072),1)</x:f>
        <x:v>45839</x:v>
      </x:c>
    </x:row>
    <x:row r="3073" ht="22" customHeight="1">
      <x:c r="A3073" s="2" t="str">
        <x:v>L003069</x:v>
      </x:c>
      <x:c r="B3073" s="2" t="str">
        <x:v>O01249</x:v>
      </x:c>
      <x:c r="C3073" s="7" t="n">
        <x:v>45858</x:v>
      </x:c>
      <x:c r="D3073" s="2" t="str">
        <x:v>Completed</x:v>
      </x:c>
      <x:c r="E3073" s="2" t="str">
        <x:v>South</x:v>
      </x:c>
      <x:c r="F3073" s="2" t="str">
        <x:v>Store</x:v>
      </x:c>
      <x:c r="G3073" s="2" t="str">
        <x:v>Storage</x:v>
      </x:c>
      <x:c r="H3073" s="2" t="str">
        <x:v>Shelf 003</x:v>
      </x:c>
      <x:c r="I3073" s="11" t="n">
        <x:v>2</x:v>
      </x:c>
      <x:c r="J3073" s="9" t="n">
        <x:v>199</x:v>
      </x:c>
      <x:c r="K3073" s="10" t="n">
        <x:v>0.05</x:v>
      </x:c>
      <x:c r="L3073" s="11" t="n">
        <x:v>1</x:v>
      </x:c>
      <x:c r="M3073" s="9" t="n">
        <x:f>IF(D3073="Completed",I3073*J3073,0)</x:f>
        <x:v>398</x:v>
      </x:c>
      <x:c r="N3073" s="9" t="n">
        <x:f>M3073*K3073</x:f>
        <x:v>19.900000000000002</x:v>
      </x:c>
      <x:c r="O3073" s="9" t="n">
        <x:f>M3073-N3073</x:f>
        <x:v>378.1</x:v>
      </x:c>
      <x:c r="P3073" s="9" t="n">
        <x:f>IF(D3073="Completed",L3073*J3073*(1-K3073),0)</x:f>
        <x:v>189.04999999999998</x:v>
      </x:c>
      <x:c r="Q3073" s="9" t="n">
        <x:f>O3073-P3073</x:f>
        <x:v>189.05000000000004</x:v>
      </x:c>
      <x:c r="R3073" s="11" t="n">
        <x:f>IF(D3073="Completed",I3073,0)</x:f>
        <x:v>2</x:v>
      </x:c>
      <x:c r="S3073" s="11" t="n">
        <x:f>IF(D3073="Completed",L3073,0)</x:f>
        <x:v>1</x:v>
      </x:c>
      <x:c r="T3073" s="8" t="n">
        <x:f>DATE(YEAR(C3073),MONTH(C3073),1)</x:f>
        <x:v>45839</x:v>
      </x:c>
    </x:row>
    <x:row r="3074" ht="22" customHeight="1">
      <x:c r="A3074" s="2" t="str">
        <x:v>L003070</x:v>
      </x:c>
      <x:c r="B3074" s="2" t="str">
        <x:v>O01250</x:v>
      </x:c>
      <x:c r="C3074" s="7" t="n">
        <x:v>45735</x:v>
      </x:c>
      <x:c r="D3074" s="2" t="str">
        <x:v>Completed</x:v>
      </x:c>
      <x:c r="E3074" s="2" t="str">
        <x:v>North</x:v>
      </x:c>
      <x:c r="F3074" s="2" t="str">
        <x:v>Store</x:v>
      </x:c>
      <x:c r="G3074" s="2" t="str">
        <x:v>Furniture</x:v>
      </x:c>
      <x:c r="H3074" s="2" t="str">
        <x:v>Desk 012</x:v>
      </x:c>
      <x:c r="I3074" s="11" t="n">
        <x:v>4</x:v>
      </x:c>
      <x:c r="J3074" s="9" t="n">
        <x:v>134</x:v>
      </x:c>
      <x:c r="K3074" s="10" t="n">
        <x:v>0.2</x:v>
      </x:c>
      <x:c r="L3074" s="11" t="n">
        <x:v>0</x:v>
      </x:c>
      <x:c r="M3074" s="9" t="n">
        <x:f>IF(D3074="Completed",I3074*J3074,0)</x:f>
        <x:v>536</x:v>
      </x:c>
      <x:c r="N3074" s="9" t="n">
        <x:f>M3074*K3074</x:f>
        <x:v>107.2</x:v>
      </x:c>
      <x:c r="O3074" s="9" t="n">
        <x:f>M3074-N3074</x:f>
        <x:v>428.8</x:v>
      </x:c>
      <x:c r="P3074" s="9" t="n">
        <x:f>IF(D3074="Completed",L3074*J3074*(1-K3074),0)</x:f>
        <x:v>0</x:v>
      </x:c>
      <x:c r="Q3074" s="9" t="n">
        <x:f>O3074-P3074</x:f>
        <x:v>428.8</x:v>
      </x:c>
      <x:c r="R3074" s="11" t="n">
        <x:f>IF(D3074="Completed",I3074,0)</x:f>
        <x:v>4</x:v>
      </x:c>
      <x:c r="S3074" s="11" t="n">
        <x:f>IF(D3074="Completed",L3074,0)</x:f>
        <x:v>0</x:v>
      </x:c>
      <x:c r="T3074" s="8" t="n">
        <x:f>DATE(YEAR(C3074),MONTH(C3074),1)</x:f>
        <x:v>45717</x:v>
      </x:c>
    </x:row>
    <x:row r="3075" ht="22" customHeight="1">
      <x:c r="A3075" s="2" t="str">
        <x:v>L003071</x:v>
      </x:c>
      <x:c r="B3075" s="2" t="str">
        <x:v>O01250</x:v>
      </x:c>
      <x:c r="C3075" s="7" t="n">
        <x:v>45735</x:v>
      </x:c>
      <x:c r="D3075" s="2" t="str">
        <x:v>Completed</x:v>
      </x:c>
      <x:c r="E3075" s="2" t="str">
        <x:v>North</x:v>
      </x:c>
      <x:c r="F3075" s="2" t="str">
        <x:v>Store</x:v>
      </x:c>
      <x:c r="G3075" s="2" t="str">
        <x:v>Furniture</x:v>
      </x:c>
      <x:c r="H3075" s="2" t="str">
        <x:v>Desk 020</x:v>
      </x:c>
      <x:c r="I3075" s="11" t="n">
        <x:v>4</x:v>
      </x:c>
      <x:c r="J3075" s="9" t="n">
        <x:v>189</x:v>
      </x:c>
      <x:c r="K3075" s="10" t="n">
        <x:v>0.1</x:v>
      </x:c>
      <x:c r="L3075" s="11" t="n">
        <x:v>0</x:v>
      </x:c>
      <x:c r="M3075" s="9" t="n">
        <x:f>IF(D3075="Completed",I3075*J3075,0)</x:f>
        <x:v>756</x:v>
      </x:c>
      <x:c r="N3075" s="9" t="n">
        <x:f>M3075*K3075</x:f>
        <x:v>75.60000000000001</x:v>
      </x:c>
      <x:c r="O3075" s="9" t="n">
        <x:f>M3075-N3075</x:f>
        <x:v>680.4</x:v>
      </x:c>
      <x:c r="P3075" s="9" t="n">
        <x:f>IF(D3075="Completed",L3075*J3075*(1-K3075),0)</x:f>
        <x:v>0</x:v>
      </x:c>
      <x:c r="Q3075" s="9" t="n">
        <x:f>O3075-P3075</x:f>
        <x:v>680.4</x:v>
      </x:c>
      <x:c r="R3075" s="11" t="n">
        <x:f>IF(D3075="Completed",I3075,0)</x:f>
        <x:v>4</x:v>
      </x:c>
      <x:c r="S3075" s="11" t="n">
        <x:f>IF(D3075="Completed",L3075,0)</x:f>
        <x:v>0</x:v>
      </x:c>
      <x:c r="T3075" s="8" t="n">
        <x:f>DATE(YEAR(C3075),MONTH(C3075),1)</x:f>
        <x:v>45717</x:v>
      </x:c>
    </x:row>
    <x:row r="3076" ht="22" customHeight="1">
      <x:c r="A3076" s="2" t="str">
        <x:v>L003072</x:v>
      </x:c>
      <x:c r="B3076" s="2" t="str">
        <x:v>O01250</x:v>
      </x:c>
      <x:c r="C3076" s="7" t="n">
        <x:v>45735</x:v>
      </x:c>
      <x:c r="D3076" s="2" t="str">
        <x:v>Completed</x:v>
      </x:c>
      <x:c r="E3076" s="2" t="str">
        <x:v>North</x:v>
      </x:c>
      <x:c r="F3076" s="2" t="str">
        <x:v>Store</x:v>
      </x:c>
      <x:c r="G3076" s="2" t="str">
        <x:v>Furniture</x:v>
      </x:c>
      <x:c r="H3076" s="2" t="str">
        <x:v>Chair 010</x:v>
      </x:c>
      <x:c r="I3076" s="11" t="n">
        <x:v>3</x:v>
      </x:c>
      <x:c r="J3076" s="9" t="n">
        <x:v>211</x:v>
      </x:c>
      <x:c r="K3076" s="10" t="n">
        <x:v>0</x:v>
      </x:c>
      <x:c r="L3076" s="11" t="n">
        <x:v>0</x:v>
      </x:c>
      <x:c r="M3076" s="9" t="n">
        <x:f>IF(D3076="Completed",I3076*J3076,0)</x:f>
        <x:v>633</x:v>
      </x:c>
      <x:c r="N3076" s="9" t="n">
        <x:f>M3076*K3076</x:f>
        <x:v>0</x:v>
      </x:c>
      <x:c r="O3076" s="9" t="n">
        <x:f>M3076-N3076</x:f>
        <x:v>633</x:v>
      </x:c>
      <x:c r="P3076" s="9" t="n">
        <x:f>IF(D3076="Completed",L3076*J3076*(1-K3076),0)</x:f>
        <x:v>0</x:v>
      </x:c>
      <x:c r="Q3076" s="9" t="n">
        <x:f>O3076-P3076</x:f>
        <x:v>633</x:v>
      </x:c>
      <x:c r="R3076" s="11" t="n">
        <x:f>IF(D3076="Completed",I3076,0)</x:f>
        <x:v>3</x:v>
      </x:c>
      <x:c r="S3076" s="11" t="n">
        <x:f>IF(D3076="Completed",L3076,0)</x:f>
        <x:v>0</x:v>
      </x:c>
      <x:c r="T3076" s="8" t="n">
        <x:f>DATE(YEAR(C3076),MONTH(C3076),1)</x:f>
        <x:v>45717</x:v>
      </x:c>
    </x:row>
    <x:row r="3077" ht="22" customHeight="1">
      <x:c r="A3077" s="2" t="str">
        <x:v>L003073</x:v>
      </x:c>
      <x:c r="B3077" s="2" t="str">
        <x:v>O01251</x:v>
      </x:c>
      <x:c r="C3077" s="7" t="n">
        <x:v>45879</x:v>
      </x:c>
      <x:c r="D3077" s="2" t="str">
        <x:v>Completed</x:v>
      </x:c>
      <x:c r="E3077" s="2" t="str">
        <x:v>East</x:v>
      </x:c>
      <x:c r="F3077" s="2" t="str">
        <x:v>Store</x:v>
      </x:c>
      <x:c r="G3077" s="2" t="str">
        <x:v>Furniture</x:v>
      </x:c>
      <x:c r="H3077" s="2" t="str">
        <x:v>Chair 014</x:v>
      </x:c>
      <x:c r="I3077" s="11" t="n">
        <x:v>1</x:v>
      </x:c>
      <x:c r="J3077" s="9" t="n">
        <x:v>294</x:v>
      </x:c>
      <x:c r="K3077" s="10" t="n">
        <x:v>0.05</x:v>
      </x:c>
      <x:c r="L3077" s="11" t="n">
        <x:v>0</x:v>
      </x:c>
      <x:c r="M3077" s="9" t="n">
        <x:f>IF(D3077="Completed",I3077*J3077,0)</x:f>
        <x:v>294</x:v>
      </x:c>
      <x:c r="N3077" s="9" t="n">
        <x:f>M3077*K3077</x:f>
        <x:v>14.700000000000001</x:v>
      </x:c>
      <x:c r="O3077" s="9" t="n">
        <x:f>M3077-N3077</x:f>
        <x:v>279.3</x:v>
      </x:c>
      <x:c r="P3077" s="9" t="n">
        <x:f>IF(D3077="Completed",L3077*J3077*(1-K3077),0)</x:f>
        <x:v>0</x:v>
      </x:c>
      <x:c r="Q3077" s="9" t="n">
        <x:f>O3077-P3077</x:f>
        <x:v>279.3</x:v>
      </x:c>
      <x:c r="R3077" s="11" t="n">
        <x:f>IF(D3077="Completed",I3077,0)</x:f>
        <x:v>1</x:v>
      </x:c>
      <x:c r="S3077" s="11" t="n">
        <x:f>IF(D3077="Completed",L3077,0)</x:f>
        <x:v>0</x:v>
      </x:c>
      <x:c r="T3077" s="8" t="n">
        <x:f>DATE(YEAR(C3077),MONTH(C3077),1)</x:f>
        <x:v>45870</x:v>
      </x:c>
    </x:row>
    <x:row r="3078" ht="22" customHeight="1">
      <x:c r="A3078" s="2" t="str">
        <x:v>L003074</x:v>
      </x:c>
      <x:c r="B3078" s="2" t="str">
        <x:v>O01252</x:v>
      </x:c>
      <x:c r="C3078" s="7" t="n">
        <x:v>45969</x:v>
      </x:c>
      <x:c r="D3078" s="2" t="str">
        <x:v>Completed</x:v>
      </x:c>
      <x:c r="E3078" s="2" t="str">
        <x:v>North</x:v>
      </x:c>
      <x:c r="F3078" s="2" t="str">
        <x:v>Online</x:v>
      </x:c>
      <x:c r="G3078" s="2" t="str">
        <x:v>Lighting</x:v>
      </x:c>
      <x:c r="H3078" s="2" t="str">
        <x:v>Lamp 005</x:v>
      </x:c>
      <x:c r="I3078" s="11" t="n">
        <x:v>1</x:v>
      </x:c>
      <x:c r="J3078" s="9" t="n">
        <x:v>65</x:v>
      </x:c>
      <x:c r="K3078" s="10" t="n">
        <x:v>0.05</x:v>
      </x:c>
      <x:c r="L3078" s="11" t="n">
        <x:v>0</x:v>
      </x:c>
      <x:c r="M3078" s="9" t="n">
        <x:f>IF(D3078="Completed",I3078*J3078,0)</x:f>
        <x:v>65</x:v>
      </x:c>
      <x:c r="N3078" s="9" t="n">
        <x:f>M3078*K3078</x:f>
        <x:v>3.25</x:v>
      </x:c>
      <x:c r="O3078" s="9" t="n">
        <x:f>M3078-N3078</x:f>
        <x:v>61.75</x:v>
      </x:c>
      <x:c r="P3078" s="9" t="n">
        <x:f>IF(D3078="Completed",L3078*J3078*(1-K3078),0)</x:f>
        <x:v>0</x:v>
      </x:c>
      <x:c r="Q3078" s="9" t="n">
        <x:f>O3078-P3078</x:f>
        <x:v>61.75</x:v>
      </x:c>
      <x:c r="R3078" s="11" t="n">
        <x:f>IF(D3078="Completed",I3078,0)</x:f>
        <x:v>1</x:v>
      </x:c>
      <x:c r="S3078" s="11" t="n">
        <x:f>IF(D3078="Completed",L3078,0)</x:f>
        <x:v>0</x:v>
      </x:c>
      <x:c r="T3078" s="8" t="n">
        <x:f>DATE(YEAR(C3078),MONTH(C3078),1)</x:f>
        <x:v>45962</x:v>
      </x:c>
    </x:row>
    <x:row r="3079" ht="22" customHeight="1">
      <x:c r="A3079" s="2" t="str">
        <x:v>L003075</x:v>
      </x:c>
      <x:c r="B3079" s="2" t="str">
        <x:v>O01252</x:v>
      </x:c>
      <x:c r="C3079" s="7" t="n">
        <x:v>45969</x:v>
      </x:c>
      <x:c r="D3079" s="2" t="str">
        <x:v>Completed</x:v>
      </x:c>
      <x:c r="E3079" s="2" t="str">
        <x:v>North</x:v>
      </x:c>
      <x:c r="F3079" s="2" t="str">
        <x:v>Online</x:v>
      </x:c>
      <x:c r="G3079" s="2" t="str">
        <x:v>Storage</x:v>
      </x:c>
      <x:c r="H3079" s="2" t="str">
        <x:v>Shelf 019</x:v>
      </x:c>
      <x:c r="I3079" s="11" t="n">
        <x:v>1</x:v>
      </x:c>
      <x:c r="J3079" s="9" t="n">
        <x:v>78</x:v>
      </x:c>
      <x:c r="K3079" s="10" t="n">
        <x:v>0.05</x:v>
      </x:c>
      <x:c r="L3079" s="11" t="n">
        <x:v>0</x:v>
      </x:c>
      <x:c r="M3079" s="9" t="n">
        <x:f>IF(D3079="Completed",I3079*J3079,0)</x:f>
        <x:v>78</x:v>
      </x:c>
      <x:c r="N3079" s="9" t="n">
        <x:f>M3079*K3079</x:f>
        <x:v>3.9000000000000004</x:v>
      </x:c>
      <x:c r="O3079" s="9" t="n">
        <x:f>M3079-N3079</x:f>
        <x:v>74.1</x:v>
      </x:c>
      <x:c r="P3079" s="9" t="n">
        <x:f>IF(D3079="Completed",L3079*J3079*(1-K3079),0)</x:f>
        <x:v>0</x:v>
      </x:c>
      <x:c r="Q3079" s="9" t="n">
        <x:f>O3079-P3079</x:f>
        <x:v>74.1</x:v>
      </x:c>
      <x:c r="R3079" s="11" t="n">
        <x:f>IF(D3079="Completed",I3079,0)</x:f>
        <x:v>1</x:v>
      </x:c>
      <x:c r="S3079" s="11" t="n">
        <x:f>IF(D3079="Completed",L3079,0)</x:f>
        <x:v>0</x:v>
      </x:c>
      <x:c r="T3079" s="8" t="n">
        <x:f>DATE(YEAR(C3079),MONTH(C3079),1)</x:f>
        <x:v>45962</x:v>
      </x:c>
    </x:row>
    <x:row r="3080" ht="22" customHeight="1">
      <x:c r="A3080" s="2" t="str">
        <x:v>L003076</x:v>
      </x:c>
      <x:c r="B3080" s="2" t="str">
        <x:v>O01253</x:v>
      </x:c>
      <x:c r="C3080" s="7" t="n">
        <x:v>45856</x:v>
      </x:c>
      <x:c r="D3080" s="2" t="str">
        <x:v>Completed</x:v>
      </x:c>
      <x:c r="E3080" s="2" t="str">
        <x:v>South</x:v>
      </x:c>
      <x:c r="F3080" s="2" t="str">
        <x:v>Store</x:v>
      </x:c>
      <x:c r="G3080" s="2" t="str">
        <x:v>Lighting</x:v>
      </x:c>
      <x:c r="H3080" s="2" t="str">
        <x:v>Lamp 013</x:v>
      </x:c>
      <x:c r="I3080" s="11" t="n">
        <x:v>2</x:v>
      </x:c>
      <x:c r="J3080" s="9" t="n">
        <x:v>271</x:v>
      </x:c>
      <x:c r="K3080" s="10" t="n">
        <x:v>0</x:v>
      </x:c>
      <x:c r="L3080" s="11" t="n">
        <x:v>0</x:v>
      </x:c>
      <x:c r="M3080" s="9" t="n">
        <x:f>IF(D3080="Completed",I3080*J3080,0)</x:f>
        <x:v>542</x:v>
      </x:c>
      <x:c r="N3080" s="9" t="n">
        <x:f>M3080*K3080</x:f>
        <x:v>0</x:v>
      </x:c>
      <x:c r="O3080" s="9" t="n">
        <x:f>M3080-N3080</x:f>
        <x:v>542</x:v>
      </x:c>
      <x:c r="P3080" s="9" t="n">
        <x:f>IF(D3080="Completed",L3080*J3080*(1-K3080),0)</x:f>
        <x:v>0</x:v>
      </x:c>
      <x:c r="Q3080" s="9" t="n">
        <x:f>O3080-P3080</x:f>
        <x:v>542</x:v>
      </x:c>
      <x:c r="R3080" s="11" t="n">
        <x:f>IF(D3080="Completed",I3080,0)</x:f>
        <x:v>2</x:v>
      </x:c>
      <x:c r="S3080" s="11" t="n">
        <x:f>IF(D3080="Completed",L3080,0)</x:f>
        <x:v>0</x:v>
      </x:c>
      <x:c r="T3080" s="8" t="n">
        <x:f>DATE(YEAR(C3080),MONTH(C3080),1)</x:f>
        <x:v>45839</x:v>
      </x:c>
    </x:row>
    <x:row r="3081" ht="22" customHeight="1">
      <x:c r="A3081" s="2" t="str">
        <x:v>L003077</x:v>
      </x:c>
      <x:c r="B3081" s="2" t="str">
        <x:v>O01254</x:v>
      </x:c>
      <x:c r="C3081" s="7" t="n">
        <x:v>45783</x:v>
      </x:c>
      <x:c r="D3081" s="2" t="str">
        <x:v>Completed</x:v>
      </x:c>
      <x:c r="E3081" s="2" t="str">
        <x:v>East</x:v>
      </x:c>
      <x:c r="F3081" s="2" t="str">
        <x:v>Online</x:v>
      </x:c>
      <x:c r="G3081" s="2" t="str">
        <x:v>Furniture</x:v>
      </x:c>
      <x:c r="H3081" s="2" t="str">
        <x:v>Chair 010</x:v>
      </x:c>
      <x:c r="I3081" s="11" t="n">
        <x:v>1</x:v>
      </x:c>
      <x:c r="J3081" s="9" t="n">
        <x:v>211</x:v>
      </x:c>
      <x:c r="K3081" s="10" t="n">
        <x:v>0.2</x:v>
      </x:c>
      <x:c r="L3081" s="11" t="n">
        <x:v>0</x:v>
      </x:c>
      <x:c r="M3081" s="9" t="n">
        <x:f>IF(D3081="Completed",I3081*J3081,0)</x:f>
        <x:v>211</x:v>
      </x:c>
      <x:c r="N3081" s="9" t="n">
        <x:f>M3081*K3081</x:f>
        <x:v>42.2</x:v>
      </x:c>
      <x:c r="O3081" s="9" t="n">
        <x:f>M3081-N3081</x:f>
        <x:v>168.8</x:v>
      </x:c>
      <x:c r="P3081" s="9" t="n">
        <x:f>IF(D3081="Completed",L3081*J3081*(1-K3081),0)</x:f>
        <x:v>0</x:v>
      </x:c>
      <x:c r="Q3081" s="9" t="n">
        <x:f>O3081-P3081</x:f>
        <x:v>168.8</x:v>
      </x:c>
      <x:c r="R3081" s="11" t="n">
        <x:f>IF(D3081="Completed",I3081,0)</x:f>
        <x:v>1</x:v>
      </x:c>
      <x:c r="S3081" s="11" t="n">
        <x:f>IF(D3081="Completed",L3081,0)</x:f>
        <x:v>0</x:v>
      </x:c>
      <x:c r="T3081" s="8" t="n">
        <x:f>DATE(YEAR(C3081),MONTH(C3081),1)</x:f>
        <x:v>45778</x:v>
      </x:c>
    </x:row>
    <x:row r="3082" ht="22" customHeight="1">
      <x:c r="A3082" s="2" t="str">
        <x:v>L003078</x:v>
      </x:c>
      <x:c r="B3082" s="2" t="str">
        <x:v>O01254</x:v>
      </x:c>
      <x:c r="C3082" s="7" t="n">
        <x:v>45783</x:v>
      </x:c>
      <x:c r="D3082" s="2" t="str">
        <x:v>Completed</x:v>
      </x:c>
      <x:c r="E3082" s="2" t="str">
        <x:v>East</x:v>
      </x:c>
      <x:c r="F3082" s="2" t="str">
        <x:v>Online</x:v>
      </x:c>
      <x:c r="G3082" s="2" t="str">
        <x:v>Storage</x:v>
      </x:c>
      <x:c r="H3082" s="2" t="str">
        <x:v>Shelf 019</x:v>
      </x:c>
      <x:c r="I3082" s="11" t="n">
        <x:v>2</x:v>
      </x:c>
      <x:c r="J3082" s="9" t="n">
        <x:v>78</x:v>
      </x:c>
      <x:c r="K3082" s="10" t="n">
        <x:v>0.2</x:v>
      </x:c>
      <x:c r="L3082" s="11" t="n">
        <x:v>0</x:v>
      </x:c>
      <x:c r="M3082" s="9" t="n">
        <x:f>IF(D3082="Completed",I3082*J3082,0)</x:f>
        <x:v>156</x:v>
      </x:c>
      <x:c r="N3082" s="9" t="n">
        <x:f>M3082*K3082</x:f>
        <x:v>31.200000000000003</x:v>
      </x:c>
      <x:c r="O3082" s="9" t="n">
        <x:f>M3082-N3082</x:f>
        <x:v>124.8</x:v>
      </x:c>
      <x:c r="P3082" s="9" t="n">
        <x:f>IF(D3082="Completed",L3082*J3082*(1-K3082),0)</x:f>
        <x:v>0</x:v>
      </x:c>
      <x:c r="Q3082" s="9" t="n">
        <x:f>O3082-P3082</x:f>
        <x:v>124.8</x:v>
      </x:c>
      <x:c r="R3082" s="11" t="n">
        <x:f>IF(D3082="Completed",I3082,0)</x:f>
        <x:v>2</x:v>
      </x:c>
      <x:c r="S3082" s="11" t="n">
        <x:f>IF(D3082="Completed",L3082,0)</x:f>
        <x:v>0</x:v>
      </x:c>
      <x:c r="T3082" s="8" t="n">
        <x:f>DATE(YEAR(C3082),MONTH(C3082),1)</x:f>
        <x:v>45778</x:v>
      </x:c>
    </x:row>
    <x:row r="3083" ht="22" customHeight="1">
      <x:c r="A3083" s="2" t="str">
        <x:v>L003079</x:v>
      </x:c>
      <x:c r="B3083" s="2" t="str">
        <x:v>O01254</x:v>
      </x:c>
      <x:c r="C3083" s="7" t="n">
        <x:v>45783</x:v>
      </x:c>
      <x:c r="D3083" s="2" t="str">
        <x:v>Completed</x:v>
      </x:c>
      <x:c r="E3083" s="2" t="str">
        <x:v>East</x:v>
      </x:c>
      <x:c r="F3083" s="2" t="str">
        <x:v>Online</x:v>
      </x:c>
      <x:c r="G3083" s="2" t="str">
        <x:v>Lighting</x:v>
      </x:c>
      <x:c r="H3083" s="2" t="str">
        <x:v>Lamp 001</x:v>
      </x:c>
      <x:c r="I3083" s="11" t="n">
        <x:v>5</x:v>
      </x:c>
      <x:c r="J3083" s="9" t="n">
        <x:v>122</x:v>
      </x:c>
      <x:c r="K3083" s="10" t="n">
        <x:v>0.05</x:v>
      </x:c>
      <x:c r="L3083" s="11" t="n">
        <x:v>0</x:v>
      </x:c>
      <x:c r="M3083" s="9" t="n">
        <x:f>IF(D3083="Completed",I3083*J3083,0)</x:f>
        <x:v>610</x:v>
      </x:c>
      <x:c r="N3083" s="9" t="n">
        <x:f>M3083*K3083</x:f>
        <x:v>30.5</x:v>
      </x:c>
      <x:c r="O3083" s="9" t="n">
        <x:f>M3083-N3083</x:f>
        <x:v>579.5</x:v>
      </x:c>
      <x:c r="P3083" s="9" t="n">
        <x:f>IF(D3083="Completed",L3083*J3083*(1-K3083),0)</x:f>
        <x:v>0</x:v>
      </x:c>
      <x:c r="Q3083" s="9" t="n">
        <x:f>O3083-P3083</x:f>
        <x:v>579.5</x:v>
      </x:c>
      <x:c r="R3083" s="11" t="n">
        <x:f>IF(D3083="Completed",I3083,0)</x:f>
        <x:v>5</x:v>
      </x:c>
      <x:c r="S3083" s="11" t="n">
        <x:f>IF(D3083="Completed",L3083,0)</x:f>
        <x:v>0</x:v>
      </x:c>
      <x:c r="T3083" s="8" t="n">
        <x:f>DATE(YEAR(C3083),MONTH(C3083),1)</x:f>
        <x:v>45778</x:v>
      </x:c>
    </x:row>
    <x:row r="3084" ht="22" customHeight="1">
      <x:c r="A3084" s="2" t="str">
        <x:v>L003080</x:v>
      </x:c>
      <x:c r="B3084" s="2" t="str">
        <x:v>O01254</x:v>
      </x:c>
      <x:c r="C3084" s="7" t="n">
        <x:v>45783</x:v>
      </x:c>
      <x:c r="D3084" s="2" t="str">
        <x:v>Completed</x:v>
      </x:c>
      <x:c r="E3084" s="2" t="str">
        <x:v>East</x:v>
      </x:c>
      <x:c r="F3084" s="2" t="str">
        <x:v>Online</x:v>
      </x:c>
      <x:c r="G3084" s="2" t="str">
        <x:v>Lighting</x:v>
      </x:c>
      <x:c r="H3084" s="2" t="str">
        <x:v>Lamp 021</x:v>
      </x:c>
      <x:c r="I3084" s="11" t="n">
        <x:v>1</x:v>
      </x:c>
      <x:c r="J3084" s="9" t="n">
        <x:v>249</x:v>
      </x:c>
      <x:c r="K3084" s="10" t="n">
        <x:v>0</x:v>
      </x:c>
      <x:c r="L3084" s="11" t="n">
        <x:v>0</x:v>
      </x:c>
      <x:c r="M3084" s="9" t="n">
        <x:f>IF(D3084="Completed",I3084*J3084,0)</x:f>
        <x:v>249</x:v>
      </x:c>
      <x:c r="N3084" s="9" t="n">
        <x:f>M3084*K3084</x:f>
        <x:v>0</x:v>
      </x:c>
      <x:c r="O3084" s="9" t="n">
        <x:f>M3084-N3084</x:f>
        <x:v>249</x:v>
      </x:c>
      <x:c r="P3084" s="9" t="n">
        <x:f>IF(D3084="Completed",L3084*J3084*(1-K3084),0)</x:f>
        <x:v>0</x:v>
      </x:c>
      <x:c r="Q3084" s="9" t="n">
        <x:f>O3084-P3084</x:f>
        <x:v>249</x:v>
      </x:c>
      <x:c r="R3084" s="11" t="n">
        <x:f>IF(D3084="Completed",I3084,0)</x:f>
        <x:v>1</x:v>
      </x:c>
      <x:c r="S3084" s="11" t="n">
        <x:f>IF(D3084="Completed",L3084,0)</x:f>
        <x:v>0</x:v>
      </x:c>
      <x:c r="T3084" s="8" t="n">
        <x:f>DATE(YEAR(C3084),MONTH(C3084),1)</x:f>
        <x:v>45778</x:v>
      </x:c>
    </x:row>
    <x:row r="3085" ht="22" customHeight="1">
      <x:c r="A3085" s="2" t="str">
        <x:v>L003081</x:v>
      </x:c>
      <x:c r="B3085" s="2" t="str">
        <x:v>O01255</x:v>
      </x:c>
      <x:c r="C3085" s="7" t="n">
        <x:v>45865</x:v>
      </x:c>
      <x:c r="D3085" s="2" t="str">
        <x:v>Completed</x:v>
      </x:c>
      <x:c r="E3085" s="2" t="str">
        <x:v>East</x:v>
      </x:c>
      <x:c r="F3085" s="2" t="str">
        <x:v>Store</x:v>
      </x:c>
      <x:c r="G3085" s="2" t="str">
        <x:v>Lighting</x:v>
      </x:c>
      <x:c r="H3085" s="2" t="str">
        <x:v>Lamp 001</x:v>
      </x:c>
      <x:c r="I3085" s="11" t="n">
        <x:v>1</x:v>
      </x:c>
      <x:c r="J3085" s="9" t="n">
        <x:v>122</x:v>
      </x:c>
      <x:c r="K3085" s="10" t="n">
        <x:v>0.1</x:v>
      </x:c>
      <x:c r="L3085" s="11" t="n">
        <x:v>1</x:v>
      </x:c>
      <x:c r="M3085" s="9" t="n">
        <x:f>IF(D3085="Completed",I3085*J3085,0)</x:f>
        <x:v>122</x:v>
      </x:c>
      <x:c r="N3085" s="9" t="n">
        <x:f>M3085*K3085</x:f>
        <x:v>12.200000000000001</x:v>
      </x:c>
      <x:c r="O3085" s="9" t="n">
        <x:f>M3085-N3085</x:f>
        <x:v>109.8</x:v>
      </x:c>
      <x:c r="P3085" s="9" t="n">
        <x:f>IF(D3085="Completed",L3085*J3085*(1-K3085),0)</x:f>
        <x:v>109.8</x:v>
      </x:c>
      <x:c r="Q3085" s="9" t="n">
        <x:f>O3085-P3085</x:f>
        <x:v>0</x:v>
      </x:c>
      <x:c r="R3085" s="11" t="n">
        <x:f>IF(D3085="Completed",I3085,0)</x:f>
        <x:v>1</x:v>
      </x:c>
      <x:c r="S3085" s="11" t="n">
        <x:f>IF(D3085="Completed",L3085,0)</x:f>
        <x:v>1</x:v>
      </x:c>
      <x:c r="T3085" s="8" t="n">
        <x:f>DATE(YEAR(C3085),MONTH(C3085),1)</x:f>
        <x:v>45839</x:v>
      </x:c>
    </x:row>
    <x:row r="3086" ht="22" customHeight="1">
      <x:c r="A3086" s="2" t="str">
        <x:v>L003082</x:v>
      </x:c>
      <x:c r="B3086" s="2" t="str">
        <x:v>O01255</x:v>
      </x:c>
      <x:c r="C3086" s="7" t="n">
        <x:v>45865</x:v>
      </x:c>
      <x:c r="D3086" s="2" t="str">
        <x:v>Completed</x:v>
      </x:c>
      <x:c r="E3086" s="2" t="str">
        <x:v>East</x:v>
      </x:c>
      <x:c r="F3086" s="2" t="str">
        <x:v>Store</x:v>
      </x:c>
      <x:c r="G3086" s="2" t="str">
        <x:v>Storage</x:v>
      </x:c>
      <x:c r="H3086" s="2" t="str">
        <x:v>Shelf 011</x:v>
      </x:c>
      <x:c r="I3086" s="11" t="n">
        <x:v>5</x:v>
      </x:c>
      <x:c r="J3086" s="9" t="n">
        <x:v>80</x:v>
      </x:c>
      <x:c r="K3086" s="10" t="n">
        <x:v>0.05</x:v>
      </x:c>
      <x:c r="L3086" s="11" t="n">
        <x:v>0</x:v>
      </x:c>
      <x:c r="M3086" s="9" t="n">
        <x:f>IF(D3086="Completed",I3086*J3086,0)</x:f>
        <x:v>400</x:v>
      </x:c>
      <x:c r="N3086" s="9" t="n">
        <x:f>M3086*K3086</x:f>
        <x:v>20</x:v>
      </x:c>
      <x:c r="O3086" s="9" t="n">
        <x:f>M3086-N3086</x:f>
        <x:v>380</x:v>
      </x:c>
      <x:c r="P3086" s="9" t="n">
        <x:f>IF(D3086="Completed",L3086*J3086*(1-K3086),0)</x:f>
        <x:v>0</x:v>
      </x:c>
      <x:c r="Q3086" s="9" t="n">
        <x:f>O3086-P3086</x:f>
        <x:v>380</x:v>
      </x:c>
      <x:c r="R3086" s="11" t="n">
        <x:f>IF(D3086="Completed",I3086,0)</x:f>
        <x:v>5</x:v>
      </x:c>
      <x:c r="S3086" s="11" t="n">
        <x:f>IF(D3086="Completed",L3086,0)</x:f>
        <x:v>0</x:v>
      </x:c>
      <x:c r="T3086" s="8" t="n">
        <x:f>DATE(YEAR(C3086),MONTH(C3086),1)</x:f>
        <x:v>45839</x:v>
      </x:c>
    </x:row>
    <x:row r="3087" ht="22" customHeight="1">
      <x:c r="A3087" s="2" t="str">
        <x:v>L003083</x:v>
      </x:c>
      <x:c r="B3087" s="2" t="str">
        <x:v>O01255</x:v>
      </x:c>
      <x:c r="C3087" s="7" t="n">
        <x:v>45865</x:v>
      </x:c>
      <x:c r="D3087" s="2" t="str">
        <x:v>Completed</x:v>
      </x:c>
      <x:c r="E3087" s="2" t="str">
        <x:v>East</x:v>
      </x:c>
      <x:c r="F3087" s="2" t="str">
        <x:v>Store</x:v>
      </x:c>
      <x:c r="G3087" s="2" t="str">
        <x:v>Furniture</x:v>
      </x:c>
      <x:c r="H3087" s="2" t="str">
        <x:v>Desk 012</x:v>
      </x:c>
      <x:c r="I3087" s="11" t="n">
        <x:v>4</x:v>
      </x:c>
      <x:c r="J3087" s="9" t="n">
        <x:v>134</x:v>
      </x:c>
      <x:c r="K3087" s="10" t="n">
        <x:v>0.05</x:v>
      </x:c>
      <x:c r="L3087" s="11" t="n">
        <x:v>0</x:v>
      </x:c>
      <x:c r="M3087" s="9" t="n">
        <x:f>IF(D3087="Completed",I3087*J3087,0)</x:f>
        <x:v>536</x:v>
      </x:c>
      <x:c r="N3087" s="9" t="n">
        <x:f>M3087*K3087</x:f>
        <x:v>26.8</x:v>
      </x:c>
      <x:c r="O3087" s="9" t="n">
        <x:f>M3087-N3087</x:f>
        <x:v>509.2</x:v>
      </x:c>
      <x:c r="P3087" s="9" t="n">
        <x:f>IF(D3087="Completed",L3087*J3087*(1-K3087),0)</x:f>
        <x:v>0</x:v>
      </x:c>
      <x:c r="Q3087" s="9" t="n">
        <x:f>O3087-P3087</x:f>
        <x:v>509.2</x:v>
      </x:c>
      <x:c r="R3087" s="11" t="n">
        <x:f>IF(D3087="Completed",I3087,0)</x:f>
        <x:v>4</x:v>
      </x:c>
      <x:c r="S3087" s="11" t="n">
        <x:f>IF(D3087="Completed",L3087,0)</x:f>
        <x:v>0</x:v>
      </x:c>
      <x:c r="T3087" s="8" t="n">
        <x:f>DATE(YEAR(C3087),MONTH(C3087),1)</x:f>
        <x:v>45839</x:v>
      </x:c>
    </x:row>
    <x:row r="3088" ht="22" customHeight="1">
      <x:c r="A3088" s="2" t="str">
        <x:v>L003084</x:v>
      </x:c>
      <x:c r="B3088" s="2" t="str">
        <x:v>O01256</x:v>
      </x:c>
      <x:c r="C3088" s="7" t="n">
        <x:v>45901</x:v>
      </x:c>
      <x:c r="D3088" s="2" t="str">
        <x:v>Completed</x:v>
      </x:c>
      <x:c r="E3088" s="2" t="str">
        <x:v>North</x:v>
      </x:c>
      <x:c r="F3088" s="2" t="str">
        <x:v>Online</x:v>
      </x:c>
      <x:c r="G3088" s="2" t="str">
        <x:v>Furniture</x:v>
      </x:c>
      <x:c r="H3088" s="2" t="str">
        <x:v>Desk 016</x:v>
      </x:c>
      <x:c r="I3088" s="11" t="n">
        <x:v>4</x:v>
      </x:c>
      <x:c r="J3088" s="9" t="n">
        <x:v>231</x:v>
      </x:c>
      <x:c r="K3088" s="10" t="n">
        <x:v>0.05</x:v>
      </x:c>
      <x:c r="L3088" s="11" t="n">
        <x:v>0</x:v>
      </x:c>
      <x:c r="M3088" s="9" t="n">
        <x:f>IF(D3088="Completed",I3088*J3088,0)</x:f>
        <x:v>924</x:v>
      </x:c>
      <x:c r="N3088" s="9" t="n">
        <x:f>M3088*K3088</x:f>
        <x:v>46.2</x:v>
      </x:c>
      <x:c r="O3088" s="9" t="n">
        <x:f>M3088-N3088</x:f>
        <x:v>877.8</x:v>
      </x:c>
      <x:c r="P3088" s="9" t="n">
        <x:f>IF(D3088="Completed",L3088*J3088*(1-K3088),0)</x:f>
        <x:v>0</x:v>
      </x:c>
      <x:c r="Q3088" s="9" t="n">
        <x:f>O3088-P3088</x:f>
        <x:v>877.8</x:v>
      </x:c>
      <x:c r="R3088" s="11" t="n">
        <x:f>IF(D3088="Completed",I3088,0)</x:f>
        <x:v>4</x:v>
      </x:c>
      <x:c r="S3088" s="11" t="n">
        <x:f>IF(D3088="Completed",L3088,0)</x:f>
        <x:v>0</x:v>
      </x:c>
      <x:c r="T3088" s="8" t="n">
        <x:f>DATE(YEAR(C3088),MONTH(C3088),1)</x:f>
        <x:v>45901</x:v>
      </x:c>
    </x:row>
    <x:row r="3089" ht="22" customHeight="1">
      <x:c r="A3089" s="2" t="str">
        <x:v>L003085</x:v>
      </x:c>
      <x:c r="B3089" s="2" t="str">
        <x:v>O01256</x:v>
      </x:c>
      <x:c r="C3089" s="7" t="n">
        <x:v>45901</x:v>
      </x:c>
      <x:c r="D3089" s="2" t="str">
        <x:v>Completed</x:v>
      </x:c>
      <x:c r="E3089" s="2" t="str">
        <x:v>North</x:v>
      </x:c>
      <x:c r="F3089" s="2" t="str">
        <x:v>Online</x:v>
      </x:c>
      <x:c r="G3089" s="2" t="str">
        <x:v>Lighting</x:v>
      </x:c>
      <x:c r="H3089" s="2" t="str">
        <x:v>Lamp 017</x:v>
      </x:c>
      <x:c r="I3089" s="11" t="n">
        <x:v>2</x:v>
      </x:c>
      <x:c r="J3089" s="9" t="n">
        <x:v>300</x:v>
      </x:c>
      <x:c r="K3089" s="10" t="n">
        <x:v>0.1</x:v>
      </x:c>
      <x:c r="L3089" s="11" t="n">
        <x:v>0</x:v>
      </x:c>
      <x:c r="M3089" s="9" t="n">
        <x:f>IF(D3089="Completed",I3089*J3089,0)</x:f>
        <x:v>600</x:v>
      </x:c>
      <x:c r="N3089" s="9" t="n">
        <x:f>M3089*K3089</x:f>
        <x:v>60</x:v>
      </x:c>
      <x:c r="O3089" s="9" t="n">
        <x:f>M3089-N3089</x:f>
        <x:v>540</x:v>
      </x:c>
      <x:c r="P3089" s="9" t="n">
        <x:f>IF(D3089="Completed",L3089*J3089*(1-K3089),0)</x:f>
        <x:v>0</x:v>
      </x:c>
      <x:c r="Q3089" s="9" t="n">
        <x:f>O3089-P3089</x:f>
        <x:v>540</x:v>
      </x:c>
      <x:c r="R3089" s="11" t="n">
        <x:f>IF(D3089="Completed",I3089,0)</x:f>
        <x:v>2</x:v>
      </x:c>
      <x:c r="S3089" s="11" t="n">
        <x:f>IF(D3089="Completed",L3089,0)</x:f>
        <x:v>0</x:v>
      </x:c>
      <x:c r="T3089" s="8" t="n">
        <x:f>DATE(YEAR(C3089),MONTH(C3089),1)</x:f>
        <x:v>45901</x:v>
      </x:c>
    </x:row>
    <x:row r="3090" ht="22" customHeight="1">
      <x:c r="A3090" s="2" t="str">
        <x:v>L003086</x:v>
      </x:c>
      <x:c r="B3090" s="2" t="str">
        <x:v>O01256</x:v>
      </x:c>
      <x:c r="C3090" s="7" t="n">
        <x:v>45901</x:v>
      </x:c>
      <x:c r="D3090" s="2" t="str">
        <x:v>Completed</x:v>
      </x:c>
      <x:c r="E3090" s="2" t="str">
        <x:v>North</x:v>
      </x:c>
      <x:c r="F3090" s="2" t="str">
        <x:v>Online</x:v>
      </x:c>
      <x:c r="G3090" s="2" t="str">
        <x:v>Lighting</x:v>
      </x:c>
      <x:c r="H3090" s="2" t="str">
        <x:v>Lamp 005</x:v>
      </x:c>
      <x:c r="I3090" s="11" t="n">
        <x:v>2</x:v>
      </x:c>
      <x:c r="J3090" s="9" t="n">
        <x:v>65</x:v>
      </x:c>
      <x:c r="K3090" s="10" t="n">
        <x:v>0.2</x:v>
      </x:c>
      <x:c r="L3090" s="11" t="n">
        <x:v>0</x:v>
      </x:c>
      <x:c r="M3090" s="9" t="n">
        <x:f>IF(D3090="Completed",I3090*J3090,0)</x:f>
        <x:v>130</x:v>
      </x:c>
      <x:c r="N3090" s="9" t="n">
        <x:f>M3090*K3090</x:f>
        <x:v>26</x:v>
      </x:c>
      <x:c r="O3090" s="9" t="n">
        <x:f>M3090-N3090</x:f>
        <x:v>104</x:v>
      </x:c>
      <x:c r="P3090" s="9" t="n">
        <x:f>IF(D3090="Completed",L3090*J3090*(1-K3090),0)</x:f>
        <x:v>0</x:v>
      </x:c>
      <x:c r="Q3090" s="9" t="n">
        <x:f>O3090-P3090</x:f>
        <x:v>104</x:v>
      </x:c>
      <x:c r="R3090" s="11" t="n">
        <x:f>IF(D3090="Completed",I3090,0)</x:f>
        <x:v>2</x:v>
      </x:c>
      <x:c r="S3090" s="11" t="n">
        <x:f>IF(D3090="Completed",L3090,0)</x:f>
        <x:v>0</x:v>
      </x:c>
      <x:c r="T3090" s="8" t="n">
        <x:f>DATE(YEAR(C3090),MONTH(C3090),1)</x:f>
        <x:v>45901</x:v>
      </x:c>
    </x:row>
    <x:row r="3091" ht="22" customHeight="1">
      <x:c r="A3091" s="2" t="str">
        <x:v>L003087</x:v>
      </x:c>
      <x:c r="B3091" s="2" t="str">
        <x:v>O01256</x:v>
      </x:c>
      <x:c r="C3091" s="7" t="n">
        <x:v>45901</x:v>
      </x:c>
      <x:c r="D3091" s="2" t="str">
        <x:v>Completed</x:v>
      </x:c>
      <x:c r="E3091" s="2" t="str">
        <x:v>North</x:v>
      </x:c>
      <x:c r="F3091" s="2" t="str">
        <x:v>Online</x:v>
      </x:c>
      <x:c r="G3091" s="2" t="str">
        <x:v>Furniture</x:v>
      </x:c>
      <x:c r="H3091" s="2" t="str">
        <x:v>Chair 018</x:v>
      </x:c>
      <x:c r="I3091" s="11" t="n">
        <x:v>5</x:v>
      </x:c>
      <x:c r="J3091" s="9" t="n">
        <x:v>269</x:v>
      </x:c>
      <x:c r="K3091" s="10" t="n">
        <x:v>0.1</x:v>
      </x:c>
      <x:c r="L3091" s="11" t="n">
        <x:v>0</x:v>
      </x:c>
      <x:c r="M3091" s="9" t="n">
        <x:f>IF(D3091="Completed",I3091*J3091,0)</x:f>
        <x:v>1345</x:v>
      </x:c>
      <x:c r="N3091" s="9" t="n">
        <x:f>M3091*K3091</x:f>
        <x:v>134.5</x:v>
      </x:c>
      <x:c r="O3091" s="9" t="n">
        <x:f>M3091-N3091</x:f>
        <x:v>1210.5</x:v>
      </x:c>
      <x:c r="P3091" s="9" t="n">
        <x:f>IF(D3091="Completed",L3091*J3091*(1-K3091),0)</x:f>
        <x:v>0</x:v>
      </x:c>
      <x:c r="Q3091" s="9" t="n">
        <x:f>O3091-P3091</x:f>
        <x:v>1210.5</x:v>
      </x:c>
      <x:c r="R3091" s="11" t="n">
        <x:f>IF(D3091="Completed",I3091,0)</x:f>
        <x:v>5</x:v>
      </x:c>
      <x:c r="S3091" s="11" t="n">
        <x:f>IF(D3091="Completed",L3091,0)</x:f>
        <x:v>0</x:v>
      </x:c>
      <x:c r="T3091" s="8" t="n">
        <x:f>DATE(YEAR(C3091),MONTH(C3091),1)</x:f>
        <x:v>45901</x:v>
      </x:c>
    </x:row>
    <x:row r="3092" ht="22" customHeight="1">
      <x:c r="A3092" s="2" t="str">
        <x:v>L003088</x:v>
      </x:c>
      <x:c r="B3092" s="2" t="str">
        <x:v>O01257</x:v>
      </x:c>
      <x:c r="C3092" s="7" t="n">
        <x:v>46011</x:v>
      </x:c>
      <x:c r="D3092" s="2" t="str">
        <x:v>Completed</x:v>
      </x:c>
      <x:c r="E3092" s="2" t="str">
        <x:v>West</x:v>
      </x:c>
      <x:c r="F3092" s="2" t="str">
        <x:v>Online</x:v>
      </x:c>
      <x:c r="G3092" s="2" t="str">
        <x:v>Storage</x:v>
      </x:c>
      <x:c r="H3092" s="2" t="str">
        <x:v>Shelf 023</x:v>
      </x:c>
      <x:c r="I3092" s="11" t="n">
        <x:v>3</x:v>
      </x:c>
      <x:c r="J3092" s="9" t="n">
        <x:v>68</x:v>
      </x:c>
      <x:c r="K3092" s="10" t="n">
        <x:v>0</x:v>
      </x:c>
      <x:c r="L3092" s="11" t="n">
        <x:v>0</x:v>
      </x:c>
      <x:c r="M3092" s="9" t="n">
        <x:f>IF(D3092="Completed",I3092*J3092,0)</x:f>
        <x:v>204</x:v>
      </x:c>
      <x:c r="N3092" s="9" t="n">
        <x:f>M3092*K3092</x:f>
        <x:v>0</x:v>
      </x:c>
      <x:c r="O3092" s="9" t="n">
        <x:f>M3092-N3092</x:f>
        <x:v>204</x:v>
      </x:c>
      <x:c r="P3092" s="9" t="n">
        <x:f>IF(D3092="Completed",L3092*J3092*(1-K3092),0)</x:f>
        <x:v>0</x:v>
      </x:c>
      <x:c r="Q3092" s="9" t="n">
        <x:f>O3092-P3092</x:f>
        <x:v>204</x:v>
      </x:c>
      <x:c r="R3092" s="11" t="n">
        <x:f>IF(D3092="Completed",I3092,0)</x:f>
        <x:v>3</x:v>
      </x:c>
      <x:c r="S3092" s="11" t="n">
        <x:f>IF(D3092="Completed",L3092,0)</x:f>
        <x:v>0</x:v>
      </x:c>
      <x:c r="T3092" s="8" t="n">
        <x:f>DATE(YEAR(C3092),MONTH(C3092),1)</x:f>
        <x:v>45992</x:v>
      </x:c>
    </x:row>
    <x:row r="3093" ht="22" customHeight="1">
      <x:c r="A3093" s="2" t="str">
        <x:v>L003089</x:v>
      </x:c>
      <x:c r="B3093" s="2" t="str">
        <x:v>O01257</x:v>
      </x:c>
      <x:c r="C3093" s="7" t="n">
        <x:v>46011</x:v>
      </x:c>
      <x:c r="D3093" s="2" t="str">
        <x:v>Completed</x:v>
      </x:c>
      <x:c r="E3093" s="2" t="str">
        <x:v>West</x:v>
      </x:c>
      <x:c r="F3093" s="2" t="str">
        <x:v>Online</x:v>
      </x:c>
      <x:c r="G3093" s="2" t="str">
        <x:v>Furniture</x:v>
      </x:c>
      <x:c r="H3093" s="2" t="str">
        <x:v>Chair 006</x:v>
      </x:c>
      <x:c r="I3093" s="11" t="n">
        <x:v>4</x:v>
      </x:c>
      <x:c r="J3093" s="9" t="n">
        <x:v>196</x:v>
      </x:c>
      <x:c r="K3093" s="10" t="n">
        <x:v>0.2</x:v>
      </x:c>
      <x:c r="L3093" s="11" t="n">
        <x:v>0</x:v>
      </x:c>
      <x:c r="M3093" s="9" t="n">
        <x:f>IF(D3093="Completed",I3093*J3093,0)</x:f>
        <x:v>784</x:v>
      </x:c>
      <x:c r="N3093" s="9" t="n">
        <x:f>M3093*K3093</x:f>
        <x:v>156.8</x:v>
      </x:c>
      <x:c r="O3093" s="9" t="n">
        <x:f>M3093-N3093</x:f>
        <x:v>627.2</x:v>
      </x:c>
      <x:c r="P3093" s="9" t="n">
        <x:f>IF(D3093="Completed",L3093*J3093*(1-K3093),0)</x:f>
        <x:v>0</x:v>
      </x:c>
      <x:c r="Q3093" s="9" t="n">
        <x:f>O3093-P3093</x:f>
        <x:v>627.2</x:v>
      </x:c>
      <x:c r="R3093" s="11" t="n">
        <x:f>IF(D3093="Completed",I3093,0)</x:f>
        <x:v>4</x:v>
      </x:c>
      <x:c r="S3093" s="11" t="n">
        <x:f>IF(D3093="Completed",L3093,0)</x:f>
        <x:v>0</x:v>
      </x:c>
      <x:c r="T3093" s="8" t="n">
        <x:f>DATE(YEAR(C3093),MONTH(C3093),1)</x:f>
        <x:v>45992</x:v>
      </x:c>
    </x:row>
    <x:row r="3094" ht="22" customHeight="1">
      <x:c r="A3094" s="2" t="str">
        <x:v>L003090</x:v>
      </x:c>
      <x:c r="B3094" s="2" t="str">
        <x:v>O01257</x:v>
      </x:c>
      <x:c r="C3094" s="7" t="n">
        <x:v>46011</x:v>
      </x:c>
      <x:c r="D3094" s="2" t="str">
        <x:v>Completed</x:v>
      </x:c>
      <x:c r="E3094" s="2" t="str">
        <x:v>West</x:v>
      </x:c>
      <x:c r="F3094" s="2" t="str">
        <x:v>Online</x:v>
      </x:c>
      <x:c r="G3094" s="2" t="str">
        <x:v>Furniture</x:v>
      </x:c>
      <x:c r="H3094" s="2" t="str">
        <x:v>Desk 008</x:v>
      </x:c>
      <x:c r="I3094" s="11" t="n">
        <x:v>1</x:v>
      </x:c>
      <x:c r="J3094" s="9" t="n">
        <x:v>188</x:v>
      </x:c>
      <x:c r="K3094" s="10" t="n">
        <x:v>0.2</x:v>
      </x:c>
      <x:c r="L3094" s="11" t="n">
        <x:v>0</x:v>
      </x:c>
      <x:c r="M3094" s="9" t="n">
        <x:f>IF(D3094="Completed",I3094*J3094,0)</x:f>
        <x:v>188</x:v>
      </x:c>
      <x:c r="N3094" s="9" t="n">
        <x:f>M3094*K3094</x:f>
        <x:v>37.6</x:v>
      </x:c>
      <x:c r="O3094" s="9" t="n">
        <x:f>M3094-N3094</x:f>
        <x:v>150.4</x:v>
      </x:c>
      <x:c r="P3094" s="9" t="n">
        <x:f>IF(D3094="Completed",L3094*J3094*(1-K3094),0)</x:f>
        <x:v>0</x:v>
      </x:c>
      <x:c r="Q3094" s="9" t="n">
        <x:f>O3094-P3094</x:f>
        <x:v>150.4</x:v>
      </x:c>
      <x:c r="R3094" s="11" t="n">
        <x:f>IF(D3094="Completed",I3094,0)</x:f>
        <x:v>1</x:v>
      </x:c>
      <x:c r="S3094" s="11" t="n">
        <x:f>IF(D3094="Completed",L3094,0)</x:f>
        <x:v>0</x:v>
      </x:c>
      <x:c r="T3094" s="8" t="n">
        <x:f>DATE(YEAR(C3094),MONTH(C3094),1)</x:f>
        <x:v>45992</x:v>
      </x:c>
    </x:row>
    <x:row r="3095" ht="22" customHeight="1">
      <x:c r="A3095" s="2" t="str">
        <x:v>L003091</x:v>
      </x:c>
      <x:c r="B3095" s="2" t="str">
        <x:v>O01257</x:v>
      </x:c>
      <x:c r="C3095" s="7" t="n">
        <x:v>46011</x:v>
      </x:c>
      <x:c r="D3095" s="2" t="str">
        <x:v>Completed</x:v>
      </x:c>
      <x:c r="E3095" s="2" t="str">
        <x:v>West</x:v>
      </x:c>
      <x:c r="F3095" s="2" t="str">
        <x:v>Online</x:v>
      </x:c>
      <x:c r="G3095" s="2" t="str">
        <x:v>Lighting</x:v>
      </x:c>
      <x:c r="H3095" s="2" t="str">
        <x:v>Lamp 013</x:v>
      </x:c>
      <x:c r="I3095" s="11" t="n">
        <x:v>5</x:v>
      </x:c>
      <x:c r="J3095" s="9" t="n">
        <x:v>271</x:v>
      </x:c>
      <x:c r="K3095" s="10" t="n">
        <x:v>0.05</x:v>
      </x:c>
      <x:c r="L3095" s="11" t="n">
        <x:v>0</x:v>
      </x:c>
      <x:c r="M3095" s="9" t="n">
        <x:f>IF(D3095="Completed",I3095*J3095,0)</x:f>
        <x:v>1355</x:v>
      </x:c>
      <x:c r="N3095" s="9" t="n">
        <x:f>M3095*K3095</x:f>
        <x:v>67.75</x:v>
      </x:c>
      <x:c r="O3095" s="9" t="n">
        <x:f>M3095-N3095</x:f>
        <x:v>1287.25</x:v>
      </x:c>
      <x:c r="P3095" s="9" t="n">
        <x:f>IF(D3095="Completed",L3095*J3095*(1-K3095),0)</x:f>
        <x:v>0</x:v>
      </x:c>
      <x:c r="Q3095" s="9" t="n">
        <x:f>O3095-P3095</x:f>
        <x:v>1287.25</x:v>
      </x:c>
      <x:c r="R3095" s="11" t="n">
        <x:f>IF(D3095="Completed",I3095,0)</x:f>
        <x:v>5</x:v>
      </x:c>
      <x:c r="S3095" s="11" t="n">
        <x:f>IF(D3095="Completed",L3095,0)</x:f>
        <x:v>0</x:v>
      </x:c>
      <x:c r="T3095" s="8" t="n">
        <x:f>DATE(YEAR(C3095),MONTH(C3095),1)</x:f>
        <x:v>45992</x:v>
      </x:c>
    </x:row>
    <x:row r="3096" ht="22" customHeight="1">
      <x:c r="A3096" s="2" t="str">
        <x:v>L003092</x:v>
      </x:c>
      <x:c r="B3096" s="2" t="str">
        <x:v>O01258</x:v>
      </x:c>
      <x:c r="C3096" s="7" t="n">
        <x:v>45814</x:v>
      </x:c>
      <x:c r="D3096" s="2" t="str">
        <x:v>Completed</x:v>
      </x:c>
      <x:c r="E3096" s="2" t="str">
        <x:v>West</x:v>
      </x:c>
      <x:c r="F3096" s="2" t="str">
        <x:v>Online</x:v>
      </x:c>
      <x:c r="G3096" s="2" t="str">
        <x:v>Lighting</x:v>
      </x:c>
      <x:c r="H3096" s="2" t="str">
        <x:v>Lamp 009</x:v>
      </x:c>
      <x:c r="I3096" s="11" t="n">
        <x:v>3</x:v>
      </x:c>
      <x:c r="J3096" s="9" t="n">
        <x:v>93</x:v>
      </x:c>
      <x:c r="K3096" s="10" t="n">
        <x:v>0</x:v>
      </x:c>
      <x:c r="L3096" s="11" t="n">
        <x:v>0</x:v>
      </x:c>
      <x:c r="M3096" s="9" t="n">
        <x:f>IF(D3096="Completed",I3096*J3096,0)</x:f>
        <x:v>279</x:v>
      </x:c>
      <x:c r="N3096" s="9" t="n">
        <x:f>M3096*K3096</x:f>
        <x:v>0</x:v>
      </x:c>
      <x:c r="O3096" s="9" t="n">
        <x:f>M3096-N3096</x:f>
        <x:v>279</x:v>
      </x:c>
      <x:c r="P3096" s="9" t="n">
        <x:f>IF(D3096="Completed",L3096*J3096*(1-K3096),0)</x:f>
        <x:v>0</x:v>
      </x:c>
      <x:c r="Q3096" s="9" t="n">
        <x:f>O3096-P3096</x:f>
        <x:v>279</x:v>
      </x:c>
      <x:c r="R3096" s="11" t="n">
        <x:f>IF(D3096="Completed",I3096,0)</x:f>
        <x:v>3</x:v>
      </x:c>
      <x:c r="S3096" s="11" t="n">
        <x:f>IF(D3096="Completed",L3096,0)</x:f>
        <x:v>0</x:v>
      </x:c>
      <x:c r="T3096" s="8" t="n">
        <x:f>DATE(YEAR(C3096),MONTH(C3096),1)</x:f>
        <x:v>45809</x:v>
      </x:c>
    </x:row>
    <x:row r="3097" ht="22" customHeight="1">
      <x:c r="A3097" s="2" t="str">
        <x:v>L003093</x:v>
      </x:c>
      <x:c r="B3097" s="2" t="str">
        <x:v>O01258</x:v>
      </x:c>
      <x:c r="C3097" s="7" t="n">
        <x:v>45814</x:v>
      </x:c>
      <x:c r="D3097" s="2" t="str">
        <x:v>Completed</x:v>
      </x:c>
      <x:c r="E3097" s="2" t="str">
        <x:v>West</x:v>
      </x:c>
      <x:c r="F3097" s="2" t="str">
        <x:v>Online</x:v>
      </x:c>
      <x:c r="G3097" s="2" t="str">
        <x:v>Storage</x:v>
      </x:c>
      <x:c r="H3097" s="2" t="str">
        <x:v>Shelf 011</x:v>
      </x:c>
      <x:c r="I3097" s="11" t="n">
        <x:v>3</x:v>
      </x:c>
      <x:c r="J3097" s="9" t="n">
        <x:v>80</x:v>
      </x:c>
      <x:c r="K3097" s="10" t="n">
        <x:v>0.05</x:v>
      </x:c>
      <x:c r="L3097" s="11" t="n">
        <x:v>0</x:v>
      </x:c>
      <x:c r="M3097" s="9" t="n">
        <x:f>IF(D3097="Completed",I3097*J3097,0)</x:f>
        <x:v>240</x:v>
      </x:c>
      <x:c r="N3097" s="9" t="n">
        <x:f>M3097*K3097</x:f>
        <x:v>12</x:v>
      </x:c>
      <x:c r="O3097" s="9" t="n">
        <x:f>M3097-N3097</x:f>
        <x:v>228</x:v>
      </x:c>
      <x:c r="P3097" s="9" t="n">
        <x:f>IF(D3097="Completed",L3097*J3097*(1-K3097),0)</x:f>
        <x:v>0</x:v>
      </x:c>
      <x:c r="Q3097" s="9" t="n">
        <x:f>O3097-P3097</x:f>
        <x:v>228</x:v>
      </x:c>
      <x:c r="R3097" s="11" t="n">
        <x:f>IF(D3097="Completed",I3097,0)</x:f>
        <x:v>3</x:v>
      </x:c>
      <x:c r="S3097" s="11" t="n">
        <x:f>IF(D3097="Completed",L3097,0)</x:f>
        <x:v>0</x:v>
      </x:c>
      <x:c r="T3097" s="8" t="n">
        <x:f>DATE(YEAR(C3097),MONTH(C3097),1)</x:f>
        <x:v>45809</x:v>
      </x:c>
    </x:row>
    <x:row r="3098" ht="22" customHeight="1">
      <x:c r="A3098" s="2" t="str">
        <x:v>L003094</x:v>
      </x:c>
      <x:c r="B3098" s="2" t="str">
        <x:v>O01258</x:v>
      </x:c>
      <x:c r="C3098" s="7" t="n">
        <x:v>45814</x:v>
      </x:c>
      <x:c r="D3098" s="2" t="str">
        <x:v>Completed</x:v>
      </x:c>
      <x:c r="E3098" s="2" t="str">
        <x:v>West</x:v>
      </x:c>
      <x:c r="F3098" s="2" t="str">
        <x:v>Online</x:v>
      </x:c>
      <x:c r="G3098" s="2" t="str">
        <x:v>Furniture</x:v>
      </x:c>
      <x:c r="H3098" s="2" t="str">
        <x:v>Chair 010</x:v>
      </x:c>
      <x:c r="I3098" s="11" t="n">
        <x:v>4</x:v>
      </x:c>
      <x:c r="J3098" s="9" t="n">
        <x:v>211</x:v>
      </x:c>
      <x:c r="K3098" s="10" t="n">
        <x:v>0.05</x:v>
      </x:c>
      <x:c r="L3098" s="11" t="n">
        <x:v>0</x:v>
      </x:c>
      <x:c r="M3098" s="9" t="n">
        <x:f>IF(D3098="Completed",I3098*J3098,0)</x:f>
        <x:v>844</x:v>
      </x:c>
      <x:c r="N3098" s="9" t="n">
        <x:f>M3098*K3098</x:f>
        <x:v>42.2</x:v>
      </x:c>
      <x:c r="O3098" s="9" t="n">
        <x:f>M3098-N3098</x:f>
        <x:v>801.8</x:v>
      </x:c>
      <x:c r="P3098" s="9" t="n">
        <x:f>IF(D3098="Completed",L3098*J3098*(1-K3098),0)</x:f>
        <x:v>0</x:v>
      </x:c>
      <x:c r="Q3098" s="9" t="n">
        <x:f>O3098-P3098</x:f>
        <x:v>801.8</x:v>
      </x:c>
      <x:c r="R3098" s="11" t="n">
        <x:f>IF(D3098="Completed",I3098,0)</x:f>
        <x:v>4</x:v>
      </x:c>
      <x:c r="S3098" s="11" t="n">
        <x:f>IF(D3098="Completed",L3098,0)</x:f>
        <x:v>0</x:v>
      </x:c>
      <x:c r="T3098" s="8" t="n">
        <x:f>DATE(YEAR(C3098),MONTH(C3098),1)</x:f>
        <x:v>45809</x:v>
      </x:c>
    </x:row>
    <x:row r="3099" ht="22" customHeight="1">
      <x:c r="A3099" s="2" t="str">
        <x:v>L003095</x:v>
      </x:c>
      <x:c r="B3099" s="2" t="str">
        <x:v>O01259</x:v>
      </x:c>
      <x:c r="C3099" s="7" t="n">
        <x:v>46001</x:v>
      </x:c>
      <x:c r="D3099" s="2" t="str">
        <x:v>Completed</x:v>
      </x:c>
      <x:c r="E3099" s="2" t="str">
        <x:v>West</x:v>
      </x:c>
      <x:c r="F3099" s="2" t="str">
        <x:v>Online</x:v>
      </x:c>
      <x:c r="G3099" s="2" t="str">
        <x:v>Lighting</x:v>
      </x:c>
      <x:c r="H3099" s="2" t="str">
        <x:v>Lamp 013</x:v>
      </x:c>
      <x:c r="I3099" s="11" t="n">
        <x:v>1</x:v>
      </x:c>
      <x:c r="J3099" s="9" t="n">
        <x:v>271</x:v>
      </x:c>
      <x:c r="K3099" s="10" t="n">
        <x:v>0.1</x:v>
      </x:c>
      <x:c r="L3099" s="11" t="n">
        <x:v>0</x:v>
      </x:c>
      <x:c r="M3099" s="9" t="n">
        <x:f>IF(D3099="Completed",I3099*J3099,0)</x:f>
        <x:v>271</x:v>
      </x:c>
      <x:c r="N3099" s="9" t="n">
        <x:f>M3099*K3099</x:f>
        <x:v>27.1</x:v>
      </x:c>
      <x:c r="O3099" s="9" t="n">
        <x:f>M3099-N3099</x:f>
        <x:v>243.9</x:v>
      </x:c>
      <x:c r="P3099" s="9" t="n">
        <x:f>IF(D3099="Completed",L3099*J3099*(1-K3099),0)</x:f>
        <x:v>0</x:v>
      </x:c>
      <x:c r="Q3099" s="9" t="n">
        <x:f>O3099-P3099</x:f>
        <x:v>243.9</x:v>
      </x:c>
      <x:c r="R3099" s="11" t="n">
        <x:f>IF(D3099="Completed",I3099,0)</x:f>
        <x:v>1</x:v>
      </x:c>
      <x:c r="S3099" s="11" t="n">
        <x:f>IF(D3099="Completed",L3099,0)</x:f>
        <x:v>0</x:v>
      </x:c>
      <x:c r="T3099" s="8" t="n">
        <x:f>DATE(YEAR(C3099),MONTH(C3099),1)</x:f>
        <x:v>45992</x:v>
      </x:c>
    </x:row>
    <x:row r="3100" ht="22" customHeight="1">
      <x:c r="A3100" s="2" t="str">
        <x:v>L003096</x:v>
      </x:c>
      <x:c r="B3100" s="2" t="str">
        <x:v>O01259</x:v>
      </x:c>
      <x:c r="C3100" s="7" t="n">
        <x:v>46001</x:v>
      </x:c>
      <x:c r="D3100" s="2" t="str">
        <x:v>Completed</x:v>
      </x:c>
      <x:c r="E3100" s="2" t="str">
        <x:v>West</x:v>
      </x:c>
      <x:c r="F3100" s="2" t="str">
        <x:v>Online</x:v>
      </x:c>
      <x:c r="G3100" s="2" t="str">
        <x:v>Lighting</x:v>
      </x:c>
      <x:c r="H3100" s="2" t="str">
        <x:v>Lamp 021</x:v>
      </x:c>
      <x:c r="I3100" s="11" t="n">
        <x:v>1</x:v>
      </x:c>
      <x:c r="J3100" s="9" t="n">
        <x:v>249</x:v>
      </x:c>
      <x:c r="K3100" s="10" t="n">
        <x:v>0.2</x:v>
      </x:c>
      <x:c r="L3100" s="11" t="n">
        <x:v>0</x:v>
      </x:c>
      <x:c r="M3100" s="9" t="n">
        <x:f>IF(D3100="Completed",I3100*J3100,0)</x:f>
        <x:v>249</x:v>
      </x:c>
      <x:c r="N3100" s="9" t="n">
        <x:f>M3100*K3100</x:f>
        <x:v>49.800000000000004</x:v>
      </x:c>
      <x:c r="O3100" s="9" t="n">
        <x:f>M3100-N3100</x:f>
        <x:v>199.2</x:v>
      </x:c>
      <x:c r="P3100" s="9" t="n">
        <x:f>IF(D3100="Completed",L3100*J3100*(1-K3100),0)</x:f>
        <x:v>0</x:v>
      </x:c>
      <x:c r="Q3100" s="9" t="n">
        <x:f>O3100-P3100</x:f>
        <x:v>199.2</x:v>
      </x:c>
      <x:c r="R3100" s="11" t="n">
        <x:f>IF(D3100="Completed",I3100,0)</x:f>
        <x:v>1</x:v>
      </x:c>
      <x:c r="S3100" s="11" t="n">
        <x:f>IF(D3100="Completed",L3100,0)</x:f>
        <x:v>0</x:v>
      </x:c>
      <x:c r="T3100" s="8" t="n">
        <x:f>DATE(YEAR(C3100),MONTH(C3100),1)</x:f>
        <x:v>45992</x:v>
      </x:c>
    </x:row>
    <x:row r="3101" ht="22" customHeight="1">
      <x:c r="A3101" s="2" t="str">
        <x:v>L003097</x:v>
      </x:c>
      <x:c r="B3101" s="2" t="str">
        <x:v>O01259</x:v>
      </x:c>
      <x:c r="C3101" s="7" t="n">
        <x:v>46001</x:v>
      </x:c>
      <x:c r="D3101" s="2" t="str">
        <x:v>Completed</x:v>
      </x:c>
      <x:c r="E3101" s="2" t="str">
        <x:v>West</x:v>
      </x:c>
      <x:c r="F3101" s="2" t="str">
        <x:v>Online</x:v>
      </x:c>
      <x:c r="G3101" s="2" t="str">
        <x:v>Lighting</x:v>
      </x:c>
      <x:c r="H3101" s="2" t="str">
        <x:v>Lamp 021</x:v>
      </x:c>
      <x:c r="I3101" s="11" t="n">
        <x:v>1</x:v>
      </x:c>
      <x:c r="J3101" s="9" t="n">
        <x:v>249</x:v>
      </x:c>
      <x:c r="K3101" s="10" t="n">
        <x:v>0.05</x:v>
      </x:c>
      <x:c r="L3101" s="11" t="n">
        <x:v>0</x:v>
      </x:c>
      <x:c r="M3101" s="9" t="n">
        <x:f>IF(D3101="Completed",I3101*J3101,0)</x:f>
        <x:v>249</x:v>
      </x:c>
      <x:c r="N3101" s="9" t="n">
        <x:f>M3101*K3101</x:f>
        <x:v>12.450000000000001</x:v>
      </x:c>
      <x:c r="O3101" s="9" t="n">
        <x:f>M3101-N3101</x:f>
        <x:v>236.55</x:v>
      </x:c>
      <x:c r="P3101" s="9" t="n">
        <x:f>IF(D3101="Completed",L3101*J3101*(1-K3101),0)</x:f>
        <x:v>0</x:v>
      </x:c>
      <x:c r="Q3101" s="9" t="n">
        <x:f>O3101-P3101</x:f>
        <x:v>236.55</x:v>
      </x:c>
      <x:c r="R3101" s="11" t="n">
        <x:f>IF(D3101="Completed",I3101,0)</x:f>
        <x:v>1</x:v>
      </x:c>
      <x:c r="S3101" s="11" t="n">
        <x:f>IF(D3101="Completed",L3101,0)</x:f>
        <x:v>0</x:v>
      </x:c>
      <x:c r="T3101" s="8" t="n">
        <x:f>DATE(YEAR(C3101),MONTH(C3101),1)</x:f>
        <x:v>45992</x:v>
      </x:c>
    </x:row>
    <x:row r="3102" ht="22" customHeight="1">
      <x:c r="A3102" s="2" t="str">
        <x:v>L003098</x:v>
      </x:c>
      <x:c r="B3102" s="2" t="str">
        <x:v>O01260</x:v>
      </x:c>
      <x:c r="C3102" s="7" t="n">
        <x:v>45688</x:v>
      </x:c>
      <x:c r="D3102" s="2" t="str">
        <x:v>Completed</x:v>
      </x:c>
      <x:c r="E3102" s="2" t="str">
        <x:v>North</x:v>
      </x:c>
      <x:c r="F3102" s="2" t="str">
        <x:v>Online</x:v>
      </x:c>
      <x:c r="G3102" s="2" t="str">
        <x:v>Lighting</x:v>
      </x:c>
      <x:c r="H3102" s="2" t="str">
        <x:v>Lamp 013</x:v>
      </x:c>
      <x:c r="I3102" s="11" t="n">
        <x:v>4</x:v>
      </x:c>
      <x:c r="J3102" s="9" t="n">
        <x:v>271</x:v>
      </x:c>
      <x:c r="K3102" s="10" t="n">
        <x:v>0.1</x:v>
      </x:c>
      <x:c r="L3102" s="11" t="n">
        <x:v>0</x:v>
      </x:c>
      <x:c r="M3102" s="9" t="n">
        <x:f>IF(D3102="Completed",I3102*J3102,0)</x:f>
        <x:v>1084</x:v>
      </x:c>
      <x:c r="N3102" s="9" t="n">
        <x:f>M3102*K3102</x:f>
        <x:v>108.4</x:v>
      </x:c>
      <x:c r="O3102" s="9" t="n">
        <x:f>M3102-N3102</x:f>
        <x:v>975.6</x:v>
      </x:c>
      <x:c r="P3102" s="9" t="n">
        <x:f>IF(D3102="Completed",L3102*J3102*(1-K3102),0)</x:f>
        <x:v>0</x:v>
      </x:c>
      <x:c r="Q3102" s="9" t="n">
        <x:f>O3102-P3102</x:f>
        <x:v>975.6</x:v>
      </x:c>
      <x:c r="R3102" s="11" t="n">
        <x:f>IF(D3102="Completed",I3102,0)</x:f>
        <x:v>4</x:v>
      </x:c>
      <x:c r="S3102" s="11" t="n">
        <x:f>IF(D3102="Completed",L3102,0)</x:f>
        <x:v>0</x:v>
      </x:c>
      <x:c r="T3102" s="8" t="n">
        <x:f>DATE(YEAR(C3102),MONTH(C3102),1)</x:f>
        <x:v>45658</x:v>
      </x:c>
    </x:row>
    <x:row r="3103" ht="22" customHeight="1">
      <x:c r="A3103" s="2" t="str">
        <x:v>L003099</x:v>
      </x:c>
      <x:c r="B3103" s="2" t="str">
        <x:v>O01261</x:v>
      </x:c>
      <x:c r="C3103" s="7" t="n">
        <x:v>45938</x:v>
      </x:c>
      <x:c r="D3103" s="2" t="str">
        <x:v>Completed</x:v>
      </x:c>
      <x:c r="E3103" s="2" t="str">
        <x:v>South</x:v>
      </x:c>
      <x:c r="F3103" s="2" t="str">
        <x:v>Online</x:v>
      </x:c>
      <x:c r="G3103" s="2" t="str">
        <x:v>Furniture</x:v>
      </x:c>
      <x:c r="H3103" s="2" t="str">
        <x:v>Chair 018</x:v>
      </x:c>
      <x:c r="I3103" s="11" t="n">
        <x:v>1</x:v>
      </x:c>
      <x:c r="J3103" s="9" t="n">
        <x:v>269</x:v>
      </x:c>
      <x:c r="K3103" s="10" t="n">
        <x:v>0</x:v>
      </x:c>
      <x:c r="L3103" s="11" t="n">
        <x:v>0</x:v>
      </x:c>
      <x:c r="M3103" s="9" t="n">
        <x:f>IF(D3103="Completed",I3103*J3103,0)</x:f>
        <x:v>269</x:v>
      </x:c>
      <x:c r="N3103" s="9" t="n">
        <x:f>M3103*K3103</x:f>
        <x:v>0</x:v>
      </x:c>
      <x:c r="O3103" s="9" t="n">
        <x:f>M3103-N3103</x:f>
        <x:v>269</x:v>
      </x:c>
      <x:c r="P3103" s="9" t="n">
        <x:f>IF(D3103="Completed",L3103*J3103*(1-K3103),0)</x:f>
        <x:v>0</x:v>
      </x:c>
      <x:c r="Q3103" s="9" t="n">
        <x:f>O3103-P3103</x:f>
        <x:v>269</x:v>
      </x:c>
      <x:c r="R3103" s="11" t="n">
        <x:f>IF(D3103="Completed",I3103,0)</x:f>
        <x:v>1</x:v>
      </x:c>
      <x:c r="S3103" s="11" t="n">
        <x:f>IF(D3103="Completed",L3103,0)</x:f>
        <x:v>0</x:v>
      </x:c>
      <x:c r="T3103" s="8" t="n">
        <x:f>DATE(YEAR(C3103),MONTH(C3103),1)</x:f>
        <x:v>45931</x:v>
      </x:c>
    </x:row>
    <x:row r="3104" ht="22" customHeight="1">
      <x:c r="A3104" s="2" t="str">
        <x:v>L003100</x:v>
      </x:c>
      <x:c r="B3104" s="2" t="str">
        <x:v>O01261</x:v>
      </x:c>
      <x:c r="C3104" s="7" t="n">
        <x:v>45938</x:v>
      </x:c>
      <x:c r="D3104" s="2" t="str">
        <x:v>Completed</x:v>
      </x:c>
      <x:c r="E3104" s="2" t="str">
        <x:v>South</x:v>
      </x:c>
      <x:c r="F3104" s="2" t="str">
        <x:v>Online</x:v>
      </x:c>
      <x:c r="G3104" s="2" t="str">
        <x:v>Lighting</x:v>
      </x:c>
      <x:c r="H3104" s="2" t="str">
        <x:v>Lamp 009</x:v>
      </x:c>
      <x:c r="I3104" s="11" t="n">
        <x:v>4</x:v>
      </x:c>
      <x:c r="J3104" s="9" t="n">
        <x:v>93</x:v>
      </x:c>
      <x:c r="K3104" s="10" t="n">
        <x:v>0</x:v>
      </x:c>
      <x:c r="L3104" s="11" t="n">
        <x:v>0</x:v>
      </x:c>
      <x:c r="M3104" s="9" t="n">
        <x:f>IF(D3104="Completed",I3104*J3104,0)</x:f>
        <x:v>372</x:v>
      </x:c>
      <x:c r="N3104" s="9" t="n">
        <x:f>M3104*K3104</x:f>
        <x:v>0</x:v>
      </x:c>
      <x:c r="O3104" s="9" t="n">
        <x:f>M3104-N3104</x:f>
        <x:v>372</x:v>
      </x:c>
      <x:c r="P3104" s="9" t="n">
        <x:f>IF(D3104="Completed",L3104*J3104*(1-K3104),0)</x:f>
        <x:v>0</x:v>
      </x:c>
      <x:c r="Q3104" s="9" t="n">
        <x:f>O3104-P3104</x:f>
        <x:v>372</x:v>
      </x:c>
      <x:c r="R3104" s="11" t="n">
        <x:f>IF(D3104="Completed",I3104,0)</x:f>
        <x:v>4</x:v>
      </x:c>
      <x:c r="S3104" s="11" t="n">
        <x:f>IF(D3104="Completed",L3104,0)</x:f>
        <x:v>0</x:v>
      </x:c>
      <x:c r="T3104" s="8" t="n">
        <x:f>DATE(YEAR(C3104),MONTH(C3104),1)</x:f>
        <x:v>45931</x:v>
      </x:c>
    </x:row>
    <x:row r="3105" ht="22" customHeight="1">
      <x:c r="A3105" s="2" t="str">
        <x:v>L003101</x:v>
      </x:c>
      <x:c r="B3105" s="2" t="str">
        <x:v>O01262</x:v>
      </x:c>
      <x:c r="C3105" s="7" t="n">
        <x:v>45744</x:v>
      </x:c>
      <x:c r="D3105" s="2" t="str">
        <x:v>Completed</x:v>
      </x:c>
      <x:c r="E3105" s="2" t="str">
        <x:v>South</x:v>
      </x:c>
      <x:c r="F3105" s="2" t="str">
        <x:v>Store</x:v>
      </x:c>
      <x:c r="G3105" s="2" t="str">
        <x:v>Lighting</x:v>
      </x:c>
      <x:c r="H3105" s="2" t="str">
        <x:v>Lamp 013</x:v>
      </x:c>
      <x:c r="I3105" s="11" t="n">
        <x:v>3</x:v>
      </x:c>
      <x:c r="J3105" s="9" t="n">
        <x:v>271</x:v>
      </x:c>
      <x:c r="K3105" s="10" t="n">
        <x:v>0.2</x:v>
      </x:c>
      <x:c r="L3105" s="11" t="n">
        <x:v>0</x:v>
      </x:c>
      <x:c r="M3105" s="9" t="n">
        <x:f>IF(D3105="Completed",I3105*J3105,0)</x:f>
        <x:v>813</x:v>
      </x:c>
      <x:c r="N3105" s="9" t="n">
        <x:f>M3105*K3105</x:f>
        <x:v>162.60000000000002</x:v>
      </x:c>
      <x:c r="O3105" s="9" t="n">
        <x:f>M3105-N3105</x:f>
        <x:v>650.4</x:v>
      </x:c>
      <x:c r="P3105" s="9" t="n">
        <x:f>IF(D3105="Completed",L3105*J3105*(1-K3105),0)</x:f>
        <x:v>0</x:v>
      </x:c>
      <x:c r="Q3105" s="9" t="n">
        <x:f>O3105-P3105</x:f>
        <x:v>650.4</x:v>
      </x:c>
      <x:c r="R3105" s="11" t="n">
        <x:f>IF(D3105="Completed",I3105,0)</x:f>
        <x:v>3</x:v>
      </x:c>
      <x:c r="S3105" s="11" t="n">
        <x:f>IF(D3105="Completed",L3105,0)</x:f>
        <x:v>0</x:v>
      </x:c>
      <x:c r="T3105" s="8" t="n">
        <x:f>DATE(YEAR(C3105),MONTH(C3105),1)</x:f>
        <x:v>45717</x:v>
      </x:c>
    </x:row>
    <x:row r="3106" ht="22" customHeight="1">
      <x:c r="A3106" s="2" t="str">
        <x:v>L003102</x:v>
      </x:c>
      <x:c r="B3106" s="2" t="str">
        <x:v>O01262</x:v>
      </x:c>
      <x:c r="C3106" s="7" t="n">
        <x:v>45744</x:v>
      </x:c>
      <x:c r="D3106" s="2" t="str">
        <x:v>Completed</x:v>
      </x:c>
      <x:c r="E3106" s="2" t="str">
        <x:v>South</x:v>
      </x:c>
      <x:c r="F3106" s="2" t="str">
        <x:v>Store</x:v>
      </x:c>
      <x:c r="G3106" s="2" t="str">
        <x:v>Storage</x:v>
      </x:c>
      <x:c r="H3106" s="2" t="str">
        <x:v>Shelf 023</x:v>
      </x:c>
      <x:c r="I3106" s="11" t="n">
        <x:v>3</x:v>
      </x:c>
      <x:c r="J3106" s="9" t="n">
        <x:v>68</x:v>
      </x:c>
      <x:c r="K3106" s="10" t="n">
        <x:v>0.05</x:v>
      </x:c>
      <x:c r="L3106" s="11" t="n">
        <x:v>0</x:v>
      </x:c>
      <x:c r="M3106" s="9" t="n">
        <x:f>IF(D3106="Completed",I3106*J3106,0)</x:f>
        <x:v>204</x:v>
      </x:c>
      <x:c r="N3106" s="9" t="n">
        <x:f>M3106*K3106</x:f>
        <x:v>10.200000000000001</x:v>
      </x:c>
      <x:c r="O3106" s="9" t="n">
        <x:f>M3106-N3106</x:f>
        <x:v>193.8</x:v>
      </x:c>
      <x:c r="P3106" s="9" t="n">
        <x:f>IF(D3106="Completed",L3106*J3106*(1-K3106),0)</x:f>
        <x:v>0</x:v>
      </x:c>
      <x:c r="Q3106" s="9" t="n">
        <x:f>O3106-P3106</x:f>
        <x:v>193.8</x:v>
      </x:c>
      <x:c r="R3106" s="11" t="n">
        <x:f>IF(D3106="Completed",I3106,0)</x:f>
        <x:v>3</x:v>
      </x:c>
      <x:c r="S3106" s="11" t="n">
        <x:f>IF(D3106="Completed",L3106,0)</x:f>
        <x:v>0</x:v>
      </x:c>
      <x:c r="T3106" s="8" t="n">
        <x:f>DATE(YEAR(C3106),MONTH(C3106),1)</x:f>
        <x:v>45717</x:v>
      </x:c>
    </x:row>
    <x:row r="3107" ht="22" customHeight="1">
      <x:c r="A3107" s="2" t="str">
        <x:v>L003103</x:v>
      </x:c>
      <x:c r="B3107" s="2" t="str">
        <x:v>O01263</x:v>
      </x:c>
      <x:c r="C3107" s="7" t="n">
        <x:v>45737</x:v>
      </x:c>
      <x:c r="D3107" s="2" t="str">
        <x:v>Completed</x:v>
      </x:c>
      <x:c r="E3107" s="2" t="str">
        <x:v>North</x:v>
      </x:c>
      <x:c r="F3107" s="2" t="str">
        <x:v>Store</x:v>
      </x:c>
      <x:c r="G3107" s="2" t="str">
        <x:v>Furniture</x:v>
      </x:c>
      <x:c r="H3107" s="2" t="str">
        <x:v>Chair 014</x:v>
      </x:c>
      <x:c r="I3107" s="11" t="n">
        <x:v>5</x:v>
      </x:c>
      <x:c r="J3107" s="9" t="n">
        <x:v>294</x:v>
      </x:c>
      <x:c r="K3107" s="10" t="n">
        <x:v>0.05</x:v>
      </x:c>
      <x:c r="L3107" s="11" t="n">
        <x:v>3</x:v>
      </x:c>
      <x:c r="M3107" s="9" t="n">
        <x:f>IF(D3107="Completed",I3107*J3107,0)</x:f>
        <x:v>1470</x:v>
      </x:c>
      <x:c r="N3107" s="9" t="n">
        <x:f>M3107*K3107</x:f>
        <x:v>73.5</x:v>
      </x:c>
      <x:c r="O3107" s="9" t="n">
        <x:f>M3107-N3107</x:f>
        <x:v>1396.5</x:v>
      </x:c>
      <x:c r="P3107" s="9" t="n">
        <x:f>IF(D3107="Completed",L3107*J3107*(1-K3107),0)</x:f>
        <x:v>837.9</x:v>
      </x:c>
      <x:c r="Q3107" s="9" t="n">
        <x:f>O3107-P3107</x:f>
        <x:v>558.6</x:v>
      </x:c>
      <x:c r="R3107" s="11" t="n">
        <x:f>IF(D3107="Completed",I3107,0)</x:f>
        <x:v>5</x:v>
      </x:c>
      <x:c r="S3107" s="11" t="n">
        <x:f>IF(D3107="Completed",L3107,0)</x:f>
        <x:v>3</x:v>
      </x:c>
      <x:c r="T3107" s="8" t="n">
        <x:f>DATE(YEAR(C3107),MONTH(C3107),1)</x:f>
        <x:v>45717</x:v>
      </x:c>
    </x:row>
    <x:row r="3108" ht="22" customHeight="1">
      <x:c r="A3108" s="2" t="str">
        <x:v>L003104</x:v>
      </x:c>
      <x:c r="B3108" s="2" t="str">
        <x:v>O01263</x:v>
      </x:c>
      <x:c r="C3108" s="7" t="n">
        <x:v>45737</x:v>
      </x:c>
      <x:c r="D3108" s="2" t="str">
        <x:v>Completed</x:v>
      </x:c>
      <x:c r="E3108" s="2" t="str">
        <x:v>North</x:v>
      </x:c>
      <x:c r="F3108" s="2" t="str">
        <x:v>Store</x:v>
      </x:c>
      <x:c r="G3108" s="2" t="str">
        <x:v>Furniture</x:v>
      </x:c>
      <x:c r="H3108" s="2" t="str">
        <x:v>Desk 012</x:v>
      </x:c>
      <x:c r="I3108" s="11" t="n">
        <x:v>2</x:v>
      </x:c>
      <x:c r="J3108" s="9" t="n">
        <x:v>134</x:v>
      </x:c>
      <x:c r="K3108" s="10" t="n">
        <x:v>0</x:v>
      </x:c>
      <x:c r="L3108" s="11" t="n">
        <x:v>2</x:v>
      </x:c>
      <x:c r="M3108" s="9" t="n">
        <x:f>IF(D3108="Completed",I3108*J3108,0)</x:f>
        <x:v>268</x:v>
      </x:c>
      <x:c r="N3108" s="9" t="n">
        <x:f>M3108*K3108</x:f>
        <x:v>0</x:v>
      </x:c>
      <x:c r="O3108" s="9" t="n">
        <x:f>M3108-N3108</x:f>
        <x:v>268</x:v>
      </x:c>
      <x:c r="P3108" s="9" t="n">
        <x:f>IF(D3108="Completed",L3108*J3108*(1-K3108),0)</x:f>
        <x:v>268</x:v>
      </x:c>
      <x:c r="Q3108" s="9" t="n">
        <x:f>O3108-P3108</x:f>
        <x:v>0</x:v>
      </x:c>
      <x:c r="R3108" s="11" t="n">
        <x:f>IF(D3108="Completed",I3108,0)</x:f>
        <x:v>2</x:v>
      </x:c>
      <x:c r="S3108" s="11" t="n">
        <x:f>IF(D3108="Completed",L3108,0)</x:f>
        <x:v>2</x:v>
      </x:c>
      <x:c r="T3108" s="8" t="n">
        <x:f>DATE(YEAR(C3108),MONTH(C3108),1)</x:f>
        <x:v>45717</x:v>
      </x:c>
    </x:row>
    <x:row r="3109" ht="22" customHeight="1">
      <x:c r="A3109" s="2" t="str">
        <x:v>L003105</x:v>
      </x:c>
      <x:c r="B3109" s="2" t="str">
        <x:v>O01263</x:v>
      </x:c>
      <x:c r="C3109" s="7" t="n">
        <x:v>45737</x:v>
      </x:c>
      <x:c r="D3109" s="2" t="str">
        <x:v>Completed</x:v>
      </x:c>
      <x:c r="E3109" s="2" t="str">
        <x:v>North</x:v>
      </x:c>
      <x:c r="F3109" s="2" t="str">
        <x:v>Store</x:v>
      </x:c>
      <x:c r="G3109" s="2" t="str">
        <x:v>Furniture</x:v>
      </x:c>
      <x:c r="H3109" s="2" t="str">
        <x:v>Desk 016</x:v>
      </x:c>
      <x:c r="I3109" s="11" t="n">
        <x:v>1</x:v>
      </x:c>
      <x:c r="J3109" s="9" t="n">
        <x:v>231</x:v>
      </x:c>
      <x:c r="K3109" s="10" t="n">
        <x:v>0.05</x:v>
      </x:c>
      <x:c r="L3109" s="11" t="n">
        <x:v>0</x:v>
      </x:c>
      <x:c r="M3109" s="9" t="n">
        <x:f>IF(D3109="Completed",I3109*J3109,0)</x:f>
        <x:v>231</x:v>
      </x:c>
      <x:c r="N3109" s="9" t="n">
        <x:f>M3109*K3109</x:f>
        <x:v>11.55</x:v>
      </x:c>
      <x:c r="O3109" s="9" t="n">
        <x:f>M3109-N3109</x:f>
        <x:v>219.45</x:v>
      </x:c>
      <x:c r="P3109" s="9" t="n">
        <x:f>IF(D3109="Completed",L3109*J3109*(1-K3109),0)</x:f>
        <x:v>0</x:v>
      </x:c>
      <x:c r="Q3109" s="9" t="n">
        <x:f>O3109-P3109</x:f>
        <x:v>219.45</x:v>
      </x:c>
      <x:c r="R3109" s="11" t="n">
        <x:f>IF(D3109="Completed",I3109,0)</x:f>
        <x:v>1</x:v>
      </x:c>
      <x:c r="S3109" s="11" t="n">
        <x:f>IF(D3109="Completed",L3109,0)</x:f>
        <x:v>0</x:v>
      </x:c>
      <x:c r="T3109" s="8" t="n">
        <x:f>DATE(YEAR(C3109),MONTH(C3109),1)</x:f>
        <x:v>45717</x:v>
      </x:c>
    </x:row>
    <x:row r="3110" ht="22" customHeight="1">
      <x:c r="A3110" s="2" t="str">
        <x:v>L003106</x:v>
      </x:c>
      <x:c r="B3110" s="2" t="str">
        <x:v>O01263</x:v>
      </x:c>
      <x:c r="C3110" s="7" t="n">
        <x:v>45737</x:v>
      </x:c>
      <x:c r="D3110" s="2" t="str">
        <x:v>Completed</x:v>
      </x:c>
      <x:c r="E3110" s="2" t="str">
        <x:v>North</x:v>
      </x:c>
      <x:c r="F3110" s="2" t="str">
        <x:v>Store</x:v>
      </x:c>
      <x:c r="G3110" s="2" t="str">
        <x:v>Lighting</x:v>
      </x:c>
      <x:c r="H3110" s="2" t="str">
        <x:v>Lamp 013</x:v>
      </x:c>
      <x:c r="I3110" s="11" t="n">
        <x:v>3</x:v>
      </x:c>
      <x:c r="J3110" s="9" t="n">
        <x:v>271</x:v>
      </x:c>
      <x:c r="K3110" s="10" t="n">
        <x:v>0.2</x:v>
      </x:c>
      <x:c r="L3110" s="11" t="n">
        <x:v>2</x:v>
      </x:c>
      <x:c r="M3110" s="9" t="n">
        <x:f>IF(D3110="Completed",I3110*J3110,0)</x:f>
        <x:v>813</x:v>
      </x:c>
      <x:c r="N3110" s="9" t="n">
        <x:f>M3110*K3110</x:f>
        <x:v>162.60000000000002</x:v>
      </x:c>
      <x:c r="O3110" s="9" t="n">
        <x:f>M3110-N3110</x:f>
        <x:v>650.4</x:v>
      </x:c>
      <x:c r="P3110" s="9" t="n">
        <x:f>IF(D3110="Completed",L3110*J3110*(1-K3110),0)</x:f>
        <x:v>433.6</x:v>
      </x:c>
      <x:c r="Q3110" s="9" t="n">
        <x:f>O3110-P3110</x:f>
        <x:v>216.79999999999995</x:v>
      </x:c>
      <x:c r="R3110" s="11" t="n">
        <x:f>IF(D3110="Completed",I3110,0)</x:f>
        <x:v>3</x:v>
      </x:c>
      <x:c r="S3110" s="11" t="n">
        <x:f>IF(D3110="Completed",L3110,0)</x:f>
        <x:v>2</x:v>
      </x:c>
      <x:c r="T3110" s="8" t="n">
        <x:f>DATE(YEAR(C3110),MONTH(C3110),1)</x:f>
        <x:v>45717</x:v>
      </x:c>
    </x:row>
    <x:row r="3111" ht="22" customHeight="1">
      <x:c r="A3111" s="2" t="str">
        <x:v>L003107</x:v>
      </x:c>
      <x:c r="B3111" s="2" t="str">
        <x:v>O01264</x:v>
      </x:c>
      <x:c r="C3111" s="7" t="n">
        <x:v>45689</x:v>
      </x:c>
      <x:c r="D3111" s="2" t="str">
        <x:v>Completed</x:v>
      </x:c>
      <x:c r="E3111" s="2" t="str">
        <x:v>East</x:v>
      </x:c>
      <x:c r="F3111" s="2" t="str">
        <x:v>Store</x:v>
      </x:c>
      <x:c r="G3111" s="2" t="str">
        <x:v>Furniture</x:v>
      </x:c>
      <x:c r="H3111" s="2" t="str">
        <x:v>Chair 002</x:v>
      </x:c>
      <x:c r="I3111" s="11" t="n">
        <x:v>3</x:v>
      </x:c>
      <x:c r="J3111" s="9" t="n">
        <x:v>284</x:v>
      </x:c>
      <x:c r="K3111" s="10" t="n">
        <x:v>0.05</x:v>
      </x:c>
      <x:c r="L3111" s="11" t="n">
        <x:v>0</x:v>
      </x:c>
      <x:c r="M3111" s="9" t="n">
        <x:f>IF(D3111="Completed",I3111*J3111,0)</x:f>
        <x:v>852</x:v>
      </x:c>
      <x:c r="N3111" s="9" t="n">
        <x:f>M3111*K3111</x:f>
        <x:v>42.6</x:v>
      </x:c>
      <x:c r="O3111" s="9" t="n">
        <x:f>M3111-N3111</x:f>
        <x:v>809.4</x:v>
      </x:c>
      <x:c r="P3111" s="9" t="n">
        <x:f>IF(D3111="Completed",L3111*J3111*(1-K3111),0)</x:f>
        <x:v>0</x:v>
      </x:c>
      <x:c r="Q3111" s="9" t="n">
        <x:f>O3111-P3111</x:f>
        <x:v>809.4</x:v>
      </x:c>
      <x:c r="R3111" s="11" t="n">
        <x:f>IF(D3111="Completed",I3111,0)</x:f>
        <x:v>3</x:v>
      </x:c>
      <x:c r="S3111" s="11" t="n">
        <x:f>IF(D3111="Completed",L3111,0)</x:f>
        <x:v>0</x:v>
      </x:c>
      <x:c r="T3111" s="8" t="n">
        <x:f>DATE(YEAR(C3111),MONTH(C3111),1)</x:f>
        <x:v>45689</x:v>
      </x:c>
    </x:row>
    <x:row r="3112" ht="22" customHeight="1">
      <x:c r="A3112" s="2" t="str">
        <x:v>L003108</x:v>
      </x:c>
      <x:c r="B3112" s="2" t="str">
        <x:v>O01264</x:v>
      </x:c>
      <x:c r="C3112" s="7" t="n">
        <x:v>45689</x:v>
      </x:c>
      <x:c r="D3112" s="2" t="str">
        <x:v>Completed</x:v>
      </x:c>
      <x:c r="E3112" s="2" t="str">
        <x:v>East</x:v>
      </x:c>
      <x:c r="F3112" s="2" t="str">
        <x:v>Store</x:v>
      </x:c>
      <x:c r="G3112" s="2" t="str">
        <x:v>Lighting</x:v>
      </x:c>
      <x:c r="H3112" s="2" t="str">
        <x:v>Lamp 017</x:v>
      </x:c>
      <x:c r="I3112" s="11" t="n">
        <x:v>1</x:v>
      </x:c>
      <x:c r="J3112" s="9" t="n">
        <x:v>300</x:v>
      </x:c>
      <x:c r="K3112" s="10" t="n">
        <x:v>0.2</x:v>
      </x:c>
      <x:c r="L3112" s="11" t="n">
        <x:v>0</x:v>
      </x:c>
      <x:c r="M3112" s="9" t="n">
        <x:f>IF(D3112="Completed",I3112*J3112,0)</x:f>
        <x:v>300</x:v>
      </x:c>
      <x:c r="N3112" s="9" t="n">
        <x:f>M3112*K3112</x:f>
        <x:v>60</x:v>
      </x:c>
      <x:c r="O3112" s="9" t="n">
        <x:f>M3112-N3112</x:f>
        <x:v>240</x:v>
      </x:c>
      <x:c r="P3112" s="9" t="n">
        <x:f>IF(D3112="Completed",L3112*J3112*(1-K3112),0)</x:f>
        <x:v>0</x:v>
      </x:c>
      <x:c r="Q3112" s="9" t="n">
        <x:f>O3112-P3112</x:f>
        <x:v>240</x:v>
      </x:c>
      <x:c r="R3112" s="11" t="n">
        <x:f>IF(D3112="Completed",I3112,0)</x:f>
        <x:v>1</x:v>
      </x:c>
      <x:c r="S3112" s="11" t="n">
        <x:f>IF(D3112="Completed",L3112,0)</x:f>
        <x:v>0</x:v>
      </x:c>
      <x:c r="T3112" s="8" t="n">
        <x:f>DATE(YEAR(C3112),MONTH(C3112),1)</x:f>
        <x:v>45689</x:v>
      </x:c>
    </x:row>
    <x:row r="3113" ht="22" customHeight="1">
      <x:c r="A3113" s="2" t="str">
        <x:v>L003109</x:v>
      </x:c>
      <x:c r="B3113" s="2" t="str">
        <x:v>O01264</x:v>
      </x:c>
      <x:c r="C3113" s="7" t="n">
        <x:v>45689</x:v>
      </x:c>
      <x:c r="D3113" s="2" t="str">
        <x:v>Completed</x:v>
      </x:c>
      <x:c r="E3113" s="2" t="str">
        <x:v>East</x:v>
      </x:c>
      <x:c r="F3113" s="2" t="str">
        <x:v>Store</x:v>
      </x:c>
      <x:c r="G3113" s="2" t="str">
        <x:v>Furniture</x:v>
      </x:c>
      <x:c r="H3113" s="2" t="str">
        <x:v>Chair 010</x:v>
      </x:c>
      <x:c r="I3113" s="11" t="n">
        <x:v>1</x:v>
      </x:c>
      <x:c r="J3113" s="9" t="n">
        <x:v>211</x:v>
      </x:c>
      <x:c r="K3113" s="10" t="n">
        <x:v>0.1</x:v>
      </x:c>
      <x:c r="L3113" s="11" t="n">
        <x:v>0</x:v>
      </x:c>
      <x:c r="M3113" s="9" t="n">
        <x:f>IF(D3113="Completed",I3113*J3113,0)</x:f>
        <x:v>211</x:v>
      </x:c>
      <x:c r="N3113" s="9" t="n">
        <x:f>M3113*K3113</x:f>
        <x:v>21.1</x:v>
      </x:c>
      <x:c r="O3113" s="9" t="n">
        <x:f>M3113-N3113</x:f>
        <x:v>189.9</x:v>
      </x:c>
      <x:c r="P3113" s="9" t="n">
        <x:f>IF(D3113="Completed",L3113*J3113*(1-K3113),0)</x:f>
        <x:v>0</x:v>
      </x:c>
      <x:c r="Q3113" s="9" t="n">
        <x:f>O3113-P3113</x:f>
        <x:v>189.9</x:v>
      </x:c>
      <x:c r="R3113" s="11" t="n">
        <x:f>IF(D3113="Completed",I3113,0)</x:f>
        <x:v>1</x:v>
      </x:c>
      <x:c r="S3113" s="11" t="n">
        <x:f>IF(D3113="Completed",L3113,0)</x:f>
        <x:v>0</x:v>
      </x:c>
      <x:c r="T3113" s="8" t="n">
        <x:f>DATE(YEAR(C3113),MONTH(C3113),1)</x:f>
        <x:v>45689</x:v>
      </x:c>
    </x:row>
    <x:row r="3114" ht="22" customHeight="1">
      <x:c r="A3114" s="2" t="str">
        <x:v>L003110</x:v>
      </x:c>
      <x:c r="B3114" s="2" t="str">
        <x:v>O01265</x:v>
      </x:c>
      <x:c r="C3114" s="7" t="n">
        <x:v>45997</x:v>
      </x:c>
      <x:c r="D3114" s="2" t="str">
        <x:v>Completed</x:v>
      </x:c>
      <x:c r="E3114" s="2" t="str">
        <x:v>North</x:v>
      </x:c>
      <x:c r="F3114" s="2" t="str">
        <x:v>Store</x:v>
      </x:c>
      <x:c r="G3114" s="2" t="str">
        <x:v>Lighting</x:v>
      </x:c>
      <x:c r="H3114" s="2" t="str">
        <x:v>Lamp 005</x:v>
      </x:c>
      <x:c r="I3114" s="11" t="n">
        <x:v>1</x:v>
      </x:c>
      <x:c r="J3114" s="9" t="n">
        <x:v>65</x:v>
      </x:c>
      <x:c r="K3114" s="10" t="n">
        <x:v>0</x:v>
      </x:c>
      <x:c r="L3114" s="11" t="n">
        <x:v>0</x:v>
      </x:c>
      <x:c r="M3114" s="9" t="n">
        <x:f>IF(D3114="Completed",I3114*J3114,0)</x:f>
        <x:v>65</x:v>
      </x:c>
      <x:c r="N3114" s="9" t="n">
        <x:f>M3114*K3114</x:f>
        <x:v>0</x:v>
      </x:c>
      <x:c r="O3114" s="9" t="n">
        <x:f>M3114-N3114</x:f>
        <x:v>65</x:v>
      </x:c>
      <x:c r="P3114" s="9" t="n">
        <x:f>IF(D3114="Completed",L3114*J3114*(1-K3114),0)</x:f>
        <x:v>0</x:v>
      </x:c>
      <x:c r="Q3114" s="9" t="n">
        <x:f>O3114-P3114</x:f>
        <x:v>65</x:v>
      </x:c>
      <x:c r="R3114" s="11" t="n">
        <x:f>IF(D3114="Completed",I3114,0)</x:f>
        <x:v>1</x:v>
      </x:c>
      <x:c r="S3114" s="11" t="n">
        <x:f>IF(D3114="Completed",L3114,0)</x:f>
        <x:v>0</x:v>
      </x:c>
      <x:c r="T3114" s="8" t="n">
        <x:f>DATE(YEAR(C3114),MONTH(C3114),1)</x:f>
        <x:v>45992</x:v>
      </x:c>
    </x:row>
    <x:row r="3115" ht="22" customHeight="1">
      <x:c r="A3115" s="2" t="str">
        <x:v>L003111</x:v>
      </x:c>
      <x:c r="B3115" s="2" t="str">
        <x:v>O01265</x:v>
      </x:c>
      <x:c r="C3115" s="7" t="n">
        <x:v>45997</x:v>
      </x:c>
      <x:c r="D3115" s="2" t="str">
        <x:v>Completed</x:v>
      </x:c>
      <x:c r="E3115" s="2" t="str">
        <x:v>North</x:v>
      </x:c>
      <x:c r="F3115" s="2" t="str">
        <x:v>Store</x:v>
      </x:c>
      <x:c r="G3115" s="2" t="str">
        <x:v>Lighting</x:v>
      </x:c>
      <x:c r="H3115" s="2" t="str">
        <x:v>Lamp 005</x:v>
      </x:c>
      <x:c r="I3115" s="11" t="n">
        <x:v>5</x:v>
      </x:c>
      <x:c r="J3115" s="9" t="n">
        <x:v>65</x:v>
      </x:c>
      <x:c r="K3115" s="10" t="n">
        <x:v>0.05</x:v>
      </x:c>
      <x:c r="L3115" s="11" t="n">
        <x:v>0</x:v>
      </x:c>
      <x:c r="M3115" s="9" t="n">
        <x:f>IF(D3115="Completed",I3115*J3115,0)</x:f>
        <x:v>325</x:v>
      </x:c>
      <x:c r="N3115" s="9" t="n">
        <x:f>M3115*K3115</x:f>
        <x:v>16.25</x:v>
      </x:c>
      <x:c r="O3115" s="9" t="n">
        <x:f>M3115-N3115</x:f>
        <x:v>308.75</x:v>
      </x:c>
      <x:c r="P3115" s="9" t="n">
        <x:f>IF(D3115="Completed",L3115*J3115*(1-K3115),0)</x:f>
        <x:v>0</x:v>
      </x:c>
      <x:c r="Q3115" s="9" t="n">
        <x:f>O3115-P3115</x:f>
        <x:v>308.75</x:v>
      </x:c>
      <x:c r="R3115" s="11" t="n">
        <x:f>IF(D3115="Completed",I3115,0)</x:f>
        <x:v>5</x:v>
      </x:c>
      <x:c r="S3115" s="11" t="n">
        <x:f>IF(D3115="Completed",L3115,0)</x:f>
        <x:v>0</x:v>
      </x:c>
      <x:c r="T3115" s="8" t="n">
        <x:f>DATE(YEAR(C3115),MONTH(C3115),1)</x:f>
        <x:v>45992</x:v>
      </x:c>
    </x:row>
    <x:row r="3116" ht="22" customHeight="1">
      <x:c r="A3116" s="2" t="str">
        <x:v>L003112</x:v>
      </x:c>
      <x:c r="B3116" s="2" t="str">
        <x:v>O01266</x:v>
      </x:c>
      <x:c r="C3116" s="7" t="n">
        <x:v>45764</x:v>
      </x:c>
      <x:c r="D3116" s="2" t="str">
        <x:v>Completed</x:v>
      </x:c>
      <x:c r="E3116" s="2" t="str">
        <x:v>North</x:v>
      </x:c>
      <x:c r="F3116" s="2" t="str">
        <x:v>Store</x:v>
      </x:c>
      <x:c r="G3116" s="2" t="str">
        <x:v>Furniture</x:v>
      </x:c>
      <x:c r="H3116" s="2" t="str">
        <x:v>Desk 012</x:v>
      </x:c>
      <x:c r="I3116" s="11" t="n">
        <x:v>5</x:v>
      </x:c>
      <x:c r="J3116" s="9" t="n">
        <x:v>134</x:v>
      </x:c>
      <x:c r="K3116" s="10" t="n">
        <x:v>0.2</x:v>
      </x:c>
      <x:c r="L3116" s="11" t="n">
        <x:v>0</x:v>
      </x:c>
      <x:c r="M3116" s="9" t="n">
        <x:f>IF(D3116="Completed",I3116*J3116,0)</x:f>
        <x:v>670</x:v>
      </x:c>
      <x:c r="N3116" s="9" t="n">
        <x:f>M3116*K3116</x:f>
        <x:v>134</x:v>
      </x:c>
      <x:c r="O3116" s="9" t="n">
        <x:f>M3116-N3116</x:f>
        <x:v>536</x:v>
      </x:c>
      <x:c r="P3116" s="9" t="n">
        <x:f>IF(D3116="Completed",L3116*J3116*(1-K3116),0)</x:f>
        <x:v>0</x:v>
      </x:c>
      <x:c r="Q3116" s="9" t="n">
        <x:f>O3116-P3116</x:f>
        <x:v>536</x:v>
      </x:c>
      <x:c r="R3116" s="11" t="n">
        <x:f>IF(D3116="Completed",I3116,0)</x:f>
        <x:v>5</x:v>
      </x:c>
      <x:c r="S3116" s="11" t="n">
        <x:f>IF(D3116="Completed",L3116,0)</x:f>
        <x:v>0</x:v>
      </x:c>
      <x:c r="T3116" s="8" t="n">
        <x:f>DATE(YEAR(C3116),MONTH(C3116),1)</x:f>
        <x:v>45748</x:v>
      </x:c>
    </x:row>
    <x:row r="3117" ht="22" customHeight="1">
      <x:c r="A3117" s="2" t="str">
        <x:v>L003113</x:v>
      </x:c>
      <x:c r="B3117" s="2" t="str">
        <x:v>O01266</x:v>
      </x:c>
      <x:c r="C3117" s="7" t="n">
        <x:v>45764</x:v>
      </x:c>
      <x:c r="D3117" s="2" t="str">
        <x:v>Completed</x:v>
      </x:c>
      <x:c r="E3117" s="2" t="str">
        <x:v>North</x:v>
      </x:c>
      <x:c r="F3117" s="2" t="str">
        <x:v>Store</x:v>
      </x:c>
      <x:c r="G3117" s="2" t="str">
        <x:v>Lighting</x:v>
      </x:c>
      <x:c r="H3117" s="2" t="str">
        <x:v>Lamp 017</x:v>
      </x:c>
      <x:c r="I3117" s="11" t="n">
        <x:v>2</x:v>
      </x:c>
      <x:c r="J3117" s="9" t="n">
        <x:v>300</x:v>
      </x:c>
      <x:c r="K3117" s="10" t="n">
        <x:v>0.1</x:v>
      </x:c>
      <x:c r="L3117" s="11" t="n">
        <x:v>0</x:v>
      </x:c>
      <x:c r="M3117" s="9" t="n">
        <x:f>IF(D3117="Completed",I3117*J3117,0)</x:f>
        <x:v>600</x:v>
      </x:c>
      <x:c r="N3117" s="9" t="n">
        <x:f>M3117*K3117</x:f>
        <x:v>60</x:v>
      </x:c>
      <x:c r="O3117" s="9" t="n">
        <x:f>M3117-N3117</x:f>
        <x:v>540</x:v>
      </x:c>
      <x:c r="P3117" s="9" t="n">
        <x:f>IF(D3117="Completed",L3117*J3117*(1-K3117),0)</x:f>
        <x:v>0</x:v>
      </x:c>
      <x:c r="Q3117" s="9" t="n">
        <x:f>O3117-P3117</x:f>
        <x:v>540</x:v>
      </x:c>
      <x:c r="R3117" s="11" t="n">
        <x:f>IF(D3117="Completed",I3117,0)</x:f>
        <x:v>2</x:v>
      </x:c>
      <x:c r="S3117" s="11" t="n">
        <x:f>IF(D3117="Completed",L3117,0)</x:f>
        <x:v>0</x:v>
      </x:c>
      <x:c r="T3117" s="8" t="n">
        <x:f>DATE(YEAR(C3117),MONTH(C3117),1)</x:f>
        <x:v>45748</x:v>
      </x:c>
    </x:row>
    <x:row r="3118" ht="22" customHeight="1">
      <x:c r="A3118" s="2" t="str">
        <x:v>L003114</x:v>
      </x:c>
      <x:c r="B3118" s="2" t="str">
        <x:v>O01267</x:v>
      </x:c>
      <x:c r="C3118" s="7" t="n">
        <x:v>45731</x:v>
      </x:c>
      <x:c r="D3118" s="2" t="str">
        <x:v>Completed</x:v>
      </x:c>
      <x:c r="E3118" s="2" t="str">
        <x:v>East</x:v>
      </x:c>
      <x:c r="F3118" s="2" t="str">
        <x:v>Store</x:v>
      </x:c>
      <x:c r="G3118" s="2" t="str">
        <x:v>Furniture</x:v>
      </x:c>
      <x:c r="H3118" s="2" t="str">
        <x:v>Desk 012</x:v>
      </x:c>
      <x:c r="I3118" s="11" t="n">
        <x:v>1</x:v>
      </x:c>
      <x:c r="J3118" s="9" t="n">
        <x:v>134</x:v>
      </x:c>
      <x:c r="K3118" s="10" t="n">
        <x:v>0.1</x:v>
      </x:c>
      <x:c r="L3118" s="11" t="n">
        <x:v>0</x:v>
      </x:c>
      <x:c r="M3118" s="9" t="n">
        <x:f>IF(D3118="Completed",I3118*J3118,0)</x:f>
        <x:v>134</x:v>
      </x:c>
      <x:c r="N3118" s="9" t="n">
        <x:f>M3118*K3118</x:f>
        <x:v>13.4</x:v>
      </x:c>
      <x:c r="O3118" s="9" t="n">
        <x:f>M3118-N3118</x:f>
        <x:v>120.6</x:v>
      </x:c>
      <x:c r="P3118" s="9" t="n">
        <x:f>IF(D3118="Completed",L3118*J3118*(1-K3118),0)</x:f>
        <x:v>0</x:v>
      </x:c>
      <x:c r="Q3118" s="9" t="n">
        <x:f>O3118-P3118</x:f>
        <x:v>120.6</x:v>
      </x:c>
      <x:c r="R3118" s="11" t="n">
        <x:f>IF(D3118="Completed",I3118,0)</x:f>
        <x:v>1</x:v>
      </x:c>
      <x:c r="S3118" s="11" t="n">
        <x:f>IF(D3118="Completed",L3118,0)</x:f>
        <x:v>0</x:v>
      </x:c>
      <x:c r="T3118" s="8" t="n">
        <x:f>DATE(YEAR(C3118),MONTH(C3118),1)</x:f>
        <x:v>45717</x:v>
      </x:c>
    </x:row>
    <x:row r="3119" ht="22" customHeight="1">
      <x:c r="A3119" s="2" t="str">
        <x:v>L003115</x:v>
      </x:c>
      <x:c r="B3119" s="2" t="str">
        <x:v>O01267</x:v>
      </x:c>
      <x:c r="C3119" s="7" t="n">
        <x:v>45731</x:v>
      </x:c>
      <x:c r="D3119" s="2" t="str">
        <x:v>Completed</x:v>
      </x:c>
      <x:c r="E3119" s="2" t="str">
        <x:v>East</x:v>
      </x:c>
      <x:c r="F3119" s="2" t="str">
        <x:v>Store</x:v>
      </x:c>
      <x:c r="G3119" s="2" t="str">
        <x:v>Furniture</x:v>
      </x:c>
      <x:c r="H3119" s="2" t="str">
        <x:v>Chair 022</x:v>
      </x:c>
      <x:c r="I3119" s="11" t="n">
        <x:v>4</x:v>
      </x:c>
      <x:c r="J3119" s="9" t="n">
        <x:v>134</x:v>
      </x:c>
      <x:c r="K3119" s="10" t="n">
        <x:v>0.05</x:v>
      </x:c>
      <x:c r="L3119" s="11" t="n">
        <x:v>0</x:v>
      </x:c>
      <x:c r="M3119" s="9" t="n">
        <x:f>IF(D3119="Completed",I3119*J3119,0)</x:f>
        <x:v>536</x:v>
      </x:c>
      <x:c r="N3119" s="9" t="n">
        <x:f>M3119*K3119</x:f>
        <x:v>26.8</x:v>
      </x:c>
      <x:c r="O3119" s="9" t="n">
        <x:f>M3119-N3119</x:f>
        <x:v>509.2</x:v>
      </x:c>
      <x:c r="P3119" s="9" t="n">
        <x:f>IF(D3119="Completed",L3119*J3119*(1-K3119),0)</x:f>
        <x:v>0</x:v>
      </x:c>
      <x:c r="Q3119" s="9" t="n">
        <x:f>O3119-P3119</x:f>
        <x:v>509.2</x:v>
      </x:c>
      <x:c r="R3119" s="11" t="n">
        <x:f>IF(D3119="Completed",I3119,0)</x:f>
        <x:v>4</x:v>
      </x:c>
      <x:c r="S3119" s="11" t="n">
        <x:f>IF(D3119="Completed",L3119,0)</x:f>
        <x:v>0</x:v>
      </x:c>
      <x:c r="T3119" s="8" t="n">
        <x:f>DATE(YEAR(C3119),MONTH(C3119),1)</x:f>
        <x:v>45717</x:v>
      </x:c>
    </x:row>
    <x:row r="3120" ht="22" customHeight="1">
      <x:c r="A3120" s="2" t="str">
        <x:v>L003116</x:v>
      </x:c>
      <x:c r="B3120" s="2" t="str">
        <x:v>O01267</x:v>
      </x:c>
      <x:c r="C3120" s="7" t="n">
        <x:v>45731</x:v>
      </x:c>
      <x:c r="D3120" s="2" t="str">
        <x:v>Completed</x:v>
      </x:c>
      <x:c r="E3120" s="2" t="str">
        <x:v>East</x:v>
      </x:c>
      <x:c r="F3120" s="2" t="str">
        <x:v>Store</x:v>
      </x:c>
      <x:c r="G3120" s="2" t="str">
        <x:v>Furniture</x:v>
      </x:c>
      <x:c r="H3120" s="2" t="str">
        <x:v>Desk 020</x:v>
      </x:c>
      <x:c r="I3120" s="11" t="n">
        <x:v>1</x:v>
      </x:c>
      <x:c r="J3120" s="9" t="n">
        <x:v>189</x:v>
      </x:c>
      <x:c r="K3120" s="10" t="n">
        <x:v>0.2</x:v>
      </x:c>
      <x:c r="L3120" s="11" t="n">
        <x:v>0</x:v>
      </x:c>
      <x:c r="M3120" s="9" t="n">
        <x:f>IF(D3120="Completed",I3120*J3120,0)</x:f>
        <x:v>189</x:v>
      </x:c>
      <x:c r="N3120" s="9" t="n">
        <x:f>M3120*K3120</x:f>
        <x:v>37.800000000000004</x:v>
      </x:c>
      <x:c r="O3120" s="9" t="n">
        <x:f>M3120-N3120</x:f>
        <x:v>151.2</x:v>
      </x:c>
      <x:c r="P3120" s="9" t="n">
        <x:f>IF(D3120="Completed",L3120*J3120*(1-K3120),0)</x:f>
        <x:v>0</x:v>
      </x:c>
      <x:c r="Q3120" s="9" t="n">
        <x:f>O3120-P3120</x:f>
        <x:v>151.2</x:v>
      </x:c>
      <x:c r="R3120" s="11" t="n">
        <x:f>IF(D3120="Completed",I3120,0)</x:f>
        <x:v>1</x:v>
      </x:c>
      <x:c r="S3120" s="11" t="n">
        <x:f>IF(D3120="Completed",L3120,0)</x:f>
        <x:v>0</x:v>
      </x:c>
      <x:c r="T3120" s="8" t="n">
        <x:f>DATE(YEAR(C3120),MONTH(C3120),1)</x:f>
        <x:v>45717</x:v>
      </x:c>
    </x:row>
    <x:row r="3121" ht="22" customHeight="1">
      <x:c r="A3121" s="2" t="str">
        <x:v>L003117</x:v>
      </x:c>
      <x:c r="B3121" s="2" t="str">
        <x:v>O01268</x:v>
      </x:c>
      <x:c r="C3121" s="7" t="n">
        <x:v>46004</x:v>
      </x:c>
      <x:c r="D3121" s="2" t="str">
        <x:v>Completed</x:v>
      </x:c>
      <x:c r="E3121" s="2" t="str">
        <x:v>South</x:v>
      </x:c>
      <x:c r="F3121" s="2" t="str">
        <x:v>Online</x:v>
      </x:c>
      <x:c r="G3121" s="2" t="str">
        <x:v>Furniture</x:v>
      </x:c>
      <x:c r="H3121" s="2" t="str">
        <x:v>Desk 012</x:v>
      </x:c>
      <x:c r="I3121" s="11" t="n">
        <x:v>1</x:v>
      </x:c>
      <x:c r="J3121" s="9" t="n">
        <x:v>134</x:v>
      </x:c>
      <x:c r="K3121" s="10" t="n">
        <x:v>0</x:v>
      </x:c>
      <x:c r="L3121" s="11" t="n">
        <x:v>0</x:v>
      </x:c>
      <x:c r="M3121" s="9" t="n">
        <x:f>IF(D3121="Completed",I3121*J3121,0)</x:f>
        <x:v>134</x:v>
      </x:c>
      <x:c r="N3121" s="9" t="n">
        <x:f>M3121*K3121</x:f>
        <x:v>0</x:v>
      </x:c>
      <x:c r="O3121" s="9" t="n">
        <x:f>M3121-N3121</x:f>
        <x:v>134</x:v>
      </x:c>
      <x:c r="P3121" s="9" t="n">
        <x:f>IF(D3121="Completed",L3121*J3121*(1-K3121),0)</x:f>
        <x:v>0</x:v>
      </x:c>
      <x:c r="Q3121" s="9" t="n">
        <x:f>O3121-P3121</x:f>
        <x:v>134</x:v>
      </x:c>
      <x:c r="R3121" s="11" t="n">
        <x:f>IF(D3121="Completed",I3121,0)</x:f>
        <x:v>1</x:v>
      </x:c>
      <x:c r="S3121" s="11" t="n">
        <x:f>IF(D3121="Completed",L3121,0)</x:f>
        <x:v>0</x:v>
      </x:c>
      <x:c r="T3121" s="8" t="n">
        <x:f>DATE(YEAR(C3121),MONTH(C3121),1)</x:f>
        <x:v>45992</x:v>
      </x:c>
    </x:row>
    <x:row r="3122" ht="22" customHeight="1">
      <x:c r="A3122" s="2" t="str">
        <x:v>L003118</x:v>
      </x:c>
      <x:c r="B3122" s="2" t="str">
        <x:v>O01268</x:v>
      </x:c>
      <x:c r="C3122" s="7" t="n">
        <x:v>46004</x:v>
      </x:c>
      <x:c r="D3122" s="2" t="str">
        <x:v>Completed</x:v>
      </x:c>
      <x:c r="E3122" s="2" t="str">
        <x:v>South</x:v>
      </x:c>
      <x:c r="F3122" s="2" t="str">
        <x:v>Online</x:v>
      </x:c>
      <x:c r="G3122" s="2" t="str">
        <x:v>Furniture</x:v>
      </x:c>
      <x:c r="H3122" s="2" t="str">
        <x:v>Desk 024</x:v>
      </x:c>
      <x:c r="I3122" s="11" t="n">
        <x:v>1</x:v>
      </x:c>
      <x:c r="J3122" s="9" t="n">
        <x:v>81</x:v>
      </x:c>
      <x:c r="K3122" s="10" t="n">
        <x:v>0.05</x:v>
      </x:c>
      <x:c r="L3122" s="11" t="n">
        <x:v>0</x:v>
      </x:c>
      <x:c r="M3122" s="9" t="n">
        <x:f>IF(D3122="Completed",I3122*J3122,0)</x:f>
        <x:v>81</x:v>
      </x:c>
      <x:c r="N3122" s="9" t="n">
        <x:f>M3122*K3122</x:f>
        <x:v>4.05</x:v>
      </x:c>
      <x:c r="O3122" s="9" t="n">
        <x:f>M3122-N3122</x:f>
        <x:v>76.95</x:v>
      </x:c>
      <x:c r="P3122" s="9" t="n">
        <x:f>IF(D3122="Completed",L3122*J3122*(1-K3122),0)</x:f>
        <x:v>0</x:v>
      </x:c>
      <x:c r="Q3122" s="9" t="n">
        <x:f>O3122-P3122</x:f>
        <x:v>76.95</x:v>
      </x:c>
      <x:c r="R3122" s="11" t="n">
        <x:f>IF(D3122="Completed",I3122,0)</x:f>
        <x:v>1</x:v>
      </x:c>
      <x:c r="S3122" s="11" t="n">
        <x:f>IF(D3122="Completed",L3122,0)</x:f>
        <x:v>0</x:v>
      </x:c>
      <x:c r="T3122" s="8" t="n">
        <x:f>DATE(YEAR(C3122),MONTH(C3122),1)</x:f>
        <x:v>45992</x:v>
      </x:c>
    </x:row>
    <x:row r="3123" ht="22" customHeight="1">
      <x:c r="A3123" s="2" t="str">
        <x:v>L003119</x:v>
      </x:c>
      <x:c r="B3123" s="2" t="str">
        <x:v>O01268</x:v>
      </x:c>
      <x:c r="C3123" s="7" t="n">
        <x:v>46004</x:v>
      </x:c>
      <x:c r="D3123" s="2" t="str">
        <x:v>Completed</x:v>
      </x:c>
      <x:c r="E3123" s="2" t="str">
        <x:v>South</x:v>
      </x:c>
      <x:c r="F3123" s="2" t="str">
        <x:v>Online</x:v>
      </x:c>
      <x:c r="G3123" s="2" t="str">
        <x:v>Furniture</x:v>
      </x:c>
      <x:c r="H3123" s="2" t="str">
        <x:v>Desk 016</x:v>
      </x:c>
      <x:c r="I3123" s="11" t="n">
        <x:v>5</x:v>
      </x:c>
      <x:c r="J3123" s="9" t="n">
        <x:v>231</x:v>
      </x:c>
      <x:c r="K3123" s="10" t="n">
        <x:v>0</x:v>
      </x:c>
      <x:c r="L3123" s="11" t="n">
        <x:v>0</x:v>
      </x:c>
      <x:c r="M3123" s="9" t="n">
        <x:f>IF(D3123="Completed",I3123*J3123,0)</x:f>
        <x:v>1155</x:v>
      </x:c>
      <x:c r="N3123" s="9" t="n">
        <x:f>M3123*K3123</x:f>
        <x:v>0</x:v>
      </x:c>
      <x:c r="O3123" s="9" t="n">
        <x:f>M3123-N3123</x:f>
        <x:v>1155</x:v>
      </x:c>
      <x:c r="P3123" s="9" t="n">
        <x:f>IF(D3123="Completed",L3123*J3123*(1-K3123),0)</x:f>
        <x:v>0</x:v>
      </x:c>
      <x:c r="Q3123" s="9" t="n">
        <x:f>O3123-P3123</x:f>
        <x:v>1155</x:v>
      </x:c>
      <x:c r="R3123" s="11" t="n">
        <x:f>IF(D3123="Completed",I3123,0)</x:f>
        <x:v>5</x:v>
      </x:c>
      <x:c r="S3123" s="11" t="n">
        <x:f>IF(D3123="Completed",L3123,0)</x:f>
        <x:v>0</x:v>
      </x:c>
      <x:c r="T3123" s="8" t="n">
        <x:f>DATE(YEAR(C3123),MONTH(C3123),1)</x:f>
        <x:v>45992</x:v>
      </x:c>
    </x:row>
    <x:row r="3124" ht="22" customHeight="1">
      <x:c r="A3124" s="2" t="str">
        <x:v>L003120</x:v>
      </x:c>
      <x:c r="B3124" s="2" t="str">
        <x:v>O01269</x:v>
      </x:c>
      <x:c r="C3124" s="7" t="n">
        <x:v>45817</x:v>
      </x:c>
      <x:c r="D3124" s="2" t="str">
        <x:v>Completed</x:v>
      </x:c>
      <x:c r="E3124" s="2" t="str">
        <x:v>North</x:v>
      </x:c>
      <x:c r="F3124" s="2" t="str">
        <x:v>Online</x:v>
      </x:c>
      <x:c r="G3124" s="2" t="str">
        <x:v>Furniture</x:v>
      </x:c>
      <x:c r="H3124" s="2" t="str">
        <x:v>Desk 020</x:v>
      </x:c>
      <x:c r="I3124" s="11" t="n">
        <x:v>2</x:v>
      </x:c>
      <x:c r="J3124" s="9" t="n">
        <x:v>189</x:v>
      </x:c>
      <x:c r="K3124" s="10" t="n">
        <x:v>0.1</x:v>
      </x:c>
      <x:c r="L3124" s="11" t="n">
        <x:v>0</x:v>
      </x:c>
      <x:c r="M3124" s="9" t="n">
        <x:f>IF(D3124="Completed",I3124*J3124,0)</x:f>
        <x:v>378</x:v>
      </x:c>
      <x:c r="N3124" s="9" t="n">
        <x:f>M3124*K3124</x:f>
        <x:v>37.800000000000004</x:v>
      </x:c>
      <x:c r="O3124" s="9" t="n">
        <x:f>M3124-N3124</x:f>
        <x:v>340.2</x:v>
      </x:c>
      <x:c r="P3124" s="9" t="n">
        <x:f>IF(D3124="Completed",L3124*J3124*(1-K3124),0)</x:f>
        <x:v>0</x:v>
      </x:c>
      <x:c r="Q3124" s="9" t="n">
        <x:f>O3124-P3124</x:f>
        <x:v>340.2</x:v>
      </x:c>
      <x:c r="R3124" s="11" t="n">
        <x:f>IF(D3124="Completed",I3124,0)</x:f>
        <x:v>2</x:v>
      </x:c>
      <x:c r="S3124" s="11" t="n">
        <x:f>IF(D3124="Completed",L3124,0)</x:f>
        <x:v>0</x:v>
      </x:c>
      <x:c r="T3124" s="8" t="n">
        <x:f>DATE(YEAR(C3124),MONTH(C3124),1)</x:f>
        <x:v>45809</x:v>
      </x:c>
    </x:row>
    <x:row r="3125" ht="22" customHeight="1">
      <x:c r="A3125" s="2" t="str">
        <x:v>L003121</x:v>
      </x:c>
      <x:c r="B3125" s="2" t="str">
        <x:v>O01269</x:v>
      </x:c>
      <x:c r="C3125" s="7" t="n">
        <x:v>45817</x:v>
      </x:c>
      <x:c r="D3125" s="2" t="str">
        <x:v>Completed</x:v>
      </x:c>
      <x:c r="E3125" s="2" t="str">
        <x:v>North</x:v>
      </x:c>
      <x:c r="F3125" s="2" t="str">
        <x:v>Online</x:v>
      </x:c>
      <x:c r="G3125" s="2" t="str">
        <x:v>Furniture</x:v>
      </x:c>
      <x:c r="H3125" s="2" t="str">
        <x:v>Chair 022</x:v>
      </x:c>
      <x:c r="I3125" s="11" t="n">
        <x:v>1</x:v>
      </x:c>
      <x:c r="J3125" s="9" t="n">
        <x:v>134</x:v>
      </x:c>
      <x:c r="K3125" s="10" t="n">
        <x:v>0.2</x:v>
      </x:c>
      <x:c r="L3125" s="11" t="n">
        <x:v>0</x:v>
      </x:c>
      <x:c r="M3125" s="9" t="n">
        <x:f>IF(D3125="Completed",I3125*J3125,0)</x:f>
        <x:v>134</x:v>
      </x:c>
      <x:c r="N3125" s="9" t="n">
        <x:f>M3125*K3125</x:f>
        <x:v>26.8</x:v>
      </x:c>
      <x:c r="O3125" s="9" t="n">
        <x:f>M3125-N3125</x:f>
        <x:v>107.2</x:v>
      </x:c>
      <x:c r="P3125" s="9" t="n">
        <x:f>IF(D3125="Completed",L3125*J3125*(1-K3125),0)</x:f>
        <x:v>0</x:v>
      </x:c>
      <x:c r="Q3125" s="9" t="n">
        <x:f>O3125-P3125</x:f>
        <x:v>107.2</x:v>
      </x:c>
      <x:c r="R3125" s="11" t="n">
        <x:f>IF(D3125="Completed",I3125,0)</x:f>
        <x:v>1</x:v>
      </x:c>
      <x:c r="S3125" s="11" t="n">
        <x:f>IF(D3125="Completed",L3125,0)</x:f>
        <x:v>0</x:v>
      </x:c>
      <x:c r="T3125" s="8" t="n">
        <x:f>DATE(YEAR(C3125),MONTH(C3125),1)</x:f>
        <x:v>45809</x:v>
      </x:c>
    </x:row>
    <x:row r="3126" ht="22" customHeight="1">
      <x:c r="A3126" s="2" t="str">
        <x:v>L003122</x:v>
      </x:c>
      <x:c r="B3126" s="2" t="str">
        <x:v>O01270</x:v>
      </x:c>
      <x:c r="C3126" s="7" t="n">
        <x:v>45910</x:v>
      </x:c>
      <x:c r="D3126" s="2" t="str">
        <x:v>Cancelled</x:v>
      </x:c>
      <x:c r="E3126" s="2" t="str">
        <x:v>East</x:v>
      </x:c>
      <x:c r="F3126" s="2" t="str">
        <x:v>Online</x:v>
      </x:c>
      <x:c r="G3126" s="2" t="str">
        <x:v>Storage</x:v>
      </x:c>
      <x:c r="H3126" s="2" t="str">
        <x:v>Shelf 023</x:v>
      </x:c>
      <x:c r="I3126" s="11" t="n">
        <x:v>3</x:v>
      </x:c>
      <x:c r="J3126" s="9" t="n">
        <x:v>68</x:v>
      </x:c>
      <x:c r="K3126" s="10" t="n">
        <x:v>0.2</x:v>
      </x:c>
      <x:c r="L3126" s="11" t="n">
        <x:v>0</x:v>
      </x:c>
      <x:c r="M3126" s="9" t="n">
        <x:f>IF(D3126="Completed",I3126*J3126,0)</x:f>
        <x:v>0</x:v>
      </x:c>
      <x:c r="N3126" s="9" t="n">
        <x:f>M3126*K3126</x:f>
        <x:v>0</x:v>
      </x:c>
      <x:c r="O3126" s="9" t="n">
        <x:f>M3126-N3126</x:f>
        <x:v>0</x:v>
      </x:c>
      <x:c r="P3126" s="9" t="n">
        <x:f>IF(D3126="Completed",L3126*J3126*(1-K3126),0)</x:f>
        <x:v>0</x:v>
      </x:c>
      <x:c r="Q3126" s="9" t="n">
        <x:f>O3126-P3126</x:f>
        <x:v>0</x:v>
      </x:c>
      <x:c r="R3126" s="11" t="n">
        <x:f>IF(D3126="Completed",I3126,0)</x:f>
        <x:v>0</x:v>
      </x:c>
      <x:c r="S3126" s="11" t="n">
        <x:f>IF(D3126="Completed",L3126,0)</x:f>
        <x:v>0</x:v>
      </x:c>
      <x:c r="T3126" s="8" t="n">
        <x:f>DATE(YEAR(C3126),MONTH(C3126),1)</x:f>
        <x:v>45901</x:v>
      </x:c>
    </x:row>
    <x:row r="3127" ht="22" customHeight="1">
      <x:c r="A3127" s="2" t="str">
        <x:v>L003123</x:v>
      </x:c>
      <x:c r="B3127" s="2" t="str">
        <x:v>O01270</x:v>
      </x:c>
      <x:c r="C3127" s="7" t="n">
        <x:v>45910</x:v>
      </x:c>
      <x:c r="D3127" s="2" t="str">
        <x:v>Cancelled</x:v>
      </x:c>
      <x:c r="E3127" s="2" t="str">
        <x:v>East</x:v>
      </x:c>
      <x:c r="F3127" s="2" t="str">
        <x:v>Online</x:v>
      </x:c>
      <x:c r="G3127" s="2" t="str">
        <x:v>Storage</x:v>
      </x:c>
      <x:c r="H3127" s="2" t="str">
        <x:v>Shelf 011</x:v>
      </x:c>
      <x:c r="I3127" s="11" t="n">
        <x:v>3</x:v>
      </x:c>
      <x:c r="J3127" s="9" t="n">
        <x:v>80</x:v>
      </x:c>
      <x:c r="K3127" s="10" t="n">
        <x:v>0.1</x:v>
      </x:c>
      <x:c r="L3127" s="11" t="n">
        <x:v>0</x:v>
      </x:c>
      <x:c r="M3127" s="9" t="n">
        <x:f>IF(D3127="Completed",I3127*J3127,0)</x:f>
        <x:v>0</x:v>
      </x:c>
      <x:c r="N3127" s="9" t="n">
        <x:f>M3127*K3127</x:f>
        <x:v>0</x:v>
      </x:c>
      <x:c r="O3127" s="9" t="n">
        <x:f>M3127-N3127</x:f>
        <x:v>0</x:v>
      </x:c>
      <x:c r="P3127" s="9" t="n">
        <x:f>IF(D3127="Completed",L3127*J3127*(1-K3127),0)</x:f>
        <x:v>0</x:v>
      </x:c>
      <x:c r="Q3127" s="9" t="n">
        <x:f>O3127-P3127</x:f>
        <x:v>0</x:v>
      </x:c>
      <x:c r="R3127" s="11" t="n">
        <x:f>IF(D3127="Completed",I3127,0)</x:f>
        <x:v>0</x:v>
      </x:c>
      <x:c r="S3127" s="11" t="n">
        <x:f>IF(D3127="Completed",L3127,0)</x:f>
        <x:v>0</x:v>
      </x:c>
      <x:c r="T3127" s="8" t="n">
        <x:f>DATE(YEAR(C3127),MONTH(C3127),1)</x:f>
        <x:v>45901</x:v>
      </x:c>
    </x:row>
    <x:row r="3128" ht="22" customHeight="1">
      <x:c r="A3128" s="2" t="str">
        <x:v>L003124</x:v>
      </x:c>
      <x:c r="B3128" s="2" t="str">
        <x:v>O01270</x:v>
      </x:c>
      <x:c r="C3128" s="7" t="n">
        <x:v>45910</x:v>
      </x:c>
      <x:c r="D3128" s="2" t="str">
        <x:v>Cancelled</x:v>
      </x:c>
      <x:c r="E3128" s="2" t="str">
        <x:v>East</x:v>
      </x:c>
      <x:c r="F3128" s="2" t="str">
        <x:v>Online</x:v>
      </x:c>
      <x:c r="G3128" s="2" t="str">
        <x:v>Storage</x:v>
      </x:c>
      <x:c r="H3128" s="2" t="str">
        <x:v>Shelf 003</x:v>
      </x:c>
      <x:c r="I3128" s="11" t="n">
        <x:v>2</x:v>
      </x:c>
      <x:c r="J3128" s="9" t="n">
        <x:v>199</x:v>
      </x:c>
      <x:c r="K3128" s="10" t="n">
        <x:v>0.05</x:v>
      </x:c>
      <x:c r="L3128" s="11" t="n">
        <x:v>0</x:v>
      </x:c>
      <x:c r="M3128" s="9" t="n">
        <x:f>IF(D3128="Completed",I3128*J3128,0)</x:f>
        <x:v>0</x:v>
      </x:c>
      <x:c r="N3128" s="9" t="n">
        <x:f>M3128*K3128</x:f>
        <x:v>0</x:v>
      </x:c>
      <x:c r="O3128" s="9" t="n">
        <x:f>M3128-N3128</x:f>
        <x:v>0</x:v>
      </x:c>
      <x:c r="P3128" s="9" t="n">
        <x:f>IF(D3128="Completed",L3128*J3128*(1-K3128),0)</x:f>
        <x:v>0</x:v>
      </x:c>
      <x:c r="Q3128" s="9" t="n">
        <x:f>O3128-P3128</x:f>
        <x:v>0</x:v>
      </x:c>
      <x:c r="R3128" s="11" t="n">
        <x:f>IF(D3128="Completed",I3128,0)</x:f>
        <x:v>0</x:v>
      </x:c>
      <x:c r="S3128" s="11" t="n">
        <x:f>IF(D3128="Completed",L3128,0)</x:f>
        <x:v>0</x:v>
      </x:c>
      <x:c r="T3128" s="8" t="n">
        <x:f>DATE(YEAR(C3128),MONTH(C3128),1)</x:f>
        <x:v>45901</x:v>
      </x:c>
    </x:row>
    <x:row r="3129" ht="22" customHeight="1">
      <x:c r="A3129" s="2" t="str">
        <x:v>L003125</x:v>
      </x:c>
      <x:c r="B3129" s="2" t="str">
        <x:v>O01270</x:v>
      </x:c>
      <x:c r="C3129" s="7" t="n">
        <x:v>45910</x:v>
      </x:c>
      <x:c r="D3129" s="2" t="str">
        <x:v>Cancelled</x:v>
      </x:c>
      <x:c r="E3129" s="2" t="str">
        <x:v>East</x:v>
      </x:c>
      <x:c r="F3129" s="2" t="str">
        <x:v>Online</x:v>
      </x:c>
      <x:c r="G3129" s="2" t="str">
        <x:v>Furniture</x:v>
      </x:c>
      <x:c r="H3129" s="2" t="str">
        <x:v>Desk 012</x:v>
      </x:c>
      <x:c r="I3129" s="11" t="n">
        <x:v>5</x:v>
      </x:c>
      <x:c r="J3129" s="9" t="n">
        <x:v>134</x:v>
      </x:c>
      <x:c r="K3129" s="10" t="n">
        <x:v>0.1</x:v>
      </x:c>
      <x:c r="L3129" s="11" t="n">
        <x:v>0</x:v>
      </x:c>
      <x:c r="M3129" s="9" t="n">
        <x:f>IF(D3129="Completed",I3129*J3129,0)</x:f>
        <x:v>0</x:v>
      </x:c>
      <x:c r="N3129" s="9" t="n">
        <x:f>M3129*K3129</x:f>
        <x:v>0</x:v>
      </x:c>
      <x:c r="O3129" s="9" t="n">
        <x:f>M3129-N3129</x:f>
        <x:v>0</x:v>
      </x:c>
      <x:c r="P3129" s="9" t="n">
        <x:f>IF(D3129="Completed",L3129*J3129*(1-K3129),0)</x:f>
        <x:v>0</x:v>
      </x:c>
      <x:c r="Q3129" s="9" t="n">
        <x:f>O3129-P3129</x:f>
        <x:v>0</x:v>
      </x:c>
      <x:c r="R3129" s="11" t="n">
        <x:f>IF(D3129="Completed",I3129,0)</x:f>
        <x:v>0</x:v>
      </x:c>
      <x:c r="S3129" s="11" t="n">
        <x:f>IF(D3129="Completed",L3129,0)</x:f>
        <x:v>0</x:v>
      </x:c>
      <x:c r="T3129" s="8" t="n">
        <x:f>DATE(YEAR(C3129),MONTH(C3129),1)</x:f>
        <x:v>45901</x:v>
      </x:c>
    </x:row>
    <x:row r="3130" ht="22" customHeight="1">
      <x:c r="A3130" s="2" t="str">
        <x:v>L003126</x:v>
      </x:c>
      <x:c r="B3130" s="2" t="str">
        <x:v>O01271</x:v>
      </x:c>
      <x:c r="C3130" s="7" t="n">
        <x:v>45893</x:v>
      </x:c>
      <x:c r="D3130" s="2" t="str">
        <x:v>Cancelled</x:v>
      </x:c>
      <x:c r="E3130" s="2" t="str">
        <x:v>East</x:v>
      </x:c>
      <x:c r="F3130" s="2" t="str">
        <x:v>Store</x:v>
      </x:c>
      <x:c r="G3130" s="2" t="str">
        <x:v>Furniture</x:v>
      </x:c>
      <x:c r="H3130" s="2" t="str">
        <x:v>Desk 024</x:v>
      </x:c>
      <x:c r="I3130" s="11" t="n">
        <x:v>4</x:v>
      </x:c>
      <x:c r="J3130" s="9" t="n">
        <x:v>81</x:v>
      </x:c>
      <x:c r="K3130" s="10" t="n">
        <x:v>0</x:v>
      </x:c>
      <x:c r="L3130" s="11" t="n">
        <x:v>0</x:v>
      </x:c>
      <x:c r="M3130" s="9" t="n">
        <x:f>IF(D3130="Completed",I3130*J3130,0)</x:f>
        <x:v>0</x:v>
      </x:c>
      <x:c r="N3130" s="9" t="n">
        <x:f>M3130*K3130</x:f>
        <x:v>0</x:v>
      </x:c>
      <x:c r="O3130" s="9" t="n">
        <x:f>M3130-N3130</x:f>
        <x:v>0</x:v>
      </x:c>
      <x:c r="P3130" s="9" t="n">
        <x:f>IF(D3130="Completed",L3130*J3130*(1-K3130),0)</x:f>
        <x:v>0</x:v>
      </x:c>
      <x:c r="Q3130" s="9" t="n">
        <x:f>O3130-P3130</x:f>
        <x:v>0</x:v>
      </x:c>
      <x:c r="R3130" s="11" t="n">
        <x:f>IF(D3130="Completed",I3130,0)</x:f>
        <x:v>0</x:v>
      </x:c>
      <x:c r="S3130" s="11" t="n">
        <x:f>IF(D3130="Completed",L3130,0)</x:f>
        <x:v>0</x:v>
      </x:c>
      <x:c r="T3130" s="8" t="n">
        <x:f>DATE(YEAR(C3130),MONTH(C3130),1)</x:f>
        <x:v>45870</x:v>
      </x:c>
    </x:row>
    <x:row r="3131" ht="22" customHeight="1">
      <x:c r="A3131" s="2" t="str">
        <x:v>L003127</x:v>
      </x:c>
      <x:c r="B3131" s="2" t="str">
        <x:v>O01272</x:v>
      </x:c>
      <x:c r="C3131" s="7" t="n">
        <x:v>45975</x:v>
      </x:c>
      <x:c r="D3131" s="2" t="str">
        <x:v>Completed</x:v>
      </x:c>
      <x:c r="E3131" s="2" t="str">
        <x:v>North</x:v>
      </x:c>
      <x:c r="F3131" s="2" t="str">
        <x:v>Store</x:v>
      </x:c>
      <x:c r="G3131" s="2" t="str">
        <x:v>Furniture</x:v>
      </x:c>
      <x:c r="H3131" s="2" t="str">
        <x:v>Chair 010</x:v>
      </x:c>
      <x:c r="I3131" s="11" t="n">
        <x:v>2</x:v>
      </x:c>
      <x:c r="J3131" s="9" t="n">
        <x:v>211</x:v>
      </x:c>
      <x:c r="K3131" s="10" t="n">
        <x:v>0.2</x:v>
      </x:c>
      <x:c r="L3131" s="11" t="n">
        <x:v>0</x:v>
      </x:c>
      <x:c r="M3131" s="9" t="n">
        <x:f>IF(D3131="Completed",I3131*J3131,0)</x:f>
        <x:v>422</x:v>
      </x:c>
      <x:c r="N3131" s="9" t="n">
        <x:f>M3131*K3131</x:f>
        <x:v>84.4</x:v>
      </x:c>
      <x:c r="O3131" s="9" t="n">
        <x:f>M3131-N3131</x:f>
        <x:v>337.6</x:v>
      </x:c>
      <x:c r="P3131" s="9" t="n">
        <x:f>IF(D3131="Completed",L3131*J3131*(1-K3131),0)</x:f>
        <x:v>0</x:v>
      </x:c>
      <x:c r="Q3131" s="9" t="n">
        <x:f>O3131-P3131</x:f>
        <x:v>337.6</x:v>
      </x:c>
      <x:c r="R3131" s="11" t="n">
        <x:f>IF(D3131="Completed",I3131,0)</x:f>
        <x:v>2</x:v>
      </x:c>
      <x:c r="S3131" s="11" t="n">
        <x:f>IF(D3131="Completed",L3131,0)</x:f>
        <x:v>0</x:v>
      </x:c>
      <x:c r="T3131" s="8" t="n">
        <x:f>DATE(YEAR(C3131),MONTH(C3131),1)</x:f>
        <x:v>45962</x:v>
      </x:c>
    </x:row>
    <x:row r="3132" ht="22" customHeight="1">
      <x:c r="A3132" s="2" t="str">
        <x:v>L003128</x:v>
      </x:c>
      <x:c r="B3132" s="2" t="str">
        <x:v>O01272</x:v>
      </x:c>
      <x:c r="C3132" s="7" t="n">
        <x:v>45975</x:v>
      </x:c>
      <x:c r="D3132" s="2" t="str">
        <x:v>Completed</x:v>
      </x:c>
      <x:c r="E3132" s="2" t="str">
        <x:v>North</x:v>
      </x:c>
      <x:c r="F3132" s="2" t="str">
        <x:v>Store</x:v>
      </x:c>
      <x:c r="G3132" s="2" t="str">
        <x:v>Furniture</x:v>
      </x:c>
      <x:c r="H3132" s="2" t="str">
        <x:v>Chair 006</x:v>
      </x:c>
      <x:c r="I3132" s="11" t="n">
        <x:v>5</x:v>
      </x:c>
      <x:c r="J3132" s="9" t="n">
        <x:v>196</x:v>
      </x:c>
      <x:c r="K3132" s="10" t="n">
        <x:v>0.2</x:v>
      </x:c>
      <x:c r="L3132" s="11" t="n">
        <x:v>0</x:v>
      </x:c>
      <x:c r="M3132" s="9" t="n">
        <x:f>IF(D3132="Completed",I3132*J3132,0)</x:f>
        <x:v>980</x:v>
      </x:c>
      <x:c r="N3132" s="9" t="n">
        <x:f>M3132*K3132</x:f>
        <x:v>196</x:v>
      </x:c>
      <x:c r="O3132" s="9" t="n">
        <x:f>M3132-N3132</x:f>
        <x:v>784</x:v>
      </x:c>
      <x:c r="P3132" s="9" t="n">
        <x:f>IF(D3132="Completed",L3132*J3132*(1-K3132),0)</x:f>
        <x:v>0</x:v>
      </x:c>
      <x:c r="Q3132" s="9" t="n">
        <x:f>O3132-P3132</x:f>
        <x:v>784</x:v>
      </x:c>
      <x:c r="R3132" s="11" t="n">
        <x:f>IF(D3132="Completed",I3132,0)</x:f>
        <x:v>5</x:v>
      </x:c>
      <x:c r="S3132" s="11" t="n">
        <x:f>IF(D3132="Completed",L3132,0)</x:f>
        <x:v>0</x:v>
      </x:c>
      <x:c r="T3132" s="8" t="n">
        <x:f>DATE(YEAR(C3132),MONTH(C3132),1)</x:f>
        <x:v>45962</x:v>
      </x:c>
    </x:row>
    <x:row r="3133" ht="22" customHeight="1">
      <x:c r="A3133" s="2" t="str">
        <x:v>L003129</x:v>
      </x:c>
      <x:c r="B3133" s="2" t="str">
        <x:v>O01272</x:v>
      </x:c>
      <x:c r="C3133" s="7" t="n">
        <x:v>45975</x:v>
      </x:c>
      <x:c r="D3133" s="2" t="str">
        <x:v>Completed</x:v>
      </x:c>
      <x:c r="E3133" s="2" t="str">
        <x:v>North</x:v>
      </x:c>
      <x:c r="F3133" s="2" t="str">
        <x:v>Store</x:v>
      </x:c>
      <x:c r="G3133" s="2" t="str">
        <x:v>Storage</x:v>
      </x:c>
      <x:c r="H3133" s="2" t="str">
        <x:v>Shelf 011</x:v>
      </x:c>
      <x:c r="I3133" s="11" t="n">
        <x:v>4</x:v>
      </x:c>
      <x:c r="J3133" s="9" t="n">
        <x:v>80</x:v>
      </x:c>
      <x:c r="K3133" s="10" t="n">
        <x:v>0</x:v>
      </x:c>
      <x:c r="L3133" s="11" t="n">
        <x:v>0</x:v>
      </x:c>
      <x:c r="M3133" s="9" t="n">
        <x:f>IF(D3133="Completed",I3133*J3133,0)</x:f>
        <x:v>320</x:v>
      </x:c>
      <x:c r="N3133" s="9" t="n">
        <x:f>M3133*K3133</x:f>
        <x:v>0</x:v>
      </x:c>
      <x:c r="O3133" s="9" t="n">
        <x:f>M3133-N3133</x:f>
        <x:v>320</x:v>
      </x:c>
      <x:c r="P3133" s="9" t="n">
        <x:f>IF(D3133="Completed",L3133*J3133*(1-K3133),0)</x:f>
        <x:v>0</x:v>
      </x:c>
      <x:c r="Q3133" s="9" t="n">
        <x:f>O3133-P3133</x:f>
        <x:v>320</x:v>
      </x:c>
      <x:c r="R3133" s="11" t="n">
        <x:f>IF(D3133="Completed",I3133,0)</x:f>
        <x:v>4</x:v>
      </x:c>
      <x:c r="S3133" s="11" t="n">
        <x:f>IF(D3133="Completed",L3133,0)</x:f>
        <x:v>0</x:v>
      </x:c>
      <x:c r="T3133" s="8" t="n">
        <x:f>DATE(YEAR(C3133),MONTH(C3133),1)</x:f>
        <x:v>45962</x:v>
      </x:c>
    </x:row>
    <x:row r="3134" ht="22" customHeight="1">
      <x:c r="A3134" s="2" t="str">
        <x:v>L003130</x:v>
      </x:c>
      <x:c r="B3134" s="2" t="str">
        <x:v>O01273</x:v>
      </x:c>
      <x:c r="C3134" s="7" t="n">
        <x:v>46009</x:v>
      </x:c>
      <x:c r="D3134" s="2" t="str">
        <x:v>Completed</x:v>
      </x:c>
      <x:c r="E3134" s="2" t="str">
        <x:v>West</x:v>
      </x:c>
      <x:c r="F3134" s="2" t="str">
        <x:v>Store</x:v>
      </x:c>
      <x:c r="G3134" s="2" t="str">
        <x:v>Storage</x:v>
      </x:c>
      <x:c r="H3134" s="2" t="str">
        <x:v>Shelf 003</x:v>
      </x:c>
      <x:c r="I3134" s="11" t="n">
        <x:v>3</x:v>
      </x:c>
      <x:c r="J3134" s="9" t="n">
        <x:v>199</x:v>
      </x:c>
      <x:c r="K3134" s="10" t="n">
        <x:v>0.1</x:v>
      </x:c>
      <x:c r="L3134" s="11" t="n">
        <x:v>0</x:v>
      </x:c>
      <x:c r="M3134" s="9" t="n">
        <x:f>IF(D3134="Completed",I3134*J3134,0)</x:f>
        <x:v>597</x:v>
      </x:c>
      <x:c r="N3134" s="9" t="n">
        <x:f>M3134*K3134</x:f>
        <x:v>59.7</x:v>
      </x:c>
      <x:c r="O3134" s="9" t="n">
        <x:f>M3134-N3134</x:f>
        <x:v>537.3</x:v>
      </x:c>
      <x:c r="P3134" s="9" t="n">
        <x:f>IF(D3134="Completed",L3134*J3134*(1-K3134),0)</x:f>
        <x:v>0</x:v>
      </x:c>
      <x:c r="Q3134" s="9" t="n">
        <x:f>O3134-P3134</x:f>
        <x:v>537.3</x:v>
      </x:c>
      <x:c r="R3134" s="11" t="n">
        <x:f>IF(D3134="Completed",I3134,0)</x:f>
        <x:v>3</x:v>
      </x:c>
      <x:c r="S3134" s="11" t="n">
        <x:f>IF(D3134="Completed",L3134,0)</x:f>
        <x:v>0</x:v>
      </x:c>
      <x:c r="T3134" s="8" t="n">
        <x:f>DATE(YEAR(C3134),MONTH(C3134),1)</x:f>
        <x:v>45992</x:v>
      </x:c>
    </x:row>
    <x:row r="3135" ht="22" customHeight="1">
      <x:c r="A3135" s="2" t="str">
        <x:v>L003131</x:v>
      </x:c>
      <x:c r="B3135" s="2" t="str">
        <x:v>O01274</x:v>
      </x:c>
      <x:c r="C3135" s="7" t="n">
        <x:v>45811</x:v>
      </x:c>
      <x:c r="D3135" s="2" t="str">
        <x:v>Completed</x:v>
      </x:c>
      <x:c r="E3135" s="2" t="str">
        <x:v>West</x:v>
      </x:c>
      <x:c r="F3135" s="2" t="str">
        <x:v>Online</x:v>
      </x:c>
      <x:c r="G3135" s="2" t="str">
        <x:v>Furniture</x:v>
      </x:c>
      <x:c r="H3135" s="2" t="str">
        <x:v>Desk 016</x:v>
      </x:c>
      <x:c r="I3135" s="11" t="n">
        <x:v>3</x:v>
      </x:c>
      <x:c r="J3135" s="9" t="n">
        <x:v>231</x:v>
      </x:c>
      <x:c r="K3135" s="10" t="n">
        <x:v>0.1</x:v>
      </x:c>
      <x:c r="L3135" s="11" t="n">
        <x:v>0</x:v>
      </x:c>
      <x:c r="M3135" s="9" t="n">
        <x:f>IF(D3135="Completed",I3135*J3135,0)</x:f>
        <x:v>693</x:v>
      </x:c>
      <x:c r="N3135" s="9" t="n">
        <x:f>M3135*K3135</x:f>
        <x:v>69.3</x:v>
      </x:c>
      <x:c r="O3135" s="9" t="n">
        <x:f>M3135-N3135</x:f>
        <x:v>623.7</x:v>
      </x:c>
      <x:c r="P3135" s="9" t="n">
        <x:f>IF(D3135="Completed",L3135*J3135*(1-K3135),0)</x:f>
        <x:v>0</x:v>
      </x:c>
      <x:c r="Q3135" s="9" t="n">
        <x:f>O3135-P3135</x:f>
        <x:v>623.7</x:v>
      </x:c>
      <x:c r="R3135" s="11" t="n">
        <x:f>IF(D3135="Completed",I3135,0)</x:f>
        <x:v>3</x:v>
      </x:c>
      <x:c r="S3135" s="11" t="n">
        <x:f>IF(D3135="Completed",L3135,0)</x:f>
        <x:v>0</x:v>
      </x:c>
      <x:c r="T3135" s="8" t="n">
        <x:f>DATE(YEAR(C3135),MONTH(C3135),1)</x:f>
        <x:v>45809</x:v>
      </x:c>
    </x:row>
    <x:row r="3136" ht="22" customHeight="1">
      <x:c r="A3136" s="2" t="str">
        <x:v>L003132</x:v>
      </x:c>
      <x:c r="B3136" s="2" t="str">
        <x:v>O01274</x:v>
      </x:c>
      <x:c r="C3136" s="7" t="n">
        <x:v>45811</x:v>
      </x:c>
      <x:c r="D3136" s="2" t="str">
        <x:v>Completed</x:v>
      </x:c>
      <x:c r="E3136" s="2" t="str">
        <x:v>West</x:v>
      </x:c>
      <x:c r="F3136" s="2" t="str">
        <x:v>Online</x:v>
      </x:c>
      <x:c r="G3136" s="2" t="str">
        <x:v>Lighting</x:v>
      </x:c>
      <x:c r="H3136" s="2" t="str">
        <x:v>Lamp 021</x:v>
      </x:c>
      <x:c r="I3136" s="11" t="n">
        <x:v>4</x:v>
      </x:c>
      <x:c r="J3136" s="9" t="n">
        <x:v>249</x:v>
      </x:c>
      <x:c r="K3136" s="10" t="n">
        <x:v>0</x:v>
      </x:c>
      <x:c r="L3136" s="11" t="n">
        <x:v>0</x:v>
      </x:c>
      <x:c r="M3136" s="9" t="n">
        <x:f>IF(D3136="Completed",I3136*J3136,0)</x:f>
        <x:v>996</x:v>
      </x:c>
      <x:c r="N3136" s="9" t="n">
        <x:f>M3136*K3136</x:f>
        <x:v>0</x:v>
      </x:c>
      <x:c r="O3136" s="9" t="n">
        <x:f>M3136-N3136</x:f>
        <x:v>996</x:v>
      </x:c>
      <x:c r="P3136" s="9" t="n">
        <x:f>IF(D3136="Completed",L3136*J3136*(1-K3136),0)</x:f>
        <x:v>0</x:v>
      </x:c>
      <x:c r="Q3136" s="9" t="n">
        <x:f>O3136-P3136</x:f>
        <x:v>996</x:v>
      </x:c>
      <x:c r="R3136" s="11" t="n">
        <x:f>IF(D3136="Completed",I3136,0)</x:f>
        <x:v>4</x:v>
      </x:c>
      <x:c r="S3136" s="11" t="n">
        <x:f>IF(D3136="Completed",L3136,0)</x:f>
        <x:v>0</x:v>
      </x:c>
      <x:c r="T3136" s="8" t="n">
        <x:f>DATE(YEAR(C3136),MONTH(C3136),1)</x:f>
        <x:v>45809</x:v>
      </x:c>
    </x:row>
    <x:row r="3137" ht="22" customHeight="1">
      <x:c r="A3137" s="2" t="str">
        <x:v>L003133</x:v>
      </x:c>
      <x:c r="B3137" s="2" t="str">
        <x:v>O01275</x:v>
      </x:c>
      <x:c r="C3137" s="7" t="n">
        <x:v>45912</x:v>
      </x:c>
      <x:c r="D3137" s="2" t="str">
        <x:v>Completed</x:v>
      </x:c>
      <x:c r="E3137" s="2" t="str">
        <x:v>North</x:v>
      </x:c>
      <x:c r="F3137" s="2" t="str">
        <x:v>Online</x:v>
      </x:c>
      <x:c r="G3137" s="2" t="str">
        <x:v>Storage</x:v>
      </x:c>
      <x:c r="H3137" s="2" t="str">
        <x:v>Shelf 023</x:v>
      </x:c>
      <x:c r="I3137" s="11" t="n">
        <x:v>5</x:v>
      </x:c>
      <x:c r="J3137" s="9" t="n">
        <x:v>68</x:v>
      </x:c>
      <x:c r="K3137" s="10" t="n">
        <x:v>0.05</x:v>
      </x:c>
      <x:c r="L3137" s="11" t="n">
        <x:v>0</x:v>
      </x:c>
      <x:c r="M3137" s="9" t="n">
        <x:f>IF(D3137="Completed",I3137*J3137,0)</x:f>
        <x:v>340</x:v>
      </x:c>
      <x:c r="N3137" s="9" t="n">
        <x:f>M3137*K3137</x:f>
        <x:v>17</x:v>
      </x:c>
      <x:c r="O3137" s="9" t="n">
        <x:f>M3137-N3137</x:f>
        <x:v>323</x:v>
      </x:c>
      <x:c r="P3137" s="9" t="n">
        <x:f>IF(D3137="Completed",L3137*J3137*(1-K3137),0)</x:f>
        <x:v>0</x:v>
      </x:c>
      <x:c r="Q3137" s="9" t="n">
        <x:f>O3137-P3137</x:f>
        <x:v>323</x:v>
      </x:c>
      <x:c r="R3137" s="11" t="n">
        <x:f>IF(D3137="Completed",I3137,0)</x:f>
        <x:v>5</x:v>
      </x:c>
      <x:c r="S3137" s="11" t="n">
        <x:f>IF(D3137="Completed",L3137,0)</x:f>
        <x:v>0</x:v>
      </x:c>
      <x:c r="T3137" s="8" t="n">
        <x:f>DATE(YEAR(C3137),MONTH(C3137),1)</x:f>
        <x:v>45901</x:v>
      </x:c>
    </x:row>
    <x:row r="3138" ht="22" customHeight="1">
      <x:c r="A3138" s="2" t="str">
        <x:v>L003134</x:v>
      </x:c>
      <x:c r="B3138" s="2" t="str">
        <x:v>O01275</x:v>
      </x:c>
      <x:c r="C3138" s="7" t="n">
        <x:v>45912</x:v>
      </x:c>
      <x:c r="D3138" s="2" t="str">
        <x:v>Completed</x:v>
      </x:c>
      <x:c r="E3138" s="2" t="str">
        <x:v>North</x:v>
      </x:c>
      <x:c r="F3138" s="2" t="str">
        <x:v>Online</x:v>
      </x:c>
      <x:c r="G3138" s="2" t="str">
        <x:v>Storage</x:v>
      </x:c>
      <x:c r="H3138" s="2" t="str">
        <x:v>Shelf 011</x:v>
      </x:c>
      <x:c r="I3138" s="11" t="n">
        <x:v>2</x:v>
      </x:c>
      <x:c r="J3138" s="9" t="n">
        <x:v>80</x:v>
      </x:c>
      <x:c r="K3138" s="10" t="n">
        <x:v>0</x:v>
      </x:c>
      <x:c r="L3138" s="11" t="n">
        <x:v>0</x:v>
      </x:c>
      <x:c r="M3138" s="9" t="n">
        <x:f>IF(D3138="Completed",I3138*J3138,0)</x:f>
        <x:v>160</x:v>
      </x:c>
      <x:c r="N3138" s="9" t="n">
        <x:f>M3138*K3138</x:f>
        <x:v>0</x:v>
      </x:c>
      <x:c r="O3138" s="9" t="n">
        <x:f>M3138-N3138</x:f>
        <x:v>160</x:v>
      </x:c>
      <x:c r="P3138" s="9" t="n">
        <x:f>IF(D3138="Completed",L3138*J3138*(1-K3138),0)</x:f>
        <x:v>0</x:v>
      </x:c>
      <x:c r="Q3138" s="9" t="n">
        <x:f>O3138-P3138</x:f>
        <x:v>160</x:v>
      </x:c>
      <x:c r="R3138" s="11" t="n">
        <x:f>IF(D3138="Completed",I3138,0)</x:f>
        <x:v>2</x:v>
      </x:c>
      <x:c r="S3138" s="11" t="n">
        <x:f>IF(D3138="Completed",L3138,0)</x:f>
        <x:v>0</x:v>
      </x:c>
      <x:c r="T3138" s="8" t="n">
        <x:f>DATE(YEAR(C3138),MONTH(C3138),1)</x:f>
        <x:v>45901</x:v>
      </x:c>
    </x:row>
    <x:row r="3139" ht="22" customHeight="1">
      <x:c r="A3139" s="2" t="str">
        <x:v>L003135</x:v>
      </x:c>
      <x:c r="B3139" s="2" t="str">
        <x:v>O01276</x:v>
      </x:c>
      <x:c r="C3139" s="7" t="n">
        <x:v>45697</x:v>
      </x:c>
      <x:c r="D3139" s="2" t="str">
        <x:v>Completed</x:v>
      </x:c>
      <x:c r="E3139" s="2" t="str">
        <x:v>West</x:v>
      </x:c>
      <x:c r="F3139" s="2" t="str">
        <x:v>Online</x:v>
      </x:c>
      <x:c r="G3139" s="2" t="str">
        <x:v>Storage</x:v>
      </x:c>
      <x:c r="H3139" s="2" t="str">
        <x:v>Shelf 007</x:v>
      </x:c>
      <x:c r="I3139" s="11" t="n">
        <x:v>5</x:v>
      </x:c>
      <x:c r="J3139" s="9" t="n">
        <x:v>35</x:v>
      </x:c>
      <x:c r="K3139" s="10" t="n">
        <x:v>0.1</x:v>
      </x:c>
      <x:c r="L3139" s="11" t="n">
        <x:v>0</x:v>
      </x:c>
      <x:c r="M3139" s="9" t="n">
        <x:f>IF(D3139="Completed",I3139*J3139,0)</x:f>
        <x:v>175</x:v>
      </x:c>
      <x:c r="N3139" s="9" t="n">
        <x:f>M3139*K3139</x:f>
        <x:v>17.5</x:v>
      </x:c>
      <x:c r="O3139" s="9" t="n">
        <x:f>M3139-N3139</x:f>
        <x:v>157.5</x:v>
      </x:c>
      <x:c r="P3139" s="9" t="n">
        <x:f>IF(D3139="Completed",L3139*J3139*(1-K3139),0)</x:f>
        <x:v>0</x:v>
      </x:c>
      <x:c r="Q3139" s="9" t="n">
        <x:f>O3139-P3139</x:f>
        <x:v>157.5</x:v>
      </x:c>
      <x:c r="R3139" s="11" t="n">
        <x:f>IF(D3139="Completed",I3139,0)</x:f>
        <x:v>5</x:v>
      </x:c>
      <x:c r="S3139" s="11" t="n">
        <x:f>IF(D3139="Completed",L3139,0)</x:f>
        <x:v>0</x:v>
      </x:c>
      <x:c r="T3139" s="8" t="n">
        <x:f>DATE(YEAR(C3139),MONTH(C3139),1)</x:f>
        <x:v>45689</x:v>
      </x:c>
    </x:row>
    <x:row r="3140" ht="22" customHeight="1">
      <x:c r="A3140" s="2" t="str">
        <x:v>L003136</x:v>
      </x:c>
      <x:c r="B3140" s="2" t="str">
        <x:v>O01276</x:v>
      </x:c>
      <x:c r="C3140" s="7" t="n">
        <x:v>45697</x:v>
      </x:c>
      <x:c r="D3140" s="2" t="str">
        <x:v>Completed</x:v>
      </x:c>
      <x:c r="E3140" s="2" t="str">
        <x:v>West</x:v>
      </x:c>
      <x:c r="F3140" s="2" t="str">
        <x:v>Online</x:v>
      </x:c>
      <x:c r="G3140" s="2" t="str">
        <x:v>Storage</x:v>
      </x:c>
      <x:c r="H3140" s="2" t="str">
        <x:v>Shelf 007</x:v>
      </x:c>
      <x:c r="I3140" s="11" t="n">
        <x:v>4</x:v>
      </x:c>
      <x:c r="J3140" s="9" t="n">
        <x:v>35</x:v>
      </x:c>
      <x:c r="K3140" s="10" t="n">
        <x:v>0.2</x:v>
      </x:c>
      <x:c r="L3140" s="11" t="n">
        <x:v>0</x:v>
      </x:c>
      <x:c r="M3140" s="9" t="n">
        <x:f>IF(D3140="Completed",I3140*J3140,0)</x:f>
        <x:v>140</x:v>
      </x:c>
      <x:c r="N3140" s="9" t="n">
        <x:f>M3140*K3140</x:f>
        <x:v>28</x:v>
      </x:c>
      <x:c r="O3140" s="9" t="n">
        <x:f>M3140-N3140</x:f>
        <x:v>112</x:v>
      </x:c>
      <x:c r="P3140" s="9" t="n">
        <x:f>IF(D3140="Completed",L3140*J3140*(1-K3140),0)</x:f>
        <x:v>0</x:v>
      </x:c>
      <x:c r="Q3140" s="9" t="n">
        <x:f>O3140-P3140</x:f>
        <x:v>112</x:v>
      </x:c>
      <x:c r="R3140" s="11" t="n">
        <x:f>IF(D3140="Completed",I3140,0)</x:f>
        <x:v>4</x:v>
      </x:c>
      <x:c r="S3140" s="11" t="n">
        <x:f>IF(D3140="Completed",L3140,0)</x:f>
        <x:v>0</x:v>
      </x:c>
      <x:c r="T3140" s="8" t="n">
        <x:f>DATE(YEAR(C3140),MONTH(C3140),1)</x:f>
        <x:v>45689</x:v>
      </x:c>
    </x:row>
    <x:row r="3141" ht="22" customHeight="1">
      <x:c r="A3141" s="2" t="str">
        <x:v>L003137</x:v>
      </x:c>
      <x:c r="B3141" s="2" t="str">
        <x:v>O01276</x:v>
      </x:c>
      <x:c r="C3141" s="7" t="n">
        <x:v>45697</x:v>
      </x:c>
      <x:c r="D3141" s="2" t="str">
        <x:v>Completed</x:v>
      </x:c>
      <x:c r="E3141" s="2" t="str">
        <x:v>West</x:v>
      </x:c>
      <x:c r="F3141" s="2" t="str">
        <x:v>Online</x:v>
      </x:c>
      <x:c r="G3141" s="2" t="str">
        <x:v>Furniture</x:v>
      </x:c>
      <x:c r="H3141" s="2" t="str">
        <x:v>Desk 004</x:v>
      </x:c>
      <x:c r="I3141" s="11" t="n">
        <x:v>1</x:v>
      </x:c>
      <x:c r="J3141" s="9" t="n">
        <x:v>123</x:v>
      </x:c>
      <x:c r="K3141" s="10" t="n">
        <x:v>0.1</x:v>
      </x:c>
      <x:c r="L3141" s="11" t="n">
        <x:v>0</x:v>
      </x:c>
      <x:c r="M3141" s="9" t="n">
        <x:f>IF(D3141="Completed",I3141*J3141,0)</x:f>
        <x:v>123</x:v>
      </x:c>
      <x:c r="N3141" s="9" t="n">
        <x:f>M3141*K3141</x:f>
        <x:v>12.3</x:v>
      </x:c>
      <x:c r="O3141" s="9" t="n">
        <x:f>M3141-N3141</x:f>
        <x:v>110.7</x:v>
      </x:c>
      <x:c r="P3141" s="9" t="n">
        <x:f>IF(D3141="Completed",L3141*J3141*(1-K3141),0)</x:f>
        <x:v>0</x:v>
      </x:c>
      <x:c r="Q3141" s="9" t="n">
        <x:f>O3141-P3141</x:f>
        <x:v>110.7</x:v>
      </x:c>
      <x:c r="R3141" s="11" t="n">
        <x:f>IF(D3141="Completed",I3141,0)</x:f>
        <x:v>1</x:v>
      </x:c>
      <x:c r="S3141" s="11" t="n">
        <x:f>IF(D3141="Completed",L3141,0)</x:f>
        <x:v>0</x:v>
      </x:c>
      <x:c r="T3141" s="8" t="n">
        <x:f>DATE(YEAR(C3141),MONTH(C3141),1)</x:f>
        <x:v>45689</x:v>
      </x:c>
    </x:row>
    <x:row r="3142" ht="22" customHeight="1">
      <x:c r="A3142" s="2" t="str">
        <x:v>L003138</x:v>
      </x:c>
      <x:c r="B3142" s="2" t="str">
        <x:v>O01276</x:v>
      </x:c>
      <x:c r="C3142" s="7" t="n">
        <x:v>45697</x:v>
      </x:c>
      <x:c r="D3142" s="2" t="str">
        <x:v>Completed</x:v>
      </x:c>
      <x:c r="E3142" s="2" t="str">
        <x:v>West</x:v>
      </x:c>
      <x:c r="F3142" s="2" t="str">
        <x:v>Online</x:v>
      </x:c>
      <x:c r="G3142" s="2" t="str">
        <x:v>Storage</x:v>
      </x:c>
      <x:c r="H3142" s="2" t="str">
        <x:v>Shelf 007</x:v>
      </x:c>
      <x:c r="I3142" s="11" t="n">
        <x:v>5</x:v>
      </x:c>
      <x:c r="J3142" s="9" t="n">
        <x:v>35</x:v>
      </x:c>
      <x:c r="K3142" s="10" t="n">
        <x:v>0.1</x:v>
      </x:c>
      <x:c r="L3142" s="11" t="n">
        <x:v>0</x:v>
      </x:c>
      <x:c r="M3142" s="9" t="n">
        <x:f>IF(D3142="Completed",I3142*J3142,0)</x:f>
        <x:v>175</x:v>
      </x:c>
      <x:c r="N3142" s="9" t="n">
        <x:f>M3142*K3142</x:f>
        <x:v>17.5</x:v>
      </x:c>
      <x:c r="O3142" s="9" t="n">
        <x:f>M3142-N3142</x:f>
        <x:v>157.5</x:v>
      </x:c>
      <x:c r="P3142" s="9" t="n">
        <x:f>IF(D3142="Completed",L3142*J3142*(1-K3142),0)</x:f>
        <x:v>0</x:v>
      </x:c>
      <x:c r="Q3142" s="9" t="n">
        <x:f>O3142-P3142</x:f>
        <x:v>157.5</x:v>
      </x:c>
      <x:c r="R3142" s="11" t="n">
        <x:f>IF(D3142="Completed",I3142,0)</x:f>
        <x:v>5</x:v>
      </x:c>
      <x:c r="S3142" s="11" t="n">
        <x:f>IF(D3142="Completed",L3142,0)</x:f>
        <x:v>0</x:v>
      </x:c>
      <x:c r="T3142" s="8" t="n">
        <x:f>DATE(YEAR(C3142),MONTH(C3142),1)</x:f>
        <x:v>45689</x:v>
      </x:c>
    </x:row>
    <x:row r="3143" ht="22" customHeight="1">
      <x:c r="A3143" s="2" t="str">
        <x:v>L003139</x:v>
      </x:c>
      <x:c r="B3143" s="2" t="str">
        <x:v>O01277</x:v>
      </x:c>
      <x:c r="C3143" s="7" t="n">
        <x:v>45704</x:v>
      </x:c>
      <x:c r="D3143" s="2" t="str">
        <x:v>Completed</x:v>
      </x:c>
      <x:c r="E3143" s="2" t="str">
        <x:v>North</x:v>
      </x:c>
      <x:c r="F3143" s="2" t="str">
        <x:v>Store</x:v>
      </x:c>
      <x:c r="G3143" s="2" t="str">
        <x:v>Furniture</x:v>
      </x:c>
      <x:c r="H3143" s="2" t="str">
        <x:v>Chair 002</x:v>
      </x:c>
      <x:c r="I3143" s="11" t="n">
        <x:v>5</x:v>
      </x:c>
      <x:c r="J3143" s="9" t="n">
        <x:v>284</x:v>
      </x:c>
      <x:c r="K3143" s="10" t="n">
        <x:v>0.05</x:v>
      </x:c>
      <x:c r="L3143" s="11" t="n">
        <x:v>0</x:v>
      </x:c>
      <x:c r="M3143" s="9" t="n">
        <x:f>IF(D3143="Completed",I3143*J3143,0)</x:f>
        <x:v>1420</x:v>
      </x:c>
      <x:c r="N3143" s="9" t="n">
        <x:f>M3143*K3143</x:f>
        <x:v>71</x:v>
      </x:c>
      <x:c r="O3143" s="9" t="n">
        <x:f>M3143-N3143</x:f>
        <x:v>1349</x:v>
      </x:c>
      <x:c r="P3143" s="9" t="n">
        <x:f>IF(D3143="Completed",L3143*J3143*(1-K3143),0)</x:f>
        <x:v>0</x:v>
      </x:c>
      <x:c r="Q3143" s="9" t="n">
        <x:f>O3143-P3143</x:f>
        <x:v>1349</x:v>
      </x:c>
      <x:c r="R3143" s="11" t="n">
        <x:f>IF(D3143="Completed",I3143,0)</x:f>
        <x:v>5</x:v>
      </x:c>
      <x:c r="S3143" s="11" t="n">
        <x:f>IF(D3143="Completed",L3143,0)</x:f>
        <x:v>0</x:v>
      </x:c>
      <x:c r="T3143" s="8" t="n">
        <x:f>DATE(YEAR(C3143),MONTH(C3143),1)</x:f>
        <x:v>45689</x:v>
      </x:c>
    </x:row>
    <x:row r="3144" ht="22" customHeight="1">
      <x:c r="A3144" s="2" t="str">
        <x:v>L003140</x:v>
      </x:c>
      <x:c r="B3144" s="2" t="str">
        <x:v>O01278</x:v>
      </x:c>
      <x:c r="C3144" s="7" t="n">
        <x:v>45936</x:v>
      </x:c>
      <x:c r="D3144" s="2" t="str">
        <x:v>Completed</x:v>
      </x:c>
      <x:c r="E3144" s="2" t="str">
        <x:v>North</x:v>
      </x:c>
      <x:c r="F3144" s="2" t="str">
        <x:v>Store</x:v>
      </x:c>
      <x:c r="G3144" s="2" t="str">
        <x:v>Lighting</x:v>
      </x:c>
      <x:c r="H3144" s="2" t="str">
        <x:v>Lamp 013</x:v>
      </x:c>
      <x:c r="I3144" s="11" t="n">
        <x:v>1</x:v>
      </x:c>
      <x:c r="J3144" s="9" t="n">
        <x:v>271</x:v>
      </x:c>
      <x:c r="K3144" s="10" t="n">
        <x:v>0.1</x:v>
      </x:c>
      <x:c r="L3144" s="11" t="n">
        <x:v>0</x:v>
      </x:c>
      <x:c r="M3144" s="9" t="n">
        <x:f>IF(D3144="Completed",I3144*J3144,0)</x:f>
        <x:v>271</x:v>
      </x:c>
      <x:c r="N3144" s="9" t="n">
        <x:f>M3144*K3144</x:f>
        <x:v>27.1</x:v>
      </x:c>
      <x:c r="O3144" s="9" t="n">
        <x:f>M3144-N3144</x:f>
        <x:v>243.9</x:v>
      </x:c>
      <x:c r="P3144" s="9" t="n">
        <x:f>IF(D3144="Completed",L3144*J3144*(1-K3144),0)</x:f>
        <x:v>0</x:v>
      </x:c>
      <x:c r="Q3144" s="9" t="n">
        <x:f>O3144-P3144</x:f>
        <x:v>243.9</x:v>
      </x:c>
      <x:c r="R3144" s="11" t="n">
        <x:f>IF(D3144="Completed",I3144,0)</x:f>
        <x:v>1</x:v>
      </x:c>
      <x:c r="S3144" s="11" t="n">
        <x:f>IF(D3144="Completed",L3144,0)</x:f>
        <x:v>0</x:v>
      </x:c>
      <x:c r="T3144" s="8" t="n">
        <x:f>DATE(YEAR(C3144),MONTH(C3144),1)</x:f>
        <x:v>45931</x:v>
      </x:c>
    </x:row>
    <x:row r="3145" ht="22" customHeight="1">
      <x:c r="A3145" s="2" t="str">
        <x:v>L003141</x:v>
      </x:c>
      <x:c r="B3145" s="2" t="str">
        <x:v>O01279</x:v>
      </x:c>
      <x:c r="C3145" s="7" t="n">
        <x:v>45797</x:v>
      </x:c>
      <x:c r="D3145" s="2" t="str">
        <x:v>Completed</x:v>
      </x:c>
      <x:c r="E3145" s="2" t="str">
        <x:v>West</x:v>
      </x:c>
      <x:c r="F3145" s="2" t="str">
        <x:v>Store</x:v>
      </x:c>
      <x:c r="G3145" s="2" t="str">
        <x:v>Lighting</x:v>
      </x:c>
      <x:c r="H3145" s="2" t="str">
        <x:v>Lamp 021</x:v>
      </x:c>
      <x:c r="I3145" s="11" t="n">
        <x:v>4</x:v>
      </x:c>
      <x:c r="J3145" s="9" t="n">
        <x:v>249</x:v>
      </x:c>
      <x:c r="K3145" s="10" t="n">
        <x:v>0</x:v>
      </x:c>
      <x:c r="L3145" s="11" t="n">
        <x:v>0</x:v>
      </x:c>
      <x:c r="M3145" s="9" t="n">
        <x:f>IF(D3145="Completed",I3145*J3145,0)</x:f>
        <x:v>996</x:v>
      </x:c>
      <x:c r="N3145" s="9" t="n">
        <x:f>M3145*K3145</x:f>
        <x:v>0</x:v>
      </x:c>
      <x:c r="O3145" s="9" t="n">
        <x:f>M3145-N3145</x:f>
        <x:v>996</x:v>
      </x:c>
      <x:c r="P3145" s="9" t="n">
        <x:f>IF(D3145="Completed",L3145*J3145*(1-K3145),0)</x:f>
        <x:v>0</x:v>
      </x:c>
      <x:c r="Q3145" s="9" t="n">
        <x:f>O3145-P3145</x:f>
        <x:v>996</x:v>
      </x:c>
      <x:c r="R3145" s="11" t="n">
        <x:f>IF(D3145="Completed",I3145,0)</x:f>
        <x:v>4</x:v>
      </x:c>
      <x:c r="S3145" s="11" t="n">
        <x:f>IF(D3145="Completed",L3145,0)</x:f>
        <x:v>0</x:v>
      </x:c>
      <x:c r="T3145" s="8" t="n">
        <x:f>DATE(YEAR(C3145),MONTH(C3145),1)</x:f>
        <x:v>45778</x:v>
      </x:c>
    </x:row>
    <x:row r="3146" ht="22" customHeight="1">
      <x:c r="A3146" s="2" t="str">
        <x:v>L003142</x:v>
      </x:c>
      <x:c r="B3146" s="2" t="str">
        <x:v>O01279</x:v>
      </x:c>
      <x:c r="C3146" s="7" t="n">
        <x:v>45797</x:v>
      </x:c>
      <x:c r="D3146" s="2" t="str">
        <x:v>Completed</x:v>
      </x:c>
      <x:c r="E3146" s="2" t="str">
        <x:v>West</x:v>
      </x:c>
      <x:c r="F3146" s="2" t="str">
        <x:v>Store</x:v>
      </x:c>
      <x:c r="G3146" s="2" t="str">
        <x:v>Furniture</x:v>
      </x:c>
      <x:c r="H3146" s="2" t="str">
        <x:v>Desk 024</x:v>
      </x:c>
      <x:c r="I3146" s="11" t="n">
        <x:v>5</x:v>
      </x:c>
      <x:c r="J3146" s="9" t="n">
        <x:v>81</x:v>
      </x:c>
      <x:c r="K3146" s="10" t="n">
        <x:v>0.05</x:v>
      </x:c>
      <x:c r="L3146" s="11" t="n">
        <x:v>0</x:v>
      </x:c>
      <x:c r="M3146" s="9" t="n">
        <x:f>IF(D3146="Completed",I3146*J3146,0)</x:f>
        <x:v>405</x:v>
      </x:c>
      <x:c r="N3146" s="9" t="n">
        <x:f>M3146*K3146</x:f>
        <x:v>20.25</x:v>
      </x:c>
      <x:c r="O3146" s="9" t="n">
        <x:f>M3146-N3146</x:f>
        <x:v>384.75</x:v>
      </x:c>
      <x:c r="P3146" s="9" t="n">
        <x:f>IF(D3146="Completed",L3146*J3146*(1-K3146),0)</x:f>
        <x:v>0</x:v>
      </x:c>
      <x:c r="Q3146" s="9" t="n">
        <x:f>O3146-P3146</x:f>
        <x:v>384.75</x:v>
      </x:c>
      <x:c r="R3146" s="11" t="n">
        <x:f>IF(D3146="Completed",I3146,0)</x:f>
        <x:v>5</x:v>
      </x:c>
      <x:c r="S3146" s="11" t="n">
        <x:f>IF(D3146="Completed",L3146,0)</x:f>
        <x:v>0</x:v>
      </x:c>
      <x:c r="T3146" s="8" t="n">
        <x:f>DATE(YEAR(C3146),MONTH(C3146),1)</x:f>
        <x:v>45778</x:v>
      </x:c>
    </x:row>
    <x:row r="3147" ht="22" customHeight="1">
      <x:c r="A3147" s="2" t="str">
        <x:v>L003143</x:v>
      </x:c>
      <x:c r="B3147" s="2" t="str">
        <x:v>O01280</x:v>
      </x:c>
      <x:c r="C3147" s="7" t="n">
        <x:v>45704</x:v>
      </x:c>
      <x:c r="D3147" s="2" t="str">
        <x:v>Cancelled</x:v>
      </x:c>
      <x:c r="E3147" s="2" t="str">
        <x:v>South</x:v>
      </x:c>
      <x:c r="F3147" s="2" t="str">
        <x:v>Online</x:v>
      </x:c>
      <x:c r="G3147" s="2" t="str">
        <x:v>Storage</x:v>
      </x:c>
      <x:c r="H3147" s="2" t="str">
        <x:v>Shelf 011</x:v>
      </x:c>
      <x:c r="I3147" s="11" t="n">
        <x:v>1</x:v>
      </x:c>
      <x:c r="J3147" s="9" t="n">
        <x:v>80</x:v>
      </x:c>
      <x:c r="K3147" s="10" t="n">
        <x:v>0.05</x:v>
      </x:c>
      <x:c r="L3147" s="11" t="n">
        <x:v>0</x:v>
      </x:c>
      <x:c r="M3147" s="9" t="n">
        <x:f>IF(D3147="Completed",I3147*J3147,0)</x:f>
        <x:v>0</x:v>
      </x:c>
      <x:c r="N3147" s="9" t="n">
        <x:f>M3147*K3147</x:f>
        <x:v>0</x:v>
      </x:c>
      <x:c r="O3147" s="9" t="n">
        <x:f>M3147-N3147</x:f>
        <x:v>0</x:v>
      </x:c>
      <x:c r="P3147" s="9" t="n">
        <x:f>IF(D3147="Completed",L3147*J3147*(1-K3147),0)</x:f>
        <x:v>0</x:v>
      </x:c>
      <x:c r="Q3147" s="9" t="n">
        <x:f>O3147-P3147</x:f>
        <x:v>0</x:v>
      </x:c>
      <x:c r="R3147" s="11" t="n">
        <x:f>IF(D3147="Completed",I3147,0)</x:f>
        <x:v>0</x:v>
      </x:c>
      <x:c r="S3147" s="11" t="n">
        <x:f>IF(D3147="Completed",L3147,0)</x:f>
        <x:v>0</x:v>
      </x:c>
      <x:c r="T3147" s="8" t="n">
        <x:f>DATE(YEAR(C3147),MONTH(C3147),1)</x:f>
        <x:v>45689</x:v>
      </x:c>
    </x:row>
    <x:row r="3148" ht="22" customHeight="1">
      <x:c r="A3148" s="2" t="str">
        <x:v>L003144</x:v>
      </x:c>
      <x:c r="B3148" s="2" t="str">
        <x:v>O01280</x:v>
      </x:c>
      <x:c r="C3148" s="7" t="n">
        <x:v>45704</x:v>
      </x:c>
      <x:c r="D3148" s="2" t="str">
        <x:v>Cancelled</x:v>
      </x:c>
      <x:c r="E3148" s="2" t="str">
        <x:v>South</x:v>
      </x:c>
      <x:c r="F3148" s="2" t="str">
        <x:v>Online</x:v>
      </x:c>
      <x:c r="G3148" s="2" t="str">
        <x:v>Storage</x:v>
      </x:c>
      <x:c r="H3148" s="2" t="str">
        <x:v>Shelf 023</x:v>
      </x:c>
      <x:c r="I3148" s="11" t="n">
        <x:v>3</x:v>
      </x:c>
      <x:c r="J3148" s="9" t="n">
        <x:v>68</x:v>
      </x:c>
      <x:c r="K3148" s="10" t="n">
        <x:v>0.1</x:v>
      </x:c>
      <x:c r="L3148" s="11" t="n">
        <x:v>0</x:v>
      </x:c>
      <x:c r="M3148" s="9" t="n">
        <x:f>IF(D3148="Completed",I3148*J3148,0)</x:f>
        <x:v>0</x:v>
      </x:c>
      <x:c r="N3148" s="9" t="n">
        <x:f>M3148*K3148</x:f>
        <x:v>0</x:v>
      </x:c>
      <x:c r="O3148" s="9" t="n">
        <x:f>M3148-N3148</x:f>
        <x:v>0</x:v>
      </x:c>
      <x:c r="P3148" s="9" t="n">
        <x:f>IF(D3148="Completed",L3148*J3148*(1-K3148),0)</x:f>
        <x:v>0</x:v>
      </x:c>
      <x:c r="Q3148" s="9" t="n">
        <x:f>O3148-P3148</x:f>
        <x:v>0</x:v>
      </x:c>
      <x:c r="R3148" s="11" t="n">
        <x:f>IF(D3148="Completed",I3148,0)</x:f>
        <x:v>0</x:v>
      </x:c>
      <x:c r="S3148" s="11" t="n">
        <x:f>IF(D3148="Completed",L3148,0)</x:f>
        <x:v>0</x:v>
      </x:c>
      <x:c r="T3148" s="8" t="n">
        <x:f>DATE(YEAR(C3148),MONTH(C3148),1)</x:f>
        <x:v>45689</x:v>
      </x:c>
    </x:row>
    <x:row r="3149" ht="22" customHeight="1">
      <x:c r="A3149" s="2" t="str">
        <x:v>L003145</x:v>
      </x:c>
      <x:c r="B3149" s="2" t="str">
        <x:v>O01281</x:v>
      </x:c>
      <x:c r="C3149" s="7" t="n">
        <x:v>45908</x:v>
      </x:c>
      <x:c r="D3149" s="2" t="str">
        <x:v>Completed</x:v>
      </x:c>
      <x:c r="E3149" s="2" t="str">
        <x:v>South</x:v>
      </x:c>
      <x:c r="F3149" s="2" t="str">
        <x:v>Store</x:v>
      </x:c>
      <x:c r="G3149" s="2" t="str">
        <x:v>Furniture</x:v>
      </x:c>
      <x:c r="H3149" s="2" t="str">
        <x:v>Desk 008</x:v>
      </x:c>
      <x:c r="I3149" s="11" t="n">
        <x:v>1</x:v>
      </x:c>
      <x:c r="J3149" s="9" t="n">
        <x:v>188</x:v>
      </x:c>
      <x:c r="K3149" s="10" t="n">
        <x:v>0</x:v>
      </x:c>
      <x:c r="L3149" s="11" t="n">
        <x:v>0</x:v>
      </x:c>
      <x:c r="M3149" s="9" t="n">
        <x:f>IF(D3149="Completed",I3149*J3149,0)</x:f>
        <x:v>188</x:v>
      </x:c>
      <x:c r="N3149" s="9" t="n">
        <x:f>M3149*K3149</x:f>
        <x:v>0</x:v>
      </x:c>
      <x:c r="O3149" s="9" t="n">
        <x:f>M3149-N3149</x:f>
        <x:v>188</x:v>
      </x:c>
      <x:c r="P3149" s="9" t="n">
        <x:f>IF(D3149="Completed",L3149*J3149*(1-K3149),0)</x:f>
        <x:v>0</x:v>
      </x:c>
      <x:c r="Q3149" s="9" t="n">
        <x:f>O3149-P3149</x:f>
        <x:v>188</x:v>
      </x:c>
      <x:c r="R3149" s="11" t="n">
        <x:f>IF(D3149="Completed",I3149,0)</x:f>
        <x:v>1</x:v>
      </x:c>
      <x:c r="S3149" s="11" t="n">
        <x:f>IF(D3149="Completed",L3149,0)</x:f>
        <x:v>0</x:v>
      </x:c>
      <x:c r="T3149" s="8" t="n">
        <x:f>DATE(YEAR(C3149),MONTH(C3149),1)</x:f>
        <x:v>45901</x:v>
      </x:c>
    </x:row>
    <x:row r="3150" ht="22" customHeight="1">
      <x:c r="A3150" s="2" t="str">
        <x:v>L003146</x:v>
      </x:c>
      <x:c r="B3150" s="2" t="str">
        <x:v>O01281</x:v>
      </x:c>
      <x:c r="C3150" s="7" t="n">
        <x:v>45908</x:v>
      </x:c>
      <x:c r="D3150" s="2" t="str">
        <x:v>Completed</x:v>
      </x:c>
      <x:c r="E3150" s="2" t="str">
        <x:v>South</x:v>
      </x:c>
      <x:c r="F3150" s="2" t="str">
        <x:v>Store</x:v>
      </x:c>
      <x:c r="G3150" s="2" t="str">
        <x:v>Furniture</x:v>
      </x:c>
      <x:c r="H3150" s="2" t="str">
        <x:v>Chair 018</x:v>
      </x:c>
      <x:c r="I3150" s="11" t="n">
        <x:v>2</x:v>
      </x:c>
      <x:c r="J3150" s="9" t="n">
        <x:v>269</x:v>
      </x:c>
      <x:c r="K3150" s="10" t="n">
        <x:v>0</x:v>
      </x:c>
      <x:c r="L3150" s="11" t="n">
        <x:v>0</x:v>
      </x:c>
      <x:c r="M3150" s="9" t="n">
        <x:f>IF(D3150="Completed",I3150*J3150,0)</x:f>
        <x:v>538</x:v>
      </x:c>
      <x:c r="N3150" s="9" t="n">
        <x:f>M3150*K3150</x:f>
        <x:v>0</x:v>
      </x:c>
      <x:c r="O3150" s="9" t="n">
        <x:f>M3150-N3150</x:f>
        <x:v>538</x:v>
      </x:c>
      <x:c r="P3150" s="9" t="n">
        <x:f>IF(D3150="Completed",L3150*J3150*(1-K3150),0)</x:f>
        <x:v>0</x:v>
      </x:c>
      <x:c r="Q3150" s="9" t="n">
        <x:f>O3150-P3150</x:f>
        <x:v>538</x:v>
      </x:c>
      <x:c r="R3150" s="11" t="n">
        <x:f>IF(D3150="Completed",I3150,0)</x:f>
        <x:v>2</x:v>
      </x:c>
      <x:c r="S3150" s="11" t="n">
        <x:f>IF(D3150="Completed",L3150,0)</x:f>
        <x:v>0</x:v>
      </x:c>
      <x:c r="T3150" s="8" t="n">
        <x:f>DATE(YEAR(C3150),MONTH(C3150),1)</x:f>
        <x:v>45901</x:v>
      </x:c>
    </x:row>
    <x:row r="3151" ht="22" customHeight="1">
      <x:c r="A3151" s="2" t="str">
        <x:v>L003147</x:v>
      </x:c>
      <x:c r="B3151" s="2" t="str">
        <x:v>O01282</x:v>
      </x:c>
      <x:c r="C3151" s="7" t="n">
        <x:v>45818</x:v>
      </x:c>
      <x:c r="D3151" s="2" t="str">
        <x:v>Completed</x:v>
      </x:c>
      <x:c r="E3151" s="2" t="str">
        <x:v>North</x:v>
      </x:c>
      <x:c r="F3151" s="2" t="str">
        <x:v>Online</x:v>
      </x:c>
      <x:c r="G3151" s="2" t="str">
        <x:v>Lighting</x:v>
      </x:c>
      <x:c r="H3151" s="2" t="str">
        <x:v>Lamp 009</x:v>
      </x:c>
      <x:c r="I3151" s="11" t="n">
        <x:v>5</x:v>
      </x:c>
      <x:c r="J3151" s="9" t="n">
        <x:v>93</x:v>
      </x:c>
      <x:c r="K3151" s="10" t="n">
        <x:v>0</x:v>
      </x:c>
      <x:c r="L3151" s="11" t="n">
        <x:v>5</x:v>
      </x:c>
      <x:c r="M3151" s="9" t="n">
        <x:f>IF(D3151="Completed",I3151*J3151,0)</x:f>
        <x:v>465</x:v>
      </x:c>
      <x:c r="N3151" s="9" t="n">
        <x:f>M3151*K3151</x:f>
        <x:v>0</x:v>
      </x:c>
      <x:c r="O3151" s="9" t="n">
        <x:f>M3151-N3151</x:f>
        <x:v>465</x:v>
      </x:c>
      <x:c r="P3151" s="9" t="n">
        <x:f>IF(D3151="Completed",L3151*J3151*(1-K3151),0)</x:f>
        <x:v>465</x:v>
      </x:c>
      <x:c r="Q3151" s="9" t="n">
        <x:f>O3151-P3151</x:f>
        <x:v>0</x:v>
      </x:c>
      <x:c r="R3151" s="11" t="n">
        <x:f>IF(D3151="Completed",I3151,0)</x:f>
        <x:v>5</x:v>
      </x:c>
      <x:c r="S3151" s="11" t="n">
        <x:f>IF(D3151="Completed",L3151,0)</x:f>
        <x:v>5</x:v>
      </x:c>
      <x:c r="T3151" s="8" t="n">
        <x:f>DATE(YEAR(C3151),MONTH(C3151),1)</x:f>
        <x:v>45809</x:v>
      </x:c>
    </x:row>
    <x:row r="3152" ht="22" customHeight="1">
      <x:c r="A3152" s="2" t="str">
        <x:v>L003148</x:v>
      </x:c>
      <x:c r="B3152" s="2" t="str">
        <x:v>O01283</x:v>
      </x:c>
      <x:c r="C3152" s="7" t="n">
        <x:v>45754</x:v>
      </x:c>
      <x:c r="D3152" s="2" t="str">
        <x:v>Completed</x:v>
      </x:c>
      <x:c r="E3152" s="2" t="str">
        <x:v>West</x:v>
      </x:c>
      <x:c r="F3152" s="2" t="str">
        <x:v>Store</x:v>
      </x:c>
      <x:c r="G3152" s="2" t="str">
        <x:v>Furniture</x:v>
      </x:c>
      <x:c r="H3152" s="2" t="str">
        <x:v>Desk 012</x:v>
      </x:c>
      <x:c r="I3152" s="11" t="n">
        <x:v>5</x:v>
      </x:c>
      <x:c r="J3152" s="9" t="n">
        <x:v>134</x:v>
      </x:c>
      <x:c r="K3152" s="10" t="n">
        <x:v>0.1</x:v>
      </x:c>
      <x:c r="L3152" s="11" t="n">
        <x:v>0</x:v>
      </x:c>
      <x:c r="M3152" s="9" t="n">
        <x:f>IF(D3152="Completed",I3152*J3152,0)</x:f>
        <x:v>670</x:v>
      </x:c>
      <x:c r="N3152" s="9" t="n">
        <x:f>M3152*K3152</x:f>
        <x:v>67</x:v>
      </x:c>
      <x:c r="O3152" s="9" t="n">
        <x:f>M3152-N3152</x:f>
        <x:v>603</x:v>
      </x:c>
      <x:c r="P3152" s="9" t="n">
        <x:f>IF(D3152="Completed",L3152*J3152*(1-K3152),0)</x:f>
        <x:v>0</x:v>
      </x:c>
      <x:c r="Q3152" s="9" t="n">
        <x:f>O3152-P3152</x:f>
        <x:v>603</x:v>
      </x:c>
      <x:c r="R3152" s="11" t="n">
        <x:f>IF(D3152="Completed",I3152,0)</x:f>
        <x:v>5</x:v>
      </x:c>
      <x:c r="S3152" s="11" t="n">
        <x:f>IF(D3152="Completed",L3152,0)</x:f>
        <x:v>0</x:v>
      </x:c>
      <x:c r="T3152" s="8" t="n">
        <x:f>DATE(YEAR(C3152),MONTH(C3152),1)</x:f>
        <x:v>45748</x:v>
      </x:c>
    </x:row>
    <x:row r="3153" ht="22" customHeight="1">
      <x:c r="A3153" s="2" t="str">
        <x:v>L003149</x:v>
      </x:c>
      <x:c r="B3153" s="2" t="str">
        <x:v>O01284</x:v>
      </x:c>
      <x:c r="C3153" s="7" t="n">
        <x:v>45815</x:v>
      </x:c>
      <x:c r="D3153" s="2" t="str">
        <x:v>Completed</x:v>
      </x:c>
      <x:c r="E3153" s="2" t="str">
        <x:v>West</x:v>
      </x:c>
      <x:c r="F3153" s="2" t="str">
        <x:v>Store</x:v>
      </x:c>
      <x:c r="G3153" s="2" t="str">
        <x:v>Furniture</x:v>
      </x:c>
      <x:c r="H3153" s="2" t="str">
        <x:v>Chair 022</x:v>
      </x:c>
      <x:c r="I3153" s="11" t="n">
        <x:v>3</x:v>
      </x:c>
      <x:c r="J3153" s="9" t="n">
        <x:v>134</x:v>
      </x:c>
      <x:c r="K3153" s="10" t="n">
        <x:v>0.2</x:v>
      </x:c>
      <x:c r="L3153" s="11" t="n">
        <x:v>0</x:v>
      </x:c>
      <x:c r="M3153" s="9" t="n">
        <x:f>IF(D3153="Completed",I3153*J3153,0)</x:f>
        <x:v>402</x:v>
      </x:c>
      <x:c r="N3153" s="9" t="n">
        <x:f>M3153*K3153</x:f>
        <x:v>80.4</x:v>
      </x:c>
      <x:c r="O3153" s="9" t="n">
        <x:f>M3153-N3153</x:f>
        <x:v>321.6</x:v>
      </x:c>
      <x:c r="P3153" s="9" t="n">
        <x:f>IF(D3153="Completed",L3153*J3153*(1-K3153),0)</x:f>
        <x:v>0</x:v>
      </x:c>
      <x:c r="Q3153" s="9" t="n">
        <x:f>O3153-P3153</x:f>
        <x:v>321.6</x:v>
      </x:c>
      <x:c r="R3153" s="11" t="n">
        <x:f>IF(D3153="Completed",I3153,0)</x:f>
        <x:v>3</x:v>
      </x:c>
      <x:c r="S3153" s="11" t="n">
        <x:f>IF(D3153="Completed",L3153,0)</x:f>
        <x:v>0</x:v>
      </x:c>
      <x:c r="T3153" s="8" t="n">
        <x:f>DATE(YEAR(C3153),MONTH(C3153),1)</x:f>
        <x:v>45809</x:v>
      </x:c>
    </x:row>
    <x:row r="3154" ht="22" customHeight="1">
      <x:c r="A3154" s="2" t="str">
        <x:v>L003150</x:v>
      </x:c>
      <x:c r="B3154" s="2" t="str">
        <x:v>O01284</x:v>
      </x:c>
      <x:c r="C3154" s="7" t="n">
        <x:v>45815</x:v>
      </x:c>
      <x:c r="D3154" s="2" t="str">
        <x:v>Completed</x:v>
      </x:c>
      <x:c r="E3154" s="2" t="str">
        <x:v>West</x:v>
      </x:c>
      <x:c r="F3154" s="2" t="str">
        <x:v>Store</x:v>
      </x:c>
      <x:c r="G3154" s="2" t="str">
        <x:v>Furniture</x:v>
      </x:c>
      <x:c r="H3154" s="2" t="str">
        <x:v>Chair 018</x:v>
      </x:c>
      <x:c r="I3154" s="11" t="n">
        <x:v>2</x:v>
      </x:c>
      <x:c r="J3154" s="9" t="n">
        <x:v>269</x:v>
      </x:c>
      <x:c r="K3154" s="10" t="n">
        <x:v>0.05</x:v>
      </x:c>
      <x:c r="L3154" s="11" t="n">
        <x:v>2</x:v>
      </x:c>
      <x:c r="M3154" s="9" t="n">
        <x:f>IF(D3154="Completed",I3154*J3154,0)</x:f>
        <x:v>538</x:v>
      </x:c>
      <x:c r="N3154" s="9" t="n">
        <x:f>M3154*K3154</x:f>
        <x:v>26.900000000000002</x:v>
      </x:c>
      <x:c r="O3154" s="9" t="n">
        <x:f>M3154-N3154</x:f>
        <x:v>511.1</x:v>
      </x:c>
      <x:c r="P3154" s="9" t="n">
        <x:f>IF(D3154="Completed",L3154*J3154*(1-K3154),0)</x:f>
        <x:v>511.09999999999997</x:v>
      </x:c>
      <x:c r="Q3154" s="9" t="n">
        <x:f>O3154-P3154</x:f>
        <x:v>5.684341886080802e-14</x:v>
      </x:c>
      <x:c r="R3154" s="11" t="n">
        <x:f>IF(D3154="Completed",I3154,0)</x:f>
        <x:v>2</x:v>
      </x:c>
      <x:c r="S3154" s="11" t="n">
        <x:f>IF(D3154="Completed",L3154,0)</x:f>
        <x:v>2</x:v>
      </x:c>
      <x:c r="T3154" s="8" t="n">
        <x:f>DATE(YEAR(C3154),MONTH(C3154),1)</x:f>
        <x:v>45809</x:v>
      </x:c>
    </x:row>
    <x:row r="3155" ht="22" customHeight="1">
      <x:c r="A3155" s="2" t="str">
        <x:v>L003151</x:v>
      </x:c>
      <x:c r="B3155" s="2" t="str">
        <x:v>O01284</x:v>
      </x:c>
      <x:c r="C3155" s="7" t="n">
        <x:v>45815</x:v>
      </x:c>
      <x:c r="D3155" s="2" t="str">
        <x:v>Completed</x:v>
      </x:c>
      <x:c r="E3155" s="2" t="str">
        <x:v>West</x:v>
      </x:c>
      <x:c r="F3155" s="2" t="str">
        <x:v>Store</x:v>
      </x:c>
      <x:c r="G3155" s="2" t="str">
        <x:v>Lighting</x:v>
      </x:c>
      <x:c r="H3155" s="2" t="str">
        <x:v>Lamp 009</x:v>
      </x:c>
      <x:c r="I3155" s="11" t="n">
        <x:v>5</x:v>
      </x:c>
      <x:c r="J3155" s="9" t="n">
        <x:v>93</x:v>
      </x:c>
      <x:c r="K3155" s="10" t="n">
        <x:v>0.05</x:v>
      </x:c>
      <x:c r="L3155" s="11" t="n">
        <x:v>2</x:v>
      </x:c>
      <x:c r="M3155" s="9" t="n">
        <x:f>IF(D3155="Completed",I3155*J3155,0)</x:f>
        <x:v>465</x:v>
      </x:c>
      <x:c r="N3155" s="9" t="n">
        <x:f>M3155*K3155</x:f>
        <x:v>23.25</x:v>
      </x:c>
      <x:c r="O3155" s="9" t="n">
        <x:f>M3155-N3155</x:f>
        <x:v>441.75</x:v>
      </x:c>
      <x:c r="P3155" s="9" t="n">
        <x:f>IF(D3155="Completed",L3155*J3155*(1-K3155),0)</x:f>
        <x:v>176.7</x:v>
      </x:c>
      <x:c r="Q3155" s="9" t="n">
        <x:f>O3155-P3155</x:f>
        <x:v>265.05</x:v>
      </x:c>
      <x:c r="R3155" s="11" t="n">
        <x:f>IF(D3155="Completed",I3155,0)</x:f>
        <x:v>5</x:v>
      </x:c>
      <x:c r="S3155" s="11" t="n">
        <x:f>IF(D3155="Completed",L3155,0)</x:f>
        <x:v>2</x:v>
      </x:c>
      <x:c r="T3155" s="8" t="n">
        <x:f>DATE(YEAR(C3155),MONTH(C3155),1)</x:f>
        <x:v>45809</x:v>
      </x:c>
    </x:row>
    <x:row r="3156" ht="22" customHeight="1">
      <x:c r="A3156" s="2" t="str">
        <x:v>L003152</x:v>
      </x:c>
      <x:c r="B3156" s="2" t="str">
        <x:v>O01285</x:v>
      </x:c>
      <x:c r="C3156" s="7" t="n">
        <x:v>45955</x:v>
      </x:c>
      <x:c r="D3156" s="2" t="str">
        <x:v>Completed</x:v>
      </x:c>
      <x:c r="E3156" s="2" t="str">
        <x:v>North</x:v>
      </x:c>
      <x:c r="F3156" s="2" t="str">
        <x:v>Online</x:v>
      </x:c>
      <x:c r="G3156" s="2" t="str">
        <x:v>Lighting</x:v>
      </x:c>
      <x:c r="H3156" s="2" t="str">
        <x:v>Lamp 001</x:v>
      </x:c>
      <x:c r="I3156" s="11" t="n">
        <x:v>2</x:v>
      </x:c>
      <x:c r="J3156" s="9" t="n">
        <x:v>122</x:v>
      </x:c>
      <x:c r="K3156" s="10" t="n">
        <x:v>0.1</x:v>
      </x:c>
      <x:c r="L3156" s="11" t="n">
        <x:v>0</x:v>
      </x:c>
      <x:c r="M3156" s="9" t="n">
        <x:f>IF(D3156="Completed",I3156*J3156,0)</x:f>
        <x:v>244</x:v>
      </x:c>
      <x:c r="N3156" s="9" t="n">
        <x:f>M3156*K3156</x:f>
        <x:v>24.400000000000002</x:v>
      </x:c>
      <x:c r="O3156" s="9" t="n">
        <x:f>M3156-N3156</x:f>
        <x:v>219.6</x:v>
      </x:c>
      <x:c r="P3156" s="9" t="n">
        <x:f>IF(D3156="Completed",L3156*J3156*(1-K3156),0)</x:f>
        <x:v>0</x:v>
      </x:c>
      <x:c r="Q3156" s="9" t="n">
        <x:f>O3156-P3156</x:f>
        <x:v>219.6</x:v>
      </x:c>
      <x:c r="R3156" s="11" t="n">
        <x:f>IF(D3156="Completed",I3156,0)</x:f>
        <x:v>2</x:v>
      </x:c>
      <x:c r="S3156" s="11" t="n">
        <x:f>IF(D3156="Completed",L3156,0)</x:f>
        <x:v>0</x:v>
      </x:c>
      <x:c r="T3156" s="8" t="n">
        <x:f>DATE(YEAR(C3156),MONTH(C3156),1)</x:f>
        <x:v>45931</x:v>
      </x:c>
    </x:row>
    <x:row r="3157" ht="22" customHeight="1">
      <x:c r="A3157" s="2" t="str">
        <x:v>L003153</x:v>
      </x:c>
      <x:c r="B3157" s="2" t="str">
        <x:v>O01285</x:v>
      </x:c>
      <x:c r="C3157" s="7" t="n">
        <x:v>45955</x:v>
      </x:c>
      <x:c r="D3157" s="2" t="str">
        <x:v>Completed</x:v>
      </x:c>
      <x:c r="E3157" s="2" t="str">
        <x:v>North</x:v>
      </x:c>
      <x:c r="F3157" s="2" t="str">
        <x:v>Online</x:v>
      </x:c>
      <x:c r="G3157" s="2" t="str">
        <x:v>Lighting</x:v>
      </x:c>
      <x:c r="H3157" s="2" t="str">
        <x:v>Lamp 005</x:v>
      </x:c>
      <x:c r="I3157" s="11" t="n">
        <x:v>1</x:v>
      </x:c>
      <x:c r="J3157" s="9" t="n">
        <x:v>65</x:v>
      </x:c>
      <x:c r="K3157" s="10" t="n">
        <x:v>0.2</x:v>
      </x:c>
      <x:c r="L3157" s="11" t="n">
        <x:v>1</x:v>
      </x:c>
      <x:c r="M3157" s="9" t="n">
        <x:f>IF(D3157="Completed",I3157*J3157,0)</x:f>
        <x:v>65</x:v>
      </x:c>
      <x:c r="N3157" s="9" t="n">
        <x:f>M3157*K3157</x:f>
        <x:v>13</x:v>
      </x:c>
      <x:c r="O3157" s="9" t="n">
        <x:f>M3157-N3157</x:f>
        <x:v>52</x:v>
      </x:c>
      <x:c r="P3157" s="9" t="n">
        <x:f>IF(D3157="Completed",L3157*J3157*(1-K3157),0)</x:f>
        <x:v>52</x:v>
      </x:c>
      <x:c r="Q3157" s="9" t="n">
        <x:f>O3157-P3157</x:f>
        <x:v>0</x:v>
      </x:c>
      <x:c r="R3157" s="11" t="n">
        <x:f>IF(D3157="Completed",I3157,0)</x:f>
        <x:v>1</x:v>
      </x:c>
      <x:c r="S3157" s="11" t="n">
        <x:f>IF(D3157="Completed",L3157,0)</x:f>
        <x:v>1</x:v>
      </x:c>
      <x:c r="T3157" s="8" t="n">
        <x:f>DATE(YEAR(C3157),MONTH(C3157),1)</x:f>
        <x:v>45931</x:v>
      </x:c>
    </x:row>
    <x:row r="3158" ht="22" customHeight="1">
      <x:c r="A3158" s="2" t="str">
        <x:v>L003154</x:v>
      </x:c>
      <x:c r="B3158" s="2" t="str">
        <x:v>O01285</x:v>
      </x:c>
      <x:c r="C3158" s="7" t="n">
        <x:v>45955</x:v>
      </x:c>
      <x:c r="D3158" s="2" t="str">
        <x:v>Completed</x:v>
      </x:c>
      <x:c r="E3158" s="2" t="str">
        <x:v>North</x:v>
      </x:c>
      <x:c r="F3158" s="2" t="str">
        <x:v>Online</x:v>
      </x:c>
      <x:c r="G3158" s="2" t="str">
        <x:v>Storage</x:v>
      </x:c>
      <x:c r="H3158" s="2" t="str">
        <x:v>Shelf 007</x:v>
      </x:c>
      <x:c r="I3158" s="11" t="n">
        <x:v>4</x:v>
      </x:c>
      <x:c r="J3158" s="9" t="n">
        <x:v>35</x:v>
      </x:c>
      <x:c r="K3158" s="10" t="n">
        <x:v>0.1</x:v>
      </x:c>
      <x:c r="L3158" s="11" t="n">
        <x:v>0</x:v>
      </x:c>
      <x:c r="M3158" s="9" t="n">
        <x:f>IF(D3158="Completed",I3158*J3158,0)</x:f>
        <x:v>140</x:v>
      </x:c>
      <x:c r="N3158" s="9" t="n">
        <x:f>M3158*K3158</x:f>
        <x:v>14</x:v>
      </x:c>
      <x:c r="O3158" s="9" t="n">
        <x:f>M3158-N3158</x:f>
        <x:v>126</x:v>
      </x:c>
      <x:c r="P3158" s="9" t="n">
        <x:f>IF(D3158="Completed",L3158*J3158*(1-K3158),0)</x:f>
        <x:v>0</x:v>
      </x:c>
      <x:c r="Q3158" s="9" t="n">
        <x:f>O3158-P3158</x:f>
        <x:v>126</x:v>
      </x:c>
      <x:c r="R3158" s="11" t="n">
        <x:f>IF(D3158="Completed",I3158,0)</x:f>
        <x:v>4</x:v>
      </x:c>
      <x:c r="S3158" s="11" t="n">
        <x:f>IF(D3158="Completed",L3158,0)</x:f>
        <x:v>0</x:v>
      </x:c>
      <x:c r="T3158" s="8" t="n">
        <x:f>DATE(YEAR(C3158),MONTH(C3158),1)</x:f>
        <x:v>45931</x:v>
      </x:c>
    </x:row>
    <x:row r="3159" ht="22" customHeight="1">
      <x:c r="A3159" s="2" t="str">
        <x:v>L003155</x:v>
      </x:c>
      <x:c r="B3159" s="2" t="str">
        <x:v>O01286</x:v>
      </x:c>
      <x:c r="C3159" s="7" t="n">
        <x:v>45945</x:v>
      </x:c>
      <x:c r="D3159" s="2" t="str">
        <x:v>Completed</x:v>
      </x:c>
      <x:c r="E3159" s="2" t="str">
        <x:v>North</x:v>
      </x:c>
      <x:c r="F3159" s="2" t="str">
        <x:v>Store</x:v>
      </x:c>
      <x:c r="G3159" s="2" t="str">
        <x:v>Lighting</x:v>
      </x:c>
      <x:c r="H3159" s="2" t="str">
        <x:v>Lamp 001</x:v>
      </x:c>
      <x:c r="I3159" s="11" t="n">
        <x:v>2</x:v>
      </x:c>
      <x:c r="J3159" s="9" t="n">
        <x:v>122</x:v>
      </x:c>
      <x:c r="K3159" s="10" t="n">
        <x:v>0.1</x:v>
      </x:c>
      <x:c r="L3159" s="11" t="n">
        <x:v>0</x:v>
      </x:c>
      <x:c r="M3159" s="9" t="n">
        <x:f>IF(D3159="Completed",I3159*J3159,0)</x:f>
        <x:v>244</x:v>
      </x:c>
      <x:c r="N3159" s="9" t="n">
        <x:f>M3159*K3159</x:f>
        <x:v>24.400000000000002</x:v>
      </x:c>
      <x:c r="O3159" s="9" t="n">
        <x:f>M3159-N3159</x:f>
        <x:v>219.6</x:v>
      </x:c>
      <x:c r="P3159" s="9" t="n">
        <x:f>IF(D3159="Completed",L3159*J3159*(1-K3159),0)</x:f>
        <x:v>0</x:v>
      </x:c>
      <x:c r="Q3159" s="9" t="n">
        <x:f>O3159-P3159</x:f>
        <x:v>219.6</x:v>
      </x:c>
      <x:c r="R3159" s="11" t="n">
        <x:f>IF(D3159="Completed",I3159,0)</x:f>
        <x:v>2</x:v>
      </x:c>
      <x:c r="S3159" s="11" t="n">
        <x:f>IF(D3159="Completed",L3159,0)</x:f>
        <x:v>0</x:v>
      </x:c>
      <x:c r="T3159" s="8" t="n">
        <x:f>DATE(YEAR(C3159),MONTH(C3159),1)</x:f>
        <x:v>45931</x:v>
      </x:c>
    </x:row>
    <x:row r="3160" ht="22" customHeight="1">
      <x:c r="A3160" s="2" t="str">
        <x:v>L003156</x:v>
      </x:c>
      <x:c r="B3160" s="2" t="str">
        <x:v>O01287</x:v>
      </x:c>
      <x:c r="C3160" s="7" t="n">
        <x:v>45770</x:v>
      </x:c>
      <x:c r="D3160" s="2" t="str">
        <x:v>Completed</x:v>
      </x:c>
      <x:c r="E3160" s="2" t="str">
        <x:v>North</x:v>
      </x:c>
      <x:c r="F3160" s="2" t="str">
        <x:v>Store</x:v>
      </x:c>
      <x:c r="G3160" s="2" t="str">
        <x:v>Lighting</x:v>
      </x:c>
      <x:c r="H3160" s="2" t="str">
        <x:v>Lamp 013</x:v>
      </x:c>
      <x:c r="I3160" s="11" t="n">
        <x:v>2</x:v>
      </x:c>
      <x:c r="J3160" s="9" t="n">
        <x:v>271</x:v>
      </x:c>
      <x:c r="K3160" s="10" t="n">
        <x:v>0.2</x:v>
      </x:c>
      <x:c r="L3160" s="11" t="n">
        <x:v>0</x:v>
      </x:c>
      <x:c r="M3160" s="9" t="n">
        <x:f>IF(D3160="Completed",I3160*J3160,0)</x:f>
        <x:v>542</x:v>
      </x:c>
      <x:c r="N3160" s="9" t="n">
        <x:f>M3160*K3160</x:f>
        <x:v>108.4</x:v>
      </x:c>
      <x:c r="O3160" s="9" t="n">
        <x:f>M3160-N3160</x:f>
        <x:v>433.6</x:v>
      </x:c>
      <x:c r="P3160" s="9" t="n">
        <x:f>IF(D3160="Completed",L3160*J3160*(1-K3160),0)</x:f>
        <x:v>0</x:v>
      </x:c>
      <x:c r="Q3160" s="9" t="n">
        <x:f>O3160-P3160</x:f>
        <x:v>433.6</x:v>
      </x:c>
      <x:c r="R3160" s="11" t="n">
        <x:f>IF(D3160="Completed",I3160,0)</x:f>
        <x:v>2</x:v>
      </x:c>
      <x:c r="S3160" s="11" t="n">
        <x:f>IF(D3160="Completed",L3160,0)</x:f>
        <x:v>0</x:v>
      </x:c>
      <x:c r="T3160" s="8" t="n">
        <x:f>DATE(YEAR(C3160),MONTH(C3160),1)</x:f>
        <x:v>45748</x:v>
      </x:c>
    </x:row>
    <x:row r="3161" ht="22" customHeight="1">
      <x:c r="A3161" s="2" t="str">
        <x:v>L003157</x:v>
      </x:c>
      <x:c r="B3161" s="2" t="str">
        <x:v>O01288</x:v>
      </x:c>
      <x:c r="C3161" s="7" t="n">
        <x:v>45948</x:v>
      </x:c>
      <x:c r="D3161" s="2" t="str">
        <x:v>Completed</x:v>
      </x:c>
      <x:c r="E3161" s="2" t="str">
        <x:v>East</x:v>
      </x:c>
      <x:c r="F3161" s="2" t="str">
        <x:v>Store</x:v>
      </x:c>
      <x:c r="G3161" s="2" t="str">
        <x:v>Lighting</x:v>
      </x:c>
      <x:c r="H3161" s="2" t="str">
        <x:v>Lamp 021</x:v>
      </x:c>
      <x:c r="I3161" s="11" t="n">
        <x:v>2</x:v>
      </x:c>
      <x:c r="J3161" s="9" t="n">
        <x:v>249</x:v>
      </x:c>
      <x:c r="K3161" s="10" t="n">
        <x:v>0.05</x:v>
      </x:c>
      <x:c r="L3161" s="11" t="n">
        <x:v>0</x:v>
      </x:c>
      <x:c r="M3161" s="9" t="n">
        <x:f>IF(D3161="Completed",I3161*J3161,0)</x:f>
        <x:v>498</x:v>
      </x:c>
      <x:c r="N3161" s="9" t="n">
        <x:f>M3161*K3161</x:f>
        <x:v>24.900000000000002</x:v>
      </x:c>
      <x:c r="O3161" s="9" t="n">
        <x:f>M3161-N3161</x:f>
        <x:v>473.1</x:v>
      </x:c>
      <x:c r="P3161" s="9" t="n">
        <x:f>IF(D3161="Completed",L3161*J3161*(1-K3161),0)</x:f>
        <x:v>0</x:v>
      </x:c>
      <x:c r="Q3161" s="9" t="n">
        <x:f>O3161-P3161</x:f>
        <x:v>473.1</x:v>
      </x:c>
      <x:c r="R3161" s="11" t="n">
        <x:f>IF(D3161="Completed",I3161,0)</x:f>
        <x:v>2</x:v>
      </x:c>
      <x:c r="S3161" s="11" t="n">
        <x:f>IF(D3161="Completed",L3161,0)</x:f>
        <x:v>0</x:v>
      </x:c>
      <x:c r="T3161" s="8" t="n">
        <x:f>DATE(YEAR(C3161),MONTH(C3161),1)</x:f>
        <x:v>45931</x:v>
      </x:c>
    </x:row>
    <x:row r="3162" ht="22" customHeight="1">
      <x:c r="A3162" s="2" t="str">
        <x:v>L003158</x:v>
      </x:c>
      <x:c r="B3162" s="2" t="str">
        <x:v>O01289</x:v>
      </x:c>
      <x:c r="C3162" s="7" t="n">
        <x:v>45753</x:v>
      </x:c>
      <x:c r="D3162" s="2" t="str">
        <x:v>Completed</x:v>
      </x:c>
      <x:c r="E3162" s="2" t="str">
        <x:v>South</x:v>
      </x:c>
      <x:c r="F3162" s="2" t="str">
        <x:v>Store</x:v>
      </x:c>
      <x:c r="G3162" s="2" t="str">
        <x:v>Furniture</x:v>
      </x:c>
      <x:c r="H3162" s="2" t="str">
        <x:v>Desk 008</x:v>
      </x:c>
      <x:c r="I3162" s="11" t="n">
        <x:v>5</x:v>
      </x:c>
      <x:c r="J3162" s="9" t="n">
        <x:v>188</x:v>
      </x:c>
      <x:c r="K3162" s="10" t="n">
        <x:v>0.1</x:v>
      </x:c>
      <x:c r="L3162" s="11" t="n">
        <x:v>0</x:v>
      </x:c>
      <x:c r="M3162" s="9" t="n">
        <x:f>IF(D3162="Completed",I3162*J3162,0)</x:f>
        <x:v>940</x:v>
      </x:c>
      <x:c r="N3162" s="9" t="n">
        <x:f>M3162*K3162</x:f>
        <x:v>94</x:v>
      </x:c>
      <x:c r="O3162" s="9" t="n">
        <x:f>M3162-N3162</x:f>
        <x:v>846</x:v>
      </x:c>
      <x:c r="P3162" s="9" t="n">
        <x:f>IF(D3162="Completed",L3162*J3162*(1-K3162),0)</x:f>
        <x:v>0</x:v>
      </x:c>
      <x:c r="Q3162" s="9" t="n">
        <x:f>O3162-P3162</x:f>
        <x:v>846</x:v>
      </x:c>
      <x:c r="R3162" s="11" t="n">
        <x:f>IF(D3162="Completed",I3162,0)</x:f>
        <x:v>5</x:v>
      </x:c>
      <x:c r="S3162" s="11" t="n">
        <x:f>IF(D3162="Completed",L3162,0)</x:f>
        <x:v>0</x:v>
      </x:c>
      <x:c r="T3162" s="8" t="n">
        <x:f>DATE(YEAR(C3162),MONTH(C3162),1)</x:f>
        <x:v>45748</x:v>
      </x:c>
    </x:row>
    <x:row r="3163" ht="22" customHeight="1">
      <x:c r="A3163" s="2" t="str">
        <x:v>L003159</x:v>
      </x:c>
      <x:c r="B3163" s="2" t="str">
        <x:v>O01289</x:v>
      </x:c>
      <x:c r="C3163" s="7" t="n">
        <x:v>45753</x:v>
      </x:c>
      <x:c r="D3163" s="2" t="str">
        <x:v>Completed</x:v>
      </x:c>
      <x:c r="E3163" s="2" t="str">
        <x:v>South</x:v>
      </x:c>
      <x:c r="F3163" s="2" t="str">
        <x:v>Store</x:v>
      </x:c>
      <x:c r="G3163" s="2" t="str">
        <x:v>Furniture</x:v>
      </x:c>
      <x:c r="H3163" s="2" t="str">
        <x:v>Chair 022</x:v>
      </x:c>
      <x:c r="I3163" s="11" t="n">
        <x:v>4</x:v>
      </x:c>
      <x:c r="J3163" s="9" t="n">
        <x:v>134</x:v>
      </x:c>
      <x:c r="K3163" s="10" t="n">
        <x:v>0</x:v>
      </x:c>
      <x:c r="L3163" s="11" t="n">
        <x:v>0</x:v>
      </x:c>
      <x:c r="M3163" s="9" t="n">
        <x:f>IF(D3163="Completed",I3163*J3163,0)</x:f>
        <x:v>536</x:v>
      </x:c>
      <x:c r="N3163" s="9" t="n">
        <x:f>M3163*K3163</x:f>
        <x:v>0</x:v>
      </x:c>
      <x:c r="O3163" s="9" t="n">
        <x:f>M3163-N3163</x:f>
        <x:v>536</x:v>
      </x:c>
      <x:c r="P3163" s="9" t="n">
        <x:f>IF(D3163="Completed",L3163*J3163*(1-K3163),0)</x:f>
        <x:v>0</x:v>
      </x:c>
      <x:c r="Q3163" s="9" t="n">
        <x:f>O3163-P3163</x:f>
        <x:v>536</x:v>
      </x:c>
      <x:c r="R3163" s="11" t="n">
        <x:f>IF(D3163="Completed",I3163,0)</x:f>
        <x:v>4</x:v>
      </x:c>
      <x:c r="S3163" s="11" t="n">
        <x:f>IF(D3163="Completed",L3163,0)</x:f>
        <x:v>0</x:v>
      </x:c>
      <x:c r="T3163" s="8" t="n">
        <x:f>DATE(YEAR(C3163),MONTH(C3163),1)</x:f>
        <x:v>45748</x:v>
      </x:c>
    </x:row>
    <x:row r="3164" ht="22" customHeight="1">
      <x:c r="A3164" s="2" t="str">
        <x:v>L003160</x:v>
      </x:c>
      <x:c r="B3164" s="2" t="str">
        <x:v>O01289</x:v>
      </x:c>
      <x:c r="C3164" s="7" t="n">
        <x:v>45753</x:v>
      </x:c>
      <x:c r="D3164" s="2" t="str">
        <x:v>Completed</x:v>
      </x:c>
      <x:c r="E3164" s="2" t="str">
        <x:v>South</x:v>
      </x:c>
      <x:c r="F3164" s="2" t="str">
        <x:v>Store</x:v>
      </x:c>
      <x:c r="G3164" s="2" t="str">
        <x:v>Furniture</x:v>
      </x:c>
      <x:c r="H3164" s="2" t="str">
        <x:v>Desk 020</x:v>
      </x:c>
      <x:c r="I3164" s="11" t="n">
        <x:v>5</x:v>
      </x:c>
      <x:c r="J3164" s="9" t="n">
        <x:v>189</x:v>
      </x:c>
      <x:c r="K3164" s="10" t="n">
        <x:v>0.2</x:v>
      </x:c>
      <x:c r="L3164" s="11" t="n">
        <x:v>0</x:v>
      </x:c>
      <x:c r="M3164" s="9" t="n">
        <x:f>IF(D3164="Completed",I3164*J3164,0)</x:f>
        <x:v>945</x:v>
      </x:c>
      <x:c r="N3164" s="9" t="n">
        <x:f>M3164*K3164</x:f>
        <x:v>189</x:v>
      </x:c>
      <x:c r="O3164" s="9" t="n">
        <x:f>M3164-N3164</x:f>
        <x:v>756</x:v>
      </x:c>
      <x:c r="P3164" s="9" t="n">
        <x:f>IF(D3164="Completed",L3164*J3164*(1-K3164),0)</x:f>
        <x:v>0</x:v>
      </x:c>
      <x:c r="Q3164" s="9" t="n">
        <x:f>O3164-P3164</x:f>
        <x:v>756</x:v>
      </x:c>
      <x:c r="R3164" s="11" t="n">
        <x:f>IF(D3164="Completed",I3164,0)</x:f>
        <x:v>5</x:v>
      </x:c>
      <x:c r="S3164" s="11" t="n">
        <x:f>IF(D3164="Completed",L3164,0)</x:f>
        <x:v>0</x:v>
      </x:c>
      <x:c r="T3164" s="8" t="n">
        <x:f>DATE(YEAR(C3164),MONTH(C3164),1)</x:f>
        <x:v>45748</x:v>
      </x:c>
    </x:row>
    <x:row r="3165" ht="22" customHeight="1">
      <x:c r="A3165" s="2" t="str">
        <x:v>L003161</x:v>
      </x:c>
      <x:c r="B3165" s="2" t="str">
        <x:v>O01289</x:v>
      </x:c>
      <x:c r="C3165" s="7" t="n">
        <x:v>45753</x:v>
      </x:c>
      <x:c r="D3165" s="2" t="str">
        <x:v>Completed</x:v>
      </x:c>
      <x:c r="E3165" s="2" t="str">
        <x:v>South</x:v>
      </x:c>
      <x:c r="F3165" s="2" t="str">
        <x:v>Store</x:v>
      </x:c>
      <x:c r="G3165" s="2" t="str">
        <x:v>Storage</x:v>
      </x:c>
      <x:c r="H3165" s="2" t="str">
        <x:v>Shelf 023</x:v>
      </x:c>
      <x:c r="I3165" s="11" t="n">
        <x:v>2</x:v>
      </x:c>
      <x:c r="J3165" s="9" t="n">
        <x:v>68</x:v>
      </x:c>
      <x:c r="K3165" s="10" t="n">
        <x:v>0.05</x:v>
      </x:c>
      <x:c r="L3165" s="11" t="n">
        <x:v>0</x:v>
      </x:c>
      <x:c r="M3165" s="9" t="n">
        <x:f>IF(D3165="Completed",I3165*J3165,0)</x:f>
        <x:v>136</x:v>
      </x:c>
      <x:c r="N3165" s="9" t="n">
        <x:f>M3165*K3165</x:f>
        <x:v>6.800000000000001</x:v>
      </x:c>
      <x:c r="O3165" s="9" t="n">
        <x:f>M3165-N3165</x:f>
        <x:v>129.2</x:v>
      </x:c>
      <x:c r="P3165" s="9" t="n">
        <x:f>IF(D3165="Completed",L3165*J3165*(1-K3165),0)</x:f>
        <x:v>0</x:v>
      </x:c>
      <x:c r="Q3165" s="9" t="n">
        <x:f>O3165-P3165</x:f>
        <x:v>129.2</x:v>
      </x:c>
      <x:c r="R3165" s="11" t="n">
        <x:f>IF(D3165="Completed",I3165,0)</x:f>
        <x:v>2</x:v>
      </x:c>
      <x:c r="S3165" s="11" t="n">
        <x:f>IF(D3165="Completed",L3165,0)</x:f>
        <x:v>0</x:v>
      </x:c>
      <x:c r="T3165" s="8" t="n">
        <x:f>DATE(YEAR(C3165),MONTH(C3165),1)</x:f>
        <x:v>45748</x:v>
      </x:c>
    </x:row>
    <x:row r="3166" ht="22" customHeight="1">
      <x:c r="A3166" s="2" t="str">
        <x:v>L003162</x:v>
      </x:c>
      <x:c r="B3166" s="2" t="str">
        <x:v>O01290</x:v>
      </x:c>
      <x:c r="C3166" s="7" t="n">
        <x:v>45936</x:v>
      </x:c>
      <x:c r="D3166" s="2" t="str">
        <x:v>Completed</x:v>
      </x:c>
      <x:c r="E3166" s="2" t="str">
        <x:v>West</x:v>
      </x:c>
      <x:c r="F3166" s="2" t="str">
        <x:v>Online</x:v>
      </x:c>
      <x:c r="G3166" s="2" t="str">
        <x:v>Furniture</x:v>
      </x:c>
      <x:c r="H3166" s="2" t="str">
        <x:v>Desk 004</x:v>
      </x:c>
      <x:c r="I3166" s="11" t="n">
        <x:v>3</x:v>
      </x:c>
      <x:c r="J3166" s="9" t="n">
        <x:v>123</x:v>
      </x:c>
      <x:c r="K3166" s="10" t="n">
        <x:v>0.2</x:v>
      </x:c>
      <x:c r="L3166" s="11" t="n">
        <x:v>0</x:v>
      </x:c>
      <x:c r="M3166" s="9" t="n">
        <x:f>IF(D3166="Completed",I3166*J3166,0)</x:f>
        <x:v>369</x:v>
      </x:c>
      <x:c r="N3166" s="9" t="n">
        <x:f>M3166*K3166</x:f>
        <x:v>73.8</x:v>
      </x:c>
      <x:c r="O3166" s="9" t="n">
        <x:f>M3166-N3166</x:f>
        <x:v>295.2</x:v>
      </x:c>
      <x:c r="P3166" s="9" t="n">
        <x:f>IF(D3166="Completed",L3166*J3166*(1-K3166),0)</x:f>
        <x:v>0</x:v>
      </x:c>
      <x:c r="Q3166" s="9" t="n">
        <x:f>O3166-P3166</x:f>
        <x:v>295.2</x:v>
      </x:c>
      <x:c r="R3166" s="11" t="n">
        <x:f>IF(D3166="Completed",I3166,0)</x:f>
        <x:v>3</x:v>
      </x:c>
      <x:c r="S3166" s="11" t="n">
        <x:f>IF(D3166="Completed",L3166,0)</x:f>
        <x:v>0</x:v>
      </x:c>
      <x:c r="T3166" s="8" t="n">
        <x:f>DATE(YEAR(C3166),MONTH(C3166),1)</x:f>
        <x:v>45931</x:v>
      </x:c>
    </x:row>
    <x:row r="3167" ht="22" customHeight="1">
      <x:c r="A3167" s="2" t="str">
        <x:v>L003163</x:v>
      </x:c>
      <x:c r="B3167" s="2" t="str">
        <x:v>O01290</x:v>
      </x:c>
      <x:c r="C3167" s="7" t="n">
        <x:v>45936</x:v>
      </x:c>
      <x:c r="D3167" s="2" t="str">
        <x:v>Completed</x:v>
      </x:c>
      <x:c r="E3167" s="2" t="str">
        <x:v>West</x:v>
      </x:c>
      <x:c r="F3167" s="2" t="str">
        <x:v>Online</x:v>
      </x:c>
      <x:c r="G3167" s="2" t="str">
        <x:v>Furniture</x:v>
      </x:c>
      <x:c r="H3167" s="2" t="str">
        <x:v>Desk 012</x:v>
      </x:c>
      <x:c r="I3167" s="11" t="n">
        <x:v>4</x:v>
      </x:c>
      <x:c r="J3167" s="9" t="n">
        <x:v>134</x:v>
      </x:c>
      <x:c r="K3167" s="10" t="n">
        <x:v>0.1</x:v>
      </x:c>
      <x:c r="L3167" s="11" t="n">
        <x:v>3</x:v>
      </x:c>
      <x:c r="M3167" s="9" t="n">
        <x:f>IF(D3167="Completed",I3167*J3167,0)</x:f>
        <x:v>536</x:v>
      </x:c>
      <x:c r="N3167" s="9" t="n">
        <x:f>M3167*K3167</x:f>
        <x:v>53.6</x:v>
      </x:c>
      <x:c r="O3167" s="9" t="n">
        <x:f>M3167-N3167</x:f>
        <x:v>482.4</x:v>
      </x:c>
      <x:c r="P3167" s="9" t="n">
        <x:f>IF(D3167="Completed",L3167*J3167*(1-K3167),0)</x:f>
        <x:v>361.8</x:v>
      </x:c>
      <x:c r="Q3167" s="9" t="n">
        <x:f>O3167-P3167</x:f>
        <x:v>120.59999999999997</x:v>
      </x:c>
      <x:c r="R3167" s="11" t="n">
        <x:f>IF(D3167="Completed",I3167,0)</x:f>
        <x:v>4</x:v>
      </x:c>
      <x:c r="S3167" s="11" t="n">
        <x:f>IF(D3167="Completed",L3167,0)</x:f>
        <x:v>3</x:v>
      </x:c>
      <x:c r="T3167" s="8" t="n">
        <x:f>DATE(YEAR(C3167),MONTH(C3167),1)</x:f>
        <x:v>45931</x:v>
      </x:c>
    </x:row>
    <x:row r="3168" ht="22" customHeight="1">
      <x:c r="A3168" s="2" t="str">
        <x:v>L003164</x:v>
      </x:c>
      <x:c r="B3168" s="2" t="str">
        <x:v>O01290</x:v>
      </x:c>
      <x:c r="C3168" s="7" t="n">
        <x:v>45936</x:v>
      </x:c>
      <x:c r="D3168" s="2" t="str">
        <x:v>Completed</x:v>
      </x:c>
      <x:c r="E3168" s="2" t="str">
        <x:v>West</x:v>
      </x:c>
      <x:c r="F3168" s="2" t="str">
        <x:v>Online</x:v>
      </x:c>
      <x:c r="G3168" s="2" t="str">
        <x:v>Storage</x:v>
      </x:c>
      <x:c r="H3168" s="2" t="str">
        <x:v>Shelf 003</x:v>
      </x:c>
      <x:c r="I3168" s="11" t="n">
        <x:v>2</x:v>
      </x:c>
      <x:c r="J3168" s="9" t="n">
        <x:v>199</x:v>
      </x:c>
      <x:c r="K3168" s="10" t="n">
        <x:v>0.2</x:v>
      </x:c>
      <x:c r="L3168" s="11" t="n">
        <x:v>0</x:v>
      </x:c>
      <x:c r="M3168" s="9" t="n">
        <x:f>IF(D3168="Completed",I3168*J3168,0)</x:f>
        <x:v>398</x:v>
      </x:c>
      <x:c r="N3168" s="9" t="n">
        <x:f>M3168*K3168</x:f>
        <x:v>79.60000000000001</x:v>
      </x:c>
      <x:c r="O3168" s="9" t="n">
        <x:f>M3168-N3168</x:f>
        <x:v>318.4</x:v>
      </x:c>
      <x:c r="P3168" s="9" t="n">
        <x:f>IF(D3168="Completed",L3168*J3168*(1-K3168),0)</x:f>
        <x:v>0</x:v>
      </x:c>
      <x:c r="Q3168" s="9" t="n">
        <x:f>O3168-P3168</x:f>
        <x:v>318.4</x:v>
      </x:c>
      <x:c r="R3168" s="11" t="n">
        <x:f>IF(D3168="Completed",I3168,0)</x:f>
        <x:v>2</x:v>
      </x:c>
      <x:c r="S3168" s="11" t="n">
        <x:f>IF(D3168="Completed",L3168,0)</x:f>
        <x:v>0</x:v>
      </x:c>
      <x:c r="T3168" s="8" t="n">
        <x:f>DATE(YEAR(C3168),MONTH(C3168),1)</x:f>
        <x:v>45931</x:v>
      </x:c>
    </x:row>
    <x:row r="3169" ht="22" customHeight="1">
      <x:c r="A3169" s="2" t="str">
        <x:v>L003165</x:v>
      </x:c>
      <x:c r="B3169" s="2" t="str">
        <x:v>O01291</x:v>
      </x:c>
      <x:c r="C3169" s="7" t="n">
        <x:v>45918</x:v>
      </x:c>
      <x:c r="D3169" s="2" t="str">
        <x:v>Completed</x:v>
      </x:c>
      <x:c r="E3169" s="2" t="str">
        <x:v>South</x:v>
      </x:c>
      <x:c r="F3169" s="2" t="str">
        <x:v>Online</x:v>
      </x:c>
      <x:c r="G3169" s="2" t="str">
        <x:v>Furniture</x:v>
      </x:c>
      <x:c r="H3169" s="2" t="str">
        <x:v>Chair 022</x:v>
      </x:c>
      <x:c r="I3169" s="11" t="n">
        <x:v>2</x:v>
      </x:c>
      <x:c r="J3169" s="9" t="n">
        <x:v>134</x:v>
      </x:c>
      <x:c r="K3169" s="10" t="n">
        <x:v>0</x:v>
      </x:c>
      <x:c r="L3169" s="11" t="n">
        <x:v>0</x:v>
      </x:c>
      <x:c r="M3169" s="9" t="n">
        <x:f>IF(D3169="Completed",I3169*J3169,0)</x:f>
        <x:v>268</x:v>
      </x:c>
      <x:c r="N3169" s="9" t="n">
        <x:f>M3169*K3169</x:f>
        <x:v>0</x:v>
      </x:c>
      <x:c r="O3169" s="9" t="n">
        <x:f>M3169-N3169</x:f>
        <x:v>268</x:v>
      </x:c>
      <x:c r="P3169" s="9" t="n">
        <x:f>IF(D3169="Completed",L3169*J3169*(1-K3169),0)</x:f>
        <x:v>0</x:v>
      </x:c>
      <x:c r="Q3169" s="9" t="n">
        <x:f>O3169-P3169</x:f>
        <x:v>268</x:v>
      </x:c>
      <x:c r="R3169" s="11" t="n">
        <x:f>IF(D3169="Completed",I3169,0)</x:f>
        <x:v>2</x:v>
      </x:c>
      <x:c r="S3169" s="11" t="n">
        <x:f>IF(D3169="Completed",L3169,0)</x:f>
        <x:v>0</x:v>
      </x:c>
      <x:c r="T3169" s="8" t="n">
        <x:f>DATE(YEAR(C3169),MONTH(C3169),1)</x:f>
        <x:v>45901</x:v>
      </x:c>
    </x:row>
    <x:row r="3170" ht="22" customHeight="1">
      <x:c r="A3170" s="2" t="str">
        <x:v>L003166</x:v>
      </x:c>
      <x:c r="B3170" s="2" t="str">
        <x:v>O01291</x:v>
      </x:c>
      <x:c r="C3170" s="7" t="n">
        <x:v>45918</x:v>
      </x:c>
      <x:c r="D3170" s="2" t="str">
        <x:v>Completed</x:v>
      </x:c>
      <x:c r="E3170" s="2" t="str">
        <x:v>South</x:v>
      </x:c>
      <x:c r="F3170" s="2" t="str">
        <x:v>Online</x:v>
      </x:c>
      <x:c r="G3170" s="2" t="str">
        <x:v>Storage</x:v>
      </x:c>
      <x:c r="H3170" s="2" t="str">
        <x:v>Shelf 003</x:v>
      </x:c>
      <x:c r="I3170" s="11" t="n">
        <x:v>5</x:v>
      </x:c>
      <x:c r="J3170" s="9" t="n">
        <x:v>199</x:v>
      </x:c>
      <x:c r="K3170" s="10" t="n">
        <x:v>0</x:v>
      </x:c>
      <x:c r="L3170" s="11" t="n">
        <x:v>0</x:v>
      </x:c>
      <x:c r="M3170" s="9" t="n">
        <x:f>IF(D3170="Completed",I3170*J3170,0)</x:f>
        <x:v>995</x:v>
      </x:c>
      <x:c r="N3170" s="9" t="n">
        <x:f>M3170*K3170</x:f>
        <x:v>0</x:v>
      </x:c>
      <x:c r="O3170" s="9" t="n">
        <x:f>M3170-N3170</x:f>
        <x:v>995</x:v>
      </x:c>
      <x:c r="P3170" s="9" t="n">
        <x:f>IF(D3170="Completed",L3170*J3170*(1-K3170),0)</x:f>
        <x:v>0</x:v>
      </x:c>
      <x:c r="Q3170" s="9" t="n">
        <x:f>O3170-P3170</x:f>
        <x:v>995</x:v>
      </x:c>
      <x:c r="R3170" s="11" t="n">
        <x:f>IF(D3170="Completed",I3170,0)</x:f>
        <x:v>5</x:v>
      </x:c>
      <x:c r="S3170" s="11" t="n">
        <x:f>IF(D3170="Completed",L3170,0)</x:f>
        <x:v>0</x:v>
      </x:c>
      <x:c r="T3170" s="8" t="n">
        <x:f>DATE(YEAR(C3170),MONTH(C3170),1)</x:f>
        <x:v>45901</x:v>
      </x:c>
    </x:row>
    <x:row r="3171" ht="22" customHeight="1">
      <x:c r="A3171" s="2" t="str">
        <x:v>L003167</x:v>
      </x:c>
      <x:c r="B3171" s="2" t="str">
        <x:v>O01292</x:v>
      </x:c>
      <x:c r="C3171" s="7" t="n">
        <x:v>45697</x:v>
      </x:c>
      <x:c r="D3171" s="2" t="str">
        <x:v>Completed</x:v>
      </x:c>
      <x:c r="E3171" s="2" t="str">
        <x:v>West</x:v>
      </x:c>
      <x:c r="F3171" s="2" t="str">
        <x:v>Store</x:v>
      </x:c>
      <x:c r="G3171" s="2" t="str">
        <x:v>Furniture</x:v>
      </x:c>
      <x:c r="H3171" s="2" t="str">
        <x:v>Desk 008</x:v>
      </x:c>
      <x:c r="I3171" s="11" t="n">
        <x:v>5</x:v>
      </x:c>
      <x:c r="J3171" s="9" t="n">
        <x:v>188</x:v>
      </x:c>
      <x:c r="K3171" s="10" t="n">
        <x:v>0.1</x:v>
      </x:c>
      <x:c r="L3171" s="11" t="n">
        <x:v>0</x:v>
      </x:c>
      <x:c r="M3171" s="9" t="n">
        <x:f>IF(D3171="Completed",I3171*J3171,0)</x:f>
        <x:v>940</x:v>
      </x:c>
      <x:c r="N3171" s="9" t="n">
        <x:f>M3171*K3171</x:f>
        <x:v>94</x:v>
      </x:c>
      <x:c r="O3171" s="9" t="n">
        <x:f>M3171-N3171</x:f>
        <x:v>846</x:v>
      </x:c>
      <x:c r="P3171" s="9" t="n">
        <x:f>IF(D3171="Completed",L3171*J3171*(1-K3171),0)</x:f>
        <x:v>0</x:v>
      </x:c>
      <x:c r="Q3171" s="9" t="n">
        <x:f>O3171-P3171</x:f>
        <x:v>846</x:v>
      </x:c>
      <x:c r="R3171" s="11" t="n">
        <x:f>IF(D3171="Completed",I3171,0)</x:f>
        <x:v>5</x:v>
      </x:c>
      <x:c r="S3171" s="11" t="n">
        <x:f>IF(D3171="Completed",L3171,0)</x:f>
        <x:v>0</x:v>
      </x:c>
      <x:c r="T3171" s="8" t="n">
        <x:f>DATE(YEAR(C3171),MONTH(C3171),1)</x:f>
        <x:v>45689</x:v>
      </x:c>
    </x:row>
    <x:row r="3172" ht="22" customHeight="1">
      <x:c r="A3172" s="2" t="str">
        <x:v>L003168</x:v>
      </x:c>
      <x:c r="B3172" s="2" t="str">
        <x:v>O01293</x:v>
      </x:c>
      <x:c r="C3172" s="7" t="n">
        <x:v>45755</x:v>
      </x:c>
      <x:c r="D3172" s="2" t="str">
        <x:v>Completed</x:v>
      </x:c>
      <x:c r="E3172" s="2" t="str">
        <x:v>East</x:v>
      </x:c>
      <x:c r="F3172" s="2" t="str">
        <x:v>Store</x:v>
      </x:c>
      <x:c r="G3172" s="2" t="str">
        <x:v>Furniture</x:v>
      </x:c>
      <x:c r="H3172" s="2" t="str">
        <x:v>Chair 022</x:v>
      </x:c>
      <x:c r="I3172" s="11" t="n">
        <x:v>4</x:v>
      </x:c>
      <x:c r="J3172" s="9" t="n">
        <x:v>134</x:v>
      </x:c>
      <x:c r="K3172" s="10" t="n">
        <x:v>0.2</x:v>
      </x:c>
      <x:c r="L3172" s="11" t="n">
        <x:v>0</x:v>
      </x:c>
      <x:c r="M3172" s="9" t="n">
        <x:f>IF(D3172="Completed",I3172*J3172,0)</x:f>
        <x:v>536</x:v>
      </x:c>
      <x:c r="N3172" s="9" t="n">
        <x:f>M3172*K3172</x:f>
        <x:v>107.2</x:v>
      </x:c>
      <x:c r="O3172" s="9" t="n">
        <x:f>M3172-N3172</x:f>
        <x:v>428.8</x:v>
      </x:c>
      <x:c r="P3172" s="9" t="n">
        <x:f>IF(D3172="Completed",L3172*J3172*(1-K3172),0)</x:f>
        <x:v>0</x:v>
      </x:c>
      <x:c r="Q3172" s="9" t="n">
        <x:f>O3172-P3172</x:f>
        <x:v>428.8</x:v>
      </x:c>
      <x:c r="R3172" s="11" t="n">
        <x:f>IF(D3172="Completed",I3172,0)</x:f>
        <x:v>4</x:v>
      </x:c>
      <x:c r="S3172" s="11" t="n">
        <x:f>IF(D3172="Completed",L3172,0)</x:f>
        <x:v>0</x:v>
      </x:c>
      <x:c r="T3172" s="8" t="n">
        <x:f>DATE(YEAR(C3172),MONTH(C3172),1)</x:f>
        <x:v>45748</x:v>
      </x:c>
    </x:row>
    <x:row r="3173" ht="22" customHeight="1">
      <x:c r="A3173" s="2" t="str">
        <x:v>L003169</x:v>
      </x:c>
      <x:c r="B3173" s="2" t="str">
        <x:v>O01293</x:v>
      </x:c>
      <x:c r="C3173" s="7" t="n">
        <x:v>45755</x:v>
      </x:c>
      <x:c r="D3173" s="2" t="str">
        <x:v>Completed</x:v>
      </x:c>
      <x:c r="E3173" s="2" t="str">
        <x:v>East</x:v>
      </x:c>
      <x:c r="F3173" s="2" t="str">
        <x:v>Store</x:v>
      </x:c>
      <x:c r="G3173" s="2" t="str">
        <x:v>Furniture</x:v>
      </x:c>
      <x:c r="H3173" s="2" t="str">
        <x:v>Desk 020</x:v>
      </x:c>
      <x:c r="I3173" s="11" t="n">
        <x:v>3</x:v>
      </x:c>
      <x:c r="J3173" s="9" t="n">
        <x:v>189</x:v>
      </x:c>
      <x:c r="K3173" s="10" t="n">
        <x:v>0.05</x:v>
      </x:c>
      <x:c r="L3173" s="11" t="n">
        <x:v>0</x:v>
      </x:c>
      <x:c r="M3173" s="9" t="n">
        <x:f>IF(D3173="Completed",I3173*J3173,0)</x:f>
        <x:v>567</x:v>
      </x:c>
      <x:c r="N3173" s="9" t="n">
        <x:f>M3173*K3173</x:f>
        <x:v>28.35</x:v>
      </x:c>
      <x:c r="O3173" s="9" t="n">
        <x:f>M3173-N3173</x:f>
        <x:v>538.65</x:v>
      </x:c>
      <x:c r="P3173" s="9" t="n">
        <x:f>IF(D3173="Completed",L3173*J3173*(1-K3173),0)</x:f>
        <x:v>0</x:v>
      </x:c>
      <x:c r="Q3173" s="9" t="n">
        <x:f>O3173-P3173</x:f>
        <x:v>538.65</x:v>
      </x:c>
      <x:c r="R3173" s="11" t="n">
        <x:f>IF(D3173="Completed",I3173,0)</x:f>
        <x:v>3</x:v>
      </x:c>
      <x:c r="S3173" s="11" t="n">
        <x:f>IF(D3173="Completed",L3173,0)</x:f>
        <x:v>0</x:v>
      </x:c>
      <x:c r="T3173" s="8" t="n">
        <x:f>DATE(YEAR(C3173),MONTH(C3173),1)</x:f>
        <x:v>45748</x:v>
      </x:c>
    </x:row>
    <x:row r="3174" ht="22" customHeight="1">
      <x:c r="A3174" s="2" t="str">
        <x:v>L003170</x:v>
      </x:c>
      <x:c r="B3174" s="2" t="str">
        <x:v>O01293</x:v>
      </x:c>
      <x:c r="C3174" s="7" t="n">
        <x:v>45755</x:v>
      </x:c>
      <x:c r="D3174" s="2" t="str">
        <x:v>Completed</x:v>
      </x:c>
      <x:c r="E3174" s="2" t="str">
        <x:v>East</x:v>
      </x:c>
      <x:c r="F3174" s="2" t="str">
        <x:v>Store</x:v>
      </x:c>
      <x:c r="G3174" s="2" t="str">
        <x:v>Storage</x:v>
      </x:c>
      <x:c r="H3174" s="2" t="str">
        <x:v>Shelf 011</x:v>
      </x:c>
      <x:c r="I3174" s="11" t="n">
        <x:v>4</x:v>
      </x:c>
      <x:c r="J3174" s="9" t="n">
        <x:v>80</x:v>
      </x:c>
      <x:c r="K3174" s="10" t="n">
        <x:v>0.2</x:v>
      </x:c>
      <x:c r="L3174" s="11" t="n">
        <x:v>0</x:v>
      </x:c>
      <x:c r="M3174" s="9" t="n">
        <x:f>IF(D3174="Completed",I3174*J3174,0)</x:f>
        <x:v>320</x:v>
      </x:c>
      <x:c r="N3174" s="9" t="n">
        <x:f>M3174*K3174</x:f>
        <x:v>64</x:v>
      </x:c>
      <x:c r="O3174" s="9" t="n">
        <x:f>M3174-N3174</x:f>
        <x:v>256</x:v>
      </x:c>
      <x:c r="P3174" s="9" t="n">
        <x:f>IF(D3174="Completed",L3174*J3174*(1-K3174),0)</x:f>
        <x:v>0</x:v>
      </x:c>
      <x:c r="Q3174" s="9" t="n">
        <x:f>O3174-P3174</x:f>
        <x:v>256</x:v>
      </x:c>
      <x:c r="R3174" s="11" t="n">
        <x:f>IF(D3174="Completed",I3174,0)</x:f>
        <x:v>4</x:v>
      </x:c>
      <x:c r="S3174" s="11" t="n">
        <x:f>IF(D3174="Completed",L3174,0)</x:f>
        <x:v>0</x:v>
      </x:c>
      <x:c r="T3174" s="8" t="n">
        <x:f>DATE(YEAR(C3174),MONTH(C3174),1)</x:f>
        <x:v>45748</x:v>
      </x:c>
    </x:row>
    <x:row r="3175" ht="22" customHeight="1">
      <x:c r="A3175" s="2" t="str">
        <x:v>L003171</x:v>
      </x:c>
      <x:c r="B3175" s="2" t="str">
        <x:v>O01293</x:v>
      </x:c>
      <x:c r="C3175" s="7" t="n">
        <x:v>45755</x:v>
      </x:c>
      <x:c r="D3175" s="2" t="str">
        <x:v>Completed</x:v>
      </x:c>
      <x:c r="E3175" s="2" t="str">
        <x:v>East</x:v>
      </x:c>
      <x:c r="F3175" s="2" t="str">
        <x:v>Store</x:v>
      </x:c>
      <x:c r="G3175" s="2" t="str">
        <x:v>Storage</x:v>
      </x:c>
      <x:c r="H3175" s="2" t="str">
        <x:v>Shelf 015</x:v>
      </x:c>
      <x:c r="I3175" s="11" t="n">
        <x:v>2</x:v>
      </x:c>
      <x:c r="J3175" s="9" t="n">
        <x:v>254</x:v>
      </x:c>
      <x:c r="K3175" s="10" t="n">
        <x:v>0.05</x:v>
      </x:c>
      <x:c r="L3175" s="11" t="n">
        <x:v>0</x:v>
      </x:c>
      <x:c r="M3175" s="9" t="n">
        <x:f>IF(D3175="Completed",I3175*J3175,0)</x:f>
        <x:v>508</x:v>
      </x:c>
      <x:c r="N3175" s="9" t="n">
        <x:f>M3175*K3175</x:f>
        <x:v>25.400000000000002</x:v>
      </x:c>
      <x:c r="O3175" s="9" t="n">
        <x:f>M3175-N3175</x:f>
        <x:v>482.6</x:v>
      </x:c>
      <x:c r="P3175" s="9" t="n">
        <x:f>IF(D3175="Completed",L3175*J3175*(1-K3175),0)</x:f>
        <x:v>0</x:v>
      </x:c>
      <x:c r="Q3175" s="9" t="n">
        <x:f>O3175-P3175</x:f>
        <x:v>482.6</x:v>
      </x:c>
      <x:c r="R3175" s="11" t="n">
        <x:f>IF(D3175="Completed",I3175,0)</x:f>
        <x:v>2</x:v>
      </x:c>
      <x:c r="S3175" s="11" t="n">
        <x:f>IF(D3175="Completed",L3175,0)</x:f>
        <x:v>0</x:v>
      </x:c>
      <x:c r="T3175" s="8" t="n">
        <x:f>DATE(YEAR(C3175),MONTH(C3175),1)</x:f>
        <x:v>45748</x:v>
      </x:c>
    </x:row>
    <x:row r="3176" ht="22" customHeight="1">
      <x:c r="A3176" s="2" t="str">
        <x:v>L003172</x:v>
      </x:c>
      <x:c r="B3176" s="2" t="str">
        <x:v>O01294</x:v>
      </x:c>
      <x:c r="C3176" s="7" t="n">
        <x:v>45690</x:v>
      </x:c>
      <x:c r="D3176" s="2" t="str">
        <x:v>Completed</x:v>
      </x:c>
      <x:c r="E3176" s="2" t="str">
        <x:v>West</x:v>
      </x:c>
      <x:c r="F3176" s="2" t="str">
        <x:v>Store</x:v>
      </x:c>
      <x:c r="G3176" s="2" t="str">
        <x:v>Storage</x:v>
      </x:c>
      <x:c r="H3176" s="2" t="str">
        <x:v>Shelf 007</x:v>
      </x:c>
      <x:c r="I3176" s="11" t="n">
        <x:v>1</x:v>
      </x:c>
      <x:c r="J3176" s="9" t="n">
        <x:v>35</x:v>
      </x:c>
      <x:c r="K3176" s="10" t="n">
        <x:v>0.05</x:v>
      </x:c>
      <x:c r="L3176" s="11" t="n">
        <x:v>0</x:v>
      </x:c>
      <x:c r="M3176" s="9" t="n">
        <x:f>IF(D3176="Completed",I3176*J3176,0)</x:f>
        <x:v>35</x:v>
      </x:c>
      <x:c r="N3176" s="9" t="n">
        <x:f>M3176*K3176</x:f>
        <x:v>1.75</x:v>
      </x:c>
      <x:c r="O3176" s="9" t="n">
        <x:f>M3176-N3176</x:f>
        <x:v>33.25</x:v>
      </x:c>
      <x:c r="P3176" s="9" t="n">
        <x:f>IF(D3176="Completed",L3176*J3176*(1-K3176),0)</x:f>
        <x:v>0</x:v>
      </x:c>
      <x:c r="Q3176" s="9" t="n">
        <x:f>O3176-P3176</x:f>
        <x:v>33.25</x:v>
      </x:c>
      <x:c r="R3176" s="11" t="n">
        <x:f>IF(D3176="Completed",I3176,0)</x:f>
        <x:v>1</x:v>
      </x:c>
      <x:c r="S3176" s="11" t="n">
        <x:f>IF(D3176="Completed",L3176,0)</x:f>
        <x:v>0</x:v>
      </x:c>
      <x:c r="T3176" s="8" t="n">
        <x:f>DATE(YEAR(C3176),MONTH(C3176),1)</x:f>
        <x:v>45689</x:v>
      </x:c>
    </x:row>
    <x:row r="3177" ht="22" customHeight="1">
      <x:c r="A3177" s="2" t="str">
        <x:v>L003173</x:v>
      </x:c>
      <x:c r="B3177" s="2" t="str">
        <x:v>O01295</x:v>
      </x:c>
      <x:c r="C3177" s="7" t="n">
        <x:v>45818</x:v>
      </x:c>
      <x:c r="D3177" s="2" t="str">
        <x:v>Completed</x:v>
      </x:c>
      <x:c r="E3177" s="2" t="str">
        <x:v>South</x:v>
      </x:c>
      <x:c r="F3177" s="2" t="str">
        <x:v>Store</x:v>
      </x:c>
      <x:c r="G3177" s="2" t="str">
        <x:v>Furniture</x:v>
      </x:c>
      <x:c r="H3177" s="2" t="str">
        <x:v>Chair 018</x:v>
      </x:c>
      <x:c r="I3177" s="11" t="n">
        <x:v>4</x:v>
      </x:c>
      <x:c r="J3177" s="9" t="n">
        <x:v>269</x:v>
      </x:c>
      <x:c r="K3177" s="10" t="n">
        <x:v>0.05</x:v>
      </x:c>
      <x:c r="L3177" s="11" t="n">
        <x:v>0</x:v>
      </x:c>
      <x:c r="M3177" s="9" t="n">
        <x:f>IF(D3177="Completed",I3177*J3177,0)</x:f>
        <x:v>1076</x:v>
      </x:c>
      <x:c r="N3177" s="9" t="n">
        <x:f>M3177*K3177</x:f>
        <x:v>53.800000000000004</x:v>
      </x:c>
      <x:c r="O3177" s="9" t="n">
        <x:f>M3177-N3177</x:f>
        <x:v>1022.2</x:v>
      </x:c>
      <x:c r="P3177" s="9" t="n">
        <x:f>IF(D3177="Completed",L3177*J3177*(1-K3177),0)</x:f>
        <x:v>0</x:v>
      </x:c>
      <x:c r="Q3177" s="9" t="n">
        <x:f>O3177-P3177</x:f>
        <x:v>1022.2</x:v>
      </x:c>
      <x:c r="R3177" s="11" t="n">
        <x:f>IF(D3177="Completed",I3177,0)</x:f>
        <x:v>4</x:v>
      </x:c>
      <x:c r="S3177" s="11" t="n">
        <x:f>IF(D3177="Completed",L3177,0)</x:f>
        <x:v>0</x:v>
      </x:c>
      <x:c r="T3177" s="8" t="n">
        <x:f>DATE(YEAR(C3177),MONTH(C3177),1)</x:f>
        <x:v>45809</x:v>
      </x:c>
    </x:row>
    <x:row r="3178" ht="22" customHeight="1">
      <x:c r="A3178" s="2" t="str">
        <x:v>L003174</x:v>
      </x:c>
      <x:c r="B3178" s="2" t="str">
        <x:v>O01296</x:v>
      </x:c>
      <x:c r="C3178" s="7" t="n">
        <x:v>45663</x:v>
      </x:c>
      <x:c r="D3178" s="2" t="str">
        <x:v>Completed</x:v>
      </x:c>
      <x:c r="E3178" s="2" t="str">
        <x:v>North</x:v>
      </x:c>
      <x:c r="F3178" s="2" t="str">
        <x:v>Online</x:v>
      </x:c>
      <x:c r="G3178" s="2" t="str">
        <x:v>Lighting</x:v>
      </x:c>
      <x:c r="H3178" s="2" t="str">
        <x:v>Lamp 005</x:v>
      </x:c>
      <x:c r="I3178" s="11" t="n">
        <x:v>1</x:v>
      </x:c>
      <x:c r="J3178" s="9" t="n">
        <x:v>65</x:v>
      </x:c>
      <x:c r="K3178" s="10" t="n">
        <x:v>0.05</x:v>
      </x:c>
      <x:c r="L3178" s="11" t="n">
        <x:v>0</x:v>
      </x:c>
      <x:c r="M3178" s="9" t="n">
        <x:f>IF(D3178="Completed",I3178*J3178,0)</x:f>
        <x:v>65</x:v>
      </x:c>
      <x:c r="N3178" s="9" t="n">
        <x:f>M3178*K3178</x:f>
        <x:v>3.25</x:v>
      </x:c>
      <x:c r="O3178" s="9" t="n">
        <x:f>M3178-N3178</x:f>
        <x:v>61.75</x:v>
      </x:c>
      <x:c r="P3178" s="9" t="n">
        <x:f>IF(D3178="Completed",L3178*J3178*(1-K3178),0)</x:f>
        <x:v>0</x:v>
      </x:c>
      <x:c r="Q3178" s="9" t="n">
        <x:f>O3178-P3178</x:f>
        <x:v>61.75</x:v>
      </x:c>
      <x:c r="R3178" s="11" t="n">
        <x:f>IF(D3178="Completed",I3178,0)</x:f>
        <x:v>1</x:v>
      </x:c>
      <x:c r="S3178" s="11" t="n">
        <x:f>IF(D3178="Completed",L3178,0)</x:f>
        <x:v>0</x:v>
      </x:c>
      <x:c r="T3178" s="8" t="n">
        <x:f>DATE(YEAR(C3178),MONTH(C3178),1)</x:f>
        <x:v>45658</x:v>
      </x:c>
    </x:row>
    <x:row r="3179" ht="22" customHeight="1">
      <x:c r="A3179" s="2" t="str">
        <x:v>L003175</x:v>
      </x:c>
      <x:c r="B3179" s="2" t="str">
        <x:v>O01296</x:v>
      </x:c>
      <x:c r="C3179" s="7" t="n">
        <x:v>45663</x:v>
      </x:c>
      <x:c r="D3179" s="2" t="str">
        <x:v>Completed</x:v>
      </x:c>
      <x:c r="E3179" s="2" t="str">
        <x:v>North</x:v>
      </x:c>
      <x:c r="F3179" s="2" t="str">
        <x:v>Online</x:v>
      </x:c>
      <x:c r="G3179" s="2" t="str">
        <x:v>Furniture</x:v>
      </x:c>
      <x:c r="H3179" s="2" t="str">
        <x:v>Desk 008</x:v>
      </x:c>
      <x:c r="I3179" s="11" t="n">
        <x:v>2</x:v>
      </x:c>
      <x:c r="J3179" s="9" t="n">
        <x:v>188</x:v>
      </x:c>
      <x:c r="K3179" s="10" t="n">
        <x:v>0.1</x:v>
      </x:c>
      <x:c r="L3179" s="11" t="n">
        <x:v>2</x:v>
      </x:c>
      <x:c r="M3179" s="9" t="n">
        <x:f>IF(D3179="Completed",I3179*J3179,0)</x:f>
        <x:v>376</x:v>
      </x:c>
      <x:c r="N3179" s="9" t="n">
        <x:f>M3179*K3179</x:f>
        <x:v>37.6</x:v>
      </x:c>
      <x:c r="O3179" s="9" t="n">
        <x:f>M3179-N3179</x:f>
        <x:v>338.4</x:v>
      </x:c>
      <x:c r="P3179" s="9" t="n">
        <x:f>IF(D3179="Completed",L3179*J3179*(1-K3179),0)</x:f>
        <x:v>338.40000000000003</x:v>
      </x:c>
      <x:c r="Q3179" s="9" t="n">
        <x:f>O3179-P3179</x:f>
        <x:v>-5.684341886080802e-14</x:v>
      </x:c>
      <x:c r="R3179" s="11" t="n">
        <x:f>IF(D3179="Completed",I3179,0)</x:f>
        <x:v>2</x:v>
      </x:c>
      <x:c r="S3179" s="11" t="n">
        <x:f>IF(D3179="Completed",L3179,0)</x:f>
        <x:v>2</x:v>
      </x:c>
      <x:c r="T3179" s="8" t="n">
        <x:f>DATE(YEAR(C3179),MONTH(C3179),1)</x:f>
        <x:v>45658</x:v>
      </x:c>
    </x:row>
    <x:row r="3180" ht="22" customHeight="1">
      <x:c r="A3180" s="2" t="str">
        <x:v>L003176</x:v>
      </x:c>
      <x:c r="B3180" s="2" t="str">
        <x:v>O01296</x:v>
      </x:c>
      <x:c r="C3180" s="7" t="n">
        <x:v>45663</x:v>
      </x:c>
      <x:c r="D3180" s="2" t="str">
        <x:v>Completed</x:v>
      </x:c>
      <x:c r="E3180" s="2" t="str">
        <x:v>North</x:v>
      </x:c>
      <x:c r="F3180" s="2" t="str">
        <x:v>Online</x:v>
      </x:c>
      <x:c r="G3180" s="2" t="str">
        <x:v>Furniture</x:v>
      </x:c>
      <x:c r="H3180" s="2" t="str">
        <x:v>Chair 006</x:v>
      </x:c>
      <x:c r="I3180" s="11" t="n">
        <x:v>1</x:v>
      </x:c>
      <x:c r="J3180" s="9" t="n">
        <x:v>196</x:v>
      </x:c>
      <x:c r="K3180" s="10" t="n">
        <x:v>0.05</x:v>
      </x:c>
      <x:c r="L3180" s="11" t="n">
        <x:v>0</x:v>
      </x:c>
      <x:c r="M3180" s="9" t="n">
        <x:f>IF(D3180="Completed",I3180*J3180,0)</x:f>
        <x:v>196</x:v>
      </x:c>
      <x:c r="N3180" s="9" t="n">
        <x:f>M3180*K3180</x:f>
        <x:v>9.8</x:v>
      </x:c>
      <x:c r="O3180" s="9" t="n">
        <x:f>M3180-N3180</x:f>
        <x:v>186.2</x:v>
      </x:c>
      <x:c r="P3180" s="9" t="n">
        <x:f>IF(D3180="Completed",L3180*J3180*(1-K3180),0)</x:f>
        <x:v>0</x:v>
      </x:c>
      <x:c r="Q3180" s="9" t="n">
        <x:f>O3180-P3180</x:f>
        <x:v>186.2</x:v>
      </x:c>
      <x:c r="R3180" s="11" t="n">
        <x:f>IF(D3180="Completed",I3180,0)</x:f>
        <x:v>1</x:v>
      </x:c>
      <x:c r="S3180" s="11" t="n">
        <x:f>IF(D3180="Completed",L3180,0)</x:f>
        <x:v>0</x:v>
      </x:c>
      <x:c r="T3180" s="8" t="n">
        <x:f>DATE(YEAR(C3180),MONTH(C3180),1)</x:f>
        <x:v>45658</x:v>
      </x:c>
    </x:row>
    <x:row r="3181" ht="22" customHeight="1">
      <x:c r="A3181" s="2" t="str">
        <x:v>L003177</x:v>
      </x:c>
      <x:c r="B3181" s="2" t="str">
        <x:v>O01296</x:v>
      </x:c>
      <x:c r="C3181" s="7" t="n">
        <x:v>45663</x:v>
      </x:c>
      <x:c r="D3181" s="2" t="str">
        <x:v>Completed</x:v>
      </x:c>
      <x:c r="E3181" s="2" t="str">
        <x:v>North</x:v>
      </x:c>
      <x:c r="F3181" s="2" t="str">
        <x:v>Online</x:v>
      </x:c>
      <x:c r="G3181" s="2" t="str">
        <x:v>Furniture</x:v>
      </x:c>
      <x:c r="H3181" s="2" t="str">
        <x:v>Chair 010</x:v>
      </x:c>
      <x:c r="I3181" s="11" t="n">
        <x:v>4</x:v>
      </x:c>
      <x:c r="J3181" s="9" t="n">
        <x:v>211</x:v>
      </x:c>
      <x:c r="K3181" s="10" t="n">
        <x:v>0</x:v>
      </x:c>
      <x:c r="L3181" s="11" t="n">
        <x:v>0</x:v>
      </x:c>
      <x:c r="M3181" s="9" t="n">
        <x:f>IF(D3181="Completed",I3181*J3181,0)</x:f>
        <x:v>844</x:v>
      </x:c>
      <x:c r="N3181" s="9" t="n">
        <x:f>M3181*K3181</x:f>
        <x:v>0</x:v>
      </x:c>
      <x:c r="O3181" s="9" t="n">
        <x:f>M3181-N3181</x:f>
        <x:v>844</x:v>
      </x:c>
      <x:c r="P3181" s="9" t="n">
        <x:f>IF(D3181="Completed",L3181*J3181*(1-K3181),0)</x:f>
        <x:v>0</x:v>
      </x:c>
      <x:c r="Q3181" s="9" t="n">
        <x:f>O3181-P3181</x:f>
        <x:v>844</x:v>
      </x:c>
      <x:c r="R3181" s="11" t="n">
        <x:f>IF(D3181="Completed",I3181,0)</x:f>
        <x:v>4</x:v>
      </x:c>
      <x:c r="S3181" s="11" t="n">
        <x:f>IF(D3181="Completed",L3181,0)</x:f>
        <x:v>0</x:v>
      </x:c>
      <x:c r="T3181" s="8" t="n">
        <x:f>DATE(YEAR(C3181),MONTH(C3181),1)</x:f>
        <x:v>45658</x:v>
      </x:c>
    </x:row>
    <x:row r="3182" ht="22" customHeight="1">
      <x:c r="A3182" s="2" t="str">
        <x:v>L003178</x:v>
      </x:c>
      <x:c r="B3182" s="2" t="str">
        <x:v>O01297</x:v>
      </x:c>
      <x:c r="C3182" s="7" t="n">
        <x:v>45939</x:v>
      </x:c>
      <x:c r="D3182" s="2" t="str">
        <x:v>Cancelled</x:v>
      </x:c>
      <x:c r="E3182" s="2" t="str">
        <x:v>West</x:v>
      </x:c>
      <x:c r="F3182" s="2" t="str">
        <x:v>Store</x:v>
      </x:c>
      <x:c r="G3182" s="2" t="str">
        <x:v>Furniture</x:v>
      </x:c>
      <x:c r="H3182" s="2" t="str">
        <x:v>Chair 022</x:v>
      </x:c>
      <x:c r="I3182" s="11" t="n">
        <x:v>5</x:v>
      </x:c>
      <x:c r="J3182" s="9" t="n">
        <x:v>134</x:v>
      </x:c>
      <x:c r="K3182" s="10" t="n">
        <x:v>0</x:v>
      </x:c>
      <x:c r="L3182" s="11" t="n">
        <x:v>0</x:v>
      </x:c>
      <x:c r="M3182" s="9" t="n">
        <x:f>IF(D3182="Completed",I3182*J3182,0)</x:f>
        <x:v>0</x:v>
      </x:c>
      <x:c r="N3182" s="9" t="n">
        <x:f>M3182*K3182</x:f>
        <x:v>0</x:v>
      </x:c>
      <x:c r="O3182" s="9" t="n">
        <x:f>M3182-N3182</x:f>
        <x:v>0</x:v>
      </x:c>
      <x:c r="P3182" s="9" t="n">
        <x:f>IF(D3182="Completed",L3182*J3182*(1-K3182),0)</x:f>
        <x:v>0</x:v>
      </x:c>
      <x:c r="Q3182" s="9" t="n">
        <x:f>O3182-P3182</x:f>
        <x:v>0</x:v>
      </x:c>
      <x:c r="R3182" s="11" t="n">
        <x:f>IF(D3182="Completed",I3182,0)</x:f>
        <x:v>0</x:v>
      </x:c>
      <x:c r="S3182" s="11" t="n">
        <x:f>IF(D3182="Completed",L3182,0)</x:f>
        <x:v>0</x:v>
      </x:c>
      <x:c r="T3182" s="8" t="n">
        <x:f>DATE(YEAR(C3182),MONTH(C3182),1)</x:f>
        <x:v>45931</x:v>
      </x:c>
    </x:row>
    <x:row r="3183" ht="22" customHeight="1">
      <x:c r="A3183" s="2" t="str">
        <x:v>L003179</x:v>
      </x:c>
      <x:c r="B3183" s="2" t="str">
        <x:v>O01298</x:v>
      </x:c>
      <x:c r="C3183" s="7" t="n">
        <x:v>45960</x:v>
      </x:c>
      <x:c r="D3183" s="2" t="str">
        <x:v>Cancelled</x:v>
      </x:c>
      <x:c r="E3183" s="2" t="str">
        <x:v>East</x:v>
      </x:c>
      <x:c r="F3183" s="2" t="str">
        <x:v>Store</x:v>
      </x:c>
      <x:c r="G3183" s="2" t="str">
        <x:v>Storage</x:v>
      </x:c>
      <x:c r="H3183" s="2" t="str">
        <x:v>Shelf 023</x:v>
      </x:c>
      <x:c r="I3183" s="11" t="n">
        <x:v>2</x:v>
      </x:c>
      <x:c r="J3183" s="9" t="n">
        <x:v>68</x:v>
      </x:c>
      <x:c r="K3183" s="10" t="n">
        <x:v>0.2</x:v>
      </x:c>
      <x:c r="L3183" s="11" t="n">
        <x:v>0</x:v>
      </x:c>
      <x:c r="M3183" s="9" t="n">
        <x:f>IF(D3183="Completed",I3183*J3183,0)</x:f>
        <x:v>0</x:v>
      </x:c>
      <x:c r="N3183" s="9" t="n">
        <x:f>M3183*K3183</x:f>
        <x:v>0</x:v>
      </x:c>
      <x:c r="O3183" s="9" t="n">
        <x:f>M3183-N3183</x:f>
        <x:v>0</x:v>
      </x:c>
      <x:c r="P3183" s="9" t="n">
        <x:f>IF(D3183="Completed",L3183*J3183*(1-K3183),0)</x:f>
        <x:v>0</x:v>
      </x:c>
      <x:c r="Q3183" s="9" t="n">
        <x:f>O3183-P3183</x:f>
        <x:v>0</x:v>
      </x:c>
      <x:c r="R3183" s="11" t="n">
        <x:f>IF(D3183="Completed",I3183,0)</x:f>
        <x:v>0</x:v>
      </x:c>
      <x:c r="S3183" s="11" t="n">
        <x:f>IF(D3183="Completed",L3183,0)</x:f>
        <x:v>0</x:v>
      </x:c>
      <x:c r="T3183" s="8" t="n">
        <x:f>DATE(YEAR(C3183),MONTH(C3183),1)</x:f>
        <x:v>45931</x:v>
      </x:c>
    </x:row>
    <x:row r="3184" ht="22" customHeight="1">
      <x:c r="A3184" s="2" t="str">
        <x:v>L003180</x:v>
      </x:c>
      <x:c r="B3184" s="2" t="str">
        <x:v>O01298</x:v>
      </x:c>
      <x:c r="C3184" s="7" t="n">
        <x:v>45960</x:v>
      </x:c>
      <x:c r="D3184" s="2" t="str">
        <x:v>Cancelled</x:v>
      </x:c>
      <x:c r="E3184" s="2" t="str">
        <x:v>East</x:v>
      </x:c>
      <x:c r="F3184" s="2" t="str">
        <x:v>Store</x:v>
      </x:c>
      <x:c r="G3184" s="2" t="str">
        <x:v>Furniture</x:v>
      </x:c>
      <x:c r="H3184" s="2" t="str">
        <x:v>Desk 012</x:v>
      </x:c>
      <x:c r="I3184" s="11" t="n">
        <x:v>1</x:v>
      </x:c>
      <x:c r="J3184" s="9" t="n">
        <x:v>134</x:v>
      </x:c>
      <x:c r="K3184" s="10" t="n">
        <x:v>0.2</x:v>
      </x:c>
      <x:c r="L3184" s="11" t="n">
        <x:v>0</x:v>
      </x:c>
      <x:c r="M3184" s="9" t="n">
        <x:f>IF(D3184="Completed",I3184*J3184,0)</x:f>
        <x:v>0</x:v>
      </x:c>
      <x:c r="N3184" s="9" t="n">
        <x:f>M3184*K3184</x:f>
        <x:v>0</x:v>
      </x:c>
      <x:c r="O3184" s="9" t="n">
        <x:f>M3184-N3184</x:f>
        <x:v>0</x:v>
      </x:c>
      <x:c r="P3184" s="9" t="n">
        <x:f>IF(D3184="Completed",L3184*J3184*(1-K3184),0)</x:f>
        <x:v>0</x:v>
      </x:c>
      <x:c r="Q3184" s="9" t="n">
        <x:f>O3184-P3184</x:f>
        <x:v>0</x:v>
      </x:c>
      <x:c r="R3184" s="11" t="n">
        <x:f>IF(D3184="Completed",I3184,0)</x:f>
        <x:v>0</x:v>
      </x:c>
      <x:c r="S3184" s="11" t="n">
        <x:f>IF(D3184="Completed",L3184,0)</x:f>
        <x:v>0</x:v>
      </x:c>
      <x:c r="T3184" s="8" t="n">
        <x:f>DATE(YEAR(C3184),MONTH(C3184),1)</x:f>
        <x:v>45931</x:v>
      </x:c>
    </x:row>
    <x:row r="3185" ht="22" customHeight="1">
      <x:c r="A3185" s="2" t="str">
        <x:v>L003181</x:v>
      </x:c>
      <x:c r="B3185" s="2" t="str">
        <x:v>O01298</x:v>
      </x:c>
      <x:c r="C3185" s="7" t="n">
        <x:v>45960</x:v>
      </x:c>
      <x:c r="D3185" s="2" t="str">
        <x:v>Cancelled</x:v>
      </x:c>
      <x:c r="E3185" s="2" t="str">
        <x:v>East</x:v>
      </x:c>
      <x:c r="F3185" s="2" t="str">
        <x:v>Store</x:v>
      </x:c>
      <x:c r="G3185" s="2" t="str">
        <x:v>Furniture</x:v>
      </x:c>
      <x:c r="H3185" s="2" t="str">
        <x:v>Desk 008</x:v>
      </x:c>
      <x:c r="I3185" s="11" t="n">
        <x:v>2</x:v>
      </x:c>
      <x:c r="J3185" s="9" t="n">
        <x:v>188</x:v>
      </x:c>
      <x:c r="K3185" s="10" t="n">
        <x:v>0.1</x:v>
      </x:c>
      <x:c r="L3185" s="11" t="n">
        <x:v>0</x:v>
      </x:c>
      <x:c r="M3185" s="9" t="n">
        <x:f>IF(D3185="Completed",I3185*J3185,0)</x:f>
        <x:v>0</x:v>
      </x:c>
      <x:c r="N3185" s="9" t="n">
        <x:f>M3185*K3185</x:f>
        <x:v>0</x:v>
      </x:c>
      <x:c r="O3185" s="9" t="n">
        <x:f>M3185-N3185</x:f>
        <x:v>0</x:v>
      </x:c>
      <x:c r="P3185" s="9" t="n">
        <x:f>IF(D3185="Completed",L3185*J3185*(1-K3185),0)</x:f>
        <x:v>0</x:v>
      </x:c>
      <x:c r="Q3185" s="9" t="n">
        <x:f>O3185-P3185</x:f>
        <x:v>0</x:v>
      </x:c>
      <x:c r="R3185" s="11" t="n">
        <x:f>IF(D3185="Completed",I3185,0)</x:f>
        <x:v>0</x:v>
      </x:c>
      <x:c r="S3185" s="11" t="n">
        <x:f>IF(D3185="Completed",L3185,0)</x:f>
        <x:v>0</x:v>
      </x:c>
      <x:c r="T3185" s="8" t="n">
        <x:f>DATE(YEAR(C3185),MONTH(C3185),1)</x:f>
        <x:v>45931</x:v>
      </x:c>
    </x:row>
    <x:row r="3186" ht="22" customHeight="1">
      <x:c r="A3186" s="2" t="str">
        <x:v>L003182</x:v>
      </x:c>
      <x:c r="B3186" s="2" t="str">
        <x:v>O01298</x:v>
      </x:c>
      <x:c r="C3186" s="7" t="n">
        <x:v>45960</x:v>
      </x:c>
      <x:c r="D3186" s="2" t="str">
        <x:v>Cancelled</x:v>
      </x:c>
      <x:c r="E3186" s="2" t="str">
        <x:v>East</x:v>
      </x:c>
      <x:c r="F3186" s="2" t="str">
        <x:v>Store</x:v>
      </x:c>
      <x:c r="G3186" s="2" t="str">
        <x:v>Furniture</x:v>
      </x:c>
      <x:c r="H3186" s="2" t="str">
        <x:v>Chair 018</x:v>
      </x:c>
      <x:c r="I3186" s="11" t="n">
        <x:v>4</x:v>
      </x:c>
      <x:c r="J3186" s="9" t="n">
        <x:v>269</x:v>
      </x:c>
      <x:c r="K3186" s="10" t="n">
        <x:v>0.1</x:v>
      </x:c>
      <x:c r="L3186" s="11" t="n">
        <x:v>0</x:v>
      </x:c>
      <x:c r="M3186" s="9" t="n">
        <x:f>IF(D3186="Completed",I3186*J3186,0)</x:f>
        <x:v>0</x:v>
      </x:c>
      <x:c r="N3186" s="9" t="n">
        <x:f>M3186*K3186</x:f>
        <x:v>0</x:v>
      </x:c>
      <x:c r="O3186" s="9" t="n">
        <x:f>M3186-N3186</x:f>
        <x:v>0</x:v>
      </x:c>
      <x:c r="P3186" s="9" t="n">
        <x:f>IF(D3186="Completed",L3186*J3186*(1-K3186),0)</x:f>
        <x:v>0</x:v>
      </x:c>
      <x:c r="Q3186" s="9" t="n">
        <x:f>O3186-P3186</x:f>
        <x:v>0</x:v>
      </x:c>
      <x:c r="R3186" s="11" t="n">
        <x:f>IF(D3186="Completed",I3186,0)</x:f>
        <x:v>0</x:v>
      </x:c>
      <x:c r="S3186" s="11" t="n">
        <x:f>IF(D3186="Completed",L3186,0)</x:f>
        <x:v>0</x:v>
      </x:c>
      <x:c r="T3186" s="8" t="n">
        <x:f>DATE(YEAR(C3186),MONTH(C3186),1)</x:f>
        <x:v>45931</x:v>
      </x:c>
    </x:row>
    <x:row r="3187" ht="22" customHeight="1">
      <x:c r="A3187" s="2" t="str">
        <x:v>L003183</x:v>
      </x:c>
      <x:c r="B3187" s="2" t="str">
        <x:v>O01299</x:v>
      </x:c>
      <x:c r="C3187" s="7" t="n">
        <x:v>45947</x:v>
      </x:c>
      <x:c r="D3187" s="2" t="str">
        <x:v>Completed</x:v>
      </x:c>
      <x:c r="E3187" s="2" t="str">
        <x:v>North</x:v>
      </x:c>
      <x:c r="F3187" s="2" t="str">
        <x:v>Online</x:v>
      </x:c>
      <x:c r="G3187" s="2" t="str">
        <x:v>Storage</x:v>
      </x:c>
      <x:c r="H3187" s="2" t="str">
        <x:v>Shelf 007</x:v>
      </x:c>
      <x:c r="I3187" s="11" t="n">
        <x:v>5</x:v>
      </x:c>
      <x:c r="J3187" s="9" t="n">
        <x:v>35</x:v>
      </x:c>
      <x:c r="K3187" s="10" t="n">
        <x:v>0.1</x:v>
      </x:c>
      <x:c r="L3187" s="11" t="n">
        <x:v>0</x:v>
      </x:c>
      <x:c r="M3187" s="9" t="n">
        <x:f>IF(D3187="Completed",I3187*J3187,0)</x:f>
        <x:v>175</x:v>
      </x:c>
      <x:c r="N3187" s="9" t="n">
        <x:f>M3187*K3187</x:f>
        <x:v>17.5</x:v>
      </x:c>
      <x:c r="O3187" s="9" t="n">
        <x:f>M3187-N3187</x:f>
        <x:v>157.5</x:v>
      </x:c>
      <x:c r="P3187" s="9" t="n">
        <x:f>IF(D3187="Completed",L3187*J3187*(1-K3187),0)</x:f>
        <x:v>0</x:v>
      </x:c>
      <x:c r="Q3187" s="9" t="n">
        <x:f>O3187-P3187</x:f>
        <x:v>157.5</x:v>
      </x:c>
      <x:c r="R3187" s="11" t="n">
        <x:f>IF(D3187="Completed",I3187,0)</x:f>
        <x:v>5</x:v>
      </x:c>
      <x:c r="S3187" s="11" t="n">
        <x:f>IF(D3187="Completed",L3187,0)</x:f>
        <x:v>0</x:v>
      </x:c>
      <x:c r="T3187" s="8" t="n">
        <x:f>DATE(YEAR(C3187),MONTH(C3187),1)</x:f>
        <x:v>45931</x:v>
      </x:c>
    </x:row>
    <x:row r="3188" ht="22" customHeight="1">
      <x:c r="A3188" s="2" t="str">
        <x:v>L003184</x:v>
      </x:c>
      <x:c r="B3188" s="2" t="str">
        <x:v>O01299</x:v>
      </x:c>
      <x:c r="C3188" s="7" t="n">
        <x:v>45947</x:v>
      </x:c>
      <x:c r="D3188" s="2" t="str">
        <x:v>Completed</x:v>
      </x:c>
      <x:c r="E3188" s="2" t="str">
        <x:v>North</x:v>
      </x:c>
      <x:c r="F3188" s="2" t="str">
        <x:v>Online</x:v>
      </x:c>
      <x:c r="G3188" s="2" t="str">
        <x:v>Furniture</x:v>
      </x:c>
      <x:c r="H3188" s="2" t="str">
        <x:v>Chair 022</x:v>
      </x:c>
      <x:c r="I3188" s="11" t="n">
        <x:v>1</x:v>
      </x:c>
      <x:c r="J3188" s="9" t="n">
        <x:v>134</x:v>
      </x:c>
      <x:c r="K3188" s="10" t="n">
        <x:v>0</x:v>
      </x:c>
      <x:c r="L3188" s="11" t="n">
        <x:v>0</x:v>
      </x:c>
      <x:c r="M3188" s="9" t="n">
        <x:f>IF(D3188="Completed",I3188*J3188,0)</x:f>
        <x:v>134</x:v>
      </x:c>
      <x:c r="N3188" s="9" t="n">
        <x:f>M3188*K3188</x:f>
        <x:v>0</x:v>
      </x:c>
      <x:c r="O3188" s="9" t="n">
        <x:f>M3188-N3188</x:f>
        <x:v>134</x:v>
      </x:c>
      <x:c r="P3188" s="9" t="n">
        <x:f>IF(D3188="Completed",L3188*J3188*(1-K3188),0)</x:f>
        <x:v>0</x:v>
      </x:c>
      <x:c r="Q3188" s="9" t="n">
        <x:f>O3188-P3188</x:f>
        <x:v>134</x:v>
      </x:c>
      <x:c r="R3188" s="11" t="n">
        <x:f>IF(D3188="Completed",I3188,0)</x:f>
        <x:v>1</x:v>
      </x:c>
      <x:c r="S3188" s="11" t="n">
        <x:f>IF(D3188="Completed",L3188,0)</x:f>
        <x:v>0</x:v>
      </x:c>
      <x:c r="T3188" s="8" t="n">
        <x:f>DATE(YEAR(C3188),MONTH(C3188),1)</x:f>
        <x:v>45931</x:v>
      </x:c>
    </x:row>
    <x:row r="3189" ht="22" customHeight="1">
      <x:c r="A3189" s="2" t="str">
        <x:v>L003185</x:v>
      </x:c>
      <x:c r="B3189" s="2" t="str">
        <x:v>O01300</x:v>
      </x:c>
      <x:c r="C3189" s="7" t="n">
        <x:v>45697</x:v>
      </x:c>
      <x:c r="D3189" s="2" t="str">
        <x:v>Completed</x:v>
      </x:c>
      <x:c r="E3189" s="2" t="str">
        <x:v>East</x:v>
      </x:c>
      <x:c r="F3189" s="2" t="str">
        <x:v>Store</x:v>
      </x:c>
      <x:c r="G3189" s="2" t="str">
        <x:v>Storage</x:v>
      </x:c>
      <x:c r="H3189" s="2" t="str">
        <x:v>Shelf 007</x:v>
      </x:c>
      <x:c r="I3189" s="11" t="n">
        <x:v>2</x:v>
      </x:c>
      <x:c r="J3189" s="9" t="n">
        <x:v>35</x:v>
      </x:c>
      <x:c r="K3189" s="10" t="n">
        <x:v>0</x:v>
      </x:c>
      <x:c r="L3189" s="11" t="n">
        <x:v>0</x:v>
      </x:c>
      <x:c r="M3189" s="9" t="n">
        <x:f>IF(D3189="Completed",I3189*J3189,0)</x:f>
        <x:v>70</x:v>
      </x:c>
      <x:c r="N3189" s="9" t="n">
        <x:f>M3189*K3189</x:f>
        <x:v>0</x:v>
      </x:c>
      <x:c r="O3189" s="9" t="n">
        <x:f>M3189-N3189</x:f>
        <x:v>70</x:v>
      </x:c>
      <x:c r="P3189" s="9" t="n">
        <x:f>IF(D3189="Completed",L3189*J3189*(1-K3189),0)</x:f>
        <x:v>0</x:v>
      </x:c>
      <x:c r="Q3189" s="9" t="n">
        <x:f>O3189-P3189</x:f>
        <x:v>70</x:v>
      </x:c>
      <x:c r="R3189" s="11" t="n">
        <x:f>IF(D3189="Completed",I3189,0)</x:f>
        <x:v>2</x:v>
      </x:c>
      <x:c r="S3189" s="11" t="n">
        <x:f>IF(D3189="Completed",L3189,0)</x:f>
        <x:v>0</x:v>
      </x:c>
      <x:c r="T3189" s="8" t="n">
        <x:f>DATE(YEAR(C3189),MONTH(C3189),1)</x:f>
        <x:v>45689</x:v>
      </x:c>
    </x:row>
    <x:row r="3190" ht="22" customHeight="1">
      <x:c r="A3190" s="2" t="str">
        <x:v>L003186</x:v>
      </x:c>
      <x:c r="B3190" s="2" t="str">
        <x:v>O01301</x:v>
      </x:c>
      <x:c r="C3190" s="7" t="n">
        <x:v>45995</x:v>
      </x:c>
      <x:c r="D3190" s="2" t="str">
        <x:v>Completed</x:v>
      </x:c>
      <x:c r="E3190" s="2" t="str">
        <x:v>West</x:v>
      </x:c>
      <x:c r="F3190" s="2" t="str">
        <x:v>Store</x:v>
      </x:c>
      <x:c r="G3190" s="2" t="str">
        <x:v>Furniture</x:v>
      </x:c>
      <x:c r="H3190" s="2" t="str">
        <x:v>Desk 024</x:v>
      </x:c>
      <x:c r="I3190" s="11" t="n">
        <x:v>2</x:v>
      </x:c>
      <x:c r="J3190" s="9" t="n">
        <x:v>81</x:v>
      </x:c>
      <x:c r="K3190" s="10" t="n">
        <x:v>0</x:v>
      </x:c>
      <x:c r="L3190" s="11" t="n">
        <x:v>0</x:v>
      </x:c>
      <x:c r="M3190" s="9" t="n">
        <x:f>IF(D3190="Completed",I3190*J3190,0)</x:f>
        <x:v>162</x:v>
      </x:c>
      <x:c r="N3190" s="9" t="n">
        <x:f>M3190*K3190</x:f>
        <x:v>0</x:v>
      </x:c>
      <x:c r="O3190" s="9" t="n">
        <x:f>M3190-N3190</x:f>
        <x:v>162</x:v>
      </x:c>
      <x:c r="P3190" s="9" t="n">
        <x:f>IF(D3190="Completed",L3190*J3190*(1-K3190),0)</x:f>
        <x:v>0</x:v>
      </x:c>
      <x:c r="Q3190" s="9" t="n">
        <x:f>O3190-P3190</x:f>
        <x:v>162</x:v>
      </x:c>
      <x:c r="R3190" s="11" t="n">
        <x:f>IF(D3190="Completed",I3190,0)</x:f>
        <x:v>2</x:v>
      </x:c>
      <x:c r="S3190" s="11" t="n">
        <x:f>IF(D3190="Completed",L3190,0)</x:f>
        <x:v>0</x:v>
      </x:c>
      <x:c r="T3190" s="8" t="n">
        <x:f>DATE(YEAR(C3190),MONTH(C3190),1)</x:f>
        <x:v>45992</x:v>
      </x:c>
    </x:row>
    <x:row r="3191" ht="22" customHeight="1">
      <x:c r="A3191" s="2" t="str">
        <x:v>L003187</x:v>
      </x:c>
      <x:c r="B3191" s="2" t="str">
        <x:v>O01302</x:v>
      </x:c>
      <x:c r="C3191" s="7" t="n">
        <x:v>45740</x:v>
      </x:c>
      <x:c r="D3191" s="2" t="str">
        <x:v>Completed</x:v>
      </x:c>
      <x:c r="E3191" s="2" t="str">
        <x:v>East</x:v>
      </x:c>
      <x:c r="F3191" s="2" t="str">
        <x:v>Store</x:v>
      </x:c>
      <x:c r="G3191" s="2" t="str">
        <x:v>Furniture</x:v>
      </x:c>
      <x:c r="H3191" s="2" t="str">
        <x:v>Chair 006</x:v>
      </x:c>
      <x:c r="I3191" s="11" t="n">
        <x:v>3</x:v>
      </x:c>
      <x:c r="J3191" s="9" t="n">
        <x:v>196</x:v>
      </x:c>
      <x:c r="K3191" s="10" t="n">
        <x:v>0</x:v>
      </x:c>
      <x:c r="L3191" s="11" t="n">
        <x:v>0</x:v>
      </x:c>
      <x:c r="M3191" s="9" t="n">
        <x:f>IF(D3191="Completed",I3191*J3191,0)</x:f>
        <x:v>588</x:v>
      </x:c>
      <x:c r="N3191" s="9" t="n">
        <x:f>M3191*K3191</x:f>
        <x:v>0</x:v>
      </x:c>
      <x:c r="O3191" s="9" t="n">
        <x:f>M3191-N3191</x:f>
        <x:v>588</x:v>
      </x:c>
      <x:c r="P3191" s="9" t="n">
        <x:f>IF(D3191="Completed",L3191*J3191*(1-K3191),0)</x:f>
        <x:v>0</x:v>
      </x:c>
      <x:c r="Q3191" s="9" t="n">
        <x:f>O3191-P3191</x:f>
        <x:v>588</x:v>
      </x:c>
      <x:c r="R3191" s="11" t="n">
        <x:f>IF(D3191="Completed",I3191,0)</x:f>
        <x:v>3</x:v>
      </x:c>
      <x:c r="S3191" s="11" t="n">
        <x:f>IF(D3191="Completed",L3191,0)</x:f>
        <x:v>0</x:v>
      </x:c>
      <x:c r="T3191" s="8" t="n">
        <x:f>DATE(YEAR(C3191),MONTH(C3191),1)</x:f>
        <x:v>45717</x:v>
      </x:c>
    </x:row>
    <x:row r="3192" ht="22" customHeight="1">
      <x:c r="A3192" s="2" t="str">
        <x:v>L003188</x:v>
      </x:c>
      <x:c r="B3192" s="2" t="str">
        <x:v>O01303</x:v>
      </x:c>
      <x:c r="C3192" s="7" t="n">
        <x:v>45779</x:v>
      </x:c>
      <x:c r="D3192" s="2" t="str">
        <x:v>Completed</x:v>
      </x:c>
      <x:c r="E3192" s="2" t="str">
        <x:v>South</x:v>
      </x:c>
      <x:c r="F3192" s="2" t="str">
        <x:v>Store</x:v>
      </x:c>
      <x:c r="G3192" s="2" t="str">
        <x:v>Furniture</x:v>
      </x:c>
      <x:c r="H3192" s="2" t="str">
        <x:v>Chair 010</x:v>
      </x:c>
      <x:c r="I3192" s="11" t="n">
        <x:v>1</x:v>
      </x:c>
      <x:c r="J3192" s="9" t="n">
        <x:v>211</x:v>
      </x:c>
      <x:c r="K3192" s="10" t="n">
        <x:v>0</x:v>
      </x:c>
      <x:c r="L3192" s="11" t="n">
        <x:v>0</x:v>
      </x:c>
      <x:c r="M3192" s="9" t="n">
        <x:f>IF(D3192="Completed",I3192*J3192,0)</x:f>
        <x:v>211</x:v>
      </x:c>
      <x:c r="N3192" s="9" t="n">
        <x:f>M3192*K3192</x:f>
        <x:v>0</x:v>
      </x:c>
      <x:c r="O3192" s="9" t="n">
        <x:f>M3192-N3192</x:f>
        <x:v>211</x:v>
      </x:c>
      <x:c r="P3192" s="9" t="n">
        <x:f>IF(D3192="Completed",L3192*J3192*(1-K3192),0)</x:f>
        <x:v>0</x:v>
      </x:c>
      <x:c r="Q3192" s="9" t="n">
        <x:f>O3192-P3192</x:f>
        <x:v>211</x:v>
      </x:c>
      <x:c r="R3192" s="11" t="n">
        <x:f>IF(D3192="Completed",I3192,0)</x:f>
        <x:v>1</x:v>
      </x:c>
      <x:c r="S3192" s="11" t="n">
        <x:f>IF(D3192="Completed",L3192,0)</x:f>
        <x:v>0</x:v>
      </x:c>
      <x:c r="T3192" s="8" t="n">
        <x:f>DATE(YEAR(C3192),MONTH(C3192),1)</x:f>
        <x:v>45778</x:v>
      </x:c>
    </x:row>
    <x:row r="3193" ht="22" customHeight="1">
      <x:c r="A3193" s="2" t="str">
        <x:v>L003189</x:v>
      </x:c>
      <x:c r="B3193" s="2" t="str">
        <x:v>O01303</x:v>
      </x:c>
      <x:c r="C3193" s="7" t="n">
        <x:v>45779</x:v>
      </x:c>
      <x:c r="D3193" s="2" t="str">
        <x:v>Completed</x:v>
      </x:c>
      <x:c r="E3193" s="2" t="str">
        <x:v>South</x:v>
      </x:c>
      <x:c r="F3193" s="2" t="str">
        <x:v>Store</x:v>
      </x:c>
      <x:c r="G3193" s="2" t="str">
        <x:v>Lighting</x:v>
      </x:c>
      <x:c r="H3193" s="2" t="str">
        <x:v>Lamp 005</x:v>
      </x:c>
      <x:c r="I3193" s="11" t="n">
        <x:v>5</x:v>
      </x:c>
      <x:c r="J3193" s="9" t="n">
        <x:v>65</x:v>
      </x:c>
      <x:c r="K3193" s="10" t="n">
        <x:v>0.1</x:v>
      </x:c>
      <x:c r="L3193" s="11" t="n">
        <x:v>0</x:v>
      </x:c>
      <x:c r="M3193" s="9" t="n">
        <x:f>IF(D3193="Completed",I3193*J3193,0)</x:f>
        <x:v>325</x:v>
      </x:c>
      <x:c r="N3193" s="9" t="n">
        <x:f>M3193*K3193</x:f>
        <x:v>32.5</x:v>
      </x:c>
      <x:c r="O3193" s="9" t="n">
        <x:f>M3193-N3193</x:f>
        <x:v>292.5</x:v>
      </x:c>
      <x:c r="P3193" s="9" t="n">
        <x:f>IF(D3193="Completed",L3193*J3193*(1-K3193),0)</x:f>
        <x:v>0</x:v>
      </x:c>
      <x:c r="Q3193" s="9" t="n">
        <x:f>O3193-P3193</x:f>
        <x:v>292.5</x:v>
      </x:c>
      <x:c r="R3193" s="11" t="n">
        <x:f>IF(D3193="Completed",I3193,0)</x:f>
        <x:v>5</x:v>
      </x:c>
      <x:c r="S3193" s="11" t="n">
        <x:f>IF(D3193="Completed",L3193,0)</x:f>
        <x:v>0</x:v>
      </x:c>
      <x:c r="T3193" s="8" t="n">
        <x:f>DATE(YEAR(C3193),MONTH(C3193),1)</x:f>
        <x:v>45778</x:v>
      </x:c>
    </x:row>
    <x:row r="3194" ht="22" customHeight="1">
      <x:c r="A3194" s="2" t="str">
        <x:v>L003190</x:v>
      </x:c>
      <x:c r="B3194" s="2" t="str">
        <x:v>O01303</x:v>
      </x:c>
      <x:c r="C3194" s="7" t="n">
        <x:v>45779</x:v>
      </x:c>
      <x:c r="D3194" s="2" t="str">
        <x:v>Completed</x:v>
      </x:c>
      <x:c r="E3194" s="2" t="str">
        <x:v>South</x:v>
      </x:c>
      <x:c r="F3194" s="2" t="str">
        <x:v>Store</x:v>
      </x:c>
      <x:c r="G3194" s="2" t="str">
        <x:v>Furniture</x:v>
      </x:c>
      <x:c r="H3194" s="2" t="str">
        <x:v>Desk 008</x:v>
      </x:c>
      <x:c r="I3194" s="11" t="n">
        <x:v>5</x:v>
      </x:c>
      <x:c r="J3194" s="9" t="n">
        <x:v>188</x:v>
      </x:c>
      <x:c r="K3194" s="10" t="n">
        <x:v>0.2</x:v>
      </x:c>
      <x:c r="L3194" s="11" t="n">
        <x:v>0</x:v>
      </x:c>
      <x:c r="M3194" s="9" t="n">
        <x:f>IF(D3194="Completed",I3194*J3194,0)</x:f>
        <x:v>940</x:v>
      </x:c>
      <x:c r="N3194" s="9" t="n">
        <x:f>M3194*K3194</x:f>
        <x:v>188</x:v>
      </x:c>
      <x:c r="O3194" s="9" t="n">
        <x:f>M3194-N3194</x:f>
        <x:v>752</x:v>
      </x:c>
      <x:c r="P3194" s="9" t="n">
        <x:f>IF(D3194="Completed",L3194*J3194*(1-K3194),0)</x:f>
        <x:v>0</x:v>
      </x:c>
      <x:c r="Q3194" s="9" t="n">
        <x:f>O3194-P3194</x:f>
        <x:v>752</x:v>
      </x:c>
      <x:c r="R3194" s="11" t="n">
        <x:f>IF(D3194="Completed",I3194,0)</x:f>
        <x:v>5</x:v>
      </x:c>
      <x:c r="S3194" s="11" t="n">
        <x:f>IF(D3194="Completed",L3194,0)</x:f>
        <x:v>0</x:v>
      </x:c>
      <x:c r="T3194" s="8" t="n">
        <x:f>DATE(YEAR(C3194),MONTH(C3194),1)</x:f>
        <x:v>45778</x:v>
      </x:c>
    </x:row>
    <x:row r="3195" ht="22" customHeight="1">
      <x:c r="A3195" s="2" t="str">
        <x:v>L003191</x:v>
      </x:c>
      <x:c r="B3195" s="2" t="str">
        <x:v>O01303</x:v>
      </x:c>
      <x:c r="C3195" s="7" t="n">
        <x:v>45779</x:v>
      </x:c>
      <x:c r="D3195" s="2" t="str">
        <x:v>Completed</x:v>
      </x:c>
      <x:c r="E3195" s="2" t="str">
        <x:v>South</x:v>
      </x:c>
      <x:c r="F3195" s="2" t="str">
        <x:v>Store</x:v>
      </x:c>
      <x:c r="G3195" s="2" t="str">
        <x:v>Lighting</x:v>
      </x:c>
      <x:c r="H3195" s="2" t="str">
        <x:v>Lamp 017</x:v>
      </x:c>
      <x:c r="I3195" s="11" t="n">
        <x:v>2</x:v>
      </x:c>
      <x:c r="J3195" s="9" t="n">
        <x:v>300</x:v>
      </x:c>
      <x:c r="K3195" s="10" t="n">
        <x:v>0.05</x:v>
      </x:c>
      <x:c r="L3195" s="11" t="n">
        <x:v>1</x:v>
      </x:c>
      <x:c r="M3195" s="9" t="n">
        <x:f>IF(D3195="Completed",I3195*J3195,0)</x:f>
        <x:v>600</x:v>
      </x:c>
      <x:c r="N3195" s="9" t="n">
        <x:f>M3195*K3195</x:f>
        <x:v>30</x:v>
      </x:c>
      <x:c r="O3195" s="9" t="n">
        <x:f>M3195-N3195</x:f>
        <x:v>570</x:v>
      </x:c>
      <x:c r="P3195" s="9" t="n">
        <x:f>IF(D3195="Completed",L3195*J3195*(1-K3195),0)</x:f>
        <x:v>285</x:v>
      </x:c>
      <x:c r="Q3195" s="9" t="n">
        <x:f>O3195-P3195</x:f>
        <x:v>285</x:v>
      </x:c>
      <x:c r="R3195" s="11" t="n">
        <x:f>IF(D3195="Completed",I3195,0)</x:f>
        <x:v>2</x:v>
      </x:c>
      <x:c r="S3195" s="11" t="n">
        <x:f>IF(D3195="Completed",L3195,0)</x:f>
        <x:v>1</x:v>
      </x:c>
      <x:c r="T3195" s="8" t="n">
        <x:f>DATE(YEAR(C3195),MONTH(C3195),1)</x:f>
        <x:v>45778</x:v>
      </x:c>
    </x:row>
    <x:row r="3196" ht="22" customHeight="1">
      <x:c r="A3196" s="2" t="str">
        <x:v>L003192</x:v>
      </x:c>
      <x:c r="B3196" s="2" t="str">
        <x:v>O01304</x:v>
      </x:c>
      <x:c r="C3196" s="7" t="n">
        <x:v>45967</x:v>
      </x:c>
      <x:c r="D3196" s="2" t="str">
        <x:v>Completed</x:v>
      </x:c>
      <x:c r="E3196" s="2" t="str">
        <x:v>West</x:v>
      </x:c>
      <x:c r="F3196" s="2" t="str">
        <x:v>Online</x:v>
      </x:c>
      <x:c r="G3196" s="2" t="str">
        <x:v>Lighting</x:v>
      </x:c>
      <x:c r="H3196" s="2" t="str">
        <x:v>Lamp 013</x:v>
      </x:c>
      <x:c r="I3196" s="11" t="n">
        <x:v>5</x:v>
      </x:c>
      <x:c r="J3196" s="9" t="n">
        <x:v>271</x:v>
      </x:c>
      <x:c r="K3196" s="10" t="n">
        <x:v>0.1</x:v>
      </x:c>
      <x:c r="L3196" s="11" t="n">
        <x:v>0</x:v>
      </x:c>
      <x:c r="M3196" s="9" t="n">
        <x:f>IF(D3196="Completed",I3196*J3196,0)</x:f>
        <x:v>1355</x:v>
      </x:c>
      <x:c r="N3196" s="9" t="n">
        <x:f>M3196*K3196</x:f>
        <x:v>135.5</x:v>
      </x:c>
      <x:c r="O3196" s="9" t="n">
        <x:f>M3196-N3196</x:f>
        <x:v>1219.5</x:v>
      </x:c>
      <x:c r="P3196" s="9" t="n">
        <x:f>IF(D3196="Completed",L3196*J3196*(1-K3196),0)</x:f>
        <x:v>0</x:v>
      </x:c>
      <x:c r="Q3196" s="9" t="n">
        <x:f>O3196-P3196</x:f>
        <x:v>1219.5</x:v>
      </x:c>
      <x:c r="R3196" s="11" t="n">
        <x:f>IF(D3196="Completed",I3196,0)</x:f>
        <x:v>5</x:v>
      </x:c>
      <x:c r="S3196" s="11" t="n">
        <x:f>IF(D3196="Completed",L3196,0)</x:f>
        <x:v>0</x:v>
      </x:c>
      <x:c r="T3196" s="8" t="n">
        <x:f>DATE(YEAR(C3196),MONTH(C3196),1)</x:f>
        <x:v>45962</x:v>
      </x:c>
    </x:row>
    <x:row r="3197" ht="22" customHeight="1">
      <x:c r="A3197" s="2" t="str">
        <x:v>L003193</x:v>
      </x:c>
      <x:c r="B3197" s="2" t="str">
        <x:v>O01304</x:v>
      </x:c>
      <x:c r="C3197" s="7" t="n">
        <x:v>45967</x:v>
      </x:c>
      <x:c r="D3197" s="2" t="str">
        <x:v>Completed</x:v>
      </x:c>
      <x:c r="E3197" s="2" t="str">
        <x:v>West</x:v>
      </x:c>
      <x:c r="F3197" s="2" t="str">
        <x:v>Online</x:v>
      </x:c>
      <x:c r="G3197" s="2" t="str">
        <x:v>Furniture</x:v>
      </x:c>
      <x:c r="H3197" s="2" t="str">
        <x:v>Chair 006</x:v>
      </x:c>
      <x:c r="I3197" s="11" t="n">
        <x:v>2</x:v>
      </x:c>
      <x:c r="J3197" s="9" t="n">
        <x:v>196</x:v>
      </x:c>
      <x:c r="K3197" s="10" t="n">
        <x:v>0</x:v>
      </x:c>
      <x:c r="L3197" s="11" t="n">
        <x:v>0</x:v>
      </x:c>
      <x:c r="M3197" s="9" t="n">
        <x:f>IF(D3197="Completed",I3197*J3197,0)</x:f>
        <x:v>392</x:v>
      </x:c>
      <x:c r="N3197" s="9" t="n">
        <x:f>M3197*K3197</x:f>
        <x:v>0</x:v>
      </x:c>
      <x:c r="O3197" s="9" t="n">
        <x:f>M3197-N3197</x:f>
        <x:v>392</x:v>
      </x:c>
      <x:c r="P3197" s="9" t="n">
        <x:f>IF(D3197="Completed",L3197*J3197*(1-K3197),0)</x:f>
        <x:v>0</x:v>
      </x:c>
      <x:c r="Q3197" s="9" t="n">
        <x:f>O3197-P3197</x:f>
        <x:v>392</x:v>
      </x:c>
      <x:c r="R3197" s="11" t="n">
        <x:f>IF(D3197="Completed",I3197,0)</x:f>
        <x:v>2</x:v>
      </x:c>
      <x:c r="S3197" s="11" t="n">
        <x:f>IF(D3197="Completed",L3197,0)</x:f>
        <x:v>0</x:v>
      </x:c>
      <x:c r="T3197" s="8" t="n">
        <x:f>DATE(YEAR(C3197),MONTH(C3197),1)</x:f>
        <x:v>45962</x:v>
      </x:c>
    </x:row>
    <x:row r="3198" ht="22" customHeight="1">
      <x:c r="A3198" s="2" t="str">
        <x:v>L003194</x:v>
      </x:c>
      <x:c r="B3198" s="2" t="str">
        <x:v>O01304</x:v>
      </x:c>
      <x:c r="C3198" s="7" t="n">
        <x:v>45967</x:v>
      </x:c>
      <x:c r="D3198" s="2" t="str">
        <x:v>Completed</x:v>
      </x:c>
      <x:c r="E3198" s="2" t="str">
        <x:v>West</x:v>
      </x:c>
      <x:c r="F3198" s="2" t="str">
        <x:v>Online</x:v>
      </x:c>
      <x:c r="G3198" s="2" t="str">
        <x:v>Storage</x:v>
      </x:c>
      <x:c r="H3198" s="2" t="str">
        <x:v>Shelf 003</x:v>
      </x:c>
      <x:c r="I3198" s="11" t="n">
        <x:v>2</x:v>
      </x:c>
      <x:c r="J3198" s="9" t="n">
        <x:v>199</x:v>
      </x:c>
      <x:c r="K3198" s="10" t="n">
        <x:v>0.1</x:v>
      </x:c>
      <x:c r="L3198" s="11" t="n">
        <x:v>0</x:v>
      </x:c>
      <x:c r="M3198" s="9" t="n">
        <x:f>IF(D3198="Completed",I3198*J3198,0)</x:f>
        <x:v>398</x:v>
      </x:c>
      <x:c r="N3198" s="9" t="n">
        <x:f>M3198*K3198</x:f>
        <x:v>39.800000000000004</x:v>
      </x:c>
      <x:c r="O3198" s="9" t="n">
        <x:f>M3198-N3198</x:f>
        <x:v>358.2</x:v>
      </x:c>
      <x:c r="P3198" s="9" t="n">
        <x:f>IF(D3198="Completed",L3198*J3198*(1-K3198),0)</x:f>
        <x:v>0</x:v>
      </x:c>
      <x:c r="Q3198" s="9" t="n">
        <x:f>O3198-P3198</x:f>
        <x:v>358.2</x:v>
      </x:c>
      <x:c r="R3198" s="11" t="n">
        <x:f>IF(D3198="Completed",I3198,0)</x:f>
        <x:v>2</x:v>
      </x:c>
      <x:c r="S3198" s="11" t="n">
        <x:f>IF(D3198="Completed",L3198,0)</x:f>
        <x:v>0</x:v>
      </x:c>
      <x:c r="T3198" s="8" t="n">
        <x:f>DATE(YEAR(C3198),MONTH(C3198),1)</x:f>
        <x:v>45962</x:v>
      </x:c>
    </x:row>
    <x:row r="3199" ht="22" customHeight="1">
      <x:c r="A3199" s="2" t="str">
        <x:v>L003195</x:v>
      </x:c>
      <x:c r="B3199" s="2" t="str">
        <x:v>O01304</x:v>
      </x:c>
      <x:c r="C3199" s="7" t="n">
        <x:v>45967</x:v>
      </x:c>
      <x:c r="D3199" s="2" t="str">
        <x:v>Completed</x:v>
      </x:c>
      <x:c r="E3199" s="2" t="str">
        <x:v>West</x:v>
      </x:c>
      <x:c r="F3199" s="2" t="str">
        <x:v>Online</x:v>
      </x:c>
      <x:c r="G3199" s="2" t="str">
        <x:v>Storage</x:v>
      </x:c>
      <x:c r="H3199" s="2" t="str">
        <x:v>Shelf 023</x:v>
      </x:c>
      <x:c r="I3199" s="11" t="n">
        <x:v>5</x:v>
      </x:c>
      <x:c r="J3199" s="9" t="n">
        <x:v>68</x:v>
      </x:c>
      <x:c r="K3199" s="10" t="n">
        <x:v>0</x:v>
      </x:c>
      <x:c r="L3199" s="11" t="n">
        <x:v>0</x:v>
      </x:c>
      <x:c r="M3199" s="9" t="n">
        <x:f>IF(D3199="Completed",I3199*J3199,0)</x:f>
        <x:v>340</x:v>
      </x:c>
      <x:c r="N3199" s="9" t="n">
        <x:f>M3199*K3199</x:f>
        <x:v>0</x:v>
      </x:c>
      <x:c r="O3199" s="9" t="n">
        <x:f>M3199-N3199</x:f>
        <x:v>340</x:v>
      </x:c>
      <x:c r="P3199" s="9" t="n">
        <x:f>IF(D3199="Completed",L3199*J3199*(1-K3199),0)</x:f>
        <x:v>0</x:v>
      </x:c>
      <x:c r="Q3199" s="9" t="n">
        <x:f>O3199-P3199</x:f>
        <x:v>340</x:v>
      </x:c>
      <x:c r="R3199" s="11" t="n">
        <x:f>IF(D3199="Completed",I3199,0)</x:f>
        <x:v>5</x:v>
      </x:c>
      <x:c r="S3199" s="11" t="n">
        <x:f>IF(D3199="Completed",L3199,0)</x:f>
        <x:v>0</x:v>
      </x:c>
      <x:c r="T3199" s="8" t="n">
        <x:f>DATE(YEAR(C3199),MONTH(C3199),1)</x:f>
        <x:v>45962</x:v>
      </x:c>
    </x:row>
    <x:row r="3200" ht="22" customHeight="1">
      <x:c r="A3200" s="2" t="str">
        <x:v>L003196</x:v>
      </x:c>
      <x:c r="B3200" s="2" t="str">
        <x:v>O01305</x:v>
      </x:c>
      <x:c r="C3200" s="7" t="n">
        <x:v>45965</x:v>
      </x:c>
      <x:c r="D3200" s="2" t="str">
        <x:v>Completed</x:v>
      </x:c>
      <x:c r="E3200" s="2" t="str">
        <x:v>South</x:v>
      </x:c>
      <x:c r="F3200" s="2" t="str">
        <x:v>Online</x:v>
      </x:c>
      <x:c r="G3200" s="2" t="str">
        <x:v>Storage</x:v>
      </x:c>
      <x:c r="H3200" s="2" t="str">
        <x:v>Shelf 023</x:v>
      </x:c>
      <x:c r="I3200" s="11" t="n">
        <x:v>1</x:v>
      </x:c>
      <x:c r="J3200" s="9" t="n">
        <x:v>68</x:v>
      </x:c>
      <x:c r="K3200" s="10" t="n">
        <x:v>0</x:v>
      </x:c>
      <x:c r="L3200" s="11" t="n">
        <x:v>0</x:v>
      </x:c>
      <x:c r="M3200" s="9" t="n">
        <x:f>IF(D3200="Completed",I3200*J3200,0)</x:f>
        <x:v>68</x:v>
      </x:c>
      <x:c r="N3200" s="9" t="n">
        <x:f>M3200*K3200</x:f>
        <x:v>0</x:v>
      </x:c>
      <x:c r="O3200" s="9" t="n">
        <x:f>M3200-N3200</x:f>
        <x:v>68</x:v>
      </x:c>
      <x:c r="P3200" s="9" t="n">
        <x:f>IF(D3200="Completed",L3200*J3200*(1-K3200),0)</x:f>
        <x:v>0</x:v>
      </x:c>
      <x:c r="Q3200" s="9" t="n">
        <x:f>O3200-P3200</x:f>
        <x:v>68</x:v>
      </x:c>
      <x:c r="R3200" s="11" t="n">
        <x:f>IF(D3200="Completed",I3200,0)</x:f>
        <x:v>1</x:v>
      </x:c>
      <x:c r="S3200" s="11" t="n">
        <x:f>IF(D3200="Completed",L3200,0)</x:f>
        <x:v>0</x:v>
      </x:c>
      <x:c r="T3200" s="8" t="n">
        <x:f>DATE(YEAR(C3200),MONTH(C3200),1)</x:f>
        <x:v>45962</x:v>
      </x:c>
    </x:row>
    <x:row r="3201" ht="22" customHeight="1">
      <x:c r="A3201" s="2" t="str">
        <x:v>L003197</x:v>
      </x:c>
      <x:c r="B3201" s="2" t="str">
        <x:v>O01306</x:v>
      </x:c>
      <x:c r="C3201" s="7" t="n">
        <x:v>45874</x:v>
      </x:c>
      <x:c r="D3201" s="2" t="str">
        <x:v>Completed</x:v>
      </x:c>
      <x:c r="E3201" s="2" t="str">
        <x:v>North</x:v>
      </x:c>
      <x:c r="F3201" s="2" t="str">
        <x:v>Store</x:v>
      </x:c>
      <x:c r="G3201" s="2" t="str">
        <x:v>Storage</x:v>
      </x:c>
      <x:c r="H3201" s="2" t="str">
        <x:v>Shelf 007</x:v>
      </x:c>
      <x:c r="I3201" s="11" t="n">
        <x:v>2</x:v>
      </x:c>
      <x:c r="J3201" s="9" t="n">
        <x:v>35</x:v>
      </x:c>
      <x:c r="K3201" s="10" t="n">
        <x:v>0.05</x:v>
      </x:c>
      <x:c r="L3201" s="11" t="n">
        <x:v>0</x:v>
      </x:c>
      <x:c r="M3201" s="9" t="n">
        <x:f>IF(D3201="Completed",I3201*J3201,0)</x:f>
        <x:v>70</x:v>
      </x:c>
      <x:c r="N3201" s="9" t="n">
        <x:f>M3201*K3201</x:f>
        <x:v>3.5</x:v>
      </x:c>
      <x:c r="O3201" s="9" t="n">
        <x:f>M3201-N3201</x:f>
        <x:v>66.5</x:v>
      </x:c>
      <x:c r="P3201" s="9" t="n">
        <x:f>IF(D3201="Completed",L3201*J3201*(1-K3201),0)</x:f>
        <x:v>0</x:v>
      </x:c>
      <x:c r="Q3201" s="9" t="n">
        <x:f>O3201-P3201</x:f>
        <x:v>66.5</x:v>
      </x:c>
      <x:c r="R3201" s="11" t="n">
        <x:f>IF(D3201="Completed",I3201,0)</x:f>
        <x:v>2</x:v>
      </x:c>
      <x:c r="S3201" s="11" t="n">
        <x:f>IF(D3201="Completed",L3201,0)</x:f>
        <x:v>0</x:v>
      </x:c>
      <x:c r="T3201" s="8" t="n">
        <x:f>DATE(YEAR(C3201),MONTH(C3201),1)</x:f>
        <x:v>45870</x:v>
      </x:c>
    </x:row>
    <x:row r="3202" ht="22" customHeight="1">
      <x:c r="A3202" s="2" t="str">
        <x:v>L003198</x:v>
      </x:c>
      <x:c r="B3202" s="2" t="str">
        <x:v>O01307</x:v>
      </x:c>
      <x:c r="C3202" s="7" t="n">
        <x:v>45804</x:v>
      </x:c>
      <x:c r="D3202" s="2" t="str">
        <x:v>Completed</x:v>
      </x:c>
      <x:c r="E3202" s="2" t="str">
        <x:v>West</x:v>
      </x:c>
      <x:c r="F3202" s="2" t="str">
        <x:v>Store</x:v>
      </x:c>
      <x:c r="G3202" s="2" t="str">
        <x:v>Lighting</x:v>
      </x:c>
      <x:c r="H3202" s="2" t="str">
        <x:v>Lamp 021</x:v>
      </x:c>
      <x:c r="I3202" s="11" t="n">
        <x:v>4</x:v>
      </x:c>
      <x:c r="J3202" s="9" t="n">
        <x:v>249</x:v>
      </x:c>
      <x:c r="K3202" s="10" t="n">
        <x:v>0.2</x:v>
      </x:c>
      <x:c r="L3202" s="11" t="n">
        <x:v>0</x:v>
      </x:c>
      <x:c r="M3202" s="9" t="n">
        <x:f>IF(D3202="Completed",I3202*J3202,0)</x:f>
        <x:v>996</x:v>
      </x:c>
      <x:c r="N3202" s="9" t="n">
        <x:f>M3202*K3202</x:f>
        <x:v>199.20000000000002</x:v>
      </x:c>
      <x:c r="O3202" s="9" t="n">
        <x:f>M3202-N3202</x:f>
        <x:v>796.8</x:v>
      </x:c>
      <x:c r="P3202" s="9" t="n">
        <x:f>IF(D3202="Completed",L3202*J3202*(1-K3202),0)</x:f>
        <x:v>0</x:v>
      </x:c>
      <x:c r="Q3202" s="9" t="n">
        <x:f>O3202-P3202</x:f>
        <x:v>796.8</x:v>
      </x:c>
      <x:c r="R3202" s="11" t="n">
        <x:f>IF(D3202="Completed",I3202,0)</x:f>
        <x:v>4</x:v>
      </x:c>
      <x:c r="S3202" s="11" t="n">
        <x:f>IF(D3202="Completed",L3202,0)</x:f>
        <x:v>0</x:v>
      </x:c>
      <x:c r="T3202" s="8" t="n">
        <x:f>DATE(YEAR(C3202),MONTH(C3202),1)</x:f>
        <x:v>45778</x:v>
      </x:c>
    </x:row>
    <x:row r="3203" ht="22" customHeight="1">
      <x:c r="A3203" s="2" t="str">
        <x:v>L003199</x:v>
      </x:c>
      <x:c r="B3203" s="2" t="str">
        <x:v>O01308</x:v>
      </x:c>
      <x:c r="C3203" s="7" t="n">
        <x:v>45956</x:v>
      </x:c>
      <x:c r="D3203" s="2" t="str">
        <x:v>Completed</x:v>
      </x:c>
      <x:c r="E3203" s="2" t="str">
        <x:v>East</x:v>
      </x:c>
      <x:c r="F3203" s="2" t="str">
        <x:v>Online</x:v>
      </x:c>
      <x:c r="G3203" s="2" t="str">
        <x:v>Storage</x:v>
      </x:c>
      <x:c r="H3203" s="2" t="str">
        <x:v>Shelf 023</x:v>
      </x:c>
      <x:c r="I3203" s="11" t="n">
        <x:v>1</x:v>
      </x:c>
      <x:c r="J3203" s="9" t="n">
        <x:v>68</x:v>
      </x:c>
      <x:c r="K3203" s="10" t="n">
        <x:v>0.2</x:v>
      </x:c>
      <x:c r="L3203" s="11" t="n">
        <x:v>0</x:v>
      </x:c>
      <x:c r="M3203" s="9" t="n">
        <x:f>IF(D3203="Completed",I3203*J3203,0)</x:f>
        <x:v>68</x:v>
      </x:c>
      <x:c r="N3203" s="9" t="n">
        <x:f>M3203*K3203</x:f>
        <x:v>13.600000000000001</x:v>
      </x:c>
      <x:c r="O3203" s="9" t="n">
        <x:f>M3203-N3203</x:f>
        <x:v>54.4</x:v>
      </x:c>
      <x:c r="P3203" s="9" t="n">
        <x:f>IF(D3203="Completed",L3203*J3203*(1-K3203),0)</x:f>
        <x:v>0</x:v>
      </x:c>
      <x:c r="Q3203" s="9" t="n">
        <x:f>O3203-P3203</x:f>
        <x:v>54.4</x:v>
      </x:c>
      <x:c r="R3203" s="11" t="n">
        <x:f>IF(D3203="Completed",I3203,0)</x:f>
        <x:v>1</x:v>
      </x:c>
      <x:c r="S3203" s="11" t="n">
        <x:f>IF(D3203="Completed",L3203,0)</x:f>
        <x:v>0</x:v>
      </x:c>
      <x:c r="T3203" s="8" t="n">
        <x:f>DATE(YEAR(C3203),MONTH(C3203),1)</x:f>
        <x:v>45931</x:v>
      </x:c>
    </x:row>
    <x:row r="3204" ht="22" customHeight="1">
      <x:c r="A3204" s="2" t="str">
        <x:v>L003200</x:v>
      </x:c>
      <x:c r="B3204" s="2" t="str">
        <x:v>O01308</x:v>
      </x:c>
      <x:c r="C3204" s="7" t="n">
        <x:v>45956</x:v>
      </x:c>
      <x:c r="D3204" s="2" t="str">
        <x:v>Completed</x:v>
      </x:c>
      <x:c r="E3204" s="2" t="str">
        <x:v>East</x:v>
      </x:c>
      <x:c r="F3204" s="2" t="str">
        <x:v>Online</x:v>
      </x:c>
      <x:c r="G3204" s="2" t="str">
        <x:v>Lighting</x:v>
      </x:c>
      <x:c r="H3204" s="2" t="str">
        <x:v>Lamp 009</x:v>
      </x:c>
      <x:c r="I3204" s="11" t="n">
        <x:v>4</x:v>
      </x:c>
      <x:c r="J3204" s="9" t="n">
        <x:v>93</x:v>
      </x:c>
      <x:c r="K3204" s="10" t="n">
        <x:v>0.2</x:v>
      </x:c>
      <x:c r="L3204" s="11" t="n">
        <x:v>0</x:v>
      </x:c>
      <x:c r="M3204" s="9" t="n">
        <x:f>IF(D3204="Completed",I3204*J3204,0)</x:f>
        <x:v>372</x:v>
      </x:c>
      <x:c r="N3204" s="9" t="n">
        <x:f>M3204*K3204</x:f>
        <x:v>74.4</x:v>
      </x:c>
      <x:c r="O3204" s="9" t="n">
        <x:f>M3204-N3204</x:f>
        <x:v>297.6</x:v>
      </x:c>
      <x:c r="P3204" s="9" t="n">
        <x:f>IF(D3204="Completed",L3204*J3204*(1-K3204),0)</x:f>
        <x:v>0</x:v>
      </x:c>
      <x:c r="Q3204" s="9" t="n">
        <x:f>O3204-P3204</x:f>
        <x:v>297.6</x:v>
      </x:c>
      <x:c r="R3204" s="11" t="n">
        <x:f>IF(D3204="Completed",I3204,0)</x:f>
        <x:v>4</x:v>
      </x:c>
      <x:c r="S3204" s="11" t="n">
        <x:f>IF(D3204="Completed",L3204,0)</x:f>
        <x:v>0</x:v>
      </x:c>
      <x:c r="T3204" s="8" t="n">
        <x:f>DATE(YEAR(C3204),MONTH(C3204),1)</x:f>
        <x:v>45931</x:v>
      </x:c>
    </x:row>
    <x:row r="3205" ht="22" customHeight="1">
      <x:c r="A3205" s="2" t="str">
        <x:v>L003201</x:v>
      </x:c>
      <x:c r="B3205" s="2" t="str">
        <x:v>O01308</x:v>
      </x:c>
      <x:c r="C3205" s="7" t="n">
        <x:v>45956</x:v>
      </x:c>
      <x:c r="D3205" s="2" t="str">
        <x:v>Completed</x:v>
      </x:c>
      <x:c r="E3205" s="2" t="str">
        <x:v>East</x:v>
      </x:c>
      <x:c r="F3205" s="2" t="str">
        <x:v>Online</x:v>
      </x:c>
      <x:c r="G3205" s="2" t="str">
        <x:v>Lighting</x:v>
      </x:c>
      <x:c r="H3205" s="2" t="str">
        <x:v>Lamp 017</x:v>
      </x:c>
      <x:c r="I3205" s="11" t="n">
        <x:v>1</x:v>
      </x:c>
      <x:c r="J3205" s="9" t="n">
        <x:v>300</x:v>
      </x:c>
      <x:c r="K3205" s="10" t="n">
        <x:v>0.1</x:v>
      </x:c>
      <x:c r="L3205" s="11" t="n">
        <x:v>0</x:v>
      </x:c>
      <x:c r="M3205" s="9" t="n">
        <x:f>IF(D3205="Completed",I3205*J3205,0)</x:f>
        <x:v>300</x:v>
      </x:c>
      <x:c r="N3205" s="9" t="n">
        <x:f>M3205*K3205</x:f>
        <x:v>30</x:v>
      </x:c>
      <x:c r="O3205" s="9" t="n">
        <x:f>M3205-N3205</x:f>
        <x:v>270</x:v>
      </x:c>
      <x:c r="P3205" s="9" t="n">
        <x:f>IF(D3205="Completed",L3205*J3205*(1-K3205),0)</x:f>
        <x:v>0</x:v>
      </x:c>
      <x:c r="Q3205" s="9" t="n">
        <x:f>O3205-P3205</x:f>
        <x:v>270</x:v>
      </x:c>
      <x:c r="R3205" s="11" t="n">
        <x:f>IF(D3205="Completed",I3205,0)</x:f>
        <x:v>1</x:v>
      </x:c>
      <x:c r="S3205" s="11" t="n">
        <x:f>IF(D3205="Completed",L3205,0)</x:f>
        <x:v>0</x:v>
      </x:c>
      <x:c r="T3205" s="8" t="n">
        <x:f>DATE(YEAR(C3205),MONTH(C3205),1)</x:f>
        <x:v>45931</x:v>
      </x:c>
    </x:row>
    <x:row r="3206" ht="22" customHeight="1">
      <x:c r="A3206" s="2" t="str">
        <x:v>L003202</x:v>
      </x:c>
      <x:c r="B3206" s="2" t="str">
        <x:v>O01308</x:v>
      </x:c>
      <x:c r="C3206" s="7" t="n">
        <x:v>45956</x:v>
      </x:c>
      <x:c r="D3206" s="2" t="str">
        <x:v>Completed</x:v>
      </x:c>
      <x:c r="E3206" s="2" t="str">
        <x:v>East</x:v>
      </x:c>
      <x:c r="F3206" s="2" t="str">
        <x:v>Online</x:v>
      </x:c>
      <x:c r="G3206" s="2" t="str">
        <x:v>Furniture</x:v>
      </x:c>
      <x:c r="H3206" s="2" t="str">
        <x:v>Chair 022</x:v>
      </x:c>
      <x:c r="I3206" s="11" t="n">
        <x:v>5</x:v>
      </x:c>
      <x:c r="J3206" s="9" t="n">
        <x:v>134</x:v>
      </x:c>
      <x:c r="K3206" s="10" t="n">
        <x:v>0.2</x:v>
      </x:c>
      <x:c r="L3206" s="11" t="n">
        <x:v>5</x:v>
      </x:c>
      <x:c r="M3206" s="9" t="n">
        <x:f>IF(D3206="Completed",I3206*J3206,0)</x:f>
        <x:v>670</x:v>
      </x:c>
      <x:c r="N3206" s="9" t="n">
        <x:f>M3206*K3206</x:f>
        <x:v>134</x:v>
      </x:c>
      <x:c r="O3206" s="9" t="n">
        <x:f>M3206-N3206</x:f>
        <x:v>536</x:v>
      </x:c>
      <x:c r="P3206" s="9" t="n">
        <x:f>IF(D3206="Completed",L3206*J3206*(1-K3206),0)</x:f>
        <x:v>536</x:v>
      </x:c>
      <x:c r="Q3206" s="9" t="n">
        <x:f>O3206-P3206</x:f>
        <x:v>0</x:v>
      </x:c>
      <x:c r="R3206" s="11" t="n">
        <x:f>IF(D3206="Completed",I3206,0)</x:f>
        <x:v>5</x:v>
      </x:c>
      <x:c r="S3206" s="11" t="n">
        <x:f>IF(D3206="Completed",L3206,0)</x:f>
        <x:v>5</x:v>
      </x:c>
      <x:c r="T3206" s="8" t="n">
        <x:f>DATE(YEAR(C3206),MONTH(C3206),1)</x:f>
        <x:v>45931</x:v>
      </x:c>
    </x:row>
    <x:row r="3207" ht="22" customHeight="1">
      <x:c r="A3207" s="2" t="str">
        <x:v>L003203</x:v>
      </x:c>
      <x:c r="B3207" s="2" t="str">
        <x:v>O01309</x:v>
      </x:c>
      <x:c r="C3207" s="7" t="n">
        <x:v>45710</x:v>
      </x:c>
      <x:c r="D3207" s="2" t="str">
        <x:v>Completed</x:v>
      </x:c>
      <x:c r="E3207" s="2" t="str">
        <x:v>East</x:v>
      </x:c>
      <x:c r="F3207" s="2" t="str">
        <x:v>Online</x:v>
      </x:c>
      <x:c r="G3207" s="2" t="str">
        <x:v>Furniture</x:v>
      </x:c>
      <x:c r="H3207" s="2" t="str">
        <x:v>Desk 020</x:v>
      </x:c>
      <x:c r="I3207" s="11" t="n">
        <x:v>2</x:v>
      </x:c>
      <x:c r="J3207" s="9" t="n">
        <x:v>189</x:v>
      </x:c>
      <x:c r="K3207" s="10" t="n">
        <x:v>0.1</x:v>
      </x:c>
      <x:c r="L3207" s="11" t="n">
        <x:v>0</x:v>
      </x:c>
      <x:c r="M3207" s="9" t="n">
        <x:f>IF(D3207="Completed",I3207*J3207,0)</x:f>
        <x:v>378</x:v>
      </x:c>
      <x:c r="N3207" s="9" t="n">
        <x:f>M3207*K3207</x:f>
        <x:v>37.800000000000004</x:v>
      </x:c>
      <x:c r="O3207" s="9" t="n">
        <x:f>M3207-N3207</x:f>
        <x:v>340.2</x:v>
      </x:c>
      <x:c r="P3207" s="9" t="n">
        <x:f>IF(D3207="Completed",L3207*J3207*(1-K3207),0)</x:f>
        <x:v>0</x:v>
      </x:c>
      <x:c r="Q3207" s="9" t="n">
        <x:f>O3207-P3207</x:f>
        <x:v>340.2</x:v>
      </x:c>
      <x:c r="R3207" s="11" t="n">
        <x:f>IF(D3207="Completed",I3207,0)</x:f>
        <x:v>2</x:v>
      </x:c>
      <x:c r="S3207" s="11" t="n">
        <x:f>IF(D3207="Completed",L3207,0)</x:f>
        <x:v>0</x:v>
      </x:c>
      <x:c r="T3207" s="8" t="n">
        <x:f>DATE(YEAR(C3207),MONTH(C3207),1)</x:f>
        <x:v>45689</x:v>
      </x:c>
    </x:row>
    <x:row r="3208" ht="22" customHeight="1">
      <x:c r="A3208" s="2" t="str">
        <x:v>L003204</x:v>
      </x:c>
      <x:c r="B3208" s="2" t="str">
        <x:v>O01309</x:v>
      </x:c>
      <x:c r="C3208" s="7" t="n">
        <x:v>45710</x:v>
      </x:c>
      <x:c r="D3208" s="2" t="str">
        <x:v>Completed</x:v>
      </x:c>
      <x:c r="E3208" s="2" t="str">
        <x:v>East</x:v>
      </x:c>
      <x:c r="F3208" s="2" t="str">
        <x:v>Online</x:v>
      </x:c>
      <x:c r="G3208" s="2" t="str">
        <x:v>Furniture</x:v>
      </x:c>
      <x:c r="H3208" s="2" t="str">
        <x:v>Chair 018</x:v>
      </x:c>
      <x:c r="I3208" s="11" t="n">
        <x:v>1</x:v>
      </x:c>
      <x:c r="J3208" s="9" t="n">
        <x:v>269</x:v>
      </x:c>
      <x:c r="K3208" s="10" t="n">
        <x:v>0.2</x:v>
      </x:c>
      <x:c r="L3208" s="11" t="n">
        <x:v>0</x:v>
      </x:c>
      <x:c r="M3208" s="9" t="n">
        <x:f>IF(D3208="Completed",I3208*J3208,0)</x:f>
        <x:v>269</x:v>
      </x:c>
      <x:c r="N3208" s="9" t="n">
        <x:f>M3208*K3208</x:f>
        <x:v>53.800000000000004</x:v>
      </x:c>
      <x:c r="O3208" s="9" t="n">
        <x:f>M3208-N3208</x:f>
        <x:v>215.2</x:v>
      </x:c>
      <x:c r="P3208" s="9" t="n">
        <x:f>IF(D3208="Completed",L3208*J3208*(1-K3208),0)</x:f>
        <x:v>0</x:v>
      </x:c>
      <x:c r="Q3208" s="9" t="n">
        <x:f>O3208-P3208</x:f>
        <x:v>215.2</x:v>
      </x:c>
      <x:c r="R3208" s="11" t="n">
        <x:f>IF(D3208="Completed",I3208,0)</x:f>
        <x:v>1</x:v>
      </x:c>
      <x:c r="S3208" s="11" t="n">
        <x:f>IF(D3208="Completed",L3208,0)</x:f>
        <x:v>0</x:v>
      </x:c>
      <x:c r="T3208" s="8" t="n">
        <x:f>DATE(YEAR(C3208),MONTH(C3208),1)</x:f>
        <x:v>45689</x:v>
      </x:c>
    </x:row>
    <x:row r="3209" ht="22" customHeight="1">
      <x:c r="A3209" s="2" t="str">
        <x:v>L003205</x:v>
      </x:c>
      <x:c r="B3209" s="2" t="str">
        <x:v>O01309</x:v>
      </x:c>
      <x:c r="C3209" s="7" t="n">
        <x:v>45710</x:v>
      </x:c>
      <x:c r="D3209" s="2" t="str">
        <x:v>Completed</x:v>
      </x:c>
      <x:c r="E3209" s="2" t="str">
        <x:v>East</x:v>
      </x:c>
      <x:c r="F3209" s="2" t="str">
        <x:v>Online</x:v>
      </x:c>
      <x:c r="G3209" s="2" t="str">
        <x:v>Furniture</x:v>
      </x:c>
      <x:c r="H3209" s="2" t="str">
        <x:v>Desk 020</x:v>
      </x:c>
      <x:c r="I3209" s="11" t="n">
        <x:v>5</x:v>
      </x:c>
      <x:c r="J3209" s="9" t="n">
        <x:v>189</x:v>
      </x:c>
      <x:c r="K3209" s="10" t="n">
        <x:v>0.1</x:v>
      </x:c>
      <x:c r="L3209" s="11" t="n">
        <x:v>0</x:v>
      </x:c>
      <x:c r="M3209" s="9" t="n">
        <x:f>IF(D3209="Completed",I3209*J3209,0)</x:f>
        <x:v>945</x:v>
      </x:c>
      <x:c r="N3209" s="9" t="n">
        <x:f>M3209*K3209</x:f>
        <x:v>94.5</x:v>
      </x:c>
      <x:c r="O3209" s="9" t="n">
        <x:f>M3209-N3209</x:f>
        <x:v>850.5</x:v>
      </x:c>
      <x:c r="P3209" s="9" t="n">
        <x:f>IF(D3209="Completed",L3209*J3209*(1-K3209),0)</x:f>
        <x:v>0</x:v>
      </x:c>
      <x:c r="Q3209" s="9" t="n">
        <x:f>O3209-P3209</x:f>
        <x:v>850.5</x:v>
      </x:c>
      <x:c r="R3209" s="11" t="n">
        <x:f>IF(D3209="Completed",I3209,0)</x:f>
        <x:v>5</x:v>
      </x:c>
      <x:c r="S3209" s="11" t="n">
        <x:f>IF(D3209="Completed",L3209,0)</x:f>
        <x:v>0</x:v>
      </x:c>
      <x:c r="T3209" s="8" t="n">
        <x:f>DATE(YEAR(C3209),MONTH(C3209),1)</x:f>
        <x:v>45689</x:v>
      </x:c>
    </x:row>
    <x:row r="3210" ht="22" customHeight="1">
      <x:c r="A3210" s="2" t="str">
        <x:v>L003206</x:v>
      </x:c>
      <x:c r="B3210" s="2" t="str">
        <x:v>O01310</x:v>
      </x:c>
      <x:c r="C3210" s="7" t="n">
        <x:v>45955</x:v>
      </x:c>
      <x:c r="D3210" s="2" t="str">
        <x:v>Completed</x:v>
      </x:c>
      <x:c r="E3210" s="2" t="str">
        <x:v>East</x:v>
      </x:c>
      <x:c r="F3210" s="2" t="str">
        <x:v>Store</x:v>
      </x:c>
      <x:c r="G3210" s="2" t="str">
        <x:v>Furniture</x:v>
      </x:c>
      <x:c r="H3210" s="2" t="str">
        <x:v>Chair 014</x:v>
      </x:c>
      <x:c r="I3210" s="11" t="n">
        <x:v>2</x:v>
      </x:c>
      <x:c r="J3210" s="9" t="n">
        <x:v>294</x:v>
      </x:c>
      <x:c r="K3210" s="10" t="n">
        <x:v>0</x:v>
      </x:c>
      <x:c r="L3210" s="11" t="n">
        <x:v>0</x:v>
      </x:c>
      <x:c r="M3210" s="9" t="n">
        <x:f>IF(D3210="Completed",I3210*J3210,0)</x:f>
        <x:v>588</x:v>
      </x:c>
      <x:c r="N3210" s="9" t="n">
        <x:f>M3210*K3210</x:f>
        <x:v>0</x:v>
      </x:c>
      <x:c r="O3210" s="9" t="n">
        <x:f>M3210-N3210</x:f>
        <x:v>588</x:v>
      </x:c>
      <x:c r="P3210" s="9" t="n">
        <x:f>IF(D3210="Completed",L3210*J3210*(1-K3210),0)</x:f>
        <x:v>0</x:v>
      </x:c>
      <x:c r="Q3210" s="9" t="n">
        <x:f>O3210-P3210</x:f>
        <x:v>588</x:v>
      </x:c>
      <x:c r="R3210" s="11" t="n">
        <x:f>IF(D3210="Completed",I3210,0)</x:f>
        <x:v>2</x:v>
      </x:c>
      <x:c r="S3210" s="11" t="n">
        <x:f>IF(D3210="Completed",L3210,0)</x:f>
        <x:v>0</x:v>
      </x:c>
      <x:c r="T3210" s="8" t="n">
        <x:f>DATE(YEAR(C3210),MONTH(C3210),1)</x:f>
        <x:v>45931</x:v>
      </x:c>
    </x:row>
    <x:row r="3211" ht="22" customHeight="1">
      <x:c r="A3211" s="2" t="str">
        <x:v>L003207</x:v>
      </x:c>
      <x:c r="B3211" s="2" t="str">
        <x:v>O01310</x:v>
      </x:c>
      <x:c r="C3211" s="7" t="n">
        <x:v>45955</x:v>
      </x:c>
      <x:c r="D3211" s="2" t="str">
        <x:v>Completed</x:v>
      </x:c>
      <x:c r="E3211" s="2" t="str">
        <x:v>East</x:v>
      </x:c>
      <x:c r="F3211" s="2" t="str">
        <x:v>Store</x:v>
      </x:c>
      <x:c r="G3211" s="2" t="str">
        <x:v>Storage</x:v>
      </x:c>
      <x:c r="H3211" s="2" t="str">
        <x:v>Shelf 023</x:v>
      </x:c>
      <x:c r="I3211" s="11" t="n">
        <x:v>1</x:v>
      </x:c>
      <x:c r="J3211" s="9" t="n">
        <x:v>68</x:v>
      </x:c>
      <x:c r="K3211" s="10" t="n">
        <x:v>0.2</x:v>
      </x:c>
      <x:c r="L3211" s="11" t="n">
        <x:v>0</x:v>
      </x:c>
      <x:c r="M3211" s="9" t="n">
        <x:f>IF(D3211="Completed",I3211*J3211,0)</x:f>
        <x:v>68</x:v>
      </x:c>
      <x:c r="N3211" s="9" t="n">
        <x:f>M3211*K3211</x:f>
        <x:v>13.600000000000001</x:v>
      </x:c>
      <x:c r="O3211" s="9" t="n">
        <x:f>M3211-N3211</x:f>
        <x:v>54.4</x:v>
      </x:c>
      <x:c r="P3211" s="9" t="n">
        <x:f>IF(D3211="Completed",L3211*J3211*(1-K3211),0)</x:f>
        <x:v>0</x:v>
      </x:c>
      <x:c r="Q3211" s="9" t="n">
        <x:f>O3211-P3211</x:f>
        <x:v>54.4</x:v>
      </x:c>
      <x:c r="R3211" s="11" t="n">
        <x:f>IF(D3211="Completed",I3211,0)</x:f>
        <x:v>1</x:v>
      </x:c>
      <x:c r="S3211" s="11" t="n">
        <x:f>IF(D3211="Completed",L3211,0)</x:f>
        <x:v>0</x:v>
      </x:c>
      <x:c r="T3211" s="8" t="n">
        <x:f>DATE(YEAR(C3211),MONTH(C3211),1)</x:f>
        <x:v>45931</x:v>
      </x:c>
    </x:row>
    <x:row r="3212" ht="22" customHeight="1">
      <x:c r="A3212" s="2" t="str">
        <x:v>L003208</x:v>
      </x:c>
      <x:c r="B3212" s="2" t="str">
        <x:v>O01310</x:v>
      </x:c>
      <x:c r="C3212" s="7" t="n">
        <x:v>45955</x:v>
      </x:c>
      <x:c r="D3212" s="2" t="str">
        <x:v>Completed</x:v>
      </x:c>
      <x:c r="E3212" s="2" t="str">
        <x:v>East</x:v>
      </x:c>
      <x:c r="F3212" s="2" t="str">
        <x:v>Store</x:v>
      </x:c>
      <x:c r="G3212" s="2" t="str">
        <x:v>Lighting</x:v>
      </x:c>
      <x:c r="H3212" s="2" t="str">
        <x:v>Lamp 013</x:v>
      </x:c>
      <x:c r="I3212" s="11" t="n">
        <x:v>4</x:v>
      </x:c>
      <x:c r="J3212" s="9" t="n">
        <x:v>271</x:v>
      </x:c>
      <x:c r="K3212" s="10" t="n">
        <x:v>0.1</x:v>
      </x:c>
      <x:c r="L3212" s="11" t="n">
        <x:v>0</x:v>
      </x:c>
      <x:c r="M3212" s="9" t="n">
        <x:f>IF(D3212="Completed",I3212*J3212,0)</x:f>
        <x:v>1084</x:v>
      </x:c>
      <x:c r="N3212" s="9" t="n">
        <x:f>M3212*K3212</x:f>
        <x:v>108.4</x:v>
      </x:c>
      <x:c r="O3212" s="9" t="n">
        <x:f>M3212-N3212</x:f>
        <x:v>975.6</x:v>
      </x:c>
      <x:c r="P3212" s="9" t="n">
        <x:f>IF(D3212="Completed",L3212*J3212*(1-K3212),0)</x:f>
        <x:v>0</x:v>
      </x:c>
      <x:c r="Q3212" s="9" t="n">
        <x:f>O3212-P3212</x:f>
        <x:v>975.6</x:v>
      </x:c>
      <x:c r="R3212" s="11" t="n">
        <x:f>IF(D3212="Completed",I3212,0)</x:f>
        <x:v>4</x:v>
      </x:c>
      <x:c r="S3212" s="11" t="n">
        <x:f>IF(D3212="Completed",L3212,0)</x:f>
        <x:v>0</x:v>
      </x:c>
      <x:c r="T3212" s="8" t="n">
        <x:f>DATE(YEAR(C3212),MONTH(C3212),1)</x:f>
        <x:v>45931</x:v>
      </x:c>
    </x:row>
    <x:row r="3213" ht="22" customHeight="1">
      <x:c r="A3213" s="2" t="str">
        <x:v>L003209</x:v>
      </x:c>
      <x:c r="B3213" s="2" t="str">
        <x:v>O01310</x:v>
      </x:c>
      <x:c r="C3213" s="7" t="n">
        <x:v>45955</x:v>
      </x:c>
      <x:c r="D3213" s="2" t="str">
        <x:v>Completed</x:v>
      </x:c>
      <x:c r="E3213" s="2" t="str">
        <x:v>East</x:v>
      </x:c>
      <x:c r="F3213" s="2" t="str">
        <x:v>Store</x:v>
      </x:c>
      <x:c r="G3213" s="2" t="str">
        <x:v>Storage</x:v>
      </x:c>
      <x:c r="H3213" s="2" t="str">
        <x:v>Shelf 015</x:v>
      </x:c>
      <x:c r="I3213" s="11" t="n">
        <x:v>1</x:v>
      </x:c>
      <x:c r="J3213" s="9" t="n">
        <x:v>254</x:v>
      </x:c>
      <x:c r="K3213" s="10" t="n">
        <x:v>0.05</x:v>
      </x:c>
      <x:c r="L3213" s="11" t="n">
        <x:v>0</x:v>
      </x:c>
      <x:c r="M3213" s="9" t="n">
        <x:f>IF(D3213="Completed",I3213*J3213,0)</x:f>
        <x:v>254</x:v>
      </x:c>
      <x:c r="N3213" s="9" t="n">
        <x:f>M3213*K3213</x:f>
        <x:v>12.700000000000001</x:v>
      </x:c>
      <x:c r="O3213" s="9" t="n">
        <x:f>M3213-N3213</x:f>
        <x:v>241.3</x:v>
      </x:c>
      <x:c r="P3213" s="9" t="n">
        <x:f>IF(D3213="Completed",L3213*J3213*(1-K3213),0)</x:f>
        <x:v>0</x:v>
      </x:c>
      <x:c r="Q3213" s="9" t="n">
        <x:f>O3213-P3213</x:f>
        <x:v>241.3</x:v>
      </x:c>
      <x:c r="R3213" s="11" t="n">
        <x:f>IF(D3213="Completed",I3213,0)</x:f>
        <x:v>1</x:v>
      </x:c>
      <x:c r="S3213" s="11" t="n">
        <x:f>IF(D3213="Completed",L3213,0)</x:f>
        <x:v>0</x:v>
      </x:c>
      <x:c r="T3213" s="8" t="n">
        <x:f>DATE(YEAR(C3213),MONTH(C3213),1)</x:f>
        <x:v>45931</x:v>
      </x:c>
    </x:row>
    <x:row r="3214" ht="22" customHeight="1">
      <x:c r="A3214" s="2" t="str">
        <x:v>L003210</x:v>
      </x:c>
      <x:c r="B3214" s="2" t="str">
        <x:v>O01311</x:v>
      </x:c>
      <x:c r="C3214" s="7" t="n">
        <x:v>45853</x:v>
      </x:c>
      <x:c r="D3214" s="2" t="str">
        <x:v>Completed</x:v>
      </x:c>
      <x:c r="E3214" s="2" t="str">
        <x:v>South</x:v>
      </x:c>
      <x:c r="F3214" s="2" t="str">
        <x:v>Store</x:v>
      </x:c>
      <x:c r="G3214" s="2" t="str">
        <x:v>Lighting</x:v>
      </x:c>
      <x:c r="H3214" s="2" t="str">
        <x:v>Lamp 005</x:v>
      </x:c>
      <x:c r="I3214" s="11" t="n">
        <x:v>2</x:v>
      </x:c>
      <x:c r="J3214" s="9" t="n">
        <x:v>65</x:v>
      </x:c>
      <x:c r="K3214" s="10" t="n">
        <x:v>0.2</x:v>
      </x:c>
      <x:c r="L3214" s="11" t="n">
        <x:v>0</x:v>
      </x:c>
      <x:c r="M3214" s="9" t="n">
        <x:f>IF(D3214="Completed",I3214*J3214,0)</x:f>
        <x:v>130</x:v>
      </x:c>
      <x:c r="N3214" s="9" t="n">
        <x:f>M3214*K3214</x:f>
        <x:v>26</x:v>
      </x:c>
      <x:c r="O3214" s="9" t="n">
        <x:f>M3214-N3214</x:f>
        <x:v>104</x:v>
      </x:c>
      <x:c r="P3214" s="9" t="n">
        <x:f>IF(D3214="Completed",L3214*J3214*(1-K3214),0)</x:f>
        <x:v>0</x:v>
      </x:c>
      <x:c r="Q3214" s="9" t="n">
        <x:f>O3214-P3214</x:f>
        <x:v>104</x:v>
      </x:c>
      <x:c r="R3214" s="11" t="n">
        <x:f>IF(D3214="Completed",I3214,0)</x:f>
        <x:v>2</x:v>
      </x:c>
      <x:c r="S3214" s="11" t="n">
        <x:f>IF(D3214="Completed",L3214,0)</x:f>
        <x:v>0</x:v>
      </x:c>
      <x:c r="T3214" s="8" t="n">
        <x:f>DATE(YEAR(C3214),MONTH(C3214),1)</x:f>
        <x:v>45839</x:v>
      </x:c>
    </x:row>
    <x:row r="3215" ht="22" customHeight="1">
      <x:c r="A3215" s="2" t="str">
        <x:v>L003211</x:v>
      </x:c>
      <x:c r="B3215" s="2" t="str">
        <x:v>O01311</x:v>
      </x:c>
      <x:c r="C3215" s="7" t="n">
        <x:v>45853</x:v>
      </x:c>
      <x:c r="D3215" s="2" t="str">
        <x:v>Completed</x:v>
      </x:c>
      <x:c r="E3215" s="2" t="str">
        <x:v>South</x:v>
      </x:c>
      <x:c r="F3215" s="2" t="str">
        <x:v>Store</x:v>
      </x:c>
      <x:c r="G3215" s="2" t="str">
        <x:v>Storage</x:v>
      </x:c>
      <x:c r="H3215" s="2" t="str">
        <x:v>Shelf 003</x:v>
      </x:c>
      <x:c r="I3215" s="11" t="n">
        <x:v>3</x:v>
      </x:c>
      <x:c r="J3215" s="9" t="n">
        <x:v>199</x:v>
      </x:c>
      <x:c r="K3215" s="10" t="n">
        <x:v>0.05</x:v>
      </x:c>
      <x:c r="L3215" s="11" t="n">
        <x:v>0</x:v>
      </x:c>
      <x:c r="M3215" s="9" t="n">
        <x:f>IF(D3215="Completed",I3215*J3215,0)</x:f>
        <x:v>597</x:v>
      </x:c>
      <x:c r="N3215" s="9" t="n">
        <x:f>M3215*K3215</x:f>
        <x:v>29.85</x:v>
      </x:c>
      <x:c r="O3215" s="9" t="n">
        <x:f>M3215-N3215</x:f>
        <x:v>567.15</x:v>
      </x:c>
      <x:c r="P3215" s="9" t="n">
        <x:f>IF(D3215="Completed",L3215*J3215*(1-K3215),0)</x:f>
        <x:v>0</x:v>
      </x:c>
      <x:c r="Q3215" s="9" t="n">
        <x:f>O3215-P3215</x:f>
        <x:v>567.15</x:v>
      </x:c>
      <x:c r="R3215" s="11" t="n">
        <x:f>IF(D3215="Completed",I3215,0)</x:f>
        <x:v>3</x:v>
      </x:c>
      <x:c r="S3215" s="11" t="n">
        <x:f>IF(D3215="Completed",L3215,0)</x:f>
        <x:v>0</x:v>
      </x:c>
      <x:c r="T3215" s="8" t="n">
        <x:f>DATE(YEAR(C3215),MONTH(C3215),1)</x:f>
        <x:v>45839</x:v>
      </x:c>
    </x:row>
    <x:row r="3216" ht="22" customHeight="1">
      <x:c r="A3216" s="2" t="str">
        <x:v>L003212</x:v>
      </x:c>
      <x:c r="B3216" s="2" t="str">
        <x:v>O01311</x:v>
      </x:c>
      <x:c r="C3216" s="7" t="n">
        <x:v>45853</x:v>
      </x:c>
      <x:c r="D3216" s="2" t="str">
        <x:v>Completed</x:v>
      </x:c>
      <x:c r="E3216" s="2" t="str">
        <x:v>South</x:v>
      </x:c>
      <x:c r="F3216" s="2" t="str">
        <x:v>Store</x:v>
      </x:c>
      <x:c r="G3216" s="2" t="str">
        <x:v>Storage</x:v>
      </x:c>
      <x:c r="H3216" s="2" t="str">
        <x:v>Shelf 015</x:v>
      </x:c>
      <x:c r="I3216" s="11" t="n">
        <x:v>2</x:v>
      </x:c>
      <x:c r="J3216" s="9" t="n">
        <x:v>254</x:v>
      </x:c>
      <x:c r="K3216" s="10" t="n">
        <x:v>0.2</x:v>
      </x:c>
      <x:c r="L3216" s="11" t="n">
        <x:v>0</x:v>
      </x:c>
      <x:c r="M3216" s="9" t="n">
        <x:f>IF(D3216="Completed",I3216*J3216,0)</x:f>
        <x:v>508</x:v>
      </x:c>
      <x:c r="N3216" s="9" t="n">
        <x:f>M3216*K3216</x:f>
        <x:v>101.60000000000001</x:v>
      </x:c>
      <x:c r="O3216" s="9" t="n">
        <x:f>M3216-N3216</x:f>
        <x:v>406.4</x:v>
      </x:c>
      <x:c r="P3216" s="9" t="n">
        <x:f>IF(D3216="Completed",L3216*J3216*(1-K3216),0)</x:f>
        <x:v>0</x:v>
      </x:c>
      <x:c r="Q3216" s="9" t="n">
        <x:f>O3216-P3216</x:f>
        <x:v>406.4</x:v>
      </x:c>
      <x:c r="R3216" s="11" t="n">
        <x:f>IF(D3216="Completed",I3216,0)</x:f>
        <x:v>2</x:v>
      </x:c>
      <x:c r="S3216" s="11" t="n">
        <x:f>IF(D3216="Completed",L3216,0)</x:f>
        <x:v>0</x:v>
      </x:c>
      <x:c r="T3216" s="8" t="n">
        <x:f>DATE(YEAR(C3216),MONTH(C3216),1)</x:f>
        <x:v>45839</x:v>
      </x:c>
    </x:row>
    <x:row r="3217" ht="22" customHeight="1">
      <x:c r="A3217" s="2" t="str">
        <x:v>L003213</x:v>
      </x:c>
      <x:c r="B3217" s="2" t="str">
        <x:v>O01312</x:v>
      </x:c>
      <x:c r="C3217" s="7" t="n">
        <x:v>45950</x:v>
      </x:c>
      <x:c r="D3217" s="2" t="str">
        <x:v>Completed</x:v>
      </x:c>
      <x:c r="E3217" s="2" t="str">
        <x:v>South</x:v>
      </x:c>
      <x:c r="F3217" s="2" t="str">
        <x:v>Store</x:v>
      </x:c>
      <x:c r="G3217" s="2" t="str">
        <x:v>Furniture</x:v>
      </x:c>
      <x:c r="H3217" s="2" t="str">
        <x:v>Chair 002</x:v>
      </x:c>
      <x:c r="I3217" s="11" t="n">
        <x:v>1</x:v>
      </x:c>
      <x:c r="J3217" s="9" t="n">
        <x:v>284</x:v>
      </x:c>
      <x:c r="K3217" s="10" t="n">
        <x:v>0.1</x:v>
      </x:c>
      <x:c r="L3217" s="11" t="n">
        <x:v>0</x:v>
      </x:c>
      <x:c r="M3217" s="9" t="n">
        <x:f>IF(D3217="Completed",I3217*J3217,0)</x:f>
        <x:v>284</x:v>
      </x:c>
      <x:c r="N3217" s="9" t="n">
        <x:f>M3217*K3217</x:f>
        <x:v>28.400000000000002</x:v>
      </x:c>
      <x:c r="O3217" s="9" t="n">
        <x:f>M3217-N3217</x:f>
        <x:v>255.6</x:v>
      </x:c>
      <x:c r="P3217" s="9" t="n">
        <x:f>IF(D3217="Completed",L3217*J3217*(1-K3217),0)</x:f>
        <x:v>0</x:v>
      </x:c>
      <x:c r="Q3217" s="9" t="n">
        <x:f>O3217-P3217</x:f>
        <x:v>255.6</x:v>
      </x:c>
      <x:c r="R3217" s="11" t="n">
        <x:f>IF(D3217="Completed",I3217,0)</x:f>
        <x:v>1</x:v>
      </x:c>
      <x:c r="S3217" s="11" t="n">
        <x:f>IF(D3217="Completed",L3217,0)</x:f>
        <x:v>0</x:v>
      </x:c>
      <x:c r="T3217" s="8" t="n">
        <x:f>DATE(YEAR(C3217),MONTH(C3217),1)</x:f>
        <x:v>45931</x:v>
      </x:c>
    </x:row>
    <x:row r="3218" ht="22" customHeight="1">
      <x:c r="A3218" s="2" t="str">
        <x:v>L003214</x:v>
      </x:c>
      <x:c r="B3218" s="2" t="str">
        <x:v>O01313</x:v>
      </x:c>
      <x:c r="C3218" s="7" t="n">
        <x:v>45718</x:v>
      </x:c>
      <x:c r="D3218" s="2" t="str">
        <x:v>Completed</x:v>
      </x:c>
      <x:c r="E3218" s="2" t="str">
        <x:v>South</x:v>
      </x:c>
      <x:c r="F3218" s="2" t="str">
        <x:v>Online</x:v>
      </x:c>
      <x:c r="G3218" s="2" t="str">
        <x:v>Furniture</x:v>
      </x:c>
      <x:c r="H3218" s="2" t="str">
        <x:v>Desk 016</x:v>
      </x:c>
      <x:c r="I3218" s="11" t="n">
        <x:v>1</x:v>
      </x:c>
      <x:c r="J3218" s="9" t="n">
        <x:v>231</x:v>
      </x:c>
      <x:c r="K3218" s="10" t="n">
        <x:v>0.2</x:v>
      </x:c>
      <x:c r="L3218" s="11" t="n">
        <x:v>0</x:v>
      </x:c>
      <x:c r="M3218" s="9" t="n">
        <x:f>IF(D3218="Completed",I3218*J3218,0)</x:f>
        <x:v>231</x:v>
      </x:c>
      <x:c r="N3218" s="9" t="n">
        <x:f>M3218*K3218</x:f>
        <x:v>46.2</x:v>
      </x:c>
      <x:c r="O3218" s="9" t="n">
        <x:f>M3218-N3218</x:f>
        <x:v>184.8</x:v>
      </x:c>
      <x:c r="P3218" s="9" t="n">
        <x:f>IF(D3218="Completed",L3218*J3218*(1-K3218),0)</x:f>
        <x:v>0</x:v>
      </x:c>
      <x:c r="Q3218" s="9" t="n">
        <x:f>O3218-P3218</x:f>
        <x:v>184.8</x:v>
      </x:c>
      <x:c r="R3218" s="11" t="n">
        <x:f>IF(D3218="Completed",I3218,0)</x:f>
        <x:v>1</x:v>
      </x:c>
      <x:c r="S3218" s="11" t="n">
        <x:f>IF(D3218="Completed",L3218,0)</x:f>
        <x:v>0</x:v>
      </x:c>
      <x:c r="T3218" s="8" t="n">
        <x:f>DATE(YEAR(C3218),MONTH(C3218),1)</x:f>
        <x:v>45717</x:v>
      </x:c>
    </x:row>
    <x:row r="3219" ht="22" customHeight="1">
      <x:c r="A3219" s="2" t="str">
        <x:v>L003215</x:v>
      </x:c>
      <x:c r="B3219" s="2" t="str">
        <x:v>O01314</x:v>
      </x:c>
      <x:c r="C3219" s="7" t="n">
        <x:v>45899</x:v>
      </x:c>
      <x:c r="D3219" s="2" t="str">
        <x:v>Completed</x:v>
      </x:c>
      <x:c r="E3219" s="2" t="str">
        <x:v>North</x:v>
      </x:c>
      <x:c r="F3219" s="2" t="str">
        <x:v>Online</x:v>
      </x:c>
      <x:c r="G3219" s="2" t="str">
        <x:v>Furniture</x:v>
      </x:c>
      <x:c r="H3219" s="2" t="str">
        <x:v>Chair 022</x:v>
      </x:c>
      <x:c r="I3219" s="11" t="n">
        <x:v>5</x:v>
      </x:c>
      <x:c r="J3219" s="9" t="n">
        <x:v>134</x:v>
      </x:c>
      <x:c r="K3219" s="10" t="n">
        <x:v>0.1</x:v>
      </x:c>
      <x:c r="L3219" s="11" t="n">
        <x:v>0</x:v>
      </x:c>
      <x:c r="M3219" s="9" t="n">
        <x:f>IF(D3219="Completed",I3219*J3219,0)</x:f>
        <x:v>670</x:v>
      </x:c>
      <x:c r="N3219" s="9" t="n">
        <x:f>M3219*K3219</x:f>
        <x:v>67</x:v>
      </x:c>
      <x:c r="O3219" s="9" t="n">
        <x:f>M3219-N3219</x:f>
        <x:v>603</x:v>
      </x:c>
      <x:c r="P3219" s="9" t="n">
        <x:f>IF(D3219="Completed",L3219*J3219*(1-K3219),0)</x:f>
        <x:v>0</x:v>
      </x:c>
      <x:c r="Q3219" s="9" t="n">
        <x:f>O3219-P3219</x:f>
        <x:v>603</x:v>
      </x:c>
      <x:c r="R3219" s="11" t="n">
        <x:f>IF(D3219="Completed",I3219,0)</x:f>
        <x:v>5</x:v>
      </x:c>
      <x:c r="S3219" s="11" t="n">
        <x:f>IF(D3219="Completed",L3219,0)</x:f>
        <x:v>0</x:v>
      </x:c>
      <x:c r="T3219" s="8" t="n">
        <x:f>DATE(YEAR(C3219),MONTH(C3219),1)</x:f>
        <x:v>45870</x:v>
      </x:c>
    </x:row>
    <x:row r="3220" ht="22" customHeight="1">
      <x:c r="A3220" s="2" t="str">
        <x:v>L003216</x:v>
      </x:c>
      <x:c r="B3220" s="2" t="str">
        <x:v>O01314</x:v>
      </x:c>
      <x:c r="C3220" s="7" t="n">
        <x:v>45899</x:v>
      </x:c>
      <x:c r="D3220" s="2" t="str">
        <x:v>Completed</x:v>
      </x:c>
      <x:c r="E3220" s="2" t="str">
        <x:v>North</x:v>
      </x:c>
      <x:c r="F3220" s="2" t="str">
        <x:v>Online</x:v>
      </x:c>
      <x:c r="G3220" s="2" t="str">
        <x:v>Lighting</x:v>
      </x:c>
      <x:c r="H3220" s="2" t="str">
        <x:v>Lamp 021</x:v>
      </x:c>
      <x:c r="I3220" s="11" t="n">
        <x:v>3</x:v>
      </x:c>
      <x:c r="J3220" s="9" t="n">
        <x:v>249</x:v>
      </x:c>
      <x:c r="K3220" s="10" t="n">
        <x:v>0.1</x:v>
      </x:c>
      <x:c r="L3220" s="11" t="n">
        <x:v>0</x:v>
      </x:c>
      <x:c r="M3220" s="9" t="n">
        <x:f>IF(D3220="Completed",I3220*J3220,0)</x:f>
        <x:v>747</x:v>
      </x:c>
      <x:c r="N3220" s="9" t="n">
        <x:f>M3220*K3220</x:f>
        <x:v>74.7</x:v>
      </x:c>
      <x:c r="O3220" s="9" t="n">
        <x:f>M3220-N3220</x:f>
        <x:v>672.3</x:v>
      </x:c>
      <x:c r="P3220" s="9" t="n">
        <x:f>IF(D3220="Completed",L3220*J3220*(1-K3220),0)</x:f>
        <x:v>0</x:v>
      </x:c>
      <x:c r="Q3220" s="9" t="n">
        <x:f>O3220-P3220</x:f>
        <x:v>672.3</x:v>
      </x:c>
      <x:c r="R3220" s="11" t="n">
        <x:f>IF(D3220="Completed",I3220,0)</x:f>
        <x:v>3</x:v>
      </x:c>
      <x:c r="S3220" s="11" t="n">
        <x:f>IF(D3220="Completed",L3220,0)</x:f>
        <x:v>0</x:v>
      </x:c>
      <x:c r="T3220" s="8" t="n">
        <x:f>DATE(YEAR(C3220),MONTH(C3220),1)</x:f>
        <x:v>45870</x:v>
      </x:c>
    </x:row>
    <x:row r="3221" ht="22" customHeight="1">
      <x:c r="A3221" s="2" t="str">
        <x:v>L003217</x:v>
      </x:c>
      <x:c r="B3221" s="2" t="str">
        <x:v>O01314</x:v>
      </x:c>
      <x:c r="C3221" s="7" t="n">
        <x:v>45899</x:v>
      </x:c>
      <x:c r="D3221" s="2" t="str">
        <x:v>Completed</x:v>
      </x:c>
      <x:c r="E3221" s="2" t="str">
        <x:v>North</x:v>
      </x:c>
      <x:c r="F3221" s="2" t="str">
        <x:v>Online</x:v>
      </x:c>
      <x:c r="G3221" s="2" t="str">
        <x:v>Storage</x:v>
      </x:c>
      <x:c r="H3221" s="2" t="str">
        <x:v>Shelf 019</x:v>
      </x:c>
      <x:c r="I3221" s="11" t="n">
        <x:v>5</x:v>
      </x:c>
      <x:c r="J3221" s="9" t="n">
        <x:v>78</x:v>
      </x:c>
      <x:c r="K3221" s="10" t="n">
        <x:v>0</x:v>
      </x:c>
      <x:c r="L3221" s="11" t="n">
        <x:v>4</x:v>
      </x:c>
      <x:c r="M3221" s="9" t="n">
        <x:f>IF(D3221="Completed",I3221*J3221,0)</x:f>
        <x:v>390</x:v>
      </x:c>
      <x:c r="N3221" s="9" t="n">
        <x:f>M3221*K3221</x:f>
        <x:v>0</x:v>
      </x:c>
      <x:c r="O3221" s="9" t="n">
        <x:f>M3221-N3221</x:f>
        <x:v>390</x:v>
      </x:c>
      <x:c r="P3221" s="9" t="n">
        <x:f>IF(D3221="Completed",L3221*J3221*(1-K3221),0)</x:f>
        <x:v>312</x:v>
      </x:c>
      <x:c r="Q3221" s="9" t="n">
        <x:f>O3221-P3221</x:f>
        <x:v>78</x:v>
      </x:c>
      <x:c r="R3221" s="11" t="n">
        <x:f>IF(D3221="Completed",I3221,0)</x:f>
        <x:v>5</x:v>
      </x:c>
      <x:c r="S3221" s="11" t="n">
        <x:f>IF(D3221="Completed",L3221,0)</x:f>
        <x:v>4</x:v>
      </x:c>
      <x:c r="T3221" s="8" t="n">
        <x:f>DATE(YEAR(C3221),MONTH(C3221),1)</x:f>
        <x:v>45870</x:v>
      </x:c>
    </x:row>
    <x:row r="3222" ht="22" customHeight="1">
      <x:c r="A3222" s="2" t="str">
        <x:v>L003218</x:v>
      </x:c>
      <x:c r="B3222" s="2" t="str">
        <x:v>O01314</x:v>
      </x:c>
      <x:c r="C3222" s="7" t="n">
        <x:v>45899</x:v>
      </x:c>
      <x:c r="D3222" s="2" t="str">
        <x:v>Completed</x:v>
      </x:c>
      <x:c r="E3222" s="2" t="str">
        <x:v>North</x:v>
      </x:c>
      <x:c r="F3222" s="2" t="str">
        <x:v>Online</x:v>
      </x:c>
      <x:c r="G3222" s="2" t="str">
        <x:v>Furniture</x:v>
      </x:c>
      <x:c r="H3222" s="2" t="str">
        <x:v>Desk 012</x:v>
      </x:c>
      <x:c r="I3222" s="11" t="n">
        <x:v>4</x:v>
      </x:c>
      <x:c r="J3222" s="9" t="n">
        <x:v>134</x:v>
      </x:c>
      <x:c r="K3222" s="10" t="n">
        <x:v>0.2</x:v>
      </x:c>
      <x:c r="L3222" s="11" t="n">
        <x:v>0</x:v>
      </x:c>
      <x:c r="M3222" s="9" t="n">
        <x:f>IF(D3222="Completed",I3222*J3222,0)</x:f>
        <x:v>536</x:v>
      </x:c>
      <x:c r="N3222" s="9" t="n">
        <x:f>M3222*K3222</x:f>
        <x:v>107.2</x:v>
      </x:c>
      <x:c r="O3222" s="9" t="n">
        <x:f>M3222-N3222</x:f>
        <x:v>428.8</x:v>
      </x:c>
      <x:c r="P3222" s="9" t="n">
        <x:f>IF(D3222="Completed",L3222*J3222*(1-K3222),0)</x:f>
        <x:v>0</x:v>
      </x:c>
      <x:c r="Q3222" s="9" t="n">
        <x:f>O3222-P3222</x:f>
        <x:v>428.8</x:v>
      </x:c>
      <x:c r="R3222" s="11" t="n">
        <x:f>IF(D3222="Completed",I3222,0)</x:f>
        <x:v>4</x:v>
      </x:c>
      <x:c r="S3222" s="11" t="n">
        <x:f>IF(D3222="Completed",L3222,0)</x:f>
        <x:v>0</x:v>
      </x:c>
      <x:c r="T3222" s="8" t="n">
        <x:f>DATE(YEAR(C3222),MONTH(C3222),1)</x:f>
        <x:v>45870</x:v>
      </x:c>
    </x:row>
    <x:row r="3223" ht="22" customHeight="1">
      <x:c r="A3223" s="2" t="str">
        <x:v>L003219</x:v>
      </x:c>
      <x:c r="B3223" s="2" t="str">
        <x:v>O01315</x:v>
      </x:c>
      <x:c r="C3223" s="7" t="n">
        <x:v>45919</x:v>
      </x:c>
      <x:c r="D3223" s="2" t="str">
        <x:v>Completed</x:v>
      </x:c>
      <x:c r="E3223" s="2" t="str">
        <x:v>South</x:v>
      </x:c>
      <x:c r="F3223" s="2" t="str">
        <x:v>Store</x:v>
      </x:c>
      <x:c r="G3223" s="2" t="str">
        <x:v>Storage</x:v>
      </x:c>
      <x:c r="H3223" s="2" t="str">
        <x:v>Shelf 023</x:v>
      </x:c>
      <x:c r="I3223" s="11" t="n">
        <x:v>1</x:v>
      </x:c>
      <x:c r="J3223" s="9" t="n">
        <x:v>68</x:v>
      </x:c>
      <x:c r="K3223" s="10" t="n">
        <x:v>0.1</x:v>
      </x:c>
      <x:c r="L3223" s="11" t="n">
        <x:v>1</x:v>
      </x:c>
      <x:c r="M3223" s="9" t="n">
        <x:f>IF(D3223="Completed",I3223*J3223,0)</x:f>
        <x:v>68</x:v>
      </x:c>
      <x:c r="N3223" s="9" t="n">
        <x:f>M3223*K3223</x:f>
        <x:v>6.800000000000001</x:v>
      </x:c>
      <x:c r="O3223" s="9" t="n">
        <x:f>M3223-N3223</x:f>
        <x:v>61.2</x:v>
      </x:c>
      <x:c r="P3223" s="9" t="n">
        <x:f>IF(D3223="Completed",L3223*J3223*(1-K3223),0)</x:f>
        <x:v>61.2</x:v>
      </x:c>
      <x:c r="Q3223" s="9" t="n">
        <x:f>O3223-P3223</x:f>
        <x:v>0</x:v>
      </x:c>
      <x:c r="R3223" s="11" t="n">
        <x:f>IF(D3223="Completed",I3223,0)</x:f>
        <x:v>1</x:v>
      </x:c>
      <x:c r="S3223" s="11" t="n">
        <x:f>IF(D3223="Completed",L3223,0)</x:f>
        <x:v>1</x:v>
      </x:c>
      <x:c r="T3223" s="8" t="n">
        <x:f>DATE(YEAR(C3223),MONTH(C3223),1)</x:f>
        <x:v>45901</x:v>
      </x:c>
    </x:row>
    <x:row r="3224" ht="22" customHeight="1">
      <x:c r="A3224" s="2" t="str">
        <x:v>L003220</x:v>
      </x:c>
      <x:c r="B3224" s="2" t="str">
        <x:v>O01315</x:v>
      </x:c>
      <x:c r="C3224" s="7" t="n">
        <x:v>45919</x:v>
      </x:c>
      <x:c r="D3224" s="2" t="str">
        <x:v>Completed</x:v>
      </x:c>
      <x:c r="E3224" s="2" t="str">
        <x:v>South</x:v>
      </x:c>
      <x:c r="F3224" s="2" t="str">
        <x:v>Store</x:v>
      </x:c>
      <x:c r="G3224" s="2" t="str">
        <x:v>Storage</x:v>
      </x:c>
      <x:c r="H3224" s="2" t="str">
        <x:v>Shelf 011</x:v>
      </x:c>
      <x:c r="I3224" s="11" t="n">
        <x:v>4</x:v>
      </x:c>
      <x:c r="J3224" s="9" t="n">
        <x:v>80</x:v>
      </x:c>
      <x:c r="K3224" s="10" t="n">
        <x:v>0.05</x:v>
      </x:c>
      <x:c r="L3224" s="11" t="n">
        <x:v>0</x:v>
      </x:c>
      <x:c r="M3224" s="9" t="n">
        <x:f>IF(D3224="Completed",I3224*J3224,0)</x:f>
        <x:v>320</x:v>
      </x:c>
      <x:c r="N3224" s="9" t="n">
        <x:f>M3224*K3224</x:f>
        <x:v>16</x:v>
      </x:c>
      <x:c r="O3224" s="9" t="n">
        <x:f>M3224-N3224</x:f>
        <x:v>304</x:v>
      </x:c>
      <x:c r="P3224" s="9" t="n">
        <x:f>IF(D3224="Completed",L3224*J3224*(1-K3224),0)</x:f>
        <x:v>0</x:v>
      </x:c>
      <x:c r="Q3224" s="9" t="n">
        <x:f>O3224-P3224</x:f>
        <x:v>304</x:v>
      </x:c>
      <x:c r="R3224" s="11" t="n">
        <x:f>IF(D3224="Completed",I3224,0)</x:f>
        <x:v>4</x:v>
      </x:c>
      <x:c r="S3224" s="11" t="n">
        <x:f>IF(D3224="Completed",L3224,0)</x:f>
        <x:v>0</x:v>
      </x:c>
      <x:c r="T3224" s="8" t="n">
        <x:f>DATE(YEAR(C3224),MONTH(C3224),1)</x:f>
        <x:v>45901</x:v>
      </x:c>
    </x:row>
    <x:row r="3225" ht="22" customHeight="1">
      <x:c r="A3225" s="2" t="str">
        <x:v>L003221</x:v>
      </x:c>
      <x:c r="B3225" s="2" t="str">
        <x:v>O01315</x:v>
      </x:c>
      <x:c r="C3225" s="7" t="n">
        <x:v>45919</x:v>
      </x:c>
      <x:c r="D3225" s="2" t="str">
        <x:v>Completed</x:v>
      </x:c>
      <x:c r="E3225" s="2" t="str">
        <x:v>South</x:v>
      </x:c>
      <x:c r="F3225" s="2" t="str">
        <x:v>Store</x:v>
      </x:c>
      <x:c r="G3225" s="2" t="str">
        <x:v>Furniture</x:v>
      </x:c>
      <x:c r="H3225" s="2" t="str">
        <x:v>Chair 018</x:v>
      </x:c>
      <x:c r="I3225" s="11" t="n">
        <x:v>5</x:v>
      </x:c>
      <x:c r="J3225" s="9" t="n">
        <x:v>269</x:v>
      </x:c>
      <x:c r="K3225" s="10" t="n">
        <x:v>0</x:v>
      </x:c>
      <x:c r="L3225" s="11" t="n">
        <x:v>5</x:v>
      </x:c>
      <x:c r="M3225" s="9" t="n">
        <x:f>IF(D3225="Completed",I3225*J3225,0)</x:f>
        <x:v>1345</x:v>
      </x:c>
      <x:c r="N3225" s="9" t="n">
        <x:f>M3225*K3225</x:f>
        <x:v>0</x:v>
      </x:c>
      <x:c r="O3225" s="9" t="n">
        <x:f>M3225-N3225</x:f>
        <x:v>1345</x:v>
      </x:c>
      <x:c r="P3225" s="9" t="n">
        <x:f>IF(D3225="Completed",L3225*J3225*(1-K3225),0)</x:f>
        <x:v>1345</x:v>
      </x:c>
      <x:c r="Q3225" s="9" t="n">
        <x:f>O3225-P3225</x:f>
        <x:v>0</x:v>
      </x:c>
      <x:c r="R3225" s="11" t="n">
        <x:f>IF(D3225="Completed",I3225,0)</x:f>
        <x:v>5</x:v>
      </x:c>
      <x:c r="S3225" s="11" t="n">
        <x:f>IF(D3225="Completed",L3225,0)</x:f>
        <x:v>5</x:v>
      </x:c>
      <x:c r="T3225" s="8" t="n">
        <x:f>DATE(YEAR(C3225),MONTH(C3225),1)</x:f>
        <x:v>45901</x:v>
      </x:c>
    </x:row>
    <x:row r="3226" ht="22" customHeight="1">
      <x:c r="A3226" s="2" t="str">
        <x:v>L003222</x:v>
      </x:c>
      <x:c r="B3226" s="2" t="str">
        <x:v>O01315</x:v>
      </x:c>
      <x:c r="C3226" s="7" t="n">
        <x:v>45919</x:v>
      </x:c>
      <x:c r="D3226" s="2" t="str">
        <x:v>Completed</x:v>
      </x:c>
      <x:c r="E3226" s="2" t="str">
        <x:v>South</x:v>
      </x:c>
      <x:c r="F3226" s="2" t="str">
        <x:v>Store</x:v>
      </x:c>
      <x:c r="G3226" s="2" t="str">
        <x:v>Lighting</x:v>
      </x:c>
      <x:c r="H3226" s="2" t="str">
        <x:v>Lamp 021</x:v>
      </x:c>
      <x:c r="I3226" s="11" t="n">
        <x:v>4</x:v>
      </x:c>
      <x:c r="J3226" s="9" t="n">
        <x:v>249</x:v>
      </x:c>
      <x:c r="K3226" s="10" t="n">
        <x:v>0.05</x:v>
      </x:c>
      <x:c r="L3226" s="11" t="n">
        <x:v>0</x:v>
      </x:c>
      <x:c r="M3226" s="9" t="n">
        <x:f>IF(D3226="Completed",I3226*J3226,0)</x:f>
        <x:v>996</x:v>
      </x:c>
      <x:c r="N3226" s="9" t="n">
        <x:f>M3226*K3226</x:f>
        <x:v>49.800000000000004</x:v>
      </x:c>
      <x:c r="O3226" s="9" t="n">
        <x:f>M3226-N3226</x:f>
        <x:v>946.2</x:v>
      </x:c>
      <x:c r="P3226" s="9" t="n">
        <x:f>IF(D3226="Completed",L3226*J3226*(1-K3226),0)</x:f>
        <x:v>0</x:v>
      </x:c>
      <x:c r="Q3226" s="9" t="n">
        <x:f>O3226-P3226</x:f>
        <x:v>946.2</x:v>
      </x:c>
      <x:c r="R3226" s="11" t="n">
        <x:f>IF(D3226="Completed",I3226,0)</x:f>
        <x:v>4</x:v>
      </x:c>
      <x:c r="S3226" s="11" t="n">
        <x:f>IF(D3226="Completed",L3226,0)</x:f>
        <x:v>0</x:v>
      </x:c>
      <x:c r="T3226" s="8" t="n">
        <x:f>DATE(YEAR(C3226),MONTH(C3226),1)</x:f>
        <x:v>45901</x:v>
      </x:c>
    </x:row>
    <x:row r="3227" ht="22" customHeight="1">
      <x:c r="A3227" s="2" t="str">
        <x:v>L003223</x:v>
      </x:c>
      <x:c r="B3227" s="2" t="str">
        <x:v>O01316</x:v>
      </x:c>
      <x:c r="C3227" s="7" t="n">
        <x:v>45735</x:v>
      </x:c>
      <x:c r="D3227" s="2" t="str">
        <x:v>Cancelled</x:v>
      </x:c>
      <x:c r="E3227" s="2" t="str">
        <x:v>South</x:v>
      </x:c>
      <x:c r="F3227" s="2" t="str">
        <x:v>Store</x:v>
      </x:c>
      <x:c r="G3227" s="2" t="str">
        <x:v>Furniture</x:v>
      </x:c>
      <x:c r="H3227" s="2" t="str">
        <x:v>Chair 022</x:v>
      </x:c>
      <x:c r="I3227" s="11" t="n">
        <x:v>4</x:v>
      </x:c>
      <x:c r="J3227" s="9" t="n">
        <x:v>134</x:v>
      </x:c>
      <x:c r="K3227" s="10" t="n">
        <x:v>0.1</x:v>
      </x:c>
      <x:c r="L3227" s="11" t="n">
        <x:v>0</x:v>
      </x:c>
      <x:c r="M3227" s="9" t="n">
        <x:f>IF(D3227="Completed",I3227*J3227,0)</x:f>
        <x:v>0</x:v>
      </x:c>
      <x:c r="N3227" s="9" t="n">
        <x:f>M3227*K3227</x:f>
        <x:v>0</x:v>
      </x:c>
      <x:c r="O3227" s="9" t="n">
        <x:f>M3227-N3227</x:f>
        <x:v>0</x:v>
      </x:c>
      <x:c r="P3227" s="9" t="n">
        <x:f>IF(D3227="Completed",L3227*J3227*(1-K3227),0)</x:f>
        <x:v>0</x:v>
      </x:c>
      <x:c r="Q3227" s="9" t="n">
        <x:f>O3227-P3227</x:f>
        <x:v>0</x:v>
      </x:c>
      <x:c r="R3227" s="11" t="n">
        <x:f>IF(D3227="Completed",I3227,0)</x:f>
        <x:v>0</x:v>
      </x:c>
      <x:c r="S3227" s="11" t="n">
        <x:f>IF(D3227="Completed",L3227,0)</x:f>
        <x:v>0</x:v>
      </x:c>
      <x:c r="T3227" s="8" t="n">
        <x:f>DATE(YEAR(C3227),MONTH(C3227),1)</x:f>
        <x:v>45717</x:v>
      </x:c>
    </x:row>
    <x:row r="3228" ht="22" customHeight="1">
      <x:c r="A3228" s="2" t="str">
        <x:v>L003224</x:v>
      </x:c>
      <x:c r="B3228" s="2" t="str">
        <x:v>O01316</x:v>
      </x:c>
      <x:c r="C3228" s="7" t="n">
        <x:v>45735</x:v>
      </x:c>
      <x:c r="D3228" s="2" t="str">
        <x:v>Cancelled</x:v>
      </x:c>
      <x:c r="E3228" s="2" t="str">
        <x:v>South</x:v>
      </x:c>
      <x:c r="F3228" s="2" t="str">
        <x:v>Store</x:v>
      </x:c>
      <x:c r="G3228" s="2" t="str">
        <x:v>Furniture</x:v>
      </x:c>
      <x:c r="H3228" s="2" t="str">
        <x:v>Chair 002</x:v>
      </x:c>
      <x:c r="I3228" s="11" t="n">
        <x:v>3</x:v>
      </x:c>
      <x:c r="J3228" s="9" t="n">
        <x:v>284</x:v>
      </x:c>
      <x:c r="K3228" s="10" t="n">
        <x:v>0.05</x:v>
      </x:c>
      <x:c r="L3228" s="11" t="n">
        <x:v>0</x:v>
      </x:c>
      <x:c r="M3228" s="9" t="n">
        <x:f>IF(D3228="Completed",I3228*J3228,0)</x:f>
        <x:v>0</x:v>
      </x:c>
      <x:c r="N3228" s="9" t="n">
        <x:f>M3228*K3228</x:f>
        <x:v>0</x:v>
      </x:c>
      <x:c r="O3228" s="9" t="n">
        <x:f>M3228-N3228</x:f>
        <x:v>0</x:v>
      </x:c>
      <x:c r="P3228" s="9" t="n">
        <x:f>IF(D3228="Completed",L3228*J3228*(1-K3228),0)</x:f>
        <x:v>0</x:v>
      </x:c>
      <x:c r="Q3228" s="9" t="n">
        <x:f>O3228-P3228</x:f>
        <x:v>0</x:v>
      </x:c>
      <x:c r="R3228" s="11" t="n">
        <x:f>IF(D3228="Completed",I3228,0)</x:f>
        <x:v>0</x:v>
      </x:c>
      <x:c r="S3228" s="11" t="n">
        <x:f>IF(D3228="Completed",L3228,0)</x:f>
        <x:v>0</x:v>
      </x:c>
      <x:c r="T3228" s="8" t="n">
        <x:f>DATE(YEAR(C3228),MONTH(C3228),1)</x:f>
        <x:v>45717</x:v>
      </x:c>
    </x:row>
    <x:row r="3229" ht="22" customHeight="1">
      <x:c r="A3229" s="2" t="str">
        <x:v>L003225</x:v>
      </x:c>
      <x:c r="B3229" s="2" t="str">
        <x:v>O01316</x:v>
      </x:c>
      <x:c r="C3229" s="7" t="n">
        <x:v>45735</x:v>
      </x:c>
      <x:c r="D3229" s="2" t="str">
        <x:v>Cancelled</x:v>
      </x:c>
      <x:c r="E3229" s="2" t="str">
        <x:v>South</x:v>
      </x:c>
      <x:c r="F3229" s="2" t="str">
        <x:v>Store</x:v>
      </x:c>
      <x:c r="G3229" s="2" t="str">
        <x:v>Furniture</x:v>
      </x:c>
      <x:c r="H3229" s="2" t="str">
        <x:v>Chair 010</x:v>
      </x:c>
      <x:c r="I3229" s="11" t="n">
        <x:v>5</x:v>
      </x:c>
      <x:c r="J3229" s="9" t="n">
        <x:v>211</x:v>
      </x:c>
      <x:c r="K3229" s="10" t="n">
        <x:v>0.1</x:v>
      </x:c>
      <x:c r="L3229" s="11" t="n">
        <x:v>0</x:v>
      </x:c>
      <x:c r="M3229" s="9" t="n">
        <x:f>IF(D3229="Completed",I3229*J3229,0)</x:f>
        <x:v>0</x:v>
      </x:c>
      <x:c r="N3229" s="9" t="n">
        <x:f>M3229*K3229</x:f>
        <x:v>0</x:v>
      </x:c>
      <x:c r="O3229" s="9" t="n">
        <x:f>M3229-N3229</x:f>
        <x:v>0</x:v>
      </x:c>
      <x:c r="P3229" s="9" t="n">
        <x:f>IF(D3229="Completed",L3229*J3229*(1-K3229),0)</x:f>
        <x:v>0</x:v>
      </x:c>
      <x:c r="Q3229" s="9" t="n">
        <x:f>O3229-P3229</x:f>
        <x:v>0</x:v>
      </x:c>
      <x:c r="R3229" s="11" t="n">
        <x:f>IF(D3229="Completed",I3229,0)</x:f>
        <x:v>0</x:v>
      </x:c>
      <x:c r="S3229" s="11" t="n">
        <x:f>IF(D3229="Completed",L3229,0)</x:f>
        <x:v>0</x:v>
      </x:c>
      <x:c r="T3229" s="8" t="n">
        <x:f>DATE(YEAR(C3229),MONTH(C3229),1)</x:f>
        <x:v>45717</x:v>
      </x:c>
    </x:row>
    <x:row r="3230" ht="22" customHeight="1">
      <x:c r="A3230" s="2" t="str">
        <x:v>L003226</x:v>
      </x:c>
      <x:c r="B3230" s="2" t="str">
        <x:v>O01316</x:v>
      </x:c>
      <x:c r="C3230" s="7" t="n">
        <x:v>45735</x:v>
      </x:c>
      <x:c r="D3230" s="2" t="str">
        <x:v>Cancelled</x:v>
      </x:c>
      <x:c r="E3230" s="2" t="str">
        <x:v>South</x:v>
      </x:c>
      <x:c r="F3230" s="2" t="str">
        <x:v>Store</x:v>
      </x:c>
      <x:c r="G3230" s="2" t="str">
        <x:v>Furniture</x:v>
      </x:c>
      <x:c r="H3230" s="2" t="str">
        <x:v>Chair 010</x:v>
      </x:c>
      <x:c r="I3230" s="11" t="n">
        <x:v>5</x:v>
      </x:c>
      <x:c r="J3230" s="9" t="n">
        <x:v>211</x:v>
      </x:c>
      <x:c r="K3230" s="10" t="n">
        <x:v>0.2</x:v>
      </x:c>
      <x:c r="L3230" s="11" t="n">
        <x:v>0</x:v>
      </x:c>
      <x:c r="M3230" s="9" t="n">
        <x:f>IF(D3230="Completed",I3230*J3230,0)</x:f>
        <x:v>0</x:v>
      </x:c>
      <x:c r="N3230" s="9" t="n">
        <x:f>M3230*K3230</x:f>
        <x:v>0</x:v>
      </x:c>
      <x:c r="O3230" s="9" t="n">
        <x:f>M3230-N3230</x:f>
        <x:v>0</x:v>
      </x:c>
      <x:c r="P3230" s="9" t="n">
        <x:f>IF(D3230="Completed",L3230*J3230*(1-K3230),0)</x:f>
        <x:v>0</x:v>
      </x:c>
      <x:c r="Q3230" s="9" t="n">
        <x:f>O3230-P3230</x:f>
        <x:v>0</x:v>
      </x:c>
      <x:c r="R3230" s="11" t="n">
        <x:f>IF(D3230="Completed",I3230,0)</x:f>
        <x:v>0</x:v>
      </x:c>
      <x:c r="S3230" s="11" t="n">
        <x:f>IF(D3230="Completed",L3230,0)</x:f>
        <x:v>0</x:v>
      </x:c>
      <x:c r="T3230" s="8" t="n">
        <x:f>DATE(YEAR(C3230),MONTH(C3230),1)</x:f>
        <x:v>45717</x:v>
      </x:c>
    </x:row>
    <x:row r="3231" ht="22" customHeight="1">
      <x:c r="A3231" s="2" t="str">
        <x:v>L003227</x:v>
      </x:c>
      <x:c r="B3231" s="2" t="str">
        <x:v>O01317</x:v>
      </x:c>
      <x:c r="C3231" s="7" t="n">
        <x:v>45862</x:v>
      </x:c>
      <x:c r="D3231" s="2" t="str">
        <x:v>Completed</x:v>
      </x:c>
      <x:c r="E3231" s="2" t="str">
        <x:v>West</x:v>
      </x:c>
      <x:c r="F3231" s="2" t="str">
        <x:v>Online</x:v>
      </x:c>
      <x:c r="G3231" s="2" t="str">
        <x:v>Furniture</x:v>
      </x:c>
      <x:c r="H3231" s="2" t="str">
        <x:v>Chair 002</x:v>
      </x:c>
      <x:c r="I3231" s="11" t="n">
        <x:v>1</x:v>
      </x:c>
      <x:c r="J3231" s="9" t="n">
        <x:v>284</x:v>
      </x:c>
      <x:c r="K3231" s="10" t="n">
        <x:v>0</x:v>
      </x:c>
      <x:c r="L3231" s="11" t="n">
        <x:v>0</x:v>
      </x:c>
      <x:c r="M3231" s="9" t="n">
        <x:f>IF(D3231="Completed",I3231*J3231,0)</x:f>
        <x:v>284</x:v>
      </x:c>
      <x:c r="N3231" s="9" t="n">
        <x:f>M3231*K3231</x:f>
        <x:v>0</x:v>
      </x:c>
      <x:c r="O3231" s="9" t="n">
        <x:f>M3231-N3231</x:f>
        <x:v>284</x:v>
      </x:c>
      <x:c r="P3231" s="9" t="n">
        <x:f>IF(D3231="Completed",L3231*J3231*(1-K3231),0)</x:f>
        <x:v>0</x:v>
      </x:c>
      <x:c r="Q3231" s="9" t="n">
        <x:f>O3231-P3231</x:f>
        <x:v>284</x:v>
      </x:c>
      <x:c r="R3231" s="11" t="n">
        <x:f>IF(D3231="Completed",I3231,0)</x:f>
        <x:v>1</x:v>
      </x:c>
      <x:c r="S3231" s="11" t="n">
        <x:f>IF(D3231="Completed",L3231,0)</x:f>
        <x:v>0</x:v>
      </x:c>
      <x:c r="T3231" s="8" t="n">
        <x:f>DATE(YEAR(C3231),MONTH(C3231),1)</x:f>
        <x:v>45839</x:v>
      </x:c>
    </x:row>
    <x:row r="3232" ht="22" customHeight="1">
      <x:c r="A3232" s="2" t="str">
        <x:v>L003228</x:v>
      </x:c>
      <x:c r="B3232" s="2" t="str">
        <x:v>O01318</x:v>
      </x:c>
      <x:c r="C3232" s="7" t="n">
        <x:v>46006</x:v>
      </x:c>
      <x:c r="D3232" s="2" t="str">
        <x:v>Cancelled</x:v>
      </x:c>
      <x:c r="E3232" s="2" t="str">
        <x:v>West</x:v>
      </x:c>
      <x:c r="F3232" s="2" t="str">
        <x:v>Online</x:v>
      </x:c>
      <x:c r="G3232" s="2" t="str">
        <x:v>Lighting</x:v>
      </x:c>
      <x:c r="H3232" s="2" t="str">
        <x:v>Lamp 001</x:v>
      </x:c>
      <x:c r="I3232" s="11" t="n">
        <x:v>5</x:v>
      </x:c>
      <x:c r="J3232" s="9" t="n">
        <x:v>122</x:v>
      </x:c>
      <x:c r="K3232" s="10" t="n">
        <x:v>0.2</x:v>
      </x:c>
      <x:c r="L3232" s="11" t="n">
        <x:v>0</x:v>
      </x:c>
      <x:c r="M3232" s="9" t="n">
        <x:f>IF(D3232="Completed",I3232*J3232,0)</x:f>
        <x:v>0</x:v>
      </x:c>
      <x:c r="N3232" s="9" t="n">
        <x:f>M3232*K3232</x:f>
        <x:v>0</x:v>
      </x:c>
      <x:c r="O3232" s="9" t="n">
        <x:f>M3232-N3232</x:f>
        <x:v>0</x:v>
      </x:c>
      <x:c r="P3232" s="9" t="n">
        <x:f>IF(D3232="Completed",L3232*J3232*(1-K3232),0)</x:f>
        <x:v>0</x:v>
      </x:c>
      <x:c r="Q3232" s="9" t="n">
        <x:f>O3232-P3232</x:f>
        <x:v>0</x:v>
      </x:c>
      <x:c r="R3232" s="11" t="n">
        <x:f>IF(D3232="Completed",I3232,0)</x:f>
        <x:v>0</x:v>
      </x:c>
      <x:c r="S3232" s="11" t="n">
        <x:f>IF(D3232="Completed",L3232,0)</x:f>
        <x:v>0</x:v>
      </x:c>
      <x:c r="T3232" s="8" t="n">
        <x:f>DATE(YEAR(C3232),MONTH(C3232),1)</x:f>
        <x:v>45992</x:v>
      </x:c>
    </x:row>
    <x:row r="3233" ht="22" customHeight="1">
      <x:c r="A3233" s="2" t="str">
        <x:v>L003229</x:v>
      </x:c>
      <x:c r="B3233" s="2" t="str">
        <x:v>O01318</x:v>
      </x:c>
      <x:c r="C3233" s="7" t="n">
        <x:v>46006</x:v>
      </x:c>
      <x:c r="D3233" s="2" t="str">
        <x:v>Cancelled</x:v>
      </x:c>
      <x:c r="E3233" s="2" t="str">
        <x:v>West</x:v>
      </x:c>
      <x:c r="F3233" s="2" t="str">
        <x:v>Online</x:v>
      </x:c>
      <x:c r="G3233" s="2" t="str">
        <x:v>Storage</x:v>
      </x:c>
      <x:c r="H3233" s="2" t="str">
        <x:v>Shelf 019</x:v>
      </x:c>
      <x:c r="I3233" s="11" t="n">
        <x:v>2</x:v>
      </x:c>
      <x:c r="J3233" s="9" t="n">
        <x:v>78</x:v>
      </x:c>
      <x:c r="K3233" s="10" t="n">
        <x:v>0</x:v>
      </x:c>
      <x:c r="L3233" s="11" t="n">
        <x:v>0</x:v>
      </x:c>
      <x:c r="M3233" s="9" t="n">
        <x:f>IF(D3233="Completed",I3233*J3233,0)</x:f>
        <x:v>0</x:v>
      </x:c>
      <x:c r="N3233" s="9" t="n">
        <x:f>M3233*K3233</x:f>
        <x:v>0</x:v>
      </x:c>
      <x:c r="O3233" s="9" t="n">
        <x:f>M3233-N3233</x:f>
        <x:v>0</x:v>
      </x:c>
      <x:c r="P3233" s="9" t="n">
        <x:f>IF(D3233="Completed",L3233*J3233*(1-K3233),0)</x:f>
        <x:v>0</x:v>
      </x:c>
      <x:c r="Q3233" s="9" t="n">
        <x:f>O3233-P3233</x:f>
        <x:v>0</x:v>
      </x:c>
      <x:c r="R3233" s="11" t="n">
        <x:f>IF(D3233="Completed",I3233,0)</x:f>
        <x:v>0</x:v>
      </x:c>
      <x:c r="S3233" s="11" t="n">
        <x:f>IF(D3233="Completed",L3233,0)</x:f>
        <x:v>0</x:v>
      </x:c>
      <x:c r="T3233" s="8" t="n">
        <x:f>DATE(YEAR(C3233),MONTH(C3233),1)</x:f>
        <x:v>45992</x:v>
      </x:c>
    </x:row>
    <x:row r="3234" ht="22" customHeight="1">
      <x:c r="A3234" s="2" t="str">
        <x:v>L003230</x:v>
      </x:c>
      <x:c r="B3234" s="2" t="str">
        <x:v>O01319</x:v>
      </x:c>
      <x:c r="C3234" s="7" t="n">
        <x:v>45998</x:v>
      </x:c>
      <x:c r="D3234" s="2" t="str">
        <x:v>Completed</x:v>
      </x:c>
      <x:c r="E3234" s="2" t="str">
        <x:v>East</x:v>
      </x:c>
      <x:c r="F3234" s="2" t="str">
        <x:v>Online</x:v>
      </x:c>
      <x:c r="G3234" s="2" t="str">
        <x:v>Storage</x:v>
      </x:c>
      <x:c r="H3234" s="2" t="str">
        <x:v>Shelf 019</x:v>
      </x:c>
      <x:c r="I3234" s="11" t="n">
        <x:v>4</x:v>
      </x:c>
      <x:c r="J3234" s="9" t="n">
        <x:v>78</x:v>
      </x:c>
      <x:c r="K3234" s="10" t="n">
        <x:v>0.1</x:v>
      </x:c>
      <x:c r="L3234" s="11" t="n">
        <x:v>0</x:v>
      </x:c>
      <x:c r="M3234" s="9" t="n">
        <x:f>IF(D3234="Completed",I3234*J3234,0)</x:f>
        <x:v>312</x:v>
      </x:c>
      <x:c r="N3234" s="9" t="n">
        <x:f>M3234*K3234</x:f>
        <x:v>31.200000000000003</x:v>
      </x:c>
      <x:c r="O3234" s="9" t="n">
        <x:f>M3234-N3234</x:f>
        <x:v>280.8</x:v>
      </x:c>
      <x:c r="P3234" s="9" t="n">
        <x:f>IF(D3234="Completed",L3234*J3234*(1-K3234),0)</x:f>
        <x:v>0</x:v>
      </x:c>
      <x:c r="Q3234" s="9" t="n">
        <x:f>O3234-P3234</x:f>
        <x:v>280.8</x:v>
      </x:c>
      <x:c r="R3234" s="11" t="n">
        <x:f>IF(D3234="Completed",I3234,0)</x:f>
        <x:v>4</x:v>
      </x:c>
      <x:c r="S3234" s="11" t="n">
        <x:f>IF(D3234="Completed",L3234,0)</x:f>
        <x:v>0</x:v>
      </x:c>
      <x:c r="T3234" s="8" t="n">
        <x:f>DATE(YEAR(C3234),MONTH(C3234),1)</x:f>
        <x:v>45992</x:v>
      </x:c>
    </x:row>
    <x:row r="3235" ht="22" customHeight="1">
      <x:c r="A3235" s="2" t="str">
        <x:v>L003231</x:v>
      </x:c>
      <x:c r="B3235" s="2" t="str">
        <x:v>O01319</x:v>
      </x:c>
      <x:c r="C3235" s="7" t="n">
        <x:v>45998</x:v>
      </x:c>
      <x:c r="D3235" s="2" t="str">
        <x:v>Completed</x:v>
      </x:c>
      <x:c r="E3235" s="2" t="str">
        <x:v>East</x:v>
      </x:c>
      <x:c r="F3235" s="2" t="str">
        <x:v>Online</x:v>
      </x:c>
      <x:c r="G3235" s="2" t="str">
        <x:v>Furniture</x:v>
      </x:c>
      <x:c r="H3235" s="2" t="str">
        <x:v>Chair 018</x:v>
      </x:c>
      <x:c r="I3235" s="11" t="n">
        <x:v>1</x:v>
      </x:c>
      <x:c r="J3235" s="9" t="n">
        <x:v>269</x:v>
      </x:c>
      <x:c r="K3235" s="10" t="n">
        <x:v>0.05</x:v>
      </x:c>
      <x:c r="L3235" s="11" t="n">
        <x:v>0</x:v>
      </x:c>
      <x:c r="M3235" s="9" t="n">
        <x:f>IF(D3235="Completed",I3235*J3235,0)</x:f>
        <x:v>269</x:v>
      </x:c>
      <x:c r="N3235" s="9" t="n">
        <x:f>M3235*K3235</x:f>
        <x:v>13.450000000000001</x:v>
      </x:c>
      <x:c r="O3235" s="9" t="n">
        <x:f>M3235-N3235</x:f>
        <x:v>255.55</x:v>
      </x:c>
      <x:c r="P3235" s="9" t="n">
        <x:f>IF(D3235="Completed",L3235*J3235*(1-K3235),0)</x:f>
        <x:v>0</x:v>
      </x:c>
      <x:c r="Q3235" s="9" t="n">
        <x:f>O3235-P3235</x:f>
        <x:v>255.55</x:v>
      </x:c>
      <x:c r="R3235" s="11" t="n">
        <x:f>IF(D3235="Completed",I3235,0)</x:f>
        <x:v>1</x:v>
      </x:c>
      <x:c r="S3235" s="11" t="n">
        <x:f>IF(D3235="Completed",L3235,0)</x:f>
        <x:v>0</x:v>
      </x:c>
      <x:c r="T3235" s="8" t="n">
        <x:f>DATE(YEAR(C3235),MONTH(C3235),1)</x:f>
        <x:v>45992</x:v>
      </x:c>
    </x:row>
    <x:row r="3236" ht="22" customHeight="1">
      <x:c r="A3236" s="2" t="str">
        <x:v>L003232</x:v>
      </x:c>
      <x:c r="B3236" s="2" t="str">
        <x:v>O01319</x:v>
      </x:c>
      <x:c r="C3236" s="7" t="n">
        <x:v>45998</x:v>
      </x:c>
      <x:c r="D3236" s="2" t="str">
        <x:v>Completed</x:v>
      </x:c>
      <x:c r="E3236" s="2" t="str">
        <x:v>East</x:v>
      </x:c>
      <x:c r="F3236" s="2" t="str">
        <x:v>Online</x:v>
      </x:c>
      <x:c r="G3236" s="2" t="str">
        <x:v>Furniture</x:v>
      </x:c>
      <x:c r="H3236" s="2" t="str">
        <x:v>Chair 022</x:v>
      </x:c>
      <x:c r="I3236" s="11" t="n">
        <x:v>3</x:v>
      </x:c>
      <x:c r="J3236" s="9" t="n">
        <x:v>134</x:v>
      </x:c>
      <x:c r="K3236" s="10" t="n">
        <x:v>0.05</x:v>
      </x:c>
      <x:c r="L3236" s="11" t="n">
        <x:v>0</x:v>
      </x:c>
      <x:c r="M3236" s="9" t="n">
        <x:f>IF(D3236="Completed",I3236*J3236,0)</x:f>
        <x:v>402</x:v>
      </x:c>
      <x:c r="N3236" s="9" t="n">
        <x:f>M3236*K3236</x:f>
        <x:v>20.1</x:v>
      </x:c>
      <x:c r="O3236" s="9" t="n">
        <x:f>M3236-N3236</x:f>
        <x:v>381.9</x:v>
      </x:c>
      <x:c r="P3236" s="9" t="n">
        <x:f>IF(D3236="Completed",L3236*J3236*(1-K3236),0)</x:f>
        <x:v>0</x:v>
      </x:c>
      <x:c r="Q3236" s="9" t="n">
        <x:f>O3236-P3236</x:f>
        <x:v>381.9</x:v>
      </x:c>
      <x:c r="R3236" s="11" t="n">
        <x:f>IF(D3236="Completed",I3236,0)</x:f>
        <x:v>3</x:v>
      </x:c>
      <x:c r="S3236" s="11" t="n">
        <x:f>IF(D3236="Completed",L3236,0)</x:f>
        <x:v>0</x:v>
      </x:c>
      <x:c r="T3236" s="8" t="n">
        <x:f>DATE(YEAR(C3236),MONTH(C3236),1)</x:f>
        <x:v>45992</x:v>
      </x:c>
    </x:row>
    <x:row r="3237" ht="22" customHeight="1">
      <x:c r="A3237" s="2" t="str">
        <x:v>L003233</x:v>
      </x:c>
      <x:c r="B3237" s="2" t="str">
        <x:v>O01319</x:v>
      </x:c>
      <x:c r="C3237" s="7" t="n">
        <x:v>45998</x:v>
      </x:c>
      <x:c r="D3237" s="2" t="str">
        <x:v>Completed</x:v>
      </x:c>
      <x:c r="E3237" s="2" t="str">
        <x:v>East</x:v>
      </x:c>
      <x:c r="F3237" s="2" t="str">
        <x:v>Online</x:v>
      </x:c>
      <x:c r="G3237" s="2" t="str">
        <x:v>Lighting</x:v>
      </x:c>
      <x:c r="H3237" s="2" t="str">
        <x:v>Lamp 013</x:v>
      </x:c>
      <x:c r="I3237" s="11" t="n">
        <x:v>4</x:v>
      </x:c>
      <x:c r="J3237" s="9" t="n">
        <x:v>271</x:v>
      </x:c>
      <x:c r="K3237" s="10" t="n">
        <x:v>0.1</x:v>
      </x:c>
      <x:c r="L3237" s="11" t="n">
        <x:v>0</x:v>
      </x:c>
      <x:c r="M3237" s="9" t="n">
        <x:f>IF(D3237="Completed",I3237*J3237,0)</x:f>
        <x:v>1084</x:v>
      </x:c>
      <x:c r="N3237" s="9" t="n">
        <x:f>M3237*K3237</x:f>
        <x:v>108.4</x:v>
      </x:c>
      <x:c r="O3237" s="9" t="n">
        <x:f>M3237-N3237</x:f>
        <x:v>975.6</x:v>
      </x:c>
      <x:c r="P3237" s="9" t="n">
        <x:f>IF(D3237="Completed",L3237*J3237*(1-K3237),0)</x:f>
        <x:v>0</x:v>
      </x:c>
      <x:c r="Q3237" s="9" t="n">
        <x:f>O3237-P3237</x:f>
        <x:v>975.6</x:v>
      </x:c>
      <x:c r="R3237" s="11" t="n">
        <x:f>IF(D3237="Completed",I3237,0)</x:f>
        <x:v>4</x:v>
      </x:c>
      <x:c r="S3237" s="11" t="n">
        <x:f>IF(D3237="Completed",L3237,0)</x:f>
        <x:v>0</x:v>
      </x:c>
      <x:c r="T3237" s="8" t="n">
        <x:f>DATE(YEAR(C3237),MONTH(C3237),1)</x:f>
        <x:v>45992</x:v>
      </x:c>
    </x:row>
    <x:row r="3238" ht="22" customHeight="1">
      <x:c r="A3238" s="2" t="str">
        <x:v>L003234</x:v>
      </x:c>
      <x:c r="B3238" s="2" t="str">
        <x:v>O01320</x:v>
      </x:c>
      <x:c r="C3238" s="7" t="n">
        <x:v>45735</x:v>
      </x:c>
      <x:c r="D3238" s="2" t="str">
        <x:v>Completed</x:v>
      </x:c>
      <x:c r="E3238" s="2" t="str">
        <x:v>West</x:v>
      </x:c>
      <x:c r="F3238" s="2" t="str">
        <x:v>Online</x:v>
      </x:c>
      <x:c r="G3238" s="2" t="str">
        <x:v>Storage</x:v>
      </x:c>
      <x:c r="H3238" s="2" t="str">
        <x:v>Shelf 023</x:v>
      </x:c>
      <x:c r="I3238" s="11" t="n">
        <x:v>2</x:v>
      </x:c>
      <x:c r="J3238" s="9" t="n">
        <x:v>68</x:v>
      </x:c>
      <x:c r="K3238" s="10" t="n">
        <x:v>0.05</x:v>
      </x:c>
      <x:c r="L3238" s="11" t="n">
        <x:v>0</x:v>
      </x:c>
      <x:c r="M3238" s="9" t="n">
        <x:f>IF(D3238="Completed",I3238*J3238,0)</x:f>
        <x:v>136</x:v>
      </x:c>
      <x:c r="N3238" s="9" t="n">
        <x:f>M3238*K3238</x:f>
        <x:v>6.800000000000001</x:v>
      </x:c>
      <x:c r="O3238" s="9" t="n">
        <x:f>M3238-N3238</x:f>
        <x:v>129.2</x:v>
      </x:c>
      <x:c r="P3238" s="9" t="n">
        <x:f>IF(D3238="Completed",L3238*J3238*(1-K3238),0)</x:f>
        <x:v>0</x:v>
      </x:c>
      <x:c r="Q3238" s="9" t="n">
        <x:f>O3238-P3238</x:f>
        <x:v>129.2</x:v>
      </x:c>
      <x:c r="R3238" s="11" t="n">
        <x:f>IF(D3238="Completed",I3238,0)</x:f>
        <x:v>2</x:v>
      </x:c>
      <x:c r="S3238" s="11" t="n">
        <x:f>IF(D3238="Completed",L3238,0)</x:f>
        <x:v>0</x:v>
      </x:c>
      <x:c r="T3238" s="8" t="n">
        <x:f>DATE(YEAR(C3238),MONTH(C3238),1)</x:f>
        <x:v>45717</x:v>
      </x:c>
    </x:row>
    <x:row r="3239" ht="22" customHeight="1">
      <x:c r="A3239" s="2" t="str">
        <x:v>L003235</x:v>
      </x:c>
      <x:c r="B3239" s="2" t="str">
        <x:v>O01320</x:v>
      </x:c>
      <x:c r="C3239" s="7" t="n">
        <x:v>45735</x:v>
      </x:c>
      <x:c r="D3239" s="2" t="str">
        <x:v>Completed</x:v>
      </x:c>
      <x:c r="E3239" s="2" t="str">
        <x:v>West</x:v>
      </x:c>
      <x:c r="F3239" s="2" t="str">
        <x:v>Online</x:v>
      </x:c>
      <x:c r="G3239" s="2" t="str">
        <x:v>Storage</x:v>
      </x:c>
      <x:c r="H3239" s="2" t="str">
        <x:v>Shelf 019</x:v>
      </x:c>
      <x:c r="I3239" s="11" t="n">
        <x:v>5</x:v>
      </x:c>
      <x:c r="J3239" s="9" t="n">
        <x:v>78</x:v>
      </x:c>
      <x:c r="K3239" s="10" t="n">
        <x:v>0.1</x:v>
      </x:c>
      <x:c r="L3239" s="11" t="n">
        <x:v>0</x:v>
      </x:c>
      <x:c r="M3239" s="9" t="n">
        <x:f>IF(D3239="Completed",I3239*J3239,0)</x:f>
        <x:v>390</x:v>
      </x:c>
      <x:c r="N3239" s="9" t="n">
        <x:f>M3239*K3239</x:f>
        <x:v>39</x:v>
      </x:c>
      <x:c r="O3239" s="9" t="n">
        <x:f>M3239-N3239</x:f>
        <x:v>351</x:v>
      </x:c>
      <x:c r="P3239" s="9" t="n">
        <x:f>IF(D3239="Completed",L3239*J3239*(1-K3239),0)</x:f>
        <x:v>0</x:v>
      </x:c>
      <x:c r="Q3239" s="9" t="n">
        <x:f>O3239-P3239</x:f>
        <x:v>351</x:v>
      </x:c>
      <x:c r="R3239" s="11" t="n">
        <x:f>IF(D3239="Completed",I3239,0)</x:f>
        <x:v>5</x:v>
      </x:c>
      <x:c r="S3239" s="11" t="n">
        <x:f>IF(D3239="Completed",L3239,0)</x:f>
        <x:v>0</x:v>
      </x:c>
      <x:c r="T3239" s="8" t="n">
        <x:f>DATE(YEAR(C3239),MONTH(C3239),1)</x:f>
        <x:v>45717</x:v>
      </x:c>
    </x:row>
    <x:row r="3240" ht="22" customHeight="1">
      <x:c r="A3240" s="2" t="str">
        <x:v>L003236</x:v>
      </x:c>
      <x:c r="B3240" s="2" t="str">
        <x:v>O01320</x:v>
      </x:c>
      <x:c r="C3240" s="7" t="n">
        <x:v>45735</x:v>
      </x:c>
      <x:c r="D3240" s="2" t="str">
        <x:v>Completed</x:v>
      </x:c>
      <x:c r="E3240" s="2" t="str">
        <x:v>West</x:v>
      </x:c>
      <x:c r="F3240" s="2" t="str">
        <x:v>Online</x:v>
      </x:c>
      <x:c r="G3240" s="2" t="str">
        <x:v>Furniture</x:v>
      </x:c>
      <x:c r="H3240" s="2" t="str">
        <x:v>Chair 014</x:v>
      </x:c>
      <x:c r="I3240" s="11" t="n">
        <x:v>1</x:v>
      </x:c>
      <x:c r="J3240" s="9" t="n">
        <x:v>294</x:v>
      </x:c>
      <x:c r="K3240" s="10" t="n">
        <x:v>0</x:v>
      </x:c>
      <x:c r="L3240" s="11" t="n">
        <x:v>0</x:v>
      </x:c>
      <x:c r="M3240" s="9" t="n">
        <x:f>IF(D3240="Completed",I3240*J3240,0)</x:f>
        <x:v>294</x:v>
      </x:c>
      <x:c r="N3240" s="9" t="n">
        <x:f>M3240*K3240</x:f>
        <x:v>0</x:v>
      </x:c>
      <x:c r="O3240" s="9" t="n">
        <x:f>M3240-N3240</x:f>
        <x:v>294</x:v>
      </x:c>
      <x:c r="P3240" s="9" t="n">
        <x:f>IF(D3240="Completed",L3240*J3240*(1-K3240),0)</x:f>
        <x:v>0</x:v>
      </x:c>
      <x:c r="Q3240" s="9" t="n">
        <x:f>O3240-P3240</x:f>
        <x:v>294</x:v>
      </x:c>
      <x:c r="R3240" s="11" t="n">
        <x:f>IF(D3240="Completed",I3240,0)</x:f>
        <x:v>1</x:v>
      </x:c>
      <x:c r="S3240" s="11" t="n">
        <x:f>IF(D3240="Completed",L3240,0)</x:f>
        <x:v>0</x:v>
      </x:c>
      <x:c r="T3240" s="8" t="n">
        <x:f>DATE(YEAR(C3240),MONTH(C3240),1)</x:f>
        <x:v>45717</x:v>
      </x:c>
    </x:row>
    <x:row r="3241" ht="22" customHeight="1">
      <x:c r="A3241" s="2" t="str">
        <x:v>L003237</x:v>
      </x:c>
      <x:c r="B3241" s="2" t="str">
        <x:v>O01321</x:v>
      </x:c>
      <x:c r="C3241" s="7" t="n">
        <x:v>45774</x:v>
      </x:c>
      <x:c r="D3241" s="2" t="str">
        <x:v>Completed</x:v>
      </x:c>
      <x:c r="E3241" s="2" t="str">
        <x:v>West</x:v>
      </x:c>
      <x:c r="F3241" s="2" t="str">
        <x:v>Online</x:v>
      </x:c>
      <x:c r="G3241" s="2" t="str">
        <x:v>Furniture</x:v>
      </x:c>
      <x:c r="H3241" s="2" t="str">
        <x:v>Chair 014</x:v>
      </x:c>
      <x:c r="I3241" s="11" t="n">
        <x:v>3</x:v>
      </x:c>
      <x:c r="J3241" s="9" t="n">
        <x:v>294</x:v>
      </x:c>
      <x:c r="K3241" s="10" t="n">
        <x:v>0.05</x:v>
      </x:c>
      <x:c r="L3241" s="11" t="n">
        <x:v>1</x:v>
      </x:c>
      <x:c r="M3241" s="9" t="n">
        <x:f>IF(D3241="Completed",I3241*J3241,0)</x:f>
        <x:v>882</x:v>
      </x:c>
      <x:c r="N3241" s="9" t="n">
        <x:f>M3241*K3241</x:f>
        <x:v>44.1</x:v>
      </x:c>
      <x:c r="O3241" s="9" t="n">
        <x:f>M3241-N3241</x:f>
        <x:v>837.9</x:v>
      </x:c>
      <x:c r="P3241" s="9" t="n">
        <x:f>IF(D3241="Completed",L3241*J3241*(1-K3241),0)</x:f>
        <x:v>279.3</x:v>
      </x:c>
      <x:c r="Q3241" s="9" t="n">
        <x:f>O3241-P3241</x:f>
        <x:v>558.5999999999999</x:v>
      </x:c>
      <x:c r="R3241" s="11" t="n">
        <x:f>IF(D3241="Completed",I3241,0)</x:f>
        <x:v>3</x:v>
      </x:c>
      <x:c r="S3241" s="11" t="n">
        <x:f>IF(D3241="Completed",L3241,0)</x:f>
        <x:v>1</x:v>
      </x:c>
      <x:c r="T3241" s="8" t="n">
        <x:f>DATE(YEAR(C3241),MONTH(C3241),1)</x:f>
        <x:v>45748</x:v>
      </x:c>
    </x:row>
    <x:row r="3242" ht="22" customHeight="1">
      <x:c r="A3242" s="2" t="str">
        <x:v>L003238</x:v>
      </x:c>
      <x:c r="B3242" s="2" t="str">
        <x:v>O01321</x:v>
      </x:c>
      <x:c r="C3242" s="7" t="n">
        <x:v>45774</x:v>
      </x:c>
      <x:c r="D3242" s="2" t="str">
        <x:v>Completed</x:v>
      </x:c>
      <x:c r="E3242" s="2" t="str">
        <x:v>West</x:v>
      </x:c>
      <x:c r="F3242" s="2" t="str">
        <x:v>Online</x:v>
      </x:c>
      <x:c r="G3242" s="2" t="str">
        <x:v>Storage</x:v>
      </x:c>
      <x:c r="H3242" s="2" t="str">
        <x:v>Shelf 011</x:v>
      </x:c>
      <x:c r="I3242" s="11" t="n">
        <x:v>5</x:v>
      </x:c>
      <x:c r="J3242" s="9" t="n">
        <x:v>80</x:v>
      </x:c>
      <x:c r="K3242" s="10" t="n">
        <x:v>0.05</x:v>
      </x:c>
      <x:c r="L3242" s="11" t="n">
        <x:v>0</x:v>
      </x:c>
      <x:c r="M3242" s="9" t="n">
        <x:f>IF(D3242="Completed",I3242*J3242,0)</x:f>
        <x:v>400</x:v>
      </x:c>
      <x:c r="N3242" s="9" t="n">
        <x:f>M3242*K3242</x:f>
        <x:v>20</x:v>
      </x:c>
      <x:c r="O3242" s="9" t="n">
        <x:f>M3242-N3242</x:f>
        <x:v>380</x:v>
      </x:c>
      <x:c r="P3242" s="9" t="n">
        <x:f>IF(D3242="Completed",L3242*J3242*(1-K3242),0)</x:f>
        <x:v>0</x:v>
      </x:c>
      <x:c r="Q3242" s="9" t="n">
        <x:f>O3242-P3242</x:f>
        <x:v>380</x:v>
      </x:c>
      <x:c r="R3242" s="11" t="n">
        <x:f>IF(D3242="Completed",I3242,0)</x:f>
        <x:v>5</x:v>
      </x:c>
      <x:c r="S3242" s="11" t="n">
        <x:f>IF(D3242="Completed",L3242,0)</x:f>
        <x:v>0</x:v>
      </x:c>
      <x:c r="T3242" s="8" t="n">
        <x:f>DATE(YEAR(C3242),MONTH(C3242),1)</x:f>
        <x:v>45748</x:v>
      </x:c>
    </x:row>
    <x:row r="3243" ht="22" customHeight="1">
      <x:c r="A3243" s="2" t="str">
        <x:v>L003239</x:v>
      </x:c>
      <x:c r="B3243" s="2" t="str">
        <x:v>O01321</x:v>
      </x:c>
      <x:c r="C3243" s="7" t="n">
        <x:v>45774</x:v>
      </x:c>
      <x:c r="D3243" s="2" t="str">
        <x:v>Completed</x:v>
      </x:c>
      <x:c r="E3243" s="2" t="str">
        <x:v>West</x:v>
      </x:c>
      <x:c r="F3243" s="2" t="str">
        <x:v>Online</x:v>
      </x:c>
      <x:c r="G3243" s="2" t="str">
        <x:v>Lighting</x:v>
      </x:c>
      <x:c r="H3243" s="2" t="str">
        <x:v>Lamp 021</x:v>
      </x:c>
      <x:c r="I3243" s="11" t="n">
        <x:v>4</x:v>
      </x:c>
      <x:c r="J3243" s="9" t="n">
        <x:v>249</x:v>
      </x:c>
      <x:c r="K3243" s="10" t="n">
        <x:v>0</x:v>
      </x:c>
      <x:c r="L3243" s="11" t="n">
        <x:v>0</x:v>
      </x:c>
      <x:c r="M3243" s="9" t="n">
        <x:f>IF(D3243="Completed",I3243*J3243,0)</x:f>
        <x:v>996</x:v>
      </x:c>
      <x:c r="N3243" s="9" t="n">
        <x:f>M3243*K3243</x:f>
        <x:v>0</x:v>
      </x:c>
      <x:c r="O3243" s="9" t="n">
        <x:f>M3243-N3243</x:f>
        <x:v>996</x:v>
      </x:c>
      <x:c r="P3243" s="9" t="n">
        <x:f>IF(D3243="Completed",L3243*J3243*(1-K3243),0)</x:f>
        <x:v>0</x:v>
      </x:c>
      <x:c r="Q3243" s="9" t="n">
        <x:f>O3243-P3243</x:f>
        <x:v>996</x:v>
      </x:c>
      <x:c r="R3243" s="11" t="n">
        <x:f>IF(D3243="Completed",I3243,0)</x:f>
        <x:v>4</x:v>
      </x:c>
      <x:c r="S3243" s="11" t="n">
        <x:f>IF(D3243="Completed",L3243,0)</x:f>
        <x:v>0</x:v>
      </x:c>
      <x:c r="T3243" s="8" t="n">
        <x:f>DATE(YEAR(C3243),MONTH(C3243),1)</x:f>
        <x:v>45748</x:v>
      </x:c>
    </x:row>
    <x:row r="3244" ht="22" customHeight="1">
      <x:c r="A3244" s="2" t="str">
        <x:v>L003240</x:v>
      </x:c>
      <x:c r="B3244" s="2" t="str">
        <x:v>O01322</x:v>
      </x:c>
      <x:c r="C3244" s="7" t="n">
        <x:v>45909</x:v>
      </x:c>
      <x:c r="D3244" s="2" t="str">
        <x:v>Completed</x:v>
      </x:c>
      <x:c r="E3244" s="2" t="str">
        <x:v>South</x:v>
      </x:c>
      <x:c r="F3244" s="2" t="str">
        <x:v>Store</x:v>
      </x:c>
      <x:c r="G3244" s="2" t="str">
        <x:v>Furniture</x:v>
      </x:c>
      <x:c r="H3244" s="2" t="str">
        <x:v>Desk 008</x:v>
      </x:c>
      <x:c r="I3244" s="11" t="n">
        <x:v>5</x:v>
      </x:c>
      <x:c r="J3244" s="9" t="n">
        <x:v>188</x:v>
      </x:c>
      <x:c r="K3244" s="10" t="n">
        <x:v>0.05</x:v>
      </x:c>
      <x:c r="L3244" s="11" t="n">
        <x:v>0</x:v>
      </x:c>
      <x:c r="M3244" s="9" t="n">
        <x:f>IF(D3244="Completed",I3244*J3244,0)</x:f>
        <x:v>940</x:v>
      </x:c>
      <x:c r="N3244" s="9" t="n">
        <x:f>M3244*K3244</x:f>
        <x:v>47</x:v>
      </x:c>
      <x:c r="O3244" s="9" t="n">
        <x:f>M3244-N3244</x:f>
        <x:v>893</x:v>
      </x:c>
      <x:c r="P3244" s="9" t="n">
        <x:f>IF(D3244="Completed",L3244*J3244*(1-K3244),0)</x:f>
        <x:v>0</x:v>
      </x:c>
      <x:c r="Q3244" s="9" t="n">
        <x:f>O3244-P3244</x:f>
        <x:v>893</x:v>
      </x:c>
      <x:c r="R3244" s="11" t="n">
        <x:f>IF(D3244="Completed",I3244,0)</x:f>
        <x:v>5</x:v>
      </x:c>
      <x:c r="S3244" s="11" t="n">
        <x:f>IF(D3244="Completed",L3244,0)</x:f>
        <x:v>0</x:v>
      </x:c>
      <x:c r="T3244" s="8" t="n">
        <x:f>DATE(YEAR(C3244),MONTH(C3244),1)</x:f>
        <x:v>45901</x:v>
      </x:c>
    </x:row>
    <x:row r="3245" ht="22" customHeight="1">
      <x:c r="A3245" s="2" t="str">
        <x:v>L003241</x:v>
      </x:c>
      <x:c r="B3245" s="2" t="str">
        <x:v>O01322</x:v>
      </x:c>
      <x:c r="C3245" s="7" t="n">
        <x:v>45909</x:v>
      </x:c>
      <x:c r="D3245" s="2" t="str">
        <x:v>Completed</x:v>
      </x:c>
      <x:c r="E3245" s="2" t="str">
        <x:v>South</x:v>
      </x:c>
      <x:c r="F3245" s="2" t="str">
        <x:v>Store</x:v>
      </x:c>
      <x:c r="G3245" s="2" t="str">
        <x:v>Furniture</x:v>
      </x:c>
      <x:c r="H3245" s="2" t="str">
        <x:v>Chair 010</x:v>
      </x:c>
      <x:c r="I3245" s="11" t="n">
        <x:v>4</x:v>
      </x:c>
      <x:c r="J3245" s="9" t="n">
        <x:v>211</x:v>
      </x:c>
      <x:c r="K3245" s="10" t="n">
        <x:v>0.1</x:v>
      </x:c>
      <x:c r="L3245" s="11" t="n">
        <x:v>0</x:v>
      </x:c>
      <x:c r="M3245" s="9" t="n">
        <x:f>IF(D3245="Completed",I3245*J3245,0)</x:f>
        <x:v>844</x:v>
      </x:c>
      <x:c r="N3245" s="9" t="n">
        <x:f>M3245*K3245</x:f>
        <x:v>84.4</x:v>
      </x:c>
      <x:c r="O3245" s="9" t="n">
        <x:f>M3245-N3245</x:f>
        <x:v>759.6</x:v>
      </x:c>
      <x:c r="P3245" s="9" t="n">
        <x:f>IF(D3245="Completed",L3245*J3245*(1-K3245),0)</x:f>
        <x:v>0</x:v>
      </x:c>
      <x:c r="Q3245" s="9" t="n">
        <x:f>O3245-P3245</x:f>
        <x:v>759.6</x:v>
      </x:c>
      <x:c r="R3245" s="11" t="n">
        <x:f>IF(D3245="Completed",I3245,0)</x:f>
        <x:v>4</x:v>
      </x:c>
      <x:c r="S3245" s="11" t="n">
        <x:f>IF(D3245="Completed",L3245,0)</x:f>
        <x:v>0</x:v>
      </x:c>
      <x:c r="T3245" s="8" t="n">
        <x:f>DATE(YEAR(C3245),MONTH(C3245),1)</x:f>
        <x:v>45901</x:v>
      </x:c>
    </x:row>
    <x:row r="3246" ht="22" customHeight="1">
      <x:c r="A3246" s="2" t="str">
        <x:v>L003242</x:v>
      </x:c>
      <x:c r="B3246" s="2" t="str">
        <x:v>O01322</x:v>
      </x:c>
      <x:c r="C3246" s="7" t="n">
        <x:v>45909</x:v>
      </x:c>
      <x:c r="D3246" s="2" t="str">
        <x:v>Completed</x:v>
      </x:c>
      <x:c r="E3246" s="2" t="str">
        <x:v>South</x:v>
      </x:c>
      <x:c r="F3246" s="2" t="str">
        <x:v>Store</x:v>
      </x:c>
      <x:c r="G3246" s="2" t="str">
        <x:v>Storage</x:v>
      </x:c>
      <x:c r="H3246" s="2" t="str">
        <x:v>Shelf 023</x:v>
      </x:c>
      <x:c r="I3246" s="11" t="n">
        <x:v>4</x:v>
      </x:c>
      <x:c r="J3246" s="9" t="n">
        <x:v>68</x:v>
      </x:c>
      <x:c r="K3246" s="10" t="n">
        <x:v>0.1</x:v>
      </x:c>
      <x:c r="L3246" s="11" t="n">
        <x:v>0</x:v>
      </x:c>
      <x:c r="M3246" s="9" t="n">
        <x:f>IF(D3246="Completed",I3246*J3246,0)</x:f>
        <x:v>272</x:v>
      </x:c>
      <x:c r="N3246" s="9" t="n">
        <x:f>M3246*K3246</x:f>
        <x:v>27.200000000000003</x:v>
      </x:c>
      <x:c r="O3246" s="9" t="n">
        <x:f>M3246-N3246</x:f>
        <x:v>244.8</x:v>
      </x:c>
      <x:c r="P3246" s="9" t="n">
        <x:f>IF(D3246="Completed",L3246*J3246*(1-K3246),0)</x:f>
        <x:v>0</x:v>
      </x:c>
      <x:c r="Q3246" s="9" t="n">
        <x:f>O3246-P3246</x:f>
        <x:v>244.8</x:v>
      </x:c>
      <x:c r="R3246" s="11" t="n">
        <x:f>IF(D3246="Completed",I3246,0)</x:f>
        <x:v>4</x:v>
      </x:c>
      <x:c r="S3246" s="11" t="n">
        <x:f>IF(D3246="Completed",L3246,0)</x:f>
        <x:v>0</x:v>
      </x:c>
      <x:c r="T3246" s="8" t="n">
        <x:f>DATE(YEAR(C3246),MONTH(C3246),1)</x:f>
        <x:v>45901</x:v>
      </x:c>
    </x:row>
    <x:row r="3247" ht="22" customHeight="1">
      <x:c r="A3247" s="2" t="str">
        <x:v>L003243</x:v>
      </x:c>
      <x:c r="B3247" s="2" t="str">
        <x:v>O01323</x:v>
      </x:c>
      <x:c r="C3247" s="7" t="n">
        <x:v>45661</x:v>
      </x:c>
      <x:c r="D3247" s="2" t="str">
        <x:v>Completed</x:v>
      </x:c>
      <x:c r="E3247" s="2" t="str">
        <x:v>West</x:v>
      </x:c>
      <x:c r="F3247" s="2" t="str">
        <x:v>Online</x:v>
      </x:c>
      <x:c r="G3247" s="2" t="str">
        <x:v>Furniture</x:v>
      </x:c>
      <x:c r="H3247" s="2" t="str">
        <x:v>Desk 020</x:v>
      </x:c>
      <x:c r="I3247" s="11" t="n">
        <x:v>3</x:v>
      </x:c>
      <x:c r="J3247" s="9" t="n">
        <x:v>189</x:v>
      </x:c>
      <x:c r="K3247" s="10" t="n">
        <x:v>0.1</x:v>
      </x:c>
      <x:c r="L3247" s="11" t="n">
        <x:v>0</x:v>
      </x:c>
      <x:c r="M3247" s="9" t="n">
        <x:f>IF(D3247="Completed",I3247*J3247,0)</x:f>
        <x:v>567</x:v>
      </x:c>
      <x:c r="N3247" s="9" t="n">
        <x:f>M3247*K3247</x:f>
        <x:v>56.7</x:v>
      </x:c>
      <x:c r="O3247" s="9" t="n">
        <x:f>M3247-N3247</x:f>
        <x:v>510.3</x:v>
      </x:c>
      <x:c r="P3247" s="9" t="n">
        <x:f>IF(D3247="Completed",L3247*J3247*(1-K3247),0)</x:f>
        <x:v>0</x:v>
      </x:c>
      <x:c r="Q3247" s="9" t="n">
        <x:f>O3247-P3247</x:f>
        <x:v>510.3</x:v>
      </x:c>
      <x:c r="R3247" s="11" t="n">
        <x:f>IF(D3247="Completed",I3247,0)</x:f>
        <x:v>3</x:v>
      </x:c>
      <x:c r="S3247" s="11" t="n">
        <x:f>IF(D3247="Completed",L3247,0)</x:f>
        <x:v>0</x:v>
      </x:c>
      <x:c r="T3247" s="8" t="n">
        <x:f>DATE(YEAR(C3247),MONTH(C3247),1)</x:f>
        <x:v>45658</x:v>
      </x:c>
    </x:row>
    <x:row r="3248" ht="22" customHeight="1">
      <x:c r="A3248" s="2" t="str">
        <x:v>L003244</x:v>
      </x:c>
      <x:c r="B3248" s="2" t="str">
        <x:v>O01324</x:v>
      </x:c>
      <x:c r="C3248" s="7" t="n">
        <x:v>45813</x:v>
      </x:c>
      <x:c r="D3248" s="2" t="str">
        <x:v>Completed</x:v>
      </x:c>
      <x:c r="E3248" s="2" t="str">
        <x:v>North</x:v>
      </x:c>
      <x:c r="F3248" s="2" t="str">
        <x:v>Online</x:v>
      </x:c>
      <x:c r="G3248" s="2" t="str">
        <x:v>Furniture</x:v>
      </x:c>
      <x:c r="H3248" s="2" t="str">
        <x:v>Chair 006</x:v>
      </x:c>
      <x:c r="I3248" s="11" t="n">
        <x:v>4</x:v>
      </x:c>
      <x:c r="J3248" s="9" t="n">
        <x:v>196</x:v>
      </x:c>
      <x:c r="K3248" s="10" t="n">
        <x:v>0.2</x:v>
      </x:c>
      <x:c r="L3248" s="11" t="n">
        <x:v>0</x:v>
      </x:c>
      <x:c r="M3248" s="9" t="n">
        <x:f>IF(D3248="Completed",I3248*J3248,0)</x:f>
        <x:v>784</x:v>
      </x:c>
      <x:c r="N3248" s="9" t="n">
        <x:f>M3248*K3248</x:f>
        <x:v>156.8</x:v>
      </x:c>
      <x:c r="O3248" s="9" t="n">
        <x:f>M3248-N3248</x:f>
        <x:v>627.2</x:v>
      </x:c>
      <x:c r="P3248" s="9" t="n">
        <x:f>IF(D3248="Completed",L3248*J3248*(1-K3248),0)</x:f>
        <x:v>0</x:v>
      </x:c>
      <x:c r="Q3248" s="9" t="n">
        <x:f>O3248-P3248</x:f>
        <x:v>627.2</x:v>
      </x:c>
      <x:c r="R3248" s="11" t="n">
        <x:f>IF(D3248="Completed",I3248,0)</x:f>
        <x:v>4</x:v>
      </x:c>
      <x:c r="S3248" s="11" t="n">
        <x:f>IF(D3248="Completed",L3248,0)</x:f>
        <x:v>0</x:v>
      </x:c>
      <x:c r="T3248" s="8" t="n">
        <x:f>DATE(YEAR(C3248),MONTH(C3248),1)</x:f>
        <x:v>45809</x:v>
      </x:c>
    </x:row>
    <x:row r="3249" ht="22" customHeight="1">
      <x:c r="A3249" s="2" t="str">
        <x:v>L003245</x:v>
      </x:c>
      <x:c r="B3249" s="2" t="str">
        <x:v>O01325</x:v>
      </x:c>
      <x:c r="C3249" s="7" t="n">
        <x:v>45811</x:v>
      </x:c>
      <x:c r="D3249" s="2" t="str">
        <x:v>Completed</x:v>
      </x:c>
      <x:c r="E3249" s="2" t="str">
        <x:v>West</x:v>
      </x:c>
      <x:c r="F3249" s="2" t="str">
        <x:v>Online</x:v>
      </x:c>
      <x:c r="G3249" s="2" t="str">
        <x:v>Storage</x:v>
      </x:c>
      <x:c r="H3249" s="2" t="str">
        <x:v>Shelf 003</x:v>
      </x:c>
      <x:c r="I3249" s="11" t="n">
        <x:v>5</x:v>
      </x:c>
      <x:c r="J3249" s="9" t="n">
        <x:v>199</x:v>
      </x:c>
      <x:c r="K3249" s="10" t="n">
        <x:v>0.1</x:v>
      </x:c>
      <x:c r="L3249" s="11" t="n">
        <x:v>0</x:v>
      </x:c>
      <x:c r="M3249" s="9" t="n">
        <x:f>IF(D3249="Completed",I3249*J3249,0)</x:f>
        <x:v>995</x:v>
      </x:c>
      <x:c r="N3249" s="9" t="n">
        <x:f>M3249*K3249</x:f>
        <x:v>99.5</x:v>
      </x:c>
      <x:c r="O3249" s="9" t="n">
        <x:f>M3249-N3249</x:f>
        <x:v>895.5</x:v>
      </x:c>
      <x:c r="P3249" s="9" t="n">
        <x:f>IF(D3249="Completed",L3249*J3249*(1-K3249),0)</x:f>
        <x:v>0</x:v>
      </x:c>
      <x:c r="Q3249" s="9" t="n">
        <x:f>O3249-P3249</x:f>
        <x:v>895.5</x:v>
      </x:c>
      <x:c r="R3249" s="11" t="n">
        <x:f>IF(D3249="Completed",I3249,0)</x:f>
        <x:v>5</x:v>
      </x:c>
      <x:c r="S3249" s="11" t="n">
        <x:f>IF(D3249="Completed",L3249,0)</x:f>
        <x:v>0</x:v>
      </x:c>
      <x:c r="T3249" s="8" t="n">
        <x:f>DATE(YEAR(C3249),MONTH(C3249),1)</x:f>
        <x:v>45809</x:v>
      </x:c>
    </x:row>
    <x:row r="3250" ht="22" customHeight="1">
      <x:c r="A3250" s="2" t="str">
        <x:v>L003246</x:v>
      </x:c>
      <x:c r="B3250" s="2" t="str">
        <x:v>O01325</x:v>
      </x:c>
      <x:c r="C3250" s="7" t="n">
        <x:v>45811</x:v>
      </x:c>
      <x:c r="D3250" s="2" t="str">
        <x:v>Completed</x:v>
      </x:c>
      <x:c r="E3250" s="2" t="str">
        <x:v>West</x:v>
      </x:c>
      <x:c r="F3250" s="2" t="str">
        <x:v>Online</x:v>
      </x:c>
      <x:c r="G3250" s="2" t="str">
        <x:v>Storage</x:v>
      </x:c>
      <x:c r="H3250" s="2" t="str">
        <x:v>Shelf 015</x:v>
      </x:c>
      <x:c r="I3250" s="11" t="n">
        <x:v>1</x:v>
      </x:c>
      <x:c r="J3250" s="9" t="n">
        <x:v>254</x:v>
      </x:c>
      <x:c r="K3250" s="10" t="n">
        <x:v>0.1</x:v>
      </x:c>
      <x:c r="L3250" s="11" t="n">
        <x:v>0</x:v>
      </x:c>
      <x:c r="M3250" s="9" t="n">
        <x:f>IF(D3250="Completed",I3250*J3250,0)</x:f>
        <x:v>254</x:v>
      </x:c>
      <x:c r="N3250" s="9" t="n">
        <x:f>M3250*K3250</x:f>
        <x:v>25.400000000000002</x:v>
      </x:c>
      <x:c r="O3250" s="9" t="n">
        <x:f>M3250-N3250</x:f>
        <x:v>228.6</x:v>
      </x:c>
      <x:c r="P3250" s="9" t="n">
        <x:f>IF(D3250="Completed",L3250*J3250*(1-K3250),0)</x:f>
        <x:v>0</x:v>
      </x:c>
      <x:c r="Q3250" s="9" t="n">
        <x:f>O3250-P3250</x:f>
        <x:v>228.6</x:v>
      </x:c>
      <x:c r="R3250" s="11" t="n">
        <x:f>IF(D3250="Completed",I3250,0)</x:f>
        <x:v>1</x:v>
      </x:c>
      <x:c r="S3250" s="11" t="n">
        <x:f>IF(D3250="Completed",L3250,0)</x:f>
        <x:v>0</x:v>
      </x:c>
      <x:c r="T3250" s="8" t="n">
        <x:f>DATE(YEAR(C3250),MONTH(C3250),1)</x:f>
        <x:v>45809</x:v>
      </x:c>
    </x:row>
    <x:row r="3251" ht="22" customHeight="1">
      <x:c r="A3251" s="2" t="str">
        <x:v>L003247</x:v>
      </x:c>
      <x:c r="B3251" s="2" t="str">
        <x:v>O01326</x:v>
      </x:c>
      <x:c r="C3251" s="7" t="n">
        <x:v>45888</x:v>
      </x:c>
      <x:c r="D3251" s="2" t="str">
        <x:v>Completed</x:v>
      </x:c>
      <x:c r="E3251" s="2" t="str">
        <x:v>South</x:v>
      </x:c>
      <x:c r="F3251" s="2" t="str">
        <x:v>Store</x:v>
      </x:c>
      <x:c r="G3251" s="2" t="str">
        <x:v>Furniture</x:v>
      </x:c>
      <x:c r="H3251" s="2" t="str">
        <x:v>Desk 008</x:v>
      </x:c>
      <x:c r="I3251" s="11" t="n">
        <x:v>3</x:v>
      </x:c>
      <x:c r="J3251" s="9" t="n">
        <x:v>188</x:v>
      </x:c>
      <x:c r="K3251" s="10" t="n">
        <x:v>0.1</x:v>
      </x:c>
      <x:c r="L3251" s="11" t="n">
        <x:v>0</x:v>
      </x:c>
      <x:c r="M3251" s="9" t="n">
        <x:f>IF(D3251="Completed",I3251*J3251,0)</x:f>
        <x:v>564</x:v>
      </x:c>
      <x:c r="N3251" s="9" t="n">
        <x:f>M3251*K3251</x:f>
        <x:v>56.400000000000006</x:v>
      </x:c>
      <x:c r="O3251" s="9" t="n">
        <x:f>M3251-N3251</x:f>
        <x:v>507.6</x:v>
      </x:c>
      <x:c r="P3251" s="9" t="n">
        <x:f>IF(D3251="Completed",L3251*J3251*(1-K3251),0)</x:f>
        <x:v>0</x:v>
      </x:c>
      <x:c r="Q3251" s="9" t="n">
        <x:f>O3251-P3251</x:f>
        <x:v>507.6</x:v>
      </x:c>
      <x:c r="R3251" s="11" t="n">
        <x:f>IF(D3251="Completed",I3251,0)</x:f>
        <x:v>3</x:v>
      </x:c>
      <x:c r="S3251" s="11" t="n">
        <x:f>IF(D3251="Completed",L3251,0)</x:f>
        <x:v>0</x:v>
      </x:c>
      <x:c r="T3251" s="8" t="n">
        <x:f>DATE(YEAR(C3251),MONTH(C3251),1)</x:f>
        <x:v>45870</x:v>
      </x:c>
    </x:row>
    <x:row r="3252" ht="22" customHeight="1">
      <x:c r="A3252" s="2" t="str">
        <x:v>L003248</x:v>
      </x:c>
      <x:c r="B3252" s="2" t="str">
        <x:v>O01326</x:v>
      </x:c>
      <x:c r="C3252" s="7" t="n">
        <x:v>45888</x:v>
      </x:c>
      <x:c r="D3252" s="2" t="str">
        <x:v>Completed</x:v>
      </x:c>
      <x:c r="E3252" s="2" t="str">
        <x:v>South</x:v>
      </x:c>
      <x:c r="F3252" s="2" t="str">
        <x:v>Store</x:v>
      </x:c>
      <x:c r="G3252" s="2" t="str">
        <x:v>Furniture</x:v>
      </x:c>
      <x:c r="H3252" s="2" t="str">
        <x:v>Desk 016</x:v>
      </x:c>
      <x:c r="I3252" s="11" t="n">
        <x:v>4</x:v>
      </x:c>
      <x:c r="J3252" s="9" t="n">
        <x:v>231</x:v>
      </x:c>
      <x:c r="K3252" s="10" t="n">
        <x:v>0.2</x:v>
      </x:c>
      <x:c r="L3252" s="11" t="n">
        <x:v>0</x:v>
      </x:c>
      <x:c r="M3252" s="9" t="n">
        <x:f>IF(D3252="Completed",I3252*J3252,0)</x:f>
        <x:v>924</x:v>
      </x:c>
      <x:c r="N3252" s="9" t="n">
        <x:f>M3252*K3252</x:f>
        <x:v>184.8</x:v>
      </x:c>
      <x:c r="O3252" s="9" t="n">
        <x:f>M3252-N3252</x:f>
        <x:v>739.2</x:v>
      </x:c>
      <x:c r="P3252" s="9" t="n">
        <x:f>IF(D3252="Completed",L3252*J3252*(1-K3252),0)</x:f>
        <x:v>0</x:v>
      </x:c>
      <x:c r="Q3252" s="9" t="n">
        <x:f>O3252-P3252</x:f>
        <x:v>739.2</x:v>
      </x:c>
      <x:c r="R3252" s="11" t="n">
        <x:f>IF(D3252="Completed",I3252,0)</x:f>
        <x:v>4</x:v>
      </x:c>
      <x:c r="S3252" s="11" t="n">
        <x:f>IF(D3252="Completed",L3252,0)</x:f>
        <x:v>0</x:v>
      </x:c>
      <x:c r="T3252" s="8" t="n">
        <x:f>DATE(YEAR(C3252),MONTH(C3252),1)</x:f>
        <x:v>45870</x:v>
      </x:c>
    </x:row>
    <x:row r="3253" ht="22" customHeight="1">
      <x:c r="A3253" s="2" t="str">
        <x:v>L003249</x:v>
      </x:c>
      <x:c r="B3253" s="2" t="str">
        <x:v>O01327</x:v>
      </x:c>
      <x:c r="C3253" s="7" t="n">
        <x:v>45790</x:v>
      </x:c>
      <x:c r="D3253" s="2" t="str">
        <x:v>Completed</x:v>
      </x:c>
      <x:c r="E3253" s="2" t="str">
        <x:v>West</x:v>
      </x:c>
      <x:c r="F3253" s="2" t="str">
        <x:v>Online</x:v>
      </x:c>
      <x:c r="G3253" s="2" t="str">
        <x:v>Furniture</x:v>
      </x:c>
      <x:c r="H3253" s="2" t="str">
        <x:v>Chair 022</x:v>
      </x:c>
      <x:c r="I3253" s="11" t="n">
        <x:v>1</x:v>
      </x:c>
      <x:c r="J3253" s="9" t="n">
        <x:v>134</x:v>
      </x:c>
      <x:c r="K3253" s="10" t="n">
        <x:v>0.2</x:v>
      </x:c>
      <x:c r="L3253" s="11" t="n">
        <x:v>0</x:v>
      </x:c>
      <x:c r="M3253" s="9" t="n">
        <x:f>IF(D3253="Completed",I3253*J3253,0)</x:f>
        <x:v>134</x:v>
      </x:c>
      <x:c r="N3253" s="9" t="n">
        <x:f>M3253*K3253</x:f>
        <x:v>26.8</x:v>
      </x:c>
      <x:c r="O3253" s="9" t="n">
        <x:f>M3253-N3253</x:f>
        <x:v>107.2</x:v>
      </x:c>
      <x:c r="P3253" s="9" t="n">
        <x:f>IF(D3253="Completed",L3253*J3253*(1-K3253),0)</x:f>
        <x:v>0</x:v>
      </x:c>
      <x:c r="Q3253" s="9" t="n">
        <x:f>O3253-P3253</x:f>
        <x:v>107.2</x:v>
      </x:c>
      <x:c r="R3253" s="11" t="n">
        <x:f>IF(D3253="Completed",I3253,0)</x:f>
        <x:v>1</x:v>
      </x:c>
      <x:c r="S3253" s="11" t="n">
        <x:f>IF(D3253="Completed",L3253,0)</x:f>
        <x:v>0</x:v>
      </x:c>
      <x:c r="T3253" s="8" t="n">
        <x:f>DATE(YEAR(C3253),MONTH(C3253),1)</x:f>
        <x:v>45778</x:v>
      </x:c>
    </x:row>
    <x:row r="3254" ht="22" customHeight="1">
      <x:c r="A3254" s="2" t="str">
        <x:v>L003250</x:v>
      </x:c>
      <x:c r="B3254" s="2" t="str">
        <x:v>O01327</x:v>
      </x:c>
      <x:c r="C3254" s="7" t="n">
        <x:v>45790</x:v>
      </x:c>
      <x:c r="D3254" s="2" t="str">
        <x:v>Completed</x:v>
      </x:c>
      <x:c r="E3254" s="2" t="str">
        <x:v>West</x:v>
      </x:c>
      <x:c r="F3254" s="2" t="str">
        <x:v>Online</x:v>
      </x:c>
      <x:c r="G3254" s="2" t="str">
        <x:v>Lighting</x:v>
      </x:c>
      <x:c r="H3254" s="2" t="str">
        <x:v>Lamp 005</x:v>
      </x:c>
      <x:c r="I3254" s="11" t="n">
        <x:v>4</x:v>
      </x:c>
      <x:c r="J3254" s="9" t="n">
        <x:v>65</x:v>
      </x:c>
      <x:c r="K3254" s="10" t="n">
        <x:v>0</x:v>
      </x:c>
      <x:c r="L3254" s="11" t="n">
        <x:v>0</x:v>
      </x:c>
      <x:c r="M3254" s="9" t="n">
        <x:f>IF(D3254="Completed",I3254*J3254,0)</x:f>
        <x:v>260</x:v>
      </x:c>
      <x:c r="N3254" s="9" t="n">
        <x:f>M3254*K3254</x:f>
        <x:v>0</x:v>
      </x:c>
      <x:c r="O3254" s="9" t="n">
        <x:f>M3254-N3254</x:f>
        <x:v>260</x:v>
      </x:c>
      <x:c r="P3254" s="9" t="n">
        <x:f>IF(D3254="Completed",L3254*J3254*(1-K3254),0)</x:f>
        <x:v>0</x:v>
      </x:c>
      <x:c r="Q3254" s="9" t="n">
        <x:f>O3254-P3254</x:f>
        <x:v>260</x:v>
      </x:c>
      <x:c r="R3254" s="11" t="n">
        <x:f>IF(D3254="Completed",I3254,0)</x:f>
        <x:v>4</x:v>
      </x:c>
      <x:c r="S3254" s="11" t="n">
        <x:f>IF(D3254="Completed",L3254,0)</x:f>
        <x:v>0</x:v>
      </x:c>
      <x:c r="T3254" s="8" t="n">
        <x:f>DATE(YEAR(C3254),MONTH(C3254),1)</x:f>
        <x:v>45778</x:v>
      </x:c>
    </x:row>
    <x:row r="3255" ht="22" customHeight="1">
      <x:c r="A3255" s="2" t="str">
        <x:v>L003251</x:v>
      </x:c>
      <x:c r="B3255" s="2" t="str">
        <x:v>O01327</x:v>
      </x:c>
      <x:c r="C3255" s="7" t="n">
        <x:v>45790</x:v>
      </x:c>
      <x:c r="D3255" s="2" t="str">
        <x:v>Completed</x:v>
      </x:c>
      <x:c r="E3255" s="2" t="str">
        <x:v>West</x:v>
      </x:c>
      <x:c r="F3255" s="2" t="str">
        <x:v>Online</x:v>
      </x:c>
      <x:c r="G3255" s="2" t="str">
        <x:v>Lighting</x:v>
      </x:c>
      <x:c r="H3255" s="2" t="str">
        <x:v>Lamp 021</x:v>
      </x:c>
      <x:c r="I3255" s="11" t="n">
        <x:v>2</x:v>
      </x:c>
      <x:c r="J3255" s="9" t="n">
        <x:v>249</x:v>
      </x:c>
      <x:c r="K3255" s="10" t="n">
        <x:v>0.05</x:v>
      </x:c>
      <x:c r="L3255" s="11" t="n">
        <x:v>0</x:v>
      </x:c>
      <x:c r="M3255" s="9" t="n">
        <x:f>IF(D3255="Completed",I3255*J3255,0)</x:f>
        <x:v>498</x:v>
      </x:c>
      <x:c r="N3255" s="9" t="n">
        <x:f>M3255*K3255</x:f>
        <x:v>24.900000000000002</x:v>
      </x:c>
      <x:c r="O3255" s="9" t="n">
        <x:f>M3255-N3255</x:f>
        <x:v>473.1</x:v>
      </x:c>
      <x:c r="P3255" s="9" t="n">
        <x:f>IF(D3255="Completed",L3255*J3255*(1-K3255),0)</x:f>
        <x:v>0</x:v>
      </x:c>
      <x:c r="Q3255" s="9" t="n">
        <x:f>O3255-P3255</x:f>
        <x:v>473.1</x:v>
      </x:c>
      <x:c r="R3255" s="11" t="n">
        <x:f>IF(D3255="Completed",I3255,0)</x:f>
        <x:v>2</x:v>
      </x:c>
      <x:c r="S3255" s="11" t="n">
        <x:f>IF(D3255="Completed",L3255,0)</x:f>
        <x:v>0</x:v>
      </x:c>
      <x:c r="T3255" s="8" t="n">
        <x:f>DATE(YEAR(C3255),MONTH(C3255),1)</x:f>
        <x:v>45778</x:v>
      </x:c>
    </x:row>
    <x:row r="3256" ht="22" customHeight="1">
      <x:c r="A3256" s="2" t="str">
        <x:v>L003252</x:v>
      </x:c>
      <x:c r="B3256" s="2" t="str">
        <x:v>O01327</x:v>
      </x:c>
      <x:c r="C3256" s="7" t="n">
        <x:v>45790</x:v>
      </x:c>
      <x:c r="D3256" s="2" t="str">
        <x:v>Completed</x:v>
      </x:c>
      <x:c r="E3256" s="2" t="str">
        <x:v>West</x:v>
      </x:c>
      <x:c r="F3256" s="2" t="str">
        <x:v>Online</x:v>
      </x:c>
      <x:c r="G3256" s="2" t="str">
        <x:v>Lighting</x:v>
      </x:c>
      <x:c r="H3256" s="2" t="str">
        <x:v>Lamp 017</x:v>
      </x:c>
      <x:c r="I3256" s="11" t="n">
        <x:v>2</x:v>
      </x:c>
      <x:c r="J3256" s="9" t="n">
        <x:v>300</x:v>
      </x:c>
      <x:c r="K3256" s="10" t="n">
        <x:v>0.1</x:v>
      </x:c>
      <x:c r="L3256" s="11" t="n">
        <x:v>0</x:v>
      </x:c>
      <x:c r="M3256" s="9" t="n">
        <x:f>IF(D3256="Completed",I3256*J3256,0)</x:f>
        <x:v>600</x:v>
      </x:c>
      <x:c r="N3256" s="9" t="n">
        <x:f>M3256*K3256</x:f>
        <x:v>60</x:v>
      </x:c>
      <x:c r="O3256" s="9" t="n">
        <x:f>M3256-N3256</x:f>
        <x:v>540</x:v>
      </x:c>
      <x:c r="P3256" s="9" t="n">
        <x:f>IF(D3256="Completed",L3256*J3256*(1-K3256),0)</x:f>
        <x:v>0</x:v>
      </x:c>
      <x:c r="Q3256" s="9" t="n">
        <x:f>O3256-P3256</x:f>
        <x:v>540</x:v>
      </x:c>
      <x:c r="R3256" s="11" t="n">
        <x:f>IF(D3256="Completed",I3256,0)</x:f>
        <x:v>2</x:v>
      </x:c>
      <x:c r="S3256" s="11" t="n">
        <x:f>IF(D3256="Completed",L3256,0)</x:f>
        <x:v>0</x:v>
      </x:c>
      <x:c r="T3256" s="8" t="n">
        <x:f>DATE(YEAR(C3256),MONTH(C3256),1)</x:f>
        <x:v>45778</x:v>
      </x:c>
    </x:row>
    <x:row r="3257" ht="22" customHeight="1">
      <x:c r="A3257" s="2" t="str">
        <x:v>L003253</x:v>
      </x:c>
      <x:c r="B3257" s="2" t="str">
        <x:v>O01328</x:v>
      </x:c>
      <x:c r="C3257" s="7" t="n">
        <x:v>45872</x:v>
      </x:c>
      <x:c r="D3257" s="2" t="str">
        <x:v>Completed</x:v>
      </x:c>
      <x:c r="E3257" s="2" t="str">
        <x:v>North</x:v>
      </x:c>
      <x:c r="F3257" s="2" t="str">
        <x:v>Store</x:v>
      </x:c>
      <x:c r="G3257" s="2" t="str">
        <x:v>Storage</x:v>
      </x:c>
      <x:c r="H3257" s="2" t="str">
        <x:v>Shelf 019</x:v>
      </x:c>
      <x:c r="I3257" s="11" t="n">
        <x:v>5</x:v>
      </x:c>
      <x:c r="J3257" s="9" t="n">
        <x:v>78</x:v>
      </x:c>
      <x:c r="K3257" s="10" t="n">
        <x:v>0.05</x:v>
      </x:c>
      <x:c r="L3257" s="11" t="n">
        <x:v>0</x:v>
      </x:c>
      <x:c r="M3257" s="9" t="n">
        <x:f>IF(D3257="Completed",I3257*J3257,0)</x:f>
        <x:v>390</x:v>
      </x:c>
      <x:c r="N3257" s="9" t="n">
        <x:f>M3257*K3257</x:f>
        <x:v>19.5</x:v>
      </x:c>
      <x:c r="O3257" s="9" t="n">
        <x:f>M3257-N3257</x:f>
        <x:v>370.5</x:v>
      </x:c>
      <x:c r="P3257" s="9" t="n">
        <x:f>IF(D3257="Completed",L3257*J3257*(1-K3257),0)</x:f>
        <x:v>0</x:v>
      </x:c>
      <x:c r="Q3257" s="9" t="n">
        <x:f>O3257-P3257</x:f>
        <x:v>370.5</x:v>
      </x:c>
      <x:c r="R3257" s="11" t="n">
        <x:f>IF(D3257="Completed",I3257,0)</x:f>
        <x:v>5</x:v>
      </x:c>
      <x:c r="S3257" s="11" t="n">
        <x:f>IF(D3257="Completed",L3257,0)</x:f>
        <x:v>0</x:v>
      </x:c>
      <x:c r="T3257" s="8" t="n">
        <x:f>DATE(YEAR(C3257),MONTH(C3257),1)</x:f>
        <x:v>45870</x:v>
      </x:c>
    </x:row>
    <x:row r="3258" ht="22" customHeight="1">
      <x:c r="A3258" s="2" t="str">
        <x:v>L003254</x:v>
      </x:c>
      <x:c r="B3258" s="2" t="str">
        <x:v>O01328</x:v>
      </x:c>
      <x:c r="C3258" s="7" t="n">
        <x:v>45872</x:v>
      </x:c>
      <x:c r="D3258" s="2" t="str">
        <x:v>Completed</x:v>
      </x:c>
      <x:c r="E3258" s="2" t="str">
        <x:v>North</x:v>
      </x:c>
      <x:c r="F3258" s="2" t="str">
        <x:v>Store</x:v>
      </x:c>
      <x:c r="G3258" s="2" t="str">
        <x:v>Furniture</x:v>
      </x:c>
      <x:c r="H3258" s="2" t="str">
        <x:v>Chair 010</x:v>
      </x:c>
      <x:c r="I3258" s="11" t="n">
        <x:v>2</x:v>
      </x:c>
      <x:c r="J3258" s="9" t="n">
        <x:v>211</x:v>
      </x:c>
      <x:c r="K3258" s="10" t="n">
        <x:v>0.2</x:v>
      </x:c>
      <x:c r="L3258" s="11" t="n">
        <x:v>0</x:v>
      </x:c>
      <x:c r="M3258" s="9" t="n">
        <x:f>IF(D3258="Completed",I3258*J3258,0)</x:f>
        <x:v>422</x:v>
      </x:c>
      <x:c r="N3258" s="9" t="n">
        <x:f>M3258*K3258</x:f>
        <x:v>84.4</x:v>
      </x:c>
      <x:c r="O3258" s="9" t="n">
        <x:f>M3258-N3258</x:f>
        <x:v>337.6</x:v>
      </x:c>
      <x:c r="P3258" s="9" t="n">
        <x:f>IF(D3258="Completed",L3258*J3258*(1-K3258),0)</x:f>
        <x:v>0</x:v>
      </x:c>
      <x:c r="Q3258" s="9" t="n">
        <x:f>O3258-P3258</x:f>
        <x:v>337.6</x:v>
      </x:c>
      <x:c r="R3258" s="11" t="n">
        <x:f>IF(D3258="Completed",I3258,0)</x:f>
        <x:v>2</x:v>
      </x:c>
      <x:c r="S3258" s="11" t="n">
        <x:f>IF(D3258="Completed",L3258,0)</x:f>
        <x:v>0</x:v>
      </x:c>
      <x:c r="T3258" s="8" t="n">
        <x:f>DATE(YEAR(C3258),MONTH(C3258),1)</x:f>
        <x:v>45870</x:v>
      </x:c>
    </x:row>
    <x:row r="3259" ht="22" customHeight="1">
      <x:c r="A3259" s="2" t="str">
        <x:v>L003255</x:v>
      </x:c>
      <x:c r="B3259" s="2" t="str">
        <x:v>O01328</x:v>
      </x:c>
      <x:c r="C3259" s="7" t="n">
        <x:v>45872</x:v>
      </x:c>
      <x:c r="D3259" s="2" t="str">
        <x:v>Completed</x:v>
      </x:c>
      <x:c r="E3259" s="2" t="str">
        <x:v>North</x:v>
      </x:c>
      <x:c r="F3259" s="2" t="str">
        <x:v>Store</x:v>
      </x:c>
      <x:c r="G3259" s="2" t="str">
        <x:v>Lighting</x:v>
      </x:c>
      <x:c r="H3259" s="2" t="str">
        <x:v>Lamp 001</x:v>
      </x:c>
      <x:c r="I3259" s="11" t="n">
        <x:v>2</x:v>
      </x:c>
      <x:c r="J3259" s="9" t="n">
        <x:v>122</x:v>
      </x:c>
      <x:c r="K3259" s="10" t="n">
        <x:v>0.2</x:v>
      </x:c>
      <x:c r="L3259" s="11" t="n">
        <x:v>0</x:v>
      </x:c>
      <x:c r="M3259" s="9" t="n">
        <x:f>IF(D3259="Completed",I3259*J3259,0)</x:f>
        <x:v>244</x:v>
      </x:c>
      <x:c r="N3259" s="9" t="n">
        <x:f>M3259*K3259</x:f>
        <x:v>48.800000000000004</x:v>
      </x:c>
      <x:c r="O3259" s="9" t="n">
        <x:f>M3259-N3259</x:f>
        <x:v>195.2</x:v>
      </x:c>
      <x:c r="P3259" s="9" t="n">
        <x:f>IF(D3259="Completed",L3259*J3259*(1-K3259),0)</x:f>
        <x:v>0</x:v>
      </x:c>
      <x:c r="Q3259" s="9" t="n">
        <x:f>O3259-P3259</x:f>
        <x:v>195.2</x:v>
      </x:c>
      <x:c r="R3259" s="11" t="n">
        <x:f>IF(D3259="Completed",I3259,0)</x:f>
        <x:v>2</x:v>
      </x:c>
      <x:c r="S3259" s="11" t="n">
        <x:f>IF(D3259="Completed",L3259,0)</x:f>
        <x:v>0</x:v>
      </x:c>
      <x:c r="T3259" s="8" t="n">
        <x:f>DATE(YEAR(C3259),MONTH(C3259),1)</x:f>
        <x:v>45870</x:v>
      </x:c>
    </x:row>
    <x:row r="3260" ht="22" customHeight="1">
      <x:c r="A3260" s="2" t="str">
        <x:v>L003256</x:v>
      </x:c>
      <x:c r="B3260" s="2" t="str">
        <x:v>O01329</x:v>
      </x:c>
      <x:c r="C3260" s="7" t="n">
        <x:v>45703</x:v>
      </x:c>
      <x:c r="D3260" s="2" t="str">
        <x:v>Completed</x:v>
      </x:c>
      <x:c r="E3260" s="2" t="str">
        <x:v>West</x:v>
      </x:c>
      <x:c r="F3260" s="2" t="str">
        <x:v>Store</x:v>
      </x:c>
      <x:c r="G3260" s="2" t="str">
        <x:v>Furniture</x:v>
      </x:c>
      <x:c r="H3260" s="2" t="str">
        <x:v>Chair 014</x:v>
      </x:c>
      <x:c r="I3260" s="11" t="n">
        <x:v>1</x:v>
      </x:c>
      <x:c r="J3260" s="9" t="n">
        <x:v>294</x:v>
      </x:c>
      <x:c r="K3260" s="10" t="n">
        <x:v>0</x:v>
      </x:c>
      <x:c r="L3260" s="11" t="n">
        <x:v>0</x:v>
      </x:c>
      <x:c r="M3260" s="9" t="n">
        <x:f>IF(D3260="Completed",I3260*J3260,0)</x:f>
        <x:v>294</x:v>
      </x:c>
      <x:c r="N3260" s="9" t="n">
        <x:f>M3260*K3260</x:f>
        <x:v>0</x:v>
      </x:c>
      <x:c r="O3260" s="9" t="n">
        <x:f>M3260-N3260</x:f>
        <x:v>294</x:v>
      </x:c>
      <x:c r="P3260" s="9" t="n">
        <x:f>IF(D3260="Completed",L3260*J3260*(1-K3260),0)</x:f>
        <x:v>0</x:v>
      </x:c>
      <x:c r="Q3260" s="9" t="n">
        <x:f>O3260-P3260</x:f>
        <x:v>294</x:v>
      </x:c>
      <x:c r="R3260" s="11" t="n">
        <x:f>IF(D3260="Completed",I3260,0)</x:f>
        <x:v>1</x:v>
      </x:c>
      <x:c r="S3260" s="11" t="n">
        <x:f>IF(D3260="Completed",L3260,0)</x:f>
        <x:v>0</x:v>
      </x:c>
      <x:c r="T3260" s="8" t="n">
        <x:f>DATE(YEAR(C3260),MONTH(C3260),1)</x:f>
        <x:v>45689</x:v>
      </x:c>
    </x:row>
    <x:row r="3261" ht="22" customHeight="1">
      <x:c r="A3261" s="2" t="str">
        <x:v>L003257</x:v>
      </x:c>
      <x:c r="B3261" s="2" t="str">
        <x:v>O01329</x:v>
      </x:c>
      <x:c r="C3261" s="7" t="n">
        <x:v>45703</x:v>
      </x:c>
      <x:c r="D3261" s="2" t="str">
        <x:v>Completed</x:v>
      </x:c>
      <x:c r="E3261" s="2" t="str">
        <x:v>West</x:v>
      </x:c>
      <x:c r="F3261" s="2" t="str">
        <x:v>Store</x:v>
      </x:c>
      <x:c r="G3261" s="2" t="str">
        <x:v>Furniture</x:v>
      </x:c>
      <x:c r="H3261" s="2" t="str">
        <x:v>Chair 010</x:v>
      </x:c>
      <x:c r="I3261" s="11" t="n">
        <x:v>4</x:v>
      </x:c>
      <x:c r="J3261" s="9" t="n">
        <x:v>211</x:v>
      </x:c>
      <x:c r="K3261" s="10" t="n">
        <x:v>0.2</x:v>
      </x:c>
      <x:c r="L3261" s="11" t="n">
        <x:v>0</x:v>
      </x:c>
      <x:c r="M3261" s="9" t="n">
        <x:f>IF(D3261="Completed",I3261*J3261,0)</x:f>
        <x:v>844</x:v>
      </x:c>
      <x:c r="N3261" s="9" t="n">
        <x:f>M3261*K3261</x:f>
        <x:v>168.8</x:v>
      </x:c>
      <x:c r="O3261" s="9" t="n">
        <x:f>M3261-N3261</x:f>
        <x:v>675.2</x:v>
      </x:c>
      <x:c r="P3261" s="9" t="n">
        <x:f>IF(D3261="Completed",L3261*J3261*(1-K3261),0)</x:f>
        <x:v>0</x:v>
      </x:c>
      <x:c r="Q3261" s="9" t="n">
        <x:f>O3261-P3261</x:f>
        <x:v>675.2</x:v>
      </x:c>
      <x:c r="R3261" s="11" t="n">
        <x:f>IF(D3261="Completed",I3261,0)</x:f>
        <x:v>4</x:v>
      </x:c>
      <x:c r="S3261" s="11" t="n">
        <x:f>IF(D3261="Completed",L3261,0)</x:f>
        <x:v>0</x:v>
      </x:c>
      <x:c r="T3261" s="8" t="n">
        <x:f>DATE(YEAR(C3261),MONTH(C3261),1)</x:f>
        <x:v>45689</x:v>
      </x:c>
    </x:row>
    <x:row r="3262" ht="22" customHeight="1">
      <x:c r="A3262" s="2" t="str">
        <x:v>L003258</x:v>
      </x:c>
      <x:c r="B3262" s="2" t="str">
        <x:v>O01330</x:v>
      </x:c>
      <x:c r="C3262" s="7" t="n">
        <x:v>45701</x:v>
      </x:c>
      <x:c r="D3262" s="2" t="str">
        <x:v>Cancelled</x:v>
      </x:c>
      <x:c r="E3262" s="2" t="str">
        <x:v>East</x:v>
      </x:c>
      <x:c r="F3262" s="2" t="str">
        <x:v>Store</x:v>
      </x:c>
      <x:c r="G3262" s="2" t="str">
        <x:v>Furniture</x:v>
      </x:c>
      <x:c r="H3262" s="2" t="str">
        <x:v>Desk 012</x:v>
      </x:c>
      <x:c r="I3262" s="11" t="n">
        <x:v>4</x:v>
      </x:c>
      <x:c r="J3262" s="9" t="n">
        <x:v>134</x:v>
      </x:c>
      <x:c r="K3262" s="10" t="n">
        <x:v>0</x:v>
      </x:c>
      <x:c r="L3262" s="11" t="n">
        <x:v>0</x:v>
      </x:c>
      <x:c r="M3262" s="9" t="n">
        <x:f>IF(D3262="Completed",I3262*J3262,0)</x:f>
        <x:v>0</x:v>
      </x:c>
      <x:c r="N3262" s="9" t="n">
        <x:f>M3262*K3262</x:f>
        <x:v>0</x:v>
      </x:c>
      <x:c r="O3262" s="9" t="n">
        <x:f>M3262-N3262</x:f>
        <x:v>0</x:v>
      </x:c>
      <x:c r="P3262" s="9" t="n">
        <x:f>IF(D3262="Completed",L3262*J3262*(1-K3262),0)</x:f>
        <x:v>0</x:v>
      </x:c>
      <x:c r="Q3262" s="9" t="n">
        <x:f>O3262-P3262</x:f>
        <x:v>0</x:v>
      </x:c>
      <x:c r="R3262" s="11" t="n">
        <x:f>IF(D3262="Completed",I3262,0)</x:f>
        <x:v>0</x:v>
      </x:c>
      <x:c r="S3262" s="11" t="n">
        <x:f>IF(D3262="Completed",L3262,0)</x:f>
        <x:v>0</x:v>
      </x:c>
      <x:c r="T3262" s="8" t="n">
        <x:f>DATE(YEAR(C3262),MONTH(C3262),1)</x:f>
        <x:v>45689</x:v>
      </x:c>
    </x:row>
    <x:row r="3263" ht="22" customHeight="1">
      <x:c r="A3263" s="2" t="str">
        <x:v>L003259</x:v>
      </x:c>
      <x:c r="B3263" s="2" t="str">
        <x:v>O01330</x:v>
      </x:c>
      <x:c r="C3263" s="7" t="n">
        <x:v>45701</x:v>
      </x:c>
      <x:c r="D3263" s="2" t="str">
        <x:v>Cancelled</x:v>
      </x:c>
      <x:c r="E3263" s="2" t="str">
        <x:v>East</x:v>
      </x:c>
      <x:c r="F3263" s="2" t="str">
        <x:v>Store</x:v>
      </x:c>
      <x:c r="G3263" s="2" t="str">
        <x:v>Lighting</x:v>
      </x:c>
      <x:c r="H3263" s="2" t="str">
        <x:v>Lamp 001</x:v>
      </x:c>
      <x:c r="I3263" s="11" t="n">
        <x:v>5</x:v>
      </x:c>
      <x:c r="J3263" s="9" t="n">
        <x:v>122</x:v>
      </x:c>
      <x:c r="K3263" s="10" t="n">
        <x:v>0</x:v>
      </x:c>
      <x:c r="L3263" s="11" t="n">
        <x:v>0</x:v>
      </x:c>
      <x:c r="M3263" s="9" t="n">
        <x:f>IF(D3263="Completed",I3263*J3263,0)</x:f>
        <x:v>0</x:v>
      </x:c>
      <x:c r="N3263" s="9" t="n">
        <x:f>M3263*K3263</x:f>
        <x:v>0</x:v>
      </x:c>
      <x:c r="O3263" s="9" t="n">
        <x:f>M3263-N3263</x:f>
        <x:v>0</x:v>
      </x:c>
      <x:c r="P3263" s="9" t="n">
        <x:f>IF(D3263="Completed",L3263*J3263*(1-K3263),0)</x:f>
        <x:v>0</x:v>
      </x:c>
      <x:c r="Q3263" s="9" t="n">
        <x:f>O3263-P3263</x:f>
        <x:v>0</x:v>
      </x:c>
      <x:c r="R3263" s="11" t="n">
        <x:f>IF(D3263="Completed",I3263,0)</x:f>
        <x:v>0</x:v>
      </x:c>
      <x:c r="S3263" s="11" t="n">
        <x:f>IF(D3263="Completed",L3263,0)</x:f>
        <x:v>0</x:v>
      </x:c>
      <x:c r="T3263" s="8" t="n">
        <x:f>DATE(YEAR(C3263),MONTH(C3263),1)</x:f>
        <x:v>45689</x:v>
      </x:c>
    </x:row>
    <x:row r="3264" ht="22" customHeight="1">
      <x:c r="A3264" s="2" t="str">
        <x:v>L003260</x:v>
      </x:c>
      <x:c r="B3264" s="2" t="str">
        <x:v>O01330</x:v>
      </x:c>
      <x:c r="C3264" s="7" t="n">
        <x:v>45701</x:v>
      </x:c>
      <x:c r="D3264" s="2" t="str">
        <x:v>Cancelled</x:v>
      </x:c>
      <x:c r="E3264" s="2" t="str">
        <x:v>East</x:v>
      </x:c>
      <x:c r="F3264" s="2" t="str">
        <x:v>Store</x:v>
      </x:c>
      <x:c r="G3264" s="2" t="str">
        <x:v>Furniture</x:v>
      </x:c>
      <x:c r="H3264" s="2" t="str">
        <x:v>Chair 018</x:v>
      </x:c>
      <x:c r="I3264" s="11" t="n">
        <x:v>2</x:v>
      </x:c>
      <x:c r="J3264" s="9" t="n">
        <x:v>269</x:v>
      </x:c>
      <x:c r="K3264" s="10" t="n">
        <x:v>0.1</x:v>
      </x:c>
      <x:c r="L3264" s="11" t="n">
        <x:v>0</x:v>
      </x:c>
      <x:c r="M3264" s="9" t="n">
        <x:f>IF(D3264="Completed",I3264*J3264,0)</x:f>
        <x:v>0</x:v>
      </x:c>
      <x:c r="N3264" s="9" t="n">
        <x:f>M3264*K3264</x:f>
        <x:v>0</x:v>
      </x:c>
      <x:c r="O3264" s="9" t="n">
        <x:f>M3264-N3264</x:f>
        <x:v>0</x:v>
      </x:c>
      <x:c r="P3264" s="9" t="n">
        <x:f>IF(D3264="Completed",L3264*J3264*(1-K3264),0)</x:f>
        <x:v>0</x:v>
      </x:c>
      <x:c r="Q3264" s="9" t="n">
        <x:f>O3264-P3264</x:f>
        <x:v>0</x:v>
      </x:c>
      <x:c r="R3264" s="11" t="n">
        <x:f>IF(D3264="Completed",I3264,0)</x:f>
        <x:v>0</x:v>
      </x:c>
      <x:c r="S3264" s="11" t="n">
        <x:f>IF(D3264="Completed",L3264,0)</x:f>
        <x:v>0</x:v>
      </x:c>
      <x:c r="T3264" s="8" t="n">
        <x:f>DATE(YEAR(C3264),MONTH(C3264),1)</x:f>
        <x:v>45689</x:v>
      </x:c>
    </x:row>
    <x:row r="3265" ht="22" customHeight="1">
      <x:c r="A3265" s="2" t="str">
        <x:v>L003261</x:v>
      </x:c>
      <x:c r="B3265" s="2" t="str">
        <x:v>O01331</x:v>
      </x:c>
      <x:c r="C3265" s="7" t="n">
        <x:v>45882</x:v>
      </x:c>
      <x:c r="D3265" s="2" t="str">
        <x:v>Completed</x:v>
      </x:c>
      <x:c r="E3265" s="2" t="str">
        <x:v>South</x:v>
      </x:c>
      <x:c r="F3265" s="2" t="str">
        <x:v>Online</x:v>
      </x:c>
      <x:c r="G3265" s="2" t="str">
        <x:v>Lighting</x:v>
      </x:c>
      <x:c r="H3265" s="2" t="str">
        <x:v>Lamp 013</x:v>
      </x:c>
      <x:c r="I3265" s="11" t="n">
        <x:v>5</x:v>
      </x:c>
      <x:c r="J3265" s="9" t="n">
        <x:v>271</x:v>
      </x:c>
      <x:c r="K3265" s="10" t="n">
        <x:v>0.2</x:v>
      </x:c>
      <x:c r="L3265" s="11" t="n">
        <x:v>0</x:v>
      </x:c>
      <x:c r="M3265" s="9" t="n">
        <x:f>IF(D3265="Completed",I3265*J3265,0)</x:f>
        <x:v>1355</x:v>
      </x:c>
      <x:c r="N3265" s="9" t="n">
        <x:f>M3265*K3265</x:f>
        <x:v>271</x:v>
      </x:c>
      <x:c r="O3265" s="9" t="n">
        <x:f>M3265-N3265</x:f>
        <x:v>1084</x:v>
      </x:c>
      <x:c r="P3265" s="9" t="n">
        <x:f>IF(D3265="Completed",L3265*J3265*(1-K3265),0)</x:f>
        <x:v>0</x:v>
      </x:c>
      <x:c r="Q3265" s="9" t="n">
        <x:f>O3265-P3265</x:f>
        <x:v>1084</x:v>
      </x:c>
      <x:c r="R3265" s="11" t="n">
        <x:f>IF(D3265="Completed",I3265,0)</x:f>
        <x:v>5</x:v>
      </x:c>
      <x:c r="S3265" s="11" t="n">
        <x:f>IF(D3265="Completed",L3265,0)</x:f>
        <x:v>0</x:v>
      </x:c>
      <x:c r="T3265" s="8" t="n">
        <x:f>DATE(YEAR(C3265),MONTH(C3265),1)</x:f>
        <x:v>45870</x:v>
      </x:c>
    </x:row>
    <x:row r="3266" ht="22" customHeight="1">
      <x:c r="A3266" s="2" t="str">
        <x:v>L003262</x:v>
      </x:c>
      <x:c r="B3266" s="2" t="str">
        <x:v>O01332</x:v>
      </x:c>
      <x:c r="C3266" s="7" t="n">
        <x:v>45902</x:v>
      </x:c>
      <x:c r="D3266" s="2" t="str">
        <x:v>Completed</x:v>
      </x:c>
      <x:c r="E3266" s="2" t="str">
        <x:v>East</x:v>
      </x:c>
      <x:c r="F3266" s="2" t="str">
        <x:v>Online</x:v>
      </x:c>
      <x:c r="G3266" s="2" t="str">
        <x:v>Furniture</x:v>
      </x:c>
      <x:c r="H3266" s="2" t="str">
        <x:v>Chair 022</x:v>
      </x:c>
      <x:c r="I3266" s="11" t="n">
        <x:v>5</x:v>
      </x:c>
      <x:c r="J3266" s="9" t="n">
        <x:v>134</x:v>
      </x:c>
      <x:c r="K3266" s="10" t="n">
        <x:v>0.05</x:v>
      </x:c>
      <x:c r="L3266" s="11" t="n">
        <x:v>0</x:v>
      </x:c>
      <x:c r="M3266" s="9" t="n">
        <x:f>IF(D3266="Completed",I3266*J3266,0)</x:f>
        <x:v>670</x:v>
      </x:c>
      <x:c r="N3266" s="9" t="n">
        <x:f>M3266*K3266</x:f>
        <x:v>33.5</x:v>
      </x:c>
      <x:c r="O3266" s="9" t="n">
        <x:f>M3266-N3266</x:f>
        <x:v>636.5</x:v>
      </x:c>
      <x:c r="P3266" s="9" t="n">
        <x:f>IF(D3266="Completed",L3266*J3266*(1-K3266),0)</x:f>
        <x:v>0</x:v>
      </x:c>
      <x:c r="Q3266" s="9" t="n">
        <x:f>O3266-P3266</x:f>
        <x:v>636.5</x:v>
      </x:c>
      <x:c r="R3266" s="11" t="n">
        <x:f>IF(D3266="Completed",I3266,0)</x:f>
        <x:v>5</x:v>
      </x:c>
      <x:c r="S3266" s="11" t="n">
        <x:f>IF(D3266="Completed",L3266,0)</x:f>
        <x:v>0</x:v>
      </x:c>
      <x:c r="T3266" s="8" t="n">
        <x:f>DATE(YEAR(C3266),MONTH(C3266),1)</x:f>
        <x:v>45901</x:v>
      </x:c>
    </x:row>
    <x:row r="3267" ht="22" customHeight="1">
      <x:c r="A3267" s="2" t="str">
        <x:v>L003263</x:v>
      </x:c>
      <x:c r="B3267" s="2" t="str">
        <x:v>O01333</x:v>
      </x:c>
      <x:c r="C3267" s="7" t="n">
        <x:v>45854</x:v>
      </x:c>
      <x:c r="D3267" s="2" t="str">
        <x:v>Completed</x:v>
      </x:c>
      <x:c r="E3267" s="2" t="str">
        <x:v>West</x:v>
      </x:c>
      <x:c r="F3267" s="2" t="str">
        <x:v>Store</x:v>
      </x:c>
      <x:c r="G3267" s="2" t="str">
        <x:v>Lighting</x:v>
      </x:c>
      <x:c r="H3267" s="2" t="str">
        <x:v>Lamp 013</x:v>
      </x:c>
      <x:c r="I3267" s="11" t="n">
        <x:v>5</x:v>
      </x:c>
      <x:c r="J3267" s="9" t="n">
        <x:v>271</x:v>
      </x:c>
      <x:c r="K3267" s="10" t="n">
        <x:v>0.2</x:v>
      </x:c>
      <x:c r="L3267" s="11" t="n">
        <x:v>0</x:v>
      </x:c>
      <x:c r="M3267" s="9" t="n">
        <x:f>IF(D3267="Completed",I3267*J3267,0)</x:f>
        <x:v>1355</x:v>
      </x:c>
      <x:c r="N3267" s="9" t="n">
        <x:f>M3267*K3267</x:f>
        <x:v>271</x:v>
      </x:c>
      <x:c r="O3267" s="9" t="n">
        <x:f>M3267-N3267</x:f>
        <x:v>1084</x:v>
      </x:c>
      <x:c r="P3267" s="9" t="n">
        <x:f>IF(D3267="Completed",L3267*J3267*(1-K3267),0)</x:f>
        <x:v>0</x:v>
      </x:c>
      <x:c r="Q3267" s="9" t="n">
        <x:f>O3267-P3267</x:f>
        <x:v>1084</x:v>
      </x:c>
      <x:c r="R3267" s="11" t="n">
        <x:f>IF(D3267="Completed",I3267,0)</x:f>
        <x:v>5</x:v>
      </x:c>
      <x:c r="S3267" s="11" t="n">
        <x:f>IF(D3267="Completed",L3267,0)</x:f>
        <x:v>0</x:v>
      </x:c>
      <x:c r="T3267" s="8" t="n">
        <x:f>DATE(YEAR(C3267),MONTH(C3267),1)</x:f>
        <x:v>45839</x:v>
      </x:c>
    </x:row>
    <x:row r="3268" ht="22" customHeight="1">
      <x:c r="A3268" s="2" t="str">
        <x:v>L003264</x:v>
      </x:c>
      <x:c r="B3268" s="2" t="str">
        <x:v>O01333</x:v>
      </x:c>
      <x:c r="C3268" s="7" t="n">
        <x:v>45854</x:v>
      </x:c>
      <x:c r="D3268" s="2" t="str">
        <x:v>Completed</x:v>
      </x:c>
      <x:c r="E3268" s="2" t="str">
        <x:v>West</x:v>
      </x:c>
      <x:c r="F3268" s="2" t="str">
        <x:v>Store</x:v>
      </x:c>
      <x:c r="G3268" s="2" t="str">
        <x:v>Furniture</x:v>
      </x:c>
      <x:c r="H3268" s="2" t="str">
        <x:v>Desk 020</x:v>
      </x:c>
      <x:c r="I3268" s="11" t="n">
        <x:v>3</x:v>
      </x:c>
      <x:c r="J3268" s="9" t="n">
        <x:v>189</x:v>
      </x:c>
      <x:c r="K3268" s="10" t="n">
        <x:v>0</x:v>
      </x:c>
      <x:c r="L3268" s="11" t="n">
        <x:v>0</x:v>
      </x:c>
      <x:c r="M3268" s="9" t="n">
        <x:f>IF(D3268="Completed",I3268*J3268,0)</x:f>
        <x:v>567</x:v>
      </x:c>
      <x:c r="N3268" s="9" t="n">
        <x:f>M3268*K3268</x:f>
        <x:v>0</x:v>
      </x:c>
      <x:c r="O3268" s="9" t="n">
        <x:f>M3268-N3268</x:f>
        <x:v>567</x:v>
      </x:c>
      <x:c r="P3268" s="9" t="n">
        <x:f>IF(D3268="Completed",L3268*J3268*(1-K3268),0)</x:f>
        <x:v>0</x:v>
      </x:c>
      <x:c r="Q3268" s="9" t="n">
        <x:f>O3268-P3268</x:f>
        <x:v>567</x:v>
      </x:c>
      <x:c r="R3268" s="11" t="n">
        <x:f>IF(D3268="Completed",I3268,0)</x:f>
        <x:v>3</x:v>
      </x:c>
      <x:c r="S3268" s="11" t="n">
        <x:f>IF(D3268="Completed",L3268,0)</x:f>
        <x:v>0</x:v>
      </x:c>
      <x:c r="T3268" s="8" t="n">
        <x:f>DATE(YEAR(C3268),MONTH(C3268),1)</x:f>
        <x:v>45839</x:v>
      </x:c>
    </x:row>
    <x:row r="3269" ht="22" customHeight="1">
      <x:c r="A3269" s="2" t="str">
        <x:v>L003265</x:v>
      </x:c>
      <x:c r="B3269" s="2" t="str">
        <x:v>O01334</x:v>
      </x:c>
      <x:c r="C3269" s="7" t="n">
        <x:v>45885</x:v>
      </x:c>
      <x:c r="D3269" s="2" t="str">
        <x:v>Completed</x:v>
      </x:c>
      <x:c r="E3269" s="2" t="str">
        <x:v>West</x:v>
      </x:c>
      <x:c r="F3269" s="2" t="str">
        <x:v>Store</x:v>
      </x:c>
      <x:c r="G3269" s="2" t="str">
        <x:v>Furniture</x:v>
      </x:c>
      <x:c r="H3269" s="2" t="str">
        <x:v>Desk 004</x:v>
      </x:c>
      <x:c r="I3269" s="11" t="n">
        <x:v>3</x:v>
      </x:c>
      <x:c r="J3269" s="9" t="n">
        <x:v>123</x:v>
      </x:c>
      <x:c r="K3269" s="10" t="n">
        <x:v>0.1</x:v>
      </x:c>
      <x:c r="L3269" s="11" t="n">
        <x:v>0</x:v>
      </x:c>
      <x:c r="M3269" s="9" t="n">
        <x:f>IF(D3269="Completed",I3269*J3269,0)</x:f>
        <x:v>369</x:v>
      </x:c>
      <x:c r="N3269" s="9" t="n">
        <x:f>M3269*K3269</x:f>
        <x:v>36.9</x:v>
      </x:c>
      <x:c r="O3269" s="9" t="n">
        <x:f>M3269-N3269</x:f>
        <x:v>332.1</x:v>
      </x:c>
      <x:c r="P3269" s="9" t="n">
        <x:f>IF(D3269="Completed",L3269*J3269*(1-K3269),0)</x:f>
        <x:v>0</x:v>
      </x:c>
      <x:c r="Q3269" s="9" t="n">
        <x:f>O3269-P3269</x:f>
        <x:v>332.1</x:v>
      </x:c>
      <x:c r="R3269" s="11" t="n">
        <x:f>IF(D3269="Completed",I3269,0)</x:f>
        <x:v>3</x:v>
      </x:c>
      <x:c r="S3269" s="11" t="n">
        <x:f>IF(D3269="Completed",L3269,0)</x:f>
        <x:v>0</x:v>
      </x:c>
      <x:c r="T3269" s="8" t="n">
        <x:f>DATE(YEAR(C3269),MONTH(C3269),1)</x:f>
        <x:v>45870</x:v>
      </x:c>
    </x:row>
    <x:row r="3270" ht="22" customHeight="1">
      <x:c r="A3270" s="2" t="str">
        <x:v>L003266</x:v>
      </x:c>
      <x:c r="B3270" s="2" t="str">
        <x:v>O01335</x:v>
      </x:c>
      <x:c r="C3270" s="7" t="n">
        <x:v>45696</x:v>
      </x:c>
      <x:c r="D3270" s="2" t="str">
        <x:v>Completed</x:v>
      </x:c>
      <x:c r="E3270" s="2" t="str">
        <x:v>West</x:v>
      </x:c>
      <x:c r="F3270" s="2" t="str">
        <x:v>Online</x:v>
      </x:c>
      <x:c r="G3270" s="2" t="str">
        <x:v>Lighting</x:v>
      </x:c>
      <x:c r="H3270" s="2" t="str">
        <x:v>Lamp 021</x:v>
      </x:c>
      <x:c r="I3270" s="11" t="n">
        <x:v>1</x:v>
      </x:c>
      <x:c r="J3270" s="9" t="n">
        <x:v>249</x:v>
      </x:c>
      <x:c r="K3270" s="10" t="n">
        <x:v>0.1</x:v>
      </x:c>
      <x:c r="L3270" s="11" t="n">
        <x:v>0</x:v>
      </x:c>
      <x:c r="M3270" s="9" t="n">
        <x:f>IF(D3270="Completed",I3270*J3270,0)</x:f>
        <x:v>249</x:v>
      </x:c>
      <x:c r="N3270" s="9" t="n">
        <x:f>M3270*K3270</x:f>
        <x:v>24.900000000000002</x:v>
      </x:c>
      <x:c r="O3270" s="9" t="n">
        <x:f>M3270-N3270</x:f>
        <x:v>224.1</x:v>
      </x:c>
      <x:c r="P3270" s="9" t="n">
        <x:f>IF(D3270="Completed",L3270*J3270*(1-K3270),0)</x:f>
        <x:v>0</x:v>
      </x:c>
      <x:c r="Q3270" s="9" t="n">
        <x:f>O3270-P3270</x:f>
        <x:v>224.1</x:v>
      </x:c>
      <x:c r="R3270" s="11" t="n">
        <x:f>IF(D3270="Completed",I3270,0)</x:f>
        <x:v>1</x:v>
      </x:c>
      <x:c r="S3270" s="11" t="n">
        <x:f>IF(D3270="Completed",L3270,0)</x:f>
        <x:v>0</x:v>
      </x:c>
      <x:c r="T3270" s="8" t="n">
        <x:f>DATE(YEAR(C3270),MONTH(C3270),1)</x:f>
        <x:v>45689</x:v>
      </x:c>
    </x:row>
    <x:row r="3271" ht="22" customHeight="1">
      <x:c r="A3271" s="2" t="str">
        <x:v>L003267</x:v>
      </x:c>
      <x:c r="B3271" s="2" t="str">
        <x:v>O01336</x:v>
      </x:c>
      <x:c r="C3271" s="7" t="n">
        <x:v>45912</x:v>
      </x:c>
      <x:c r="D3271" s="2" t="str">
        <x:v>Completed</x:v>
      </x:c>
      <x:c r="E3271" s="2" t="str">
        <x:v>South</x:v>
      </x:c>
      <x:c r="F3271" s="2" t="str">
        <x:v>Online</x:v>
      </x:c>
      <x:c r="G3271" s="2" t="str">
        <x:v>Storage</x:v>
      </x:c>
      <x:c r="H3271" s="2" t="str">
        <x:v>Shelf 011</x:v>
      </x:c>
      <x:c r="I3271" s="11" t="n">
        <x:v>3</x:v>
      </x:c>
      <x:c r="J3271" s="9" t="n">
        <x:v>80</x:v>
      </x:c>
      <x:c r="K3271" s="10" t="n">
        <x:v>0.05</x:v>
      </x:c>
      <x:c r="L3271" s="11" t="n">
        <x:v>0</x:v>
      </x:c>
      <x:c r="M3271" s="9" t="n">
        <x:f>IF(D3271="Completed",I3271*J3271,0)</x:f>
        <x:v>240</x:v>
      </x:c>
      <x:c r="N3271" s="9" t="n">
        <x:f>M3271*K3271</x:f>
        <x:v>12</x:v>
      </x:c>
      <x:c r="O3271" s="9" t="n">
        <x:f>M3271-N3271</x:f>
        <x:v>228</x:v>
      </x:c>
      <x:c r="P3271" s="9" t="n">
        <x:f>IF(D3271="Completed",L3271*J3271*(1-K3271),0)</x:f>
        <x:v>0</x:v>
      </x:c>
      <x:c r="Q3271" s="9" t="n">
        <x:f>O3271-P3271</x:f>
        <x:v>228</x:v>
      </x:c>
      <x:c r="R3271" s="11" t="n">
        <x:f>IF(D3271="Completed",I3271,0)</x:f>
        <x:v>3</x:v>
      </x:c>
      <x:c r="S3271" s="11" t="n">
        <x:f>IF(D3271="Completed",L3271,0)</x:f>
        <x:v>0</x:v>
      </x:c>
      <x:c r="T3271" s="8" t="n">
        <x:f>DATE(YEAR(C3271),MONTH(C3271),1)</x:f>
        <x:v>45901</x:v>
      </x:c>
    </x:row>
    <x:row r="3272" ht="22" customHeight="1">
      <x:c r="A3272" s="2" t="str">
        <x:v>L003268</x:v>
      </x:c>
      <x:c r="B3272" s="2" t="str">
        <x:v>O01337</x:v>
      </x:c>
      <x:c r="C3272" s="7" t="n">
        <x:v>45888</x:v>
      </x:c>
      <x:c r="D3272" s="2" t="str">
        <x:v>Completed</x:v>
      </x:c>
      <x:c r="E3272" s="2" t="str">
        <x:v>North</x:v>
      </x:c>
      <x:c r="F3272" s="2" t="str">
        <x:v>Store</x:v>
      </x:c>
      <x:c r="G3272" s="2" t="str">
        <x:v>Lighting</x:v>
      </x:c>
      <x:c r="H3272" s="2" t="str">
        <x:v>Lamp 017</x:v>
      </x:c>
      <x:c r="I3272" s="11" t="n">
        <x:v>2</x:v>
      </x:c>
      <x:c r="J3272" s="9" t="n">
        <x:v>300</x:v>
      </x:c>
      <x:c r="K3272" s="10" t="n">
        <x:v>0</x:v>
      </x:c>
      <x:c r="L3272" s="11" t="n">
        <x:v>0</x:v>
      </x:c>
      <x:c r="M3272" s="9" t="n">
        <x:f>IF(D3272="Completed",I3272*J3272,0)</x:f>
        <x:v>600</x:v>
      </x:c>
      <x:c r="N3272" s="9" t="n">
        <x:f>M3272*K3272</x:f>
        <x:v>0</x:v>
      </x:c>
      <x:c r="O3272" s="9" t="n">
        <x:f>M3272-N3272</x:f>
        <x:v>600</x:v>
      </x:c>
      <x:c r="P3272" s="9" t="n">
        <x:f>IF(D3272="Completed",L3272*J3272*(1-K3272),0)</x:f>
        <x:v>0</x:v>
      </x:c>
      <x:c r="Q3272" s="9" t="n">
        <x:f>O3272-P3272</x:f>
        <x:v>600</x:v>
      </x:c>
      <x:c r="R3272" s="11" t="n">
        <x:f>IF(D3272="Completed",I3272,0)</x:f>
        <x:v>2</x:v>
      </x:c>
      <x:c r="S3272" s="11" t="n">
        <x:f>IF(D3272="Completed",L3272,0)</x:f>
        <x:v>0</x:v>
      </x:c>
      <x:c r="T3272" s="8" t="n">
        <x:f>DATE(YEAR(C3272),MONTH(C3272),1)</x:f>
        <x:v>45870</x:v>
      </x:c>
    </x:row>
    <x:row r="3273" ht="22" customHeight="1">
      <x:c r="A3273" s="2" t="str">
        <x:v>L003269</x:v>
      </x:c>
      <x:c r="B3273" s="2" t="str">
        <x:v>O01338</x:v>
      </x:c>
      <x:c r="C3273" s="7" t="n">
        <x:v>45677</x:v>
      </x:c>
      <x:c r="D3273" s="2" t="str">
        <x:v>Cancelled</x:v>
      </x:c>
      <x:c r="E3273" s="2" t="str">
        <x:v>East</x:v>
      </x:c>
      <x:c r="F3273" s="2" t="str">
        <x:v>Store</x:v>
      </x:c>
      <x:c r="G3273" s="2" t="str">
        <x:v>Furniture</x:v>
      </x:c>
      <x:c r="H3273" s="2" t="str">
        <x:v>Desk 020</x:v>
      </x:c>
      <x:c r="I3273" s="11" t="n">
        <x:v>5</x:v>
      </x:c>
      <x:c r="J3273" s="9" t="n">
        <x:v>189</x:v>
      </x:c>
      <x:c r="K3273" s="10" t="n">
        <x:v>0.05</x:v>
      </x:c>
      <x:c r="L3273" s="11" t="n">
        <x:v>0</x:v>
      </x:c>
      <x:c r="M3273" s="9" t="n">
        <x:f>IF(D3273="Completed",I3273*J3273,0)</x:f>
        <x:v>0</x:v>
      </x:c>
      <x:c r="N3273" s="9" t="n">
        <x:f>M3273*K3273</x:f>
        <x:v>0</x:v>
      </x:c>
      <x:c r="O3273" s="9" t="n">
        <x:f>M3273-N3273</x:f>
        <x:v>0</x:v>
      </x:c>
      <x:c r="P3273" s="9" t="n">
        <x:f>IF(D3273="Completed",L3273*J3273*(1-K3273),0)</x:f>
        <x:v>0</x:v>
      </x:c>
      <x:c r="Q3273" s="9" t="n">
        <x:f>O3273-P3273</x:f>
        <x:v>0</x:v>
      </x:c>
      <x:c r="R3273" s="11" t="n">
        <x:f>IF(D3273="Completed",I3273,0)</x:f>
        <x:v>0</x:v>
      </x:c>
      <x:c r="S3273" s="11" t="n">
        <x:f>IF(D3273="Completed",L3273,0)</x:f>
        <x:v>0</x:v>
      </x:c>
      <x:c r="T3273" s="8" t="n">
        <x:f>DATE(YEAR(C3273),MONTH(C3273),1)</x:f>
        <x:v>45658</x:v>
      </x:c>
    </x:row>
    <x:row r="3274" ht="22" customHeight="1">
      <x:c r="A3274" s="2" t="str">
        <x:v>L003270</x:v>
      </x:c>
      <x:c r="B3274" s="2" t="str">
        <x:v>O01338</x:v>
      </x:c>
      <x:c r="C3274" s="7" t="n">
        <x:v>45677</x:v>
      </x:c>
      <x:c r="D3274" s="2" t="str">
        <x:v>Cancelled</x:v>
      </x:c>
      <x:c r="E3274" s="2" t="str">
        <x:v>East</x:v>
      </x:c>
      <x:c r="F3274" s="2" t="str">
        <x:v>Store</x:v>
      </x:c>
      <x:c r="G3274" s="2" t="str">
        <x:v>Furniture</x:v>
      </x:c>
      <x:c r="H3274" s="2" t="str">
        <x:v>Chair 018</x:v>
      </x:c>
      <x:c r="I3274" s="11" t="n">
        <x:v>4</x:v>
      </x:c>
      <x:c r="J3274" s="9" t="n">
        <x:v>269</x:v>
      </x:c>
      <x:c r="K3274" s="10" t="n">
        <x:v>0.05</x:v>
      </x:c>
      <x:c r="L3274" s="11" t="n">
        <x:v>0</x:v>
      </x:c>
      <x:c r="M3274" s="9" t="n">
        <x:f>IF(D3274="Completed",I3274*J3274,0)</x:f>
        <x:v>0</x:v>
      </x:c>
      <x:c r="N3274" s="9" t="n">
        <x:f>M3274*K3274</x:f>
        <x:v>0</x:v>
      </x:c>
      <x:c r="O3274" s="9" t="n">
        <x:f>M3274-N3274</x:f>
        <x:v>0</x:v>
      </x:c>
      <x:c r="P3274" s="9" t="n">
        <x:f>IF(D3274="Completed",L3274*J3274*(1-K3274),0)</x:f>
        <x:v>0</x:v>
      </x:c>
      <x:c r="Q3274" s="9" t="n">
        <x:f>O3274-P3274</x:f>
        <x:v>0</x:v>
      </x:c>
      <x:c r="R3274" s="11" t="n">
        <x:f>IF(D3274="Completed",I3274,0)</x:f>
        <x:v>0</x:v>
      </x:c>
      <x:c r="S3274" s="11" t="n">
        <x:f>IF(D3274="Completed",L3274,0)</x:f>
        <x:v>0</x:v>
      </x:c>
      <x:c r="T3274" s="8" t="n">
        <x:f>DATE(YEAR(C3274),MONTH(C3274),1)</x:f>
        <x:v>45658</x:v>
      </x:c>
    </x:row>
    <x:row r="3275" ht="22" customHeight="1">
      <x:c r="A3275" s="2" t="str">
        <x:v>L003271</x:v>
      </x:c>
      <x:c r="B3275" s="2" t="str">
        <x:v>O01339</x:v>
      </x:c>
      <x:c r="C3275" s="7" t="n">
        <x:v>45932</x:v>
      </x:c>
      <x:c r="D3275" s="2" t="str">
        <x:v>Completed</x:v>
      </x:c>
      <x:c r="E3275" s="2" t="str">
        <x:v>West</x:v>
      </x:c>
      <x:c r="F3275" s="2" t="str">
        <x:v>Online</x:v>
      </x:c>
      <x:c r="G3275" s="2" t="str">
        <x:v>Storage</x:v>
      </x:c>
      <x:c r="H3275" s="2" t="str">
        <x:v>Shelf 003</x:v>
      </x:c>
      <x:c r="I3275" s="11" t="n">
        <x:v>2</x:v>
      </x:c>
      <x:c r="J3275" s="9" t="n">
        <x:v>199</x:v>
      </x:c>
      <x:c r="K3275" s="10" t="n">
        <x:v>0.05</x:v>
      </x:c>
      <x:c r="L3275" s="11" t="n">
        <x:v>0</x:v>
      </x:c>
      <x:c r="M3275" s="9" t="n">
        <x:f>IF(D3275="Completed",I3275*J3275,0)</x:f>
        <x:v>398</x:v>
      </x:c>
      <x:c r="N3275" s="9" t="n">
        <x:f>M3275*K3275</x:f>
        <x:v>19.900000000000002</x:v>
      </x:c>
      <x:c r="O3275" s="9" t="n">
        <x:f>M3275-N3275</x:f>
        <x:v>378.1</x:v>
      </x:c>
      <x:c r="P3275" s="9" t="n">
        <x:f>IF(D3275="Completed",L3275*J3275*(1-K3275),0)</x:f>
        <x:v>0</x:v>
      </x:c>
      <x:c r="Q3275" s="9" t="n">
        <x:f>O3275-P3275</x:f>
        <x:v>378.1</x:v>
      </x:c>
      <x:c r="R3275" s="11" t="n">
        <x:f>IF(D3275="Completed",I3275,0)</x:f>
        <x:v>2</x:v>
      </x:c>
      <x:c r="S3275" s="11" t="n">
        <x:f>IF(D3275="Completed",L3275,0)</x:f>
        <x:v>0</x:v>
      </x:c>
      <x:c r="T3275" s="8" t="n">
        <x:f>DATE(YEAR(C3275),MONTH(C3275),1)</x:f>
        <x:v>45931</x:v>
      </x:c>
    </x:row>
    <x:row r="3276" ht="22" customHeight="1">
      <x:c r="A3276" s="2" t="str">
        <x:v>L003272</x:v>
      </x:c>
      <x:c r="B3276" s="2" t="str">
        <x:v>O01339</x:v>
      </x:c>
      <x:c r="C3276" s="7" t="n">
        <x:v>45932</x:v>
      </x:c>
      <x:c r="D3276" s="2" t="str">
        <x:v>Completed</x:v>
      </x:c>
      <x:c r="E3276" s="2" t="str">
        <x:v>West</x:v>
      </x:c>
      <x:c r="F3276" s="2" t="str">
        <x:v>Online</x:v>
      </x:c>
      <x:c r="G3276" s="2" t="str">
        <x:v>Furniture</x:v>
      </x:c>
      <x:c r="H3276" s="2" t="str">
        <x:v>Chair 006</x:v>
      </x:c>
      <x:c r="I3276" s="11" t="n">
        <x:v>4</x:v>
      </x:c>
      <x:c r="J3276" s="9" t="n">
        <x:v>196</x:v>
      </x:c>
      <x:c r="K3276" s="10" t="n">
        <x:v>0.05</x:v>
      </x:c>
      <x:c r="L3276" s="11" t="n">
        <x:v>0</x:v>
      </x:c>
      <x:c r="M3276" s="9" t="n">
        <x:f>IF(D3276="Completed",I3276*J3276,0)</x:f>
        <x:v>784</x:v>
      </x:c>
      <x:c r="N3276" s="9" t="n">
        <x:f>M3276*K3276</x:f>
        <x:v>39.2</x:v>
      </x:c>
      <x:c r="O3276" s="9" t="n">
        <x:f>M3276-N3276</x:f>
        <x:v>744.8</x:v>
      </x:c>
      <x:c r="P3276" s="9" t="n">
        <x:f>IF(D3276="Completed",L3276*J3276*(1-K3276),0)</x:f>
        <x:v>0</x:v>
      </x:c>
      <x:c r="Q3276" s="9" t="n">
        <x:f>O3276-P3276</x:f>
        <x:v>744.8</x:v>
      </x:c>
      <x:c r="R3276" s="11" t="n">
        <x:f>IF(D3276="Completed",I3276,0)</x:f>
        <x:v>4</x:v>
      </x:c>
      <x:c r="S3276" s="11" t="n">
        <x:f>IF(D3276="Completed",L3276,0)</x:f>
        <x:v>0</x:v>
      </x:c>
      <x:c r="T3276" s="8" t="n">
        <x:f>DATE(YEAR(C3276),MONTH(C3276),1)</x:f>
        <x:v>45931</x:v>
      </x:c>
    </x:row>
    <x:row r="3277" ht="22" customHeight="1">
      <x:c r="A3277" s="2" t="str">
        <x:v>L003273</x:v>
      </x:c>
      <x:c r="B3277" s="2" t="str">
        <x:v>O01340</x:v>
      </x:c>
      <x:c r="C3277" s="7" t="n">
        <x:v>45832</x:v>
      </x:c>
      <x:c r="D3277" s="2" t="str">
        <x:v>Completed</x:v>
      </x:c>
      <x:c r="E3277" s="2" t="str">
        <x:v>West</x:v>
      </x:c>
      <x:c r="F3277" s="2" t="str">
        <x:v>Store</x:v>
      </x:c>
      <x:c r="G3277" s="2" t="str">
        <x:v>Storage</x:v>
      </x:c>
      <x:c r="H3277" s="2" t="str">
        <x:v>Shelf 007</x:v>
      </x:c>
      <x:c r="I3277" s="11" t="n">
        <x:v>2</x:v>
      </x:c>
      <x:c r="J3277" s="9" t="n">
        <x:v>35</x:v>
      </x:c>
      <x:c r="K3277" s="10" t="n">
        <x:v>0.2</x:v>
      </x:c>
      <x:c r="L3277" s="11" t="n">
        <x:v>0</x:v>
      </x:c>
      <x:c r="M3277" s="9" t="n">
        <x:f>IF(D3277="Completed",I3277*J3277,0)</x:f>
        <x:v>70</x:v>
      </x:c>
      <x:c r="N3277" s="9" t="n">
        <x:f>M3277*K3277</x:f>
        <x:v>14</x:v>
      </x:c>
      <x:c r="O3277" s="9" t="n">
        <x:f>M3277-N3277</x:f>
        <x:v>56</x:v>
      </x:c>
      <x:c r="P3277" s="9" t="n">
        <x:f>IF(D3277="Completed",L3277*J3277*(1-K3277),0)</x:f>
        <x:v>0</x:v>
      </x:c>
      <x:c r="Q3277" s="9" t="n">
        <x:f>O3277-P3277</x:f>
        <x:v>56</x:v>
      </x:c>
      <x:c r="R3277" s="11" t="n">
        <x:f>IF(D3277="Completed",I3277,0)</x:f>
        <x:v>2</x:v>
      </x:c>
      <x:c r="S3277" s="11" t="n">
        <x:f>IF(D3277="Completed",L3277,0)</x:f>
        <x:v>0</x:v>
      </x:c>
      <x:c r="T3277" s="8" t="n">
        <x:f>DATE(YEAR(C3277),MONTH(C3277),1)</x:f>
        <x:v>45809</x:v>
      </x:c>
    </x:row>
    <x:row r="3278" ht="22" customHeight="1">
      <x:c r="A3278" s="2" t="str">
        <x:v>L003274</x:v>
      </x:c>
      <x:c r="B3278" s="2" t="str">
        <x:v>O01340</x:v>
      </x:c>
      <x:c r="C3278" s="7" t="n">
        <x:v>45832</x:v>
      </x:c>
      <x:c r="D3278" s="2" t="str">
        <x:v>Completed</x:v>
      </x:c>
      <x:c r="E3278" s="2" t="str">
        <x:v>West</x:v>
      </x:c>
      <x:c r="F3278" s="2" t="str">
        <x:v>Store</x:v>
      </x:c>
      <x:c r="G3278" s="2" t="str">
        <x:v>Furniture</x:v>
      </x:c>
      <x:c r="H3278" s="2" t="str">
        <x:v>Chair 010</x:v>
      </x:c>
      <x:c r="I3278" s="11" t="n">
        <x:v>4</x:v>
      </x:c>
      <x:c r="J3278" s="9" t="n">
        <x:v>211</x:v>
      </x:c>
      <x:c r="K3278" s="10" t="n">
        <x:v>0</x:v>
      </x:c>
      <x:c r="L3278" s="11" t="n">
        <x:v>0</x:v>
      </x:c>
      <x:c r="M3278" s="9" t="n">
        <x:f>IF(D3278="Completed",I3278*J3278,0)</x:f>
        <x:v>844</x:v>
      </x:c>
      <x:c r="N3278" s="9" t="n">
        <x:f>M3278*K3278</x:f>
        <x:v>0</x:v>
      </x:c>
      <x:c r="O3278" s="9" t="n">
        <x:f>M3278-N3278</x:f>
        <x:v>844</x:v>
      </x:c>
      <x:c r="P3278" s="9" t="n">
        <x:f>IF(D3278="Completed",L3278*J3278*(1-K3278),0)</x:f>
        <x:v>0</x:v>
      </x:c>
      <x:c r="Q3278" s="9" t="n">
        <x:f>O3278-P3278</x:f>
        <x:v>844</x:v>
      </x:c>
      <x:c r="R3278" s="11" t="n">
        <x:f>IF(D3278="Completed",I3278,0)</x:f>
        <x:v>4</x:v>
      </x:c>
      <x:c r="S3278" s="11" t="n">
        <x:f>IF(D3278="Completed",L3278,0)</x:f>
        <x:v>0</x:v>
      </x:c>
      <x:c r="T3278" s="8" t="n">
        <x:f>DATE(YEAR(C3278),MONTH(C3278),1)</x:f>
        <x:v>45809</x:v>
      </x:c>
    </x:row>
    <x:row r="3279" ht="22" customHeight="1">
      <x:c r="A3279" s="2" t="str">
        <x:v>L003275</x:v>
      </x:c>
      <x:c r="B3279" s="2" t="str">
        <x:v>O01340</x:v>
      </x:c>
      <x:c r="C3279" s="7" t="n">
        <x:v>45832</x:v>
      </x:c>
      <x:c r="D3279" s="2" t="str">
        <x:v>Completed</x:v>
      </x:c>
      <x:c r="E3279" s="2" t="str">
        <x:v>West</x:v>
      </x:c>
      <x:c r="F3279" s="2" t="str">
        <x:v>Store</x:v>
      </x:c>
      <x:c r="G3279" s="2" t="str">
        <x:v>Furniture</x:v>
      </x:c>
      <x:c r="H3279" s="2" t="str">
        <x:v>Chair 010</x:v>
      </x:c>
      <x:c r="I3279" s="11" t="n">
        <x:v>3</x:v>
      </x:c>
      <x:c r="J3279" s="9" t="n">
        <x:v>211</x:v>
      </x:c>
      <x:c r="K3279" s="10" t="n">
        <x:v>0.1</x:v>
      </x:c>
      <x:c r="L3279" s="11" t="n">
        <x:v>0</x:v>
      </x:c>
      <x:c r="M3279" s="9" t="n">
        <x:f>IF(D3279="Completed",I3279*J3279,0)</x:f>
        <x:v>633</x:v>
      </x:c>
      <x:c r="N3279" s="9" t="n">
        <x:f>M3279*K3279</x:f>
        <x:v>63.300000000000004</x:v>
      </x:c>
      <x:c r="O3279" s="9" t="n">
        <x:f>M3279-N3279</x:f>
        <x:v>569.7</x:v>
      </x:c>
      <x:c r="P3279" s="9" t="n">
        <x:f>IF(D3279="Completed",L3279*J3279*(1-K3279),0)</x:f>
        <x:v>0</x:v>
      </x:c>
      <x:c r="Q3279" s="9" t="n">
        <x:f>O3279-P3279</x:f>
        <x:v>569.7</x:v>
      </x:c>
      <x:c r="R3279" s="11" t="n">
        <x:f>IF(D3279="Completed",I3279,0)</x:f>
        <x:v>3</x:v>
      </x:c>
      <x:c r="S3279" s="11" t="n">
        <x:f>IF(D3279="Completed",L3279,0)</x:f>
        <x:v>0</x:v>
      </x:c>
      <x:c r="T3279" s="8" t="n">
        <x:f>DATE(YEAR(C3279),MONTH(C3279),1)</x:f>
        <x:v>45809</x:v>
      </x:c>
    </x:row>
    <x:row r="3280" ht="22" customHeight="1">
      <x:c r="A3280" s="2" t="str">
        <x:v>L003276</x:v>
      </x:c>
      <x:c r="B3280" s="2" t="str">
        <x:v>O01340</x:v>
      </x:c>
      <x:c r="C3280" s="7" t="n">
        <x:v>45832</x:v>
      </x:c>
      <x:c r="D3280" s="2" t="str">
        <x:v>Completed</x:v>
      </x:c>
      <x:c r="E3280" s="2" t="str">
        <x:v>West</x:v>
      </x:c>
      <x:c r="F3280" s="2" t="str">
        <x:v>Store</x:v>
      </x:c>
      <x:c r="G3280" s="2" t="str">
        <x:v>Furniture</x:v>
      </x:c>
      <x:c r="H3280" s="2" t="str">
        <x:v>Chair 014</x:v>
      </x:c>
      <x:c r="I3280" s="11" t="n">
        <x:v>3</x:v>
      </x:c>
      <x:c r="J3280" s="9" t="n">
        <x:v>294</x:v>
      </x:c>
      <x:c r="K3280" s="10" t="n">
        <x:v>0.05</x:v>
      </x:c>
      <x:c r="L3280" s="11" t="n">
        <x:v>0</x:v>
      </x:c>
      <x:c r="M3280" s="9" t="n">
        <x:f>IF(D3280="Completed",I3280*J3280,0)</x:f>
        <x:v>882</x:v>
      </x:c>
      <x:c r="N3280" s="9" t="n">
        <x:f>M3280*K3280</x:f>
        <x:v>44.1</x:v>
      </x:c>
      <x:c r="O3280" s="9" t="n">
        <x:f>M3280-N3280</x:f>
        <x:v>837.9</x:v>
      </x:c>
      <x:c r="P3280" s="9" t="n">
        <x:f>IF(D3280="Completed",L3280*J3280*(1-K3280),0)</x:f>
        <x:v>0</x:v>
      </x:c>
      <x:c r="Q3280" s="9" t="n">
        <x:f>O3280-P3280</x:f>
        <x:v>837.9</x:v>
      </x:c>
      <x:c r="R3280" s="11" t="n">
        <x:f>IF(D3280="Completed",I3280,0)</x:f>
        <x:v>3</x:v>
      </x:c>
      <x:c r="S3280" s="11" t="n">
        <x:f>IF(D3280="Completed",L3280,0)</x:f>
        <x:v>0</x:v>
      </x:c>
      <x:c r="T3280" s="8" t="n">
        <x:f>DATE(YEAR(C3280),MONTH(C3280),1)</x:f>
        <x:v>45809</x:v>
      </x:c>
    </x:row>
    <x:row r="3281" ht="22" customHeight="1">
      <x:c r="A3281" s="2" t="str">
        <x:v>L003277</x:v>
      </x:c>
      <x:c r="B3281" s="2" t="str">
        <x:v>O01341</x:v>
      </x:c>
      <x:c r="C3281" s="7" t="n">
        <x:v>45685</x:v>
      </x:c>
      <x:c r="D3281" s="2" t="str">
        <x:v>Completed</x:v>
      </x:c>
      <x:c r="E3281" s="2" t="str">
        <x:v>North</x:v>
      </x:c>
      <x:c r="F3281" s="2" t="str">
        <x:v>Store</x:v>
      </x:c>
      <x:c r="G3281" s="2" t="str">
        <x:v>Furniture</x:v>
      </x:c>
      <x:c r="H3281" s="2" t="str">
        <x:v>Chair 010</x:v>
      </x:c>
      <x:c r="I3281" s="11" t="n">
        <x:v>5</x:v>
      </x:c>
      <x:c r="J3281" s="9" t="n">
        <x:v>211</x:v>
      </x:c>
      <x:c r="K3281" s="10" t="n">
        <x:v>0.05</x:v>
      </x:c>
      <x:c r="L3281" s="11" t="n">
        <x:v>0</x:v>
      </x:c>
      <x:c r="M3281" s="9" t="n">
        <x:f>IF(D3281="Completed",I3281*J3281,0)</x:f>
        <x:v>1055</x:v>
      </x:c>
      <x:c r="N3281" s="9" t="n">
        <x:f>M3281*K3281</x:f>
        <x:v>52.75</x:v>
      </x:c>
      <x:c r="O3281" s="9" t="n">
        <x:f>M3281-N3281</x:f>
        <x:v>1002.25</x:v>
      </x:c>
      <x:c r="P3281" s="9" t="n">
        <x:f>IF(D3281="Completed",L3281*J3281*(1-K3281),0)</x:f>
        <x:v>0</x:v>
      </x:c>
      <x:c r="Q3281" s="9" t="n">
        <x:f>O3281-P3281</x:f>
        <x:v>1002.25</x:v>
      </x:c>
      <x:c r="R3281" s="11" t="n">
        <x:f>IF(D3281="Completed",I3281,0)</x:f>
        <x:v>5</x:v>
      </x:c>
      <x:c r="S3281" s="11" t="n">
        <x:f>IF(D3281="Completed",L3281,0)</x:f>
        <x:v>0</x:v>
      </x:c>
      <x:c r="T3281" s="8" t="n">
        <x:f>DATE(YEAR(C3281),MONTH(C3281),1)</x:f>
        <x:v>45658</x:v>
      </x:c>
    </x:row>
    <x:row r="3282" ht="22" customHeight="1">
      <x:c r="A3282" s="2" t="str">
        <x:v>L003278</x:v>
      </x:c>
      <x:c r="B3282" s="2" t="str">
        <x:v>O01342</x:v>
      </x:c>
      <x:c r="C3282" s="7" t="n">
        <x:v>45731</x:v>
      </x:c>
      <x:c r="D3282" s="2" t="str">
        <x:v>Completed</x:v>
      </x:c>
      <x:c r="E3282" s="2" t="str">
        <x:v>North</x:v>
      </x:c>
      <x:c r="F3282" s="2" t="str">
        <x:v>Online</x:v>
      </x:c>
      <x:c r="G3282" s="2" t="str">
        <x:v>Storage</x:v>
      </x:c>
      <x:c r="H3282" s="2" t="str">
        <x:v>Shelf 015</x:v>
      </x:c>
      <x:c r="I3282" s="11" t="n">
        <x:v>2</x:v>
      </x:c>
      <x:c r="J3282" s="9" t="n">
        <x:v>254</x:v>
      </x:c>
      <x:c r="K3282" s="10" t="n">
        <x:v>0</x:v>
      </x:c>
      <x:c r="L3282" s="11" t="n">
        <x:v>0</x:v>
      </x:c>
      <x:c r="M3282" s="9" t="n">
        <x:f>IF(D3282="Completed",I3282*J3282,0)</x:f>
        <x:v>508</x:v>
      </x:c>
      <x:c r="N3282" s="9" t="n">
        <x:f>M3282*K3282</x:f>
        <x:v>0</x:v>
      </x:c>
      <x:c r="O3282" s="9" t="n">
        <x:f>M3282-N3282</x:f>
        <x:v>508</x:v>
      </x:c>
      <x:c r="P3282" s="9" t="n">
        <x:f>IF(D3282="Completed",L3282*J3282*(1-K3282),0)</x:f>
        <x:v>0</x:v>
      </x:c>
      <x:c r="Q3282" s="9" t="n">
        <x:f>O3282-P3282</x:f>
        <x:v>508</x:v>
      </x:c>
      <x:c r="R3282" s="11" t="n">
        <x:f>IF(D3282="Completed",I3282,0)</x:f>
        <x:v>2</x:v>
      </x:c>
      <x:c r="S3282" s="11" t="n">
        <x:f>IF(D3282="Completed",L3282,0)</x:f>
        <x:v>0</x:v>
      </x:c>
      <x:c r="T3282" s="8" t="n">
        <x:f>DATE(YEAR(C3282),MONTH(C3282),1)</x:f>
        <x:v>45717</x:v>
      </x:c>
    </x:row>
    <x:row r="3283" ht="22" customHeight="1">
      <x:c r="A3283" s="2" t="str">
        <x:v>L003279</x:v>
      </x:c>
      <x:c r="B3283" s="2" t="str">
        <x:v>O01342</x:v>
      </x:c>
      <x:c r="C3283" s="7" t="n">
        <x:v>45731</x:v>
      </x:c>
      <x:c r="D3283" s="2" t="str">
        <x:v>Completed</x:v>
      </x:c>
      <x:c r="E3283" s="2" t="str">
        <x:v>North</x:v>
      </x:c>
      <x:c r="F3283" s="2" t="str">
        <x:v>Online</x:v>
      </x:c>
      <x:c r="G3283" s="2" t="str">
        <x:v>Furniture</x:v>
      </x:c>
      <x:c r="H3283" s="2" t="str">
        <x:v>Chair 014</x:v>
      </x:c>
      <x:c r="I3283" s="11" t="n">
        <x:v>2</x:v>
      </x:c>
      <x:c r="J3283" s="9" t="n">
        <x:v>294</x:v>
      </x:c>
      <x:c r="K3283" s="10" t="n">
        <x:v>0.05</x:v>
      </x:c>
      <x:c r="L3283" s="11" t="n">
        <x:v>0</x:v>
      </x:c>
      <x:c r="M3283" s="9" t="n">
        <x:f>IF(D3283="Completed",I3283*J3283,0)</x:f>
        <x:v>588</x:v>
      </x:c>
      <x:c r="N3283" s="9" t="n">
        <x:f>M3283*K3283</x:f>
        <x:v>29.400000000000002</x:v>
      </x:c>
      <x:c r="O3283" s="9" t="n">
        <x:f>M3283-N3283</x:f>
        <x:v>558.6</x:v>
      </x:c>
      <x:c r="P3283" s="9" t="n">
        <x:f>IF(D3283="Completed",L3283*J3283*(1-K3283),0)</x:f>
        <x:v>0</x:v>
      </x:c>
      <x:c r="Q3283" s="9" t="n">
        <x:f>O3283-P3283</x:f>
        <x:v>558.6</x:v>
      </x:c>
      <x:c r="R3283" s="11" t="n">
        <x:f>IF(D3283="Completed",I3283,0)</x:f>
        <x:v>2</x:v>
      </x:c>
      <x:c r="S3283" s="11" t="n">
        <x:f>IF(D3283="Completed",L3283,0)</x:f>
        <x:v>0</x:v>
      </x:c>
      <x:c r="T3283" s="8" t="n">
        <x:f>DATE(YEAR(C3283),MONTH(C3283),1)</x:f>
        <x:v>45717</x:v>
      </x:c>
    </x:row>
    <x:row r="3284" ht="22" customHeight="1">
      <x:c r="A3284" s="2" t="str">
        <x:v>L003280</x:v>
      </x:c>
      <x:c r="B3284" s="2" t="str">
        <x:v>O01343</x:v>
      </x:c>
      <x:c r="C3284" s="7" t="n">
        <x:v>45713</x:v>
      </x:c>
      <x:c r="D3284" s="2" t="str">
        <x:v>Cancelled</x:v>
      </x:c>
      <x:c r="E3284" s="2" t="str">
        <x:v>West</x:v>
      </x:c>
      <x:c r="F3284" s="2" t="str">
        <x:v>Store</x:v>
      </x:c>
      <x:c r="G3284" s="2" t="str">
        <x:v>Furniture</x:v>
      </x:c>
      <x:c r="H3284" s="2" t="str">
        <x:v>Desk 020</x:v>
      </x:c>
      <x:c r="I3284" s="11" t="n">
        <x:v>2</x:v>
      </x:c>
      <x:c r="J3284" s="9" t="n">
        <x:v>189</x:v>
      </x:c>
      <x:c r="K3284" s="10" t="n">
        <x:v>0.1</x:v>
      </x:c>
      <x:c r="L3284" s="11" t="n">
        <x:v>0</x:v>
      </x:c>
      <x:c r="M3284" s="9" t="n">
        <x:f>IF(D3284="Completed",I3284*J3284,0)</x:f>
        <x:v>0</x:v>
      </x:c>
      <x:c r="N3284" s="9" t="n">
        <x:f>M3284*K3284</x:f>
        <x:v>0</x:v>
      </x:c>
      <x:c r="O3284" s="9" t="n">
        <x:f>M3284-N3284</x:f>
        <x:v>0</x:v>
      </x:c>
      <x:c r="P3284" s="9" t="n">
        <x:f>IF(D3284="Completed",L3284*J3284*(1-K3284),0)</x:f>
        <x:v>0</x:v>
      </x:c>
      <x:c r="Q3284" s="9" t="n">
        <x:f>O3284-P3284</x:f>
        <x:v>0</x:v>
      </x:c>
      <x:c r="R3284" s="11" t="n">
        <x:f>IF(D3284="Completed",I3284,0)</x:f>
        <x:v>0</x:v>
      </x:c>
      <x:c r="S3284" s="11" t="n">
        <x:f>IF(D3284="Completed",L3284,0)</x:f>
        <x:v>0</x:v>
      </x:c>
      <x:c r="T3284" s="8" t="n">
        <x:f>DATE(YEAR(C3284),MONTH(C3284),1)</x:f>
        <x:v>45689</x:v>
      </x:c>
    </x:row>
    <x:row r="3285" ht="22" customHeight="1">
      <x:c r="A3285" s="2" t="str">
        <x:v>L003281</x:v>
      </x:c>
      <x:c r="B3285" s="2" t="str">
        <x:v>O01343</x:v>
      </x:c>
      <x:c r="C3285" s="7" t="n">
        <x:v>45713</x:v>
      </x:c>
      <x:c r="D3285" s="2" t="str">
        <x:v>Cancelled</x:v>
      </x:c>
      <x:c r="E3285" s="2" t="str">
        <x:v>West</x:v>
      </x:c>
      <x:c r="F3285" s="2" t="str">
        <x:v>Store</x:v>
      </x:c>
      <x:c r="G3285" s="2" t="str">
        <x:v>Furniture</x:v>
      </x:c>
      <x:c r="H3285" s="2" t="str">
        <x:v>Chair 002</x:v>
      </x:c>
      <x:c r="I3285" s="11" t="n">
        <x:v>3</x:v>
      </x:c>
      <x:c r="J3285" s="9" t="n">
        <x:v>284</x:v>
      </x:c>
      <x:c r="K3285" s="10" t="n">
        <x:v>0.1</x:v>
      </x:c>
      <x:c r="L3285" s="11" t="n">
        <x:v>0</x:v>
      </x:c>
      <x:c r="M3285" s="9" t="n">
        <x:f>IF(D3285="Completed",I3285*J3285,0)</x:f>
        <x:v>0</x:v>
      </x:c>
      <x:c r="N3285" s="9" t="n">
        <x:f>M3285*K3285</x:f>
        <x:v>0</x:v>
      </x:c>
      <x:c r="O3285" s="9" t="n">
        <x:f>M3285-N3285</x:f>
        <x:v>0</x:v>
      </x:c>
      <x:c r="P3285" s="9" t="n">
        <x:f>IF(D3285="Completed",L3285*J3285*(1-K3285),0)</x:f>
        <x:v>0</x:v>
      </x:c>
      <x:c r="Q3285" s="9" t="n">
        <x:f>O3285-P3285</x:f>
        <x:v>0</x:v>
      </x:c>
      <x:c r="R3285" s="11" t="n">
        <x:f>IF(D3285="Completed",I3285,0)</x:f>
        <x:v>0</x:v>
      </x:c>
      <x:c r="S3285" s="11" t="n">
        <x:f>IF(D3285="Completed",L3285,0)</x:f>
        <x:v>0</x:v>
      </x:c>
      <x:c r="T3285" s="8" t="n">
        <x:f>DATE(YEAR(C3285),MONTH(C3285),1)</x:f>
        <x:v>45689</x:v>
      </x:c>
    </x:row>
    <x:row r="3286" ht="22" customHeight="1">
      <x:c r="A3286" s="2" t="str">
        <x:v>L003282</x:v>
      </x:c>
      <x:c r="B3286" s="2" t="str">
        <x:v>O01343</x:v>
      </x:c>
      <x:c r="C3286" s="7" t="n">
        <x:v>45713</x:v>
      </x:c>
      <x:c r="D3286" s="2" t="str">
        <x:v>Cancelled</x:v>
      </x:c>
      <x:c r="E3286" s="2" t="str">
        <x:v>West</x:v>
      </x:c>
      <x:c r="F3286" s="2" t="str">
        <x:v>Store</x:v>
      </x:c>
      <x:c r="G3286" s="2" t="str">
        <x:v>Lighting</x:v>
      </x:c>
      <x:c r="H3286" s="2" t="str">
        <x:v>Lamp 021</x:v>
      </x:c>
      <x:c r="I3286" s="11" t="n">
        <x:v>4</x:v>
      </x:c>
      <x:c r="J3286" s="9" t="n">
        <x:v>249</x:v>
      </x:c>
      <x:c r="K3286" s="10" t="n">
        <x:v>0.05</x:v>
      </x:c>
      <x:c r="L3286" s="11" t="n">
        <x:v>0</x:v>
      </x:c>
      <x:c r="M3286" s="9" t="n">
        <x:f>IF(D3286="Completed",I3286*J3286,0)</x:f>
        <x:v>0</x:v>
      </x:c>
      <x:c r="N3286" s="9" t="n">
        <x:f>M3286*K3286</x:f>
        <x:v>0</x:v>
      </x:c>
      <x:c r="O3286" s="9" t="n">
        <x:f>M3286-N3286</x:f>
        <x:v>0</x:v>
      </x:c>
      <x:c r="P3286" s="9" t="n">
        <x:f>IF(D3286="Completed",L3286*J3286*(1-K3286),0)</x:f>
        <x:v>0</x:v>
      </x:c>
      <x:c r="Q3286" s="9" t="n">
        <x:f>O3286-P3286</x:f>
        <x:v>0</x:v>
      </x:c>
      <x:c r="R3286" s="11" t="n">
        <x:f>IF(D3286="Completed",I3286,0)</x:f>
        <x:v>0</x:v>
      </x:c>
      <x:c r="S3286" s="11" t="n">
        <x:f>IF(D3286="Completed",L3286,0)</x:f>
        <x:v>0</x:v>
      </x:c>
      <x:c r="T3286" s="8" t="n">
        <x:f>DATE(YEAR(C3286),MONTH(C3286),1)</x:f>
        <x:v>45689</x:v>
      </x:c>
    </x:row>
    <x:row r="3287" ht="22" customHeight="1">
      <x:c r="A3287" s="2" t="str">
        <x:v>L003283</x:v>
      </x:c>
      <x:c r="B3287" s="2" t="str">
        <x:v>O01343</x:v>
      </x:c>
      <x:c r="C3287" s="7" t="n">
        <x:v>45713</x:v>
      </x:c>
      <x:c r="D3287" s="2" t="str">
        <x:v>Cancelled</x:v>
      </x:c>
      <x:c r="E3287" s="2" t="str">
        <x:v>West</x:v>
      </x:c>
      <x:c r="F3287" s="2" t="str">
        <x:v>Store</x:v>
      </x:c>
      <x:c r="G3287" s="2" t="str">
        <x:v>Lighting</x:v>
      </x:c>
      <x:c r="H3287" s="2" t="str">
        <x:v>Lamp 021</x:v>
      </x:c>
      <x:c r="I3287" s="11" t="n">
        <x:v>3</x:v>
      </x:c>
      <x:c r="J3287" s="9" t="n">
        <x:v>249</x:v>
      </x:c>
      <x:c r="K3287" s="10" t="n">
        <x:v>0.05</x:v>
      </x:c>
      <x:c r="L3287" s="11" t="n">
        <x:v>0</x:v>
      </x:c>
      <x:c r="M3287" s="9" t="n">
        <x:f>IF(D3287="Completed",I3287*J3287,0)</x:f>
        <x:v>0</x:v>
      </x:c>
      <x:c r="N3287" s="9" t="n">
        <x:f>M3287*K3287</x:f>
        <x:v>0</x:v>
      </x:c>
      <x:c r="O3287" s="9" t="n">
        <x:f>M3287-N3287</x:f>
        <x:v>0</x:v>
      </x:c>
      <x:c r="P3287" s="9" t="n">
        <x:f>IF(D3287="Completed",L3287*J3287*(1-K3287),0)</x:f>
        <x:v>0</x:v>
      </x:c>
      <x:c r="Q3287" s="9" t="n">
        <x:f>O3287-P3287</x:f>
        <x:v>0</x:v>
      </x:c>
      <x:c r="R3287" s="11" t="n">
        <x:f>IF(D3287="Completed",I3287,0)</x:f>
        <x:v>0</x:v>
      </x:c>
      <x:c r="S3287" s="11" t="n">
        <x:f>IF(D3287="Completed",L3287,0)</x:f>
        <x:v>0</x:v>
      </x:c>
      <x:c r="T3287" s="8" t="n">
        <x:f>DATE(YEAR(C3287),MONTH(C3287),1)</x:f>
        <x:v>45689</x:v>
      </x:c>
    </x:row>
    <x:row r="3288" ht="22" customHeight="1">
      <x:c r="A3288" s="2" t="str">
        <x:v>L003284</x:v>
      </x:c>
      <x:c r="B3288" s="2" t="str">
        <x:v>O01344</x:v>
      </x:c>
      <x:c r="C3288" s="7" t="n">
        <x:v>45948</x:v>
      </x:c>
      <x:c r="D3288" s="2" t="str">
        <x:v>Completed</x:v>
      </x:c>
      <x:c r="E3288" s="2" t="str">
        <x:v>North</x:v>
      </x:c>
      <x:c r="F3288" s="2" t="str">
        <x:v>Online</x:v>
      </x:c>
      <x:c r="G3288" s="2" t="str">
        <x:v>Furniture</x:v>
      </x:c>
      <x:c r="H3288" s="2" t="str">
        <x:v>Desk 016</x:v>
      </x:c>
      <x:c r="I3288" s="11" t="n">
        <x:v>5</x:v>
      </x:c>
      <x:c r="J3288" s="9" t="n">
        <x:v>231</x:v>
      </x:c>
      <x:c r="K3288" s="10" t="n">
        <x:v>0.1</x:v>
      </x:c>
      <x:c r="L3288" s="11" t="n">
        <x:v>0</x:v>
      </x:c>
      <x:c r="M3288" s="9" t="n">
        <x:f>IF(D3288="Completed",I3288*J3288,0)</x:f>
        <x:v>1155</x:v>
      </x:c>
      <x:c r="N3288" s="9" t="n">
        <x:f>M3288*K3288</x:f>
        <x:v>115.5</x:v>
      </x:c>
      <x:c r="O3288" s="9" t="n">
        <x:f>M3288-N3288</x:f>
        <x:v>1039.5</x:v>
      </x:c>
      <x:c r="P3288" s="9" t="n">
        <x:f>IF(D3288="Completed",L3288*J3288*(1-K3288),0)</x:f>
        <x:v>0</x:v>
      </x:c>
      <x:c r="Q3288" s="9" t="n">
        <x:f>O3288-P3288</x:f>
        <x:v>1039.5</x:v>
      </x:c>
      <x:c r="R3288" s="11" t="n">
        <x:f>IF(D3288="Completed",I3288,0)</x:f>
        <x:v>5</x:v>
      </x:c>
      <x:c r="S3288" s="11" t="n">
        <x:f>IF(D3288="Completed",L3288,0)</x:f>
        <x:v>0</x:v>
      </x:c>
      <x:c r="T3288" s="8" t="n">
        <x:f>DATE(YEAR(C3288),MONTH(C3288),1)</x:f>
        <x:v>45931</x:v>
      </x:c>
    </x:row>
    <x:row r="3289" ht="22" customHeight="1">
      <x:c r="A3289" s="2" t="str">
        <x:v>L003285</x:v>
      </x:c>
      <x:c r="B3289" s="2" t="str">
        <x:v>O01344</x:v>
      </x:c>
      <x:c r="C3289" s="7" t="n">
        <x:v>45948</x:v>
      </x:c>
      <x:c r="D3289" s="2" t="str">
        <x:v>Completed</x:v>
      </x:c>
      <x:c r="E3289" s="2" t="str">
        <x:v>North</x:v>
      </x:c>
      <x:c r="F3289" s="2" t="str">
        <x:v>Online</x:v>
      </x:c>
      <x:c r="G3289" s="2" t="str">
        <x:v>Furniture</x:v>
      </x:c>
      <x:c r="H3289" s="2" t="str">
        <x:v>Desk 012</x:v>
      </x:c>
      <x:c r="I3289" s="11" t="n">
        <x:v>4</x:v>
      </x:c>
      <x:c r="J3289" s="9" t="n">
        <x:v>134</x:v>
      </x:c>
      <x:c r="K3289" s="10" t="n">
        <x:v>0</x:v>
      </x:c>
      <x:c r="L3289" s="11" t="n">
        <x:v>0</x:v>
      </x:c>
      <x:c r="M3289" s="9" t="n">
        <x:f>IF(D3289="Completed",I3289*J3289,0)</x:f>
        <x:v>536</x:v>
      </x:c>
      <x:c r="N3289" s="9" t="n">
        <x:f>M3289*K3289</x:f>
        <x:v>0</x:v>
      </x:c>
      <x:c r="O3289" s="9" t="n">
        <x:f>M3289-N3289</x:f>
        <x:v>536</x:v>
      </x:c>
      <x:c r="P3289" s="9" t="n">
        <x:f>IF(D3289="Completed",L3289*J3289*(1-K3289),0)</x:f>
        <x:v>0</x:v>
      </x:c>
      <x:c r="Q3289" s="9" t="n">
        <x:f>O3289-P3289</x:f>
        <x:v>536</x:v>
      </x:c>
      <x:c r="R3289" s="11" t="n">
        <x:f>IF(D3289="Completed",I3289,0)</x:f>
        <x:v>4</x:v>
      </x:c>
      <x:c r="S3289" s="11" t="n">
        <x:f>IF(D3289="Completed",L3289,0)</x:f>
        <x:v>0</x:v>
      </x:c>
      <x:c r="T3289" s="8" t="n">
        <x:f>DATE(YEAR(C3289),MONTH(C3289),1)</x:f>
        <x:v>45931</x:v>
      </x:c>
    </x:row>
    <x:row r="3290" ht="22" customHeight="1">
      <x:c r="A3290" s="2" t="str">
        <x:v>L003286</x:v>
      </x:c>
      <x:c r="B3290" s="2" t="str">
        <x:v>O01344</x:v>
      </x:c>
      <x:c r="C3290" s="7" t="n">
        <x:v>45948</x:v>
      </x:c>
      <x:c r="D3290" s="2" t="str">
        <x:v>Completed</x:v>
      </x:c>
      <x:c r="E3290" s="2" t="str">
        <x:v>North</x:v>
      </x:c>
      <x:c r="F3290" s="2" t="str">
        <x:v>Online</x:v>
      </x:c>
      <x:c r="G3290" s="2" t="str">
        <x:v>Lighting</x:v>
      </x:c>
      <x:c r="H3290" s="2" t="str">
        <x:v>Lamp 005</x:v>
      </x:c>
      <x:c r="I3290" s="11" t="n">
        <x:v>1</x:v>
      </x:c>
      <x:c r="J3290" s="9" t="n">
        <x:v>65</x:v>
      </x:c>
      <x:c r="K3290" s="10" t="n">
        <x:v>0.2</x:v>
      </x:c>
      <x:c r="L3290" s="11" t="n">
        <x:v>0</x:v>
      </x:c>
      <x:c r="M3290" s="9" t="n">
        <x:f>IF(D3290="Completed",I3290*J3290,0)</x:f>
        <x:v>65</x:v>
      </x:c>
      <x:c r="N3290" s="9" t="n">
        <x:f>M3290*K3290</x:f>
        <x:v>13</x:v>
      </x:c>
      <x:c r="O3290" s="9" t="n">
        <x:f>M3290-N3290</x:f>
        <x:v>52</x:v>
      </x:c>
      <x:c r="P3290" s="9" t="n">
        <x:f>IF(D3290="Completed",L3290*J3290*(1-K3290),0)</x:f>
        <x:v>0</x:v>
      </x:c>
      <x:c r="Q3290" s="9" t="n">
        <x:f>O3290-P3290</x:f>
        <x:v>52</x:v>
      </x:c>
      <x:c r="R3290" s="11" t="n">
        <x:f>IF(D3290="Completed",I3290,0)</x:f>
        <x:v>1</x:v>
      </x:c>
      <x:c r="S3290" s="11" t="n">
        <x:f>IF(D3290="Completed",L3290,0)</x:f>
        <x:v>0</x:v>
      </x:c>
      <x:c r="T3290" s="8" t="n">
        <x:f>DATE(YEAR(C3290),MONTH(C3290),1)</x:f>
        <x:v>45931</x:v>
      </x:c>
    </x:row>
    <x:row r="3291" ht="22" customHeight="1">
      <x:c r="A3291" s="2" t="str">
        <x:v>L003287</x:v>
      </x:c>
      <x:c r="B3291" s="2" t="str">
        <x:v>O01344</x:v>
      </x:c>
      <x:c r="C3291" s="7" t="n">
        <x:v>45948</x:v>
      </x:c>
      <x:c r="D3291" s="2" t="str">
        <x:v>Completed</x:v>
      </x:c>
      <x:c r="E3291" s="2" t="str">
        <x:v>North</x:v>
      </x:c>
      <x:c r="F3291" s="2" t="str">
        <x:v>Online</x:v>
      </x:c>
      <x:c r="G3291" s="2" t="str">
        <x:v>Storage</x:v>
      </x:c>
      <x:c r="H3291" s="2" t="str">
        <x:v>Shelf 003</x:v>
      </x:c>
      <x:c r="I3291" s="11" t="n">
        <x:v>3</x:v>
      </x:c>
      <x:c r="J3291" s="9" t="n">
        <x:v>199</x:v>
      </x:c>
      <x:c r="K3291" s="10" t="n">
        <x:v>0</x:v>
      </x:c>
      <x:c r="L3291" s="11" t="n">
        <x:v>0</x:v>
      </x:c>
      <x:c r="M3291" s="9" t="n">
        <x:f>IF(D3291="Completed",I3291*J3291,0)</x:f>
        <x:v>597</x:v>
      </x:c>
      <x:c r="N3291" s="9" t="n">
        <x:f>M3291*K3291</x:f>
        <x:v>0</x:v>
      </x:c>
      <x:c r="O3291" s="9" t="n">
        <x:f>M3291-N3291</x:f>
        <x:v>597</x:v>
      </x:c>
      <x:c r="P3291" s="9" t="n">
        <x:f>IF(D3291="Completed",L3291*J3291*(1-K3291),0)</x:f>
        <x:v>0</x:v>
      </x:c>
      <x:c r="Q3291" s="9" t="n">
        <x:f>O3291-P3291</x:f>
        <x:v>597</x:v>
      </x:c>
      <x:c r="R3291" s="11" t="n">
        <x:f>IF(D3291="Completed",I3291,0)</x:f>
        <x:v>3</x:v>
      </x:c>
      <x:c r="S3291" s="11" t="n">
        <x:f>IF(D3291="Completed",L3291,0)</x:f>
        <x:v>0</x:v>
      </x:c>
      <x:c r="T3291" s="8" t="n">
        <x:f>DATE(YEAR(C3291),MONTH(C3291),1)</x:f>
        <x:v>45931</x:v>
      </x:c>
    </x:row>
    <x:row r="3292" ht="22" customHeight="1">
      <x:c r="A3292" s="2" t="str">
        <x:v>L003288</x:v>
      </x:c>
      <x:c r="B3292" s="2" t="str">
        <x:v>O01345</x:v>
      </x:c>
      <x:c r="C3292" s="7" t="n">
        <x:v>45677</x:v>
      </x:c>
      <x:c r="D3292" s="2" t="str">
        <x:v>Completed</x:v>
      </x:c>
      <x:c r="E3292" s="2" t="str">
        <x:v>North</x:v>
      </x:c>
      <x:c r="F3292" s="2" t="str">
        <x:v>Store</x:v>
      </x:c>
      <x:c r="G3292" s="2" t="str">
        <x:v>Storage</x:v>
      </x:c>
      <x:c r="H3292" s="2" t="str">
        <x:v>Shelf 023</x:v>
      </x:c>
      <x:c r="I3292" s="11" t="n">
        <x:v>5</x:v>
      </x:c>
      <x:c r="J3292" s="9" t="n">
        <x:v>68</x:v>
      </x:c>
      <x:c r="K3292" s="10" t="n">
        <x:v>0</x:v>
      </x:c>
      <x:c r="L3292" s="11" t="n">
        <x:v>0</x:v>
      </x:c>
      <x:c r="M3292" s="9" t="n">
        <x:f>IF(D3292="Completed",I3292*J3292,0)</x:f>
        <x:v>340</x:v>
      </x:c>
      <x:c r="N3292" s="9" t="n">
        <x:f>M3292*K3292</x:f>
        <x:v>0</x:v>
      </x:c>
      <x:c r="O3292" s="9" t="n">
        <x:f>M3292-N3292</x:f>
        <x:v>340</x:v>
      </x:c>
      <x:c r="P3292" s="9" t="n">
        <x:f>IF(D3292="Completed",L3292*J3292*(1-K3292),0)</x:f>
        <x:v>0</x:v>
      </x:c>
      <x:c r="Q3292" s="9" t="n">
        <x:f>O3292-P3292</x:f>
        <x:v>340</x:v>
      </x:c>
      <x:c r="R3292" s="11" t="n">
        <x:f>IF(D3292="Completed",I3292,0)</x:f>
        <x:v>5</x:v>
      </x:c>
      <x:c r="S3292" s="11" t="n">
        <x:f>IF(D3292="Completed",L3292,0)</x:f>
        <x:v>0</x:v>
      </x:c>
      <x:c r="T3292" s="8" t="n">
        <x:f>DATE(YEAR(C3292),MONTH(C3292),1)</x:f>
        <x:v>45658</x:v>
      </x:c>
    </x:row>
    <x:row r="3293" ht="22" customHeight="1">
      <x:c r="A3293" s="2" t="str">
        <x:v>L003289</x:v>
      </x:c>
      <x:c r="B3293" s="2" t="str">
        <x:v>O01345</x:v>
      </x:c>
      <x:c r="C3293" s="7" t="n">
        <x:v>45677</x:v>
      </x:c>
      <x:c r="D3293" s="2" t="str">
        <x:v>Completed</x:v>
      </x:c>
      <x:c r="E3293" s="2" t="str">
        <x:v>North</x:v>
      </x:c>
      <x:c r="F3293" s="2" t="str">
        <x:v>Store</x:v>
      </x:c>
      <x:c r="G3293" s="2" t="str">
        <x:v>Furniture</x:v>
      </x:c>
      <x:c r="H3293" s="2" t="str">
        <x:v>Desk 012</x:v>
      </x:c>
      <x:c r="I3293" s="11" t="n">
        <x:v>2</x:v>
      </x:c>
      <x:c r="J3293" s="9" t="n">
        <x:v>134</x:v>
      </x:c>
      <x:c r="K3293" s="10" t="n">
        <x:v>0.1</x:v>
      </x:c>
      <x:c r="L3293" s="11" t="n">
        <x:v>0</x:v>
      </x:c>
      <x:c r="M3293" s="9" t="n">
        <x:f>IF(D3293="Completed",I3293*J3293,0)</x:f>
        <x:v>268</x:v>
      </x:c>
      <x:c r="N3293" s="9" t="n">
        <x:f>M3293*K3293</x:f>
        <x:v>26.8</x:v>
      </x:c>
      <x:c r="O3293" s="9" t="n">
        <x:f>M3293-N3293</x:f>
        <x:v>241.2</x:v>
      </x:c>
      <x:c r="P3293" s="9" t="n">
        <x:f>IF(D3293="Completed",L3293*J3293*(1-K3293),0)</x:f>
        <x:v>0</x:v>
      </x:c>
      <x:c r="Q3293" s="9" t="n">
        <x:f>O3293-P3293</x:f>
        <x:v>241.2</x:v>
      </x:c>
      <x:c r="R3293" s="11" t="n">
        <x:f>IF(D3293="Completed",I3293,0)</x:f>
        <x:v>2</x:v>
      </x:c>
      <x:c r="S3293" s="11" t="n">
        <x:f>IF(D3293="Completed",L3293,0)</x:f>
        <x:v>0</x:v>
      </x:c>
      <x:c r="T3293" s="8" t="n">
        <x:f>DATE(YEAR(C3293),MONTH(C3293),1)</x:f>
        <x:v>45658</x:v>
      </x:c>
    </x:row>
    <x:row r="3294" ht="22" customHeight="1">
      <x:c r="A3294" s="2" t="str">
        <x:v>L003290</x:v>
      </x:c>
      <x:c r="B3294" s="2" t="str">
        <x:v>O01345</x:v>
      </x:c>
      <x:c r="C3294" s="7" t="n">
        <x:v>45677</x:v>
      </x:c>
      <x:c r="D3294" s="2" t="str">
        <x:v>Completed</x:v>
      </x:c>
      <x:c r="E3294" s="2" t="str">
        <x:v>North</x:v>
      </x:c>
      <x:c r="F3294" s="2" t="str">
        <x:v>Store</x:v>
      </x:c>
      <x:c r="G3294" s="2" t="str">
        <x:v>Furniture</x:v>
      </x:c>
      <x:c r="H3294" s="2" t="str">
        <x:v>Chair 010</x:v>
      </x:c>
      <x:c r="I3294" s="11" t="n">
        <x:v>3</x:v>
      </x:c>
      <x:c r="J3294" s="9" t="n">
        <x:v>211</x:v>
      </x:c>
      <x:c r="K3294" s="10" t="n">
        <x:v>0.05</x:v>
      </x:c>
      <x:c r="L3294" s="11" t="n">
        <x:v>0</x:v>
      </x:c>
      <x:c r="M3294" s="9" t="n">
        <x:f>IF(D3294="Completed",I3294*J3294,0)</x:f>
        <x:v>633</x:v>
      </x:c>
      <x:c r="N3294" s="9" t="n">
        <x:f>M3294*K3294</x:f>
        <x:v>31.650000000000002</x:v>
      </x:c>
      <x:c r="O3294" s="9" t="n">
        <x:f>M3294-N3294</x:f>
        <x:v>601.35</x:v>
      </x:c>
      <x:c r="P3294" s="9" t="n">
        <x:f>IF(D3294="Completed",L3294*J3294*(1-K3294),0)</x:f>
        <x:v>0</x:v>
      </x:c>
      <x:c r="Q3294" s="9" t="n">
        <x:f>O3294-P3294</x:f>
        <x:v>601.35</x:v>
      </x:c>
      <x:c r="R3294" s="11" t="n">
        <x:f>IF(D3294="Completed",I3294,0)</x:f>
        <x:v>3</x:v>
      </x:c>
      <x:c r="S3294" s="11" t="n">
        <x:f>IF(D3294="Completed",L3294,0)</x:f>
        <x:v>0</x:v>
      </x:c>
      <x:c r="T3294" s="8" t="n">
        <x:f>DATE(YEAR(C3294),MONTH(C3294),1)</x:f>
        <x:v>45658</x:v>
      </x:c>
    </x:row>
    <x:row r="3295" ht="22" customHeight="1">
      <x:c r="A3295" s="2" t="str">
        <x:v>L003291</x:v>
      </x:c>
      <x:c r="B3295" s="2" t="str">
        <x:v>O01346</x:v>
      </x:c>
      <x:c r="C3295" s="7" t="n">
        <x:v>45933</x:v>
      </x:c>
      <x:c r="D3295" s="2" t="str">
        <x:v>Completed</x:v>
      </x:c>
      <x:c r="E3295" s="2" t="str">
        <x:v>South</x:v>
      </x:c>
      <x:c r="F3295" s="2" t="str">
        <x:v>Store</x:v>
      </x:c>
      <x:c r="G3295" s="2" t="str">
        <x:v>Storage</x:v>
      </x:c>
      <x:c r="H3295" s="2" t="str">
        <x:v>Shelf 011</x:v>
      </x:c>
      <x:c r="I3295" s="11" t="n">
        <x:v>5</x:v>
      </x:c>
      <x:c r="J3295" s="9" t="n">
        <x:v>80</x:v>
      </x:c>
      <x:c r="K3295" s="10" t="n">
        <x:v>0.2</x:v>
      </x:c>
      <x:c r="L3295" s="11" t="n">
        <x:v>0</x:v>
      </x:c>
      <x:c r="M3295" s="9" t="n">
        <x:f>IF(D3295="Completed",I3295*J3295,0)</x:f>
        <x:v>400</x:v>
      </x:c>
      <x:c r="N3295" s="9" t="n">
        <x:f>M3295*K3295</x:f>
        <x:v>80</x:v>
      </x:c>
      <x:c r="O3295" s="9" t="n">
        <x:f>M3295-N3295</x:f>
        <x:v>320</x:v>
      </x:c>
      <x:c r="P3295" s="9" t="n">
        <x:f>IF(D3295="Completed",L3295*J3295*(1-K3295),0)</x:f>
        <x:v>0</x:v>
      </x:c>
      <x:c r="Q3295" s="9" t="n">
        <x:f>O3295-P3295</x:f>
        <x:v>320</x:v>
      </x:c>
      <x:c r="R3295" s="11" t="n">
        <x:f>IF(D3295="Completed",I3295,0)</x:f>
        <x:v>5</x:v>
      </x:c>
      <x:c r="S3295" s="11" t="n">
        <x:f>IF(D3295="Completed",L3295,0)</x:f>
        <x:v>0</x:v>
      </x:c>
      <x:c r="T3295" s="8" t="n">
        <x:f>DATE(YEAR(C3295),MONTH(C3295),1)</x:f>
        <x:v>45931</x:v>
      </x:c>
    </x:row>
    <x:row r="3296" ht="22" customHeight="1">
      <x:c r="A3296" s="2" t="str">
        <x:v>L003292</x:v>
      </x:c>
      <x:c r="B3296" s="2" t="str">
        <x:v>O01346</x:v>
      </x:c>
      <x:c r="C3296" s="7" t="n">
        <x:v>45933</x:v>
      </x:c>
      <x:c r="D3296" s="2" t="str">
        <x:v>Completed</x:v>
      </x:c>
      <x:c r="E3296" s="2" t="str">
        <x:v>South</x:v>
      </x:c>
      <x:c r="F3296" s="2" t="str">
        <x:v>Store</x:v>
      </x:c>
      <x:c r="G3296" s="2" t="str">
        <x:v>Lighting</x:v>
      </x:c>
      <x:c r="H3296" s="2" t="str">
        <x:v>Lamp 001</x:v>
      </x:c>
      <x:c r="I3296" s="11" t="n">
        <x:v>3</x:v>
      </x:c>
      <x:c r="J3296" s="9" t="n">
        <x:v>122</x:v>
      </x:c>
      <x:c r="K3296" s="10" t="n">
        <x:v>0</x:v>
      </x:c>
      <x:c r="L3296" s="11" t="n">
        <x:v>0</x:v>
      </x:c>
      <x:c r="M3296" s="9" t="n">
        <x:f>IF(D3296="Completed",I3296*J3296,0)</x:f>
        <x:v>366</x:v>
      </x:c>
      <x:c r="N3296" s="9" t="n">
        <x:f>M3296*K3296</x:f>
        <x:v>0</x:v>
      </x:c>
      <x:c r="O3296" s="9" t="n">
        <x:f>M3296-N3296</x:f>
        <x:v>366</x:v>
      </x:c>
      <x:c r="P3296" s="9" t="n">
        <x:f>IF(D3296="Completed",L3296*J3296*(1-K3296),0)</x:f>
        <x:v>0</x:v>
      </x:c>
      <x:c r="Q3296" s="9" t="n">
        <x:f>O3296-P3296</x:f>
        <x:v>366</x:v>
      </x:c>
      <x:c r="R3296" s="11" t="n">
        <x:f>IF(D3296="Completed",I3296,0)</x:f>
        <x:v>3</x:v>
      </x:c>
      <x:c r="S3296" s="11" t="n">
        <x:f>IF(D3296="Completed",L3296,0)</x:f>
        <x:v>0</x:v>
      </x:c>
      <x:c r="T3296" s="8" t="n">
        <x:f>DATE(YEAR(C3296),MONTH(C3296),1)</x:f>
        <x:v>45931</x:v>
      </x:c>
    </x:row>
    <x:row r="3297" ht="22" customHeight="1">
      <x:c r="A3297" s="2" t="str">
        <x:v>L003293</x:v>
      </x:c>
      <x:c r="B3297" s="2" t="str">
        <x:v>O01346</x:v>
      </x:c>
      <x:c r="C3297" s="7" t="n">
        <x:v>45933</x:v>
      </x:c>
      <x:c r="D3297" s="2" t="str">
        <x:v>Completed</x:v>
      </x:c>
      <x:c r="E3297" s="2" t="str">
        <x:v>South</x:v>
      </x:c>
      <x:c r="F3297" s="2" t="str">
        <x:v>Store</x:v>
      </x:c>
      <x:c r="G3297" s="2" t="str">
        <x:v>Lighting</x:v>
      </x:c>
      <x:c r="H3297" s="2" t="str">
        <x:v>Lamp 021</x:v>
      </x:c>
      <x:c r="I3297" s="11" t="n">
        <x:v>3</x:v>
      </x:c>
      <x:c r="J3297" s="9" t="n">
        <x:v>249</x:v>
      </x:c>
      <x:c r="K3297" s="10" t="n">
        <x:v>0.05</x:v>
      </x:c>
      <x:c r="L3297" s="11" t="n">
        <x:v>0</x:v>
      </x:c>
      <x:c r="M3297" s="9" t="n">
        <x:f>IF(D3297="Completed",I3297*J3297,0)</x:f>
        <x:v>747</x:v>
      </x:c>
      <x:c r="N3297" s="9" t="n">
        <x:f>M3297*K3297</x:f>
        <x:v>37.35</x:v>
      </x:c>
      <x:c r="O3297" s="9" t="n">
        <x:f>M3297-N3297</x:f>
        <x:v>709.65</x:v>
      </x:c>
      <x:c r="P3297" s="9" t="n">
        <x:f>IF(D3297="Completed",L3297*J3297*(1-K3297),0)</x:f>
        <x:v>0</x:v>
      </x:c>
      <x:c r="Q3297" s="9" t="n">
        <x:f>O3297-P3297</x:f>
        <x:v>709.65</x:v>
      </x:c>
      <x:c r="R3297" s="11" t="n">
        <x:f>IF(D3297="Completed",I3297,0)</x:f>
        <x:v>3</x:v>
      </x:c>
      <x:c r="S3297" s="11" t="n">
        <x:f>IF(D3297="Completed",L3297,0)</x:f>
        <x:v>0</x:v>
      </x:c>
      <x:c r="T3297" s="8" t="n">
        <x:f>DATE(YEAR(C3297),MONTH(C3297),1)</x:f>
        <x:v>45931</x:v>
      </x:c>
    </x:row>
    <x:row r="3298" ht="22" customHeight="1">
      <x:c r="A3298" s="2" t="str">
        <x:v>L003294</x:v>
      </x:c>
      <x:c r="B3298" s="2" t="str">
        <x:v>O01346</x:v>
      </x:c>
      <x:c r="C3298" s="7" t="n">
        <x:v>45933</x:v>
      </x:c>
      <x:c r="D3298" s="2" t="str">
        <x:v>Completed</x:v>
      </x:c>
      <x:c r="E3298" s="2" t="str">
        <x:v>South</x:v>
      </x:c>
      <x:c r="F3298" s="2" t="str">
        <x:v>Store</x:v>
      </x:c>
      <x:c r="G3298" s="2" t="str">
        <x:v>Storage</x:v>
      </x:c>
      <x:c r="H3298" s="2" t="str">
        <x:v>Shelf 003</x:v>
      </x:c>
      <x:c r="I3298" s="11" t="n">
        <x:v>5</x:v>
      </x:c>
      <x:c r="J3298" s="9" t="n">
        <x:v>199</x:v>
      </x:c>
      <x:c r="K3298" s="10" t="n">
        <x:v>0.05</x:v>
      </x:c>
      <x:c r="L3298" s="11" t="n">
        <x:v>0</x:v>
      </x:c>
      <x:c r="M3298" s="9" t="n">
        <x:f>IF(D3298="Completed",I3298*J3298,0)</x:f>
        <x:v>995</x:v>
      </x:c>
      <x:c r="N3298" s="9" t="n">
        <x:f>M3298*K3298</x:f>
        <x:v>49.75</x:v>
      </x:c>
      <x:c r="O3298" s="9" t="n">
        <x:f>M3298-N3298</x:f>
        <x:v>945.25</x:v>
      </x:c>
      <x:c r="P3298" s="9" t="n">
        <x:f>IF(D3298="Completed",L3298*J3298*(1-K3298),0)</x:f>
        <x:v>0</x:v>
      </x:c>
      <x:c r="Q3298" s="9" t="n">
        <x:f>O3298-P3298</x:f>
        <x:v>945.25</x:v>
      </x:c>
      <x:c r="R3298" s="11" t="n">
        <x:f>IF(D3298="Completed",I3298,0)</x:f>
        <x:v>5</x:v>
      </x:c>
      <x:c r="S3298" s="11" t="n">
        <x:f>IF(D3298="Completed",L3298,0)</x:f>
        <x:v>0</x:v>
      </x:c>
      <x:c r="T3298" s="8" t="n">
        <x:f>DATE(YEAR(C3298),MONTH(C3298),1)</x:f>
        <x:v>45931</x:v>
      </x:c>
    </x:row>
    <x:row r="3299" ht="22" customHeight="1">
      <x:c r="A3299" s="2" t="str">
        <x:v>L003295</x:v>
      </x:c>
      <x:c r="B3299" s="2" t="str">
        <x:v>O01347</x:v>
      </x:c>
      <x:c r="C3299" s="7" t="n">
        <x:v>45860</x:v>
      </x:c>
      <x:c r="D3299" s="2" t="str">
        <x:v>Completed</x:v>
      </x:c>
      <x:c r="E3299" s="2" t="str">
        <x:v>West</x:v>
      </x:c>
      <x:c r="F3299" s="2" t="str">
        <x:v>Store</x:v>
      </x:c>
      <x:c r="G3299" s="2" t="str">
        <x:v>Lighting</x:v>
      </x:c>
      <x:c r="H3299" s="2" t="str">
        <x:v>Lamp 009</x:v>
      </x:c>
      <x:c r="I3299" s="11" t="n">
        <x:v>3</x:v>
      </x:c>
      <x:c r="J3299" s="9" t="n">
        <x:v>93</x:v>
      </x:c>
      <x:c r="K3299" s="10" t="n">
        <x:v>0.1</x:v>
      </x:c>
      <x:c r="L3299" s="11" t="n">
        <x:v>0</x:v>
      </x:c>
      <x:c r="M3299" s="9" t="n">
        <x:f>IF(D3299="Completed",I3299*J3299,0)</x:f>
        <x:v>279</x:v>
      </x:c>
      <x:c r="N3299" s="9" t="n">
        <x:f>M3299*K3299</x:f>
        <x:v>27.900000000000002</x:v>
      </x:c>
      <x:c r="O3299" s="9" t="n">
        <x:f>M3299-N3299</x:f>
        <x:v>251.1</x:v>
      </x:c>
      <x:c r="P3299" s="9" t="n">
        <x:f>IF(D3299="Completed",L3299*J3299*(1-K3299),0)</x:f>
        <x:v>0</x:v>
      </x:c>
      <x:c r="Q3299" s="9" t="n">
        <x:f>O3299-P3299</x:f>
        <x:v>251.1</x:v>
      </x:c>
      <x:c r="R3299" s="11" t="n">
        <x:f>IF(D3299="Completed",I3299,0)</x:f>
        <x:v>3</x:v>
      </x:c>
      <x:c r="S3299" s="11" t="n">
        <x:f>IF(D3299="Completed",L3299,0)</x:f>
        <x:v>0</x:v>
      </x:c>
      <x:c r="T3299" s="8" t="n">
        <x:f>DATE(YEAR(C3299),MONTH(C3299),1)</x:f>
        <x:v>45839</x:v>
      </x:c>
    </x:row>
    <x:row r="3300" ht="22" customHeight="1">
      <x:c r="A3300" s="2" t="str">
        <x:v>L003296</x:v>
      </x:c>
      <x:c r="B3300" s="2" t="str">
        <x:v>O01347</x:v>
      </x:c>
      <x:c r="C3300" s="7" t="n">
        <x:v>45860</x:v>
      </x:c>
      <x:c r="D3300" s="2" t="str">
        <x:v>Completed</x:v>
      </x:c>
      <x:c r="E3300" s="2" t="str">
        <x:v>West</x:v>
      </x:c>
      <x:c r="F3300" s="2" t="str">
        <x:v>Store</x:v>
      </x:c>
      <x:c r="G3300" s="2" t="str">
        <x:v>Storage</x:v>
      </x:c>
      <x:c r="H3300" s="2" t="str">
        <x:v>Shelf 007</x:v>
      </x:c>
      <x:c r="I3300" s="11" t="n">
        <x:v>3</x:v>
      </x:c>
      <x:c r="J3300" s="9" t="n">
        <x:v>35</x:v>
      </x:c>
      <x:c r="K3300" s="10" t="n">
        <x:v>0.05</x:v>
      </x:c>
      <x:c r="L3300" s="11" t="n">
        <x:v>0</x:v>
      </x:c>
      <x:c r="M3300" s="9" t="n">
        <x:f>IF(D3300="Completed",I3300*J3300,0)</x:f>
        <x:v>105</x:v>
      </x:c>
      <x:c r="N3300" s="9" t="n">
        <x:f>M3300*K3300</x:f>
        <x:v>5.25</x:v>
      </x:c>
      <x:c r="O3300" s="9" t="n">
        <x:f>M3300-N3300</x:f>
        <x:v>99.75</x:v>
      </x:c>
      <x:c r="P3300" s="9" t="n">
        <x:f>IF(D3300="Completed",L3300*J3300*(1-K3300),0)</x:f>
        <x:v>0</x:v>
      </x:c>
      <x:c r="Q3300" s="9" t="n">
        <x:f>O3300-P3300</x:f>
        <x:v>99.75</x:v>
      </x:c>
      <x:c r="R3300" s="11" t="n">
        <x:f>IF(D3300="Completed",I3300,0)</x:f>
        <x:v>3</x:v>
      </x:c>
      <x:c r="S3300" s="11" t="n">
        <x:f>IF(D3300="Completed",L3300,0)</x:f>
        <x:v>0</x:v>
      </x:c>
      <x:c r="T3300" s="8" t="n">
        <x:f>DATE(YEAR(C3300),MONTH(C3300),1)</x:f>
        <x:v>45839</x:v>
      </x:c>
    </x:row>
    <x:row r="3301" ht="22" customHeight="1">
      <x:c r="A3301" s="2" t="str">
        <x:v>L003297</x:v>
      </x:c>
      <x:c r="B3301" s="2" t="str">
        <x:v>O01347</x:v>
      </x:c>
      <x:c r="C3301" s="7" t="n">
        <x:v>45860</x:v>
      </x:c>
      <x:c r="D3301" s="2" t="str">
        <x:v>Completed</x:v>
      </x:c>
      <x:c r="E3301" s="2" t="str">
        <x:v>West</x:v>
      </x:c>
      <x:c r="F3301" s="2" t="str">
        <x:v>Store</x:v>
      </x:c>
      <x:c r="G3301" s="2" t="str">
        <x:v>Lighting</x:v>
      </x:c>
      <x:c r="H3301" s="2" t="str">
        <x:v>Lamp 005</x:v>
      </x:c>
      <x:c r="I3301" s="11" t="n">
        <x:v>1</x:v>
      </x:c>
      <x:c r="J3301" s="9" t="n">
        <x:v>65</x:v>
      </x:c>
      <x:c r="K3301" s="10" t="n">
        <x:v>0.1</x:v>
      </x:c>
      <x:c r="L3301" s="11" t="n">
        <x:v>0</x:v>
      </x:c>
      <x:c r="M3301" s="9" t="n">
        <x:f>IF(D3301="Completed",I3301*J3301,0)</x:f>
        <x:v>65</x:v>
      </x:c>
      <x:c r="N3301" s="9" t="n">
        <x:f>M3301*K3301</x:f>
        <x:v>6.5</x:v>
      </x:c>
      <x:c r="O3301" s="9" t="n">
        <x:f>M3301-N3301</x:f>
        <x:v>58.5</x:v>
      </x:c>
      <x:c r="P3301" s="9" t="n">
        <x:f>IF(D3301="Completed",L3301*J3301*(1-K3301),0)</x:f>
        <x:v>0</x:v>
      </x:c>
      <x:c r="Q3301" s="9" t="n">
        <x:f>O3301-P3301</x:f>
        <x:v>58.5</x:v>
      </x:c>
      <x:c r="R3301" s="11" t="n">
        <x:f>IF(D3301="Completed",I3301,0)</x:f>
        <x:v>1</x:v>
      </x:c>
      <x:c r="S3301" s="11" t="n">
        <x:f>IF(D3301="Completed",L3301,0)</x:f>
        <x:v>0</x:v>
      </x:c>
      <x:c r="T3301" s="8" t="n">
        <x:f>DATE(YEAR(C3301),MONTH(C3301),1)</x:f>
        <x:v>45839</x:v>
      </x:c>
    </x:row>
    <x:row r="3302" ht="22" customHeight="1">
      <x:c r="A3302" s="2" t="str">
        <x:v>L003298</x:v>
      </x:c>
      <x:c r="B3302" s="2" t="str">
        <x:v>O01348</x:v>
      </x:c>
      <x:c r="C3302" s="7" t="n">
        <x:v>45862</x:v>
      </x:c>
      <x:c r="D3302" s="2" t="str">
        <x:v>Completed</x:v>
      </x:c>
      <x:c r="E3302" s="2" t="str">
        <x:v>South</x:v>
      </x:c>
      <x:c r="F3302" s="2" t="str">
        <x:v>Store</x:v>
      </x:c>
      <x:c r="G3302" s="2" t="str">
        <x:v>Furniture</x:v>
      </x:c>
      <x:c r="H3302" s="2" t="str">
        <x:v>Desk 016</x:v>
      </x:c>
      <x:c r="I3302" s="11" t="n">
        <x:v>1</x:v>
      </x:c>
      <x:c r="J3302" s="9" t="n">
        <x:v>231</x:v>
      </x:c>
      <x:c r="K3302" s="10" t="n">
        <x:v>0.2</x:v>
      </x:c>
      <x:c r="L3302" s="11" t="n">
        <x:v>0</x:v>
      </x:c>
      <x:c r="M3302" s="9" t="n">
        <x:f>IF(D3302="Completed",I3302*J3302,0)</x:f>
        <x:v>231</x:v>
      </x:c>
      <x:c r="N3302" s="9" t="n">
        <x:f>M3302*K3302</x:f>
        <x:v>46.2</x:v>
      </x:c>
      <x:c r="O3302" s="9" t="n">
        <x:f>M3302-N3302</x:f>
        <x:v>184.8</x:v>
      </x:c>
      <x:c r="P3302" s="9" t="n">
        <x:f>IF(D3302="Completed",L3302*J3302*(1-K3302),0)</x:f>
        <x:v>0</x:v>
      </x:c>
      <x:c r="Q3302" s="9" t="n">
        <x:f>O3302-P3302</x:f>
        <x:v>184.8</x:v>
      </x:c>
      <x:c r="R3302" s="11" t="n">
        <x:f>IF(D3302="Completed",I3302,0)</x:f>
        <x:v>1</x:v>
      </x:c>
      <x:c r="S3302" s="11" t="n">
        <x:f>IF(D3302="Completed",L3302,0)</x:f>
        <x:v>0</x:v>
      </x:c>
      <x:c r="T3302" s="8" t="n">
        <x:f>DATE(YEAR(C3302),MONTH(C3302),1)</x:f>
        <x:v>45839</x:v>
      </x:c>
    </x:row>
    <x:row r="3303" ht="22" customHeight="1">
      <x:c r="A3303" s="2" t="str">
        <x:v>L003299</x:v>
      </x:c>
      <x:c r="B3303" s="2" t="str">
        <x:v>O01348</x:v>
      </x:c>
      <x:c r="C3303" s="7" t="n">
        <x:v>45862</x:v>
      </x:c>
      <x:c r="D3303" s="2" t="str">
        <x:v>Completed</x:v>
      </x:c>
      <x:c r="E3303" s="2" t="str">
        <x:v>South</x:v>
      </x:c>
      <x:c r="F3303" s="2" t="str">
        <x:v>Store</x:v>
      </x:c>
      <x:c r="G3303" s="2" t="str">
        <x:v>Lighting</x:v>
      </x:c>
      <x:c r="H3303" s="2" t="str">
        <x:v>Lamp 021</x:v>
      </x:c>
      <x:c r="I3303" s="11" t="n">
        <x:v>2</x:v>
      </x:c>
      <x:c r="J3303" s="9" t="n">
        <x:v>249</x:v>
      </x:c>
      <x:c r="K3303" s="10" t="n">
        <x:v>0.2</x:v>
      </x:c>
      <x:c r="L3303" s="11" t="n">
        <x:v>0</x:v>
      </x:c>
      <x:c r="M3303" s="9" t="n">
        <x:f>IF(D3303="Completed",I3303*J3303,0)</x:f>
        <x:v>498</x:v>
      </x:c>
      <x:c r="N3303" s="9" t="n">
        <x:f>M3303*K3303</x:f>
        <x:v>99.60000000000001</x:v>
      </x:c>
      <x:c r="O3303" s="9" t="n">
        <x:f>M3303-N3303</x:f>
        <x:v>398.4</x:v>
      </x:c>
      <x:c r="P3303" s="9" t="n">
        <x:f>IF(D3303="Completed",L3303*J3303*(1-K3303),0)</x:f>
        <x:v>0</x:v>
      </x:c>
      <x:c r="Q3303" s="9" t="n">
        <x:f>O3303-P3303</x:f>
        <x:v>398.4</x:v>
      </x:c>
      <x:c r="R3303" s="11" t="n">
        <x:f>IF(D3303="Completed",I3303,0)</x:f>
        <x:v>2</x:v>
      </x:c>
      <x:c r="S3303" s="11" t="n">
        <x:f>IF(D3303="Completed",L3303,0)</x:f>
        <x:v>0</x:v>
      </x:c>
      <x:c r="T3303" s="8" t="n">
        <x:f>DATE(YEAR(C3303),MONTH(C3303),1)</x:f>
        <x:v>45839</x:v>
      </x:c>
    </x:row>
    <x:row r="3304" ht="22" customHeight="1">
      <x:c r="A3304" s="2" t="str">
        <x:v>L003300</x:v>
      </x:c>
      <x:c r="B3304" s="2" t="str">
        <x:v>O01348</x:v>
      </x:c>
      <x:c r="C3304" s="7" t="n">
        <x:v>45862</x:v>
      </x:c>
      <x:c r="D3304" s="2" t="str">
        <x:v>Completed</x:v>
      </x:c>
      <x:c r="E3304" s="2" t="str">
        <x:v>South</x:v>
      </x:c>
      <x:c r="F3304" s="2" t="str">
        <x:v>Store</x:v>
      </x:c>
      <x:c r="G3304" s="2" t="str">
        <x:v>Storage</x:v>
      </x:c>
      <x:c r="H3304" s="2" t="str">
        <x:v>Shelf 011</x:v>
      </x:c>
      <x:c r="I3304" s="11" t="n">
        <x:v>3</x:v>
      </x:c>
      <x:c r="J3304" s="9" t="n">
        <x:v>80</x:v>
      </x:c>
      <x:c r="K3304" s="10" t="n">
        <x:v>0.1</x:v>
      </x:c>
      <x:c r="L3304" s="11" t="n">
        <x:v>0</x:v>
      </x:c>
      <x:c r="M3304" s="9" t="n">
        <x:f>IF(D3304="Completed",I3304*J3304,0)</x:f>
        <x:v>240</x:v>
      </x:c>
      <x:c r="N3304" s="9" t="n">
        <x:f>M3304*K3304</x:f>
        <x:v>24</x:v>
      </x:c>
      <x:c r="O3304" s="9" t="n">
        <x:f>M3304-N3304</x:f>
        <x:v>216</x:v>
      </x:c>
      <x:c r="P3304" s="9" t="n">
        <x:f>IF(D3304="Completed",L3304*J3304*(1-K3304),0)</x:f>
        <x:v>0</x:v>
      </x:c>
      <x:c r="Q3304" s="9" t="n">
        <x:f>O3304-P3304</x:f>
        <x:v>216</x:v>
      </x:c>
      <x:c r="R3304" s="11" t="n">
        <x:f>IF(D3304="Completed",I3304,0)</x:f>
        <x:v>3</x:v>
      </x:c>
      <x:c r="S3304" s="11" t="n">
        <x:f>IF(D3304="Completed",L3304,0)</x:f>
        <x:v>0</x:v>
      </x:c>
      <x:c r="T3304" s="8" t="n">
        <x:f>DATE(YEAR(C3304),MONTH(C3304),1)</x:f>
        <x:v>45839</x:v>
      </x:c>
    </x:row>
    <x:row r="3305" ht="22" customHeight="1">
      <x:c r="A3305" s="2" t="str">
        <x:v>L003301</x:v>
      </x:c>
      <x:c r="B3305" s="2" t="str">
        <x:v>O01348</x:v>
      </x:c>
      <x:c r="C3305" s="7" t="n">
        <x:v>45862</x:v>
      </x:c>
      <x:c r="D3305" s="2" t="str">
        <x:v>Completed</x:v>
      </x:c>
      <x:c r="E3305" s="2" t="str">
        <x:v>South</x:v>
      </x:c>
      <x:c r="F3305" s="2" t="str">
        <x:v>Store</x:v>
      </x:c>
      <x:c r="G3305" s="2" t="str">
        <x:v>Furniture</x:v>
      </x:c>
      <x:c r="H3305" s="2" t="str">
        <x:v>Desk 024</x:v>
      </x:c>
      <x:c r="I3305" s="11" t="n">
        <x:v>5</x:v>
      </x:c>
      <x:c r="J3305" s="9" t="n">
        <x:v>81</x:v>
      </x:c>
      <x:c r="K3305" s="10" t="n">
        <x:v>0.05</x:v>
      </x:c>
      <x:c r="L3305" s="11" t="n">
        <x:v>0</x:v>
      </x:c>
      <x:c r="M3305" s="9" t="n">
        <x:f>IF(D3305="Completed",I3305*J3305,0)</x:f>
        <x:v>405</x:v>
      </x:c>
      <x:c r="N3305" s="9" t="n">
        <x:f>M3305*K3305</x:f>
        <x:v>20.25</x:v>
      </x:c>
      <x:c r="O3305" s="9" t="n">
        <x:f>M3305-N3305</x:f>
        <x:v>384.75</x:v>
      </x:c>
      <x:c r="P3305" s="9" t="n">
        <x:f>IF(D3305="Completed",L3305*J3305*(1-K3305),0)</x:f>
        <x:v>0</x:v>
      </x:c>
      <x:c r="Q3305" s="9" t="n">
        <x:f>O3305-P3305</x:f>
        <x:v>384.75</x:v>
      </x:c>
      <x:c r="R3305" s="11" t="n">
        <x:f>IF(D3305="Completed",I3305,0)</x:f>
        <x:v>5</x:v>
      </x:c>
      <x:c r="S3305" s="11" t="n">
        <x:f>IF(D3305="Completed",L3305,0)</x:f>
        <x:v>0</x:v>
      </x:c>
      <x:c r="T3305" s="8" t="n">
        <x:f>DATE(YEAR(C3305),MONTH(C3305),1)</x:f>
        <x:v>45839</x:v>
      </x:c>
    </x:row>
    <x:row r="3306" ht="22" customHeight="1">
      <x:c r="A3306" s="2" t="str">
        <x:v>L003302</x:v>
      </x:c>
      <x:c r="B3306" s="2" t="str">
        <x:v>O01349</x:v>
      </x:c>
      <x:c r="C3306" s="7" t="n">
        <x:v>45863</x:v>
      </x:c>
      <x:c r="D3306" s="2" t="str">
        <x:v>Completed</x:v>
      </x:c>
      <x:c r="E3306" s="2" t="str">
        <x:v>East</x:v>
      </x:c>
      <x:c r="F3306" s="2" t="str">
        <x:v>Online</x:v>
      </x:c>
      <x:c r="G3306" s="2" t="str">
        <x:v>Furniture</x:v>
      </x:c>
      <x:c r="H3306" s="2" t="str">
        <x:v>Desk 020</x:v>
      </x:c>
      <x:c r="I3306" s="11" t="n">
        <x:v>5</x:v>
      </x:c>
      <x:c r="J3306" s="9" t="n">
        <x:v>189</x:v>
      </x:c>
      <x:c r="K3306" s="10" t="n">
        <x:v>0.1</x:v>
      </x:c>
      <x:c r="L3306" s="11" t="n">
        <x:v>0</x:v>
      </x:c>
      <x:c r="M3306" s="9" t="n">
        <x:f>IF(D3306="Completed",I3306*J3306,0)</x:f>
        <x:v>945</x:v>
      </x:c>
      <x:c r="N3306" s="9" t="n">
        <x:f>M3306*K3306</x:f>
        <x:v>94.5</x:v>
      </x:c>
      <x:c r="O3306" s="9" t="n">
        <x:f>M3306-N3306</x:f>
        <x:v>850.5</x:v>
      </x:c>
      <x:c r="P3306" s="9" t="n">
        <x:f>IF(D3306="Completed",L3306*J3306*(1-K3306),0)</x:f>
        <x:v>0</x:v>
      </x:c>
      <x:c r="Q3306" s="9" t="n">
        <x:f>O3306-P3306</x:f>
        <x:v>850.5</x:v>
      </x:c>
      <x:c r="R3306" s="11" t="n">
        <x:f>IF(D3306="Completed",I3306,0)</x:f>
        <x:v>5</x:v>
      </x:c>
      <x:c r="S3306" s="11" t="n">
        <x:f>IF(D3306="Completed",L3306,0)</x:f>
        <x:v>0</x:v>
      </x:c>
      <x:c r="T3306" s="8" t="n">
        <x:f>DATE(YEAR(C3306),MONTH(C3306),1)</x:f>
        <x:v>45839</x:v>
      </x:c>
    </x:row>
    <x:row r="3307" ht="22" customHeight="1">
      <x:c r="A3307" s="2" t="str">
        <x:v>L003303</x:v>
      </x:c>
      <x:c r="B3307" s="2" t="str">
        <x:v>O01349</x:v>
      </x:c>
      <x:c r="C3307" s="7" t="n">
        <x:v>45863</x:v>
      </x:c>
      <x:c r="D3307" s="2" t="str">
        <x:v>Completed</x:v>
      </x:c>
      <x:c r="E3307" s="2" t="str">
        <x:v>East</x:v>
      </x:c>
      <x:c r="F3307" s="2" t="str">
        <x:v>Online</x:v>
      </x:c>
      <x:c r="G3307" s="2" t="str">
        <x:v>Furniture</x:v>
      </x:c>
      <x:c r="H3307" s="2" t="str">
        <x:v>Desk 016</x:v>
      </x:c>
      <x:c r="I3307" s="11" t="n">
        <x:v>4</x:v>
      </x:c>
      <x:c r="J3307" s="9" t="n">
        <x:v>231</x:v>
      </x:c>
      <x:c r="K3307" s="10" t="n">
        <x:v>0.1</x:v>
      </x:c>
      <x:c r="L3307" s="11" t="n">
        <x:v>0</x:v>
      </x:c>
      <x:c r="M3307" s="9" t="n">
        <x:f>IF(D3307="Completed",I3307*J3307,0)</x:f>
        <x:v>924</x:v>
      </x:c>
      <x:c r="N3307" s="9" t="n">
        <x:f>M3307*K3307</x:f>
        <x:v>92.4</x:v>
      </x:c>
      <x:c r="O3307" s="9" t="n">
        <x:f>M3307-N3307</x:f>
        <x:v>831.6</x:v>
      </x:c>
      <x:c r="P3307" s="9" t="n">
        <x:f>IF(D3307="Completed",L3307*J3307*(1-K3307),0)</x:f>
        <x:v>0</x:v>
      </x:c>
      <x:c r="Q3307" s="9" t="n">
        <x:f>O3307-P3307</x:f>
        <x:v>831.6</x:v>
      </x:c>
      <x:c r="R3307" s="11" t="n">
        <x:f>IF(D3307="Completed",I3307,0)</x:f>
        <x:v>4</x:v>
      </x:c>
      <x:c r="S3307" s="11" t="n">
        <x:f>IF(D3307="Completed",L3307,0)</x:f>
        <x:v>0</x:v>
      </x:c>
      <x:c r="T3307" s="8" t="n">
        <x:f>DATE(YEAR(C3307),MONTH(C3307),1)</x:f>
        <x:v>45839</x:v>
      </x:c>
    </x:row>
    <x:row r="3308" ht="22" customHeight="1">
      <x:c r="A3308" s="2" t="str">
        <x:v>L003304</x:v>
      </x:c>
      <x:c r="B3308" s="2" t="str">
        <x:v>O01349</x:v>
      </x:c>
      <x:c r="C3308" s="7" t="n">
        <x:v>45863</x:v>
      </x:c>
      <x:c r="D3308" s="2" t="str">
        <x:v>Completed</x:v>
      </x:c>
      <x:c r="E3308" s="2" t="str">
        <x:v>East</x:v>
      </x:c>
      <x:c r="F3308" s="2" t="str">
        <x:v>Online</x:v>
      </x:c>
      <x:c r="G3308" s="2" t="str">
        <x:v>Furniture</x:v>
      </x:c>
      <x:c r="H3308" s="2" t="str">
        <x:v>Chair 018</x:v>
      </x:c>
      <x:c r="I3308" s="11" t="n">
        <x:v>3</x:v>
      </x:c>
      <x:c r="J3308" s="9" t="n">
        <x:v>269</x:v>
      </x:c>
      <x:c r="K3308" s="10" t="n">
        <x:v>0.1</x:v>
      </x:c>
      <x:c r="L3308" s="11" t="n">
        <x:v>0</x:v>
      </x:c>
      <x:c r="M3308" s="9" t="n">
        <x:f>IF(D3308="Completed",I3308*J3308,0)</x:f>
        <x:v>807</x:v>
      </x:c>
      <x:c r="N3308" s="9" t="n">
        <x:f>M3308*K3308</x:f>
        <x:v>80.7</x:v>
      </x:c>
      <x:c r="O3308" s="9" t="n">
        <x:f>M3308-N3308</x:f>
        <x:v>726.3</x:v>
      </x:c>
      <x:c r="P3308" s="9" t="n">
        <x:f>IF(D3308="Completed",L3308*J3308*(1-K3308),0)</x:f>
        <x:v>0</x:v>
      </x:c>
      <x:c r="Q3308" s="9" t="n">
        <x:f>O3308-P3308</x:f>
        <x:v>726.3</x:v>
      </x:c>
      <x:c r="R3308" s="11" t="n">
        <x:f>IF(D3308="Completed",I3308,0)</x:f>
        <x:v>3</x:v>
      </x:c>
      <x:c r="S3308" s="11" t="n">
        <x:f>IF(D3308="Completed",L3308,0)</x:f>
        <x:v>0</x:v>
      </x:c>
      <x:c r="T3308" s="8" t="n">
        <x:f>DATE(YEAR(C3308),MONTH(C3308),1)</x:f>
        <x:v>45839</x:v>
      </x:c>
    </x:row>
    <x:row r="3309" ht="22" customHeight="1">
      <x:c r="A3309" s="2" t="str">
        <x:v>L003305</x:v>
      </x:c>
      <x:c r="B3309" s="2" t="str">
        <x:v>O01349</x:v>
      </x:c>
      <x:c r="C3309" s="7" t="n">
        <x:v>45863</x:v>
      </x:c>
      <x:c r="D3309" s="2" t="str">
        <x:v>Completed</x:v>
      </x:c>
      <x:c r="E3309" s="2" t="str">
        <x:v>East</x:v>
      </x:c>
      <x:c r="F3309" s="2" t="str">
        <x:v>Online</x:v>
      </x:c>
      <x:c r="G3309" s="2" t="str">
        <x:v>Storage</x:v>
      </x:c>
      <x:c r="H3309" s="2" t="str">
        <x:v>Shelf 007</x:v>
      </x:c>
      <x:c r="I3309" s="11" t="n">
        <x:v>4</x:v>
      </x:c>
      <x:c r="J3309" s="9" t="n">
        <x:v>35</x:v>
      </x:c>
      <x:c r="K3309" s="10" t="n">
        <x:v>0.05</x:v>
      </x:c>
      <x:c r="L3309" s="11" t="n">
        <x:v>0</x:v>
      </x:c>
      <x:c r="M3309" s="9" t="n">
        <x:f>IF(D3309="Completed",I3309*J3309,0)</x:f>
        <x:v>140</x:v>
      </x:c>
      <x:c r="N3309" s="9" t="n">
        <x:f>M3309*K3309</x:f>
        <x:v>7</x:v>
      </x:c>
      <x:c r="O3309" s="9" t="n">
        <x:f>M3309-N3309</x:f>
        <x:v>133</x:v>
      </x:c>
      <x:c r="P3309" s="9" t="n">
        <x:f>IF(D3309="Completed",L3309*J3309*(1-K3309),0)</x:f>
        <x:v>0</x:v>
      </x:c>
      <x:c r="Q3309" s="9" t="n">
        <x:f>O3309-P3309</x:f>
        <x:v>133</x:v>
      </x:c>
      <x:c r="R3309" s="11" t="n">
        <x:f>IF(D3309="Completed",I3309,0)</x:f>
        <x:v>4</x:v>
      </x:c>
      <x:c r="S3309" s="11" t="n">
        <x:f>IF(D3309="Completed",L3309,0)</x:f>
        <x:v>0</x:v>
      </x:c>
      <x:c r="T3309" s="8" t="n">
        <x:f>DATE(YEAR(C3309),MONTH(C3309),1)</x:f>
        <x:v>45839</x:v>
      </x:c>
    </x:row>
    <x:row r="3310" ht="22" customHeight="1">
      <x:c r="A3310" s="2" t="str">
        <x:v>L003306</x:v>
      </x:c>
      <x:c r="B3310" s="2" t="str">
        <x:v>O01350</x:v>
      </x:c>
      <x:c r="C3310" s="7" t="n">
        <x:v>45981</x:v>
      </x:c>
      <x:c r="D3310" s="2" t="str">
        <x:v>Completed</x:v>
      </x:c>
      <x:c r="E3310" s="2" t="str">
        <x:v>West</x:v>
      </x:c>
      <x:c r="F3310" s="2" t="str">
        <x:v>Store</x:v>
      </x:c>
      <x:c r="G3310" s="2" t="str">
        <x:v>Storage</x:v>
      </x:c>
      <x:c r="H3310" s="2" t="str">
        <x:v>Shelf 007</x:v>
      </x:c>
      <x:c r="I3310" s="11" t="n">
        <x:v>5</x:v>
      </x:c>
      <x:c r="J3310" s="9" t="n">
        <x:v>35</x:v>
      </x:c>
      <x:c r="K3310" s="10" t="n">
        <x:v>0.1</x:v>
      </x:c>
      <x:c r="L3310" s="11" t="n">
        <x:v>2</x:v>
      </x:c>
      <x:c r="M3310" s="9" t="n">
        <x:f>IF(D3310="Completed",I3310*J3310,0)</x:f>
        <x:v>175</x:v>
      </x:c>
      <x:c r="N3310" s="9" t="n">
        <x:f>M3310*K3310</x:f>
        <x:v>17.5</x:v>
      </x:c>
      <x:c r="O3310" s="9" t="n">
        <x:f>M3310-N3310</x:f>
        <x:v>157.5</x:v>
      </x:c>
      <x:c r="P3310" s="9" t="n">
        <x:f>IF(D3310="Completed",L3310*J3310*(1-K3310),0)</x:f>
        <x:v>63</x:v>
      </x:c>
      <x:c r="Q3310" s="9" t="n">
        <x:f>O3310-P3310</x:f>
        <x:v>94.5</x:v>
      </x:c>
      <x:c r="R3310" s="11" t="n">
        <x:f>IF(D3310="Completed",I3310,0)</x:f>
        <x:v>5</x:v>
      </x:c>
      <x:c r="S3310" s="11" t="n">
        <x:f>IF(D3310="Completed",L3310,0)</x:f>
        <x:v>2</x:v>
      </x:c>
      <x:c r="T3310" s="8" t="n">
        <x:f>DATE(YEAR(C3310),MONTH(C3310),1)</x:f>
        <x:v>45962</x:v>
      </x:c>
    </x:row>
    <x:row r="3311" ht="22" customHeight="1">
      <x:c r="A3311" s="2" t="str">
        <x:v>L003307</x:v>
      </x:c>
      <x:c r="B3311" s="2" t="str">
        <x:v>O01351</x:v>
      </x:c>
      <x:c r="C3311" s="7" t="n">
        <x:v>45907</x:v>
      </x:c>
      <x:c r="D3311" s="2" t="str">
        <x:v>Completed</x:v>
      </x:c>
      <x:c r="E3311" s="2" t="str">
        <x:v>South</x:v>
      </x:c>
      <x:c r="F3311" s="2" t="str">
        <x:v>Store</x:v>
      </x:c>
      <x:c r="G3311" s="2" t="str">
        <x:v>Furniture</x:v>
      </x:c>
      <x:c r="H3311" s="2" t="str">
        <x:v>Chair 006</x:v>
      </x:c>
      <x:c r="I3311" s="11" t="n">
        <x:v>3</x:v>
      </x:c>
      <x:c r="J3311" s="9" t="n">
        <x:v>196</x:v>
      </x:c>
      <x:c r="K3311" s="10" t="n">
        <x:v>0.2</x:v>
      </x:c>
      <x:c r="L3311" s="11" t="n">
        <x:v>0</x:v>
      </x:c>
      <x:c r="M3311" s="9" t="n">
        <x:f>IF(D3311="Completed",I3311*J3311,0)</x:f>
        <x:v>588</x:v>
      </x:c>
      <x:c r="N3311" s="9" t="n">
        <x:f>M3311*K3311</x:f>
        <x:v>117.60000000000001</x:v>
      </x:c>
      <x:c r="O3311" s="9" t="n">
        <x:f>M3311-N3311</x:f>
        <x:v>470.4</x:v>
      </x:c>
      <x:c r="P3311" s="9" t="n">
        <x:f>IF(D3311="Completed",L3311*J3311*(1-K3311),0)</x:f>
        <x:v>0</x:v>
      </x:c>
      <x:c r="Q3311" s="9" t="n">
        <x:f>O3311-P3311</x:f>
        <x:v>470.4</x:v>
      </x:c>
      <x:c r="R3311" s="11" t="n">
        <x:f>IF(D3311="Completed",I3311,0)</x:f>
        <x:v>3</x:v>
      </x:c>
      <x:c r="S3311" s="11" t="n">
        <x:f>IF(D3311="Completed",L3311,0)</x:f>
        <x:v>0</x:v>
      </x:c>
      <x:c r="T3311" s="8" t="n">
        <x:f>DATE(YEAR(C3311),MONTH(C3311),1)</x:f>
        <x:v>45901</x:v>
      </x:c>
    </x:row>
    <x:row r="3312" ht="22" customHeight="1">
      <x:c r="A3312" s="2" t="str">
        <x:v>L003308</x:v>
      </x:c>
      <x:c r="B3312" s="2" t="str">
        <x:v>O01351</x:v>
      </x:c>
      <x:c r="C3312" s="7" t="n">
        <x:v>45907</x:v>
      </x:c>
      <x:c r="D3312" s="2" t="str">
        <x:v>Completed</x:v>
      </x:c>
      <x:c r="E3312" s="2" t="str">
        <x:v>South</x:v>
      </x:c>
      <x:c r="F3312" s="2" t="str">
        <x:v>Store</x:v>
      </x:c>
      <x:c r="G3312" s="2" t="str">
        <x:v>Lighting</x:v>
      </x:c>
      <x:c r="H3312" s="2" t="str">
        <x:v>Lamp 021</x:v>
      </x:c>
      <x:c r="I3312" s="11" t="n">
        <x:v>1</x:v>
      </x:c>
      <x:c r="J3312" s="9" t="n">
        <x:v>249</x:v>
      </x:c>
      <x:c r="K3312" s="10" t="n">
        <x:v>0</x:v>
      </x:c>
      <x:c r="L3312" s="11" t="n">
        <x:v>0</x:v>
      </x:c>
      <x:c r="M3312" s="9" t="n">
        <x:f>IF(D3312="Completed",I3312*J3312,0)</x:f>
        <x:v>249</x:v>
      </x:c>
      <x:c r="N3312" s="9" t="n">
        <x:f>M3312*K3312</x:f>
        <x:v>0</x:v>
      </x:c>
      <x:c r="O3312" s="9" t="n">
        <x:f>M3312-N3312</x:f>
        <x:v>249</x:v>
      </x:c>
      <x:c r="P3312" s="9" t="n">
        <x:f>IF(D3312="Completed",L3312*J3312*(1-K3312),0)</x:f>
        <x:v>0</x:v>
      </x:c>
      <x:c r="Q3312" s="9" t="n">
        <x:f>O3312-P3312</x:f>
        <x:v>249</x:v>
      </x:c>
      <x:c r="R3312" s="11" t="n">
        <x:f>IF(D3312="Completed",I3312,0)</x:f>
        <x:v>1</x:v>
      </x:c>
      <x:c r="S3312" s="11" t="n">
        <x:f>IF(D3312="Completed",L3312,0)</x:f>
        <x:v>0</x:v>
      </x:c>
      <x:c r="T3312" s="8" t="n">
        <x:f>DATE(YEAR(C3312),MONTH(C3312),1)</x:f>
        <x:v>45901</x:v>
      </x:c>
    </x:row>
    <x:row r="3313" ht="22" customHeight="1">
      <x:c r="A3313" s="2" t="str">
        <x:v>L003309</x:v>
      </x:c>
      <x:c r="B3313" s="2" t="str">
        <x:v>O01351</x:v>
      </x:c>
      <x:c r="C3313" s="7" t="n">
        <x:v>45907</x:v>
      </x:c>
      <x:c r="D3313" s="2" t="str">
        <x:v>Completed</x:v>
      </x:c>
      <x:c r="E3313" s="2" t="str">
        <x:v>South</x:v>
      </x:c>
      <x:c r="F3313" s="2" t="str">
        <x:v>Store</x:v>
      </x:c>
      <x:c r="G3313" s="2" t="str">
        <x:v>Furniture</x:v>
      </x:c>
      <x:c r="H3313" s="2" t="str">
        <x:v>Chair 022</x:v>
      </x:c>
      <x:c r="I3313" s="11" t="n">
        <x:v>3</x:v>
      </x:c>
      <x:c r="J3313" s="9" t="n">
        <x:v>134</x:v>
      </x:c>
      <x:c r="K3313" s="10" t="n">
        <x:v>0</x:v>
      </x:c>
      <x:c r="L3313" s="11" t="n">
        <x:v>0</x:v>
      </x:c>
      <x:c r="M3313" s="9" t="n">
        <x:f>IF(D3313="Completed",I3313*J3313,0)</x:f>
        <x:v>402</x:v>
      </x:c>
      <x:c r="N3313" s="9" t="n">
        <x:f>M3313*K3313</x:f>
        <x:v>0</x:v>
      </x:c>
      <x:c r="O3313" s="9" t="n">
        <x:f>M3313-N3313</x:f>
        <x:v>402</x:v>
      </x:c>
      <x:c r="P3313" s="9" t="n">
        <x:f>IF(D3313="Completed",L3313*J3313*(1-K3313),0)</x:f>
        <x:v>0</x:v>
      </x:c>
      <x:c r="Q3313" s="9" t="n">
        <x:f>O3313-P3313</x:f>
        <x:v>402</x:v>
      </x:c>
      <x:c r="R3313" s="11" t="n">
        <x:f>IF(D3313="Completed",I3313,0)</x:f>
        <x:v>3</x:v>
      </x:c>
      <x:c r="S3313" s="11" t="n">
        <x:f>IF(D3313="Completed",L3313,0)</x:f>
        <x:v>0</x:v>
      </x:c>
      <x:c r="T3313" s="8" t="n">
        <x:f>DATE(YEAR(C3313),MONTH(C3313),1)</x:f>
        <x:v>45901</x:v>
      </x:c>
    </x:row>
    <x:row r="3314" ht="22" customHeight="1">
      <x:c r="A3314" s="2" t="str">
        <x:v>L003310</x:v>
      </x:c>
      <x:c r="B3314" s="2" t="str">
        <x:v>O01352</x:v>
      </x:c>
      <x:c r="C3314" s="7" t="n">
        <x:v>45773</x:v>
      </x:c>
      <x:c r="D3314" s="2" t="str">
        <x:v>Completed</x:v>
      </x:c>
      <x:c r="E3314" s="2" t="str">
        <x:v>East</x:v>
      </x:c>
      <x:c r="F3314" s="2" t="str">
        <x:v>Store</x:v>
      </x:c>
      <x:c r="G3314" s="2" t="str">
        <x:v>Lighting</x:v>
      </x:c>
      <x:c r="H3314" s="2" t="str">
        <x:v>Lamp 009</x:v>
      </x:c>
      <x:c r="I3314" s="11" t="n">
        <x:v>1</x:v>
      </x:c>
      <x:c r="J3314" s="9" t="n">
        <x:v>93</x:v>
      </x:c>
      <x:c r="K3314" s="10" t="n">
        <x:v>0.1</x:v>
      </x:c>
      <x:c r="L3314" s="11" t="n">
        <x:v>0</x:v>
      </x:c>
      <x:c r="M3314" s="9" t="n">
        <x:f>IF(D3314="Completed",I3314*J3314,0)</x:f>
        <x:v>93</x:v>
      </x:c>
      <x:c r="N3314" s="9" t="n">
        <x:f>M3314*K3314</x:f>
        <x:v>9.3</x:v>
      </x:c>
      <x:c r="O3314" s="9" t="n">
        <x:f>M3314-N3314</x:f>
        <x:v>83.7</x:v>
      </x:c>
      <x:c r="P3314" s="9" t="n">
        <x:f>IF(D3314="Completed",L3314*J3314*(1-K3314),0)</x:f>
        <x:v>0</x:v>
      </x:c>
      <x:c r="Q3314" s="9" t="n">
        <x:f>O3314-P3314</x:f>
        <x:v>83.7</x:v>
      </x:c>
      <x:c r="R3314" s="11" t="n">
        <x:f>IF(D3314="Completed",I3314,0)</x:f>
        <x:v>1</x:v>
      </x:c>
      <x:c r="S3314" s="11" t="n">
        <x:f>IF(D3314="Completed",L3314,0)</x:f>
        <x:v>0</x:v>
      </x:c>
      <x:c r="T3314" s="8" t="n">
        <x:f>DATE(YEAR(C3314),MONTH(C3314),1)</x:f>
        <x:v>45748</x:v>
      </x:c>
    </x:row>
    <x:row r="3315" ht="22" customHeight="1">
      <x:c r="A3315" s="2" t="str">
        <x:v>L003311</x:v>
      </x:c>
      <x:c r="B3315" s="2" t="str">
        <x:v>O01352</x:v>
      </x:c>
      <x:c r="C3315" s="7" t="n">
        <x:v>45773</x:v>
      </x:c>
      <x:c r="D3315" s="2" t="str">
        <x:v>Completed</x:v>
      </x:c>
      <x:c r="E3315" s="2" t="str">
        <x:v>East</x:v>
      </x:c>
      <x:c r="F3315" s="2" t="str">
        <x:v>Store</x:v>
      </x:c>
      <x:c r="G3315" s="2" t="str">
        <x:v>Lighting</x:v>
      </x:c>
      <x:c r="H3315" s="2" t="str">
        <x:v>Lamp 001</x:v>
      </x:c>
      <x:c r="I3315" s="11" t="n">
        <x:v>1</x:v>
      </x:c>
      <x:c r="J3315" s="9" t="n">
        <x:v>122</x:v>
      </x:c>
      <x:c r="K3315" s="10" t="n">
        <x:v>0.1</x:v>
      </x:c>
      <x:c r="L3315" s="11" t="n">
        <x:v>0</x:v>
      </x:c>
      <x:c r="M3315" s="9" t="n">
        <x:f>IF(D3315="Completed",I3315*J3315,0)</x:f>
        <x:v>122</x:v>
      </x:c>
      <x:c r="N3315" s="9" t="n">
        <x:f>M3315*K3315</x:f>
        <x:v>12.200000000000001</x:v>
      </x:c>
      <x:c r="O3315" s="9" t="n">
        <x:f>M3315-N3315</x:f>
        <x:v>109.8</x:v>
      </x:c>
      <x:c r="P3315" s="9" t="n">
        <x:f>IF(D3315="Completed",L3315*J3315*(1-K3315),0)</x:f>
        <x:v>0</x:v>
      </x:c>
      <x:c r="Q3315" s="9" t="n">
        <x:f>O3315-P3315</x:f>
        <x:v>109.8</x:v>
      </x:c>
      <x:c r="R3315" s="11" t="n">
        <x:f>IF(D3315="Completed",I3315,0)</x:f>
        <x:v>1</x:v>
      </x:c>
      <x:c r="S3315" s="11" t="n">
        <x:f>IF(D3315="Completed",L3315,0)</x:f>
        <x:v>0</x:v>
      </x:c>
      <x:c r="T3315" s="8" t="n">
        <x:f>DATE(YEAR(C3315),MONTH(C3315),1)</x:f>
        <x:v>45748</x:v>
      </x:c>
    </x:row>
    <x:row r="3316" ht="22" customHeight="1">
      <x:c r="A3316" s="2" t="str">
        <x:v>L003312</x:v>
      </x:c>
      <x:c r="B3316" s="2" t="str">
        <x:v>O01352</x:v>
      </x:c>
      <x:c r="C3316" s="7" t="n">
        <x:v>45773</x:v>
      </x:c>
      <x:c r="D3316" s="2" t="str">
        <x:v>Completed</x:v>
      </x:c>
      <x:c r="E3316" s="2" t="str">
        <x:v>East</x:v>
      </x:c>
      <x:c r="F3316" s="2" t="str">
        <x:v>Store</x:v>
      </x:c>
      <x:c r="G3316" s="2" t="str">
        <x:v>Lighting</x:v>
      </x:c>
      <x:c r="H3316" s="2" t="str">
        <x:v>Lamp 013</x:v>
      </x:c>
      <x:c r="I3316" s="11" t="n">
        <x:v>5</x:v>
      </x:c>
      <x:c r="J3316" s="9" t="n">
        <x:v>271</x:v>
      </x:c>
      <x:c r="K3316" s="10" t="n">
        <x:v>0.2</x:v>
      </x:c>
      <x:c r="L3316" s="11" t="n">
        <x:v>0</x:v>
      </x:c>
      <x:c r="M3316" s="9" t="n">
        <x:f>IF(D3316="Completed",I3316*J3316,0)</x:f>
        <x:v>1355</x:v>
      </x:c>
      <x:c r="N3316" s="9" t="n">
        <x:f>M3316*K3316</x:f>
        <x:v>271</x:v>
      </x:c>
      <x:c r="O3316" s="9" t="n">
        <x:f>M3316-N3316</x:f>
        <x:v>1084</x:v>
      </x:c>
      <x:c r="P3316" s="9" t="n">
        <x:f>IF(D3316="Completed",L3316*J3316*(1-K3316),0)</x:f>
        <x:v>0</x:v>
      </x:c>
      <x:c r="Q3316" s="9" t="n">
        <x:f>O3316-P3316</x:f>
        <x:v>1084</x:v>
      </x:c>
      <x:c r="R3316" s="11" t="n">
        <x:f>IF(D3316="Completed",I3316,0)</x:f>
        <x:v>5</x:v>
      </x:c>
      <x:c r="S3316" s="11" t="n">
        <x:f>IF(D3316="Completed",L3316,0)</x:f>
        <x:v>0</x:v>
      </x:c>
      <x:c r="T3316" s="8" t="n">
        <x:f>DATE(YEAR(C3316),MONTH(C3316),1)</x:f>
        <x:v>45748</x:v>
      </x:c>
    </x:row>
    <x:row r="3317" ht="22" customHeight="1">
      <x:c r="A3317" s="2" t="str">
        <x:v>L003313</x:v>
      </x:c>
      <x:c r="B3317" s="2" t="str">
        <x:v>O01352</x:v>
      </x:c>
      <x:c r="C3317" s="7" t="n">
        <x:v>45773</x:v>
      </x:c>
      <x:c r="D3317" s="2" t="str">
        <x:v>Completed</x:v>
      </x:c>
      <x:c r="E3317" s="2" t="str">
        <x:v>East</x:v>
      </x:c>
      <x:c r="F3317" s="2" t="str">
        <x:v>Store</x:v>
      </x:c>
      <x:c r="G3317" s="2" t="str">
        <x:v>Lighting</x:v>
      </x:c>
      <x:c r="H3317" s="2" t="str">
        <x:v>Lamp 021</x:v>
      </x:c>
      <x:c r="I3317" s="11" t="n">
        <x:v>4</x:v>
      </x:c>
      <x:c r="J3317" s="9" t="n">
        <x:v>249</x:v>
      </x:c>
      <x:c r="K3317" s="10" t="n">
        <x:v>0.05</x:v>
      </x:c>
      <x:c r="L3317" s="11" t="n">
        <x:v>0</x:v>
      </x:c>
      <x:c r="M3317" s="9" t="n">
        <x:f>IF(D3317="Completed",I3317*J3317,0)</x:f>
        <x:v>996</x:v>
      </x:c>
      <x:c r="N3317" s="9" t="n">
        <x:f>M3317*K3317</x:f>
        <x:v>49.800000000000004</x:v>
      </x:c>
      <x:c r="O3317" s="9" t="n">
        <x:f>M3317-N3317</x:f>
        <x:v>946.2</x:v>
      </x:c>
      <x:c r="P3317" s="9" t="n">
        <x:f>IF(D3317="Completed",L3317*J3317*(1-K3317),0)</x:f>
        <x:v>0</x:v>
      </x:c>
      <x:c r="Q3317" s="9" t="n">
        <x:f>O3317-P3317</x:f>
        <x:v>946.2</x:v>
      </x:c>
      <x:c r="R3317" s="11" t="n">
        <x:f>IF(D3317="Completed",I3317,0)</x:f>
        <x:v>4</x:v>
      </x:c>
      <x:c r="S3317" s="11" t="n">
        <x:f>IF(D3317="Completed",L3317,0)</x:f>
        <x:v>0</x:v>
      </x:c>
      <x:c r="T3317" s="8" t="n">
        <x:f>DATE(YEAR(C3317),MONTH(C3317),1)</x:f>
        <x:v>45748</x:v>
      </x:c>
    </x:row>
    <x:row r="3318" ht="22" customHeight="1">
      <x:c r="A3318" s="2" t="str">
        <x:v>L003314</x:v>
      </x:c>
      <x:c r="B3318" s="2" t="str">
        <x:v>O01353</x:v>
      </x:c>
      <x:c r="C3318" s="7" t="n">
        <x:v>45724</x:v>
      </x:c>
      <x:c r="D3318" s="2" t="str">
        <x:v>Completed</x:v>
      </x:c>
      <x:c r="E3318" s="2" t="str">
        <x:v>South</x:v>
      </x:c>
      <x:c r="F3318" s="2" t="str">
        <x:v>Online</x:v>
      </x:c>
      <x:c r="G3318" s="2" t="str">
        <x:v>Lighting</x:v>
      </x:c>
      <x:c r="H3318" s="2" t="str">
        <x:v>Lamp 001</x:v>
      </x:c>
      <x:c r="I3318" s="11" t="n">
        <x:v>5</x:v>
      </x:c>
      <x:c r="J3318" s="9" t="n">
        <x:v>122</x:v>
      </x:c>
      <x:c r="K3318" s="10" t="n">
        <x:v>0</x:v>
      </x:c>
      <x:c r="L3318" s="11" t="n">
        <x:v>0</x:v>
      </x:c>
      <x:c r="M3318" s="9" t="n">
        <x:f>IF(D3318="Completed",I3318*J3318,0)</x:f>
        <x:v>610</x:v>
      </x:c>
      <x:c r="N3318" s="9" t="n">
        <x:f>M3318*K3318</x:f>
        <x:v>0</x:v>
      </x:c>
      <x:c r="O3318" s="9" t="n">
        <x:f>M3318-N3318</x:f>
        <x:v>610</x:v>
      </x:c>
      <x:c r="P3318" s="9" t="n">
        <x:f>IF(D3318="Completed",L3318*J3318*(1-K3318),0)</x:f>
        <x:v>0</x:v>
      </x:c>
      <x:c r="Q3318" s="9" t="n">
        <x:f>O3318-P3318</x:f>
        <x:v>610</x:v>
      </x:c>
      <x:c r="R3318" s="11" t="n">
        <x:f>IF(D3318="Completed",I3318,0)</x:f>
        <x:v>5</x:v>
      </x:c>
      <x:c r="S3318" s="11" t="n">
        <x:f>IF(D3318="Completed",L3318,0)</x:f>
        <x:v>0</x:v>
      </x:c>
      <x:c r="T3318" s="8" t="n">
        <x:f>DATE(YEAR(C3318),MONTH(C3318),1)</x:f>
        <x:v>45717</x:v>
      </x:c>
    </x:row>
    <x:row r="3319" ht="22" customHeight="1">
      <x:c r="A3319" s="2" t="str">
        <x:v>L003315</x:v>
      </x:c>
      <x:c r="B3319" s="2" t="str">
        <x:v>O01354</x:v>
      </x:c>
      <x:c r="C3319" s="7" t="n">
        <x:v>45903</x:v>
      </x:c>
      <x:c r="D3319" s="2" t="str">
        <x:v>Completed</x:v>
      </x:c>
      <x:c r="E3319" s="2" t="str">
        <x:v>East</x:v>
      </x:c>
      <x:c r="F3319" s="2" t="str">
        <x:v>Online</x:v>
      </x:c>
      <x:c r="G3319" s="2" t="str">
        <x:v>Lighting</x:v>
      </x:c>
      <x:c r="H3319" s="2" t="str">
        <x:v>Lamp 001</x:v>
      </x:c>
      <x:c r="I3319" s="11" t="n">
        <x:v>5</x:v>
      </x:c>
      <x:c r="J3319" s="9" t="n">
        <x:v>122</x:v>
      </x:c>
      <x:c r="K3319" s="10" t="n">
        <x:v>0.1</x:v>
      </x:c>
      <x:c r="L3319" s="11" t="n">
        <x:v>0</x:v>
      </x:c>
      <x:c r="M3319" s="9" t="n">
        <x:f>IF(D3319="Completed",I3319*J3319,0)</x:f>
        <x:v>610</x:v>
      </x:c>
      <x:c r="N3319" s="9" t="n">
        <x:f>M3319*K3319</x:f>
        <x:v>61</x:v>
      </x:c>
      <x:c r="O3319" s="9" t="n">
        <x:f>M3319-N3319</x:f>
        <x:v>549</x:v>
      </x:c>
      <x:c r="P3319" s="9" t="n">
        <x:f>IF(D3319="Completed",L3319*J3319*(1-K3319),0)</x:f>
        <x:v>0</x:v>
      </x:c>
      <x:c r="Q3319" s="9" t="n">
        <x:f>O3319-P3319</x:f>
        <x:v>549</x:v>
      </x:c>
      <x:c r="R3319" s="11" t="n">
        <x:f>IF(D3319="Completed",I3319,0)</x:f>
        <x:v>5</x:v>
      </x:c>
      <x:c r="S3319" s="11" t="n">
        <x:f>IF(D3319="Completed",L3319,0)</x:f>
        <x:v>0</x:v>
      </x:c>
      <x:c r="T3319" s="8" t="n">
        <x:f>DATE(YEAR(C3319),MONTH(C3319),1)</x:f>
        <x:v>45901</x:v>
      </x:c>
    </x:row>
    <x:row r="3320" ht="22" customHeight="1">
      <x:c r="A3320" s="2" t="str">
        <x:v>L003316</x:v>
      </x:c>
      <x:c r="B3320" s="2" t="str">
        <x:v>O01354</x:v>
      </x:c>
      <x:c r="C3320" s="7" t="n">
        <x:v>45903</x:v>
      </x:c>
      <x:c r="D3320" s="2" t="str">
        <x:v>Completed</x:v>
      </x:c>
      <x:c r="E3320" s="2" t="str">
        <x:v>East</x:v>
      </x:c>
      <x:c r="F3320" s="2" t="str">
        <x:v>Online</x:v>
      </x:c>
      <x:c r="G3320" s="2" t="str">
        <x:v>Lighting</x:v>
      </x:c>
      <x:c r="H3320" s="2" t="str">
        <x:v>Lamp 021</x:v>
      </x:c>
      <x:c r="I3320" s="11" t="n">
        <x:v>5</x:v>
      </x:c>
      <x:c r="J3320" s="9" t="n">
        <x:v>249</x:v>
      </x:c>
      <x:c r="K3320" s="10" t="n">
        <x:v>0.2</x:v>
      </x:c>
      <x:c r="L3320" s="11" t="n">
        <x:v>0</x:v>
      </x:c>
      <x:c r="M3320" s="9" t="n">
        <x:f>IF(D3320="Completed",I3320*J3320,0)</x:f>
        <x:v>1245</x:v>
      </x:c>
      <x:c r="N3320" s="9" t="n">
        <x:f>M3320*K3320</x:f>
        <x:v>249</x:v>
      </x:c>
      <x:c r="O3320" s="9" t="n">
        <x:f>M3320-N3320</x:f>
        <x:v>996</x:v>
      </x:c>
      <x:c r="P3320" s="9" t="n">
        <x:f>IF(D3320="Completed",L3320*J3320*(1-K3320),0)</x:f>
        <x:v>0</x:v>
      </x:c>
      <x:c r="Q3320" s="9" t="n">
        <x:f>O3320-P3320</x:f>
        <x:v>996</x:v>
      </x:c>
      <x:c r="R3320" s="11" t="n">
        <x:f>IF(D3320="Completed",I3320,0)</x:f>
        <x:v>5</x:v>
      </x:c>
      <x:c r="S3320" s="11" t="n">
        <x:f>IF(D3320="Completed",L3320,0)</x:f>
        <x:v>0</x:v>
      </x:c>
      <x:c r="T3320" s="8" t="n">
        <x:f>DATE(YEAR(C3320),MONTH(C3320),1)</x:f>
        <x:v>45901</x:v>
      </x:c>
    </x:row>
    <x:row r="3321" ht="22" customHeight="1">
      <x:c r="A3321" s="2" t="str">
        <x:v>L003317</x:v>
      </x:c>
      <x:c r="B3321" s="2" t="str">
        <x:v>O01354</x:v>
      </x:c>
      <x:c r="C3321" s="7" t="n">
        <x:v>45903</x:v>
      </x:c>
      <x:c r="D3321" s="2" t="str">
        <x:v>Completed</x:v>
      </x:c>
      <x:c r="E3321" s="2" t="str">
        <x:v>East</x:v>
      </x:c>
      <x:c r="F3321" s="2" t="str">
        <x:v>Online</x:v>
      </x:c>
      <x:c r="G3321" s="2" t="str">
        <x:v>Furniture</x:v>
      </x:c>
      <x:c r="H3321" s="2" t="str">
        <x:v>Chair 018</x:v>
      </x:c>
      <x:c r="I3321" s="11" t="n">
        <x:v>4</x:v>
      </x:c>
      <x:c r="J3321" s="9" t="n">
        <x:v>269</x:v>
      </x:c>
      <x:c r="K3321" s="10" t="n">
        <x:v>0.05</x:v>
      </x:c>
      <x:c r="L3321" s="11" t="n">
        <x:v>0</x:v>
      </x:c>
      <x:c r="M3321" s="9" t="n">
        <x:f>IF(D3321="Completed",I3321*J3321,0)</x:f>
        <x:v>1076</x:v>
      </x:c>
      <x:c r="N3321" s="9" t="n">
        <x:f>M3321*K3321</x:f>
        <x:v>53.800000000000004</x:v>
      </x:c>
      <x:c r="O3321" s="9" t="n">
        <x:f>M3321-N3321</x:f>
        <x:v>1022.2</x:v>
      </x:c>
      <x:c r="P3321" s="9" t="n">
        <x:f>IF(D3321="Completed",L3321*J3321*(1-K3321),0)</x:f>
        <x:v>0</x:v>
      </x:c>
      <x:c r="Q3321" s="9" t="n">
        <x:f>O3321-P3321</x:f>
        <x:v>1022.2</x:v>
      </x:c>
      <x:c r="R3321" s="11" t="n">
        <x:f>IF(D3321="Completed",I3321,0)</x:f>
        <x:v>4</x:v>
      </x:c>
      <x:c r="S3321" s="11" t="n">
        <x:f>IF(D3321="Completed",L3321,0)</x:f>
        <x:v>0</x:v>
      </x:c>
      <x:c r="T3321" s="8" t="n">
        <x:f>DATE(YEAR(C3321),MONTH(C3321),1)</x:f>
        <x:v>45901</x:v>
      </x:c>
    </x:row>
    <x:row r="3322" ht="22" customHeight="1">
      <x:c r="A3322" s="2" t="str">
        <x:v>L003318</x:v>
      </x:c>
      <x:c r="B3322" s="2" t="str">
        <x:v>O01354</x:v>
      </x:c>
      <x:c r="C3322" s="7" t="n">
        <x:v>45903</x:v>
      </x:c>
      <x:c r="D3322" s="2" t="str">
        <x:v>Completed</x:v>
      </x:c>
      <x:c r="E3322" s="2" t="str">
        <x:v>East</x:v>
      </x:c>
      <x:c r="F3322" s="2" t="str">
        <x:v>Online</x:v>
      </x:c>
      <x:c r="G3322" s="2" t="str">
        <x:v>Furniture</x:v>
      </x:c>
      <x:c r="H3322" s="2" t="str">
        <x:v>Desk 016</x:v>
      </x:c>
      <x:c r="I3322" s="11" t="n">
        <x:v>4</x:v>
      </x:c>
      <x:c r="J3322" s="9" t="n">
        <x:v>231</x:v>
      </x:c>
      <x:c r="K3322" s="10" t="n">
        <x:v>0</x:v>
      </x:c>
      <x:c r="L3322" s="11" t="n">
        <x:v>0</x:v>
      </x:c>
      <x:c r="M3322" s="9" t="n">
        <x:f>IF(D3322="Completed",I3322*J3322,0)</x:f>
        <x:v>924</x:v>
      </x:c>
      <x:c r="N3322" s="9" t="n">
        <x:f>M3322*K3322</x:f>
        <x:v>0</x:v>
      </x:c>
      <x:c r="O3322" s="9" t="n">
        <x:f>M3322-N3322</x:f>
        <x:v>924</x:v>
      </x:c>
      <x:c r="P3322" s="9" t="n">
        <x:f>IF(D3322="Completed",L3322*J3322*(1-K3322),0)</x:f>
        <x:v>0</x:v>
      </x:c>
      <x:c r="Q3322" s="9" t="n">
        <x:f>O3322-P3322</x:f>
        <x:v>924</x:v>
      </x:c>
      <x:c r="R3322" s="11" t="n">
        <x:f>IF(D3322="Completed",I3322,0)</x:f>
        <x:v>4</x:v>
      </x:c>
      <x:c r="S3322" s="11" t="n">
        <x:f>IF(D3322="Completed",L3322,0)</x:f>
        <x:v>0</x:v>
      </x:c>
      <x:c r="T3322" s="8" t="n">
        <x:f>DATE(YEAR(C3322),MONTH(C3322),1)</x:f>
        <x:v>45901</x:v>
      </x:c>
    </x:row>
    <x:row r="3323" ht="22" customHeight="1">
      <x:c r="A3323" s="2" t="str">
        <x:v>L003319</x:v>
      </x:c>
      <x:c r="B3323" s="2" t="str">
        <x:v>O01355</x:v>
      </x:c>
      <x:c r="C3323" s="7" t="n">
        <x:v>45790</x:v>
      </x:c>
      <x:c r="D3323" s="2" t="str">
        <x:v>Completed</x:v>
      </x:c>
      <x:c r="E3323" s="2" t="str">
        <x:v>South</x:v>
      </x:c>
      <x:c r="F3323" s="2" t="str">
        <x:v>Online</x:v>
      </x:c>
      <x:c r="G3323" s="2" t="str">
        <x:v>Furniture</x:v>
      </x:c>
      <x:c r="H3323" s="2" t="str">
        <x:v>Chair 018</x:v>
      </x:c>
      <x:c r="I3323" s="11" t="n">
        <x:v>2</x:v>
      </x:c>
      <x:c r="J3323" s="9" t="n">
        <x:v>269</x:v>
      </x:c>
      <x:c r="K3323" s="10" t="n">
        <x:v>0.2</x:v>
      </x:c>
      <x:c r="L3323" s="11" t="n">
        <x:v>0</x:v>
      </x:c>
      <x:c r="M3323" s="9" t="n">
        <x:f>IF(D3323="Completed",I3323*J3323,0)</x:f>
        <x:v>538</x:v>
      </x:c>
      <x:c r="N3323" s="9" t="n">
        <x:f>M3323*K3323</x:f>
        <x:v>107.60000000000001</x:v>
      </x:c>
      <x:c r="O3323" s="9" t="n">
        <x:f>M3323-N3323</x:f>
        <x:v>430.4</x:v>
      </x:c>
      <x:c r="P3323" s="9" t="n">
        <x:f>IF(D3323="Completed",L3323*J3323*(1-K3323),0)</x:f>
        <x:v>0</x:v>
      </x:c>
      <x:c r="Q3323" s="9" t="n">
        <x:f>O3323-P3323</x:f>
        <x:v>430.4</x:v>
      </x:c>
      <x:c r="R3323" s="11" t="n">
        <x:f>IF(D3323="Completed",I3323,0)</x:f>
        <x:v>2</x:v>
      </x:c>
      <x:c r="S3323" s="11" t="n">
        <x:f>IF(D3323="Completed",L3323,0)</x:f>
        <x:v>0</x:v>
      </x:c>
      <x:c r="T3323" s="8" t="n">
        <x:f>DATE(YEAR(C3323),MONTH(C3323),1)</x:f>
        <x:v>45778</x:v>
      </x:c>
    </x:row>
    <x:row r="3324" ht="22" customHeight="1">
      <x:c r="A3324" s="2" t="str">
        <x:v>L003320</x:v>
      </x:c>
      <x:c r="B3324" s="2" t="str">
        <x:v>O01356</x:v>
      </x:c>
      <x:c r="C3324" s="7" t="n">
        <x:v>45689</x:v>
      </x:c>
      <x:c r="D3324" s="2" t="str">
        <x:v>Completed</x:v>
      </x:c>
      <x:c r="E3324" s="2" t="str">
        <x:v>West</x:v>
      </x:c>
      <x:c r="F3324" s="2" t="str">
        <x:v>Store</x:v>
      </x:c>
      <x:c r="G3324" s="2" t="str">
        <x:v>Lighting</x:v>
      </x:c>
      <x:c r="H3324" s="2" t="str">
        <x:v>Lamp 009</x:v>
      </x:c>
      <x:c r="I3324" s="11" t="n">
        <x:v>5</x:v>
      </x:c>
      <x:c r="J3324" s="9" t="n">
        <x:v>93</x:v>
      </x:c>
      <x:c r="K3324" s="10" t="n">
        <x:v>0.2</x:v>
      </x:c>
      <x:c r="L3324" s="11" t="n">
        <x:v>0</x:v>
      </x:c>
      <x:c r="M3324" s="9" t="n">
        <x:f>IF(D3324="Completed",I3324*J3324,0)</x:f>
        <x:v>465</x:v>
      </x:c>
      <x:c r="N3324" s="9" t="n">
        <x:f>M3324*K3324</x:f>
        <x:v>93</x:v>
      </x:c>
      <x:c r="O3324" s="9" t="n">
        <x:f>M3324-N3324</x:f>
        <x:v>372</x:v>
      </x:c>
      <x:c r="P3324" s="9" t="n">
        <x:f>IF(D3324="Completed",L3324*J3324*(1-K3324),0)</x:f>
        <x:v>0</x:v>
      </x:c>
      <x:c r="Q3324" s="9" t="n">
        <x:f>O3324-P3324</x:f>
        <x:v>372</x:v>
      </x:c>
      <x:c r="R3324" s="11" t="n">
        <x:f>IF(D3324="Completed",I3324,0)</x:f>
        <x:v>5</x:v>
      </x:c>
      <x:c r="S3324" s="11" t="n">
        <x:f>IF(D3324="Completed",L3324,0)</x:f>
        <x:v>0</x:v>
      </x:c>
      <x:c r="T3324" s="8" t="n">
        <x:f>DATE(YEAR(C3324),MONTH(C3324),1)</x:f>
        <x:v>45689</x:v>
      </x:c>
    </x:row>
    <x:row r="3325" ht="22" customHeight="1">
      <x:c r="A3325" s="2" t="str">
        <x:v>L003321</x:v>
      </x:c>
      <x:c r="B3325" s="2" t="str">
        <x:v>O01356</x:v>
      </x:c>
      <x:c r="C3325" s="7" t="n">
        <x:v>45689</x:v>
      </x:c>
      <x:c r="D3325" s="2" t="str">
        <x:v>Completed</x:v>
      </x:c>
      <x:c r="E3325" s="2" t="str">
        <x:v>West</x:v>
      </x:c>
      <x:c r="F3325" s="2" t="str">
        <x:v>Store</x:v>
      </x:c>
      <x:c r="G3325" s="2" t="str">
        <x:v>Storage</x:v>
      </x:c>
      <x:c r="H3325" s="2" t="str">
        <x:v>Shelf 003</x:v>
      </x:c>
      <x:c r="I3325" s="11" t="n">
        <x:v>1</x:v>
      </x:c>
      <x:c r="J3325" s="9" t="n">
        <x:v>199</x:v>
      </x:c>
      <x:c r="K3325" s="10" t="n">
        <x:v>0.2</x:v>
      </x:c>
      <x:c r="L3325" s="11" t="n">
        <x:v>0</x:v>
      </x:c>
      <x:c r="M3325" s="9" t="n">
        <x:f>IF(D3325="Completed",I3325*J3325,0)</x:f>
        <x:v>199</x:v>
      </x:c>
      <x:c r="N3325" s="9" t="n">
        <x:f>M3325*K3325</x:f>
        <x:v>39.800000000000004</x:v>
      </x:c>
      <x:c r="O3325" s="9" t="n">
        <x:f>M3325-N3325</x:f>
        <x:v>159.2</x:v>
      </x:c>
      <x:c r="P3325" s="9" t="n">
        <x:f>IF(D3325="Completed",L3325*J3325*(1-K3325),0)</x:f>
        <x:v>0</x:v>
      </x:c>
      <x:c r="Q3325" s="9" t="n">
        <x:f>O3325-P3325</x:f>
        <x:v>159.2</x:v>
      </x:c>
      <x:c r="R3325" s="11" t="n">
        <x:f>IF(D3325="Completed",I3325,0)</x:f>
        <x:v>1</x:v>
      </x:c>
      <x:c r="S3325" s="11" t="n">
        <x:f>IF(D3325="Completed",L3325,0)</x:f>
        <x:v>0</x:v>
      </x:c>
      <x:c r="T3325" s="8" t="n">
        <x:f>DATE(YEAR(C3325),MONTH(C3325),1)</x:f>
        <x:v>45689</x:v>
      </x:c>
    </x:row>
    <x:row r="3326" ht="22" customHeight="1">
      <x:c r="A3326" s="2" t="str">
        <x:v>L003322</x:v>
      </x:c>
      <x:c r="B3326" s="2" t="str">
        <x:v>O01356</x:v>
      </x:c>
      <x:c r="C3326" s="7" t="n">
        <x:v>45689</x:v>
      </x:c>
      <x:c r="D3326" s="2" t="str">
        <x:v>Completed</x:v>
      </x:c>
      <x:c r="E3326" s="2" t="str">
        <x:v>West</x:v>
      </x:c>
      <x:c r="F3326" s="2" t="str">
        <x:v>Store</x:v>
      </x:c>
      <x:c r="G3326" s="2" t="str">
        <x:v>Lighting</x:v>
      </x:c>
      <x:c r="H3326" s="2" t="str">
        <x:v>Lamp 009</x:v>
      </x:c>
      <x:c r="I3326" s="11" t="n">
        <x:v>3</x:v>
      </x:c>
      <x:c r="J3326" s="9" t="n">
        <x:v>93</x:v>
      </x:c>
      <x:c r="K3326" s="10" t="n">
        <x:v>0.05</x:v>
      </x:c>
      <x:c r="L3326" s="11" t="n">
        <x:v>0</x:v>
      </x:c>
      <x:c r="M3326" s="9" t="n">
        <x:f>IF(D3326="Completed",I3326*J3326,0)</x:f>
        <x:v>279</x:v>
      </x:c>
      <x:c r="N3326" s="9" t="n">
        <x:f>M3326*K3326</x:f>
        <x:v>13.950000000000001</x:v>
      </x:c>
      <x:c r="O3326" s="9" t="n">
        <x:f>M3326-N3326</x:f>
        <x:v>265.05</x:v>
      </x:c>
      <x:c r="P3326" s="9" t="n">
        <x:f>IF(D3326="Completed",L3326*J3326*(1-K3326),0)</x:f>
        <x:v>0</x:v>
      </x:c>
      <x:c r="Q3326" s="9" t="n">
        <x:f>O3326-P3326</x:f>
        <x:v>265.05</x:v>
      </x:c>
      <x:c r="R3326" s="11" t="n">
        <x:f>IF(D3326="Completed",I3326,0)</x:f>
        <x:v>3</x:v>
      </x:c>
      <x:c r="S3326" s="11" t="n">
        <x:f>IF(D3326="Completed",L3326,0)</x:f>
        <x:v>0</x:v>
      </x:c>
      <x:c r="T3326" s="8" t="n">
        <x:f>DATE(YEAR(C3326),MONTH(C3326),1)</x:f>
        <x:v>45689</x:v>
      </x:c>
    </x:row>
    <x:row r="3327" ht="22" customHeight="1">
      <x:c r="A3327" s="2" t="str">
        <x:v>L003323</x:v>
      </x:c>
      <x:c r="B3327" s="2" t="str">
        <x:v>O01357</x:v>
      </x:c>
      <x:c r="C3327" s="7" t="n">
        <x:v>45856</x:v>
      </x:c>
      <x:c r="D3327" s="2" t="str">
        <x:v>Completed</x:v>
      </x:c>
      <x:c r="E3327" s="2" t="str">
        <x:v>North</x:v>
      </x:c>
      <x:c r="F3327" s="2" t="str">
        <x:v>Store</x:v>
      </x:c>
      <x:c r="G3327" s="2" t="str">
        <x:v>Lighting</x:v>
      </x:c>
      <x:c r="H3327" s="2" t="str">
        <x:v>Lamp 013</x:v>
      </x:c>
      <x:c r="I3327" s="11" t="n">
        <x:v>1</x:v>
      </x:c>
      <x:c r="J3327" s="9" t="n">
        <x:v>271</x:v>
      </x:c>
      <x:c r="K3327" s="10" t="n">
        <x:v>0.1</x:v>
      </x:c>
      <x:c r="L3327" s="11" t="n">
        <x:v>0</x:v>
      </x:c>
      <x:c r="M3327" s="9" t="n">
        <x:f>IF(D3327="Completed",I3327*J3327,0)</x:f>
        <x:v>271</x:v>
      </x:c>
      <x:c r="N3327" s="9" t="n">
        <x:f>M3327*K3327</x:f>
        <x:v>27.1</x:v>
      </x:c>
      <x:c r="O3327" s="9" t="n">
        <x:f>M3327-N3327</x:f>
        <x:v>243.9</x:v>
      </x:c>
      <x:c r="P3327" s="9" t="n">
        <x:f>IF(D3327="Completed",L3327*J3327*(1-K3327),0)</x:f>
        <x:v>0</x:v>
      </x:c>
      <x:c r="Q3327" s="9" t="n">
        <x:f>O3327-P3327</x:f>
        <x:v>243.9</x:v>
      </x:c>
      <x:c r="R3327" s="11" t="n">
        <x:f>IF(D3327="Completed",I3327,0)</x:f>
        <x:v>1</x:v>
      </x:c>
      <x:c r="S3327" s="11" t="n">
        <x:f>IF(D3327="Completed",L3327,0)</x:f>
        <x:v>0</x:v>
      </x:c>
      <x:c r="T3327" s="8" t="n">
        <x:f>DATE(YEAR(C3327),MONTH(C3327),1)</x:f>
        <x:v>45839</x:v>
      </x:c>
    </x:row>
    <x:row r="3328" ht="22" customHeight="1">
      <x:c r="A3328" s="2" t="str">
        <x:v>L003324</x:v>
      </x:c>
      <x:c r="B3328" s="2" t="str">
        <x:v>O01357</x:v>
      </x:c>
      <x:c r="C3328" s="7" t="n">
        <x:v>45856</x:v>
      </x:c>
      <x:c r="D3328" s="2" t="str">
        <x:v>Completed</x:v>
      </x:c>
      <x:c r="E3328" s="2" t="str">
        <x:v>North</x:v>
      </x:c>
      <x:c r="F3328" s="2" t="str">
        <x:v>Store</x:v>
      </x:c>
      <x:c r="G3328" s="2" t="str">
        <x:v>Furniture</x:v>
      </x:c>
      <x:c r="H3328" s="2" t="str">
        <x:v>Chair 014</x:v>
      </x:c>
      <x:c r="I3328" s="11" t="n">
        <x:v>5</x:v>
      </x:c>
      <x:c r="J3328" s="9" t="n">
        <x:v>294</x:v>
      </x:c>
      <x:c r="K3328" s="10" t="n">
        <x:v>0</x:v>
      </x:c>
      <x:c r="L3328" s="11" t="n">
        <x:v>0</x:v>
      </x:c>
      <x:c r="M3328" s="9" t="n">
        <x:f>IF(D3328="Completed",I3328*J3328,0)</x:f>
        <x:v>1470</x:v>
      </x:c>
      <x:c r="N3328" s="9" t="n">
        <x:f>M3328*K3328</x:f>
        <x:v>0</x:v>
      </x:c>
      <x:c r="O3328" s="9" t="n">
        <x:f>M3328-N3328</x:f>
        <x:v>1470</x:v>
      </x:c>
      <x:c r="P3328" s="9" t="n">
        <x:f>IF(D3328="Completed",L3328*J3328*(1-K3328),0)</x:f>
        <x:v>0</x:v>
      </x:c>
      <x:c r="Q3328" s="9" t="n">
        <x:f>O3328-P3328</x:f>
        <x:v>1470</x:v>
      </x:c>
      <x:c r="R3328" s="11" t="n">
        <x:f>IF(D3328="Completed",I3328,0)</x:f>
        <x:v>5</x:v>
      </x:c>
      <x:c r="S3328" s="11" t="n">
        <x:f>IF(D3328="Completed",L3328,0)</x:f>
        <x:v>0</x:v>
      </x:c>
      <x:c r="T3328" s="8" t="n">
        <x:f>DATE(YEAR(C3328),MONTH(C3328),1)</x:f>
        <x:v>45839</x:v>
      </x:c>
    </x:row>
    <x:row r="3329" ht="22" customHeight="1">
      <x:c r="A3329" s="2" t="str">
        <x:v>L003325</x:v>
      </x:c>
      <x:c r="B3329" s="2" t="str">
        <x:v>O01358</x:v>
      </x:c>
      <x:c r="C3329" s="7" t="n">
        <x:v>45901</x:v>
      </x:c>
      <x:c r="D3329" s="2" t="str">
        <x:v>Cancelled</x:v>
      </x:c>
      <x:c r="E3329" s="2" t="str">
        <x:v>North</x:v>
      </x:c>
      <x:c r="F3329" s="2" t="str">
        <x:v>Store</x:v>
      </x:c>
      <x:c r="G3329" s="2" t="str">
        <x:v>Furniture</x:v>
      </x:c>
      <x:c r="H3329" s="2" t="str">
        <x:v>Desk 024</x:v>
      </x:c>
      <x:c r="I3329" s="11" t="n">
        <x:v>4</x:v>
      </x:c>
      <x:c r="J3329" s="9" t="n">
        <x:v>81</x:v>
      </x:c>
      <x:c r="K3329" s="10" t="n">
        <x:v>0.2</x:v>
      </x:c>
      <x:c r="L3329" s="11" t="n">
        <x:v>0</x:v>
      </x:c>
      <x:c r="M3329" s="9" t="n">
        <x:f>IF(D3329="Completed",I3329*J3329,0)</x:f>
        <x:v>0</x:v>
      </x:c>
      <x:c r="N3329" s="9" t="n">
        <x:f>M3329*K3329</x:f>
        <x:v>0</x:v>
      </x:c>
      <x:c r="O3329" s="9" t="n">
        <x:f>M3329-N3329</x:f>
        <x:v>0</x:v>
      </x:c>
      <x:c r="P3329" s="9" t="n">
        <x:f>IF(D3329="Completed",L3329*J3329*(1-K3329),0)</x:f>
        <x:v>0</x:v>
      </x:c>
      <x:c r="Q3329" s="9" t="n">
        <x:f>O3329-P3329</x:f>
        <x:v>0</x:v>
      </x:c>
      <x:c r="R3329" s="11" t="n">
        <x:f>IF(D3329="Completed",I3329,0)</x:f>
        <x:v>0</x:v>
      </x:c>
      <x:c r="S3329" s="11" t="n">
        <x:f>IF(D3329="Completed",L3329,0)</x:f>
        <x:v>0</x:v>
      </x:c>
      <x:c r="T3329" s="8" t="n">
        <x:f>DATE(YEAR(C3329),MONTH(C3329),1)</x:f>
        <x:v>45901</x:v>
      </x:c>
    </x:row>
    <x:row r="3330" ht="22" customHeight="1">
      <x:c r="A3330" s="2" t="str">
        <x:v>L003326</x:v>
      </x:c>
      <x:c r="B3330" s="2" t="str">
        <x:v>O01358</x:v>
      </x:c>
      <x:c r="C3330" s="7" t="n">
        <x:v>45901</x:v>
      </x:c>
      <x:c r="D3330" s="2" t="str">
        <x:v>Cancelled</x:v>
      </x:c>
      <x:c r="E3330" s="2" t="str">
        <x:v>North</x:v>
      </x:c>
      <x:c r="F3330" s="2" t="str">
        <x:v>Store</x:v>
      </x:c>
      <x:c r="G3330" s="2" t="str">
        <x:v>Furniture</x:v>
      </x:c>
      <x:c r="H3330" s="2" t="str">
        <x:v>Desk 024</x:v>
      </x:c>
      <x:c r="I3330" s="11" t="n">
        <x:v>5</x:v>
      </x:c>
      <x:c r="J3330" s="9" t="n">
        <x:v>81</x:v>
      </x:c>
      <x:c r="K3330" s="10" t="n">
        <x:v>0.2</x:v>
      </x:c>
      <x:c r="L3330" s="11" t="n">
        <x:v>0</x:v>
      </x:c>
      <x:c r="M3330" s="9" t="n">
        <x:f>IF(D3330="Completed",I3330*J3330,0)</x:f>
        <x:v>0</x:v>
      </x:c>
      <x:c r="N3330" s="9" t="n">
        <x:f>M3330*K3330</x:f>
        <x:v>0</x:v>
      </x:c>
      <x:c r="O3330" s="9" t="n">
        <x:f>M3330-N3330</x:f>
        <x:v>0</x:v>
      </x:c>
      <x:c r="P3330" s="9" t="n">
        <x:f>IF(D3330="Completed",L3330*J3330*(1-K3330),0)</x:f>
        <x:v>0</x:v>
      </x:c>
      <x:c r="Q3330" s="9" t="n">
        <x:f>O3330-P3330</x:f>
        <x:v>0</x:v>
      </x:c>
      <x:c r="R3330" s="11" t="n">
        <x:f>IF(D3330="Completed",I3330,0)</x:f>
        <x:v>0</x:v>
      </x:c>
      <x:c r="S3330" s="11" t="n">
        <x:f>IF(D3330="Completed",L3330,0)</x:f>
        <x:v>0</x:v>
      </x:c>
      <x:c r="T3330" s="8" t="n">
        <x:f>DATE(YEAR(C3330),MONTH(C3330),1)</x:f>
        <x:v>45901</x:v>
      </x:c>
    </x:row>
    <x:row r="3331" ht="22" customHeight="1">
      <x:c r="A3331" s="2" t="str">
        <x:v>L003327</x:v>
      </x:c>
      <x:c r="B3331" s="2" t="str">
        <x:v>O01358</x:v>
      </x:c>
      <x:c r="C3331" s="7" t="n">
        <x:v>45901</x:v>
      </x:c>
      <x:c r="D3331" s="2" t="str">
        <x:v>Cancelled</x:v>
      </x:c>
      <x:c r="E3331" s="2" t="str">
        <x:v>North</x:v>
      </x:c>
      <x:c r="F3331" s="2" t="str">
        <x:v>Store</x:v>
      </x:c>
      <x:c r="G3331" s="2" t="str">
        <x:v>Furniture</x:v>
      </x:c>
      <x:c r="H3331" s="2" t="str">
        <x:v>Desk 012</x:v>
      </x:c>
      <x:c r="I3331" s="11" t="n">
        <x:v>4</x:v>
      </x:c>
      <x:c r="J3331" s="9" t="n">
        <x:v>134</x:v>
      </x:c>
      <x:c r="K3331" s="10" t="n">
        <x:v>0.1</x:v>
      </x:c>
      <x:c r="L3331" s="11" t="n">
        <x:v>0</x:v>
      </x:c>
      <x:c r="M3331" s="9" t="n">
        <x:f>IF(D3331="Completed",I3331*J3331,0)</x:f>
        <x:v>0</x:v>
      </x:c>
      <x:c r="N3331" s="9" t="n">
        <x:f>M3331*K3331</x:f>
        <x:v>0</x:v>
      </x:c>
      <x:c r="O3331" s="9" t="n">
        <x:f>M3331-N3331</x:f>
        <x:v>0</x:v>
      </x:c>
      <x:c r="P3331" s="9" t="n">
        <x:f>IF(D3331="Completed",L3331*J3331*(1-K3331),0)</x:f>
        <x:v>0</x:v>
      </x:c>
      <x:c r="Q3331" s="9" t="n">
        <x:f>O3331-P3331</x:f>
        <x:v>0</x:v>
      </x:c>
      <x:c r="R3331" s="11" t="n">
        <x:f>IF(D3331="Completed",I3331,0)</x:f>
        <x:v>0</x:v>
      </x:c>
      <x:c r="S3331" s="11" t="n">
        <x:f>IF(D3331="Completed",L3331,0)</x:f>
        <x:v>0</x:v>
      </x:c>
      <x:c r="T3331" s="8" t="n">
        <x:f>DATE(YEAR(C3331),MONTH(C3331),1)</x:f>
        <x:v>45901</x:v>
      </x:c>
    </x:row>
    <x:row r="3332" ht="22" customHeight="1">
      <x:c r="A3332" s="2" t="str">
        <x:v>L003328</x:v>
      </x:c>
      <x:c r="B3332" s="2" t="str">
        <x:v>O01359</x:v>
      </x:c>
      <x:c r="C3332" s="7" t="n">
        <x:v>46010</x:v>
      </x:c>
      <x:c r="D3332" s="2" t="str">
        <x:v>Completed</x:v>
      </x:c>
      <x:c r="E3332" s="2" t="str">
        <x:v>North</x:v>
      </x:c>
      <x:c r="F3332" s="2" t="str">
        <x:v>Online</x:v>
      </x:c>
      <x:c r="G3332" s="2" t="str">
        <x:v>Furniture</x:v>
      </x:c>
      <x:c r="H3332" s="2" t="str">
        <x:v>Chair 014</x:v>
      </x:c>
      <x:c r="I3332" s="11" t="n">
        <x:v>1</x:v>
      </x:c>
      <x:c r="J3332" s="9" t="n">
        <x:v>294</x:v>
      </x:c>
      <x:c r="K3332" s="10" t="n">
        <x:v>0.05</x:v>
      </x:c>
      <x:c r="L3332" s="11" t="n">
        <x:v>0</x:v>
      </x:c>
      <x:c r="M3332" s="9" t="n">
        <x:f>IF(D3332="Completed",I3332*J3332,0)</x:f>
        <x:v>294</x:v>
      </x:c>
      <x:c r="N3332" s="9" t="n">
        <x:f>M3332*K3332</x:f>
        <x:v>14.700000000000001</x:v>
      </x:c>
      <x:c r="O3332" s="9" t="n">
        <x:f>M3332-N3332</x:f>
        <x:v>279.3</x:v>
      </x:c>
      <x:c r="P3332" s="9" t="n">
        <x:f>IF(D3332="Completed",L3332*J3332*(1-K3332),0)</x:f>
        <x:v>0</x:v>
      </x:c>
      <x:c r="Q3332" s="9" t="n">
        <x:f>O3332-P3332</x:f>
        <x:v>279.3</x:v>
      </x:c>
      <x:c r="R3332" s="11" t="n">
        <x:f>IF(D3332="Completed",I3332,0)</x:f>
        <x:v>1</x:v>
      </x:c>
      <x:c r="S3332" s="11" t="n">
        <x:f>IF(D3332="Completed",L3332,0)</x:f>
        <x:v>0</x:v>
      </x:c>
      <x:c r="T3332" s="8" t="n">
        <x:f>DATE(YEAR(C3332),MONTH(C3332),1)</x:f>
        <x:v>45992</x:v>
      </x:c>
    </x:row>
    <x:row r="3333" ht="22" customHeight="1">
      <x:c r="A3333" s="2" t="str">
        <x:v>L003329</x:v>
      </x:c>
      <x:c r="B3333" s="2" t="str">
        <x:v>O01359</x:v>
      </x:c>
      <x:c r="C3333" s="7" t="n">
        <x:v>46010</x:v>
      </x:c>
      <x:c r="D3333" s="2" t="str">
        <x:v>Completed</x:v>
      </x:c>
      <x:c r="E3333" s="2" t="str">
        <x:v>North</x:v>
      </x:c>
      <x:c r="F3333" s="2" t="str">
        <x:v>Online</x:v>
      </x:c>
      <x:c r="G3333" s="2" t="str">
        <x:v>Furniture</x:v>
      </x:c>
      <x:c r="H3333" s="2" t="str">
        <x:v>Desk 008</x:v>
      </x:c>
      <x:c r="I3333" s="11" t="n">
        <x:v>1</x:v>
      </x:c>
      <x:c r="J3333" s="9" t="n">
        <x:v>188</x:v>
      </x:c>
      <x:c r="K3333" s="10" t="n">
        <x:v>0.05</x:v>
      </x:c>
      <x:c r="L3333" s="11" t="n">
        <x:v>0</x:v>
      </x:c>
      <x:c r="M3333" s="9" t="n">
        <x:f>IF(D3333="Completed",I3333*J3333,0)</x:f>
        <x:v>188</x:v>
      </x:c>
      <x:c r="N3333" s="9" t="n">
        <x:f>M3333*K3333</x:f>
        <x:v>9.4</x:v>
      </x:c>
      <x:c r="O3333" s="9" t="n">
        <x:f>M3333-N3333</x:f>
        <x:v>178.6</x:v>
      </x:c>
      <x:c r="P3333" s="9" t="n">
        <x:f>IF(D3333="Completed",L3333*J3333*(1-K3333),0)</x:f>
        <x:v>0</x:v>
      </x:c>
      <x:c r="Q3333" s="9" t="n">
        <x:f>O3333-P3333</x:f>
        <x:v>178.6</x:v>
      </x:c>
      <x:c r="R3333" s="11" t="n">
        <x:f>IF(D3333="Completed",I3333,0)</x:f>
        <x:v>1</x:v>
      </x:c>
      <x:c r="S3333" s="11" t="n">
        <x:f>IF(D3333="Completed",L3333,0)</x:f>
        <x:v>0</x:v>
      </x:c>
      <x:c r="T3333" s="8" t="n">
        <x:f>DATE(YEAR(C3333),MONTH(C3333),1)</x:f>
        <x:v>45992</x:v>
      </x:c>
    </x:row>
    <x:row r="3334" ht="22" customHeight="1">
      <x:c r="A3334" s="2" t="str">
        <x:v>L003330</x:v>
      </x:c>
      <x:c r="B3334" s="2" t="str">
        <x:v>O01359</x:v>
      </x:c>
      <x:c r="C3334" s="7" t="n">
        <x:v>46010</x:v>
      </x:c>
      <x:c r="D3334" s="2" t="str">
        <x:v>Completed</x:v>
      </x:c>
      <x:c r="E3334" s="2" t="str">
        <x:v>North</x:v>
      </x:c>
      <x:c r="F3334" s="2" t="str">
        <x:v>Online</x:v>
      </x:c>
      <x:c r="G3334" s="2" t="str">
        <x:v>Lighting</x:v>
      </x:c>
      <x:c r="H3334" s="2" t="str">
        <x:v>Lamp 017</x:v>
      </x:c>
      <x:c r="I3334" s="11" t="n">
        <x:v>5</x:v>
      </x:c>
      <x:c r="J3334" s="9" t="n">
        <x:v>300</x:v>
      </x:c>
      <x:c r="K3334" s="10" t="n">
        <x:v>0.1</x:v>
      </x:c>
      <x:c r="L3334" s="11" t="n">
        <x:v>0</x:v>
      </x:c>
      <x:c r="M3334" s="9" t="n">
        <x:f>IF(D3334="Completed",I3334*J3334,0)</x:f>
        <x:v>1500</x:v>
      </x:c>
      <x:c r="N3334" s="9" t="n">
        <x:f>M3334*K3334</x:f>
        <x:v>150</x:v>
      </x:c>
      <x:c r="O3334" s="9" t="n">
        <x:f>M3334-N3334</x:f>
        <x:v>1350</x:v>
      </x:c>
      <x:c r="P3334" s="9" t="n">
        <x:f>IF(D3334="Completed",L3334*J3334*(1-K3334),0)</x:f>
        <x:v>0</x:v>
      </x:c>
      <x:c r="Q3334" s="9" t="n">
        <x:f>O3334-P3334</x:f>
        <x:v>1350</x:v>
      </x:c>
      <x:c r="R3334" s="11" t="n">
        <x:f>IF(D3334="Completed",I3334,0)</x:f>
        <x:v>5</x:v>
      </x:c>
      <x:c r="S3334" s="11" t="n">
        <x:f>IF(D3334="Completed",L3334,0)</x:f>
        <x:v>0</x:v>
      </x:c>
      <x:c r="T3334" s="8" t="n">
        <x:f>DATE(YEAR(C3334),MONTH(C3334),1)</x:f>
        <x:v>45992</x:v>
      </x:c>
    </x:row>
    <x:row r="3335" ht="22" customHeight="1">
      <x:c r="A3335" s="2" t="str">
        <x:v>L003331</x:v>
      </x:c>
      <x:c r="B3335" s="2" t="str">
        <x:v>O01359</x:v>
      </x:c>
      <x:c r="C3335" s="7" t="n">
        <x:v>46010</x:v>
      </x:c>
      <x:c r="D3335" s="2" t="str">
        <x:v>Completed</x:v>
      </x:c>
      <x:c r="E3335" s="2" t="str">
        <x:v>North</x:v>
      </x:c>
      <x:c r="F3335" s="2" t="str">
        <x:v>Online</x:v>
      </x:c>
      <x:c r="G3335" s="2" t="str">
        <x:v>Furniture</x:v>
      </x:c>
      <x:c r="H3335" s="2" t="str">
        <x:v>Desk 020</x:v>
      </x:c>
      <x:c r="I3335" s="11" t="n">
        <x:v>2</x:v>
      </x:c>
      <x:c r="J3335" s="9" t="n">
        <x:v>189</x:v>
      </x:c>
      <x:c r="K3335" s="10" t="n">
        <x:v>0.05</x:v>
      </x:c>
      <x:c r="L3335" s="11" t="n">
        <x:v>0</x:v>
      </x:c>
      <x:c r="M3335" s="9" t="n">
        <x:f>IF(D3335="Completed",I3335*J3335,0)</x:f>
        <x:v>378</x:v>
      </x:c>
      <x:c r="N3335" s="9" t="n">
        <x:f>M3335*K3335</x:f>
        <x:v>18.900000000000002</x:v>
      </x:c>
      <x:c r="O3335" s="9" t="n">
        <x:f>M3335-N3335</x:f>
        <x:v>359.1</x:v>
      </x:c>
      <x:c r="P3335" s="9" t="n">
        <x:f>IF(D3335="Completed",L3335*J3335*(1-K3335),0)</x:f>
        <x:v>0</x:v>
      </x:c>
      <x:c r="Q3335" s="9" t="n">
        <x:f>O3335-P3335</x:f>
        <x:v>359.1</x:v>
      </x:c>
      <x:c r="R3335" s="11" t="n">
        <x:f>IF(D3335="Completed",I3335,0)</x:f>
        <x:v>2</x:v>
      </x:c>
      <x:c r="S3335" s="11" t="n">
        <x:f>IF(D3335="Completed",L3335,0)</x:f>
        <x:v>0</x:v>
      </x:c>
      <x:c r="T3335" s="8" t="n">
        <x:f>DATE(YEAR(C3335),MONTH(C3335),1)</x:f>
        <x:v>45992</x:v>
      </x:c>
    </x:row>
    <x:row r="3336" ht="22" customHeight="1">
      <x:c r="A3336" s="2" t="str">
        <x:v>L003332</x:v>
      </x:c>
      <x:c r="B3336" s="2" t="str">
        <x:v>O01360</x:v>
      </x:c>
      <x:c r="C3336" s="7" t="n">
        <x:v>45816</x:v>
      </x:c>
      <x:c r="D3336" s="2" t="str">
        <x:v>Completed</x:v>
      </x:c>
      <x:c r="E3336" s="2" t="str">
        <x:v>West</x:v>
      </x:c>
      <x:c r="F3336" s="2" t="str">
        <x:v>Online</x:v>
      </x:c>
      <x:c r="G3336" s="2" t="str">
        <x:v>Furniture</x:v>
      </x:c>
      <x:c r="H3336" s="2" t="str">
        <x:v>Desk 008</x:v>
      </x:c>
      <x:c r="I3336" s="11" t="n">
        <x:v>2</x:v>
      </x:c>
      <x:c r="J3336" s="9" t="n">
        <x:v>188</x:v>
      </x:c>
      <x:c r="K3336" s="10" t="n">
        <x:v>0</x:v>
      </x:c>
      <x:c r="L3336" s="11" t="n">
        <x:v>0</x:v>
      </x:c>
      <x:c r="M3336" s="9" t="n">
        <x:f>IF(D3336="Completed",I3336*J3336,0)</x:f>
        <x:v>376</x:v>
      </x:c>
      <x:c r="N3336" s="9" t="n">
        <x:f>M3336*K3336</x:f>
        <x:v>0</x:v>
      </x:c>
      <x:c r="O3336" s="9" t="n">
        <x:f>M3336-N3336</x:f>
        <x:v>376</x:v>
      </x:c>
      <x:c r="P3336" s="9" t="n">
        <x:f>IF(D3336="Completed",L3336*J3336*(1-K3336),0)</x:f>
        <x:v>0</x:v>
      </x:c>
      <x:c r="Q3336" s="9" t="n">
        <x:f>O3336-P3336</x:f>
        <x:v>376</x:v>
      </x:c>
      <x:c r="R3336" s="11" t="n">
        <x:f>IF(D3336="Completed",I3336,0)</x:f>
        <x:v>2</x:v>
      </x:c>
      <x:c r="S3336" s="11" t="n">
        <x:f>IF(D3336="Completed",L3336,0)</x:f>
        <x:v>0</x:v>
      </x:c>
      <x:c r="T3336" s="8" t="n">
        <x:f>DATE(YEAR(C3336),MONTH(C3336),1)</x:f>
        <x:v>45809</x:v>
      </x:c>
    </x:row>
    <x:row r="3337" ht="22" customHeight="1">
      <x:c r="A3337" s="2" t="str">
        <x:v>L003333</x:v>
      </x:c>
      <x:c r="B3337" s="2" t="str">
        <x:v>O01361</x:v>
      </x:c>
      <x:c r="C3337" s="7" t="n">
        <x:v>45865</x:v>
      </x:c>
      <x:c r="D3337" s="2" t="str">
        <x:v>Completed</x:v>
      </x:c>
      <x:c r="E3337" s="2" t="str">
        <x:v>North</x:v>
      </x:c>
      <x:c r="F3337" s="2" t="str">
        <x:v>Online</x:v>
      </x:c>
      <x:c r="G3337" s="2" t="str">
        <x:v>Furniture</x:v>
      </x:c>
      <x:c r="H3337" s="2" t="str">
        <x:v>Desk 024</x:v>
      </x:c>
      <x:c r="I3337" s="11" t="n">
        <x:v>2</x:v>
      </x:c>
      <x:c r="J3337" s="9" t="n">
        <x:v>81</x:v>
      </x:c>
      <x:c r="K3337" s="10" t="n">
        <x:v>0.05</x:v>
      </x:c>
      <x:c r="L3337" s="11" t="n">
        <x:v>0</x:v>
      </x:c>
      <x:c r="M3337" s="9" t="n">
        <x:f>IF(D3337="Completed",I3337*J3337,0)</x:f>
        <x:v>162</x:v>
      </x:c>
      <x:c r="N3337" s="9" t="n">
        <x:f>M3337*K3337</x:f>
        <x:v>8.1</x:v>
      </x:c>
      <x:c r="O3337" s="9" t="n">
        <x:f>M3337-N3337</x:f>
        <x:v>153.9</x:v>
      </x:c>
      <x:c r="P3337" s="9" t="n">
        <x:f>IF(D3337="Completed",L3337*J3337*(1-K3337),0)</x:f>
        <x:v>0</x:v>
      </x:c>
      <x:c r="Q3337" s="9" t="n">
        <x:f>O3337-P3337</x:f>
        <x:v>153.9</x:v>
      </x:c>
      <x:c r="R3337" s="11" t="n">
        <x:f>IF(D3337="Completed",I3337,0)</x:f>
        <x:v>2</x:v>
      </x:c>
      <x:c r="S3337" s="11" t="n">
        <x:f>IF(D3337="Completed",L3337,0)</x:f>
        <x:v>0</x:v>
      </x:c>
      <x:c r="T3337" s="8" t="n">
        <x:f>DATE(YEAR(C3337),MONTH(C3337),1)</x:f>
        <x:v>45839</x:v>
      </x:c>
    </x:row>
    <x:row r="3338" ht="22" customHeight="1">
      <x:c r="A3338" s="2" t="str">
        <x:v>L003334</x:v>
      </x:c>
      <x:c r="B3338" s="2" t="str">
        <x:v>O01361</x:v>
      </x:c>
      <x:c r="C3338" s="7" t="n">
        <x:v>45865</x:v>
      </x:c>
      <x:c r="D3338" s="2" t="str">
        <x:v>Completed</x:v>
      </x:c>
      <x:c r="E3338" s="2" t="str">
        <x:v>North</x:v>
      </x:c>
      <x:c r="F3338" s="2" t="str">
        <x:v>Online</x:v>
      </x:c>
      <x:c r="G3338" s="2" t="str">
        <x:v>Storage</x:v>
      </x:c>
      <x:c r="H3338" s="2" t="str">
        <x:v>Shelf 015</x:v>
      </x:c>
      <x:c r="I3338" s="11" t="n">
        <x:v>1</x:v>
      </x:c>
      <x:c r="J3338" s="9" t="n">
        <x:v>254</x:v>
      </x:c>
      <x:c r="K3338" s="10" t="n">
        <x:v>0.05</x:v>
      </x:c>
      <x:c r="L3338" s="11" t="n">
        <x:v>0</x:v>
      </x:c>
      <x:c r="M3338" s="9" t="n">
        <x:f>IF(D3338="Completed",I3338*J3338,0)</x:f>
        <x:v>254</x:v>
      </x:c>
      <x:c r="N3338" s="9" t="n">
        <x:f>M3338*K3338</x:f>
        <x:v>12.700000000000001</x:v>
      </x:c>
      <x:c r="O3338" s="9" t="n">
        <x:f>M3338-N3338</x:f>
        <x:v>241.3</x:v>
      </x:c>
      <x:c r="P3338" s="9" t="n">
        <x:f>IF(D3338="Completed",L3338*J3338*(1-K3338),0)</x:f>
        <x:v>0</x:v>
      </x:c>
      <x:c r="Q3338" s="9" t="n">
        <x:f>O3338-P3338</x:f>
        <x:v>241.3</x:v>
      </x:c>
      <x:c r="R3338" s="11" t="n">
        <x:f>IF(D3338="Completed",I3338,0)</x:f>
        <x:v>1</x:v>
      </x:c>
      <x:c r="S3338" s="11" t="n">
        <x:f>IF(D3338="Completed",L3338,0)</x:f>
        <x:v>0</x:v>
      </x:c>
      <x:c r="T3338" s="8" t="n">
        <x:f>DATE(YEAR(C3338),MONTH(C3338),1)</x:f>
        <x:v>45839</x:v>
      </x:c>
    </x:row>
    <x:row r="3339" ht="22" customHeight="1">
      <x:c r="A3339" s="2" t="str">
        <x:v>L003335</x:v>
      </x:c>
      <x:c r="B3339" s="2" t="str">
        <x:v>O01361</x:v>
      </x:c>
      <x:c r="C3339" s="7" t="n">
        <x:v>45865</x:v>
      </x:c>
      <x:c r="D3339" s="2" t="str">
        <x:v>Completed</x:v>
      </x:c>
      <x:c r="E3339" s="2" t="str">
        <x:v>North</x:v>
      </x:c>
      <x:c r="F3339" s="2" t="str">
        <x:v>Online</x:v>
      </x:c>
      <x:c r="G3339" s="2" t="str">
        <x:v>Lighting</x:v>
      </x:c>
      <x:c r="H3339" s="2" t="str">
        <x:v>Lamp 005</x:v>
      </x:c>
      <x:c r="I3339" s="11" t="n">
        <x:v>2</x:v>
      </x:c>
      <x:c r="J3339" s="9" t="n">
        <x:v>65</x:v>
      </x:c>
      <x:c r="K3339" s="10" t="n">
        <x:v>0.05</x:v>
      </x:c>
      <x:c r="L3339" s="11" t="n">
        <x:v>0</x:v>
      </x:c>
      <x:c r="M3339" s="9" t="n">
        <x:f>IF(D3339="Completed",I3339*J3339,0)</x:f>
        <x:v>130</x:v>
      </x:c>
      <x:c r="N3339" s="9" t="n">
        <x:f>M3339*K3339</x:f>
        <x:v>6.5</x:v>
      </x:c>
      <x:c r="O3339" s="9" t="n">
        <x:f>M3339-N3339</x:f>
        <x:v>123.5</x:v>
      </x:c>
      <x:c r="P3339" s="9" t="n">
        <x:f>IF(D3339="Completed",L3339*J3339*(1-K3339),0)</x:f>
        <x:v>0</x:v>
      </x:c>
      <x:c r="Q3339" s="9" t="n">
        <x:f>O3339-P3339</x:f>
        <x:v>123.5</x:v>
      </x:c>
      <x:c r="R3339" s="11" t="n">
        <x:f>IF(D3339="Completed",I3339,0)</x:f>
        <x:v>2</x:v>
      </x:c>
      <x:c r="S3339" s="11" t="n">
        <x:f>IF(D3339="Completed",L3339,0)</x:f>
        <x:v>0</x:v>
      </x:c>
      <x:c r="T3339" s="8" t="n">
        <x:f>DATE(YEAR(C3339),MONTH(C3339),1)</x:f>
        <x:v>45839</x:v>
      </x:c>
    </x:row>
    <x:row r="3340" ht="22" customHeight="1">
      <x:c r="A3340" s="2" t="str">
        <x:v>L003336</x:v>
      </x:c>
      <x:c r="B3340" s="2" t="str">
        <x:v>O01362</x:v>
      </x:c>
      <x:c r="C3340" s="7" t="n">
        <x:v>45786</x:v>
      </x:c>
      <x:c r="D3340" s="2" t="str">
        <x:v>Completed</x:v>
      </x:c>
      <x:c r="E3340" s="2" t="str">
        <x:v>North</x:v>
      </x:c>
      <x:c r="F3340" s="2" t="str">
        <x:v>Online</x:v>
      </x:c>
      <x:c r="G3340" s="2" t="str">
        <x:v>Lighting</x:v>
      </x:c>
      <x:c r="H3340" s="2" t="str">
        <x:v>Lamp 013</x:v>
      </x:c>
      <x:c r="I3340" s="11" t="n">
        <x:v>2</x:v>
      </x:c>
      <x:c r="J3340" s="9" t="n">
        <x:v>271</x:v>
      </x:c>
      <x:c r="K3340" s="10" t="n">
        <x:v>0.2</x:v>
      </x:c>
      <x:c r="L3340" s="11" t="n">
        <x:v>0</x:v>
      </x:c>
      <x:c r="M3340" s="9" t="n">
        <x:f>IF(D3340="Completed",I3340*J3340,0)</x:f>
        <x:v>542</x:v>
      </x:c>
      <x:c r="N3340" s="9" t="n">
        <x:f>M3340*K3340</x:f>
        <x:v>108.4</x:v>
      </x:c>
      <x:c r="O3340" s="9" t="n">
        <x:f>M3340-N3340</x:f>
        <x:v>433.6</x:v>
      </x:c>
      <x:c r="P3340" s="9" t="n">
        <x:f>IF(D3340="Completed",L3340*J3340*(1-K3340),0)</x:f>
        <x:v>0</x:v>
      </x:c>
      <x:c r="Q3340" s="9" t="n">
        <x:f>O3340-P3340</x:f>
        <x:v>433.6</x:v>
      </x:c>
      <x:c r="R3340" s="11" t="n">
        <x:f>IF(D3340="Completed",I3340,0)</x:f>
        <x:v>2</x:v>
      </x:c>
      <x:c r="S3340" s="11" t="n">
        <x:f>IF(D3340="Completed",L3340,0)</x:f>
        <x:v>0</x:v>
      </x:c>
      <x:c r="T3340" s="8" t="n">
        <x:f>DATE(YEAR(C3340),MONTH(C3340),1)</x:f>
        <x:v>45778</x:v>
      </x:c>
    </x:row>
    <x:row r="3341" ht="22" customHeight="1">
      <x:c r="A3341" s="2" t="str">
        <x:v>L003337</x:v>
      </x:c>
      <x:c r="B3341" s="2" t="str">
        <x:v>O01363</x:v>
      </x:c>
      <x:c r="C3341" s="7" t="n">
        <x:v>45986</x:v>
      </x:c>
      <x:c r="D3341" s="2" t="str">
        <x:v>Completed</x:v>
      </x:c>
      <x:c r="E3341" s="2" t="str">
        <x:v>West</x:v>
      </x:c>
      <x:c r="F3341" s="2" t="str">
        <x:v>Online</x:v>
      </x:c>
      <x:c r="G3341" s="2" t="str">
        <x:v>Furniture</x:v>
      </x:c>
      <x:c r="H3341" s="2" t="str">
        <x:v>Desk 008</x:v>
      </x:c>
      <x:c r="I3341" s="11" t="n">
        <x:v>4</x:v>
      </x:c>
      <x:c r="J3341" s="9" t="n">
        <x:v>188</x:v>
      </x:c>
      <x:c r="K3341" s="10" t="n">
        <x:v>0</x:v>
      </x:c>
      <x:c r="L3341" s="11" t="n">
        <x:v>0</x:v>
      </x:c>
      <x:c r="M3341" s="9" t="n">
        <x:f>IF(D3341="Completed",I3341*J3341,0)</x:f>
        <x:v>752</x:v>
      </x:c>
      <x:c r="N3341" s="9" t="n">
        <x:f>M3341*K3341</x:f>
        <x:v>0</x:v>
      </x:c>
      <x:c r="O3341" s="9" t="n">
        <x:f>M3341-N3341</x:f>
        <x:v>752</x:v>
      </x:c>
      <x:c r="P3341" s="9" t="n">
        <x:f>IF(D3341="Completed",L3341*J3341*(1-K3341),0)</x:f>
        <x:v>0</x:v>
      </x:c>
      <x:c r="Q3341" s="9" t="n">
        <x:f>O3341-P3341</x:f>
        <x:v>752</x:v>
      </x:c>
      <x:c r="R3341" s="11" t="n">
        <x:f>IF(D3341="Completed",I3341,0)</x:f>
        <x:v>4</x:v>
      </x:c>
      <x:c r="S3341" s="11" t="n">
        <x:f>IF(D3341="Completed",L3341,0)</x:f>
        <x:v>0</x:v>
      </x:c>
      <x:c r="T3341" s="8" t="n">
        <x:f>DATE(YEAR(C3341),MONTH(C3341),1)</x:f>
        <x:v>45962</x:v>
      </x:c>
    </x:row>
    <x:row r="3342" ht="22" customHeight="1">
      <x:c r="A3342" s="2" t="str">
        <x:v>L003338</x:v>
      </x:c>
      <x:c r="B3342" s="2" t="str">
        <x:v>O01363</x:v>
      </x:c>
      <x:c r="C3342" s="7" t="n">
        <x:v>45986</x:v>
      </x:c>
      <x:c r="D3342" s="2" t="str">
        <x:v>Completed</x:v>
      </x:c>
      <x:c r="E3342" s="2" t="str">
        <x:v>West</x:v>
      </x:c>
      <x:c r="F3342" s="2" t="str">
        <x:v>Online</x:v>
      </x:c>
      <x:c r="G3342" s="2" t="str">
        <x:v>Furniture</x:v>
      </x:c>
      <x:c r="H3342" s="2" t="str">
        <x:v>Chair 014</x:v>
      </x:c>
      <x:c r="I3342" s="11" t="n">
        <x:v>1</x:v>
      </x:c>
      <x:c r="J3342" s="9" t="n">
        <x:v>294</x:v>
      </x:c>
      <x:c r="K3342" s="10" t="n">
        <x:v>0</x:v>
      </x:c>
      <x:c r="L3342" s="11" t="n">
        <x:v>0</x:v>
      </x:c>
      <x:c r="M3342" s="9" t="n">
        <x:f>IF(D3342="Completed",I3342*J3342,0)</x:f>
        <x:v>294</x:v>
      </x:c>
      <x:c r="N3342" s="9" t="n">
        <x:f>M3342*K3342</x:f>
        <x:v>0</x:v>
      </x:c>
      <x:c r="O3342" s="9" t="n">
        <x:f>M3342-N3342</x:f>
        <x:v>294</x:v>
      </x:c>
      <x:c r="P3342" s="9" t="n">
        <x:f>IF(D3342="Completed",L3342*J3342*(1-K3342),0)</x:f>
        <x:v>0</x:v>
      </x:c>
      <x:c r="Q3342" s="9" t="n">
        <x:f>O3342-P3342</x:f>
        <x:v>294</x:v>
      </x:c>
      <x:c r="R3342" s="11" t="n">
        <x:f>IF(D3342="Completed",I3342,0)</x:f>
        <x:v>1</x:v>
      </x:c>
      <x:c r="S3342" s="11" t="n">
        <x:f>IF(D3342="Completed",L3342,0)</x:f>
        <x:v>0</x:v>
      </x:c>
      <x:c r="T3342" s="8" t="n">
        <x:f>DATE(YEAR(C3342),MONTH(C3342),1)</x:f>
        <x:v>45962</x:v>
      </x:c>
    </x:row>
    <x:row r="3343" ht="22" customHeight="1">
      <x:c r="A3343" s="2" t="str">
        <x:v>L003339</x:v>
      </x:c>
      <x:c r="B3343" s="2" t="str">
        <x:v>O01363</x:v>
      </x:c>
      <x:c r="C3343" s="7" t="n">
        <x:v>45986</x:v>
      </x:c>
      <x:c r="D3343" s="2" t="str">
        <x:v>Completed</x:v>
      </x:c>
      <x:c r="E3343" s="2" t="str">
        <x:v>West</x:v>
      </x:c>
      <x:c r="F3343" s="2" t="str">
        <x:v>Online</x:v>
      </x:c>
      <x:c r="G3343" s="2" t="str">
        <x:v>Lighting</x:v>
      </x:c>
      <x:c r="H3343" s="2" t="str">
        <x:v>Lamp 021</x:v>
      </x:c>
      <x:c r="I3343" s="11" t="n">
        <x:v>3</x:v>
      </x:c>
      <x:c r="J3343" s="9" t="n">
        <x:v>249</x:v>
      </x:c>
      <x:c r="K3343" s="10" t="n">
        <x:v>0.05</x:v>
      </x:c>
      <x:c r="L3343" s="11" t="n">
        <x:v>0</x:v>
      </x:c>
      <x:c r="M3343" s="9" t="n">
        <x:f>IF(D3343="Completed",I3343*J3343,0)</x:f>
        <x:v>747</x:v>
      </x:c>
      <x:c r="N3343" s="9" t="n">
        <x:f>M3343*K3343</x:f>
        <x:v>37.35</x:v>
      </x:c>
      <x:c r="O3343" s="9" t="n">
        <x:f>M3343-N3343</x:f>
        <x:v>709.65</x:v>
      </x:c>
      <x:c r="P3343" s="9" t="n">
        <x:f>IF(D3343="Completed",L3343*J3343*(1-K3343),0)</x:f>
        <x:v>0</x:v>
      </x:c>
      <x:c r="Q3343" s="9" t="n">
        <x:f>O3343-P3343</x:f>
        <x:v>709.65</x:v>
      </x:c>
      <x:c r="R3343" s="11" t="n">
        <x:f>IF(D3343="Completed",I3343,0)</x:f>
        <x:v>3</x:v>
      </x:c>
      <x:c r="S3343" s="11" t="n">
        <x:f>IF(D3343="Completed",L3343,0)</x:f>
        <x:v>0</x:v>
      </x:c>
      <x:c r="T3343" s="8" t="n">
        <x:f>DATE(YEAR(C3343),MONTH(C3343),1)</x:f>
        <x:v>45962</x:v>
      </x:c>
    </x:row>
    <x:row r="3344" ht="22" customHeight="1">
      <x:c r="A3344" s="2" t="str">
        <x:v>L003340</x:v>
      </x:c>
      <x:c r="B3344" s="2" t="str">
        <x:v>O01364</x:v>
      </x:c>
      <x:c r="C3344" s="7" t="n">
        <x:v>45872</x:v>
      </x:c>
      <x:c r="D3344" s="2" t="str">
        <x:v>Completed</x:v>
      </x:c>
      <x:c r="E3344" s="2" t="str">
        <x:v>North</x:v>
      </x:c>
      <x:c r="F3344" s="2" t="str">
        <x:v>Store</x:v>
      </x:c>
      <x:c r="G3344" s="2" t="str">
        <x:v>Storage</x:v>
      </x:c>
      <x:c r="H3344" s="2" t="str">
        <x:v>Shelf 007</x:v>
      </x:c>
      <x:c r="I3344" s="11" t="n">
        <x:v>2</x:v>
      </x:c>
      <x:c r="J3344" s="9" t="n">
        <x:v>35</x:v>
      </x:c>
      <x:c r="K3344" s="10" t="n">
        <x:v>0.05</x:v>
      </x:c>
      <x:c r="L3344" s="11" t="n">
        <x:v>0</x:v>
      </x:c>
      <x:c r="M3344" s="9" t="n">
        <x:f>IF(D3344="Completed",I3344*J3344,0)</x:f>
        <x:v>70</x:v>
      </x:c>
      <x:c r="N3344" s="9" t="n">
        <x:f>M3344*K3344</x:f>
        <x:v>3.5</x:v>
      </x:c>
      <x:c r="O3344" s="9" t="n">
        <x:f>M3344-N3344</x:f>
        <x:v>66.5</x:v>
      </x:c>
      <x:c r="P3344" s="9" t="n">
        <x:f>IF(D3344="Completed",L3344*J3344*(1-K3344),0)</x:f>
        <x:v>0</x:v>
      </x:c>
      <x:c r="Q3344" s="9" t="n">
        <x:f>O3344-P3344</x:f>
        <x:v>66.5</x:v>
      </x:c>
      <x:c r="R3344" s="11" t="n">
        <x:f>IF(D3344="Completed",I3344,0)</x:f>
        <x:v>2</x:v>
      </x:c>
      <x:c r="S3344" s="11" t="n">
        <x:f>IF(D3344="Completed",L3344,0)</x:f>
        <x:v>0</x:v>
      </x:c>
      <x:c r="T3344" s="8" t="n">
        <x:f>DATE(YEAR(C3344),MONTH(C3344),1)</x:f>
        <x:v>45870</x:v>
      </x:c>
    </x:row>
    <x:row r="3345" ht="22" customHeight="1">
      <x:c r="A3345" s="2" t="str">
        <x:v>L003341</x:v>
      </x:c>
      <x:c r="B3345" s="2" t="str">
        <x:v>O01364</x:v>
      </x:c>
      <x:c r="C3345" s="7" t="n">
        <x:v>45872</x:v>
      </x:c>
      <x:c r="D3345" s="2" t="str">
        <x:v>Completed</x:v>
      </x:c>
      <x:c r="E3345" s="2" t="str">
        <x:v>North</x:v>
      </x:c>
      <x:c r="F3345" s="2" t="str">
        <x:v>Store</x:v>
      </x:c>
      <x:c r="G3345" s="2" t="str">
        <x:v>Furniture</x:v>
      </x:c>
      <x:c r="H3345" s="2" t="str">
        <x:v>Desk 024</x:v>
      </x:c>
      <x:c r="I3345" s="11" t="n">
        <x:v>4</x:v>
      </x:c>
      <x:c r="J3345" s="9" t="n">
        <x:v>81</x:v>
      </x:c>
      <x:c r="K3345" s="10" t="n">
        <x:v>0.05</x:v>
      </x:c>
      <x:c r="L3345" s="11" t="n">
        <x:v>0</x:v>
      </x:c>
      <x:c r="M3345" s="9" t="n">
        <x:f>IF(D3345="Completed",I3345*J3345,0)</x:f>
        <x:v>324</x:v>
      </x:c>
      <x:c r="N3345" s="9" t="n">
        <x:f>M3345*K3345</x:f>
        <x:v>16.2</x:v>
      </x:c>
      <x:c r="O3345" s="9" t="n">
        <x:f>M3345-N3345</x:f>
        <x:v>307.8</x:v>
      </x:c>
      <x:c r="P3345" s="9" t="n">
        <x:f>IF(D3345="Completed",L3345*J3345*(1-K3345),0)</x:f>
        <x:v>0</x:v>
      </x:c>
      <x:c r="Q3345" s="9" t="n">
        <x:f>O3345-P3345</x:f>
        <x:v>307.8</x:v>
      </x:c>
      <x:c r="R3345" s="11" t="n">
        <x:f>IF(D3345="Completed",I3345,0)</x:f>
        <x:v>4</x:v>
      </x:c>
      <x:c r="S3345" s="11" t="n">
        <x:f>IF(D3345="Completed",L3345,0)</x:f>
        <x:v>0</x:v>
      </x:c>
      <x:c r="T3345" s="8" t="n">
        <x:f>DATE(YEAR(C3345),MONTH(C3345),1)</x:f>
        <x:v>45870</x:v>
      </x:c>
    </x:row>
    <x:row r="3346" ht="22" customHeight="1">
      <x:c r="A3346" s="2" t="str">
        <x:v>L003342</x:v>
      </x:c>
      <x:c r="B3346" s="2" t="str">
        <x:v>O01365</x:v>
      </x:c>
      <x:c r="C3346" s="7" t="n">
        <x:v>45869</x:v>
      </x:c>
      <x:c r="D3346" s="2" t="str">
        <x:v>Completed</x:v>
      </x:c>
      <x:c r="E3346" s="2" t="str">
        <x:v>South</x:v>
      </x:c>
      <x:c r="F3346" s="2" t="str">
        <x:v>Store</x:v>
      </x:c>
      <x:c r="G3346" s="2" t="str">
        <x:v>Lighting</x:v>
      </x:c>
      <x:c r="H3346" s="2" t="str">
        <x:v>Lamp 009</x:v>
      </x:c>
      <x:c r="I3346" s="11" t="n">
        <x:v>2</x:v>
      </x:c>
      <x:c r="J3346" s="9" t="n">
        <x:v>93</x:v>
      </x:c>
      <x:c r="K3346" s="10" t="n">
        <x:v>0</x:v>
      </x:c>
      <x:c r="L3346" s="11" t="n">
        <x:v>0</x:v>
      </x:c>
      <x:c r="M3346" s="9" t="n">
        <x:f>IF(D3346="Completed",I3346*J3346,0)</x:f>
        <x:v>186</x:v>
      </x:c>
      <x:c r="N3346" s="9" t="n">
        <x:f>M3346*K3346</x:f>
        <x:v>0</x:v>
      </x:c>
      <x:c r="O3346" s="9" t="n">
        <x:f>M3346-N3346</x:f>
        <x:v>186</x:v>
      </x:c>
      <x:c r="P3346" s="9" t="n">
        <x:f>IF(D3346="Completed",L3346*J3346*(1-K3346),0)</x:f>
        <x:v>0</x:v>
      </x:c>
      <x:c r="Q3346" s="9" t="n">
        <x:f>O3346-P3346</x:f>
        <x:v>186</x:v>
      </x:c>
      <x:c r="R3346" s="11" t="n">
        <x:f>IF(D3346="Completed",I3346,0)</x:f>
        <x:v>2</x:v>
      </x:c>
      <x:c r="S3346" s="11" t="n">
        <x:f>IF(D3346="Completed",L3346,0)</x:f>
        <x:v>0</x:v>
      </x:c>
      <x:c r="T3346" s="8" t="n">
        <x:f>DATE(YEAR(C3346),MONTH(C3346),1)</x:f>
        <x:v>45839</x:v>
      </x:c>
    </x:row>
    <x:row r="3347" ht="22" customHeight="1">
      <x:c r="A3347" s="2" t="str">
        <x:v>L003343</x:v>
      </x:c>
      <x:c r="B3347" s="2" t="str">
        <x:v>O01365</x:v>
      </x:c>
      <x:c r="C3347" s="7" t="n">
        <x:v>45869</x:v>
      </x:c>
      <x:c r="D3347" s="2" t="str">
        <x:v>Completed</x:v>
      </x:c>
      <x:c r="E3347" s="2" t="str">
        <x:v>South</x:v>
      </x:c>
      <x:c r="F3347" s="2" t="str">
        <x:v>Store</x:v>
      </x:c>
      <x:c r="G3347" s="2" t="str">
        <x:v>Furniture</x:v>
      </x:c>
      <x:c r="H3347" s="2" t="str">
        <x:v>Chair 018</x:v>
      </x:c>
      <x:c r="I3347" s="11" t="n">
        <x:v>5</x:v>
      </x:c>
      <x:c r="J3347" s="9" t="n">
        <x:v>269</x:v>
      </x:c>
      <x:c r="K3347" s="10" t="n">
        <x:v>0.1</x:v>
      </x:c>
      <x:c r="L3347" s="11" t="n">
        <x:v>5</x:v>
      </x:c>
      <x:c r="M3347" s="9" t="n">
        <x:f>IF(D3347="Completed",I3347*J3347,0)</x:f>
        <x:v>1345</x:v>
      </x:c>
      <x:c r="N3347" s="9" t="n">
        <x:f>M3347*K3347</x:f>
        <x:v>134.5</x:v>
      </x:c>
      <x:c r="O3347" s="9" t="n">
        <x:f>M3347-N3347</x:f>
        <x:v>1210.5</x:v>
      </x:c>
      <x:c r="P3347" s="9" t="n">
        <x:f>IF(D3347="Completed",L3347*J3347*(1-K3347),0)</x:f>
        <x:v>1210.5</x:v>
      </x:c>
      <x:c r="Q3347" s="9" t="n">
        <x:f>O3347-P3347</x:f>
        <x:v>0</x:v>
      </x:c>
      <x:c r="R3347" s="11" t="n">
        <x:f>IF(D3347="Completed",I3347,0)</x:f>
        <x:v>5</x:v>
      </x:c>
      <x:c r="S3347" s="11" t="n">
        <x:f>IF(D3347="Completed",L3347,0)</x:f>
        <x:v>5</x:v>
      </x:c>
      <x:c r="T3347" s="8" t="n">
        <x:f>DATE(YEAR(C3347),MONTH(C3347),1)</x:f>
        <x:v>45839</x:v>
      </x:c>
    </x:row>
    <x:row r="3348" ht="22" customHeight="1">
      <x:c r="A3348" s="2" t="str">
        <x:v>L003344</x:v>
      </x:c>
      <x:c r="B3348" s="2" t="str">
        <x:v>O01365</x:v>
      </x:c>
      <x:c r="C3348" s="7" t="n">
        <x:v>45869</x:v>
      </x:c>
      <x:c r="D3348" s="2" t="str">
        <x:v>Completed</x:v>
      </x:c>
      <x:c r="E3348" s="2" t="str">
        <x:v>South</x:v>
      </x:c>
      <x:c r="F3348" s="2" t="str">
        <x:v>Store</x:v>
      </x:c>
      <x:c r="G3348" s="2" t="str">
        <x:v>Furniture</x:v>
      </x:c>
      <x:c r="H3348" s="2" t="str">
        <x:v>Desk 024</x:v>
      </x:c>
      <x:c r="I3348" s="11" t="n">
        <x:v>3</x:v>
      </x:c>
      <x:c r="J3348" s="9" t="n">
        <x:v>81</x:v>
      </x:c>
      <x:c r="K3348" s="10" t="n">
        <x:v>0</x:v>
      </x:c>
      <x:c r="L3348" s="11" t="n">
        <x:v>3</x:v>
      </x:c>
      <x:c r="M3348" s="9" t="n">
        <x:f>IF(D3348="Completed",I3348*J3348,0)</x:f>
        <x:v>243</x:v>
      </x:c>
      <x:c r="N3348" s="9" t="n">
        <x:f>M3348*K3348</x:f>
        <x:v>0</x:v>
      </x:c>
      <x:c r="O3348" s="9" t="n">
        <x:f>M3348-N3348</x:f>
        <x:v>243</x:v>
      </x:c>
      <x:c r="P3348" s="9" t="n">
        <x:f>IF(D3348="Completed",L3348*J3348*(1-K3348),0)</x:f>
        <x:v>243</x:v>
      </x:c>
      <x:c r="Q3348" s="9" t="n">
        <x:f>O3348-P3348</x:f>
        <x:v>0</x:v>
      </x:c>
      <x:c r="R3348" s="11" t="n">
        <x:f>IF(D3348="Completed",I3348,0)</x:f>
        <x:v>3</x:v>
      </x:c>
      <x:c r="S3348" s="11" t="n">
        <x:f>IF(D3348="Completed",L3348,0)</x:f>
        <x:v>3</x:v>
      </x:c>
      <x:c r="T3348" s="8" t="n">
        <x:f>DATE(YEAR(C3348),MONTH(C3348),1)</x:f>
        <x:v>45839</x:v>
      </x:c>
    </x:row>
    <x:row r="3349" ht="22" customHeight="1">
      <x:c r="A3349" s="2" t="str">
        <x:v>L003345</x:v>
      </x:c>
      <x:c r="B3349" s="2" t="str">
        <x:v>O01365</x:v>
      </x:c>
      <x:c r="C3349" s="7" t="n">
        <x:v>45869</x:v>
      </x:c>
      <x:c r="D3349" s="2" t="str">
        <x:v>Completed</x:v>
      </x:c>
      <x:c r="E3349" s="2" t="str">
        <x:v>South</x:v>
      </x:c>
      <x:c r="F3349" s="2" t="str">
        <x:v>Store</x:v>
      </x:c>
      <x:c r="G3349" s="2" t="str">
        <x:v>Furniture</x:v>
      </x:c>
      <x:c r="H3349" s="2" t="str">
        <x:v>Desk 008</x:v>
      </x:c>
      <x:c r="I3349" s="11" t="n">
        <x:v>1</x:v>
      </x:c>
      <x:c r="J3349" s="9" t="n">
        <x:v>188</x:v>
      </x:c>
      <x:c r="K3349" s="10" t="n">
        <x:v>0.05</x:v>
      </x:c>
      <x:c r="L3349" s="11" t="n">
        <x:v>0</x:v>
      </x:c>
      <x:c r="M3349" s="9" t="n">
        <x:f>IF(D3349="Completed",I3349*J3349,0)</x:f>
        <x:v>188</x:v>
      </x:c>
      <x:c r="N3349" s="9" t="n">
        <x:f>M3349*K3349</x:f>
        <x:v>9.4</x:v>
      </x:c>
      <x:c r="O3349" s="9" t="n">
        <x:f>M3349-N3349</x:f>
        <x:v>178.6</x:v>
      </x:c>
      <x:c r="P3349" s="9" t="n">
        <x:f>IF(D3349="Completed",L3349*J3349*(1-K3349),0)</x:f>
        <x:v>0</x:v>
      </x:c>
      <x:c r="Q3349" s="9" t="n">
        <x:f>O3349-P3349</x:f>
        <x:v>178.6</x:v>
      </x:c>
      <x:c r="R3349" s="11" t="n">
        <x:f>IF(D3349="Completed",I3349,0)</x:f>
        <x:v>1</x:v>
      </x:c>
      <x:c r="S3349" s="11" t="n">
        <x:f>IF(D3349="Completed",L3349,0)</x:f>
        <x:v>0</x:v>
      </x:c>
      <x:c r="T3349" s="8" t="n">
        <x:f>DATE(YEAR(C3349),MONTH(C3349),1)</x:f>
        <x:v>45839</x:v>
      </x:c>
    </x:row>
    <x:row r="3350" ht="22" customHeight="1">
      <x:c r="A3350" s="2" t="str">
        <x:v>L003346</x:v>
      </x:c>
      <x:c r="B3350" s="2" t="str">
        <x:v>O01366</x:v>
      </x:c>
      <x:c r="C3350" s="7" t="n">
        <x:v>45956</x:v>
      </x:c>
      <x:c r="D3350" s="2" t="str">
        <x:v>Completed</x:v>
      </x:c>
      <x:c r="E3350" s="2" t="str">
        <x:v>North</x:v>
      </x:c>
      <x:c r="F3350" s="2" t="str">
        <x:v>Online</x:v>
      </x:c>
      <x:c r="G3350" s="2" t="str">
        <x:v>Lighting</x:v>
      </x:c>
      <x:c r="H3350" s="2" t="str">
        <x:v>Lamp 021</x:v>
      </x:c>
      <x:c r="I3350" s="11" t="n">
        <x:v>5</x:v>
      </x:c>
      <x:c r="J3350" s="9" t="n">
        <x:v>249</x:v>
      </x:c>
      <x:c r="K3350" s="10" t="n">
        <x:v>0.1</x:v>
      </x:c>
      <x:c r="L3350" s="11" t="n">
        <x:v>0</x:v>
      </x:c>
      <x:c r="M3350" s="9" t="n">
        <x:f>IF(D3350="Completed",I3350*J3350,0)</x:f>
        <x:v>1245</x:v>
      </x:c>
      <x:c r="N3350" s="9" t="n">
        <x:f>M3350*K3350</x:f>
        <x:v>124.5</x:v>
      </x:c>
      <x:c r="O3350" s="9" t="n">
        <x:f>M3350-N3350</x:f>
        <x:v>1120.5</x:v>
      </x:c>
      <x:c r="P3350" s="9" t="n">
        <x:f>IF(D3350="Completed",L3350*J3350*(1-K3350),0)</x:f>
        <x:v>0</x:v>
      </x:c>
      <x:c r="Q3350" s="9" t="n">
        <x:f>O3350-P3350</x:f>
        <x:v>1120.5</x:v>
      </x:c>
      <x:c r="R3350" s="11" t="n">
        <x:f>IF(D3350="Completed",I3350,0)</x:f>
        <x:v>5</x:v>
      </x:c>
      <x:c r="S3350" s="11" t="n">
        <x:f>IF(D3350="Completed",L3350,0)</x:f>
        <x:v>0</x:v>
      </x:c>
      <x:c r="T3350" s="8" t="n">
        <x:f>DATE(YEAR(C3350),MONTH(C3350),1)</x:f>
        <x:v>45931</x:v>
      </x:c>
    </x:row>
    <x:row r="3351" ht="22" customHeight="1">
      <x:c r="A3351" s="2" t="str">
        <x:v>L003347</x:v>
      </x:c>
      <x:c r="B3351" s="2" t="str">
        <x:v>O01366</x:v>
      </x:c>
      <x:c r="C3351" s="7" t="n">
        <x:v>45956</x:v>
      </x:c>
      <x:c r="D3351" s="2" t="str">
        <x:v>Completed</x:v>
      </x:c>
      <x:c r="E3351" s="2" t="str">
        <x:v>North</x:v>
      </x:c>
      <x:c r="F3351" s="2" t="str">
        <x:v>Online</x:v>
      </x:c>
      <x:c r="G3351" s="2" t="str">
        <x:v>Storage</x:v>
      </x:c>
      <x:c r="H3351" s="2" t="str">
        <x:v>Shelf 007</x:v>
      </x:c>
      <x:c r="I3351" s="11" t="n">
        <x:v>3</x:v>
      </x:c>
      <x:c r="J3351" s="9" t="n">
        <x:v>35</x:v>
      </x:c>
      <x:c r="K3351" s="10" t="n">
        <x:v>0.05</x:v>
      </x:c>
      <x:c r="L3351" s="11" t="n">
        <x:v>0</x:v>
      </x:c>
      <x:c r="M3351" s="9" t="n">
        <x:f>IF(D3351="Completed",I3351*J3351,0)</x:f>
        <x:v>105</x:v>
      </x:c>
      <x:c r="N3351" s="9" t="n">
        <x:f>M3351*K3351</x:f>
        <x:v>5.25</x:v>
      </x:c>
      <x:c r="O3351" s="9" t="n">
        <x:f>M3351-N3351</x:f>
        <x:v>99.75</x:v>
      </x:c>
      <x:c r="P3351" s="9" t="n">
        <x:f>IF(D3351="Completed",L3351*J3351*(1-K3351),0)</x:f>
        <x:v>0</x:v>
      </x:c>
      <x:c r="Q3351" s="9" t="n">
        <x:f>O3351-P3351</x:f>
        <x:v>99.75</x:v>
      </x:c>
      <x:c r="R3351" s="11" t="n">
        <x:f>IF(D3351="Completed",I3351,0)</x:f>
        <x:v>3</x:v>
      </x:c>
      <x:c r="S3351" s="11" t="n">
        <x:f>IF(D3351="Completed",L3351,0)</x:f>
        <x:v>0</x:v>
      </x:c>
      <x:c r="T3351" s="8" t="n">
        <x:f>DATE(YEAR(C3351),MONTH(C3351),1)</x:f>
        <x:v>45931</x:v>
      </x:c>
    </x:row>
    <x:row r="3352" ht="22" customHeight="1">
      <x:c r="A3352" s="2" t="str">
        <x:v>L003348</x:v>
      </x:c>
      <x:c r="B3352" s="2" t="str">
        <x:v>O01366</x:v>
      </x:c>
      <x:c r="C3352" s="7" t="n">
        <x:v>45956</x:v>
      </x:c>
      <x:c r="D3352" s="2" t="str">
        <x:v>Completed</x:v>
      </x:c>
      <x:c r="E3352" s="2" t="str">
        <x:v>North</x:v>
      </x:c>
      <x:c r="F3352" s="2" t="str">
        <x:v>Online</x:v>
      </x:c>
      <x:c r="G3352" s="2" t="str">
        <x:v>Furniture</x:v>
      </x:c>
      <x:c r="H3352" s="2" t="str">
        <x:v>Desk 004</x:v>
      </x:c>
      <x:c r="I3352" s="11" t="n">
        <x:v>2</x:v>
      </x:c>
      <x:c r="J3352" s="9" t="n">
        <x:v>123</x:v>
      </x:c>
      <x:c r="K3352" s="10" t="n">
        <x:v>0.1</x:v>
      </x:c>
      <x:c r="L3352" s="11" t="n">
        <x:v>0</x:v>
      </x:c>
      <x:c r="M3352" s="9" t="n">
        <x:f>IF(D3352="Completed",I3352*J3352,0)</x:f>
        <x:v>246</x:v>
      </x:c>
      <x:c r="N3352" s="9" t="n">
        <x:f>M3352*K3352</x:f>
        <x:v>24.6</x:v>
      </x:c>
      <x:c r="O3352" s="9" t="n">
        <x:f>M3352-N3352</x:f>
        <x:v>221.4</x:v>
      </x:c>
      <x:c r="P3352" s="9" t="n">
        <x:f>IF(D3352="Completed",L3352*J3352*(1-K3352),0)</x:f>
        <x:v>0</x:v>
      </x:c>
      <x:c r="Q3352" s="9" t="n">
        <x:f>O3352-P3352</x:f>
        <x:v>221.4</x:v>
      </x:c>
      <x:c r="R3352" s="11" t="n">
        <x:f>IF(D3352="Completed",I3352,0)</x:f>
        <x:v>2</x:v>
      </x:c>
      <x:c r="S3352" s="11" t="n">
        <x:f>IF(D3352="Completed",L3352,0)</x:f>
        <x:v>0</x:v>
      </x:c>
      <x:c r="T3352" s="8" t="n">
        <x:f>DATE(YEAR(C3352),MONTH(C3352),1)</x:f>
        <x:v>45931</x:v>
      </x:c>
    </x:row>
    <x:row r="3353" ht="22" customHeight="1">
      <x:c r="A3353" s="2" t="str">
        <x:v>L003349</x:v>
      </x:c>
      <x:c r="B3353" s="2" t="str">
        <x:v>O01366</x:v>
      </x:c>
      <x:c r="C3353" s="7" t="n">
        <x:v>45956</x:v>
      </x:c>
      <x:c r="D3353" s="2" t="str">
        <x:v>Completed</x:v>
      </x:c>
      <x:c r="E3353" s="2" t="str">
        <x:v>North</x:v>
      </x:c>
      <x:c r="F3353" s="2" t="str">
        <x:v>Online</x:v>
      </x:c>
      <x:c r="G3353" s="2" t="str">
        <x:v>Furniture</x:v>
      </x:c>
      <x:c r="H3353" s="2" t="str">
        <x:v>Desk 004</x:v>
      </x:c>
      <x:c r="I3353" s="11" t="n">
        <x:v>4</x:v>
      </x:c>
      <x:c r="J3353" s="9" t="n">
        <x:v>123</x:v>
      </x:c>
      <x:c r="K3353" s="10" t="n">
        <x:v>0</x:v>
      </x:c>
      <x:c r="L3353" s="11" t="n">
        <x:v>0</x:v>
      </x:c>
      <x:c r="M3353" s="9" t="n">
        <x:f>IF(D3353="Completed",I3353*J3353,0)</x:f>
        <x:v>492</x:v>
      </x:c>
      <x:c r="N3353" s="9" t="n">
        <x:f>M3353*K3353</x:f>
        <x:v>0</x:v>
      </x:c>
      <x:c r="O3353" s="9" t="n">
        <x:f>M3353-N3353</x:f>
        <x:v>492</x:v>
      </x:c>
      <x:c r="P3353" s="9" t="n">
        <x:f>IF(D3353="Completed",L3353*J3353*(1-K3353),0)</x:f>
        <x:v>0</x:v>
      </x:c>
      <x:c r="Q3353" s="9" t="n">
        <x:f>O3353-P3353</x:f>
        <x:v>492</x:v>
      </x:c>
      <x:c r="R3353" s="11" t="n">
        <x:f>IF(D3353="Completed",I3353,0)</x:f>
        <x:v>4</x:v>
      </x:c>
      <x:c r="S3353" s="11" t="n">
        <x:f>IF(D3353="Completed",L3353,0)</x:f>
        <x:v>0</x:v>
      </x:c>
      <x:c r="T3353" s="8" t="n">
        <x:f>DATE(YEAR(C3353),MONTH(C3353),1)</x:f>
        <x:v>45931</x:v>
      </x:c>
    </x:row>
    <x:row r="3354" ht="22" customHeight="1">
      <x:c r="A3354" s="2" t="str">
        <x:v>L003350</x:v>
      </x:c>
      <x:c r="B3354" s="2" t="str">
        <x:v>O01367</x:v>
      </x:c>
      <x:c r="C3354" s="7" t="n">
        <x:v>45749</x:v>
      </x:c>
      <x:c r="D3354" s="2" t="str">
        <x:v>Completed</x:v>
      </x:c>
      <x:c r="E3354" s="2" t="str">
        <x:v>South</x:v>
      </x:c>
      <x:c r="F3354" s="2" t="str">
        <x:v>Online</x:v>
      </x:c>
      <x:c r="G3354" s="2" t="str">
        <x:v>Lighting</x:v>
      </x:c>
      <x:c r="H3354" s="2" t="str">
        <x:v>Lamp 013</x:v>
      </x:c>
      <x:c r="I3354" s="11" t="n">
        <x:v>5</x:v>
      </x:c>
      <x:c r="J3354" s="9" t="n">
        <x:v>271</x:v>
      </x:c>
      <x:c r="K3354" s="10" t="n">
        <x:v>0.05</x:v>
      </x:c>
      <x:c r="L3354" s="11" t="n">
        <x:v>0</x:v>
      </x:c>
      <x:c r="M3354" s="9" t="n">
        <x:f>IF(D3354="Completed",I3354*J3354,0)</x:f>
        <x:v>1355</x:v>
      </x:c>
      <x:c r="N3354" s="9" t="n">
        <x:f>M3354*K3354</x:f>
        <x:v>67.75</x:v>
      </x:c>
      <x:c r="O3354" s="9" t="n">
        <x:f>M3354-N3354</x:f>
        <x:v>1287.25</x:v>
      </x:c>
      <x:c r="P3354" s="9" t="n">
        <x:f>IF(D3354="Completed",L3354*J3354*(1-K3354),0)</x:f>
        <x:v>0</x:v>
      </x:c>
      <x:c r="Q3354" s="9" t="n">
        <x:f>O3354-P3354</x:f>
        <x:v>1287.25</x:v>
      </x:c>
      <x:c r="R3354" s="11" t="n">
        <x:f>IF(D3354="Completed",I3354,0)</x:f>
        <x:v>5</x:v>
      </x:c>
      <x:c r="S3354" s="11" t="n">
        <x:f>IF(D3354="Completed",L3354,0)</x:f>
        <x:v>0</x:v>
      </x:c>
      <x:c r="T3354" s="8" t="n">
        <x:f>DATE(YEAR(C3354),MONTH(C3354),1)</x:f>
        <x:v>45748</x:v>
      </x:c>
    </x:row>
    <x:row r="3355" ht="22" customHeight="1">
      <x:c r="A3355" s="2" t="str">
        <x:v>L003351</x:v>
      </x:c>
      <x:c r="B3355" s="2" t="str">
        <x:v>O01368</x:v>
      </x:c>
      <x:c r="C3355" s="7" t="n">
        <x:v>45891</x:v>
      </x:c>
      <x:c r="D3355" s="2" t="str">
        <x:v>Completed</x:v>
      </x:c>
      <x:c r="E3355" s="2" t="str">
        <x:v>South</x:v>
      </x:c>
      <x:c r="F3355" s="2" t="str">
        <x:v>Store</x:v>
      </x:c>
      <x:c r="G3355" s="2" t="str">
        <x:v>Lighting</x:v>
      </x:c>
      <x:c r="H3355" s="2" t="str">
        <x:v>Lamp 021</x:v>
      </x:c>
      <x:c r="I3355" s="11" t="n">
        <x:v>4</x:v>
      </x:c>
      <x:c r="J3355" s="9" t="n">
        <x:v>249</x:v>
      </x:c>
      <x:c r="K3355" s="10" t="n">
        <x:v>0.2</x:v>
      </x:c>
      <x:c r="L3355" s="11" t="n">
        <x:v>0</x:v>
      </x:c>
      <x:c r="M3355" s="9" t="n">
        <x:f>IF(D3355="Completed",I3355*J3355,0)</x:f>
        <x:v>996</x:v>
      </x:c>
      <x:c r="N3355" s="9" t="n">
        <x:f>M3355*K3355</x:f>
        <x:v>199.20000000000002</x:v>
      </x:c>
      <x:c r="O3355" s="9" t="n">
        <x:f>M3355-N3355</x:f>
        <x:v>796.8</x:v>
      </x:c>
      <x:c r="P3355" s="9" t="n">
        <x:f>IF(D3355="Completed",L3355*J3355*(1-K3355),0)</x:f>
        <x:v>0</x:v>
      </x:c>
      <x:c r="Q3355" s="9" t="n">
        <x:f>O3355-P3355</x:f>
        <x:v>796.8</x:v>
      </x:c>
      <x:c r="R3355" s="11" t="n">
        <x:f>IF(D3355="Completed",I3355,0)</x:f>
        <x:v>4</x:v>
      </x:c>
      <x:c r="S3355" s="11" t="n">
        <x:f>IF(D3355="Completed",L3355,0)</x:f>
        <x:v>0</x:v>
      </x:c>
      <x:c r="T3355" s="8" t="n">
        <x:f>DATE(YEAR(C3355),MONTH(C3355),1)</x:f>
        <x:v>45870</x:v>
      </x:c>
    </x:row>
    <x:row r="3356" ht="22" customHeight="1">
      <x:c r="A3356" s="2" t="str">
        <x:v>L003352</x:v>
      </x:c>
      <x:c r="B3356" s="2" t="str">
        <x:v>O01368</x:v>
      </x:c>
      <x:c r="C3356" s="7" t="n">
        <x:v>45891</x:v>
      </x:c>
      <x:c r="D3356" s="2" t="str">
        <x:v>Completed</x:v>
      </x:c>
      <x:c r="E3356" s="2" t="str">
        <x:v>South</x:v>
      </x:c>
      <x:c r="F3356" s="2" t="str">
        <x:v>Store</x:v>
      </x:c>
      <x:c r="G3356" s="2" t="str">
        <x:v>Lighting</x:v>
      </x:c>
      <x:c r="H3356" s="2" t="str">
        <x:v>Lamp 001</x:v>
      </x:c>
      <x:c r="I3356" s="11" t="n">
        <x:v>3</x:v>
      </x:c>
      <x:c r="J3356" s="9" t="n">
        <x:v>122</x:v>
      </x:c>
      <x:c r="K3356" s="10" t="n">
        <x:v>0</x:v>
      </x:c>
      <x:c r="L3356" s="11" t="n">
        <x:v>0</x:v>
      </x:c>
      <x:c r="M3356" s="9" t="n">
        <x:f>IF(D3356="Completed",I3356*J3356,0)</x:f>
        <x:v>366</x:v>
      </x:c>
      <x:c r="N3356" s="9" t="n">
        <x:f>M3356*K3356</x:f>
        <x:v>0</x:v>
      </x:c>
      <x:c r="O3356" s="9" t="n">
        <x:f>M3356-N3356</x:f>
        <x:v>366</x:v>
      </x:c>
      <x:c r="P3356" s="9" t="n">
        <x:f>IF(D3356="Completed",L3356*J3356*(1-K3356),0)</x:f>
        <x:v>0</x:v>
      </x:c>
      <x:c r="Q3356" s="9" t="n">
        <x:f>O3356-P3356</x:f>
        <x:v>366</x:v>
      </x:c>
      <x:c r="R3356" s="11" t="n">
        <x:f>IF(D3356="Completed",I3356,0)</x:f>
        <x:v>3</x:v>
      </x:c>
      <x:c r="S3356" s="11" t="n">
        <x:f>IF(D3356="Completed",L3356,0)</x:f>
        <x:v>0</x:v>
      </x:c>
      <x:c r="T3356" s="8" t="n">
        <x:f>DATE(YEAR(C3356),MONTH(C3356),1)</x:f>
        <x:v>45870</x:v>
      </x:c>
    </x:row>
    <x:row r="3357" ht="22" customHeight="1">
      <x:c r="A3357" s="2" t="str">
        <x:v>L003353</x:v>
      </x:c>
      <x:c r="B3357" s="2" t="str">
        <x:v>O01368</x:v>
      </x:c>
      <x:c r="C3357" s="7" t="n">
        <x:v>45891</x:v>
      </x:c>
      <x:c r="D3357" s="2" t="str">
        <x:v>Completed</x:v>
      </x:c>
      <x:c r="E3357" s="2" t="str">
        <x:v>South</x:v>
      </x:c>
      <x:c r="F3357" s="2" t="str">
        <x:v>Store</x:v>
      </x:c>
      <x:c r="G3357" s="2" t="str">
        <x:v>Storage</x:v>
      </x:c>
      <x:c r="H3357" s="2" t="str">
        <x:v>Shelf 007</x:v>
      </x:c>
      <x:c r="I3357" s="11" t="n">
        <x:v>4</x:v>
      </x:c>
      <x:c r="J3357" s="9" t="n">
        <x:v>35</x:v>
      </x:c>
      <x:c r="K3357" s="10" t="n">
        <x:v>0</x:v>
      </x:c>
      <x:c r="L3357" s="11" t="n">
        <x:v>0</x:v>
      </x:c>
      <x:c r="M3357" s="9" t="n">
        <x:f>IF(D3357="Completed",I3357*J3357,0)</x:f>
        <x:v>140</x:v>
      </x:c>
      <x:c r="N3357" s="9" t="n">
        <x:f>M3357*K3357</x:f>
        <x:v>0</x:v>
      </x:c>
      <x:c r="O3357" s="9" t="n">
        <x:f>M3357-N3357</x:f>
        <x:v>140</x:v>
      </x:c>
      <x:c r="P3357" s="9" t="n">
        <x:f>IF(D3357="Completed",L3357*J3357*(1-K3357),0)</x:f>
        <x:v>0</x:v>
      </x:c>
      <x:c r="Q3357" s="9" t="n">
        <x:f>O3357-P3357</x:f>
        <x:v>140</x:v>
      </x:c>
      <x:c r="R3357" s="11" t="n">
        <x:f>IF(D3357="Completed",I3357,0)</x:f>
        <x:v>4</x:v>
      </x:c>
      <x:c r="S3357" s="11" t="n">
        <x:f>IF(D3357="Completed",L3357,0)</x:f>
        <x:v>0</x:v>
      </x:c>
      <x:c r="T3357" s="8" t="n">
        <x:f>DATE(YEAR(C3357),MONTH(C3357),1)</x:f>
        <x:v>45870</x:v>
      </x:c>
    </x:row>
    <x:row r="3358" ht="22" customHeight="1">
      <x:c r="A3358" s="2" t="str">
        <x:v>L003354</x:v>
      </x:c>
      <x:c r="B3358" s="2" t="str">
        <x:v>O01368</x:v>
      </x:c>
      <x:c r="C3358" s="7" t="n">
        <x:v>45891</x:v>
      </x:c>
      <x:c r="D3358" s="2" t="str">
        <x:v>Completed</x:v>
      </x:c>
      <x:c r="E3358" s="2" t="str">
        <x:v>South</x:v>
      </x:c>
      <x:c r="F3358" s="2" t="str">
        <x:v>Store</x:v>
      </x:c>
      <x:c r="G3358" s="2" t="str">
        <x:v>Storage</x:v>
      </x:c>
      <x:c r="H3358" s="2" t="str">
        <x:v>Shelf 023</x:v>
      </x:c>
      <x:c r="I3358" s="11" t="n">
        <x:v>3</x:v>
      </x:c>
      <x:c r="J3358" s="9" t="n">
        <x:v>68</x:v>
      </x:c>
      <x:c r="K3358" s="10" t="n">
        <x:v>0.05</x:v>
      </x:c>
      <x:c r="L3358" s="11" t="n">
        <x:v>3</x:v>
      </x:c>
      <x:c r="M3358" s="9" t="n">
        <x:f>IF(D3358="Completed",I3358*J3358,0)</x:f>
        <x:v>204</x:v>
      </x:c>
      <x:c r="N3358" s="9" t="n">
        <x:f>M3358*K3358</x:f>
        <x:v>10.200000000000001</x:v>
      </x:c>
      <x:c r="O3358" s="9" t="n">
        <x:f>M3358-N3358</x:f>
        <x:v>193.8</x:v>
      </x:c>
      <x:c r="P3358" s="9" t="n">
        <x:f>IF(D3358="Completed",L3358*J3358*(1-K3358),0)</x:f>
        <x:v>193.79999999999998</x:v>
      </x:c>
      <x:c r="Q3358" s="9" t="n">
        <x:f>O3358-P3358</x:f>
        <x:v>2.842170943040401e-14</x:v>
      </x:c>
      <x:c r="R3358" s="11" t="n">
        <x:f>IF(D3358="Completed",I3358,0)</x:f>
        <x:v>3</x:v>
      </x:c>
      <x:c r="S3358" s="11" t="n">
        <x:f>IF(D3358="Completed",L3358,0)</x:f>
        <x:v>3</x:v>
      </x:c>
      <x:c r="T3358" s="8" t="n">
        <x:f>DATE(YEAR(C3358),MONTH(C3358),1)</x:f>
        <x:v>45870</x:v>
      </x:c>
    </x:row>
    <x:row r="3359" ht="22" customHeight="1">
      <x:c r="A3359" s="2" t="str">
        <x:v>L003355</x:v>
      </x:c>
      <x:c r="B3359" s="2" t="str">
        <x:v>O01369</x:v>
      </x:c>
      <x:c r="C3359" s="7" t="n">
        <x:v>46013</x:v>
      </x:c>
      <x:c r="D3359" s="2" t="str">
        <x:v>Completed</x:v>
      </x:c>
      <x:c r="E3359" s="2" t="str">
        <x:v>North</x:v>
      </x:c>
      <x:c r="F3359" s="2" t="str">
        <x:v>Online</x:v>
      </x:c>
      <x:c r="G3359" s="2" t="str">
        <x:v>Furniture</x:v>
      </x:c>
      <x:c r="H3359" s="2" t="str">
        <x:v>Desk 024</x:v>
      </x:c>
      <x:c r="I3359" s="11" t="n">
        <x:v>3</x:v>
      </x:c>
      <x:c r="J3359" s="9" t="n">
        <x:v>81</x:v>
      </x:c>
      <x:c r="K3359" s="10" t="n">
        <x:v>0.05</x:v>
      </x:c>
      <x:c r="L3359" s="11" t="n">
        <x:v>0</x:v>
      </x:c>
      <x:c r="M3359" s="9" t="n">
        <x:f>IF(D3359="Completed",I3359*J3359,0)</x:f>
        <x:v>243</x:v>
      </x:c>
      <x:c r="N3359" s="9" t="n">
        <x:f>M3359*K3359</x:f>
        <x:v>12.15</x:v>
      </x:c>
      <x:c r="O3359" s="9" t="n">
        <x:f>M3359-N3359</x:f>
        <x:v>230.85</x:v>
      </x:c>
      <x:c r="P3359" s="9" t="n">
        <x:f>IF(D3359="Completed",L3359*J3359*(1-K3359),0)</x:f>
        <x:v>0</x:v>
      </x:c>
      <x:c r="Q3359" s="9" t="n">
        <x:f>O3359-P3359</x:f>
        <x:v>230.85</x:v>
      </x:c>
      <x:c r="R3359" s="11" t="n">
        <x:f>IF(D3359="Completed",I3359,0)</x:f>
        <x:v>3</x:v>
      </x:c>
      <x:c r="S3359" s="11" t="n">
        <x:f>IF(D3359="Completed",L3359,0)</x:f>
        <x:v>0</x:v>
      </x:c>
      <x:c r="T3359" s="8" t="n">
        <x:f>DATE(YEAR(C3359),MONTH(C3359),1)</x:f>
        <x:v>45992</x:v>
      </x:c>
    </x:row>
    <x:row r="3360" ht="22" customHeight="1">
      <x:c r="A3360" s="2" t="str">
        <x:v>L003356</x:v>
      </x:c>
      <x:c r="B3360" s="2" t="str">
        <x:v>O01370</x:v>
      </x:c>
      <x:c r="C3360" s="7" t="n">
        <x:v>45720</x:v>
      </x:c>
      <x:c r="D3360" s="2" t="str">
        <x:v>Cancelled</x:v>
      </x:c>
      <x:c r="E3360" s="2" t="str">
        <x:v>North</x:v>
      </x:c>
      <x:c r="F3360" s="2" t="str">
        <x:v>Store</x:v>
      </x:c>
      <x:c r="G3360" s="2" t="str">
        <x:v>Storage</x:v>
      </x:c>
      <x:c r="H3360" s="2" t="str">
        <x:v>Shelf 019</x:v>
      </x:c>
      <x:c r="I3360" s="11" t="n">
        <x:v>3</x:v>
      </x:c>
      <x:c r="J3360" s="9" t="n">
        <x:v>78</x:v>
      </x:c>
      <x:c r="K3360" s="10" t="n">
        <x:v>0</x:v>
      </x:c>
      <x:c r="L3360" s="11" t="n">
        <x:v>0</x:v>
      </x:c>
      <x:c r="M3360" s="9" t="n">
        <x:f>IF(D3360="Completed",I3360*J3360,0)</x:f>
        <x:v>0</x:v>
      </x:c>
      <x:c r="N3360" s="9" t="n">
        <x:f>M3360*K3360</x:f>
        <x:v>0</x:v>
      </x:c>
      <x:c r="O3360" s="9" t="n">
        <x:f>M3360-N3360</x:f>
        <x:v>0</x:v>
      </x:c>
      <x:c r="P3360" s="9" t="n">
        <x:f>IF(D3360="Completed",L3360*J3360*(1-K3360),0)</x:f>
        <x:v>0</x:v>
      </x:c>
      <x:c r="Q3360" s="9" t="n">
        <x:f>O3360-P3360</x:f>
        <x:v>0</x:v>
      </x:c>
      <x:c r="R3360" s="11" t="n">
        <x:f>IF(D3360="Completed",I3360,0)</x:f>
        <x:v>0</x:v>
      </x:c>
      <x:c r="S3360" s="11" t="n">
        <x:f>IF(D3360="Completed",L3360,0)</x:f>
        <x:v>0</x:v>
      </x:c>
      <x:c r="T3360" s="8" t="n">
        <x:f>DATE(YEAR(C3360),MONTH(C3360),1)</x:f>
        <x:v>45717</x:v>
      </x:c>
    </x:row>
    <x:row r="3361" ht="22" customHeight="1">
      <x:c r="A3361" s="2" t="str">
        <x:v>L003357</x:v>
      </x:c>
      <x:c r="B3361" s="2" t="str">
        <x:v>O01371</x:v>
      </x:c>
      <x:c r="C3361" s="7" t="n">
        <x:v>45693</x:v>
      </x:c>
      <x:c r="D3361" s="2" t="str">
        <x:v>Completed</x:v>
      </x:c>
      <x:c r="E3361" s="2" t="str">
        <x:v>East</x:v>
      </x:c>
      <x:c r="F3361" s="2" t="str">
        <x:v>Store</x:v>
      </x:c>
      <x:c r="G3361" s="2" t="str">
        <x:v>Lighting</x:v>
      </x:c>
      <x:c r="H3361" s="2" t="str">
        <x:v>Lamp 017</x:v>
      </x:c>
      <x:c r="I3361" s="11" t="n">
        <x:v>2</x:v>
      </x:c>
      <x:c r="J3361" s="9" t="n">
        <x:v>300</x:v>
      </x:c>
      <x:c r="K3361" s="10" t="n">
        <x:v>0.05</x:v>
      </x:c>
      <x:c r="L3361" s="11" t="n">
        <x:v>2</x:v>
      </x:c>
      <x:c r="M3361" s="9" t="n">
        <x:f>IF(D3361="Completed",I3361*J3361,0)</x:f>
        <x:v>600</x:v>
      </x:c>
      <x:c r="N3361" s="9" t="n">
        <x:f>M3361*K3361</x:f>
        <x:v>30</x:v>
      </x:c>
      <x:c r="O3361" s="9" t="n">
        <x:f>M3361-N3361</x:f>
        <x:v>570</x:v>
      </x:c>
      <x:c r="P3361" s="9" t="n">
        <x:f>IF(D3361="Completed",L3361*J3361*(1-K3361),0)</x:f>
        <x:v>570</x:v>
      </x:c>
      <x:c r="Q3361" s="9" t="n">
        <x:f>O3361-P3361</x:f>
        <x:v>0</x:v>
      </x:c>
      <x:c r="R3361" s="11" t="n">
        <x:f>IF(D3361="Completed",I3361,0)</x:f>
        <x:v>2</x:v>
      </x:c>
      <x:c r="S3361" s="11" t="n">
        <x:f>IF(D3361="Completed",L3361,0)</x:f>
        <x:v>2</x:v>
      </x:c>
      <x:c r="T3361" s="8" t="n">
        <x:f>DATE(YEAR(C3361),MONTH(C3361),1)</x:f>
        <x:v>45689</x:v>
      </x:c>
    </x:row>
    <x:row r="3362" ht="22" customHeight="1">
      <x:c r="A3362" s="2" t="str">
        <x:v>L003358</x:v>
      </x:c>
      <x:c r="B3362" s="2" t="str">
        <x:v>O01371</x:v>
      </x:c>
      <x:c r="C3362" s="7" t="n">
        <x:v>45693</x:v>
      </x:c>
      <x:c r="D3362" s="2" t="str">
        <x:v>Completed</x:v>
      </x:c>
      <x:c r="E3362" s="2" t="str">
        <x:v>East</x:v>
      </x:c>
      <x:c r="F3362" s="2" t="str">
        <x:v>Store</x:v>
      </x:c>
      <x:c r="G3362" s="2" t="str">
        <x:v>Lighting</x:v>
      </x:c>
      <x:c r="H3362" s="2" t="str">
        <x:v>Lamp 005</x:v>
      </x:c>
      <x:c r="I3362" s="11" t="n">
        <x:v>4</x:v>
      </x:c>
      <x:c r="J3362" s="9" t="n">
        <x:v>65</x:v>
      </x:c>
      <x:c r="K3362" s="10" t="n">
        <x:v>0.2</x:v>
      </x:c>
      <x:c r="L3362" s="11" t="n">
        <x:v>0</x:v>
      </x:c>
      <x:c r="M3362" s="9" t="n">
        <x:f>IF(D3362="Completed",I3362*J3362,0)</x:f>
        <x:v>260</x:v>
      </x:c>
      <x:c r="N3362" s="9" t="n">
        <x:f>M3362*K3362</x:f>
        <x:v>52</x:v>
      </x:c>
      <x:c r="O3362" s="9" t="n">
        <x:f>M3362-N3362</x:f>
        <x:v>208</x:v>
      </x:c>
      <x:c r="P3362" s="9" t="n">
        <x:f>IF(D3362="Completed",L3362*J3362*(1-K3362),0)</x:f>
        <x:v>0</x:v>
      </x:c>
      <x:c r="Q3362" s="9" t="n">
        <x:f>O3362-P3362</x:f>
        <x:v>208</x:v>
      </x:c>
      <x:c r="R3362" s="11" t="n">
        <x:f>IF(D3362="Completed",I3362,0)</x:f>
        <x:v>4</x:v>
      </x:c>
      <x:c r="S3362" s="11" t="n">
        <x:f>IF(D3362="Completed",L3362,0)</x:f>
        <x:v>0</x:v>
      </x:c>
      <x:c r="T3362" s="8" t="n">
        <x:f>DATE(YEAR(C3362),MONTH(C3362),1)</x:f>
        <x:v>45689</x:v>
      </x:c>
    </x:row>
    <x:row r="3363" ht="22" customHeight="1">
      <x:c r="A3363" s="2" t="str">
        <x:v>L003359</x:v>
      </x:c>
      <x:c r="B3363" s="2" t="str">
        <x:v>O01371</x:v>
      </x:c>
      <x:c r="C3363" s="7" t="n">
        <x:v>45693</x:v>
      </x:c>
      <x:c r="D3363" s="2" t="str">
        <x:v>Completed</x:v>
      </x:c>
      <x:c r="E3363" s="2" t="str">
        <x:v>East</x:v>
      </x:c>
      <x:c r="F3363" s="2" t="str">
        <x:v>Store</x:v>
      </x:c>
      <x:c r="G3363" s="2" t="str">
        <x:v>Lighting</x:v>
      </x:c>
      <x:c r="H3363" s="2" t="str">
        <x:v>Lamp 021</x:v>
      </x:c>
      <x:c r="I3363" s="11" t="n">
        <x:v>4</x:v>
      </x:c>
      <x:c r="J3363" s="9" t="n">
        <x:v>249</x:v>
      </x:c>
      <x:c r="K3363" s="10" t="n">
        <x:v>0.2</x:v>
      </x:c>
      <x:c r="L3363" s="11" t="n">
        <x:v>0</x:v>
      </x:c>
      <x:c r="M3363" s="9" t="n">
        <x:f>IF(D3363="Completed",I3363*J3363,0)</x:f>
        <x:v>996</x:v>
      </x:c>
      <x:c r="N3363" s="9" t="n">
        <x:f>M3363*K3363</x:f>
        <x:v>199.20000000000002</x:v>
      </x:c>
      <x:c r="O3363" s="9" t="n">
        <x:f>M3363-N3363</x:f>
        <x:v>796.8</x:v>
      </x:c>
      <x:c r="P3363" s="9" t="n">
        <x:f>IF(D3363="Completed",L3363*J3363*(1-K3363),0)</x:f>
        <x:v>0</x:v>
      </x:c>
      <x:c r="Q3363" s="9" t="n">
        <x:f>O3363-P3363</x:f>
        <x:v>796.8</x:v>
      </x:c>
      <x:c r="R3363" s="11" t="n">
        <x:f>IF(D3363="Completed",I3363,0)</x:f>
        <x:v>4</x:v>
      </x:c>
      <x:c r="S3363" s="11" t="n">
        <x:f>IF(D3363="Completed",L3363,0)</x:f>
        <x:v>0</x:v>
      </x:c>
      <x:c r="T3363" s="8" t="n">
        <x:f>DATE(YEAR(C3363),MONTH(C3363),1)</x:f>
        <x:v>45689</x:v>
      </x:c>
    </x:row>
    <x:row r="3364" ht="22" customHeight="1">
      <x:c r="A3364" s="2" t="str">
        <x:v>L003360</x:v>
      </x:c>
      <x:c r="B3364" s="2" t="str">
        <x:v>O01372</x:v>
      </x:c>
      <x:c r="C3364" s="7" t="n">
        <x:v>45736</x:v>
      </x:c>
      <x:c r="D3364" s="2" t="str">
        <x:v>Cancelled</x:v>
      </x:c>
      <x:c r="E3364" s="2" t="str">
        <x:v>West</x:v>
      </x:c>
      <x:c r="F3364" s="2" t="str">
        <x:v>Online</x:v>
      </x:c>
      <x:c r="G3364" s="2" t="str">
        <x:v>Lighting</x:v>
      </x:c>
      <x:c r="H3364" s="2" t="str">
        <x:v>Lamp 005</x:v>
      </x:c>
      <x:c r="I3364" s="11" t="n">
        <x:v>2</x:v>
      </x:c>
      <x:c r="J3364" s="9" t="n">
        <x:v>65</x:v>
      </x:c>
      <x:c r="K3364" s="10" t="n">
        <x:v>0</x:v>
      </x:c>
      <x:c r="L3364" s="11" t="n">
        <x:v>0</x:v>
      </x:c>
      <x:c r="M3364" s="9" t="n">
        <x:f>IF(D3364="Completed",I3364*J3364,0)</x:f>
        <x:v>0</x:v>
      </x:c>
      <x:c r="N3364" s="9" t="n">
        <x:f>M3364*K3364</x:f>
        <x:v>0</x:v>
      </x:c>
      <x:c r="O3364" s="9" t="n">
        <x:f>M3364-N3364</x:f>
        <x:v>0</x:v>
      </x:c>
      <x:c r="P3364" s="9" t="n">
        <x:f>IF(D3364="Completed",L3364*J3364*(1-K3364),0)</x:f>
        <x:v>0</x:v>
      </x:c>
      <x:c r="Q3364" s="9" t="n">
        <x:f>O3364-P3364</x:f>
        <x:v>0</x:v>
      </x:c>
      <x:c r="R3364" s="11" t="n">
        <x:f>IF(D3364="Completed",I3364,0)</x:f>
        <x:v>0</x:v>
      </x:c>
      <x:c r="S3364" s="11" t="n">
        <x:f>IF(D3364="Completed",L3364,0)</x:f>
        <x:v>0</x:v>
      </x:c>
      <x:c r="T3364" s="8" t="n">
        <x:f>DATE(YEAR(C3364),MONTH(C3364),1)</x:f>
        <x:v>45717</x:v>
      </x:c>
    </x:row>
    <x:row r="3365" ht="22" customHeight="1">
      <x:c r="A3365" s="2" t="str">
        <x:v>L003361</x:v>
      </x:c>
      <x:c r="B3365" s="2" t="str">
        <x:v>O01372</x:v>
      </x:c>
      <x:c r="C3365" s="7" t="n">
        <x:v>45736</x:v>
      </x:c>
      <x:c r="D3365" s="2" t="str">
        <x:v>Cancelled</x:v>
      </x:c>
      <x:c r="E3365" s="2" t="str">
        <x:v>West</x:v>
      </x:c>
      <x:c r="F3365" s="2" t="str">
        <x:v>Online</x:v>
      </x:c>
      <x:c r="G3365" s="2" t="str">
        <x:v>Furniture</x:v>
      </x:c>
      <x:c r="H3365" s="2" t="str">
        <x:v>Desk 008</x:v>
      </x:c>
      <x:c r="I3365" s="11" t="n">
        <x:v>5</x:v>
      </x:c>
      <x:c r="J3365" s="9" t="n">
        <x:v>188</x:v>
      </x:c>
      <x:c r="K3365" s="10" t="n">
        <x:v>0</x:v>
      </x:c>
      <x:c r="L3365" s="11" t="n">
        <x:v>0</x:v>
      </x:c>
      <x:c r="M3365" s="9" t="n">
        <x:f>IF(D3365="Completed",I3365*J3365,0)</x:f>
        <x:v>0</x:v>
      </x:c>
      <x:c r="N3365" s="9" t="n">
        <x:f>M3365*K3365</x:f>
        <x:v>0</x:v>
      </x:c>
      <x:c r="O3365" s="9" t="n">
        <x:f>M3365-N3365</x:f>
        <x:v>0</x:v>
      </x:c>
      <x:c r="P3365" s="9" t="n">
        <x:f>IF(D3365="Completed",L3365*J3365*(1-K3365),0)</x:f>
        <x:v>0</x:v>
      </x:c>
      <x:c r="Q3365" s="9" t="n">
        <x:f>O3365-P3365</x:f>
        <x:v>0</x:v>
      </x:c>
      <x:c r="R3365" s="11" t="n">
        <x:f>IF(D3365="Completed",I3365,0)</x:f>
        <x:v>0</x:v>
      </x:c>
      <x:c r="S3365" s="11" t="n">
        <x:f>IF(D3365="Completed",L3365,0)</x:f>
        <x:v>0</x:v>
      </x:c>
      <x:c r="T3365" s="8" t="n">
        <x:f>DATE(YEAR(C3365),MONTH(C3365),1)</x:f>
        <x:v>45717</x:v>
      </x:c>
    </x:row>
    <x:row r="3366" ht="22" customHeight="1">
      <x:c r="A3366" s="2" t="str">
        <x:v>L003362</x:v>
      </x:c>
      <x:c r="B3366" s="2" t="str">
        <x:v>O01372</x:v>
      </x:c>
      <x:c r="C3366" s="7" t="n">
        <x:v>45736</x:v>
      </x:c>
      <x:c r="D3366" s="2" t="str">
        <x:v>Cancelled</x:v>
      </x:c>
      <x:c r="E3366" s="2" t="str">
        <x:v>West</x:v>
      </x:c>
      <x:c r="F3366" s="2" t="str">
        <x:v>Online</x:v>
      </x:c>
      <x:c r="G3366" s="2" t="str">
        <x:v>Lighting</x:v>
      </x:c>
      <x:c r="H3366" s="2" t="str">
        <x:v>Lamp 005</x:v>
      </x:c>
      <x:c r="I3366" s="11" t="n">
        <x:v>5</x:v>
      </x:c>
      <x:c r="J3366" s="9" t="n">
        <x:v>65</x:v>
      </x:c>
      <x:c r="K3366" s="10" t="n">
        <x:v>0</x:v>
      </x:c>
      <x:c r="L3366" s="11" t="n">
        <x:v>0</x:v>
      </x:c>
      <x:c r="M3366" s="9" t="n">
        <x:f>IF(D3366="Completed",I3366*J3366,0)</x:f>
        <x:v>0</x:v>
      </x:c>
      <x:c r="N3366" s="9" t="n">
        <x:f>M3366*K3366</x:f>
        <x:v>0</x:v>
      </x:c>
      <x:c r="O3366" s="9" t="n">
        <x:f>M3366-N3366</x:f>
        <x:v>0</x:v>
      </x:c>
      <x:c r="P3366" s="9" t="n">
        <x:f>IF(D3366="Completed",L3366*J3366*(1-K3366),0)</x:f>
        <x:v>0</x:v>
      </x:c>
      <x:c r="Q3366" s="9" t="n">
        <x:f>O3366-P3366</x:f>
        <x:v>0</x:v>
      </x:c>
      <x:c r="R3366" s="11" t="n">
        <x:f>IF(D3366="Completed",I3366,0)</x:f>
        <x:v>0</x:v>
      </x:c>
      <x:c r="S3366" s="11" t="n">
        <x:f>IF(D3366="Completed",L3366,0)</x:f>
        <x:v>0</x:v>
      </x:c>
      <x:c r="T3366" s="8" t="n">
        <x:f>DATE(YEAR(C3366),MONTH(C3366),1)</x:f>
        <x:v>45717</x:v>
      </x:c>
    </x:row>
    <x:row r="3367" ht="22" customHeight="1">
      <x:c r="A3367" s="2" t="str">
        <x:v>L003363</x:v>
      </x:c>
      <x:c r="B3367" s="2" t="str">
        <x:v>O01373</x:v>
      </x:c>
      <x:c r="C3367" s="7" t="n">
        <x:v>45830</x:v>
      </x:c>
      <x:c r="D3367" s="2" t="str">
        <x:v>Completed</x:v>
      </x:c>
      <x:c r="E3367" s="2" t="str">
        <x:v>West</x:v>
      </x:c>
      <x:c r="F3367" s="2" t="str">
        <x:v>Online</x:v>
      </x:c>
      <x:c r="G3367" s="2" t="str">
        <x:v>Storage</x:v>
      </x:c>
      <x:c r="H3367" s="2" t="str">
        <x:v>Shelf 007</x:v>
      </x:c>
      <x:c r="I3367" s="11" t="n">
        <x:v>4</x:v>
      </x:c>
      <x:c r="J3367" s="9" t="n">
        <x:v>35</x:v>
      </x:c>
      <x:c r="K3367" s="10" t="n">
        <x:v>0.1</x:v>
      </x:c>
      <x:c r="L3367" s="11" t="n">
        <x:v>0</x:v>
      </x:c>
      <x:c r="M3367" s="9" t="n">
        <x:f>IF(D3367="Completed",I3367*J3367,0)</x:f>
        <x:v>140</x:v>
      </x:c>
      <x:c r="N3367" s="9" t="n">
        <x:f>M3367*K3367</x:f>
        <x:v>14</x:v>
      </x:c>
      <x:c r="O3367" s="9" t="n">
        <x:f>M3367-N3367</x:f>
        <x:v>126</x:v>
      </x:c>
      <x:c r="P3367" s="9" t="n">
        <x:f>IF(D3367="Completed",L3367*J3367*(1-K3367),0)</x:f>
        <x:v>0</x:v>
      </x:c>
      <x:c r="Q3367" s="9" t="n">
        <x:f>O3367-P3367</x:f>
        <x:v>126</x:v>
      </x:c>
      <x:c r="R3367" s="11" t="n">
        <x:f>IF(D3367="Completed",I3367,0)</x:f>
        <x:v>4</x:v>
      </x:c>
      <x:c r="S3367" s="11" t="n">
        <x:f>IF(D3367="Completed",L3367,0)</x:f>
        <x:v>0</x:v>
      </x:c>
      <x:c r="T3367" s="8" t="n">
        <x:f>DATE(YEAR(C3367),MONTH(C3367),1)</x:f>
        <x:v>45809</x:v>
      </x:c>
    </x:row>
    <x:row r="3368" ht="22" customHeight="1">
      <x:c r="A3368" s="2" t="str">
        <x:v>L003364</x:v>
      </x:c>
      <x:c r="B3368" s="2" t="str">
        <x:v>O01373</x:v>
      </x:c>
      <x:c r="C3368" s="7" t="n">
        <x:v>45830</x:v>
      </x:c>
      <x:c r="D3368" s="2" t="str">
        <x:v>Completed</x:v>
      </x:c>
      <x:c r="E3368" s="2" t="str">
        <x:v>West</x:v>
      </x:c>
      <x:c r="F3368" s="2" t="str">
        <x:v>Online</x:v>
      </x:c>
      <x:c r="G3368" s="2" t="str">
        <x:v>Lighting</x:v>
      </x:c>
      <x:c r="H3368" s="2" t="str">
        <x:v>Lamp 013</x:v>
      </x:c>
      <x:c r="I3368" s="11" t="n">
        <x:v>3</x:v>
      </x:c>
      <x:c r="J3368" s="9" t="n">
        <x:v>271</x:v>
      </x:c>
      <x:c r="K3368" s="10" t="n">
        <x:v>0.1</x:v>
      </x:c>
      <x:c r="L3368" s="11" t="n">
        <x:v>0</x:v>
      </x:c>
      <x:c r="M3368" s="9" t="n">
        <x:f>IF(D3368="Completed",I3368*J3368,0)</x:f>
        <x:v>813</x:v>
      </x:c>
      <x:c r="N3368" s="9" t="n">
        <x:f>M3368*K3368</x:f>
        <x:v>81.30000000000001</x:v>
      </x:c>
      <x:c r="O3368" s="9" t="n">
        <x:f>M3368-N3368</x:f>
        <x:v>731.7</x:v>
      </x:c>
      <x:c r="P3368" s="9" t="n">
        <x:f>IF(D3368="Completed",L3368*J3368*(1-K3368),0)</x:f>
        <x:v>0</x:v>
      </x:c>
      <x:c r="Q3368" s="9" t="n">
        <x:f>O3368-P3368</x:f>
        <x:v>731.7</x:v>
      </x:c>
      <x:c r="R3368" s="11" t="n">
        <x:f>IF(D3368="Completed",I3368,0)</x:f>
        <x:v>3</x:v>
      </x:c>
      <x:c r="S3368" s="11" t="n">
        <x:f>IF(D3368="Completed",L3368,0)</x:f>
        <x:v>0</x:v>
      </x:c>
      <x:c r="T3368" s="8" t="n">
        <x:f>DATE(YEAR(C3368),MONTH(C3368),1)</x:f>
        <x:v>45809</x:v>
      </x:c>
    </x:row>
    <x:row r="3369" ht="22" customHeight="1">
      <x:c r="A3369" s="2" t="str">
        <x:v>L003365</x:v>
      </x:c>
      <x:c r="B3369" s="2" t="str">
        <x:v>O01373</x:v>
      </x:c>
      <x:c r="C3369" s="7" t="n">
        <x:v>45830</x:v>
      </x:c>
      <x:c r="D3369" s="2" t="str">
        <x:v>Completed</x:v>
      </x:c>
      <x:c r="E3369" s="2" t="str">
        <x:v>West</x:v>
      </x:c>
      <x:c r="F3369" s="2" t="str">
        <x:v>Online</x:v>
      </x:c>
      <x:c r="G3369" s="2" t="str">
        <x:v>Lighting</x:v>
      </x:c>
      <x:c r="H3369" s="2" t="str">
        <x:v>Lamp 005</x:v>
      </x:c>
      <x:c r="I3369" s="11" t="n">
        <x:v>5</x:v>
      </x:c>
      <x:c r="J3369" s="9" t="n">
        <x:v>65</x:v>
      </x:c>
      <x:c r="K3369" s="10" t="n">
        <x:v>0</x:v>
      </x:c>
      <x:c r="L3369" s="11" t="n">
        <x:v>0</x:v>
      </x:c>
      <x:c r="M3369" s="9" t="n">
        <x:f>IF(D3369="Completed",I3369*J3369,0)</x:f>
        <x:v>325</x:v>
      </x:c>
      <x:c r="N3369" s="9" t="n">
        <x:f>M3369*K3369</x:f>
        <x:v>0</x:v>
      </x:c>
      <x:c r="O3369" s="9" t="n">
        <x:f>M3369-N3369</x:f>
        <x:v>325</x:v>
      </x:c>
      <x:c r="P3369" s="9" t="n">
        <x:f>IF(D3369="Completed",L3369*J3369*(1-K3369),0)</x:f>
        <x:v>0</x:v>
      </x:c>
      <x:c r="Q3369" s="9" t="n">
        <x:f>O3369-P3369</x:f>
        <x:v>325</x:v>
      </x:c>
      <x:c r="R3369" s="11" t="n">
        <x:f>IF(D3369="Completed",I3369,0)</x:f>
        <x:v>5</x:v>
      </x:c>
      <x:c r="S3369" s="11" t="n">
        <x:f>IF(D3369="Completed",L3369,0)</x:f>
        <x:v>0</x:v>
      </x:c>
      <x:c r="T3369" s="8" t="n">
        <x:f>DATE(YEAR(C3369),MONTH(C3369),1)</x:f>
        <x:v>45809</x:v>
      </x:c>
    </x:row>
    <x:row r="3370" ht="22" customHeight="1">
      <x:c r="A3370" s="2" t="str">
        <x:v>L003366</x:v>
      </x:c>
      <x:c r="B3370" s="2" t="str">
        <x:v>O01374</x:v>
      </x:c>
      <x:c r="C3370" s="7" t="n">
        <x:v>45921</x:v>
      </x:c>
      <x:c r="D3370" s="2" t="str">
        <x:v>Completed</x:v>
      </x:c>
      <x:c r="E3370" s="2" t="str">
        <x:v>East</x:v>
      </x:c>
      <x:c r="F3370" s="2" t="str">
        <x:v>Store</x:v>
      </x:c>
      <x:c r="G3370" s="2" t="str">
        <x:v>Lighting</x:v>
      </x:c>
      <x:c r="H3370" s="2" t="str">
        <x:v>Lamp 021</x:v>
      </x:c>
      <x:c r="I3370" s="11" t="n">
        <x:v>4</x:v>
      </x:c>
      <x:c r="J3370" s="9" t="n">
        <x:v>249</x:v>
      </x:c>
      <x:c r="K3370" s="10" t="n">
        <x:v>0</x:v>
      </x:c>
      <x:c r="L3370" s="11" t="n">
        <x:v>3</x:v>
      </x:c>
      <x:c r="M3370" s="9" t="n">
        <x:f>IF(D3370="Completed",I3370*J3370,0)</x:f>
        <x:v>996</x:v>
      </x:c>
      <x:c r="N3370" s="9" t="n">
        <x:f>M3370*K3370</x:f>
        <x:v>0</x:v>
      </x:c>
      <x:c r="O3370" s="9" t="n">
        <x:f>M3370-N3370</x:f>
        <x:v>996</x:v>
      </x:c>
      <x:c r="P3370" s="9" t="n">
        <x:f>IF(D3370="Completed",L3370*J3370*(1-K3370),0)</x:f>
        <x:v>747</x:v>
      </x:c>
      <x:c r="Q3370" s="9" t="n">
        <x:f>O3370-P3370</x:f>
        <x:v>249</x:v>
      </x:c>
      <x:c r="R3370" s="11" t="n">
        <x:f>IF(D3370="Completed",I3370,0)</x:f>
        <x:v>4</x:v>
      </x:c>
      <x:c r="S3370" s="11" t="n">
        <x:f>IF(D3370="Completed",L3370,0)</x:f>
        <x:v>3</x:v>
      </x:c>
      <x:c r="T3370" s="8" t="n">
        <x:f>DATE(YEAR(C3370),MONTH(C3370),1)</x:f>
        <x:v>45901</x:v>
      </x:c>
    </x:row>
    <x:row r="3371" ht="22" customHeight="1">
      <x:c r="A3371" s="2" t="str">
        <x:v>L003367</x:v>
      </x:c>
      <x:c r="B3371" s="2" t="str">
        <x:v>O01374</x:v>
      </x:c>
      <x:c r="C3371" s="7" t="n">
        <x:v>45921</x:v>
      </x:c>
      <x:c r="D3371" s="2" t="str">
        <x:v>Completed</x:v>
      </x:c>
      <x:c r="E3371" s="2" t="str">
        <x:v>East</x:v>
      </x:c>
      <x:c r="F3371" s="2" t="str">
        <x:v>Store</x:v>
      </x:c>
      <x:c r="G3371" s="2" t="str">
        <x:v>Lighting</x:v>
      </x:c>
      <x:c r="H3371" s="2" t="str">
        <x:v>Lamp 009</x:v>
      </x:c>
      <x:c r="I3371" s="11" t="n">
        <x:v>3</x:v>
      </x:c>
      <x:c r="J3371" s="9" t="n">
        <x:v>93</x:v>
      </x:c>
      <x:c r="K3371" s="10" t="n">
        <x:v>0.05</x:v>
      </x:c>
      <x:c r="L3371" s="11" t="n">
        <x:v>0</x:v>
      </x:c>
      <x:c r="M3371" s="9" t="n">
        <x:f>IF(D3371="Completed",I3371*J3371,0)</x:f>
        <x:v>279</x:v>
      </x:c>
      <x:c r="N3371" s="9" t="n">
        <x:f>M3371*K3371</x:f>
        <x:v>13.950000000000001</x:v>
      </x:c>
      <x:c r="O3371" s="9" t="n">
        <x:f>M3371-N3371</x:f>
        <x:v>265.05</x:v>
      </x:c>
      <x:c r="P3371" s="9" t="n">
        <x:f>IF(D3371="Completed",L3371*J3371*(1-K3371),0)</x:f>
        <x:v>0</x:v>
      </x:c>
      <x:c r="Q3371" s="9" t="n">
        <x:f>O3371-P3371</x:f>
        <x:v>265.05</x:v>
      </x:c>
      <x:c r="R3371" s="11" t="n">
        <x:f>IF(D3371="Completed",I3371,0)</x:f>
        <x:v>3</x:v>
      </x:c>
      <x:c r="S3371" s="11" t="n">
        <x:f>IF(D3371="Completed",L3371,0)</x:f>
        <x:v>0</x:v>
      </x:c>
      <x:c r="T3371" s="8" t="n">
        <x:f>DATE(YEAR(C3371),MONTH(C3371),1)</x:f>
        <x:v>45901</x:v>
      </x:c>
    </x:row>
    <x:row r="3372" ht="22" customHeight="1">
      <x:c r="A3372" s="2" t="str">
        <x:v>L003368</x:v>
      </x:c>
      <x:c r="B3372" s="2" t="str">
        <x:v>O01374</x:v>
      </x:c>
      <x:c r="C3372" s="7" t="n">
        <x:v>45921</x:v>
      </x:c>
      <x:c r="D3372" s="2" t="str">
        <x:v>Completed</x:v>
      </x:c>
      <x:c r="E3372" s="2" t="str">
        <x:v>East</x:v>
      </x:c>
      <x:c r="F3372" s="2" t="str">
        <x:v>Store</x:v>
      </x:c>
      <x:c r="G3372" s="2" t="str">
        <x:v>Furniture</x:v>
      </x:c>
      <x:c r="H3372" s="2" t="str">
        <x:v>Chair 022</x:v>
      </x:c>
      <x:c r="I3372" s="11" t="n">
        <x:v>2</x:v>
      </x:c>
      <x:c r="J3372" s="9" t="n">
        <x:v>134</x:v>
      </x:c>
      <x:c r="K3372" s="10" t="n">
        <x:v>0.05</x:v>
      </x:c>
      <x:c r="L3372" s="11" t="n">
        <x:v>0</x:v>
      </x:c>
      <x:c r="M3372" s="9" t="n">
        <x:f>IF(D3372="Completed",I3372*J3372,0)</x:f>
        <x:v>268</x:v>
      </x:c>
      <x:c r="N3372" s="9" t="n">
        <x:f>M3372*K3372</x:f>
        <x:v>13.4</x:v>
      </x:c>
      <x:c r="O3372" s="9" t="n">
        <x:f>M3372-N3372</x:f>
        <x:v>254.6</x:v>
      </x:c>
      <x:c r="P3372" s="9" t="n">
        <x:f>IF(D3372="Completed",L3372*J3372*(1-K3372),0)</x:f>
        <x:v>0</x:v>
      </x:c>
      <x:c r="Q3372" s="9" t="n">
        <x:f>O3372-P3372</x:f>
        <x:v>254.6</x:v>
      </x:c>
      <x:c r="R3372" s="11" t="n">
        <x:f>IF(D3372="Completed",I3372,0)</x:f>
        <x:v>2</x:v>
      </x:c>
      <x:c r="S3372" s="11" t="n">
        <x:f>IF(D3372="Completed",L3372,0)</x:f>
        <x:v>0</x:v>
      </x:c>
      <x:c r="T3372" s="8" t="n">
        <x:f>DATE(YEAR(C3372),MONTH(C3372),1)</x:f>
        <x:v>45901</x:v>
      </x:c>
    </x:row>
    <x:row r="3373" ht="22" customHeight="1">
      <x:c r="A3373" s="2" t="str">
        <x:v>L003369</x:v>
      </x:c>
      <x:c r="B3373" s="2" t="str">
        <x:v>O01375</x:v>
      </x:c>
      <x:c r="C3373" s="7" t="n">
        <x:v>45774</x:v>
      </x:c>
      <x:c r="D3373" s="2" t="str">
        <x:v>Completed</x:v>
      </x:c>
      <x:c r="E3373" s="2" t="str">
        <x:v>South</x:v>
      </x:c>
      <x:c r="F3373" s="2" t="str">
        <x:v>Online</x:v>
      </x:c>
      <x:c r="G3373" s="2" t="str">
        <x:v>Furniture</x:v>
      </x:c>
      <x:c r="H3373" s="2" t="str">
        <x:v>Chair 022</x:v>
      </x:c>
      <x:c r="I3373" s="11" t="n">
        <x:v>1</x:v>
      </x:c>
      <x:c r="J3373" s="9" t="n">
        <x:v>134</x:v>
      </x:c>
      <x:c r="K3373" s="10" t="n">
        <x:v>0</x:v>
      </x:c>
      <x:c r="L3373" s="11" t="n">
        <x:v>0</x:v>
      </x:c>
      <x:c r="M3373" s="9" t="n">
        <x:f>IF(D3373="Completed",I3373*J3373,0)</x:f>
        <x:v>134</x:v>
      </x:c>
      <x:c r="N3373" s="9" t="n">
        <x:f>M3373*K3373</x:f>
        <x:v>0</x:v>
      </x:c>
      <x:c r="O3373" s="9" t="n">
        <x:f>M3373-N3373</x:f>
        <x:v>134</x:v>
      </x:c>
      <x:c r="P3373" s="9" t="n">
        <x:f>IF(D3373="Completed",L3373*J3373*(1-K3373),0)</x:f>
        <x:v>0</x:v>
      </x:c>
      <x:c r="Q3373" s="9" t="n">
        <x:f>O3373-P3373</x:f>
        <x:v>134</x:v>
      </x:c>
      <x:c r="R3373" s="11" t="n">
        <x:f>IF(D3373="Completed",I3373,0)</x:f>
        <x:v>1</x:v>
      </x:c>
      <x:c r="S3373" s="11" t="n">
        <x:f>IF(D3373="Completed",L3373,0)</x:f>
        <x:v>0</x:v>
      </x:c>
      <x:c r="T3373" s="8" t="n">
        <x:f>DATE(YEAR(C3373),MONTH(C3373),1)</x:f>
        <x:v>45748</x:v>
      </x:c>
    </x:row>
    <x:row r="3374" ht="22" customHeight="1">
      <x:c r="A3374" s="2" t="str">
        <x:v>L003370</x:v>
      </x:c>
      <x:c r="B3374" s="2" t="str">
        <x:v>O01375</x:v>
      </x:c>
      <x:c r="C3374" s="7" t="n">
        <x:v>45774</x:v>
      </x:c>
      <x:c r="D3374" s="2" t="str">
        <x:v>Completed</x:v>
      </x:c>
      <x:c r="E3374" s="2" t="str">
        <x:v>South</x:v>
      </x:c>
      <x:c r="F3374" s="2" t="str">
        <x:v>Online</x:v>
      </x:c>
      <x:c r="G3374" s="2" t="str">
        <x:v>Furniture</x:v>
      </x:c>
      <x:c r="H3374" s="2" t="str">
        <x:v>Desk 012</x:v>
      </x:c>
      <x:c r="I3374" s="11" t="n">
        <x:v>3</x:v>
      </x:c>
      <x:c r="J3374" s="9" t="n">
        <x:v>134</x:v>
      </x:c>
      <x:c r="K3374" s="10" t="n">
        <x:v>0.1</x:v>
      </x:c>
      <x:c r="L3374" s="11" t="n">
        <x:v>0</x:v>
      </x:c>
      <x:c r="M3374" s="9" t="n">
        <x:f>IF(D3374="Completed",I3374*J3374,0)</x:f>
        <x:v>402</x:v>
      </x:c>
      <x:c r="N3374" s="9" t="n">
        <x:f>M3374*K3374</x:f>
        <x:v>40.2</x:v>
      </x:c>
      <x:c r="O3374" s="9" t="n">
        <x:f>M3374-N3374</x:f>
        <x:v>361.8</x:v>
      </x:c>
      <x:c r="P3374" s="9" t="n">
        <x:f>IF(D3374="Completed",L3374*J3374*(1-K3374),0)</x:f>
        <x:v>0</x:v>
      </x:c>
      <x:c r="Q3374" s="9" t="n">
        <x:f>O3374-P3374</x:f>
        <x:v>361.8</x:v>
      </x:c>
      <x:c r="R3374" s="11" t="n">
        <x:f>IF(D3374="Completed",I3374,0)</x:f>
        <x:v>3</x:v>
      </x:c>
      <x:c r="S3374" s="11" t="n">
        <x:f>IF(D3374="Completed",L3374,0)</x:f>
        <x:v>0</x:v>
      </x:c>
      <x:c r="T3374" s="8" t="n">
        <x:f>DATE(YEAR(C3374),MONTH(C3374),1)</x:f>
        <x:v>45748</x:v>
      </x:c>
    </x:row>
    <x:row r="3375" ht="22" customHeight="1">
      <x:c r="A3375" s="2" t="str">
        <x:v>L003371</x:v>
      </x:c>
      <x:c r="B3375" s="2" t="str">
        <x:v>O01375</x:v>
      </x:c>
      <x:c r="C3375" s="7" t="n">
        <x:v>45774</x:v>
      </x:c>
      <x:c r="D3375" s="2" t="str">
        <x:v>Completed</x:v>
      </x:c>
      <x:c r="E3375" s="2" t="str">
        <x:v>South</x:v>
      </x:c>
      <x:c r="F3375" s="2" t="str">
        <x:v>Online</x:v>
      </x:c>
      <x:c r="G3375" s="2" t="str">
        <x:v>Furniture</x:v>
      </x:c>
      <x:c r="H3375" s="2" t="str">
        <x:v>Desk 024</x:v>
      </x:c>
      <x:c r="I3375" s="11" t="n">
        <x:v>5</x:v>
      </x:c>
      <x:c r="J3375" s="9" t="n">
        <x:v>81</x:v>
      </x:c>
      <x:c r="K3375" s="10" t="n">
        <x:v>0</x:v>
      </x:c>
      <x:c r="L3375" s="11" t="n">
        <x:v>0</x:v>
      </x:c>
      <x:c r="M3375" s="9" t="n">
        <x:f>IF(D3375="Completed",I3375*J3375,0)</x:f>
        <x:v>405</x:v>
      </x:c>
      <x:c r="N3375" s="9" t="n">
        <x:f>M3375*K3375</x:f>
        <x:v>0</x:v>
      </x:c>
      <x:c r="O3375" s="9" t="n">
        <x:f>M3375-N3375</x:f>
        <x:v>405</x:v>
      </x:c>
      <x:c r="P3375" s="9" t="n">
        <x:f>IF(D3375="Completed",L3375*J3375*(1-K3375),0)</x:f>
        <x:v>0</x:v>
      </x:c>
      <x:c r="Q3375" s="9" t="n">
        <x:f>O3375-P3375</x:f>
        <x:v>405</x:v>
      </x:c>
      <x:c r="R3375" s="11" t="n">
        <x:f>IF(D3375="Completed",I3375,0)</x:f>
        <x:v>5</x:v>
      </x:c>
      <x:c r="S3375" s="11" t="n">
        <x:f>IF(D3375="Completed",L3375,0)</x:f>
        <x:v>0</x:v>
      </x:c>
      <x:c r="T3375" s="8" t="n">
        <x:f>DATE(YEAR(C3375),MONTH(C3375),1)</x:f>
        <x:v>45748</x:v>
      </x:c>
    </x:row>
    <x:row r="3376" ht="22" customHeight="1">
      <x:c r="A3376" s="2" t="str">
        <x:v>L003372</x:v>
      </x:c>
      <x:c r="B3376" s="2" t="str">
        <x:v>O01376</x:v>
      </x:c>
      <x:c r="C3376" s="7" t="n">
        <x:v>45793</x:v>
      </x:c>
      <x:c r="D3376" s="2" t="str">
        <x:v>Completed</x:v>
      </x:c>
      <x:c r="E3376" s="2" t="str">
        <x:v>East</x:v>
      </x:c>
      <x:c r="F3376" s="2" t="str">
        <x:v>Online</x:v>
      </x:c>
      <x:c r="G3376" s="2" t="str">
        <x:v>Furniture</x:v>
      </x:c>
      <x:c r="H3376" s="2" t="str">
        <x:v>Chair 010</x:v>
      </x:c>
      <x:c r="I3376" s="11" t="n">
        <x:v>2</x:v>
      </x:c>
      <x:c r="J3376" s="9" t="n">
        <x:v>211</x:v>
      </x:c>
      <x:c r="K3376" s="10" t="n">
        <x:v>0.2</x:v>
      </x:c>
      <x:c r="L3376" s="11" t="n">
        <x:v>1</x:v>
      </x:c>
      <x:c r="M3376" s="9" t="n">
        <x:f>IF(D3376="Completed",I3376*J3376,0)</x:f>
        <x:v>422</x:v>
      </x:c>
      <x:c r="N3376" s="9" t="n">
        <x:f>M3376*K3376</x:f>
        <x:v>84.4</x:v>
      </x:c>
      <x:c r="O3376" s="9" t="n">
        <x:f>M3376-N3376</x:f>
        <x:v>337.6</x:v>
      </x:c>
      <x:c r="P3376" s="9" t="n">
        <x:f>IF(D3376="Completed",L3376*J3376*(1-K3376),0)</x:f>
        <x:v>168.8</x:v>
      </x:c>
      <x:c r="Q3376" s="9" t="n">
        <x:f>O3376-P3376</x:f>
        <x:v>168.8</x:v>
      </x:c>
      <x:c r="R3376" s="11" t="n">
        <x:f>IF(D3376="Completed",I3376,0)</x:f>
        <x:v>2</x:v>
      </x:c>
      <x:c r="S3376" s="11" t="n">
        <x:f>IF(D3376="Completed",L3376,0)</x:f>
        <x:v>1</x:v>
      </x:c>
      <x:c r="T3376" s="8" t="n">
        <x:f>DATE(YEAR(C3376),MONTH(C3376),1)</x:f>
        <x:v>45778</x:v>
      </x:c>
    </x:row>
    <x:row r="3377" ht="22" customHeight="1">
      <x:c r="A3377" s="2" t="str">
        <x:v>L003373</x:v>
      </x:c>
      <x:c r="B3377" s="2" t="str">
        <x:v>O01376</x:v>
      </x:c>
      <x:c r="C3377" s="7" t="n">
        <x:v>45793</x:v>
      </x:c>
      <x:c r="D3377" s="2" t="str">
        <x:v>Completed</x:v>
      </x:c>
      <x:c r="E3377" s="2" t="str">
        <x:v>East</x:v>
      </x:c>
      <x:c r="F3377" s="2" t="str">
        <x:v>Online</x:v>
      </x:c>
      <x:c r="G3377" s="2" t="str">
        <x:v>Furniture</x:v>
      </x:c>
      <x:c r="H3377" s="2" t="str">
        <x:v>Desk 016</x:v>
      </x:c>
      <x:c r="I3377" s="11" t="n">
        <x:v>5</x:v>
      </x:c>
      <x:c r="J3377" s="9" t="n">
        <x:v>231</x:v>
      </x:c>
      <x:c r="K3377" s="10" t="n">
        <x:v>0.1</x:v>
      </x:c>
      <x:c r="L3377" s="11" t="n">
        <x:v>0</x:v>
      </x:c>
      <x:c r="M3377" s="9" t="n">
        <x:f>IF(D3377="Completed",I3377*J3377,0)</x:f>
        <x:v>1155</x:v>
      </x:c>
      <x:c r="N3377" s="9" t="n">
        <x:f>M3377*K3377</x:f>
        <x:v>115.5</x:v>
      </x:c>
      <x:c r="O3377" s="9" t="n">
        <x:f>M3377-N3377</x:f>
        <x:v>1039.5</x:v>
      </x:c>
      <x:c r="P3377" s="9" t="n">
        <x:f>IF(D3377="Completed",L3377*J3377*(1-K3377),0)</x:f>
        <x:v>0</x:v>
      </x:c>
      <x:c r="Q3377" s="9" t="n">
        <x:f>O3377-P3377</x:f>
        <x:v>1039.5</x:v>
      </x:c>
      <x:c r="R3377" s="11" t="n">
        <x:f>IF(D3377="Completed",I3377,0)</x:f>
        <x:v>5</x:v>
      </x:c>
      <x:c r="S3377" s="11" t="n">
        <x:f>IF(D3377="Completed",L3377,0)</x:f>
        <x:v>0</x:v>
      </x:c>
      <x:c r="T3377" s="8" t="n">
        <x:f>DATE(YEAR(C3377),MONTH(C3377),1)</x:f>
        <x:v>45778</x:v>
      </x:c>
    </x:row>
    <x:row r="3378" ht="22" customHeight="1">
      <x:c r="A3378" s="2" t="str">
        <x:v>L003374</x:v>
      </x:c>
      <x:c r="B3378" s="2" t="str">
        <x:v>O01376</x:v>
      </x:c>
      <x:c r="C3378" s="7" t="n">
        <x:v>45793</x:v>
      </x:c>
      <x:c r="D3378" s="2" t="str">
        <x:v>Completed</x:v>
      </x:c>
      <x:c r="E3378" s="2" t="str">
        <x:v>East</x:v>
      </x:c>
      <x:c r="F3378" s="2" t="str">
        <x:v>Online</x:v>
      </x:c>
      <x:c r="G3378" s="2" t="str">
        <x:v>Lighting</x:v>
      </x:c>
      <x:c r="H3378" s="2" t="str">
        <x:v>Lamp 005</x:v>
      </x:c>
      <x:c r="I3378" s="11" t="n">
        <x:v>2</x:v>
      </x:c>
      <x:c r="J3378" s="9" t="n">
        <x:v>65</x:v>
      </x:c>
      <x:c r="K3378" s="10" t="n">
        <x:v>0.2</x:v>
      </x:c>
      <x:c r="L3378" s="11" t="n">
        <x:v>0</x:v>
      </x:c>
      <x:c r="M3378" s="9" t="n">
        <x:f>IF(D3378="Completed",I3378*J3378,0)</x:f>
        <x:v>130</x:v>
      </x:c>
      <x:c r="N3378" s="9" t="n">
        <x:f>M3378*K3378</x:f>
        <x:v>26</x:v>
      </x:c>
      <x:c r="O3378" s="9" t="n">
        <x:f>M3378-N3378</x:f>
        <x:v>104</x:v>
      </x:c>
      <x:c r="P3378" s="9" t="n">
        <x:f>IF(D3378="Completed",L3378*J3378*(1-K3378),0)</x:f>
        <x:v>0</x:v>
      </x:c>
      <x:c r="Q3378" s="9" t="n">
        <x:f>O3378-P3378</x:f>
        <x:v>104</x:v>
      </x:c>
      <x:c r="R3378" s="11" t="n">
        <x:f>IF(D3378="Completed",I3378,0)</x:f>
        <x:v>2</x:v>
      </x:c>
      <x:c r="S3378" s="11" t="n">
        <x:f>IF(D3378="Completed",L3378,0)</x:f>
        <x:v>0</x:v>
      </x:c>
      <x:c r="T3378" s="8" t="n">
        <x:f>DATE(YEAR(C3378),MONTH(C3378),1)</x:f>
        <x:v>45778</x:v>
      </x:c>
    </x:row>
    <x:row r="3379" ht="22" customHeight="1">
      <x:c r="A3379" s="2" t="str">
        <x:v>L003375</x:v>
      </x:c>
      <x:c r="B3379" s="2" t="str">
        <x:v>O01377</x:v>
      </x:c>
      <x:c r="C3379" s="7" t="n">
        <x:v>45946</x:v>
      </x:c>
      <x:c r="D3379" s="2" t="str">
        <x:v>Cancelled</x:v>
      </x:c>
      <x:c r="E3379" s="2" t="str">
        <x:v>West</x:v>
      </x:c>
      <x:c r="F3379" s="2" t="str">
        <x:v>Store</x:v>
      </x:c>
      <x:c r="G3379" s="2" t="str">
        <x:v>Furniture</x:v>
      </x:c>
      <x:c r="H3379" s="2" t="str">
        <x:v>Desk 008</x:v>
      </x:c>
      <x:c r="I3379" s="11" t="n">
        <x:v>4</x:v>
      </x:c>
      <x:c r="J3379" s="9" t="n">
        <x:v>188</x:v>
      </x:c>
      <x:c r="K3379" s="10" t="n">
        <x:v>0</x:v>
      </x:c>
      <x:c r="L3379" s="11" t="n">
        <x:v>0</x:v>
      </x:c>
      <x:c r="M3379" s="9" t="n">
        <x:f>IF(D3379="Completed",I3379*J3379,0)</x:f>
        <x:v>0</x:v>
      </x:c>
      <x:c r="N3379" s="9" t="n">
        <x:f>M3379*K3379</x:f>
        <x:v>0</x:v>
      </x:c>
      <x:c r="O3379" s="9" t="n">
        <x:f>M3379-N3379</x:f>
        <x:v>0</x:v>
      </x:c>
      <x:c r="P3379" s="9" t="n">
        <x:f>IF(D3379="Completed",L3379*J3379*(1-K3379),0)</x:f>
        <x:v>0</x:v>
      </x:c>
      <x:c r="Q3379" s="9" t="n">
        <x:f>O3379-P3379</x:f>
        <x:v>0</x:v>
      </x:c>
      <x:c r="R3379" s="11" t="n">
        <x:f>IF(D3379="Completed",I3379,0)</x:f>
        <x:v>0</x:v>
      </x:c>
      <x:c r="S3379" s="11" t="n">
        <x:f>IF(D3379="Completed",L3379,0)</x:f>
        <x:v>0</x:v>
      </x:c>
      <x:c r="T3379" s="8" t="n">
        <x:f>DATE(YEAR(C3379),MONTH(C3379),1)</x:f>
        <x:v>45931</x:v>
      </x:c>
    </x:row>
    <x:row r="3380" ht="22" customHeight="1">
      <x:c r="A3380" s="2" t="str">
        <x:v>L003376</x:v>
      </x:c>
      <x:c r="B3380" s="2" t="str">
        <x:v>O01377</x:v>
      </x:c>
      <x:c r="C3380" s="7" t="n">
        <x:v>45946</x:v>
      </x:c>
      <x:c r="D3380" s="2" t="str">
        <x:v>Cancelled</x:v>
      </x:c>
      <x:c r="E3380" s="2" t="str">
        <x:v>West</x:v>
      </x:c>
      <x:c r="F3380" s="2" t="str">
        <x:v>Store</x:v>
      </x:c>
      <x:c r="G3380" s="2" t="str">
        <x:v>Furniture</x:v>
      </x:c>
      <x:c r="H3380" s="2" t="str">
        <x:v>Chair 018</x:v>
      </x:c>
      <x:c r="I3380" s="11" t="n">
        <x:v>1</x:v>
      </x:c>
      <x:c r="J3380" s="9" t="n">
        <x:v>269</x:v>
      </x:c>
      <x:c r="K3380" s="10" t="n">
        <x:v>0.1</x:v>
      </x:c>
      <x:c r="L3380" s="11" t="n">
        <x:v>0</x:v>
      </x:c>
      <x:c r="M3380" s="9" t="n">
        <x:f>IF(D3380="Completed",I3380*J3380,0)</x:f>
        <x:v>0</x:v>
      </x:c>
      <x:c r="N3380" s="9" t="n">
        <x:f>M3380*K3380</x:f>
        <x:v>0</x:v>
      </x:c>
      <x:c r="O3380" s="9" t="n">
        <x:f>M3380-N3380</x:f>
        <x:v>0</x:v>
      </x:c>
      <x:c r="P3380" s="9" t="n">
        <x:f>IF(D3380="Completed",L3380*J3380*(1-K3380),0)</x:f>
        <x:v>0</x:v>
      </x:c>
      <x:c r="Q3380" s="9" t="n">
        <x:f>O3380-P3380</x:f>
        <x:v>0</x:v>
      </x:c>
      <x:c r="R3380" s="11" t="n">
        <x:f>IF(D3380="Completed",I3380,0)</x:f>
        <x:v>0</x:v>
      </x:c>
      <x:c r="S3380" s="11" t="n">
        <x:f>IF(D3380="Completed",L3380,0)</x:f>
        <x:v>0</x:v>
      </x:c>
      <x:c r="T3380" s="8" t="n">
        <x:f>DATE(YEAR(C3380),MONTH(C3380),1)</x:f>
        <x:v>45931</x:v>
      </x:c>
    </x:row>
    <x:row r="3381" ht="22" customHeight="1">
      <x:c r="A3381" s="2" t="str">
        <x:v>L003377</x:v>
      </x:c>
      <x:c r="B3381" s="2" t="str">
        <x:v>O01377</x:v>
      </x:c>
      <x:c r="C3381" s="7" t="n">
        <x:v>45946</x:v>
      </x:c>
      <x:c r="D3381" s="2" t="str">
        <x:v>Cancelled</x:v>
      </x:c>
      <x:c r="E3381" s="2" t="str">
        <x:v>West</x:v>
      </x:c>
      <x:c r="F3381" s="2" t="str">
        <x:v>Store</x:v>
      </x:c>
      <x:c r="G3381" s="2" t="str">
        <x:v>Storage</x:v>
      </x:c>
      <x:c r="H3381" s="2" t="str">
        <x:v>Shelf 015</x:v>
      </x:c>
      <x:c r="I3381" s="11" t="n">
        <x:v>1</x:v>
      </x:c>
      <x:c r="J3381" s="9" t="n">
        <x:v>254</x:v>
      </x:c>
      <x:c r="K3381" s="10" t="n">
        <x:v>0.2</x:v>
      </x:c>
      <x:c r="L3381" s="11" t="n">
        <x:v>0</x:v>
      </x:c>
      <x:c r="M3381" s="9" t="n">
        <x:f>IF(D3381="Completed",I3381*J3381,0)</x:f>
        <x:v>0</x:v>
      </x:c>
      <x:c r="N3381" s="9" t="n">
        <x:f>M3381*K3381</x:f>
        <x:v>0</x:v>
      </x:c>
      <x:c r="O3381" s="9" t="n">
        <x:f>M3381-N3381</x:f>
        <x:v>0</x:v>
      </x:c>
      <x:c r="P3381" s="9" t="n">
        <x:f>IF(D3381="Completed",L3381*J3381*(1-K3381),0)</x:f>
        <x:v>0</x:v>
      </x:c>
      <x:c r="Q3381" s="9" t="n">
        <x:f>O3381-P3381</x:f>
        <x:v>0</x:v>
      </x:c>
      <x:c r="R3381" s="11" t="n">
        <x:f>IF(D3381="Completed",I3381,0)</x:f>
        <x:v>0</x:v>
      </x:c>
      <x:c r="S3381" s="11" t="n">
        <x:f>IF(D3381="Completed",L3381,0)</x:f>
        <x:v>0</x:v>
      </x:c>
      <x:c r="T3381" s="8" t="n">
        <x:f>DATE(YEAR(C3381),MONTH(C3381),1)</x:f>
        <x:v>45931</x:v>
      </x:c>
    </x:row>
    <x:row r="3382" ht="22" customHeight="1">
      <x:c r="A3382" s="2" t="str">
        <x:v>L003378</x:v>
      </x:c>
      <x:c r="B3382" s="2" t="str">
        <x:v>O01378</x:v>
      </x:c>
      <x:c r="C3382" s="7" t="n">
        <x:v>45842</x:v>
      </x:c>
      <x:c r="D3382" s="2" t="str">
        <x:v>Completed</x:v>
      </x:c>
      <x:c r="E3382" s="2" t="str">
        <x:v>West</x:v>
      </x:c>
      <x:c r="F3382" s="2" t="str">
        <x:v>Online</x:v>
      </x:c>
      <x:c r="G3382" s="2" t="str">
        <x:v>Furniture</x:v>
      </x:c>
      <x:c r="H3382" s="2" t="str">
        <x:v>Chair 014</x:v>
      </x:c>
      <x:c r="I3382" s="11" t="n">
        <x:v>2</x:v>
      </x:c>
      <x:c r="J3382" s="9" t="n">
        <x:v>294</x:v>
      </x:c>
      <x:c r="K3382" s="10" t="n">
        <x:v>0.05</x:v>
      </x:c>
      <x:c r="L3382" s="11" t="n">
        <x:v>0</x:v>
      </x:c>
      <x:c r="M3382" s="9" t="n">
        <x:f>IF(D3382="Completed",I3382*J3382,0)</x:f>
        <x:v>588</x:v>
      </x:c>
      <x:c r="N3382" s="9" t="n">
        <x:f>M3382*K3382</x:f>
        <x:v>29.400000000000002</x:v>
      </x:c>
      <x:c r="O3382" s="9" t="n">
        <x:f>M3382-N3382</x:f>
        <x:v>558.6</x:v>
      </x:c>
      <x:c r="P3382" s="9" t="n">
        <x:f>IF(D3382="Completed",L3382*J3382*(1-K3382),0)</x:f>
        <x:v>0</x:v>
      </x:c>
      <x:c r="Q3382" s="9" t="n">
        <x:f>O3382-P3382</x:f>
        <x:v>558.6</x:v>
      </x:c>
      <x:c r="R3382" s="11" t="n">
        <x:f>IF(D3382="Completed",I3382,0)</x:f>
        <x:v>2</x:v>
      </x:c>
      <x:c r="S3382" s="11" t="n">
        <x:f>IF(D3382="Completed",L3382,0)</x:f>
        <x:v>0</x:v>
      </x:c>
      <x:c r="T3382" s="8" t="n">
        <x:f>DATE(YEAR(C3382),MONTH(C3382),1)</x:f>
        <x:v>45839</x:v>
      </x:c>
    </x:row>
    <x:row r="3383" ht="22" customHeight="1">
      <x:c r="A3383" s="2" t="str">
        <x:v>L003379</x:v>
      </x:c>
      <x:c r="B3383" s="2" t="str">
        <x:v>O01378</x:v>
      </x:c>
      <x:c r="C3383" s="7" t="n">
        <x:v>45842</x:v>
      </x:c>
      <x:c r="D3383" s="2" t="str">
        <x:v>Completed</x:v>
      </x:c>
      <x:c r="E3383" s="2" t="str">
        <x:v>West</x:v>
      </x:c>
      <x:c r="F3383" s="2" t="str">
        <x:v>Online</x:v>
      </x:c>
      <x:c r="G3383" s="2" t="str">
        <x:v>Storage</x:v>
      </x:c>
      <x:c r="H3383" s="2" t="str">
        <x:v>Shelf 011</x:v>
      </x:c>
      <x:c r="I3383" s="11" t="n">
        <x:v>1</x:v>
      </x:c>
      <x:c r="J3383" s="9" t="n">
        <x:v>80</x:v>
      </x:c>
      <x:c r="K3383" s="10" t="n">
        <x:v>0.2</x:v>
      </x:c>
      <x:c r="L3383" s="11" t="n">
        <x:v>0</x:v>
      </x:c>
      <x:c r="M3383" s="9" t="n">
        <x:f>IF(D3383="Completed",I3383*J3383,0)</x:f>
        <x:v>80</x:v>
      </x:c>
      <x:c r="N3383" s="9" t="n">
        <x:f>M3383*K3383</x:f>
        <x:v>16</x:v>
      </x:c>
      <x:c r="O3383" s="9" t="n">
        <x:f>M3383-N3383</x:f>
        <x:v>64</x:v>
      </x:c>
      <x:c r="P3383" s="9" t="n">
        <x:f>IF(D3383="Completed",L3383*J3383*(1-K3383),0)</x:f>
        <x:v>0</x:v>
      </x:c>
      <x:c r="Q3383" s="9" t="n">
        <x:f>O3383-P3383</x:f>
        <x:v>64</x:v>
      </x:c>
      <x:c r="R3383" s="11" t="n">
        <x:f>IF(D3383="Completed",I3383,0)</x:f>
        <x:v>1</x:v>
      </x:c>
      <x:c r="S3383" s="11" t="n">
        <x:f>IF(D3383="Completed",L3383,0)</x:f>
        <x:v>0</x:v>
      </x:c>
      <x:c r="T3383" s="8" t="n">
        <x:f>DATE(YEAR(C3383),MONTH(C3383),1)</x:f>
        <x:v>45839</x:v>
      </x:c>
    </x:row>
    <x:row r="3384" ht="22" customHeight="1">
      <x:c r="A3384" s="2" t="str">
        <x:v>L003380</x:v>
      </x:c>
      <x:c r="B3384" s="2" t="str">
        <x:v>O01378</x:v>
      </x:c>
      <x:c r="C3384" s="7" t="n">
        <x:v>45842</x:v>
      </x:c>
      <x:c r="D3384" s="2" t="str">
        <x:v>Completed</x:v>
      </x:c>
      <x:c r="E3384" s="2" t="str">
        <x:v>West</x:v>
      </x:c>
      <x:c r="F3384" s="2" t="str">
        <x:v>Online</x:v>
      </x:c>
      <x:c r="G3384" s="2" t="str">
        <x:v>Furniture</x:v>
      </x:c>
      <x:c r="H3384" s="2" t="str">
        <x:v>Chair 006</x:v>
      </x:c>
      <x:c r="I3384" s="11" t="n">
        <x:v>1</x:v>
      </x:c>
      <x:c r="J3384" s="9" t="n">
        <x:v>196</x:v>
      </x:c>
      <x:c r="K3384" s="10" t="n">
        <x:v>0.2</x:v>
      </x:c>
      <x:c r="L3384" s="11" t="n">
        <x:v>0</x:v>
      </x:c>
      <x:c r="M3384" s="9" t="n">
        <x:f>IF(D3384="Completed",I3384*J3384,0)</x:f>
        <x:v>196</x:v>
      </x:c>
      <x:c r="N3384" s="9" t="n">
        <x:f>M3384*K3384</x:f>
        <x:v>39.2</x:v>
      </x:c>
      <x:c r="O3384" s="9" t="n">
        <x:f>M3384-N3384</x:f>
        <x:v>156.8</x:v>
      </x:c>
      <x:c r="P3384" s="9" t="n">
        <x:f>IF(D3384="Completed",L3384*J3384*(1-K3384),0)</x:f>
        <x:v>0</x:v>
      </x:c>
      <x:c r="Q3384" s="9" t="n">
        <x:f>O3384-P3384</x:f>
        <x:v>156.8</x:v>
      </x:c>
      <x:c r="R3384" s="11" t="n">
        <x:f>IF(D3384="Completed",I3384,0)</x:f>
        <x:v>1</x:v>
      </x:c>
      <x:c r="S3384" s="11" t="n">
        <x:f>IF(D3384="Completed",L3384,0)</x:f>
        <x:v>0</x:v>
      </x:c>
      <x:c r="T3384" s="8" t="n">
        <x:f>DATE(YEAR(C3384),MONTH(C3384),1)</x:f>
        <x:v>45839</x:v>
      </x:c>
    </x:row>
    <x:row r="3385" ht="22" customHeight="1">
      <x:c r="A3385" s="2" t="str">
        <x:v>L003381</x:v>
      </x:c>
      <x:c r="B3385" s="2" t="str">
        <x:v>O01378</x:v>
      </x:c>
      <x:c r="C3385" s="7" t="n">
        <x:v>45842</x:v>
      </x:c>
      <x:c r="D3385" s="2" t="str">
        <x:v>Completed</x:v>
      </x:c>
      <x:c r="E3385" s="2" t="str">
        <x:v>West</x:v>
      </x:c>
      <x:c r="F3385" s="2" t="str">
        <x:v>Online</x:v>
      </x:c>
      <x:c r="G3385" s="2" t="str">
        <x:v>Furniture</x:v>
      </x:c>
      <x:c r="H3385" s="2" t="str">
        <x:v>Desk 020</x:v>
      </x:c>
      <x:c r="I3385" s="11" t="n">
        <x:v>1</x:v>
      </x:c>
      <x:c r="J3385" s="9" t="n">
        <x:v>189</x:v>
      </x:c>
      <x:c r="K3385" s="10" t="n">
        <x:v>0.05</x:v>
      </x:c>
      <x:c r="L3385" s="11" t="n">
        <x:v>0</x:v>
      </x:c>
      <x:c r="M3385" s="9" t="n">
        <x:f>IF(D3385="Completed",I3385*J3385,0)</x:f>
        <x:v>189</x:v>
      </x:c>
      <x:c r="N3385" s="9" t="n">
        <x:f>M3385*K3385</x:f>
        <x:v>9.450000000000001</x:v>
      </x:c>
      <x:c r="O3385" s="9" t="n">
        <x:f>M3385-N3385</x:f>
        <x:v>179.55</x:v>
      </x:c>
      <x:c r="P3385" s="9" t="n">
        <x:f>IF(D3385="Completed",L3385*J3385*(1-K3385),0)</x:f>
        <x:v>0</x:v>
      </x:c>
      <x:c r="Q3385" s="9" t="n">
        <x:f>O3385-P3385</x:f>
        <x:v>179.55</x:v>
      </x:c>
      <x:c r="R3385" s="11" t="n">
        <x:f>IF(D3385="Completed",I3385,0)</x:f>
        <x:v>1</x:v>
      </x:c>
      <x:c r="S3385" s="11" t="n">
        <x:f>IF(D3385="Completed",L3385,0)</x:f>
        <x:v>0</x:v>
      </x:c>
      <x:c r="T3385" s="8" t="n">
        <x:f>DATE(YEAR(C3385),MONTH(C3385),1)</x:f>
        <x:v>45839</x:v>
      </x:c>
    </x:row>
    <x:row r="3386" ht="22" customHeight="1">
      <x:c r="A3386" s="2" t="str">
        <x:v>L003382</x:v>
      </x:c>
      <x:c r="B3386" s="2" t="str">
        <x:v>O01379</x:v>
      </x:c>
      <x:c r="C3386" s="7" t="n">
        <x:v>45751</x:v>
      </x:c>
      <x:c r="D3386" s="2" t="str">
        <x:v>Completed</x:v>
      </x:c>
      <x:c r="E3386" s="2" t="str">
        <x:v>North</x:v>
      </x:c>
      <x:c r="F3386" s="2" t="str">
        <x:v>Store</x:v>
      </x:c>
      <x:c r="G3386" s="2" t="str">
        <x:v>Lighting</x:v>
      </x:c>
      <x:c r="H3386" s="2" t="str">
        <x:v>Lamp 009</x:v>
      </x:c>
      <x:c r="I3386" s="11" t="n">
        <x:v>2</x:v>
      </x:c>
      <x:c r="J3386" s="9" t="n">
        <x:v>93</x:v>
      </x:c>
      <x:c r="K3386" s="10" t="n">
        <x:v>0</x:v>
      </x:c>
      <x:c r="L3386" s="11" t="n">
        <x:v>0</x:v>
      </x:c>
      <x:c r="M3386" s="9" t="n">
        <x:f>IF(D3386="Completed",I3386*J3386,0)</x:f>
        <x:v>186</x:v>
      </x:c>
      <x:c r="N3386" s="9" t="n">
        <x:f>M3386*K3386</x:f>
        <x:v>0</x:v>
      </x:c>
      <x:c r="O3386" s="9" t="n">
        <x:f>M3386-N3386</x:f>
        <x:v>186</x:v>
      </x:c>
      <x:c r="P3386" s="9" t="n">
        <x:f>IF(D3386="Completed",L3386*J3386*(1-K3386),0)</x:f>
        <x:v>0</x:v>
      </x:c>
      <x:c r="Q3386" s="9" t="n">
        <x:f>O3386-P3386</x:f>
        <x:v>186</x:v>
      </x:c>
      <x:c r="R3386" s="11" t="n">
        <x:f>IF(D3386="Completed",I3386,0)</x:f>
        <x:v>2</x:v>
      </x:c>
      <x:c r="S3386" s="11" t="n">
        <x:f>IF(D3386="Completed",L3386,0)</x:f>
        <x:v>0</x:v>
      </x:c>
      <x:c r="T3386" s="8" t="n">
        <x:f>DATE(YEAR(C3386),MONTH(C3386),1)</x:f>
        <x:v>45748</x:v>
      </x:c>
    </x:row>
    <x:row r="3387" ht="22" customHeight="1">
      <x:c r="A3387" s="2" t="str">
        <x:v>L003383</x:v>
      </x:c>
      <x:c r="B3387" s="2" t="str">
        <x:v>O01379</x:v>
      </x:c>
      <x:c r="C3387" s="7" t="n">
        <x:v>45751</x:v>
      </x:c>
      <x:c r="D3387" s="2" t="str">
        <x:v>Completed</x:v>
      </x:c>
      <x:c r="E3387" s="2" t="str">
        <x:v>North</x:v>
      </x:c>
      <x:c r="F3387" s="2" t="str">
        <x:v>Store</x:v>
      </x:c>
      <x:c r="G3387" s="2" t="str">
        <x:v>Furniture</x:v>
      </x:c>
      <x:c r="H3387" s="2" t="str">
        <x:v>Chair 018</x:v>
      </x:c>
      <x:c r="I3387" s="11" t="n">
        <x:v>1</x:v>
      </x:c>
      <x:c r="J3387" s="9" t="n">
        <x:v>269</x:v>
      </x:c>
      <x:c r="K3387" s="10" t="n">
        <x:v>0.2</x:v>
      </x:c>
      <x:c r="L3387" s="11" t="n">
        <x:v>0</x:v>
      </x:c>
      <x:c r="M3387" s="9" t="n">
        <x:f>IF(D3387="Completed",I3387*J3387,0)</x:f>
        <x:v>269</x:v>
      </x:c>
      <x:c r="N3387" s="9" t="n">
        <x:f>M3387*K3387</x:f>
        <x:v>53.800000000000004</x:v>
      </x:c>
      <x:c r="O3387" s="9" t="n">
        <x:f>M3387-N3387</x:f>
        <x:v>215.2</x:v>
      </x:c>
      <x:c r="P3387" s="9" t="n">
        <x:f>IF(D3387="Completed",L3387*J3387*(1-K3387),0)</x:f>
        <x:v>0</x:v>
      </x:c>
      <x:c r="Q3387" s="9" t="n">
        <x:f>O3387-P3387</x:f>
        <x:v>215.2</x:v>
      </x:c>
      <x:c r="R3387" s="11" t="n">
        <x:f>IF(D3387="Completed",I3387,0)</x:f>
        <x:v>1</x:v>
      </x:c>
      <x:c r="S3387" s="11" t="n">
        <x:f>IF(D3387="Completed",L3387,0)</x:f>
        <x:v>0</x:v>
      </x:c>
      <x:c r="T3387" s="8" t="n">
        <x:f>DATE(YEAR(C3387),MONTH(C3387),1)</x:f>
        <x:v>45748</x:v>
      </x:c>
    </x:row>
    <x:row r="3388" ht="22" customHeight="1">
      <x:c r="A3388" s="2" t="str">
        <x:v>L003384</x:v>
      </x:c>
      <x:c r="B3388" s="2" t="str">
        <x:v>O01379</x:v>
      </x:c>
      <x:c r="C3388" s="7" t="n">
        <x:v>45751</x:v>
      </x:c>
      <x:c r="D3388" s="2" t="str">
        <x:v>Completed</x:v>
      </x:c>
      <x:c r="E3388" s="2" t="str">
        <x:v>North</x:v>
      </x:c>
      <x:c r="F3388" s="2" t="str">
        <x:v>Store</x:v>
      </x:c>
      <x:c r="G3388" s="2" t="str">
        <x:v>Storage</x:v>
      </x:c>
      <x:c r="H3388" s="2" t="str">
        <x:v>Shelf 011</x:v>
      </x:c>
      <x:c r="I3388" s="11" t="n">
        <x:v>4</x:v>
      </x:c>
      <x:c r="J3388" s="9" t="n">
        <x:v>80</x:v>
      </x:c>
      <x:c r="K3388" s="10" t="n">
        <x:v>0.2</x:v>
      </x:c>
      <x:c r="L3388" s="11" t="n">
        <x:v>0</x:v>
      </x:c>
      <x:c r="M3388" s="9" t="n">
        <x:f>IF(D3388="Completed",I3388*J3388,0)</x:f>
        <x:v>320</x:v>
      </x:c>
      <x:c r="N3388" s="9" t="n">
        <x:f>M3388*K3388</x:f>
        <x:v>64</x:v>
      </x:c>
      <x:c r="O3388" s="9" t="n">
        <x:f>M3388-N3388</x:f>
        <x:v>256</x:v>
      </x:c>
      <x:c r="P3388" s="9" t="n">
        <x:f>IF(D3388="Completed",L3388*J3388*(1-K3388),0)</x:f>
        <x:v>0</x:v>
      </x:c>
      <x:c r="Q3388" s="9" t="n">
        <x:f>O3388-P3388</x:f>
        <x:v>256</x:v>
      </x:c>
      <x:c r="R3388" s="11" t="n">
        <x:f>IF(D3388="Completed",I3388,0)</x:f>
        <x:v>4</x:v>
      </x:c>
      <x:c r="S3388" s="11" t="n">
        <x:f>IF(D3388="Completed",L3388,0)</x:f>
        <x:v>0</x:v>
      </x:c>
      <x:c r="T3388" s="8" t="n">
        <x:f>DATE(YEAR(C3388),MONTH(C3388),1)</x:f>
        <x:v>45748</x:v>
      </x:c>
    </x:row>
    <x:row r="3389" ht="22" customHeight="1">
      <x:c r="A3389" s="2" t="str">
        <x:v>L003385</x:v>
      </x:c>
      <x:c r="B3389" s="2" t="str">
        <x:v>O01379</x:v>
      </x:c>
      <x:c r="C3389" s="7" t="n">
        <x:v>45751</x:v>
      </x:c>
      <x:c r="D3389" s="2" t="str">
        <x:v>Completed</x:v>
      </x:c>
      <x:c r="E3389" s="2" t="str">
        <x:v>North</x:v>
      </x:c>
      <x:c r="F3389" s="2" t="str">
        <x:v>Store</x:v>
      </x:c>
      <x:c r="G3389" s="2" t="str">
        <x:v>Lighting</x:v>
      </x:c>
      <x:c r="H3389" s="2" t="str">
        <x:v>Lamp 001</x:v>
      </x:c>
      <x:c r="I3389" s="11" t="n">
        <x:v>2</x:v>
      </x:c>
      <x:c r="J3389" s="9" t="n">
        <x:v>122</x:v>
      </x:c>
      <x:c r="K3389" s="10" t="n">
        <x:v>0.05</x:v>
      </x:c>
      <x:c r="L3389" s="11" t="n">
        <x:v>0</x:v>
      </x:c>
      <x:c r="M3389" s="9" t="n">
        <x:f>IF(D3389="Completed",I3389*J3389,0)</x:f>
        <x:v>244</x:v>
      </x:c>
      <x:c r="N3389" s="9" t="n">
        <x:f>M3389*K3389</x:f>
        <x:v>12.200000000000001</x:v>
      </x:c>
      <x:c r="O3389" s="9" t="n">
        <x:f>M3389-N3389</x:f>
        <x:v>231.8</x:v>
      </x:c>
      <x:c r="P3389" s="9" t="n">
        <x:f>IF(D3389="Completed",L3389*J3389*(1-K3389),0)</x:f>
        <x:v>0</x:v>
      </x:c>
      <x:c r="Q3389" s="9" t="n">
        <x:f>O3389-P3389</x:f>
        <x:v>231.8</x:v>
      </x:c>
      <x:c r="R3389" s="11" t="n">
        <x:f>IF(D3389="Completed",I3389,0)</x:f>
        <x:v>2</x:v>
      </x:c>
      <x:c r="S3389" s="11" t="n">
        <x:f>IF(D3389="Completed",L3389,0)</x:f>
        <x:v>0</x:v>
      </x:c>
      <x:c r="T3389" s="8" t="n">
        <x:f>DATE(YEAR(C3389),MONTH(C3389),1)</x:f>
        <x:v>45748</x:v>
      </x:c>
    </x:row>
    <x:row r="3390" ht="22" customHeight="1">
      <x:c r="A3390" s="2" t="str">
        <x:v>L003386</x:v>
      </x:c>
      <x:c r="B3390" s="2" t="str">
        <x:v>O01380</x:v>
      </x:c>
      <x:c r="C3390" s="7" t="n">
        <x:v>45668</x:v>
      </x:c>
      <x:c r="D3390" s="2" t="str">
        <x:v>Completed</x:v>
      </x:c>
      <x:c r="E3390" s="2" t="str">
        <x:v>East</x:v>
      </x:c>
      <x:c r="F3390" s="2" t="str">
        <x:v>Online</x:v>
      </x:c>
      <x:c r="G3390" s="2" t="str">
        <x:v>Furniture</x:v>
      </x:c>
      <x:c r="H3390" s="2" t="str">
        <x:v>Chair 014</x:v>
      </x:c>
      <x:c r="I3390" s="11" t="n">
        <x:v>1</x:v>
      </x:c>
      <x:c r="J3390" s="9" t="n">
        <x:v>294</x:v>
      </x:c>
      <x:c r="K3390" s="10" t="n">
        <x:v>0.1</x:v>
      </x:c>
      <x:c r="L3390" s="11" t="n">
        <x:v>0</x:v>
      </x:c>
      <x:c r="M3390" s="9" t="n">
        <x:f>IF(D3390="Completed",I3390*J3390,0)</x:f>
        <x:v>294</x:v>
      </x:c>
      <x:c r="N3390" s="9" t="n">
        <x:f>M3390*K3390</x:f>
        <x:v>29.400000000000002</x:v>
      </x:c>
      <x:c r="O3390" s="9" t="n">
        <x:f>M3390-N3390</x:f>
        <x:v>264.6</x:v>
      </x:c>
      <x:c r="P3390" s="9" t="n">
        <x:f>IF(D3390="Completed",L3390*J3390*(1-K3390),0)</x:f>
        <x:v>0</x:v>
      </x:c>
      <x:c r="Q3390" s="9" t="n">
        <x:f>O3390-P3390</x:f>
        <x:v>264.6</x:v>
      </x:c>
      <x:c r="R3390" s="11" t="n">
        <x:f>IF(D3390="Completed",I3390,0)</x:f>
        <x:v>1</x:v>
      </x:c>
      <x:c r="S3390" s="11" t="n">
        <x:f>IF(D3390="Completed",L3390,0)</x:f>
        <x:v>0</x:v>
      </x:c>
      <x:c r="T3390" s="8" t="n">
        <x:f>DATE(YEAR(C3390),MONTH(C3390),1)</x:f>
        <x:v>45658</x:v>
      </x:c>
    </x:row>
    <x:row r="3391" ht="22" customHeight="1">
      <x:c r="A3391" s="2" t="str">
        <x:v>L003387</x:v>
      </x:c>
      <x:c r="B3391" s="2" t="str">
        <x:v>O01380</x:v>
      </x:c>
      <x:c r="C3391" s="7" t="n">
        <x:v>45668</x:v>
      </x:c>
      <x:c r="D3391" s="2" t="str">
        <x:v>Completed</x:v>
      </x:c>
      <x:c r="E3391" s="2" t="str">
        <x:v>East</x:v>
      </x:c>
      <x:c r="F3391" s="2" t="str">
        <x:v>Online</x:v>
      </x:c>
      <x:c r="G3391" s="2" t="str">
        <x:v>Furniture</x:v>
      </x:c>
      <x:c r="H3391" s="2" t="str">
        <x:v>Desk 016</x:v>
      </x:c>
      <x:c r="I3391" s="11" t="n">
        <x:v>1</x:v>
      </x:c>
      <x:c r="J3391" s="9" t="n">
        <x:v>231</x:v>
      </x:c>
      <x:c r="K3391" s="10" t="n">
        <x:v>0</x:v>
      </x:c>
      <x:c r="L3391" s="11" t="n">
        <x:v>0</x:v>
      </x:c>
      <x:c r="M3391" s="9" t="n">
        <x:f>IF(D3391="Completed",I3391*J3391,0)</x:f>
        <x:v>231</x:v>
      </x:c>
      <x:c r="N3391" s="9" t="n">
        <x:f>M3391*K3391</x:f>
        <x:v>0</x:v>
      </x:c>
      <x:c r="O3391" s="9" t="n">
        <x:f>M3391-N3391</x:f>
        <x:v>231</x:v>
      </x:c>
      <x:c r="P3391" s="9" t="n">
        <x:f>IF(D3391="Completed",L3391*J3391*(1-K3391),0)</x:f>
        <x:v>0</x:v>
      </x:c>
      <x:c r="Q3391" s="9" t="n">
        <x:f>O3391-P3391</x:f>
        <x:v>231</x:v>
      </x:c>
      <x:c r="R3391" s="11" t="n">
        <x:f>IF(D3391="Completed",I3391,0)</x:f>
        <x:v>1</x:v>
      </x:c>
      <x:c r="S3391" s="11" t="n">
        <x:f>IF(D3391="Completed",L3391,0)</x:f>
        <x:v>0</x:v>
      </x:c>
      <x:c r="T3391" s="8" t="n">
        <x:f>DATE(YEAR(C3391),MONTH(C3391),1)</x:f>
        <x:v>45658</x:v>
      </x:c>
    </x:row>
    <x:row r="3392" ht="22" customHeight="1">
      <x:c r="A3392" s="2" t="str">
        <x:v>L003388</x:v>
      </x:c>
      <x:c r="B3392" s="2" t="str">
        <x:v>O01381</x:v>
      </x:c>
      <x:c r="C3392" s="7" t="n">
        <x:v>45816</x:v>
      </x:c>
      <x:c r="D3392" s="2" t="str">
        <x:v>Completed</x:v>
      </x:c>
      <x:c r="E3392" s="2" t="str">
        <x:v>East</x:v>
      </x:c>
      <x:c r="F3392" s="2" t="str">
        <x:v>Store</x:v>
      </x:c>
      <x:c r="G3392" s="2" t="str">
        <x:v>Storage</x:v>
      </x:c>
      <x:c r="H3392" s="2" t="str">
        <x:v>Shelf 007</x:v>
      </x:c>
      <x:c r="I3392" s="11" t="n">
        <x:v>3</x:v>
      </x:c>
      <x:c r="J3392" s="9" t="n">
        <x:v>35</x:v>
      </x:c>
      <x:c r="K3392" s="10" t="n">
        <x:v>0.1</x:v>
      </x:c>
      <x:c r="L3392" s="11" t="n">
        <x:v>0</x:v>
      </x:c>
      <x:c r="M3392" s="9" t="n">
        <x:f>IF(D3392="Completed",I3392*J3392,0)</x:f>
        <x:v>105</x:v>
      </x:c>
      <x:c r="N3392" s="9" t="n">
        <x:f>M3392*K3392</x:f>
        <x:v>10.5</x:v>
      </x:c>
      <x:c r="O3392" s="9" t="n">
        <x:f>M3392-N3392</x:f>
        <x:v>94.5</x:v>
      </x:c>
      <x:c r="P3392" s="9" t="n">
        <x:f>IF(D3392="Completed",L3392*J3392*(1-K3392),0)</x:f>
        <x:v>0</x:v>
      </x:c>
      <x:c r="Q3392" s="9" t="n">
        <x:f>O3392-P3392</x:f>
        <x:v>94.5</x:v>
      </x:c>
      <x:c r="R3392" s="11" t="n">
        <x:f>IF(D3392="Completed",I3392,0)</x:f>
        <x:v>3</x:v>
      </x:c>
      <x:c r="S3392" s="11" t="n">
        <x:f>IF(D3392="Completed",L3392,0)</x:f>
        <x:v>0</x:v>
      </x:c>
      <x:c r="T3392" s="8" t="n">
        <x:f>DATE(YEAR(C3392),MONTH(C3392),1)</x:f>
        <x:v>45809</x:v>
      </x:c>
    </x:row>
    <x:row r="3393" ht="22" customHeight="1">
      <x:c r="A3393" s="2" t="str">
        <x:v>L003389</x:v>
      </x:c>
      <x:c r="B3393" s="2" t="str">
        <x:v>O01382</x:v>
      </x:c>
      <x:c r="C3393" s="7" t="n">
        <x:v>45772</x:v>
      </x:c>
      <x:c r="D3393" s="2" t="str">
        <x:v>Completed</x:v>
      </x:c>
      <x:c r="E3393" s="2" t="str">
        <x:v>South</x:v>
      </x:c>
      <x:c r="F3393" s="2" t="str">
        <x:v>Store</x:v>
      </x:c>
      <x:c r="G3393" s="2" t="str">
        <x:v>Lighting</x:v>
      </x:c>
      <x:c r="H3393" s="2" t="str">
        <x:v>Lamp 005</x:v>
      </x:c>
      <x:c r="I3393" s="11" t="n">
        <x:v>2</x:v>
      </x:c>
      <x:c r="J3393" s="9" t="n">
        <x:v>65</x:v>
      </x:c>
      <x:c r="K3393" s="10" t="n">
        <x:v>0.2</x:v>
      </x:c>
      <x:c r="L3393" s="11" t="n">
        <x:v>0</x:v>
      </x:c>
      <x:c r="M3393" s="9" t="n">
        <x:f>IF(D3393="Completed",I3393*J3393,0)</x:f>
        <x:v>130</x:v>
      </x:c>
      <x:c r="N3393" s="9" t="n">
        <x:f>M3393*K3393</x:f>
        <x:v>26</x:v>
      </x:c>
      <x:c r="O3393" s="9" t="n">
        <x:f>M3393-N3393</x:f>
        <x:v>104</x:v>
      </x:c>
      <x:c r="P3393" s="9" t="n">
        <x:f>IF(D3393="Completed",L3393*J3393*(1-K3393),0)</x:f>
        <x:v>0</x:v>
      </x:c>
      <x:c r="Q3393" s="9" t="n">
        <x:f>O3393-P3393</x:f>
        <x:v>104</x:v>
      </x:c>
      <x:c r="R3393" s="11" t="n">
        <x:f>IF(D3393="Completed",I3393,0)</x:f>
        <x:v>2</x:v>
      </x:c>
      <x:c r="S3393" s="11" t="n">
        <x:f>IF(D3393="Completed",L3393,0)</x:f>
        <x:v>0</x:v>
      </x:c>
      <x:c r="T3393" s="8" t="n">
        <x:f>DATE(YEAR(C3393),MONTH(C3393),1)</x:f>
        <x:v>45748</x:v>
      </x:c>
    </x:row>
    <x:row r="3394" ht="22" customHeight="1">
      <x:c r="A3394" s="2" t="str">
        <x:v>L003390</x:v>
      </x:c>
      <x:c r="B3394" s="2" t="str">
        <x:v>O01382</x:v>
      </x:c>
      <x:c r="C3394" s="7" t="n">
        <x:v>45772</x:v>
      </x:c>
      <x:c r="D3394" s="2" t="str">
        <x:v>Completed</x:v>
      </x:c>
      <x:c r="E3394" s="2" t="str">
        <x:v>South</x:v>
      </x:c>
      <x:c r="F3394" s="2" t="str">
        <x:v>Store</x:v>
      </x:c>
      <x:c r="G3394" s="2" t="str">
        <x:v>Storage</x:v>
      </x:c>
      <x:c r="H3394" s="2" t="str">
        <x:v>Shelf 003</x:v>
      </x:c>
      <x:c r="I3394" s="11" t="n">
        <x:v>5</x:v>
      </x:c>
      <x:c r="J3394" s="9" t="n">
        <x:v>199</x:v>
      </x:c>
      <x:c r="K3394" s="10" t="n">
        <x:v>0</x:v>
      </x:c>
      <x:c r="L3394" s="11" t="n">
        <x:v>0</x:v>
      </x:c>
      <x:c r="M3394" s="9" t="n">
        <x:f>IF(D3394="Completed",I3394*J3394,0)</x:f>
        <x:v>995</x:v>
      </x:c>
      <x:c r="N3394" s="9" t="n">
        <x:f>M3394*K3394</x:f>
        <x:v>0</x:v>
      </x:c>
      <x:c r="O3394" s="9" t="n">
        <x:f>M3394-N3394</x:f>
        <x:v>995</x:v>
      </x:c>
      <x:c r="P3394" s="9" t="n">
        <x:f>IF(D3394="Completed",L3394*J3394*(1-K3394),0)</x:f>
        <x:v>0</x:v>
      </x:c>
      <x:c r="Q3394" s="9" t="n">
        <x:f>O3394-P3394</x:f>
        <x:v>995</x:v>
      </x:c>
      <x:c r="R3394" s="11" t="n">
        <x:f>IF(D3394="Completed",I3394,0)</x:f>
        <x:v>5</x:v>
      </x:c>
      <x:c r="S3394" s="11" t="n">
        <x:f>IF(D3394="Completed",L3394,0)</x:f>
        <x:v>0</x:v>
      </x:c>
      <x:c r="T3394" s="8" t="n">
        <x:f>DATE(YEAR(C3394),MONTH(C3394),1)</x:f>
        <x:v>45748</x:v>
      </x:c>
    </x:row>
    <x:row r="3395" ht="22" customHeight="1">
      <x:c r="A3395" s="2" t="str">
        <x:v>L003391</x:v>
      </x:c>
      <x:c r="B3395" s="2" t="str">
        <x:v>O01382</x:v>
      </x:c>
      <x:c r="C3395" s="7" t="n">
        <x:v>45772</x:v>
      </x:c>
      <x:c r="D3395" s="2" t="str">
        <x:v>Completed</x:v>
      </x:c>
      <x:c r="E3395" s="2" t="str">
        <x:v>South</x:v>
      </x:c>
      <x:c r="F3395" s="2" t="str">
        <x:v>Store</x:v>
      </x:c>
      <x:c r="G3395" s="2" t="str">
        <x:v>Lighting</x:v>
      </x:c>
      <x:c r="H3395" s="2" t="str">
        <x:v>Lamp 005</x:v>
      </x:c>
      <x:c r="I3395" s="11" t="n">
        <x:v>5</x:v>
      </x:c>
      <x:c r="J3395" s="9" t="n">
        <x:v>65</x:v>
      </x:c>
      <x:c r="K3395" s="10" t="n">
        <x:v>0</x:v>
      </x:c>
      <x:c r="L3395" s="11" t="n">
        <x:v>0</x:v>
      </x:c>
      <x:c r="M3395" s="9" t="n">
        <x:f>IF(D3395="Completed",I3395*J3395,0)</x:f>
        <x:v>325</x:v>
      </x:c>
      <x:c r="N3395" s="9" t="n">
        <x:f>M3395*K3395</x:f>
        <x:v>0</x:v>
      </x:c>
      <x:c r="O3395" s="9" t="n">
        <x:f>M3395-N3395</x:f>
        <x:v>325</x:v>
      </x:c>
      <x:c r="P3395" s="9" t="n">
        <x:f>IF(D3395="Completed",L3395*J3395*(1-K3395),0)</x:f>
        <x:v>0</x:v>
      </x:c>
      <x:c r="Q3395" s="9" t="n">
        <x:f>O3395-P3395</x:f>
        <x:v>325</x:v>
      </x:c>
      <x:c r="R3395" s="11" t="n">
        <x:f>IF(D3395="Completed",I3395,0)</x:f>
        <x:v>5</x:v>
      </x:c>
      <x:c r="S3395" s="11" t="n">
        <x:f>IF(D3395="Completed",L3395,0)</x:f>
        <x:v>0</x:v>
      </x:c>
      <x:c r="T3395" s="8" t="n">
        <x:f>DATE(YEAR(C3395),MONTH(C3395),1)</x:f>
        <x:v>45748</x:v>
      </x:c>
    </x:row>
    <x:row r="3396" ht="22" customHeight="1">
      <x:c r="A3396" s="2" t="str">
        <x:v>L003392</x:v>
      </x:c>
      <x:c r="B3396" s="2" t="str">
        <x:v>O01382</x:v>
      </x:c>
      <x:c r="C3396" s="7" t="n">
        <x:v>45772</x:v>
      </x:c>
      <x:c r="D3396" s="2" t="str">
        <x:v>Completed</x:v>
      </x:c>
      <x:c r="E3396" s="2" t="str">
        <x:v>South</x:v>
      </x:c>
      <x:c r="F3396" s="2" t="str">
        <x:v>Store</x:v>
      </x:c>
      <x:c r="G3396" s="2" t="str">
        <x:v>Furniture</x:v>
      </x:c>
      <x:c r="H3396" s="2" t="str">
        <x:v>Desk 016</x:v>
      </x:c>
      <x:c r="I3396" s="11" t="n">
        <x:v>2</x:v>
      </x:c>
      <x:c r="J3396" s="9" t="n">
        <x:v>231</x:v>
      </x:c>
      <x:c r="K3396" s="10" t="n">
        <x:v>0.1</x:v>
      </x:c>
      <x:c r="L3396" s="11" t="n">
        <x:v>0</x:v>
      </x:c>
      <x:c r="M3396" s="9" t="n">
        <x:f>IF(D3396="Completed",I3396*J3396,0)</x:f>
        <x:v>462</x:v>
      </x:c>
      <x:c r="N3396" s="9" t="n">
        <x:f>M3396*K3396</x:f>
        <x:v>46.2</x:v>
      </x:c>
      <x:c r="O3396" s="9" t="n">
        <x:f>M3396-N3396</x:f>
        <x:v>415.8</x:v>
      </x:c>
      <x:c r="P3396" s="9" t="n">
        <x:f>IF(D3396="Completed",L3396*J3396*(1-K3396),0)</x:f>
        <x:v>0</x:v>
      </x:c>
      <x:c r="Q3396" s="9" t="n">
        <x:f>O3396-P3396</x:f>
        <x:v>415.8</x:v>
      </x:c>
      <x:c r="R3396" s="11" t="n">
        <x:f>IF(D3396="Completed",I3396,0)</x:f>
        <x:v>2</x:v>
      </x:c>
      <x:c r="S3396" s="11" t="n">
        <x:f>IF(D3396="Completed",L3396,0)</x:f>
        <x:v>0</x:v>
      </x:c>
      <x:c r="T3396" s="8" t="n">
        <x:f>DATE(YEAR(C3396),MONTH(C3396),1)</x:f>
        <x:v>45748</x:v>
      </x:c>
    </x:row>
    <x:row r="3397" ht="22" customHeight="1">
      <x:c r="A3397" s="2" t="str">
        <x:v>L003393</x:v>
      </x:c>
      <x:c r="B3397" s="2" t="str">
        <x:v>O01383</x:v>
      </x:c>
      <x:c r="C3397" s="7" t="n">
        <x:v>45859</x:v>
      </x:c>
      <x:c r="D3397" s="2" t="str">
        <x:v>Completed</x:v>
      </x:c>
      <x:c r="E3397" s="2" t="str">
        <x:v>South</x:v>
      </x:c>
      <x:c r="F3397" s="2" t="str">
        <x:v>Store</x:v>
      </x:c>
      <x:c r="G3397" s="2" t="str">
        <x:v>Lighting</x:v>
      </x:c>
      <x:c r="H3397" s="2" t="str">
        <x:v>Lamp 009</x:v>
      </x:c>
      <x:c r="I3397" s="11" t="n">
        <x:v>1</x:v>
      </x:c>
      <x:c r="J3397" s="9" t="n">
        <x:v>93</x:v>
      </x:c>
      <x:c r="K3397" s="10" t="n">
        <x:v>0</x:v>
      </x:c>
      <x:c r="L3397" s="11" t="n">
        <x:v>1</x:v>
      </x:c>
      <x:c r="M3397" s="9" t="n">
        <x:f>IF(D3397="Completed",I3397*J3397,0)</x:f>
        <x:v>93</x:v>
      </x:c>
      <x:c r="N3397" s="9" t="n">
        <x:f>M3397*K3397</x:f>
        <x:v>0</x:v>
      </x:c>
      <x:c r="O3397" s="9" t="n">
        <x:f>M3397-N3397</x:f>
        <x:v>93</x:v>
      </x:c>
      <x:c r="P3397" s="9" t="n">
        <x:f>IF(D3397="Completed",L3397*J3397*(1-K3397),0)</x:f>
        <x:v>93</x:v>
      </x:c>
      <x:c r="Q3397" s="9" t="n">
        <x:f>O3397-P3397</x:f>
        <x:v>0</x:v>
      </x:c>
      <x:c r="R3397" s="11" t="n">
        <x:f>IF(D3397="Completed",I3397,0)</x:f>
        <x:v>1</x:v>
      </x:c>
      <x:c r="S3397" s="11" t="n">
        <x:f>IF(D3397="Completed",L3397,0)</x:f>
        <x:v>1</x:v>
      </x:c>
      <x:c r="T3397" s="8" t="n">
        <x:f>DATE(YEAR(C3397),MONTH(C3397),1)</x:f>
        <x:v>45839</x:v>
      </x:c>
    </x:row>
    <x:row r="3398" ht="22" customHeight="1">
      <x:c r="A3398" s="2" t="str">
        <x:v>L003394</x:v>
      </x:c>
      <x:c r="B3398" s="2" t="str">
        <x:v>O01383</x:v>
      </x:c>
      <x:c r="C3398" s="7" t="n">
        <x:v>45859</x:v>
      </x:c>
      <x:c r="D3398" s="2" t="str">
        <x:v>Completed</x:v>
      </x:c>
      <x:c r="E3398" s="2" t="str">
        <x:v>South</x:v>
      </x:c>
      <x:c r="F3398" s="2" t="str">
        <x:v>Store</x:v>
      </x:c>
      <x:c r="G3398" s="2" t="str">
        <x:v>Furniture</x:v>
      </x:c>
      <x:c r="H3398" s="2" t="str">
        <x:v>Desk 016</x:v>
      </x:c>
      <x:c r="I3398" s="11" t="n">
        <x:v>1</x:v>
      </x:c>
      <x:c r="J3398" s="9" t="n">
        <x:v>231</x:v>
      </x:c>
      <x:c r="K3398" s="10" t="n">
        <x:v>0.2</x:v>
      </x:c>
      <x:c r="L3398" s="11" t="n">
        <x:v>0</x:v>
      </x:c>
      <x:c r="M3398" s="9" t="n">
        <x:f>IF(D3398="Completed",I3398*J3398,0)</x:f>
        <x:v>231</x:v>
      </x:c>
      <x:c r="N3398" s="9" t="n">
        <x:f>M3398*K3398</x:f>
        <x:v>46.2</x:v>
      </x:c>
      <x:c r="O3398" s="9" t="n">
        <x:f>M3398-N3398</x:f>
        <x:v>184.8</x:v>
      </x:c>
      <x:c r="P3398" s="9" t="n">
        <x:f>IF(D3398="Completed",L3398*J3398*(1-K3398),0)</x:f>
        <x:v>0</x:v>
      </x:c>
      <x:c r="Q3398" s="9" t="n">
        <x:f>O3398-P3398</x:f>
        <x:v>184.8</x:v>
      </x:c>
      <x:c r="R3398" s="11" t="n">
        <x:f>IF(D3398="Completed",I3398,0)</x:f>
        <x:v>1</x:v>
      </x:c>
      <x:c r="S3398" s="11" t="n">
        <x:f>IF(D3398="Completed",L3398,0)</x:f>
        <x:v>0</x:v>
      </x:c>
      <x:c r="T3398" s="8" t="n">
        <x:f>DATE(YEAR(C3398),MONTH(C3398),1)</x:f>
        <x:v>45839</x:v>
      </x:c>
    </x:row>
    <x:row r="3399" ht="22" customHeight="1">
      <x:c r="A3399" s="2" t="str">
        <x:v>L003395</x:v>
      </x:c>
      <x:c r="B3399" s="2" t="str">
        <x:v>O01383</x:v>
      </x:c>
      <x:c r="C3399" s="7" t="n">
        <x:v>45859</x:v>
      </x:c>
      <x:c r="D3399" s="2" t="str">
        <x:v>Completed</x:v>
      </x:c>
      <x:c r="E3399" s="2" t="str">
        <x:v>South</x:v>
      </x:c>
      <x:c r="F3399" s="2" t="str">
        <x:v>Store</x:v>
      </x:c>
      <x:c r="G3399" s="2" t="str">
        <x:v>Storage</x:v>
      </x:c>
      <x:c r="H3399" s="2" t="str">
        <x:v>Shelf 015</x:v>
      </x:c>
      <x:c r="I3399" s="11" t="n">
        <x:v>3</x:v>
      </x:c>
      <x:c r="J3399" s="9" t="n">
        <x:v>254</x:v>
      </x:c>
      <x:c r="K3399" s="10" t="n">
        <x:v>0.1</x:v>
      </x:c>
      <x:c r="L3399" s="11" t="n">
        <x:v>0</x:v>
      </x:c>
      <x:c r="M3399" s="9" t="n">
        <x:f>IF(D3399="Completed",I3399*J3399,0)</x:f>
        <x:v>762</x:v>
      </x:c>
      <x:c r="N3399" s="9" t="n">
        <x:f>M3399*K3399</x:f>
        <x:v>76.2</x:v>
      </x:c>
      <x:c r="O3399" s="9" t="n">
        <x:f>M3399-N3399</x:f>
        <x:v>685.8</x:v>
      </x:c>
      <x:c r="P3399" s="9" t="n">
        <x:f>IF(D3399="Completed",L3399*J3399*(1-K3399),0)</x:f>
        <x:v>0</x:v>
      </x:c>
      <x:c r="Q3399" s="9" t="n">
        <x:f>O3399-P3399</x:f>
        <x:v>685.8</x:v>
      </x:c>
      <x:c r="R3399" s="11" t="n">
        <x:f>IF(D3399="Completed",I3399,0)</x:f>
        <x:v>3</x:v>
      </x:c>
      <x:c r="S3399" s="11" t="n">
        <x:f>IF(D3399="Completed",L3399,0)</x:f>
        <x:v>0</x:v>
      </x:c>
      <x:c r="T3399" s="8" t="n">
        <x:f>DATE(YEAR(C3399),MONTH(C3399),1)</x:f>
        <x:v>45839</x:v>
      </x:c>
    </x:row>
    <x:row r="3400" ht="22" customHeight="1">
      <x:c r="A3400" s="2" t="str">
        <x:v>L003396</x:v>
      </x:c>
      <x:c r="B3400" s="2" t="str">
        <x:v>O01384</x:v>
      </x:c>
      <x:c r="C3400" s="7" t="n">
        <x:v>45709</x:v>
      </x:c>
      <x:c r="D3400" s="2" t="str">
        <x:v>Completed</x:v>
      </x:c>
      <x:c r="E3400" s="2" t="str">
        <x:v>South</x:v>
      </x:c>
      <x:c r="F3400" s="2" t="str">
        <x:v>Online</x:v>
      </x:c>
      <x:c r="G3400" s="2" t="str">
        <x:v>Furniture</x:v>
      </x:c>
      <x:c r="H3400" s="2" t="str">
        <x:v>Desk 020</x:v>
      </x:c>
      <x:c r="I3400" s="11" t="n">
        <x:v>5</x:v>
      </x:c>
      <x:c r="J3400" s="9" t="n">
        <x:v>189</x:v>
      </x:c>
      <x:c r="K3400" s="10" t="n">
        <x:v>0.2</x:v>
      </x:c>
      <x:c r="L3400" s="11" t="n">
        <x:v>0</x:v>
      </x:c>
      <x:c r="M3400" s="9" t="n">
        <x:f>IF(D3400="Completed",I3400*J3400,0)</x:f>
        <x:v>945</x:v>
      </x:c>
      <x:c r="N3400" s="9" t="n">
        <x:f>M3400*K3400</x:f>
        <x:v>189</x:v>
      </x:c>
      <x:c r="O3400" s="9" t="n">
        <x:f>M3400-N3400</x:f>
        <x:v>756</x:v>
      </x:c>
      <x:c r="P3400" s="9" t="n">
        <x:f>IF(D3400="Completed",L3400*J3400*(1-K3400),0)</x:f>
        <x:v>0</x:v>
      </x:c>
      <x:c r="Q3400" s="9" t="n">
        <x:f>O3400-P3400</x:f>
        <x:v>756</x:v>
      </x:c>
      <x:c r="R3400" s="11" t="n">
        <x:f>IF(D3400="Completed",I3400,0)</x:f>
        <x:v>5</x:v>
      </x:c>
      <x:c r="S3400" s="11" t="n">
        <x:f>IF(D3400="Completed",L3400,0)</x:f>
        <x:v>0</x:v>
      </x:c>
      <x:c r="T3400" s="8" t="n">
        <x:f>DATE(YEAR(C3400),MONTH(C3400),1)</x:f>
        <x:v>45689</x:v>
      </x:c>
    </x:row>
    <x:row r="3401" ht="22" customHeight="1">
      <x:c r="A3401" s="2" t="str">
        <x:v>L003397</x:v>
      </x:c>
      <x:c r="B3401" s="2" t="str">
        <x:v>O01384</x:v>
      </x:c>
      <x:c r="C3401" s="7" t="n">
        <x:v>45709</x:v>
      </x:c>
      <x:c r="D3401" s="2" t="str">
        <x:v>Completed</x:v>
      </x:c>
      <x:c r="E3401" s="2" t="str">
        <x:v>South</x:v>
      </x:c>
      <x:c r="F3401" s="2" t="str">
        <x:v>Online</x:v>
      </x:c>
      <x:c r="G3401" s="2" t="str">
        <x:v>Furniture</x:v>
      </x:c>
      <x:c r="H3401" s="2" t="str">
        <x:v>Desk 020</x:v>
      </x:c>
      <x:c r="I3401" s="11" t="n">
        <x:v>1</x:v>
      </x:c>
      <x:c r="J3401" s="9" t="n">
        <x:v>189</x:v>
      </x:c>
      <x:c r="K3401" s="10" t="n">
        <x:v>0.2</x:v>
      </x:c>
      <x:c r="L3401" s="11" t="n">
        <x:v>0</x:v>
      </x:c>
      <x:c r="M3401" s="9" t="n">
        <x:f>IF(D3401="Completed",I3401*J3401,0)</x:f>
        <x:v>189</x:v>
      </x:c>
      <x:c r="N3401" s="9" t="n">
        <x:f>M3401*K3401</x:f>
        <x:v>37.800000000000004</x:v>
      </x:c>
      <x:c r="O3401" s="9" t="n">
        <x:f>M3401-N3401</x:f>
        <x:v>151.2</x:v>
      </x:c>
      <x:c r="P3401" s="9" t="n">
        <x:f>IF(D3401="Completed",L3401*J3401*(1-K3401),0)</x:f>
        <x:v>0</x:v>
      </x:c>
      <x:c r="Q3401" s="9" t="n">
        <x:f>O3401-P3401</x:f>
        <x:v>151.2</x:v>
      </x:c>
      <x:c r="R3401" s="11" t="n">
        <x:f>IF(D3401="Completed",I3401,0)</x:f>
        <x:v>1</x:v>
      </x:c>
      <x:c r="S3401" s="11" t="n">
        <x:f>IF(D3401="Completed",L3401,0)</x:f>
        <x:v>0</x:v>
      </x:c>
      <x:c r="T3401" s="8" t="n">
        <x:f>DATE(YEAR(C3401),MONTH(C3401),1)</x:f>
        <x:v>45689</x:v>
      </x:c>
    </x:row>
    <x:row r="3402" ht="22" customHeight="1">
      <x:c r="A3402" s="2" t="str">
        <x:v>L003398</x:v>
      </x:c>
      <x:c r="B3402" s="2" t="str">
        <x:v>O01384</x:v>
      </x:c>
      <x:c r="C3402" s="7" t="n">
        <x:v>45709</x:v>
      </x:c>
      <x:c r="D3402" s="2" t="str">
        <x:v>Completed</x:v>
      </x:c>
      <x:c r="E3402" s="2" t="str">
        <x:v>South</x:v>
      </x:c>
      <x:c r="F3402" s="2" t="str">
        <x:v>Online</x:v>
      </x:c>
      <x:c r="G3402" s="2" t="str">
        <x:v>Furniture</x:v>
      </x:c>
      <x:c r="H3402" s="2" t="str">
        <x:v>Chair 022</x:v>
      </x:c>
      <x:c r="I3402" s="11" t="n">
        <x:v>5</x:v>
      </x:c>
      <x:c r="J3402" s="9" t="n">
        <x:v>134</x:v>
      </x:c>
      <x:c r="K3402" s="10" t="n">
        <x:v>0.05</x:v>
      </x:c>
      <x:c r="L3402" s="11" t="n">
        <x:v>0</x:v>
      </x:c>
      <x:c r="M3402" s="9" t="n">
        <x:f>IF(D3402="Completed",I3402*J3402,0)</x:f>
        <x:v>670</x:v>
      </x:c>
      <x:c r="N3402" s="9" t="n">
        <x:f>M3402*K3402</x:f>
        <x:v>33.5</x:v>
      </x:c>
      <x:c r="O3402" s="9" t="n">
        <x:f>M3402-N3402</x:f>
        <x:v>636.5</x:v>
      </x:c>
      <x:c r="P3402" s="9" t="n">
        <x:f>IF(D3402="Completed",L3402*J3402*(1-K3402),0)</x:f>
        <x:v>0</x:v>
      </x:c>
      <x:c r="Q3402" s="9" t="n">
        <x:f>O3402-P3402</x:f>
        <x:v>636.5</x:v>
      </x:c>
      <x:c r="R3402" s="11" t="n">
        <x:f>IF(D3402="Completed",I3402,0)</x:f>
        <x:v>5</x:v>
      </x:c>
      <x:c r="S3402" s="11" t="n">
        <x:f>IF(D3402="Completed",L3402,0)</x:f>
        <x:v>0</x:v>
      </x:c>
      <x:c r="T3402" s="8" t="n">
        <x:f>DATE(YEAR(C3402),MONTH(C3402),1)</x:f>
        <x:v>45689</x:v>
      </x:c>
    </x:row>
    <x:row r="3403" ht="22" customHeight="1">
      <x:c r="A3403" s="2" t="str">
        <x:v>L003399</x:v>
      </x:c>
      <x:c r="B3403" s="2" t="str">
        <x:v>O01384</x:v>
      </x:c>
      <x:c r="C3403" s="7" t="n">
        <x:v>45709</x:v>
      </x:c>
      <x:c r="D3403" s="2" t="str">
        <x:v>Completed</x:v>
      </x:c>
      <x:c r="E3403" s="2" t="str">
        <x:v>South</x:v>
      </x:c>
      <x:c r="F3403" s="2" t="str">
        <x:v>Online</x:v>
      </x:c>
      <x:c r="G3403" s="2" t="str">
        <x:v>Furniture</x:v>
      </x:c>
      <x:c r="H3403" s="2" t="str">
        <x:v>Chair 022</x:v>
      </x:c>
      <x:c r="I3403" s="11" t="n">
        <x:v>3</x:v>
      </x:c>
      <x:c r="J3403" s="9" t="n">
        <x:v>134</x:v>
      </x:c>
      <x:c r="K3403" s="10" t="n">
        <x:v>0.05</x:v>
      </x:c>
      <x:c r="L3403" s="11" t="n">
        <x:v>0</x:v>
      </x:c>
      <x:c r="M3403" s="9" t="n">
        <x:f>IF(D3403="Completed",I3403*J3403,0)</x:f>
        <x:v>402</x:v>
      </x:c>
      <x:c r="N3403" s="9" t="n">
        <x:f>M3403*K3403</x:f>
        <x:v>20.1</x:v>
      </x:c>
      <x:c r="O3403" s="9" t="n">
        <x:f>M3403-N3403</x:f>
        <x:v>381.9</x:v>
      </x:c>
      <x:c r="P3403" s="9" t="n">
        <x:f>IF(D3403="Completed",L3403*J3403*(1-K3403),0)</x:f>
        <x:v>0</x:v>
      </x:c>
      <x:c r="Q3403" s="9" t="n">
        <x:f>O3403-P3403</x:f>
        <x:v>381.9</x:v>
      </x:c>
      <x:c r="R3403" s="11" t="n">
        <x:f>IF(D3403="Completed",I3403,0)</x:f>
        <x:v>3</x:v>
      </x:c>
      <x:c r="S3403" s="11" t="n">
        <x:f>IF(D3403="Completed",L3403,0)</x:f>
        <x:v>0</x:v>
      </x:c>
      <x:c r="T3403" s="8" t="n">
        <x:f>DATE(YEAR(C3403),MONTH(C3403),1)</x:f>
        <x:v>45689</x:v>
      </x:c>
    </x:row>
    <x:row r="3404" ht="22" customHeight="1">
      <x:c r="A3404" s="2" t="str">
        <x:v>L003400</x:v>
      </x:c>
      <x:c r="B3404" s="2" t="str">
        <x:v>O01385</x:v>
      </x:c>
      <x:c r="C3404" s="7" t="n">
        <x:v>45759</x:v>
      </x:c>
      <x:c r="D3404" s="2" t="str">
        <x:v>Completed</x:v>
      </x:c>
      <x:c r="E3404" s="2" t="str">
        <x:v>South</x:v>
      </x:c>
      <x:c r="F3404" s="2" t="str">
        <x:v>Store</x:v>
      </x:c>
      <x:c r="G3404" s="2" t="str">
        <x:v>Lighting</x:v>
      </x:c>
      <x:c r="H3404" s="2" t="str">
        <x:v>Lamp 009</x:v>
      </x:c>
      <x:c r="I3404" s="11" t="n">
        <x:v>2</x:v>
      </x:c>
      <x:c r="J3404" s="9" t="n">
        <x:v>93</x:v>
      </x:c>
      <x:c r="K3404" s="10" t="n">
        <x:v>0.05</x:v>
      </x:c>
      <x:c r="L3404" s="11" t="n">
        <x:v>0</x:v>
      </x:c>
      <x:c r="M3404" s="9" t="n">
        <x:f>IF(D3404="Completed",I3404*J3404,0)</x:f>
        <x:v>186</x:v>
      </x:c>
      <x:c r="N3404" s="9" t="n">
        <x:f>M3404*K3404</x:f>
        <x:v>9.3</x:v>
      </x:c>
      <x:c r="O3404" s="9" t="n">
        <x:f>M3404-N3404</x:f>
        <x:v>176.7</x:v>
      </x:c>
      <x:c r="P3404" s="9" t="n">
        <x:f>IF(D3404="Completed",L3404*J3404*(1-K3404),0)</x:f>
        <x:v>0</x:v>
      </x:c>
      <x:c r="Q3404" s="9" t="n">
        <x:f>O3404-P3404</x:f>
        <x:v>176.7</x:v>
      </x:c>
      <x:c r="R3404" s="11" t="n">
        <x:f>IF(D3404="Completed",I3404,0)</x:f>
        <x:v>2</x:v>
      </x:c>
      <x:c r="S3404" s="11" t="n">
        <x:f>IF(D3404="Completed",L3404,0)</x:f>
        <x:v>0</x:v>
      </x:c>
      <x:c r="T3404" s="8" t="n">
        <x:f>DATE(YEAR(C3404),MONTH(C3404),1)</x:f>
        <x:v>45748</x:v>
      </x:c>
    </x:row>
    <x:row r="3405" ht="22" customHeight="1">
      <x:c r="A3405" s="2" t="str">
        <x:v>L003401</x:v>
      </x:c>
      <x:c r="B3405" s="2" t="str">
        <x:v>O01385</x:v>
      </x:c>
      <x:c r="C3405" s="7" t="n">
        <x:v>45759</x:v>
      </x:c>
      <x:c r="D3405" s="2" t="str">
        <x:v>Completed</x:v>
      </x:c>
      <x:c r="E3405" s="2" t="str">
        <x:v>South</x:v>
      </x:c>
      <x:c r="F3405" s="2" t="str">
        <x:v>Store</x:v>
      </x:c>
      <x:c r="G3405" s="2" t="str">
        <x:v>Lighting</x:v>
      </x:c>
      <x:c r="H3405" s="2" t="str">
        <x:v>Lamp 021</x:v>
      </x:c>
      <x:c r="I3405" s="11" t="n">
        <x:v>1</x:v>
      </x:c>
      <x:c r="J3405" s="9" t="n">
        <x:v>249</x:v>
      </x:c>
      <x:c r="K3405" s="10" t="n">
        <x:v>0</x:v>
      </x:c>
      <x:c r="L3405" s="11" t="n">
        <x:v>0</x:v>
      </x:c>
      <x:c r="M3405" s="9" t="n">
        <x:f>IF(D3405="Completed",I3405*J3405,0)</x:f>
        <x:v>249</x:v>
      </x:c>
      <x:c r="N3405" s="9" t="n">
        <x:f>M3405*K3405</x:f>
        <x:v>0</x:v>
      </x:c>
      <x:c r="O3405" s="9" t="n">
        <x:f>M3405-N3405</x:f>
        <x:v>249</x:v>
      </x:c>
      <x:c r="P3405" s="9" t="n">
        <x:f>IF(D3405="Completed",L3405*J3405*(1-K3405),0)</x:f>
        <x:v>0</x:v>
      </x:c>
      <x:c r="Q3405" s="9" t="n">
        <x:f>O3405-P3405</x:f>
        <x:v>249</x:v>
      </x:c>
      <x:c r="R3405" s="11" t="n">
        <x:f>IF(D3405="Completed",I3405,0)</x:f>
        <x:v>1</x:v>
      </x:c>
      <x:c r="S3405" s="11" t="n">
        <x:f>IF(D3405="Completed",L3405,0)</x:f>
        <x:v>0</x:v>
      </x:c>
      <x:c r="T3405" s="8" t="n">
        <x:f>DATE(YEAR(C3405),MONTH(C3405),1)</x:f>
        <x:v>45748</x:v>
      </x:c>
    </x:row>
    <x:row r="3406" ht="22" customHeight="1">
      <x:c r="A3406" s="2" t="str">
        <x:v>L003402</x:v>
      </x:c>
      <x:c r="B3406" s="2" t="str">
        <x:v>O01385</x:v>
      </x:c>
      <x:c r="C3406" s="7" t="n">
        <x:v>45759</x:v>
      </x:c>
      <x:c r="D3406" s="2" t="str">
        <x:v>Completed</x:v>
      </x:c>
      <x:c r="E3406" s="2" t="str">
        <x:v>South</x:v>
      </x:c>
      <x:c r="F3406" s="2" t="str">
        <x:v>Store</x:v>
      </x:c>
      <x:c r="G3406" s="2" t="str">
        <x:v>Storage</x:v>
      </x:c>
      <x:c r="H3406" s="2" t="str">
        <x:v>Shelf 007</x:v>
      </x:c>
      <x:c r="I3406" s="11" t="n">
        <x:v>3</x:v>
      </x:c>
      <x:c r="J3406" s="9" t="n">
        <x:v>35</x:v>
      </x:c>
      <x:c r="K3406" s="10" t="n">
        <x:v>0.05</x:v>
      </x:c>
      <x:c r="L3406" s="11" t="n">
        <x:v>1</x:v>
      </x:c>
      <x:c r="M3406" s="9" t="n">
        <x:f>IF(D3406="Completed",I3406*J3406,0)</x:f>
        <x:v>105</x:v>
      </x:c>
      <x:c r="N3406" s="9" t="n">
        <x:f>M3406*K3406</x:f>
        <x:v>5.25</x:v>
      </x:c>
      <x:c r="O3406" s="9" t="n">
        <x:f>M3406-N3406</x:f>
        <x:v>99.75</x:v>
      </x:c>
      <x:c r="P3406" s="9" t="n">
        <x:f>IF(D3406="Completed",L3406*J3406*(1-K3406),0)</x:f>
        <x:v>33.25</x:v>
      </x:c>
      <x:c r="Q3406" s="9" t="n">
        <x:f>O3406-P3406</x:f>
        <x:v>66.5</x:v>
      </x:c>
      <x:c r="R3406" s="11" t="n">
        <x:f>IF(D3406="Completed",I3406,0)</x:f>
        <x:v>3</x:v>
      </x:c>
      <x:c r="S3406" s="11" t="n">
        <x:f>IF(D3406="Completed",L3406,0)</x:f>
        <x:v>1</x:v>
      </x:c>
      <x:c r="T3406" s="8" t="n">
        <x:f>DATE(YEAR(C3406),MONTH(C3406),1)</x:f>
        <x:v>45748</x:v>
      </x:c>
    </x:row>
    <x:row r="3407" ht="22" customHeight="1">
      <x:c r="A3407" s="2" t="str">
        <x:v>L003403</x:v>
      </x:c>
      <x:c r="B3407" s="2" t="str">
        <x:v>O01386</x:v>
      </x:c>
      <x:c r="C3407" s="7" t="n">
        <x:v>45971</x:v>
      </x:c>
      <x:c r="D3407" s="2" t="str">
        <x:v>Completed</x:v>
      </x:c>
      <x:c r="E3407" s="2" t="str">
        <x:v>North</x:v>
      </x:c>
      <x:c r="F3407" s="2" t="str">
        <x:v>Store</x:v>
      </x:c>
      <x:c r="G3407" s="2" t="str">
        <x:v>Furniture</x:v>
      </x:c>
      <x:c r="H3407" s="2" t="str">
        <x:v>Desk 024</x:v>
      </x:c>
      <x:c r="I3407" s="11" t="n">
        <x:v>2</x:v>
      </x:c>
      <x:c r="J3407" s="9" t="n">
        <x:v>81</x:v>
      </x:c>
      <x:c r="K3407" s="10" t="n">
        <x:v>0.05</x:v>
      </x:c>
      <x:c r="L3407" s="11" t="n">
        <x:v>1</x:v>
      </x:c>
      <x:c r="M3407" s="9" t="n">
        <x:f>IF(D3407="Completed",I3407*J3407,0)</x:f>
        <x:v>162</x:v>
      </x:c>
      <x:c r="N3407" s="9" t="n">
        <x:f>M3407*K3407</x:f>
        <x:v>8.1</x:v>
      </x:c>
      <x:c r="O3407" s="9" t="n">
        <x:f>M3407-N3407</x:f>
        <x:v>153.9</x:v>
      </x:c>
      <x:c r="P3407" s="9" t="n">
        <x:f>IF(D3407="Completed",L3407*J3407*(1-K3407),0)</x:f>
        <x:v>76.95</x:v>
      </x:c>
      <x:c r="Q3407" s="9" t="n">
        <x:f>O3407-P3407</x:f>
        <x:v>76.95</x:v>
      </x:c>
      <x:c r="R3407" s="11" t="n">
        <x:f>IF(D3407="Completed",I3407,0)</x:f>
        <x:v>2</x:v>
      </x:c>
      <x:c r="S3407" s="11" t="n">
        <x:f>IF(D3407="Completed",L3407,0)</x:f>
        <x:v>1</x:v>
      </x:c>
      <x:c r="T3407" s="8" t="n">
        <x:f>DATE(YEAR(C3407),MONTH(C3407),1)</x:f>
        <x:v>45962</x:v>
      </x:c>
    </x:row>
    <x:row r="3408" ht="22" customHeight="1">
      <x:c r="A3408" s="2" t="str">
        <x:v>L003404</x:v>
      </x:c>
      <x:c r="B3408" s="2" t="str">
        <x:v>O01386</x:v>
      </x:c>
      <x:c r="C3408" s="7" t="n">
        <x:v>45971</x:v>
      </x:c>
      <x:c r="D3408" s="2" t="str">
        <x:v>Completed</x:v>
      </x:c>
      <x:c r="E3408" s="2" t="str">
        <x:v>North</x:v>
      </x:c>
      <x:c r="F3408" s="2" t="str">
        <x:v>Store</x:v>
      </x:c>
      <x:c r="G3408" s="2" t="str">
        <x:v>Storage</x:v>
      </x:c>
      <x:c r="H3408" s="2" t="str">
        <x:v>Shelf 023</x:v>
      </x:c>
      <x:c r="I3408" s="11" t="n">
        <x:v>4</x:v>
      </x:c>
      <x:c r="J3408" s="9" t="n">
        <x:v>68</x:v>
      </x:c>
      <x:c r="K3408" s="10" t="n">
        <x:v>0.05</x:v>
      </x:c>
      <x:c r="L3408" s="11" t="n">
        <x:v>0</x:v>
      </x:c>
      <x:c r="M3408" s="9" t="n">
        <x:f>IF(D3408="Completed",I3408*J3408,0)</x:f>
        <x:v>272</x:v>
      </x:c>
      <x:c r="N3408" s="9" t="n">
        <x:f>M3408*K3408</x:f>
        <x:v>13.600000000000001</x:v>
      </x:c>
      <x:c r="O3408" s="9" t="n">
        <x:f>M3408-N3408</x:f>
        <x:v>258.4</x:v>
      </x:c>
      <x:c r="P3408" s="9" t="n">
        <x:f>IF(D3408="Completed",L3408*J3408*(1-K3408),0)</x:f>
        <x:v>0</x:v>
      </x:c>
      <x:c r="Q3408" s="9" t="n">
        <x:f>O3408-P3408</x:f>
        <x:v>258.4</x:v>
      </x:c>
      <x:c r="R3408" s="11" t="n">
        <x:f>IF(D3408="Completed",I3408,0)</x:f>
        <x:v>4</x:v>
      </x:c>
      <x:c r="S3408" s="11" t="n">
        <x:f>IF(D3408="Completed",L3408,0)</x:f>
        <x:v>0</x:v>
      </x:c>
      <x:c r="T3408" s="8" t="n">
        <x:f>DATE(YEAR(C3408),MONTH(C3408),1)</x:f>
        <x:v>45962</x:v>
      </x:c>
    </x:row>
    <x:row r="3409" ht="22" customHeight="1">
      <x:c r="A3409" s="2" t="str">
        <x:v>L003405</x:v>
      </x:c>
      <x:c r="B3409" s="2" t="str">
        <x:v>O01386</x:v>
      </x:c>
      <x:c r="C3409" s="7" t="n">
        <x:v>45971</x:v>
      </x:c>
      <x:c r="D3409" s="2" t="str">
        <x:v>Completed</x:v>
      </x:c>
      <x:c r="E3409" s="2" t="str">
        <x:v>North</x:v>
      </x:c>
      <x:c r="F3409" s="2" t="str">
        <x:v>Store</x:v>
      </x:c>
      <x:c r="G3409" s="2" t="str">
        <x:v>Furniture</x:v>
      </x:c>
      <x:c r="H3409" s="2" t="str">
        <x:v>Chair 010</x:v>
      </x:c>
      <x:c r="I3409" s="11" t="n">
        <x:v>3</x:v>
      </x:c>
      <x:c r="J3409" s="9" t="n">
        <x:v>211</x:v>
      </x:c>
      <x:c r="K3409" s="10" t="n">
        <x:v>0.2</x:v>
      </x:c>
      <x:c r="L3409" s="11" t="n">
        <x:v>0</x:v>
      </x:c>
      <x:c r="M3409" s="9" t="n">
        <x:f>IF(D3409="Completed",I3409*J3409,0)</x:f>
        <x:v>633</x:v>
      </x:c>
      <x:c r="N3409" s="9" t="n">
        <x:f>M3409*K3409</x:f>
        <x:v>126.60000000000001</x:v>
      </x:c>
      <x:c r="O3409" s="9" t="n">
        <x:f>M3409-N3409</x:f>
        <x:v>506.4</x:v>
      </x:c>
      <x:c r="P3409" s="9" t="n">
        <x:f>IF(D3409="Completed",L3409*J3409*(1-K3409),0)</x:f>
        <x:v>0</x:v>
      </x:c>
      <x:c r="Q3409" s="9" t="n">
        <x:f>O3409-P3409</x:f>
        <x:v>506.4</x:v>
      </x:c>
      <x:c r="R3409" s="11" t="n">
        <x:f>IF(D3409="Completed",I3409,0)</x:f>
        <x:v>3</x:v>
      </x:c>
      <x:c r="S3409" s="11" t="n">
        <x:f>IF(D3409="Completed",L3409,0)</x:f>
        <x:v>0</x:v>
      </x:c>
      <x:c r="T3409" s="8" t="n">
        <x:f>DATE(YEAR(C3409),MONTH(C3409),1)</x:f>
        <x:v>45962</x:v>
      </x:c>
    </x:row>
    <x:row r="3410" ht="22" customHeight="1">
      <x:c r="A3410" s="2" t="str">
        <x:v>L003406</x:v>
      </x:c>
      <x:c r="B3410" s="2" t="str">
        <x:v>O01386</x:v>
      </x:c>
      <x:c r="C3410" s="7" t="n">
        <x:v>45971</x:v>
      </x:c>
      <x:c r="D3410" s="2" t="str">
        <x:v>Completed</x:v>
      </x:c>
      <x:c r="E3410" s="2" t="str">
        <x:v>North</x:v>
      </x:c>
      <x:c r="F3410" s="2" t="str">
        <x:v>Store</x:v>
      </x:c>
      <x:c r="G3410" s="2" t="str">
        <x:v>Furniture</x:v>
      </x:c>
      <x:c r="H3410" s="2" t="str">
        <x:v>Desk 016</x:v>
      </x:c>
      <x:c r="I3410" s="11" t="n">
        <x:v>2</x:v>
      </x:c>
      <x:c r="J3410" s="9" t="n">
        <x:v>231</x:v>
      </x:c>
      <x:c r="K3410" s="10" t="n">
        <x:v>0</x:v>
      </x:c>
      <x:c r="L3410" s="11" t="n">
        <x:v>0</x:v>
      </x:c>
      <x:c r="M3410" s="9" t="n">
        <x:f>IF(D3410="Completed",I3410*J3410,0)</x:f>
        <x:v>462</x:v>
      </x:c>
      <x:c r="N3410" s="9" t="n">
        <x:f>M3410*K3410</x:f>
        <x:v>0</x:v>
      </x:c>
      <x:c r="O3410" s="9" t="n">
        <x:f>M3410-N3410</x:f>
        <x:v>462</x:v>
      </x:c>
      <x:c r="P3410" s="9" t="n">
        <x:f>IF(D3410="Completed",L3410*J3410*(1-K3410),0)</x:f>
        <x:v>0</x:v>
      </x:c>
      <x:c r="Q3410" s="9" t="n">
        <x:f>O3410-P3410</x:f>
        <x:v>462</x:v>
      </x:c>
      <x:c r="R3410" s="11" t="n">
        <x:f>IF(D3410="Completed",I3410,0)</x:f>
        <x:v>2</x:v>
      </x:c>
      <x:c r="S3410" s="11" t="n">
        <x:f>IF(D3410="Completed",L3410,0)</x:f>
        <x:v>0</x:v>
      </x:c>
      <x:c r="T3410" s="8" t="n">
        <x:f>DATE(YEAR(C3410),MONTH(C3410),1)</x:f>
        <x:v>45962</x:v>
      </x:c>
    </x:row>
    <x:row r="3411" ht="22" customHeight="1">
      <x:c r="A3411" s="2" t="str">
        <x:v>L003407</x:v>
      </x:c>
      <x:c r="B3411" s="2" t="str">
        <x:v>O01387</x:v>
      </x:c>
      <x:c r="C3411" s="7" t="n">
        <x:v>45834</x:v>
      </x:c>
      <x:c r="D3411" s="2" t="str">
        <x:v>Completed</x:v>
      </x:c>
      <x:c r="E3411" s="2" t="str">
        <x:v>North</x:v>
      </x:c>
      <x:c r="F3411" s="2" t="str">
        <x:v>Online</x:v>
      </x:c>
      <x:c r="G3411" s="2" t="str">
        <x:v>Furniture</x:v>
      </x:c>
      <x:c r="H3411" s="2" t="str">
        <x:v>Desk 004</x:v>
      </x:c>
      <x:c r="I3411" s="11" t="n">
        <x:v>2</x:v>
      </x:c>
      <x:c r="J3411" s="9" t="n">
        <x:v>123</x:v>
      </x:c>
      <x:c r="K3411" s="10" t="n">
        <x:v>0.05</x:v>
      </x:c>
      <x:c r="L3411" s="11" t="n">
        <x:v>0</x:v>
      </x:c>
      <x:c r="M3411" s="9" t="n">
        <x:f>IF(D3411="Completed",I3411*J3411,0)</x:f>
        <x:v>246</x:v>
      </x:c>
      <x:c r="N3411" s="9" t="n">
        <x:f>M3411*K3411</x:f>
        <x:v>12.3</x:v>
      </x:c>
      <x:c r="O3411" s="9" t="n">
        <x:f>M3411-N3411</x:f>
        <x:v>233.7</x:v>
      </x:c>
      <x:c r="P3411" s="9" t="n">
        <x:f>IF(D3411="Completed",L3411*J3411*(1-K3411),0)</x:f>
        <x:v>0</x:v>
      </x:c>
      <x:c r="Q3411" s="9" t="n">
        <x:f>O3411-P3411</x:f>
        <x:v>233.7</x:v>
      </x:c>
      <x:c r="R3411" s="11" t="n">
        <x:f>IF(D3411="Completed",I3411,0)</x:f>
        <x:v>2</x:v>
      </x:c>
      <x:c r="S3411" s="11" t="n">
        <x:f>IF(D3411="Completed",L3411,0)</x:f>
        <x:v>0</x:v>
      </x:c>
      <x:c r="T3411" s="8" t="n">
        <x:f>DATE(YEAR(C3411),MONTH(C3411),1)</x:f>
        <x:v>45809</x:v>
      </x:c>
    </x:row>
    <x:row r="3412" ht="22" customHeight="1">
      <x:c r="A3412" s="2" t="str">
        <x:v>L003408</x:v>
      </x:c>
      <x:c r="B3412" s="2" t="str">
        <x:v>O01387</x:v>
      </x:c>
      <x:c r="C3412" s="7" t="n">
        <x:v>45834</x:v>
      </x:c>
      <x:c r="D3412" s="2" t="str">
        <x:v>Completed</x:v>
      </x:c>
      <x:c r="E3412" s="2" t="str">
        <x:v>North</x:v>
      </x:c>
      <x:c r="F3412" s="2" t="str">
        <x:v>Online</x:v>
      </x:c>
      <x:c r="G3412" s="2" t="str">
        <x:v>Lighting</x:v>
      </x:c>
      <x:c r="H3412" s="2" t="str">
        <x:v>Lamp 009</x:v>
      </x:c>
      <x:c r="I3412" s="11" t="n">
        <x:v>1</x:v>
      </x:c>
      <x:c r="J3412" s="9" t="n">
        <x:v>93</x:v>
      </x:c>
      <x:c r="K3412" s="10" t="n">
        <x:v>0.2</x:v>
      </x:c>
      <x:c r="L3412" s="11" t="n">
        <x:v>0</x:v>
      </x:c>
      <x:c r="M3412" s="9" t="n">
        <x:f>IF(D3412="Completed",I3412*J3412,0)</x:f>
        <x:v>93</x:v>
      </x:c>
      <x:c r="N3412" s="9" t="n">
        <x:f>M3412*K3412</x:f>
        <x:v>18.6</x:v>
      </x:c>
      <x:c r="O3412" s="9" t="n">
        <x:f>M3412-N3412</x:f>
        <x:v>74.4</x:v>
      </x:c>
      <x:c r="P3412" s="9" t="n">
        <x:f>IF(D3412="Completed",L3412*J3412*(1-K3412),0)</x:f>
        <x:v>0</x:v>
      </x:c>
      <x:c r="Q3412" s="9" t="n">
        <x:f>O3412-P3412</x:f>
        <x:v>74.4</x:v>
      </x:c>
      <x:c r="R3412" s="11" t="n">
        <x:f>IF(D3412="Completed",I3412,0)</x:f>
        <x:v>1</x:v>
      </x:c>
      <x:c r="S3412" s="11" t="n">
        <x:f>IF(D3412="Completed",L3412,0)</x:f>
        <x:v>0</x:v>
      </x:c>
      <x:c r="T3412" s="8" t="n">
        <x:f>DATE(YEAR(C3412),MONTH(C3412),1)</x:f>
        <x:v>45809</x:v>
      </x:c>
    </x:row>
    <x:row r="3413" ht="22" customHeight="1">
      <x:c r="A3413" s="2" t="str">
        <x:v>L003409</x:v>
      </x:c>
      <x:c r="B3413" s="2" t="str">
        <x:v>O01387</x:v>
      </x:c>
      <x:c r="C3413" s="7" t="n">
        <x:v>45834</x:v>
      </x:c>
      <x:c r="D3413" s="2" t="str">
        <x:v>Completed</x:v>
      </x:c>
      <x:c r="E3413" s="2" t="str">
        <x:v>North</x:v>
      </x:c>
      <x:c r="F3413" s="2" t="str">
        <x:v>Online</x:v>
      </x:c>
      <x:c r="G3413" s="2" t="str">
        <x:v>Furniture</x:v>
      </x:c>
      <x:c r="H3413" s="2" t="str">
        <x:v>Chair 018</x:v>
      </x:c>
      <x:c r="I3413" s="11" t="n">
        <x:v>1</x:v>
      </x:c>
      <x:c r="J3413" s="9" t="n">
        <x:v>269</x:v>
      </x:c>
      <x:c r="K3413" s="10" t="n">
        <x:v>0.05</x:v>
      </x:c>
      <x:c r="L3413" s="11" t="n">
        <x:v>0</x:v>
      </x:c>
      <x:c r="M3413" s="9" t="n">
        <x:f>IF(D3413="Completed",I3413*J3413,0)</x:f>
        <x:v>269</x:v>
      </x:c>
      <x:c r="N3413" s="9" t="n">
        <x:f>M3413*K3413</x:f>
        <x:v>13.450000000000001</x:v>
      </x:c>
      <x:c r="O3413" s="9" t="n">
        <x:f>M3413-N3413</x:f>
        <x:v>255.55</x:v>
      </x:c>
      <x:c r="P3413" s="9" t="n">
        <x:f>IF(D3413="Completed",L3413*J3413*(1-K3413),0)</x:f>
        <x:v>0</x:v>
      </x:c>
      <x:c r="Q3413" s="9" t="n">
        <x:f>O3413-P3413</x:f>
        <x:v>255.55</x:v>
      </x:c>
      <x:c r="R3413" s="11" t="n">
        <x:f>IF(D3413="Completed",I3413,0)</x:f>
        <x:v>1</x:v>
      </x:c>
      <x:c r="S3413" s="11" t="n">
        <x:f>IF(D3413="Completed",L3413,0)</x:f>
        <x:v>0</x:v>
      </x:c>
      <x:c r="T3413" s="8" t="n">
        <x:f>DATE(YEAR(C3413),MONTH(C3413),1)</x:f>
        <x:v>45809</x:v>
      </x:c>
    </x:row>
    <x:row r="3414" ht="22" customHeight="1">
      <x:c r="A3414" s="2" t="str">
        <x:v>L003410</x:v>
      </x:c>
      <x:c r="B3414" s="2" t="str">
        <x:v>O01387</x:v>
      </x:c>
      <x:c r="C3414" s="7" t="n">
        <x:v>45834</x:v>
      </x:c>
      <x:c r="D3414" s="2" t="str">
        <x:v>Completed</x:v>
      </x:c>
      <x:c r="E3414" s="2" t="str">
        <x:v>North</x:v>
      </x:c>
      <x:c r="F3414" s="2" t="str">
        <x:v>Online</x:v>
      </x:c>
      <x:c r="G3414" s="2" t="str">
        <x:v>Storage</x:v>
      </x:c>
      <x:c r="H3414" s="2" t="str">
        <x:v>Shelf 023</x:v>
      </x:c>
      <x:c r="I3414" s="11" t="n">
        <x:v>2</x:v>
      </x:c>
      <x:c r="J3414" s="9" t="n">
        <x:v>68</x:v>
      </x:c>
      <x:c r="K3414" s="10" t="n">
        <x:v>0.05</x:v>
      </x:c>
      <x:c r="L3414" s="11" t="n">
        <x:v>0</x:v>
      </x:c>
      <x:c r="M3414" s="9" t="n">
        <x:f>IF(D3414="Completed",I3414*J3414,0)</x:f>
        <x:v>136</x:v>
      </x:c>
      <x:c r="N3414" s="9" t="n">
        <x:f>M3414*K3414</x:f>
        <x:v>6.800000000000001</x:v>
      </x:c>
      <x:c r="O3414" s="9" t="n">
        <x:f>M3414-N3414</x:f>
        <x:v>129.2</x:v>
      </x:c>
      <x:c r="P3414" s="9" t="n">
        <x:f>IF(D3414="Completed",L3414*J3414*(1-K3414),0)</x:f>
        <x:v>0</x:v>
      </x:c>
      <x:c r="Q3414" s="9" t="n">
        <x:f>O3414-P3414</x:f>
        <x:v>129.2</x:v>
      </x:c>
      <x:c r="R3414" s="11" t="n">
        <x:f>IF(D3414="Completed",I3414,0)</x:f>
        <x:v>2</x:v>
      </x:c>
      <x:c r="S3414" s="11" t="n">
        <x:f>IF(D3414="Completed",L3414,0)</x:f>
        <x:v>0</x:v>
      </x:c>
      <x:c r="T3414" s="8" t="n">
        <x:f>DATE(YEAR(C3414),MONTH(C3414),1)</x:f>
        <x:v>45809</x:v>
      </x:c>
    </x:row>
    <x:row r="3415" ht="22" customHeight="1">
      <x:c r="A3415" s="2" t="str">
        <x:v>L003411</x:v>
      </x:c>
      <x:c r="B3415" s="2" t="str">
        <x:v>O01388</x:v>
      </x:c>
      <x:c r="C3415" s="7" t="n">
        <x:v>45688</x:v>
      </x:c>
      <x:c r="D3415" s="2" t="str">
        <x:v>Completed</x:v>
      </x:c>
      <x:c r="E3415" s="2" t="str">
        <x:v>South</x:v>
      </x:c>
      <x:c r="F3415" s="2" t="str">
        <x:v>Online</x:v>
      </x:c>
      <x:c r="G3415" s="2" t="str">
        <x:v>Lighting</x:v>
      </x:c>
      <x:c r="H3415" s="2" t="str">
        <x:v>Lamp 013</x:v>
      </x:c>
      <x:c r="I3415" s="11" t="n">
        <x:v>4</x:v>
      </x:c>
      <x:c r="J3415" s="9" t="n">
        <x:v>271</x:v>
      </x:c>
      <x:c r="K3415" s="10" t="n">
        <x:v>0.1</x:v>
      </x:c>
      <x:c r="L3415" s="11" t="n">
        <x:v>0</x:v>
      </x:c>
      <x:c r="M3415" s="9" t="n">
        <x:f>IF(D3415="Completed",I3415*J3415,0)</x:f>
        <x:v>1084</x:v>
      </x:c>
      <x:c r="N3415" s="9" t="n">
        <x:f>M3415*K3415</x:f>
        <x:v>108.4</x:v>
      </x:c>
      <x:c r="O3415" s="9" t="n">
        <x:f>M3415-N3415</x:f>
        <x:v>975.6</x:v>
      </x:c>
      <x:c r="P3415" s="9" t="n">
        <x:f>IF(D3415="Completed",L3415*J3415*(1-K3415),0)</x:f>
        <x:v>0</x:v>
      </x:c>
      <x:c r="Q3415" s="9" t="n">
        <x:f>O3415-P3415</x:f>
        <x:v>975.6</x:v>
      </x:c>
      <x:c r="R3415" s="11" t="n">
        <x:f>IF(D3415="Completed",I3415,0)</x:f>
        <x:v>4</x:v>
      </x:c>
      <x:c r="S3415" s="11" t="n">
        <x:f>IF(D3415="Completed",L3415,0)</x:f>
        <x:v>0</x:v>
      </x:c>
      <x:c r="T3415" s="8" t="n">
        <x:f>DATE(YEAR(C3415),MONTH(C3415),1)</x:f>
        <x:v>45658</x:v>
      </x:c>
    </x:row>
    <x:row r="3416" ht="22" customHeight="1">
      <x:c r="A3416" s="2" t="str">
        <x:v>L003412</x:v>
      </x:c>
      <x:c r="B3416" s="2" t="str">
        <x:v>O01389</x:v>
      </x:c>
      <x:c r="C3416" s="7" t="n">
        <x:v>45939</x:v>
      </x:c>
      <x:c r="D3416" s="2" t="str">
        <x:v>Completed</x:v>
      </x:c>
      <x:c r="E3416" s="2" t="str">
        <x:v>North</x:v>
      </x:c>
      <x:c r="F3416" s="2" t="str">
        <x:v>Online</x:v>
      </x:c>
      <x:c r="G3416" s="2" t="str">
        <x:v>Furniture</x:v>
      </x:c>
      <x:c r="H3416" s="2" t="str">
        <x:v>Chair 022</x:v>
      </x:c>
      <x:c r="I3416" s="11" t="n">
        <x:v>1</x:v>
      </x:c>
      <x:c r="J3416" s="9" t="n">
        <x:v>134</x:v>
      </x:c>
      <x:c r="K3416" s="10" t="n">
        <x:v>0.1</x:v>
      </x:c>
      <x:c r="L3416" s="11" t="n">
        <x:v>0</x:v>
      </x:c>
      <x:c r="M3416" s="9" t="n">
        <x:f>IF(D3416="Completed",I3416*J3416,0)</x:f>
        <x:v>134</x:v>
      </x:c>
      <x:c r="N3416" s="9" t="n">
        <x:f>M3416*K3416</x:f>
        <x:v>13.4</x:v>
      </x:c>
      <x:c r="O3416" s="9" t="n">
        <x:f>M3416-N3416</x:f>
        <x:v>120.6</x:v>
      </x:c>
      <x:c r="P3416" s="9" t="n">
        <x:f>IF(D3416="Completed",L3416*J3416*(1-K3416),0)</x:f>
        <x:v>0</x:v>
      </x:c>
      <x:c r="Q3416" s="9" t="n">
        <x:f>O3416-P3416</x:f>
        <x:v>120.6</x:v>
      </x:c>
      <x:c r="R3416" s="11" t="n">
        <x:f>IF(D3416="Completed",I3416,0)</x:f>
        <x:v>1</x:v>
      </x:c>
      <x:c r="S3416" s="11" t="n">
        <x:f>IF(D3416="Completed",L3416,0)</x:f>
        <x:v>0</x:v>
      </x:c>
      <x:c r="T3416" s="8" t="n">
        <x:f>DATE(YEAR(C3416),MONTH(C3416),1)</x:f>
        <x:v>45931</x:v>
      </x:c>
    </x:row>
    <x:row r="3417" ht="22" customHeight="1">
      <x:c r="A3417" s="2" t="str">
        <x:v>L003413</x:v>
      </x:c>
      <x:c r="B3417" s="2" t="str">
        <x:v>O01390</x:v>
      </x:c>
      <x:c r="C3417" s="7" t="n">
        <x:v>45705</x:v>
      </x:c>
      <x:c r="D3417" s="2" t="str">
        <x:v>Completed</x:v>
      </x:c>
      <x:c r="E3417" s="2" t="str">
        <x:v>South</x:v>
      </x:c>
      <x:c r="F3417" s="2" t="str">
        <x:v>Store</x:v>
      </x:c>
      <x:c r="G3417" s="2" t="str">
        <x:v>Furniture</x:v>
      </x:c>
      <x:c r="H3417" s="2" t="str">
        <x:v>Chair 014</x:v>
      </x:c>
      <x:c r="I3417" s="11" t="n">
        <x:v>5</x:v>
      </x:c>
      <x:c r="J3417" s="9" t="n">
        <x:v>294</x:v>
      </x:c>
      <x:c r="K3417" s="10" t="n">
        <x:v>0.2</x:v>
      </x:c>
      <x:c r="L3417" s="11" t="n">
        <x:v>0</x:v>
      </x:c>
      <x:c r="M3417" s="9" t="n">
        <x:f>IF(D3417="Completed",I3417*J3417,0)</x:f>
        <x:v>1470</x:v>
      </x:c>
      <x:c r="N3417" s="9" t="n">
        <x:f>M3417*K3417</x:f>
        <x:v>294</x:v>
      </x:c>
      <x:c r="O3417" s="9" t="n">
        <x:f>M3417-N3417</x:f>
        <x:v>1176</x:v>
      </x:c>
      <x:c r="P3417" s="9" t="n">
        <x:f>IF(D3417="Completed",L3417*J3417*(1-K3417),0)</x:f>
        <x:v>0</x:v>
      </x:c>
      <x:c r="Q3417" s="9" t="n">
        <x:f>O3417-P3417</x:f>
        <x:v>1176</x:v>
      </x:c>
      <x:c r="R3417" s="11" t="n">
        <x:f>IF(D3417="Completed",I3417,0)</x:f>
        <x:v>5</x:v>
      </x:c>
      <x:c r="S3417" s="11" t="n">
        <x:f>IF(D3417="Completed",L3417,0)</x:f>
        <x:v>0</x:v>
      </x:c>
      <x:c r="T3417" s="8" t="n">
        <x:f>DATE(YEAR(C3417),MONTH(C3417),1)</x:f>
        <x:v>45689</x:v>
      </x:c>
    </x:row>
    <x:row r="3418" ht="22" customHeight="1">
      <x:c r="A3418" s="2" t="str">
        <x:v>L003414</x:v>
      </x:c>
      <x:c r="B3418" s="2" t="str">
        <x:v>O01391</x:v>
      </x:c>
      <x:c r="C3418" s="7" t="n">
        <x:v>45665</x:v>
      </x:c>
      <x:c r="D3418" s="2" t="str">
        <x:v>Completed</x:v>
      </x:c>
      <x:c r="E3418" s="2" t="str">
        <x:v>East</x:v>
      </x:c>
      <x:c r="F3418" s="2" t="str">
        <x:v>Store</x:v>
      </x:c>
      <x:c r="G3418" s="2" t="str">
        <x:v>Furniture</x:v>
      </x:c>
      <x:c r="H3418" s="2" t="str">
        <x:v>Chair 006</x:v>
      </x:c>
      <x:c r="I3418" s="11" t="n">
        <x:v>1</x:v>
      </x:c>
      <x:c r="J3418" s="9" t="n">
        <x:v>196</x:v>
      </x:c>
      <x:c r="K3418" s="10" t="n">
        <x:v>0.05</x:v>
      </x:c>
      <x:c r="L3418" s="11" t="n">
        <x:v>0</x:v>
      </x:c>
      <x:c r="M3418" s="9" t="n">
        <x:f>IF(D3418="Completed",I3418*J3418,0)</x:f>
        <x:v>196</x:v>
      </x:c>
      <x:c r="N3418" s="9" t="n">
        <x:f>M3418*K3418</x:f>
        <x:v>9.8</x:v>
      </x:c>
      <x:c r="O3418" s="9" t="n">
        <x:f>M3418-N3418</x:f>
        <x:v>186.2</x:v>
      </x:c>
      <x:c r="P3418" s="9" t="n">
        <x:f>IF(D3418="Completed",L3418*J3418*(1-K3418),0)</x:f>
        <x:v>0</x:v>
      </x:c>
      <x:c r="Q3418" s="9" t="n">
        <x:f>O3418-P3418</x:f>
        <x:v>186.2</x:v>
      </x:c>
      <x:c r="R3418" s="11" t="n">
        <x:f>IF(D3418="Completed",I3418,0)</x:f>
        <x:v>1</x:v>
      </x:c>
      <x:c r="S3418" s="11" t="n">
        <x:f>IF(D3418="Completed",L3418,0)</x:f>
        <x:v>0</x:v>
      </x:c>
      <x:c r="T3418" s="8" t="n">
        <x:f>DATE(YEAR(C3418),MONTH(C3418),1)</x:f>
        <x:v>45658</x:v>
      </x:c>
    </x:row>
    <x:row r="3419" ht="22" customHeight="1">
      <x:c r="A3419" s="2" t="str">
        <x:v>L003415</x:v>
      </x:c>
      <x:c r="B3419" s="2" t="str">
        <x:v>O01392</x:v>
      </x:c>
      <x:c r="C3419" s="7" t="n">
        <x:v>45845</x:v>
      </x:c>
      <x:c r="D3419" s="2" t="str">
        <x:v>Completed</x:v>
      </x:c>
      <x:c r="E3419" s="2" t="str">
        <x:v>North</x:v>
      </x:c>
      <x:c r="F3419" s="2" t="str">
        <x:v>Store</x:v>
      </x:c>
      <x:c r="G3419" s="2" t="str">
        <x:v>Lighting</x:v>
      </x:c>
      <x:c r="H3419" s="2" t="str">
        <x:v>Lamp 009</x:v>
      </x:c>
      <x:c r="I3419" s="11" t="n">
        <x:v>2</x:v>
      </x:c>
      <x:c r="J3419" s="9" t="n">
        <x:v>93</x:v>
      </x:c>
      <x:c r="K3419" s="10" t="n">
        <x:v>0.1</x:v>
      </x:c>
      <x:c r="L3419" s="11" t="n">
        <x:v>0</x:v>
      </x:c>
      <x:c r="M3419" s="9" t="n">
        <x:f>IF(D3419="Completed",I3419*J3419,0)</x:f>
        <x:v>186</x:v>
      </x:c>
      <x:c r="N3419" s="9" t="n">
        <x:f>M3419*K3419</x:f>
        <x:v>18.6</x:v>
      </x:c>
      <x:c r="O3419" s="9" t="n">
        <x:f>M3419-N3419</x:f>
        <x:v>167.4</x:v>
      </x:c>
      <x:c r="P3419" s="9" t="n">
        <x:f>IF(D3419="Completed",L3419*J3419*(1-K3419),0)</x:f>
        <x:v>0</x:v>
      </x:c>
      <x:c r="Q3419" s="9" t="n">
        <x:f>O3419-P3419</x:f>
        <x:v>167.4</x:v>
      </x:c>
      <x:c r="R3419" s="11" t="n">
        <x:f>IF(D3419="Completed",I3419,0)</x:f>
        <x:v>2</x:v>
      </x:c>
      <x:c r="S3419" s="11" t="n">
        <x:f>IF(D3419="Completed",L3419,0)</x:f>
        <x:v>0</x:v>
      </x:c>
      <x:c r="T3419" s="8" t="n">
        <x:f>DATE(YEAR(C3419),MONTH(C3419),1)</x:f>
        <x:v>45839</x:v>
      </x:c>
    </x:row>
    <x:row r="3420" ht="22" customHeight="1">
      <x:c r="A3420" s="2" t="str">
        <x:v>L003416</x:v>
      </x:c>
      <x:c r="B3420" s="2" t="str">
        <x:v>O01392</x:v>
      </x:c>
      <x:c r="C3420" s="7" t="n">
        <x:v>45845</x:v>
      </x:c>
      <x:c r="D3420" s="2" t="str">
        <x:v>Completed</x:v>
      </x:c>
      <x:c r="E3420" s="2" t="str">
        <x:v>North</x:v>
      </x:c>
      <x:c r="F3420" s="2" t="str">
        <x:v>Store</x:v>
      </x:c>
      <x:c r="G3420" s="2" t="str">
        <x:v>Storage</x:v>
      </x:c>
      <x:c r="H3420" s="2" t="str">
        <x:v>Shelf 003</x:v>
      </x:c>
      <x:c r="I3420" s="11" t="n">
        <x:v>3</x:v>
      </x:c>
      <x:c r="J3420" s="9" t="n">
        <x:v>199</x:v>
      </x:c>
      <x:c r="K3420" s="10" t="n">
        <x:v>0.2</x:v>
      </x:c>
      <x:c r="L3420" s="11" t="n">
        <x:v>0</x:v>
      </x:c>
      <x:c r="M3420" s="9" t="n">
        <x:f>IF(D3420="Completed",I3420*J3420,0)</x:f>
        <x:v>597</x:v>
      </x:c>
      <x:c r="N3420" s="9" t="n">
        <x:f>M3420*K3420</x:f>
        <x:v>119.4</x:v>
      </x:c>
      <x:c r="O3420" s="9" t="n">
        <x:f>M3420-N3420</x:f>
        <x:v>477.6</x:v>
      </x:c>
      <x:c r="P3420" s="9" t="n">
        <x:f>IF(D3420="Completed",L3420*J3420*(1-K3420),0)</x:f>
        <x:v>0</x:v>
      </x:c>
      <x:c r="Q3420" s="9" t="n">
        <x:f>O3420-P3420</x:f>
        <x:v>477.6</x:v>
      </x:c>
      <x:c r="R3420" s="11" t="n">
        <x:f>IF(D3420="Completed",I3420,0)</x:f>
        <x:v>3</x:v>
      </x:c>
      <x:c r="S3420" s="11" t="n">
        <x:f>IF(D3420="Completed",L3420,0)</x:f>
        <x:v>0</x:v>
      </x:c>
      <x:c r="T3420" s="8" t="n">
        <x:f>DATE(YEAR(C3420),MONTH(C3420),1)</x:f>
        <x:v>45839</x:v>
      </x:c>
    </x:row>
    <x:row r="3421" ht="22" customHeight="1">
      <x:c r="A3421" s="2" t="str">
        <x:v>L003417</x:v>
      </x:c>
      <x:c r="B3421" s="2" t="str">
        <x:v>O01392</x:v>
      </x:c>
      <x:c r="C3421" s="7" t="n">
        <x:v>45845</x:v>
      </x:c>
      <x:c r="D3421" s="2" t="str">
        <x:v>Completed</x:v>
      </x:c>
      <x:c r="E3421" s="2" t="str">
        <x:v>North</x:v>
      </x:c>
      <x:c r="F3421" s="2" t="str">
        <x:v>Store</x:v>
      </x:c>
      <x:c r="G3421" s="2" t="str">
        <x:v>Lighting</x:v>
      </x:c>
      <x:c r="H3421" s="2" t="str">
        <x:v>Lamp 017</x:v>
      </x:c>
      <x:c r="I3421" s="11" t="n">
        <x:v>5</x:v>
      </x:c>
      <x:c r="J3421" s="9" t="n">
        <x:v>300</x:v>
      </x:c>
      <x:c r="K3421" s="10" t="n">
        <x:v>0.05</x:v>
      </x:c>
      <x:c r="L3421" s="11" t="n">
        <x:v>0</x:v>
      </x:c>
      <x:c r="M3421" s="9" t="n">
        <x:f>IF(D3421="Completed",I3421*J3421,0)</x:f>
        <x:v>1500</x:v>
      </x:c>
      <x:c r="N3421" s="9" t="n">
        <x:f>M3421*K3421</x:f>
        <x:v>75</x:v>
      </x:c>
      <x:c r="O3421" s="9" t="n">
        <x:f>M3421-N3421</x:f>
        <x:v>1425</x:v>
      </x:c>
      <x:c r="P3421" s="9" t="n">
        <x:f>IF(D3421="Completed",L3421*J3421*(1-K3421),0)</x:f>
        <x:v>0</x:v>
      </x:c>
      <x:c r="Q3421" s="9" t="n">
        <x:f>O3421-P3421</x:f>
        <x:v>1425</x:v>
      </x:c>
      <x:c r="R3421" s="11" t="n">
        <x:f>IF(D3421="Completed",I3421,0)</x:f>
        <x:v>5</x:v>
      </x:c>
      <x:c r="S3421" s="11" t="n">
        <x:f>IF(D3421="Completed",L3421,0)</x:f>
        <x:v>0</x:v>
      </x:c>
      <x:c r="T3421" s="8" t="n">
        <x:f>DATE(YEAR(C3421),MONTH(C3421),1)</x:f>
        <x:v>45839</x:v>
      </x:c>
    </x:row>
    <x:row r="3422" ht="22" customHeight="1">
      <x:c r="A3422" s="2" t="str">
        <x:v>L003418</x:v>
      </x:c>
      <x:c r="B3422" s="2" t="str">
        <x:v>O01393</x:v>
      </x:c>
      <x:c r="C3422" s="7" t="n">
        <x:v>45914</x:v>
      </x:c>
      <x:c r="D3422" s="2" t="str">
        <x:v>Completed</x:v>
      </x:c>
      <x:c r="E3422" s="2" t="str">
        <x:v>East</x:v>
      </x:c>
      <x:c r="F3422" s="2" t="str">
        <x:v>Online</x:v>
      </x:c>
      <x:c r="G3422" s="2" t="str">
        <x:v>Storage</x:v>
      </x:c>
      <x:c r="H3422" s="2" t="str">
        <x:v>Shelf 011</x:v>
      </x:c>
      <x:c r="I3422" s="11" t="n">
        <x:v>3</x:v>
      </x:c>
      <x:c r="J3422" s="9" t="n">
        <x:v>80</x:v>
      </x:c>
      <x:c r="K3422" s="10" t="n">
        <x:v>0</x:v>
      </x:c>
      <x:c r="L3422" s="11" t="n">
        <x:v>0</x:v>
      </x:c>
      <x:c r="M3422" s="9" t="n">
        <x:f>IF(D3422="Completed",I3422*J3422,0)</x:f>
        <x:v>240</x:v>
      </x:c>
      <x:c r="N3422" s="9" t="n">
        <x:f>M3422*K3422</x:f>
        <x:v>0</x:v>
      </x:c>
      <x:c r="O3422" s="9" t="n">
        <x:f>M3422-N3422</x:f>
        <x:v>240</x:v>
      </x:c>
      <x:c r="P3422" s="9" t="n">
        <x:f>IF(D3422="Completed",L3422*J3422*(1-K3422),0)</x:f>
        <x:v>0</x:v>
      </x:c>
      <x:c r="Q3422" s="9" t="n">
        <x:f>O3422-P3422</x:f>
        <x:v>240</x:v>
      </x:c>
      <x:c r="R3422" s="11" t="n">
        <x:f>IF(D3422="Completed",I3422,0)</x:f>
        <x:v>3</x:v>
      </x:c>
      <x:c r="S3422" s="11" t="n">
        <x:f>IF(D3422="Completed",L3422,0)</x:f>
        <x:v>0</x:v>
      </x:c>
      <x:c r="T3422" s="8" t="n">
        <x:f>DATE(YEAR(C3422),MONTH(C3422),1)</x:f>
        <x:v>45901</x:v>
      </x:c>
    </x:row>
    <x:row r="3423" ht="22" customHeight="1">
      <x:c r="A3423" s="2" t="str">
        <x:v>L003419</x:v>
      </x:c>
      <x:c r="B3423" s="2" t="str">
        <x:v>O01393</x:v>
      </x:c>
      <x:c r="C3423" s="7" t="n">
        <x:v>45914</x:v>
      </x:c>
      <x:c r="D3423" s="2" t="str">
        <x:v>Completed</x:v>
      </x:c>
      <x:c r="E3423" s="2" t="str">
        <x:v>East</x:v>
      </x:c>
      <x:c r="F3423" s="2" t="str">
        <x:v>Online</x:v>
      </x:c>
      <x:c r="G3423" s="2" t="str">
        <x:v>Furniture</x:v>
      </x:c>
      <x:c r="H3423" s="2" t="str">
        <x:v>Chair 002</x:v>
      </x:c>
      <x:c r="I3423" s="11" t="n">
        <x:v>2</x:v>
      </x:c>
      <x:c r="J3423" s="9" t="n">
        <x:v>284</x:v>
      </x:c>
      <x:c r="K3423" s="10" t="n">
        <x:v>0.2</x:v>
      </x:c>
      <x:c r="L3423" s="11" t="n">
        <x:v>0</x:v>
      </x:c>
      <x:c r="M3423" s="9" t="n">
        <x:f>IF(D3423="Completed",I3423*J3423,0)</x:f>
        <x:v>568</x:v>
      </x:c>
      <x:c r="N3423" s="9" t="n">
        <x:f>M3423*K3423</x:f>
        <x:v>113.60000000000001</x:v>
      </x:c>
      <x:c r="O3423" s="9" t="n">
        <x:f>M3423-N3423</x:f>
        <x:v>454.4</x:v>
      </x:c>
      <x:c r="P3423" s="9" t="n">
        <x:f>IF(D3423="Completed",L3423*J3423*(1-K3423),0)</x:f>
        <x:v>0</x:v>
      </x:c>
      <x:c r="Q3423" s="9" t="n">
        <x:f>O3423-P3423</x:f>
        <x:v>454.4</x:v>
      </x:c>
      <x:c r="R3423" s="11" t="n">
        <x:f>IF(D3423="Completed",I3423,0)</x:f>
        <x:v>2</x:v>
      </x:c>
      <x:c r="S3423" s="11" t="n">
        <x:f>IF(D3423="Completed",L3423,0)</x:f>
        <x:v>0</x:v>
      </x:c>
      <x:c r="T3423" s="8" t="n">
        <x:f>DATE(YEAR(C3423),MONTH(C3423),1)</x:f>
        <x:v>45901</x:v>
      </x:c>
    </x:row>
    <x:row r="3424" ht="22" customHeight="1">
      <x:c r="A3424" s="2" t="str">
        <x:v>L003420</x:v>
      </x:c>
      <x:c r="B3424" s="2" t="str">
        <x:v>O01394</x:v>
      </x:c>
      <x:c r="C3424" s="7" t="n">
        <x:v>45761</x:v>
      </x:c>
      <x:c r="D3424" s="2" t="str">
        <x:v>Cancelled</x:v>
      </x:c>
      <x:c r="E3424" s="2" t="str">
        <x:v>North</x:v>
      </x:c>
      <x:c r="F3424" s="2" t="str">
        <x:v>Store</x:v>
      </x:c>
      <x:c r="G3424" s="2" t="str">
        <x:v>Lighting</x:v>
      </x:c>
      <x:c r="H3424" s="2" t="str">
        <x:v>Lamp 021</x:v>
      </x:c>
      <x:c r="I3424" s="11" t="n">
        <x:v>4</x:v>
      </x:c>
      <x:c r="J3424" s="9" t="n">
        <x:v>249</x:v>
      </x:c>
      <x:c r="K3424" s="10" t="n">
        <x:v>0.2</x:v>
      </x:c>
      <x:c r="L3424" s="11" t="n">
        <x:v>0</x:v>
      </x:c>
      <x:c r="M3424" s="9" t="n">
        <x:f>IF(D3424="Completed",I3424*J3424,0)</x:f>
        <x:v>0</x:v>
      </x:c>
      <x:c r="N3424" s="9" t="n">
        <x:f>M3424*K3424</x:f>
        <x:v>0</x:v>
      </x:c>
      <x:c r="O3424" s="9" t="n">
        <x:f>M3424-N3424</x:f>
        <x:v>0</x:v>
      </x:c>
      <x:c r="P3424" s="9" t="n">
        <x:f>IF(D3424="Completed",L3424*J3424*(1-K3424),0)</x:f>
        <x:v>0</x:v>
      </x:c>
      <x:c r="Q3424" s="9" t="n">
        <x:f>O3424-P3424</x:f>
        <x:v>0</x:v>
      </x:c>
      <x:c r="R3424" s="11" t="n">
        <x:f>IF(D3424="Completed",I3424,0)</x:f>
        <x:v>0</x:v>
      </x:c>
      <x:c r="S3424" s="11" t="n">
        <x:f>IF(D3424="Completed",L3424,0)</x:f>
        <x:v>0</x:v>
      </x:c>
      <x:c r="T3424" s="8" t="n">
        <x:f>DATE(YEAR(C3424),MONTH(C3424),1)</x:f>
        <x:v>45748</x:v>
      </x:c>
    </x:row>
    <x:row r="3425" ht="22" customHeight="1">
      <x:c r="A3425" s="2" t="str">
        <x:v>L003421</x:v>
      </x:c>
      <x:c r="B3425" s="2" t="str">
        <x:v>O01394</x:v>
      </x:c>
      <x:c r="C3425" s="7" t="n">
        <x:v>45761</x:v>
      </x:c>
      <x:c r="D3425" s="2" t="str">
        <x:v>Cancelled</x:v>
      </x:c>
      <x:c r="E3425" s="2" t="str">
        <x:v>North</x:v>
      </x:c>
      <x:c r="F3425" s="2" t="str">
        <x:v>Store</x:v>
      </x:c>
      <x:c r="G3425" s="2" t="str">
        <x:v>Furniture</x:v>
      </x:c>
      <x:c r="H3425" s="2" t="str">
        <x:v>Chair 018</x:v>
      </x:c>
      <x:c r="I3425" s="11" t="n">
        <x:v>1</x:v>
      </x:c>
      <x:c r="J3425" s="9" t="n">
        <x:v>269</x:v>
      </x:c>
      <x:c r="K3425" s="10" t="n">
        <x:v>0.2</x:v>
      </x:c>
      <x:c r="L3425" s="11" t="n">
        <x:v>0</x:v>
      </x:c>
      <x:c r="M3425" s="9" t="n">
        <x:f>IF(D3425="Completed",I3425*J3425,0)</x:f>
        <x:v>0</x:v>
      </x:c>
      <x:c r="N3425" s="9" t="n">
        <x:f>M3425*K3425</x:f>
        <x:v>0</x:v>
      </x:c>
      <x:c r="O3425" s="9" t="n">
        <x:f>M3425-N3425</x:f>
        <x:v>0</x:v>
      </x:c>
      <x:c r="P3425" s="9" t="n">
        <x:f>IF(D3425="Completed",L3425*J3425*(1-K3425),0)</x:f>
        <x:v>0</x:v>
      </x:c>
      <x:c r="Q3425" s="9" t="n">
        <x:f>O3425-P3425</x:f>
        <x:v>0</x:v>
      </x:c>
      <x:c r="R3425" s="11" t="n">
        <x:f>IF(D3425="Completed",I3425,0)</x:f>
        <x:v>0</x:v>
      </x:c>
      <x:c r="S3425" s="11" t="n">
        <x:f>IF(D3425="Completed",L3425,0)</x:f>
        <x:v>0</x:v>
      </x:c>
      <x:c r="T3425" s="8" t="n">
        <x:f>DATE(YEAR(C3425),MONTH(C3425),1)</x:f>
        <x:v>45748</x:v>
      </x:c>
    </x:row>
    <x:row r="3426" ht="22" customHeight="1">
      <x:c r="A3426" s="2" t="str">
        <x:v>L003422</x:v>
      </x:c>
      <x:c r="B3426" s="2" t="str">
        <x:v>O01394</x:v>
      </x:c>
      <x:c r="C3426" s="7" t="n">
        <x:v>45761</x:v>
      </x:c>
      <x:c r="D3426" s="2" t="str">
        <x:v>Cancelled</x:v>
      </x:c>
      <x:c r="E3426" s="2" t="str">
        <x:v>North</x:v>
      </x:c>
      <x:c r="F3426" s="2" t="str">
        <x:v>Store</x:v>
      </x:c>
      <x:c r="G3426" s="2" t="str">
        <x:v>Furniture</x:v>
      </x:c>
      <x:c r="H3426" s="2" t="str">
        <x:v>Desk 012</x:v>
      </x:c>
      <x:c r="I3426" s="11" t="n">
        <x:v>4</x:v>
      </x:c>
      <x:c r="J3426" s="9" t="n">
        <x:v>134</x:v>
      </x:c>
      <x:c r="K3426" s="10" t="n">
        <x:v>0.05</x:v>
      </x:c>
      <x:c r="L3426" s="11" t="n">
        <x:v>0</x:v>
      </x:c>
      <x:c r="M3426" s="9" t="n">
        <x:f>IF(D3426="Completed",I3426*J3426,0)</x:f>
        <x:v>0</x:v>
      </x:c>
      <x:c r="N3426" s="9" t="n">
        <x:f>M3426*K3426</x:f>
        <x:v>0</x:v>
      </x:c>
      <x:c r="O3426" s="9" t="n">
        <x:f>M3426-N3426</x:f>
        <x:v>0</x:v>
      </x:c>
      <x:c r="P3426" s="9" t="n">
        <x:f>IF(D3426="Completed",L3426*J3426*(1-K3426),0)</x:f>
        <x:v>0</x:v>
      </x:c>
      <x:c r="Q3426" s="9" t="n">
        <x:f>O3426-P3426</x:f>
        <x:v>0</x:v>
      </x:c>
      <x:c r="R3426" s="11" t="n">
        <x:f>IF(D3426="Completed",I3426,0)</x:f>
        <x:v>0</x:v>
      </x:c>
      <x:c r="S3426" s="11" t="n">
        <x:f>IF(D3426="Completed",L3426,0)</x:f>
        <x:v>0</x:v>
      </x:c>
      <x:c r="T3426" s="8" t="n">
        <x:f>DATE(YEAR(C3426),MONTH(C3426),1)</x:f>
        <x:v>45748</x:v>
      </x:c>
    </x:row>
    <x:row r="3427" ht="22" customHeight="1">
      <x:c r="A3427" s="2" t="str">
        <x:v>L003423</x:v>
      </x:c>
      <x:c r="B3427" s="2" t="str">
        <x:v>O01395</x:v>
      </x:c>
      <x:c r="C3427" s="7" t="n">
        <x:v>45690</x:v>
      </x:c>
      <x:c r="D3427" s="2" t="str">
        <x:v>Completed</x:v>
      </x:c>
      <x:c r="E3427" s="2" t="str">
        <x:v>North</x:v>
      </x:c>
      <x:c r="F3427" s="2" t="str">
        <x:v>Store</x:v>
      </x:c>
      <x:c r="G3427" s="2" t="str">
        <x:v>Lighting</x:v>
      </x:c>
      <x:c r="H3427" s="2" t="str">
        <x:v>Lamp 013</x:v>
      </x:c>
      <x:c r="I3427" s="11" t="n">
        <x:v>5</x:v>
      </x:c>
      <x:c r="J3427" s="9" t="n">
        <x:v>271</x:v>
      </x:c>
      <x:c r="K3427" s="10" t="n">
        <x:v>0.1</x:v>
      </x:c>
      <x:c r="L3427" s="11" t="n">
        <x:v>0</x:v>
      </x:c>
      <x:c r="M3427" s="9" t="n">
        <x:f>IF(D3427="Completed",I3427*J3427,0)</x:f>
        <x:v>1355</x:v>
      </x:c>
      <x:c r="N3427" s="9" t="n">
        <x:f>M3427*K3427</x:f>
        <x:v>135.5</x:v>
      </x:c>
      <x:c r="O3427" s="9" t="n">
        <x:f>M3427-N3427</x:f>
        <x:v>1219.5</x:v>
      </x:c>
      <x:c r="P3427" s="9" t="n">
        <x:f>IF(D3427="Completed",L3427*J3427*(1-K3427),0)</x:f>
        <x:v>0</x:v>
      </x:c>
      <x:c r="Q3427" s="9" t="n">
        <x:f>O3427-P3427</x:f>
        <x:v>1219.5</x:v>
      </x:c>
      <x:c r="R3427" s="11" t="n">
        <x:f>IF(D3427="Completed",I3427,0)</x:f>
        <x:v>5</x:v>
      </x:c>
      <x:c r="S3427" s="11" t="n">
        <x:f>IF(D3427="Completed",L3427,0)</x:f>
        <x:v>0</x:v>
      </x:c>
      <x:c r="T3427" s="8" t="n">
        <x:f>DATE(YEAR(C3427),MONTH(C3427),1)</x:f>
        <x:v>45689</x:v>
      </x:c>
    </x:row>
    <x:row r="3428" ht="22" customHeight="1">
      <x:c r="A3428" s="2" t="str">
        <x:v>L003424</x:v>
      </x:c>
      <x:c r="B3428" s="2" t="str">
        <x:v>O01395</x:v>
      </x:c>
      <x:c r="C3428" s="7" t="n">
        <x:v>45690</x:v>
      </x:c>
      <x:c r="D3428" s="2" t="str">
        <x:v>Completed</x:v>
      </x:c>
      <x:c r="E3428" s="2" t="str">
        <x:v>North</x:v>
      </x:c>
      <x:c r="F3428" s="2" t="str">
        <x:v>Store</x:v>
      </x:c>
      <x:c r="G3428" s="2" t="str">
        <x:v>Furniture</x:v>
      </x:c>
      <x:c r="H3428" s="2" t="str">
        <x:v>Desk 012</x:v>
      </x:c>
      <x:c r="I3428" s="11" t="n">
        <x:v>3</x:v>
      </x:c>
      <x:c r="J3428" s="9" t="n">
        <x:v>134</x:v>
      </x:c>
      <x:c r="K3428" s="10" t="n">
        <x:v>0.1</x:v>
      </x:c>
      <x:c r="L3428" s="11" t="n">
        <x:v>0</x:v>
      </x:c>
      <x:c r="M3428" s="9" t="n">
        <x:f>IF(D3428="Completed",I3428*J3428,0)</x:f>
        <x:v>402</x:v>
      </x:c>
      <x:c r="N3428" s="9" t="n">
        <x:f>M3428*K3428</x:f>
        <x:v>40.2</x:v>
      </x:c>
      <x:c r="O3428" s="9" t="n">
        <x:f>M3428-N3428</x:f>
        <x:v>361.8</x:v>
      </x:c>
      <x:c r="P3428" s="9" t="n">
        <x:f>IF(D3428="Completed",L3428*J3428*(1-K3428),0)</x:f>
        <x:v>0</x:v>
      </x:c>
      <x:c r="Q3428" s="9" t="n">
        <x:f>O3428-P3428</x:f>
        <x:v>361.8</x:v>
      </x:c>
      <x:c r="R3428" s="11" t="n">
        <x:f>IF(D3428="Completed",I3428,0)</x:f>
        <x:v>3</x:v>
      </x:c>
      <x:c r="S3428" s="11" t="n">
        <x:f>IF(D3428="Completed",L3428,0)</x:f>
        <x:v>0</x:v>
      </x:c>
      <x:c r="T3428" s="8" t="n">
        <x:f>DATE(YEAR(C3428),MONTH(C3428),1)</x:f>
        <x:v>45689</x:v>
      </x:c>
    </x:row>
    <x:row r="3429" ht="22" customHeight="1">
      <x:c r="A3429" s="2" t="str">
        <x:v>L003425</x:v>
      </x:c>
      <x:c r="B3429" s="2" t="str">
        <x:v>O01395</x:v>
      </x:c>
      <x:c r="C3429" s="7" t="n">
        <x:v>45690</x:v>
      </x:c>
      <x:c r="D3429" s="2" t="str">
        <x:v>Completed</x:v>
      </x:c>
      <x:c r="E3429" s="2" t="str">
        <x:v>North</x:v>
      </x:c>
      <x:c r="F3429" s="2" t="str">
        <x:v>Store</x:v>
      </x:c>
      <x:c r="G3429" s="2" t="str">
        <x:v>Furniture</x:v>
      </x:c>
      <x:c r="H3429" s="2" t="str">
        <x:v>Chair 006</x:v>
      </x:c>
      <x:c r="I3429" s="11" t="n">
        <x:v>3</x:v>
      </x:c>
      <x:c r="J3429" s="9" t="n">
        <x:v>196</x:v>
      </x:c>
      <x:c r="K3429" s="10" t="n">
        <x:v>0.05</x:v>
      </x:c>
      <x:c r="L3429" s="11" t="n">
        <x:v>2</x:v>
      </x:c>
      <x:c r="M3429" s="9" t="n">
        <x:f>IF(D3429="Completed",I3429*J3429,0)</x:f>
        <x:v>588</x:v>
      </x:c>
      <x:c r="N3429" s="9" t="n">
        <x:f>M3429*K3429</x:f>
        <x:v>29.400000000000002</x:v>
      </x:c>
      <x:c r="O3429" s="9" t="n">
        <x:f>M3429-N3429</x:f>
        <x:v>558.6</x:v>
      </x:c>
      <x:c r="P3429" s="9" t="n">
        <x:f>IF(D3429="Completed",L3429*J3429*(1-K3429),0)</x:f>
        <x:v>372.4</x:v>
      </x:c>
      <x:c r="Q3429" s="9" t="n">
        <x:f>O3429-P3429</x:f>
        <x:v>186.20000000000005</x:v>
      </x:c>
      <x:c r="R3429" s="11" t="n">
        <x:f>IF(D3429="Completed",I3429,0)</x:f>
        <x:v>3</x:v>
      </x:c>
      <x:c r="S3429" s="11" t="n">
        <x:f>IF(D3429="Completed",L3429,0)</x:f>
        <x:v>2</x:v>
      </x:c>
      <x:c r="T3429" s="8" t="n">
        <x:f>DATE(YEAR(C3429),MONTH(C3429),1)</x:f>
        <x:v>45689</x:v>
      </x:c>
    </x:row>
    <x:row r="3430" ht="22" customHeight="1">
      <x:c r="A3430" s="2" t="str">
        <x:v>L003426</x:v>
      </x:c>
      <x:c r="B3430" s="2" t="str">
        <x:v>O01395</x:v>
      </x:c>
      <x:c r="C3430" s="7" t="n">
        <x:v>45690</x:v>
      </x:c>
      <x:c r="D3430" s="2" t="str">
        <x:v>Completed</x:v>
      </x:c>
      <x:c r="E3430" s="2" t="str">
        <x:v>North</x:v>
      </x:c>
      <x:c r="F3430" s="2" t="str">
        <x:v>Store</x:v>
      </x:c>
      <x:c r="G3430" s="2" t="str">
        <x:v>Storage</x:v>
      </x:c>
      <x:c r="H3430" s="2" t="str">
        <x:v>Shelf 011</x:v>
      </x:c>
      <x:c r="I3430" s="11" t="n">
        <x:v>3</x:v>
      </x:c>
      <x:c r="J3430" s="9" t="n">
        <x:v>80</x:v>
      </x:c>
      <x:c r="K3430" s="10" t="n">
        <x:v>0.1</x:v>
      </x:c>
      <x:c r="L3430" s="11" t="n">
        <x:v>0</x:v>
      </x:c>
      <x:c r="M3430" s="9" t="n">
        <x:f>IF(D3430="Completed",I3430*J3430,0)</x:f>
        <x:v>240</x:v>
      </x:c>
      <x:c r="N3430" s="9" t="n">
        <x:f>M3430*K3430</x:f>
        <x:v>24</x:v>
      </x:c>
      <x:c r="O3430" s="9" t="n">
        <x:f>M3430-N3430</x:f>
        <x:v>216</x:v>
      </x:c>
      <x:c r="P3430" s="9" t="n">
        <x:f>IF(D3430="Completed",L3430*J3430*(1-K3430),0)</x:f>
        <x:v>0</x:v>
      </x:c>
      <x:c r="Q3430" s="9" t="n">
        <x:f>O3430-P3430</x:f>
        <x:v>216</x:v>
      </x:c>
      <x:c r="R3430" s="11" t="n">
        <x:f>IF(D3430="Completed",I3430,0)</x:f>
        <x:v>3</x:v>
      </x:c>
      <x:c r="S3430" s="11" t="n">
        <x:f>IF(D3430="Completed",L3430,0)</x:f>
        <x:v>0</x:v>
      </x:c>
      <x:c r="T3430" s="8" t="n">
        <x:f>DATE(YEAR(C3430),MONTH(C3430),1)</x:f>
        <x:v>45689</x:v>
      </x:c>
    </x:row>
    <x:row r="3431" ht="22" customHeight="1">
      <x:c r="A3431" s="2" t="str">
        <x:v>L003427</x:v>
      </x:c>
      <x:c r="B3431" s="2" t="str">
        <x:v>O01396</x:v>
      </x:c>
      <x:c r="C3431" s="7" t="n">
        <x:v>45974</x:v>
      </x:c>
      <x:c r="D3431" s="2" t="str">
        <x:v>Cancelled</x:v>
      </x:c>
      <x:c r="E3431" s="2" t="str">
        <x:v>South</x:v>
      </x:c>
      <x:c r="F3431" s="2" t="str">
        <x:v>Store</x:v>
      </x:c>
      <x:c r="G3431" s="2" t="str">
        <x:v>Furniture</x:v>
      </x:c>
      <x:c r="H3431" s="2" t="str">
        <x:v>Desk 020</x:v>
      </x:c>
      <x:c r="I3431" s="11" t="n">
        <x:v>3</x:v>
      </x:c>
      <x:c r="J3431" s="9" t="n">
        <x:v>189</x:v>
      </x:c>
      <x:c r="K3431" s="10" t="n">
        <x:v>0</x:v>
      </x:c>
      <x:c r="L3431" s="11" t="n">
        <x:v>0</x:v>
      </x:c>
      <x:c r="M3431" s="9" t="n">
        <x:f>IF(D3431="Completed",I3431*J3431,0)</x:f>
        <x:v>0</x:v>
      </x:c>
      <x:c r="N3431" s="9" t="n">
        <x:f>M3431*K3431</x:f>
        <x:v>0</x:v>
      </x:c>
      <x:c r="O3431" s="9" t="n">
        <x:f>M3431-N3431</x:f>
        <x:v>0</x:v>
      </x:c>
      <x:c r="P3431" s="9" t="n">
        <x:f>IF(D3431="Completed",L3431*J3431*(1-K3431),0)</x:f>
        <x:v>0</x:v>
      </x:c>
      <x:c r="Q3431" s="9" t="n">
        <x:f>O3431-P3431</x:f>
        <x:v>0</x:v>
      </x:c>
      <x:c r="R3431" s="11" t="n">
        <x:f>IF(D3431="Completed",I3431,0)</x:f>
        <x:v>0</x:v>
      </x:c>
      <x:c r="S3431" s="11" t="n">
        <x:f>IF(D3431="Completed",L3431,0)</x:f>
        <x:v>0</x:v>
      </x:c>
      <x:c r="T3431" s="8" t="n">
        <x:f>DATE(YEAR(C3431),MONTH(C3431),1)</x:f>
        <x:v>45962</x:v>
      </x:c>
    </x:row>
    <x:row r="3432" ht="22" customHeight="1">
      <x:c r="A3432" s="2" t="str">
        <x:v>L003428</x:v>
      </x:c>
      <x:c r="B3432" s="2" t="str">
        <x:v>O01397</x:v>
      </x:c>
      <x:c r="C3432" s="7" t="n">
        <x:v>45916</x:v>
      </x:c>
      <x:c r="D3432" s="2" t="str">
        <x:v>Cancelled</x:v>
      </x:c>
      <x:c r="E3432" s="2" t="str">
        <x:v>North</x:v>
      </x:c>
      <x:c r="F3432" s="2" t="str">
        <x:v>Store</x:v>
      </x:c>
      <x:c r="G3432" s="2" t="str">
        <x:v>Furniture</x:v>
      </x:c>
      <x:c r="H3432" s="2" t="str">
        <x:v>Desk 016</x:v>
      </x:c>
      <x:c r="I3432" s="11" t="n">
        <x:v>2</x:v>
      </x:c>
      <x:c r="J3432" s="9" t="n">
        <x:v>231</x:v>
      </x:c>
      <x:c r="K3432" s="10" t="n">
        <x:v>0.05</x:v>
      </x:c>
      <x:c r="L3432" s="11" t="n">
        <x:v>0</x:v>
      </x:c>
      <x:c r="M3432" s="9" t="n">
        <x:f>IF(D3432="Completed",I3432*J3432,0)</x:f>
        <x:v>0</x:v>
      </x:c>
      <x:c r="N3432" s="9" t="n">
        <x:f>M3432*K3432</x:f>
        <x:v>0</x:v>
      </x:c>
      <x:c r="O3432" s="9" t="n">
        <x:f>M3432-N3432</x:f>
        <x:v>0</x:v>
      </x:c>
      <x:c r="P3432" s="9" t="n">
        <x:f>IF(D3432="Completed",L3432*J3432*(1-K3432),0)</x:f>
        <x:v>0</x:v>
      </x:c>
      <x:c r="Q3432" s="9" t="n">
        <x:f>O3432-P3432</x:f>
        <x:v>0</x:v>
      </x:c>
      <x:c r="R3432" s="11" t="n">
        <x:f>IF(D3432="Completed",I3432,0)</x:f>
        <x:v>0</x:v>
      </x:c>
      <x:c r="S3432" s="11" t="n">
        <x:f>IF(D3432="Completed",L3432,0)</x:f>
        <x:v>0</x:v>
      </x:c>
      <x:c r="T3432" s="8" t="n">
        <x:f>DATE(YEAR(C3432),MONTH(C3432),1)</x:f>
        <x:v>45901</x:v>
      </x:c>
    </x:row>
    <x:row r="3433" ht="22" customHeight="1">
      <x:c r="A3433" s="2" t="str">
        <x:v>L003429</x:v>
      </x:c>
      <x:c r="B3433" s="2" t="str">
        <x:v>O01397</x:v>
      </x:c>
      <x:c r="C3433" s="7" t="n">
        <x:v>45916</x:v>
      </x:c>
      <x:c r="D3433" s="2" t="str">
        <x:v>Cancelled</x:v>
      </x:c>
      <x:c r="E3433" s="2" t="str">
        <x:v>North</x:v>
      </x:c>
      <x:c r="F3433" s="2" t="str">
        <x:v>Store</x:v>
      </x:c>
      <x:c r="G3433" s="2" t="str">
        <x:v>Storage</x:v>
      </x:c>
      <x:c r="H3433" s="2" t="str">
        <x:v>Shelf 007</x:v>
      </x:c>
      <x:c r="I3433" s="11" t="n">
        <x:v>2</x:v>
      </x:c>
      <x:c r="J3433" s="9" t="n">
        <x:v>35</x:v>
      </x:c>
      <x:c r="K3433" s="10" t="n">
        <x:v>0.05</x:v>
      </x:c>
      <x:c r="L3433" s="11" t="n">
        <x:v>0</x:v>
      </x:c>
      <x:c r="M3433" s="9" t="n">
        <x:f>IF(D3433="Completed",I3433*J3433,0)</x:f>
        <x:v>0</x:v>
      </x:c>
      <x:c r="N3433" s="9" t="n">
        <x:f>M3433*K3433</x:f>
        <x:v>0</x:v>
      </x:c>
      <x:c r="O3433" s="9" t="n">
        <x:f>M3433-N3433</x:f>
        <x:v>0</x:v>
      </x:c>
      <x:c r="P3433" s="9" t="n">
        <x:f>IF(D3433="Completed",L3433*J3433*(1-K3433),0)</x:f>
        <x:v>0</x:v>
      </x:c>
      <x:c r="Q3433" s="9" t="n">
        <x:f>O3433-P3433</x:f>
        <x:v>0</x:v>
      </x:c>
      <x:c r="R3433" s="11" t="n">
        <x:f>IF(D3433="Completed",I3433,0)</x:f>
        <x:v>0</x:v>
      </x:c>
      <x:c r="S3433" s="11" t="n">
        <x:f>IF(D3433="Completed",L3433,0)</x:f>
        <x:v>0</x:v>
      </x:c>
      <x:c r="T3433" s="8" t="n">
        <x:f>DATE(YEAR(C3433),MONTH(C3433),1)</x:f>
        <x:v>45901</x:v>
      </x:c>
    </x:row>
    <x:row r="3434" ht="22" customHeight="1">
      <x:c r="A3434" s="2" t="str">
        <x:v>L003430</x:v>
      </x:c>
      <x:c r="B3434" s="2" t="str">
        <x:v>O01397</x:v>
      </x:c>
      <x:c r="C3434" s="7" t="n">
        <x:v>45916</x:v>
      </x:c>
      <x:c r="D3434" s="2" t="str">
        <x:v>Cancelled</x:v>
      </x:c>
      <x:c r="E3434" s="2" t="str">
        <x:v>North</x:v>
      </x:c>
      <x:c r="F3434" s="2" t="str">
        <x:v>Store</x:v>
      </x:c>
      <x:c r="G3434" s="2" t="str">
        <x:v>Lighting</x:v>
      </x:c>
      <x:c r="H3434" s="2" t="str">
        <x:v>Lamp 013</x:v>
      </x:c>
      <x:c r="I3434" s="11" t="n">
        <x:v>4</x:v>
      </x:c>
      <x:c r="J3434" s="9" t="n">
        <x:v>271</x:v>
      </x:c>
      <x:c r="K3434" s="10" t="n">
        <x:v>0</x:v>
      </x:c>
      <x:c r="L3434" s="11" t="n">
        <x:v>0</x:v>
      </x:c>
      <x:c r="M3434" s="9" t="n">
        <x:f>IF(D3434="Completed",I3434*J3434,0)</x:f>
        <x:v>0</x:v>
      </x:c>
      <x:c r="N3434" s="9" t="n">
        <x:f>M3434*K3434</x:f>
        <x:v>0</x:v>
      </x:c>
      <x:c r="O3434" s="9" t="n">
        <x:f>M3434-N3434</x:f>
        <x:v>0</x:v>
      </x:c>
      <x:c r="P3434" s="9" t="n">
        <x:f>IF(D3434="Completed",L3434*J3434*(1-K3434),0)</x:f>
        <x:v>0</x:v>
      </x:c>
      <x:c r="Q3434" s="9" t="n">
        <x:f>O3434-P3434</x:f>
        <x:v>0</x:v>
      </x:c>
      <x:c r="R3434" s="11" t="n">
        <x:f>IF(D3434="Completed",I3434,0)</x:f>
        <x:v>0</x:v>
      </x:c>
      <x:c r="S3434" s="11" t="n">
        <x:f>IF(D3434="Completed",L3434,0)</x:f>
        <x:v>0</x:v>
      </x:c>
      <x:c r="T3434" s="8" t="n">
        <x:f>DATE(YEAR(C3434),MONTH(C3434),1)</x:f>
        <x:v>45901</x:v>
      </x:c>
    </x:row>
    <x:row r="3435" ht="22" customHeight="1">
      <x:c r="A3435" s="2" t="str">
        <x:v>L003431</x:v>
      </x:c>
      <x:c r="B3435" s="2" t="str">
        <x:v>O01397</x:v>
      </x:c>
      <x:c r="C3435" s="7" t="n">
        <x:v>45916</x:v>
      </x:c>
      <x:c r="D3435" s="2" t="str">
        <x:v>Cancelled</x:v>
      </x:c>
      <x:c r="E3435" s="2" t="str">
        <x:v>North</x:v>
      </x:c>
      <x:c r="F3435" s="2" t="str">
        <x:v>Store</x:v>
      </x:c>
      <x:c r="G3435" s="2" t="str">
        <x:v>Lighting</x:v>
      </x:c>
      <x:c r="H3435" s="2" t="str">
        <x:v>Lamp 013</x:v>
      </x:c>
      <x:c r="I3435" s="11" t="n">
        <x:v>4</x:v>
      </x:c>
      <x:c r="J3435" s="9" t="n">
        <x:v>271</x:v>
      </x:c>
      <x:c r="K3435" s="10" t="n">
        <x:v>0.2</x:v>
      </x:c>
      <x:c r="L3435" s="11" t="n">
        <x:v>0</x:v>
      </x:c>
      <x:c r="M3435" s="9" t="n">
        <x:f>IF(D3435="Completed",I3435*J3435,0)</x:f>
        <x:v>0</x:v>
      </x:c>
      <x:c r="N3435" s="9" t="n">
        <x:f>M3435*K3435</x:f>
        <x:v>0</x:v>
      </x:c>
      <x:c r="O3435" s="9" t="n">
        <x:f>M3435-N3435</x:f>
        <x:v>0</x:v>
      </x:c>
      <x:c r="P3435" s="9" t="n">
        <x:f>IF(D3435="Completed",L3435*J3435*(1-K3435),0)</x:f>
        <x:v>0</x:v>
      </x:c>
      <x:c r="Q3435" s="9" t="n">
        <x:f>O3435-P3435</x:f>
        <x:v>0</x:v>
      </x:c>
      <x:c r="R3435" s="11" t="n">
        <x:f>IF(D3435="Completed",I3435,0)</x:f>
        <x:v>0</x:v>
      </x:c>
      <x:c r="S3435" s="11" t="n">
        <x:f>IF(D3435="Completed",L3435,0)</x:f>
        <x:v>0</x:v>
      </x:c>
      <x:c r="T3435" s="8" t="n">
        <x:f>DATE(YEAR(C3435),MONTH(C3435),1)</x:f>
        <x:v>45901</x:v>
      </x:c>
    </x:row>
    <x:row r="3436" ht="22" customHeight="1">
      <x:c r="A3436" s="2" t="str">
        <x:v>L003432</x:v>
      </x:c>
      <x:c r="B3436" s="2" t="str">
        <x:v>O01398</x:v>
      </x:c>
      <x:c r="C3436" s="7" t="n">
        <x:v>45818</x:v>
      </x:c>
      <x:c r="D3436" s="2" t="str">
        <x:v>Completed</x:v>
      </x:c>
      <x:c r="E3436" s="2" t="str">
        <x:v>South</x:v>
      </x:c>
      <x:c r="F3436" s="2" t="str">
        <x:v>Online</x:v>
      </x:c>
      <x:c r="G3436" s="2" t="str">
        <x:v>Furniture</x:v>
      </x:c>
      <x:c r="H3436" s="2" t="str">
        <x:v>Chair 002</x:v>
      </x:c>
      <x:c r="I3436" s="11" t="n">
        <x:v>3</x:v>
      </x:c>
      <x:c r="J3436" s="9" t="n">
        <x:v>284</x:v>
      </x:c>
      <x:c r="K3436" s="10" t="n">
        <x:v>0</x:v>
      </x:c>
      <x:c r="L3436" s="11" t="n">
        <x:v>0</x:v>
      </x:c>
      <x:c r="M3436" s="9" t="n">
        <x:f>IF(D3436="Completed",I3436*J3436,0)</x:f>
        <x:v>852</x:v>
      </x:c>
      <x:c r="N3436" s="9" t="n">
        <x:f>M3436*K3436</x:f>
        <x:v>0</x:v>
      </x:c>
      <x:c r="O3436" s="9" t="n">
        <x:f>M3436-N3436</x:f>
        <x:v>852</x:v>
      </x:c>
      <x:c r="P3436" s="9" t="n">
        <x:f>IF(D3436="Completed",L3436*J3436*(1-K3436),0)</x:f>
        <x:v>0</x:v>
      </x:c>
      <x:c r="Q3436" s="9" t="n">
        <x:f>O3436-P3436</x:f>
        <x:v>852</x:v>
      </x:c>
      <x:c r="R3436" s="11" t="n">
        <x:f>IF(D3436="Completed",I3436,0)</x:f>
        <x:v>3</x:v>
      </x:c>
      <x:c r="S3436" s="11" t="n">
        <x:f>IF(D3436="Completed",L3436,0)</x:f>
        <x:v>0</x:v>
      </x:c>
      <x:c r="T3436" s="8" t="n">
        <x:f>DATE(YEAR(C3436),MONTH(C3436),1)</x:f>
        <x:v>45809</x:v>
      </x:c>
    </x:row>
    <x:row r="3437" ht="22" customHeight="1">
      <x:c r="A3437" s="2" t="str">
        <x:v>L003433</x:v>
      </x:c>
      <x:c r="B3437" s="2" t="str">
        <x:v>O01398</x:v>
      </x:c>
      <x:c r="C3437" s="7" t="n">
        <x:v>45818</x:v>
      </x:c>
      <x:c r="D3437" s="2" t="str">
        <x:v>Completed</x:v>
      </x:c>
      <x:c r="E3437" s="2" t="str">
        <x:v>South</x:v>
      </x:c>
      <x:c r="F3437" s="2" t="str">
        <x:v>Online</x:v>
      </x:c>
      <x:c r="G3437" s="2" t="str">
        <x:v>Storage</x:v>
      </x:c>
      <x:c r="H3437" s="2" t="str">
        <x:v>Shelf 015</x:v>
      </x:c>
      <x:c r="I3437" s="11" t="n">
        <x:v>3</x:v>
      </x:c>
      <x:c r="J3437" s="9" t="n">
        <x:v>254</x:v>
      </x:c>
      <x:c r="K3437" s="10" t="n">
        <x:v>0.2</x:v>
      </x:c>
      <x:c r="L3437" s="11" t="n">
        <x:v>0</x:v>
      </x:c>
      <x:c r="M3437" s="9" t="n">
        <x:f>IF(D3437="Completed",I3437*J3437,0)</x:f>
        <x:v>762</x:v>
      </x:c>
      <x:c r="N3437" s="9" t="n">
        <x:f>M3437*K3437</x:f>
        <x:v>152.4</x:v>
      </x:c>
      <x:c r="O3437" s="9" t="n">
        <x:f>M3437-N3437</x:f>
        <x:v>609.6</x:v>
      </x:c>
      <x:c r="P3437" s="9" t="n">
        <x:f>IF(D3437="Completed",L3437*J3437*(1-K3437),0)</x:f>
        <x:v>0</x:v>
      </x:c>
      <x:c r="Q3437" s="9" t="n">
        <x:f>O3437-P3437</x:f>
        <x:v>609.6</x:v>
      </x:c>
      <x:c r="R3437" s="11" t="n">
        <x:f>IF(D3437="Completed",I3437,0)</x:f>
        <x:v>3</x:v>
      </x:c>
      <x:c r="S3437" s="11" t="n">
        <x:f>IF(D3437="Completed",L3437,0)</x:f>
        <x:v>0</x:v>
      </x:c>
      <x:c r="T3437" s="8" t="n">
        <x:f>DATE(YEAR(C3437),MONTH(C3437),1)</x:f>
        <x:v>45809</x:v>
      </x:c>
    </x:row>
    <x:row r="3438" ht="22" customHeight="1">
      <x:c r="A3438" s="2" t="str">
        <x:v>L003434</x:v>
      </x:c>
      <x:c r="B3438" s="2" t="str">
        <x:v>O01399</x:v>
      </x:c>
      <x:c r="C3438" s="7" t="n">
        <x:v>45881</x:v>
      </x:c>
      <x:c r="D3438" s="2" t="str">
        <x:v>Completed</x:v>
      </x:c>
      <x:c r="E3438" s="2" t="str">
        <x:v>East</x:v>
      </x:c>
      <x:c r="F3438" s="2" t="str">
        <x:v>Online</x:v>
      </x:c>
      <x:c r="G3438" s="2" t="str">
        <x:v>Lighting</x:v>
      </x:c>
      <x:c r="H3438" s="2" t="str">
        <x:v>Lamp 005</x:v>
      </x:c>
      <x:c r="I3438" s="11" t="n">
        <x:v>2</x:v>
      </x:c>
      <x:c r="J3438" s="9" t="n">
        <x:v>65</x:v>
      </x:c>
      <x:c r="K3438" s="10" t="n">
        <x:v>0.2</x:v>
      </x:c>
      <x:c r="L3438" s="11" t="n">
        <x:v>0</x:v>
      </x:c>
      <x:c r="M3438" s="9" t="n">
        <x:f>IF(D3438="Completed",I3438*J3438,0)</x:f>
        <x:v>130</x:v>
      </x:c>
      <x:c r="N3438" s="9" t="n">
        <x:f>M3438*K3438</x:f>
        <x:v>26</x:v>
      </x:c>
      <x:c r="O3438" s="9" t="n">
        <x:f>M3438-N3438</x:f>
        <x:v>104</x:v>
      </x:c>
      <x:c r="P3438" s="9" t="n">
        <x:f>IF(D3438="Completed",L3438*J3438*(1-K3438),0)</x:f>
        <x:v>0</x:v>
      </x:c>
      <x:c r="Q3438" s="9" t="n">
        <x:f>O3438-P3438</x:f>
        <x:v>104</x:v>
      </x:c>
      <x:c r="R3438" s="11" t="n">
        <x:f>IF(D3438="Completed",I3438,0)</x:f>
        <x:v>2</x:v>
      </x:c>
      <x:c r="S3438" s="11" t="n">
        <x:f>IF(D3438="Completed",L3438,0)</x:f>
        <x:v>0</x:v>
      </x:c>
      <x:c r="T3438" s="8" t="n">
        <x:f>DATE(YEAR(C3438),MONTH(C3438),1)</x:f>
        <x:v>45870</x:v>
      </x:c>
    </x:row>
    <x:row r="3439" ht="22" customHeight="1">
      <x:c r="A3439" s="2" t="str">
        <x:v>L003435</x:v>
      </x:c>
      <x:c r="B3439" s="2" t="str">
        <x:v>O01400</x:v>
      </x:c>
      <x:c r="C3439" s="7" t="n">
        <x:v>46020</x:v>
      </x:c>
      <x:c r="D3439" s="2" t="str">
        <x:v>Completed</x:v>
      </x:c>
      <x:c r="E3439" s="2" t="str">
        <x:v>East</x:v>
      </x:c>
      <x:c r="F3439" s="2" t="str">
        <x:v>Online</x:v>
      </x:c>
      <x:c r="G3439" s="2" t="str">
        <x:v>Furniture</x:v>
      </x:c>
      <x:c r="H3439" s="2" t="str">
        <x:v>Chair 014</x:v>
      </x:c>
      <x:c r="I3439" s="11" t="n">
        <x:v>5</x:v>
      </x:c>
      <x:c r="J3439" s="9" t="n">
        <x:v>294</x:v>
      </x:c>
      <x:c r="K3439" s="10" t="n">
        <x:v>0.05</x:v>
      </x:c>
      <x:c r="L3439" s="11" t="n">
        <x:v>0</x:v>
      </x:c>
      <x:c r="M3439" s="9" t="n">
        <x:f>IF(D3439="Completed",I3439*J3439,0)</x:f>
        <x:v>1470</x:v>
      </x:c>
      <x:c r="N3439" s="9" t="n">
        <x:f>M3439*K3439</x:f>
        <x:v>73.5</x:v>
      </x:c>
      <x:c r="O3439" s="9" t="n">
        <x:f>M3439-N3439</x:f>
        <x:v>1396.5</x:v>
      </x:c>
      <x:c r="P3439" s="9" t="n">
        <x:f>IF(D3439="Completed",L3439*J3439*(1-K3439),0)</x:f>
        <x:v>0</x:v>
      </x:c>
      <x:c r="Q3439" s="9" t="n">
        <x:f>O3439-P3439</x:f>
        <x:v>1396.5</x:v>
      </x:c>
      <x:c r="R3439" s="11" t="n">
        <x:f>IF(D3439="Completed",I3439,0)</x:f>
        <x:v>5</x:v>
      </x:c>
      <x:c r="S3439" s="11" t="n">
        <x:f>IF(D3439="Completed",L3439,0)</x:f>
        <x:v>0</x:v>
      </x:c>
      <x:c r="T3439" s="8" t="n">
        <x:f>DATE(YEAR(C3439),MONTH(C3439),1)</x:f>
        <x:v>45992</x:v>
      </x:c>
    </x:row>
    <x:row r="3440" ht="22" customHeight="1">
      <x:c r="A3440" s="2" t="str">
        <x:v>L003436</x:v>
      </x:c>
      <x:c r="B3440" s="2" t="str">
        <x:v>O01400</x:v>
      </x:c>
      <x:c r="C3440" s="7" t="n">
        <x:v>46020</x:v>
      </x:c>
      <x:c r="D3440" s="2" t="str">
        <x:v>Completed</x:v>
      </x:c>
      <x:c r="E3440" s="2" t="str">
        <x:v>East</x:v>
      </x:c>
      <x:c r="F3440" s="2" t="str">
        <x:v>Online</x:v>
      </x:c>
      <x:c r="G3440" s="2" t="str">
        <x:v>Lighting</x:v>
      </x:c>
      <x:c r="H3440" s="2" t="str">
        <x:v>Lamp 013</x:v>
      </x:c>
      <x:c r="I3440" s="11" t="n">
        <x:v>4</x:v>
      </x:c>
      <x:c r="J3440" s="9" t="n">
        <x:v>271</x:v>
      </x:c>
      <x:c r="K3440" s="10" t="n">
        <x:v>0.2</x:v>
      </x:c>
      <x:c r="L3440" s="11" t="n">
        <x:v>0</x:v>
      </x:c>
      <x:c r="M3440" s="9" t="n">
        <x:f>IF(D3440="Completed",I3440*J3440,0)</x:f>
        <x:v>1084</x:v>
      </x:c>
      <x:c r="N3440" s="9" t="n">
        <x:f>M3440*K3440</x:f>
        <x:v>216.8</x:v>
      </x:c>
      <x:c r="O3440" s="9" t="n">
        <x:f>M3440-N3440</x:f>
        <x:v>867.2</x:v>
      </x:c>
      <x:c r="P3440" s="9" t="n">
        <x:f>IF(D3440="Completed",L3440*J3440*(1-K3440),0)</x:f>
        <x:v>0</x:v>
      </x:c>
      <x:c r="Q3440" s="9" t="n">
        <x:f>O3440-P3440</x:f>
        <x:v>867.2</x:v>
      </x:c>
      <x:c r="R3440" s="11" t="n">
        <x:f>IF(D3440="Completed",I3440,0)</x:f>
        <x:v>4</x:v>
      </x:c>
      <x:c r="S3440" s="11" t="n">
        <x:f>IF(D3440="Completed",L3440,0)</x:f>
        <x:v>0</x:v>
      </x:c>
      <x:c r="T3440" s="8" t="n">
        <x:f>DATE(YEAR(C3440),MONTH(C3440),1)</x:f>
        <x:v>45992</x:v>
      </x:c>
    </x:row>
    <x:row r="3441" ht="22" customHeight="1">
      <x:c r="A3441" s="2" t="str">
        <x:v>L003437</x:v>
      </x:c>
      <x:c r="B3441" s="2" t="str">
        <x:v>O01401</x:v>
      </x:c>
      <x:c r="C3441" s="7" t="n">
        <x:v>45694</x:v>
      </x:c>
      <x:c r="D3441" s="2" t="str">
        <x:v>Completed</x:v>
      </x:c>
      <x:c r="E3441" s="2" t="str">
        <x:v>West</x:v>
      </x:c>
      <x:c r="F3441" s="2" t="str">
        <x:v>Store</x:v>
      </x:c>
      <x:c r="G3441" s="2" t="str">
        <x:v>Furniture</x:v>
      </x:c>
      <x:c r="H3441" s="2" t="str">
        <x:v>Desk 024</x:v>
      </x:c>
      <x:c r="I3441" s="11" t="n">
        <x:v>4</x:v>
      </x:c>
      <x:c r="J3441" s="9" t="n">
        <x:v>81</x:v>
      </x:c>
      <x:c r="K3441" s="10" t="n">
        <x:v>0.05</x:v>
      </x:c>
      <x:c r="L3441" s="11" t="n">
        <x:v>4</x:v>
      </x:c>
      <x:c r="M3441" s="9" t="n">
        <x:f>IF(D3441="Completed",I3441*J3441,0)</x:f>
        <x:v>324</x:v>
      </x:c>
      <x:c r="N3441" s="9" t="n">
        <x:f>M3441*K3441</x:f>
        <x:v>16.2</x:v>
      </x:c>
      <x:c r="O3441" s="9" t="n">
        <x:f>M3441-N3441</x:f>
        <x:v>307.8</x:v>
      </x:c>
      <x:c r="P3441" s="9" t="n">
        <x:f>IF(D3441="Completed",L3441*J3441*(1-K3441),0)</x:f>
        <x:v>307.8</x:v>
      </x:c>
      <x:c r="Q3441" s="9" t="n">
        <x:f>O3441-P3441</x:f>
        <x:v>0</x:v>
      </x:c>
      <x:c r="R3441" s="11" t="n">
        <x:f>IF(D3441="Completed",I3441,0)</x:f>
        <x:v>4</x:v>
      </x:c>
      <x:c r="S3441" s="11" t="n">
        <x:f>IF(D3441="Completed",L3441,0)</x:f>
        <x:v>4</x:v>
      </x:c>
      <x:c r="T3441" s="8" t="n">
        <x:f>DATE(YEAR(C3441),MONTH(C3441),1)</x:f>
        <x:v>45689</x:v>
      </x:c>
    </x:row>
    <x:row r="3442" ht="22" customHeight="1">
      <x:c r="A3442" s="2" t="str">
        <x:v>L003438</x:v>
      </x:c>
      <x:c r="B3442" s="2" t="str">
        <x:v>O01401</x:v>
      </x:c>
      <x:c r="C3442" s="7" t="n">
        <x:v>45694</x:v>
      </x:c>
      <x:c r="D3442" s="2" t="str">
        <x:v>Completed</x:v>
      </x:c>
      <x:c r="E3442" s="2" t="str">
        <x:v>West</x:v>
      </x:c>
      <x:c r="F3442" s="2" t="str">
        <x:v>Store</x:v>
      </x:c>
      <x:c r="G3442" s="2" t="str">
        <x:v>Storage</x:v>
      </x:c>
      <x:c r="H3442" s="2" t="str">
        <x:v>Shelf 007</x:v>
      </x:c>
      <x:c r="I3442" s="11" t="n">
        <x:v>1</x:v>
      </x:c>
      <x:c r="J3442" s="9" t="n">
        <x:v>35</x:v>
      </x:c>
      <x:c r="K3442" s="10" t="n">
        <x:v>0</x:v>
      </x:c>
      <x:c r="L3442" s="11" t="n">
        <x:v>0</x:v>
      </x:c>
      <x:c r="M3442" s="9" t="n">
        <x:f>IF(D3442="Completed",I3442*J3442,0)</x:f>
        <x:v>35</x:v>
      </x:c>
      <x:c r="N3442" s="9" t="n">
        <x:f>M3442*K3442</x:f>
        <x:v>0</x:v>
      </x:c>
      <x:c r="O3442" s="9" t="n">
        <x:f>M3442-N3442</x:f>
        <x:v>35</x:v>
      </x:c>
      <x:c r="P3442" s="9" t="n">
        <x:f>IF(D3442="Completed",L3442*J3442*(1-K3442),0)</x:f>
        <x:v>0</x:v>
      </x:c>
      <x:c r="Q3442" s="9" t="n">
        <x:f>O3442-P3442</x:f>
        <x:v>35</x:v>
      </x:c>
      <x:c r="R3442" s="11" t="n">
        <x:f>IF(D3442="Completed",I3442,0)</x:f>
        <x:v>1</x:v>
      </x:c>
      <x:c r="S3442" s="11" t="n">
        <x:f>IF(D3442="Completed",L3442,0)</x:f>
        <x:v>0</x:v>
      </x:c>
      <x:c r="T3442" s="8" t="n">
        <x:f>DATE(YEAR(C3442),MONTH(C3442),1)</x:f>
        <x:v>45689</x:v>
      </x:c>
    </x:row>
    <x:row r="3443" ht="22" customHeight="1">
      <x:c r="A3443" s="2" t="str">
        <x:v>L003439</x:v>
      </x:c>
      <x:c r="B3443" s="2" t="str">
        <x:v>O01401</x:v>
      </x:c>
      <x:c r="C3443" s="7" t="n">
        <x:v>45694</x:v>
      </x:c>
      <x:c r="D3443" s="2" t="str">
        <x:v>Completed</x:v>
      </x:c>
      <x:c r="E3443" s="2" t="str">
        <x:v>West</x:v>
      </x:c>
      <x:c r="F3443" s="2" t="str">
        <x:v>Store</x:v>
      </x:c>
      <x:c r="G3443" s="2" t="str">
        <x:v>Lighting</x:v>
      </x:c>
      <x:c r="H3443" s="2" t="str">
        <x:v>Lamp 017</x:v>
      </x:c>
      <x:c r="I3443" s="11" t="n">
        <x:v>3</x:v>
      </x:c>
      <x:c r="J3443" s="9" t="n">
        <x:v>300</x:v>
      </x:c>
      <x:c r="K3443" s="10" t="n">
        <x:v>0</x:v>
      </x:c>
      <x:c r="L3443" s="11" t="n">
        <x:v>0</x:v>
      </x:c>
      <x:c r="M3443" s="9" t="n">
        <x:f>IF(D3443="Completed",I3443*J3443,0)</x:f>
        <x:v>900</x:v>
      </x:c>
      <x:c r="N3443" s="9" t="n">
        <x:f>M3443*K3443</x:f>
        <x:v>0</x:v>
      </x:c>
      <x:c r="O3443" s="9" t="n">
        <x:f>M3443-N3443</x:f>
        <x:v>900</x:v>
      </x:c>
      <x:c r="P3443" s="9" t="n">
        <x:f>IF(D3443="Completed",L3443*J3443*(1-K3443),0)</x:f>
        <x:v>0</x:v>
      </x:c>
      <x:c r="Q3443" s="9" t="n">
        <x:f>O3443-P3443</x:f>
        <x:v>900</x:v>
      </x:c>
      <x:c r="R3443" s="11" t="n">
        <x:f>IF(D3443="Completed",I3443,0)</x:f>
        <x:v>3</x:v>
      </x:c>
      <x:c r="S3443" s="11" t="n">
        <x:f>IF(D3443="Completed",L3443,0)</x:f>
        <x:v>0</x:v>
      </x:c>
      <x:c r="T3443" s="8" t="n">
        <x:f>DATE(YEAR(C3443),MONTH(C3443),1)</x:f>
        <x:v>45689</x:v>
      </x:c>
    </x:row>
    <x:row r="3444" ht="22" customHeight="1">
      <x:c r="A3444" s="2" t="str">
        <x:v>L003440</x:v>
      </x:c>
      <x:c r="B3444" s="2" t="str">
        <x:v>O01401</x:v>
      </x:c>
      <x:c r="C3444" s="7" t="n">
        <x:v>45694</x:v>
      </x:c>
      <x:c r="D3444" s="2" t="str">
        <x:v>Completed</x:v>
      </x:c>
      <x:c r="E3444" s="2" t="str">
        <x:v>West</x:v>
      </x:c>
      <x:c r="F3444" s="2" t="str">
        <x:v>Store</x:v>
      </x:c>
      <x:c r="G3444" s="2" t="str">
        <x:v>Furniture</x:v>
      </x:c>
      <x:c r="H3444" s="2" t="str">
        <x:v>Desk 012</x:v>
      </x:c>
      <x:c r="I3444" s="11" t="n">
        <x:v>3</x:v>
      </x:c>
      <x:c r="J3444" s="9" t="n">
        <x:v>134</x:v>
      </x:c>
      <x:c r="K3444" s="10" t="n">
        <x:v>0.2</x:v>
      </x:c>
      <x:c r="L3444" s="11" t="n">
        <x:v>0</x:v>
      </x:c>
      <x:c r="M3444" s="9" t="n">
        <x:f>IF(D3444="Completed",I3444*J3444,0)</x:f>
        <x:v>402</x:v>
      </x:c>
      <x:c r="N3444" s="9" t="n">
        <x:f>M3444*K3444</x:f>
        <x:v>80.4</x:v>
      </x:c>
      <x:c r="O3444" s="9" t="n">
        <x:f>M3444-N3444</x:f>
        <x:v>321.6</x:v>
      </x:c>
      <x:c r="P3444" s="9" t="n">
        <x:f>IF(D3444="Completed",L3444*J3444*(1-K3444),0)</x:f>
        <x:v>0</x:v>
      </x:c>
      <x:c r="Q3444" s="9" t="n">
        <x:f>O3444-P3444</x:f>
        <x:v>321.6</x:v>
      </x:c>
      <x:c r="R3444" s="11" t="n">
        <x:f>IF(D3444="Completed",I3444,0)</x:f>
        <x:v>3</x:v>
      </x:c>
      <x:c r="S3444" s="11" t="n">
        <x:f>IF(D3444="Completed",L3444,0)</x:f>
        <x:v>0</x:v>
      </x:c>
      <x:c r="T3444" s="8" t="n">
        <x:f>DATE(YEAR(C3444),MONTH(C3444),1)</x:f>
        <x:v>45689</x:v>
      </x:c>
    </x:row>
    <x:row r="3445" ht="22" customHeight="1">
      <x:c r="A3445" s="2" t="str">
        <x:v>L003441</x:v>
      </x:c>
      <x:c r="B3445" s="2" t="str">
        <x:v>O01402</x:v>
      </x:c>
      <x:c r="C3445" s="7" t="n">
        <x:v>45763</x:v>
      </x:c>
      <x:c r="D3445" s="2" t="str">
        <x:v>Completed</x:v>
      </x:c>
      <x:c r="E3445" s="2" t="str">
        <x:v>North</x:v>
      </x:c>
      <x:c r="F3445" s="2" t="str">
        <x:v>Online</x:v>
      </x:c>
      <x:c r="G3445" s="2" t="str">
        <x:v>Furniture</x:v>
      </x:c>
      <x:c r="H3445" s="2" t="str">
        <x:v>Desk 004</x:v>
      </x:c>
      <x:c r="I3445" s="11" t="n">
        <x:v>3</x:v>
      </x:c>
      <x:c r="J3445" s="9" t="n">
        <x:v>123</x:v>
      </x:c>
      <x:c r="K3445" s="10" t="n">
        <x:v>0.05</x:v>
      </x:c>
      <x:c r="L3445" s="11" t="n">
        <x:v>0</x:v>
      </x:c>
      <x:c r="M3445" s="9" t="n">
        <x:f>IF(D3445="Completed",I3445*J3445,0)</x:f>
        <x:v>369</x:v>
      </x:c>
      <x:c r="N3445" s="9" t="n">
        <x:f>M3445*K3445</x:f>
        <x:v>18.45</x:v>
      </x:c>
      <x:c r="O3445" s="9" t="n">
        <x:f>M3445-N3445</x:f>
        <x:v>350.55</x:v>
      </x:c>
      <x:c r="P3445" s="9" t="n">
        <x:f>IF(D3445="Completed",L3445*J3445*(1-K3445),0)</x:f>
        <x:v>0</x:v>
      </x:c>
      <x:c r="Q3445" s="9" t="n">
        <x:f>O3445-P3445</x:f>
        <x:v>350.55</x:v>
      </x:c>
      <x:c r="R3445" s="11" t="n">
        <x:f>IF(D3445="Completed",I3445,0)</x:f>
        <x:v>3</x:v>
      </x:c>
      <x:c r="S3445" s="11" t="n">
        <x:f>IF(D3445="Completed",L3445,0)</x:f>
        <x:v>0</x:v>
      </x:c>
      <x:c r="T3445" s="8" t="n">
        <x:f>DATE(YEAR(C3445),MONTH(C3445),1)</x:f>
        <x:v>45748</x:v>
      </x:c>
    </x:row>
    <x:row r="3446" ht="22" customHeight="1">
      <x:c r="A3446" s="2" t="str">
        <x:v>L003442</x:v>
      </x:c>
      <x:c r="B3446" s="2" t="str">
        <x:v>O01403</x:v>
      </x:c>
      <x:c r="C3446" s="7" t="n">
        <x:v>45708</x:v>
      </x:c>
      <x:c r="D3446" s="2" t="str">
        <x:v>Completed</x:v>
      </x:c>
      <x:c r="E3446" s="2" t="str">
        <x:v>West</x:v>
      </x:c>
      <x:c r="F3446" s="2" t="str">
        <x:v>Store</x:v>
      </x:c>
      <x:c r="G3446" s="2" t="str">
        <x:v>Storage</x:v>
      </x:c>
      <x:c r="H3446" s="2" t="str">
        <x:v>Shelf 011</x:v>
      </x:c>
      <x:c r="I3446" s="11" t="n">
        <x:v>1</x:v>
      </x:c>
      <x:c r="J3446" s="9" t="n">
        <x:v>80</x:v>
      </x:c>
      <x:c r="K3446" s="10" t="n">
        <x:v>0.1</x:v>
      </x:c>
      <x:c r="L3446" s="11" t="n">
        <x:v>1</x:v>
      </x:c>
      <x:c r="M3446" s="9" t="n">
        <x:f>IF(D3446="Completed",I3446*J3446,0)</x:f>
        <x:v>80</x:v>
      </x:c>
      <x:c r="N3446" s="9" t="n">
        <x:f>M3446*K3446</x:f>
        <x:v>8</x:v>
      </x:c>
      <x:c r="O3446" s="9" t="n">
        <x:f>M3446-N3446</x:f>
        <x:v>72</x:v>
      </x:c>
      <x:c r="P3446" s="9" t="n">
        <x:f>IF(D3446="Completed",L3446*J3446*(1-K3446),0)</x:f>
        <x:v>72</x:v>
      </x:c>
      <x:c r="Q3446" s="9" t="n">
        <x:f>O3446-P3446</x:f>
        <x:v>0</x:v>
      </x:c>
      <x:c r="R3446" s="11" t="n">
        <x:f>IF(D3446="Completed",I3446,0)</x:f>
        <x:v>1</x:v>
      </x:c>
      <x:c r="S3446" s="11" t="n">
        <x:f>IF(D3446="Completed",L3446,0)</x:f>
        <x:v>1</x:v>
      </x:c>
      <x:c r="T3446" s="8" t="n">
        <x:f>DATE(YEAR(C3446),MONTH(C3446),1)</x:f>
        <x:v>45689</x:v>
      </x:c>
    </x:row>
    <x:row r="3447" ht="22" customHeight="1">
      <x:c r="A3447" s="2" t="str">
        <x:v>L003443</x:v>
      </x:c>
      <x:c r="B3447" s="2" t="str">
        <x:v>O01404</x:v>
      </x:c>
      <x:c r="C3447" s="7" t="n">
        <x:v>45742</x:v>
      </x:c>
      <x:c r="D3447" s="2" t="str">
        <x:v>Completed</x:v>
      </x:c>
      <x:c r="E3447" s="2" t="str">
        <x:v>North</x:v>
      </x:c>
      <x:c r="F3447" s="2" t="str">
        <x:v>Online</x:v>
      </x:c>
      <x:c r="G3447" s="2" t="str">
        <x:v>Storage</x:v>
      </x:c>
      <x:c r="H3447" s="2" t="str">
        <x:v>Shelf 011</x:v>
      </x:c>
      <x:c r="I3447" s="11" t="n">
        <x:v>3</x:v>
      </x:c>
      <x:c r="J3447" s="9" t="n">
        <x:v>80</x:v>
      </x:c>
      <x:c r="K3447" s="10" t="n">
        <x:v>0.2</x:v>
      </x:c>
      <x:c r="L3447" s="11" t="n">
        <x:v>0</x:v>
      </x:c>
      <x:c r="M3447" s="9" t="n">
        <x:f>IF(D3447="Completed",I3447*J3447,0)</x:f>
        <x:v>240</x:v>
      </x:c>
      <x:c r="N3447" s="9" t="n">
        <x:f>M3447*K3447</x:f>
        <x:v>48</x:v>
      </x:c>
      <x:c r="O3447" s="9" t="n">
        <x:f>M3447-N3447</x:f>
        <x:v>192</x:v>
      </x:c>
      <x:c r="P3447" s="9" t="n">
        <x:f>IF(D3447="Completed",L3447*J3447*(1-K3447),0)</x:f>
        <x:v>0</x:v>
      </x:c>
      <x:c r="Q3447" s="9" t="n">
        <x:f>O3447-P3447</x:f>
        <x:v>192</x:v>
      </x:c>
      <x:c r="R3447" s="11" t="n">
        <x:f>IF(D3447="Completed",I3447,0)</x:f>
        <x:v>3</x:v>
      </x:c>
      <x:c r="S3447" s="11" t="n">
        <x:f>IF(D3447="Completed",L3447,0)</x:f>
        <x:v>0</x:v>
      </x:c>
      <x:c r="T3447" s="8" t="n">
        <x:f>DATE(YEAR(C3447),MONTH(C3447),1)</x:f>
        <x:v>45717</x:v>
      </x:c>
    </x:row>
    <x:row r="3448" ht="22" customHeight="1">
      <x:c r="A3448" s="2" t="str">
        <x:v>L003444</x:v>
      </x:c>
      <x:c r="B3448" s="2" t="str">
        <x:v>O01405</x:v>
      </x:c>
      <x:c r="C3448" s="7" t="n">
        <x:v>45820</x:v>
      </x:c>
      <x:c r="D3448" s="2" t="str">
        <x:v>Cancelled</x:v>
      </x:c>
      <x:c r="E3448" s="2" t="str">
        <x:v>North</x:v>
      </x:c>
      <x:c r="F3448" s="2" t="str">
        <x:v>Online</x:v>
      </x:c>
      <x:c r="G3448" s="2" t="str">
        <x:v>Furniture</x:v>
      </x:c>
      <x:c r="H3448" s="2" t="str">
        <x:v>Desk 016</x:v>
      </x:c>
      <x:c r="I3448" s="11" t="n">
        <x:v>2</x:v>
      </x:c>
      <x:c r="J3448" s="9" t="n">
        <x:v>231</x:v>
      </x:c>
      <x:c r="K3448" s="10" t="n">
        <x:v>0.2</x:v>
      </x:c>
      <x:c r="L3448" s="11" t="n">
        <x:v>0</x:v>
      </x:c>
      <x:c r="M3448" s="9" t="n">
        <x:f>IF(D3448="Completed",I3448*J3448,0)</x:f>
        <x:v>0</x:v>
      </x:c>
      <x:c r="N3448" s="9" t="n">
        <x:f>M3448*K3448</x:f>
        <x:v>0</x:v>
      </x:c>
      <x:c r="O3448" s="9" t="n">
        <x:f>M3448-N3448</x:f>
        <x:v>0</x:v>
      </x:c>
      <x:c r="P3448" s="9" t="n">
        <x:f>IF(D3448="Completed",L3448*J3448*(1-K3448),0)</x:f>
        <x:v>0</x:v>
      </x:c>
      <x:c r="Q3448" s="9" t="n">
        <x:f>O3448-P3448</x:f>
        <x:v>0</x:v>
      </x:c>
      <x:c r="R3448" s="11" t="n">
        <x:f>IF(D3448="Completed",I3448,0)</x:f>
        <x:v>0</x:v>
      </x:c>
      <x:c r="S3448" s="11" t="n">
        <x:f>IF(D3448="Completed",L3448,0)</x:f>
        <x:v>0</x:v>
      </x:c>
      <x:c r="T3448" s="8" t="n">
        <x:f>DATE(YEAR(C3448),MONTH(C3448),1)</x:f>
        <x:v>45809</x:v>
      </x:c>
    </x:row>
    <x:row r="3449" ht="22" customHeight="1">
      <x:c r="A3449" s="2" t="str">
        <x:v>L003445</x:v>
      </x:c>
      <x:c r="B3449" s="2" t="str">
        <x:v>O01406</x:v>
      </x:c>
      <x:c r="C3449" s="7" t="n">
        <x:v>45971</x:v>
      </x:c>
      <x:c r="D3449" s="2" t="str">
        <x:v>Completed</x:v>
      </x:c>
      <x:c r="E3449" s="2" t="str">
        <x:v>East</x:v>
      </x:c>
      <x:c r="F3449" s="2" t="str">
        <x:v>Store</x:v>
      </x:c>
      <x:c r="G3449" s="2" t="str">
        <x:v>Lighting</x:v>
      </x:c>
      <x:c r="H3449" s="2" t="str">
        <x:v>Lamp 017</x:v>
      </x:c>
      <x:c r="I3449" s="11" t="n">
        <x:v>1</x:v>
      </x:c>
      <x:c r="J3449" s="9" t="n">
        <x:v>300</x:v>
      </x:c>
      <x:c r="K3449" s="10" t="n">
        <x:v>0.05</x:v>
      </x:c>
      <x:c r="L3449" s="11" t="n">
        <x:v>0</x:v>
      </x:c>
      <x:c r="M3449" s="9" t="n">
        <x:f>IF(D3449="Completed",I3449*J3449,0)</x:f>
        <x:v>300</x:v>
      </x:c>
      <x:c r="N3449" s="9" t="n">
        <x:f>M3449*K3449</x:f>
        <x:v>15</x:v>
      </x:c>
      <x:c r="O3449" s="9" t="n">
        <x:f>M3449-N3449</x:f>
        <x:v>285</x:v>
      </x:c>
      <x:c r="P3449" s="9" t="n">
        <x:f>IF(D3449="Completed",L3449*J3449*(1-K3449),0)</x:f>
        <x:v>0</x:v>
      </x:c>
      <x:c r="Q3449" s="9" t="n">
        <x:f>O3449-P3449</x:f>
        <x:v>285</x:v>
      </x:c>
      <x:c r="R3449" s="11" t="n">
        <x:f>IF(D3449="Completed",I3449,0)</x:f>
        <x:v>1</x:v>
      </x:c>
      <x:c r="S3449" s="11" t="n">
        <x:f>IF(D3449="Completed",L3449,0)</x:f>
        <x:v>0</x:v>
      </x:c>
      <x:c r="T3449" s="8" t="n">
        <x:f>DATE(YEAR(C3449),MONTH(C3449),1)</x:f>
        <x:v>45962</x:v>
      </x:c>
    </x:row>
    <x:row r="3450" ht="22" customHeight="1">
      <x:c r="A3450" s="2" t="str">
        <x:v>L003446</x:v>
      </x:c>
      <x:c r="B3450" s="2" t="str">
        <x:v>O01406</x:v>
      </x:c>
      <x:c r="C3450" s="7" t="n">
        <x:v>45971</x:v>
      </x:c>
      <x:c r="D3450" s="2" t="str">
        <x:v>Completed</x:v>
      </x:c>
      <x:c r="E3450" s="2" t="str">
        <x:v>East</x:v>
      </x:c>
      <x:c r="F3450" s="2" t="str">
        <x:v>Store</x:v>
      </x:c>
      <x:c r="G3450" s="2" t="str">
        <x:v>Furniture</x:v>
      </x:c>
      <x:c r="H3450" s="2" t="str">
        <x:v>Desk 004</x:v>
      </x:c>
      <x:c r="I3450" s="11" t="n">
        <x:v>3</x:v>
      </x:c>
      <x:c r="J3450" s="9" t="n">
        <x:v>123</x:v>
      </x:c>
      <x:c r="K3450" s="10" t="n">
        <x:v>0.05</x:v>
      </x:c>
      <x:c r="L3450" s="11" t="n">
        <x:v>2</x:v>
      </x:c>
      <x:c r="M3450" s="9" t="n">
        <x:f>IF(D3450="Completed",I3450*J3450,0)</x:f>
        <x:v>369</x:v>
      </x:c>
      <x:c r="N3450" s="9" t="n">
        <x:f>M3450*K3450</x:f>
        <x:v>18.45</x:v>
      </x:c>
      <x:c r="O3450" s="9" t="n">
        <x:f>M3450-N3450</x:f>
        <x:v>350.55</x:v>
      </x:c>
      <x:c r="P3450" s="9" t="n">
        <x:f>IF(D3450="Completed",L3450*J3450*(1-K3450),0)</x:f>
        <x:v>233.7</x:v>
      </x:c>
      <x:c r="Q3450" s="9" t="n">
        <x:f>O3450-P3450</x:f>
        <x:v>116.85000000000002</x:v>
      </x:c>
      <x:c r="R3450" s="11" t="n">
        <x:f>IF(D3450="Completed",I3450,0)</x:f>
        <x:v>3</x:v>
      </x:c>
      <x:c r="S3450" s="11" t="n">
        <x:f>IF(D3450="Completed",L3450,0)</x:f>
        <x:v>2</x:v>
      </x:c>
      <x:c r="T3450" s="8" t="n">
        <x:f>DATE(YEAR(C3450),MONTH(C3450),1)</x:f>
        <x:v>45962</x:v>
      </x:c>
    </x:row>
    <x:row r="3451" ht="22" customHeight="1">
      <x:c r="A3451" s="2" t="str">
        <x:v>L003447</x:v>
      </x:c>
      <x:c r="B3451" s="2" t="str">
        <x:v>O01406</x:v>
      </x:c>
      <x:c r="C3451" s="7" t="n">
        <x:v>45971</x:v>
      </x:c>
      <x:c r="D3451" s="2" t="str">
        <x:v>Completed</x:v>
      </x:c>
      <x:c r="E3451" s="2" t="str">
        <x:v>East</x:v>
      </x:c>
      <x:c r="F3451" s="2" t="str">
        <x:v>Store</x:v>
      </x:c>
      <x:c r="G3451" s="2" t="str">
        <x:v>Storage</x:v>
      </x:c>
      <x:c r="H3451" s="2" t="str">
        <x:v>Shelf 007</x:v>
      </x:c>
      <x:c r="I3451" s="11" t="n">
        <x:v>3</x:v>
      </x:c>
      <x:c r="J3451" s="9" t="n">
        <x:v>35</x:v>
      </x:c>
      <x:c r="K3451" s="10" t="n">
        <x:v>0.1</x:v>
      </x:c>
      <x:c r="L3451" s="11" t="n">
        <x:v>0</x:v>
      </x:c>
      <x:c r="M3451" s="9" t="n">
        <x:f>IF(D3451="Completed",I3451*J3451,0)</x:f>
        <x:v>105</x:v>
      </x:c>
      <x:c r="N3451" s="9" t="n">
        <x:f>M3451*K3451</x:f>
        <x:v>10.5</x:v>
      </x:c>
      <x:c r="O3451" s="9" t="n">
        <x:f>M3451-N3451</x:f>
        <x:v>94.5</x:v>
      </x:c>
      <x:c r="P3451" s="9" t="n">
        <x:f>IF(D3451="Completed",L3451*J3451*(1-K3451),0)</x:f>
        <x:v>0</x:v>
      </x:c>
      <x:c r="Q3451" s="9" t="n">
        <x:f>O3451-P3451</x:f>
        <x:v>94.5</x:v>
      </x:c>
      <x:c r="R3451" s="11" t="n">
        <x:f>IF(D3451="Completed",I3451,0)</x:f>
        <x:v>3</x:v>
      </x:c>
      <x:c r="S3451" s="11" t="n">
        <x:f>IF(D3451="Completed",L3451,0)</x:f>
        <x:v>0</x:v>
      </x:c>
      <x:c r="T3451" s="8" t="n">
        <x:f>DATE(YEAR(C3451),MONTH(C3451),1)</x:f>
        <x:v>45962</x:v>
      </x:c>
    </x:row>
    <x:row r="3452" ht="22" customHeight="1">
      <x:c r="A3452" s="2" t="str">
        <x:v>L003448</x:v>
      </x:c>
      <x:c r="B3452" s="2" t="str">
        <x:v>O01407</x:v>
      </x:c>
      <x:c r="C3452" s="7" t="n">
        <x:v>45869</x:v>
      </x:c>
      <x:c r="D3452" s="2" t="str">
        <x:v>Completed</x:v>
      </x:c>
      <x:c r="E3452" s="2" t="str">
        <x:v>North</x:v>
      </x:c>
      <x:c r="F3452" s="2" t="str">
        <x:v>Store</x:v>
      </x:c>
      <x:c r="G3452" s="2" t="str">
        <x:v>Furniture</x:v>
      </x:c>
      <x:c r="H3452" s="2" t="str">
        <x:v>Chair 006</x:v>
      </x:c>
      <x:c r="I3452" s="11" t="n">
        <x:v>1</x:v>
      </x:c>
      <x:c r="J3452" s="9" t="n">
        <x:v>196</x:v>
      </x:c>
      <x:c r="K3452" s="10" t="n">
        <x:v>0.1</x:v>
      </x:c>
      <x:c r="L3452" s="11" t="n">
        <x:v>0</x:v>
      </x:c>
      <x:c r="M3452" s="9" t="n">
        <x:f>IF(D3452="Completed",I3452*J3452,0)</x:f>
        <x:v>196</x:v>
      </x:c>
      <x:c r="N3452" s="9" t="n">
        <x:f>M3452*K3452</x:f>
        <x:v>19.6</x:v>
      </x:c>
      <x:c r="O3452" s="9" t="n">
        <x:f>M3452-N3452</x:f>
        <x:v>176.4</x:v>
      </x:c>
      <x:c r="P3452" s="9" t="n">
        <x:f>IF(D3452="Completed",L3452*J3452*(1-K3452),0)</x:f>
        <x:v>0</x:v>
      </x:c>
      <x:c r="Q3452" s="9" t="n">
        <x:f>O3452-P3452</x:f>
        <x:v>176.4</x:v>
      </x:c>
      <x:c r="R3452" s="11" t="n">
        <x:f>IF(D3452="Completed",I3452,0)</x:f>
        <x:v>1</x:v>
      </x:c>
      <x:c r="S3452" s="11" t="n">
        <x:f>IF(D3452="Completed",L3452,0)</x:f>
        <x:v>0</x:v>
      </x:c>
      <x:c r="T3452" s="8" t="n">
        <x:f>DATE(YEAR(C3452),MONTH(C3452),1)</x:f>
        <x:v>45839</x:v>
      </x:c>
    </x:row>
    <x:row r="3453" ht="22" customHeight="1">
      <x:c r="A3453" s="2" t="str">
        <x:v>L003449</x:v>
      </x:c>
      <x:c r="B3453" s="2" t="str">
        <x:v>O01407</x:v>
      </x:c>
      <x:c r="C3453" s="7" t="n">
        <x:v>45869</x:v>
      </x:c>
      <x:c r="D3453" s="2" t="str">
        <x:v>Completed</x:v>
      </x:c>
      <x:c r="E3453" s="2" t="str">
        <x:v>North</x:v>
      </x:c>
      <x:c r="F3453" s="2" t="str">
        <x:v>Store</x:v>
      </x:c>
      <x:c r="G3453" s="2" t="str">
        <x:v>Storage</x:v>
      </x:c>
      <x:c r="H3453" s="2" t="str">
        <x:v>Shelf 015</x:v>
      </x:c>
      <x:c r="I3453" s="11" t="n">
        <x:v>1</x:v>
      </x:c>
      <x:c r="J3453" s="9" t="n">
        <x:v>254</x:v>
      </x:c>
      <x:c r="K3453" s="10" t="n">
        <x:v>0.2</x:v>
      </x:c>
      <x:c r="L3453" s="11" t="n">
        <x:v>0</x:v>
      </x:c>
      <x:c r="M3453" s="9" t="n">
        <x:f>IF(D3453="Completed",I3453*J3453,0)</x:f>
        <x:v>254</x:v>
      </x:c>
      <x:c r="N3453" s="9" t="n">
        <x:f>M3453*K3453</x:f>
        <x:v>50.800000000000004</x:v>
      </x:c>
      <x:c r="O3453" s="9" t="n">
        <x:f>M3453-N3453</x:f>
        <x:v>203.2</x:v>
      </x:c>
      <x:c r="P3453" s="9" t="n">
        <x:f>IF(D3453="Completed",L3453*J3453*(1-K3453),0)</x:f>
        <x:v>0</x:v>
      </x:c>
      <x:c r="Q3453" s="9" t="n">
        <x:f>O3453-P3453</x:f>
        <x:v>203.2</x:v>
      </x:c>
      <x:c r="R3453" s="11" t="n">
        <x:f>IF(D3453="Completed",I3453,0)</x:f>
        <x:v>1</x:v>
      </x:c>
      <x:c r="S3453" s="11" t="n">
        <x:f>IF(D3453="Completed",L3453,0)</x:f>
        <x:v>0</x:v>
      </x:c>
      <x:c r="T3453" s="8" t="n">
        <x:f>DATE(YEAR(C3453),MONTH(C3453),1)</x:f>
        <x:v>45839</x:v>
      </x:c>
    </x:row>
    <x:row r="3454" ht="22" customHeight="1">
      <x:c r="A3454" s="2" t="str">
        <x:v>L003450</x:v>
      </x:c>
      <x:c r="B3454" s="2" t="str">
        <x:v>O01408</x:v>
      </x:c>
      <x:c r="C3454" s="7" t="n">
        <x:v>45745</x:v>
      </x:c>
      <x:c r="D3454" s="2" t="str">
        <x:v>Completed</x:v>
      </x:c>
      <x:c r="E3454" s="2" t="str">
        <x:v>West</x:v>
      </x:c>
      <x:c r="F3454" s="2" t="str">
        <x:v>Store</x:v>
      </x:c>
      <x:c r="G3454" s="2" t="str">
        <x:v>Lighting</x:v>
      </x:c>
      <x:c r="H3454" s="2" t="str">
        <x:v>Lamp 001</x:v>
      </x:c>
      <x:c r="I3454" s="11" t="n">
        <x:v>1</x:v>
      </x:c>
      <x:c r="J3454" s="9" t="n">
        <x:v>122</x:v>
      </x:c>
      <x:c r="K3454" s="10" t="n">
        <x:v>0</x:v>
      </x:c>
      <x:c r="L3454" s="11" t="n">
        <x:v>1</x:v>
      </x:c>
      <x:c r="M3454" s="9" t="n">
        <x:f>IF(D3454="Completed",I3454*J3454,0)</x:f>
        <x:v>122</x:v>
      </x:c>
      <x:c r="N3454" s="9" t="n">
        <x:f>M3454*K3454</x:f>
        <x:v>0</x:v>
      </x:c>
      <x:c r="O3454" s="9" t="n">
        <x:f>M3454-N3454</x:f>
        <x:v>122</x:v>
      </x:c>
      <x:c r="P3454" s="9" t="n">
        <x:f>IF(D3454="Completed",L3454*J3454*(1-K3454),0)</x:f>
        <x:v>122</x:v>
      </x:c>
      <x:c r="Q3454" s="9" t="n">
        <x:f>O3454-P3454</x:f>
        <x:v>0</x:v>
      </x:c>
      <x:c r="R3454" s="11" t="n">
        <x:f>IF(D3454="Completed",I3454,0)</x:f>
        <x:v>1</x:v>
      </x:c>
      <x:c r="S3454" s="11" t="n">
        <x:f>IF(D3454="Completed",L3454,0)</x:f>
        <x:v>1</x:v>
      </x:c>
      <x:c r="T3454" s="8" t="n">
        <x:f>DATE(YEAR(C3454),MONTH(C3454),1)</x:f>
        <x:v>45717</x:v>
      </x:c>
    </x:row>
    <x:row r="3455" ht="22" customHeight="1">
      <x:c r="A3455" s="2" t="str">
        <x:v>L003451</x:v>
      </x:c>
      <x:c r="B3455" s="2" t="str">
        <x:v>O01408</x:v>
      </x:c>
      <x:c r="C3455" s="7" t="n">
        <x:v>45745</x:v>
      </x:c>
      <x:c r="D3455" s="2" t="str">
        <x:v>Completed</x:v>
      </x:c>
      <x:c r="E3455" s="2" t="str">
        <x:v>West</x:v>
      </x:c>
      <x:c r="F3455" s="2" t="str">
        <x:v>Store</x:v>
      </x:c>
      <x:c r="G3455" s="2" t="str">
        <x:v>Lighting</x:v>
      </x:c>
      <x:c r="H3455" s="2" t="str">
        <x:v>Lamp 017</x:v>
      </x:c>
      <x:c r="I3455" s="11" t="n">
        <x:v>5</x:v>
      </x:c>
      <x:c r="J3455" s="9" t="n">
        <x:v>300</x:v>
      </x:c>
      <x:c r="K3455" s="10" t="n">
        <x:v>0.2</x:v>
      </x:c>
      <x:c r="L3455" s="11" t="n">
        <x:v>0</x:v>
      </x:c>
      <x:c r="M3455" s="9" t="n">
        <x:f>IF(D3455="Completed",I3455*J3455,0)</x:f>
        <x:v>1500</x:v>
      </x:c>
      <x:c r="N3455" s="9" t="n">
        <x:f>M3455*K3455</x:f>
        <x:v>300</x:v>
      </x:c>
      <x:c r="O3455" s="9" t="n">
        <x:f>M3455-N3455</x:f>
        <x:v>1200</x:v>
      </x:c>
      <x:c r="P3455" s="9" t="n">
        <x:f>IF(D3455="Completed",L3455*J3455*(1-K3455),0)</x:f>
        <x:v>0</x:v>
      </x:c>
      <x:c r="Q3455" s="9" t="n">
        <x:f>O3455-P3455</x:f>
        <x:v>1200</x:v>
      </x:c>
      <x:c r="R3455" s="11" t="n">
        <x:f>IF(D3455="Completed",I3455,0)</x:f>
        <x:v>5</x:v>
      </x:c>
      <x:c r="S3455" s="11" t="n">
        <x:f>IF(D3455="Completed",L3455,0)</x:f>
        <x:v>0</x:v>
      </x:c>
      <x:c r="T3455" s="8" t="n">
        <x:f>DATE(YEAR(C3455),MONTH(C3455),1)</x:f>
        <x:v>45717</x:v>
      </x:c>
    </x:row>
    <x:row r="3456" ht="22" customHeight="1">
      <x:c r="A3456" s="2" t="str">
        <x:v>L003452</x:v>
      </x:c>
      <x:c r="B3456" s="2" t="str">
        <x:v>O01408</x:v>
      </x:c>
      <x:c r="C3456" s="7" t="n">
        <x:v>45745</x:v>
      </x:c>
      <x:c r="D3456" s="2" t="str">
        <x:v>Completed</x:v>
      </x:c>
      <x:c r="E3456" s="2" t="str">
        <x:v>West</x:v>
      </x:c>
      <x:c r="F3456" s="2" t="str">
        <x:v>Store</x:v>
      </x:c>
      <x:c r="G3456" s="2" t="str">
        <x:v>Furniture</x:v>
      </x:c>
      <x:c r="H3456" s="2" t="str">
        <x:v>Desk 024</x:v>
      </x:c>
      <x:c r="I3456" s="11" t="n">
        <x:v>4</x:v>
      </x:c>
      <x:c r="J3456" s="9" t="n">
        <x:v>81</x:v>
      </x:c>
      <x:c r="K3456" s="10" t="n">
        <x:v>0.2</x:v>
      </x:c>
      <x:c r="L3456" s="11" t="n">
        <x:v>1</x:v>
      </x:c>
      <x:c r="M3456" s="9" t="n">
        <x:f>IF(D3456="Completed",I3456*J3456,0)</x:f>
        <x:v>324</x:v>
      </x:c>
      <x:c r="N3456" s="9" t="n">
        <x:f>M3456*K3456</x:f>
        <x:v>64.8</x:v>
      </x:c>
      <x:c r="O3456" s="9" t="n">
        <x:f>M3456-N3456</x:f>
        <x:v>259.2</x:v>
      </x:c>
      <x:c r="P3456" s="9" t="n">
        <x:f>IF(D3456="Completed",L3456*J3456*(1-K3456),0)</x:f>
        <x:v>64.8</x:v>
      </x:c>
      <x:c r="Q3456" s="9" t="n">
        <x:f>O3456-P3456</x:f>
        <x:v>194.39999999999998</x:v>
      </x:c>
      <x:c r="R3456" s="11" t="n">
        <x:f>IF(D3456="Completed",I3456,0)</x:f>
        <x:v>4</x:v>
      </x:c>
      <x:c r="S3456" s="11" t="n">
        <x:f>IF(D3456="Completed",L3456,0)</x:f>
        <x:v>1</x:v>
      </x:c>
      <x:c r="T3456" s="8" t="n">
        <x:f>DATE(YEAR(C3456),MONTH(C3456),1)</x:f>
        <x:v>45717</x:v>
      </x:c>
    </x:row>
    <x:row r="3457" ht="22" customHeight="1">
      <x:c r="A3457" s="2" t="str">
        <x:v>L003453</x:v>
      </x:c>
      <x:c r="B3457" s="2" t="str">
        <x:v>O01409</x:v>
      </x:c>
      <x:c r="C3457" s="7" t="n">
        <x:v>45885</x:v>
      </x:c>
      <x:c r="D3457" s="2" t="str">
        <x:v>Cancelled</x:v>
      </x:c>
      <x:c r="E3457" s="2" t="str">
        <x:v>East</x:v>
      </x:c>
      <x:c r="F3457" s="2" t="str">
        <x:v>Online</x:v>
      </x:c>
      <x:c r="G3457" s="2" t="str">
        <x:v>Lighting</x:v>
      </x:c>
      <x:c r="H3457" s="2" t="str">
        <x:v>Lamp 017</x:v>
      </x:c>
      <x:c r="I3457" s="11" t="n">
        <x:v>4</x:v>
      </x:c>
      <x:c r="J3457" s="9" t="n">
        <x:v>300</x:v>
      </x:c>
      <x:c r="K3457" s="10" t="n">
        <x:v>0.1</x:v>
      </x:c>
      <x:c r="L3457" s="11" t="n">
        <x:v>0</x:v>
      </x:c>
      <x:c r="M3457" s="9" t="n">
        <x:f>IF(D3457="Completed",I3457*J3457,0)</x:f>
        <x:v>0</x:v>
      </x:c>
      <x:c r="N3457" s="9" t="n">
        <x:f>M3457*K3457</x:f>
        <x:v>0</x:v>
      </x:c>
      <x:c r="O3457" s="9" t="n">
        <x:f>M3457-N3457</x:f>
        <x:v>0</x:v>
      </x:c>
      <x:c r="P3457" s="9" t="n">
        <x:f>IF(D3457="Completed",L3457*J3457*(1-K3457),0)</x:f>
        <x:v>0</x:v>
      </x:c>
      <x:c r="Q3457" s="9" t="n">
        <x:f>O3457-P3457</x:f>
        <x:v>0</x:v>
      </x:c>
      <x:c r="R3457" s="11" t="n">
        <x:f>IF(D3457="Completed",I3457,0)</x:f>
        <x:v>0</x:v>
      </x:c>
      <x:c r="S3457" s="11" t="n">
        <x:f>IF(D3457="Completed",L3457,0)</x:f>
        <x:v>0</x:v>
      </x:c>
      <x:c r="T3457" s="8" t="n">
        <x:f>DATE(YEAR(C3457),MONTH(C3457),1)</x:f>
        <x:v>45870</x:v>
      </x:c>
    </x:row>
    <x:row r="3458" ht="22" customHeight="1">
      <x:c r="A3458" s="2" t="str">
        <x:v>L003454</x:v>
      </x:c>
      <x:c r="B3458" s="2" t="str">
        <x:v>O01410</x:v>
      </x:c>
      <x:c r="C3458" s="7" t="n">
        <x:v>45792</x:v>
      </x:c>
      <x:c r="D3458" s="2" t="str">
        <x:v>Completed</x:v>
      </x:c>
      <x:c r="E3458" s="2" t="str">
        <x:v>West</x:v>
      </x:c>
      <x:c r="F3458" s="2" t="str">
        <x:v>Online</x:v>
      </x:c>
      <x:c r="G3458" s="2" t="str">
        <x:v>Furniture</x:v>
      </x:c>
      <x:c r="H3458" s="2" t="str">
        <x:v>Chair 018</x:v>
      </x:c>
      <x:c r="I3458" s="11" t="n">
        <x:v>4</x:v>
      </x:c>
      <x:c r="J3458" s="9" t="n">
        <x:v>269</x:v>
      </x:c>
      <x:c r="K3458" s="10" t="n">
        <x:v>0.05</x:v>
      </x:c>
      <x:c r="L3458" s="11" t="n">
        <x:v>2</x:v>
      </x:c>
      <x:c r="M3458" s="9" t="n">
        <x:f>IF(D3458="Completed",I3458*J3458,0)</x:f>
        <x:v>1076</x:v>
      </x:c>
      <x:c r="N3458" s="9" t="n">
        <x:f>M3458*K3458</x:f>
        <x:v>53.800000000000004</x:v>
      </x:c>
      <x:c r="O3458" s="9" t="n">
        <x:f>M3458-N3458</x:f>
        <x:v>1022.2</x:v>
      </x:c>
      <x:c r="P3458" s="9" t="n">
        <x:f>IF(D3458="Completed",L3458*J3458*(1-K3458),0)</x:f>
        <x:v>511.09999999999997</x:v>
      </x:c>
      <x:c r="Q3458" s="9" t="n">
        <x:f>O3458-P3458</x:f>
        <x:v>511.1000000000001</x:v>
      </x:c>
      <x:c r="R3458" s="11" t="n">
        <x:f>IF(D3458="Completed",I3458,0)</x:f>
        <x:v>4</x:v>
      </x:c>
      <x:c r="S3458" s="11" t="n">
        <x:f>IF(D3458="Completed",L3458,0)</x:f>
        <x:v>2</x:v>
      </x:c>
      <x:c r="T3458" s="8" t="n">
        <x:f>DATE(YEAR(C3458),MONTH(C3458),1)</x:f>
        <x:v>45778</x:v>
      </x:c>
    </x:row>
    <x:row r="3459" ht="22" customHeight="1">
      <x:c r="A3459" s="2" t="str">
        <x:v>L003455</x:v>
      </x:c>
      <x:c r="B3459" s="2" t="str">
        <x:v>O01410</x:v>
      </x:c>
      <x:c r="C3459" s="7" t="n">
        <x:v>45792</x:v>
      </x:c>
      <x:c r="D3459" s="2" t="str">
        <x:v>Completed</x:v>
      </x:c>
      <x:c r="E3459" s="2" t="str">
        <x:v>West</x:v>
      </x:c>
      <x:c r="F3459" s="2" t="str">
        <x:v>Online</x:v>
      </x:c>
      <x:c r="G3459" s="2" t="str">
        <x:v>Lighting</x:v>
      </x:c>
      <x:c r="H3459" s="2" t="str">
        <x:v>Lamp 013</x:v>
      </x:c>
      <x:c r="I3459" s="11" t="n">
        <x:v>2</x:v>
      </x:c>
      <x:c r="J3459" s="9" t="n">
        <x:v>271</x:v>
      </x:c>
      <x:c r="K3459" s="10" t="n">
        <x:v>0.05</x:v>
      </x:c>
      <x:c r="L3459" s="11" t="n">
        <x:v>0</x:v>
      </x:c>
      <x:c r="M3459" s="9" t="n">
        <x:f>IF(D3459="Completed",I3459*J3459,0)</x:f>
        <x:v>542</x:v>
      </x:c>
      <x:c r="N3459" s="9" t="n">
        <x:f>M3459*K3459</x:f>
        <x:v>27.1</x:v>
      </x:c>
      <x:c r="O3459" s="9" t="n">
        <x:f>M3459-N3459</x:f>
        <x:v>514.9</x:v>
      </x:c>
      <x:c r="P3459" s="9" t="n">
        <x:f>IF(D3459="Completed",L3459*J3459*(1-K3459),0)</x:f>
        <x:v>0</x:v>
      </x:c>
      <x:c r="Q3459" s="9" t="n">
        <x:f>O3459-P3459</x:f>
        <x:v>514.9</x:v>
      </x:c>
      <x:c r="R3459" s="11" t="n">
        <x:f>IF(D3459="Completed",I3459,0)</x:f>
        <x:v>2</x:v>
      </x:c>
      <x:c r="S3459" s="11" t="n">
        <x:f>IF(D3459="Completed",L3459,0)</x:f>
        <x:v>0</x:v>
      </x:c>
      <x:c r="T3459" s="8" t="n">
        <x:f>DATE(YEAR(C3459),MONTH(C3459),1)</x:f>
        <x:v>45778</x:v>
      </x:c>
    </x:row>
    <x:row r="3460" ht="22" customHeight="1">
      <x:c r="A3460" s="2" t="str">
        <x:v>L003456</x:v>
      </x:c>
      <x:c r="B3460" s="2" t="str">
        <x:v>O01411</x:v>
      </x:c>
      <x:c r="C3460" s="7" t="n">
        <x:v>45937</x:v>
      </x:c>
      <x:c r="D3460" s="2" t="str">
        <x:v>Completed</x:v>
      </x:c>
      <x:c r="E3460" s="2" t="str">
        <x:v>East</x:v>
      </x:c>
      <x:c r="F3460" s="2" t="str">
        <x:v>Online</x:v>
      </x:c>
      <x:c r="G3460" s="2" t="str">
        <x:v>Lighting</x:v>
      </x:c>
      <x:c r="H3460" s="2" t="str">
        <x:v>Lamp 005</x:v>
      </x:c>
      <x:c r="I3460" s="11" t="n">
        <x:v>2</x:v>
      </x:c>
      <x:c r="J3460" s="9" t="n">
        <x:v>65</x:v>
      </x:c>
      <x:c r="K3460" s="10" t="n">
        <x:v>0.2</x:v>
      </x:c>
      <x:c r="L3460" s="11" t="n">
        <x:v>0</x:v>
      </x:c>
      <x:c r="M3460" s="9" t="n">
        <x:f>IF(D3460="Completed",I3460*J3460,0)</x:f>
        <x:v>130</x:v>
      </x:c>
      <x:c r="N3460" s="9" t="n">
        <x:f>M3460*K3460</x:f>
        <x:v>26</x:v>
      </x:c>
      <x:c r="O3460" s="9" t="n">
        <x:f>M3460-N3460</x:f>
        <x:v>104</x:v>
      </x:c>
      <x:c r="P3460" s="9" t="n">
        <x:f>IF(D3460="Completed",L3460*J3460*(1-K3460),0)</x:f>
        <x:v>0</x:v>
      </x:c>
      <x:c r="Q3460" s="9" t="n">
        <x:f>O3460-P3460</x:f>
        <x:v>104</x:v>
      </x:c>
      <x:c r="R3460" s="11" t="n">
        <x:f>IF(D3460="Completed",I3460,0)</x:f>
        <x:v>2</x:v>
      </x:c>
      <x:c r="S3460" s="11" t="n">
        <x:f>IF(D3460="Completed",L3460,0)</x:f>
        <x:v>0</x:v>
      </x:c>
      <x:c r="T3460" s="8" t="n">
        <x:f>DATE(YEAR(C3460),MONTH(C3460),1)</x:f>
        <x:v>45931</x:v>
      </x:c>
    </x:row>
    <x:row r="3461" ht="22" customHeight="1">
      <x:c r="A3461" s="2" t="str">
        <x:v>L003457</x:v>
      </x:c>
      <x:c r="B3461" s="2" t="str">
        <x:v>O01411</x:v>
      </x:c>
      <x:c r="C3461" s="7" t="n">
        <x:v>45937</x:v>
      </x:c>
      <x:c r="D3461" s="2" t="str">
        <x:v>Completed</x:v>
      </x:c>
      <x:c r="E3461" s="2" t="str">
        <x:v>East</x:v>
      </x:c>
      <x:c r="F3461" s="2" t="str">
        <x:v>Online</x:v>
      </x:c>
      <x:c r="G3461" s="2" t="str">
        <x:v>Furniture</x:v>
      </x:c>
      <x:c r="H3461" s="2" t="str">
        <x:v>Desk 016</x:v>
      </x:c>
      <x:c r="I3461" s="11" t="n">
        <x:v>1</x:v>
      </x:c>
      <x:c r="J3461" s="9" t="n">
        <x:v>231</x:v>
      </x:c>
      <x:c r="K3461" s="10" t="n">
        <x:v>0.1</x:v>
      </x:c>
      <x:c r="L3461" s="11" t="n">
        <x:v>0</x:v>
      </x:c>
      <x:c r="M3461" s="9" t="n">
        <x:f>IF(D3461="Completed",I3461*J3461,0)</x:f>
        <x:v>231</x:v>
      </x:c>
      <x:c r="N3461" s="9" t="n">
        <x:f>M3461*K3461</x:f>
        <x:v>23.1</x:v>
      </x:c>
      <x:c r="O3461" s="9" t="n">
        <x:f>M3461-N3461</x:f>
        <x:v>207.9</x:v>
      </x:c>
      <x:c r="P3461" s="9" t="n">
        <x:f>IF(D3461="Completed",L3461*J3461*(1-K3461),0)</x:f>
        <x:v>0</x:v>
      </x:c>
      <x:c r="Q3461" s="9" t="n">
        <x:f>O3461-P3461</x:f>
        <x:v>207.9</x:v>
      </x:c>
      <x:c r="R3461" s="11" t="n">
        <x:f>IF(D3461="Completed",I3461,0)</x:f>
        <x:v>1</x:v>
      </x:c>
      <x:c r="S3461" s="11" t="n">
        <x:f>IF(D3461="Completed",L3461,0)</x:f>
        <x:v>0</x:v>
      </x:c>
      <x:c r="T3461" s="8" t="n">
        <x:f>DATE(YEAR(C3461),MONTH(C3461),1)</x:f>
        <x:v>45931</x:v>
      </x:c>
    </x:row>
    <x:row r="3462" ht="22" customHeight="1">
      <x:c r="A3462" s="2" t="str">
        <x:v>L003458</x:v>
      </x:c>
      <x:c r="B3462" s="2" t="str">
        <x:v>O01411</x:v>
      </x:c>
      <x:c r="C3462" s="7" t="n">
        <x:v>45937</x:v>
      </x:c>
      <x:c r="D3462" s="2" t="str">
        <x:v>Completed</x:v>
      </x:c>
      <x:c r="E3462" s="2" t="str">
        <x:v>East</x:v>
      </x:c>
      <x:c r="F3462" s="2" t="str">
        <x:v>Online</x:v>
      </x:c>
      <x:c r="G3462" s="2" t="str">
        <x:v>Furniture</x:v>
      </x:c>
      <x:c r="H3462" s="2" t="str">
        <x:v>Desk 020</x:v>
      </x:c>
      <x:c r="I3462" s="11" t="n">
        <x:v>4</x:v>
      </x:c>
      <x:c r="J3462" s="9" t="n">
        <x:v>189</x:v>
      </x:c>
      <x:c r="K3462" s="10" t="n">
        <x:v>0</x:v>
      </x:c>
      <x:c r="L3462" s="11" t="n">
        <x:v>0</x:v>
      </x:c>
      <x:c r="M3462" s="9" t="n">
        <x:f>IF(D3462="Completed",I3462*J3462,0)</x:f>
        <x:v>756</x:v>
      </x:c>
      <x:c r="N3462" s="9" t="n">
        <x:f>M3462*K3462</x:f>
        <x:v>0</x:v>
      </x:c>
      <x:c r="O3462" s="9" t="n">
        <x:f>M3462-N3462</x:f>
        <x:v>756</x:v>
      </x:c>
      <x:c r="P3462" s="9" t="n">
        <x:f>IF(D3462="Completed",L3462*J3462*(1-K3462),0)</x:f>
        <x:v>0</x:v>
      </x:c>
      <x:c r="Q3462" s="9" t="n">
        <x:f>O3462-P3462</x:f>
        <x:v>756</x:v>
      </x:c>
      <x:c r="R3462" s="11" t="n">
        <x:f>IF(D3462="Completed",I3462,0)</x:f>
        <x:v>4</x:v>
      </x:c>
      <x:c r="S3462" s="11" t="n">
        <x:f>IF(D3462="Completed",L3462,0)</x:f>
        <x:v>0</x:v>
      </x:c>
      <x:c r="T3462" s="8" t="n">
        <x:f>DATE(YEAR(C3462),MONTH(C3462),1)</x:f>
        <x:v>45931</x:v>
      </x:c>
    </x:row>
    <x:row r="3463" ht="22" customHeight="1">
      <x:c r="A3463" s="2" t="str">
        <x:v>L003459</x:v>
      </x:c>
      <x:c r="B3463" s="2" t="str">
        <x:v>O01411</x:v>
      </x:c>
      <x:c r="C3463" s="7" t="n">
        <x:v>45937</x:v>
      </x:c>
      <x:c r="D3463" s="2" t="str">
        <x:v>Completed</x:v>
      </x:c>
      <x:c r="E3463" s="2" t="str">
        <x:v>East</x:v>
      </x:c>
      <x:c r="F3463" s="2" t="str">
        <x:v>Online</x:v>
      </x:c>
      <x:c r="G3463" s="2" t="str">
        <x:v>Storage</x:v>
      </x:c>
      <x:c r="H3463" s="2" t="str">
        <x:v>Shelf 023</x:v>
      </x:c>
      <x:c r="I3463" s="11" t="n">
        <x:v>5</x:v>
      </x:c>
      <x:c r="J3463" s="9" t="n">
        <x:v>68</x:v>
      </x:c>
      <x:c r="K3463" s="10" t="n">
        <x:v>0.05</x:v>
      </x:c>
      <x:c r="L3463" s="11" t="n">
        <x:v>0</x:v>
      </x:c>
      <x:c r="M3463" s="9" t="n">
        <x:f>IF(D3463="Completed",I3463*J3463,0)</x:f>
        <x:v>340</x:v>
      </x:c>
      <x:c r="N3463" s="9" t="n">
        <x:f>M3463*K3463</x:f>
        <x:v>17</x:v>
      </x:c>
      <x:c r="O3463" s="9" t="n">
        <x:f>M3463-N3463</x:f>
        <x:v>323</x:v>
      </x:c>
      <x:c r="P3463" s="9" t="n">
        <x:f>IF(D3463="Completed",L3463*J3463*(1-K3463),0)</x:f>
        <x:v>0</x:v>
      </x:c>
      <x:c r="Q3463" s="9" t="n">
        <x:f>O3463-P3463</x:f>
        <x:v>323</x:v>
      </x:c>
      <x:c r="R3463" s="11" t="n">
        <x:f>IF(D3463="Completed",I3463,0)</x:f>
        <x:v>5</x:v>
      </x:c>
      <x:c r="S3463" s="11" t="n">
        <x:f>IF(D3463="Completed",L3463,0)</x:f>
        <x:v>0</x:v>
      </x:c>
      <x:c r="T3463" s="8" t="n">
        <x:f>DATE(YEAR(C3463),MONTH(C3463),1)</x:f>
        <x:v>45931</x:v>
      </x:c>
    </x:row>
    <x:row r="3464" ht="22" customHeight="1">
      <x:c r="A3464" s="2" t="str">
        <x:v>L003460</x:v>
      </x:c>
      <x:c r="B3464" s="2" t="str">
        <x:v>O01412</x:v>
      </x:c>
      <x:c r="C3464" s="7" t="n">
        <x:v>46002</x:v>
      </x:c>
      <x:c r="D3464" s="2" t="str">
        <x:v>Completed</x:v>
      </x:c>
      <x:c r="E3464" s="2" t="str">
        <x:v>South</x:v>
      </x:c>
      <x:c r="F3464" s="2" t="str">
        <x:v>Online</x:v>
      </x:c>
      <x:c r="G3464" s="2" t="str">
        <x:v>Storage</x:v>
      </x:c>
      <x:c r="H3464" s="2" t="str">
        <x:v>Shelf 007</x:v>
      </x:c>
      <x:c r="I3464" s="11" t="n">
        <x:v>4</x:v>
      </x:c>
      <x:c r="J3464" s="9" t="n">
        <x:v>35</x:v>
      </x:c>
      <x:c r="K3464" s="10" t="n">
        <x:v>0</x:v>
      </x:c>
      <x:c r="L3464" s="11" t="n">
        <x:v>0</x:v>
      </x:c>
      <x:c r="M3464" s="9" t="n">
        <x:f>IF(D3464="Completed",I3464*J3464,0)</x:f>
        <x:v>140</x:v>
      </x:c>
      <x:c r="N3464" s="9" t="n">
        <x:f>M3464*K3464</x:f>
        <x:v>0</x:v>
      </x:c>
      <x:c r="O3464" s="9" t="n">
        <x:f>M3464-N3464</x:f>
        <x:v>140</x:v>
      </x:c>
      <x:c r="P3464" s="9" t="n">
        <x:f>IF(D3464="Completed",L3464*J3464*(1-K3464),0)</x:f>
        <x:v>0</x:v>
      </x:c>
      <x:c r="Q3464" s="9" t="n">
        <x:f>O3464-P3464</x:f>
        <x:v>140</x:v>
      </x:c>
      <x:c r="R3464" s="11" t="n">
        <x:f>IF(D3464="Completed",I3464,0)</x:f>
        <x:v>4</x:v>
      </x:c>
      <x:c r="S3464" s="11" t="n">
        <x:f>IF(D3464="Completed",L3464,0)</x:f>
        <x:v>0</x:v>
      </x:c>
      <x:c r="T3464" s="8" t="n">
        <x:f>DATE(YEAR(C3464),MONTH(C3464),1)</x:f>
        <x:v>45992</x:v>
      </x:c>
    </x:row>
    <x:row r="3465" ht="22" customHeight="1">
      <x:c r="A3465" s="2" t="str">
        <x:v>L003461</x:v>
      </x:c>
      <x:c r="B3465" s="2" t="str">
        <x:v>O01412</x:v>
      </x:c>
      <x:c r="C3465" s="7" t="n">
        <x:v>46002</x:v>
      </x:c>
      <x:c r="D3465" s="2" t="str">
        <x:v>Completed</x:v>
      </x:c>
      <x:c r="E3465" s="2" t="str">
        <x:v>South</x:v>
      </x:c>
      <x:c r="F3465" s="2" t="str">
        <x:v>Online</x:v>
      </x:c>
      <x:c r="G3465" s="2" t="str">
        <x:v>Storage</x:v>
      </x:c>
      <x:c r="H3465" s="2" t="str">
        <x:v>Shelf 015</x:v>
      </x:c>
      <x:c r="I3465" s="11" t="n">
        <x:v>3</x:v>
      </x:c>
      <x:c r="J3465" s="9" t="n">
        <x:v>254</x:v>
      </x:c>
      <x:c r="K3465" s="10" t="n">
        <x:v>0.05</x:v>
      </x:c>
      <x:c r="L3465" s="11" t="n">
        <x:v>0</x:v>
      </x:c>
      <x:c r="M3465" s="9" t="n">
        <x:f>IF(D3465="Completed",I3465*J3465,0)</x:f>
        <x:v>762</x:v>
      </x:c>
      <x:c r="N3465" s="9" t="n">
        <x:f>M3465*K3465</x:f>
        <x:v>38.1</x:v>
      </x:c>
      <x:c r="O3465" s="9" t="n">
        <x:f>M3465-N3465</x:f>
        <x:v>723.9</x:v>
      </x:c>
      <x:c r="P3465" s="9" t="n">
        <x:f>IF(D3465="Completed",L3465*J3465*(1-K3465),0)</x:f>
        <x:v>0</x:v>
      </x:c>
      <x:c r="Q3465" s="9" t="n">
        <x:f>O3465-P3465</x:f>
        <x:v>723.9</x:v>
      </x:c>
      <x:c r="R3465" s="11" t="n">
        <x:f>IF(D3465="Completed",I3465,0)</x:f>
        <x:v>3</x:v>
      </x:c>
      <x:c r="S3465" s="11" t="n">
        <x:f>IF(D3465="Completed",L3465,0)</x:f>
        <x:v>0</x:v>
      </x:c>
      <x:c r="T3465" s="8" t="n">
        <x:f>DATE(YEAR(C3465),MONTH(C3465),1)</x:f>
        <x:v>45992</x:v>
      </x:c>
    </x:row>
    <x:row r="3466" ht="22" customHeight="1">
      <x:c r="A3466" s="2" t="str">
        <x:v>L003462</x:v>
      </x:c>
      <x:c r="B3466" s="2" t="str">
        <x:v>O01412</x:v>
      </x:c>
      <x:c r="C3466" s="7" t="n">
        <x:v>46002</x:v>
      </x:c>
      <x:c r="D3466" s="2" t="str">
        <x:v>Completed</x:v>
      </x:c>
      <x:c r="E3466" s="2" t="str">
        <x:v>South</x:v>
      </x:c>
      <x:c r="F3466" s="2" t="str">
        <x:v>Online</x:v>
      </x:c>
      <x:c r="G3466" s="2" t="str">
        <x:v>Furniture</x:v>
      </x:c>
      <x:c r="H3466" s="2" t="str">
        <x:v>Desk 008</x:v>
      </x:c>
      <x:c r="I3466" s="11" t="n">
        <x:v>2</x:v>
      </x:c>
      <x:c r="J3466" s="9" t="n">
        <x:v>188</x:v>
      </x:c>
      <x:c r="K3466" s="10" t="n">
        <x:v>0.2</x:v>
      </x:c>
      <x:c r="L3466" s="11" t="n">
        <x:v>0</x:v>
      </x:c>
      <x:c r="M3466" s="9" t="n">
        <x:f>IF(D3466="Completed",I3466*J3466,0)</x:f>
        <x:v>376</x:v>
      </x:c>
      <x:c r="N3466" s="9" t="n">
        <x:f>M3466*K3466</x:f>
        <x:v>75.2</x:v>
      </x:c>
      <x:c r="O3466" s="9" t="n">
        <x:f>M3466-N3466</x:f>
        <x:v>300.8</x:v>
      </x:c>
      <x:c r="P3466" s="9" t="n">
        <x:f>IF(D3466="Completed",L3466*J3466*(1-K3466),0)</x:f>
        <x:v>0</x:v>
      </x:c>
      <x:c r="Q3466" s="9" t="n">
        <x:f>O3466-P3466</x:f>
        <x:v>300.8</x:v>
      </x:c>
      <x:c r="R3466" s="11" t="n">
        <x:f>IF(D3466="Completed",I3466,0)</x:f>
        <x:v>2</x:v>
      </x:c>
      <x:c r="S3466" s="11" t="n">
        <x:f>IF(D3466="Completed",L3466,0)</x:f>
        <x:v>0</x:v>
      </x:c>
      <x:c r="T3466" s="8" t="n">
        <x:f>DATE(YEAR(C3466),MONTH(C3466),1)</x:f>
        <x:v>45992</x:v>
      </x:c>
    </x:row>
    <x:row r="3467" ht="22" customHeight="1">
      <x:c r="A3467" s="2" t="str">
        <x:v>L003463</x:v>
      </x:c>
      <x:c r="B3467" s="2" t="str">
        <x:v>O01412</x:v>
      </x:c>
      <x:c r="C3467" s="7" t="n">
        <x:v>46002</x:v>
      </x:c>
      <x:c r="D3467" s="2" t="str">
        <x:v>Completed</x:v>
      </x:c>
      <x:c r="E3467" s="2" t="str">
        <x:v>South</x:v>
      </x:c>
      <x:c r="F3467" s="2" t="str">
        <x:v>Online</x:v>
      </x:c>
      <x:c r="G3467" s="2" t="str">
        <x:v>Lighting</x:v>
      </x:c>
      <x:c r="H3467" s="2" t="str">
        <x:v>Lamp 001</x:v>
      </x:c>
      <x:c r="I3467" s="11" t="n">
        <x:v>2</x:v>
      </x:c>
      <x:c r="J3467" s="9" t="n">
        <x:v>122</x:v>
      </x:c>
      <x:c r="K3467" s="10" t="n">
        <x:v>0.1</x:v>
      </x:c>
      <x:c r="L3467" s="11" t="n">
        <x:v>0</x:v>
      </x:c>
      <x:c r="M3467" s="9" t="n">
        <x:f>IF(D3467="Completed",I3467*J3467,0)</x:f>
        <x:v>244</x:v>
      </x:c>
      <x:c r="N3467" s="9" t="n">
        <x:f>M3467*K3467</x:f>
        <x:v>24.400000000000002</x:v>
      </x:c>
      <x:c r="O3467" s="9" t="n">
        <x:f>M3467-N3467</x:f>
        <x:v>219.6</x:v>
      </x:c>
      <x:c r="P3467" s="9" t="n">
        <x:f>IF(D3467="Completed",L3467*J3467*(1-K3467),0)</x:f>
        <x:v>0</x:v>
      </x:c>
      <x:c r="Q3467" s="9" t="n">
        <x:f>O3467-P3467</x:f>
        <x:v>219.6</x:v>
      </x:c>
      <x:c r="R3467" s="11" t="n">
        <x:f>IF(D3467="Completed",I3467,0)</x:f>
        <x:v>2</x:v>
      </x:c>
      <x:c r="S3467" s="11" t="n">
        <x:f>IF(D3467="Completed",L3467,0)</x:f>
        <x:v>0</x:v>
      </x:c>
      <x:c r="T3467" s="8" t="n">
        <x:f>DATE(YEAR(C3467),MONTH(C3467),1)</x:f>
        <x:v>45992</x:v>
      </x:c>
    </x:row>
    <x:row r="3468" ht="22" customHeight="1">
      <x:c r="A3468" s="2" t="str">
        <x:v>L003464</x:v>
      </x:c>
      <x:c r="B3468" s="2" t="str">
        <x:v>O01413</x:v>
      </x:c>
      <x:c r="C3468" s="7" t="n">
        <x:v>45932</x:v>
      </x:c>
      <x:c r="D3468" s="2" t="str">
        <x:v>Completed</x:v>
      </x:c>
      <x:c r="E3468" s="2" t="str">
        <x:v>West</x:v>
      </x:c>
      <x:c r="F3468" s="2" t="str">
        <x:v>Store</x:v>
      </x:c>
      <x:c r="G3468" s="2" t="str">
        <x:v>Storage</x:v>
      </x:c>
      <x:c r="H3468" s="2" t="str">
        <x:v>Shelf 007</x:v>
      </x:c>
      <x:c r="I3468" s="11" t="n">
        <x:v>4</x:v>
      </x:c>
      <x:c r="J3468" s="9" t="n">
        <x:v>35</x:v>
      </x:c>
      <x:c r="K3468" s="10" t="n">
        <x:v>0.1</x:v>
      </x:c>
      <x:c r="L3468" s="11" t="n">
        <x:v>0</x:v>
      </x:c>
      <x:c r="M3468" s="9" t="n">
        <x:f>IF(D3468="Completed",I3468*J3468,0)</x:f>
        <x:v>140</x:v>
      </x:c>
      <x:c r="N3468" s="9" t="n">
        <x:f>M3468*K3468</x:f>
        <x:v>14</x:v>
      </x:c>
      <x:c r="O3468" s="9" t="n">
        <x:f>M3468-N3468</x:f>
        <x:v>126</x:v>
      </x:c>
      <x:c r="P3468" s="9" t="n">
        <x:f>IF(D3468="Completed",L3468*J3468*(1-K3468),0)</x:f>
        <x:v>0</x:v>
      </x:c>
      <x:c r="Q3468" s="9" t="n">
        <x:f>O3468-P3468</x:f>
        <x:v>126</x:v>
      </x:c>
      <x:c r="R3468" s="11" t="n">
        <x:f>IF(D3468="Completed",I3468,0)</x:f>
        <x:v>4</x:v>
      </x:c>
      <x:c r="S3468" s="11" t="n">
        <x:f>IF(D3468="Completed",L3468,0)</x:f>
        <x:v>0</x:v>
      </x:c>
      <x:c r="T3468" s="8" t="n">
        <x:f>DATE(YEAR(C3468),MONTH(C3468),1)</x:f>
        <x:v>45931</x:v>
      </x:c>
    </x:row>
    <x:row r="3469" ht="22" customHeight="1">
      <x:c r="A3469" s="2" t="str">
        <x:v>L003465</x:v>
      </x:c>
      <x:c r="B3469" s="2" t="str">
        <x:v>O01413</x:v>
      </x:c>
      <x:c r="C3469" s="7" t="n">
        <x:v>45932</x:v>
      </x:c>
      <x:c r="D3469" s="2" t="str">
        <x:v>Completed</x:v>
      </x:c>
      <x:c r="E3469" s="2" t="str">
        <x:v>West</x:v>
      </x:c>
      <x:c r="F3469" s="2" t="str">
        <x:v>Store</x:v>
      </x:c>
      <x:c r="G3469" s="2" t="str">
        <x:v>Furniture</x:v>
      </x:c>
      <x:c r="H3469" s="2" t="str">
        <x:v>Chair 002</x:v>
      </x:c>
      <x:c r="I3469" s="11" t="n">
        <x:v>2</x:v>
      </x:c>
      <x:c r="J3469" s="9" t="n">
        <x:v>284</x:v>
      </x:c>
      <x:c r="K3469" s="10" t="n">
        <x:v>0.2</x:v>
      </x:c>
      <x:c r="L3469" s="11" t="n">
        <x:v>0</x:v>
      </x:c>
      <x:c r="M3469" s="9" t="n">
        <x:f>IF(D3469="Completed",I3469*J3469,0)</x:f>
        <x:v>568</x:v>
      </x:c>
      <x:c r="N3469" s="9" t="n">
        <x:f>M3469*K3469</x:f>
        <x:v>113.60000000000001</x:v>
      </x:c>
      <x:c r="O3469" s="9" t="n">
        <x:f>M3469-N3469</x:f>
        <x:v>454.4</x:v>
      </x:c>
      <x:c r="P3469" s="9" t="n">
        <x:f>IF(D3469="Completed",L3469*J3469*(1-K3469),0)</x:f>
        <x:v>0</x:v>
      </x:c>
      <x:c r="Q3469" s="9" t="n">
        <x:f>O3469-P3469</x:f>
        <x:v>454.4</x:v>
      </x:c>
      <x:c r="R3469" s="11" t="n">
        <x:f>IF(D3469="Completed",I3469,0)</x:f>
        <x:v>2</x:v>
      </x:c>
      <x:c r="S3469" s="11" t="n">
        <x:f>IF(D3469="Completed",L3469,0)</x:f>
        <x:v>0</x:v>
      </x:c>
      <x:c r="T3469" s="8" t="n">
        <x:f>DATE(YEAR(C3469),MONTH(C3469),1)</x:f>
        <x:v>45931</x:v>
      </x:c>
    </x:row>
    <x:row r="3470" ht="22" customHeight="1">
      <x:c r="A3470" s="2" t="str">
        <x:v>L003466</x:v>
      </x:c>
      <x:c r="B3470" s="2" t="str">
        <x:v>O01414</x:v>
      </x:c>
      <x:c r="C3470" s="7" t="n">
        <x:v>46005</x:v>
      </x:c>
      <x:c r="D3470" s="2" t="str">
        <x:v>Completed</x:v>
      </x:c>
      <x:c r="E3470" s="2" t="str">
        <x:v>North</x:v>
      </x:c>
      <x:c r="F3470" s="2" t="str">
        <x:v>Online</x:v>
      </x:c>
      <x:c r="G3470" s="2" t="str">
        <x:v>Lighting</x:v>
      </x:c>
      <x:c r="H3470" s="2" t="str">
        <x:v>Lamp 013</x:v>
      </x:c>
      <x:c r="I3470" s="11" t="n">
        <x:v>3</x:v>
      </x:c>
      <x:c r="J3470" s="9" t="n">
        <x:v>271</x:v>
      </x:c>
      <x:c r="K3470" s="10" t="n">
        <x:v>0.2</x:v>
      </x:c>
      <x:c r="L3470" s="11" t="n">
        <x:v>0</x:v>
      </x:c>
      <x:c r="M3470" s="9" t="n">
        <x:f>IF(D3470="Completed",I3470*J3470,0)</x:f>
        <x:v>813</x:v>
      </x:c>
      <x:c r="N3470" s="9" t="n">
        <x:f>M3470*K3470</x:f>
        <x:v>162.60000000000002</x:v>
      </x:c>
      <x:c r="O3470" s="9" t="n">
        <x:f>M3470-N3470</x:f>
        <x:v>650.4</x:v>
      </x:c>
      <x:c r="P3470" s="9" t="n">
        <x:f>IF(D3470="Completed",L3470*J3470*(1-K3470),0)</x:f>
        <x:v>0</x:v>
      </x:c>
      <x:c r="Q3470" s="9" t="n">
        <x:f>O3470-P3470</x:f>
        <x:v>650.4</x:v>
      </x:c>
      <x:c r="R3470" s="11" t="n">
        <x:f>IF(D3470="Completed",I3470,0)</x:f>
        <x:v>3</x:v>
      </x:c>
      <x:c r="S3470" s="11" t="n">
        <x:f>IF(D3470="Completed",L3470,0)</x:f>
        <x:v>0</x:v>
      </x:c>
      <x:c r="T3470" s="8" t="n">
        <x:f>DATE(YEAR(C3470),MONTH(C3470),1)</x:f>
        <x:v>45992</x:v>
      </x:c>
    </x:row>
    <x:row r="3471" ht="22" customHeight="1">
      <x:c r="A3471" s="2" t="str">
        <x:v>L003467</x:v>
      </x:c>
      <x:c r="B3471" s="2" t="str">
        <x:v>O01415</x:v>
      </x:c>
      <x:c r="C3471" s="7" t="n">
        <x:v>45704</x:v>
      </x:c>
      <x:c r="D3471" s="2" t="str">
        <x:v>Completed</x:v>
      </x:c>
      <x:c r="E3471" s="2" t="str">
        <x:v>South</x:v>
      </x:c>
      <x:c r="F3471" s="2" t="str">
        <x:v>Store</x:v>
      </x:c>
      <x:c r="G3471" s="2" t="str">
        <x:v>Furniture</x:v>
      </x:c>
      <x:c r="H3471" s="2" t="str">
        <x:v>Desk 020</x:v>
      </x:c>
      <x:c r="I3471" s="11" t="n">
        <x:v>4</x:v>
      </x:c>
      <x:c r="J3471" s="9" t="n">
        <x:v>189</x:v>
      </x:c>
      <x:c r="K3471" s="10" t="n">
        <x:v>0</x:v>
      </x:c>
      <x:c r="L3471" s="11" t="n">
        <x:v>0</x:v>
      </x:c>
      <x:c r="M3471" s="9" t="n">
        <x:f>IF(D3471="Completed",I3471*J3471,0)</x:f>
        <x:v>756</x:v>
      </x:c>
      <x:c r="N3471" s="9" t="n">
        <x:f>M3471*K3471</x:f>
        <x:v>0</x:v>
      </x:c>
      <x:c r="O3471" s="9" t="n">
        <x:f>M3471-N3471</x:f>
        <x:v>756</x:v>
      </x:c>
      <x:c r="P3471" s="9" t="n">
        <x:f>IF(D3471="Completed",L3471*J3471*(1-K3471),0)</x:f>
        <x:v>0</x:v>
      </x:c>
      <x:c r="Q3471" s="9" t="n">
        <x:f>O3471-P3471</x:f>
        <x:v>756</x:v>
      </x:c>
      <x:c r="R3471" s="11" t="n">
        <x:f>IF(D3471="Completed",I3471,0)</x:f>
        <x:v>4</x:v>
      </x:c>
      <x:c r="S3471" s="11" t="n">
        <x:f>IF(D3471="Completed",L3471,0)</x:f>
        <x:v>0</x:v>
      </x:c>
      <x:c r="T3471" s="8" t="n">
        <x:f>DATE(YEAR(C3471),MONTH(C3471),1)</x:f>
        <x:v>45689</x:v>
      </x:c>
    </x:row>
    <x:row r="3472" ht="22" customHeight="1">
      <x:c r="A3472" s="2" t="str">
        <x:v>L003468</x:v>
      </x:c>
      <x:c r="B3472" s="2" t="str">
        <x:v>O01415</x:v>
      </x:c>
      <x:c r="C3472" s="7" t="n">
        <x:v>45704</x:v>
      </x:c>
      <x:c r="D3472" s="2" t="str">
        <x:v>Completed</x:v>
      </x:c>
      <x:c r="E3472" s="2" t="str">
        <x:v>South</x:v>
      </x:c>
      <x:c r="F3472" s="2" t="str">
        <x:v>Store</x:v>
      </x:c>
      <x:c r="G3472" s="2" t="str">
        <x:v>Furniture</x:v>
      </x:c>
      <x:c r="H3472" s="2" t="str">
        <x:v>Desk 020</x:v>
      </x:c>
      <x:c r="I3472" s="11" t="n">
        <x:v>3</x:v>
      </x:c>
      <x:c r="J3472" s="9" t="n">
        <x:v>189</x:v>
      </x:c>
      <x:c r="K3472" s="10" t="n">
        <x:v>0</x:v>
      </x:c>
      <x:c r="L3472" s="11" t="n">
        <x:v>0</x:v>
      </x:c>
      <x:c r="M3472" s="9" t="n">
        <x:f>IF(D3472="Completed",I3472*J3472,0)</x:f>
        <x:v>567</x:v>
      </x:c>
      <x:c r="N3472" s="9" t="n">
        <x:f>M3472*K3472</x:f>
        <x:v>0</x:v>
      </x:c>
      <x:c r="O3472" s="9" t="n">
        <x:f>M3472-N3472</x:f>
        <x:v>567</x:v>
      </x:c>
      <x:c r="P3472" s="9" t="n">
        <x:f>IF(D3472="Completed",L3472*J3472*(1-K3472),0)</x:f>
        <x:v>0</x:v>
      </x:c>
      <x:c r="Q3472" s="9" t="n">
        <x:f>O3472-P3472</x:f>
        <x:v>567</x:v>
      </x:c>
      <x:c r="R3472" s="11" t="n">
        <x:f>IF(D3472="Completed",I3472,0)</x:f>
        <x:v>3</x:v>
      </x:c>
      <x:c r="S3472" s="11" t="n">
        <x:f>IF(D3472="Completed",L3472,0)</x:f>
        <x:v>0</x:v>
      </x:c>
      <x:c r="T3472" s="8" t="n">
        <x:f>DATE(YEAR(C3472),MONTH(C3472),1)</x:f>
        <x:v>45689</x:v>
      </x:c>
    </x:row>
    <x:row r="3473" ht="22" customHeight="1">
      <x:c r="A3473" s="2" t="str">
        <x:v>L003469</x:v>
      </x:c>
      <x:c r="B3473" s="2" t="str">
        <x:v>O01416</x:v>
      </x:c>
      <x:c r="C3473" s="7" t="n">
        <x:v>45895</x:v>
      </x:c>
      <x:c r="D3473" s="2" t="str">
        <x:v>Completed</x:v>
      </x:c>
      <x:c r="E3473" s="2" t="str">
        <x:v>West</x:v>
      </x:c>
      <x:c r="F3473" s="2" t="str">
        <x:v>Online</x:v>
      </x:c>
      <x:c r="G3473" s="2" t="str">
        <x:v>Lighting</x:v>
      </x:c>
      <x:c r="H3473" s="2" t="str">
        <x:v>Lamp 005</x:v>
      </x:c>
      <x:c r="I3473" s="11" t="n">
        <x:v>5</x:v>
      </x:c>
      <x:c r="J3473" s="9" t="n">
        <x:v>65</x:v>
      </x:c>
      <x:c r="K3473" s="10" t="n">
        <x:v>0.2</x:v>
      </x:c>
      <x:c r="L3473" s="11" t="n">
        <x:v>0</x:v>
      </x:c>
      <x:c r="M3473" s="9" t="n">
        <x:f>IF(D3473="Completed",I3473*J3473,0)</x:f>
        <x:v>325</x:v>
      </x:c>
      <x:c r="N3473" s="9" t="n">
        <x:f>M3473*K3473</x:f>
        <x:v>65</x:v>
      </x:c>
      <x:c r="O3473" s="9" t="n">
        <x:f>M3473-N3473</x:f>
        <x:v>260</x:v>
      </x:c>
      <x:c r="P3473" s="9" t="n">
        <x:f>IF(D3473="Completed",L3473*J3473*(1-K3473),0)</x:f>
        <x:v>0</x:v>
      </x:c>
      <x:c r="Q3473" s="9" t="n">
        <x:f>O3473-P3473</x:f>
        <x:v>260</x:v>
      </x:c>
      <x:c r="R3473" s="11" t="n">
        <x:f>IF(D3473="Completed",I3473,0)</x:f>
        <x:v>5</x:v>
      </x:c>
      <x:c r="S3473" s="11" t="n">
        <x:f>IF(D3473="Completed",L3473,0)</x:f>
        <x:v>0</x:v>
      </x:c>
      <x:c r="T3473" s="8" t="n">
        <x:f>DATE(YEAR(C3473),MONTH(C3473),1)</x:f>
        <x:v>45870</x:v>
      </x:c>
    </x:row>
    <x:row r="3474" ht="22" customHeight="1">
      <x:c r="A3474" s="2" t="str">
        <x:v>L003470</x:v>
      </x:c>
      <x:c r="B3474" s="2" t="str">
        <x:v>O01416</x:v>
      </x:c>
      <x:c r="C3474" s="7" t="n">
        <x:v>45895</x:v>
      </x:c>
      <x:c r="D3474" s="2" t="str">
        <x:v>Completed</x:v>
      </x:c>
      <x:c r="E3474" s="2" t="str">
        <x:v>West</x:v>
      </x:c>
      <x:c r="F3474" s="2" t="str">
        <x:v>Online</x:v>
      </x:c>
      <x:c r="G3474" s="2" t="str">
        <x:v>Furniture</x:v>
      </x:c>
      <x:c r="H3474" s="2" t="str">
        <x:v>Desk 012</x:v>
      </x:c>
      <x:c r="I3474" s="11" t="n">
        <x:v>3</x:v>
      </x:c>
      <x:c r="J3474" s="9" t="n">
        <x:v>134</x:v>
      </x:c>
      <x:c r="K3474" s="10" t="n">
        <x:v>0.1</x:v>
      </x:c>
      <x:c r="L3474" s="11" t="n">
        <x:v>0</x:v>
      </x:c>
      <x:c r="M3474" s="9" t="n">
        <x:f>IF(D3474="Completed",I3474*J3474,0)</x:f>
        <x:v>402</x:v>
      </x:c>
      <x:c r="N3474" s="9" t="n">
        <x:f>M3474*K3474</x:f>
        <x:v>40.2</x:v>
      </x:c>
      <x:c r="O3474" s="9" t="n">
        <x:f>M3474-N3474</x:f>
        <x:v>361.8</x:v>
      </x:c>
      <x:c r="P3474" s="9" t="n">
        <x:f>IF(D3474="Completed",L3474*J3474*(1-K3474),0)</x:f>
        <x:v>0</x:v>
      </x:c>
      <x:c r="Q3474" s="9" t="n">
        <x:f>O3474-P3474</x:f>
        <x:v>361.8</x:v>
      </x:c>
      <x:c r="R3474" s="11" t="n">
        <x:f>IF(D3474="Completed",I3474,0)</x:f>
        <x:v>3</x:v>
      </x:c>
      <x:c r="S3474" s="11" t="n">
        <x:f>IF(D3474="Completed",L3474,0)</x:f>
        <x:v>0</x:v>
      </x:c>
      <x:c r="T3474" s="8" t="n">
        <x:f>DATE(YEAR(C3474),MONTH(C3474),1)</x:f>
        <x:v>45870</x:v>
      </x:c>
    </x:row>
    <x:row r="3475" ht="22" customHeight="1">
      <x:c r="A3475" s="2" t="str">
        <x:v>L003471</x:v>
      </x:c>
      <x:c r="B3475" s="2" t="str">
        <x:v>O01417</x:v>
      </x:c>
      <x:c r="C3475" s="7" t="n">
        <x:v>45776</x:v>
      </x:c>
      <x:c r="D3475" s="2" t="str">
        <x:v>Completed</x:v>
      </x:c>
      <x:c r="E3475" s="2" t="str">
        <x:v>South</x:v>
      </x:c>
      <x:c r="F3475" s="2" t="str">
        <x:v>Store</x:v>
      </x:c>
      <x:c r="G3475" s="2" t="str">
        <x:v>Furniture</x:v>
      </x:c>
      <x:c r="H3475" s="2" t="str">
        <x:v>Chair 018</x:v>
      </x:c>
      <x:c r="I3475" s="11" t="n">
        <x:v>5</x:v>
      </x:c>
      <x:c r="J3475" s="9" t="n">
        <x:v>269</x:v>
      </x:c>
      <x:c r="K3475" s="10" t="n">
        <x:v>0.05</x:v>
      </x:c>
      <x:c r="L3475" s="11" t="n">
        <x:v>0</x:v>
      </x:c>
      <x:c r="M3475" s="9" t="n">
        <x:f>IF(D3475="Completed",I3475*J3475,0)</x:f>
        <x:v>1345</x:v>
      </x:c>
      <x:c r="N3475" s="9" t="n">
        <x:f>M3475*K3475</x:f>
        <x:v>67.25</x:v>
      </x:c>
      <x:c r="O3475" s="9" t="n">
        <x:f>M3475-N3475</x:f>
        <x:v>1277.75</x:v>
      </x:c>
      <x:c r="P3475" s="9" t="n">
        <x:f>IF(D3475="Completed",L3475*J3475*(1-K3475),0)</x:f>
        <x:v>0</x:v>
      </x:c>
      <x:c r="Q3475" s="9" t="n">
        <x:f>O3475-P3475</x:f>
        <x:v>1277.75</x:v>
      </x:c>
      <x:c r="R3475" s="11" t="n">
        <x:f>IF(D3475="Completed",I3475,0)</x:f>
        <x:v>5</x:v>
      </x:c>
      <x:c r="S3475" s="11" t="n">
        <x:f>IF(D3475="Completed",L3475,0)</x:f>
        <x:v>0</x:v>
      </x:c>
      <x:c r="T3475" s="8" t="n">
        <x:f>DATE(YEAR(C3475),MONTH(C3475),1)</x:f>
        <x:v>45748</x:v>
      </x:c>
    </x:row>
    <x:row r="3476" ht="22" customHeight="1">
      <x:c r="A3476" s="2" t="str">
        <x:v>L003472</x:v>
      </x:c>
      <x:c r="B3476" s="2" t="str">
        <x:v>O01418</x:v>
      </x:c>
      <x:c r="C3476" s="7" t="n">
        <x:v>45783</x:v>
      </x:c>
      <x:c r="D3476" s="2" t="str">
        <x:v>Completed</x:v>
      </x:c>
      <x:c r="E3476" s="2" t="str">
        <x:v>East</x:v>
      </x:c>
      <x:c r="F3476" s="2" t="str">
        <x:v>Store</x:v>
      </x:c>
      <x:c r="G3476" s="2" t="str">
        <x:v>Furniture</x:v>
      </x:c>
      <x:c r="H3476" s="2" t="str">
        <x:v>Chair 018</x:v>
      </x:c>
      <x:c r="I3476" s="11" t="n">
        <x:v>3</x:v>
      </x:c>
      <x:c r="J3476" s="9" t="n">
        <x:v>269</x:v>
      </x:c>
      <x:c r="K3476" s="10" t="n">
        <x:v>0</x:v>
      </x:c>
      <x:c r="L3476" s="11" t="n">
        <x:v>0</x:v>
      </x:c>
      <x:c r="M3476" s="9" t="n">
        <x:f>IF(D3476="Completed",I3476*J3476,0)</x:f>
        <x:v>807</x:v>
      </x:c>
      <x:c r="N3476" s="9" t="n">
        <x:f>M3476*K3476</x:f>
        <x:v>0</x:v>
      </x:c>
      <x:c r="O3476" s="9" t="n">
        <x:f>M3476-N3476</x:f>
        <x:v>807</x:v>
      </x:c>
      <x:c r="P3476" s="9" t="n">
        <x:f>IF(D3476="Completed",L3476*J3476*(1-K3476),0)</x:f>
        <x:v>0</x:v>
      </x:c>
      <x:c r="Q3476" s="9" t="n">
        <x:f>O3476-P3476</x:f>
        <x:v>807</x:v>
      </x:c>
      <x:c r="R3476" s="11" t="n">
        <x:f>IF(D3476="Completed",I3476,0)</x:f>
        <x:v>3</x:v>
      </x:c>
      <x:c r="S3476" s="11" t="n">
        <x:f>IF(D3476="Completed",L3476,0)</x:f>
        <x:v>0</x:v>
      </x:c>
      <x:c r="T3476" s="8" t="n">
        <x:f>DATE(YEAR(C3476),MONTH(C3476),1)</x:f>
        <x:v>45778</x:v>
      </x:c>
    </x:row>
    <x:row r="3477" ht="22" customHeight="1">
      <x:c r="A3477" s="2" t="str">
        <x:v>L003473</x:v>
      </x:c>
      <x:c r="B3477" s="2" t="str">
        <x:v>O01419</x:v>
      </x:c>
      <x:c r="C3477" s="7" t="n">
        <x:v>45697</x:v>
      </x:c>
      <x:c r="D3477" s="2" t="str">
        <x:v>Completed</x:v>
      </x:c>
      <x:c r="E3477" s="2" t="str">
        <x:v>North</x:v>
      </x:c>
      <x:c r="F3477" s="2" t="str">
        <x:v>Online</x:v>
      </x:c>
      <x:c r="G3477" s="2" t="str">
        <x:v>Furniture</x:v>
      </x:c>
      <x:c r="H3477" s="2" t="str">
        <x:v>Desk 012</x:v>
      </x:c>
      <x:c r="I3477" s="11" t="n">
        <x:v>4</x:v>
      </x:c>
      <x:c r="J3477" s="9" t="n">
        <x:v>134</x:v>
      </x:c>
      <x:c r="K3477" s="10" t="n">
        <x:v>0.05</x:v>
      </x:c>
      <x:c r="L3477" s="11" t="n">
        <x:v>0</x:v>
      </x:c>
      <x:c r="M3477" s="9" t="n">
        <x:f>IF(D3477="Completed",I3477*J3477,0)</x:f>
        <x:v>536</x:v>
      </x:c>
      <x:c r="N3477" s="9" t="n">
        <x:f>M3477*K3477</x:f>
        <x:v>26.8</x:v>
      </x:c>
      <x:c r="O3477" s="9" t="n">
        <x:f>M3477-N3477</x:f>
        <x:v>509.2</x:v>
      </x:c>
      <x:c r="P3477" s="9" t="n">
        <x:f>IF(D3477="Completed",L3477*J3477*(1-K3477),0)</x:f>
        <x:v>0</x:v>
      </x:c>
      <x:c r="Q3477" s="9" t="n">
        <x:f>O3477-P3477</x:f>
        <x:v>509.2</x:v>
      </x:c>
      <x:c r="R3477" s="11" t="n">
        <x:f>IF(D3477="Completed",I3477,0)</x:f>
        <x:v>4</x:v>
      </x:c>
      <x:c r="S3477" s="11" t="n">
        <x:f>IF(D3477="Completed",L3477,0)</x:f>
        <x:v>0</x:v>
      </x:c>
      <x:c r="T3477" s="8" t="n">
        <x:f>DATE(YEAR(C3477),MONTH(C3477),1)</x:f>
        <x:v>45689</x:v>
      </x:c>
    </x:row>
    <x:row r="3478" ht="22" customHeight="1">
      <x:c r="A3478" s="2" t="str">
        <x:v>L003474</x:v>
      </x:c>
      <x:c r="B3478" s="2" t="str">
        <x:v>O01420</x:v>
      </x:c>
      <x:c r="C3478" s="7" t="n">
        <x:v>45774</x:v>
      </x:c>
      <x:c r="D3478" s="2" t="str">
        <x:v>Cancelled</x:v>
      </x:c>
      <x:c r="E3478" s="2" t="str">
        <x:v>South</x:v>
      </x:c>
      <x:c r="F3478" s="2" t="str">
        <x:v>Store</x:v>
      </x:c>
      <x:c r="G3478" s="2" t="str">
        <x:v>Furniture</x:v>
      </x:c>
      <x:c r="H3478" s="2" t="str">
        <x:v>Chair 014</x:v>
      </x:c>
      <x:c r="I3478" s="11" t="n">
        <x:v>5</x:v>
      </x:c>
      <x:c r="J3478" s="9" t="n">
        <x:v>294</x:v>
      </x:c>
      <x:c r="K3478" s="10" t="n">
        <x:v>0.1</x:v>
      </x:c>
      <x:c r="L3478" s="11" t="n">
        <x:v>0</x:v>
      </x:c>
      <x:c r="M3478" s="9" t="n">
        <x:f>IF(D3478="Completed",I3478*J3478,0)</x:f>
        <x:v>0</x:v>
      </x:c>
      <x:c r="N3478" s="9" t="n">
        <x:f>M3478*K3478</x:f>
        <x:v>0</x:v>
      </x:c>
      <x:c r="O3478" s="9" t="n">
        <x:f>M3478-N3478</x:f>
        <x:v>0</x:v>
      </x:c>
      <x:c r="P3478" s="9" t="n">
        <x:f>IF(D3478="Completed",L3478*J3478*(1-K3478),0)</x:f>
        <x:v>0</x:v>
      </x:c>
      <x:c r="Q3478" s="9" t="n">
        <x:f>O3478-P3478</x:f>
        <x:v>0</x:v>
      </x:c>
      <x:c r="R3478" s="11" t="n">
        <x:f>IF(D3478="Completed",I3478,0)</x:f>
        <x:v>0</x:v>
      </x:c>
      <x:c r="S3478" s="11" t="n">
        <x:f>IF(D3478="Completed",L3478,0)</x:f>
        <x:v>0</x:v>
      </x:c>
      <x:c r="T3478" s="8" t="n">
        <x:f>DATE(YEAR(C3478),MONTH(C3478),1)</x:f>
        <x:v>45748</x:v>
      </x:c>
    </x:row>
    <x:row r="3479" ht="22" customHeight="1">
      <x:c r="A3479" s="2" t="str">
        <x:v>L003475</x:v>
      </x:c>
      <x:c r="B3479" s="2" t="str">
        <x:v>O01420</x:v>
      </x:c>
      <x:c r="C3479" s="7" t="n">
        <x:v>45774</x:v>
      </x:c>
      <x:c r="D3479" s="2" t="str">
        <x:v>Cancelled</x:v>
      </x:c>
      <x:c r="E3479" s="2" t="str">
        <x:v>South</x:v>
      </x:c>
      <x:c r="F3479" s="2" t="str">
        <x:v>Store</x:v>
      </x:c>
      <x:c r="G3479" s="2" t="str">
        <x:v>Lighting</x:v>
      </x:c>
      <x:c r="H3479" s="2" t="str">
        <x:v>Lamp 001</x:v>
      </x:c>
      <x:c r="I3479" s="11" t="n">
        <x:v>4</x:v>
      </x:c>
      <x:c r="J3479" s="9" t="n">
        <x:v>122</x:v>
      </x:c>
      <x:c r="K3479" s="10" t="n">
        <x:v>0.05</x:v>
      </x:c>
      <x:c r="L3479" s="11" t="n">
        <x:v>0</x:v>
      </x:c>
      <x:c r="M3479" s="9" t="n">
        <x:f>IF(D3479="Completed",I3479*J3479,0)</x:f>
        <x:v>0</x:v>
      </x:c>
      <x:c r="N3479" s="9" t="n">
        <x:f>M3479*K3479</x:f>
        <x:v>0</x:v>
      </x:c>
      <x:c r="O3479" s="9" t="n">
        <x:f>M3479-N3479</x:f>
        <x:v>0</x:v>
      </x:c>
      <x:c r="P3479" s="9" t="n">
        <x:f>IF(D3479="Completed",L3479*J3479*(1-K3479),0)</x:f>
        <x:v>0</x:v>
      </x:c>
      <x:c r="Q3479" s="9" t="n">
        <x:f>O3479-P3479</x:f>
        <x:v>0</x:v>
      </x:c>
      <x:c r="R3479" s="11" t="n">
        <x:f>IF(D3479="Completed",I3479,0)</x:f>
        <x:v>0</x:v>
      </x:c>
      <x:c r="S3479" s="11" t="n">
        <x:f>IF(D3479="Completed",L3479,0)</x:f>
        <x:v>0</x:v>
      </x:c>
      <x:c r="T3479" s="8" t="n">
        <x:f>DATE(YEAR(C3479),MONTH(C3479),1)</x:f>
        <x:v>45748</x:v>
      </x:c>
    </x:row>
    <x:row r="3480" ht="22" customHeight="1">
      <x:c r="A3480" s="2" t="str">
        <x:v>L003476</x:v>
      </x:c>
      <x:c r="B3480" s="2" t="str">
        <x:v>O01420</x:v>
      </x:c>
      <x:c r="C3480" s="7" t="n">
        <x:v>45774</x:v>
      </x:c>
      <x:c r="D3480" s="2" t="str">
        <x:v>Cancelled</x:v>
      </x:c>
      <x:c r="E3480" s="2" t="str">
        <x:v>South</x:v>
      </x:c>
      <x:c r="F3480" s="2" t="str">
        <x:v>Store</x:v>
      </x:c>
      <x:c r="G3480" s="2" t="str">
        <x:v>Furniture</x:v>
      </x:c>
      <x:c r="H3480" s="2" t="str">
        <x:v>Chair 010</x:v>
      </x:c>
      <x:c r="I3480" s="11" t="n">
        <x:v>4</x:v>
      </x:c>
      <x:c r="J3480" s="9" t="n">
        <x:v>211</x:v>
      </x:c>
      <x:c r="K3480" s="10" t="n">
        <x:v>0</x:v>
      </x:c>
      <x:c r="L3480" s="11" t="n">
        <x:v>0</x:v>
      </x:c>
      <x:c r="M3480" s="9" t="n">
        <x:f>IF(D3480="Completed",I3480*J3480,0)</x:f>
        <x:v>0</x:v>
      </x:c>
      <x:c r="N3480" s="9" t="n">
        <x:f>M3480*K3480</x:f>
        <x:v>0</x:v>
      </x:c>
      <x:c r="O3480" s="9" t="n">
        <x:f>M3480-N3480</x:f>
        <x:v>0</x:v>
      </x:c>
      <x:c r="P3480" s="9" t="n">
        <x:f>IF(D3480="Completed",L3480*J3480*(1-K3480),0)</x:f>
        <x:v>0</x:v>
      </x:c>
      <x:c r="Q3480" s="9" t="n">
        <x:f>O3480-P3480</x:f>
        <x:v>0</x:v>
      </x:c>
      <x:c r="R3480" s="11" t="n">
        <x:f>IF(D3480="Completed",I3480,0)</x:f>
        <x:v>0</x:v>
      </x:c>
      <x:c r="S3480" s="11" t="n">
        <x:f>IF(D3480="Completed",L3480,0)</x:f>
        <x:v>0</x:v>
      </x:c>
      <x:c r="T3480" s="8" t="n">
        <x:f>DATE(YEAR(C3480),MONTH(C3480),1)</x:f>
        <x:v>45748</x:v>
      </x:c>
    </x:row>
    <x:row r="3481" ht="22" customHeight="1">
      <x:c r="A3481" s="2" t="str">
        <x:v>L003477</x:v>
      </x:c>
      <x:c r="B3481" s="2" t="str">
        <x:v>O01420</x:v>
      </x:c>
      <x:c r="C3481" s="7" t="n">
        <x:v>45774</x:v>
      </x:c>
      <x:c r="D3481" s="2" t="str">
        <x:v>Cancelled</x:v>
      </x:c>
      <x:c r="E3481" s="2" t="str">
        <x:v>South</x:v>
      </x:c>
      <x:c r="F3481" s="2" t="str">
        <x:v>Store</x:v>
      </x:c>
      <x:c r="G3481" s="2" t="str">
        <x:v>Furniture</x:v>
      </x:c>
      <x:c r="H3481" s="2" t="str">
        <x:v>Desk 012</x:v>
      </x:c>
      <x:c r="I3481" s="11" t="n">
        <x:v>4</x:v>
      </x:c>
      <x:c r="J3481" s="9" t="n">
        <x:v>134</x:v>
      </x:c>
      <x:c r="K3481" s="10" t="n">
        <x:v>0.1</x:v>
      </x:c>
      <x:c r="L3481" s="11" t="n">
        <x:v>0</x:v>
      </x:c>
      <x:c r="M3481" s="9" t="n">
        <x:f>IF(D3481="Completed",I3481*J3481,0)</x:f>
        <x:v>0</x:v>
      </x:c>
      <x:c r="N3481" s="9" t="n">
        <x:f>M3481*K3481</x:f>
        <x:v>0</x:v>
      </x:c>
      <x:c r="O3481" s="9" t="n">
        <x:f>M3481-N3481</x:f>
        <x:v>0</x:v>
      </x:c>
      <x:c r="P3481" s="9" t="n">
        <x:f>IF(D3481="Completed",L3481*J3481*(1-K3481),0)</x:f>
        <x:v>0</x:v>
      </x:c>
      <x:c r="Q3481" s="9" t="n">
        <x:f>O3481-P3481</x:f>
        <x:v>0</x:v>
      </x:c>
      <x:c r="R3481" s="11" t="n">
        <x:f>IF(D3481="Completed",I3481,0)</x:f>
        <x:v>0</x:v>
      </x:c>
      <x:c r="S3481" s="11" t="n">
        <x:f>IF(D3481="Completed",L3481,0)</x:f>
        <x:v>0</x:v>
      </x:c>
      <x:c r="T3481" s="8" t="n">
        <x:f>DATE(YEAR(C3481),MONTH(C3481),1)</x:f>
        <x:v>45748</x:v>
      </x:c>
    </x:row>
    <x:row r="3482" ht="22" customHeight="1">
      <x:c r="A3482" s="2" t="str">
        <x:v>L003478</x:v>
      </x:c>
      <x:c r="B3482" s="2" t="str">
        <x:v>O01421</x:v>
      </x:c>
      <x:c r="C3482" s="7" t="n">
        <x:v>45700</x:v>
      </x:c>
      <x:c r="D3482" s="2" t="str">
        <x:v>Completed</x:v>
      </x:c>
      <x:c r="E3482" s="2" t="str">
        <x:v>South</x:v>
      </x:c>
      <x:c r="F3482" s="2" t="str">
        <x:v>Store</x:v>
      </x:c>
      <x:c r="G3482" s="2" t="str">
        <x:v>Furniture</x:v>
      </x:c>
      <x:c r="H3482" s="2" t="str">
        <x:v>Desk 012</x:v>
      </x:c>
      <x:c r="I3482" s="11" t="n">
        <x:v>3</x:v>
      </x:c>
      <x:c r="J3482" s="9" t="n">
        <x:v>134</x:v>
      </x:c>
      <x:c r="K3482" s="10" t="n">
        <x:v>0</x:v>
      </x:c>
      <x:c r="L3482" s="11" t="n">
        <x:v>0</x:v>
      </x:c>
      <x:c r="M3482" s="9" t="n">
        <x:f>IF(D3482="Completed",I3482*J3482,0)</x:f>
        <x:v>402</x:v>
      </x:c>
      <x:c r="N3482" s="9" t="n">
        <x:f>M3482*K3482</x:f>
        <x:v>0</x:v>
      </x:c>
      <x:c r="O3482" s="9" t="n">
        <x:f>M3482-N3482</x:f>
        <x:v>402</x:v>
      </x:c>
      <x:c r="P3482" s="9" t="n">
        <x:f>IF(D3482="Completed",L3482*J3482*(1-K3482),0)</x:f>
        <x:v>0</x:v>
      </x:c>
      <x:c r="Q3482" s="9" t="n">
        <x:f>O3482-P3482</x:f>
        <x:v>402</x:v>
      </x:c>
      <x:c r="R3482" s="11" t="n">
        <x:f>IF(D3482="Completed",I3482,0)</x:f>
        <x:v>3</x:v>
      </x:c>
      <x:c r="S3482" s="11" t="n">
        <x:f>IF(D3482="Completed",L3482,0)</x:f>
        <x:v>0</x:v>
      </x:c>
      <x:c r="T3482" s="8" t="n">
        <x:f>DATE(YEAR(C3482),MONTH(C3482),1)</x:f>
        <x:v>45689</x:v>
      </x:c>
    </x:row>
    <x:row r="3483" ht="22" customHeight="1">
      <x:c r="A3483" s="2" t="str">
        <x:v>L003479</x:v>
      </x:c>
      <x:c r="B3483" s="2" t="str">
        <x:v>O01422</x:v>
      </x:c>
      <x:c r="C3483" s="7" t="n">
        <x:v>45914</x:v>
      </x:c>
      <x:c r="D3483" s="2" t="str">
        <x:v>Completed</x:v>
      </x:c>
      <x:c r="E3483" s="2" t="str">
        <x:v>West</x:v>
      </x:c>
      <x:c r="F3483" s="2" t="str">
        <x:v>Store</x:v>
      </x:c>
      <x:c r="G3483" s="2" t="str">
        <x:v>Furniture</x:v>
      </x:c>
      <x:c r="H3483" s="2" t="str">
        <x:v>Desk 004</x:v>
      </x:c>
      <x:c r="I3483" s="11" t="n">
        <x:v>1</x:v>
      </x:c>
      <x:c r="J3483" s="9" t="n">
        <x:v>123</x:v>
      </x:c>
      <x:c r="K3483" s="10" t="n">
        <x:v>0</x:v>
      </x:c>
      <x:c r="L3483" s="11" t="n">
        <x:v>0</x:v>
      </x:c>
      <x:c r="M3483" s="9" t="n">
        <x:f>IF(D3483="Completed",I3483*J3483,0)</x:f>
        <x:v>123</x:v>
      </x:c>
      <x:c r="N3483" s="9" t="n">
        <x:f>M3483*K3483</x:f>
        <x:v>0</x:v>
      </x:c>
      <x:c r="O3483" s="9" t="n">
        <x:f>M3483-N3483</x:f>
        <x:v>123</x:v>
      </x:c>
      <x:c r="P3483" s="9" t="n">
        <x:f>IF(D3483="Completed",L3483*J3483*(1-K3483),0)</x:f>
        <x:v>0</x:v>
      </x:c>
      <x:c r="Q3483" s="9" t="n">
        <x:f>O3483-P3483</x:f>
        <x:v>123</x:v>
      </x:c>
      <x:c r="R3483" s="11" t="n">
        <x:f>IF(D3483="Completed",I3483,0)</x:f>
        <x:v>1</x:v>
      </x:c>
      <x:c r="S3483" s="11" t="n">
        <x:f>IF(D3483="Completed",L3483,0)</x:f>
        <x:v>0</x:v>
      </x:c>
      <x:c r="T3483" s="8" t="n">
        <x:f>DATE(YEAR(C3483),MONTH(C3483),1)</x:f>
        <x:v>45901</x:v>
      </x:c>
    </x:row>
    <x:row r="3484" ht="22" customHeight="1">
      <x:c r="A3484" s="2" t="str">
        <x:v>L003480</x:v>
      </x:c>
      <x:c r="B3484" s="2" t="str">
        <x:v>O01422</x:v>
      </x:c>
      <x:c r="C3484" s="7" t="n">
        <x:v>45914</x:v>
      </x:c>
      <x:c r="D3484" s="2" t="str">
        <x:v>Completed</x:v>
      </x:c>
      <x:c r="E3484" s="2" t="str">
        <x:v>West</x:v>
      </x:c>
      <x:c r="F3484" s="2" t="str">
        <x:v>Store</x:v>
      </x:c>
      <x:c r="G3484" s="2" t="str">
        <x:v>Furniture</x:v>
      </x:c>
      <x:c r="H3484" s="2" t="str">
        <x:v>Desk 024</x:v>
      </x:c>
      <x:c r="I3484" s="11" t="n">
        <x:v>3</x:v>
      </x:c>
      <x:c r="J3484" s="9" t="n">
        <x:v>81</x:v>
      </x:c>
      <x:c r="K3484" s="10" t="n">
        <x:v>0.2</x:v>
      </x:c>
      <x:c r="L3484" s="11" t="n">
        <x:v>0</x:v>
      </x:c>
      <x:c r="M3484" s="9" t="n">
        <x:f>IF(D3484="Completed",I3484*J3484,0)</x:f>
        <x:v>243</x:v>
      </x:c>
      <x:c r="N3484" s="9" t="n">
        <x:f>M3484*K3484</x:f>
        <x:v>48.6</x:v>
      </x:c>
      <x:c r="O3484" s="9" t="n">
        <x:f>M3484-N3484</x:f>
        <x:v>194.4</x:v>
      </x:c>
      <x:c r="P3484" s="9" t="n">
        <x:f>IF(D3484="Completed",L3484*J3484*(1-K3484),0)</x:f>
        <x:v>0</x:v>
      </x:c>
      <x:c r="Q3484" s="9" t="n">
        <x:f>O3484-P3484</x:f>
        <x:v>194.4</x:v>
      </x:c>
      <x:c r="R3484" s="11" t="n">
        <x:f>IF(D3484="Completed",I3484,0)</x:f>
        <x:v>3</x:v>
      </x:c>
      <x:c r="S3484" s="11" t="n">
        <x:f>IF(D3484="Completed",L3484,0)</x:f>
        <x:v>0</x:v>
      </x:c>
      <x:c r="T3484" s="8" t="n">
        <x:f>DATE(YEAR(C3484),MONTH(C3484),1)</x:f>
        <x:v>45901</x:v>
      </x:c>
    </x:row>
    <x:row r="3485" ht="22" customHeight="1">
      <x:c r="A3485" s="2" t="str">
        <x:v>L003481</x:v>
      </x:c>
      <x:c r="B3485" s="2" t="str">
        <x:v>O01423</x:v>
      </x:c>
      <x:c r="C3485" s="7" t="n">
        <x:v>45684</x:v>
      </x:c>
      <x:c r="D3485" s="2" t="str">
        <x:v>Completed</x:v>
      </x:c>
      <x:c r="E3485" s="2" t="str">
        <x:v>South</x:v>
      </x:c>
      <x:c r="F3485" s="2" t="str">
        <x:v>Online</x:v>
      </x:c>
      <x:c r="G3485" s="2" t="str">
        <x:v>Storage</x:v>
      </x:c>
      <x:c r="H3485" s="2" t="str">
        <x:v>Shelf 015</x:v>
      </x:c>
      <x:c r="I3485" s="11" t="n">
        <x:v>2</x:v>
      </x:c>
      <x:c r="J3485" s="9" t="n">
        <x:v>254</x:v>
      </x:c>
      <x:c r="K3485" s="10" t="n">
        <x:v>0.2</x:v>
      </x:c>
      <x:c r="L3485" s="11" t="n">
        <x:v>0</x:v>
      </x:c>
      <x:c r="M3485" s="9" t="n">
        <x:f>IF(D3485="Completed",I3485*J3485,0)</x:f>
        <x:v>508</x:v>
      </x:c>
      <x:c r="N3485" s="9" t="n">
        <x:f>M3485*K3485</x:f>
        <x:v>101.60000000000001</x:v>
      </x:c>
      <x:c r="O3485" s="9" t="n">
        <x:f>M3485-N3485</x:f>
        <x:v>406.4</x:v>
      </x:c>
      <x:c r="P3485" s="9" t="n">
        <x:f>IF(D3485="Completed",L3485*J3485*(1-K3485),0)</x:f>
        <x:v>0</x:v>
      </x:c>
      <x:c r="Q3485" s="9" t="n">
        <x:f>O3485-P3485</x:f>
        <x:v>406.4</x:v>
      </x:c>
      <x:c r="R3485" s="11" t="n">
        <x:f>IF(D3485="Completed",I3485,0)</x:f>
        <x:v>2</x:v>
      </x:c>
      <x:c r="S3485" s="11" t="n">
        <x:f>IF(D3485="Completed",L3485,0)</x:f>
        <x:v>0</x:v>
      </x:c>
      <x:c r="T3485" s="8" t="n">
        <x:f>DATE(YEAR(C3485),MONTH(C3485),1)</x:f>
        <x:v>45658</x:v>
      </x:c>
    </x:row>
    <x:row r="3486" ht="22" customHeight="1">
      <x:c r="A3486" s="2" t="str">
        <x:v>L003482</x:v>
      </x:c>
      <x:c r="B3486" s="2" t="str">
        <x:v>O01423</x:v>
      </x:c>
      <x:c r="C3486" s="7" t="n">
        <x:v>45684</x:v>
      </x:c>
      <x:c r="D3486" s="2" t="str">
        <x:v>Completed</x:v>
      </x:c>
      <x:c r="E3486" s="2" t="str">
        <x:v>South</x:v>
      </x:c>
      <x:c r="F3486" s="2" t="str">
        <x:v>Online</x:v>
      </x:c>
      <x:c r="G3486" s="2" t="str">
        <x:v>Storage</x:v>
      </x:c>
      <x:c r="H3486" s="2" t="str">
        <x:v>Shelf 007</x:v>
      </x:c>
      <x:c r="I3486" s="11" t="n">
        <x:v>4</x:v>
      </x:c>
      <x:c r="J3486" s="9" t="n">
        <x:v>35</x:v>
      </x:c>
      <x:c r="K3486" s="10" t="n">
        <x:v>0.05</x:v>
      </x:c>
      <x:c r="L3486" s="11" t="n">
        <x:v>0</x:v>
      </x:c>
      <x:c r="M3486" s="9" t="n">
        <x:f>IF(D3486="Completed",I3486*J3486,0)</x:f>
        <x:v>140</x:v>
      </x:c>
      <x:c r="N3486" s="9" t="n">
        <x:f>M3486*K3486</x:f>
        <x:v>7</x:v>
      </x:c>
      <x:c r="O3486" s="9" t="n">
        <x:f>M3486-N3486</x:f>
        <x:v>133</x:v>
      </x:c>
      <x:c r="P3486" s="9" t="n">
        <x:f>IF(D3486="Completed",L3486*J3486*(1-K3486),0)</x:f>
        <x:v>0</x:v>
      </x:c>
      <x:c r="Q3486" s="9" t="n">
        <x:f>O3486-P3486</x:f>
        <x:v>133</x:v>
      </x:c>
      <x:c r="R3486" s="11" t="n">
        <x:f>IF(D3486="Completed",I3486,0)</x:f>
        <x:v>4</x:v>
      </x:c>
      <x:c r="S3486" s="11" t="n">
        <x:f>IF(D3486="Completed",L3486,0)</x:f>
        <x:v>0</x:v>
      </x:c>
      <x:c r="T3486" s="8" t="n">
        <x:f>DATE(YEAR(C3486),MONTH(C3486),1)</x:f>
        <x:v>45658</x:v>
      </x:c>
    </x:row>
    <x:row r="3487" ht="22" customHeight="1">
      <x:c r="A3487" s="2" t="str">
        <x:v>L003483</x:v>
      </x:c>
      <x:c r="B3487" s="2" t="str">
        <x:v>O01424</x:v>
      </x:c>
      <x:c r="C3487" s="7" t="n">
        <x:v>45840</x:v>
      </x:c>
      <x:c r="D3487" s="2" t="str">
        <x:v>Completed</x:v>
      </x:c>
      <x:c r="E3487" s="2" t="str">
        <x:v>North</x:v>
      </x:c>
      <x:c r="F3487" s="2" t="str">
        <x:v>Store</x:v>
      </x:c>
      <x:c r="G3487" s="2" t="str">
        <x:v>Storage</x:v>
      </x:c>
      <x:c r="H3487" s="2" t="str">
        <x:v>Shelf 019</x:v>
      </x:c>
      <x:c r="I3487" s="11" t="n">
        <x:v>4</x:v>
      </x:c>
      <x:c r="J3487" s="9" t="n">
        <x:v>78</x:v>
      </x:c>
      <x:c r="K3487" s="10" t="n">
        <x:v>0</x:v>
      </x:c>
      <x:c r="L3487" s="11" t="n">
        <x:v>0</x:v>
      </x:c>
      <x:c r="M3487" s="9" t="n">
        <x:f>IF(D3487="Completed",I3487*J3487,0)</x:f>
        <x:v>312</x:v>
      </x:c>
      <x:c r="N3487" s="9" t="n">
        <x:f>M3487*K3487</x:f>
        <x:v>0</x:v>
      </x:c>
      <x:c r="O3487" s="9" t="n">
        <x:f>M3487-N3487</x:f>
        <x:v>312</x:v>
      </x:c>
      <x:c r="P3487" s="9" t="n">
        <x:f>IF(D3487="Completed",L3487*J3487*(1-K3487),0)</x:f>
        <x:v>0</x:v>
      </x:c>
      <x:c r="Q3487" s="9" t="n">
        <x:f>O3487-P3487</x:f>
        <x:v>312</x:v>
      </x:c>
      <x:c r="R3487" s="11" t="n">
        <x:f>IF(D3487="Completed",I3487,0)</x:f>
        <x:v>4</x:v>
      </x:c>
      <x:c r="S3487" s="11" t="n">
        <x:f>IF(D3487="Completed",L3487,0)</x:f>
        <x:v>0</x:v>
      </x:c>
      <x:c r="T3487" s="8" t="n">
        <x:f>DATE(YEAR(C3487),MONTH(C3487),1)</x:f>
        <x:v>45839</x:v>
      </x:c>
    </x:row>
    <x:row r="3488" ht="22" customHeight="1">
      <x:c r="A3488" s="2" t="str">
        <x:v>L003484</x:v>
      </x:c>
      <x:c r="B3488" s="2" t="str">
        <x:v>O01425</x:v>
      </x:c>
      <x:c r="C3488" s="7" t="n">
        <x:v>45844</x:v>
      </x:c>
      <x:c r="D3488" s="2" t="str">
        <x:v>Completed</x:v>
      </x:c>
      <x:c r="E3488" s="2" t="str">
        <x:v>North</x:v>
      </x:c>
      <x:c r="F3488" s="2" t="str">
        <x:v>Store</x:v>
      </x:c>
      <x:c r="G3488" s="2" t="str">
        <x:v>Storage</x:v>
      </x:c>
      <x:c r="H3488" s="2" t="str">
        <x:v>Shelf 003</x:v>
      </x:c>
      <x:c r="I3488" s="11" t="n">
        <x:v>2</x:v>
      </x:c>
      <x:c r="J3488" s="9" t="n">
        <x:v>199</x:v>
      </x:c>
      <x:c r="K3488" s="10" t="n">
        <x:v>0.1</x:v>
      </x:c>
      <x:c r="L3488" s="11" t="n">
        <x:v>0</x:v>
      </x:c>
      <x:c r="M3488" s="9" t="n">
        <x:f>IF(D3488="Completed",I3488*J3488,0)</x:f>
        <x:v>398</x:v>
      </x:c>
      <x:c r="N3488" s="9" t="n">
        <x:f>M3488*K3488</x:f>
        <x:v>39.800000000000004</x:v>
      </x:c>
      <x:c r="O3488" s="9" t="n">
        <x:f>M3488-N3488</x:f>
        <x:v>358.2</x:v>
      </x:c>
      <x:c r="P3488" s="9" t="n">
        <x:f>IF(D3488="Completed",L3488*J3488*(1-K3488),0)</x:f>
        <x:v>0</x:v>
      </x:c>
      <x:c r="Q3488" s="9" t="n">
        <x:f>O3488-P3488</x:f>
        <x:v>358.2</x:v>
      </x:c>
      <x:c r="R3488" s="11" t="n">
        <x:f>IF(D3488="Completed",I3488,0)</x:f>
        <x:v>2</x:v>
      </x:c>
      <x:c r="S3488" s="11" t="n">
        <x:f>IF(D3488="Completed",L3488,0)</x:f>
        <x:v>0</x:v>
      </x:c>
      <x:c r="T3488" s="8" t="n">
        <x:f>DATE(YEAR(C3488),MONTH(C3488),1)</x:f>
        <x:v>45839</x:v>
      </x:c>
    </x:row>
    <x:row r="3489" ht="22" customHeight="1">
      <x:c r="A3489" s="2" t="str">
        <x:v>L003485</x:v>
      </x:c>
      <x:c r="B3489" s="2" t="str">
        <x:v>O01426</x:v>
      </x:c>
      <x:c r="C3489" s="7" t="n">
        <x:v>45949</x:v>
      </x:c>
      <x:c r="D3489" s="2" t="str">
        <x:v>Completed</x:v>
      </x:c>
      <x:c r="E3489" s="2" t="str">
        <x:v>East</x:v>
      </x:c>
      <x:c r="F3489" s="2" t="str">
        <x:v>Online</x:v>
      </x:c>
      <x:c r="G3489" s="2" t="str">
        <x:v>Lighting</x:v>
      </x:c>
      <x:c r="H3489" s="2" t="str">
        <x:v>Lamp 013</x:v>
      </x:c>
      <x:c r="I3489" s="11" t="n">
        <x:v>5</x:v>
      </x:c>
      <x:c r="J3489" s="9" t="n">
        <x:v>271</x:v>
      </x:c>
      <x:c r="K3489" s="10" t="n">
        <x:v>0.05</x:v>
      </x:c>
      <x:c r="L3489" s="11" t="n">
        <x:v>0</x:v>
      </x:c>
      <x:c r="M3489" s="9" t="n">
        <x:f>IF(D3489="Completed",I3489*J3489,0)</x:f>
        <x:v>1355</x:v>
      </x:c>
      <x:c r="N3489" s="9" t="n">
        <x:f>M3489*K3489</x:f>
        <x:v>67.75</x:v>
      </x:c>
      <x:c r="O3489" s="9" t="n">
        <x:f>M3489-N3489</x:f>
        <x:v>1287.25</x:v>
      </x:c>
      <x:c r="P3489" s="9" t="n">
        <x:f>IF(D3489="Completed",L3489*J3489*(1-K3489),0)</x:f>
        <x:v>0</x:v>
      </x:c>
      <x:c r="Q3489" s="9" t="n">
        <x:f>O3489-P3489</x:f>
        <x:v>1287.25</x:v>
      </x:c>
      <x:c r="R3489" s="11" t="n">
        <x:f>IF(D3489="Completed",I3489,0)</x:f>
        <x:v>5</x:v>
      </x:c>
      <x:c r="S3489" s="11" t="n">
        <x:f>IF(D3489="Completed",L3489,0)</x:f>
        <x:v>0</x:v>
      </x:c>
      <x:c r="T3489" s="8" t="n">
        <x:f>DATE(YEAR(C3489),MONTH(C3489),1)</x:f>
        <x:v>45931</x:v>
      </x:c>
    </x:row>
    <x:row r="3490" ht="22" customHeight="1">
      <x:c r="A3490" s="2" t="str">
        <x:v>L003486</x:v>
      </x:c>
      <x:c r="B3490" s="2" t="str">
        <x:v>O01426</x:v>
      </x:c>
      <x:c r="C3490" s="7" t="n">
        <x:v>45949</x:v>
      </x:c>
      <x:c r="D3490" s="2" t="str">
        <x:v>Completed</x:v>
      </x:c>
      <x:c r="E3490" s="2" t="str">
        <x:v>East</x:v>
      </x:c>
      <x:c r="F3490" s="2" t="str">
        <x:v>Online</x:v>
      </x:c>
      <x:c r="G3490" s="2" t="str">
        <x:v>Furniture</x:v>
      </x:c>
      <x:c r="H3490" s="2" t="str">
        <x:v>Chair 018</x:v>
      </x:c>
      <x:c r="I3490" s="11" t="n">
        <x:v>1</x:v>
      </x:c>
      <x:c r="J3490" s="9" t="n">
        <x:v>269</x:v>
      </x:c>
      <x:c r="K3490" s="10" t="n">
        <x:v>0.05</x:v>
      </x:c>
      <x:c r="L3490" s="11" t="n">
        <x:v>0</x:v>
      </x:c>
      <x:c r="M3490" s="9" t="n">
        <x:f>IF(D3490="Completed",I3490*J3490,0)</x:f>
        <x:v>269</x:v>
      </x:c>
      <x:c r="N3490" s="9" t="n">
        <x:f>M3490*K3490</x:f>
        <x:v>13.450000000000001</x:v>
      </x:c>
      <x:c r="O3490" s="9" t="n">
        <x:f>M3490-N3490</x:f>
        <x:v>255.55</x:v>
      </x:c>
      <x:c r="P3490" s="9" t="n">
        <x:f>IF(D3490="Completed",L3490*J3490*(1-K3490),0)</x:f>
        <x:v>0</x:v>
      </x:c>
      <x:c r="Q3490" s="9" t="n">
        <x:f>O3490-P3490</x:f>
        <x:v>255.55</x:v>
      </x:c>
      <x:c r="R3490" s="11" t="n">
        <x:f>IF(D3490="Completed",I3490,0)</x:f>
        <x:v>1</x:v>
      </x:c>
      <x:c r="S3490" s="11" t="n">
        <x:f>IF(D3490="Completed",L3490,0)</x:f>
        <x:v>0</x:v>
      </x:c>
      <x:c r="T3490" s="8" t="n">
        <x:f>DATE(YEAR(C3490),MONTH(C3490),1)</x:f>
        <x:v>45931</x:v>
      </x:c>
    </x:row>
    <x:row r="3491" ht="22" customHeight="1">
      <x:c r="A3491" s="2" t="str">
        <x:v>L003487</x:v>
      </x:c>
      <x:c r="B3491" s="2" t="str">
        <x:v>O01426</x:v>
      </x:c>
      <x:c r="C3491" s="7" t="n">
        <x:v>45949</x:v>
      </x:c>
      <x:c r="D3491" s="2" t="str">
        <x:v>Completed</x:v>
      </x:c>
      <x:c r="E3491" s="2" t="str">
        <x:v>East</x:v>
      </x:c>
      <x:c r="F3491" s="2" t="str">
        <x:v>Online</x:v>
      </x:c>
      <x:c r="G3491" s="2" t="str">
        <x:v>Furniture</x:v>
      </x:c>
      <x:c r="H3491" s="2" t="str">
        <x:v>Chair 014</x:v>
      </x:c>
      <x:c r="I3491" s="11" t="n">
        <x:v>4</x:v>
      </x:c>
      <x:c r="J3491" s="9" t="n">
        <x:v>294</x:v>
      </x:c>
      <x:c r="K3491" s="10" t="n">
        <x:v>0.1</x:v>
      </x:c>
      <x:c r="L3491" s="11" t="n">
        <x:v>0</x:v>
      </x:c>
      <x:c r="M3491" s="9" t="n">
        <x:f>IF(D3491="Completed",I3491*J3491,0)</x:f>
        <x:v>1176</x:v>
      </x:c>
      <x:c r="N3491" s="9" t="n">
        <x:f>M3491*K3491</x:f>
        <x:v>117.60000000000001</x:v>
      </x:c>
      <x:c r="O3491" s="9" t="n">
        <x:f>M3491-N3491</x:f>
        <x:v>1058.4</x:v>
      </x:c>
      <x:c r="P3491" s="9" t="n">
        <x:f>IF(D3491="Completed",L3491*J3491*(1-K3491),0)</x:f>
        <x:v>0</x:v>
      </x:c>
      <x:c r="Q3491" s="9" t="n">
        <x:f>O3491-P3491</x:f>
        <x:v>1058.4</x:v>
      </x:c>
      <x:c r="R3491" s="11" t="n">
        <x:f>IF(D3491="Completed",I3491,0)</x:f>
        <x:v>4</x:v>
      </x:c>
      <x:c r="S3491" s="11" t="n">
        <x:f>IF(D3491="Completed",L3491,0)</x:f>
        <x:v>0</x:v>
      </x:c>
      <x:c r="T3491" s="8" t="n">
        <x:f>DATE(YEAR(C3491),MONTH(C3491),1)</x:f>
        <x:v>45931</x:v>
      </x:c>
    </x:row>
    <x:row r="3492" ht="22" customHeight="1">
      <x:c r="A3492" s="2" t="str">
        <x:v>L003488</x:v>
      </x:c>
      <x:c r="B3492" s="2" t="str">
        <x:v>O01426</x:v>
      </x:c>
      <x:c r="C3492" s="7" t="n">
        <x:v>45949</x:v>
      </x:c>
      <x:c r="D3492" s="2" t="str">
        <x:v>Completed</x:v>
      </x:c>
      <x:c r="E3492" s="2" t="str">
        <x:v>East</x:v>
      </x:c>
      <x:c r="F3492" s="2" t="str">
        <x:v>Online</x:v>
      </x:c>
      <x:c r="G3492" s="2" t="str">
        <x:v>Furniture</x:v>
      </x:c>
      <x:c r="H3492" s="2" t="str">
        <x:v>Chair 014</x:v>
      </x:c>
      <x:c r="I3492" s="11" t="n">
        <x:v>2</x:v>
      </x:c>
      <x:c r="J3492" s="9" t="n">
        <x:v>294</x:v>
      </x:c>
      <x:c r="K3492" s="10" t="n">
        <x:v>0.1</x:v>
      </x:c>
      <x:c r="L3492" s="11" t="n">
        <x:v>1</x:v>
      </x:c>
      <x:c r="M3492" s="9" t="n">
        <x:f>IF(D3492="Completed",I3492*J3492,0)</x:f>
        <x:v>588</x:v>
      </x:c>
      <x:c r="N3492" s="9" t="n">
        <x:f>M3492*K3492</x:f>
        <x:v>58.800000000000004</x:v>
      </x:c>
      <x:c r="O3492" s="9" t="n">
        <x:f>M3492-N3492</x:f>
        <x:v>529.2</x:v>
      </x:c>
      <x:c r="P3492" s="9" t="n">
        <x:f>IF(D3492="Completed",L3492*J3492*(1-K3492),0)</x:f>
        <x:v>264.6</x:v>
      </x:c>
      <x:c r="Q3492" s="9" t="n">
        <x:f>O3492-P3492</x:f>
        <x:v>264.6</x:v>
      </x:c>
      <x:c r="R3492" s="11" t="n">
        <x:f>IF(D3492="Completed",I3492,0)</x:f>
        <x:v>2</x:v>
      </x:c>
      <x:c r="S3492" s="11" t="n">
        <x:f>IF(D3492="Completed",L3492,0)</x:f>
        <x:v>1</x:v>
      </x:c>
      <x:c r="T3492" s="8" t="n">
        <x:f>DATE(YEAR(C3492),MONTH(C3492),1)</x:f>
        <x:v>45931</x:v>
      </x:c>
    </x:row>
    <x:row r="3493" ht="22" customHeight="1">
      <x:c r="A3493" s="2" t="str">
        <x:v>L003489</x:v>
      </x:c>
      <x:c r="B3493" s="2" t="str">
        <x:v>O01427</x:v>
      </x:c>
      <x:c r="C3493" s="7" t="n">
        <x:v>45971</x:v>
      </x:c>
      <x:c r="D3493" s="2" t="str">
        <x:v>Completed</x:v>
      </x:c>
      <x:c r="E3493" s="2" t="str">
        <x:v>West</x:v>
      </x:c>
      <x:c r="F3493" s="2" t="str">
        <x:v>Online</x:v>
      </x:c>
      <x:c r="G3493" s="2" t="str">
        <x:v>Storage</x:v>
      </x:c>
      <x:c r="H3493" s="2" t="str">
        <x:v>Shelf 007</x:v>
      </x:c>
      <x:c r="I3493" s="11" t="n">
        <x:v>1</x:v>
      </x:c>
      <x:c r="J3493" s="9" t="n">
        <x:v>35</x:v>
      </x:c>
      <x:c r="K3493" s="10" t="n">
        <x:v>0.1</x:v>
      </x:c>
      <x:c r="L3493" s="11" t="n">
        <x:v>0</x:v>
      </x:c>
      <x:c r="M3493" s="9" t="n">
        <x:f>IF(D3493="Completed",I3493*J3493,0)</x:f>
        <x:v>35</x:v>
      </x:c>
      <x:c r="N3493" s="9" t="n">
        <x:f>M3493*K3493</x:f>
        <x:v>3.5</x:v>
      </x:c>
      <x:c r="O3493" s="9" t="n">
        <x:f>M3493-N3493</x:f>
        <x:v>31.5</x:v>
      </x:c>
      <x:c r="P3493" s="9" t="n">
        <x:f>IF(D3493="Completed",L3493*J3493*(1-K3493),0)</x:f>
        <x:v>0</x:v>
      </x:c>
      <x:c r="Q3493" s="9" t="n">
        <x:f>O3493-P3493</x:f>
        <x:v>31.5</x:v>
      </x:c>
      <x:c r="R3493" s="11" t="n">
        <x:f>IF(D3493="Completed",I3493,0)</x:f>
        <x:v>1</x:v>
      </x:c>
      <x:c r="S3493" s="11" t="n">
        <x:f>IF(D3493="Completed",L3493,0)</x:f>
        <x:v>0</x:v>
      </x:c>
      <x:c r="T3493" s="8" t="n">
        <x:f>DATE(YEAR(C3493),MONTH(C3493),1)</x:f>
        <x:v>45962</x:v>
      </x:c>
    </x:row>
    <x:row r="3494" ht="22" customHeight="1">
      <x:c r="A3494" s="2" t="str">
        <x:v>L003490</x:v>
      </x:c>
      <x:c r="B3494" s="2" t="str">
        <x:v>O01427</x:v>
      </x:c>
      <x:c r="C3494" s="7" t="n">
        <x:v>45971</x:v>
      </x:c>
      <x:c r="D3494" s="2" t="str">
        <x:v>Completed</x:v>
      </x:c>
      <x:c r="E3494" s="2" t="str">
        <x:v>West</x:v>
      </x:c>
      <x:c r="F3494" s="2" t="str">
        <x:v>Online</x:v>
      </x:c>
      <x:c r="G3494" s="2" t="str">
        <x:v>Furniture</x:v>
      </x:c>
      <x:c r="H3494" s="2" t="str">
        <x:v>Desk 012</x:v>
      </x:c>
      <x:c r="I3494" s="11" t="n">
        <x:v>2</x:v>
      </x:c>
      <x:c r="J3494" s="9" t="n">
        <x:v>134</x:v>
      </x:c>
      <x:c r="K3494" s="10" t="n">
        <x:v>0</x:v>
      </x:c>
      <x:c r="L3494" s="11" t="n">
        <x:v>0</x:v>
      </x:c>
      <x:c r="M3494" s="9" t="n">
        <x:f>IF(D3494="Completed",I3494*J3494,0)</x:f>
        <x:v>268</x:v>
      </x:c>
      <x:c r="N3494" s="9" t="n">
        <x:f>M3494*K3494</x:f>
        <x:v>0</x:v>
      </x:c>
      <x:c r="O3494" s="9" t="n">
        <x:f>M3494-N3494</x:f>
        <x:v>268</x:v>
      </x:c>
      <x:c r="P3494" s="9" t="n">
        <x:f>IF(D3494="Completed",L3494*J3494*(1-K3494),0)</x:f>
        <x:v>0</x:v>
      </x:c>
      <x:c r="Q3494" s="9" t="n">
        <x:f>O3494-P3494</x:f>
        <x:v>268</x:v>
      </x:c>
      <x:c r="R3494" s="11" t="n">
        <x:f>IF(D3494="Completed",I3494,0)</x:f>
        <x:v>2</x:v>
      </x:c>
      <x:c r="S3494" s="11" t="n">
        <x:f>IF(D3494="Completed",L3494,0)</x:f>
        <x:v>0</x:v>
      </x:c>
      <x:c r="T3494" s="8" t="n">
        <x:f>DATE(YEAR(C3494),MONTH(C3494),1)</x:f>
        <x:v>45962</x:v>
      </x:c>
    </x:row>
    <x:row r="3495" ht="22" customHeight="1">
      <x:c r="A3495" s="2" t="str">
        <x:v>L003491</x:v>
      </x:c>
      <x:c r="B3495" s="2" t="str">
        <x:v>O01428</x:v>
      </x:c>
      <x:c r="C3495" s="7" t="n">
        <x:v>46019</x:v>
      </x:c>
      <x:c r="D3495" s="2" t="str">
        <x:v>Completed</x:v>
      </x:c>
      <x:c r="E3495" s="2" t="str">
        <x:v>East</x:v>
      </x:c>
      <x:c r="F3495" s="2" t="str">
        <x:v>Store</x:v>
      </x:c>
      <x:c r="G3495" s="2" t="str">
        <x:v>Lighting</x:v>
      </x:c>
      <x:c r="H3495" s="2" t="str">
        <x:v>Lamp 021</x:v>
      </x:c>
      <x:c r="I3495" s="11" t="n">
        <x:v>2</x:v>
      </x:c>
      <x:c r="J3495" s="9" t="n">
        <x:v>249</x:v>
      </x:c>
      <x:c r="K3495" s="10" t="n">
        <x:v>0.2</x:v>
      </x:c>
      <x:c r="L3495" s="11" t="n">
        <x:v>0</x:v>
      </x:c>
      <x:c r="M3495" s="9" t="n">
        <x:f>IF(D3495="Completed",I3495*J3495,0)</x:f>
        <x:v>498</x:v>
      </x:c>
      <x:c r="N3495" s="9" t="n">
        <x:f>M3495*K3495</x:f>
        <x:v>99.60000000000001</x:v>
      </x:c>
      <x:c r="O3495" s="9" t="n">
        <x:f>M3495-N3495</x:f>
        <x:v>398.4</x:v>
      </x:c>
      <x:c r="P3495" s="9" t="n">
        <x:f>IF(D3495="Completed",L3495*J3495*(1-K3495),0)</x:f>
        <x:v>0</x:v>
      </x:c>
      <x:c r="Q3495" s="9" t="n">
        <x:f>O3495-P3495</x:f>
        <x:v>398.4</x:v>
      </x:c>
      <x:c r="R3495" s="11" t="n">
        <x:f>IF(D3495="Completed",I3495,0)</x:f>
        <x:v>2</x:v>
      </x:c>
      <x:c r="S3495" s="11" t="n">
        <x:f>IF(D3495="Completed",L3495,0)</x:f>
        <x:v>0</x:v>
      </x:c>
      <x:c r="T3495" s="8" t="n">
        <x:f>DATE(YEAR(C3495),MONTH(C3495),1)</x:f>
        <x:v>45992</x:v>
      </x:c>
    </x:row>
    <x:row r="3496" ht="22" customHeight="1">
      <x:c r="A3496" s="2" t="str">
        <x:v>L003492</x:v>
      </x:c>
      <x:c r="B3496" s="2" t="str">
        <x:v>O01428</x:v>
      </x:c>
      <x:c r="C3496" s="7" t="n">
        <x:v>46019</x:v>
      </x:c>
      <x:c r="D3496" s="2" t="str">
        <x:v>Completed</x:v>
      </x:c>
      <x:c r="E3496" s="2" t="str">
        <x:v>East</x:v>
      </x:c>
      <x:c r="F3496" s="2" t="str">
        <x:v>Store</x:v>
      </x:c>
      <x:c r="G3496" s="2" t="str">
        <x:v>Lighting</x:v>
      </x:c>
      <x:c r="H3496" s="2" t="str">
        <x:v>Lamp 017</x:v>
      </x:c>
      <x:c r="I3496" s="11" t="n">
        <x:v>2</x:v>
      </x:c>
      <x:c r="J3496" s="9" t="n">
        <x:v>300</x:v>
      </x:c>
      <x:c r="K3496" s="10" t="n">
        <x:v>0.05</x:v>
      </x:c>
      <x:c r="L3496" s="11" t="n">
        <x:v>2</x:v>
      </x:c>
      <x:c r="M3496" s="9" t="n">
        <x:f>IF(D3496="Completed",I3496*J3496,0)</x:f>
        <x:v>600</x:v>
      </x:c>
      <x:c r="N3496" s="9" t="n">
        <x:f>M3496*K3496</x:f>
        <x:v>30</x:v>
      </x:c>
      <x:c r="O3496" s="9" t="n">
        <x:f>M3496-N3496</x:f>
        <x:v>570</x:v>
      </x:c>
      <x:c r="P3496" s="9" t="n">
        <x:f>IF(D3496="Completed",L3496*J3496*(1-K3496),0)</x:f>
        <x:v>570</x:v>
      </x:c>
      <x:c r="Q3496" s="9" t="n">
        <x:f>O3496-P3496</x:f>
        <x:v>0</x:v>
      </x:c>
      <x:c r="R3496" s="11" t="n">
        <x:f>IF(D3496="Completed",I3496,0)</x:f>
        <x:v>2</x:v>
      </x:c>
      <x:c r="S3496" s="11" t="n">
        <x:f>IF(D3496="Completed",L3496,0)</x:f>
        <x:v>2</x:v>
      </x:c>
      <x:c r="T3496" s="8" t="n">
        <x:f>DATE(YEAR(C3496),MONTH(C3496),1)</x:f>
        <x:v>45992</x:v>
      </x:c>
    </x:row>
    <x:row r="3497" ht="22" customHeight="1">
      <x:c r="A3497" s="2" t="str">
        <x:v>L003493</x:v>
      </x:c>
      <x:c r="B3497" s="2" t="str">
        <x:v>O01428</x:v>
      </x:c>
      <x:c r="C3497" s="7" t="n">
        <x:v>46019</x:v>
      </x:c>
      <x:c r="D3497" s="2" t="str">
        <x:v>Completed</x:v>
      </x:c>
      <x:c r="E3497" s="2" t="str">
        <x:v>East</x:v>
      </x:c>
      <x:c r="F3497" s="2" t="str">
        <x:v>Store</x:v>
      </x:c>
      <x:c r="G3497" s="2" t="str">
        <x:v>Furniture</x:v>
      </x:c>
      <x:c r="H3497" s="2" t="str">
        <x:v>Chair 006</x:v>
      </x:c>
      <x:c r="I3497" s="11" t="n">
        <x:v>2</x:v>
      </x:c>
      <x:c r="J3497" s="9" t="n">
        <x:v>196</x:v>
      </x:c>
      <x:c r="K3497" s="10" t="n">
        <x:v>0</x:v>
      </x:c>
      <x:c r="L3497" s="11" t="n">
        <x:v>0</x:v>
      </x:c>
      <x:c r="M3497" s="9" t="n">
        <x:f>IF(D3497="Completed",I3497*J3497,0)</x:f>
        <x:v>392</x:v>
      </x:c>
      <x:c r="N3497" s="9" t="n">
        <x:f>M3497*K3497</x:f>
        <x:v>0</x:v>
      </x:c>
      <x:c r="O3497" s="9" t="n">
        <x:f>M3497-N3497</x:f>
        <x:v>392</x:v>
      </x:c>
      <x:c r="P3497" s="9" t="n">
        <x:f>IF(D3497="Completed",L3497*J3497*(1-K3497),0)</x:f>
        <x:v>0</x:v>
      </x:c>
      <x:c r="Q3497" s="9" t="n">
        <x:f>O3497-P3497</x:f>
        <x:v>392</x:v>
      </x:c>
      <x:c r="R3497" s="11" t="n">
        <x:f>IF(D3497="Completed",I3497,0)</x:f>
        <x:v>2</x:v>
      </x:c>
      <x:c r="S3497" s="11" t="n">
        <x:f>IF(D3497="Completed",L3497,0)</x:f>
        <x:v>0</x:v>
      </x:c>
      <x:c r="T3497" s="8" t="n">
        <x:f>DATE(YEAR(C3497),MONTH(C3497),1)</x:f>
        <x:v>45992</x:v>
      </x:c>
    </x:row>
    <x:row r="3498" ht="22" customHeight="1">
      <x:c r="A3498" s="2" t="str">
        <x:v>L003494</x:v>
      </x:c>
      <x:c r="B3498" s="2" t="str">
        <x:v>O01428</x:v>
      </x:c>
      <x:c r="C3498" s="7" t="n">
        <x:v>46019</x:v>
      </x:c>
      <x:c r="D3498" s="2" t="str">
        <x:v>Completed</x:v>
      </x:c>
      <x:c r="E3498" s="2" t="str">
        <x:v>East</x:v>
      </x:c>
      <x:c r="F3498" s="2" t="str">
        <x:v>Store</x:v>
      </x:c>
      <x:c r="G3498" s="2" t="str">
        <x:v>Furniture</x:v>
      </x:c>
      <x:c r="H3498" s="2" t="str">
        <x:v>Chair 014</x:v>
      </x:c>
      <x:c r="I3498" s="11" t="n">
        <x:v>4</x:v>
      </x:c>
      <x:c r="J3498" s="9" t="n">
        <x:v>294</x:v>
      </x:c>
      <x:c r="K3498" s="10" t="n">
        <x:v>0.2</x:v>
      </x:c>
      <x:c r="L3498" s="11" t="n">
        <x:v>0</x:v>
      </x:c>
      <x:c r="M3498" s="9" t="n">
        <x:f>IF(D3498="Completed",I3498*J3498,0)</x:f>
        <x:v>1176</x:v>
      </x:c>
      <x:c r="N3498" s="9" t="n">
        <x:f>M3498*K3498</x:f>
        <x:v>235.20000000000002</x:v>
      </x:c>
      <x:c r="O3498" s="9" t="n">
        <x:f>M3498-N3498</x:f>
        <x:v>940.8</x:v>
      </x:c>
      <x:c r="P3498" s="9" t="n">
        <x:f>IF(D3498="Completed",L3498*J3498*(1-K3498),0)</x:f>
        <x:v>0</x:v>
      </x:c>
      <x:c r="Q3498" s="9" t="n">
        <x:f>O3498-P3498</x:f>
        <x:v>940.8</x:v>
      </x:c>
      <x:c r="R3498" s="11" t="n">
        <x:f>IF(D3498="Completed",I3498,0)</x:f>
        <x:v>4</x:v>
      </x:c>
      <x:c r="S3498" s="11" t="n">
        <x:f>IF(D3498="Completed",L3498,0)</x:f>
        <x:v>0</x:v>
      </x:c>
      <x:c r="T3498" s="8" t="n">
        <x:f>DATE(YEAR(C3498),MONTH(C3498),1)</x:f>
        <x:v>45992</x:v>
      </x:c>
    </x:row>
    <x:row r="3499" ht="22" customHeight="1">
      <x:c r="A3499" s="2" t="str">
        <x:v>L003495</x:v>
      </x:c>
      <x:c r="B3499" s="2" t="str">
        <x:v>O01429</x:v>
      </x:c>
      <x:c r="C3499" s="7" t="n">
        <x:v>45719</x:v>
      </x:c>
      <x:c r="D3499" s="2" t="str">
        <x:v>Completed</x:v>
      </x:c>
      <x:c r="E3499" s="2" t="str">
        <x:v>West</x:v>
      </x:c>
      <x:c r="F3499" s="2" t="str">
        <x:v>Store</x:v>
      </x:c>
      <x:c r="G3499" s="2" t="str">
        <x:v>Furniture</x:v>
      </x:c>
      <x:c r="H3499" s="2" t="str">
        <x:v>Desk 020</x:v>
      </x:c>
      <x:c r="I3499" s="11" t="n">
        <x:v>2</x:v>
      </x:c>
      <x:c r="J3499" s="9" t="n">
        <x:v>189</x:v>
      </x:c>
      <x:c r="K3499" s="10" t="n">
        <x:v>0.05</x:v>
      </x:c>
      <x:c r="L3499" s="11" t="n">
        <x:v>0</x:v>
      </x:c>
      <x:c r="M3499" s="9" t="n">
        <x:f>IF(D3499="Completed",I3499*J3499,0)</x:f>
        <x:v>378</x:v>
      </x:c>
      <x:c r="N3499" s="9" t="n">
        <x:f>M3499*K3499</x:f>
        <x:v>18.900000000000002</x:v>
      </x:c>
      <x:c r="O3499" s="9" t="n">
        <x:f>M3499-N3499</x:f>
        <x:v>359.1</x:v>
      </x:c>
      <x:c r="P3499" s="9" t="n">
        <x:f>IF(D3499="Completed",L3499*J3499*(1-K3499),0)</x:f>
        <x:v>0</x:v>
      </x:c>
      <x:c r="Q3499" s="9" t="n">
        <x:f>O3499-P3499</x:f>
        <x:v>359.1</x:v>
      </x:c>
      <x:c r="R3499" s="11" t="n">
        <x:f>IF(D3499="Completed",I3499,0)</x:f>
        <x:v>2</x:v>
      </x:c>
      <x:c r="S3499" s="11" t="n">
        <x:f>IF(D3499="Completed",L3499,0)</x:f>
        <x:v>0</x:v>
      </x:c>
      <x:c r="T3499" s="8" t="n">
        <x:f>DATE(YEAR(C3499),MONTH(C3499),1)</x:f>
        <x:v>45717</x:v>
      </x:c>
    </x:row>
    <x:row r="3500" ht="22" customHeight="1">
      <x:c r="A3500" s="2" t="str">
        <x:v>L003496</x:v>
      </x:c>
      <x:c r="B3500" s="2" t="str">
        <x:v>O01429</x:v>
      </x:c>
      <x:c r="C3500" s="7" t="n">
        <x:v>45719</x:v>
      </x:c>
      <x:c r="D3500" s="2" t="str">
        <x:v>Completed</x:v>
      </x:c>
      <x:c r="E3500" s="2" t="str">
        <x:v>West</x:v>
      </x:c>
      <x:c r="F3500" s="2" t="str">
        <x:v>Store</x:v>
      </x:c>
      <x:c r="G3500" s="2" t="str">
        <x:v>Furniture</x:v>
      </x:c>
      <x:c r="H3500" s="2" t="str">
        <x:v>Desk 020</x:v>
      </x:c>
      <x:c r="I3500" s="11" t="n">
        <x:v>2</x:v>
      </x:c>
      <x:c r="J3500" s="9" t="n">
        <x:v>189</x:v>
      </x:c>
      <x:c r="K3500" s="10" t="n">
        <x:v>0.1</x:v>
      </x:c>
      <x:c r="L3500" s="11" t="n">
        <x:v>0</x:v>
      </x:c>
      <x:c r="M3500" s="9" t="n">
        <x:f>IF(D3500="Completed",I3500*J3500,0)</x:f>
        <x:v>378</x:v>
      </x:c>
      <x:c r="N3500" s="9" t="n">
        <x:f>M3500*K3500</x:f>
        <x:v>37.800000000000004</x:v>
      </x:c>
      <x:c r="O3500" s="9" t="n">
        <x:f>M3500-N3500</x:f>
        <x:v>340.2</x:v>
      </x:c>
      <x:c r="P3500" s="9" t="n">
        <x:f>IF(D3500="Completed",L3500*J3500*(1-K3500),0)</x:f>
        <x:v>0</x:v>
      </x:c>
      <x:c r="Q3500" s="9" t="n">
        <x:f>O3500-P3500</x:f>
        <x:v>340.2</x:v>
      </x:c>
      <x:c r="R3500" s="11" t="n">
        <x:f>IF(D3500="Completed",I3500,0)</x:f>
        <x:v>2</x:v>
      </x:c>
      <x:c r="S3500" s="11" t="n">
        <x:f>IF(D3500="Completed",L3500,0)</x:f>
        <x:v>0</x:v>
      </x:c>
      <x:c r="T3500" s="8" t="n">
        <x:f>DATE(YEAR(C3500),MONTH(C3500),1)</x:f>
        <x:v>45717</x:v>
      </x:c>
    </x:row>
    <x:row r="3501" ht="22" customHeight="1">
      <x:c r="A3501" s="2" t="str">
        <x:v>L003497</x:v>
      </x:c>
      <x:c r="B3501" s="2" t="str">
        <x:v>O01430</x:v>
      </x:c>
      <x:c r="C3501" s="7" t="n">
        <x:v>45856</x:v>
      </x:c>
      <x:c r="D3501" s="2" t="str">
        <x:v>Cancelled</x:v>
      </x:c>
      <x:c r="E3501" s="2" t="str">
        <x:v>South</x:v>
      </x:c>
      <x:c r="F3501" s="2" t="str">
        <x:v>Store</x:v>
      </x:c>
      <x:c r="G3501" s="2" t="str">
        <x:v>Lighting</x:v>
      </x:c>
      <x:c r="H3501" s="2" t="str">
        <x:v>Lamp 001</x:v>
      </x:c>
      <x:c r="I3501" s="11" t="n">
        <x:v>3</x:v>
      </x:c>
      <x:c r="J3501" s="9" t="n">
        <x:v>122</x:v>
      </x:c>
      <x:c r="K3501" s="10" t="n">
        <x:v>0.05</x:v>
      </x:c>
      <x:c r="L3501" s="11" t="n">
        <x:v>0</x:v>
      </x:c>
      <x:c r="M3501" s="9" t="n">
        <x:f>IF(D3501="Completed",I3501*J3501,0)</x:f>
        <x:v>0</x:v>
      </x:c>
      <x:c r="N3501" s="9" t="n">
        <x:f>M3501*K3501</x:f>
        <x:v>0</x:v>
      </x:c>
      <x:c r="O3501" s="9" t="n">
        <x:f>M3501-N3501</x:f>
        <x:v>0</x:v>
      </x:c>
      <x:c r="P3501" s="9" t="n">
        <x:f>IF(D3501="Completed",L3501*J3501*(1-K3501),0)</x:f>
        <x:v>0</x:v>
      </x:c>
      <x:c r="Q3501" s="9" t="n">
        <x:f>O3501-P3501</x:f>
        <x:v>0</x:v>
      </x:c>
      <x:c r="R3501" s="11" t="n">
        <x:f>IF(D3501="Completed",I3501,0)</x:f>
        <x:v>0</x:v>
      </x:c>
      <x:c r="S3501" s="11" t="n">
        <x:f>IF(D3501="Completed",L3501,0)</x:f>
        <x:v>0</x:v>
      </x:c>
      <x:c r="T3501" s="8" t="n">
        <x:f>DATE(YEAR(C3501),MONTH(C3501),1)</x:f>
        <x:v>45839</x:v>
      </x:c>
    </x:row>
    <x:row r="3502" ht="22" customHeight="1">
      <x:c r="A3502" s="2" t="str">
        <x:v>L003498</x:v>
      </x:c>
      <x:c r="B3502" s="2" t="str">
        <x:v>O01430</x:v>
      </x:c>
      <x:c r="C3502" s="7" t="n">
        <x:v>45856</x:v>
      </x:c>
      <x:c r="D3502" s="2" t="str">
        <x:v>Cancelled</x:v>
      </x:c>
      <x:c r="E3502" s="2" t="str">
        <x:v>South</x:v>
      </x:c>
      <x:c r="F3502" s="2" t="str">
        <x:v>Store</x:v>
      </x:c>
      <x:c r="G3502" s="2" t="str">
        <x:v>Lighting</x:v>
      </x:c>
      <x:c r="H3502" s="2" t="str">
        <x:v>Lamp 013</x:v>
      </x:c>
      <x:c r="I3502" s="11" t="n">
        <x:v>1</x:v>
      </x:c>
      <x:c r="J3502" s="9" t="n">
        <x:v>271</x:v>
      </x:c>
      <x:c r="K3502" s="10" t="n">
        <x:v>0.05</x:v>
      </x:c>
      <x:c r="L3502" s="11" t="n">
        <x:v>0</x:v>
      </x:c>
      <x:c r="M3502" s="9" t="n">
        <x:f>IF(D3502="Completed",I3502*J3502,0)</x:f>
        <x:v>0</x:v>
      </x:c>
      <x:c r="N3502" s="9" t="n">
        <x:f>M3502*K3502</x:f>
        <x:v>0</x:v>
      </x:c>
      <x:c r="O3502" s="9" t="n">
        <x:f>M3502-N3502</x:f>
        <x:v>0</x:v>
      </x:c>
      <x:c r="P3502" s="9" t="n">
        <x:f>IF(D3502="Completed",L3502*J3502*(1-K3502),0)</x:f>
        <x:v>0</x:v>
      </x:c>
      <x:c r="Q3502" s="9" t="n">
        <x:f>O3502-P3502</x:f>
        <x:v>0</x:v>
      </x:c>
      <x:c r="R3502" s="11" t="n">
        <x:f>IF(D3502="Completed",I3502,0)</x:f>
        <x:v>0</x:v>
      </x:c>
      <x:c r="S3502" s="11" t="n">
        <x:f>IF(D3502="Completed",L3502,0)</x:f>
        <x:v>0</x:v>
      </x:c>
      <x:c r="T3502" s="8" t="n">
        <x:f>DATE(YEAR(C3502),MONTH(C3502),1)</x:f>
        <x:v>45839</x:v>
      </x:c>
    </x:row>
    <x:row r="3503" ht="22" customHeight="1">
      <x:c r="A3503" s="2" t="str">
        <x:v>L003499</x:v>
      </x:c>
      <x:c r="B3503" s="2" t="str">
        <x:v>O01431</x:v>
      </x:c>
      <x:c r="C3503" s="7" t="n">
        <x:v>45915</x:v>
      </x:c>
      <x:c r="D3503" s="2" t="str">
        <x:v>Completed</x:v>
      </x:c>
      <x:c r="E3503" s="2" t="str">
        <x:v>North</x:v>
      </x:c>
      <x:c r="F3503" s="2" t="str">
        <x:v>Store</x:v>
      </x:c>
      <x:c r="G3503" s="2" t="str">
        <x:v>Storage</x:v>
      </x:c>
      <x:c r="H3503" s="2" t="str">
        <x:v>Shelf 003</x:v>
      </x:c>
      <x:c r="I3503" s="11" t="n">
        <x:v>5</x:v>
      </x:c>
      <x:c r="J3503" s="9" t="n">
        <x:v>199</x:v>
      </x:c>
      <x:c r="K3503" s="10" t="n">
        <x:v>0</x:v>
      </x:c>
      <x:c r="L3503" s="11" t="n">
        <x:v>0</x:v>
      </x:c>
      <x:c r="M3503" s="9" t="n">
        <x:f>IF(D3503="Completed",I3503*J3503,0)</x:f>
        <x:v>995</x:v>
      </x:c>
      <x:c r="N3503" s="9" t="n">
        <x:f>M3503*K3503</x:f>
        <x:v>0</x:v>
      </x:c>
      <x:c r="O3503" s="9" t="n">
        <x:f>M3503-N3503</x:f>
        <x:v>995</x:v>
      </x:c>
      <x:c r="P3503" s="9" t="n">
        <x:f>IF(D3503="Completed",L3503*J3503*(1-K3503),0)</x:f>
        <x:v>0</x:v>
      </x:c>
      <x:c r="Q3503" s="9" t="n">
        <x:f>O3503-P3503</x:f>
        <x:v>995</x:v>
      </x:c>
      <x:c r="R3503" s="11" t="n">
        <x:f>IF(D3503="Completed",I3503,0)</x:f>
        <x:v>5</x:v>
      </x:c>
      <x:c r="S3503" s="11" t="n">
        <x:f>IF(D3503="Completed",L3503,0)</x:f>
        <x:v>0</x:v>
      </x:c>
      <x:c r="T3503" s="8" t="n">
        <x:f>DATE(YEAR(C3503),MONTH(C3503),1)</x:f>
        <x:v>45901</x:v>
      </x:c>
    </x:row>
    <x:row r="3504" ht="22" customHeight="1">
      <x:c r="A3504" s="2" t="str">
        <x:v>L003500</x:v>
      </x:c>
      <x:c r="B3504" s="2" t="str">
        <x:v>O01431</x:v>
      </x:c>
      <x:c r="C3504" s="7" t="n">
        <x:v>45915</x:v>
      </x:c>
      <x:c r="D3504" s="2" t="str">
        <x:v>Completed</x:v>
      </x:c>
      <x:c r="E3504" s="2" t="str">
        <x:v>North</x:v>
      </x:c>
      <x:c r="F3504" s="2" t="str">
        <x:v>Store</x:v>
      </x:c>
      <x:c r="G3504" s="2" t="str">
        <x:v>Storage</x:v>
      </x:c>
      <x:c r="H3504" s="2" t="str">
        <x:v>Shelf 015</x:v>
      </x:c>
      <x:c r="I3504" s="11" t="n">
        <x:v>3</x:v>
      </x:c>
      <x:c r="J3504" s="9" t="n">
        <x:v>254</x:v>
      </x:c>
      <x:c r="K3504" s="10" t="n">
        <x:v>0.1</x:v>
      </x:c>
      <x:c r="L3504" s="11" t="n">
        <x:v>0</x:v>
      </x:c>
      <x:c r="M3504" s="9" t="n">
        <x:f>IF(D3504="Completed",I3504*J3504,0)</x:f>
        <x:v>762</x:v>
      </x:c>
      <x:c r="N3504" s="9" t="n">
        <x:f>M3504*K3504</x:f>
        <x:v>76.2</x:v>
      </x:c>
      <x:c r="O3504" s="9" t="n">
        <x:f>M3504-N3504</x:f>
        <x:v>685.8</x:v>
      </x:c>
      <x:c r="P3504" s="9" t="n">
        <x:f>IF(D3504="Completed",L3504*J3504*(1-K3504),0)</x:f>
        <x:v>0</x:v>
      </x:c>
      <x:c r="Q3504" s="9" t="n">
        <x:f>O3504-P3504</x:f>
        <x:v>685.8</x:v>
      </x:c>
      <x:c r="R3504" s="11" t="n">
        <x:f>IF(D3504="Completed",I3504,0)</x:f>
        <x:v>3</x:v>
      </x:c>
      <x:c r="S3504" s="11" t="n">
        <x:f>IF(D3504="Completed",L3504,0)</x:f>
        <x:v>0</x:v>
      </x:c>
      <x:c r="T3504" s="8" t="n">
        <x:f>DATE(YEAR(C3504),MONTH(C3504),1)</x:f>
        <x:v>45901</x:v>
      </x:c>
    </x:row>
    <x:row r="3505" ht="22" customHeight="1">
      <x:c r="A3505" s="2" t="str">
        <x:v>L003501</x:v>
      </x:c>
      <x:c r="B3505" s="2" t="str">
        <x:v>O01431</x:v>
      </x:c>
      <x:c r="C3505" s="7" t="n">
        <x:v>45915</x:v>
      </x:c>
      <x:c r="D3505" s="2" t="str">
        <x:v>Completed</x:v>
      </x:c>
      <x:c r="E3505" s="2" t="str">
        <x:v>North</x:v>
      </x:c>
      <x:c r="F3505" s="2" t="str">
        <x:v>Store</x:v>
      </x:c>
      <x:c r="G3505" s="2" t="str">
        <x:v>Storage</x:v>
      </x:c>
      <x:c r="H3505" s="2" t="str">
        <x:v>Shelf 015</x:v>
      </x:c>
      <x:c r="I3505" s="11" t="n">
        <x:v>1</x:v>
      </x:c>
      <x:c r="J3505" s="9" t="n">
        <x:v>254</x:v>
      </x:c>
      <x:c r="K3505" s="10" t="n">
        <x:v>0.1</x:v>
      </x:c>
      <x:c r="L3505" s="11" t="n">
        <x:v>1</x:v>
      </x:c>
      <x:c r="M3505" s="9" t="n">
        <x:f>IF(D3505="Completed",I3505*J3505,0)</x:f>
        <x:v>254</x:v>
      </x:c>
      <x:c r="N3505" s="9" t="n">
        <x:f>M3505*K3505</x:f>
        <x:v>25.400000000000002</x:v>
      </x:c>
      <x:c r="O3505" s="9" t="n">
        <x:f>M3505-N3505</x:f>
        <x:v>228.6</x:v>
      </x:c>
      <x:c r="P3505" s="9" t="n">
        <x:f>IF(D3505="Completed",L3505*J3505*(1-K3505),0)</x:f>
        <x:v>228.6</x:v>
      </x:c>
      <x:c r="Q3505" s="9" t="n">
        <x:f>O3505-P3505</x:f>
        <x:v>0</x:v>
      </x:c>
      <x:c r="R3505" s="11" t="n">
        <x:f>IF(D3505="Completed",I3505,0)</x:f>
        <x:v>1</x:v>
      </x:c>
      <x:c r="S3505" s="11" t="n">
        <x:f>IF(D3505="Completed",L3505,0)</x:f>
        <x:v>1</x:v>
      </x:c>
      <x:c r="T3505" s="8" t="n">
        <x:f>DATE(YEAR(C3505),MONTH(C3505),1)</x:f>
        <x:v>45901</x:v>
      </x:c>
    </x:row>
    <x:row r="3506" ht="22" customHeight="1">
      <x:c r="A3506" s="2" t="str">
        <x:v>L003502</x:v>
      </x:c>
      <x:c r="B3506" s="2" t="str">
        <x:v>O01431</x:v>
      </x:c>
      <x:c r="C3506" s="7" t="n">
        <x:v>45915</x:v>
      </x:c>
      <x:c r="D3506" s="2" t="str">
        <x:v>Completed</x:v>
      </x:c>
      <x:c r="E3506" s="2" t="str">
        <x:v>North</x:v>
      </x:c>
      <x:c r="F3506" s="2" t="str">
        <x:v>Store</x:v>
      </x:c>
      <x:c r="G3506" s="2" t="str">
        <x:v>Lighting</x:v>
      </x:c>
      <x:c r="H3506" s="2" t="str">
        <x:v>Lamp 013</x:v>
      </x:c>
      <x:c r="I3506" s="11" t="n">
        <x:v>4</x:v>
      </x:c>
      <x:c r="J3506" s="9" t="n">
        <x:v>271</x:v>
      </x:c>
      <x:c r="K3506" s="10" t="n">
        <x:v>0.05</x:v>
      </x:c>
      <x:c r="L3506" s="11" t="n">
        <x:v>0</x:v>
      </x:c>
      <x:c r="M3506" s="9" t="n">
        <x:f>IF(D3506="Completed",I3506*J3506,0)</x:f>
        <x:v>1084</x:v>
      </x:c>
      <x:c r="N3506" s="9" t="n">
        <x:f>M3506*K3506</x:f>
        <x:v>54.2</x:v>
      </x:c>
      <x:c r="O3506" s="9" t="n">
        <x:f>M3506-N3506</x:f>
        <x:v>1029.8</x:v>
      </x:c>
      <x:c r="P3506" s="9" t="n">
        <x:f>IF(D3506="Completed",L3506*J3506*(1-K3506),0)</x:f>
        <x:v>0</x:v>
      </x:c>
      <x:c r="Q3506" s="9" t="n">
        <x:f>O3506-P3506</x:f>
        <x:v>1029.8</x:v>
      </x:c>
      <x:c r="R3506" s="11" t="n">
        <x:f>IF(D3506="Completed",I3506,0)</x:f>
        <x:v>4</x:v>
      </x:c>
      <x:c r="S3506" s="11" t="n">
        <x:f>IF(D3506="Completed",L3506,0)</x:f>
        <x:v>0</x:v>
      </x:c>
      <x:c r="T3506" s="8" t="n">
        <x:f>DATE(YEAR(C3506),MONTH(C3506),1)</x:f>
        <x:v>45901</x:v>
      </x:c>
    </x:row>
    <x:row r="3507" ht="22" customHeight="1">
      <x:c r="A3507" s="2" t="str">
        <x:v>L003503</x:v>
      </x:c>
      <x:c r="B3507" s="2" t="str">
        <x:v>O01432</x:v>
      </x:c>
      <x:c r="C3507" s="7" t="n">
        <x:v>45770</x:v>
      </x:c>
      <x:c r="D3507" s="2" t="str">
        <x:v>Completed</x:v>
      </x:c>
      <x:c r="E3507" s="2" t="str">
        <x:v>West</x:v>
      </x:c>
      <x:c r="F3507" s="2" t="str">
        <x:v>Online</x:v>
      </x:c>
      <x:c r="G3507" s="2" t="str">
        <x:v>Storage</x:v>
      </x:c>
      <x:c r="H3507" s="2" t="str">
        <x:v>Shelf 011</x:v>
      </x:c>
      <x:c r="I3507" s="11" t="n">
        <x:v>3</x:v>
      </x:c>
      <x:c r="J3507" s="9" t="n">
        <x:v>80</x:v>
      </x:c>
      <x:c r="K3507" s="10" t="n">
        <x:v>0.2</x:v>
      </x:c>
      <x:c r="L3507" s="11" t="n">
        <x:v>0</x:v>
      </x:c>
      <x:c r="M3507" s="9" t="n">
        <x:f>IF(D3507="Completed",I3507*J3507,0)</x:f>
        <x:v>240</x:v>
      </x:c>
      <x:c r="N3507" s="9" t="n">
        <x:f>M3507*K3507</x:f>
        <x:v>48</x:v>
      </x:c>
      <x:c r="O3507" s="9" t="n">
        <x:f>M3507-N3507</x:f>
        <x:v>192</x:v>
      </x:c>
      <x:c r="P3507" s="9" t="n">
        <x:f>IF(D3507="Completed",L3507*J3507*(1-K3507),0)</x:f>
        <x:v>0</x:v>
      </x:c>
      <x:c r="Q3507" s="9" t="n">
        <x:f>O3507-P3507</x:f>
        <x:v>192</x:v>
      </x:c>
      <x:c r="R3507" s="11" t="n">
        <x:f>IF(D3507="Completed",I3507,0)</x:f>
        <x:v>3</x:v>
      </x:c>
      <x:c r="S3507" s="11" t="n">
        <x:f>IF(D3507="Completed",L3507,0)</x:f>
        <x:v>0</x:v>
      </x:c>
      <x:c r="T3507" s="8" t="n">
        <x:f>DATE(YEAR(C3507),MONTH(C3507),1)</x:f>
        <x:v>45748</x:v>
      </x:c>
    </x:row>
    <x:row r="3508" ht="22" customHeight="1">
      <x:c r="A3508" s="2" t="str">
        <x:v>L003504</x:v>
      </x:c>
      <x:c r="B3508" s="2" t="str">
        <x:v>O01432</x:v>
      </x:c>
      <x:c r="C3508" s="7" t="n">
        <x:v>45770</x:v>
      </x:c>
      <x:c r="D3508" s="2" t="str">
        <x:v>Completed</x:v>
      </x:c>
      <x:c r="E3508" s="2" t="str">
        <x:v>West</x:v>
      </x:c>
      <x:c r="F3508" s="2" t="str">
        <x:v>Online</x:v>
      </x:c>
      <x:c r="G3508" s="2" t="str">
        <x:v>Lighting</x:v>
      </x:c>
      <x:c r="H3508" s="2" t="str">
        <x:v>Lamp 017</x:v>
      </x:c>
      <x:c r="I3508" s="11" t="n">
        <x:v>4</x:v>
      </x:c>
      <x:c r="J3508" s="9" t="n">
        <x:v>300</x:v>
      </x:c>
      <x:c r="K3508" s="10" t="n">
        <x:v>0.2</x:v>
      </x:c>
      <x:c r="L3508" s="11" t="n">
        <x:v>0</x:v>
      </x:c>
      <x:c r="M3508" s="9" t="n">
        <x:f>IF(D3508="Completed",I3508*J3508,0)</x:f>
        <x:v>1200</x:v>
      </x:c>
      <x:c r="N3508" s="9" t="n">
        <x:f>M3508*K3508</x:f>
        <x:v>240</x:v>
      </x:c>
      <x:c r="O3508" s="9" t="n">
        <x:f>M3508-N3508</x:f>
        <x:v>960</x:v>
      </x:c>
      <x:c r="P3508" s="9" t="n">
        <x:f>IF(D3508="Completed",L3508*J3508*(1-K3508),0)</x:f>
        <x:v>0</x:v>
      </x:c>
      <x:c r="Q3508" s="9" t="n">
        <x:f>O3508-P3508</x:f>
        <x:v>960</x:v>
      </x:c>
      <x:c r="R3508" s="11" t="n">
        <x:f>IF(D3508="Completed",I3508,0)</x:f>
        <x:v>4</x:v>
      </x:c>
      <x:c r="S3508" s="11" t="n">
        <x:f>IF(D3508="Completed",L3508,0)</x:f>
        <x:v>0</x:v>
      </x:c>
      <x:c r="T3508" s="8" t="n">
        <x:f>DATE(YEAR(C3508),MONTH(C3508),1)</x:f>
        <x:v>45748</x:v>
      </x:c>
    </x:row>
    <x:row r="3509" ht="22" customHeight="1">
      <x:c r="A3509" s="2" t="str">
        <x:v>L003505</x:v>
      </x:c>
      <x:c r="B3509" s="2" t="str">
        <x:v>O01433</x:v>
      </x:c>
      <x:c r="C3509" s="7" t="n">
        <x:v>45674</x:v>
      </x:c>
      <x:c r="D3509" s="2" t="str">
        <x:v>Completed</x:v>
      </x:c>
      <x:c r="E3509" s="2" t="str">
        <x:v>West</x:v>
      </x:c>
      <x:c r="F3509" s="2" t="str">
        <x:v>Online</x:v>
      </x:c>
      <x:c r="G3509" s="2" t="str">
        <x:v>Lighting</x:v>
      </x:c>
      <x:c r="H3509" s="2" t="str">
        <x:v>Lamp 021</x:v>
      </x:c>
      <x:c r="I3509" s="11" t="n">
        <x:v>1</x:v>
      </x:c>
      <x:c r="J3509" s="9" t="n">
        <x:v>249</x:v>
      </x:c>
      <x:c r="K3509" s="10" t="n">
        <x:v>0.2</x:v>
      </x:c>
      <x:c r="L3509" s="11" t="n">
        <x:v>1</x:v>
      </x:c>
      <x:c r="M3509" s="9" t="n">
        <x:f>IF(D3509="Completed",I3509*J3509,0)</x:f>
        <x:v>249</x:v>
      </x:c>
      <x:c r="N3509" s="9" t="n">
        <x:f>M3509*K3509</x:f>
        <x:v>49.800000000000004</x:v>
      </x:c>
      <x:c r="O3509" s="9" t="n">
        <x:f>M3509-N3509</x:f>
        <x:v>199.2</x:v>
      </x:c>
      <x:c r="P3509" s="9" t="n">
        <x:f>IF(D3509="Completed",L3509*J3509*(1-K3509),0)</x:f>
        <x:v>199.20000000000002</x:v>
      </x:c>
      <x:c r="Q3509" s="9" t="n">
        <x:f>O3509-P3509</x:f>
        <x:v>-2.842170943040401e-14</x:v>
      </x:c>
      <x:c r="R3509" s="11" t="n">
        <x:f>IF(D3509="Completed",I3509,0)</x:f>
        <x:v>1</x:v>
      </x:c>
      <x:c r="S3509" s="11" t="n">
        <x:f>IF(D3509="Completed",L3509,0)</x:f>
        <x:v>1</x:v>
      </x:c>
      <x:c r="T3509" s="8" t="n">
        <x:f>DATE(YEAR(C3509),MONTH(C3509),1)</x:f>
        <x:v>45658</x:v>
      </x:c>
    </x:row>
    <x:row r="3510" ht="22" customHeight="1">
      <x:c r="A3510" s="2" t="str">
        <x:v>L003506</x:v>
      </x:c>
      <x:c r="B3510" s="2" t="str">
        <x:v>O01434</x:v>
      </x:c>
      <x:c r="C3510" s="7" t="n">
        <x:v>45945</x:v>
      </x:c>
      <x:c r="D3510" s="2" t="str">
        <x:v>Cancelled</x:v>
      </x:c>
      <x:c r="E3510" s="2" t="str">
        <x:v>West</x:v>
      </x:c>
      <x:c r="F3510" s="2" t="str">
        <x:v>Store</x:v>
      </x:c>
      <x:c r="G3510" s="2" t="str">
        <x:v>Furniture</x:v>
      </x:c>
      <x:c r="H3510" s="2" t="str">
        <x:v>Chair 002</x:v>
      </x:c>
      <x:c r="I3510" s="11" t="n">
        <x:v>1</x:v>
      </x:c>
      <x:c r="J3510" s="9" t="n">
        <x:v>284</x:v>
      </x:c>
      <x:c r="K3510" s="10" t="n">
        <x:v>0</x:v>
      </x:c>
      <x:c r="L3510" s="11" t="n">
        <x:v>0</x:v>
      </x:c>
      <x:c r="M3510" s="9" t="n">
        <x:f>IF(D3510="Completed",I3510*J3510,0)</x:f>
        <x:v>0</x:v>
      </x:c>
      <x:c r="N3510" s="9" t="n">
        <x:f>M3510*K3510</x:f>
        <x:v>0</x:v>
      </x:c>
      <x:c r="O3510" s="9" t="n">
        <x:f>M3510-N3510</x:f>
        <x:v>0</x:v>
      </x:c>
      <x:c r="P3510" s="9" t="n">
        <x:f>IF(D3510="Completed",L3510*J3510*(1-K3510),0)</x:f>
        <x:v>0</x:v>
      </x:c>
      <x:c r="Q3510" s="9" t="n">
        <x:f>O3510-P3510</x:f>
        <x:v>0</x:v>
      </x:c>
      <x:c r="R3510" s="11" t="n">
        <x:f>IF(D3510="Completed",I3510,0)</x:f>
        <x:v>0</x:v>
      </x:c>
      <x:c r="S3510" s="11" t="n">
        <x:f>IF(D3510="Completed",L3510,0)</x:f>
        <x:v>0</x:v>
      </x:c>
      <x:c r="T3510" s="8" t="n">
        <x:f>DATE(YEAR(C3510),MONTH(C3510),1)</x:f>
        <x:v>45931</x:v>
      </x:c>
    </x:row>
    <x:row r="3511" ht="22" customHeight="1">
      <x:c r="A3511" s="2" t="str">
        <x:v>L003507</x:v>
      </x:c>
      <x:c r="B3511" s="2" t="str">
        <x:v>O01435</x:v>
      </x:c>
      <x:c r="C3511" s="7" t="n">
        <x:v>45734</x:v>
      </x:c>
      <x:c r="D3511" s="2" t="str">
        <x:v>Completed</x:v>
      </x:c>
      <x:c r="E3511" s="2" t="str">
        <x:v>West</x:v>
      </x:c>
      <x:c r="F3511" s="2" t="str">
        <x:v>Online</x:v>
      </x:c>
      <x:c r="G3511" s="2" t="str">
        <x:v>Lighting</x:v>
      </x:c>
      <x:c r="H3511" s="2" t="str">
        <x:v>Lamp 005</x:v>
      </x:c>
      <x:c r="I3511" s="11" t="n">
        <x:v>5</x:v>
      </x:c>
      <x:c r="J3511" s="9" t="n">
        <x:v>65</x:v>
      </x:c>
      <x:c r="K3511" s="10" t="n">
        <x:v>0</x:v>
      </x:c>
      <x:c r="L3511" s="11" t="n">
        <x:v>0</x:v>
      </x:c>
      <x:c r="M3511" s="9" t="n">
        <x:f>IF(D3511="Completed",I3511*J3511,0)</x:f>
        <x:v>325</x:v>
      </x:c>
      <x:c r="N3511" s="9" t="n">
        <x:f>M3511*K3511</x:f>
        <x:v>0</x:v>
      </x:c>
      <x:c r="O3511" s="9" t="n">
        <x:f>M3511-N3511</x:f>
        <x:v>325</x:v>
      </x:c>
      <x:c r="P3511" s="9" t="n">
        <x:f>IF(D3511="Completed",L3511*J3511*(1-K3511),0)</x:f>
        <x:v>0</x:v>
      </x:c>
      <x:c r="Q3511" s="9" t="n">
        <x:f>O3511-P3511</x:f>
        <x:v>325</x:v>
      </x:c>
      <x:c r="R3511" s="11" t="n">
        <x:f>IF(D3511="Completed",I3511,0)</x:f>
        <x:v>5</x:v>
      </x:c>
      <x:c r="S3511" s="11" t="n">
        <x:f>IF(D3511="Completed",L3511,0)</x:f>
        <x:v>0</x:v>
      </x:c>
      <x:c r="T3511" s="8" t="n">
        <x:f>DATE(YEAR(C3511),MONTH(C3511),1)</x:f>
        <x:v>45717</x:v>
      </x:c>
    </x:row>
    <x:row r="3512" ht="22" customHeight="1">
      <x:c r="A3512" s="2" t="str">
        <x:v>L003508</x:v>
      </x:c>
      <x:c r="B3512" s="2" t="str">
        <x:v>O01435</x:v>
      </x:c>
      <x:c r="C3512" s="7" t="n">
        <x:v>45734</x:v>
      </x:c>
      <x:c r="D3512" s="2" t="str">
        <x:v>Completed</x:v>
      </x:c>
      <x:c r="E3512" s="2" t="str">
        <x:v>West</x:v>
      </x:c>
      <x:c r="F3512" s="2" t="str">
        <x:v>Online</x:v>
      </x:c>
      <x:c r="G3512" s="2" t="str">
        <x:v>Furniture</x:v>
      </x:c>
      <x:c r="H3512" s="2" t="str">
        <x:v>Chair 022</x:v>
      </x:c>
      <x:c r="I3512" s="11" t="n">
        <x:v>4</x:v>
      </x:c>
      <x:c r="J3512" s="9" t="n">
        <x:v>134</x:v>
      </x:c>
      <x:c r="K3512" s="10" t="n">
        <x:v>0.05</x:v>
      </x:c>
      <x:c r="L3512" s="11" t="n">
        <x:v>0</x:v>
      </x:c>
      <x:c r="M3512" s="9" t="n">
        <x:f>IF(D3512="Completed",I3512*J3512,0)</x:f>
        <x:v>536</x:v>
      </x:c>
      <x:c r="N3512" s="9" t="n">
        <x:f>M3512*K3512</x:f>
        <x:v>26.8</x:v>
      </x:c>
      <x:c r="O3512" s="9" t="n">
        <x:f>M3512-N3512</x:f>
        <x:v>509.2</x:v>
      </x:c>
      <x:c r="P3512" s="9" t="n">
        <x:f>IF(D3512="Completed",L3512*J3512*(1-K3512),0)</x:f>
        <x:v>0</x:v>
      </x:c>
      <x:c r="Q3512" s="9" t="n">
        <x:f>O3512-P3512</x:f>
        <x:v>509.2</x:v>
      </x:c>
      <x:c r="R3512" s="11" t="n">
        <x:f>IF(D3512="Completed",I3512,0)</x:f>
        <x:v>4</x:v>
      </x:c>
      <x:c r="S3512" s="11" t="n">
        <x:f>IF(D3512="Completed",L3512,0)</x:f>
        <x:v>0</x:v>
      </x:c>
      <x:c r="T3512" s="8" t="n">
        <x:f>DATE(YEAR(C3512),MONTH(C3512),1)</x:f>
        <x:v>45717</x:v>
      </x:c>
    </x:row>
    <x:row r="3513" ht="22" customHeight="1">
      <x:c r="A3513" s="2" t="str">
        <x:v>L003509</x:v>
      </x:c>
      <x:c r="B3513" s="2" t="str">
        <x:v>O01435</x:v>
      </x:c>
      <x:c r="C3513" s="7" t="n">
        <x:v>45734</x:v>
      </x:c>
      <x:c r="D3513" s="2" t="str">
        <x:v>Completed</x:v>
      </x:c>
      <x:c r="E3513" s="2" t="str">
        <x:v>West</x:v>
      </x:c>
      <x:c r="F3513" s="2" t="str">
        <x:v>Online</x:v>
      </x:c>
      <x:c r="G3513" s="2" t="str">
        <x:v>Lighting</x:v>
      </x:c>
      <x:c r="H3513" s="2" t="str">
        <x:v>Lamp 021</x:v>
      </x:c>
      <x:c r="I3513" s="11" t="n">
        <x:v>1</x:v>
      </x:c>
      <x:c r="J3513" s="9" t="n">
        <x:v>249</x:v>
      </x:c>
      <x:c r="K3513" s="10" t="n">
        <x:v>0.05</x:v>
      </x:c>
      <x:c r="L3513" s="11" t="n">
        <x:v>1</x:v>
      </x:c>
      <x:c r="M3513" s="9" t="n">
        <x:f>IF(D3513="Completed",I3513*J3513,0)</x:f>
        <x:v>249</x:v>
      </x:c>
      <x:c r="N3513" s="9" t="n">
        <x:f>M3513*K3513</x:f>
        <x:v>12.450000000000001</x:v>
      </x:c>
      <x:c r="O3513" s="9" t="n">
        <x:f>M3513-N3513</x:f>
        <x:v>236.55</x:v>
      </x:c>
      <x:c r="P3513" s="9" t="n">
        <x:f>IF(D3513="Completed",L3513*J3513*(1-K3513),0)</x:f>
        <x:v>236.54999999999998</x:v>
      </x:c>
      <x:c r="Q3513" s="9" t="n">
        <x:f>O3513-P3513</x:f>
        <x:v>2.842170943040401e-14</x:v>
      </x:c>
      <x:c r="R3513" s="11" t="n">
        <x:f>IF(D3513="Completed",I3513,0)</x:f>
        <x:v>1</x:v>
      </x:c>
      <x:c r="S3513" s="11" t="n">
        <x:f>IF(D3513="Completed",L3513,0)</x:f>
        <x:v>1</x:v>
      </x:c>
      <x:c r="T3513" s="8" t="n">
        <x:f>DATE(YEAR(C3513),MONTH(C3513),1)</x:f>
        <x:v>45717</x:v>
      </x:c>
    </x:row>
    <x:row r="3514" ht="22" customHeight="1">
      <x:c r="A3514" s="2" t="str">
        <x:v>L003510</x:v>
      </x:c>
      <x:c r="B3514" s="2" t="str">
        <x:v>O01435</x:v>
      </x:c>
      <x:c r="C3514" s="7" t="n">
        <x:v>45734</x:v>
      </x:c>
      <x:c r="D3514" s="2" t="str">
        <x:v>Completed</x:v>
      </x:c>
      <x:c r="E3514" s="2" t="str">
        <x:v>West</x:v>
      </x:c>
      <x:c r="F3514" s="2" t="str">
        <x:v>Online</x:v>
      </x:c>
      <x:c r="G3514" s="2" t="str">
        <x:v>Storage</x:v>
      </x:c>
      <x:c r="H3514" s="2" t="str">
        <x:v>Shelf 019</x:v>
      </x:c>
      <x:c r="I3514" s="11" t="n">
        <x:v>5</x:v>
      </x:c>
      <x:c r="J3514" s="9" t="n">
        <x:v>78</x:v>
      </x:c>
      <x:c r="K3514" s="10" t="n">
        <x:v>0</x:v>
      </x:c>
      <x:c r="L3514" s="11" t="n">
        <x:v>0</x:v>
      </x:c>
      <x:c r="M3514" s="9" t="n">
        <x:f>IF(D3514="Completed",I3514*J3514,0)</x:f>
        <x:v>390</x:v>
      </x:c>
      <x:c r="N3514" s="9" t="n">
        <x:f>M3514*K3514</x:f>
        <x:v>0</x:v>
      </x:c>
      <x:c r="O3514" s="9" t="n">
        <x:f>M3514-N3514</x:f>
        <x:v>390</x:v>
      </x:c>
      <x:c r="P3514" s="9" t="n">
        <x:f>IF(D3514="Completed",L3514*J3514*(1-K3514),0)</x:f>
        <x:v>0</x:v>
      </x:c>
      <x:c r="Q3514" s="9" t="n">
        <x:f>O3514-P3514</x:f>
        <x:v>390</x:v>
      </x:c>
      <x:c r="R3514" s="11" t="n">
        <x:f>IF(D3514="Completed",I3514,0)</x:f>
        <x:v>5</x:v>
      </x:c>
      <x:c r="S3514" s="11" t="n">
        <x:f>IF(D3514="Completed",L3514,0)</x:f>
        <x:v>0</x:v>
      </x:c>
      <x:c r="T3514" s="8" t="n">
        <x:f>DATE(YEAR(C3514),MONTH(C3514),1)</x:f>
        <x:v>45717</x:v>
      </x:c>
    </x:row>
    <x:row r="3515" ht="22" customHeight="1">
      <x:c r="A3515" s="2" t="str">
        <x:v>L003511</x:v>
      </x:c>
      <x:c r="B3515" s="2" t="str">
        <x:v>O01436</x:v>
      </x:c>
      <x:c r="C3515" s="7" t="n">
        <x:v>45794</x:v>
      </x:c>
      <x:c r="D3515" s="2" t="str">
        <x:v>Completed</x:v>
      </x:c>
      <x:c r="E3515" s="2" t="str">
        <x:v>East</x:v>
      </x:c>
      <x:c r="F3515" s="2" t="str">
        <x:v>Online</x:v>
      </x:c>
      <x:c r="G3515" s="2" t="str">
        <x:v>Lighting</x:v>
      </x:c>
      <x:c r="H3515" s="2" t="str">
        <x:v>Lamp 005</x:v>
      </x:c>
      <x:c r="I3515" s="11" t="n">
        <x:v>2</x:v>
      </x:c>
      <x:c r="J3515" s="9" t="n">
        <x:v>65</x:v>
      </x:c>
      <x:c r="K3515" s="10" t="n">
        <x:v>0.1</x:v>
      </x:c>
      <x:c r="L3515" s="11" t="n">
        <x:v>0</x:v>
      </x:c>
      <x:c r="M3515" s="9" t="n">
        <x:f>IF(D3515="Completed",I3515*J3515,0)</x:f>
        <x:v>130</x:v>
      </x:c>
      <x:c r="N3515" s="9" t="n">
        <x:f>M3515*K3515</x:f>
        <x:v>13</x:v>
      </x:c>
      <x:c r="O3515" s="9" t="n">
        <x:f>M3515-N3515</x:f>
        <x:v>117</x:v>
      </x:c>
      <x:c r="P3515" s="9" t="n">
        <x:f>IF(D3515="Completed",L3515*J3515*(1-K3515),0)</x:f>
        <x:v>0</x:v>
      </x:c>
      <x:c r="Q3515" s="9" t="n">
        <x:f>O3515-P3515</x:f>
        <x:v>117</x:v>
      </x:c>
      <x:c r="R3515" s="11" t="n">
        <x:f>IF(D3515="Completed",I3515,0)</x:f>
        <x:v>2</x:v>
      </x:c>
      <x:c r="S3515" s="11" t="n">
        <x:f>IF(D3515="Completed",L3515,0)</x:f>
        <x:v>0</x:v>
      </x:c>
      <x:c r="T3515" s="8" t="n">
        <x:f>DATE(YEAR(C3515),MONTH(C3515),1)</x:f>
        <x:v>45778</x:v>
      </x:c>
    </x:row>
    <x:row r="3516" ht="22" customHeight="1">
      <x:c r="A3516" s="2" t="str">
        <x:v>L003512</x:v>
      </x:c>
      <x:c r="B3516" s="2" t="str">
        <x:v>O01436</x:v>
      </x:c>
      <x:c r="C3516" s="7" t="n">
        <x:v>45794</x:v>
      </x:c>
      <x:c r="D3516" s="2" t="str">
        <x:v>Completed</x:v>
      </x:c>
      <x:c r="E3516" s="2" t="str">
        <x:v>East</x:v>
      </x:c>
      <x:c r="F3516" s="2" t="str">
        <x:v>Online</x:v>
      </x:c>
      <x:c r="G3516" s="2" t="str">
        <x:v>Furniture</x:v>
      </x:c>
      <x:c r="H3516" s="2" t="str">
        <x:v>Desk 016</x:v>
      </x:c>
      <x:c r="I3516" s="11" t="n">
        <x:v>1</x:v>
      </x:c>
      <x:c r="J3516" s="9" t="n">
        <x:v>231</x:v>
      </x:c>
      <x:c r="K3516" s="10" t="n">
        <x:v>0.1</x:v>
      </x:c>
      <x:c r="L3516" s="11" t="n">
        <x:v>0</x:v>
      </x:c>
      <x:c r="M3516" s="9" t="n">
        <x:f>IF(D3516="Completed",I3516*J3516,0)</x:f>
        <x:v>231</x:v>
      </x:c>
      <x:c r="N3516" s="9" t="n">
        <x:f>M3516*K3516</x:f>
        <x:v>23.1</x:v>
      </x:c>
      <x:c r="O3516" s="9" t="n">
        <x:f>M3516-N3516</x:f>
        <x:v>207.9</x:v>
      </x:c>
      <x:c r="P3516" s="9" t="n">
        <x:f>IF(D3516="Completed",L3516*J3516*(1-K3516),0)</x:f>
        <x:v>0</x:v>
      </x:c>
      <x:c r="Q3516" s="9" t="n">
        <x:f>O3516-P3516</x:f>
        <x:v>207.9</x:v>
      </x:c>
      <x:c r="R3516" s="11" t="n">
        <x:f>IF(D3516="Completed",I3516,0)</x:f>
        <x:v>1</x:v>
      </x:c>
      <x:c r="S3516" s="11" t="n">
        <x:f>IF(D3516="Completed",L3516,0)</x:f>
        <x:v>0</x:v>
      </x:c>
      <x:c r="T3516" s="8" t="n">
        <x:f>DATE(YEAR(C3516),MONTH(C3516),1)</x:f>
        <x:v>45778</x:v>
      </x:c>
    </x:row>
    <x:row r="3517" ht="22" customHeight="1">
      <x:c r="A3517" s="2" t="str">
        <x:v>L003513</x:v>
      </x:c>
      <x:c r="B3517" s="2" t="str">
        <x:v>O01437</x:v>
      </x:c>
      <x:c r="C3517" s="7" t="n">
        <x:v>45999</x:v>
      </x:c>
      <x:c r="D3517" s="2" t="str">
        <x:v>Completed</x:v>
      </x:c>
      <x:c r="E3517" s="2" t="str">
        <x:v>West</x:v>
      </x:c>
      <x:c r="F3517" s="2" t="str">
        <x:v>Online</x:v>
      </x:c>
      <x:c r="G3517" s="2" t="str">
        <x:v>Lighting</x:v>
      </x:c>
      <x:c r="H3517" s="2" t="str">
        <x:v>Lamp 013</x:v>
      </x:c>
      <x:c r="I3517" s="11" t="n">
        <x:v>4</x:v>
      </x:c>
      <x:c r="J3517" s="9" t="n">
        <x:v>271</x:v>
      </x:c>
      <x:c r="K3517" s="10" t="n">
        <x:v>0.05</x:v>
      </x:c>
      <x:c r="L3517" s="11" t="n">
        <x:v>0</x:v>
      </x:c>
      <x:c r="M3517" s="9" t="n">
        <x:f>IF(D3517="Completed",I3517*J3517,0)</x:f>
        <x:v>1084</x:v>
      </x:c>
      <x:c r="N3517" s="9" t="n">
        <x:f>M3517*K3517</x:f>
        <x:v>54.2</x:v>
      </x:c>
      <x:c r="O3517" s="9" t="n">
        <x:f>M3517-N3517</x:f>
        <x:v>1029.8</x:v>
      </x:c>
      <x:c r="P3517" s="9" t="n">
        <x:f>IF(D3517="Completed",L3517*J3517*(1-K3517),0)</x:f>
        <x:v>0</x:v>
      </x:c>
      <x:c r="Q3517" s="9" t="n">
        <x:f>O3517-P3517</x:f>
        <x:v>1029.8</x:v>
      </x:c>
      <x:c r="R3517" s="11" t="n">
        <x:f>IF(D3517="Completed",I3517,0)</x:f>
        <x:v>4</x:v>
      </x:c>
      <x:c r="S3517" s="11" t="n">
        <x:f>IF(D3517="Completed",L3517,0)</x:f>
        <x:v>0</x:v>
      </x:c>
      <x:c r="T3517" s="8" t="n">
        <x:f>DATE(YEAR(C3517),MONTH(C3517),1)</x:f>
        <x:v>45992</x:v>
      </x:c>
    </x:row>
    <x:row r="3518" ht="22" customHeight="1">
      <x:c r="A3518" s="2" t="str">
        <x:v>L003514</x:v>
      </x:c>
      <x:c r="B3518" s="2" t="str">
        <x:v>O01437</x:v>
      </x:c>
      <x:c r="C3518" s="7" t="n">
        <x:v>45999</x:v>
      </x:c>
      <x:c r="D3518" s="2" t="str">
        <x:v>Completed</x:v>
      </x:c>
      <x:c r="E3518" s="2" t="str">
        <x:v>West</x:v>
      </x:c>
      <x:c r="F3518" s="2" t="str">
        <x:v>Online</x:v>
      </x:c>
      <x:c r="G3518" s="2" t="str">
        <x:v>Furniture</x:v>
      </x:c>
      <x:c r="H3518" s="2" t="str">
        <x:v>Chair 018</x:v>
      </x:c>
      <x:c r="I3518" s="11" t="n">
        <x:v>3</x:v>
      </x:c>
      <x:c r="J3518" s="9" t="n">
        <x:v>269</x:v>
      </x:c>
      <x:c r="K3518" s="10" t="n">
        <x:v>0.2</x:v>
      </x:c>
      <x:c r="L3518" s="11" t="n">
        <x:v>0</x:v>
      </x:c>
      <x:c r="M3518" s="9" t="n">
        <x:f>IF(D3518="Completed",I3518*J3518,0)</x:f>
        <x:v>807</x:v>
      </x:c>
      <x:c r="N3518" s="9" t="n">
        <x:f>M3518*K3518</x:f>
        <x:v>161.4</x:v>
      </x:c>
      <x:c r="O3518" s="9" t="n">
        <x:f>M3518-N3518</x:f>
        <x:v>645.6</x:v>
      </x:c>
      <x:c r="P3518" s="9" t="n">
        <x:f>IF(D3518="Completed",L3518*J3518*(1-K3518),0)</x:f>
        <x:v>0</x:v>
      </x:c>
      <x:c r="Q3518" s="9" t="n">
        <x:f>O3518-P3518</x:f>
        <x:v>645.6</x:v>
      </x:c>
      <x:c r="R3518" s="11" t="n">
        <x:f>IF(D3518="Completed",I3518,0)</x:f>
        <x:v>3</x:v>
      </x:c>
      <x:c r="S3518" s="11" t="n">
        <x:f>IF(D3518="Completed",L3518,0)</x:f>
        <x:v>0</x:v>
      </x:c>
      <x:c r="T3518" s="8" t="n">
        <x:f>DATE(YEAR(C3518),MONTH(C3518),1)</x:f>
        <x:v>45992</x:v>
      </x:c>
    </x:row>
    <x:row r="3519" ht="22" customHeight="1">
      <x:c r="A3519" s="2" t="str">
        <x:v>L003515</x:v>
      </x:c>
      <x:c r="B3519" s="2" t="str">
        <x:v>O01437</x:v>
      </x:c>
      <x:c r="C3519" s="7" t="n">
        <x:v>45999</x:v>
      </x:c>
      <x:c r="D3519" s="2" t="str">
        <x:v>Completed</x:v>
      </x:c>
      <x:c r="E3519" s="2" t="str">
        <x:v>West</x:v>
      </x:c>
      <x:c r="F3519" s="2" t="str">
        <x:v>Online</x:v>
      </x:c>
      <x:c r="G3519" s="2" t="str">
        <x:v>Furniture</x:v>
      </x:c>
      <x:c r="H3519" s="2" t="str">
        <x:v>Chair 002</x:v>
      </x:c>
      <x:c r="I3519" s="11" t="n">
        <x:v>4</x:v>
      </x:c>
      <x:c r="J3519" s="9" t="n">
        <x:v>284</x:v>
      </x:c>
      <x:c r="K3519" s="10" t="n">
        <x:v>0.2</x:v>
      </x:c>
      <x:c r="L3519" s="11" t="n">
        <x:v>0</x:v>
      </x:c>
      <x:c r="M3519" s="9" t="n">
        <x:f>IF(D3519="Completed",I3519*J3519,0)</x:f>
        <x:v>1136</x:v>
      </x:c>
      <x:c r="N3519" s="9" t="n">
        <x:f>M3519*K3519</x:f>
        <x:v>227.20000000000002</x:v>
      </x:c>
      <x:c r="O3519" s="9" t="n">
        <x:f>M3519-N3519</x:f>
        <x:v>908.8</x:v>
      </x:c>
      <x:c r="P3519" s="9" t="n">
        <x:f>IF(D3519="Completed",L3519*J3519*(1-K3519),0)</x:f>
        <x:v>0</x:v>
      </x:c>
      <x:c r="Q3519" s="9" t="n">
        <x:f>O3519-P3519</x:f>
        <x:v>908.8</x:v>
      </x:c>
      <x:c r="R3519" s="11" t="n">
        <x:f>IF(D3519="Completed",I3519,0)</x:f>
        <x:v>4</x:v>
      </x:c>
      <x:c r="S3519" s="11" t="n">
        <x:f>IF(D3519="Completed",L3519,0)</x:f>
        <x:v>0</x:v>
      </x:c>
      <x:c r="T3519" s="8" t="n">
        <x:f>DATE(YEAR(C3519),MONTH(C3519),1)</x:f>
        <x:v>45992</x:v>
      </x:c>
    </x:row>
    <x:row r="3520" ht="22" customHeight="1">
      <x:c r="A3520" s="2" t="str">
        <x:v>L003516</x:v>
      </x:c>
      <x:c r="B3520" s="2" t="str">
        <x:v>O01438</x:v>
      </x:c>
      <x:c r="C3520" s="7" t="n">
        <x:v>45748</x:v>
      </x:c>
      <x:c r="D3520" s="2" t="str">
        <x:v>Completed</x:v>
      </x:c>
      <x:c r="E3520" s="2" t="str">
        <x:v>South</x:v>
      </x:c>
      <x:c r="F3520" s="2" t="str">
        <x:v>Store</x:v>
      </x:c>
      <x:c r="G3520" s="2" t="str">
        <x:v>Furniture</x:v>
      </x:c>
      <x:c r="H3520" s="2" t="str">
        <x:v>Desk 020</x:v>
      </x:c>
      <x:c r="I3520" s="11" t="n">
        <x:v>3</x:v>
      </x:c>
      <x:c r="J3520" s="9" t="n">
        <x:v>189</x:v>
      </x:c>
      <x:c r="K3520" s="10" t="n">
        <x:v>0.05</x:v>
      </x:c>
      <x:c r="L3520" s="11" t="n">
        <x:v>0</x:v>
      </x:c>
      <x:c r="M3520" s="9" t="n">
        <x:f>IF(D3520="Completed",I3520*J3520,0)</x:f>
        <x:v>567</x:v>
      </x:c>
      <x:c r="N3520" s="9" t="n">
        <x:f>M3520*K3520</x:f>
        <x:v>28.35</x:v>
      </x:c>
      <x:c r="O3520" s="9" t="n">
        <x:f>M3520-N3520</x:f>
        <x:v>538.65</x:v>
      </x:c>
      <x:c r="P3520" s="9" t="n">
        <x:f>IF(D3520="Completed",L3520*J3520*(1-K3520),0)</x:f>
        <x:v>0</x:v>
      </x:c>
      <x:c r="Q3520" s="9" t="n">
        <x:f>O3520-P3520</x:f>
        <x:v>538.65</x:v>
      </x:c>
      <x:c r="R3520" s="11" t="n">
        <x:f>IF(D3520="Completed",I3520,0)</x:f>
        <x:v>3</x:v>
      </x:c>
      <x:c r="S3520" s="11" t="n">
        <x:f>IF(D3520="Completed",L3520,0)</x:f>
        <x:v>0</x:v>
      </x:c>
      <x:c r="T3520" s="8" t="n">
        <x:f>DATE(YEAR(C3520),MONTH(C3520),1)</x:f>
        <x:v>45748</x:v>
      </x:c>
    </x:row>
    <x:row r="3521" ht="22" customHeight="1">
      <x:c r="A3521" s="2" t="str">
        <x:v>L003517</x:v>
      </x:c>
      <x:c r="B3521" s="2" t="str">
        <x:v>O01438</x:v>
      </x:c>
      <x:c r="C3521" s="7" t="n">
        <x:v>45748</x:v>
      </x:c>
      <x:c r="D3521" s="2" t="str">
        <x:v>Completed</x:v>
      </x:c>
      <x:c r="E3521" s="2" t="str">
        <x:v>South</x:v>
      </x:c>
      <x:c r="F3521" s="2" t="str">
        <x:v>Store</x:v>
      </x:c>
      <x:c r="G3521" s="2" t="str">
        <x:v>Furniture</x:v>
      </x:c>
      <x:c r="H3521" s="2" t="str">
        <x:v>Chair 018</x:v>
      </x:c>
      <x:c r="I3521" s="11" t="n">
        <x:v>3</x:v>
      </x:c>
      <x:c r="J3521" s="9" t="n">
        <x:v>269</x:v>
      </x:c>
      <x:c r="K3521" s="10" t="n">
        <x:v>0.1</x:v>
      </x:c>
      <x:c r="L3521" s="11" t="n">
        <x:v>0</x:v>
      </x:c>
      <x:c r="M3521" s="9" t="n">
        <x:f>IF(D3521="Completed",I3521*J3521,0)</x:f>
        <x:v>807</x:v>
      </x:c>
      <x:c r="N3521" s="9" t="n">
        <x:f>M3521*K3521</x:f>
        <x:v>80.7</x:v>
      </x:c>
      <x:c r="O3521" s="9" t="n">
        <x:f>M3521-N3521</x:f>
        <x:v>726.3</x:v>
      </x:c>
      <x:c r="P3521" s="9" t="n">
        <x:f>IF(D3521="Completed",L3521*J3521*(1-K3521),0)</x:f>
        <x:v>0</x:v>
      </x:c>
      <x:c r="Q3521" s="9" t="n">
        <x:f>O3521-P3521</x:f>
        <x:v>726.3</x:v>
      </x:c>
      <x:c r="R3521" s="11" t="n">
        <x:f>IF(D3521="Completed",I3521,0)</x:f>
        <x:v>3</x:v>
      </x:c>
      <x:c r="S3521" s="11" t="n">
        <x:f>IF(D3521="Completed",L3521,0)</x:f>
        <x:v>0</x:v>
      </x:c>
      <x:c r="T3521" s="8" t="n">
        <x:f>DATE(YEAR(C3521),MONTH(C3521),1)</x:f>
        <x:v>45748</x:v>
      </x:c>
    </x:row>
    <x:row r="3522" ht="22" customHeight="1">
      <x:c r="A3522" s="2" t="str">
        <x:v>L003518</x:v>
      </x:c>
      <x:c r="B3522" s="2" t="str">
        <x:v>O01438</x:v>
      </x:c>
      <x:c r="C3522" s="7" t="n">
        <x:v>45748</x:v>
      </x:c>
      <x:c r="D3522" s="2" t="str">
        <x:v>Completed</x:v>
      </x:c>
      <x:c r="E3522" s="2" t="str">
        <x:v>South</x:v>
      </x:c>
      <x:c r="F3522" s="2" t="str">
        <x:v>Store</x:v>
      </x:c>
      <x:c r="G3522" s="2" t="str">
        <x:v>Furniture</x:v>
      </x:c>
      <x:c r="H3522" s="2" t="str">
        <x:v>Chair 022</x:v>
      </x:c>
      <x:c r="I3522" s="11" t="n">
        <x:v>4</x:v>
      </x:c>
      <x:c r="J3522" s="9" t="n">
        <x:v>134</x:v>
      </x:c>
      <x:c r="K3522" s="10" t="n">
        <x:v>0.05</x:v>
      </x:c>
      <x:c r="L3522" s="11" t="n">
        <x:v>0</x:v>
      </x:c>
      <x:c r="M3522" s="9" t="n">
        <x:f>IF(D3522="Completed",I3522*J3522,0)</x:f>
        <x:v>536</x:v>
      </x:c>
      <x:c r="N3522" s="9" t="n">
        <x:f>M3522*K3522</x:f>
        <x:v>26.8</x:v>
      </x:c>
      <x:c r="O3522" s="9" t="n">
        <x:f>M3522-N3522</x:f>
        <x:v>509.2</x:v>
      </x:c>
      <x:c r="P3522" s="9" t="n">
        <x:f>IF(D3522="Completed",L3522*J3522*(1-K3522),0)</x:f>
        <x:v>0</x:v>
      </x:c>
      <x:c r="Q3522" s="9" t="n">
        <x:f>O3522-P3522</x:f>
        <x:v>509.2</x:v>
      </x:c>
      <x:c r="R3522" s="11" t="n">
        <x:f>IF(D3522="Completed",I3522,0)</x:f>
        <x:v>4</x:v>
      </x:c>
      <x:c r="S3522" s="11" t="n">
        <x:f>IF(D3522="Completed",L3522,0)</x:f>
        <x:v>0</x:v>
      </x:c>
      <x:c r="T3522" s="8" t="n">
        <x:f>DATE(YEAR(C3522),MONTH(C3522),1)</x:f>
        <x:v>45748</x:v>
      </x:c>
    </x:row>
    <x:row r="3523" ht="22" customHeight="1">
      <x:c r="A3523" s="2" t="str">
        <x:v>L003519</x:v>
      </x:c>
      <x:c r="B3523" s="2" t="str">
        <x:v>O01439</x:v>
      </x:c>
      <x:c r="C3523" s="7" t="n">
        <x:v>45876</x:v>
      </x:c>
      <x:c r="D3523" s="2" t="str">
        <x:v>Completed</x:v>
      </x:c>
      <x:c r="E3523" s="2" t="str">
        <x:v>West</x:v>
      </x:c>
      <x:c r="F3523" s="2" t="str">
        <x:v>Store</x:v>
      </x:c>
      <x:c r="G3523" s="2" t="str">
        <x:v>Furniture</x:v>
      </x:c>
      <x:c r="H3523" s="2" t="str">
        <x:v>Chair 022</x:v>
      </x:c>
      <x:c r="I3523" s="11" t="n">
        <x:v>5</x:v>
      </x:c>
      <x:c r="J3523" s="9" t="n">
        <x:v>134</x:v>
      </x:c>
      <x:c r="K3523" s="10" t="n">
        <x:v>0</x:v>
      </x:c>
      <x:c r="L3523" s="11" t="n">
        <x:v>0</x:v>
      </x:c>
      <x:c r="M3523" s="9" t="n">
        <x:f>IF(D3523="Completed",I3523*J3523,0)</x:f>
        <x:v>670</x:v>
      </x:c>
      <x:c r="N3523" s="9" t="n">
        <x:f>M3523*K3523</x:f>
        <x:v>0</x:v>
      </x:c>
      <x:c r="O3523" s="9" t="n">
        <x:f>M3523-N3523</x:f>
        <x:v>670</x:v>
      </x:c>
      <x:c r="P3523" s="9" t="n">
        <x:f>IF(D3523="Completed",L3523*J3523*(1-K3523),0)</x:f>
        <x:v>0</x:v>
      </x:c>
      <x:c r="Q3523" s="9" t="n">
        <x:f>O3523-P3523</x:f>
        <x:v>670</x:v>
      </x:c>
      <x:c r="R3523" s="11" t="n">
        <x:f>IF(D3523="Completed",I3523,0)</x:f>
        <x:v>5</x:v>
      </x:c>
      <x:c r="S3523" s="11" t="n">
        <x:f>IF(D3523="Completed",L3523,0)</x:f>
        <x:v>0</x:v>
      </x:c>
      <x:c r="T3523" s="8" t="n">
        <x:f>DATE(YEAR(C3523),MONTH(C3523),1)</x:f>
        <x:v>45870</x:v>
      </x:c>
    </x:row>
    <x:row r="3524" ht="22" customHeight="1">
      <x:c r="A3524" s="2" t="str">
        <x:v>L003520</x:v>
      </x:c>
      <x:c r="B3524" s="2" t="str">
        <x:v>O01439</x:v>
      </x:c>
      <x:c r="C3524" s="7" t="n">
        <x:v>45876</x:v>
      </x:c>
      <x:c r="D3524" s="2" t="str">
        <x:v>Completed</x:v>
      </x:c>
      <x:c r="E3524" s="2" t="str">
        <x:v>West</x:v>
      </x:c>
      <x:c r="F3524" s="2" t="str">
        <x:v>Store</x:v>
      </x:c>
      <x:c r="G3524" s="2" t="str">
        <x:v>Lighting</x:v>
      </x:c>
      <x:c r="H3524" s="2" t="str">
        <x:v>Lamp 021</x:v>
      </x:c>
      <x:c r="I3524" s="11" t="n">
        <x:v>3</x:v>
      </x:c>
      <x:c r="J3524" s="9" t="n">
        <x:v>249</x:v>
      </x:c>
      <x:c r="K3524" s="10" t="n">
        <x:v>0.2</x:v>
      </x:c>
      <x:c r="L3524" s="11" t="n">
        <x:v>0</x:v>
      </x:c>
      <x:c r="M3524" s="9" t="n">
        <x:f>IF(D3524="Completed",I3524*J3524,0)</x:f>
        <x:v>747</x:v>
      </x:c>
      <x:c r="N3524" s="9" t="n">
        <x:f>M3524*K3524</x:f>
        <x:v>149.4</x:v>
      </x:c>
      <x:c r="O3524" s="9" t="n">
        <x:f>M3524-N3524</x:f>
        <x:v>597.6</x:v>
      </x:c>
      <x:c r="P3524" s="9" t="n">
        <x:f>IF(D3524="Completed",L3524*J3524*(1-K3524),0)</x:f>
        <x:v>0</x:v>
      </x:c>
      <x:c r="Q3524" s="9" t="n">
        <x:f>O3524-P3524</x:f>
        <x:v>597.6</x:v>
      </x:c>
      <x:c r="R3524" s="11" t="n">
        <x:f>IF(D3524="Completed",I3524,0)</x:f>
        <x:v>3</x:v>
      </x:c>
      <x:c r="S3524" s="11" t="n">
        <x:f>IF(D3524="Completed",L3524,0)</x:f>
        <x:v>0</x:v>
      </x:c>
      <x:c r="T3524" s="8" t="n">
        <x:f>DATE(YEAR(C3524),MONTH(C3524),1)</x:f>
        <x:v>45870</x:v>
      </x:c>
    </x:row>
    <x:row r="3525" ht="22" customHeight="1">
      <x:c r="A3525" s="2" t="str">
        <x:v>L003521</x:v>
      </x:c>
      <x:c r="B3525" s="2" t="str">
        <x:v>O01439</x:v>
      </x:c>
      <x:c r="C3525" s="7" t="n">
        <x:v>45876</x:v>
      </x:c>
      <x:c r="D3525" s="2" t="str">
        <x:v>Completed</x:v>
      </x:c>
      <x:c r="E3525" s="2" t="str">
        <x:v>West</x:v>
      </x:c>
      <x:c r="F3525" s="2" t="str">
        <x:v>Store</x:v>
      </x:c>
      <x:c r="G3525" s="2" t="str">
        <x:v>Lighting</x:v>
      </x:c>
      <x:c r="H3525" s="2" t="str">
        <x:v>Lamp 021</x:v>
      </x:c>
      <x:c r="I3525" s="11" t="n">
        <x:v>1</x:v>
      </x:c>
      <x:c r="J3525" s="9" t="n">
        <x:v>249</x:v>
      </x:c>
      <x:c r="K3525" s="10" t="n">
        <x:v>0.05</x:v>
      </x:c>
      <x:c r="L3525" s="11" t="n">
        <x:v>1</x:v>
      </x:c>
      <x:c r="M3525" s="9" t="n">
        <x:f>IF(D3525="Completed",I3525*J3525,0)</x:f>
        <x:v>249</x:v>
      </x:c>
      <x:c r="N3525" s="9" t="n">
        <x:f>M3525*K3525</x:f>
        <x:v>12.450000000000001</x:v>
      </x:c>
      <x:c r="O3525" s="9" t="n">
        <x:f>M3525-N3525</x:f>
        <x:v>236.55</x:v>
      </x:c>
      <x:c r="P3525" s="9" t="n">
        <x:f>IF(D3525="Completed",L3525*J3525*(1-K3525),0)</x:f>
        <x:v>236.54999999999998</x:v>
      </x:c>
      <x:c r="Q3525" s="9" t="n">
        <x:f>O3525-P3525</x:f>
        <x:v>2.842170943040401e-14</x:v>
      </x:c>
      <x:c r="R3525" s="11" t="n">
        <x:f>IF(D3525="Completed",I3525,0)</x:f>
        <x:v>1</x:v>
      </x:c>
      <x:c r="S3525" s="11" t="n">
        <x:f>IF(D3525="Completed",L3525,0)</x:f>
        <x:v>1</x:v>
      </x:c>
      <x:c r="T3525" s="8" t="n">
        <x:f>DATE(YEAR(C3525),MONTH(C3525),1)</x:f>
        <x:v>45870</x:v>
      </x:c>
    </x:row>
    <x:row r="3526" ht="22" customHeight="1">
      <x:c r="A3526" s="2" t="str">
        <x:v>L003522</x:v>
      </x:c>
      <x:c r="B3526" s="2" t="str">
        <x:v>O01440</x:v>
      </x:c>
      <x:c r="C3526" s="7" t="n">
        <x:v>45673</x:v>
      </x:c>
      <x:c r="D3526" s="2" t="str">
        <x:v>Completed</x:v>
      </x:c>
      <x:c r="E3526" s="2" t="str">
        <x:v>East</x:v>
      </x:c>
      <x:c r="F3526" s="2" t="str">
        <x:v>Store</x:v>
      </x:c>
      <x:c r="G3526" s="2" t="str">
        <x:v>Furniture</x:v>
      </x:c>
      <x:c r="H3526" s="2" t="str">
        <x:v>Desk 020</x:v>
      </x:c>
      <x:c r="I3526" s="11" t="n">
        <x:v>5</x:v>
      </x:c>
      <x:c r="J3526" s="9" t="n">
        <x:v>189</x:v>
      </x:c>
      <x:c r="K3526" s="10" t="n">
        <x:v>0</x:v>
      </x:c>
      <x:c r="L3526" s="11" t="n">
        <x:v>0</x:v>
      </x:c>
      <x:c r="M3526" s="9" t="n">
        <x:f>IF(D3526="Completed",I3526*J3526,0)</x:f>
        <x:v>945</x:v>
      </x:c>
      <x:c r="N3526" s="9" t="n">
        <x:f>M3526*K3526</x:f>
        <x:v>0</x:v>
      </x:c>
      <x:c r="O3526" s="9" t="n">
        <x:f>M3526-N3526</x:f>
        <x:v>945</x:v>
      </x:c>
      <x:c r="P3526" s="9" t="n">
        <x:f>IF(D3526="Completed",L3526*J3526*(1-K3526),0)</x:f>
        <x:v>0</x:v>
      </x:c>
      <x:c r="Q3526" s="9" t="n">
        <x:f>O3526-P3526</x:f>
        <x:v>945</x:v>
      </x:c>
      <x:c r="R3526" s="11" t="n">
        <x:f>IF(D3526="Completed",I3526,0)</x:f>
        <x:v>5</x:v>
      </x:c>
      <x:c r="S3526" s="11" t="n">
        <x:f>IF(D3526="Completed",L3526,0)</x:f>
        <x:v>0</x:v>
      </x:c>
      <x:c r="T3526" s="8" t="n">
        <x:f>DATE(YEAR(C3526),MONTH(C3526),1)</x:f>
        <x:v>45658</x:v>
      </x:c>
    </x:row>
    <x:row r="3527" ht="22" customHeight="1">
      <x:c r="A3527" s="2" t="str">
        <x:v>L003523</x:v>
      </x:c>
      <x:c r="B3527" s="2" t="str">
        <x:v>O01440</x:v>
      </x:c>
      <x:c r="C3527" s="7" t="n">
        <x:v>45673</x:v>
      </x:c>
      <x:c r="D3527" s="2" t="str">
        <x:v>Completed</x:v>
      </x:c>
      <x:c r="E3527" s="2" t="str">
        <x:v>East</x:v>
      </x:c>
      <x:c r="F3527" s="2" t="str">
        <x:v>Store</x:v>
      </x:c>
      <x:c r="G3527" s="2" t="str">
        <x:v>Furniture</x:v>
      </x:c>
      <x:c r="H3527" s="2" t="str">
        <x:v>Chair 006</x:v>
      </x:c>
      <x:c r="I3527" s="11" t="n">
        <x:v>5</x:v>
      </x:c>
      <x:c r="J3527" s="9" t="n">
        <x:v>196</x:v>
      </x:c>
      <x:c r="K3527" s="10" t="n">
        <x:v>0.05</x:v>
      </x:c>
      <x:c r="L3527" s="11" t="n">
        <x:v>0</x:v>
      </x:c>
      <x:c r="M3527" s="9" t="n">
        <x:f>IF(D3527="Completed",I3527*J3527,0)</x:f>
        <x:v>980</x:v>
      </x:c>
      <x:c r="N3527" s="9" t="n">
        <x:f>M3527*K3527</x:f>
        <x:v>49</x:v>
      </x:c>
      <x:c r="O3527" s="9" t="n">
        <x:f>M3527-N3527</x:f>
        <x:v>931</x:v>
      </x:c>
      <x:c r="P3527" s="9" t="n">
        <x:f>IF(D3527="Completed",L3527*J3527*(1-K3527),0)</x:f>
        <x:v>0</x:v>
      </x:c>
      <x:c r="Q3527" s="9" t="n">
        <x:f>O3527-P3527</x:f>
        <x:v>931</x:v>
      </x:c>
      <x:c r="R3527" s="11" t="n">
        <x:f>IF(D3527="Completed",I3527,0)</x:f>
        <x:v>5</x:v>
      </x:c>
      <x:c r="S3527" s="11" t="n">
        <x:f>IF(D3527="Completed",L3527,0)</x:f>
        <x:v>0</x:v>
      </x:c>
      <x:c r="T3527" s="8" t="n">
        <x:f>DATE(YEAR(C3527),MONTH(C3527),1)</x:f>
        <x:v>45658</x:v>
      </x:c>
    </x:row>
    <x:row r="3528" ht="22" customHeight="1">
      <x:c r="A3528" s="2" t="str">
        <x:v>L003524</x:v>
      </x:c>
      <x:c r="B3528" s="2" t="str">
        <x:v>O01440</x:v>
      </x:c>
      <x:c r="C3528" s="7" t="n">
        <x:v>45673</x:v>
      </x:c>
      <x:c r="D3528" s="2" t="str">
        <x:v>Completed</x:v>
      </x:c>
      <x:c r="E3528" s="2" t="str">
        <x:v>East</x:v>
      </x:c>
      <x:c r="F3528" s="2" t="str">
        <x:v>Store</x:v>
      </x:c>
      <x:c r="G3528" s="2" t="str">
        <x:v>Lighting</x:v>
      </x:c>
      <x:c r="H3528" s="2" t="str">
        <x:v>Lamp 001</x:v>
      </x:c>
      <x:c r="I3528" s="11" t="n">
        <x:v>5</x:v>
      </x:c>
      <x:c r="J3528" s="9" t="n">
        <x:v>122</x:v>
      </x:c>
      <x:c r="K3528" s="10" t="n">
        <x:v>0.05</x:v>
      </x:c>
      <x:c r="L3528" s="11" t="n">
        <x:v>4</x:v>
      </x:c>
      <x:c r="M3528" s="9" t="n">
        <x:f>IF(D3528="Completed",I3528*J3528,0)</x:f>
        <x:v>610</x:v>
      </x:c>
      <x:c r="N3528" s="9" t="n">
        <x:f>M3528*K3528</x:f>
        <x:v>30.5</x:v>
      </x:c>
      <x:c r="O3528" s="9" t="n">
        <x:f>M3528-N3528</x:f>
        <x:v>579.5</x:v>
      </x:c>
      <x:c r="P3528" s="9" t="n">
        <x:f>IF(D3528="Completed",L3528*J3528*(1-K3528),0)</x:f>
        <x:v>463.59999999999997</x:v>
      </x:c>
      <x:c r="Q3528" s="9" t="n">
        <x:f>O3528-P3528</x:f>
        <x:v>115.90000000000003</x:v>
      </x:c>
      <x:c r="R3528" s="11" t="n">
        <x:f>IF(D3528="Completed",I3528,0)</x:f>
        <x:v>5</x:v>
      </x:c>
      <x:c r="S3528" s="11" t="n">
        <x:f>IF(D3528="Completed",L3528,0)</x:f>
        <x:v>4</x:v>
      </x:c>
      <x:c r="T3528" s="8" t="n">
        <x:f>DATE(YEAR(C3528),MONTH(C3528),1)</x:f>
        <x:v>45658</x:v>
      </x:c>
    </x:row>
    <x:row r="3529" ht="22" customHeight="1">
      <x:c r="A3529" s="2" t="str">
        <x:v>L003525</x:v>
      </x:c>
      <x:c r="B3529" s="2" t="str">
        <x:v>O01441</x:v>
      </x:c>
      <x:c r="C3529" s="7" t="n">
        <x:v>45984</x:v>
      </x:c>
      <x:c r="D3529" s="2" t="str">
        <x:v>Completed</x:v>
      </x:c>
      <x:c r="E3529" s="2" t="str">
        <x:v>East</x:v>
      </x:c>
      <x:c r="F3529" s="2" t="str">
        <x:v>Online</x:v>
      </x:c>
      <x:c r="G3529" s="2" t="str">
        <x:v>Furniture</x:v>
      </x:c>
      <x:c r="H3529" s="2" t="str">
        <x:v>Desk 024</x:v>
      </x:c>
      <x:c r="I3529" s="11" t="n">
        <x:v>2</x:v>
      </x:c>
      <x:c r="J3529" s="9" t="n">
        <x:v>81</x:v>
      </x:c>
      <x:c r="K3529" s="10" t="n">
        <x:v>0.05</x:v>
      </x:c>
      <x:c r="L3529" s="11" t="n">
        <x:v>0</x:v>
      </x:c>
      <x:c r="M3529" s="9" t="n">
        <x:f>IF(D3529="Completed",I3529*J3529,0)</x:f>
        <x:v>162</x:v>
      </x:c>
      <x:c r="N3529" s="9" t="n">
        <x:f>M3529*K3529</x:f>
        <x:v>8.1</x:v>
      </x:c>
      <x:c r="O3529" s="9" t="n">
        <x:f>M3529-N3529</x:f>
        <x:v>153.9</x:v>
      </x:c>
      <x:c r="P3529" s="9" t="n">
        <x:f>IF(D3529="Completed",L3529*J3529*(1-K3529),0)</x:f>
        <x:v>0</x:v>
      </x:c>
      <x:c r="Q3529" s="9" t="n">
        <x:f>O3529-P3529</x:f>
        <x:v>153.9</x:v>
      </x:c>
      <x:c r="R3529" s="11" t="n">
        <x:f>IF(D3529="Completed",I3529,0)</x:f>
        <x:v>2</x:v>
      </x:c>
      <x:c r="S3529" s="11" t="n">
        <x:f>IF(D3529="Completed",L3529,0)</x:f>
        <x:v>0</x:v>
      </x:c>
      <x:c r="T3529" s="8" t="n">
        <x:f>DATE(YEAR(C3529),MONTH(C3529),1)</x:f>
        <x:v>45962</x:v>
      </x:c>
    </x:row>
    <x:row r="3530" ht="22" customHeight="1">
      <x:c r="A3530" s="2" t="str">
        <x:v>L003526</x:v>
      </x:c>
      <x:c r="B3530" s="2" t="str">
        <x:v>O01441</x:v>
      </x:c>
      <x:c r="C3530" s="7" t="n">
        <x:v>45984</x:v>
      </x:c>
      <x:c r="D3530" s="2" t="str">
        <x:v>Completed</x:v>
      </x:c>
      <x:c r="E3530" s="2" t="str">
        <x:v>East</x:v>
      </x:c>
      <x:c r="F3530" s="2" t="str">
        <x:v>Online</x:v>
      </x:c>
      <x:c r="G3530" s="2" t="str">
        <x:v>Storage</x:v>
      </x:c>
      <x:c r="H3530" s="2" t="str">
        <x:v>Shelf 011</x:v>
      </x:c>
      <x:c r="I3530" s="11" t="n">
        <x:v>3</x:v>
      </x:c>
      <x:c r="J3530" s="9" t="n">
        <x:v>80</x:v>
      </x:c>
      <x:c r="K3530" s="10" t="n">
        <x:v>0.1</x:v>
      </x:c>
      <x:c r="L3530" s="11" t="n">
        <x:v>0</x:v>
      </x:c>
      <x:c r="M3530" s="9" t="n">
        <x:f>IF(D3530="Completed",I3530*J3530,0)</x:f>
        <x:v>240</x:v>
      </x:c>
      <x:c r="N3530" s="9" t="n">
        <x:f>M3530*K3530</x:f>
        <x:v>24</x:v>
      </x:c>
      <x:c r="O3530" s="9" t="n">
        <x:f>M3530-N3530</x:f>
        <x:v>216</x:v>
      </x:c>
      <x:c r="P3530" s="9" t="n">
        <x:f>IF(D3530="Completed",L3530*J3530*(1-K3530),0)</x:f>
        <x:v>0</x:v>
      </x:c>
      <x:c r="Q3530" s="9" t="n">
        <x:f>O3530-P3530</x:f>
        <x:v>216</x:v>
      </x:c>
      <x:c r="R3530" s="11" t="n">
        <x:f>IF(D3530="Completed",I3530,0)</x:f>
        <x:v>3</x:v>
      </x:c>
      <x:c r="S3530" s="11" t="n">
        <x:f>IF(D3530="Completed",L3530,0)</x:f>
        <x:v>0</x:v>
      </x:c>
      <x:c r="T3530" s="8" t="n">
        <x:f>DATE(YEAR(C3530),MONTH(C3530),1)</x:f>
        <x:v>45962</x:v>
      </x:c>
    </x:row>
    <x:row r="3531" ht="22" customHeight="1">
      <x:c r="A3531" s="2" t="str">
        <x:v>L003527</x:v>
      </x:c>
      <x:c r="B3531" s="2" t="str">
        <x:v>O01441</x:v>
      </x:c>
      <x:c r="C3531" s="7" t="n">
        <x:v>45984</x:v>
      </x:c>
      <x:c r="D3531" s="2" t="str">
        <x:v>Completed</x:v>
      </x:c>
      <x:c r="E3531" s="2" t="str">
        <x:v>East</x:v>
      </x:c>
      <x:c r="F3531" s="2" t="str">
        <x:v>Online</x:v>
      </x:c>
      <x:c r="G3531" s="2" t="str">
        <x:v>Lighting</x:v>
      </x:c>
      <x:c r="H3531" s="2" t="str">
        <x:v>Lamp 021</x:v>
      </x:c>
      <x:c r="I3531" s="11" t="n">
        <x:v>3</x:v>
      </x:c>
      <x:c r="J3531" s="9" t="n">
        <x:v>249</x:v>
      </x:c>
      <x:c r="K3531" s="10" t="n">
        <x:v>0</x:v>
      </x:c>
      <x:c r="L3531" s="11" t="n">
        <x:v>0</x:v>
      </x:c>
      <x:c r="M3531" s="9" t="n">
        <x:f>IF(D3531="Completed",I3531*J3531,0)</x:f>
        <x:v>747</x:v>
      </x:c>
      <x:c r="N3531" s="9" t="n">
        <x:f>M3531*K3531</x:f>
        <x:v>0</x:v>
      </x:c>
      <x:c r="O3531" s="9" t="n">
        <x:f>M3531-N3531</x:f>
        <x:v>747</x:v>
      </x:c>
      <x:c r="P3531" s="9" t="n">
        <x:f>IF(D3531="Completed",L3531*J3531*(1-K3531),0)</x:f>
        <x:v>0</x:v>
      </x:c>
      <x:c r="Q3531" s="9" t="n">
        <x:f>O3531-P3531</x:f>
        <x:v>747</x:v>
      </x:c>
      <x:c r="R3531" s="11" t="n">
        <x:f>IF(D3531="Completed",I3531,0)</x:f>
        <x:v>3</x:v>
      </x:c>
      <x:c r="S3531" s="11" t="n">
        <x:f>IF(D3531="Completed",L3531,0)</x:f>
        <x:v>0</x:v>
      </x:c>
      <x:c r="T3531" s="8" t="n">
        <x:f>DATE(YEAR(C3531),MONTH(C3531),1)</x:f>
        <x:v>45962</x:v>
      </x:c>
    </x:row>
    <x:row r="3532" ht="22" customHeight="1">
      <x:c r="A3532" s="2" t="str">
        <x:v>L003528</x:v>
      </x:c>
      <x:c r="B3532" s="2" t="str">
        <x:v>O01441</x:v>
      </x:c>
      <x:c r="C3532" s="7" t="n">
        <x:v>45984</x:v>
      </x:c>
      <x:c r="D3532" s="2" t="str">
        <x:v>Completed</x:v>
      </x:c>
      <x:c r="E3532" s="2" t="str">
        <x:v>East</x:v>
      </x:c>
      <x:c r="F3532" s="2" t="str">
        <x:v>Online</x:v>
      </x:c>
      <x:c r="G3532" s="2" t="str">
        <x:v>Lighting</x:v>
      </x:c>
      <x:c r="H3532" s="2" t="str">
        <x:v>Lamp 017</x:v>
      </x:c>
      <x:c r="I3532" s="11" t="n">
        <x:v>1</x:v>
      </x:c>
      <x:c r="J3532" s="9" t="n">
        <x:v>300</x:v>
      </x:c>
      <x:c r="K3532" s="10" t="n">
        <x:v>0.1</x:v>
      </x:c>
      <x:c r="L3532" s="11" t="n">
        <x:v>0</x:v>
      </x:c>
      <x:c r="M3532" s="9" t="n">
        <x:f>IF(D3532="Completed",I3532*J3532,0)</x:f>
        <x:v>300</x:v>
      </x:c>
      <x:c r="N3532" s="9" t="n">
        <x:f>M3532*K3532</x:f>
        <x:v>30</x:v>
      </x:c>
      <x:c r="O3532" s="9" t="n">
        <x:f>M3532-N3532</x:f>
        <x:v>270</x:v>
      </x:c>
      <x:c r="P3532" s="9" t="n">
        <x:f>IF(D3532="Completed",L3532*J3532*(1-K3532),0)</x:f>
        <x:v>0</x:v>
      </x:c>
      <x:c r="Q3532" s="9" t="n">
        <x:f>O3532-P3532</x:f>
        <x:v>270</x:v>
      </x:c>
      <x:c r="R3532" s="11" t="n">
        <x:f>IF(D3532="Completed",I3532,0)</x:f>
        <x:v>1</x:v>
      </x:c>
      <x:c r="S3532" s="11" t="n">
        <x:f>IF(D3532="Completed",L3532,0)</x:f>
        <x:v>0</x:v>
      </x:c>
      <x:c r="T3532" s="8" t="n">
        <x:f>DATE(YEAR(C3532),MONTH(C3532),1)</x:f>
        <x:v>45962</x:v>
      </x:c>
    </x:row>
    <x:row r="3533" ht="22" customHeight="1">
      <x:c r="A3533" s="2" t="str">
        <x:v>L003529</x:v>
      </x:c>
      <x:c r="B3533" s="2" t="str">
        <x:v>O01442</x:v>
      </x:c>
      <x:c r="C3533" s="7" t="n">
        <x:v>45910</x:v>
      </x:c>
      <x:c r="D3533" s="2" t="str">
        <x:v>Completed</x:v>
      </x:c>
      <x:c r="E3533" s="2" t="str">
        <x:v>West</x:v>
      </x:c>
      <x:c r="F3533" s="2" t="str">
        <x:v>Online</x:v>
      </x:c>
      <x:c r="G3533" s="2" t="str">
        <x:v>Storage</x:v>
      </x:c>
      <x:c r="H3533" s="2" t="str">
        <x:v>Shelf 003</x:v>
      </x:c>
      <x:c r="I3533" s="11" t="n">
        <x:v>5</x:v>
      </x:c>
      <x:c r="J3533" s="9" t="n">
        <x:v>199</x:v>
      </x:c>
      <x:c r="K3533" s="10" t="n">
        <x:v>0.2</x:v>
      </x:c>
      <x:c r="L3533" s="11" t="n">
        <x:v>0</x:v>
      </x:c>
      <x:c r="M3533" s="9" t="n">
        <x:f>IF(D3533="Completed",I3533*J3533,0)</x:f>
        <x:v>995</x:v>
      </x:c>
      <x:c r="N3533" s="9" t="n">
        <x:f>M3533*K3533</x:f>
        <x:v>199</x:v>
      </x:c>
      <x:c r="O3533" s="9" t="n">
        <x:f>M3533-N3533</x:f>
        <x:v>796</x:v>
      </x:c>
      <x:c r="P3533" s="9" t="n">
        <x:f>IF(D3533="Completed",L3533*J3533*(1-K3533),0)</x:f>
        <x:v>0</x:v>
      </x:c>
      <x:c r="Q3533" s="9" t="n">
        <x:f>O3533-P3533</x:f>
        <x:v>796</x:v>
      </x:c>
      <x:c r="R3533" s="11" t="n">
        <x:f>IF(D3533="Completed",I3533,0)</x:f>
        <x:v>5</x:v>
      </x:c>
      <x:c r="S3533" s="11" t="n">
        <x:f>IF(D3533="Completed",L3533,0)</x:f>
        <x:v>0</x:v>
      </x:c>
      <x:c r="T3533" s="8" t="n">
        <x:f>DATE(YEAR(C3533),MONTH(C3533),1)</x:f>
        <x:v>45901</x:v>
      </x:c>
    </x:row>
    <x:row r="3534" ht="22" customHeight="1">
      <x:c r="A3534" s="2" t="str">
        <x:v>L003530</x:v>
      </x:c>
      <x:c r="B3534" s="2" t="str">
        <x:v>O01442</x:v>
      </x:c>
      <x:c r="C3534" s="7" t="n">
        <x:v>45910</x:v>
      </x:c>
      <x:c r="D3534" s="2" t="str">
        <x:v>Completed</x:v>
      </x:c>
      <x:c r="E3534" s="2" t="str">
        <x:v>West</x:v>
      </x:c>
      <x:c r="F3534" s="2" t="str">
        <x:v>Online</x:v>
      </x:c>
      <x:c r="G3534" s="2" t="str">
        <x:v>Lighting</x:v>
      </x:c>
      <x:c r="H3534" s="2" t="str">
        <x:v>Lamp 021</x:v>
      </x:c>
      <x:c r="I3534" s="11" t="n">
        <x:v>2</x:v>
      </x:c>
      <x:c r="J3534" s="9" t="n">
        <x:v>249</x:v>
      </x:c>
      <x:c r="K3534" s="10" t="n">
        <x:v>0.2</x:v>
      </x:c>
      <x:c r="L3534" s="11" t="n">
        <x:v>0</x:v>
      </x:c>
      <x:c r="M3534" s="9" t="n">
        <x:f>IF(D3534="Completed",I3534*J3534,0)</x:f>
        <x:v>498</x:v>
      </x:c>
      <x:c r="N3534" s="9" t="n">
        <x:f>M3534*K3534</x:f>
        <x:v>99.60000000000001</x:v>
      </x:c>
      <x:c r="O3534" s="9" t="n">
        <x:f>M3534-N3534</x:f>
        <x:v>398.4</x:v>
      </x:c>
      <x:c r="P3534" s="9" t="n">
        <x:f>IF(D3534="Completed",L3534*J3534*(1-K3534),0)</x:f>
        <x:v>0</x:v>
      </x:c>
      <x:c r="Q3534" s="9" t="n">
        <x:f>O3534-P3534</x:f>
        <x:v>398.4</x:v>
      </x:c>
      <x:c r="R3534" s="11" t="n">
        <x:f>IF(D3534="Completed",I3534,0)</x:f>
        <x:v>2</x:v>
      </x:c>
      <x:c r="S3534" s="11" t="n">
        <x:f>IF(D3534="Completed",L3534,0)</x:f>
        <x:v>0</x:v>
      </x:c>
      <x:c r="T3534" s="8" t="n">
        <x:f>DATE(YEAR(C3534),MONTH(C3534),1)</x:f>
        <x:v>45901</x:v>
      </x:c>
    </x:row>
    <x:row r="3535" ht="22" customHeight="1">
      <x:c r="A3535" s="2" t="str">
        <x:v>L003531</x:v>
      </x:c>
      <x:c r="B3535" s="2" t="str">
        <x:v>O01442</x:v>
      </x:c>
      <x:c r="C3535" s="7" t="n">
        <x:v>45910</x:v>
      </x:c>
      <x:c r="D3535" s="2" t="str">
        <x:v>Completed</x:v>
      </x:c>
      <x:c r="E3535" s="2" t="str">
        <x:v>West</x:v>
      </x:c>
      <x:c r="F3535" s="2" t="str">
        <x:v>Online</x:v>
      </x:c>
      <x:c r="G3535" s="2" t="str">
        <x:v>Furniture</x:v>
      </x:c>
      <x:c r="H3535" s="2" t="str">
        <x:v>Chair 010</x:v>
      </x:c>
      <x:c r="I3535" s="11" t="n">
        <x:v>3</x:v>
      </x:c>
      <x:c r="J3535" s="9" t="n">
        <x:v>211</x:v>
      </x:c>
      <x:c r="K3535" s="10" t="n">
        <x:v>0.05</x:v>
      </x:c>
      <x:c r="L3535" s="11" t="n">
        <x:v>0</x:v>
      </x:c>
      <x:c r="M3535" s="9" t="n">
        <x:f>IF(D3535="Completed",I3535*J3535,0)</x:f>
        <x:v>633</x:v>
      </x:c>
      <x:c r="N3535" s="9" t="n">
        <x:f>M3535*K3535</x:f>
        <x:v>31.650000000000002</x:v>
      </x:c>
      <x:c r="O3535" s="9" t="n">
        <x:f>M3535-N3535</x:f>
        <x:v>601.35</x:v>
      </x:c>
      <x:c r="P3535" s="9" t="n">
        <x:f>IF(D3535="Completed",L3535*J3535*(1-K3535),0)</x:f>
        <x:v>0</x:v>
      </x:c>
      <x:c r="Q3535" s="9" t="n">
        <x:f>O3535-P3535</x:f>
        <x:v>601.35</x:v>
      </x:c>
      <x:c r="R3535" s="11" t="n">
        <x:f>IF(D3535="Completed",I3535,0)</x:f>
        <x:v>3</x:v>
      </x:c>
      <x:c r="S3535" s="11" t="n">
        <x:f>IF(D3535="Completed",L3535,0)</x:f>
        <x:v>0</x:v>
      </x:c>
      <x:c r="T3535" s="8" t="n">
        <x:f>DATE(YEAR(C3535),MONTH(C3535),1)</x:f>
        <x:v>45901</x:v>
      </x:c>
    </x:row>
    <x:row r="3536" ht="22" customHeight="1">
      <x:c r="A3536" s="2" t="str">
        <x:v>L003532</x:v>
      </x:c>
      <x:c r="B3536" s="2" t="str">
        <x:v>O01442</x:v>
      </x:c>
      <x:c r="C3536" s="7" t="n">
        <x:v>45910</x:v>
      </x:c>
      <x:c r="D3536" s="2" t="str">
        <x:v>Completed</x:v>
      </x:c>
      <x:c r="E3536" s="2" t="str">
        <x:v>West</x:v>
      </x:c>
      <x:c r="F3536" s="2" t="str">
        <x:v>Online</x:v>
      </x:c>
      <x:c r="G3536" s="2" t="str">
        <x:v>Lighting</x:v>
      </x:c>
      <x:c r="H3536" s="2" t="str">
        <x:v>Lamp 021</x:v>
      </x:c>
      <x:c r="I3536" s="11" t="n">
        <x:v>4</x:v>
      </x:c>
      <x:c r="J3536" s="9" t="n">
        <x:v>249</x:v>
      </x:c>
      <x:c r="K3536" s="10" t="n">
        <x:v>0.2</x:v>
      </x:c>
      <x:c r="L3536" s="11" t="n">
        <x:v>0</x:v>
      </x:c>
      <x:c r="M3536" s="9" t="n">
        <x:f>IF(D3536="Completed",I3536*J3536,0)</x:f>
        <x:v>996</x:v>
      </x:c>
      <x:c r="N3536" s="9" t="n">
        <x:f>M3536*K3536</x:f>
        <x:v>199.20000000000002</x:v>
      </x:c>
      <x:c r="O3536" s="9" t="n">
        <x:f>M3536-N3536</x:f>
        <x:v>796.8</x:v>
      </x:c>
      <x:c r="P3536" s="9" t="n">
        <x:f>IF(D3536="Completed",L3536*J3536*(1-K3536),0)</x:f>
        <x:v>0</x:v>
      </x:c>
      <x:c r="Q3536" s="9" t="n">
        <x:f>O3536-P3536</x:f>
        <x:v>796.8</x:v>
      </x:c>
      <x:c r="R3536" s="11" t="n">
        <x:f>IF(D3536="Completed",I3536,0)</x:f>
        <x:v>4</x:v>
      </x:c>
      <x:c r="S3536" s="11" t="n">
        <x:f>IF(D3536="Completed",L3536,0)</x:f>
        <x:v>0</x:v>
      </x:c>
      <x:c r="T3536" s="8" t="n">
        <x:f>DATE(YEAR(C3536),MONTH(C3536),1)</x:f>
        <x:v>45901</x:v>
      </x:c>
    </x:row>
    <x:row r="3537" ht="22" customHeight="1">
      <x:c r="A3537" s="2" t="str">
        <x:v>L003533</x:v>
      </x:c>
      <x:c r="B3537" s="2" t="str">
        <x:v>O01443</x:v>
      </x:c>
      <x:c r="C3537" s="7" t="n">
        <x:v>45808</x:v>
      </x:c>
      <x:c r="D3537" s="2" t="str">
        <x:v>Completed</x:v>
      </x:c>
      <x:c r="E3537" s="2" t="str">
        <x:v>West</x:v>
      </x:c>
      <x:c r="F3537" s="2" t="str">
        <x:v>Online</x:v>
      </x:c>
      <x:c r="G3537" s="2" t="str">
        <x:v>Furniture</x:v>
      </x:c>
      <x:c r="H3537" s="2" t="str">
        <x:v>Chair 010</x:v>
      </x:c>
      <x:c r="I3537" s="11" t="n">
        <x:v>3</x:v>
      </x:c>
      <x:c r="J3537" s="9" t="n">
        <x:v>211</x:v>
      </x:c>
      <x:c r="K3537" s="10" t="n">
        <x:v>0.1</x:v>
      </x:c>
      <x:c r="L3537" s="11" t="n">
        <x:v>0</x:v>
      </x:c>
      <x:c r="M3537" s="9" t="n">
        <x:f>IF(D3537="Completed",I3537*J3537,0)</x:f>
        <x:v>633</x:v>
      </x:c>
      <x:c r="N3537" s="9" t="n">
        <x:f>M3537*K3537</x:f>
        <x:v>63.300000000000004</x:v>
      </x:c>
      <x:c r="O3537" s="9" t="n">
        <x:f>M3537-N3537</x:f>
        <x:v>569.7</x:v>
      </x:c>
      <x:c r="P3537" s="9" t="n">
        <x:f>IF(D3537="Completed",L3537*J3537*(1-K3537),0)</x:f>
        <x:v>0</x:v>
      </x:c>
      <x:c r="Q3537" s="9" t="n">
        <x:f>O3537-P3537</x:f>
        <x:v>569.7</x:v>
      </x:c>
      <x:c r="R3537" s="11" t="n">
        <x:f>IF(D3537="Completed",I3537,0)</x:f>
        <x:v>3</x:v>
      </x:c>
      <x:c r="S3537" s="11" t="n">
        <x:f>IF(D3537="Completed",L3537,0)</x:f>
        <x:v>0</x:v>
      </x:c>
      <x:c r="T3537" s="8" t="n">
        <x:f>DATE(YEAR(C3537),MONTH(C3537),1)</x:f>
        <x:v>45778</x:v>
      </x:c>
    </x:row>
    <x:row r="3538" ht="22" customHeight="1">
      <x:c r="A3538" s="2" t="str">
        <x:v>L003534</x:v>
      </x:c>
      <x:c r="B3538" s="2" t="str">
        <x:v>O01443</x:v>
      </x:c>
      <x:c r="C3538" s="7" t="n">
        <x:v>45808</x:v>
      </x:c>
      <x:c r="D3538" s="2" t="str">
        <x:v>Completed</x:v>
      </x:c>
      <x:c r="E3538" s="2" t="str">
        <x:v>West</x:v>
      </x:c>
      <x:c r="F3538" s="2" t="str">
        <x:v>Online</x:v>
      </x:c>
      <x:c r="G3538" s="2" t="str">
        <x:v>Furniture</x:v>
      </x:c>
      <x:c r="H3538" s="2" t="str">
        <x:v>Chair 022</x:v>
      </x:c>
      <x:c r="I3538" s="11" t="n">
        <x:v>1</x:v>
      </x:c>
      <x:c r="J3538" s="9" t="n">
        <x:v>134</x:v>
      </x:c>
      <x:c r="K3538" s="10" t="n">
        <x:v>0</x:v>
      </x:c>
      <x:c r="L3538" s="11" t="n">
        <x:v>0</x:v>
      </x:c>
      <x:c r="M3538" s="9" t="n">
        <x:f>IF(D3538="Completed",I3538*J3538,0)</x:f>
        <x:v>134</x:v>
      </x:c>
      <x:c r="N3538" s="9" t="n">
        <x:f>M3538*K3538</x:f>
        <x:v>0</x:v>
      </x:c>
      <x:c r="O3538" s="9" t="n">
        <x:f>M3538-N3538</x:f>
        <x:v>134</x:v>
      </x:c>
      <x:c r="P3538" s="9" t="n">
        <x:f>IF(D3538="Completed",L3538*J3538*(1-K3538),0)</x:f>
        <x:v>0</x:v>
      </x:c>
      <x:c r="Q3538" s="9" t="n">
        <x:f>O3538-P3538</x:f>
        <x:v>134</x:v>
      </x:c>
      <x:c r="R3538" s="11" t="n">
        <x:f>IF(D3538="Completed",I3538,0)</x:f>
        <x:v>1</x:v>
      </x:c>
      <x:c r="S3538" s="11" t="n">
        <x:f>IF(D3538="Completed",L3538,0)</x:f>
        <x:v>0</x:v>
      </x:c>
      <x:c r="T3538" s="8" t="n">
        <x:f>DATE(YEAR(C3538),MONTH(C3538),1)</x:f>
        <x:v>45778</x:v>
      </x:c>
    </x:row>
    <x:row r="3539" ht="22" customHeight="1">
      <x:c r="A3539" s="2" t="str">
        <x:v>L003535</x:v>
      </x:c>
      <x:c r="B3539" s="2" t="str">
        <x:v>O01444</x:v>
      </x:c>
      <x:c r="C3539" s="7" t="n">
        <x:v>45819</x:v>
      </x:c>
      <x:c r="D3539" s="2" t="str">
        <x:v>Completed</x:v>
      </x:c>
      <x:c r="E3539" s="2" t="str">
        <x:v>West</x:v>
      </x:c>
      <x:c r="F3539" s="2" t="str">
        <x:v>Online</x:v>
      </x:c>
      <x:c r="G3539" s="2" t="str">
        <x:v>Lighting</x:v>
      </x:c>
      <x:c r="H3539" s="2" t="str">
        <x:v>Lamp 013</x:v>
      </x:c>
      <x:c r="I3539" s="11" t="n">
        <x:v>5</x:v>
      </x:c>
      <x:c r="J3539" s="9" t="n">
        <x:v>271</x:v>
      </x:c>
      <x:c r="K3539" s="10" t="n">
        <x:v>0.05</x:v>
      </x:c>
      <x:c r="L3539" s="11" t="n">
        <x:v>0</x:v>
      </x:c>
      <x:c r="M3539" s="9" t="n">
        <x:f>IF(D3539="Completed",I3539*J3539,0)</x:f>
        <x:v>1355</x:v>
      </x:c>
      <x:c r="N3539" s="9" t="n">
        <x:f>M3539*K3539</x:f>
        <x:v>67.75</x:v>
      </x:c>
      <x:c r="O3539" s="9" t="n">
        <x:f>M3539-N3539</x:f>
        <x:v>1287.25</x:v>
      </x:c>
      <x:c r="P3539" s="9" t="n">
        <x:f>IF(D3539="Completed",L3539*J3539*(1-K3539),0)</x:f>
        <x:v>0</x:v>
      </x:c>
      <x:c r="Q3539" s="9" t="n">
        <x:f>O3539-P3539</x:f>
        <x:v>1287.25</x:v>
      </x:c>
      <x:c r="R3539" s="11" t="n">
        <x:f>IF(D3539="Completed",I3539,0)</x:f>
        <x:v>5</x:v>
      </x:c>
      <x:c r="S3539" s="11" t="n">
        <x:f>IF(D3539="Completed",L3539,0)</x:f>
        <x:v>0</x:v>
      </x:c>
      <x:c r="T3539" s="8" t="n">
        <x:f>DATE(YEAR(C3539),MONTH(C3539),1)</x:f>
        <x:v>45809</x:v>
      </x:c>
    </x:row>
    <x:row r="3540" ht="22" customHeight="1">
      <x:c r="A3540" s="2" t="str">
        <x:v>L003536</x:v>
      </x:c>
      <x:c r="B3540" s="2" t="str">
        <x:v>O01444</x:v>
      </x:c>
      <x:c r="C3540" s="7" t="n">
        <x:v>45819</x:v>
      </x:c>
      <x:c r="D3540" s="2" t="str">
        <x:v>Completed</x:v>
      </x:c>
      <x:c r="E3540" s="2" t="str">
        <x:v>West</x:v>
      </x:c>
      <x:c r="F3540" s="2" t="str">
        <x:v>Online</x:v>
      </x:c>
      <x:c r="G3540" s="2" t="str">
        <x:v>Furniture</x:v>
      </x:c>
      <x:c r="H3540" s="2" t="str">
        <x:v>Desk 012</x:v>
      </x:c>
      <x:c r="I3540" s="11" t="n">
        <x:v>1</x:v>
      </x:c>
      <x:c r="J3540" s="9" t="n">
        <x:v>134</x:v>
      </x:c>
      <x:c r="K3540" s="10" t="n">
        <x:v>0.1</x:v>
      </x:c>
      <x:c r="L3540" s="11" t="n">
        <x:v>0</x:v>
      </x:c>
      <x:c r="M3540" s="9" t="n">
        <x:f>IF(D3540="Completed",I3540*J3540,0)</x:f>
        <x:v>134</x:v>
      </x:c>
      <x:c r="N3540" s="9" t="n">
        <x:f>M3540*K3540</x:f>
        <x:v>13.4</x:v>
      </x:c>
      <x:c r="O3540" s="9" t="n">
        <x:f>M3540-N3540</x:f>
        <x:v>120.6</x:v>
      </x:c>
      <x:c r="P3540" s="9" t="n">
        <x:f>IF(D3540="Completed",L3540*J3540*(1-K3540),0)</x:f>
        <x:v>0</x:v>
      </x:c>
      <x:c r="Q3540" s="9" t="n">
        <x:f>O3540-P3540</x:f>
        <x:v>120.6</x:v>
      </x:c>
      <x:c r="R3540" s="11" t="n">
        <x:f>IF(D3540="Completed",I3540,0)</x:f>
        <x:v>1</x:v>
      </x:c>
      <x:c r="S3540" s="11" t="n">
        <x:f>IF(D3540="Completed",L3540,0)</x:f>
        <x:v>0</x:v>
      </x:c>
      <x:c r="T3540" s="8" t="n">
        <x:f>DATE(YEAR(C3540),MONTH(C3540),1)</x:f>
        <x:v>45809</x:v>
      </x:c>
    </x:row>
    <x:row r="3541" ht="22" customHeight="1">
      <x:c r="A3541" s="2" t="str">
        <x:v>L003537</x:v>
      </x:c>
      <x:c r="B3541" s="2" t="str">
        <x:v>O01444</x:v>
      </x:c>
      <x:c r="C3541" s="7" t="n">
        <x:v>45819</x:v>
      </x:c>
      <x:c r="D3541" s="2" t="str">
        <x:v>Completed</x:v>
      </x:c>
      <x:c r="E3541" s="2" t="str">
        <x:v>West</x:v>
      </x:c>
      <x:c r="F3541" s="2" t="str">
        <x:v>Online</x:v>
      </x:c>
      <x:c r="G3541" s="2" t="str">
        <x:v>Furniture</x:v>
      </x:c>
      <x:c r="H3541" s="2" t="str">
        <x:v>Desk 020</x:v>
      </x:c>
      <x:c r="I3541" s="11" t="n">
        <x:v>2</x:v>
      </x:c>
      <x:c r="J3541" s="9" t="n">
        <x:v>189</x:v>
      </x:c>
      <x:c r="K3541" s="10" t="n">
        <x:v>0.2</x:v>
      </x:c>
      <x:c r="L3541" s="11" t="n">
        <x:v>0</x:v>
      </x:c>
      <x:c r="M3541" s="9" t="n">
        <x:f>IF(D3541="Completed",I3541*J3541,0)</x:f>
        <x:v>378</x:v>
      </x:c>
      <x:c r="N3541" s="9" t="n">
        <x:f>M3541*K3541</x:f>
        <x:v>75.60000000000001</x:v>
      </x:c>
      <x:c r="O3541" s="9" t="n">
        <x:f>M3541-N3541</x:f>
        <x:v>302.4</x:v>
      </x:c>
      <x:c r="P3541" s="9" t="n">
        <x:f>IF(D3541="Completed",L3541*J3541*(1-K3541),0)</x:f>
        <x:v>0</x:v>
      </x:c>
      <x:c r="Q3541" s="9" t="n">
        <x:f>O3541-P3541</x:f>
        <x:v>302.4</x:v>
      </x:c>
      <x:c r="R3541" s="11" t="n">
        <x:f>IF(D3541="Completed",I3541,0)</x:f>
        <x:v>2</x:v>
      </x:c>
      <x:c r="S3541" s="11" t="n">
        <x:f>IF(D3541="Completed",L3541,0)</x:f>
        <x:v>0</x:v>
      </x:c>
      <x:c r="T3541" s="8" t="n">
        <x:f>DATE(YEAR(C3541),MONTH(C3541),1)</x:f>
        <x:v>45809</x:v>
      </x:c>
    </x:row>
    <x:row r="3542" ht="22" customHeight="1">
      <x:c r="A3542" s="2" t="str">
        <x:v>L003538</x:v>
      </x:c>
      <x:c r="B3542" s="2" t="str">
        <x:v>O01445</x:v>
      </x:c>
      <x:c r="C3542" s="7" t="n">
        <x:v>45939</x:v>
      </x:c>
      <x:c r="D3542" s="2" t="str">
        <x:v>Completed</x:v>
      </x:c>
      <x:c r="E3542" s="2" t="str">
        <x:v>North</x:v>
      </x:c>
      <x:c r="F3542" s="2" t="str">
        <x:v>Store</x:v>
      </x:c>
      <x:c r="G3542" s="2" t="str">
        <x:v>Furniture</x:v>
      </x:c>
      <x:c r="H3542" s="2" t="str">
        <x:v>Desk 008</x:v>
      </x:c>
      <x:c r="I3542" s="11" t="n">
        <x:v>1</x:v>
      </x:c>
      <x:c r="J3542" s="9" t="n">
        <x:v>188</x:v>
      </x:c>
      <x:c r="K3542" s="10" t="n">
        <x:v>0.05</x:v>
      </x:c>
      <x:c r="L3542" s="11" t="n">
        <x:v>0</x:v>
      </x:c>
      <x:c r="M3542" s="9" t="n">
        <x:f>IF(D3542="Completed",I3542*J3542,0)</x:f>
        <x:v>188</x:v>
      </x:c>
      <x:c r="N3542" s="9" t="n">
        <x:f>M3542*K3542</x:f>
        <x:v>9.4</x:v>
      </x:c>
      <x:c r="O3542" s="9" t="n">
        <x:f>M3542-N3542</x:f>
        <x:v>178.6</x:v>
      </x:c>
      <x:c r="P3542" s="9" t="n">
        <x:f>IF(D3542="Completed",L3542*J3542*(1-K3542),0)</x:f>
        <x:v>0</x:v>
      </x:c>
      <x:c r="Q3542" s="9" t="n">
        <x:f>O3542-P3542</x:f>
        <x:v>178.6</x:v>
      </x:c>
      <x:c r="R3542" s="11" t="n">
        <x:f>IF(D3542="Completed",I3542,0)</x:f>
        <x:v>1</x:v>
      </x:c>
      <x:c r="S3542" s="11" t="n">
        <x:f>IF(D3542="Completed",L3542,0)</x:f>
        <x:v>0</x:v>
      </x:c>
      <x:c r="T3542" s="8" t="n">
        <x:f>DATE(YEAR(C3542),MONTH(C3542),1)</x:f>
        <x:v>45931</x:v>
      </x:c>
    </x:row>
    <x:row r="3543" ht="22" customHeight="1">
      <x:c r="A3543" s="2" t="str">
        <x:v>L003539</x:v>
      </x:c>
      <x:c r="B3543" s="2" t="str">
        <x:v>O01445</x:v>
      </x:c>
      <x:c r="C3543" s="7" t="n">
        <x:v>45939</x:v>
      </x:c>
      <x:c r="D3543" s="2" t="str">
        <x:v>Completed</x:v>
      </x:c>
      <x:c r="E3543" s="2" t="str">
        <x:v>North</x:v>
      </x:c>
      <x:c r="F3543" s="2" t="str">
        <x:v>Store</x:v>
      </x:c>
      <x:c r="G3543" s="2" t="str">
        <x:v>Furniture</x:v>
      </x:c>
      <x:c r="H3543" s="2" t="str">
        <x:v>Desk 016</x:v>
      </x:c>
      <x:c r="I3543" s="11" t="n">
        <x:v>1</x:v>
      </x:c>
      <x:c r="J3543" s="9" t="n">
        <x:v>231</x:v>
      </x:c>
      <x:c r="K3543" s="10" t="n">
        <x:v>0.1</x:v>
      </x:c>
      <x:c r="L3543" s="11" t="n">
        <x:v>1</x:v>
      </x:c>
      <x:c r="M3543" s="9" t="n">
        <x:f>IF(D3543="Completed",I3543*J3543,0)</x:f>
        <x:v>231</x:v>
      </x:c>
      <x:c r="N3543" s="9" t="n">
        <x:f>M3543*K3543</x:f>
        <x:v>23.1</x:v>
      </x:c>
      <x:c r="O3543" s="9" t="n">
        <x:f>M3543-N3543</x:f>
        <x:v>207.9</x:v>
      </x:c>
      <x:c r="P3543" s="9" t="n">
        <x:f>IF(D3543="Completed",L3543*J3543*(1-K3543),0)</x:f>
        <x:v>207.9</x:v>
      </x:c>
      <x:c r="Q3543" s="9" t="n">
        <x:f>O3543-P3543</x:f>
        <x:v>0</x:v>
      </x:c>
      <x:c r="R3543" s="11" t="n">
        <x:f>IF(D3543="Completed",I3543,0)</x:f>
        <x:v>1</x:v>
      </x:c>
      <x:c r="S3543" s="11" t="n">
        <x:f>IF(D3543="Completed",L3543,0)</x:f>
        <x:v>1</x:v>
      </x:c>
      <x:c r="T3543" s="8" t="n">
        <x:f>DATE(YEAR(C3543),MONTH(C3543),1)</x:f>
        <x:v>45931</x:v>
      </x:c>
    </x:row>
    <x:row r="3544" ht="22" customHeight="1">
      <x:c r="A3544" s="2" t="str">
        <x:v>L003540</x:v>
      </x:c>
      <x:c r="B3544" s="2" t="str">
        <x:v>O01445</x:v>
      </x:c>
      <x:c r="C3544" s="7" t="n">
        <x:v>45939</x:v>
      </x:c>
      <x:c r="D3544" s="2" t="str">
        <x:v>Completed</x:v>
      </x:c>
      <x:c r="E3544" s="2" t="str">
        <x:v>North</x:v>
      </x:c>
      <x:c r="F3544" s="2" t="str">
        <x:v>Store</x:v>
      </x:c>
      <x:c r="G3544" s="2" t="str">
        <x:v>Lighting</x:v>
      </x:c>
      <x:c r="H3544" s="2" t="str">
        <x:v>Lamp 017</x:v>
      </x:c>
      <x:c r="I3544" s="11" t="n">
        <x:v>5</x:v>
      </x:c>
      <x:c r="J3544" s="9" t="n">
        <x:v>300</x:v>
      </x:c>
      <x:c r="K3544" s="10" t="n">
        <x:v>0.05</x:v>
      </x:c>
      <x:c r="L3544" s="11" t="n">
        <x:v>0</x:v>
      </x:c>
      <x:c r="M3544" s="9" t="n">
        <x:f>IF(D3544="Completed",I3544*J3544,0)</x:f>
        <x:v>1500</x:v>
      </x:c>
      <x:c r="N3544" s="9" t="n">
        <x:f>M3544*K3544</x:f>
        <x:v>75</x:v>
      </x:c>
      <x:c r="O3544" s="9" t="n">
        <x:f>M3544-N3544</x:f>
        <x:v>1425</x:v>
      </x:c>
      <x:c r="P3544" s="9" t="n">
        <x:f>IF(D3544="Completed",L3544*J3544*(1-K3544),0)</x:f>
        <x:v>0</x:v>
      </x:c>
      <x:c r="Q3544" s="9" t="n">
        <x:f>O3544-P3544</x:f>
        <x:v>1425</x:v>
      </x:c>
      <x:c r="R3544" s="11" t="n">
        <x:f>IF(D3544="Completed",I3544,0)</x:f>
        <x:v>5</x:v>
      </x:c>
      <x:c r="S3544" s="11" t="n">
        <x:f>IF(D3544="Completed",L3544,0)</x:f>
        <x:v>0</x:v>
      </x:c>
      <x:c r="T3544" s="8" t="n">
        <x:f>DATE(YEAR(C3544),MONTH(C3544),1)</x:f>
        <x:v>45931</x:v>
      </x:c>
    </x:row>
    <x:row r="3545" ht="22" customHeight="1">
      <x:c r="A3545" s="2" t="str">
        <x:v>L003541</x:v>
      </x:c>
      <x:c r="B3545" s="2" t="str">
        <x:v>O01446</x:v>
      </x:c>
      <x:c r="C3545" s="7" t="n">
        <x:v>45960</x:v>
      </x:c>
      <x:c r="D3545" s="2" t="str">
        <x:v>Completed</x:v>
      </x:c>
      <x:c r="E3545" s="2" t="str">
        <x:v>North</x:v>
      </x:c>
      <x:c r="F3545" s="2" t="str">
        <x:v>Store</x:v>
      </x:c>
      <x:c r="G3545" s="2" t="str">
        <x:v>Lighting</x:v>
      </x:c>
      <x:c r="H3545" s="2" t="str">
        <x:v>Lamp 001</x:v>
      </x:c>
      <x:c r="I3545" s="11" t="n">
        <x:v>2</x:v>
      </x:c>
      <x:c r="J3545" s="9" t="n">
        <x:v>122</x:v>
      </x:c>
      <x:c r="K3545" s="10" t="n">
        <x:v>0.1</x:v>
      </x:c>
      <x:c r="L3545" s="11" t="n">
        <x:v>0</x:v>
      </x:c>
      <x:c r="M3545" s="9" t="n">
        <x:f>IF(D3545="Completed",I3545*J3545,0)</x:f>
        <x:v>244</x:v>
      </x:c>
      <x:c r="N3545" s="9" t="n">
        <x:f>M3545*K3545</x:f>
        <x:v>24.400000000000002</x:v>
      </x:c>
      <x:c r="O3545" s="9" t="n">
        <x:f>M3545-N3545</x:f>
        <x:v>219.6</x:v>
      </x:c>
      <x:c r="P3545" s="9" t="n">
        <x:f>IF(D3545="Completed",L3545*J3545*(1-K3545),0)</x:f>
        <x:v>0</x:v>
      </x:c>
      <x:c r="Q3545" s="9" t="n">
        <x:f>O3545-P3545</x:f>
        <x:v>219.6</x:v>
      </x:c>
      <x:c r="R3545" s="11" t="n">
        <x:f>IF(D3545="Completed",I3545,0)</x:f>
        <x:v>2</x:v>
      </x:c>
      <x:c r="S3545" s="11" t="n">
        <x:f>IF(D3545="Completed",L3545,0)</x:f>
        <x:v>0</x:v>
      </x:c>
      <x:c r="T3545" s="8" t="n">
        <x:f>DATE(YEAR(C3545),MONTH(C3545),1)</x:f>
        <x:v>45931</x:v>
      </x:c>
    </x:row>
    <x:row r="3546" ht="22" customHeight="1">
      <x:c r="A3546" s="2" t="str">
        <x:v>L003542</x:v>
      </x:c>
      <x:c r="B3546" s="2" t="str">
        <x:v>O01447</x:v>
      </x:c>
      <x:c r="C3546" s="7" t="n">
        <x:v>46020</x:v>
      </x:c>
      <x:c r="D3546" s="2" t="str">
        <x:v>Completed</x:v>
      </x:c>
      <x:c r="E3546" s="2" t="str">
        <x:v>North</x:v>
      </x:c>
      <x:c r="F3546" s="2" t="str">
        <x:v>Online</x:v>
      </x:c>
      <x:c r="G3546" s="2" t="str">
        <x:v>Furniture</x:v>
      </x:c>
      <x:c r="H3546" s="2" t="str">
        <x:v>Desk 004</x:v>
      </x:c>
      <x:c r="I3546" s="11" t="n">
        <x:v>4</x:v>
      </x:c>
      <x:c r="J3546" s="9" t="n">
        <x:v>123</x:v>
      </x:c>
      <x:c r="K3546" s="10" t="n">
        <x:v>0.05</x:v>
      </x:c>
      <x:c r="L3546" s="11" t="n">
        <x:v>2</x:v>
      </x:c>
      <x:c r="M3546" s="9" t="n">
        <x:f>IF(D3546="Completed",I3546*J3546,0)</x:f>
        <x:v>492</x:v>
      </x:c>
      <x:c r="N3546" s="9" t="n">
        <x:f>M3546*K3546</x:f>
        <x:v>24.6</x:v>
      </x:c>
      <x:c r="O3546" s="9" t="n">
        <x:f>M3546-N3546</x:f>
        <x:v>467.4</x:v>
      </x:c>
      <x:c r="P3546" s="9" t="n">
        <x:f>IF(D3546="Completed",L3546*J3546*(1-K3546),0)</x:f>
        <x:v>233.7</x:v>
      </x:c>
      <x:c r="Q3546" s="9" t="n">
        <x:f>O3546-P3546</x:f>
        <x:v>233.7</x:v>
      </x:c>
      <x:c r="R3546" s="11" t="n">
        <x:f>IF(D3546="Completed",I3546,0)</x:f>
        <x:v>4</x:v>
      </x:c>
      <x:c r="S3546" s="11" t="n">
        <x:f>IF(D3546="Completed",L3546,0)</x:f>
        <x:v>2</x:v>
      </x:c>
      <x:c r="T3546" s="8" t="n">
        <x:f>DATE(YEAR(C3546),MONTH(C3546),1)</x:f>
        <x:v>45992</x:v>
      </x:c>
    </x:row>
    <x:row r="3547" ht="22" customHeight="1">
      <x:c r="A3547" s="2" t="str">
        <x:v>L003543</x:v>
      </x:c>
      <x:c r="B3547" s="2" t="str">
        <x:v>O01448</x:v>
      </x:c>
      <x:c r="C3547" s="7" t="n">
        <x:v>45890</x:v>
      </x:c>
      <x:c r="D3547" s="2" t="str">
        <x:v>Completed</x:v>
      </x:c>
      <x:c r="E3547" s="2" t="str">
        <x:v>North</x:v>
      </x:c>
      <x:c r="F3547" s="2" t="str">
        <x:v>Online</x:v>
      </x:c>
      <x:c r="G3547" s="2" t="str">
        <x:v>Storage</x:v>
      </x:c>
      <x:c r="H3547" s="2" t="str">
        <x:v>Shelf 023</x:v>
      </x:c>
      <x:c r="I3547" s="11" t="n">
        <x:v>2</x:v>
      </x:c>
      <x:c r="J3547" s="9" t="n">
        <x:v>68</x:v>
      </x:c>
      <x:c r="K3547" s="10" t="n">
        <x:v>0.2</x:v>
      </x:c>
      <x:c r="L3547" s="11" t="n">
        <x:v>0</x:v>
      </x:c>
      <x:c r="M3547" s="9" t="n">
        <x:f>IF(D3547="Completed",I3547*J3547,0)</x:f>
        <x:v>136</x:v>
      </x:c>
      <x:c r="N3547" s="9" t="n">
        <x:f>M3547*K3547</x:f>
        <x:v>27.200000000000003</x:v>
      </x:c>
      <x:c r="O3547" s="9" t="n">
        <x:f>M3547-N3547</x:f>
        <x:v>108.8</x:v>
      </x:c>
      <x:c r="P3547" s="9" t="n">
        <x:f>IF(D3547="Completed",L3547*J3547*(1-K3547),0)</x:f>
        <x:v>0</x:v>
      </x:c>
      <x:c r="Q3547" s="9" t="n">
        <x:f>O3547-P3547</x:f>
        <x:v>108.8</x:v>
      </x:c>
      <x:c r="R3547" s="11" t="n">
        <x:f>IF(D3547="Completed",I3547,0)</x:f>
        <x:v>2</x:v>
      </x:c>
      <x:c r="S3547" s="11" t="n">
        <x:f>IF(D3547="Completed",L3547,0)</x:f>
        <x:v>0</x:v>
      </x:c>
      <x:c r="T3547" s="8" t="n">
        <x:f>DATE(YEAR(C3547),MONTH(C3547),1)</x:f>
        <x:v>45870</x:v>
      </x:c>
    </x:row>
    <x:row r="3548" ht="22" customHeight="1">
      <x:c r="A3548" s="2" t="str">
        <x:v>L003544</x:v>
      </x:c>
      <x:c r="B3548" s="2" t="str">
        <x:v>O01448</x:v>
      </x:c>
      <x:c r="C3548" s="7" t="n">
        <x:v>45890</x:v>
      </x:c>
      <x:c r="D3548" s="2" t="str">
        <x:v>Completed</x:v>
      </x:c>
      <x:c r="E3548" s="2" t="str">
        <x:v>North</x:v>
      </x:c>
      <x:c r="F3548" s="2" t="str">
        <x:v>Online</x:v>
      </x:c>
      <x:c r="G3548" s="2" t="str">
        <x:v>Storage</x:v>
      </x:c>
      <x:c r="H3548" s="2" t="str">
        <x:v>Shelf 019</x:v>
      </x:c>
      <x:c r="I3548" s="11" t="n">
        <x:v>3</x:v>
      </x:c>
      <x:c r="J3548" s="9" t="n">
        <x:v>78</x:v>
      </x:c>
      <x:c r="K3548" s="10" t="n">
        <x:v>0</x:v>
      </x:c>
      <x:c r="L3548" s="11" t="n">
        <x:v>0</x:v>
      </x:c>
      <x:c r="M3548" s="9" t="n">
        <x:f>IF(D3548="Completed",I3548*J3548,0)</x:f>
        <x:v>234</x:v>
      </x:c>
      <x:c r="N3548" s="9" t="n">
        <x:f>M3548*K3548</x:f>
        <x:v>0</x:v>
      </x:c>
      <x:c r="O3548" s="9" t="n">
        <x:f>M3548-N3548</x:f>
        <x:v>234</x:v>
      </x:c>
      <x:c r="P3548" s="9" t="n">
        <x:f>IF(D3548="Completed",L3548*J3548*(1-K3548),0)</x:f>
        <x:v>0</x:v>
      </x:c>
      <x:c r="Q3548" s="9" t="n">
        <x:f>O3548-P3548</x:f>
        <x:v>234</x:v>
      </x:c>
      <x:c r="R3548" s="11" t="n">
        <x:f>IF(D3548="Completed",I3548,0)</x:f>
        <x:v>3</x:v>
      </x:c>
      <x:c r="S3548" s="11" t="n">
        <x:f>IF(D3548="Completed",L3548,0)</x:f>
        <x:v>0</x:v>
      </x:c>
      <x:c r="T3548" s="8" t="n">
        <x:f>DATE(YEAR(C3548),MONTH(C3548),1)</x:f>
        <x:v>45870</x:v>
      </x:c>
    </x:row>
    <x:row r="3549" ht="22" customHeight="1">
      <x:c r="A3549" s="2" t="str">
        <x:v>L003545</x:v>
      </x:c>
      <x:c r="B3549" s="2" t="str">
        <x:v>O01449</x:v>
      </x:c>
      <x:c r="C3549" s="7" t="n">
        <x:v>45668</x:v>
      </x:c>
      <x:c r="D3549" s="2" t="str">
        <x:v>Completed</x:v>
      </x:c>
      <x:c r="E3549" s="2" t="str">
        <x:v>West</x:v>
      </x:c>
      <x:c r="F3549" s="2" t="str">
        <x:v>Store</x:v>
      </x:c>
      <x:c r="G3549" s="2" t="str">
        <x:v>Furniture</x:v>
      </x:c>
      <x:c r="H3549" s="2" t="str">
        <x:v>Desk 008</x:v>
      </x:c>
      <x:c r="I3549" s="11" t="n">
        <x:v>4</x:v>
      </x:c>
      <x:c r="J3549" s="9" t="n">
        <x:v>188</x:v>
      </x:c>
      <x:c r="K3549" s="10" t="n">
        <x:v>0.1</x:v>
      </x:c>
      <x:c r="L3549" s="11" t="n">
        <x:v>0</x:v>
      </x:c>
      <x:c r="M3549" s="9" t="n">
        <x:f>IF(D3549="Completed",I3549*J3549,0)</x:f>
        <x:v>752</x:v>
      </x:c>
      <x:c r="N3549" s="9" t="n">
        <x:f>M3549*K3549</x:f>
        <x:v>75.2</x:v>
      </x:c>
      <x:c r="O3549" s="9" t="n">
        <x:f>M3549-N3549</x:f>
        <x:v>676.8</x:v>
      </x:c>
      <x:c r="P3549" s="9" t="n">
        <x:f>IF(D3549="Completed",L3549*J3549*(1-K3549),0)</x:f>
        <x:v>0</x:v>
      </x:c>
      <x:c r="Q3549" s="9" t="n">
        <x:f>O3549-P3549</x:f>
        <x:v>676.8</x:v>
      </x:c>
      <x:c r="R3549" s="11" t="n">
        <x:f>IF(D3549="Completed",I3549,0)</x:f>
        <x:v>4</x:v>
      </x:c>
      <x:c r="S3549" s="11" t="n">
        <x:f>IF(D3549="Completed",L3549,0)</x:f>
        <x:v>0</x:v>
      </x:c>
      <x:c r="T3549" s="8" t="n">
        <x:f>DATE(YEAR(C3549),MONTH(C3549),1)</x:f>
        <x:v>45658</x:v>
      </x:c>
    </x:row>
    <x:row r="3550" ht="22" customHeight="1">
      <x:c r="A3550" s="2" t="str">
        <x:v>L003546</x:v>
      </x:c>
      <x:c r="B3550" s="2" t="str">
        <x:v>O01449</x:v>
      </x:c>
      <x:c r="C3550" s="7" t="n">
        <x:v>45668</x:v>
      </x:c>
      <x:c r="D3550" s="2" t="str">
        <x:v>Completed</x:v>
      </x:c>
      <x:c r="E3550" s="2" t="str">
        <x:v>West</x:v>
      </x:c>
      <x:c r="F3550" s="2" t="str">
        <x:v>Store</x:v>
      </x:c>
      <x:c r="G3550" s="2" t="str">
        <x:v>Furniture</x:v>
      </x:c>
      <x:c r="H3550" s="2" t="str">
        <x:v>Chair 018</x:v>
      </x:c>
      <x:c r="I3550" s="11" t="n">
        <x:v>5</x:v>
      </x:c>
      <x:c r="J3550" s="9" t="n">
        <x:v>269</x:v>
      </x:c>
      <x:c r="K3550" s="10" t="n">
        <x:v>0.2</x:v>
      </x:c>
      <x:c r="L3550" s="11" t="n">
        <x:v>0</x:v>
      </x:c>
      <x:c r="M3550" s="9" t="n">
        <x:f>IF(D3550="Completed",I3550*J3550,0)</x:f>
        <x:v>1345</x:v>
      </x:c>
      <x:c r="N3550" s="9" t="n">
        <x:f>M3550*K3550</x:f>
        <x:v>269</x:v>
      </x:c>
      <x:c r="O3550" s="9" t="n">
        <x:f>M3550-N3550</x:f>
        <x:v>1076</x:v>
      </x:c>
      <x:c r="P3550" s="9" t="n">
        <x:f>IF(D3550="Completed",L3550*J3550*(1-K3550),0)</x:f>
        <x:v>0</x:v>
      </x:c>
      <x:c r="Q3550" s="9" t="n">
        <x:f>O3550-P3550</x:f>
        <x:v>1076</x:v>
      </x:c>
      <x:c r="R3550" s="11" t="n">
        <x:f>IF(D3550="Completed",I3550,0)</x:f>
        <x:v>5</x:v>
      </x:c>
      <x:c r="S3550" s="11" t="n">
        <x:f>IF(D3550="Completed",L3550,0)</x:f>
        <x:v>0</x:v>
      </x:c>
      <x:c r="T3550" s="8" t="n">
        <x:f>DATE(YEAR(C3550),MONTH(C3550),1)</x:f>
        <x:v>45658</x:v>
      </x:c>
    </x:row>
    <x:row r="3551" ht="22" customHeight="1">
      <x:c r="A3551" s="2" t="str">
        <x:v>L003547</x:v>
      </x:c>
      <x:c r="B3551" s="2" t="str">
        <x:v>O01450</x:v>
      </x:c>
      <x:c r="C3551" s="7" t="n">
        <x:v>45753</x:v>
      </x:c>
      <x:c r="D3551" s="2" t="str">
        <x:v>Completed</x:v>
      </x:c>
      <x:c r="E3551" s="2" t="str">
        <x:v>North</x:v>
      </x:c>
      <x:c r="F3551" s="2" t="str">
        <x:v>Online</x:v>
      </x:c>
      <x:c r="G3551" s="2" t="str">
        <x:v>Furniture</x:v>
      </x:c>
      <x:c r="H3551" s="2" t="str">
        <x:v>Desk 004</x:v>
      </x:c>
      <x:c r="I3551" s="11" t="n">
        <x:v>5</x:v>
      </x:c>
      <x:c r="J3551" s="9" t="n">
        <x:v>123</x:v>
      </x:c>
      <x:c r="K3551" s="10" t="n">
        <x:v>0.1</x:v>
      </x:c>
      <x:c r="L3551" s="11" t="n">
        <x:v>0</x:v>
      </x:c>
      <x:c r="M3551" s="9" t="n">
        <x:f>IF(D3551="Completed",I3551*J3551,0)</x:f>
        <x:v>615</x:v>
      </x:c>
      <x:c r="N3551" s="9" t="n">
        <x:f>M3551*K3551</x:f>
        <x:v>61.5</x:v>
      </x:c>
      <x:c r="O3551" s="9" t="n">
        <x:f>M3551-N3551</x:f>
        <x:v>553.5</x:v>
      </x:c>
      <x:c r="P3551" s="9" t="n">
        <x:f>IF(D3551="Completed",L3551*J3551*(1-K3551),0)</x:f>
        <x:v>0</x:v>
      </x:c>
      <x:c r="Q3551" s="9" t="n">
        <x:f>O3551-P3551</x:f>
        <x:v>553.5</x:v>
      </x:c>
      <x:c r="R3551" s="11" t="n">
        <x:f>IF(D3551="Completed",I3551,0)</x:f>
        <x:v>5</x:v>
      </x:c>
      <x:c r="S3551" s="11" t="n">
        <x:f>IF(D3551="Completed",L3551,0)</x:f>
        <x:v>0</x:v>
      </x:c>
      <x:c r="T3551" s="8" t="n">
        <x:f>DATE(YEAR(C3551),MONTH(C3551),1)</x:f>
        <x:v>45748</x:v>
      </x:c>
    </x:row>
    <x:row r="3552" ht="22" customHeight="1">
      <x:c r="A3552" s="2" t="str">
        <x:v>L003548</x:v>
      </x:c>
      <x:c r="B3552" s="2" t="str">
        <x:v>O01450</x:v>
      </x:c>
      <x:c r="C3552" s="7" t="n">
        <x:v>45753</x:v>
      </x:c>
      <x:c r="D3552" s="2" t="str">
        <x:v>Completed</x:v>
      </x:c>
      <x:c r="E3552" s="2" t="str">
        <x:v>North</x:v>
      </x:c>
      <x:c r="F3552" s="2" t="str">
        <x:v>Online</x:v>
      </x:c>
      <x:c r="G3552" s="2" t="str">
        <x:v>Storage</x:v>
      </x:c>
      <x:c r="H3552" s="2" t="str">
        <x:v>Shelf 007</x:v>
      </x:c>
      <x:c r="I3552" s="11" t="n">
        <x:v>1</x:v>
      </x:c>
      <x:c r="J3552" s="9" t="n">
        <x:v>35</x:v>
      </x:c>
      <x:c r="K3552" s="10" t="n">
        <x:v>0.1</x:v>
      </x:c>
      <x:c r="L3552" s="11" t="n">
        <x:v>0</x:v>
      </x:c>
      <x:c r="M3552" s="9" t="n">
        <x:f>IF(D3552="Completed",I3552*J3552,0)</x:f>
        <x:v>35</x:v>
      </x:c>
      <x:c r="N3552" s="9" t="n">
        <x:f>M3552*K3552</x:f>
        <x:v>3.5</x:v>
      </x:c>
      <x:c r="O3552" s="9" t="n">
        <x:f>M3552-N3552</x:f>
        <x:v>31.5</x:v>
      </x:c>
      <x:c r="P3552" s="9" t="n">
        <x:f>IF(D3552="Completed",L3552*J3552*(1-K3552),0)</x:f>
        <x:v>0</x:v>
      </x:c>
      <x:c r="Q3552" s="9" t="n">
        <x:f>O3552-P3552</x:f>
        <x:v>31.5</x:v>
      </x:c>
      <x:c r="R3552" s="11" t="n">
        <x:f>IF(D3552="Completed",I3552,0)</x:f>
        <x:v>1</x:v>
      </x:c>
      <x:c r="S3552" s="11" t="n">
        <x:f>IF(D3552="Completed",L3552,0)</x:f>
        <x:v>0</x:v>
      </x:c>
      <x:c r="T3552" s="8" t="n">
        <x:f>DATE(YEAR(C3552),MONTH(C3552),1)</x:f>
        <x:v>45748</x:v>
      </x:c>
    </x:row>
    <x:row r="3553" ht="22" customHeight="1">
      <x:c r="A3553" s="2" t="str">
        <x:v>L003549</x:v>
      </x:c>
      <x:c r="B3553" s="2" t="str">
        <x:v>O01450</x:v>
      </x:c>
      <x:c r="C3553" s="7" t="n">
        <x:v>45753</x:v>
      </x:c>
      <x:c r="D3553" s="2" t="str">
        <x:v>Completed</x:v>
      </x:c>
      <x:c r="E3553" s="2" t="str">
        <x:v>North</x:v>
      </x:c>
      <x:c r="F3553" s="2" t="str">
        <x:v>Online</x:v>
      </x:c>
      <x:c r="G3553" s="2" t="str">
        <x:v>Storage</x:v>
      </x:c>
      <x:c r="H3553" s="2" t="str">
        <x:v>Shelf 003</x:v>
      </x:c>
      <x:c r="I3553" s="11" t="n">
        <x:v>4</x:v>
      </x:c>
      <x:c r="J3553" s="9" t="n">
        <x:v>199</x:v>
      </x:c>
      <x:c r="K3553" s="10" t="n">
        <x:v>0.2</x:v>
      </x:c>
      <x:c r="L3553" s="11" t="n">
        <x:v>0</x:v>
      </x:c>
      <x:c r="M3553" s="9" t="n">
        <x:f>IF(D3553="Completed",I3553*J3553,0)</x:f>
        <x:v>796</x:v>
      </x:c>
      <x:c r="N3553" s="9" t="n">
        <x:f>M3553*K3553</x:f>
        <x:v>159.20000000000002</x:v>
      </x:c>
      <x:c r="O3553" s="9" t="n">
        <x:f>M3553-N3553</x:f>
        <x:v>636.8</x:v>
      </x:c>
      <x:c r="P3553" s="9" t="n">
        <x:f>IF(D3553="Completed",L3553*J3553*(1-K3553),0)</x:f>
        <x:v>0</x:v>
      </x:c>
      <x:c r="Q3553" s="9" t="n">
        <x:f>O3553-P3553</x:f>
        <x:v>636.8</x:v>
      </x:c>
      <x:c r="R3553" s="11" t="n">
        <x:f>IF(D3553="Completed",I3553,0)</x:f>
        <x:v>4</x:v>
      </x:c>
      <x:c r="S3553" s="11" t="n">
        <x:f>IF(D3553="Completed",L3553,0)</x:f>
        <x:v>0</x:v>
      </x:c>
      <x:c r="T3553" s="8" t="n">
        <x:f>DATE(YEAR(C3553),MONTH(C3553),1)</x:f>
        <x:v>45748</x:v>
      </x:c>
    </x:row>
    <x:row r="3554" ht="22" customHeight="1">
      <x:c r="A3554" s="2" t="str">
        <x:v>L003550</x:v>
      </x:c>
      <x:c r="B3554" s="2" t="str">
        <x:v>O01450</x:v>
      </x:c>
      <x:c r="C3554" s="7" t="n">
        <x:v>45753</x:v>
      </x:c>
      <x:c r="D3554" s="2" t="str">
        <x:v>Completed</x:v>
      </x:c>
      <x:c r="E3554" s="2" t="str">
        <x:v>North</x:v>
      </x:c>
      <x:c r="F3554" s="2" t="str">
        <x:v>Online</x:v>
      </x:c>
      <x:c r="G3554" s="2" t="str">
        <x:v>Furniture</x:v>
      </x:c>
      <x:c r="H3554" s="2" t="str">
        <x:v>Desk 016</x:v>
      </x:c>
      <x:c r="I3554" s="11" t="n">
        <x:v>4</x:v>
      </x:c>
      <x:c r="J3554" s="9" t="n">
        <x:v>231</x:v>
      </x:c>
      <x:c r="K3554" s="10" t="n">
        <x:v>0.05</x:v>
      </x:c>
      <x:c r="L3554" s="11" t="n">
        <x:v>0</x:v>
      </x:c>
      <x:c r="M3554" s="9" t="n">
        <x:f>IF(D3554="Completed",I3554*J3554,0)</x:f>
        <x:v>924</x:v>
      </x:c>
      <x:c r="N3554" s="9" t="n">
        <x:f>M3554*K3554</x:f>
        <x:v>46.2</x:v>
      </x:c>
      <x:c r="O3554" s="9" t="n">
        <x:f>M3554-N3554</x:f>
        <x:v>877.8</x:v>
      </x:c>
      <x:c r="P3554" s="9" t="n">
        <x:f>IF(D3554="Completed",L3554*J3554*(1-K3554),0)</x:f>
        <x:v>0</x:v>
      </x:c>
      <x:c r="Q3554" s="9" t="n">
        <x:f>O3554-P3554</x:f>
        <x:v>877.8</x:v>
      </x:c>
      <x:c r="R3554" s="11" t="n">
        <x:f>IF(D3554="Completed",I3554,0)</x:f>
        <x:v>4</x:v>
      </x:c>
      <x:c r="S3554" s="11" t="n">
        <x:f>IF(D3554="Completed",L3554,0)</x:f>
        <x:v>0</x:v>
      </x:c>
      <x:c r="T3554" s="8" t="n">
        <x:f>DATE(YEAR(C3554),MONTH(C3554),1)</x:f>
        <x:v>45748</x:v>
      </x:c>
    </x:row>
    <x:row r="3555" ht="22" customHeight="1">
      <x:c r="A3555" s="2" t="str">
        <x:v>L003551</x:v>
      </x:c>
      <x:c r="B3555" s="2" t="str">
        <x:v>O01451</x:v>
      </x:c>
      <x:c r="C3555" s="7" t="n">
        <x:v>45959</x:v>
      </x:c>
      <x:c r="D3555" s="2" t="str">
        <x:v>Completed</x:v>
      </x:c>
      <x:c r="E3555" s="2" t="str">
        <x:v>North</x:v>
      </x:c>
      <x:c r="F3555" s="2" t="str">
        <x:v>Online</x:v>
      </x:c>
      <x:c r="G3555" s="2" t="str">
        <x:v>Furniture</x:v>
      </x:c>
      <x:c r="H3555" s="2" t="str">
        <x:v>Chair 018</x:v>
      </x:c>
      <x:c r="I3555" s="11" t="n">
        <x:v>5</x:v>
      </x:c>
      <x:c r="J3555" s="9" t="n">
        <x:v>269</x:v>
      </x:c>
      <x:c r="K3555" s="10" t="n">
        <x:v>0.05</x:v>
      </x:c>
      <x:c r="L3555" s="11" t="n">
        <x:v>0</x:v>
      </x:c>
      <x:c r="M3555" s="9" t="n">
        <x:f>IF(D3555="Completed",I3555*J3555,0)</x:f>
        <x:v>1345</x:v>
      </x:c>
      <x:c r="N3555" s="9" t="n">
        <x:f>M3555*K3555</x:f>
        <x:v>67.25</x:v>
      </x:c>
      <x:c r="O3555" s="9" t="n">
        <x:f>M3555-N3555</x:f>
        <x:v>1277.75</x:v>
      </x:c>
      <x:c r="P3555" s="9" t="n">
        <x:f>IF(D3555="Completed",L3555*J3555*(1-K3555),0)</x:f>
        <x:v>0</x:v>
      </x:c>
      <x:c r="Q3555" s="9" t="n">
        <x:f>O3555-P3555</x:f>
        <x:v>1277.75</x:v>
      </x:c>
      <x:c r="R3555" s="11" t="n">
        <x:f>IF(D3555="Completed",I3555,0)</x:f>
        <x:v>5</x:v>
      </x:c>
      <x:c r="S3555" s="11" t="n">
        <x:f>IF(D3555="Completed",L3555,0)</x:f>
        <x:v>0</x:v>
      </x:c>
      <x:c r="T3555" s="8" t="n">
        <x:f>DATE(YEAR(C3555),MONTH(C3555),1)</x:f>
        <x:v>45931</x:v>
      </x:c>
    </x:row>
    <x:row r="3556" ht="22" customHeight="1">
      <x:c r="A3556" s="2" t="str">
        <x:v>L003552</x:v>
      </x:c>
      <x:c r="B3556" s="2" t="str">
        <x:v>O01452</x:v>
      </x:c>
      <x:c r="C3556" s="7" t="n">
        <x:v>45969</x:v>
      </x:c>
      <x:c r="D3556" s="2" t="str">
        <x:v>Cancelled</x:v>
      </x:c>
      <x:c r="E3556" s="2" t="str">
        <x:v>East</x:v>
      </x:c>
      <x:c r="F3556" s="2" t="str">
        <x:v>Online</x:v>
      </x:c>
      <x:c r="G3556" s="2" t="str">
        <x:v>Furniture</x:v>
      </x:c>
      <x:c r="H3556" s="2" t="str">
        <x:v>Desk 024</x:v>
      </x:c>
      <x:c r="I3556" s="11" t="n">
        <x:v>3</x:v>
      </x:c>
      <x:c r="J3556" s="9" t="n">
        <x:v>81</x:v>
      </x:c>
      <x:c r="K3556" s="10" t="n">
        <x:v>0</x:v>
      </x:c>
      <x:c r="L3556" s="11" t="n">
        <x:v>0</x:v>
      </x:c>
      <x:c r="M3556" s="9" t="n">
        <x:f>IF(D3556="Completed",I3556*J3556,0)</x:f>
        <x:v>0</x:v>
      </x:c>
      <x:c r="N3556" s="9" t="n">
        <x:f>M3556*K3556</x:f>
        <x:v>0</x:v>
      </x:c>
      <x:c r="O3556" s="9" t="n">
        <x:f>M3556-N3556</x:f>
        <x:v>0</x:v>
      </x:c>
      <x:c r="P3556" s="9" t="n">
        <x:f>IF(D3556="Completed",L3556*J3556*(1-K3556),0)</x:f>
        <x:v>0</x:v>
      </x:c>
      <x:c r="Q3556" s="9" t="n">
        <x:f>O3556-P3556</x:f>
        <x:v>0</x:v>
      </x:c>
      <x:c r="R3556" s="11" t="n">
        <x:f>IF(D3556="Completed",I3556,0)</x:f>
        <x:v>0</x:v>
      </x:c>
      <x:c r="S3556" s="11" t="n">
        <x:f>IF(D3556="Completed",L3556,0)</x:f>
        <x:v>0</x:v>
      </x:c>
      <x:c r="T3556" s="8" t="n">
        <x:f>DATE(YEAR(C3556),MONTH(C3556),1)</x:f>
        <x:v>45962</x:v>
      </x:c>
    </x:row>
    <x:row r="3557" ht="22" customHeight="1">
      <x:c r="A3557" s="2" t="str">
        <x:v>L003553</x:v>
      </x:c>
      <x:c r="B3557" s="2" t="str">
        <x:v>O01452</x:v>
      </x:c>
      <x:c r="C3557" s="7" t="n">
        <x:v>45969</x:v>
      </x:c>
      <x:c r="D3557" s="2" t="str">
        <x:v>Cancelled</x:v>
      </x:c>
      <x:c r="E3557" s="2" t="str">
        <x:v>East</x:v>
      </x:c>
      <x:c r="F3557" s="2" t="str">
        <x:v>Online</x:v>
      </x:c>
      <x:c r="G3557" s="2" t="str">
        <x:v>Furniture</x:v>
      </x:c>
      <x:c r="H3557" s="2" t="str">
        <x:v>Chair 002</x:v>
      </x:c>
      <x:c r="I3557" s="11" t="n">
        <x:v>3</x:v>
      </x:c>
      <x:c r="J3557" s="9" t="n">
        <x:v>284</x:v>
      </x:c>
      <x:c r="K3557" s="10" t="n">
        <x:v>0.1</x:v>
      </x:c>
      <x:c r="L3557" s="11" t="n">
        <x:v>0</x:v>
      </x:c>
      <x:c r="M3557" s="9" t="n">
        <x:f>IF(D3557="Completed",I3557*J3557,0)</x:f>
        <x:v>0</x:v>
      </x:c>
      <x:c r="N3557" s="9" t="n">
        <x:f>M3557*K3557</x:f>
        <x:v>0</x:v>
      </x:c>
      <x:c r="O3557" s="9" t="n">
        <x:f>M3557-N3557</x:f>
        <x:v>0</x:v>
      </x:c>
      <x:c r="P3557" s="9" t="n">
        <x:f>IF(D3557="Completed",L3557*J3557*(1-K3557),0)</x:f>
        <x:v>0</x:v>
      </x:c>
      <x:c r="Q3557" s="9" t="n">
        <x:f>O3557-P3557</x:f>
        <x:v>0</x:v>
      </x:c>
      <x:c r="R3557" s="11" t="n">
        <x:f>IF(D3557="Completed",I3557,0)</x:f>
        <x:v>0</x:v>
      </x:c>
      <x:c r="S3557" s="11" t="n">
        <x:f>IF(D3557="Completed",L3557,0)</x:f>
        <x:v>0</x:v>
      </x:c>
      <x:c r="T3557" s="8" t="n">
        <x:f>DATE(YEAR(C3557),MONTH(C3557),1)</x:f>
        <x:v>45962</x:v>
      </x:c>
    </x:row>
    <x:row r="3558" ht="22" customHeight="1">
      <x:c r="A3558" s="2" t="str">
        <x:v>L003554</x:v>
      </x:c>
      <x:c r="B3558" s="2" t="str">
        <x:v>O01452</x:v>
      </x:c>
      <x:c r="C3558" s="7" t="n">
        <x:v>45969</x:v>
      </x:c>
      <x:c r="D3558" s="2" t="str">
        <x:v>Cancelled</x:v>
      </x:c>
      <x:c r="E3558" s="2" t="str">
        <x:v>East</x:v>
      </x:c>
      <x:c r="F3558" s="2" t="str">
        <x:v>Online</x:v>
      </x:c>
      <x:c r="G3558" s="2" t="str">
        <x:v>Furniture</x:v>
      </x:c>
      <x:c r="H3558" s="2" t="str">
        <x:v>Desk 004</x:v>
      </x:c>
      <x:c r="I3558" s="11" t="n">
        <x:v>4</x:v>
      </x:c>
      <x:c r="J3558" s="9" t="n">
        <x:v>123</x:v>
      </x:c>
      <x:c r="K3558" s="10" t="n">
        <x:v>0.2</x:v>
      </x:c>
      <x:c r="L3558" s="11" t="n">
        <x:v>0</x:v>
      </x:c>
      <x:c r="M3558" s="9" t="n">
        <x:f>IF(D3558="Completed",I3558*J3558,0)</x:f>
        <x:v>0</x:v>
      </x:c>
      <x:c r="N3558" s="9" t="n">
        <x:f>M3558*K3558</x:f>
        <x:v>0</x:v>
      </x:c>
      <x:c r="O3558" s="9" t="n">
        <x:f>M3558-N3558</x:f>
        <x:v>0</x:v>
      </x:c>
      <x:c r="P3558" s="9" t="n">
        <x:f>IF(D3558="Completed",L3558*J3558*(1-K3558),0)</x:f>
        <x:v>0</x:v>
      </x:c>
      <x:c r="Q3558" s="9" t="n">
        <x:f>O3558-P3558</x:f>
        <x:v>0</x:v>
      </x:c>
      <x:c r="R3558" s="11" t="n">
        <x:f>IF(D3558="Completed",I3558,0)</x:f>
        <x:v>0</x:v>
      </x:c>
      <x:c r="S3558" s="11" t="n">
        <x:f>IF(D3558="Completed",L3558,0)</x:f>
        <x:v>0</x:v>
      </x:c>
      <x:c r="T3558" s="8" t="n">
        <x:f>DATE(YEAR(C3558),MONTH(C3558),1)</x:f>
        <x:v>45962</x:v>
      </x:c>
    </x:row>
    <x:row r="3559" ht="22" customHeight="1">
      <x:c r="A3559" s="2" t="str">
        <x:v>L003555</x:v>
      </x:c>
      <x:c r="B3559" s="2" t="str">
        <x:v>O01452</x:v>
      </x:c>
      <x:c r="C3559" s="7" t="n">
        <x:v>45969</x:v>
      </x:c>
      <x:c r="D3559" s="2" t="str">
        <x:v>Cancelled</x:v>
      </x:c>
      <x:c r="E3559" s="2" t="str">
        <x:v>East</x:v>
      </x:c>
      <x:c r="F3559" s="2" t="str">
        <x:v>Online</x:v>
      </x:c>
      <x:c r="G3559" s="2" t="str">
        <x:v>Storage</x:v>
      </x:c>
      <x:c r="H3559" s="2" t="str">
        <x:v>Shelf 011</x:v>
      </x:c>
      <x:c r="I3559" s="11" t="n">
        <x:v>5</x:v>
      </x:c>
      <x:c r="J3559" s="9" t="n">
        <x:v>80</x:v>
      </x:c>
      <x:c r="K3559" s="10" t="n">
        <x:v>0.05</x:v>
      </x:c>
      <x:c r="L3559" s="11" t="n">
        <x:v>0</x:v>
      </x:c>
      <x:c r="M3559" s="9" t="n">
        <x:f>IF(D3559="Completed",I3559*J3559,0)</x:f>
        <x:v>0</x:v>
      </x:c>
      <x:c r="N3559" s="9" t="n">
        <x:f>M3559*K3559</x:f>
        <x:v>0</x:v>
      </x:c>
      <x:c r="O3559" s="9" t="n">
        <x:f>M3559-N3559</x:f>
        <x:v>0</x:v>
      </x:c>
      <x:c r="P3559" s="9" t="n">
        <x:f>IF(D3559="Completed",L3559*J3559*(1-K3559),0)</x:f>
        <x:v>0</x:v>
      </x:c>
      <x:c r="Q3559" s="9" t="n">
        <x:f>O3559-P3559</x:f>
        <x:v>0</x:v>
      </x:c>
      <x:c r="R3559" s="11" t="n">
        <x:f>IF(D3559="Completed",I3559,0)</x:f>
        <x:v>0</x:v>
      </x:c>
      <x:c r="S3559" s="11" t="n">
        <x:f>IF(D3559="Completed",L3559,0)</x:f>
        <x:v>0</x:v>
      </x:c>
      <x:c r="T3559" s="8" t="n">
        <x:f>DATE(YEAR(C3559),MONTH(C3559),1)</x:f>
        <x:v>45962</x:v>
      </x:c>
    </x:row>
    <x:row r="3560" ht="22" customHeight="1">
      <x:c r="A3560" s="2" t="str">
        <x:v>L003556</x:v>
      </x:c>
      <x:c r="B3560" s="2" t="str">
        <x:v>O01453</x:v>
      </x:c>
      <x:c r="C3560" s="7" t="n">
        <x:v>45903</x:v>
      </x:c>
      <x:c r="D3560" s="2" t="str">
        <x:v>Completed</x:v>
      </x:c>
      <x:c r="E3560" s="2" t="str">
        <x:v>West</x:v>
      </x:c>
      <x:c r="F3560" s="2" t="str">
        <x:v>Online</x:v>
      </x:c>
      <x:c r="G3560" s="2" t="str">
        <x:v>Lighting</x:v>
      </x:c>
      <x:c r="H3560" s="2" t="str">
        <x:v>Lamp 001</x:v>
      </x:c>
      <x:c r="I3560" s="11" t="n">
        <x:v>3</x:v>
      </x:c>
      <x:c r="J3560" s="9" t="n">
        <x:v>122</x:v>
      </x:c>
      <x:c r="K3560" s="10" t="n">
        <x:v>0</x:v>
      </x:c>
      <x:c r="L3560" s="11" t="n">
        <x:v>0</x:v>
      </x:c>
      <x:c r="M3560" s="9" t="n">
        <x:f>IF(D3560="Completed",I3560*J3560,0)</x:f>
        <x:v>366</x:v>
      </x:c>
      <x:c r="N3560" s="9" t="n">
        <x:f>M3560*K3560</x:f>
        <x:v>0</x:v>
      </x:c>
      <x:c r="O3560" s="9" t="n">
        <x:f>M3560-N3560</x:f>
        <x:v>366</x:v>
      </x:c>
      <x:c r="P3560" s="9" t="n">
        <x:f>IF(D3560="Completed",L3560*J3560*(1-K3560),0)</x:f>
        <x:v>0</x:v>
      </x:c>
      <x:c r="Q3560" s="9" t="n">
        <x:f>O3560-P3560</x:f>
        <x:v>366</x:v>
      </x:c>
      <x:c r="R3560" s="11" t="n">
        <x:f>IF(D3560="Completed",I3560,0)</x:f>
        <x:v>3</x:v>
      </x:c>
      <x:c r="S3560" s="11" t="n">
        <x:f>IF(D3560="Completed",L3560,0)</x:f>
        <x:v>0</x:v>
      </x:c>
      <x:c r="T3560" s="8" t="n">
        <x:f>DATE(YEAR(C3560),MONTH(C3560),1)</x:f>
        <x:v>45901</x:v>
      </x:c>
    </x:row>
    <x:row r="3561" ht="22" customHeight="1">
      <x:c r="A3561" s="2" t="str">
        <x:v>L003557</x:v>
      </x:c>
      <x:c r="B3561" s="2" t="str">
        <x:v>O01453</x:v>
      </x:c>
      <x:c r="C3561" s="7" t="n">
        <x:v>45903</x:v>
      </x:c>
      <x:c r="D3561" s="2" t="str">
        <x:v>Completed</x:v>
      </x:c>
      <x:c r="E3561" s="2" t="str">
        <x:v>West</x:v>
      </x:c>
      <x:c r="F3561" s="2" t="str">
        <x:v>Online</x:v>
      </x:c>
      <x:c r="G3561" s="2" t="str">
        <x:v>Lighting</x:v>
      </x:c>
      <x:c r="H3561" s="2" t="str">
        <x:v>Lamp 009</x:v>
      </x:c>
      <x:c r="I3561" s="11" t="n">
        <x:v>4</x:v>
      </x:c>
      <x:c r="J3561" s="9" t="n">
        <x:v>93</x:v>
      </x:c>
      <x:c r="K3561" s="10" t="n">
        <x:v>0</x:v>
      </x:c>
      <x:c r="L3561" s="11" t="n">
        <x:v>0</x:v>
      </x:c>
      <x:c r="M3561" s="9" t="n">
        <x:f>IF(D3561="Completed",I3561*J3561,0)</x:f>
        <x:v>372</x:v>
      </x:c>
      <x:c r="N3561" s="9" t="n">
        <x:f>M3561*K3561</x:f>
        <x:v>0</x:v>
      </x:c>
      <x:c r="O3561" s="9" t="n">
        <x:f>M3561-N3561</x:f>
        <x:v>372</x:v>
      </x:c>
      <x:c r="P3561" s="9" t="n">
        <x:f>IF(D3561="Completed",L3561*J3561*(1-K3561),0)</x:f>
        <x:v>0</x:v>
      </x:c>
      <x:c r="Q3561" s="9" t="n">
        <x:f>O3561-P3561</x:f>
        <x:v>372</x:v>
      </x:c>
      <x:c r="R3561" s="11" t="n">
        <x:f>IF(D3561="Completed",I3561,0)</x:f>
        <x:v>4</x:v>
      </x:c>
      <x:c r="S3561" s="11" t="n">
        <x:f>IF(D3561="Completed",L3561,0)</x:f>
        <x:v>0</x:v>
      </x:c>
      <x:c r="T3561" s="8" t="n">
        <x:f>DATE(YEAR(C3561),MONTH(C3561),1)</x:f>
        <x:v>45901</x:v>
      </x:c>
    </x:row>
    <x:row r="3562" ht="22" customHeight="1">
      <x:c r="A3562" s="2" t="str">
        <x:v>L003558</x:v>
      </x:c>
      <x:c r="B3562" s="2" t="str">
        <x:v>O01453</x:v>
      </x:c>
      <x:c r="C3562" s="7" t="n">
        <x:v>45903</x:v>
      </x:c>
      <x:c r="D3562" s="2" t="str">
        <x:v>Completed</x:v>
      </x:c>
      <x:c r="E3562" s="2" t="str">
        <x:v>West</x:v>
      </x:c>
      <x:c r="F3562" s="2" t="str">
        <x:v>Online</x:v>
      </x:c>
      <x:c r="G3562" s="2" t="str">
        <x:v>Lighting</x:v>
      </x:c>
      <x:c r="H3562" s="2" t="str">
        <x:v>Lamp 013</x:v>
      </x:c>
      <x:c r="I3562" s="11" t="n">
        <x:v>3</x:v>
      </x:c>
      <x:c r="J3562" s="9" t="n">
        <x:v>271</x:v>
      </x:c>
      <x:c r="K3562" s="10" t="n">
        <x:v>0.05</x:v>
      </x:c>
      <x:c r="L3562" s="11" t="n">
        <x:v>0</x:v>
      </x:c>
      <x:c r="M3562" s="9" t="n">
        <x:f>IF(D3562="Completed",I3562*J3562,0)</x:f>
        <x:v>813</x:v>
      </x:c>
      <x:c r="N3562" s="9" t="n">
        <x:f>M3562*K3562</x:f>
        <x:v>40.650000000000006</x:v>
      </x:c>
      <x:c r="O3562" s="9" t="n">
        <x:f>M3562-N3562</x:f>
        <x:v>772.35</x:v>
      </x:c>
      <x:c r="P3562" s="9" t="n">
        <x:f>IF(D3562="Completed",L3562*J3562*(1-K3562),0)</x:f>
        <x:v>0</x:v>
      </x:c>
      <x:c r="Q3562" s="9" t="n">
        <x:f>O3562-P3562</x:f>
        <x:v>772.35</x:v>
      </x:c>
      <x:c r="R3562" s="11" t="n">
        <x:f>IF(D3562="Completed",I3562,0)</x:f>
        <x:v>3</x:v>
      </x:c>
      <x:c r="S3562" s="11" t="n">
        <x:f>IF(D3562="Completed",L3562,0)</x:f>
        <x:v>0</x:v>
      </x:c>
      <x:c r="T3562" s="8" t="n">
        <x:f>DATE(YEAR(C3562),MONTH(C3562),1)</x:f>
        <x:v>45901</x:v>
      </x:c>
    </x:row>
    <x:row r="3563" ht="22" customHeight="1">
      <x:c r="A3563" s="2" t="str">
        <x:v>L003559</x:v>
      </x:c>
      <x:c r="B3563" s="2" t="str">
        <x:v>O01454</x:v>
      </x:c>
      <x:c r="C3563" s="7" t="n">
        <x:v>45751</x:v>
      </x:c>
      <x:c r="D3563" s="2" t="str">
        <x:v>Completed</x:v>
      </x:c>
      <x:c r="E3563" s="2" t="str">
        <x:v>West</x:v>
      </x:c>
      <x:c r="F3563" s="2" t="str">
        <x:v>Online</x:v>
      </x:c>
      <x:c r="G3563" s="2" t="str">
        <x:v>Storage</x:v>
      </x:c>
      <x:c r="H3563" s="2" t="str">
        <x:v>Shelf 019</x:v>
      </x:c>
      <x:c r="I3563" s="11" t="n">
        <x:v>3</x:v>
      </x:c>
      <x:c r="J3563" s="9" t="n">
        <x:v>78</x:v>
      </x:c>
      <x:c r="K3563" s="10" t="n">
        <x:v>0.2</x:v>
      </x:c>
      <x:c r="L3563" s="11" t="n">
        <x:v>3</x:v>
      </x:c>
      <x:c r="M3563" s="9" t="n">
        <x:f>IF(D3563="Completed",I3563*J3563,0)</x:f>
        <x:v>234</x:v>
      </x:c>
      <x:c r="N3563" s="9" t="n">
        <x:f>M3563*K3563</x:f>
        <x:v>46.800000000000004</x:v>
      </x:c>
      <x:c r="O3563" s="9" t="n">
        <x:f>M3563-N3563</x:f>
        <x:v>187.2</x:v>
      </x:c>
      <x:c r="P3563" s="9" t="n">
        <x:f>IF(D3563="Completed",L3563*J3563*(1-K3563),0)</x:f>
        <x:v>187.20000000000002</x:v>
      </x:c>
      <x:c r="Q3563" s="9" t="n">
        <x:f>O3563-P3563</x:f>
        <x:v>-2.842170943040401e-14</x:v>
      </x:c>
      <x:c r="R3563" s="11" t="n">
        <x:f>IF(D3563="Completed",I3563,0)</x:f>
        <x:v>3</x:v>
      </x:c>
      <x:c r="S3563" s="11" t="n">
        <x:f>IF(D3563="Completed",L3563,0)</x:f>
        <x:v>3</x:v>
      </x:c>
      <x:c r="T3563" s="8" t="n">
        <x:f>DATE(YEAR(C3563),MONTH(C3563),1)</x:f>
        <x:v>45748</x:v>
      </x:c>
    </x:row>
    <x:row r="3564" ht="22" customHeight="1">
      <x:c r="A3564" s="2" t="str">
        <x:v>L003560</x:v>
      </x:c>
      <x:c r="B3564" s="2" t="str">
        <x:v>O01455</x:v>
      </x:c>
      <x:c r="C3564" s="7" t="n">
        <x:v>45891</x:v>
      </x:c>
      <x:c r="D3564" s="2" t="str">
        <x:v>Completed</x:v>
      </x:c>
      <x:c r="E3564" s="2" t="str">
        <x:v>East</x:v>
      </x:c>
      <x:c r="F3564" s="2" t="str">
        <x:v>Store</x:v>
      </x:c>
      <x:c r="G3564" s="2" t="str">
        <x:v>Lighting</x:v>
      </x:c>
      <x:c r="H3564" s="2" t="str">
        <x:v>Lamp 013</x:v>
      </x:c>
      <x:c r="I3564" s="11" t="n">
        <x:v>1</x:v>
      </x:c>
      <x:c r="J3564" s="9" t="n">
        <x:v>271</x:v>
      </x:c>
      <x:c r="K3564" s="10" t="n">
        <x:v>0</x:v>
      </x:c>
      <x:c r="L3564" s="11" t="n">
        <x:v>1</x:v>
      </x:c>
      <x:c r="M3564" s="9" t="n">
        <x:f>IF(D3564="Completed",I3564*J3564,0)</x:f>
        <x:v>271</x:v>
      </x:c>
      <x:c r="N3564" s="9" t="n">
        <x:f>M3564*K3564</x:f>
        <x:v>0</x:v>
      </x:c>
      <x:c r="O3564" s="9" t="n">
        <x:f>M3564-N3564</x:f>
        <x:v>271</x:v>
      </x:c>
      <x:c r="P3564" s="9" t="n">
        <x:f>IF(D3564="Completed",L3564*J3564*(1-K3564),0)</x:f>
        <x:v>271</x:v>
      </x:c>
      <x:c r="Q3564" s="9" t="n">
        <x:f>O3564-P3564</x:f>
        <x:v>0</x:v>
      </x:c>
      <x:c r="R3564" s="11" t="n">
        <x:f>IF(D3564="Completed",I3564,0)</x:f>
        <x:v>1</x:v>
      </x:c>
      <x:c r="S3564" s="11" t="n">
        <x:f>IF(D3564="Completed",L3564,0)</x:f>
        <x:v>1</x:v>
      </x:c>
      <x:c r="T3564" s="8" t="n">
        <x:f>DATE(YEAR(C3564),MONTH(C3564),1)</x:f>
        <x:v>45870</x:v>
      </x:c>
    </x:row>
    <x:row r="3565" ht="22" customHeight="1">
      <x:c r="A3565" s="2" t="str">
        <x:v>L003561</x:v>
      </x:c>
      <x:c r="B3565" s="2" t="str">
        <x:v>O01455</x:v>
      </x:c>
      <x:c r="C3565" s="7" t="n">
        <x:v>45891</x:v>
      </x:c>
      <x:c r="D3565" s="2" t="str">
        <x:v>Completed</x:v>
      </x:c>
      <x:c r="E3565" s="2" t="str">
        <x:v>East</x:v>
      </x:c>
      <x:c r="F3565" s="2" t="str">
        <x:v>Store</x:v>
      </x:c>
      <x:c r="G3565" s="2" t="str">
        <x:v>Furniture</x:v>
      </x:c>
      <x:c r="H3565" s="2" t="str">
        <x:v>Chair 002</x:v>
      </x:c>
      <x:c r="I3565" s="11" t="n">
        <x:v>2</x:v>
      </x:c>
      <x:c r="J3565" s="9" t="n">
        <x:v>284</x:v>
      </x:c>
      <x:c r="K3565" s="10" t="n">
        <x:v>0.1</x:v>
      </x:c>
      <x:c r="L3565" s="11" t="n">
        <x:v>0</x:v>
      </x:c>
      <x:c r="M3565" s="9" t="n">
        <x:f>IF(D3565="Completed",I3565*J3565,0)</x:f>
        <x:v>568</x:v>
      </x:c>
      <x:c r="N3565" s="9" t="n">
        <x:f>M3565*K3565</x:f>
        <x:v>56.800000000000004</x:v>
      </x:c>
      <x:c r="O3565" s="9" t="n">
        <x:f>M3565-N3565</x:f>
        <x:v>511.2</x:v>
      </x:c>
      <x:c r="P3565" s="9" t="n">
        <x:f>IF(D3565="Completed",L3565*J3565*(1-K3565),0)</x:f>
        <x:v>0</x:v>
      </x:c>
      <x:c r="Q3565" s="9" t="n">
        <x:f>O3565-P3565</x:f>
        <x:v>511.2</x:v>
      </x:c>
      <x:c r="R3565" s="11" t="n">
        <x:f>IF(D3565="Completed",I3565,0)</x:f>
        <x:v>2</x:v>
      </x:c>
      <x:c r="S3565" s="11" t="n">
        <x:f>IF(D3565="Completed",L3565,0)</x:f>
        <x:v>0</x:v>
      </x:c>
      <x:c r="T3565" s="8" t="n">
        <x:f>DATE(YEAR(C3565),MONTH(C3565),1)</x:f>
        <x:v>45870</x:v>
      </x:c>
    </x:row>
    <x:row r="3566" ht="22" customHeight="1">
      <x:c r="A3566" s="2" t="str">
        <x:v>L003562</x:v>
      </x:c>
      <x:c r="B3566" s="2" t="str">
        <x:v>O01455</x:v>
      </x:c>
      <x:c r="C3566" s="7" t="n">
        <x:v>45891</x:v>
      </x:c>
      <x:c r="D3566" s="2" t="str">
        <x:v>Completed</x:v>
      </x:c>
      <x:c r="E3566" s="2" t="str">
        <x:v>East</x:v>
      </x:c>
      <x:c r="F3566" s="2" t="str">
        <x:v>Store</x:v>
      </x:c>
      <x:c r="G3566" s="2" t="str">
        <x:v>Storage</x:v>
      </x:c>
      <x:c r="H3566" s="2" t="str">
        <x:v>Shelf 015</x:v>
      </x:c>
      <x:c r="I3566" s="11" t="n">
        <x:v>4</x:v>
      </x:c>
      <x:c r="J3566" s="9" t="n">
        <x:v>254</x:v>
      </x:c>
      <x:c r="K3566" s="10" t="n">
        <x:v>0.05</x:v>
      </x:c>
      <x:c r="L3566" s="11" t="n">
        <x:v>0</x:v>
      </x:c>
      <x:c r="M3566" s="9" t="n">
        <x:f>IF(D3566="Completed",I3566*J3566,0)</x:f>
        <x:v>1016</x:v>
      </x:c>
      <x:c r="N3566" s="9" t="n">
        <x:f>M3566*K3566</x:f>
        <x:v>50.800000000000004</x:v>
      </x:c>
      <x:c r="O3566" s="9" t="n">
        <x:f>M3566-N3566</x:f>
        <x:v>965.2</x:v>
      </x:c>
      <x:c r="P3566" s="9" t="n">
        <x:f>IF(D3566="Completed",L3566*J3566*(1-K3566),0)</x:f>
        <x:v>0</x:v>
      </x:c>
      <x:c r="Q3566" s="9" t="n">
        <x:f>O3566-P3566</x:f>
        <x:v>965.2</x:v>
      </x:c>
      <x:c r="R3566" s="11" t="n">
        <x:f>IF(D3566="Completed",I3566,0)</x:f>
        <x:v>4</x:v>
      </x:c>
      <x:c r="S3566" s="11" t="n">
        <x:f>IF(D3566="Completed",L3566,0)</x:f>
        <x:v>0</x:v>
      </x:c>
      <x:c r="T3566" s="8" t="n">
        <x:f>DATE(YEAR(C3566),MONTH(C3566),1)</x:f>
        <x:v>45870</x:v>
      </x:c>
    </x:row>
    <x:row r="3567" ht="22" customHeight="1">
      <x:c r="A3567" s="2" t="str">
        <x:v>L003563</x:v>
      </x:c>
      <x:c r="B3567" s="2" t="str">
        <x:v>O01456</x:v>
      </x:c>
      <x:c r="C3567" s="7" t="n">
        <x:v>45838</x:v>
      </x:c>
      <x:c r="D3567" s="2" t="str">
        <x:v>Completed</x:v>
      </x:c>
      <x:c r="E3567" s="2" t="str">
        <x:v>East</x:v>
      </x:c>
      <x:c r="F3567" s="2" t="str">
        <x:v>Store</x:v>
      </x:c>
      <x:c r="G3567" s="2" t="str">
        <x:v>Lighting</x:v>
      </x:c>
      <x:c r="H3567" s="2" t="str">
        <x:v>Lamp 009</x:v>
      </x:c>
      <x:c r="I3567" s="11" t="n">
        <x:v>4</x:v>
      </x:c>
      <x:c r="J3567" s="9" t="n">
        <x:v>93</x:v>
      </x:c>
      <x:c r="K3567" s="10" t="n">
        <x:v>0.05</x:v>
      </x:c>
      <x:c r="L3567" s="11" t="n">
        <x:v>0</x:v>
      </x:c>
      <x:c r="M3567" s="9" t="n">
        <x:f>IF(D3567="Completed",I3567*J3567,0)</x:f>
        <x:v>372</x:v>
      </x:c>
      <x:c r="N3567" s="9" t="n">
        <x:f>M3567*K3567</x:f>
        <x:v>18.6</x:v>
      </x:c>
      <x:c r="O3567" s="9" t="n">
        <x:f>M3567-N3567</x:f>
        <x:v>353.4</x:v>
      </x:c>
      <x:c r="P3567" s="9" t="n">
        <x:f>IF(D3567="Completed",L3567*J3567*(1-K3567),0)</x:f>
        <x:v>0</x:v>
      </x:c>
      <x:c r="Q3567" s="9" t="n">
        <x:f>O3567-P3567</x:f>
        <x:v>353.4</x:v>
      </x:c>
      <x:c r="R3567" s="11" t="n">
        <x:f>IF(D3567="Completed",I3567,0)</x:f>
        <x:v>4</x:v>
      </x:c>
      <x:c r="S3567" s="11" t="n">
        <x:f>IF(D3567="Completed",L3567,0)</x:f>
        <x:v>0</x:v>
      </x:c>
      <x:c r="T3567" s="8" t="n">
        <x:f>DATE(YEAR(C3567),MONTH(C3567),1)</x:f>
        <x:v>45809</x:v>
      </x:c>
    </x:row>
    <x:row r="3568" ht="22" customHeight="1">
      <x:c r="A3568" s="2" t="str">
        <x:v>L003564</x:v>
      </x:c>
      <x:c r="B3568" s="2" t="str">
        <x:v>O01456</x:v>
      </x:c>
      <x:c r="C3568" s="7" t="n">
        <x:v>45838</x:v>
      </x:c>
      <x:c r="D3568" s="2" t="str">
        <x:v>Completed</x:v>
      </x:c>
      <x:c r="E3568" s="2" t="str">
        <x:v>East</x:v>
      </x:c>
      <x:c r="F3568" s="2" t="str">
        <x:v>Store</x:v>
      </x:c>
      <x:c r="G3568" s="2" t="str">
        <x:v>Lighting</x:v>
      </x:c>
      <x:c r="H3568" s="2" t="str">
        <x:v>Lamp 013</x:v>
      </x:c>
      <x:c r="I3568" s="11" t="n">
        <x:v>5</x:v>
      </x:c>
      <x:c r="J3568" s="9" t="n">
        <x:v>271</x:v>
      </x:c>
      <x:c r="K3568" s="10" t="n">
        <x:v>0.2</x:v>
      </x:c>
      <x:c r="L3568" s="11" t="n">
        <x:v>0</x:v>
      </x:c>
      <x:c r="M3568" s="9" t="n">
        <x:f>IF(D3568="Completed",I3568*J3568,0)</x:f>
        <x:v>1355</x:v>
      </x:c>
      <x:c r="N3568" s="9" t="n">
        <x:f>M3568*K3568</x:f>
        <x:v>271</x:v>
      </x:c>
      <x:c r="O3568" s="9" t="n">
        <x:f>M3568-N3568</x:f>
        <x:v>1084</x:v>
      </x:c>
      <x:c r="P3568" s="9" t="n">
        <x:f>IF(D3568="Completed",L3568*J3568*(1-K3568),0)</x:f>
        <x:v>0</x:v>
      </x:c>
      <x:c r="Q3568" s="9" t="n">
        <x:f>O3568-P3568</x:f>
        <x:v>1084</x:v>
      </x:c>
      <x:c r="R3568" s="11" t="n">
        <x:f>IF(D3568="Completed",I3568,0)</x:f>
        <x:v>5</x:v>
      </x:c>
      <x:c r="S3568" s="11" t="n">
        <x:f>IF(D3568="Completed",L3568,0)</x:f>
        <x:v>0</x:v>
      </x:c>
      <x:c r="T3568" s="8" t="n">
        <x:f>DATE(YEAR(C3568),MONTH(C3568),1)</x:f>
        <x:v>45809</x:v>
      </x:c>
    </x:row>
    <x:row r="3569" ht="22" customHeight="1">
      <x:c r="A3569" s="2" t="str">
        <x:v>L003565</x:v>
      </x:c>
      <x:c r="B3569" s="2" t="str">
        <x:v>O01456</x:v>
      </x:c>
      <x:c r="C3569" s="7" t="n">
        <x:v>45838</x:v>
      </x:c>
      <x:c r="D3569" s="2" t="str">
        <x:v>Completed</x:v>
      </x:c>
      <x:c r="E3569" s="2" t="str">
        <x:v>East</x:v>
      </x:c>
      <x:c r="F3569" s="2" t="str">
        <x:v>Store</x:v>
      </x:c>
      <x:c r="G3569" s="2" t="str">
        <x:v>Lighting</x:v>
      </x:c>
      <x:c r="H3569" s="2" t="str">
        <x:v>Lamp 021</x:v>
      </x:c>
      <x:c r="I3569" s="11" t="n">
        <x:v>1</x:v>
      </x:c>
      <x:c r="J3569" s="9" t="n">
        <x:v>249</x:v>
      </x:c>
      <x:c r="K3569" s="10" t="n">
        <x:v>0</x:v>
      </x:c>
      <x:c r="L3569" s="11" t="n">
        <x:v>0</x:v>
      </x:c>
      <x:c r="M3569" s="9" t="n">
        <x:f>IF(D3569="Completed",I3569*J3569,0)</x:f>
        <x:v>249</x:v>
      </x:c>
      <x:c r="N3569" s="9" t="n">
        <x:f>M3569*K3569</x:f>
        <x:v>0</x:v>
      </x:c>
      <x:c r="O3569" s="9" t="n">
        <x:f>M3569-N3569</x:f>
        <x:v>249</x:v>
      </x:c>
      <x:c r="P3569" s="9" t="n">
        <x:f>IF(D3569="Completed",L3569*J3569*(1-K3569),0)</x:f>
        <x:v>0</x:v>
      </x:c>
      <x:c r="Q3569" s="9" t="n">
        <x:f>O3569-P3569</x:f>
        <x:v>249</x:v>
      </x:c>
      <x:c r="R3569" s="11" t="n">
        <x:f>IF(D3569="Completed",I3569,0)</x:f>
        <x:v>1</x:v>
      </x:c>
      <x:c r="S3569" s="11" t="n">
        <x:f>IF(D3569="Completed",L3569,0)</x:f>
        <x:v>0</x:v>
      </x:c>
      <x:c r="T3569" s="8" t="n">
        <x:f>DATE(YEAR(C3569),MONTH(C3569),1)</x:f>
        <x:v>45809</x:v>
      </x:c>
    </x:row>
    <x:row r="3570" ht="22" customHeight="1">
      <x:c r="A3570" s="2" t="str">
        <x:v>L003566</x:v>
      </x:c>
      <x:c r="B3570" s="2" t="str">
        <x:v>O01457</x:v>
      </x:c>
      <x:c r="C3570" s="7" t="n">
        <x:v>45827</x:v>
      </x:c>
      <x:c r="D3570" s="2" t="str">
        <x:v>Completed</x:v>
      </x:c>
      <x:c r="E3570" s="2" t="str">
        <x:v>East</x:v>
      </x:c>
      <x:c r="F3570" s="2" t="str">
        <x:v>Store</x:v>
      </x:c>
      <x:c r="G3570" s="2" t="str">
        <x:v>Lighting</x:v>
      </x:c>
      <x:c r="H3570" s="2" t="str">
        <x:v>Lamp 017</x:v>
      </x:c>
      <x:c r="I3570" s="11" t="n">
        <x:v>3</x:v>
      </x:c>
      <x:c r="J3570" s="9" t="n">
        <x:v>300</x:v>
      </x:c>
      <x:c r="K3570" s="10" t="n">
        <x:v>0.05</x:v>
      </x:c>
      <x:c r="L3570" s="11" t="n">
        <x:v>0</x:v>
      </x:c>
      <x:c r="M3570" s="9" t="n">
        <x:f>IF(D3570="Completed",I3570*J3570,0)</x:f>
        <x:v>900</x:v>
      </x:c>
      <x:c r="N3570" s="9" t="n">
        <x:f>M3570*K3570</x:f>
        <x:v>45</x:v>
      </x:c>
      <x:c r="O3570" s="9" t="n">
        <x:f>M3570-N3570</x:f>
        <x:v>855</x:v>
      </x:c>
      <x:c r="P3570" s="9" t="n">
        <x:f>IF(D3570="Completed",L3570*J3570*(1-K3570),0)</x:f>
        <x:v>0</x:v>
      </x:c>
      <x:c r="Q3570" s="9" t="n">
        <x:f>O3570-P3570</x:f>
        <x:v>855</x:v>
      </x:c>
      <x:c r="R3570" s="11" t="n">
        <x:f>IF(D3570="Completed",I3570,0)</x:f>
        <x:v>3</x:v>
      </x:c>
      <x:c r="S3570" s="11" t="n">
        <x:f>IF(D3570="Completed",L3570,0)</x:f>
        <x:v>0</x:v>
      </x:c>
      <x:c r="T3570" s="8" t="n">
        <x:f>DATE(YEAR(C3570),MONTH(C3570),1)</x:f>
        <x:v>45809</x:v>
      </x:c>
    </x:row>
    <x:row r="3571" ht="22" customHeight="1">
      <x:c r="A3571" s="2" t="str">
        <x:v>L003567</x:v>
      </x:c>
      <x:c r="B3571" s="2" t="str">
        <x:v>O01457</x:v>
      </x:c>
      <x:c r="C3571" s="7" t="n">
        <x:v>45827</x:v>
      </x:c>
      <x:c r="D3571" s="2" t="str">
        <x:v>Completed</x:v>
      </x:c>
      <x:c r="E3571" s="2" t="str">
        <x:v>East</x:v>
      </x:c>
      <x:c r="F3571" s="2" t="str">
        <x:v>Store</x:v>
      </x:c>
      <x:c r="G3571" s="2" t="str">
        <x:v>Furniture</x:v>
      </x:c>
      <x:c r="H3571" s="2" t="str">
        <x:v>Desk 016</x:v>
      </x:c>
      <x:c r="I3571" s="11" t="n">
        <x:v>4</x:v>
      </x:c>
      <x:c r="J3571" s="9" t="n">
        <x:v>231</x:v>
      </x:c>
      <x:c r="K3571" s="10" t="n">
        <x:v>0</x:v>
      </x:c>
      <x:c r="L3571" s="11" t="n">
        <x:v>0</x:v>
      </x:c>
      <x:c r="M3571" s="9" t="n">
        <x:f>IF(D3571="Completed",I3571*J3571,0)</x:f>
        <x:v>924</x:v>
      </x:c>
      <x:c r="N3571" s="9" t="n">
        <x:f>M3571*K3571</x:f>
        <x:v>0</x:v>
      </x:c>
      <x:c r="O3571" s="9" t="n">
        <x:f>M3571-N3571</x:f>
        <x:v>924</x:v>
      </x:c>
      <x:c r="P3571" s="9" t="n">
        <x:f>IF(D3571="Completed",L3571*J3571*(1-K3571),0)</x:f>
        <x:v>0</x:v>
      </x:c>
      <x:c r="Q3571" s="9" t="n">
        <x:f>O3571-P3571</x:f>
        <x:v>924</x:v>
      </x:c>
      <x:c r="R3571" s="11" t="n">
        <x:f>IF(D3571="Completed",I3571,0)</x:f>
        <x:v>4</x:v>
      </x:c>
      <x:c r="S3571" s="11" t="n">
        <x:f>IF(D3571="Completed",L3571,0)</x:f>
        <x:v>0</x:v>
      </x:c>
      <x:c r="T3571" s="8" t="n">
        <x:f>DATE(YEAR(C3571),MONTH(C3571),1)</x:f>
        <x:v>45809</x:v>
      </x:c>
    </x:row>
    <x:row r="3572" ht="22" customHeight="1">
      <x:c r="A3572" s="2" t="str">
        <x:v>L003568</x:v>
      </x:c>
      <x:c r="B3572" s="2" t="str">
        <x:v>O01458</x:v>
      </x:c>
      <x:c r="C3572" s="7" t="n">
        <x:v>45986</x:v>
      </x:c>
      <x:c r="D3572" s="2" t="str">
        <x:v>Completed</x:v>
      </x:c>
      <x:c r="E3572" s="2" t="str">
        <x:v>South</x:v>
      </x:c>
      <x:c r="F3572" s="2" t="str">
        <x:v>Online</x:v>
      </x:c>
      <x:c r="G3572" s="2" t="str">
        <x:v>Lighting</x:v>
      </x:c>
      <x:c r="H3572" s="2" t="str">
        <x:v>Lamp 021</x:v>
      </x:c>
      <x:c r="I3572" s="11" t="n">
        <x:v>1</x:v>
      </x:c>
      <x:c r="J3572" s="9" t="n">
        <x:v>249</x:v>
      </x:c>
      <x:c r="K3572" s="10" t="n">
        <x:v>0.2</x:v>
      </x:c>
      <x:c r="L3572" s="11" t="n">
        <x:v>0</x:v>
      </x:c>
      <x:c r="M3572" s="9" t="n">
        <x:f>IF(D3572="Completed",I3572*J3572,0)</x:f>
        <x:v>249</x:v>
      </x:c>
      <x:c r="N3572" s="9" t="n">
        <x:f>M3572*K3572</x:f>
        <x:v>49.800000000000004</x:v>
      </x:c>
      <x:c r="O3572" s="9" t="n">
        <x:f>M3572-N3572</x:f>
        <x:v>199.2</x:v>
      </x:c>
      <x:c r="P3572" s="9" t="n">
        <x:f>IF(D3572="Completed",L3572*J3572*(1-K3572),0)</x:f>
        <x:v>0</x:v>
      </x:c>
      <x:c r="Q3572" s="9" t="n">
        <x:f>O3572-P3572</x:f>
        <x:v>199.2</x:v>
      </x:c>
      <x:c r="R3572" s="11" t="n">
        <x:f>IF(D3572="Completed",I3572,0)</x:f>
        <x:v>1</x:v>
      </x:c>
      <x:c r="S3572" s="11" t="n">
        <x:f>IF(D3572="Completed",L3572,0)</x:f>
        <x:v>0</x:v>
      </x:c>
      <x:c r="T3572" s="8" t="n">
        <x:f>DATE(YEAR(C3572),MONTH(C3572),1)</x:f>
        <x:v>45962</x:v>
      </x:c>
    </x:row>
    <x:row r="3573" ht="22" customHeight="1">
      <x:c r="A3573" s="2" t="str">
        <x:v>L003569</x:v>
      </x:c>
      <x:c r="B3573" s="2" t="str">
        <x:v>O01458</x:v>
      </x:c>
      <x:c r="C3573" s="7" t="n">
        <x:v>45986</x:v>
      </x:c>
      <x:c r="D3573" s="2" t="str">
        <x:v>Completed</x:v>
      </x:c>
      <x:c r="E3573" s="2" t="str">
        <x:v>South</x:v>
      </x:c>
      <x:c r="F3573" s="2" t="str">
        <x:v>Online</x:v>
      </x:c>
      <x:c r="G3573" s="2" t="str">
        <x:v>Lighting</x:v>
      </x:c>
      <x:c r="H3573" s="2" t="str">
        <x:v>Lamp 001</x:v>
      </x:c>
      <x:c r="I3573" s="11" t="n">
        <x:v>5</x:v>
      </x:c>
      <x:c r="J3573" s="9" t="n">
        <x:v>122</x:v>
      </x:c>
      <x:c r="K3573" s="10" t="n">
        <x:v>0.1</x:v>
      </x:c>
      <x:c r="L3573" s="11" t="n">
        <x:v>0</x:v>
      </x:c>
      <x:c r="M3573" s="9" t="n">
        <x:f>IF(D3573="Completed",I3573*J3573,0)</x:f>
        <x:v>610</x:v>
      </x:c>
      <x:c r="N3573" s="9" t="n">
        <x:f>M3573*K3573</x:f>
        <x:v>61</x:v>
      </x:c>
      <x:c r="O3573" s="9" t="n">
        <x:f>M3573-N3573</x:f>
        <x:v>549</x:v>
      </x:c>
      <x:c r="P3573" s="9" t="n">
        <x:f>IF(D3573="Completed",L3573*J3573*(1-K3573),0)</x:f>
        <x:v>0</x:v>
      </x:c>
      <x:c r="Q3573" s="9" t="n">
        <x:f>O3573-P3573</x:f>
        <x:v>549</x:v>
      </x:c>
      <x:c r="R3573" s="11" t="n">
        <x:f>IF(D3573="Completed",I3573,0)</x:f>
        <x:v>5</x:v>
      </x:c>
      <x:c r="S3573" s="11" t="n">
        <x:f>IF(D3573="Completed",L3573,0)</x:f>
        <x:v>0</x:v>
      </x:c>
      <x:c r="T3573" s="8" t="n">
        <x:f>DATE(YEAR(C3573),MONTH(C3573),1)</x:f>
        <x:v>45962</x:v>
      </x:c>
    </x:row>
    <x:row r="3574" ht="22" customHeight="1">
      <x:c r="A3574" s="2" t="str">
        <x:v>L003570</x:v>
      </x:c>
      <x:c r="B3574" s="2" t="str">
        <x:v>O01458</x:v>
      </x:c>
      <x:c r="C3574" s="7" t="n">
        <x:v>45986</x:v>
      </x:c>
      <x:c r="D3574" s="2" t="str">
        <x:v>Completed</x:v>
      </x:c>
      <x:c r="E3574" s="2" t="str">
        <x:v>South</x:v>
      </x:c>
      <x:c r="F3574" s="2" t="str">
        <x:v>Online</x:v>
      </x:c>
      <x:c r="G3574" s="2" t="str">
        <x:v>Furniture</x:v>
      </x:c>
      <x:c r="H3574" s="2" t="str">
        <x:v>Desk 016</x:v>
      </x:c>
      <x:c r="I3574" s="11" t="n">
        <x:v>2</x:v>
      </x:c>
      <x:c r="J3574" s="9" t="n">
        <x:v>231</x:v>
      </x:c>
      <x:c r="K3574" s="10" t="n">
        <x:v>0.05</x:v>
      </x:c>
      <x:c r="L3574" s="11" t="n">
        <x:v>0</x:v>
      </x:c>
      <x:c r="M3574" s="9" t="n">
        <x:f>IF(D3574="Completed",I3574*J3574,0)</x:f>
        <x:v>462</x:v>
      </x:c>
      <x:c r="N3574" s="9" t="n">
        <x:f>M3574*K3574</x:f>
        <x:v>23.1</x:v>
      </x:c>
      <x:c r="O3574" s="9" t="n">
        <x:f>M3574-N3574</x:f>
        <x:v>438.9</x:v>
      </x:c>
      <x:c r="P3574" s="9" t="n">
        <x:f>IF(D3574="Completed",L3574*J3574*(1-K3574),0)</x:f>
        <x:v>0</x:v>
      </x:c>
      <x:c r="Q3574" s="9" t="n">
        <x:f>O3574-P3574</x:f>
        <x:v>438.9</x:v>
      </x:c>
      <x:c r="R3574" s="11" t="n">
        <x:f>IF(D3574="Completed",I3574,0)</x:f>
        <x:v>2</x:v>
      </x:c>
      <x:c r="S3574" s="11" t="n">
        <x:f>IF(D3574="Completed",L3574,0)</x:f>
        <x:v>0</x:v>
      </x:c>
      <x:c r="T3574" s="8" t="n">
        <x:f>DATE(YEAR(C3574),MONTH(C3574),1)</x:f>
        <x:v>45962</x:v>
      </x:c>
    </x:row>
    <x:row r="3575" ht="22" customHeight="1">
      <x:c r="A3575" s="2" t="str">
        <x:v>L003571</x:v>
      </x:c>
      <x:c r="B3575" s="2" t="str">
        <x:v>O01458</x:v>
      </x:c>
      <x:c r="C3575" s="7" t="n">
        <x:v>45986</x:v>
      </x:c>
      <x:c r="D3575" s="2" t="str">
        <x:v>Completed</x:v>
      </x:c>
      <x:c r="E3575" s="2" t="str">
        <x:v>South</x:v>
      </x:c>
      <x:c r="F3575" s="2" t="str">
        <x:v>Online</x:v>
      </x:c>
      <x:c r="G3575" s="2" t="str">
        <x:v>Furniture</x:v>
      </x:c>
      <x:c r="H3575" s="2" t="str">
        <x:v>Desk 024</x:v>
      </x:c>
      <x:c r="I3575" s="11" t="n">
        <x:v>5</x:v>
      </x:c>
      <x:c r="J3575" s="9" t="n">
        <x:v>81</x:v>
      </x:c>
      <x:c r="K3575" s="10" t="n">
        <x:v>0.2</x:v>
      </x:c>
      <x:c r="L3575" s="11" t="n">
        <x:v>0</x:v>
      </x:c>
      <x:c r="M3575" s="9" t="n">
        <x:f>IF(D3575="Completed",I3575*J3575,0)</x:f>
        <x:v>405</x:v>
      </x:c>
      <x:c r="N3575" s="9" t="n">
        <x:f>M3575*K3575</x:f>
        <x:v>81</x:v>
      </x:c>
      <x:c r="O3575" s="9" t="n">
        <x:f>M3575-N3575</x:f>
        <x:v>324</x:v>
      </x:c>
      <x:c r="P3575" s="9" t="n">
        <x:f>IF(D3575="Completed",L3575*J3575*(1-K3575),0)</x:f>
        <x:v>0</x:v>
      </x:c>
      <x:c r="Q3575" s="9" t="n">
        <x:f>O3575-P3575</x:f>
        <x:v>324</x:v>
      </x:c>
      <x:c r="R3575" s="11" t="n">
        <x:f>IF(D3575="Completed",I3575,0)</x:f>
        <x:v>5</x:v>
      </x:c>
      <x:c r="S3575" s="11" t="n">
        <x:f>IF(D3575="Completed",L3575,0)</x:f>
        <x:v>0</x:v>
      </x:c>
      <x:c r="T3575" s="8" t="n">
        <x:f>DATE(YEAR(C3575),MONTH(C3575),1)</x:f>
        <x:v>45962</x:v>
      </x:c>
    </x:row>
    <x:row r="3576" ht="22" customHeight="1">
      <x:c r="A3576" s="2" t="str">
        <x:v>L003572</x:v>
      </x:c>
      <x:c r="B3576" s="2" t="str">
        <x:v>O01459</x:v>
      </x:c>
      <x:c r="C3576" s="7" t="n">
        <x:v>45757</x:v>
      </x:c>
      <x:c r="D3576" s="2" t="str">
        <x:v>Completed</x:v>
      </x:c>
      <x:c r="E3576" s="2" t="str">
        <x:v>East</x:v>
      </x:c>
      <x:c r="F3576" s="2" t="str">
        <x:v>Online</x:v>
      </x:c>
      <x:c r="G3576" s="2" t="str">
        <x:v>Storage</x:v>
      </x:c>
      <x:c r="H3576" s="2" t="str">
        <x:v>Shelf 023</x:v>
      </x:c>
      <x:c r="I3576" s="11" t="n">
        <x:v>5</x:v>
      </x:c>
      <x:c r="J3576" s="9" t="n">
        <x:v>68</x:v>
      </x:c>
      <x:c r="K3576" s="10" t="n">
        <x:v>0.05</x:v>
      </x:c>
      <x:c r="L3576" s="11" t="n">
        <x:v>3</x:v>
      </x:c>
      <x:c r="M3576" s="9" t="n">
        <x:f>IF(D3576="Completed",I3576*J3576,0)</x:f>
        <x:v>340</x:v>
      </x:c>
      <x:c r="N3576" s="9" t="n">
        <x:f>M3576*K3576</x:f>
        <x:v>17</x:v>
      </x:c>
      <x:c r="O3576" s="9" t="n">
        <x:f>M3576-N3576</x:f>
        <x:v>323</x:v>
      </x:c>
      <x:c r="P3576" s="9" t="n">
        <x:f>IF(D3576="Completed",L3576*J3576*(1-K3576),0)</x:f>
        <x:v>193.79999999999998</x:v>
      </x:c>
      <x:c r="Q3576" s="9" t="n">
        <x:f>O3576-P3576</x:f>
        <x:v>129.20000000000002</x:v>
      </x:c>
      <x:c r="R3576" s="11" t="n">
        <x:f>IF(D3576="Completed",I3576,0)</x:f>
        <x:v>5</x:v>
      </x:c>
      <x:c r="S3576" s="11" t="n">
        <x:f>IF(D3576="Completed",L3576,0)</x:f>
        <x:v>3</x:v>
      </x:c>
      <x:c r="T3576" s="8" t="n">
        <x:f>DATE(YEAR(C3576),MONTH(C3576),1)</x:f>
        <x:v>45748</x:v>
      </x:c>
    </x:row>
    <x:row r="3577" ht="22" customHeight="1">
      <x:c r="A3577" s="2" t="str">
        <x:v>L003573</x:v>
      </x:c>
      <x:c r="B3577" s="2" t="str">
        <x:v>O01460</x:v>
      </x:c>
      <x:c r="C3577" s="7" t="n">
        <x:v>45910</x:v>
      </x:c>
      <x:c r="D3577" s="2" t="str">
        <x:v>Completed</x:v>
      </x:c>
      <x:c r="E3577" s="2" t="str">
        <x:v>West</x:v>
      </x:c>
      <x:c r="F3577" s="2" t="str">
        <x:v>Online</x:v>
      </x:c>
      <x:c r="G3577" s="2" t="str">
        <x:v>Furniture</x:v>
      </x:c>
      <x:c r="H3577" s="2" t="str">
        <x:v>Desk 016</x:v>
      </x:c>
      <x:c r="I3577" s="11" t="n">
        <x:v>3</x:v>
      </x:c>
      <x:c r="J3577" s="9" t="n">
        <x:v>231</x:v>
      </x:c>
      <x:c r="K3577" s="10" t="n">
        <x:v>0.05</x:v>
      </x:c>
      <x:c r="L3577" s="11" t="n">
        <x:v>0</x:v>
      </x:c>
      <x:c r="M3577" s="9" t="n">
        <x:f>IF(D3577="Completed",I3577*J3577,0)</x:f>
        <x:v>693</x:v>
      </x:c>
      <x:c r="N3577" s="9" t="n">
        <x:f>M3577*K3577</x:f>
        <x:v>34.65</x:v>
      </x:c>
      <x:c r="O3577" s="9" t="n">
        <x:f>M3577-N3577</x:f>
        <x:v>658.35</x:v>
      </x:c>
      <x:c r="P3577" s="9" t="n">
        <x:f>IF(D3577="Completed",L3577*J3577*(1-K3577),0)</x:f>
        <x:v>0</x:v>
      </x:c>
      <x:c r="Q3577" s="9" t="n">
        <x:f>O3577-P3577</x:f>
        <x:v>658.35</x:v>
      </x:c>
      <x:c r="R3577" s="11" t="n">
        <x:f>IF(D3577="Completed",I3577,0)</x:f>
        <x:v>3</x:v>
      </x:c>
      <x:c r="S3577" s="11" t="n">
        <x:f>IF(D3577="Completed",L3577,0)</x:f>
        <x:v>0</x:v>
      </x:c>
      <x:c r="T3577" s="8" t="n">
        <x:f>DATE(YEAR(C3577),MONTH(C3577),1)</x:f>
        <x:v>45901</x:v>
      </x:c>
    </x:row>
    <x:row r="3578" ht="22" customHeight="1">
      <x:c r="A3578" s="2" t="str">
        <x:v>L003574</x:v>
      </x:c>
      <x:c r="B3578" s="2" t="str">
        <x:v>O01460</x:v>
      </x:c>
      <x:c r="C3578" s="7" t="n">
        <x:v>45910</x:v>
      </x:c>
      <x:c r="D3578" s="2" t="str">
        <x:v>Completed</x:v>
      </x:c>
      <x:c r="E3578" s="2" t="str">
        <x:v>West</x:v>
      </x:c>
      <x:c r="F3578" s="2" t="str">
        <x:v>Online</x:v>
      </x:c>
      <x:c r="G3578" s="2" t="str">
        <x:v>Storage</x:v>
      </x:c>
      <x:c r="H3578" s="2" t="str">
        <x:v>Shelf 011</x:v>
      </x:c>
      <x:c r="I3578" s="11" t="n">
        <x:v>1</x:v>
      </x:c>
      <x:c r="J3578" s="9" t="n">
        <x:v>80</x:v>
      </x:c>
      <x:c r="K3578" s="10" t="n">
        <x:v>0.1</x:v>
      </x:c>
      <x:c r="L3578" s="11" t="n">
        <x:v>0</x:v>
      </x:c>
      <x:c r="M3578" s="9" t="n">
        <x:f>IF(D3578="Completed",I3578*J3578,0)</x:f>
        <x:v>80</x:v>
      </x:c>
      <x:c r="N3578" s="9" t="n">
        <x:f>M3578*K3578</x:f>
        <x:v>8</x:v>
      </x:c>
      <x:c r="O3578" s="9" t="n">
        <x:f>M3578-N3578</x:f>
        <x:v>72</x:v>
      </x:c>
      <x:c r="P3578" s="9" t="n">
        <x:f>IF(D3578="Completed",L3578*J3578*(1-K3578),0)</x:f>
        <x:v>0</x:v>
      </x:c>
      <x:c r="Q3578" s="9" t="n">
        <x:f>O3578-P3578</x:f>
        <x:v>72</x:v>
      </x:c>
      <x:c r="R3578" s="11" t="n">
        <x:f>IF(D3578="Completed",I3578,0)</x:f>
        <x:v>1</x:v>
      </x:c>
      <x:c r="S3578" s="11" t="n">
        <x:f>IF(D3578="Completed",L3578,0)</x:f>
        <x:v>0</x:v>
      </x:c>
      <x:c r="T3578" s="8" t="n">
        <x:f>DATE(YEAR(C3578),MONTH(C3578),1)</x:f>
        <x:v>45901</x:v>
      </x:c>
    </x:row>
    <x:row r="3579" ht="22" customHeight="1">
      <x:c r="A3579" s="2" t="str">
        <x:v>L003575</x:v>
      </x:c>
      <x:c r="B3579" s="2" t="str">
        <x:v>O01460</x:v>
      </x:c>
      <x:c r="C3579" s="7" t="n">
        <x:v>45910</x:v>
      </x:c>
      <x:c r="D3579" s="2" t="str">
        <x:v>Completed</x:v>
      </x:c>
      <x:c r="E3579" s="2" t="str">
        <x:v>West</x:v>
      </x:c>
      <x:c r="F3579" s="2" t="str">
        <x:v>Online</x:v>
      </x:c>
      <x:c r="G3579" s="2" t="str">
        <x:v>Furniture</x:v>
      </x:c>
      <x:c r="H3579" s="2" t="str">
        <x:v>Chair 006</x:v>
      </x:c>
      <x:c r="I3579" s="11" t="n">
        <x:v>1</x:v>
      </x:c>
      <x:c r="J3579" s="9" t="n">
        <x:v>196</x:v>
      </x:c>
      <x:c r="K3579" s="10" t="n">
        <x:v>0</x:v>
      </x:c>
      <x:c r="L3579" s="11" t="n">
        <x:v>0</x:v>
      </x:c>
      <x:c r="M3579" s="9" t="n">
        <x:f>IF(D3579="Completed",I3579*J3579,0)</x:f>
        <x:v>196</x:v>
      </x:c>
      <x:c r="N3579" s="9" t="n">
        <x:f>M3579*K3579</x:f>
        <x:v>0</x:v>
      </x:c>
      <x:c r="O3579" s="9" t="n">
        <x:f>M3579-N3579</x:f>
        <x:v>196</x:v>
      </x:c>
      <x:c r="P3579" s="9" t="n">
        <x:f>IF(D3579="Completed",L3579*J3579*(1-K3579),0)</x:f>
        <x:v>0</x:v>
      </x:c>
      <x:c r="Q3579" s="9" t="n">
        <x:f>O3579-P3579</x:f>
        <x:v>196</x:v>
      </x:c>
      <x:c r="R3579" s="11" t="n">
        <x:f>IF(D3579="Completed",I3579,0)</x:f>
        <x:v>1</x:v>
      </x:c>
      <x:c r="S3579" s="11" t="n">
        <x:f>IF(D3579="Completed",L3579,0)</x:f>
        <x:v>0</x:v>
      </x:c>
      <x:c r="T3579" s="8" t="n">
        <x:f>DATE(YEAR(C3579),MONTH(C3579),1)</x:f>
        <x:v>45901</x:v>
      </x:c>
    </x:row>
    <x:row r="3580" ht="22" customHeight="1">
      <x:c r="A3580" s="2" t="str">
        <x:v>L003576</x:v>
      </x:c>
      <x:c r="B3580" s="2" t="str">
        <x:v>O01461</x:v>
      </x:c>
      <x:c r="C3580" s="7" t="n">
        <x:v>45771</x:v>
      </x:c>
      <x:c r="D3580" s="2" t="str">
        <x:v>Completed</x:v>
      </x:c>
      <x:c r="E3580" s="2" t="str">
        <x:v>West</x:v>
      </x:c>
      <x:c r="F3580" s="2" t="str">
        <x:v>Store</x:v>
      </x:c>
      <x:c r="G3580" s="2" t="str">
        <x:v>Storage</x:v>
      </x:c>
      <x:c r="H3580" s="2" t="str">
        <x:v>Shelf 019</x:v>
      </x:c>
      <x:c r="I3580" s="11" t="n">
        <x:v>3</x:v>
      </x:c>
      <x:c r="J3580" s="9" t="n">
        <x:v>78</x:v>
      </x:c>
      <x:c r="K3580" s="10" t="n">
        <x:v>0.2</x:v>
      </x:c>
      <x:c r="L3580" s="11" t="n">
        <x:v>0</x:v>
      </x:c>
      <x:c r="M3580" s="9" t="n">
        <x:f>IF(D3580="Completed",I3580*J3580,0)</x:f>
        <x:v>234</x:v>
      </x:c>
      <x:c r="N3580" s="9" t="n">
        <x:f>M3580*K3580</x:f>
        <x:v>46.800000000000004</x:v>
      </x:c>
      <x:c r="O3580" s="9" t="n">
        <x:f>M3580-N3580</x:f>
        <x:v>187.2</x:v>
      </x:c>
      <x:c r="P3580" s="9" t="n">
        <x:f>IF(D3580="Completed",L3580*J3580*(1-K3580),0)</x:f>
        <x:v>0</x:v>
      </x:c>
      <x:c r="Q3580" s="9" t="n">
        <x:f>O3580-P3580</x:f>
        <x:v>187.2</x:v>
      </x:c>
      <x:c r="R3580" s="11" t="n">
        <x:f>IF(D3580="Completed",I3580,0)</x:f>
        <x:v>3</x:v>
      </x:c>
      <x:c r="S3580" s="11" t="n">
        <x:f>IF(D3580="Completed",L3580,0)</x:f>
        <x:v>0</x:v>
      </x:c>
      <x:c r="T3580" s="8" t="n">
        <x:f>DATE(YEAR(C3580),MONTH(C3580),1)</x:f>
        <x:v>45748</x:v>
      </x:c>
    </x:row>
    <x:row r="3581" ht="22" customHeight="1">
      <x:c r="A3581" s="2" t="str">
        <x:v>L003577</x:v>
      </x:c>
      <x:c r="B3581" s="2" t="str">
        <x:v>O01461</x:v>
      </x:c>
      <x:c r="C3581" s="7" t="n">
        <x:v>45771</x:v>
      </x:c>
      <x:c r="D3581" s="2" t="str">
        <x:v>Completed</x:v>
      </x:c>
      <x:c r="E3581" s="2" t="str">
        <x:v>West</x:v>
      </x:c>
      <x:c r="F3581" s="2" t="str">
        <x:v>Store</x:v>
      </x:c>
      <x:c r="G3581" s="2" t="str">
        <x:v>Furniture</x:v>
      </x:c>
      <x:c r="H3581" s="2" t="str">
        <x:v>Chair 002</x:v>
      </x:c>
      <x:c r="I3581" s="11" t="n">
        <x:v>5</x:v>
      </x:c>
      <x:c r="J3581" s="9" t="n">
        <x:v>284</x:v>
      </x:c>
      <x:c r="K3581" s="10" t="n">
        <x:v>0.1</x:v>
      </x:c>
      <x:c r="L3581" s="11" t="n">
        <x:v>0</x:v>
      </x:c>
      <x:c r="M3581" s="9" t="n">
        <x:f>IF(D3581="Completed",I3581*J3581,0)</x:f>
        <x:v>1420</x:v>
      </x:c>
      <x:c r="N3581" s="9" t="n">
        <x:f>M3581*K3581</x:f>
        <x:v>142</x:v>
      </x:c>
      <x:c r="O3581" s="9" t="n">
        <x:f>M3581-N3581</x:f>
        <x:v>1278</x:v>
      </x:c>
      <x:c r="P3581" s="9" t="n">
        <x:f>IF(D3581="Completed",L3581*J3581*(1-K3581),0)</x:f>
        <x:v>0</x:v>
      </x:c>
      <x:c r="Q3581" s="9" t="n">
        <x:f>O3581-P3581</x:f>
        <x:v>1278</x:v>
      </x:c>
      <x:c r="R3581" s="11" t="n">
        <x:f>IF(D3581="Completed",I3581,0)</x:f>
        <x:v>5</x:v>
      </x:c>
      <x:c r="S3581" s="11" t="n">
        <x:f>IF(D3581="Completed",L3581,0)</x:f>
        <x:v>0</x:v>
      </x:c>
      <x:c r="T3581" s="8" t="n">
        <x:f>DATE(YEAR(C3581),MONTH(C3581),1)</x:f>
        <x:v>45748</x:v>
      </x:c>
    </x:row>
    <x:row r="3582" ht="22" customHeight="1">
      <x:c r="A3582" s="2" t="str">
        <x:v>L003578</x:v>
      </x:c>
      <x:c r="B3582" s="2" t="str">
        <x:v>O01461</x:v>
      </x:c>
      <x:c r="C3582" s="7" t="n">
        <x:v>45771</x:v>
      </x:c>
      <x:c r="D3582" s="2" t="str">
        <x:v>Completed</x:v>
      </x:c>
      <x:c r="E3582" s="2" t="str">
        <x:v>West</x:v>
      </x:c>
      <x:c r="F3582" s="2" t="str">
        <x:v>Store</x:v>
      </x:c>
      <x:c r="G3582" s="2" t="str">
        <x:v>Storage</x:v>
      </x:c>
      <x:c r="H3582" s="2" t="str">
        <x:v>Shelf 003</x:v>
      </x:c>
      <x:c r="I3582" s="11" t="n">
        <x:v>3</x:v>
      </x:c>
      <x:c r="J3582" s="9" t="n">
        <x:v>199</x:v>
      </x:c>
      <x:c r="K3582" s="10" t="n">
        <x:v>0.1</x:v>
      </x:c>
      <x:c r="L3582" s="11" t="n">
        <x:v>0</x:v>
      </x:c>
      <x:c r="M3582" s="9" t="n">
        <x:f>IF(D3582="Completed",I3582*J3582,0)</x:f>
        <x:v>597</x:v>
      </x:c>
      <x:c r="N3582" s="9" t="n">
        <x:f>M3582*K3582</x:f>
        <x:v>59.7</x:v>
      </x:c>
      <x:c r="O3582" s="9" t="n">
        <x:f>M3582-N3582</x:f>
        <x:v>537.3</x:v>
      </x:c>
      <x:c r="P3582" s="9" t="n">
        <x:f>IF(D3582="Completed",L3582*J3582*(1-K3582),0)</x:f>
        <x:v>0</x:v>
      </x:c>
      <x:c r="Q3582" s="9" t="n">
        <x:f>O3582-P3582</x:f>
        <x:v>537.3</x:v>
      </x:c>
      <x:c r="R3582" s="11" t="n">
        <x:f>IF(D3582="Completed",I3582,0)</x:f>
        <x:v>3</x:v>
      </x:c>
      <x:c r="S3582" s="11" t="n">
        <x:f>IF(D3582="Completed",L3582,0)</x:f>
        <x:v>0</x:v>
      </x:c>
      <x:c r="T3582" s="8" t="n">
        <x:f>DATE(YEAR(C3582),MONTH(C3582),1)</x:f>
        <x:v>45748</x:v>
      </x:c>
    </x:row>
    <x:row r="3583" ht="22" customHeight="1">
      <x:c r="A3583" s="2" t="str">
        <x:v>L003579</x:v>
      </x:c>
      <x:c r="B3583" s="2" t="str">
        <x:v>O01461</x:v>
      </x:c>
      <x:c r="C3583" s="7" t="n">
        <x:v>45771</x:v>
      </x:c>
      <x:c r="D3583" s="2" t="str">
        <x:v>Completed</x:v>
      </x:c>
      <x:c r="E3583" s="2" t="str">
        <x:v>West</x:v>
      </x:c>
      <x:c r="F3583" s="2" t="str">
        <x:v>Store</x:v>
      </x:c>
      <x:c r="G3583" s="2" t="str">
        <x:v>Furniture</x:v>
      </x:c>
      <x:c r="H3583" s="2" t="str">
        <x:v>Desk 012</x:v>
      </x:c>
      <x:c r="I3583" s="11" t="n">
        <x:v>4</x:v>
      </x:c>
      <x:c r="J3583" s="9" t="n">
        <x:v>134</x:v>
      </x:c>
      <x:c r="K3583" s="10" t="n">
        <x:v>0</x:v>
      </x:c>
      <x:c r="L3583" s="11" t="n">
        <x:v>0</x:v>
      </x:c>
      <x:c r="M3583" s="9" t="n">
        <x:f>IF(D3583="Completed",I3583*J3583,0)</x:f>
        <x:v>536</x:v>
      </x:c>
      <x:c r="N3583" s="9" t="n">
        <x:f>M3583*K3583</x:f>
        <x:v>0</x:v>
      </x:c>
      <x:c r="O3583" s="9" t="n">
        <x:f>M3583-N3583</x:f>
        <x:v>536</x:v>
      </x:c>
      <x:c r="P3583" s="9" t="n">
        <x:f>IF(D3583="Completed",L3583*J3583*(1-K3583),0)</x:f>
        <x:v>0</x:v>
      </x:c>
      <x:c r="Q3583" s="9" t="n">
        <x:f>O3583-P3583</x:f>
        <x:v>536</x:v>
      </x:c>
      <x:c r="R3583" s="11" t="n">
        <x:f>IF(D3583="Completed",I3583,0)</x:f>
        <x:v>4</x:v>
      </x:c>
      <x:c r="S3583" s="11" t="n">
        <x:f>IF(D3583="Completed",L3583,0)</x:f>
        <x:v>0</x:v>
      </x:c>
      <x:c r="T3583" s="8" t="n">
        <x:f>DATE(YEAR(C3583),MONTH(C3583),1)</x:f>
        <x:v>45748</x:v>
      </x:c>
    </x:row>
    <x:row r="3584" ht="22" customHeight="1">
      <x:c r="A3584" s="2" t="str">
        <x:v>L003580</x:v>
      </x:c>
      <x:c r="B3584" s="2" t="str">
        <x:v>O01462</x:v>
      </x:c>
      <x:c r="C3584" s="7" t="n">
        <x:v>45983</x:v>
      </x:c>
      <x:c r="D3584" s="2" t="str">
        <x:v>Completed</x:v>
      </x:c>
      <x:c r="E3584" s="2" t="str">
        <x:v>North</x:v>
      </x:c>
      <x:c r="F3584" s="2" t="str">
        <x:v>Online</x:v>
      </x:c>
      <x:c r="G3584" s="2" t="str">
        <x:v>Storage</x:v>
      </x:c>
      <x:c r="H3584" s="2" t="str">
        <x:v>Shelf 003</x:v>
      </x:c>
      <x:c r="I3584" s="11" t="n">
        <x:v>3</x:v>
      </x:c>
      <x:c r="J3584" s="9" t="n">
        <x:v>199</x:v>
      </x:c>
      <x:c r="K3584" s="10" t="n">
        <x:v>0</x:v>
      </x:c>
      <x:c r="L3584" s="11" t="n">
        <x:v>1</x:v>
      </x:c>
      <x:c r="M3584" s="9" t="n">
        <x:f>IF(D3584="Completed",I3584*J3584,0)</x:f>
        <x:v>597</x:v>
      </x:c>
      <x:c r="N3584" s="9" t="n">
        <x:f>M3584*K3584</x:f>
        <x:v>0</x:v>
      </x:c>
      <x:c r="O3584" s="9" t="n">
        <x:f>M3584-N3584</x:f>
        <x:v>597</x:v>
      </x:c>
      <x:c r="P3584" s="9" t="n">
        <x:f>IF(D3584="Completed",L3584*J3584*(1-K3584),0)</x:f>
        <x:v>199</x:v>
      </x:c>
      <x:c r="Q3584" s="9" t="n">
        <x:f>O3584-P3584</x:f>
        <x:v>398</x:v>
      </x:c>
      <x:c r="R3584" s="11" t="n">
        <x:f>IF(D3584="Completed",I3584,0)</x:f>
        <x:v>3</x:v>
      </x:c>
      <x:c r="S3584" s="11" t="n">
        <x:f>IF(D3584="Completed",L3584,0)</x:f>
        <x:v>1</x:v>
      </x:c>
      <x:c r="T3584" s="8" t="n">
        <x:f>DATE(YEAR(C3584),MONTH(C3584),1)</x:f>
        <x:v>45962</x:v>
      </x:c>
    </x:row>
    <x:row r="3585" ht="22" customHeight="1">
      <x:c r="A3585" s="2" t="str">
        <x:v>L003581</x:v>
      </x:c>
      <x:c r="B3585" s="2" t="str">
        <x:v>O01462</x:v>
      </x:c>
      <x:c r="C3585" s="7" t="n">
        <x:v>45983</x:v>
      </x:c>
      <x:c r="D3585" s="2" t="str">
        <x:v>Completed</x:v>
      </x:c>
      <x:c r="E3585" s="2" t="str">
        <x:v>North</x:v>
      </x:c>
      <x:c r="F3585" s="2" t="str">
        <x:v>Online</x:v>
      </x:c>
      <x:c r="G3585" s="2" t="str">
        <x:v>Furniture</x:v>
      </x:c>
      <x:c r="H3585" s="2" t="str">
        <x:v>Desk 008</x:v>
      </x:c>
      <x:c r="I3585" s="11" t="n">
        <x:v>3</x:v>
      </x:c>
      <x:c r="J3585" s="9" t="n">
        <x:v>188</x:v>
      </x:c>
      <x:c r="K3585" s="10" t="n">
        <x:v>0.05</x:v>
      </x:c>
      <x:c r="L3585" s="11" t="n">
        <x:v>0</x:v>
      </x:c>
      <x:c r="M3585" s="9" t="n">
        <x:f>IF(D3585="Completed",I3585*J3585,0)</x:f>
        <x:v>564</x:v>
      </x:c>
      <x:c r="N3585" s="9" t="n">
        <x:f>M3585*K3585</x:f>
        <x:v>28.200000000000003</x:v>
      </x:c>
      <x:c r="O3585" s="9" t="n">
        <x:f>M3585-N3585</x:f>
        <x:v>535.8</x:v>
      </x:c>
      <x:c r="P3585" s="9" t="n">
        <x:f>IF(D3585="Completed",L3585*J3585*(1-K3585),0)</x:f>
        <x:v>0</x:v>
      </x:c>
      <x:c r="Q3585" s="9" t="n">
        <x:f>O3585-P3585</x:f>
        <x:v>535.8</x:v>
      </x:c>
      <x:c r="R3585" s="11" t="n">
        <x:f>IF(D3585="Completed",I3585,0)</x:f>
        <x:v>3</x:v>
      </x:c>
      <x:c r="S3585" s="11" t="n">
        <x:f>IF(D3585="Completed",L3585,0)</x:f>
        <x:v>0</x:v>
      </x:c>
      <x:c r="T3585" s="8" t="n">
        <x:f>DATE(YEAR(C3585),MONTH(C3585),1)</x:f>
        <x:v>45962</x:v>
      </x:c>
    </x:row>
    <x:row r="3586" ht="22" customHeight="1">
      <x:c r="A3586" s="2" t="str">
        <x:v>L003582</x:v>
      </x:c>
      <x:c r="B3586" s="2" t="str">
        <x:v>O01462</x:v>
      </x:c>
      <x:c r="C3586" s="7" t="n">
        <x:v>45983</x:v>
      </x:c>
      <x:c r="D3586" s="2" t="str">
        <x:v>Completed</x:v>
      </x:c>
      <x:c r="E3586" s="2" t="str">
        <x:v>North</x:v>
      </x:c>
      <x:c r="F3586" s="2" t="str">
        <x:v>Online</x:v>
      </x:c>
      <x:c r="G3586" s="2" t="str">
        <x:v>Lighting</x:v>
      </x:c>
      <x:c r="H3586" s="2" t="str">
        <x:v>Lamp 009</x:v>
      </x:c>
      <x:c r="I3586" s="11" t="n">
        <x:v>1</x:v>
      </x:c>
      <x:c r="J3586" s="9" t="n">
        <x:v>93</x:v>
      </x:c>
      <x:c r="K3586" s="10" t="n">
        <x:v>0.2</x:v>
      </x:c>
      <x:c r="L3586" s="11" t="n">
        <x:v>0</x:v>
      </x:c>
      <x:c r="M3586" s="9" t="n">
        <x:f>IF(D3586="Completed",I3586*J3586,0)</x:f>
        <x:v>93</x:v>
      </x:c>
      <x:c r="N3586" s="9" t="n">
        <x:f>M3586*K3586</x:f>
        <x:v>18.6</x:v>
      </x:c>
      <x:c r="O3586" s="9" t="n">
        <x:f>M3586-N3586</x:f>
        <x:v>74.4</x:v>
      </x:c>
      <x:c r="P3586" s="9" t="n">
        <x:f>IF(D3586="Completed",L3586*J3586*(1-K3586),0)</x:f>
        <x:v>0</x:v>
      </x:c>
      <x:c r="Q3586" s="9" t="n">
        <x:f>O3586-P3586</x:f>
        <x:v>74.4</x:v>
      </x:c>
      <x:c r="R3586" s="11" t="n">
        <x:f>IF(D3586="Completed",I3586,0)</x:f>
        <x:v>1</x:v>
      </x:c>
      <x:c r="S3586" s="11" t="n">
        <x:f>IF(D3586="Completed",L3586,0)</x:f>
        <x:v>0</x:v>
      </x:c>
      <x:c r="T3586" s="8" t="n">
        <x:f>DATE(YEAR(C3586),MONTH(C3586),1)</x:f>
        <x:v>45962</x:v>
      </x:c>
    </x:row>
    <x:row r="3587" ht="22" customHeight="1">
      <x:c r="A3587" s="2" t="str">
        <x:v>L003583</x:v>
      </x:c>
      <x:c r="B3587" s="2" t="str">
        <x:v>O01463</x:v>
      </x:c>
      <x:c r="C3587" s="7" t="n">
        <x:v>45984</x:v>
      </x:c>
      <x:c r="D3587" s="2" t="str">
        <x:v>Completed</x:v>
      </x:c>
      <x:c r="E3587" s="2" t="str">
        <x:v>North</x:v>
      </x:c>
      <x:c r="F3587" s="2" t="str">
        <x:v>Online</x:v>
      </x:c>
      <x:c r="G3587" s="2" t="str">
        <x:v>Furniture</x:v>
      </x:c>
      <x:c r="H3587" s="2" t="str">
        <x:v>Chair 014</x:v>
      </x:c>
      <x:c r="I3587" s="11" t="n">
        <x:v>1</x:v>
      </x:c>
      <x:c r="J3587" s="9" t="n">
        <x:v>294</x:v>
      </x:c>
      <x:c r="K3587" s="10" t="n">
        <x:v>0.1</x:v>
      </x:c>
      <x:c r="L3587" s="11" t="n">
        <x:v>0</x:v>
      </x:c>
      <x:c r="M3587" s="9" t="n">
        <x:f>IF(D3587="Completed",I3587*J3587,0)</x:f>
        <x:v>294</x:v>
      </x:c>
      <x:c r="N3587" s="9" t="n">
        <x:f>M3587*K3587</x:f>
        <x:v>29.400000000000002</x:v>
      </x:c>
      <x:c r="O3587" s="9" t="n">
        <x:f>M3587-N3587</x:f>
        <x:v>264.6</x:v>
      </x:c>
      <x:c r="P3587" s="9" t="n">
        <x:f>IF(D3587="Completed",L3587*J3587*(1-K3587),0)</x:f>
        <x:v>0</x:v>
      </x:c>
      <x:c r="Q3587" s="9" t="n">
        <x:f>O3587-P3587</x:f>
        <x:v>264.6</x:v>
      </x:c>
      <x:c r="R3587" s="11" t="n">
        <x:f>IF(D3587="Completed",I3587,0)</x:f>
        <x:v>1</x:v>
      </x:c>
      <x:c r="S3587" s="11" t="n">
        <x:f>IF(D3587="Completed",L3587,0)</x:f>
        <x:v>0</x:v>
      </x:c>
      <x:c r="T3587" s="8" t="n">
        <x:f>DATE(YEAR(C3587),MONTH(C3587),1)</x:f>
        <x:v>45962</x:v>
      </x:c>
    </x:row>
    <x:row r="3588" ht="22" customHeight="1">
      <x:c r="A3588" s="2" t="str">
        <x:v>L003584</x:v>
      </x:c>
      <x:c r="B3588" s="2" t="str">
        <x:v>O01463</x:v>
      </x:c>
      <x:c r="C3588" s="7" t="n">
        <x:v>45984</x:v>
      </x:c>
      <x:c r="D3588" s="2" t="str">
        <x:v>Completed</x:v>
      </x:c>
      <x:c r="E3588" s="2" t="str">
        <x:v>North</x:v>
      </x:c>
      <x:c r="F3588" s="2" t="str">
        <x:v>Online</x:v>
      </x:c>
      <x:c r="G3588" s="2" t="str">
        <x:v>Furniture</x:v>
      </x:c>
      <x:c r="H3588" s="2" t="str">
        <x:v>Chair 014</x:v>
      </x:c>
      <x:c r="I3588" s="11" t="n">
        <x:v>2</x:v>
      </x:c>
      <x:c r="J3588" s="9" t="n">
        <x:v>294</x:v>
      </x:c>
      <x:c r="K3588" s="10" t="n">
        <x:v>0.1</x:v>
      </x:c>
      <x:c r="L3588" s="11" t="n">
        <x:v>0</x:v>
      </x:c>
      <x:c r="M3588" s="9" t="n">
        <x:f>IF(D3588="Completed",I3588*J3588,0)</x:f>
        <x:v>588</x:v>
      </x:c>
      <x:c r="N3588" s="9" t="n">
        <x:f>M3588*K3588</x:f>
        <x:v>58.800000000000004</x:v>
      </x:c>
      <x:c r="O3588" s="9" t="n">
        <x:f>M3588-N3588</x:f>
        <x:v>529.2</x:v>
      </x:c>
      <x:c r="P3588" s="9" t="n">
        <x:f>IF(D3588="Completed",L3588*J3588*(1-K3588),0)</x:f>
        <x:v>0</x:v>
      </x:c>
      <x:c r="Q3588" s="9" t="n">
        <x:f>O3588-P3588</x:f>
        <x:v>529.2</x:v>
      </x:c>
      <x:c r="R3588" s="11" t="n">
        <x:f>IF(D3588="Completed",I3588,0)</x:f>
        <x:v>2</x:v>
      </x:c>
      <x:c r="S3588" s="11" t="n">
        <x:f>IF(D3588="Completed",L3588,0)</x:f>
        <x:v>0</x:v>
      </x:c>
      <x:c r="T3588" s="8" t="n">
        <x:f>DATE(YEAR(C3588),MONTH(C3588),1)</x:f>
        <x:v>45962</x:v>
      </x:c>
    </x:row>
    <x:row r="3589" ht="22" customHeight="1">
      <x:c r="A3589" s="2" t="str">
        <x:v>L003585</x:v>
      </x:c>
      <x:c r="B3589" s="2" t="str">
        <x:v>O01463</x:v>
      </x:c>
      <x:c r="C3589" s="7" t="n">
        <x:v>45984</x:v>
      </x:c>
      <x:c r="D3589" s="2" t="str">
        <x:v>Completed</x:v>
      </x:c>
      <x:c r="E3589" s="2" t="str">
        <x:v>North</x:v>
      </x:c>
      <x:c r="F3589" s="2" t="str">
        <x:v>Online</x:v>
      </x:c>
      <x:c r="G3589" s="2" t="str">
        <x:v>Storage</x:v>
      </x:c>
      <x:c r="H3589" s="2" t="str">
        <x:v>Shelf 023</x:v>
      </x:c>
      <x:c r="I3589" s="11" t="n">
        <x:v>5</x:v>
      </x:c>
      <x:c r="J3589" s="9" t="n">
        <x:v>68</x:v>
      </x:c>
      <x:c r="K3589" s="10" t="n">
        <x:v>0.1</x:v>
      </x:c>
      <x:c r="L3589" s="11" t="n">
        <x:v>0</x:v>
      </x:c>
      <x:c r="M3589" s="9" t="n">
        <x:f>IF(D3589="Completed",I3589*J3589,0)</x:f>
        <x:v>340</x:v>
      </x:c>
      <x:c r="N3589" s="9" t="n">
        <x:f>M3589*K3589</x:f>
        <x:v>34</x:v>
      </x:c>
      <x:c r="O3589" s="9" t="n">
        <x:f>M3589-N3589</x:f>
        <x:v>306</x:v>
      </x:c>
      <x:c r="P3589" s="9" t="n">
        <x:f>IF(D3589="Completed",L3589*J3589*(1-K3589),0)</x:f>
        <x:v>0</x:v>
      </x:c>
      <x:c r="Q3589" s="9" t="n">
        <x:f>O3589-P3589</x:f>
        <x:v>306</x:v>
      </x:c>
      <x:c r="R3589" s="11" t="n">
        <x:f>IF(D3589="Completed",I3589,0)</x:f>
        <x:v>5</x:v>
      </x:c>
      <x:c r="S3589" s="11" t="n">
        <x:f>IF(D3589="Completed",L3589,0)</x:f>
        <x:v>0</x:v>
      </x:c>
      <x:c r="T3589" s="8" t="n">
        <x:f>DATE(YEAR(C3589),MONTH(C3589),1)</x:f>
        <x:v>45962</x:v>
      </x:c>
    </x:row>
    <x:row r="3590" ht="22" customHeight="1">
      <x:c r="A3590" s="2" t="str">
        <x:v>L003586</x:v>
      </x:c>
      <x:c r="B3590" s="2" t="str">
        <x:v>O01463</x:v>
      </x:c>
      <x:c r="C3590" s="7" t="n">
        <x:v>45984</x:v>
      </x:c>
      <x:c r="D3590" s="2" t="str">
        <x:v>Completed</x:v>
      </x:c>
      <x:c r="E3590" s="2" t="str">
        <x:v>North</x:v>
      </x:c>
      <x:c r="F3590" s="2" t="str">
        <x:v>Online</x:v>
      </x:c>
      <x:c r="G3590" s="2" t="str">
        <x:v>Furniture</x:v>
      </x:c>
      <x:c r="H3590" s="2" t="str">
        <x:v>Chair 014</x:v>
      </x:c>
      <x:c r="I3590" s="11" t="n">
        <x:v>5</x:v>
      </x:c>
      <x:c r="J3590" s="9" t="n">
        <x:v>294</x:v>
      </x:c>
      <x:c r="K3590" s="10" t="n">
        <x:v>0.05</x:v>
      </x:c>
      <x:c r="L3590" s="11" t="n">
        <x:v>0</x:v>
      </x:c>
      <x:c r="M3590" s="9" t="n">
        <x:f>IF(D3590="Completed",I3590*J3590,0)</x:f>
        <x:v>1470</x:v>
      </x:c>
      <x:c r="N3590" s="9" t="n">
        <x:f>M3590*K3590</x:f>
        <x:v>73.5</x:v>
      </x:c>
      <x:c r="O3590" s="9" t="n">
        <x:f>M3590-N3590</x:f>
        <x:v>1396.5</x:v>
      </x:c>
      <x:c r="P3590" s="9" t="n">
        <x:f>IF(D3590="Completed",L3590*J3590*(1-K3590),0)</x:f>
        <x:v>0</x:v>
      </x:c>
      <x:c r="Q3590" s="9" t="n">
        <x:f>O3590-P3590</x:f>
        <x:v>1396.5</x:v>
      </x:c>
      <x:c r="R3590" s="11" t="n">
        <x:f>IF(D3590="Completed",I3590,0)</x:f>
        <x:v>5</x:v>
      </x:c>
      <x:c r="S3590" s="11" t="n">
        <x:f>IF(D3590="Completed",L3590,0)</x:f>
        <x:v>0</x:v>
      </x:c>
      <x:c r="T3590" s="8" t="n">
        <x:f>DATE(YEAR(C3590),MONTH(C3590),1)</x:f>
        <x:v>45962</x:v>
      </x:c>
    </x:row>
    <x:row r="3591" ht="22" customHeight="1">
      <x:c r="A3591" s="2" t="str">
        <x:v>L003587</x:v>
      </x:c>
      <x:c r="B3591" s="2" t="str">
        <x:v>O01464</x:v>
      </x:c>
      <x:c r="C3591" s="7" t="n">
        <x:v>45672</x:v>
      </x:c>
      <x:c r="D3591" s="2" t="str">
        <x:v>Completed</x:v>
      </x:c>
      <x:c r="E3591" s="2" t="str">
        <x:v>South</x:v>
      </x:c>
      <x:c r="F3591" s="2" t="str">
        <x:v>Store</x:v>
      </x:c>
      <x:c r="G3591" s="2" t="str">
        <x:v>Furniture</x:v>
      </x:c>
      <x:c r="H3591" s="2" t="str">
        <x:v>Chair 014</x:v>
      </x:c>
      <x:c r="I3591" s="11" t="n">
        <x:v>2</x:v>
      </x:c>
      <x:c r="J3591" s="9" t="n">
        <x:v>294</x:v>
      </x:c>
      <x:c r="K3591" s="10" t="n">
        <x:v>0.1</x:v>
      </x:c>
      <x:c r="L3591" s="11" t="n">
        <x:v>0</x:v>
      </x:c>
      <x:c r="M3591" s="9" t="n">
        <x:f>IF(D3591="Completed",I3591*J3591,0)</x:f>
        <x:v>588</x:v>
      </x:c>
      <x:c r="N3591" s="9" t="n">
        <x:f>M3591*K3591</x:f>
        <x:v>58.800000000000004</x:v>
      </x:c>
      <x:c r="O3591" s="9" t="n">
        <x:f>M3591-N3591</x:f>
        <x:v>529.2</x:v>
      </x:c>
      <x:c r="P3591" s="9" t="n">
        <x:f>IF(D3591="Completed",L3591*J3591*(1-K3591),0)</x:f>
        <x:v>0</x:v>
      </x:c>
      <x:c r="Q3591" s="9" t="n">
        <x:f>O3591-P3591</x:f>
        <x:v>529.2</x:v>
      </x:c>
      <x:c r="R3591" s="11" t="n">
        <x:f>IF(D3591="Completed",I3591,0)</x:f>
        <x:v>2</x:v>
      </x:c>
      <x:c r="S3591" s="11" t="n">
        <x:f>IF(D3591="Completed",L3591,0)</x:f>
        <x:v>0</x:v>
      </x:c>
      <x:c r="T3591" s="8" t="n">
        <x:f>DATE(YEAR(C3591),MONTH(C3591),1)</x:f>
        <x:v>45658</x:v>
      </x:c>
    </x:row>
    <x:row r="3592" ht="22" customHeight="1">
      <x:c r="A3592" s="2" t="str">
        <x:v>L003588</x:v>
      </x:c>
      <x:c r="B3592" s="2" t="str">
        <x:v>O01465</x:v>
      </x:c>
      <x:c r="C3592" s="7" t="n">
        <x:v>45866</x:v>
      </x:c>
      <x:c r="D3592" s="2" t="str">
        <x:v>Completed</x:v>
      </x:c>
      <x:c r="E3592" s="2" t="str">
        <x:v>South</x:v>
      </x:c>
      <x:c r="F3592" s="2" t="str">
        <x:v>Online</x:v>
      </x:c>
      <x:c r="G3592" s="2" t="str">
        <x:v>Furniture</x:v>
      </x:c>
      <x:c r="H3592" s="2" t="str">
        <x:v>Desk 008</x:v>
      </x:c>
      <x:c r="I3592" s="11" t="n">
        <x:v>5</x:v>
      </x:c>
      <x:c r="J3592" s="9" t="n">
        <x:v>188</x:v>
      </x:c>
      <x:c r="K3592" s="10" t="n">
        <x:v>0</x:v>
      </x:c>
      <x:c r="L3592" s="11" t="n">
        <x:v>0</x:v>
      </x:c>
      <x:c r="M3592" s="9" t="n">
        <x:f>IF(D3592="Completed",I3592*J3592,0)</x:f>
        <x:v>940</x:v>
      </x:c>
      <x:c r="N3592" s="9" t="n">
        <x:f>M3592*K3592</x:f>
        <x:v>0</x:v>
      </x:c>
      <x:c r="O3592" s="9" t="n">
        <x:f>M3592-N3592</x:f>
        <x:v>940</x:v>
      </x:c>
      <x:c r="P3592" s="9" t="n">
        <x:f>IF(D3592="Completed",L3592*J3592*(1-K3592),0)</x:f>
        <x:v>0</x:v>
      </x:c>
      <x:c r="Q3592" s="9" t="n">
        <x:f>O3592-P3592</x:f>
        <x:v>940</x:v>
      </x:c>
      <x:c r="R3592" s="11" t="n">
        <x:f>IF(D3592="Completed",I3592,0)</x:f>
        <x:v>5</x:v>
      </x:c>
      <x:c r="S3592" s="11" t="n">
        <x:f>IF(D3592="Completed",L3592,0)</x:f>
        <x:v>0</x:v>
      </x:c>
      <x:c r="T3592" s="8" t="n">
        <x:f>DATE(YEAR(C3592),MONTH(C3592),1)</x:f>
        <x:v>45839</x:v>
      </x:c>
    </x:row>
    <x:row r="3593" ht="22" customHeight="1">
      <x:c r="A3593" s="2" t="str">
        <x:v>L003589</x:v>
      </x:c>
      <x:c r="B3593" s="2" t="str">
        <x:v>O01466</x:v>
      </x:c>
      <x:c r="C3593" s="7" t="n">
        <x:v>45854</x:v>
      </x:c>
      <x:c r="D3593" s="2" t="str">
        <x:v>Completed</x:v>
      </x:c>
      <x:c r="E3593" s="2" t="str">
        <x:v>East</x:v>
      </x:c>
      <x:c r="F3593" s="2" t="str">
        <x:v>Store</x:v>
      </x:c>
      <x:c r="G3593" s="2" t="str">
        <x:v>Lighting</x:v>
      </x:c>
      <x:c r="H3593" s="2" t="str">
        <x:v>Lamp 017</x:v>
      </x:c>
      <x:c r="I3593" s="11" t="n">
        <x:v>4</x:v>
      </x:c>
      <x:c r="J3593" s="9" t="n">
        <x:v>300</x:v>
      </x:c>
      <x:c r="K3593" s="10" t="n">
        <x:v>0</x:v>
      </x:c>
      <x:c r="L3593" s="11" t="n">
        <x:v>0</x:v>
      </x:c>
      <x:c r="M3593" s="9" t="n">
        <x:f>IF(D3593="Completed",I3593*J3593,0)</x:f>
        <x:v>1200</x:v>
      </x:c>
      <x:c r="N3593" s="9" t="n">
        <x:f>M3593*K3593</x:f>
        <x:v>0</x:v>
      </x:c>
      <x:c r="O3593" s="9" t="n">
        <x:f>M3593-N3593</x:f>
        <x:v>1200</x:v>
      </x:c>
      <x:c r="P3593" s="9" t="n">
        <x:f>IF(D3593="Completed",L3593*J3593*(1-K3593),0)</x:f>
        <x:v>0</x:v>
      </x:c>
      <x:c r="Q3593" s="9" t="n">
        <x:f>O3593-P3593</x:f>
        <x:v>1200</x:v>
      </x:c>
      <x:c r="R3593" s="11" t="n">
        <x:f>IF(D3593="Completed",I3593,0)</x:f>
        <x:v>4</x:v>
      </x:c>
      <x:c r="S3593" s="11" t="n">
        <x:f>IF(D3593="Completed",L3593,0)</x:f>
        <x:v>0</x:v>
      </x:c>
      <x:c r="T3593" s="8" t="n">
        <x:f>DATE(YEAR(C3593),MONTH(C3593),1)</x:f>
        <x:v>45839</x:v>
      </x:c>
    </x:row>
    <x:row r="3594" ht="22" customHeight="1">
      <x:c r="A3594" s="2" t="str">
        <x:v>L003590</x:v>
      </x:c>
      <x:c r="B3594" s="2" t="str">
        <x:v>O01466</x:v>
      </x:c>
      <x:c r="C3594" s="7" t="n">
        <x:v>45854</x:v>
      </x:c>
      <x:c r="D3594" s="2" t="str">
        <x:v>Completed</x:v>
      </x:c>
      <x:c r="E3594" s="2" t="str">
        <x:v>East</x:v>
      </x:c>
      <x:c r="F3594" s="2" t="str">
        <x:v>Store</x:v>
      </x:c>
      <x:c r="G3594" s="2" t="str">
        <x:v>Furniture</x:v>
      </x:c>
      <x:c r="H3594" s="2" t="str">
        <x:v>Chair 022</x:v>
      </x:c>
      <x:c r="I3594" s="11" t="n">
        <x:v>5</x:v>
      </x:c>
      <x:c r="J3594" s="9" t="n">
        <x:v>134</x:v>
      </x:c>
      <x:c r="K3594" s="10" t="n">
        <x:v>0.1</x:v>
      </x:c>
      <x:c r="L3594" s="11" t="n">
        <x:v>0</x:v>
      </x:c>
      <x:c r="M3594" s="9" t="n">
        <x:f>IF(D3594="Completed",I3594*J3594,0)</x:f>
        <x:v>670</x:v>
      </x:c>
      <x:c r="N3594" s="9" t="n">
        <x:f>M3594*K3594</x:f>
        <x:v>67</x:v>
      </x:c>
      <x:c r="O3594" s="9" t="n">
        <x:f>M3594-N3594</x:f>
        <x:v>603</x:v>
      </x:c>
      <x:c r="P3594" s="9" t="n">
        <x:f>IF(D3594="Completed",L3594*J3594*(1-K3594),0)</x:f>
        <x:v>0</x:v>
      </x:c>
      <x:c r="Q3594" s="9" t="n">
        <x:f>O3594-P3594</x:f>
        <x:v>603</x:v>
      </x:c>
      <x:c r="R3594" s="11" t="n">
        <x:f>IF(D3594="Completed",I3594,0)</x:f>
        <x:v>5</x:v>
      </x:c>
      <x:c r="S3594" s="11" t="n">
        <x:f>IF(D3594="Completed",L3594,0)</x:f>
        <x:v>0</x:v>
      </x:c>
      <x:c r="T3594" s="8" t="n">
        <x:f>DATE(YEAR(C3594),MONTH(C3594),1)</x:f>
        <x:v>45839</x:v>
      </x:c>
    </x:row>
    <x:row r="3595" ht="22" customHeight="1">
      <x:c r="A3595" s="2" t="str">
        <x:v>L003591</x:v>
      </x:c>
      <x:c r="B3595" s="2" t="str">
        <x:v>O01466</x:v>
      </x:c>
      <x:c r="C3595" s="7" t="n">
        <x:v>45854</x:v>
      </x:c>
      <x:c r="D3595" s="2" t="str">
        <x:v>Completed</x:v>
      </x:c>
      <x:c r="E3595" s="2" t="str">
        <x:v>East</x:v>
      </x:c>
      <x:c r="F3595" s="2" t="str">
        <x:v>Store</x:v>
      </x:c>
      <x:c r="G3595" s="2" t="str">
        <x:v>Furniture</x:v>
      </x:c>
      <x:c r="H3595" s="2" t="str">
        <x:v>Desk 004</x:v>
      </x:c>
      <x:c r="I3595" s="11" t="n">
        <x:v>1</x:v>
      </x:c>
      <x:c r="J3595" s="9" t="n">
        <x:v>123</x:v>
      </x:c>
      <x:c r="K3595" s="10" t="n">
        <x:v>0.1</x:v>
      </x:c>
      <x:c r="L3595" s="11" t="n">
        <x:v>0</x:v>
      </x:c>
      <x:c r="M3595" s="9" t="n">
        <x:f>IF(D3595="Completed",I3595*J3595,0)</x:f>
        <x:v>123</x:v>
      </x:c>
      <x:c r="N3595" s="9" t="n">
        <x:f>M3595*K3595</x:f>
        <x:v>12.3</x:v>
      </x:c>
      <x:c r="O3595" s="9" t="n">
        <x:f>M3595-N3595</x:f>
        <x:v>110.7</x:v>
      </x:c>
      <x:c r="P3595" s="9" t="n">
        <x:f>IF(D3595="Completed",L3595*J3595*(1-K3595),0)</x:f>
        <x:v>0</x:v>
      </x:c>
      <x:c r="Q3595" s="9" t="n">
        <x:f>O3595-P3595</x:f>
        <x:v>110.7</x:v>
      </x:c>
      <x:c r="R3595" s="11" t="n">
        <x:f>IF(D3595="Completed",I3595,0)</x:f>
        <x:v>1</x:v>
      </x:c>
      <x:c r="S3595" s="11" t="n">
        <x:f>IF(D3595="Completed",L3595,0)</x:f>
        <x:v>0</x:v>
      </x:c>
      <x:c r="T3595" s="8" t="n">
        <x:f>DATE(YEAR(C3595),MONTH(C3595),1)</x:f>
        <x:v>45839</x:v>
      </x:c>
    </x:row>
    <x:row r="3596" ht="22" customHeight="1">
      <x:c r="A3596" s="2" t="str">
        <x:v>L003592</x:v>
      </x:c>
      <x:c r="B3596" s="2" t="str">
        <x:v>O01466</x:v>
      </x:c>
      <x:c r="C3596" s="7" t="n">
        <x:v>45854</x:v>
      </x:c>
      <x:c r="D3596" s="2" t="str">
        <x:v>Completed</x:v>
      </x:c>
      <x:c r="E3596" s="2" t="str">
        <x:v>East</x:v>
      </x:c>
      <x:c r="F3596" s="2" t="str">
        <x:v>Store</x:v>
      </x:c>
      <x:c r="G3596" s="2" t="str">
        <x:v>Furniture</x:v>
      </x:c>
      <x:c r="H3596" s="2" t="str">
        <x:v>Chair 014</x:v>
      </x:c>
      <x:c r="I3596" s="11" t="n">
        <x:v>5</x:v>
      </x:c>
      <x:c r="J3596" s="9" t="n">
        <x:v>294</x:v>
      </x:c>
      <x:c r="K3596" s="10" t="n">
        <x:v>0</x:v>
      </x:c>
      <x:c r="L3596" s="11" t="n">
        <x:v>0</x:v>
      </x:c>
      <x:c r="M3596" s="9" t="n">
        <x:f>IF(D3596="Completed",I3596*J3596,0)</x:f>
        <x:v>1470</x:v>
      </x:c>
      <x:c r="N3596" s="9" t="n">
        <x:f>M3596*K3596</x:f>
        <x:v>0</x:v>
      </x:c>
      <x:c r="O3596" s="9" t="n">
        <x:f>M3596-N3596</x:f>
        <x:v>1470</x:v>
      </x:c>
      <x:c r="P3596" s="9" t="n">
        <x:f>IF(D3596="Completed",L3596*J3596*(1-K3596),0)</x:f>
        <x:v>0</x:v>
      </x:c>
      <x:c r="Q3596" s="9" t="n">
        <x:f>O3596-P3596</x:f>
        <x:v>1470</x:v>
      </x:c>
      <x:c r="R3596" s="11" t="n">
        <x:f>IF(D3596="Completed",I3596,0)</x:f>
        <x:v>5</x:v>
      </x:c>
      <x:c r="S3596" s="11" t="n">
        <x:f>IF(D3596="Completed",L3596,0)</x:f>
        <x:v>0</x:v>
      </x:c>
      <x:c r="T3596" s="8" t="n">
        <x:f>DATE(YEAR(C3596),MONTH(C3596),1)</x:f>
        <x:v>45839</x:v>
      </x:c>
    </x:row>
    <x:row r="3597" ht="22" customHeight="1">
      <x:c r="A3597" s="2" t="str">
        <x:v>L003593</x:v>
      </x:c>
      <x:c r="B3597" s="2" t="str">
        <x:v>O01467</x:v>
      </x:c>
      <x:c r="C3597" s="7" t="n">
        <x:v>45686</x:v>
      </x:c>
      <x:c r="D3597" s="2" t="str">
        <x:v>Completed</x:v>
      </x:c>
      <x:c r="E3597" s="2" t="str">
        <x:v>North</x:v>
      </x:c>
      <x:c r="F3597" s="2" t="str">
        <x:v>Online</x:v>
      </x:c>
      <x:c r="G3597" s="2" t="str">
        <x:v>Lighting</x:v>
      </x:c>
      <x:c r="H3597" s="2" t="str">
        <x:v>Lamp 005</x:v>
      </x:c>
      <x:c r="I3597" s="11" t="n">
        <x:v>5</x:v>
      </x:c>
      <x:c r="J3597" s="9" t="n">
        <x:v>65</x:v>
      </x:c>
      <x:c r="K3597" s="10" t="n">
        <x:v>0.05</x:v>
      </x:c>
      <x:c r="L3597" s="11" t="n">
        <x:v>0</x:v>
      </x:c>
      <x:c r="M3597" s="9" t="n">
        <x:f>IF(D3597="Completed",I3597*J3597,0)</x:f>
        <x:v>325</x:v>
      </x:c>
      <x:c r="N3597" s="9" t="n">
        <x:f>M3597*K3597</x:f>
        <x:v>16.25</x:v>
      </x:c>
      <x:c r="O3597" s="9" t="n">
        <x:f>M3597-N3597</x:f>
        <x:v>308.75</x:v>
      </x:c>
      <x:c r="P3597" s="9" t="n">
        <x:f>IF(D3597="Completed",L3597*J3597*(1-K3597),0)</x:f>
        <x:v>0</x:v>
      </x:c>
      <x:c r="Q3597" s="9" t="n">
        <x:f>O3597-P3597</x:f>
        <x:v>308.75</x:v>
      </x:c>
      <x:c r="R3597" s="11" t="n">
        <x:f>IF(D3597="Completed",I3597,0)</x:f>
        <x:v>5</x:v>
      </x:c>
      <x:c r="S3597" s="11" t="n">
        <x:f>IF(D3597="Completed",L3597,0)</x:f>
        <x:v>0</x:v>
      </x:c>
      <x:c r="T3597" s="8" t="n">
        <x:f>DATE(YEAR(C3597),MONTH(C3597),1)</x:f>
        <x:v>45658</x:v>
      </x:c>
    </x:row>
    <x:row r="3598" ht="22" customHeight="1">
      <x:c r="A3598" s="2" t="str">
        <x:v>L003594</x:v>
      </x:c>
      <x:c r="B3598" s="2" t="str">
        <x:v>O01468</x:v>
      </x:c>
      <x:c r="C3598" s="7" t="n">
        <x:v>45789</x:v>
      </x:c>
      <x:c r="D3598" s="2" t="str">
        <x:v>Completed</x:v>
      </x:c>
      <x:c r="E3598" s="2" t="str">
        <x:v>South</x:v>
      </x:c>
      <x:c r="F3598" s="2" t="str">
        <x:v>Online</x:v>
      </x:c>
      <x:c r="G3598" s="2" t="str">
        <x:v>Furniture</x:v>
      </x:c>
      <x:c r="H3598" s="2" t="str">
        <x:v>Desk 008</x:v>
      </x:c>
      <x:c r="I3598" s="11" t="n">
        <x:v>5</x:v>
      </x:c>
      <x:c r="J3598" s="9" t="n">
        <x:v>188</x:v>
      </x:c>
      <x:c r="K3598" s="10" t="n">
        <x:v>0</x:v>
      </x:c>
      <x:c r="L3598" s="11" t="n">
        <x:v>0</x:v>
      </x:c>
      <x:c r="M3598" s="9" t="n">
        <x:f>IF(D3598="Completed",I3598*J3598,0)</x:f>
        <x:v>940</x:v>
      </x:c>
      <x:c r="N3598" s="9" t="n">
        <x:f>M3598*K3598</x:f>
        <x:v>0</x:v>
      </x:c>
      <x:c r="O3598" s="9" t="n">
        <x:f>M3598-N3598</x:f>
        <x:v>940</x:v>
      </x:c>
      <x:c r="P3598" s="9" t="n">
        <x:f>IF(D3598="Completed",L3598*J3598*(1-K3598),0)</x:f>
        <x:v>0</x:v>
      </x:c>
      <x:c r="Q3598" s="9" t="n">
        <x:f>O3598-P3598</x:f>
        <x:v>940</x:v>
      </x:c>
      <x:c r="R3598" s="11" t="n">
        <x:f>IF(D3598="Completed",I3598,0)</x:f>
        <x:v>5</x:v>
      </x:c>
      <x:c r="S3598" s="11" t="n">
        <x:f>IF(D3598="Completed",L3598,0)</x:f>
        <x:v>0</x:v>
      </x:c>
      <x:c r="T3598" s="8" t="n">
        <x:f>DATE(YEAR(C3598),MONTH(C3598),1)</x:f>
        <x:v>45778</x:v>
      </x:c>
    </x:row>
    <x:row r="3599" ht="22" customHeight="1">
      <x:c r="A3599" s="2" t="str">
        <x:v>L003595</x:v>
      </x:c>
      <x:c r="B3599" s="2" t="str">
        <x:v>O01469</x:v>
      </x:c>
      <x:c r="C3599" s="7" t="n">
        <x:v>45948</x:v>
      </x:c>
      <x:c r="D3599" s="2" t="str">
        <x:v>Cancelled</x:v>
      </x:c>
      <x:c r="E3599" s="2" t="str">
        <x:v>East</x:v>
      </x:c>
      <x:c r="F3599" s="2" t="str">
        <x:v>Online</x:v>
      </x:c>
      <x:c r="G3599" s="2" t="str">
        <x:v>Storage</x:v>
      </x:c>
      <x:c r="H3599" s="2" t="str">
        <x:v>Shelf 019</x:v>
      </x:c>
      <x:c r="I3599" s="11" t="n">
        <x:v>4</x:v>
      </x:c>
      <x:c r="J3599" s="9" t="n">
        <x:v>78</x:v>
      </x:c>
      <x:c r="K3599" s="10" t="n">
        <x:v>0.1</x:v>
      </x:c>
      <x:c r="L3599" s="11" t="n">
        <x:v>0</x:v>
      </x:c>
      <x:c r="M3599" s="9" t="n">
        <x:f>IF(D3599="Completed",I3599*J3599,0)</x:f>
        <x:v>0</x:v>
      </x:c>
      <x:c r="N3599" s="9" t="n">
        <x:f>M3599*K3599</x:f>
        <x:v>0</x:v>
      </x:c>
      <x:c r="O3599" s="9" t="n">
        <x:f>M3599-N3599</x:f>
        <x:v>0</x:v>
      </x:c>
      <x:c r="P3599" s="9" t="n">
        <x:f>IF(D3599="Completed",L3599*J3599*(1-K3599),0)</x:f>
        <x:v>0</x:v>
      </x:c>
      <x:c r="Q3599" s="9" t="n">
        <x:f>O3599-P3599</x:f>
        <x:v>0</x:v>
      </x:c>
      <x:c r="R3599" s="11" t="n">
        <x:f>IF(D3599="Completed",I3599,0)</x:f>
        <x:v>0</x:v>
      </x:c>
      <x:c r="S3599" s="11" t="n">
        <x:f>IF(D3599="Completed",L3599,0)</x:f>
        <x:v>0</x:v>
      </x:c>
      <x:c r="T3599" s="8" t="n">
        <x:f>DATE(YEAR(C3599),MONTH(C3599),1)</x:f>
        <x:v>45931</x:v>
      </x:c>
    </x:row>
    <x:row r="3600" ht="22" customHeight="1">
      <x:c r="A3600" s="2" t="str">
        <x:v>L003596</x:v>
      </x:c>
      <x:c r="B3600" s="2" t="str">
        <x:v>O01469</x:v>
      </x:c>
      <x:c r="C3600" s="7" t="n">
        <x:v>45948</x:v>
      </x:c>
      <x:c r="D3600" s="2" t="str">
        <x:v>Cancelled</x:v>
      </x:c>
      <x:c r="E3600" s="2" t="str">
        <x:v>East</x:v>
      </x:c>
      <x:c r="F3600" s="2" t="str">
        <x:v>Online</x:v>
      </x:c>
      <x:c r="G3600" s="2" t="str">
        <x:v>Lighting</x:v>
      </x:c>
      <x:c r="H3600" s="2" t="str">
        <x:v>Lamp 005</x:v>
      </x:c>
      <x:c r="I3600" s="11" t="n">
        <x:v>2</x:v>
      </x:c>
      <x:c r="J3600" s="9" t="n">
        <x:v>65</x:v>
      </x:c>
      <x:c r="K3600" s="10" t="n">
        <x:v>0</x:v>
      </x:c>
      <x:c r="L3600" s="11" t="n">
        <x:v>0</x:v>
      </x:c>
      <x:c r="M3600" s="9" t="n">
        <x:f>IF(D3600="Completed",I3600*J3600,0)</x:f>
        <x:v>0</x:v>
      </x:c>
      <x:c r="N3600" s="9" t="n">
        <x:f>M3600*K3600</x:f>
        <x:v>0</x:v>
      </x:c>
      <x:c r="O3600" s="9" t="n">
        <x:f>M3600-N3600</x:f>
        <x:v>0</x:v>
      </x:c>
      <x:c r="P3600" s="9" t="n">
        <x:f>IF(D3600="Completed",L3600*J3600*(1-K3600),0)</x:f>
        <x:v>0</x:v>
      </x:c>
      <x:c r="Q3600" s="9" t="n">
        <x:f>O3600-P3600</x:f>
        <x:v>0</x:v>
      </x:c>
      <x:c r="R3600" s="11" t="n">
        <x:f>IF(D3600="Completed",I3600,0)</x:f>
        <x:v>0</x:v>
      </x:c>
      <x:c r="S3600" s="11" t="n">
        <x:f>IF(D3600="Completed",L3600,0)</x:f>
        <x:v>0</x:v>
      </x:c>
      <x:c r="T3600" s="8" t="n">
        <x:f>DATE(YEAR(C3600),MONTH(C3600),1)</x:f>
        <x:v>45931</x:v>
      </x:c>
    </x:row>
    <x:row r="3601" ht="22" customHeight="1">
      <x:c r="A3601" s="2" t="str">
        <x:v>L003597</x:v>
      </x:c>
      <x:c r="B3601" s="2" t="str">
        <x:v>O01469</x:v>
      </x:c>
      <x:c r="C3601" s="7" t="n">
        <x:v>45948</x:v>
      </x:c>
      <x:c r="D3601" s="2" t="str">
        <x:v>Cancelled</x:v>
      </x:c>
      <x:c r="E3601" s="2" t="str">
        <x:v>East</x:v>
      </x:c>
      <x:c r="F3601" s="2" t="str">
        <x:v>Online</x:v>
      </x:c>
      <x:c r="G3601" s="2" t="str">
        <x:v>Storage</x:v>
      </x:c>
      <x:c r="H3601" s="2" t="str">
        <x:v>Shelf 019</x:v>
      </x:c>
      <x:c r="I3601" s="11" t="n">
        <x:v>2</x:v>
      </x:c>
      <x:c r="J3601" s="9" t="n">
        <x:v>78</x:v>
      </x:c>
      <x:c r="K3601" s="10" t="n">
        <x:v>0.2</x:v>
      </x:c>
      <x:c r="L3601" s="11" t="n">
        <x:v>0</x:v>
      </x:c>
      <x:c r="M3601" s="9" t="n">
        <x:f>IF(D3601="Completed",I3601*J3601,0)</x:f>
        <x:v>0</x:v>
      </x:c>
      <x:c r="N3601" s="9" t="n">
        <x:f>M3601*K3601</x:f>
        <x:v>0</x:v>
      </x:c>
      <x:c r="O3601" s="9" t="n">
        <x:f>M3601-N3601</x:f>
        <x:v>0</x:v>
      </x:c>
      <x:c r="P3601" s="9" t="n">
        <x:f>IF(D3601="Completed",L3601*J3601*(1-K3601),0)</x:f>
        <x:v>0</x:v>
      </x:c>
      <x:c r="Q3601" s="9" t="n">
        <x:f>O3601-P3601</x:f>
        <x:v>0</x:v>
      </x:c>
      <x:c r="R3601" s="11" t="n">
        <x:f>IF(D3601="Completed",I3601,0)</x:f>
        <x:v>0</x:v>
      </x:c>
      <x:c r="S3601" s="11" t="n">
        <x:f>IF(D3601="Completed",L3601,0)</x:f>
        <x:v>0</x:v>
      </x:c>
      <x:c r="T3601" s="8" t="n">
        <x:f>DATE(YEAR(C3601),MONTH(C3601),1)</x:f>
        <x:v>45931</x:v>
      </x:c>
    </x:row>
    <x:row r="3602" ht="22" customHeight="1">
      <x:c r="A3602" s="2" t="str">
        <x:v>L003598</x:v>
      </x:c>
      <x:c r="B3602" s="2" t="str">
        <x:v>O01470</x:v>
      </x:c>
      <x:c r="C3602" s="7" t="n">
        <x:v>45672</x:v>
      </x:c>
      <x:c r="D3602" s="2" t="str">
        <x:v>Completed</x:v>
      </x:c>
      <x:c r="E3602" s="2" t="str">
        <x:v>North</x:v>
      </x:c>
      <x:c r="F3602" s="2" t="str">
        <x:v>Store</x:v>
      </x:c>
      <x:c r="G3602" s="2" t="str">
        <x:v>Furniture</x:v>
      </x:c>
      <x:c r="H3602" s="2" t="str">
        <x:v>Desk 020</x:v>
      </x:c>
      <x:c r="I3602" s="11" t="n">
        <x:v>3</x:v>
      </x:c>
      <x:c r="J3602" s="9" t="n">
        <x:v>189</x:v>
      </x:c>
      <x:c r="K3602" s="10" t="n">
        <x:v>0.1</x:v>
      </x:c>
      <x:c r="L3602" s="11" t="n">
        <x:v>0</x:v>
      </x:c>
      <x:c r="M3602" s="9" t="n">
        <x:f>IF(D3602="Completed",I3602*J3602,0)</x:f>
        <x:v>567</x:v>
      </x:c>
      <x:c r="N3602" s="9" t="n">
        <x:f>M3602*K3602</x:f>
        <x:v>56.7</x:v>
      </x:c>
      <x:c r="O3602" s="9" t="n">
        <x:f>M3602-N3602</x:f>
        <x:v>510.3</x:v>
      </x:c>
      <x:c r="P3602" s="9" t="n">
        <x:f>IF(D3602="Completed",L3602*J3602*(1-K3602),0)</x:f>
        <x:v>0</x:v>
      </x:c>
      <x:c r="Q3602" s="9" t="n">
        <x:f>O3602-P3602</x:f>
        <x:v>510.3</x:v>
      </x:c>
      <x:c r="R3602" s="11" t="n">
        <x:f>IF(D3602="Completed",I3602,0)</x:f>
        <x:v>3</x:v>
      </x:c>
      <x:c r="S3602" s="11" t="n">
        <x:f>IF(D3602="Completed",L3602,0)</x:f>
        <x:v>0</x:v>
      </x:c>
      <x:c r="T3602" s="8" t="n">
        <x:f>DATE(YEAR(C3602),MONTH(C3602),1)</x:f>
        <x:v>45658</x:v>
      </x:c>
    </x:row>
    <x:row r="3603" ht="22" customHeight="1">
      <x:c r="A3603" s="2" t="str">
        <x:v>L003599</x:v>
      </x:c>
      <x:c r="B3603" s="2" t="str">
        <x:v>O01470</x:v>
      </x:c>
      <x:c r="C3603" s="7" t="n">
        <x:v>45672</x:v>
      </x:c>
      <x:c r="D3603" s="2" t="str">
        <x:v>Completed</x:v>
      </x:c>
      <x:c r="E3603" s="2" t="str">
        <x:v>North</x:v>
      </x:c>
      <x:c r="F3603" s="2" t="str">
        <x:v>Store</x:v>
      </x:c>
      <x:c r="G3603" s="2" t="str">
        <x:v>Furniture</x:v>
      </x:c>
      <x:c r="H3603" s="2" t="str">
        <x:v>Desk 004</x:v>
      </x:c>
      <x:c r="I3603" s="11" t="n">
        <x:v>4</x:v>
      </x:c>
      <x:c r="J3603" s="9" t="n">
        <x:v>123</x:v>
      </x:c>
      <x:c r="K3603" s="10" t="n">
        <x:v>0.1</x:v>
      </x:c>
      <x:c r="L3603" s="11" t="n">
        <x:v>0</x:v>
      </x:c>
      <x:c r="M3603" s="9" t="n">
        <x:f>IF(D3603="Completed",I3603*J3603,0)</x:f>
        <x:v>492</x:v>
      </x:c>
      <x:c r="N3603" s="9" t="n">
        <x:f>M3603*K3603</x:f>
        <x:v>49.2</x:v>
      </x:c>
      <x:c r="O3603" s="9" t="n">
        <x:f>M3603-N3603</x:f>
        <x:v>442.8</x:v>
      </x:c>
      <x:c r="P3603" s="9" t="n">
        <x:f>IF(D3603="Completed",L3603*J3603*(1-K3603),0)</x:f>
        <x:v>0</x:v>
      </x:c>
      <x:c r="Q3603" s="9" t="n">
        <x:f>O3603-P3603</x:f>
        <x:v>442.8</x:v>
      </x:c>
      <x:c r="R3603" s="11" t="n">
        <x:f>IF(D3603="Completed",I3603,0)</x:f>
        <x:v>4</x:v>
      </x:c>
      <x:c r="S3603" s="11" t="n">
        <x:f>IF(D3603="Completed",L3603,0)</x:f>
        <x:v>0</x:v>
      </x:c>
      <x:c r="T3603" s="8" t="n">
        <x:f>DATE(YEAR(C3603),MONTH(C3603),1)</x:f>
        <x:v>45658</x:v>
      </x:c>
    </x:row>
    <x:row r="3604" ht="22" customHeight="1">
      <x:c r="A3604" s="2" t="str">
        <x:v>L003600</x:v>
      </x:c>
      <x:c r="B3604" s="2" t="str">
        <x:v>O01471</x:v>
      </x:c>
      <x:c r="C3604" s="7" t="n">
        <x:v>45658</x:v>
      </x:c>
      <x:c r="D3604" s="2" t="str">
        <x:v>Completed</x:v>
      </x:c>
      <x:c r="E3604" s="2" t="str">
        <x:v>North</x:v>
      </x:c>
      <x:c r="F3604" s="2" t="str">
        <x:v>Store</x:v>
      </x:c>
      <x:c r="G3604" s="2" t="str">
        <x:v>Furniture</x:v>
      </x:c>
      <x:c r="H3604" s="2" t="str">
        <x:v>Chair 022</x:v>
      </x:c>
      <x:c r="I3604" s="11" t="n">
        <x:v>5</x:v>
      </x:c>
      <x:c r="J3604" s="9" t="n">
        <x:v>134</x:v>
      </x:c>
      <x:c r="K3604" s="10" t="n">
        <x:v>0</x:v>
      </x:c>
      <x:c r="L3604" s="11" t="n">
        <x:v>0</x:v>
      </x:c>
      <x:c r="M3604" s="9" t="n">
        <x:f>IF(D3604="Completed",I3604*J3604,0)</x:f>
        <x:v>670</x:v>
      </x:c>
      <x:c r="N3604" s="9" t="n">
        <x:f>M3604*K3604</x:f>
        <x:v>0</x:v>
      </x:c>
      <x:c r="O3604" s="9" t="n">
        <x:f>M3604-N3604</x:f>
        <x:v>670</x:v>
      </x:c>
      <x:c r="P3604" s="9" t="n">
        <x:f>IF(D3604="Completed",L3604*J3604*(1-K3604),0)</x:f>
        <x:v>0</x:v>
      </x:c>
      <x:c r="Q3604" s="9" t="n">
        <x:f>O3604-P3604</x:f>
        <x:v>670</x:v>
      </x:c>
      <x:c r="R3604" s="11" t="n">
        <x:f>IF(D3604="Completed",I3604,0)</x:f>
        <x:v>5</x:v>
      </x:c>
      <x:c r="S3604" s="11" t="n">
        <x:f>IF(D3604="Completed",L3604,0)</x:f>
        <x:v>0</x:v>
      </x:c>
      <x:c r="T3604" s="8" t="n">
        <x:f>DATE(YEAR(C3604),MONTH(C3604),1)</x:f>
        <x:v>45658</x:v>
      </x:c>
    </x:row>
    <x:row r="3605" ht="22" customHeight="1">
      <x:c r="A3605" s="2" t="str">
        <x:v>L003601</x:v>
      </x:c>
      <x:c r="B3605" s="2" t="str">
        <x:v>O01471</x:v>
      </x:c>
      <x:c r="C3605" s="7" t="n">
        <x:v>45658</x:v>
      </x:c>
      <x:c r="D3605" s="2" t="str">
        <x:v>Completed</x:v>
      </x:c>
      <x:c r="E3605" s="2" t="str">
        <x:v>North</x:v>
      </x:c>
      <x:c r="F3605" s="2" t="str">
        <x:v>Store</x:v>
      </x:c>
      <x:c r="G3605" s="2" t="str">
        <x:v>Furniture</x:v>
      </x:c>
      <x:c r="H3605" s="2" t="str">
        <x:v>Desk 024</x:v>
      </x:c>
      <x:c r="I3605" s="11" t="n">
        <x:v>4</x:v>
      </x:c>
      <x:c r="J3605" s="9" t="n">
        <x:v>81</x:v>
      </x:c>
      <x:c r="K3605" s="10" t="n">
        <x:v>0.2</x:v>
      </x:c>
      <x:c r="L3605" s="11" t="n">
        <x:v>0</x:v>
      </x:c>
      <x:c r="M3605" s="9" t="n">
        <x:f>IF(D3605="Completed",I3605*J3605,0)</x:f>
        <x:v>324</x:v>
      </x:c>
      <x:c r="N3605" s="9" t="n">
        <x:f>M3605*K3605</x:f>
        <x:v>64.8</x:v>
      </x:c>
      <x:c r="O3605" s="9" t="n">
        <x:f>M3605-N3605</x:f>
        <x:v>259.2</x:v>
      </x:c>
      <x:c r="P3605" s="9" t="n">
        <x:f>IF(D3605="Completed",L3605*J3605*(1-K3605),0)</x:f>
        <x:v>0</x:v>
      </x:c>
      <x:c r="Q3605" s="9" t="n">
        <x:f>O3605-P3605</x:f>
        <x:v>259.2</x:v>
      </x:c>
      <x:c r="R3605" s="11" t="n">
        <x:f>IF(D3605="Completed",I3605,0)</x:f>
        <x:v>4</x:v>
      </x:c>
      <x:c r="S3605" s="11" t="n">
        <x:f>IF(D3605="Completed",L3605,0)</x:f>
        <x:v>0</x:v>
      </x:c>
      <x:c r="T3605" s="8" t="n">
        <x:f>DATE(YEAR(C3605),MONTH(C3605),1)</x:f>
        <x:v>45658</x:v>
      </x:c>
    </x:row>
    <x:row r="3606" ht="22" customHeight="1">
      <x:c r="A3606" s="2" t="str">
        <x:v>L003602</x:v>
      </x:c>
      <x:c r="B3606" s="2" t="str">
        <x:v>O01471</x:v>
      </x:c>
      <x:c r="C3606" s="7" t="n">
        <x:v>45658</x:v>
      </x:c>
      <x:c r="D3606" s="2" t="str">
        <x:v>Completed</x:v>
      </x:c>
      <x:c r="E3606" s="2" t="str">
        <x:v>North</x:v>
      </x:c>
      <x:c r="F3606" s="2" t="str">
        <x:v>Store</x:v>
      </x:c>
      <x:c r="G3606" s="2" t="str">
        <x:v>Furniture</x:v>
      </x:c>
      <x:c r="H3606" s="2" t="str">
        <x:v>Chair 022</x:v>
      </x:c>
      <x:c r="I3606" s="11" t="n">
        <x:v>1</x:v>
      </x:c>
      <x:c r="J3606" s="9" t="n">
        <x:v>134</x:v>
      </x:c>
      <x:c r="K3606" s="10" t="n">
        <x:v>0.1</x:v>
      </x:c>
      <x:c r="L3606" s="11" t="n">
        <x:v>0</x:v>
      </x:c>
      <x:c r="M3606" s="9" t="n">
        <x:f>IF(D3606="Completed",I3606*J3606,0)</x:f>
        <x:v>134</x:v>
      </x:c>
      <x:c r="N3606" s="9" t="n">
        <x:f>M3606*K3606</x:f>
        <x:v>13.4</x:v>
      </x:c>
      <x:c r="O3606" s="9" t="n">
        <x:f>M3606-N3606</x:f>
        <x:v>120.6</x:v>
      </x:c>
      <x:c r="P3606" s="9" t="n">
        <x:f>IF(D3606="Completed",L3606*J3606*(1-K3606),0)</x:f>
        <x:v>0</x:v>
      </x:c>
      <x:c r="Q3606" s="9" t="n">
        <x:f>O3606-P3606</x:f>
        <x:v>120.6</x:v>
      </x:c>
      <x:c r="R3606" s="11" t="n">
        <x:f>IF(D3606="Completed",I3606,0)</x:f>
        <x:v>1</x:v>
      </x:c>
      <x:c r="S3606" s="11" t="n">
        <x:f>IF(D3606="Completed",L3606,0)</x:f>
        <x:v>0</x:v>
      </x:c>
      <x:c r="T3606" s="8" t="n">
        <x:f>DATE(YEAR(C3606),MONTH(C3606),1)</x:f>
        <x:v>45658</x:v>
      </x:c>
    </x:row>
    <x:row r="3607" ht="22" customHeight="1">
      <x:c r="A3607" s="2" t="str">
        <x:v>L003603</x:v>
      </x:c>
      <x:c r="B3607" s="2" t="str">
        <x:v>O01472</x:v>
      </x:c>
      <x:c r="C3607" s="7" t="n">
        <x:v>45739</x:v>
      </x:c>
      <x:c r="D3607" s="2" t="str">
        <x:v>Cancelled</x:v>
      </x:c>
      <x:c r="E3607" s="2" t="str">
        <x:v>South</x:v>
      </x:c>
      <x:c r="F3607" s="2" t="str">
        <x:v>Store</x:v>
      </x:c>
      <x:c r="G3607" s="2" t="str">
        <x:v>Furniture</x:v>
      </x:c>
      <x:c r="H3607" s="2" t="str">
        <x:v>Chair 006</x:v>
      </x:c>
      <x:c r="I3607" s="11" t="n">
        <x:v>1</x:v>
      </x:c>
      <x:c r="J3607" s="9" t="n">
        <x:v>196</x:v>
      </x:c>
      <x:c r="K3607" s="10" t="n">
        <x:v>0</x:v>
      </x:c>
      <x:c r="L3607" s="11" t="n">
        <x:v>0</x:v>
      </x:c>
      <x:c r="M3607" s="9" t="n">
        <x:f>IF(D3607="Completed",I3607*J3607,0)</x:f>
        <x:v>0</x:v>
      </x:c>
      <x:c r="N3607" s="9" t="n">
        <x:f>M3607*K3607</x:f>
        <x:v>0</x:v>
      </x:c>
      <x:c r="O3607" s="9" t="n">
        <x:f>M3607-N3607</x:f>
        <x:v>0</x:v>
      </x:c>
      <x:c r="P3607" s="9" t="n">
        <x:f>IF(D3607="Completed",L3607*J3607*(1-K3607),0)</x:f>
        <x:v>0</x:v>
      </x:c>
      <x:c r="Q3607" s="9" t="n">
        <x:f>O3607-P3607</x:f>
        <x:v>0</x:v>
      </x:c>
      <x:c r="R3607" s="11" t="n">
        <x:f>IF(D3607="Completed",I3607,0)</x:f>
        <x:v>0</x:v>
      </x:c>
      <x:c r="S3607" s="11" t="n">
        <x:f>IF(D3607="Completed",L3607,0)</x:f>
        <x:v>0</x:v>
      </x:c>
      <x:c r="T3607" s="8" t="n">
        <x:f>DATE(YEAR(C3607),MONTH(C3607),1)</x:f>
        <x:v>45717</x:v>
      </x:c>
    </x:row>
    <x:row r="3608" ht="22" customHeight="1">
      <x:c r="A3608" s="2" t="str">
        <x:v>L003604</x:v>
      </x:c>
      <x:c r="B3608" s="2" t="str">
        <x:v>O01472</x:v>
      </x:c>
      <x:c r="C3608" s="7" t="n">
        <x:v>45739</x:v>
      </x:c>
      <x:c r="D3608" s="2" t="str">
        <x:v>Cancelled</x:v>
      </x:c>
      <x:c r="E3608" s="2" t="str">
        <x:v>South</x:v>
      </x:c>
      <x:c r="F3608" s="2" t="str">
        <x:v>Store</x:v>
      </x:c>
      <x:c r="G3608" s="2" t="str">
        <x:v>Storage</x:v>
      </x:c>
      <x:c r="H3608" s="2" t="str">
        <x:v>Shelf 003</x:v>
      </x:c>
      <x:c r="I3608" s="11" t="n">
        <x:v>2</x:v>
      </x:c>
      <x:c r="J3608" s="9" t="n">
        <x:v>199</x:v>
      </x:c>
      <x:c r="K3608" s="10" t="n">
        <x:v>0.05</x:v>
      </x:c>
      <x:c r="L3608" s="11" t="n">
        <x:v>0</x:v>
      </x:c>
      <x:c r="M3608" s="9" t="n">
        <x:f>IF(D3608="Completed",I3608*J3608,0)</x:f>
        <x:v>0</x:v>
      </x:c>
      <x:c r="N3608" s="9" t="n">
        <x:f>M3608*K3608</x:f>
        <x:v>0</x:v>
      </x:c>
      <x:c r="O3608" s="9" t="n">
        <x:f>M3608-N3608</x:f>
        <x:v>0</x:v>
      </x:c>
      <x:c r="P3608" s="9" t="n">
        <x:f>IF(D3608="Completed",L3608*J3608*(1-K3608),0)</x:f>
        <x:v>0</x:v>
      </x:c>
      <x:c r="Q3608" s="9" t="n">
        <x:f>O3608-P3608</x:f>
        <x:v>0</x:v>
      </x:c>
      <x:c r="R3608" s="11" t="n">
        <x:f>IF(D3608="Completed",I3608,0)</x:f>
        <x:v>0</x:v>
      </x:c>
      <x:c r="S3608" s="11" t="n">
        <x:f>IF(D3608="Completed",L3608,0)</x:f>
        <x:v>0</x:v>
      </x:c>
      <x:c r="T3608" s="8" t="n">
        <x:f>DATE(YEAR(C3608),MONTH(C3608),1)</x:f>
        <x:v>45717</x:v>
      </x:c>
    </x:row>
    <x:row r="3609" ht="22" customHeight="1">
      <x:c r="A3609" s="2" t="str">
        <x:v>L003605</x:v>
      </x:c>
      <x:c r="B3609" s="2" t="str">
        <x:v>O01473</x:v>
      </x:c>
      <x:c r="C3609" s="7" t="n">
        <x:v>46019</x:v>
      </x:c>
      <x:c r="D3609" s="2" t="str">
        <x:v>Completed</x:v>
      </x:c>
      <x:c r="E3609" s="2" t="str">
        <x:v>West</x:v>
      </x:c>
      <x:c r="F3609" s="2" t="str">
        <x:v>Online</x:v>
      </x:c>
      <x:c r="G3609" s="2" t="str">
        <x:v>Lighting</x:v>
      </x:c>
      <x:c r="H3609" s="2" t="str">
        <x:v>Lamp 021</x:v>
      </x:c>
      <x:c r="I3609" s="11" t="n">
        <x:v>2</x:v>
      </x:c>
      <x:c r="J3609" s="9" t="n">
        <x:v>249</x:v>
      </x:c>
      <x:c r="K3609" s="10" t="n">
        <x:v>0.1</x:v>
      </x:c>
      <x:c r="L3609" s="11" t="n">
        <x:v>0</x:v>
      </x:c>
      <x:c r="M3609" s="9" t="n">
        <x:f>IF(D3609="Completed",I3609*J3609,0)</x:f>
        <x:v>498</x:v>
      </x:c>
      <x:c r="N3609" s="9" t="n">
        <x:f>M3609*K3609</x:f>
        <x:v>49.800000000000004</x:v>
      </x:c>
      <x:c r="O3609" s="9" t="n">
        <x:f>M3609-N3609</x:f>
        <x:v>448.2</x:v>
      </x:c>
      <x:c r="P3609" s="9" t="n">
        <x:f>IF(D3609="Completed",L3609*J3609*(1-K3609),0)</x:f>
        <x:v>0</x:v>
      </x:c>
      <x:c r="Q3609" s="9" t="n">
        <x:f>O3609-P3609</x:f>
        <x:v>448.2</x:v>
      </x:c>
      <x:c r="R3609" s="11" t="n">
        <x:f>IF(D3609="Completed",I3609,0)</x:f>
        <x:v>2</x:v>
      </x:c>
      <x:c r="S3609" s="11" t="n">
        <x:f>IF(D3609="Completed",L3609,0)</x:f>
        <x:v>0</x:v>
      </x:c>
      <x:c r="T3609" s="8" t="n">
        <x:f>DATE(YEAR(C3609),MONTH(C3609),1)</x:f>
        <x:v>45992</x:v>
      </x:c>
    </x:row>
    <x:row r="3610" ht="22" customHeight="1">
      <x:c r="A3610" s="2" t="str">
        <x:v>L003606</x:v>
      </x:c>
      <x:c r="B3610" s="2" t="str">
        <x:v>O01473</x:v>
      </x:c>
      <x:c r="C3610" s="7" t="n">
        <x:v>46019</x:v>
      </x:c>
      <x:c r="D3610" s="2" t="str">
        <x:v>Completed</x:v>
      </x:c>
      <x:c r="E3610" s="2" t="str">
        <x:v>West</x:v>
      </x:c>
      <x:c r="F3610" s="2" t="str">
        <x:v>Online</x:v>
      </x:c>
      <x:c r="G3610" s="2" t="str">
        <x:v>Storage</x:v>
      </x:c>
      <x:c r="H3610" s="2" t="str">
        <x:v>Shelf 003</x:v>
      </x:c>
      <x:c r="I3610" s="11" t="n">
        <x:v>1</x:v>
      </x:c>
      <x:c r="J3610" s="9" t="n">
        <x:v>199</x:v>
      </x:c>
      <x:c r="K3610" s="10" t="n">
        <x:v>0.2</x:v>
      </x:c>
      <x:c r="L3610" s="11" t="n">
        <x:v>0</x:v>
      </x:c>
      <x:c r="M3610" s="9" t="n">
        <x:f>IF(D3610="Completed",I3610*J3610,0)</x:f>
        <x:v>199</x:v>
      </x:c>
      <x:c r="N3610" s="9" t="n">
        <x:f>M3610*K3610</x:f>
        <x:v>39.800000000000004</x:v>
      </x:c>
      <x:c r="O3610" s="9" t="n">
        <x:f>M3610-N3610</x:f>
        <x:v>159.2</x:v>
      </x:c>
      <x:c r="P3610" s="9" t="n">
        <x:f>IF(D3610="Completed",L3610*J3610*(1-K3610),0)</x:f>
        <x:v>0</x:v>
      </x:c>
      <x:c r="Q3610" s="9" t="n">
        <x:f>O3610-P3610</x:f>
        <x:v>159.2</x:v>
      </x:c>
      <x:c r="R3610" s="11" t="n">
        <x:f>IF(D3610="Completed",I3610,0)</x:f>
        <x:v>1</x:v>
      </x:c>
      <x:c r="S3610" s="11" t="n">
        <x:f>IF(D3610="Completed",L3610,0)</x:f>
        <x:v>0</x:v>
      </x:c>
      <x:c r="T3610" s="8" t="n">
        <x:f>DATE(YEAR(C3610),MONTH(C3610),1)</x:f>
        <x:v>45992</x:v>
      </x:c>
    </x:row>
    <x:row r="3611" ht="22" customHeight="1">
      <x:c r="A3611" s="2" t="str">
        <x:v>L003607</x:v>
      </x:c>
      <x:c r="B3611" s="2" t="str">
        <x:v>O01473</x:v>
      </x:c>
      <x:c r="C3611" s="7" t="n">
        <x:v>46019</x:v>
      </x:c>
      <x:c r="D3611" s="2" t="str">
        <x:v>Completed</x:v>
      </x:c>
      <x:c r="E3611" s="2" t="str">
        <x:v>West</x:v>
      </x:c>
      <x:c r="F3611" s="2" t="str">
        <x:v>Online</x:v>
      </x:c>
      <x:c r="G3611" s="2" t="str">
        <x:v>Storage</x:v>
      </x:c>
      <x:c r="H3611" s="2" t="str">
        <x:v>Shelf 011</x:v>
      </x:c>
      <x:c r="I3611" s="11" t="n">
        <x:v>4</x:v>
      </x:c>
      <x:c r="J3611" s="9" t="n">
        <x:v>80</x:v>
      </x:c>
      <x:c r="K3611" s="10" t="n">
        <x:v>0.1</x:v>
      </x:c>
      <x:c r="L3611" s="11" t="n">
        <x:v>0</x:v>
      </x:c>
      <x:c r="M3611" s="9" t="n">
        <x:f>IF(D3611="Completed",I3611*J3611,0)</x:f>
        <x:v>320</x:v>
      </x:c>
      <x:c r="N3611" s="9" t="n">
        <x:f>M3611*K3611</x:f>
        <x:v>32</x:v>
      </x:c>
      <x:c r="O3611" s="9" t="n">
        <x:f>M3611-N3611</x:f>
        <x:v>288</x:v>
      </x:c>
      <x:c r="P3611" s="9" t="n">
        <x:f>IF(D3611="Completed",L3611*J3611*(1-K3611),0)</x:f>
        <x:v>0</x:v>
      </x:c>
      <x:c r="Q3611" s="9" t="n">
        <x:f>O3611-P3611</x:f>
        <x:v>288</x:v>
      </x:c>
      <x:c r="R3611" s="11" t="n">
        <x:f>IF(D3611="Completed",I3611,0)</x:f>
        <x:v>4</x:v>
      </x:c>
      <x:c r="S3611" s="11" t="n">
        <x:f>IF(D3611="Completed",L3611,0)</x:f>
        <x:v>0</x:v>
      </x:c>
      <x:c r="T3611" s="8" t="n">
        <x:f>DATE(YEAR(C3611),MONTH(C3611),1)</x:f>
        <x:v>45992</x:v>
      </x:c>
    </x:row>
    <x:row r="3612" ht="22" customHeight="1">
      <x:c r="A3612" s="2" t="str">
        <x:v>L003608</x:v>
      </x:c>
      <x:c r="B3612" s="2" t="str">
        <x:v>O01473</x:v>
      </x:c>
      <x:c r="C3612" s="7" t="n">
        <x:v>46019</x:v>
      </x:c>
      <x:c r="D3612" s="2" t="str">
        <x:v>Completed</x:v>
      </x:c>
      <x:c r="E3612" s="2" t="str">
        <x:v>West</x:v>
      </x:c>
      <x:c r="F3612" s="2" t="str">
        <x:v>Online</x:v>
      </x:c>
      <x:c r="G3612" s="2" t="str">
        <x:v>Storage</x:v>
      </x:c>
      <x:c r="H3612" s="2" t="str">
        <x:v>Shelf 003</x:v>
      </x:c>
      <x:c r="I3612" s="11" t="n">
        <x:v>1</x:v>
      </x:c>
      <x:c r="J3612" s="9" t="n">
        <x:v>199</x:v>
      </x:c>
      <x:c r="K3612" s="10" t="n">
        <x:v>0</x:v>
      </x:c>
      <x:c r="L3612" s="11" t="n">
        <x:v>0</x:v>
      </x:c>
      <x:c r="M3612" s="9" t="n">
        <x:f>IF(D3612="Completed",I3612*J3612,0)</x:f>
        <x:v>199</x:v>
      </x:c>
      <x:c r="N3612" s="9" t="n">
        <x:f>M3612*K3612</x:f>
        <x:v>0</x:v>
      </x:c>
      <x:c r="O3612" s="9" t="n">
        <x:f>M3612-N3612</x:f>
        <x:v>199</x:v>
      </x:c>
      <x:c r="P3612" s="9" t="n">
        <x:f>IF(D3612="Completed",L3612*J3612*(1-K3612),0)</x:f>
        <x:v>0</x:v>
      </x:c>
      <x:c r="Q3612" s="9" t="n">
        <x:f>O3612-P3612</x:f>
        <x:v>199</x:v>
      </x:c>
      <x:c r="R3612" s="11" t="n">
        <x:f>IF(D3612="Completed",I3612,0)</x:f>
        <x:v>1</x:v>
      </x:c>
      <x:c r="S3612" s="11" t="n">
        <x:f>IF(D3612="Completed",L3612,0)</x:f>
        <x:v>0</x:v>
      </x:c>
      <x:c r="T3612" s="8" t="n">
        <x:f>DATE(YEAR(C3612),MONTH(C3612),1)</x:f>
        <x:v>45992</x:v>
      </x:c>
    </x:row>
    <x:row r="3613" ht="22" customHeight="1">
      <x:c r="A3613" s="2" t="str">
        <x:v>L003609</x:v>
      </x:c>
      <x:c r="B3613" s="2" t="str">
        <x:v>O01474</x:v>
      </x:c>
      <x:c r="C3613" s="7" t="n">
        <x:v>45914</x:v>
      </x:c>
      <x:c r="D3613" s="2" t="str">
        <x:v>Completed</x:v>
      </x:c>
      <x:c r="E3613" s="2" t="str">
        <x:v>West</x:v>
      </x:c>
      <x:c r="F3613" s="2" t="str">
        <x:v>Store</x:v>
      </x:c>
      <x:c r="G3613" s="2" t="str">
        <x:v>Furniture</x:v>
      </x:c>
      <x:c r="H3613" s="2" t="str">
        <x:v>Desk 004</x:v>
      </x:c>
      <x:c r="I3613" s="11" t="n">
        <x:v>4</x:v>
      </x:c>
      <x:c r="J3613" s="9" t="n">
        <x:v>123</x:v>
      </x:c>
      <x:c r="K3613" s="10" t="n">
        <x:v>0.1</x:v>
      </x:c>
      <x:c r="L3613" s="11" t="n">
        <x:v>0</x:v>
      </x:c>
      <x:c r="M3613" s="9" t="n">
        <x:f>IF(D3613="Completed",I3613*J3613,0)</x:f>
        <x:v>492</x:v>
      </x:c>
      <x:c r="N3613" s="9" t="n">
        <x:f>M3613*K3613</x:f>
        <x:v>49.2</x:v>
      </x:c>
      <x:c r="O3613" s="9" t="n">
        <x:f>M3613-N3613</x:f>
        <x:v>442.8</x:v>
      </x:c>
      <x:c r="P3613" s="9" t="n">
        <x:f>IF(D3613="Completed",L3613*J3613*(1-K3613),0)</x:f>
        <x:v>0</x:v>
      </x:c>
      <x:c r="Q3613" s="9" t="n">
        <x:f>O3613-P3613</x:f>
        <x:v>442.8</x:v>
      </x:c>
      <x:c r="R3613" s="11" t="n">
        <x:f>IF(D3613="Completed",I3613,0)</x:f>
        <x:v>4</x:v>
      </x:c>
      <x:c r="S3613" s="11" t="n">
        <x:f>IF(D3613="Completed",L3613,0)</x:f>
        <x:v>0</x:v>
      </x:c>
      <x:c r="T3613" s="8" t="n">
        <x:f>DATE(YEAR(C3613),MONTH(C3613),1)</x:f>
        <x:v>45901</x:v>
      </x:c>
    </x:row>
    <x:row r="3614" ht="22" customHeight="1">
      <x:c r="A3614" s="2" t="str">
        <x:v>L003610</x:v>
      </x:c>
      <x:c r="B3614" s="2" t="str">
        <x:v>O01474</x:v>
      </x:c>
      <x:c r="C3614" s="7" t="n">
        <x:v>45914</x:v>
      </x:c>
      <x:c r="D3614" s="2" t="str">
        <x:v>Completed</x:v>
      </x:c>
      <x:c r="E3614" s="2" t="str">
        <x:v>West</x:v>
      </x:c>
      <x:c r="F3614" s="2" t="str">
        <x:v>Store</x:v>
      </x:c>
      <x:c r="G3614" s="2" t="str">
        <x:v>Furniture</x:v>
      </x:c>
      <x:c r="H3614" s="2" t="str">
        <x:v>Desk 004</x:v>
      </x:c>
      <x:c r="I3614" s="11" t="n">
        <x:v>1</x:v>
      </x:c>
      <x:c r="J3614" s="9" t="n">
        <x:v>123</x:v>
      </x:c>
      <x:c r="K3614" s="10" t="n">
        <x:v>0.1</x:v>
      </x:c>
      <x:c r="L3614" s="11" t="n">
        <x:v>0</x:v>
      </x:c>
      <x:c r="M3614" s="9" t="n">
        <x:f>IF(D3614="Completed",I3614*J3614,0)</x:f>
        <x:v>123</x:v>
      </x:c>
      <x:c r="N3614" s="9" t="n">
        <x:f>M3614*K3614</x:f>
        <x:v>12.3</x:v>
      </x:c>
      <x:c r="O3614" s="9" t="n">
        <x:f>M3614-N3614</x:f>
        <x:v>110.7</x:v>
      </x:c>
      <x:c r="P3614" s="9" t="n">
        <x:f>IF(D3614="Completed",L3614*J3614*(1-K3614),0)</x:f>
        <x:v>0</x:v>
      </x:c>
      <x:c r="Q3614" s="9" t="n">
        <x:f>O3614-P3614</x:f>
        <x:v>110.7</x:v>
      </x:c>
      <x:c r="R3614" s="11" t="n">
        <x:f>IF(D3614="Completed",I3614,0)</x:f>
        <x:v>1</x:v>
      </x:c>
      <x:c r="S3614" s="11" t="n">
        <x:f>IF(D3614="Completed",L3614,0)</x:f>
        <x:v>0</x:v>
      </x:c>
      <x:c r="T3614" s="8" t="n">
        <x:f>DATE(YEAR(C3614),MONTH(C3614),1)</x:f>
        <x:v>45901</x:v>
      </x:c>
    </x:row>
    <x:row r="3615" ht="22" customHeight="1">
      <x:c r="A3615" s="2" t="str">
        <x:v>L003611</x:v>
      </x:c>
      <x:c r="B3615" s="2" t="str">
        <x:v>O01474</x:v>
      </x:c>
      <x:c r="C3615" s="7" t="n">
        <x:v>45914</x:v>
      </x:c>
      <x:c r="D3615" s="2" t="str">
        <x:v>Completed</x:v>
      </x:c>
      <x:c r="E3615" s="2" t="str">
        <x:v>West</x:v>
      </x:c>
      <x:c r="F3615" s="2" t="str">
        <x:v>Store</x:v>
      </x:c>
      <x:c r="G3615" s="2" t="str">
        <x:v>Furniture</x:v>
      </x:c>
      <x:c r="H3615" s="2" t="str">
        <x:v>Desk 024</x:v>
      </x:c>
      <x:c r="I3615" s="11" t="n">
        <x:v>5</x:v>
      </x:c>
      <x:c r="J3615" s="9" t="n">
        <x:v>81</x:v>
      </x:c>
      <x:c r="K3615" s="10" t="n">
        <x:v>0.2</x:v>
      </x:c>
      <x:c r="L3615" s="11" t="n">
        <x:v>0</x:v>
      </x:c>
      <x:c r="M3615" s="9" t="n">
        <x:f>IF(D3615="Completed",I3615*J3615,0)</x:f>
        <x:v>405</x:v>
      </x:c>
      <x:c r="N3615" s="9" t="n">
        <x:f>M3615*K3615</x:f>
        <x:v>81</x:v>
      </x:c>
      <x:c r="O3615" s="9" t="n">
        <x:f>M3615-N3615</x:f>
        <x:v>324</x:v>
      </x:c>
      <x:c r="P3615" s="9" t="n">
        <x:f>IF(D3615="Completed",L3615*J3615*(1-K3615),0)</x:f>
        <x:v>0</x:v>
      </x:c>
      <x:c r="Q3615" s="9" t="n">
        <x:f>O3615-P3615</x:f>
        <x:v>324</x:v>
      </x:c>
      <x:c r="R3615" s="11" t="n">
        <x:f>IF(D3615="Completed",I3615,0)</x:f>
        <x:v>5</x:v>
      </x:c>
      <x:c r="S3615" s="11" t="n">
        <x:f>IF(D3615="Completed",L3615,0)</x:f>
        <x:v>0</x:v>
      </x:c>
      <x:c r="T3615" s="8" t="n">
        <x:f>DATE(YEAR(C3615),MONTH(C3615),1)</x:f>
        <x:v>45901</x:v>
      </x:c>
    </x:row>
    <x:row r="3616" ht="22" customHeight="1">
      <x:c r="A3616" s="2" t="str">
        <x:v>L003612</x:v>
      </x:c>
      <x:c r="B3616" s="2" t="str">
        <x:v>O01474</x:v>
      </x:c>
      <x:c r="C3616" s="7" t="n">
        <x:v>45914</x:v>
      </x:c>
      <x:c r="D3616" s="2" t="str">
        <x:v>Completed</x:v>
      </x:c>
      <x:c r="E3616" s="2" t="str">
        <x:v>West</x:v>
      </x:c>
      <x:c r="F3616" s="2" t="str">
        <x:v>Store</x:v>
      </x:c>
      <x:c r="G3616" s="2" t="str">
        <x:v>Lighting</x:v>
      </x:c>
      <x:c r="H3616" s="2" t="str">
        <x:v>Lamp 017</x:v>
      </x:c>
      <x:c r="I3616" s="11" t="n">
        <x:v>1</x:v>
      </x:c>
      <x:c r="J3616" s="9" t="n">
        <x:v>300</x:v>
      </x:c>
      <x:c r="K3616" s="10" t="n">
        <x:v>0</x:v>
      </x:c>
      <x:c r="L3616" s="11" t="n">
        <x:v>0</x:v>
      </x:c>
      <x:c r="M3616" s="9" t="n">
        <x:f>IF(D3616="Completed",I3616*J3616,0)</x:f>
        <x:v>300</x:v>
      </x:c>
      <x:c r="N3616" s="9" t="n">
        <x:f>M3616*K3616</x:f>
        <x:v>0</x:v>
      </x:c>
      <x:c r="O3616" s="9" t="n">
        <x:f>M3616-N3616</x:f>
        <x:v>300</x:v>
      </x:c>
      <x:c r="P3616" s="9" t="n">
        <x:f>IF(D3616="Completed",L3616*J3616*(1-K3616),0)</x:f>
        <x:v>0</x:v>
      </x:c>
      <x:c r="Q3616" s="9" t="n">
        <x:f>O3616-P3616</x:f>
        <x:v>300</x:v>
      </x:c>
      <x:c r="R3616" s="11" t="n">
        <x:f>IF(D3616="Completed",I3616,0)</x:f>
        <x:v>1</x:v>
      </x:c>
      <x:c r="S3616" s="11" t="n">
        <x:f>IF(D3616="Completed",L3616,0)</x:f>
        <x:v>0</x:v>
      </x:c>
      <x:c r="T3616" s="8" t="n">
        <x:f>DATE(YEAR(C3616),MONTH(C3616),1)</x:f>
        <x:v>45901</x:v>
      </x:c>
    </x:row>
    <x:row r="3617" ht="22" customHeight="1">
      <x:c r="A3617" s="2" t="str">
        <x:v>L003613</x:v>
      </x:c>
      <x:c r="B3617" s="2" t="str">
        <x:v>O01475</x:v>
      </x:c>
      <x:c r="C3617" s="7" t="n">
        <x:v>45741</x:v>
      </x:c>
      <x:c r="D3617" s="2" t="str">
        <x:v>Cancelled</x:v>
      </x:c>
      <x:c r="E3617" s="2" t="str">
        <x:v>North</x:v>
      </x:c>
      <x:c r="F3617" s="2" t="str">
        <x:v>Online</x:v>
      </x:c>
      <x:c r="G3617" s="2" t="str">
        <x:v>Storage</x:v>
      </x:c>
      <x:c r="H3617" s="2" t="str">
        <x:v>Shelf 023</x:v>
      </x:c>
      <x:c r="I3617" s="11" t="n">
        <x:v>4</x:v>
      </x:c>
      <x:c r="J3617" s="9" t="n">
        <x:v>68</x:v>
      </x:c>
      <x:c r="K3617" s="10" t="n">
        <x:v>0.2</x:v>
      </x:c>
      <x:c r="L3617" s="11" t="n">
        <x:v>0</x:v>
      </x:c>
      <x:c r="M3617" s="9" t="n">
        <x:f>IF(D3617="Completed",I3617*J3617,0)</x:f>
        <x:v>0</x:v>
      </x:c>
      <x:c r="N3617" s="9" t="n">
        <x:f>M3617*K3617</x:f>
        <x:v>0</x:v>
      </x:c>
      <x:c r="O3617" s="9" t="n">
        <x:f>M3617-N3617</x:f>
        <x:v>0</x:v>
      </x:c>
      <x:c r="P3617" s="9" t="n">
        <x:f>IF(D3617="Completed",L3617*J3617*(1-K3617),0)</x:f>
        <x:v>0</x:v>
      </x:c>
      <x:c r="Q3617" s="9" t="n">
        <x:f>O3617-P3617</x:f>
        <x:v>0</x:v>
      </x:c>
      <x:c r="R3617" s="11" t="n">
        <x:f>IF(D3617="Completed",I3617,0)</x:f>
        <x:v>0</x:v>
      </x:c>
      <x:c r="S3617" s="11" t="n">
        <x:f>IF(D3617="Completed",L3617,0)</x:f>
        <x:v>0</x:v>
      </x:c>
      <x:c r="T3617" s="8" t="n">
        <x:f>DATE(YEAR(C3617),MONTH(C3617),1)</x:f>
        <x:v>45717</x:v>
      </x:c>
    </x:row>
    <x:row r="3618" ht="22" customHeight="1">
      <x:c r="A3618" s="2" t="str">
        <x:v>L003614</x:v>
      </x:c>
      <x:c r="B3618" s="2" t="str">
        <x:v>O01475</x:v>
      </x:c>
      <x:c r="C3618" s="7" t="n">
        <x:v>45741</x:v>
      </x:c>
      <x:c r="D3618" s="2" t="str">
        <x:v>Cancelled</x:v>
      </x:c>
      <x:c r="E3618" s="2" t="str">
        <x:v>North</x:v>
      </x:c>
      <x:c r="F3618" s="2" t="str">
        <x:v>Online</x:v>
      </x:c>
      <x:c r="G3618" s="2" t="str">
        <x:v>Storage</x:v>
      </x:c>
      <x:c r="H3618" s="2" t="str">
        <x:v>Shelf 007</x:v>
      </x:c>
      <x:c r="I3618" s="11" t="n">
        <x:v>3</x:v>
      </x:c>
      <x:c r="J3618" s="9" t="n">
        <x:v>35</x:v>
      </x:c>
      <x:c r="K3618" s="10" t="n">
        <x:v>0</x:v>
      </x:c>
      <x:c r="L3618" s="11" t="n">
        <x:v>0</x:v>
      </x:c>
      <x:c r="M3618" s="9" t="n">
        <x:f>IF(D3618="Completed",I3618*J3618,0)</x:f>
        <x:v>0</x:v>
      </x:c>
      <x:c r="N3618" s="9" t="n">
        <x:f>M3618*K3618</x:f>
        <x:v>0</x:v>
      </x:c>
      <x:c r="O3618" s="9" t="n">
        <x:f>M3618-N3618</x:f>
        <x:v>0</x:v>
      </x:c>
      <x:c r="P3618" s="9" t="n">
        <x:f>IF(D3618="Completed",L3618*J3618*(1-K3618),0)</x:f>
        <x:v>0</x:v>
      </x:c>
      <x:c r="Q3618" s="9" t="n">
        <x:f>O3618-P3618</x:f>
        <x:v>0</x:v>
      </x:c>
      <x:c r="R3618" s="11" t="n">
        <x:f>IF(D3618="Completed",I3618,0)</x:f>
        <x:v>0</x:v>
      </x:c>
      <x:c r="S3618" s="11" t="n">
        <x:f>IF(D3618="Completed",L3618,0)</x:f>
        <x:v>0</x:v>
      </x:c>
      <x:c r="T3618" s="8" t="n">
        <x:f>DATE(YEAR(C3618),MONTH(C3618),1)</x:f>
        <x:v>45717</x:v>
      </x:c>
    </x:row>
    <x:row r="3619" ht="22" customHeight="1">
      <x:c r="A3619" s="2" t="str">
        <x:v>L003615</x:v>
      </x:c>
      <x:c r="B3619" s="2" t="str">
        <x:v>O01476</x:v>
      </x:c>
      <x:c r="C3619" s="7" t="n">
        <x:v>45980</x:v>
      </x:c>
      <x:c r="D3619" s="2" t="str">
        <x:v>Completed</x:v>
      </x:c>
      <x:c r="E3619" s="2" t="str">
        <x:v>East</x:v>
      </x:c>
      <x:c r="F3619" s="2" t="str">
        <x:v>Store</x:v>
      </x:c>
      <x:c r="G3619" s="2" t="str">
        <x:v>Storage</x:v>
      </x:c>
      <x:c r="H3619" s="2" t="str">
        <x:v>Shelf 007</x:v>
      </x:c>
      <x:c r="I3619" s="11" t="n">
        <x:v>3</x:v>
      </x:c>
      <x:c r="J3619" s="9" t="n">
        <x:v>35</x:v>
      </x:c>
      <x:c r="K3619" s="10" t="n">
        <x:v>0.1</x:v>
      </x:c>
      <x:c r="L3619" s="11" t="n">
        <x:v>0</x:v>
      </x:c>
      <x:c r="M3619" s="9" t="n">
        <x:f>IF(D3619="Completed",I3619*J3619,0)</x:f>
        <x:v>105</x:v>
      </x:c>
      <x:c r="N3619" s="9" t="n">
        <x:f>M3619*K3619</x:f>
        <x:v>10.5</x:v>
      </x:c>
      <x:c r="O3619" s="9" t="n">
        <x:f>M3619-N3619</x:f>
        <x:v>94.5</x:v>
      </x:c>
      <x:c r="P3619" s="9" t="n">
        <x:f>IF(D3619="Completed",L3619*J3619*(1-K3619),0)</x:f>
        <x:v>0</x:v>
      </x:c>
      <x:c r="Q3619" s="9" t="n">
        <x:f>O3619-P3619</x:f>
        <x:v>94.5</x:v>
      </x:c>
      <x:c r="R3619" s="11" t="n">
        <x:f>IF(D3619="Completed",I3619,0)</x:f>
        <x:v>3</x:v>
      </x:c>
      <x:c r="S3619" s="11" t="n">
        <x:f>IF(D3619="Completed",L3619,0)</x:f>
        <x:v>0</x:v>
      </x:c>
      <x:c r="T3619" s="8" t="n">
        <x:f>DATE(YEAR(C3619),MONTH(C3619),1)</x:f>
        <x:v>45962</x:v>
      </x:c>
    </x:row>
    <x:row r="3620" ht="22" customHeight="1">
      <x:c r="A3620" s="2" t="str">
        <x:v>L003616</x:v>
      </x:c>
      <x:c r="B3620" s="2" t="str">
        <x:v>O01476</x:v>
      </x:c>
      <x:c r="C3620" s="7" t="n">
        <x:v>45980</x:v>
      </x:c>
      <x:c r="D3620" s="2" t="str">
        <x:v>Completed</x:v>
      </x:c>
      <x:c r="E3620" s="2" t="str">
        <x:v>East</x:v>
      </x:c>
      <x:c r="F3620" s="2" t="str">
        <x:v>Store</x:v>
      </x:c>
      <x:c r="G3620" s="2" t="str">
        <x:v>Lighting</x:v>
      </x:c>
      <x:c r="H3620" s="2" t="str">
        <x:v>Lamp 021</x:v>
      </x:c>
      <x:c r="I3620" s="11" t="n">
        <x:v>2</x:v>
      </x:c>
      <x:c r="J3620" s="9" t="n">
        <x:v>249</x:v>
      </x:c>
      <x:c r="K3620" s="10" t="n">
        <x:v>0.2</x:v>
      </x:c>
      <x:c r="L3620" s="11" t="n">
        <x:v>0</x:v>
      </x:c>
      <x:c r="M3620" s="9" t="n">
        <x:f>IF(D3620="Completed",I3620*J3620,0)</x:f>
        <x:v>498</x:v>
      </x:c>
      <x:c r="N3620" s="9" t="n">
        <x:f>M3620*K3620</x:f>
        <x:v>99.60000000000001</x:v>
      </x:c>
      <x:c r="O3620" s="9" t="n">
        <x:f>M3620-N3620</x:f>
        <x:v>398.4</x:v>
      </x:c>
      <x:c r="P3620" s="9" t="n">
        <x:f>IF(D3620="Completed",L3620*J3620*(1-K3620),0)</x:f>
        <x:v>0</x:v>
      </x:c>
      <x:c r="Q3620" s="9" t="n">
        <x:f>O3620-P3620</x:f>
        <x:v>398.4</x:v>
      </x:c>
      <x:c r="R3620" s="11" t="n">
        <x:f>IF(D3620="Completed",I3620,0)</x:f>
        <x:v>2</x:v>
      </x:c>
      <x:c r="S3620" s="11" t="n">
        <x:f>IF(D3620="Completed",L3620,0)</x:f>
        <x:v>0</x:v>
      </x:c>
      <x:c r="T3620" s="8" t="n">
        <x:f>DATE(YEAR(C3620),MONTH(C3620),1)</x:f>
        <x:v>45962</x:v>
      </x:c>
    </x:row>
    <x:row r="3621" ht="22" customHeight="1">
      <x:c r="A3621" s="2" t="str">
        <x:v>L003617</x:v>
      </x:c>
      <x:c r="B3621" s="2" t="str">
        <x:v>O01476</x:v>
      </x:c>
      <x:c r="C3621" s="7" t="n">
        <x:v>45980</x:v>
      </x:c>
      <x:c r="D3621" s="2" t="str">
        <x:v>Completed</x:v>
      </x:c>
      <x:c r="E3621" s="2" t="str">
        <x:v>East</x:v>
      </x:c>
      <x:c r="F3621" s="2" t="str">
        <x:v>Store</x:v>
      </x:c>
      <x:c r="G3621" s="2" t="str">
        <x:v>Furniture</x:v>
      </x:c>
      <x:c r="H3621" s="2" t="str">
        <x:v>Desk 004</x:v>
      </x:c>
      <x:c r="I3621" s="11" t="n">
        <x:v>5</x:v>
      </x:c>
      <x:c r="J3621" s="9" t="n">
        <x:v>123</x:v>
      </x:c>
      <x:c r="K3621" s="10" t="n">
        <x:v>0.05</x:v>
      </x:c>
      <x:c r="L3621" s="11" t="n">
        <x:v>0</x:v>
      </x:c>
      <x:c r="M3621" s="9" t="n">
        <x:f>IF(D3621="Completed",I3621*J3621,0)</x:f>
        <x:v>615</x:v>
      </x:c>
      <x:c r="N3621" s="9" t="n">
        <x:f>M3621*K3621</x:f>
        <x:v>30.75</x:v>
      </x:c>
      <x:c r="O3621" s="9" t="n">
        <x:f>M3621-N3621</x:f>
        <x:v>584.25</x:v>
      </x:c>
      <x:c r="P3621" s="9" t="n">
        <x:f>IF(D3621="Completed",L3621*J3621*(1-K3621),0)</x:f>
        <x:v>0</x:v>
      </x:c>
      <x:c r="Q3621" s="9" t="n">
        <x:f>O3621-P3621</x:f>
        <x:v>584.25</x:v>
      </x:c>
      <x:c r="R3621" s="11" t="n">
        <x:f>IF(D3621="Completed",I3621,0)</x:f>
        <x:v>5</x:v>
      </x:c>
      <x:c r="S3621" s="11" t="n">
        <x:f>IF(D3621="Completed",L3621,0)</x:f>
        <x:v>0</x:v>
      </x:c>
      <x:c r="T3621" s="8" t="n">
        <x:f>DATE(YEAR(C3621),MONTH(C3621),1)</x:f>
        <x:v>45962</x:v>
      </x:c>
    </x:row>
    <x:row r="3622" ht="22" customHeight="1">
      <x:c r="A3622" s="2" t="str">
        <x:v>L003618</x:v>
      </x:c>
      <x:c r="B3622" s="2" t="str">
        <x:v>O01476</x:v>
      </x:c>
      <x:c r="C3622" s="7" t="n">
        <x:v>45980</x:v>
      </x:c>
      <x:c r="D3622" s="2" t="str">
        <x:v>Completed</x:v>
      </x:c>
      <x:c r="E3622" s="2" t="str">
        <x:v>East</x:v>
      </x:c>
      <x:c r="F3622" s="2" t="str">
        <x:v>Store</x:v>
      </x:c>
      <x:c r="G3622" s="2" t="str">
        <x:v>Storage</x:v>
      </x:c>
      <x:c r="H3622" s="2" t="str">
        <x:v>Shelf 003</x:v>
      </x:c>
      <x:c r="I3622" s="11" t="n">
        <x:v>2</x:v>
      </x:c>
      <x:c r="J3622" s="9" t="n">
        <x:v>199</x:v>
      </x:c>
      <x:c r="K3622" s="10" t="n">
        <x:v>0</x:v>
      </x:c>
      <x:c r="L3622" s="11" t="n">
        <x:v>0</x:v>
      </x:c>
      <x:c r="M3622" s="9" t="n">
        <x:f>IF(D3622="Completed",I3622*J3622,0)</x:f>
        <x:v>398</x:v>
      </x:c>
      <x:c r="N3622" s="9" t="n">
        <x:f>M3622*K3622</x:f>
        <x:v>0</x:v>
      </x:c>
      <x:c r="O3622" s="9" t="n">
        <x:f>M3622-N3622</x:f>
        <x:v>398</x:v>
      </x:c>
      <x:c r="P3622" s="9" t="n">
        <x:f>IF(D3622="Completed",L3622*J3622*(1-K3622),0)</x:f>
        <x:v>0</x:v>
      </x:c>
      <x:c r="Q3622" s="9" t="n">
        <x:f>O3622-P3622</x:f>
        <x:v>398</x:v>
      </x:c>
      <x:c r="R3622" s="11" t="n">
        <x:f>IF(D3622="Completed",I3622,0)</x:f>
        <x:v>2</x:v>
      </x:c>
      <x:c r="S3622" s="11" t="n">
        <x:f>IF(D3622="Completed",L3622,0)</x:f>
        <x:v>0</x:v>
      </x:c>
      <x:c r="T3622" s="8" t="n">
        <x:f>DATE(YEAR(C3622),MONTH(C3622),1)</x:f>
        <x:v>45962</x:v>
      </x:c>
    </x:row>
    <x:row r="3623" ht="22" customHeight="1">
      <x:c r="A3623" s="2" t="str">
        <x:v>L003619</x:v>
      </x:c>
      <x:c r="B3623" s="2" t="str">
        <x:v>O01477</x:v>
      </x:c>
      <x:c r="C3623" s="7" t="n">
        <x:v>45753</x:v>
      </x:c>
      <x:c r="D3623" s="2" t="str">
        <x:v>Completed</x:v>
      </x:c>
      <x:c r="E3623" s="2" t="str">
        <x:v>South</x:v>
      </x:c>
      <x:c r="F3623" s="2" t="str">
        <x:v>Store</x:v>
      </x:c>
      <x:c r="G3623" s="2" t="str">
        <x:v>Lighting</x:v>
      </x:c>
      <x:c r="H3623" s="2" t="str">
        <x:v>Lamp 017</x:v>
      </x:c>
      <x:c r="I3623" s="11" t="n">
        <x:v>3</x:v>
      </x:c>
      <x:c r="J3623" s="9" t="n">
        <x:v>300</x:v>
      </x:c>
      <x:c r="K3623" s="10" t="n">
        <x:v>0.2</x:v>
      </x:c>
      <x:c r="L3623" s="11" t="n">
        <x:v>0</x:v>
      </x:c>
      <x:c r="M3623" s="9" t="n">
        <x:f>IF(D3623="Completed",I3623*J3623,0)</x:f>
        <x:v>900</x:v>
      </x:c>
      <x:c r="N3623" s="9" t="n">
        <x:f>M3623*K3623</x:f>
        <x:v>180</x:v>
      </x:c>
      <x:c r="O3623" s="9" t="n">
        <x:f>M3623-N3623</x:f>
        <x:v>720</x:v>
      </x:c>
      <x:c r="P3623" s="9" t="n">
        <x:f>IF(D3623="Completed",L3623*J3623*(1-K3623),0)</x:f>
        <x:v>0</x:v>
      </x:c>
      <x:c r="Q3623" s="9" t="n">
        <x:f>O3623-P3623</x:f>
        <x:v>720</x:v>
      </x:c>
      <x:c r="R3623" s="11" t="n">
        <x:f>IF(D3623="Completed",I3623,0)</x:f>
        <x:v>3</x:v>
      </x:c>
      <x:c r="S3623" s="11" t="n">
        <x:f>IF(D3623="Completed",L3623,0)</x:f>
        <x:v>0</x:v>
      </x:c>
      <x:c r="T3623" s="8" t="n">
        <x:f>DATE(YEAR(C3623),MONTH(C3623),1)</x:f>
        <x:v>45748</x:v>
      </x:c>
    </x:row>
    <x:row r="3624" ht="22" customHeight="1">
      <x:c r="A3624" s="2" t="str">
        <x:v>L003620</x:v>
      </x:c>
      <x:c r="B3624" s="2" t="str">
        <x:v>O01478</x:v>
      </x:c>
      <x:c r="C3624" s="7" t="n">
        <x:v>45886</x:v>
      </x:c>
      <x:c r="D3624" s="2" t="str">
        <x:v>Completed</x:v>
      </x:c>
      <x:c r="E3624" s="2" t="str">
        <x:v>West</x:v>
      </x:c>
      <x:c r="F3624" s="2" t="str">
        <x:v>Store</x:v>
      </x:c>
      <x:c r="G3624" s="2" t="str">
        <x:v>Furniture</x:v>
      </x:c>
      <x:c r="H3624" s="2" t="str">
        <x:v>Chair 022</x:v>
      </x:c>
      <x:c r="I3624" s="11" t="n">
        <x:v>2</x:v>
      </x:c>
      <x:c r="J3624" s="9" t="n">
        <x:v>134</x:v>
      </x:c>
      <x:c r="K3624" s="10" t="n">
        <x:v>0.1</x:v>
      </x:c>
      <x:c r="L3624" s="11" t="n">
        <x:v>0</x:v>
      </x:c>
      <x:c r="M3624" s="9" t="n">
        <x:f>IF(D3624="Completed",I3624*J3624,0)</x:f>
        <x:v>268</x:v>
      </x:c>
      <x:c r="N3624" s="9" t="n">
        <x:f>M3624*K3624</x:f>
        <x:v>26.8</x:v>
      </x:c>
      <x:c r="O3624" s="9" t="n">
        <x:f>M3624-N3624</x:f>
        <x:v>241.2</x:v>
      </x:c>
      <x:c r="P3624" s="9" t="n">
        <x:f>IF(D3624="Completed",L3624*J3624*(1-K3624),0)</x:f>
        <x:v>0</x:v>
      </x:c>
      <x:c r="Q3624" s="9" t="n">
        <x:f>O3624-P3624</x:f>
        <x:v>241.2</x:v>
      </x:c>
      <x:c r="R3624" s="11" t="n">
        <x:f>IF(D3624="Completed",I3624,0)</x:f>
        <x:v>2</x:v>
      </x:c>
      <x:c r="S3624" s="11" t="n">
        <x:f>IF(D3624="Completed",L3624,0)</x:f>
        <x:v>0</x:v>
      </x:c>
      <x:c r="T3624" s="8" t="n">
        <x:f>DATE(YEAR(C3624),MONTH(C3624),1)</x:f>
        <x:v>45870</x:v>
      </x:c>
    </x:row>
    <x:row r="3625" ht="22" customHeight="1">
      <x:c r="A3625" s="2" t="str">
        <x:v>L003621</x:v>
      </x:c>
      <x:c r="B3625" s="2" t="str">
        <x:v>O01478</x:v>
      </x:c>
      <x:c r="C3625" s="7" t="n">
        <x:v>45886</x:v>
      </x:c>
      <x:c r="D3625" s="2" t="str">
        <x:v>Completed</x:v>
      </x:c>
      <x:c r="E3625" s="2" t="str">
        <x:v>West</x:v>
      </x:c>
      <x:c r="F3625" s="2" t="str">
        <x:v>Store</x:v>
      </x:c>
      <x:c r="G3625" s="2" t="str">
        <x:v>Furniture</x:v>
      </x:c>
      <x:c r="H3625" s="2" t="str">
        <x:v>Chair 022</x:v>
      </x:c>
      <x:c r="I3625" s="11" t="n">
        <x:v>5</x:v>
      </x:c>
      <x:c r="J3625" s="9" t="n">
        <x:v>134</x:v>
      </x:c>
      <x:c r="K3625" s="10" t="n">
        <x:v>0.2</x:v>
      </x:c>
      <x:c r="L3625" s="11" t="n">
        <x:v>0</x:v>
      </x:c>
      <x:c r="M3625" s="9" t="n">
        <x:f>IF(D3625="Completed",I3625*J3625,0)</x:f>
        <x:v>670</x:v>
      </x:c>
      <x:c r="N3625" s="9" t="n">
        <x:f>M3625*K3625</x:f>
        <x:v>134</x:v>
      </x:c>
      <x:c r="O3625" s="9" t="n">
        <x:f>M3625-N3625</x:f>
        <x:v>536</x:v>
      </x:c>
      <x:c r="P3625" s="9" t="n">
        <x:f>IF(D3625="Completed",L3625*J3625*(1-K3625),0)</x:f>
        <x:v>0</x:v>
      </x:c>
      <x:c r="Q3625" s="9" t="n">
        <x:f>O3625-P3625</x:f>
        <x:v>536</x:v>
      </x:c>
      <x:c r="R3625" s="11" t="n">
        <x:f>IF(D3625="Completed",I3625,0)</x:f>
        <x:v>5</x:v>
      </x:c>
      <x:c r="S3625" s="11" t="n">
        <x:f>IF(D3625="Completed",L3625,0)</x:f>
        <x:v>0</x:v>
      </x:c>
      <x:c r="T3625" s="8" t="n">
        <x:f>DATE(YEAR(C3625),MONTH(C3625),1)</x:f>
        <x:v>45870</x:v>
      </x:c>
    </x:row>
    <x:row r="3626" ht="22" customHeight="1">
      <x:c r="A3626" s="2" t="str">
        <x:v>L003622</x:v>
      </x:c>
      <x:c r="B3626" s="2" t="str">
        <x:v>O01479</x:v>
      </x:c>
      <x:c r="C3626" s="7" t="n">
        <x:v>45812</x:v>
      </x:c>
      <x:c r="D3626" s="2" t="str">
        <x:v>Completed</x:v>
      </x:c>
      <x:c r="E3626" s="2" t="str">
        <x:v>West</x:v>
      </x:c>
      <x:c r="F3626" s="2" t="str">
        <x:v>Online</x:v>
      </x:c>
      <x:c r="G3626" s="2" t="str">
        <x:v>Furniture</x:v>
      </x:c>
      <x:c r="H3626" s="2" t="str">
        <x:v>Desk 008</x:v>
      </x:c>
      <x:c r="I3626" s="11" t="n">
        <x:v>1</x:v>
      </x:c>
      <x:c r="J3626" s="9" t="n">
        <x:v>188</x:v>
      </x:c>
      <x:c r="K3626" s="10" t="n">
        <x:v>0</x:v>
      </x:c>
      <x:c r="L3626" s="11" t="n">
        <x:v>0</x:v>
      </x:c>
      <x:c r="M3626" s="9" t="n">
        <x:f>IF(D3626="Completed",I3626*J3626,0)</x:f>
        <x:v>188</x:v>
      </x:c>
      <x:c r="N3626" s="9" t="n">
        <x:f>M3626*K3626</x:f>
        <x:v>0</x:v>
      </x:c>
      <x:c r="O3626" s="9" t="n">
        <x:f>M3626-N3626</x:f>
        <x:v>188</x:v>
      </x:c>
      <x:c r="P3626" s="9" t="n">
        <x:f>IF(D3626="Completed",L3626*J3626*(1-K3626),0)</x:f>
        <x:v>0</x:v>
      </x:c>
      <x:c r="Q3626" s="9" t="n">
        <x:f>O3626-P3626</x:f>
        <x:v>188</x:v>
      </x:c>
      <x:c r="R3626" s="11" t="n">
        <x:f>IF(D3626="Completed",I3626,0)</x:f>
        <x:v>1</x:v>
      </x:c>
      <x:c r="S3626" s="11" t="n">
        <x:f>IF(D3626="Completed",L3626,0)</x:f>
        <x:v>0</x:v>
      </x:c>
      <x:c r="T3626" s="8" t="n">
        <x:f>DATE(YEAR(C3626),MONTH(C3626),1)</x:f>
        <x:v>45809</x:v>
      </x:c>
    </x:row>
    <x:row r="3627" ht="22" customHeight="1">
      <x:c r="A3627" s="2" t="str">
        <x:v>L003623</x:v>
      </x:c>
      <x:c r="B3627" s="2" t="str">
        <x:v>O01479</x:v>
      </x:c>
      <x:c r="C3627" s="7" t="n">
        <x:v>45812</x:v>
      </x:c>
      <x:c r="D3627" s="2" t="str">
        <x:v>Completed</x:v>
      </x:c>
      <x:c r="E3627" s="2" t="str">
        <x:v>West</x:v>
      </x:c>
      <x:c r="F3627" s="2" t="str">
        <x:v>Online</x:v>
      </x:c>
      <x:c r="G3627" s="2" t="str">
        <x:v>Storage</x:v>
      </x:c>
      <x:c r="H3627" s="2" t="str">
        <x:v>Shelf 015</x:v>
      </x:c>
      <x:c r="I3627" s="11" t="n">
        <x:v>4</x:v>
      </x:c>
      <x:c r="J3627" s="9" t="n">
        <x:v>254</x:v>
      </x:c>
      <x:c r="K3627" s="10" t="n">
        <x:v>0</x:v>
      </x:c>
      <x:c r="L3627" s="11" t="n">
        <x:v>0</x:v>
      </x:c>
      <x:c r="M3627" s="9" t="n">
        <x:f>IF(D3627="Completed",I3627*J3627,0)</x:f>
        <x:v>1016</x:v>
      </x:c>
      <x:c r="N3627" s="9" t="n">
        <x:f>M3627*K3627</x:f>
        <x:v>0</x:v>
      </x:c>
      <x:c r="O3627" s="9" t="n">
        <x:f>M3627-N3627</x:f>
        <x:v>1016</x:v>
      </x:c>
      <x:c r="P3627" s="9" t="n">
        <x:f>IF(D3627="Completed",L3627*J3627*(1-K3627),0)</x:f>
        <x:v>0</x:v>
      </x:c>
      <x:c r="Q3627" s="9" t="n">
        <x:f>O3627-P3627</x:f>
        <x:v>1016</x:v>
      </x:c>
      <x:c r="R3627" s="11" t="n">
        <x:f>IF(D3627="Completed",I3627,0)</x:f>
        <x:v>4</x:v>
      </x:c>
      <x:c r="S3627" s="11" t="n">
        <x:f>IF(D3627="Completed",L3627,0)</x:f>
        <x:v>0</x:v>
      </x:c>
      <x:c r="T3627" s="8" t="n">
        <x:f>DATE(YEAR(C3627),MONTH(C3627),1)</x:f>
        <x:v>45809</x:v>
      </x:c>
    </x:row>
    <x:row r="3628" ht="22" customHeight="1">
      <x:c r="A3628" s="2" t="str">
        <x:v>L003624</x:v>
      </x:c>
      <x:c r="B3628" s="2" t="str">
        <x:v>O01479</x:v>
      </x:c>
      <x:c r="C3628" s="7" t="n">
        <x:v>45812</x:v>
      </x:c>
      <x:c r="D3628" s="2" t="str">
        <x:v>Completed</x:v>
      </x:c>
      <x:c r="E3628" s="2" t="str">
        <x:v>West</x:v>
      </x:c>
      <x:c r="F3628" s="2" t="str">
        <x:v>Online</x:v>
      </x:c>
      <x:c r="G3628" s="2" t="str">
        <x:v>Furniture</x:v>
      </x:c>
      <x:c r="H3628" s="2" t="str">
        <x:v>Chair 014</x:v>
      </x:c>
      <x:c r="I3628" s="11" t="n">
        <x:v>4</x:v>
      </x:c>
      <x:c r="J3628" s="9" t="n">
        <x:v>294</x:v>
      </x:c>
      <x:c r="K3628" s="10" t="n">
        <x:v>0.2</x:v>
      </x:c>
      <x:c r="L3628" s="11" t="n">
        <x:v>0</x:v>
      </x:c>
      <x:c r="M3628" s="9" t="n">
        <x:f>IF(D3628="Completed",I3628*J3628,0)</x:f>
        <x:v>1176</x:v>
      </x:c>
      <x:c r="N3628" s="9" t="n">
        <x:f>M3628*K3628</x:f>
        <x:v>235.20000000000002</x:v>
      </x:c>
      <x:c r="O3628" s="9" t="n">
        <x:f>M3628-N3628</x:f>
        <x:v>940.8</x:v>
      </x:c>
      <x:c r="P3628" s="9" t="n">
        <x:f>IF(D3628="Completed",L3628*J3628*(1-K3628),0)</x:f>
        <x:v>0</x:v>
      </x:c>
      <x:c r="Q3628" s="9" t="n">
        <x:f>O3628-P3628</x:f>
        <x:v>940.8</x:v>
      </x:c>
      <x:c r="R3628" s="11" t="n">
        <x:f>IF(D3628="Completed",I3628,0)</x:f>
        <x:v>4</x:v>
      </x:c>
      <x:c r="S3628" s="11" t="n">
        <x:f>IF(D3628="Completed",L3628,0)</x:f>
        <x:v>0</x:v>
      </x:c>
      <x:c r="T3628" s="8" t="n">
        <x:f>DATE(YEAR(C3628),MONTH(C3628),1)</x:f>
        <x:v>45809</x:v>
      </x:c>
    </x:row>
    <x:row r="3629" ht="22" customHeight="1">
      <x:c r="A3629" s="2" t="str">
        <x:v>L003625</x:v>
      </x:c>
      <x:c r="B3629" s="2" t="str">
        <x:v>O01480</x:v>
      </x:c>
      <x:c r="C3629" s="7" t="n">
        <x:v>45907</x:v>
      </x:c>
      <x:c r="D3629" s="2" t="str">
        <x:v>Completed</x:v>
      </x:c>
      <x:c r="E3629" s="2" t="str">
        <x:v>East</x:v>
      </x:c>
      <x:c r="F3629" s="2" t="str">
        <x:v>Online</x:v>
      </x:c>
      <x:c r="G3629" s="2" t="str">
        <x:v>Furniture</x:v>
      </x:c>
      <x:c r="H3629" s="2" t="str">
        <x:v>Chair 018</x:v>
      </x:c>
      <x:c r="I3629" s="11" t="n">
        <x:v>1</x:v>
      </x:c>
      <x:c r="J3629" s="9" t="n">
        <x:v>269</x:v>
      </x:c>
      <x:c r="K3629" s="10" t="n">
        <x:v>0.05</x:v>
      </x:c>
      <x:c r="L3629" s="11" t="n">
        <x:v>0</x:v>
      </x:c>
      <x:c r="M3629" s="9" t="n">
        <x:f>IF(D3629="Completed",I3629*J3629,0)</x:f>
        <x:v>269</x:v>
      </x:c>
      <x:c r="N3629" s="9" t="n">
        <x:f>M3629*K3629</x:f>
        <x:v>13.450000000000001</x:v>
      </x:c>
      <x:c r="O3629" s="9" t="n">
        <x:f>M3629-N3629</x:f>
        <x:v>255.55</x:v>
      </x:c>
      <x:c r="P3629" s="9" t="n">
        <x:f>IF(D3629="Completed",L3629*J3629*(1-K3629),0)</x:f>
        <x:v>0</x:v>
      </x:c>
      <x:c r="Q3629" s="9" t="n">
        <x:f>O3629-P3629</x:f>
        <x:v>255.55</x:v>
      </x:c>
      <x:c r="R3629" s="11" t="n">
        <x:f>IF(D3629="Completed",I3629,0)</x:f>
        <x:v>1</x:v>
      </x:c>
      <x:c r="S3629" s="11" t="n">
        <x:f>IF(D3629="Completed",L3629,0)</x:f>
        <x:v>0</x:v>
      </x:c>
      <x:c r="T3629" s="8" t="n">
        <x:f>DATE(YEAR(C3629),MONTH(C3629),1)</x:f>
        <x:v>45901</x:v>
      </x:c>
    </x:row>
    <x:row r="3630" ht="22" customHeight="1">
      <x:c r="A3630" s="2" t="str">
        <x:v>L003626</x:v>
      </x:c>
      <x:c r="B3630" s="2" t="str">
        <x:v>O01480</x:v>
      </x:c>
      <x:c r="C3630" s="7" t="n">
        <x:v>45907</x:v>
      </x:c>
      <x:c r="D3630" s="2" t="str">
        <x:v>Completed</x:v>
      </x:c>
      <x:c r="E3630" s="2" t="str">
        <x:v>East</x:v>
      </x:c>
      <x:c r="F3630" s="2" t="str">
        <x:v>Online</x:v>
      </x:c>
      <x:c r="G3630" s="2" t="str">
        <x:v>Storage</x:v>
      </x:c>
      <x:c r="H3630" s="2" t="str">
        <x:v>Shelf 019</x:v>
      </x:c>
      <x:c r="I3630" s="11" t="n">
        <x:v>1</x:v>
      </x:c>
      <x:c r="J3630" s="9" t="n">
        <x:v>78</x:v>
      </x:c>
      <x:c r="K3630" s="10" t="n">
        <x:v>0.1</x:v>
      </x:c>
      <x:c r="L3630" s="11" t="n">
        <x:v>0</x:v>
      </x:c>
      <x:c r="M3630" s="9" t="n">
        <x:f>IF(D3630="Completed",I3630*J3630,0)</x:f>
        <x:v>78</x:v>
      </x:c>
      <x:c r="N3630" s="9" t="n">
        <x:f>M3630*K3630</x:f>
        <x:v>7.800000000000001</x:v>
      </x:c>
      <x:c r="O3630" s="9" t="n">
        <x:f>M3630-N3630</x:f>
        <x:v>70.2</x:v>
      </x:c>
      <x:c r="P3630" s="9" t="n">
        <x:f>IF(D3630="Completed",L3630*J3630*(1-K3630),0)</x:f>
        <x:v>0</x:v>
      </x:c>
      <x:c r="Q3630" s="9" t="n">
        <x:f>O3630-P3630</x:f>
        <x:v>70.2</x:v>
      </x:c>
      <x:c r="R3630" s="11" t="n">
        <x:f>IF(D3630="Completed",I3630,0)</x:f>
        <x:v>1</x:v>
      </x:c>
      <x:c r="S3630" s="11" t="n">
        <x:f>IF(D3630="Completed",L3630,0)</x:f>
        <x:v>0</x:v>
      </x:c>
      <x:c r="T3630" s="8" t="n">
        <x:f>DATE(YEAR(C3630),MONTH(C3630),1)</x:f>
        <x:v>45901</x:v>
      </x:c>
    </x:row>
    <x:row r="3631" ht="22" customHeight="1">
      <x:c r="A3631" s="2" t="str">
        <x:v>L003627</x:v>
      </x:c>
      <x:c r="B3631" s="2" t="str">
        <x:v>O01480</x:v>
      </x:c>
      <x:c r="C3631" s="7" t="n">
        <x:v>45907</x:v>
      </x:c>
      <x:c r="D3631" s="2" t="str">
        <x:v>Completed</x:v>
      </x:c>
      <x:c r="E3631" s="2" t="str">
        <x:v>East</x:v>
      </x:c>
      <x:c r="F3631" s="2" t="str">
        <x:v>Online</x:v>
      </x:c>
      <x:c r="G3631" s="2" t="str">
        <x:v>Furniture</x:v>
      </x:c>
      <x:c r="H3631" s="2" t="str">
        <x:v>Chair 022</x:v>
      </x:c>
      <x:c r="I3631" s="11" t="n">
        <x:v>4</x:v>
      </x:c>
      <x:c r="J3631" s="9" t="n">
        <x:v>134</x:v>
      </x:c>
      <x:c r="K3631" s="10" t="n">
        <x:v>0</x:v>
      </x:c>
      <x:c r="L3631" s="11" t="n">
        <x:v>0</x:v>
      </x:c>
      <x:c r="M3631" s="9" t="n">
        <x:f>IF(D3631="Completed",I3631*J3631,0)</x:f>
        <x:v>536</x:v>
      </x:c>
      <x:c r="N3631" s="9" t="n">
        <x:f>M3631*K3631</x:f>
        <x:v>0</x:v>
      </x:c>
      <x:c r="O3631" s="9" t="n">
        <x:f>M3631-N3631</x:f>
        <x:v>536</x:v>
      </x:c>
      <x:c r="P3631" s="9" t="n">
        <x:f>IF(D3631="Completed",L3631*J3631*(1-K3631),0)</x:f>
        <x:v>0</x:v>
      </x:c>
      <x:c r="Q3631" s="9" t="n">
        <x:f>O3631-P3631</x:f>
        <x:v>536</x:v>
      </x:c>
      <x:c r="R3631" s="11" t="n">
        <x:f>IF(D3631="Completed",I3631,0)</x:f>
        <x:v>4</x:v>
      </x:c>
      <x:c r="S3631" s="11" t="n">
        <x:f>IF(D3631="Completed",L3631,0)</x:f>
        <x:v>0</x:v>
      </x:c>
      <x:c r="T3631" s="8" t="n">
        <x:f>DATE(YEAR(C3631),MONTH(C3631),1)</x:f>
        <x:v>45901</x:v>
      </x:c>
    </x:row>
    <x:row r="3632" ht="22" customHeight="1">
      <x:c r="A3632" s="2" t="str">
        <x:v>L003628</x:v>
      </x:c>
      <x:c r="B3632" s="2" t="str">
        <x:v>O01481</x:v>
      </x:c>
      <x:c r="C3632" s="7" t="n">
        <x:v>46000</x:v>
      </x:c>
      <x:c r="D3632" s="2" t="str">
        <x:v>Completed</x:v>
      </x:c>
      <x:c r="E3632" s="2" t="str">
        <x:v>South</x:v>
      </x:c>
      <x:c r="F3632" s="2" t="str">
        <x:v>Store</x:v>
      </x:c>
      <x:c r="G3632" s="2" t="str">
        <x:v>Furniture</x:v>
      </x:c>
      <x:c r="H3632" s="2" t="str">
        <x:v>Desk 016</x:v>
      </x:c>
      <x:c r="I3632" s="11" t="n">
        <x:v>4</x:v>
      </x:c>
      <x:c r="J3632" s="9" t="n">
        <x:v>231</x:v>
      </x:c>
      <x:c r="K3632" s="10" t="n">
        <x:v>0.2</x:v>
      </x:c>
      <x:c r="L3632" s="11" t="n">
        <x:v>0</x:v>
      </x:c>
      <x:c r="M3632" s="9" t="n">
        <x:f>IF(D3632="Completed",I3632*J3632,0)</x:f>
        <x:v>924</x:v>
      </x:c>
      <x:c r="N3632" s="9" t="n">
        <x:f>M3632*K3632</x:f>
        <x:v>184.8</x:v>
      </x:c>
      <x:c r="O3632" s="9" t="n">
        <x:f>M3632-N3632</x:f>
        <x:v>739.2</x:v>
      </x:c>
      <x:c r="P3632" s="9" t="n">
        <x:f>IF(D3632="Completed",L3632*J3632*(1-K3632),0)</x:f>
        <x:v>0</x:v>
      </x:c>
      <x:c r="Q3632" s="9" t="n">
        <x:f>O3632-P3632</x:f>
        <x:v>739.2</x:v>
      </x:c>
      <x:c r="R3632" s="11" t="n">
        <x:f>IF(D3632="Completed",I3632,0)</x:f>
        <x:v>4</x:v>
      </x:c>
      <x:c r="S3632" s="11" t="n">
        <x:f>IF(D3632="Completed",L3632,0)</x:f>
        <x:v>0</x:v>
      </x:c>
      <x:c r="T3632" s="8" t="n">
        <x:f>DATE(YEAR(C3632),MONTH(C3632),1)</x:f>
        <x:v>45992</x:v>
      </x:c>
    </x:row>
    <x:row r="3633" ht="22" customHeight="1">
      <x:c r="A3633" s="2" t="str">
        <x:v>L003629</x:v>
      </x:c>
      <x:c r="B3633" s="2" t="str">
        <x:v>O01481</x:v>
      </x:c>
      <x:c r="C3633" s="7" t="n">
        <x:v>46000</x:v>
      </x:c>
      <x:c r="D3633" s="2" t="str">
        <x:v>Completed</x:v>
      </x:c>
      <x:c r="E3633" s="2" t="str">
        <x:v>South</x:v>
      </x:c>
      <x:c r="F3633" s="2" t="str">
        <x:v>Store</x:v>
      </x:c>
      <x:c r="G3633" s="2" t="str">
        <x:v>Lighting</x:v>
      </x:c>
      <x:c r="H3633" s="2" t="str">
        <x:v>Lamp 013</x:v>
      </x:c>
      <x:c r="I3633" s="11" t="n">
        <x:v>4</x:v>
      </x:c>
      <x:c r="J3633" s="9" t="n">
        <x:v>271</x:v>
      </x:c>
      <x:c r="K3633" s="10" t="n">
        <x:v>0.1</x:v>
      </x:c>
      <x:c r="L3633" s="11" t="n">
        <x:v>0</x:v>
      </x:c>
      <x:c r="M3633" s="9" t="n">
        <x:f>IF(D3633="Completed",I3633*J3633,0)</x:f>
        <x:v>1084</x:v>
      </x:c>
      <x:c r="N3633" s="9" t="n">
        <x:f>M3633*K3633</x:f>
        <x:v>108.4</x:v>
      </x:c>
      <x:c r="O3633" s="9" t="n">
        <x:f>M3633-N3633</x:f>
        <x:v>975.6</x:v>
      </x:c>
      <x:c r="P3633" s="9" t="n">
        <x:f>IF(D3633="Completed",L3633*J3633*(1-K3633),0)</x:f>
        <x:v>0</x:v>
      </x:c>
      <x:c r="Q3633" s="9" t="n">
        <x:f>O3633-P3633</x:f>
        <x:v>975.6</x:v>
      </x:c>
      <x:c r="R3633" s="11" t="n">
        <x:f>IF(D3633="Completed",I3633,0)</x:f>
        <x:v>4</x:v>
      </x:c>
      <x:c r="S3633" s="11" t="n">
        <x:f>IF(D3633="Completed",L3633,0)</x:f>
        <x:v>0</x:v>
      </x:c>
      <x:c r="T3633" s="8" t="n">
        <x:f>DATE(YEAR(C3633),MONTH(C3633),1)</x:f>
        <x:v>45992</x:v>
      </x:c>
    </x:row>
    <x:row r="3634" ht="22" customHeight="1">
      <x:c r="A3634" s="2" t="str">
        <x:v>L003630</x:v>
      </x:c>
      <x:c r="B3634" s="2" t="str">
        <x:v>O01481</x:v>
      </x:c>
      <x:c r="C3634" s="7" t="n">
        <x:v>46000</x:v>
      </x:c>
      <x:c r="D3634" s="2" t="str">
        <x:v>Completed</x:v>
      </x:c>
      <x:c r="E3634" s="2" t="str">
        <x:v>South</x:v>
      </x:c>
      <x:c r="F3634" s="2" t="str">
        <x:v>Store</x:v>
      </x:c>
      <x:c r="G3634" s="2" t="str">
        <x:v>Furniture</x:v>
      </x:c>
      <x:c r="H3634" s="2" t="str">
        <x:v>Desk 012</x:v>
      </x:c>
      <x:c r="I3634" s="11" t="n">
        <x:v>3</x:v>
      </x:c>
      <x:c r="J3634" s="9" t="n">
        <x:v>134</x:v>
      </x:c>
      <x:c r="K3634" s="10" t="n">
        <x:v>0.05</x:v>
      </x:c>
      <x:c r="L3634" s="11" t="n">
        <x:v>0</x:v>
      </x:c>
      <x:c r="M3634" s="9" t="n">
        <x:f>IF(D3634="Completed",I3634*J3634,0)</x:f>
        <x:v>402</x:v>
      </x:c>
      <x:c r="N3634" s="9" t="n">
        <x:f>M3634*K3634</x:f>
        <x:v>20.1</x:v>
      </x:c>
      <x:c r="O3634" s="9" t="n">
        <x:f>M3634-N3634</x:f>
        <x:v>381.9</x:v>
      </x:c>
      <x:c r="P3634" s="9" t="n">
        <x:f>IF(D3634="Completed",L3634*J3634*(1-K3634),0)</x:f>
        <x:v>0</x:v>
      </x:c>
      <x:c r="Q3634" s="9" t="n">
        <x:f>O3634-P3634</x:f>
        <x:v>381.9</x:v>
      </x:c>
      <x:c r="R3634" s="11" t="n">
        <x:f>IF(D3634="Completed",I3634,0)</x:f>
        <x:v>3</x:v>
      </x:c>
      <x:c r="S3634" s="11" t="n">
        <x:f>IF(D3634="Completed",L3634,0)</x:f>
        <x:v>0</x:v>
      </x:c>
      <x:c r="T3634" s="8" t="n">
        <x:f>DATE(YEAR(C3634),MONTH(C3634),1)</x:f>
        <x:v>45992</x:v>
      </x:c>
    </x:row>
    <x:row r="3635" ht="22" customHeight="1">
      <x:c r="A3635" s="2" t="str">
        <x:v>L003631</x:v>
      </x:c>
      <x:c r="B3635" s="2" t="str">
        <x:v>O01481</x:v>
      </x:c>
      <x:c r="C3635" s="7" t="n">
        <x:v>46000</x:v>
      </x:c>
      <x:c r="D3635" s="2" t="str">
        <x:v>Completed</x:v>
      </x:c>
      <x:c r="E3635" s="2" t="str">
        <x:v>South</x:v>
      </x:c>
      <x:c r="F3635" s="2" t="str">
        <x:v>Store</x:v>
      </x:c>
      <x:c r="G3635" s="2" t="str">
        <x:v>Lighting</x:v>
      </x:c>
      <x:c r="H3635" s="2" t="str">
        <x:v>Lamp 005</x:v>
      </x:c>
      <x:c r="I3635" s="11" t="n">
        <x:v>5</x:v>
      </x:c>
      <x:c r="J3635" s="9" t="n">
        <x:v>65</x:v>
      </x:c>
      <x:c r="K3635" s="10" t="n">
        <x:v>0</x:v>
      </x:c>
      <x:c r="L3635" s="11" t="n">
        <x:v>0</x:v>
      </x:c>
      <x:c r="M3635" s="9" t="n">
        <x:f>IF(D3635="Completed",I3635*J3635,0)</x:f>
        <x:v>325</x:v>
      </x:c>
      <x:c r="N3635" s="9" t="n">
        <x:f>M3635*K3635</x:f>
        <x:v>0</x:v>
      </x:c>
      <x:c r="O3635" s="9" t="n">
        <x:f>M3635-N3635</x:f>
        <x:v>325</x:v>
      </x:c>
      <x:c r="P3635" s="9" t="n">
        <x:f>IF(D3635="Completed",L3635*J3635*(1-K3635),0)</x:f>
        <x:v>0</x:v>
      </x:c>
      <x:c r="Q3635" s="9" t="n">
        <x:f>O3635-P3635</x:f>
        <x:v>325</x:v>
      </x:c>
      <x:c r="R3635" s="11" t="n">
        <x:f>IF(D3635="Completed",I3635,0)</x:f>
        <x:v>5</x:v>
      </x:c>
      <x:c r="S3635" s="11" t="n">
        <x:f>IF(D3635="Completed",L3635,0)</x:f>
        <x:v>0</x:v>
      </x:c>
      <x:c r="T3635" s="8" t="n">
        <x:f>DATE(YEAR(C3635),MONTH(C3635),1)</x:f>
        <x:v>45992</x:v>
      </x:c>
    </x:row>
    <x:row r="3636" ht="22" customHeight="1">
      <x:c r="A3636" s="2" t="str">
        <x:v>L003632</x:v>
      </x:c>
      <x:c r="B3636" s="2" t="str">
        <x:v>O01482</x:v>
      </x:c>
      <x:c r="C3636" s="7" t="n">
        <x:v>45841</x:v>
      </x:c>
      <x:c r="D3636" s="2" t="str">
        <x:v>Cancelled</x:v>
      </x:c>
      <x:c r="E3636" s="2" t="str">
        <x:v>North</x:v>
      </x:c>
      <x:c r="F3636" s="2" t="str">
        <x:v>Store</x:v>
      </x:c>
      <x:c r="G3636" s="2" t="str">
        <x:v>Furniture</x:v>
      </x:c>
      <x:c r="H3636" s="2" t="str">
        <x:v>Chair 018</x:v>
      </x:c>
      <x:c r="I3636" s="11" t="n">
        <x:v>5</x:v>
      </x:c>
      <x:c r="J3636" s="9" t="n">
        <x:v>269</x:v>
      </x:c>
      <x:c r="K3636" s="10" t="n">
        <x:v>0.2</x:v>
      </x:c>
      <x:c r="L3636" s="11" t="n">
        <x:v>0</x:v>
      </x:c>
      <x:c r="M3636" s="9" t="n">
        <x:f>IF(D3636="Completed",I3636*J3636,0)</x:f>
        <x:v>0</x:v>
      </x:c>
      <x:c r="N3636" s="9" t="n">
        <x:f>M3636*K3636</x:f>
        <x:v>0</x:v>
      </x:c>
      <x:c r="O3636" s="9" t="n">
        <x:f>M3636-N3636</x:f>
        <x:v>0</x:v>
      </x:c>
      <x:c r="P3636" s="9" t="n">
        <x:f>IF(D3636="Completed",L3636*J3636*(1-K3636),0)</x:f>
        <x:v>0</x:v>
      </x:c>
      <x:c r="Q3636" s="9" t="n">
        <x:f>O3636-P3636</x:f>
        <x:v>0</x:v>
      </x:c>
      <x:c r="R3636" s="11" t="n">
        <x:f>IF(D3636="Completed",I3636,0)</x:f>
        <x:v>0</x:v>
      </x:c>
      <x:c r="S3636" s="11" t="n">
        <x:f>IF(D3636="Completed",L3636,0)</x:f>
        <x:v>0</x:v>
      </x:c>
      <x:c r="T3636" s="8" t="n">
        <x:f>DATE(YEAR(C3636),MONTH(C3636),1)</x:f>
        <x:v>45839</x:v>
      </x:c>
    </x:row>
    <x:row r="3637" ht="22" customHeight="1">
      <x:c r="A3637" s="2" t="str">
        <x:v>L003633</x:v>
      </x:c>
      <x:c r="B3637" s="2" t="str">
        <x:v>O01482</x:v>
      </x:c>
      <x:c r="C3637" s="7" t="n">
        <x:v>45841</x:v>
      </x:c>
      <x:c r="D3637" s="2" t="str">
        <x:v>Cancelled</x:v>
      </x:c>
      <x:c r="E3637" s="2" t="str">
        <x:v>North</x:v>
      </x:c>
      <x:c r="F3637" s="2" t="str">
        <x:v>Store</x:v>
      </x:c>
      <x:c r="G3637" s="2" t="str">
        <x:v>Furniture</x:v>
      </x:c>
      <x:c r="H3637" s="2" t="str">
        <x:v>Desk 020</x:v>
      </x:c>
      <x:c r="I3637" s="11" t="n">
        <x:v>4</x:v>
      </x:c>
      <x:c r="J3637" s="9" t="n">
        <x:v>189</x:v>
      </x:c>
      <x:c r="K3637" s="10" t="n">
        <x:v>0</x:v>
      </x:c>
      <x:c r="L3637" s="11" t="n">
        <x:v>0</x:v>
      </x:c>
      <x:c r="M3637" s="9" t="n">
        <x:f>IF(D3637="Completed",I3637*J3637,0)</x:f>
        <x:v>0</x:v>
      </x:c>
      <x:c r="N3637" s="9" t="n">
        <x:f>M3637*K3637</x:f>
        <x:v>0</x:v>
      </x:c>
      <x:c r="O3637" s="9" t="n">
        <x:f>M3637-N3637</x:f>
        <x:v>0</x:v>
      </x:c>
      <x:c r="P3637" s="9" t="n">
        <x:f>IF(D3637="Completed",L3637*J3637*(1-K3637),0)</x:f>
        <x:v>0</x:v>
      </x:c>
      <x:c r="Q3637" s="9" t="n">
        <x:f>O3637-P3637</x:f>
        <x:v>0</x:v>
      </x:c>
      <x:c r="R3637" s="11" t="n">
        <x:f>IF(D3637="Completed",I3637,0)</x:f>
        <x:v>0</x:v>
      </x:c>
      <x:c r="S3637" s="11" t="n">
        <x:f>IF(D3637="Completed",L3637,0)</x:f>
        <x:v>0</x:v>
      </x:c>
      <x:c r="T3637" s="8" t="n">
        <x:f>DATE(YEAR(C3637),MONTH(C3637),1)</x:f>
        <x:v>45839</x:v>
      </x:c>
    </x:row>
    <x:row r="3638" ht="22" customHeight="1">
      <x:c r="A3638" s="2" t="str">
        <x:v>L003634</x:v>
      </x:c>
      <x:c r="B3638" s="2" t="str">
        <x:v>O01482</x:v>
      </x:c>
      <x:c r="C3638" s="7" t="n">
        <x:v>45841</x:v>
      </x:c>
      <x:c r="D3638" s="2" t="str">
        <x:v>Cancelled</x:v>
      </x:c>
      <x:c r="E3638" s="2" t="str">
        <x:v>North</x:v>
      </x:c>
      <x:c r="F3638" s="2" t="str">
        <x:v>Store</x:v>
      </x:c>
      <x:c r="G3638" s="2" t="str">
        <x:v>Lighting</x:v>
      </x:c>
      <x:c r="H3638" s="2" t="str">
        <x:v>Lamp 017</x:v>
      </x:c>
      <x:c r="I3638" s="11" t="n">
        <x:v>4</x:v>
      </x:c>
      <x:c r="J3638" s="9" t="n">
        <x:v>300</x:v>
      </x:c>
      <x:c r="K3638" s="10" t="n">
        <x:v>0.05</x:v>
      </x:c>
      <x:c r="L3638" s="11" t="n">
        <x:v>0</x:v>
      </x:c>
      <x:c r="M3638" s="9" t="n">
        <x:f>IF(D3638="Completed",I3638*J3638,0)</x:f>
        <x:v>0</x:v>
      </x:c>
      <x:c r="N3638" s="9" t="n">
        <x:f>M3638*K3638</x:f>
        <x:v>0</x:v>
      </x:c>
      <x:c r="O3638" s="9" t="n">
        <x:f>M3638-N3638</x:f>
        <x:v>0</x:v>
      </x:c>
      <x:c r="P3638" s="9" t="n">
        <x:f>IF(D3638="Completed",L3638*J3638*(1-K3638),0)</x:f>
        <x:v>0</x:v>
      </x:c>
      <x:c r="Q3638" s="9" t="n">
        <x:f>O3638-P3638</x:f>
        <x:v>0</x:v>
      </x:c>
      <x:c r="R3638" s="11" t="n">
        <x:f>IF(D3638="Completed",I3638,0)</x:f>
        <x:v>0</x:v>
      </x:c>
      <x:c r="S3638" s="11" t="n">
        <x:f>IF(D3638="Completed",L3638,0)</x:f>
        <x:v>0</x:v>
      </x:c>
      <x:c r="T3638" s="8" t="n">
        <x:f>DATE(YEAR(C3638),MONTH(C3638),1)</x:f>
        <x:v>45839</x:v>
      </x:c>
    </x:row>
    <x:row r="3639" ht="22" customHeight="1">
      <x:c r="A3639" s="2" t="str">
        <x:v>L003635</x:v>
      </x:c>
      <x:c r="B3639" s="2" t="str">
        <x:v>O01482</x:v>
      </x:c>
      <x:c r="C3639" s="7" t="n">
        <x:v>45841</x:v>
      </x:c>
      <x:c r="D3639" s="2" t="str">
        <x:v>Cancelled</x:v>
      </x:c>
      <x:c r="E3639" s="2" t="str">
        <x:v>North</x:v>
      </x:c>
      <x:c r="F3639" s="2" t="str">
        <x:v>Store</x:v>
      </x:c>
      <x:c r="G3639" s="2" t="str">
        <x:v>Lighting</x:v>
      </x:c>
      <x:c r="H3639" s="2" t="str">
        <x:v>Lamp 001</x:v>
      </x:c>
      <x:c r="I3639" s="11" t="n">
        <x:v>1</x:v>
      </x:c>
      <x:c r="J3639" s="9" t="n">
        <x:v>122</x:v>
      </x:c>
      <x:c r="K3639" s="10" t="n">
        <x:v>0.2</x:v>
      </x:c>
      <x:c r="L3639" s="11" t="n">
        <x:v>0</x:v>
      </x:c>
      <x:c r="M3639" s="9" t="n">
        <x:f>IF(D3639="Completed",I3639*J3639,0)</x:f>
        <x:v>0</x:v>
      </x:c>
      <x:c r="N3639" s="9" t="n">
        <x:f>M3639*K3639</x:f>
        <x:v>0</x:v>
      </x:c>
      <x:c r="O3639" s="9" t="n">
        <x:f>M3639-N3639</x:f>
        <x:v>0</x:v>
      </x:c>
      <x:c r="P3639" s="9" t="n">
        <x:f>IF(D3639="Completed",L3639*J3639*(1-K3639),0)</x:f>
        <x:v>0</x:v>
      </x:c>
      <x:c r="Q3639" s="9" t="n">
        <x:f>O3639-P3639</x:f>
        <x:v>0</x:v>
      </x:c>
      <x:c r="R3639" s="11" t="n">
        <x:f>IF(D3639="Completed",I3639,0)</x:f>
        <x:v>0</x:v>
      </x:c>
      <x:c r="S3639" s="11" t="n">
        <x:f>IF(D3639="Completed",L3639,0)</x:f>
        <x:v>0</x:v>
      </x:c>
      <x:c r="T3639" s="8" t="n">
        <x:f>DATE(YEAR(C3639),MONTH(C3639),1)</x:f>
        <x:v>45839</x:v>
      </x:c>
    </x:row>
    <x:row r="3640" ht="22" customHeight="1">
      <x:c r="A3640" s="2" t="str">
        <x:v>L003636</x:v>
      </x:c>
      <x:c r="B3640" s="2" t="str">
        <x:v>O01483</x:v>
      </x:c>
      <x:c r="C3640" s="7" t="n">
        <x:v>45892</x:v>
      </x:c>
      <x:c r="D3640" s="2" t="str">
        <x:v>Completed</x:v>
      </x:c>
      <x:c r="E3640" s="2" t="str">
        <x:v>East</x:v>
      </x:c>
      <x:c r="F3640" s="2" t="str">
        <x:v>Online</x:v>
      </x:c>
      <x:c r="G3640" s="2" t="str">
        <x:v>Furniture</x:v>
      </x:c>
      <x:c r="H3640" s="2" t="str">
        <x:v>Chair 018</x:v>
      </x:c>
      <x:c r="I3640" s="11" t="n">
        <x:v>3</x:v>
      </x:c>
      <x:c r="J3640" s="9" t="n">
        <x:v>269</x:v>
      </x:c>
      <x:c r="K3640" s="10" t="n">
        <x:v>0.2</x:v>
      </x:c>
      <x:c r="L3640" s="11" t="n">
        <x:v>0</x:v>
      </x:c>
      <x:c r="M3640" s="9" t="n">
        <x:f>IF(D3640="Completed",I3640*J3640,0)</x:f>
        <x:v>807</x:v>
      </x:c>
      <x:c r="N3640" s="9" t="n">
        <x:f>M3640*K3640</x:f>
        <x:v>161.4</x:v>
      </x:c>
      <x:c r="O3640" s="9" t="n">
        <x:f>M3640-N3640</x:f>
        <x:v>645.6</x:v>
      </x:c>
      <x:c r="P3640" s="9" t="n">
        <x:f>IF(D3640="Completed",L3640*J3640*(1-K3640),0)</x:f>
        <x:v>0</x:v>
      </x:c>
      <x:c r="Q3640" s="9" t="n">
        <x:f>O3640-P3640</x:f>
        <x:v>645.6</x:v>
      </x:c>
      <x:c r="R3640" s="11" t="n">
        <x:f>IF(D3640="Completed",I3640,0)</x:f>
        <x:v>3</x:v>
      </x:c>
      <x:c r="S3640" s="11" t="n">
        <x:f>IF(D3640="Completed",L3640,0)</x:f>
        <x:v>0</x:v>
      </x:c>
      <x:c r="T3640" s="8" t="n">
        <x:f>DATE(YEAR(C3640),MONTH(C3640),1)</x:f>
        <x:v>45870</x:v>
      </x:c>
    </x:row>
    <x:row r="3641" ht="22" customHeight="1">
      <x:c r="A3641" s="2" t="str">
        <x:v>L003637</x:v>
      </x:c>
      <x:c r="B3641" s="2" t="str">
        <x:v>O01484</x:v>
      </x:c>
      <x:c r="C3641" s="7" t="n">
        <x:v>45702</x:v>
      </x:c>
      <x:c r="D3641" s="2" t="str">
        <x:v>Completed</x:v>
      </x:c>
      <x:c r="E3641" s="2" t="str">
        <x:v>East</x:v>
      </x:c>
      <x:c r="F3641" s="2" t="str">
        <x:v>Store</x:v>
      </x:c>
      <x:c r="G3641" s="2" t="str">
        <x:v>Furniture</x:v>
      </x:c>
      <x:c r="H3641" s="2" t="str">
        <x:v>Chair 002</x:v>
      </x:c>
      <x:c r="I3641" s="11" t="n">
        <x:v>5</x:v>
      </x:c>
      <x:c r="J3641" s="9" t="n">
        <x:v>284</x:v>
      </x:c>
      <x:c r="K3641" s="10" t="n">
        <x:v>0</x:v>
      </x:c>
      <x:c r="L3641" s="11" t="n">
        <x:v>0</x:v>
      </x:c>
      <x:c r="M3641" s="9" t="n">
        <x:f>IF(D3641="Completed",I3641*J3641,0)</x:f>
        <x:v>1420</x:v>
      </x:c>
      <x:c r="N3641" s="9" t="n">
        <x:f>M3641*K3641</x:f>
        <x:v>0</x:v>
      </x:c>
      <x:c r="O3641" s="9" t="n">
        <x:f>M3641-N3641</x:f>
        <x:v>1420</x:v>
      </x:c>
      <x:c r="P3641" s="9" t="n">
        <x:f>IF(D3641="Completed",L3641*J3641*(1-K3641),0)</x:f>
        <x:v>0</x:v>
      </x:c>
      <x:c r="Q3641" s="9" t="n">
        <x:f>O3641-P3641</x:f>
        <x:v>1420</x:v>
      </x:c>
      <x:c r="R3641" s="11" t="n">
        <x:f>IF(D3641="Completed",I3641,0)</x:f>
        <x:v>5</x:v>
      </x:c>
      <x:c r="S3641" s="11" t="n">
        <x:f>IF(D3641="Completed",L3641,0)</x:f>
        <x:v>0</x:v>
      </x:c>
      <x:c r="T3641" s="8" t="n">
        <x:f>DATE(YEAR(C3641),MONTH(C3641),1)</x:f>
        <x:v>45689</x:v>
      </x:c>
    </x:row>
    <x:row r="3642" ht="22" customHeight="1">
      <x:c r="A3642" s="2" t="str">
        <x:v>L003638</x:v>
      </x:c>
      <x:c r="B3642" s="2" t="str">
        <x:v>O01485</x:v>
      </x:c>
      <x:c r="C3642" s="7" t="n">
        <x:v>45671</x:v>
      </x:c>
      <x:c r="D3642" s="2" t="str">
        <x:v>Completed</x:v>
      </x:c>
      <x:c r="E3642" s="2" t="str">
        <x:v>North</x:v>
      </x:c>
      <x:c r="F3642" s="2" t="str">
        <x:v>Online</x:v>
      </x:c>
      <x:c r="G3642" s="2" t="str">
        <x:v>Furniture</x:v>
      </x:c>
      <x:c r="H3642" s="2" t="str">
        <x:v>Chair 018</x:v>
      </x:c>
      <x:c r="I3642" s="11" t="n">
        <x:v>2</x:v>
      </x:c>
      <x:c r="J3642" s="9" t="n">
        <x:v>269</x:v>
      </x:c>
      <x:c r="K3642" s="10" t="n">
        <x:v>0</x:v>
      </x:c>
      <x:c r="L3642" s="11" t="n">
        <x:v>0</x:v>
      </x:c>
      <x:c r="M3642" s="9" t="n">
        <x:f>IF(D3642="Completed",I3642*J3642,0)</x:f>
        <x:v>538</x:v>
      </x:c>
      <x:c r="N3642" s="9" t="n">
        <x:f>M3642*K3642</x:f>
        <x:v>0</x:v>
      </x:c>
      <x:c r="O3642" s="9" t="n">
        <x:f>M3642-N3642</x:f>
        <x:v>538</x:v>
      </x:c>
      <x:c r="P3642" s="9" t="n">
        <x:f>IF(D3642="Completed",L3642*J3642*(1-K3642),0)</x:f>
        <x:v>0</x:v>
      </x:c>
      <x:c r="Q3642" s="9" t="n">
        <x:f>O3642-P3642</x:f>
        <x:v>538</x:v>
      </x:c>
      <x:c r="R3642" s="11" t="n">
        <x:f>IF(D3642="Completed",I3642,0)</x:f>
        <x:v>2</x:v>
      </x:c>
      <x:c r="S3642" s="11" t="n">
        <x:f>IF(D3642="Completed",L3642,0)</x:f>
        <x:v>0</x:v>
      </x:c>
      <x:c r="T3642" s="8" t="n">
        <x:f>DATE(YEAR(C3642),MONTH(C3642),1)</x:f>
        <x:v>45658</x:v>
      </x:c>
    </x:row>
    <x:row r="3643" ht="22" customHeight="1">
      <x:c r="A3643" s="2" t="str">
        <x:v>L003639</x:v>
      </x:c>
      <x:c r="B3643" s="2" t="str">
        <x:v>O01486</x:v>
      </x:c>
      <x:c r="C3643" s="7" t="n">
        <x:v>45701</x:v>
      </x:c>
      <x:c r="D3643" s="2" t="str">
        <x:v>Completed</x:v>
      </x:c>
      <x:c r="E3643" s="2" t="str">
        <x:v>South</x:v>
      </x:c>
      <x:c r="F3643" s="2" t="str">
        <x:v>Store</x:v>
      </x:c>
      <x:c r="G3643" s="2" t="str">
        <x:v>Furniture</x:v>
      </x:c>
      <x:c r="H3643" s="2" t="str">
        <x:v>Desk 024</x:v>
      </x:c>
      <x:c r="I3643" s="11" t="n">
        <x:v>5</x:v>
      </x:c>
      <x:c r="J3643" s="9" t="n">
        <x:v>81</x:v>
      </x:c>
      <x:c r="K3643" s="10" t="n">
        <x:v>0</x:v>
      </x:c>
      <x:c r="L3643" s="11" t="n">
        <x:v>0</x:v>
      </x:c>
      <x:c r="M3643" s="9" t="n">
        <x:f>IF(D3643="Completed",I3643*J3643,0)</x:f>
        <x:v>405</x:v>
      </x:c>
      <x:c r="N3643" s="9" t="n">
        <x:f>M3643*K3643</x:f>
        <x:v>0</x:v>
      </x:c>
      <x:c r="O3643" s="9" t="n">
        <x:f>M3643-N3643</x:f>
        <x:v>405</x:v>
      </x:c>
      <x:c r="P3643" s="9" t="n">
        <x:f>IF(D3643="Completed",L3643*J3643*(1-K3643),0)</x:f>
        <x:v>0</x:v>
      </x:c>
      <x:c r="Q3643" s="9" t="n">
        <x:f>O3643-P3643</x:f>
        <x:v>405</x:v>
      </x:c>
      <x:c r="R3643" s="11" t="n">
        <x:f>IF(D3643="Completed",I3643,0)</x:f>
        <x:v>5</x:v>
      </x:c>
      <x:c r="S3643" s="11" t="n">
        <x:f>IF(D3643="Completed",L3643,0)</x:f>
        <x:v>0</x:v>
      </x:c>
      <x:c r="T3643" s="8" t="n">
        <x:f>DATE(YEAR(C3643),MONTH(C3643),1)</x:f>
        <x:v>45689</x:v>
      </x:c>
    </x:row>
    <x:row r="3644" ht="22" customHeight="1">
      <x:c r="A3644" s="2" t="str">
        <x:v>L003640</x:v>
      </x:c>
      <x:c r="B3644" s="2" t="str">
        <x:v>O01487</x:v>
      </x:c>
      <x:c r="C3644" s="7" t="n">
        <x:v>45780</x:v>
      </x:c>
      <x:c r="D3644" s="2" t="str">
        <x:v>Completed</x:v>
      </x:c>
      <x:c r="E3644" s="2" t="str">
        <x:v>West</x:v>
      </x:c>
      <x:c r="F3644" s="2" t="str">
        <x:v>Online</x:v>
      </x:c>
      <x:c r="G3644" s="2" t="str">
        <x:v>Furniture</x:v>
      </x:c>
      <x:c r="H3644" s="2" t="str">
        <x:v>Desk 012</x:v>
      </x:c>
      <x:c r="I3644" s="11" t="n">
        <x:v>2</x:v>
      </x:c>
      <x:c r="J3644" s="9" t="n">
        <x:v>134</x:v>
      </x:c>
      <x:c r="K3644" s="10" t="n">
        <x:v>0</x:v>
      </x:c>
      <x:c r="L3644" s="11" t="n">
        <x:v>2</x:v>
      </x:c>
      <x:c r="M3644" s="9" t="n">
        <x:f>IF(D3644="Completed",I3644*J3644,0)</x:f>
        <x:v>268</x:v>
      </x:c>
      <x:c r="N3644" s="9" t="n">
        <x:f>M3644*K3644</x:f>
        <x:v>0</x:v>
      </x:c>
      <x:c r="O3644" s="9" t="n">
        <x:f>M3644-N3644</x:f>
        <x:v>268</x:v>
      </x:c>
      <x:c r="P3644" s="9" t="n">
        <x:f>IF(D3644="Completed",L3644*J3644*(1-K3644),0)</x:f>
        <x:v>268</x:v>
      </x:c>
      <x:c r="Q3644" s="9" t="n">
        <x:f>O3644-P3644</x:f>
        <x:v>0</x:v>
      </x:c>
      <x:c r="R3644" s="11" t="n">
        <x:f>IF(D3644="Completed",I3644,0)</x:f>
        <x:v>2</x:v>
      </x:c>
      <x:c r="S3644" s="11" t="n">
        <x:f>IF(D3644="Completed",L3644,0)</x:f>
        <x:v>2</x:v>
      </x:c>
      <x:c r="T3644" s="8" t="n">
        <x:f>DATE(YEAR(C3644),MONTH(C3644),1)</x:f>
        <x:v>45778</x:v>
      </x:c>
    </x:row>
    <x:row r="3645" ht="22" customHeight="1">
      <x:c r="A3645" s="2" t="str">
        <x:v>L003641</x:v>
      </x:c>
      <x:c r="B3645" s="2" t="str">
        <x:v>O01488</x:v>
      </x:c>
      <x:c r="C3645" s="7" t="n">
        <x:v>45874</x:v>
      </x:c>
      <x:c r="D3645" s="2" t="str">
        <x:v>Completed</x:v>
      </x:c>
      <x:c r="E3645" s="2" t="str">
        <x:v>South</x:v>
      </x:c>
      <x:c r="F3645" s="2" t="str">
        <x:v>Online</x:v>
      </x:c>
      <x:c r="G3645" s="2" t="str">
        <x:v>Furniture</x:v>
      </x:c>
      <x:c r="H3645" s="2" t="str">
        <x:v>Desk 024</x:v>
      </x:c>
      <x:c r="I3645" s="11" t="n">
        <x:v>5</x:v>
      </x:c>
      <x:c r="J3645" s="9" t="n">
        <x:v>81</x:v>
      </x:c>
      <x:c r="K3645" s="10" t="n">
        <x:v>0.1</x:v>
      </x:c>
      <x:c r="L3645" s="11" t="n">
        <x:v>0</x:v>
      </x:c>
      <x:c r="M3645" s="9" t="n">
        <x:f>IF(D3645="Completed",I3645*J3645,0)</x:f>
        <x:v>405</x:v>
      </x:c>
      <x:c r="N3645" s="9" t="n">
        <x:f>M3645*K3645</x:f>
        <x:v>40.5</x:v>
      </x:c>
      <x:c r="O3645" s="9" t="n">
        <x:f>M3645-N3645</x:f>
        <x:v>364.5</x:v>
      </x:c>
      <x:c r="P3645" s="9" t="n">
        <x:f>IF(D3645="Completed",L3645*J3645*(1-K3645),0)</x:f>
        <x:v>0</x:v>
      </x:c>
      <x:c r="Q3645" s="9" t="n">
        <x:f>O3645-P3645</x:f>
        <x:v>364.5</x:v>
      </x:c>
      <x:c r="R3645" s="11" t="n">
        <x:f>IF(D3645="Completed",I3645,0)</x:f>
        <x:v>5</x:v>
      </x:c>
      <x:c r="S3645" s="11" t="n">
        <x:f>IF(D3645="Completed",L3645,0)</x:f>
        <x:v>0</x:v>
      </x:c>
      <x:c r="T3645" s="8" t="n">
        <x:f>DATE(YEAR(C3645),MONTH(C3645),1)</x:f>
        <x:v>45870</x:v>
      </x:c>
    </x:row>
    <x:row r="3646" ht="22" customHeight="1">
      <x:c r="A3646" s="2" t="str">
        <x:v>L003642</x:v>
      </x:c>
      <x:c r="B3646" s="2" t="str">
        <x:v>O01488</x:v>
      </x:c>
      <x:c r="C3646" s="7" t="n">
        <x:v>45874</x:v>
      </x:c>
      <x:c r="D3646" s="2" t="str">
        <x:v>Completed</x:v>
      </x:c>
      <x:c r="E3646" s="2" t="str">
        <x:v>South</x:v>
      </x:c>
      <x:c r="F3646" s="2" t="str">
        <x:v>Online</x:v>
      </x:c>
      <x:c r="G3646" s="2" t="str">
        <x:v>Furniture</x:v>
      </x:c>
      <x:c r="H3646" s="2" t="str">
        <x:v>Desk 016</x:v>
      </x:c>
      <x:c r="I3646" s="11" t="n">
        <x:v>1</x:v>
      </x:c>
      <x:c r="J3646" s="9" t="n">
        <x:v>231</x:v>
      </x:c>
      <x:c r="K3646" s="10" t="n">
        <x:v>0.2</x:v>
      </x:c>
      <x:c r="L3646" s="11" t="n">
        <x:v>0</x:v>
      </x:c>
      <x:c r="M3646" s="9" t="n">
        <x:f>IF(D3646="Completed",I3646*J3646,0)</x:f>
        <x:v>231</x:v>
      </x:c>
      <x:c r="N3646" s="9" t="n">
        <x:f>M3646*K3646</x:f>
        <x:v>46.2</x:v>
      </x:c>
      <x:c r="O3646" s="9" t="n">
        <x:f>M3646-N3646</x:f>
        <x:v>184.8</x:v>
      </x:c>
      <x:c r="P3646" s="9" t="n">
        <x:f>IF(D3646="Completed",L3646*J3646*(1-K3646),0)</x:f>
        <x:v>0</x:v>
      </x:c>
      <x:c r="Q3646" s="9" t="n">
        <x:f>O3646-P3646</x:f>
        <x:v>184.8</x:v>
      </x:c>
      <x:c r="R3646" s="11" t="n">
        <x:f>IF(D3646="Completed",I3646,0)</x:f>
        <x:v>1</x:v>
      </x:c>
      <x:c r="S3646" s="11" t="n">
        <x:f>IF(D3646="Completed",L3646,0)</x:f>
        <x:v>0</x:v>
      </x:c>
      <x:c r="T3646" s="8" t="n">
        <x:f>DATE(YEAR(C3646),MONTH(C3646),1)</x:f>
        <x:v>45870</x:v>
      </x:c>
    </x:row>
    <x:row r="3647" ht="22" customHeight="1">
      <x:c r="A3647" s="2" t="str">
        <x:v>L003643</x:v>
      </x:c>
      <x:c r="B3647" s="2" t="str">
        <x:v>O01488</x:v>
      </x:c>
      <x:c r="C3647" s="7" t="n">
        <x:v>45874</x:v>
      </x:c>
      <x:c r="D3647" s="2" t="str">
        <x:v>Completed</x:v>
      </x:c>
      <x:c r="E3647" s="2" t="str">
        <x:v>South</x:v>
      </x:c>
      <x:c r="F3647" s="2" t="str">
        <x:v>Online</x:v>
      </x:c>
      <x:c r="G3647" s="2" t="str">
        <x:v>Furniture</x:v>
      </x:c>
      <x:c r="H3647" s="2" t="str">
        <x:v>Desk 016</x:v>
      </x:c>
      <x:c r="I3647" s="11" t="n">
        <x:v>2</x:v>
      </x:c>
      <x:c r="J3647" s="9" t="n">
        <x:v>231</x:v>
      </x:c>
      <x:c r="K3647" s="10" t="n">
        <x:v>0.2</x:v>
      </x:c>
      <x:c r="L3647" s="11" t="n">
        <x:v>0</x:v>
      </x:c>
      <x:c r="M3647" s="9" t="n">
        <x:f>IF(D3647="Completed",I3647*J3647,0)</x:f>
        <x:v>462</x:v>
      </x:c>
      <x:c r="N3647" s="9" t="n">
        <x:f>M3647*K3647</x:f>
        <x:v>92.4</x:v>
      </x:c>
      <x:c r="O3647" s="9" t="n">
        <x:f>M3647-N3647</x:f>
        <x:v>369.6</x:v>
      </x:c>
      <x:c r="P3647" s="9" t="n">
        <x:f>IF(D3647="Completed",L3647*J3647*(1-K3647),0)</x:f>
        <x:v>0</x:v>
      </x:c>
      <x:c r="Q3647" s="9" t="n">
        <x:f>O3647-P3647</x:f>
        <x:v>369.6</x:v>
      </x:c>
      <x:c r="R3647" s="11" t="n">
        <x:f>IF(D3647="Completed",I3647,0)</x:f>
        <x:v>2</x:v>
      </x:c>
      <x:c r="S3647" s="11" t="n">
        <x:f>IF(D3647="Completed",L3647,0)</x:f>
        <x:v>0</x:v>
      </x:c>
      <x:c r="T3647" s="8" t="n">
        <x:f>DATE(YEAR(C3647),MONTH(C3647),1)</x:f>
        <x:v>45870</x:v>
      </x:c>
    </x:row>
    <x:row r="3648" ht="22" customHeight="1">
      <x:c r="A3648" s="2" t="str">
        <x:v>L003644</x:v>
      </x:c>
      <x:c r="B3648" s="2" t="str">
        <x:v>O01488</x:v>
      </x:c>
      <x:c r="C3648" s="7" t="n">
        <x:v>45874</x:v>
      </x:c>
      <x:c r="D3648" s="2" t="str">
        <x:v>Completed</x:v>
      </x:c>
      <x:c r="E3648" s="2" t="str">
        <x:v>South</x:v>
      </x:c>
      <x:c r="F3648" s="2" t="str">
        <x:v>Online</x:v>
      </x:c>
      <x:c r="G3648" s="2" t="str">
        <x:v>Storage</x:v>
      </x:c>
      <x:c r="H3648" s="2" t="str">
        <x:v>Shelf 003</x:v>
      </x:c>
      <x:c r="I3648" s="11" t="n">
        <x:v>3</x:v>
      </x:c>
      <x:c r="J3648" s="9" t="n">
        <x:v>199</x:v>
      </x:c>
      <x:c r="K3648" s="10" t="n">
        <x:v>0.2</x:v>
      </x:c>
      <x:c r="L3648" s="11" t="n">
        <x:v>0</x:v>
      </x:c>
      <x:c r="M3648" s="9" t="n">
        <x:f>IF(D3648="Completed",I3648*J3648,0)</x:f>
        <x:v>597</x:v>
      </x:c>
      <x:c r="N3648" s="9" t="n">
        <x:f>M3648*K3648</x:f>
        <x:v>119.4</x:v>
      </x:c>
      <x:c r="O3648" s="9" t="n">
        <x:f>M3648-N3648</x:f>
        <x:v>477.6</x:v>
      </x:c>
      <x:c r="P3648" s="9" t="n">
        <x:f>IF(D3648="Completed",L3648*J3648*(1-K3648),0)</x:f>
        <x:v>0</x:v>
      </x:c>
      <x:c r="Q3648" s="9" t="n">
        <x:f>O3648-P3648</x:f>
        <x:v>477.6</x:v>
      </x:c>
      <x:c r="R3648" s="11" t="n">
        <x:f>IF(D3648="Completed",I3648,0)</x:f>
        <x:v>3</x:v>
      </x:c>
      <x:c r="S3648" s="11" t="n">
        <x:f>IF(D3648="Completed",L3648,0)</x:f>
        <x:v>0</x:v>
      </x:c>
      <x:c r="T3648" s="8" t="n">
        <x:f>DATE(YEAR(C3648),MONTH(C3648),1)</x:f>
        <x:v>45870</x:v>
      </x:c>
    </x:row>
    <x:row r="3649" ht="22" customHeight="1">
      <x:c r="A3649" s="2" t="str">
        <x:v>L003645</x:v>
      </x:c>
      <x:c r="B3649" s="2" t="str">
        <x:v>O01489</x:v>
      </x:c>
      <x:c r="C3649" s="7" t="n">
        <x:v>45869</x:v>
      </x:c>
      <x:c r="D3649" s="2" t="str">
        <x:v>Completed</x:v>
      </x:c>
      <x:c r="E3649" s="2" t="str">
        <x:v>South</x:v>
      </x:c>
      <x:c r="F3649" s="2" t="str">
        <x:v>Online</x:v>
      </x:c>
      <x:c r="G3649" s="2" t="str">
        <x:v>Furniture</x:v>
      </x:c>
      <x:c r="H3649" s="2" t="str">
        <x:v>Desk 004</x:v>
      </x:c>
      <x:c r="I3649" s="11" t="n">
        <x:v>5</x:v>
      </x:c>
      <x:c r="J3649" s="9" t="n">
        <x:v>123</x:v>
      </x:c>
      <x:c r="K3649" s="10" t="n">
        <x:v>0.2</x:v>
      </x:c>
      <x:c r="L3649" s="11" t="n">
        <x:v>0</x:v>
      </x:c>
      <x:c r="M3649" s="9" t="n">
        <x:f>IF(D3649="Completed",I3649*J3649,0)</x:f>
        <x:v>615</x:v>
      </x:c>
      <x:c r="N3649" s="9" t="n">
        <x:f>M3649*K3649</x:f>
        <x:v>123</x:v>
      </x:c>
      <x:c r="O3649" s="9" t="n">
        <x:f>M3649-N3649</x:f>
        <x:v>492</x:v>
      </x:c>
      <x:c r="P3649" s="9" t="n">
        <x:f>IF(D3649="Completed",L3649*J3649*(1-K3649),0)</x:f>
        <x:v>0</x:v>
      </x:c>
      <x:c r="Q3649" s="9" t="n">
        <x:f>O3649-P3649</x:f>
        <x:v>492</x:v>
      </x:c>
      <x:c r="R3649" s="11" t="n">
        <x:f>IF(D3649="Completed",I3649,0)</x:f>
        <x:v>5</x:v>
      </x:c>
      <x:c r="S3649" s="11" t="n">
        <x:f>IF(D3649="Completed",L3649,0)</x:f>
        <x:v>0</x:v>
      </x:c>
      <x:c r="T3649" s="8" t="n">
        <x:f>DATE(YEAR(C3649),MONTH(C3649),1)</x:f>
        <x:v>45839</x:v>
      </x:c>
    </x:row>
    <x:row r="3650" ht="22" customHeight="1">
      <x:c r="A3650" s="2" t="str">
        <x:v>L003646</x:v>
      </x:c>
      <x:c r="B3650" s="2" t="str">
        <x:v>O01489</x:v>
      </x:c>
      <x:c r="C3650" s="7" t="n">
        <x:v>45869</x:v>
      </x:c>
      <x:c r="D3650" s="2" t="str">
        <x:v>Completed</x:v>
      </x:c>
      <x:c r="E3650" s="2" t="str">
        <x:v>South</x:v>
      </x:c>
      <x:c r="F3650" s="2" t="str">
        <x:v>Online</x:v>
      </x:c>
      <x:c r="G3650" s="2" t="str">
        <x:v>Lighting</x:v>
      </x:c>
      <x:c r="H3650" s="2" t="str">
        <x:v>Lamp 021</x:v>
      </x:c>
      <x:c r="I3650" s="11" t="n">
        <x:v>4</x:v>
      </x:c>
      <x:c r="J3650" s="9" t="n">
        <x:v>249</x:v>
      </x:c>
      <x:c r="K3650" s="10" t="n">
        <x:v>0.1</x:v>
      </x:c>
      <x:c r="L3650" s="11" t="n">
        <x:v>1</x:v>
      </x:c>
      <x:c r="M3650" s="9" t="n">
        <x:f>IF(D3650="Completed",I3650*J3650,0)</x:f>
        <x:v>996</x:v>
      </x:c>
      <x:c r="N3650" s="9" t="n">
        <x:f>M3650*K3650</x:f>
        <x:v>99.60000000000001</x:v>
      </x:c>
      <x:c r="O3650" s="9" t="n">
        <x:f>M3650-N3650</x:f>
        <x:v>896.4</x:v>
      </x:c>
      <x:c r="P3650" s="9" t="n">
        <x:f>IF(D3650="Completed",L3650*J3650*(1-K3650),0)</x:f>
        <x:v>224.1</x:v>
      </x:c>
      <x:c r="Q3650" s="9" t="n">
        <x:f>O3650-P3650</x:f>
        <x:v>672.3</x:v>
      </x:c>
      <x:c r="R3650" s="11" t="n">
        <x:f>IF(D3650="Completed",I3650,0)</x:f>
        <x:v>4</x:v>
      </x:c>
      <x:c r="S3650" s="11" t="n">
        <x:f>IF(D3650="Completed",L3650,0)</x:f>
        <x:v>1</x:v>
      </x:c>
      <x:c r="T3650" s="8" t="n">
        <x:f>DATE(YEAR(C3650),MONTH(C3650),1)</x:f>
        <x:v>45839</x:v>
      </x:c>
    </x:row>
    <x:row r="3651" ht="22" customHeight="1">
      <x:c r="A3651" s="2" t="str">
        <x:v>L003647</x:v>
      </x:c>
      <x:c r="B3651" s="2" t="str">
        <x:v>O01489</x:v>
      </x:c>
      <x:c r="C3651" s="7" t="n">
        <x:v>45869</x:v>
      </x:c>
      <x:c r="D3651" s="2" t="str">
        <x:v>Completed</x:v>
      </x:c>
      <x:c r="E3651" s="2" t="str">
        <x:v>South</x:v>
      </x:c>
      <x:c r="F3651" s="2" t="str">
        <x:v>Online</x:v>
      </x:c>
      <x:c r="G3651" s="2" t="str">
        <x:v>Furniture</x:v>
      </x:c>
      <x:c r="H3651" s="2" t="str">
        <x:v>Chair 018</x:v>
      </x:c>
      <x:c r="I3651" s="11" t="n">
        <x:v>1</x:v>
      </x:c>
      <x:c r="J3651" s="9" t="n">
        <x:v>269</x:v>
      </x:c>
      <x:c r="K3651" s="10" t="n">
        <x:v>0.05</x:v>
      </x:c>
      <x:c r="L3651" s="11" t="n">
        <x:v>0</x:v>
      </x:c>
      <x:c r="M3651" s="9" t="n">
        <x:f>IF(D3651="Completed",I3651*J3651,0)</x:f>
        <x:v>269</x:v>
      </x:c>
      <x:c r="N3651" s="9" t="n">
        <x:f>M3651*K3651</x:f>
        <x:v>13.450000000000001</x:v>
      </x:c>
      <x:c r="O3651" s="9" t="n">
        <x:f>M3651-N3651</x:f>
        <x:v>255.55</x:v>
      </x:c>
      <x:c r="P3651" s="9" t="n">
        <x:f>IF(D3651="Completed",L3651*J3651*(1-K3651),0)</x:f>
        <x:v>0</x:v>
      </x:c>
      <x:c r="Q3651" s="9" t="n">
        <x:f>O3651-P3651</x:f>
        <x:v>255.55</x:v>
      </x:c>
      <x:c r="R3651" s="11" t="n">
        <x:f>IF(D3651="Completed",I3651,0)</x:f>
        <x:v>1</x:v>
      </x:c>
      <x:c r="S3651" s="11" t="n">
        <x:f>IF(D3651="Completed",L3651,0)</x:f>
        <x:v>0</x:v>
      </x:c>
      <x:c r="T3651" s="8" t="n">
        <x:f>DATE(YEAR(C3651),MONTH(C3651),1)</x:f>
        <x:v>45839</x:v>
      </x:c>
    </x:row>
    <x:row r="3652" ht="22" customHeight="1">
      <x:c r="A3652" s="2" t="str">
        <x:v>L003648</x:v>
      </x:c>
      <x:c r="B3652" s="2" t="str">
        <x:v>O01489</x:v>
      </x:c>
      <x:c r="C3652" s="7" t="n">
        <x:v>45869</x:v>
      </x:c>
      <x:c r="D3652" s="2" t="str">
        <x:v>Completed</x:v>
      </x:c>
      <x:c r="E3652" s="2" t="str">
        <x:v>South</x:v>
      </x:c>
      <x:c r="F3652" s="2" t="str">
        <x:v>Online</x:v>
      </x:c>
      <x:c r="G3652" s="2" t="str">
        <x:v>Storage</x:v>
      </x:c>
      <x:c r="H3652" s="2" t="str">
        <x:v>Shelf 019</x:v>
      </x:c>
      <x:c r="I3652" s="11" t="n">
        <x:v>3</x:v>
      </x:c>
      <x:c r="J3652" s="9" t="n">
        <x:v>78</x:v>
      </x:c>
      <x:c r="K3652" s="10" t="n">
        <x:v>0.1</x:v>
      </x:c>
      <x:c r="L3652" s="11" t="n">
        <x:v>0</x:v>
      </x:c>
      <x:c r="M3652" s="9" t="n">
        <x:f>IF(D3652="Completed",I3652*J3652,0)</x:f>
        <x:v>234</x:v>
      </x:c>
      <x:c r="N3652" s="9" t="n">
        <x:f>M3652*K3652</x:f>
        <x:v>23.400000000000002</x:v>
      </x:c>
      <x:c r="O3652" s="9" t="n">
        <x:f>M3652-N3652</x:f>
        <x:v>210.6</x:v>
      </x:c>
      <x:c r="P3652" s="9" t="n">
        <x:f>IF(D3652="Completed",L3652*J3652*(1-K3652),0)</x:f>
        <x:v>0</x:v>
      </x:c>
      <x:c r="Q3652" s="9" t="n">
        <x:f>O3652-P3652</x:f>
        <x:v>210.6</x:v>
      </x:c>
      <x:c r="R3652" s="11" t="n">
        <x:f>IF(D3652="Completed",I3652,0)</x:f>
        <x:v>3</x:v>
      </x:c>
      <x:c r="S3652" s="11" t="n">
        <x:f>IF(D3652="Completed",L3652,0)</x:f>
        <x:v>0</x:v>
      </x:c>
      <x:c r="T3652" s="8" t="n">
        <x:f>DATE(YEAR(C3652),MONTH(C3652),1)</x:f>
        <x:v>45839</x:v>
      </x:c>
    </x:row>
    <x:row r="3653" ht="22" customHeight="1">
      <x:c r="A3653" s="2" t="str">
        <x:v>L003649</x:v>
      </x:c>
      <x:c r="B3653" s="2" t="str">
        <x:v>O01490</x:v>
      </x:c>
      <x:c r="C3653" s="7" t="n">
        <x:v>45940</x:v>
      </x:c>
      <x:c r="D3653" s="2" t="str">
        <x:v>Completed</x:v>
      </x:c>
      <x:c r="E3653" s="2" t="str">
        <x:v>West</x:v>
      </x:c>
      <x:c r="F3653" s="2" t="str">
        <x:v>Online</x:v>
      </x:c>
      <x:c r="G3653" s="2" t="str">
        <x:v>Storage</x:v>
      </x:c>
      <x:c r="H3653" s="2" t="str">
        <x:v>Shelf 019</x:v>
      </x:c>
      <x:c r="I3653" s="11" t="n">
        <x:v>5</x:v>
      </x:c>
      <x:c r="J3653" s="9" t="n">
        <x:v>78</x:v>
      </x:c>
      <x:c r="K3653" s="10" t="n">
        <x:v>0</x:v>
      </x:c>
      <x:c r="L3653" s="11" t="n">
        <x:v>0</x:v>
      </x:c>
      <x:c r="M3653" s="9" t="n">
        <x:f>IF(D3653="Completed",I3653*J3653,0)</x:f>
        <x:v>390</x:v>
      </x:c>
      <x:c r="N3653" s="9" t="n">
        <x:f>M3653*K3653</x:f>
        <x:v>0</x:v>
      </x:c>
      <x:c r="O3653" s="9" t="n">
        <x:f>M3653-N3653</x:f>
        <x:v>390</x:v>
      </x:c>
      <x:c r="P3653" s="9" t="n">
        <x:f>IF(D3653="Completed",L3653*J3653*(1-K3653),0)</x:f>
        <x:v>0</x:v>
      </x:c>
      <x:c r="Q3653" s="9" t="n">
        <x:f>O3653-P3653</x:f>
        <x:v>390</x:v>
      </x:c>
      <x:c r="R3653" s="11" t="n">
        <x:f>IF(D3653="Completed",I3653,0)</x:f>
        <x:v>5</x:v>
      </x:c>
      <x:c r="S3653" s="11" t="n">
        <x:f>IF(D3653="Completed",L3653,0)</x:f>
        <x:v>0</x:v>
      </x:c>
      <x:c r="T3653" s="8" t="n">
        <x:f>DATE(YEAR(C3653),MONTH(C3653),1)</x:f>
        <x:v>45931</x:v>
      </x:c>
    </x:row>
    <x:row r="3654" ht="22" customHeight="1">
      <x:c r="A3654" s="2" t="str">
        <x:v>L003650</x:v>
      </x:c>
      <x:c r="B3654" s="2" t="str">
        <x:v>O01491</x:v>
      </x:c>
      <x:c r="C3654" s="7" t="n">
        <x:v>45815</x:v>
      </x:c>
      <x:c r="D3654" s="2" t="str">
        <x:v>Completed</x:v>
      </x:c>
      <x:c r="E3654" s="2" t="str">
        <x:v>East</x:v>
      </x:c>
      <x:c r="F3654" s="2" t="str">
        <x:v>Store</x:v>
      </x:c>
      <x:c r="G3654" s="2" t="str">
        <x:v>Storage</x:v>
      </x:c>
      <x:c r="H3654" s="2" t="str">
        <x:v>Shelf 023</x:v>
      </x:c>
      <x:c r="I3654" s="11" t="n">
        <x:v>5</x:v>
      </x:c>
      <x:c r="J3654" s="9" t="n">
        <x:v>68</x:v>
      </x:c>
      <x:c r="K3654" s="10" t="n">
        <x:v>0.1</x:v>
      </x:c>
      <x:c r="L3654" s="11" t="n">
        <x:v>5</x:v>
      </x:c>
      <x:c r="M3654" s="9" t="n">
        <x:f>IF(D3654="Completed",I3654*J3654,0)</x:f>
        <x:v>340</x:v>
      </x:c>
      <x:c r="N3654" s="9" t="n">
        <x:f>M3654*K3654</x:f>
        <x:v>34</x:v>
      </x:c>
      <x:c r="O3654" s="9" t="n">
        <x:f>M3654-N3654</x:f>
        <x:v>306</x:v>
      </x:c>
      <x:c r="P3654" s="9" t="n">
        <x:f>IF(D3654="Completed",L3654*J3654*(1-K3654),0)</x:f>
        <x:v>306</x:v>
      </x:c>
      <x:c r="Q3654" s="9" t="n">
        <x:f>O3654-P3654</x:f>
        <x:v>0</x:v>
      </x:c>
      <x:c r="R3654" s="11" t="n">
        <x:f>IF(D3654="Completed",I3654,0)</x:f>
        <x:v>5</x:v>
      </x:c>
      <x:c r="S3654" s="11" t="n">
        <x:f>IF(D3654="Completed",L3654,0)</x:f>
        <x:v>5</x:v>
      </x:c>
      <x:c r="T3654" s="8" t="n">
        <x:f>DATE(YEAR(C3654),MONTH(C3654),1)</x:f>
        <x:v>45809</x:v>
      </x:c>
    </x:row>
    <x:row r="3655" ht="22" customHeight="1">
      <x:c r="A3655" s="2" t="str">
        <x:v>L003651</x:v>
      </x:c>
      <x:c r="B3655" s="2" t="str">
        <x:v>O01491</x:v>
      </x:c>
      <x:c r="C3655" s="7" t="n">
        <x:v>45815</x:v>
      </x:c>
      <x:c r="D3655" s="2" t="str">
        <x:v>Completed</x:v>
      </x:c>
      <x:c r="E3655" s="2" t="str">
        <x:v>East</x:v>
      </x:c>
      <x:c r="F3655" s="2" t="str">
        <x:v>Store</x:v>
      </x:c>
      <x:c r="G3655" s="2" t="str">
        <x:v>Furniture</x:v>
      </x:c>
      <x:c r="H3655" s="2" t="str">
        <x:v>Chair 014</x:v>
      </x:c>
      <x:c r="I3655" s="11" t="n">
        <x:v>2</x:v>
      </x:c>
      <x:c r="J3655" s="9" t="n">
        <x:v>294</x:v>
      </x:c>
      <x:c r="K3655" s="10" t="n">
        <x:v>0.05</x:v>
      </x:c>
      <x:c r="L3655" s="11" t="n">
        <x:v>0</x:v>
      </x:c>
      <x:c r="M3655" s="9" t="n">
        <x:f>IF(D3655="Completed",I3655*J3655,0)</x:f>
        <x:v>588</x:v>
      </x:c>
      <x:c r="N3655" s="9" t="n">
        <x:f>M3655*K3655</x:f>
        <x:v>29.400000000000002</x:v>
      </x:c>
      <x:c r="O3655" s="9" t="n">
        <x:f>M3655-N3655</x:f>
        <x:v>558.6</x:v>
      </x:c>
      <x:c r="P3655" s="9" t="n">
        <x:f>IF(D3655="Completed",L3655*J3655*(1-K3655),0)</x:f>
        <x:v>0</x:v>
      </x:c>
      <x:c r="Q3655" s="9" t="n">
        <x:f>O3655-P3655</x:f>
        <x:v>558.6</x:v>
      </x:c>
      <x:c r="R3655" s="11" t="n">
        <x:f>IF(D3655="Completed",I3655,0)</x:f>
        <x:v>2</x:v>
      </x:c>
      <x:c r="S3655" s="11" t="n">
        <x:f>IF(D3655="Completed",L3655,0)</x:f>
        <x:v>0</x:v>
      </x:c>
      <x:c r="T3655" s="8" t="n">
        <x:f>DATE(YEAR(C3655),MONTH(C3655),1)</x:f>
        <x:v>45809</x:v>
      </x:c>
    </x:row>
    <x:row r="3656" ht="22" customHeight="1">
      <x:c r="A3656" s="2" t="str">
        <x:v>L003652</x:v>
      </x:c>
      <x:c r="B3656" s="2" t="str">
        <x:v>O01492</x:v>
      </x:c>
      <x:c r="C3656" s="7" t="n">
        <x:v>45839</x:v>
      </x:c>
      <x:c r="D3656" s="2" t="str">
        <x:v>Completed</x:v>
      </x:c>
      <x:c r="E3656" s="2" t="str">
        <x:v>North</x:v>
      </x:c>
      <x:c r="F3656" s="2" t="str">
        <x:v>Store</x:v>
      </x:c>
      <x:c r="G3656" s="2" t="str">
        <x:v>Furniture</x:v>
      </x:c>
      <x:c r="H3656" s="2" t="str">
        <x:v>Chair 018</x:v>
      </x:c>
      <x:c r="I3656" s="11" t="n">
        <x:v>3</x:v>
      </x:c>
      <x:c r="J3656" s="9" t="n">
        <x:v>269</x:v>
      </x:c>
      <x:c r="K3656" s="10" t="n">
        <x:v>0.2</x:v>
      </x:c>
      <x:c r="L3656" s="11" t="n">
        <x:v>0</x:v>
      </x:c>
      <x:c r="M3656" s="9" t="n">
        <x:f>IF(D3656="Completed",I3656*J3656,0)</x:f>
        <x:v>807</x:v>
      </x:c>
      <x:c r="N3656" s="9" t="n">
        <x:f>M3656*K3656</x:f>
        <x:v>161.4</x:v>
      </x:c>
      <x:c r="O3656" s="9" t="n">
        <x:f>M3656-N3656</x:f>
        <x:v>645.6</x:v>
      </x:c>
      <x:c r="P3656" s="9" t="n">
        <x:f>IF(D3656="Completed",L3656*J3656*(1-K3656),0)</x:f>
        <x:v>0</x:v>
      </x:c>
      <x:c r="Q3656" s="9" t="n">
        <x:f>O3656-P3656</x:f>
        <x:v>645.6</x:v>
      </x:c>
      <x:c r="R3656" s="11" t="n">
        <x:f>IF(D3656="Completed",I3656,0)</x:f>
        <x:v>3</x:v>
      </x:c>
      <x:c r="S3656" s="11" t="n">
        <x:f>IF(D3656="Completed",L3656,0)</x:f>
        <x:v>0</x:v>
      </x:c>
      <x:c r="T3656" s="8" t="n">
        <x:f>DATE(YEAR(C3656),MONTH(C3656),1)</x:f>
        <x:v>45839</x:v>
      </x:c>
    </x:row>
    <x:row r="3657" ht="22" customHeight="1">
      <x:c r="A3657" s="2" t="str">
        <x:v>L003653</x:v>
      </x:c>
      <x:c r="B3657" s="2" t="str">
        <x:v>O01492</x:v>
      </x:c>
      <x:c r="C3657" s="7" t="n">
        <x:v>45839</x:v>
      </x:c>
      <x:c r="D3657" s="2" t="str">
        <x:v>Completed</x:v>
      </x:c>
      <x:c r="E3657" s="2" t="str">
        <x:v>North</x:v>
      </x:c>
      <x:c r="F3657" s="2" t="str">
        <x:v>Store</x:v>
      </x:c>
      <x:c r="G3657" s="2" t="str">
        <x:v>Furniture</x:v>
      </x:c>
      <x:c r="H3657" s="2" t="str">
        <x:v>Chair 010</x:v>
      </x:c>
      <x:c r="I3657" s="11" t="n">
        <x:v>5</x:v>
      </x:c>
      <x:c r="J3657" s="9" t="n">
        <x:v>211</x:v>
      </x:c>
      <x:c r="K3657" s="10" t="n">
        <x:v>0.1</x:v>
      </x:c>
      <x:c r="L3657" s="11" t="n">
        <x:v>0</x:v>
      </x:c>
      <x:c r="M3657" s="9" t="n">
        <x:f>IF(D3657="Completed",I3657*J3657,0)</x:f>
        <x:v>1055</x:v>
      </x:c>
      <x:c r="N3657" s="9" t="n">
        <x:f>M3657*K3657</x:f>
        <x:v>105.5</x:v>
      </x:c>
      <x:c r="O3657" s="9" t="n">
        <x:f>M3657-N3657</x:f>
        <x:v>949.5</x:v>
      </x:c>
      <x:c r="P3657" s="9" t="n">
        <x:f>IF(D3657="Completed",L3657*J3657*(1-K3657),0)</x:f>
        <x:v>0</x:v>
      </x:c>
      <x:c r="Q3657" s="9" t="n">
        <x:f>O3657-P3657</x:f>
        <x:v>949.5</x:v>
      </x:c>
      <x:c r="R3657" s="11" t="n">
        <x:f>IF(D3657="Completed",I3657,0)</x:f>
        <x:v>5</x:v>
      </x:c>
      <x:c r="S3657" s="11" t="n">
        <x:f>IF(D3657="Completed",L3657,0)</x:f>
        <x:v>0</x:v>
      </x:c>
      <x:c r="T3657" s="8" t="n">
        <x:f>DATE(YEAR(C3657),MONTH(C3657),1)</x:f>
        <x:v>45839</x:v>
      </x:c>
    </x:row>
    <x:row r="3658" ht="22" customHeight="1">
      <x:c r="A3658" s="2" t="str">
        <x:v>L003654</x:v>
      </x:c>
      <x:c r="B3658" s="2" t="str">
        <x:v>O01493</x:v>
      </x:c>
      <x:c r="C3658" s="7" t="n">
        <x:v>45830</x:v>
      </x:c>
      <x:c r="D3658" s="2" t="str">
        <x:v>Completed</x:v>
      </x:c>
      <x:c r="E3658" s="2" t="str">
        <x:v>West</x:v>
      </x:c>
      <x:c r="F3658" s="2" t="str">
        <x:v>Online</x:v>
      </x:c>
      <x:c r="G3658" s="2" t="str">
        <x:v>Furniture</x:v>
      </x:c>
      <x:c r="H3658" s="2" t="str">
        <x:v>Chair 002</x:v>
      </x:c>
      <x:c r="I3658" s="11" t="n">
        <x:v>1</x:v>
      </x:c>
      <x:c r="J3658" s="9" t="n">
        <x:v>284</x:v>
      </x:c>
      <x:c r="K3658" s="10" t="n">
        <x:v>0</x:v>
      </x:c>
      <x:c r="L3658" s="11" t="n">
        <x:v>0</x:v>
      </x:c>
      <x:c r="M3658" s="9" t="n">
        <x:f>IF(D3658="Completed",I3658*J3658,0)</x:f>
        <x:v>284</x:v>
      </x:c>
      <x:c r="N3658" s="9" t="n">
        <x:f>M3658*K3658</x:f>
        <x:v>0</x:v>
      </x:c>
      <x:c r="O3658" s="9" t="n">
        <x:f>M3658-N3658</x:f>
        <x:v>284</x:v>
      </x:c>
      <x:c r="P3658" s="9" t="n">
        <x:f>IF(D3658="Completed",L3658*J3658*(1-K3658),0)</x:f>
        <x:v>0</x:v>
      </x:c>
      <x:c r="Q3658" s="9" t="n">
        <x:f>O3658-P3658</x:f>
        <x:v>284</x:v>
      </x:c>
      <x:c r="R3658" s="11" t="n">
        <x:f>IF(D3658="Completed",I3658,0)</x:f>
        <x:v>1</x:v>
      </x:c>
      <x:c r="S3658" s="11" t="n">
        <x:f>IF(D3658="Completed",L3658,0)</x:f>
        <x:v>0</x:v>
      </x:c>
      <x:c r="T3658" s="8" t="n">
        <x:f>DATE(YEAR(C3658),MONTH(C3658),1)</x:f>
        <x:v>45809</x:v>
      </x:c>
    </x:row>
    <x:row r="3659" ht="22" customHeight="1">
      <x:c r="A3659" s="2" t="str">
        <x:v>L003655</x:v>
      </x:c>
      <x:c r="B3659" s="2" t="str">
        <x:v>O01493</x:v>
      </x:c>
      <x:c r="C3659" s="7" t="n">
        <x:v>45830</x:v>
      </x:c>
      <x:c r="D3659" s="2" t="str">
        <x:v>Completed</x:v>
      </x:c>
      <x:c r="E3659" s="2" t="str">
        <x:v>West</x:v>
      </x:c>
      <x:c r="F3659" s="2" t="str">
        <x:v>Online</x:v>
      </x:c>
      <x:c r="G3659" s="2" t="str">
        <x:v>Storage</x:v>
      </x:c>
      <x:c r="H3659" s="2" t="str">
        <x:v>Shelf 019</x:v>
      </x:c>
      <x:c r="I3659" s="11" t="n">
        <x:v>4</x:v>
      </x:c>
      <x:c r="J3659" s="9" t="n">
        <x:v>78</x:v>
      </x:c>
      <x:c r="K3659" s="10" t="n">
        <x:v>0.1</x:v>
      </x:c>
      <x:c r="L3659" s="11" t="n">
        <x:v>0</x:v>
      </x:c>
      <x:c r="M3659" s="9" t="n">
        <x:f>IF(D3659="Completed",I3659*J3659,0)</x:f>
        <x:v>312</x:v>
      </x:c>
      <x:c r="N3659" s="9" t="n">
        <x:f>M3659*K3659</x:f>
        <x:v>31.200000000000003</x:v>
      </x:c>
      <x:c r="O3659" s="9" t="n">
        <x:f>M3659-N3659</x:f>
        <x:v>280.8</x:v>
      </x:c>
      <x:c r="P3659" s="9" t="n">
        <x:f>IF(D3659="Completed",L3659*J3659*(1-K3659),0)</x:f>
        <x:v>0</x:v>
      </x:c>
      <x:c r="Q3659" s="9" t="n">
        <x:f>O3659-P3659</x:f>
        <x:v>280.8</x:v>
      </x:c>
      <x:c r="R3659" s="11" t="n">
        <x:f>IF(D3659="Completed",I3659,0)</x:f>
        <x:v>4</x:v>
      </x:c>
      <x:c r="S3659" s="11" t="n">
        <x:f>IF(D3659="Completed",L3659,0)</x:f>
        <x:v>0</x:v>
      </x:c>
      <x:c r="T3659" s="8" t="n">
        <x:f>DATE(YEAR(C3659),MONTH(C3659),1)</x:f>
        <x:v>45809</x:v>
      </x:c>
    </x:row>
    <x:row r="3660" ht="22" customHeight="1">
      <x:c r="A3660" s="2" t="str">
        <x:v>L003656</x:v>
      </x:c>
      <x:c r="B3660" s="2" t="str">
        <x:v>O01493</x:v>
      </x:c>
      <x:c r="C3660" s="7" t="n">
        <x:v>45830</x:v>
      </x:c>
      <x:c r="D3660" s="2" t="str">
        <x:v>Completed</x:v>
      </x:c>
      <x:c r="E3660" s="2" t="str">
        <x:v>West</x:v>
      </x:c>
      <x:c r="F3660" s="2" t="str">
        <x:v>Online</x:v>
      </x:c>
      <x:c r="G3660" s="2" t="str">
        <x:v>Furniture</x:v>
      </x:c>
      <x:c r="H3660" s="2" t="str">
        <x:v>Chair 010</x:v>
      </x:c>
      <x:c r="I3660" s="11" t="n">
        <x:v>5</x:v>
      </x:c>
      <x:c r="J3660" s="9" t="n">
        <x:v>211</x:v>
      </x:c>
      <x:c r="K3660" s="10" t="n">
        <x:v>0.05</x:v>
      </x:c>
      <x:c r="L3660" s="11" t="n">
        <x:v>0</x:v>
      </x:c>
      <x:c r="M3660" s="9" t="n">
        <x:f>IF(D3660="Completed",I3660*J3660,0)</x:f>
        <x:v>1055</x:v>
      </x:c>
      <x:c r="N3660" s="9" t="n">
        <x:f>M3660*K3660</x:f>
        <x:v>52.75</x:v>
      </x:c>
      <x:c r="O3660" s="9" t="n">
        <x:f>M3660-N3660</x:f>
        <x:v>1002.25</x:v>
      </x:c>
      <x:c r="P3660" s="9" t="n">
        <x:f>IF(D3660="Completed",L3660*J3660*(1-K3660),0)</x:f>
        <x:v>0</x:v>
      </x:c>
      <x:c r="Q3660" s="9" t="n">
        <x:f>O3660-P3660</x:f>
        <x:v>1002.25</x:v>
      </x:c>
      <x:c r="R3660" s="11" t="n">
        <x:f>IF(D3660="Completed",I3660,0)</x:f>
        <x:v>5</x:v>
      </x:c>
      <x:c r="S3660" s="11" t="n">
        <x:f>IF(D3660="Completed",L3660,0)</x:f>
        <x:v>0</x:v>
      </x:c>
      <x:c r="T3660" s="8" t="n">
        <x:f>DATE(YEAR(C3660),MONTH(C3660),1)</x:f>
        <x:v>45809</x:v>
      </x:c>
    </x:row>
    <x:row r="3661" ht="22" customHeight="1">
      <x:c r="A3661" s="2" t="str">
        <x:v>L003657</x:v>
      </x:c>
      <x:c r="B3661" s="2" t="str">
        <x:v>O01493</x:v>
      </x:c>
      <x:c r="C3661" s="7" t="n">
        <x:v>45830</x:v>
      </x:c>
      <x:c r="D3661" s="2" t="str">
        <x:v>Completed</x:v>
      </x:c>
      <x:c r="E3661" s="2" t="str">
        <x:v>West</x:v>
      </x:c>
      <x:c r="F3661" s="2" t="str">
        <x:v>Online</x:v>
      </x:c>
      <x:c r="G3661" s="2" t="str">
        <x:v>Storage</x:v>
      </x:c>
      <x:c r="H3661" s="2" t="str">
        <x:v>Shelf 023</x:v>
      </x:c>
      <x:c r="I3661" s="11" t="n">
        <x:v>4</x:v>
      </x:c>
      <x:c r="J3661" s="9" t="n">
        <x:v>68</x:v>
      </x:c>
      <x:c r="K3661" s="10" t="n">
        <x:v>0</x:v>
      </x:c>
      <x:c r="L3661" s="11" t="n">
        <x:v>0</x:v>
      </x:c>
      <x:c r="M3661" s="9" t="n">
        <x:f>IF(D3661="Completed",I3661*J3661,0)</x:f>
        <x:v>272</x:v>
      </x:c>
      <x:c r="N3661" s="9" t="n">
        <x:f>M3661*K3661</x:f>
        <x:v>0</x:v>
      </x:c>
      <x:c r="O3661" s="9" t="n">
        <x:f>M3661-N3661</x:f>
        <x:v>272</x:v>
      </x:c>
      <x:c r="P3661" s="9" t="n">
        <x:f>IF(D3661="Completed",L3661*J3661*(1-K3661),0)</x:f>
        <x:v>0</x:v>
      </x:c>
      <x:c r="Q3661" s="9" t="n">
        <x:f>O3661-P3661</x:f>
        <x:v>272</x:v>
      </x:c>
      <x:c r="R3661" s="11" t="n">
        <x:f>IF(D3661="Completed",I3661,0)</x:f>
        <x:v>4</x:v>
      </x:c>
      <x:c r="S3661" s="11" t="n">
        <x:f>IF(D3661="Completed",L3661,0)</x:f>
        <x:v>0</x:v>
      </x:c>
      <x:c r="T3661" s="8" t="n">
        <x:f>DATE(YEAR(C3661),MONTH(C3661),1)</x:f>
        <x:v>45809</x:v>
      </x:c>
    </x:row>
    <x:row r="3662" ht="22" customHeight="1">
      <x:c r="A3662" s="2" t="str">
        <x:v>L003658</x:v>
      </x:c>
      <x:c r="B3662" s="2" t="str">
        <x:v>O01494</x:v>
      </x:c>
      <x:c r="C3662" s="7" t="n">
        <x:v>45927</x:v>
      </x:c>
      <x:c r="D3662" s="2" t="str">
        <x:v>Completed</x:v>
      </x:c>
      <x:c r="E3662" s="2" t="str">
        <x:v>West</x:v>
      </x:c>
      <x:c r="F3662" s="2" t="str">
        <x:v>Store</x:v>
      </x:c>
      <x:c r="G3662" s="2" t="str">
        <x:v>Furniture</x:v>
      </x:c>
      <x:c r="H3662" s="2" t="str">
        <x:v>Desk 020</x:v>
      </x:c>
      <x:c r="I3662" s="11" t="n">
        <x:v>2</x:v>
      </x:c>
      <x:c r="J3662" s="9" t="n">
        <x:v>189</x:v>
      </x:c>
      <x:c r="K3662" s="10" t="n">
        <x:v>0.05</x:v>
      </x:c>
      <x:c r="L3662" s="11" t="n">
        <x:v>0</x:v>
      </x:c>
      <x:c r="M3662" s="9" t="n">
        <x:f>IF(D3662="Completed",I3662*J3662,0)</x:f>
        <x:v>378</x:v>
      </x:c>
      <x:c r="N3662" s="9" t="n">
        <x:f>M3662*K3662</x:f>
        <x:v>18.900000000000002</x:v>
      </x:c>
      <x:c r="O3662" s="9" t="n">
        <x:f>M3662-N3662</x:f>
        <x:v>359.1</x:v>
      </x:c>
      <x:c r="P3662" s="9" t="n">
        <x:f>IF(D3662="Completed",L3662*J3662*(1-K3662),0)</x:f>
        <x:v>0</x:v>
      </x:c>
      <x:c r="Q3662" s="9" t="n">
        <x:f>O3662-P3662</x:f>
        <x:v>359.1</x:v>
      </x:c>
      <x:c r="R3662" s="11" t="n">
        <x:f>IF(D3662="Completed",I3662,0)</x:f>
        <x:v>2</x:v>
      </x:c>
      <x:c r="S3662" s="11" t="n">
        <x:f>IF(D3662="Completed",L3662,0)</x:f>
        <x:v>0</x:v>
      </x:c>
      <x:c r="T3662" s="8" t="n">
        <x:f>DATE(YEAR(C3662),MONTH(C3662),1)</x:f>
        <x:v>45901</x:v>
      </x:c>
    </x:row>
    <x:row r="3663" ht="22" customHeight="1">
      <x:c r="A3663" s="2" t="str">
        <x:v>L003659</x:v>
      </x:c>
      <x:c r="B3663" s="2" t="str">
        <x:v>O01495</x:v>
      </x:c>
      <x:c r="C3663" s="7" t="n">
        <x:v>45725</x:v>
      </x:c>
      <x:c r="D3663" s="2" t="str">
        <x:v>Completed</x:v>
      </x:c>
      <x:c r="E3663" s="2" t="str">
        <x:v>South</x:v>
      </x:c>
      <x:c r="F3663" s="2" t="str">
        <x:v>Store</x:v>
      </x:c>
      <x:c r="G3663" s="2" t="str">
        <x:v>Furniture</x:v>
      </x:c>
      <x:c r="H3663" s="2" t="str">
        <x:v>Chair 018</x:v>
      </x:c>
      <x:c r="I3663" s="11" t="n">
        <x:v>3</x:v>
      </x:c>
      <x:c r="J3663" s="9" t="n">
        <x:v>269</x:v>
      </x:c>
      <x:c r="K3663" s="10" t="n">
        <x:v>0.2</x:v>
      </x:c>
      <x:c r="L3663" s="11" t="n">
        <x:v>0</x:v>
      </x:c>
      <x:c r="M3663" s="9" t="n">
        <x:f>IF(D3663="Completed",I3663*J3663,0)</x:f>
        <x:v>807</x:v>
      </x:c>
      <x:c r="N3663" s="9" t="n">
        <x:f>M3663*K3663</x:f>
        <x:v>161.4</x:v>
      </x:c>
      <x:c r="O3663" s="9" t="n">
        <x:f>M3663-N3663</x:f>
        <x:v>645.6</x:v>
      </x:c>
      <x:c r="P3663" s="9" t="n">
        <x:f>IF(D3663="Completed",L3663*J3663*(1-K3663),0)</x:f>
        <x:v>0</x:v>
      </x:c>
      <x:c r="Q3663" s="9" t="n">
        <x:f>O3663-P3663</x:f>
        <x:v>645.6</x:v>
      </x:c>
      <x:c r="R3663" s="11" t="n">
        <x:f>IF(D3663="Completed",I3663,0)</x:f>
        <x:v>3</x:v>
      </x:c>
      <x:c r="S3663" s="11" t="n">
        <x:f>IF(D3663="Completed",L3663,0)</x:f>
        <x:v>0</x:v>
      </x:c>
      <x:c r="T3663" s="8" t="n">
        <x:f>DATE(YEAR(C3663),MONTH(C3663),1)</x:f>
        <x:v>45717</x:v>
      </x:c>
    </x:row>
    <x:row r="3664" ht="22" customHeight="1">
      <x:c r="A3664" s="2" t="str">
        <x:v>L003660</x:v>
      </x:c>
      <x:c r="B3664" s="2" t="str">
        <x:v>O01495</x:v>
      </x:c>
      <x:c r="C3664" s="7" t="n">
        <x:v>45725</x:v>
      </x:c>
      <x:c r="D3664" s="2" t="str">
        <x:v>Completed</x:v>
      </x:c>
      <x:c r="E3664" s="2" t="str">
        <x:v>South</x:v>
      </x:c>
      <x:c r="F3664" s="2" t="str">
        <x:v>Store</x:v>
      </x:c>
      <x:c r="G3664" s="2" t="str">
        <x:v>Lighting</x:v>
      </x:c>
      <x:c r="H3664" s="2" t="str">
        <x:v>Lamp 001</x:v>
      </x:c>
      <x:c r="I3664" s="11" t="n">
        <x:v>2</x:v>
      </x:c>
      <x:c r="J3664" s="9" t="n">
        <x:v>122</x:v>
      </x:c>
      <x:c r="K3664" s="10" t="n">
        <x:v>0.1</x:v>
      </x:c>
      <x:c r="L3664" s="11" t="n">
        <x:v>1</x:v>
      </x:c>
      <x:c r="M3664" s="9" t="n">
        <x:f>IF(D3664="Completed",I3664*J3664,0)</x:f>
        <x:v>244</x:v>
      </x:c>
      <x:c r="N3664" s="9" t="n">
        <x:f>M3664*K3664</x:f>
        <x:v>24.400000000000002</x:v>
      </x:c>
      <x:c r="O3664" s="9" t="n">
        <x:f>M3664-N3664</x:f>
        <x:v>219.6</x:v>
      </x:c>
      <x:c r="P3664" s="9" t="n">
        <x:f>IF(D3664="Completed",L3664*J3664*(1-K3664),0)</x:f>
        <x:v>109.8</x:v>
      </x:c>
      <x:c r="Q3664" s="9" t="n">
        <x:f>O3664-P3664</x:f>
        <x:v>109.8</x:v>
      </x:c>
      <x:c r="R3664" s="11" t="n">
        <x:f>IF(D3664="Completed",I3664,0)</x:f>
        <x:v>2</x:v>
      </x:c>
      <x:c r="S3664" s="11" t="n">
        <x:f>IF(D3664="Completed",L3664,0)</x:f>
        <x:v>1</x:v>
      </x:c>
      <x:c r="T3664" s="8" t="n">
        <x:f>DATE(YEAR(C3664),MONTH(C3664),1)</x:f>
        <x:v>45717</x:v>
      </x:c>
    </x:row>
    <x:row r="3665" ht="22" customHeight="1">
      <x:c r="A3665" s="2" t="str">
        <x:v>L003661</x:v>
      </x:c>
      <x:c r="B3665" s="2" t="str">
        <x:v>O01495</x:v>
      </x:c>
      <x:c r="C3665" s="7" t="n">
        <x:v>45725</x:v>
      </x:c>
      <x:c r="D3665" s="2" t="str">
        <x:v>Completed</x:v>
      </x:c>
      <x:c r="E3665" s="2" t="str">
        <x:v>South</x:v>
      </x:c>
      <x:c r="F3665" s="2" t="str">
        <x:v>Store</x:v>
      </x:c>
      <x:c r="G3665" s="2" t="str">
        <x:v>Lighting</x:v>
      </x:c>
      <x:c r="H3665" s="2" t="str">
        <x:v>Lamp 001</x:v>
      </x:c>
      <x:c r="I3665" s="11" t="n">
        <x:v>5</x:v>
      </x:c>
      <x:c r="J3665" s="9" t="n">
        <x:v>122</x:v>
      </x:c>
      <x:c r="K3665" s="10" t="n">
        <x:v>0.05</x:v>
      </x:c>
      <x:c r="L3665" s="11" t="n">
        <x:v>0</x:v>
      </x:c>
      <x:c r="M3665" s="9" t="n">
        <x:f>IF(D3665="Completed",I3665*J3665,0)</x:f>
        <x:v>610</x:v>
      </x:c>
      <x:c r="N3665" s="9" t="n">
        <x:f>M3665*K3665</x:f>
        <x:v>30.5</x:v>
      </x:c>
      <x:c r="O3665" s="9" t="n">
        <x:f>M3665-N3665</x:f>
        <x:v>579.5</x:v>
      </x:c>
      <x:c r="P3665" s="9" t="n">
        <x:f>IF(D3665="Completed",L3665*J3665*(1-K3665),0)</x:f>
        <x:v>0</x:v>
      </x:c>
      <x:c r="Q3665" s="9" t="n">
        <x:f>O3665-P3665</x:f>
        <x:v>579.5</x:v>
      </x:c>
      <x:c r="R3665" s="11" t="n">
        <x:f>IF(D3665="Completed",I3665,0)</x:f>
        <x:v>5</x:v>
      </x:c>
      <x:c r="S3665" s="11" t="n">
        <x:f>IF(D3665="Completed",L3665,0)</x:f>
        <x:v>0</x:v>
      </x:c>
      <x:c r="T3665" s="8" t="n">
        <x:f>DATE(YEAR(C3665),MONTH(C3665),1)</x:f>
        <x:v>45717</x:v>
      </x:c>
    </x:row>
    <x:row r="3666" ht="22" customHeight="1">
      <x:c r="A3666" s="2" t="str">
        <x:v>L003662</x:v>
      </x:c>
      <x:c r="B3666" s="2" t="str">
        <x:v>O01495</x:v>
      </x:c>
      <x:c r="C3666" s="7" t="n">
        <x:v>45725</x:v>
      </x:c>
      <x:c r="D3666" s="2" t="str">
        <x:v>Completed</x:v>
      </x:c>
      <x:c r="E3666" s="2" t="str">
        <x:v>South</x:v>
      </x:c>
      <x:c r="F3666" s="2" t="str">
        <x:v>Store</x:v>
      </x:c>
      <x:c r="G3666" s="2" t="str">
        <x:v>Furniture</x:v>
      </x:c>
      <x:c r="H3666" s="2" t="str">
        <x:v>Desk 016</x:v>
      </x:c>
      <x:c r="I3666" s="11" t="n">
        <x:v>1</x:v>
      </x:c>
      <x:c r="J3666" s="9" t="n">
        <x:v>231</x:v>
      </x:c>
      <x:c r="K3666" s="10" t="n">
        <x:v>0.05</x:v>
      </x:c>
      <x:c r="L3666" s="11" t="n">
        <x:v>0</x:v>
      </x:c>
      <x:c r="M3666" s="9" t="n">
        <x:f>IF(D3666="Completed",I3666*J3666,0)</x:f>
        <x:v>231</x:v>
      </x:c>
      <x:c r="N3666" s="9" t="n">
        <x:f>M3666*K3666</x:f>
        <x:v>11.55</x:v>
      </x:c>
      <x:c r="O3666" s="9" t="n">
        <x:f>M3666-N3666</x:f>
        <x:v>219.45</x:v>
      </x:c>
      <x:c r="P3666" s="9" t="n">
        <x:f>IF(D3666="Completed",L3666*J3666*(1-K3666),0)</x:f>
        <x:v>0</x:v>
      </x:c>
      <x:c r="Q3666" s="9" t="n">
        <x:f>O3666-P3666</x:f>
        <x:v>219.45</x:v>
      </x:c>
      <x:c r="R3666" s="11" t="n">
        <x:f>IF(D3666="Completed",I3666,0)</x:f>
        <x:v>1</x:v>
      </x:c>
      <x:c r="S3666" s="11" t="n">
        <x:f>IF(D3666="Completed",L3666,0)</x:f>
        <x:v>0</x:v>
      </x:c>
      <x:c r="T3666" s="8" t="n">
        <x:f>DATE(YEAR(C3666),MONTH(C3666),1)</x:f>
        <x:v>45717</x:v>
      </x:c>
    </x:row>
    <x:row r="3667" ht="22" customHeight="1">
      <x:c r="A3667" s="2" t="str">
        <x:v>L003663</x:v>
      </x:c>
      <x:c r="B3667" s="2" t="str">
        <x:v>O01496</x:v>
      </x:c>
      <x:c r="C3667" s="7" t="n">
        <x:v>46004</x:v>
      </x:c>
      <x:c r="D3667" s="2" t="str">
        <x:v>Completed</x:v>
      </x:c>
      <x:c r="E3667" s="2" t="str">
        <x:v>East</x:v>
      </x:c>
      <x:c r="F3667" s="2" t="str">
        <x:v>Store</x:v>
      </x:c>
      <x:c r="G3667" s="2" t="str">
        <x:v>Storage</x:v>
      </x:c>
      <x:c r="H3667" s="2" t="str">
        <x:v>Shelf 003</x:v>
      </x:c>
      <x:c r="I3667" s="11" t="n">
        <x:v>3</x:v>
      </x:c>
      <x:c r="J3667" s="9" t="n">
        <x:v>199</x:v>
      </x:c>
      <x:c r="K3667" s="10" t="n">
        <x:v>0</x:v>
      </x:c>
      <x:c r="L3667" s="11" t="n">
        <x:v>0</x:v>
      </x:c>
      <x:c r="M3667" s="9" t="n">
        <x:f>IF(D3667="Completed",I3667*J3667,0)</x:f>
        <x:v>597</x:v>
      </x:c>
      <x:c r="N3667" s="9" t="n">
        <x:f>M3667*K3667</x:f>
        <x:v>0</x:v>
      </x:c>
      <x:c r="O3667" s="9" t="n">
        <x:f>M3667-N3667</x:f>
        <x:v>597</x:v>
      </x:c>
      <x:c r="P3667" s="9" t="n">
        <x:f>IF(D3667="Completed",L3667*J3667*(1-K3667),0)</x:f>
        <x:v>0</x:v>
      </x:c>
      <x:c r="Q3667" s="9" t="n">
        <x:f>O3667-P3667</x:f>
        <x:v>597</x:v>
      </x:c>
      <x:c r="R3667" s="11" t="n">
        <x:f>IF(D3667="Completed",I3667,0)</x:f>
        <x:v>3</x:v>
      </x:c>
      <x:c r="S3667" s="11" t="n">
        <x:f>IF(D3667="Completed",L3667,0)</x:f>
        <x:v>0</x:v>
      </x:c>
      <x:c r="T3667" s="8" t="n">
        <x:f>DATE(YEAR(C3667),MONTH(C3667),1)</x:f>
        <x:v>45992</x:v>
      </x:c>
    </x:row>
    <x:row r="3668" ht="22" customHeight="1">
      <x:c r="A3668" s="2" t="str">
        <x:v>L003664</x:v>
      </x:c>
      <x:c r="B3668" s="2" t="str">
        <x:v>O01496</x:v>
      </x:c>
      <x:c r="C3668" s="7" t="n">
        <x:v>46004</x:v>
      </x:c>
      <x:c r="D3668" s="2" t="str">
        <x:v>Completed</x:v>
      </x:c>
      <x:c r="E3668" s="2" t="str">
        <x:v>East</x:v>
      </x:c>
      <x:c r="F3668" s="2" t="str">
        <x:v>Store</x:v>
      </x:c>
      <x:c r="G3668" s="2" t="str">
        <x:v>Lighting</x:v>
      </x:c>
      <x:c r="H3668" s="2" t="str">
        <x:v>Lamp 013</x:v>
      </x:c>
      <x:c r="I3668" s="11" t="n">
        <x:v>5</x:v>
      </x:c>
      <x:c r="J3668" s="9" t="n">
        <x:v>271</x:v>
      </x:c>
      <x:c r="K3668" s="10" t="n">
        <x:v>0.1</x:v>
      </x:c>
      <x:c r="L3668" s="11" t="n">
        <x:v>0</x:v>
      </x:c>
      <x:c r="M3668" s="9" t="n">
        <x:f>IF(D3668="Completed",I3668*J3668,0)</x:f>
        <x:v>1355</x:v>
      </x:c>
      <x:c r="N3668" s="9" t="n">
        <x:f>M3668*K3668</x:f>
        <x:v>135.5</x:v>
      </x:c>
      <x:c r="O3668" s="9" t="n">
        <x:f>M3668-N3668</x:f>
        <x:v>1219.5</x:v>
      </x:c>
      <x:c r="P3668" s="9" t="n">
        <x:f>IF(D3668="Completed",L3668*J3668*(1-K3668),0)</x:f>
        <x:v>0</x:v>
      </x:c>
      <x:c r="Q3668" s="9" t="n">
        <x:f>O3668-P3668</x:f>
        <x:v>1219.5</x:v>
      </x:c>
      <x:c r="R3668" s="11" t="n">
        <x:f>IF(D3668="Completed",I3668,0)</x:f>
        <x:v>5</x:v>
      </x:c>
      <x:c r="S3668" s="11" t="n">
        <x:f>IF(D3668="Completed",L3668,0)</x:f>
        <x:v>0</x:v>
      </x:c>
      <x:c r="T3668" s="8" t="n">
        <x:f>DATE(YEAR(C3668),MONTH(C3668),1)</x:f>
        <x:v>45992</x:v>
      </x:c>
    </x:row>
    <x:row r="3669" ht="22" customHeight="1">
      <x:c r="A3669" s="2" t="str">
        <x:v>L003665</x:v>
      </x:c>
      <x:c r="B3669" s="2" t="str">
        <x:v>O01496</x:v>
      </x:c>
      <x:c r="C3669" s="7" t="n">
        <x:v>46004</x:v>
      </x:c>
      <x:c r="D3669" s="2" t="str">
        <x:v>Completed</x:v>
      </x:c>
      <x:c r="E3669" s="2" t="str">
        <x:v>East</x:v>
      </x:c>
      <x:c r="F3669" s="2" t="str">
        <x:v>Store</x:v>
      </x:c>
      <x:c r="G3669" s="2" t="str">
        <x:v>Furniture</x:v>
      </x:c>
      <x:c r="H3669" s="2" t="str">
        <x:v>Chair 014</x:v>
      </x:c>
      <x:c r="I3669" s="11" t="n">
        <x:v>2</x:v>
      </x:c>
      <x:c r="J3669" s="9" t="n">
        <x:v>294</x:v>
      </x:c>
      <x:c r="K3669" s="10" t="n">
        <x:v>0.2</x:v>
      </x:c>
      <x:c r="L3669" s="11" t="n">
        <x:v>0</x:v>
      </x:c>
      <x:c r="M3669" s="9" t="n">
        <x:f>IF(D3669="Completed",I3669*J3669,0)</x:f>
        <x:v>588</x:v>
      </x:c>
      <x:c r="N3669" s="9" t="n">
        <x:f>M3669*K3669</x:f>
        <x:v>117.60000000000001</x:v>
      </x:c>
      <x:c r="O3669" s="9" t="n">
        <x:f>M3669-N3669</x:f>
        <x:v>470.4</x:v>
      </x:c>
      <x:c r="P3669" s="9" t="n">
        <x:f>IF(D3669="Completed",L3669*J3669*(1-K3669),0)</x:f>
        <x:v>0</x:v>
      </x:c>
      <x:c r="Q3669" s="9" t="n">
        <x:f>O3669-P3669</x:f>
        <x:v>470.4</x:v>
      </x:c>
      <x:c r="R3669" s="11" t="n">
        <x:f>IF(D3669="Completed",I3669,0)</x:f>
        <x:v>2</x:v>
      </x:c>
      <x:c r="S3669" s="11" t="n">
        <x:f>IF(D3669="Completed",L3669,0)</x:f>
        <x:v>0</x:v>
      </x:c>
      <x:c r="T3669" s="8" t="n">
        <x:f>DATE(YEAR(C3669),MONTH(C3669),1)</x:f>
        <x:v>45992</x:v>
      </x:c>
    </x:row>
    <x:row r="3670" ht="22" customHeight="1">
      <x:c r="A3670" s="2" t="str">
        <x:v>L003666</x:v>
      </x:c>
      <x:c r="B3670" s="2" t="str">
        <x:v>O01497</x:v>
      </x:c>
      <x:c r="C3670" s="7" t="n">
        <x:v>45702</x:v>
      </x:c>
      <x:c r="D3670" s="2" t="str">
        <x:v>Completed</x:v>
      </x:c>
      <x:c r="E3670" s="2" t="str">
        <x:v>East</x:v>
      </x:c>
      <x:c r="F3670" s="2" t="str">
        <x:v>Online</x:v>
      </x:c>
      <x:c r="G3670" s="2" t="str">
        <x:v>Furniture</x:v>
      </x:c>
      <x:c r="H3670" s="2" t="str">
        <x:v>Desk 020</x:v>
      </x:c>
      <x:c r="I3670" s="11" t="n">
        <x:v>4</x:v>
      </x:c>
      <x:c r="J3670" s="9" t="n">
        <x:v>189</x:v>
      </x:c>
      <x:c r="K3670" s="10" t="n">
        <x:v>0.05</x:v>
      </x:c>
      <x:c r="L3670" s="11" t="n">
        <x:v>0</x:v>
      </x:c>
      <x:c r="M3670" s="9" t="n">
        <x:f>IF(D3670="Completed",I3670*J3670,0)</x:f>
        <x:v>756</x:v>
      </x:c>
      <x:c r="N3670" s="9" t="n">
        <x:f>M3670*K3670</x:f>
        <x:v>37.800000000000004</x:v>
      </x:c>
      <x:c r="O3670" s="9" t="n">
        <x:f>M3670-N3670</x:f>
        <x:v>718.2</x:v>
      </x:c>
      <x:c r="P3670" s="9" t="n">
        <x:f>IF(D3670="Completed",L3670*J3670*(1-K3670),0)</x:f>
        <x:v>0</x:v>
      </x:c>
      <x:c r="Q3670" s="9" t="n">
        <x:f>O3670-P3670</x:f>
        <x:v>718.2</x:v>
      </x:c>
      <x:c r="R3670" s="11" t="n">
        <x:f>IF(D3670="Completed",I3670,0)</x:f>
        <x:v>4</x:v>
      </x:c>
      <x:c r="S3670" s="11" t="n">
        <x:f>IF(D3670="Completed",L3670,0)</x:f>
        <x:v>0</x:v>
      </x:c>
      <x:c r="T3670" s="8" t="n">
        <x:f>DATE(YEAR(C3670),MONTH(C3670),1)</x:f>
        <x:v>45689</x:v>
      </x:c>
    </x:row>
    <x:row r="3671" ht="22" customHeight="1">
      <x:c r="A3671" s="2" t="str">
        <x:v>L003667</x:v>
      </x:c>
      <x:c r="B3671" s="2" t="str">
        <x:v>O01497</x:v>
      </x:c>
      <x:c r="C3671" s="7" t="n">
        <x:v>45702</x:v>
      </x:c>
      <x:c r="D3671" s="2" t="str">
        <x:v>Completed</x:v>
      </x:c>
      <x:c r="E3671" s="2" t="str">
        <x:v>East</x:v>
      </x:c>
      <x:c r="F3671" s="2" t="str">
        <x:v>Online</x:v>
      </x:c>
      <x:c r="G3671" s="2" t="str">
        <x:v>Lighting</x:v>
      </x:c>
      <x:c r="H3671" s="2" t="str">
        <x:v>Lamp 017</x:v>
      </x:c>
      <x:c r="I3671" s="11" t="n">
        <x:v>4</x:v>
      </x:c>
      <x:c r="J3671" s="9" t="n">
        <x:v>300</x:v>
      </x:c>
      <x:c r="K3671" s="10" t="n">
        <x:v>0.05</x:v>
      </x:c>
      <x:c r="L3671" s="11" t="n">
        <x:v>0</x:v>
      </x:c>
      <x:c r="M3671" s="9" t="n">
        <x:f>IF(D3671="Completed",I3671*J3671,0)</x:f>
        <x:v>1200</x:v>
      </x:c>
      <x:c r="N3671" s="9" t="n">
        <x:f>M3671*K3671</x:f>
        <x:v>60</x:v>
      </x:c>
      <x:c r="O3671" s="9" t="n">
        <x:f>M3671-N3671</x:f>
        <x:v>1140</x:v>
      </x:c>
      <x:c r="P3671" s="9" t="n">
        <x:f>IF(D3671="Completed",L3671*J3671*(1-K3671),0)</x:f>
        <x:v>0</x:v>
      </x:c>
      <x:c r="Q3671" s="9" t="n">
        <x:f>O3671-P3671</x:f>
        <x:v>1140</x:v>
      </x:c>
      <x:c r="R3671" s="11" t="n">
        <x:f>IF(D3671="Completed",I3671,0)</x:f>
        <x:v>4</x:v>
      </x:c>
      <x:c r="S3671" s="11" t="n">
        <x:f>IF(D3671="Completed",L3671,0)</x:f>
        <x:v>0</x:v>
      </x:c>
      <x:c r="T3671" s="8" t="n">
        <x:f>DATE(YEAR(C3671),MONTH(C3671),1)</x:f>
        <x:v>45689</x:v>
      </x:c>
    </x:row>
    <x:row r="3672" ht="22" customHeight="1">
      <x:c r="A3672" s="2" t="str">
        <x:v>L003668</x:v>
      </x:c>
      <x:c r="B3672" s="2" t="str">
        <x:v>O01497</x:v>
      </x:c>
      <x:c r="C3672" s="7" t="n">
        <x:v>45702</x:v>
      </x:c>
      <x:c r="D3672" s="2" t="str">
        <x:v>Completed</x:v>
      </x:c>
      <x:c r="E3672" s="2" t="str">
        <x:v>East</x:v>
      </x:c>
      <x:c r="F3672" s="2" t="str">
        <x:v>Online</x:v>
      </x:c>
      <x:c r="G3672" s="2" t="str">
        <x:v>Furniture</x:v>
      </x:c>
      <x:c r="H3672" s="2" t="str">
        <x:v>Desk 016</x:v>
      </x:c>
      <x:c r="I3672" s="11" t="n">
        <x:v>1</x:v>
      </x:c>
      <x:c r="J3672" s="9" t="n">
        <x:v>231</x:v>
      </x:c>
      <x:c r="K3672" s="10" t="n">
        <x:v>0.2</x:v>
      </x:c>
      <x:c r="L3672" s="11" t="n">
        <x:v>0</x:v>
      </x:c>
      <x:c r="M3672" s="9" t="n">
        <x:f>IF(D3672="Completed",I3672*J3672,0)</x:f>
        <x:v>231</x:v>
      </x:c>
      <x:c r="N3672" s="9" t="n">
        <x:f>M3672*K3672</x:f>
        <x:v>46.2</x:v>
      </x:c>
      <x:c r="O3672" s="9" t="n">
        <x:f>M3672-N3672</x:f>
        <x:v>184.8</x:v>
      </x:c>
      <x:c r="P3672" s="9" t="n">
        <x:f>IF(D3672="Completed",L3672*J3672*(1-K3672),0)</x:f>
        <x:v>0</x:v>
      </x:c>
      <x:c r="Q3672" s="9" t="n">
        <x:f>O3672-P3672</x:f>
        <x:v>184.8</x:v>
      </x:c>
      <x:c r="R3672" s="11" t="n">
        <x:f>IF(D3672="Completed",I3672,0)</x:f>
        <x:v>1</x:v>
      </x:c>
      <x:c r="S3672" s="11" t="n">
        <x:f>IF(D3672="Completed",L3672,0)</x:f>
        <x:v>0</x:v>
      </x:c>
      <x:c r="T3672" s="8" t="n">
        <x:f>DATE(YEAR(C3672),MONTH(C3672),1)</x:f>
        <x:v>45689</x:v>
      </x:c>
    </x:row>
    <x:row r="3673" ht="22" customHeight="1">
      <x:c r="A3673" s="2" t="str">
        <x:v>L003669</x:v>
      </x:c>
      <x:c r="B3673" s="2" t="str">
        <x:v>O01497</x:v>
      </x:c>
      <x:c r="C3673" s="7" t="n">
        <x:v>45702</x:v>
      </x:c>
      <x:c r="D3673" s="2" t="str">
        <x:v>Completed</x:v>
      </x:c>
      <x:c r="E3673" s="2" t="str">
        <x:v>East</x:v>
      </x:c>
      <x:c r="F3673" s="2" t="str">
        <x:v>Online</x:v>
      </x:c>
      <x:c r="G3673" s="2" t="str">
        <x:v>Lighting</x:v>
      </x:c>
      <x:c r="H3673" s="2" t="str">
        <x:v>Lamp 017</x:v>
      </x:c>
      <x:c r="I3673" s="11" t="n">
        <x:v>3</x:v>
      </x:c>
      <x:c r="J3673" s="9" t="n">
        <x:v>300</x:v>
      </x:c>
      <x:c r="K3673" s="10" t="n">
        <x:v>0.2</x:v>
      </x:c>
      <x:c r="L3673" s="11" t="n">
        <x:v>0</x:v>
      </x:c>
      <x:c r="M3673" s="9" t="n">
        <x:f>IF(D3673="Completed",I3673*J3673,0)</x:f>
        <x:v>900</x:v>
      </x:c>
      <x:c r="N3673" s="9" t="n">
        <x:f>M3673*K3673</x:f>
        <x:v>180</x:v>
      </x:c>
      <x:c r="O3673" s="9" t="n">
        <x:f>M3673-N3673</x:f>
        <x:v>720</x:v>
      </x:c>
      <x:c r="P3673" s="9" t="n">
        <x:f>IF(D3673="Completed",L3673*J3673*(1-K3673),0)</x:f>
        <x:v>0</x:v>
      </x:c>
      <x:c r="Q3673" s="9" t="n">
        <x:f>O3673-P3673</x:f>
        <x:v>720</x:v>
      </x:c>
      <x:c r="R3673" s="11" t="n">
        <x:f>IF(D3673="Completed",I3673,0)</x:f>
        <x:v>3</x:v>
      </x:c>
      <x:c r="S3673" s="11" t="n">
        <x:f>IF(D3673="Completed",L3673,0)</x:f>
        <x:v>0</x:v>
      </x:c>
      <x:c r="T3673" s="8" t="n">
        <x:f>DATE(YEAR(C3673),MONTH(C3673),1)</x:f>
        <x:v>45689</x:v>
      </x:c>
    </x:row>
    <x:row r="3674" ht="22" customHeight="1">
      <x:c r="A3674" s="2" t="str">
        <x:v>L003670</x:v>
      </x:c>
      <x:c r="B3674" s="2" t="str">
        <x:v>O01498</x:v>
      </x:c>
      <x:c r="C3674" s="7" t="n">
        <x:v>45968</x:v>
      </x:c>
      <x:c r="D3674" s="2" t="str">
        <x:v>Completed</x:v>
      </x:c>
      <x:c r="E3674" s="2" t="str">
        <x:v>South</x:v>
      </x:c>
      <x:c r="F3674" s="2" t="str">
        <x:v>Online</x:v>
      </x:c>
      <x:c r="G3674" s="2" t="str">
        <x:v>Furniture</x:v>
      </x:c>
      <x:c r="H3674" s="2" t="str">
        <x:v>Desk 008</x:v>
      </x:c>
      <x:c r="I3674" s="11" t="n">
        <x:v>2</x:v>
      </x:c>
      <x:c r="J3674" s="9" t="n">
        <x:v>188</x:v>
      </x:c>
      <x:c r="K3674" s="10" t="n">
        <x:v>0.05</x:v>
      </x:c>
      <x:c r="L3674" s="11" t="n">
        <x:v>0</x:v>
      </x:c>
      <x:c r="M3674" s="9" t="n">
        <x:f>IF(D3674="Completed",I3674*J3674,0)</x:f>
        <x:v>376</x:v>
      </x:c>
      <x:c r="N3674" s="9" t="n">
        <x:f>M3674*K3674</x:f>
        <x:v>18.8</x:v>
      </x:c>
      <x:c r="O3674" s="9" t="n">
        <x:f>M3674-N3674</x:f>
        <x:v>357.2</x:v>
      </x:c>
      <x:c r="P3674" s="9" t="n">
        <x:f>IF(D3674="Completed",L3674*J3674*(1-K3674),0)</x:f>
        <x:v>0</x:v>
      </x:c>
      <x:c r="Q3674" s="9" t="n">
        <x:f>O3674-P3674</x:f>
        <x:v>357.2</x:v>
      </x:c>
      <x:c r="R3674" s="11" t="n">
        <x:f>IF(D3674="Completed",I3674,0)</x:f>
        <x:v>2</x:v>
      </x:c>
      <x:c r="S3674" s="11" t="n">
        <x:f>IF(D3674="Completed",L3674,0)</x:f>
        <x:v>0</x:v>
      </x:c>
      <x:c r="T3674" s="8" t="n">
        <x:f>DATE(YEAR(C3674),MONTH(C3674),1)</x:f>
        <x:v>45962</x:v>
      </x:c>
    </x:row>
    <x:row r="3675" ht="22" customHeight="1">
      <x:c r="A3675" s="2" t="str">
        <x:v>L003671</x:v>
      </x:c>
      <x:c r="B3675" s="2" t="str">
        <x:v>O01498</x:v>
      </x:c>
      <x:c r="C3675" s="7" t="n">
        <x:v>45968</x:v>
      </x:c>
      <x:c r="D3675" s="2" t="str">
        <x:v>Completed</x:v>
      </x:c>
      <x:c r="E3675" s="2" t="str">
        <x:v>South</x:v>
      </x:c>
      <x:c r="F3675" s="2" t="str">
        <x:v>Online</x:v>
      </x:c>
      <x:c r="G3675" s="2" t="str">
        <x:v>Lighting</x:v>
      </x:c>
      <x:c r="H3675" s="2" t="str">
        <x:v>Lamp 021</x:v>
      </x:c>
      <x:c r="I3675" s="11" t="n">
        <x:v>2</x:v>
      </x:c>
      <x:c r="J3675" s="9" t="n">
        <x:v>249</x:v>
      </x:c>
      <x:c r="K3675" s="10" t="n">
        <x:v>0.05</x:v>
      </x:c>
      <x:c r="L3675" s="11" t="n">
        <x:v>0</x:v>
      </x:c>
      <x:c r="M3675" s="9" t="n">
        <x:f>IF(D3675="Completed",I3675*J3675,0)</x:f>
        <x:v>498</x:v>
      </x:c>
      <x:c r="N3675" s="9" t="n">
        <x:f>M3675*K3675</x:f>
        <x:v>24.900000000000002</x:v>
      </x:c>
      <x:c r="O3675" s="9" t="n">
        <x:f>M3675-N3675</x:f>
        <x:v>473.1</x:v>
      </x:c>
      <x:c r="P3675" s="9" t="n">
        <x:f>IF(D3675="Completed",L3675*J3675*(1-K3675),0)</x:f>
        <x:v>0</x:v>
      </x:c>
      <x:c r="Q3675" s="9" t="n">
        <x:f>O3675-P3675</x:f>
        <x:v>473.1</x:v>
      </x:c>
      <x:c r="R3675" s="11" t="n">
        <x:f>IF(D3675="Completed",I3675,0)</x:f>
        <x:v>2</x:v>
      </x:c>
      <x:c r="S3675" s="11" t="n">
        <x:f>IF(D3675="Completed",L3675,0)</x:f>
        <x:v>0</x:v>
      </x:c>
      <x:c r="T3675" s="8" t="n">
        <x:f>DATE(YEAR(C3675),MONTH(C3675),1)</x:f>
        <x:v>45962</x:v>
      </x:c>
    </x:row>
    <x:row r="3676" ht="22" customHeight="1">
      <x:c r="A3676" s="2" t="str">
        <x:v>L003672</x:v>
      </x:c>
      <x:c r="B3676" s="2" t="str">
        <x:v>O01499</x:v>
      </x:c>
      <x:c r="C3676" s="7" t="n">
        <x:v>45825</x:v>
      </x:c>
      <x:c r="D3676" s="2" t="str">
        <x:v>Cancelled</x:v>
      </x:c>
      <x:c r="E3676" s="2" t="str">
        <x:v>West</x:v>
      </x:c>
      <x:c r="F3676" s="2" t="str">
        <x:v>Store</x:v>
      </x:c>
      <x:c r="G3676" s="2" t="str">
        <x:v>Lighting</x:v>
      </x:c>
      <x:c r="H3676" s="2" t="str">
        <x:v>Lamp 001</x:v>
      </x:c>
      <x:c r="I3676" s="11" t="n">
        <x:v>1</x:v>
      </x:c>
      <x:c r="J3676" s="9" t="n">
        <x:v>122</x:v>
      </x:c>
      <x:c r="K3676" s="10" t="n">
        <x:v>0.05</x:v>
      </x:c>
      <x:c r="L3676" s="11" t="n">
        <x:v>0</x:v>
      </x:c>
      <x:c r="M3676" s="9" t="n">
        <x:f>IF(D3676="Completed",I3676*J3676,0)</x:f>
        <x:v>0</x:v>
      </x:c>
      <x:c r="N3676" s="9" t="n">
        <x:f>M3676*K3676</x:f>
        <x:v>0</x:v>
      </x:c>
      <x:c r="O3676" s="9" t="n">
        <x:f>M3676-N3676</x:f>
        <x:v>0</x:v>
      </x:c>
      <x:c r="P3676" s="9" t="n">
        <x:f>IF(D3676="Completed",L3676*J3676*(1-K3676),0)</x:f>
        <x:v>0</x:v>
      </x:c>
      <x:c r="Q3676" s="9" t="n">
        <x:f>O3676-P3676</x:f>
        <x:v>0</x:v>
      </x:c>
      <x:c r="R3676" s="11" t="n">
        <x:f>IF(D3676="Completed",I3676,0)</x:f>
        <x:v>0</x:v>
      </x:c>
      <x:c r="S3676" s="11" t="n">
        <x:f>IF(D3676="Completed",L3676,0)</x:f>
        <x:v>0</x:v>
      </x:c>
      <x:c r="T3676" s="8" t="n">
        <x:f>DATE(YEAR(C3676),MONTH(C3676),1)</x:f>
        <x:v>45809</x:v>
      </x:c>
    </x:row>
    <x:row r="3677" ht="22" customHeight="1">
      <x:c r="A3677" s="2" t="str">
        <x:v>L003673</x:v>
      </x:c>
      <x:c r="B3677" s="2" t="str">
        <x:v>O01499</x:v>
      </x:c>
      <x:c r="C3677" s="7" t="n">
        <x:v>45825</x:v>
      </x:c>
      <x:c r="D3677" s="2" t="str">
        <x:v>Cancelled</x:v>
      </x:c>
      <x:c r="E3677" s="2" t="str">
        <x:v>West</x:v>
      </x:c>
      <x:c r="F3677" s="2" t="str">
        <x:v>Store</x:v>
      </x:c>
      <x:c r="G3677" s="2" t="str">
        <x:v>Furniture</x:v>
      </x:c>
      <x:c r="H3677" s="2" t="str">
        <x:v>Chair 022</x:v>
      </x:c>
      <x:c r="I3677" s="11" t="n">
        <x:v>3</x:v>
      </x:c>
      <x:c r="J3677" s="9" t="n">
        <x:v>134</x:v>
      </x:c>
      <x:c r="K3677" s="10" t="n">
        <x:v>0.1</x:v>
      </x:c>
      <x:c r="L3677" s="11" t="n">
        <x:v>0</x:v>
      </x:c>
      <x:c r="M3677" s="9" t="n">
        <x:f>IF(D3677="Completed",I3677*J3677,0)</x:f>
        <x:v>0</x:v>
      </x:c>
      <x:c r="N3677" s="9" t="n">
        <x:f>M3677*K3677</x:f>
        <x:v>0</x:v>
      </x:c>
      <x:c r="O3677" s="9" t="n">
        <x:f>M3677-N3677</x:f>
        <x:v>0</x:v>
      </x:c>
      <x:c r="P3677" s="9" t="n">
        <x:f>IF(D3677="Completed",L3677*J3677*(1-K3677),0)</x:f>
        <x:v>0</x:v>
      </x:c>
      <x:c r="Q3677" s="9" t="n">
        <x:f>O3677-P3677</x:f>
        <x:v>0</x:v>
      </x:c>
      <x:c r="R3677" s="11" t="n">
        <x:f>IF(D3677="Completed",I3677,0)</x:f>
        <x:v>0</x:v>
      </x:c>
      <x:c r="S3677" s="11" t="n">
        <x:f>IF(D3677="Completed",L3677,0)</x:f>
        <x:v>0</x:v>
      </x:c>
      <x:c r="T3677" s="8" t="n">
        <x:f>DATE(YEAR(C3677),MONTH(C3677),1)</x:f>
        <x:v>45809</x:v>
      </x:c>
    </x:row>
    <x:row r="3678" ht="22" customHeight="1">
      <x:c r="A3678" s="2" t="str">
        <x:v>L003674</x:v>
      </x:c>
      <x:c r="B3678" s="2" t="str">
        <x:v>O01499</x:v>
      </x:c>
      <x:c r="C3678" s="7" t="n">
        <x:v>45825</x:v>
      </x:c>
      <x:c r="D3678" s="2" t="str">
        <x:v>Cancelled</x:v>
      </x:c>
      <x:c r="E3678" s="2" t="str">
        <x:v>West</x:v>
      </x:c>
      <x:c r="F3678" s="2" t="str">
        <x:v>Store</x:v>
      </x:c>
      <x:c r="G3678" s="2" t="str">
        <x:v>Furniture</x:v>
      </x:c>
      <x:c r="H3678" s="2" t="str">
        <x:v>Desk 012</x:v>
      </x:c>
      <x:c r="I3678" s="11" t="n">
        <x:v>3</x:v>
      </x:c>
      <x:c r="J3678" s="9" t="n">
        <x:v>134</x:v>
      </x:c>
      <x:c r="K3678" s="10" t="n">
        <x:v>0.05</x:v>
      </x:c>
      <x:c r="L3678" s="11" t="n">
        <x:v>0</x:v>
      </x:c>
      <x:c r="M3678" s="9" t="n">
        <x:f>IF(D3678="Completed",I3678*J3678,0)</x:f>
        <x:v>0</x:v>
      </x:c>
      <x:c r="N3678" s="9" t="n">
        <x:f>M3678*K3678</x:f>
        <x:v>0</x:v>
      </x:c>
      <x:c r="O3678" s="9" t="n">
        <x:f>M3678-N3678</x:f>
        <x:v>0</x:v>
      </x:c>
      <x:c r="P3678" s="9" t="n">
        <x:f>IF(D3678="Completed",L3678*J3678*(1-K3678),0)</x:f>
        <x:v>0</x:v>
      </x:c>
      <x:c r="Q3678" s="9" t="n">
        <x:f>O3678-P3678</x:f>
        <x:v>0</x:v>
      </x:c>
      <x:c r="R3678" s="11" t="n">
        <x:f>IF(D3678="Completed",I3678,0)</x:f>
        <x:v>0</x:v>
      </x:c>
      <x:c r="S3678" s="11" t="n">
        <x:f>IF(D3678="Completed",L3678,0)</x:f>
        <x:v>0</x:v>
      </x:c>
      <x:c r="T3678" s="8" t="n">
        <x:f>DATE(YEAR(C3678),MONTH(C3678),1)</x:f>
        <x:v>45809</x:v>
      </x:c>
    </x:row>
    <x:row r="3679" ht="22" customHeight="1">
      <x:c r="A3679" s="2" t="str">
        <x:v>L003675</x:v>
      </x:c>
      <x:c r="B3679" s="2" t="str">
        <x:v>O01500</x:v>
      </x:c>
      <x:c r="C3679" s="7" t="n">
        <x:v>45947</x:v>
      </x:c>
      <x:c r="D3679" s="2" t="str">
        <x:v>Completed</x:v>
      </x:c>
      <x:c r="E3679" s="2" t="str">
        <x:v>East</x:v>
      </x:c>
      <x:c r="F3679" s="2" t="str">
        <x:v>Store</x:v>
      </x:c>
      <x:c r="G3679" s="2" t="str">
        <x:v>Lighting</x:v>
      </x:c>
      <x:c r="H3679" s="2" t="str">
        <x:v>Lamp 009</x:v>
      </x:c>
      <x:c r="I3679" s="11" t="n">
        <x:v>1</x:v>
      </x:c>
      <x:c r="J3679" s="9" t="n">
        <x:v>93</x:v>
      </x:c>
      <x:c r="K3679" s="10" t="n">
        <x:v>0.1</x:v>
      </x:c>
      <x:c r="L3679" s="11" t="n">
        <x:v>0</x:v>
      </x:c>
      <x:c r="M3679" s="9" t="n">
        <x:f>IF(D3679="Completed",I3679*J3679,0)</x:f>
        <x:v>93</x:v>
      </x:c>
      <x:c r="N3679" s="9" t="n">
        <x:f>M3679*K3679</x:f>
        <x:v>9.3</x:v>
      </x:c>
      <x:c r="O3679" s="9" t="n">
        <x:f>M3679-N3679</x:f>
        <x:v>83.7</x:v>
      </x:c>
      <x:c r="P3679" s="9" t="n">
        <x:f>IF(D3679="Completed",L3679*J3679*(1-K3679),0)</x:f>
        <x:v>0</x:v>
      </x:c>
      <x:c r="Q3679" s="9" t="n">
        <x:f>O3679-P3679</x:f>
        <x:v>83.7</x:v>
      </x:c>
      <x:c r="R3679" s="11" t="n">
        <x:f>IF(D3679="Completed",I3679,0)</x:f>
        <x:v>1</x:v>
      </x:c>
      <x:c r="S3679" s="11" t="n">
        <x:f>IF(D3679="Completed",L3679,0)</x:f>
        <x:v>0</x:v>
      </x:c>
      <x:c r="T3679" s="8" t="n">
        <x:f>DATE(YEAR(C3679),MONTH(C3679),1)</x:f>
        <x:v>45931</x:v>
      </x:c>
    </x:row>
    <x:row r="3680" ht="22" customHeight="1">
      <x:c r="A3680" s="2" t="str">
        <x:v>L003676</x:v>
      </x:c>
      <x:c r="B3680" s="2" t="str">
        <x:v>O01500</x:v>
      </x:c>
      <x:c r="C3680" s="7" t="n">
        <x:v>45947</x:v>
      </x:c>
      <x:c r="D3680" s="2" t="str">
        <x:v>Completed</x:v>
      </x:c>
      <x:c r="E3680" s="2" t="str">
        <x:v>East</x:v>
      </x:c>
      <x:c r="F3680" s="2" t="str">
        <x:v>Store</x:v>
      </x:c>
      <x:c r="G3680" s="2" t="str">
        <x:v>Storage</x:v>
      </x:c>
      <x:c r="H3680" s="2" t="str">
        <x:v>Shelf 011</x:v>
      </x:c>
      <x:c r="I3680" s="11" t="n">
        <x:v>3</x:v>
      </x:c>
      <x:c r="J3680" s="9" t="n">
        <x:v>80</x:v>
      </x:c>
      <x:c r="K3680" s="10" t="n">
        <x:v>0.1</x:v>
      </x:c>
      <x:c r="L3680" s="11" t="n">
        <x:v>0</x:v>
      </x:c>
      <x:c r="M3680" s="9" t="n">
        <x:f>IF(D3680="Completed",I3680*J3680,0)</x:f>
        <x:v>240</x:v>
      </x:c>
      <x:c r="N3680" s="9" t="n">
        <x:f>M3680*K3680</x:f>
        <x:v>24</x:v>
      </x:c>
      <x:c r="O3680" s="9" t="n">
        <x:f>M3680-N3680</x:f>
        <x:v>216</x:v>
      </x:c>
      <x:c r="P3680" s="9" t="n">
        <x:f>IF(D3680="Completed",L3680*J3680*(1-K3680),0)</x:f>
        <x:v>0</x:v>
      </x:c>
      <x:c r="Q3680" s="9" t="n">
        <x:f>O3680-P3680</x:f>
        <x:v>216</x:v>
      </x:c>
      <x:c r="R3680" s="11" t="n">
        <x:f>IF(D3680="Completed",I3680,0)</x:f>
        <x:v>3</x:v>
      </x:c>
      <x:c r="S3680" s="11" t="n">
        <x:f>IF(D3680="Completed",L3680,0)</x:f>
        <x:v>0</x:v>
      </x:c>
      <x:c r="T3680" s="8" t="n">
        <x:f>DATE(YEAR(C3680),MONTH(C3680),1)</x:f>
        <x:v>45931</x:v>
      </x:c>
    </x:row>
    <x:row r="3681" ht="22" customHeight="1">
      <x:c r="A3681" s="2" t="str">
        <x:v>L003677</x:v>
      </x:c>
      <x:c r="B3681" s="2" t="str">
        <x:v>O01500</x:v>
      </x:c>
      <x:c r="C3681" s="7" t="n">
        <x:v>45947</x:v>
      </x:c>
      <x:c r="D3681" s="2" t="str">
        <x:v>Completed</x:v>
      </x:c>
      <x:c r="E3681" s="2" t="str">
        <x:v>East</x:v>
      </x:c>
      <x:c r="F3681" s="2" t="str">
        <x:v>Store</x:v>
      </x:c>
      <x:c r="G3681" s="2" t="str">
        <x:v>Furniture</x:v>
      </x:c>
      <x:c r="H3681" s="2" t="str">
        <x:v>Desk 004</x:v>
      </x:c>
      <x:c r="I3681" s="11" t="n">
        <x:v>1</x:v>
      </x:c>
      <x:c r="J3681" s="9" t="n">
        <x:v>123</x:v>
      </x:c>
      <x:c r="K3681" s="10" t="n">
        <x:v>0</x:v>
      </x:c>
      <x:c r="L3681" s="11" t="n">
        <x:v>0</x:v>
      </x:c>
      <x:c r="M3681" s="9" t="n">
        <x:f>IF(D3681="Completed",I3681*J3681,0)</x:f>
        <x:v>123</x:v>
      </x:c>
      <x:c r="N3681" s="9" t="n">
        <x:f>M3681*K3681</x:f>
        <x:v>0</x:v>
      </x:c>
      <x:c r="O3681" s="9" t="n">
        <x:f>M3681-N3681</x:f>
        <x:v>123</x:v>
      </x:c>
      <x:c r="P3681" s="9" t="n">
        <x:f>IF(D3681="Completed",L3681*J3681*(1-K3681),0)</x:f>
        <x:v>0</x:v>
      </x:c>
      <x:c r="Q3681" s="9" t="n">
        <x:f>O3681-P3681</x:f>
        <x:v>123</x:v>
      </x:c>
      <x:c r="R3681" s="11" t="n">
        <x:f>IF(D3681="Completed",I3681,0)</x:f>
        <x:v>1</x:v>
      </x:c>
      <x:c r="S3681" s="11" t="n">
        <x:f>IF(D3681="Completed",L3681,0)</x:f>
        <x:v>0</x:v>
      </x:c>
      <x:c r="T3681" s="8" t="n">
        <x:f>DATE(YEAR(C3681),MONTH(C3681),1)</x:f>
        <x:v>45931</x:v>
      </x:c>
    </x:row>
    <x:row r="3682" ht="22" customHeight="1">
      <x:c r="A3682" s="2" t="str">
        <x:v>L003678</x:v>
      </x:c>
      <x:c r="B3682" s="2" t="str">
        <x:v>O01501</x:v>
      </x:c>
      <x:c r="C3682" s="7" t="n">
        <x:v>46007</x:v>
      </x:c>
      <x:c r="D3682" s="2" t="str">
        <x:v>Completed</x:v>
      </x:c>
      <x:c r="E3682" s="2" t="str">
        <x:v>South</x:v>
      </x:c>
      <x:c r="F3682" s="2" t="str">
        <x:v>Online</x:v>
      </x:c>
      <x:c r="G3682" s="2" t="str">
        <x:v>Furniture</x:v>
      </x:c>
      <x:c r="H3682" s="2" t="str">
        <x:v>Chair 014</x:v>
      </x:c>
      <x:c r="I3682" s="11" t="n">
        <x:v>3</x:v>
      </x:c>
      <x:c r="J3682" s="9" t="n">
        <x:v>294</x:v>
      </x:c>
      <x:c r="K3682" s="10" t="n">
        <x:v>0.1</x:v>
      </x:c>
      <x:c r="L3682" s="11" t="n">
        <x:v>0</x:v>
      </x:c>
      <x:c r="M3682" s="9" t="n">
        <x:f>IF(D3682="Completed",I3682*J3682,0)</x:f>
        <x:v>882</x:v>
      </x:c>
      <x:c r="N3682" s="9" t="n">
        <x:f>M3682*K3682</x:f>
        <x:v>88.2</x:v>
      </x:c>
      <x:c r="O3682" s="9" t="n">
        <x:f>M3682-N3682</x:f>
        <x:v>793.8</x:v>
      </x:c>
      <x:c r="P3682" s="9" t="n">
        <x:f>IF(D3682="Completed",L3682*J3682*(1-K3682),0)</x:f>
        <x:v>0</x:v>
      </x:c>
      <x:c r="Q3682" s="9" t="n">
        <x:f>O3682-P3682</x:f>
        <x:v>793.8</x:v>
      </x:c>
      <x:c r="R3682" s="11" t="n">
        <x:f>IF(D3682="Completed",I3682,0)</x:f>
        <x:v>3</x:v>
      </x:c>
      <x:c r="S3682" s="11" t="n">
        <x:f>IF(D3682="Completed",L3682,0)</x:f>
        <x:v>0</x:v>
      </x:c>
      <x:c r="T3682" s="8" t="n">
        <x:f>DATE(YEAR(C3682),MONTH(C3682),1)</x:f>
        <x:v>45992</x:v>
      </x:c>
    </x:row>
    <x:row r="3683" ht="22" customHeight="1">
      <x:c r="A3683" s="2" t="str">
        <x:v>L003679</x:v>
      </x:c>
      <x:c r="B3683" s="2" t="str">
        <x:v>O01501</x:v>
      </x:c>
      <x:c r="C3683" s="7" t="n">
        <x:v>46007</x:v>
      </x:c>
      <x:c r="D3683" s="2" t="str">
        <x:v>Completed</x:v>
      </x:c>
      <x:c r="E3683" s="2" t="str">
        <x:v>South</x:v>
      </x:c>
      <x:c r="F3683" s="2" t="str">
        <x:v>Online</x:v>
      </x:c>
      <x:c r="G3683" s="2" t="str">
        <x:v>Furniture</x:v>
      </x:c>
      <x:c r="H3683" s="2" t="str">
        <x:v>Desk 020</x:v>
      </x:c>
      <x:c r="I3683" s="11" t="n">
        <x:v>4</x:v>
      </x:c>
      <x:c r="J3683" s="9" t="n">
        <x:v>189</x:v>
      </x:c>
      <x:c r="K3683" s="10" t="n">
        <x:v>0.1</x:v>
      </x:c>
      <x:c r="L3683" s="11" t="n">
        <x:v>0</x:v>
      </x:c>
      <x:c r="M3683" s="9" t="n">
        <x:f>IF(D3683="Completed",I3683*J3683,0)</x:f>
        <x:v>756</x:v>
      </x:c>
      <x:c r="N3683" s="9" t="n">
        <x:f>M3683*K3683</x:f>
        <x:v>75.60000000000001</x:v>
      </x:c>
      <x:c r="O3683" s="9" t="n">
        <x:f>M3683-N3683</x:f>
        <x:v>680.4</x:v>
      </x:c>
      <x:c r="P3683" s="9" t="n">
        <x:f>IF(D3683="Completed",L3683*J3683*(1-K3683),0)</x:f>
        <x:v>0</x:v>
      </x:c>
      <x:c r="Q3683" s="9" t="n">
        <x:f>O3683-P3683</x:f>
        <x:v>680.4</x:v>
      </x:c>
      <x:c r="R3683" s="11" t="n">
        <x:f>IF(D3683="Completed",I3683,0)</x:f>
        <x:v>4</x:v>
      </x:c>
      <x:c r="S3683" s="11" t="n">
        <x:f>IF(D3683="Completed",L3683,0)</x:f>
        <x:v>0</x:v>
      </x:c>
      <x:c r="T3683" s="8" t="n">
        <x:f>DATE(YEAR(C3683),MONTH(C3683),1)</x:f>
        <x:v>45992</x:v>
      </x:c>
    </x:row>
    <x:row r="3684" ht="22" customHeight="1">
      <x:c r="A3684" s="2" t="str">
        <x:v>L003680</x:v>
      </x:c>
      <x:c r="B3684" s="2" t="str">
        <x:v>O01502</x:v>
      </x:c>
      <x:c r="C3684" s="7" t="n">
        <x:v>46003</x:v>
      </x:c>
      <x:c r="D3684" s="2" t="str">
        <x:v>Completed</x:v>
      </x:c>
      <x:c r="E3684" s="2" t="str">
        <x:v>East</x:v>
      </x:c>
      <x:c r="F3684" s="2" t="str">
        <x:v>Online</x:v>
      </x:c>
      <x:c r="G3684" s="2" t="str">
        <x:v>Storage</x:v>
      </x:c>
      <x:c r="H3684" s="2" t="str">
        <x:v>Shelf 015</x:v>
      </x:c>
      <x:c r="I3684" s="11" t="n">
        <x:v>3</x:v>
      </x:c>
      <x:c r="J3684" s="9" t="n">
        <x:v>254</x:v>
      </x:c>
      <x:c r="K3684" s="10" t="n">
        <x:v>0.05</x:v>
      </x:c>
      <x:c r="L3684" s="11" t="n">
        <x:v>0</x:v>
      </x:c>
      <x:c r="M3684" s="9" t="n">
        <x:f>IF(D3684="Completed",I3684*J3684,0)</x:f>
        <x:v>762</x:v>
      </x:c>
      <x:c r="N3684" s="9" t="n">
        <x:f>M3684*K3684</x:f>
        <x:v>38.1</x:v>
      </x:c>
      <x:c r="O3684" s="9" t="n">
        <x:f>M3684-N3684</x:f>
        <x:v>723.9</x:v>
      </x:c>
      <x:c r="P3684" s="9" t="n">
        <x:f>IF(D3684="Completed",L3684*J3684*(1-K3684),0)</x:f>
        <x:v>0</x:v>
      </x:c>
      <x:c r="Q3684" s="9" t="n">
        <x:f>O3684-P3684</x:f>
        <x:v>723.9</x:v>
      </x:c>
      <x:c r="R3684" s="11" t="n">
        <x:f>IF(D3684="Completed",I3684,0)</x:f>
        <x:v>3</x:v>
      </x:c>
      <x:c r="S3684" s="11" t="n">
        <x:f>IF(D3684="Completed",L3684,0)</x:f>
        <x:v>0</x:v>
      </x:c>
      <x:c r="T3684" s="8" t="n">
        <x:f>DATE(YEAR(C3684),MONTH(C3684),1)</x:f>
        <x:v>45992</x:v>
      </x:c>
    </x:row>
    <x:row r="3685" ht="22" customHeight="1">
      <x:c r="A3685" s="2" t="str">
        <x:v>L003681</x:v>
      </x:c>
      <x:c r="B3685" s="2" t="str">
        <x:v>O01502</x:v>
      </x:c>
      <x:c r="C3685" s="7" t="n">
        <x:v>46003</x:v>
      </x:c>
      <x:c r="D3685" s="2" t="str">
        <x:v>Completed</x:v>
      </x:c>
      <x:c r="E3685" s="2" t="str">
        <x:v>East</x:v>
      </x:c>
      <x:c r="F3685" s="2" t="str">
        <x:v>Online</x:v>
      </x:c>
      <x:c r="G3685" s="2" t="str">
        <x:v>Furniture</x:v>
      </x:c>
      <x:c r="H3685" s="2" t="str">
        <x:v>Desk 024</x:v>
      </x:c>
      <x:c r="I3685" s="11" t="n">
        <x:v>2</x:v>
      </x:c>
      <x:c r="J3685" s="9" t="n">
        <x:v>81</x:v>
      </x:c>
      <x:c r="K3685" s="10" t="n">
        <x:v>0.05</x:v>
      </x:c>
      <x:c r="L3685" s="11" t="n">
        <x:v>0</x:v>
      </x:c>
      <x:c r="M3685" s="9" t="n">
        <x:f>IF(D3685="Completed",I3685*J3685,0)</x:f>
        <x:v>162</x:v>
      </x:c>
      <x:c r="N3685" s="9" t="n">
        <x:f>M3685*K3685</x:f>
        <x:v>8.1</x:v>
      </x:c>
      <x:c r="O3685" s="9" t="n">
        <x:f>M3685-N3685</x:f>
        <x:v>153.9</x:v>
      </x:c>
      <x:c r="P3685" s="9" t="n">
        <x:f>IF(D3685="Completed",L3685*J3685*(1-K3685),0)</x:f>
        <x:v>0</x:v>
      </x:c>
      <x:c r="Q3685" s="9" t="n">
        <x:f>O3685-P3685</x:f>
        <x:v>153.9</x:v>
      </x:c>
      <x:c r="R3685" s="11" t="n">
        <x:f>IF(D3685="Completed",I3685,0)</x:f>
        <x:v>2</x:v>
      </x:c>
      <x:c r="S3685" s="11" t="n">
        <x:f>IF(D3685="Completed",L3685,0)</x:f>
        <x:v>0</x:v>
      </x:c>
      <x:c r="T3685" s="8" t="n">
        <x:f>DATE(YEAR(C3685),MONTH(C3685),1)</x:f>
        <x:v>45992</x:v>
      </x:c>
    </x:row>
    <x:row r="3686" ht="22" customHeight="1">
      <x:c r="A3686" s="2" t="str">
        <x:v>L003682</x:v>
      </x:c>
      <x:c r="B3686" s="2" t="str">
        <x:v>O01502</x:v>
      </x:c>
      <x:c r="C3686" s="7" t="n">
        <x:v>46003</x:v>
      </x:c>
      <x:c r="D3686" s="2" t="str">
        <x:v>Completed</x:v>
      </x:c>
      <x:c r="E3686" s="2" t="str">
        <x:v>East</x:v>
      </x:c>
      <x:c r="F3686" s="2" t="str">
        <x:v>Online</x:v>
      </x:c>
      <x:c r="G3686" s="2" t="str">
        <x:v>Furniture</x:v>
      </x:c>
      <x:c r="H3686" s="2" t="str">
        <x:v>Desk 020</x:v>
      </x:c>
      <x:c r="I3686" s="11" t="n">
        <x:v>5</x:v>
      </x:c>
      <x:c r="J3686" s="9" t="n">
        <x:v>189</x:v>
      </x:c>
      <x:c r="K3686" s="10" t="n">
        <x:v>0</x:v>
      </x:c>
      <x:c r="L3686" s="11" t="n">
        <x:v>0</x:v>
      </x:c>
      <x:c r="M3686" s="9" t="n">
        <x:f>IF(D3686="Completed",I3686*J3686,0)</x:f>
        <x:v>945</x:v>
      </x:c>
      <x:c r="N3686" s="9" t="n">
        <x:f>M3686*K3686</x:f>
        <x:v>0</x:v>
      </x:c>
      <x:c r="O3686" s="9" t="n">
        <x:f>M3686-N3686</x:f>
        <x:v>945</x:v>
      </x:c>
      <x:c r="P3686" s="9" t="n">
        <x:f>IF(D3686="Completed",L3686*J3686*(1-K3686),0)</x:f>
        <x:v>0</x:v>
      </x:c>
      <x:c r="Q3686" s="9" t="n">
        <x:f>O3686-P3686</x:f>
        <x:v>945</x:v>
      </x:c>
      <x:c r="R3686" s="11" t="n">
        <x:f>IF(D3686="Completed",I3686,0)</x:f>
        <x:v>5</x:v>
      </x:c>
      <x:c r="S3686" s="11" t="n">
        <x:f>IF(D3686="Completed",L3686,0)</x:f>
        <x:v>0</x:v>
      </x:c>
      <x:c r="T3686" s="8" t="n">
        <x:f>DATE(YEAR(C3686),MONTH(C3686),1)</x:f>
        <x:v>45992</x:v>
      </x:c>
    </x:row>
    <x:row r="3687" ht="22" customHeight="1">
      <x:c r="A3687" s="2" t="str">
        <x:v>L003683</x:v>
      </x:c>
      <x:c r="B3687" s="2" t="str">
        <x:v>O01502</x:v>
      </x:c>
      <x:c r="C3687" s="7" t="n">
        <x:v>46003</x:v>
      </x:c>
      <x:c r="D3687" s="2" t="str">
        <x:v>Completed</x:v>
      </x:c>
      <x:c r="E3687" s="2" t="str">
        <x:v>East</x:v>
      </x:c>
      <x:c r="F3687" s="2" t="str">
        <x:v>Online</x:v>
      </x:c>
      <x:c r="G3687" s="2" t="str">
        <x:v>Storage</x:v>
      </x:c>
      <x:c r="H3687" s="2" t="str">
        <x:v>Shelf 007</x:v>
      </x:c>
      <x:c r="I3687" s="11" t="n">
        <x:v>5</x:v>
      </x:c>
      <x:c r="J3687" s="9" t="n">
        <x:v>35</x:v>
      </x:c>
      <x:c r="K3687" s="10" t="n">
        <x:v>0.2</x:v>
      </x:c>
      <x:c r="L3687" s="11" t="n">
        <x:v>0</x:v>
      </x:c>
      <x:c r="M3687" s="9" t="n">
        <x:f>IF(D3687="Completed",I3687*J3687,0)</x:f>
        <x:v>175</x:v>
      </x:c>
      <x:c r="N3687" s="9" t="n">
        <x:f>M3687*K3687</x:f>
        <x:v>35</x:v>
      </x:c>
      <x:c r="O3687" s="9" t="n">
        <x:f>M3687-N3687</x:f>
        <x:v>140</x:v>
      </x:c>
      <x:c r="P3687" s="9" t="n">
        <x:f>IF(D3687="Completed",L3687*J3687*(1-K3687),0)</x:f>
        <x:v>0</x:v>
      </x:c>
      <x:c r="Q3687" s="9" t="n">
        <x:f>O3687-P3687</x:f>
        <x:v>140</x:v>
      </x:c>
      <x:c r="R3687" s="11" t="n">
        <x:f>IF(D3687="Completed",I3687,0)</x:f>
        <x:v>5</x:v>
      </x:c>
      <x:c r="S3687" s="11" t="n">
        <x:f>IF(D3687="Completed",L3687,0)</x:f>
        <x:v>0</x:v>
      </x:c>
      <x:c r="T3687" s="8" t="n">
        <x:f>DATE(YEAR(C3687),MONTH(C3687),1)</x:f>
        <x:v>45992</x:v>
      </x:c>
    </x:row>
    <x:row r="3688" ht="22" customHeight="1">
      <x:c r="A3688" s="2" t="str">
        <x:v>L003684</x:v>
      </x:c>
      <x:c r="B3688" s="2" t="str">
        <x:v>O01503</x:v>
      </x:c>
      <x:c r="C3688" s="7" t="n">
        <x:v>45942</x:v>
      </x:c>
      <x:c r="D3688" s="2" t="str">
        <x:v>Cancelled</x:v>
      </x:c>
      <x:c r="E3688" s="2" t="str">
        <x:v>East</x:v>
      </x:c>
      <x:c r="F3688" s="2" t="str">
        <x:v>Online</x:v>
      </x:c>
      <x:c r="G3688" s="2" t="str">
        <x:v>Lighting</x:v>
      </x:c>
      <x:c r="H3688" s="2" t="str">
        <x:v>Lamp 005</x:v>
      </x:c>
      <x:c r="I3688" s="11" t="n">
        <x:v>3</x:v>
      </x:c>
      <x:c r="J3688" s="9" t="n">
        <x:v>65</x:v>
      </x:c>
      <x:c r="K3688" s="10" t="n">
        <x:v>0</x:v>
      </x:c>
      <x:c r="L3688" s="11" t="n">
        <x:v>0</x:v>
      </x:c>
      <x:c r="M3688" s="9" t="n">
        <x:f>IF(D3688="Completed",I3688*J3688,0)</x:f>
        <x:v>0</x:v>
      </x:c>
      <x:c r="N3688" s="9" t="n">
        <x:f>M3688*K3688</x:f>
        <x:v>0</x:v>
      </x:c>
      <x:c r="O3688" s="9" t="n">
        <x:f>M3688-N3688</x:f>
        <x:v>0</x:v>
      </x:c>
      <x:c r="P3688" s="9" t="n">
        <x:f>IF(D3688="Completed",L3688*J3688*(1-K3688),0)</x:f>
        <x:v>0</x:v>
      </x:c>
      <x:c r="Q3688" s="9" t="n">
        <x:f>O3688-P3688</x:f>
        <x:v>0</x:v>
      </x:c>
      <x:c r="R3688" s="11" t="n">
        <x:f>IF(D3688="Completed",I3688,0)</x:f>
        <x:v>0</x:v>
      </x:c>
      <x:c r="S3688" s="11" t="n">
        <x:f>IF(D3688="Completed",L3688,0)</x:f>
        <x:v>0</x:v>
      </x:c>
      <x:c r="T3688" s="8" t="n">
        <x:f>DATE(YEAR(C3688),MONTH(C3688),1)</x:f>
        <x:v>45931</x:v>
      </x:c>
    </x:row>
    <x:row r="3689" ht="22" customHeight="1">
      <x:c r="A3689" s="2" t="str">
        <x:v>L003685</x:v>
      </x:c>
      <x:c r="B3689" s="2" t="str">
        <x:v>O01503</x:v>
      </x:c>
      <x:c r="C3689" s="7" t="n">
        <x:v>45942</x:v>
      </x:c>
      <x:c r="D3689" s="2" t="str">
        <x:v>Cancelled</x:v>
      </x:c>
      <x:c r="E3689" s="2" t="str">
        <x:v>East</x:v>
      </x:c>
      <x:c r="F3689" s="2" t="str">
        <x:v>Online</x:v>
      </x:c>
      <x:c r="G3689" s="2" t="str">
        <x:v>Storage</x:v>
      </x:c>
      <x:c r="H3689" s="2" t="str">
        <x:v>Shelf 019</x:v>
      </x:c>
      <x:c r="I3689" s="11" t="n">
        <x:v>5</x:v>
      </x:c>
      <x:c r="J3689" s="9" t="n">
        <x:v>78</x:v>
      </x:c>
      <x:c r="K3689" s="10" t="n">
        <x:v>0.2</x:v>
      </x:c>
      <x:c r="L3689" s="11" t="n">
        <x:v>0</x:v>
      </x:c>
      <x:c r="M3689" s="9" t="n">
        <x:f>IF(D3689="Completed",I3689*J3689,0)</x:f>
        <x:v>0</x:v>
      </x:c>
      <x:c r="N3689" s="9" t="n">
        <x:f>M3689*K3689</x:f>
        <x:v>0</x:v>
      </x:c>
      <x:c r="O3689" s="9" t="n">
        <x:f>M3689-N3689</x:f>
        <x:v>0</x:v>
      </x:c>
      <x:c r="P3689" s="9" t="n">
        <x:f>IF(D3689="Completed",L3689*J3689*(1-K3689),0)</x:f>
        <x:v>0</x:v>
      </x:c>
      <x:c r="Q3689" s="9" t="n">
        <x:f>O3689-P3689</x:f>
        <x:v>0</x:v>
      </x:c>
      <x:c r="R3689" s="11" t="n">
        <x:f>IF(D3689="Completed",I3689,0)</x:f>
        <x:v>0</x:v>
      </x:c>
      <x:c r="S3689" s="11" t="n">
        <x:f>IF(D3689="Completed",L3689,0)</x:f>
        <x:v>0</x:v>
      </x:c>
      <x:c r="T3689" s="8" t="n">
        <x:f>DATE(YEAR(C3689),MONTH(C3689),1)</x:f>
        <x:v>45931</x:v>
      </x:c>
    </x:row>
    <x:row r="3690" ht="22" customHeight="1">
      <x:c r="A3690" s="2" t="str">
        <x:v>L003686</x:v>
      </x:c>
      <x:c r="B3690" s="2" t="str">
        <x:v>O01504</x:v>
      </x:c>
      <x:c r="C3690" s="7" t="n">
        <x:v>45677</x:v>
      </x:c>
      <x:c r="D3690" s="2" t="str">
        <x:v>Completed</x:v>
      </x:c>
      <x:c r="E3690" s="2" t="str">
        <x:v>North</x:v>
      </x:c>
      <x:c r="F3690" s="2" t="str">
        <x:v>Store</x:v>
      </x:c>
      <x:c r="G3690" s="2" t="str">
        <x:v>Storage</x:v>
      </x:c>
      <x:c r="H3690" s="2" t="str">
        <x:v>Shelf 007</x:v>
      </x:c>
      <x:c r="I3690" s="11" t="n">
        <x:v>5</x:v>
      </x:c>
      <x:c r="J3690" s="9" t="n">
        <x:v>35</x:v>
      </x:c>
      <x:c r="K3690" s="10" t="n">
        <x:v>0.1</x:v>
      </x:c>
      <x:c r="L3690" s="11" t="n">
        <x:v>0</x:v>
      </x:c>
      <x:c r="M3690" s="9" t="n">
        <x:f>IF(D3690="Completed",I3690*J3690,0)</x:f>
        <x:v>175</x:v>
      </x:c>
      <x:c r="N3690" s="9" t="n">
        <x:f>M3690*K3690</x:f>
        <x:v>17.5</x:v>
      </x:c>
      <x:c r="O3690" s="9" t="n">
        <x:f>M3690-N3690</x:f>
        <x:v>157.5</x:v>
      </x:c>
      <x:c r="P3690" s="9" t="n">
        <x:f>IF(D3690="Completed",L3690*J3690*(1-K3690),0)</x:f>
        <x:v>0</x:v>
      </x:c>
      <x:c r="Q3690" s="9" t="n">
        <x:f>O3690-P3690</x:f>
        <x:v>157.5</x:v>
      </x:c>
      <x:c r="R3690" s="11" t="n">
        <x:f>IF(D3690="Completed",I3690,0)</x:f>
        <x:v>5</x:v>
      </x:c>
      <x:c r="S3690" s="11" t="n">
        <x:f>IF(D3690="Completed",L3690,0)</x:f>
        <x:v>0</x:v>
      </x:c>
      <x:c r="T3690" s="8" t="n">
        <x:f>DATE(YEAR(C3690),MONTH(C3690),1)</x:f>
        <x:v>45658</x:v>
      </x:c>
    </x:row>
    <x:row r="3691" ht="22" customHeight="1">
      <x:c r="A3691" s="2" t="str">
        <x:v>L003687</x:v>
      </x:c>
      <x:c r="B3691" s="2" t="str">
        <x:v>O01505</x:v>
      </x:c>
      <x:c r="C3691" s="7" t="n">
        <x:v>45689</x:v>
      </x:c>
      <x:c r="D3691" s="2" t="str">
        <x:v>Completed</x:v>
      </x:c>
      <x:c r="E3691" s="2" t="str">
        <x:v>South</x:v>
      </x:c>
      <x:c r="F3691" s="2" t="str">
        <x:v>Online</x:v>
      </x:c>
      <x:c r="G3691" s="2" t="str">
        <x:v>Storage</x:v>
      </x:c>
      <x:c r="H3691" s="2" t="str">
        <x:v>Shelf 011</x:v>
      </x:c>
      <x:c r="I3691" s="11" t="n">
        <x:v>1</x:v>
      </x:c>
      <x:c r="J3691" s="9" t="n">
        <x:v>80</x:v>
      </x:c>
      <x:c r="K3691" s="10" t="n">
        <x:v>0.1</x:v>
      </x:c>
      <x:c r="L3691" s="11" t="n">
        <x:v>0</x:v>
      </x:c>
      <x:c r="M3691" s="9" t="n">
        <x:f>IF(D3691="Completed",I3691*J3691,0)</x:f>
        <x:v>80</x:v>
      </x:c>
      <x:c r="N3691" s="9" t="n">
        <x:f>M3691*K3691</x:f>
        <x:v>8</x:v>
      </x:c>
      <x:c r="O3691" s="9" t="n">
        <x:f>M3691-N3691</x:f>
        <x:v>72</x:v>
      </x:c>
      <x:c r="P3691" s="9" t="n">
        <x:f>IF(D3691="Completed",L3691*J3691*(1-K3691),0)</x:f>
        <x:v>0</x:v>
      </x:c>
      <x:c r="Q3691" s="9" t="n">
        <x:f>O3691-P3691</x:f>
        <x:v>72</x:v>
      </x:c>
      <x:c r="R3691" s="11" t="n">
        <x:f>IF(D3691="Completed",I3691,0)</x:f>
        <x:v>1</x:v>
      </x:c>
      <x:c r="S3691" s="11" t="n">
        <x:f>IF(D3691="Completed",L3691,0)</x:f>
        <x:v>0</x:v>
      </x:c>
      <x:c r="T3691" s="8" t="n">
        <x:f>DATE(YEAR(C3691),MONTH(C3691),1)</x:f>
        <x:v>45689</x:v>
      </x:c>
    </x:row>
    <x:row r="3692" ht="22" customHeight="1">
      <x:c r="A3692" s="2" t="str">
        <x:v>L003688</x:v>
      </x:c>
      <x:c r="B3692" s="2" t="str">
        <x:v>O01505</x:v>
      </x:c>
      <x:c r="C3692" s="7" t="n">
        <x:v>45689</x:v>
      </x:c>
      <x:c r="D3692" s="2" t="str">
        <x:v>Completed</x:v>
      </x:c>
      <x:c r="E3692" s="2" t="str">
        <x:v>South</x:v>
      </x:c>
      <x:c r="F3692" s="2" t="str">
        <x:v>Online</x:v>
      </x:c>
      <x:c r="G3692" s="2" t="str">
        <x:v>Lighting</x:v>
      </x:c>
      <x:c r="H3692" s="2" t="str">
        <x:v>Lamp 005</x:v>
      </x:c>
      <x:c r="I3692" s="11" t="n">
        <x:v>5</x:v>
      </x:c>
      <x:c r="J3692" s="9" t="n">
        <x:v>65</x:v>
      </x:c>
      <x:c r="K3692" s="10" t="n">
        <x:v>0</x:v>
      </x:c>
      <x:c r="L3692" s="11" t="n">
        <x:v>0</x:v>
      </x:c>
      <x:c r="M3692" s="9" t="n">
        <x:f>IF(D3692="Completed",I3692*J3692,0)</x:f>
        <x:v>325</x:v>
      </x:c>
      <x:c r="N3692" s="9" t="n">
        <x:f>M3692*K3692</x:f>
        <x:v>0</x:v>
      </x:c>
      <x:c r="O3692" s="9" t="n">
        <x:f>M3692-N3692</x:f>
        <x:v>325</x:v>
      </x:c>
      <x:c r="P3692" s="9" t="n">
        <x:f>IF(D3692="Completed",L3692*J3692*(1-K3692),0)</x:f>
        <x:v>0</x:v>
      </x:c>
      <x:c r="Q3692" s="9" t="n">
        <x:f>O3692-P3692</x:f>
        <x:v>325</x:v>
      </x:c>
      <x:c r="R3692" s="11" t="n">
        <x:f>IF(D3692="Completed",I3692,0)</x:f>
        <x:v>5</x:v>
      </x:c>
      <x:c r="S3692" s="11" t="n">
        <x:f>IF(D3692="Completed",L3692,0)</x:f>
        <x:v>0</x:v>
      </x:c>
      <x:c r="T3692" s="8" t="n">
        <x:f>DATE(YEAR(C3692),MONTH(C3692),1)</x:f>
        <x:v>45689</x:v>
      </x:c>
    </x:row>
    <x:row r="3693" ht="22" customHeight="1">
      <x:c r="A3693" s="2" t="str">
        <x:v>L003689</x:v>
      </x:c>
      <x:c r="B3693" s="2" t="str">
        <x:v>O01505</x:v>
      </x:c>
      <x:c r="C3693" s="7" t="n">
        <x:v>45689</x:v>
      </x:c>
      <x:c r="D3693" s="2" t="str">
        <x:v>Completed</x:v>
      </x:c>
      <x:c r="E3693" s="2" t="str">
        <x:v>South</x:v>
      </x:c>
      <x:c r="F3693" s="2" t="str">
        <x:v>Online</x:v>
      </x:c>
      <x:c r="G3693" s="2" t="str">
        <x:v>Lighting</x:v>
      </x:c>
      <x:c r="H3693" s="2" t="str">
        <x:v>Lamp 013</x:v>
      </x:c>
      <x:c r="I3693" s="11" t="n">
        <x:v>1</x:v>
      </x:c>
      <x:c r="J3693" s="9" t="n">
        <x:v>271</x:v>
      </x:c>
      <x:c r="K3693" s="10" t="n">
        <x:v>0.1</x:v>
      </x:c>
      <x:c r="L3693" s="11" t="n">
        <x:v>0</x:v>
      </x:c>
      <x:c r="M3693" s="9" t="n">
        <x:f>IF(D3693="Completed",I3693*J3693,0)</x:f>
        <x:v>271</x:v>
      </x:c>
      <x:c r="N3693" s="9" t="n">
        <x:f>M3693*K3693</x:f>
        <x:v>27.1</x:v>
      </x:c>
      <x:c r="O3693" s="9" t="n">
        <x:f>M3693-N3693</x:f>
        <x:v>243.9</x:v>
      </x:c>
      <x:c r="P3693" s="9" t="n">
        <x:f>IF(D3693="Completed",L3693*J3693*(1-K3693),0)</x:f>
        <x:v>0</x:v>
      </x:c>
      <x:c r="Q3693" s="9" t="n">
        <x:f>O3693-P3693</x:f>
        <x:v>243.9</x:v>
      </x:c>
      <x:c r="R3693" s="11" t="n">
        <x:f>IF(D3693="Completed",I3693,0)</x:f>
        <x:v>1</x:v>
      </x:c>
      <x:c r="S3693" s="11" t="n">
        <x:f>IF(D3693="Completed",L3693,0)</x:f>
        <x:v>0</x:v>
      </x:c>
      <x:c r="T3693" s="8" t="n">
        <x:f>DATE(YEAR(C3693),MONTH(C3693),1)</x:f>
        <x:v>45689</x:v>
      </x:c>
    </x:row>
    <x:row r="3694" ht="22" customHeight="1">
      <x:c r="A3694" s="2" t="str">
        <x:v>L003690</x:v>
      </x:c>
      <x:c r="B3694" s="2" t="str">
        <x:v>O01505</x:v>
      </x:c>
      <x:c r="C3694" s="7" t="n">
        <x:v>45689</x:v>
      </x:c>
      <x:c r="D3694" s="2" t="str">
        <x:v>Completed</x:v>
      </x:c>
      <x:c r="E3694" s="2" t="str">
        <x:v>South</x:v>
      </x:c>
      <x:c r="F3694" s="2" t="str">
        <x:v>Online</x:v>
      </x:c>
      <x:c r="G3694" s="2" t="str">
        <x:v>Lighting</x:v>
      </x:c>
      <x:c r="H3694" s="2" t="str">
        <x:v>Lamp 005</x:v>
      </x:c>
      <x:c r="I3694" s="11" t="n">
        <x:v>5</x:v>
      </x:c>
      <x:c r="J3694" s="9" t="n">
        <x:v>65</x:v>
      </x:c>
      <x:c r="K3694" s="10" t="n">
        <x:v>0</x:v>
      </x:c>
      <x:c r="L3694" s="11" t="n">
        <x:v>0</x:v>
      </x:c>
      <x:c r="M3694" s="9" t="n">
        <x:f>IF(D3694="Completed",I3694*J3694,0)</x:f>
        <x:v>325</x:v>
      </x:c>
      <x:c r="N3694" s="9" t="n">
        <x:f>M3694*K3694</x:f>
        <x:v>0</x:v>
      </x:c>
      <x:c r="O3694" s="9" t="n">
        <x:f>M3694-N3694</x:f>
        <x:v>325</x:v>
      </x:c>
      <x:c r="P3694" s="9" t="n">
        <x:f>IF(D3694="Completed",L3694*J3694*(1-K3694),0)</x:f>
        <x:v>0</x:v>
      </x:c>
      <x:c r="Q3694" s="9" t="n">
        <x:f>O3694-P3694</x:f>
        <x:v>325</x:v>
      </x:c>
      <x:c r="R3694" s="11" t="n">
        <x:f>IF(D3694="Completed",I3694,0)</x:f>
        <x:v>5</x:v>
      </x:c>
      <x:c r="S3694" s="11" t="n">
        <x:f>IF(D3694="Completed",L3694,0)</x:f>
        <x:v>0</x:v>
      </x:c>
      <x:c r="T3694" s="8" t="n">
        <x:f>DATE(YEAR(C3694),MONTH(C3694),1)</x:f>
        <x:v>45689</x:v>
      </x:c>
    </x:row>
    <x:row r="3695" ht="22" customHeight="1">
      <x:c r="A3695" s="2" t="str">
        <x:v>L003691</x:v>
      </x:c>
      <x:c r="B3695" s="2" t="str">
        <x:v>O01506</x:v>
      </x:c>
      <x:c r="C3695" s="7" t="n">
        <x:v>45764</x:v>
      </x:c>
      <x:c r="D3695" s="2" t="str">
        <x:v>Completed</x:v>
      </x:c>
      <x:c r="E3695" s="2" t="str">
        <x:v>North</x:v>
      </x:c>
      <x:c r="F3695" s="2" t="str">
        <x:v>Online</x:v>
      </x:c>
      <x:c r="G3695" s="2" t="str">
        <x:v>Furniture</x:v>
      </x:c>
      <x:c r="H3695" s="2" t="str">
        <x:v>Desk 008</x:v>
      </x:c>
      <x:c r="I3695" s="11" t="n">
        <x:v>1</x:v>
      </x:c>
      <x:c r="J3695" s="9" t="n">
        <x:v>188</x:v>
      </x:c>
      <x:c r="K3695" s="10" t="n">
        <x:v>0.1</x:v>
      </x:c>
      <x:c r="L3695" s="11" t="n">
        <x:v>0</x:v>
      </x:c>
      <x:c r="M3695" s="9" t="n">
        <x:f>IF(D3695="Completed",I3695*J3695,0)</x:f>
        <x:v>188</x:v>
      </x:c>
      <x:c r="N3695" s="9" t="n">
        <x:f>M3695*K3695</x:f>
        <x:v>18.8</x:v>
      </x:c>
      <x:c r="O3695" s="9" t="n">
        <x:f>M3695-N3695</x:f>
        <x:v>169.2</x:v>
      </x:c>
      <x:c r="P3695" s="9" t="n">
        <x:f>IF(D3695="Completed",L3695*J3695*(1-K3695),0)</x:f>
        <x:v>0</x:v>
      </x:c>
      <x:c r="Q3695" s="9" t="n">
        <x:f>O3695-P3695</x:f>
        <x:v>169.2</x:v>
      </x:c>
      <x:c r="R3695" s="11" t="n">
        <x:f>IF(D3695="Completed",I3695,0)</x:f>
        <x:v>1</x:v>
      </x:c>
      <x:c r="S3695" s="11" t="n">
        <x:f>IF(D3695="Completed",L3695,0)</x:f>
        <x:v>0</x:v>
      </x:c>
      <x:c r="T3695" s="8" t="n">
        <x:f>DATE(YEAR(C3695),MONTH(C3695),1)</x:f>
        <x:v>45748</x:v>
      </x:c>
    </x:row>
    <x:row r="3696" ht="22" customHeight="1">
      <x:c r="A3696" s="2" t="str">
        <x:v>L003692</x:v>
      </x:c>
      <x:c r="B3696" s="2" t="str">
        <x:v>O01507</x:v>
      </x:c>
      <x:c r="C3696" s="7" t="n">
        <x:v>45793</x:v>
      </x:c>
      <x:c r="D3696" s="2" t="str">
        <x:v>Completed</x:v>
      </x:c>
      <x:c r="E3696" s="2" t="str">
        <x:v>West</x:v>
      </x:c>
      <x:c r="F3696" s="2" t="str">
        <x:v>Online</x:v>
      </x:c>
      <x:c r="G3696" s="2" t="str">
        <x:v>Lighting</x:v>
      </x:c>
      <x:c r="H3696" s="2" t="str">
        <x:v>Lamp 001</x:v>
      </x:c>
      <x:c r="I3696" s="11" t="n">
        <x:v>5</x:v>
      </x:c>
      <x:c r="J3696" s="9" t="n">
        <x:v>122</x:v>
      </x:c>
      <x:c r="K3696" s="10" t="n">
        <x:v>0.1</x:v>
      </x:c>
      <x:c r="L3696" s="11" t="n">
        <x:v>0</x:v>
      </x:c>
      <x:c r="M3696" s="9" t="n">
        <x:f>IF(D3696="Completed",I3696*J3696,0)</x:f>
        <x:v>610</x:v>
      </x:c>
      <x:c r="N3696" s="9" t="n">
        <x:f>M3696*K3696</x:f>
        <x:v>61</x:v>
      </x:c>
      <x:c r="O3696" s="9" t="n">
        <x:f>M3696-N3696</x:f>
        <x:v>549</x:v>
      </x:c>
      <x:c r="P3696" s="9" t="n">
        <x:f>IF(D3696="Completed",L3696*J3696*(1-K3696),0)</x:f>
        <x:v>0</x:v>
      </x:c>
      <x:c r="Q3696" s="9" t="n">
        <x:f>O3696-P3696</x:f>
        <x:v>549</x:v>
      </x:c>
      <x:c r="R3696" s="11" t="n">
        <x:f>IF(D3696="Completed",I3696,0)</x:f>
        <x:v>5</x:v>
      </x:c>
      <x:c r="S3696" s="11" t="n">
        <x:f>IF(D3696="Completed",L3696,0)</x:f>
        <x:v>0</x:v>
      </x:c>
      <x:c r="T3696" s="8" t="n">
        <x:f>DATE(YEAR(C3696),MONTH(C3696),1)</x:f>
        <x:v>45778</x:v>
      </x:c>
    </x:row>
    <x:row r="3697" ht="22" customHeight="1">
      <x:c r="A3697" s="2" t="str">
        <x:v>L003693</x:v>
      </x:c>
      <x:c r="B3697" s="2" t="str">
        <x:v>O01507</x:v>
      </x:c>
      <x:c r="C3697" s="7" t="n">
        <x:v>45793</x:v>
      </x:c>
      <x:c r="D3697" s="2" t="str">
        <x:v>Completed</x:v>
      </x:c>
      <x:c r="E3697" s="2" t="str">
        <x:v>West</x:v>
      </x:c>
      <x:c r="F3697" s="2" t="str">
        <x:v>Online</x:v>
      </x:c>
      <x:c r="G3697" s="2" t="str">
        <x:v>Furniture</x:v>
      </x:c>
      <x:c r="H3697" s="2" t="str">
        <x:v>Desk 016</x:v>
      </x:c>
      <x:c r="I3697" s="11" t="n">
        <x:v>1</x:v>
      </x:c>
      <x:c r="J3697" s="9" t="n">
        <x:v>231</x:v>
      </x:c>
      <x:c r="K3697" s="10" t="n">
        <x:v>0.1</x:v>
      </x:c>
      <x:c r="L3697" s="11" t="n">
        <x:v>0</x:v>
      </x:c>
      <x:c r="M3697" s="9" t="n">
        <x:f>IF(D3697="Completed",I3697*J3697,0)</x:f>
        <x:v>231</x:v>
      </x:c>
      <x:c r="N3697" s="9" t="n">
        <x:f>M3697*K3697</x:f>
        <x:v>23.1</x:v>
      </x:c>
      <x:c r="O3697" s="9" t="n">
        <x:f>M3697-N3697</x:f>
        <x:v>207.9</x:v>
      </x:c>
      <x:c r="P3697" s="9" t="n">
        <x:f>IF(D3697="Completed",L3697*J3697*(1-K3697),0)</x:f>
        <x:v>0</x:v>
      </x:c>
      <x:c r="Q3697" s="9" t="n">
        <x:f>O3697-P3697</x:f>
        <x:v>207.9</x:v>
      </x:c>
      <x:c r="R3697" s="11" t="n">
        <x:f>IF(D3697="Completed",I3697,0)</x:f>
        <x:v>1</x:v>
      </x:c>
      <x:c r="S3697" s="11" t="n">
        <x:f>IF(D3697="Completed",L3697,0)</x:f>
        <x:v>0</x:v>
      </x:c>
      <x:c r="T3697" s="8" t="n">
        <x:f>DATE(YEAR(C3697),MONTH(C3697),1)</x:f>
        <x:v>45778</x:v>
      </x:c>
    </x:row>
    <x:row r="3698" ht="22" customHeight="1">
      <x:c r="A3698" s="2" t="str">
        <x:v>L003694</x:v>
      </x:c>
      <x:c r="B3698" s="2" t="str">
        <x:v>O01507</x:v>
      </x:c>
      <x:c r="C3698" s="7" t="n">
        <x:v>45793</x:v>
      </x:c>
      <x:c r="D3698" s="2" t="str">
        <x:v>Completed</x:v>
      </x:c>
      <x:c r="E3698" s="2" t="str">
        <x:v>West</x:v>
      </x:c>
      <x:c r="F3698" s="2" t="str">
        <x:v>Online</x:v>
      </x:c>
      <x:c r="G3698" s="2" t="str">
        <x:v>Furniture</x:v>
      </x:c>
      <x:c r="H3698" s="2" t="str">
        <x:v>Desk 016</x:v>
      </x:c>
      <x:c r="I3698" s="11" t="n">
        <x:v>2</x:v>
      </x:c>
      <x:c r="J3698" s="9" t="n">
        <x:v>231</x:v>
      </x:c>
      <x:c r="K3698" s="10" t="n">
        <x:v>0.05</x:v>
      </x:c>
      <x:c r="L3698" s="11" t="n">
        <x:v>0</x:v>
      </x:c>
      <x:c r="M3698" s="9" t="n">
        <x:f>IF(D3698="Completed",I3698*J3698,0)</x:f>
        <x:v>462</x:v>
      </x:c>
      <x:c r="N3698" s="9" t="n">
        <x:f>M3698*K3698</x:f>
        <x:v>23.1</x:v>
      </x:c>
      <x:c r="O3698" s="9" t="n">
        <x:f>M3698-N3698</x:f>
        <x:v>438.9</x:v>
      </x:c>
      <x:c r="P3698" s="9" t="n">
        <x:f>IF(D3698="Completed",L3698*J3698*(1-K3698),0)</x:f>
        <x:v>0</x:v>
      </x:c>
      <x:c r="Q3698" s="9" t="n">
        <x:f>O3698-P3698</x:f>
        <x:v>438.9</x:v>
      </x:c>
      <x:c r="R3698" s="11" t="n">
        <x:f>IF(D3698="Completed",I3698,0)</x:f>
        <x:v>2</x:v>
      </x:c>
      <x:c r="S3698" s="11" t="n">
        <x:f>IF(D3698="Completed",L3698,0)</x:f>
        <x:v>0</x:v>
      </x:c>
      <x:c r="T3698" s="8" t="n">
        <x:f>DATE(YEAR(C3698),MONTH(C3698),1)</x:f>
        <x:v>45778</x:v>
      </x:c>
    </x:row>
    <x:row r="3699" ht="22" customHeight="1">
      <x:c r="A3699" s="2" t="str">
        <x:v>L003695</x:v>
      </x:c>
      <x:c r="B3699" s="2" t="str">
        <x:v>O01507</x:v>
      </x:c>
      <x:c r="C3699" s="7" t="n">
        <x:v>45793</x:v>
      </x:c>
      <x:c r="D3699" s="2" t="str">
        <x:v>Completed</x:v>
      </x:c>
      <x:c r="E3699" s="2" t="str">
        <x:v>West</x:v>
      </x:c>
      <x:c r="F3699" s="2" t="str">
        <x:v>Online</x:v>
      </x:c>
      <x:c r="G3699" s="2" t="str">
        <x:v>Furniture</x:v>
      </x:c>
      <x:c r="H3699" s="2" t="str">
        <x:v>Desk 008</x:v>
      </x:c>
      <x:c r="I3699" s="11" t="n">
        <x:v>4</x:v>
      </x:c>
      <x:c r="J3699" s="9" t="n">
        <x:v>188</x:v>
      </x:c>
      <x:c r="K3699" s="10" t="n">
        <x:v>0.1</x:v>
      </x:c>
      <x:c r="L3699" s="11" t="n">
        <x:v>0</x:v>
      </x:c>
      <x:c r="M3699" s="9" t="n">
        <x:f>IF(D3699="Completed",I3699*J3699,0)</x:f>
        <x:v>752</x:v>
      </x:c>
      <x:c r="N3699" s="9" t="n">
        <x:f>M3699*K3699</x:f>
        <x:v>75.2</x:v>
      </x:c>
      <x:c r="O3699" s="9" t="n">
        <x:f>M3699-N3699</x:f>
        <x:v>676.8</x:v>
      </x:c>
      <x:c r="P3699" s="9" t="n">
        <x:f>IF(D3699="Completed",L3699*J3699*(1-K3699),0)</x:f>
        <x:v>0</x:v>
      </x:c>
      <x:c r="Q3699" s="9" t="n">
        <x:f>O3699-P3699</x:f>
        <x:v>676.8</x:v>
      </x:c>
      <x:c r="R3699" s="11" t="n">
        <x:f>IF(D3699="Completed",I3699,0)</x:f>
        <x:v>4</x:v>
      </x:c>
      <x:c r="S3699" s="11" t="n">
        <x:f>IF(D3699="Completed",L3699,0)</x:f>
        <x:v>0</x:v>
      </x:c>
      <x:c r="T3699" s="8" t="n">
        <x:f>DATE(YEAR(C3699),MONTH(C3699),1)</x:f>
        <x:v>45778</x:v>
      </x:c>
    </x:row>
    <x:row r="3700" ht="22" customHeight="1">
      <x:c r="A3700" s="2" t="str">
        <x:v>L003696</x:v>
      </x:c>
      <x:c r="B3700" s="2" t="str">
        <x:v>O01508</x:v>
      </x:c>
      <x:c r="C3700" s="7" t="n">
        <x:v>45981</x:v>
      </x:c>
      <x:c r="D3700" s="2" t="str">
        <x:v>Completed</x:v>
      </x:c>
      <x:c r="E3700" s="2" t="str">
        <x:v>East</x:v>
      </x:c>
      <x:c r="F3700" s="2" t="str">
        <x:v>Store</x:v>
      </x:c>
      <x:c r="G3700" s="2" t="str">
        <x:v>Lighting</x:v>
      </x:c>
      <x:c r="H3700" s="2" t="str">
        <x:v>Lamp 005</x:v>
      </x:c>
      <x:c r="I3700" s="11" t="n">
        <x:v>2</x:v>
      </x:c>
      <x:c r="J3700" s="9" t="n">
        <x:v>65</x:v>
      </x:c>
      <x:c r="K3700" s="10" t="n">
        <x:v>0.2</x:v>
      </x:c>
      <x:c r="L3700" s="11" t="n">
        <x:v>0</x:v>
      </x:c>
      <x:c r="M3700" s="9" t="n">
        <x:f>IF(D3700="Completed",I3700*J3700,0)</x:f>
        <x:v>130</x:v>
      </x:c>
      <x:c r="N3700" s="9" t="n">
        <x:f>M3700*K3700</x:f>
        <x:v>26</x:v>
      </x:c>
      <x:c r="O3700" s="9" t="n">
        <x:f>M3700-N3700</x:f>
        <x:v>104</x:v>
      </x:c>
      <x:c r="P3700" s="9" t="n">
        <x:f>IF(D3700="Completed",L3700*J3700*(1-K3700),0)</x:f>
        <x:v>0</x:v>
      </x:c>
      <x:c r="Q3700" s="9" t="n">
        <x:f>O3700-P3700</x:f>
        <x:v>104</x:v>
      </x:c>
      <x:c r="R3700" s="11" t="n">
        <x:f>IF(D3700="Completed",I3700,0)</x:f>
        <x:v>2</x:v>
      </x:c>
      <x:c r="S3700" s="11" t="n">
        <x:f>IF(D3700="Completed",L3700,0)</x:f>
        <x:v>0</x:v>
      </x:c>
      <x:c r="T3700" s="8" t="n">
        <x:f>DATE(YEAR(C3700),MONTH(C3700),1)</x:f>
        <x:v>45962</x:v>
      </x:c>
    </x:row>
    <x:row r="3701" ht="22" customHeight="1">
      <x:c r="A3701" s="2" t="str">
        <x:v>L003697</x:v>
      </x:c>
      <x:c r="B3701" s="2" t="str">
        <x:v>O01509</x:v>
      </x:c>
      <x:c r="C3701" s="7" t="n">
        <x:v>45686</x:v>
      </x:c>
      <x:c r="D3701" s="2" t="str">
        <x:v>Completed</x:v>
      </x:c>
      <x:c r="E3701" s="2" t="str">
        <x:v>North</x:v>
      </x:c>
      <x:c r="F3701" s="2" t="str">
        <x:v>Store</x:v>
      </x:c>
      <x:c r="G3701" s="2" t="str">
        <x:v>Furniture</x:v>
      </x:c>
      <x:c r="H3701" s="2" t="str">
        <x:v>Desk 020</x:v>
      </x:c>
      <x:c r="I3701" s="11" t="n">
        <x:v>5</x:v>
      </x:c>
      <x:c r="J3701" s="9" t="n">
        <x:v>189</x:v>
      </x:c>
      <x:c r="K3701" s="10" t="n">
        <x:v>0.2</x:v>
      </x:c>
      <x:c r="L3701" s="11" t="n">
        <x:v>0</x:v>
      </x:c>
      <x:c r="M3701" s="9" t="n">
        <x:f>IF(D3701="Completed",I3701*J3701,0)</x:f>
        <x:v>945</x:v>
      </x:c>
      <x:c r="N3701" s="9" t="n">
        <x:f>M3701*K3701</x:f>
        <x:v>189</x:v>
      </x:c>
      <x:c r="O3701" s="9" t="n">
        <x:f>M3701-N3701</x:f>
        <x:v>756</x:v>
      </x:c>
      <x:c r="P3701" s="9" t="n">
        <x:f>IF(D3701="Completed",L3701*J3701*(1-K3701),0)</x:f>
        <x:v>0</x:v>
      </x:c>
      <x:c r="Q3701" s="9" t="n">
        <x:f>O3701-P3701</x:f>
        <x:v>756</x:v>
      </x:c>
      <x:c r="R3701" s="11" t="n">
        <x:f>IF(D3701="Completed",I3701,0)</x:f>
        <x:v>5</x:v>
      </x:c>
      <x:c r="S3701" s="11" t="n">
        <x:f>IF(D3701="Completed",L3701,0)</x:f>
        <x:v>0</x:v>
      </x:c>
      <x:c r="T3701" s="8" t="n">
        <x:f>DATE(YEAR(C3701),MONTH(C3701),1)</x:f>
        <x:v>45658</x:v>
      </x:c>
    </x:row>
    <x:row r="3702" ht="22" customHeight="1">
      <x:c r="A3702" s="2" t="str">
        <x:v>L003698</x:v>
      </x:c>
      <x:c r="B3702" s="2" t="str">
        <x:v>O01509</x:v>
      </x:c>
      <x:c r="C3702" s="7" t="n">
        <x:v>45686</x:v>
      </x:c>
      <x:c r="D3702" s="2" t="str">
        <x:v>Completed</x:v>
      </x:c>
      <x:c r="E3702" s="2" t="str">
        <x:v>North</x:v>
      </x:c>
      <x:c r="F3702" s="2" t="str">
        <x:v>Store</x:v>
      </x:c>
      <x:c r="G3702" s="2" t="str">
        <x:v>Lighting</x:v>
      </x:c>
      <x:c r="H3702" s="2" t="str">
        <x:v>Lamp 009</x:v>
      </x:c>
      <x:c r="I3702" s="11" t="n">
        <x:v>2</x:v>
      </x:c>
      <x:c r="J3702" s="9" t="n">
        <x:v>93</x:v>
      </x:c>
      <x:c r="K3702" s="10" t="n">
        <x:v>0.1</x:v>
      </x:c>
      <x:c r="L3702" s="11" t="n">
        <x:v>0</x:v>
      </x:c>
      <x:c r="M3702" s="9" t="n">
        <x:f>IF(D3702="Completed",I3702*J3702,0)</x:f>
        <x:v>186</x:v>
      </x:c>
      <x:c r="N3702" s="9" t="n">
        <x:f>M3702*K3702</x:f>
        <x:v>18.6</x:v>
      </x:c>
      <x:c r="O3702" s="9" t="n">
        <x:f>M3702-N3702</x:f>
        <x:v>167.4</x:v>
      </x:c>
      <x:c r="P3702" s="9" t="n">
        <x:f>IF(D3702="Completed",L3702*J3702*(1-K3702),0)</x:f>
        <x:v>0</x:v>
      </x:c>
      <x:c r="Q3702" s="9" t="n">
        <x:f>O3702-P3702</x:f>
        <x:v>167.4</x:v>
      </x:c>
      <x:c r="R3702" s="11" t="n">
        <x:f>IF(D3702="Completed",I3702,0)</x:f>
        <x:v>2</x:v>
      </x:c>
      <x:c r="S3702" s="11" t="n">
        <x:f>IF(D3702="Completed",L3702,0)</x:f>
        <x:v>0</x:v>
      </x:c>
      <x:c r="T3702" s="8" t="n">
        <x:f>DATE(YEAR(C3702),MONTH(C3702),1)</x:f>
        <x:v>45658</x:v>
      </x:c>
    </x:row>
    <x:row r="3703" ht="22" customHeight="1">
      <x:c r="A3703" s="2" t="str">
        <x:v>L003699</x:v>
      </x:c>
      <x:c r="B3703" s="2" t="str">
        <x:v>O01509</x:v>
      </x:c>
      <x:c r="C3703" s="7" t="n">
        <x:v>45686</x:v>
      </x:c>
      <x:c r="D3703" s="2" t="str">
        <x:v>Completed</x:v>
      </x:c>
      <x:c r="E3703" s="2" t="str">
        <x:v>North</x:v>
      </x:c>
      <x:c r="F3703" s="2" t="str">
        <x:v>Store</x:v>
      </x:c>
      <x:c r="G3703" s="2" t="str">
        <x:v>Furniture</x:v>
      </x:c>
      <x:c r="H3703" s="2" t="str">
        <x:v>Chair 018</x:v>
      </x:c>
      <x:c r="I3703" s="11" t="n">
        <x:v>4</x:v>
      </x:c>
      <x:c r="J3703" s="9" t="n">
        <x:v>269</x:v>
      </x:c>
      <x:c r="K3703" s="10" t="n">
        <x:v>0.2</x:v>
      </x:c>
      <x:c r="L3703" s="11" t="n">
        <x:v>1</x:v>
      </x:c>
      <x:c r="M3703" s="9" t="n">
        <x:f>IF(D3703="Completed",I3703*J3703,0)</x:f>
        <x:v>1076</x:v>
      </x:c>
      <x:c r="N3703" s="9" t="n">
        <x:f>M3703*K3703</x:f>
        <x:v>215.20000000000002</x:v>
      </x:c>
      <x:c r="O3703" s="9" t="n">
        <x:f>M3703-N3703</x:f>
        <x:v>860.8</x:v>
      </x:c>
      <x:c r="P3703" s="9" t="n">
        <x:f>IF(D3703="Completed",L3703*J3703*(1-K3703),0)</x:f>
        <x:v>215.20000000000002</x:v>
      </x:c>
      <x:c r="Q3703" s="9" t="n">
        <x:f>O3703-P3703</x:f>
        <x:v>645.5999999999999</x:v>
      </x:c>
      <x:c r="R3703" s="11" t="n">
        <x:f>IF(D3703="Completed",I3703,0)</x:f>
        <x:v>4</x:v>
      </x:c>
      <x:c r="S3703" s="11" t="n">
        <x:f>IF(D3703="Completed",L3703,0)</x:f>
        <x:v>1</x:v>
      </x:c>
      <x:c r="T3703" s="8" t="n">
        <x:f>DATE(YEAR(C3703),MONTH(C3703),1)</x:f>
        <x:v>45658</x:v>
      </x:c>
    </x:row>
    <x:row r="3704" ht="22" customHeight="1">
      <x:c r="A3704" s="2" t="str">
        <x:v>L003700</x:v>
      </x:c>
      <x:c r="B3704" s="2" t="str">
        <x:v>O01510</x:v>
      </x:c>
      <x:c r="C3704" s="7" t="n">
        <x:v>45980</x:v>
      </x:c>
      <x:c r="D3704" s="2" t="str">
        <x:v>Completed</x:v>
      </x:c>
      <x:c r="E3704" s="2" t="str">
        <x:v>West</x:v>
      </x:c>
      <x:c r="F3704" s="2" t="str">
        <x:v>Store</x:v>
      </x:c>
      <x:c r="G3704" s="2" t="str">
        <x:v>Furniture</x:v>
      </x:c>
      <x:c r="H3704" s="2" t="str">
        <x:v>Desk 008</x:v>
      </x:c>
      <x:c r="I3704" s="11" t="n">
        <x:v>3</x:v>
      </x:c>
      <x:c r="J3704" s="9" t="n">
        <x:v>188</x:v>
      </x:c>
      <x:c r="K3704" s="10" t="n">
        <x:v>0.2</x:v>
      </x:c>
      <x:c r="L3704" s="11" t="n">
        <x:v>1</x:v>
      </x:c>
      <x:c r="M3704" s="9" t="n">
        <x:f>IF(D3704="Completed",I3704*J3704,0)</x:f>
        <x:v>564</x:v>
      </x:c>
      <x:c r="N3704" s="9" t="n">
        <x:f>M3704*K3704</x:f>
        <x:v>112.80000000000001</x:v>
      </x:c>
      <x:c r="O3704" s="9" t="n">
        <x:f>M3704-N3704</x:f>
        <x:v>451.2</x:v>
      </x:c>
      <x:c r="P3704" s="9" t="n">
        <x:f>IF(D3704="Completed",L3704*J3704*(1-K3704),0)</x:f>
        <x:v>150.4</x:v>
      </x:c>
      <x:c r="Q3704" s="9" t="n">
        <x:f>O3704-P3704</x:f>
        <x:v>300.79999999999995</x:v>
      </x:c>
      <x:c r="R3704" s="11" t="n">
        <x:f>IF(D3704="Completed",I3704,0)</x:f>
        <x:v>3</x:v>
      </x:c>
      <x:c r="S3704" s="11" t="n">
        <x:f>IF(D3704="Completed",L3704,0)</x:f>
        <x:v>1</x:v>
      </x:c>
      <x:c r="T3704" s="8" t="n">
        <x:f>DATE(YEAR(C3704),MONTH(C3704),1)</x:f>
        <x:v>45962</x:v>
      </x:c>
    </x:row>
    <x:row r="3705" ht="22" customHeight="1">
      <x:c r="A3705" s="2" t="str">
        <x:v>L003701</x:v>
      </x:c>
      <x:c r="B3705" s="2" t="str">
        <x:v>O01510</x:v>
      </x:c>
      <x:c r="C3705" s="7" t="n">
        <x:v>45980</x:v>
      </x:c>
      <x:c r="D3705" s="2" t="str">
        <x:v>Completed</x:v>
      </x:c>
      <x:c r="E3705" s="2" t="str">
        <x:v>West</x:v>
      </x:c>
      <x:c r="F3705" s="2" t="str">
        <x:v>Store</x:v>
      </x:c>
      <x:c r="G3705" s="2" t="str">
        <x:v>Furniture</x:v>
      </x:c>
      <x:c r="H3705" s="2" t="str">
        <x:v>Desk 008</x:v>
      </x:c>
      <x:c r="I3705" s="11" t="n">
        <x:v>4</x:v>
      </x:c>
      <x:c r="J3705" s="9" t="n">
        <x:v>188</x:v>
      </x:c>
      <x:c r="K3705" s="10" t="n">
        <x:v>0.05</x:v>
      </x:c>
      <x:c r="L3705" s="11" t="n">
        <x:v>0</x:v>
      </x:c>
      <x:c r="M3705" s="9" t="n">
        <x:f>IF(D3705="Completed",I3705*J3705,0)</x:f>
        <x:v>752</x:v>
      </x:c>
      <x:c r="N3705" s="9" t="n">
        <x:f>M3705*K3705</x:f>
        <x:v>37.6</x:v>
      </x:c>
      <x:c r="O3705" s="9" t="n">
        <x:f>M3705-N3705</x:f>
        <x:v>714.4</x:v>
      </x:c>
      <x:c r="P3705" s="9" t="n">
        <x:f>IF(D3705="Completed",L3705*J3705*(1-K3705),0)</x:f>
        <x:v>0</x:v>
      </x:c>
      <x:c r="Q3705" s="9" t="n">
        <x:f>O3705-P3705</x:f>
        <x:v>714.4</x:v>
      </x:c>
      <x:c r="R3705" s="11" t="n">
        <x:f>IF(D3705="Completed",I3705,0)</x:f>
        <x:v>4</x:v>
      </x:c>
      <x:c r="S3705" s="11" t="n">
        <x:f>IF(D3705="Completed",L3705,0)</x:f>
        <x:v>0</x:v>
      </x:c>
      <x:c r="T3705" s="8" t="n">
        <x:f>DATE(YEAR(C3705),MONTH(C3705),1)</x:f>
        <x:v>45962</x:v>
      </x:c>
    </x:row>
    <x:row r="3706" ht="22" customHeight="1">
      <x:c r="A3706" s="2" t="str">
        <x:v>L003702</x:v>
      </x:c>
      <x:c r="B3706" s="2" t="str">
        <x:v>O01510</x:v>
      </x:c>
      <x:c r="C3706" s="7" t="n">
        <x:v>45980</x:v>
      </x:c>
      <x:c r="D3706" s="2" t="str">
        <x:v>Completed</x:v>
      </x:c>
      <x:c r="E3706" s="2" t="str">
        <x:v>West</x:v>
      </x:c>
      <x:c r="F3706" s="2" t="str">
        <x:v>Store</x:v>
      </x:c>
      <x:c r="G3706" s="2" t="str">
        <x:v>Lighting</x:v>
      </x:c>
      <x:c r="H3706" s="2" t="str">
        <x:v>Lamp 005</x:v>
      </x:c>
      <x:c r="I3706" s="11" t="n">
        <x:v>3</x:v>
      </x:c>
      <x:c r="J3706" s="9" t="n">
        <x:v>65</x:v>
      </x:c>
      <x:c r="K3706" s="10" t="n">
        <x:v>0</x:v>
      </x:c>
      <x:c r="L3706" s="11" t="n">
        <x:v>0</x:v>
      </x:c>
      <x:c r="M3706" s="9" t="n">
        <x:f>IF(D3706="Completed",I3706*J3706,0)</x:f>
        <x:v>195</x:v>
      </x:c>
      <x:c r="N3706" s="9" t="n">
        <x:f>M3706*K3706</x:f>
        <x:v>0</x:v>
      </x:c>
      <x:c r="O3706" s="9" t="n">
        <x:f>M3706-N3706</x:f>
        <x:v>195</x:v>
      </x:c>
      <x:c r="P3706" s="9" t="n">
        <x:f>IF(D3706="Completed",L3706*J3706*(1-K3706),0)</x:f>
        <x:v>0</x:v>
      </x:c>
      <x:c r="Q3706" s="9" t="n">
        <x:f>O3706-P3706</x:f>
        <x:v>195</x:v>
      </x:c>
      <x:c r="R3706" s="11" t="n">
        <x:f>IF(D3706="Completed",I3706,0)</x:f>
        <x:v>3</x:v>
      </x:c>
      <x:c r="S3706" s="11" t="n">
        <x:f>IF(D3706="Completed",L3706,0)</x:f>
        <x:v>0</x:v>
      </x:c>
      <x:c r="T3706" s="8" t="n">
        <x:f>DATE(YEAR(C3706),MONTH(C3706),1)</x:f>
        <x:v>45962</x:v>
      </x:c>
    </x:row>
    <x:row r="3707" ht="22" customHeight="1">
      <x:c r="A3707" s="2" t="str">
        <x:v>L003703</x:v>
      </x:c>
      <x:c r="B3707" s="2" t="str">
        <x:v>O01510</x:v>
      </x:c>
      <x:c r="C3707" s="7" t="n">
        <x:v>45980</x:v>
      </x:c>
      <x:c r="D3707" s="2" t="str">
        <x:v>Completed</x:v>
      </x:c>
      <x:c r="E3707" s="2" t="str">
        <x:v>West</x:v>
      </x:c>
      <x:c r="F3707" s="2" t="str">
        <x:v>Store</x:v>
      </x:c>
      <x:c r="G3707" s="2" t="str">
        <x:v>Lighting</x:v>
      </x:c>
      <x:c r="H3707" s="2" t="str">
        <x:v>Lamp 005</x:v>
      </x:c>
      <x:c r="I3707" s="11" t="n">
        <x:v>5</x:v>
      </x:c>
      <x:c r="J3707" s="9" t="n">
        <x:v>65</x:v>
      </x:c>
      <x:c r="K3707" s="10" t="n">
        <x:v>0.05</x:v>
      </x:c>
      <x:c r="L3707" s="11" t="n">
        <x:v>0</x:v>
      </x:c>
      <x:c r="M3707" s="9" t="n">
        <x:f>IF(D3707="Completed",I3707*J3707,0)</x:f>
        <x:v>325</x:v>
      </x:c>
      <x:c r="N3707" s="9" t="n">
        <x:f>M3707*K3707</x:f>
        <x:v>16.25</x:v>
      </x:c>
      <x:c r="O3707" s="9" t="n">
        <x:f>M3707-N3707</x:f>
        <x:v>308.75</x:v>
      </x:c>
      <x:c r="P3707" s="9" t="n">
        <x:f>IF(D3707="Completed",L3707*J3707*(1-K3707),0)</x:f>
        <x:v>0</x:v>
      </x:c>
      <x:c r="Q3707" s="9" t="n">
        <x:f>O3707-P3707</x:f>
        <x:v>308.75</x:v>
      </x:c>
      <x:c r="R3707" s="11" t="n">
        <x:f>IF(D3707="Completed",I3707,0)</x:f>
        <x:v>5</x:v>
      </x:c>
      <x:c r="S3707" s="11" t="n">
        <x:f>IF(D3707="Completed",L3707,0)</x:f>
        <x:v>0</x:v>
      </x:c>
      <x:c r="T3707" s="8" t="n">
        <x:f>DATE(YEAR(C3707),MONTH(C3707),1)</x:f>
        <x:v>45962</x:v>
      </x:c>
    </x:row>
    <x:row r="3708" ht="22" customHeight="1">
      <x:c r="A3708" s="2" t="str">
        <x:v>L003704</x:v>
      </x:c>
      <x:c r="B3708" s="2" t="str">
        <x:v>O01511</x:v>
      </x:c>
      <x:c r="C3708" s="7" t="n">
        <x:v>45843</x:v>
      </x:c>
      <x:c r="D3708" s="2" t="str">
        <x:v>Completed</x:v>
      </x:c>
      <x:c r="E3708" s="2" t="str">
        <x:v>West</x:v>
      </x:c>
      <x:c r="F3708" s="2" t="str">
        <x:v>Online</x:v>
      </x:c>
      <x:c r="G3708" s="2" t="str">
        <x:v>Lighting</x:v>
      </x:c>
      <x:c r="H3708" s="2" t="str">
        <x:v>Lamp 005</x:v>
      </x:c>
      <x:c r="I3708" s="11" t="n">
        <x:v>4</x:v>
      </x:c>
      <x:c r="J3708" s="9" t="n">
        <x:v>65</x:v>
      </x:c>
      <x:c r="K3708" s="10" t="n">
        <x:v>0.1</x:v>
      </x:c>
      <x:c r="L3708" s="11" t="n">
        <x:v>1</x:v>
      </x:c>
      <x:c r="M3708" s="9" t="n">
        <x:f>IF(D3708="Completed",I3708*J3708,0)</x:f>
        <x:v>260</x:v>
      </x:c>
      <x:c r="N3708" s="9" t="n">
        <x:f>M3708*K3708</x:f>
        <x:v>26</x:v>
      </x:c>
      <x:c r="O3708" s="9" t="n">
        <x:f>M3708-N3708</x:f>
        <x:v>234</x:v>
      </x:c>
      <x:c r="P3708" s="9" t="n">
        <x:f>IF(D3708="Completed",L3708*J3708*(1-K3708),0)</x:f>
        <x:v>58.5</x:v>
      </x:c>
      <x:c r="Q3708" s="9" t="n">
        <x:f>O3708-P3708</x:f>
        <x:v>175.5</x:v>
      </x:c>
      <x:c r="R3708" s="11" t="n">
        <x:f>IF(D3708="Completed",I3708,0)</x:f>
        <x:v>4</x:v>
      </x:c>
      <x:c r="S3708" s="11" t="n">
        <x:f>IF(D3708="Completed",L3708,0)</x:f>
        <x:v>1</x:v>
      </x:c>
      <x:c r="T3708" s="8" t="n">
        <x:f>DATE(YEAR(C3708),MONTH(C3708),1)</x:f>
        <x:v>45839</x:v>
      </x:c>
    </x:row>
    <x:row r="3709" ht="22" customHeight="1">
      <x:c r="A3709" s="2" t="str">
        <x:v>L003705</x:v>
      </x:c>
      <x:c r="B3709" s="2" t="str">
        <x:v>O01512</x:v>
      </x:c>
      <x:c r="C3709" s="7" t="n">
        <x:v>45694</x:v>
      </x:c>
      <x:c r="D3709" s="2" t="str">
        <x:v>Completed</x:v>
      </x:c>
      <x:c r="E3709" s="2" t="str">
        <x:v>South</x:v>
      </x:c>
      <x:c r="F3709" s="2" t="str">
        <x:v>Store</x:v>
      </x:c>
      <x:c r="G3709" s="2" t="str">
        <x:v>Furniture</x:v>
      </x:c>
      <x:c r="H3709" s="2" t="str">
        <x:v>Chair 014</x:v>
      </x:c>
      <x:c r="I3709" s="11" t="n">
        <x:v>2</x:v>
      </x:c>
      <x:c r="J3709" s="9" t="n">
        <x:v>294</x:v>
      </x:c>
      <x:c r="K3709" s="10" t="n">
        <x:v>0.1</x:v>
      </x:c>
      <x:c r="L3709" s="11" t="n">
        <x:v>0</x:v>
      </x:c>
      <x:c r="M3709" s="9" t="n">
        <x:f>IF(D3709="Completed",I3709*J3709,0)</x:f>
        <x:v>588</x:v>
      </x:c>
      <x:c r="N3709" s="9" t="n">
        <x:f>M3709*K3709</x:f>
        <x:v>58.800000000000004</x:v>
      </x:c>
      <x:c r="O3709" s="9" t="n">
        <x:f>M3709-N3709</x:f>
        <x:v>529.2</x:v>
      </x:c>
      <x:c r="P3709" s="9" t="n">
        <x:f>IF(D3709="Completed",L3709*J3709*(1-K3709),0)</x:f>
        <x:v>0</x:v>
      </x:c>
      <x:c r="Q3709" s="9" t="n">
        <x:f>O3709-P3709</x:f>
        <x:v>529.2</x:v>
      </x:c>
      <x:c r="R3709" s="11" t="n">
        <x:f>IF(D3709="Completed",I3709,0)</x:f>
        <x:v>2</x:v>
      </x:c>
      <x:c r="S3709" s="11" t="n">
        <x:f>IF(D3709="Completed",L3709,0)</x:f>
        <x:v>0</x:v>
      </x:c>
      <x:c r="T3709" s="8" t="n">
        <x:f>DATE(YEAR(C3709),MONTH(C3709),1)</x:f>
        <x:v>45689</x:v>
      </x:c>
    </x:row>
    <x:row r="3710" ht="22" customHeight="1">
      <x:c r="A3710" s="2" t="str">
        <x:v>L003706</x:v>
      </x:c>
      <x:c r="B3710" s="2" t="str">
        <x:v>O01512</x:v>
      </x:c>
      <x:c r="C3710" s="7" t="n">
        <x:v>45694</x:v>
      </x:c>
      <x:c r="D3710" s="2" t="str">
        <x:v>Completed</x:v>
      </x:c>
      <x:c r="E3710" s="2" t="str">
        <x:v>South</x:v>
      </x:c>
      <x:c r="F3710" s="2" t="str">
        <x:v>Store</x:v>
      </x:c>
      <x:c r="G3710" s="2" t="str">
        <x:v>Storage</x:v>
      </x:c>
      <x:c r="H3710" s="2" t="str">
        <x:v>Shelf 023</x:v>
      </x:c>
      <x:c r="I3710" s="11" t="n">
        <x:v>4</x:v>
      </x:c>
      <x:c r="J3710" s="9" t="n">
        <x:v>68</x:v>
      </x:c>
      <x:c r="K3710" s="10" t="n">
        <x:v>0.1</x:v>
      </x:c>
      <x:c r="L3710" s="11" t="n">
        <x:v>0</x:v>
      </x:c>
      <x:c r="M3710" s="9" t="n">
        <x:f>IF(D3710="Completed",I3710*J3710,0)</x:f>
        <x:v>272</x:v>
      </x:c>
      <x:c r="N3710" s="9" t="n">
        <x:f>M3710*K3710</x:f>
        <x:v>27.200000000000003</x:v>
      </x:c>
      <x:c r="O3710" s="9" t="n">
        <x:f>M3710-N3710</x:f>
        <x:v>244.8</x:v>
      </x:c>
      <x:c r="P3710" s="9" t="n">
        <x:f>IF(D3710="Completed",L3710*J3710*(1-K3710),0)</x:f>
        <x:v>0</x:v>
      </x:c>
      <x:c r="Q3710" s="9" t="n">
        <x:f>O3710-P3710</x:f>
        <x:v>244.8</x:v>
      </x:c>
      <x:c r="R3710" s="11" t="n">
        <x:f>IF(D3710="Completed",I3710,0)</x:f>
        <x:v>4</x:v>
      </x:c>
      <x:c r="S3710" s="11" t="n">
        <x:f>IF(D3710="Completed",L3710,0)</x:f>
        <x:v>0</x:v>
      </x:c>
      <x:c r="T3710" s="8" t="n">
        <x:f>DATE(YEAR(C3710),MONTH(C3710),1)</x:f>
        <x:v>45689</x:v>
      </x:c>
    </x:row>
    <x:row r="3711" ht="22" customHeight="1">
      <x:c r="A3711" s="2" t="str">
        <x:v>L003707</x:v>
      </x:c>
      <x:c r="B3711" s="2" t="str">
        <x:v>O01513</x:v>
      </x:c>
      <x:c r="C3711" s="7" t="n">
        <x:v>45682</x:v>
      </x:c>
      <x:c r="D3711" s="2" t="str">
        <x:v>Completed</x:v>
      </x:c>
      <x:c r="E3711" s="2" t="str">
        <x:v>East</x:v>
      </x:c>
      <x:c r="F3711" s="2" t="str">
        <x:v>Online</x:v>
      </x:c>
      <x:c r="G3711" s="2" t="str">
        <x:v>Furniture</x:v>
      </x:c>
      <x:c r="H3711" s="2" t="str">
        <x:v>Desk 012</x:v>
      </x:c>
      <x:c r="I3711" s="11" t="n">
        <x:v>2</x:v>
      </x:c>
      <x:c r="J3711" s="9" t="n">
        <x:v>134</x:v>
      </x:c>
      <x:c r="K3711" s="10" t="n">
        <x:v>0.2</x:v>
      </x:c>
      <x:c r="L3711" s="11" t="n">
        <x:v>0</x:v>
      </x:c>
      <x:c r="M3711" s="9" t="n">
        <x:f>IF(D3711="Completed",I3711*J3711,0)</x:f>
        <x:v>268</x:v>
      </x:c>
      <x:c r="N3711" s="9" t="n">
        <x:f>M3711*K3711</x:f>
        <x:v>53.6</x:v>
      </x:c>
      <x:c r="O3711" s="9" t="n">
        <x:f>M3711-N3711</x:f>
        <x:v>214.4</x:v>
      </x:c>
      <x:c r="P3711" s="9" t="n">
        <x:f>IF(D3711="Completed",L3711*J3711*(1-K3711),0)</x:f>
        <x:v>0</x:v>
      </x:c>
      <x:c r="Q3711" s="9" t="n">
        <x:f>O3711-P3711</x:f>
        <x:v>214.4</x:v>
      </x:c>
      <x:c r="R3711" s="11" t="n">
        <x:f>IF(D3711="Completed",I3711,0)</x:f>
        <x:v>2</x:v>
      </x:c>
      <x:c r="S3711" s="11" t="n">
        <x:f>IF(D3711="Completed",L3711,0)</x:f>
        <x:v>0</x:v>
      </x:c>
      <x:c r="T3711" s="8" t="n">
        <x:f>DATE(YEAR(C3711),MONTH(C3711),1)</x:f>
        <x:v>45658</x:v>
      </x:c>
    </x:row>
    <x:row r="3712" ht="22" customHeight="1">
      <x:c r="A3712" s="2" t="str">
        <x:v>L003708</x:v>
      </x:c>
      <x:c r="B3712" s="2" t="str">
        <x:v>O01513</x:v>
      </x:c>
      <x:c r="C3712" s="7" t="n">
        <x:v>45682</x:v>
      </x:c>
      <x:c r="D3712" s="2" t="str">
        <x:v>Completed</x:v>
      </x:c>
      <x:c r="E3712" s="2" t="str">
        <x:v>East</x:v>
      </x:c>
      <x:c r="F3712" s="2" t="str">
        <x:v>Online</x:v>
      </x:c>
      <x:c r="G3712" s="2" t="str">
        <x:v>Furniture</x:v>
      </x:c>
      <x:c r="H3712" s="2" t="str">
        <x:v>Chair 010</x:v>
      </x:c>
      <x:c r="I3712" s="11" t="n">
        <x:v>1</x:v>
      </x:c>
      <x:c r="J3712" s="9" t="n">
        <x:v>211</x:v>
      </x:c>
      <x:c r="K3712" s="10" t="n">
        <x:v>0.05</x:v>
      </x:c>
      <x:c r="L3712" s="11" t="n">
        <x:v>0</x:v>
      </x:c>
      <x:c r="M3712" s="9" t="n">
        <x:f>IF(D3712="Completed",I3712*J3712,0)</x:f>
        <x:v>211</x:v>
      </x:c>
      <x:c r="N3712" s="9" t="n">
        <x:f>M3712*K3712</x:f>
        <x:v>10.55</x:v>
      </x:c>
      <x:c r="O3712" s="9" t="n">
        <x:f>M3712-N3712</x:f>
        <x:v>200.45</x:v>
      </x:c>
      <x:c r="P3712" s="9" t="n">
        <x:f>IF(D3712="Completed",L3712*J3712*(1-K3712),0)</x:f>
        <x:v>0</x:v>
      </x:c>
      <x:c r="Q3712" s="9" t="n">
        <x:f>O3712-P3712</x:f>
        <x:v>200.45</x:v>
      </x:c>
      <x:c r="R3712" s="11" t="n">
        <x:f>IF(D3712="Completed",I3712,0)</x:f>
        <x:v>1</x:v>
      </x:c>
      <x:c r="S3712" s="11" t="n">
        <x:f>IF(D3712="Completed",L3712,0)</x:f>
        <x:v>0</x:v>
      </x:c>
      <x:c r="T3712" s="8" t="n">
        <x:f>DATE(YEAR(C3712),MONTH(C3712),1)</x:f>
        <x:v>45658</x:v>
      </x:c>
    </x:row>
    <x:row r="3713" ht="22" customHeight="1">
      <x:c r="A3713" s="2" t="str">
        <x:v>L003709</x:v>
      </x:c>
      <x:c r="B3713" s="2" t="str">
        <x:v>O01513</x:v>
      </x:c>
      <x:c r="C3713" s="7" t="n">
        <x:v>45682</x:v>
      </x:c>
      <x:c r="D3713" s="2" t="str">
        <x:v>Completed</x:v>
      </x:c>
      <x:c r="E3713" s="2" t="str">
        <x:v>East</x:v>
      </x:c>
      <x:c r="F3713" s="2" t="str">
        <x:v>Online</x:v>
      </x:c>
      <x:c r="G3713" s="2" t="str">
        <x:v>Furniture</x:v>
      </x:c>
      <x:c r="H3713" s="2" t="str">
        <x:v>Desk 020</x:v>
      </x:c>
      <x:c r="I3713" s="11" t="n">
        <x:v>1</x:v>
      </x:c>
      <x:c r="J3713" s="9" t="n">
        <x:v>189</x:v>
      </x:c>
      <x:c r="K3713" s="10" t="n">
        <x:v>0.2</x:v>
      </x:c>
      <x:c r="L3713" s="11" t="n">
        <x:v>0</x:v>
      </x:c>
      <x:c r="M3713" s="9" t="n">
        <x:f>IF(D3713="Completed",I3713*J3713,0)</x:f>
        <x:v>189</x:v>
      </x:c>
      <x:c r="N3713" s="9" t="n">
        <x:f>M3713*K3713</x:f>
        <x:v>37.800000000000004</x:v>
      </x:c>
      <x:c r="O3713" s="9" t="n">
        <x:f>M3713-N3713</x:f>
        <x:v>151.2</x:v>
      </x:c>
      <x:c r="P3713" s="9" t="n">
        <x:f>IF(D3713="Completed",L3713*J3713*(1-K3713),0)</x:f>
        <x:v>0</x:v>
      </x:c>
      <x:c r="Q3713" s="9" t="n">
        <x:f>O3713-P3713</x:f>
        <x:v>151.2</x:v>
      </x:c>
      <x:c r="R3713" s="11" t="n">
        <x:f>IF(D3713="Completed",I3713,0)</x:f>
        <x:v>1</x:v>
      </x:c>
      <x:c r="S3713" s="11" t="n">
        <x:f>IF(D3713="Completed",L3713,0)</x:f>
        <x:v>0</x:v>
      </x:c>
      <x:c r="T3713" s="8" t="n">
        <x:f>DATE(YEAR(C3713),MONTH(C3713),1)</x:f>
        <x:v>45658</x:v>
      </x:c>
    </x:row>
    <x:row r="3714" ht="22" customHeight="1">
      <x:c r="A3714" s="2" t="str">
        <x:v>L003710</x:v>
      </x:c>
      <x:c r="B3714" s="2" t="str">
        <x:v>O01513</x:v>
      </x:c>
      <x:c r="C3714" s="7" t="n">
        <x:v>45682</x:v>
      </x:c>
      <x:c r="D3714" s="2" t="str">
        <x:v>Completed</x:v>
      </x:c>
      <x:c r="E3714" s="2" t="str">
        <x:v>East</x:v>
      </x:c>
      <x:c r="F3714" s="2" t="str">
        <x:v>Online</x:v>
      </x:c>
      <x:c r="G3714" s="2" t="str">
        <x:v>Lighting</x:v>
      </x:c>
      <x:c r="H3714" s="2" t="str">
        <x:v>Lamp 005</x:v>
      </x:c>
      <x:c r="I3714" s="11" t="n">
        <x:v>4</x:v>
      </x:c>
      <x:c r="J3714" s="9" t="n">
        <x:v>65</x:v>
      </x:c>
      <x:c r="K3714" s="10" t="n">
        <x:v>0</x:v>
      </x:c>
      <x:c r="L3714" s="11" t="n">
        <x:v>0</x:v>
      </x:c>
      <x:c r="M3714" s="9" t="n">
        <x:f>IF(D3714="Completed",I3714*J3714,0)</x:f>
        <x:v>260</x:v>
      </x:c>
      <x:c r="N3714" s="9" t="n">
        <x:f>M3714*K3714</x:f>
        <x:v>0</x:v>
      </x:c>
      <x:c r="O3714" s="9" t="n">
        <x:f>M3714-N3714</x:f>
        <x:v>260</x:v>
      </x:c>
      <x:c r="P3714" s="9" t="n">
        <x:f>IF(D3714="Completed",L3714*J3714*(1-K3714),0)</x:f>
        <x:v>0</x:v>
      </x:c>
      <x:c r="Q3714" s="9" t="n">
        <x:f>O3714-P3714</x:f>
        <x:v>260</x:v>
      </x:c>
      <x:c r="R3714" s="11" t="n">
        <x:f>IF(D3714="Completed",I3714,0)</x:f>
        <x:v>4</x:v>
      </x:c>
      <x:c r="S3714" s="11" t="n">
        <x:f>IF(D3714="Completed",L3714,0)</x:f>
        <x:v>0</x:v>
      </x:c>
      <x:c r="T3714" s="8" t="n">
        <x:f>DATE(YEAR(C3714),MONTH(C3714),1)</x:f>
        <x:v>45658</x:v>
      </x:c>
    </x:row>
    <x:row r="3715" ht="22" customHeight="1">
      <x:c r="A3715" s="2" t="str">
        <x:v>L003711</x:v>
      </x:c>
      <x:c r="B3715" s="2" t="str">
        <x:v>O01514</x:v>
      </x:c>
      <x:c r="C3715" s="7" t="n">
        <x:v>45753</x:v>
      </x:c>
      <x:c r="D3715" s="2" t="str">
        <x:v>Completed</x:v>
      </x:c>
      <x:c r="E3715" s="2" t="str">
        <x:v>North</x:v>
      </x:c>
      <x:c r="F3715" s="2" t="str">
        <x:v>Store</x:v>
      </x:c>
      <x:c r="G3715" s="2" t="str">
        <x:v>Storage</x:v>
      </x:c>
      <x:c r="H3715" s="2" t="str">
        <x:v>Shelf 007</x:v>
      </x:c>
      <x:c r="I3715" s="11" t="n">
        <x:v>4</x:v>
      </x:c>
      <x:c r="J3715" s="9" t="n">
        <x:v>35</x:v>
      </x:c>
      <x:c r="K3715" s="10" t="n">
        <x:v>0.2</x:v>
      </x:c>
      <x:c r="L3715" s="11" t="n">
        <x:v>0</x:v>
      </x:c>
      <x:c r="M3715" s="9" t="n">
        <x:f>IF(D3715="Completed",I3715*J3715,0)</x:f>
        <x:v>140</x:v>
      </x:c>
      <x:c r="N3715" s="9" t="n">
        <x:f>M3715*K3715</x:f>
        <x:v>28</x:v>
      </x:c>
      <x:c r="O3715" s="9" t="n">
        <x:f>M3715-N3715</x:f>
        <x:v>112</x:v>
      </x:c>
      <x:c r="P3715" s="9" t="n">
        <x:f>IF(D3715="Completed",L3715*J3715*(1-K3715),0)</x:f>
        <x:v>0</x:v>
      </x:c>
      <x:c r="Q3715" s="9" t="n">
        <x:f>O3715-P3715</x:f>
        <x:v>112</x:v>
      </x:c>
      <x:c r="R3715" s="11" t="n">
        <x:f>IF(D3715="Completed",I3715,0)</x:f>
        <x:v>4</x:v>
      </x:c>
      <x:c r="S3715" s="11" t="n">
        <x:f>IF(D3715="Completed",L3715,0)</x:f>
        <x:v>0</x:v>
      </x:c>
      <x:c r="T3715" s="8" t="n">
        <x:f>DATE(YEAR(C3715),MONTH(C3715),1)</x:f>
        <x:v>45748</x:v>
      </x:c>
    </x:row>
    <x:row r="3716" ht="22" customHeight="1">
      <x:c r="A3716" s="2" t="str">
        <x:v>L003712</x:v>
      </x:c>
      <x:c r="B3716" s="2" t="str">
        <x:v>O01514</x:v>
      </x:c>
      <x:c r="C3716" s="7" t="n">
        <x:v>45753</x:v>
      </x:c>
      <x:c r="D3716" s="2" t="str">
        <x:v>Completed</x:v>
      </x:c>
      <x:c r="E3716" s="2" t="str">
        <x:v>North</x:v>
      </x:c>
      <x:c r="F3716" s="2" t="str">
        <x:v>Store</x:v>
      </x:c>
      <x:c r="G3716" s="2" t="str">
        <x:v>Furniture</x:v>
      </x:c>
      <x:c r="H3716" s="2" t="str">
        <x:v>Desk 020</x:v>
      </x:c>
      <x:c r="I3716" s="11" t="n">
        <x:v>2</x:v>
      </x:c>
      <x:c r="J3716" s="9" t="n">
        <x:v>189</x:v>
      </x:c>
      <x:c r="K3716" s="10" t="n">
        <x:v>0</x:v>
      </x:c>
      <x:c r="L3716" s="11" t="n">
        <x:v>0</x:v>
      </x:c>
      <x:c r="M3716" s="9" t="n">
        <x:f>IF(D3716="Completed",I3716*J3716,0)</x:f>
        <x:v>378</x:v>
      </x:c>
      <x:c r="N3716" s="9" t="n">
        <x:f>M3716*K3716</x:f>
        <x:v>0</x:v>
      </x:c>
      <x:c r="O3716" s="9" t="n">
        <x:f>M3716-N3716</x:f>
        <x:v>378</x:v>
      </x:c>
      <x:c r="P3716" s="9" t="n">
        <x:f>IF(D3716="Completed",L3716*J3716*(1-K3716),0)</x:f>
        <x:v>0</x:v>
      </x:c>
      <x:c r="Q3716" s="9" t="n">
        <x:f>O3716-P3716</x:f>
        <x:v>378</x:v>
      </x:c>
      <x:c r="R3716" s="11" t="n">
        <x:f>IF(D3716="Completed",I3716,0)</x:f>
        <x:v>2</x:v>
      </x:c>
      <x:c r="S3716" s="11" t="n">
        <x:f>IF(D3716="Completed",L3716,0)</x:f>
        <x:v>0</x:v>
      </x:c>
      <x:c r="T3716" s="8" t="n">
        <x:f>DATE(YEAR(C3716),MONTH(C3716),1)</x:f>
        <x:v>45748</x:v>
      </x:c>
    </x:row>
    <x:row r="3717" ht="22" customHeight="1">
      <x:c r="A3717" s="2" t="str">
        <x:v>L003713</x:v>
      </x:c>
      <x:c r="B3717" s="2" t="str">
        <x:v>O01515</x:v>
      </x:c>
      <x:c r="C3717" s="7" t="n">
        <x:v>45661</x:v>
      </x:c>
      <x:c r="D3717" s="2" t="str">
        <x:v>Completed</x:v>
      </x:c>
      <x:c r="E3717" s="2" t="str">
        <x:v>West</x:v>
      </x:c>
      <x:c r="F3717" s="2" t="str">
        <x:v>Online</x:v>
      </x:c>
      <x:c r="G3717" s="2" t="str">
        <x:v>Furniture</x:v>
      </x:c>
      <x:c r="H3717" s="2" t="str">
        <x:v>Chair 006</x:v>
      </x:c>
      <x:c r="I3717" s="11" t="n">
        <x:v>5</x:v>
      </x:c>
      <x:c r="J3717" s="9" t="n">
        <x:v>196</x:v>
      </x:c>
      <x:c r="K3717" s="10" t="n">
        <x:v>0.1</x:v>
      </x:c>
      <x:c r="L3717" s="11" t="n">
        <x:v>2</x:v>
      </x:c>
      <x:c r="M3717" s="9" t="n">
        <x:f>IF(D3717="Completed",I3717*J3717,0)</x:f>
        <x:v>980</x:v>
      </x:c>
      <x:c r="N3717" s="9" t="n">
        <x:f>M3717*K3717</x:f>
        <x:v>98</x:v>
      </x:c>
      <x:c r="O3717" s="9" t="n">
        <x:f>M3717-N3717</x:f>
        <x:v>882</x:v>
      </x:c>
      <x:c r="P3717" s="9" t="n">
        <x:f>IF(D3717="Completed",L3717*J3717*(1-K3717),0)</x:f>
        <x:v>352.8</x:v>
      </x:c>
      <x:c r="Q3717" s="9" t="n">
        <x:f>O3717-P3717</x:f>
        <x:v>529.2</x:v>
      </x:c>
      <x:c r="R3717" s="11" t="n">
        <x:f>IF(D3717="Completed",I3717,0)</x:f>
        <x:v>5</x:v>
      </x:c>
      <x:c r="S3717" s="11" t="n">
        <x:f>IF(D3717="Completed",L3717,0)</x:f>
        <x:v>2</x:v>
      </x:c>
      <x:c r="T3717" s="8" t="n">
        <x:f>DATE(YEAR(C3717),MONTH(C3717),1)</x:f>
        <x:v>45658</x:v>
      </x:c>
    </x:row>
    <x:row r="3718" ht="22" customHeight="1">
      <x:c r="A3718" s="2" t="str">
        <x:v>L003714</x:v>
      </x:c>
      <x:c r="B3718" s="2" t="str">
        <x:v>O01515</x:v>
      </x:c>
      <x:c r="C3718" s="7" t="n">
        <x:v>45661</x:v>
      </x:c>
      <x:c r="D3718" s="2" t="str">
        <x:v>Completed</x:v>
      </x:c>
      <x:c r="E3718" s="2" t="str">
        <x:v>West</x:v>
      </x:c>
      <x:c r="F3718" s="2" t="str">
        <x:v>Online</x:v>
      </x:c>
      <x:c r="G3718" s="2" t="str">
        <x:v>Lighting</x:v>
      </x:c>
      <x:c r="H3718" s="2" t="str">
        <x:v>Lamp 009</x:v>
      </x:c>
      <x:c r="I3718" s="11" t="n">
        <x:v>2</x:v>
      </x:c>
      <x:c r="J3718" s="9" t="n">
        <x:v>93</x:v>
      </x:c>
      <x:c r="K3718" s="10" t="n">
        <x:v>0.2</x:v>
      </x:c>
      <x:c r="L3718" s="11" t="n">
        <x:v>0</x:v>
      </x:c>
      <x:c r="M3718" s="9" t="n">
        <x:f>IF(D3718="Completed",I3718*J3718,0)</x:f>
        <x:v>186</x:v>
      </x:c>
      <x:c r="N3718" s="9" t="n">
        <x:f>M3718*K3718</x:f>
        <x:v>37.2</x:v>
      </x:c>
      <x:c r="O3718" s="9" t="n">
        <x:f>M3718-N3718</x:f>
        <x:v>148.8</x:v>
      </x:c>
      <x:c r="P3718" s="9" t="n">
        <x:f>IF(D3718="Completed",L3718*J3718*(1-K3718),0)</x:f>
        <x:v>0</x:v>
      </x:c>
      <x:c r="Q3718" s="9" t="n">
        <x:f>O3718-P3718</x:f>
        <x:v>148.8</x:v>
      </x:c>
      <x:c r="R3718" s="11" t="n">
        <x:f>IF(D3718="Completed",I3718,0)</x:f>
        <x:v>2</x:v>
      </x:c>
      <x:c r="S3718" s="11" t="n">
        <x:f>IF(D3718="Completed",L3718,0)</x:f>
        <x:v>0</x:v>
      </x:c>
      <x:c r="T3718" s="8" t="n">
        <x:f>DATE(YEAR(C3718),MONTH(C3718),1)</x:f>
        <x:v>45658</x:v>
      </x:c>
    </x:row>
    <x:row r="3719" ht="22" customHeight="1">
      <x:c r="A3719" s="2" t="str">
        <x:v>L003715</x:v>
      </x:c>
      <x:c r="B3719" s="2" t="str">
        <x:v>O01515</x:v>
      </x:c>
      <x:c r="C3719" s="7" t="n">
        <x:v>45661</x:v>
      </x:c>
      <x:c r="D3719" s="2" t="str">
        <x:v>Completed</x:v>
      </x:c>
      <x:c r="E3719" s="2" t="str">
        <x:v>West</x:v>
      </x:c>
      <x:c r="F3719" s="2" t="str">
        <x:v>Online</x:v>
      </x:c>
      <x:c r="G3719" s="2" t="str">
        <x:v>Furniture</x:v>
      </x:c>
      <x:c r="H3719" s="2" t="str">
        <x:v>Desk 020</x:v>
      </x:c>
      <x:c r="I3719" s="11" t="n">
        <x:v>4</x:v>
      </x:c>
      <x:c r="J3719" s="9" t="n">
        <x:v>189</x:v>
      </x:c>
      <x:c r="K3719" s="10" t="n">
        <x:v>0.05</x:v>
      </x:c>
      <x:c r="L3719" s="11" t="n">
        <x:v>0</x:v>
      </x:c>
      <x:c r="M3719" s="9" t="n">
        <x:f>IF(D3719="Completed",I3719*J3719,0)</x:f>
        <x:v>756</x:v>
      </x:c>
      <x:c r="N3719" s="9" t="n">
        <x:f>M3719*K3719</x:f>
        <x:v>37.800000000000004</x:v>
      </x:c>
      <x:c r="O3719" s="9" t="n">
        <x:f>M3719-N3719</x:f>
        <x:v>718.2</x:v>
      </x:c>
      <x:c r="P3719" s="9" t="n">
        <x:f>IF(D3719="Completed",L3719*J3719*(1-K3719),0)</x:f>
        <x:v>0</x:v>
      </x:c>
      <x:c r="Q3719" s="9" t="n">
        <x:f>O3719-P3719</x:f>
        <x:v>718.2</x:v>
      </x:c>
      <x:c r="R3719" s="11" t="n">
        <x:f>IF(D3719="Completed",I3719,0)</x:f>
        <x:v>4</x:v>
      </x:c>
      <x:c r="S3719" s="11" t="n">
        <x:f>IF(D3719="Completed",L3719,0)</x:f>
        <x:v>0</x:v>
      </x:c>
      <x:c r="T3719" s="8" t="n">
        <x:f>DATE(YEAR(C3719),MONTH(C3719),1)</x:f>
        <x:v>45658</x:v>
      </x:c>
    </x:row>
    <x:row r="3720" ht="22" customHeight="1">
      <x:c r="A3720" s="2" t="str">
        <x:v>L003716</x:v>
      </x:c>
      <x:c r="B3720" s="2" t="str">
        <x:v>O01515</x:v>
      </x:c>
      <x:c r="C3720" s="7" t="n">
        <x:v>45661</x:v>
      </x:c>
      <x:c r="D3720" s="2" t="str">
        <x:v>Completed</x:v>
      </x:c>
      <x:c r="E3720" s="2" t="str">
        <x:v>West</x:v>
      </x:c>
      <x:c r="F3720" s="2" t="str">
        <x:v>Online</x:v>
      </x:c>
      <x:c r="G3720" s="2" t="str">
        <x:v>Storage</x:v>
      </x:c>
      <x:c r="H3720" s="2" t="str">
        <x:v>Shelf 007</x:v>
      </x:c>
      <x:c r="I3720" s="11" t="n">
        <x:v>2</x:v>
      </x:c>
      <x:c r="J3720" s="9" t="n">
        <x:v>35</x:v>
      </x:c>
      <x:c r="K3720" s="10" t="n">
        <x:v>0.2</x:v>
      </x:c>
      <x:c r="L3720" s="11" t="n">
        <x:v>0</x:v>
      </x:c>
      <x:c r="M3720" s="9" t="n">
        <x:f>IF(D3720="Completed",I3720*J3720,0)</x:f>
        <x:v>70</x:v>
      </x:c>
      <x:c r="N3720" s="9" t="n">
        <x:f>M3720*K3720</x:f>
        <x:v>14</x:v>
      </x:c>
      <x:c r="O3720" s="9" t="n">
        <x:f>M3720-N3720</x:f>
        <x:v>56</x:v>
      </x:c>
      <x:c r="P3720" s="9" t="n">
        <x:f>IF(D3720="Completed",L3720*J3720*(1-K3720),0)</x:f>
        <x:v>0</x:v>
      </x:c>
      <x:c r="Q3720" s="9" t="n">
        <x:f>O3720-P3720</x:f>
        <x:v>56</x:v>
      </x:c>
      <x:c r="R3720" s="11" t="n">
        <x:f>IF(D3720="Completed",I3720,0)</x:f>
        <x:v>2</x:v>
      </x:c>
      <x:c r="S3720" s="11" t="n">
        <x:f>IF(D3720="Completed",L3720,0)</x:f>
        <x:v>0</x:v>
      </x:c>
      <x:c r="T3720" s="8" t="n">
        <x:f>DATE(YEAR(C3720),MONTH(C3720),1)</x:f>
        <x:v>45658</x:v>
      </x:c>
    </x:row>
    <x:row r="3721" ht="22" customHeight="1">
      <x:c r="A3721" s="2" t="str">
        <x:v>L003717</x:v>
      </x:c>
      <x:c r="B3721" s="2" t="str">
        <x:v>O01516</x:v>
      </x:c>
      <x:c r="C3721" s="7" t="n">
        <x:v>45712</x:v>
      </x:c>
      <x:c r="D3721" s="2" t="str">
        <x:v>Completed</x:v>
      </x:c>
      <x:c r="E3721" s="2" t="str">
        <x:v>South</x:v>
      </x:c>
      <x:c r="F3721" s="2" t="str">
        <x:v>Store</x:v>
      </x:c>
      <x:c r="G3721" s="2" t="str">
        <x:v>Storage</x:v>
      </x:c>
      <x:c r="H3721" s="2" t="str">
        <x:v>Shelf 011</x:v>
      </x:c>
      <x:c r="I3721" s="11" t="n">
        <x:v>2</x:v>
      </x:c>
      <x:c r="J3721" s="9" t="n">
        <x:v>80</x:v>
      </x:c>
      <x:c r="K3721" s="10" t="n">
        <x:v>0.1</x:v>
      </x:c>
      <x:c r="L3721" s="11" t="n">
        <x:v>0</x:v>
      </x:c>
      <x:c r="M3721" s="9" t="n">
        <x:f>IF(D3721="Completed",I3721*J3721,0)</x:f>
        <x:v>160</x:v>
      </x:c>
      <x:c r="N3721" s="9" t="n">
        <x:f>M3721*K3721</x:f>
        <x:v>16</x:v>
      </x:c>
      <x:c r="O3721" s="9" t="n">
        <x:f>M3721-N3721</x:f>
        <x:v>144</x:v>
      </x:c>
      <x:c r="P3721" s="9" t="n">
        <x:f>IF(D3721="Completed",L3721*J3721*(1-K3721),0)</x:f>
        <x:v>0</x:v>
      </x:c>
      <x:c r="Q3721" s="9" t="n">
        <x:f>O3721-P3721</x:f>
        <x:v>144</x:v>
      </x:c>
      <x:c r="R3721" s="11" t="n">
        <x:f>IF(D3721="Completed",I3721,0)</x:f>
        <x:v>2</x:v>
      </x:c>
      <x:c r="S3721" s="11" t="n">
        <x:f>IF(D3721="Completed",L3721,0)</x:f>
        <x:v>0</x:v>
      </x:c>
      <x:c r="T3721" s="8" t="n">
        <x:f>DATE(YEAR(C3721),MONTH(C3721),1)</x:f>
        <x:v>45689</x:v>
      </x:c>
    </x:row>
    <x:row r="3722" ht="22" customHeight="1">
      <x:c r="A3722" s="2" t="str">
        <x:v>L003718</x:v>
      </x:c>
      <x:c r="B3722" s="2" t="str">
        <x:v>O01516</x:v>
      </x:c>
      <x:c r="C3722" s="7" t="n">
        <x:v>45712</x:v>
      </x:c>
      <x:c r="D3722" s="2" t="str">
        <x:v>Completed</x:v>
      </x:c>
      <x:c r="E3722" s="2" t="str">
        <x:v>South</x:v>
      </x:c>
      <x:c r="F3722" s="2" t="str">
        <x:v>Store</x:v>
      </x:c>
      <x:c r="G3722" s="2" t="str">
        <x:v>Furniture</x:v>
      </x:c>
      <x:c r="H3722" s="2" t="str">
        <x:v>Chair 002</x:v>
      </x:c>
      <x:c r="I3722" s="11" t="n">
        <x:v>4</x:v>
      </x:c>
      <x:c r="J3722" s="9" t="n">
        <x:v>284</x:v>
      </x:c>
      <x:c r="K3722" s="10" t="n">
        <x:v>0.1</x:v>
      </x:c>
      <x:c r="L3722" s="11" t="n">
        <x:v>0</x:v>
      </x:c>
      <x:c r="M3722" s="9" t="n">
        <x:f>IF(D3722="Completed",I3722*J3722,0)</x:f>
        <x:v>1136</x:v>
      </x:c>
      <x:c r="N3722" s="9" t="n">
        <x:f>M3722*K3722</x:f>
        <x:v>113.60000000000001</x:v>
      </x:c>
      <x:c r="O3722" s="9" t="n">
        <x:f>M3722-N3722</x:f>
        <x:v>1022.4</x:v>
      </x:c>
      <x:c r="P3722" s="9" t="n">
        <x:f>IF(D3722="Completed",L3722*J3722*(1-K3722),0)</x:f>
        <x:v>0</x:v>
      </x:c>
      <x:c r="Q3722" s="9" t="n">
        <x:f>O3722-P3722</x:f>
        <x:v>1022.4</x:v>
      </x:c>
      <x:c r="R3722" s="11" t="n">
        <x:f>IF(D3722="Completed",I3722,0)</x:f>
        <x:v>4</x:v>
      </x:c>
      <x:c r="S3722" s="11" t="n">
        <x:f>IF(D3722="Completed",L3722,0)</x:f>
        <x:v>0</x:v>
      </x:c>
      <x:c r="T3722" s="8" t="n">
        <x:f>DATE(YEAR(C3722),MONTH(C3722),1)</x:f>
        <x:v>45689</x:v>
      </x:c>
    </x:row>
    <x:row r="3723" ht="22" customHeight="1">
      <x:c r="A3723" s="2" t="str">
        <x:v>L003719</x:v>
      </x:c>
      <x:c r="B3723" s="2" t="str">
        <x:v>O01517</x:v>
      </x:c>
      <x:c r="C3723" s="7" t="n">
        <x:v>45864</x:v>
      </x:c>
      <x:c r="D3723" s="2" t="str">
        <x:v>Completed</x:v>
      </x:c>
      <x:c r="E3723" s="2" t="str">
        <x:v>East</x:v>
      </x:c>
      <x:c r="F3723" s="2" t="str">
        <x:v>Online</x:v>
      </x:c>
      <x:c r="G3723" s="2" t="str">
        <x:v>Furniture</x:v>
      </x:c>
      <x:c r="H3723" s="2" t="str">
        <x:v>Desk 020</x:v>
      </x:c>
      <x:c r="I3723" s="11" t="n">
        <x:v>2</x:v>
      </x:c>
      <x:c r="J3723" s="9" t="n">
        <x:v>189</x:v>
      </x:c>
      <x:c r="K3723" s="10" t="n">
        <x:v>0.1</x:v>
      </x:c>
      <x:c r="L3723" s="11" t="n">
        <x:v>0</x:v>
      </x:c>
      <x:c r="M3723" s="9" t="n">
        <x:f>IF(D3723="Completed",I3723*J3723,0)</x:f>
        <x:v>378</x:v>
      </x:c>
      <x:c r="N3723" s="9" t="n">
        <x:f>M3723*K3723</x:f>
        <x:v>37.800000000000004</x:v>
      </x:c>
      <x:c r="O3723" s="9" t="n">
        <x:f>M3723-N3723</x:f>
        <x:v>340.2</x:v>
      </x:c>
      <x:c r="P3723" s="9" t="n">
        <x:f>IF(D3723="Completed",L3723*J3723*(1-K3723),0)</x:f>
        <x:v>0</x:v>
      </x:c>
      <x:c r="Q3723" s="9" t="n">
        <x:f>O3723-P3723</x:f>
        <x:v>340.2</x:v>
      </x:c>
      <x:c r="R3723" s="11" t="n">
        <x:f>IF(D3723="Completed",I3723,0)</x:f>
        <x:v>2</x:v>
      </x:c>
      <x:c r="S3723" s="11" t="n">
        <x:f>IF(D3723="Completed",L3723,0)</x:f>
        <x:v>0</x:v>
      </x:c>
      <x:c r="T3723" s="8" t="n">
        <x:f>DATE(YEAR(C3723),MONTH(C3723),1)</x:f>
        <x:v>45839</x:v>
      </x:c>
    </x:row>
    <x:row r="3724" ht="22" customHeight="1">
      <x:c r="A3724" s="2" t="str">
        <x:v>L003720</x:v>
      </x:c>
      <x:c r="B3724" s="2" t="str">
        <x:v>O01518</x:v>
      </x:c>
      <x:c r="C3724" s="7" t="n">
        <x:v>45847</x:v>
      </x:c>
      <x:c r="D3724" s="2" t="str">
        <x:v>Cancelled</x:v>
      </x:c>
      <x:c r="E3724" s="2" t="str">
        <x:v>West</x:v>
      </x:c>
      <x:c r="F3724" s="2" t="str">
        <x:v>Store</x:v>
      </x:c>
      <x:c r="G3724" s="2" t="str">
        <x:v>Furniture</x:v>
      </x:c>
      <x:c r="H3724" s="2" t="str">
        <x:v>Chair 022</x:v>
      </x:c>
      <x:c r="I3724" s="11" t="n">
        <x:v>5</x:v>
      </x:c>
      <x:c r="J3724" s="9" t="n">
        <x:v>134</x:v>
      </x:c>
      <x:c r="K3724" s="10" t="n">
        <x:v>0.05</x:v>
      </x:c>
      <x:c r="L3724" s="11" t="n">
        <x:v>0</x:v>
      </x:c>
      <x:c r="M3724" s="9" t="n">
        <x:f>IF(D3724="Completed",I3724*J3724,0)</x:f>
        <x:v>0</x:v>
      </x:c>
      <x:c r="N3724" s="9" t="n">
        <x:f>M3724*K3724</x:f>
        <x:v>0</x:v>
      </x:c>
      <x:c r="O3724" s="9" t="n">
        <x:f>M3724-N3724</x:f>
        <x:v>0</x:v>
      </x:c>
      <x:c r="P3724" s="9" t="n">
        <x:f>IF(D3724="Completed",L3724*J3724*(1-K3724),0)</x:f>
        <x:v>0</x:v>
      </x:c>
      <x:c r="Q3724" s="9" t="n">
        <x:f>O3724-P3724</x:f>
        <x:v>0</x:v>
      </x:c>
      <x:c r="R3724" s="11" t="n">
        <x:f>IF(D3724="Completed",I3724,0)</x:f>
        <x:v>0</x:v>
      </x:c>
      <x:c r="S3724" s="11" t="n">
        <x:f>IF(D3724="Completed",L3724,0)</x:f>
        <x:v>0</x:v>
      </x:c>
      <x:c r="T3724" s="8" t="n">
        <x:f>DATE(YEAR(C3724),MONTH(C3724),1)</x:f>
        <x:v>45839</x:v>
      </x:c>
    </x:row>
    <x:row r="3725" ht="22" customHeight="1">
      <x:c r="A3725" s="2" t="str">
        <x:v>L003721</x:v>
      </x:c>
      <x:c r="B3725" s="2" t="str">
        <x:v>O01518</x:v>
      </x:c>
      <x:c r="C3725" s="7" t="n">
        <x:v>45847</x:v>
      </x:c>
      <x:c r="D3725" s="2" t="str">
        <x:v>Cancelled</x:v>
      </x:c>
      <x:c r="E3725" s="2" t="str">
        <x:v>West</x:v>
      </x:c>
      <x:c r="F3725" s="2" t="str">
        <x:v>Store</x:v>
      </x:c>
      <x:c r="G3725" s="2" t="str">
        <x:v>Furniture</x:v>
      </x:c>
      <x:c r="H3725" s="2" t="str">
        <x:v>Desk 024</x:v>
      </x:c>
      <x:c r="I3725" s="11" t="n">
        <x:v>1</x:v>
      </x:c>
      <x:c r="J3725" s="9" t="n">
        <x:v>81</x:v>
      </x:c>
      <x:c r="K3725" s="10" t="n">
        <x:v>0.05</x:v>
      </x:c>
      <x:c r="L3725" s="11" t="n">
        <x:v>0</x:v>
      </x:c>
      <x:c r="M3725" s="9" t="n">
        <x:f>IF(D3725="Completed",I3725*J3725,0)</x:f>
        <x:v>0</x:v>
      </x:c>
      <x:c r="N3725" s="9" t="n">
        <x:f>M3725*K3725</x:f>
        <x:v>0</x:v>
      </x:c>
      <x:c r="O3725" s="9" t="n">
        <x:f>M3725-N3725</x:f>
        <x:v>0</x:v>
      </x:c>
      <x:c r="P3725" s="9" t="n">
        <x:f>IF(D3725="Completed",L3725*J3725*(1-K3725),0)</x:f>
        <x:v>0</x:v>
      </x:c>
      <x:c r="Q3725" s="9" t="n">
        <x:f>O3725-P3725</x:f>
        <x:v>0</x:v>
      </x:c>
      <x:c r="R3725" s="11" t="n">
        <x:f>IF(D3725="Completed",I3725,0)</x:f>
        <x:v>0</x:v>
      </x:c>
      <x:c r="S3725" s="11" t="n">
        <x:f>IF(D3725="Completed",L3725,0)</x:f>
        <x:v>0</x:v>
      </x:c>
      <x:c r="T3725" s="8" t="n">
        <x:f>DATE(YEAR(C3725),MONTH(C3725),1)</x:f>
        <x:v>45839</x:v>
      </x:c>
    </x:row>
    <x:row r="3726" ht="22" customHeight="1">
      <x:c r="A3726" s="2" t="str">
        <x:v>L003722</x:v>
      </x:c>
      <x:c r="B3726" s="2" t="str">
        <x:v>O01518</x:v>
      </x:c>
      <x:c r="C3726" s="7" t="n">
        <x:v>45847</x:v>
      </x:c>
      <x:c r="D3726" s="2" t="str">
        <x:v>Cancelled</x:v>
      </x:c>
      <x:c r="E3726" s="2" t="str">
        <x:v>West</x:v>
      </x:c>
      <x:c r="F3726" s="2" t="str">
        <x:v>Store</x:v>
      </x:c>
      <x:c r="G3726" s="2" t="str">
        <x:v>Furniture</x:v>
      </x:c>
      <x:c r="H3726" s="2" t="str">
        <x:v>Chair 006</x:v>
      </x:c>
      <x:c r="I3726" s="11" t="n">
        <x:v>1</x:v>
      </x:c>
      <x:c r="J3726" s="9" t="n">
        <x:v>196</x:v>
      </x:c>
      <x:c r="K3726" s="10" t="n">
        <x:v>0.1</x:v>
      </x:c>
      <x:c r="L3726" s="11" t="n">
        <x:v>0</x:v>
      </x:c>
      <x:c r="M3726" s="9" t="n">
        <x:f>IF(D3726="Completed",I3726*J3726,0)</x:f>
        <x:v>0</x:v>
      </x:c>
      <x:c r="N3726" s="9" t="n">
        <x:f>M3726*K3726</x:f>
        <x:v>0</x:v>
      </x:c>
      <x:c r="O3726" s="9" t="n">
        <x:f>M3726-N3726</x:f>
        <x:v>0</x:v>
      </x:c>
      <x:c r="P3726" s="9" t="n">
        <x:f>IF(D3726="Completed",L3726*J3726*(1-K3726),0)</x:f>
        <x:v>0</x:v>
      </x:c>
      <x:c r="Q3726" s="9" t="n">
        <x:f>O3726-P3726</x:f>
        <x:v>0</x:v>
      </x:c>
      <x:c r="R3726" s="11" t="n">
        <x:f>IF(D3726="Completed",I3726,0)</x:f>
        <x:v>0</x:v>
      </x:c>
      <x:c r="S3726" s="11" t="n">
        <x:f>IF(D3726="Completed",L3726,0)</x:f>
        <x:v>0</x:v>
      </x:c>
      <x:c r="T3726" s="8" t="n">
        <x:f>DATE(YEAR(C3726),MONTH(C3726),1)</x:f>
        <x:v>45839</x:v>
      </x:c>
    </x:row>
    <x:row r="3727" ht="22" customHeight="1">
      <x:c r="A3727" s="2" t="str">
        <x:v>L003723</x:v>
      </x:c>
      <x:c r="B3727" s="2" t="str">
        <x:v>O01518</x:v>
      </x:c>
      <x:c r="C3727" s="7" t="n">
        <x:v>45847</x:v>
      </x:c>
      <x:c r="D3727" s="2" t="str">
        <x:v>Cancelled</x:v>
      </x:c>
      <x:c r="E3727" s="2" t="str">
        <x:v>West</x:v>
      </x:c>
      <x:c r="F3727" s="2" t="str">
        <x:v>Store</x:v>
      </x:c>
      <x:c r="G3727" s="2" t="str">
        <x:v>Storage</x:v>
      </x:c>
      <x:c r="H3727" s="2" t="str">
        <x:v>Shelf 007</x:v>
      </x:c>
      <x:c r="I3727" s="11" t="n">
        <x:v>5</x:v>
      </x:c>
      <x:c r="J3727" s="9" t="n">
        <x:v>35</x:v>
      </x:c>
      <x:c r="K3727" s="10" t="n">
        <x:v>0.1</x:v>
      </x:c>
      <x:c r="L3727" s="11" t="n">
        <x:v>0</x:v>
      </x:c>
      <x:c r="M3727" s="9" t="n">
        <x:f>IF(D3727="Completed",I3727*J3727,0)</x:f>
        <x:v>0</x:v>
      </x:c>
      <x:c r="N3727" s="9" t="n">
        <x:f>M3727*K3727</x:f>
        <x:v>0</x:v>
      </x:c>
      <x:c r="O3727" s="9" t="n">
        <x:f>M3727-N3727</x:f>
        <x:v>0</x:v>
      </x:c>
      <x:c r="P3727" s="9" t="n">
        <x:f>IF(D3727="Completed",L3727*J3727*(1-K3727),0)</x:f>
        <x:v>0</x:v>
      </x:c>
      <x:c r="Q3727" s="9" t="n">
        <x:f>O3727-P3727</x:f>
        <x:v>0</x:v>
      </x:c>
      <x:c r="R3727" s="11" t="n">
        <x:f>IF(D3727="Completed",I3727,0)</x:f>
        <x:v>0</x:v>
      </x:c>
      <x:c r="S3727" s="11" t="n">
        <x:f>IF(D3727="Completed",L3727,0)</x:f>
        <x:v>0</x:v>
      </x:c>
      <x:c r="T3727" s="8" t="n">
        <x:f>DATE(YEAR(C3727),MONTH(C3727),1)</x:f>
        <x:v>45839</x:v>
      </x:c>
    </x:row>
    <x:row r="3728" ht="22" customHeight="1">
      <x:c r="A3728" s="2" t="str">
        <x:v>L003724</x:v>
      </x:c>
      <x:c r="B3728" s="2" t="str">
        <x:v>O01519</x:v>
      </x:c>
      <x:c r="C3728" s="7" t="n">
        <x:v>45926</x:v>
      </x:c>
      <x:c r="D3728" s="2" t="str">
        <x:v>Completed</x:v>
      </x:c>
      <x:c r="E3728" s="2" t="str">
        <x:v>South</x:v>
      </x:c>
      <x:c r="F3728" s="2" t="str">
        <x:v>Online</x:v>
      </x:c>
      <x:c r="G3728" s="2" t="str">
        <x:v>Lighting</x:v>
      </x:c>
      <x:c r="H3728" s="2" t="str">
        <x:v>Lamp 009</x:v>
      </x:c>
      <x:c r="I3728" s="11" t="n">
        <x:v>5</x:v>
      </x:c>
      <x:c r="J3728" s="9" t="n">
        <x:v>93</x:v>
      </x:c>
      <x:c r="K3728" s="10" t="n">
        <x:v>0.05</x:v>
      </x:c>
      <x:c r="L3728" s="11" t="n">
        <x:v>0</x:v>
      </x:c>
      <x:c r="M3728" s="9" t="n">
        <x:f>IF(D3728="Completed",I3728*J3728,0)</x:f>
        <x:v>465</x:v>
      </x:c>
      <x:c r="N3728" s="9" t="n">
        <x:f>M3728*K3728</x:f>
        <x:v>23.25</x:v>
      </x:c>
      <x:c r="O3728" s="9" t="n">
        <x:f>M3728-N3728</x:f>
        <x:v>441.75</x:v>
      </x:c>
      <x:c r="P3728" s="9" t="n">
        <x:f>IF(D3728="Completed",L3728*J3728*(1-K3728),0)</x:f>
        <x:v>0</x:v>
      </x:c>
      <x:c r="Q3728" s="9" t="n">
        <x:f>O3728-P3728</x:f>
        <x:v>441.75</x:v>
      </x:c>
      <x:c r="R3728" s="11" t="n">
        <x:f>IF(D3728="Completed",I3728,0)</x:f>
        <x:v>5</x:v>
      </x:c>
      <x:c r="S3728" s="11" t="n">
        <x:f>IF(D3728="Completed",L3728,0)</x:f>
        <x:v>0</x:v>
      </x:c>
      <x:c r="T3728" s="8" t="n">
        <x:f>DATE(YEAR(C3728),MONTH(C3728),1)</x:f>
        <x:v>45901</x:v>
      </x:c>
    </x:row>
    <x:row r="3729" ht="22" customHeight="1">
      <x:c r="A3729" s="2" t="str">
        <x:v>L003725</x:v>
      </x:c>
      <x:c r="B3729" s="2" t="str">
        <x:v>O01520</x:v>
      </x:c>
      <x:c r="C3729" s="7" t="n">
        <x:v>45996</x:v>
      </x:c>
      <x:c r="D3729" s="2" t="str">
        <x:v>Completed</x:v>
      </x:c>
      <x:c r="E3729" s="2" t="str">
        <x:v>West</x:v>
      </x:c>
      <x:c r="F3729" s="2" t="str">
        <x:v>Online</x:v>
      </x:c>
      <x:c r="G3729" s="2" t="str">
        <x:v>Furniture</x:v>
      </x:c>
      <x:c r="H3729" s="2" t="str">
        <x:v>Desk 012</x:v>
      </x:c>
      <x:c r="I3729" s="11" t="n">
        <x:v>4</x:v>
      </x:c>
      <x:c r="J3729" s="9" t="n">
        <x:v>134</x:v>
      </x:c>
      <x:c r="K3729" s="10" t="n">
        <x:v>0</x:v>
      </x:c>
      <x:c r="L3729" s="11" t="n">
        <x:v>0</x:v>
      </x:c>
      <x:c r="M3729" s="9" t="n">
        <x:f>IF(D3729="Completed",I3729*J3729,0)</x:f>
        <x:v>536</x:v>
      </x:c>
      <x:c r="N3729" s="9" t="n">
        <x:f>M3729*K3729</x:f>
        <x:v>0</x:v>
      </x:c>
      <x:c r="O3729" s="9" t="n">
        <x:f>M3729-N3729</x:f>
        <x:v>536</x:v>
      </x:c>
      <x:c r="P3729" s="9" t="n">
        <x:f>IF(D3729="Completed",L3729*J3729*(1-K3729),0)</x:f>
        <x:v>0</x:v>
      </x:c>
      <x:c r="Q3729" s="9" t="n">
        <x:f>O3729-P3729</x:f>
        <x:v>536</x:v>
      </x:c>
      <x:c r="R3729" s="11" t="n">
        <x:f>IF(D3729="Completed",I3729,0)</x:f>
        <x:v>4</x:v>
      </x:c>
      <x:c r="S3729" s="11" t="n">
        <x:f>IF(D3729="Completed",L3729,0)</x:f>
        <x:v>0</x:v>
      </x:c>
      <x:c r="T3729" s="8" t="n">
        <x:f>DATE(YEAR(C3729),MONTH(C3729),1)</x:f>
        <x:v>45992</x:v>
      </x:c>
    </x:row>
    <x:row r="3730" ht="22" customHeight="1">
      <x:c r="A3730" s="2" t="str">
        <x:v>L003726</x:v>
      </x:c>
      <x:c r="B3730" s="2" t="str">
        <x:v>O01520</x:v>
      </x:c>
      <x:c r="C3730" s="7" t="n">
        <x:v>45996</x:v>
      </x:c>
      <x:c r="D3730" s="2" t="str">
        <x:v>Completed</x:v>
      </x:c>
      <x:c r="E3730" s="2" t="str">
        <x:v>West</x:v>
      </x:c>
      <x:c r="F3730" s="2" t="str">
        <x:v>Online</x:v>
      </x:c>
      <x:c r="G3730" s="2" t="str">
        <x:v>Lighting</x:v>
      </x:c>
      <x:c r="H3730" s="2" t="str">
        <x:v>Lamp 001</x:v>
      </x:c>
      <x:c r="I3730" s="11" t="n">
        <x:v>3</x:v>
      </x:c>
      <x:c r="J3730" s="9" t="n">
        <x:v>122</x:v>
      </x:c>
      <x:c r="K3730" s="10" t="n">
        <x:v>0.1</x:v>
      </x:c>
      <x:c r="L3730" s="11" t="n">
        <x:v>0</x:v>
      </x:c>
      <x:c r="M3730" s="9" t="n">
        <x:f>IF(D3730="Completed",I3730*J3730,0)</x:f>
        <x:v>366</x:v>
      </x:c>
      <x:c r="N3730" s="9" t="n">
        <x:f>M3730*K3730</x:f>
        <x:v>36.6</x:v>
      </x:c>
      <x:c r="O3730" s="9" t="n">
        <x:f>M3730-N3730</x:f>
        <x:v>329.4</x:v>
      </x:c>
      <x:c r="P3730" s="9" t="n">
        <x:f>IF(D3730="Completed",L3730*J3730*(1-K3730),0)</x:f>
        <x:v>0</x:v>
      </x:c>
      <x:c r="Q3730" s="9" t="n">
        <x:f>O3730-P3730</x:f>
        <x:v>329.4</x:v>
      </x:c>
      <x:c r="R3730" s="11" t="n">
        <x:f>IF(D3730="Completed",I3730,0)</x:f>
        <x:v>3</x:v>
      </x:c>
      <x:c r="S3730" s="11" t="n">
        <x:f>IF(D3730="Completed",L3730,0)</x:f>
        <x:v>0</x:v>
      </x:c>
      <x:c r="T3730" s="8" t="n">
        <x:f>DATE(YEAR(C3730),MONTH(C3730),1)</x:f>
        <x:v>45992</x:v>
      </x:c>
    </x:row>
    <x:row r="3731" ht="22" customHeight="1">
      <x:c r="A3731" s="2" t="str">
        <x:v>L003727</x:v>
      </x:c>
      <x:c r="B3731" s="2" t="str">
        <x:v>O01521</x:v>
      </x:c>
      <x:c r="C3731" s="7" t="n">
        <x:v>45970</x:v>
      </x:c>
      <x:c r="D3731" s="2" t="str">
        <x:v>Cancelled</x:v>
      </x:c>
      <x:c r="E3731" s="2" t="str">
        <x:v>South</x:v>
      </x:c>
      <x:c r="F3731" s="2" t="str">
        <x:v>Store</x:v>
      </x:c>
      <x:c r="G3731" s="2" t="str">
        <x:v>Lighting</x:v>
      </x:c>
      <x:c r="H3731" s="2" t="str">
        <x:v>Lamp 021</x:v>
      </x:c>
      <x:c r="I3731" s="11" t="n">
        <x:v>2</x:v>
      </x:c>
      <x:c r="J3731" s="9" t="n">
        <x:v>249</x:v>
      </x:c>
      <x:c r="K3731" s="10" t="n">
        <x:v>0.05</x:v>
      </x:c>
      <x:c r="L3731" s="11" t="n">
        <x:v>0</x:v>
      </x:c>
      <x:c r="M3731" s="9" t="n">
        <x:f>IF(D3731="Completed",I3731*J3731,0)</x:f>
        <x:v>0</x:v>
      </x:c>
      <x:c r="N3731" s="9" t="n">
        <x:f>M3731*K3731</x:f>
        <x:v>0</x:v>
      </x:c>
      <x:c r="O3731" s="9" t="n">
        <x:f>M3731-N3731</x:f>
        <x:v>0</x:v>
      </x:c>
      <x:c r="P3731" s="9" t="n">
        <x:f>IF(D3731="Completed",L3731*J3731*(1-K3731),0)</x:f>
        <x:v>0</x:v>
      </x:c>
      <x:c r="Q3731" s="9" t="n">
        <x:f>O3731-P3731</x:f>
        <x:v>0</x:v>
      </x:c>
      <x:c r="R3731" s="11" t="n">
        <x:f>IF(D3731="Completed",I3731,0)</x:f>
        <x:v>0</x:v>
      </x:c>
      <x:c r="S3731" s="11" t="n">
        <x:f>IF(D3731="Completed",L3731,0)</x:f>
        <x:v>0</x:v>
      </x:c>
      <x:c r="T3731" s="8" t="n">
        <x:f>DATE(YEAR(C3731),MONTH(C3731),1)</x:f>
        <x:v>45962</x:v>
      </x:c>
    </x:row>
    <x:row r="3732" ht="22" customHeight="1">
      <x:c r="A3732" s="2" t="str">
        <x:v>L003728</x:v>
      </x:c>
      <x:c r="B3732" s="2" t="str">
        <x:v>O01521</x:v>
      </x:c>
      <x:c r="C3732" s="7" t="n">
        <x:v>45970</x:v>
      </x:c>
      <x:c r="D3732" s="2" t="str">
        <x:v>Cancelled</x:v>
      </x:c>
      <x:c r="E3732" s="2" t="str">
        <x:v>South</x:v>
      </x:c>
      <x:c r="F3732" s="2" t="str">
        <x:v>Store</x:v>
      </x:c>
      <x:c r="G3732" s="2" t="str">
        <x:v>Furniture</x:v>
      </x:c>
      <x:c r="H3732" s="2" t="str">
        <x:v>Chair 018</x:v>
      </x:c>
      <x:c r="I3732" s="11" t="n">
        <x:v>5</x:v>
      </x:c>
      <x:c r="J3732" s="9" t="n">
        <x:v>269</x:v>
      </x:c>
      <x:c r="K3732" s="10" t="n">
        <x:v>0</x:v>
      </x:c>
      <x:c r="L3732" s="11" t="n">
        <x:v>0</x:v>
      </x:c>
      <x:c r="M3732" s="9" t="n">
        <x:f>IF(D3732="Completed",I3732*J3732,0)</x:f>
        <x:v>0</x:v>
      </x:c>
      <x:c r="N3732" s="9" t="n">
        <x:f>M3732*K3732</x:f>
        <x:v>0</x:v>
      </x:c>
      <x:c r="O3732" s="9" t="n">
        <x:f>M3732-N3732</x:f>
        <x:v>0</x:v>
      </x:c>
      <x:c r="P3732" s="9" t="n">
        <x:f>IF(D3732="Completed",L3732*J3732*(1-K3732),0)</x:f>
        <x:v>0</x:v>
      </x:c>
      <x:c r="Q3732" s="9" t="n">
        <x:f>O3732-P3732</x:f>
        <x:v>0</x:v>
      </x:c>
      <x:c r="R3732" s="11" t="n">
        <x:f>IF(D3732="Completed",I3732,0)</x:f>
        <x:v>0</x:v>
      </x:c>
      <x:c r="S3732" s="11" t="n">
        <x:f>IF(D3732="Completed",L3732,0)</x:f>
        <x:v>0</x:v>
      </x:c>
      <x:c r="T3732" s="8" t="n">
        <x:f>DATE(YEAR(C3732),MONTH(C3732),1)</x:f>
        <x:v>45962</x:v>
      </x:c>
    </x:row>
    <x:row r="3733" ht="22" customHeight="1">
      <x:c r="A3733" s="2" t="str">
        <x:v>L003729</x:v>
      </x:c>
      <x:c r="B3733" s="2" t="str">
        <x:v>O01521</x:v>
      </x:c>
      <x:c r="C3733" s="7" t="n">
        <x:v>45970</x:v>
      </x:c>
      <x:c r="D3733" s="2" t="str">
        <x:v>Cancelled</x:v>
      </x:c>
      <x:c r="E3733" s="2" t="str">
        <x:v>South</x:v>
      </x:c>
      <x:c r="F3733" s="2" t="str">
        <x:v>Store</x:v>
      </x:c>
      <x:c r="G3733" s="2" t="str">
        <x:v>Furniture</x:v>
      </x:c>
      <x:c r="H3733" s="2" t="str">
        <x:v>Chair 010</x:v>
      </x:c>
      <x:c r="I3733" s="11" t="n">
        <x:v>4</x:v>
      </x:c>
      <x:c r="J3733" s="9" t="n">
        <x:v>211</x:v>
      </x:c>
      <x:c r="K3733" s="10" t="n">
        <x:v>0.05</x:v>
      </x:c>
      <x:c r="L3733" s="11" t="n">
        <x:v>0</x:v>
      </x:c>
      <x:c r="M3733" s="9" t="n">
        <x:f>IF(D3733="Completed",I3733*J3733,0)</x:f>
        <x:v>0</x:v>
      </x:c>
      <x:c r="N3733" s="9" t="n">
        <x:f>M3733*K3733</x:f>
        <x:v>0</x:v>
      </x:c>
      <x:c r="O3733" s="9" t="n">
        <x:f>M3733-N3733</x:f>
        <x:v>0</x:v>
      </x:c>
      <x:c r="P3733" s="9" t="n">
        <x:f>IF(D3733="Completed",L3733*J3733*(1-K3733),0)</x:f>
        <x:v>0</x:v>
      </x:c>
      <x:c r="Q3733" s="9" t="n">
        <x:f>O3733-P3733</x:f>
        <x:v>0</x:v>
      </x:c>
      <x:c r="R3733" s="11" t="n">
        <x:f>IF(D3733="Completed",I3733,0)</x:f>
        <x:v>0</x:v>
      </x:c>
      <x:c r="S3733" s="11" t="n">
        <x:f>IF(D3733="Completed",L3733,0)</x:f>
        <x:v>0</x:v>
      </x:c>
      <x:c r="T3733" s="8" t="n">
        <x:f>DATE(YEAR(C3733),MONTH(C3733),1)</x:f>
        <x:v>45962</x:v>
      </x:c>
    </x:row>
    <x:row r="3734" ht="22" customHeight="1">
      <x:c r="A3734" s="2" t="str">
        <x:v>L003730</x:v>
      </x:c>
      <x:c r="B3734" s="2" t="str">
        <x:v>O01522</x:v>
      </x:c>
      <x:c r="C3734" s="7" t="n">
        <x:v>45841</x:v>
      </x:c>
      <x:c r="D3734" s="2" t="str">
        <x:v>Completed</x:v>
      </x:c>
      <x:c r="E3734" s="2" t="str">
        <x:v>North</x:v>
      </x:c>
      <x:c r="F3734" s="2" t="str">
        <x:v>Store</x:v>
      </x:c>
      <x:c r="G3734" s="2" t="str">
        <x:v>Storage</x:v>
      </x:c>
      <x:c r="H3734" s="2" t="str">
        <x:v>Shelf 023</x:v>
      </x:c>
      <x:c r="I3734" s="11" t="n">
        <x:v>1</x:v>
      </x:c>
      <x:c r="J3734" s="9" t="n">
        <x:v>68</x:v>
      </x:c>
      <x:c r="K3734" s="10" t="n">
        <x:v>0</x:v>
      </x:c>
      <x:c r="L3734" s="11" t="n">
        <x:v>0</x:v>
      </x:c>
      <x:c r="M3734" s="9" t="n">
        <x:f>IF(D3734="Completed",I3734*J3734,0)</x:f>
        <x:v>68</x:v>
      </x:c>
      <x:c r="N3734" s="9" t="n">
        <x:f>M3734*K3734</x:f>
        <x:v>0</x:v>
      </x:c>
      <x:c r="O3734" s="9" t="n">
        <x:f>M3734-N3734</x:f>
        <x:v>68</x:v>
      </x:c>
      <x:c r="P3734" s="9" t="n">
        <x:f>IF(D3734="Completed",L3734*J3734*(1-K3734),0)</x:f>
        <x:v>0</x:v>
      </x:c>
      <x:c r="Q3734" s="9" t="n">
        <x:f>O3734-P3734</x:f>
        <x:v>68</x:v>
      </x:c>
      <x:c r="R3734" s="11" t="n">
        <x:f>IF(D3734="Completed",I3734,0)</x:f>
        <x:v>1</x:v>
      </x:c>
      <x:c r="S3734" s="11" t="n">
        <x:f>IF(D3734="Completed",L3734,0)</x:f>
        <x:v>0</x:v>
      </x:c>
      <x:c r="T3734" s="8" t="n">
        <x:f>DATE(YEAR(C3734),MONTH(C3734),1)</x:f>
        <x:v>45839</x:v>
      </x:c>
    </x:row>
    <x:row r="3735" ht="22" customHeight="1">
      <x:c r="A3735" s="2" t="str">
        <x:v>L003731</x:v>
      </x:c>
      <x:c r="B3735" s="2" t="str">
        <x:v>O01523</x:v>
      </x:c>
      <x:c r="C3735" s="7" t="n">
        <x:v>45728</x:v>
      </x:c>
      <x:c r="D3735" s="2" t="str">
        <x:v>Completed</x:v>
      </x:c>
      <x:c r="E3735" s="2" t="str">
        <x:v>West</x:v>
      </x:c>
      <x:c r="F3735" s="2" t="str">
        <x:v>Online</x:v>
      </x:c>
      <x:c r="G3735" s="2" t="str">
        <x:v>Furniture</x:v>
      </x:c>
      <x:c r="H3735" s="2" t="str">
        <x:v>Chair 002</x:v>
      </x:c>
      <x:c r="I3735" s="11" t="n">
        <x:v>1</x:v>
      </x:c>
      <x:c r="J3735" s="9" t="n">
        <x:v>284</x:v>
      </x:c>
      <x:c r="K3735" s="10" t="n">
        <x:v>0.05</x:v>
      </x:c>
      <x:c r="L3735" s="11" t="n">
        <x:v>0</x:v>
      </x:c>
      <x:c r="M3735" s="9" t="n">
        <x:f>IF(D3735="Completed",I3735*J3735,0)</x:f>
        <x:v>284</x:v>
      </x:c>
      <x:c r="N3735" s="9" t="n">
        <x:f>M3735*K3735</x:f>
        <x:v>14.200000000000001</x:v>
      </x:c>
      <x:c r="O3735" s="9" t="n">
        <x:f>M3735-N3735</x:f>
        <x:v>269.8</x:v>
      </x:c>
      <x:c r="P3735" s="9" t="n">
        <x:f>IF(D3735="Completed",L3735*J3735*(1-K3735),0)</x:f>
        <x:v>0</x:v>
      </x:c>
      <x:c r="Q3735" s="9" t="n">
        <x:f>O3735-P3735</x:f>
        <x:v>269.8</x:v>
      </x:c>
      <x:c r="R3735" s="11" t="n">
        <x:f>IF(D3735="Completed",I3735,0)</x:f>
        <x:v>1</x:v>
      </x:c>
      <x:c r="S3735" s="11" t="n">
        <x:f>IF(D3735="Completed",L3735,0)</x:f>
        <x:v>0</x:v>
      </x:c>
      <x:c r="T3735" s="8" t="n">
        <x:f>DATE(YEAR(C3735),MONTH(C3735),1)</x:f>
        <x:v>45717</x:v>
      </x:c>
    </x:row>
    <x:row r="3736" ht="22" customHeight="1">
      <x:c r="A3736" s="2" t="str">
        <x:v>L003732</x:v>
      </x:c>
      <x:c r="B3736" s="2" t="str">
        <x:v>O01523</x:v>
      </x:c>
      <x:c r="C3736" s="7" t="n">
        <x:v>45728</x:v>
      </x:c>
      <x:c r="D3736" s="2" t="str">
        <x:v>Completed</x:v>
      </x:c>
      <x:c r="E3736" s="2" t="str">
        <x:v>West</x:v>
      </x:c>
      <x:c r="F3736" s="2" t="str">
        <x:v>Online</x:v>
      </x:c>
      <x:c r="G3736" s="2" t="str">
        <x:v>Storage</x:v>
      </x:c>
      <x:c r="H3736" s="2" t="str">
        <x:v>Shelf 011</x:v>
      </x:c>
      <x:c r="I3736" s="11" t="n">
        <x:v>1</x:v>
      </x:c>
      <x:c r="J3736" s="9" t="n">
        <x:v>80</x:v>
      </x:c>
      <x:c r="K3736" s="10" t="n">
        <x:v>0.2</x:v>
      </x:c>
      <x:c r="L3736" s="11" t="n">
        <x:v>0</x:v>
      </x:c>
      <x:c r="M3736" s="9" t="n">
        <x:f>IF(D3736="Completed",I3736*J3736,0)</x:f>
        <x:v>80</x:v>
      </x:c>
      <x:c r="N3736" s="9" t="n">
        <x:f>M3736*K3736</x:f>
        <x:v>16</x:v>
      </x:c>
      <x:c r="O3736" s="9" t="n">
        <x:f>M3736-N3736</x:f>
        <x:v>64</x:v>
      </x:c>
      <x:c r="P3736" s="9" t="n">
        <x:f>IF(D3736="Completed",L3736*J3736*(1-K3736),0)</x:f>
        <x:v>0</x:v>
      </x:c>
      <x:c r="Q3736" s="9" t="n">
        <x:f>O3736-P3736</x:f>
        <x:v>64</x:v>
      </x:c>
      <x:c r="R3736" s="11" t="n">
        <x:f>IF(D3736="Completed",I3736,0)</x:f>
        <x:v>1</x:v>
      </x:c>
      <x:c r="S3736" s="11" t="n">
        <x:f>IF(D3736="Completed",L3736,0)</x:f>
        <x:v>0</x:v>
      </x:c>
      <x:c r="T3736" s="8" t="n">
        <x:f>DATE(YEAR(C3736),MONTH(C3736),1)</x:f>
        <x:v>45717</x:v>
      </x:c>
    </x:row>
    <x:row r="3737" ht="22" customHeight="1">
      <x:c r="A3737" s="2" t="str">
        <x:v>L003733</x:v>
      </x:c>
      <x:c r="B3737" s="2" t="str">
        <x:v>O01523</x:v>
      </x:c>
      <x:c r="C3737" s="7" t="n">
        <x:v>45728</x:v>
      </x:c>
      <x:c r="D3737" s="2" t="str">
        <x:v>Completed</x:v>
      </x:c>
      <x:c r="E3737" s="2" t="str">
        <x:v>West</x:v>
      </x:c>
      <x:c r="F3737" s="2" t="str">
        <x:v>Online</x:v>
      </x:c>
      <x:c r="G3737" s="2" t="str">
        <x:v>Furniture</x:v>
      </x:c>
      <x:c r="H3737" s="2" t="str">
        <x:v>Chair 010</x:v>
      </x:c>
      <x:c r="I3737" s="11" t="n">
        <x:v>3</x:v>
      </x:c>
      <x:c r="J3737" s="9" t="n">
        <x:v>211</x:v>
      </x:c>
      <x:c r="K3737" s="10" t="n">
        <x:v>0.2</x:v>
      </x:c>
      <x:c r="L3737" s="11" t="n">
        <x:v>0</x:v>
      </x:c>
      <x:c r="M3737" s="9" t="n">
        <x:f>IF(D3737="Completed",I3737*J3737,0)</x:f>
        <x:v>633</x:v>
      </x:c>
      <x:c r="N3737" s="9" t="n">
        <x:f>M3737*K3737</x:f>
        <x:v>126.60000000000001</x:v>
      </x:c>
      <x:c r="O3737" s="9" t="n">
        <x:f>M3737-N3737</x:f>
        <x:v>506.4</x:v>
      </x:c>
      <x:c r="P3737" s="9" t="n">
        <x:f>IF(D3737="Completed",L3737*J3737*(1-K3737),0)</x:f>
        <x:v>0</x:v>
      </x:c>
      <x:c r="Q3737" s="9" t="n">
        <x:f>O3737-P3737</x:f>
        <x:v>506.4</x:v>
      </x:c>
      <x:c r="R3737" s="11" t="n">
        <x:f>IF(D3737="Completed",I3737,0)</x:f>
        <x:v>3</x:v>
      </x:c>
      <x:c r="S3737" s="11" t="n">
        <x:f>IF(D3737="Completed",L3737,0)</x:f>
        <x:v>0</x:v>
      </x:c>
      <x:c r="T3737" s="8" t="n">
        <x:f>DATE(YEAR(C3737),MONTH(C3737),1)</x:f>
        <x:v>45717</x:v>
      </x:c>
    </x:row>
    <x:row r="3738" ht="22" customHeight="1">
      <x:c r="A3738" s="2" t="str">
        <x:v>L003734</x:v>
      </x:c>
      <x:c r="B3738" s="2" t="str">
        <x:v>O01524</x:v>
      </x:c>
      <x:c r="C3738" s="7" t="n">
        <x:v>45749</x:v>
      </x:c>
      <x:c r="D3738" s="2" t="str">
        <x:v>Completed</x:v>
      </x:c>
      <x:c r="E3738" s="2" t="str">
        <x:v>East</x:v>
      </x:c>
      <x:c r="F3738" s="2" t="str">
        <x:v>Online</x:v>
      </x:c>
      <x:c r="G3738" s="2" t="str">
        <x:v>Furniture</x:v>
      </x:c>
      <x:c r="H3738" s="2" t="str">
        <x:v>Desk 020</x:v>
      </x:c>
      <x:c r="I3738" s="11" t="n">
        <x:v>3</x:v>
      </x:c>
      <x:c r="J3738" s="9" t="n">
        <x:v>189</x:v>
      </x:c>
      <x:c r="K3738" s="10" t="n">
        <x:v>0.05</x:v>
      </x:c>
      <x:c r="L3738" s="11" t="n">
        <x:v>0</x:v>
      </x:c>
      <x:c r="M3738" s="9" t="n">
        <x:f>IF(D3738="Completed",I3738*J3738,0)</x:f>
        <x:v>567</x:v>
      </x:c>
      <x:c r="N3738" s="9" t="n">
        <x:f>M3738*K3738</x:f>
        <x:v>28.35</x:v>
      </x:c>
      <x:c r="O3738" s="9" t="n">
        <x:f>M3738-N3738</x:f>
        <x:v>538.65</x:v>
      </x:c>
      <x:c r="P3738" s="9" t="n">
        <x:f>IF(D3738="Completed",L3738*J3738*(1-K3738),0)</x:f>
        <x:v>0</x:v>
      </x:c>
      <x:c r="Q3738" s="9" t="n">
        <x:f>O3738-P3738</x:f>
        <x:v>538.65</x:v>
      </x:c>
      <x:c r="R3738" s="11" t="n">
        <x:f>IF(D3738="Completed",I3738,0)</x:f>
        <x:v>3</x:v>
      </x:c>
      <x:c r="S3738" s="11" t="n">
        <x:f>IF(D3738="Completed",L3738,0)</x:f>
        <x:v>0</x:v>
      </x:c>
      <x:c r="T3738" s="8" t="n">
        <x:f>DATE(YEAR(C3738),MONTH(C3738),1)</x:f>
        <x:v>45748</x:v>
      </x:c>
    </x:row>
    <x:row r="3739" ht="22" customHeight="1">
      <x:c r="A3739" s="2" t="str">
        <x:v>L003735</x:v>
      </x:c>
      <x:c r="B3739" s="2" t="str">
        <x:v>O01524</x:v>
      </x:c>
      <x:c r="C3739" s="7" t="n">
        <x:v>45749</x:v>
      </x:c>
      <x:c r="D3739" s="2" t="str">
        <x:v>Completed</x:v>
      </x:c>
      <x:c r="E3739" s="2" t="str">
        <x:v>East</x:v>
      </x:c>
      <x:c r="F3739" s="2" t="str">
        <x:v>Online</x:v>
      </x:c>
      <x:c r="G3739" s="2" t="str">
        <x:v>Furniture</x:v>
      </x:c>
      <x:c r="H3739" s="2" t="str">
        <x:v>Chair 006</x:v>
      </x:c>
      <x:c r="I3739" s="11" t="n">
        <x:v>3</x:v>
      </x:c>
      <x:c r="J3739" s="9" t="n">
        <x:v>196</x:v>
      </x:c>
      <x:c r="K3739" s="10" t="n">
        <x:v>0.1</x:v>
      </x:c>
      <x:c r="L3739" s="11" t="n">
        <x:v>0</x:v>
      </x:c>
      <x:c r="M3739" s="9" t="n">
        <x:f>IF(D3739="Completed",I3739*J3739,0)</x:f>
        <x:v>588</x:v>
      </x:c>
      <x:c r="N3739" s="9" t="n">
        <x:f>M3739*K3739</x:f>
        <x:v>58.800000000000004</x:v>
      </x:c>
      <x:c r="O3739" s="9" t="n">
        <x:f>M3739-N3739</x:f>
        <x:v>529.2</x:v>
      </x:c>
      <x:c r="P3739" s="9" t="n">
        <x:f>IF(D3739="Completed",L3739*J3739*(1-K3739),0)</x:f>
        <x:v>0</x:v>
      </x:c>
      <x:c r="Q3739" s="9" t="n">
        <x:f>O3739-P3739</x:f>
        <x:v>529.2</x:v>
      </x:c>
      <x:c r="R3739" s="11" t="n">
        <x:f>IF(D3739="Completed",I3739,0)</x:f>
        <x:v>3</x:v>
      </x:c>
      <x:c r="S3739" s="11" t="n">
        <x:f>IF(D3739="Completed",L3739,0)</x:f>
        <x:v>0</x:v>
      </x:c>
      <x:c r="T3739" s="8" t="n">
        <x:f>DATE(YEAR(C3739),MONTH(C3739),1)</x:f>
        <x:v>45748</x:v>
      </x:c>
    </x:row>
    <x:row r="3740" ht="22" customHeight="1">
      <x:c r="A3740" s="2" t="str">
        <x:v>L003736</x:v>
      </x:c>
      <x:c r="B3740" s="2" t="str">
        <x:v>O01524</x:v>
      </x:c>
      <x:c r="C3740" s="7" t="n">
        <x:v>45749</x:v>
      </x:c>
      <x:c r="D3740" s="2" t="str">
        <x:v>Completed</x:v>
      </x:c>
      <x:c r="E3740" s="2" t="str">
        <x:v>East</x:v>
      </x:c>
      <x:c r="F3740" s="2" t="str">
        <x:v>Online</x:v>
      </x:c>
      <x:c r="G3740" s="2" t="str">
        <x:v>Lighting</x:v>
      </x:c>
      <x:c r="H3740" s="2" t="str">
        <x:v>Lamp 005</x:v>
      </x:c>
      <x:c r="I3740" s="11" t="n">
        <x:v>5</x:v>
      </x:c>
      <x:c r="J3740" s="9" t="n">
        <x:v>65</x:v>
      </x:c>
      <x:c r="K3740" s="10" t="n">
        <x:v>0</x:v>
      </x:c>
      <x:c r="L3740" s="11" t="n">
        <x:v>0</x:v>
      </x:c>
      <x:c r="M3740" s="9" t="n">
        <x:f>IF(D3740="Completed",I3740*J3740,0)</x:f>
        <x:v>325</x:v>
      </x:c>
      <x:c r="N3740" s="9" t="n">
        <x:f>M3740*K3740</x:f>
        <x:v>0</x:v>
      </x:c>
      <x:c r="O3740" s="9" t="n">
        <x:f>M3740-N3740</x:f>
        <x:v>325</x:v>
      </x:c>
      <x:c r="P3740" s="9" t="n">
        <x:f>IF(D3740="Completed",L3740*J3740*(1-K3740),0)</x:f>
        <x:v>0</x:v>
      </x:c>
      <x:c r="Q3740" s="9" t="n">
        <x:f>O3740-P3740</x:f>
        <x:v>325</x:v>
      </x:c>
      <x:c r="R3740" s="11" t="n">
        <x:f>IF(D3740="Completed",I3740,0)</x:f>
        <x:v>5</x:v>
      </x:c>
      <x:c r="S3740" s="11" t="n">
        <x:f>IF(D3740="Completed",L3740,0)</x:f>
        <x:v>0</x:v>
      </x:c>
      <x:c r="T3740" s="8" t="n">
        <x:f>DATE(YEAR(C3740),MONTH(C3740),1)</x:f>
        <x:v>45748</x:v>
      </x:c>
    </x:row>
    <x:row r="3741" ht="22" customHeight="1">
      <x:c r="A3741" s="2" t="str">
        <x:v>L003737</x:v>
      </x:c>
      <x:c r="B3741" s="2" t="str">
        <x:v>O01524</x:v>
      </x:c>
      <x:c r="C3741" s="7" t="n">
        <x:v>45749</x:v>
      </x:c>
      <x:c r="D3741" s="2" t="str">
        <x:v>Completed</x:v>
      </x:c>
      <x:c r="E3741" s="2" t="str">
        <x:v>East</x:v>
      </x:c>
      <x:c r="F3741" s="2" t="str">
        <x:v>Online</x:v>
      </x:c>
      <x:c r="G3741" s="2" t="str">
        <x:v>Furniture</x:v>
      </x:c>
      <x:c r="H3741" s="2" t="str">
        <x:v>Desk 008</x:v>
      </x:c>
      <x:c r="I3741" s="11" t="n">
        <x:v>4</x:v>
      </x:c>
      <x:c r="J3741" s="9" t="n">
        <x:v>188</x:v>
      </x:c>
      <x:c r="K3741" s="10" t="n">
        <x:v>0.2</x:v>
      </x:c>
      <x:c r="L3741" s="11" t="n">
        <x:v>0</x:v>
      </x:c>
      <x:c r="M3741" s="9" t="n">
        <x:f>IF(D3741="Completed",I3741*J3741,0)</x:f>
        <x:v>752</x:v>
      </x:c>
      <x:c r="N3741" s="9" t="n">
        <x:f>M3741*K3741</x:f>
        <x:v>150.4</x:v>
      </x:c>
      <x:c r="O3741" s="9" t="n">
        <x:f>M3741-N3741</x:f>
        <x:v>601.6</x:v>
      </x:c>
      <x:c r="P3741" s="9" t="n">
        <x:f>IF(D3741="Completed",L3741*J3741*(1-K3741),0)</x:f>
        <x:v>0</x:v>
      </x:c>
      <x:c r="Q3741" s="9" t="n">
        <x:f>O3741-P3741</x:f>
        <x:v>601.6</x:v>
      </x:c>
      <x:c r="R3741" s="11" t="n">
        <x:f>IF(D3741="Completed",I3741,0)</x:f>
        <x:v>4</x:v>
      </x:c>
      <x:c r="S3741" s="11" t="n">
        <x:f>IF(D3741="Completed",L3741,0)</x:f>
        <x:v>0</x:v>
      </x:c>
      <x:c r="T3741" s="8" t="n">
        <x:f>DATE(YEAR(C3741),MONTH(C3741),1)</x:f>
        <x:v>45748</x:v>
      </x:c>
    </x:row>
    <x:row r="3742" ht="22" customHeight="1">
      <x:c r="A3742" s="2" t="str">
        <x:v>L003738</x:v>
      </x:c>
      <x:c r="B3742" s="2" t="str">
        <x:v>O01525</x:v>
      </x:c>
      <x:c r="C3742" s="7" t="n">
        <x:v>45822</x:v>
      </x:c>
      <x:c r="D3742" s="2" t="str">
        <x:v>Completed</x:v>
      </x:c>
      <x:c r="E3742" s="2" t="str">
        <x:v>East</x:v>
      </x:c>
      <x:c r="F3742" s="2" t="str">
        <x:v>Online</x:v>
      </x:c>
      <x:c r="G3742" s="2" t="str">
        <x:v>Storage</x:v>
      </x:c>
      <x:c r="H3742" s="2" t="str">
        <x:v>Shelf 023</x:v>
      </x:c>
      <x:c r="I3742" s="11" t="n">
        <x:v>4</x:v>
      </x:c>
      <x:c r="J3742" s="9" t="n">
        <x:v>68</x:v>
      </x:c>
      <x:c r="K3742" s="10" t="n">
        <x:v>0.1</x:v>
      </x:c>
      <x:c r="L3742" s="11" t="n">
        <x:v>0</x:v>
      </x:c>
      <x:c r="M3742" s="9" t="n">
        <x:f>IF(D3742="Completed",I3742*J3742,0)</x:f>
        <x:v>272</x:v>
      </x:c>
      <x:c r="N3742" s="9" t="n">
        <x:f>M3742*K3742</x:f>
        <x:v>27.200000000000003</x:v>
      </x:c>
      <x:c r="O3742" s="9" t="n">
        <x:f>M3742-N3742</x:f>
        <x:v>244.8</x:v>
      </x:c>
      <x:c r="P3742" s="9" t="n">
        <x:f>IF(D3742="Completed",L3742*J3742*(1-K3742),0)</x:f>
        <x:v>0</x:v>
      </x:c>
      <x:c r="Q3742" s="9" t="n">
        <x:f>O3742-P3742</x:f>
        <x:v>244.8</x:v>
      </x:c>
      <x:c r="R3742" s="11" t="n">
        <x:f>IF(D3742="Completed",I3742,0)</x:f>
        <x:v>4</x:v>
      </x:c>
      <x:c r="S3742" s="11" t="n">
        <x:f>IF(D3742="Completed",L3742,0)</x:f>
        <x:v>0</x:v>
      </x:c>
      <x:c r="T3742" s="8" t="n">
        <x:f>DATE(YEAR(C3742),MONTH(C3742),1)</x:f>
        <x:v>45809</x:v>
      </x:c>
    </x:row>
    <x:row r="3743" ht="22" customHeight="1">
      <x:c r="A3743" s="2" t="str">
        <x:v>L003739</x:v>
      </x:c>
      <x:c r="B3743" s="2" t="str">
        <x:v>O01526</x:v>
      </x:c>
      <x:c r="C3743" s="7" t="n">
        <x:v>45938</x:v>
      </x:c>
      <x:c r="D3743" s="2" t="str">
        <x:v>Completed</x:v>
      </x:c>
      <x:c r="E3743" s="2" t="str">
        <x:v>South</x:v>
      </x:c>
      <x:c r="F3743" s="2" t="str">
        <x:v>Online</x:v>
      </x:c>
      <x:c r="G3743" s="2" t="str">
        <x:v>Furniture</x:v>
      </x:c>
      <x:c r="H3743" s="2" t="str">
        <x:v>Desk 016</x:v>
      </x:c>
      <x:c r="I3743" s="11" t="n">
        <x:v>2</x:v>
      </x:c>
      <x:c r="J3743" s="9" t="n">
        <x:v>231</x:v>
      </x:c>
      <x:c r="K3743" s="10" t="n">
        <x:v>0.1</x:v>
      </x:c>
      <x:c r="L3743" s="11" t="n">
        <x:v>2</x:v>
      </x:c>
      <x:c r="M3743" s="9" t="n">
        <x:f>IF(D3743="Completed",I3743*J3743,0)</x:f>
        <x:v>462</x:v>
      </x:c>
      <x:c r="N3743" s="9" t="n">
        <x:f>M3743*K3743</x:f>
        <x:v>46.2</x:v>
      </x:c>
      <x:c r="O3743" s="9" t="n">
        <x:f>M3743-N3743</x:f>
        <x:v>415.8</x:v>
      </x:c>
      <x:c r="P3743" s="9" t="n">
        <x:f>IF(D3743="Completed",L3743*J3743*(1-K3743),0)</x:f>
        <x:v>415.8</x:v>
      </x:c>
      <x:c r="Q3743" s="9" t="n">
        <x:f>O3743-P3743</x:f>
        <x:v>0</x:v>
      </x:c>
      <x:c r="R3743" s="11" t="n">
        <x:f>IF(D3743="Completed",I3743,0)</x:f>
        <x:v>2</x:v>
      </x:c>
      <x:c r="S3743" s="11" t="n">
        <x:f>IF(D3743="Completed",L3743,0)</x:f>
        <x:v>2</x:v>
      </x:c>
      <x:c r="T3743" s="8" t="n">
        <x:f>DATE(YEAR(C3743),MONTH(C3743),1)</x:f>
        <x:v>45931</x:v>
      </x:c>
    </x:row>
    <x:row r="3744" ht="22" customHeight="1">
      <x:c r="A3744" s="2" t="str">
        <x:v>L003740</x:v>
      </x:c>
      <x:c r="B3744" s="2" t="str">
        <x:v>O01527</x:v>
      </x:c>
      <x:c r="C3744" s="7" t="n">
        <x:v>45895</x:v>
      </x:c>
      <x:c r="D3744" s="2" t="str">
        <x:v>Completed</x:v>
      </x:c>
      <x:c r="E3744" s="2" t="str">
        <x:v>South</x:v>
      </x:c>
      <x:c r="F3744" s="2" t="str">
        <x:v>Store</x:v>
      </x:c>
      <x:c r="G3744" s="2" t="str">
        <x:v>Furniture</x:v>
      </x:c>
      <x:c r="H3744" s="2" t="str">
        <x:v>Desk 016</x:v>
      </x:c>
      <x:c r="I3744" s="11" t="n">
        <x:v>1</x:v>
      </x:c>
      <x:c r="J3744" s="9" t="n">
        <x:v>231</x:v>
      </x:c>
      <x:c r="K3744" s="10" t="n">
        <x:v>0.1</x:v>
      </x:c>
      <x:c r="L3744" s="11" t="n">
        <x:v>0</x:v>
      </x:c>
      <x:c r="M3744" s="9" t="n">
        <x:f>IF(D3744="Completed",I3744*J3744,0)</x:f>
        <x:v>231</x:v>
      </x:c>
      <x:c r="N3744" s="9" t="n">
        <x:f>M3744*K3744</x:f>
        <x:v>23.1</x:v>
      </x:c>
      <x:c r="O3744" s="9" t="n">
        <x:f>M3744-N3744</x:f>
        <x:v>207.9</x:v>
      </x:c>
      <x:c r="P3744" s="9" t="n">
        <x:f>IF(D3744="Completed",L3744*J3744*(1-K3744),0)</x:f>
        <x:v>0</x:v>
      </x:c>
      <x:c r="Q3744" s="9" t="n">
        <x:f>O3744-P3744</x:f>
        <x:v>207.9</x:v>
      </x:c>
      <x:c r="R3744" s="11" t="n">
        <x:f>IF(D3744="Completed",I3744,0)</x:f>
        <x:v>1</x:v>
      </x:c>
      <x:c r="S3744" s="11" t="n">
        <x:f>IF(D3744="Completed",L3744,0)</x:f>
        <x:v>0</x:v>
      </x:c>
      <x:c r="T3744" s="8" t="n">
        <x:f>DATE(YEAR(C3744),MONTH(C3744),1)</x:f>
        <x:v>45870</x:v>
      </x:c>
    </x:row>
    <x:row r="3745" ht="22" customHeight="1">
      <x:c r="A3745" s="2" t="str">
        <x:v>L003741</x:v>
      </x:c>
      <x:c r="B3745" s="2" t="str">
        <x:v>O01528</x:v>
      </x:c>
      <x:c r="C3745" s="7" t="n">
        <x:v>45993</x:v>
      </x:c>
      <x:c r="D3745" s="2" t="str">
        <x:v>Completed</x:v>
      </x:c>
      <x:c r="E3745" s="2" t="str">
        <x:v>South</x:v>
      </x:c>
      <x:c r="F3745" s="2" t="str">
        <x:v>Online</x:v>
      </x:c>
      <x:c r="G3745" s="2" t="str">
        <x:v>Furniture</x:v>
      </x:c>
      <x:c r="H3745" s="2" t="str">
        <x:v>Desk 016</x:v>
      </x:c>
      <x:c r="I3745" s="11" t="n">
        <x:v>4</x:v>
      </x:c>
      <x:c r="J3745" s="9" t="n">
        <x:v>231</x:v>
      </x:c>
      <x:c r="K3745" s="10" t="n">
        <x:v>0.05</x:v>
      </x:c>
      <x:c r="L3745" s="11" t="n">
        <x:v>0</x:v>
      </x:c>
      <x:c r="M3745" s="9" t="n">
        <x:f>IF(D3745="Completed",I3745*J3745,0)</x:f>
        <x:v>924</x:v>
      </x:c>
      <x:c r="N3745" s="9" t="n">
        <x:f>M3745*K3745</x:f>
        <x:v>46.2</x:v>
      </x:c>
      <x:c r="O3745" s="9" t="n">
        <x:f>M3745-N3745</x:f>
        <x:v>877.8</x:v>
      </x:c>
      <x:c r="P3745" s="9" t="n">
        <x:f>IF(D3745="Completed",L3745*J3745*(1-K3745),0)</x:f>
        <x:v>0</x:v>
      </x:c>
      <x:c r="Q3745" s="9" t="n">
        <x:f>O3745-P3745</x:f>
        <x:v>877.8</x:v>
      </x:c>
      <x:c r="R3745" s="11" t="n">
        <x:f>IF(D3745="Completed",I3745,0)</x:f>
        <x:v>4</x:v>
      </x:c>
      <x:c r="S3745" s="11" t="n">
        <x:f>IF(D3745="Completed",L3745,0)</x:f>
        <x:v>0</x:v>
      </x:c>
      <x:c r="T3745" s="8" t="n">
        <x:f>DATE(YEAR(C3745),MONTH(C3745),1)</x:f>
        <x:v>45992</x:v>
      </x:c>
    </x:row>
    <x:row r="3746" ht="22" customHeight="1">
      <x:c r="A3746" s="2" t="str">
        <x:v>L003742</x:v>
      </x:c>
      <x:c r="B3746" s="2" t="str">
        <x:v>O01528</x:v>
      </x:c>
      <x:c r="C3746" s="7" t="n">
        <x:v>45993</x:v>
      </x:c>
      <x:c r="D3746" s="2" t="str">
        <x:v>Completed</x:v>
      </x:c>
      <x:c r="E3746" s="2" t="str">
        <x:v>South</x:v>
      </x:c>
      <x:c r="F3746" s="2" t="str">
        <x:v>Online</x:v>
      </x:c>
      <x:c r="G3746" s="2" t="str">
        <x:v>Storage</x:v>
      </x:c>
      <x:c r="H3746" s="2" t="str">
        <x:v>Shelf 023</x:v>
      </x:c>
      <x:c r="I3746" s="11" t="n">
        <x:v>5</x:v>
      </x:c>
      <x:c r="J3746" s="9" t="n">
        <x:v>68</x:v>
      </x:c>
      <x:c r="K3746" s="10" t="n">
        <x:v>0.05</x:v>
      </x:c>
      <x:c r="L3746" s="11" t="n">
        <x:v>0</x:v>
      </x:c>
      <x:c r="M3746" s="9" t="n">
        <x:f>IF(D3746="Completed",I3746*J3746,0)</x:f>
        <x:v>340</x:v>
      </x:c>
      <x:c r="N3746" s="9" t="n">
        <x:f>M3746*K3746</x:f>
        <x:v>17</x:v>
      </x:c>
      <x:c r="O3746" s="9" t="n">
        <x:f>M3746-N3746</x:f>
        <x:v>323</x:v>
      </x:c>
      <x:c r="P3746" s="9" t="n">
        <x:f>IF(D3746="Completed",L3746*J3746*(1-K3746),0)</x:f>
        <x:v>0</x:v>
      </x:c>
      <x:c r="Q3746" s="9" t="n">
        <x:f>O3746-P3746</x:f>
        <x:v>323</x:v>
      </x:c>
      <x:c r="R3746" s="11" t="n">
        <x:f>IF(D3746="Completed",I3746,0)</x:f>
        <x:v>5</x:v>
      </x:c>
      <x:c r="S3746" s="11" t="n">
        <x:f>IF(D3746="Completed",L3746,0)</x:f>
        <x:v>0</x:v>
      </x:c>
      <x:c r="T3746" s="8" t="n">
        <x:f>DATE(YEAR(C3746),MONTH(C3746),1)</x:f>
        <x:v>45992</x:v>
      </x:c>
    </x:row>
    <x:row r="3747" ht="22" customHeight="1">
      <x:c r="A3747" s="2" t="str">
        <x:v>L003743</x:v>
      </x:c>
      <x:c r="B3747" s="2" t="str">
        <x:v>O01529</x:v>
      </x:c>
      <x:c r="C3747" s="7" t="n">
        <x:v>45935</x:v>
      </x:c>
      <x:c r="D3747" s="2" t="str">
        <x:v>Completed</x:v>
      </x:c>
      <x:c r="E3747" s="2" t="str">
        <x:v>West</x:v>
      </x:c>
      <x:c r="F3747" s="2" t="str">
        <x:v>Store</x:v>
      </x:c>
      <x:c r="G3747" s="2" t="str">
        <x:v>Lighting</x:v>
      </x:c>
      <x:c r="H3747" s="2" t="str">
        <x:v>Lamp 017</x:v>
      </x:c>
      <x:c r="I3747" s="11" t="n">
        <x:v>3</x:v>
      </x:c>
      <x:c r="J3747" s="9" t="n">
        <x:v>300</x:v>
      </x:c>
      <x:c r="K3747" s="10" t="n">
        <x:v>0.2</x:v>
      </x:c>
      <x:c r="L3747" s="11" t="n">
        <x:v>0</x:v>
      </x:c>
      <x:c r="M3747" s="9" t="n">
        <x:f>IF(D3747="Completed",I3747*J3747,0)</x:f>
        <x:v>900</x:v>
      </x:c>
      <x:c r="N3747" s="9" t="n">
        <x:f>M3747*K3747</x:f>
        <x:v>180</x:v>
      </x:c>
      <x:c r="O3747" s="9" t="n">
        <x:f>M3747-N3747</x:f>
        <x:v>720</x:v>
      </x:c>
      <x:c r="P3747" s="9" t="n">
        <x:f>IF(D3747="Completed",L3747*J3747*(1-K3747),0)</x:f>
        <x:v>0</x:v>
      </x:c>
      <x:c r="Q3747" s="9" t="n">
        <x:f>O3747-P3747</x:f>
        <x:v>720</x:v>
      </x:c>
      <x:c r="R3747" s="11" t="n">
        <x:f>IF(D3747="Completed",I3747,0)</x:f>
        <x:v>3</x:v>
      </x:c>
      <x:c r="S3747" s="11" t="n">
        <x:f>IF(D3747="Completed",L3747,0)</x:f>
        <x:v>0</x:v>
      </x:c>
      <x:c r="T3747" s="8" t="n">
        <x:f>DATE(YEAR(C3747),MONTH(C3747),1)</x:f>
        <x:v>45931</x:v>
      </x:c>
    </x:row>
    <x:row r="3748" ht="22" customHeight="1">
      <x:c r="A3748" s="2" t="str">
        <x:v>L003744</x:v>
      </x:c>
      <x:c r="B3748" s="2" t="str">
        <x:v>O01529</x:v>
      </x:c>
      <x:c r="C3748" s="7" t="n">
        <x:v>45935</x:v>
      </x:c>
      <x:c r="D3748" s="2" t="str">
        <x:v>Completed</x:v>
      </x:c>
      <x:c r="E3748" s="2" t="str">
        <x:v>West</x:v>
      </x:c>
      <x:c r="F3748" s="2" t="str">
        <x:v>Store</x:v>
      </x:c>
      <x:c r="G3748" s="2" t="str">
        <x:v>Furniture</x:v>
      </x:c>
      <x:c r="H3748" s="2" t="str">
        <x:v>Chair 018</x:v>
      </x:c>
      <x:c r="I3748" s="11" t="n">
        <x:v>1</x:v>
      </x:c>
      <x:c r="J3748" s="9" t="n">
        <x:v>269</x:v>
      </x:c>
      <x:c r="K3748" s="10" t="n">
        <x:v>0</x:v>
      </x:c>
      <x:c r="L3748" s="11" t="n">
        <x:v>0</x:v>
      </x:c>
      <x:c r="M3748" s="9" t="n">
        <x:f>IF(D3748="Completed",I3748*J3748,0)</x:f>
        <x:v>269</x:v>
      </x:c>
      <x:c r="N3748" s="9" t="n">
        <x:f>M3748*K3748</x:f>
        <x:v>0</x:v>
      </x:c>
      <x:c r="O3748" s="9" t="n">
        <x:f>M3748-N3748</x:f>
        <x:v>269</x:v>
      </x:c>
      <x:c r="P3748" s="9" t="n">
        <x:f>IF(D3748="Completed",L3748*J3748*(1-K3748),0)</x:f>
        <x:v>0</x:v>
      </x:c>
      <x:c r="Q3748" s="9" t="n">
        <x:f>O3748-P3748</x:f>
        <x:v>269</x:v>
      </x:c>
      <x:c r="R3748" s="11" t="n">
        <x:f>IF(D3748="Completed",I3748,0)</x:f>
        <x:v>1</x:v>
      </x:c>
      <x:c r="S3748" s="11" t="n">
        <x:f>IF(D3748="Completed",L3748,0)</x:f>
        <x:v>0</x:v>
      </x:c>
      <x:c r="T3748" s="8" t="n">
        <x:f>DATE(YEAR(C3748),MONTH(C3748),1)</x:f>
        <x:v>45931</x:v>
      </x:c>
    </x:row>
    <x:row r="3749" ht="22" customHeight="1">
      <x:c r="A3749" s="2" t="str">
        <x:v>L003745</x:v>
      </x:c>
      <x:c r="B3749" s="2" t="str">
        <x:v>O01529</x:v>
      </x:c>
      <x:c r="C3749" s="7" t="n">
        <x:v>45935</x:v>
      </x:c>
      <x:c r="D3749" s="2" t="str">
        <x:v>Completed</x:v>
      </x:c>
      <x:c r="E3749" s="2" t="str">
        <x:v>West</x:v>
      </x:c>
      <x:c r="F3749" s="2" t="str">
        <x:v>Store</x:v>
      </x:c>
      <x:c r="G3749" s="2" t="str">
        <x:v>Furniture</x:v>
      </x:c>
      <x:c r="H3749" s="2" t="str">
        <x:v>Desk 012</x:v>
      </x:c>
      <x:c r="I3749" s="11" t="n">
        <x:v>3</x:v>
      </x:c>
      <x:c r="J3749" s="9" t="n">
        <x:v>134</x:v>
      </x:c>
      <x:c r="K3749" s="10" t="n">
        <x:v>0</x:v>
      </x:c>
      <x:c r="L3749" s="11" t="n">
        <x:v>0</x:v>
      </x:c>
      <x:c r="M3749" s="9" t="n">
        <x:f>IF(D3749="Completed",I3749*J3749,0)</x:f>
        <x:v>402</x:v>
      </x:c>
      <x:c r="N3749" s="9" t="n">
        <x:f>M3749*K3749</x:f>
        <x:v>0</x:v>
      </x:c>
      <x:c r="O3749" s="9" t="n">
        <x:f>M3749-N3749</x:f>
        <x:v>402</x:v>
      </x:c>
      <x:c r="P3749" s="9" t="n">
        <x:f>IF(D3749="Completed",L3749*J3749*(1-K3749),0)</x:f>
        <x:v>0</x:v>
      </x:c>
      <x:c r="Q3749" s="9" t="n">
        <x:f>O3749-P3749</x:f>
        <x:v>402</x:v>
      </x:c>
      <x:c r="R3749" s="11" t="n">
        <x:f>IF(D3749="Completed",I3749,0)</x:f>
        <x:v>3</x:v>
      </x:c>
      <x:c r="S3749" s="11" t="n">
        <x:f>IF(D3749="Completed",L3749,0)</x:f>
        <x:v>0</x:v>
      </x:c>
      <x:c r="T3749" s="8" t="n">
        <x:f>DATE(YEAR(C3749),MONTH(C3749),1)</x:f>
        <x:v>45931</x:v>
      </x:c>
    </x:row>
    <x:row r="3750" ht="22" customHeight="1">
      <x:c r="A3750" s="2" t="str">
        <x:v>L003746</x:v>
      </x:c>
      <x:c r="B3750" s="2" t="str">
        <x:v>O01529</x:v>
      </x:c>
      <x:c r="C3750" s="7" t="n">
        <x:v>45935</x:v>
      </x:c>
      <x:c r="D3750" s="2" t="str">
        <x:v>Completed</x:v>
      </x:c>
      <x:c r="E3750" s="2" t="str">
        <x:v>West</x:v>
      </x:c>
      <x:c r="F3750" s="2" t="str">
        <x:v>Store</x:v>
      </x:c>
      <x:c r="G3750" s="2" t="str">
        <x:v>Furniture</x:v>
      </x:c>
      <x:c r="H3750" s="2" t="str">
        <x:v>Desk 004</x:v>
      </x:c>
      <x:c r="I3750" s="11" t="n">
        <x:v>1</x:v>
      </x:c>
      <x:c r="J3750" s="9" t="n">
        <x:v>123</x:v>
      </x:c>
      <x:c r="K3750" s="10" t="n">
        <x:v>0.1</x:v>
      </x:c>
      <x:c r="L3750" s="11" t="n">
        <x:v>0</x:v>
      </x:c>
      <x:c r="M3750" s="9" t="n">
        <x:f>IF(D3750="Completed",I3750*J3750,0)</x:f>
        <x:v>123</x:v>
      </x:c>
      <x:c r="N3750" s="9" t="n">
        <x:f>M3750*K3750</x:f>
        <x:v>12.3</x:v>
      </x:c>
      <x:c r="O3750" s="9" t="n">
        <x:f>M3750-N3750</x:f>
        <x:v>110.7</x:v>
      </x:c>
      <x:c r="P3750" s="9" t="n">
        <x:f>IF(D3750="Completed",L3750*J3750*(1-K3750),0)</x:f>
        <x:v>0</x:v>
      </x:c>
      <x:c r="Q3750" s="9" t="n">
        <x:f>O3750-P3750</x:f>
        <x:v>110.7</x:v>
      </x:c>
      <x:c r="R3750" s="11" t="n">
        <x:f>IF(D3750="Completed",I3750,0)</x:f>
        <x:v>1</x:v>
      </x:c>
      <x:c r="S3750" s="11" t="n">
        <x:f>IF(D3750="Completed",L3750,0)</x:f>
        <x:v>0</x:v>
      </x:c>
      <x:c r="T3750" s="8" t="n">
        <x:f>DATE(YEAR(C3750),MONTH(C3750),1)</x:f>
        <x:v>45931</x:v>
      </x:c>
    </x:row>
    <x:row r="3751" ht="22" customHeight="1">
      <x:c r="A3751" s="2" t="str">
        <x:v>L003747</x:v>
      </x:c>
      <x:c r="B3751" s="2" t="str">
        <x:v>O01530</x:v>
      </x:c>
      <x:c r="C3751" s="7" t="n">
        <x:v>45773</x:v>
      </x:c>
      <x:c r="D3751" s="2" t="str">
        <x:v>Cancelled</x:v>
      </x:c>
      <x:c r="E3751" s="2" t="str">
        <x:v>North</x:v>
      </x:c>
      <x:c r="F3751" s="2" t="str">
        <x:v>Store</x:v>
      </x:c>
      <x:c r="G3751" s="2" t="str">
        <x:v>Furniture</x:v>
      </x:c>
      <x:c r="H3751" s="2" t="str">
        <x:v>Chair 006</x:v>
      </x:c>
      <x:c r="I3751" s="11" t="n">
        <x:v>4</x:v>
      </x:c>
      <x:c r="J3751" s="9" t="n">
        <x:v>196</x:v>
      </x:c>
      <x:c r="K3751" s="10" t="n">
        <x:v>0</x:v>
      </x:c>
      <x:c r="L3751" s="11" t="n">
        <x:v>0</x:v>
      </x:c>
      <x:c r="M3751" s="9" t="n">
        <x:f>IF(D3751="Completed",I3751*J3751,0)</x:f>
        <x:v>0</x:v>
      </x:c>
      <x:c r="N3751" s="9" t="n">
        <x:f>M3751*K3751</x:f>
        <x:v>0</x:v>
      </x:c>
      <x:c r="O3751" s="9" t="n">
        <x:f>M3751-N3751</x:f>
        <x:v>0</x:v>
      </x:c>
      <x:c r="P3751" s="9" t="n">
        <x:f>IF(D3751="Completed",L3751*J3751*(1-K3751),0)</x:f>
        <x:v>0</x:v>
      </x:c>
      <x:c r="Q3751" s="9" t="n">
        <x:f>O3751-P3751</x:f>
        <x:v>0</x:v>
      </x:c>
      <x:c r="R3751" s="11" t="n">
        <x:f>IF(D3751="Completed",I3751,0)</x:f>
        <x:v>0</x:v>
      </x:c>
      <x:c r="S3751" s="11" t="n">
        <x:f>IF(D3751="Completed",L3751,0)</x:f>
        <x:v>0</x:v>
      </x:c>
      <x:c r="T3751" s="8" t="n">
        <x:f>DATE(YEAR(C3751),MONTH(C3751),1)</x:f>
        <x:v>45748</x:v>
      </x:c>
    </x:row>
    <x:row r="3752" ht="22" customHeight="1">
      <x:c r="A3752" s="2" t="str">
        <x:v>L003748</x:v>
      </x:c>
      <x:c r="B3752" s="2" t="str">
        <x:v>O01530</x:v>
      </x:c>
      <x:c r="C3752" s="7" t="n">
        <x:v>45773</x:v>
      </x:c>
      <x:c r="D3752" s="2" t="str">
        <x:v>Cancelled</x:v>
      </x:c>
      <x:c r="E3752" s="2" t="str">
        <x:v>North</x:v>
      </x:c>
      <x:c r="F3752" s="2" t="str">
        <x:v>Store</x:v>
      </x:c>
      <x:c r="G3752" s="2" t="str">
        <x:v>Lighting</x:v>
      </x:c>
      <x:c r="H3752" s="2" t="str">
        <x:v>Lamp 001</x:v>
      </x:c>
      <x:c r="I3752" s="11" t="n">
        <x:v>5</x:v>
      </x:c>
      <x:c r="J3752" s="9" t="n">
        <x:v>122</x:v>
      </x:c>
      <x:c r="K3752" s="10" t="n">
        <x:v>0.1</x:v>
      </x:c>
      <x:c r="L3752" s="11" t="n">
        <x:v>0</x:v>
      </x:c>
      <x:c r="M3752" s="9" t="n">
        <x:f>IF(D3752="Completed",I3752*J3752,0)</x:f>
        <x:v>0</x:v>
      </x:c>
      <x:c r="N3752" s="9" t="n">
        <x:f>M3752*K3752</x:f>
        <x:v>0</x:v>
      </x:c>
      <x:c r="O3752" s="9" t="n">
        <x:f>M3752-N3752</x:f>
        <x:v>0</x:v>
      </x:c>
      <x:c r="P3752" s="9" t="n">
        <x:f>IF(D3752="Completed",L3752*J3752*(1-K3752),0)</x:f>
        <x:v>0</x:v>
      </x:c>
      <x:c r="Q3752" s="9" t="n">
        <x:f>O3752-P3752</x:f>
        <x:v>0</x:v>
      </x:c>
      <x:c r="R3752" s="11" t="n">
        <x:f>IF(D3752="Completed",I3752,0)</x:f>
        <x:v>0</x:v>
      </x:c>
      <x:c r="S3752" s="11" t="n">
        <x:f>IF(D3752="Completed",L3752,0)</x:f>
        <x:v>0</x:v>
      </x:c>
      <x:c r="T3752" s="8" t="n">
        <x:f>DATE(YEAR(C3752),MONTH(C3752),1)</x:f>
        <x:v>45748</x:v>
      </x:c>
    </x:row>
    <x:row r="3753" ht="22" customHeight="1">
      <x:c r="A3753" s="2" t="str">
        <x:v>L003749</x:v>
      </x:c>
      <x:c r="B3753" s="2" t="str">
        <x:v>O01530</x:v>
      </x:c>
      <x:c r="C3753" s="7" t="n">
        <x:v>45773</x:v>
      </x:c>
      <x:c r="D3753" s="2" t="str">
        <x:v>Cancelled</x:v>
      </x:c>
      <x:c r="E3753" s="2" t="str">
        <x:v>North</x:v>
      </x:c>
      <x:c r="F3753" s="2" t="str">
        <x:v>Store</x:v>
      </x:c>
      <x:c r="G3753" s="2" t="str">
        <x:v>Storage</x:v>
      </x:c>
      <x:c r="H3753" s="2" t="str">
        <x:v>Shelf 015</x:v>
      </x:c>
      <x:c r="I3753" s="11" t="n">
        <x:v>5</x:v>
      </x:c>
      <x:c r="J3753" s="9" t="n">
        <x:v>254</x:v>
      </x:c>
      <x:c r="K3753" s="10" t="n">
        <x:v>0</x:v>
      </x:c>
      <x:c r="L3753" s="11" t="n">
        <x:v>0</x:v>
      </x:c>
      <x:c r="M3753" s="9" t="n">
        <x:f>IF(D3753="Completed",I3753*J3753,0)</x:f>
        <x:v>0</x:v>
      </x:c>
      <x:c r="N3753" s="9" t="n">
        <x:f>M3753*K3753</x:f>
        <x:v>0</x:v>
      </x:c>
      <x:c r="O3753" s="9" t="n">
        <x:f>M3753-N3753</x:f>
        <x:v>0</x:v>
      </x:c>
      <x:c r="P3753" s="9" t="n">
        <x:f>IF(D3753="Completed",L3753*J3753*(1-K3753),0)</x:f>
        <x:v>0</x:v>
      </x:c>
      <x:c r="Q3753" s="9" t="n">
        <x:f>O3753-P3753</x:f>
        <x:v>0</x:v>
      </x:c>
      <x:c r="R3753" s="11" t="n">
        <x:f>IF(D3753="Completed",I3753,0)</x:f>
        <x:v>0</x:v>
      </x:c>
      <x:c r="S3753" s="11" t="n">
        <x:f>IF(D3753="Completed",L3753,0)</x:f>
        <x:v>0</x:v>
      </x:c>
      <x:c r="T3753" s="8" t="n">
        <x:f>DATE(YEAR(C3753),MONTH(C3753),1)</x:f>
        <x:v>45748</x:v>
      </x:c>
    </x:row>
    <x:row r="3754" ht="22" customHeight="1">
      <x:c r="A3754" s="2" t="str">
        <x:v>L003750</x:v>
      </x:c>
      <x:c r="B3754" s="2" t="str">
        <x:v>O01531</x:v>
      </x:c>
      <x:c r="C3754" s="7" t="n">
        <x:v>45761</x:v>
      </x:c>
      <x:c r="D3754" s="2" t="str">
        <x:v>Completed</x:v>
      </x:c>
      <x:c r="E3754" s="2" t="str">
        <x:v>East</x:v>
      </x:c>
      <x:c r="F3754" s="2" t="str">
        <x:v>Online</x:v>
      </x:c>
      <x:c r="G3754" s="2" t="str">
        <x:v>Storage</x:v>
      </x:c>
      <x:c r="H3754" s="2" t="str">
        <x:v>Shelf 003</x:v>
      </x:c>
      <x:c r="I3754" s="11" t="n">
        <x:v>4</x:v>
      </x:c>
      <x:c r="J3754" s="9" t="n">
        <x:v>199</x:v>
      </x:c>
      <x:c r="K3754" s="10" t="n">
        <x:v>0.05</x:v>
      </x:c>
      <x:c r="L3754" s="11" t="n">
        <x:v>0</x:v>
      </x:c>
      <x:c r="M3754" s="9" t="n">
        <x:f>IF(D3754="Completed",I3754*J3754,0)</x:f>
        <x:v>796</x:v>
      </x:c>
      <x:c r="N3754" s="9" t="n">
        <x:f>M3754*K3754</x:f>
        <x:v>39.800000000000004</x:v>
      </x:c>
      <x:c r="O3754" s="9" t="n">
        <x:f>M3754-N3754</x:f>
        <x:v>756.2</x:v>
      </x:c>
      <x:c r="P3754" s="9" t="n">
        <x:f>IF(D3754="Completed",L3754*J3754*(1-K3754),0)</x:f>
        <x:v>0</x:v>
      </x:c>
      <x:c r="Q3754" s="9" t="n">
        <x:f>O3754-P3754</x:f>
        <x:v>756.2</x:v>
      </x:c>
      <x:c r="R3754" s="11" t="n">
        <x:f>IF(D3754="Completed",I3754,0)</x:f>
        <x:v>4</x:v>
      </x:c>
      <x:c r="S3754" s="11" t="n">
        <x:f>IF(D3754="Completed",L3754,0)</x:f>
        <x:v>0</x:v>
      </x:c>
      <x:c r="T3754" s="8" t="n">
        <x:f>DATE(YEAR(C3754),MONTH(C3754),1)</x:f>
        <x:v>45748</x:v>
      </x:c>
    </x:row>
    <x:row r="3755" ht="22" customHeight="1">
      <x:c r="A3755" s="2" t="str">
        <x:v>L003751</x:v>
      </x:c>
      <x:c r="B3755" s="2" t="str">
        <x:v>O01531</x:v>
      </x:c>
      <x:c r="C3755" s="7" t="n">
        <x:v>45761</x:v>
      </x:c>
      <x:c r="D3755" s="2" t="str">
        <x:v>Completed</x:v>
      </x:c>
      <x:c r="E3755" s="2" t="str">
        <x:v>East</x:v>
      </x:c>
      <x:c r="F3755" s="2" t="str">
        <x:v>Online</x:v>
      </x:c>
      <x:c r="G3755" s="2" t="str">
        <x:v>Furniture</x:v>
      </x:c>
      <x:c r="H3755" s="2" t="str">
        <x:v>Desk 004</x:v>
      </x:c>
      <x:c r="I3755" s="11" t="n">
        <x:v>2</x:v>
      </x:c>
      <x:c r="J3755" s="9" t="n">
        <x:v>123</x:v>
      </x:c>
      <x:c r="K3755" s="10" t="n">
        <x:v>0.05</x:v>
      </x:c>
      <x:c r="L3755" s="11" t="n">
        <x:v>0</x:v>
      </x:c>
      <x:c r="M3755" s="9" t="n">
        <x:f>IF(D3755="Completed",I3755*J3755,0)</x:f>
        <x:v>246</x:v>
      </x:c>
      <x:c r="N3755" s="9" t="n">
        <x:f>M3755*K3755</x:f>
        <x:v>12.3</x:v>
      </x:c>
      <x:c r="O3755" s="9" t="n">
        <x:f>M3755-N3755</x:f>
        <x:v>233.7</x:v>
      </x:c>
      <x:c r="P3755" s="9" t="n">
        <x:f>IF(D3755="Completed",L3755*J3755*(1-K3755),0)</x:f>
        <x:v>0</x:v>
      </x:c>
      <x:c r="Q3755" s="9" t="n">
        <x:f>O3755-P3755</x:f>
        <x:v>233.7</x:v>
      </x:c>
      <x:c r="R3755" s="11" t="n">
        <x:f>IF(D3755="Completed",I3755,0)</x:f>
        <x:v>2</x:v>
      </x:c>
      <x:c r="S3755" s="11" t="n">
        <x:f>IF(D3755="Completed",L3755,0)</x:f>
        <x:v>0</x:v>
      </x:c>
      <x:c r="T3755" s="8" t="n">
        <x:f>DATE(YEAR(C3755),MONTH(C3755),1)</x:f>
        <x:v>45748</x:v>
      </x:c>
    </x:row>
    <x:row r="3756" ht="22" customHeight="1">
      <x:c r="A3756" s="2" t="str">
        <x:v>L003752</x:v>
      </x:c>
      <x:c r="B3756" s="2" t="str">
        <x:v>O01531</x:v>
      </x:c>
      <x:c r="C3756" s="7" t="n">
        <x:v>45761</x:v>
      </x:c>
      <x:c r="D3756" s="2" t="str">
        <x:v>Completed</x:v>
      </x:c>
      <x:c r="E3756" s="2" t="str">
        <x:v>East</x:v>
      </x:c>
      <x:c r="F3756" s="2" t="str">
        <x:v>Online</x:v>
      </x:c>
      <x:c r="G3756" s="2" t="str">
        <x:v>Lighting</x:v>
      </x:c>
      <x:c r="H3756" s="2" t="str">
        <x:v>Lamp 009</x:v>
      </x:c>
      <x:c r="I3756" s="11" t="n">
        <x:v>3</x:v>
      </x:c>
      <x:c r="J3756" s="9" t="n">
        <x:v>93</x:v>
      </x:c>
      <x:c r="K3756" s="10" t="n">
        <x:v>0.1</x:v>
      </x:c>
      <x:c r="L3756" s="11" t="n">
        <x:v>0</x:v>
      </x:c>
      <x:c r="M3756" s="9" t="n">
        <x:f>IF(D3756="Completed",I3756*J3756,0)</x:f>
        <x:v>279</x:v>
      </x:c>
      <x:c r="N3756" s="9" t="n">
        <x:f>M3756*K3756</x:f>
        <x:v>27.900000000000002</x:v>
      </x:c>
      <x:c r="O3756" s="9" t="n">
        <x:f>M3756-N3756</x:f>
        <x:v>251.1</x:v>
      </x:c>
      <x:c r="P3756" s="9" t="n">
        <x:f>IF(D3756="Completed",L3756*J3756*(1-K3756),0)</x:f>
        <x:v>0</x:v>
      </x:c>
      <x:c r="Q3756" s="9" t="n">
        <x:f>O3756-P3756</x:f>
        <x:v>251.1</x:v>
      </x:c>
      <x:c r="R3756" s="11" t="n">
        <x:f>IF(D3756="Completed",I3756,0)</x:f>
        <x:v>3</x:v>
      </x:c>
      <x:c r="S3756" s="11" t="n">
        <x:f>IF(D3756="Completed",L3756,0)</x:f>
        <x:v>0</x:v>
      </x:c>
      <x:c r="T3756" s="8" t="n">
        <x:f>DATE(YEAR(C3756),MONTH(C3756),1)</x:f>
        <x:v>45748</x:v>
      </x:c>
    </x:row>
    <x:row r="3757" ht="22" customHeight="1">
      <x:c r="A3757" s="2" t="str">
        <x:v>L003753</x:v>
      </x:c>
      <x:c r="B3757" s="2" t="str">
        <x:v>O01532</x:v>
      </x:c>
      <x:c r="C3757" s="7" t="n">
        <x:v>45745</x:v>
      </x:c>
      <x:c r="D3757" s="2" t="str">
        <x:v>Cancelled</x:v>
      </x:c>
      <x:c r="E3757" s="2" t="str">
        <x:v>North</x:v>
      </x:c>
      <x:c r="F3757" s="2" t="str">
        <x:v>Store</x:v>
      </x:c>
      <x:c r="G3757" s="2" t="str">
        <x:v>Furniture</x:v>
      </x:c>
      <x:c r="H3757" s="2" t="str">
        <x:v>Chair 022</x:v>
      </x:c>
      <x:c r="I3757" s="11" t="n">
        <x:v>5</x:v>
      </x:c>
      <x:c r="J3757" s="9" t="n">
        <x:v>134</x:v>
      </x:c>
      <x:c r="K3757" s="10" t="n">
        <x:v>0</x:v>
      </x:c>
      <x:c r="L3757" s="11" t="n">
        <x:v>0</x:v>
      </x:c>
      <x:c r="M3757" s="9" t="n">
        <x:f>IF(D3757="Completed",I3757*J3757,0)</x:f>
        <x:v>0</x:v>
      </x:c>
      <x:c r="N3757" s="9" t="n">
        <x:f>M3757*K3757</x:f>
        <x:v>0</x:v>
      </x:c>
      <x:c r="O3757" s="9" t="n">
        <x:f>M3757-N3757</x:f>
        <x:v>0</x:v>
      </x:c>
      <x:c r="P3757" s="9" t="n">
        <x:f>IF(D3757="Completed",L3757*J3757*(1-K3757),0)</x:f>
        <x:v>0</x:v>
      </x:c>
      <x:c r="Q3757" s="9" t="n">
        <x:f>O3757-P3757</x:f>
        <x:v>0</x:v>
      </x:c>
      <x:c r="R3757" s="11" t="n">
        <x:f>IF(D3757="Completed",I3757,0)</x:f>
        <x:v>0</x:v>
      </x:c>
      <x:c r="S3757" s="11" t="n">
        <x:f>IF(D3757="Completed",L3757,0)</x:f>
        <x:v>0</x:v>
      </x:c>
      <x:c r="T3757" s="8" t="n">
        <x:f>DATE(YEAR(C3757),MONTH(C3757),1)</x:f>
        <x:v>45717</x:v>
      </x:c>
    </x:row>
    <x:row r="3758" ht="22" customHeight="1">
      <x:c r="A3758" s="2" t="str">
        <x:v>L003754</x:v>
      </x:c>
      <x:c r="B3758" s="2" t="str">
        <x:v>O01532</x:v>
      </x:c>
      <x:c r="C3758" s="7" t="n">
        <x:v>45745</x:v>
      </x:c>
      <x:c r="D3758" s="2" t="str">
        <x:v>Cancelled</x:v>
      </x:c>
      <x:c r="E3758" s="2" t="str">
        <x:v>North</x:v>
      </x:c>
      <x:c r="F3758" s="2" t="str">
        <x:v>Store</x:v>
      </x:c>
      <x:c r="G3758" s="2" t="str">
        <x:v>Lighting</x:v>
      </x:c>
      <x:c r="H3758" s="2" t="str">
        <x:v>Lamp 013</x:v>
      </x:c>
      <x:c r="I3758" s="11" t="n">
        <x:v>2</x:v>
      </x:c>
      <x:c r="J3758" s="9" t="n">
        <x:v>271</x:v>
      </x:c>
      <x:c r="K3758" s="10" t="n">
        <x:v>0.2</x:v>
      </x:c>
      <x:c r="L3758" s="11" t="n">
        <x:v>0</x:v>
      </x:c>
      <x:c r="M3758" s="9" t="n">
        <x:f>IF(D3758="Completed",I3758*J3758,0)</x:f>
        <x:v>0</x:v>
      </x:c>
      <x:c r="N3758" s="9" t="n">
        <x:f>M3758*K3758</x:f>
        <x:v>0</x:v>
      </x:c>
      <x:c r="O3758" s="9" t="n">
        <x:f>M3758-N3758</x:f>
        <x:v>0</x:v>
      </x:c>
      <x:c r="P3758" s="9" t="n">
        <x:f>IF(D3758="Completed",L3758*J3758*(1-K3758),0)</x:f>
        <x:v>0</x:v>
      </x:c>
      <x:c r="Q3758" s="9" t="n">
        <x:f>O3758-P3758</x:f>
        <x:v>0</x:v>
      </x:c>
      <x:c r="R3758" s="11" t="n">
        <x:f>IF(D3758="Completed",I3758,0)</x:f>
        <x:v>0</x:v>
      </x:c>
      <x:c r="S3758" s="11" t="n">
        <x:f>IF(D3758="Completed",L3758,0)</x:f>
        <x:v>0</x:v>
      </x:c>
      <x:c r="T3758" s="8" t="n">
        <x:f>DATE(YEAR(C3758),MONTH(C3758),1)</x:f>
        <x:v>45717</x:v>
      </x:c>
    </x:row>
    <x:row r="3759" ht="22" customHeight="1">
      <x:c r="A3759" s="2" t="str">
        <x:v>L003755</x:v>
      </x:c>
      <x:c r="B3759" s="2" t="str">
        <x:v>O01533</x:v>
      </x:c>
      <x:c r="C3759" s="7" t="n">
        <x:v>45813</x:v>
      </x:c>
      <x:c r="D3759" s="2" t="str">
        <x:v>Completed</x:v>
      </x:c>
      <x:c r="E3759" s="2" t="str">
        <x:v>North</x:v>
      </x:c>
      <x:c r="F3759" s="2" t="str">
        <x:v>Online</x:v>
      </x:c>
      <x:c r="G3759" s="2" t="str">
        <x:v>Furniture</x:v>
      </x:c>
      <x:c r="H3759" s="2" t="str">
        <x:v>Chair 010</x:v>
      </x:c>
      <x:c r="I3759" s="11" t="n">
        <x:v>3</x:v>
      </x:c>
      <x:c r="J3759" s="9" t="n">
        <x:v>211</x:v>
      </x:c>
      <x:c r="K3759" s="10" t="n">
        <x:v>0</x:v>
      </x:c>
      <x:c r="L3759" s="11" t="n">
        <x:v>3</x:v>
      </x:c>
      <x:c r="M3759" s="9" t="n">
        <x:f>IF(D3759="Completed",I3759*J3759,0)</x:f>
        <x:v>633</x:v>
      </x:c>
      <x:c r="N3759" s="9" t="n">
        <x:f>M3759*K3759</x:f>
        <x:v>0</x:v>
      </x:c>
      <x:c r="O3759" s="9" t="n">
        <x:f>M3759-N3759</x:f>
        <x:v>633</x:v>
      </x:c>
      <x:c r="P3759" s="9" t="n">
        <x:f>IF(D3759="Completed",L3759*J3759*(1-K3759),0)</x:f>
        <x:v>633</x:v>
      </x:c>
      <x:c r="Q3759" s="9" t="n">
        <x:f>O3759-P3759</x:f>
        <x:v>0</x:v>
      </x:c>
      <x:c r="R3759" s="11" t="n">
        <x:f>IF(D3759="Completed",I3759,0)</x:f>
        <x:v>3</x:v>
      </x:c>
      <x:c r="S3759" s="11" t="n">
        <x:f>IF(D3759="Completed",L3759,0)</x:f>
        <x:v>3</x:v>
      </x:c>
      <x:c r="T3759" s="8" t="n">
        <x:f>DATE(YEAR(C3759),MONTH(C3759),1)</x:f>
        <x:v>45809</x:v>
      </x:c>
    </x:row>
    <x:row r="3760" ht="22" customHeight="1">
      <x:c r="A3760" s="2" t="str">
        <x:v>L003756</x:v>
      </x:c>
      <x:c r="B3760" s="2" t="str">
        <x:v>O01533</x:v>
      </x:c>
      <x:c r="C3760" s="7" t="n">
        <x:v>45813</x:v>
      </x:c>
      <x:c r="D3760" s="2" t="str">
        <x:v>Completed</x:v>
      </x:c>
      <x:c r="E3760" s="2" t="str">
        <x:v>North</x:v>
      </x:c>
      <x:c r="F3760" s="2" t="str">
        <x:v>Online</x:v>
      </x:c>
      <x:c r="G3760" s="2" t="str">
        <x:v>Lighting</x:v>
      </x:c>
      <x:c r="H3760" s="2" t="str">
        <x:v>Lamp 013</x:v>
      </x:c>
      <x:c r="I3760" s="11" t="n">
        <x:v>1</x:v>
      </x:c>
      <x:c r="J3760" s="9" t="n">
        <x:v>271</x:v>
      </x:c>
      <x:c r="K3760" s="10" t="n">
        <x:v>0</x:v>
      </x:c>
      <x:c r="L3760" s="11" t="n">
        <x:v>0</x:v>
      </x:c>
      <x:c r="M3760" s="9" t="n">
        <x:f>IF(D3760="Completed",I3760*J3760,0)</x:f>
        <x:v>271</x:v>
      </x:c>
      <x:c r="N3760" s="9" t="n">
        <x:f>M3760*K3760</x:f>
        <x:v>0</x:v>
      </x:c>
      <x:c r="O3760" s="9" t="n">
        <x:f>M3760-N3760</x:f>
        <x:v>271</x:v>
      </x:c>
      <x:c r="P3760" s="9" t="n">
        <x:f>IF(D3760="Completed",L3760*J3760*(1-K3760),0)</x:f>
        <x:v>0</x:v>
      </x:c>
      <x:c r="Q3760" s="9" t="n">
        <x:f>O3760-P3760</x:f>
        <x:v>271</x:v>
      </x:c>
      <x:c r="R3760" s="11" t="n">
        <x:f>IF(D3760="Completed",I3760,0)</x:f>
        <x:v>1</x:v>
      </x:c>
      <x:c r="S3760" s="11" t="n">
        <x:f>IF(D3760="Completed",L3760,0)</x:f>
        <x:v>0</x:v>
      </x:c>
      <x:c r="T3760" s="8" t="n">
        <x:f>DATE(YEAR(C3760),MONTH(C3760),1)</x:f>
        <x:v>45809</x:v>
      </x:c>
    </x:row>
    <x:row r="3761" ht="22" customHeight="1">
      <x:c r="A3761" s="2" t="str">
        <x:v>L003757</x:v>
      </x:c>
      <x:c r="B3761" s="2" t="str">
        <x:v>O01534</x:v>
      </x:c>
      <x:c r="C3761" s="7" t="n">
        <x:v>45866</x:v>
      </x:c>
      <x:c r="D3761" s="2" t="str">
        <x:v>Completed</x:v>
      </x:c>
      <x:c r="E3761" s="2" t="str">
        <x:v>West</x:v>
      </x:c>
      <x:c r="F3761" s="2" t="str">
        <x:v>Online</x:v>
      </x:c>
      <x:c r="G3761" s="2" t="str">
        <x:v>Furniture</x:v>
      </x:c>
      <x:c r="H3761" s="2" t="str">
        <x:v>Desk 012</x:v>
      </x:c>
      <x:c r="I3761" s="11" t="n">
        <x:v>4</x:v>
      </x:c>
      <x:c r="J3761" s="9" t="n">
        <x:v>134</x:v>
      </x:c>
      <x:c r="K3761" s="10" t="n">
        <x:v>0.1</x:v>
      </x:c>
      <x:c r="L3761" s="11" t="n">
        <x:v>0</x:v>
      </x:c>
      <x:c r="M3761" s="9" t="n">
        <x:f>IF(D3761="Completed",I3761*J3761,0)</x:f>
        <x:v>536</x:v>
      </x:c>
      <x:c r="N3761" s="9" t="n">
        <x:f>M3761*K3761</x:f>
        <x:v>53.6</x:v>
      </x:c>
      <x:c r="O3761" s="9" t="n">
        <x:f>M3761-N3761</x:f>
        <x:v>482.4</x:v>
      </x:c>
      <x:c r="P3761" s="9" t="n">
        <x:f>IF(D3761="Completed",L3761*J3761*(1-K3761),0)</x:f>
        <x:v>0</x:v>
      </x:c>
      <x:c r="Q3761" s="9" t="n">
        <x:f>O3761-P3761</x:f>
        <x:v>482.4</x:v>
      </x:c>
      <x:c r="R3761" s="11" t="n">
        <x:f>IF(D3761="Completed",I3761,0)</x:f>
        <x:v>4</x:v>
      </x:c>
      <x:c r="S3761" s="11" t="n">
        <x:f>IF(D3761="Completed",L3761,0)</x:f>
        <x:v>0</x:v>
      </x:c>
      <x:c r="T3761" s="8" t="n">
        <x:f>DATE(YEAR(C3761),MONTH(C3761),1)</x:f>
        <x:v>45839</x:v>
      </x:c>
    </x:row>
    <x:row r="3762" ht="22" customHeight="1">
      <x:c r="A3762" s="2" t="str">
        <x:v>L003758</x:v>
      </x:c>
      <x:c r="B3762" s="2" t="str">
        <x:v>O01534</x:v>
      </x:c>
      <x:c r="C3762" s="7" t="n">
        <x:v>45866</x:v>
      </x:c>
      <x:c r="D3762" s="2" t="str">
        <x:v>Completed</x:v>
      </x:c>
      <x:c r="E3762" s="2" t="str">
        <x:v>West</x:v>
      </x:c>
      <x:c r="F3762" s="2" t="str">
        <x:v>Online</x:v>
      </x:c>
      <x:c r="G3762" s="2" t="str">
        <x:v>Storage</x:v>
      </x:c>
      <x:c r="H3762" s="2" t="str">
        <x:v>Shelf 015</x:v>
      </x:c>
      <x:c r="I3762" s="11" t="n">
        <x:v>3</x:v>
      </x:c>
      <x:c r="J3762" s="9" t="n">
        <x:v>254</x:v>
      </x:c>
      <x:c r="K3762" s="10" t="n">
        <x:v>0.1</x:v>
      </x:c>
      <x:c r="L3762" s="11" t="n">
        <x:v>0</x:v>
      </x:c>
      <x:c r="M3762" s="9" t="n">
        <x:f>IF(D3762="Completed",I3762*J3762,0)</x:f>
        <x:v>762</x:v>
      </x:c>
      <x:c r="N3762" s="9" t="n">
        <x:f>M3762*K3762</x:f>
        <x:v>76.2</x:v>
      </x:c>
      <x:c r="O3762" s="9" t="n">
        <x:f>M3762-N3762</x:f>
        <x:v>685.8</x:v>
      </x:c>
      <x:c r="P3762" s="9" t="n">
        <x:f>IF(D3762="Completed",L3762*J3762*(1-K3762),0)</x:f>
        <x:v>0</x:v>
      </x:c>
      <x:c r="Q3762" s="9" t="n">
        <x:f>O3762-P3762</x:f>
        <x:v>685.8</x:v>
      </x:c>
      <x:c r="R3762" s="11" t="n">
        <x:f>IF(D3762="Completed",I3762,0)</x:f>
        <x:v>3</x:v>
      </x:c>
      <x:c r="S3762" s="11" t="n">
        <x:f>IF(D3762="Completed",L3762,0)</x:f>
        <x:v>0</x:v>
      </x:c>
      <x:c r="T3762" s="8" t="n">
        <x:f>DATE(YEAR(C3762),MONTH(C3762),1)</x:f>
        <x:v>45839</x:v>
      </x:c>
    </x:row>
    <x:row r="3763" ht="22" customHeight="1">
      <x:c r="A3763" s="2" t="str">
        <x:v>L003759</x:v>
      </x:c>
      <x:c r="B3763" s="2" t="str">
        <x:v>O01535</x:v>
      </x:c>
      <x:c r="C3763" s="7" t="n">
        <x:v>46014</x:v>
      </x:c>
      <x:c r="D3763" s="2" t="str">
        <x:v>Completed</x:v>
      </x:c>
      <x:c r="E3763" s="2" t="str">
        <x:v>North</x:v>
      </x:c>
      <x:c r="F3763" s="2" t="str">
        <x:v>Online</x:v>
      </x:c>
      <x:c r="G3763" s="2" t="str">
        <x:v>Furniture</x:v>
      </x:c>
      <x:c r="H3763" s="2" t="str">
        <x:v>Desk 004</x:v>
      </x:c>
      <x:c r="I3763" s="11" t="n">
        <x:v>5</x:v>
      </x:c>
      <x:c r="J3763" s="9" t="n">
        <x:v>123</x:v>
      </x:c>
      <x:c r="K3763" s="10" t="n">
        <x:v>0.1</x:v>
      </x:c>
      <x:c r="L3763" s="11" t="n">
        <x:v>0</x:v>
      </x:c>
      <x:c r="M3763" s="9" t="n">
        <x:f>IF(D3763="Completed",I3763*J3763,0)</x:f>
        <x:v>615</x:v>
      </x:c>
      <x:c r="N3763" s="9" t="n">
        <x:f>M3763*K3763</x:f>
        <x:v>61.5</x:v>
      </x:c>
      <x:c r="O3763" s="9" t="n">
        <x:f>M3763-N3763</x:f>
        <x:v>553.5</x:v>
      </x:c>
      <x:c r="P3763" s="9" t="n">
        <x:f>IF(D3763="Completed",L3763*J3763*(1-K3763),0)</x:f>
        <x:v>0</x:v>
      </x:c>
      <x:c r="Q3763" s="9" t="n">
        <x:f>O3763-P3763</x:f>
        <x:v>553.5</x:v>
      </x:c>
      <x:c r="R3763" s="11" t="n">
        <x:f>IF(D3763="Completed",I3763,0)</x:f>
        <x:v>5</x:v>
      </x:c>
      <x:c r="S3763" s="11" t="n">
        <x:f>IF(D3763="Completed",L3763,0)</x:f>
        <x:v>0</x:v>
      </x:c>
      <x:c r="T3763" s="8" t="n">
        <x:f>DATE(YEAR(C3763),MONTH(C3763),1)</x:f>
        <x:v>45992</x:v>
      </x:c>
    </x:row>
    <x:row r="3764" ht="22" customHeight="1">
      <x:c r="A3764" s="2" t="str">
        <x:v>L003760</x:v>
      </x:c>
      <x:c r="B3764" s="2" t="str">
        <x:v>O01535</x:v>
      </x:c>
      <x:c r="C3764" s="7" t="n">
        <x:v>46014</x:v>
      </x:c>
      <x:c r="D3764" s="2" t="str">
        <x:v>Completed</x:v>
      </x:c>
      <x:c r="E3764" s="2" t="str">
        <x:v>North</x:v>
      </x:c>
      <x:c r="F3764" s="2" t="str">
        <x:v>Online</x:v>
      </x:c>
      <x:c r="G3764" s="2" t="str">
        <x:v>Storage</x:v>
      </x:c>
      <x:c r="H3764" s="2" t="str">
        <x:v>Shelf 015</x:v>
      </x:c>
      <x:c r="I3764" s="11" t="n">
        <x:v>5</x:v>
      </x:c>
      <x:c r="J3764" s="9" t="n">
        <x:v>254</x:v>
      </x:c>
      <x:c r="K3764" s="10" t="n">
        <x:v>0.1</x:v>
      </x:c>
      <x:c r="L3764" s="11" t="n">
        <x:v>0</x:v>
      </x:c>
      <x:c r="M3764" s="9" t="n">
        <x:f>IF(D3764="Completed",I3764*J3764,0)</x:f>
        <x:v>1270</x:v>
      </x:c>
      <x:c r="N3764" s="9" t="n">
        <x:f>M3764*K3764</x:f>
        <x:v>127</x:v>
      </x:c>
      <x:c r="O3764" s="9" t="n">
        <x:f>M3764-N3764</x:f>
        <x:v>1143</x:v>
      </x:c>
      <x:c r="P3764" s="9" t="n">
        <x:f>IF(D3764="Completed",L3764*J3764*(1-K3764),0)</x:f>
        <x:v>0</x:v>
      </x:c>
      <x:c r="Q3764" s="9" t="n">
        <x:f>O3764-P3764</x:f>
        <x:v>1143</x:v>
      </x:c>
      <x:c r="R3764" s="11" t="n">
        <x:f>IF(D3764="Completed",I3764,0)</x:f>
        <x:v>5</x:v>
      </x:c>
      <x:c r="S3764" s="11" t="n">
        <x:f>IF(D3764="Completed",L3764,0)</x:f>
        <x:v>0</x:v>
      </x:c>
      <x:c r="T3764" s="8" t="n">
        <x:f>DATE(YEAR(C3764),MONTH(C3764),1)</x:f>
        <x:v>45992</x:v>
      </x:c>
    </x:row>
    <x:row r="3765" ht="22" customHeight="1">
      <x:c r="A3765" s="2" t="str">
        <x:v>L003761</x:v>
      </x:c>
      <x:c r="B3765" s="2" t="str">
        <x:v>O01535</x:v>
      </x:c>
      <x:c r="C3765" s="7" t="n">
        <x:v>46014</x:v>
      </x:c>
      <x:c r="D3765" s="2" t="str">
        <x:v>Completed</x:v>
      </x:c>
      <x:c r="E3765" s="2" t="str">
        <x:v>North</x:v>
      </x:c>
      <x:c r="F3765" s="2" t="str">
        <x:v>Online</x:v>
      </x:c>
      <x:c r="G3765" s="2" t="str">
        <x:v>Storage</x:v>
      </x:c>
      <x:c r="H3765" s="2" t="str">
        <x:v>Shelf 019</x:v>
      </x:c>
      <x:c r="I3765" s="11" t="n">
        <x:v>4</x:v>
      </x:c>
      <x:c r="J3765" s="9" t="n">
        <x:v>78</x:v>
      </x:c>
      <x:c r="K3765" s="10" t="n">
        <x:v>0.1</x:v>
      </x:c>
      <x:c r="L3765" s="11" t="n">
        <x:v>0</x:v>
      </x:c>
      <x:c r="M3765" s="9" t="n">
        <x:f>IF(D3765="Completed",I3765*J3765,0)</x:f>
        <x:v>312</x:v>
      </x:c>
      <x:c r="N3765" s="9" t="n">
        <x:f>M3765*K3765</x:f>
        <x:v>31.200000000000003</x:v>
      </x:c>
      <x:c r="O3765" s="9" t="n">
        <x:f>M3765-N3765</x:f>
        <x:v>280.8</x:v>
      </x:c>
      <x:c r="P3765" s="9" t="n">
        <x:f>IF(D3765="Completed",L3765*J3765*(1-K3765),0)</x:f>
        <x:v>0</x:v>
      </x:c>
      <x:c r="Q3765" s="9" t="n">
        <x:f>O3765-P3765</x:f>
        <x:v>280.8</x:v>
      </x:c>
      <x:c r="R3765" s="11" t="n">
        <x:f>IF(D3765="Completed",I3765,0)</x:f>
        <x:v>4</x:v>
      </x:c>
      <x:c r="S3765" s="11" t="n">
        <x:f>IF(D3765="Completed",L3765,0)</x:f>
        <x:v>0</x:v>
      </x:c>
      <x:c r="T3765" s="8" t="n">
        <x:f>DATE(YEAR(C3765),MONTH(C3765),1)</x:f>
        <x:v>45992</x:v>
      </x:c>
    </x:row>
    <x:row r="3766" ht="22" customHeight="1">
      <x:c r="A3766" s="2" t="str">
        <x:v>L003762</x:v>
      </x:c>
      <x:c r="B3766" s="2" t="str">
        <x:v>O01535</x:v>
      </x:c>
      <x:c r="C3766" s="7" t="n">
        <x:v>46014</x:v>
      </x:c>
      <x:c r="D3766" s="2" t="str">
        <x:v>Completed</x:v>
      </x:c>
      <x:c r="E3766" s="2" t="str">
        <x:v>North</x:v>
      </x:c>
      <x:c r="F3766" s="2" t="str">
        <x:v>Online</x:v>
      </x:c>
      <x:c r="G3766" s="2" t="str">
        <x:v>Furniture</x:v>
      </x:c>
      <x:c r="H3766" s="2" t="str">
        <x:v>Chair 014</x:v>
      </x:c>
      <x:c r="I3766" s="11" t="n">
        <x:v>5</x:v>
      </x:c>
      <x:c r="J3766" s="9" t="n">
        <x:v>294</x:v>
      </x:c>
      <x:c r="K3766" s="10" t="n">
        <x:v>0.1</x:v>
      </x:c>
      <x:c r="L3766" s="11" t="n">
        <x:v>0</x:v>
      </x:c>
      <x:c r="M3766" s="9" t="n">
        <x:f>IF(D3766="Completed",I3766*J3766,0)</x:f>
        <x:v>1470</x:v>
      </x:c>
      <x:c r="N3766" s="9" t="n">
        <x:f>M3766*K3766</x:f>
        <x:v>147</x:v>
      </x:c>
      <x:c r="O3766" s="9" t="n">
        <x:f>M3766-N3766</x:f>
        <x:v>1323</x:v>
      </x:c>
      <x:c r="P3766" s="9" t="n">
        <x:f>IF(D3766="Completed",L3766*J3766*(1-K3766),0)</x:f>
        <x:v>0</x:v>
      </x:c>
      <x:c r="Q3766" s="9" t="n">
        <x:f>O3766-P3766</x:f>
        <x:v>1323</x:v>
      </x:c>
      <x:c r="R3766" s="11" t="n">
        <x:f>IF(D3766="Completed",I3766,0)</x:f>
        <x:v>5</x:v>
      </x:c>
      <x:c r="S3766" s="11" t="n">
        <x:f>IF(D3766="Completed",L3766,0)</x:f>
        <x:v>0</x:v>
      </x:c>
      <x:c r="T3766" s="8" t="n">
        <x:f>DATE(YEAR(C3766),MONTH(C3766),1)</x:f>
        <x:v>45992</x:v>
      </x:c>
    </x:row>
    <x:row r="3767" ht="22" customHeight="1">
      <x:c r="A3767" s="2" t="str">
        <x:v>L003763</x:v>
      </x:c>
      <x:c r="B3767" s="2" t="str">
        <x:v>O01536</x:v>
      </x:c>
      <x:c r="C3767" s="7" t="n">
        <x:v>45894</x:v>
      </x:c>
      <x:c r="D3767" s="2" t="str">
        <x:v>Completed</x:v>
      </x:c>
      <x:c r="E3767" s="2" t="str">
        <x:v>East</x:v>
      </x:c>
      <x:c r="F3767" s="2" t="str">
        <x:v>Store</x:v>
      </x:c>
      <x:c r="G3767" s="2" t="str">
        <x:v>Furniture</x:v>
      </x:c>
      <x:c r="H3767" s="2" t="str">
        <x:v>Chair 010</x:v>
      </x:c>
      <x:c r="I3767" s="11" t="n">
        <x:v>3</x:v>
      </x:c>
      <x:c r="J3767" s="9" t="n">
        <x:v>211</x:v>
      </x:c>
      <x:c r="K3767" s="10" t="n">
        <x:v>0.05</x:v>
      </x:c>
      <x:c r="L3767" s="11" t="n">
        <x:v>0</x:v>
      </x:c>
      <x:c r="M3767" s="9" t="n">
        <x:f>IF(D3767="Completed",I3767*J3767,0)</x:f>
        <x:v>633</x:v>
      </x:c>
      <x:c r="N3767" s="9" t="n">
        <x:f>M3767*K3767</x:f>
        <x:v>31.650000000000002</x:v>
      </x:c>
      <x:c r="O3767" s="9" t="n">
        <x:f>M3767-N3767</x:f>
        <x:v>601.35</x:v>
      </x:c>
      <x:c r="P3767" s="9" t="n">
        <x:f>IF(D3767="Completed",L3767*J3767*(1-K3767),0)</x:f>
        <x:v>0</x:v>
      </x:c>
      <x:c r="Q3767" s="9" t="n">
        <x:f>O3767-P3767</x:f>
        <x:v>601.35</x:v>
      </x:c>
      <x:c r="R3767" s="11" t="n">
        <x:f>IF(D3767="Completed",I3767,0)</x:f>
        <x:v>3</x:v>
      </x:c>
      <x:c r="S3767" s="11" t="n">
        <x:f>IF(D3767="Completed",L3767,0)</x:f>
        <x:v>0</x:v>
      </x:c>
      <x:c r="T3767" s="8" t="n">
        <x:f>DATE(YEAR(C3767),MONTH(C3767),1)</x:f>
        <x:v>45870</x:v>
      </x:c>
    </x:row>
    <x:row r="3768" ht="22" customHeight="1">
      <x:c r="A3768" s="2" t="str">
        <x:v>L003764</x:v>
      </x:c>
      <x:c r="B3768" s="2" t="str">
        <x:v>O01536</x:v>
      </x:c>
      <x:c r="C3768" s="7" t="n">
        <x:v>45894</x:v>
      </x:c>
      <x:c r="D3768" s="2" t="str">
        <x:v>Completed</x:v>
      </x:c>
      <x:c r="E3768" s="2" t="str">
        <x:v>East</x:v>
      </x:c>
      <x:c r="F3768" s="2" t="str">
        <x:v>Store</x:v>
      </x:c>
      <x:c r="G3768" s="2" t="str">
        <x:v>Furniture</x:v>
      </x:c>
      <x:c r="H3768" s="2" t="str">
        <x:v>Desk 020</x:v>
      </x:c>
      <x:c r="I3768" s="11" t="n">
        <x:v>5</x:v>
      </x:c>
      <x:c r="J3768" s="9" t="n">
        <x:v>189</x:v>
      </x:c>
      <x:c r="K3768" s="10" t="n">
        <x:v>0.05</x:v>
      </x:c>
      <x:c r="L3768" s="11" t="n">
        <x:v>0</x:v>
      </x:c>
      <x:c r="M3768" s="9" t="n">
        <x:f>IF(D3768="Completed",I3768*J3768,0)</x:f>
        <x:v>945</x:v>
      </x:c>
      <x:c r="N3768" s="9" t="n">
        <x:f>M3768*K3768</x:f>
        <x:v>47.25</x:v>
      </x:c>
      <x:c r="O3768" s="9" t="n">
        <x:f>M3768-N3768</x:f>
        <x:v>897.75</x:v>
      </x:c>
      <x:c r="P3768" s="9" t="n">
        <x:f>IF(D3768="Completed",L3768*J3768*(1-K3768),0)</x:f>
        <x:v>0</x:v>
      </x:c>
      <x:c r="Q3768" s="9" t="n">
        <x:f>O3768-P3768</x:f>
        <x:v>897.75</x:v>
      </x:c>
      <x:c r="R3768" s="11" t="n">
        <x:f>IF(D3768="Completed",I3768,0)</x:f>
        <x:v>5</x:v>
      </x:c>
      <x:c r="S3768" s="11" t="n">
        <x:f>IF(D3768="Completed",L3768,0)</x:f>
        <x:v>0</x:v>
      </x:c>
      <x:c r="T3768" s="8" t="n">
        <x:f>DATE(YEAR(C3768),MONTH(C3768),1)</x:f>
        <x:v>45870</x:v>
      </x:c>
    </x:row>
    <x:row r="3769" ht="22" customHeight="1">
      <x:c r="A3769" s="2" t="str">
        <x:v>L003765</x:v>
      </x:c>
      <x:c r="B3769" s="2" t="str">
        <x:v>O01536</x:v>
      </x:c>
      <x:c r="C3769" s="7" t="n">
        <x:v>45894</x:v>
      </x:c>
      <x:c r="D3769" s="2" t="str">
        <x:v>Completed</x:v>
      </x:c>
      <x:c r="E3769" s="2" t="str">
        <x:v>East</x:v>
      </x:c>
      <x:c r="F3769" s="2" t="str">
        <x:v>Store</x:v>
      </x:c>
      <x:c r="G3769" s="2" t="str">
        <x:v>Storage</x:v>
      </x:c>
      <x:c r="H3769" s="2" t="str">
        <x:v>Shelf 007</x:v>
      </x:c>
      <x:c r="I3769" s="11" t="n">
        <x:v>5</x:v>
      </x:c>
      <x:c r="J3769" s="9" t="n">
        <x:v>35</x:v>
      </x:c>
      <x:c r="K3769" s="10" t="n">
        <x:v>0.1</x:v>
      </x:c>
      <x:c r="L3769" s="11" t="n">
        <x:v>0</x:v>
      </x:c>
      <x:c r="M3769" s="9" t="n">
        <x:f>IF(D3769="Completed",I3769*J3769,0)</x:f>
        <x:v>175</x:v>
      </x:c>
      <x:c r="N3769" s="9" t="n">
        <x:f>M3769*K3769</x:f>
        <x:v>17.5</x:v>
      </x:c>
      <x:c r="O3769" s="9" t="n">
        <x:f>M3769-N3769</x:f>
        <x:v>157.5</x:v>
      </x:c>
      <x:c r="P3769" s="9" t="n">
        <x:f>IF(D3769="Completed",L3769*J3769*(1-K3769),0)</x:f>
        <x:v>0</x:v>
      </x:c>
      <x:c r="Q3769" s="9" t="n">
        <x:f>O3769-P3769</x:f>
        <x:v>157.5</x:v>
      </x:c>
      <x:c r="R3769" s="11" t="n">
        <x:f>IF(D3769="Completed",I3769,0)</x:f>
        <x:v>5</x:v>
      </x:c>
      <x:c r="S3769" s="11" t="n">
        <x:f>IF(D3769="Completed",L3769,0)</x:f>
        <x:v>0</x:v>
      </x:c>
      <x:c r="T3769" s="8" t="n">
        <x:f>DATE(YEAR(C3769),MONTH(C3769),1)</x:f>
        <x:v>45870</x:v>
      </x:c>
    </x:row>
    <x:row r="3770" ht="22" customHeight="1">
      <x:c r="A3770" s="2" t="str">
        <x:v>L003766</x:v>
      </x:c>
      <x:c r="B3770" s="2" t="str">
        <x:v>O01536</x:v>
      </x:c>
      <x:c r="C3770" s="7" t="n">
        <x:v>45894</x:v>
      </x:c>
      <x:c r="D3770" s="2" t="str">
        <x:v>Completed</x:v>
      </x:c>
      <x:c r="E3770" s="2" t="str">
        <x:v>East</x:v>
      </x:c>
      <x:c r="F3770" s="2" t="str">
        <x:v>Store</x:v>
      </x:c>
      <x:c r="G3770" s="2" t="str">
        <x:v>Furniture</x:v>
      </x:c>
      <x:c r="H3770" s="2" t="str">
        <x:v>Chair 014</x:v>
      </x:c>
      <x:c r="I3770" s="11" t="n">
        <x:v>5</x:v>
      </x:c>
      <x:c r="J3770" s="9" t="n">
        <x:v>294</x:v>
      </x:c>
      <x:c r="K3770" s="10" t="n">
        <x:v>0</x:v>
      </x:c>
      <x:c r="L3770" s="11" t="n">
        <x:v>0</x:v>
      </x:c>
      <x:c r="M3770" s="9" t="n">
        <x:f>IF(D3770="Completed",I3770*J3770,0)</x:f>
        <x:v>1470</x:v>
      </x:c>
      <x:c r="N3770" s="9" t="n">
        <x:f>M3770*K3770</x:f>
        <x:v>0</x:v>
      </x:c>
      <x:c r="O3770" s="9" t="n">
        <x:f>M3770-N3770</x:f>
        <x:v>1470</x:v>
      </x:c>
      <x:c r="P3770" s="9" t="n">
        <x:f>IF(D3770="Completed",L3770*J3770*(1-K3770),0)</x:f>
        <x:v>0</x:v>
      </x:c>
      <x:c r="Q3770" s="9" t="n">
        <x:f>O3770-P3770</x:f>
        <x:v>1470</x:v>
      </x:c>
      <x:c r="R3770" s="11" t="n">
        <x:f>IF(D3770="Completed",I3770,0)</x:f>
        <x:v>5</x:v>
      </x:c>
      <x:c r="S3770" s="11" t="n">
        <x:f>IF(D3770="Completed",L3770,0)</x:f>
        <x:v>0</x:v>
      </x:c>
      <x:c r="T3770" s="8" t="n">
        <x:f>DATE(YEAR(C3770),MONTH(C3770),1)</x:f>
        <x:v>45870</x:v>
      </x:c>
    </x:row>
    <x:row r="3771" ht="22" customHeight="1">
      <x:c r="A3771" s="2" t="str">
        <x:v>L003767</x:v>
      </x:c>
      <x:c r="B3771" s="2" t="str">
        <x:v>O01537</x:v>
      </x:c>
      <x:c r="C3771" s="7" t="n">
        <x:v>45861</x:v>
      </x:c>
      <x:c r="D3771" s="2" t="str">
        <x:v>Completed</x:v>
      </x:c>
      <x:c r="E3771" s="2" t="str">
        <x:v>North</x:v>
      </x:c>
      <x:c r="F3771" s="2" t="str">
        <x:v>Online</x:v>
      </x:c>
      <x:c r="G3771" s="2" t="str">
        <x:v>Lighting</x:v>
      </x:c>
      <x:c r="H3771" s="2" t="str">
        <x:v>Lamp 021</x:v>
      </x:c>
      <x:c r="I3771" s="11" t="n">
        <x:v>5</x:v>
      </x:c>
      <x:c r="J3771" s="9" t="n">
        <x:v>249</x:v>
      </x:c>
      <x:c r="K3771" s="10" t="n">
        <x:v>0</x:v>
      </x:c>
      <x:c r="L3771" s="11" t="n">
        <x:v>4</x:v>
      </x:c>
      <x:c r="M3771" s="9" t="n">
        <x:f>IF(D3771="Completed",I3771*J3771,0)</x:f>
        <x:v>1245</x:v>
      </x:c>
      <x:c r="N3771" s="9" t="n">
        <x:f>M3771*K3771</x:f>
        <x:v>0</x:v>
      </x:c>
      <x:c r="O3771" s="9" t="n">
        <x:f>M3771-N3771</x:f>
        <x:v>1245</x:v>
      </x:c>
      <x:c r="P3771" s="9" t="n">
        <x:f>IF(D3771="Completed",L3771*J3771*(1-K3771),0)</x:f>
        <x:v>996</x:v>
      </x:c>
      <x:c r="Q3771" s="9" t="n">
        <x:f>O3771-P3771</x:f>
        <x:v>249</x:v>
      </x:c>
      <x:c r="R3771" s="11" t="n">
        <x:f>IF(D3771="Completed",I3771,0)</x:f>
        <x:v>5</x:v>
      </x:c>
      <x:c r="S3771" s="11" t="n">
        <x:f>IF(D3771="Completed",L3771,0)</x:f>
        <x:v>4</x:v>
      </x:c>
      <x:c r="T3771" s="8" t="n">
        <x:f>DATE(YEAR(C3771),MONTH(C3771),1)</x:f>
        <x:v>45839</x:v>
      </x:c>
    </x:row>
    <x:row r="3772" ht="22" customHeight="1">
      <x:c r="A3772" s="2" t="str">
        <x:v>L003768</x:v>
      </x:c>
      <x:c r="B3772" s="2" t="str">
        <x:v>O01537</x:v>
      </x:c>
      <x:c r="C3772" s="7" t="n">
        <x:v>45861</x:v>
      </x:c>
      <x:c r="D3772" s="2" t="str">
        <x:v>Completed</x:v>
      </x:c>
      <x:c r="E3772" s="2" t="str">
        <x:v>North</x:v>
      </x:c>
      <x:c r="F3772" s="2" t="str">
        <x:v>Online</x:v>
      </x:c>
      <x:c r="G3772" s="2" t="str">
        <x:v>Furniture</x:v>
      </x:c>
      <x:c r="H3772" s="2" t="str">
        <x:v>Chair 010</x:v>
      </x:c>
      <x:c r="I3772" s="11" t="n">
        <x:v>2</x:v>
      </x:c>
      <x:c r="J3772" s="9" t="n">
        <x:v>211</x:v>
      </x:c>
      <x:c r="K3772" s="10" t="n">
        <x:v>0.05</x:v>
      </x:c>
      <x:c r="L3772" s="11" t="n">
        <x:v>0</x:v>
      </x:c>
      <x:c r="M3772" s="9" t="n">
        <x:f>IF(D3772="Completed",I3772*J3772,0)</x:f>
        <x:v>422</x:v>
      </x:c>
      <x:c r="N3772" s="9" t="n">
        <x:f>M3772*K3772</x:f>
        <x:v>21.1</x:v>
      </x:c>
      <x:c r="O3772" s="9" t="n">
        <x:f>M3772-N3772</x:f>
        <x:v>400.9</x:v>
      </x:c>
      <x:c r="P3772" s="9" t="n">
        <x:f>IF(D3772="Completed",L3772*J3772*(1-K3772),0)</x:f>
        <x:v>0</x:v>
      </x:c>
      <x:c r="Q3772" s="9" t="n">
        <x:f>O3772-P3772</x:f>
        <x:v>400.9</x:v>
      </x:c>
      <x:c r="R3772" s="11" t="n">
        <x:f>IF(D3772="Completed",I3772,0)</x:f>
        <x:v>2</x:v>
      </x:c>
      <x:c r="S3772" s="11" t="n">
        <x:f>IF(D3772="Completed",L3772,0)</x:f>
        <x:v>0</x:v>
      </x:c>
      <x:c r="T3772" s="8" t="n">
        <x:f>DATE(YEAR(C3772),MONTH(C3772),1)</x:f>
        <x:v>45839</x:v>
      </x:c>
    </x:row>
    <x:row r="3773" ht="22" customHeight="1">
      <x:c r="A3773" s="2" t="str">
        <x:v>L003769</x:v>
      </x:c>
      <x:c r="B3773" s="2" t="str">
        <x:v>O01537</x:v>
      </x:c>
      <x:c r="C3773" s="7" t="n">
        <x:v>45861</x:v>
      </x:c>
      <x:c r="D3773" s="2" t="str">
        <x:v>Completed</x:v>
      </x:c>
      <x:c r="E3773" s="2" t="str">
        <x:v>North</x:v>
      </x:c>
      <x:c r="F3773" s="2" t="str">
        <x:v>Online</x:v>
      </x:c>
      <x:c r="G3773" s="2" t="str">
        <x:v>Storage</x:v>
      </x:c>
      <x:c r="H3773" s="2" t="str">
        <x:v>Shelf 023</x:v>
      </x:c>
      <x:c r="I3773" s="11" t="n">
        <x:v>2</x:v>
      </x:c>
      <x:c r="J3773" s="9" t="n">
        <x:v>68</x:v>
      </x:c>
      <x:c r="K3773" s="10" t="n">
        <x:v>0.05</x:v>
      </x:c>
      <x:c r="L3773" s="11" t="n">
        <x:v>0</x:v>
      </x:c>
      <x:c r="M3773" s="9" t="n">
        <x:f>IF(D3773="Completed",I3773*J3773,0)</x:f>
        <x:v>136</x:v>
      </x:c>
      <x:c r="N3773" s="9" t="n">
        <x:f>M3773*K3773</x:f>
        <x:v>6.800000000000001</x:v>
      </x:c>
      <x:c r="O3773" s="9" t="n">
        <x:f>M3773-N3773</x:f>
        <x:v>129.2</x:v>
      </x:c>
      <x:c r="P3773" s="9" t="n">
        <x:f>IF(D3773="Completed",L3773*J3773*(1-K3773),0)</x:f>
        <x:v>0</x:v>
      </x:c>
      <x:c r="Q3773" s="9" t="n">
        <x:f>O3773-P3773</x:f>
        <x:v>129.2</x:v>
      </x:c>
      <x:c r="R3773" s="11" t="n">
        <x:f>IF(D3773="Completed",I3773,0)</x:f>
        <x:v>2</x:v>
      </x:c>
      <x:c r="S3773" s="11" t="n">
        <x:f>IF(D3773="Completed",L3773,0)</x:f>
        <x:v>0</x:v>
      </x:c>
      <x:c r="T3773" s="8" t="n">
        <x:f>DATE(YEAR(C3773),MONTH(C3773),1)</x:f>
        <x:v>45839</x:v>
      </x:c>
    </x:row>
    <x:row r="3774" ht="22" customHeight="1">
      <x:c r="A3774" s="2" t="str">
        <x:v>L003770</x:v>
      </x:c>
      <x:c r="B3774" s="2" t="str">
        <x:v>O01537</x:v>
      </x:c>
      <x:c r="C3774" s="7" t="n">
        <x:v>45861</x:v>
      </x:c>
      <x:c r="D3774" s="2" t="str">
        <x:v>Completed</x:v>
      </x:c>
      <x:c r="E3774" s="2" t="str">
        <x:v>North</x:v>
      </x:c>
      <x:c r="F3774" s="2" t="str">
        <x:v>Online</x:v>
      </x:c>
      <x:c r="G3774" s="2" t="str">
        <x:v>Furniture</x:v>
      </x:c>
      <x:c r="H3774" s="2" t="str">
        <x:v>Desk 024</x:v>
      </x:c>
      <x:c r="I3774" s="11" t="n">
        <x:v>1</x:v>
      </x:c>
      <x:c r="J3774" s="9" t="n">
        <x:v>81</x:v>
      </x:c>
      <x:c r="K3774" s="10" t="n">
        <x:v>0.05</x:v>
      </x:c>
      <x:c r="L3774" s="11" t="n">
        <x:v>0</x:v>
      </x:c>
      <x:c r="M3774" s="9" t="n">
        <x:f>IF(D3774="Completed",I3774*J3774,0)</x:f>
        <x:v>81</x:v>
      </x:c>
      <x:c r="N3774" s="9" t="n">
        <x:f>M3774*K3774</x:f>
        <x:v>4.05</x:v>
      </x:c>
      <x:c r="O3774" s="9" t="n">
        <x:f>M3774-N3774</x:f>
        <x:v>76.95</x:v>
      </x:c>
      <x:c r="P3774" s="9" t="n">
        <x:f>IF(D3774="Completed",L3774*J3774*(1-K3774),0)</x:f>
        <x:v>0</x:v>
      </x:c>
      <x:c r="Q3774" s="9" t="n">
        <x:f>O3774-P3774</x:f>
        <x:v>76.95</x:v>
      </x:c>
      <x:c r="R3774" s="11" t="n">
        <x:f>IF(D3774="Completed",I3774,0)</x:f>
        <x:v>1</x:v>
      </x:c>
      <x:c r="S3774" s="11" t="n">
        <x:f>IF(D3774="Completed",L3774,0)</x:f>
        <x:v>0</x:v>
      </x:c>
      <x:c r="T3774" s="8" t="n">
        <x:f>DATE(YEAR(C3774),MONTH(C3774),1)</x:f>
        <x:v>45839</x:v>
      </x:c>
    </x:row>
    <x:row r="3775" ht="22" customHeight="1">
      <x:c r="A3775" s="2" t="str">
        <x:v>L003771</x:v>
      </x:c>
      <x:c r="B3775" s="2" t="str">
        <x:v>O01538</x:v>
      </x:c>
      <x:c r="C3775" s="7" t="n">
        <x:v>45946</x:v>
      </x:c>
      <x:c r="D3775" s="2" t="str">
        <x:v>Completed</x:v>
      </x:c>
      <x:c r="E3775" s="2" t="str">
        <x:v>North</x:v>
      </x:c>
      <x:c r="F3775" s="2" t="str">
        <x:v>Store</x:v>
      </x:c>
      <x:c r="G3775" s="2" t="str">
        <x:v>Furniture</x:v>
      </x:c>
      <x:c r="H3775" s="2" t="str">
        <x:v>Desk 016</x:v>
      </x:c>
      <x:c r="I3775" s="11" t="n">
        <x:v>4</x:v>
      </x:c>
      <x:c r="J3775" s="9" t="n">
        <x:v>231</x:v>
      </x:c>
      <x:c r="K3775" s="10" t="n">
        <x:v>0.05</x:v>
      </x:c>
      <x:c r="L3775" s="11" t="n">
        <x:v>0</x:v>
      </x:c>
      <x:c r="M3775" s="9" t="n">
        <x:f>IF(D3775="Completed",I3775*J3775,0)</x:f>
        <x:v>924</x:v>
      </x:c>
      <x:c r="N3775" s="9" t="n">
        <x:f>M3775*K3775</x:f>
        <x:v>46.2</x:v>
      </x:c>
      <x:c r="O3775" s="9" t="n">
        <x:f>M3775-N3775</x:f>
        <x:v>877.8</x:v>
      </x:c>
      <x:c r="P3775" s="9" t="n">
        <x:f>IF(D3775="Completed",L3775*J3775*(1-K3775),0)</x:f>
        <x:v>0</x:v>
      </x:c>
      <x:c r="Q3775" s="9" t="n">
        <x:f>O3775-P3775</x:f>
        <x:v>877.8</x:v>
      </x:c>
      <x:c r="R3775" s="11" t="n">
        <x:f>IF(D3775="Completed",I3775,0)</x:f>
        <x:v>4</x:v>
      </x:c>
      <x:c r="S3775" s="11" t="n">
        <x:f>IF(D3775="Completed",L3775,0)</x:f>
        <x:v>0</x:v>
      </x:c>
      <x:c r="T3775" s="8" t="n">
        <x:f>DATE(YEAR(C3775),MONTH(C3775),1)</x:f>
        <x:v>45931</x:v>
      </x:c>
    </x:row>
    <x:row r="3776" ht="22" customHeight="1">
      <x:c r="A3776" s="2" t="str">
        <x:v>L003772</x:v>
      </x:c>
      <x:c r="B3776" s="2" t="str">
        <x:v>O01538</x:v>
      </x:c>
      <x:c r="C3776" s="7" t="n">
        <x:v>45946</x:v>
      </x:c>
      <x:c r="D3776" s="2" t="str">
        <x:v>Completed</x:v>
      </x:c>
      <x:c r="E3776" s="2" t="str">
        <x:v>North</x:v>
      </x:c>
      <x:c r="F3776" s="2" t="str">
        <x:v>Store</x:v>
      </x:c>
      <x:c r="G3776" s="2" t="str">
        <x:v>Storage</x:v>
      </x:c>
      <x:c r="H3776" s="2" t="str">
        <x:v>Shelf 015</x:v>
      </x:c>
      <x:c r="I3776" s="11" t="n">
        <x:v>2</x:v>
      </x:c>
      <x:c r="J3776" s="9" t="n">
        <x:v>254</x:v>
      </x:c>
      <x:c r="K3776" s="10" t="n">
        <x:v>0.1</x:v>
      </x:c>
      <x:c r="L3776" s="11" t="n">
        <x:v>0</x:v>
      </x:c>
      <x:c r="M3776" s="9" t="n">
        <x:f>IF(D3776="Completed",I3776*J3776,0)</x:f>
        <x:v>508</x:v>
      </x:c>
      <x:c r="N3776" s="9" t="n">
        <x:f>M3776*K3776</x:f>
        <x:v>50.800000000000004</x:v>
      </x:c>
      <x:c r="O3776" s="9" t="n">
        <x:f>M3776-N3776</x:f>
        <x:v>457.2</x:v>
      </x:c>
      <x:c r="P3776" s="9" t="n">
        <x:f>IF(D3776="Completed",L3776*J3776*(1-K3776),0)</x:f>
        <x:v>0</x:v>
      </x:c>
      <x:c r="Q3776" s="9" t="n">
        <x:f>O3776-P3776</x:f>
        <x:v>457.2</x:v>
      </x:c>
      <x:c r="R3776" s="11" t="n">
        <x:f>IF(D3776="Completed",I3776,0)</x:f>
        <x:v>2</x:v>
      </x:c>
      <x:c r="S3776" s="11" t="n">
        <x:f>IF(D3776="Completed",L3776,0)</x:f>
        <x:v>0</x:v>
      </x:c>
      <x:c r="T3776" s="8" t="n">
        <x:f>DATE(YEAR(C3776),MONTH(C3776),1)</x:f>
        <x:v>45931</x:v>
      </x:c>
    </x:row>
    <x:row r="3777" ht="22" customHeight="1">
      <x:c r="A3777" s="2" t="str">
        <x:v>L003773</x:v>
      </x:c>
      <x:c r="B3777" s="2" t="str">
        <x:v>O01538</x:v>
      </x:c>
      <x:c r="C3777" s="7" t="n">
        <x:v>45946</x:v>
      </x:c>
      <x:c r="D3777" s="2" t="str">
        <x:v>Completed</x:v>
      </x:c>
      <x:c r="E3777" s="2" t="str">
        <x:v>North</x:v>
      </x:c>
      <x:c r="F3777" s="2" t="str">
        <x:v>Store</x:v>
      </x:c>
      <x:c r="G3777" s="2" t="str">
        <x:v>Storage</x:v>
      </x:c>
      <x:c r="H3777" s="2" t="str">
        <x:v>Shelf 011</x:v>
      </x:c>
      <x:c r="I3777" s="11" t="n">
        <x:v>2</x:v>
      </x:c>
      <x:c r="J3777" s="9" t="n">
        <x:v>80</x:v>
      </x:c>
      <x:c r="K3777" s="10" t="n">
        <x:v>0.2</x:v>
      </x:c>
      <x:c r="L3777" s="11" t="n">
        <x:v>0</x:v>
      </x:c>
      <x:c r="M3777" s="9" t="n">
        <x:f>IF(D3777="Completed",I3777*J3777,0)</x:f>
        <x:v>160</x:v>
      </x:c>
      <x:c r="N3777" s="9" t="n">
        <x:f>M3777*K3777</x:f>
        <x:v>32</x:v>
      </x:c>
      <x:c r="O3777" s="9" t="n">
        <x:f>M3777-N3777</x:f>
        <x:v>128</x:v>
      </x:c>
      <x:c r="P3777" s="9" t="n">
        <x:f>IF(D3777="Completed",L3777*J3777*(1-K3777),0)</x:f>
        <x:v>0</x:v>
      </x:c>
      <x:c r="Q3777" s="9" t="n">
        <x:f>O3777-P3777</x:f>
        <x:v>128</x:v>
      </x:c>
      <x:c r="R3777" s="11" t="n">
        <x:f>IF(D3777="Completed",I3777,0)</x:f>
        <x:v>2</x:v>
      </x:c>
      <x:c r="S3777" s="11" t="n">
        <x:f>IF(D3777="Completed",L3777,0)</x:f>
        <x:v>0</x:v>
      </x:c>
      <x:c r="T3777" s="8" t="n">
        <x:f>DATE(YEAR(C3777),MONTH(C3777),1)</x:f>
        <x:v>45931</x:v>
      </x:c>
    </x:row>
    <x:row r="3778" ht="22" customHeight="1">
      <x:c r="A3778" s="2" t="str">
        <x:v>L003774</x:v>
      </x:c>
      <x:c r="B3778" s="2" t="str">
        <x:v>O01538</x:v>
      </x:c>
      <x:c r="C3778" s="7" t="n">
        <x:v>45946</x:v>
      </x:c>
      <x:c r="D3778" s="2" t="str">
        <x:v>Completed</x:v>
      </x:c>
      <x:c r="E3778" s="2" t="str">
        <x:v>North</x:v>
      </x:c>
      <x:c r="F3778" s="2" t="str">
        <x:v>Store</x:v>
      </x:c>
      <x:c r="G3778" s="2" t="str">
        <x:v>Lighting</x:v>
      </x:c>
      <x:c r="H3778" s="2" t="str">
        <x:v>Lamp 009</x:v>
      </x:c>
      <x:c r="I3778" s="11" t="n">
        <x:v>5</x:v>
      </x:c>
      <x:c r="J3778" s="9" t="n">
        <x:v>93</x:v>
      </x:c>
      <x:c r="K3778" s="10" t="n">
        <x:v>0.1</x:v>
      </x:c>
      <x:c r="L3778" s="11" t="n">
        <x:v>0</x:v>
      </x:c>
      <x:c r="M3778" s="9" t="n">
        <x:f>IF(D3778="Completed",I3778*J3778,0)</x:f>
        <x:v>465</x:v>
      </x:c>
      <x:c r="N3778" s="9" t="n">
        <x:f>M3778*K3778</x:f>
        <x:v>46.5</x:v>
      </x:c>
      <x:c r="O3778" s="9" t="n">
        <x:f>M3778-N3778</x:f>
        <x:v>418.5</x:v>
      </x:c>
      <x:c r="P3778" s="9" t="n">
        <x:f>IF(D3778="Completed",L3778*J3778*(1-K3778),0)</x:f>
        <x:v>0</x:v>
      </x:c>
      <x:c r="Q3778" s="9" t="n">
        <x:f>O3778-P3778</x:f>
        <x:v>418.5</x:v>
      </x:c>
      <x:c r="R3778" s="11" t="n">
        <x:f>IF(D3778="Completed",I3778,0)</x:f>
        <x:v>5</x:v>
      </x:c>
      <x:c r="S3778" s="11" t="n">
        <x:f>IF(D3778="Completed",L3778,0)</x:f>
        <x:v>0</x:v>
      </x:c>
      <x:c r="T3778" s="8" t="n">
        <x:f>DATE(YEAR(C3778),MONTH(C3778),1)</x:f>
        <x:v>45931</x:v>
      </x:c>
    </x:row>
    <x:row r="3779" ht="22" customHeight="1">
      <x:c r="A3779" s="2" t="str">
        <x:v>L003775</x:v>
      </x:c>
      <x:c r="B3779" s="2" t="str">
        <x:v>O01539</x:v>
      </x:c>
      <x:c r="C3779" s="7" t="n">
        <x:v>45863</x:v>
      </x:c>
      <x:c r="D3779" s="2" t="str">
        <x:v>Completed</x:v>
      </x:c>
      <x:c r="E3779" s="2" t="str">
        <x:v>East</x:v>
      </x:c>
      <x:c r="F3779" s="2" t="str">
        <x:v>Online</x:v>
      </x:c>
      <x:c r="G3779" s="2" t="str">
        <x:v>Furniture</x:v>
      </x:c>
      <x:c r="H3779" s="2" t="str">
        <x:v>Chair 018</x:v>
      </x:c>
      <x:c r="I3779" s="11" t="n">
        <x:v>4</x:v>
      </x:c>
      <x:c r="J3779" s="9" t="n">
        <x:v>269</x:v>
      </x:c>
      <x:c r="K3779" s="10" t="n">
        <x:v>0.1</x:v>
      </x:c>
      <x:c r="L3779" s="11" t="n">
        <x:v>1</x:v>
      </x:c>
      <x:c r="M3779" s="9" t="n">
        <x:f>IF(D3779="Completed",I3779*J3779,0)</x:f>
        <x:v>1076</x:v>
      </x:c>
      <x:c r="N3779" s="9" t="n">
        <x:f>M3779*K3779</x:f>
        <x:v>107.60000000000001</x:v>
      </x:c>
      <x:c r="O3779" s="9" t="n">
        <x:f>M3779-N3779</x:f>
        <x:v>968.4</x:v>
      </x:c>
      <x:c r="P3779" s="9" t="n">
        <x:f>IF(D3779="Completed",L3779*J3779*(1-K3779),0)</x:f>
        <x:v>242.1</x:v>
      </x:c>
      <x:c r="Q3779" s="9" t="n">
        <x:f>O3779-P3779</x:f>
        <x:v>726.3</x:v>
      </x:c>
      <x:c r="R3779" s="11" t="n">
        <x:f>IF(D3779="Completed",I3779,0)</x:f>
        <x:v>4</x:v>
      </x:c>
      <x:c r="S3779" s="11" t="n">
        <x:f>IF(D3779="Completed",L3779,0)</x:f>
        <x:v>1</x:v>
      </x:c>
      <x:c r="T3779" s="8" t="n">
        <x:f>DATE(YEAR(C3779),MONTH(C3779),1)</x:f>
        <x:v>45839</x:v>
      </x:c>
    </x:row>
    <x:row r="3780" ht="22" customHeight="1">
      <x:c r="A3780" s="2" t="str">
        <x:v>L003776</x:v>
      </x:c>
      <x:c r="B3780" s="2" t="str">
        <x:v>O01539</x:v>
      </x:c>
      <x:c r="C3780" s="7" t="n">
        <x:v>45863</x:v>
      </x:c>
      <x:c r="D3780" s="2" t="str">
        <x:v>Completed</x:v>
      </x:c>
      <x:c r="E3780" s="2" t="str">
        <x:v>East</x:v>
      </x:c>
      <x:c r="F3780" s="2" t="str">
        <x:v>Online</x:v>
      </x:c>
      <x:c r="G3780" s="2" t="str">
        <x:v>Lighting</x:v>
      </x:c>
      <x:c r="H3780" s="2" t="str">
        <x:v>Lamp 021</x:v>
      </x:c>
      <x:c r="I3780" s="11" t="n">
        <x:v>2</x:v>
      </x:c>
      <x:c r="J3780" s="9" t="n">
        <x:v>249</x:v>
      </x:c>
      <x:c r="K3780" s="10" t="n">
        <x:v>0.2</x:v>
      </x:c>
      <x:c r="L3780" s="11" t="n">
        <x:v>0</x:v>
      </x:c>
      <x:c r="M3780" s="9" t="n">
        <x:f>IF(D3780="Completed",I3780*J3780,0)</x:f>
        <x:v>498</x:v>
      </x:c>
      <x:c r="N3780" s="9" t="n">
        <x:f>M3780*K3780</x:f>
        <x:v>99.60000000000001</x:v>
      </x:c>
      <x:c r="O3780" s="9" t="n">
        <x:f>M3780-N3780</x:f>
        <x:v>398.4</x:v>
      </x:c>
      <x:c r="P3780" s="9" t="n">
        <x:f>IF(D3780="Completed",L3780*J3780*(1-K3780),0)</x:f>
        <x:v>0</x:v>
      </x:c>
      <x:c r="Q3780" s="9" t="n">
        <x:f>O3780-P3780</x:f>
        <x:v>398.4</x:v>
      </x:c>
      <x:c r="R3780" s="11" t="n">
        <x:f>IF(D3780="Completed",I3780,0)</x:f>
        <x:v>2</x:v>
      </x:c>
      <x:c r="S3780" s="11" t="n">
        <x:f>IF(D3780="Completed",L3780,0)</x:f>
        <x:v>0</x:v>
      </x:c>
      <x:c r="T3780" s="8" t="n">
        <x:f>DATE(YEAR(C3780),MONTH(C3780),1)</x:f>
        <x:v>45839</x:v>
      </x:c>
    </x:row>
    <x:row r="3781" ht="22" customHeight="1">
      <x:c r="A3781" s="2" t="str">
        <x:v>L003777</x:v>
      </x:c>
      <x:c r="B3781" s="2" t="str">
        <x:v>O01539</x:v>
      </x:c>
      <x:c r="C3781" s="7" t="n">
        <x:v>45863</x:v>
      </x:c>
      <x:c r="D3781" s="2" t="str">
        <x:v>Completed</x:v>
      </x:c>
      <x:c r="E3781" s="2" t="str">
        <x:v>East</x:v>
      </x:c>
      <x:c r="F3781" s="2" t="str">
        <x:v>Online</x:v>
      </x:c>
      <x:c r="G3781" s="2" t="str">
        <x:v>Furniture</x:v>
      </x:c>
      <x:c r="H3781" s="2" t="str">
        <x:v>Chair 022</x:v>
      </x:c>
      <x:c r="I3781" s="11" t="n">
        <x:v>1</x:v>
      </x:c>
      <x:c r="J3781" s="9" t="n">
        <x:v>134</x:v>
      </x:c>
      <x:c r="K3781" s="10" t="n">
        <x:v>0</x:v>
      </x:c>
      <x:c r="L3781" s="11" t="n">
        <x:v>0</x:v>
      </x:c>
      <x:c r="M3781" s="9" t="n">
        <x:f>IF(D3781="Completed",I3781*J3781,0)</x:f>
        <x:v>134</x:v>
      </x:c>
      <x:c r="N3781" s="9" t="n">
        <x:f>M3781*K3781</x:f>
        <x:v>0</x:v>
      </x:c>
      <x:c r="O3781" s="9" t="n">
        <x:f>M3781-N3781</x:f>
        <x:v>134</x:v>
      </x:c>
      <x:c r="P3781" s="9" t="n">
        <x:f>IF(D3781="Completed",L3781*J3781*(1-K3781),0)</x:f>
        <x:v>0</x:v>
      </x:c>
      <x:c r="Q3781" s="9" t="n">
        <x:f>O3781-P3781</x:f>
        <x:v>134</x:v>
      </x:c>
      <x:c r="R3781" s="11" t="n">
        <x:f>IF(D3781="Completed",I3781,0)</x:f>
        <x:v>1</x:v>
      </x:c>
      <x:c r="S3781" s="11" t="n">
        <x:f>IF(D3781="Completed",L3781,0)</x:f>
        <x:v>0</x:v>
      </x:c>
      <x:c r="T3781" s="8" t="n">
        <x:f>DATE(YEAR(C3781),MONTH(C3781),1)</x:f>
        <x:v>45839</x:v>
      </x:c>
    </x:row>
    <x:row r="3782" ht="22" customHeight="1">
      <x:c r="A3782" s="2" t="str">
        <x:v>L003778</x:v>
      </x:c>
      <x:c r="B3782" s="2" t="str">
        <x:v>O01540</x:v>
      </x:c>
      <x:c r="C3782" s="7" t="n">
        <x:v>45934</x:v>
      </x:c>
      <x:c r="D3782" s="2" t="str">
        <x:v>Completed</x:v>
      </x:c>
      <x:c r="E3782" s="2" t="str">
        <x:v>West</x:v>
      </x:c>
      <x:c r="F3782" s="2" t="str">
        <x:v>Store</x:v>
      </x:c>
      <x:c r="G3782" s="2" t="str">
        <x:v>Storage</x:v>
      </x:c>
      <x:c r="H3782" s="2" t="str">
        <x:v>Shelf 007</x:v>
      </x:c>
      <x:c r="I3782" s="11" t="n">
        <x:v>3</x:v>
      </x:c>
      <x:c r="J3782" s="9" t="n">
        <x:v>35</x:v>
      </x:c>
      <x:c r="K3782" s="10" t="n">
        <x:v>0.05</x:v>
      </x:c>
      <x:c r="L3782" s="11" t="n">
        <x:v>0</x:v>
      </x:c>
      <x:c r="M3782" s="9" t="n">
        <x:f>IF(D3782="Completed",I3782*J3782,0)</x:f>
        <x:v>105</x:v>
      </x:c>
      <x:c r="N3782" s="9" t="n">
        <x:f>M3782*K3782</x:f>
        <x:v>5.25</x:v>
      </x:c>
      <x:c r="O3782" s="9" t="n">
        <x:f>M3782-N3782</x:f>
        <x:v>99.75</x:v>
      </x:c>
      <x:c r="P3782" s="9" t="n">
        <x:f>IF(D3782="Completed",L3782*J3782*(1-K3782),0)</x:f>
        <x:v>0</x:v>
      </x:c>
      <x:c r="Q3782" s="9" t="n">
        <x:f>O3782-P3782</x:f>
        <x:v>99.75</x:v>
      </x:c>
      <x:c r="R3782" s="11" t="n">
        <x:f>IF(D3782="Completed",I3782,0)</x:f>
        <x:v>3</x:v>
      </x:c>
      <x:c r="S3782" s="11" t="n">
        <x:f>IF(D3782="Completed",L3782,0)</x:f>
        <x:v>0</x:v>
      </x:c>
      <x:c r="T3782" s="8" t="n">
        <x:f>DATE(YEAR(C3782),MONTH(C3782),1)</x:f>
        <x:v>45931</x:v>
      </x:c>
    </x:row>
    <x:row r="3783" ht="22" customHeight="1">
      <x:c r="A3783" s="2" t="str">
        <x:v>L003779</x:v>
      </x:c>
      <x:c r="B3783" s="2" t="str">
        <x:v>O01540</x:v>
      </x:c>
      <x:c r="C3783" s="7" t="n">
        <x:v>45934</x:v>
      </x:c>
      <x:c r="D3783" s="2" t="str">
        <x:v>Completed</x:v>
      </x:c>
      <x:c r="E3783" s="2" t="str">
        <x:v>West</x:v>
      </x:c>
      <x:c r="F3783" s="2" t="str">
        <x:v>Store</x:v>
      </x:c>
      <x:c r="G3783" s="2" t="str">
        <x:v>Lighting</x:v>
      </x:c>
      <x:c r="H3783" s="2" t="str">
        <x:v>Lamp 021</x:v>
      </x:c>
      <x:c r="I3783" s="11" t="n">
        <x:v>4</x:v>
      </x:c>
      <x:c r="J3783" s="9" t="n">
        <x:v>249</x:v>
      </x:c>
      <x:c r="K3783" s="10" t="n">
        <x:v>0.05</x:v>
      </x:c>
      <x:c r="L3783" s="11" t="n">
        <x:v>0</x:v>
      </x:c>
      <x:c r="M3783" s="9" t="n">
        <x:f>IF(D3783="Completed",I3783*J3783,0)</x:f>
        <x:v>996</x:v>
      </x:c>
      <x:c r="N3783" s="9" t="n">
        <x:f>M3783*K3783</x:f>
        <x:v>49.800000000000004</x:v>
      </x:c>
      <x:c r="O3783" s="9" t="n">
        <x:f>M3783-N3783</x:f>
        <x:v>946.2</x:v>
      </x:c>
      <x:c r="P3783" s="9" t="n">
        <x:f>IF(D3783="Completed",L3783*J3783*(1-K3783),0)</x:f>
        <x:v>0</x:v>
      </x:c>
      <x:c r="Q3783" s="9" t="n">
        <x:f>O3783-P3783</x:f>
        <x:v>946.2</x:v>
      </x:c>
      <x:c r="R3783" s="11" t="n">
        <x:f>IF(D3783="Completed",I3783,0)</x:f>
        <x:v>4</x:v>
      </x:c>
      <x:c r="S3783" s="11" t="n">
        <x:f>IF(D3783="Completed",L3783,0)</x:f>
        <x:v>0</x:v>
      </x:c>
      <x:c r="T3783" s="8" t="n">
        <x:f>DATE(YEAR(C3783),MONTH(C3783),1)</x:f>
        <x:v>45931</x:v>
      </x:c>
    </x:row>
    <x:row r="3784" ht="22" customHeight="1">
      <x:c r="A3784" s="2" t="str">
        <x:v>L003780</x:v>
      </x:c>
      <x:c r="B3784" s="2" t="str">
        <x:v>O01540</x:v>
      </x:c>
      <x:c r="C3784" s="7" t="n">
        <x:v>45934</x:v>
      </x:c>
      <x:c r="D3784" s="2" t="str">
        <x:v>Completed</x:v>
      </x:c>
      <x:c r="E3784" s="2" t="str">
        <x:v>West</x:v>
      </x:c>
      <x:c r="F3784" s="2" t="str">
        <x:v>Store</x:v>
      </x:c>
      <x:c r="G3784" s="2" t="str">
        <x:v>Furniture</x:v>
      </x:c>
      <x:c r="H3784" s="2" t="str">
        <x:v>Desk 020</x:v>
      </x:c>
      <x:c r="I3784" s="11" t="n">
        <x:v>2</x:v>
      </x:c>
      <x:c r="J3784" s="9" t="n">
        <x:v>189</x:v>
      </x:c>
      <x:c r="K3784" s="10" t="n">
        <x:v>0.1</x:v>
      </x:c>
      <x:c r="L3784" s="11" t="n">
        <x:v>0</x:v>
      </x:c>
      <x:c r="M3784" s="9" t="n">
        <x:f>IF(D3784="Completed",I3784*J3784,0)</x:f>
        <x:v>378</x:v>
      </x:c>
      <x:c r="N3784" s="9" t="n">
        <x:f>M3784*K3784</x:f>
        <x:v>37.800000000000004</x:v>
      </x:c>
      <x:c r="O3784" s="9" t="n">
        <x:f>M3784-N3784</x:f>
        <x:v>340.2</x:v>
      </x:c>
      <x:c r="P3784" s="9" t="n">
        <x:f>IF(D3784="Completed",L3784*J3784*(1-K3784),0)</x:f>
        <x:v>0</x:v>
      </x:c>
      <x:c r="Q3784" s="9" t="n">
        <x:f>O3784-P3784</x:f>
        <x:v>340.2</x:v>
      </x:c>
      <x:c r="R3784" s="11" t="n">
        <x:f>IF(D3784="Completed",I3784,0)</x:f>
        <x:v>2</x:v>
      </x:c>
      <x:c r="S3784" s="11" t="n">
        <x:f>IF(D3784="Completed",L3784,0)</x:f>
        <x:v>0</x:v>
      </x:c>
      <x:c r="T3784" s="8" t="n">
        <x:f>DATE(YEAR(C3784),MONTH(C3784),1)</x:f>
        <x:v>45931</x:v>
      </x:c>
    </x:row>
    <x:row r="3785" ht="22" customHeight="1">
      <x:c r="A3785" s="2" t="str">
        <x:v>L003781</x:v>
      </x:c>
      <x:c r="B3785" s="2" t="str">
        <x:v>O01541</x:v>
      </x:c>
      <x:c r="C3785" s="7" t="n">
        <x:v>45833</x:v>
      </x:c>
      <x:c r="D3785" s="2" t="str">
        <x:v>Completed</x:v>
      </x:c>
      <x:c r="E3785" s="2" t="str">
        <x:v>West</x:v>
      </x:c>
      <x:c r="F3785" s="2" t="str">
        <x:v>Online</x:v>
      </x:c>
      <x:c r="G3785" s="2" t="str">
        <x:v>Lighting</x:v>
      </x:c>
      <x:c r="H3785" s="2" t="str">
        <x:v>Lamp 013</x:v>
      </x:c>
      <x:c r="I3785" s="11" t="n">
        <x:v>5</x:v>
      </x:c>
      <x:c r="J3785" s="9" t="n">
        <x:v>271</x:v>
      </x:c>
      <x:c r="K3785" s="10" t="n">
        <x:v>0.1</x:v>
      </x:c>
      <x:c r="L3785" s="11" t="n">
        <x:v>0</x:v>
      </x:c>
      <x:c r="M3785" s="9" t="n">
        <x:f>IF(D3785="Completed",I3785*J3785,0)</x:f>
        <x:v>1355</x:v>
      </x:c>
      <x:c r="N3785" s="9" t="n">
        <x:f>M3785*K3785</x:f>
        <x:v>135.5</x:v>
      </x:c>
      <x:c r="O3785" s="9" t="n">
        <x:f>M3785-N3785</x:f>
        <x:v>1219.5</x:v>
      </x:c>
      <x:c r="P3785" s="9" t="n">
        <x:f>IF(D3785="Completed",L3785*J3785*(1-K3785),0)</x:f>
        <x:v>0</x:v>
      </x:c>
      <x:c r="Q3785" s="9" t="n">
        <x:f>O3785-P3785</x:f>
        <x:v>1219.5</x:v>
      </x:c>
      <x:c r="R3785" s="11" t="n">
        <x:f>IF(D3785="Completed",I3785,0)</x:f>
        <x:v>5</x:v>
      </x:c>
      <x:c r="S3785" s="11" t="n">
        <x:f>IF(D3785="Completed",L3785,0)</x:f>
        <x:v>0</x:v>
      </x:c>
      <x:c r="T3785" s="8" t="n">
        <x:f>DATE(YEAR(C3785),MONTH(C3785),1)</x:f>
        <x:v>45809</x:v>
      </x:c>
    </x:row>
    <x:row r="3786" ht="22" customHeight="1">
      <x:c r="A3786" s="2" t="str">
        <x:v>L003782</x:v>
      </x:c>
      <x:c r="B3786" s="2" t="str">
        <x:v>O01541</x:v>
      </x:c>
      <x:c r="C3786" s="7" t="n">
        <x:v>45833</x:v>
      </x:c>
      <x:c r="D3786" s="2" t="str">
        <x:v>Completed</x:v>
      </x:c>
      <x:c r="E3786" s="2" t="str">
        <x:v>West</x:v>
      </x:c>
      <x:c r="F3786" s="2" t="str">
        <x:v>Online</x:v>
      </x:c>
      <x:c r="G3786" s="2" t="str">
        <x:v>Furniture</x:v>
      </x:c>
      <x:c r="H3786" s="2" t="str">
        <x:v>Chair 022</x:v>
      </x:c>
      <x:c r="I3786" s="11" t="n">
        <x:v>2</x:v>
      </x:c>
      <x:c r="J3786" s="9" t="n">
        <x:v>134</x:v>
      </x:c>
      <x:c r="K3786" s="10" t="n">
        <x:v>0</x:v>
      </x:c>
      <x:c r="L3786" s="11" t="n">
        <x:v>0</x:v>
      </x:c>
      <x:c r="M3786" s="9" t="n">
        <x:f>IF(D3786="Completed",I3786*J3786,0)</x:f>
        <x:v>268</x:v>
      </x:c>
      <x:c r="N3786" s="9" t="n">
        <x:f>M3786*K3786</x:f>
        <x:v>0</x:v>
      </x:c>
      <x:c r="O3786" s="9" t="n">
        <x:f>M3786-N3786</x:f>
        <x:v>268</x:v>
      </x:c>
      <x:c r="P3786" s="9" t="n">
        <x:f>IF(D3786="Completed",L3786*J3786*(1-K3786),0)</x:f>
        <x:v>0</x:v>
      </x:c>
      <x:c r="Q3786" s="9" t="n">
        <x:f>O3786-P3786</x:f>
        <x:v>268</x:v>
      </x:c>
      <x:c r="R3786" s="11" t="n">
        <x:f>IF(D3786="Completed",I3786,0)</x:f>
        <x:v>2</x:v>
      </x:c>
      <x:c r="S3786" s="11" t="n">
        <x:f>IF(D3786="Completed",L3786,0)</x:f>
        <x:v>0</x:v>
      </x:c>
      <x:c r="T3786" s="8" t="n">
        <x:f>DATE(YEAR(C3786),MONTH(C3786),1)</x:f>
        <x:v>45809</x:v>
      </x:c>
    </x:row>
    <x:row r="3787" ht="22" customHeight="1">
      <x:c r="A3787" s="2" t="str">
        <x:v>L003783</x:v>
      </x:c>
      <x:c r="B3787" s="2" t="str">
        <x:v>O01541</x:v>
      </x:c>
      <x:c r="C3787" s="7" t="n">
        <x:v>45833</x:v>
      </x:c>
      <x:c r="D3787" s="2" t="str">
        <x:v>Completed</x:v>
      </x:c>
      <x:c r="E3787" s="2" t="str">
        <x:v>West</x:v>
      </x:c>
      <x:c r="F3787" s="2" t="str">
        <x:v>Online</x:v>
      </x:c>
      <x:c r="G3787" s="2" t="str">
        <x:v>Lighting</x:v>
      </x:c>
      <x:c r="H3787" s="2" t="str">
        <x:v>Lamp 017</x:v>
      </x:c>
      <x:c r="I3787" s="11" t="n">
        <x:v>1</x:v>
      </x:c>
      <x:c r="J3787" s="9" t="n">
        <x:v>300</x:v>
      </x:c>
      <x:c r="K3787" s="10" t="n">
        <x:v>0</x:v>
      </x:c>
      <x:c r="L3787" s="11" t="n">
        <x:v>0</x:v>
      </x:c>
      <x:c r="M3787" s="9" t="n">
        <x:f>IF(D3787="Completed",I3787*J3787,0)</x:f>
        <x:v>300</x:v>
      </x:c>
      <x:c r="N3787" s="9" t="n">
        <x:f>M3787*K3787</x:f>
        <x:v>0</x:v>
      </x:c>
      <x:c r="O3787" s="9" t="n">
        <x:f>M3787-N3787</x:f>
        <x:v>300</x:v>
      </x:c>
      <x:c r="P3787" s="9" t="n">
        <x:f>IF(D3787="Completed",L3787*J3787*(1-K3787),0)</x:f>
        <x:v>0</x:v>
      </x:c>
      <x:c r="Q3787" s="9" t="n">
        <x:f>O3787-P3787</x:f>
        <x:v>300</x:v>
      </x:c>
      <x:c r="R3787" s="11" t="n">
        <x:f>IF(D3787="Completed",I3787,0)</x:f>
        <x:v>1</x:v>
      </x:c>
      <x:c r="S3787" s="11" t="n">
        <x:f>IF(D3787="Completed",L3787,0)</x:f>
        <x:v>0</x:v>
      </x:c>
      <x:c r="T3787" s="8" t="n">
        <x:f>DATE(YEAR(C3787),MONTH(C3787),1)</x:f>
        <x:v>45809</x:v>
      </x:c>
    </x:row>
    <x:row r="3788" ht="22" customHeight="1">
      <x:c r="A3788" s="2" t="str">
        <x:v>L003784</x:v>
      </x:c>
      <x:c r="B3788" s="2" t="str">
        <x:v>O01542</x:v>
      </x:c>
      <x:c r="C3788" s="7" t="n">
        <x:v>45951</x:v>
      </x:c>
      <x:c r="D3788" s="2" t="str">
        <x:v>Completed</x:v>
      </x:c>
      <x:c r="E3788" s="2" t="str">
        <x:v>West</x:v>
      </x:c>
      <x:c r="F3788" s="2" t="str">
        <x:v>Online</x:v>
      </x:c>
      <x:c r="G3788" s="2" t="str">
        <x:v>Furniture</x:v>
      </x:c>
      <x:c r="H3788" s="2" t="str">
        <x:v>Chair 002</x:v>
      </x:c>
      <x:c r="I3788" s="11" t="n">
        <x:v>3</x:v>
      </x:c>
      <x:c r="J3788" s="9" t="n">
        <x:v>284</x:v>
      </x:c>
      <x:c r="K3788" s="10" t="n">
        <x:v>0.05</x:v>
      </x:c>
      <x:c r="L3788" s="11" t="n">
        <x:v>0</x:v>
      </x:c>
      <x:c r="M3788" s="9" t="n">
        <x:f>IF(D3788="Completed",I3788*J3788,0)</x:f>
        <x:v>852</x:v>
      </x:c>
      <x:c r="N3788" s="9" t="n">
        <x:f>M3788*K3788</x:f>
        <x:v>42.6</x:v>
      </x:c>
      <x:c r="O3788" s="9" t="n">
        <x:f>M3788-N3788</x:f>
        <x:v>809.4</x:v>
      </x:c>
      <x:c r="P3788" s="9" t="n">
        <x:f>IF(D3788="Completed",L3788*J3788*(1-K3788),0)</x:f>
        <x:v>0</x:v>
      </x:c>
      <x:c r="Q3788" s="9" t="n">
        <x:f>O3788-P3788</x:f>
        <x:v>809.4</x:v>
      </x:c>
      <x:c r="R3788" s="11" t="n">
        <x:f>IF(D3788="Completed",I3788,0)</x:f>
        <x:v>3</x:v>
      </x:c>
      <x:c r="S3788" s="11" t="n">
        <x:f>IF(D3788="Completed",L3788,0)</x:f>
        <x:v>0</x:v>
      </x:c>
      <x:c r="T3788" s="8" t="n">
        <x:f>DATE(YEAR(C3788),MONTH(C3788),1)</x:f>
        <x:v>45931</x:v>
      </x:c>
    </x:row>
    <x:row r="3789" ht="22" customHeight="1">
      <x:c r="A3789" s="2" t="str">
        <x:v>L003785</x:v>
      </x:c>
      <x:c r="B3789" s="2" t="str">
        <x:v>O01542</x:v>
      </x:c>
      <x:c r="C3789" s="7" t="n">
        <x:v>45951</x:v>
      </x:c>
      <x:c r="D3789" s="2" t="str">
        <x:v>Completed</x:v>
      </x:c>
      <x:c r="E3789" s="2" t="str">
        <x:v>West</x:v>
      </x:c>
      <x:c r="F3789" s="2" t="str">
        <x:v>Online</x:v>
      </x:c>
      <x:c r="G3789" s="2" t="str">
        <x:v>Furniture</x:v>
      </x:c>
      <x:c r="H3789" s="2" t="str">
        <x:v>Chair 002</x:v>
      </x:c>
      <x:c r="I3789" s="11" t="n">
        <x:v>5</x:v>
      </x:c>
      <x:c r="J3789" s="9" t="n">
        <x:v>284</x:v>
      </x:c>
      <x:c r="K3789" s="10" t="n">
        <x:v>0.1</x:v>
      </x:c>
      <x:c r="L3789" s="11" t="n">
        <x:v>0</x:v>
      </x:c>
      <x:c r="M3789" s="9" t="n">
        <x:f>IF(D3789="Completed",I3789*J3789,0)</x:f>
        <x:v>1420</x:v>
      </x:c>
      <x:c r="N3789" s="9" t="n">
        <x:f>M3789*K3789</x:f>
        <x:v>142</x:v>
      </x:c>
      <x:c r="O3789" s="9" t="n">
        <x:f>M3789-N3789</x:f>
        <x:v>1278</x:v>
      </x:c>
      <x:c r="P3789" s="9" t="n">
        <x:f>IF(D3789="Completed",L3789*J3789*(1-K3789),0)</x:f>
        <x:v>0</x:v>
      </x:c>
      <x:c r="Q3789" s="9" t="n">
        <x:f>O3789-P3789</x:f>
        <x:v>1278</x:v>
      </x:c>
      <x:c r="R3789" s="11" t="n">
        <x:f>IF(D3789="Completed",I3789,0)</x:f>
        <x:v>5</x:v>
      </x:c>
      <x:c r="S3789" s="11" t="n">
        <x:f>IF(D3789="Completed",L3789,0)</x:f>
        <x:v>0</x:v>
      </x:c>
      <x:c r="T3789" s="8" t="n">
        <x:f>DATE(YEAR(C3789),MONTH(C3789),1)</x:f>
        <x:v>45931</x:v>
      </x:c>
    </x:row>
    <x:row r="3790" ht="22" customHeight="1">
      <x:c r="A3790" s="2" t="str">
        <x:v>L003786</x:v>
      </x:c>
      <x:c r="B3790" s="2" t="str">
        <x:v>O01542</x:v>
      </x:c>
      <x:c r="C3790" s="7" t="n">
        <x:v>45951</x:v>
      </x:c>
      <x:c r="D3790" s="2" t="str">
        <x:v>Completed</x:v>
      </x:c>
      <x:c r="E3790" s="2" t="str">
        <x:v>West</x:v>
      </x:c>
      <x:c r="F3790" s="2" t="str">
        <x:v>Online</x:v>
      </x:c>
      <x:c r="G3790" s="2" t="str">
        <x:v>Furniture</x:v>
      </x:c>
      <x:c r="H3790" s="2" t="str">
        <x:v>Desk 024</x:v>
      </x:c>
      <x:c r="I3790" s="11" t="n">
        <x:v>5</x:v>
      </x:c>
      <x:c r="J3790" s="9" t="n">
        <x:v>81</x:v>
      </x:c>
      <x:c r="K3790" s="10" t="n">
        <x:v>0.1</x:v>
      </x:c>
      <x:c r="L3790" s="11" t="n">
        <x:v>0</x:v>
      </x:c>
      <x:c r="M3790" s="9" t="n">
        <x:f>IF(D3790="Completed",I3790*J3790,0)</x:f>
        <x:v>405</x:v>
      </x:c>
      <x:c r="N3790" s="9" t="n">
        <x:f>M3790*K3790</x:f>
        <x:v>40.5</x:v>
      </x:c>
      <x:c r="O3790" s="9" t="n">
        <x:f>M3790-N3790</x:f>
        <x:v>364.5</x:v>
      </x:c>
      <x:c r="P3790" s="9" t="n">
        <x:f>IF(D3790="Completed",L3790*J3790*(1-K3790),0)</x:f>
        <x:v>0</x:v>
      </x:c>
      <x:c r="Q3790" s="9" t="n">
        <x:f>O3790-P3790</x:f>
        <x:v>364.5</x:v>
      </x:c>
      <x:c r="R3790" s="11" t="n">
        <x:f>IF(D3790="Completed",I3790,0)</x:f>
        <x:v>5</x:v>
      </x:c>
      <x:c r="S3790" s="11" t="n">
        <x:f>IF(D3790="Completed",L3790,0)</x:f>
        <x:v>0</x:v>
      </x:c>
      <x:c r="T3790" s="8" t="n">
        <x:f>DATE(YEAR(C3790),MONTH(C3790),1)</x:f>
        <x:v>45931</x:v>
      </x:c>
    </x:row>
    <x:row r="3791" ht="22" customHeight="1">
      <x:c r="A3791" s="2" t="str">
        <x:v>L003787</x:v>
      </x:c>
      <x:c r="B3791" s="2" t="str">
        <x:v>O01542</x:v>
      </x:c>
      <x:c r="C3791" s="7" t="n">
        <x:v>45951</x:v>
      </x:c>
      <x:c r="D3791" s="2" t="str">
        <x:v>Completed</x:v>
      </x:c>
      <x:c r="E3791" s="2" t="str">
        <x:v>West</x:v>
      </x:c>
      <x:c r="F3791" s="2" t="str">
        <x:v>Online</x:v>
      </x:c>
      <x:c r="G3791" s="2" t="str">
        <x:v>Storage</x:v>
      </x:c>
      <x:c r="H3791" s="2" t="str">
        <x:v>Shelf 019</x:v>
      </x:c>
      <x:c r="I3791" s="11" t="n">
        <x:v>2</x:v>
      </x:c>
      <x:c r="J3791" s="9" t="n">
        <x:v>78</x:v>
      </x:c>
      <x:c r="K3791" s="10" t="n">
        <x:v>0</x:v>
      </x:c>
      <x:c r="L3791" s="11" t="n">
        <x:v>0</x:v>
      </x:c>
      <x:c r="M3791" s="9" t="n">
        <x:f>IF(D3791="Completed",I3791*J3791,0)</x:f>
        <x:v>156</x:v>
      </x:c>
      <x:c r="N3791" s="9" t="n">
        <x:f>M3791*K3791</x:f>
        <x:v>0</x:v>
      </x:c>
      <x:c r="O3791" s="9" t="n">
        <x:f>M3791-N3791</x:f>
        <x:v>156</x:v>
      </x:c>
      <x:c r="P3791" s="9" t="n">
        <x:f>IF(D3791="Completed",L3791*J3791*(1-K3791),0)</x:f>
        <x:v>0</x:v>
      </x:c>
      <x:c r="Q3791" s="9" t="n">
        <x:f>O3791-P3791</x:f>
        <x:v>156</x:v>
      </x:c>
      <x:c r="R3791" s="11" t="n">
        <x:f>IF(D3791="Completed",I3791,0)</x:f>
        <x:v>2</x:v>
      </x:c>
      <x:c r="S3791" s="11" t="n">
        <x:f>IF(D3791="Completed",L3791,0)</x:f>
        <x:v>0</x:v>
      </x:c>
      <x:c r="T3791" s="8" t="n">
        <x:f>DATE(YEAR(C3791),MONTH(C3791),1)</x:f>
        <x:v>45931</x:v>
      </x:c>
    </x:row>
    <x:row r="3792" ht="22" customHeight="1">
      <x:c r="A3792" s="2" t="str">
        <x:v>L003788</x:v>
      </x:c>
      <x:c r="B3792" s="2" t="str">
        <x:v>O01543</x:v>
      </x:c>
      <x:c r="C3792" s="7" t="n">
        <x:v>45995</x:v>
      </x:c>
      <x:c r="D3792" s="2" t="str">
        <x:v>Completed</x:v>
      </x:c>
      <x:c r="E3792" s="2" t="str">
        <x:v>East</x:v>
      </x:c>
      <x:c r="F3792" s="2" t="str">
        <x:v>Store</x:v>
      </x:c>
      <x:c r="G3792" s="2" t="str">
        <x:v>Storage</x:v>
      </x:c>
      <x:c r="H3792" s="2" t="str">
        <x:v>Shelf 019</x:v>
      </x:c>
      <x:c r="I3792" s="11" t="n">
        <x:v>5</x:v>
      </x:c>
      <x:c r="J3792" s="9" t="n">
        <x:v>78</x:v>
      </x:c>
      <x:c r="K3792" s="10" t="n">
        <x:v>0.1</x:v>
      </x:c>
      <x:c r="L3792" s="11" t="n">
        <x:v>0</x:v>
      </x:c>
      <x:c r="M3792" s="9" t="n">
        <x:f>IF(D3792="Completed",I3792*J3792,0)</x:f>
        <x:v>390</x:v>
      </x:c>
      <x:c r="N3792" s="9" t="n">
        <x:f>M3792*K3792</x:f>
        <x:v>39</x:v>
      </x:c>
      <x:c r="O3792" s="9" t="n">
        <x:f>M3792-N3792</x:f>
        <x:v>351</x:v>
      </x:c>
      <x:c r="P3792" s="9" t="n">
        <x:f>IF(D3792="Completed",L3792*J3792*(1-K3792),0)</x:f>
        <x:v>0</x:v>
      </x:c>
      <x:c r="Q3792" s="9" t="n">
        <x:f>O3792-P3792</x:f>
        <x:v>351</x:v>
      </x:c>
      <x:c r="R3792" s="11" t="n">
        <x:f>IF(D3792="Completed",I3792,0)</x:f>
        <x:v>5</x:v>
      </x:c>
      <x:c r="S3792" s="11" t="n">
        <x:f>IF(D3792="Completed",L3792,0)</x:f>
        <x:v>0</x:v>
      </x:c>
      <x:c r="T3792" s="8" t="n">
        <x:f>DATE(YEAR(C3792),MONTH(C3792),1)</x:f>
        <x:v>45992</x:v>
      </x:c>
    </x:row>
    <x:row r="3793" ht="22" customHeight="1">
      <x:c r="A3793" s="2" t="str">
        <x:v>L003789</x:v>
      </x:c>
      <x:c r="B3793" s="2" t="str">
        <x:v>O01543</x:v>
      </x:c>
      <x:c r="C3793" s="7" t="n">
        <x:v>45995</x:v>
      </x:c>
      <x:c r="D3793" s="2" t="str">
        <x:v>Completed</x:v>
      </x:c>
      <x:c r="E3793" s="2" t="str">
        <x:v>East</x:v>
      </x:c>
      <x:c r="F3793" s="2" t="str">
        <x:v>Store</x:v>
      </x:c>
      <x:c r="G3793" s="2" t="str">
        <x:v>Furniture</x:v>
      </x:c>
      <x:c r="H3793" s="2" t="str">
        <x:v>Chair 014</x:v>
      </x:c>
      <x:c r="I3793" s="11" t="n">
        <x:v>2</x:v>
      </x:c>
      <x:c r="J3793" s="9" t="n">
        <x:v>294</x:v>
      </x:c>
      <x:c r="K3793" s="10" t="n">
        <x:v>0.05</x:v>
      </x:c>
      <x:c r="L3793" s="11" t="n">
        <x:v>0</x:v>
      </x:c>
      <x:c r="M3793" s="9" t="n">
        <x:f>IF(D3793="Completed",I3793*J3793,0)</x:f>
        <x:v>588</x:v>
      </x:c>
      <x:c r="N3793" s="9" t="n">
        <x:f>M3793*K3793</x:f>
        <x:v>29.400000000000002</x:v>
      </x:c>
      <x:c r="O3793" s="9" t="n">
        <x:f>M3793-N3793</x:f>
        <x:v>558.6</x:v>
      </x:c>
      <x:c r="P3793" s="9" t="n">
        <x:f>IF(D3793="Completed",L3793*J3793*(1-K3793),0)</x:f>
        <x:v>0</x:v>
      </x:c>
      <x:c r="Q3793" s="9" t="n">
        <x:f>O3793-P3793</x:f>
        <x:v>558.6</x:v>
      </x:c>
      <x:c r="R3793" s="11" t="n">
        <x:f>IF(D3793="Completed",I3793,0)</x:f>
        <x:v>2</x:v>
      </x:c>
      <x:c r="S3793" s="11" t="n">
        <x:f>IF(D3793="Completed",L3793,0)</x:f>
        <x:v>0</x:v>
      </x:c>
      <x:c r="T3793" s="8" t="n">
        <x:f>DATE(YEAR(C3793),MONTH(C3793),1)</x:f>
        <x:v>45992</x:v>
      </x:c>
    </x:row>
    <x:row r="3794" ht="22" customHeight="1">
      <x:c r="A3794" s="2" t="str">
        <x:v>L003790</x:v>
      </x:c>
      <x:c r="B3794" s="2" t="str">
        <x:v>O01544</x:v>
      </x:c>
      <x:c r="C3794" s="7" t="n">
        <x:v>45891</x:v>
      </x:c>
      <x:c r="D3794" s="2" t="str">
        <x:v>Completed</x:v>
      </x:c>
      <x:c r="E3794" s="2" t="str">
        <x:v>West</x:v>
      </x:c>
      <x:c r="F3794" s="2" t="str">
        <x:v>Store</x:v>
      </x:c>
      <x:c r="G3794" s="2" t="str">
        <x:v>Lighting</x:v>
      </x:c>
      <x:c r="H3794" s="2" t="str">
        <x:v>Lamp 017</x:v>
      </x:c>
      <x:c r="I3794" s="11" t="n">
        <x:v>2</x:v>
      </x:c>
      <x:c r="J3794" s="9" t="n">
        <x:v>300</x:v>
      </x:c>
      <x:c r="K3794" s="10" t="n">
        <x:v>0</x:v>
      </x:c>
      <x:c r="L3794" s="11" t="n">
        <x:v>0</x:v>
      </x:c>
      <x:c r="M3794" s="9" t="n">
        <x:f>IF(D3794="Completed",I3794*J3794,0)</x:f>
        <x:v>600</x:v>
      </x:c>
      <x:c r="N3794" s="9" t="n">
        <x:f>M3794*K3794</x:f>
        <x:v>0</x:v>
      </x:c>
      <x:c r="O3794" s="9" t="n">
        <x:f>M3794-N3794</x:f>
        <x:v>600</x:v>
      </x:c>
      <x:c r="P3794" s="9" t="n">
        <x:f>IF(D3794="Completed",L3794*J3794*(1-K3794),0)</x:f>
        <x:v>0</x:v>
      </x:c>
      <x:c r="Q3794" s="9" t="n">
        <x:f>O3794-P3794</x:f>
        <x:v>600</x:v>
      </x:c>
      <x:c r="R3794" s="11" t="n">
        <x:f>IF(D3794="Completed",I3794,0)</x:f>
        <x:v>2</x:v>
      </x:c>
      <x:c r="S3794" s="11" t="n">
        <x:f>IF(D3794="Completed",L3794,0)</x:f>
        <x:v>0</x:v>
      </x:c>
      <x:c r="T3794" s="8" t="n">
        <x:f>DATE(YEAR(C3794),MONTH(C3794),1)</x:f>
        <x:v>45870</x:v>
      </x:c>
    </x:row>
    <x:row r="3795" ht="22" customHeight="1">
      <x:c r="A3795" s="2" t="str">
        <x:v>L003791</x:v>
      </x:c>
      <x:c r="B3795" s="2" t="str">
        <x:v>O01545</x:v>
      </x:c>
      <x:c r="C3795" s="7" t="n">
        <x:v>45795</x:v>
      </x:c>
      <x:c r="D3795" s="2" t="str">
        <x:v>Completed</x:v>
      </x:c>
      <x:c r="E3795" s="2" t="str">
        <x:v>East</x:v>
      </x:c>
      <x:c r="F3795" s="2" t="str">
        <x:v>Online</x:v>
      </x:c>
      <x:c r="G3795" s="2" t="str">
        <x:v>Lighting</x:v>
      </x:c>
      <x:c r="H3795" s="2" t="str">
        <x:v>Lamp 021</x:v>
      </x:c>
      <x:c r="I3795" s="11" t="n">
        <x:v>2</x:v>
      </x:c>
      <x:c r="J3795" s="9" t="n">
        <x:v>249</x:v>
      </x:c>
      <x:c r="K3795" s="10" t="n">
        <x:v>0.2</x:v>
      </x:c>
      <x:c r="L3795" s="11" t="n">
        <x:v>0</x:v>
      </x:c>
      <x:c r="M3795" s="9" t="n">
        <x:f>IF(D3795="Completed",I3795*J3795,0)</x:f>
        <x:v>498</x:v>
      </x:c>
      <x:c r="N3795" s="9" t="n">
        <x:f>M3795*K3795</x:f>
        <x:v>99.60000000000001</x:v>
      </x:c>
      <x:c r="O3795" s="9" t="n">
        <x:f>M3795-N3795</x:f>
        <x:v>398.4</x:v>
      </x:c>
      <x:c r="P3795" s="9" t="n">
        <x:f>IF(D3795="Completed",L3795*J3795*(1-K3795),0)</x:f>
        <x:v>0</x:v>
      </x:c>
      <x:c r="Q3795" s="9" t="n">
        <x:f>O3795-P3795</x:f>
        <x:v>398.4</x:v>
      </x:c>
      <x:c r="R3795" s="11" t="n">
        <x:f>IF(D3795="Completed",I3795,0)</x:f>
        <x:v>2</x:v>
      </x:c>
      <x:c r="S3795" s="11" t="n">
        <x:f>IF(D3795="Completed",L3795,0)</x:f>
        <x:v>0</x:v>
      </x:c>
      <x:c r="T3795" s="8" t="n">
        <x:f>DATE(YEAR(C3795),MONTH(C3795),1)</x:f>
        <x:v>45778</x:v>
      </x:c>
    </x:row>
    <x:row r="3796" ht="22" customHeight="1">
      <x:c r="A3796" s="2" t="str">
        <x:v>L003792</x:v>
      </x:c>
      <x:c r="B3796" s="2" t="str">
        <x:v>O01545</x:v>
      </x:c>
      <x:c r="C3796" s="7" t="n">
        <x:v>45795</x:v>
      </x:c>
      <x:c r="D3796" s="2" t="str">
        <x:v>Completed</x:v>
      </x:c>
      <x:c r="E3796" s="2" t="str">
        <x:v>East</x:v>
      </x:c>
      <x:c r="F3796" s="2" t="str">
        <x:v>Online</x:v>
      </x:c>
      <x:c r="G3796" s="2" t="str">
        <x:v>Furniture</x:v>
      </x:c>
      <x:c r="H3796" s="2" t="str">
        <x:v>Chair 018</x:v>
      </x:c>
      <x:c r="I3796" s="11" t="n">
        <x:v>4</x:v>
      </x:c>
      <x:c r="J3796" s="9" t="n">
        <x:v>269</x:v>
      </x:c>
      <x:c r="K3796" s="10" t="n">
        <x:v>0.2</x:v>
      </x:c>
      <x:c r="L3796" s="11" t="n">
        <x:v>0</x:v>
      </x:c>
      <x:c r="M3796" s="9" t="n">
        <x:f>IF(D3796="Completed",I3796*J3796,0)</x:f>
        <x:v>1076</x:v>
      </x:c>
      <x:c r="N3796" s="9" t="n">
        <x:f>M3796*K3796</x:f>
        <x:v>215.20000000000002</x:v>
      </x:c>
      <x:c r="O3796" s="9" t="n">
        <x:f>M3796-N3796</x:f>
        <x:v>860.8</x:v>
      </x:c>
      <x:c r="P3796" s="9" t="n">
        <x:f>IF(D3796="Completed",L3796*J3796*(1-K3796),0)</x:f>
        <x:v>0</x:v>
      </x:c>
      <x:c r="Q3796" s="9" t="n">
        <x:f>O3796-P3796</x:f>
        <x:v>860.8</x:v>
      </x:c>
      <x:c r="R3796" s="11" t="n">
        <x:f>IF(D3796="Completed",I3796,0)</x:f>
        <x:v>4</x:v>
      </x:c>
      <x:c r="S3796" s="11" t="n">
        <x:f>IF(D3796="Completed",L3796,0)</x:f>
        <x:v>0</x:v>
      </x:c>
      <x:c r="T3796" s="8" t="n">
        <x:f>DATE(YEAR(C3796),MONTH(C3796),1)</x:f>
        <x:v>45778</x:v>
      </x:c>
    </x:row>
    <x:row r="3797" ht="22" customHeight="1">
      <x:c r="A3797" s="2" t="str">
        <x:v>L003793</x:v>
      </x:c>
      <x:c r="B3797" s="2" t="str">
        <x:v>O01546</x:v>
      </x:c>
      <x:c r="C3797" s="7" t="n">
        <x:v>45723</x:v>
      </x:c>
      <x:c r="D3797" s="2" t="str">
        <x:v>Completed</x:v>
      </x:c>
      <x:c r="E3797" s="2" t="str">
        <x:v>North</x:v>
      </x:c>
      <x:c r="F3797" s="2" t="str">
        <x:v>Online</x:v>
      </x:c>
      <x:c r="G3797" s="2" t="str">
        <x:v>Furniture</x:v>
      </x:c>
      <x:c r="H3797" s="2" t="str">
        <x:v>Desk 016</x:v>
      </x:c>
      <x:c r="I3797" s="11" t="n">
        <x:v>4</x:v>
      </x:c>
      <x:c r="J3797" s="9" t="n">
        <x:v>231</x:v>
      </x:c>
      <x:c r="K3797" s="10" t="n">
        <x:v>0.1</x:v>
      </x:c>
      <x:c r="L3797" s="11" t="n">
        <x:v>0</x:v>
      </x:c>
      <x:c r="M3797" s="9" t="n">
        <x:f>IF(D3797="Completed",I3797*J3797,0)</x:f>
        <x:v>924</x:v>
      </x:c>
      <x:c r="N3797" s="9" t="n">
        <x:f>M3797*K3797</x:f>
        <x:v>92.4</x:v>
      </x:c>
      <x:c r="O3797" s="9" t="n">
        <x:f>M3797-N3797</x:f>
        <x:v>831.6</x:v>
      </x:c>
      <x:c r="P3797" s="9" t="n">
        <x:f>IF(D3797="Completed",L3797*J3797*(1-K3797),0)</x:f>
        <x:v>0</x:v>
      </x:c>
      <x:c r="Q3797" s="9" t="n">
        <x:f>O3797-P3797</x:f>
        <x:v>831.6</x:v>
      </x:c>
      <x:c r="R3797" s="11" t="n">
        <x:f>IF(D3797="Completed",I3797,0)</x:f>
        <x:v>4</x:v>
      </x:c>
      <x:c r="S3797" s="11" t="n">
        <x:f>IF(D3797="Completed",L3797,0)</x:f>
        <x:v>0</x:v>
      </x:c>
      <x:c r="T3797" s="8" t="n">
        <x:f>DATE(YEAR(C3797),MONTH(C3797),1)</x:f>
        <x:v>45717</x:v>
      </x:c>
    </x:row>
    <x:row r="3798" ht="22" customHeight="1">
      <x:c r="A3798" s="2" t="str">
        <x:v>L003794</x:v>
      </x:c>
      <x:c r="B3798" s="2" t="str">
        <x:v>O01546</x:v>
      </x:c>
      <x:c r="C3798" s="7" t="n">
        <x:v>45723</x:v>
      </x:c>
      <x:c r="D3798" s="2" t="str">
        <x:v>Completed</x:v>
      </x:c>
      <x:c r="E3798" s="2" t="str">
        <x:v>North</x:v>
      </x:c>
      <x:c r="F3798" s="2" t="str">
        <x:v>Online</x:v>
      </x:c>
      <x:c r="G3798" s="2" t="str">
        <x:v>Furniture</x:v>
      </x:c>
      <x:c r="H3798" s="2" t="str">
        <x:v>Desk 020</x:v>
      </x:c>
      <x:c r="I3798" s="11" t="n">
        <x:v>2</x:v>
      </x:c>
      <x:c r="J3798" s="9" t="n">
        <x:v>189</x:v>
      </x:c>
      <x:c r="K3798" s="10" t="n">
        <x:v>0.05</x:v>
      </x:c>
      <x:c r="L3798" s="11" t="n">
        <x:v>0</x:v>
      </x:c>
      <x:c r="M3798" s="9" t="n">
        <x:f>IF(D3798="Completed",I3798*J3798,0)</x:f>
        <x:v>378</x:v>
      </x:c>
      <x:c r="N3798" s="9" t="n">
        <x:f>M3798*K3798</x:f>
        <x:v>18.900000000000002</x:v>
      </x:c>
      <x:c r="O3798" s="9" t="n">
        <x:f>M3798-N3798</x:f>
        <x:v>359.1</x:v>
      </x:c>
      <x:c r="P3798" s="9" t="n">
        <x:f>IF(D3798="Completed",L3798*J3798*(1-K3798),0)</x:f>
        <x:v>0</x:v>
      </x:c>
      <x:c r="Q3798" s="9" t="n">
        <x:f>O3798-P3798</x:f>
        <x:v>359.1</x:v>
      </x:c>
      <x:c r="R3798" s="11" t="n">
        <x:f>IF(D3798="Completed",I3798,0)</x:f>
        <x:v>2</x:v>
      </x:c>
      <x:c r="S3798" s="11" t="n">
        <x:f>IF(D3798="Completed",L3798,0)</x:f>
        <x:v>0</x:v>
      </x:c>
      <x:c r="T3798" s="8" t="n">
        <x:f>DATE(YEAR(C3798),MONTH(C3798),1)</x:f>
        <x:v>45717</x:v>
      </x:c>
    </x:row>
    <x:row r="3799" ht="22" customHeight="1">
      <x:c r="A3799" s="2" t="str">
        <x:v>L003795</x:v>
      </x:c>
      <x:c r="B3799" s="2" t="str">
        <x:v>O01546</x:v>
      </x:c>
      <x:c r="C3799" s="7" t="n">
        <x:v>45723</x:v>
      </x:c>
      <x:c r="D3799" s="2" t="str">
        <x:v>Completed</x:v>
      </x:c>
      <x:c r="E3799" s="2" t="str">
        <x:v>North</x:v>
      </x:c>
      <x:c r="F3799" s="2" t="str">
        <x:v>Online</x:v>
      </x:c>
      <x:c r="G3799" s="2" t="str">
        <x:v>Furniture</x:v>
      </x:c>
      <x:c r="H3799" s="2" t="str">
        <x:v>Chair 014</x:v>
      </x:c>
      <x:c r="I3799" s="11" t="n">
        <x:v>4</x:v>
      </x:c>
      <x:c r="J3799" s="9" t="n">
        <x:v>294</x:v>
      </x:c>
      <x:c r="K3799" s="10" t="n">
        <x:v>0.2</x:v>
      </x:c>
      <x:c r="L3799" s="11" t="n">
        <x:v>0</x:v>
      </x:c>
      <x:c r="M3799" s="9" t="n">
        <x:f>IF(D3799="Completed",I3799*J3799,0)</x:f>
        <x:v>1176</x:v>
      </x:c>
      <x:c r="N3799" s="9" t="n">
        <x:f>M3799*K3799</x:f>
        <x:v>235.20000000000002</x:v>
      </x:c>
      <x:c r="O3799" s="9" t="n">
        <x:f>M3799-N3799</x:f>
        <x:v>940.8</x:v>
      </x:c>
      <x:c r="P3799" s="9" t="n">
        <x:f>IF(D3799="Completed",L3799*J3799*(1-K3799),0)</x:f>
        <x:v>0</x:v>
      </x:c>
      <x:c r="Q3799" s="9" t="n">
        <x:f>O3799-P3799</x:f>
        <x:v>940.8</x:v>
      </x:c>
      <x:c r="R3799" s="11" t="n">
        <x:f>IF(D3799="Completed",I3799,0)</x:f>
        <x:v>4</x:v>
      </x:c>
      <x:c r="S3799" s="11" t="n">
        <x:f>IF(D3799="Completed",L3799,0)</x:f>
        <x:v>0</x:v>
      </x:c>
      <x:c r="T3799" s="8" t="n">
        <x:f>DATE(YEAR(C3799),MONTH(C3799),1)</x:f>
        <x:v>45717</x:v>
      </x:c>
    </x:row>
    <x:row r="3800" ht="22" customHeight="1">
      <x:c r="A3800" s="2" t="str">
        <x:v>L003796</x:v>
      </x:c>
      <x:c r="B3800" s="2" t="str">
        <x:v>O01546</x:v>
      </x:c>
      <x:c r="C3800" s="7" t="n">
        <x:v>45723</x:v>
      </x:c>
      <x:c r="D3800" s="2" t="str">
        <x:v>Completed</x:v>
      </x:c>
      <x:c r="E3800" s="2" t="str">
        <x:v>North</x:v>
      </x:c>
      <x:c r="F3800" s="2" t="str">
        <x:v>Online</x:v>
      </x:c>
      <x:c r="G3800" s="2" t="str">
        <x:v>Furniture</x:v>
      </x:c>
      <x:c r="H3800" s="2" t="str">
        <x:v>Chair 018</x:v>
      </x:c>
      <x:c r="I3800" s="11" t="n">
        <x:v>3</x:v>
      </x:c>
      <x:c r="J3800" s="9" t="n">
        <x:v>269</x:v>
      </x:c>
      <x:c r="K3800" s="10" t="n">
        <x:v>0.1</x:v>
      </x:c>
      <x:c r="L3800" s="11" t="n">
        <x:v>0</x:v>
      </x:c>
      <x:c r="M3800" s="9" t="n">
        <x:f>IF(D3800="Completed",I3800*J3800,0)</x:f>
        <x:v>807</x:v>
      </x:c>
      <x:c r="N3800" s="9" t="n">
        <x:f>M3800*K3800</x:f>
        <x:v>80.7</x:v>
      </x:c>
      <x:c r="O3800" s="9" t="n">
        <x:f>M3800-N3800</x:f>
        <x:v>726.3</x:v>
      </x:c>
      <x:c r="P3800" s="9" t="n">
        <x:f>IF(D3800="Completed",L3800*J3800*(1-K3800),0)</x:f>
        <x:v>0</x:v>
      </x:c>
      <x:c r="Q3800" s="9" t="n">
        <x:f>O3800-P3800</x:f>
        <x:v>726.3</x:v>
      </x:c>
      <x:c r="R3800" s="11" t="n">
        <x:f>IF(D3800="Completed",I3800,0)</x:f>
        <x:v>3</x:v>
      </x:c>
      <x:c r="S3800" s="11" t="n">
        <x:f>IF(D3800="Completed",L3800,0)</x:f>
        <x:v>0</x:v>
      </x:c>
      <x:c r="T3800" s="8" t="n">
        <x:f>DATE(YEAR(C3800),MONTH(C3800),1)</x:f>
        <x:v>45717</x:v>
      </x:c>
    </x:row>
    <x:row r="3801" ht="22" customHeight="1">
      <x:c r="A3801" s="2" t="str">
        <x:v>L003797</x:v>
      </x:c>
      <x:c r="B3801" s="2" t="str">
        <x:v>O01547</x:v>
      </x:c>
      <x:c r="C3801" s="7" t="n">
        <x:v>45919</x:v>
      </x:c>
      <x:c r="D3801" s="2" t="str">
        <x:v>Completed</x:v>
      </x:c>
      <x:c r="E3801" s="2" t="str">
        <x:v>East</x:v>
      </x:c>
      <x:c r="F3801" s="2" t="str">
        <x:v>Online</x:v>
      </x:c>
      <x:c r="G3801" s="2" t="str">
        <x:v>Furniture</x:v>
      </x:c>
      <x:c r="H3801" s="2" t="str">
        <x:v>Desk 020</x:v>
      </x:c>
      <x:c r="I3801" s="11" t="n">
        <x:v>4</x:v>
      </x:c>
      <x:c r="J3801" s="9" t="n">
        <x:v>189</x:v>
      </x:c>
      <x:c r="K3801" s="10" t="n">
        <x:v>0</x:v>
      </x:c>
      <x:c r="L3801" s="11" t="n">
        <x:v>4</x:v>
      </x:c>
      <x:c r="M3801" s="9" t="n">
        <x:f>IF(D3801="Completed",I3801*J3801,0)</x:f>
        <x:v>756</x:v>
      </x:c>
      <x:c r="N3801" s="9" t="n">
        <x:f>M3801*K3801</x:f>
        <x:v>0</x:v>
      </x:c>
      <x:c r="O3801" s="9" t="n">
        <x:f>M3801-N3801</x:f>
        <x:v>756</x:v>
      </x:c>
      <x:c r="P3801" s="9" t="n">
        <x:f>IF(D3801="Completed",L3801*J3801*(1-K3801),0)</x:f>
        <x:v>756</x:v>
      </x:c>
      <x:c r="Q3801" s="9" t="n">
        <x:f>O3801-P3801</x:f>
        <x:v>0</x:v>
      </x:c>
      <x:c r="R3801" s="11" t="n">
        <x:f>IF(D3801="Completed",I3801,0)</x:f>
        <x:v>4</x:v>
      </x:c>
      <x:c r="S3801" s="11" t="n">
        <x:f>IF(D3801="Completed",L3801,0)</x:f>
        <x:v>4</x:v>
      </x:c>
      <x:c r="T3801" s="8" t="n">
        <x:f>DATE(YEAR(C3801),MONTH(C3801),1)</x:f>
        <x:v>45901</x:v>
      </x:c>
    </x:row>
    <x:row r="3802" ht="22" customHeight="1">
      <x:c r="A3802" s="2" t="str">
        <x:v>L003798</x:v>
      </x:c>
      <x:c r="B3802" s="2" t="str">
        <x:v>O01547</x:v>
      </x:c>
      <x:c r="C3802" s="7" t="n">
        <x:v>45919</x:v>
      </x:c>
      <x:c r="D3802" s="2" t="str">
        <x:v>Completed</x:v>
      </x:c>
      <x:c r="E3802" s="2" t="str">
        <x:v>East</x:v>
      </x:c>
      <x:c r="F3802" s="2" t="str">
        <x:v>Online</x:v>
      </x:c>
      <x:c r="G3802" s="2" t="str">
        <x:v>Furniture</x:v>
      </x:c>
      <x:c r="H3802" s="2" t="str">
        <x:v>Desk 016</x:v>
      </x:c>
      <x:c r="I3802" s="11" t="n">
        <x:v>5</x:v>
      </x:c>
      <x:c r="J3802" s="9" t="n">
        <x:v>231</x:v>
      </x:c>
      <x:c r="K3802" s="10" t="n">
        <x:v>0.05</x:v>
      </x:c>
      <x:c r="L3802" s="11" t="n">
        <x:v>0</x:v>
      </x:c>
      <x:c r="M3802" s="9" t="n">
        <x:f>IF(D3802="Completed",I3802*J3802,0)</x:f>
        <x:v>1155</x:v>
      </x:c>
      <x:c r="N3802" s="9" t="n">
        <x:f>M3802*K3802</x:f>
        <x:v>57.75</x:v>
      </x:c>
      <x:c r="O3802" s="9" t="n">
        <x:f>M3802-N3802</x:f>
        <x:v>1097.25</x:v>
      </x:c>
      <x:c r="P3802" s="9" t="n">
        <x:f>IF(D3802="Completed",L3802*J3802*(1-K3802),0)</x:f>
        <x:v>0</x:v>
      </x:c>
      <x:c r="Q3802" s="9" t="n">
        <x:f>O3802-P3802</x:f>
        <x:v>1097.25</x:v>
      </x:c>
      <x:c r="R3802" s="11" t="n">
        <x:f>IF(D3802="Completed",I3802,0)</x:f>
        <x:v>5</x:v>
      </x:c>
      <x:c r="S3802" s="11" t="n">
        <x:f>IF(D3802="Completed",L3802,0)</x:f>
        <x:v>0</x:v>
      </x:c>
      <x:c r="T3802" s="8" t="n">
        <x:f>DATE(YEAR(C3802),MONTH(C3802),1)</x:f>
        <x:v>45901</x:v>
      </x:c>
    </x:row>
    <x:row r="3803" ht="22" customHeight="1">
      <x:c r="A3803" s="2" t="str">
        <x:v>L003799</x:v>
      </x:c>
      <x:c r="B3803" s="2" t="str">
        <x:v>O01547</x:v>
      </x:c>
      <x:c r="C3803" s="7" t="n">
        <x:v>45919</x:v>
      </x:c>
      <x:c r="D3803" s="2" t="str">
        <x:v>Completed</x:v>
      </x:c>
      <x:c r="E3803" s="2" t="str">
        <x:v>East</x:v>
      </x:c>
      <x:c r="F3803" s="2" t="str">
        <x:v>Online</x:v>
      </x:c>
      <x:c r="G3803" s="2" t="str">
        <x:v>Storage</x:v>
      </x:c>
      <x:c r="H3803" s="2" t="str">
        <x:v>Shelf 003</x:v>
      </x:c>
      <x:c r="I3803" s="11" t="n">
        <x:v>5</x:v>
      </x:c>
      <x:c r="J3803" s="9" t="n">
        <x:v>199</x:v>
      </x:c>
      <x:c r="K3803" s="10" t="n">
        <x:v>0</x:v>
      </x:c>
      <x:c r="L3803" s="11" t="n">
        <x:v>0</x:v>
      </x:c>
      <x:c r="M3803" s="9" t="n">
        <x:f>IF(D3803="Completed",I3803*J3803,0)</x:f>
        <x:v>995</x:v>
      </x:c>
      <x:c r="N3803" s="9" t="n">
        <x:f>M3803*K3803</x:f>
        <x:v>0</x:v>
      </x:c>
      <x:c r="O3803" s="9" t="n">
        <x:f>M3803-N3803</x:f>
        <x:v>995</x:v>
      </x:c>
      <x:c r="P3803" s="9" t="n">
        <x:f>IF(D3803="Completed",L3803*J3803*(1-K3803),0)</x:f>
        <x:v>0</x:v>
      </x:c>
      <x:c r="Q3803" s="9" t="n">
        <x:f>O3803-P3803</x:f>
        <x:v>995</x:v>
      </x:c>
      <x:c r="R3803" s="11" t="n">
        <x:f>IF(D3803="Completed",I3803,0)</x:f>
        <x:v>5</x:v>
      </x:c>
      <x:c r="S3803" s="11" t="n">
        <x:f>IF(D3803="Completed",L3803,0)</x:f>
        <x:v>0</x:v>
      </x:c>
      <x:c r="T3803" s="8" t="n">
        <x:f>DATE(YEAR(C3803),MONTH(C3803),1)</x:f>
        <x:v>45901</x:v>
      </x:c>
    </x:row>
    <x:row r="3804" ht="22" customHeight="1">
      <x:c r="A3804" s="2" t="str">
        <x:v>L003800</x:v>
      </x:c>
      <x:c r="B3804" s="2" t="str">
        <x:v>O01548</x:v>
      </x:c>
      <x:c r="C3804" s="7" t="n">
        <x:v>45972</x:v>
      </x:c>
      <x:c r="D3804" s="2" t="str">
        <x:v>Completed</x:v>
      </x:c>
      <x:c r="E3804" s="2" t="str">
        <x:v>West</x:v>
      </x:c>
      <x:c r="F3804" s="2" t="str">
        <x:v>Store</x:v>
      </x:c>
      <x:c r="G3804" s="2" t="str">
        <x:v>Lighting</x:v>
      </x:c>
      <x:c r="H3804" s="2" t="str">
        <x:v>Lamp 009</x:v>
      </x:c>
      <x:c r="I3804" s="11" t="n">
        <x:v>1</x:v>
      </x:c>
      <x:c r="J3804" s="9" t="n">
        <x:v>93</x:v>
      </x:c>
      <x:c r="K3804" s="10" t="n">
        <x:v>0.1</x:v>
      </x:c>
      <x:c r="L3804" s="11" t="n">
        <x:v>0</x:v>
      </x:c>
      <x:c r="M3804" s="9" t="n">
        <x:f>IF(D3804="Completed",I3804*J3804,0)</x:f>
        <x:v>93</x:v>
      </x:c>
      <x:c r="N3804" s="9" t="n">
        <x:f>M3804*K3804</x:f>
        <x:v>9.3</x:v>
      </x:c>
      <x:c r="O3804" s="9" t="n">
        <x:f>M3804-N3804</x:f>
        <x:v>83.7</x:v>
      </x:c>
      <x:c r="P3804" s="9" t="n">
        <x:f>IF(D3804="Completed",L3804*J3804*(1-K3804),0)</x:f>
        <x:v>0</x:v>
      </x:c>
      <x:c r="Q3804" s="9" t="n">
        <x:f>O3804-P3804</x:f>
        <x:v>83.7</x:v>
      </x:c>
      <x:c r="R3804" s="11" t="n">
        <x:f>IF(D3804="Completed",I3804,0)</x:f>
        <x:v>1</x:v>
      </x:c>
      <x:c r="S3804" s="11" t="n">
        <x:f>IF(D3804="Completed",L3804,0)</x:f>
        <x:v>0</x:v>
      </x:c>
      <x:c r="T3804" s="8" t="n">
        <x:f>DATE(YEAR(C3804),MONTH(C3804),1)</x:f>
        <x:v>45962</x:v>
      </x:c>
    </x:row>
    <x:row r="3805" ht="22" customHeight="1">
      <x:c r="A3805" s="2" t="str">
        <x:v>L003801</x:v>
      </x:c>
      <x:c r="B3805" s="2" t="str">
        <x:v>O01548</x:v>
      </x:c>
      <x:c r="C3805" s="7" t="n">
        <x:v>45972</x:v>
      </x:c>
      <x:c r="D3805" s="2" t="str">
        <x:v>Completed</x:v>
      </x:c>
      <x:c r="E3805" s="2" t="str">
        <x:v>West</x:v>
      </x:c>
      <x:c r="F3805" s="2" t="str">
        <x:v>Store</x:v>
      </x:c>
      <x:c r="G3805" s="2" t="str">
        <x:v>Furniture</x:v>
      </x:c>
      <x:c r="H3805" s="2" t="str">
        <x:v>Desk 008</x:v>
      </x:c>
      <x:c r="I3805" s="11" t="n">
        <x:v>2</x:v>
      </x:c>
      <x:c r="J3805" s="9" t="n">
        <x:v>188</x:v>
      </x:c>
      <x:c r="K3805" s="10" t="n">
        <x:v>0.2</x:v>
      </x:c>
      <x:c r="L3805" s="11" t="n">
        <x:v>0</x:v>
      </x:c>
      <x:c r="M3805" s="9" t="n">
        <x:f>IF(D3805="Completed",I3805*J3805,0)</x:f>
        <x:v>376</x:v>
      </x:c>
      <x:c r="N3805" s="9" t="n">
        <x:f>M3805*K3805</x:f>
        <x:v>75.2</x:v>
      </x:c>
      <x:c r="O3805" s="9" t="n">
        <x:f>M3805-N3805</x:f>
        <x:v>300.8</x:v>
      </x:c>
      <x:c r="P3805" s="9" t="n">
        <x:f>IF(D3805="Completed",L3805*J3805*(1-K3805),0)</x:f>
        <x:v>0</x:v>
      </x:c>
      <x:c r="Q3805" s="9" t="n">
        <x:f>O3805-P3805</x:f>
        <x:v>300.8</x:v>
      </x:c>
      <x:c r="R3805" s="11" t="n">
        <x:f>IF(D3805="Completed",I3805,0)</x:f>
        <x:v>2</x:v>
      </x:c>
      <x:c r="S3805" s="11" t="n">
        <x:f>IF(D3805="Completed",L3805,0)</x:f>
        <x:v>0</x:v>
      </x:c>
      <x:c r="T3805" s="8" t="n">
        <x:f>DATE(YEAR(C3805),MONTH(C3805),1)</x:f>
        <x:v>45962</x:v>
      </x:c>
    </x:row>
    <x:row r="3806" ht="22" customHeight="1">
      <x:c r="A3806" s="2" t="str">
        <x:v>L003802</x:v>
      </x:c>
      <x:c r="B3806" s="2" t="str">
        <x:v>O01549</x:v>
      </x:c>
      <x:c r="C3806" s="7" t="n">
        <x:v>45932</x:v>
      </x:c>
      <x:c r="D3806" s="2" t="str">
        <x:v>Completed</x:v>
      </x:c>
      <x:c r="E3806" s="2" t="str">
        <x:v>West</x:v>
      </x:c>
      <x:c r="F3806" s="2" t="str">
        <x:v>Online</x:v>
      </x:c>
      <x:c r="G3806" s="2" t="str">
        <x:v>Furniture</x:v>
      </x:c>
      <x:c r="H3806" s="2" t="str">
        <x:v>Desk 004</x:v>
      </x:c>
      <x:c r="I3806" s="11" t="n">
        <x:v>2</x:v>
      </x:c>
      <x:c r="J3806" s="9" t="n">
        <x:v>123</x:v>
      </x:c>
      <x:c r="K3806" s="10" t="n">
        <x:v>0.05</x:v>
      </x:c>
      <x:c r="L3806" s="11" t="n">
        <x:v>0</x:v>
      </x:c>
      <x:c r="M3806" s="9" t="n">
        <x:f>IF(D3806="Completed",I3806*J3806,0)</x:f>
        <x:v>246</x:v>
      </x:c>
      <x:c r="N3806" s="9" t="n">
        <x:f>M3806*K3806</x:f>
        <x:v>12.3</x:v>
      </x:c>
      <x:c r="O3806" s="9" t="n">
        <x:f>M3806-N3806</x:f>
        <x:v>233.7</x:v>
      </x:c>
      <x:c r="P3806" s="9" t="n">
        <x:f>IF(D3806="Completed",L3806*J3806*(1-K3806),0)</x:f>
        <x:v>0</x:v>
      </x:c>
      <x:c r="Q3806" s="9" t="n">
        <x:f>O3806-P3806</x:f>
        <x:v>233.7</x:v>
      </x:c>
      <x:c r="R3806" s="11" t="n">
        <x:f>IF(D3806="Completed",I3806,0)</x:f>
        <x:v>2</x:v>
      </x:c>
      <x:c r="S3806" s="11" t="n">
        <x:f>IF(D3806="Completed",L3806,0)</x:f>
        <x:v>0</x:v>
      </x:c>
      <x:c r="T3806" s="8" t="n">
        <x:f>DATE(YEAR(C3806),MONTH(C3806),1)</x:f>
        <x:v>45931</x:v>
      </x:c>
    </x:row>
    <x:row r="3807" ht="22" customHeight="1">
      <x:c r="A3807" s="2" t="str">
        <x:v>L003803</x:v>
      </x:c>
      <x:c r="B3807" s="2" t="str">
        <x:v>O01550</x:v>
      </x:c>
      <x:c r="C3807" s="7" t="n">
        <x:v>45975</x:v>
      </x:c>
      <x:c r="D3807" s="2" t="str">
        <x:v>Completed</x:v>
      </x:c>
      <x:c r="E3807" s="2" t="str">
        <x:v>West</x:v>
      </x:c>
      <x:c r="F3807" s="2" t="str">
        <x:v>Online</x:v>
      </x:c>
      <x:c r="G3807" s="2" t="str">
        <x:v>Lighting</x:v>
      </x:c>
      <x:c r="H3807" s="2" t="str">
        <x:v>Lamp 009</x:v>
      </x:c>
      <x:c r="I3807" s="11" t="n">
        <x:v>2</x:v>
      </x:c>
      <x:c r="J3807" s="9" t="n">
        <x:v>93</x:v>
      </x:c>
      <x:c r="K3807" s="10" t="n">
        <x:v>0</x:v>
      </x:c>
      <x:c r="L3807" s="11" t="n">
        <x:v>0</x:v>
      </x:c>
      <x:c r="M3807" s="9" t="n">
        <x:f>IF(D3807="Completed",I3807*J3807,0)</x:f>
        <x:v>186</x:v>
      </x:c>
      <x:c r="N3807" s="9" t="n">
        <x:f>M3807*K3807</x:f>
        <x:v>0</x:v>
      </x:c>
      <x:c r="O3807" s="9" t="n">
        <x:f>M3807-N3807</x:f>
        <x:v>186</x:v>
      </x:c>
      <x:c r="P3807" s="9" t="n">
        <x:f>IF(D3807="Completed",L3807*J3807*(1-K3807),0)</x:f>
        <x:v>0</x:v>
      </x:c>
      <x:c r="Q3807" s="9" t="n">
        <x:f>O3807-P3807</x:f>
        <x:v>186</x:v>
      </x:c>
      <x:c r="R3807" s="11" t="n">
        <x:f>IF(D3807="Completed",I3807,0)</x:f>
        <x:v>2</x:v>
      </x:c>
      <x:c r="S3807" s="11" t="n">
        <x:f>IF(D3807="Completed",L3807,0)</x:f>
        <x:v>0</x:v>
      </x:c>
      <x:c r="T3807" s="8" t="n">
        <x:f>DATE(YEAR(C3807),MONTH(C3807),1)</x:f>
        <x:v>45962</x:v>
      </x:c>
    </x:row>
    <x:row r="3808" ht="22" customHeight="1">
      <x:c r="A3808" s="2" t="str">
        <x:v>L003804</x:v>
      </x:c>
      <x:c r="B3808" s="2" t="str">
        <x:v>O01550</x:v>
      </x:c>
      <x:c r="C3808" s="7" t="n">
        <x:v>45975</x:v>
      </x:c>
      <x:c r="D3808" s="2" t="str">
        <x:v>Completed</x:v>
      </x:c>
      <x:c r="E3808" s="2" t="str">
        <x:v>West</x:v>
      </x:c>
      <x:c r="F3808" s="2" t="str">
        <x:v>Online</x:v>
      </x:c>
      <x:c r="G3808" s="2" t="str">
        <x:v>Lighting</x:v>
      </x:c>
      <x:c r="H3808" s="2" t="str">
        <x:v>Lamp 013</x:v>
      </x:c>
      <x:c r="I3808" s="11" t="n">
        <x:v>4</x:v>
      </x:c>
      <x:c r="J3808" s="9" t="n">
        <x:v>271</x:v>
      </x:c>
      <x:c r="K3808" s="10" t="n">
        <x:v>0.05</x:v>
      </x:c>
      <x:c r="L3808" s="11" t="n">
        <x:v>0</x:v>
      </x:c>
      <x:c r="M3808" s="9" t="n">
        <x:f>IF(D3808="Completed",I3808*J3808,0)</x:f>
        <x:v>1084</x:v>
      </x:c>
      <x:c r="N3808" s="9" t="n">
        <x:f>M3808*K3808</x:f>
        <x:v>54.2</x:v>
      </x:c>
      <x:c r="O3808" s="9" t="n">
        <x:f>M3808-N3808</x:f>
        <x:v>1029.8</x:v>
      </x:c>
      <x:c r="P3808" s="9" t="n">
        <x:f>IF(D3808="Completed",L3808*J3808*(1-K3808),0)</x:f>
        <x:v>0</x:v>
      </x:c>
      <x:c r="Q3808" s="9" t="n">
        <x:f>O3808-P3808</x:f>
        <x:v>1029.8</x:v>
      </x:c>
      <x:c r="R3808" s="11" t="n">
        <x:f>IF(D3808="Completed",I3808,0)</x:f>
        <x:v>4</x:v>
      </x:c>
      <x:c r="S3808" s="11" t="n">
        <x:f>IF(D3808="Completed",L3808,0)</x:f>
        <x:v>0</x:v>
      </x:c>
      <x:c r="T3808" s="8" t="n">
        <x:f>DATE(YEAR(C3808),MONTH(C3808),1)</x:f>
        <x:v>45962</x:v>
      </x:c>
    </x:row>
    <x:row r="3809" ht="22" customHeight="1">
      <x:c r="A3809" s="2" t="str">
        <x:v>L003805</x:v>
      </x:c>
      <x:c r="B3809" s="2" t="str">
        <x:v>O01550</x:v>
      </x:c>
      <x:c r="C3809" s="7" t="n">
        <x:v>45975</x:v>
      </x:c>
      <x:c r="D3809" s="2" t="str">
        <x:v>Completed</x:v>
      </x:c>
      <x:c r="E3809" s="2" t="str">
        <x:v>West</x:v>
      </x:c>
      <x:c r="F3809" s="2" t="str">
        <x:v>Online</x:v>
      </x:c>
      <x:c r="G3809" s="2" t="str">
        <x:v>Storage</x:v>
      </x:c>
      <x:c r="H3809" s="2" t="str">
        <x:v>Shelf 015</x:v>
      </x:c>
      <x:c r="I3809" s="11" t="n">
        <x:v>4</x:v>
      </x:c>
      <x:c r="J3809" s="9" t="n">
        <x:v>254</x:v>
      </x:c>
      <x:c r="K3809" s="10" t="n">
        <x:v>0.1</x:v>
      </x:c>
      <x:c r="L3809" s="11" t="n">
        <x:v>0</x:v>
      </x:c>
      <x:c r="M3809" s="9" t="n">
        <x:f>IF(D3809="Completed",I3809*J3809,0)</x:f>
        <x:v>1016</x:v>
      </x:c>
      <x:c r="N3809" s="9" t="n">
        <x:f>M3809*K3809</x:f>
        <x:v>101.60000000000001</x:v>
      </x:c>
      <x:c r="O3809" s="9" t="n">
        <x:f>M3809-N3809</x:f>
        <x:v>914.4</x:v>
      </x:c>
      <x:c r="P3809" s="9" t="n">
        <x:f>IF(D3809="Completed",L3809*J3809*(1-K3809),0)</x:f>
        <x:v>0</x:v>
      </x:c>
      <x:c r="Q3809" s="9" t="n">
        <x:f>O3809-P3809</x:f>
        <x:v>914.4</x:v>
      </x:c>
      <x:c r="R3809" s="11" t="n">
        <x:f>IF(D3809="Completed",I3809,0)</x:f>
        <x:v>4</x:v>
      </x:c>
      <x:c r="S3809" s="11" t="n">
        <x:f>IF(D3809="Completed",L3809,0)</x:f>
        <x:v>0</x:v>
      </x:c>
      <x:c r="T3809" s="8" t="n">
        <x:f>DATE(YEAR(C3809),MONTH(C3809),1)</x:f>
        <x:v>45962</x:v>
      </x:c>
    </x:row>
    <x:row r="3810" ht="22" customHeight="1">
      <x:c r="A3810" s="2" t="str">
        <x:v>L003806</x:v>
      </x:c>
      <x:c r="B3810" s="2" t="str">
        <x:v>O01550</x:v>
      </x:c>
      <x:c r="C3810" s="7" t="n">
        <x:v>45975</x:v>
      </x:c>
      <x:c r="D3810" s="2" t="str">
        <x:v>Completed</x:v>
      </x:c>
      <x:c r="E3810" s="2" t="str">
        <x:v>West</x:v>
      </x:c>
      <x:c r="F3810" s="2" t="str">
        <x:v>Online</x:v>
      </x:c>
      <x:c r="G3810" s="2" t="str">
        <x:v>Furniture</x:v>
      </x:c>
      <x:c r="H3810" s="2" t="str">
        <x:v>Chair 014</x:v>
      </x:c>
      <x:c r="I3810" s="11" t="n">
        <x:v>5</x:v>
      </x:c>
      <x:c r="J3810" s="9" t="n">
        <x:v>294</x:v>
      </x:c>
      <x:c r="K3810" s="10" t="n">
        <x:v>0.05</x:v>
      </x:c>
      <x:c r="L3810" s="11" t="n">
        <x:v>0</x:v>
      </x:c>
      <x:c r="M3810" s="9" t="n">
        <x:f>IF(D3810="Completed",I3810*J3810,0)</x:f>
        <x:v>1470</x:v>
      </x:c>
      <x:c r="N3810" s="9" t="n">
        <x:f>M3810*K3810</x:f>
        <x:v>73.5</x:v>
      </x:c>
      <x:c r="O3810" s="9" t="n">
        <x:f>M3810-N3810</x:f>
        <x:v>1396.5</x:v>
      </x:c>
      <x:c r="P3810" s="9" t="n">
        <x:f>IF(D3810="Completed",L3810*J3810*(1-K3810),0)</x:f>
        <x:v>0</x:v>
      </x:c>
      <x:c r="Q3810" s="9" t="n">
        <x:f>O3810-P3810</x:f>
        <x:v>1396.5</x:v>
      </x:c>
      <x:c r="R3810" s="11" t="n">
        <x:f>IF(D3810="Completed",I3810,0)</x:f>
        <x:v>5</x:v>
      </x:c>
      <x:c r="S3810" s="11" t="n">
        <x:f>IF(D3810="Completed",L3810,0)</x:f>
        <x:v>0</x:v>
      </x:c>
      <x:c r="T3810" s="8" t="n">
        <x:f>DATE(YEAR(C3810),MONTH(C3810),1)</x:f>
        <x:v>45962</x:v>
      </x:c>
    </x:row>
    <x:row r="3811" ht="22" customHeight="1">
      <x:c r="A3811" s="2" t="str">
        <x:v>L003807</x:v>
      </x:c>
      <x:c r="B3811" s="2" t="str">
        <x:v>O01551</x:v>
      </x:c>
      <x:c r="C3811" s="7" t="n">
        <x:v>45887</x:v>
      </x:c>
      <x:c r="D3811" s="2" t="str">
        <x:v>Completed</x:v>
      </x:c>
      <x:c r="E3811" s="2" t="str">
        <x:v>East</x:v>
      </x:c>
      <x:c r="F3811" s="2" t="str">
        <x:v>Online</x:v>
      </x:c>
      <x:c r="G3811" s="2" t="str">
        <x:v>Lighting</x:v>
      </x:c>
      <x:c r="H3811" s="2" t="str">
        <x:v>Lamp 009</x:v>
      </x:c>
      <x:c r="I3811" s="11" t="n">
        <x:v>5</x:v>
      </x:c>
      <x:c r="J3811" s="9" t="n">
        <x:v>93</x:v>
      </x:c>
      <x:c r="K3811" s="10" t="n">
        <x:v>0</x:v>
      </x:c>
      <x:c r="L3811" s="11" t="n">
        <x:v>0</x:v>
      </x:c>
      <x:c r="M3811" s="9" t="n">
        <x:f>IF(D3811="Completed",I3811*J3811,0)</x:f>
        <x:v>465</x:v>
      </x:c>
      <x:c r="N3811" s="9" t="n">
        <x:f>M3811*K3811</x:f>
        <x:v>0</x:v>
      </x:c>
      <x:c r="O3811" s="9" t="n">
        <x:f>M3811-N3811</x:f>
        <x:v>465</x:v>
      </x:c>
      <x:c r="P3811" s="9" t="n">
        <x:f>IF(D3811="Completed",L3811*J3811*(1-K3811),0)</x:f>
        <x:v>0</x:v>
      </x:c>
      <x:c r="Q3811" s="9" t="n">
        <x:f>O3811-P3811</x:f>
        <x:v>465</x:v>
      </x:c>
      <x:c r="R3811" s="11" t="n">
        <x:f>IF(D3811="Completed",I3811,0)</x:f>
        <x:v>5</x:v>
      </x:c>
      <x:c r="S3811" s="11" t="n">
        <x:f>IF(D3811="Completed",L3811,0)</x:f>
        <x:v>0</x:v>
      </x:c>
      <x:c r="T3811" s="8" t="n">
        <x:f>DATE(YEAR(C3811),MONTH(C3811),1)</x:f>
        <x:v>45870</x:v>
      </x:c>
    </x:row>
    <x:row r="3812" ht="22" customHeight="1">
      <x:c r="A3812" s="2" t="str">
        <x:v>L003808</x:v>
      </x:c>
      <x:c r="B3812" s="2" t="str">
        <x:v>O01551</x:v>
      </x:c>
      <x:c r="C3812" s="7" t="n">
        <x:v>45887</x:v>
      </x:c>
      <x:c r="D3812" s="2" t="str">
        <x:v>Completed</x:v>
      </x:c>
      <x:c r="E3812" s="2" t="str">
        <x:v>East</x:v>
      </x:c>
      <x:c r="F3812" s="2" t="str">
        <x:v>Online</x:v>
      </x:c>
      <x:c r="G3812" s="2" t="str">
        <x:v>Furniture</x:v>
      </x:c>
      <x:c r="H3812" s="2" t="str">
        <x:v>Chair 018</x:v>
      </x:c>
      <x:c r="I3812" s="11" t="n">
        <x:v>4</x:v>
      </x:c>
      <x:c r="J3812" s="9" t="n">
        <x:v>269</x:v>
      </x:c>
      <x:c r="K3812" s="10" t="n">
        <x:v>0.1</x:v>
      </x:c>
      <x:c r="L3812" s="11" t="n">
        <x:v>0</x:v>
      </x:c>
      <x:c r="M3812" s="9" t="n">
        <x:f>IF(D3812="Completed",I3812*J3812,0)</x:f>
        <x:v>1076</x:v>
      </x:c>
      <x:c r="N3812" s="9" t="n">
        <x:f>M3812*K3812</x:f>
        <x:v>107.60000000000001</x:v>
      </x:c>
      <x:c r="O3812" s="9" t="n">
        <x:f>M3812-N3812</x:f>
        <x:v>968.4</x:v>
      </x:c>
      <x:c r="P3812" s="9" t="n">
        <x:f>IF(D3812="Completed",L3812*J3812*(1-K3812),0)</x:f>
        <x:v>0</x:v>
      </x:c>
      <x:c r="Q3812" s="9" t="n">
        <x:f>O3812-P3812</x:f>
        <x:v>968.4</x:v>
      </x:c>
      <x:c r="R3812" s="11" t="n">
        <x:f>IF(D3812="Completed",I3812,0)</x:f>
        <x:v>4</x:v>
      </x:c>
      <x:c r="S3812" s="11" t="n">
        <x:f>IF(D3812="Completed",L3812,0)</x:f>
        <x:v>0</x:v>
      </x:c>
      <x:c r="T3812" s="8" t="n">
        <x:f>DATE(YEAR(C3812),MONTH(C3812),1)</x:f>
        <x:v>45870</x:v>
      </x:c>
    </x:row>
    <x:row r="3813" ht="22" customHeight="1">
      <x:c r="A3813" s="2" t="str">
        <x:v>L003809</x:v>
      </x:c>
      <x:c r="B3813" s="2" t="str">
        <x:v>O01551</x:v>
      </x:c>
      <x:c r="C3813" s="7" t="n">
        <x:v>45887</x:v>
      </x:c>
      <x:c r="D3813" s="2" t="str">
        <x:v>Completed</x:v>
      </x:c>
      <x:c r="E3813" s="2" t="str">
        <x:v>East</x:v>
      </x:c>
      <x:c r="F3813" s="2" t="str">
        <x:v>Online</x:v>
      </x:c>
      <x:c r="G3813" s="2" t="str">
        <x:v>Lighting</x:v>
      </x:c>
      <x:c r="H3813" s="2" t="str">
        <x:v>Lamp 005</x:v>
      </x:c>
      <x:c r="I3813" s="11" t="n">
        <x:v>1</x:v>
      </x:c>
      <x:c r="J3813" s="9" t="n">
        <x:v>65</x:v>
      </x:c>
      <x:c r="K3813" s="10" t="n">
        <x:v>0.05</x:v>
      </x:c>
      <x:c r="L3813" s="11" t="n">
        <x:v>0</x:v>
      </x:c>
      <x:c r="M3813" s="9" t="n">
        <x:f>IF(D3813="Completed",I3813*J3813,0)</x:f>
        <x:v>65</x:v>
      </x:c>
      <x:c r="N3813" s="9" t="n">
        <x:f>M3813*K3813</x:f>
        <x:v>3.25</x:v>
      </x:c>
      <x:c r="O3813" s="9" t="n">
        <x:f>M3813-N3813</x:f>
        <x:v>61.75</x:v>
      </x:c>
      <x:c r="P3813" s="9" t="n">
        <x:f>IF(D3813="Completed",L3813*J3813*(1-K3813),0)</x:f>
        <x:v>0</x:v>
      </x:c>
      <x:c r="Q3813" s="9" t="n">
        <x:f>O3813-P3813</x:f>
        <x:v>61.75</x:v>
      </x:c>
      <x:c r="R3813" s="11" t="n">
        <x:f>IF(D3813="Completed",I3813,0)</x:f>
        <x:v>1</x:v>
      </x:c>
      <x:c r="S3813" s="11" t="n">
        <x:f>IF(D3813="Completed",L3813,0)</x:f>
        <x:v>0</x:v>
      </x:c>
      <x:c r="T3813" s="8" t="n">
        <x:f>DATE(YEAR(C3813),MONTH(C3813),1)</x:f>
        <x:v>45870</x:v>
      </x:c>
    </x:row>
    <x:row r="3814" ht="22" customHeight="1">
      <x:c r="A3814" s="2" t="str">
        <x:v>L003810</x:v>
      </x:c>
      <x:c r="B3814" s="2" t="str">
        <x:v>O01551</x:v>
      </x:c>
      <x:c r="C3814" s="7" t="n">
        <x:v>45887</x:v>
      </x:c>
      <x:c r="D3814" s="2" t="str">
        <x:v>Completed</x:v>
      </x:c>
      <x:c r="E3814" s="2" t="str">
        <x:v>East</x:v>
      </x:c>
      <x:c r="F3814" s="2" t="str">
        <x:v>Online</x:v>
      </x:c>
      <x:c r="G3814" s="2" t="str">
        <x:v>Storage</x:v>
      </x:c>
      <x:c r="H3814" s="2" t="str">
        <x:v>Shelf 007</x:v>
      </x:c>
      <x:c r="I3814" s="11" t="n">
        <x:v>1</x:v>
      </x:c>
      <x:c r="J3814" s="9" t="n">
        <x:v>35</x:v>
      </x:c>
      <x:c r="K3814" s="10" t="n">
        <x:v>0.1</x:v>
      </x:c>
      <x:c r="L3814" s="11" t="n">
        <x:v>0</x:v>
      </x:c>
      <x:c r="M3814" s="9" t="n">
        <x:f>IF(D3814="Completed",I3814*J3814,0)</x:f>
        <x:v>35</x:v>
      </x:c>
      <x:c r="N3814" s="9" t="n">
        <x:f>M3814*K3814</x:f>
        <x:v>3.5</x:v>
      </x:c>
      <x:c r="O3814" s="9" t="n">
        <x:f>M3814-N3814</x:f>
        <x:v>31.5</x:v>
      </x:c>
      <x:c r="P3814" s="9" t="n">
        <x:f>IF(D3814="Completed",L3814*J3814*(1-K3814),0)</x:f>
        <x:v>0</x:v>
      </x:c>
      <x:c r="Q3814" s="9" t="n">
        <x:f>O3814-P3814</x:f>
        <x:v>31.5</x:v>
      </x:c>
      <x:c r="R3814" s="11" t="n">
        <x:f>IF(D3814="Completed",I3814,0)</x:f>
        <x:v>1</x:v>
      </x:c>
      <x:c r="S3814" s="11" t="n">
        <x:f>IF(D3814="Completed",L3814,0)</x:f>
        <x:v>0</x:v>
      </x:c>
      <x:c r="T3814" s="8" t="n">
        <x:f>DATE(YEAR(C3814),MONTH(C3814),1)</x:f>
        <x:v>45870</x:v>
      </x:c>
    </x:row>
    <x:row r="3815" ht="22" customHeight="1">
      <x:c r="A3815" s="2" t="str">
        <x:v>L003811</x:v>
      </x:c>
      <x:c r="B3815" s="2" t="str">
        <x:v>O01552</x:v>
      </x:c>
      <x:c r="C3815" s="7" t="n">
        <x:v>45984</x:v>
      </x:c>
      <x:c r="D3815" s="2" t="str">
        <x:v>Completed</x:v>
      </x:c>
      <x:c r="E3815" s="2" t="str">
        <x:v>West</x:v>
      </x:c>
      <x:c r="F3815" s="2" t="str">
        <x:v>Store</x:v>
      </x:c>
      <x:c r="G3815" s="2" t="str">
        <x:v>Furniture</x:v>
      </x:c>
      <x:c r="H3815" s="2" t="str">
        <x:v>Desk 020</x:v>
      </x:c>
      <x:c r="I3815" s="11" t="n">
        <x:v>5</x:v>
      </x:c>
      <x:c r="J3815" s="9" t="n">
        <x:v>189</x:v>
      </x:c>
      <x:c r="K3815" s="10" t="n">
        <x:v>0.05</x:v>
      </x:c>
      <x:c r="L3815" s="11" t="n">
        <x:v>0</x:v>
      </x:c>
      <x:c r="M3815" s="9" t="n">
        <x:f>IF(D3815="Completed",I3815*J3815,0)</x:f>
        <x:v>945</x:v>
      </x:c>
      <x:c r="N3815" s="9" t="n">
        <x:f>M3815*K3815</x:f>
        <x:v>47.25</x:v>
      </x:c>
      <x:c r="O3815" s="9" t="n">
        <x:f>M3815-N3815</x:f>
        <x:v>897.75</x:v>
      </x:c>
      <x:c r="P3815" s="9" t="n">
        <x:f>IF(D3815="Completed",L3815*J3815*(1-K3815),0)</x:f>
        <x:v>0</x:v>
      </x:c>
      <x:c r="Q3815" s="9" t="n">
        <x:f>O3815-P3815</x:f>
        <x:v>897.75</x:v>
      </x:c>
      <x:c r="R3815" s="11" t="n">
        <x:f>IF(D3815="Completed",I3815,0)</x:f>
        <x:v>5</x:v>
      </x:c>
      <x:c r="S3815" s="11" t="n">
        <x:f>IF(D3815="Completed",L3815,0)</x:f>
        <x:v>0</x:v>
      </x:c>
      <x:c r="T3815" s="8" t="n">
        <x:f>DATE(YEAR(C3815),MONTH(C3815),1)</x:f>
        <x:v>45962</x:v>
      </x:c>
    </x:row>
    <x:row r="3816" ht="22" customHeight="1">
      <x:c r="A3816" s="2" t="str">
        <x:v>L003812</x:v>
      </x:c>
      <x:c r="B3816" s="2" t="str">
        <x:v>O01552</x:v>
      </x:c>
      <x:c r="C3816" s="7" t="n">
        <x:v>45984</x:v>
      </x:c>
      <x:c r="D3816" s="2" t="str">
        <x:v>Completed</x:v>
      </x:c>
      <x:c r="E3816" s="2" t="str">
        <x:v>West</x:v>
      </x:c>
      <x:c r="F3816" s="2" t="str">
        <x:v>Store</x:v>
      </x:c>
      <x:c r="G3816" s="2" t="str">
        <x:v>Furniture</x:v>
      </x:c>
      <x:c r="H3816" s="2" t="str">
        <x:v>Chair 006</x:v>
      </x:c>
      <x:c r="I3816" s="11" t="n">
        <x:v>3</x:v>
      </x:c>
      <x:c r="J3816" s="9" t="n">
        <x:v>196</x:v>
      </x:c>
      <x:c r="K3816" s="10" t="n">
        <x:v>0</x:v>
      </x:c>
      <x:c r="L3816" s="11" t="n">
        <x:v>0</x:v>
      </x:c>
      <x:c r="M3816" s="9" t="n">
        <x:f>IF(D3816="Completed",I3816*J3816,0)</x:f>
        <x:v>588</x:v>
      </x:c>
      <x:c r="N3816" s="9" t="n">
        <x:f>M3816*K3816</x:f>
        <x:v>0</x:v>
      </x:c>
      <x:c r="O3816" s="9" t="n">
        <x:f>M3816-N3816</x:f>
        <x:v>588</x:v>
      </x:c>
      <x:c r="P3816" s="9" t="n">
        <x:f>IF(D3816="Completed",L3816*J3816*(1-K3816),0)</x:f>
        <x:v>0</x:v>
      </x:c>
      <x:c r="Q3816" s="9" t="n">
        <x:f>O3816-P3816</x:f>
        <x:v>588</x:v>
      </x:c>
      <x:c r="R3816" s="11" t="n">
        <x:f>IF(D3816="Completed",I3816,0)</x:f>
        <x:v>3</x:v>
      </x:c>
      <x:c r="S3816" s="11" t="n">
        <x:f>IF(D3816="Completed",L3816,0)</x:f>
        <x:v>0</x:v>
      </x:c>
      <x:c r="T3816" s="8" t="n">
        <x:f>DATE(YEAR(C3816),MONTH(C3816),1)</x:f>
        <x:v>45962</x:v>
      </x:c>
    </x:row>
    <x:row r="3817" ht="22" customHeight="1">
      <x:c r="A3817" s="2" t="str">
        <x:v>L003813</x:v>
      </x:c>
      <x:c r="B3817" s="2" t="str">
        <x:v>O01553</x:v>
      </x:c>
      <x:c r="C3817" s="7" t="n">
        <x:v>45942</x:v>
      </x:c>
      <x:c r="D3817" s="2" t="str">
        <x:v>Completed</x:v>
      </x:c>
      <x:c r="E3817" s="2" t="str">
        <x:v>North</x:v>
      </x:c>
      <x:c r="F3817" s="2" t="str">
        <x:v>Online</x:v>
      </x:c>
      <x:c r="G3817" s="2" t="str">
        <x:v>Storage</x:v>
      </x:c>
      <x:c r="H3817" s="2" t="str">
        <x:v>Shelf 007</x:v>
      </x:c>
      <x:c r="I3817" s="11" t="n">
        <x:v>5</x:v>
      </x:c>
      <x:c r="J3817" s="9" t="n">
        <x:v>35</x:v>
      </x:c>
      <x:c r="K3817" s="10" t="n">
        <x:v>0.05</x:v>
      </x:c>
      <x:c r="L3817" s="11" t="n">
        <x:v>0</x:v>
      </x:c>
      <x:c r="M3817" s="9" t="n">
        <x:f>IF(D3817="Completed",I3817*J3817,0)</x:f>
        <x:v>175</x:v>
      </x:c>
      <x:c r="N3817" s="9" t="n">
        <x:f>M3817*K3817</x:f>
        <x:v>8.75</x:v>
      </x:c>
      <x:c r="O3817" s="9" t="n">
        <x:f>M3817-N3817</x:f>
        <x:v>166.25</x:v>
      </x:c>
      <x:c r="P3817" s="9" t="n">
        <x:f>IF(D3817="Completed",L3817*J3817*(1-K3817),0)</x:f>
        <x:v>0</x:v>
      </x:c>
      <x:c r="Q3817" s="9" t="n">
        <x:f>O3817-P3817</x:f>
        <x:v>166.25</x:v>
      </x:c>
      <x:c r="R3817" s="11" t="n">
        <x:f>IF(D3817="Completed",I3817,0)</x:f>
        <x:v>5</x:v>
      </x:c>
      <x:c r="S3817" s="11" t="n">
        <x:f>IF(D3817="Completed",L3817,0)</x:f>
        <x:v>0</x:v>
      </x:c>
      <x:c r="T3817" s="8" t="n">
        <x:f>DATE(YEAR(C3817),MONTH(C3817),1)</x:f>
        <x:v>45931</x:v>
      </x:c>
    </x:row>
    <x:row r="3818" ht="22" customHeight="1">
      <x:c r="A3818" s="2" t="str">
        <x:v>L003814</x:v>
      </x:c>
      <x:c r="B3818" s="2" t="str">
        <x:v>O01553</x:v>
      </x:c>
      <x:c r="C3818" s="7" t="n">
        <x:v>45942</x:v>
      </x:c>
      <x:c r="D3818" s="2" t="str">
        <x:v>Completed</x:v>
      </x:c>
      <x:c r="E3818" s="2" t="str">
        <x:v>North</x:v>
      </x:c>
      <x:c r="F3818" s="2" t="str">
        <x:v>Online</x:v>
      </x:c>
      <x:c r="G3818" s="2" t="str">
        <x:v>Storage</x:v>
      </x:c>
      <x:c r="H3818" s="2" t="str">
        <x:v>Shelf 023</x:v>
      </x:c>
      <x:c r="I3818" s="11" t="n">
        <x:v>4</x:v>
      </x:c>
      <x:c r="J3818" s="9" t="n">
        <x:v>68</x:v>
      </x:c>
      <x:c r="K3818" s="10" t="n">
        <x:v>0.2</x:v>
      </x:c>
      <x:c r="L3818" s="11" t="n">
        <x:v>0</x:v>
      </x:c>
      <x:c r="M3818" s="9" t="n">
        <x:f>IF(D3818="Completed",I3818*J3818,0)</x:f>
        <x:v>272</x:v>
      </x:c>
      <x:c r="N3818" s="9" t="n">
        <x:f>M3818*K3818</x:f>
        <x:v>54.400000000000006</x:v>
      </x:c>
      <x:c r="O3818" s="9" t="n">
        <x:f>M3818-N3818</x:f>
        <x:v>217.6</x:v>
      </x:c>
      <x:c r="P3818" s="9" t="n">
        <x:f>IF(D3818="Completed",L3818*J3818*(1-K3818),0)</x:f>
        <x:v>0</x:v>
      </x:c>
      <x:c r="Q3818" s="9" t="n">
        <x:f>O3818-P3818</x:f>
        <x:v>217.6</x:v>
      </x:c>
      <x:c r="R3818" s="11" t="n">
        <x:f>IF(D3818="Completed",I3818,0)</x:f>
        <x:v>4</x:v>
      </x:c>
      <x:c r="S3818" s="11" t="n">
        <x:f>IF(D3818="Completed",L3818,0)</x:f>
        <x:v>0</x:v>
      </x:c>
      <x:c r="T3818" s="8" t="n">
        <x:f>DATE(YEAR(C3818),MONTH(C3818),1)</x:f>
        <x:v>45931</x:v>
      </x:c>
    </x:row>
    <x:row r="3819" ht="22" customHeight="1">
      <x:c r="A3819" s="2" t="str">
        <x:v>L003815</x:v>
      </x:c>
      <x:c r="B3819" s="2" t="str">
        <x:v>O01554</x:v>
      </x:c>
      <x:c r="C3819" s="7" t="n">
        <x:v>45810</x:v>
      </x:c>
      <x:c r="D3819" s="2" t="str">
        <x:v>Completed</x:v>
      </x:c>
      <x:c r="E3819" s="2" t="str">
        <x:v>West</x:v>
      </x:c>
      <x:c r="F3819" s="2" t="str">
        <x:v>Online</x:v>
      </x:c>
      <x:c r="G3819" s="2" t="str">
        <x:v>Furniture</x:v>
      </x:c>
      <x:c r="H3819" s="2" t="str">
        <x:v>Desk 012</x:v>
      </x:c>
      <x:c r="I3819" s="11" t="n">
        <x:v>1</x:v>
      </x:c>
      <x:c r="J3819" s="9" t="n">
        <x:v>134</x:v>
      </x:c>
      <x:c r="K3819" s="10" t="n">
        <x:v>0.1</x:v>
      </x:c>
      <x:c r="L3819" s="11" t="n">
        <x:v>0</x:v>
      </x:c>
      <x:c r="M3819" s="9" t="n">
        <x:f>IF(D3819="Completed",I3819*J3819,0)</x:f>
        <x:v>134</x:v>
      </x:c>
      <x:c r="N3819" s="9" t="n">
        <x:f>M3819*K3819</x:f>
        <x:v>13.4</x:v>
      </x:c>
      <x:c r="O3819" s="9" t="n">
        <x:f>M3819-N3819</x:f>
        <x:v>120.6</x:v>
      </x:c>
      <x:c r="P3819" s="9" t="n">
        <x:f>IF(D3819="Completed",L3819*J3819*(1-K3819),0)</x:f>
        <x:v>0</x:v>
      </x:c>
      <x:c r="Q3819" s="9" t="n">
        <x:f>O3819-P3819</x:f>
        <x:v>120.6</x:v>
      </x:c>
      <x:c r="R3819" s="11" t="n">
        <x:f>IF(D3819="Completed",I3819,0)</x:f>
        <x:v>1</x:v>
      </x:c>
      <x:c r="S3819" s="11" t="n">
        <x:f>IF(D3819="Completed",L3819,0)</x:f>
        <x:v>0</x:v>
      </x:c>
      <x:c r="T3819" s="8" t="n">
        <x:f>DATE(YEAR(C3819),MONTH(C3819),1)</x:f>
        <x:v>45809</x:v>
      </x:c>
    </x:row>
    <x:row r="3820" ht="22" customHeight="1">
      <x:c r="A3820" s="2" t="str">
        <x:v>L003816</x:v>
      </x:c>
      <x:c r="B3820" s="2" t="str">
        <x:v>O01555</x:v>
      </x:c>
      <x:c r="C3820" s="7" t="n">
        <x:v>45687</x:v>
      </x:c>
      <x:c r="D3820" s="2" t="str">
        <x:v>Completed</x:v>
      </x:c>
      <x:c r="E3820" s="2" t="str">
        <x:v>North</x:v>
      </x:c>
      <x:c r="F3820" s="2" t="str">
        <x:v>Store</x:v>
      </x:c>
      <x:c r="G3820" s="2" t="str">
        <x:v>Furniture</x:v>
      </x:c>
      <x:c r="H3820" s="2" t="str">
        <x:v>Chair 006</x:v>
      </x:c>
      <x:c r="I3820" s="11" t="n">
        <x:v>1</x:v>
      </x:c>
      <x:c r="J3820" s="9" t="n">
        <x:v>196</x:v>
      </x:c>
      <x:c r="K3820" s="10" t="n">
        <x:v>0.05</x:v>
      </x:c>
      <x:c r="L3820" s="11" t="n">
        <x:v>0</x:v>
      </x:c>
      <x:c r="M3820" s="9" t="n">
        <x:f>IF(D3820="Completed",I3820*J3820,0)</x:f>
        <x:v>196</x:v>
      </x:c>
      <x:c r="N3820" s="9" t="n">
        <x:f>M3820*K3820</x:f>
        <x:v>9.8</x:v>
      </x:c>
      <x:c r="O3820" s="9" t="n">
        <x:f>M3820-N3820</x:f>
        <x:v>186.2</x:v>
      </x:c>
      <x:c r="P3820" s="9" t="n">
        <x:f>IF(D3820="Completed",L3820*J3820*(1-K3820),0)</x:f>
        <x:v>0</x:v>
      </x:c>
      <x:c r="Q3820" s="9" t="n">
        <x:f>O3820-P3820</x:f>
        <x:v>186.2</x:v>
      </x:c>
      <x:c r="R3820" s="11" t="n">
        <x:f>IF(D3820="Completed",I3820,0)</x:f>
        <x:v>1</x:v>
      </x:c>
      <x:c r="S3820" s="11" t="n">
        <x:f>IF(D3820="Completed",L3820,0)</x:f>
        <x:v>0</x:v>
      </x:c>
      <x:c r="T3820" s="8" t="n">
        <x:f>DATE(YEAR(C3820),MONTH(C3820),1)</x:f>
        <x:v>45658</x:v>
      </x:c>
    </x:row>
    <x:row r="3821" ht="22" customHeight="1">
      <x:c r="A3821" s="2" t="str">
        <x:v>L003817</x:v>
      </x:c>
      <x:c r="B3821" s="2" t="str">
        <x:v>O01555</x:v>
      </x:c>
      <x:c r="C3821" s="7" t="n">
        <x:v>45687</x:v>
      </x:c>
      <x:c r="D3821" s="2" t="str">
        <x:v>Completed</x:v>
      </x:c>
      <x:c r="E3821" s="2" t="str">
        <x:v>North</x:v>
      </x:c>
      <x:c r="F3821" s="2" t="str">
        <x:v>Store</x:v>
      </x:c>
      <x:c r="G3821" s="2" t="str">
        <x:v>Lighting</x:v>
      </x:c>
      <x:c r="H3821" s="2" t="str">
        <x:v>Lamp 005</x:v>
      </x:c>
      <x:c r="I3821" s="11" t="n">
        <x:v>4</x:v>
      </x:c>
      <x:c r="J3821" s="9" t="n">
        <x:v>65</x:v>
      </x:c>
      <x:c r="K3821" s="10" t="n">
        <x:v>0.2</x:v>
      </x:c>
      <x:c r="L3821" s="11" t="n">
        <x:v>0</x:v>
      </x:c>
      <x:c r="M3821" s="9" t="n">
        <x:f>IF(D3821="Completed",I3821*J3821,0)</x:f>
        <x:v>260</x:v>
      </x:c>
      <x:c r="N3821" s="9" t="n">
        <x:f>M3821*K3821</x:f>
        <x:v>52</x:v>
      </x:c>
      <x:c r="O3821" s="9" t="n">
        <x:f>M3821-N3821</x:f>
        <x:v>208</x:v>
      </x:c>
      <x:c r="P3821" s="9" t="n">
        <x:f>IF(D3821="Completed",L3821*J3821*(1-K3821),0)</x:f>
        <x:v>0</x:v>
      </x:c>
      <x:c r="Q3821" s="9" t="n">
        <x:f>O3821-P3821</x:f>
        <x:v>208</x:v>
      </x:c>
      <x:c r="R3821" s="11" t="n">
        <x:f>IF(D3821="Completed",I3821,0)</x:f>
        <x:v>4</x:v>
      </x:c>
      <x:c r="S3821" s="11" t="n">
        <x:f>IF(D3821="Completed",L3821,0)</x:f>
        <x:v>0</x:v>
      </x:c>
      <x:c r="T3821" s="8" t="n">
        <x:f>DATE(YEAR(C3821),MONTH(C3821),1)</x:f>
        <x:v>45658</x:v>
      </x:c>
    </x:row>
    <x:row r="3822" ht="22" customHeight="1">
      <x:c r="A3822" s="2" t="str">
        <x:v>L003818</x:v>
      </x:c>
      <x:c r="B3822" s="2" t="str">
        <x:v>O01555</x:v>
      </x:c>
      <x:c r="C3822" s="7" t="n">
        <x:v>45687</x:v>
      </x:c>
      <x:c r="D3822" s="2" t="str">
        <x:v>Completed</x:v>
      </x:c>
      <x:c r="E3822" s="2" t="str">
        <x:v>North</x:v>
      </x:c>
      <x:c r="F3822" s="2" t="str">
        <x:v>Store</x:v>
      </x:c>
      <x:c r="G3822" s="2" t="str">
        <x:v>Storage</x:v>
      </x:c>
      <x:c r="H3822" s="2" t="str">
        <x:v>Shelf 015</x:v>
      </x:c>
      <x:c r="I3822" s="11" t="n">
        <x:v>4</x:v>
      </x:c>
      <x:c r="J3822" s="9" t="n">
        <x:v>254</x:v>
      </x:c>
      <x:c r="K3822" s="10" t="n">
        <x:v>0</x:v>
      </x:c>
      <x:c r="L3822" s="11" t="n">
        <x:v>0</x:v>
      </x:c>
      <x:c r="M3822" s="9" t="n">
        <x:f>IF(D3822="Completed",I3822*J3822,0)</x:f>
        <x:v>1016</x:v>
      </x:c>
      <x:c r="N3822" s="9" t="n">
        <x:f>M3822*K3822</x:f>
        <x:v>0</x:v>
      </x:c>
      <x:c r="O3822" s="9" t="n">
        <x:f>M3822-N3822</x:f>
        <x:v>1016</x:v>
      </x:c>
      <x:c r="P3822" s="9" t="n">
        <x:f>IF(D3822="Completed",L3822*J3822*(1-K3822),0)</x:f>
        <x:v>0</x:v>
      </x:c>
      <x:c r="Q3822" s="9" t="n">
        <x:f>O3822-P3822</x:f>
        <x:v>1016</x:v>
      </x:c>
      <x:c r="R3822" s="11" t="n">
        <x:f>IF(D3822="Completed",I3822,0)</x:f>
        <x:v>4</x:v>
      </x:c>
      <x:c r="S3822" s="11" t="n">
        <x:f>IF(D3822="Completed",L3822,0)</x:f>
        <x:v>0</x:v>
      </x:c>
      <x:c r="T3822" s="8" t="n">
        <x:f>DATE(YEAR(C3822),MONTH(C3822),1)</x:f>
        <x:v>45658</x:v>
      </x:c>
    </x:row>
    <x:row r="3823" ht="22" customHeight="1">
      <x:c r="A3823" s="2" t="str">
        <x:v>L003819</x:v>
      </x:c>
      <x:c r="B3823" s="2" t="str">
        <x:v>O01556</x:v>
      </x:c>
      <x:c r="C3823" s="7" t="n">
        <x:v>45711</x:v>
      </x:c>
      <x:c r="D3823" s="2" t="str">
        <x:v>Completed</x:v>
      </x:c>
      <x:c r="E3823" s="2" t="str">
        <x:v>South</x:v>
      </x:c>
      <x:c r="F3823" s="2" t="str">
        <x:v>Store</x:v>
      </x:c>
      <x:c r="G3823" s="2" t="str">
        <x:v>Lighting</x:v>
      </x:c>
      <x:c r="H3823" s="2" t="str">
        <x:v>Lamp 001</x:v>
      </x:c>
      <x:c r="I3823" s="11" t="n">
        <x:v>1</x:v>
      </x:c>
      <x:c r="J3823" s="9" t="n">
        <x:v>122</x:v>
      </x:c>
      <x:c r="K3823" s="10" t="n">
        <x:v>0</x:v>
      </x:c>
      <x:c r="L3823" s="11" t="n">
        <x:v>0</x:v>
      </x:c>
      <x:c r="M3823" s="9" t="n">
        <x:f>IF(D3823="Completed",I3823*J3823,0)</x:f>
        <x:v>122</x:v>
      </x:c>
      <x:c r="N3823" s="9" t="n">
        <x:f>M3823*K3823</x:f>
        <x:v>0</x:v>
      </x:c>
      <x:c r="O3823" s="9" t="n">
        <x:f>M3823-N3823</x:f>
        <x:v>122</x:v>
      </x:c>
      <x:c r="P3823" s="9" t="n">
        <x:f>IF(D3823="Completed",L3823*J3823*(1-K3823),0)</x:f>
        <x:v>0</x:v>
      </x:c>
      <x:c r="Q3823" s="9" t="n">
        <x:f>O3823-P3823</x:f>
        <x:v>122</x:v>
      </x:c>
      <x:c r="R3823" s="11" t="n">
        <x:f>IF(D3823="Completed",I3823,0)</x:f>
        <x:v>1</x:v>
      </x:c>
      <x:c r="S3823" s="11" t="n">
        <x:f>IF(D3823="Completed",L3823,0)</x:f>
        <x:v>0</x:v>
      </x:c>
      <x:c r="T3823" s="8" t="n">
        <x:f>DATE(YEAR(C3823),MONTH(C3823),1)</x:f>
        <x:v>45689</x:v>
      </x:c>
    </x:row>
    <x:row r="3824" ht="22" customHeight="1">
      <x:c r="A3824" s="2" t="str">
        <x:v>L003820</x:v>
      </x:c>
      <x:c r="B3824" s="2" t="str">
        <x:v>O01557</x:v>
      </x:c>
      <x:c r="C3824" s="7" t="n">
        <x:v>45842</x:v>
      </x:c>
      <x:c r="D3824" s="2" t="str">
        <x:v>Completed</x:v>
      </x:c>
      <x:c r="E3824" s="2" t="str">
        <x:v>North</x:v>
      </x:c>
      <x:c r="F3824" s="2" t="str">
        <x:v>Online</x:v>
      </x:c>
      <x:c r="G3824" s="2" t="str">
        <x:v>Lighting</x:v>
      </x:c>
      <x:c r="H3824" s="2" t="str">
        <x:v>Lamp 009</x:v>
      </x:c>
      <x:c r="I3824" s="11" t="n">
        <x:v>1</x:v>
      </x:c>
      <x:c r="J3824" s="9" t="n">
        <x:v>93</x:v>
      </x:c>
      <x:c r="K3824" s="10" t="n">
        <x:v>0.2</x:v>
      </x:c>
      <x:c r="L3824" s="11" t="n">
        <x:v>0</x:v>
      </x:c>
      <x:c r="M3824" s="9" t="n">
        <x:f>IF(D3824="Completed",I3824*J3824,0)</x:f>
        <x:v>93</x:v>
      </x:c>
      <x:c r="N3824" s="9" t="n">
        <x:f>M3824*K3824</x:f>
        <x:v>18.6</x:v>
      </x:c>
      <x:c r="O3824" s="9" t="n">
        <x:f>M3824-N3824</x:f>
        <x:v>74.4</x:v>
      </x:c>
      <x:c r="P3824" s="9" t="n">
        <x:f>IF(D3824="Completed",L3824*J3824*(1-K3824),0)</x:f>
        <x:v>0</x:v>
      </x:c>
      <x:c r="Q3824" s="9" t="n">
        <x:f>O3824-P3824</x:f>
        <x:v>74.4</x:v>
      </x:c>
      <x:c r="R3824" s="11" t="n">
        <x:f>IF(D3824="Completed",I3824,0)</x:f>
        <x:v>1</x:v>
      </x:c>
      <x:c r="S3824" s="11" t="n">
        <x:f>IF(D3824="Completed",L3824,0)</x:f>
        <x:v>0</x:v>
      </x:c>
      <x:c r="T3824" s="8" t="n">
        <x:f>DATE(YEAR(C3824),MONTH(C3824),1)</x:f>
        <x:v>45839</x:v>
      </x:c>
    </x:row>
    <x:row r="3825" ht="22" customHeight="1">
      <x:c r="A3825" s="2" t="str">
        <x:v>L003821</x:v>
      </x:c>
      <x:c r="B3825" s="2" t="str">
        <x:v>O01557</x:v>
      </x:c>
      <x:c r="C3825" s="7" t="n">
        <x:v>45842</x:v>
      </x:c>
      <x:c r="D3825" s="2" t="str">
        <x:v>Completed</x:v>
      </x:c>
      <x:c r="E3825" s="2" t="str">
        <x:v>North</x:v>
      </x:c>
      <x:c r="F3825" s="2" t="str">
        <x:v>Online</x:v>
      </x:c>
      <x:c r="G3825" s="2" t="str">
        <x:v>Furniture</x:v>
      </x:c>
      <x:c r="H3825" s="2" t="str">
        <x:v>Desk 012</x:v>
      </x:c>
      <x:c r="I3825" s="11" t="n">
        <x:v>1</x:v>
      </x:c>
      <x:c r="J3825" s="9" t="n">
        <x:v>134</x:v>
      </x:c>
      <x:c r="K3825" s="10" t="n">
        <x:v>0</x:v>
      </x:c>
      <x:c r="L3825" s="11" t="n">
        <x:v>0</x:v>
      </x:c>
      <x:c r="M3825" s="9" t="n">
        <x:f>IF(D3825="Completed",I3825*J3825,0)</x:f>
        <x:v>134</x:v>
      </x:c>
      <x:c r="N3825" s="9" t="n">
        <x:f>M3825*K3825</x:f>
        <x:v>0</x:v>
      </x:c>
      <x:c r="O3825" s="9" t="n">
        <x:f>M3825-N3825</x:f>
        <x:v>134</x:v>
      </x:c>
      <x:c r="P3825" s="9" t="n">
        <x:f>IF(D3825="Completed",L3825*J3825*(1-K3825),0)</x:f>
        <x:v>0</x:v>
      </x:c>
      <x:c r="Q3825" s="9" t="n">
        <x:f>O3825-P3825</x:f>
        <x:v>134</x:v>
      </x:c>
      <x:c r="R3825" s="11" t="n">
        <x:f>IF(D3825="Completed",I3825,0)</x:f>
        <x:v>1</x:v>
      </x:c>
      <x:c r="S3825" s="11" t="n">
        <x:f>IF(D3825="Completed",L3825,0)</x:f>
        <x:v>0</x:v>
      </x:c>
      <x:c r="T3825" s="8" t="n">
        <x:f>DATE(YEAR(C3825),MONTH(C3825),1)</x:f>
        <x:v>45839</x:v>
      </x:c>
    </x:row>
    <x:row r="3826" ht="22" customHeight="1">
      <x:c r="A3826" s="2" t="str">
        <x:v>L003822</x:v>
      </x:c>
      <x:c r="B3826" s="2" t="str">
        <x:v>O01557</x:v>
      </x:c>
      <x:c r="C3826" s="7" t="n">
        <x:v>45842</x:v>
      </x:c>
      <x:c r="D3826" s="2" t="str">
        <x:v>Completed</x:v>
      </x:c>
      <x:c r="E3826" s="2" t="str">
        <x:v>North</x:v>
      </x:c>
      <x:c r="F3826" s="2" t="str">
        <x:v>Online</x:v>
      </x:c>
      <x:c r="G3826" s="2" t="str">
        <x:v>Lighting</x:v>
      </x:c>
      <x:c r="H3826" s="2" t="str">
        <x:v>Lamp 009</x:v>
      </x:c>
      <x:c r="I3826" s="11" t="n">
        <x:v>3</x:v>
      </x:c>
      <x:c r="J3826" s="9" t="n">
        <x:v>93</x:v>
      </x:c>
      <x:c r="K3826" s="10" t="n">
        <x:v>0.05</x:v>
      </x:c>
      <x:c r="L3826" s="11" t="n">
        <x:v>0</x:v>
      </x:c>
      <x:c r="M3826" s="9" t="n">
        <x:f>IF(D3826="Completed",I3826*J3826,0)</x:f>
        <x:v>279</x:v>
      </x:c>
      <x:c r="N3826" s="9" t="n">
        <x:f>M3826*K3826</x:f>
        <x:v>13.950000000000001</x:v>
      </x:c>
      <x:c r="O3826" s="9" t="n">
        <x:f>M3826-N3826</x:f>
        <x:v>265.05</x:v>
      </x:c>
      <x:c r="P3826" s="9" t="n">
        <x:f>IF(D3826="Completed",L3826*J3826*(1-K3826),0)</x:f>
        <x:v>0</x:v>
      </x:c>
      <x:c r="Q3826" s="9" t="n">
        <x:f>O3826-P3826</x:f>
        <x:v>265.05</x:v>
      </x:c>
      <x:c r="R3826" s="11" t="n">
        <x:f>IF(D3826="Completed",I3826,0)</x:f>
        <x:v>3</x:v>
      </x:c>
      <x:c r="S3826" s="11" t="n">
        <x:f>IF(D3826="Completed",L3826,0)</x:f>
        <x:v>0</x:v>
      </x:c>
      <x:c r="T3826" s="8" t="n">
        <x:f>DATE(YEAR(C3826),MONTH(C3826),1)</x:f>
        <x:v>45839</x:v>
      </x:c>
    </x:row>
    <x:row r="3827" ht="22" customHeight="1">
      <x:c r="A3827" s="2" t="str">
        <x:v>L003823</x:v>
      </x:c>
      <x:c r="B3827" s="2" t="str">
        <x:v>O01558</x:v>
      </x:c>
      <x:c r="C3827" s="7" t="n">
        <x:v>45696</x:v>
      </x:c>
      <x:c r="D3827" s="2" t="str">
        <x:v>Completed</x:v>
      </x:c>
      <x:c r="E3827" s="2" t="str">
        <x:v>North</x:v>
      </x:c>
      <x:c r="F3827" s="2" t="str">
        <x:v>Store</x:v>
      </x:c>
      <x:c r="G3827" s="2" t="str">
        <x:v>Storage</x:v>
      </x:c>
      <x:c r="H3827" s="2" t="str">
        <x:v>Shelf 023</x:v>
      </x:c>
      <x:c r="I3827" s="11" t="n">
        <x:v>2</x:v>
      </x:c>
      <x:c r="J3827" s="9" t="n">
        <x:v>68</x:v>
      </x:c>
      <x:c r="K3827" s="10" t="n">
        <x:v>0.2</x:v>
      </x:c>
      <x:c r="L3827" s="11" t="n">
        <x:v>0</x:v>
      </x:c>
      <x:c r="M3827" s="9" t="n">
        <x:f>IF(D3827="Completed",I3827*J3827,0)</x:f>
        <x:v>136</x:v>
      </x:c>
      <x:c r="N3827" s="9" t="n">
        <x:f>M3827*K3827</x:f>
        <x:v>27.200000000000003</x:v>
      </x:c>
      <x:c r="O3827" s="9" t="n">
        <x:f>M3827-N3827</x:f>
        <x:v>108.8</x:v>
      </x:c>
      <x:c r="P3827" s="9" t="n">
        <x:f>IF(D3827="Completed",L3827*J3827*(1-K3827),0)</x:f>
        <x:v>0</x:v>
      </x:c>
      <x:c r="Q3827" s="9" t="n">
        <x:f>O3827-P3827</x:f>
        <x:v>108.8</x:v>
      </x:c>
      <x:c r="R3827" s="11" t="n">
        <x:f>IF(D3827="Completed",I3827,0)</x:f>
        <x:v>2</x:v>
      </x:c>
      <x:c r="S3827" s="11" t="n">
        <x:f>IF(D3827="Completed",L3827,0)</x:f>
        <x:v>0</x:v>
      </x:c>
      <x:c r="T3827" s="8" t="n">
        <x:f>DATE(YEAR(C3827),MONTH(C3827),1)</x:f>
        <x:v>45689</x:v>
      </x:c>
    </x:row>
    <x:row r="3828" ht="22" customHeight="1">
      <x:c r="A3828" s="2" t="str">
        <x:v>L003824</x:v>
      </x:c>
      <x:c r="B3828" s="2" t="str">
        <x:v>O01558</x:v>
      </x:c>
      <x:c r="C3828" s="7" t="n">
        <x:v>45696</x:v>
      </x:c>
      <x:c r="D3828" s="2" t="str">
        <x:v>Completed</x:v>
      </x:c>
      <x:c r="E3828" s="2" t="str">
        <x:v>North</x:v>
      </x:c>
      <x:c r="F3828" s="2" t="str">
        <x:v>Store</x:v>
      </x:c>
      <x:c r="G3828" s="2" t="str">
        <x:v>Lighting</x:v>
      </x:c>
      <x:c r="H3828" s="2" t="str">
        <x:v>Lamp 013</x:v>
      </x:c>
      <x:c r="I3828" s="11" t="n">
        <x:v>3</x:v>
      </x:c>
      <x:c r="J3828" s="9" t="n">
        <x:v>271</x:v>
      </x:c>
      <x:c r="K3828" s="10" t="n">
        <x:v>0.2</x:v>
      </x:c>
      <x:c r="L3828" s="11" t="n">
        <x:v>0</x:v>
      </x:c>
      <x:c r="M3828" s="9" t="n">
        <x:f>IF(D3828="Completed",I3828*J3828,0)</x:f>
        <x:v>813</x:v>
      </x:c>
      <x:c r="N3828" s="9" t="n">
        <x:f>M3828*K3828</x:f>
        <x:v>162.60000000000002</x:v>
      </x:c>
      <x:c r="O3828" s="9" t="n">
        <x:f>M3828-N3828</x:f>
        <x:v>650.4</x:v>
      </x:c>
      <x:c r="P3828" s="9" t="n">
        <x:f>IF(D3828="Completed",L3828*J3828*(1-K3828),0)</x:f>
        <x:v>0</x:v>
      </x:c>
      <x:c r="Q3828" s="9" t="n">
        <x:f>O3828-P3828</x:f>
        <x:v>650.4</x:v>
      </x:c>
      <x:c r="R3828" s="11" t="n">
        <x:f>IF(D3828="Completed",I3828,0)</x:f>
        <x:v>3</x:v>
      </x:c>
      <x:c r="S3828" s="11" t="n">
        <x:f>IF(D3828="Completed",L3828,0)</x:f>
        <x:v>0</x:v>
      </x:c>
      <x:c r="T3828" s="8" t="n">
        <x:f>DATE(YEAR(C3828),MONTH(C3828),1)</x:f>
        <x:v>45689</x:v>
      </x:c>
    </x:row>
    <x:row r="3829" ht="22" customHeight="1">
      <x:c r="A3829" s="2" t="str">
        <x:v>L003825</x:v>
      </x:c>
      <x:c r="B3829" s="2" t="str">
        <x:v>O01558</x:v>
      </x:c>
      <x:c r="C3829" s="7" t="n">
        <x:v>45696</x:v>
      </x:c>
      <x:c r="D3829" s="2" t="str">
        <x:v>Completed</x:v>
      </x:c>
      <x:c r="E3829" s="2" t="str">
        <x:v>North</x:v>
      </x:c>
      <x:c r="F3829" s="2" t="str">
        <x:v>Store</x:v>
      </x:c>
      <x:c r="G3829" s="2" t="str">
        <x:v>Furniture</x:v>
      </x:c>
      <x:c r="H3829" s="2" t="str">
        <x:v>Desk 012</x:v>
      </x:c>
      <x:c r="I3829" s="11" t="n">
        <x:v>1</x:v>
      </x:c>
      <x:c r="J3829" s="9" t="n">
        <x:v>134</x:v>
      </x:c>
      <x:c r="K3829" s="10" t="n">
        <x:v>0</x:v>
      </x:c>
      <x:c r="L3829" s="11" t="n">
        <x:v>0</x:v>
      </x:c>
      <x:c r="M3829" s="9" t="n">
        <x:f>IF(D3829="Completed",I3829*J3829,0)</x:f>
        <x:v>134</x:v>
      </x:c>
      <x:c r="N3829" s="9" t="n">
        <x:f>M3829*K3829</x:f>
        <x:v>0</x:v>
      </x:c>
      <x:c r="O3829" s="9" t="n">
        <x:f>M3829-N3829</x:f>
        <x:v>134</x:v>
      </x:c>
      <x:c r="P3829" s="9" t="n">
        <x:f>IF(D3829="Completed",L3829*J3829*(1-K3829),0)</x:f>
        <x:v>0</x:v>
      </x:c>
      <x:c r="Q3829" s="9" t="n">
        <x:f>O3829-P3829</x:f>
        <x:v>134</x:v>
      </x:c>
      <x:c r="R3829" s="11" t="n">
        <x:f>IF(D3829="Completed",I3829,0)</x:f>
        <x:v>1</x:v>
      </x:c>
      <x:c r="S3829" s="11" t="n">
        <x:f>IF(D3829="Completed",L3829,0)</x:f>
        <x:v>0</x:v>
      </x:c>
      <x:c r="T3829" s="8" t="n">
        <x:f>DATE(YEAR(C3829),MONTH(C3829),1)</x:f>
        <x:v>45689</x:v>
      </x:c>
    </x:row>
    <x:row r="3830" ht="22" customHeight="1">
      <x:c r="A3830" s="2" t="str">
        <x:v>L003826</x:v>
      </x:c>
      <x:c r="B3830" s="2" t="str">
        <x:v>O01558</x:v>
      </x:c>
      <x:c r="C3830" s="7" t="n">
        <x:v>45696</x:v>
      </x:c>
      <x:c r="D3830" s="2" t="str">
        <x:v>Completed</x:v>
      </x:c>
      <x:c r="E3830" s="2" t="str">
        <x:v>North</x:v>
      </x:c>
      <x:c r="F3830" s="2" t="str">
        <x:v>Store</x:v>
      </x:c>
      <x:c r="G3830" s="2" t="str">
        <x:v>Furniture</x:v>
      </x:c>
      <x:c r="H3830" s="2" t="str">
        <x:v>Chair 002</x:v>
      </x:c>
      <x:c r="I3830" s="11" t="n">
        <x:v>2</x:v>
      </x:c>
      <x:c r="J3830" s="9" t="n">
        <x:v>284</x:v>
      </x:c>
      <x:c r="K3830" s="10" t="n">
        <x:v>0.1</x:v>
      </x:c>
      <x:c r="L3830" s="11" t="n">
        <x:v>0</x:v>
      </x:c>
      <x:c r="M3830" s="9" t="n">
        <x:f>IF(D3830="Completed",I3830*J3830,0)</x:f>
        <x:v>568</x:v>
      </x:c>
      <x:c r="N3830" s="9" t="n">
        <x:f>M3830*K3830</x:f>
        <x:v>56.800000000000004</x:v>
      </x:c>
      <x:c r="O3830" s="9" t="n">
        <x:f>M3830-N3830</x:f>
        <x:v>511.2</x:v>
      </x:c>
      <x:c r="P3830" s="9" t="n">
        <x:f>IF(D3830="Completed",L3830*J3830*(1-K3830),0)</x:f>
        <x:v>0</x:v>
      </x:c>
      <x:c r="Q3830" s="9" t="n">
        <x:f>O3830-P3830</x:f>
        <x:v>511.2</x:v>
      </x:c>
      <x:c r="R3830" s="11" t="n">
        <x:f>IF(D3830="Completed",I3830,0)</x:f>
        <x:v>2</x:v>
      </x:c>
      <x:c r="S3830" s="11" t="n">
        <x:f>IF(D3830="Completed",L3830,0)</x:f>
        <x:v>0</x:v>
      </x:c>
      <x:c r="T3830" s="8" t="n">
        <x:f>DATE(YEAR(C3830),MONTH(C3830),1)</x:f>
        <x:v>45689</x:v>
      </x:c>
    </x:row>
    <x:row r="3831" ht="22" customHeight="1">
      <x:c r="A3831" s="2" t="str">
        <x:v>L003827</x:v>
      </x:c>
      <x:c r="B3831" s="2" t="str">
        <x:v>O01559</x:v>
      </x:c>
      <x:c r="C3831" s="7" t="n">
        <x:v>45723</x:v>
      </x:c>
      <x:c r="D3831" s="2" t="str">
        <x:v>Completed</x:v>
      </x:c>
      <x:c r="E3831" s="2" t="str">
        <x:v>West</x:v>
      </x:c>
      <x:c r="F3831" s="2" t="str">
        <x:v>Online</x:v>
      </x:c>
      <x:c r="G3831" s="2" t="str">
        <x:v>Storage</x:v>
      </x:c>
      <x:c r="H3831" s="2" t="str">
        <x:v>Shelf 015</x:v>
      </x:c>
      <x:c r="I3831" s="11" t="n">
        <x:v>1</x:v>
      </x:c>
      <x:c r="J3831" s="9" t="n">
        <x:v>254</x:v>
      </x:c>
      <x:c r="K3831" s="10" t="n">
        <x:v>0.2</x:v>
      </x:c>
      <x:c r="L3831" s="11" t="n">
        <x:v>0</x:v>
      </x:c>
      <x:c r="M3831" s="9" t="n">
        <x:f>IF(D3831="Completed",I3831*J3831,0)</x:f>
        <x:v>254</x:v>
      </x:c>
      <x:c r="N3831" s="9" t="n">
        <x:f>M3831*K3831</x:f>
        <x:v>50.800000000000004</x:v>
      </x:c>
      <x:c r="O3831" s="9" t="n">
        <x:f>M3831-N3831</x:f>
        <x:v>203.2</x:v>
      </x:c>
      <x:c r="P3831" s="9" t="n">
        <x:f>IF(D3831="Completed",L3831*J3831*(1-K3831),0)</x:f>
        <x:v>0</x:v>
      </x:c>
      <x:c r="Q3831" s="9" t="n">
        <x:f>O3831-P3831</x:f>
        <x:v>203.2</x:v>
      </x:c>
      <x:c r="R3831" s="11" t="n">
        <x:f>IF(D3831="Completed",I3831,0)</x:f>
        <x:v>1</x:v>
      </x:c>
      <x:c r="S3831" s="11" t="n">
        <x:f>IF(D3831="Completed",L3831,0)</x:f>
        <x:v>0</x:v>
      </x:c>
      <x:c r="T3831" s="8" t="n">
        <x:f>DATE(YEAR(C3831),MONTH(C3831),1)</x:f>
        <x:v>45717</x:v>
      </x:c>
    </x:row>
    <x:row r="3832" ht="22" customHeight="1">
      <x:c r="A3832" s="2" t="str">
        <x:v>L003828</x:v>
      </x:c>
      <x:c r="B3832" s="2" t="str">
        <x:v>O01560</x:v>
      </x:c>
      <x:c r="C3832" s="7" t="n">
        <x:v>45972</x:v>
      </x:c>
      <x:c r="D3832" s="2" t="str">
        <x:v>Completed</x:v>
      </x:c>
      <x:c r="E3832" s="2" t="str">
        <x:v>South</x:v>
      </x:c>
      <x:c r="F3832" s="2" t="str">
        <x:v>Online</x:v>
      </x:c>
      <x:c r="G3832" s="2" t="str">
        <x:v>Lighting</x:v>
      </x:c>
      <x:c r="H3832" s="2" t="str">
        <x:v>Lamp 017</x:v>
      </x:c>
      <x:c r="I3832" s="11" t="n">
        <x:v>3</x:v>
      </x:c>
      <x:c r="J3832" s="9" t="n">
        <x:v>300</x:v>
      </x:c>
      <x:c r="K3832" s="10" t="n">
        <x:v>0.05</x:v>
      </x:c>
      <x:c r="L3832" s="11" t="n">
        <x:v>0</x:v>
      </x:c>
      <x:c r="M3832" s="9" t="n">
        <x:f>IF(D3832="Completed",I3832*J3832,0)</x:f>
        <x:v>900</x:v>
      </x:c>
      <x:c r="N3832" s="9" t="n">
        <x:f>M3832*K3832</x:f>
        <x:v>45</x:v>
      </x:c>
      <x:c r="O3832" s="9" t="n">
        <x:f>M3832-N3832</x:f>
        <x:v>855</x:v>
      </x:c>
      <x:c r="P3832" s="9" t="n">
        <x:f>IF(D3832="Completed",L3832*J3832*(1-K3832),0)</x:f>
        <x:v>0</x:v>
      </x:c>
      <x:c r="Q3832" s="9" t="n">
        <x:f>O3832-P3832</x:f>
        <x:v>855</x:v>
      </x:c>
      <x:c r="R3832" s="11" t="n">
        <x:f>IF(D3832="Completed",I3832,0)</x:f>
        <x:v>3</x:v>
      </x:c>
      <x:c r="S3832" s="11" t="n">
        <x:f>IF(D3832="Completed",L3832,0)</x:f>
        <x:v>0</x:v>
      </x:c>
      <x:c r="T3832" s="8" t="n">
        <x:f>DATE(YEAR(C3832),MONTH(C3832),1)</x:f>
        <x:v>45962</x:v>
      </x:c>
    </x:row>
    <x:row r="3833" ht="22" customHeight="1">
      <x:c r="A3833" s="2" t="str">
        <x:v>L003829</x:v>
      </x:c>
      <x:c r="B3833" s="2" t="str">
        <x:v>O01560</x:v>
      </x:c>
      <x:c r="C3833" s="7" t="n">
        <x:v>45972</x:v>
      </x:c>
      <x:c r="D3833" s="2" t="str">
        <x:v>Completed</x:v>
      </x:c>
      <x:c r="E3833" s="2" t="str">
        <x:v>South</x:v>
      </x:c>
      <x:c r="F3833" s="2" t="str">
        <x:v>Online</x:v>
      </x:c>
      <x:c r="G3833" s="2" t="str">
        <x:v>Furniture</x:v>
      </x:c>
      <x:c r="H3833" s="2" t="str">
        <x:v>Chair 018</x:v>
      </x:c>
      <x:c r="I3833" s="11" t="n">
        <x:v>3</x:v>
      </x:c>
      <x:c r="J3833" s="9" t="n">
        <x:v>269</x:v>
      </x:c>
      <x:c r="K3833" s="10" t="n">
        <x:v>0.2</x:v>
      </x:c>
      <x:c r="L3833" s="11" t="n">
        <x:v>0</x:v>
      </x:c>
      <x:c r="M3833" s="9" t="n">
        <x:f>IF(D3833="Completed",I3833*J3833,0)</x:f>
        <x:v>807</x:v>
      </x:c>
      <x:c r="N3833" s="9" t="n">
        <x:f>M3833*K3833</x:f>
        <x:v>161.4</x:v>
      </x:c>
      <x:c r="O3833" s="9" t="n">
        <x:f>M3833-N3833</x:f>
        <x:v>645.6</x:v>
      </x:c>
      <x:c r="P3833" s="9" t="n">
        <x:f>IF(D3833="Completed",L3833*J3833*(1-K3833),0)</x:f>
        <x:v>0</x:v>
      </x:c>
      <x:c r="Q3833" s="9" t="n">
        <x:f>O3833-P3833</x:f>
        <x:v>645.6</x:v>
      </x:c>
      <x:c r="R3833" s="11" t="n">
        <x:f>IF(D3833="Completed",I3833,0)</x:f>
        <x:v>3</x:v>
      </x:c>
      <x:c r="S3833" s="11" t="n">
        <x:f>IF(D3833="Completed",L3833,0)</x:f>
        <x:v>0</x:v>
      </x:c>
      <x:c r="T3833" s="8" t="n">
        <x:f>DATE(YEAR(C3833),MONTH(C3833),1)</x:f>
        <x:v>45962</x:v>
      </x:c>
    </x:row>
    <x:row r="3834" ht="22" customHeight="1">
      <x:c r="A3834" s="2" t="str">
        <x:v>L003830</x:v>
      </x:c>
      <x:c r="B3834" s="2" t="str">
        <x:v>O01560</x:v>
      </x:c>
      <x:c r="C3834" s="7" t="n">
        <x:v>45972</x:v>
      </x:c>
      <x:c r="D3834" s="2" t="str">
        <x:v>Completed</x:v>
      </x:c>
      <x:c r="E3834" s="2" t="str">
        <x:v>South</x:v>
      </x:c>
      <x:c r="F3834" s="2" t="str">
        <x:v>Online</x:v>
      </x:c>
      <x:c r="G3834" s="2" t="str">
        <x:v>Lighting</x:v>
      </x:c>
      <x:c r="H3834" s="2" t="str">
        <x:v>Lamp 021</x:v>
      </x:c>
      <x:c r="I3834" s="11" t="n">
        <x:v>3</x:v>
      </x:c>
      <x:c r="J3834" s="9" t="n">
        <x:v>249</x:v>
      </x:c>
      <x:c r="K3834" s="10" t="n">
        <x:v>0.2</x:v>
      </x:c>
      <x:c r="L3834" s="11" t="n">
        <x:v>0</x:v>
      </x:c>
      <x:c r="M3834" s="9" t="n">
        <x:f>IF(D3834="Completed",I3834*J3834,0)</x:f>
        <x:v>747</x:v>
      </x:c>
      <x:c r="N3834" s="9" t="n">
        <x:f>M3834*K3834</x:f>
        <x:v>149.4</x:v>
      </x:c>
      <x:c r="O3834" s="9" t="n">
        <x:f>M3834-N3834</x:f>
        <x:v>597.6</x:v>
      </x:c>
      <x:c r="P3834" s="9" t="n">
        <x:f>IF(D3834="Completed",L3834*J3834*(1-K3834),0)</x:f>
        <x:v>0</x:v>
      </x:c>
      <x:c r="Q3834" s="9" t="n">
        <x:f>O3834-P3834</x:f>
        <x:v>597.6</x:v>
      </x:c>
      <x:c r="R3834" s="11" t="n">
        <x:f>IF(D3834="Completed",I3834,0)</x:f>
        <x:v>3</x:v>
      </x:c>
      <x:c r="S3834" s="11" t="n">
        <x:f>IF(D3834="Completed",L3834,0)</x:f>
        <x:v>0</x:v>
      </x:c>
      <x:c r="T3834" s="8" t="n">
        <x:f>DATE(YEAR(C3834),MONTH(C3834),1)</x:f>
        <x:v>45962</x:v>
      </x:c>
    </x:row>
    <x:row r="3835" ht="22" customHeight="1">
      <x:c r="A3835" s="2" t="str">
        <x:v>L003831</x:v>
      </x:c>
      <x:c r="B3835" s="2" t="str">
        <x:v>O01561</x:v>
      </x:c>
      <x:c r="C3835" s="7" t="n">
        <x:v>45768</x:v>
      </x:c>
      <x:c r="D3835" s="2" t="str">
        <x:v>Completed</x:v>
      </x:c>
      <x:c r="E3835" s="2" t="str">
        <x:v>West</x:v>
      </x:c>
      <x:c r="F3835" s="2" t="str">
        <x:v>Store</x:v>
      </x:c>
      <x:c r="G3835" s="2" t="str">
        <x:v>Lighting</x:v>
      </x:c>
      <x:c r="H3835" s="2" t="str">
        <x:v>Lamp 013</x:v>
      </x:c>
      <x:c r="I3835" s="11" t="n">
        <x:v>4</x:v>
      </x:c>
      <x:c r="J3835" s="9" t="n">
        <x:v>271</x:v>
      </x:c>
      <x:c r="K3835" s="10" t="n">
        <x:v>0.2</x:v>
      </x:c>
      <x:c r="L3835" s="11" t="n">
        <x:v>0</x:v>
      </x:c>
      <x:c r="M3835" s="9" t="n">
        <x:f>IF(D3835="Completed",I3835*J3835,0)</x:f>
        <x:v>1084</x:v>
      </x:c>
      <x:c r="N3835" s="9" t="n">
        <x:f>M3835*K3835</x:f>
        <x:v>216.8</x:v>
      </x:c>
      <x:c r="O3835" s="9" t="n">
        <x:f>M3835-N3835</x:f>
        <x:v>867.2</x:v>
      </x:c>
      <x:c r="P3835" s="9" t="n">
        <x:f>IF(D3835="Completed",L3835*J3835*(1-K3835),0)</x:f>
        <x:v>0</x:v>
      </x:c>
      <x:c r="Q3835" s="9" t="n">
        <x:f>O3835-P3835</x:f>
        <x:v>867.2</x:v>
      </x:c>
      <x:c r="R3835" s="11" t="n">
        <x:f>IF(D3835="Completed",I3835,0)</x:f>
        <x:v>4</x:v>
      </x:c>
      <x:c r="S3835" s="11" t="n">
        <x:f>IF(D3835="Completed",L3835,0)</x:f>
        <x:v>0</x:v>
      </x:c>
      <x:c r="T3835" s="8" t="n">
        <x:f>DATE(YEAR(C3835),MONTH(C3835),1)</x:f>
        <x:v>45748</x:v>
      </x:c>
    </x:row>
    <x:row r="3836" ht="22" customHeight="1">
      <x:c r="A3836" s="2" t="str">
        <x:v>L003832</x:v>
      </x:c>
      <x:c r="B3836" s="2" t="str">
        <x:v>O01561</x:v>
      </x:c>
      <x:c r="C3836" s="7" t="n">
        <x:v>45768</x:v>
      </x:c>
      <x:c r="D3836" s="2" t="str">
        <x:v>Completed</x:v>
      </x:c>
      <x:c r="E3836" s="2" t="str">
        <x:v>West</x:v>
      </x:c>
      <x:c r="F3836" s="2" t="str">
        <x:v>Store</x:v>
      </x:c>
      <x:c r="G3836" s="2" t="str">
        <x:v>Furniture</x:v>
      </x:c>
      <x:c r="H3836" s="2" t="str">
        <x:v>Chair 002</x:v>
      </x:c>
      <x:c r="I3836" s="11" t="n">
        <x:v>3</x:v>
      </x:c>
      <x:c r="J3836" s="9" t="n">
        <x:v>284</x:v>
      </x:c>
      <x:c r="K3836" s="10" t="n">
        <x:v>0.1</x:v>
      </x:c>
      <x:c r="L3836" s="11" t="n">
        <x:v>0</x:v>
      </x:c>
      <x:c r="M3836" s="9" t="n">
        <x:f>IF(D3836="Completed",I3836*J3836,0)</x:f>
        <x:v>852</x:v>
      </x:c>
      <x:c r="N3836" s="9" t="n">
        <x:f>M3836*K3836</x:f>
        <x:v>85.2</x:v>
      </x:c>
      <x:c r="O3836" s="9" t="n">
        <x:f>M3836-N3836</x:f>
        <x:v>766.8</x:v>
      </x:c>
      <x:c r="P3836" s="9" t="n">
        <x:f>IF(D3836="Completed",L3836*J3836*(1-K3836),0)</x:f>
        <x:v>0</x:v>
      </x:c>
      <x:c r="Q3836" s="9" t="n">
        <x:f>O3836-P3836</x:f>
        <x:v>766.8</x:v>
      </x:c>
      <x:c r="R3836" s="11" t="n">
        <x:f>IF(D3836="Completed",I3836,0)</x:f>
        <x:v>3</x:v>
      </x:c>
      <x:c r="S3836" s="11" t="n">
        <x:f>IF(D3836="Completed",L3836,0)</x:f>
        <x:v>0</x:v>
      </x:c>
      <x:c r="T3836" s="8" t="n">
        <x:f>DATE(YEAR(C3836),MONTH(C3836),1)</x:f>
        <x:v>45748</x:v>
      </x:c>
    </x:row>
    <x:row r="3837" ht="22" customHeight="1">
      <x:c r="A3837" s="2" t="str">
        <x:v>L003833</x:v>
      </x:c>
      <x:c r="B3837" s="2" t="str">
        <x:v>O01562</x:v>
      </x:c>
      <x:c r="C3837" s="7" t="n">
        <x:v>45768</x:v>
      </x:c>
      <x:c r="D3837" s="2" t="str">
        <x:v>Completed</x:v>
      </x:c>
      <x:c r="E3837" s="2" t="str">
        <x:v>South</x:v>
      </x:c>
      <x:c r="F3837" s="2" t="str">
        <x:v>Store</x:v>
      </x:c>
      <x:c r="G3837" s="2" t="str">
        <x:v>Storage</x:v>
      </x:c>
      <x:c r="H3837" s="2" t="str">
        <x:v>Shelf 015</x:v>
      </x:c>
      <x:c r="I3837" s="11" t="n">
        <x:v>5</x:v>
      </x:c>
      <x:c r="J3837" s="9" t="n">
        <x:v>254</x:v>
      </x:c>
      <x:c r="K3837" s="10" t="n">
        <x:v>0.1</x:v>
      </x:c>
      <x:c r="L3837" s="11" t="n">
        <x:v>0</x:v>
      </x:c>
      <x:c r="M3837" s="9" t="n">
        <x:f>IF(D3837="Completed",I3837*J3837,0)</x:f>
        <x:v>1270</x:v>
      </x:c>
      <x:c r="N3837" s="9" t="n">
        <x:f>M3837*K3837</x:f>
        <x:v>127</x:v>
      </x:c>
      <x:c r="O3837" s="9" t="n">
        <x:f>M3837-N3837</x:f>
        <x:v>1143</x:v>
      </x:c>
      <x:c r="P3837" s="9" t="n">
        <x:f>IF(D3837="Completed",L3837*J3837*(1-K3837),0)</x:f>
        <x:v>0</x:v>
      </x:c>
      <x:c r="Q3837" s="9" t="n">
        <x:f>O3837-P3837</x:f>
        <x:v>1143</x:v>
      </x:c>
      <x:c r="R3837" s="11" t="n">
        <x:f>IF(D3837="Completed",I3837,0)</x:f>
        <x:v>5</x:v>
      </x:c>
      <x:c r="S3837" s="11" t="n">
        <x:f>IF(D3837="Completed",L3837,0)</x:f>
        <x:v>0</x:v>
      </x:c>
      <x:c r="T3837" s="8" t="n">
        <x:f>DATE(YEAR(C3837),MONTH(C3837),1)</x:f>
        <x:v>45748</x:v>
      </x:c>
    </x:row>
    <x:row r="3838" ht="22" customHeight="1">
      <x:c r="A3838" s="2" t="str">
        <x:v>L003834</x:v>
      </x:c>
      <x:c r="B3838" s="2" t="str">
        <x:v>O01563</x:v>
      </x:c>
      <x:c r="C3838" s="7" t="n">
        <x:v>45728</x:v>
      </x:c>
      <x:c r="D3838" s="2" t="str">
        <x:v>Completed</x:v>
      </x:c>
      <x:c r="E3838" s="2" t="str">
        <x:v>West</x:v>
      </x:c>
      <x:c r="F3838" s="2" t="str">
        <x:v>Store</x:v>
      </x:c>
      <x:c r="G3838" s="2" t="str">
        <x:v>Lighting</x:v>
      </x:c>
      <x:c r="H3838" s="2" t="str">
        <x:v>Lamp 017</x:v>
      </x:c>
      <x:c r="I3838" s="11" t="n">
        <x:v>4</x:v>
      </x:c>
      <x:c r="J3838" s="9" t="n">
        <x:v>300</x:v>
      </x:c>
      <x:c r="K3838" s="10" t="n">
        <x:v>0</x:v>
      </x:c>
      <x:c r="L3838" s="11" t="n">
        <x:v>0</x:v>
      </x:c>
      <x:c r="M3838" s="9" t="n">
        <x:f>IF(D3838="Completed",I3838*J3838,0)</x:f>
        <x:v>1200</x:v>
      </x:c>
      <x:c r="N3838" s="9" t="n">
        <x:f>M3838*K3838</x:f>
        <x:v>0</x:v>
      </x:c>
      <x:c r="O3838" s="9" t="n">
        <x:f>M3838-N3838</x:f>
        <x:v>1200</x:v>
      </x:c>
      <x:c r="P3838" s="9" t="n">
        <x:f>IF(D3838="Completed",L3838*J3838*(1-K3838),0)</x:f>
        <x:v>0</x:v>
      </x:c>
      <x:c r="Q3838" s="9" t="n">
        <x:f>O3838-P3838</x:f>
        <x:v>1200</x:v>
      </x:c>
      <x:c r="R3838" s="11" t="n">
        <x:f>IF(D3838="Completed",I3838,0)</x:f>
        <x:v>4</x:v>
      </x:c>
      <x:c r="S3838" s="11" t="n">
        <x:f>IF(D3838="Completed",L3838,0)</x:f>
        <x:v>0</x:v>
      </x:c>
      <x:c r="T3838" s="8" t="n">
        <x:f>DATE(YEAR(C3838),MONTH(C3838),1)</x:f>
        <x:v>45717</x:v>
      </x:c>
    </x:row>
    <x:row r="3839" ht="22" customHeight="1">
      <x:c r="A3839" s="2" t="str">
        <x:v>L003835</x:v>
      </x:c>
      <x:c r="B3839" s="2" t="str">
        <x:v>O01563</x:v>
      </x:c>
      <x:c r="C3839" s="7" t="n">
        <x:v>45728</x:v>
      </x:c>
      <x:c r="D3839" s="2" t="str">
        <x:v>Completed</x:v>
      </x:c>
      <x:c r="E3839" s="2" t="str">
        <x:v>West</x:v>
      </x:c>
      <x:c r="F3839" s="2" t="str">
        <x:v>Store</x:v>
      </x:c>
      <x:c r="G3839" s="2" t="str">
        <x:v>Furniture</x:v>
      </x:c>
      <x:c r="H3839" s="2" t="str">
        <x:v>Desk 020</x:v>
      </x:c>
      <x:c r="I3839" s="11" t="n">
        <x:v>5</x:v>
      </x:c>
      <x:c r="J3839" s="9" t="n">
        <x:v>189</x:v>
      </x:c>
      <x:c r="K3839" s="10" t="n">
        <x:v>0.1</x:v>
      </x:c>
      <x:c r="L3839" s="11" t="n">
        <x:v>0</x:v>
      </x:c>
      <x:c r="M3839" s="9" t="n">
        <x:f>IF(D3839="Completed",I3839*J3839,0)</x:f>
        <x:v>945</x:v>
      </x:c>
      <x:c r="N3839" s="9" t="n">
        <x:f>M3839*K3839</x:f>
        <x:v>94.5</x:v>
      </x:c>
      <x:c r="O3839" s="9" t="n">
        <x:f>M3839-N3839</x:f>
        <x:v>850.5</x:v>
      </x:c>
      <x:c r="P3839" s="9" t="n">
        <x:f>IF(D3839="Completed",L3839*J3839*(1-K3839),0)</x:f>
        <x:v>0</x:v>
      </x:c>
      <x:c r="Q3839" s="9" t="n">
        <x:f>O3839-P3839</x:f>
        <x:v>850.5</x:v>
      </x:c>
      <x:c r="R3839" s="11" t="n">
        <x:f>IF(D3839="Completed",I3839,0)</x:f>
        <x:v>5</x:v>
      </x:c>
      <x:c r="S3839" s="11" t="n">
        <x:f>IF(D3839="Completed",L3839,0)</x:f>
        <x:v>0</x:v>
      </x:c>
      <x:c r="T3839" s="8" t="n">
        <x:f>DATE(YEAR(C3839),MONTH(C3839),1)</x:f>
        <x:v>45717</x:v>
      </x:c>
    </x:row>
    <x:row r="3840" ht="22" customHeight="1">
      <x:c r="A3840" s="2" t="str">
        <x:v>L003836</x:v>
      </x:c>
      <x:c r="B3840" s="2" t="str">
        <x:v>O01564</x:v>
      </x:c>
      <x:c r="C3840" s="7" t="n">
        <x:v>45815</x:v>
      </x:c>
      <x:c r="D3840" s="2" t="str">
        <x:v>Completed</x:v>
      </x:c>
      <x:c r="E3840" s="2" t="str">
        <x:v>North</x:v>
      </x:c>
      <x:c r="F3840" s="2" t="str">
        <x:v>Store</x:v>
      </x:c>
      <x:c r="G3840" s="2" t="str">
        <x:v>Storage</x:v>
      </x:c>
      <x:c r="H3840" s="2" t="str">
        <x:v>Shelf 003</x:v>
      </x:c>
      <x:c r="I3840" s="11" t="n">
        <x:v>1</x:v>
      </x:c>
      <x:c r="J3840" s="9" t="n">
        <x:v>199</x:v>
      </x:c>
      <x:c r="K3840" s="10" t="n">
        <x:v>0</x:v>
      </x:c>
      <x:c r="L3840" s="11" t="n">
        <x:v>1</x:v>
      </x:c>
      <x:c r="M3840" s="9" t="n">
        <x:f>IF(D3840="Completed",I3840*J3840,0)</x:f>
        <x:v>199</x:v>
      </x:c>
      <x:c r="N3840" s="9" t="n">
        <x:f>M3840*K3840</x:f>
        <x:v>0</x:v>
      </x:c>
      <x:c r="O3840" s="9" t="n">
        <x:f>M3840-N3840</x:f>
        <x:v>199</x:v>
      </x:c>
      <x:c r="P3840" s="9" t="n">
        <x:f>IF(D3840="Completed",L3840*J3840*(1-K3840),0)</x:f>
        <x:v>199</x:v>
      </x:c>
      <x:c r="Q3840" s="9" t="n">
        <x:f>O3840-P3840</x:f>
        <x:v>0</x:v>
      </x:c>
      <x:c r="R3840" s="11" t="n">
        <x:f>IF(D3840="Completed",I3840,0)</x:f>
        <x:v>1</x:v>
      </x:c>
      <x:c r="S3840" s="11" t="n">
        <x:f>IF(D3840="Completed",L3840,0)</x:f>
        <x:v>1</x:v>
      </x:c>
      <x:c r="T3840" s="8" t="n">
        <x:f>DATE(YEAR(C3840),MONTH(C3840),1)</x:f>
        <x:v>45809</x:v>
      </x:c>
    </x:row>
    <x:row r="3841" ht="22" customHeight="1">
      <x:c r="A3841" s="2" t="str">
        <x:v>L003837</x:v>
      </x:c>
      <x:c r="B3841" s="2" t="str">
        <x:v>O01564</x:v>
      </x:c>
      <x:c r="C3841" s="7" t="n">
        <x:v>45815</x:v>
      </x:c>
      <x:c r="D3841" s="2" t="str">
        <x:v>Completed</x:v>
      </x:c>
      <x:c r="E3841" s="2" t="str">
        <x:v>North</x:v>
      </x:c>
      <x:c r="F3841" s="2" t="str">
        <x:v>Store</x:v>
      </x:c>
      <x:c r="G3841" s="2" t="str">
        <x:v>Lighting</x:v>
      </x:c>
      <x:c r="H3841" s="2" t="str">
        <x:v>Lamp 021</x:v>
      </x:c>
      <x:c r="I3841" s="11" t="n">
        <x:v>4</x:v>
      </x:c>
      <x:c r="J3841" s="9" t="n">
        <x:v>249</x:v>
      </x:c>
      <x:c r="K3841" s="10" t="n">
        <x:v>0.1</x:v>
      </x:c>
      <x:c r="L3841" s="11" t="n">
        <x:v>0</x:v>
      </x:c>
      <x:c r="M3841" s="9" t="n">
        <x:f>IF(D3841="Completed",I3841*J3841,0)</x:f>
        <x:v>996</x:v>
      </x:c>
      <x:c r="N3841" s="9" t="n">
        <x:f>M3841*K3841</x:f>
        <x:v>99.60000000000001</x:v>
      </x:c>
      <x:c r="O3841" s="9" t="n">
        <x:f>M3841-N3841</x:f>
        <x:v>896.4</x:v>
      </x:c>
      <x:c r="P3841" s="9" t="n">
        <x:f>IF(D3841="Completed",L3841*J3841*(1-K3841),0)</x:f>
        <x:v>0</x:v>
      </x:c>
      <x:c r="Q3841" s="9" t="n">
        <x:f>O3841-P3841</x:f>
        <x:v>896.4</x:v>
      </x:c>
      <x:c r="R3841" s="11" t="n">
        <x:f>IF(D3841="Completed",I3841,0)</x:f>
        <x:v>4</x:v>
      </x:c>
      <x:c r="S3841" s="11" t="n">
        <x:f>IF(D3841="Completed",L3841,0)</x:f>
        <x:v>0</x:v>
      </x:c>
      <x:c r="T3841" s="8" t="n">
        <x:f>DATE(YEAR(C3841),MONTH(C3841),1)</x:f>
        <x:v>45809</x:v>
      </x:c>
    </x:row>
    <x:row r="3842" ht="22" customHeight="1">
      <x:c r="A3842" s="2" t="str">
        <x:v>L003838</x:v>
      </x:c>
      <x:c r="B3842" s="2" t="str">
        <x:v>O01564</x:v>
      </x:c>
      <x:c r="C3842" s="7" t="n">
        <x:v>45815</x:v>
      </x:c>
      <x:c r="D3842" s="2" t="str">
        <x:v>Completed</x:v>
      </x:c>
      <x:c r="E3842" s="2" t="str">
        <x:v>North</x:v>
      </x:c>
      <x:c r="F3842" s="2" t="str">
        <x:v>Store</x:v>
      </x:c>
      <x:c r="G3842" s="2" t="str">
        <x:v>Furniture</x:v>
      </x:c>
      <x:c r="H3842" s="2" t="str">
        <x:v>Desk 020</x:v>
      </x:c>
      <x:c r="I3842" s="11" t="n">
        <x:v>5</x:v>
      </x:c>
      <x:c r="J3842" s="9" t="n">
        <x:v>189</x:v>
      </x:c>
      <x:c r="K3842" s="10" t="n">
        <x:v>0.1</x:v>
      </x:c>
      <x:c r="L3842" s="11" t="n">
        <x:v>0</x:v>
      </x:c>
      <x:c r="M3842" s="9" t="n">
        <x:f>IF(D3842="Completed",I3842*J3842,0)</x:f>
        <x:v>945</x:v>
      </x:c>
      <x:c r="N3842" s="9" t="n">
        <x:f>M3842*K3842</x:f>
        <x:v>94.5</x:v>
      </x:c>
      <x:c r="O3842" s="9" t="n">
        <x:f>M3842-N3842</x:f>
        <x:v>850.5</x:v>
      </x:c>
      <x:c r="P3842" s="9" t="n">
        <x:f>IF(D3842="Completed",L3842*J3842*(1-K3842),0)</x:f>
        <x:v>0</x:v>
      </x:c>
      <x:c r="Q3842" s="9" t="n">
        <x:f>O3842-P3842</x:f>
        <x:v>850.5</x:v>
      </x:c>
      <x:c r="R3842" s="11" t="n">
        <x:f>IF(D3842="Completed",I3842,0)</x:f>
        <x:v>5</x:v>
      </x:c>
      <x:c r="S3842" s="11" t="n">
        <x:f>IF(D3842="Completed",L3842,0)</x:f>
        <x:v>0</x:v>
      </x:c>
      <x:c r="T3842" s="8" t="n">
        <x:f>DATE(YEAR(C3842),MONTH(C3842),1)</x:f>
        <x:v>45809</x:v>
      </x:c>
    </x:row>
    <x:row r="3843" ht="22" customHeight="1">
      <x:c r="A3843" s="2" t="str">
        <x:v>L003839</x:v>
      </x:c>
      <x:c r="B3843" s="2" t="str">
        <x:v>O01564</x:v>
      </x:c>
      <x:c r="C3843" s="7" t="n">
        <x:v>45815</x:v>
      </x:c>
      <x:c r="D3843" s="2" t="str">
        <x:v>Completed</x:v>
      </x:c>
      <x:c r="E3843" s="2" t="str">
        <x:v>North</x:v>
      </x:c>
      <x:c r="F3843" s="2" t="str">
        <x:v>Store</x:v>
      </x:c>
      <x:c r="G3843" s="2" t="str">
        <x:v>Furniture</x:v>
      </x:c>
      <x:c r="H3843" s="2" t="str">
        <x:v>Chair 014</x:v>
      </x:c>
      <x:c r="I3843" s="11" t="n">
        <x:v>2</x:v>
      </x:c>
      <x:c r="J3843" s="9" t="n">
        <x:v>294</x:v>
      </x:c>
      <x:c r="K3843" s="10" t="n">
        <x:v>0.1</x:v>
      </x:c>
      <x:c r="L3843" s="11" t="n">
        <x:v>0</x:v>
      </x:c>
      <x:c r="M3843" s="9" t="n">
        <x:f>IF(D3843="Completed",I3843*J3843,0)</x:f>
        <x:v>588</x:v>
      </x:c>
      <x:c r="N3843" s="9" t="n">
        <x:f>M3843*K3843</x:f>
        <x:v>58.800000000000004</x:v>
      </x:c>
      <x:c r="O3843" s="9" t="n">
        <x:f>M3843-N3843</x:f>
        <x:v>529.2</x:v>
      </x:c>
      <x:c r="P3843" s="9" t="n">
        <x:f>IF(D3843="Completed",L3843*J3843*(1-K3843),0)</x:f>
        <x:v>0</x:v>
      </x:c>
      <x:c r="Q3843" s="9" t="n">
        <x:f>O3843-P3843</x:f>
        <x:v>529.2</x:v>
      </x:c>
      <x:c r="R3843" s="11" t="n">
        <x:f>IF(D3843="Completed",I3843,0)</x:f>
        <x:v>2</x:v>
      </x:c>
      <x:c r="S3843" s="11" t="n">
        <x:f>IF(D3843="Completed",L3843,0)</x:f>
        <x:v>0</x:v>
      </x:c>
      <x:c r="T3843" s="8" t="n">
        <x:f>DATE(YEAR(C3843),MONTH(C3843),1)</x:f>
        <x:v>45809</x:v>
      </x:c>
    </x:row>
    <x:row r="3844" ht="22" customHeight="1">
      <x:c r="A3844" s="2" t="str">
        <x:v>L003840</x:v>
      </x:c>
      <x:c r="B3844" s="2" t="str">
        <x:v>O01565</x:v>
      </x:c>
      <x:c r="C3844" s="7" t="n">
        <x:v>45995</x:v>
      </x:c>
      <x:c r="D3844" s="2" t="str">
        <x:v>Completed</x:v>
      </x:c>
      <x:c r="E3844" s="2" t="str">
        <x:v>South</x:v>
      </x:c>
      <x:c r="F3844" s="2" t="str">
        <x:v>Store</x:v>
      </x:c>
      <x:c r="G3844" s="2" t="str">
        <x:v>Furniture</x:v>
      </x:c>
      <x:c r="H3844" s="2" t="str">
        <x:v>Chair 006</x:v>
      </x:c>
      <x:c r="I3844" s="11" t="n">
        <x:v>5</x:v>
      </x:c>
      <x:c r="J3844" s="9" t="n">
        <x:v>196</x:v>
      </x:c>
      <x:c r="K3844" s="10" t="n">
        <x:v>0.05</x:v>
      </x:c>
      <x:c r="L3844" s="11" t="n">
        <x:v>0</x:v>
      </x:c>
      <x:c r="M3844" s="9" t="n">
        <x:f>IF(D3844="Completed",I3844*J3844,0)</x:f>
        <x:v>980</x:v>
      </x:c>
      <x:c r="N3844" s="9" t="n">
        <x:f>M3844*K3844</x:f>
        <x:v>49</x:v>
      </x:c>
      <x:c r="O3844" s="9" t="n">
        <x:f>M3844-N3844</x:f>
        <x:v>931</x:v>
      </x:c>
      <x:c r="P3844" s="9" t="n">
        <x:f>IF(D3844="Completed",L3844*J3844*(1-K3844),0)</x:f>
        <x:v>0</x:v>
      </x:c>
      <x:c r="Q3844" s="9" t="n">
        <x:f>O3844-P3844</x:f>
        <x:v>931</x:v>
      </x:c>
      <x:c r="R3844" s="11" t="n">
        <x:f>IF(D3844="Completed",I3844,0)</x:f>
        <x:v>5</x:v>
      </x:c>
      <x:c r="S3844" s="11" t="n">
        <x:f>IF(D3844="Completed",L3844,0)</x:f>
        <x:v>0</x:v>
      </x:c>
      <x:c r="T3844" s="8" t="n">
        <x:f>DATE(YEAR(C3844),MONTH(C3844),1)</x:f>
        <x:v>45992</x:v>
      </x:c>
    </x:row>
    <x:row r="3845" ht="22" customHeight="1">
      <x:c r="A3845" s="2" t="str">
        <x:v>L003841</x:v>
      </x:c>
      <x:c r="B3845" s="2" t="str">
        <x:v>O01565</x:v>
      </x:c>
      <x:c r="C3845" s="7" t="n">
        <x:v>45995</x:v>
      </x:c>
      <x:c r="D3845" s="2" t="str">
        <x:v>Completed</x:v>
      </x:c>
      <x:c r="E3845" s="2" t="str">
        <x:v>South</x:v>
      </x:c>
      <x:c r="F3845" s="2" t="str">
        <x:v>Store</x:v>
      </x:c>
      <x:c r="G3845" s="2" t="str">
        <x:v>Furniture</x:v>
      </x:c>
      <x:c r="H3845" s="2" t="str">
        <x:v>Desk 008</x:v>
      </x:c>
      <x:c r="I3845" s="11" t="n">
        <x:v>2</x:v>
      </x:c>
      <x:c r="J3845" s="9" t="n">
        <x:v>188</x:v>
      </x:c>
      <x:c r="K3845" s="10" t="n">
        <x:v>0</x:v>
      </x:c>
      <x:c r="L3845" s="11" t="n">
        <x:v>1</x:v>
      </x:c>
      <x:c r="M3845" s="9" t="n">
        <x:f>IF(D3845="Completed",I3845*J3845,0)</x:f>
        <x:v>376</x:v>
      </x:c>
      <x:c r="N3845" s="9" t="n">
        <x:f>M3845*K3845</x:f>
        <x:v>0</x:v>
      </x:c>
      <x:c r="O3845" s="9" t="n">
        <x:f>M3845-N3845</x:f>
        <x:v>376</x:v>
      </x:c>
      <x:c r="P3845" s="9" t="n">
        <x:f>IF(D3845="Completed",L3845*J3845*(1-K3845),0)</x:f>
        <x:v>188</x:v>
      </x:c>
      <x:c r="Q3845" s="9" t="n">
        <x:f>O3845-P3845</x:f>
        <x:v>188</x:v>
      </x:c>
      <x:c r="R3845" s="11" t="n">
        <x:f>IF(D3845="Completed",I3845,0)</x:f>
        <x:v>2</x:v>
      </x:c>
      <x:c r="S3845" s="11" t="n">
        <x:f>IF(D3845="Completed",L3845,0)</x:f>
        <x:v>1</x:v>
      </x:c>
      <x:c r="T3845" s="8" t="n">
        <x:f>DATE(YEAR(C3845),MONTH(C3845),1)</x:f>
        <x:v>45992</x:v>
      </x:c>
    </x:row>
    <x:row r="3846" ht="22" customHeight="1">
      <x:c r="A3846" s="2" t="str">
        <x:v>L003842</x:v>
      </x:c>
      <x:c r="B3846" s="2" t="str">
        <x:v>O01566</x:v>
      </x:c>
      <x:c r="C3846" s="7" t="n">
        <x:v>45839</x:v>
      </x:c>
      <x:c r="D3846" s="2" t="str">
        <x:v>Completed</x:v>
      </x:c>
      <x:c r="E3846" s="2" t="str">
        <x:v>South</x:v>
      </x:c>
      <x:c r="F3846" s="2" t="str">
        <x:v>Store</x:v>
      </x:c>
      <x:c r="G3846" s="2" t="str">
        <x:v>Furniture</x:v>
      </x:c>
      <x:c r="H3846" s="2" t="str">
        <x:v>Desk 008</x:v>
      </x:c>
      <x:c r="I3846" s="11" t="n">
        <x:v>1</x:v>
      </x:c>
      <x:c r="J3846" s="9" t="n">
        <x:v>188</x:v>
      </x:c>
      <x:c r="K3846" s="10" t="n">
        <x:v>0.2</x:v>
      </x:c>
      <x:c r="L3846" s="11" t="n">
        <x:v>0</x:v>
      </x:c>
      <x:c r="M3846" s="9" t="n">
        <x:f>IF(D3846="Completed",I3846*J3846,0)</x:f>
        <x:v>188</x:v>
      </x:c>
      <x:c r="N3846" s="9" t="n">
        <x:f>M3846*K3846</x:f>
        <x:v>37.6</x:v>
      </x:c>
      <x:c r="O3846" s="9" t="n">
        <x:f>M3846-N3846</x:f>
        <x:v>150.4</x:v>
      </x:c>
      <x:c r="P3846" s="9" t="n">
        <x:f>IF(D3846="Completed",L3846*J3846*(1-K3846),0)</x:f>
        <x:v>0</x:v>
      </x:c>
      <x:c r="Q3846" s="9" t="n">
        <x:f>O3846-P3846</x:f>
        <x:v>150.4</x:v>
      </x:c>
      <x:c r="R3846" s="11" t="n">
        <x:f>IF(D3846="Completed",I3846,0)</x:f>
        <x:v>1</x:v>
      </x:c>
      <x:c r="S3846" s="11" t="n">
        <x:f>IF(D3846="Completed",L3846,0)</x:f>
        <x:v>0</x:v>
      </x:c>
      <x:c r="T3846" s="8" t="n">
        <x:f>DATE(YEAR(C3846),MONTH(C3846),1)</x:f>
        <x:v>45839</x:v>
      </x:c>
    </x:row>
    <x:row r="3847" ht="22" customHeight="1">
      <x:c r="A3847" s="2" t="str">
        <x:v>L003843</x:v>
      </x:c>
      <x:c r="B3847" s="2" t="str">
        <x:v>O01566</x:v>
      </x:c>
      <x:c r="C3847" s="7" t="n">
        <x:v>45839</x:v>
      </x:c>
      <x:c r="D3847" s="2" t="str">
        <x:v>Completed</x:v>
      </x:c>
      <x:c r="E3847" s="2" t="str">
        <x:v>South</x:v>
      </x:c>
      <x:c r="F3847" s="2" t="str">
        <x:v>Store</x:v>
      </x:c>
      <x:c r="G3847" s="2" t="str">
        <x:v>Storage</x:v>
      </x:c>
      <x:c r="H3847" s="2" t="str">
        <x:v>Shelf 019</x:v>
      </x:c>
      <x:c r="I3847" s="11" t="n">
        <x:v>5</x:v>
      </x:c>
      <x:c r="J3847" s="9" t="n">
        <x:v>78</x:v>
      </x:c>
      <x:c r="K3847" s="10" t="n">
        <x:v>0.2</x:v>
      </x:c>
      <x:c r="L3847" s="11" t="n">
        <x:v>0</x:v>
      </x:c>
      <x:c r="M3847" s="9" t="n">
        <x:f>IF(D3847="Completed",I3847*J3847,0)</x:f>
        <x:v>390</x:v>
      </x:c>
      <x:c r="N3847" s="9" t="n">
        <x:f>M3847*K3847</x:f>
        <x:v>78</x:v>
      </x:c>
      <x:c r="O3847" s="9" t="n">
        <x:f>M3847-N3847</x:f>
        <x:v>312</x:v>
      </x:c>
      <x:c r="P3847" s="9" t="n">
        <x:f>IF(D3847="Completed",L3847*J3847*(1-K3847),0)</x:f>
        <x:v>0</x:v>
      </x:c>
      <x:c r="Q3847" s="9" t="n">
        <x:f>O3847-P3847</x:f>
        <x:v>312</x:v>
      </x:c>
      <x:c r="R3847" s="11" t="n">
        <x:f>IF(D3847="Completed",I3847,0)</x:f>
        <x:v>5</x:v>
      </x:c>
      <x:c r="S3847" s="11" t="n">
        <x:f>IF(D3847="Completed",L3847,0)</x:f>
        <x:v>0</x:v>
      </x:c>
      <x:c r="T3847" s="8" t="n">
        <x:f>DATE(YEAR(C3847),MONTH(C3847),1)</x:f>
        <x:v>45839</x:v>
      </x:c>
    </x:row>
    <x:row r="3848" ht="22" customHeight="1">
      <x:c r="A3848" s="2" t="str">
        <x:v>L003844</x:v>
      </x:c>
      <x:c r="B3848" s="2" t="str">
        <x:v>O01566</x:v>
      </x:c>
      <x:c r="C3848" s="7" t="n">
        <x:v>45839</x:v>
      </x:c>
      <x:c r="D3848" s="2" t="str">
        <x:v>Completed</x:v>
      </x:c>
      <x:c r="E3848" s="2" t="str">
        <x:v>South</x:v>
      </x:c>
      <x:c r="F3848" s="2" t="str">
        <x:v>Store</x:v>
      </x:c>
      <x:c r="G3848" s="2" t="str">
        <x:v>Storage</x:v>
      </x:c>
      <x:c r="H3848" s="2" t="str">
        <x:v>Shelf 019</x:v>
      </x:c>
      <x:c r="I3848" s="11" t="n">
        <x:v>1</x:v>
      </x:c>
      <x:c r="J3848" s="9" t="n">
        <x:v>78</x:v>
      </x:c>
      <x:c r="K3848" s="10" t="n">
        <x:v>0.05</x:v>
      </x:c>
      <x:c r="L3848" s="11" t="n">
        <x:v>0</x:v>
      </x:c>
      <x:c r="M3848" s="9" t="n">
        <x:f>IF(D3848="Completed",I3848*J3848,0)</x:f>
        <x:v>78</x:v>
      </x:c>
      <x:c r="N3848" s="9" t="n">
        <x:f>M3848*K3848</x:f>
        <x:v>3.9000000000000004</x:v>
      </x:c>
      <x:c r="O3848" s="9" t="n">
        <x:f>M3848-N3848</x:f>
        <x:v>74.1</x:v>
      </x:c>
      <x:c r="P3848" s="9" t="n">
        <x:f>IF(D3848="Completed",L3848*J3848*(1-K3848),0)</x:f>
        <x:v>0</x:v>
      </x:c>
      <x:c r="Q3848" s="9" t="n">
        <x:f>O3848-P3848</x:f>
        <x:v>74.1</x:v>
      </x:c>
      <x:c r="R3848" s="11" t="n">
        <x:f>IF(D3848="Completed",I3848,0)</x:f>
        <x:v>1</x:v>
      </x:c>
      <x:c r="S3848" s="11" t="n">
        <x:f>IF(D3848="Completed",L3848,0)</x:f>
        <x:v>0</x:v>
      </x:c>
      <x:c r="T3848" s="8" t="n">
        <x:f>DATE(YEAR(C3848),MONTH(C3848),1)</x:f>
        <x:v>45839</x:v>
      </x:c>
    </x:row>
    <x:row r="3849" ht="22" customHeight="1">
      <x:c r="A3849" s="2" t="str">
        <x:v>L003845</x:v>
      </x:c>
      <x:c r="B3849" s="2" t="str">
        <x:v>O01566</x:v>
      </x:c>
      <x:c r="C3849" s="7" t="n">
        <x:v>45839</x:v>
      </x:c>
      <x:c r="D3849" s="2" t="str">
        <x:v>Completed</x:v>
      </x:c>
      <x:c r="E3849" s="2" t="str">
        <x:v>South</x:v>
      </x:c>
      <x:c r="F3849" s="2" t="str">
        <x:v>Store</x:v>
      </x:c>
      <x:c r="G3849" s="2" t="str">
        <x:v>Furniture</x:v>
      </x:c>
      <x:c r="H3849" s="2" t="str">
        <x:v>Chair 010</x:v>
      </x:c>
      <x:c r="I3849" s="11" t="n">
        <x:v>3</x:v>
      </x:c>
      <x:c r="J3849" s="9" t="n">
        <x:v>211</x:v>
      </x:c>
      <x:c r="K3849" s="10" t="n">
        <x:v>0.1</x:v>
      </x:c>
      <x:c r="L3849" s="11" t="n">
        <x:v>0</x:v>
      </x:c>
      <x:c r="M3849" s="9" t="n">
        <x:f>IF(D3849="Completed",I3849*J3849,0)</x:f>
        <x:v>633</x:v>
      </x:c>
      <x:c r="N3849" s="9" t="n">
        <x:f>M3849*K3849</x:f>
        <x:v>63.300000000000004</x:v>
      </x:c>
      <x:c r="O3849" s="9" t="n">
        <x:f>M3849-N3849</x:f>
        <x:v>569.7</x:v>
      </x:c>
      <x:c r="P3849" s="9" t="n">
        <x:f>IF(D3849="Completed",L3849*J3849*(1-K3849),0)</x:f>
        <x:v>0</x:v>
      </x:c>
      <x:c r="Q3849" s="9" t="n">
        <x:f>O3849-P3849</x:f>
        <x:v>569.7</x:v>
      </x:c>
      <x:c r="R3849" s="11" t="n">
        <x:f>IF(D3849="Completed",I3849,0)</x:f>
        <x:v>3</x:v>
      </x:c>
      <x:c r="S3849" s="11" t="n">
        <x:f>IF(D3849="Completed",L3849,0)</x:f>
        <x:v>0</x:v>
      </x:c>
      <x:c r="T3849" s="8" t="n">
        <x:f>DATE(YEAR(C3849),MONTH(C3849),1)</x:f>
        <x:v>45839</x:v>
      </x:c>
    </x:row>
    <x:row r="3850" ht="22" customHeight="1">
      <x:c r="A3850" s="2" t="str">
        <x:v>L003846</x:v>
      </x:c>
      <x:c r="B3850" s="2" t="str">
        <x:v>O01567</x:v>
      </x:c>
      <x:c r="C3850" s="7" t="n">
        <x:v>45836</x:v>
      </x:c>
      <x:c r="D3850" s="2" t="str">
        <x:v>Completed</x:v>
      </x:c>
      <x:c r="E3850" s="2" t="str">
        <x:v>North</x:v>
      </x:c>
      <x:c r="F3850" s="2" t="str">
        <x:v>Store</x:v>
      </x:c>
      <x:c r="G3850" s="2" t="str">
        <x:v>Furniture</x:v>
      </x:c>
      <x:c r="H3850" s="2" t="str">
        <x:v>Desk 020</x:v>
      </x:c>
      <x:c r="I3850" s="11" t="n">
        <x:v>3</x:v>
      </x:c>
      <x:c r="J3850" s="9" t="n">
        <x:v>189</x:v>
      </x:c>
      <x:c r="K3850" s="10" t="n">
        <x:v>0.1</x:v>
      </x:c>
      <x:c r="L3850" s="11" t="n">
        <x:v>0</x:v>
      </x:c>
      <x:c r="M3850" s="9" t="n">
        <x:f>IF(D3850="Completed",I3850*J3850,0)</x:f>
        <x:v>567</x:v>
      </x:c>
      <x:c r="N3850" s="9" t="n">
        <x:f>M3850*K3850</x:f>
        <x:v>56.7</x:v>
      </x:c>
      <x:c r="O3850" s="9" t="n">
        <x:f>M3850-N3850</x:f>
        <x:v>510.3</x:v>
      </x:c>
      <x:c r="P3850" s="9" t="n">
        <x:f>IF(D3850="Completed",L3850*J3850*(1-K3850),0)</x:f>
        <x:v>0</x:v>
      </x:c>
      <x:c r="Q3850" s="9" t="n">
        <x:f>O3850-P3850</x:f>
        <x:v>510.3</x:v>
      </x:c>
      <x:c r="R3850" s="11" t="n">
        <x:f>IF(D3850="Completed",I3850,0)</x:f>
        <x:v>3</x:v>
      </x:c>
      <x:c r="S3850" s="11" t="n">
        <x:f>IF(D3850="Completed",L3850,0)</x:f>
        <x:v>0</x:v>
      </x:c>
      <x:c r="T3850" s="8" t="n">
        <x:f>DATE(YEAR(C3850),MONTH(C3850),1)</x:f>
        <x:v>45809</x:v>
      </x:c>
    </x:row>
    <x:row r="3851" ht="22" customHeight="1">
      <x:c r="A3851" s="2" t="str">
        <x:v>L003847</x:v>
      </x:c>
      <x:c r="B3851" s="2" t="str">
        <x:v>O01567</x:v>
      </x:c>
      <x:c r="C3851" s="7" t="n">
        <x:v>45836</x:v>
      </x:c>
      <x:c r="D3851" s="2" t="str">
        <x:v>Completed</x:v>
      </x:c>
      <x:c r="E3851" s="2" t="str">
        <x:v>North</x:v>
      </x:c>
      <x:c r="F3851" s="2" t="str">
        <x:v>Store</x:v>
      </x:c>
      <x:c r="G3851" s="2" t="str">
        <x:v>Lighting</x:v>
      </x:c>
      <x:c r="H3851" s="2" t="str">
        <x:v>Lamp 001</x:v>
      </x:c>
      <x:c r="I3851" s="11" t="n">
        <x:v>2</x:v>
      </x:c>
      <x:c r="J3851" s="9" t="n">
        <x:v>122</x:v>
      </x:c>
      <x:c r="K3851" s="10" t="n">
        <x:v>0.2</x:v>
      </x:c>
      <x:c r="L3851" s="11" t="n">
        <x:v>0</x:v>
      </x:c>
      <x:c r="M3851" s="9" t="n">
        <x:f>IF(D3851="Completed",I3851*J3851,0)</x:f>
        <x:v>244</x:v>
      </x:c>
      <x:c r="N3851" s="9" t="n">
        <x:f>M3851*K3851</x:f>
        <x:v>48.800000000000004</x:v>
      </x:c>
      <x:c r="O3851" s="9" t="n">
        <x:f>M3851-N3851</x:f>
        <x:v>195.2</x:v>
      </x:c>
      <x:c r="P3851" s="9" t="n">
        <x:f>IF(D3851="Completed",L3851*J3851*(1-K3851),0)</x:f>
        <x:v>0</x:v>
      </x:c>
      <x:c r="Q3851" s="9" t="n">
        <x:f>O3851-P3851</x:f>
        <x:v>195.2</x:v>
      </x:c>
      <x:c r="R3851" s="11" t="n">
        <x:f>IF(D3851="Completed",I3851,0)</x:f>
        <x:v>2</x:v>
      </x:c>
      <x:c r="S3851" s="11" t="n">
        <x:f>IF(D3851="Completed",L3851,0)</x:f>
        <x:v>0</x:v>
      </x:c>
      <x:c r="T3851" s="8" t="n">
        <x:f>DATE(YEAR(C3851),MONTH(C3851),1)</x:f>
        <x:v>45809</x:v>
      </x:c>
    </x:row>
    <x:row r="3852" ht="22" customHeight="1">
      <x:c r="A3852" s="2" t="str">
        <x:v>L003848</x:v>
      </x:c>
      <x:c r="B3852" s="2" t="str">
        <x:v>O01567</x:v>
      </x:c>
      <x:c r="C3852" s="7" t="n">
        <x:v>45836</x:v>
      </x:c>
      <x:c r="D3852" s="2" t="str">
        <x:v>Completed</x:v>
      </x:c>
      <x:c r="E3852" s="2" t="str">
        <x:v>North</x:v>
      </x:c>
      <x:c r="F3852" s="2" t="str">
        <x:v>Store</x:v>
      </x:c>
      <x:c r="G3852" s="2" t="str">
        <x:v>Furniture</x:v>
      </x:c>
      <x:c r="H3852" s="2" t="str">
        <x:v>Desk 020</x:v>
      </x:c>
      <x:c r="I3852" s="11" t="n">
        <x:v>2</x:v>
      </x:c>
      <x:c r="J3852" s="9" t="n">
        <x:v>189</x:v>
      </x:c>
      <x:c r="K3852" s="10" t="n">
        <x:v>0.2</x:v>
      </x:c>
      <x:c r="L3852" s="11" t="n">
        <x:v>0</x:v>
      </x:c>
      <x:c r="M3852" s="9" t="n">
        <x:f>IF(D3852="Completed",I3852*J3852,0)</x:f>
        <x:v>378</x:v>
      </x:c>
      <x:c r="N3852" s="9" t="n">
        <x:f>M3852*K3852</x:f>
        <x:v>75.60000000000001</x:v>
      </x:c>
      <x:c r="O3852" s="9" t="n">
        <x:f>M3852-N3852</x:f>
        <x:v>302.4</x:v>
      </x:c>
      <x:c r="P3852" s="9" t="n">
        <x:f>IF(D3852="Completed",L3852*J3852*(1-K3852),0)</x:f>
        <x:v>0</x:v>
      </x:c>
      <x:c r="Q3852" s="9" t="n">
        <x:f>O3852-P3852</x:f>
        <x:v>302.4</x:v>
      </x:c>
      <x:c r="R3852" s="11" t="n">
        <x:f>IF(D3852="Completed",I3852,0)</x:f>
        <x:v>2</x:v>
      </x:c>
      <x:c r="S3852" s="11" t="n">
        <x:f>IF(D3852="Completed",L3852,0)</x:f>
        <x:v>0</x:v>
      </x:c>
      <x:c r="T3852" s="8" t="n">
        <x:f>DATE(YEAR(C3852),MONTH(C3852),1)</x:f>
        <x:v>45809</x:v>
      </x:c>
    </x:row>
    <x:row r="3853" ht="22" customHeight="1">
      <x:c r="A3853" s="2" t="str">
        <x:v>L003849</x:v>
      </x:c>
      <x:c r="B3853" s="2" t="str">
        <x:v>O01567</x:v>
      </x:c>
      <x:c r="C3853" s="7" t="n">
        <x:v>45836</x:v>
      </x:c>
      <x:c r="D3853" s="2" t="str">
        <x:v>Completed</x:v>
      </x:c>
      <x:c r="E3853" s="2" t="str">
        <x:v>North</x:v>
      </x:c>
      <x:c r="F3853" s="2" t="str">
        <x:v>Store</x:v>
      </x:c>
      <x:c r="G3853" s="2" t="str">
        <x:v>Furniture</x:v>
      </x:c>
      <x:c r="H3853" s="2" t="str">
        <x:v>Chair 002</x:v>
      </x:c>
      <x:c r="I3853" s="11" t="n">
        <x:v>1</x:v>
      </x:c>
      <x:c r="J3853" s="9" t="n">
        <x:v>284</x:v>
      </x:c>
      <x:c r="K3853" s="10" t="n">
        <x:v>0.1</x:v>
      </x:c>
      <x:c r="L3853" s="11" t="n">
        <x:v>0</x:v>
      </x:c>
      <x:c r="M3853" s="9" t="n">
        <x:f>IF(D3853="Completed",I3853*J3853,0)</x:f>
        <x:v>284</x:v>
      </x:c>
      <x:c r="N3853" s="9" t="n">
        <x:f>M3853*K3853</x:f>
        <x:v>28.400000000000002</x:v>
      </x:c>
      <x:c r="O3853" s="9" t="n">
        <x:f>M3853-N3853</x:f>
        <x:v>255.6</x:v>
      </x:c>
      <x:c r="P3853" s="9" t="n">
        <x:f>IF(D3853="Completed",L3853*J3853*(1-K3853),0)</x:f>
        <x:v>0</x:v>
      </x:c>
      <x:c r="Q3853" s="9" t="n">
        <x:f>O3853-P3853</x:f>
        <x:v>255.6</x:v>
      </x:c>
      <x:c r="R3853" s="11" t="n">
        <x:f>IF(D3853="Completed",I3853,0)</x:f>
        <x:v>1</x:v>
      </x:c>
      <x:c r="S3853" s="11" t="n">
        <x:f>IF(D3853="Completed",L3853,0)</x:f>
        <x:v>0</x:v>
      </x:c>
      <x:c r="T3853" s="8" t="n">
        <x:f>DATE(YEAR(C3853),MONTH(C3853),1)</x:f>
        <x:v>45809</x:v>
      </x:c>
    </x:row>
    <x:row r="3854" ht="22" customHeight="1">
      <x:c r="A3854" s="2" t="str">
        <x:v>L003850</x:v>
      </x:c>
      <x:c r="B3854" s="2" t="str">
        <x:v>O01568</x:v>
      </x:c>
      <x:c r="C3854" s="7" t="n">
        <x:v>45820</x:v>
      </x:c>
      <x:c r="D3854" s="2" t="str">
        <x:v>Completed</x:v>
      </x:c>
      <x:c r="E3854" s="2" t="str">
        <x:v>North</x:v>
      </x:c>
      <x:c r="F3854" s="2" t="str">
        <x:v>Online</x:v>
      </x:c>
      <x:c r="G3854" s="2" t="str">
        <x:v>Storage</x:v>
      </x:c>
      <x:c r="H3854" s="2" t="str">
        <x:v>Shelf 023</x:v>
      </x:c>
      <x:c r="I3854" s="11" t="n">
        <x:v>5</x:v>
      </x:c>
      <x:c r="J3854" s="9" t="n">
        <x:v>68</x:v>
      </x:c>
      <x:c r="K3854" s="10" t="n">
        <x:v>0.2</x:v>
      </x:c>
      <x:c r="L3854" s="11" t="n">
        <x:v>0</x:v>
      </x:c>
      <x:c r="M3854" s="9" t="n">
        <x:f>IF(D3854="Completed",I3854*J3854,0)</x:f>
        <x:v>340</x:v>
      </x:c>
      <x:c r="N3854" s="9" t="n">
        <x:f>M3854*K3854</x:f>
        <x:v>68</x:v>
      </x:c>
      <x:c r="O3854" s="9" t="n">
        <x:f>M3854-N3854</x:f>
        <x:v>272</x:v>
      </x:c>
      <x:c r="P3854" s="9" t="n">
        <x:f>IF(D3854="Completed",L3854*J3854*(1-K3854),0)</x:f>
        <x:v>0</x:v>
      </x:c>
      <x:c r="Q3854" s="9" t="n">
        <x:f>O3854-P3854</x:f>
        <x:v>272</x:v>
      </x:c>
      <x:c r="R3854" s="11" t="n">
        <x:f>IF(D3854="Completed",I3854,0)</x:f>
        <x:v>5</x:v>
      </x:c>
      <x:c r="S3854" s="11" t="n">
        <x:f>IF(D3854="Completed",L3854,0)</x:f>
        <x:v>0</x:v>
      </x:c>
      <x:c r="T3854" s="8" t="n">
        <x:f>DATE(YEAR(C3854),MONTH(C3854),1)</x:f>
        <x:v>45809</x:v>
      </x:c>
    </x:row>
    <x:row r="3855" ht="22" customHeight="1">
      <x:c r="A3855" s="2" t="str">
        <x:v>L003851</x:v>
      </x:c>
      <x:c r="B3855" s="2" t="str">
        <x:v>O01568</x:v>
      </x:c>
      <x:c r="C3855" s="7" t="n">
        <x:v>45820</x:v>
      </x:c>
      <x:c r="D3855" s="2" t="str">
        <x:v>Completed</x:v>
      </x:c>
      <x:c r="E3855" s="2" t="str">
        <x:v>North</x:v>
      </x:c>
      <x:c r="F3855" s="2" t="str">
        <x:v>Online</x:v>
      </x:c>
      <x:c r="G3855" s="2" t="str">
        <x:v>Storage</x:v>
      </x:c>
      <x:c r="H3855" s="2" t="str">
        <x:v>Shelf 011</x:v>
      </x:c>
      <x:c r="I3855" s="11" t="n">
        <x:v>5</x:v>
      </x:c>
      <x:c r="J3855" s="9" t="n">
        <x:v>80</x:v>
      </x:c>
      <x:c r="K3855" s="10" t="n">
        <x:v>0.1</x:v>
      </x:c>
      <x:c r="L3855" s="11" t="n">
        <x:v>0</x:v>
      </x:c>
      <x:c r="M3855" s="9" t="n">
        <x:f>IF(D3855="Completed",I3855*J3855,0)</x:f>
        <x:v>400</x:v>
      </x:c>
      <x:c r="N3855" s="9" t="n">
        <x:f>M3855*K3855</x:f>
        <x:v>40</x:v>
      </x:c>
      <x:c r="O3855" s="9" t="n">
        <x:f>M3855-N3855</x:f>
        <x:v>360</x:v>
      </x:c>
      <x:c r="P3855" s="9" t="n">
        <x:f>IF(D3855="Completed",L3855*J3855*(1-K3855),0)</x:f>
        <x:v>0</x:v>
      </x:c>
      <x:c r="Q3855" s="9" t="n">
        <x:f>O3855-P3855</x:f>
        <x:v>360</x:v>
      </x:c>
      <x:c r="R3855" s="11" t="n">
        <x:f>IF(D3855="Completed",I3855,0)</x:f>
        <x:v>5</x:v>
      </x:c>
      <x:c r="S3855" s="11" t="n">
        <x:f>IF(D3855="Completed",L3855,0)</x:f>
        <x:v>0</x:v>
      </x:c>
      <x:c r="T3855" s="8" t="n">
        <x:f>DATE(YEAR(C3855),MONTH(C3855),1)</x:f>
        <x:v>45809</x:v>
      </x:c>
    </x:row>
    <x:row r="3856" ht="22" customHeight="1">
      <x:c r="A3856" s="2" t="str">
        <x:v>L003852</x:v>
      </x:c>
      <x:c r="B3856" s="2" t="str">
        <x:v>O01568</x:v>
      </x:c>
      <x:c r="C3856" s="7" t="n">
        <x:v>45820</x:v>
      </x:c>
      <x:c r="D3856" s="2" t="str">
        <x:v>Completed</x:v>
      </x:c>
      <x:c r="E3856" s="2" t="str">
        <x:v>North</x:v>
      </x:c>
      <x:c r="F3856" s="2" t="str">
        <x:v>Online</x:v>
      </x:c>
      <x:c r="G3856" s="2" t="str">
        <x:v>Lighting</x:v>
      </x:c>
      <x:c r="H3856" s="2" t="str">
        <x:v>Lamp 009</x:v>
      </x:c>
      <x:c r="I3856" s="11" t="n">
        <x:v>4</x:v>
      </x:c>
      <x:c r="J3856" s="9" t="n">
        <x:v>93</x:v>
      </x:c>
      <x:c r="K3856" s="10" t="n">
        <x:v>0.1</x:v>
      </x:c>
      <x:c r="L3856" s="11" t="n">
        <x:v>0</x:v>
      </x:c>
      <x:c r="M3856" s="9" t="n">
        <x:f>IF(D3856="Completed",I3856*J3856,0)</x:f>
        <x:v>372</x:v>
      </x:c>
      <x:c r="N3856" s="9" t="n">
        <x:f>M3856*K3856</x:f>
        <x:v>37.2</x:v>
      </x:c>
      <x:c r="O3856" s="9" t="n">
        <x:f>M3856-N3856</x:f>
        <x:v>334.8</x:v>
      </x:c>
      <x:c r="P3856" s="9" t="n">
        <x:f>IF(D3856="Completed",L3856*J3856*(1-K3856),0)</x:f>
        <x:v>0</x:v>
      </x:c>
      <x:c r="Q3856" s="9" t="n">
        <x:f>O3856-P3856</x:f>
        <x:v>334.8</x:v>
      </x:c>
      <x:c r="R3856" s="11" t="n">
        <x:f>IF(D3856="Completed",I3856,0)</x:f>
        <x:v>4</x:v>
      </x:c>
      <x:c r="S3856" s="11" t="n">
        <x:f>IF(D3856="Completed",L3856,0)</x:f>
        <x:v>0</x:v>
      </x:c>
      <x:c r="T3856" s="8" t="n">
        <x:f>DATE(YEAR(C3856),MONTH(C3856),1)</x:f>
        <x:v>45809</x:v>
      </x:c>
    </x:row>
    <x:row r="3857" ht="22" customHeight="1">
      <x:c r="A3857" s="2" t="str">
        <x:v>L003853</x:v>
      </x:c>
      <x:c r="B3857" s="2" t="str">
        <x:v>O01569</x:v>
      </x:c>
      <x:c r="C3857" s="7" t="n">
        <x:v>45887</x:v>
      </x:c>
      <x:c r="D3857" s="2" t="str">
        <x:v>Completed</x:v>
      </x:c>
      <x:c r="E3857" s="2" t="str">
        <x:v>North</x:v>
      </x:c>
      <x:c r="F3857" s="2" t="str">
        <x:v>Online</x:v>
      </x:c>
      <x:c r="G3857" s="2" t="str">
        <x:v>Furniture</x:v>
      </x:c>
      <x:c r="H3857" s="2" t="str">
        <x:v>Chair 014</x:v>
      </x:c>
      <x:c r="I3857" s="11" t="n">
        <x:v>2</x:v>
      </x:c>
      <x:c r="J3857" s="9" t="n">
        <x:v>294</x:v>
      </x:c>
      <x:c r="K3857" s="10" t="n">
        <x:v>0.05</x:v>
      </x:c>
      <x:c r="L3857" s="11" t="n">
        <x:v>0</x:v>
      </x:c>
      <x:c r="M3857" s="9" t="n">
        <x:f>IF(D3857="Completed",I3857*J3857,0)</x:f>
        <x:v>588</x:v>
      </x:c>
      <x:c r="N3857" s="9" t="n">
        <x:f>M3857*K3857</x:f>
        <x:v>29.400000000000002</x:v>
      </x:c>
      <x:c r="O3857" s="9" t="n">
        <x:f>M3857-N3857</x:f>
        <x:v>558.6</x:v>
      </x:c>
      <x:c r="P3857" s="9" t="n">
        <x:f>IF(D3857="Completed",L3857*J3857*(1-K3857),0)</x:f>
        <x:v>0</x:v>
      </x:c>
      <x:c r="Q3857" s="9" t="n">
        <x:f>O3857-P3857</x:f>
        <x:v>558.6</x:v>
      </x:c>
      <x:c r="R3857" s="11" t="n">
        <x:f>IF(D3857="Completed",I3857,0)</x:f>
        <x:v>2</x:v>
      </x:c>
      <x:c r="S3857" s="11" t="n">
        <x:f>IF(D3857="Completed",L3857,0)</x:f>
        <x:v>0</x:v>
      </x:c>
      <x:c r="T3857" s="8" t="n">
        <x:f>DATE(YEAR(C3857),MONTH(C3857),1)</x:f>
        <x:v>45870</x:v>
      </x:c>
    </x:row>
    <x:row r="3858" ht="22" customHeight="1">
      <x:c r="A3858" s="2" t="str">
        <x:v>L003854</x:v>
      </x:c>
      <x:c r="B3858" s="2" t="str">
        <x:v>O01569</x:v>
      </x:c>
      <x:c r="C3858" s="7" t="n">
        <x:v>45887</x:v>
      </x:c>
      <x:c r="D3858" s="2" t="str">
        <x:v>Completed</x:v>
      </x:c>
      <x:c r="E3858" s="2" t="str">
        <x:v>North</x:v>
      </x:c>
      <x:c r="F3858" s="2" t="str">
        <x:v>Online</x:v>
      </x:c>
      <x:c r="G3858" s="2" t="str">
        <x:v>Storage</x:v>
      </x:c>
      <x:c r="H3858" s="2" t="str">
        <x:v>Shelf 019</x:v>
      </x:c>
      <x:c r="I3858" s="11" t="n">
        <x:v>2</x:v>
      </x:c>
      <x:c r="J3858" s="9" t="n">
        <x:v>78</x:v>
      </x:c>
      <x:c r="K3858" s="10" t="n">
        <x:v>0.05</x:v>
      </x:c>
      <x:c r="L3858" s="11" t="n">
        <x:v>1</x:v>
      </x:c>
      <x:c r="M3858" s="9" t="n">
        <x:f>IF(D3858="Completed",I3858*J3858,0)</x:f>
        <x:v>156</x:v>
      </x:c>
      <x:c r="N3858" s="9" t="n">
        <x:f>M3858*K3858</x:f>
        <x:v>7.800000000000001</x:v>
      </x:c>
      <x:c r="O3858" s="9" t="n">
        <x:f>M3858-N3858</x:f>
        <x:v>148.2</x:v>
      </x:c>
      <x:c r="P3858" s="9" t="n">
        <x:f>IF(D3858="Completed",L3858*J3858*(1-K3858),0)</x:f>
        <x:v>74.1</x:v>
      </x:c>
      <x:c r="Q3858" s="9" t="n">
        <x:f>O3858-P3858</x:f>
        <x:v>74.1</x:v>
      </x:c>
      <x:c r="R3858" s="11" t="n">
        <x:f>IF(D3858="Completed",I3858,0)</x:f>
        <x:v>2</x:v>
      </x:c>
      <x:c r="S3858" s="11" t="n">
        <x:f>IF(D3858="Completed",L3858,0)</x:f>
        <x:v>1</x:v>
      </x:c>
      <x:c r="T3858" s="8" t="n">
        <x:f>DATE(YEAR(C3858),MONTH(C3858),1)</x:f>
        <x:v>45870</x:v>
      </x:c>
    </x:row>
    <x:row r="3859" ht="22" customHeight="1">
      <x:c r="A3859" s="2" t="str">
        <x:v>L003855</x:v>
      </x:c>
      <x:c r="B3859" s="2" t="str">
        <x:v>O01569</x:v>
      </x:c>
      <x:c r="C3859" s="7" t="n">
        <x:v>45887</x:v>
      </x:c>
      <x:c r="D3859" s="2" t="str">
        <x:v>Completed</x:v>
      </x:c>
      <x:c r="E3859" s="2" t="str">
        <x:v>North</x:v>
      </x:c>
      <x:c r="F3859" s="2" t="str">
        <x:v>Online</x:v>
      </x:c>
      <x:c r="G3859" s="2" t="str">
        <x:v>Lighting</x:v>
      </x:c>
      <x:c r="H3859" s="2" t="str">
        <x:v>Lamp 021</x:v>
      </x:c>
      <x:c r="I3859" s="11" t="n">
        <x:v>2</x:v>
      </x:c>
      <x:c r="J3859" s="9" t="n">
        <x:v>249</x:v>
      </x:c>
      <x:c r="K3859" s="10" t="n">
        <x:v>0.05</x:v>
      </x:c>
      <x:c r="L3859" s="11" t="n">
        <x:v>2</x:v>
      </x:c>
      <x:c r="M3859" s="9" t="n">
        <x:f>IF(D3859="Completed",I3859*J3859,0)</x:f>
        <x:v>498</x:v>
      </x:c>
      <x:c r="N3859" s="9" t="n">
        <x:f>M3859*K3859</x:f>
        <x:v>24.900000000000002</x:v>
      </x:c>
      <x:c r="O3859" s="9" t="n">
        <x:f>M3859-N3859</x:f>
        <x:v>473.1</x:v>
      </x:c>
      <x:c r="P3859" s="9" t="n">
        <x:f>IF(D3859="Completed",L3859*J3859*(1-K3859),0)</x:f>
        <x:v>473.09999999999997</x:v>
      </x:c>
      <x:c r="Q3859" s="9" t="n">
        <x:f>O3859-P3859</x:f>
        <x:v>5.684341886080802e-14</x:v>
      </x:c>
      <x:c r="R3859" s="11" t="n">
        <x:f>IF(D3859="Completed",I3859,0)</x:f>
        <x:v>2</x:v>
      </x:c>
      <x:c r="S3859" s="11" t="n">
        <x:f>IF(D3859="Completed",L3859,0)</x:f>
        <x:v>2</x:v>
      </x:c>
      <x:c r="T3859" s="8" t="n">
        <x:f>DATE(YEAR(C3859),MONTH(C3859),1)</x:f>
        <x:v>45870</x:v>
      </x:c>
    </x:row>
    <x:row r="3860" ht="22" customHeight="1">
      <x:c r="A3860" s="2" t="str">
        <x:v>L003856</x:v>
      </x:c>
      <x:c r="B3860" s="2" t="str">
        <x:v>O01569</x:v>
      </x:c>
      <x:c r="C3860" s="7" t="n">
        <x:v>45887</x:v>
      </x:c>
      <x:c r="D3860" s="2" t="str">
        <x:v>Completed</x:v>
      </x:c>
      <x:c r="E3860" s="2" t="str">
        <x:v>North</x:v>
      </x:c>
      <x:c r="F3860" s="2" t="str">
        <x:v>Online</x:v>
      </x:c>
      <x:c r="G3860" s="2" t="str">
        <x:v>Furniture</x:v>
      </x:c>
      <x:c r="H3860" s="2" t="str">
        <x:v>Desk 020</x:v>
      </x:c>
      <x:c r="I3860" s="11" t="n">
        <x:v>5</x:v>
      </x:c>
      <x:c r="J3860" s="9" t="n">
        <x:v>189</x:v>
      </x:c>
      <x:c r="K3860" s="10" t="n">
        <x:v>0.2</x:v>
      </x:c>
      <x:c r="L3860" s="11" t="n">
        <x:v>0</x:v>
      </x:c>
      <x:c r="M3860" s="9" t="n">
        <x:f>IF(D3860="Completed",I3860*J3860,0)</x:f>
        <x:v>945</x:v>
      </x:c>
      <x:c r="N3860" s="9" t="n">
        <x:f>M3860*K3860</x:f>
        <x:v>189</x:v>
      </x:c>
      <x:c r="O3860" s="9" t="n">
        <x:f>M3860-N3860</x:f>
        <x:v>756</x:v>
      </x:c>
      <x:c r="P3860" s="9" t="n">
        <x:f>IF(D3860="Completed",L3860*J3860*(1-K3860),0)</x:f>
        <x:v>0</x:v>
      </x:c>
      <x:c r="Q3860" s="9" t="n">
        <x:f>O3860-P3860</x:f>
        <x:v>756</x:v>
      </x:c>
      <x:c r="R3860" s="11" t="n">
        <x:f>IF(D3860="Completed",I3860,0)</x:f>
        <x:v>5</x:v>
      </x:c>
      <x:c r="S3860" s="11" t="n">
        <x:f>IF(D3860="Completed",L3860,0)</x:f>
        <x:v>0</x:v>
      </x:c>
      <x:c r="T3860" s="8" t="n">
        <x:f>DATE(YEAR(C3860),MONTH(C3860),1)</x:f>
        <x:v>45870</x:v>
      </x:c>
    </x:row>
    <x:row r="3861" ht="22" customHeight="1">
      <x:c r="A3861" s="2" t="str">
        <x:v>L003857</x:v>
      </x:c>
      <x:c r="B3861" s="2" t="str">
        <x:v>O01570</x:v>
      </x:c>
      <x:c r="C3861" s="7" t="n">
        <x:v>45853</x:v>
      </x:c>
      <x:c r="D3861" s="2" t="str">
        <x:v>Completed</x:v>
      </x:c>
      <x:c r="E3861" s="2" t="str">
        <x:v>South</x:v>
      </x:c>
      <x:c r="F3861" s="2" t="str">
        <x:v>Store</x:v>
      </x:c>
      <x:c r="G3861" s="2" t="str">
        <x:v>Furniture</x:v>
      </x:c>
      <x:c r="H3861" s="2" t="str">
        <x:v>Chair 014</x:v>
      </x:c>
      <x:c r="I3861" s="11" t="n">
        <x:v>3</x:v>
      </x:c>
      <x:c r="J3861" s="9" t="n">
        <x:v>294</x:v>
      </x:c>
      <x:c r="K3861" s="10" t="n">
        <x:v>0.1</x:v>
      </x:c>
      <x:c r="L3861" s="11" t="n">
        <x:v>0</x:v>
      </x:c>
      <x:c r="M3861" s="9" t="n">
        <x:f>IF(D3861="Completed",I3861*J3861,0)</x:f>
        <x:v>882</x:v>
      </x:c>
      <x:c r="N3861" s="9" t="n">
        <x:f>M3861*K3861</x:f>
        <x:v>88.2</x:v>
      </x:c>
      <x:c r="O3861" s="9" t="n">
        <x:f>M3861-N3861</x:f>
        <x:v>793.8</x:v>
      </x:c>
      <x:c r="P3861" s="9" t="n">
        <x:f>IF(D3861="Completed",L3861*J3861*(1-K3861),0)</x:f>
        <x:v>0</x:v>
      </x:c>
      <x:c r="Q3861" s="9" t="n">
        <x:f>O3861-P3861</x:f>
        <x:v>793.8</x:v>
      </x:c>
      <x:c r="R3861" s="11" t="n">
        <x:f>IF(D3861="Completed",I3861,0)</x:f>
        <x:v>3</x:v>
      </x:c>
      <x:c r="S3861" s="11" t="n">
        <x:f>IF(D3861="Completed",L3861,0)</x:f>
        <x:v>0</x:v>
      </x:c>
      <x:c r="T3861" s="8" t="n">
        <x:f>DATE(YEAR(C3861),MONTH(C3861),1)</x:f>
        <x:v>45839</x:v>
      </x:c>
    </x:row>
    <x:row r="3862" ht="22" customHeight="1">
      <x:c r="A3862" s="2" t="str">
        <x:v>L003858</x:v>
      </x:c>
      <x:c r="B3862" s="2" t="str">
        <x:v>O01570</x:v>
      </x:c>
      <x:c r="C3862" s="7" t="n">
        <x:v>45853</x:v>
      </x:c>
      <x:c r="D3862" s="2" t="str">
        <x:v>Completed</x:v>
      </x:c>
      <x:c r="E3862" s="2" t="str">
        <x:v>South</x:v>
      </x:c>
      <x:c r="F3862" s="2" t="str">
        <x:v>Store</x:v>
      </x:c>
      <x:c r="G3862" s="2" t="str">
        <x:v>Storage</x:v>
      </x:c>
      <x:c r="H3862" s="2" t="str">
        <x:v>Shelf 003</x:v>
      </x:c>
      <x:c r="I3862" s="11" t="n">
        <x:v>3</x:v>
      </x:c>
      <x:c r="J3862" s="9" t="n">
        <x:v>199</x:v>
      </x:c>
      <x:c r="K3862" s="10" t="n">
        <x:v>0.05</x:v>
      </x:c>
      <x:c r="L3862" s="11" t="n">
        <x:v>0</x:v>
      </x:c>
      <x:c r="M3862" s="9" t="n">
        <x:f>IF(D3862="Completed",I3862*J3862,0)</x:f>
        <x:v>597</x:v>
      </x:c>
      <x:c r="N3862" s="9" t="n">
        <x:f>M3862*K3862</x:f>
        <x:v>29.85</x:v>
      </x:c>
      <x:c r="O3862" s="9" t="n">
        <x:f>M3862-N3862</x:f>
        <x:v>567.15</x:v>
      </x:c>
      <x:c r="P3862" s="9" t="n">
        <x:f>IF(D3862="Completed",L3862*J3862*(1-K3862),0)</x:f>
        <x:v>0</x:v>
      </x:c>
      <x:c r="Q3862" s="9" t="n">
        <x:f>O3862-P3862</x:f>
        <x:v>567.15</x:v>
      </x:c>
      <x:c r="R3862" s="11" t="n">
        <x:f>IF(D3862="Completed",I3862,0)</x:f>
        <x:v>3</x:v>
      </x:c>
      <x:c r="S3862" s="11" t="n">
        <x:f>IF(D3862="Completed",L3862,0)</x:f>
        <x:v>0</x:v>
      </x:c>
      <x:c r="T3862" s="8" t="n">
        <x:f>DATE(YEAR(C3862),MONTH(C3862),1)</x:f>
        <x:v>45839</x:v>
      </x:c>
    </x:row>
    <x:row r="3863" ht="22" customHeight="1">
      <x:c r="A3863" s="2" t="str">
        <x:v>L003859</x:v>
      </x:c>
      <x:c r="B3863" s="2" t="str">
        <x:v>O01570</x:v>
      </x:c>
      <x:c r="C3863" s="7" t="n">
        <x:v>45853</x:v>
      </x:c>
      <x:c r="D3863" s="2" t="str">
        <x:v>Completed</x:v>
      </x:c>
      <x:c r="E3863" s="2" t="str">
        <x:v>South</x:v>
      </x:c>
      <x:c r="F3863" s="2" t="str">
        <x:v>Store</x:v>
      </x:c>
      <x:c r="G3863" s="2" t="str">
        <x:v>Furniture</x:v>
      </x:c>
      <x:c r="H3863" s="2" t="str">
        <x:v>Desk 016</x:v>
      </x:c>
      <x:c r="I3863" s="11" t="n">
        <x:v>3</x:v>
      </x:c>
      <x:c r="J3863" s="9" t="n">
        <x:v>231</x:v>
      </x:c>
      <x:c r="K3863" s="10" t="n">
        <x:v>0.05</x:v>
      </x:c>
      <x:c r="L3863" s="11" t="n">
        <x:v>0</x:v>
      </x:c>
      <x:c r="M3863" s="9" t="n">
        <x:f>IF(D3863="Completed",I3863*J3863,0)</x:f>
        <x:v>693</x:v>
      </x:c>
      <x:c r="N3863" s="9" t="n">
        <x:f>M3863*K3863</x:f>
        <x:v>34.65</x:v>
      </x:c>
      <x:c r="O3863" s="9" t="n">
        <x:f>M3863-N3863</x:f>
        <x:v>658.35</x:v>
      </x:c>
      <x:c r="P3863" s="9" t="n">
        <x:f>IF(D3863="Completed",L3863*J3863*(1-K3863),0)</x:f>
        <x:v>0</x:v>
      </x:c>
      <x:c r="Q3863" s="9" t="n">
        <x:f>O3863-P3863</x:f>
        <x:v>658.35</x:v>
      </x:c>
      <x:c r="R3863" s="11" t="n">
        <x:f>IF(D3863="Completed",I3863,0)</x:f>
        <x:v>3</x:v>
      </x:c>
      <x:c r="S3863" s="11" t="n">
        <x:f>IF(D3863="Completed",L3863,0)</x:f>
        <x:v>0</x:v>
      </x:c>
      <x:c r="T3863" s="8" t="n">
        <x:f>DATE(YEAR(C3863),MONTH(C3863),1)</x:f>
        <x:v>45839</x:v>
      </x:c>
    </x:row>
    <x:row r="3864" ht="22" customHeight="1">
      <x:c r="A3864" s="2" t="str">
        <x:v>L003860</x:v>
      </x:c>
      <x:c r="B3864" s="2" t="str">
        <x:v>O01570</x:v>
      </x:c>
      <x:c r="C3864" s="7" t="n">
        <x:v>45853</x:v>
      </x:c>
      <x:c r="D3864" s="2" t="str">
        <x:v>Completed</x:v>
      </x:c>
      <x:c r="E3864" s="2" t="str">
        <x:v>South</x:v>
      </x:c>
      <x:c r="F3864" s="2" t="str">
        <x:v>Store</x:v>
      </x:c>
      <x:c r="G3864" s="2" t="str">
        <x:v>Furniture</x:v>
      </x:c>
      <x:c r="H3864" s="2" t="str">
        <x:v>Desk 012</x:v>
      </x:c>
      <x:c r="I3864" s="11" t="n">
        <x:v>3</x:v>
      </x:c>
      <x:c r="J3864" s="9" t="n">
        <x:v>134</x:v>
      </x:c>
      <x:c r="K3864" s="10" t="n">
        <x:v>0.2</x:v>
      </x:c>
      <x:c r="L3864" s="11" t="n">
        <x:v>0</x:v>
      </x:c>
      <x:c r="M3864" s="9" t="n">
        <x:f>IF(D3864="Completed",I3864*J3864,0)</x:f>
        <x:v>402</x:v>
      </x:c>
      <x:c r="N3864" s="9" t="n">
        <x:f>M3864*K3864</x:f>
        <x:v>80.4</x:v>
      </x:c>
      <x:c r="O3864" s="9" t="n">
        <x:f>M3864-N3864</x:f>
        <x:v>321.6</x:v>
      </x:c>
      <x:c r="P3864" s="9" t="n">
        <x:f>IF(D3864="Completed",L3864*J3864*(1-K3864),0)</x:f>
        <x:v>0</x:v>
      </x:c>
      <x:c r="Q3864" s="9" t="n">
        <x:f>O3864-P3864</x:f>
        <x:v>321.6</x:v>
      </x:c>
      <x:c r="R3864" s="11" t="n">
        <x:f>IF(D3864="Completed",I3864,0)</x:f>
        <x:v>3</x:v>
      </x:c>
      <x:c r="S3864" s="11" t="n">
        <x:f>IF(D3864="Completed",L3864,0)</x:f>
        <x:v>0</x:v>
      </x:c>
      <x:c r="T3864" s="8" t="n">
        <x:f>DATE(YEAR(C3864),MONTH(C3864),1)</x:f>
        <x:v>45839</x:v>
      </x:c>
    </x:row>
    <x:row r="3865" ht="22" customHeight="1">
      <x:c r="A3865" s="2" t="str">
        <x:v>L003861</x:v>
      </x:c>
      <x:c r="B3865" s="2" t="str">
        <x:v>O01571</x:v>
      </x:c>
      <x:c r="C3865" s="7" t="n">
        <x:v>46021</x:v>
      </x:c>
      <x:c r="D3865" s="2" t="str">
        <x:v>Completed</x:v>
      </x:c>
      <x:c r="E3865" s="2" t="str">
        <x:v>East</x:v>
      </x:c>
      <x:c r="F3865" s="2" t="str">
        <x:v>Online</x:v>
      </x:c>
      <x:c r="G3865" s="2" t="str">
        <x:v>Furniture</x:v>
      </x:c>
      <x:c r="H3865" s="2" t="str">
        <x:v>Desk 004</x:v>
      </x:c>
      <x:c r="I3865" s="11" t="n">
        <x:v>2</x:v>
      </x:c>
      <x:c r="J3865" s="9" t="n">
        <x:v>123</x:v>
      </x:c>
      <x:c r="K3865" s="10" t="n">
        <x:v>0</x:v>
      </x:c>
      <x:c r="L3865" s="11" t="n">
        <x:v>0</x:v>
      </x:c>
      <x:c r="M3865" s="9" t="n">
        <x:f>IF(D3865="Completed",I3865*J3865,0)</x:f>
        <x:v>246</x:v>
      </x:c>
      <x:c r="N3865" s="9" t="n">
        <x:f>M3865*K3865</x:f>
        <x:v>0</x:v>
      </x:c>
      <x:c r="O3865" s="9" t="n">
        <x:f>M3865-N3865</x:f>
        <x:v>246</x:v>
      </x:c>
      <x:c r="P3865" s="9" t="n">
        <x:f>IF(D3865="Completed",L3865*J3865*(1-K3865),0)</x:f>
        <x:v>0</x:v>
      </x:c>
      <x:c r="Q3865" s="9" t="n">
        <x:f>O3865-P3865</x:f>
        <x:v>246</x:v>
      </x:c>
      <x:c r="R3865" s="11" t="n">
        <x:f>IF(D3865="Completed",I3865,0)</x:f>
        <x:v>2</x:v>
      </x:c>
      <x:c r="S3865" s="11" t="n">
        <x:f>IF(D3865="Completed",L3865,0)</x:f>
        <x:v>0</x:v>
      </x:c>
      <x:c r="T3865" s="8" t="n">
        <x:f>DATE(YEAR(C3865),MONTH(C3865),1)</x:f>
        <x:v>45992</x:v>
      </x:c>
    </x:row>
    <x:row r="3866" ht="22" customHeight="1">
      <x:c r="A3866" s="2" t="str">
        <x:v>L003862</x:v>
      </x:c>
      <x:c r="B3866" s="2" t="str">
        <x:v>O01571</x:v>
      </x:c>
      <x:c r="C3866" s="7" t="n">
        <x:v>46021</x:v>
      </x:c>
      <x:c r="D3866" s="2" t="str">
        <x:v>Completed</x:v>
      </x:c>
      <x:c r="E3866" s="2" t="str">
        <x:v>East</x:v>
      </x:c>
      <x:c r="F3866" s="2" t="str">
        <x:v>Online</x:v>
      </x:c>
      <x:c r="G3866" s="2" t="str">
        <x:v>Storage</x:v>
      </x:c>
      <x:c r="H3866" s="2" t="str">
        <x:v>Shelf 019</x:v>
      </x:c>
      <x:c r="I3866" s="11" t="n">
        <x:v>5</x:v>
      </x:c>
      <x:c r="J3866" s="9" t="n">
        <x:v>78</x:v>
      </x:c>
      <x:c r="K3866" s="10" t="n">
        <x:v>0.2</x:v>
      </x:c>
      <x:c r="L3866" s="11" t="n">
        <x:v>0</x:v>
      </x:c>
      <x:c r="M3866" s="9" t="n">
        <x:f>IF(D3866="Completed",I3866*J3866,0)</x:f>
        <x:v>390</x:v>
      </x:c>
      <x:c r="N3866" s="9" t="n">
        <x:f>M3866*K3866</x:f>
        <x:v>78</x:v>
      </x:c>
      <x:c r="O3866" s="9" t="n">
        <x:f>M3866-N3866</x:f>
        <x:v>312</x:v>
      </x:c>
      <x:c r="P3866" s="9" t="n">
        <x:f>IF(D3866="Completed",L3866*J3866*(1-K3866),0)</x:f>
        <x:v>0</x:v>
      </x:c>
      <x:c r="Q3866" s="9" t="n">
        <x:f>O3866-P3866</x:f>
        <x:v>312</x:v>
      </x:c>
      <x:c r="R3866" s="11" t="n">
        <x:f>IF(D3866="Completed",I3866,0)</x:f>
        <x:v>5</x:v>
      </x:c>
      <x:c r="S3866" s="11" t="n">
        <x:f>IF(D3866="Completed",L3866,0)</x:f>
        <x:v>0</x:v>
      </x:c>
      <x:c r="T3866" s="8" t="n">
        <x:f>DATE(YEAR(C3866),MONTH(C3866),1)</x:f>
        <x:v>45992</x:v>
      </x:c>
    </x:row>
    <x:row r="3867" ht="22" customHeight="1">
      <x:c r="A3867" s="2" t="str">
        <x:v>L003863</x:v>
      </x:c>
      <x:c r="B3867" s="2" t="str">
        <x:v>O01571</x:v>
      </x:c>
      <x:c r="C3867" s="7" t="n">
        <x:v>46021</x:v>
      </x:c>
      <x:c r="D3867" s="2" t="str">
        <x:v>Completed</x:v>
      </x:c>
      <x:c r="E3867" s="2" t="str">
        <x:v>East</x:v>
      </x:c>
      <x:c r="F3867" s="2" t="str">
        <x:v>Online</x:v>
      </x:c>
      <x:c r="G3867" s="2" t="str">
        <x:v>Lighting</x:v>
      </x:c>
      <x:c r="H3867" s="2" t="str">
        <x:v>Lamp 001</x:v>
      </x:c>
      <x:c r="I3867" s="11" t="n">
        <x:v>1</x:v>
      </x:c>
      <x:c r="J3867" s="9" t="n">
        <x:v>122</x:v>
      </x:c>
      <x:c r="K3867" s="10" t="n">
        <x:v>0</x:v>
      </x:c>
      <x:c r="L3867" s="11" t="n">
        <x:v>0</x:v>
      </x:c>
      <x:c r="M3867" s="9" t="n">
        <x:f>IF(D3867="Completed",I3867*J3867,0)</x:f>
        <x:v>122</x:v>
      </x:c>
      <x:c r="N3867" s="9" t="n">
        <x:f>M3867*K3867</x:f>
        <x:v>0</x:v>
      </x:c>
      <x:c r="O3867" s="9" t="n">
        <x:f>M3867-N3867</x:f>
        <x:v>122</x:v>
      </x:c>
      <x:c r="P3867" s="9" t="n">
        <x:f>IF(D3867="Completed",L3867*J3867*(1-K3867),0)</x:f>
        <x:v>0</x:v>
      </x:c>
      <x:c r="Q3867" s="9" t="n">
        <x:f>O3867-P3867</x:f>
        <x:v>122</x:v>
      </x:c>
      <x:c r="R3867" s="11" t="n">
        <x:f>IF(D3867="Completed",I3867,0)</x:f>
        <x:v>1</x:v>
      </x:c>
      <x:c r="S3867" s="11" t="n">
        <x:f>IF(D3867="Completed",L3867,0)</x:f>
        <x:v>0</x:v>
      </x:c>
      <x:c r="T3867" s="8" t="n">
        <x:f>DATE(YEAR(C3867),MONTH(C3867),1)</x:f>
        <x:v>45992</x:v>
      </x:c>
    </x:row>
    <x:row r="3868" ht="22" customHeight="1">
      <x:c r="A3868" s="2" t="str">
        <x:v>L003864</x:v>
      </x:c>
      <x:c r="B3868" s="2" t="str">
        <x:v>O01572</x:v>
      </x:c>
      <x:c r="C3868" s="7" t="n">
        <x:v>45976</x:v>
      </x:c>
      <x:c r="D3868" s="2" t="str">
        <x:v>Completed</x:v>
      </x:c>
      <x:c r="E3868" s="2" t="str">
        <x:v>West</x:v>
      </x:c>
      <x:c r="F3868" s="2" t="str">
        <x:v>Store</x:v>
      </x:c>
      <x:c r="G3868" s="2" t="str">
        <x:v>Furniture</x:v>
      </x:c>
      <x:c r="H3868" s="2" t="str">
        <x:v>Chair 002</x:v>
      </x:c>
      <x:c r="I3868" s="11" t="n">
        <x:v>5</x:v>
      </x:c>
      <x:c r="J3868" s="9" t="n">
        <x:v>284</x:v>
      </x:c>
      <x:c r="K3868" s="10" t="n">
        <x:v>0.1</x:v>
      </x:c>
      <x:c r="L3868" s="11" t="n">
        <x:v>0</x:v>
      </x:c>
      <x:c r="M3868" s="9" t="n">
        <x:f>IF(D3868="Completed",I3868*J3868,0)</x:f>
        <x:v>1420</x:v>
      </x:c>
      <x:c r="N3868" s="9" t="n">
        <x:f>M3868*K3868</x:f>
        <x:v>142</x:v>
      </x:c>
      <x:c r="O3868" s="9" t="n">
        <x:f>M3868-N3868</x:f>
        <x:v>1278</x:v>
      </x:c>
      <x:c r="P3868" s="9" t="n">
        <x:f>IF(D3868="Completed",L3868*J3868*(1-K3868),0)</x:f>
        <x:v>0</x:v>
      </x:c>
      <x:c r="Q3868" s="9" t="n">
        <x:f>O3868-P3868</x:f>
        <x:v>1278</x:v>
      </x:c>
      <x:c r="R3868" s="11" t="n">
        <x:f>IF(D3868="Completed",I3868,0)</x:f>
        <x:v>5</x:v>
      </x:c>
      <x:c r="S3868" s="11" t="n">
        <x:f>IF(D3868="Completed",L3868,0)</x:f>
        <x:v>0</x:v>
      </x:c>
      <x:c r="T3868" s="8" t="n">
        <x:f>DATE(YEAR(C3868),MONTH(C3868),1)</x:f>
        <x:v>45962</x:v>
      </x:c>
    </x:row>
    <x:row r="3869" ht="22" customHeight="1">
      <x:c r="A3869" s="2" t="str">
        <x:v>L003865</x:v>
      </x:c>
      <x:c r="B3869" s="2" t="str">
        <x:v>O01572</x:v>
      </x:c>
      <x:c r="C3869" s="7" t="n">
        <x:v>45976</x:v>
      </x:c>
      <x:c r="D3869" s="2" t="str">
        <x:v>Completed</x:v>
      </x:c>
      <x:c r="E3869" s="2" t="str">
        <x:v>West</x:v>
      </x:c>
      <x:c r="F3869" s="2" t="str">
        <x:v>Store</x:v>
      </x:c>
      <x:c r="G3869" s="2" t="str">
        <x:v>Lighting</x:v>
      </x:c>
      <x:c r="H3869" s="2" t="str">
        <x:v>Lamp 001</x:v>
      </x:c>
      <x:c r="I3869" s="11" t="n">
        <x:v>1</x:v>
      </x:c>
      <x:c r="J3869" s="9" t="n">
        <x:v>122</x:v>
      </x:c>
      <x:c r="K3869" s="10" t="n">
        <x:v>0.05</x:v>
      </x:c>
      <x:c r="L3869" s="11" t="n">
        <x:v>0</x:v>
      </x:c>
      <x:c r="M3869" s="9" t="n">
        <x:f>IF(D3869="Completed",I3869*J3869,0)</x:f>
        <x:v>122</x:v>
      </x:c>
      <x:c r="N3869" s="9" t="n">
        <x:f>M3869*K3869</x:f>
        <x:v>6.1000000000000005</x:v>
      </x:c>
      <x:c r="O3869" s="9" t="n">
        <x:f>M3869-N3869</x:f>
        <x:v>115.9</x:v>
      </x:c>
      <x:c r="P3869" s="9" t="n">
        <x:f>IF(D3869="Completed",L3869*J3869*(1-K3869),0)</x:f>
        <x:v>0</x:v>
      </x:c>
      <x:c r="Q3869" s="9" t="n">
        <x:f>O3869-P3869</x:f>
        <x:v>115.9</x:v>
      </x:c>
      <x:c r="R3869" s="11" t="n">
        <x:f>IF(D3869="Completed",I3869,0)</x:f>
        <x:v>1</x:v>
      </x:c>
      <x:c r="S3869" s="11" t="n">
        <x:f>IF(D3869="Completed",L3869,0)</x:f>
        <x:v>0</x:v>
      </x:c>
      <x:c r="T3869" s="8" t="n">
        <x:f>DATE(YEAR(C3869),MONTH(C3869),1)</x:f>
        <x:v>45962</x:v>
      </x:c>
    </x:row>
    <x:row r="3870" ht="22" customHeight="1">
      <x:c r="A3870" s="2" t="str">
        <x:v>L003866</x:v>
      </x:c>
      <x:c r="B3870" s="2" t="str">
        <x:v>O01572</x:v>
      </x:c>
      <x:c r="C3870" s="7" t="n">
        <x:v>45976</x:v>
      </x:c>
      <x:c r="D3870" s="2" t="str">
        <x:v>Completed</x:v>
      </x:c>
      <x:c r="E3870" s="2" t="str">
        <x:v>West</x:v>
      </x:c>
      <x:c r="F3870" s="2" t="str">
        <x:v>Store</x:v>
      </x:c>
      <x:c r="G3870" s="2" t="str">
        <x:v>Furniture</x:v>
      </x:c>
      <x:c r="H3870" s="2" t="str">
        <x:v>Desk 004</x:v>
      </x:c>
      <x:c r="I3870" s="11" t="n">
        <x:v>4</x:v>
      </x:c>
      <x:c r="J3870" s="9" t="n">
        <x:v>123</x:v>
      </x:c>
      <x:c r="K3870" s="10" t="n">
        <x:v>0.1</x:v>
      </x:c>
      <x:c r="L3870" s="11" t="n">
        <x:v>0</x:v>
      </x:c>
      <x:c r="M3870" s="9" t="n">
        <x:f>IF(D3870="Completed",I3870*J3870,0)</x:f>
        <x:v>492</x:v>
      </x:c>
      <x:c r="N3870" s="9" t="n">
        <x:f>M3870*K3870</x:f>
        <x:v>49.2</x:v>
      </x:c>
      <x:c r="O3870" s="9" t="n">
        <x:f>M3870-N3870</x:f>
        <x:v>442.8</x:v>
      </x:c>
      <x:c r="P3870" s="9" t="n">
        <x:f>IF(D3870="Completed",L3870*J3870*(1-K3870),0)</x:f>
        <x:v>0</x:v>
      </x:c>
      <x:c r="Q3870" s="9" t="n">
        <x:f>O3870-P3870</x:f>
        <x:v>442.8</x:v>
      </x:c>
      <x:c r="R3870" s="11" t="n">
        <x:f>IF(D3870="Completed",I3870,0)</x:f>
        <x:v>4</x:v>
      </x:c>
      <x:c r="S3870" s="11" t="n">
        <x:f>IF(D3870="Completed",L3870,0)</x:f>
        <x:v>0</x:v>
      </x:c>
      <x:c r="T3870" s="8" t="n">
        <x:f>DATE(YEAR(C3870),MONTH(C3870),1)</x:f>
        <x:v>45962</x:v>
      </x:c>
    </x:row>
    <x:row r="3871" ht="22" customHeight="1">
      <x:c r="A3871" s="2" t="str">
        <x:v>L003867</x:v>
      </x:c>
      <x:c r="B3871" s="2" t="str">
        <x:v>O01573</x:v>
      </x:c>
      <x:c r="C3871" s="7" t="n">
        <x:v>45962</x:v>
      </x:c>
      <x:c r="D3871" s="2" t="str">
        <x:v>Completed</x:v>
      </x:c>
      <x:c r="E3871" s="2" t="str">
        <x:v>North</x:v>
      </x:c>
      <x:c r="F3871" s="2" t="str">
        <x:v>Online</x:v>
      </x:c>
      <x:c r="G3871" s="2" t="str">
        <x:v>Furniture</x:v>
      </x:c>
      <x:c r="H3871" s="2" t="str">
        <x:v>Chair 006</x:v>
      </x:c>
      <x:c r="I3871" s="11" t="n">
        <x:v>4</x:v>
      </x:c>
      <x:c r="J3871" s="9" t="n">
        <x:v>196</x:v>
      </x:c>
      <x:c r="K3871" s="10" t="n">
        <x:v>0.1</x:v>
      </x:c>
      <x:c r="L3871" s="11" t="n">
        <x:v>0</x:v>
      </x:c>
      <x:c r="M3871" s="9" t="n">
        <x:f>IF(D3871="Completed",I3871*J3871,0)</x:f>
        <x:v>784</x:v>
      </x:c>
      <x:c r="N3871" s="9" t="n">
        <x:f>M3871*K3871</x:f>
        <x:v>78.4</x:v>
      </x:c>
      <x:c r="O3871" s="9" t="n">
        <x:f>M3871-N3871</x:f>
        <x:v>705.6</x:v>
      </x:c>
      <x:c r="P3871" s="9" t="n">
        <x:f>IF(D3871="Completed",L3871*J3871*(1-K3871),0)</x:f>
        <x:v>0</x:v>
      </x:c>
      <x:c r="Q3871" s="9" t="n">
        <x:f>O3871-P3871</x:f>
        <x:v>705.6</x:v>
      </x:c>
      <x:c r="R3871" s="11" t="n">
        <x:f>IF(D3871="Completed",I3871,0)</x:f>
        <x:v>4</x:v>
      </x:c>
      <x:c r="S3871" s="11" t="n">
        <x:f>IF(D3871="Completed",L3871,0)</x:f>
        <x:v>0</x:v>
      </x:c>
      <x:c r="T3871" s="8" t="n">
        <x:f>DATE(YEAR(C3871),MONTH(C3871),1)</x:f>
        <x:v>45962</x:v>
      </x:c>
    </x:row>
    <x:row r="3872" ht="22" customHeight="1">
      <x:c r="A3872" s="2" t="str">
        <x:v>L003868</x:v>
      </x:c>
      <x:c r="B3872" s="2" t="str">
        <x:v>O01573</x:v>
      </x:c>
      <x:c r="C3872" s="7" t="n">
        <x:v>45962</x:v>
      </x:c>
      <x:c r="D3872" s="2" t="str">
        <x:v>Completed</x:v>
      </x:c>
      <x:c r="E3872" s="2" t="str">
        <x:v>North</x:v>
      </x:c>
      <x:c r="F3872" s="2" t="str">
        <x:v>Online</x:v>
      </x:c>
      <x:c r="G3872" s="2" t="str">
        <x:v>Storage</x:v>
      </x:c>
      <x:c r="H3872" s="2" t="str">
        <x:v>Shelf 019</x:v>
      </x:c>
      <x:c r="I3872" s="11" t="n">
        <x:v>5</x:v>
      </x:c>
      <x:c r="J3872" s="9" t="n">
        <x:v>78</x:v>
      </x:c>
      <x:c r="K3872" s="10" t="n">
        <x:v>0.05</x:v>
      </x:c>
      <x:c r="L3872" s="11" t="n">
        <x:v>0</x:v>
      </x:c>
      <x:c r="M3872" s="9" t="n">
        <x:f>IF(D3872="Completed",I3872*J3872,0)</x:f>
        <x:v>390</x:v>
      </x:c>
      <x:c r="N3872" s="9" t="n">
        <x:f>M3872*K3872</x:f>
        <x:v>19.5</x:v>
      </x:c>
      <x:c r="O3872" s="9" t="n">
        <x:f>M3872-N3872</x:f>
        <x:v>370.5</x:v>
      </x:c>
      <x:c r="P3872" s="9" t="n">
        <x:f>IF(D3872="Completed",L3872*J3872*(1-K3872),0)</x:f>
        <x:v>0</x:v>
      </x:c>
      <x:c r="Q3872" s="9" t="n">
        <x:f>O3872-P3872</x:f>
        <x:v>370.5</x:v>
      </x:c>
      <x:c r="R3872" s="11" t="n">
        <x:f>IF(D3872="Completed",I3872,0)</x:f>
        <x:v>5</x:v>
      </x:c>
      <x:c r="S3872" s="11" t="n">
        <x:f>IF(D3872="Completed",L3872,0)</x:f>
        <x:v>0</x:v>
      </x:c>
      <x:c r="T3872" s="8" t="n">
        <x:f>DATE(YEAR(C3872),MONTH(C3872),1)</x:f>
        <x:v>45962</x:v>
      </x:c>
    </x:row>
    <x:row r="3873" ht="22" customHeight="1">
      <x:c r="A3873" s="2" t="str">
        <x:v>L003869</x:v>
      </x:c>
      <x:c r="B3873" s="2" t="str">
        <x:v>O01573</x:v>
      </x:c>
      <x:c r="C3873" s="7" t="n">
        <x:v>45962</x:v>
      </x:c>
      <x:c r="D3873" s="2" t="str">
        <x:v>Completed</x:v>
      </x:c>
      <x:c r="E3873" s="2" t="str">
        <x:v>North</x:v>
      </x:c>
      <x:c r="F3873" s="2" t="str">
        <x:v>Online</x:v>
      </x:c>
      <x:c r="G3873" s="2" t="str">
        <x:v>Storage</x:v>
      </x:c>
      <x:c r="H3873" s="2" t="str">
        <x:v>Shelf 011</x:v>
      </x:c>
      <x:c r="I3873" s="11" t="n">
        <x:v>1</x:v>
      </x:c>
      <x:c r="J3873" s="9" t="n">
        <x:v>80</x:v>
      </x:c>
      <x:c r="K3873" s="10" t="n">
        <x:v>0.05</x:v>
      </x:c>
      <x:c r="L3873" s="11" t="n">
        <x:v>0</x:v>
      </x:c>
      <x:c r="M3873" s="9" t="n">
        <x:f>IF(D3873="Completed",I3873*J3873,0)</x:f>
        <x:v>80</x:v>
      </x:c>
      <x:c r="N3873" s="9" t="n">
        <x:f>M3873*K3873</x:f>
        <x:v>4</x:v>
      </x:c>
      <x:c r="O3873" s="9" t="n">
        <x:f>M3873-N3873</x:f>
        <x:v>76</x:v>
      </x:c>
      <x:c r="P3873" s="9" t="n">
        <x:f>IF(D3873="Completed",L3873*J3873*(1-K3873),0)</x:f>
        <x:v>0</x:v>
      </x:c>
      <x:c r="Q3873" s="9" t="n">
        <x:f>O3873-P3873</x:f>
        <x:v>76</x:v>
      </x:c>
      <x:c r="R3873" s="11" t="n">
        <x:f>IF(D3873="Completed",I3873,0)</x:f>
        <x:v>1</x:v>
      </x:c>
      <x:c r="S3873" s="11" t="n">
        <x:f>IF(D3873="Completed",L3873,0)</x:f>
        <x:v>0</x:v>
      </x:c>
      <x:c r="T3873" s="8" t="n">
        <x:f>DATE(YEAR(C3873),MONTH(C3873),1)</x:f>
        <x:v>45962</x:v>
      </x:c>
    </x:row>
    <x:row r="3874" ht="22" customHeight="1">
      <x:c r="A3874" s="2" t="str">
        <x:v>L003870</x:v>
      </x:c>
      <x:c r="B3874" s="2" t="str">
        <x:v>O01574</x:v>
      </x:c>
      <x:c r="C3874" s="7" t="n">
        <x:v>45985</x:v>
      </x:c>
      <x:c r="D3874" s="2" t="str">
        <x:v>Completed</x:v>
      </x:c>
      <x:c r="E3874" s="2" t="str">
        <x:v>South</x:v>
      </x:c>
      <x:c r="F3874" s="2" t="str">
        <x:v>Online</x:v>
      </x:c>
      <x:c r="G3874" s="2" t="str">
        <x:v>Furniture</x:v>
      </x:c>
      <x:c r="H3874" s="2" t="str">
        <x:v>Desk 012</x:v>
      </x:c>
      <x:c r="I3874" s="11" t="n">
        <x:v>3</x:v>
      </x:c>
      <x:c r="J3874" s="9" t="n">
        <x:v>134</x:v>
      </x:c>
      <x:c r="K3874" s="10" t="n">
        <x:v>0.05</x:v>
      </x:c>
      <x:c r="L3874" s="11" t="n">
        <x:v>0</x:v>
      </x:c>
      <x:c r="M3874" s="9" t="n">
        <x:f>IF(D3874="Completed",I3874*J3874,0)</x:f>
        <x:v>402</x:v>
      </x:c>
      <x:c r="N3874" s="9" t="n">
        <x:f>M3874*K3874</x:f>
        <x:v>20.1</x:v>
      </x:c>
      <x:c r="O3874" s="9" t="n">
        <x:f>M3874-N3874</x:f>
        <x:v>381.9</x:v>
      </x:c>
      <x:c r="P3874" s="9" t="n">
        <x:f>IF(D3874="Completed",L3874*J3874*(1-K3874),0)</x:f>
        <x:v>0</x:v>
      </x:c>
      <x:c r="Q3874" s="9" t="n">
        <x:f>O3874-P3874</x:f>
        <x:v>381.9</x:v>
      </x:c>
      <x:c r="R3874" s="11" t="n">
        <x:f>IF(D3874="Completed",I3874,0)</x:f>
        <x:v>3</x:v>
      </x:c>
      <x:c r="S3874" s="11" t="n">
        <x:f>IF(D3874="Completed",L3874,0)</x:f>
        <x:v>0</x:v>
      </x:c>
      <x:c r="T3874" s="8" t="n">
        <x:f>DATE(YEAR(C3874),MONTH(C3874),1)</x:f>
        <x:v>45962</x:v>
      </x:c>
    </x:row>
    <x:row r="3875" ht="22" customHeight="1">
      <x:c r="A3875" s="2" t="str">
        <x:v>L003871</x:v>
      </x:c>
      <x:c r="B3875" s="2" t="str">
        <x:v>O01574</x:v>
      </x:c>
      <x:c r="C3875" s="7" t="n">
        <x:v>45985</x:v>
      </x:c>
      <x:c r="D3875" s="2" t="str">
        <x:v>Completed</x:v>
      </x:c>
      <x:c r="E3875" s="2" t="str">
        <x:v>South</x:v>
      </x:c>
      <x:c r="F3875" s="2" t="str">
        <x:v>Online</x:v>
      </x:c>
      <x:c r="G3875" s="2" t="str">
        <x:v>Lighting</x:v>
      </x:c>
      <x:c r="H3875" s="2" t="str">
        <x:v>Lamp 005</x:v>
      </x:c>
      <x:c r="I3875" s="11" t="n">
        <x:v>4</x:v>
      </x:c>
      <x:c r="J3875" s="9" t="n">
        <x:v>65</x:v>
      </x:c>
      <x:c r="K3875" s="10" t="n">
        <x:v>0.2</x:v>
      </x:c>
      <x:c r="L3875" s="11" t="n">
        <x:v>0</x:v>
      </x:c>
      <x:c r="M3875" s="9" t="n">
        <x:f>IF(D3875="Completed",I3875*J3875,0)</x:f>
        <x:v>260</x:v>
      </x:c>
      <x:c r="N3875" s="9" t="n">
        <x:f>M3875*K3875</x:f>
        <x:v>52</x:v>
      </x:c>
      <x:c r="O3875" s="9" t="n">
        <x:f>M3875-N3875</x:f>
        <x:v>208</x:v>
      </x:c>
      <x:c r="P3875" s="9" t="n">
        <x:f>IF(D3875="Completed",L3875*J3875*(1-K3875),0)</x:f>
        <x:v>0</x:v>
      </x:c>
      <x:c r="Q3875" s="9" t="n">
        <x:f>O3875-P3875</x:f>
        <x:v>208</x:v>
      </x:c>
      <x:c r="R3875" s="11" t="n">
        <x:f>IF(D3875="Completed",I3875,0)</x:f>
        <x:v>4</x:v>
      </x:c>
      <x:c r="S3875" s="11" t="n">
        <x:f>IF(D3875="Completed",L3875,0)</x:f>
        <x:v>0</x:v>
      </x:c>
      <x:c r="T3875" s="8" t="n">
        <x:f>DATE(YEAR(C3875),MONTH(C3875),1)</x:f>
        <x:v>45962</x:v>
      </x:c>
    </x:row>
    <x:row r="3876" ht="22" customHeight="1">
      <x:c r="A3876" s="2" t="str">
        <x:v>L003872</x:v>
      </x:c>
      <x:c r="B3876" s="2" t="str">
        <x:v>O01574</x:v>
      </x:c>
      <x:c r="C3876" s="7" t="n">
        <x:v>45985</x:v>
      </x:c>
      <x:c r="D3876" s="2" t="str">
        <x:v>Completed</x:v>
      </x:c>
      <x:c r="E3876" s="2" t="str">
        <x:v>South</x:v>
      </x:c>
      <x:c r="F3876" s="2" t="str">
        <x:v>Online</x:v>
      </x:c>
      <x:c r="G3876" s="2" t="str">
        <x:v>Furniture</x:v>
      </x:c>
      <x:c r="H3876" s="2" t="str">
        <x:v>Desk 008</x:v>
      </x:c>
      <x:c r="I3876" s="11" t="n">
        <x:v>2</x:v>
      </x:c>
      <x:c r="J3876" s="9" t="n">
        <x:v>188</x:v>
      </x:c>
      <x:c r="K3876" s="10" t="n">
        <x:v>0.2</x:v>
      </x:c>
      <x:c r="L3876" s="11" t="n">
        <x:v>0</x:v>
      </x:c>
      <x:c r="M3876" s="9" t="n">
        <x:f>IF(D3876="Completed",I3876*J3876,0)</x:f>
        <x:v>376</x:v>
      </x:c>
      <x:c r="N3876" s="9" t="n">
        <x:f>M3876*K3876</x:f>
        <x:v>75.2</x:v>
      </x:c>
      <x:c r="O3876" s="9" t="n">
        <x:f>M3876-N3876</x:f>
        <x:v>300.8</x:v>
      </x:c>
      <x:c r="P3876" s="9" t="n">
        <x:f>IF(D3876="Completed",L3876*J3876*(1-K3876),0)</x:f>
        <x:v>0</x:v>
      </x:c>
      <x:c r="Q3876" s="9" t="n">
        <x:f>O3876-P3876</x:f>
        <x:v>300.8</x:v>
      </x:c>
      <x:c r="R3876" s="11" t="n">
        <x:f>IF(D3876="Completed",I3876,0)</x:f>
        <x:v>2</x:v>
      </x:c>
      <x:c r="S3876" s="11" t="n">
        <x:f>IF(D3876="Completed",L3876,0)</x:f>
        <x:v>0</x:v>
      </x:c>
      <x:c r="T3876" s="8" t="n">
        <x:f>DATE(YEAR(C3876),MONTH(C3876),1)</x:f>
        <x:v>45962</x:v>
      </x:c>
    </x:row>
    <x:row r="3877" ht="22" customHeight="1">
      <x:c r="A3877" s="2" t="str">
        <x:v>L003873</x:v>
      </x:c>
      <x:c r="B3877" s="2" t="str">
        <x:v>O01574</x:v>
      </x:c>
      <x:c r="C3877" s="7" t="n">
        <x:v>45985</x:v>
      </x:c>
      <x:c r="D3877" s="2" t="str">
        <x:v>Completed</x:v>
      </x:c>
      <x:c r="E3877" s="2" t="str">
        <x:v>South</x:v>
      </x:c>
      <x:c r="F3877" s="2" t="str">
        <x:v>Online</x:v>
      </x:c>
      <x:c r="G3877" s="2" t="str">
        <x:v>Furniture</x:v>
      </x:c>
      <x:c r="H3877" s="2" t="str">
        <x:v>Desk 020</x:v>
      </x:c>
      <x:c r="I3877" s="11" t="n">
        <x:v>4</x:v>
      </x:c>
      <x:c r="J3877" s="9" t="n">
        <x:v>189</x:v>
      </x:c>
      <x:c r="K3877" s="10" t="n">
        <x:v>0.2</x:v>
      </x:c>
      <x:c r="L3877" s="11" t="n">
        <x:v>0</x:v>
      </x:c>
      <x:c r="M3877" s="9" t="n">
        <x:f>IF(D3877="Completed",I3877*J3877,0)</x:f>
        <x:v>756</x:v>
      </x:c>
      <x:c r="N3877" s="9" t="n">
        <x:f>M3877*K3877</x:f>
        <x:v>151.20000000000002</x:v>
      </x:c>
      <x:c r="O3877" s="9" t="n">
        <x:f>M3877-N3877</x:f>
        <x:v>604.8</x:v>
      </x:c>
      <x:c r="P3877" s="9" t="n">
        <x:f>IF(D3877="Completed",L3877*J3877*(1-K3877),0)</x:f>
        <x:v>0</x:v>
      </x:c>
      <x:c r="Q3877" s="9" t="n">
        <x:f>O3877-P3877</x:f>
        <x:v>604.8</x:v>
      </x:c>
      <x:c r="R3877" s="11" t="n">
        <x:f>IF(D3877="Completed",I3877,0)</x:f>
        <x:v>4</x:v>
      </x:c>
      <x:c r="S3877" s="11" t="n">
        <x:f>IF(D3877="Completed",L3877,0)</x:f>
        <x:v>0</x:v>
      </x:c>
      <x:c r="T3877" s="8" t="n">
        <x:f>DATE(YEAR(C3877),MONTH(C3877),1)</x:f>
        <x:v>45962</x:v>
      </x:c>
    </x:row>
    <x:row r="3878" ht="22" customHeight="1">
      <x:c r="A3878" s="2" t="str">
        <x:v>L003874</x:v>
      </x:c>
      <x:c r="B3878" s="2" t="str">
        <x:v>O01575</x:v>
      </x:c>
      <x:c r="C3878" s="7" t="n">
        <x:v>45965</x:v>
      </x:c>
      <x:c r="D3878" s="2" t="str">
        <x:v>Completed</x:v>
      </x:c>
      <x:c r="E3878" s="2" t="str">
        <x:v>North</x:v>
      </x:c>
      <x:c r="F3878" s="2" t="str">
        <x:v>Store</x:v>
      </x:c>
      <x:c r="G3878" s="2" t="str">
        <x:v>Storage</x:v>
      </x:c>
      <x:c r="H3878" s="2" t="str">
        <x:v>Shelf 019</x:v>
      </x:c>
      <x:c r="I3878" s="11" t="n">
        <x:v>4</x:v>
      </x:c>
      <x:c r="J3878" s="9" t="n">
        <x:v>78</x:v>
      </x:c>
      <x:c r="K3878" s="10" t="n">
        <x:v>0.05</x:v>
      </x:c>
      <x:c r="L3878" s="11" t="n">
        <x:v>0</x:v>
      </x:c>
      <x:c r="M3878" s="9" t="n">
        <x:f>IF(D3878="Completed",I3878*J3878,0)</x:f>
        <x:v>312</x:v>
      </x:c>
      <x:c r="N3878" s="9" t="n">
        <x:f>M3878*K3878</x:f>
        <x:v>15.600000000000001</x:v>
      </x:c>
      <x:c r="O3878" s="9" t="n">
        <x:f>M3878-N3878</x:f>
        <x:v>296.4</x:v>
      </x:c>
      <x:c r="P3878" s="9" t="n">
        <x:f>IF(D3878="Completed",L3878*J3878*(1-K3878),0)</x:f>
        <x:v>0</x:v>
      </x:c>
      <x:c r="Q3878" s="9" t="n">
        <x:f>O3878-P3878</x:f>
        <x:v>296.4</x:v>
      </x:c>
      <x:c r="R3878" s="11" t="n">
        <x:f>IF(D3878="Completed",I3878,0)</x:f>
        <x:v>4</x:v>
      </x:c>
      <x:c r="S3878" s="11" t="n">
        <x:f>IF(D3878="Completed",L3878,0)</x:f>
        <x:v>0</x:v>
      </x:c>
      <x:c r="T3878" s="8" t="n">
        <x:f>DATE(YEAR(C3878),MONTH(C3878),1)</x:f>
        <x:v>45962</x:v>
      </x:c>
    </x:row>
    <x:row r="3879" ht="22" customHeight="1">
      <x:c r="A3879" s="2" t="str">
        <x:v>L003875</x:v>
      </x:c>
      <x:c r="B3879" s="2" t="str">
        <x:v>O01575</x:v>
      </x:c>
      <x:c r="C3879" s="7" t="n">
        <x:v>45965</x:v>
      </x:c>
      <x:c r="D3879" s="2" t="str">
        <x:v>Completed</x:v>
      </x:c>
      <x:c r="E3879" s="2" t="str">
        <x:v>North</x:v>
      </x:c>
      <x:c r="F3879" s="2" t="str">
        <x:v>Store</x:v>
      </x:c>
      <x:c r="G3879" s="2" t="str">
        <x:v>Furniture</x:v>
      </x:c>
      <x:c r="H3879" s="2" t="str">
        <x:v>Chair 002</x:v>
      </x:c>
      <x:c r="I3879" s="11" t="n">
        <x:v>5</x:v>
      </x:c>
      <x:c r="J3879" s="9" t="n">
        <x:v>284</x:v>
      </x:c>
      <x:c r="K3879" s="10" t="n">
        <x:v>0.05</x:v>
      </x:c>
      <x:c r="L3879" s="11" t="n">
        <x:v>0</x:v>
      </x:c>
      <x:c r="M3879" s="9" t="n">
        <x:f>IF(D3879="Completed",I3879*J3879,0)</x:f>
        <x:v>1420</x:v>
      </x:c>
      <x:c r="N3879" s="9" t="n">
        <x:f>M3879*K3879</x:f>
        <x:v>71</x:v>
      </x:c>
      <x:c r="O3879" s="9" t="n">
        <x:f>M3879-N3879</x:f>
        <x:v>1349</x:v>
      </x:c>
      <x:c r="P3879" s="9" t="n">
        <x:f>IF(D3879="Completed",L3879*J3879*(1-K3879),0)</x:f>
        <x:v>0</x:v>
      </x:c>
      <x:c r="Q3879" s="9" t="n">
        <x:f>O3879-P3879</x:f>
        <x:v>1349</x:v>
      </x:c>
      <x:c r="R3879" s="11" t="n">
        <x:f>IF(D3879="Completed",I3879,0)</x:f>
        <x:v>5</x:v>
      </x:c>
      <x:c r="S3879" s="11" t="n">
        <x:f>IF(D3879="Completed",L3879,0)</x:f>
        <x:v>0</x:v>
      </x:c>
      <x:c r="T3879" s="8" t="n">
        <x:f>DATE(YEAR(C3879),MONTH(C3879),1)</x:f>
        <x:v>45962</x:v>
      </x:c>
    </x:row>
    <x:row r="3880" ht="22" customHeight="1">
      <x:c r="A3880" s="2" t="str">
        <x:v>L003876</x:v>
      </x:c>
      <x:c r="B3880" s="2" t="str">
        <x:v>O01575</x:v>
      </x:c>
      <x:c r="C3880" s="7" t="n">
        <x:v>45965</x:v>
      </x:c>
      <x:c r="D3880" s="2" t="str">
        <x:v>Completed</x:v>
      </x:c>
      <x:c r="E3880" s="2" t="str">
        <x:v>North</x:v>
      </x:c>
      <x:c r="F3880" s="2" t="str">
        <x:v>Store</x:v>
      </x:c>
      <x:c r="G3880" s="2" t="str">
        <x:v>Furniture</x:v>
      </x:c>
      <x:c r="H3880" s="2" t="str">
        <x:v>Desk 020</x:v>
      </x:c>
      <x:c r="I3880" s="11" t="n">
        <x:v>3</x:v>
      </x:c>
      <x:c r="J3880" s="9" t="n">
        <x:v>189</x:v>
      </x:c>
      <x:c r="K3880" s="10" t="n">
        <x:v>0.05</x:v>
      </x:c>
      <x:c r="L3880" s="11" t="n">
        <x:v>0</x:v>
      </x:c>
      <x:c r="M3880" s="9" t="n">
        <x:f>IF(D3880="Completed",I3880*J3880,0)</x:f>
        <x:v>567</x:v>
      </x:c>
      <x:c r="N3880" s="9" t="n">
        <x:f>M3880*K3880</x:f>
        <x:v>28.35</x:v>
      </x:c>
      <x:c r="O3880" s="9" t="n">
        <x:f>M3880-N3880</x:f>
        <x:v>538.65</x:v>
      </x:c>
      <x:c r="P3880" s="9" t="n">
        <x:f>IF(D3880="Completed",L3880*J3880*(1-K3880),0)</x:f>
        <x:v>0</x:v>
      </x:c>
      <x:c r="Q3880" s="9" t="n">
        <x:f>O3880-P3880</x:f>
        <x:v>538.65</x:v>
      </x:c>
      <x:c r="R3880" s="11" t="n">
        <x:f>IF(D3880="Completed",I3880,0)</x:f>
        <x:v>3</x:v>
      </x:c>
      <x:c r="S3880" s="11" t="n">
        <x:f>IF(D3880="Completed",L3880,0)</x:f>
        <x:v>0</x:v>
      </x:c>
      <x:c r="T3880" s="8" t="n">
        <x:f>DATE(YEAR(C3880),MONTH(C3880),1)</x:f>
        <x:v>45962</x:v>
      </x:c>
    </x:row>
    <x:row r="3881" ht="22" customHeight="1">
      <x:c r="A3881" s="2" t="str">
        <x:v>L003877</x:v>
      </x:c>
      <x:c r="B3881" s="2" t="str">
        <x:v>O01576</x:v>
      </x:c>
      <x:c r="C3881" s="7" t="n">
        <x:v>45944</x:v>
      </x:c>
      <x:c r="D3881" s="2" t="str">
        <x:v>Cancelled</x:v>
      </x:c>
      <x:c r="E3881" s="2" t="str">
        <x:v>East</x:v>
      </x:c>
      <x:c r="F3881" s="2" t="str">
        <x:v>Store</x:v>
      </x:c>
      <x:c r="G3881" s="2" t="str">
        <x:v>Storage</x:v>
      </x:c>
      <x:c r="H3881" s="2" t="str">
        <x:v>Shelf 023</x:v>
      </x:c>
      <x:c r="I3881" s="11" t="n">
        <x:v>4</x:v>
      </x:c>
      <x:c r="J3881" s="9" t="n">
        <x:v>68</x:v>
      </x:c>
      <x:c r="K3881" s="10" t="n">
        <x:v>0.1</x:v>
      </x:c>
      <x:c r="L3881" s="11" t="n">
        <x:v>0</x:v>
      </x:c>
      <x:c r="M3881" s="9" t="n">
        <x:f>IF(D3881="Completed",I3881*J3881,0)</x:f>
        <x:v>0</x:v>
      </x:c>
      <x:c r="N3881" s="9" t="n">
        <x:f>M3881*K3881</x:f>
        <x:v>0</x:v>
      </x:c>
      <x:c r="O3881" s="9" t="n">
        <x:f>M3881-N3881</x:f>
        <x:v>0</x:v>
      </x:c>
      <x:c r="P3881" s="9" t="n">
        <x:f>IF(D3881="Completed",L3881*J3881*(1-K3881),0)</x:f>
        <x:v>0</x:v>
      </x:c>
      <x:c r="Q3881" s="9" t="n">
        <x:f>O3881-P3881</x:f>
        <x:v>0</x:v>
      </x:c>
      <x:c r="R3881" s="11" t="n">
        <x:f>IF(D3881="Completed",I3881,0)</x:f>
        <x:v>0</x:v>
      </x:c>
      <x:c r="S3881" s="11" t="n">
        <x:f>IF(D3881="Completed",L3881,0)</x:f>
        <x:v>0</x:v>
      </x:c>
      <x:c r="T3881" s="8" t="n">
        <x:f>DATE(YEAR(C3881),MONTH(C3881),1)</x:f>
        <x:v>45931</x:v>
      </x:c>
    </x:row>
    <x:row r="3882" ht="22" customHeight="1">
      <x:c r="A3882" s="2" t="str">
        <x:v>L003878</x:v>
      </x:c>
      <x:c r="B3882" s="2" t="str">
        <x:v>O01576</x:v>
      </x:c>
      <x:c r="C3882" s="7" t="n">
        <x:v>45944</x:v>
      </x:c>
      <x:c r="D3882" s="2" t="str">
        <x:v>Cancelled</x:v>
      </x:c>
      <x:c r="E3882" s="2" t="str">
        <x:v>East</x:v>
      </x:c>
      <x:c r="F3882" s="2" t="str">
        <x:v>Store</x:v>
      </x:c>
      <x:c r="G3882" s="2" t="str">
        <x:v>Furniture</x:v>
      </x:c>
      <x:c r="H3882" s="2" t="str">
        <x:v>Chair 002</x:v>
      </x:c>
      <x:c r="I3882" s="11" t="n">
        <x:v>5</x:v>
      </x:c>
      <x:c r="J3882" s="9" t="n">
        <x:v>284</x:v>
      </x:c>
      <x:c r="K3882" s="10" t="n">
        <x:v>0.2</x:v>
      </x:c>
      <x:c r="L3882" s="11" t="n">
        <x:v>0</x:v>
      </x:c>
      <x:c r="M3882" s="9" t="n">
        <x:f>IF(D3882="Completed",I3882*J3882,0)</x:f>
        <x:v>0</x:v>
      </x:c>
      <x:c r="N3882" s="9" t="n">
        <x:f>M3882*K3882</x:f>
        <x:v>0</x:v>
      </x:c>
      <x:c r="O3882" s="9" t="n">
        <x:f>M3882-N3882</x:f>
        <x:v>0</x:v>
      </x:c>
      <x:c r="P3882" s="9" t="n">
        <x:f>IF(D3882="Completed",L3882*J3882*(1-K3882),0)</x:f>
        <x:v>0</x:v>
      </x:c>
      <x:c r="Q3882" s="9" t="n">
        <x:f>O3882-P3882</x:f>
        <x:v>0</x:v>
      </x:c>
      <x:c r="R3882" s="11" t="n">
        <x:f>IF(D3882="Completed",I3882,0)</x:f>
        <x:v>0</x:v>
      </x:c>
      <x:c r="S3882" s="11" t="n">
        <x:f>IF(D3882="Completed",L3882,0)</x:f>
        <x:v>0</x:v>
      </x:c>
      <x:c r="T3882" s="8" t="n">
        <x:f>DATE(YEAR(C3882),MONTH(C3882),1)</x:f>
        <x:v>45931</x:v>
      </x:c>
    </x:row>
    <x:row r="3883" ht="22" customHeight="1">
      <x:c r="A3883" s="2" t="str">
        <x:v>L003879</x:v>
      </x:c>
      <x:c r="B3883" s="2" t="str">
        <x:v>O01577</x:v>
      </x:c>
      <x:c r="C3883" s="7" t="n">
        <x:v>45888</x:v>
      </x:c>
      <x:c r="D3883" s="2" t="str">
        <x:v>Completed</x:v>
      </x:c>
      <x:c r="E3883" s="2" t="str">
        <x:v>West</x:v>
      </x:c>
      <x:c r="F3883" s="2" t="str">
        <x:v>Store</x:v>
      </x:c>
      <x:c r="G3883" s="2" t="str">
        <x:v>Furniture</x:v>
      </x:c>
      <x:c r="H3883" s="2" t="str">
        <x:v>Chair 010</x:v>
      </x:c>
      <x:c r="I3883" s="11" t="n">
        <x:v>1</x:v>
      </x:c>
      <x:c r="J3883" s="9" t="n">
        <x:v>211</x:v>
      </x:c>
      <x:c r="K3883" s="10" t="n">
        <x:v>0</x:v>
      </x:c>
      <x:c r="L3883" s="11" t="n">
        <x:v>0</x:v>
      </x:c>
      <x:c r="M3883" s="9" t="n">
        <x:f>IF(D3883="Completed",I3883*J3883,0)</x:f>
        <x:v>211</x:v>
      </x:c>
      <x:c r="N3883" s="9" t="n">
        <x:f>M3883*K3883</x:f>
        <x:v>0</x:v>
      </x:c>
      <x:c r="O3883" s="9" t="n">
        <x:f>M3883-N3883</x:f>
        <x:v>211</x:v>
      </x:c>
      <x:c r="P3883" s="9" t="n">
        <x:f>IF(D3883="Completed",L3883*J3883*(1-K3883),0)</x:f>
        <x:v>0</x:v>
      </x:c>
      <x:c r="Q3883" s="9" t="n">
        <x:f>O3883-P3883</x:f>
        <x:v>211</x:v>
      </x:c>
      <x:c r="R3883" s="11" t="n">
        <x:f>IF(D3883="Completed",I3883,0)</x:f>
        <x:v>1</x:v>
      </x:c>
      <x:c r="S3883" s="11" t="n">
        <x:f>IF(D3883="Completed",L3883,0)</x:f>
        <x:v>0</x:v>
      </x:c>
      <x:c r="T3883" s="8" t="n">
        <x:f>DATE(YEAR(C3883),MONTH(C3883),1)</x:f>
        <x:v>45870</x:v>
      </x:c>
    </x:row>
    <x:row r="3884" ht="22" customHeight="1">
      <x:c r="A3884" s="2" t="str">
        <x:v>L003880</x:v>
      </x:c>
      <x:c r="B3884" s="2" t="str">
        <x:v>O01577</x:v>
      </x:c>
      <x:c r="C3884" s="7" t="n">
        <x:v>45888</x:v>
      </x:c>
      <x:c r="D3884" s="2" t="str">
        <x:v>Completed</x:v>
      </x:c>
      <x:c r="E3884" s="2" t="str">
        <x:v>West</x:v>
      </x:c>
      <x:c r="F3884" s="2" t="str">
        <x:v>Store</x:v>
      </x:c>
      <x:c r="G3884" s="2" t="str">
        <x:v>Furniture</x:v>
      </x:c>
      <x:c r="H3884" s="2" t="str">
        <x:v>Chair 014</x:v>
      </x:c>
      <x:c r="I3884" s="11" t="n">
        <x:v>3</x:v>
      </x:c>
      <x:c r="J3884" s="9" t="n">
        <x:v>294</x:v>
      </x:c>
      <x:c r="K3884" s="10" t="n">
        <x:v>0.05</x:v>
      </x:c>
      <x:c r="L3884" s="11" t="n">
        <x:v>2</x:v>
      </x:c>
      <x:c r="M3884" s="9" t="n">
        <x:f>IF(D3884="Completed",I3884*J3884,0)</x:f>
        <x:v>882</x:v>
      </x:c>
      <x:c r="N3884" s="9" t="n">
        <x:f>M3884*K3884</x:f>
        <x:v>44.1</x:v>
      </x:c>
      <x:c r="O3884" s="9" t="n">
        <x:f>M3884-N3884</x:f>
        <x:v>837.9</x:v>
      </x:c>
      <x:c r="P3884" s="9" t="n">
        <x:f>IF(D3884="Completed",L3884*J3884*(1-K3884),0)</x:f>
        <x:v>558.6</x:v>
      </x:c>
      <x:c r="Q3884" s="9" t="n">
        <x:f>O3884-P3884</x:f>
        <x:v>279.29999999999995</x:v>
      </x:c>
      <x:c r="R3884" s="11" t="n">
        <x:f>IF(D3884="Completed",I3884,0)</x:f>
        <x:v>3</x:v>
      </x:c>
      <x:c r="S3884" s="11" t="n">
        <x:f>IF(D3884="Completed",L3884,0)</x:f>
        <x:v>2</x:v>
      </x:c>
      <x:c r="T3884" s="8" t="n">
        <x:f>DATE(YEAR(C3884),MONTH(C3884),1)</x:f>
        <x:v>45870</x:v>
      </x:c>
    </x:row>
    <x:row r="3885" ht="22" customHeight="1">
      <x:c r="A3885" s="2" t="str">
        <x:v>L003881</x:v>
      </x:c>
      <x:c r="B3885" s="2" t="str">
        <x:v>O01577</x:v>
      </x:c>
      <x:c r="C3885" s="7" t="n">
        <x:v>45888</x:v>
      </x:c>
      <x:c r="D3885" s="2" t="str">
        <x:v>Completed</x:v>
      </x:c>
      <x:c r="E3885" s="2" t="str">
        <x:v>West</x:v>
      </x:c>
      <x:c r="F3885" s="2" t="str">
        <x:v>Store</x:v>
      </x:c>
      <x:c r="G3885" s="2" t="str">
        <x:v>Furniture</x:v>
      </x:c>
      <x:c r="H3885" s="2" t="str">
        <x:v>Desk 004</x:v>
      </x:c>
      <x:c r="I3885" s="11" t="n">
        <x:v>4</x:v>
      </x:c>
      <x:c r="J3885" s="9" t="n">
        <x:v>123</x:v>
      </x:c>
      <x:c r="K3885" s="10" t="n">
        <x:v>0.05</x:v>
      </x:c>
      <x:c r="L3885" s="11" t="n">
        <x:v>0</x:v>
      </x:c>
      <x:c r="M3885" s="9" t="n">
        <x:f>IF(D3885="Completed",I3885*J3885,0)</x:f>
        <x:v>492</x:v>
      </x:c>
      <x:c r="N3885" s="9" t="n">
        <x:f>M3885*K3885</x:f>
        <x:v>24.6</x:v>
      </x:c>
      <x:c r="O3885" s="9" t="n">
        <x:f>M3885-N3885</x:f>
        <x:v>467.4</x:v>
      </x:c>
      <x:c r="P3885" s="9" t="n">
        <x:f>IF(D3885="Completed",L3885*J3885*(1-K3885),0)</x:f>
        <x:v>0</x:v>
      </x:c>
      <x:c r="Q3885" s="9" t="n">
        <x:f>O3885-P3885</x:f>
        <x:v>467.4</x:v>
      </x:c>
      <x:c r="R3885" s="11" t="n">
        <x:f>IF(D3885="Completed",I3885,0)</x:f>
        <x:v>4</x:v>
      </x:c>
      <x:c r="S3885" s="11" t="n">
        <x:f>IF(D3885="Completed",L3885,0)</x:f>
        <x:v>0</x:v>
      </x:c>
      <x:c r="T3885" s="8" t="n">
        <x:f>DATE(YEAR(C3885),MONTH(C3885),1)</x:f>
        <x:v>45870</x:v>
      </x:c>
    </x:row>
    <x:row r="3886" ht="22" customHeight="1">
      <x:c r="A3886" s="2" t="str">
        <x:v>L003882</x:v>
      </x:c>
      <x:c r="B3886" s="2" t="str">
        <x:v>O01578</x:v>
      </x:c>
      <x:c r="C3886" s="7" t="n">
        <x:v>45958</x:v>
      </x:c>
      <x:c r="D3886" s="2" t="str">
        <x:v>Completed</x:v>
      </x:c>
      <x:c r="E3886" s="2" t="str">
        <x:v>West</x:v>
      </x:c>
      <x:c r="F3886" s="2" t="str">
        <x:v>Online</x:v>
      </x:c>
      <x:c r="G3886" s="2" t="str">
        <x:v>Lighting</x:v>
      </x:c>
      <x:c r="H3886" s="2" t="str">
        <x:v>Lamp 017</x:v>
      </x:c>
      <x:c r="I3886" s="11" t="n">
        <x:v>5</x:v>
      </x:c>
      <x:c r="J3886" s="9" t="n">
        <x:v>300</x:v>
      </x:c>
      <x:c r="K3886" s="10" t="n">
        <x:v>0.1</x:v>
      </x:c>
      <x:c r="L3886" s="11" t="n">
        <x:v>0</x:v>
      </x:c>
      <x:c r="M3886" s="9" t="n">
        <x:f>IF(D3886="Completed",I3886*J3886,0)</x:f>
        <x:v>1500</x:v>
      </x:c>
      <x:c r="N3886" s="9" t="n">
        <x:f>M3886*K3886</x:f>
        <x:v>150</x:v>
      </x:c>
      <x:c r="O3886" s="9" t="n">
        <x:f>M3886-N3886</x:f>
        <x:v>1350</x:v>
      </x:c>
      <x:c r="P3886" s="9" t="n">
        <x:f>IF(D3886="Completed",L3886*J3886*(1-K3886),0)</x:f>
        <x:v>0</x:v>
      </x:c>
      <x:c r="Q3886" s="9" t="n">
        <x:f>O3886-P3886</x:f>
        <x:v>1350</x:v>
      </x:c>
      <x:c r="R3886" s="11" t="n">
        <x:f>IF(D3886="Completed",I3886,0)</x:f>
        <x:v>5</x:v>
      </x:c>
      <x:c r="S3886" s="11" t="n">
        <x:f>IF(D3886="Completed",L3886,0)</x:f>
        <x:v>0</x:v>
      </x:c>
      <x:c r="T3886" s="8" t="n">
        <x:f>DATE(YEAR(C3886),MONTH(C3886),1)</x:f>
        <x:v>45931</x:v>
      </x:c>
    </x:row>
    <x:row r="3887" ht="22" customHeight="1">
      <x:c r="A3887" s="2" t="str">
        <x:v>L003883</x:v>
      </x:c>
      <x:c r="B3887" s="2" t="str">
        <x:v>O01578</x:v>
      </x:c>
      <x:c r="C3887" s="7" t="n">
        <x:v>45958</x:v>
      </x:c>
      <x:c r="D3887" s="2" t="str">
        <x:v>Completed</x:v>
      </x:c>
      <x:c r="E3887" s="2" t="str">
        <x:v>West</x:v>
      </x:c>
      <x:c r="F3887" s="2" t="str">
        <x:v>Online</x:v>
      </x:c>
      <x:c r="G3887" s="2" t="str">
        <x:v>Lighting</x:v>
      </x:c>
      <x:c r="H3887" s="2" t="str">
        <x:v>Lamp 005</x:v>
      </x:c>
      <x:c r="I3887" s="11" t="n">
        <x:v>1</x:v>
      </x:c>
      <x:c r="J3887" s="9" t="n">
        <x:v>65</x:v>
      </x:c>
      <x:c r="K3887" s="10" t="n">
        <x:v>0</x:v>
      </x:c>
      <x:c r="L3887" s="11" t="n">
        <x:v>0</x:v>
      </x:c>
      <x:c r="M3887" s="9" t="n">
        <x:f>IF(D3887="Completed",I3887*J3887,0)</x:f>
        <x:v>65</x:v>
      </x:c>
      <x:c r="N3887" s="9" t="n">
        <x:f>M3887*K3887</x:f>
        <x:v>0</x:v>
      </x:c>
      <x:c r="O3887" s="9" t="n">
        <x:f>M3887-N3887</x:f>
        <x:v>65</x:v>
      </x:c>
      <x:c r="P3887" s="9" t="n">
        <x:f>IF(D3887="Completed",L3887*J3887*(1-K3887),0)</x:f>
        <x:v>0</x:v>
      </x:c>
      <x:c r="Q3887" s="9" t="n">
        <x:f>O3887-P3887</x:f>
        <x:v>65</x:v>
      </x:c>
      <x:c r="R3887" s="11" t="n">
        <x:f>IF(D3887="Completed",I3887,0)</x:f>
        <x:v>1</x:v>
      </x:c>
      <x:c r="S3887" s="11" t="n">
        <x:f>IF(D3887="Completed",L3887,0)</x:f>
        <x:v>0</x:v>
      </x:c>
      <x:c r="T3887" s="8" t="n">
        <x:f>DATE(YEAR(C3887),MONTH(C3887),1)</x:f>
        <x:v>45931</x:v>
      </x:c>
    </x:row>
    <x:row r="3888" ht="22" customHeight="1">
      <x:c r="A3888" s="2" t="str">
        <x:v>L003884</x:v>
      </x:c>
      <x:c r="B3888" s="2" t="str">
        <x:v>O01578</x:v>
      </x:c>
      <x:c r="C3888" s="7" t="n">
        <x:v>45958</x:v>
      </x:c>
      <x:c r="D3888" s="2" t="str">
        <x:v>Completed</x:v>
      </x:c>
      <x:c r="E3888" s="2" t="str">
        <x:v>West</x:v>
      </x:c>
      <x:c r="F3888" s="2" t="str">
        <x:v>Online</x:v>
      </x:c>
      <x:c r="G3888" s="2" t="str">
        <x:v>Furniture</x:v>
      </x:c>
      <x:c r="H3888" s="2" t="str">
        <x:v>Desk 016</x:v>
      </x:c>
      <x:c r="I3888" s="11" t="n">
        <x:v>3</x:v>
      </x:c>
      <x:c r="J3888" s="9" t="n">
        <x:v>231</x:v>
      </x:c>
      <x:c r="K3888" s="10" t="n">
        <x:v>0.05</x:v>
      </x:c>
      <x:c r="L3888" s="11" t="n">
        <x:v>3</x:v>
      </x:c>
      <x:c r="M3888" s="9" t="n">
        <x:f>IF(D3888="Completed",I3888*J3888,0)</x:f>
        <x:v>693</x:v>
      </x:c>
      <x:c r="N3888" s="9" t="n">
        <x:f>M3888*K3888</x:f>
        <x:v>34.65</x:v>
      </x:c>
      <x:c r="O3888" s="9" t="n">
        <x:f>M3888-N3888</x:f>
        <x:v>658.35</x:v>
      </x:c>
      <x:c r="P3888" s="9" t="n">
        <x:f>IF(D3888="Completed",L3888*J3888*(1-K3888),0)</x:f>
        <x:v>658.35</x:v>
      </x:c>
      <x:c r="Q3888" s="9" t="n">
        <x:f>O3888-P3888</x:f>
        <x:v>0</x:v>
      </x:c>
      <x:c r="R3888" s="11" t="n">
        <x:f>IF(D3888="Completed",I3888,0)</x:f>
        <x:v>3</x:v>
      </x:c>
      <x:c r="S3888" s="11" t="n">
        <x:f>IF(D3888="Completed",L3888,0)</x:f>
        <x:v>3</x:v>
      </x:c>
      <x:c r="T3888" s="8" t="n">
        <x:f>DATE(YEAR(C3888),MONTH(C3888),1)</x:f>
        <x:v>45931</x:v>
      </x:c>
    </x:row>
    <x:row r="3889" ht="22" customHeight="1">
      <x:c r="A3889" s="2" t="str">
        <x:v>L003885</x:v>
      </x:c>
      <x:c r="B3889" s="2" t="str">
        <x:v>O01578</x:v>
      </x:c>
      <x:c r="C3889" s="7" t="n">
        <x:v>45958</x:v>
      </x:c>
      <x:c r="D3889" s="2" t="str">
        <x:v>Completed</x:v>
      </x:c>
      <x:c r="E3889" s="2" t="str">
        <x:v>West</x:v>
      </x:c>
      <x:c r="F3889" s="2" t="str">
        <x:v>Online</x:v>
      </x:c>
      <x:c r="G3889" s="2" t="str">
        <x:v>Furniture</x:v>
      </x:c>
      <x:c r="H3889" s="2" t="str">
        <x:v>Desk 020</x:v>
      </x:c>
      <x:c r="I3889" s="11" t="n">
        <x:v>3</x:v>
      </x:c>
      <x:c r="J3889" s="9" t="n">
        <x:v>189</x:v>
      </x:c>
      <x:c r="K3889" s="10" t="n">
        <x:v>0.05</x:v>
      </x:c>
      <x:c r="L3889" s="11" t="n">
        <x:v>0</x:v>
      </x:c>
      <x:c r="M3889" s="9" t="n">
        <x:f>IF(D3889="Completed",I3889*J3889,0)</x:f>
        <x:v>567</x:v>
      </x:c>
      <x:c r="N3889" s="9" t="n">
        <x:f>M3889*K3889</x:f>
        <x:v>28.35</x:v>
      </x:c>
      <x:c r="O3889" s="9" t="n">
        <x:f>M3889-N3889</x:f>
        <x:v>538.65</x:v>
      </x:c>
      <x:c r="P3889" s="9" t="n">
        <x:f>IF(D3889="Completed",L3889*J3889*(1-K3889),0)</x:f>
        <x:v>0</x:v>
      </x:c>
      <x:c r="Q3889" s="9" t="n">
        <x:f>O3889-P3889</x:f>
        <x:v>538.65</x:v>
      </x:c>
      <x:c r="R3889" s="11" t="n">
        <x:f>IF(D3889="Completed",I3889,0)</x:f>
        <x:v>3</x:v>
      </x:c>
      <x:c r="S3889" s="11" t="n">
        <x:f>IF(D3889="Completed",L3889,0)</x:f>
        <x:v>0</x:v>
      </x:c>
      <x:c r="T3889" s="8" t="n">
        <x:f>DATE(YEAR(C3889),MONTH(C3889),1)</x:f>
        <x:v>45931</x:v>
      </x:c>
    </x:row>
    <x:row r="3890" ht="22" customHeight="1">
      <x:c r="A3890" s="2" t="str">
        <x:v>L003886</x:v>
      </x:c>
      <x:c r="B3890" s="2" t="str">
        <x:v>O01579</x:v>
      </x:c>
      <x:c r="C3890" s="7" t="n">
        <x:v>45725</x:v>
      </x:c>
      <x:c r="D3890" s="2" t="str">
        <x:v>Completed</x:v>
      </x:c>
      <x:c r="E3890" s="2" t="str">
        <x:v>West</x:v>
      </x:c>
      <x:c r="F3890" s="2" t="str">
        <x:v>Store</x:v>
      </x:c>
      <x:c r="G3890" s="2" t="str">
        <x:v>Storage</x:v>
      </x:c>
      <x:c r="H3890" s="2" t="str">
        <x:v>Shelf 015</x:v>
      </x:c>
      <x:c r="I3890" s="11" t="n">
        <x:v>1</x:v>
      </x:c>
      <x:c r="J3890" s="9" t="n">
        <x:v>254</x:v>
      </x:c>
      <x:c r="K3890" s="10" t="n">
        <x:v>0.1</x:v>
      </x:c>
      <x:c r="L3890" s="11" t="n">
        <x:v>1</x:v>
      </x:c>
      <x:c r="M3890" s="9" t="n">
        <x:f>IF(D3890="Completed",I3890*J3890,0)</x:f>
        <x:v>254</x:v>
      </x:c>
      <x:c r="N3890" s="9" t="n">
        <x:f>M3890*K3890</x:f>
        <x:v>25.400000000000002</x:v>
      </x:c>
      <x:c r="O3890" s="9" t="n">
        <x:f>M3890-N3890</x:f>
        <x:v>228.6</x:v>
      </x:c>
      <x:c r="P3890" s="9" t="n">
        <x:f>IF(D3890="Completed",L3890*J3890*(1-K3890),0)</x:f>
        <x:v>228.6</x:v>
      </x:c>
      <x:c r="Q3890" s="9" t="n">
        <x:f>O3890-P3890</x:f>
        <x:v>0</x:v>
      </x:c>
      <x:c r="R3890" s="11" t="n">
        <x:f>IF(D3890="Completed",I3890,0)</x:f>
        <x:v>1</x:v>
      </x:c>
      <x:c r="S3890" s="11" t="n">
        <x:f>IF(D3890="Completed",L3890,0)</x:f>
        <x:v>1</x:v>
      </x:c>
      <x:c r="T3890" s="8" t="n">
        <x:f>DATE(YEAR(C3890),MONTH(C3890),1)</x:f>
        <x:v>45717</x:v>
      </x:c>
    </x:row>
    <x:row r="3891" ht="22" customHeight="1">
      <x:c r="A3891" s="2" t="str">
        <x:v>L003887</x:v>
      </x:c>
      <x:c r="B3891" s="2" t="str">
        <x:v>O01580</x:v>
      </x:c>
      <x:c r="C3891" s="7" t="n">
        <x:v>45994</x:v>
      </x:c>
      <x:c r="D3891" s="2" t="str">
        <x:v>Completed</x:v>
      </x:c>
      <x:c r="E3891" s="2" t="str">
        <x:v>East</x:v>
      </x:c>
      <x:c r="F3891" s="2" t="str">
        <x:v>Store</x:v>
      </x:c>
      <x:c r="G3891" s="2" t="str">
        <x:v>Lighting</x:v>
      </x:c>
      <x:c r="H3891" s="2" t="str">
        <x:v>Lamp 009</x:v>
      </x:c>
      <x:c r="I3891" s="11" t="n">
        <x:v>2</x:v>
      </x:c>
      <x:c r="J3891" s="9" t="n">
        <x:v>93</x:v>
      </x:c>
      <x:c r="K3891" s="10" t="n">
        <x:v>0.05</x:v>
      </x:c>
      <x:c r="L3891" s="11" t="n">
        <x:v>0</x:v>
      </x:c>
      <x:c r="M3891" s="9" t="n">
        <x:f>IF(D3891="Completed",I3891*J3891,0)</x:f>
        <x:v>186</x:v>
      </x:c>
      <x:c r="N3891" s="9" t="n">
        <x:f>M3891*K3891</x:f>
        <x:v>9.3</x:v>
      </x:c>
      <x:c r="O3891" s="9" t="n">
        <x:f>M3891-N3891</x:f>
        <x:v>176.7</x:v>
      </x:c>
      <x:c r="P3891" s="9" t="n">
        <x:f>IF(D3891="Completed",L3891*J3891*(1-K3891),0)</x:f>
        <x:v>0</x:v>
      </x:c>
      <x:c r="Q3891" s="9" t="n">
        <x:f>O3891-P3891</x:f>
        <x:v>176.7</x:v>
      </x:c>
      <x:c r="R3891" s="11" t="n">
        <x:f>IF(D3891="Completed",I3891,0)</x:f>
        <x:v>2</x:v>
      </x:c>
      <x:c r="S3891" s="11" t="n">
        <x:f>IF(D3891="Completed",L3891,0)</x:f>
        <x:v>0</x:v>
      </x:c>
      <x:c r="T3891" s="8" t="n">
        <x:f>DATE(YEAR(C3891),MONTH(C3891),1)</x:f>
        <x:v>45992</x:v>
      </x:c>
    </x:row>
    <x:row r="3892" ht="22" customHeight="1">
      <x:c r="A3892" s="2" t="str">
        <x:v>L003888</x:v>
      </x:c>
      <x:c r="B3892" s="2" t="str">
        <x:v>O01581</x:v>
      </x:c>
      <x:c r="C3892" s="7" t="n">
        <x:v>45884</x:v>
      </x:c>
      <x:c r="D3892" s="2" t="str">
        <x:v>Completed</x:v>
      </x:c>
      <x:c r="E3892" s="2" t="str">
        <x:v>South</x:v>
      </x:c>
      <x:c r="F3892" s="2" t="str">
        <x:v>Online</x:v>
      </x:c>
      <x:c r="G3892" s="2" t="str">
        <x:v>Lighting</x:v>
      </x:c>
      <x:c r="H3892" s="2" t="str">
        <x:v>Lamp 001</x:v>
      </x:c>
      <x:c r="I3892" s="11" t="n">
        <x:v>1</x:v>
      </x:c>
      <x:c r="J3892" s="9" t="n">
        <x:v>122</x:v>
      </x:c>
      <x:c r="K3892" s="10" t="n">
        <x:v>0.2</x:v>
      </x:c>
      <x:c r="L3892" s="11" t="n">
        <x:v>0</x:v>
      </x:c>
      <x:c r="M3892" s="9" t="n">
        <x:f>IF(D3892="Completed",I3892*J3892,0)</x:f>
        <x:v>122</x:v>
      </x:c>
      <x:c r="N3892" s="9" t="n">
        <x:f>M3892*K3892</x:f>
        <x:v>24.400000000000002</x:v>
      </x:c>
      <x:c r="O3892" s="9" t="n">
        <x:f>M3892-N3892</x:f>
        <x:v>97.6</x:v>
      </x:c>
      <x:c r="P3892" s="9" t="n">
        <x:f>IF(D3892="Completed",L3892*J3892*(1-K3892),0)</x:f>
        <x:v>0</x:v>
      </x:c>
      <x:c r="Q3892" s="9" t="n">
        <x:f>O3892-P3892</x:f>
        <x:v>97.6</x:v>
      </x:c>
      <x:c r="R3892" s="11" t="n">
        <x:f>IF(D3892="Completed",I3892,0)</x:f>
        <x:v>1</x:v>
      </x:c>
      <x:c r="S3892" s="11" t="n">
        <x:f>IF(D3892="Completed",L3892,0)</x:f>
        <x:v>0</x:v>
      </x:c>
      <x:c r="T3892" s="8" t="n">
        <x:f>DATE(YEAR(C3892),MONTH(C3892),1)</x:f>
        <x:v>45870</x:v>
      </x:c>
    </x:row>
    <x:row r="3893" ht="22" customHeight="1">
      <x:c r="A3893" s="2" t="str">
        <x:v>L003889</x:v>
      </x:c>
      <x:c r="B3893" s="2" t="str">
        <x:v>O01581</x:v>
      </x:c>
      <x:c r="C3893" s="7" t="n">
        <x:v>45884</x:v>
      </x:c>
      <x:c r="D3893" s="2" t="str">
        <x:v>Completed</x:v>
      </x:c>
      <x:c r="E3893" s="2" t="str">
        <x:v>South</x:v>
      </x:c>
      <x:c r="F3893" s="2" t="str">
        <x:v>Online</x:v>
      </x:c>
      <x:c r="G3893" s="2" t="str">
        <x:v>Lighting</x:v>
      </x:c>
      <x:c r="H3893" s="2" t="str">
        <x:v>Lamp 005</x:v>
      </x:c>
      <x:c r="I3893" s="11" t="n">
        <x:v>5</x:v>
      </x:c>
      <x:c r="J3893" s="9" t="n">
        <x:v>65</x:v>
      </x:c>
      <x:c r="K3893" s="10" t="n">
        <x:v>0.1</x:v>
      </x:c>
      <x:c r="L3893" s="11" t="n">
        <x:v>0</x:v>
      </x:c>
      <x:c r="M3893" s="9" t="n">
        <x:f>IF(D3893="Completed",I3893*J3893,0)</x:f>
        <x:v>325</x:v>
      </x:c>
      <x:c r="N3893" s="9" t="n">
        <x:f>M3893*K3893</x:f>
        <x:v>32.5</x:v>
      </x:c>
      <x:c r="O3893" s="9" t="n">
        <x:f>M3893-N3893</x:f>
        <x:v>292.5</x:v>
      </x:c>
      <x:c r="P3893" s="9" t="n">
        <x:f>IF(D3893="Completed",L3893*J3893*(1-K3893),0)</x:f>
        <x:v>0</x:v>
      </x:c>
      <x:c r="Q3893" s="9" t="n">
        <x:f>O3893-P3893</x:f>
        <x:v>292.5</x:v>
      </x:c>
      <x:c r="R3893" s="11" t="n">
        <x:f>IF(D3893="Completed",I3893,0)</x:f>
        <x:v>5</x:v>
      </x:c>
      <x:c r="S3893" s="11" t="n">
        <x:f>IF(D3893="Completed",L3893,0)</x:f>
        <x:v>0</x:v>
      </x:c>
      <x:c r="T3893" s="8" t="n">
        <x:f>DATE(YEAR(C3893),MONTH(C3893),1)</x:f>
        <x:v>45870</x:v>
      </x:c>
    </x:row>
    <x:row r="3894" ht="22" customHeight="1">
      <x:c r="A3894" s="2" t="str">
        <x:v>L003890</x:v>
      </x:c>
      <x:c r="B3894" s="2" t="str">
        <x:v>O01581</x:v>
      </x:c>
      <x:c r="C3894" s="7" t="n">
        <x:v>45884</x:v>
      </x:c>
      <x:c r="D3894" s="2" t="str">
        <x:v>Completed</x:v>
      </x:c>
      <x:c r="E3894" s="2" t="str">
        <x:v>South</x:v>
      </x:c>
      <x:c r="F3894" s="2" t="str">
        <x:v>Online</x:v>
      </x:c>
      <x:c r="G3894" s="2" t="str">
        <x:v>Lighting</x:v>
      </x:c>
      <x:c r="H3894" s="2" t="str">
        <x:v>Lamp 013</x:v>
      </x:c>
      <x:c r="I3894" s="11" t="n">
        <x:v>4</x:v>
      </x:c>
      <x:c r="J3894" s="9" t="n">
        <x:v>271</x:v>
      </x:c>
      <x:c r="K3894" s="10" t="n">
        <x:v>0</x:v>
      </x:c>
      <x:c r="L3894" s="11" t="n">
        <x:v>0</x:v>
      </x:c>
      <x:c r="M3894" s="9" t="n">
        <x:f>IF(D3894="Completed",I3894*J3894,0)</x:f>
        <x:v>1084</x:v>
      </x:c>
      <x:c r="N3894" s="9" t="n">
        <x:f>M3894*K3894</x:f>
        <x:v>0</x:v>
      </x:c>
      <x:c r="O3894" s="9" t="n">
        <x:f>M3894-N3894</x:f>
        <x:v>1084</x:v>
      </x:c>
      <x:c r="P3894" s="9" t="n">
        <x:f>IF(D3894="Completed",L3894*J3894*(1-K3894),0)</x:f>
        <x:v>0</x:v>
      </x:c>
      <x:c r="Q3894" s="9" t="n">
        <x:f>O3894-P3894</x:f>
        <x:v>1084</x:v>
      </x:c>
      <x:c r="R3894" s="11" t="n">
        <x:f>IF(D3894="Completed",I3894,0)</x:f>
        <x:v>4</x:v>
      </x:c>
      <x:c r="S3894" s="11" t="n">
        <x:f>IF(D3894="Completed",L3894,0)</x:f>
        <x:v>0</x:v>
      </x:c>
      <x:c r="T3894" s="8" t="n">
        <x:f>DATE(YEAR(C3894),MONTH(C3894),1)</x:f>
        <x:v>45870</x:v>
      </x:c>
    </x:row>
    <x:row r="3895" ht="22" customHeight="1">
      <x:c r="A3895" s="2" t="str">
        <x:v>L003891</x:v>
      </x:c>
      <x:c r="B3895" s="2" t="str">
        <x:v>O01582</x:v>
      </x:c>
      <x:c r="C3895" s="7" t="n">
        <x:v>45878</x:v>
      </x:c>
      <x:c r="D3895" s="2" t="str">
        <x:v>Completed</x:v>
      </x:c>
      <x:c r="E3895" s="2" t="str">
        <x:v>West</x:v>
      </x:c>
      <x:c r="F3895" s="2" t="str">
        <x:v>Online</x:v>
      </x:c>
      <x:c r="G3895" s="2" t="str">
        <x:v>Storage</x:v>
      </x:c>
      <x:c r="H3895" s="2" t="str">
        <x:v>Shelf 015</x:v>
      </x:c>
      <x:c r="I3895" s="11" t="n">
        <x:v>2</x:v>
      </x:c>
      <x:c r="J3895" s="9" t="n">
        <x:v>254</x:v>
      </x:c>
      <x:c r="K3895" s="10" t="n">
        <x:v>0.2</x:v>
      </x:c>
      <x:c r="L3895" s="11" t="n">
        <x:v>0</x:v>
      </x:c>
      <x:c r="M3895" s="9" t="n">
        <x:f>IF(D3895="Completed",I3895*J3895,0)</x:f>
        <x:v>508</x:v>
      </x:c>
      <x:c r="N3895" s="9" t="n">
        <x:f>M3895*K3895</x:f>
        <x:v>101.60000000000001</x:v>
      </x:c>
      <x:c r="O3895" s="9" t="n">
        <x:f>M3895-N3895</x:f>
        <x:v>406.4</x:v>
      </x:c>
      <x:c r="P3895" s="9" t="n">
        <x:f>IF(D3895="Completed",L3895*J3895*(1-K3895),0)</x:f>
        <x:v>0</x:v>
      </x:c>
      <x:c r="Q3895" s="9" t="n">
        <x:f>O3895-P3895</x:f>
        <x:v>406.4</x:v>
      </x:c>
      <x:c r="R3895" s="11" t="n">
        <x:f>IF(D3895="Completed",I3895,0)</x:f>
        <x:v>2</x:v>
      </x:c>
      <x:c r="S3895" s="11" t="n">
        <x:f>IF(D3895="Completed",L3895,0)</x:f>
        <x:v>0</x:v>
      </x:c>
      <x:c r="T3895" s="8" t="n">
        <x:f>DATE(YEAR(C3895),MONTH(C3895),1)</x:f>
        <x:v>45870</x:v>
      </x:c>
    </x:row>
    <x:row r="3896" ht="22" customHeight="1">
      <x:c r="A3896" s="2" t="str">
        <x:v>L003892</x:v>
      </x:c>
      <x:c r="B3896" s="2" t="str">
        <x:v>O01582</x:v>
      </x:c>
      <x:c r="C3896" s="7" t="n">
        <x:v>45878</x:v>
      </x:c>
      <x:c r="D3896" s="2" t="str">
        <x:v>Completed</x:v>
      </x:c>
      <x:c r="E3896" s="2" t="str">
        <x:v>West</x:v>
      </x:c>
      <x:c r="F3896" s="2" t="str">
        <x:v>Online</x:v>
      </x:c>
      <x:c r="G3896" s="2" t="str">
        <x:v>Furniture</x:v>
      </x:c>
      <x:c r="H3896" s="2" t="str">
        <x:v>Chair 018</x:v>
      </x:c>
      <x:c r="I3896" s="11" t="n">
        <x:v>3</x:v>
      </x:c>
      <x:c r="J3896" s="9" t="n">
        <x:v>269</x:v>
      </x:c>
      <x:c r="K3896" s="10" t="n">
        <x:v>0.1</x:v>
      </x:c>
      <x:c r="L3896" s="11" t="n">
        <x:v>0</x:v>
      </x:c>
      <x:c r="M3896" s="9" t="n">
        <x:f>IF(D3896="Completed",I3896*J3896,0)</x:f>
        <x:v>807</x:v>
      </x:c>
      <x:c r="N3896" s="9" t="n">
        <x:f>M3896*K3896</x:f>
        <x:v>80.7</x:v>
      </x:c>
      <x:c r="O3896" s="9" t="n">
        <x:f>M3896-N3896</x:f>
        <x:v>726.3</x:v>
      </x:c>
      <x:c r="P3896" s="9" t="n">
        <x:f>IF(D3896="Completed",L3896*J3896*(1-K3896),0)</x:f>
        <x:v>0</x:v>
      </x:c>
      <x:c r="Q3896" s="9" t="n">
        <x:f>O3896-P3896</x:f>
        <x:v>726.3</x:v>
      </x:c>
      <x:c r="R3896" s="11" t="n">
        <x:f>IF(D3896="Completed",I3896,0)</x:f>
        <x:v>3</x:v>
      </x:c>
      <x:c r="S3896" s="11" t="n">
        <x:f>IF(D3896="Completed",L3896,0)</x:f>
        <x:v>0</x:v>
      </x:c>
      <x:c r="T3896" s="8" t="n">
        <x:f>DATE(YEAR(C3896),MONTH(C3896),1)</x:f>
        <x:v>45870</x:v>
      </x:c>
    </x:row>
    <x:row r="3897" ht="22" customHeight="1">
      <x:c r="A3897" s="2" t="str">
        <x:v>L003893</x:v>
      </x:c>
      <x:c r="B3897" s="2" t="str">
        <x:v>O01582</x:v>
      </x:c>
      <x:c r="C3897" s="7" t="n">
        <x:v>45878</x:v>
      </x:c>
      <x:c r="D3897" s="2" t="str">
        <x:v>Completed</x:v>
      </x:c>
      <x:c r="E3897" s="2" t="str">
        <x:v>West</x:v>
      </x:c>
      <x:c r="F3897" s="2" t="str">
        <x:v>Online</x:v>
      </x:c>
      <x:c r="G3897" s="2" t="str">
        <x:v>Storage</x:v>
      </x:c>
      <x:c r="H3897" s="2" t="str">
        <x:v>Shelf 015</x:v>
      </x:c>
      <x:c r="I3897" s="11" t="n">
        <x:v>5</x:v>
      </x:c>
      <x:c r="J3897" s="9" t="n">
        <x:v>254</x:v>
      </x:c>
      <x:c r="K3897" s="10" t="n">
        <x:v>0.05</x:v>
      </x:c>
      <x:c r="L3897" s="11" t="n">
        <x:v>0</x:v>
      </x:c>
      <x:c r="M3897" s="9" t="n">
        <x:f>IF(D3897="Completed",I3897*J3897,0)</x:f>
        <x:v>1270</x:v>
      </x:c>
      <x:c r="N3897" s="9" t="n">
        <x:f>M3897*K3897</x:f>
        <x:v>63.5</x:v>
      </x:c>
      <x:c r="O3897" s="9" t="n">
        <x:f>M3897-N3897</x:f>
        <x:v>1206.5</x:v>
      </x:c>
      <x:c r="P3897" s="9" t="n">
        <x:f>IF(D3897="Completed",L3897*J3897*(1-K3897),0)</x:f>
        <x:v>0</x:v>
      </x:c>
      <x:c r="Q3897" s="9" t="n">
        <x:f>O3897-P3897</x:f>
        <x:v>1206.5</x:v>
      </x:c>
      <x:c r="R3897" s="11" t="n">
        <x:f>IF(D3897="Completed",I3897,0)</x:f>
        <x:v>5</x:v>
      </x:c>
      <x:c r="S3897" s="11" t="n">
        <x:f>IF(D3897="Completed",L3897,0)</x:f>
        <x:v>0</x:v>
      </x:c>
      <x:c r="T3897" s="8" t="n">
        <x:f>DATE(YEAR(C3897),MONTH(C3897),1)</x:f>
        <x:v>45870</x:v>
      </x:c>
    </x:row>
    <x:row r="3898" ht="22" customHeight="1">
      <x:c r="A3898" s="2" t="str">
        <x:v>L003894</x:v>
      </x:c>
      <x:c r="B3898" s="2" t="str">
        <x:v>O01583</x:v>
      </x:c>
      <x:c r="C3898" s="7" t="n">
        <x:v>45741</x:v>
      </x:c>
      <x:c r="D3898" s="2" t="str">
        <x:v>Completed</x:v>
      </x:c>
      <x:c r="E3898" s="2" t="str">
        <x:v>North</x:v>
      </x:c>
      <x:c r="F3898" s="2" t="str">
        <x:v>Online</x:v>
      </x:c>
      <x:c r="G3898" s="2" t="str">
        <x:v>Lighting</x:v>
      </x:c>
      <x:c r="H3898" s="2" t="str">
        <x:v>Lamp 009</x:v>
      </x:c>
      <x:c r="I3898" s="11" t="n">
        <x:v>4</x:v>
      </x:c>
      <x:c r="J3898" s="9" t="n">
        <x:v>93</x:v>
      </x:c>
      <x:c r="K3898" s="10" t="n">
        <x:v>0</x:v>
      </x:c>
      <x:c r="L3898" s="11" t="n">
        <x:v>0</x:v>
      </x:c>
      <x:c r="M3898" s="9" t="n">
        <x:f>IF(D3898="Completed",I3898*J3898,0)</x:f>
        <x:v>372</x:v>
      </x:c>
      <x:c r="N3898" s="9" t="n">
        <x:f>M3898*K3898</x:f>
        <x:v>0</x:v>
      </x:c>
      <x:c r="O3898" s="9" t="n">
        <x:f>M3898-N3898</x:f>
        <x:v>372</x:v>
      </x:c>
      <x:c r="P3898" s="9" t="n">
        <x:f>IF(D3898="Completed",L3898*J3898*(1-K3898),0)</x:f>
        <x:v>0</x:v>
      </x:c>
      <x:c r="Q3898" s="9" t="n">
        <x:f>O3898-P3898</x:f>
        <x:v>372</x:v>
      </x:c>
      <x:c r="R3898" s="11" t="n">
        <x:f>IF(D3898="Completed",I3898,0)</x:f>
        <x:v>4</x:v>
      </x:c>
      <x:c r="S3898" s="11" t="n">
        <x:f>IF(D3898="Completed",L3898,0)</x:f>
        <x:v>0</x:v>
      </x:c>
      <x:c r="T3898" s="8" t="n">
        <x:f>DATE(YEAR(C3898),MONTH(C3898),1)</x:f>
        <x:v>45717</x:v>
      </x:c>
    </x:row>
    <x:row r="3899" ht="22" customHeight="1">
      <x:c r="A3899" s="2" t="str">
        <x:v>L003895</x:v>
      </x:c>
      <x:c r="B3899" s="2" t="str">
        <x:v>O01583</x:v>
      </x:c>
      <x:c r="C3899" s="7" t="n">
        <x:v>45741</x:v>
      </x:c>
      <x:c r="D3899" s="2" t="str">
        <x:v>Completed</x:v>
      </x:c>
      <x:c r="E3899" s="2" t="str">
        <x:v>North</x:v>
      </x:c>
      <x:c r="F3899" s="2" t="str">
        <x:v>Online</x:v>
      </x:c>
      <x:c r="G3899" s="2" t="str">
        <x:v>Storage</x:v>
      </x:c>
      <x:c r="H3899" s="2" t="str">
        <x:v>Shelf 007</x:v>
      </x:c>
      <x:c r="I3899" s="11" t="n">
        <x:v>4</x:v>
      </x:c>
      <x:c r="J3899" s="9" t="n">
        <x:v>35</x:v>
      </x:c>
      <x:c r="K3899" s="10" t="n">
        <x:v>0.1</x:v>
      </x:c>
      <x:c r="L3899" s="11" t="n">
        <x:v>3</x:v>
      </x:c>
      <x:c r="M3899" s="9" t="n">
        <x:f>IF(D3899="Completed",I3899*J3899,0)</x:f>
        <x:v>140</x:v>
      </x:c>
      <x:c r="N3899" s="9" t="n">
        <x:f>M3899*K3899</x:f>
        <x:v>14</x:v>
      </x:c>
      <x:c r="O3899" s="9" t="n">
        <x:f>M3899-N3899</x:f>
        <x:v>126</x:v>
      </x:c>
      <x:c r="P3899" s="9" t="n">
        <x:f>IF(D3899="Completed",L3899*J3899*(1-K3899),0)</x:f>
        <x:v>94.5</x:v>
      </x:c>
      <x:c r="Q3899" s="9" t="n">
        <x:f>O3899-P3899</x:f>
        <x:v>31.5</x:v>
      </x:c>
      <x:c r="R3899" s="11" t="n">
        <x:f>IF(D3899="Completed",I3899,0)</x:f>
        <x:v>4</x:v>
      </x:c>
      <x:c r="S3899" s="11" t="n">
        <x:f>IF(D3899="Completed",L3899,0)</x:f>
        <x:v>3</x:v>
      </x:c>
      <x:c r="T3899" s="8" t="n">
        <x:f>DATE(YEAR(C3899),MONTH(C3899),1)</x:f>
        <x:v>45717</x:v>
      </x:c>
    </x:row>
    <x:row r="3900" ht="22" customHeight="1">
      <x:c r="A3900" s="2" t="str">
        <x:v>L003896</x:v>
      </x:c>
      <x:c r="B3900" s="2" t="str">
        <x:v>O01583</x:v>
      </x:c>
      <x:c r="C3900" s="7" t="n">
        <x:v>45741</x:v>
      </x:c>
      <x:c r="D3900" s="2" t="str">
        <x:v>Completed</x:v>
      </x:c>
      <x:c r="E3900" s="2" t="str">
        <x:v>North</x:v>
      </x:c>
      <x:c r="F3900" s="2" t="str">
        <x:v>Online</x:v>
      </x:c>
      <x:c r="G3900" s="2" t="str">
        <x:v>Furniture</x:v>
      </x:c>
      <x:c r="H3900" s="2" t="str">
        <x:v>Desk 024</x:v>
      </x:c>
      <x:c r="I3900" s="11" t="n">
        <x:v>4</x:v>
      </x:c>
      <x:c r="J3900" s="9" t="n">
        <x:v>81</x:v>
      </x:c>
      <x:c r="K3900" s="10" t="n">
        <x:v>0.05</x:v>
      </x:c>
      <x:c r="L3900" s="11" t="n">
        <x:v>0</x:v>
      </x:c>
      <x:c r="M3900" s="9" t="n">
        <x:f>IF(D3900="Completed",I3900*J3900,0)</x:f>
        <x:v>324</x:v>
      </x:c>
      <x:c r="N3900" s="9" t="n">
        <x:f>M3900*K3900</x:f>
        <x:v>16.2</x:v>
      </x:c>
      <x:c r="O3900" s="9" t="n">
        <x:f>M3900-N3900</x:f>
        <x:v>307.8</x:v>
      </x:c>
      <x:c r="P3900" s="9" t="n">
        <x:f>IF(D3900="Completed",L3900*J3900*(1-K3900),0)</x:f>
        <x:v>0</x:v>
      </x:c>
      <x:c r="Q3900" s="9" t="n">
        <x:f>O3900-P3900</x:f>
        <x:v>307.8</x:v>
      </x:c>
      <x:c r="R3900" s="11" t="n">
        <x:f>IF(D3900="Completed",I3900,0)</x:f>
        <x:v>4</x:v>
      </x:c>
      <x:c r="S3900" s="11" t="n">
        <x:f>IF(D3900="Completed",L3900,0)</x:f>
        <x:v>0</x:v>
      </x:c>
      <x:c r="T3900" s="8" t="n">
        <x:f>DATE(YEAR(C3900),MONTH(C3900),1)</x:f>
        <x:v>45717</x:v>
      </x:c>
    </x:row>
    <x:row r="3901" ht="22" customHeight="1">
      <x:c r="A3901" s="2" t="str">
        <x:v>L003897</x:v>
      </x:c>
      <x:c r="B3901" s="2" t="str">
        <x:v>O01583</x:v>
      </x:c>
      <x:c r="C3901" s="7" t="n">
        <x:v>45741</x:v>
      </x:c>
      <x:c r="D3901" s="2" t="str">
        <x:v>Completed</x:v>
      </x:c>
      <x:c r="E3901" s="2" t="str">
        <x:v>North</x:v>
      </x:c>
      <x:c r="F3901" s="2" t="str">
        <x:v>Online</x:v>
      </x:c>
      <x:c r="G3901" s="2" t="str">
        <x:v>Furniture</x:v>
      </x:c>
      <x:c r="H3901" s="2" t="str">
        <x:v>Chair 010</x:v>
      </x:c>
      <x:c r="I3901" s="11" t="n">
        <x:v>2</x:v>
      </x:c>
      <x:c r="J3901" s="9" t="n">
        <x:v>211</x:v>
      </x:c>
      <x:c r="K3901" s="10" t="n">
        <x:v>0.05</x:v>
      </x:c>
      <x:c r="L3901" s="11" t="n">
        <x:v>0</x:v>
      </x:c>
      <x:c r="M3901" s="9" t="n">
        <x:f>IF(D3901="Completed",I3901*J3901,0)</x:f>
        <x:v>422</x:v>
      </x:c>
      <x:c r="N3901" s="9" t="n">
        <x:f>M3901*K3901</x:f>
        <x:v>21.1</x:v>
      </x:c>
      <x:c r="O3901" s="9" t="n">
        <x:f>M3901-N3901</x:f>
        <x:v>400.9</x:v>
      </x:c>
      <x:c r="P3901" s="9" t="n">
        <x:f>IF(D3901="Completed",L3901*J3901*(1-K3901),0)</x:f>
        <x:v>0</x:v>
      </x:c>
      <x:c r="Q3901" s="9" t="n">
        <x:f>O3901-P3901</x:f>
        <x:v>400.9</x:v>
      </x:c>
      <x:c r="R3901" s="11" t="n">
        <x:f>IF(D3901="Completed",I3901,0)</x:f>
        <x:v>2</x:v>
      </x:c>
      <x:c r="S3901" s="11" t="n">
        <x:f>IF(D3901="Completed",L3901,0)</x:f>
        <x:v>0</x:v>
      </x:c>
      <x:c r="T3901" s="8" t="n">
        <x:f>DATE(YEAR(C3901),MONTH(C3901),1)</x:f>
        <x:v>45717</x:v>
      </x:c>
    </x:row>
    <x:row r="3902" ht="22" customHeight="1">
      <x:c r="A3902" s="2" t="str">
        <x:v>L003898</x:v>
      </x:c>
      <x:c r="B3902" s="2" t="str">
        <x:v>O01584</x:v>
      </x:c>
      <x:c r="C3902" s="7" t="n">
        <x:v>45713</x:v>
      </x:c>
      <x:c r="D3902" s="2" t="str">
        <x:v>Completed</x:v>
      </x:c>
      <x:c r="E3902" s="2" t="str">
        <x:v>West</x:v>
      </x:c>
      <x:c r="F3902" s="2" t="str">
        <x:v>Online</x:v>
      </x:c>
      <x:c r="G3902" s="2" t="str">
        <x:v>Lighting</x:v>
      </x:c>
      <x:c r="H3902" s="2" t="str">
        <x:v>Lamp 013</x:v>
      </x:c>
      <x:c r="I3902" s="11" t="n">
        <x:v>2</x:v>
      </x:c>
      <x:c r="J3902" s="9" t="n">
        <x:v>271</x:v>
      </x:c>
      <x:c r="K3902" s="10" t="n">
        <x:v>0.05</x:v>
      </x:c>
      <x:c r="L3902" s="11" t="n">
        <x:v>0</x:v>
      </x:c>
      <x:c r="M3902" s="9" t="n">
        <x:f>IF(D3902="Completed",I3902*J3902,0)</x:f>
        <x:v>542</x:v>
      </x:c>
      <x:c r="N3902" s="9" t="n">
        <x:f>M3902*K3902</x:f>
        <x:v>27.1</x:v>
      </x:c>
      <x:c r="O3902" s="9" t="n">
        <x:f>M3902-N3902</x:f>
        <x:v>514.9</x:v>
      </x:c>
      <x:c r="P3902" s="9" t="n">
        <x:f>IF(D3902="Completed",L3902*J3902*(1-K3902),0)</x:f>
        <x:v>0</x:v>
      </x:c>
      <x:c r="Q3902" s="9" t="n">
        <x:f>O3902-P3902</x:f>
        <x:v>514.9</x:v>
      </x:c>
      <x:c r="R3902" s="11" t="n">
        <x:f>IF(D3902="Completed",I3902,0)</x:f>
        <x:v>2</x:v>
      </x:c>
      <x:c r="S3902" s="11" t="n">
        <x:f>IF(D3902="Completed",L3902,0)</x:f>
        <x:v>0</x:v>
      </x:c>
      <x:c r="T3902" s="8" t="n">
        <x:f>DATE(YEAR(C3902),MONTH(C3902),1)</x:f>
        <x:v>45689</x:v>
      </x:c>
    </x:row>
    <x:row r="3903" ht="22" customHeight="1">
      <x:c r="A3903" s="2" t="str">
        <x:v>L003899</x:v>
      </x:c>
      <x:c r="B3903" s="2" t="str">
        <x:v>O01584</x:v>
      </x:c>
      <x:c r="C3903" s="7" t="n">
        <x:v>45713</x:v>
      </x:c>
      <x:c r="D3903" s="2" t="str">
        <x:v>Completed</x:v>
      </x:c>
      <x:c r="E3903" s="2" t="str">
        <x:v>West</x:v>
      </x:c>
      <x:c r="F3903" s="2" t="str">
        <x:v>Online</x:v>
      </x:c>
      <x:c r="G3903" s="2" t="str">
        <x:v>Lighting</x:v>
      </x:c>
      <x:c r="H3903" s="2" t="str">
        <x:v>Lamp 009</x:v>
      </x:c>
      <x:c r="I3903" s="11" t="n">
        <x:v>4</x:v>
      </x:c>
      <x:c r="J3903" s="9" t="n">
        <x:v>93</x:v>
      </x:c>
      <x:c r="K3903" s="10" t="n">
        <x:v>0</x:v>
      </x:c>
      <x:c r="L3903" s="11" t="n">
        <x:v>0</x:v>
      </x:c>
      <x:c r="M3903" s="9" t="n">
        <x:f>IF(D3903="Completed",I3903*J3903,0)</x:f>
        <x:v>372</x:v>
      </x:c>
      <x:c r="N3903" s="9" t="n">
        <x:f>M3903*K3903</x:f>
        <x:v>0</x:v>
      </x:c>
      <x:c r="O3903" s="9" t="n">
        <x:f>M3903-N3903</x:f>
        <x:v>372</x:v>
      </x:c>
      <x:c r="P3903" s="9" t="n">
        <x:f>IF(D3903="Completed",L3903*J3903*(1-K3903),0)</x:f>
        <x:v>0</x:v>
      </x:c>
      <x:c r="Q3903" s="9" t="n">
        <x:f>O3903-P3903</x:f>
        <x:v>372</x:v>
      </x:c>
      <x:c r="R3903" s="11" t="n">
        <x:f>IF(D3903="Completed",I3903,0)</x:f>
        <x:v>4</x:v>
      </x:c>
      <x:c r="S3903" s="11" t="n">
        <x:f>IF(D3903="Completed",L3903,0)</x:f>
        <x:v>0</x:v>
      </x:c>
      <x:c r="T3903" s="8" t="n">
        <x:f>DATE(YEAR(C3903),MONTH(C3903),1)</x:f>
        <x:v>45689</x:v>
      </x:c>
    </x:row>
    <x:row r="3904" ht="22" customHeight="1">
      <x:c r="A3904" s="2" t="str">
        <x:v>L003900</x:v>
      </x:c>
      <x:c r="B3904" s="2" t="str">
        <x:v>O01585</x:v>
      </x:c>
      <x:c r="C3904" s="7" t="n">
        <x:v>45987</x:v>
      </x:c>
      <x:c r="D3904" s="2" t="str">
        <x:v>Completed</x:v>
      </x:c>
      <x:c r="E3904" s="2" t="str">
        <x:v>West</x:v>
      </x:c>
      <x:c r="F3904" s="2" t="str">
        <x:v>Online</x:v>
      </x:c>
      <x:c r="G3904" s="2" t="str">
        <x:v>Lighting</x:v>
      </x:c>
      <x:c r="H3904" s="2" t="str">
        <x:v>Lamp 021</x:v>
      </x:c>
      <x:c r="I3904" s="11" t="n">
        <x:v>1</x:v>
      </x:c>
      <x:c r="J3904" s="9" t="n">
        <x:v>249</x:v>
      </x:c>
      <x:c r="K3904" s="10" t="n">
        <x:v>0</x:v>
      </x:c>
      <x:c r="L3904" s="11" t="n">
        <x:v>0</x:v>
      </x:c>
      <x:c r="M3904" s="9" t="n">
        <x:f>IF(D3904="Completed",I3904*J3904,0)</x:f>
        <x:v>249</x:v>
      </x:c>
      <x:c r="N3904" s="9" t="n">
        <x:f>M3904*K3904</x:f>
        <x:v>0</x:v>
      </x:c>
      <x:c r="O3904" s="9" t="n">
        <x:f>M3904-N3904</x:f>
        <x:v>249</x:v>
      </x:c>
      <x:c r="P3904" s="9" t="n">
        <x:f>IF(D3904="Completed",L3904*J3904*(1-K3904),0)</x:f>
        <x:v>0</x:v>
      </x:c>
      <x:c r="Q3904" s="9" t="n">
        <x:f>O3904-P3904</x:f>
        <x:v>249</x:v>
      </x:c>
      <x:c r="R3904" s="11" t="n">
        <x:f>IF(D3904="Completed",I3904,0)</x:f>
        <x:v>1</x:v>
      </x:c>
      <x:c r="S3904" s="11" t="n">
        <x:f>IF(D3904="Completed",L3904,0)</x:f>
        <x:v>0</x:v>
      </x:c>
      <x:c r="T3904" s="8" t="n">
        <x:f>DATE(YEAR(C3904),MONTH(C3904),1)</x:f>
        <x:v>45962</x:v>
      </x:c>
    </x:row>
    <x:row r="3905" ht="22" customHeight="1">
      <x:c r="A3905" s="2" t="str">
        <x:v>L003901</x:v>
      </x:c>
      <x:c r="B3905" s="2" t="str">
        <x:v>O01586</x:v>
      </x:c>
      <x:c r="C3905" s="7" t="n">
        <x:v>45952</x:v>
      </x:c>
      <x:c r="D3905" s="2" t="str">
        <x:v>Completed</x:v>
      </x:c>
      <x:c r="E3905" s="2" t="str">
        <x:v>West</x:v>
      </x:c>
      <x:c r="F3905" s="2" t="str">
        <x:v>Store</x:v>
      </x:c>
      <x:c r="G3905" s="2" t="str">
        <x:v>Storage</x:v>
      </x:c>
      <x:c r="H3905" s="2" t="str">
        <x:v>Shelf 023</x:v>
      </x:c>
      <x:c r="I3905" s="11" t="n">
        <x:v>3</x:v>
      </x:c>
      <x:c r="J3905" s="9" t="n">
        <x:v>68</x:v>
      </x:c>
      <x:c r="K3905" s="10" t="n">
        <x:v>0</x:v>
      </x:c>
      <x:c r="L3905" s="11" t="n">
        <x:v>0</x:v>
      </x:c>
      <x:c r="M3905" s="9" t="n">
        <x:f>IF(D3905="Completed",I3905*J3905,0)</x:f>
        <x:v>204</x:v>
      </x:c>
      <x:c r="N3905" s="9" t="n">
        <x:f>M3905*K3905</x:f>
        <x:v>0</x:v>
      </x:c>
      <x:c r="O3905" s="9" t="n">
        <x:f>M3905-N3905</x:f>
        <x:v>204</x:v>
      </x:c>
      <x:c r="P3905" s="9" t="n">
        <x:f>IF(D3905="Completed",L3905*J3905*(1-K3905),0)</x:f>
        <x:v>0</x:v>
      </x:c>
      <x:c r="Q3905" s="9" t="n">
        <x:f>O3905-P3905</x:f>
        <x:v>204</x:v>
      </x:c>
      <x:c r="R3905" s="11" t="n">
        <x:f>IF(D3905="Completed",I3905,0)</x:f>
        <x:v>3</x:v>
      </x:c>
      <x:c r="S3905" s="11" t="n">
        <x:f>IF(D3905="Completed",L3905,0)</x:f>
        <x:v>0</x:v>
      </x:c>
      <x:c r="T3905" s="8" t="n">
        <x:f>DATE(YEAR(C3905),MONTH(C3905),1)</x:f>
        <x:v>45931</x:v>
      </x:c>
    </x:row>
    <x:row r="3906" ht="22" customHeight="1">
      <x:c r="A3906" s="2" t="str">
        <x:v>L003902</x:v>
      </x:c>
      <x:c r="B3906" s="2" t="str">
        <x:v>O01586</x:v>
      </x:c>
      <x:c r="C3906" s="7" t="n">
        <x:v>45952</x:v>
      </x:c>
      <x:c r="D3906" s="2" t="str">
        <x:v>Completed</x:v>
      </x:c>
      <x:c r="E3906" s="2" t="str">
        <x:v>West</x:v>
      </x:c>
      <x:c r="F3906" s="2" t="str">
        <x:v>Store</x:v>
      </x:c>
      <x:c r="G3906" s="2" t="str">
        <x:v>Furniture</x:v>
      </x:c>
      <x:c r="H3906" s="2" t="str">
        <x:v>Chair 014</x:v>
      </x:c>
      <x:c r="I3906" s="11" t="n">
        <x:v>4</x:v>
      </x:c>
      <x:c r="J3906" s="9" t="n">
        <x:v>294</x:v>
      </x:c>
      <x:c r="K3906" s="10" t="n">
        <x:v>0.2</x:v>
      </x:c>
      <x:c r="L3906" s="11" t="n">
        <x:v>0</x:v>
      </x:c>
      <x:c r="M3906" s="9" t="n">
        <x:f>IF(D3906="Completed",I3906*J3906,0)</x:f>
        <x:v>1176</x:v>
      </x:c>
      <x:c r="N3906" s="9" t="n">
        <x:f>M3906*K3906</x:f>
        <x:v>235.20000000000002</x:v>
      </x:c>
      <x:c r="O3906" s="9" t="n">
        <x:f>M3906-N3906</x:f>
        <x:v>940.8</x:v>
      </x:c>
      <x:c r="P3906" s="9" t="n">
        <x:f>IF(D3906="Completed",L3906*J3906*(1-K3906),0)</x:f>
        <x:v>0</x:v>
      </x:c>
      <x:c r="Q3906" s="9" t="n">
        <x:f>O3906-P3906</x:f>
        <x:v>940.8</x:v>
      </x:c>
      <x:c r="R3906" s="11" t="n">
        <x:f>IF(D3906="Completed",I3906,0)</x:f>
        <x:v>4</x:v>
      </x:c>
      <x:c r="S3906" s="11" t="n">
        <x:f>IF(D3906="Completed",L3906,0)</x:f>
        <x:v>0</x:v>
      </x:c>
      <x:c r="T3906" s="8" t="n">
        <x:f>DATE(YEAR(C3906),MONTH(C3906),1)</x:f>
        <x:v>45931</x:v>
      </x:c>
    </x:row>
    <x:row r="3907" ht="22" customHeight="1">
      <x:c r="A3907" s="2" t="str">
        <x:v>L003903</x:v>
      </x:c>
      <x:c r="B3907" s="2" t="str">
        <x:v>O01586</x:v>
      </x:c>
      <x:c r="C3907" s="7" t="n">
        <x:v>45952</x:v>
      </x:c>
      <x:c r="D3907" s="2" t="str">
        <x:v>Completed</x:v>
      </x:c>
      <x:c r="E3907" s="2" t="str">
        <x:v>West</x:v>
      </x:c>
      <x:c r="F3907" s="2" t="str">
        <x:v>Store</x:v>
      </x:c>
      <x:c r="G3907" s="2" t="str">
        <x:v>Furniture</x:v>
      </x:c>
      <x:c r="H3907" s="2" t="str">
        <x:v>Chair 014</x:v>
      </x:c>
      <x:c r="I3907" s="11" t="n">
        <x:v>1</x:v>
      </x:c>
      <x:c r="J3907" s="9" t="n">
        <x:v>294</x:v>
      </x:c>
      <x:c r="K3907" s="10" t="n">
        <x:v>0.05</x:v>
      </x:c>
      <x:c r="L3907" s="11" t="n">
        <x:v>0</x:v>
      </x:c>
      <x:c r="M3907" s="9" t="n">
        <x:f>IF(D3907="Completed",I3907*J3907,0)</x:f>
        <x:v>294</x:v>
      </x:c>
      <x:c r="N3907" s="9" t="n">
        <x:f>M3907*K3907</x:f>
        <x:v>14.700000000000001</x:v>
      </x:c>
      <x:c r="O3907" s="9" t="n">
        <x:f>M3907-N3907</x:f>
        <x:v>279.3</x:v>
      </x:c>
      <x:c r="P3907" s="9" t="n">
        <x:f>IF(D3907="Completed",L3907*J3907*(1-K3907),0)</x:f>
        <x:v>0</x:v>
      </x:c>
      <x:c r="Q3907" s="9" t="n">
        <x:f>O3907-P3907</x:f>
        <x:v>279.3</x:v>
      </x:c>
      <x:c r="R3907" s="11" t="n">
        <x:f>IF(D3907="Completed",I3907,0)</x:f>
        <x:v>1</x:v>
      </x:c>
      <x:c r="S3907" s="11" t="n">
        <x:f>IF(D3907="Completed",L3907,0)</x:f>
        <x:v>0</x:v>
      </x:c>
      <x:c r="T3907" s="8" t="n">
        <x:f>DATE(YEAR(C3907),MONTH(C3907),1)</x:f>
        <x:v>45931</x:v>
      </x:c>
    </x:row>
    <x:row r="3908" ht="22" customHeight="1">
      <x:c r="A3908" s="2" t="str">
        <x:v>L003904</x:v>
      </x:c>
      <x:c r="B3908" s="2" t="str">
        <x:v>O01586</x:v>
      </x:c>
      <x:c r="C3908" s="7" t="n">
        <x:v>45952</x:v>
      </x:c>
      <x:c r="D3908" s="2" t="str">
        <x:v>Completed</x:v>
      </x:c>
      <x:c r="E3908" s="2" t="str">
        <x:v>West</x:v>
      </x:c>
      <x:c r="F3908" s="2" t="str">
        <x:v>Store</x:v>
      </x:c>
      <x:c r="G3908" s="2" t="str">
        <x:v>Furniture</x:v>
      </x:c>
      <x:c r="H3908" s="2" t="str">
        <x:v>Chair 022</x:v>
      </x:c>
      <x:c r="I3908" s="11" t="n">
        <x:v>5</x:v>
      </x:c>
      <x:c r="J3908" s="9" t="n">
        <x:v>134</x:v>
      </x:c>
      <x:c r="K3908" s="10" t="n">
        <x:v>0</x:v>
      </x:c>
      <x:c r="L3908" s="11" t="n">
        <x:v>0</x:v>
      </x:c>
      <x:c r="M3908" s="9" t="n">
        <x:f>IF(D3908="Completed",I3908*J3908,0)</x:f>
        <x:v>670</x:v>
      </x:c>
      <x:c r="N3908" s="9" t="n">
        <x:f>M3908*K3908</x:f>
        <x:v>0</x:v>
      </x:c>
      <x:c r="O3908" s="9" t="n">
        <x:f>M3908-N3908</x:f>
        <x:v>670</x:v>
      </x:c>
      <x:c r="P3908" s="9" t="n">
        <x:f>IF(D3908="Completed",L3908*J3908*(1-K3908),0)</x:f>
        <x:v>0</x:v>
      </x:c>
      <x:c r="Q3908" s="9" t="n">
        <x:f>O3908-P3908</x:f>
        <x:v>670</x:v>
      </x:c>
      <x:c r="R3908" s="11" t="n">
        <x:f>IF(D3908="Completed",I3908,0)</x:f>
        <x:v>5</x:v>
      </x:c>
      <x:c r="S3908" s="11" t="n">
        <x:f>IF(D3908="Completed",L3908,0)</x:f>
        <x:v>0</x:v>
      </x:c>
      <x:c r="T3908" s="8" t="n">
        <x:f>DATE(YEAR(C3908),MONTH(C3908),1)</x:f>
        <x:v>45931</x:v>
      </x:c>
    </x:row>
    <x:row r="3909" ht="22" customHeight="1">
      <x:c r="A3909" s="2" t="str">
        <x:v>L003905</x:v>
      </x:c>
      <x:c r="B3909" s="2" t="str">
        <x:v>O01587</x:v>
      </x:c>
      <x:c r="C3909" s="7" t="n">
        <x:v>45772</x:v>
      </x:c>
      <x:c r="D3909" s="2" t="str">
        <x:v>Completed</x:v>
      </x:c>
      <x:c r="E3909" s="2" t="str">
        <x:v>East</x:v>
      </x:c>
      <x:c r="F3909" s="2" t="str">
        <x:v>Store</x:v>
      </x:c>
      <x:c r="G3909" s="2" t="str">
        <x:v>Furniture</x:v>
      </x:c>
      <x:c r="H3909" s="2" t="str">
        <x:v>Chair 018</x:v>
      </x:c>
      <x:c r="I3909" s="11" t="n">
        <x:v>5</x:v>
      </x:c>
      <x:c r="J3909" s="9" t="n">
        <x:v>269</x:v>
      </x:c>
      <x:c r="K3909" s="10" t="n">
        <x:v>0.2</x:v>
      </x:c>
      <x:c r="L3909" s="11" t="n">
        <x:v>0</x:v>
      </x:c>
      <x:c r="M3909" s="9" t="n">
        <x:f>IF(D3909="Completed",I3909*J3909,0)</x:f>
        <x:v>1345</x:v>
      </x:c>
      <x:c r="N3909" s="9" t="n">
        <x:f>M3909*K3909</x:f>
        <x:v>269</x:v>
      </x:c>
      <x:c r="O3909" s="9" t="n">
        <x:f>M3909-N3909</x:f>
        <x:v>1076</x:v>
      </x:c>
      <x:c r="P3909" s="9" t="n">
        <x:f>IF(D3909="Completed",L3909*J3909*(1-K3909),0)</x:f>
        <x:v>0</x:v>
      </x:c>
      <x:c r="Q3909" s="9" t="n">
        <x:f>O3909-P3909</x:f>
        <x:v>1076</x:v>
      </x:c>
      <x:c r="R3909" s="11" t="n">
        <x:f>IF(D3909="Completed",I3909,0)</x:f>
        <x:v>5</x:v>
      </x:c>
      <x:c r="S3909" s="11" t="n">
        <x:f>IF(D3909="Completed",L3909,0)</x:f>
        <x:v>0</x:v>
      </x:c>
      <x:c r="T3909" s="8" t="n">
        <x:f>DATE(YEAR(C3909),MONTH(C3909),1)</x:f>
        <x:v>45748</x:v>
      </x:c>
    </x:row>
    <x:row r="3910" ht="22" customHeight="1">
      <x:c r="A3910" s="2" t="str">
        <x:v>L003906</x:v>
      </x:c>
      <x:c r="B3910" s="2" t="str">
        <x:v>O01587</x:v>
      </x:c>
      <x:c r="C3910" s="7" t="n">
        <x:v>45772</x:v>
      </x:c>
      <x:c r="D3910" s="2" t="str">
        <x:v>Completed</x:v>
      </x:c>
      <x:c r="E3910" s="2" t="str">
        <x:v>East</x:v>
      </x:c>
      <x:c r="F3910" s="2" t="str">
        <x:v>Store</x:v>
      </x:c>
      <x:c r="G3910" s="2" t="str">
        <x:v>Storage</x:v>
      </x:c>
      <x:c r="H3910" s="2" t="str">
        <x:v>Shelf 007</x:v>
      </x:c>
      <x:c r="I3910" s="11" t="n">
        <x:v>2</x:v>
      </x:c>
      <x:c r="J3910" s="9" t="n">
        <x:v>35</x:v>
      </x:c>
      <x:c r="K3910" s="10" t="n">
        <x:v>0</x:v>
      </x:c>
      <x:c r="L3910" s="11" t="n">
        <x:v>2</x:v>
      </x:c>
      <x:c r="M3910" s="9" t="n">
        <x:f>IF(D3910="Completed",I3910*J3910,0)</x:f>
        <x:v>70</x:v>
      </x:c>
      <x:c r="N3910" s="9" t="n">
        <x:f>M3910*K3910</x:f>
        <x:v>0</x:v>
      </x:c>
      <x:c r="O3910" s="9" t="n">
        <x:f>M3910-N3910</x:f>
        <x:v>70</x:v>
      </x:c>
      <x:c r="P3910" s="9" t="n">
        <x:f>IF(D3910="Completed",L3910*J3910*(1-K3910),0)</x:f>
        <x:v>70</x:v>
      </x:c>
      <x:c r="Q3910" s="9" t="n">
        <x:f>O3910-P3910</x:f>
        <x:v>0</x:v>
      </x:c>
      <x:c r="R3910" s="11" t="n">
        <x:f>IF(D3910="Completed",I3910,0)</x:f>
        <x:v>2</x:v>
      </x:c>
      <x:c r="S3910" s="11" t="n">
        <x:f>IF(D3910="Completed",L3910,0)</x:f>
        <x:v>2</x:v>
      </x:c>
      <x:c r="T3910" s="8" t="n">
        <x:f>DATE(YEAR(C3910),MONTH(C3910),1)</x:f>
        <x:v>45748</x:v>
      </x:c>
    </x:row>
    <x:row r="3911" ht="22" customHeight="1">
      <x:c r="A3911" s="2" t="str">
        <x:v>L003907</x:v>
      </x:c>
      <x:c r="B3911" s="2" t="str">
        <x:v>O01588</x:v>
      </x:c>
      <x:c r="C3911" s="7" t="n">
        <x:v>45706</x:v>
      </x:c>
      <x:c r="D3911" s="2" t="str">
        <x:v>Completed</x:v>
      </x:c>
      <x:c r="E3911" s="2" t="str">
        <x:v>East</x:v>
      </x:c>
      <x:c r="F3911" s="2" t="str">
        <x:v>Store</x:v>
      </x:c>
      <x:c r="G3911" s="2" t="str">
        <x:v>Furniture</x:v>
      </x:c>
      <x:c r="H3911" s="2" t="str">
        <x:v>Chair 014</x:v>
      </x:c>
      <x:c r="I3911" s="11" t="n">
        <x:v>4</x:v>
      </x:c>
      <x:c r="J3911" s="9" t="n">
        <x:v>294</x:v>
      </x:c>
      <x:c r="K3911" s="10" t="n">
        <x:v>0.05</x:v>
      </x:c>
      <x:c r="L3911" s="11" t="n">
        <x:v>0</x:v>
      </x:c>
      <x:c r="M3911" s="9" t="n">
        <x:f>IF(D3911="Completed",I3911*J3911,0)</x:f>
        <x:v>1176</x:v>
      </x:c>
      <x:c r="N3911" s="9" t="n">
        <x:f>M3911*K3911</x:f>
        <x:v>58.800000000000004</x:v>
      </x:c>
      <x:c r="O3911" s="9" t="n">
        <x:f>M3911-N3911</x:f>
        <x:v>1117.2</x:v>
      </x:c>
      <x:c r="P3911" s="9" t="n">
        <x:f>IF(D3911="Completed",L3911*J3911*(1-K3911),0)</x:f>
        <x:v>0</x:v>
      </x:c>
      <x:c r="Q3911" s="9" t="n">
        <x:f>O3911-P3911</x:f>
        <x:v>1117.2</x:v>
      </x:c>
      <x:c r="R3911" s="11" t="n">
        <x:f>IF(D3911="Completed",I3911,0)</x:f>
        <x:v>4</x:v>
      </x:c>
      <x:c r="S3911" s="11" t="n">
        <x:f>IF(D3911="Completed",L3911,0)</x:f>
        <x:v>0</x:v>
      </x:c>
      <x:c r="T3911" s="8" t="n">
        <x:f>DATE(YEAR(C3911),MONTH(C3911),1)</x:f>
        <x:v>45689</x:v>
      </x:c>
    </x:row>
    <x:row r="3912" ht="22" customHeight="1">
      <x:c r="A3912" s="2" t="str">
        <x:v>L003908</x:v>
      </x:c>
      <x:c r="B3912" s="2" t="str">
        <x:v>O01588</x:v>
      </x:c>
      <x:c r="C3912" s="7" t="n">
        <x:v>45706</x:v>
      </x:c>
      <x:c r="D3912" s="2" t="str">
        <x:v>Completed</x:v>
      </x:c>
      <x:c r="E3912" s="2" t="str">
        <x:v>East</x:v>
      </x:c>
      <x:c r="F3912" s="2" t="str">
        <x:v>Store</x:v>
      </x:c>
      <x:c r="G3912" s="2" t="str">
        <x:v>Lighting</x:v>
      </x:c>
      <x:c r="H3912" s="2" t="str">
        <x:v>Lamp 013</x:v>
      </x:c>
      <x:c r="I3912" s="11" t="n">
        <x:v>5</x:v>
      </x:c>
      <x:c r="J3912" s="9" t="n">
        <x:v>271</x:v>
      </x:c>
      <x:c r="K3912" s="10" t="n">
        <x:v>0.2</x:v>
      </x:c>
      <x:c r="L3912" s="11" t="n">
        <x:v>2</x:v>
      </x:c>
      <x:c r="M3912" s="9" t="n">
        <x:f>IF(D3912="Completed",I3912*J3912,0)</x:f>
        <x:v>1355</x:v>
      </x:c>
      <x:c r="N3912" s="9" t="n">
        <x:f>M3912*K3912</x:f>
        <x:v>271</x:v>
      </x:c>
      <x:c r="O3912" s="9" t="n">
        <x:f>M3912-N3912</x:f>
        <x:v>1084</x:v>
      </x:c>
      <x:c r="P3912" s="9" t="n">
        <x:f>IF(D3912="Completed",L3912*J3912*(1-K3912),0)</x:f>
        <x:v>433.6</x:v>
      </x:c>
      <x:c r="Q3912" s="9" t="n">
        <x:f>O3912-P3912</x:f>
        <x:v>650.4</x:v>
      </x:c>
      <x:c r="R3912" s="11" t="n">
        <x:f>IF(D3912="Completed",I3912,0)</x:f>
        <x:v>5</x:v>
      </x:c>
      <x:c r="S3912" s="11" t="n">
        <x:f>IF(D3912="Completed",L3912,0)</x:f>
        <x:v>2</x:v>
      </x:c>
      <x:c r="T3912" s="8" t="n">
        <x:f>DATE(YEAR(C3912),MONTH(C3912),1)</x:f>
        <x:v>45689</x:v>
      </x:c>
    </x:row>
    <x:row r="3913" ht="22" customHeight="1">
      <x:c r="A3913" s="2" t="str">
        <x:v>L003909</x:v>
      </x:c>
      <x:c r="B3913" s="2" t="str">
        <x:v>O01588</x:v>
      </x:c>
      <x:c r="C3913" s="7" t="n">
        <x:v>45706</x:v>
      </x:c>
      <x:c r="D3913" s="2" t="str">
        <x:v>Completed</x:v>
      </x:c>
      <x:c r="E3913" s="2" t="str">
        <x:v>East</x:v>
      </x:c>
      <x:c r="F3913" s="2" t="str">
        <x:v>Store</x:v>
      </x:c>
      <x:c r="G3913" s="2" t="str">
        <x:v>Storage</x:v>
      </x:c>
      <x:c r="H3913" s="2" t="str">
        <x:v>Shelf 015</x:v>
      </x:c>
      <x:c r="I3913" s="11" t="n">
        <x:v>3</x:v>
      </x:c>
      <x:c r="J3913" s="9" t="n">
        <x:v>254</x:v>
      </x:c>
      <x:c r="K3913" s="10" t="n">
        <x:v>0.2</x:v>
      </x:c>
      <x:c r="L3913" s="11" t="n">
        <x:v>0</x:v>
      </x:c>
      <x:c r="M3913" s="9" t="n">
        <x:f>IF(D3913="Completed",I3913*J3913,0)</x:f>
        <x:v>762</x:v>
      </x:c>
      <x:c r="N3913" s="9" t="n">
        <x:f>M3913*K3913</x:f>
        <x:v>152.4</x:v>
      </x:c>
      <x:c r="O3913" s="9" t="n">
        <x:f>M3913-N3913</x:f>
        <x:v>609.6</x:v>
      </x:c>
      <x:c r="P3913" s="9" t="n">
        <x:f>IF(D3913="Completed",L3913*J3913*(1-K3913),0)</x:f>
        <x:v>0</x:v>
      </x:c>
      <x:c r="Q3913" s="9" t="n">
        <x:f>O3913-P3913</x:f>
        <x:v>609.6</x:v>
      </x:c>
      <x:c r="R3913" s="11" t="n">
        <x:f>IF(D3913="Completed",I3913,0)</x:f>
        <x:v>3</x:v>
      </x:c>
      <x:c r="S3913" s="11" t="n">
        <x:f>IF(D3913="Completed",L3913,0)</x:f>
        <x:v>0</x:v>
      </x:c>
      <x:c r="T3913" s="8" t="n">
        <x:f>DATE(YEAR(C3913),MONTH(C3913),1)</x:f>
        <x:v>45689</x:v>
      </x:c>
    </x:row>
    <x:row r="3914" ht="22" customHeight="1">
      <x:c r="A3914" s="2" t="str">
        <x:v>L003910</x:v>
      </x:c>
      <x:c r="B3914" s="2" t="str">
        <x:v>O01589</x:v>
      </x:c>
      <x:c r="C3914" s="7" t="n">
        <x:v>45884</x:v>
      </x:c>
      <x:c r="D3914" s="2" t="str">
        <x:v>Completed</x:v>
      </x:c>
      <x:c r="E3914" s="2" t="str">
        <x:v>South</x:v>
      </x:c>
      <x:c r="F3914" s="2" t="str">
        <x:v>Online</x:v>
      </x:c>
      <x:c r="G3914" s="2" t="str">
        <x:v>Furniture</x:v>
      </x:c>
      <x:c r="H3914" s="2" t="str">
        <x:v>Chair 018</x:v>
      </x:c>
      <x:c r="I3914" s="11" t="n">
        <x:v>3</x:v>
      </x:c>
      <x:c r="J3914" s="9" t="n">
        <x:v>269</x:v>
      </x:c>
      <x:c r="K3914" s="10" t="n">
        <x:v>0.05</x:v>
      </x:c>
      <x:c r="L3914" s="11" t="n">
        <x:v>0</x:v>
      </x:c>
      <x:c r="M3914" s="9" t="n">
        <x:f>IF(D3914="Completed",I3914*J3914,0)</x:f>
        <x:v>807</x:v>
      </x:c>
      <x:c r="N3914" s="9" t="n">
        <x:f>M3914*K3914</x:f>
        <x:v>40.35</x:v>
      </x:c>
      <x:c r="O3914" s="9" t="n">
        <x:f>M3914-N3914</x:f>
        <x:v>766.65</x:v>
      </x:c>
      <x:c r="P3914" s="9" t="n">
        <x:f>IF(D3914="Completed",L3914*J3914*(1-K3914),0)</x:f>
        <x:v>0</x:v>
      </x:c>
      <x:c r="Q3914" s="9" t="n">
        <x:f>O3914-P3914</x:f>
        <x:v>766.65</x:v>
      </x:c>
      <x:c r="R3914" s="11" t="n">
        <x:f>IF(D3914="Completed",I3914,0)</x:f>
        <x:v>3</x:v>
      </x:c>
      <x:c r="S3914" s="11" t="n">
        <x:f>IF(D3914="Completed",L3914,0)</x:f>
        <x:v>0</x:v>
      </x:c>
      <x:c r="T3914" s="8" t="n">
        <x:f>DATE(YEAR(C3914),MONTH(C3914),1)</x:f>
        <x:v>45870</x:v>
      </x:c>
    </x:row>
    <x:row r="3915" ht="22" customHeight="1">
      <x:c r="A3915" s="2" t="str">
        <x:v>L003911</x:v>
      </x:c>
      <x:c r="B3915" s="2" t="str">
        <x:v>O01589</x:v>
      </x:c>
      <x:c r="C3915" s="7" t="n">
        <x:v>45884</x:v>
      </x:c>
      <x:c r="D3915" s="2" t="str">
        <x:v>Completed</x:v>
      </x:c>
      <x:c r="E3915" s="2" t="str">
        <x:v>South</x:v>
      </x:c>
      <x:c r="F3915" s="2" t="str">
        <x:v>Online</x:v>
      </x:c>
      <x:c r="G3915" s="2" t="str">
        <x:v>Lighting</x:v>
      </x:c>
      <x:c r="H3915" s="2" t="str">
        <x:v>Lamp 021</x:v>
      </x:c>
      <x:c r="I3915" s="11" t="n">
        <x:v>4</x:v>
      </x:c>
      <x:c r="J3915" s="9" t="n">
        <x:v>249</x:v>
      </x:c>
      <x:c r="K3915" s="10" t="n">
        <x:v>0</x:v>
      </x:c>
      <x:c r="L3915" s="11" t="n">
        <x:v>0</x:v>
      </x:c>
      <x:c r="M3915" s="9" t="n">
        <x:f>IF(D3915="Completed",I3915*J3915,0)</x:f>
        <x:v>996</x:v>
      </x:c>
      <x:c r="N3915" s="9" t="n">
        <x:f>M3915*K3915</x:f>
        <x:v>0</x:v>
      </x:c>
      <x:c r="O3915" s="9" t="n">
        <x:f>M3915-N3915</x:f>
        <x:v>996</x:v>
      </x:c>
      <x:c r="P3915" s="9" t="n">
        <x:f>IF(D3915="Completed",L3915*J3915*(1-K3915),0)</x:f>
        <x:v>0</x:v>
      </x:c>
      <x:c r="Q3915" s="9" t="n">
        <x:f>O3915-P3915</x:f>
        <x:v>996</x:v>
      </x:c>
      <x:c r="R3915" s="11" t="n">
        <x:f>IF(D3915="Completed",I3915,0)</x:f>
        <x:v>4</x:v>
      </x:c>
      <x:c r="S3915" s="11" t="n">
        <x:f>IF(D3915="Completed",L3915,0)</x:f>
        <x:v>0</x:v>
      </x:c>
      <x:c r="T3915" s="8" t="n">
        <x:f>DATE(YEAR(C3915),MONTH(C3915),1)</x:f>
        <x:v>45870</x:v>
      </x:c>
    </x:row>
    <x:row r="3916" ht="22" customHeight="1">
      <x:c r="A3916" s="2" t="str">
        <x:v>L003912</x:v>
      </x:c>
      <x:c r="B3916" s="2" t="str">
        <x:v>O01590</x:v>
      </x:c>
      <x:c r="C3916" s="7" t="n">
        <x:v>45678</x:v>
      </x:c>
      <x:c r="D3916" s="2" t="str">
        <x:v>Completed</x:v>
      </x:c>
      <x:c r="E3916" s="2" t="str">
        <x:v>North</x:v>
      </x:c>
      <x:c r="F3916" s="2" t="str">
        <x:v>Store</x:v>
      </x:c>
      <x:c r="G3916" s="2" t="str">
        <x:v>Lighting</x:v>
      </x:c>
      <x:c r="H3916" s="2" t="str">
        <x:v>Lamp 017</x:v>
      </x:c>
      <x:c r="I3916" s="11" t="n">
        <x:v>1</x:v>
      </x:c>
      <x:c r="J3916" s="9" t="n">
        <x:v>300</x:v>
      </x:c>
      <x:c r="K3916" s="10" t="n">
        <x:v>0.05</x:v>
      </x:c>
      <x:c r="L3916" s="11" t="n">
        <x:v>0</x:v>
      </x:c>
      <x:c r="M3916" s="9" t="n">
        <x:f>IF(D3916="Completed",I3916*J3916,0)</x:f>
        <x:v>300</x:v>
      </x:c>
      <x:c r="N3916" s="9" t="n">
        <x:f>M3916*K3916</x:f>
        <x:v>15</x:v>
      </x:c>
      <x:c r="O3916" s="9" t="n">
        <x:f>M3916-N3916</x:f>
        <x:v>285</x:v>
      </x:c>
      <x:c r="P3916" s="9" t="n">
        <x:f>IF(D3916="Completed",L3916*J3916*(1-K3916),0)</x:f>
        <x:v>0</x:v>
      </x:c>
      <x:c r="Q3916" s="9" t="n">
        <x:f>O3916-P3916</x:f>
        <x:v>285</x:v>
      </x:c>
      <x:c r="R3916" s="11" t="n">
        <x:f>IF(D3916="Completed",I3916,0)</x:f>
        <x:v>1</x:v>
      </x:c>
      <x:c r="S3916" s="11" t="n">
        <x:f>IF(D3916="Completed",L3916,0)</x:f>
        <x:v>0</x:v>
      </x:c>
      <x:c r="T3916" s="8" t="n">
        <x:f>DATE(YEAR(C3916),MONTH(C3916),1)</x:f>
        <x:v>45658</x:v>
      </x:c>
    </x:row>
    <x:row r="3917" ht="22" customHeight="1">
      <x:c r="A3917" s="2" t="str">
        <x:v>L003913</x:v>
      </x:c>
      <x:c r="B3917" s="2" t="str">
        <x:v>O01590</x:v>
      </x:c>
      <x:c r="C3917" s="7" t="n">
        <x:v>45678</x:v>
      </x:c>
      <x:c r="D3917" s="2" t="str">
        <x:v>Completed</x:v>
      </x:c>
      <x:c r="E3917" s="2" t="str">
        <x:v>North</x:v>
      </x:c>
      <x:c r="F3917" s="2" t="str">
        <x:v>Store</x:v>
      </x:c>
      <x:c r="G3917" s="2" t="str">
        <x:v>Lighting</x:v>
      </x:c>
      <x:c r="H3917" s="2" t="str">
        <x:v>Lamp 021</x:v>
      </x:c>
      <x:c r="I3917" s="11" t="n">
        <x:v>2</x:v>
      </x:c>
      <x:c r="J3917" s="9" t="n">
        <x:v>249</x:v>
      </x:c>
      <x:c r="K3917" s="10" t="n">
        <x:v>0.2</x:v>
      </x:c>
      <x:c r="L3917" s="11" t="n">
        <x:v>1</x:v>
      </x:c>
      <x:c r="M3917" s="9" t="n">
        <x:f>IF(D3917="Completed",I3917*J3917,0)</x:f>
        <x:v>498</x:v>
      </x:c>
      <x:c r="N3917" s="9" t="n">
        <x:f>M3917*K3917</x:f>
        <x:v>99.60000000000001</x:v>
      </x:c>
      <x:c r="O3917" s="9" t="n">
        <x:f>M3917-N3917</x:f>
        <x:v>398.4</x:v>
      </x:c>
      <x:c r="P3917" s="9" t="n">
        <x:f>IF(D3917="Completed",L3917*J3917*(1-K3917),0)</x:f>
        <x:v>199.20000000000002</x:v>
      </x:c>
      <x:c r="Q3917" s="9" t="n">
        <x:f>O3917-P3917</x:f>
        <x:v>199.19999999999996</x:v>
      </x:c>
      <x:c r="R3917" s="11" t="n">
        <x:f>IF(D3917="Completed",I3917,0)</x:f>
        <x:v>2</x:v>
      </x:c>
      <x:c r="S3917" s="11" t="n">
        <x:f>IF(D3917="Completed",L3917,0)</x:f>
        <x:v>1</x:v>
      </x:c>
      <x:c r="T3917" s="8" t="n">
        <x:f>DATE(YEAR(C3917),MONTH(C3917),1)</x:f>
        <x:v>45658</x:v>
      </x:c>
    </x:row>
    <x:row r="3918" ht="22" customHeight="1">
      <x:c r="A3918" s="2" t="str">
        <x:v>L003914</x:v>
      </x:c>
      <x:c r="B3918" s="2" t="str">
        <x:v>O01590</x:v>
      </x:c>
      <x:c r="C3918" s="7" t="n">
        <x:v>45678</x:v>
      </x:c>
      <x:c r="D3918" s="2" t="str">
        <x:v>Completed</x:v>
      </x:c>
      <x:c r="E3918" s="2" t="str">
        <x:v>North</x:v>
      </x:c>
      <x:c r="F3918" s="2" t="str">
        <x:v>Store</x:v>
      </x:c>
      <x:c r="G3918" s="2" t="str">
        <x:v>Lighting</x:v>
      </x:c>
      <x:c r="H3918" s="2" t="str">
        <x:v>Lamp 017</x:v>
      </x:c>
      <x:c r="I3918" s="11" t="n">
        <x:v>2</x:v>
      </x:c>
      <x:c r="J3918" s="9" t="n">
        <x:v>300</x:v>
      </x:c>
      <x:c r="K3918" s="10" t="n">
        <x:v>0.05</x:v>
      </x:c>
      <x:c r="L3918" s="11" t="n">
        <x:v>0</x:v>
      </x:c>
      <x:c r="M3918" s="9" t="n">
        <x:f>IF(D3918="Completed",I3918*J3918,0)</x:f>
        <x:v>600</x:v>
      </x:c>
      <x:c r="N3918" s="9" t="n">
        <x:f>M3918*K3918</x:f>
        <x:v>30</x:v>
      </x:c>
      <x:c r="O3918" s="9" t="n">
        <x:f>M3918-N3918</x:f>
        <x:v>570</x:v>
      </x:c>
      <x:c r="P3918" s="9" t="n">
        <x:f>IF(D3918="Completed",L3918*J3918*(1-K3918),0)</x:f>
        <x:v>0</x:v>
      </x:c>
      <x:c r="Q3918" s="9" t="n">
        <x:f>O3918-P3918</x:f>
        <x:v>570</x:v>
      </x:c>
      <x:c r="R3918" s="11" t="n">
        <x:f>IF(D3918="Completed",I3918,0)</x:f>
        <x:v>2</x:v>
      </x:c>
      <x:c r="S3918" s="11" t="n">
        <x:f>IF(D3918="Completed",L3918,0)</x:f>
        <x:v>0</x:v>
      </x:c>
      <x:c r="T3918" s="8" t="n">
        <x:f>DATE(YEAR(C3918),MONTH(C3918),1)</x:f>
        <x:v>45658</x:v>
      </x:c>
    </x:row>
    <x:row r="3919" ht="22" customHeight="1">
      <x:c r="A3919" s="2" t="str">
        <x:v>L003915</x:v>
      </x:c>
      <x:c r="B3919" s="2" t="str">
        <x:v>O01590</x:v>
      </x:c>
      <x:c r="C3919" s="7" t="n">
        <x:v>45678</x:v>
      </x:c>
      <x:c r="D3919" s="2" t="str">
        <x:v>Completed</x:v>
      </x:c>
      <x:c r="E3919" s="2" t="str">
        <x:v>North</x:v>
      </x:c>
      <x:c r="F3919" s="2" t="str">
        <x:v>Store</x:v>
      </x:c>
      <x:c r="G3919" s="2" t="str">
        <x:v>Storage</x:v>
      </x:c>
      <x:c r="H3919" s="2" t="str">
        <x:v>Shelf 011</x:v>
      </x:c>
      <x:c r="I3919" s="11" t="n">
        <x:v>1</x:v>
      </x:c>
      <x:c r="J3919" s="9" t="n">
        <x:v>80</x:v>
      </x:c>
      <x:c r="K3919" s="10" t="n">
        <x:v>0.1</x:v>
      </x:c>
      <x:c r="L3919" s="11" t="n">
        <x:v>0</x:v>
      </x:c>
      <x:c r="M3919" s="9" t="n">
        <x:f>IF(D3919="Completed",I3919*J3919,0)</x:f>
        <x:v>80</x:v>
      </x:c>
      <x:c r="N3919" s="9" t="n">
        <x:f>M3919*K3919</x:f>
        <x:v>8</x:v>
      </x:c>
      <x:c r="O3919" s="9" t="n">
        <x:f>M3919-N3919</x:f>
        <x:v>72</x:v>
      </x:c>
      <x:c r="P3919" s="9" t="n">
        <x:f>IF(D3919="Completed",L3919*J3919*(1-K3919),0)</x:f>
        <x:v>0</x:v>
      </x:c>
      <x:c r="Q3919" s="9" t="n">
        <x:f>O3919-P3919</x:f>
        <x:v>72</x:v>
      </x:c>
      <x:c r="R3919" s="11" t="n">
        <x:f>IF(D3919="Completed",I3919,0)</x:f>
        <x:v>1</x:v>
      </x:c>
      <x:c r="S3919" s="11" t="n">
        <x:f>IF(D3919="Completed",L3919,0)</x:f>
        <x:v>0</x:v>
      </x:c>
      <x:c r="T3919" s="8" t="n">
        <x:f>DATE(YEAR(C3919),MONTH(C3919),1)</x:f>
        <x:v>45658</x:v>
      </x:c>
    </x:row>
    <x:row r="3920" ht="22" customHeight="1">
      <x:c r="A3920" s="2" t="str">
        <x:v>L003916</x:v>
      </x:c>
      <x:c r="B3920" s="2" t="str">
        <x:v>O01591</x:v>
      </x:c>
      <x:c r="C3920" s="7" t="n">
        <x:v>45856</x:v>
      </x:c>
      <x:c r="D3920" s="2" t="str">
        <x:v>Completed</x:v>
      </x:c>
      <x:c r="E3920" s="2" t="str">
        <x:v>West</x:v>
      </x:c>
      <x:c r="F3920" s="2" t="str">
        <x:v>Online</x:v>
      </x:c>
      <x:c r="G3920" s="2" t="str">
        <x:v>Lighting</x:v>
      </x:c>
      <x:c r="H3920" s="2" t="str">
        <x:v>Lamp 013</x:v>
      </x:c>
      <x:c r="I3920" s="11" t="n">
        <x:v>4</x:v>
      </x:c>
      <x:c r="J3920" s="9" t="n">
        <x:v>271</x:v>
      </x:c>
      <x:c r="K3920" s="10" t="n">
        <x:v>0.2</x:v>
      </x:c>
      <x:c r="L3920" s="11" t="n">
        <x:v>0</x:v>
      </x:c>
      <x:c r="M3920" s="9" t="n">
        <x:f>IF(D3920="Completed",I3920*J3920,0)</x:f>
        <x:v>1084</x:v>
      </x:c>
      <x:c r="N3920" s="9" t="n">
        <x:f>M3920*K3920</x:f>
        <x:v>216.8</x:v>
      </x:c>
      <x:c r="O3920" s="9" t="n">
        <x:f>M3920-N3920</x:f>
        <x:v>867.2</x:v>
      </x:c>
      <x:c r="P3920" s="9" t="n">
        <x:f>IF(D3920="Completed",L3920*J3920*(1-K3920),0)</x:f>
        <x:v>0</x:v>
      </x:c>
      <x:c r="Q3920" s="9" t="n">
        <x:f>O3920-P3920</x:f>
        <x:v>867.2</x:v>
      </x:c>
      <x:c r="R3920" s="11" t="n">
        <x:f>IF(D3920="Completed",I3920,0)</x:f>
        <x:v>4</x:v>
      </x:c>
      <x:c r="S3920" s="11" t="n">
        <x:f>IF(D3920="Completed",L3920,0)</x:f>
        <x:v>0</x:v>
      </x:c>
      <x:c r="T3920" s="8" t="n">
        <x:f>DATE(YEAR(C3920),MONTH(C3920),1)</x:f>
        <x:v>45839</x:v>
      </x:c>
    </x:row>
    <x:row r="3921" ht="22" customHeight="1">
      <x:c r="A3921" s="2" t="str">
        <x:v>L003917</x:v>
      </x:c>
      <x:c r="B3921" s="2" t="str">
        <x:v>O01591</x:v>
      </x:c>
      <x:c r="C3921" s="7" t="n">
        <x:v>45856</x:v>
      </x:c>
      <x:c r="D3921" s="2" t="str">
        <x:v>Completed</x:v>
      </x:c>
      <x:c r="E3921" s="2" t="str">
        <x:v>West</x:v>
      </x:c>
      <x:c r="F3921" s="2" t="str">
        <x:v>Online</x:v>
      </x:c>
      <x:c r="G3921" s="2" t="str">
        <x:v>Storage</x:v>
      </x:c>
      <x:c r="H3921" s="2" t="str">
        <x:v>Shelf 023</x:v>
      </x:c>
      <x:c r="I3921" s="11" t="n">
        <x:v>1</x:v>
      </x:c>
      <x:c r="J3921" s="9" t="n">
        <x:v>68</x:v>
      </x:c>
      <x:c r="K3921" s="10" t="n">
        <x:v>0.1</x:v>
      </x:c>
      <x:c r="L3921" s="11" t="n">
        <x:v>0</x:v>
      </x:c>
      <x:c r="M3921" s="9" t="n">
        <x:f>IF(D3921="Completed",I3921*J3921,0)</x:f>
        <x:v>68</x:v>
      </x:c>
      <x:c r="N3921" s="9" t="n">
        <x:f>M3921*K3921</x:f>
        <x:v>6.800000000000001</x:v>
      </x:c>
      <x:c r="O3921" s="9" t="n">
        <x:f>M3921-N3921</x:f>
        <x:v>61.2</x:v>
      </x:c>
      <x:c r="P3921" s="9" t="n">
        <x:f>IF(D3921="Completed",L3921*J3921*(1-K3921),0)</x:f>
        <x:v>0</x:v>
      </x:c>
      <x:c r="Q3921" s="9" t="n">
        <x:f>O3921-P3921</x:f>
        <x:v>61.2</x:v>
      </x:c>
      <x:c r="R3921" s="11" t="n">
        <x:f>IF(D3921="Completed",I3921,0)</x:f>
        <x:v>1</x:v>
      </x:c>
      <x:c r="S3921" s="11" t="n">
        <x:f>IF(D3921="Completed",L3921,0)</x:f>
        <x:v>0</x:v>
      </x:c>
      <x:c r="T3921" s="8" t="n">
        <x:f>DATE(YEAR(C3921),MONTH(C3921),1)</x:f>
        <x:v>45839</x:v>
      </x:c>
    </x:row>
    <x:row r="3922" ht="22" customHeight="1">
      <x:c r="A3922" s="2" t="str">
        <x:v>L003918</x:v>
      </x:c>
      <x:c r="B3922" s="2" t="str">
        <x:v>O01591</x:v>
      </x:c>
      <x:c r="C3922" s="7" t="n">
        <x:v>45856</x:v>
      </x:c>
      <x:c r="D3922" s="2" t="str">
        <x:v>Completed</x:v>
      </x:c>
      <x:c r="E3922" s="2" t="str">
        <x:v>West</x:v>
      </x:c>
      <x:c r="F3922" s="2" t="str">
        <x:v>Online</x:v>
      </x:c>
      <x:c r="G3922" s="2" t="str">
        <x:v>Furniture</x:v>
      </x:c>
      <x:c r="H3922" s="2" t="str">
        <x:v>Desk 012</x:v>
      </x:c>
      <x:c r="I3922" s="11" t="n">
        <x:v>2</x:v>
      </x:c>
      <x:c r="J3922" s="9" t="n">
        <x:v>134</x:v>
      </x:c>
      <x:c r="K3922" s="10" t="n">
        <x:v>0.05</x:v>
      </x:c>
      <x:c r="L3922" s="11" t="n">
        <x:v>0</x:v>
      </x:c>
      <x:c r="M3922" s="9" t="n">
        <x:f>IF(D3922="Completed",I3922*J3922,0)</x:f>
        <x:v>268</x:v>
      </x:c>
      <x:c r="N3922" s="9" t="n">
        <x:f>M3922*K3922</x:f>
        <x:v>13.4</x:v>
      </x:c>
      <x:c r="O3922" s="9" t="n">
        <x:f>M3922-N3922</x:f>
        <x:v>254.6</x:v>
      </x:c>
      <x:c r="P3922" s="9" t="n">
        <x:f>IF(D3922="Completed",L3922*J3922*(1-K3922),0)</x:f>
        <x:v>0</x:v>
      </x:c>
      <x:c r="Q3922" s="9" t="n">
        <x:f>O3922-P3922</x:f>
        <x:v>254.6</x:v>
      </x:c>
      <x:c r="R3922" s="11" t="n">
        <x:f>IF(D3922="Completed",I3922,0)</x:f>
        <x:v>2</x:v>
      </x:c>
      <x:c r="S3922" s="11" t="n">
        <x:f>IF(D3922="Completed",L3922,0)</x:f>
        <x:v>0</x:v>
      </x:c>
      <x:c r="T3922" s="8" t="n">
        <x:f>DATE(YEAR(C3922),MONTH(C3922),1)</x:f>
        <x:v>45839</x:v>
      </x:c>
    </x:row>
    <x:row r="3923" ht="22" customHeight="1">
      <x:c r="A3923" s="2" t="str">
        <x:v>L003919</x:v>
      </x:c>
      <x:c r="B3923" s="2" t="str">
        <x:v>O01592</x:v>
      </x:c>
      <x:c r="C3923" s="7" t="n">
        <x:v>45883</x:v>
      </x:c>
      <x:c r="D3923" s="2" t="str">
        <x:v>Completed</x:v>
      </x:c>
      <x:c r="E3923" s="2" t="str">
        <x:v>East</x:v>
      </x:c>
      <x:c r="F3923" s="2" t="str">
        <x:v>Store</x:v>
      </x:c>
      <x:c r="G3923" s="2" t="str">
        <x:v>Lighting</x:v>
      </x:c>
      <x:c r="H3923" s="2" t="str">
        <x:v>Lamp 001</x:v>
      </x:c>
      <x:c r="I3923" s="11" t="n">
        <x:v>3</x:v>
      </x:c>
      <x:c r="J3923" s="9" t="n">
        <x:v>122</x:v>
      </x:c>
      <x:c r="K3923" s="10" t="n">
        <x:v>0.05</x:v>
      </x:c>
      <x:c r="L3923" s="11" t="n">
        <x:v>0</x:v>
      </x:c>
      <x:c r="M3923" s="9" t="n">
        <x:f>IF(D3923="Completed",I3923*J3923,0)</x:f>
        <x:v>366</x:v>
      </x:c>
      <x:c r="N3923" s="9" t="n">
        <x:f>M3923*K3923</x:f>
        <x:v>18.3</x:v>
      </x:c>
      <x:c r="O3923" s="9" t="n">
        <x:f>M3923-N3923</x:f>
        <x:v>347.7</x:v>
      </x:c>
      <x:c r="P3923" s="9" t="n">
        <x:f>IF(D3923="Completed",L3923*J3923*(1-K3923),0)</x:f>
        <x:v>0</x:v>
      </x:c>
      <x:c r="Q3923" s="9" t="n">
        <x:f>O3923-P3923</x:f>
        <x:v>347.7</x:v>
      </x:c>
      <x:c r="R3923" s="11" t="n">
        <x:f>IF(D3923="Completed",I3923,0)</x:f>
        <x:v>3</x:v>
      </x:c>
      <x:c r="S3923" s="11" t="n">
        <x:f>IF(D3923="Completed",L3923,0)</x:f>
        <x:v>0</x:v>
      </x:c>
      <x:c r="T3923" s="8" t="n">
        <x:f>DATE(YEAR(C3923),MONTH(C3923),1)</x:f>
        <x:v>45870</x:v>
      </x:c>
    </x:row>
    <x:row r="3924" ht="22" customHeight="1">
      <x:c r="A3924" s="2" t="str">
        <x:v>L003920</x:v>
      </x:c>
      <x:c r="B3924" s="2" t="str">
        <x:v>O01593</x:v>
      </x:c>
      <x:c r="C3924" s="7" t="n">
        <x:v>45803</x:v>
      </x:c>
      <x:c r="D3924" s="2" t="str">
        <x:v>Cancelled</x:v>
      </x:c>
      <x:c r="E3924" s="2" t="str">
        <x:v>South</x:v>
      </x:c>
      <x:c r="F3924" s="2" t="str">
        <x:v>Store</x:v>
      </x:c>
      <x:c r="G3924" s="2" t="str">
        <x:v>Furniture</x:v>
      </x:c>
      <x:c r="H3924" s="2" t="str">
        <x:v>Desk 024</x:v>
      </x:c>
      <x:c r="I3924" s="11" t="n">
        <x:v>3</x:v>
      </x:c>
      <x:c r="J3924" s="9" t="n">
        <x:v>81</x:v>
      </x:c>
      <x:c r="K3924" s="10" t="n">
        <x:v>0.2</x:v>
      </x:c>
      <x:c r="L3924" s="11" t="n">
        <x:v>0</x:v>
      </x:c>
      <x:c r="M3924" s="9" t="n">
        <x:f>IF(D3924="Completed",I3924*J3924,0)</x:f>
        <x:v>0</x:v>
      </x:c>
      <x:c r="N3924" s="9" t="n">
        <x:f>M3924*K3924</x:f>
        <x:v>0</x:v>
      </x:c>
      <x:c r="O3924" s="9" t="n">
        <x:f>M3924-N3924</x:f>
        <x:v>0</x:v>
      </x:c>
      <x:c r="P3924" s="9" t="n">
        <x:f>IF(D3924="Completed",L3924*J3924*(1-K3924),0)</x:f>
        <x:v>0</x:v>
      </x:c>
      <x:c r="Q3924" s="9" t="n">
        <x:f>O3924-P3924</x:f>
        <x:v>0</x:v>
      </x:c>
      <x:c r="R3924" s="11" t="n">
        <x:f>IF(D3924="Completed",I3924,0)</x:f>
        <x:v>0</x:v>
      </x:c>
      <x:c r="S3924" s="11" t="n">
        <x:f>IF(D3924="Completed",L3924,0)</x:f>
        <x:v>0</x:v>
      </x:c>
      <x:c r="T3924" s="8" t="n">
        <x:f>DATE(YEAR(C3924),MONTH(C3924),1)</x:f>
        <x:v>45778</x:v>
      </x:c>
    </x:row>
    <x:row r="3925" ht="22" customHeight="1">
      <x:c r="A3925" s="2" t="str">
        <x:v>L003921</x:v>
      </x:c>
      <x:c r="B3925" s="2" t="str">
        <x:v>O01593</x:v>
      </x:c>
      <x:c r="C3925" s="7" t="n">
        <x:v>45803</x:v>
      </x:c>
      <x:c r="D3925" s="2" t="str">
        <x:v>Cancelled</x:v>
      </x:c>
      <x:c r="E3925" s="2" t="str">
        <x:v>South</x:v>
      </x:c>
      <x:c r="F3925" s="2" t="str">
        <x:v>Store</x:v>
      </x:c>
      <x:c r="G3925" s="2" t="str">
        <x:v>Furniture</x:v>
      </x:c>
      <x:c r="H3925" s="2" t="str">
        <x:v>Desk 024</x:v>
      </x:c>
      <x:c r="I3925" s="11" t="n">
        <x:v>3</x:v>
      </x:c>
      <x:c r="J3925" s="9" t="n">
        <x:v>81</x:v>
      </x:c>
      <x:c r="K3925" s="10" t="n">
        <x:v>0</x:v>
      </x:c>
      <x:c r="L3925" s="11" t="n">
        <x:v>0</x:v>
      </x:c>
      <x:c r="M3925" s="9" t="n">
        <x:f>IF(D3925="Completed",I3925*J3925,0)</x:f>
        <x:v>0</x:v>
      </x:c>
      <x:c r="N3925" s="9" t="n">
        <x:f>M3925*K3925</x:f>
        <x:v>0</x:v>
      </x:c>
      <x:c r="O3925" s="9" t="n">
        <x:f>M3925-N3925</x:f>
        <x:v>0</x:v>
      </x:c>
      <x:c r="P3925" s="9" t="n">
        <x:f>IF(D3925="Completed",L3925*J3925*(1-K3925),0)</x:f>
        <x:v>0</x:v>
      </x:c>
      <x:c r="Q3925" s="9" t="n">
        <x:f>O3925-P3925</x:f>
        <x:v>0</x:v>
      </x:c>
      <x:c r="R3925" s="11" t="n">
        <x:f>IF(D3925="Completed",I3925,0)</x:f>
        <x:v>0</x:v>
      </x:c>
      <x:c r="S3925" s="11" t="n">
        <x:f>IF(D3925="Completed",L3925,0)</x:f>
        <x:v>0</x:v>
      </x:c>
      <x:c r="T3925" s="8" t="n">
        <x:f>DATE(YEAR(C3925),MONTH(C3925),1)</x:f>
        <x:v>45778</x:v>
      </x:c>
    </x:row>
    <x:row r="3926" ht="22" customHeight="1">
      <x:c r="A3926" s="2" t="str">
        <x:v>L003922</x:v>
      </x:c>
      <x:c r="B3926" s="2" t="str">
        <x:v>O01593</x:v>
      </x:c>
      <x:c r="C3926" s="7" t="n">
        <x:v>45803</x:v>
      </x:c>
      <x:c r="D3926" s="2" t="str">
        <x:v>Cancelled</x:v>
      </x:c>
      <x:c r="E3926" s="2" t="str">
        <x:v>South</x:v>
      </x:c>
      <x:c r="F3926" s="2" t="str">
        <x:v>Store</x:v>
      </x:c>
      <x:c r="G3926" s="2" t="str">
        <x:v>Furniture</x:v>
      </x:c>
      <x:c r="H3926" s="2" t="str">
        <x:v>Chair 002</x:v>
      </x:c>
      <x:c r="I3926" s="11" t="n">
        <x:v>1</x:v>
      </x:c>
      <x:c r="J3926" s="9" t="n">
        <x:v>284</x:v>
      </x:c>
      <x:c r="K3926" s="10" t="n">
        <x:v>0</x:v>
      </x:c>
      <x:c r="L3926" s="11" t="n">
        <x:v>0</x:v>
      </x:c>
      <x:c r="M3926" s="9" t="n">
        <x:f>IF(D3926="Completed",I3926*J3926,0)</x:f>
        <x:v>0</x:v>
      </x:c>
      <x:c r="N3926" s="9" t="n">
        <x:f>M3926*K3926</x:f>
        <x:v>0</x:v>
      </x:c>
      <x:c r="O3926" s="9" t="n">
        <x:f>M3926-N3926</x:f>
        <x:v>0</x:v>
      </x:c>
      <x:c r="P3926" s="9" t="n">
        <x:f>IF(D3926="Completed",L3926*J3926*(1-K3926),0)</x:f>
        <x:v>0</x:v>
      </x:c>
      <x:c r="Q3926" s="9" t="n">
        <x:f>O3926-P3926</x:f>
        <x:v>0</x:v>
      </x:c>
      <x:c r="R3926" s="11" t="n">
        <x:f>IF(D3926="Completed",I3926,0)</x:f>
        <x:v>0</x:v>
      </x:c>
      <x:c r="S3926" s="11" t="n">
        <x:f>IF(D3926="Completed",L3926,0)</x:f>
        <x:v>0</x:v>
      </x:c>
      <x:c r="T3926" s="8" t="n">
        <x:f>DATE(YEAR(C3926),MONTH(C3926),1)</x:f>
        <x:v>45778</x:v>
      </x:c>
    </x:row>
    <x:row r="3927" ht="22" customHeight="1">
      <x:c r="A3927" s="2" t="str">
        <x:v>L003923</x:v>
      </x:c>
      <x:c r="B3927" s="2" t="str">
        <x:v>O01593</x:v>
      </x:c>
      <x:c r="C3927" s="7" t="n">
        <x:v>45803</x:v>
      </x:c>
      <x:c r="D3927" s="2" t="str">
        <x:v>Cancelled</x:v>
      </x:c>
      <x:c r="E3927" s="2" t="str">
        <x:v>South</x:v>
      </x:c>
      <x:c r="F3927" s="2" t="str">
        <x:v>Store</x:v>
      </x:c>
      <x:c r="G3927" s="2" t="str">
        <x:v>Furniture</x:v>
      </x:c>
      <x:c r="H3927" s="2" t="str">
        <x:v>Chair 010</x:v>
      </x:c>
      <x:c r="I3927" s="11" t="n">
        <x:v>2</x:v>
      </x:c>
      <x:c r="J3927" s="9" t="n">
        <x:v>211</x:v>
      </x:c>
      <x:c r="K3927" s="10" t="n">
        <x:v>0.05</x:v>
      </x:c>
      <x:c r="L3927" s="11" t="n">
        <x:v>0</x:v>
      </x:c>
      <x:c r="M3927" s="9" t="n">
        <x:f>IF(D3927="Completed",I3927*J3927,0)</x:f>
        <x:v>0</x:v>
      </x:c>
      <x:c r="N3927" s="9" t="n">
        <x:f>M3927*K3927</x:f>
        <x:v>0</x:v>
      </x:c>
      <x:c r="O3927" s="9" t="n">
        <x:f>M3927-N3927</x:f>
        <x:v>0</x:v>
      </x:c>
      <x:c r="P3927" s="9" t="n">
        <x:f>IF(D3927="Completed",L3927*J3927*(1-K3927),0)</x:f>
        <x:v>0</x:v>
      </x:c>
      <x:c r="Q3927" s="9" t="n">
        <x:f>O3927-P3927</x:f>
        <x:v>0</x:v>
      </x:c>
      <x:c r="R3927" s="11" t="n">
        <x:f>IF(D3927="Completed",I3927,0)</x:f>
        <x:v>0</x:v>
      </x:c>
      <x:c r="S3927" s="11" t="n">
        <x:f>IF(D3927="Completed",L3927,0)</x:f>
        <x:v>0</x:v>
      </x:c>
      <x:c r="T3927" s="8" t="n">
        <x:f>DATE(YEAR(C3927),MONTH(C3927),1)</x:f>
        <x:v>45778</x:v>
      </x:c>
    </x:row>
    <x:row r="3928" ht="22" customHeight="1">
      <x:c r="A3928" s="2" t="str">
        <x:v>L003924</x:v>
      </x:c>
      <x:c r="B3928" s="2" t="str">
        <x:v>O01594</x:v>
      </x:c>
      <x:c r="C3928" s="7" t="n">
        <x:v>45919</x:v>
      </x:c>
      <x:c r="D3928" s="2" t="str">
        <x:v>Cancelled</x:v>
      </x:c>
      <x:c r="E3928" s="2" t="str">
        <x:v>East</x:v>
      </x:c>
      <x:c r="F3928" s="2" t="str">
        <x:v>Store</x:v>
      </x:c>
      <x:c r="G3928" s="2" t="str">
        <x:v>Furniture</x:v>
      </x:c>
      <x:c r="H3928" s="2" t="str">
        <x:v>Chair 022</x:v>
      </x:c>
      <x:c r="I3928" s="11" t="n">
        <x:v>4</x:v>
      </x:c>
      <x:c r="J3928" s="9" t="n">
        <x:v>134</x:v>
      </x:c>
      <x:c r="K3928" s="10" t="n">
        <x:v>0</x:v>
      </x:c>
      <x:c r="L3928" s="11" t="n">
        <x:v>0</x:v>
      </x:c>
      <x:c r="M3928" s="9" t="n">
        <x:f>IF(D3928="Completed",I3928*J3928,0)</x:f>
        <x:v>0</x:v>
      </x:c>
      <x:c r="N3928" s="9" t="n">
        <x:f>M3928*K3928</x:f>
        <x:v>0</x:v>
      </x:c>
      <x:c r="O3928" s="9" t="n">
        <x:f>M3928-N3928</x:f>
        <x:v>0</x:v>
      </x:c>
      <x:c r="P3928" s="9" t="n">
        <x:f>IF(D3928="Completed",L3928*J3928*(1-K3928),0)</x:f>
        <x:v>0</x:v>
      </x:c>
      <x:c r="Q3928" s="9" t="n">
        <x:f>O3928-P3928</x:f>
        <x:v>0</x:v>
      </x:c>
      <x:c r="R3928" s="11" t="n">
        <x:f>IF(D3928="Completed",I3928,0)</x:f>
        <x:v>0</x:v>
      </x:c>
      <x:c r="S3928" s="11" t="n">
        <x:f>IF(D3928="Completed",L3928,0)</x:f>
        <x:v>0</x:v>
      </x:c>
      <x:c r="T3928" s="8" t="n">
        <x:f>DATE(YEAR(C3928),MONTH(C3928),1)</x:f>
        <x:v>45901</x:v>
      </x:c>
    </x:row>
    <x:row r="3929" ht="22" customHeight="1">
      <x:c r="A3929" s="2" t="str">
        <x:v>L003925</x:v>
      </x:c>
      <x:c r="B3929" s="2" t="str">
        <x:v>O01594</x:v>
      </x:c>
      <x:c r="C3929" s="7" t="n">
        <x:v>45919</x:v>
      </x:c>
      <x:c r="D3929" s="2" t="str">
        <x:v>Cancelled</x:v>
      </x:c>
      <x:c r="E3929" s="2" t="str">
        <x:v>East</x:v>
      </x:c>
      <x:c r="F3929" s="2" t="str">
        <x:v>Store</x:v>
      </x:c>
      <x:c r="G3929" s="2" t="str">
        <x:v>Furniture</x:v>
      </x:c>
      <x:c r="H3929" s="2" t="str">
        <x:v>Chair 022</x:v>
      </x:c>
      <x:c r="I3929" s="11" t="n">
        <x:v>4</x:v>
      </x:c>
      <x:c r="J3929" s="9" t="n">
        <x:v>134</x:v>
      </x:c>
      <x:c r="K3929" s="10" t="n">
        <x:v>0.05</x:v>
      </x:c>
      <x:c r="L3929" s="11" t="n">
        <x:v>0</x:v>
      </x:c>
      <x:c r="M3929" s="9" t="n">
        <x:f>IF(D3929="Completed",I3929*J3929,0)</x:f>
        <x:v>0</x:v>
      </x:c>
      <x:c r="N3929" s="9" t="n">
        <x:f>M3929*K3929</x:f>
        <x:v>0</x:v>
      </x:c>
      <x:c r="O3929" s="9" t="n">
        <x:f>M3929-N3929</x:f>
        <x:v>0</x:v>
      </x:c>
      <x:c r="P3929" s="9" t="n">
        <x:f>IF(D3929="Completed",L3929*J3929*(1-K3929),0)</x:f>
        <x:v>0</x:v>
      </x:c>
      <x:c r="Q3929" s="9" t="n">
        <x:f>O3929-P3929</x:f>
        <x:v>0</x:v>
      </x:c>
      <x:c r="R3929" s="11" t="n">
        <x:f>IF(D3929="Completed",I3929,0)</x:f>
        <x:v>0</x:v>
      </x:c>
      <x:c r="S3929" s="11" t="n">
        <x:f>IF(D3929="Completed",L3929,0)</x:f>
        <x:v>0</x:v>
      </x:c>
      <x:c r="T3929" s="8" t="n">
        <x:f>DATE(YEAR(C3929),MONTH(C3929),1)</x:f>
        <x:v>45901</x:v>
      </x:c>
    </x:row>
    <x:row r="3930" ht="22" customHeight="1">
      <x:c r="A3930" s="2" t="str">
        <x:v>L003926</x:v>
      </x:c>
      <x:c r="B3930" s="2" t="str">
        <x:v>O01595</x:v>
      </x:c>
      <x:c r="C3930" s="7" t="n">
        <x:v>45831</x:v>
      </x:c>
      <x:c r="D3930" s="2" t="str">
        <x:v>Completed</x:v>
      </x:c>
      <x:c r="E3930" s="2" t="str">
        <x:v>South</x:v>
      </x:c>
      <x:c r="F3930" s="2" t="str">
        <x:v>Store</x:v>
      </x:c>
      <x:c r="G3930" s="2" t="str">
        <x:v>Furniture</x:v>
      </x:c>
      <x:c r="H3930" s="2" t="str">
        <x:v>Desk 016</x:v>
      </x:c>
      <x:c r="I3930" s="11" t="n">
        <x:v>5</x:v>
      </x:c>
      <x:c r="J3930" s="9" t="n">
        <x:v>231</x:v>
      </x:c>
      <x:c r="K3930" s="10" t="n">
        <x:v>0.05</x:v>
      </x:c>
      <x:c r="L3930" s="11" t="n">
        <x:v>0</x:v>
      </x:c>
      <x:c r="M3930" s="9" t="n">
        <x:f>IF(D3930="Completed",I3930*J3930,0)</x:f>
        <x:v>1155</x:v>
      </x:c>
      <x:c r="N3930" s="9" t="n">
        <x:f>M3930*K3930</x:f>
        <x:v>57.75</x:v>
      </x:c>
      <x:c r="O3930" s="9" t="n">
        <x:f>M3930-N3930</x:f>
        <x:v>1097.25</x:v>
      </x:c>
      <x:c r="P3930" s="9" t="n">
        <x:f>IF(D3930="Completed",L3930*J3930*(1-K3930),0)</x:f>
        <x:v>0</x:v>
      </x:c>
      <x:c r="Q3930" s="9" t="n">
        <x:f>O3930-P3930</x:f>
        <x:v>1097.25</x:v>
      </x:c>
      <x:c r="R3930" s="11" t="n">
        <x:f>IF(D3930="Completed",I3930,0)</x:f>
        <x:v>5</x:v>
      </x:c>
      <x:c r="S3930" s="11" t="n">
        <x:f>IF(D3930="Completed",L3930,0)</x:f>
        <x:v>0</x:v>
      </x:c>
      <x:c r="T3930" s="8" t="n">
        <x:f>DATE(YEAR(C3930),MONTH(C3930),1)</x:f>
        <x:v>45809</x:v>
      </x:c>
    </x:row>
    <x:row r="3931" ht="22" customHeight="1">
      <x:c r="A3931" s="2" t="str">
        <x:v>L003927</x:v>
      </x:c>
      <x:c r="B3931" s="2" t="str">
        <x:v>O01595</x:v>
      </x:c>
      <x:c r="C3931" s="7" t="n">
        <x:v>45831</x:v>
      </x:c>
      <x:c r="D3931" s="2" t="str">
        <x:v>Completed</x:v>
      </x:c>
      <x:c r="E3931" s="2" t="str">
        <x:v>South</x:v>
      </x:c>
      <x:c r="F3931" s="2" t="str">
        <x:v>Store</x:v>
      </x:c>
      <x:c r="G3931" s="2" t="str">
        <x:v>Lighting</x:v>
      </x:c>
      <x:c r="H3931" s="2" t="str">
        <x:v>Lamp 009</x:v>
      </x:c>
      <x:c r="I3931" s="11" t="n">
        <x:v>2</x:v>
      </x:c>
      <x:c r="J3931" s="9" t="n">
        <x:v>93</x:v>
      </x:c>
      <x:c r="K3931" s="10" t="n">
        <x:v>0</x:v>
      </x:c>
      <x:c r="L3931" s="11" t="n">
        <x:v>0</x:v>
      </x:c>
      <x:c r="M3931" s="9" t="n">
        <x:f>IF(D3931="Completed",I3931*J3931,0)</x:f>
        <x:v>186</x:v>
      </x:c>
      <x:c r="N3931" s="9" t="n">
        <x:f>M3931*K3931</x:f>
        <x:v>0</x:v>
      </x:c>
      <x:c r="O3931" s="9" t="n">
        <x:f>M3931-N3931</x:f>
        <x:v>186</x:v>
      </x:c>
      <x:c r="P3931" s="9" t="n">
        <x:f>IF(D3931="Completed",L3931*J3931*(1-K3931),0)</x:f>
        <x:v>0</x:v>
      </x:c>
      <x:c r="Q3931" s="9" t="n">
        <x:f>O3931-P3931</x:f>
        <x:v>186</x:v>
      </x:c>
      <x:c r="R3931" s="11" t="n">
        <x:f>IF(D3931="Completed",I3931,0)</x:f>
        <x:v>2</x:v>
      </x:c>
      <x:c r="S3931" s="11" t="n">
        <x:f>IF(D3931="Completed",L3931,0)</x:f>
        <x:v>0</x:v>
      </x:c>
      <x:c r="T3931" s="8" t="n">
        <x:f>DATE(YEAR(C3931),MONTH(C3931),1)</x:f>
        <x:v>45809</x:v>
      </x:c>
    </x:row>
    <x:row r="3932" ht="22" customHeight="1">
      <x:c r="A3932" s="2" t="str">
        <x:v>L003928</x:v>
      </x:c>
      <x:c r="B3932" s="2" t="str">
        <x:v>O01595</x:v>
      </x:c>
      <x:c r="C3932" s="7" t="n">
        <x:v>45831</x:v>
      </x:c>
      <x:c r="D3932" s="2" t="str">
        <x:v>Completed</x:v>
      </x:c>
      <x:c r="E3932" s="2" t="str">
        <x:v>South</x:v>
      </x:c>
      <x:c r="F3932" s="2" t="str">
        <x:v>Store</x:v>
      </x:c>
      <x:c r="G3932" s="2" t="str">
        <x:v>Lighting</x:v>
      </x:c>
      <x:c r="H3932" s="2" t="str">
        <x:v>Lamp 013</x:v>
      </x:c>
      <x:c r="I3932" s="11" t="n">
        <x:v>4</x:v>
      </x:c>
      <x:c r="J3932" s="9" t="n">
        <x:v>271</x:v>
      </x:c>
      <x:c r="K3932" s="10" t="n">
        <x:v>0.05</x:v>
      </x:c>
      <x:c r="L3932" s="11" t="n">
        <x:v>0</x:v>
      </x:c>
      <x:c r="M3932" s="9" t="n">
        <x:f>IF(D3932="Completed",I3932*J3932,0)</x:f>
        <x:v>1084</x:v>
      </x:c>
      <x:c r="N3932" s="9" t="n">
        <x:f>M3932*K3932</x:f>
        <x:v>54.2</x:v>
      </x:c>
      <x:c r="O3932" s="9" t="n">
        <x:f>M3932-N3932</x:f>
        <x:v>1029.8</x:v>
      </x:c>
      <x:c r="P3932" s="9" t="n">
        <x:f>IF(D3932="Completed",L3932*J3932*(1-K3932),0)</x:f>
        <x:v>0</x:v>
      </x:c>
      <x:c r="Q3932" s="9" t="n">
        <x:f>O3932-P3932</x:f>
        <x:v>1029.8</x:v>
      </x:c>
      <x:c r="R3932" s="11" t="n">
        <x:f>IF(D3932="Completed",I3932,0)</x:f>
        <x:v>4</x:v>
      </x:c>
      <x:c r="S3932" s="11" t="n">
        <x:f>IF(D3932="Completed",L3932,0)</x:f>
        <x:v>0</x:v>
      </x:c>
      <x:c r="T3932" s="8" t="n">
        <x:f>DATE(YEAR(C3932),MONTH(C3932),1)</x:f>
        <x:v>45809</x:v>
      </x:c>
    </x:row>
    <x:row r="3933" ht="22" customHeight="1">
      <x:c r="A3933" s="2" t="str">
        <x:v>L003929</x:v>
      </x:c>
      <x:c r="B3933" s="2" t="str">
        <x:v>O01596</x:v>
      </x:c>
      <x:c r="C3933" s="7" t="n">
        <x:v>45954</x:v>
      </x:c>
      <x:c r="D3933" s="2" t="str">
        <x:v>Completed</x:v>
      </x:c>
      <x:c r="E3933" s="2" t="str">
        <x:v>East</x:v>
      </x:c>
      <x:c r="F3933" s="2" t="str">
        <x:v>Online</x:v>
      </x:c>
      <x:c r="G3933" s="2" t="str">
        <x:v>Furniture</x:v>
      </x:c>
      <x:c r="H3933" s="2" t="str">
        <x:v>Chair 014</x:v>
      </x:c>
      <x:c r="I3933" s="11" t="n">
        <x:v>1</x:v>
      </x:c>
      <x:c r="J3933" s="9" t="n">
        <x:v>294</x:v>
      </x:c>
      <x:c r="K3933" s="10" t="n">
        <x:v>0.2</x:v>
      </x:c>
      <x:c r="L3933" s="11" t="n">
        <x:v>0</x:v>
      </x:c>
      <x:c r="M3933" s="9" t="n">
        <x:f>IF(D3933="Completed",I3933*J3933,0)</x:f>
        <x:v>294</x:v>
      </x:c>
      <x:c r="N3933" s="9" t="n">
        <x:f>M3933*K3933</x:f>
        <x:v>58.800000000000004</x:v>
      </x:c>
      <x:c r="O3933" s="9" t="n">
        <x:f>M3933-N3933</x:f>
        <x:v>235.2</x:v>
      </x:c>
      <x:c r="P3933" s="9" t="n">
        <x:f>IF(D3933="Completed",L3933*J3933*(1-K3933),0)</x:f>
        <x:v>0</x:v>
      </x:c>
      <x:c r="Q3933" s="9" t="n">
        <x:f>O3933-P3933</x:f>
        <x:v>235.2</x:v>
      </x:c>
      <x:c r="R3933" s="11" t="n">
        <x:f>IF(D3933="Completed",I3933,0)</x:f>
        <x:v>1</x:v>
      </x:c>
      <x:c r="S3933" s="11" t="n">
        <x:f>IF(D3933="Completed",L3933,0)</x:f>
        <x:v>0</x:v>
      </x:c>
      <x:c r="T3933" s="8" t="n">
        <x:f>DATE(YEAR(C3933),MONTH(C3933),1)</x:f>
        <x:v>45931</x:v>
      </x:c>
    </x:row>
    <x:row r="3934" ht="22" customHeight="1">
      <x:c r="A3934" s="2" t="str">
        <x:v>L003930</x:v>
      </x:c>
      <x:c r="B3934" s="2" t="str">
        <x:v>O01596</x:v>
      </x:c>
      <x:c r="C3934" s="7" t="n">
        <x:v>45954</x:v>
      </x:c>
      <x:c r="D3934" s="2" t="str">
        <x:v>Completed</x:v>
      </x:c>
      <x:c r="E3934" s="2" t="str">
        <x:v>East</x:v>
      </x:c>
      <x:c r="F3934" s="2" t="str">
        <x:v>Online</x:v>
      </x:c>
      <x:c r="G3934" s="2" t="str">
        <x:v>Furniture</x:v>
      </x:c>
      <x:c r="H3934" s="2" t="str">
        <x:v>Chair 018</x:v>
      </x:c>
      <x:c r="I3934" s="11" t="n">
        <x:v>2</x:v>
      </x:c>
      <x:c r="J3934" s="9" t="n">
        <x:v>269</x:v>
      </x:c>
      <x:c r="K3934" s="10" t="n">
        <x:v>0.05</x:v>
      </x:c>
      <x:c r="L3934" s="11" t="n">
        <x:v>0</x:v>
      </x:c>
      <x:c r="M3934" s="9" t="n">
        <x:f>IF(D3934="Completed",I3934*J3934,0)</x:f>
        <x:v>538</x:v>
      </x:c>
      <x:c r="N3934" s="9" t="n">
        <x:f>M3934*K3934</x:f>
        <x:v>26.900000000000002</x:v>
      </x:c>
      <x:c r="O3934" s="9" t="n">
        <x:f>M3934-N3934</x:f>
        <x:v>511.1</x:v>
      </x:c>
      <x:c r="P3934" s="9" t="n">
        <x:f>IF(D3934="Completed",L3934*J3934*(1-K3934),0)</x:f>
        <x:v>0</x:v>
      </x:c>
      <x:c r="Q3934" s="9" t="n">
        <x:f>O3934-P3934</x:f>
        <x:v>511.1</x:v>
      </x:c>
      <x:c r="R3934" s="11" t="n">
        <x:f>IF(D3934="Completed",I3934,0)</x:f>
        <x:v>2</x:v>
      </x:c>
      <x:c r="S3934" s="11" t="n">
        <x:f>IF(D3934="Completed",L3934,0)</x:f>
        <x:v>0</x:v>
      </x:c>
      <x:c r="T3934" s="8" t="n">
        <x:f>DATE(YEAR(C3934),MONTH(C3934),1)</x:f>
        <x:v>45931</x:v>
      </x:c>
    </x:row>
    <x:row r="3935" ht="22" customHeight="1">
      <x:c r="A3935" s="2" t="str">
        <x:v>L003931</x:v>
      </x:c>
      <x:c r="B3935" s="2" t="str">
        <x:v>O01596</x:v>
      </x:c>
      <x:c r="C3935" s="7" t="n">
        <x:v>45954</x:v>
      </x:c>
      <x:c r="D3935" s="2" t="str">
        <x:v>Completed</x:v>
      </x:c>
      <x:c r="E3935" s="2" t="str">
        <x:v>East</x:v>
      </x:c>
      <x:c r="F3935" s="2" t="str">
        <x:v>Online</x:v>
      </x:c>
      <x:c r="G3935" s="2" t="str">
        <x:v>Furniture</x:v>
      </x:c>
      <x:c r="H3935" s="2" t="str">
        <x:v>Desk 024</x:v>
      </x:c>
      <x:c r="I3935" s="11" t="n">
        <x:v>4</x:v>
      </x:c>
      <x:c r="J3935" s="9" t="n">
        <x:v>81</x:v>
      </x:c>
      <x:c r="K3935" s="10" t="n">
        <x:v>0.05</x:v>
      </x:c>
      <x:c r="L3935" s="11" t="n">
        <x:v>0</x:v>
      </x:c>
      <x:c r="M3935" s="9" t="n">
        <x:f>IF(D3935="Completed",I3935*J3935,0)</x:f>
        <x:v>324</x:v>
      </x:c>
      <x:c r="N3935" s="9" t="n">
        <x:f>M3935*K3935</x:f>
        <x:v>16.2</x:v>
      </x:c>
      <x:c r="O3935" s="9" t="n">
        <x:f>M3935-N3935</x:f>
        <x:v>307.8</x:v>
      </x:c>
      <x:c r="P3935" s="9" t="n">
        <x:f>IF(D3935="Completed",L3935*J3935*(1-K3935),0)</x:f>
        <x:v>0</x:v>
      </x:c>
      <x:c r="Q3935" s="9" t="n">
        <x:f>O3935-P3935</x:f>
        <x:v>307.8</x:v>
      </x:c>
      <x:c r="R3935" s="11" t="n">
        <x:f>IF(D3935="Completed",I3935,0)</x:f>
        <x:v>4</x:v>
      </x:c>
      <x:c r="S3935" s="11" t="n">
        <x:f>IF(D3935="Completed",L3935,0)</x:f>
        <x:v>0</x:v>
      </x:c>
      <x:c r="T3935" s="8" t="n">
        <x:f>DATE(YEAR(C3935),MONTH(C3935),1)</x:f>
        <x:v>45931</x:v>
      </x:c>
    </x:row>
    <x:row r="3936" ht="22" customHeight="1">
      <x:c r="A3936" s="2" t="str">
        <x:v>L003932</x:v>
      </x:c>
      <x:c r="B3936" s="2" t="str">
        <x:v>O01596</x:v>
      </x:c>
      <x:c r="C3936" s="7" t="n">
        <x:v>45954</x:v>
      </x:c>
      <x:c r="D3936" s="2" t="str">
        <x:v>Completed</x:v>
      </x:c>
      <x:c r="E3936" s="2" t="str">
        <x:v>East</x:v>
      </x:c>
      <x:c r="F3936" s="2" t="str">
        <x:v>Online</x:v>
      </x:c>
      <x:c r="G3936" s="2" t="str">
        <x:v>Lighting</x:v>
      </x:c>
      <x:c r="H3936" s="2" t="str">
        <x:v>Lamp 005</x:v>
      </x:c>
      <x:c r="I3936" s="11" t="n">
        <x:v>5</x:v>
      </x:c>
      <x:c r="J3936" s="9" t="n">
        <x:v>65</x:v>
      </x:c>
      <x:c r="K3936" s="10" t="n">
        <x:v>0</x:v>
      </x:c>
      <x:c r="L3936" s="11" t="n">
        <x:v>0</x:v>
      </x:c>
      <x:c r="M3936" s="9" t="n">
        <x:f>IF(D3936="Completed",I3936*J3936,0)</x:f>
        <x:v>325</x:v>
      </x:c>
      <x:c r="N3936" s="9" t="n">
        <x:f>M3936*K3936</x:f>
        <x:v>0</x:v>
      </x:c>
      <x:c r="O3936" s="9" t="n">
        <x:f>M3936-N3936</x:f>
        <x:v>325</x:v>
      </x:c>
      <x:c r="P3936" s="9" t="n">
        <x:f>IF(D3936="Completed",L3936*J3936*(1-K3936),0)</x:f>
        <x:v>0</x:v>
      </x:c>
      <x:c r="Q3936" s="9" t="n">
        <x:f>O3936-P3936</x:f>
        <x:v>325</x:v>
      </x:c>
      <x:c r="R3936" s="11" t="n">
        <x:f>IF(D3936="Completed",I3936,0)</x:f>
        <x:v>5</x:v>
      </x:c>
      <x:c r="S3936" s="11" t="n">
        <x:f>IF(D3936="Completed",L3936,0)</x:f>
        <x:v>0</x:v>
      </x:c>
      <x:c r="T3936" s="8" t="n">
        <x:f>DATE(YEAR(C3936),MONTH(C3936),1)</x:f>
        <x:v>45931</x:v>
      </x:c>
    </x:row>
    <x:row r="3937" ht="22" customHeight="1">
      <x:c r="A3937" s="2" t="str">
        <x:v>L003933</x:v>
      </x:c>
      <x:c r="B3937" s="2" t="str">
        <x:v>O01597</x:v>
      </x:c>
      <x:c r="C3937" s="7" t="n">
        <x:v>45961</x:v>
      </x:c>
      <x:c r="D3937" s="2" t="str">
        <x:v>Completed</x:v>
      </x:c>
      <x:c r="E3937" s="2" t="str">
        <x:v>South</x:v>
      </x:c>
      <x:c r="F3937" s="2" t="str">
        <x:v>Online</x:v>
      </x:c>
      <x:c r="G3937" s="2" t="str">
        <x:v>Furniture</x:v>
      </x:c>
      <x:c r="H3937" s="2" t="str">
        <x:v>Chair 002</x:v>
      </x:c>
      <x:c r="I3937" s="11" t="n">
        <x:v>1</x:v>
      </x:c>
      <x:c r="J3937" s="9" t="n">
        <x:v>284</x:v>
      </x:c>
      <x:c r="K3937" s="10" t="n">
        <x:v>0.05</x:v>
      </x:c>
      <x:c r="L3937" s="11" t="n">
        <x:v>0</x:v>
      </x:c>
      <x:c r="M3937" s="9" t="n">
        <x:f>IF(D3937="Completed",I3937*J3937,0)</x:f>
        <x:v>284</x:v>
      </x:c>
      <x:c r="N3937" s="9" t="n">
        <x:f>M3937*K3937</x:f>
        <x:v>14.200000000000001</x:v>
      </x:c>
      <x:c r="O3937" s="9" t="n">
        <x:f>M3937-N3937</x:f>
        <x:v>269.8</x:v>
      </x:c>
      <x:c r="P3937" s="9" t="n">
        <x:f>IF(D3937="Completed",L3937*J3937*(1-K3937),0)</x:f>
        <x:v>0</x:v>
      </x:c>
      <x:c r="Q3937" s="9" t="n">
        <x:f>O3937-P3937</x:f>
        <x:v>269.8</x:v>
      </x:c>
      <x:c r="R3937" s="11" t="n">
        <x:f>IF(D3937="Completed",I3937,0)</x:f>
        <x:v>1</x:v>
      </x:c>
      <x:c r="S3937" s="11" t="n">
        <x:f>IF(D3937="Completed",L3937,0)</x:f>
        <x:v>0</x:v>
      </x:c>
      <x:c r="T3937" s="8" t="n">
        <x:f>DATE(YEAR(C3937),MONTH(C3937),1)</x:f>
        <x:v>45931</x:v>
      </x:c>
    </x:row>
    <x:row r="3938" ht="22" customHeight="1">
      <x:c r="A3938" s="2" t="str">
        <x:v>L003934</x:v>
      </x:c>
      <x:c r="B3938" s="2" t="str">
        <x:v>O01597</x:v>
      </x:c>
      <x:c r="C3938" s="7" t="n">
        <x:v>45961</x:v>
      </x:c>
      <x:c r="D3938" s="2" t="str">
        <x:v>Completed</x:v>
      </x:c>
      <x:c r="E3938" s="2" t="str">
        <x:v>South</x:v>
      </x:c>
      <x:c r="F3938" s="2" t="str">
        <x:v>Online</x:v>
      </x:c>
      <x:c r="G3938" s="2" t="str">
        <x:v>Lighting</x:v>
      </x:c>
      <x:c r="H3938" s="2" t="str">
        <x:v>Lamp 021</x:v>
      </x:c>
      <x:c r="I3938" s="11" t="n">
        <x:v>4</x:v>
      </x:c>
      <x:c r="J3938" s="9" t="n">
        <x:v>249</x:v>
      </x:c>
      <x:c r="K3938" s="10" t="n">
        <x:v>0.05</x:v>
      </x:c>
      <x:c r="L3938" s="11" t="n">
        <x:v>0</x:v>
      </x:c>
      <x:c r="M3938" s="9" t="n">
        <x:f>IF(D3938="Completed",I3938*J3938,0)</x:f>
        <x:v>996</x:v>
      </x:c>
      <x:c r="N3938" s="9" t="n">
        <x:f>M3938*K3938</x:f>
        <x:v>49.800000000000004</x:v>
      </x:c>
      <x:c r="O3938" s="9" t="n">
        <x:f>M3938-N3938</x:f>
        <x:v>946.2</x:v>
      </x:c>
      <x:c r="P3938" s="9" t="n">
        <x:f>IF(D3938="Completed",L3938*J3938*(1-K3938),0)</x:f>
        <x:v>0</x:v>
      </x:c>
      <x:c r="Q3938" s="9" t="n">
        <x:f>O3938-P3938</x:f>
        <x:v>946.2</x:v>
      </x:c>
      <x:c r="R3938" s="11" t="n">
        <x:f>IF(D3938="Completed",I3938,0)</x:f>
        <x:v>4</x:v>
      </x:c>
      <x:c r="S3938" s="11" t="n">
        <x:f>IF(D3938="Completed",L3938,0)</x:f>
        <x:v>0</x:v>
      </x:c>
      <x:c r="T3938" s="8" t="n">
        <x:f>DATE(YEAR(C3938),MONTH(C3938),1)</x:f>
        <x:v>45931</x:v>
      </x:c>
    </x:row>
    <x:row r="3939" ht="22" customHeight="1">
      <x:c r="A3939" s="2" t="str">
        <x:v>L003935</x:v>
      </x:c>
      <x:c r="B3939" s="2" t="str">
        <x:v>O01597</x:v>
      </x:c>
      <x:c r="C3939" s="7" t="n">
        <x:v>45961</x:v>
      </x:c>
      <x:c r="D3939" s="2" t="str">
        <x:v>Completed</x:v>
      </x:c>
      <x:c r="E3939" s="2" t="str">
        <x:v>South</x:v>
      </x:c>
      <x:c r="F3939" s="2" t="str">
        <x:v>Online</x:v>
      </x:c>
      <x:c r="G3939" s="2" t="str">
        <x:v>Furniture</x:v>
      </x:c>
      <x:c r="H3939" s="2" t="str">
        <x:v>Desk 024</x:v>
      </x:c>
      <x:c r="I3939" s="11" t="n">
        <x:v>4</x:v>
      </x:c>
      <x:c r="J3939" s="9" t="n">
        <x:v>81</x:v>
      </x:c>
      <x:c r="K3939" s="10" t="n">
        <x:v>0.1</x:v>
      </x:c>
      <x:c r="L3939" s="11" t="n">
        <x:v>0</x:v>
      </x:c>
      <x:c r="M3939" s="9" t="n">
        <x:f>IF(D3939="Completed",I3939*J3939,0)</x:f>
        <x:v>324</x:v>
      </x:c>
      <x:c r="N3939" s="9" t="n">
        <x:f>M3939*K3939</x:f>
        <x:v>32.4</x:v>
      </x:c>
      <x:c r="O3939" s="9" t="n">
        <x:f>M3939-N3939</x:f>
        <x:v>291.6</x:v>
      </x:c>
      <x:c r="P3939" s="9" t="n">
        <x:f>IF(D3939="Completed",L3939*J3939*(1-K3939),0)</x:f>
        <x:v>0</x:v>
      </x:c>
      <x:c r="Q3939" s="9" t="n">
        <x:f>O3939-P3939</x:f>
        <x:v>291.6</x:v>
      </x:c>
      <x:c r="R3939" s="11" t="n">
        <x:f>IF(D3939="Completed",I3939,0)</x:f>
        <x:v>4</x:v>
      </x:c>
      <x:c r="S3939" s="11" t="n">
        <x:f>IF(D3939="Completed",L3939,0)</x:f>
        <x:v>0</x:v>
      </x:c>
      <x:c r="T3939" s="8" t="n">
        <x:f>DATE(YEAR(C3939),MONTH(C3939),1)</x:f>
        <x:v>45931</x:v>
      </x:c>
    </x:row>
    <x:row r="3940" ht="22" customHeight="1">
      <x:c r="A3940" s="2" t="str">
        <x:v>L003936</x:v>
      </x:c>
      <x:c r="B3940" s="2" t="str">
        <x:v>O01598</x:v>
      </x:c>
      <x:c r="C3940" s="7" t="n">
        <x:v>45716</x:v>
      </x:c>
      <x:c r="D3940" s="2" t="str">
        <x:v>Completed</x:v>
      </x:c>
      <x:c r="E3940" s="2" t="str">
        <x:v>West</x:v>
      </x:c>
      <x:c r="F3940" s="2" t="str">
        <x:v>Online</x:v>
      </x:c>
      <x:c r="G3940" s="2" t="str">
        <x:v>Furniture</x:v>
      </x:c>
      <x:c r="H3940" s="2" t="str">
        <x:v>Desk 012</x:v>
      </x:c>
      <x:c r="I3940" s="11" t="n">
        <x:v>3</x:v>
      </x:c>
      <x:c r="J3940" s="9" t="n">
        <x:v>134</x:v>
      </x:c>
      <x:c r="K3940" s="10" t="n">
        <x:v>0.1</x:v>
      </x:c>
      <x:c r="L3940" s="11" t="n">
        <x:v>0</x:v>
      </x:c>
      <x:c r="M3940" s="9" t="n">
        <x:f>IF(D3940="Completed",I3940*J3940,0)</x:f>
        <x:v>402</x:v>
      </x:c>
      <x:c r="N3940" s="9" t="n">
        <x:f>M3940*K3940</x:f>
        <x:v>40.2</x:v>
      </x:c>
      <x:c r="O3940" s="9" t="n">
        <x:f>M3940-N3940</x:f>
        <x:v>361.8</x:v>
      </x:c>
      <x:c r="P3940" s="9" t="n">
        <x:f>IF(D3940="Completed",L3940*J3940*(1-K3940),0)</x:f>
        <x:v>0</x:v>
      </x:c>
      <x:c r="Q3940" s="9" t="n">
        <x:f>O3940-P3940</x:f>
        <x:v>361.8</x:v>
      </x:c>
      <x:c r="R3940" s="11" t="n">
        <x:f>IF(D3940="Completed",I3940,0)</x:f>
        <x:v>3</x:v>
      </x:c>
      <x:c r="S3940" s="11" t="n">
        <x:f>IF(D3940="Completed",L3940,0)</x:f>
        <x:v>0</x:v>
      </x:c>
      <x:c r="T3940" s="8" t="n">
        <x:f>DATE(YEAR(C3940),MONTH(C3940),1)</x:f>
        <x:v>45689</x:v>
      </x:c>
    </x:row>
    <x:row r="3941" ht="22" customHeight="1">
      <x:c r="A3941" s="2" t="str">
        <x:v>L003937</x:v>
      </x:c>
      <x:c r="B3941" s="2" t="str">
        <x:v>O01599</x:v>
      </x:c>
      <x:c r="C3941" s="7" t="n">
        <x:v>45928</x:v>
      </x:c>
      <x:c r="D3941" s="2" t="str">
        <x:v>Completed</x:v>
      </x:c>
      <x:c r="E3941" s="2" t="str">
        <x:v>West</x:v>
      </x:c>
      <x:c r="F3941" s="2" t="str">
        <x:v>Store</x:v>
      </x:c>
      <x:c r="G3941" s="2" t="str">
        <x:v>Lighting</x:v>
      </x:c>
      <x:c r="H3941" s="2" t="str">
        <x:v>Lamp 001</x:v>
      </x:c>
      <x:c r="I3941" s="11" t="n">
        <x:v>3</x:v>
      </x:c>
      <x:c r="J3941" s="9" t="n">
        <x:v>122</x:v>
      </x:c>
      <x:c r="K3941" s="10" t="n">
        <x:v>0.05</x:v>
      </x:c>
      <x:c r="L3941" s="11" t="n">
        <x:v>0</x:v>
      </x:c>
      <x:c r="M3941" s="9" t="n">
        <x:f>IF(D3941="Completed",I3941*J3941,0)</x:f>
        <x:v>366</x:v>
      </x:c>
      <x:c r="N3941" s="9" t="n">
        <x:f>M3941*K3941</x:f>
        <x:v>18.3</x:v>
      </x:c>
      <x:c r="O3941" s="9" t="n">
        <x:f>M3941-N3941</x:f>
        <x:v>347.7</x:v>
      </x:c>
      <x:c r="P3941" s="9" t="n">
        <x:f>IF(D3941="Completed",L3941*J3941*(1-K3941),0)</x:f>
        <x:v>0</x:v>
      </x:c>
      <x:c r="Q3941" s="9" t="n">
        <x:f>O3941-P3941</x:f>
        <x:v>347.7</x:v>
      </x:c>
      <x:c r="R3941" s="11" t="n">
        <x:f>IF(D3941="Completed",I3941,0)</x:f>
        <x:v>3</x:v>
      </x:c>
      <x:c r="S3941" s="11" t="n">
        <x:f>IF(D3941="Completed",L3941,0)</x:f>
        <x:v>0</x:v>
      </x:c>
      <x:c r="T3941" s="8" t="n">
        <x:f>DATE(YEAR(C3941),MONTH(C3941),1)</x:f>
        <x:v>45901</x:v>
      </x:c>
    </x:row>
    <x:row r="3942" ht="22" customHeight="1">
      <x:c r="A3942" s="2" t="str">
        <x:v>L003938</x:v>
      </x:c>
      <x:c r="B3942" s="2" t="str">
        <x:v>O01599</x:v>
      </x:c>
      <x:c r="C3942" s="7" t="n">
        <x:v>45928</x:v>
      </x:c>
      <x:c r="D3942" s="2" t="str">
        <x:v>Completed</x:v>
      </x:c>
      <x:c r="E3942" s="2" t="str">
        <x:v>West</x:v>
      </x:c>
      <x:c r="F3942" s="2" t="str">
        <x:v>Store</x:v>
      </x:c>
      <x:c r="G3942" s="2" t="str">
        <x:v>Furniture</x:v>
      </x:c>
      <x:c r="H3942" s="2" t="str">
        <x:v>Desk 004</x:v>
      </x:c>
      <x:c r="I3942" s="11" t="n">
        <x:v>2</x:v>
      </x:c>
      <x:c r="J3942" s="9" t="n">
        <x:v>123</x:v>
      </x:c>
      <x:c r="K3942" s="10" t="n">
        <x:v>0.1</x:v>
      </x:c>
      <x:c r="L3942" s="11" t="n">
        <x:v>0</x:v>
      </x:c>
      <x:c r="M3942" s="9" t="n">
        <x:f>IF(D3942="Completed",I3942*J3942,0)</x:f>
        <x:v>246</x:v>
      </x:c>
      <x:c r="N3942" s="9" t="n">
        <x:f>M3942*K3942</x:f>
        <x:v>24.6</x:v>
      </x:c>
      <x:c r="O3942" s="9" t="n">
        <x:f>M3942-N3942</x:f>
        <x:v>221.4</x:v>
      </x:c>
      <x:c r="P3942" s="9" t="n">
        <x:f>IF(D3942="Completed",L3942*J3942*(1-K3942),0)</x:f>
        <x:v>0</x:v>
      </x:c>
      <x:c r="Q3942" s="9" t="n">
        <x:f>O3942-P3942</x:f>
        <x:v>221.4</x:v>
      </x:c>
      <x:c r="R3942" s="11" t="n">
        <x:f>IF(D3942="Completed",I3942,0)</x:f>
        <x:v>2</x:v>
      </x:c>
      <x:c r="S3942" s="11" t="n">
        <x:f>IF(D3942="Completed",L3942,0)</x:f>
        <x:v>0</x:v>
      </x:c>
      <x:c r="T3942" s="8" t="n">
        <x:f>DATE(YEAR(C3942),MONTH(C3942),1)</x:f>
        <x:v>45901</x:v>
      </x:c>
    </x:row>
    <x:row r="3943" ht="22" customHeight="1">
      <x:c r="A3943" s="2" t="str">
        <x:v>L003939</x:v>
      </x:c>
      <x:c r="B3943" s="2" t="str">
        <x:v>O01599</x:v>
      </x:c>
      <x:c r="C3943" s="7" t="n">
        <x:v>45928</x:v>
      </x:c>
      <x:c r="D3943" s="2" t="str">
        <x:v>Completed</x:v>
      </x:c>
      <x:c r="E3943" s="2" t="str">
        <x:v>West</x:v>
      </x:c>
      <x:c r="F3943" s="2" t="str">
        <x:v>Store</x:v>
      </x:c>
      <x:c r="G3943" s="2" t="str">
        <x:v>Storage</x:v>
      </x:c>
      <x:c r="H3943" s="2" t="str">
        <x:v>Shelf 015</x:v>
      </x:c>
      <x:c r="I3943" s="11" t="n">
        <x:v>2</x:v>
      </x:c>
      <x:c r="J3943" s="9" t="n">
        <x:v>254</x:v>
      </x:c>
      <x:c r="K3943" s="10" t="n">
        <x:v>0.05</x:v>
      </x:c>
      <x:c r="L3943" s="11" t="n">
        <x:v>0</x:v>
      </x:c>
      <x:c r="M3943" s="9" t="n">
        <x:f>IF(D3943="Completed",I3943*J3943,0)</x:f>
        <x:v>508</x:v>
      </x:c>
      <x:c r="N3943" s="9" t="n">
        <x:f>M3943*K3943</x:f>
        <x:v>25.400000000000002</x:v>
      </x:c>
      <x:c r="O3943" s="9" t="n">
        <x:f>M3943-N3943</x:f>
        <x:v>482.6</x:v>
      </x:c>
      <x:c r="P3943" s="9" t="n">
        <x:f>IF(D3943="Completed",L3943*J3943*(1-K3943),0)</x:f>
        <x:v>0</x:v>
      </x:c>
      <x:c r="Q3943" s="9" t="n">
        <x:f>O3943-P3943</x:f>
        <x:v>482.6</x:v>
      </x:c>
      <x:c r="R3943" s="11" t="n">
        <x:f>IF(D3943="Completed",I3943,0)</x:f>
        <x:v>2</x:v>
      </x:c>
      <x:c r="S3943" s="11" t="n">
        <x:f>IF(D3943="Completed",L3943,0)</x:f>
        <x:v>0</x:v>
      </x:c>
      <x:c r="T3943" s="8" t="n">
        <x:f>DATE(YEAR(C3943),MONTH(C3943),1)</x:f>
        <x:v>45901</x:v>
      </x:c>
    </x:row>
    <x:row r="3944" ht="22" customHeight="1">
      <x:c r="A3944" s="2" t="str">
        <x:v>L003940</x:v>
      </x:c>
      <x:c r="B3944" s="2" t="str">
        <x:v>O01600</x:v>
      </x:c>
      <x:c r="C3944" s="7" t="n">
        <x:v>45761</x:v>
      </x:c>
      <x:c r="D3944" s="2" t="str">
        <x:v>Completed</x:v>
      </x:c>
      <x:c r="E3944" s="2" t="str">
        <x:v>South</x:v>
      </x:c>
      <x:c r="F3944" s="2" t="str">
        <x:v>Online</x:v>
      </x:c>
      <x:c r="G3944" s="2" t="str">
        <x:v>Furniture</x:v>
      </x:c>
      <x:c r="H3944" s="2" t="str">
        <x:v>Desk 004</x:v>
      </x:c>
      <x:c r="I3944" s="11" t="n">
        <x:v>5</x:v>
      </x:c>
      <x:c r="J3944" s="9" t="n">
        <x:v>123</x:v>
      </x:c>
      <x:c r="K3944" s="10" t="n">
        <x:v>0.2</x:v>
      </x:c>
      <x:c r="L3944" s="11" t="n">
        <x:v>0</x:v>
      </x:c>
      <x:c r="M3944" s="9" t="n">
        <x:f>IF(D3944="Completed",I3944*J3944,0)</x:f>
        <x:v>615</x:v>
      </x:c>
      <x:c r="N3944" s="9" t="n">
        <x:f>M3944*K3944</x:f>
        <x:v>123</x:v>
      </x:c>
      <x:c r="O3944" s="9" t="n">
        <x:f>M3944-N3944</x:f>
        <x:v>492</x:v>
      </x:c>
      <x:c r="P3944" s="9" t="n">
        <x:f>IF(D3944="Completed",L3944*J3944*(1-K3944),0)</x:f>
        <x:v>0</x:v>
      </x:c>
      <x:c r="Q3944" s="9" t="n">
        <x:f>O3944-P3944</x:f>
        <x:v>492</x:v>
      </x:c>
      <x:c r="R3944" s="11" t="n">
        <x:f>IF(D3944="Completed",I3944,0)</x:f>
        <x:v>5</x:v>
      </x:c>
      <x:c r="S3944" s="11" t="n">
        <x:f>IF(D3944="Completed",L3944,0)</x:f>
        <x:v>0</x:v>
      </x:c>
      <x:c r="T3944" s="8" t="n">
        <x:f>DATE(YEAR(C3944),MONTH(C3944),1)</x:f>
        <x:v>45748</x:v>
      </x:c>
    </x:row>
    <x:row r="3945" ht="22" customHeight="1">
      <x:c r="A3945" s="2" t="str">
        <x:v>L003941</x:v>
      </x:c>
      <x:c r="B3945" s="2" t="str">
        <x:v>O01600</x:v>
      </x:c>
      <x:c r="C3945" s="7" t="n">
        <x:v>45761</x:v>
      </x:c>
      <x:c r="D3945" s="2" t="str">
        <x:v>Completed</x:v>
      </x:c>
      <x:c r="E3945" s="2" t="str">
        <x:v>South</x:v>
      </x:c>
      <x:c r="F3945" s="2" t="str">
        <x:v>Online</x:v>
      </x:c>
      <x:c r="G3945" s="2" t="str">
        <x:v>Lighting</x:v>
      </x:c>
      <x:c r="H3945" s="2" t="str">
        <x:v>Lamp 009</x:v>
      </x:c>
      <x:c r="I3945" s="11" t="n">
        <x:v>5</x:v>
      </x:c>
      <x:c r="J3945" s="9" t="n">
        <x:v>93</x:v>
      </x:c>
      <x:c r="K3945" s="10" t="n">
        <x:v>0.05</x:v>
      </x:c>
      <x:c r="L3945" s="11" t="n">
        <x:v>0</x:v>
      </x:c>
      <x:c r="M3945" s="9" t="n">
        <x:f>IF(D3945="Completed",I3945*J3945,0)</x:f>
        <x:v>465</x:v>
      </x:c>
      <x:c r="N3945" s="9" t="n">
        <x:f>M3945*K3945</x:f>
        <x:v>23.25</x:v>
      </x:c>
      <x:c r="O3945" s="9" t="n">
        <x:f>M3945-N3945</x:f>
        <x:v>441.75</x:v>
      </x:c>
      <x:c r="P3945" s="9" t="n">
        <x:f>IF(D3945="Completed",L3945*J3945*(1-K3945),0)</x:f>
        <x:v>0</x:v>
      </x:c>
      <x:c r="Q3945" s="9" t="n">
        <x:f>O3945-P3945</x:f>
        <x:v>441.75</x:v>
      </x:c>
      <x:c r="R3945" s="11" t="n">
        <x:f>IF(D3945="Completed",I3945,0)</x:f>
        <x:v>5</x:v>
      </x:c>
      <x:c r="S3945" s="11" t="n">
        <x:f>IF(D3945="Completed",L3945,0)</x:f>
        <x:v>0</x:v>
      </x:c>
      <x:c r="T3945" s="8" t="n">
        <x:f>DATE(YEAR(C3945),MONTH(C3945),1)</x:f>
        <x:v>45748</x:v>
      </x:c>
    </x:row>
    <x:row r="3946" ht="22" customHeight="1">
      <x:c r="A3946" s="2" t="str">
        <x:v>L003942</x:v>
      </x:c>
      <x:c r="B3946" s="2" t="str">
        <x:v>O01600</x:v>
      </x:c>
      <x:c r="C3946" s="7" t="n">
        <x:v>45761</x:v>
      </x:c>
      <x:c r="D3946" s="2" t="str">
        <x:v>Completed</x:v>
      </x:c>
      <x:c r="E3946" s="2" t="str">
        <x:v>South</x:v>
      </x:c>
      <x:c r="F3946" s="2" t="str">
        <x:v>Online</x:v>
      </x:c>
      <x:c r="G3946" s="2" t="str">
        <x:v>Storage</x:v>
      </x:c>
      <x:c r="H3946" s="2" t="str">
        <x:v>Shelf 007</x:v>
      </x:c>
      <x:c r="I3946" s="11" t="n">
        <x:v>1</x:v>
      </x:c>
      <x:c r="J3946" s="9" t="n">
        <x:v>35</x:v>
      </x:c>
      <x:c r="K3946" s="10" t="n">
        <x:v>0.1</x:v>
      </x:c>
      <x:c r="L3946" s="11" t="n">
        <x:v>1</x:v>
      </x:c>
      <x:c r="M3946" s="9" t="n">
        <x:f>IF(D3946="Completed",I3946*J3946,0)</x:f>
        <x:v>35</x:v>
      </x:c>
      <x:c r="N3946" s="9" t="n">
        <x:f>M3946*K3946</x:f>
        <x:v>3.5</x:v>
      </x:c>
      <x:c r="O3946" s="9" t="n">
        <x:f>M3946-N3946</x:f>
        <x:v>31.5</x:v>
      </x:c>
      <x:c r="P3946" s="9" t="n">
        <x:f>IF(D3946="Completed",L3946*J3946*(1-K3946),0)</x:f>
        <x:v>31.5</x:v>
      </x:c>
      <x:c r="Q3946" s="9" t="n">
        <x:f>O3946-P3946</x:f>
        <x:v>0</x:v>
      </x:c>
      <x:c r="R3946" s="11" t="n">
        <x:f>IF(D3946="Completed",I3946,0)</x:f>
        <x:v>1</x:v>
      </x:c>
      <x:c r="S3946" s="11" t="n">
        <x:f>IF(D3946="Completed",L3946,0)</x:f>
        <x:v>1</x:v>
      </x:c>
      <x:c r="T3946" s="8" t="n">
        <x:f>DATE(YEAR(C3946),MONTH(C3946),1)</x:f>
        <x:v>45748</x:v>
      </x:c>
    </x:row>
    <x:row r="3947" ht="22" customHeight="1">
      <x:c r="A3947" s="2" t="str">
        <x:v>L003943</x:v>
      </x:c>
      <x:c r="B3947" s="2" t="str">
        <x:v>O01601</x:v>
      </x:c>
      <x:c r="C3947" s="7" t="n">
        <x:v>45803</x:v>
      </x:c>
      <x:c r="D3947" s="2" t="str">
        <x:v>Completed</x:v>
      </x:c>
      <x:c r="E3947" s="2" t="str">
        <x:v>South</x:v>
      </x:c>
      <x:c r="F3947" s="2" t="str">
        <x:v>Online</x:v>
      </x:c>
      <x:c r="G3947" s="2" t="str">
        <x:v>Storage</x:v>
      </x:c>
      <x:c r="H3947" s="2" t="str">
        <x:v>Shelf 015</x:v>
      </x:c>
      <x:c r="I3947" s="11" t="n">
        <x:v>3</x:v>
      </x:c>
      <x:c r="J3947" s="9" t="n">
        <x:v>254</x:v>
      </x:c>
      <x:c r="K3947" s="10" t="n">
        <x:v>0.2</x:v>
      </x:c>
      <x:c r="L3947" s="11" t="n">
        <x:v>0</x:v>
      </x:c>
      <x:c r="M3947" s="9" t="n">
        <x:f>IF(D3947="Completed",I3947*J3947,0)</x:f>
        <x:v>762</x:v>
      </x:c>
      <x:c r="N3947" s="9" t="n">
        <x:f>M3947*K3947</x:f>
        <x:v>152.4</x:v>
      </x:c>
      <x:c r="O3947" s="9" t="n">
        <x:f>M3947-N3947</x:f>
        <x:v>609.6</x:v>
      </x:c>
      <x:c r="P3947" s="9" t="n">
        <x:f>IF(D3947="Completed",L3947*J3947*(1-K3947),0)</x:f>
        <x:v>0</x:v>
      </x:c>
      <x:c r="Q3947" s="9" t="n">
        <x:f>O3947-P3947</x:f>
        <x:v>609.6</x:v>
      </x:c>
      <x:c r="R3947" s="11" t="n">
        <x:f>IF(D3947="Completed",I3947,0)</x:f>
        <x:v>3</x:v>
      </x:c>
      <x:c r="S3947" s="11" t="n">
        <x:f>IF(D3947="Completed",L3947,0)</x:f>
        <x:v>0</x:v>
      </x:c>
      <x:c r="T3947" s="8" t="n">
        <x:f>DATE(YEAR(C3947),MONTH(C3947),1)</x:f>
        <x:v>45778</x:v>
      </x:c>
    </x:row>
    <x:row r="3948" ht="22" customHeight="1">
      <x:c r="A3948" s="2" t="str">
        <x:v>L003944</x:v>
      </x:c>
      <x:c r="B3948" s="2" t="str">
        <x:v>O01602</x:v>
      </x:c>
      <x:c r="C3948" s="7" t="n">
        <x:v>45742</x:v>
      </x:c>
      <x:c r="D3948" s="2" t="str">
        <x:v>Completed</x:v>
      </x:c>
      <x:c r="E3948" s="2" t="str">
        <x:v>West</x:v>
      </x:c>
      <x:c r="F3948" s="2" t="str">
        <x:v>Store</x:v>
      </x:c>
      <x:c r="G3948" s="2" t="str">
        <x:v>Storage</x:v>
      </x:c>
      <x:c r="H3948" s="2" t="str">
        <x:v>Shelf 015</x:v>
      </x:c>
      <x:c r="I3948" s="11" t="n">
        <x:v>5</x:v>
      </x:c>
      <x:c r="J3948" s="9" t="n">
        <x:v>254</x:v>
      </x:c>
      <x:c r="K3948" s="10" t="n">
        <x:v>0.05</x:v>
      </x:c>
      <x:c r="L3948" s="11" t="n">
        <x:v>0</x:v>
      </x:c>
      <x:c r="M3948" s="9" t="n">
        <x:f>IF(D3948="Completed",I3948*J3948,0)</x:f>
        <x:v>1270</x:v>
      </x:c>
      <x:c r="N3948" s="9" t="n">
        <x:f>M3948*K3948</x:f>
        <x:v>63.5</x:v>
      </x:c>
      <x:c r="O3948" s="9" t="n">
        <x:f>M3948-N3948</x:f>
        <x:v>1206.5</x:v>
      </x:c>
      <x:c r="P3948" s="9" t="n">
        <x:f>IF(D3948="Completed",L3948*J3948*(1-K3948),0)</x:f>
        <x:v>0</x:v>
      </x:c>
      <x:c r="Q3948" s="9" t="n">
        <x:f>O3948-P3948</x:f>
        <x:v>1206.5</x:v>
      </x:c>
      <x:c r="R3948" s="11" t="n">
        <x:f>IF(D3948="Completed",I3948,0)</x:f>
        <x:v>5</x:v>
      </x:c>
      <x:c r="S3948" s="11" t="n">
        <x:f>IF(D3948="Completed",L3948,0)</x:f>
        <x:v>0</x:v>
      </x:c>
      <x:c r="T3948" s="8" t="n">
        <x:f>DATE(YEAR(C3948),MONTH(C3948),1)</x:f>
        <x:v>45717</x:v>
      </x:c>
    </x:row>
    <x:row r="3949" ht="22" customHeight="1">
      <x:c r="A3949" s="2" t="str">
        <x:v>L003945</x:v>
      </x:c>
      <x:c r="B3949" s="2" t="str">
        <x:v>O01602</x:v>
      </x:c>
      <x:c r="C3949" s="7" t="n">
        <x:v>45742</x:v>
      </x:c>
      <x:c r="D3949" s="2" t="str">
        <x:v>Completed</x:v>
      </x:c>
      <x:c r="E3949" s="2" t="str">
        <x:v>West</x:v>
      </x:c>
      <x:c r="F3949" s="2" t="str">
        <x:v>Store</x:v>
      </x:c>
      <x:c r="G3949" s="2" t="str">
        <x:v>Lighting</x:v>
      </x:c>
      <x:c r="H3949" s="2" t="str">
        <x:v>Lamp 009</x:v>
      </x:c>
      <x:c r="I3949" s="11" t="n">
        <x:v>5</x:v>
      </x:c>
      <x:c r="J3949" s="9" t="n">
        <x:v>93</x:v>
      </x:c>
      <x:c r="K3949" s="10" t="n">
        <x:v>0</x:v>
      </x:c>
      <x:c r="L3949" s="11" t="n">
        <x:v>0</x:v>
      </x:c>
      <x:c r="M3949" s="9" t="n">
        <x:f>IF(D3949="Completed",I3949*J3949,0)</x:f>
        <x:v>465</x:v>
      </x:c>
      <x:c r="N3949" s="9" t="n">
        <x:f>M3949*K3949</x:f>
        <x:v>0</x:v>
      </x:c>
      <x:c r="O3949" s="9" t="n">
        <x:f>M3949-N3949</x:f>
        <x:v>465</x:v>
      </x:c>
      <x:c r="P3949" s="9" t="n">
        <x:f>IF(D3949="Completed",L3949*J3949*(1-K3949),0)</x:f>
        <x:v>0</x:v>
      </x:c>
      <x:c r="Q3949" s="9" t="n">
        <x:f>O3949-P3949</x:f>
        <x:v>465</x:v>
      </x:c>
      <x:c r="R3949" s="11" t="n">
        <x:f>IF(D3949="Completed",I3949,0)</x:f>
        <x:v>5</x:v>
      </x:c>
      <x:c r="S3949" s="11" t="n">
        <x:f>IF(D3949="Completed",L3949,0)</x:f>
        <x:v>0</x:v>
      </x:c>
      <x:c r="T3949" s="8" t="n">
        <x:f>DATE(YEAR(C3949),MONTH(C3949),1)</x:f>
        <x:v>45717</x:v>
      </x:c>
    </x:row>
    <x:row r="3950" ht="22" customHeight="1">
      <x:c r="A3950" s="2" t="str">
        <x:v>L003946</x:v>
      </x:c>
      <x:c r="B3950" s="2" t="str">
        <x:v>O01603</x:v>
      </x:c>
      <x:c r="C3950" s="7" t="n">
        <x:v>45829</x:v>
      </x:c>
      <x:c r="D3950" s="2" t="str">
        <x:v>Completed</x:v>
      </x:c>
      <x:c r="E3950" s="2" t="str">
        <x:v>West</x:v>
      </x:c>
      <x:c r="F3950" s="2" t="str">
        <x:v>Store</x:v>
      </x:c>
      <x:c r="G3950" s="2" t="str">
        <x:v>Furniture</x:v>
      </x:c>
      <x:c r="H3950" s="2" t="str">
        <x:v>Desk 020</x:v>
      </x:c>
      <x:c r="I3950" s="11" t="n">
        <x:v>1</x:v>
      </x:c>
      <x:c r="J3950" s="9" t="n">
        <x:v>189</x:v>
      </x:c>
      <x:c r="K3950" s="10" t="n">
        <x:v>0.05</x:v>
      </x:c>
      <x:c r="L3950" s="11" t="n">
        <x:v>0</x:v>
      </x:c>
      <x:c r="M3950" s="9" t="n">
        <x:f>IF(D3950="Completed",I3950*J3950,0)</x:f>
        <x:v>189</x:v>
      </x:c>
      <x:c r="N3950" s="9" t="n">
        <x:f>M3950*K3950</x:f>
        <x:v>9.450000000000001</x:v>
      </x:c>
      <x:c r="O3950" s="9" t="n">
        <x:f>M3950-N3950</x:f>
        <x:v>179.55</x:v>
      </x:c>
      <x:c r="P3950" s="9" t="n">
        <x:f>IF(D3950="Completed",L3950*J3950*(1-K3950),0)</x:f>
        <x:v>0</x:v>
      </x:c>
      <x:c r="Q3950" s="9" t="n">
        <x:f>O3950-P3950</x:f>
        <x:v>179.55</x:v>
      </x:c>
      <x:c r="R3950" s="11" t="n">
        <x:f>IF(D3950="Completed",I3950,0)</x:f>
        <x:v>1</x:v>
      </x:c>
      <x:c r="S3950" s="11" t="n">
        <x:f>IF(D3950="Completed",L3950,0)</x:f>
        <x:v>0</x:v>
      </x:c>
      <x:c r="T3950" s="8" t="n">
        <x:f>DATE(YEAR(C3950),MONTH(C3950),1)</x:f>
        <x:v>45809</x:v>
      </x:c>
    </x:row>
    <x:row r="3951" ht="22" customHeight="1">
      <x:c r="A3951" s="2" t="str">
        <x:v>L003947</x:v>
      </x:c>
      <x:c r="B3951" s="2" t="str">
        <x:v>O01603</x:v>
      </x:c>
      <x:c r="C3951" s="7" t="n">
        <x:v>45829</x:v>
      </x:c>
      <x:c r="D3951" s="2" t="str">
        <x:v>Completed</x:v>
      </x:c>
      <x:c r="E3951" s="2" t="str">
        <x:v>West</x:v>
      </x:c>
      <x:c r="F3951" s="2" t="str">
        <x:v>Store</x:v>
      </x:c>
      <x:c r="G3951" s="2" t="str">
        <x:v>Furniture</x:v>
      </x:c>
      <x:c r="H3951" s="2" t="str">
        <x:v>Desk 016</x:v>
      </x:c>
      <x:c r="I3951" s="11" t="n">
        <x:v>4</x:v>
      </x:c>
      <x:c r="J3951" s="9" t="n">
        <x:v>231</x:v>
      </x:c>
      <x:c r="K3951" s="10" t="n">
        <x:v>0.1</x:v>
      </x:c>
      <x:c r="L3951" s="11" t="n">
        <x:v>0</x:v>
      </x:c>
      <x:c r="M3951" s="9" t="n">
        <x:f>IF(D3951="Completed",I3951*J3951,0)</x:f>
        <x:v>924</x:v>
      </x:c>
      <x:c r="N3951" s="9" t="n">
        <x:f>M3951*K3951</x:f>
        <x:v>92.4</x:v>
      </x:c>
      <x:c r="O3951" s="9" t="n">
        <x:f>M3951-N3951</x:f>
        <x:v>831.6</x:v>
      </x:c>
      <x:c r="P3951" s="9" t="n">
        <x:f>IF(D3951="Completed",L3951*J3951*(1-K3951),0)</x:f>
        <x:v>0</x:v>
      </x:c>
      <x:c r="Q3951" s="9" t="n">
        <x:f>O3951-P3951</x:f>
        <x:v>831.6</x:v>
      </x:c>
      <x:c r="R3951" s="11" t="n">
        <x:f>IF(D3951="Completed",I3951,0)</x:f>
        <x:v>4</x:v>
      </x:c>
      <x:c r="S3951" s="11" t="n">
        <x:f>IF(D3951="Completed",L3951,0)</x:f>
        <x:v>0</x:v>
      </x:c>
      <x:c r="T3951" s="8" t="n">
        <x:f>DATE(YEAR(C3951),MONTH(C3951),1)</x:f>
        <x:v>45809</x:v>
      </x:c>
    </x:row>
    <x:row r="3952" ht="22" customHeight="1">
      <x:c r="A3952" s="2" t="str">
        <x:v>L003948</x:v>
      </x:c>
      <x:c r="B3952" s="2" t="str">
        <x:v>O01604</x:v>
      </x:c>
      <x:c r="C3952" s="7" t="n">
        <x:v>45812</x:v>
      </x:c>
      <x:c r="D3952" s="2" t="str">
        <x:v>Completed</x:v>
      </x:c>
      <x:c r="E3952" s="2" t="str">
        <x:v>North</x:v>
      </x:c>
      <x:c r="F3952" s="2" t="str">
        <x:v>Store</x:v>
      </x:c>
      <x:c r="G3952" s="2" t="str">
        <x:v>Storage</x:v>
      </x:c>
      <x:c r="H3952" s="2" t="str">
        <x:v>Shelf 007</x:v>
      </x:c>
      <x:c r="I3952" s="11" t="n">
        <x:v>2</x:v>
      </x:c>
      <x:c r="J3952" s="9" t="n">
        <x:v>35</x:v>
      </x:c>
      <x:c r="K3952" s="10" t="n">
        <x:v>0.05</x:v>
      </x:c>
      <x:c r="L3952" s="11" t="n">
        <x:v>0</x:v>
      </x:c>
      <x:c r="M3952" s="9" t="n">
        <x:f>IF(D3952="Completed",I3952*J3952,0)</x:f>
        <x:v>70</x:v>
      </x:c>
      <x:c r="N3952" s="9" t="n">
        <x:f>M3952*K3952</x:f>
        <x:v>3.5</x:v>
      </x:c>
      <x:c r="O3952" s="9" t="n">
        <x:f>M3952-N3952</x:f>
        <x:v>66.5</x:v>
      </x:c>
      <x:c r="P3952" s="9" t="n">
        <x:f>IF(D3952="Completed",L3952*J3952*(1-K3952),0)</x:f>
        <x:v>0</x:v>
      </x:c>
      <x:c r="Q3952" s="9" t="n">
        <x:f>O3952-P3952</x:f>
        <x:v>66.5</x:v>
      </x:c>
      <x:c r="R3952" s="11" t="n">
        <x:f>IF(D3952="Completed",I3952,0)</x:f>
        <x:v>2</x:v>
      </x:c>
      <x:c r="S3952" s="11" t="n">
        <x:f>IF(D3952="Completed",L3952,0)</x:f>
        <x:v>0</x:v>
      </x:c>
      <x:c r="T3952" s="8" t="n">
        <x:f>DATE(YEAR(C3952),MONTH(C3952),1)</x:f>
        <x:v>45809</x:v>
      </x:c>
    </x:row>
    <x:row r="3953" ht="22" customHeight="1">
      <x:c r="A3953" s="2" t="str">
        <x:v>L003949</x:v>
      </x:c>
      <x:c r="B3953" s="2" t="str">
        <x:v>O01605</x:v>
      </x:c>
      <x:c r="C3953" s="7" t="n">
        <x:v>45956</x:v>
      </x:c>
      <x:c r="D3953" s="2" t="str">
        <x:v>Completed</x:v>
      </x:c>
      <x:c r="E3953" s="2" t="str">
        <x:v>East</x:v>
      </x:c>
      <x:c r="F3953" s="2" t="str">
        <x:v>Online</x:v>
      </x:c>
      <x:c r="G3953" s="2" t="str">
        <x:v>Lighting</x:v>
      </x:c>
      <x:c r="H3953" s="2" t="str">
        <x:v>Lamp 009</x:v>
      </x:c>
      <x:c r="I3953" s="11" t="n">
        <x:v>2</x:v>
      </x:c>
      <x:c r="J3953" s="9" t="n">
        <x:v>93</x:v>
      </x:c>
      <x:c r="K3953" s="10" t="n">
        <x:v>0</x:v>
      </x:c>
      <x:c r="L3953" s="11" t="n">
        <x:v>0</x:v>
      </x:c>
      <x:c r="M3953" s="9" t="n">
        <x:f>IF(D3953="Completed",I3953*J3953,0)</x:f>
        <x:v>186</x:v>
      </x:c>
      <x:c r="N3953" s="9" t="n">
        <x:f>M3953*K3953</x:f>
        <x:v>0</x:v>
      </x:c>
      <x:c r="O3953" s="9" t="n">
        <x:f>M3953-N3953</x:f>
        <x:v>186</x:v>
      </x:c>
      <x:c r="P3953" s="9" t="n">
        <x:f>IF(D3953="Completed",L3953*J3953*(1-K3953),0)</x:f>
        <x:v>0</x:v>
      </x:c>
      <x:c r="Q3953" s="9" t="n">
        <x:f>O3953-P3953</x:f>
        <x:v>186</x:v>
      </x:c>
      <x:c r="R3953" s="11" t="n">
        <x:f>IF(D3953="Completed",I3953,0)</x:f>
        <x:v>2</x:v>
      </x:c>
      <x:c r="S3953" s="11" t="n">
        <x:f>IF(D3953="Completed",L3953,0)</x:f>
        <x:v>0</x:v>
      </x:c>
      <x:c r="T3953" s="8" t="n">
        <x:f>DATE(YEAR(C3953),MONTH(C3953),1)</x:f>
        <x:v>45931</x:v>
      </x:c>
    </x:row>
    <x:row r="3954" ht="22" customHeight="1">
      <x:c r="A3954" s="2" t="str">
        <x:v>L003950</x:v>
      </x:c>
      <x:c r="B3954" s="2" t="str">
        <x:v>O01605</x:v>
      </x:c>
      <x:c r="C3954" s="7" t="n">
        <x:v>45956</x:v>
      </x:c>
      <x:c r="D3954" s="2" t="str">
        <x:v>Completed</x:v>
      </x:c>
      <x:c r="E3954" s="2" t="str">
        <x:v>East</x:v>
      </x:c>
      <x:c r="F3954" s="2" t="str">
        <x:v>Online</x:v>
      </x:c>
      <x:c r="G3954" s="2" t="str">
        <x:v>Furniture</x:v>
      </x:c>
      <x:c r="H3954" s="2" t="str">
        <x:v>Desk 012</x:v>
      </x:c>
      <x:c r="I3954" s="11" t="n">
        <x:v>2</x:v>
      </x:c>
      <x:c r="J3954" s="9" t="n">
        <x:v>134</x:v>
      </x:c>
      <x:c r="K3954" s="10" t="n">
        <x:v>0.2</x:v>
      </x:c>
      <x:c r="L3954" s="11" t="n">
        <x:v>0</x:v>
      </x:c>
      <x:c r="M3954" s="9" t="n">
        <x:f>IF(D3954="Completed",I3954*J3954,0)</x:f>
        <x:v>268</x:v>
      </x:c>
      <x:c r="N3954" s="9" t="n">
        <x:f>M3954*K3954</x:f>
        <x:v>53.6</x:v>
      </x:c>
      <x:c r="O3954" s="9" t="n">
        <x:f>M3954-N3954</x:f>
        <x:v>214.4</x:v>
      </x:c>
      <x:c r="P3954" s="9" t="n">
        <x:f>IF(D3954="Completed",L3954*J3954*(1-K3954),0)</x:f>
        <x:v>0</x:v>
      </x:c>
      <x:c r="Q3954" s="9" t="n">
        <x:f>O3954-P3954</x:f>
        <x:v>214.4</x:v>
      </x:c>
      <x:c r="R3954" s="11" t="n">
        <x:f>IF(D3954="Completed",I3954,0)</x:f>
        <x:v>2</x:v>
      </x:c>
      <x:c r="S3954" s="11" t="n">
        <x:f>IF(D3954="Completed",L3954,0)</x:f>
        <x:v>0</x:v>
      </x:c>
      <x:c r="T3954" s="8" t="n">
        <x:f>DATE(YEAR(C3954),MONTH(C3954),1)</x:f>
        <x:v>45931</x:v>
      </x:c>
    </x:row>
    <x:row r="3955" ht="22" customHeight="1">
      <x:c r="A3955" s="2" t="str">
        <x:v>L003951</x:v>
      </x:c>
      <x:c r="B3955" s="2" t="str">
        <x:v>O01606</x:v>
      </x:c>
      <x:c r="C3955" s="7" t="n">
        <x:v>45748</x:v>
      </x:c>
      <x:c r="D3955" s="2" t="str">
        <x:v>Completed</x:v>
      </x:c>
      <x:c r="E3955" s="2" t="str">
        <x:v>North</x:v>
      </x:c>
      <x:c r="F3955" s="2" t="str">
        <x:v>Store</x:v>
      </x:c>
      <x:c r="G3955" s="2" t="str">
        <x:v>Lighting</x:v>
      </x:c>
      <x:c r="H3955" s="2" t="str">
        <x:v>Lamp 013</x:v>
      </x:c>
      <x:c r="I3955" s="11" t="n">
        <x:v>1</x:v>
      </x:c>
      <x:c r="J3955" s="9" t="n">
        <x:v>271</x:v>
      </x:c>
      <x:c r="K3955" s="10" t="n">
        <x:v>0</x:v>
      </x:c>
      <x:c r="L3955" s="11" t="n">
        <x:v>0</x:v>
      </x:c>
      <x:c r="M3955" s="9" t="n">
        <x:f>IF(D3955="Completed",I3955*J3955,0)</x:f>
        <x:v>271</x:v>
      </x:c>
      <x:c r="N3955" s="9" t="n">
        <x:f>M3955*K3955</x:f>
        <x:v>0</x:v>
      </x:c>
      <x:c r="O3955" s="9" t="n">
        <x:f>M3955-N3955</x:f>
        <x:v>271</x:v>
      </x:c>
      <x:c r="P3955" s="9" t="n">
        <x:f>IF(D3955="Completed",L3955*J3955*(1-K3955),0)</x:f>
        <x:v>0</x:v>
      </x:c>
      <x:c r="Q3955" s="9" t="n">
        <x:f>O3955-P3955</x:f>
        <x:v>271</x:v>
      </x:c>
      <x:c r="R3955" s="11" t="n">
        <x:f>IF(D3955="Completed",I3955,0)</x:f>
        <x:v>1</x:v>
      </x:c>
      <x:c r="S3955" s="11" t="n">
        <x:f>IF(D3955="Completed",L3955,0)</x:f>
        <x:v>0</x:v>
      </x:c>
      <x:c r="T3955" s="8" t="n">
        <x:f>DATE(YEAR(C3955),MONTH(C3955),1)</x:f>
        <x:v>45748</x:v>
      </x:c>
    </x:row>
    <x:row r="3956" ht="22" customHeight="1">
      <x:c r="A3956" s="2" t="str">
        <x:v>L003952</x:v>
      </x:c>
      <x:c r="B3956" s="2" t="str">
        <x:v>O01606</x:v>
      </x:c>
      <x:c r="C3956" s="7" t="n">
        <x:v>45748</x:v>
      </x:c>
      <x:c r="D3956" s="2" t="str">
        <x:v>Completed</x:v>
      </x:c>
      <x:c r="E3956" s="2" t="str">
        <x:v>North</x:v>
      </x:c>
      <x:c r="F3956" s="2" t="str">
        <x:v>Store</x:v>
      </x:c>
      <x:c r="G3956" s="2" t="str">
        <x:v>Storage</x:v>
      </x:c>
      <x:c r="H3956" s="2" t="str">
        <x:v>Shelf 015</x:v>
      </x:c>
      <x:c r="I3956" s="11" t="n">
        <x:v>5</x:v>
      </x:c>
      <x:c r="J3956" s="9" t="n">
        <x:v>254</x:v>
      </x:c>
      <x:c r="K3956" s="10" t="n">
        <x:v>0</x:v>
      </x:c>
      <x:c r="L3956" s="11" t="n">
        <x:v>0</x:v>
      </x:c>
      <x:c r="M3956" s="9" t="n">
        <x:f>IF(D3956="Completed",I3956*J3956,0)</x:f>
        <x:v>1270</x:v>
      </x:c>
      <x:c r="N3956" s="9" t="n">
        <x:f>M3956*K3956</x:f>
        <x:v>0</x:v>
      </x:c>
      <x:c r="O3956" s="9" t="n">
        <x:f>M3956-N3956</x:f>
        <x:v>1270</x:v>
      </x:c>
      <x:c r="P3956" s="9" t="n">
        <x:f>IF(D3956="Completed",L3956*J3956*(1-K3956),0)</x:f>
        <x:v>0</x:v>
      </x:c>
      <x:c r="Q3956" s="9" t="n">
        <x:f>O3956-P3956</x:f>
        <x:v>1270</x:v>
      </x:c>
      <x:c r="R3956" s="11" t="n">
        <x:f>IF(D3956="Completed",I3956,0)</x:f>
        <x:v>5</x:v>
      </x:c>
      <x:c r="S3956" s="11" t="n">
        <x:f>IF(D3956="Completed",L3956,0)</x:f>
        <x:v>0</x:v>
      </x:c>
      <x:c r="T3956" s="8" t="n">
        <x:f>DATE(YEAR(C3956),MONTH(C3956),1)</x:f>
        <x:v>45748</x:v>
      </x:c>
    </x:row>
    <x:row r="3957" ht="22" customHeight="1">
      <x:c r="A3957" s="2" t="str">
        <x:v>L003953</x:v>
      </x:c>
      <x:c r="B3957" s="2" t="str">
        <x:v>O01606</x:v>
      </x:c>
      <x:c r="C3957" s="7" t="n">
        <x:v>45748</x:v>
      </x:c>
      <x:c r="D3957" s="2" t="str">
        <x:v>Completed</x:v>
      </x:c>
      <x:c r="E3957" s="2" t="str">
        <x:v>North</x:v>
      </x:c>
      <x:c r="F3957" s="2" t="str">
        <x:v>Store</x:v>
      </x:c>
      <x:c r="G3957" s="2" t="str">
        <x:v>Furniture</x:v>
      </x:c>
      <x:c r="H3957" s="2" t="str">
        <x:v>Chair 014</x:v>
      </x:c>
      <x:c r="I3957" s="11" t="n">
        <x:v>4</x:v>
      </x:c>
      <x:c r="J3957" s="9" t="n">
        <x:v>294</x:v>
      </x:c>
      <x:c r="K3957" s="10" t="n">
        <x:v>0.2</x:v>
      </x:c>
      <x:c r="L3957" s="11" t="n">
        <x:v>0</x:v>
      </x:c>
      <x:c r="M3957" s="9" t="n">
        <x:f>IF(D3957="Completed",I3957*J3957,0)</x:f>
        <x:v>1176</x:v>
      </x:c>
      <x:c r="N3957" s="9" t="n">
        <x:f>M3957*K3957</x:f>
        <x:v>235.20000000000002</x:v>
      </x:c>
      <x:c r="O3957" s="9" t="n">
        <x:f>M3957-N3957</x:f>
        <x:v>940.8</x:v>
      </x:c>
      <x:c r="P3957" s="9" t="n">
        <x:f>IF(D3957="Completed",L3957*J3957*(1-K3957),0)</x:f>
        <x:v>0</x:v>
      </x:c>
      <x:c r="Q3957" s="9" t="n">
        <x:f>O3957-P3957</x:f>
        <x:v>940.8</x:v>
      </x:c>
      <x:c r="R3957" s="11" t="n">
        <x:f>IF(D3957="Completed",I3957,0)</x:f>
        <x:v>4</x:v>
      </x:c>
      <x:c r="S3957" s="11" t="n">
        <x:f>IF(D3957="Completed",L3957,0)</x:f>
        <x:v>0</x:v>
      </x:c>
      <x:c r="T3957" s="8" t="n">
        <x:f>DATE(YEAR(C3957),MONTH(C3957),1)</x:f>
        <x:v>45748</x:v>
      </x:c>
    </x:row>
    <x:row r="3958" ht="22" customHeight="1">
      <x:c r="A3958" s="2" t="str">
        <x:v>L003954</x:v>
      </x:c>
      <x:c r="B3958" s="2" t="str">
        <x:v>O01607</x:v>
      </x:c>
      <x:c r="C3958" s="7" t="n">
        <x:v>45784</x:v>
      </x:c>
      <x:c r="D3958" s="2" t="str">
        <x:v>Cancelled</x:v>
      </x:c>
      <x:c r="E3958" s="2" t="str">
        <x:v>South</x:v>
      </x:c>
      <x:c r="F3958" s="2" t="str">
        <x:v>Online</x:v>
      </x:c>
      <x:c r="G3958" s="2" t="str">
        <x:v>Furniture</x:v>
      </x:c>
      <x:c r="H3958" s="2" t="str">
        <x:v>Chair 022</x:v>
      </x:c>
      <x:c r="I3958" s="11" t="n">
        <x:v>2</x:v>
      </x:c>
      <x:c r="J3958" s="9" t="n">
        <x:v>134</x:v>
      </x:c>
      <x:c r="K3958" s="10" t="n">
        <x:v>0.1</x:v>
      </x:c>
      <x:c r="L3958" s="11" t="n">
        <x:v>0</x:v>
      </x:c>
      <x:c r="M3958" s="9" t="n">
        <x:f>IF(D3958="Completed",I3958*J3958,0)</x:f>
        <x:v>0</x:v>
      </x:c>
      <x:c r="N3958" s="9" t="n">
        <x:f>M3958*K3958</x:f>
        <x:v>0</x:v>
      </x:c>
      <x:c r="O3958" s="9" t="n">
        <x:f>M3958-N3958</x:f>
        <x:v>0</x:v>
      </x:c>
      <x:c r="P3958" s="9" t="n">
        <x:f>IF(D3958="Completed",L3958*J3958*(1-K3958),0)</x:f>
        <x:v>0</x:v>
      </x:c>
      <x:c r="Q3958" s="9" t="n">
        <x:f>O3958-P3958</x:f>
        <x:v>0</x:v>
      </x:c>
      <x:c r="R3958" s="11" t="n">
        <x:f>IF(D3958="Completed",I3958,0)</x:f>
        <x:v>0</x:v>
      </x:c>
      <x:c r="S3958" s="11" t="n">
        <x:f>IF(D3958="Completed",L3958,0)</x:f>
        <x:v>0</x:v>
      </x:c>
      <x:c r="T3958" s="8" t="n">
        <x:f>DATE(YEAR(C3958),MONTH(C3958),1)</x:f>
        <x:v>45778</x:v>
      </x:c>
    </x:row>
    <x:row r="3959" ht="22" customHeight="1">
      <x:c r="A3959" s="2" t="str">
        <x:v>L003955</x:v>
      </x:c>
      <x:c r="B3959" s="2" t="str">
        <x:v>O01608</x:v>
      </x:c>
      <x:c r="C3959" s="7" t="n">
        <x:v>45945</x:v>
      </x:c>
      <x:c r="D3959" s="2" t="str">
        <x:v>Completed</x:v>
      </x:c>
      <x:c r="E3959" s="2" t="str">
        <x:v>North</x:v>
      </x:c>
      <x:c r="F3959" s="2" t="str">
        <x:v>Online</x:v>
      </x:c>
      <x:c r="G3959" s="2" t="str">
        <x:v>Lighting</x:v>
      </x:c>
      <x:c r="H3959" s="2" t="str">
        <x:v>Lamp 013</x:v>
      </x:c>
      <x:c r="I3959" s="11" t="n">
        <x:v>5</x:v>
      </x:c>
      <x:c r="J3959" s="9" t="n">
        <x:v>271</x:v>
      </x:c>
      <x:c r="K3959" s="10" t="n">
        <x:v>0</x:v>
      </x:c>
      <x:c r="L3959" s="11" t="n">
        <x:v>0</x:v>
      </x:c>
      <x:c r="M3959" s="9" t="n">
        <x:f>IF(D3959="Completed",I3959*J3959,0)</x:f>
        <x:v>1355</x:v>
      </x:c>
      <x:c r="N3959" s="9" t="n">
        <x:f>M3959*K3959</x:f>
        <x:v>0</x:v>
      </x:c>
      <x:c r="O3959" s="9" t="n">
        <x:f>M3959-N3959</x:f>
        <x:v>1355</x:v>
      </x:c>
      <x:c r="P3959" s="9" t="n">
        <x:f>IF(D3959="Completed",L3959*J3959*(1-K3959),0)</x:f>
        <x:v>0</x:v>
      </x:c>
      <x:c r="Q3959" s="9" t="n">
        <x:f>O3959-P3959</x:f>
        <x:v>1355</x:v>
      </x:c>
      <x:c r="R3959" s="11" t="n">
        <x:f>IF(D3959="Completed",I3959,0)</x:f>
        <x:v>5</x:v>
      </x:c>
      <x:c r="S3959" s="11" t="n">
        <x:f>IF(D3959="Completed",L3959,0)</x:f>
        <x:v>0</x:v>
      </x:c>
      <x:c r="T3959" s="8" t="n">
        <x:f>DATE(YEAR(C3959),MONTH(C3959),1)</x:f>
        <x:v>45931</x:v>
      </x:c>
    </x:row>
    <x:row r="3960" ht="22" customHeight="1">
      <x:c r="A3960" s="2" t="str">
        <x:v>L003956</x:v>
      </x:c>
      <x:c r="B3960" s="2" t="str">
        <x:v>O01609</x:v>
      </x:c>
      <x:c r="C3960" s="7" t="n">
        <x:v>45902</x:v>
      </x:c>
      <x:c r="D3960" s="2" t="str">
        <x:v>Completed</x:v>
      </x:c>
      <x:c r="E3960" s="2" t="str">
        <x:v>South</x:v>
      </x:c>
      <x:c r="F3960" s="2" t="str">
        <x:v>Store</x:v>
      </x:c>
      <x:c r="G3960" s="2" t="str">
        <x:v>Furniture</x:v>
      </x:c>
      <x:c r="H3960" s="2" t="str">
        <x:v>Chair 002</x:v>
      </x:c>
      <x:c r="I3960" s="11" t="n">
        <x:v>3</x:v>
      </x:c>
      <x:c r="J3960" s="9" t="n">
        <x:v>284</x:v>
      </x:c>
      <x:c r="K3960" s="10" t="n">
        <x:v>0</x:v>
      </x:c>
      <x:c r="L3960" s="11" t="n">
        <x:v>0</x:v>
      </x:c>
      <x:c r="M3960" s="9" t="n">
        <x:f>IF(D3960="Completed",I3960*J3960,0)</x:f>
        <x:v>852</x:v>
      </x:c>
      <x:c r="N3960" s="9" t="n">
        <x:f>M3960*K3960</x:f>
        <x:v>0</x:v>
      </x:c>
      <x:c r="O3960" s="9" t="n">
        <x:f>M3960-N3960</x:f>
        <x:v>852</x:v>
      </x:c>
      <x:c r="P3960" s="9" t="n">
        <x:f>IF(D3960="Completed",L3960*J3960*(1-K3960),0)</x:f>
        <x:v>0</x:v>
      </x:c>
      <x:c r="Q3960" s="9" t="n">
        <x:f>O3960-P3960</x:f>
        <x:v>852</x:v>
      </x:c>
      <x:c r="R3960" s="11" t="n">
        <x:f>IF(D3960="Completed",I3960,0)</x:f>
        <x:v>3</x:v>
      </x:c>
      <x:c r="S3960" s="11" t="n">
        <x:f>IF(D3960="Completed",L3960,0)</x:f>
        <x:v>0</x:v>
      </x:c>
      <x:c r="T3960" s="8" t="n">
        <x:f>DATE(YEAR(C3960),MONTH(C3960),1)</x:f>
        <x:v>45901</x:v>
      </x:c>
    </x:row>
    <x:row r="3961" ht="22" customHeight="1">
      <x:c r="A3961" s="2" t="str">
        <x:v>L003957</x:v>
      </x:c>
      <x:c r="B3961" s="2" t="str">
        <x:v>O01609</x:v>
      </x:c>
      <x:c r="C3961" s="7" t="n">
        <x:v>45902</x:v>
      </x:c>
      <x:c r="D3961" s="2" t="str">
        <x:v>Completed</x:v>
      </x:c>
      <x:c r="E3961" s="2" t="str">
        <x:v>South</x:v>
      </x:c>
      <x:c r="F3961" s="2" t="str">
        <x:v>Store</x:v>
      </x:c>
      <x:c r="G3961" s="2" t="str">
        <x:v>Lighting</x:v>
      </x:c>
      <x:c r="H3961" s="2" t="str">
        <x:v>Lamp 001</x:v>
      </x:c>
      <x:c r="I3961" s="11" t="n">
        <x:v>3</x:v>
      </x:c>
      <x:c r="J3961" s="9" t="n">
        <x:v>122</x:v>
      </x:c>
      <x:c r="K3961" s="10" t="n">
        <x:v>0</x:v>
      </x:c>
      <x:c r="L3961" s="11" t="n">
        <x:v>0</x:v>
      </x:c>
      <x:c r="M3961" s="9" t="n">
        <x:f>IF(D3961="Completed",I3961*J3961,0)</x:f>
        <x:v>366</x:v>
      </x:c>
      <x:c r="N3961" s="9" t="n">
        <x:f>M3961*K3961</x:f>
        <x:v>0</x:v>
      </x:c>
      <x:c r="O3961" s="9" t="n">
        <x:f>M3961-N3961</x:f>
        <x:v>366</x:v>
      </x:c>
      <x:c r="P3961" s="9" t="n">
        <x:f>IF(D3961="Completed",L3961*J3961*(1-K3961),0)</x:f>
        <x:v>0</x:v>
      </x:c>
      <x:c r="Q3961" s="9" t="n">
        <x:f>O3961-P3961</x:f>
        <x:v>366</x:v>
      </x:c>
      <x:c r="R3961" s="11" t="n">
        <x:f>IF(D3961="Completed",I3961,0)</x:f>
        <x:v>3</x:v>
      </x:c>
      <x:c r="S3961" s="11" t="n">
        <x:f>IF(D3961="Completed",L3961,0)</x:f>
        <x:v>0</x:v>
      </x:c>
      <x:c r="T3961" s="8" t="n">
        <x:f>DATE(YEAR(C3961),MONTH(C3961),1)</x:f>
        <x:v>45901</x:v>
      </x:c>
    </x:row>
    <x:row r="3962" ht="22" customHeight="1">
      <x:c r="A3962" s="2" t="str">
        <x:v>L003958</x:v>
      </x:c>
      <x:c r="B3962" s="2" t="str">
        <x:v>O01610</x:v>
      </x:c>
      <x:c r="C3962" s="7" t="n">
        <x:v>45700</x:v>
      </x:c>
      <x:c r="D3962" s="2" t="str">
        <x:v>Completed</x:v>
      </x:c>
      <x:c r="E3962" s="2" t="str">
        <x:v>East</x:v>
      </x:c>
      <x:c r="F3962" s="2" t="str">
        <x:v>Store</x:v>
      </x:c>
      <x:c r="G3962" s="2" t="str">
        <x:v>Furniture</x:v>
      </x:c>
      <x:c r="H3962" s="2" t="str">
        <x:v>Chair 002</x:v>
      </x:c>
      <x:c r="I3962" s="11" t="n">
        <x:v>5</x:v>
      </x:c>
      <x:c r="J3962" s="9" t="n">
        <x:v>284</x:v>
      </x:c>
      <x:c r="K3962" s="10" t="n">
        <x:v>0.2</x:v>
      </x:c>
      <x:c r="L3962" s="11" t="n">
        <x:v>0</x:v>
      </x:c>
      <x:c r="M3962" s="9" t="n">
        <x:f>IF(D3962="Completed",I3962*J3962,0)</x:f>
        <x:v>1420</x:v>
      </x:c>
      <x:c r="N3962" s="9" t="n">
        <x:f>M3962*K3962</x:f>
        <x:v>284</x:v>
      </x:c>
      <x:c r="O3962" s="9" t="n">
        <x:f>M3962-N3962</x:f>
        <x:v>1136</x:v>
      </x:c>
      <x:c r="P3962" s="9" t="n">
        <x:f>IF(D3962="Completed",L3962*J3962*(1-K3962),0)</x:f>
        <x:v>0</x:v>
      </x:c>
      <x:c r="Q3962" s="9" t="n">
        <x:f>O3962-P3962</x:f>
        <x:v>1136</x:v>
      </x:c>
      <x:c r="R3962" s="11" t="n">
        <x:f>IF(D3962="Completed",I3962,0)</x:f>
        <x:v>5</x:v>
      </x:c>
      <x:c r="S3962" s="11" t="n">
        <x:f>IF(D3962="Completed",L3962,0)</x:f>
        <x:v>0</x:v>
      </x:c>
      <x:c r="T3962" s="8" t="n">
        <x:f>DATE(YEAR(C3962),MONTH(C3962),1)</x:f>
        <x:v>45689</x:v>
      </x:c>
    </x:row>
    <x:row r="3963" ht="22" customHeight="1">
      <x:c r="A3963" s="2" t="str">
        <x:v>L003959</x:v>
      </x:c>
      <x:c r="B3963" s="2" t="str">
        <x:v>O01610</x:v>
      </x:c>
      <x:c r="C3963" s="7" t="n">
        <x:v>45700</x:v>
      </x:c>
      <x:c r="D3963" s="2" t="str">
        <x:v>Completed</x:v>
      </x:c>
      <x:c r="E3963" s="2" t="str">
        <x:v>East</x:v>
      </x:c>
      <x:c r="F3963" s="2" t="str">
        <x:v>Store</x:v>
      </x:c>
      <x:c r="G3963" s="2" t="str">
        <x:v>Furniture</x:v>
      </x:c>
      <x:c r="H3963" s="2" t="str">
        <x:v>Desk 024</x:v>
      </x:c>
      <x:c r="I3963" s="11" t="n">
        <x:v>2</x:v>
      </x:c>
      <x:c r="J3963" s="9" t="n">
        <x:v>81</x:v>
      </x:c>
      <x:c r="K3963" s="10" t="n">
        <x:v>0.05</x:v>
      </x:c>
      <x:c r="L3963" s="11" t="n">
        <x:v>0</x:v>
      </x:c>
      <x:c r="M3963" s="9" t="n">
        <x:f>IF(D3963="Completed",I3963*J3963,0)</x:f>
        <x:v>162</x:v>
      </x:c>
      <x:c r="N3963" s="9" t="n">
        <x:f>M3963*K3963</x:f>
        <x:v>8.1</x:v>
      </x:c>
      <x:c r="O3963" s="9" t="n">
        <x:f>M3963-N3963</x:f>
        <x:v>153.9</x:v>
      </x:c>
      <x:c r="P3963" s="9" t="n">
        <x:f>IF(D3963="Completed",L3963*J3963*(1-K3963),0)</x:f>
        <x:v>0</x:v>
      </x:c>
      <x:c r="Q3963" s="9" t="n">
        <x:f>O3963-P3963</x:f>
        <x:v>153.9</x:v>
      </x:c>
      <x:c r="R3963" s="11" t="n">
        <x:f>IF(D3963="Completed",I3963,0)</x:f>
        <x:v>2</x:v>
      </x:c>
      <x:c r="S3963" s="11" t="n">
        <x:f>IF(D3963="Completed",L3963,0)</x:f>
        <x:v>0</x:v>
      </x:c>
      <x:c r="T3963" s="8" t="n">
        <x:f>DATE(YEAR(C3963),MONTH(C3963),1)</x:f>
        <x:v>45689</x:v>
      </x:c>
    </x:row>
    <x:row r="3964" ht="22" customHeight="1">
      <x:c r="A3964" s="2" t="str">
        <x:v>L003960</x:v>
      </x:c>
      <x:c r="B3964" s="2" t="str">
        <x:v>O01610</x:v>
      </x:c>
      <x:c r="C3964" s="7" t="n">
        <x:v>45700</x:v>
      </x:c>
      <x:c r="D3964" s="2" t="str">
        <x:v>Completed</x:v>
      </x:c>
      <x:c r="E3964" s="2" t="str">
        <x:v>East</x:v>
      </x:c>
      <x:c r="F3964" s="2" t="str">
        <x:v>Store</x:v>
      </x:c>
      <x:c r="G3964" s="2" t="str">
        <x:v>Lighting</x:v>
      </x:c>
      <x:c r="H3964" s="2" t="str">
        <x:v>Lamp 013</x:v>
      </x:c>
      <x:c r="I3964" s="11" t="n">
        <x:v>5</x:v>
      </x:c>
      <x:c r="J3964" s="9" t="n">
        <x:v>271</x:v>
      </x:c>
      <x:c r="K3964" s="10" t="n">
        <x:v>0.2</x:v>
      </x:c>
      <x:c r="L3964" s="11" t="n">
        <x:v>0</x:v>
      </x:c>
      <x:c r="M3964" s="9" t="n">
        <x:f>IF(D3964="Completed",I3964*J3964,0)</x:f>
        <x:v>1355</x:v>
      </x:c>
      <x:c r="N3964" s="9" t="n">
        <x:f>M3964*K3964</x:f>
        <x:v>271</x:v>
      </x:c>
      <x:c r="O3964" s="9" t="n">
        <x:f>M3964-N3964</x:f>
        <x:v>1084</x:v>
      </x:c>
      <x:c r="P3964" s="9" t="n">
        <x:f>IF(D3964="Completed",L3964*J3964*(1-K3964),0)</x:f>
        <x:v>0</x:v>
      </x:c>
      <x:c r="Q3964" s="9" t="n">
        <x:f>O3964-P3964</x:f>
        <x:v>1084</x:v>
      </x:c>
      <x:c r="R3964" s="11" t="n">
        <x:f>IF(D3964="Completed",I3964,0)</x:f>
        <x:v>5</x:v>
      </x:c>
      <x:c r="S3964" s="11" t="n">
        <x:f>IF(D3964="Completed",L3964,0)</x:f>
        <x:v>0</x:v>
      </x:c>
      <x:c r="T3964" s="8" t="n">
        <x:f>DATE(YEAR(C3964),MONTH(C3964),1)</x:f>
        <x:v>45689</x:v>
      </x:c>
    </x:row>
    <x:row r="3965" ht="22" customHeight="1">
      <x:c r="A3965" s="2" t="str">
        <x:v>L003961</x:v>
      </x:c>
      <x:c r="B3965" s="2" t="str">
        <x:v>O01610</x:v>
      </x:c>
      <x:c r="C3965" s="7" t="n">
        <x:v>45700</x:v>
      </x:c>
      <x:c r="D3965" s="2" t="str">
        <x:v>Completed</x:v>
      </x:c>
      <x:c r="E3965" s="2" t="str">
        <x:v>East</x:v>
      </x:c>
      <x:c r="F3965" s="2" t="str">
        <x:v>Store</x:v>
      </x:c>
      <x:c r="G3965" s="2" t="str">
        <x:v>Furniture</x:v>
      </x:c>
      <x:c r="H3965" s="2" t="str">
        <x:v>Desk 004</x:v>
      </x:c>
      <x:c r="I3965" s="11" t="n">
        <x:v>2</x:v>
      </x:c>
      <x:c r="J3965" s="9" t="n">
        <x:v>123</x:v>
      </x:c>
      <x:c r="K3965" s="10" t="n">
        <x:v>0.1</x:v>
      </x:c>
      <x:c r="L3965" s="11" t="n">
        <x:v>0</x:v>
      </x:c>
      <x:c r="M3965" s="9" t="n">
        <x:f>IF(D3965="Completed",I3965*J3965,0)</x:f>
        <x:v>246</x:v>
      </x:c>
      <x:c r="N3965" s="9" t="n">
        <x:f>M3965*K3965</x:f>
        <x:v>24.6</x:v>
      </x:c>
      <x:c r="O3965" s="9" t="n">
        <x:f>M3965-N3965</x:f>
        <x:v>221.4</x:v>
      </x:c>
      <x:c r="P3965" s="9" t="n">
        <x:f>IF(D3965="Completed",L3965*J3965*(1-K3965),0)</x:f>
        <x:v>0</x:v>
      </x:c>
      <x:c r="Q3965" s="9" t="n">
        <x:f>O3965-P3965</x:f>
        <x:v>221.4</x:v>
      </x:c>
      <x:c r="R3965" s="11" t="n">
        <x:f>IF(D3965="Completed",I3965,0)</x:f>
        <x:v>2</x:v>
      </x:c>
      <x:c r="S3965" s="11" t="n">
        <x:f>IF(D3965="Completed",L3965,0)</x:f>
        <x:v>0</x:v>
      </x:c>
      <x:c r="T3965" s="8" t="n">
        <x:f>DATE(YEAR(C3965),MONTH(C3965),1)</x:f>
        <x:v>45689</x:v>
      </x:c>
    </x:row>
    <x:row r="3966" ht="22" customHeight="1">
      <x:c r="A3966" s="2" t="str">
        <x:v>L003962</x:v>
      </x:c>
      <x:c r="B3966" s="2" t="str">
        <x:v>O01611</x:v>
      </x:c>
      <x:c r="C3966" s="7" t="n">
        <x:v>45801</x:v>
      </x:c>
      <x:c r="D3966" s="2" t="str">
        <x:v>Cancelled</x:v>
      </x:c>
      <x:c r="E3966" s="2" t="str">
        <x:v>East</x:v>
      </x:c>
      <x:c r="F3966" s="2" t="str">
        <x:v>Store</x:v>
      </x:c>
      <x:c r="G3966" s="2" t="str">
        <x:v>Lighting</x:v>
      </x:c>
      <x:c r="H3966" s="2" t="str">
        <x:v>Lamp 005</x:v>
      </x:c>
      <x:c r="I3966" s="11" t="n">
        <x:v>2</x:v>
      </x:c>
      <x:c r="J3966" s="9" t="n">
        <x:v>65</x:v>
      </x:c>
      <x:c r="K3966" s="10" t="n">
        <x:v>0.1</x:v>
      </x:c>
      <x:c r="L3966" s="11" t="n">
        <x:v>0</x:v>
      </x:c>
      <x:c r="M3966" s="9" t="n">
        <x:f>IF(D3966="Completed",I3966*J3966,0)</x:f>
        <x:v>0</x:v>
      </x:c>
      <x:c r="N3966" s="9" t="n">
        <x:f>M3966*K3966</x:f>
        <x:v>0</x:v>
      </x:c>
      <x:c r="O3966" s="9" t="n">
        <x:f>M3966-N3966</x:f>
        <x:v>0</x:v>
      </x:c>
      <x:c r="P3966" s="9" t="n">
        <x:f>IF(D3966="Completed",L3966*J3966*(1-K3966),0)</x:f>
        <x:v>0</x:v>
      </x:c>
      <x:c r="Q3966" s="9" t="n">
        <x:f>O3966-P3966</x:f>
        <x:v>0</x:v>
      </x:c>
      <x:c r="R3966" s="11" t="n">
        <x:f>IF(D3966="Completed",I3966,0)</x:f>
        <x:v>0</x:v>
      </x:c>
      <x:c r="S3966" s="11" t="n">
        <x:f>IF(D3966="Completed",L3966,0)</x:f>
        <x:v>0</x:v>
      </x:c>
      <x:c r="T3966" s="8" t="n">
        <x:f>DATE(YEAR(C3966),MONTH(C3966),1)</x:f>
        <x:v>45778</x:v>
      </x:c>
    </x:row>
    <x:row r="3967" ht="22" customHeight="1">
      <x:c r="A3967" s="2" t="str">
        <x:v>L003963</x:v>
      </x:c>
      <x:c r="B3967" s="2" t="str">
        <x:v>O01611</x:v>
      </x:c>
      <x:c r="C3967" s="7" t="n">
        <x:v>45801</x:v>
      </x:c>
      <x:c r="D3967" s="2" t="str">
        <x:v>Cancelled</x:v>
      </x:c>
      <x:c r="E3967" s="2" t="str">
        <x:v>East</x:v>
      </x:c>
      <x:c r="F3967" s="2" t="str">
        <x:v>Store</x:v>
      </x:c>
      <x:c r="G3967" s="2" t="str">
        <x:v>Lighting</x:v>
      </x:c>
      <x:c r="H3967" s="2" t="str">
        <x:v>Lamp 017</x:v>
      </x:c>
      <x:c r="I3967" s="11" t="n">
        <x:v>1</x:v>
      </x:c>
      <x:c r="J3967" s="9" t="n">
        <x:v>300</x:v>
      </x:c>
      <x:c r="K3967" s="10" t="n">
        <x:v>0.1</x:v>
      </x:c>
      <x:c r="L3967" s="11" t="n">
        <x:v>0</x:v>
      </x:c>
      <x:c r="M3967" s="9" t="n">
        <x:f>IF(D3967="Completed",I3967*J3967,0)</x:f>
        <x:v>0</x:v>
      </x:c>
      <x:c r="N3967" s="9" t="n">
        <x:f>M3967*K3967</x:f>
        <x:v>0</x:v>
      </x:c>
      <x:c r="O3967" s="9" t="n">
        <x:f>M3967-N3967</x:f>
        <x:v>0</x:v>
      </x:c>
      <x:c r="P3967" s="9" t="n">
        <x:f>IF(D3967="Completed",L3967*J3967*(1-K3967),0)</x:f>
        <x:v>0</x:v>
      </x:c>
      <x:c r="Q3967" s="9" t="n">
        <x:f>O3967-P3967</x:f>
        <x:v>0</x:v>
      </x:c>
      <x:c r="R3967" s="11" t="n">
        <x:f>IF(D3967="Completed",I3967,0)</x:f>
        <x:v>0</x:v>
      </x:c>
      <x:c r="S3967" s="11" t="n">
        <x:f>IF(D3967="Completed",L3967,0)</x:f>
        <x:v>0</x:v>
      </x:c>
      <x:c r="T3967" s="8" t="n">
        <x:f>DATE(YEAR(C3967),MONTH(C3967),1)</x:f>
        <x:v>45778</x:v>
      </x:c>
    </x:row>
    <x:row r="3968" ht="22" customHeight="1">
      <x:c r="A3968" s="2" t="str">
        <x:v>L003964</x:v>
      </x:c>
      <x:c r="B3968" s="2" t="str">
        <x:v>O01612</x:v>
      </x:c>
      <x:c r="C3968" s="7" t="n">
        <x:v>45880</x:v>
      </x:c>
      <x:c r="D3968" s="2" t="str">
        <x:v>Completed</x:v>
      </x:c>
      <x:c r="E3968" s="2" t="str">
        <x:v>East</x:v>
      </x:c>
      <x:c r="F3968" s="2" t="str">
        <x:v>Online</x:v>
      </x:c>
      <x:c r="G3968" s="2" t="str">
        <x:v>Storage</x:v>
      </x:c>
      <x:c r="H3968" s="2" t="str">
        <x:v>Shelf 007</x:v>
      </x:c>
      <x:c r="I3968" s="11" t="n">
        <x:v>4</x:v>
      </x:c>
      <x:c r="J3968" s="9" t="n">
        <x:v>35</x:v>
      </x:c>
      <x:c r="K3968" s="10" t="n">
        <x:v>0.1</x:v>
      </x:c>
      <x:c r="L3968" s="11" t="n">
        <x:v>0</x:v>
      </x:c>
      <x:c r="M3968" s="9" t="n">
        <x:f>IF(D3968="Completed",I3968*J3968,0)</x:f>
        <x:v>140</x:v>
      </x:c>
      <x:c r="N3968" s="9" t="n">
        <x:f>M3968*K3968</x:f>
        <x:v>14</x:v>
      </x:c>
      <x:c r="O3968" s="9" t="n">
        <x:f>M3968-N3968</x:f>
        <x:v>126</x:v>
      </x:c>
      <x:c r="P3968" s="9" t="n">
        <x:f>IF(D3968="Completed",L3968*J3968*(1-K3968),0)</x:f>
        <x:v>0</x:v>
      </x:c>
      <x:c r="Q3968" s="9" t="n">
        <x:f>O3968-P3968</x:f>
        <x:v>126</x:v>
      </x:c>
      <x:c r="R3968" s="11" t="n">
        <x:f>IF(D3968="Completed",I3968,0)</x:f>
        <x:v>4</x:v>
      </x:c>
      <x:c r="S3968" s="11" t="n">
        <x:f>IF(D3968="Completed",L3968,0)</x:f>
        <x:v>0</x:v>
      </x:c>
      <x:c r="T3968" s="8" t="n">
        <x:f>DATE(YEAR(C3968),MONTH(C3968),1)</x:f>
        <x:v>45870</x:v>
      </x:c>
    </x:row>
    <x:row r="3969" ht="22" customHeight="1">
      <x:c r="A3969" s="2" t="str">
        <x:v>L003965</x:v>
      </x:c>
      <x:c r="B3969" s="2" t="str">
        <x:v>O01613</x:v>
      </x:c>
      <x:c r="C3969" s="7" t="n">
        <x:v>45902</x:v>
      </x:c>
      <x:c r="D3969" s="2" t="str">
        <x:v>Completed</x:v>
      </x:c>
      <x:c r="E3969" s="2" t="str">
        <x:v>East</x:v>
      </x:c>
      <x:c r="F3969" s="2" t="str">
        <x:v>Online</x:v>
      </x:c>
      <x:c r="G3969" s="2" t="str">
        <x:v>Furniture</x:v>
      </x:c>
      <x:c r="H3969" s="2" t="str">
        <x:v>Chair 018</x:v>
      </x:c>
      <x:c r="I3969" s="11" t="n">
        <x:v>5</x:v>
      </x:c>
      <x:c r="J3969" s="9" t="n">
        <x:v>269</x:v>
      </x:c>
      <x:c r="K3969" s="10" t="n">
        <x:v>0.1</x:v>
      </x:c>
      <x:c r="L3969" s="11" t="n">
        <x:v>0</x:v>
      </x:c>
      <x:c r="M3969" s="9" t="n">
        <x:f>IF(D3969="Completed",I3969*J3969,0)</x:f>
        <x:v>1345</x:v>
      </x:c>
      <x:c r="N3969" s="9" t="n">
        <x:f>M3969*K3969</x:f>
        <x:v>134.5</x:v>
      </x:c>
      <x:c r="O3969" s="9" t="n">
        <x:f>M3969-N3969</x:f>
        <x:v>1210.5</x:v>
      </x:c>
      <x:c r="P3969" s="9" t="n">
        <x:f>IF(D3969="Completed",L3969*J3969*(1-K3969),0)</x:f>
        <x:v>0</x:v>
      </x:c>
      <x:c r="Q3969" s="9" t="n">
        <x:f>O3969-P3969</x:f>
        <x:v>1210.5</x:v>
      </x:c>
      <x:c r="R3969" s="11" t="n">
        <x:f>IF(D3969="Completed",I3969,0)</x:f>
        <x:v>5</x:v>
      </x:c>
      <x:c r="S3969" s="11" t="n">
        <x:f>IF(D3969="Completed",L3969,0)</x:f>
        <x:v>0</x:v>
      </x:c>
      <x:c r="T3969" s="8" t="n">
        <x:f>DATE(YEAR(C3969),MONTH(C3969),1)</x:f>
        <x:v>45901</x:v>
      </x:c>
    </x:row>
    <x:row r="3970" ht="22" customHeight="1">
      <x:c r="A3970" s="2" t="str">
        <x:v>L003966</x:v>
      </x:c>
      <x:c r="B3970" s="2" t="str">
        <x:v>O01613</x:v>
      </x:c>
      <x:c r="C3970" s="7" t="n">
        <x:v>45902</x:v>
      </x:c>
      <x:c r="D3970" s="2" t="str">
        <x:v>Completed</x:v>
      </x:c>
      <x:c r="E3970" s="2" t="str">
        <x:v>East</x:v>
      </x:c>
      <x:c r="F3970" s="2" t="str">
        <x:v>Online</x:v>
      </x:c>
      <x:c r="G3970" s="2" t="str">
        <x:v>Lighting</x:v>
      </x:c>
      <x:c r="H3970" s="2" t="str">
        <x:v>Lamp 013</x:v>
      </x:c>
      <x:c r="I3970" s="11" t="n">
        <x:v>4</x:v>
      </x:c>
      <x:c r="J3970" s="9" t="n">
        <x:v>271</x:v>
      </x:c>
      <x:c r="K3970" s="10" t="n">
        <x:v>0</x:v>
      </x:c>
      <x:c r="L3970" s="11" t="n">
        <x:v>0</x:v>
      </x:c>
      <x:c r="M3970" s="9" t="n">
        <x:f>IF(D3970="Completed",I3970*J3970,0)</x:f>
        <x:v>1084</x:v>
      </x:c>
      <x:c r="N3970" s="9" t="n">
        <x:f>M3970*K3970</x:f>
        <x:v>0</x:v>
      </x:c>
      <x:c r="O3970" s="9" t="n">
        <x:f>M3970-N3970</x:f>
        <x:v>1084</x:v>
      </x:c>
      <x:c r="P3970" s="9" t="n">
        <x:f>IF(D3970="Completed",L3970*J3970*(1-K3970),0)</x:f>
        <x:v>0</x:v>
      </x:c>
      <x:c r="Q3970" s="9" t="n">
        <x:f>O3970-P3970</x:f>
        <x:v>1084</x:v>
      </x:c>
      <x:c r="R3970" s="11" t="n">
        <x:f>IF(D3970="Completed",I3970,0)</x:f>
        <x:v>4</x:v>
      </x:c>
      <x:c r="S3970" s="11" t="n">
        <x:f>IF(D3970="Completed",L3970,0)</x:f>
        <x:v>0</x:v>
      </x:c>
      <x:c r="T3970" s="8" t="n">
        <x:f>DATE(YEAR(C3970),MONTH(C3970),1)</x:f>
        <x:v>45901</x:v>
      </x:c>
    </x:row>
    <x:row r="3971" ht="22" customHeight="1">
      <x:c r="A3971" s="2" t="str">
        <x:v>L003967</x:v>
      </x:c>
      <x:c r="B3971" s="2" t="str">
        <x:v>O01614</x:v>
      </x:c>
      <x:c r="C3971" s="7" t="n">
        <x:v>45893</x:v>
      </x:c>
      <x:c r="D3971" s="2" t="str">
        <x:v>Completed</x:v>
      </x:c>
      <x:c r="E3971" s="2" t="str">
        <x:v>East</x:v>
      </x:c>
      <x:c r="F3971" s="2" t="str">
        <x:v>Store</x:v>
      </x:c>
      <x:c r="G3971" s="2" t="str">
        <x:v>Lighting</x:v>
      </x:c>
      <x:c r="H3971" s="2" t="str">
        <x:v>Lamp 013</x:v>
      </x:c>
      <x:c r="I3971" s="11" t="n">
        <x:v>1</x:v>
      </x:c>
      <x:c r="J3971" s="9" t="n">
        <x:v>271</x:v>
      </x:c>
      <x:c r="K3971" s="10" t="n">
        <x:v>0</x:v>
      </x:c>
      <x:c r="L3971" s="11" t="n">
        <x:v>0</x:v>
      </x:c>
      <x:c r="M3971" s="9" t="n">
        <x:f>IF(D3971="Completed",I3971*J3971,0)</x:f>
        <x:v>271</x:v>
      </x:c>
      <x:c r="N3971" s="9" t="n">
        <x:f>M3971*K3971</x:f>
        <x:v>0</x:v>
      </x:c>
      <x:c r="O3971" s="9" t="n">
        <x:f>M3971-N3971</x:f>
        <x:v>271</x:v>
      </x:c>
      <x:c r="P3971" s="9" t="n">
        <x:f>IF(D3971="Completed",L3971*J3971*(1-K3971),0)</x:f>
        <x:v>0</x:v>
      </x:c>
      <x:c r="Q3971" s="9" t="n">
        <x:f>O3971-P3971</x:f>
        <x:v>271</x:v>
      </x:c>
      <x:c r="R3971" s="11" t="n">
        <x:f>IF(D3971="Completed",I3971,0)</x:f>
        <x:v>1</x:v>
      </x:c>
      <x:c r="S3971" s="11" t="n">
        <x:f>IF(D3971="Completed",L3971,0)</x:f>
        <x:v>0</x:v>
      </x:c>
      <x:c r="T3971" s="8" t="n">
        <x:f>DATE(YEAR(C3971),MONTH(C3971),1)</x:f>
        <x:v>45870</x:v>
      </x:c>
    </x:row>
    <x:row r="3972" ht="22" customHeight="1">
      <x:c r="A3972" s="2" t="str">
        <x:v>L003968</x:v>
      </x:c>
      <x:c r="B3972" s="2" t="str">
        <x:v>O01614</x:v>
      </x:c>
      <x:c r="C3972" s="7" t="n">
        <x:v>45893</x:v>
      </x:c>
      <x:c r="D3972" s="2" t="str">
        <x:v>Completed</x:v>
      </x:c>
      <x:c r="E3972" s="2" t="str">
        <x:v>East</x:v>
      </x:c>
      <x:c r="F3972" s="2" t="str">
        <x:v>Store</x:v>
      </x:c>
      <x:c r="G3972" s="2" t="str">
        <x:v>Storage</x:v>
      </x:c>
      <x:c r="H3972" s="2" t="str">
        <x:v>Shelf 015</x:v>
      </x:c>
      <x:c r="I3972" s="11" t="n">
        <x:v>4</x:v>
      </x:c>
      <x:c r="J3972" s="9" t="n">
        <x:v>254</x:v>
      </x:c>
      <x:c r="K3972" s="10" t="n">
        <x:v>0.2</x:v>
      </x:c>
      <x:c r="L3972" s="11" t="n">
        <x:v>0</x:v>
      </x:c>
      <x:c r="M3972" s="9" t="n">
        <x:f>IF(D3972="Completed",I3972*J3972,0)</x:f>
        <x:v>1016</x:v>
      </x:c>
      <x:c r="N3972" s="9" t="n">
        <x:f>M3972*K3972</x:f>
        <x:v>203.20000000000002</x:v>
      </x:c>
      <x:c r="O3972" s="9" t="n">
        <x:f>M3972-N3972</x:f>
        <x:v>812.8</x:v>
      </x:c>
      <x:c r="P3972" s="9" t="n">
        <x:f>IF(D3972="Completed",L3972*J3972*(1-K3972),0)</x:f>
        <x:v>0</x:v>
      </x:c>
      <x:c r="Q3972" s="9" t="n">
        <x:f>O3972-P3972</x:f>
        <x:v>812.8</x:v>
      </x:c>
      <x:c r="R3972" s="11" t="n">
        <x:f>IF(D3972="Completed",I3972,0)</x:f>
        <x:v>4</x:v>
      </x:c>
      <x:c r="S3972" s="11" t="n">
        <x:f>IF(D3972="Completed",L3972,0)</x:f>
        <x:v>0</x:v>
      </x:c>
      <x:c r="T3972" s="8" t="n">
        <x:f>DATE(YEAR(C3972),MONTH(C3972),1)</x:f>
        <x:v>45870</x:v>
      </x:c>
    </x:row>
    <x:row r="3973" ht="22" customHeight="1">
      <x:c r="A3973" s="2" t="str">
        <x:v>L003969</x:v>
      </x:c>
      <x:c r="B3973" s="2" t="str">
        <x:v>O01615</x:v>
      </x:c>
      <x:c r="C3973" s="7" t="n">
        <x:v>45862</x:v>
      </x:c>
      <x:c r="D3973" s="2" t="str">
        <x:v>Completed</x:v>
      </x:c>
      <x:c r="E3973" s="2" t="str">
        <x:v>East</x:v>
      </x:c>
      <x:c r="F3973" s="2" t="str">
        <x:v>Online</x:v>
      </x:c>
      <x:c r="G3973" s="2" t="str">
        <x:v>Furniture</x:v>
      </x:c>
      <x:c r="H3973" s="2" t="str">
        <x:v>Chair 022</x:v>
      </x:c>
      <x:c r="I3973" s="11" t="n">
        <x:v>3</x:v>
      </x:c>
      <x:c r="J3973" s="9" t="n">
        <x:v>134</x:v>
      </x:c>
      <x:c r="K3973" s="10" t="n">
        <x:v>0</x:v>
      </x:c>
      <x:c r="L3973" s="11" t="n">
        <x:v>0</x:v>
      </x:c>
      <x:c r="M3973" s="9" t="n">
        <x:f>IF(D3973="Completed",I3973*J3973,0)</x:f>
        <x:v>402</x:v>
      </x:c>
      <x:c r="N3973" s="9" t="n">
        <x:f>M3973*K3973</x:f>
        <x:v>0</x:v>
      </x:c>
      <x:c r="O3973" s="9" t="n">
        <x:f>M3973-N3973</x:f>
        <x:v>402</x:v>
      </x:c>
      <x:c r="P3973" s="9" t="n">
        <x:f>IF(D3973="Completed",L3973*J3973*(1-K3973),0)</x:f>
        <x:v>0</x:v>
      </x:c>
      <x:c r="Q3973" s="9" t="n">
        <x:f>O3973-P3973</x:f>
        <x:v>402</x:v>
      </x:c>
      <x:c r="R3973" s="11" t="n">
        <x:f>IF(D3973="Completed",I3973,0)</x:f>
        <x:v>3</x:v>
      </x:c>
      <x:c r="S3973" s="11" t="n">
        <x:f>IF(D3973="Completed",L3973,0)</x:f>
        <x:v>0</x:v>
      </x:c>
      <x:c r="T3973" s="8" t="n">
        <x:f>DATE(YEAR(C3973),MONTH(C3973),1)</x:f>
        <x:v>45839</x:v>
      </x:c>
    </x:row>
    <x:row r="3974" ht="22" customHeight="1">
      <x:c r="A3974" s="2" t="str">
        <x:v>L003970</x:v>
      </x:c>
      <x:c r="B3974" s="2" t="str">
        <x:v>O01615</x:v>
      </x:c>
      <x:c r="C3974" s="7" t="n">
        <x:v>45862</x:v>
      </x:c>
      <x:c r="D3974" s="2" t="str">
        <x:v>Completed</x:v>
      </x:c>
      <x:c r="E3974" s="2" t="str">
        <x:v>East</x:v>
      </x:c>
      <x:c r="F3974" s="2" t="str">
        <x:v>Online</x:v>
      </x:c>
      <x:c r="G3974" s="2" t="str">
        <x:v>Furniture</x:v>
      </x:c>
      <x:c r="H3974" s="2" t="str">
        <x:v>Chair 006</x:v>
      </x:c>
      <x:c r="I3974" s="11" t="n">
        <x:v>5</x:v>
      </x:c>
      <x:c r="J3974" s="9" t="n">
        <x:v>196</x:v>
      </x:c>
      <x:c r="K3974" s="10" t="n">
        <x:v>0.2</x:v>
      </x:c>
      <x:c r="L3974" s="11" t="n">
        <x:v>5</x:v>
      </x:c>
      <x:c r="M3974" s="9" t="n">
        <x:f>IF(D3974="Completed",I3974*J3974,0)</x:f>
        <x:v>980</x:v>
      </x:c>
      <x:c r="N3974" s="9" t="n">
        <x:f>M3974*K3974</x:f>
        <x:v>196</x:v>
      </x:c>
      <x:c r="O3974" s="9" t="n">
        <x:f>M3974-N3974</x:f>
        <x:v>784</x:v>
      </x:c>
      <x:c r="P3974" s="9" t="n">
        <x:f>IF(D3974="Completed",L3974*J3974*(1-K3974),0)</x:f>
        <x:v>784</x:v>
      </x:c>
      <x:c r="Q3974" s="9" t="n">
        <x:f>O3974-P3974</x:f>
        <x:v>0</x:v>
      </x:c>
      <x:c r="R3974" s="11" t="n">
        <x:f>IF(D3974="Completed",I3974,0)</x:f>
        <x:v>5</x:v>
      </x:c>
      <x:c r="S3974" s="11" t="n">
        <x:f>IF(D3974="Completed",L3974,0)</x:f>
        <x:v>5</x:v>
      </x:c>
      <x:c r="T3974" s="8" t="n">
        <x:f>DATE(YEAR(C3974),MONTH(C3974),1)</x:f>
        <x:v>45839</x:v>
      </x:c>
    </x:row>
    <x:row r="3975" ht="22" customHeight="1">
      <x:c r="A3975" s="2" t="str">
        <x:v>L003971</x:v>
      </x:c>
      <x:c r="B3975" s="2" t="str">
        <x:v>O01615</x:v>
      </x:c>
      <x:c r="C3975" s="7" t="n">
        <x:v>45862</x:v>
      </x:c>
      <x:c r="D3975" s="2" t="str">
        <x:v>Completed</x:v>
      </x:c>
      <x:c r="E3975" s="2" t="str">
        <x:v>East</x:v>
      </x:c>
      <x:c r="F3975" s="2" t="str">
        <x:v>Online</x:v>
      </x:c>
      <x:c r="G3975" s="2" t="str">
        <x:v>Storage</x:v>
      </x:c>
      <x:c r="H3975" s="2" t="str">
        <x:v>Shelf 015</x:v>
      </x:c>
      <x:c r="I3975" s="11" t="n">
        <x:v>5</x:v>
      </x:c>
      <x:c r="J3975" s="9" t="n">
        <x:v>254</x:v>
      </x:c>
      <x:c r="K3975" s="10" t="n">
        <x:v>0.1</x:v>
      </x:c>
      <x:c r="L3975" s="11" t="n">
        <x:v>0</x:v>
      </x:c>
      <x:c r="M3975" s="9" t="n">
        <x:f>IF(D3975="Completed",I3975*J3975,0)</x:f>
        <x:v>1270</x:v>
      </x:c>
      <x:c r="N3975" s="9" t="n">
        <x:f>M3975*K3975</x:f>
        <x:v>127</x:v>
      </x:c>
      <x:c r="O3975" s="9" t="n">
        <x:f>M3975-N3975</x:f>
        <x:v>1143</x:v>
      </x:c>
      <x:c r="P3975" s="9" t="n">
        <x:f>IF(D3975="Completed",L3975*J3975*(1-K3975),0)</x:f>
        <x:v>0</x:v>
      </x:c>
      <x:c r="Q3975" s="9" t="n">
        <x:f>O3975-P3975</x:f>
        <x:v>1143</x:v>
      </x:c>
      <x:c r="R3975" s="11" t="n">
        <x:f>IF(D3975="Completed",I3975,0)</x:f>
        <x:v>5</x:v>
      </x:c>
      <x:c r="S3975" s="11" t="n">
        <x:f>IF(D3975="Completed",L3975,0)</x:f>
        <x:v>0</x:v>
      </x:c>
      <x:c r="T3975" s="8" t="n">
        <x:f>DATE(YEAR(C3975),MONTH(C3975),1)</x:f>
        <x:v>45839</x:v>
      </x:c>
    </x:row>
    <x:row r="3976" ht="22" customHeight="1">
      <x:c r="A3976" s="2" t="str">
        <x:v>L003972</x:v>
      </x:c>
      <x:c r="B3976" s="2" t="str">
        <x:v>O01615</x:v>
      </x:c>
      <x:c r="C3976" s="7" t="n">
        <x:v>45862</x:v>
      </x:c>
      <x:c r="D3976" s="2" t="str">
        <x:v>Completed</x:v>
      </x:c>
      <x:c r="E3976" s="2" t="str">
        <x:v>East</x:v>
      </x:c>
      <x:c r="F3976" s="2" t="str">
        <x:v>Online</x:v>
      </x:c>
      <x:c r="G3976" s="2" t="str">
        <x:v>Furniture</x:v>
      </x:c>
      <x:c r="H3976" s="2" t="str">
        <x:v>Chair 010</x:v>
      </x:c>
      <x:c r="I3976" s="11" t="n">
        <x:v>5</x:v>
      </x:c>
      <x:c r="J3976" s="9" t="n">
        <x:v>211</x:v>
      </x:c>
      <x:c r="K3976" s="10" t="n">
        <x:v>0.05</x:v>
      </x:c>
      <x:c r="L3976" s="11" t="n">
        <x:v>0</x:v>
      </x:c>
      <x:c r="M3976" s="9" t="n">
        <x:f>IF(D3976="Completed",I3976*J3976,0)</x:f>
        <x:v>1055</x:v>
      </x:c>
      <x:c r="N3976" s="9" t="n">
        <x:f>M3976*K3976</x:f>
        <x:v>52.75</x:v>
      </x:c>
      <x:c r="O3976" s="9" t="n">
        <x:f>M3976-N3976</x:f>
        <x:v>1002.25</x:v>
      </x:c>
      <x:c r="P3976" s="9" t="n">
        <x:f>IF(D3976="Completed",L3976*J3976*(1-K3976),0)</x:f>
        <x:v>0</x:v>
      </x:c>
      <x:c r="Q3976" s="9" t="n">
        <x:f>O3976-P3976</x:f>
        <x:v>1002.25</x:v>
      </x:c>
      <x:c r="R3976" s="11" t="n">
        <x:f>IF(D3976="Completed",I3976,0)</x:f>
        <x:v>5</x:v>
      </x:c>
      <x:c r="S3976" s="11" t="n">
        <x:f>IF(D3976="Completed",L3976,0)</x:f>
        <x:v>0</x:v>
      </x:c>
      <x:c r="T3976" s="8" t="n">
        <x:f>DATE(YEAR(C3976),MONTH(C3976),1)</x:f>
        <x:v>45839</x:v>
      </x:c>
    </x:row>
    <x:row r="3977" ht="22" customHeight="1">
      <x:c r="A3977" s="2" t="str">
        <x:v>L003973</x:v>
      </x:c>
      <x:c r="B3977" s="2" t="str">
        <x:v>O01616</x:v>
      </x:c>
      <x:c r="C3977" s="7" t="n">
        <x:v>45927</x:v>
      </x:c>
      <x:c r="D3977" s="2" t="str">
        <x:v>Completed</x:v>
      </x:c>
      <x:c r="E3977" s="2" t="str">
        <x:v>West</x:v>
      </x:c>
      <x:c r="F3977" s="2" t="str">
        <x:v>Store</x:v>
      </x:c>
      <x:c r="G3977" s="2" t="str">
        <x:v>Storage</x:v>
      </x:c>
      <x:c r="H3977" s="2" t="str">
        <x:v>Shelf 003</x:v>
      </x:c>
      <x:c r="I3977" s="11" t="n">
        <x:v>5</x:v>
      </x:c>
      <x:c r="J3977" s="9" t="n">
        <x:v>199</x:v>
      </x:c>
      <x:c r="K3977" s="10" t="n">
        <x:v>0.05</x:v>
      </x:c>
      <x:c r="L3977" s="11" t="n">
        <x:v>0</x:v>
      </x:c>
      <x:c r="M3977" s="9" t="n">
        <x:f>IF(D3977="Completed",I3977*J3977,0)</x:f>
        <x:v>995</x:v>
      </x:c>
      <x:c r="N3977" s="9" t="n">
        <x:f>M3977*K3977</x:f>
        <x:v>49.75</x:v>
      </x:c>
      <x:c r="O3977" s="9" t="n">
        <x:f>M3977-N3977</x:f>
        <x:v>945.25</x:v>
      </x:c>
      <x:c r="P3977" s="9" t="n">
        <x:f>IF(D3977="Completed",L3977*J3977*(1-K3977),0)</x:f>
        <x:v>0</x:v>
      </x:c>
      <x:c r="Q3977" s="9" t="n">
        <x:f>O3977-P3977</x:f>
        <x:v>945.25</x:v>
      </x:c>
      <x:c r="R3977" s="11" t="n">
        <x:f>IF(D3977="Completed",I3977,0)</x:f>
        <x:v>5</x:v>
      </x:c>
      <x:c r="S3977" s="11" t="n">
        <x:f>IF(D3977="Completed",L3977,0)</x:f>
        <x:v>0</x:v>
      </x:c>
      <x:c r="T3977" s="8" t="n">
        <x:f>DATE(YEAR(C3977),MONTH(C3977),1)</x:f>
        <x:v>45901</x:v>
      </x:c>
    </x:row>
    <x:row r="3978" ht="22" customHeight="1">
      <x:c r="A3978" s="2" t="str">
        <x:v>L003974</x:v>
      </x:c>
      <x:c r="B3978" s="2" t="str">
        <x:v>O01617</x:v>
      </x:c>
      <x:c r="C3978" s="7" t="n">
        <x:v>45856</x:v>
      </x:c>
      <x:c r="D3978" s="2" t="str">
        <x:v>Completed</x:v>
      </x:c>
      <x:c r="E3978" s="2" t="str">
        <x:v>South</x:v>
      </x:c>
      <x:c r="F3978" s="2" t="str">
        <x:v>Store</x:v>
      </x:c>
      <x:c r="G3978" s="2" t="str">
        <x:v>Furniture</x:v>
      </x:c>
      <x:c r="H3978" s="2" t="str">
        <x:v>Chair 014</x:v>
      </x:c>
      <x:c r="I3978" s="11" t="n">
        <x:v>5</x:v>
      </x:c>
      <x:c r="J3978" s="9" t="n">
        <x:v>294</x:v>
      </x:c>
      <x:c r="K3978" s="10" t="n">
        <x:v>0.05</x:v>
      </x:c>
      <x:c r="L3978" s="11" t="n">
        <x:v>0</x:v>
      </x:c>
      <x:c r="M3978" s="9" t="n">
        <x:f>IF(D3978="Completed",I3978*J3978,0)</x:f>
        <x:v>1470</x:v>
      </x:c>
      <x:c r="N3978" s="9" t="n">
        <x:f>M3978*K3978</x:f>
        <x:v>73.5</x:v>
      </x:c>
      <x:c r="O3978" s="9" t="n">
        <x:f>M3978-N3978</x:f>
        <x:v>1396.5</x:v>
      </x:c>
      <x:c r="P3978" s="9" t="n">
        <x:f>IF(D3978="Completed",L3978*J3978*(1-K3978),0)</x:f>
        <x:v>0</x:v>
      </x:c>
      <x:c r="Q3978" s="9" t="n">
        <x:f>O3978-P3978</x:f>
        <x:v>1396.5</x:v>
      </x:c>
      <x:c r="R3978" s="11" t="n">
        <x:f>IF(D3978="Completed",I3978,0)</x:f>
        <x:v>5</x:v>
      </x:c>
      <x:c r="S3978" s="11" t="n">
        <x:f>IF(D3978="Completed",L3978,0)</x:f>
        <x:v>0</x:v>
      </x:c>
      <x:c r="T3978" s="8" t="n">
        <x:f>DATE(YEAR(C3978),MONTH(C3978),1)</x:f>
        <x:v>45839</x:v>
      </x:c>
    </x:row>
    <x:row r="3979" ht="22" customHeight="1">
      <x:c r="A3979" s="2" t="str">
        <x:v>L003975</x:v>
      </x:c>
      <x:c r="B3979" s="2" t="str">
        <x:v>O01617</x:v>
      </x:c>
      <x:c r="C3979" s="7" t="n">
        <x:v>45856</x:v>
      </x:c>
      <x:c r="D3979" s="2" t="str">
        <x:v>Completed</x:v>
      </x:c>
      <x:c r="E3979" s="2" t="str">
        <x:v>South</x:v>
      </x:c>
      <x:c r="F3979" s="2" t="str">
        <x:v>Store</x:v>
      </x:c>
      <x:c r="G3979" s="2" t="str">
        <x:v>Furniture</x:v>
      </x:c>
      <x:c r="H3979" s="2" t="str">
        <x:v>Chair 006</x:v>
      </x:c>
      <x:c r="I3979" s="11" t="n">
        <x:v>4</x:v>
      </x:c>
      <x:c r="J3979" s="9" t="n">
        <x:v>196</x:v>
      </x:c>
      <x:c r="K3979" s="10" t="n">
        <x:v>0.2</x:v>
      </x:c>
      <x:c r="L3979" s="11" t="n">
        <x:v>3</x:v>
      </x:c>
      <x:c r="M3979" s="9" t="n">
        <x:f>IF(D3979="Completed",I3979*J3979,0)</x:f>
        <x:v>784</x:v>
      </x:c>
      <x:c r="N3979" s="9" t="n">
        <x:f>M3979*K3979</x:f>
        <x:v>156.8</x:v>
      </x:c>
      <x:c r="O3979" s="9" t="n">
        <x:f>M3979-N3979</x:f>
        <x:v>627.2</x:v>
      </x:c>
      <x:c r="P3979" s="9" t="n">
        <x:f>IF(D3979="Completed",L3979*J3979*(1-K3979),0)</x:f>
        <x:v>470.40000000000003</x:v>
      </x:c>
      <x:c r="Q3979" s="9" t="n">
        <x:f>O3979-P3979</x:f>
        <x:v>156.8</x:v>
      </x:c>
      <x:c r="R3979" s="11" t="n">
        <x:f>IF(D3979="Completed",I3979,0)</x:f>
        <x:v>4</x:v>
      </x:c>
      <x:c r="S3979" s="11" t="n">
        <x:f>IF(D3979="Completed",L3979,0)</x:f>
        <x:v>3</x:v>
      </x:c>
      <x:c r="T3979" s="8" t="n">
        <x:f>DATE(YEAR(C3979),MONTH(C3979),1)</x:f>
        <x:v>45839</x:v>
      </x:c>
    </x:row>
    <x:row r="3980" ht="22" customHeight="1">
      <x:c r="A3980" s="2" t="str">
        <x:v>L003976</x:v>
      </x:c>
      <x:c r="B3980" s="2" t="str">
        <x:v>O01617</x:v>
      </x:c>
      <x:c r="C3980" s="7" t="n">
        <x:v>45856</x:v>
      </x:c>
      <x:c r="D3980" s="2" t="str">
        <x:v>Completed</x:v>
      </x:c>
      <x:c r="E3980" s="2" t="str">
        <x:v>South</x:v>
      </x:c>
      <x:c r="F3980" s="2" t="str">
        <x:v>Store</x:v>
      </x:c>
      <x:c r="G3980" s="2" t="str">
        <x:v>Furniture</x:v>
      </x:c>
      <x:c r="H3980" s="2" t="str">
        <x:v>Desk 020</x:v>
      </x:c>
      <x:c r="I3980" s="11" t="n">
        <x:v>4</x:v>
      </x:c>
      <x:c r="J3980" s="9" t="n">
        <x:v>189</x:v>
      </x:c>
      <x:c r="K3980" s="10" t="n">
        <x:v>0</x:v>
      </x:c>
      <x:c r="L3980" s="11" t="n">
        <x:v>0</x:v>
      </x:c>
      <x:c r="M3980" s="9" t="n">
        <x:f>IF(D3980="Completed",I3980*J3980,0)</x:f>
        <x:v>756</x:v>
      </x:c>
      <x:c r="N3980" s="9" t="n">
        <x:f>M3980*K3980</x:f>
        <x:v>0</x:v>
      </x:c>
      <x:c r="O3980" s="9" t="n">
        <x:f>M3980-N3980</x:f>
        <x:v>756</x:v>
      </x:c>
      <x:c r="P3980" s="9" t="n">
        <x:f>IF(D3980="Completed",L3980*J3980*(1-K3980),0)</x:f>
        <x:v>0</x:v>
      </x:c>
      <x:c r="Q3980" s="9" t="n">
        <x:f>O3980-P3980</x:f>
        <x:v>756</x:v>
      </x:c>
      <x:c r="R3980" s="11" t="n">
        <x:f>IF(D3980="Completed",I3980,0)</x:f>
        <x:v>4</x:v>
      </x:c>
      <x:c r="S3980" s="11" t="n">
        <x:f>IF(D3980="Completed",L3980,0)</x:f>
        <x:v>0</x:v>
      </x:c>
      <x:c r="T3980" s="8" t="n">
        <x:f>DATE(YEAR(C3980),MONTH(C3980),1)</x:f>
        <x:v>45839</x:v>
      </x:c>
    </x:row>
    <x:row r="3981" ht="22" customHeight="1">
      <x:c r="A3981" s="2" t="str">
        <x:v>L003977</x:v>
      </x:c>
      <x:c r="B3981" s="2" t="str">
        <x:v>O01617</x:v>
      </x:c>
      <x:c r="C3981" s="7" t="n">
        <x:v>45856</x:v>
      </x:c>
      <x:c r="D3981" s="2" t="str">
        <x:v>Completed</x:v>
      </x:c>
      <x:c r="E3981" s="2" t="str">
        <x:v>South</x:v>
      </x:c>
      <x:c r="F3981" s="2" t="str">
        <x:v>Store</x:v>
      </x:c>
      <x:c r="G3981" s="2" t="str">
        <x:v>Furniture</x:v>
      </x:c>
      <x:c r="H3981" s="2" t="str">
        <x:v>Desk 008</x:v>
      </x:c>
      <x:c r="I3981" s="11" t="n">
        <x:v>3</x:v>
      </x:c>
      <x:c r="J3981" s="9" t="n">
        <x:v>188</x:v>
      </x:c>
      <x:c r="K3981" s="10" t="n">
        <x:v>0</x:v>
      </x:c>
      <x:c r="L3981" s="11" t="n">
        <x:v>0</x:v>
      </x:c>
      <x:c r="M3981" s="9" t="n">
        <x:f>IF(D3981="Completed",I3981*J3981,0)</x:f>
        <x:v>564</x:v>
      </x:c>
      <x:c r="N3981" s="9" t="n">
        <x:f>M3981*K3981</x:f>
        <x:v>0</x:v>
      </x:c>
      <x:c r="O3981" s="9" t="n">
        <x:f>M3981-N3981</x:f>
        <x:v>564</x:v>
      </x:c>
      <x:c r="P3981" s="9" t="n">
        <x:f>IF(D3981="Completed",L3981*J3981*(1-K3981),0)</x:f>
        <x:v>0</x:v>
      </x:c>
      <x:c r="Q3981" s="9" t="n">
        <x:f>O3981-P3981</x:f>
        <x:v>564</x:v>
      </x:c>
      <x:c r="R3981" s="11" t="n">
        <x:f>IF(D3981="Completed",I3981,0)</x:f>
        <x:v>3</x:v>
      </x:c>
      <x:c r="S3981" s="11" t="n">
        <x:f>IF(D3981="Completed",L3981,0)</x:f>
        <x:v>0</x:v>
      </x:c>
      <x:c r="T3981" s="8" t="n">
        <x:f>DATE(YEAR(C3981),MONTH(C3981),1)</x:f>
        <x:v>45839</x:v>
      </x:c>
    </x:row>
    <x:row r="3982" ht="22" customHeight="1">
      <x:c r="A3982" s="2" t="str">
        <x:v>L003978</x:v>
      </x:c>
      <x:c r="B3982" s="2" t="str">
        <x:v>O01618</x:v>
      </x:c>
      <x:c r="C3982" s="7" t="n">
        <x:v>46009</x:v>
      </x:c>
      <x:c r="D3982" s="2" t="str">
        <x:v>Completed</x:v>
      </x:c>
      <x:c r="E3982" s="2" t="str">
        <x:v>North</x:v>
      </x:c>
      <x:c r="F3982" s="2" t="str">
        <x:v>Online</x:v>
      </x:c>
      <x:c r="G3982" s="2" t="str">
        <x:v>Lighting</x:v>
      </x:c>
      <x:c r="H3982" s="2" t="str">
        <x:v>Lamp 005</x:v>
      </x:c>
      <x:c r="I3982" s="11" t="n">
        <x:v>5</x:v>
      </x:c>
      <x:c r="J3982" s="9" t="n">
        <x:v>65</x:v>
      </x:c>
      <x:c r="K3982" s="10" t="n">
        <x:v>0.05</x:v>
      </x:c>
      <x:c r="L3982" s="11" t="n">
        <x:v>0</x:v>
      </x:c>
      <x:c r="M3982" s="9" t="n">
        <x:f>IF(D3982="Completed",I3982*J3982,0)</x:f>
        <x:v>325</x:v>
      </x:c>
      <x:c r="N3982" s="9" t="n">
        <x:f>M3982*K3982</x:f>
        <x:v>16.25</x:v>
      </x:c>
      <x:c r="O3982" s="9" t="n">
        <x:f>M3982-N3982</x:f>
        <x:v>308.75</x:v>
      </x:c>
      <x:c r="P3982" s="9" t="n">
        <x:f>IF(D3982="Completed",L3982*J3982*(1-K3982),0)</x:f>
        <x:v>0</x:v>
      </x:c>
      <x:c r="Q3982" s="9" t="n">
        <x:f>O3982-P3982</x:f>
        <x:v>308.75</x:v>
      </x:c>
      <x:c r="R3982" s="11" t="n">
        <x:f>IF(D3982="Completed",I3982,0)</x:f>
        <x:v>5</x:v>
      </x:c>
      <x:c r="S3982" s="11" t="n">
        <x:f>IF(D3982="Completed",L3982,0)</x:f>
        <x:v>0</x:v>
      </x:c>
      <x:c r="T3982" s="8" t="n">
        <x:f>DATE(YEAR(C3982),MONTH(C3982),1)</x:f>
        <x:v>45992</x:v>
      </x:c>
    </x:row>
    <x:row r="3983" ht="22" customHeight="1">
      <x:c r="A3983" s="2" t="str">
        <x:v>L003979</x:v>
      </x:c>
      <x:c r="B3983" s="2" t="str">
        <x:v>O01618</x:v>
      </x:c>
      <x:c r="C3983" s="7" t="n">
        <x:v>46009</x:v>
      </x:c>
      <x:c r="D3983" s="2" t="str">
        <x:v>Completed</x:v>
      </x:c>
      <x:c r="E3983" s="2" t="str">
        <x:v>North</x:v>
      </x:c>
      <x:c r="F3983" s="2" t="str">
        <x:v>Online</x:v>
      </x:c>
      <x:c r="G3983" s="2" t="str">
        <x:v>Storage</x:v>
      </x:c>
      <x:c r="H3983" s="2" t="str">
        <x:v>Shelf 011</x:v>
      </x:c>
      <x:c r="I3983" s="11" t="n">
        <x:v>2</x:v>
      </x:c>
      <x:c r="J3983" s="9" t="n">
        <x:v>80</x:v>
      </x:c>
      <x:c r="K3983" s="10" t="n">
        <x:v>0.05</x:v>
      </x:c>
      <x:c r="L3983" s="11" t="n">
        <x:v>1</x:v>
      </x:c>
      <x:c r="M3983" s="9" t="n">
        <x:f>IF(D3983="Completed",I3983*J3983,0)</x:f>
        <x:v>160</x:v>
      </x:c>
      <x:c r="N3983" s="9" t="n">
        <x:f>M3983*K3983</x:f>
        <x:v>8</x:v>
      </x:c>
      <x:c r="O3983" s="9" t="n">
        <x:f>M3983-N3983</x:f>
        <x:v>152</x:v>
      </x:c>
      <x:c r="P3983" s="9" t="n">
        <x:f>IF(D3983="Completed",L3983*J3983*(1-K3983),0)</x:f>
        <x:v>76</x:v>
      </x:c>
      <x:c r="Q3983" s="9" t="n">
        <x:f>O3983-P3983</x:f>
        <x:v>76</x:v>
      </x:c>
      <x:c r="R3983" s="11" t="n">
        <x:f>IF(D3983="Completed",I3983,0)</x:f>
        <x:v>2</x:v>
      </x:c>
      <x:c r="S3983" s="11" t="n">
        <x:f>IF(D3983="Completed",L3983,0)</x:f>
        <x:v>1</x:v>
      </x:c>
      <x:c r="T3983" s="8" t="n">
        <x:f>DATE(YEAR(C3983),MONTH(C3983),1)</x:f>
        <x:v>45992</x:v>
      </x:c>
    </x:row>
    <x:row r="3984" ht="22" customHeight="1">
      <x:c r="A3984" s="2" t="str">
        <x:v>L003980</x:v>
      </x:c>
      <x:c r="B3984" s="2" t="str">
        <x:v>O01618</x:v>
      </x:c>
      <x:c r="C3984" s="7" t="n">
        <x:v>46009</x:v>
      </x:c>
      <x:c r="D3984" s="2" t="str">
        <x:v>Completed</x:v>
      </x:c>
      <x:c r="E3984" s="2" t="str">
        <x:v>North</x:v>
      </x:c>
      <x:c r="F3984" s="2" t="str">
        <x:v>Online</x:v>
      </x:c>
      <x:c r="G3984" s="2" t="str">
        <x:v>Furniture</x:v>
      </x:c>
      <x:c r="H3984" s="2" t="str">
        <x:v>Desk 004</x:v>
      </x:c>
      <x:c r="I3984" s="11" t="n">
        <x:v>3</x:v>
      </x:c>
      <x:c r="J3984" s="9" t="n">
        <x:v>123</x:v>
      </x:c>
      <x:c r="K3984" s="10" t="n">
        <x:v>0.1</x:v>
      </x:c>
      <x:c r="L3984" s="11" t="n">
        <x:v>0</x:v>
      </x:c>
      <x:c r="M3984" s="9" t="n">
        <x:f>IF(D3984="Completed",I3984*J3984,0)</x:f>
        <x:v>369</x:v>
      </x:c>
      <x:c r="N3984" s="9" t="n">
        <x:f>M3984*K3984</x:f>
        <x:v>36.9</x:v>
      </x:c>
      <x:c r="O3984" s="9" t="n">
        <x:f>M3984-N3984</x:f>
        <x:v>332.1</x:v>
      </x:c>
      <x:c r="P3984" s="9" t="n">
        <x:f>IF(D3984="Completed",L3984*J3984*(1-K3984),0)</x:f>
        <x:v>0</x:v>
      </x:c>
      <x:c r="Q3984" s="9" t="n">
        <x:f>O3984-P3984</x:f>
        <x:v>332.1</x:v>
      </x:c>
      <x:c r="R3984" s="11" t="n">
        <x:f>IF(D3984="Completed",I3984,0)</x:f>
        <x:v>3</x:v>
      </x:c>
      <x:c r="S3984" s="11" t="n">
        <x:f>IF(D3984="Completed",L3984,0)</x:f>
        <x:v>0</x:v>
      </x:c>
      <x:c r="T3984" s="8" t="n">
        <x:f>DATE(YEAR(C3984),MONTH(C3984),1)</x:f>
        <x:v>45992</x:v>
      </x:c>
    </x:row>
    <x:row r="3985" ht="22" customHeight="1">
      <x:c r="A3985" s="2" t="str">
        <x:v>L003981</x:v>
      </x:c>
      <x:c r="B3985" s="2" t="str">
        <x:v>O01619</x:v>
      </x:c>
      <x:c r="C3985" s="7" t="n">
        <x:v>45691</x:v>
      </x:c>
      <x:c r="D3985" s="2" t="str">
        <x:v>Completed</x:v>
      </x:c>
      <x:c r="E3985" s="2" t="str">
        <x:v>East</x:v>
      </x:c>
      <x:c r="F3985" s="2" t="str">
        <x:v>Online</x:v>
      </x:c>
      <x:c r="G3985" s="2" t="str">
        <x:v>Storage</x:v>
      </x:c>
      <x:c r="H3985" s="2" t="str">
        <x:v>Shelf 011</x:v>
      </x:c>
      <x:c r="I3985" s="11" t="n">
        <x:v>5</x:v>
      </x:c>
      <x:c r="J3985" s="9" t="n">
        <x:v>80</x:v>
      </x:c>
      <x:c r="K3985" s="10" t="n">
        <x:v>0.2</x:v>
      </x:c>
      <x:c r="L3985" s="11" t="n">
        <x:v>2</x:v>
      </x:c>
      <x:c r="M3985" s="9" t="n">
        <x:f>IF(D3985="Completed",I3985*J3985,0)</x:f>
        <x:v>400</x:v>
      </x:c>
      <x:c r="N3985" s="9" t="n">
        <x:f>M3985*K3985</x:f>
        <x:v>80</x:v>
      </x:c>
      <x:c r="O3985" s="9" t="n">
        <x:f>M3985-N3985</x:f>
        <x:v>320</x:v>
      </x:c>
      <x:c r="P3985" s="9" t="n">
        <x:f>IF(D3985="Completed",L3985*J3985*(1-K3985),0)</x:f>
        <x:v>128</x:v>
      </x:c>
      <x:c r="Q3985" s="9" t="n">
        <x:f>O3985-P3985</x:f>
        <x:v>192</x:v>
      </x:c>
      <x:c r="R3985" s="11" t="n">
        <x:f>IF(D3985="Completed",I3985,0)</x:f>
        <x:v>5</x:v>
      </x:c>
      <x:c r="S3985" s="11" t="n">
        <x:f>IF(D3985="Completed",L3985,0)</x:f>
        <x:v>2</x:v>
      </x:c>
      <x:c r="T3985" s="8" t="n">
        <x:f>DATE(YEAR(C3985),MONTH(C3985),1)</x:f>
        <x:v>45689</x:v>
      </x:c>
    </x:row>
    <x:row r="3986" ht="22" customHeight="1">
      <x:c r="A3986" s="2" t="str">
        <x:v>L003982</x:v>
      </x:c>
      <x:c r="B3986" s="2" t="str">
        <x:v>O01619</x:v>
      </x:c>
      <x:c r="C3986" s="7" t="n">
        <x:v>45691</x:v>
      </x:c>
      <x:c r="D3986" s="2" t="str">
        <x:v>Completed</x:v>
      </x:c>
      <x:c r="E3986" s="2" t="str">
        <x:v>East</x:v>
      </x:c>
      <x:c r="F3986" s="2" t="str">
        <x:v>Online</x:v>
      </x:c>
      <x:c r="G3986" s="2" t="str">
        <x:v>Furniture</x:v>
      </x:c>
      <x:c r="H3986" s="2" t="str">
        <x:v>Chair 010</x:v>
      </x:c>
      <x:c r="I3986" s="11" t="n">
        <x:v>4</x:v>
      </x:c>
      <x:c r="J3986" s="9" t="n">
        <x:v>211</x:v>
      </x:c>
      <x:c r="K3986" s="10" t="n">
        <x:v>0</x:v>
      </x:c>
      <x:c r="L3986" s="11" t="n">
        <x:v>0</x:v>
      </x:c>
      <x:c r="M3986" s="9" t="n">
        <x:f>IF(D3986="Completed",I3986*J3986,0)</x:f>
        <x:v>844</x:v>
      </x:c>
      <x:c r="N3986" s="9" t="n">
        <x:f>M3986*K3986</x:f>
        <x:v>0</x:v>
      </x:c>
      <x:c r="O3986" s="9" t="n">
        <x:f>M3986-N3986</x:f>
        <x:v>844</x:v>
      </x:c>
      <x:c r="P3986" s="9" t="n">
        <x:f>IF(D3986="Completed",L3986*J3986*(1-K3986),0)</x:f>
        <x:v>0</x:v>
      </x:c>
      <x:c r="Q3986" s="9" t="n">
        <x:f>O3986-P3986</x:f>
        <x:v>844</x:v>
      </x:c>
      <x:c r="R3986" s="11" t="n">
        <x:f>IF(D3986="Completed",I3986,0)</x:f>
        <x:v>4</x:v>
      </x:c>
      <x:c r="S3986" s="11" t="n">
        <x:f>IF(D3986="Completed",L3986,0)</x:f>
        <x:v>0</x:v>
      </x:c>
      <x:c r="T3986" s="8" t="n">
        <x:f>DATE(YEAR(C3986),MONTH(C3986),1)</x:f>
        <x:v>45689</x:v>
      </x:c>
    </x:row>
    <x:row r="3987" ht="22" customHeight="1">
      <x:c r="A3987" s="2" t="str">
        <x:v>L003983</x:v>
      </x:c>
      <x:c r="B3987" s="2" t="str">
        <x:v>O01619</x:v>
      </x:c>
      <x:c r="C3987" s="7" t="n">
        <x:v>45691</x:v>
      </x:c>
      <x:c r="D3987" s="2" t="str">
        <x:v>Completed</x:v>
      </x:c>
      <x:c r="E3987" s="2" t="str">
        <x:v>East</x:v>
      </x:c>
      <x:c r="F3987" s="2" t="str">
        <x:v>Online</x:v>
      </x:c>
      <x:c r="G3987" s="2" t="str">
        <x:v>Storage</x:v>
      </x:c>
      <x:c r="H3987" s="2" t="str">
        <x:v>Shelf 007</x:v>
      </x:c>
      <x:c r="I3987" s="11" t="n">
        <x:v>1</x:v>
      </x:c>
      <x:c r="J3987" s="9" t="n">
        <x:v>35</x:v>
      </x:c>
      <x:c r="K3987" s="10" t="n">
        <x:v>0.05</x:v>
      </x:c>
      <x:c r="L3987" s="11" t="n">
        <x:v>0</x:v>
      </x:c>
      <x:c r="M3987" s="9" t="n">
        <x:f>IF(D3987="Completed",I3987*J3987,0)</x:f>
        <x:v>35</x:v>
      </x:c>
      <x:c r="N3987" s="9" t="n">
        <x:f>M3987*K3987</x:f>
        <x:v>1.75</x:v>
      </x:c>
      <x:c r="O3987" s="9" t="n">
        <x:f>M3987-N3987</x:f>
        <x:v>33.25</x:v>
      </x:c>
      <x:c r="P3987" s="9" t="n">
        <x:f>IF(D3987="Completed",L3987*J3987*(1-K3987),0)</x:f>
        <x:v>0</x:v>
      </x:c>
      <x:c r="Q3987" s="9" t="n">
        <x:f>O3987-P3987</x:f>
        <x:v>33.25</x:v>
      </x:c>
      <x:c r="R3987" s="11" t="n">
        <x:f>IF(D3987="Completed",I3987,0)</x:f>
        <x:v>1</x:v>
      </x:c>
      <x:c r="S3987" s="11" t="n">
        <x:f>IF(D3987="Completed",L3987,0)</x:f>
        <x:v>0</x:v>
      </x:c>
      <x:c r="T3987" s="8" t="n">
        <x:f>DATE(YEAR(C3987),MONTH(C3987),1)</x:f>
        <x:v>45689</x:v>
      </x:c>
    </x:row>
    <x:row r="3988" ht="22" customHeight="1">
      <x:c r="A3988" s="2" t="str">
        <x:v>L003984</x:v>
      </x:c>
      <x:c r="B3988" s="2" t="str">
        <x:v>O01620</x:v>
      </x:c>
      <x:c r="C3988" s="7" t="n">
        <x:v>45705</x:v>
      </x:c>
      <x:c r="D3988" s="2" t="str">
        <x:v>Completed</x:v>
      </x:c>
      <x:c r="E3988" s="2" t="str">
        <x:v>East</x:v>
      </x:c>
      <x:c r="F3988" s="2" t="str">
        <x:v>Store</x:v>
      </x:c>
      <x:c r="G3988" s="2" t="str">
        <x:v>Furniture</x:v>
      </x:c>
      <x:c r="H3988" s="2" t="str">
        <x:v>Chair 002</x:v>
      </x:c>
      <x:c r="I3988" s="11" t="n">
        <x:v>3</x:v>
      </x:c>
      <x:c r="J3988" s="9" t="n">
        <x:v>284</x:v>
      </x:c>
      <x:c r="K3988" s="10" t="n">
        <x:v>0.1</x:v>
      </x:c>
      <x:c r="L3988" s="11" t="n">
        <x:v>2</x:v>
      </x:c>
      <x:c r="M3988" s="9" t="n">
        <x:f>IF(D3988="Completed",I3988*J3988,0)</x:f>
        <x:v>852</x:v>
      </x:c>
      <x:c r="N3988" s="9" t="n">
        <x:f>M3988*K3988</x:f>
        <x:v>85.2</x:v>
      </x:c>
      <x:c r="O3988" s="9" t="n">
        <x:f>M3988-N3988</x:f>
        <x:v>766.8</x:v>
      </x:c>
      <x:c r="P3988" s="9" t="n">
        <x:f>IF(D3988="Completed",L3988*J3988*(1-K3988),0)</x:f>
        <x:v>511.2</x:v>
      </x:c>
      <x:c r="Q3988" s="9" t="n">
        <x:f>O3988-P3988</x:f>
        <x:v>255.59999999999997</x:v>
      </x:c>
      <x:c r="R3988" s="11" t="n">
        <x:f>IF(D3988="Completed",I3988,0)</x:f>
        <x:v>3</x:v>
      </x:c>
      <x:c r="S3988" s="11" t="n">
        <x:f>IF(D3988="Completed",L3988,0)</x:f>
        <x:v>2</x:v>
      </x:c>
      <x:c r="T3988" s="8" t="n">
        <x:f>DATE(YEAR(C3988),MONTH(C3988),1)</x:f>
        <x:v>45689</x:v>
      </x:c>
    </x:row>
    <x:row r="3989" ht="22" customHeight="1">
      <x:c r="A3989" s="2" t="str">
        <x:v>L003985</x:v>
      </x:c>
      <x:c r="B3989" s="2" t="str">
        <x:v>O01620</x:v>
      </x:c>
      <x:c r="C3989" s="7" t="n">
        <x:v>45705</x:v>
      </x:c>
      <x:c r="D3989" s="2" t="str">
        <x:v>Completed</x:v>
      </x:c>
      <x:c r="E3989" s="2" t="str">
        <x:v>East</x:v>
      </x:c>
      <x:c r="F3989" s="2" t="str">
        <x:v>Store</x:v>
      </x:c>
      <x:c r="G3989" s="2" t="str">
        <x:v>Furniture</x:v>
      </x:c>
      <x:c r="H3989" s="2" t="str">
        <x:v>Desk 004</x:v>
      </x:c>
      <x:c r="I3989" s="11" t="n">
        <x:v>4</x:v>
      </x:c>
      <x:c r="J3989" s="9" t="n">
        <x:v>123</x:v>
      </x:c>
      <x:c r="K3989" s="10" t="n">
        <x:v>0</x:v>
      </x:c>
      <x:c r="L3989" s="11" t="n">
        <x:v>0</x:v>
      </x:c>
      <x:c r="M3989" s="9" t="n">
        <x:f>IF(D3989="Completed",I3989*J3989,0)</x:f>
        <x:v>492</x:v>
      </x:c>
      <x:c r="N3989" s="9" t="n">
        <x:f>M3989*K3989</x:f>
        <x:v>0</x:v>
      </x:c>
      <x:c r="O3989" s="9" t="n">
        <x:f>M3989-N3989</x:f>
        <x:v>492</x:v>
      </x:c>
      <x:c r="P3989" s="9" t="n">
        <x:f>IF(D3989="Completed",L3989*J3989*(1-K3989),0)</x:f>
        <x:v>0</x:v>
      </x:c>
      <x:c r="Q3989" s="9" t="n">
        <x:f>O3989-P3989</x:f>
        <x:v>492</x:v>
      </x:c>
      <x:c r="R3989" s="11" t="n">
        <x:f>IF(D3989="Completed",I3989,0)</x:f>
        <x:v>4</x:v>
      </x:c>
      <x:c r="S3989" s="11" t="n">
        <x:f>IF(D3989="Completed",L3989,0)</x:f>
        <x:v>0</x:v>
      </x:c>
      <x:c r="T3989" s="8" t="n">
        <x:f>DATE(YEAR(C3989),MONTH(C3989),1)</x:f>
        <x:v>45689</x:v>
      </x:c>
    </x:row>
    <x:row r="3990" ht="22" customHeight="1">
      <x:c r="A3990" s="2" t="str">
        <x:v>L003986</x:v>
      </x:c>
      <x:c r="B3990" s="2" t="str">
        <x:v>O01621</x:v>
      </x:c>
      <x:c r="C3990" s="7" t="n">
        <x:v>45662</x:v>
      </x:c>
      <x:c r="D3990" s="2" t="str">
        <x:v>Completed</x:v>
      </x:c>
      <x:c r="E3990" s="2" t="str">
        <x:v>North</x:v>
      </x:c>
      <x:c r="F3990" s="2" t="str">
        <x:v>Online</x:v>
      </x:c>
      <x:c r="G3990" s="2" t="str">
        <x:v>Furniture</x:v>
      </x:c>
      <x:c r="H3990" s="2" t="str">
        <x:v>Chair 022</x:v>
      </x:c>
      <x:c r="I3990" s="11" t="n">
        <x:v>1</x:v>
      </x:c>
      <x:c r="J3990" s="9" t="n">
        <x:v>134</x:v>
      </x:c>
      <x:c r="K3990" s="10" t="n">
        <x:v>0.1</x:v>
      </x:c>
      <x:c r="L3990" s="11" t="n">
        <x:v>0</x:v>
      </x:c>
      <x:c r="M3990" s="9" t="n">
        <x:f>IF(D3990="Completed",I3990*J3990,0)</x:f>
        <x:v>134</x:v>
      </x:c>
      <x:c r="N3990" s="9" t="n">
        <x:f>M3990*K3990</x:f>
        <x:v>13.4</x:v>
      </x:c>
      <x:c r="O3990" s="9" t="n">
        <x:f>M3990-N3990</x:f>
        <x:v>120.6</x:v>
      </x:c>
      <x:c r="P3990" s="9" t="n">
        <x:f>IF(D3990="Completed",L3990*J3990*(1-K3990),0)</x:f>
        <x:v>0</x:v>
      </x:c>
      <x:c r="Q3990" s="9" t="n">
        <x:f>O3990-P3990</x:f>
        <x:v>120.6</x:v>
      </x:c>
      <x:c r="R3990" s="11" t="n">
        <x:f>IF(D3990="Completed",I3990,0)</x:f>
        <x:v>1</x:v>
      </x:c>
      <x:c r="S3990" s="11" t="n">
        <x:f>IF(D3990="Completed",L3990,0)</x:f>
        <x:v>0</x:v>
      </x:c>
      <x:c r="T3990" s="8" t="n">
        <x:f>DATE(YEAR(C3990),MONTH(C3990),1)</x:f>
        <x:v>45658</x:v>
      </x:c>
    </x:row>
    <x:row r="3991" ht="22" customHeight="1">
      <x:c r="A3991" s="2" t="str">
        <x:v>L003987</x:v>
      </x:c>
      <x:c r="B3991" s="2" t="str">
        <x:v>O01621</x:v>
      </x:c>
      <x:c r="C3991" s="7" t="n">
        <x:v>45662</x:v>
      </x:c>
      <x:c r="D3991" s="2" t="str">
        <x:v>Completed</x:v>
      </x:c>
      <x:c r="E3991" s="2" t="str">
        <x:v>North</x:v>
      </x:c>
      <x:c r="F3991" s="2" t="str">
        <x:v>Online</x:v>
      </x:c>
      <x:c r="G3991" s="2" t="str">
        <x:v>Storage</x:v>
      </x:c>
      <x:c r="H3991" s="2" t="str">
        <x:v>Shelf 023</x:v>
      </x:c>
      <x:c r="I3991" s="11" t="n">
        <x:v>3</x:v>
      </x:c>
      <x:c r="J3991" s="9" t="n">
        <x:v>68</x:v>
      </x:c>
      <x:c r="K3991" s="10" t="n">
        <x:v>0.05</x:v>
      </x:c>
      <x:c r="L3991" s="11" t="n">
        <x:v>0</x:v>
      </x:c>
      <x:c r="M3991" s="9" t="n">
        <x:f>IF(D3991="Completed",I3991*J3991,0)</x:f>
        <x:v>204</x:v>
      </x:c>
      <x:c r="N3991" s="9" t="n">
        <x:f>M3991*K3991</x:f>
        <x:v>10.200000000000001</x:v>
      </x:c>
      <x:c r="O3991" s="9" t="n">
        <x:f>M3991-N3991</x:f>
        <x:v>193.8</x:v>
      </x:c>
      <x:c r="P3991" s="9" t="n">
        <x:f>IF(D3991="Completed",L3991*J3991*(1-K3991),0)</x:f>
        <x:v>0</x:v>
      </x:c>
      <x:c r="Q3991" s="9" t="n">
        <x:f>O3991-P3991</x:f>
        <x:v>193.8</x:v>
      </x:c>
      <x:c r="R3991" s="11" t="n">
        <x:f>IF(D3991="Completed",I3991,0)</x:f>
        <x:v>3</x:v>
      </x:c>
      <x:c r="S3991" s="11" t="n">
        <x:f>IF(D3991="Completed",L3991,0)</x:f>
        <x:v>0</x:v>
      </x:c>
      <x:c r="T3991" s="8" t="n">
        <x:f>DATE(YEAR(C3991),MONTH(C3991),1)</x:f>
        <x:v>45658</x:v>
      </x:c>
    </x:row>
    <x:row r="3992" ht="22" customHeight="1">
      <x:c r="A3992" s="2" t="str">
        <x:v>L003988</x:v>
      </x:c>
      <x:c r="B3992" s="2" t="str">
        <x:v>O01621</x:v>
      </x:c>
      <x:c r="C3992" s="7" t="n">
        <x:v>45662</x:v>
      </x:c>
      <x:c r="D3992" s="2" t="str">
        <x:v>Completed</x:v>
      </x:c>
      <x:c r="E3992" s="2" t="str">
        <x:v>North</x:v>
      </x:c>
      <x:c r="F3992" s="2" t="str">
        <x:v>Online</x:v>
      </x:c>
      <x:c r="G3992" s="2" t="str">
        <x:v>Furniture</x:v>
      </x:c>
      <x:c r="H3992" s="2" t="str">
        <x:v>Chair 010</x:v>
      </x:c>
      <x:c r="I3992" s="11" t="n">
        <x:v>5</x:v>
      </x:c>
      <x:c r="J3992" s="9" t="n">
        <x:v>211</x:v>
      </x:c>
      <x:c r="K3992" s="10" t="n">
        <x:v>0.2</x:v>
      </x:c>
      <x:c r="L3992" s="11" t="n">
        <x:v>0</x:v>
      </x:c>
      <x:c r="M3992" s="9" t="n">
        <x:f>IF(D3992="Completed",I3992*J3992,0)</x:f>
        <x:v>1055</x:v>
      </x:c>
      <x:c r="N3992" s="9" t="n">
        <x:f>M3992*K3992</x:f>
        <x:v>211</x:v>
      </x:c>
      <x:c r="O3992" s="9" t="n">
        <x:f>M3992-N3992</x:f>
        <x:v>844</x:v>
      </x:c>
      <x:c r="P3992" s="9" t="n">
        <x:f>IF(D3992="Completed",L3992*J3992*(1-K3992),0)</x:f>
        <x:v>0</x:v>
      </x:c>
      <x:c r="Q3992" s="9" t="n">
        <x:f>O3992-P3992</x:f>
        <x:v>844</x:v>
      </x:c>
      <x:c r="R3992" s="11" t="n">
        <x:f>IF(D3992="Completed",I3992,0)</x:f>
        <x:v>5</x:v>
      </x:c>
      <x:c r="S3992" s="11" t="n">
        <x:f>IF(D3992="Completed",L3992,0)</x:f>
        <x:v>0</x:v>
      </x:c>
      <x:c r="T3992" s="8" t="n">
        <x:f>DATE(YEAR(C3992),MONTH(C3992),1)</x:f>
        <x:v>45658</x:v>
      </x:c>
    </x:row>
    <x:row r="3993" ht="22" customHeight="1">
      <x:c r="A3993" s="2" t="str">
        <x:v>L003989</x:v>
      </x:c>
      <x:c r="B3993" s="2" t="str">
        <x:v>O01622</x:v>
      </x:c>
      <x:c r="C3993" s="7" t="n">
        <x:v>46006</x:v>
      </x:c>
      <x:c r="D3993" s="2" t="str">
        <x:v>Completed</x:v>
      </x:c>
      <x:c r="E3993" s="2" t="str">
        <x:v>South</x:v>
      </x:c>
      <x:c r="F3993" s="2" t="str">
        <x:v>Store</x:v>
      </x:c>
      <x:c r="G3993" s="2" t="str">
        <x:v>Furniture</x:v>
      </x:c>
      <x:c r="H3993" s="2" t="str">
        <x:v>Desk 020</x:v>
      </x:c>
      <x:c r="I3993" s="11" t="n">
        <x:v>2</x:v>
      </x:c>
      <x:c r="J3993" s="9" t="n">
        <x:v>189</x:v>
      </x:c>
      <x:c r="K3993" s="10" t="n">
        <x:v>0.2</x:v>
      </x:c>
      <x:c r="L3993" s="11" t="n">
        <x:v>0</x:v>
      </x:c>
      <x:c r="M3993" s="9" t="n">
        <x:f>IF(D3993="Completed",I3993*J3993,0)</x:f>
        <x:v>378</x:v>
      </x:c>
      <x:c r="N3993" s="9" t="n">
        <x:f>M3993*K3993</x:f>
        <x:v>75.60000000000001</x:v>
      </x:c>
      <x:c r="O3993" s="9" t="n">
        <x:f>M3993-N3993</x:f>
        <x:v>302.4</x:v>
      </x:c>
      <x:c r="P3993" s="9" t="n">
        <x:f>IF(D3993="Completed",L3993*J3993*(1-K3993),0)</x:f>
        <x:v>0</x:v>
      </x:c>
      <x:c r="Q3993" s="9" t="n">
        <x:f>O3993-P3993</x:f>
        <x:v>302.4</x:v>
      </x:c>
      <x:c r="R3993" s="11" t="n">
        <x:f>IF(D3993="Completed",I3993,0)</x:f>
        <x:v>2</x:v>
      </x:c>
      <x:c r="S3993" s="11" t="n">
        <x:f>IF(D3993="Completed",L3993,0)</x:f>
        <x:v>0</x:v>
      </x:c>
      <x:c r="T3993" s="8" t="n">
        <x:f>DATE(YEAR(C3993),MONTH(C3993),1)</x:f>
        <x:v>45992</x:v>
      </x:c>
    </x:row>
    <x:row r="3994" ht="22" customHeight="1">
      <x:c r="A3994" s="2" t="str">
        <x:v>L003990</x:v>
      </x:c>
      <x:c r="B3994" s="2" t="str">
        <x:v>O01622</x:v>
      </x:c>
      <x:c r="C3994" s="7" t="n">
        <x:v>46006</x:v>
      </x:c>
      <x:c r="D3994" s="2" t="str">
        <x:v>Completed</x:v>
      </x:c>
      <x:c r="E3994" s="2" t="str">
        <x:v>South</x:v>
      </x:c>
      <x:c r="F3994" s="2" t="str">
        <x:v>Store</x:v>
      </x:c>
      <x:c r="G3994" s="2" t="str">
        <x:v>Lighting</x:v>
      </x:c>
      <x:c r="H3994" s="2" t="str">
        <x:v>Lamp 009</x:v>
      </x:c>
      <x:c r="I3994" s="11" t="n">
        <x:v>3</x:v>
      </x:c>
      <x:c r="J3994" s="9" t="n">
        <x:v>93</x:v>
      </x:c>
      <x:c r="K3994" s="10" t="n">
        <x:v>0.05</x:v>
      </x:c>
      <x:c r="L3994" s="11" t="n">
        <x:v>0</x:v>
      </x:c>
      <x:c r="M3994" s="9" t="n">
        <x:f>IF(D3994="Completed",I3994*J3994,0)</x:f>
        <x:v>279</x:v>
      </x:c>
      <x:c r="N3994" s="9" t="n">
        <x:f>M3994*K3994</x:f>
        <x:v>13.950000000000001</x:v>
      </x:c>
      <x:c r="O3994" s="9" t="n">
        <x:f>M3994-N3994</x:f>
        <x:v>265.05</x:v>
      </x:c>
      <x:c r="P3994" s="9" t="n">
        <x:f>IF(D3994="Completed",L3994*J3994*(1-K3994),0)</x:f>
        <x:v>0</x:v>
      </x:c>
      <x:c r="Q3994" s="9" t="n">
        <x:f>O3994-P3994</x:f>
        <x:v>265.05</x:v>
      </x:c>
      <x:c r="R3994" s="11" t="n">
        <x:f>IF(D3994="Completed",I3994,0)</x:f>
        <x:v>3</x:v>
      </x:c>
      <x:c r="S3994" s="11" t="n">
        <x:f>IF(D3994="Completed",L3994,0)</x:f>
        <x:v>0</x:v>
      </x:c>
      <x:c r="T3994" s="8" t="n">
        <x:f>DATE(YEAR(C3994),MONTH(C3994),1)</x:f>
        <x:v>45992</x:v>
      </x:c>
    </x:row>
    <x:row r="3995" ht="22" customHeight="1">
      <x:c r="A3995" s="2" t="str">
        <x:v>L003991</x:v>
      </x:c>
      <x:c r="B3995" s="2" t="str">
        <x:v>O01623</x:v>
      </x:c>
      <x:c r="C3995" s="7" t="n">
        <x:v>45976</x:v>
      </x:c>
      <x:c r="D3995" s="2" t="str">
        <x:v>Completed</x:v>
      </x:c>
      <x:c r="E3995" s="2" t="str">
        <x:v>North</x:v>
      </x:c>
      <x:c r="F3995" s="2" t="str">
        <x:v>Store</x:v>
      </x:c>
      <x:c r="G3995" s="2" t="str">
        <x:v>Furniture</x:v>
      </x:c>
      <x:c r="H3995" s="2" t="str">
        <x:v>Desk 008</x:v>
      </x:c>
      <x:c r="I3995" s="11" t="n">
        <x:v>1</x:v>
      </x:c>
      <x:c r="J3995" s="9" t="n">
        <x:v>188</x:v>
      </x:c>
      <x:c r="K3995" s="10" t="n">
        <x:v>0.1</x:v>
      </x:c>
      <x:c r="L3995" s="11" t="n">
        <x:v>0</x:v>
      </x:c>
      <x:c r="M3995" s="9" t="n">
        <x:f>IF(D3995="Completed",I3995*J3995,0)</x:f>
        <x:v>188</x:v>
      </x:c>
      <x:c r="N3995" s="9" t="n">
        <x:f>M3995*K3995</x:f>
        <x:v>18.8</x:v>
      </x:c>
      <x:c r="O3995" s="9" t="n">
        <x:f>M3995-N3995</x:f>
        <x:v>169.2</x:v>
      </x:c>
      <x:c r="P3995" s="9" t="n">
        <x:f>IF(D3995="Completed",L3995*J3995*(1-K3995),0)</x:f>
        <x:v>0</x:v>
      </x:c>
      <x:c r="Q3995" s="9" t="n">
        <x:f>O3995-P3995</x:f>
        <x:v>169.2</x:v>
      </x:c>
      <x:c r="R3995" s="11" t="n">
        <x:f>IF(D3995="Completed",I3995,0)</x:f>
        <x:v>1</x:v>
      </x:c>
      <x:c r="S3995" s="11" t="n">
        <x:f>IF(D3995="Completed",L3995,0)</x:f>
        <x:v>0</x:v>
      </x:c>
      <x:c r="T3995" s="8" t="n">
        <x:f>DATE(YEAR(C3995),MONTH(C3995),1)</x:f>
        <x:v>45962</x:v>
      </x:c>
    </x:row>
    <x:row r="3996" ht="22" customHeight="1">
      <x:c r="A3996" s="2" t="str">
        <x:v>L003992</x:v>
      </x:c>
      <x:c r="B3996" s="2" t="str">
        <x:v>O01623</x:v>
      </x:c>
      <x:c r="C3996" s="7" t="n">
        <x:v>45976</x:v>
      </x:c>
      <x:c r="D3996" s="2" t="str">
        <x:v>Completed</x:v>
      </x:c>
      <x:c r="E3996" s="2" t="str">
        <x:v>North</x:v>
      </x:c>
      <x:c r="F3996" s="2" t="str">
        <x:v>Store</x:v>
      </x:c>
      <x:c r="G3996" s="2" t="str">
        <x:v>Lighting</x:v>
      </x:c>
      <x:c r="H3996" s="2" t="str">
        <x:v>Lamp 009</x:v>
      </x:c>
      <x:c r="I3996" s="11" t="n">
        <x:v>4</x:v>
      </x:c>
      <x:c r="J3996" s="9" t="n">
        <x:v>93</x:v>
      </x:c>
      <x:c r="K3996" s="10" t="n">
        <x:v>0.1</x:v>
      </x:c>
      <x:c r="L3996" s="11" t="n">
        <x:v>0</x:v>
      </x:c>
      <x:c r="M3996" s="9" t="n">
        <x:f>IF(D3996="Completed",I3996*J3996,0)</x:f>
        <x:v>372</x:v>
      </x:c>
      <x:c r="N3996" s="9" t="n">
        <x:f>M3996*K3996</x:f>
        <x:v>37.2</x:v>
      </x:c>
      <x:c r="O3996" s="9" t="n">
        <x:f>M3996-N3996</x:f>
        <x:v>334.8</x:v>
      </x:c>
      <x:c r="P3996" s="9" t="n">
        <x:f>IF(D3996="Completed",L3996*J3996*(1-K3996),0)</x:f>
        <x:v>0</x:v>
      </x:c>
      <x:c r="Q3996" s="9" t="n">
        <x:f>O3996-P3996</x:f>
        <x:v>334.8</x:v>
      </x:c>
      <x:c r="R3996" s="11" t="n">
        <x:f>IF(D3996="Completed",I3996,0)</x:f>
        <x:v>4</x:v>
      </x:c>
      <x:c r="S3996" s="11" t="n">
        <x:f>IF(D3996="Completed",L3996,0)</x:f>
        <x:v>0</x:v>
      </x:c>
      <x:c r="T3996" s="8" t="n">
        <x:f>DATE(YEAR(C3996),MONTH(C3996),1)</x:f>
        <x:v>45962</x:v>
      </x:c>
    </x:row>
    <x:row r="3997" ht="22" customHeight="1">
      <x:c r="A3997" s="2" t="str">
        <x:v>L003993</x:v>
      </x:c>
      <x:c r="B3997" s="2" t="str">
        <x:v>O01623</x:v>
      </x:c>
      <x:c r="C3997" s="7" t="n">
        <x:v>45976</x:v>
      </x:c>
      <x:c r="D3997" s="2" t="str">
        <x:v>Completed</x:v>
      </x:c>
      <x:c r="E3997" s="2" t="str">
        <x:v>North</x:v>
      </x:c>
      <x:c r="F3997" s="2" t="str">
        <x:v>Store</x:v>
      </x:c>
      <x:c r="G3997" s="2" t="str">
        <x:v>Lighting</x:v>
      </x:c>
      <x:c r="H3997" s="2" t="str">
        <x:v>Lamp 001</x:v>
      </x:c>
      <x:c r="I3997" s="11" t="n">
        <x:v>3</x:v>
      </x:c>
      <x:c r="J3997" s="9" t="n">
        <x:v>122</x:v>
      </x:c>
      <x:c r="K3997" s="10" t="n">
        <x:v>0.05</x:v>
      </x:c>
      <x:c r="L3997" s="11" t="n">
        <x:v>0</x:v>
      </x:c>
      <x:c r="M3997" s="9" t="n">
        <x:f>IF(D3997="Completed",I3997*J3997,0)</x:f>
        <x:v>366</x:v>
      </x:c>
      <x:c r="N3997" s="9" t="n">
        <x:f>M3997*K3997</x:f>
        <x:v>18.3</x:v>
      </x:c>
      <x:c r="O3997" s="9" t="n">
        <x:f>M3997-N3997</x:f>
        <x:v>347.7</x:v>
      </x:c>
      <x:c r="P3997" s="9" t="n">
        <x:f>IF(D3997="Completed",L3997*J3997*(1-K3997),0)</x:f>
        <x:v>0</x:v>
      </x:c>
      <x:c r="Q3997" s="9" t="n">
        <x:f>O3997-P3997</x:f>
        <x:v>347.7</x:v>
      </x:c>
      <x:c r="R3997" s="11" t="n">
        <x:f>IF(D3997="Completed",I3997,0)</x:f>
        <x:v>3</x:v>
      </x:c>
      <x:c r="S3997" s="11" t="n">
        <x:f>IF(D3997="Completed",L3997,0)</x:f>
        <x:v>0</x:v>
      </x:c>
      <x:c r="T3997" s="8" t="n">
        <x:f>DATE(YEAR(C3997),MONTH(C3997),1)</x:f>
        <x:v>45962</x:v>
      </x:c>
    </x:row>
    <x:row r="3998" ht="22" customHeight="1">
      <x:c r="A3998" s="2" t="str">
        <x:v>L003994</x:v>
      </x:c>
      <x:c r="B3998" s="2" t="str">
        <x:v>O01623</x:v>
      </x:c>
      <x:c r="C3998" s="7" t="n">
        <x:v>45976</x:v>
      </x:c>
      <x:c r="D3998" s="2" t="str">
        <x:v>Completed</x:v>
      </x:c>
      <x:c r="E3998" s="2" t="str">
        <x:v>North</x:v>
      </x:c>
      <x:c r="F3998" s="2" t="str">
        <x:v>Store</x:v>
      </x:c>
      <x:c r="G3998" s="2" t="str">
        <x:v>Storage</x:v>
      </x:c>
      <x:c r="H3998" s="2" t="str">
        <x:v>Shelf 015</x:v>
      </x:c>
      <x:c r="I3998" s="11" t="n">
        <x:v>1</x:v>
      </x:c>
      <x:c r="J3998" s="9" t="n">
        <x:v>254</x:v>
      </x:c>
      <x:c r="K3998" s="10" t="n">
        <x:v>0.05</x:v>
      </x:c>
      <x:c r="L3998" s="11" t="n">
        <x:v>0</x:v>
      </x:c>
      <x:c r="M3998" s="9" t="n">
        <x:f>IF(D3998="Completed",I3998*J3998,0)</x:f>
        <x:v>254</x:v>
      </x:c>
      <x:c r="N3998" s="9" t="n">
        <x:f>M3998*K3998</x:f>
        <x:v>12.700000000000001</x:v>
      </x:c>
      <x:c r="O3998" s="9" t="n">
        <x:f>M3998-N3998</x:f>
        <x:v>241.3</x:v>
      </x:c>
      <x:c r="P3998" s="9" t="n">
        <x:f>IF(D3998="Completed",L3998*J3998*(1-K3998),0)</x:f>
        <x:v>0</x:v>
      </x:c>
      <x:c r="Q3998" s="9" t="n">
        <x:f>O3998-P3998</x:f>
        <x:v>241.3</x:v>
      </x:c>
      <x:c r="R3998" s="11" t="n">
        <x:f>IF(D3998="Completed",I3998,0)</x:f>
        <x:v>1</x:v>
      </x:c>
      <x:c r="S3998" s="11" t="n">
        <x:f>IF(D3998="Completed",L3998,0)</x:f>
        <x:v>0</x:v>
      </x:c>
      <x:c r="T3998" s="8" t="n">
        <x:f>DATE(YEAR(C3998),MONTH(C3998),1)</x:f>
        <x:v>45962</x:v>
      </x:c>
    </x:row>
    <x:row r="3999" ht="22" customHeight="1">
      <x:c r="A3999" s="2" t="str">
        <x:v>L003995</x:v>
      </x:c>
      <x:c r="B3999" s="2" t="str">
        <x:v>O01624</x:v>
      </x:c>
      <x:c r="C3999" s="7" t="n">
        <x:v>45973</x:v>
      </x:c>
      <x:c r="D3999" s="2" t="str">
        <x:v>Completed</x:v>
      </x:c>
      <x:c r="E3999" s="2" t="str">
        <x:v>West</x:v>
      </x:c>
      <x:c r="F3999" s="2" t="str">
        <x:v>Online</x:v>
      </x:c>
      <x:c r="G3999" s="2" t="str">
        <x:v>Storage</x:v>
      </x:c>
      <x:c r="H3999" s="2" t="str">
        <x:v>Shelf 019</x:v>
      </x:c>
      <x:c r="I3999" s="11" t="n">
        <x:v>2</x:v>
      </x:c>
      <x:c r="J3999" s="9" t="n">
        <x:v>78</x:v>
      </x:c>
      <x:c r="K3999" s="10" t="n">
        <x:v>0</x:v>
      </x:c>
      <x:c r="L3999" s="11" t="n">
        <x:v>2</x:v>
      </x:c>
      <x:c r="M3999" s="9" t="n">
        <x:f>IF(D3999="Completed",I3999*J3999,0)</x:f>
        <x:v>156</x:v>
      </x:c>
      <x:c r="N3999" s="9" t="n">
        <x:f>M3999*K3999</x:f>
        <x:v>0</x:v>
      </x:c>
      <x:c r="O3999" s="9" t="n">
        <x:f>M3999-N3999</x:f>
        <x:v>156</x:v>
      </x:c>
      <x:c r="P3999" s="9" t="n">
        <x:f>IF(D3999="Completed",L3999*J3999*(1-K3999),0)</x:f>
        <x:v>156</x:v>
      </x:c>
      <x:c r="Q3999" s="9" t="n">
        <x:f>O3999-P3999</x:f>
        <x:v>0</x:v>
      </x:c>
      <x:c r="R3999" s="11" t="n">
        <x:f>IF(D3999="Completed",I3999,0)</x:f>
        <x:v>2</x:v>
      </x:c>
      <x:c r="S3999" s="11" t="n">
        <x:f>IF(D3999="Completed",L3999,0)</x:f>
        <x:v>2</x:v>
      </x:c>
      <x:c r="T3999" s="8" t="n">
        <x:f>DATE(YEAR(C3999),MONTH(C3999),1)</x:f>
        <x:v>45962</x:v>
      </x:c>
    </x:row>
    <x:row r="4000" ht="22" customHeight="1">
      <x:c r="A4000" s="2" t="str">
        <x:v>L003996</x:v>
      </x:c>
      <x:c r="B4000" s="2" t="str">
        <x:v>O01625</x:v>
      </x:c>
      <x:c r="C4000" s="7" t="n">
        <x:v>45662</x:v>
      </x:c>
      <x:c r="D4000" s="2" t="str">
        <x:v>Completed</x:v>
      </x:c>
      <x:c r="E4000" s="2" t="str">
        <x:v>North</x:v>
      </x:c>
      <x:c r="F4000" s="2" t="str">
        <x:v>Online</x:v>
      </x:c>
      <x:c r="G4000" s="2" t="str">
        <x:v>Storage</x:v>
      </x:c>
      <x:c r="H4000" s="2" t="str">
        <x:v>Shelf 023</x:v>
      </x:c>
      <x:c r="I4000" s="11" t="n">
        <x:v>4</x:v>
      </x:c>
      <x:c r="J4000" s="9" t="n">
        <x:v>68</x:v>
      </x:c>
      <x:c r="K4000" s="10" t="n">
        <x:v>0.1</x:v>
      </x:c>
      <x:c r="L4000" s="11" t="n">
        <x:v>0</x:v>
      </x:c>
      <x:c r="M4000" s="9" t="n">
        <x:f>IF(D4000="Completed",I4000*J4000,0)</x:f>
        <x:v>272</x:v>
      </x:c>
      <x:c r="N4000" s="9" t="n">
        <x:f>M4000*K4000</x:f>
        <x:v>27.200000000000003</x:v>
      </x:c>
      <x:c r="O4000" s="9" t="n">
        <x:f>M4000-N4000</x:f>
        <x:v>244.8</x:v>
      </x:c>
      <x:c r="P4000" s="9" t="n">
        <x:f>IF(D4000="Completed",L4000*J4000*(1-K4000),0)</x:f>
        <x:v>0</x:v>
      </x:c>
      <x:c r="Q4000" s="9" t="n">
        <x:f>O4000-P4000</x:f>
        <x:v>244.8</x:v>
      </x:c>
      <x:c r="R4000" s="11" t="n">
        <x:f>IF(D4000="Completed",I4000,0)</x:f>
        <x:v>4</x:v>
      </x:c>
      <x:c r="S4000" s="11" t="n">
        <x:f>IF(D4000="Completed",L4000,0)</x:f>
        <x:v>0</x:v>
      </x:c>
      <x:c r="T4000" s="8" t="n">
        <x:f>DATE(YEAR(C4000),MONTH(C4000),1)</x:f>
        <x:v>45658</x:v>
      </x:c>
    </x:row>
    <x:row r="4001" ht="22" customHeight="1">
      <x:c r="A4001" s="2" t="str">
        <x:v>L003997</x:v>
      </x:c>
      <x:c r="B4001" s="2" t="str">
        <x:v>O01625</x:v>
      </x:c>
      <x:c r="C4001" s="7" t="n">
        <x:v>45662</x:v>
      </x:c>
      <x:c r="D4001" s="2" t="str">
        <x:v>Completed</x:v>
      </x:c>
      <x:c r="E4001" s="2" t="str">
        <x:v>North</x:v>
      </x:c>
      <x:c r="F4001" s="2" t="str">
        <x:v>Online</x:v>
      </x:c>
      <x:c r="G4001" s="2" t="str">
        <x:v>Lighting</x:v>
      </x:c>
      <x:c r="H4001" s="2" t="str">
        <x:v>Lamp 001</x:v>
      </x:c>
      <x:c r="I4001" s="11" t="n">
        <x:v>3</x:v>
      </x:c>
      <x:c r="J4001" s="9" t="n">
        <x:v>122</x:v>
      </x:c>
      <x:c r="K4001" s="10" t="n">
        <x:v>0.1</x:v>
      </x:c>
      <x:c r="L4001" s="11" t="n">
        <x:v>0</x:v>
      </x:c>
      <x:c r="M4001" s="9" t="n">
        <x:f>IF(D4001="Completed",I4001*J4001,0)</x:f>
        <x:v>366</x:v>
      </x:c>
      <x:c r="N4001" s="9" t="n">
        <x:f>M4001*K4001</x:f>
        <x:v>36.6</x:v>
      </x:c>
      <x:c r="O4001" s="9" t="n">
        <x:f>M4001-N4001</x:f>
        <x:v>329.4</x:v>
      </x:c>
      <x:c r="P4001" s="9" t="n">
        <x:f>IF(D4001="Completed",L4001*J4001*(1-K4001),0)</x:f>
        <x:v>0</x:v>
      </x:c>
      <x:c r="Q4001" s="9" t="n">
        <x:f>O4001-P4001</x:f>
        <x:v>329.4</x:v>
      </x:c>
      <x:c r="R4001" s="11" t="n">
        <x:f>IF(D4001="Completed",I4001,0)</x:f>
        <x:v>3</x:v>
      </x:c>
      <x:c r="S4001" s="11" t="n">
        <x:f>IF(D4001="Completed",L4001,0)</x:f>
        <x:v>0</x:v>
      </x:c>
      <x:c r="T4001" s="8" t="n">
        <x:f>DATE(YEAR(C4001),MONTH(C4001),1)</x:f>
        <x:v>45658</x:v>
      </x:c>
    </x:row>
    <x:row r="4002" ht="22" customHeight="1">
      <x:c r="A4002" s="2" t="str">
        <x:v>L003998</x:v>
      </x:c>
      <x:c r="B4002" s="2" t="str">
        <x:v>O01625</x:v>
      </x:c>
      <x:c r="C4002" s="7" t="n">
        <x:v>45662</x:v>
      </x:c>
      <x:c r="D4002" s="2" t="str">
        <x:v>Completed</x:v>
      </x:c>
      <x:c r="E4002" s="2" t="str">
        <x:v>North</x:v>
      </x:c>
      <x:c r="F4002" s="2" t="str">
        <x:v>Online</x:v>
      </x:c>
      <x:c r="G4002" s="2" t="str">
        <x:v>Furniture</x:v>
      </x:c>
      <x:c r="H4002" s="2" t="str">
        <x:v>Desk 024</x:v>
      </x:c>
      <x:c r="I4002" s="11" t="n">
        <x:v>1</x:v>
      </x:c>
      <x:c r="J4002" s="9" t="n">
        <x:v>81</x:v>
      </x:c>
      <x:c r="K4002" s="10" t="n">
        <x:v>0.2</x:v>
      </x:c>
      <x:c r="L4002" s="11" t="n">
        <x:v>0</x:v>
      </x:c>
      <x:c r="M4002" s="9" t="n">
        <x:f>IF(D4002="Completed",I4002*J4002,0)</x:f>
        <x:v>81</x:v>
      </x:c>
      <x:c r="N4002" s="9" t="n">
        <x:f>M4002*K4002</x:f>
        <x:v>16.2</x:v>
      </x:c>
      <x:c r="O4002" s="9" t="n">
        <x:f>M4002-N4002</x:f>
        <x:v>64.8</x:v>
      </x:c>
      <x:c r="P4002" s="9" t="n">
        <x:f>IF(D4002="Completed",L4002*J4002*(1-K4002),0)</x:f>
        <x:v>0</x:v>
      </x:c>
      <x:c r="Q4002" s="9" t="n">
        <x:f>O4002-P4002</x:f>
        <x:v>64.8</x:v>
      </x:c>
      <x:c r="R4002" s="11" t="n">
        <x:f>IF(D4002="Completed",I4002,0)</x:f>
        <x:v>1</x:v>
      </x:c>
      <x:c r="S4002" s="11" t="n">
        <x:f>IF(D4002="Completed",L4002,0)</x:f>
        <x:v>0</x:v>
      </x:c>
      <x:c r="T4002" s="8" t="n">
        <x:f>DATE(YEAR(C4002),MONTH(C4002),1)</x:f>
        <x:v>45658</x:v>
      </x:c>
    </x:row>
    <x:row r="4003" ht="22" customHeight="1">
      <x:c r="A4003" s="2" t="str">
        <x:v>L003999</x:v>
      </x:c>
      <x:c r="B4003" s="2" t="str">
        <x:v>O01626</x:v>
      </x:c>
      <x:c r="C4003" s="7" t="n">
        <x:v>45883</x:v>
      </x:c>
      <x:c r="D4003" s="2" t="str">
        <x:v>Completed</x:v>
      </x:c>
      <x:c r="E4003" s="2" t="str">
        <x:v>East</x:v>
      </x:c>
      <x:c r="F4003" s="2" t="str">
        <x:v>Store</x:v>
      </x:c>
      <x:c r="G4003" s="2" t="str">
        <x:v>Storage</x:v>
      </x:c>
      <x:c r="H4003" s="2" t="str">
        <x:v>Shelf 015</x:v>
      </x:c>
      <x:c r="I4003" s="11" t="n">
        <x:v>3</x:v>
      </x:c>
      <x:c r="J4003" s="9" t="n">
        <x:v>254</x:v>
      </x:c>
      <x:c r="K4003" s="10" t="n">
        <x:v>0.2</x:v>
      </x:c>
      <x:c r="L4003" s="11" t="n">
        <x:v>0</x:v>
      </x:c>
      <x:c r="M4003" s="9" t="n">
        <x:f>IF(D4003="Completed",I4003*J4003,0)</x:f>
        <x:v>762</x:v>
      </x:c>
      <x:c r="N4003" s="9" t="n">
        <x:f>M4003*K4003</x:f>
        <x:v>152.4</x:v>
      </x:c>
      <x:c r="O4003" s="9" t="n">
        <x:f>M4003-N4003</x:f>
        <x:v>609.6</x:v>
      </x:c>
      <x:c r="P4003" s="9" t="n">
        <x:f>IF(D4003="Completed",L4003*J4003*(1-K4003),0)</x:f>
        <x:v>0</x:v>
      </x:c>
      <x:c r="Q4003" s="9" t="n">
        <x:f>O4003-P4003</x:f>
        <x:v>609.6</x:v>
      </x:c>
      <x:c r="R4003" s="11" t="n">
        <x:f>IF(D4003="Completed",I4003,0)</x:f>
        <x:v>3</x:v>
      </x:c>
      <x:c r="S4003" s="11" t="n">
        <x:f>IF(D4003="Completed",L4003,0)</x:f>
        <x:v>0</x:v>
      </x:c>
      <x:c r="T4003" s="8" t="n">
        <x:f>DATE(YEAR(C4003),MONTH(C4003),1)</x:f>
        <x:v>45870</x:v>
      </x:c>
    </x:row>
    <x:row r="4004" ht="22" customHeight="1">
      <x:c r="A4004" s="2" t="str">
        <x:v>L004000</x:v>
      </x:c>
      <x:c r="B4004" s="2" t="str">
        <x:v>O01627</x:v>
      </x:c>
      <x:c r="C4004" s="7" t="n">
        <x:v>45773</x:v>
      </x:c>
      <x:c r="D4004" s="2" t="str">
        <x:v>Completed</x:v>
      </x:c>
      <x:c r="E4004" s="2" t="str">
        <x:v>North</x:v>
      </x:c>
      <x:c r="F4004" s="2" t="str">
        <x:v>Store</x:v>
      </x:c>
      <x:c r="G4004" s="2" t="str">
        <x:v>Storage</x:v>
      </x:c>
      <x:c r="H4004" s="2" t="str">
        <x:v>Shelf 023</x:v>
      </x:c>
      <x:c r="I4004" s="11" t="n">
        <x:v>3</x:v>
      </x:c>
      <x:c r="J4004" s="9" t="n">
        <x:v>68</x:v>
      </x:c>
      <x:c r="K4004" s="10" t="n">
        <x:v>0.05</x:v>
      </x:c>
      <x:c r="L4004" s="11" t="n">
        <x:v>0</x:v>
      </x:c>
      <x:c r="M4004" s="9" t="n">
        <x:f>IF(D4004="Completed",I4004*J4004,0)</x:f>
        <x:v>204</x:v>
      </x:c>
      <x:c r="N4004" s="9" t="n">
        <x:f>M4004*K4004</x:f>
        <x:v>10.200000000000001</x:v>
      </x:c>
      <x:c r="O4004" s="9" t="n">
        <x:f>M4004-N4004</x:f>
        <x:v>193.8</x:v>
      </x:c>
      <x:c r="P4004" s="9" t="n">
        <x:f>IF(D4004="Completed",L4004*J4004*(1-K4004),0)</x:f>
        <x:v>0</x:v>
      </x:c>
      <x:c r="Q4004" s="9" t="n">
        <x:f>O4004-P4004</x:f>
        <x:v>193.8</x:v>
      </x:c>
      <x:c r="R4004" s="11" t="n">
        <x:f>IF(D4004="Completed",I4004,0)</x:f>
        <x:v>3</x:v>
      </x:c>
      <x:c r="S4004" s="11" t="n">
        <x:f>IF(D4004="Completed",L4004,0)</x:f>
        <x:v>0</x:v>
      </x:c>
      <x:c r="T4004" s="8" t="n">
        <x:f>DATE(YEAR(C4004),MONTH(C4004),1)</x:f>
        <x:v>45748</x:v>
      </x:c>
    </x:row>
    <x:row r="4005" ht="22" customHeight="1">
      <x:c r="A4005" s="2" t="str">
        <x:v>L004001</x:v>
      </x:c>
      <x:c r="B4005" s="2" t="str">
        <x:v>O01627</x:v>
      </x:c>
      <x:c r="C4005" s="7" t="n">
        <x:v>45773</x:v>
      </x:c>
      <x:c r="D4005" s="2" t="str">
        <x:v>Completed</x:v>
      </x:c>
      <x:c r="E4005" s="2" t="str">
        <x:v>North</x:v>
      </x:c>
      <x:c r="F4005" s="2" t="str">
        <x:v>Store</x:v>
      </x:c>
      <x:c r="G4005" s="2" t="str">
        <x:v>Furniture</x:v>
      </x:c>
      <x:c r="H4005" s="2" t="str">
        <x:v>Desk 016</x:v>
      </x:c>
      <x:c r="I4005" s="11" t="n">
        <x:v>4</x:v>
      </x:c>
      <x:c r="J4005" s="9" t="n">
        <x:v>231</x:v>
      </x:c>
      <x:c r="K4005" s="10" t="n">
        <x:v>0</x:v>
      </x:c>
      <x:c r="L4005" s="11" t="n">
        <x:v>0</x:v>
      </x:c>
      <x:c r="M4005" s="9" t="n">
        <x:f>IF(D4005="Completed",I4005*J4005,0)</x:f>
        <x:v>924</x:v>
      </x:c>
      <x:c r="N4005" s="9" t="n">
        <x:f>M4005*K4005</x:f>
        <x:v>0</x:v>
      </x:c>
      <x:c r="O4005" s="9" t="n">
        <x:f>M4005-N4005</x:f>
        <x:v>924</x:v>
      </x:c>
      <x:c r="P4005" s="9" t="n">
        <x:f>IF(D4005="Completed",L4005*J4005*(1-K4005),0)</x:f>
        <x:v>0</x:v>
      </x:c>
      <x:c r="Q4005" s="9" t="n">
        <x:f>O4005-P4005</x:f>
        <x:v>924</x:v>
      </x:c>
      <x:c r="R4005" s="11" t="n">
        <x:f>IF(D4005="Completed",I4005,0)</x:f>
        <x:v>4</x:v>
      </x:c>
      <x:c r="S4005" s="11" t="n">
        <x:f>IF(D4005="Completed",L4005,0)</x:f>
        <x:v>0</x:v>
      </x:c>
      <x:c r="T4005" s="8" t="n">
        <x:f>DATE(YEAR(C4005),MONTH(C4005),1)</x:f>
        <x:v>45748</x:v>
      </x:c>
    </x:row>
    <x:row r="4006" ht="22" customHeight="1">
      <x:c r="A4006" s="2" t="str">
        <x:v>L004002</x:v>
      </x:c>
      <x:c r="B4006" s="2" t="str">
        <x:v>O01628</x:v>
      </x:c>
      <x:c r="C4006" s="7" t="n">
        <x:v>45661</x:v>
      </x:c>
      <x:c r="D4006" s="2" t="str">
        <x:v>Completed</x:v>
      </x:c>
      <x:c r="E4006" s="2" t="str">
        <x:v>West</x:v>
      </x:c>
      <x:c r="F4006" s="2" t="str">
        <x:v>Store</x:v>
      </x:c>
      <x:c r="G4006" s="2" t="str">
        <x:v>Furniture</x:v>
      </x:c>
      <x:c r="H4006" s="2" t="str">
        <x:v>Desk 004</x:v>
      </x:c>
      <x:c r="I4006" s="11" t="n">
        <x:v>4</x:v>
      </x:c>
      <x:c r="J4006" s="9" t="n">
        <x:v>123</x:v>
      </x:c>
      <x:c r="K4006" s="10" t="n">
        <x:v>0.05</x:v>
      </x:c>
      <x:c r="L4006" s="11" t="n">
        <x:v>0</x:v>
      </x:c>
      <x:c r="M4006" s="9" t="n">
        <x:f>IF(D4006="Completed",I4006*J4006,0)</x:f>
        <x:v>492</x:v>
      </x:c>
      <x:c r="N4006" s="9" t="n">
        <x:f>M4006*K4006</x:f>
        <x:v>24.6</x:v>
      </x:c>
      <x:c r="O4006" s="9" t="n">
        <x:f>M4006-N4006</x:f>
        <x:v>467.4</x:v>
      </x:c>
      <x:c r="P4006" s="9" t="n">
        <x:f>IF(D4006="Completed",L4006*J4006*(1-K4006),0)</x:f>
        <x:v>0</x:v>
      </x:c>
      <x:c r="Q4006" s="9" t="n">
        <x:f>O4006-P4006</x:f>
        <x:v>467.4</x:v>
      </x:c>
      <x:c r="R4006" s="11" t="n">
        <x:f>IF(D4006="Completed",I4006,0)</x:f>
        <x:v>4</x:v>
      </x:c>
      <x:c r="S4006" s="11" t="n">
        <x:f>IF(D4006="Completed",L4006,0)</x:f>
        <x:v>0</x:v>
      </x:c>
      <x:c r="T4006" s="8" t="n">
        <x:f>DATE(YEAR(C4006),MONTH(C4006),1)</x:f>
        <x:v>45658</x:v>
      </x:c>
    </x:row>
    <x:row r="4007" ht="22" customHeight="1">
      <x:c r="A4007" s="2" t="str">
        <x:v>L004003</x:v>
      </x:c>
      <x:c r="B4007" s="2" t="str">
        <x:v>O01629</x:v>
      </x:c>
      <x:c r="C4007" s="7" t="n">
        <x:v>45671</x:v>
      </x:c>
      <x:c r="D4007" s="2" t="str">
        <x:v>Completed</x:v>
      </x:c>
      <x:c r="E4007" s="2" t="str">
        <x:v>West</x:v>
      </x:c>
      <x:c r="F4007" s="2" t="str">
        <x:v>Store</x:v>
      </x:c>
      <x:c r="G4007" s="2" t="str">
        <x:v>Lighting</x:v>
      </x:c>
      <x:c r="H4007" s="2" t="str">
        <x:v>Lamp 005</x:v>
      </x:c>
      <x:c r="I4007" s="11" t="n">
        <x:v>1</x:v>
      </x:c>
      <x:c r="J4007" s="9" t="n">
        <x:v>65</x:v>
      </x:c>
      <x:c r="K4007" s="10" t="n">
        <x:v>0</x:v>
      </x:c>
      <x:c r="L4007" s="11" t="n">
        <x:v>0</x:v>
      </x:c>
      <x:c r="M4007" s="9" t="n">
        <x:f>IF(D4007="Completed",I4007*J4007,0)</x:f>
        <x:v>65</x:v>
      </x:c>
      <x:c r="N4007" s="9" t="n">
        <x:f>M4007*K4007</x:f>
        <x:v>0</x:v>
      </x:c>
      <x:c r="O4007" s="9" t="n">
        <x:f>M4007-N4007</x:f>
        <x:v>65</x:v>
      </x:c>
      <x:c r="P4007" s="9" t="n">
        <x:f>IF(D4007="Completed",L4007*J4007*(1-K4007),0)</x:f>
        <x:v>0</x:v>
      </x:c>
      <x:c r="Q4007" s="9" t="n">
        <x:f>O4007-P4007</x:f>
        <x:v>65</x:v>
      </x:c>
      <x:c r="R4007" s="11" t="n">
        <x:f>IF(D4007="Completed",I4007,0)</x:f>
        <x:v>1</x:v>
      </x:c>
      <x:c r="S4007" s="11" t="n">
        <x:f>IF(D4007="Completed",L4007,0)</x:f>
        <x:v>0</x:v>
      </x:c>
      <x:c r="T4007" s="8" t="n">
        <x:f>DATE(YEAR(C4007),MONTH(C4007),1)</x:f>
        <x:v>45658</x:v>
      </x:c>
    </x:row>
    <x:row r="4008" ht="22" customHeight="1">
      <x:c r="A4008" s="2" t="str">
        <x:v>L004004</x:v>
      </x:c>
      <x:c r="B4008" s="2" t="str">
        <x:v>O01629</x:v>
      </x:c>
      <x:c r="C4008" s="7" t="n">
        <x:v>45671</x:v>
      </x:c>
      <x:c r="D4008" s="2" t="str">
        <x:v>Completed</x:v>
      </x:c>
      <x:c r="E4008" s="2" t="str">
        <x:v>West</x:v>
      </x:c>
      <x:c r="F4008" s="2" t="str">
        <x:v>Store</x:v>
      </x:c>
      <x:c r="G4008" s="2" t="str">
        <x:v>Storage</x:v>
      </x:c>
      <x:c r="H4008" s="2" t="str">
        <x:v>Shelf 007</x:v>
      </x:c>
      <x:c r="I4008" s="11" t="n">
        <x:v>2</x:v>
      </x:c>
      <x:c r="J4008" s="9" t="n">
        <x:v>35</x:v>
      </x:c>
      <x:c r="K4008" s="10" t="n">
        <x:v>0.1</x:v>
      </x:c>
      <x:c r="L4008" s="11" t="n">
        <x:v>0</x:v>
      </x:c>
      <x:c r="M4008" s="9" t="n">
        <x:f>IF(D4008="Completed",I4008*J4008,0)</x:f>
        <x:v>70</x:v>
      </x:c>
      <x:c r="N4008" s="9" t="n">
        <x:f>M4008*K4008</x:f>
        <x:v>7</x:v>
      </x:c>
      <x:c r="O4008" s="9" t="n">
        <x:f>M4008-N4008</x:f>
        <x:v>63</x:v>
      </x:c>
      <x:c r="P4008" s="9" t="n">
        <x:f>IF(D4008="Completed",L4008*J4008*(1-K4008),0)</x:f>
        <x:v>0</x:v>
      </x:c>
      <x:c r="Q4008" s="9" t="n">
        <x:f>O4008-P4008</x:f>
        <x:v>63</x:v>
      </x:c>
      <x:c r="R4008" s="11" t="n">
        <x:f>IF(D4008="Completed",I4008,0)</x:f>
        <x:v>2</x:v>
      </x:c>
      <x:c r="S4008" s="11" t="n">
        <x:f>IF(D4008="Completed",L4008,0)</x:f>
        <x:v>0</x:v>
      </x:c>
      <x:c r="T4008" s="8" t="n">
        <x:f>DATE(YEAR(C4008),MONTH(C4008),1)</x:f>
        <x:v>45658</x:v>
      </x:c>
    </x:row>
    <x:row r="4009" ht="22" customHeight="1">
      <x:c r="A4009" s="2" t="str">
        <x:v>L004005</x:v>
      </x:c>
      <x:c r="B4009" s="2" t="str">
        <x:v>O01630</x:v>
      </x:c>
      <x:c r="C4009" s="7" t="n">
        <x:v>45815</x:v>
      </x:c>
      <x:c r="D4009" s="2" t="str">
        <x:v>Completed</x:v>
      </x:c>
      <x:c r="E4009" s="2" t="str">
        <x:v>South</x:v>
      </x:c>
      <x:c r="F4009" s="2" t="str">
        <x:v>Online</x:v>
      </x:c>
      <x:c r="G4009" s="2" t="str">
        <x:v>Storage</x:v>
      </x:c>
      <x:c r="H4009" s="2" t="str">
        <x:v>Shelf 003</x:v>
      </x:c>
      <x:c r="I4009" s="11" t="n">
        <x:v>2</x:v>
      </x:c>
      <x:c r="J4009" s="9" t="n">
        <x:v>199</x:v>
      </x:c>
      <x:c r="K4009" s="10" t="n">
        <x:v>0.2</x:v>
      </x:c>
      <x:c r="L4009" s="11" t="n">
        <x:v>0</x:v>
      </x:c>
      <x:c r="M4009" s="9" t="n">
        <x:f>IF(D4009="Completed",I4009*J4009,0)</x:f>
        <x:v>398</x:v>
      </x:c>
      <x:c r="N4009" s="9" t="n">
        <x:f>M4009*K4009</x:f>
        <x:v>79.60000000000001</x:v>
      </x:c>
      <x:c r="O4009" s="9" t="n">
        <x:f>M4009-N4009</x:f>
        <x:v>318.4</x:v>
      </x:c>
      <x:c r="P4009" s="9" t="n">
        <x:f>IF(D4009="Completed",L4009*J4009*(1-K4009),0)</x:f>
        <x:v>0</x:v>
      </x:c>
      <x:c r="Q4009" s="9" t="n">
        <x:f>O4009-P4009</x:f>
        <x:v>318.4</x:v>
      </x:c>
      <x:c r="R4009" s="11" t="n">
        <x:f>IF(D4009="Completed",I4009,0)</x:f>
        <x:v>2</x:v>
      </x:c>
      <x:c r="S4009" s="11" t="n">
        <x:f>IF(D4009="Completed",L4009,0)</x:f>
        <x:v>0</x:v>
      </x:c>
      <x:c r="T4009" s="8" t="n">
        <x:f>DATE(YEAR(C4009),MONTH(C4009),1)</x:f>
        <x:v>45809</x:v>
      </x:c>
    </x:row>
    <x:row r="4010" ht="22" customHeight="1">
      <x:c r="A4010" s="2" t="str">
        <x:v>L004006</x:v>
      </x:c>
      <x:c r="B4010" s="2" t="str">
        <x:v>O01630</x:v>
      </x:c>
      <x:c r="C4010" s="7" t="n">
        <x:v>45815</x:v>
      </x:c>
      <x:c r="D4010" s="2" t="str">
        <x:v>Completed</x:v>
      </x:c>
      <x:c r="E4010" s="2" t="str">
        <x:v>South</x:v>
      </x:c>
      <x:c r="F4010" s="2" t="str">
        <x:v>Online</x:v>
      </x:c>
      <x:c r="G4010" s="2" t="str">
        <x:v>Storage</x:v>
      </x:c>
      <x:c r="H4010" s="2" t="str">
        <x:v>Shelf 011</x:v>
      </x:c>
      <x:c r="I4010" s="11" t="n">
        <x:v>4</x:v>
      </x:c>
      <x:c r="J4010" s="9" t="n">
        <x:v>80</x:v>
      </x:c>
      <x:c r="K4010" s="10" t="n">
        <x:v>0.1</x:v>
      </x:c>
      <x:c r="L4010" s="11" t="n">
        <x:v>0</x:v>
      </x:c>
      <x:c r="M4010" s="9" t="n">
        <x:f>IF(D4010="Completed",I4010*J4010,0)</x:f>
        <x:v>320</x:v>
      </x:c>
      <x:c r="N4010" s="9" t="n">
        <x:f>M4010*K4010</x:f>
        <x:v>32</x:v>
      </x:c>
      <x:c r="O4010" s="9" t="n">
        <x:f>M4010-N4010</x:f>
        <x:v>288</x:v>
      </x:c>
      <x:c r="P4010" s="9" t="n">
        <x:f>IF(D4010="Completed",L4010*J4010*(1-K4010),0)</x:f>
        <x:v>0</x:v>
      </x:c>
      <x:c r="Q4010" s="9" t="n">
        <x:f>O4010-P4010</x:f>
        <x:v>288</x:v>
      </x:c>
      <x:c r="R4010" s="11" t="n">
        <x:f>IF(D4010="Completed",I4010,0)</x:f>
        <x:v>4</x:v>
      </x:c>
      <x:c r="S4010" s="11" t="n">
        <x:f>IF(D4010="Completed",L4010,0)</x:f>
        <x:v>0</x:v>
      </x:c>
      <x:c r="T4010" s="8" t="n">
        <x:f>DATE(YEAR(C4010),MONTH(C4010),1)</x:f>
        <x:v>45809</x:v>
      </x:c>
    </x:row>
    <x:row r="4011" ht="22" customHeight="1">
      <x:c r="A4011" s="2" t="str">
        <x:v>L004007</x:v>
      </x:c>
      <x:c r="B4011" s="2" t="str">
        <x:v>O01630</x:v>
      </x:c>
      <x:c r="C4011" s="7" t="n">
        <x:v>45815</x:v>
      </x:c>
      <x:c r="D4011" s="2" t="str">
        <x:v>Completed</x:v>
      </x:c>
      <x:c r="E4011" s="2" t="str">
        <x:v>South</x:v>
      </x:c>
      <x:c r="F4011" s="2" t="str">
        <x:v>Online</x:v>
      </x:c>
      <x:c r="G4011" s="2" t="str">
        <x:v>Lighting</x:v>
      </x:c>
      <x:c r="H4011" s="2" t="str">
        <x:v>Lamp 013</x:v>
      </x:c>
      <x:c r="I4011" s="11" t="n">
        <x:v>5</x:v>
      </x:c>
      <x:c r="J4011" s="9" t="n">
        <x:v>271</x:v>
      </x:c>
      <x:c r="K4011" s="10" t="n">
        <x:v>0.2</x:v>
      </x:c>
      <x:c r="L4011" s="11" t="n">
        <x:v>0</x:v>
      </x:c>
      <x:c r="M4011" s="9" t="n">
        <x:f>IF(D4011="Completed",I4011*J4011,0)</x:f>
        <x:v>1355</x:v>
      </x:c>
      <x:c r="N4011" s="9" t="n">
        <x:f>M4011*K4011</x:f>
        <x:v>271</x:v>
      </x:c>
      <x:c r="O4011" s="9" t="n">
        <x:f>M4011-N4011</x:f>
        <x:v>1084</x:v>
      </x:c>
      <x:c r="P4011" s="9" t="n">
        <x:f>IF(D4011="Completed",L4011*J4011*(1-K4011),0)</x:f>
        <x:v>0</x:v>
      </x:c>
      <x:c r="Q4011" s="9" t="n">
        <x:f>O4011-P4011</x:f>
        <x:v>1084</x:v>
      </x:c>
      <x:c r="R4011" s="11" t="n">
        <x:f>IF(D4011="Completed",I4011,0)</x:f>
        <x:v>5</x:v>
      </x:c>
      <x:c r="S4011" s="11" t="n">
        <x:f>IF(D4011="Completed",L4011,0)</x:f>
        <x:v>0</x:v>
      </x:c>
      <x:c r="T4011" s="8" t="n">
        <x:f>DATE(YEAR(C4011),MONTH(C4011),1)</x:f>
        <x:v>45809</x:v>
      </x:c>
    </x:row>
    <x:row r="4012" ht="22" customHeight="1">
      <x:c r="A4012" s="2" t="str">
        <x:v>L004008</x:v>
      </x:c>
      <x:c r="B4012" s="2" t="str">
        <x:v>O01630</x:v>
      </x:c>
      <x:c r="C4012" s="7" t="n">
        <x:v>45815</x:v>
      </x:c>
      <x:c r="D4012" s="2" t="str">
        <x:v>Completed</x:v>
      </x:c>
      <x:c r="E4012" s="2" t="str">
        <x:v>South</x:v>
      </x:c>
      <x:c r="F4012" s="2" t="str">
        <x:v>Online</x:v>
      </x:c>
      <x:c r="G4012" s="2" t="str">
        <x:v>Lighting</x:v>
      </x:c>
      <x:c r="H4012" s="2" t="str">
        <x:v>Lamp 009</x:v>
      </x:c>
      <x:c r="I4012" s="11" t="n">
        <x:v>2</x:v>
      </x:c>
      <x:c r="J4012" s="9" t="n">
        <x:v>93</x:v>
      </x:c>
      <x:c r="K4012" s="10" t="n">
        <x:v>0</x:v>
      </x:c>
      <x:c r="L4012" s="11" t="n">
        <x:v>1</x:v>
      </x:c>
      <x:c r="M4012" s="9" t="n">
        <x:f>IF(D4012="Completed",I4012*J4012,0)</x:f>
        <x:v>186</x:v>
      </x:c>
      <x:c r="N4012" s="9" t="n">
        <x:f>M4012*K4012</x:f>
        <x:v>0</x:v>
      </x:c>
      <x:c r="O4012" s="9" t="n">
        <x:f>M4012-N4012</x:f>
        <x:v>186</x:v>
      </x:c>
      <x:c r="P4012" s="9" t="n">
        <x:f>IF(D4012="Completed",L4012*J4012*(1-K4012),0)</x:f>
        <x:v>93</x:v>
      </x:c>
      <x:c r="Q4012" s="9" t="n">
        <x:f>O4012-P4012</x:f>
        <x:v>93</x:v>
      </x:c>
      <x:c r="R4012" s="11" t="n">
        <x:f>IF(D4012="Completed",I4012,0)</x:f>
        <x:v>2</x:v>
      </x:c>
      <x:c r="S4012" s="11" t="n">
        <x:f>IF(D4012="Completed",L4012,0)</x:f>
        <x:v>1</x:v>
      </x:c>
      <x:c r="T4012" s="8" t="n">
        <x:f>DATE(YEAR(C4012),MONTH(C4012),1)</x:f>
        <x:v>45809</x:v>
      </x:c>
    </x:row>
    <x:row r="4013" ht="22" customHeight="1">
      <x:c r="A4013" s="2" t="str">
        <x:v>L004009</x:v>
      </x:c>
      <x:c r="B4013" s="2" t="str">
        <x:v>O01631</x:v>
      </x:c>
      <x:c r="C4013" s="7" t="n">
        <x:v>45812</x:v>
      </x:c>
      <x:c r="D4013" s="2" t="str">
        <x:v>Completed</x:v>
      </x:c>
      <x:c r="E4013" s="2" t="str">
        <x:v>West</x:v>
      </x:c>
      <x:c r="F4013" s="2" t="str">
        <x:v>Store</x:v>
      </x:c>
      <x:c r="G4013" s="2" t="str">
        <x:v>Furniture</x:v>
      </x:c>
      <x:c r="H4013" s="2" t="str">
        <x:v>Chair 006</x:v>
      </x:c>
      <x:c r="I4013" s="11" t="n">
        <x:v>1</x:v>
      </x:c>
      <x:c r="J4013" s="9" t="n">
        <x:v>196</x:v>
      </x:c>
      <x:c r="K4013" s="10" t="n">
        <x:v>0.1</x:v>
      </x:c>
      <x:c r="L4013" s="11" t="n">
        <x:v>0</x:v>
      </x:c>
      <x:c r="M4013" s="9" t="n">
        <x:f>IF(D4013="Completed",I4013*J4013,0)</x:f>
        <x:v>196</x:v>
      </x:c>
      <x:c r="N4013" s="9" t="n">
        <x:f>M4013*K4013</x:f>
        <x:v>19.6</x:v>
      </x:c>
      <x:c r="O4013" s="9" t="n">
        <x:f>M4013-N4013</x:f>
        <x:v>176.4</x:v>
      </x:c>
      <x:c r="P4013" s="9" t="n">
        <x:f>IF(D4013="Completed",L4013*J4013*(1-K4013),0)</x:f>
        <x:v>0</x:v>
      </x:c>
      <x:c r="Q4013" s="9" t="n">
        <x:f>O4013-P4013</x:f>
        <x:v>176.4</x:v>
      </x:c>
      <x:c r="R4013" s="11" t="n">
        <x:f>IF(D4013="Completed",I4013,0)</x:f>
        <x:v>1</x:v>
      </x:c>
      <x:c r="S4013" s="11" t="n">
        <x:f>IF(D4013="Completed",L4013,0)</x:f>
        <x:v>0</x:v>
      </x:c>
      <x:c r="T4013" s="8" t="n">
        <x:f>DATE(YEAR(C4013),MONTH(C4013),1)</x:f>
        <x:v>45809</x:v>
      </x:c>
    </x:row>
    <x:row r="4014" ht="22" customHeight="1">
      <x:c r="A4014" s="2" t="str">
        <x:v>L004010</x:v>
      </x:c>
      <x:c r="B4014" s="2" t="str">
        <x:v>O01631</x:v>
      </x:c>
      <x:c r="C4014" s="7" t="n">
        <x:v>45812</x:v>
      </x:c>
      <x:c r="D4014" s="2" t="str">
        <x:v>Completed</x:v>
      </x:c>
      <x:c r="E4014" s="2" t="str">
        <x:v>West</x:v>
      </x:c>
      <x:c r="F4014" s="2" t="str">
        <x:v>Store</x:v>
      </x:c>
      <x:c r="G4014" s="2" t="str">
        <x:v>Storage</x:v>
      </x:c>
      <x:c r="H4014" s="2" t="str">
        <x:v>Shelf 023</x:v>
      </x:c>
      <x:c r="I4014" s="11" t="n">
        <x:v>2</x:v>
      </x:c>
      <x:c r="J4014" s="9" t="n">
        <x:v>68</x:v>
      </x:c>
      <x:c r="K4014" s="10" t="n">
        <x:v>0.05</x:v>
      </x:c>
      <x:c r="L4014" s="11" t="n">
        <x:v>0</x:v>
      </x:c>
      <x:c r="M4014" s="9" t="n">
        <x:f>IF(D4014="Completed",I4014*J4014,0)</x:f>
        <x:v>136</x:v>
      </x:c>
      <x:c r="N4014" s="9" t="n">
        <x:f>M4014*K4014</x:f>
        <x:v>6.800000000000001</x:v>
      </x:c>
      <x:c r="O4014" s="9" t="n">
        <x:f>M4014-N4014</x:f>
        <x:v>129.2</x:v>
      </x:c>
      <x:c r="P4014" s="9" t="n">
        <x:f>IF(D4014="Completed",L4014*J4014*(1-K4014),0)</x:f>
        <x:v>0</x:v>
      </x:c>
      <x:c r="Q4014" s="9" t="n">
        <x:f>O4014-P4014</x:f>
        <x:v>129.2</x:v>
      </x:c>
      <x:c r="R4014" s="11" t="n">
        <x:f>IF(D4014="Completed",I4014,0)</x:f>
        <x:v>2</x:v>
      </x:c>
      <x:c r="S4014" s="11" t="n">
        <x:f>IF(D4014="Completed",L4014,0)</x:f>
        <x:v>0</x:v>
      </x:c>
      <x:c r="T4014" s="8" t="n">
        <x:f>DATE(YEAR(C4014),MONTH(C4014),1)</x:f>
        <x:v>45809</x:v>
      </x:c>
    </x:row>
    <x:row r="4015" ht="22" customHeight="1">
      <x:c r="A4015" s="2" t="str">
        <x:v>L004011</x:v>
      </x:c>
      <x:c r="B4015" s="2" t="str">
        <x:v>O01631</x:v>
      </x:c>
      <x:c r="C4015" s="7" t="n">
        <x:v>45812</x:v>
      </x:c>
      <x:c r="D4015" s="2" t="str">
        <x:v>Completed</x:v>
      </x:c>
      <x:c r="E4015" s="2" t="str">
        <x:v>West</x:v>
      </x:c>
      <x:c r="F4015" s="2" t="str">
        <x:v>Store</x:v>
      </x:c>
      <x:c r="G4015" s="2" t="str">
        <x:v>Furniture</x:v>
      </x:c>
      <x:c r="H4015" s="2" t="str">
        <x:v>Desk 024</x:v>
      </x:c>
      <x:c r="I4015" s="11" t="n">
        <x:v>3</x:v>
      </x:c>
      <x:c r="J4015" s="9" t="n">
        <x:v>81</x:v>
      </x:c>
      <x:c r="K4015" s="10" t="n">
        <x:v>0.1</x:v>
      </x:c>
      <x:c r="L4015" s="11" t="n">
        <x:v>1</x:v>
      </x:c>
      <x:c r="M4015" s="9" t="n">
        <x:f>IF(D4015="Completed",I4015*J4015,0)</x:f>
        <x:v>243</x:v>
      </x:c>
      <x:c r="N4015" s="9" t="n">
        <x:f>M4015*K4015</x:f>
        <x:v>24.3</x:v>
      </x:c>
      <x:c r="O4015" s="9" t="n">
        <x:f>M4015-N4015</x:f>
        <x:v>218.7</x:v>
      </x:c>
      <x:c r="P4015" s="9" t="n">
        <x:f>IF(D4015="Completed",L4015*J4015*(1-K4015),0)</x:f>
        <x:v>72.9</x:v>
      </x:c>
      <x:c r="Q4015" s="9" t="n">
        <x:f>O4015-P4015</x:f>
        <x:v>145.79999999999998</x:v>
      </x:c>
      <x:c r="R4015" s="11" t="n">
        <x:f>IF(D4015="Completed",I4015,0)</x:f>
        <x:v>3</x:v>
      </x:c>
      <x:c r="S4015" s="11" t="n">
        <x:f>IF(D4015="Completed",L4015,0)</x:f>
        <x:v>1</x:v>
      </x:c>
      <x:c r="T4015" s="8" t="n">
        <x:f>DATE(YEAR(C4015),MONTH(C4015),1)</x:f>
        <x:v>45809</x:v>
      </x:c>
    </x:row>
    <x:row r="4016" ht="22" customHeight="1">
      <x:c r="A4016" s="2" t="str">
        <x:v>L004012</x:v>
      </x:c>
      <x:c r="B4016" s="2" t="str">
        <x:v>O01632</x:v>
      </x:c>
      <x:c r="C4016" s="7" t="n">
        <x:v>45770</x:v>
      </x:c>
      <x:c r="D4016" s="2" t="str">
        <x:v>Completed</x:v>
      </x:c>
      <x:c r="E4016" s="2" t="str">
        <x:v>North</x:v>
      </x:c>
      <x:c r="F4016" s="2" t="str">
        <x:v>Online</x:v>
      </x:c>
      <x:c r="G4016" s="2" t="str">
        <x:v>Storage</x:v>
      </x:c>
      <x:c r="H4016" s="2" t="str">
        <x:v>Shelf 019</x:v>
      </x:c>
      <x:c r="I4016" s="11" t="n">
        <x:v>3</x:v>
      </x:c>
      <x:c r="J4016" s="9" t="n">
        <x:v>78</x:v>
      </x:c>
      <x:c r="K4016" s="10" t="n">
        <x:v>0.05</x:v>
      </x:c>
      <x:c r="L4016" s="11" t="n">
        <x:v>0</x:v>
      </x:c>
      <x:c r="M4016" s="9" t="n">
        <x:f>IF(D4016="Completed",I4016*J4016,0)</x:f>
        <x:v>234</x:v>
      </x:c>
      <x:c r="N4016" s="9" t="n">
        <x:f>M4016*K4016</x:f>
        <x:v>11.700000000000001</x:v>
      </x:c>
      <x:c r="O4016" s="9" t="n">
        <x:f>M4016-N4016</x:f>
        <x:v>222.3</x:v>
      </x:c>
      <x:c r="P4016" s="9" t="n">
        <x:f>IF(D4016="Completed",L4016*J4016*(1-K4016),0)</x:f>
        <x:v>0</x:v>
      </x:c>
      <x:c r="Q4016" s="9" t="n">
        <x:f>O4016-P4016</x:f>
        <x:v>222.3</x:v>
      </x:c>
      <x:c r="R4016" s="11" t="n">
        <x:f>IF(D4016="Completed",I4016,0)</x:f>
        <x:v>3</x:v>
      </x:c>
      <x:c r="S4016" s="11" t="n">
        <x:f>IF(D4016="Completed",L4016,0)</x:f>
        <x:v>0</x:v>
      </x:c>
      <x:c r="T4016" s="8" t="n">
        <x:f>DATE(YEAR(C4016),MONTH(C4016),1)</x:f>
        <x:v>45748</x:v>
      </x:c>
    </x:row>
    <x:row r="4017" ht="22" customHeight="1">
      <x:c r="A4017" s="2" t="str">
        <x:v>L004013</x:v>
      </x:c>
      <x:c r="B4017" s="2" t="str">
        <x:v>O01632</x:v>
      </x:c>
      <x:c r="C4017" s="7" t="n">
        <x:v>45770</x:v>
      </x:c>
      <x:c r="D4017" s="2" t="str">
        <x:v>Completed</x:v>
      </x:c>
      <x:c r="E4017" s="2" t="str">
        <x:v>North</x:v>
      </x:c>
      <x:c r="F4017" s="2" t="str">
        <x:v>Online</x:v>
      </x:c>
      <x:c r="G4017" s="2" t="str">
        <x:v>Furniture</x:v>
      </x:c>
      <x:c r="H4017" s="2" t="str">
        <x:v>Chair 018</x:v>
      </x:c>
      <x:c r="I4017" s="11" t="n">
        <x:v>5</x:v>
      </x:c>
      <x:c r="J4017" s="9" t="n">
        <x:v>269</x:v>
      </x:c>
      <x:c r="K4017" s="10" t="n">
        <x:v>0.05</x:v>
      </x:c>
      <x:c r="L4017" s="11" t="n">
        <x:v>0</x:v>
      </x:c>
      <x:c r="M4017" s="9" t="n">
        <x:f>IF(D4017="Completed",I4017*J4017,0)</x:f>
        <x:v>1345</x:v>
      </x:c>
      <x:c r="N4017" s="9" t="n">
        <x:f>M4017*K4017</x:f>
        <x:v>67.25</x:v>
      </x:c>
      <x:c r="O4017" s="9" t="n">
        <x:f>M4017-N4017</x:f>
        <x:v>1277.75</x:v>
      </x:c>
      <x:c r="P4017" s="9" t="n">
        <x:f>IF(D4017="Completed",L4017*J4017*(1-K4017),0)</x:f>
        <x:v>0</x:v>
      </x:c>
      <x:c r="Q4017" s="9" t="n">
        <x:f>O4017-P4017</x:f>
        <x:v>1277.75</x:v>
      </x:c>
      <x:c r="R4017" s="11" t="n">
        <x:f>IF(D4017="Completed",I4017,0)</x:f>
        <x:v>5</x:v>
      </x:c>
      <x:c r="S4017" s="11" t="n">
        <x:f>IF(D4017="Completed",L4017,0)</x:f>
        <x:v>0</x:v>
      </x:c>
      <x:c r="T4017" s="8" t="n">
        <x:f>DATE(YEAR(C4017),MONTH(C4017),1)</x:f>
        <x:v>45748</x:v>
      </x:c>
    </x:row>
    <x:row r="4018" ht="22" customHeight="1">
      <x:c r="A4018" s="2" t="str">
        <x:v>L004014</x:v>
      </x:c>
      <x:c r="B4018" s="2" t="str">
        <x:v>O01633</x:v>
      </x:c>
      <x:c r="C4018" s="7" t="n">
        <x:v>45692</x:v>
      </x:c>
      <x:c r="D4018" s="2" t="str">
        <x:v>Completed</x:v>
      </x:c>
      <x:c r="E4018" s="2" t="str">
        <x:v>South</x:v>
      </x:c>
      <x:c r="F4018" s="2" t="str">
        <x:v>Store</x:v>
      </x:c>
      <x:c r="G4018" s="2" t="str">
        <x:v>Storage</x:v>
      </x:c>
      <x:c r="H4018" s="2" t="str">
        <x:v>Shelf 015</x:v>
      </x:c>
      <x:c r="I4018" s="11" t="n">
        <x:v>4</x:v>
      </x:c>
      <x:c r="J4018" s="9" t="n">
        <x:v>254</x:v>
      </x:c>
      <x:c r="K4018" s="10" t="n">
        <x:v>0.1</x:v>
      </x:c>
      <x:c r="L4018" s="11" t="n">
        <x:v>0</x:v>
      </x:c>
      <x:c r="M4018" s="9" t="n">
        <x:f>IF(D4018="Completed",I4018*J4018,0)</x:f>
        <x:v>1016</x:v>
      </x:c>
      <x:c r="N4018" s="9" t="n">
        <x:f>M4018*K4018</x:f>
        <x:v>101.60000000000001</x:v>
      </x:c>
      <x:c r="O4018" s="9" t="n">
        <x:f>M4018-N4018</x:f>
        <x:v>914.4</x:v>
      </x:c>
      <x:c r="P4018" s="9" t="n">
        <x:f>IF(D4018="Completed",L4018*J4018*(1-K4018),0)</x:f>
        <x:v>0</x:v>
      </x:c>
      <x:c r="Q4018" s="9" t="n">
        <x:f>O4018-P4018</x:f>
        <x:v>914.4</x:v>
      </x:c>
      <x:c r="R4018" s="11" t="n">
        <x:f>IF(D4018="Completed",I4018,0)</x:f>
        <x:v>4</x:v>
      </x:c>
      <x:c r="S4018" s="11" t="n">
        <x:f>IF(D4018="Completed",L4018,0)</x:f>
        <x:v>0</x:v>
      </x:c>
      <x:c r="T4018" s="8" t="n">
        <x:f>DATE(YEAR(C4018),MONTH(C4018),1)</x:f>
        <x:v>45689</x:v>
      </x:c>
    </x:row>
    <x:row r="4019" ht="22" customHeight="1">
      <x:c r="A4019" s="2" t="str">
        <x:v>L004015</x:v>
      </x:c>
      <x:c r="B4019" s="2" t="str">
        <x:v>O01633</x:v>
      </x:c>
      <x:c r="C4019" s="7" t="n">
        <x:v>45692</x:v>
      </x:c>
      <x:c r="D4019" s="2" t="str">
        <x:v>Completed</x:v>
      </x:c>
      <x:c r="E4019" s="2" t="str">
        <x:v>South</x:v>
      </x:c>
      <x:c r="F4019" s="2" t="str">
        <x:v>Store</x:v>
      </x:c>
      <x:c r="G4019" s="2" t="str">
        <x:v>Lighting</x:v>
      </x:c>
      <x:c r="H4019" s="2" t="str">
        <x:v>Lamp 017</x:v>
      </x:c>
      <x:c r="I4019" s="11" t="n">
        <x:v>1</x:v>
      </x:c>
      <x:c r="J4019" s="9" t="n">
        <x:v>300</x:v>
      </x:c>
      <x:c r="K4019" s="10" t="n">
        <x:v>0.1</x:v>
      </x:c>
      <x:c r="L4019" s="11" t="n">
        <x:v>1</x:v>
      </x:c>
      <x:c r="M4019" s="9" t="n">
        <x:f>IF(D4019="Completed",I4019*J4019,0)</x:f>
        <x:v>300</x:v>
      </x:c>
      <x:c r="N4019" s="9" t="n">
        <x:f>M4019*K4019</x:f>
        <x:v>30</x:v>
      </x:c>
      <x:c r="O4019" s="9" t="n">
        <x:f>M4019-N4019</x:f>
        <x:v>270</x:v>
      </x:c>
      <x:c r="P4019" s="9" t="n">
        <x:f>IF(D4019="Completed",L4019*J4019*(1-K4019),0)</x:f>
        <x:v>270</x:v>
      </x:c>
      <x:c r="Q4019" s="9" t="n">
        <x:f>O4019-P4019</x:f>
        <x:v>0</x:v>
      </x:c>
      <x:c r="R4019" s="11" t="n">
        <x:f>IF(D4019="Completed",I4019,0)</x:f>
        <x:v>1</x:v>
      </x:c>
      <x:c r="S4019" s="11" t="n">
        <x:f>IF(D4019="Completed",L4019,0)</x:f>
        <x:v>1</x:v>
      </x:c>
      <x:c r="T4019" s="8" t="n">
        <x:f>DATE(YEAR(C4019),MONTH(C4019),1)</x:f>
        <x:v>45689</x:v>
      </x:c>
    </x:row>
    <x:row r="4020" ht="22" customHeight="1">
      <x:c r="A4020" s="2" t="str">
        <x:v>L004016</x:v>
      </x:c>
      <x:c r="B4020" s="2" t="str">
        <x:v>O01633</x:v>
      </x:c>
      <x:c r="C4020" s="7" t="n">
        <x:v>45692</x:v>
      </x:c>
      <x:c r="D4020" s="2" t="str">
        <x:v>Completed</x:v>
      </x:c>
      <x:c r="E4020" s="2" t="str">
        <x:v>South</x:v>
      </x:c>
      <x:c r="F4020" s="2" t="str">
        <x:v>Store</x:v>
      </x:c>
      <x:c r="G4020" s="2" t="str">
        <x:v>Furniture</x:v>
      </x:c>
      <x:c r="H4020" s="2" t="str">
        <x:v>Chair 022</x:v>
      </x:c>
      <x:c r="I4020" s="11" t="n">
        <x:v>4</x:v>
      </x:c>
      <x:c r="J4020" s="9" t="n">
        <x:v>134</x:v>
      </x:c>
      <x:c r="K4020" s="10" t="n">
        <x:v>0.2</x:v>
      </x:c>
      <x:c r="L4020" s="11" t="n">
        <x:v>2</x:v>
      </x:c>
      <x:c r="M4020" s="9" t="n">
        <x:f>IF(D4020="Completed",I4020*J4020,0)</x:f>
        <x:v>536</x:v>
      </x:c>
      <x:c r="N4020" s="9" t="n">
        <x:f>M4020*K4020</x:f>
        <x:v>107.2</x:v>
      </x:c>
      <x:c r="O4020" s="9" t="n">
        <x:f>M4020-N4020</x:f>
        <x:v>428.8</x:v>
      </x:c>
      <x:c r="P4020" s="9" t="n">
        <x:f>IF(D4020="Completed",L4020*J4020*(1-K4020),0)</x:f>
        <x:v>214.4</x:v>
      </x:c>
      <x:c r="Q4020" s="9" t="n">
        <x:f>O4020-P4020</x:f>
        <x:v>214.4</x:v>
      </x:c>
      <x:c r="R4020" s="11" t="n">
        <x:f>IF(D4020="Completed",I4020,0)</x:f>
        <x:v>4</x:v>
      </x:c>
      <x:c r="S4020" s="11" t="n">
        <x:f>IF(D4020="Completed",L4020,0)</x:f>
        <x:v>2</x:v>
      </x:c>
      <x:c r="T4020" s="8" t="n">
        <x:f>DATE(YEAR(C4020),MONTH(C4020),1)</x:f>
        <x:v>45689</x:v>
      </x:c>
    </x:row>
    <x:row r="4021" ht="22" customHeight="1">
      <x:c r="A4021" s="2" t="str">
        <x:v>L004017</x:v>
      </x:c>
      <x:c r="B4021" s="2" t="str">
        <x:v>O01633</x:v>
      </x:c>
      <x:c r="C4021" s="7" t="n">
        <x:v>45692</x:v>
      </x:c>
      <x:c r="D4021" s="2" t="str">
        <x:v>Completed</x:v>
      </x:c>
      <x:c r="E4021" s="2" t="str">
        <x:v>South</x:v>
      </x:c>
      <x:c r="F4021" s="2" t="str">
        <x:v>Store</x:v>
      </x:c>
      <x:c r="G4021" s="2" t="str">
        <x:v>Furniture</x:v>
      </x:c>
      <x:c r="H4021" s="2" t="str">
        <x:v>Chair 014</x:v>
      </x:c>
      <x:c r="I4021" s="11" t="n">
        <x:v>5</x:v>
      </x:c>
      <x:c r="J4021" s="9" t="n">
        <x:v>294</x:v>
      </x:c>
      <x:c r="K4021" s="10" t="n">
        <x:v>0</x:v>
      </x:c>
      <x:c r="L4021" s="11" t="n">
        <x:v>3</x:v>
      </x:c>
      <x:c r="M4021" s="9" t="n">
        <x:f>IF(D4021="Completed",I4021*J4021,0)</x:f>
        <x:v>1470</x:v>
      </x:c>
      <x:c r="N4021" s="9" t="n">
        <x:f>M4021*K4021</x:f>
        <x:v>0</x:v>
      </x:c>
      <x:c r="O4021" s="9" t="n">
        <x:f>M4021-N4021</x:f>
        <x:v>1470</x:v>
      </x:c>
      <x:c r="P4021" s="9" t="n">
        <x:f>IF(D4021="Completed",L4021*J4021*(1-K4021),0)</x:f>
        <x:v>882</x:v>
      </x:c>
      <x:c r="Q4021" s="9" t="n">
        <x:f>O4021-P4021</x:f>
        <x:v>588</x:v>
      </x:c>
      <x:c r="R4021" s="11" t="n">
        <x:f>IF(D4021="Completed",I4021,0)</x:f>
        <x:v>5</x:v>
      </x:c>
      <x:c r="S4021" s="11" t="n">
        <x:f>IF(D4021="Completed",L4021,0)</x:f>
        <x:v>3</x:v>
      </x:c>
      <x:c r="T4021" s="8" t="n">
        <x:f>DATE(YEAR(C4021),MONTH(C4021),1)</x:f>
        <x:v>45689</x:v>
      </x:c>
    </x:row>
    <x:row r="4022" ht="22" customHeight="1">
      <x:c r="A4022" s="2" t="str">
        <x:v>L004018</x:v>
      </x:c>
      <x:c r="B4022" s="2" t="str">
        <x:v>O01634</x:v>
      </x:c>
      <x:c r="C4022" s="7" t="n">
        <x:v>45833</x:v>
      </x:c>
      <x:c r="D4022" s="2" t="str">
        <x:v>Completed</x:v>
      </x:c>
      <x:c r="E4022" s="2" t="str">
        <x:v>South</x:v>
      </x:c>
      <x:c r="F4022" s="2" t="str">
        <x:v>Store</x:v>
      </x:c>
      <x:c r="G4022" s="2" t="str">
        <x:v>Storage</x:v>
      </x:c>
      <x:c r="H4022" s="2" t="str">
        <x:v>Shelf 003</x:v>
      </x:c>
      <x:c r="I4022" s="11" t="n">
        <x:v>2</x:v>
      </x:c>
      <x:c r="J4022" s="9" t="n">
        <x:v>199</x:v>
      </x:c>
      <x:c r="K4022" s="10" t="n">
        <x:v>0.05</x:v>
      </x:c>
      <x:c r="L4022" s="11" t="n">
        <x:v>0</x:v>
      </x:c>
      <x:c r="M4022" s="9" t="n">
        <x:f>IF(D4022="Completed",I4022*J4022,0)</x:f>
        <x:v>398</x:v>
      </x:c>
      <x:c r="N4022" s="9" t="n">
        <x:f>M4022*K4022</x:f>
        <x:v>19.900000000000002</x:v>
      </x:c>
      <x:c r="O4022" s="9" t="n">
        <x:f>M4022-N4022</x:f>
        <x:v>378.1</x:v>
      </x:c>
      <x:c r="P4022" s="9" t="n">
        <x:f>IF(D4022="Completed",L4022*J4022*(1-K4022),0)</x:f>
        <x:v>0</x:v>
      </x:c>
      <x:c r="Q4022" s="9" t="n">
        <x:f>O4022-P4022</x:f>
        <x:v>378.1</x:v>
      </x:c>
      <x:c r="R4022" s="11" t="n">
        <x:f>IF(D4022="Completed",I4022,0)</x:f>
        <x:v>2</x:v>
      </x:c>
      <x:c r="S4022" s="11" t="n">
        <x:f>IF(D4022="Completed",L4022,0)</x:f>
        <x:v>0</x:v>
      </x:c>
      <x:c r="T4022" s="8" t="n">
        <x:f>DATE(YEAR(C4022),MONTH(C4022),1)</x:f>
        <x:v>45809</x:v>
      </x:c>
    </x:row>
    <x:row r="4023" ht="22" customHeight="1">
      <x:c r="A4023" s="2" t="str">
        <x:v>L004019</x:v>
      </x:c>
      <x:c r="B4023" s="2" t="str">
        <x:v>O01635</x:v>
      </x:c>
      <x:c r="C4023" s="7" t="n">
        <x:v>45755</x:v>
      </x:c>
      <x:c r="D4023" s="2" t="str">
        <x:v>Completed</x:v>
      </x:c>
      <x:c r="E4023" s="2" t="str">
        <x:v>North</x:v>
      </x:c>
      <x:c r="F4023" s="2" t="str">
        <x:v>Online</x:v>
      </x:c>
      <x:c r="G4023" s="2" t="str">
        <x:v>Furniture</x:v>
      </x:c>
      <x:c r="H4023" s="2" t="str">
        <x:v>Chair 022</x:v>
      </x:c>
      <x:c r="I4023" s="11" t="n">
        <x:v>5</x:v>
      </x:c>
      <x:c r="J4023" s="9" t="n">
        <x:v>134</x:v>
      </x:c>
      <x:c r="K4023" s="10" t="n">
        <x:v>0.2</x:v>
      </x:c>
      <x:c r="L4023" s="11" t="n">
        <x:v>0</x:v>
      </x:c>
      <x:c r="M4023" s="9" t="n">
        <x:f>IF(D4023="Completed",I4023*J4023,0)</x:f>
        <x:v>670</x:v>
      </x:c>
      <x:c r="N4023" s="9" t="n">
        <x:f>M4023*K4023</x:f>
        <x:v>134</x:v>
      </x:c>
      <x:c r="O4023" s="9" t="n">
        <x:f>M4023-N4023</x:f>
        <x:v>536</x:v>
      </x:c>
      <x:c r="P4023" s="9" t="n">
        <x:f>IF(D4023="Completed",L4023*J4023*(1-K4023),0)</x:f>
        <x:v>0</x:v>
      </x:c>
      <x:c r="Q4023" s="9" t="n">
        <x:f>O4023-P4023</x:f>
        <x:v>536</x:v>
      </x:c>
      <x:c r="R4023" s="11" t="n">
        <x:f>IF(D4023="Completed",I4023,0)</x:f>
        <x:v>5</x:v>
      </x:c>
      <x:c r="S4023" s="11" t="n">
        <x:f>IF(D4023="Completed",L4023,0)</x:f>
        <x:v>0</x:v>
      </x:c>
      <x:c r="T4023" s="8" t="n">
        <x:f>DATE(YEAR(C4023),MONTH(C4023),1)</x:f>
        <x:v>45748</x:v>
      </x:c>
    </x:row>
    <x:row r="4024" ht="22" customHeight="1">
      <x:c r="A4024" s="2" t="str">
        <x:v>L004020</x:v>
      </x:c>
      <x:c r="B4024" s="2" t="str">
        <x:v>O01635</x:v>
      </x:c>
      <x:c r="C4024" s="7" t="n">
        <x:v>45755</x:v>
      </x:c>
      <x:c r="D4024" s="2" t="str">
        <x:v>Completed</x:v>
      </x:c>
      <x:c r="E4024" s="2" t="str">
        <x:v>North</x:v>
      </x:c>
      <x:c r="F4024" s="2" t="str">
        <x:v>Online</x:v>
      </x:c>
      <x:c r="G4024" s="2" t="str">
        <x:v>Furniture</x:v>
      </x:c>
      <x:c r="H4024" s="2" t="str">
        <x:v>Desk 004</x:v>
      </x:c>
      <x:c r="I4024" s="11" t="n">
        <x:v>5</x:v>
      </x:c>
      <x:c r="J4024" s="9" t="n">
        <x:v>123</x:v>
      </x:c>
      <x:c r="K4024" s="10" t="n">
        <x:v>0.05</x:v>
      </x:c>
      <x:c r="L4024" s="11" t="n">
        <x:v>0</x:v>
      </x:c>
      <x:c r="M4024" s="9" t="n">
        <x:f>IF(D4024="Completed",I4024*J4024,0)</x:f>
        <x:v>615</x:v>
      </x:c>
      <x:c r="N4024" s="9" t="n">
        <x:f>M4024*K4024</x:f>
        <x:v>30.75</x:v>
      </x:c>
      <x:c r="O4024" s="9" t="n">
        <x:f>M4024-N4024</x:f>
        <x:v>584.25</x:v>
      </x:c>
      <x:c r="P4024" s="9" t="n">
        <x:f>IF(D4024="Completed",L4024*J4024*(1-K4024),0)</x:f>
        <x:v>0</x:v>
      </x:c>
      <x:c r="Q4024" s="9" t="n">
        <x:f>O4024-P4024</x:f>
        <x:v>584.25</x:v>
      </x:c>
      <x:c r="R4024" s="11" t="n">
        <x:f>IF(D4024="Completed",I4024,0)</x:f>
        <x:v>5</x:v>
      </x:c>
      <x:c r="S4024" s="11" t="n">
        <x:f>IF(D4024="Completed",L4024,0)</x:f>
        <x:v>0</x:v>
      </x:c>
      <x:c r="T4024" s="8" t="n">
        <x:f>DATE(YEAR(C4024),MONTH(C4024),1)</x:f>
        <x:v>45748</x:v>
      </x:c>
    </x:row>
    <x:row r="4025" ht="22" customHeight="1">
      <x:c r="A4025" s="2" t="str">
        <x:v>L004021</x:v>
      </x:c>
      <x:c r="B4025" s="2" t="str">
        <x:v>O01635</x:v>
      </x:c>
      <x:c r="C4025" s="7" t="n">
        <x:v>45755</x:v>
      </x:c>
      <x:c r="D4025" s="2" t="str">
        <x:v>Completed</x:v>
      </x:c>
      <x:c r="E4025" s="2" t="str">
        <x:v>North</x:v>
      </x:c>
      <x:c r="F4025" s="2" t="str">
        <x:v>Online</x:v>
      </x:c>
      <x:c r="G4025" s="2" t="str">
        <x:v>Furniture</x:v>
      </x:c>
      <x:c r="H4025" s="2" t="str">
        <x:v>Desk 020</x:v>
      </x:c>
      <x:c r="I4025" s="11" t="n">
        <x:v>2</x:v>
      </x:c>
      <x:c r="J4025" s="9" t="n">
        <x:v>189</x:v>
      </x:c>
      <x:c r="K4025" s="10" t="n">
        <x:v>0.2</x:v>
      </x:c>
      <x:c r="L4025" s="11" t="n">
        <x:v>0</x:v>
      </x:c>
      <x:c r="M4025" s="9" t="n">
        <x:f>IF(D4025="Completed",I4025*J4025,0)</x:f>
        <x:v>378</x:v>
      </x:c>
      <x:c r="N4025" s="9" t="n">
        <x:f>M4025*K4025</x:f>
        <x:v>75.60000000000001</x:v>
      </x:c>
      <x:c r="O4025" s="9" t="n">
        <x:f>M4025-N4025</x:f>
        <x:v>302.4</x:v>
      </x:c>
      <x:c r="P4025" s="9" t="n">
        <x:f>IF(D4025="Completed",L4025*J4025*(1-K4025),0)</x:f>
        <x:v>0</x:v>
      </x:c>
      <x:c r="Q4025" s="9" t="n">
        <x:f>O4025-P4025</x:f>
        <x:v>302.4</x:v>
      </x:c>
      <x:c r="R4025" s="11" t="n">
        <x:f>IF(D4025="Completed",I4025,0)</x:f>
        <x:v>2</x:v>
      </x:c>
      <x:c r="S4025" s="11" t="n">
        <x:f>IF(D4025="Completed",L4025,0)</x:f>
        <x:v>0</x:v>
      </x:c>
      <x:c r="T4025" s="8" t="n">
        <x:f>DATE(YEAR(C4025),MONTH(C4025),1)</x:f>
        <x:v>45748</x:v>
      </x:c>
    </x:row>
    <x:row r="4026" ht="22" customHeight="1">
      <x:c r="A4026" s="2" t="str">
        <x:v>L004022</x:v>
      </x:c>
      <x:c r="B4026" s="2" t="str">
        <x:v>O01635</x:v>
      </x:c>
      <x:c r="C4026" s="7" t="n">
        <x:v>45755</x:v>
      </x:c>
      <x:c r="D4026" s="2" t="str">
        <x:v>Completed</x:v>
      </x:c>
      <x:c r="E4026" s="2" t="str">
        <x:v>North</x:v>
      </x:c>
      <x:c r="F4026" s="2" t="str">
        <x:v>Online</x:v>
      </x:c>
      <x:c r="G4026" s="2" t="str">
        <x:v>Storage</x:v>
      </x:c>
      <x:c r="H4026" s="2" t="str">
        <x:v>Shelf 023</x:v>
      </x:c>
      <x:c r="I4026" s="11" t="n">
        <x:v>2</x:v>
      </x:c>
      <x:c r="J4026" s="9" t="n">
        <x:v>68</x:v>
      </x:c>
      <x:c r="K4026" s="10" t="n">
        <x:v>0</x:v>
      </x:c>
      <x:c r="L4026" s="11" t="n">
        <x:v>0</x:v>
      </x:c>
      <x:c r="M4026" s="9" t="n">
        <x:f>IF(D4026="Completed",I4026*J4026,0)</x:f>
        <x:v>136</x:v>
      </x:c>
      <x:c r="N4026" s="9" t="n">
        <x:f>M4026*K4026</x:f>
        <x:v>0</x:v>
      </x:c>
      <x:c r="O4026" s="9" t="n">
        <x:f>M4026-N4026</x:f>
        <x:v>136</x:v>
      </x:c>
      <x:c r="P4026" s="9" t="n">
        <x:f>IF(D4026="Completed",L4026*J4026*(1-K4026),0)</x:f>
        <x:v>0</x:v>
      </x:c>
      <x:c r="Q4026" s="9" t="n">
        <x:f>O4026-P4026</x:f>
        <x:v>136</x:v>
      </x:c>
      <x:c r="R4026" s="11" t="n">
        <x:f>IF(D4026="Completed",I4026,0)</x:f>
        <x:v>2</x:v>
      </x:c>
      <x:c r="S4026" s="11" t="n">
        <x:f>IF(D4026="Completed",L4026,0)</x:f>
        <x:v>0</x:v>
      </x:c>
      <x:c r="T4026" s="8" t="n">
        <x:f>DATE(YEAR(C4026),MONTH(C4026),1)</x:f>
        <x:v>45748</x:v>
      </x:c>
    </x:row>
    <x:row r="4027" ht="22" customHeight="1">
      <x:c r="A4027" s="2" t="str">
        <x:v>L004023</x:v>
      </x:c>
      <x:c r="B4027" s="2" t="str">
        <x:v>O01636</x:v>
      </x:c>
      <x:c r="C4027" s="7" t="n">
        <x:v>45780</x:v>
      </x:c>
      <x:c r="D4027" s="2" t="str">
        <x:v>Completed</x:v>
      </x:c>
      <x:c r="E4027" s="2" t="str">
        <x:v>West</x:v>
      </x:c>
      <x:c r="F4027" s="2" t="str">
        <x:v>Online</x:v>
      </x:c>
      <x:c r="G4027" s="2" t="str">
        <x:v>Furniture</x:v>
      </x:c>
      <x:c r="H4027" s="2" t="str">
        <x:v>Desk 016</x:v>
      </x:c>
      <x:c r="I4027" s="11" t="n">
        <x:v>3</x:v>
      </x:c>
      <x:c r="J4027" s="9" t="n">
        <x:v>231</x:v>
      </x:c>
      <x:c r="K4027" s="10" t="n">
        <x:v>0.1</x:v>
      </x:c>
      <x:c r="L4027" s="11" t="n">
        <x:v>0</x:v>
      </x:c>
      <x:c r="M4027" s="9" t="n">
        <x:f>IF(D4027="Completed",I4027*J4027,0)</x:f>
        <x:v>693</x:v>
      </x:c>
      <x:c r="N4027" s="9" t="n">
        <x:f>M4027*K4027</x:f>
        <x:v>69.3</x:v>
      </x:c>
      <x:c r="O4027" s="9" t="n">
        <x:f>M4027-N4027</x:f>
        <x:v>623.7</x:v>
      </x:c>
      <x:c r="P4027" s="9" t="n">
        <x:f>IF(D4027="Completed",L4027*J4027*(1-K4027),0)</x:f>
        <x:v>0</x:v>
      </x:c>
      <x:c r="Q4027" s="9" t="n">
        <x:f>O4027-P4027</x:f>
        <x:v>623.7</x:v>
      </x:c>
      <x:c r="R4027" s="11" t="n">
        <x:f>IF(D4027="Completed",I4027,0)</x:f>
        <x:v>3</x:v>
      </x:c>
      <x:c r="S4027" s="11" t="n">
        <x:f>IF(D4027="Completed",L4027,0)</x:f>
        <x:v>0</x:v>
      </x:c>
      <x:c r="T4027" s="8" t="n">
        <x:f>DATE(YEAR(C4027),MONTH(C4027),1)</x:f>
        <x:v>45778</x:v>
      </x:c>
    </x:row>
    <x:row r="4028" ht="22" customHeight="1">
      <x:c r="A4028" s="2" t="str">
        <x:v>L004024</x:v>
      </x:c>
      <x:c r="B4028" s="2" t="str">
        <x:v>O01637</x:v>
      </x:c>
      <x:c r="C4028" s="7" t="n">
        <x:v>45983</x:v>
      </x:c>
      <x:c r="D4028" s="2" t="str">
        <x:v>Completed</x:v>
      </x:c>
      <x:c r="E4028" s="2" t="str">
        <x:v>West</x:v>
      </x:c>
      <x:c r="F4028" s="2" t="str">
        <x:v>Store</x:v>
      </x:c>
      <x:c r="G4028" s="2" t="str">
        <x:v>Lighting</x:v>
      </x:c>
      <x:c r="H4028" s="2" t="str">
        <x:v>Lamp 013</x:v>
      </x:c>
      <x:c r="I4028" s="11" t="n">
        <x:v>4</x:v>
      </x:c>
      <x:c r="J4028" s="9" t="n">
        <x:v>271</x:v>
      </x:c>
      <x:c r="K4028" s="10" t="n">
        <x:v>0.2</x:v>
      </x:c>
      <x:c r="L4028" s="11" t="n">
        <x:v>0</x:v>
      </x:c>
      <x:c r="M4028" s="9" t="n">
        <x:f>IF(D4028="Completed",I4028*J4028,0)</x:f>
        <x:v>1084</x:v>
      </x:c>
      <x:c r="N4028" s="9" t="n">
        <x:f>M4028*K4028</x:f>
        <x:v>216.8</x:v>
      </x:c>
      <x:c r="O4028" s="9" t="n">
        <x:f>M4028-N4028</x:f>
        <x:v>867.2</x:v>
      </x:c>
      <x:c r="P4028" s="9" t="n">
        <x:f>IF(D4028="Completed",L4028*J4028*(1-K4028),0)</x:f>
        <x:v>0</x:v>
      </x:c>
      <x:c r="Q4028" s="9" t="n">
        <x:f>O4028-P4028</x:f>
        <x:v>867.2</x:v>
      </x:c>
      <x:c r="R4028" s="11" t="n">
        <x:f>IF(D4028="Completed",I4028,0)</x:f>
        <x:v>4</x:v>
      </x:c>
      <x:c r="S4028" s="11" t="n">
        <x:f>IF(D4028="Completed",L4028,0)</x:f>
        <x:v>0</x:v>
      </x:c>
      <x:c r="T4028" s="8" t="n">
        <x:f>DATE(YEAR(C4028),MONTH(C4028),1)</x:f>
        <x:v>45962</x:v>
      </x:c>
    </x:row>
    <x:row r="4029" ht="22" customHeight="1">
      <x:c r="A4029" s="2" t="str">
        <x:v>L004025</x:v>
      </x:c>
      <x:c r="B4029" s="2" t="str">
        <x:v>O01637</x:v>
      </x:c>
      <x:c r="C4029" s="7" t="n">
        <x:v>45983</x:v>
      </x:c>
      <x:c r="D4029" s="2" t="str">
        <x:v>Completed</x:v>
      </x:c>
      <x:c r="E4029" s="2" t="str">
        <x:v>West</x:v>
      </x:c>
      <x:c r="F4029" s="2" t="str">
        <x:v>Store</x:v>
      </x:c>
      <x:c r="G4029" s="2" t="str">
        <x:v>Furniture</x:v>
      </x:c>
      <x:c r="H4029" s="2" t="str">
        <x:v>Chair 018</x:v>
      </x:c>
      <x:c r="I4029" s="11" t="n">
        <x:v>4</x:v>
      </x:c>
      <x:c r="J4029" s="9" t="n">
        <x:v>269</x:v>
      </x:c>
      <x:c r="K4029" s="10" t="n">
        <x:v>0</x:v>
      </x:c>
      <x:c r="L4029" s="11" t="n">
        <x:v>0</x:v>
      </x:c>
      <x:c r="M4029" s="9" t="n">
        <x:f>IF(D4029="Completed",I4029*J4029,0)</x:f>
        <x:v>1076</x:v>
      </x:c>
      <x:c r="N4029" s="9" t="n">
        <x:f>M4029*K4029</x:f>
        <x:v>0</x:v>
      </x:c>
      <x:c r="O4029" s="9" t="n">
        <x:f>M4029-N4029</x:f>
        <x:v>1076</x:v>
      </x:c>
      <x:c r="P4029" s="9" t="n">
        <x:f>IF(D4029="Completed",L4029*J4029*(1-K4029),0)</x:f>
        <x:v>0</x:v>
      </x:c>
      <x:c r="Q4029" s="9" t="n">
        <x:f>O4029-P4029</x:f>
        <x:v>1076</x:v>
      </x:c>
      <x:c r="R4029" s="11" t="n">
        <x:f>IF(D4029="Completed",I4029,0)</x:f>
        <x:v>4</x:v>
      </x:c>
      <x:c r="S4029" s="11" t="n">
        <x:f>IF(D4029="Completed",L4029,0)</x:f>
        <x:v>0</x:v>
      </x:c>
      <x:c r="T4029" s="8" t="n">
        <x:f>DATE(YEAR(C4029),MONTH(C4029),1)</x:f>
        <x:v>45962</x:v>
      </x:c>
    </x:row>
    <x:row r="4030" ht="22" customHeight="1">
      <x:c r="A4030" s="2" t="str">
        <x:v>L004026</x:v>
      </x:c>
      <x:c r="B4030" s="2" t="str">
        <x:v>O01638</x:v>
      </x:c>
      <x:c r="C4030" s="7" t="n">
        <x:v>45922</x:v>
      </x:c>
      <x:c r="D4030" s="2" t="str">
        <x:v>Completed</x:v>
      </x:c>
      <x:c r="E4030" s="2" t="str">
        <x:v>West</x:v>
      </x:c>
      <x:c r="F4030" s="2" t="str">
        <x:v>Store</x:v>
      </x:c>
      <x:c r="G4030" s="2" t="str">
        <x:v>Lighting</x:v>
      </x:c>
      <x:c r="H4030" s="2" t="str">
        <x:v>Lamp 021</x:v>
      </x:c>
      <x:c r="I4030" s="11" t="n">
        <x:v>3</x:v>
      </x:c>
      <x:c r="J4030" s="9" t="n">
        <x:v>249</x:v>
      </x:c>
      <x:c r="K4030" s="10" t="n">
        <x:v>0</x:v>
      </x:c>
      <x:c r="L4030" s="11" t="n">
        <x:v>0</x:v>
      </x:c>
      <x:c r="M4030" s="9" t="n">
        <x:f>IF(D4030="Completed",I4030*J4030,0)</x:f>
        <x:v>747</x:v>
      </x:c>
      <x:c r="N4030" s="9" t="n">
        <x:f>M4030*K4030</x:f>
        <x:v>0</x:v>
      </x:c>
      <x:c r="O4030" s="9" t="n">
        <x:f>M4030-N4030</x:f>
        <x:v>747</x:v>
      </x:c>
      <x:c r="P4030" s="9" t="n">
        <x:f>IF(D4030="Completed",L4030*J4030*(1-K4030),0)</x:f>
        <x:v>0</x:v>
      </x:c>
      <x:c r="Q4030" s="9" t="n">
        <x:f>O4030-P4030</x:f>
        <x:v>747</x:v>
      </x:c>
      <x:c r="R4030" s="11" t="n">
        <x:f>IF(D4030="Completed",I4030,0)</x:f>
        <x:v>3</x:v>
      </x:c>
      <x:c r="S4030" s="11" t="n">
        <x:f>IF(D4030="Completed",L4030,0)</x:f>
        <x:v>0</x:v>
      </x:c>
      <x:c r="T4030" s="8" t="n">
        <x:f>DATE(YEAR(C4030),MONTH(C4030),1)</x:f>
        <x:v>45901</x:v>
      </x:c>
    </x:row>
    <x:row r="4031" ht="22" customHeight="1">
      <x:c r="A4031" s="2" t="str">
        <x:v>L004027</x:v>
      </x:c>
      <x:c r="B4031" s="2" t="str">
        <x:v>O01638</x:v>
      </x:c>
      <x:c r="C4031" s="7" t="n">
        <x:v>45922</x:v>
      </x:c>
      <x:c r="D4031" s="2" t="str">
        <x:v>Completed</x:v>
      </x:c>
      <x:c r="E4031" s="2" t="str">
        <x:v>West</x:v>
      </x:c>
      <x:c r="F4031" s="2" t="str">
        <x:v>Store</x:v>
      </x:c>
      <x:c r="G4031" s="2" t="str">
        <x:v>Lighting</x:v>
      </x:c>
      <x:c r="H4031" s="2" t="str">
        <x:v>Lamp 005</x:v>
      </x:c>
      <x:c r="I4031" s="11" t="n">
        <x:v>4</x:v>
      </x:c>
      <x:c r="J4031" s="9" t="n">
        <x:v>65</x:v>
      </x:c>
      <x:c r="K4031" s="10" t="n">
        <x:v>0</x:v>
      </x:c>
      <x:c r="L4031" s="11" t="n">
        <x:v>0</x:v>
      </x:c>
      <x:c r="M4031" s="9" t="n">
        <x:f>IF(D4031="Completed",I4031*J4031,0)</x:f>
        <x:v>260</x:v>
      </x:c>
      <x:c r="N4031" s="9" t="n">
        <x:f>M4031*K4031</x:f>
        <x:v>0</x:v>
      </x:c>
      <x:c r="O4031" s="9" t="n">
        <x:f>M4031-N4031</x:f>
        <x:v>260</x:v>
      </x:c>
      <x:c r="P4031" s="9" t="n">
        <x:f>IF(D4031="Completed",L4031*J4031*(1-K4031),0)</x:f>
        <x:v>0</x:v>
      </x:c>
      <x:c r="Q4031" s="9" t="n">
        <x:f>O4031-P4031</x:f>
        <x:v>260</x:v>
      </x:c>
      <x:c r="R4031" s="11" t="n">
        <x:f>IF(D4031="Completed",I4031,0)</x:f>
        <x:v>4</x:v>
      </x:c>
      <x:c r="S4031" s="11" t="n">
        <x:f>IF(D4031="Completed",L4031,0)</x:f>
        <x:v>0</x:v>
      </x:c>
      <x:c r="T4031" s="8" t="n">
        <x:f>DATE(YEAR(C4031),MONTH(C4031),1)</x:f>
        <x:v>45901</x:v>
      </x:c>
    </x:row>
    <x:row r="4032" ht="22" customHeight="1">
      <x:c r="A4032" s="2" t="str">
        <x:v>L004028</x:v>
      </x:c>
      <x:c r="B4032" s="2" t="str">
        <x:v>O01638</x:v>
      </x:c>
      <x:c r="C4032" s="7" t="n">
        <x:v>45922</x:v>
      </x:c>
      <x:c r="D4032" s="2" t="str">
        <x:v>Completed</x:v>
      </x:c>
      <x:c r="E4032" s="2" t="str">
        <x:v>West</x:v>
      </x:c>
      <x:c r="F4032" s="2" t="str">
        <x:v>Store</x:v>
      </x:c>
      <x:c r="G4032" s="2" t="str">
        <x:v>Storage</x:v>
      </x:c>
      <x:c r="H4032" s="2" t="str">
        <x:v>Shelf 011</x:v>
      </x:c>
      <x:c r="I4032" s="11" t="n">
        <x:v>1</x:v>
      </x:c>
      <x:c r="J4032" s="9" t="n">
        <x:v>80</x:v>
      </x:c>
      <x:c r="K4032" s="10" t="n">
        <x:v>0.2</x:v>
      </x:c>
      <x:c r="L4032" s="11" t="n">
        <x:v>0</x:v>
      </x:c>
      <x:c r="M4032" s="9" t="n">
        <x:f>IF(D4032="Completed",I4032*J4032,0)</x:f>
        <x:v>80</x:v>
      </x:c>
      <x:c r="N4032" s="9" t="n">
        <x:f>M4032*K4032</x:f>
        <x:v>16</x:v>
      </x:c>
      <x:c r="O4032" s="9" t="n">
        <x:f>M4032-N4032</x:f>
        <x:v>64</x:v>
      </x:c>
      <x:c r="P4032" s="9" t="n">
        <x:f>IF(D4032="Completed",L4032*J4032*(1-K4032),0)</x:f>
        <x:v>0</x:v>
      </x:c>
      <x:c r="Q4032" s="9" t="n">
        <x:f>O4032-P4032</x:f>
        <x:v>64</x:v>
      </x:c>
      <x:c r="R4032" s="11" t="n">
        <x:f>IF(D4032="Completed",I4032,0)</x:f>
        <x:v>1</x:v>
      </x:c>
      <x:c r="S4032" s="11" t="n">
        <x:f>IF(D4032="Completed",L4032,0)</x:f>
        <x:v>0</x:v>
      </x:c>
      <x:c r="T4032" s="8" t="n">
        <x:f>DATE(YEAR(C4032),MONTH(C4032),1)</x:f>
        <x:v>45901</x:v>
      </x:c>
    </x:row>
    <x:row r="4033" ht="22" customHeight="1">
      <x:c r="A4033" s="2" t="str">
        <x:v>L004029</x:v>
      </x:c>
      <x:c r="B4033" s="2" t="str">
        <x:v>O01639</x:v>
      </x:c>
      <x:c r="C4033" s="7" t="n">
        <x:v>45930</x:v>
      </x:c>
      <x:c r="D4033" s="2" t="str">
        <x:v>Completed</x:v>
      </x:c>
      <x:c r="E4033" s="2" t="str">
        <x:v>East</x:v>
      </x:c>
      <x:c r="F4033" s="2" t="str">
        <x:v>Store</x:v>
      </x:c>
      <x:c r="G4033" s="2" t="str">
        <x:v>Furniture</x:v>
      </x:c>
      <x:c r="H4033" s="2" t="str">
        <x:v>Chair 018</x:v>
      </x:c>
      <x:c r="I4033" s="11" t="n">
        <x:v>2</x:v>
      </x:c>
      <x:c r="J4033" s="9" t="n">
        <x:v>269</x:v>
      </x:c>
      <x:c r="K4033" s="10" t="n">
        <x:v>0.1</x:v>
      </x:c>
      <x:c r="L4033" s="11" t="n">
        <x:v>0</x:v>
      </x:c>
      <x:c r="M4033" s="9" t="n">
        <x:f>IF(D4033="Completed",I4033*J4033,0)</x:f>
        <x:v>538</x:v>
      </x:c>
      <x:c r="N4033" s="9" t="n">
        <x:f>M4033*K4033</x:f>
        <x:v>53.800000000000004</x:v>
      </x:c>
      <x:c r="O4033" s="9" t="n">
        <x:f>M4033-N4033</x:f>
        <x:v>484.2</x:v>
      </x:c>
      <x:c r="P4033" s="9" t="n">
        <x:f>IF(D4033="Completed",L4033*J4033*(1-K4033),0)</x:f>
        <x:v>0</x:v>
      </x:c>
      <x:c r="Q4033" s="9" t="n">
        <x:f>O4033-P4033</x:f>
        <x:v>484.2</x:v>
      </x:c>
      <x:c r="R4033" s="11" t="n">
        <x:f>IF(D4033="Completed",I4033,0)</x:f>
        <x:v>2</x:v>
      </x:c>
      <x:c r="S4033" s="11" t="n">
        <x:f>IF(D4033="Completed",L4033,0)</x:f>
        <x:v>0</x:v>
      </x:c>
      <x:c r="T4033" s="8" t="n">
        <x:f>DATE(YEAR(C4033),MONTH(C4033),1)</x:f>
        <x:v>45901</x:v>
      </x:c>
    </x:row>
    <x:row r="4034" ht="22" customHeight="1">
      <x:c r="A4034" s="2" t="str">
        <x:v>L004030</x:v>
      </x:c>
      <x:c r="B4034" s="2" t="str">
        <x:v>O01640</x:v>
      </x:c>
      <x:c r="C4034" s="7" t="n">
        <x:v>45779</x:v>
      </x:c>
      <x:c r="D4034" s="2" t="str">
        <x:v>Completed</x:v>
      </x:c>
      <x:c r="E4034" s="2" t="str">
        <x:v>West</x:v>
      </x:c>
      <x:c r="F4034" s="2" t="str">
        <x:v>Store</x:v>
      </x:c>
      <x:c r="G4034" s="2" t="str">
        <x:v>Storage</x:v>
      </x:c>
      <x:c r="H4034" s="2" t="str">
        <x:v>Shelf 019</x:v>
      </x:c>
      <x:c r="I4034" s="11" t="n">
        <x:v>3</x:v>
      </x:c>
      <x:c r="J4034" s="9" t="n">
        <x:v>78</x:v>
      </x:c>
      <x:c r="K4034" s="10" t="n">
        <x:v>0.2</x:v>
      </x:c>
      <x:c r="L4034" s="11" t="n">
        <x:v>1</x:v>
      </x:c>
      <x:c r="M4034" s="9" t="n">
        <x:f>IF(D4034="Completed",I4034*J4034,0)</x:f>
        <x:v>234</x:v>
      </x:c>
      <x:c r="N4034" s="9" t="n">
        <x:f>M4034*K4034</x:f>
        <x:v>46.800000000000004</x:v>
      </x:c>
      <x:c r="O4034" s="9" t="n">
        <x:f>M4034-N4034</x:f>
        <x:v>187.2</x:v>
      </x:c>
      <x:c r="P4034" s="9" t="n">
        <x:f>IF(D4034="Completed",L4034*J4034*(1-K4034),0)</x:f>
        <x:v>62.400000000000006</x:v>
      </x:c>
      <x:c r="Q4034" s="9" t="n">
        <x:f>O4034-P4034</x:f>
        <x:v>124.79999999999998</x:v>
      </x:c>
      <x:c r="R4034" s="11" t="n">
        <x:f>IF(D4034="Completed",I4034,0)</x:f>
        <x:v>3</x:v>
      </x:c>
      <x:c r="S4034" s="11" t="n">
        <x:f>IF(D4034="Completed",L4034,0)</x:f>
        <x:v>1</x:v>
      </x:c>
      <x:c r="T4034" s="8" t="n">
        <x:f>DATE(YEAR(C4034),MONTH(C4034),1)</x:f>
        <x:v>45778</x:v>
      </x:c>
    </x:row>
    <x:row r="4035" ht="22" customHeight="1">
      <x:c r="A4035" s="2" t="str">
        <x:v>L004031</x:v>
      </x:c>
      <x:c r="B4035" s="2" t="str">
        <x:v>O01640</x:v>
      </x:c>
      <x:c r="C4035" s="7" t="n">
        <x:v>45779</x:v>
      </x:c>
      <x:c r="D4035" s="2" t="str">
        <x:v>Completed</x:v>
      </x:c>
      <x:c r="E4035" s="2" t="str">
        <x:v>West</x:v>
      </x:c>
      <x:c r="F4035" s="2" t="str">
        <x:v>Store</x:v>
      </x:c>
      <x:c r="G4035" s="2" t="str">
        <x:v>Lighting</x:v>
      </x:c>
      <x:c r="H4035" s="2" t="str">
        <x:v>Lamp 013</x:v>
      </x:c>
      <x:c r="I4035" s="11" t="n">
        <x:v>5</x:v>
      </x:c>
      <x:c r="J4035" s="9" t="n">
        <x:v>271</x:v>
      </x:c>
      <x:c r="K4035" s="10" t="n">
        <x:v>0.2</x:v>
      </x:c>
      <x:c r="L4035" s="11" t="n">
        <x:v>0</x:v>
      </x:c>
      <x:c r="M4035" s="9" t="n">
        <x:f>IF(D4035="Completed",I4035*J4035,0)</x:f>
        <x:v>1355</x:v>
      </x:c>
      <x:c r="N4035" s="9" t="n">
        <x:f>M4035*K4035</x:f>
        <x:v>271</x:v>
      </x:c>
      <x:c r="O4035" s="9" t="n">
        <x:f>M4035-N4035</x:f>
        <x:v>1084</x:v>
      </x:c>
      <x:c r="P4035" s="9" t="n">
        <x:f>IF(D4035="Completed",L4035*J4035*(1-K4035),0)</x:f>
        <x:v>0</x:v>
      </x:c>
      <x:c r="Q4035" s="9" t="n">
        <x:f>O4035-P4035</x:f>
        <x:v>1084</x:v>
      </x:c>
      <x:c r="R4035" s="11" t="n">
        <x:f>IF(D4035="Completed",I4035,0)</x:f>
        <x:v>5</x:v>
      </x:c>
      <x:c r="S4035" s="11" t="n">
        <x:f>IF(D4035="Completed",L4035,0)</x:f>
        <x:v>0</x:v>
      </x:c>
      <x:c r="T4035" s="8" t="n">
        <x:f>DATE(YEAR(C4035),MONTH(C4035),1)</x:f>
        <x:v>45778</x:v>
      </x:c>
    </x:row>
    <x:row r="4036" ht="22" customHeight="1">
      <x:c r="A4036" s="2" t="str">
        <x:v>L004032</x:v>
      </x:c>
      <x:c r="B4036" s="2" t="str">
        <x:v>O01640</x:v>
      </x:c>
      <x:c r="C4036" s="7" t="n">
        <x:v>45779</x:v>
      </x:c>
      <x:c r="D4036" s="2" t="str">
        <x:v>Completed</x:v>
      </x:c>
      <x:c r="E4036" s="2" t="str">
        <x:v>West</x:v>
      </x:c>
      <x:c r="F4036" s="2" t="str">
        <x:v>Store</x:v>
      </x:c>
      <x:c r="G4036" s="2" t="str">
        <x:v>Furniture</x:v>
      </x:c>
      <x:c r="H4036" s="2" t="str">
        <x:v>Chair 018</x:v>
      </x:c>
      <x:c r="I4036" s="11" t="n">
        <x:v>2</x:v>
      </x:c>
      <x:c r="J4036" s="9" t="n">
        <x:v>269</x:v>
      </x:c>
      <x:c r="K4036" s="10" t="n">
        <x:v>0.05</x:v>
      </x:c>
      <x:c r="L4036" s="11" t="n">
        <x:v>0</x:v>
      </x:c>
      <x:c r="M4036" s="9" t="n">
        <x:f>IF(D4036="Completed",I4036*J4036,0)</x:f>
        <x:v>538</x:v>
      </x:c>
      <x:c r="N4036" s="9" t="n">
        <x:f>M4036*K4036</x:f>
        <x:v>26.900000000000002</x:v>
      </x:c>
      <x:c r="O4036" s="9" t="n">
        <x:f>M4036-N4036</x:f>
        <x:v>511.1</x:v>
      </x:c>
      <x:c r="P4036" s="9" t="n">
        <x:f>IF(D4036="Completed",L4036*J4036*(1-K4036),0)</x:f>
        <x:v>0</x:v>
      </x:c>
      <x:c r="Q4036" s="9" t="n">
        <x:f>O4036-P4036</x:f>
        <x:v>511.1</x:v>
      </x:c>
      <x:c r="R4036" s="11" t="n">
        <x:f>IF(D4036="Completed",I4036,0)</x:f>
        <x:v>2</x:v>
      </x:c>
      <x:c r="S4036" s="11" t="n">
        <x:f>IF(D4036="Completed",L4036,0)</x:f>
        <x:v>0</x:v>
      </x:c>
      <x:c r="T4036" s="8" t="n">
        <x:f>DATE(YEAR(C4036),MONTH(C4036),1)</x:f>
        <x:v>45778</x:v>
      </x:c>
    </x:row>
    <x:row r="4037" ht="22" customHeight="1">
      <x:c r="A4037" s="2" t="str">
        <x:v>L004033</x:v>
      </x:c>
      <x:c r="B4037" s="2" t="str">
        <x:v>O01640</x:v>
      </x:c>
      <x:c r="C4037" s="7" t="n">
        <x:v>45779</x:v>
      </x:c>
      <x:c r="D4037" s="2" t="str">
        <x:v>Completed</x:v>
      </x:c>
      <x:c r="E4037" s="2" t="str">
        <x:v>West</x:v>
      </x:c>
      <x:c r="F4037" s="2" t="str">
        <x:v>Store</x:v>
      </x:c>
      <x:c r="G4037" s="2" t="str">
        <x:v>Lighting</x:v>
      </x:c>
      <x:c r="H4037" s="2" t="str">
        <x:v>Lamp 009</x:v>
      </x:c>
      <x:c r="I4037" s="11" t="n">
        <x:v>5</x:v>
      </x:c>
      <x:c r="J4037" s="9" t="n">
        <x:v>93</x:v>
      </x:c>
      <x:c r="K4037" s="10" t="n">
        <x:v>0.05</x:v>
      </x:c>
      <x:c r="L4037" s="11" t="n">
        <x:v>0</x:v>
      </x:c>
      <x:c r="M4037" s="9" t="n">
        <x:f>IF(D4037="Completed",I4037*J4037,0)</x:f>
        <x:v>465</x:v>
      </x:c>
      <x:c r="N4037" s="9" t="n">
        <x:f>M4037*K4037</x:f>
        <x:v>23.25</x:v>
      </x:c>
      <x:c r="O4037" s="9" t="n">
        <x:f>M4037-N4037</x:f>
        <x:v>441.75</x:v>
      </x:c>
      <x:c r="P4037" s="9" t="n">
        <x:f>IF(D4037="Completed",L4037*J4037*(1-K4037),0)</x:f>
        <x:v>0</x:v>
      </x:c>
      <x:c r="Q4037" s="9" t="n">
        <x:f>O4037-P4037</x:f>
        <x:v>441.75</x:v>
      </x:c>
      <x:c r="R4037" s="11" t="n">
        <x:f>IF(D4037="Completed",I4037,0)</x:f>
        <x:v>5</x:v>
      </x:c>
      <x:c r="S4037" s="11" t="n">
        <x:f>IF(D4037="Completed",L4037,0)</x:f>
        <x:v>0</x:v>
      </x:c>
      <x:c r="T4037" s="8" t="n">
        <x:f>DATE(YEAR(C4037),MONTH(C4037),1)</x:f>
        <x:v>45778</x:v>
      </x:c>
    </x:row>
    <x:row r="4038" ht="22" customHeight="1">
      <x:c r="A4038" s="2" t="str">
        <x:v>L004034</x:v>
      </x:c>
      <x:c r="B4038" s="2" t="str">
        <x:v>O01641</x:v>
      </x:c>
      <x:c r="C4038" s="7" t="n">
        <x:v>45898</x:v>
      </x:c>
      <x:c r="D4038" s="2" t="str">
        <x:v>Completed</x:v>
      </x:c>
      <x:c r="E4038" s="2" t="str">
        <x:v>East</x:v>
      </x:c>
      <x:c r="F4038" s="2" t="str">
        <x:v>Online</x:v>
      </x:c>
      <x:c r="G4038" s="2" t="str">
        <x:v>Furniture</x:v>
      </x:c>
      <x:c r="H4038" s="2" t="str">
        <x:v>Desk 016</x:v>
      </x:c>
      <x:c r="I4038" s="11" t="n">
        <x:v>2</x:v>
      </x:c>
      <x:c r="J4038" s="9" t="n">
        <x:v>231</x:v>
      </x:c>
      <x:c r="K4038" s="10" t="n">
        <x:v>0.2</x:v>
      </x:c>
      <x:c r="L4038" s="11" t="n">
        <x:v>0</x:v>
      </x:c>
      <x:c r="M4038" s="9" t="n">
        <x:f>IF(D4038="Completed",I4038*J4038,0)</x:f>
        <x:v>462</x:v>
      </x:c>
      <x:c r="N4038" s="9" t="n">
        <x:f>M4038*K4038</x:f>
        <x:v>92.4</x:v>
      </x:c>
      <x:c r="O4038" s="9" t="n">
        <x:f>M4038-N4038</x:f>
        <x:v>369.6</x:v>
      </x:c>
      <x:c r="P4038" s="9" t="n">
        <x:f>IF(D4038="Completed",L4038*J4038*(1-K4038),0)</x:f>
        <x:v>0</x:v>
      </x:c>
      <x:c r="Q4038" s="9" t="n">
        <x:f>O4038-P4038</x:f>
        <x:v>369.6</x:v>
      </x:c>
      <x:c r="R4038" s="11" t="n">
        <x:f>IF(D4038="Completed",I4038,0)</x:f>
        <x:v>2</x:v>
      </x:c>
      <x:c r="S4038" s="11" t="n">
        <x:f>IF(D4038="Completed",L4038,0)</x:f>
        <x:v>0</x:v>
      </x:c>
      <x:c r="T4038" s="8" t="n">
        <x:f>DATE(YEAR(C4038),MONTH(C4038),1)</x:f>
        <x:v>45870</x:v>
      </x:c>
    </x:row>
    <x:row r="4039" ht="22" customHeight="1">
      <x:c r="A4039" s="2" t="str">
        <x:v>L004035</x:v>
      </x:c>
      <x:c r="B4039" s="2" t="str">
        <x:v>O01641</x:v>
      </x:c>
      <x:c r="C4039" s="7" t="n">
        <x:v>45898</x:v>
      </x:c>
      <x:c r="D4039" s="2" t="str">
        <x:v>Completed</x:v>
      </x:c>
      <x:c r="E4039" s="2" t="str">
        <x:v>East</x:v>
      </x:c>
      <x:c r="F4039" s="2" t="str">
        <x:v>Online</x:v>
      </x:c>
      <x:c r="G4039" s="2" t="str">
        <x:v>Furniture</x:v>
      </x:c>
      <x:c r="H4039" s="2" t="str">
        <x:v>Desk 012</x:v>
      </x:c>
      <x:c r="I4039" s="11" t="n">
        <x:v>3</x:v>
      </x:c>
      <x:c r="J4039" s="9" t="n">
        <x:v>134</x:v>
      </x:c>
      <x:c r="K4039" s="10" t="n">
        <x:v>0.2</x:v>
      </x:c>
      <x:c r="L4039" s="11" t="n">
        <x:v>0</x:v>
      </x:c>
      <x:c r="M4039" s="9" t="n">
        <x:f>IF(D4039="Completed",I4039*J4039,0)</x:f>
        <x:v>402</x:v>
      </x:c>
      <x:c r="N4039" s="9" t="n">
        <x:f>M4039*K4039</x:f>
        <x:v>80.4</x:v>
      </x:c>
      <x:c r="O4039" s="9" t="n">
        <x:f>M4039-N4039</x:f>
        <x:v>321.6</x:v>
      </x:c>
      <x:c r="P4039" s="9" t="n">
        <x:f>IF(D4039="Completed",L4039*J4039*(1-K4039),0)</x:f>
        <x:v>0</x:v>
      </x:c>
      <x:c r="Q4039" s="9" t="n">
        <x:f>O4039-P4039</x:f>
        <x:v>321.6</x:v>
      </x:c>
      <x:c r="R4039" s="11" t="n">
        <x:f>IF(D4039="Completed",I4039,0)</x:f>
        <x:v>3</x:v>
      </x:c>
      <x:c r="S4039" s="11" t="n">
        <x:f>IF(D4039="Completed",L4039,0)</x:f>
        <x:v>0</x:v>
      </x:c>
      <x:c r="T4039" s="8" t="n">
        <x:f>DATE(YEAR(C4039),MONTH(C4039),1)</x:f>
        <x:v>45870</x:v>
      </x:c>
    </x:row>
    <x:row r="4040" ht="22" customHeight="1">
      <x:c r="A4040" s="2" t="str">
        <x:v>L004036</x:v>
      </x:c>
      <x:c r="B4040" s="2" t="str">
        <x:v>O01641</x:v>
      </x:c>
      <x:c r="C4040" s="7" t="n">
        <x:v>45898</x:v>
      </x:c>
      <x:c r="D4040" s="2" t="str">
        <x:v>Completed</x:v>
      </x:c>
      <x:c r="E4040" s="2" t="str">
        <x:v>East</x:v>
      </x:c>
      <x:c r="F4040" s="2" t="str">
        <x:v>Online</x:v>
      </x:c>
      <x:c r="G4040" s="2" t="str">
        <x:v>Storage</x:v>
      </x:c>
      <x:c r="H4040" s="2" t="str">
        <x:v>Shelf 003</x:v>
      </x:c>
      <x:c r="I4040" s="11" t="n">
        <x:v>2</x:v>
      </x:c>
      <x:c r="J4040" s="9" t="n">
        <x:v>199</x:v>
      </x:c>
      <x:c r="K4040" s="10" t="n">
        <x:v>0</x:v>
      </x:c>
      <x:c r="L4040" s="11" t="n">
        <x:v>0</x:v>
      </x:c>
      <x:c r="M4040" s="9" t="n">
        <x:f>IF(D4040="Completed",I4040*J4040,0)</x:f>
        <x:v>398</x:v>
      </x:c>
      <x:c r="N4040" s="9" t="n">
        <x:f>M4040*K4040</x:f>
        <x:v>0</x:v>
      </x:c>
      <x:c r="O4040" s="9" t="n">
        <x:f>M4040-N4040</x:f>
        <x:v>398</x:v>
      </x:c>
      <x:c r="P4040" s="9" t="n">
        <x:f>IF(D4040="Completed",L4040*J4040*(1-K4040),0)</x:f>
        <x:v>0</x:v>
      </x:c>
      <x:c r="Q4040" s="9" t="n">
        <x:f>O4040-P4040</x:f>
        <x:v>398</x:v>
      </x:c>
      <x:c r="R4040" s="11" t="n">
        <x:f>IF(D4040="Completed",I4040,0)</x:f>
        <x:v>2</x:v>
      </x:c>
      <x:c r="S4040" s="11" t="n">
        <x:f>IF(D4040="Completed",L4040,0)</x:f>
        <x:v>0</x:v>
      </x:c>
      <x:c r="T4040" s="8" t="n">
        <x:f>DATE(YEAR(C4040),MONTH(C4040),1)</x:f>
        <x:v>45870</x:v>
      </x:c>
    </x:row>
    <x:row r="4041" ht="22" customHeight="1">
      <x:c r="A4041" s="2" t="str">
        <x:v>L004037</x:v>
      </x:c>
      <x:c r="B4041" s="2" t="str">
        <x:v>O01641</x:v>
      </x:c>
      <x:c r="C4041" s="7" t="n">
        <x:v>45898</x:v>
      </x:c>
      <x:c r="D4041" s="2" t="str">
        <x:v>Completed</x:v>
      </x:c>
      <x:c r="E4041" s="2" t="str">
        <x:v>East</x:v>
      </x:c>
      <x:c r="F4041" s="2" t="str">
        <x:v>Online</x:v>
      </x:c>
      <x:c r="G4041" s="2" t="str">
        <x:v>Storage</x:v>
      </x:c>
      <x:c r="H4041" s="2" t="str">
        <x:v>Shelf 007</x:v>
      </x:c>
      <x:c r="I4041" s="11" t="n">
        <x:v>1</x:v>
      </x:c>
      <x:c r="J4041" s="9" t="n">
        <x:v>35</x:v>
      </x:c>
      <x:c r="K4041" s="10" t="n">
        <x:v>0.2</x:v>
      </x:c>
      <x:c r="L4041" s="11" t="n">
        <x:v>0</x:v>
      </x:c>
      <x:c r="M4041" s="9" t="n">
        <x:f>IF(D4041="Completed",I4041*J4041,0)</x:f>
        <x:v>35</x:v>
      </x:c>
      <x:c r="N4041" s="9" t="n">
        <x:f>M4041*K4041</x:f>
        <x:v>7</x:v>
      </x:c>
      <x:c r="O4041" s="9" t="n">
        <x:f>M4041-N4041</x:f>
        <x:v>28</x:v>
      </x:c>
      <x:c r="P4041" s="9" t="n">
        <x:f>IF(D4041="Completed",L4041*J4041*(1-K4041),0)</x:f>
        <x:v>0</x:v>
      </x:c>
      <x:c r="Q4041" s="9" t="n">
        <x:f>O4041-P4041</x:f>
        <x:v>28</x:v>
      </x:c>
      <x:c r="R4041" s="11" t="n">
        <x:f>IF(D4041="Completed",I4041,0)</x:f>
        <x:v>1</x:v>
      </x:c>
      <x:c r="S4041" s="11" t="n">
        <x:f>IF(D4041="Completed",L4041,0)</x:f>
        <x:v>0</x:v>
      </x:c>
      <x:c r="T4041" s="8" t="n">
        <x:f>DATE(YEAR(C4041),MONTH(C4041),1)</x:f>
        <x:v>45870</x:v>
      </x:c>
    </x:row>
    <x:row r="4042" ht="22" customHeight="1">
      <x:c r="A4042" s="2" t="str">
        <x:v>L004038</x:v>
      </x:c>
      <x:c r="B4042" s="2" t="str">
        <x:v>O01642</x:v>
      </x:c>
      <x:c r="C4042" s="7" t="n">
        <x:v>45662</x:v>
      </x:c>
      <x:c r="D4042" s="2" t="str">
        <x:v>Completed</x:v>
      </x:c>
      <x:c r="E4042" s="2" t="str">
        <x:v>East</x:v>
      </x:c>
      <x:c r="F4042" s="2" t="str">
        <x:v>Online</x:v>
      </x:c>
      <x:c r="G4042" s="2" t="str">
        <x:v>Furniture</x:v>
      </x:c>
      <x:c r="H4042" s="2" t="str">
        <x:v>Desk 016</x:v>
      </x:c>
      <x:c r="I4042" s="11" t="n">
        <x:v>4</x:v>
      </x:c>
      <x:c r="J4042" s="9" t="n">
        <x:v>231</x:v>
      </x:c>
      <x:c r="K4042" s="10" t="n">
        <x:v>0.05</x:v>
      </x:c>
      <x:c r="L4042" s="11" t="n">
        <x:v>0</x:v>
      </x:c>
      <x:c r="M4042" s="9" t="n">
        <x:f>IF(D4042="Completed",I4042*J4042,0)</x:f>
        <x:v>924</x:v>
      </x:c>
      <x:c r="N4042" s="9" t="n">
        <x:f>M4042*K4042</x:f>
        <x:v>46.2</x:v>
      </x:c>
      <x:c r="O4042" s="9" t="n">
        <x:f>M4042-N4042</x:f>
        <x:v>877.8</x:v>
      </x:c>
      <x:c r="P4042" s="9" t="n">
        <x:f>IF(D4042="Completed",L4042*J4042*(1-K4042),0)</x:f>
        <x:v>0</x:v>
      </x:c>
      <x:c r="Q4042" s="9" t="n">
        <x:f>O4042-P4042</x:f>
        <x:v>877.8</x:v>
      </x:c>
      <x:c r="R4042" s="11" t="n">
        <x:f>IF(D4042="Completed",I4042,0)</x:f>
        <x:v>4</x:v>
      </x:c>
      <x:c r="S4042" s="11" t="n">
        <x:f>IF(D4042="Completed",L4042,0)</x:f>
        <x:v>0</x:v>
      </x:c>
      <x:c r="T4042" s="8" t="n">
        <x:f>DATE(YEAR(C4042),MONTH(C4042),1)</x:f>
        <x:v>45658</x:v>
      </x:c>
    </x:row>
    <x:row r="4043" ht="22" customHeight="1">
      <x:c r="A4043" s="2" t="str">
        <x:v>L004039</x:v>
      </x:c>
      <x:c r="B4043" s="2" t="str">
        <x:v>O01642</x:v>
      </x:c>
      <x:c r="C4043" s="7" t="n">
        <x:v>45662</x:v>
      </x:c>
      <x:c r="D4043" s="2" t="str">
        <x:v>Completed</x:v>
      </x:c>
      <x:c r="E4043" s="2" t="str">
        <x:v>East</x:v>
      </x:c>
      <x:c r="F4043" s="2" t="str">
        <x:v>Online</x:v>
      </x:c>
      <x:c r="G4043" s="2" t="str">
        <x:v>Storage</x:v>
      </x:c>
      <x:c r="H4043" s="2" t="str">
        <x:v>Shelf 011</x:v>
      </x:c>
      <x:c r="I4043" s="11" t="n">
        <x:v>4</x:v>
      </x:c>
      <x:c r="J4043" s="9" t="n">
        <x:v>80</x:v>
      </x:c>
      <x:c r="K4043" s="10" t="n">
        <x:v>0</x:v>
      </x:c>
      <x:c r="L4043" s="11" t="n">
        <x:v>0</x:v>
      </x:c>
      <x:c r="M4043" s="9" t="n">
        <x:f>IF(D4043="Completed",I4043*J4043,0)</x:f>
        <x:v>320</x:v>
      </x:c>
      <x:c r="N4043" s="9" t="n">
        <x:f>M4043*K4043</x:f>
        <x:v>0</x:v>
      </x:c>
      <x:c r="O4043" s="9" t="n">
        <x:f>M4043-N4043</x:f>
        <x:v>320</x:v>
      </x:c>
      <x:c r="P4043" s="9" t="n">
        <x:f>IF(D4043="Completed",L4043*J4043*(1-K4043),0)</x:f>
        <x:v>0</x:v>
      </x:c>
      <x:c r="Q4043" s="9" t="n">
        <x:f>O4043-P4043</x:f>
        <x:v>320</x:v>
      </x:c>
      <x:c r="R4043" s="11" t="n">
        <x:f>IF(D4043="Completed",I4043,0)</x:f>
        <x:v>4</x:v>
      </x:c>
      <x:c r="S4043" s="11" t="n">
        <x:f>IF(D4043="Completed",L4043,0)</x:f>
        <x:v>0</x:v>
      </x:c>
      <x:c r="T4043" s="8" t="n">
        <x:f>DATE(YEAR(C4043),MONTH(C4043),1)</x:f>
        <x:v>45658</x:v>
      </x:c>
    </x:row>
    <x:row r="4044" ht="22" customHeight="1">
      <x:c r="A4044" s="2" t="str">
        <x:v>L004040</x:v>
      </x:c>
      <x:c r="B4044" s="2" t="str">
        <x:v>O01642</x:v>
      </x:c>
      <x:c r="C4044" s="7" t="n">
        <x:v>45662</x:v>
      </x:c>
      <x:c r="D4044" s="2" t="str">
        <x:v>Completed</x:v>
      </x:c>
      <x:c r="E4044" s="2" t="str">
        <x:v>East</x:v>
      </x:c>
      <x:c r="F4044" s="2" t="str">
        <x:v>Online</x:v>
      </x:c>
      <x:c r="G4044" s="2" t="str">
        <x:v>Storage</x:v>
      </x:c>
      <x:c r="H4044" s="2" t="str">
        <x:v>Shelf 023</x:v>
      </x:c>
      <x:c r="I4044" s="11" t="n">
        <x:v>1</x:v>
      </x:c>
      <x:c r="J4044" s="9" t="n">
        <x:v>68</x:v>
      </x:c>
      <x:c r="K4044" s="10" t="n">
        <x:v>0.05</x:v>
      </x:c>
      <x:c r="L4044" s="11" t="n">
        <x:v>0</x:v>
      </x:c>
      <x:c r="M4044" s="9" t="n">
        <x:f>IF(D4044="Completed",I4044*J4044,0)</x:f>
        <x:v>68</x:v>
      </x:c>
      <x:c r="N4044" s="9" t="n">
        <x:f>M4044*K4044</x:f>
        <x:v>3.4000000000000004</x:v>
      </x:c>
      <x:c r="O4044" s="9" t="n">
        <x:f>M4044-N4044</x:f>
        <x:v>64.6</x:v>
      </x:c>
      <x:c r="P4044" s="9" t="n">
        <x:f>IF(D4044="Completed",L4044*J4044*(1-K4044),0)</x:f>
        <x:v>0</x:v>
      </x:c>
      <x:c r="Q4044" s="9" t="n">
        <x:f>O4044-P4044</x:f>
        <x:v>64.6</x:v>
      </x:c>
      <x:c r="R4044" s="11" t="n">
        <x:f>IF(D4044="Completed",I4044,0)</x:f>
        <x:v>1</x:v>
      </x:c>
      <x:c r="S4044" s="11" t="n">
        <x:f>IF(D4044="Completed",L4044,0)</x:f>
        <x:v>0</x:v>
      </x:c>
      <x:c r="T4044" s="8" t="n">
        <x:f>DATE(YEAR(C4044),MONTH(C4044),1)</x:f>
        <x:v>45658</x:v>
      </x:c>
    </x:row>
    <x:row r="4045" ht="22" customHeight="1">
      <x:c r="A4045" s="2" t="str">
        <x:v>L004041</x:v>
      </x:c>
      <x:c r="B4045" s="2" t="str">
        <x:v>O01642</x:v>
      </x:c>
      <x:c r="C4045" s="7" t="n">
        <x:v>45662</x:v>
      </x:c>
      <x:c r="D4045" s="2" t="str">
        <x:v>Completed</x:v>
      </x:c>
      <x:c r="E4045" s="2" t="str">
        <x:v>East</x:v>
      </x:c>
      <x:c r="F4045" s="2" t="str">
        <x:v>Online</x:v>
      </x:c>
      <x:c r="G4045" s="2" t="str">
        <x:v>Lighting</x:v>
      </x:c>
      <x:c r="H4045" s="2" t="str">
        <x:v>Lamp 009</x:v>
      </x:c>
      <x:c r="I4045" s="11" t="n">
        <x:v>1</x:v>
      </x:c>
      <x:c r="J4045" s="9" t="n">
        <x:v>93</x:v>
      </x:c>
      <x:c r="K4045" s="10" t="n">
        <x:v>0.2</x:v>
      </x:c>
      <x:c r="L4045" s="11" t="n">
        <x:v>0</x:v>
      </x:c>
      <x:c r="M4045" s="9" t="n">
        <x:f>IF(D4045="Completed",I4045*J4045,0)</x:f>
        <x:v>93</x:v>
      </x:c>
      <x:c r="N4045" s="9" t="n">
        <x:f>M4045*K4045</x:f>
        <x:v>18.6</x:v>
      </x:c>
      <x:c r="O4045" s="9" t="n">
        <x:f>M4045-N4045</x:f>
        <x:v>74.4</x:v>
      </x:c>
      <x:c r="P4045" s="9" t="n">
        <x:f>IF(D4045="Completed",L4045*J4045*(1-K4045),0)</x:f>
        <x:v>0</x:v>
      </x:c>
      <x:c r="Q4045" s="9" t="n">
        <x:f>O4045-P4045</x:f>
        <x:v>74.4</x:v>
      </x:c>
      <x:c r="R4045" s="11" t="n">
        <x:f>IF(D4045="Completed",I4045,0)</x:f>
        <x:v>1</x:v>
      </x:c>
      <x:c r="S4045" s="11" t="n">
        <x:f>IF(D4045="Completed",L4045,0)</x:f>
        <x:v>0</x:v>
      </x:c>
      <x:c r="T4045" s="8" t="n">
        <x:f>DATE(YEAR(C4045),MONTH(C4045),1)</x:f>
        <x:v>45658</x:v>
      </x:c>
    </x:row>
    <x:row r="4046" ht="22" customHeight="1">
      <x:c r="A4046" s="2" t="str">
        <x:v>L004042</x:v>
      </x:c>
      <x:c r="B4046" s="2" t="str">
        <x:v>O01643</x:v>
      </x:c>
      <x:c r="C4046" s="7" t="n">
        <x:v>45819</x:v>
      </x:c>
      <x:c r="D4046" s="2" t="str">
        <x:v>Completed</x:v>
      </x:c>
      <x:c r="E4046" s="2" t="str">
        <x:v>North</x:v>
      </x:c>
      <x:c r="F4046" s="2" t="str">
        <x:v>Store</x:v>
      </x:c>
      <x:c r="G4046" s="2" t="str">
        <x:v>Furniture</x:v>
      </x:c>
      <x:c r="H4046" s="2" t="str">
        <x:v>Desk 020</x:v>
      </x:c>
      <x:c r="I4046" s="11" t="n">
        <x:v>3</x:v>
      </x:c>
      <x:c r="J4046" s="9" t="n">
        <x:v>189</x:v>
      </x:c>
      <x:c r="K4046" s="10" t="n">
        <x:v>0.2</x:v>
      </x:c>
      <x:c r="L4046" s="11" t="n">
        <x:v>0</x:v>
      </x:c>
      <x:c r="M4046" s="9" t="n">
        <x:f>IF(D4046="Completed",I4046*J4046,0)</x:f>
        <x:v>567</x:v>
      </x:c>
      <x:c r="N4046" s="9" t="n">
        <x:f>M4046*K4046</x:f>
        <x:v>113.4</x:v>
      </x:c>
      <x:c r="O4046" s="9" t="n">
        <x:f>M4046-N4046</x:f>
        <x:v>453.6</x:v>
      </x:c>
      <x:c r="P4046" s="9" t="n">
        <x:f>IF(D4046="Completed",L4046*J4046*(1-K4046),0)</x:f>
        <x:v>0</x:v>
      </x:c>
      <x:c r="Q4046" s="9" t="n">
        <x:f>O4046-P4046</x:f>
        <x:v>453.6</x:v>
      </x:c>
      <x:c r="R4046" s="11" t="n">
        <x:f>IF(D4046="Completed",I4046,0)</x:f>
        <x:v>3</x:v>
      </x:c>
      <x:c r="S4046" s="11" t="n">
        <x:f>IF(D4046="Completed",L4046,0)</x:f>
        <x:v>0</x:v>
      </x:c>
      <x:c r="T4046" s="8" t="n">
        <x:f>DATE(YEAR(C4046),MONTH(C4046),1)</x:f>
        <x:v>45809</x:v>
      </x:c>
    </x:row>
    <x:row r="4047" ht="22" customHeight="1">
      <x:c r="A4047" s="2" t="str">
        <x:v>L004043</x:v>
      </x:c>
      <x:c r="B4047" s="2" t="str">
        <x:v>O01644</x:v>
      </x:c>
      <x:c r="C4047" s="7" t="n">
        <x:v>45761</x:v>
      </x:c>
      <x:c r="D4047" s="2" t="str">
        <x:v>Completed</x:v>
      </x:c>
      <x:c r="E4047" s="2" t="str">
        <x:v>West</x:v>
      </x:c>
      <x:c r="F4047" s="2" t="str">
        <x:v>Store</x:v>
      </x:c>
      <x:c r="G4047" s="2" t="str">
        <x:v>Storage</x:v>
      </x:c>
      <x:c r="H4047" s="2" t="str">
        <x:v>Shelf 007</x:v>
      </x:c>
      <x:c r="I4047" s="11" t="n">
        <x:v>1</x:v>
      </x:c>
      <x:c r="J4047" s="9" t="n">
        <x:v>35</x:v>
      </x:c>
      <x:c r="K4047" s="10" t="n">
        <x:v>0.2</x:v>
      </x:c>
      <x:c r="L4047" s="11" t="n">
        <x:v>0</x:v>
      </x:c>
      <x:c r="M4047" s="9" t="n">
        <x:f>IF(D4047="Completed",I4047*J4047,0)</x:f>
        <x:v>35</x:v>
      </x:c>
      <x:c r="N4047" s="9" t="n">
        <x:f>M4047*K4047</x:f>
        <x:v>7</x:v>
      </x:c>
      <x:c r="O4047" s="9" t="n">
        <x:f>M4047-N4047</x:f>
        <x:v>28</x:v>
      </x:c>
      <x:c r="P4047" s="9" t="n">
        <x:f>IF(D4047="Completed",L4047*J4047*(1-K4047),0)</x:f>
        <x:v>0</x:v>
      </x:c>
      <x:c r="Q4047" s="9" t="n">
        <x:f>O4047-P4047</x:f>
        <x:v>28</x:v>
      </x:c>
      <x:c r="R4047" s="11" t="n">
        <x:f>IF(D4047="Completed",I4047,0)</x:f>
        <x:v>1</x:v>
      </x:c>
      <x:c r="S4047" s="11" t="n">
        <x:f>IF(D4047="Completed",L4047,0)</x:f>
        <x:v>0</x:v>
      </x:c>
      <x:c r="T4047" s="8" t="n">
        <x:f>DATE(YEAR(C4047),MONTH(C4047),1)</x:f>
        <x:v>45748</x:v>
      </x:c>
    </x:row>
    <x:row r="4048" ht="22" customHeight="1">
      <x:c r="A4048" s="2" t="str">
        <x:v>L004044</x:v>
      </x:c>
      <x:c r="B4048" s="2" t="str">
        <x:v>O01644</x:v>
      </x:c>
      <x:c r="C4048" s="7" t="n">
        <x:v>45761</x:v>
      </x:c>
      <x:c r="D4048" s="2" t="str">
        <x:v>Completed</x:v>
      </x:c>
      <x:c r="E4048" s="2" t="str">
        <x:v>West</x:v>
      </x:c>
      <x:c r="F4048" s="2" t="str">
        <x:v>Store</x:v>
      </x:c>
      <x:c r="G4048" s="2" t="str">
        <x:v>Lighting</x:v>
      </x:c>
      <x:c r="H4048" s="2" t="str">
        <x:v>Lamp 021</x:v>
      </x:c>
      <x:c r="I4048" s="11" t="n">
        <x:v>4</x:v>
      </x:c>
      <x:c r="J4048" s="9" t="n">
        <x:v>249</x:v>
      </x:c>
      <x:c r="K4048" s="10" t="n">
        <x:v>0.1</x:v>
      </x:c>
      <x:c r="L4048" s="11" t="n">
        <x:v>0</x:v>
      </x:c>
      <x:c r="M4048" s="9" t="n">
        <x:f>IF(D4048="Completed",I4048*J4048,0)</x:f>
        <x:v>996</x:v>
      </x:c>
      <x:c r="N4048" s="9" t="n">
        <x:f>M4048*K4048</x:f>
        <x:v>99.60000000000001</x:v>
      </x:c>
      <x:c r="O4048" s="9" t="n">
        <x:f>M4048-N4048</x:f>
        <x:v>896.4</x:v>
      </x:c>
      <x:c r="P4048" s="9" t="n">
        <x:f>IF(D4048="Completed",L4048*J4048*(1-K4048),0)</x:f>
        <x:v>0</x:v>
      </x:c>
      <x:c r="Q4048" s="9" t="n">
        <x:f>O4048-P4048</x:f>
        <x:v>896.4</x:v>
      </x:c>
      <x:c r="R4048" s="11" t="n">
        <x:f>IF(D4048="Completed",I4048,0)</x:f>
        <x:v>4</x:v>
      </x:c>
      <x:c r="S4048" s="11" t="n">
        <x:f>IF(D4048="Completed",L4048,0)</x:f>
        <x:v>0</x:v>
      </x:c>
      <x:c r="T4048" s="8" t="n">
        <x:f>DATE(YEAR(C4048),MONTH(C4048),1)</x:f>
        <x:v>45748</x:v>
      </x:c>
    </x:row>
    <x:row r="4049" ht="22" customHeight="1">
      <x:c r="A4049" s="2" t="str">
        <x:v>L004045</x:v>
      </x:c>
      <x:c r="B4049" s="2" t="str">
        <x:v>O01644</x:v>
      </x:c>
      <x:c r="C4049" s="7" t="n">
        <x:v>45761</x:v>
      </x:c>
      <x:c r="D4049" s="2" t="str">
        <x:v>Completed</x:v>
      </x:c>
      <x:c r="E4049" s="2" t="str">
        <x:v>West</x:v>
      </x:c>
      <x:c r="F4049" s="2" t="str">
        <x:v>Store</x:v>
      </x:c>
      <x:c r="G4049" s="2" t="str">
        <x:v>Lighting</x:v>
      </x:c>
      <x:c r="H4049" s="2" t="str">
        <x:v>Lamp 001</x:v>
      </x:c>
      <x:c r="I4049" s="11" t="n">
        <x:v>2</x:v>
      </x:c>
      <x:c r="J4049" s="9" t="n">
        <x:v>122</x:v>
      </x:c>
      <x:c r="K4049" s="10" t="n">
        <x:v>0.1</x:v>
      </x:c>
      <x:c r="L4049" s="11" t="n">
        <x:v>1</x:v>
      </x:c>
      <x:c r="M4049" s="9" t="n">
        <x:f>IF(D4049="Completed",I4049*J4049,0)</x:f>
        <x:v>244</x:v>
      </x:c>
      <x:c r="N4049" s="9" t="n">
        <x:f>M4049*K4049</x:f>
        <x:v>24.400000000000002</x:v>
      </x:c>
      <x:c r="O4049" s="9" t="n">
        <x:f>M4049-N4049</x:f>
        <x:v>219.6</x:v>
      </x:c>
      <x:c r="P4049" s="9" t="n">
        <x:f>IF(D4049="Completed",L4049*J4049*(1-K4049),0)</x:f>
        <x:v>109.8</x:v>
      </x:c>
      <x:c r="Q4049" s="9" t="n">
        <x:f>O4049-P4049</x:f>
        <x:v>109.8</x:v>
      </x:c>
      <x:c r="R4049" s="11" t="n">
        <x:f>IF(D4049="Completed",I4049,0)</x:f>
        <x:v>2</x:v>
      </x:c>
      <x:c r="S4049" s="11" t="n">
        <x:f>IF(D4049="Completed",L4049,0)</x:f>
        <x:v>1</x:v>
      </x:c>
      <x:c r="T4049" s="8" t="n">
        <x:f>DATE(YEAR(C4049),MONTH(C4049),1)</x:f>
        <x:v>45748</x:v>
      </x:c>
    </x:row>
    <x:row r="4050" ht="22" customHeight="1">
      <x:c r="A4050" s="2" t="str">
        <x:v>L004046</x:v>
      </x:c>
      <x:c r="B4050" s="2" t="str">
        <x:v>O01644</x:v>
      </x:c>
      <x:c r="C4050" s="7" t="n">
        <x:v>45761</x:v>
      </x:c>
      <x:c r="D4050" s="2" t="str">
        <x:v>Completed</x:v>
      </x:c>
      <x:c r="E4050" s="2" t="str">
        <x:v>West</x:v>
      </x:c>
      <x:c r="F4050" s="2" t="str">
        <x:v>Store</x:v>
      </x:c>
      <x:c r="G4050" s="2" t="str">
        <x:v>Lighting</x:v>
      </x:c>
      <x:c r="H4050" s="2" t="str">
        <x:v>Lamp 013</x:v>
      </x:c>
      <x:c r="I4050" s="11" t="n">
        <x:v>3</x:v>
      </x:c>
      <x:c r="J4050" s="9" t="n">
        <x:v>271</x:v>
      </x:c>
      <x:c r="K4050" s="10" t="n">
        <x:v>0.05</x:v>
      </x:c>
      <x:c r="L4050" s="11" t="n">
        <x:v>0</x:v>
      </x:c>
      <x:c r="M4050" s="9" t="n">
        <x:f>IF(D4050="Completed",I4050*J4050,0)</x:f>
        <x:v>813</x:v>
      </x:c>
      <x:c r="N4050" s="9" t="n">
        <x:f>M4050*K4050</x:f>
        <x:v>40.650000000000006</x:v>
      </x:c>
      <x:c r="O4050" s="9" t="n">
        <x:f>M4050-N4050</x:f>
        <x:v>772.35</x:v>
      </x:c>
      <x:c r="P4050" s="9" t="n">
        <x:f>IF(D4050="Completed",L4050*J4050*(1-K4050),0)</x:f>
        <x:v>0</x:v>
      </x:c>
      <x:c r="Q4050" s="9" t="n">
        <x:f>O4050-P4050</x:f>
        <x:v>772.35</x:v>
      </x:c>
      <x:c r="R4050" s="11" t="n">
        <x:f>IF(D4050="Completed",I4050,0)</x:f>
        <x:v>3</x:v>
      </x:c>
      <x:c r="S4050" s="11" t="n">
        <x:f>IF(D4050="Completed",L4050,0)</x:f>
        <x:v>0</x:v>
      </x:c>
      <x:c r="T4050" s="8" t="n">
        <x:f>DATE(YEAR(C4050),MONTH(C4050),1)</x:f>
        <x:v>45748</x:v>
      </x:c>
    </x:row>
    <x:row r="4051" ht="22" customHeight="1">
      <x:c r="A4051" s="2" t="str">
        <x:v>L004047</x:v>
      </x:c>
      <x:c r="B4051" s="2" t="str">
        <x:v>O01645</x:v>
      </x:c>
      <x:c r="C4051" s="7" t="n">
        <x:v>45973</x:v>
      </x:c>
      <x:c r="D4051" s="2" t="str">
        <x:v>Completed</x:v>
      </x:c>
      <x:c r="E4051" s="2" t="str">
        <x:v>West</x:v>
      </x:c>
      <x:c r="F4051" s="2" t="str">
        <x:v>Store</x:v>
      </x:c>
      <x:c r="G4051" s="2" t="str">
        <x:v>Lighting</x:v>
      </x:c>
      <x:c r="H4051" s="2" t="str">
        <x:v>Lamp 013</x:v>
      </x:c>
      <x:c r="I4051" s="11" t="n">
        <x:v>2</x:v>
      </x:c>
      <x:c r="J4051" s="9" t="n">
        <x:v>271</x:v>
      </x:c>
      <x:c r="K4051" s="10" t="n">
        <x:v>0</x:v>
      </x:c>
      <x:c r="L4051" s="11" t="n">
        <x:v>0</x:v>
      </x:c>
      <x:c r="M4051" s="9" t="n">
        <x:f>IF(D4051="Completed",I4051*J4051,0)</x:f>
        <x:v>542</x:v>
      </x:c>
      <x:c r="N4051" s="9" t="n">
        <x:f>M4051*K4051</x:f>
        <x:v>0</x:v>
      </x:c>
      <x:c r="O4051" s="9" t="n">
        <x:f>M4051-N4051</x:f>
        <x:v>542</x:v>
      </x:c>
      <x:c r="P4051" s="9" t="n">
        <x:f>IF(D4051="Completed",L4051*J4051*(1-K4051),0)</x:f>
        <x:v>0</x:v>
      </x:c>
      <x:c r="Q4051" s="9" t="n">
        <x:f>O4051-P4051</x:f>
        <x:v>542</x:v>
      </x:c>
      <x:c r="R4051" s="11" t="n">
        <x:f>IF(D4051="Completed",I4051,0)</x:f>
        <x:v>2</x:v>
      </x:c>
      <x:c r="S4051" s="11" t="n">
        <x:f>IF(D4051="Completed",L4051,0)</x:f>
        <x:v>0</x:v>
      </x:c>
      <x:c r="T4051" s="8" t="n">
        <x:f>DATE(YEAR(C4051),MONTH(C4051),1)</x:f>
        <x:v>45962</x:v>
      </x:c>
    </x:row>
    <x:row r="4052" ht="22" customHeight="1">
      <x:c r="A4052" s="2" t="str">
        <x:v>L004048</x:v>
      </x:c>
      <x:c r="B4052" s="2" t="str">
        <x:v>O01645</x:v>
      </x:c>
      <x:c r="C4052" s="7" t="n">
        <x:v>45973</x:v>
      </x:c>
      <x:c r="D4052" s="2" t="str">
        <x:v>Completed</x:v>
      </x:c>
      <x:c r="E4052" s="2" t="str">
        <x:v>West</x:v>
      </x:c>
      <x:c r="F4052" s="2" t="str">
        <x:v>Store</x:v>
      </x:c>
      <x:c r="G4052" s="2" t="str">
        <x:v>Lighting</x:v>
      </x:c>
      <x:c r="H4052" s="2" t="str">
        <x:v>Lamp 021</x:v>
      </x:c>
      <x:c r="I4052" s="11" t="n">
        <x:v>4</x:v>
      </x:c>
      <x:c r="J4052" s="9" t="n">
        <x:v>249</x:v>
      </x:c>
      <x:c r="K4052" s="10" t="n">
        <x:v>0.05</x:v>
      </x:c>
      <x:c r="L4052" s="11" t="n">
        <x:v>0</x:v>
      </x:c>
      <x:c r="M4052" s="9" t="n">
        <x:f>IF(D4052="Completed",I4052*J4052,0)</x:f>
        <x:v>996</x:v>
      </x:c>
      <x:c r="N4052" s="9" t="n">
        <x:f>M4052*K4052</x:f>
        <x:v>49.800000000000004</x:v>
      </x:c>
      <x:c r="O4052" s="9" t="n">
        <x:f>M4052-N4052</x:f>
        <x:v>946.2</x:v>
      </x:c>
      <x:c r="P4052" s="9" t="n">
        <x:f>IF(D4052="Completed",L4052*J4052*(1-K4052),0)</x:f>
        <x:v>0</x:v>
      </x:c>
      <x:c r="Q4052" s="9" t="n">
        <x:f>O4052-P4052</x:f>
        <x:v>946.2</x:v>
      </x:c>
      <x:c r="R4052" s="11" t="n">
        <x:f>IF(D4052="Completed",I4052,0)</x:f>
        <x:v>4</x:v>
      </x:c>
      <x:c r="S4052" s="11" t="n">
        <x:f>IF(D4052="Completed",L4052,0)</x:f>
        <x:v>0</x:v>
      </x:c>
      <x:c r="T4052" s="8" t="n">
        <x:f>DATE(YEAR(C4052),MONTH(C4052),1)</x:f>
        <x:v>45962</x:v>
      </x:c>
    </x:row>
    <x:row r="4053" ht="22" customHeight="1">
      <x:c r="A4053" s="2" t="str">
        <x:v>L004049</x:v>
      </x:c>
      <x:c r="B4053" s="2" t="str">
        <x:v>O01645</x:v>
      </x:c>
      <x:c r="C4053" s="7" t="n">
        <x:v>45973</x:v>
      </x:c>
      <x:c r="D4053" s="2" t="str">
        <x:v>Completed</x:v>
      </x:c>
      <x:c r="E4053" s="2" t="str">
        <x:v>West</x:v>
      </x:c>
      <x:c r="F4053" s="2" t="str">
        <x:v>Store</x:v>
      </x:c>
      <x:c r="G4053" s="2" t="str">
        <x:v>Storage</x:v>
      </x:c>
      <x:c r="H4053" s="2" t="str">
        <x:v>Shelf 023</x:v>
      </x:c>
      <x:c r="I4053" s="11" t="n">
        <x:v>3</x:v>
      </x:c>
      <x:c r="J4053" s="9" t="n">
        <x:v>68</x:v>
      </x:c>
      <x:c r="K4053" s="10" t="n">
        <x:v>0.05</x:v>
      </x:c>
      <x:c r="L4053" s="11" t="n">
        <x:v>0</x:v>
      </x:c>
      <x:c r="M4053" s="9" t="n">
        <x:f>IF(D4053="Completed",I4053*J4053,0)</x:f>
        <x:v>204</x:v>
      </x:c>
      <x:c r="N4053" s="9" t="n">
        <x:f>M4053*K4053</x:f>
        <x:v>10.200000000000001</x:v>
      </x:c>
      <x:c r="O4053" s="9" t="n">
        <x:f>M4053-N4053</x:f>
        <x:v>193.8</x:v>
      </x:c>
      <x:c r="P4053" s="9" t="n">
        <x:f>IF(D4053="Completed",L4053*J4053*(1-K4053),0)</x:f>
        <x:v>0</x:v>
      </x:c>
      <x:c r="Q4053" s="9" t="n">
        <x:f>O4053-P4053</x:f>
        <x:v>193.8</x:v>
      </x:c>
      <x:c r="R4053" s="11" t="n">
        <x:f>IF(D4053="Completed",I4053,0)</x:f>
        <x:v>3</x:v>
      </x:c>
      <x:c r="S4053" s="11" t="n">
        <x:f>IF(D4053="Completed",L4053,0)</x:f>
        <x:v>0</x:v>
      </x:c>
      <x:c r="T4053" s="8" t="n">
        <x:f>DATE(YEAR(C4053),MONTH(C4053),1)</x:f>
        <x:v>45962</x:v>
      </x:c>
    </x:row>
    <x:row r="4054" ht="22" customHeight="1">
      <x:c r="A4054" s="2" t="str">
        <x:v>L004050</x:v>
      </x:c>
      <x:c r="B4054" s="2" t="str">
        <x:v>O01645</x:v>
      </x:c>
      <x:c r="C4054" s="7" t="n">
        <x:v>45973</x:v>
      </x:c>
      <x:c r="D4054" s="2" t="str">
        <x:v>Completed</x:v>
      </x:c>
      <x:c r="E4054" s="2" t="str">
        <x:v>West</x:v>
      </x:c>
      <x:c r="F4054" s="2" t="str">
        <x:v>Store</x:v>
      </x:c>
      <x:c r="G4054" s="2" t="str">
        <x:v>Lighting</x:v>
      </x:c>
      <x:c r="H4054" s="2" t="str">
        <x:v>Lamp 021</x:v>
      </x:c>
      <x:c r="I4054" s="11" t="n">
        <x:v>1</x:v>
      </x:c>
      <x:c r="J4054" s="9" t="n">
        <x:v>249</x:v>
      </x:c>
      <x:c r="K4054" s="10" t="n">
        <x:v>0.2</x:v>
      </x:c>
      <x:c r="L4054" s="11" t="n">
        <x:v>0</x:v>
      </x:c>
      <x:c r="M4054" s="9" t="n">
        <x:f>IF(D4054="Completed",I4054*J4054,0)</x:f>
        <x:v>249</x:v>
      </x:c>
      <x:c r="N4054" s="9" t="n">
        <x:f>M4054*K4054</x:f>
        <x:v>49.800000000000004</x:v>
      </x:c>
      <x:c r="O4054" s="9" t="n">
        <x:f>M4054-N4054</x:f>
        <x:v>199.2</x:v>
      </x:c>
      <x:c r="P4054" s="9" t="n">
        <x:f>IF(D4054="Completed",L4054*J4054*(1-K4054),0)</x:f>
        <x:v>0</x:v>
      </x:c>
      <x:c r="Q4054" s="9" t="n">
        <x:f>O4054-P4054</x:f>
        <x:v>199.2</x:v>
      </x:c>
      <x:c r="R4054" s="11" t="n">
        <x:f>IF(D4054="Completed",I4054,0)</x:f>
        <x:v>1</x:v>
      </x:c>
      <x:c r="S4054" s="11" t="n">
        <x:f>IF(D4054="Completed",L4054,0)</x:f>
        <x:v>0</x:v>
      </x:c>
      <x:c r="T4054" s="8" t="n">
        <x:f>DATE(YEAR(C4054),MONTH(C4054),1)</x:f>
        <x:v>45962</x:v>
      </x:c>
    </x:row>
    <x:row r="4055" ht="22" customHeight="1">
      <x:c r="A4055" s="2" t="str">
        <x:v>L004051</x:v>
      </x:c>
      <x:c r="B4055" s="2" t="str">
        <x:v>O01646</x:v>
      </x:c>
      <x:c r="C4055" s="7" t="n">
        <x:v>45681</x:v>
      </x:c>
      <x:c r="D4055" s="2" t="str">
        <x:v>Completed</x:v>
      </x:c>
      <x:c r="E4055" s="2" t="str">
        <x:v>North</x:v>
      </x:c>
      <x:c r="F4055" s="2" t="str">
        <x:v>Store</x:v>
      </x:c>
      <x:c r="G4055" s="2" t="str">
        <x:v>Lighting</x:v>
      </x:c>
      <x:c r="H4055" s="2" t="str">
        <x:v>Lamp 009</x:v>
      </x:c>
      <x:c r="I4055" s="11" t="n">
        <x:v>5</x:v>
      </x:c>
      <x:c r="J4055" s="9" t="n">
        <x:v>93</x:v>
      </x:c>
      <x:c r="K4055" s="10" t="n">
        <x:v>0.1</x:v>
      </x:c>
      <x:c r="L4055" s="11" t="n">
        <x:v>0</x:v>
      </x:c>
      <x:c r="M4055" s="9" t="n">
        <x:f>IF(D4055="Completed",I4055*J4055,0)</x:f>
        <x:v>465</x:v>
      </x:c>
      <x:c r="N4055" s="9" t="n">
        <x:f>M4055*K4055</x:f>
        <x:v>46.5</x:v>
      </x:c>
      <x:c r="O4055" s="9" t="n">
        <x:f>M4055-N4055</x:f>
        <x:v>418.5</x:v>
      </x:c>
      <x:c r="P4055" s="9" t="n">
        <x:f>IF(D4055="Completed",L4055*J4055*(1-K4055),0)</x:f>
        <x:v>0</x:v>
      </x:c>
      <x:c r="Q4055" s="9" t="n">
        <x:f>O4055-P4055</x:f>
        <x:v>418.5</x:v>
      </x:c>
      <x:c r="R4055" s="11" t="n">
        <x:f>IF(D4055="Completed",I4055,0)</x:f>
        <x:v>5</x:v>
      </x:c>
      <x:c r="S4055" s="11" t="n">
        <x:f>IF(D4055="Completed",L4055,0)</x:f>
        <x:v>0</x:v>
      </x:c>
      <x:c r="T4055" s="8" t="n">
        <x:f>DATE(YEAR(C4055),MONTH(C4055),1)</x:f>
        <x:v>45658</x:v>
      </x:c>
    </x:row>
    <x:row r="4056" ht="22" customHeight="1">
      <x:c r="A4056" s="2" t="str">
        <x:v>L004052</x:v>
      </x:c>
      <x:c r="B4056" s="2" t="str">
        <x:v>O01646</x:v>
      </x:c>
      <x:c r="C4056" s="7" t="n">
        <x:v>45681</x:v>
      </x:c>
      <x:c r="D4056" s="2" t="str">
        <x:v>Completed</x:v>
      </x:c>
      <x:c r="E4056" s="2" t="str">
        <x:v>North</x:v>
      </x:c>
      <x:c r="F4056" s="2" t="str">
        <x:v>Store</x:v>
      </x:c>
      <x:c r="G4056" s="2" t="str">
        <x:v>Furniture</x:v>
      </x:c>
      <x:c r="H4056" s="2" t="str">
        <x:v>Desk 016</x:v>
      </x:c>
      <x:c r="I4056" s="11" t="n">
        <x:v>5</x:v>
      </x:c>
      <x:c r="J4056" s="9" t="n">
        <x:v>231</x:v>
      </x:c>
      <x:c r="K4056" s="10" t="n">
        <x:v>0.05</x:v>
      </x:c>
      <x:c r="L4056" s="11" t="n">
        <x:v>1</x:v>
      </x:c>
      <x:c r="M4056" s="9" t="n">
        <x:f>IF(D4056="Completed",I4056*J4056,0)</x:f>
        <x:v>1155</x:v>
      </x:c>
      <x:c r="N4056" s="9" t="n">
        <x:f>M4056*K4056</x:f>
        <x:v>57.75</x:v>
      </x:c>
      <x:c r="O4056" s="9" t="n">
        <x:f>M4056-N4056</x:f>
        <x:v>1097.25</x:v>
      </x:c>
      <x:c r="P4056" s="9" t="n">
        <x:f>IF(D4056="Completed",L4056*J4056*(1-K4056),0)</x:f>
        <x:v>219.45</x:v>
      </x:c>
      <x:c r="Q4056" s="9" t="n">
        <x:f>O4056-P4056</x:f>
        <x:v>877.8</x:v>
      </x:c>
      <x:c r="R4056" s="11" t="n">
        <x:f>IF(D4056="Completed",I4056,0)</x:f>
        <x:v>5</x:v>
      </x:c>
      <x:c r="S4056" s="11" t="n">
        <x:f>IF(D4056="Completed",L4056,0)</x:f>
        <x:v>1</x:v>
      </x:c>
      <x:c r="T4056" s="8" t="n">
        <x:f>DATE(YEAR(C4056),MONTH(C4056),1)</x:f>
        <x:v>45658</x:v>
      </x:c>
    </x:row>
    <x:row r="4057" ht="22" customHeight="1">
      <x:c r="A4057" s="2" t="str">
        <x:v>L004053</x:v>
      </x:c>
      <x:c r="B4057" s="2" t="str">
        <x:v>O01647</x:v>
      </x:c>
      <x:c r="C4057" s="7" t="n">
        <x:v>46012</x:v>
      </x:c>
      <x:c r="D4057" s="2" t="str">
        <x:v>Cancelled</x:v>
      </x:c>
      <x:c r="E4057" s="2" t="str">
        <x:v>West</x:v>
      </x:c>
      <x:c r="F4057" s="2" t="str">
        <x:v>Store</x:v>
      </x:c>
      <x:c r="G4057" s="2" t="str">
        <x:v>Lighting</x:v>
      </x:c>
      <x:c r="H4057" s="2" t="str">
        <x:v>Lamp 013</x:v>
      </x:c>
      <x:c r="I4057" s="11" t="n">
        <x:v>3</x:v>
      </x:c>
      <x:c r="J4057" s="9" t="n">
        <x:v>271</x:v>
      </x:c>
      <x:c r="K4057" s="10" t="n">
        <x:v>0.2</x:v>
      </x:c>
      <x:c r="L4057" s="11" t="n">
        <x:v>0</x:v>
      </x:c>
      <x:c r="M4057" s="9" t="n">
        <x:f>IF(D4057="Completed",I4057*J4057,0)</x:f>
        <x:v>0</x:v>
      </x:c>
      <x:c r="N4057" s="9" t="n">
        <x:f>M4057*K4057</x:f>
        <x:v>0</x:v>
      </x:c>
      <x:c r="O4057" s="9" t="n">
        <x:f>M4057-N4057</x:f>
        <x:v>0</x:v>
      </x:c>
      <x:c r="P4057" s="9" t="n">
        <x:f>IF(D4057="Completed",L4057*J4057*(1-K4057),0)</x:f>
        <x:v>0</x:v>
      </x:c>
      <x:c r="Q4057" s="9" t="n">
        <x:f>O4057-P4057</x:f>
        <x:v>0</x:v>
      </x:c>
      <x:c r="R4057" s="11" t="n">
        <x:f>IF(D4057="Completed",I4057,0)</x:f>
        <x:v>0</x:v>
      </x:c>
      <x:c r="S4057" s="11" t="n">
        <x:f>IF(D4057="Completed",L4057,0)</x:f>
        <x:v>0</x:v>
      </x:c>
      <x:c r="T4057" s="8" t="n">
        <x:f>DATE(YEAR(C4057),MONTH(C4057),1)</x:f>
        <x:v>45992</x:v>
      </x:c>
    </x:row>
    <x:row r="4058" ht="22" customHeight="1">
      <x:c r="A4058" s="2" t="str">
        <x:v>L004054</x:v>
      </x:c>
      <x:c r="B4058" s="2" t="str">
        <x:v>O01647</x:v>
      </x:c>
      <x:c r="C4058" s="7" t="n">
        <x:v>46012</x:v>
      </x:c>
      <x:c r="D4058" s="2" t="str">
        <x:v>Cancelled</x:v>
      </x:c>
      <x:c r="E4058" s="2" t="str">
        <x:v>West</x:v>
      </x:c>
      <x:c r="F4058" s="2" t="str">
        <x:v>Store</x:v>
      </x:c>
      <x:c r="G4058" s="2" t="str">
        <x:v>Furniture</x:v>
      </x:c>
      <x:c r="H4058" s="2" t="str">
        <x:v>Chair 006</x:v>
      </x:c>
      <x:c r="I4058" s="11" t="n">
        <x:v>4</x:v>
      </x:c>
      <x:c r="J4058" s="9" t="n">
        <x:v>196</x:v>
      </x:c>
      <x:c r="K4058" s="10" t="n">
        <x:v>0.05</x:v>
      </x:c>
      <x:c r="L4058" s="11" t="n">
        <x:v>0</x:v>
      </x:c>
      <x:c r="M4058" s="9" t="n">
        <x:f>IF(D4058="Completed",I4058*J4058,0)</x:f>
        <x:v>0</x:v>
      </x:c>
      <x:c r="N4058" s="9" t="n">
        <x:f>M4058*K4058</x:f>
        <x:v>0</x:v>
      </x:c>
      <x:c r="O4058" s="9" t="n">
        <x:f>M4058-N4058</x:f>
        <x:v>0</x:v>
      </x:c>
      <x:c r="P4058" s="9" t="n">
        <x:f>IF(D4058="Completed",L4058*J4058*(1-K4058),0)</x:f>
        <x:v>0</x:v>
      </x:c>
      <x:c r="Q4058" s="9" t="n">
        <x:f>O4058-P4058</x:f>
        <x:v>0</x:v>
      </x:c>
      <x:c r="R4058" s="11" t="n">
        <x:f>IF(D4058="Completed",I4058,0)</x:f>
        <x:v>0</x:v>
      </x:c>
      <x:c r="S4058" s="11" t="n">
        <x:f>IF(D4058="Completed",L4058,0)</x:f>
        <x:v>0</x:v>
      </x:c>
      <x:c r="T4058" s="8" t="n">
        <x:f>DATE(YEAR(C4058),MONTH(C4058),1)</x:f>
        <x:v>45992</x:v>
      </x:c>
    </x:row>
    <x:row r="4059" ht="22" customHeight="1">
      <x:c r="A4059" s="2" t="str">
        <x:v>L004055</x:v>
      </x:c>
      <x:c r="B4059" s="2" t="str">
        <x:v>O01647</x:v>
      </x:c>
      <x:c r="C4059" s="7" t="n">
        <x:v>46012</x:v>
      </x:c>
      <x:c r="D4059" s="2" t="str">
        <x:v>Cancelled</x:v>
      </x:c>
      <x:c r="E4059" s="2" t="str">
        <x:v>West</x:v>
      </x:c>
      <x:c r="F4059" s="2" t="str">
        <x:v>Store</x:v>
      </x:c>
      <x:c r="G4059" s="2" t="str">
        <x:v>Furniture</x:v>
      </x:c>
      <x:c r="H4059" s="2" t="str">
        <x:v>Chair 010</x:v>
      </x:c>
      <x:c r="I4059" s="11" t="n">
        <x:v>3</x:v>
      </x:c>
      <x:c r="J4059" s="9" t="n">
        <x:v>211</x:v>
      </x:c>
      <x:c r="K4059" s="10" t="n">
        <x:v>0.05</x:v>
      </x:c>
      <x:c r="L4059" s="11" t="n">
        <x:v>0</x:v>
      </x:c>
      <x:c r="M4059" s="9" t="n">
        <x:f>IF(D4059="Completed",I4059*J4059,0)</x:f>
        <x:v>0</x:v>
      </x:c>
      <x:c r="N4059" s="9" t="n">
        <x:f>M4059*K4059</x:f>
        <x:v>0</x:v>
      </x:c>
      <x:c r="O4059" s="9" t="n">
        <x:f>M4059-N4059</x:f>
        <x:v>0</x:v>
      </x:c>
      <x:c r="P4059" s="9" t="n">
        <x:f>IF(D4059="Completed",L4059*J4059*(1-K4059),0)</x:f>
        <x:v>0</x:v>
      </x:c>
      <x:c r="Q4059" s="9" t="n">
        <x:f>O4059-P4059</x:f>
        <x:v>0</x:v>
      </x:c>
      <x:c r="R4059" s="11" t="n">
        <x:f>IF(D4059="Completed",I4059,0)</x:f>
        <x:v>0</x:v>
      </x:c>
      <x:c r="S4059" s="11" t="n">
        <x:f>IF(D4059="Completed",L4059,0)</x:f>
        <x:v>0</x:v>
      </x:c>
      <x:c r="T4059" s="8" t="n">
        <x:f>DATE(YEAR(C4059),MONTH(C4059),1)</x:f>
        <x:v>45992</x:v>
      </x:c>
    </x:row>
    <x:row r="4060" ht="22" customHeight="1">
      <x:c r="A4060" s="2" t="str">
        <x:v>L004056</x:v>
      </x:c>
      <x:c r="B4060" s="2" t="str">
        <x:v>O01647</x:v>
      </x:c>
      <x:c r="C4060" s="7" t="n">
        <x:v>46012</x:v>
      </x:c>
      <x:c r="D4060" s="2" t="str">
        <x:v>Cancelled</x:v>
      </x:c>
      <x:c r="E4060" s="2" t="str">
        <x:v>West</x:v>
      </x:c>
      <x:c r="F4060" s="2" t="str">
        <x:v>Store</x:v>
      </x:c>
      <x:c r="G4060" s="2" t="str">
        <x:v>Furniture</x:v>
      </x:c>
      <x:c r="H4060" s="2" t="str">
        <x:v>Desk 024</x:v>
      </x:c>
      <x:c r="I4060" s="11" t="n">
        <x:v>5</x:v>
      </x:c>
      <x:c r="J4060" s="9" t="n">
        <x:v>81</x:v>
      </x:c>
      <x:c r="K4060" s="10" t="n">
        <x:v>0.05</x:v>
      </x:c>
      <x:c r="L4060" s="11" t="n">
        <x:v>0</x:v>
      </x:c>
      <x:c r="M4060" s="9" t="n">
        <x:f>IF(D4060="Completed",I4060*J4060,0)</x:f>
        <x:v>0</x:v>
      </x:c>
      <x:c r="N4060" s="9" t="n">
        <x:f>M4060*K4060</x:f>
        <x:v>0</x:v>
      </x:c>
      <x:c r="O4060" s="9" t="n">
        <x:f>M4060-N4060</x:f>
        <x:v>0</x:v>
      </x:c>
      <x:c r="P4060" s="9" t="n">
        <x:f>IF(D4060="Completed",L4060*J4060*(1-K4060),0)</x:f>
        <x:v>0</x:v>
      </x:c>
      <x:c r="Q4060" s="9" t="n">
        <x:f>O4060-P4060</x:f>
        <x:v>0</x:v>
      </x:c>
      <x:c r="R4060" s="11" t="n">
        <x:f>IF(D4060="Completed",I4060,0)</x:f>
        <x:v>0</x:v>
      </x:c>
      <x:c r="S4060" s="11" t="n">
        <x:f>IF(D4060="Completed",L4060,0)</x:f>
        <x:v>0</x:v>
      </x:c>
      <x:c r="T4060" s="8" t="n">
        <x:f>DATE(YEAR(C4060),MONTH(C4060),1)</x:f>
        <x:v>45992</x:v>
      </x:c>
    </x:row>
    <x:row r="4061" ht="22" customHeight="1">
      <x:c r="A4061" s="2" t="str">
        <x:v>L004057</x:v>
      </x:c>
      <x:c r="B4061" s="2" t="str">
        <x:v>O01648</x:v>
      </x:c>
      <x:c r="C4061" s="7" t="n">
        <x:v>45836</x:v>
      </x:c>
      <x:c r="D4061" s="2" t="str">
        <x:v>Completed</x:v>
      </x:c>
      <x:c r="E4061" s="2" t="str">
        <x:v>North</x:v>
      </x:c>
      <x:c r="F4061" s="2" t="str">
        <x:v>Online</x:v>
      </x:c>
      <x:c r="G4061" s="2" t="str">
        <x:v>Furniture</x:v>
      </x:c>
      <x:c r="H4061" s="2" t="str">
        <x:v>Desk 012</x:v>
      </x:c>
      <x:c r="I4061" s="11" t="n">
        <x:v>5</x:v>
      </x:c>
      <x:c r="J4061" s="9" t="n">
        <x:v>134</x:v>
      </x:c>
      <x:c r="K4061" s="10" t="n">
        <x:v>0.2</x:v>
      </x:c>
      <x:c r="L4061" s="11" t="n">
        <x:v>0</x:v>
      </x:c>
      <x:c r="M4061" s="9" t="n">
        <x:f>IF(D4061="Completed",I4061*J4061,0)</x:f>
        <x:v>670</x:v>
      </x:c>
      <x:c r="N4061" s="9" t="n">
        <x:f>M4061*K4061</x:f>
        <x:v>134</x:v>
      </x:c>
      <x:c r="O4061" s="9" t="n">
        <x:f>M4061-N4061</x:f>
        <x:v>536</x:v>
      </x:c>
      <x:c r="P4061" s="9" t="n">
        <x:f>IF(D4061="Completed",L4061*J4061*(1-K4061),0)</x:f>
        <x:v>0</x:v>
      </x:c>
      <x:c r="Q4061" s="9" t="n">
        <x:f>O4061-P4061</x:f>
        <x:v>536</x:v>
      </x:c>
      <x:c r="R4061" s="11" t="n">
        <x:f>IF(D4061="Completed",I4061,0)</x:f>
        <x:v>5</x:v>
      </x:c>
      <x:c r="S4061" s="11" t="n">
        <x:f>IF(D4061="Completed",L4061,0)</x:f>
        <x:v>0</x:v>
      </x:c>
      <x:c r="T4061" s="8" t="n">
        <x:f>DATE(YEAR(C4061),MONTH(C4061),1)</x:f>
        <x:v>45809</x:v>
      </x:c>
    </x:row>
    <x:row r="4062" ht="22" customHeight="1">
      <x:c r="A4062" s="2" t="str">
        <x:v>L004058</x:v>
      </x:c>
      <x:c r="B4062" s="2" t="str">
        <x:v>O01648</x:v>
      </x:c>
      <x:c r="C4062" s="7" t="n">
        <x:v>45836</x:v>
      </x:c>
      <x:c r="D4062" s="2" t="str">
        <x:v>Completed</x:v>
      </x:c>
      <x:c r="E4062" s="2" t="str">
        <x:v>North</x:v>
      </x:c>
      <x:c r="F4062" s="2" t="str">
        <x:v>Online</x:v>
      </x:c>
      <x:c r="G4062" s="2" t="str">
        <x:v>Furniture</x:v>
      </x:c>
      <x:c r="H4062" s="2" t="str">
        <x:v>Desk 016</x:v>
      </x:c>
      <x:c r="I4062" s="11" t="n">
        <x:v>3</x:v>
      </x:c>
      <x:c r="J4062" s="9" t="n">
        <x:v>231</x:v>
      </x:c>
      <x:c r="K4062" s="10" t="n">
        <x:v>0.2</x:v>
      </x:c>
      <x:c r="L4062" s="11" t="n">
        <x:v>0</x:v>
      </x:c>
      <x:c r="M4062" s="9" t="n">
        <x:f>IF(D4062="Completed",I4062*J4062,0)</x:f>
        <x:v>693</x:v>
      </x:c>
      <x:c r="N4062" s="9" t="n">
        <x:f>M4062*K4062</x:f>
        <x:v>138.6</x:v>
      </x:c>
      <x:c r="O4062" s="9" t="n">
        <x:f>M4062-N4062</x:f>
        <x:v>554.4</x:v>
      </x:c>
      <x:c r="P4062" s="9" t="n">
        <x:f>IF(D4062="Completed",L4062*J4062*(1-K4062),0)</x:f>
        <x:v>0</x:v>
      </x:c>
      <x:c r="Q4062" s="9" t="n">
        <x:f>O4062-P4062</x:f>
        <x:v>554.4</x:v>
      </x:c>
      <x:c r="R4062" s="11" t="n">
        <x:f>IF(D4062="Completed",I4062,0)</x:f>
        <x:v>3</x:v>
      </x:c>
      <x:c r="S4062" s="11" t="n">
        <x:f>IF(D4062="Completed",L4062,0)</x:f>
        <x:v>0</x:v>
      </x:c>
      <x:c r="T4062" s="8" t="n">
        <x:f>DATE(YEAR(C4062),MONTH(C4062),1)</x:f>
        <x:v>45809</x:v>
      </x:c>
    </x:row>
    <x:row r="4063" ht="22" customHeight="1">
      <x:c r="A4063" s="2" t="str">
        <x:v>L004059</x:v>
      </x:c>
      <x:c r="B4063" s="2" t="str">
        <x:v>O01648</x:v>
      </x:c>
      <x:c r="C4063" s="7" t="n">
        <x:v>45836</x:v>
      </x:c>
      <x:c r="D4063" s="2" t="str">
        <x:v>Completed</x:v>
      </x:c>
      <x:c r="E4063" s="2" t="str">
        <x:v>North</x:v>
      </x:c>
      <x:c r="F4063" s="2" t="str">
        <x:v>Online</x:v>
      </x:c>
      <x:c r="G4063" s="2" t="str">
        <x:v>Furniture</x:v>
      </x:c>
      <x:c r="H4063" s="2" t="str">
        <x:v>Desk 016</x:v>
      </x:c>
      <x:c r="I4063" s="11" t="n">
        <x:v>1</x:v>
      </x:c>
      <x:c r="J4063" s="9" t="n">
        <x:v>231</x:v>
      </x:c>
      <x:c r="K4063" s="10" t="n">
        <x:v>0.05</x:v>
      </x:c>
      <x:c r="L4063" s="11" t="n">
        <x:v>0</x:v>
      </x:c>
      <x:c r="M4063" s="9" t="n">
        <x:f>IF(D4063="Completed",I4063*J4063,0)</x:f>
        <x:v>231</x:v>
      </x:c>
      <x:c r="N4063" s="9" t="n">
        <x:f>M4063*K4063</x:f>
        <x:v>11.55</x:v>
      </x:c>
      <x:c r="O4063" s="9" t="n">
        <x:f>M4063-N4063</x:f>
        <x:v>219.45</x:v>
      </x:c>
      <x:c r="P4063" s="9" t="n">
        <x:f>IF(D4063="Completed",L4063*J4063*(1-K4063),0)</x:f>
        <x:v>0</x:v>
      </x:c>
      <x:c r="Q4063" s="9" t="n">
        <x:f>O4063-P4063</x:f>
        <x:v>219.45</x:v>
      </x:c>
      <x:c r="R4063" s="11" t="n">
        <x:f>IF(D4063="Completed",I4063,0)</x:f>
        <x:v>1</x:v>
      </x:c>
      <x:c r="S4063" s="11" t="n">
        <x:f>IF(D4063="Completed",L4063,0)</x:f>
        <x:v>0</x:v>
      </x:c>
      <x:c r="T4063" s="8" t="n">
        <x:f>DATE(YEAR(C4063),MONTH(C4063),1)</x:f>
        <x:v>45809</x:v>
      </x:c>
    </x:row>
    <x:row r="4064" ht="22" customHeight="1">
      <x:c r="A4064" s="2" t="str">
        <x:v>L004060</x:v>
      </x:c>
      <x:c r="B4064" s="2" t="str">
        <x:v>O01649</x:v>
      </x:c>
      <x:c r="C4064" s="7" t="n">
        <x:v>45823</x:v>
      </x:c>
      <x:c r="D4064" s="2" t="str">
        <x:v>Completed</x:v>
      </x:c>
      <x:c r="E4064" s="2" t="str">
        <x:v>West</x:v>
      </x:c>
      <x:c r="F4064" s="2" t="str">
        <x:v>Online</x:v>
      </x:c>
      <x:c r="G4064" s="2" t="str">
        <x:v>Storage</x:v>
      </x:c>
      <x:c r="H4064" s="2" t="str">
        <x:v>Shelf 015</x:v>
      </x:c>
      <x:c r="I4064" s="11" t="n">
        <x:v>5</x:v>
      </x:c>
      <x:c r="J4064" s="9" t="n">
        <x:v>254</x:v>
      </x:c>
      <x:c r="K4064" s="10" t="n">
        <x:v>0.05</x:v>
      </x:c>
      <x:c r="L4064" s="11" t="n">
        <x:v>4</x:v>
      </x:c>
      <x:c r="M4064" s="9" t="n">
        <x:f>IF(D4064="Completed",I4064*J4064,0)</x:f>
        <x:v>1270</x:v>
      </x:c>
      <x:c r="N4064" s="9" t="n">
        <x:f>M4064*K4064</x:f>
        <x:v>63.5</x:v>
      </x:c>
      <x:c r="O4064" s="9" t="n">
        <x:f>M4064-N4064</x:f>
        <x:v>1206.5</x:v>
      </x:c>
      <x:c r="P4064" s="9" t="n">
        <x:f>IF(D4064="Completed",L4064*J4064*(1-K4064),0)</x:f>
        <x:v>965.1999999999999</x:v>
      </x:c>
      <x:c r="Q4064" s="9" t="n">
        <x:f>O4064-P4064</x:f>
        <x:v>241.30000000000007</x:v>
      </x:c>
      <x:c r="R4064" s="11" t="n">
        <x:f>IF(D4064="Completed",I4064,0)</x:f>
        <x:v>5</x:v>
      </x:c>
      <x:c r="S4064" s="11" t="n">
        <x:f>IF(D4064="Completed",L4064,0)</x:f>
        <x:v>4</x:v>
      </x:c>
      <x:c r="T4064" s="8" t="n">
        <x:f>DATE(YEAR(C4064),MONTH(C4064),1)</x:f>
        <x:v>45809</x:v>
      </x:c>
    </x:row>
    <x:row r="4065" ht="22" customHeight="1">
      <x:c r="A4065" s="2" t="str">
        <x:v>L004061</x:v>
      </x:c>
      <x:c r="B4065" s="2" t="str">
        <x:v>O01649</x:v>
      </x:c>
      <x:c r="C4065" s="7" t="n">
        <x:v>45823</x:v>
      </x:c>
      <x:c r="D4065" s="2" t="str">
        <x:v>Completed</x:v>
      </x:c>
      <x:c r="E4065" s="2" t="str">
        <x:v>West</x:v>
      </x:c>
      <x:c r="F4065" s="2" t="str">
        <x:v>Online</x:v>
      </x:c>
      <x:c r="G4065" s="2" t="str">
        <x:v>Storage</x:v>
      </x:c>
      <x:c r="H4065" s="2" t="str">
        <x:v>Shelf 003</x:v>
      </x:c>
      <x:c r="I4065" s="11" t="n">
        <x:v>5</x:v>
      </x:c>
      <x:c r="J4065" s="9" t="n">
        <x:v>199</x:v>
      </x:c>
      <x:c r="K4065" s="10" t="n">
        <x:v>0.2</x:v>
      </x:c>
      <x:c r="L4065" s="11" t="n">
        <x:v>2</x:v>
      </x:c>
      <x:c r="M4065" s="9" t="n">
        <x:f>IF(D4065="Completed",I4065*J4065,0)</x:f>
        <x:v>995</x:v>
      </x:c>
      <x:c r="N4065" s="9" t="n">
        <x:f>M4065*K4065</x:f>
        <x:v>199</x:v>
      </x:c>
      <x:c r="O4065" s="9" t="n">
        <x:f>M4065-N4065</x:f>
        <x:v>796</x:v>
      </x:c>
      <x:c r="P4065" s="9" t="n">
        <x:f>IF(D4065="Completed",L4065*J4065*(1-K4065),0)</x:f>
        <x:v>318.40000000000003</x:v>
      </x:c>
      <x:c r="Q4065" s="9" t="n">
        <x:f>O4065-P4065</x:f>
        <x:v>477.59999999999997</x:v>
      </x:c>
      <x:c r="R4065" s="11" t="n">
        <x:f>IF(D4065="Completed",I4065,0)</x:f>
        <x:v>5</x:v>
      </x:c>
      <x:c r="S4065" s="11" t="n">
        <x:f>IF(D4065="Completed",L4065,0)</x:f>
        <x:v>2</x:v>
      </x:c>
      <x:c r="T4065" s="8" t="n">
        <x:f>DATE(YEAR(C4065),MONTH(C4065),1)</x:f>
        <x:v>45809</x:v>
      </x:c>
    </x:row>
    <x:row r="4066" ht="22" customHeight="1">
      <x:c r="A4066" s="2" t="str">
        <x:v>L004062</x:v>
      </x:c>
      <x:c r="B4066" s="2" t="str">
        <x:v>O01649</x:v>
      </x:c>
      <x:c r="C4066" s="7" t="n">
        <x:v>45823</x:v>
      </x:c>
      <x:c r="D4066" s="2" t="str">
        <x:v>Completed</x:v>
      </x:c>
      <x:c r="E4066" s="2" t="str">
        <x:v>West</x:v>
      </x:c>
      <x:c r="F4066" s="2" t="str">
        <x:v>Online</x:v>
      </x:c>
      <x:c r="G4066" s="2" t="str">
        <x:v>Lighting</x:v>
      </x:c>
      <x:c r="H4066" s="2" t="str">
        <x:v>Lamp 001</x:v>
      </x:c>
      <x:c r="I4066" s="11" t="n">
        <x:v>3</x:v>
      </x:c>
      <x:c r="J4066" s="9" t="n">
        <x:v>122</x:v>
      </x:c>
      <x:c r="K4066" s="10" t="n">
        <x:v>0.2</x:v>
      </x:c>
      <x:c r="L4066" s="11" t="n">
        <x:v>0</x:v>
      </x:c>
      <x:c r="M4066" s="9" t="n">
        <x:f>IF(D4066="Completed",I4066*J4066,0)</x:f>
        <x:v>366</x:v>
      </x:c>
      <x:c r="N4066" s="9" t="n">
        <x:f>M4066*K4066</x:f>
        <x:v>73.2</x:v>
      </x:c>
      <x:c r="O4066" s="9" t="n">
        <x:f>M4066-N4066</x:f>
        <x:v>292.8</x:v>
      </x:c>
      <x:c r="P4066" s="9" t="n">
        <x:f>IF(D4066="Completed",L4066*J4066*(1-K4066),0)</x:f>
        <x:v>0</x:v>
      </x:c>
      <x:c r="Q4066" s="9" t="n">
        <x:f>O4066-P4066</x:f>
        <x:v>292.8</x:v>
      </x:c>
      <x:c r="R4066" s="11" t="n">
        <x:f>IF(D4066="Completed",I4066,0)</x:f>
        <x:v>3</x:v>
      </x:c>
      <x:c r="S4066" s="11" t="n">
        <x:f>IF(D4066="Completed",L4066,0)</x:f>
        <x:v>0</x:v>
      </x:c>
      <x:c r="T4066" s="8" t="n">
        <x:f>DATE(YEAR(C4066),MONTH(C4066),1)</x:f>
        <x:v>45809</x:v>
      </x:c>
    </x:row>
    <x:row r="4067" ht="22" customHeight="1">
      <x:c r="A4067" s="2" t="str">
        <x:v>L004063</x:v>
      </x:c>
      <x:c r="B4067" s="2" t="str">
        <x:v>O01649</x:v>
      </x:c>
      <x:c r="C4067" s="7" t="n">
        <x:v>45823</x:v>
      </x:c>
      <x:c r="D4067" s="2" t="str">
        <x:v>Completed</x:v>
      </x:c>
      <x:c r="E4067" s="2" t="str">
        <x:v>West</x:v>
      </x:c>
      <x:c r="F4067" s="2" t="str">
        <x:v>Online</x:v>
      </x:c>
      <x:c r="G4067" s="2" t="str">
        <x:v>Storage</x:v>
      </x:c>
      <x:c r="H4067" s="2" t="str">
        <x:v>Shelf 011</x:v>
      </x:c>
      <x:c r="I4067" s="11" t="n">
        <x:v>1</x:v>
      </x:c>
      <x:c r="J4067" s="9" t="n">
        <x:v>80</x:v>
      </x:c>
      <x:c r="K4067" s="10" t="n">
        <x:v>0.05</x:v>
      </x:c>
      <x:c r="L4067" s="11" t="n">
        <x:v>0</x:v>
      </x:c>
      <x:c r="M4067" s="9" t="n">
        <x:f>IF(D4067="Completed",I4067*J4067,0)</x:f>
        <x:v>80</x:v>
      </x:c>
      <x:c r="N4067" s="9" t="n">
        <x:f>M4067*K4067</x:f>
        <x:v>4</x:v>
      </x:c>
      <x:c r="O4067" s="9" t="n">
        <x:f>M4067-N4067</x:f>
        <x:v>76</x:v>
      </x:c>
      <x:c r="P4067" s="9" t="n">
        <x:f>IF(D4067="Completed",L4067*J4067*(1-K4067),0)</x:f>
        <x:v>0</x:v>
      </x:c>
      <x:c r="Q4067" s="9" t="n">
        <x:f>O4067-P4067</x:f>
        <x:v>76</x:v>
      </x:c>
      <x:c r="R4067" s="11" t="n">
        <x:f>IF(D4067="Completed",I4067,0)</x:f>
        <x:v>1</x:v>
      </x:c>
      <x:c r="S4067" s="11" t="n">
        <x:f>IF(D4067="Completed",L4067,0)</x:f>
        <x:v>0</x:v>
      </x:c>
      <x:c r="T4067" s="8" t="n">
        <x:f>DATE(YEAR(C4067),MONTH(C4067),1)</x:f>
        <x:v>45809</x:v>
      </x:c>
    </x:row>
    <x:row r="4068" ht="22" customHeight="1">
      <x:c r="A4068" s="2" t="str">
        <x:v>L004064</x:v>
      </x:c>
      <x:c r="B4068" s="2" t="str">
        <x:v>O01650</x:v>
      </x:c>
      <x:c r="C4068" s="7" t="n">
        <x:v>45890</x:v>
      </x:c>
      <x:c r="D4068" s="2" t="str">
        <x:v>Completed</x:v>
      </x:c>
      <x:c r="E4068" s="2" t="str">
        <x:v>East</x:v>
      </x:c>
      <x:c r="F4068" s="2" t="str">
        <x:v>Online</x:v>
      </x:c>
      <x:c r="G4068" s="2" t="str">
        <x:v>Storage</x:v>
      </x:c>
      <x:c r="H4068" s="2" t="str">
        <x:v>Shelf 023</x:v>
      </x:c>
      <x:c r="I4068" s="11" t="n">
        <x:v>2</x:v>
      </x:c>
      <x:c r="J4068" s="9" t="n">
        <x:v>68</x:v>
      </x:c>
      <x:c r="K4068" s="10" t="n">
        <x:v>0.1</x:v>
      </x:c>
      <x:c r="L4068" s="11" t="n">
        <x:v>0</x:v>
      </x:c>
      <x:c r="M4068" s="9" t="n">
        <x:f>IF(D4068="Completed",I4068*J4068,0)</x:f>
        <x:v>136</x:v>
      </x:c>
      <x:c r="N4068" s="9" t="n">
        <x:f>M4068*K4068</x:f>
        <x:v>13.600000000000001</x:v>
      </x:c>
      <x:c r="O4068" s="9" t="n">
        <x:f>M4068-N4068</x:f>
        <x:v>122.4</x:v>
      </x:c>
      <x:c r="P4068" s="9" t="n">
        <x:f>IF(D4068="Completed",L4068*J4068*(1-K4068),0)</x:f>
        <x:v>0</x:v>
      </x:c>
      <x:c r="Q4068" s="9" t="n">
        <x:f>O4068-P4068</x:f>
        <x:v>122.4</x:v>
      </x:c>
      <x:c r="R4068" s="11" t="n">
        <x:f>IF(D4068="Completed",I4068,0)</x:f>
        <x:v>2</x:v>
      </x:c>
      <x:c r="S4068" s="11" t="n">
        <x:f>IF(D4068="Completed",L4068,0)</x:f>
        <x:v>0</x:v>
      </x:c>
      <x:c r="T4068" s="8" t="n">
        <x:f>DATE(YEAR(C4068),MONTH(C4068),1)</x:f>
        <x:v>45870</x:v>
      </x:c>
    </x:row>
    <x:row r="4069" ht="22" customHeight="1">
      <x:c r="A4069" s="2" t="str">
        <x:v>L004065</x:v>
      </x:c>
      <x:c r="B4069" s="2" t="str">
        <x:v>O01651</x:v>
      </x:c>
      <x:c r="C4069" s="7" t="n">
        <x:v>45816</x:v>
      </x:c>
      <x:c r="D4069" s="2" t="str">
        <x:v>Completed</x:v>
      </x:c>
      <x:c r="E4069" s="2" t="str">
        <x:v>North</x:v>
      </x:c>
      <x:c r="F4069" s="2" t="str">
        <x:v>Online</x:v>
      </x:c>
      <x:c r="G4069" s="2" t="str">
        <x:v>Furniture</x:v>
      </x:c>
      <x:c r="H4069" s="2" t="str">
        <x:v>Desk 012</x:v>
      </x:c>
      <x:c r="I4069" s="11" t="n">
        <x:v>2</x:v>
      </x:c>
      <x:c r="J4069" s="9" t="n">
        <x:v>134</x:v>
      </x:c>
      <x:c r="K4069" s="10" t="n">
        <x:v>0</x:v>
      </x:c>
      <x:c r="L4069" s="11" t="n">
        <x:v>0</x:v>
      </x:c>
      <x:c r="M4069" s="9" t="n">
        <x:f>IF(D4069="Completed",I4069*J4069,0)</x:f>
        <x:v>268</x:v>
      </x:c>
      <x:c r="N4069" s="9" t="n">
        <x:f>M4069*K4069</x:f>
        <x:v>0</x:v>
      </x:c>
      <x:c r="O4069" s="9" t="n">
        <x:f>M4069-N4069</x:f>
        <x:v>268</x:v>
      </x:c>
      <x:c r="P4069" s="9" t="n">
        <x:f>IF(D4069="Completed",L4069*J4069*(1-K4069),0)</x:f>
        <x:v>0</x:v>
      </x:c>
      <x:c r="Q4069" s="9" t="n">
        <x:f>O4069-P4069</x:f>
        <x:v>268</x:v>
      </x:c>
      <x:c r="R4069" s="11" t="n">
        <x:f>IF(D4069="Completed",I4069,0)</x:f>
        <x:v>2</x:v>
      </x:c>
      <x:c r="S4069" s="11" t="n">
        <x:f>IF(D4069="Completed",L4069,0)</x:f>
        <x:v>0</x:v>
      </x:c>
      <x:c r="T4069" s="8" t="n">
        <x:f>DATE(YEAR(C4069),MONTH(C4069),1)</x:f>
        <x:v>45809</x:v>
      </x:c>
    </x:row>
    <x:row r="4070" ht="22" customHeight="1">
      <x:c r="A4070" s="2" t="str">
        <x:v>L004066</x:v>
      </x:c>
      <x:c r="B4070" s="2" t="str">
        <x:v>O01651</x:v>
      </x:c>
      <x:c r="C4070" s="7" t="n">
        <x:v>45816</x:v>
      </x:c>
      <x:c r="D4070" s="2" t="str">
        <x:v>Completed</x:v>
      </x:c>
      <x:c r="E4070" s="2" t="str">
        <x:v>North</x:v>
      </x:c>
      <x:c r="F4070" s="2" t="str">
        <x:v>Online</x:v>
      </x:c>
      <x:c r="G4070" s="2" t="str">
        <x:v>Furniture</x:v>
      </x:c>
      <x:c r="H4070" s="2" t="str">
        <x:v>Desk 004</x:v>
      </x:c>
      <x:c r="I4070" s="11" t="n">
        <x:v>3</x:v>
      </x:c>
      <x:c r="J4070" s="9" t="n">
        <x:v>123</x:v>
      </x:c>
      <x:c r="K4070" s="10" t="n">
        <x:v>0</x:v>
      </x:c>
      <x:c r="L4070" s="11" t="n">
        <x:v>0</x:v>
      </x:c>
      <x:c r="M4070" s="9" t="n">
        <x:f>IF(D4070="Completed",I4070*J4070,0)</x:f>
        <x:v>369</x:v>
      </x:c>
      <x:c r="N4070" s="9" t="n">
        <x:f>M4070*K4070</x:f>
        <x:v>0</x:v>
      </x:c>
      <x:c r="O4070" s="9" t="n">
        <x:f>M4070-N4070</x:f>
        <x:v>369</x:v>
      </x:c>
      <x:c r="P4070" s="9" t="n">
        <x:f>IF(D4070="Completed",L4070*J4070*(1-K4070),0)</x:f>
        <x:v>0</x:v>
      </x:c>
      <x:c r="Q4070" s="9" t="n">
        <x:f>O4070-P4070</x:f>
        <x:v>369</x:v>
      </x:c>
      <x:c r="R4070" s="11" t="n">
        <x:f>IF(D4070="Completed",I4070,0)</x:f>
        <x:v>3</x:v>
      </x:c>
      <x:c r="S4070" s="11" t="n">
        <x:f>IF(D4070="Completed",L4070,0)</x:f>
        <x:v>0</x:v>
      </x:c>
      <x:c r="T4070" s="8" t="n">
        <x:f>DATE(YEAR(C4070),MONTH(C4070),1)</x:f>
        <x:v>45809</x:v>
      </x:c>
    </x:row>
    <x:row r="4071" ht="22" customHeight="1">
      <x:c r="A4071" s="2" t="str">
        <x:v>L004067</x:v>
      </x:c>
      <x:c r="B4071" s="2" t="str">
        <x:v>O01651</x:v>
      </x:c>
      <x:c r="C4071" s="7" t="n">
        <x:v>45816</x:v>
      </x:c>
      <x:c r="D4071" s="2" t="str">
        <x:v>Completed</x:v>
      </x:c>
      <x:c r="E4071" s="2" t="str">
        <x:v>North</x:v>
      </x:c>
      <x:c r="F4071" s="2" t="str">
        <x:v>Online</x:v>
      </x:c>
      <x:c r="G4071" s="2" t="str">
        <x:v>Storage</x:v>
      </x:c>
      <x:c r="H4071" s="2" t="str">
        <x:v>Shelf 019</x:v>
      </x:c>
      <x:c r="I4071" s="11" t="n">
        <x:v>1</x:v>
      </x:c>
      <x:c r="J4071" s="9" t="n">
        <x:v>78</x:v>
      </x:c>
      <x:c r="K4071" s="10" t="n">
        <x:v>0</x:v>
      </x:c>
      <x:c r="L4071" s="11" t="n">
        <x:v>0</x:v>
      </x:c>
      <x:c r="M4071" s="9" t="n">
        <x:f>IF(D4071="Completed",I4071*J4071,0)</x:f>
        <x:v>78</x:v>
      </x:c>
      <x:c r="N4071" s="9" t="n">
        <x:f>M4071*K4071</x:f>
        <x:v>0</x:v>
      </x:c>
      <x:c r="O4071" s="9" t="n">
        <x:f>M4071-N4071</x:f>
        <x:v>78</x:v>
      </x:c>
      <x:c r="P4071" s="9" t="n">
        <x:f>IF(D4071="Completed",L4071*J4071*(1-K4071),0)</x:f>
        <x:v>0</x:v>
      </x:c>
      <x:c r="Q4071" s="9" t="n">
        <x:f>O4071-P4071</x:f>
        <x:v>78</x:v>
      </x:c>
      <x:c r="R4071" s="11" t="n">
        <x:f>IF(D4071="Completed",I4071,0)</x:f>
        <x:v>1</x:v>
      </x:c>
      <x:c r="S4071" s="11" t="n">
        <x:f>IF(D4071="Completed",L4071,0)</x:f>
        <x:v>0</x:v>
      </x:c>
      <x:c r="T4071" s="8" t="n">
        <x:f>DATE(YEAR(C4071),MONTH(C4071),1)</x:f>
        <x:v>45809</x:v>
      </x:c>
    </x:row>
    <x:row r="4072" ht="22" customHeight="1">
      <x:c r="A4072" s="2" t="str">
        <x:v>L004068</x:v>
      </x:c>
      <x:c r="B4072" s="2" t="str">
        <x:v>O01652</x:v>
      </x:c>
      <x:c r="C4072" s="7" t="n">
        <x:v>45945</x:v>
      </x:c>
      <x:c r="D4072" s="2" t="str">
        <x:v>Completed</x:v>
      </x:c>
      <x:c r="E4072" s="2" t="str">
        <x:v>South</x:v>
      </x:c>
      <x:c r="F4072" s="2" t="str">
        <x:v>Store</x:v>
      </x:c>
      <x:c r="G4072" s="2" t="str">
        <x:v>Furniture</x:v>
      </x:c>
      <x:c r="H4072" s="2" t="str">
        <x:v>Chair 010</x:v>
      </x:c>
      <x:c r="I4072" s="11" t="n">
        <x:v>3</x:v>
      </x:c>
      <x:c r="J4072" s="9" t="n">
        <x:v>211</x:v>
      </x:c>
      <x:c r="K4072" s="10" t="n">
        <x:v>0.05</x:v>
      </x:c>
      <x:c r="L4072" s="11" t="n">
        <x:v>0</x:v>
      </x:c>
      <x:c r="M4072" s="9" t="n">
        <x:f>IF(D4072="Completed",I4072*J4072,0)</x:f>
        <x:v>633</x:v>
      </x:c>
      <x:c r="N4072" s="9" t="n">
        <x:f>M4072*K4072</x:f>
        <x:v>31.650000000000002</x:v>
      </x:c>
      <x:c r="O4072" s="9" t="n">
        <x:f>M4072-N4072</x:f>
        <x:v>601.35</x:v>
      </x:c>
      <x:c r="P4072" s="9" t="n">
        <x:f>IF(D4072="Completed",L4072*J4072*(1-K4072),0)</x:f>
        <x:v>0</x:v>
      </x:c>
      <x:c r="Q4072" s="9" t="n">
        <x:f>O4072-P4072</x:f>
        <x:v>601.35</x:v>
      </x:c>
      <x:c r="R4072" s="11" t="n">
        <x:f>IF(D4072="Completed",I4072,0)</x:f>
        <x:v>3</x:v>
      </x:c>
      <x:c r="S4072" s="11" t="n">
        <x:f>IF(D4072="Completed",L4072,0)</x:f>
        <x:v>0</x:v>
      </x:c>
      <x:c r="T4072" s="8" t="n">
        <x:f>DATE(YEAR(C4072),MONTH(C4072),1)</x:f>
        <x:v>45931</x:v>
      </x:c>
    </x:row>
    <x:row r="4073" ht="22" customHeight="1">
      <x:c r="A4073" s="2" t="str">
        <x:v>L004069</x:v>
      </x:c>
      <x:c r="B4073" s="2" t="str">
        <x:v>O01652</x:v>
      </x:c>
      <x:c r="C4073" s="7" t="n">
        <x:v>45945</x:v>
      </x:c>
      <x:c r="D4073" s="2" t="str">
        <x:v>Completed</x:v>
      </x:c>
      <x:c r="E4073" s="2" t="str">
        <x:v>South</x:v>
      </x:c>
      <x:c r="F4073" s="2" t="str">
        <x:v>Store</x:v>
      </x:c>
      <x:c r="G4073" s="2" t="str">
        <x:v>Furniture</x:v>
      </x:c>
      <x:c r="H4073" s="2" t="str">
        <x:v>Desk 020</x:v>
      </x:c>
      <x:c r="I4073" s="11" t="n">
        <x:v>3</x:v>
      </x:c>
      <x:c r="J4073" s="9" t="n">
        <x:v>189</x:v>
      </x:c>
      <x:c r="K4073" s="10" t="n">
        <x:v>0.2</x:v>
      </x:c>
      <x:c r="L4073" s="11" t="n">
        <x:v>0</x:v>
      </x:c>
      <x:c r="M4073" s="9" t="n">
        <x:f>IF(D4073="Completed",I4073*J4073,0)</x:f>
        <x:v>567</x:v>
      </x:c>
      <x:c r="N4073" s="9" t="n">
        <x:f>M4073*K4073</x:f>
        <x:v>113.4</x:v>
      </x:c>
      <x:c r="O4073" s="9" t="n">
        <x:f>M4073-N4073</x:f>
        <x:v>453.6</x:v>
      </x:c>
      <x:c r="P4073" s="9" t="n">
        <x:f>IF(D4073="Completed",L4073*J4073*(1-K4073),0)</x:f>
        <x:v>0</x:v>
      </x:c>
      <x:c r="Q4073" s="9" t="n">
        <x:f>O4073-P4073</x:f>
        <x:v>453.6</x:v>
      </x:c>
      <x:c r="R4073" s="11" t="n">
        <x:f>IF(D4073="Completed",I4073,0)</x:f>
        <x:v>3</x:v>
      </x:c>
      <x:c r="S4073" s="11" t="n">
        <x:f>IF(D4073="Completed",L4073,0)</x:f>
        <x:v>0</x:v>
      </x:c>
      <x:c r="T4073" s="8" t="n">
        <x:f>DATE(YEAR(C4073),MONTH(C4073),1)</x:f>
        <x:v>45931</x:v>
      </x:c>
    </x:row>
    <x:row r="4074" ht="22" customHeight="1">
      <x:c r="A4074" s="2" t="str">
        <x:v>L004070</x:v>
      </x:c>
      <x:c r="B4074" s="2" t="str">
        <x:v>O01652</x:v>
      </x:c>
      <x:c r="C4074" s="7" t="n">
        <x:v>45945</x:v>
      </x:c>
      <x:c r="D4074" s="2" t="str">
        <x:v>Completed</x:v>
      </x:c>
      <x:c r="E4074" s="2" t="str">
        <x:v>South</x:v>
      </x:c>
      <x:c r="F4074" s="2" t="str">
        <x:v>Store</x:v>
      </x:c>
      <x:c r="G4074" s="2" t="str">
        <x:v>Lighting</x:v>
      </x:c>
      <x:c r="H4074" s="2" t="str">
        <x:v>Lamp 017</x:v>
      </x:c>
      <x:c r="I4074" s="11" t="n">
        <x:v>5</x:v>
      </x:c>
      <x:c r="J4074" s="9" t="n">
        <x:v>300</x:v>
      </x:c>
      <x:c r="K4074" s="10" t="n">
        <x:v>0.2</x:v>
      </x:c>
      <x:c r="L4074" s="11" t="n">
        <x:v>0</x:v>
      </x:c>
      <x:c r="M4074" s="9" t="n">
        <x:f>IF(D4074="Completed",I4074*J4074,0)</x:f>
        <x:v>1500</x:v>
      </x:c>
      <x:c r="N4074" s="9" t="n">
        <x:f>M4074*K4074</x:f>
        <x:v>300</x:v>
      </x:c>
      <x:c r="O4074" s="9" t="n">
        <x:f>M4074-N4074</x:f>
        <x:v>1200</x:v>
      </x:c>
      <x:c r="P4074" s="9" t="n">
        <x:f>IF(D4074="Completed",L4074*J4074*(1-K4074),0)</x:f>
        <x:v>0</x:v>
      </x:c>
      <x:c r="Q4074" s="9" t="n">
        <x:f>O4074-P4074</x:f>
        <x:v>1200</x:v>
      </x:c>
      <x:c r="R4074" s="11" t="n">
        <x:f>IF(D4074="Completed",I4074,0)</x:f>
        <x:v>5</x:v>
      </x:c>
      <x:c r="S4074" s="11" t="n">
        <x:f>IF(D4074="Completed",L4074,0)</x:f>
        <x:v>0</x:v>
      </x:c>
      <x:c r="T4074" s="8" t="n">
        <x:f>DATE(YEAR(C4074),MONTH(C4074),1)</x:f>
        <x:v>45931</x:v>
      </x:c>
    </x:row>
    <x:row r="4075" ht="22" customHeight="1">
      <x:c r="A4075" s="2" t="str">
        <x:v>L004071</x:v>
      </x:c>
      <x:c r="B4075" s="2" t="str">
        <x:v>O01652</x:v>
      </x:c>
      <x:c r="C4075" s="7" t="n">
        <x:v>45945</x:v>
      </x:c>
      <x:c r="D4075" s="2" t="str">
        <x:v>Completed</x:v>
      </x:c>
      <x:c r="E4075" s="2" t="str">
        <x:v>South</x:v>
      </x:c>
      <x:c r="F4075" s="2" t="str">
        <x:v>Store</x:v>
      </x:c>
      <x:c r="G4075" s="2" t="str">
        <x:v>Furniture</x:v>
      </x:c>
      <x:c r="H4075" s="2" t="str">
        <x:v>Chair 018</x:v>
      </x:c>
      <x:c r="I4075" s="11" t="n">
        <x:v>1</x:v>
      </x:c>
      <x:c r="J4075" s="9" t="n">
        <x:v>269</x:v>
      </x:c>
      <x:c r="K4075" s="10" t="n">
        <x:v>0</x:v>
      </x:c>
      <x:c r="L4075" s="11" t="n">
        <x:v>0</x:v>
      </x:c>
      <x:c r="M4075" s="9" t="n">
        <x:f>IF(D4075="Completed",I4075*J4075,0)</x:f>
        <x:v>269</x:v>
      </x:c>
      <x:c r="N4075" s="9" t="n">
        <x:f>M4075*K4075</x:f>
        <x:v>0</x:v>
      </x:c>
      <x:c r="O4075" s="9" t="n">
        <x:f>M4075-N4075</x:f>
        <x:v>269</x:v>
      </x:c>
      <x:c r="P4075" s="9" t="n">
        <x:f>IF(D4075="Completed",L4075*J4075*(1-K4075),0)</x:f>
        <x:v>0</x:v>
      </x:c>
      <x:c r="Q4075" s="9" t="n">
        <x:f>O4075-P4075</x:f>
        <x:v>269</x:v>
      </x:c>
      <x:c r="R4075" s="11" t="n">
        <x:f>IF(D4075="Completed",I4075,0)</x:f>
        <x:v>1</x:v>
      </x:c>
      <x:c r="S4075" s="11" t="n">
        <x:f>IF(D4075="Completed",L4075,0)</x:f>
        <x:v>0</x:v>
      </x:c>
      <x:c r="T4075" s="8" t="n">
        <x:f>DATE(YEAR(C4075),MONTH(C4075),1)</x:f>
        <x:v>45931</x:v>
      </x:c>
    </x:row>
    <x:row r="4076" ht="22" customHeight="1">
      <x:c r="A4076" s="2" t="str">
        <x:v>L004072</x:v>
      </x:c>
      <x:c r="B4076" s="2" t="str">
        <x:v>O01653</x:v>
      </x:c>
      <x:c r="C4076" s="7" t="n">
        <x:v>45673</x:v>
      </x:c>
      <x:c r="D4076" s="2" t="str">
        <x:v>Completed</x:v>
      </x:c>
      <x:c r="E4076" s="2" t="str">
        <x:v>North</x:v>
      </x:c>
      <x:c r="F4076" s="2" t="str">
        <x:v>Store</x:v>
      </x:c>
      <x:c r="G4076" s="2" t="str">
        <x:v>Furniture</x:v>
      </x:c>
      <x:c r="H4076" s="2" t="str">
        <x:v>Chair 014</x:v>
      </x:c>
      <x:c r="I4076" s="11" t="n">
        <x:v>5</x:v>
      </x:c>
      <x:c r="J4076" s="9" t="n">
        <x:v>294</x:v>
      </x:c>
      <x:c r="K4076" s="10" t="n">
        <x:v>0.05</x:v>
      </x:c>
      <x:c r="L4076" s="11" t="n">
        <x:v>0</x:v>
      </x:c>
      <x:c r="M4076" s="9" t="n">
        <x:f>IF(D4076="Completed",I4076*J4076,0)</x:f>
        <x:v>1470</x:v>
      </x:c>
      <x:c r="N4076" s="9" t="n">
        <x:f>M4076*K4076</x:f>
        <x:v>73.5</x:v>
      </x:c>
      <x:c r="O4076" s="9" t="n">
        <x:f>M4076-N4076</x:f>
        <x:v>1396.5</x:v>
      </x:c>
      <x:c r="P4076" s="9" t="n">
        <x:f>IF(D4076="Completed",L4076*J4076*(1-K4076),0)</x:f>
        <x:v>0</x:v>
      </x:c>
      <x:c r="Q4076" s="9" t="n">
        <x:f>O4076-P4076</x:f>
        <x:v>1396.5</x:v>
      </x:c>
      <x:c r="R4076" s="11" t="n">
        <x:f>IF(D4076="Completed",I4076,0)</x:f>
        <x:v>5</x:v>
      </x:c>
      <x:c r="S4076" s="11" t="n">
        <x:f>IF(D4076="Completed",L4076,0)</x:f>
        <x:v>0</x:v>
      </x:c>
      <x:c r="T4076" s="8" t="n">
        <x:f>DATE(YEAR(C4076),MONTH(C4076),1)</x:f>
        <x:v>45658</x:v>
      </x:c>
    </x:row>
    <x:row r="4077" ht="22" customHeight="1">
      <x:c r="A4077" s="2" t="str">
        <x:v>L004073</x:v>
      </x:c>
      <x:c r="B4077" s="2" t="str">
        <x:v>O01653</x:v>
      </x:c>
      <x:c r="C4077" s="7" t="n">
        <x:v>45673</x:v>
      </x:c>
      <x:c r="D4077" s="2" t="str">
        <x:v>Completed</x:v>
      </x:c>
      <x:c r="E4077" s="2" t="str">
        <x:v>North</x:v>
      </x:c>
      <x:c r="F4077" s="2" t="str">
        <x:v>Store</x:v>
      </x:c>
      <x:c r="G4077" s="2" t="str">
        <x:v>Lighting</x:v>
      </x:c>
      <x:c r="H4077" s="2" t="str">
        <x:v>Lamp 001</x:v>
      </x:c>
      <x:c r="I4077" s="11" t="n">
        <x:v>5</x:v>
      </x:c>
      <x:c r="J4077" s="9" t="n">
        <x:v>122</x:v>
      </x:c>
      <x:c r="K4077" s="10" t="n">
        <x:v>0</x:v>
      </x:c>
      <x:c r="L4077" s="11" t="n">
        <x:v>0</x:v>
      </x:c>
      <x:c r="M4077" s="9" t="n">
        <x:f>IF(D4077="Completed",I4077*J4077,0)</x:f>
        <x:v>610</x:v>
      </x:c>
      <x:c r="N4077" s="9" t="n">
        <x:f>M4077*K4077</x:f>
        <x:v>0</x:v>
      </x:c>
      <x:c r="O4077" s="9" t="n">
        <x:f>M4077-N4077</x:f>
        <x:v>610</x:v>
      </x:c>
      <x:c r="P4077" s="9" t="n">
        <x:f>IF(D4077="Completed",L4077*J4077*(1-K4077),0)</x:f>
        <x:v>0</x:v>
      </x:c>
      <x:c r="Q4077" s="9" t="n">
        <x:f>O4077-P4077</x:f>
        <x:v>610</x:v>
      </x:c>
      <x:c r="R4077" s="11" t="n">
        <x:f>IF(D4077="Completed",I4077,0)</x:f>
        <x:v>5</x:v>
      </x:c>
      <x:c r="S4077" s="11" t="n">
        <x:f>IF(D4077="Completed",L4077,0)</x:f>
        <x:v>0</x:v>
      </x:c>
      <x:c r="T4077" s="8" t="n">
        <x:f>DATE(YEAR(C4077),MONTH(C4077),1)</x:f>
        <x:v>45658</x:v>
      </x:c>
    </x:row>
    <x:row r="4078" ht="22" customHeight="1">
      <x:c r="A4078" s="2" t="str">
        <x:v>L004074</x:v>
      </x:c>
      <x:c r="B4078" s="2" t="str">
        <x:v>O01653</x:v>
      </x:c>
      <x:c r="C4078" s="7" t="n">
        <x:v>45673</x:v>
      </x:c>
      <x:c r="D4078" s="2" t="str">
        <x:v>Completed</x:v>
      </x:c>
      <x:c r="E4078" s="2" t="str">
        <x:v>North</x:v>
      </x:c>
      <x:c r="F4078" s="2" t="str">
        <x:v>Store</x:v>
      </x:c>
      <x:c r="G4078" s="2" t="str">
        <x:v>Furniture</x:v>
      </x:c>
      <x:c r="H4078" s="2" t="str">
        <x:v>Chair 022</x:v>
      </x:c>
      <x:c r="I4078" s="11" t="n">
        <x:v>3</x:v>
      </x:c>
      <x:c r="J4078" s="9" t="n">
        <x:v>134</x:v>
      </x:c>
      <x:c r="K4078" s="10" t="n">
        <x:v>0.1</x:v>
      </x:c>
      <x:c r="L4078" s="11" t="n">
        <x:v>0</x:v>
      </x:c>
      <x:c r="M4078" s="9" t="n">
        <x:f>IF(D4078="Completed",I4078*J4078,0)</x:f>
        <x:v>402</x:v>
      </x:c>
      <x:c r="N4078" s="9" t="n">
        <x:f>M4078*K4078</x:f>
        <x:v>40.2</x:v>
      </x:c>
      <x:c r="O4078" s="9" t="n">
        <x:f>M4078-N4078</x:f>
        <x:v>361.8</x:v>
      </x:c>
      <x:c r="P4078" s="9" t="n">
        <x:f>IF(D4078="Completed",L4078*J4078*(1-K4078),0)</x:f>
        <x:v>0</x:v>
      </x:c>
      <x:c r="Q4078" s="9" t="n">
        <x:f>O4078-P4078</x:f>
        <x:v>361.8</x:v>
      </x:c>
      <x:c r="R4078" s="11" t="n">
        <x:f>IF(D4078="Completed",I4078,0)</x:f>
        <x:v>3</x:v>
      </x:c>
      <x:c r="S4078" s="11" t="n">
        <x:f>IF(D4078="Completed",L4078,0)</x:f>
        <x:v>0</x:v>
      </x:c>
      <x:c r="T4078" s="8" t="n">
        <x:f>DATE(YEAR(C4078),MONTH(C4078),1)</x:f>
        <x:v>45658</x:v>
      </x:c>
    </x:row>
    <x:row r="4079" ht="22" customHeight="1">
      <x:c r="A4079" s="2" t="str">
        <x:v>L004075</x:v>
      </x:c>
      <x:c r="B4079" s="2" t="str">
        <x:v>O01654</x:v>
      </x:c>
      <x:c r="C4079" s="7" t="n">
        <x:v>45980</x:v>
      </x:c>
      <x:c r="D4079" s="2" t="str">
        <x:v>Completed</x:v>
      </x:c>
      <x:c r="E4079" s="2" t="str">
        <x:v>West</x:v>
      </x:c>
      <x:c r="F4079" s="2" t="str">
        <x:v>Online</x:v>
      </x:c>
      <x:c r="G4079" s="2" t="str">
        <x:v>Storage</x:v>
      </x:c>
      <x:c r="H4079" s="2" t="str">
        <x:v>Shelf 023</x:v>
      </x:c>
      <x:c r="I4079" s="11" t="n">
        <x:v>2</x:v>
      </x:c>
      <x:c r="J4079" s="9" t="n">
        <x:v>68</x:v>
      </x:c>
      <x:c r="K4079" s="10" t="n">
        <x:v>0</x:v>
      </x:c>
      <x:c r="L4079" s="11" t="n">
        <x:v>0</x:v>
      </x:c>
      <x:c r="M4079" s="9" t="n">
        <x:f>IF(D4079="Completed",I4079*J4079,0)</x:f>
        <x:v>136</x:v>
      </x:c>
      <x:c r="N4079" s="9" t="n">
        <x:f>M4079*K4079</x:f>
        <x:v>0</x:v>
      </x:c>
      <x:c r="O4079" s="9" t="n">
        <x:f>M4079-N4079</x:f>
        <x:v>136</x:v>
      </x:c>
      <x:c r="P4079" s="9" t="n">
        <x:f>IF(D4079="Completed",L4079*J4079*(1-K4079),0)</x:f>
        <x:v>0</x:v>
      </x:c>
      <x:c r="Q4079" s="9" t="n">
        <x:f>O4079-P4079</x:f>
        <x:v>136</x:v>
      </x:c>
      <x:c r="R4079" s="11" t="n">
        <x:f>IF(D4079="Completed",I4079,0)</x:f>
        <x:v>2</x:v>
      </x:c>
      <x:c r="S4079" s="11" t="n">
        <x:f>IF(D4079="Completed",L4079,0)</x:f>
        <x:v>0</x:v>
      </x:c>
      <x:c r="T4079" s="8" t="n">
        <x:f>DATE(YEAR(C4079),MONTH(C4079),1)</x:f>
        <x:v>45962</x:v>
      </x:c>
    </x:row>
    <x:row r="4080" ht="22" customHeight="1">
      <x:c r="A4080" s="2" t="str">
        <x:v>L004076</x:v>
      </x:c>
      <x:c r="B4080" s="2" t="str">
        <x:v>O01654</x:v>
      </x:c>
      <x:c r="C4080" s="7" t="n">
        <x:v>45980</x:v>
      </x:c>
      <x:c r="D4080" s="2" t="str">
        <x:v>Completed</x:v>
      </x:c>
      <x:c r="E4080" s="2" t="str">
        <x:v>West</x:v>
      </x:c>
      <x:c r="F4080" s="2" t="str">
        <x:v>Online</x:v>
      </x:c>
      <x:c r="G4080" s="2" t="str">
        <x:v>Furniture</x:v>
      </x:c>
      <x:c r="H4080" s="2" t="str">
        <x:v>Desk 012</x:v>
      </x:c>
      <x:c r="I4080" s="11" t="n">
        <x:v>5</x:v>
      </x:c>
      <x:c r="J4080" s="9" t="n">
        <x:v>134</x:v>
      </x:c>
      <x:c r="K4080" s="10" t="n">
        <x:v>0.1</x:v>
      </x:c>
      <x:c r="L4080" s="11" t="n">
        <x:v>0</x:v>
      </x:c>
      <x:c r="M4080" s="9" t="n">
        <x:f>IF(D4080="Completed",I4080*J4080,0)</x:f>
        <x:v>670</x:v>
      </x:c>
      <x:c r="N4080" s="9" t="n">
        <x:f>M4080*K4080</x:f>
        <x:v>67</x:v>
      </x:c>
      <x:c r="O4080" s="9" t="n">
        <x:f>M4080-N4080</x:f>
        <x:v>603</x:v>
      </x:c>
      <x:c r="P4080" s="9" t="n">
        <x:f>IF(D4080="Completed",L4080*J4080*(1-K4080),0)</x:f>
        <x:v>0</x:v>
      </x:c>
      <x:c r="Q4080" s="9" t="n">
        <x:f>O4080-P4080</x:f>
        <x:v>603</x:v>
      </x:c>
      <x:c r="R4080" s="11" t="n">
        <x:f>IF(D4080="Completed",I4080,0)</x:f>
        <x:v>5</x:v>
      </x:c>
      <x:c r="S4080" s="11" t="n">
        <x:f>IF(D4080="Completed",L4080,0)</x:f>
        <x:v>0</x:v>
      </x:c>
      <x:c r="T4080" s="8" t="n">
        <x:f>DATE(YEAR(C4080),MONTH(C4080),1)</x:f>
        <x:v>45962</x:v>
      </x:c>
    </x:row>
    <x:row r="4081" ht="22" customHeight="1">
      <x:c r="A4081" s="2" t="str">
        <x:v>L004077</x:v>
      </x:c>
      <x:c r="B4081" s="2" t="str">
        <x:v>O01654</x:v>
      </x:c>
      <x:c r="C4081" s="7" t="n">
        <x:v>45980</x:v>
      </x:c>
      <x:c r="D4081" s="2" t="str">
        <x:v>Completed</x:v>
      </x:c>
      <x:c r="E4081" s="2" t="str">
        <x:v>West</x:v>
      </x:c>
      <x:c r="F4081" s="2" t="str">
        <x:v>Online</x:v>
      </x:c>
      <x:c r="G4081" s="2" t="str">
        <x:v>Furniture</x:v>
      </x:c>
      <x:c r="H4081" s="2" t="str">
        <x:v>Desk 004</x:v>
      </x:c>
      <x:c r="I4081" s="11" t="n">
        <x:v>5</x:v>
      </x:c>
      <x:c r="J4081" s="9" t="n">
        <x:v>123</x:v>
      </x:c>
      <x:c r="K4081" s="10" t="n">
        <x:v>0</x:v>
      </x:c>
      <x:c r="L4081" s="11" t="n">
        <x:v>0</x:v>
      </x:c>
      <x:c r="M4081" s="9" t="n">
        <x:f>IF(D4081="Completed",I4081*J4081,0)</x:f>
        <x:v>615</x:v>
      </x:c>
      <x:c r="N4081" s="9" t="n">
        <x:f>M4081*K4081</x:f>
        <x:v>0</x:v>
      </x:c>
      <x:c r="O4081" s="9" t="n">
        <x:f>M4081-N4081</x:f>
        <x:v>615</x:v>
      </x:c>
      <x:c r="P4081" s="9" t="n">
        <x:f>IF(D4081="Completed",L4081*J4081*(1-K4081),0)</x:f>
        <x:v>0</x:v>
      </x:c>
      <x:c r="Q4081" s="9" t="n">
        <x:f>O4081-P4081</x:f>
        <x:v>615</x:v>
      </x:c>
      <x:c r="R4081" s="11" t="n">
        <x:f>IF(D4081="Completed",I4081,0)</x:f>
        <x:v>5</x:v>
      </x:c>
      <x:c r="S4081" s="11" t="n">
        <x:f>IF(D4081="Completed",L4081,0)</x:f>
        <x:v>0</x:v>
      </x:c>
      <x:c r="T4081" s="8" t="n">
        <x:f>DATE(YEAR(C4081),MONTH(C4081),1)</x:f>
        <x:v>45962</x:v>
      </x:c>
    </x:row>
    <x:row r="4082" ht="22" customHeight="1">
      <x:c r="A4082" s="2" t="str">
        <x:v>L004078</x:v>
      </x:c>
      <x:c r="B4082" s="2" t="str">
        <x:v>O01655</x:v>
      </x:c>
      <x:c r="C4082" s="7" t="n">
        <x:v>45925</x:v>
      </x:c>
      <x:c r="D4082" s="2" t="str">
        <x:v>Completed</x:v>
      </x:c>
      <x:c r="E4082" s="2" t="str">
        <x:v>South</x:v>
      </x:c>
      <x:c r="F4082" s="2" t="str">
        <x:v>Store</x:v>
      </x:c>
      <x:c r="G4082" s="2" t="str">
        <x:v>Furniture</x:v>
      </x:c>
      <x:c r="H4082" s="2" t="str">
        <x:v>Chair 022</x:v>
      </x:c>
      <x:c r="I4082" s="11" t="n">
        <x:v>5</x:v>
      </x:c>
      <x:c r="J4082" s="9" t="n">
        <x:v>134</x:v>
      </x:c>
      <x:c r="K4082" s="10" t="n">
        <x:v>0</x:v>
      </x:c>
      <x:c r="L4082" s="11" t="n">
        <x:v>0</x:v>
      </x:c>
      <x:c r="M4082" s="9" t="n">
        <x:f>IF(D4082="Completed",I4082*J4082,0)</x:f>
        <x:v>670</x:v>
      </x:c>
      <x:c r="N4082" s="9" t="n">
        <x:f>M4082*K4082</x:f>
        <x:v>0</x:v>
      </x:c>
      <x:c r="O4082" s="9" t="n">
        <x:f>M4082-N4082</x:f>
        <x:v>670</x:v>
      </x:c>
      <x:c r="P4082" s="9" t="n">
        <x:f>IF(D4082="Completed",L4082*J4082*(1-K4082),0)</x:f>
        <x:v>0</x:v>
      </x:c>
      <x:c r="Q4082" s="9" t="n">
        <x:f>O4082-P4082</x:f>
        <x:v>670</x:v>
      </x:c>
      <x:c r="R4082" s="11" t="n">
        <x:f>IF(D4082="Completed",I4082,0)</x:f>
        <x:v>5</x:v>
      </x:c>
      <x:c r="S4082" s="11" t="n">
        <x:f>IF(D4082="Completed",L4082,0)</x:f>
        <x:v>0</x:v>
      </x:c>
      <x:c r="T4082" s="8" t="n">
        <x:f>DATE(YEAR(C4082),MONTH(C4082),1)</x:f>
        <x:v>45901</x:v>
      </x:c>
    </x:row>
    <x:row r="4083" ht="22" customHeight="1">
      <x:c r="A4083" s="2" t="str">
        <x:v>L004079</x:v>
      </x:c>
      <x:c r="B4083" s="2" t="str">
        <x:v>O01655</x:v>
      </x:c>
      <x:c r="C4083" s="7" t="n">
        <x:v>45925</x:v>
      </x:c>
      <x:c r="D4083" s="2" t="str">
        <x:v>Completed</x:v>
      </x:c>
      <x:c r="E4083" s="2" t="str">
        <x:v>South</x:v>
      </x:c>
      <x:c r="F4083" s="2" t="str">
        <x:v>Store</x:v>
      </x:c>
      <x:c r="G4083" s="2" t="str">
        <x:v>Furniture</x:v>
      </x:c>
      <x:c r="H4083" s="2" t="str">
        <x:v>Desk 016</x:v>
      </x:c>
      <x:c r="I4083" s="11" t="n">
        <x:v>3</x:v>
      </x:c>
      <x:c r="J4083" s="9" t="n">
        <x:v>231</x:v>
      </x:c>
      <x:c r="K4083" s="10" t="n">
        <x:v>0.2</x:v>
      </x:c>
      <x:c r="L4083" s="11" t="n">
        <x:v>0</x:v>
      </x:c>
      <x:c r="M4083" s="9" t="n">
        <x:f>IF(D4083="Completed",I4083*J4083,0)</x:f>
        <x:v>693</x:v>
      </x:c>
      <x:c r="N4083" s="9" t="n">
        <x:f>M4083*K4083</x:f>
        <x:v>138.6</x:v>
      </x:c>
      <x:c r="O4083" s="9" t="n">
        <x:f>M4083-N4083</x:f>
        <x:v>554.4</x:v>
      </x:c>
      <x:c r="P4083" s="9" t="n">
        <x:f>IF(D4083="Completed",L4083*J4083*(1-K4083),0)</x:f>
        <x:v>0</x:v>
      </x:c>
      <x:c r="Q4083" s="9" t="n">
        <x:f>O4083-P4083</x:f>
        <x:v>554.4</x:v>
      </x:c>
      <x:c r="R4083" s="11" t="n">
        <x:f>IF(D4083="Completed",I4083,0)</x:f>
        <x:v>3</x:v>
      </x:c>
      <x:c r="S4083" s="11" t="n">
        <x:f>IF(D4083="Completed",L4083,0)</x:f>
        <x:v>0</x:v>
      </x:c>
      <x:c r="T4083" s="8" t="n">
        <x:f>DATE(YEAR(C4083),MONTH(C4083),1)</x:f>
        <x:v>45901</x:v>
      </x:c>
    </x:row>
    <x:row r="4084" ht="22" customHeight="1">
      <x:c r="A4084" s="2" t="str">
        <x:v>L004080</x:v>
      </x:c>
      <x:c r="B4084" s="2" t="str">
        <x:v>O01655</x:v>
      </x:c>
      <x:c r="C4084" s="7" t="n">
        <x:v>45925</x:v>
      </x:c>
      <x:c r="D4084" s="2" t="str">
        <x:v>Completed</x:v>
      </x:c>
      <x:c r="E4084" s="2" t="str">
        <x:v>South</x:v>
      </x:c>
      <x:c r="F4084" s="2" t="str">
        <x:v>Store</x:v>
      </x:c>
      <x:c r="G4084" s="2" t="str">
        <x:v>Storage</x:v>
      </x:c>
      <x:c r="H4084" s="2" t="str">
        <x:v>Shelf 015</x:v>
      </x:c>
      <x:c r="I4084" s="11" t="n">
        <x:v>2</x:v>
      </x:c>
      <x:c r="J4084" s="9" t="n">
        <x:v>254</x:v>
      </x:c>
      <x:c r="K4084" s="10" t="n">
        <x:v>0.1</x:v>
      </x:c>
      <x:c r="L4084" s="11" t="n">
        <x:v>0</x:v>
      </x:c>
      <x:c r="M4084" s="9" t="n">
        <x:f>IF(D4084="Completed",I4084*J4084,0)</x:f>
        <x:v>508</x:v>
      </x:c>
      <x:c r="N4084" s="9" t="n">
        <x:f>M4084*K4084</x:f>
        <x:v>50.800000000000004</x:v>
      </x:c>
      <x:c r="O4084" s="9" t="n">
        <x:f>M4084-N4084</x:f>
        <x:v>457.2</x:v>
      </x:c>
      <x:c r="P4084" s="9" t="n">
        <x:f>IF(D4084="Completed",L4084*J4084*(1-K4084),0)</x:f>
        <x:v>0</x:v>
      </x:c>
      <x:c r="Q4084" s="9" t="n">
        <x:f>O4084-P4084</x:f>
        <x:v>457.2</x:v>
      </x:c>
      <x:c r="R4084" s="11" t="n">
        <x:f>IF(D4084="Completed",I4084,0)</x:f>
        <x:v>2</x:v>
      </x:c>
      <x:c r="S4084" s="11" t="n">
        <x:f>IF(D4084="Completed",L4084,0)</x:f>
        <x:v>0</x:v>
      </x:c>
      <x:c r="T4084" s="8" t="n">
        <x:f>DATE(YEAR(C4084),MONTH(C4084),1)</x:f>
        <x:v>45901</x:v>
      </x:c>
    </x:row>
    <x:row r="4085" ht="22" customHeight="1">
      <x:c r="A4085" s="2" t="str">
        <x:v>L004081</x:v>
      </x:c>
      <x:c r="B4085" s="2" t="str">
        <x:v>O01655</x:v>
      </x:c>
      <x:c r="C4085" s="7" t="n">
        <x:v>45925</x:v>
      </x:c>
      <x:c r="D4085" s="2" t="str">
        <x:v>Completed</x:v>
      </x:c>
      <x:c r="E4085" s="2" t="str">
        <x:v>South</x:v>
      </x:c>
      <x:c r="F4085" s="2" t="str">
        <x:v>Store</x:v>
      </x:c>
      <x:c r="G4085" s="2" t="str">
        <x:v>Lighting</x:v>
      </x:c>
      <x:c r="H4085" s="2" t="str">
        <x:v>Lamp 021</x:v>
      </x:c>
      <x:c r="I4085" s="11" t="n">
        <x:v>4</x:v>
      </x:c>
      <x:c r="J4085" s="9" t="n">
        <x:v>249</x:v>
      </x:c>
      <x:c r="K4085" s="10" t="n">
        <x:v>0.1</x:v>
      </x:c>
      <x:c r="L4085" s="11" t="n">
        <x:v>0</x:v>
      </x:c>
      <x:c r="M4085" s="9" t="n">
        <x:f>IF(D4085="Completed",I4085*J4085,0)</x:f>
        <x:v>996</x:v>
      </x:c>
      <x:c r="N4085" s="9" t="n">
        <x:f>M4085*K4085</x:f>
        <x:v>99.60000000000001</x:v>
      </x:c>
      <x:c r="O4085" s="9" t="n">
        <x:f>M4085-N4085</x:f>
        <x:v>896.4</x:v>
      </x:c>
      <x:c r="P4085" s="9" t="n">
        <x:f>IF(D4085="Completed",L4085*J4085*(1-K4085),0)</x:f>
        <x:v>0</x:v>
      </x:c>
      <x:c r="Q4085" s="9" t="n">
        <x:f>O4085-P4085</x:f>
        <x:v>896.4</x:v>
      </x:c>
      <x:c r="R4085" s="11" t="n">
        <x:f>IF(D4085="Completed",I4085,0)</x:f>
        <x:v>4</x:v>
      </x:c>
      <x:c r="S4085" s="11" t="n">
        <x:f>IF(D4085="Completed",L4085,0)</x:f>
        <x:v>0</x:v>
      </x:c>
      <x:c r="T4085" s="8" t="n">
        <x:f>DATE(YEAR(C4085),MONTH(C4085),1)</x:f>
        <x:v>45901</x:v>
      </x:c>
    </x:row>
    <x:row r="4086" ht="22" customHeight="1">
      <x:c r="A4086" s="2" t="str">
        <x:v>L004082</x:v>
      </x:c>
      <x:c r="B4086" s="2" t="str">
        <x:v>O01656</x:v>
      </x:c>
      <x:c r="C4086" s="7" t="n">
        <x:v>46014</x:v>
      </x:c>
      <x:c r="D4086" s="2" t="str">
        <x:v>Completed</x:v>
      </x:c>
      <x:c r="E4086" s="2" t="str">
        <x:v>North</x:v>
      </x:c>
      <x:c r="F4086" s="2" t="str">
        <x:v>Online</x:v>
      </x:c>
      <x:c r="G4086" s="2" t="str">
        <x:v>Furniture</x:v>
      </x:c>
      <x:c r="H4086" s="2" t="str">
        <x:v>Chair 010</x:v>
      </x:c>
      <x:c r="I4086" s="11" t="n">
        <x:v>4</x:v>
      </x:c>
      <x:c r="J4086" s="9" t="n">
        <x:v>211</x:v>
      </x:c>
      <x:c r="K4086" s="10" t="n">
        <x:v>0</x:v>
      </x:c>
      <x:c r="L4086" s="11" t="n">
        <x:v>4</x:v>
      </x:c>
      <x:c r="M4086" s="9" t="n">
        <x:f>IF(D4086="Completed",I4086*J4086,0)</x:f>
        <x:v>844</x:v>
      </x:c>
      <x:c r="N4086" s="9" t="n">
        <x:f>M4086*K4086</x:f>
        <x:v>0</x:v>
      </x:c>
      <x:c r="O4086" s="9" t="n">
        <x:f>M4086-N4086</x:f>
        <x:v>844</x:v>
      </x:c>
      <x:c r="P4086" s="9" t="n">
        <x:f>IF(D4086="Completed",L4086*J4086*(1-K4086),0)</x:f>
        <x:v>844</x:v>
      </x:c>
      <x:c r="Q4086" s="9" t="n">
        <x:f>O4086-P4086</x:f>
        <x:v>0</x:v>
      </x:c>
      <x:c r="R4086" s="11" t="n">
        <x:f>IF(D4086="Completed",I4086,0)</x:f>
        <x:v>4</x:v>
      </x:c>
      <x:c r="S4086" s="11" t="n">
        <x:f>IF(D4086="Completed",L4086,0)</x:f>
        <x:v>4</x:v>
      </x:c>
      <x:c r="T4086" s="8" t="n">
        <x:f>DATE(YEAR(C4086),MONTH(C4086),1)</x:f>
        <x:v>45992</x:v>
      </x:c>
    </x:row>
    <x:row r="4087" ht="22" customHeight="1">
      <x:c r="A4087" s="2" t="str">
        <x:v>L004083</x:v>
      </x:c>
      <x:c r="B4087" s="2" t="str">
        <x:v>O01657</x:v>
      </x:c>
      <x:c r="C4087" s="7" t="n">
        <x:v>45928</x:v>
      </x:c>
      <x:c r="D4087" s="2" t="str">
        <x:v>Completed</x:v>
      </x:c>
      <x:c r="E4087" s="2" t="str">
        <x:v>East</x:v>
      </x:c>
      <x:c r="F4087" s="2" t="str">
        <x:v>Online</x:v>
      </x:c>
      <x:c r="G4087" s="2" t="str">
        <x:v>Lighting</x:v>
      </x:c>
      <x:c r="H4087" s="2" t="str">
        <x:v>Lamp 021</x:v>
      </x:c>
      <x:c r="I4087" s="11" t="n">
        <x:v>4</x:v>
      </x:c>
      <x:c r="J4087" s="9" t="n">
        <x:v>249</x:v>
      </x:c>
      <x:c r="K4087" s="10" t="n">
        <x:v>0</x:v>
      </x:c>
      <x:c r="L4087" s="11" t="n">
        <x:v>0</x:v>
      </x:c>
      <x:c r="M4087" s="9" t="n">
        <x:f>IF(D4087="Completed",I4087*J4087,0)</x:f>
        <x:v>996</x:v>
      </x:c>
      <x:c r="N4087" s="9" t="n">
        <x:f>M4087*K4087</x:f>
        <x:v>0</x:v>
      </x:c>
      <x:c r="O4087" s="9" t="n">
        <x:f>M4087-N4087</x:f>
        <x:v>996</x:v>
      </x:c>
      <x:c r="P4087" s="9" t="n">
        <x:f>IF(D4087="Completed",L4087*J4087*(1-K4087),0)</x:f>
        <x:v>0</x:v>
      </x:c>
      <x:c r="Q4087" s="9" t="n">
        <x:f>O4087-P4087</x:f>
        <x:v>996</x:v>
      </x:c>
      <x:c r="R4087" s="11" t="n">
        <x:f>IF(D4087="Completed",I4087,0)</x:f>
        <x:v>4</x:v>
      </x:c>
      <x:c r="S4087" s="11" t="n">
        <x:f>IF(D4087="Completed",L4087,0)</x:f>
        <x:v>0</x:v>
      </x:c>
      <x:c r="T4087" s="8" t="n">
        <x:f>DATE(YEAR(C4087),MONTH(C4087),1)</x:f>
        <x:v>45901</x:v>
      </x:c>
    </x:row>
    <x:row r="4088" ht="22" customHeight="1">
      <x:c r="A4088" s="2" t="str">
        <x:v>L004084</x:v>
      </x:c>
      <x:c r="B4088" s="2" t="str">
        <x:v>O01657</x:v>
      </x:c>
      <x:c r="C4088" s="7" t="n">
        <x:v>45928</x:v>
      </x:c>
      <x:c r="D4088" s="2" t="str">
        <x:v>Completed</x:v>
      </x:c>
      <x:c r="E4088" s="2" t="str">
        <x:v>East</x:v>
      </x:c>
      <x:c r="F4088" s="2" t="str">
        <x:v>Online</x:v>
      </x:c>
      <x:c r="G4088" s="2" t="str">
        <x:v>Furniture</x:v>
      </x:c>
      <x:c r="H4088" s="2" t="str">
        <x:v>Chair 006</x:v>
      </x:c>
      <x:c r="I4088" s="11" t="n">
        <x:v>4</x:v>
      </x:c>
      <x:c r="J4088" s="9" t="n">
        <x:v>196</x:v>
      </x:c>
      <x:c r="K4088" s="10" t="n">
        <x:v>0.05</x:v>
      </x:c>
      <x:c r="L4088" s="11" t="n">
        <x:v>0</x:v>
      </x:c>
      <x:c r="M4088" s="9" t="n">
        <x:f>IF(D4088="Completed",I4088*J4088,0)</x:f>
        <x:v>784</x:v>
      </x:c>
      <x:c r="N4088" s="9" t="n">
        <x:f>M4088*K4088</x:f>
        <x:v>39.2</x:v>
      </x:c>
      <x:c r="O4088" s="9" t="n">
        <x:f>M4088-N4088</x:f>
        <x:v>744.8</x:v>
      </x:c>
      <x:c r="P4088" s="9" t="n">
        <x:f>IF(D4088="Completed",L4088*J4088*(1-K4088),0)</x:f>
        <x:v>0</x:v>
      </x:c>
      <x:c r="Q4088" s="9" t="n">
        <x:f>O4088-P4088</x:f>
        <x:v>744.8</x:v>
      </x:c>
      <x:c r="R4088" s="11" t="n">
        <x:f>IF(D4088="Completed",I4088,0)</x:f>
        <x:v>4</x:v>
      </x:c>
      <x:c r="S4088" s="11" t="n">
        <x:f>IF(D4088="Completed",L4088,0)</x:f>
        <x:v>0</x:v>
      </x:c>
      <x:c r="T4088" s="8" t="n">
        <x:f>DATE(YEAR(C4088),MONTH(C4088),1)</x:f>
        <x:v>45901</x:v>
      </x:c>
    </x:row>
    <x:row r="4089" ht="22" customHeight="1">
      <x:c r="A4089" s="2" t="str">
        <x:v>L004085</x:v>
      </x:c>
      <x:c r="B4089" s="2" t="str">
        <x:v>O01657</x:v>
      </x:c>
      <x:c r="C4089" s="7" t="n">
        <x:v>45928</x:v>
      </x:c>
      <x:c r="D4089" s="2" t="str">
        <x:v>Completed</x:v>
      </x:c>
      <x:c r="E4089" s="2" t="str">
        <x:v>East</x:v>
      </x:c>
      <x:c r="F4089" s="2" t="str">
        <x:v>Online</x:v>
      </x:c>
      <x:c r="G4089" s="2" t="str">
        <x:v>Furniture</x:v>
      </x:c>
      <x:c r="H4089" s="2" t="str">
        <x:v>Desk 020</x:v>
      </x:c>
      <x:c r="I4089" s="11" t="n">
        <x:v>2</x:v>
      </x:c>
      <x:c r="J4089" s="9" t="n">
        <x:v>189</x:v>
      </x:c>
      <x:c r="K4089" s="10" t="n">
        <x:v>0.2</x:v>
      </x:c>
      <x:c r="L4089" s="11" t="n">
        <x:v>0</x:v>
      </x:c>
      <x:c r="M4089" s="9" t="n">
        <x:f>IF(D4089="Completed",I4089*J4089,0)</x:f>
        <x:v>378</x:v>
      </x:c>
      <x:c r="N4089" s="9" t="n">
        <x:f>M4089*K4089</x:f>
        <x:v>75.60000000000001</x:v>
      </x:c>
      <x:c r="O4089" s="9" t="n">
        <x:f>M4089-N4089</x:f>
        <x:v>302.4</x:v>
      </x:c>
      <x:c r="P4089" s="9" t="n">
        <x:f>IF(D4089="Completed",L4089*J4089*(1-K4089),0)</x:f>
        <x:v>0</x:v>
      </x:c>
      <x:c r="Q4089" s="9" t="n">
        <x:f>O4089-P4089</x:f>
        <x:v>302.4</x:v>
      </x:c>
      <x:c r="R4089" s="11" t="n">
        <x:f>IF(D4089="Completed",I4089,0)</x:f>
        <x:v>2</x:v>
      </x:c>
      <x:c r="S4089" s="11" t="n">
        <x:f>IF(D4089="Completed",L4089,0)</x:f>
        <x:v>0</x:v>
      </x:c>
      <x:c r="T4089" s="8" t="n">
        <x:f>DATE(YEAR(C4089),MONTH(C4089),1)</x:f>
        <x:v>45901</x:v>
      </x:c>
    </x:row>
    <x:row r="4090" ht="22" customHeight="1">
      <x:c r="A4090" s="2" t="str">
        <x:v>L004086</x:v>
      </x:c>
      <x:c r="B4090" s="2" t="str">
        <x:v>O01657</x:v>
      </x:c>
      <x:c r="C4090" s="7" t="n">
        <x:v>45928</x:v>
      </x:c>
      <x:c r="D4090" s="2" t="str">
        <x:v>Completed</x:v>
      </x:c>
      <x:c r="E4090" s="2" t="str">
        <x:v>East</x:v>
      </x:c>
      <x:c r="F4090" s="2" t="str">
        <x:v>Online</x:v>
      </x:c>
      <x:c r="G4090" s="2" t="str">
        <x:v>Furniture</x:v>
      </x:c>
      <x:c r="H4090" s="2" t="str">
        <x:v>Chair 018</x:v>
      </x:c>
      <x:c r="I4090" s="11" t="n">
        <x:v>2</x:v>
      </x:c>
      <x:c r="J4090" s="9" t="n">
        <x:v>269</x:v>
      </x:c>
      <x:c r="K4090" s="10" t="n">
        <x:v>0.05</x:v>
      </x:c>
      <x:c r="L4090" s="11" t="n">
        <x:v>0</x:v>
      </x:c>
      <x:c r="M4090" s="9" t="n">
        <x:f>IF(D4090="Completed",I4090*J4090,0)</x:f>
        <x:v>538</x:v>
      </x:c>
      <x:c r="N4090" s="9" t="n">
        <x:f>M4090*K4090</x:f>
        <x:v>26.900000000000002</x:v>
      </x:c>
      <x:c r="O4090" s="9" t="n">
        <x:f>M4090-N4090</x:f>
        <x:v>511.1</x:v>
      </x:c>
      <x:c r="P4090" s="9" t="n">
        <x:f>IF(D4090="Completed",L4090*J4090*(1-K4090),0)</x:f>
        <x:v>0</x:v>
      </x:c>
      <x:c r="Q4090" s="9" t="n">
        <x:f>O4090-P4090</x:f>
        <x:v>511.1</x:v>
      </x:c>
      <x:c r="R4090" s="11" t="n">
        <x:f>IF(D4090="Completed",I4090,0)</x:f>
        <x:v>2</x:v>
      </x:c>
      <x:c r="S4090" s="11" t="n">
        <x:f>IF(D4090="Completed",L4090,0)</x:f>
        <x:v>0</x:v>
      </x:c>
      <x:c r="T4090" s="8" t="n">
        <x:f>DATE(YEAR(C4090),MONTH(C4090),1)</x:f>
        <x:v>45901</x:v>
      </x:c>
    </x:row>
    <x:row r="4091" ht="22" customHeight="1">
      <x:c r="A4091" s="2" t="str">
        <x:v>L004087</x:v>
      </x:c>
      <x:c r="B4091" s="2" t="str">
        <x:v>O01658</x:v>
      </x:c>
      <x:c r="C4091" s="7" t="n">
        <x:v>45671</x:v>
      </x:c>
      <x:c r="D4091" s="2" t="str">
        <x:v>Completed</x:v>
      </x:c>
      <x:c r="E4091" s="2" t="str">
        <x:v>South</x:v>
      </x:c>
      <x:c r="F4091" s="2" t="str">
        <x:v>Online</x:v>
      </x:c>
      <x:c r="G4091" s="2" t="str">
        <x:v>Furniture</x:v>
      </x:c>
      <x:c r="H4091" s="2" t="str">
        <x:v>Desk 012</x:v>
      </x:c>
      <x:c r="I4091" s="11" t="n">
        <x:v>2</x:v>
      </x:c>
      <x:c r="J4091" s="9" t="n">
        <x:v>134</x:v>
      </x:c>
      <x:c r="K4091" s="10" t="n">
        <x:v>0.2</x:v>
      </x:c>
      <x:c r="L4091" s="11" t="n">
        <x:v>0</x:v>
      </x:c>
      <x:c r="M4091" s="9" t="n">
        <x:f>IF(D4091="Completed",I4091*J4091,0)</x:f>
        <x:v>268</x:v>
      </x:c>
      <x:c r="N4091" s="9" t="n">
        <x:f>M4091*K4091</x:f>
        <x:v>53.6</x:v>
      </x:c>
      <x:c r="O4091" s="9" t="n">
        <x:f>M4091-N4091</x:f>
        <x:v>214.4</x:v>
      </x:c>
      <x:c r="P4091" s="9" t="n">
        <x:f>IF(D4091="Completed",L4091*J4091*(1-K4091),0)</x:f>
        <x:v>0</x:v>
      </x:c>
      <x:c r="Q4091" s="9" t="n">
        <x:f>O4091-P4091</x:f>
        <x:v>214.4</x:v>
      </x:c>
      <x:c r="R4091" s="11" t="n">
        <x:f>IF(D4091="Completed",I4091,0)</x:f>
        <x:v>2</x:v>
      </x:c>
      <x:c r="S4091" s="11" t="n">
        <x:f>IF(D4091="Completed",L4091,0)</x:f>
        <x:v>0</x:v>
      </x:c>
      <x:c r="T4091" s="8" t="n">
        <x:f>DATE(YEAR(C4091),MONTH(C4091),1)</x:f>
        <x:v>45658</x:v>
      </x:c>
    </x:row>
    <x:row r="4092" ht="22" customHeight="1">
      <x:c r="A4092" s="2" t="str">
        <x:v>L004088</x:v>
      </x:c>
      <x:c r="B4092" s="2" t="str">
        <x:v>O01658</x:v>
      </x:c>
      <x:c r="C4092" s="7" t="n">
        <x:v>45671</x:v>
      </x:c>
      <x:c r="D4092" s="2" t="str">
        <x:v>Completed</x:v>
      </x:c>
      <x:c r="E4092" s="2" t="str">
        <x:v>South</x:v>
      </x:c>
      <x:c r="F4092" s="2" t="str">
        <x:v>Online</x:v>
      </x:c>
      <x:c r="G4092" s="2" t="str">
        <x:v>Furniture</x:v>
      </x:c>
      <x:c r="H4092" s="2" t="str">
        <x:v>Desk 008</x:v>
      </x:c>
      <x:c r="I4092" s="11" t="n">
        <x:v>4</x:v>
      </x:c>
      <x:c r="J4092" s="9" t="n">
        <x:v>188</x:v>
      </x:c>
      <x:c r="K4092" s="10" t="n">
        <x:v>0.1</x:v>
      </x:c>
      <x:c r="L4092" s="11" t="n">
        <x:v>0</x:v>
      </x:c>
      <x:c r="M4092" s="9" t="n">
        <x:f>IF(D4092="Completed",I4092*J4092,0)</x:f>
        <x:v>752</x:v>
      </x:c>
      <x:c r="N4092" s="9" t="n">
        <x:f>M4092*K4092</x:f>
        <x:v>75.2</x:v>
      </x:c>
      <x:c r="O4092" s="9" t="n">
        <x:f>M4092-N4092</x:f>
        <x:v>676.8</x:v>
      </x:c>
      <x:c r="P4092" s="9" t="n">
        <x:f>IF(D4092="Completed",L4092*J4092*(1-K4092),0)</x:f>
        <x:v>0</x:v>
      </x:c>
      <x:c r="Q4092" s="9" t="n">
        <x:f>O4092-P4092</x:f>
        <x:v>676.8</x:v>
      </x:c>
      <x:c r="R4092" s="11" t="n">
        <x:f>IF(D4092="Completed",I4092,0)</x:f>
        <x:v>4</x:v>
      </x:c>
      <x:c r="S4092" s="11" t="n">
        <x:f>IF(D4092="Completed",L4092,0)</x:f>
        <x:v>0</x:v>
      </x:c>
      <x:c r="T4092" s="8" t="n">
        <x:f>DATE(YEAR(C4092),MONTH(C4092),1)</x:f>
        <x:v>45658</x:v>
      </x:c>
    </x:row>
    <x:row r="4093" ht="22" customHeight="1">
      <x:c r="A4093" s="2" t="str">
        <x:v>L004089</x:v>
      </x:c>
      <x:c r="B4093" s="2" t="str">
        <x:v>O01659</x:v>
      </x:c>
      <x:c r="C4093" s="7" t="n">
        <x:v>45762</x:v>
      </x:c>
      <x:c r="D4093" s="2" t="str">
        <x:v>Completed</x:v>
      </x:c>
      <x:c r="E4093" s="2" t="str">
        <x:v>East</x:v>
      </x:c>
      <x:c r="F4093" s="2" t="str">
        <x:v>Store</x:v>
      </x:c>
      <x:c r="G4093" s="2" t="str">
        <x:v>Lighting</x:v>
      </x:c>
      <x:c r="H4093" s="2" t="str">
        <x:v>Lamp 001</x:v>
      </x:c>
      <x:c r="I4093" s="11" t="n">
        <x:v>5</x:v>
      </x:c>
      <x:c r="J4093" s="9" t="n">
        <x:v>122</x:v>
      </x:c>
      <x:c r="K4093" s="10" t="n">
        <x:v>0.05</x:v>
      </x:c>
      <x:c r="L4093" s="11" t="n">
        <x:v>0</x:v>
      </x:c>
      <x:c r="M4093" s="9" t="n">
        <x:f>IF(D4093="Completed",I4093*J4093,0)</x:f>
        <x:v>610</x:v>
      </x:c>
      <x:c r="N4093" s="9" t="n">
        <x:f>M4093*K4093</x:f>
        <x:v>30.5</x:v>
      </x:c>
      <x:c r="O4093" s="9" t="n">
        <x:f>M4093-N4093</x:f>
        <x:v>579.5</x:v>
      </x:c>
      <x:c r="P4093" s="9" t="n">
        <x:f>IF(D4093="Completed",L4093*J4093*(1-K4093),0)</x:f>
        <x:v>0</x:v>
      </x:c>
      <x:c r="Q4093" s="9" t="n">
        <x:f>O4093-P4093</x:f>
        <x:v>579.5</x:v>
      </x:c>
      <x:c r="R4093" s="11" t="n">
        <x:f>IF(D4093="Completed",I4093,0)</x:f>
        <x:v>5</x:v>
      </x:c>
      <x:c r="S4093" s="11" t="n">
        <x:f>IF(D4093="Completed",L4093,0)</x:f>
        <x:v>0</x:v>
      </x:c>
      <x:c r="T4093" s="8" t="n">
        <x:f>DATE(YEAR(C4093),MONTH(C4093),1)</x:f>
        <x:v>45748</x:v>
      </x:c>
    </x:row>
    <x:row r="4094" ht="22" customHeight="1">
      <x:c r="A4094" s="2" t="str">
        <x:v>L004090</x:v>
      </x:c>
      <x:c r="B4094" s="2" t="str">
        <x:v>O01659</x:v>
      </x:c>
      <x:c r="C4094" s="7" t="n">
        <x:v>45762</x:v>
      </x:c>
      <x:c r="D4094" s="2" t="str">
        <x:v>Completed</x:v>
      </x:c>
      <x:c r="E4094" s="2" t="str">
        <x:v>East</x:v>
      </x:c>
      <x:c r="F4094" s="2" t="str">
        <x:v>Store</x:v>
      </x:c>
      <x:c r="G4094" s="2" t="str">
        <x:v>Storage</x:v>
      </x:c>
      <x:c r="H4094" s="2" t="str">
        <x:v>Shelf 011</x:v>
      </x:c>
      <x:c r="I4094" s="11" t="n">
        <x:v>2</x:v>
      </x:c>
      <x:c r="J4094" s="9" t="n">
        <x:v>80</x:v>
      </x:c>
      <x:c r="K4094" s="10" t="n">
        <x:v>0</x:v>
      </x:c>
      <x:c r="L4094" s="11" t="n">
        <x:v>0</x:v>
      </x:c>
      <x:c r="M4094" s="9" t="n">
        <x:f>IF(D4094="Completed",I4094*J4094,0)</x:f>
        <x:v>160</x:v>
      </x:c>
      <x:c r="N4094" s="9" t="n">
        <x:f>M4094*K4094</x:f>
        <x:v>0</x:v>
      </x:c>
      <x:c r="O4094" s="9" t="n">
        <x:f>M4094-N4094</x:f>
        <x:v>160</x:v>
      </x:c>
      <x:c r="P4094" s="9" t="n">
        <x:f>IF(D4094="Completed",L4094*J4094*(1-K4094),0)</x:f>
        <x:v>0</x:v>
      </x:c>
      <x:c r="Q4094" s="9" t="n">
        <x:f>O4094-P4094</x:f>
        <x:v>160</x:v>
      </x:c>
      <x:c r="R4094" s="11" t="n">
        <x:f>IF(D4094="Completed",I4094,0)</x:f>
        <x:v>2</x:v>
      </x:c>
      <x:c r="S4094" s="11" t="n">
        <x:f>IF(D4094="Completed",L4094,0)</x:f>
        <x:v>0</x:v>
      </x:c>
      <x:c r="T4094" s="8" t="n">
        <x:f>DATE(YEAR(C4094),MONTH(C4094),1)</x:f>
        <x:v>45748</x:v>
      </x:c>
    </x:row>
    <x:row r="4095" ht="22" customHeight="1">
      <x:c r="A4095" s="2" t="str">
        <x:v>L004091</x:v>
      </x:c>
      <x:c r="B4095" s="2" t="str">
        <x:v>O01660</x:v>
      </x:c>
      <x:c r="C4095" s="7" t="n">
        <x:v>45723</x:v>
      </x:c>
      <x:c r="D4095" s="2" t="str">
        <x:v>Completed</x:v>
      </x:c>
      <x:c r="E4095" s="2" t="str">
        <x:v>West</x:v>
      </x:c>
      <x:c r="F4095" s="2" t="str">
        <x:v>Online</x:v>
      </x:c>
      <x:c r="G4095" s="2" t="str">
        <x:v>Lighting</x:v>
      </x:c>
      <x:c r="H4095" s="2" t="str">
        <x:v>Lamp 017</x:v>
      </x:c>
      <x:c r="I4095" s="11" t="n">
        <x:v>1</x:v>
      </x:c>
      <x:c r="J4095" s="9" t="n">
        <x:v>300</x:v>
      </x:c>
      <x:c r="K4095" s="10" t="n">
        <x:v>0.2</x:v>
      </x:c>
      <x:c r="L4095" s="11" t="n">
        <x:v>0</x:v>
      </x:c>
      <x:c r="M4095" s="9" t="n">
        <x:f>IF(D4095="Completed",I4095*J4095,0)</x:f>
        <x:v>300</x:v>
      </x:c>
      <x:c r="N4095" s="9" t="n">
        <x:f>M4095*K4095</x:f>
        <x:v>60</x:v>
      </x:c>
      <x:c r="O4095" s="9" t="n">
        <x:f>M4095-N4095</x:f>
        <x:v>240</x:v>
      </x:c>
      <x:c r="P4095" s="9" t="n">
        <x:f>IF(D4095="Completed",L4095*J4095*(1-K4095),0)</x:f>
        <x:v>0</x:v>
      </x:c>
      <x:c r="Q4095" s="9" t="n">
        <x:f>O4095-P4095</x:f>
        <x:v>240</x:v>
      </x:c>
      <x:c r="R4095" s="11" t="n">
        <x:f>IF(D4095="Completed",I4095,0)</x:f>
        <x:v>1</x:v>
      </x:c>
      <x:c r="S4095" s="11" t="n">
        <x:f>IF(D4095="Completed",L4095,0)</x:f>
        <x:v>0</x:v>
      </x:c>
      <x:c r="T4095" s="8" t="n">
        <x:f>DATE(YEAR(C4095),MONTH(C4095),1)</x:f>
        <x:v>45717</x:v>
      </x:c>
    </x:row>
    <x:row r="4096" ht="22" customHeight="1">
      <x:c r="A4096" s="2" t="str">
        <x:v>L004092</x:v>
      </x:c>
      <x:c r="B4096" s="2" t="str">
        <x:v>O01660</x:v>
      </x:c>
      <x:c r="C4096" s="7" t="n">
        <x:v>45723</x:v>
      </x:c>
      <x:c r="D4096" s="2" t="str">
        <x:v>Completed</x:v>
      </x:c>
      <x:c r="E4096" s="2" t="str">
        <x:v>West</x:v>
      </x:c>
      <x:c r="F4096" s="2" t="str">
        <x:v>Online</x:v>
      </x:c>
      <x:c r="G4096" s="2" t="str">
        <x:v>Furniture</x:v>
      </x:c>
      <x:c r="H4096" s="2" t="str">
        <x:v>Desk 024</x:v>
      </x:c>
      <x:c r="I4096" s="11" t="n">
        <x:v>5</x:v>
      </x:c>
      <x:c r="J4096" s="9" t="n">
        <x:v>81</x:v>
      </x:c>
      <x:c r="K4096" s="10" t="n">
        <x:v>0.2</x:v>
      </x:c>
      <x:c r="L4096" s="11" t="n">
        <x:v>0</x:v>
      </x:c>
      <x:c r="M4096" s="9" t="n">
        <x:f>IF(D4096="Completed",I4096*J4096,0)</x:f>
        <x:v>405</x:v>
      </x:c>
      <x:c r="N4096" s="9" t="n">
        <x:f>M4096*K4096</x:f>
        <x:v>81</x:v>
      </x:c>
      <x:c r="O4096" s="9" t="n">
        <x:f>M4096-N4096</x:f>
        <x:v>324</x:v>
      </x:c>
      <x:c r="P4096" s="9" t="n">
        <x:f>IF(D4096="Completed",L4096*J4096*(1-K4096),0)</x:f>
        <x:v>0</x:v>
      </x:c>
      <x:c r="Q4096" s="9" t="n">
        <x:f>O4096-P4096</x:f>
        <x:v>324</x:v>
      </x:c>
      <x:c r="R4096" s="11" t="n">
        <x:f>IF(D4096="Completed",I4096,0)</x:f>
        <x:v>5</x:v>
      </x:c>
      <x:c r="S4096" s="11" t="n">
        <x:f>IF(D4096="Completed",L4096,0)</x:f>
        <x:v>0</x:v>
      </x:c>
      <x:c r="T4096" s="8" t="n">
        <x:f>DATE(YEAR(C4096),MONTH(C4096),1)</x:f>
        <x:v>45717</x:v>
      </x:c>
    </x:row>
    <x:row r="4097" ht="22" customHeight="1">
      <x:c r="A4097" s="2" t="str">
        <x:v>L004093</x:v>
      </x:c>
      <x:c r="B4097" s="2" t="str">
        <x:v>O01661</x:v>
      </x:c>
      <x:c r="C4097" s="7" t="n">
        <x:v>45691</x:v>
      </x:c>
      <x:c r="D4097" s="2" t="str">
        <x:v>Cancelled</x:v>
      </x:c>
      <x:c r="E4097" s="2" t="str">
        <x:v>North</x:v>
      </x:c>
      <x:c r="F4097" s="2" t="str">
        <x:v>Online</x:v>
      </x:c>
      <x:c r="G4097" s="2" t="str">
        <x:v>Lighting</x:v>
      </x:c>
      <x:c r="H4097" s="2" t="str">
        <x:v>Lamp 017</x:v>
      </x:c>
      <x:c r="I4097" s="11" t="n">
        <x:v>1</x:v>
      </x:c>
      <x:c r="J4097" s="9" t="n">
        <x:v>300</x:v>
      </x:c>
      <x:c r="K4097" s="10" t="n">
        <x:v>0.2</x:v>
      </x:c>
      <x:c r="L4097" s="11" t="n">
        <x:v>0</x:v>
      </x:c>
      <x:c r="M4097" s="9" t="n">
        <x:f>IF(D4097="Completed",I4097*J4097,0)</x:f>
        <x:v>0</x:v>
      </x:c>
      <x:c r="N4097" s="9" t="n">
        <x:f>M4097*K4097</x:f>
        <x:v>0</x:v>
      </x:c>
      <x:c r="O4097" s="9" t="n">
        <x:f>M4097-N4097</x:f>
        <x:v>0</x:v>
      </x:c>
      <x:c r="P4097" s="9" t="n">
        <x:f>IF(D4097="Completed",L4097*J4097*(1-K4097),0)</x:f>
        <x:v>0</x:v>
      </x:c>
      <x:c r="Q4097" s="9" t="n">
        <x:f>O4097-P4097</x:f>
        <x:v>0</x:v>
      </x:c>
      <x:c r="R4097" s="11" t="n">
        <x:f>IF(D4097="Completed",I4097,0)</x:f>
        <x:v>0</x:v>
      </x:c>
      <x:c r="S4097" s="11" t="n">
        <x:f>IF(D4097="Completed",L4097,0)</x:f>
        <x:v>0</x:v>
      </x:c>
      <x:c r="T4097" s="8" t="n">
        <x:f>DATE(YEAR(C4097),MONTH(C4097),1)</x:f>
        <x:v>45689</x:v>
      </x:c>
    </x:row>
    <x:row r="4098" ht="22" customHeight="1">
      <x:c r="A4098" s="2" t="str">
        <x:v>L004094</x:v>
      </x:c>
      <x:c r="B4098" s="2" t="str">
        <x:v>O01661</x:v>
      </x:c>
      <x:c r="C4098" s="7" t="n">
        <x:v>45691</x:v>
      </x:c>
      <x:c r="D4098" s="2" t="str">
        <x:v>Cancelled</x:v>
      </x:c>
      <x:c r="E4098" s="2" t="str">
        <x:v>North</x:v>
      </x:c>
      <x:c r="F4098" s="2" t="str">
        <x:v>Online</x:v>
      </x:c>
      <x:c r="G4098" s="2" t="str">
        <x:v>Storage</x:v>
      </x:c>
      <x:c r="H4098" s="2" t="str">
        <x:v>Shelf 023</x:v>
      </x:c>
      <x:c r="I4098" s="11" t="n">
        <x:v>3</x:v>
      </x:c>
      <x:c r="J4098" s="9" t="n">
        <x:v>68</x:v>
      </x:c>
      <x:c r="K4098" s="10" t="n">
        <x:v>0.1</x:v>
      </x:c>
      <x:c r="L4098" s="11" t="n">
        <x:v>0</x:v>
      </x:c>
      <x:c r="M4098" s="9" t="n">
        <x:f>IF(D4098="Completed",I4098*J4098,0)</x:f>
        <x:v>0</x:v>
      </x:c>
      <x:c r="N4098" s="9" t="n">
        <x:f>M4098*K4098</x:f>
        <x:v>0</x:v>
      </x:c>
      <x:c r="O4098" s="9" t="n">
        <x:f>M4098-N4098</x:f>
        <x:v>0</x:v>
      </x:c>
      <x:c r="P4098" s="9" t="n">
        <x:f>IF(D4098="Completed",L4098*J4098*(1-K4098),0)</x:f>
        <x:v>0</x:v>
      </x:c>
      <x:c r="Q4098" s="9" t="n">
        <x:f>O4098-P4098</x:f>
        <x:v>0</x:v>
      </x:c>
      <x:c r="R4098" s="11" t="n">
        <x:f>IF(D4098="Completed",I4098,0)</x:f>
        <x:v>0</x:v>
      </x:c>
      <x:c r="S4098" s="11" t="n">
        <x:f>IF(D4098="Completed",L4098,0)</x:f>
        <x:v>0</x:v>
      </x:c>
      <x:c r="T4098" s="8" t="n">
        <x:f>DATE(YEAR(C4098),MONTH(C4098),1)</x:f>
        <x:v>45689</x:v>
      </x:c>
    </x:row>
    <x:row r="4099" ht="22" customHeight="1">
      <x:c r="A4099" s="2" t="str">
        <x:v>L004095</x:v>
      </x:c>
      <x:c r="B4099" s="2" t="str">
        <x:v>O01662</x:v>
      </x:c>
      <x:c r="C4099" s="7" t="n">
        <x:v>45902</x:v>
      </x:c>
      <x:c r="D4099" s="2" t="str">
        <x:v>Completed</x:v>
      </x:c>
      <x:c r="E4099" s="2" t="str">
        <x:v>West</x:v>
      </x:c>
      <x:c r="F4099" s="2" t="str">
        <x:v>Store</x:v>
      </x:c>
      <x:c r="G4099" s="2" t="str">
        <x:v>Lighting</x:v>
      </x:c>
      <x:c r="H4099" s="2" t="str">
        <x:v>Lamp 021</x:v>
      </x:c>
      <x:c r="I4099" s="11" t="n">
        <x:v>1</x:v>
      </x:c>
      <x:c r="J4099" s="9" t="n">
        <x:v>249</x:v>
      </x:c>
      <x:c r="K4099" s="10" t="n">
        <x:v>0</x:v>
      </x:c>
      <x:c r="L4099" s="11" t="n">
        <x:v>1</x:v>
      </x:c>
      <x:c r="M4099" s="9" t="n">
        <x:f>IF(D4099="Completed",I4099*J4099,0)</x:f>
        <x:v>249</x:v>
      </x:c>
      <x:c r="N4099" s="9" t="n">
        <x:f>M4099*K4099</x:f>
        <x:v>0</x:v>
      </x:c>
      <x:c r="O4099" s="9" t="n">
        <x:f>M4099-N4099</x:f>
        <x:v>249</x:v>
      </x:c>
      <x:c r="P4099" s="9" t="n">
        <x:f>IF(D4099="Completed",L4099*J4099*(1-K4099),0)</x:f>
        <x:v>249</x:v>
      </x:c>
      <x:c r="Q4099" s="9" t="n">
        <x:f>O4099-P4099</x:f>
        <x:v>0</x:v>
      </x:c>
      <x:c r="R4099" s="11" t="n">
        <x:f>IF(D4099="Completed",I4099,0)</x:f>
        <x:v>1</x:v>
      </x:c>
      <x:c r="S4099" s="11" t="n">
        <x:f>IF(D4099="Completed",L4099,0)</x:f>
        <x:v>1</x:v>
      </x:c>
      <x:c r="T4099" s="8" t="n">
        <x:f>DATE(YEAR(C4099),MONTH(C4099),1)</x:f>
        <x:v>45901</x:v>
      </x:c>
    </x:row>
    <x:row r="4100" ht="22" customHeight="1">
      <x:c r="A4100" s="2" t="str">
        <x:v>L004096</x:v>
      </x:c>
      <x:c r="B4100" s="2" t="str">
        <x:v>O01662</x:v>
      </x:c>
      <x:c r="C4100" s="7" t="n">
        <x:v>45902</x:v>
      </x:c>
      <x:c r="D4100" s="2" t="str">
        <x:v>Completed</x:v>
      </x:c>
      <x:c r="E4100" s="2" t="str">
        <x:v>West</x:v>
      </x:c>
      <x:c r="F4100" s="2" t="str">
        <x:v>Store</x:v>
      </x:c>
      <x:c r="G4100" s="2" t="str">
        <x:v>Furniture</x:v>
      </x:c>
      <x:c r="H4100" s="2" t="str">
        <x:v>Desk 012</x:v>
      </x:c>
      <x:c r="I4100" s="11" t="n">
        <x:v>4</x:v>
      </x:c>
      <x:c r="J4100" s="9" t="n">
        <x:v>134</x:v>
      </x:c>
      <x:c r="K4100" s="10" t="n">
        <x:v>0.05</x:v>
      </x:c>
      <x:c r="L4100" s="11" t="n">
        <x:v>0</x:v>
      </x:c>
      <x:c r="M4100" s="9" t="n">
        <x:f>IF(D4100="Completed",I4100*J4100,0)</x:f>
        <x:v>536</x:v>
      </x:c>
      <x:c r="N4100" s="9" t="n">
        <x:f>M4100*K4100</x:f>
        <x:v>26.8</x:v>
      </x:c>
      <x:c r="O4100" s="9" t="n">
        <x:f>M4100-N4100</x:f>
        <x:v>509.2</x:v>
      </x:c>
      <x:c r="P4100" s="9" t="n">
        <x:f>IF(D4100="Completed",L4100*J4100*(1-K4100),0)</x:f>
        <x:v>0</x:v>
      </x:c>
      <x:c r="Q4100" s="9" t="n">
        <x:f>O4100-P4100</x:f>
        <x:v>509.2</x:v>
      </x:c>
      <x:c r="R4100" s="11" t="n">
        <x:f>IF(D4100="Completed",I4100,0)</x:f>
        <x:v>4</x:v>
      </x:c>
      <x:c r="S4100" s="11" t="n">
        <x:f>IF(D4100="Completed",L4100,0)</x:f>
        <x:v>0</x:v>
      </x:c>
      <x:c r="T4100" s="8" t="n">
        <x:f>DATE(YEAR(C4100),MONTH(C4100),1)</x:f>
        <x:v>45901</x:v>
      </x:c>
    </x:row>
    <x:row r="4101" ht="22" customHeight="1">
      <x:c r="A4101" s="2" t="str">
        <x:v>L004097</x:v>
      </x:c>
      <x:c r="B4101" s="2" t="str">
        <x:v>O01663</x:v>
      </x:c>
      <x:c r="C4101" s="7" t="n">
        <x:v>45795</x:v>
      </x:c>
      <x:c r="D4101" s="2" t="str">
        <x:v>Completed</x:v>
      </x:c>
      <x:c r="E4101" s="2" t="str">
        <x:v>North</x:v>
      </x:c>
      <x:c r="F4101" s="2" t="str">
        <x:v>Online</x:v>
      </x:c>
      <x:c r="G4101" s="2" t="str">
        <x:v>Lighting</x:v>
      </x:c>
      <x:c r="H4101" s="2" t="str">
        <x:v>Lamp 009</x:v>
      </x:c>
      <x:c r="I4101" s="11" t="n">
        <x:v>5</x:v>
      </x:c>
      <x:c r="J4101" s="9" t="n">
        <x:v>93</x:v>
      </x:c>
      <x:c r="K4101" s="10" t="n">
        <x:v>0.05</x:v>
      </x:c>
      <x:c r="L4101" s="11" t="n">
        <x:v>0</x:v>
      </x:c>
      <x:c r="M4101" s="9" t="n">
        <x:f>IF(D4101="Completed",I4101*J4101,0)</x:f>
        <x:v>465</x:v>
      </x:c>
      <x:c r="N4101" s="9" t="n">
        <x:f>M4101*K4101</x:f>
        <x:v>23.25</x:v>
      </x:c>
      <x:c r="O4101" s="9" t="n">
        <x:f>M4101-N4101</x:f>
        <x:v>441.75</x:v>
      </x:c>
      <x:c r="P4101" s="9" t="n">
        <x:f>IF(D4101="Completed",L4101*J4101*(1-K4101),0)</x:f>
        <x:v>0</x:v>
      </x:c>
      <x:c r="Q4101" s="9" t="n">
        <x:f>O4101-P4101</x:f>
        <x:v>441.75</x:v>
      </x:c>
      <x:c r="R4101" s="11" t="n">
        <x:f>IF(D4101="Completed",I4101,0)</x:f>
        <x:v>5</x:v>
      </x:c>
      <x:c r="S4101" s="11" t="n">
        <x:f>IF(D4101="Completed",L4101,0)</x:f>
        <x:v>0</x:v>
      </x:c>
      <x:c r="T4101" s="8" t="n">
        <x:f>DATE(YEAR(C4101),MONTH(C4101),1)</x:f>
        <x:v>45778</x:v>
      </x:c>
    </x:row>
    <x:row r="4102" ht="22" customHeight="1">
      <x:c r="A4102" s="2" t="str">
        <x:v>L004098</x:v>
      </x:c>
      <x:c r="B4102" s="2" t="str">
        <x:v>O01664</x:v>
      </x:c>
      <x:c r="C4102" s="7" t="n">
        <x:v>45686</x:v>
      </x:c>
      <x:c r="D4102" s="2" t="str">
        <x:v>Completed</x:v>
      </x:c>
      <x:c r="E4102" s="2" t="str">
        <x:v>North</x:v>
      </x:c>
      <x:c r="F4102" s="2" t="str">
        <x:v>Store</x:v>
      </x:c>
      <x:c r="G4102" s="2" t="str">
        <x:v>Lighting</x:v>
      </x:c>
      <x:c r="H4102" s="2" t="str">
        <x:v>Lamp 017</x:v>
      </x:c>
      <x:c r="I4102" s="11" t="n">
        <x:v>2</x:v>
      </x:c>
      <x:c r="J4102" s="9" t="n">
        <x:v>300</x:v>
      </x:c>
      <x:c r="K4102" s="10" t="n">
        <x:v>0.1</x:v>
      </x:c>
      <x:c r="L4102" s="11" t="n">
        <x:v>0</x:v>
      </x:c>
      <x:c r="M4102" s="9" t="n">
        <x:f>IF(D4102="Completed",I4102*J4102,0)</x:f>
        <x:v>600</x:v>
      </x:c>
      <x:c r="N4102" s="9" t="n">
        <x:f>M4102*K4102</x:f>
        <x:v>60</x:v>
      </x:c>
      <x:c r="O4102" s="9" t="n">
        <x:f>M4102-N4102</x:f>
        <x:v>540</x:v>
      </x:c>
      <x:c r="P4102" s="9" t="n">
        <x:f>IF(D4102="Completed",L4102*J4102*(1-K4102),0)</x:f>
        <x:v>0</x:v>
      </x:c>
      <x:c r="Q4102" s="9" t="n">
        <x:f>O4102-P4102</x:f>
        <x:v>540</x:v>
      </x:c>
      <x:c r="R4102" s="11" t="n">
        <x:f>IF(D4102="Completed",I4102,0)</x:f>
        <x:v>2</x:v>
      </x:c>
      <x:c r="S4102" s="11" t="n">
        <x:f>IF(D4102="Completed",L4102,0)</x:f>
        <x:v>0</x:v>
      </x:c>
      <x:c r="T4102" s="8" t="n">
        <x:f>DATE(YEAR(C4102),MONTH(C4102),1)</x:f>
        <x:v>45658</x:v>
      </x:c>
    </x:row>
    <x:row r="4103" ht="22" customHeight="1">
      <x:c r="A4103" s="2" t="str">
        <x:v>L004099</x:v>
      </x:c>
      <x:c r="B4103" s="2" t="str">
        <x:v>O01664</x:v>
      </x:c>
      <x:c r="C4103" s="7" t="n">
        <x:v>45686</x:v>
      </x:c>
      <x:c r="D4103" s="2" t="str">
        <x:v>Completed</x:v>
      </x:c>
      <x:c r="E4103" s="2" t="str">
        <x:v>North</x:v>
      </x:c>
      <x:c r="F4103" s="2" t="str">
        <x:v>Store</x:v>
      </x:c>
      <x:c r="G4103" s="2" t="str">
        <x:v>Storage</x:v>
      </x:c>
      <x:c r="H4103" s="2" t="str">
        <x:v>Shelf 007</x:v>
      </x:c>
      <x:c r="I4103" s="11" t="n">
        <x:v>3</x:v>
      </x:c>
      <x:c r="J4103" s="9" t="n">
        <x:v>35</x:v>
      </x:c>
      <x:c r="K4103" s="10" t="n">
        <x:v>0</x:v>
      </x:c>
      <x:c r="L4103" s="11" t="n">
        <x:v>0</x:v>
      </x:c>
      <x:c r="M4103" s="9" t="n">
        <x:f>IF(D4103="Completed",I4103*J4103,0)</x:f>
        <x:v>105</x:v>
      </x:c>
      <x:c r="N4103" s="9" t="n">
        <x:f>M4103*K4103</x:f>
        <x:v>0</x:v>
      </x:c>
      <x:c r="O4103" s="9" t="n">
        <x:f>M4103-N4103</x:f>
        <x:v>105</x:v>
      </x:c>
      <x:c r="P4103" s="9" t="n">
        <x:f>IF(D4103="Completed",L4103*J4103*(1-K4103),0)</x:f>
        <x:v>0</x:v>
      </x:c>
      <x:c r="Q4103" s="9" t="n">
        <x:f>O4103-P4103</x:f>
        <x:v>105</x:v>
      </x:c>
      <x:c r="R4103" s="11" t="n">
        <x:f>IF(D4103="Completed",I4103,0)</x:f>
        <x:v>3</x:v>
      </x:c>
      <x:c r="S4103" s="11" t="n">
        <x:f>IF(D4103="Completed",L4103,0)</x:f>
        <x:v>0</x:v>
      </x:c>
      <x:c r="T4103" s="8" t="n">
        <x:f>DATE(YEAR(C4103),MONTH(C4103),1)</x:f>
        <x:v>45658</x:v>
      </x:c>
    </x:row>
    <x:row r="4104" ht="22" customHeight="1">
      <x:c r="A4104" s="2" t="str">
        <x:v>L004100</x:v>
      </x:c>
      <x:c r="B4104" s="2" t="str">
        <x:v>O01664</x:v>
      </x:c>
      <x:c r="C4104" s="7" t="n">
        <x:v>45686</x:v>
      </x:c>
      <x:c r="D4104" s="2" t="str">
        <x:v>Completed</x:v>
      </x:c>
      <x:c r="E4104" s="2" t="str">
        <x:v>North</x:v>
      </x:c>
      <x:c r="F4104" s="2" t="str">
        <x:v>Store</x:v>
      </x:c>
      <x:c r="G4104" s="2" t="str">
        <x:v>Furniture</x:v>
      </x:c>
      <x:c r="H4104" s="2" t="str">
        <x:v>Desk 016</x:v>
      </x:c>
      <x:c r="I4104" s="11" t="n">
        <x:v>2</x:v>
      </x:c>
      <x:c r="J4104" s="9" t="n">
        <x:v>231</x:v>
      </x:c>
      <x:c r="K4104" s="10" t="n">
        <x:v>0</x:v>
      </x:c>
      <x:c r="L4104" s="11" t="n">
        <x:v>0</x:v>
      </x:c>
      <x:c r="M4104" s="9" t="n">
        <x:f>IF(D4104="Completed",I4104*J4104,0)</x:f>
        <x:v>462</x:v>
      </x:c>
      <x:c r="N4104" s="9" t="n">
        <x:f>M4104*K4104</x:f>
        <x:v>0</x:v>
      </x:c>
      <x:c r="O4104" s="9" t="n">
        <x:f>M4104-N4104</x:f>
        <x:v>462</x:v>
      </x:c>
      <x:c r="P4104" s="9" t="n">
        <x:f>IF(D4104="Completed",L4104*J4104*(1-K4104),0)</x:f>
        <x:v>0</x:v>
      </x:c>
      <x:c r="Q4104" s="9" t="n">
        <x:f>O4104-P4104</x:f>
        <x:v>462</x:v>
      </x:c>
      <x:c r="R4104" s="11" t="n">
        <x:f>IF(D4104="Completed",I4104,0)</x:f>
        <x:v>2</x:v>
      </x:c>
      <x:c r="S4104" s="11" t="n">
        <x:f>IF(D4104="Completed",L4104,0)</x:f>
        <x:v>0</x:v>
      </x:c>
      <x:c r="T4104" s="8" t="n">
        <x:f>DATE(YEAR(C4104),MONTH(C4104),1)</x:f>
        <x:v>45658</x:v>
      </x:c>
    </x:row>
    <x:row r="4105" ht="22" customHeight="1">
      <x:c r="A4105" s="2" t="str">
        <x:v>L004101</x:v>
      </x:c>
      <x:c r="B4105" s="2" t="str">
        <x:v>O01664</x:v>
      </x:c>
      <x:c r="C4105" s="7" t="n">
        <x:v>45686</x:v>
      </x:c>
      <x:c r="D4105" s="2" t="str">
        <x:v>Completed</x:v>
      </x:c>
      <x:c r="E4105" s="2" t="str">
        <x:v>North</x:v>
      </x:c>
      <x:c r="F4105" s="2" t="str">
        <x:v>Store</x:v>
      </x:c>
      <x:c r="G4105" s="2" t="str">
        <x:v>Furniture</x:v>
      </x:c>
      <x:c r="H4105" s="2" t="str">
        <x:v>Desk 016</x:v>
      </x:c>
      <x:c r="I4105" s="11" t="n">
        <x:v>1</x:v>
      </x:c>
      <x:c r="J4105" s="9" t="n">
        <x:v>231</x:v>
      </x:c>
      <x:c r="K4105" s="10" t="n">
        <x:v>0</x:v>
      </x:c>
      <x:c r="L4105" s="11" t="n">
        <x:v>0</x:v>
      </x:c>
      <x:c r="M4105" s="9" t="n">
        <x:f>IF(D4105="Completed",I4105*J4105,0)</x:f>
        <x:v>231</x:v>
      </x:c>
      <x:c r="N4105" s="9" t="n">
        <x:f>M4105*K4105</x:f>
        <x:v>0</x:v>
      </x:c>
      <x:c r="O4105" s="9" t="n">
        <x:f>M4105-N4105</x:f>
        <x:v>231</x:v>
      </x:c>
      <x:c r="P4105" s="9" t="n">
        <x:f>IF(D4105="Completed",L4105*J4105*(1-K4105),0)</x:f>
        <x:v>0</x:v>
      </x:c>
      <x:c r="Q4105" s="9" t="n">
        <x:f>O4105-P4105</x:f>
        <x:v>231</x:v>
      </x:c>
      <x:c r="R4105" s="11" t="n">
        <x:f>IF(D4105="Completed",I4105,0)</x:f>
        <x:v>1</x:v>
      </x:c>
      <x:c r="S4105" s="11" t="n">
        <x:f>IF(D4105="Completed",L4105,0)</x:f>
        <x:v>0</x:v>
      </x:c>
      <x:c r="T4105" s="8" t="n">
        <x:f>DATE(YEAR(C4105),MONTH(C4105),1)</x:f>
        <x:v>45658</x:v>
      </x:c>
    </x:row>
    <x:row r="4106" ht="22" customHeight="1">
      <x:c r="A4106" s="2" t="str">
        <x:v>L004102</x:v>
      </x:c>
      <x:c r="B4106" s="2" t="str">
        <x:v>O01665</x:v>
      </x:c>
      <x:c r="C4106" s="7" t="n">
        <x:v>45713</x:v>
      </x:c>
      <x:c r="D4106" s="2" t="str">
        <x:v>Completed</x:v>
      </x:c>
      <x:c r="E4106" s="2" t="str">
        <x:v>West</x:v>
      </x:c>
      <x:c r="F4106" s="2" t="str">
        <x:v>Online</x:v>
      </x:c>
      <x:c r="G4106" s="2" t="str">
        <x:v>Furniture</x:v>
      </x:c>
      <x:c r="H4106" s="2" t="str">
        <x:v>Chair 002</x:v>
      </x:c>
      <x:c r="I4106" s="11" t="n">
        <x:v>2</x:v>
      </x:c>
      <x:c r="J4106" s="9" t="n">
        <x:v>284</x:v>
      </x:c>
      <x:c r="K4106" s="10" t="n">
        <x:v>0.1</x:v>
      </x:c>
      <x:c r="L4106" s="11" t="n">
        <x:v>0</x:v>
      </x:c>
      <x:c r="M4106" s="9" t="n">
        <x:f>IF(D4106="Completed",I4106*J4106,0)</x:f>
        <x:v>568</x:v>
      </x:c>
      <x:c r="N4106" s="9" t="n">
        <x:f>M4106*K4106</x:f>
        <x:v>56.800000000000004</x:v>
      </x:c>
      <x:c r="O4106" s="9" t="n">
        <x:f>M4106-N4106</x:f>
        <x:v>511.2</x:v>
      </x:c>
      <x:c r="P4106" s="9" t="n">
        <x:f>IF(D4106="Completed",L4106*J4106*(1-K4106),0)</x:f>
        <x:v>0</x:v>
      </x:c>
      <x:c r="Q4106" s="9" t="n">
        <x:f>O4106-P4106</x:f>
        <x:v>511.2</x:v>
      </x:c>
      <x:c r="R4106" s="11" t="n">
        <x:f>IF(D4106="Completed",I4106,0)</x:f>
        <x:v>2</x:v>
      </x:c>
      <x:c r="S4106" s="11" t="n">
        <x:f>IF(D4106="Completed",L4106,0)</x:f>
        <x:v>0</x:v>
      </x:c>
      <x:c r="T4106" s="8" t="n">
        <x:f>DATE(YEAR(C4106),MONTH(C4106),1)</x:f>
        <x:v>45689</x:v>
      </x:c>
    </x:row>
    <x:row r="4107" ht="22" customHeight="1">
      <x:c r="A4107" s="2" t="str">
        <x:v>L004103</x:v>
      </x:c>
      <x:c r="B4107" s="2" t="str">
        <x:v>O01665</x:v>
      </x:c>
      <x:c r="C4107" s="7" t="n">
        <x:v>45713</x:v>
      </x:c>
      <x:c r="D4107" s="2" t="str">
        <x:v>Completed</x:v>
      </x:c>
      <x:c r="E4107" s="2" t="str">
        <x:v>West</x:v>
      </x:c>
      <x:c r="F4107" s="2" t="str">
        <x:v>Online</x:v>
      </x:c>
      <x:c r="G4107" s="2" t="str">
        <x:v>Furniture</x:v>
      </x:c>
      <x:c r="H4107" s="2" t="str">
        <x:v>Chair 022</x:v>
      </x:c>
      <x:c r="I4107" s="11" t="n">
        <x:v>5</x:v>
      </x:c>
      <x:c r="J4107" s="9" t="n">
        <x:v>134</x:v>
      </x:c>
      <x:c r="K4107" s="10" t="n">
        <x:v>0</x:v>
      </x:c>
      <x:c r="L4107" s="11" t="n">
        <x:v>3</x:v>
      </x:c>
      <x:c r="M4107" s="9" t="n">
        <x:f>IF(D4107="Completed",I4107*J4107,0)</x:f>
        <x:v>670</x:v>
      </x:c>
      <x:c r="N4107" s="9" t="n">
        <x:f>M4107*K4107</x:f>
        <x:v>0</x:v>
      </x:c>
      <x:c r="O4107" s="9" t="n">
        <x:f>M4107-N4107</x:f>
        <x:v>670</x:v>
      </x:c>
      <x:c r="P4107" s="9" t="n">
        <x:f>IF(D4107="Completed",L4107*J4107*(1-K4107),0)</x:f>
        <x:v>402</x:v>
      </x:c>
      <x:c r="Q4107" s="9" t="n">
        <x:f>O4107-P4107</x:f>
        <x:v>268</x:v>
      </x:c>
      <x:c r="R4107" s="11" t="n">
        <x:f>IF(D4107="Completed",I4107,0)</x:f>
        <x:v>5</x:v>
      </x:c>
      <x:c r="S4107" s="11" t="n">
        <x:f>IF(D4107="Completed",L4107,0)</x:f>
        <x:v>3</x:v>
      </x:c>
      <x:c r="T4107" s="8" t="n">
        <x:f>DATE(YEAR(C4107),MONTH(C4107),1)</x:f>
        <x:v>45689</x:v>
      </x:c>
    </x:row>
    <x:row r="4108" ht="22" customHeight="1">
      <x:c r="A4108" s="2" t="str">
        <x:v>L004104</x:v>
      </x:c>
      <x:c r="B4108" s="2" t="str">
        <x:v>O01666</x:v>
      </x:c>
      <x:c r="C4108" s="7" t="n">
        <x:v>45687</x:v>
      </x:c>
      <x:c r="D4108" s="2" t="str">
        <x:v>Completed</x:v>
      </x:c>
      <x:c r="E4108" s="2" t="str">
        <x:v>West</x:v>
      </x:c>
      <x:c r="F4108" s="2" t="str">
        <x:v>Store</x:v>
      </x:c>
      <x:c r="G4108" s="2" t="str">
        <x:v>Storage</x:v>
      </x:c>
      <x:c r="H4108" s="2" t="str">
        <x:v>Shelf 011</x:v>
      </x:c>
      <x:c r="I4108" s="11" t="n">
        <x:v>3</x:v>
      </x:c>
      <x:c r="J4108" s="9" t="n">
        <x:v>80</x:v>
      </x:c>
      <x:c r="K4108" s="10" t="n">
        <x:v>0.2</x:v>
      </x:c>
      <x:c r="L4108" s="11" t="n">
        <x:v>0</x:v>
      </x:c>
      <x:c r="M4108" s="9" t="n">
        <x:f>IF(D4108="Completed",I4108*J4108,0)</x:f>
        <x:v>240</x:v>
      </x:c>
      <x:c r="N4108" s="9" t="n">
        <x:f>M4108*K4108</x:f>
        <x:v>48</x:v>
      </x:c>
      <x:c r="O4108" s="9" t="n">
        <x:f>M4108-N4108</x:f>
        <x:v>192</x:v>
      </x:c>
      <x:c r="P4108" s="9" t="n">
        <x:f>IF(D4108="Completed",L4108*J4108*(1-K4108),0)</x:f>
        <x:v>0</x:v>
      </x:c>
      <x:c r="Q4108" s="9" t="n">
        <x:f>O4108-P4108</x:f>
        <x:v>192</x:v>
      </x:c>
      <x:c r="R4108" s="11" t="n">
        <x:f>IF(D4108="Completed",I4108,0)</x:f>
        <x:v>3</x:v>
      </x:c>
      <x:c r="S4108" s="11" t="n">
        <x:f>IF(D4108="Completed",L4108,0)</x:f>
        <x:v>0</x:v>
      </x:c>
      <x:c r="T4108" s="8" t="n">
        <x:f>DATE(YEAR(C4108),MONTH(C4108),1)</x:f>
        <x:v>45658</x:v>
      </x:c>
    </x:row>
    <x:row r="4109" ht="22" customHeight="1">
      <x:c r="A4109" s="2" t="str">
        <x:v>L004105</x:v>
      </x:c>
      <x:c r="B4109" s="2" t="str">
        <x:v>O01667</x:v>
      </x:c>
      <x:c r="C4109" s="7" t="n">
        <x:v>45750</x:v>
      </x:c>
      <x:c r="D4109" s="2" t="str">
        <x:v>Cancelled</x:v>
      </x:c>
      <x:c r="E4109" s="2" t="str">
        <x:v>North</x:v>
      </x:c>
      <x:c r="F4109" s="2" t="str">
        <x:v>Online</x:v>
      </x:c>
      <x:c r="G4109" s="2" t="str">
        <x:v>Furniture</x:v>
      </x:c>
      <x:c r="H4109" s="2" t="str">
        <x:v>Chair 006</x:v>
      </x:c>
      <x:c r="I4109" s="11" t="n">
        <x:v>3</x:v>
      </x:c>
      <x:c r="J4109" s="9" t="n">
        <x:v>196</x:v>
      </x:c>
      <x:c r="K4109" s="10" t="n">
        <x:v>0.2</x:v>
      </x:c>
      <x:c r="L4109" s="11" t="n">
        <x:v>0</x:v>
      </x:c>
      <x:c r="M4109" s="9" t="n">
        <x:f>IF(D4109="Completed",I4109*J4109,0)</x:f>
        <x:v>0</x:v>
      </x:c>
      <x:c r="N4109" s="9" t="n">
        <x:f>M4109*K4109</x:f>
        <x:v>0</x:v>
      </x:c>
      <x:c r="O4109" s="9" t="n">
        <x:f>M4109-N4109</x:f>
        <x:v>0</x:v>
      </x:c>
      <x:c r="P4109" s="9" t="n">
        <x:f>IF(D4109="Completed",L4109*J4109*(1-K4109),0)</x:f>
        <x:v>0</x:v>
      </x:c>
      <x:c r="Q4109" s="9" t="n">
        <x:f>O4109-P4109</x:f>
        <x:v>0</x:v>
      </x:c>
      <x:c r="R4109" s="11" t="n">
        <x:f>IF(D4109="Completed",I4109,0)</x:f>
        <x:v>0</x:v>
      </x:c>
      <x:c r="S4109" s="11" t="n">
        <x:f>IF(D4109="Completed",L4109,0)</x:f>
        <x:v>0</x:v>
      </x:c>
      <x:c r="T4109" s="8" t="n">
        <x:f>DATE(YEAR(C4109),MONTH(C4109),1)</x:f>
        <x:v>45748</x:v>
      </x:c>
    </x:row>
    <x:row r="4110" ht="22" customHeight="1">
      <x:c r="A4110" s="2" t="str">
        <x:v>L004106</x:v>
      </x:c>
      <x:c r="B4110" s="2" t="str">
        <x:v>O01667</x:v>
      </x:c>
      <x:c r="C4110" s="7" t="n">
        <x:v>45750</x:v>
      </x:c>
      <x:c r="D4110" s="2" t="str">
        <x:v>Cancelled</x:v>
      </x:c>
      <x:c r="E4110" s="2" t="str">
        <x:v>North</x:v>
      </x:c>
      <x:c r="F4110" s="2" t="str">
        <x:v>Online</x:v>
      </x:c>
      <x:c r="G4110" s="2" t="str">
        <x:v>Furniture</x:v>
      </x:c>
      <x:c r="H4110" s="2" t="str">
        <x:v>Desk 016</x:v>
      </x:c>
      <x:c r="I4110" s="11" t="n">
        <x:v>1</x:v>
      </x:c>
      <x:c r="J4110" s="9" t="n">
        <x:v>231</x:v>
      </x:c>
      <x:c r="K4110" s="10" t="n">
        <x:v>0</x:v>
      </x:c>
      <x:c r="L4110" s="11" t="n">
        <x:v>0</x:v>
      </x:c>
      <x:c r="M4110" s="9" t="n">
        <x:f>IF(D4110="Completed",I4110*J4110,0)</x:f>
        <x:v>0</x:v>
      </x:c>
      <x:c r="N4110" s="9" t="n">
        <x:f>M4110*K4110</x:f>
        <x:v>0</x:v>
      </x:c>
      <x:c r="O4110" s="9" t="n">
        <x:f>M4110-N4110</x:f>
        <x:v>0</x:v>
      </x:c>
      <x:c r="P4110" s="9" t="n">
        <x:f>IF(D4110="Completed",L4110*J4110*(1-K4110),0)</x:f>
        <x:v>0</x:v>
      </x:c>
      <x:c r="Q4110" s="9" t="n">
        <x:f>O4110-P4110</x:f>
        <x:v>0</x:v>
      </x:c>
      <x:c r="R4110" s="11" t="n">
        <x:f>IF(D4110="Completed",I4110,0)</x:f>
        <x:v>0</x:v>
      </x:c>
      <x:c r="S4110" s="11" t="n">
        <x:f>IF(D4110="Completed",L4110,0)</x:f>
        <x:v>0</x:v>
      </x:c>
      <x:c r="T4110" s="8" t="n">
        <x:f>DATE(YEAR(C4110),MONTH(C4110),1)</x:f>
        <x:v>45748</x:v>
      </x:c>
    </x:row>
    <x:row r="4111" ht="22" customHeight="1">
      <x:c r="A4111" s="2" t="str">
        <x:v>L004107</x:v>
      </x:c>
      <x:c r="B4111" s="2" t="str">
        <x:v>O01667</x:v>
      </x:c>
      <x:c r="C4111" s="7" t="n">
        <x:v>45750</x:v>
      </x:c>
      <x:c r="D4111" s="2" t="str">
        <x:v>Cancelled</x:v>
      </x:c>
      <x:c r="E4111" s="2" t="str">
        <x:v>North</x:v>
      </x:c>
      <x:c r="F4111" s="2" t="str">
        <x:v>Online</x:v>
      </x:c>
      <x:c r="G4111" s="2" t="str">
        <x:v>Furniture</x:v>
      </x:c>
      <x:c r="H4111" s="2" t="str">
        <x:v>Desk 020</x:v>
      </x:c>
      <x:c r="I4111" s="11" t="n">
        <x:v>3</x:v>
      </x:c>
      <x:c r="J4111" s="9" t="n">
        <x:v>189</x:v>
      </x:c>
      <x:c r="K4111" s="10" t="n">
        <x:v>0.1</x:v>
      </x:c>
      <x:c r="L4111" s="11" t="n">
        <x:v>0</x:v>
      </x:c>
      <x:c r="M4111" s="9" t="n">
        <x:f>IF(D4111="Completed",I4111*J4111,0)</x:f>
        <x:v>0</x:v>
      </x:c>
      <x:c r="N4111" s="9" t="n">
        <x:f>M4111*K4111</x:f>
        <x:v>0</x:v>
      </x:c>
      <x:c r="O4111" s="9" t="n">
        <x:f>M4111-N4111</x:f>
        <x:v>0</x:v>
      </x:c>
      <x:c r="P4111" s="9" t="n">
        <x:f>IF(D4111="Completed",L4111*J4111*(1-K4111),0)</x:f>
        <x:v>0</x:v>
      </x:c>
      <x:c r="Q4111" s="9" t="n">
        <x:f>O4111-P4111</x:f>
        <x:v>0</x:v>
      </x:c>
      <x:c r="R4111" s="11" t="n">
        <x:f>IF(D4111="Completed",I4111,0)</x:f>
        <x:v>0</x:v>
      </x:c>
      <x:c r="S4111" s="11" t="n">
        <x:f>IF(D4111="Completed",L4111,0)</x:f>
        <x:v>0</x:v>
      </x:c>
      <x:c r="T4111" s="8" t="n">
        <x:f>DATE(YEAR(C4111),MONTH(C4111),1)</x:f>
        <x:v>45748</x:v>
      </x:c>
    </x:row>
    <x:row r="4112" ht="22" customHeight="1">
      <x:c r="A4112" s="2" t="str">
        <x:v>L004108</x:v>
      </x:c>
      <x:c r="B4112" s="2" t="str">
        <x:v>O01667</x:v>
      </x:c>
      <x:c r="C4112" s="7" t="n">
        <x:v>45750</x:v>
      </x:c>
      <x:c r="D4112" s="2" t="str">
        <x:v>Cancelled</x:v>
      </x:c>
      <x:c r="E4112" s="2" t="str">
        <x:v>North</x:v>
      </x:c>
      <x:c r="F4112" s="2" t="str">
        <x:v>Online</x:v>
      </x:c>
      <x:c r="G4112" s="2" t="str">
        <x:v>Furniture</x:v>
      </x:c>
      <x:c r="H4112" s="2" t="str">
        <x:v>Desk 008</x:v>
      </x:c>
      <x:c r="I4112" s="11" t="n">
        <x:v>5</x:v>
      </x:c>
      <x:c r="J4112" s="9" t="n">
        <x:v>188</x:v>
      </x:c>
      <x:c r="K4112" s="10" t="n">
        <x:v>0.05</x:v>
      </x:c>
      <x:c r="L4112" s="11" t="n">
        <x:v>0</x:v>
      </x:c>
      <x:c r="M4112" s="9" t="n">
        <x:f>IF(D4112="Completed",I4112*J4112,0)</x:f>
        <x:v>0</x:v>
      </x:c>
      <x:c r="N4112" s="9" t="n">
        <x:f>M4112*K4112</x:f>
        <x:v>0</x:v>
      </x:c>
      <x:c r="O4112" s="9" t="n">
        <x:f>M4112-N4112</x:f>
        <x:v>0</x:v>
      </x:c>
      <x:c r="P4112" s="9" t="n">
        <x:f>IF(D4112="Completed",L4112*J4112*(1-K4112),0)</x:f>
        <x:v>0</x:v>
      </x:c>
      <x:c r="Q4112" s="9" t="n">
        <x:f>O4112-P4112</x:f>
        <x:v>0</x:v>
      </x:c>
      <x:c r="R4112" s="11" t="n">
        <x:f>IF(D4112="Completed",I4112,0)</x:f>
        <x:v>0</x:v>
      </x:c>
      <x:c r="S4112" s="11" t="n">
        <x:f>IF(D4112="Completed",L4112,0)</x:f>
        <x:v>0</x:v>
      </x:c>
      <x:c r="T4112" s="8" t="n">
        <x:f>DATE(YEAR(C4112),MONTH(C4112),1)</x:f>
        <x:v>45748</x:v>
      </x:c>
    </x:row>
    <x:row r="4113" ht="22" customHeight="1">
      <x:c r="A4113" s="2" t="str">
        <x:v>L004109</x:v>
      </x:c>
      <x:c r="B4113" s="2" t="str">
        <x:v>O01668</x:v>
      </x:c>
      <x:c r="C4113" s="7" t="n">
        <x:v>45732</x:v>
      </x:c>
      <x:c r="D4113" s="2" t="str">
        <x:v>Completed</x:v>
      </x:c>
      <x:c r="E4113" s="2" t="str">
        <x:v>East</x:v>
      </x:c>
      <x:c r="F4113" s="2" t="str">
        <x:v>Online</x:v>
      </x:c>
      <x:c r="G4113" s="2" t="str">
        <x:v>Lighting</x:v>
      </x:c>
      <x:c r="H4113" s="2" t="str">
        <x:v>Lamp 017</x:v>
      </x:c>
      <x:c r="I4113" s="11" t="n">
        <x:v>5</x:v>
      </x:c>
      <x:c r="J4113" s="9" t="n">
        <x:v>300</x:v>
      </x:c>
      <x:c r="K4113" s="10" t="n">
        <x:v>0.05</x:v>
      </x:c>
      <x:c r="L4113" s="11" t="n">
        <x:v>0</x:v>
      </x:c>
      <x:c r="M4113" s="9" t="n">
        <x:f>IF(D4113="Completed",I4113*J4113,0)</x:f>
        <x:v>1500</x:v>
      </x:c>
      <x:c r="N4113" s="9" t="n">
        <x:f>M4113*K4113</x:f>
        <x:v>75</x:v>
      </x:c>
      <x:c r="O4113" s="9" t="n">
        <x:f>M4113-N4113</x:f>
        <x:v>1425</x:v>
      </x:c>
      <x:c r="P4113" s="9" t="n">
        <x:f>IF(D4113="Completed",L4113*J4113*(1-K4113),0)</x:f>
        <x:v>0</x:v>
      </x:c>
      <x:c r="Q4113" s="9" t="n">
        <x:f>O4113-P4113</x:f>
        <x:v>1425</x:v>
      </x:c>
      <x:c r="R4113" s="11" t="n">
        <x:f>IF(D4113="Completed",I4113,0)</x:f>
        <x:v>5</x:v>
      </x:c>
      <x:c r="S4113" s="11" t="n">
        <x:f>IF(D4113="Completed",L4113,0)</x:f>
        <x:v>0</x:v>
      </x:c>
      <x:c r="T4113" s="8" t="n">
        <x:f>DATE(YEAR(C4113),MONTH(C4113),1)</x:f>
        <x:v>45717</x:v>
      </x:c>
    </x:row>
    <x:row r="4114" ht="22" customHeight="1">
      <x:c r="A4114" s="2" t="str">
        <x:v>L004110</x:v>
      </x:c>
      <x:c r="B4114" s="2" t="str">
        <x:v>O01668</x:v>
      </x:c>
      <x:c r="C4114" s="7" t="n">
        <x:v>45732</x:v>
      </x:c>
      <x:c r="D4114" s="2" t="str">
        <x:v>Completed</x:v>
      </x:c>
      <x:c r="E4114" s="2" t="str">
        <x:v>East</x:v>
      </x:c>
      <x:c r="F4114" s="2" t="str">
        <x:v>Online</x:v>
      </x:c>
      <x:c r="G4114" s="2" t="str">
        <x:v>Storage</x:v>
      </x:c>
      <x:c r="H4114" s="2" t="str">
        <x:v>Shelf 011</x:v>
      </x:c>
      <x:c r="I4114" s="11" t="n">
        <x:v>3</x:v>
      </x:c>
      <x:c r="J4114" s="9" t="n">
        <x:v>80</x:v>
      </x:c>
      <x:c r="K4114" s="10" t="n">
        <x:v>0</x:v>
      </x:c>
      <x:c r="L4114" s="11" t="n">
        <x:v>0</x:v>
      </x:c>
      <x:c r="M4114" s="9" t="n">
        <x:f>IF(D4114="Completed",I4114*J4114,0)</x:f>
        <x:v>240</x:v>
      </x:c>
      <x:c r="N4114" s="9" t="n">
        <x:f>M4114*K4114</x:f>
        <x:v>0</x:v>
      </x:c>
      <x:c r="O4114" s="9" t="n">
        <x:f>M4114-N4114</x:f>
        <x:v>240</x:v>
      </x:c>
      <x:c r="P4114" s="9" t="n">
        <x:f>IF(D4114="Completed",L4114*J4114*(1-K4114),0)</x:f>
        <x:v>0</x:v>
      </x:c>
      <x:c r="Q4114" s="9" t="n">
        <x:f>O4114-P4114</x:f>
        <x:v>240</x:v>
      </x:c>
      <x:c r="R4114" s="11" t="n">
        <x:f>IF(D4114="Completed",I4114,0)</x:f>
        <x:v>3</x:v>
      </x:c>
      <x:c r="S4114" s="11" t="n">
        <x:f>IF(D4114="Completed",L4114,0)</x:f>
        <x:v>0</x:v>
      </x:c>
      <x:c r="T4114" s="8" t="n">
        <x:f>DATE(YEAR(C4114),MONTH(C4114),1)</x:f>
        <x:v>45717</x:v>
      </x:c>
    </x:row>
    <x:row r="4115" ht="22" customHeight="1">
      <x:c r="A4115" s="2" t="str">
        <x:v>L004111</x:v>
      </x:c>
      <x:c r="B4115" s="2" t="str">
        <x:v>O01668</x:v>
      </x:c>
      <x:c r="C4115" s="7" t="n">
        <x:v>45732</x:v>
      </x:c>
      <x:c r="D4115" s="2" t="str">
        <x:v>Completed</x:v>
      </x:c>
      <x:c r="E4115" s="2" t="str">
        <x:v>East</x:v>
      </x:c>
      <x:c r="F4115" s="2" t="str">
        <x:v>Online</x:v>
      </x:c>
      <x:c r="G4115" s="2" t="str">
        <x:v>Furniture</x:v>
      </x:c>
      <x:c r="H4115" s="2" t="str">
        <x:v>Chair 006</x:v>
      </x:c>
      <x:c r="I4115" s="11" t="n">
        <x:v>1</x:v>
      </x:c>
      <x:c r="J4115" s="9" t="n">
        <x:v>196</x:v>
      </x:c>
      <x:c r="K4115" s="10" t="n">
        <x:v>0.2</x:v>
      </x:c>
      <x:c r="L4115" s="11" t="n">
        <x:v>0</x:v>
      </x:c>
      <x:c r="M4115" s="9" t="n">
        <x:f>IF(D4115="Completed",I4115*J4115,0)</x:f>
        <x:v>196</x:v>
      </x:c>
      <x:c r="N4115" s="9" t="n">
        <x:f>M4115*K4115</x:f>
        <x:v>39.2</x:v>
      </x:c>
      <x:c r="O4115" s="9" t="n">
        <x:f>M4115-N4115</x:f>
        <x:v>156.8</x:v>
      </x:c>
      <x:c r="P4115" s="9" t="n">
        <x:f>IF(D4115="Completed",L4115*J4115*(1-K4115),0)</x:f>
        <x:v>0</x:v>
      </x:c>
      <x:c r="Q4115" s="9" t="n">
        <x:f>O4115-P4115</x:f>
        <x:v>156.8</x:v>
      </x:c>
      <x:c r="R4115" s="11" t="n">
        <x:f>IF(D4115="Completed",I4115,0)</x:f>
        <x:v>1</x:v>
      </x:c>
      <x:c r="S4115" s="11" t="n">
        <x:f>IF(D4115="Completed",L4115,0)</x:f>
        <x:v>0</x:v>
      </x:c>
      <x:c r="T4115" s="8" t="n">
        <x:f>DATE(YEAR(C4115),MONTH(C4115),1)</x:f>
        <x:v>45717</x:v>
      </x:c>
    </x:row>
    <x:row r="4116" ht="22" customHeight="1">
      <x:c r="A4116" s="2" t="str">
        <x:v>L004112</x:v>
      </x:c>
      <x:c r="B4116" s="2" t="str">
        <x:v>O01669</x:v>
      </x:c>
      <x:c r="C4116" s="7" t="n">
        <x:v>45769</x:v>
      </x:c>
      <x:c r="D4116" s="2" t="str">
        <x:v>Completed</x:v>
      </x:c>
      <x:c r="E4116" s="2" t="str">
        <x:v>West</x:v>
      </x:c>
      <x:c r="F4116" s="2" t="str">
        <x:v>Store</x:v>
      </x:c>
      <x:c r="G4116" s="2" t="str">
        <x:v>Furniture</x:v>
      </x:c>
      <x:c r="H4116" s="2" t="str">
        <x:v>Chair 014</x:v>
      </x:c>
      <x:c r="I4116" s="11" t="n">
        <x:v>4</x:v>
      </x:c>
      <x:c r="J4116" s="9" t="n">
        <x:v>294</x:v>
      </x:c>
      <x:c r="K4116" s="10" t="n">
        <x:v>0.1</x:v>
      </x:c>
      <x:c r="L4116" s="11" t="n">
        <x:v>0</x:v>
      </x:c>
      <x:c r="M4116" s="9" t="n">
        <x:f>IF(D4116="Completed",I4116*J4116,0)</x:f>
        <x:v>1176</x:v>
      </x:c>
      <x:c r="N4116" s="9" t="n">
        <x:f>M4116*K4116</x:f>
        <x:v>117.60000000000001</x:v>
      </x:c>
      <x:c r="O4116" s="9" t="n">
        <x:f>M4116-N4116</x:f>
        <x:v>1058.4</x:v>
      </x:c>
      <x:c r="P4116" s="9" t="n">
        <x:f>IF(D4116="Completed",L4116*J4116*(1-K4116),0)</x:f>
        <x:v>0</x:v>
      </x:c>
      <x:c r="Q4116" s="9" t="n">
        <x:f>O4116-P4116</x:f>
        <x:v>1058.4</x:v>
      </x:c>
      <x:c r="R4116" s="11" t="n">
        <x:f>IF(D4116="Completed",I4116,0)</x:f>
        <x:v>4</x:v>
      </x:c>
      <x:c r="S4116" s="11" t="n">
        <x:f>IF(D4116="Completed",L4116,0)</x:f>
        <x:v>0</x:v>
      </x:c>
      <x:c r="T4116" s="8" t="n">
        <x:f>DATE(YEAR(C4116),MONTH(C4116),1)</x:f>
        <x:v>45748</x:v>
      </x:c>
    </x:row>
    <x:row r="4117" ht="22" customHeight="1">
      <x:c r="A4117" s="2" t="str">
        <x:v>L004113</x:v>
      </x:c>
      <x:c r="B4117" s="2" t="str">
        <x:v>O01670</x:v>
      </x:c>
      <x:c r="C4117" s="7" t="n">
        <x:v>45816</x:v>
      </x:c>
      <x:c r="D4117" s="2" t="str">
        <x:v>Completed</x:v>
      </x:c>
      <x:c r="E4117" s="2" t="str">
        <x:v>North</x:v>
      </x:c>
      <x:c r="F4117" s="2" t="str">
        <x:v>Store</x:v>
      </x:c>
      <x:c r="G4117" s="2" t="str">
        <x:v>Lighting</x:v>
      </x:c>
      <x:c r="H4117" s="2" t="str">
        <x:v>Lamp 009</x:v>
      </x:c>
      <x:c r="I4117" s="11" t="n">
        <x:v>4</x:v>
      </x:c>
      <x:c r="J4117" s="9" t="n">
        <x:v>93</x:v>
      </x:c>
      <x:c r="K4117" s="10" t="n">
        <x:v>0</x:v>
      </x:c>
      <x:c r="L4117" s="11" t="n">
        <x:v>0</x:v>
      </x:c>
      <x:c r="M4117" s="9" t="n">
        <x:f>IF(D4117="Completed",I4117*J4117,0)</x:f>
        <x:v>372</x:v>
      </x:c>
      <x:c r="N4117" s="9" t="n">
        <x:f>M4117*K4117</x:f>
        <x:v>0</x:v>
      </x:c>
      <x:c r="O4117" s="9" t="n">
        <x:f>M4117-N4117</x:f>
        <x:v>372</x:v>
      </x:c>
      <x:c r="P4117" s="9" t="n">
        <x:f>IF(D4117="Completed",L4117*J4117*(1-K4117),0)</x:f>
        <x:v>0</x:v>
      </x:c>
      <x:c r="Q4117" s="9" t="n">
        <x:f>O4117-P4117</x:f>
        <x:v>372</x:v>
      </x:c>
      <x:c r="R4117" s="11" t="n">
        <x:f>IF(D4117="Completed",I4117,0)</x:f>
        <x:v>4</x:v>
      </x:c>
      <x:c r="S4117" s="11" t="n">
        <x:f>IF(D4117="Completed",L4117,0)</x:f>
        <x:v>0</x:v>
      </x:c>
      <x:c r="T4117" s="8" t="n">
        <x:f>DATE(YEAR(C4117),MONTH(C4117),1)</x:f>
        <x:v>45809</x:v>
      </x:c>
    </x:row>
    <x:row r="4118" ht="22" customHeight="1">
      <x:c r="A4118" s="2" t="str">
        <x:v>L004114</x:v>
      </x:c>
      <x:c r="B4118" s="2" t="str">
        <x:v>O01671</x:v>
      </x:c>
      <x:c r="C4118" s="7" t="n">
        <x:v>45785</x:v>
      </x:c>
      <x:c r="D4118" s="2" t="str">
        <x:v>Completed</x:v>
      </x:c>
      <x:c r="E4118" s="2" t="str">
        <x:v>North</x:v>
      </x:c>
      <x:c r="F4118" s="2" t="str">
        <x:v>Online</x:v>
      </x:c>
      <x:c r="G4118" s="2" t="str">
        <x:v>Storage</x:v>
      </x:c>
      <x:c r="H4118" s="2" t="str">
        <x:v>Shelf 011</x:v>
      </x:c>
      <x:c r="I4118" s="11" t="n">
        <x:v>3</x:v>
      </x:c>
      <x:c r="J4118" s="9" t="n">
        <x:v>80</x:v>
      </x:c>
      <x:c r="K4118" s="10" t="n">
        <x:v>0.05</x:v>
      </x:c>
      <x:c r="L4118" s="11" t="n">
        <x:v>0</x:v>
      </x:c>
      <x:c r="M4118" s="9" t="n">
        <x:f>IF(D4118="Completed",I4118*J4118,0)</x:f>
        <x:v>240</x:v>
      </x:c>
      <x:c r="N4118" s="9" t="n">
        <x:f>M4118*K4118</x:f>
        <x:v>12</x:v>
      </x:c>
      <x:c r="O4118" s="9" t="n">
        <x:f>M4118-N4118</x:f>
        <x:v>228</x:v>
      </x:c>
      <x:c r="P4118" s="9" t="n">
        <x:f>IF(D4118="Completed",L4118*J4118*(1-K4118),0)</x:f>
        <x:v>0</x:v>
      </x:c>
      <x:c r="Q4118" s="9" t="n">
        <x:f>O4118-P4118</x:f>
        <x:v>228</x:v>
      </x:c>
      <x:c r="R4118" s="11" t="n">
        <x:f>IF(D4118="Completed",I4118,0)</x:f>
        <x:v>3</x:v>
      </x:c>
      <x:c r="S4118" s="11" t="n">
        <x:f>IF(D4118="Completed",L4118,0)</x:f>
        <x:v>0</x:v>
      </x:c>
      <x:c r="T4118" s="8" t="n">
        <x:f>DATE(YEAR(C4118),MONTH(C4118),1)</x:f>
        <x:v>45778</x:v>
      </x:c>
    </x:row>
    <x:row r="4119" ht="22" customHeight="1">
      <x:c r="A4119" s="2" t="str">
        <x:v>L004115</x:v>
      </x:c>
      <x:c r="B4119" s="2" t="str">
        <x:v>O01671</x:v>
      </x:c>
      <x:c r="C4119" s="7" t="n">
        <x:v>45785</x:v>
      </x:c>
      <x:c r="D4119" s="2" t="str">
        <x:v>Completed</x:v>
      </x:c>
      <x:c r="E4119" s="2" t="str">
        <x:v>North</x:v>
      </x:c>
      <x:c r="F4119" s="2" t="str">
        <x:v>Online</x:v>
      </x:c>
      <x:c r="G4119" s="2" t="str">
        <x:v>Lighting</x:v>
      </x:c>
      <x:c r="H4119" s="2" t="str">
        <x:v>Lamp 017</x:v>
      </x:c>
      <x:c r="I4119" s="11" t="n">
        <x:v>3</x:v>
      </x:c>
      <x:c r="J4119" s="9" t="n">
        <x:v>300</x:v>
      </x:c>
      <x:c r="K4119" s="10" t="n">
        <x:v>0.05</x:v>
      </x:c>
      <x:c r="L4119" s="11" t="n">
        <x:v>0</x:v>
      </x:c>
      <x:c r="M4119" s="9" t="n">
        <x:f>IF(D4119="Completed",I4119*J4119,0)</x:f>
        <x:v>900</x:v>
      </x:c>
      <x:c r="N4119" s="9" t="n">
        <x:f>M4119*K4119</x:f>
        <x:v>45</x:v>
      </x:c>
      <x:c r="O4119" s="9" t="n">
        <x:f>M4119-N4119</x:f>
        <x:v>855</x:v>
      </x:c>
      <x:c r="P4119" s="9" t="n">
        <x:f>IF(D4119="Completed",L4119*J4119*(1-K4119),0)</x:f>
        <x:v>0</x:v>
      </x:c>
      <x:c r="Q4119" s="9" t="n">
        <x:f>O4119-P4119</x:f>
        <x:v>855</x:v>
      </x:c>
      <x:c r="R4119" s="11" t="n">
        <x:f>IF(D4119="Completed",I4119,0)</x:f>
        <x:v>3</x:v>
      </x:c>
      <x:c r="S4119" s="11" t="n">
        <x:f>IF(D4119="Completed",L4119,0)</x:f>
        <x:v>0</x:v>
      </x:c>
      <x:c r="T4119" s="8" t="n">
        <x:f>DATE(YEAR(C4119),MONTH(C4119),1)</x:f>
        <x:v>45778</x:v>
      </x:c>
    </x:row>
    <x:row r="4120" ht="22" customHeight="1">
      <x:c r="A4120" s="2" t="str">
        <x:v>L004116</x:v>
      </x:c>
      <x:c r="B4120" s="2" t="str">
        <x:v>O01671</x:v>
      </x:c>
      <x:c r="C4120" s="7" t="n">
        <x:v>45785</x:v>
      </x:c>
      <x:c r="D4120" s="2" t="str">
        <x:v>Completed</x:v>
      </x:c>
      <x:c r="E4120" s="2" t="str">
        <x:v>North</x:v>
      </x:c>
      <x:c r="F4120" s="2" t="str">
        <x:v>Online</x:v>
      </x:c>
      <x:c r="G4120" s="2" t="str">
        <x:v>Storage</x:v>
      </x:c>
      <x:c r="H4120" s="2" t="str">
        <x:v>Shelf 011</x:v>
      </x:c>
      <x:c r="I4120" s="11" t="n">
        <x:v>5</x:v>
      </x:c>
      <x:c r="J4120" s="9" t="n">
        <x:v>80</x:v>
      </x:c>
      <x:c r="K4120" s="10" t="n">
        <x:v>0.05</x:v>
      </x:c>
      <x:c r="L4120" s="11" t="n">
        <x:v>0</x:v>
      </x:c>
      <x:c r="M4120" s="9" t="n">
        <x:f>IF(D4120="Completed",I4120*J4120,0)</x:f>
        <x:v>400</x:v>
      </x:c>
      <x:c r="N4120" s="9" t="n">
        <x:f>M4120*K4120</x:f>
        <x:v>20</x:v>
      </x:c>
      <x:c r="O4120" s="9" t="n">
        <x:f>M4120-N4120</x:f>
        <x:v>380</x:v>
      </x:c>
      <x:c r="P4120" s="9" t="n">
        <x:f>IF(D4120="Completed",L4120*J4120*(1-K4120),0)</x:f>
        <x:v>0</x:v>
      </x:c>
      <x:c r="Q4120" s="9" t="n">
        <x:f>O4120-P4120</x:f>
        <x:v>380</x:v>
      </x:c>
      <x:c r="R4120" s="11" t="n">
        <x:f>IF(D4120="Completed",I4120,0)</x:f>
        <x:v>5</x:v>
      </x:c>
      <x:c r="S4120" s="11" t="n">
        <x:f>IF(D4120="Completed",L4120,0)</x:f>
        <x:v>0</x:v>
      </x:c>
      <x:c r="T4120" s="8" t="n">
        <x:f>DATE(YEAR(C4120),MONTH(C4120),1)</x:f>
        <x:v>45778</x:v>
      </x:c>
    </x:row>
    <x:row r="4121" ht="22" customHeight="1">
      <x:c r="A4121" s="2" t="str">
        <x:v>L004117</x:v>
      </x:c>
      <x:c r="B4121" s="2" t="str">
        <x:v>O01671</x:v>
      </x:c>
      <x:c r="C4121" s="7" t="n">
        <x:v>45785</x:v>
      </x:c>
      <x:c r="D4121" s="2" t="str">
        <x:v>Completed</x:v>
      </x:c>
      <x:c r="E4121" s="2" t="str">
        <x:v>North</x:v>
      </x:c>
      <x:c r="F4121" s="2" t="str">
        <x:v>Online</x:v>
      </x:c>
      <x:c r="G4121" s="2" t="str">
        <x:v>Furniture</x:v>
      </x:c>
      <x:c r="H4121" s="2" t="str">
        <x:v>Chair 002</x:v>
      </x:c>
      <x:c r="I4121" s="11" t="n">
        <x:v>4</x:v>
      </x:c>
      <x:c r="J4121" s="9" t="n">
        <x:v>284</x:v>
      </x:c>
      <x:c r="K4121" s="10" t="n">
        <x:v>0.2</x:v>
      </x:c>
      <x:c r="L4121" s="11" t="n">
        <x:v>0</x:v>
      </x:c>
      <x:c r="M4121" s="9" t="n">
        <x:f>IF(D4121="Completed",I4121*J4121,0)</x:f>
        <x:v>1136</x:v>
      </x:c>
      <x:c r="N4121" s="9" t="n">
        <x:f>M4121*K4121</x:f>
        <x:v>227.20000000000002</x:v>
      </x:c>
      <x:c r="O4121" s="9" t="n">
        <x:f>M4121-N4121</x:f>
        <x:v>908.8</x:v>
      </x:c>
      <x:c r="P4121" s="9" t="n">
        <x:f>IF(D4121="Completed",L4121*J4121*(1-K4121),0)</x:f>
        <x:v>0</x:v>
      </x:c>
      <x:c r="Q4121" s="9" t="n">
        <x:f>O4121-P4121</x:f>
        <x:v>908.8</x:v>
      </x:c>
      <x:c r="R4121" s="11" t="n">
        <x:f>IF(D4121="Completed",I4121,0)</x:f>
        <x:v>4</x:v>
      </x:c>
      <x:c r="S4121" s="11" t="n">
        <x:f>IF(D4121="Completed",L4121,0)</x:f>
        <x:v>0</x:v>
      </x:c>
      <x:c r="T4121" s="8" t="n">
        <x:f>DATE(YEAR(C4121),MONTH(C4121),1)</x:f>
        <x:v>45778</x:v>
      </x:c>
    </x:row>
    <x:row r="4122" ht="22" customHeight="1">
      <x:c r="A4122" s="2" t="str">
        <x:v>L004118</x:v>
      </x:c>
      <x:c r="B4122" s="2" t="str">
        <x:v>O01672</x:v>
      </x:c>
      <x:c r="C4122" s="7" t="n">
        <x:v>46005</x:v>
      </x:c>
      <x:c r="D4122" s="2" t="str">
        <x:v>Completed</x:v>
      </x:c>
      <x:c r="E4122" s="2" t="str">
        <x:v>South</x:v>
      </x:c>
      <x:c r="F4122" s="2" t="str">
        <x:v>Store</x:v>
      </x:c>
      <x:c r="G4122" s="2" t="str">
        <x:v>Lighting</x:v>
      </x:c>
      <x:c r="H4122" s="2" t="str">
        <x:v>Lamp 009</x:v>
      </x:c>
      <x:c r="I4122" s="11" t="n">
        <x:v>1</x:v>
      </x:c>
      <x:c r="J4122" s="9" t="n">
        <x:v>93</x:v>
      </x:c>
      <x:c r="K4122" s="10" t="n">
        <x:v>0</x:v>
      </x:c>
      <x:c r="L4122" s="11" t="n">
        <x:v>1</x:v>
      </x:c>
      <x:c r="M4122" s="9" t="n">
        <x:f>IF(D4122="Completed",I4122*J4122,0)</x:f>
        <x:v>93</x:v>
      </x:c>
      <x:c r="N4122" s="9" t="n">
        <x:f>M4122*K4122</x:f>
        <x:v>0</x:v>
      </x:c>
      <x:c r="O4122" s="9" t="n">
        <x:f>M4122-N4122</x:f>
        <x:v>93</x:v>
      </x:c>
      <x:c r="P4122" s="9" t="n">
        <x:f>IF(D4122="Completed",L4122*J4122*(1-K4122),0)</x:f>
        <x:v>93</x:v>
      </x:c>
      <x:c r="Q4122" s="9" t="n">
        <x:f>O4122-P4122</x:f>
        <x:v>0</x:v>
      </x:c>
      <x:c r="R4122" s="11" t="n">
        <x:f>IF(D4122="Completed",I4122,0)</x:f>
        <x:v>1</x:v>
      </x:c>
      <x:c r="S4122" s="11" t="n">
        <x:f>IF(D4122="Completed",L4122,0)</x:f>
        <x:v>1</x:v>
      </x:c>
      <x:c r="T4122" s="8" t="n">
        <x:f>DATE(YEAR(C4122),MONTH(C4122),1)</x:f>
        <x:v>45992</x:v>
      </x:c>
    </x:row>
    <x:row r="4123" ht="22" customHeight="1">
      <x:c r="A4123" s="2" t="str">
        <x:v>L004119</x:v>
      </x:c>
      <x:c r="B4123" s="2" t="str">
        <x:v>O01673</x:v>
      </x:c>
      <x:c r="C4123" s="7" t="n">
        <x:v>45784</x:v>
      </x:c>
      <x:c r="D4123" s="2" t="str">
        <x:v>Completed</x:v>
      </x:c>
      <x:c r="E4123" s="2" t="str">
        <x:v>West</x:v>
      </x:c>
      <x:c r="F4123" s="2" t="str">
        <x:v>Store</x:v>
      </x:c>
      <x:c r="G4123" s="2" t="str">
        <x:v>Storage</x:v>
      </x:c>
      <x:c r="H4123" s="2" t="str">
        <x:v>Shelf 015</x:v>
      </x:c>
      <x:c r="I4123" s="11" t="n">
        <x:v>3</x:v>
      </x:c>
      <x:c r="J4123" s="9" t="n">
        <x:v>254</x:v>
      </x:c>
      <x:c r="K4123" s="10" t="n">
        <x:v>0.1</x:v>
      </x:c>
      <x:c r="L4123" s="11" t="n">
        <x:v>0</x:v>
      </x:c>
      <x:c r="M4123" s="9" t="n">
        <x:f>IF(D4123="Completed",I4123*J4123,0)</x:f>
        <x:v>762</x:v>
      </x:c>
      <x:c r="N4123" s="9" t="n">
        <x:f>M4123*K4123</x:f>
        <x:v>76.2</x:v>
      </x:c>
      <x:c r="O4123" s="9" t="n">
        <x:f>M4123-N4123</x:f>
        <x:v>685.8</x:v>
      </x:c>
      <x:c r="P4123" s="9" t="n">
        <x:f>IF(D4123="Completed",L4123*J4123*(1-K4123),0)</x:f>
        <x:v>0</x:v>
      </x:c>
      <x:c r="Q4123" s="9" t="n">
        <x:f>O4123-P4123</x:f>
        <x:v>685.8</x:v>
      </x:c>
      <x:c r="R4123" s="11" t="n">
        <x:f>IF(D4123="Completed",I4123,0)</x:f>
        <x:v>3</x:v>
      </x:c>
      <x:c r="S4123" s="11" t="n">
        <x:f>IF(D4123="Completed",L4123,0)</x:f>
        <x:v>0</x:v>
      </x:c>
      <x:c r="T4123" s="8" t="n">
        <x:f>DATE(YEAR(C4123),MONTH(C4123),1)</x:f>
        <x:v>45778</x:v>
      </x:c>
    </x:row>
    <x:row r="4124" ht="22" customHeight="1">
      <x:c r="A4124" s="2" t="str">
        <x:v>L004120</x:v>
      </x:c>
      <x:c r="B4124" s="2" t="str">
        <x:v>O01673</x:v>
      </x:c>
      <x:c r="C4124" s="7" t="n">
        <x:v>45784</x:v>
      </x:c>
      <x:c r="D4124" s="2" t="str">
        <x:v>Completed</x:v>
      </x:c>
      <x:c r="E4124" s="2" t="str">
        <x:v>West</x:v>
      </x:c>
      <x:c r="F4124" s="2" t="str">
        <x:v>Store</x:v>
      </x:c>
      <x:c r="G4124" s="2" t="str">
        <x:v>Lighting</x:v>
      </x:c>
      <x:c r="H4124" s="2" t="str">
        <x:v>Lamp 013</x:v>
      </x:c>
      <x:c r="I4124" s="11" t="n">
        <x:v>3</x:v>
      </x:c>
      <x:c r="J4124" s="9" t="n">
        <x:v>271</x:v>
      </x:c>
      <x:c r="K4124" s="10" t="n">
        <x:v>0.2</x:v>
      </x:c>
      <x:c r="L4124" s="11" t="n">
        <x:v>0</x:v>
      </x:c>
      <x:c r="M4124" s="9" t="n">
        <x:f>IF(D4124="Completed",I4124*J4124,0)</x:f>
        <x:v>813</x:v>
      </x:c>
      <x:c r="N4124" s="9" t="n">
        <x:f>M4124*K4124</x:f>
        <x:v>162.60000000000002</x:v>
      </x:c>
      <x:c r="O4124" s="9" t="n">
        <x:f>M4124-N4124</x:f>
        <x:v>650.4</x:v>
      </x:c>
      <x:c r="P4124" s="9" t="n">
        <x:f>IF(D4124="Completed",L4124*J4124*(1-K4124),0)</x:f>
        <x:v>0</x:v>
      </x:c>
      <x:c r="Q4124" s="9" t="n">
        <x:f>O4124-P4124</x:f>
        <x:v>650.4</x:v>
      </x:c>
      <x:c r="R4124" s="11" t="n">
        <x:f>IF(D4124="Completed",I4124,0)</x:f>
        <x:v>3</x:v>
      </x:c>
      <x:c r="S4124" s="11" t="n">
        <x:f>IF(D4124="Completed",L4124,0)</x:f>
        <x:v>0</x:v>
      </x:c>
      <x:c r="T4124" s="8" t="n">
        <x:f>DATE(YEAR(C4124),MONTH(C4124),1)</x:f>
        <x:v>45778</x:v>
      </x:c>
    </x:row>
    <x:row r="4125" ht="22" customHeight="1">
      <x:c r="A4125" s="2" t="str">
        <x:v>L004121</x:v>
      </x:c>
      <x:c r="B4125" s="2" t="str">
        <x:v>O01673</x:v>
      </x:c>
      <x:c r="C4125" s="7" t="n">
        <x:v>45784</x:v>
      </x:c>
      <x:c r="D4125" s="2" t="str">
        <x:v>Completed</x:v>
      </x:c>
      <x:c r="E4125" s="2" t="str">
        <x:v>West</x:v>
      </x:c>
      <x:c r="F4125" s="2" t="str">
        <x:v>Store</x:v>
      </x:c>
      <x:c r="G4125" s="2" t="str">
        <x:v>Storage</x:v>
      </x:c>
      <x:c r="H4125" s="2" t="str">
        <x:v>Shelf 019</x:v>
      </x:c>
      <x:c r="I4125" s="11" t="n">
        <x:v>2</x:v>
      </x:c>
      <x:c r="J4125" s="9" t="n">
        <x:v>78</x:v>
      </x:c>
      <x:c r="K4125" s="10" t="n">
        <x:v>0.1</x:v>
      </x:c>
      <x:c r="L4125" s="11" t="n">
        <x:v>0</x:v>
      </x:c>
      <x:c r="M4125" s="9" t="n">
        <x:f>IF(D4125="Completed",I4125*J4125,0)</x:f>
        <x:v>156</x:v>
      </x:c>
      <x:c r="N4125" s="9" t="n">
        <x:f>M4125*K4125</x:f>
        <x:v>15.600000000000001</x:v>
      </x:c>
      <x:c r="O4125" s="9" t="n">
        <x:f>M4125-N4125</x:f>
        <x:v>140.4</x:v>
      </x:c>
      <x:c r="P4125" s="9" t="n">
        <x:f>IF(D4125="Completed",L4125*J4125*(1-K4125),0)</x:f>
        <x:v>0</x:v>
      </x:c>
      <x:c r="Q4125" s="9" t="n">
        <x:f>O4125-P4125</x:f>
        <x:v>140.4</x:v>
      </x:c>
      <x:c r="R4125" s="11" t="n">
        <x:f>IF(D4125="Completed",I4125,0)</x:f>
        <x:v>2</x:v>
      </x:c>
      <x:c r="S4125" s="11" t="n">
        <x:f>IF(D4125="Completed",L4125,0)</x:f>
        <x:v>0</x:v>
      </x:c>
      <x:c r="T4125" s="8" t="n">
        <x:f>DATE(YEAR(C4125),MONTH(C4125),1)</x:f>
        <x:v>45778</x:v>
      </x:c>
    </x:row>
    <x:row r="4126" ht="22" customHeight="1">
      <x:c r="A4126" s="2" t="str">
        <x:v>L004122</x:v>
      </x:c>
      <x:c r="B4126" s="2" t="str">
        <x:v>O01673</x:v>
      </x:c>
      <x:c r="C4126" s="7" t="n">
        <x:v>45784</x:v>
      </x:c>
      <x:c r="D4126" s="2" t="str">
        <x:v>Completed</x:v>
      </x:c>
      <x:c r="E4126" s="2" t="str">
        <x:v>West</x:v>
      </x:c>
      <x:c r="F4126" s="2" t="str">
        <x:v>Store</x:v>
      </x:c>
      <x:c r="G4126" s="2" t="str">
        <x:v>Furniture</x:v>
      </x:c>
      <x:c r="H4126" s="2" t="str">
        <x:v>Chair 002</x:v>
      </x:c>
      <x:c r="I4126" s="11" t="n">
        <x:v>5</x:v>
      </x:c>
      <x:c r="J4126" s="9" t="n">
        <x:v>284</x:v>
      </x:c>
      <x:c r="K4126" s="10" t="n">
        <x:v>0.05</x:v>
      </x:c>
      <x:c r="L4126" s="11" t="n">
        <x:v>0</x:v>
      </x:c>
      <x:c r="M4126" s="9" t="n">
        <x:f>IF(D4126="Completed",I4126*J4126,0)</x:f>
        <x:v>1420</x:v>
      </x:c>
      <x:c r="N4126" s="9" t="n">
        <x:f>M4126*K4126</x:f>
        <x:v>71</x:v>
      </x:c>
      <x:c r="O4126" s="9" t="n">
        <x:f>M4126-N4126</x:f>
        <x:v>1349</x:v>
      </x:c>
      <x:c r="P4126" s="9" t="n">
        <x:f>IF(D4126="Completed",L4126*J4126*(1-K4126),0)</x:f>
        <x:v>0</x:v>
      </x:c>
      <x:c r="Q4126" s="9" t="n">
        <x:f>O4126-P4126</x:f>
        <x:v>1349</x:v>
      </x:c>
      <x:c r="R4126" s="11" t="n">
        <x:f>IF(D4126="Completed",I4126,0)</x:f>
        <x:v>5</x:v>
      </x:c>
      <x:c r="S4126" s="11" t="n">
        <x:f>IF(D4126="Completed",L4126,0)</x:f>
        <x:v>0</x:v>
      </x:c>
      <x:c r="T4126" s="8" t="n">
        <x:f>DATE(YEAR(C4126),MONTH(C4126),1)</x:f>
        <x:v>45778</x:v>
      </x:c>
    </x:row>
    <x:row r="4127" ht="22" customHeight="1">
      <x:c r="A4127" s="2" t="str">
        <x:v>L004123</x:v>
      </x:c>
      <x:c r="B4127" s="2" t="str">
        <x:v>O01674</x:v>
      </x:c>
      <x:c r="C4127" s="7" t="n">
        <x:v>45855</x:v>
      </x:c>
      <x:c r="D4127" s="2" t="str">
        <x:v>Completed</x:v>
      </x:c>
      <x:c r="E4127" s="2" t="str">
        <x:v>West</x:v>
      </x:c>
      <x:c r="F4127" s="2" t="str">
        <x:v>Store</x:v>
      </x:c>
      <x:c r="G4127" s="2" t="str">
        <x:v>Furniture</x:v>
      </x:c>
      <x:c r="H4127" s="2" t="str">
        <x:v>Chair 002</x:v>
      </x:c>
      <x:c r="I4127" s="11" t="n">
        <x:v>1</x:v>
      </x:c>
      <x:c r="J4127" s="9" t="n">
        <x:v>284</x:v>
      </x:c>
      <x:c r="K4127" s="10" t="n">
        <x:v>0.1</x:v>
      </x:c>
      <x:c r="L4127" s="11" t="n">
        <x:v>1</x:v>
      </x:c>
      <x:c r="M4127" s="9" t="n">
        <x:f>IF(D4127="Completed",I4127*J4127,0)</x:f>
        <x:v>284</x:v>
      </x:c>
      <x:c r="N4127" s="9" t="n">
        <x:f>M4127*K4127</x:f>
        <x:v>28.400000000000002</x:v>
      </x:c>
      <x:c r="O4127" s="9" t="n">
        <x:f>M4127-N4127</x:f>
        <x:v>255.6</x:v>
      </x:c>
      <x:c r="P4127" s="9" t="n">
        <x:f>IF(D4127="Completed",L4127*J4127*(1-K4127),0)</x:f>
        <x:v>255.6</x:v>
      </x:c>
      <x:c r="Q4127" s="9" t="n">
        <x:f>O4127-P4127</x:f>
        <x:v>0</x:v>
      </x:c>
      <x:c r="R4127" s="11" t="n">
        <x:f>IF(D4127="Completed",I4127,0)</x:f>
        <x:v>1</x:v>
      </x:c>
      <x:c r="S4127" s="11" t="n">
        <x:f>IF(D4127="Completed",L4127,0)</x:f>
        <x:v>1</x:v>
      </x:c>
      <x:c r="T4127" s="8" t="n">
        <x:f>DATE(YEAR(C4127),MONTH(C4127),1)</x:f>
        <x:v>45839</x:v>
      </x:c>
    </x:row>
    <x:row r="4128" ht="22" customHeight="1">
      <x:c r="A4128" s="2" t="str">
        <x:v>L004124</x:v>
      </x:c>
      <x:c r="B4128" s="2" t="str">
        <x:v>O01674</x:v>
      </x:c>
      <x:c r="C4128" s="7" t="n">
        <x:v>45855</x:v>
      </x:c>
      <x:c r="D4128" s="2" t="str">
        <x:v>Completed</x:v>
      </x:c>
      <x:c r="E4128" s="2" t="str">
        <x:v>West</x:v>
      </x:c>
      <x:c r="F4128" s="2" t="str">
        <x:v>Store</x:v>
      </x:c>
      <x:c r="G4128" s="2" t="str">
        <x:v>Storage</x:v>
      </x:c>
      <x:c r="H4128" s="2" t="str">
        <x:v>Shelf 019</x:v>
      </x:c>
      <x:c r="I4128" s="11" t="n">
        <x:v>3</x:v>
      </x:c>
      <x:c r="J4128" s="9" t="n">
        <x:v>78</x:v>
      </x:c>
      <x:c r="K4128" s="10" t="n">
        <x:v>0</x:v>
      </x:c>
      <x:c r="L4128" s="11" t="n">
        <x:v>0</x:v>
      </x:c>
      <x:c r="M4128" s="9" t="n">
        <x:f>IF(D4128="Completed",I4128*J4128,0)</x:f>
        <x:v>234</x:v>
      </x:c>
      <x:c r="N4128" s="9" t="n">
        <x:f>M4128*K4128</x:f>
        <x:v>0</x:v>
      </x:c>
      <x:c r="O4128" s="9" t="n">
        <x:f>M4128-N4128</x:f>
        <x:v>234</x:v>
      </x:c>
      <x:c r="P4128" s="9" t="n">
        <x:f>IF(D4128="Completed",L4128*J4128*(1-K4128),0)</x:f>
        <x:v>0</x:v>
      </x:c>
      <x:c r="Q4128" s="9" t="n">
        <x:f>O4128-P4128</x:f>
        <x:v>234</x:v>
      </x:c>
      <x:c r="R4128" s="11" t="n">
        <x:f>IF(D4128="Completed",I4128,0)</x:f>
        <x:v>3</x:v>
      </x:c>
      <x:c r="S4128" s="11" t="n">
        <x:f>IF(D4128="Completed",L4128,0)</x:f>
        <x:v>0</x:v>
      </x:c>
      <x:c r="T4128" s="8" t="n">
        <x:f>DATE(YEAR(C4128),MONTH(C4128),1)</x:f>
        <x:v>45839</x:v>
      </x:c>
    </x:row>
    <x:row r="4129" ht="22" customHeight="1">
      <x:c r="A4129" s="2" t="str">
        <x:v>L004125</x:v>
      </x:c>
      <x:c r="B4129" s="2" t="str">
        <x:v>O01675</x:v>
      </x:c>
      <x:c r="C4129" s="7" t="n">
        <x:v>45718</x:v>
      </x:c>
      <x:c r="D4129" s="2" t="str">
        <x:v>Completed</x:v>
      </x:c>
      <x:c r="E4129" s="2" t="str">
        <x:v>East</x:v>
      </x:c>
      <x:c r="F4129" s="2" t="str">
        <x:v>Store</x:v>
      </x:c>
      <x:c r="G4129" s="2" t="str">
        <x:v>Lighting</x:v>
      </x:c>
      <x:c r="H4129" s="2" t="str">
        <x:v>Lamp 021</x:v>
      </x:c>
      <x:c r="I4129" s="11" t="n">
        <x:v>1</x:v>
      </x:c>
      <x:c r="J4129" s="9" t="n">
        <x:v>249</x:v>
      </x:c>
      <x:c r="K4129" s="10" t="n">
        <x:v>0.1</x:v>
      </x:c>
      <x:c r="L4129" s="11" t="n">
        <x:v>0</x:v>
      </x:c>
      <x:c r="M4129" s="9" t="n">
        <x:f>IF(D4129="Completed",I4129*J4129,0)</x:f>
        <x:v>249</x:v>
      </x:c>
      <x:c r="N4129" s="9" t="n">
        <x:f>M4129*K4129</x:f>
        <x:v>24.900000000000002</x:v>
      </x:c>
      <x:c r="O4129" s="9" t="n">
        <x:f>M4129-N4129</x:f>
        <x:v>224.1</x:v>
      </x:c>
      <x:c r="P4129" s="9" t="n">
        <x:f>IF(D4129="Completed",L4129*J4129*(1-K4129),0)</x:f>
        <x:v>0</x:v>
      </x:c>
      <x:c r="Q4129" s="9" t="n">
        <x:f>O4129-P4129</x:f>
        <x:v>224.1</x:v>
      </x:c>
      <x:c r="R4129" s="11" t="n">
        <x:f>IF(D4129="Completed",I4129,0)</x:f>
        <x:v>1</x:v>
      </x:c>
      <x:c r="S4129" s="11" t="n">
        <x:f>IF(D4129="Completed",L4129,0)</x:f>
        <x:v>0</x:v>
      </x:c>
      <x:c r="T4129" s="8" t="n">
        <x:f>DATE(YEAR(C4129),MONTH(C4129),1)</x:f>
        <x:v>45717</x:v>
      </x:c>
    </x:row>
    <x:row r="4130" ht="22" customHeight="1">
      <x:c r="A4130" s="2" t="str">
        <x:v>L004126</x:v>
      </x:c>
      <x:c r="B4130" s="2" t="str">
        <x:v>O01676</x:v>
      </x:c>
      <x:c r="C4130" s="7" t="n">
        <x:v>46017</x:v>
      </x:c>
      <x:c r="D4130" s="2" t="str">
        <x:v>Completed</x:v>
      </x:c>
      <x:c r="E4130" s="2" t="str">
        <x:v>East</x:v>
      </x:c>
      <x:c r="F4130" s="2" t="str">
        <x:v>Store</x:v>
      </x:c>
      <x:c r="G4130" s="2" t="str">
        <x:v>Storage</x:v>
      </x:c>
      <x:c r="H4130" s="2" t="str">
        <x:v>Shelf 015</x:v>
      </x:c>
      <x:c r="I4130" s="11" t="n">
        <x:v>4</x:v>
      </x:c>
      <x:c r="J4130" s="9" t="n">
        <x:v>254</x:v>
      </x:c>
      <x:c r="K4130" s="10" t="n">
        <x:v>0</x:v>
      </x:c>
      <x:c r="L4130" s="11" t="n">
        <x:v>0</x:v>
      </x:c>
      <x:c r="M4130" s="9" t="n">
        <x:f>IF(D4130="Completed",I4130*J4130,0)</x:f>
        <x:v>1016</x:v>
      </x:c>
      <x:c r="N4130" s="9" t="n">
        <x:f>M4130*K4130</x:f>
        <x:v>0</x:v>
      </x:c>
      <x:c r="O4130" s="9" t="n">
        <x:f>M4130-N4130</x:f>
        <x:v>1016</x:v>
      </x:c>
      <x:c r="P4130" s="9" t="n">
        <x:f>IF(D4130="Completed",L4130*J4130*(1-K4130),0)</x:f>
        <x:v>0</x:v>
      </x:c>
      <x:c r="Q4130" s="9" t="n">
        <x:f>O4130-P4130</x:f>
        <x:v>1016</x:v>
      </x:c>
      <x:c r="R4130" s="11" t="n">
        <x:f>IF(D4130="Completed",I4130,0)</x:f>
        <x:v>4</x:v>
      </x:c>
      <x:c r="S4130" s="11" t="n">
        <x:f>IF(D4130="Completed",L4130,0)</x:f>
        <x:v>0</x:v>
      </x:c>
      <x:c r="T4130" s="8" t="n">
        <x:f>DATE(YEAR(C4130),MONTH(C4130),1)</x:f>
        <x:v>45992</x:v>
      </x:c>
    </x:row>
    <x:row r="4131" ht="22" customHeight="1">
      <x:c r="A4131" s="2" t="str">
        <x:v>L004127</x:v>
      </x:c>
      <x:c r="B4131" s="2" t="str">
        <x:v>O01676</x:v>
      </x:c>
      <x:c r="C4131" s="7" t="n">
        <x:v>46017</x:v>
      </x:c>
      <x:c r="D4131" s="2" t="str">
        <x:v>Completed</x:v>
      </x:c>
      <x:c r="E4131" s="2" t="str">
        <x:v>East</x:v>
      </x:c>
      <x:c r="F4131" s="2" t="str">
        <x:v>Store</x:v>
      </x:c>
      <x:c r="G4131" s="2" t="str">
        <x:v>Storage</x:v>
      </x:c>
      <x:c r="H4131" s="2" t="str">
        <x:v>Shelf 003</x:v>
      </x:c>
      <x:c r="I4131" s="11" t="n">
        <x:v>2</x:v>
      </x:c>
      <x:c r="J4131" s="9" t="n">
        <x:v>199</x:v>
      </x:c>
      <x:c r="K4131" s="10" t="n">
        <x:v>0.1</x:v>
      </x:c>
      <x:c r="L4131" s="11" t="n">
        <x:v>0</x:v>
      </x:c>
      <x:c r="M4131" s="9" t="n">
        <x:f>IF(D4131="Completed",I4131*J4131,0)</x:f>
        <x:v>398</x:v>
      </x:c>
      <x:c r="N4131" s="9" t="n">
        <x:f>M4131*K4131</x:f>
        <x:v>39.800000000000004</x:v>
      </x:c>
      <x:c r="O4131" s="9" t="n">
        <x:f>M4131-N4131</x:f>
        <x:v>358.2</x:v>
      </x:c>
      <x:c r="P4131" s="9" t="n">
        <x:f>IF(D4131="Completed",L4131*J4131*(1-K4131),0)</x:f>
        <x:v>0</x:v>
      </x:c>
      <x:c r="Q4131" s="9" t="n">
        <x:f>O4131-P4131</x:f>
        <x:v>358.2</x:v>
      </x:c>
      <x:c r="R4131" s="11" t="n">
        <x:f>IF(D4131="Completed",I4131,0)</x:f>
        <x:v>2</x:v>
      </x:c>
      <x:c r="S4131" s="11" t="n">
        <x:f>IF(D4131="Completed",L4131,0)</x:f>
        <x:v>0</x:v>
      </x:c>
      <x:c r="T4131" s="8" t="n">
        <x:f>DATE(YEAR(C4131),MONTH(C4131),1)</x:f>
        <x:v>45992</x:v>
      </x:c>
    </x:row>
    <x:row r="4132" ht="22" customHeight="1">
      <x:c r="A4132" s="2" t="str">
        <x:v>L004128</x:v>
      </x:c>
      <x:c r="B4132" s="2" t="str">
        <x:v>O01677</x:v>
      </x:c>
      <x:c r="C4132" s="7" t="n">
        <x:v>45759</x:v>
      </x:c>
      <x:c r="D4132" s="2" t="str">
        <x:v>Completed</x:v>
      </x:c>
      <x:c r="E4132" s="2" t="str">
        <x:v>East</x:v>
      </x:c>
      <x:c r="F4132" s="2" t="str">
        <x:v>Online</x:v>
      </x:c>
      <x:c r="G4132" s="2" t="str">
        <x:v>Furniture</x:v>
      </x:c>
      <x:c r="H4132" s="2" t="str">
        <x:v>Desk 024</x:v>
      </x:c>
      <x:c r="I4132" s="11" t="n">
        <x:v>4</x:v>
      </x:c>
      <x:c r="J4132" s="9" t="n">
        <x:v>81</x:v>
      </x:c>
      <x:c r="K4132" s="10" t="n">
        <x:v>0.2</x:v>
      </x:c>
      <x:c r="L4132" s="11" t="n">
        <x:v>0</x:v>
      </x:c>
      <x:c r="M4132" s="9" t="n">
        <x:f>IF(D4132="Completed",I4132*J4132,0)</x:f>
        <x:v>324</x:v>
      </x:c>
      <x:c r="N4132" s="9" t="n">
        <x:f>M4132*K4132</x:f>
        <x:v>64.8</x:v>
      </x:c>
      <x:c r="O4132" s="9" t="n">
        <x:f>M4132-N4132</x:f>
        <x:v>259.2</x:v>
      </x:c>
      <x:c r="P4132" s="9" t="n">
        <x:f>IF(D4132="Completed",L4132*J4132*(1-K4132),0)</x:f>
        <x:v>0</x:v>
      </x:c>
      <x:c r="Q4132" s="9" t="n">
        <x:f>O4132-P4132</x:f>
        <x:v>259.2</x:v>
      </x:c>
      <x:c r="R4132" s="11" t="n">
        <x:f>IF(D4132="Completed",I4132,0)</x:f>
        <x:v>4</x:v>
      </x:c>
      <x:c r="S4132" s="11" t="n">
        <x:f>IF(D4132="Completed",L4132,0)</x:f>
        <x:v>0</x:v>
      </x:c>
      <x:c r="T4132" s="8" t="n">
        <x:f>DATE(YEAR(C4132),MONTH(C4132),1)</x:f>
        <x:v>45748</x:v>
      </x:c>
    </x:row>
    <x:row r="4133" ht="22" customHeight="1">
      <x:c r="A4133" s="2" t="str">
        <x:v>L004129</x:v>
      </x:c>
      <x:c r="B4133" s="2" t="str">
        <x:v>O01677</x:v>
      </x:c>
      <x:c r="C4133" s="7" t="n">
        <x:v>45759</x:v>
      </x:c>
      <x:c r="D4133" s="2" t="str">
        <x:v>Completed</x:v>
      </x:c>
      <x:c r="E4133" s="2" t="str">
        <x:v>East</x:v>
      </x:c>
      <x:c r="F4133" s="2" t="str">
        <x:v>Online</x:v>
      </x:c>
      <x:c r="G4133" s="2" t="str">
        <x:v>Storage</x:v>
      </x:c>
      <x:c r="H4133" s="2" t="str">
        <x:v>Shelf 019</x:v>
      </x:c>
      <x:c r="I4133" s="11" t="n">
        <x:v>3</x:v>
      </x:c>
      <x:c r="J4133" s="9" t="n">
        <x:v>78</x:v>
      </x:c>
      <x:c r="K4133" s="10" t="n">
        <x:v>0.2</x:v>
      </x:c>
      <x:c r="L4133" s="11" t="n">
        <x:v>0</x:v>
      </x:c>
      <x:c r="M4133" s="9" t="n">
        <x:f>IF(D4133="Completed",I4133*J4133,0)</x:f>
        <x:v>234</x:v>
      </x:c>
      <x:c r="N4133" s="9" t="n">
        <x:f>M4133*K4133</x:f>
        <x:v>46.800000000000004</x:v>
      </x:c>
      <x:c r="O4133" s="9" t="n">
        <x:f>M4133-N4133</x:f>
        <x:v>187.2</x:v>
      </x:c>
      <x:c r="P4133" s="9" t="n">
        <x:f>IF(D4133="Completed",L4133*J4133*(1-K4133),0)</x:f>
        <x:v>0</x:v>
      </x:c>
      <x:c r="Q4133" s="9" t="n">
        <x:f>O4133-P4133</x:f>
        <x:v>187.2</x:v>
      </x:c>
      <x:c r="R4133" s="11" t="n">
        <x:f>IF(D4133="Completed",I4133,0)</x:f>
        <x:v>3</x:v>
      </x:c>
      <x:c r="S4133" s="11" t="n">
        <x:f>IF(D4133="Completed",L4133,0)</x:f>
        <x:v>0</x:v>
      </x:c>
      <x:c r="T4133" s="8" t="n">
        <x:f>DATE(YEAR(C4133),MONTH(C4133),1)</x:f>
        <x:v>45748</x:v>
      </x:c>
    </x:row>
    <x:row r="4134" ht="22" customHeight="1">
      <x:c r="A4134" s="2" t="str">
        <x:v>L004130</x:v>
      </x:c>
      <x:c r="B4134" s="2" t="str">
        <x:v>O01678</x:v>
      </x:c>
      <x:c r="C4134" s="7" t="n">
        <x:v>45676</x:v>
      </x:c>
      <x:c r="D4134" s="2" t="str">
        <x:v>Completed</x:v>
      </x:c>
      <x:c r="E4134" s="2" t="str">
        <x:v>North</x:v>
      </x:c>
      <x:c r="F4134" s="2" t="str">
        <x:v>Online</x:v>
      </x:c>
      <x:c r="G4134" s="2" t="str">
        <x:v>Furniture</x:v>
      </x:c>
      <x:c r="H4134" s="2" t="str">
        <x:v>Chair 010</x:v>
      </x:c>
      <x:c r="I4134" s="11" t="n">
        <x:v>5</x:v>
      </x:c>
      <x:c r="J4134" s="9" t="n">
        <x:v>211</x:v>
      </x:c>
      <x:c r="K4134" s="10" t="n">
        <x:v>0.05</x:v>
      </x:c>
      <x:c r="L4134" s="11" t="n">
        <x:v>0</x:v>
      </x:c>
      <x:c r="M4134" s="9" t="n">
        <x:f>IF(D4134="Completed",I4134*J4134,0)</x:f>
        <x:v>1055</x:v>
      </x:c>
      <x:c r="N4134" s="9" t="n">
        <x:f>M4134*K4134</x:f>
        <x:v>52.75</x:v>
      </x:c>
      <x:c r="O4134" s="9" t="n">
        <x:f>M4134-N4134</x:f>
        <x:v>1002.25</x:v>
      </x:c>
      <x:c r="P4134" s="9" t="n">
        <x:f>IF(D4134="Completed",L4134*J4134*(1-K4134),0)</x:f>
        <x:v>0</x:v>
      </x:c>
      <x:c r="Q4134" s="9" t="n">
        <x:f>O4134-P4134</x:f>
        <x:v>1002.25</x:v>
      </x:c>
      <x:c r="R4134" s="11" t="n">
        <x:f>IF(D4134="Completed",I4134,0)</x:f>
        <x:v>5</x:v>
      </x:c>
      <x:c r="S4134" s="11" t="n">
        <x:f>IF(D4134="Completed",L4134,0)</x:f>
        <x:v>0</x:v>
      </x:c>
      <x:c r="T4134" s="8" t="n">
        <x:f>DATE(YEAR(C4134),MONTH(C4134),1)</x:f>
        <x:v>45658</x:v>
      </x:c>
    </x:row>
    <x:row r="4135" ht="22" customHeight="1">
      <x:c r="A4135" s="2" t="str">
        <x:v>L004131</x:v>
      </x:c>
      <x:c r="B4135" s="2" t="str">
        <x:v>O01678</x:v>
      </x:c>
      <x:c r="C4135" s="7" t="n">
        <x:v>45676</x:v>
      </x:c>
      <x:c r="D4135" s="2" t="str">
        <x:v>Completed</x:v>
      </x:c>
      <x:c r="E4135" s="2" t="str">
        <x:v>North</x:v>
      </x:c>
      <x:c r="F4135" s="2" t="str">
        <x:v>Online</x:v>
      </x:c>
      <x:c r="G4135" s="2" t="str">
        <x:v>Lighting</x:v>
      </x:c>
      <x:c r="H4135" s="2" t="str">
        <x:v>Lamp 009</x:v>
      </x:c>
      <x:c r="I4135" s="11" t="n">
        <x:v>1</x:v>
      </x:c>
      <x:c r="J4135" s="9" t="n">
        <x:v>93</x:v>
      </x:c>
      <x:c r="K4135" s="10" t="n">
        <x:v>0.1</x:v>
      </x:c>
      <x:c r="L4135" s="11" t="n">
        <x:v>1</x:v>
      </x:c>
      <x:c r="M4135" s="9" t="n">
        <x:f>IF(D4135="Completed",I4135*J4135,0)</x:f>
        <x:v>93</x:v>
      </x:c>
      <x:c r="N4135" s="9" t="n">
        <x:f>M4135*K4135</x:f>
        <x:v>9.3</x:v>
      </x:c>
      <x:c r="O4135" s="9" t="n">
        <x:f>M4135-N4135</x:f>
        <x:v>83.7</x:v>
      </x:c>
      <x:c r="P4135" s="9" t="n">
        <x:f>IF(D4135="Completed",L4135*J4135*(1-K4135),0)</x:f>
        <x:v>83.7</x:v>
      </x:c>
      <x:c r="Q4135" s="9" t="n">
        <x:f>O4135-P4135</x:f>
        <x:v>0</x:v>
      </x:c>
      <x:c r="R4135" s="11" t="n">
        <x:f>IF(D4135="Completed",I4135,0)</x:f>
        <x:v>1</x:v>
      </x:c>
      <x:c r="S4135" s="11" t="n">
        <x:f>IF(D4135="Completed",L4135,0)</x:f>
        <x:v>1</x:v>
      </x:c>
      <x:c r="T4135" s="8" t="n">
        <x:f>DATE(YEAR(C4135),MONTH(C4135),1)</x:f>
        <x:v>45658</x:v>
      </x:c>
    </x:row>
    <x:row r="4136" ht="22" customHeight="1">
      <x:c r="A4136" s="2" t="str">
        <x:v>L004132</x:v>
      </x:c>
      <x:c r="B4136" s="2" t="str">
        <x:v>O01679</x:v>
      </x:c>
      <x:c r="C4136" s="7" t="n">
        <x:v>45930</x:v>
      </x:c>
      <x:c r="D4136" s="2" t="str">
        <x:v>Completed</x:v>
      </x:c>
      <x:c r="E4136" s="2" t="str">
        <x:v>West</x:v>
      </x:c>
      <x:c r="F4136" s="2" t="str">
        <x:v>Online</x:v>
      </x:c>
      <x:c r="G4136" s="2" t="str">
        <x:v>Furniture</x:v>
      </x:c>
      <x:c r="H4136" s="2" t="str">
        <x:v>Desk 024</x:v>
      </x:c>
      <x:c r="I4136" s="11" t="n">
        <x:v>2</x:v>
      </x:c>
      <x:c r="J4136" s="9" t="n">
        <x:v>81</x:v>
      </x:c>
      <x:c r="K4136" s="10" t="n">
        <x:v>0.05</x:v>
      </x:c>
      <x:c r="L4136" s="11" t="n">
        <x:v>0</x:v>
      </x:c>
      <x:c r="M4136" s="9" t="n">
        <x:f>IF(D4136="Completed",I4136*J4136,0)</x:f>
        <x:v>162</x:v>
      </x:c>
      <x:c r="N4136" s="9" t="n">
        <x:f>M4136*K4136</x:f>
        <x:v>8.1</x:v>
      </x:c>
      <x:c r="O4136" s="9" t="n">
        <x:f>M4136-N4136</x:f>
        <x:v>153.9</x:v>
      </x:c>
      <x:c r="P4136" s="9" t="n">
        <x:f>IF(D4136="Completed",L4136*J4136*(1-K4136),0)</x:f>
        <x:v>0</x:v>
      </x:c>
      <x:c r="Q4136" s="9" t="n">
        <x:f>O4136-P4136</x:f>
        <x:v>153.9</x:v>
      </x:c>
      <x:c r="R4136" s="11" t="n">
        <x:f>IF(D4136="Completed",I4136,0)</x:f>
        <x:v>2</x:v>
      </x:c>
      <x:c r="S4136" s="11" t="n">
        <x:f>IF(D4136="Completed",L4136,0)</x:f>
        <x:v>0</x:v>
      </x:c>
      <x:c r="T4136" s="8" t="n">
        <x:f>DATE(YEAR(C4136),MONTH(C4136),1)</x:f>
        <x:v>45901</x:v>
      </x:c>
    </x:row>
    <x:row r="4137" ht="22" customHeight="1">
      <x:c r="A4137" s="2" t="str">
        <x:v>L004133</x:v>
      </x:c>
      <x:c r="B4137" s="2" t="str">
        <x:v>O01679</x:v>
      </x:c>
      <x:c r="C4137" s="7" t="n">
        <x:v>45930</x:v>
      </x:c>
      <x:c r="D4137" s="2" t="str">
        <x:v>Completed</x:v>
      </x:c>
      <x:c r="E4137" s="2" t="str">
        <x:v>West</x:v>
      </x:c>
      <x:c r="F4137" s="2" t="str">
        <x:v>Online</x:v>
      </x:c>
      <x:c r="G4137" s="2" t="str">
        <x:v>Furniture</x:v>
      </x:c>
      <x:c r="H4137" s="2" t="str">
        <x:v>Chair 018</x:v>
      </x:c>
      <x:c r="I4137" s="11" t="n">
        <x:v>3</x:v>
      </x:c>
      <x:c r="J4137" s="9" t="n">
        <x:v>269</x:v>
      </x:c>
      <x:c r="K4137" s="10" t="n">
        <x:v>0.05</x:v>
      </x:c>
      <x:c r="L4137" s="11" t="n">
        <x:v>0</x:v>
      </x:c>
      <x:c r="M4137" s="9" t="n">
        <x:f>IF(D4137="Completed",I4137*J4137,0)</x:f>
        <x:v>807</x:v>
      </x:c>
      <x:c r="N4137" s="9" t="n">
        <x:f>M4137*K4137</x:f>
        <x:v>40.35</x:v>
      </x:c>
      <x:c r="O4137" s="9" t="n">
        <x:f>M4137-N4137</x:f>
        <x:v>766.65</x:v>
      </x:c>
      <x:c r="P4137" s="9" t="n">
        <x:f>IF(D4137="Completed",L4137*J4137*(1-K4137),0)</x:f>
        <x:v>0</x:v>
      </x:c>
      <x:c r="Q4137" s="9" t="n">
        <x:f>O4137-P4137</x:f>
        <x:v>766.65</x:v>
      </x:c>
      <x:c r="R4137" s="11" t="n">
        <x:f>IF(D4137="Completed",I4137,0)</x:f>
        <x:v>3</x:v>
      </x:c>
      <x:c r="S4137" s="11" t="n">
        <x:f>IF(D4137="Completed",L4137,0)</x:f>
        <x:v>0</x:v>
      </x:c>
      <x:c r="T4137" s="8" t="n">
        <x:f>DATE(YEAR(C4137),MONTH(C4137),1)</x:f>
        <x:v>45901</x:v>
      </x:c>
    </x:row>
    <x:row r="4138" ht="22" customHeight="1">
      <x:c r="A4138" s="2" t="str">
        <x:v>L004134</x:v>
      </x:c>
      <x:c r="B4138" s="2" t="str">
        <x:v>O01679</x:v>
      </x:c>
      <x:c r="C4138" s="7" t="n">
        <x:v>45930</x:v>
      </x:c>
      <x:c r="D4138" s="2" t="str">
        <x:v>Completed</x:v>
      </x:c>
      <x:c r="E4138" s="2" t="str">
        <x:v>West</x:v>
      </x:c>
      <x:c r="F4138" s="2" t="str">
        <x:v>Online</x:v>
      </x:c>
      <x:c r="G4138" s="2" t="str">
        <x:v>Furniture</x:v>
      </x:c>
      <x:c r="H4138" s="2" t="str">
        <x:v>Desk 024</x:v>
      </x:c>
      <x:c r="I4138" s="11" t="n">
        <x:v>2</x:v>
      </x:c>
      <x:c r="J4138" s="9" t="n">
        <x:v>81</x:v>
      </x:c>
      <x:c r="K4138" s="10" t="n">
        <x:v>0.2</x:v>
      </x:c>
      <x:c r="L4138" s="11" t="n">
        <x:v>1</x:v>
      </x:c>
      <x:c r="M4138" s="9" t="n">
        <x:f>IF(D4138="Completed",I4138*J4138,0)</x:f>
        <x:v>162</x:v>
      </x:c>
      <x:c r="N4138" s="9" t="n">
        <x:f>M4138*K4138</x:f>
        <x:v>32.4</x:v>
      </x:c>
      <x:c r="O4138" s="9" t="n">
        <x:f>M4138-N4138</x:f>
        <x:v>129.6</x:v>
      </x:c>
      <x:c r="P4138" s="9" t="n">
        <x:f>IF(D4138="Completed",L4138*J4138*(1-K4138),0)</x:f>
        <x:v>64.8</x:v>
      </x:c>
      <x:c r="Q4138" s="9" t="n">
        <x:f>O4138-P4138</x:f>
        <x:v>64.8</x:v>
      </x:c>
      <x:c r="R4138" s="11" t="n">
        <x:f>IF(D4138="Completed",I4138,0)</x:f>
        <x:v>2</x:v>
      </x:c>
      <x:c r="S4138" s="11" t="n">
        <x:f>IF(D4138="Completed",L4138,0)</x:f>
        <x:v>1</x:v>
      </x:c>
      <x:c r="T4138" s="8" t="n">
        <x:f>DATE(YEAR(C4138),MONTH(C4138),1)</x:f>
        <x:v>45901</x:v>
      </x:c>
    </x:row>
    <x:row r="4139" ht="22" customHeight="1">
      <x:c r="A4139" s="2" t="str">
        <x:v>L004135</x:v>
      </x:c>
      <x:c r="B4139" s="2" t="str">
        <x:v>O01679</x:v>
      </x:c>
      <x:c r="C4139" s="7" t="n">
        <x:v>45930</x:v>
      </x:c>
      <x:c r="D4139" s="2" t="str">
        <x:v>Completed</x:v>
      </x:c>
      <x:c r="E4139" s="2" t="str">
        <x:v>West</x:v>
      </x:c>
      <x:c r="F4139" s="2" t="str">
        <x:v>Online</x:v>
      </x:c>
      <x:c r="G4139" s="2" t="str">
        <x:v>Storage</x:v>
      </x:c>
      <x:c r="H4139" s="2" t="str">
        <x:v>Shelf 007</x:v>
      </x:c>
      <x:c r="I4139" s="11" t="n">
        <x:v>3</x:v>
      </x:c>
      <x:c r="J4139" s="9" t="n">
        <x:v>35</x:v>
      </x:c>
      <x:c r="K4139" s="10" t="n">
        <x:v>0</x:v>
      </x:c>
      <x:c r="L4139" s="11" t="n">
        <x:v>0</x:v>
      </x:c>
      <x:c r="M4139" s="9" t="n">
        <x:f>IF(D4139="Completed",I4139*J4139,0)</x:f>
        <x:v>105</x:v>
      </x:c>
      <x:c r="N4139" s="9" t="n">
        <x:f>M4139*K4139</x:f>
        <x:v>0</x:v>
      </x:c>
      <x:c r="O4139" s="9" t="n">
        <x:f>M4139-N4139</x:f>
        <x:v>105</x:v>
      </x:c>
      <x:c r="P4139" s="9" t="n">
        <x:f>IF(D4139="Completed",L4139*J4139*(1-K4139),0)</x:f>
        <x:v>0</x:v>
      </x:c>
      <x:c r="Q4139" s="9" t="n">
        <x:f>O4139-P4139</x:f>
        <x:v>105</x:v>
      </x:c>
      <x:c r="R4139" s="11" t="n">
        <x:f>IF(D4139="Completed",I4139,0)</x:f>
        <x:v>3</x:v>
      </x:c>
      <x:c r="S4139" s="11" t="n">
        <x:f>IF(D4139="Completed",L4139,0)</x:f>
        <x:v>0</x:v>
      </x:c>
      <x:c r="T4139" s="8" t="n">
        <x:f>DATE(YEAR(C4139),MONTH(C4139),1)</x:f>
        <x:v>45901</x:v>
      </x:c>
    </x:row>
    <x:row r="4140" ht="22" customHeight="1">
      <x:c r="A4140" s="2" t="str">
        <x:v>L004136</x:v>
      </x:c>
      <x:c r="B4140" s="2" t="str">
        <x:v>O01680</x:v>
      </x:c>
      <x:c r="C4140" s="7" t="n">
        <x:v>45683</x:v>
      </x:c>
      <x:c r="D4140" s="2" t="str">
        <x:v>Cancelled</x:v>
      </x:c>
      <x:c r="E4140" s="2" t="str">
        <x:v>South</x:v>
      </x:c>
      <x:c r="F4140" s="2" t="str">
        <x:v>Online</x:v>
      </x:c>
      <x:c r="G4140" s="2" t="str">
        <x:v>Storage</x:v>
      </x:c>
      <x:c r="H4140" s="2" t="str">
        <x:v>Shelf 023</x:v>
      </x:c>
      <x:c r="I4140" s="11" t="n">
        <x:v>2</x:v>
      </x:c>
      <x:c r="J4140" s="9" t="n">
        <x:v>68</x:v>
      </x:c>
      <x:c r="K4140" s="10" t="n">
        <x:v>0.05</x:v>
      </x:c>
      <x:c r="L4140" s="11" t="n">
        <x:v>0</x:v>
      </x:c>
      <x:c r="M4140" s="9" t="n">
        <x:f>IF(D4140="Completed",I4140*J4140,0)</x:f>
        <x:v>0</x:v>
      </x:c>
      <x:c r="N4140" s="9" t="n">
        <x:f>M4140*K4140</x:f>
        <x:v>0</x:v>
      </x:c>
      <x:c r="O4140" s="9" t="n">
        <x:f>M4140-N4140</x:f>
        <x:v>0</x:v>
      </x:c>
      <x:c r="P4140" s="9" t="n">
        <x:f>IF(D4140="Completed",L4140*J4140*(1-K4140),0)</x:f>
        <x:v>0</x:v>
      </x:c>
      <x:c r="Q4140" s="9" t="n">
        <x:f>O4140-P4140</x:f>
        <x:v>0</x:v>
      </x:c>
      <x:c r="R4140" s="11" t="n">
        <x:f>IF(D4140="Completed",I4140,0)</x:f>
        <x:v>0</x:v>
      </x:c>
      <x:c r="S4140" s="11" t="n">
        <x:f>IF(D4140="Completed",L4140,0)</x:f>
        <x:v>0</x:v>
      </x:c>
      <x:c r="T4140" s="8" t="n">
        <x:f>DATE(YEAR(C4140),MONTH(C4140),1)</x:f>
        <x:v>45658</x:v>
      </x:c>
    </x:row>
    <x:row r="4141" ht="22" customHeight="1">
      <x:c r="A4141" s="2" t="str">
        <x:v>L004137</x:v>
      </x:c>
      <x:c r="B4141" s="2" t="str">
        <x:v>O01680</x:v>
      </x:c>
      <x:c r="C4141" s="7" t="n">
        <x:v>45683</x:v>
      </x:c>
      <x:c r="D4141" s="2" t="str">
        <x:v>Cancelled</x:v>
      </x:c>
      <x:c r="E4141" s="2" t="str">
        <x:v>South</x:v>
      </x:c>
      <x:c r="F4141" s="2" t="str">
        <x:v>Online</x:v>
      </x:c>
      <x:c r="G4141" s="2" t="str">
        <x:v>Storage</x:v>
      </x:c>
      <x:c r="H4141" s="2" t="str">
        <x:v>Shelf 023</x:v>
      </x:c>
      <x:c r="I4141" s="11" t="n">
        <x:v>2</x:v>
      </x:c>
      <x:c r="J4141" s="9" t="n">
        <x:v>68</x:v>
      </x:c>
      <x:c r="K4141" s="10" t="n">
        <x:v>0.05</x:v>
      </x:c>
      <x:c r="L4141" s="11" t="n">
        <x:v>0</x:v>
      </x:c>
      <x:c r="M4141" s="9" t="n">
        <x:f>IF(D4141="Completed",I4141*J4141,0)</x:f>
        <x:v>0</x:v>
      </x:c>
      <x:c r="N4141" s="9" t="n">
        <x:f>M4141*K4141</x:f>
        <x:v>0</x:v>
      </x:c>
      <x:c r="O4141" s="9" t="n">
        <x:f>M4141-N4141</x:f>
        <x:v>0</x:v>
      </x:c>
      <x:c r="P4141" s="9" t="n">
        <x:f>IF(D4141="Completed",L4141*J4141*(1-K4141),0)</x:f>
        <x:v>0</x:v>
      </x:c>
      <x:c r="Q4141" s="9" t="n">
        <x:f>O4141-P4141</x:f>
        <x:v>0</x:v>
      </x:c>
      <x:c r="R4141" s="11" t="n">
        <x:f>IF(D4141="Completed",I4141,0)</x:f>
        <x:v>0</x:v>
      </x:c>
      <x:c r="S4141" s="11" t="n">
        <x:f>IF(D4141="Completed",L4141,0)</x:f>
        <x:v>0</x:v>
      </x:c>
      <x:c r="T4141" s="8" t="n">
        <x:f>DATE(YEAR(C4141),MONTH(C4141),1)</x:f>
        <x:v>45658</x:v>
      </x:c>
    </x:row>
    <x:row r="4142" ht="22" customHeight="1">
      <x:c r="A4142" s="2" t="str">
        <x:v>L004138</x:v>
      </x:c>
      <x:c r="B4142" s="2" t="str">
        <x:v>O01680</x:v>
      </x:c>
      <x:c r="C4142" s="7" t="n">
        <x:v>45683</x:v>
      </x:c>
      <x:c r="D4142" s="2" t="str">
        <x:v>Cancelled</x:v>
      </x:c>
      <x:c r="E4142" s="2" t="str">
        <x:v>South</x:v>
      </x:c>
      <x:c r="F4142" s="2" t="str">
        <x:v>Online</x:v>
      </x:c>
      <x:c r="G4142" s="2" t="str">
        <x:v>Storage</x:v>
      </x:c>
      <x:c r="H4142" s="2" t="str">
        <x:v>Shelf 007</x:v>
      </x:c>
      <x:c r="I4142" s="11" t="n">
        <x:v>2</x:v>
      </x:c>
      <x:c r="J4142" s="9" t="n">
        <x:v>35</x:v>
      </x:c>
      <x:c r="K4142" s="10" t="n">
        <x:v>0.2</x:v>
      </x:c>
      <x:c r="L4142" s="11" t="n">
        <x:v>0</x:v>
      </x:c>
      <x:c r="M4142" s="9" t="n">
        <x:f>IF(D4142="Completed",I4142*J4142,0)</x:f>
        <x:v>0</x:v>
      </x:c>
      <x:c r="N4142" s="9" t="n">
        <x:f>M4142*K4142</x:f>
        <x:v>0</x:v>
      </x:c>
      <x:c r="O4142" s="9" t="n">
        <x:f>M4142-N4142</x:f>
        <x:v>0</x:v>
      </x:c>
      <x:c r="P4142" s="9" t="n">
        <x:f>IF(D4142="Completed",L4142*J4142*(1-K4142),0)</x:f>
        <x:v>0</x:v>
      </x:c>
      <x:c r="Q4142" s="9" t="n">
        <x:f>O4142-P4142</x:f>
        <x:v>0</x:v>
      </x:c>
      <x:c r="R4142" s="11" t="n">
        <x:f>IF(D4142="Completed",I4142,0)</x:f>
        <x:v>0</x:v>
      </x:c>
      <x:c r="S4142" s="11" t="n">
        <x:f>IF(D4142="Completed",L4142,0)</x:f>
        <x:v>0</x:v>
      </x:c>
      <x:c r="T4142" s="8" t="n">
        <x:f>DATE(YEAR(C4142),MONTH(C4142),1)</x:f>
        <x:v>45658</x:v>
      </x:c>
    </x:row>
    <x:row r="4143" ht="22" customHeight="1">
      <x:c r="A4143" s="2" t="str">
        <x:v>L004139</x:v>
      </x:c>
      <x:c r="B4143" s="2" t="str">
        <x:v>O01681</x:v>
      </x:c>
      <x:c r="C4143" s="7" t="n">
        <x:v>45700</x:v>
      </x:c>
      <x:c r="D4143" s="2" t="str">
        <x:v>Completed</x:v>
      </x:c>
      <x:c r="E4143" s="2" t="str">
        <x:v>South</x:v>
      </x:c>
      <x:c r="F4143" s="2" t="str">
        <x:v>Online</x:v>
      </x:c>
      <x:c r="G4143" s="2" t="str">
        <x:v>Furniture</x:v>
      </x:c>
      <x:c r="H4143" s="2" t="str">
        <x:v>Desk 024</x:v>
      </x:c>
      <x:c r="I4143" s="11" t="n">
        <x:v>4</x:v>
      </x:c>
      <x:c r="J4143" s="9" t="n">
        <x:v>81</x:v>
      </x:c>
      <x:c r="K4143" s="10" t="n">
        <x:v>0</x:v>
      </x:c>
      <x:c r="L4143" s="11" t="n">
        <x:v>0</x:v>
      </x:c>
      <x:c r="M4143" s="9" t="n">
        <x:f>IF(D4143="Completed",I4143*J4143,0)</x:f>
        <x:v>324</x:v>
      </x:c>
      <x:c r="N4143" s="9" t="n">
        <x:f>M4143*K4143</x:f>
        <x:v>0</x:v>
      </x:c>
      <x:c r="O4143" s="9" t="n">
        <x:f>M4143-N4143</x:f>
        <x:v>324</x:v>
      </x:c>
      <x:c r="P4143" s="9" t="n">
        <x:f>IF(D4143="Completed",L4143*J4143*(1-K4143),0)</x:f>
        <x:v>0</x:v>
      </x:c>
      <x:c r="Q4143" s="9" t="n">
        <x:f>O4143-P4143</x:f>
        <x:v>324</x:v>
      </x:c>
      <x:c r="R4143" s="11" t="n">
        <x:f>IF(D4143="Completed",I4143,0)</x:f>
        <x:v>4</x:v>
      </x:c>
      <x:c r="S4143" s="11" t="n">
        <x:f>IF(D4143="Completed",L4143,0)</x:f>
        <x:v>0</x:v>
      </x:c>
      <x:c r="T4143" s="8" t="n">
        <x:f>DATE(YEAR(C4143),MONTH(C4143),1)</x:f>
        <x:v>45689</x:v>
      </x:c>
    </x:row>
    <x:row r="4144" ht="22" customHeight="1">
      <x:c r="A4144" s="2" t="str">
        <x:v>L004140</x:v>
      </x:c>
      <x:c r="B4144" s="2" t="str">
        <x:v>O01682</x:v>
      </x:c>
      <x:c r="C4144" s="7" t="n">
        <x:v>45730</x:v>
      </x:c>
      <x:c r="D4144" s="2" t="str">
        <x:v>Completed</x:v>
      </x:c>
      <x:c r="E4144" s="2" t="str">
        <x:v>East</x:v>
      </x:c>
      <x:c r="F4144" s="2" t="str">
        <x:v>Online</x:v>
      </x:c>
      <x:c r="G4144" s="2" t="str">
        <x:v>Lighting</x:v>
      </x:c>
      <x:c r="H4144" s="2" t="str">
        <x:v>Lamp 017</x:v>
      </x:c>
      <x:c r="I4144" s="11" t="n">
        <x:v>2</x:v>
      </x:c>
      <x:c r="J4144" s="9" t="n">
        <x:v>300</x:v>
      </x:c>
      <x:c r="K4144" s="10" t="n">
        <x:v>0.1</x:v>
      </x:c>
      <x:c r="L4144" s="11" t="n">
        <x:v>0</x:v>
      </x:c>
      <x:c r="M4144" s="9" t="n">
        <x:f>IF(D4144="Completed",I4144*J4144,0)</x:f>
        <x:v>600</x:v>
      </x:c>
      <x:c r="N4144" s="9" t="n">
        <x:f>M4144*K4144</x:f>
        <x:v>60</x:v>
      </x:c>
      <x:c r="O4144" s="9" t="n">
        <x:f>M4144-N4144</x:f>
        <x:v>540</x:v>
      </x:c>
      <x:c r="P4144" s="9" t="n">
        <x:f>IF(D4144="Completed",L4144*J4144*(1-K4144),0)</x:f>
        <x:v>0</x:v>
      </x:c>
      <x:c r="Q4144" s="9" t="n">
        <x:f>O4144-P4144</x:f>
        <x:v>540</x:v>
      </x:c>
      <x:c r="R4144" s="11" t="n">
        <x:f>IF(D4144="Completed",I4144,0)</x:f>
        <x:v>2</x:v>
      </x:c>
      <x:c r="S4144" s="11" t="n">
        <x:f>IF(D4144="Completed",L4144,0)</x:f>
        <x:v>0</x:v>
      </x:c>
      <x:c r="T4144" s="8" t="n">
        <x:f>DATE(YEAR(C4144),MONTH(C4144),1)</x:f>
        <x:v>45717</x:v>
      </x:c>
    </x:row>
    <x:row r="4145" ht="22" customHeight="1">
      <x:c r="A4145" s="2" t="str">
        <x:v>L004141</x:v>
      </x:c>
      <x:c r="B4145" s="2" t="str">
        <x:v>O01682</x:v>
      </x:c>
      <x:c r="C4145" s="7" t="n">
        <x:v>45730</x:v>
      </x:c>
      <x:c r="D4145" s="2" t="str">
        <x:v>Completed</x:v>
      </x:c>
      <x:c r="E4145" s="2" t="str">
        <x:v>East</x:v>
      </x:c>
      <x:c r="F4145" s="2" t="str">
        <x:v>Online</x:v>
      </x:c>
      <x:c r="G4145" s="2" t="str">
        <x:v>Furniture</x:v>
      </x:c>
      <x:c r="H4145" s="2" t="str">
        <x:v>Desk 012</x:v>
      </x:c>
      <x:c r="I4145" s="11" t="n">
        <x:v>3</x:v>
      </x:c>
      <x:c r="J4145" s="9" t="n">
        <x:v>134</x:v>
      </x:c>
      <x:c r="K4145" s="10" t="n">
        <x:v>0.1</x:v>
      </x:c>
      <x:c r="L4145" s="11" t="n">
        <x:v>0</x:v>
      </x:c>
      <x:c r="M4145" s="9" t="n">
        <x:f>IF(D4145="Completed",I4145*J4145,0)</x:f>
        <x:v>402</x:v>
      </x:c>
      <x:c r="N4145" s="9" t="n">
        <x:f>M4145*K4145</x:f>
        <x:v>40.2</x:v>
      </x:c>
      <x:c r="O4145" s="9" t="n">
        <x:f>M4145-N4145</x:f>
        <x:v>361.8</x:v>
      </x:c>
      <x:c r="P4145" s="9" t="n">
        <x:f>IF(D4145="Completed",L4145*J4145*(1-K4145),0)</x:f>
        <x:v>0</x:v>
      </x:c>
      <x:c r="Q4145" s="9" t="n">
        <x:f>O4145-P4145</x:f>
        <x:v>361.8</x:v>
      </x:c>
      <x:c r="R4145" s="11" t="n">
        <x:f>IF(D4145="Completed",I4145,0)</x:f>
        <x:v>3</x:v>
      </x:c>
      <x:c r="S4145" s="11" t="n">
        <x:f>IF(D4145="Completed",L4145,0)</x:f>
        <x:v>0</x:v>
      </x:c>
      <x:c r="T4145" s="8" t="n">
        <x:f>DATE(YEAR(C4145),MONTH(C4145),1)</x:f>
        <x:v>45717</x:v>
      </x:c>
    </x:row>
    <x:row r="4146" ht="22" customHeight="1">
      <x:c r="A4146" s="2" t="str">
        <x:v>L004142</x:v>
      </x:c>
      <x:c r="B4146" s="2" t="str">
        <x:v>O01682</x:v>
      </x:c>
      <x:c r="C4146" s="7" t="n">
        <x:v>45730</x:v>
      </x:c>
      <x:c r="D4146" s="2" t="str">
        <x:v>Completed</x:v>
      </x:c>
      <x:c r="E4146" s="2" t="str">
        <x:v>East</x:v>
      </x:c>
      <x:c r="F4146" s="2" t="str">
        <x:v>Online</x:v>
      </x:c>
      <x:c r="G4146" s="2" t="str">
        <x:v>Storage</x:v>
      </x:c>
      <x:c r="H4146" s="2" t="str">
        <x:v>Shelf 015</x:v>
      </x:c>
      <x:c r="I4146" s="11" t="n">
        <x:v>1</x:v>
      </x:c>
      <x:c r="J4146" s="9" t="n">
        <x:v>254</x:v>
      </x:c>
      <x:c r="K4146" s="10" t="n">
        <x:v>0.2</x:v>
      </x:c>
      <x:c r="L4146" s="11" t="n">
        <x:v>0</x:v>
      </x:c>
      <x:c r="M4146" s="9" t="n">
        <x:f>IF(D4146="Completed",I4146*J4146,0)</x:f>
        <x:v>254</x:v>
      </x:c>
      <x:c r="N4146" s="9" t="n">
        <x:f>M4146*K4146</x:f>
        <x:v>50.800000000000004</x:v>
      </x:c>
      <x:c r="O4146" s="9" t="n">
        <x:f>M4146-N4146</x:f>
        <x:v>203.2</x:v>
      </x:c>
      <x:c r="P4146" s="9" t="n">
        <x:f>IF(D4146="Completed",L4146*J4146*(1-K4146),0)</x:f>
        <x:v>0</x:v>
      </x:c>
      <x:c r="Q4146" s="9" t="n">
        <x:f>O4146-P4146</x:f>
        <x:v>203.2</x:v>
      </x:c>
      <x:c r="R4146" s="11" t="n">
        <x:f>IF(D4146="Completed",I4146,0)</x:f>
        <x:v>1</x:v>
      </x:c>
      <x:c r="S4146" s="11" t="n">
        <x:f>IF(D4146="Completed",L4146,0)</x:f>
        <x:v>0</x:v>
      </x:c>
      <x:c r="T4146" s="8" t="n">
        <x:f>DATE(YEAR(C4146),MONTH(C4146),1)</x:f>
        <x:v>45717</x:v>
      </x:c>
    </x:row>
    <x:row r="4147" ht="22" customHeight="1">
      <x:c r="A4147" s="2" t="str">
        <x:v>L004143</x:v>
      </x:c>
      <x:c r="B4147" s="2" t="str">
        <x:v>O01683</x:v>
      </x:c>
      <x:c r="C4147" s="7" t="n">
        <x:v>45770</x:v>
      </x:c>
      <x:c r="D4147" s="2" t="str">
        <x:v>Cancelled</x:v>
      </x:c>
      <x:c r="E4147" s="2" t="str">
        <x:v>North</x:v>
      </x:c>
      <x:c r="F4147" s="2" t="str">
        <x:v>Store</x:v>
      </x:c>
      <x:c r="G4147" s="2" t="str">
        <x:v>Furniture</x:v>
      </x:c>
      <x:c r="H4147" s="2" t="str">
        <x:v>Desk 008</x:v>
      </x:c>
      <x:c r="I4147" s="11" t="n">
        <x:v>5</x:v>
      </x:c>
      <x:c r="J4147" s="9" t="n">
        <x:v>188</x:v>
      </x:c>
      <x:c r="K4147" s="10" t="n">
        <x:v>0.05</x:v>
      </x:c>
      <x:c r="L4147" s="11" t="n">
        <x:v>0</x:v>
      </x:c>
      <x:c r="M4147" s="9" t="n">
        <x:f>IF(D4147="Completed",I4147*J4147,0)</x:f>
        <x:v>0</x:v>
      </x:c>
      <x:c r="N4147" s="9" t="n">
        <x:f>M4147*K4147</x:f>
        <x:v>0</x:v>
      </x:c>
      <x:c r="O4147" s="9" t="n">
        <x:f>M4147-N4147</x:f>
        <x:v>0</x:v>
      </x:c>
      <x:c r="P4147" s="9" t="n">
        <x:f>IF(D4147="Completed",L4147*J4147*(1-K4147),0)</x:f>
        <x:v>0</x:v>
      </x:c>
      <x:c r="Q4147" s="9" t="n">
        <x:f>O4147-P4147</x:f>
        <x:v>0</x:v>
      </x:c>
      <x:c r="R4147" s="11" t="n">
        <x:f>IF(D4147="Completed",I4147,0)</x:f>
        <x:v>0</x:v>
      </x:c>
      <x:c r="S4147" s="11" t="n">
        <x:f>IF(D4147="Completed",L4147,0)</x:f>
        <x:v>0</x:v>
      </x:c>
      <x:c r="T4147" s="8" t="n">
        <x:f>DATE(YEAR(C4147),MONTH(C4147),1)</x:f>
        <x:v>45748</x:v>
      </x:c>
    </x:row>
    <x:row r="4148" ht="22" customHeight="1">
      <x:c r="A4148" s="2" t="str">
        <x:v>L004144</x:v>
      </x:c>
      <x:c r="B4148" s="2" t="str">
        <x:v>O01683</x:v>
      </x:c>
      <x:c r="C4148" s="7" t="n">
        <x:v>45770</x:v>
      </x:c>
      <x:c r="D4148" s="2" t="str">
        <x:v>Cancelled</x:v>
      </x:c>
      <x:c r="E4148" s="2" t="str">
        <x:v>North</x:v>
      </x:c>
      <x:c r="F4148" s="2" t="str">
        <x:v>Store</x:v>
      </x:c>
      <x:c r="G4148" s="2" t="str">
        <x:v>Lighting</x:v>
      </x:c>
      <x:c r="H4148" s="2" t="str">
        <x:v>Lamp 013</x:v>
      </x:c>
      <x:c r="I4148" s="11" t="n">
        <x:v>5</x:v>
      </x:c>
      <x:c r="J4148" s="9" t="n">
        <x:v>271</x:v>
      </x:c>
      <x:c r="K4148" s="10" t="n">
        <x:v>0.05</x:v>
      </x:c>
      <x:c r="L4148" s="11" t="n">
        <x:v>0</x:v>
      </x:c>
      <x:c r="M4148" s="9" t="n">
        <x:f>IF(D4148="Completed",I4148*J4148,0)</x:f>
        <x:v>0</x:v>
      </x:c>
      <x:c r="N4148" s="9" t="n">
        <x:f>M4148*K4148</x:f>
        <x:v>0</x:v>
      </x:c>
      <x:c r="O4148" s="9" t="n">
        <x:f>M4148-N4148</x:f>
        <x:v>0</x:v>
      </x:c>
      <x:c r="P4148" s="9" t="n">
        <x:f>IF(D4148="Completed",L4148*J4148*(1-K4148),0)</x:f>
        <x:v>0</x:v>
      </x:c>
      <x:c r="Q4148" s="9" t="n">
        <x:f>O4148-P4148</x:f>
        <x:v>0</x:v>
      </x:c>
      <x:c r="R4148" s="11" t="n">
        <x:f>IF(D4148="Completed",I4148,0)</x:f>
        <x:v>0</x:v>
      </x:c>
      <x:c r="S4148" s="11" t="n">
        <x:f>IF(D4148="Completed",L4148,0)</x:f>
        <x:v>0</x:v>
      </x:c>
      <x:c r="T4148" s="8" t="n">
        <x:f>DATE(YEAR(C4148),MONTH(C4148),1)</x:f>
        <x:v>45748</x:v>
      </x:c>
    </x:row>
    <x:row r="4149" ht="22" customHeight="1">
      <x:c r="A4149" s="2" t="str">
        <x:v>L004145</x:v>
      </x:c>
      <x:c r="B4149" s="2" t="str">
        <x:v>O01683</x:v>
      </x:c>
      <x:c r="C4149" s="7" t="n">
        <x:v>45770</x:v>
      </x:c>
      <x:c r="D4149" s="2" t="str">
        <x:v>Cancelled</x:v>
      </x:c>
      <x:c r="E4149" s="2" t="str">
        <x:v>North</x:v>
      </x:c>
      <x:c r="F4149" s="2" t="str">
        <x:v>Store</x:v>
      </x:c>
      <x:c r="G4149" s="2" t="str">
        <x:v>Lighting</x:v>
      </x:c>
      <x:c r="H4149" s="2" t="str">
        <x:v>Lamp 013</x:v>
      </x:c>
      <x:c r="I4149" s="11" t="n">
        <x:v>5</x:v>
      </x:c>
      <x:c r="J4149" s="9" t="n">
        <x:v>271</x:v>
      </x:c>
      <x:c r="K4149" s="10" t="n">
        <x:v>0</x:v>
      </x:c>
      <x:c r="L4149" s="11" t="n">
        <x:v>0</x:v>
      </x:c>
      <x:c r="M4149" s="9" t="n">
        <x:f>IF(D4149="Completed",I4149*J4149,0)</x:f>
        <x:v>0</x:v>
      </x:c>
      <x:c r="N4149" s="9" t="n">
        <x:f>M4149*K4149</x:f>
        <x:v>0</x:v>
      </x:c>
      <x:c r="O4149" s="9" t="n">
        <x:f>M4149-N4149</x:f>
        <x:v>0</x:v>
      </x:c>
      <x:c r="P4149" s="9" t="n">
        <x:f>IF(D4149="Completed",L4149*J4149*(1-K4149),0)</x:f>
        <x:v>0</x:v>
      </x:c>
      <x:c r="Q4149" s="9" t="n">
        <x:f>O4149-P4149</x:f>
        <x:v>0</x:v>
      </x:c>
      <x:c r="R4149" s="11" t="n">
        <x:f>IF(D4149="Completed",I4149,0)</x:f>
        <x:v>0</x:v>
      </x:c>
      <x:c r="S4149" s="11" t="n">
        <x:f>IF(D4149="Completed",L4149,0)</x:f>
        <x:v>0</x:v>
      </x:c>
      <x:c r="T4149" s="8" t="n">
        <x:f>DATE(YEAR(C4149),MONTH(C4149),1)</x:f>
        <x:v>45748</x:v>
      </x:c>
    </x:row>
    <x:row r="4150" ht="22" customHeight="1">
      <x:c r="A4150" s="2" t="str">
        <x:v>L004146</x:v>
      </x:c>
      <x:c r="B4150" s="2" t="str">
        <x:v>O01684</x:v>
      </x:c>
      <x:c r="C4150" s="7" t="n">
        <x:v>45912</x:v>
      </x:c>
      <x:c r="D4150" s="2" t="str">
        <x:v>Completed</x:v>
      </x:c>
      <x:c r="E4150" s="2" t="str">
        <x:v>West</x:v>
      </x:c>
      <x:c r="F4150" s="2" t="str">
        <x:v>Online</x:v>
      </x:c>
      <x:c r="G4150" s="2" t="str">
        <x:v>Furniture</x:v>
      </x:c>
      <x:c r="H4150" s="2" t="str">
        <x:v>Chair 002</x:v>
      </x:c>
      <x:c r="I4150" s="11" t="n">
        <x:v>1</x:v>
      </x:c>
      <x:c r="J4150" s="9" t="n">
        <x:v>284</x:v>
      </x:c>
      <x:c r="K4150" s="10" t="n">
        <x:v>0.1</x:v>
      </x:c>
      <x:c r="L4150" s="11" t="n">
        <x:v>0</x:v>
      </x:c>
      <x:c r="M4150" s="9" t="n">
        <x:f>IF(D4150="Completed",I4150*J4150,0)</x:f>
        <x:v>284</x:v>
      </x:c>
      <x:c r="N4150" s="9" t="n">
        <x:f>M4150*K4150</x:f>
        <x:v>28.400000000000002</x:v>
      </x:c>
      <x:c r="O4150" s="9" t="n">
        <x:f>M4150-N4150</x:f>
        <x:v>255.6</x:v>
      </x:c>
      <x:c r="P4150" s="9" t="n">
        <x:f>IF(D4150="Completed",L4150*J4150*(1-K4150),0)</x:f>
        <x:v>0</x:v>
      </x:c>
      <x:c r="Q4150" s="9" t="n">
        <x:f>O4150-P4150</x:f>
        <x:v>255.6</x:v>
      </x:c>
      <x:c r="R4150" s="11" t="n">
        <x:f>IF(D4150="Completed",I4150,0)</x:f>
        <x:v>1</x:v>
      </x:c>
      <x:c r="S4150" s="11" t="n">
        <x:f>IF(D4150="Completed",L4150,0)</x:f>
        <x:v>0</x:v>
      </x:c>
      <x:c r="T4150" s="8" t="n">
        <x:f>DATE(YEAR(C4150),MONTH(C4150),1)</x:f>
        <x:v>45901</x:v>
      </x:c>
    </x:row>
    <x:row r="4151" ht="22" customHeight="1">
      <x:c r="A4151" s="2" t="str">
        <x:v>L004147</x:v>
      </x:c>
      <x:c r="B4151" s="2" t="str">
        <x:v>O01684</x:v>
      </x:c>
      <x:c r="C4151" s="7" t="n">
        <x:v>45912</x:v>
      </x:c>
      <x:c r="D4151" s="2" t="str">
        <x:v>Completed</x:v>
      </x:c>
      <x:c r="E4151" s="2" t="str">
        <x:v>West</x:v>
      </x:c>
      <x:c r="F4151" s="2" t="str">
        <x:v>Online</x:v>
      </x:c>
      <x:c r="G4151" s="2" t="str">
        <x:v>Furniture</x:v>
      </x:c>
      <x:c r="H4151" s="2" t="str">
        <x:v>Chair 006</x:v>
      </x:c>
      <x:c r="I4151" s="11" t="n">
        <x:v>5</x:v>
      </x:c>
      <x:c r="J4151" s="9" t="n">
        <x:v>196</x:v>
      </x:c>
      <x:c r="K4151" s="10" t="n">
        <x:v>0.05</x:v>
      </x:c>
      <x:c r="L4151" s="11" t="n">
        <x:v>0</x:v>
      </x:c>
      <x:c r="M4151" s="9" t="n">
        <x:f>IF(D4151="Completed",I4151*J4151,0)</x:f>
        <x:v>980</x:v>
      </x:c>
      <x:c r="N4151" s="9" t="n">
        <x:f>M4151*K4151</x:f>
        <x:v>49</x:v>
      </x:c>
      <x:c r="O4151" s="9" t="n">
        <x:f>M4151-N4151</x:f>
        <x:v>931</x:v>
      </x:c>
      <x:c r="P4151" s="9" t="n">
        <x:f>IF(D4151="Completed",L4151*J4151*(1-K4151),0)</x:f>
        <x:v>0</x:v>
      </x:c>
      <x:c r="Q4151" s="9" t="n">
        <x:f>O4151-P4151</x:f>
        <x:v>931</x:v>
      </x:c>
      <x:c r="R4151" s="11" t="n">
        <x:f>IF(D4151="Completed",I4151,0)</x:f>
        <x:v>5</x:v>
      </x:c>
      <x:c r="S4151" s="11" t="n">
        <x:f>IF(D4151="Completed",L4151,0)</x:f>
        <x:v>0</x:v>
      </x:c>
      <x:c r="T4151" s="8" t="n">
        <x:f>DATE(YEAR(C4151),MONTH(C4151),1)</x:f>
        <x:v>45901</x:v>
      </x:c>
    </x:row>
    <x:row r="4152" ht="22" customHeight="1">
      <x:c r="A4152" s="2" t="str">
        <x:v>L004148</x:v>
      </x:c>
      <x:c r="B4152" s="2" t="str">
        <x:v>O01684</x:v>
      </x:c>
      <x:c r="C4152" s="7" t="n">
        <x:v>45912</x:v>
      </x:c>
      <x:c r="D4152" s="2" t="str">
        <x:v>Completed</x:v>
      </x:c>
      <x:c r="E4152" s="2" t="str">
        <x:v>West</x:v>
      </x:c>
      <x:c r="F4152" s="2" t="str">
        <x:v>Online</x:v>
      </x:c>
      <x:c r="G4152" s="2" t="str">
        <x:v>Lighting</x:v>
      </x:c>
      <x:c r="H4152" s="2" t="str">
        <x:v>Lamp 005</x:v>
      </x:c>
      <x:c r="I4152" s="11" t="n">
        <x:v>4</x:v>
      </x:c>
      <x:c r="J4152" s="9" t="n">
        <x:v>65</x:v>
      </x:c>
      <x:c r="K4152" s="10" t="n">
        <x:v>0.05</x:v>
      </x:c>
      <x:c r="L4152" s="11" t="n">
        <x:v>0</x:v>
      </x:c>
      <x:c r="M4152" s="9" t="n">
        <x:f>IF(D4152="Completed",I4152*J4152,0)</x:f>
        <x:v>260</x:v>
      </x:c>
      <x:c r="N4152" s="9" t="n">
        <x:f>M4152*K4152</x:f>
        <x:v>13</x:v>
      </x:c>
      <x:c r="O4152" s="9" t="n">
        <x:f>M4152-N4152</x:f>
        <x:v>247</x:v>
      </x:c>
      <x:c r="P4152" s="9" t="n">
        <x:f>IF(D4152="Completed",L4152*J4152*(1-K4152),0)</x:f>
        <x:v>0</x:v>
      </x:c>
      <x:c r="Q4152" s="9" t="n">
        <x:f>O4152-P4152</x:f>
        <x:v>247</x:v>
      </x:c>
      <x:c r="R4152" s="11" t="n">
        <x:f>IF(D4152="Completed",I4152,0)</x:f>
        <x:v>4</x:v>
      </x:c>
      <x:c r="S4152" s="11" t="n">
        <x:f>IF(D4152="Completed",L4152,0)</x:f>
        <x:v>0</x:v>
      </x:c>
      <x:c r="T4152" s="8" t="n">
        <x:f>DATE(YEAR(C4152),MONTH(C4152),1)</x:f>
        <x:v>45901</x:v>
      </x:c>
    </x:row>
    <x:row r="4153" ht="22" customHeight="1">
      <x:c r="A4153" s="2" t="str">
        <x:v>L004149</x:v>
      </x:c>
      <x:c r="B4153" s="2" t="str">
        <x:v>O01685</x:v>
      </x:c>
      <x:c r="C4153" s="7" t="n">
        <x:v>45756</x:v>
      </x:c>
      <x:c r="D4153" s="2" t="str">
        <x:v>Completed</x:v>
      </x:c>
      <x:c r="E4153" s="2" t="str">
        <x:v>South</x:v>
      </x:c>
      <x:c r="F4153" s="2" t="str">
        <x:v>Online</x:v>
      </x:c>
      <x:c r="G4153" s="2" t="str">
        <x:v>Furniture</x:v>
      </x:c>
      <x:c r="H4153" s="2" t="str">
        <x:v>Chair 010</x:v>
      </x:c>
      <x:c r="I4153" s="11" t="n">
        <x:v>5</x:v>
      </x:c>
      <x:c r="J4153" s="9" t="n">
        <x:v>211</x:v>
      </x:c>
      <x:c r="K4153" s="10" t="n">
        <x:v>0</x:v>
      </x:c>
      <x:c r="L4153" s="11" t="n">
        <x:v>0</x:v>
      </x:c>
      <x:c r="M4153" s="9" t="n">
        <x:f>IF(D4153="Completed",I4153*J4153,0)</x:f>
        <x:v>1055</x:v>
      </x:c>
      <x:c r="N4153" s="9" t="n">
        <x:f>M4153*K4153</x:f>
        <x:v>0</x:v>
      </x:c>
      <x:c r="O4153" s="9" t="n">
        <x:f>M4153-N4153</x:f>
        <x:v>1055</x:v>
      </x:c>
      <x:c r="P4153" s="9" t="n">
        <x:f>IF(D4153="Completed",L4153*J4153*(1-K4153),0)</x:f>
        <x:v>0</x:v>
      </x:c>
      <x:c r="Q4153" s="9" t="n">
        <x:f>O4153-P4153</x:f>
        <x:v>1055</x:v>
      </x:c>
      <x:c r="R4153" s="11" t="n">
        <x:f>IF(D4153="Completed",I4153,0)</x:f>
        <x:v>5</x:v>
      </x:c>
      <x:c r="S4153" s="11" t="n">
        <x:f>IF(D4153="Completed",L4153,0)</x:f>
        <x:v>0</x:v>
      </x:c>
      <x:c r="T4153" s="8" t="n">
        <x:f>DATE(YEAR(C4153),MONTH(C4153),1)</x:f>
        <x:v>45748</x:v>
      </x:c>
    </x:row>
    <x:row r="4154" ht="22" customHeight="1">
      <x:c r="A4154" s="2" t="str">
        <x:v>L004150</x:v>
      </x:c>
      <x:c r="B4154" s="2" t="str">
        <x:v>O01685</x:v>
      </x:c>
      <x:c r="C4154" s="7" t="n">
        <x:v>45756</x:v>
      </x:c>
      <x:c r="D4154" s="2" t="str">
        <x:v>Completed</x:v>
      </x:c>
      <x:c r="E4154" s="2" t="str">
        <x:v>South</x:v>
      </x:c>
      <x:c r="F4154" s="2" t="str">
        <x:v>Online</x:v>
      </x:c>
      <x:c r="G4154" s="2" t="str">
        <x:v>Furniture</x:v>
      </x:c>
      <x:c r="H4154" s="2" t="str">
        <x:v>Chair 018</x:v>
      </x:c>
      <x:c r="I4154" s="11" t="n">
        <x:v>2</x:v>
      </x:c>
      <x:c r="J4154" s="9" t="n">
        <x:v>269</x:v>
      </x:c>
      <x:c r="K4154" s="10" t="n">
        <x:v>0.05</x:v>
      </x:c>
      <x:c r="L4154" s="11" t="n">
        <x:v>0</x:v>
      </x:c>
      <x:c r="M4154" s="9" t="n">
        <x:f>IF(D4154="Completed",I4154*J4154,0)</x:f>
        <x:v>538</x:v>
      </x:c>
      <x:c r="N4154" s="9" t="n">
        <x:f>M4154*K4154</x:f>
        <x:v>26.900000000000002</x:v>
      </x:c>
      <x:c r="O4154" s="9" t="n">
        <x:f>M4154-N4154</x:f>
        <x:v>511.1</x:v>
      </x:c>
      <x:c r="P4154" s="9" t="n">
        <x:f>IF(D4154="Completed",L4154*J4154*(1-K4154),0)</x:f>
        <x:v>0</x:v>
      </x:c>
      <x:c r="Q4154" s="9" t="n">
        <x:f>O4154-P4154</x:f>
        <x:v>511.1</x:v>
      </x:c>
      <x:c r="R4154" s="11" t="n">
        <x:f>IF(D4154="Completed",I4154,0)</x:f>
        <x:v>2</x:v>
      </x:c>
      <x:c r="S4154" s="11" t="n">
        <x:f>IF(D4154="Completed",L4154,0)</x:f>
        <x:v>0</x:v>
      </x:c>
      <x:c r="T4154" s="8" t="n">
        <x:f>DATE(YEAR(C4154),MONTH(C4154),1)</x:f>
        <x:v>45748</x:v>
      </x:c>
    </x:row>
    <x:row r="4155" ht="22" customHeight="1">
      <x:c r="A4155" s="2" t="str">
        <x:v>L004151</x:v>
      </x:c>
      <x:c r="B4155" s="2" t="str">
        <x:v>O01686</x:v>
      </x:c>
      <x:c r="C4155" s="7" t="n">
        <x:v>45845</x:v>
      </x:c>
      <x:c r="D4155" s="2" t="str">
        <x:v>Completed</x:v>
      </x:c>
      <x:c r="E4155" s="2" t="str">
        <x:v>South</x:v>
      </x:c>
      <x:c r="F4155" s="2" t="str">
        <x:v>Online</x:v>
      </x:c>
      <x:c r="G4155" s="2" t="str">
        <x:v>Furniture</x:v>
      </x:c>
      <x:c r="H4155" s="2" t="str">
        <x:v>Chair 018</x:v>
      </x:c>
      <x:c r="I4155" s="11" t="n">
        <x:v>3</x:v>
      </x:c>
      <x:c r="J4155" s="9" t="n">
        <x:v>269</x:v>
      </x:c>
      <x:c r="K4155" s="10" t="n">
        <x:v>0</x:v>
      </x:c>
      <x:c r="L4155" s="11" t="n">
        <x:v>0</x:v>
      </x:c>
      <x:c r="M4155" s="9" t="n">
        <x:f>IF(D4155="Completed",I4155*J4155,0)</x:f>
        <x:v>807</x:v>
      </x:c>
      <x:c r="N4155" s="9" t="n">
        <x:f>M4155*K4155</x:f>
        <x:v>0</x:v>
      </x:c>
      <x:c r="O4155" s="9" t="n">
        <x:f>M4155-N4155</x:f>
        <x:v>807</x:v>
      </x:c>
      <x:c r="P4155" s="9" t="n">
        <x:f>IF(D4155="Completed",L4155*J4155*(1-K4155),0)</x:f>
        <x:v>0</x:v>
      </x:c>
      <x:c r="Q4155" s="9" t="n">
        <x:f>O4155-P4155</x:f>
        <x:v>807</x:v>
      </x:c>
      <x:c r="R4155" s="11" t="n">
        <x:f>IF(D4155="Completed",I4155,0)</x:f>
        <x:v>3</x:v>
      </x:c>
      <x:c r="S4155" s="11" t="n">
        <x:f>IF(D4155="Completed",L4155,0)</x:f>
        <x:v>0</x:v>
      </x:c>
      <x:c r="T4155" s="8" t="n">
        <x:f>DATE(YEAR(C4155),MONTH(C4155),1)</x:f>
        <x:v>45839</x:v>
      </x:c>
    </x:row>
    <x:row r="4156" ht="22" customHeight="1">
      <x:c r="A4156" s="2" t="str">
        <x:v>L004152</x:v>
      </x:c>
      <x:c r="B4156" s="2" t="str">
        <x:v>O01686</x:v>
      </x:c>
      <x:c r="C4156" s="7" t="n">
        <x:v>45845</x:v>
      </x:c>
      <x:c r="D4156" s="2" t="str">
        <x:v>Completed</x:v>
      </x:c>
      <x:c r="E4156" s="2" t="str">
        <x:v>South</x:v>
      </x:c>
      <x:c r="F4156" s="2" t="str">
        <x:v>Online</x:v>
      </x:c>
      <x:c r="G4156" s="2" t="str">
        <x:v>Furniture</x:v>
      </x:c>
      <x:c r="H4156" s="2" t="str">
        <x:v>Desk 024</x:v>
      </x:c>
      <x:c r="I4156" s="11" t="n">
        <x:v>3</x:v>
      </x:c>
      <x:c r="J4156" s="9" t="n">
        <x:v>81</x:v>
      </x:c>
      <x:c r="K4156" s="10" t="n">
        <x:v>0.2</x:v>
      </x:c>
      <x:c r="L4156" s="11" t="n">
        <x:v>0</x:v>
      </x:c>
      <x:c r="M4156" s="9" t="n">
        <x:f>IF(D4156="Completed",I4156*J4156,0)</x:f>
        <x:v>243</x:v>
      </x:c>
      <x:c r="N4156" s="9" t="n">
        <x:f>M4156*K4156</x:f>
        <x:v>48.6</x:v>
      </x:c>
      <x:c r="O4156" s="9" t="n">
        <x:f>M4156-N4156</x:f>
        <x:v>194.4</x:v>
      </x:c>
      <x:c r="P4156" s="9" t="n">
        <x:f>IF(D4156="Completed",L4156*J4156*(1-K4156),0)</x:f>
        <x:v>0</x:v>
      </x:c>
      <x:c r="Q4156" s="9" t="n">
        <x:f>O4156-P4156</x:f>
        <x:v>194.4</x:v>
      </x:c>
      <x:c r="R4156" s="11" t="n">
        <x:f>IF(D4156="Completed",I4156,0)</x:f>
        <x:v>3</x:v>
      </x:c>
      <x:c r="S4156" s="11" t="n">
        <x:f>IF(D4156="Completed",L4156,0)</x:f>
        <x:v>0</x:v>
      </x:c>
      <x:c r="T4156" s="8" t="n">
        <x:f>DATE(YEAR(C4156),MONTH(C4156),1)</x:f>
        <x:v>45839</x:v>
      </x:c>
    </x:row>
    <x:row r="4157" ht="22" customHeight="1">
      <x:c r="A4157" s="2" t="str">
        <x:v>L004153</x:v>
      </x:c>
      <x:c r="B4157" s="2" t="str">
        <x:v>O01686</x:v>
      </x:c>
      <x:c r="C4157" s="7" t="n">
        <x:v>45845</x:v>
      </x:c>
      <x:c r="D4157" s="2" t="str">
        <x:v>Completed</x:v>
      </x:c>
      <x:c r="E4157" s="2" t="str">
        <x:v>South</x:v>
      </x:c>
      <x:c r="F4157" s="2" t="str">
        <x:v>Online</x:v>
      </x:c>
      <x:c r="G4157" s="2" t="str">
        <x:v>Furniture</x:v>
      </x:c>
      <x:c r="H4157" s="2" t="str">
        <x:v>Desk 004</x:v>
      </x:c>
      <x:c r="I4157" s="11" t="n">
        <x:v>1</x:v>
      </x:c>
      <x:c r="J4157" s="9" t="n">
        <x:v>123</x:v>
      </x:c>
      <x:c r="K4157" s="10" t="n">
        <x:v>0</x:v>
      </x:c>
      <x:c r="L4157" s="11" t="n">
        <x:v>0</x:v>
      </x:c>
      <x:c r="M4157" s="9" t="n">
        <x:f>IF(D4157="Completed",I4157*J4157,0)</x:f>
        <x:v>123</x:v>
      </x:c>
      <x:c r="N4157" s="9" t="n">
        <x:f>M4157*K4157</x:f>
        <x:v>0</x:v>
      </x:c>
      <x:c r="O4157" s="9" t="n">
        <x:f>M4157-N4157</x:f>
        <x:v>123</x:v>
      </x:c>
      <x:c r="P4157" s="9" t="n">
        <x:f>IF(D4157="Completed",L4157*J4157*(1-K4157),0)</x:f>
        <x:v>0</x:v>
      </x:c>
      <x:c r="Q4157" s="9" t="n">
        <x:f>O4157-P4157</x:f>
        <x:v>123</x:v>
      </x:c>
      <x:c r="R4157" s="11" t="n">
        <x:f>IF(D4157="Completed",I4157,0)</x:f>
        <x:v>1</x:v>
      </x:c>
      <x:c r="S4157" s="11" t="n">
        <x:f>IF(D4157="Completed",L4157,0)</x:f>
        <x:v>0</x:v>
      </x:c>
      <x:c r="T4157" s="8" t="n">
        <x:f>DATE(YEAR(C4157),MONTH(C4157),1)</x:f>
        <x:v>45839</x:v>
      </x:c>
    </x:row>
    <x:row r="4158" ht="22" customHeight="1">
      <x:c r="A4158" s="2" t="str">
        <x:v>L004154</x:v>
      </x:c>
      <x:c r="B4158" s="2" t="str">
        <x:v>O01687</x:v>
      </x:c>
      <x:c r="C4158" s="7" t="n">
        <x:v>45981</x:v>
      </x:c>
      <x:c r="D4158" s="2" t="str">
        <x:v>Completed</x:v>
      </x:c>
      <x:c r="E4158" s="2" t="str">
        <x:v>North</x:v>
      </x:c>
      <x:c r="F4158" s="2" t="str">
        <x:v>Online</x:v>
      </x:c>
      <x:c r="G4158" s="2" t="str">
        <x:v>Storage</x:v>
      </x:c>
      <x:c r="H4158" s="2" t="str">
        <x:v>Shelf 011</x:v>
      </x:c>
      <x:c r="I4158" s="11" t="n">
        <x:v>1</x:v>
      </x:c>
      <x:c r="J4158" s="9" t="n">
        <x:v>80</x:v>
      </x:c>
      <x:c r="K4158" s="10" t="n">
        <x:v>0.1</x:v>
      </x:c>
      <x:c r="L4158" s="11" t="n">
        <x:v>0</x:v>
      </x:c>
      <x:c r="M4158" s="9" t="n">
        <x:f>IF(D4158="Completed",I4158*J4158,0)</x:f>
        <x:v>80</x:v>
      </x:c>
      <x:c r="N4158" s="9" t="n">
        <x:f>M4158*K4158</x:f>
        <x:v>8</x:v>
      </x:c>
      <x:c r="O4158" s="9" t="n">
        <x:f>M4158-N4158</x:f>
        <x:v>72</x:v>
      </x:c>
      <x:c r="P4158" s="9" t="n">
        <x:f>IF(D4158="Completed",L4158*J4158*(1-K4158),0)</x:f>
        <x:v>0</x:v>
      </x:c>
      <x:c r="Q4158" s="9" t="n">
        <x:f>O4158-P4158</x:f>
        <x:v>72</x:v>
      </x:c>
      <x:c r="R4158" s="11" t="n">
        <x:f>IF(D4158="Completed",I4158,0)</x:f>
        <x:v>1</x:v>
      </x:c>
      <x:c r="S4158" s="11" t="n">
        <x:f>IF(D4158="Completed",L4158,0)</x:f>
        <x:v>0</x:v>
      </x:c>
      <x:c r="T4158" s="8" t="n">
        <x:f>DATE(YEAR(C4158),MONTH(C4158),1)</x:f>
        <x:v>45962</x:v>
      </x:c>
    </x:row>
    <x:row r="4159" ht="22" customHeight="1">
      <x:c r="A4159" s="2" t="str">
        <x:v>L004155</x:v>
      </x:c>
      <x:c r="B4159" s="2" t="str">
        <x:v>O01688</x:v>
      </x:c>
      <x:c r="C4159" s="7" t="n">
        <x:v>45849</x:v>
      </x:c>
      <x:c r="D4159" s="2" t="str">
        <x:v>Completed</x:v>
      </x:c>
      <x:c r="E4159" s="2" t="str">
        <x:v>North</x:v>
      </x:c>
      <x:c r="F4159" s="2" t="str">
        <x:v>Online</x:v>
      </x:c>
      <x:c r="G4159" s="2" t="str">
        <x:v>Storage</x:v>
      </x:c>
      <x:c r="H4159" s="2" t="str">
        <x:v>Shelf 015</x:v>
      </x:c>
      <x:c r="I4159" s="11" t="n">
        <x:v>3</x:v>
      </x:c>
      <x:c r="J4159" s="9" t="n">
        <x:v>254</x:v>
      </x:c>
      <x:c r="K4159" s="10" t="n">
        <x:v>0.1</x:v>
      </x:c>
      <x:c r="L4159" s="11" t="n">
        <x:v>0</x:v>
      </x:c>
      <x:c r="M4159" s="9" t="n">
        <x:f>IF(D4159="Completed",I4159*J4159,0)</x:f>
        <x:v>762</x:v>
      </x:c>
      <x:c r="N4159" s="9" t="n">
        <x:f>M4159*K4159</x:f>
        <x:v>76.2</x:v>
      </x:c>
      <x:c r="O4159" s="9" t="n">
        <x:f>M4159-N4159</x:f>
        <x:v>685.8</x:v>
      </x:c>
      <x:c r="P4159" s="9" t="n">
        <x:f>IF(D4159="Completed",L4159*J4159*(1-K4159),0)</x:f>
        <x:v>0</x:v>
      </x:c>
      <x:c r="Q4159" s="9" t="n">
        <x:f>O4159-P4159</x:f>
        <x:v>685.8</x:v>
      </x:c>
      <x:c r="R4159" s="11" t="n">
        <x:f>IF(D4159="Completed",I4159,0)</x:f>
        <x:v>3</x:v>
      </x:c>
      <x:c r="S4159" s="11" t="n">
        <x:f>IF(D4159="Completed",L4159,0)</x:f>
        <x:v>0</x:v>
      </x:c>
      <x:c r="T4159" s="8" t="n">
        <x:f>DATE(YEAR(C4159),MONTH(C4159),1)</x:f>
        <x:v>45839</x:v>
      </x:c>
    </x:row>
    <x:row r="4160" ht="22" customHeight="1">
      <x:c r="A4160" s="2" t="str">
        <x:v>L004156</x:v>
      </x:c>
      <x:c r="B4160" s="2" t="str">
        <x:v>O01689</x:v>
      </x:c>
      <x:c r="C4160" s="7" t="n">
        <x:v>45912</x:v>
      </x:c>
      <x:c r="D4160" s="2" t="str">
        <x:v>Completed</x:v>
      </x:c>
      <x:c r="E4160" s="2" t="str">
        <x:v>North</x:v>
      </x:c>
      <x:c r="F4160" s="2" t="str">
        <x:v>Online</x:v>
      </x:c>
      <x:c r="G4160" s="2" t="str">
        <x:v>Storage</x:v>
      </x:c>
      <x:c r="H4160" s="2" t="str">
        <x:v>Shelf 023</x:v>
      </x:c>
      <x:c r="I4160" s="11" t="n">
        <x:v>2</x:v>
      </x:c>
      <x:c r="J4160" s="9" t="n">
        <x:v>68</x:v>
      </x:c>
      <x:c r="K4160" s="10" t="n">
        <x:v>0</x:v>
      </x:c>
      <x:c r="L4160" s="11" t="n">
        <x:v>0</x:v>
      </x:c>
      <x:c r="M4160" s="9" t="n">
        <x:f>IF(D4160="Completed",I4160*J4160,0)</x:f>
        <x:v>136</x:v>
      </x:c>
      <x:c r="N4160" s="9" t="n">
        <x:f>M4160*K4160</x:f>
        <x:v>0</x:v>
      </x:c>
      <x:c r="O4160" s="9" t="n">
        <x:f>M4160-N4160</x:f>
        <x:v>136</x:v>
      </x:c>
      <x:c r="P4160" s="9" t="n">
        <x:f>IF(D4160="Completed",L4160*J4160*(1-K4160),0)</x:f>
        <x:v>0</x:v>
      </x:c>
      <x:c r="Q4160" s="9" t="n">
        <x:f>O4160-P4160</x:f>
        <x:v>136</x:v>
      </x:c>
      <x:c r="R4160" s="11" t="n">
        <x:f>IF(D4160="Completed",I4160,0)</x:f>
        <x:v>2</x:v>
      </x:c>
      <x:c r="S4160" s="11" t="n">
        <x:f>IF(D4160="Completed",L4160,0)</x:f>
        <x:v>0</x:v>
      </x:c>
      <x:c r="T4160" s="8" t="n">
        <x:f>DATE(YEAR(C4160),MONTH(C4160),1)</x:f>
        <x:v>45901</x:v>
      </x:c>
    </x:row>
    <x:row r="4161" ht="22" customHeight="1">
      <x:c r="A4161" s="2" t="str">
        <x:v>L004157</x:v>
      </x:c>
      <x:c r="B4161" s="2" t="str">
        <x:v>O01689</x:v>
      </x:c>
      <x:c r="C4161" s="7" t="n">
        <x:v>45912</x:v>
      </x:c>
      <x:c r="D4161" s="2" t="str">
        <x:v>Completed</x:v>
      </x:c>
      <x:c r="E4161" s="2" t="str">
        <x:v>North</x:v>
      </x:c>
      <x:c r="F4161" s="2" t="str">
        <x:v>Online</x:v>
      </x:c>
      <x:c r="G4161" s="2" t="str">
        <x:v>Furniture</x:v>
      </x:c>
      <x:c r="H4161" s="2" t="str">
        <x:v>Chair 014</x:v>
      </x:c>
      <x:c r="I4161" s="11" t="n">
        <x:v>2</x:v>
      </x:c>
      <x:c r="J4161" s="9" t="n">
        <x:v>294</x:v>
      </x:c>
      <x:c r="K4161" s="10" t="n">
        <x:v>0.2</x:v>
      </x:c>
      <x:c r="L4161" s="11" t="n">
        <x:v>0</x:v>
      </x:c>
      <x:c r="M4161" s="9" t="n">
        <x:f>IF(D4161="Completed",I4161*J4161,0)</x:f>
        <x:v>588</x:v>
      </x:c>
      <x:c r="N4161" s="9" t="n">
        <x:f>M4161*K4161</x:f>
        <x:v>117.60000000000001</x:v>
      </x:c>
      <x:c r="O4161" s="9" t="n">
        <x:f>M4161-N4161</x:f>
        <x:v>470.4</x:v>
      </x:c>
      <x:c r="P4161" s="9" t="n">
        <x:f>IF(D4161="Completed",L4161*J4161*(1-K4161),0)</x:f>
        <x:v>0</x:v>
      </x:c>
      <x:c r="Q4161" s="9" t="n">
        <x:f>O4161-P4161</x:f>
        <x:v>470.4</x:v>
      </x:c>
      <x:c r="R4161" s="11" t="n">
        <x:f>IF(D4161="Completed",I4161,0)</x:f>
        <x:v>2</x:v>
      </x:c>
      <x:c r="S4161" s="11" t="n">
        <x:f>IF(D4161="Completed",L4161,0)</x:f>
        <x:v>0</x:v>
      </x:c>
      <x:c r="T4161" s="8" t="n">
        <x:f>DATE(YEAR(C4161),MONTH(C4161),1)</x:f>
        <x:v>45901</x:v>
      </x:c>
    </x:row>
    <x:row r="4162" ht="22" customHeight="1">
      <x:c r="A4162" s="2" t="str">
        <x:v>L004158</x:v>
      </x:c>
      <x:c r="B4162" s="2" t="str">
        <x:v>O01690</x:v>
      </x:c>
      <x:c r="C4162" s="7" t="n">
        <x:v>45803</x:v>
      </x:c>
      <x:c r="D4162" s="2" t="str">
        <x:v>Completed</x:v>
      </x:c>
      <x:c r="E4162" s="2" t="str">
        <x:v>East</x:v>
      </x:c>
      <x:c r="F4162" s="2" t="str">
        <x:v>Online</x:v>
      </x:c>
      <x:c r="G4162" s="2" t="str">
        <x:v>Storage</x:v>
      </x:c>
      <x:c r="H4162" s="2" t="str">
        <x:v>Shelf 003</x:v>
      </x:c>
      <x:c r="I4162" s="11" t="n">
        <x:v>4</x:v>
      </x:c>
      <x:c r="J4162" s="9" t="n">
        <x:v>199</x:v>
      </x:c>
      <x:c r="K4162" s="10" t="n">
        <x:v>0.2</x:v>
      </x:c>
      <x:c r="L4162" s="11" t="n">
        <x:v>0</x:v>
      </x:c>
      <x:c r="M4162" s="9" t="n">
        <x:f>IF(D4162="Completed",I4162*J4162,0)</x:f>
        <x:v>796</x:v>
      </x:c>
      <x:c r="N4162" s="9" t="n">
        <x:f>M4162*K4162</x:f>
        <x:v>159.20000000000002</x:v>
      </x:c>
      <x:c r="O4162" s="9" t="n">
        <x:f>M4162-N4162</x:f>
        <x:v>636.8</x:v>
      </x:c>
      <x:c r="P4162" s="9" t="n">
        <x:f>IF(D4162="Completed",L4162*J4162*(1-K4162),0)</x:f>
        <x:v>0</x:v>
      </x:c>
      <x:c r="Q4162" s="9" t="n">
        <x:f>O4162-P4162</x:f>
        <x:v>636.8</x:v>
      </x:c>
      <x:c r="R4162" s="11" t="n">
        <x:f>IF(D4162="Completed",I4162,0)</x:f>
        <x:v>4</x:v>
      </x:c>
      <x:c r="S4162" s="11" t="n">
        <x:f>IF(D4162="Completed",L4162,0)</x:f>
        <x:v>0</x:v>
      </x:c>
      <x:c r="T4162" s="8" t="n">
        <x:f>DATE(YEAR(C4162),MONTH(C4162),1)</x:f>
        <x:v>45778</x:v>
      </x:c>
    </x:row>
    <x:row r="4163" ht="22" customHeight="1">
      <x:c r="A4163" s="2" t="str">
        <x:v>L004159</x:v>
      </x:c>
      <x:c r="B4163" s="2" t="str">
        <x:v>O01690</x:v>
      </x:c>
      <x:c r="C4163" s="7" t="n">
        <x:v>45803</x:v>
      </x:c>
      <x:c r="D4163" s="2" t="str">
        <x:v>Completed</x:v>
      </x:c>
      <x:c r="E4163" s="2" t="str">
        <x:v>East</x:v>
      </x:c>
      <x:c r="F4163" s="2" t="str">
        <x:v>Online</x:v>
      </x:c>
      <x:c r="G4163" s="2" t="str">
        <x:v>Furniture</x:v>
      </x:c>
      <x:c r="H4163" s="2" t="str">
        <x:v>Chair 022</x:v>
      </x:c>
      <x:c r="I4163" s="11" t="n">
        <x:v>2</x:v>
      </x:c>
      <x:c r="J4163" s="9" t="n">
        <x:v>134</x:v>
      </x:c>
      <x:c r="K4163" s="10" t="n">
        <x:v>0.2</x:v>
      </x:c>
      <x:c r="L4163" s="11" t="n">
        <x:v>0</x:v>
      </x:c>
      <x:c r="M4163" s="9" t="n">
        <x:f>IF(D4163="Completed",I4163*J4163,0)</x:f>
        <x:v>268</x:v>
      </x:c>
      <x:c r="N4163" s="9" t="n">
        <x:f>M4163*K4163</x:f>
        <x:v>53.6</x:v>
      </x:c>
      <x:c r="O4163" s="9" t="n">
        <x:f>M4163-N4163</x:f>
        <x:v>214.4</x:v>
      </x:c>
      <x:c r="P4163" s="9" t="n">
        <x:f>IF(D4163="Completed",L4163*J4163*(1-K4163),0)</x:f>
        <x:v>0</x:v>
      </x:c>
      <x:c r="Q4163" s="9" t="n">
        <x:f>O4163-P4163</x:f>
        <x:v>214.4</x:v>
      </x:c>
      <x:c r="R4163" s="11" t="n">
        <x:f>IF(D4163="Completed",I4163,0)</x:f>
        <x:v>2</x:v>
      </x:c>
      <x:c r="S4163" s="11" t="n">
        <x:f>IF(D4163="Completed",L4163,0)</x:f>
        <x:v>0</x:v>
      </x:c>
      <x:c r="T4163" s="8" t="n">
        <x:f>DATE(YEAR(C4163),MONTH(C4163),1)</x:f>
        <x:v>45778</x:v>
      </x:c>
    </x:row>
    <x:row r="4164" ht="22" customHeight="1">
      <x:c r="A4164" s="2" t="str">
        <x:v>L004160</x:v>
      </x:c>
      <x:c r="B4164" s="2" t="str">
        <x:v>O01690</x:v>
      </x:c>
      <x:c r="C4164" s="7" t="n">
        <x:v>45803</x:v>
      </x:c>
      <x:c r="D4164" s="2" t="str">
        <x:v>Completed</x:v>
      </x:c>
      <x:c r="E4164" s="2" t="str">
        <x:v>East</x:v>
      </x:c>
      <x:c r="F4164" s="2" t="str">
        <x:v>Online</x:v>
      </x:c>
      <x:c r="G4164" s="2" t="str">
        <x:v>Furniture</x:v>
      </x:c>
      <x:c r="H4164" s="2" t="str">
        <x:v>Desk 024</x:v>
      </x:c>
      <x:c r="I4164" s="11" t="n">
        <x:v>5</x:v>
      </x:c>
      <x:c r="J4164" s="9" t="n">
        <x:v>81</x:v>
      </x:c>
      <x:c r="K4164" s="10" t="n">
        <x:v>0.05</x:v>
      </x:c>
      <x:c r="L4164" s="11" t="n">
        <x:v>0</x:v>
      </x:c>
      <x:c r="M4164" s="9" t="n">
        <x:f>IF(D4164="Completed",I4164*J4164,0)</x:f>
        <x:v>405</x:v>
      </x:c>
      <x:c r="N4164" s="9" t="n">
        <x:f>M4164*K4164</x:f>
        <x:v>20.25</x:v>
      </x:c>
      <x:c r="O4164" s="9" t="n">
        <x:f>M4164-N4164</x:f>
        <x:v>384.75</x:v>
      </x:c>
      <x:c r="P4164" s="9" t="n">
        <x:f>IF(D4164="Completed",L4164*J4164*(1-K4164),0)</x:f>
        <x:v>0</x:v>
      </x:c>
      <x:c r="Q4164" s="9" t="n">
        <x:f>O4164-P4164</x:f>
        <x:v>384.75</x:v>
      </x:c>
      <x:c r="R4164" s="11" t="n">
        <x:f>IF(D4164="Completed",I4164,0)</x:f>
        <x:v>5</x:v>
      </x:c>
      <x:c r="S4164" s="11" t="n">
        <x:f>IF(D4164="Completed",L4164,0)</x:f>
        <x:v>0</x:v>
      </x:c>
      <x:c r="T4164" s="8" t="n">
        <x:f>DATE(YEAR(C4164),MONTH(C4164),1)</x:f>
        <x:v>45778</x:v>
      </x:c>
    </x:row>
    <x:row r="4165" ht="22" customHeight="1">
      <x:c r="A4165" s="2" t="str">
        <x:v>L004161</x:v>
      </x:c>
      <x:c r="B4165" s="2" t="str">
        <x:v>O01690</x:v>
      </x:c>
      <x:c r="C4165" s="7" t="n">
        <x:v>45803</x:v>
      </x:c>
      <x:c r="D4165" s="2" t="str">
        <x:v>Completed</x:v>
      </x:c>
      <x:c r="E4165" s="2" t="str">
        <x:v>East</x:v>
      </x:c>
      <x:c r="F4165" s="2" t="str">
        <x:v>Online</x:v>
      </x:c>
      <x:c r="G4165" s="2" t="str">
        <x:v>Furniture</x:v>
      </x:c>
      <x:c r="H4165" s="2" t="str">
        <x:v>Desk 012</x:v>
      </x:c>
      <x:c r="I4165" s="11" t="n">
        <x:v>2</x:v>
      </x:c>
      <x:c r="J4165" s="9" t="n">
        <x:v>134</x:v>
      </x:c>
      <x:c r="K4165" s="10" t="n">
        <x:v>0.05</x:v>
      </x:c>
      <x:c r="L4165" s="11" t="n">
        <x:v>0</x:v>
      </x:c>
      <x:c r="M4165" s="9" t="n">
        <x:f>IF(D4165="Completed",I4165*J4165,0)</x:f>
        <x:v>268</x:v>
      </x:c>
      <x:c r="N4165" s="9" t="n">
        <x:f>M4165*K4165</x:f>
        <x:v>13.4</x:v>
      </x:c>
      <x:c r="O4165" s="9" t="n">
        <x:f>M4165-N4165</x:f>
        <x:v>254.6</x:v>
      </x:c>
      <x:c r="P4165" s="9" t="n">
        <x:f>IF(D4165="Completed",L4165*J4165*(1-K4165),0)</x:f>
        <x:v>0</x:v>
      </x:c>
      <x:c r="Q4165" s="9" t="n">
        <x:f>O4165-P4165</x:f>
        <x:v>254.6</x:v>
      </x:c>
      <x:c r="R4165" s="11" t="n">
        <x:f>IF(D4165="Completed",I4165,0)</x:f>
        <x:v>2</x:v>
      </x:c>
      <x:c r="S4165" s="11" t="n">
        <x:f>IF(D4165="Completed",L4165,0)</x:f>
        <x:v>0</x:v>
      </x:c>
      <x:c r="T4165" s="8" t="n">
        <x:f>DATE(YEAR(C4165),MONTH(C4165),1)</x:f>
        <x:v>45778</x:v>
      </x:c>
    </x:row>
    <x:row r="4166" ht="22" customHeight="1">
      <x:c r="A4166" s="2" t="str">
        <x:v>L004162</x:v>
      </x:c>
      <x:c r="B4166" s="2" t="str">
        <x:v>O01691</x:v>
      </x:c>
      <x:c r="C4166" s="7" t="n">
        <x:v>45671</x:v>
      </x:c>
      <x:c r="D4166" s="2" t="str">
        <x:v>Completed</x:v>
      </x:c>
      <x:c r="E4166" s="2" t="str">
        <x:v>West</x:v>
      </x:c>
      <x:c r="F4166" s="2" t="str">
        <x:v>Store</x:v>
      </x:c>
      <x:c r="G4166" s="2" t="str">
        <x:v>Storage</x:v>
      </x:c>
      <x:c r="H4166" s="2" t="str">
        <x:v>Shelf 003</x:v>
      </x:c>
      <x:c r="I4166" s="11" t="n">
        <x:v>1</x:v>
      </x:c>
      <x:c r="J4166" s="9" t="n">
        <x:v>199</x:v>
      </x:c>
      <x:c r="K4166" s="10" t="n">
        <x:v>0.2</x:v>
      </x:c>
      <x:c r="L4166" s="11" t="n">
        <x:v>0</x:v>
      </x:c>
      <x:c r="M4166" s="9" t="n">
        <x:f>IF(D4166="Completed",I4166*J4166,0)</x:f>
        <x:v>199</x:v>
      </x:c>
      <x:c r="N4166" s="9" t="n">
        <x:f>M4166*K4166</x:f>
        <x:v>39.800000000000004</x:v>
      </x:c>
      <x:c r="O4166" s="9" t="n">
        <x:f>M4166-N4166</x:f>
        <x:v>159.2</x:v>
      </x:c>
      <x:c r="P4166" s="9" t="n">
        <x:f>IF(D4166="Completed",L4166*J4166*(1-K4166),0)</x:f>
        <x:v>0</x:v>
      </x:c>
      <x:c r="Q4166" s="9" t="n">
        <x:f>O4166-P4166</x:f>
        <x:v>159.2</x:v>
      </x:c>
      <x:c r="R4166" s="11" t="n">
        <x:f>IF(D4166="Completed",I4166,0)</x:f>
        <x:v>1</x:v>
      </x:c>
      <x:c r="S4166" s="11" t="n">
        <x:f>IF(D4166="Completed",L4166,0)</x:f>
        <x:v>0</x:v>
      </x:c>
      <x:c r="T4166" s="8" t="n">
        <x:f>DATE(YEAR(C4166),MONTH(C4166),1)</x:f>
        <x:v>45658</x:v>
      </x:c>
    </x:row>
    <x:row r="4167" ht="22" customHeight="1">
      <x:c r="A4167" s="2" t="str">
        <x:v>L004163</x:v>
      </x:c>
      <x:c r="B4167" s="2" t="str">
        <x:v>O01691</x:v>
      </x:c>
      <x:c r="C4167" s="7" t="n">
        <x:v>45671</x:v>
      </x:c>
      <x:c r="D4167" s="2" t="str">
        <x:v>Completed</x:v>
      </x:c>
      <x:c r="E4167" s="2" t="str">
        <x:v>West</x:v>
      </x:c>
      <x:c r="F4167" s="2" t="str">
        <x:v>Store</x:v>
      </x:c>
      <x:c r="G4167" s="2" t="str">
        <x:v>Furniture</x:v>
      </x:c>
      <x:c r="H4167" s="2" t="str">
        <x:v>Desk 020</x:v>
      </x:c>
      <x:c r="I4167" s="11" t="n">
        <x:v>2</x:v>
      </x:c>
      <x:c r="J4167" s="9" t="n">
        <x:v>189</x:v>
      </x:c>
      <x:c r="K4167" s="10" t="n">
        <x:v>0.05</x:v>
      </x:c>
      <x:c r="L4167" s="11" t="n">
        <x:v>0</x:v>
      </x:c>
      <x:c r="M4167" s="9" t="n">
        <x:f>IF(D4167="Completed",I4167*J4167,0)</x:f>
        <x:v>378</x:v>
      </x:c>
      <x:c r="N4167" s="9" t="n">
        <x:f>M4167*K4167</x:f>
        <x:v>18.900000000000002</x:v>
      </x:c>
      <x:c r="O4167" s="9" t="n">
        <x:f>M4167-N4167</x:f>
        <x:v>359.1</x:v>
      </x:c>
      <x:c r="P4167" s="9" t="n">
        <x:f>IF(D4167="Completed",L4167*J4167*(1-K4167),0)</x:f>
        <x:v>0</x:v>
      </x:c>
      <x:c r="Q4167" s="9" t="n">
        <x:f>O4167-P4167</x:f>
        <x:v>359.1</x:v>
      </x:c>
      <x:c r="R4167" s="11" t="n">
        <x:f>IF(D4167="Completed",I4167,0)</x:f>
        <x:v>2</x:v>
      </x:c>
      <x:c r="S4167" s="11" t="n">
        <x:f>IF(D4167="Completed",L4167,0)</x:f>
        <x:v>0</x:v>
      </x:c>
      <x:c r="T4167" s="8" t="n">
        <x:f>DATE(YEAR(C4167),MONTH(C4167),1)</x:f>
        <x:v>45658</x:v>
      </x:c>
    </x:row>
    <x:row r="4168" ht="22" customHeight="1">
      <x:c r="A4168" s="2" t="str">
        <x:v>L004164</x:v>
      </x:c>
      <x:c r="B4168" s="2" t="str">
        <x:v>O01691</x:v>
      </x:c>
      <x:c r="C4168" s="7" t="n">
        <x:v>45671</x:v>
      </x:c>
      <x:c r="D4168" s="2" t="str">
        <x:v>Completed</x:v>
      </x:c>
      <x:c r="E4168" s="2" t="str">
        <x:v>West</x:v>
      </x:c>
      <x:c r="F4168" s="2" t="str">
        <x:v>Store</x:v>
      </x:c>
      <x:c r="G4168" s="2" t="str">
        <x:v>Storage</x:v>
      </x:c>
      <x:c r="H4168" s="2" t="str">
        <x:v>Shelf 011</x:v>
      </x:c>
      <x:c r="I4168" s="11" t="n">
        <x:v>5</x:v>
      </x:c>
      <x:c r="J4168" s="9" t="n">
        <x:v>80</x:v>
      </x:c>
      <x:c r="K4168" s="10" t="n">
        <x:v>0</x:v>
      </x:c>
      <x:c r="L4168" s="11" t="n">
        <x:v>0</x:v>
      </x:c>
      <x:c r="M4168" s="9" t="n">
        <x:f>IF(D4168="Completed",I4168*J4168,0)</x:f>
        <x:v>400</x:v>
      </x:c>
      <x:c r="N4168" s="9" t="n">
        <x:f>M4168*K4168</x:f>
        <x:v>0</x:v>
      </x:c>
      <x:c r="O4168" s="9" t="n">
        <x:f>M4168-N4168</x:f>
        <x:v>400</x:v>
      </x:c>
      <x:c r="P4168" s="9" t="n">
        <x:f>IF(D4168="Completed",L4168*J4168*(1-K4168),0)</x:f>
        <x:v>0</x:v>
      </x:c>
      <x:c r="Q4168" s="9" t="n">
        <x:f>O4168-P4168</x:f>
        <x:v>400</x:v>
      </x:c>
      <x:c r="R4168" s="11" t="n">
        <x:f>IF(D4168="Completed",I4168,0)</x:f>
        <x:v>5</x:v>
      </x:c>
      <x:c r="S4168" s="11" t="n">
        <x:f>IF(D4168="Completed",L4168,0)</x:f>
        <x:v>0</x:v>
      </x:c>
      <x:c r="T4168" s="8" t="n">
        <x:f>DATE(YEAR(C4168),MONTH(C4168),1)</x:f>
        <x:v>45658</x:v>
      </x:c>
    </x:row>
    <x:row r="4169" ht="22" customHeight="1">
      <x:c r="A4169" s="2" t="str">
        <x:v>L004165</x:v>
      </x:c>
      <x:c r="B4169" s="2" t="str">
        <x:v>O01692</x:v>
      </x:c>
      <x:c r="C4169" s="7" t="n">
        <x:v>45908</x:v>
      </x:c>
      <x:c r="D4169" s="2" t="str">
        <x:v>Completed</x:v>
      </x:c>
      <x:c r="E4169" s="2" t="str">
        <x:v>North</x:v>
      </x:c>
      <x:c r="F4169" s="2" t="str">
        <x:v>Online</x:v>
      </x:c>
      <x:c r="G4169" s="2" t="str">
        <x:v>Furniture</x:v>
      </x:c>
      <x:c r="H4169" s="2" t="str">
        <x:v>Chair 006</x:v>
      </x:c>
      <x:c r="I4169" s="11" t="n">
        <x:v>3</x:v>
      </x:c>
      <x:c r="J4169" s="9" t="n">
        <x:v>196</x:v>
      </x:c>
      <x:c r="K4169" s="10" t="n">
        <x:v>0</x:v>
      </x:c>
      <x:c r="L4169" s="11" t="n">
        <x:v>0</x:v>
      </x:c>
      <x:c r="M4169" s="9" t="n">
        <x:f>IF(D4169="Completed",I4169*J4169,0)</x:f>
        <x:v>588</x:v>
      </x:c>
      <x:c r="N4169" s="9" t="n">
        <x:f>M4169*K4169</x:f>
        <x:v>0</x:v>
      </x:c>
      <x:c r="O4169" s="9" t="n">
        <x:f>M4169-N4169</x:f>
        <x:v>588</x:v>
      </x:c>
      <x:c r="P4169" s="9" t="n">
        <x:f>IF(D4169="Completed",L4169*J4169*(1-K4169),0)</x:f>
        <x:v>0</x:v>
      </x:c>
      <x:c r="Q4169" s="9" t="n">
        <x:f>O4169-P4169</x:f>
        <x:v>588</x:v>
      </x:c>
      <x:c r="R4169" s="11" t="n">
        <x:f>IF(D4169="Completed",I4169,0)</x:f>
        <x:v>3</x:v>
      </x:c>
      <x:c r="S4169" s="11" t="n">
        <x:f>IF(D4169="Completed",L4169,0)</x:f>
        <x:v>0</x:v>
      </x:c>
      <x:c r="T4169" s="8" t="n">
        <x:f>DATE(YEAR(C4169),MONTH(C4169),1)</x:f>
        <x:v>45901</x:v>
      </x:c>
    </x:row>
    <x:row r="4170" ht="22" customHeight="1">
      <x:c r="A4170" s="2" t="str">
        <x:v>L004166</x:v>
      </x:c>
      <x:c r="B4170" s="2" t="str">
        <x:v>O01692</x:v>
      </x:c>
      <x:c r="C4170" s="7" t="n">
        <x:v>45908</x:v>
      </x:c>
      <x:c r="D4170" s="2" t="str">
        <x:v>Completed</x:v>
      </x:c>
      <x:c r="E4170" s="2" t="str">
        <x:v>North</x:v>
      </x:c>
      <x:c r="F4170" s="2" t="str">
        <x:v>Online</x:v>
      </x:c>
      <x:c r="G4170" s="2" t="str">
        <x:v>Furniture</x:v>
      </x:c>
      <x:c r="H4170" s="2" t="str">
        <x:v>Desk 008</x:v>
      </x:c>
      <x:c r="I4170" s="11" t="n">
        <x:v>2</x:v>
      </x:c>
      <x:c r="J4170" s="9" t="n">
        <x:v>188</x:v>
      </x:c>
      <x:c r="K4170" s="10" t="n">
        <x:v>0.05</x:v>
      </x:c>
      <x:c r="L4170" s="11" t="n">
        <x:v>0</x:v>
      </x:c>
      <x:c r="M4170" s="9" t="n">
        <x:f>IF(D4170="Completed",I4170*J4170,0)</x:f>
        <x:v>376</x:v>
      </x:c>
      <x:c r="N4170" s="9" t="n">
        <x:f>M4170*K4170</x:f>
        <x:v>18.8</x:v>
      </x:c>
      <x:c r="O4170" s="9" t="n">
        <x:f>M4170-N4170</x:f>
        <x:v>357.2</x:v>
      </x:c>
      <x:c r="P4170" s="9" t="n">
        <x:f>IF(D4170="Completed",L4170*J4170*(1-K4170),0)</x:f>
        <x:v>0</x:v>
      </x:c>
      <x:c r="Q4170" s="9" t="n">
        <x:f>O4170-P4170</x:f>
        <x:v>357.2</x:v>
      </x:c>
      <x:c r="R4170" s="11" t="n">
        <x:f>IF(D4170="Completed",I4170,0)</x:f>
        <x:v>2</x:v>
      </x:c>
      <x:c r="S4170" s="11" t="n">
        <x:f>IF(D4170="Completed",L4170,0)</x:f>
        <x:v>0</x:v>
      </x:c>
      <x:c r="T4170" s="8" t="n">
        <x:f>DATE(YEAR(C4170),MONTH(C4170),1)</x:f>
        <x:v>45901</x:v>
      </x:c>
    </x:row>
    <x:row r="4171" ht="22" customHeight="1">
      <x:c r="A4171" s="2" t="str">
        <x:v>L004167</x:v>
      </x:c>
      <x:c r="B4171" s="2" t="str">
        <x:v>O01692</x:v>
      </x:c>
      <x:c r="C4171" s="7" t="n">
        <x:v>45908</x:v>
      </x:c>
      <x:c r="D4171" s="2" t="str">
        <x:v>Completed</x:v>
      </x:c>
      <x:c r="E4171" s="2" t="str">
        <x:v>North</x:v>
      </x:c>
      <x:c r="F4171" s="2" t="str">
        <x:v>Online</x:v>
      </x:c>
      <x:c r="G4171" s="2" t="str">
        <x:v>Furniture</x:v>
      </x:c>
      <x:c r="H4171" s="2" t="str">
        <x:v>Desk 020</x:v>
      </x:c>
      <x:c r="I4171" s="11" t="n">
        <x:v>3</x:v>
      </x:c>
      <x:c r="J4171" s="9" t="n">
        <x:v>189</x:v>
      </x:c>
      <x:c r="K4171" s="10" t="n">
        <x:v>0.2</x:v>
      </x:c>
      <x:c r="L4171" s="11" t="n">
        <x:v>0</x:v>
      </x:c>
      <x:c r="M4171" s="9" t="n">
        <x:f>IF(D4171="Completed",I4171*J4171,0)</x:f>
        <x:v>567</x:v>
      </x:c>
      <x:c r="N4171" s="9" t="n">
        <x:f>M4171*K4171</x:f>
        <x:v>113.4</x:v>
      </x:c>
      <x:c r="O4171" s="9" t="n">
        <x:f>M4171-N4171</x:f>
        <x:v>453.6</x:v>
      </x:c>
      <x:c r="P4171" s="9" t="n">
        <x:f>IF(D4171="Completed",L4171*J4171*(1-K4171),0)</x:f>
        <x:v>0</x:v>
      </x:c>
      <x:c r="Q4171" s="9" t="n">
        <x:f>O4171-P4171</x:f>
        <x:v>453.6</x:v>
      </x:c>
      <x:c r="R4171" s="11" t="n">
        <x:f>IF(D4171="Completed",I4171,0)</x:f>
        <x:v>3</x:v>
      </x:c>
      <x:c r="S4171" s="11" t="n">
        <x:f>IF(D4171="Completed",L4171,0)</x:f>
        <x:v>0</x:v>
      </x:c>
      <x:c r="T4171" s="8" t="n">
        <x:f>DATE(YEAR(C4171),MONTH(C4171),1)</x:f>
        <x:v>45901</x:v>
      </x:c>
    </x:row>
    <x:row r="4172" ht="22" customHeight="1">
      <x:c r="A4172" s="2" t="str">
        <x:v>L004168</x:v>
      </x:c>
      <x:c r="B4172" s="2" t="str">
        <x:v>O01692</x:v>
      </x:c>
      <x:c r="C4172" s="7" t="n">
        <x:v>45908</x:v>
      </x:c>
      <x:c r="D4172" s="2" t="str">
        <x:v>Completed</x:v>
      </x:c>
      <x:c r="E4172" s="2" t="str">
        <x:v>North</x:v>
      </x:c>
      <x:c r="F4172" s="2" t="str">
        <x:v>Online</x:v>
      </x:c>
      <x:c r="G4172" s="2" t="str">
        <x:v>Lighting</x:v>
      </x:c>
      <x:c r="H4172" s="2" t="str">
        <x:v>Lamp 009</x:v>
      </x:c>
      <x:c r="I4172" s="11" t="n">
        <x:v>5</x:v>
      </x:c>
      <x:c r="J4172" s="9" t="n">
        <x:v>93</x:v>
      </x:c>
      <x:c r="K4172" s="10" t="n">
        <x:v>0</x:v>
      </x:c>
      <x:c r="L4172" s="11" t="n">
        <x:v>0</x:v>
      </x:c>
      <x:c r="M4172" s="9" t="n">
        <x:f>IF(D4172="Completed",I4172*J4172,0)</x:f>
        <x:v>465</x:v>
      </x:c>
      <x:c r="N4172" s="9" t="n">
        <x:f>M4172*K4172</x:f>
        <x:v>0</x:v>
      </x:c>
      <x:c r="O4172" s="9" t="n">
        <x:f>M4172-N4172</x:f>
        <x:v>465</x:v>
      </x:c>
      <x:c r="P4172" s="9" t="n">
        <x:f>IF(D4172="Completed",L4172*J4172*(1-K4172),0)</x:f>
        <x:v>0</x:v>
      </x:c>
      <x:c r="Q4172" s="9" t="n">
        <x:f>O4172-P4172</x:f>
        <x:v>465</x:v>
      </x:c>
      <x:c r="R4172" s="11" t="n">
        <x:f>IF(D4172="Completed",I4172,0)</x:f>
        <x:v>5</x:v>
      </x:c>
      <x:c r="S4172" s="11" t="n">
        <x:f>IF(D4172="Completed",L4172,0)</x:f>
        <x:v>0</x:v>
      </x:c>
      <x:c r="T4172" s="8" t="n">
        <x:f>DATE(YEAR(C4172),MONTH(C4172),1)</x:f>
        <x:v>45901</x:v>
      </x:c>
    </x:row>
    <x:row r="4173" ht="22" customHeight="1">
      <x:c r="A4173" s="2" t="str">
        <x:v>L004169</x:v>
      </x:c>
      <x:c r="B4173" s="2" t="str">
        <x:v>O01693</x:v>
      </x:c>
      <x:c r="C4173" s="7" t="n">
        <x:v>45830</x:v>
      </x:c>
      <x:c r="D4173" s="2" t="str">
        <x:v>Completed</x:v>
      </x:c>
      <x:c r="E4173" s="2" t="str">
        <x:v>West</x:v>
      </x:c>
      <x:c r="F4173" s="2" t="str">
        <x:v>Store</x:v>
      </x:c>
      <x:c r="G4173" s="2" t="str">
        <x:v>Lighting</x:v>
      </x:c>
      <x:c r="H4173" s="2" t="str">
        <x:v>Lamp 009</x:v>
      </x:c>
      <x:c r="I4173" s="11" t="n">
        <x:v>4</x:v>
      </x:c>
      <x:c r="J4173" s="9" t="n">
        <x:v>93</x:v>
      </x:c>
      <x:c r="K4173" s="10" t="n">
        <x:v>0.2</x:v>
      </x:c>
      <x:c r="L4173" s="11" t="n">
        <x:v>0</x:v>
      </x:c>
      <x:c r="M4173" s="9" t="n">
        <x:f>IF(D4173="Completed",I4173*J4173,0)</x:f>
        <x:v>372</x:v>
      </x:c>
      <x:c r="N4173" s="9" t="n">
        <x:f>M4173*K4173</x:f>
        <x:v>74.4</x:v>
      </x:c>
      <x:c r="O4173" s="9" t="n">
        <x:f>M4173-N4173</x:f>
        <x:v>297.6</x:v>
      </x:c>
      <x:c r="P4173" s="9" t="n">
        <x:f>IF(D4173="Completed",L4173*J4173*(1-K4173),0)</x:f>
        <x:v>0</x:v>
      </x:c>
      <x:c r="Q4173" s="9" t="n">
        <x:f>O4173-P4173</x:f>
        <x:v>297.6</x:v>
      </x:c>
      <x:c r="R4173" s="11" t="n">
        <x:f>IF(D4173="Completed",I4173,0)</x:f>
        <x:v>4</x:v>
      </x:c>
      <x:c r="S4173" s="11" t="n">
        <x:f>IF(D4173="Completed",L4173,0)</x:f>
        <x:v>0</x:v>
      </x:c>
      <x:c r="T4173" s="8" t="n">
        <x:f>DATE(YEAR(C4173),MONTH(C4173),1)</x:f>
        <x:v>45809</x:v>
      </x:c>
    </x:row>
    <x:row r="4174" ht="22" customHeight="1">
      <x:c r="A4174" s="2" t="str">
        <x:v>L004170</x:v>
      </x:c>
      <x:c r="B4174" s="2" t="str">
        <x:v>O01693</x:v>
      </x:c>
      <x:c r="C4174" s="7" t="n">
        <x:v>45830</x:v>
      </x:c>
      <x:c r="D4174" s="2" t="str">
        <x:v>Completed</x:v>
      </x:c>
      <x:c r="E4174" s="2" t="str">
        <x:v>West</x:v>
      </x:c>
      <x:c r="F4174" s="2" t="str">
        <x:v>Store</x:v>
      </x:c>
      <x:c r="G4174" s="2" t="str">
        <x:v>Storage</x:v>
      </x:c>
      <x:c r="H4174" s="2" t="str">
        <x:v>Shelf 015</x:v>
      </x:c>
      <x:c r="I4174" s="11" t="n">
        <x:v>4</x:v>
      </x:c>
      <x:c r="J4174" s="9" t="n">
        <x:v>254</x:v>
      </x:c>
      <x:c r="K4174" s="10" t="n">
        <x:v>0.1</x:v>
      </x:c>
      <x:c r="L4174" s="11" t="n">
        <x:v>0</x:v>
      </x:c>
      <x:c r="M4174" s="9" t="n">
        <x:f>IF(D4174="Completed",I4174*J4174,0)</x:f>
        <x:v>1016</x:v>
      </x:c>
      <x:c r="N4174" s="9" t="n">
        <x:f>M4174*K4174</x:f>
        <x:v>101.60000000000001</x:v>
      </x:c>
      <x:c r="O4174" s="9" t="n">
        <x:f>M4174-N4174</x:f>
        <x:v>914.4</x:v>
      </x:c>
      <x:c r="P4174" s="9" t="n">
        <x:f>IF(D4174="Completed",L4174*J4174*(1-K4174),0)</x:f>
        <x:v>0</x:v>
      </x:c>
      <x:c r="Q4174" s="9" t="n">
        <x:f>O4174-P4174</x:f>
        <x:v>914.4</x:v>
      </x:c>
      <x:c r="R4174" s="11" t="n">
        <x:f>IF(D4174="Completed",I4174,0)</x:f>
        <x:v>4</x:v>
      </x:c>
      <x:c r="S4174" s="11" t="n">
        <x:f>IF(D4174="Completed",L4174,0)</x:f>
        <x:v>0</x:v>
      </x:c>
      <x:c r="T4174" s="8" t="n">
        <x:f>DATE(YEAR(C4174),MONTH(C4174),1)</x:f>
        <x:v>45809</x:v>
      </x:c>
    </x:row>
    <x:row r="4175" ht="22" customHeight="1">
      <x:c r="A4175" s="2" t="str">
        <x:v>L004171</x:v>
      </x:c>
      <x:c r="B4175" s="2" t="str">
        <x:v>O01693</x:v>
      </x:c>
      <x:c r="C4175" s="7" t="n">
        <x:v>45830</x:v>
      </x:c>
      <x:c r="D4175" s="2" t="str">
        <x:v>Completed</x:v>
      </x:c>
      <x:c r="E4175" s="2" t="str">
        <x:v>West</x:v>
      </x:c>
      <x:c r="F4175" s="2" t="str">
        <x:v>Store</x:v>
      </x:c>
      <x:c r="G4175" s="2" t="str">
        <x:v>Lighting</x:v>
      </x:c>
      <x:c r="H4175" s="2" t="str">
        <x:v>Lamp 017</x:v>
      </x:c>
      <x:c r="I4175" s="11" t="n">
        <x:v>5</x:v>
      </x:c>
      <x:c r="J4175" s="9" t="n">
        <x:v>300</x:v>
      </x:c>
      <x:c r="K4175" s="10" t="n">
        <x:v>0</x:v>
      </x:c>
      <x:c r="L4175" s="11" t="n">
        <x:v>0</x:v>
      </x:c>
      <x:c r="M4175" s="9" t="n">
        <x:f>IF(D4175="Completed",I4175*J4175,0)</x:f>
        <x:v>1500</x:v>
      </x:c>
      <x:c r="N4175" s="9" t="n">
        <x:f>M4175*K4175</x:f>
        <x:v>0</x:v>
      </x:c>
      <x:c r="O4175" s="9" t="n">
        <x:f>M4175-N4175</x:f>
        <x:v>1500</x:v>
      </x:c>
      <x:c r="P4175" s="9" t="n">
        <x:f>IF(D4175="Completed",L4175*J4175*(1-K4175),0)</x:f>
        <x:v>0</x:v>
      </x:c>
      <x:c r="Q4175" s="9" t="n">
        <x:f>O4175-P4175</x:f>
        <x:v>1500</x:v>
      </x:c>
      <x:c r="R4175" s="11" t="n">
        <x:f>IF(D4175="Completed",I4175,0)</x:f>
        <x:v>5</x:v>
      </x:c>
      <x:c r="S4175" s="11" t="n">
        <x:f>IF(D4175="Completed",L4175,0)</x:f>
        <x:v>0</x:v>
      </x:c>
      <x:c r="T4175" s="8" t="n">
        <x:f>DATE(YEAR(C4175),MONTH(C4175),1)</x:f>
        <x:v>45809</x:v>
      </x:c>
    </x:row>
    <x:row r="4176" ht="22" customHeight="1">
      <x:c r="A4176" s="2" t="str">
        <x:v>L004172</x:v>
      </x:c>
      <x:c r="B4176" s="2" t="str">
        <x:v>O01694</x:v>
      </x:c>
      <x:c r="C4176" s="7" t="n">
        <x:v>45938</x:v>
      </x:c>
      <x:c r="D4176" s="2" t="str">
        <x:v>Completed</x:v>
      </x:c>
      <x:c r="E4176" s="2" t="str">
        <x:v>North</x:v>
      </x:c>
      <x:c r="F4176" s="2" t="str">
        <x:v>Online</x:v>
      </x:c>
      <x:c r="G4176" s="2" t="str">
        <x:v>Furniture</x:v>
      </x:c>
      <x:c r="H4176" s="2" t="str">
        <x:v>Chair 002</x:v>
      </x:c>
      <x:c r="I4176" s="11" t="n">
        <x:v>2</x:v>
      </x:c>
      <x:c r="J4176" s="9" t="n">
        <x:v>284</x:v>
      </x:c>
      <x:c r="K4176" s="10" t="n">
        <x:v>0.1</x:v>
      </x:c>
      <x:c r="L4176" s="11" t="n">
        <x:v>1</x:v>
      </x:c>
      <x:c r="M4176" s="9" t="n">
        <x:f>IF(D4176="Completed",I4176*J4176,0)</x:f>
        <x:v>568</x:v>
      </x:c>
      <x:c r="N4176" s="9" t="n">
        <x:f>M4176*K4176</x:f>
        <x:v>56.800000000000004</x:v>
      </x:c>
      <x:c r="O4176" s="9" t="n">
        <x:f>M4176-N4176</x:f>
        <x:v>511.2</x:v>
      </x:c>
      <x:c r="P4176" s="9" t="n">
        <x:f>IF(D4176="Completed",L4176*J4176*(1-K4176),0)</x:f>
        <x:v>255.6</x:v>
      </x:c>
      <x:c r="Q4176" s="9" t="n">
        <x:f>O4176-P4176</x:f>
        <x:v>255.6</x:v>
      </x:c>
      <x:c r="R4176" s="11" t="n">
        <x:f>IF(D4176="Completed",I4176,0)</x:f>
        <x:v>2</x:v>
      </x:c>
      <x:c r="S4176" s="11" t="n">
        <x:f>IF(D4176="Completed",L4176,0)</x:f>
        <x:v>1</x:v>
      </x:c>
      <x:c r="T4176" s="8" t="n">
        <x:f>DATE(YEAR(C4176),MONTH(C4176),1)</x:f>
        <x:v>45931</x:v>
      </x:c>
    </x:row>
    <x:row r="4177" ht="22" customHeight="1">
      <x:c r="A4177" s="2" t="str">
        <x:v>L004173</x:v>
      </x:c>
      <x:c r="B4177" s="2" t="str">
        <x:v>O01695</x:v>
      </x:c>
      <x:c r="C4177" s="7" t="n">
        <x:v>45776</x:v>
      </x:c>
      <x:c r="D4177" s="2" t="str">
        <x:v>Cancelled</x:v>
      </x:c>
      <x:c r="E4177" s="2" t="str">
        <x:v>West</x:v>
      </x:c>
      <x:c r="F4177" s="2" t="str">
        <x:v>Store</x:v>
      </x:c>
      <x:c r="G4177" s="2" t="str">
        <x:v>Furniture</x:v>
      </x:c>
      <x:c r="H4177" s="2" t="str">
        <x:v>Chair 014</x:v>
      </x:c>
      <x:c r="I4177" s="11" t="n">
        <x:v>2</x:v>
      </x:c>
      <x:c r="J4177" s="9" t="n">
        <x:v>294</x:v>
      </x:c>
      <x:c r="K4177" s="10" t="n">
        <x:v>0.05</x:v>
      </x:c>
      <x:c r="L4177" s="11" t="n">
        <x:v>0</x:v>
      </x:c>
      <x:c r="M4177" s="9" t="n">
        <x:f>IF(D4177="Completed",I4177*J4177,0)</x:f>
        <x:v>0</x:v>
      </x:c>
      <x:c r="N4177" s="9" t="n">
        <x:f>M4177*K4177</x:f>
        <x:v>0</x:v>
      </x:c>
      <x:c r="O4177" s="9" t="n">
        <x:f>M4177-N4177</x:f>
        <x:v>0</x:v>
      </x:c>
      <x:c r="P4177" s="9" t="n">
        <x:f>IF(D4177="Completed",L4177*J4177*(1-K4177),0)</x:f>
        <x:v>0</x:v>
      </x:c>
      <x:c r="Q4177" s="9" t="n">
        <x:f>O4177-P4177</x:f>
        <x:v>0</x:v>
      </x:c>
      <x:c r="R4177" s="11" t="n">
        <x:f>IF(D4177="Completed",I4177,0)</x:f>
        <x:v>0</x:v>
      </x:c>
      <x:c r="S4177" s="11" t="n">
        <x:f>IF(D4177="Completed",L4177,0)</x:f>
        <x:v>0</x:v>
      </x:c>
      <x:c r="T4177" s="8" t="n">
        <x:f>DATE(YEAR(C4177),MONTH(C4177),1)</x:f>
        <x:v>45748</x:v>
      </x:c>
    </x:row>
    <x:row r="4178" ht="22" customHeight="1">
      <x:c r="A4178" s="2" t="str">
        <x:v>L004174</x:v>
      </x:c>
      <x:c r="B4178" s="2" t="str">
        <x:v>O01695</x:v>
      </x:c>
      <x:c r="C4178" s="7" t="n">
        <x:v>45776</x:v>
      </x:c>
      <x:c r="D4178" s="2" t="str">
        <x:v>Cancelled</x:v>
      </x:c>
      <x:c r="E4178" s="2" t="str">
        <x:v>West</x:v>
      </x:c>
      <x:c r="F4178" s="2" t="str">
        <x:v>Store</x:v>
      </x:c>
      <x:c r="G4178" s="2" t="str">
        <x:v>Storage</x:v>
      </x:c>
      <x:c r="H4178" s="2" t="str">
        <x:v>Shelf 003</x:v>
      </x:c>
      <x:c r="I4178" s="11" t="n">
        <x:v>1</x:v>
      </x:c>
      <x:c r="J4178" s="9" t="n">
        <x:v>199</x:v>
      </x:c>
      <x:c r="K4178" s="10" t="n">
        <x:v>0.2</x:v>
      </x:c>
      <x:c r="L4178" s="11" t="n">
        <x:v>0</x:v>
      </x:c>
      <x:c r="M4178" s="9" t="n">
        <x:f>IF(D4178="Completed",I4178*J4178,0)</x:f>
        <x:v>0</x:v>
      </x:c>
      <x:c r="N4178" s="9" t="n">
        <x:f>M4178*K4178</x:f>
        <x:v>0</x:v>
      </x:c>
      <x:c r="O4178" s="9" t="n">
        <x:f>M4178-N4178</x:f>
        <x:v>0</x:v>
      </x:c>
      <x:c r="P4178" s="9" t="n">
        <x:f>IF(D4178="Completed",L4178*J4178*(1-K4178),0)</x:f>
        <x:v>0</x:v>
      </x:c>
      <x:c r="Q4178" s="9" t="n">
        <x:f>O4178-P4178</x:f>
        <x:v>0</x:v>
      </x:c>
      <x:c r="R4178" s="11" t="n">
        <x:f>IF(D4178="Completed",I4178,0)</x:f>
        <x:v>0</x:v>
      </x:c>
      <x:c r="S4178" s="11" t="n">
        <x:f>IF(D4178="Completed",L4178,0)</x:f>
        <x:v>0</x:v>
      </x:c>
      <x:c r="T4178" s="8" t="n">
        <x:f>DATE(YEAR(C4178),MONTH(C4178),1)</x:f>
        <x:v>45748</x:v>
      </x:c>
    </x:row>
    <x:row r="4179" ht="22" customHeight="1">
      <x:c r="A4179" s="2" t="str">
        <x:v>L004175</x:v>
      </x:c>
      <x:c r="B4179" s="2" t="str">
        <x:v>O01696</x:v>
      </x:c>
      <x:c r="C4179" s="7" t="n">
        <x:v>45671</x:v>
      </x:c>
      <x:c r="D4179" s="2" t="str">
        <x:v>Completed</x:v>
      </x:c>
      <x:c r="E4179" s="2" t="str">
        <x:v>West</x:v>
      </x:c>
      <x:c r="F4179" s="2" t="str">
        <x:v>Online</x:v>
      </x:c>
      <x:c r="G4179" s="2" t="str">
        <x:v>Furniture</x:v>
      </x:c>
      <x:c r="H4179" s="2" t="str">
        <x:v>Desk 024</x:v>
      </x:c>
      <x:c r="I4179" s="11" t="n">
        <x:v>1</x:v>
      </x:c>
      <x:c r="J4179" s="9" t="n">
        <x:v>81</x:v>
      </x:c>
      <x:c r="K4179" s="10" t="n">
        <x:v>0.2</x:v>
      </x:c>
      <x:c r="L4179" s="11" t="n">
        <x:v>0</x:v>
      </x:c>
      <x:c r="M4179" s="9" t="n">
        <x:f>IF(D4179="Completed",I4179*J4179,0)</x:f>
        <x:v>81</x:v>
      </x:c>
      <x:c r="N4179" s="9" t="n">
        <x:f>M4179*K4179</x:f>
        <x:v>16.2</x:v>
      </x:c>
      <x:c r="O4179" s="9" t="n">
        <x:f>M4179-N4179</x:f>
        <x:v>64.8</x:v>
      </x:c>
      <x:c r="P4179" s="9" t="n">
        <x:f>IF(D4179="Completed",L4179*J4179*(1-K4179),0)</x:f>
        <x:v>0</x:v>
      </x:c>
      <x:c r="Q4179" s="9" t="n">
        <x:f>O4179-P4179</x:f>
        <x:v>64.8</x:v>
      </x:c>
      <x:c r="R4179" s="11" t="n">
        <x:f>IF(D4179="Completed",I4179,0)</x:f>
        <x:v>1</x:v>
      </x:c>
      <x:c r="S4179" s="11" t="n">
        <x:f>IF(D4179="Completed",L4179,0)</x:f>
        <x:v>0</x:v>
      </x:c>
      <x:c r="T4179" s="8" t="n">
        <x:f>DATE(YEAR(C4179),MONTH(C4179),1)</x:f>
        <x:v>45658</x:v>
      </x:c>
    </x:row>
    <x:row r="4180" ht="22" customHeight="1">
      <x:c r="A4180" s="2" t="str">
        <x:v>L004176</x:v>
      </x:c>
      <x:c r="B4180" s="2" t="str">
        <x:v>O01696</x:v>
      </x:c>
      <x:c r="C4180" s="7" t="n">
        <x:v>45671</x:v>
      </x:c>
      <x:c r="D4180" s="2" t="str">
        <x:v>Completed</x:v>
      </x:c>
      <x:c r="E4180" s="2" t="str">
        <x:v>West</x:v>
      </x:c>
      <x:c r="F4180" s="2" t="str">
        <x:v>Online</x:v>
      </x:c>
      <x:c r="G4180" s="2" t="str">
        <x:v>Furniture</x:v>
      </x:c>
      <x:c r="H4180" s="2" t="str">
        <x:v>Chair 022</x:v>
      </x:c>
      <x:c r="I4180" s="11" t="n">
        <x:v>4</x:v>
      </x:c>
      <x:c r="J4180" s="9" t="n">
        <x:v>134</x:v>
      </x:c>
      <x:c r="K4180" s="10" t="n">
        <x:v>0.2</x:v>
      </x:c>
      <x:c r="L4180" s="11" t="n">
        <x:v>0</x:v>
      </x:c>
      <x:c r="M4180" s="9" t="n">
        <x:f>IF(D4180="Completed",I4180*J4180,0)</x:f>
        <x:v>536</x:v>
      </x:c>
      <x:c r="N4180" s="9" t="n">
        <x:f>M4180*K4180</x:f>
        <x:v>107.2</x:v>
      </x:c>
      <x:c r="O4180" s="9" t="n">
        <x:f>M4180-N4180</x:f>
        <x:v>428.8</x:v>
      </x:c>
      <x:c r="P4180" s="9" t="n">
        <x:f>IF(D4180="Completed",L4180*J4180*(1-K4180),0)</x:f>
        <x:v>0</x:v>
      </x:c>
      <x:c r="Q4180" s="9" t="n">
        <x:f>O4180-P4180</x:f>
        <x:v>428.8</x:v>
      </x:c>
      <x:c r="R4180" s="11" t="n">
        <x:f>IF(D4180="Completed",I4180,0)</x:f>
        <x:v>4</x:v>
      </x:c>
      <x:c r="S4180" s="11" t="n">
        <x:f>IF(D4180="Completed",L4180,0)</x:f>
        <x:v>0</x:v>
      </x:c>
      <x:c r="T4180" s="8" t="n">
        <x:f>DATE(YEAR(C4180),MONTH(C4180),1)</x:f>
        <x:v>45658</x:v>
      </x:c>
    </x:row>
    <x:row r="4181" ht="22" customHeight="1">
      <x:c r="A4181" s="2" t="str">
        <x:v>L004177</x:v>
      </x:c>
      <x:c r="B4181" s="2" t="str">
        <x:v>O01697</x:v>
      </x:c>
      <x:c r="C4181" s="7" t="n">
        <x:v>45809</x:v>
      </x:c>
      <x:c r="D4181" s="2" t="str">
        <x:v>Completed</x:v>
      </x:c>
      <x:c r="E4181" s="2" t="str">
        <x:v>East</x:v>
      </x:c>
      <x:c r="F4181" s="2" t="str">
        <x:v>Online</x:v>
      </x:c>
      <x:c r="G4181" s="2" t="str">
        <x:v>Lighting</x:v>
      </x:c>
      <x:c r="H4181" s="2" t="str">
        <x:v>Lamp 009</x:v>
      </x:c>
      <x:c r="I4181" s="11" t="n">
        <x:v>5</x:v>
      </x:c>
      <x:c r="J4181" s="9" t="n">
        <x:v>93</x:v>
      </x:c>
      <x:c r="K4181" s="10" t="n">
        <x:v>0</x:v>
      </x:c>
      <x:c r="L4181" s="11" t="n">
        <x:v>0</x:v>
      </x:c>
      <x:c r="M4181" s="9" t="n">
        <x:f>IF(D4181="Completed",I4181*J4181,0)</x:f>
        <x:v>465</x:v>
      </x:c>
      <x:c r="N4181" s="9" t="n">
        <x:f>M4181*K4181</x:f>
        <x:v>0</x:v>
      </x:c>
      <x:c r="O4181" s="9" t="n">
        <x:f>M4181-N4181</x:f>
        <x:v>465</x:v>
      </x:c>
      <x:c r="P4181" s="9" t="n">
        <x:f>IF(D4181="Completed",L4181*J4181*(1-K4181),0)</x:f>
        <x:v>0</x:v>
      </x:c>
      <x:c r="Q4181" s="9" t="n">
        <x:f>O4181-P4181</x:f>
        <x:v>465</x:v>
      </x:c>
      <x:c r="R4181" s="11" t="n">
        <x:f>IF(D4181="Completed",I4181,0)</x:f>
        <x:v>5</x:v>
      </x:c>
      <x:c r="S4181" s="11" t="n">
        <x:f>IF(D4181="Completed",L4181,0)</x:f>
        <x:v>0</x:v>
      </x:c>
      <x:c r="T4181" s="8" t="n">
        <x:f>DATE(YEAR(C4181),MONTH(C4181),1)</x:f>
        <x:v>45809</x:v>
      </x:c>
    </x:row>
    <x:row r="4182" ht="22" customHeight="1">
      <x:c r="A4182" s="2" t="str">
        <x:v>L004178</x:v>
      </x:c>
      <x:c r="B4182" s="2" t="str">
        <x:v>O01697</x:v>
      </x:c>
      <x:c r="C4182" s="7" t="n">
        <x:v>45809</x:v>
      </x:c>
      <x:c r="D4182" s="2" t="str">
        <x:v>Completed</x:v>
      </x:c>
      <x:c r="E4182" s="2" t="str">
        <x:v>East</x:v>
      </x:c>
      <x:c r="F4182" s="2" t="str">
        <x:v>Online</x:v>
      </x:c>
      <x:c r="G4182" s="2" t="str">
        <x:v>Lighting</x:v>
      </x:c>
      <x:c r="H4182" s="2" t="str">
        <x:v>Lamp 001</x:v>
      </x:c>
      <x:c r="I4182" s="11" t="n">
        <x:v>1</x:v>
      </x:c>
      <x:c r="J4182" s="9" t="n">
        <x:v>122</x:v>
      </x:c>
      <x:c r="K4182" s="10" t="n">
        <x:v>0.1</x:v>
      </x:c>
      <x:c r="L4182" s="11" t="n">
        <x:v>0</x:v>
      </x:c>
      <x:c r="M4182" s="9" t="n">
        <x:f>IF(D4182="Completed",I4182*J4182,0)</x:f>
        <x:v>122</x:v>
      </x:c>
      <x:c r="N4182" s="9" t="n">
        <x:f>M4182*K4182</x:f>
        <x:v>12.200000000000001</x:v>
      </x:c>
      <x:c r="O4182" s="9" t="n">
        <x:f>M4182-N4182</x:f>
        <x:v>109.8</x:v>
      </x:c>
      <x:c r="P4182" s="9" t="n">
        <x:f>IF(D4182="Completed",L4182*J4182*(1-K4182),0)</x:f>
        <x:v>0</x:v>
      </x:c>
      <x:c r="Q4182" s="9" t="n">
        <x:f>O4182-P4182</x:f>
        <x:v>109.8</x:v>
      </x:c>
      <x:c r="R4182" s="11" t="n">
        <x:f>IF(D4182="Completed",I4182,0)</x:f>
        <x:v>1</x:v>
      </x:c>
      <x:c r="S4182" s="11" t="n">
        <x:f>IF(D4182="Completed",L4182,0)</x:f>
        <x:v>0</x:v>
      </x:c>
      <x:c r="T4182" s="8" t="n">
        <x:f>DATE(YEAR(C4182),MONTH(C4182),1)</x:f>
        <x:v>45809</x:v>
      </x:c>
    </x:row>
    <x:row r="4183" ht="22" customHeight="1">
      <x:c r="A4183" s="2" t="str">
        <x:v>L004179</x:v>
      </x:c>
      <x:c r="B4183" s="2" t="str">
        <x:v>O01697</x:v>
      </x:c>
      <x:c r="C4183" s="7" t="n">
        <x:v>45809</x:v>
      </x:c>
      <x:c r="D4183" s="2" t="str">
        <x:v>Completed</x:v>
      </x:c>
      <x:c r="E4183" s="2" t="str">
        <x:v>East</x:v>
      </x:c>
      <x:c r="F4183" s="2" t="str">
        <x:v>Online</x:v>
      </x:c>
      <x:c r="G4183" s="2" t="str">
        <x:v>Furniture</x:v>
      </x:c>
      <x:c r="H4183" s="2" t="str">
        <x:v>Desk 024</x:v>
      </x:c>
      <x:c r="I4183" s="11" t="n">
        <x:v>3</x:v>
      </x:c>
      <x:c r="J4183" s="9" t="n">
        <x:v>81</x:v>
      </x:c>
      <x:c r="K4183" s="10" t="n">
        <x:v>0.2</x:v>
      </x:c>
      <x:c r="L4183" s="11" t="n">
        <x:v>0</x:v>
      </x:c>
      <x:c r="M4183" s="9" t="n">
        <x:f>IF(D4183="Completed",I4183*J4183,0)</x:f>
        <x:v>243</x:v>
      </x:c>
      <x:c r="N4183" s="9" t="n">
        <x:f>M4183*K4183</x:f>
        <x:v>48.6</x:v>
      </x:c>
      <x:c r="O4183" s="9" t="n">
        <x:f>M4183-N4183</x:f>
        <x:v>194.4</x:v>
      </x:c>
      <x:c r="P4183" s="9" t="n">
        <x:f>IF(D4183="Completed",L4183*J4183*(1-K4183),0)</x:f>
        <x:v>0</x:v>
      </x:c>
      <x:c r="Q4183" s="9" t="n">
        <x:f>O4183-P4183</x:f>
        <x:v>194.4</x:v>
      </x:c>
      <x:c r="R4183" s="11" t="n">
        <x:f>IF(D4183="Completed",I4183,0)</x:f>
        <x:v>3</x:v>
      </x:c>
      <x:c r="S4183" s="11" t="n">
        <x:f>IF(D4183="Completed",L4183,0)</x:f>
        <x:v>0</x:v>
      </x:c>
      <x:c r="T4183" s="8" t="n">
        <x:f>DATE(YEAR(C4183),MONTH(C4183),1)</x:f>
        <x:v>45809</x:v>
      </x:c>
    </x:row>
    <x:row r="4184" ht="22" customHeight="1">
      <x:c r="A4184" s="2" t="str">
        <x:v>L004180</x:v>
      </x:c>
      <x:c r="B4184" s="2" t="str">
        <x:v>O01698</x:v>
      </x:c>
      <x:c r="C4184" s="7" t="n">
        <x:v>45936</x:v>
      </x:c>
      <x:c r="D4184" s="2" t="str">
        <x:v>Completed</x:v>
      </x:c>
      <x:c r="E4184" s="2" t="str">
        <x:v>East</x:v>
      </x:c>
      <x:c r="F4184" s="2" t="str">
        <x:v>Online</x:v>
      </x:c>
      <x:c r="G4184" s="2" t="str">
        <x:v>Lighting</x:v>
      </x:c>
      <x:c r="H4184" s="2" t="str">
        <x:v>Lamp 009</x:v>
      </x:c>
      <x:c r="I4184" s="11" t="n">
        <x:v>3</x:v>
      </x:c>
      <x:c r="J4184" s="9" t="n">
        <x:v>93</x:v>
      </x:c>
      <x:c r="K4184" s="10" t="n">
        <x:v>0.2</x:v>
      </x:c>
      <x:c r="L4184" s="11" t="n">
        <x:v>0</x:v>
      </x:c>
      <x:c r="M4184" s="9" t="n">
        <x:f>IF(D4184="Completed",I4184*J4184,0)</x:f>
        <x:v>279</x:v>
      </x:c>
      <x:c r="N4184" s="9" t="n">
        <x:f>M4184*K4184</x:f>
        <x:v>55.800000000000004</x:v>
      </x:c>
      <x:c r="O4184" s="9" t="n">
        <x:f>M4184-N4184</x:f>
        <x:v>223.2</x:v>
      </x:c>
      <x:c r="P4184" s="9" t="n">
        <x:f>IF(D4184="Completed",L4184*J4184*(1-K4184),0)</x:f>
        <x:v>0</x:v>
      </x:c>
      <x:c r="Q4184" s="9" t="n">
        <x:f>O4184-P4184</x:f>
        <x:v>223.2</x:v>
      </x:c>
      <x:c r="R4184" s="11" t="n">
        <x:f>IF(D4184="Completed",I4184,0)</x:f>
        <x:v>3</x:v>
      </x:c>
      <x:c r="S4184" s="11" t="n">
        <x:f>IF(D4184="Completed",L4184,0)</x:f>
        <x:v>0</x:v>
      </x:c>
      <x:c r="T4184" s="8" t="n">
        <x:f>DATE(YEAR(C4184),MONTH(C4184),1)</x:f>
        <x:v>45931</x:v>
      </x:c>
    </x:row>
    <x:row r="4185" ht="22" customHeight="1">
      <x:c r="A4185" s="2" t="str">
        <x:v>L004181</x:v>
      </x:c>
      <x:c r="B4185" s="2" t="str">
        <x:v>O01698</x:v>
      </x:c>
      <x:c r="C4185" s="7" t="n">
        <x:v>45936</x:v>
      </x:c>
      <x:c r="D4185" s="2" t="str">
        <x:v>Completed</x:v>
      </x:c>
      <x:c r="E4185" s="2" t="str">
        <x:v>East</x:v>
      </x:c>
      <x:c r="F4185" s="2" t="str">
        <x:v>Online</x:v>
      </x:c>
      <x:c r="G4185" s="2" t="str">
        <x:v>Lighting</x:v>
      </x:c>
      <x:c r="H4185" s="2" t="str">
        <x:v>Lamp 017</x:v>
      </x:c>
      <x:c r="I4185" s="11" t="n">
        <x:v>4</x:v>
      </x:c>
      <x:c r="J4185" s="9" t="n">
        <x:v>300</x:v>
      </x:c>
      <x:c r="K4185" s="10" t="n">
        <x:v>0</x:v>
      </x:c>
      <x:c r="L4185" s="11" t="n">
        <x:v>0</x:v>
      </x:c>
      <x:c r="M4185" s="9" t="n">
        <x:f>IF(D4185="Completed",I4185*J4185,0)</x:f>
        <x:v>1200</x:v>
      </x:c>
      <x:c r="N4185" s="9" t="n">
        <x:f>M4185*K4185</x:f>
        <x:v>0</x:v>
      </x:c>
      <x:c r="O4185" s="9" t="n">
        <x:f>M4185-N4185</x:f>
        <x:v>1200</x:v>
      </x:c>
      <x:c r="P4185" s="9" t="n">
        <x:f>IF(D4185="Completed",L4185*J4185*(1-K4185),0)</x:f>
        <x:v>0</x:v>
      </x:c>
      <x:c r="Q4185" s="9" t="n">
        <x:f>O4185-P4185</x:f>
        <x:v>1200</x:v>
      </x:c>
      <x:c r="R4185" s="11" t="n">
        <x:f>IF(D4185="Completed",I4185,0)</x:f>
        <x:v>4</x:v>
      </x:c>
      <x:c r="S4185" s="11" t="n">
        <x:f>IF(D4185="Completed",L4185,0)</x:f>
        <x:v>0</x:v>
      </x:c>
      <x:c r="T4185" s="8" t="n">
        <x:f>DATE(YEAR(C4185),MONTH(C4185),1)</x:f>
        <x:v>45931</x:v>
      </x:c>
    </x:row>
    <x:row r="4186" ht="22" customHeight="1">
      <x:c r="A4186" s="2" t="str">
        <x:v>L004182</x:v>
      </x:c>
      <x:c r="B4186" s="2" t="str">
        <x:v>O01698</x:v>
      </x:c>
      <x:c r="C4186" s="7" t="n">
        <x:v>45936</x:v>
      </x:c>
      <x:c r="D4186" s="2" t="str">
        <x:v>Completed</x:v>
      </x:c>
      <x:c r="E4186" s="2" t="str">
        <x:v>East</x:v>
      </x:c>
      <x:c r="F4186" s="2" t="str">
        <x:v>Online</x:v>
      </x:c>
      <x:c r="G4186" s="2" t="str">
        <x:v>Furniture</x:v>
      </x:c>
      <x:c r="H4186" s="2" t="str">
        <x:v>Chair 022</x:v>
      </x:c>
      <x:c r="I4186" s="11" t="n">
        <x:v>2</x:v>
      </x:c>
      <x:c r="J4186" s="9" t="n">
        <x:v>134</x:v>
      </x:c>
      <x:c r="K4186" s="10" t="n">
        <x:v>0</x:v>
      </x:c>
      <x:c r="L4186" s="11" t="n">
        <x:v>0</x:v>
      </x:c>
      <x:c r="M4186" s="9" t="n">
        <x:f>IF(D4186="Completed",I4186*J4186,0)</x:f>
        <x:v>268</x:v>
      </x:c>
      <x:c r="N4186" s="9" t="n">
        <x:f>M4186*K4186</x:f>
        <x:v>0</x:v>
      </x:c>
      <x:c r="O4186" s="9" t="n">
        <x:f>M4186-N4186</x:f>
        <x:v>268</x:v>
      </x:c>
      <x:c r="P4186" s="9" t="n">
        <x:f>IF(D4186="Completed",L4186*J4186*(1-K4186),0)</x:f>
        <x:v>0</x:v>
      </x:c>
      <x:c r="Q4186" s="9" t="n">
        <x:f>O4186-P4186</x:f>
        <x:v>268</x:v>
      </x:c>
      <x:c r="R4186" s="11" t="n">
        <x:f>IF(D4186="Completed",I4186,0)</x:f>
        <x:v>2</x:v>
      </x:c>
      <x:c r="S4186" s="11" t="n">
        <x:f>IF(D4186="Completed",L4186,0)</x:f>
        <x:v>0</x:v>
      </x:c>
      <x:c r="T4186" s="8" t="n">
        <x:f>DATE(YEAR(C4186),MONTH(C4186),1)</x:f>
        <x:v>45931</x:v>
      </x:c>
    </x:row>
    <x:row r="4187" ht="22" customHeight="1">
      <x:c r="A4187" s="2" t="str">
        <x:v>L004183</x:v>
      </x:c>
      <x:c r="B4187" s="2" t="str">
        <x:v>O01698</x:v>
      </x:c>
      <x:c r="C4187" s="7" t="n">
        <x:v>45936</x:v>
      </x:c>
      <x:c r="D4187" s="2" t="str">
        <x:v>Completed</x:v>
      </x:c>
      <x:c r="E4187" s="2" t="str">
        <x:v>East</x:v>
      </x:c>
      <x:c r="F4187" s="2" t="str">
        <x:v>Online</x:v>
      </x:c>
      <x:c r="G4187" s="2" t="str">
        <x:v>Lighting</x:v>
      </x:c>
      <x:c r="H4187" s="2" t="str">
        <x:v>Lamp 005</x:v>
      </x:c>
      <x:c r="I4187" s="11" t="n">
        <x:v>2</x:v>
      </x:c>
      <x:c r="J4187" s="9" t="n">
        <x:v>65</x:v>
      </x:c>
      <x:c r="K4187" s="10" t="n">
        <x:v>0.1</x:v>
      </x:c>
      <x:c r="L4187" s="11" t="n">
        <x:v>0</x:v>
      </x:c>
      <x:c r="M4187" s="9" t="n">
        <x:f>IF(D4187="Completed",I4187*J4187,0)</x:f>
        <x:v>130</x:v>
      </x:c>
      <x:c r="N4187" s="9" t="n">
        <x:f>M4187*K4187</x:f>
        <x:v>13</x:v>
      </x:c>
      <x:c r="O4187" s="9" t="n">
        <x:f>M4187-N4187</x:f>
        <x:v>117</x:v>
      </x:c>
      <x:c r="P4187" s="9" t="n">
        <x:f>IF(D4187="Completed",L4187*J4187*(1-K4187),0)</x:f>
        <x:v>0</x:v>
      </x:c>
      <x:c r="Q4187" s="9" t="n">
        <x:f>O4187-P4187</x:f>
        <x:v>117</x:v>
      </x:c>
      <x:c r="R4187" s="11" t="n">
        <x:f>IF(D4187="Completed",I4187,0)</x:f>
        <x:v>2</x:v>
      </x:c>
      <x:c r="S4187" s="11" t="n">
        <x:f>IF(D4187="Completed",L4187,0)</x:f>
        <x:v>0</x:v>
      </x:c>
      <x:c r="T4187" s="8" t="n">
        <x:f>DATE(YEAR(C4187),MONTH(C4187),1)</x:f>
        <x:v>45931</x:v>
      </x:c>
    </x:row>
    <x:row r="4188" ht="22" customHeight="1">
      <x:c r="A4188" s="2" t="str">
        <x:v>L004184</x:v>
      </x:c>
      <x:c r="B4188" s="2" t="str">
        <x:v>O01699</x:v>
      </x:c>
      <x:c r="C4188" s="7" t="n">
        <x:v>45994</x:v>
      </x:c>
      <x:c r="D4188" s="2" t="str">
        <x:v>Completed</x:v>
      </x:c>
      <x:c r="E4188" s="2" t="str">
        <x:v>North</x:v>
      </x:c>
      <x:c r="F4188" s="2" t="str">
        <x:v>Store</x:v>
      </x:c>
      <x:c r="G4188" s="2" t="str">
        <x:v>Storage</x:v>
      </x:c>
      <x:c r="H4188" s="2" t="str">
        <x:v>Shelf 015</x:v>
      </x:c>
      <x:c r="I4188" s="11" t="n">
        <x:v>4</x:v>
      </x:c>
      <x:c r="J4188" s="9" t="n">
        <x:v>254</x:v>
      </x:c>
      <x:c r="K4188" s="10" t="n">
        <x:v>0.2</x:v>
      </x:c>
      <x:c r="L4188" s="11" t="n">
        <x:v>0</x:v>
      </x:c>
      <x:c r="M4188" s="9" t="n">
        <x:f>IF(D4188="Completed",I4188*J4188,0)</x:f>
        <x:v>1016</x:v>
      </x:c>
      <x:c r="N4188" s="9" t="n">
        <x:f>M4188*K4188</x:f>
        <x:v>203.20000000000002</x:v>
      </x:c>
      <x:c r="O4188" s="9" t="n">
        <x:f>M4188-N4188</x:f>
        <x:v>812.8</x:v>
      </x:c>
      <x:c r="P4188" s="9" t="n">
        <x:f>IF(D4188="Completed",L4188*J4188*(1-K4188),0)</x:f>
        <x:v>0</x:v>
      </x:c>
      <x:c r="Q4188" s="9" t="n">
        <x:f>O4188-P4188</x:f>
        <x:v>812.8</x:v>
      </x:c>
      <x:c r="R4188" s="11" t="n">
        <x:f>IF(D4188="Completed",I4188,0)</x:f>
        <x:v>4</x:v>
      </x:c>
      <x:c r="S4188" s="11" t="n">
        <x:f>IF(D4188="Completed",L4188,0)</x:f>
        <x:v>0</x:v>
      </x:c>
      <x:c r="T4188" s="8" t="n">
        <x:f>DATE(YEAR(C4188),MONTH(C4188),1)</x:f>
        <x:v>45992</x:v>
      </x:c>
    </x:row>
    <x:row r="4189" ht="22" customHeight="1">
      <x:c r="A4189" s="2" t="str">
        <x:v>L004185</x:v>
      </x:c>
      <x:c r="B4189" s="2" t="str">
        <x:v>O01699</x:v>
      </x:c>
      <x:c r="C4189" s="7" t="n">
        <x:v>45994</x:v>
      </x:c>
      <x:c r="D4189" s="2" t="str">
        <x:v>Completed</x:v>
      </x:c>
      <x:c r="E4189" s="2" t="str">
        <x:v>North</x:v>
      </x:c>
      <x:c r="F4189" s="2" t="str">
        <x:v>Store</x:v>
      </x:c>
      <x:c r="G4189" s="2" t="str">
        <x:v>Furniture</x:v>
      </x:c>
      <x:c r="H4189" s="2" t="str">
        <x:v>Chair 002</x:v>
      </x:c>
      <x:c r="I4189" s="11" t="n">
        <x:v>1</x:v>
      </x:c>
      <x:c r="J4189" s="9" t="n">
        <x:v>284</x:v>
      </x:c>
      <x:c r="K4189" s="10" t="n">
        <x:v>0</x:v>
      </x:c>
      <x:c r="L4189" s="11" t="n">
        <x:v>0</x:v>
      </x:c>
      <x:c r="M4189" s="9" t="n">
        <x:f>IF(D4189="Completed",I4189*J4189,0)</x:f>
        <x:v>284</x:v>
      </x:c>
      <x:c r="N4189" s="9" t="n">
        <x:f>M4189*K4189</x:f>
        <x:v>0</x:v>
      </x:c>
      <x:c r="O4189" s="9" t="n">
        <x:f>M4189-N4189</x:f>
        <x:v>284</x:v>
      </x:c>
      <x:c r="P4189" s="9" t="n">
        <x:f>IF(D4189="Completed",L4189*J4189*(1-K4189),0)</x:f>
        <x:v>0</x:v>
      </x:c>
      <x:c r="Q4189" s="9" t="n">
        <x:f>O4189-P4189</x:f>
        <x:v>284</x:v>
      </x:c>
      <x:c r="R4189" s="11" t="n">
        <x:f>IF(D4189="Completed",I4189,0)</x:f>
        <x:v>1</x:v>
      </x:c>
      <x:c r="S4189" s="11" t="n">
        <x:f>IF(D4189="Completed",L4189,0)</x:f>
        <x:v>0</x:v>
      </x:c>
      <x:c r="T4189" s="8" t="n">
        <x:f>DATE(YEAR(C4189),MONTH(C4189),1)</x:f>
        <x:v>45992</x:v>
      </x:c>
    </x:row>
    <x:row r="4190" ht="22" customHeight="1">
      <x:c r="A4190" s="2" t="str">
        <x:v>L004186</x:v>
      </x:c>
      <x:c r="B4190" s="2" t="str">
        <x:v>O01700</x:v>
      </x:c>
      <x:c r="C4190" s="7" t="n">
        <x:v>45965</x:v>
      </x:c>
      <x:c r="D4190" s="2" t="str">
        <x:v>Completed</x:v>
      </x:c>
      <x:c r="E4190" s="2" t="str">
        <x:v>East</x:v>
      </x:c>
      <x:c r="F4190" s="2" t="str">
        <x:v>Online</x:v>
      </x:c>
      <x:c r="G4190" s="2" t="str">
        <x:v>Furniture</x:v>
      </x:c>
      <x:c r="H4190" s="2" t="str">
        <x:v>Chair 006</x:v>
      </x:c>
      <x:c r="I4190" s="11" t="n">
        <x:v>3</x:v>
      </x:c>
      <x:c r="J4190" s="9" t="n">
        <x:v>196</x:v>
      </x:c>
      <x:c r="K4190" s="10" t="n">
        <x:v>0.2</x:v>
      </x:c>
      <x:c r="L4190" s="11" t="n">
        <x:v>0</x:v>
      </x:c>
      <x:c r="M4190" s="9" t="n">
        <x:f>IF(D4190="Completed",I4190*J4190,0)</x:f>
        <x:v>588</x:v>
      </x:c>
      <x:c r="N4190" s="9" t="n">
        <x:f>M4190*K4190</x:f>
        <x:v>117.60000000000001</x:v>
      </x:c>
      <x:c r="O4190" s="9" t="n">
        <x:f>M4190-N4190</x:f>
        <x:v>470.4</x:v>
      </x:c>
      <x:c r="P4190" s="9" t="n">
        <x:f>IF(D4190="Completed",L4190*J4190*(1-K4190),0)</x:f>
        <x:v>0</x:v>
      </x:c>
      <x:c r="Q4190" s="9" t="n">
        <x:f>O4190-P4190</x:f>
        <x:v>470.4</x:v>
      </x:c>
      <x:c r="R4190" s="11" t="n">
        <x:f>IF(D4190="Completed",I4190,0)</x:f>
        <x:v>3</x:v>
      </x:c>
      <x:c r="S4190" s="11" t="n">
        <x:f>IF(D4190="Completed",L4190,0)</x:f>
        <x:v>0</x:v>
      </x:c>
      <x:c r="T4190" s="8" t="n">
        <x:f>DATE(YEAR(C4190),MONTH(C4190),1)</x:f>
        <x:v>45962</x:v>
      </x:c>
    </x:row>
    <x:row r="4191" ht="22" customHeight="1">
      <x:c r="A4191" s="2" t="str">
        <x:v>L004187</x:v>
      </x:c>
      <x:c r="B4191" s="2" t="str">
        <x:v>O01700</x:v>
      </x:c>
      <x:c r="C4191" s="7" t="n">
        <x:v>45965</x:v>
      </x:c>
      <x:c r="D4191" s="2" t="str">
        <x:v>Completed</x:v>
      </x:c>
      <x:c r="E4191" s="2" t="str">
        <x:v>East</x:v>
      </x:c>
      <x:c r="F4191" s="2" t="str">
        <x:v>Online</x:v>
      </x:c>
      <x:c r="G4191" s="2" t="str">
        <x:v>Furniture</x:v>
      </x:c>
      <x:c r="H4191" s="2" t="str">
        <x:v>Chair 010</x:v>
      </x:c>
      <x:c r="I4191" s="11" t="n">
        <x:v>5</x:v>
      </x:c>
      <x:c r="J4191" s="9" t="n">
        <x:v>211</x:v>
      </x:c>
      <x:c r="K4191" s="10" t="n">
        <x:v>0.2</x:v>
      </x:c>
      <x:c r="L4191" s="11" t="n">
        <x:v>0</x:v>
      </x:c>
      <x:c r="M4191" s="9" t="n">
        <x:f>IF(D4191="Completed",I4191*J4191,0)</x:f>
        <x:v>1055</x:v>
      </x:c>
      <x:c r="N4191" s="9" t="n">
        <x:f>M4191*K4191</x:f>
        <x:v>211</x:v>
      </x:c>
      <x:c r="O4191" s="9" t="n">
        <x:f>M4191-N4191</x:f>
        <x:v>844</x:v>
      </x:c>
      <x:c r="P4191" s="9" t="n">
        <x:f>IF(D4191="Completed",L4191*J4191*(1-K4191),0)</x:f>
        <x:v>0</x:v>
      </x:c>
      <x:c r="Q4191" s="9" t="n">
        <x:f>O4191-P4191</x:f>
        <x:v>844</x:v>
      </x:c>
      <x:c r="R4191" s="11" t="n">
        <x:f>IF(D4191="Completed",I4191,0)</x:f>
        <x:v>5</x:v>
      </x:c>
      <x:c r="S4191" s="11" t="n">
        <x:f>IF(D4191="Completed",L4191,0)</x:f>
        <x:v>0</x:v>
      </x:c>
      <x:c r="T4191" s="8" t="n">
        <x:f>DATE(YEAR(C4191),MONTH(C4191),1)</x:f>
        <x:v>45962</x:v>
      </x:c>
    </x:row>
    <x:row r="4192" ht="22" customHeight="1">
      <x:c r="A4192" s="2" t="str">
        <x:v>L004188</x:v>
      </x:c>
      <x:c r="B4192" s="2" t="str">
        <x:v>O01700</x:v>
      </x:c>
      <x:c r="C4192" s="7" t="n">
        <x:v>45965</x:v>
      </x:c>
      <x:c r="D4192" s="2" t="str">
        <x:v>Completed</x:v>
      </x:c>
      <x:c r="E4192" s="2" t="str">
        <x:v>East</x:v>
      </x:c>
      <x:c r="F4192" s="2" t="str">
        <x:v>Online</x:v>
      </x:c>
      <x:c r="G4192" s="2" t="str">
        <x:v>Furniture</x:v>
      </x:c>
      <x:c r="H4192" s="2" t="str">
        <x:v>Desk 008</x:v>
      </x:c>
      <x:c r="I4192" s="11" t="n">
        <x:v>1</x:v>
      </x:c>
      <x:c r="J4192" s="9" t="n">
        <x:v>188</x:v>
      </x:c>
      <x:c r="K4192" s="10" t="n">
        <x:v>0.2</x:v>
      </x:c>
      <x:c r="L4192" s="11" t="n">
        <x:v>0</x:v>
      </x:c>
      <x:c r="M4192" s="9" t="n">
        <x:f>IF(D4192="Completed",I4192*J4192,0)</x:f>
        <x:v>188</x:v>
      </x:c>
      <x:c r="N4192" s="9" t="n">
        <x:f>M4192*K4192</x:f>
        <x:v>37.6</x:v>
      </x:c>
      <x:c r="O4192" s="9" t="n">
        <x:f>M4192-N4192</x:f>
        <x:v>150.4</x:v>
      </x:c>
      <x:c r="P4192" s="9" t="n">
        <x:f>IF(D4192="Completed",L4192*J4192*(1-K4192),0)</x:f>
        <x:v>0</x:v>
      </x:c>
      <x:c r="Q4192" s="9" t="n">
        <x:f>O4192-P4192</x:f>
        <x:v>150.4</x:v>
      </x:c>
      <x:c r="R4192" s="11" t="n">
        <x:f>IF(D4192="Completed",I4192,0)</x:f>
        <x:v>1</x:v>
      </x:c>
      <x:c r="S4192" s="11" t="n">
        <x:f>IF(D4192="Completed",L4192,0)</x:f>
        <x:v>0</x:v>
      </x:c>
      <x:c r="T4192" s="8" t="n">
        <x:f>DATE(YEAR(C4192),MONTH(C4192),1)</x:f>
        <x:v>45962</x:v>
      </x:c>
    </x:row>
    <x:row r="4193" ht="22" customHeight="1">
      <x:c r="A4193" s="2" t="str">
        <x:v>L004189</x:v>
      </x:c>
      <x:c r="B4193" s="2" t="str">
        <x:v>O01700</x:v>
      </x:c>
      <x:c r="C4193" s="7" t="n">
        <x:v>45965</x:v>
      </x:c>
      <x:c r="D4193" s="2" t="str">
        <x:v>Completed</x:v>
      </x:c>
      <x:c r="E4193" s="2" t="str">
        <x:v>East</x:v>
      </x:c>
      <x:c r="F4193" s="2" t="str">
        <x:v>Online</x:v>
      </x:c>
      <x:c r="G4193" s="2" t="str">
        <x:v>Furniture</x:v>
      </x:c>
      <x:c r="H4193" s="2" t="str">
        <x:v>Chair 014</x:v>
      </x:c>
      <x:c r="I4193" s="11" t="n">
        <x:v>5</x:v>
      </x:c>
      <x:c r="J4193" s="9" t="n">
        <x:v>294</x:v>
      </x:c>
      <x:c r="K4193" s="10" t="n">
        <x:v>0.05</x:v>
      </x:c>
      <x:c r="L4193" s="11" t="n">
        <x:v>0</x:v>
      </x:c>
      <x:c r="M4193" s="9" t="n">
        <x:f>IF(D4193="Completed",I4193*J4193,0)</x:f>
        <x:v>1470</x:v>
      </x:c>
      <x:c r="N4193" s="9" t="n">
        <x:f>M4193*K4193</x:f>
        <x:v>73.5</x:v>
      </x:c>
      <x:c r="O4193" s="9" t="n">
        <x:f>M4193-N4193</x:f>
        <x:v>1396.5</x:v>
      </x:c>
      <x:c r="P4193" s="9" t="n">
        <x:f>IF(D4193="Completed",L4193*J4193*(1-K4193),0)</x:f>
        <x:v>0</x:v>
      </x:c>
      <x:c r="Q4193" s="9" t="n">
        <x:f>O4193-P4193</x:f>
        <x:v>1396.5</x:v>
      </x:c>
      <x:c r="R4193" s="11" t="n">
        <x:f>IF(D4193="Completed",I4193,0)</x:f>
        <x:v>5</x:v>
      </x:c>
      <x:c r="S4193" s="11" t="n">
        <x:f>IF(D4193="Completed",L4193,0)</x:f>
        <x:v>0</x:v>
      </x:c>
      <x:c r="T4193" s="8" t="n">
        <x:f>DATE(YEAR(C4193),MONTH(C4193),1)</x:f>
        <x:v>45962</x:v>
      </x:c>
    </x:row>
    <x:row r="4194" ht="22" customHeight="1">
      <x:c r="A4194" s="2" t="str">
        <x:v>L004190</x:v>
      </x:c>
      <x:c r="B4194" s="2" t="str">
        <x:v>O01701</x:v>
      </x:c>
      <x:c r="C4194" s="7" t="n">
        <x:v>45826</x:v>
      </x:c>
      <x:c r="D4194" s="2" t="str">
        <x:v>Cancelled</x:v>
      </x:c>
      <x:c r="E4194" s="2" t="str">
        <x:v>East</x:v>
      </x:c>
      <x:c r="F4194" s="2" t="str">
        <x:v>Store</x:v>
      </x:c>
      <x:c r="G4194" s="2" t="str">
        <x:v>Furniture</x:v>
      </x:c>
      <x:c r="H4194" s="2" t="str">
        <x:v>Chair 010</x:v>
      </x:c>
      <x:c r="I4194" s="11" t="n">
        <x:v>5</x:v>
      </x:c>
      <x:c r="J4194" s="9" t="n">
        <x:v>211</x:v>
      </x:c>
      <x:c r="K4194" s="10" t="n">
        <x:v>0.1</x:v>
      </x:c>
      <x:c r="L4194" s="11" t="n">
        <x:v>0</x:v>
      </x:c>
      <x:c r="M4194" s="9" t="n">
        <x:f>IF(D4194="Completed",I4194*J4194,0)</x:f>
        <x:v>0</x:v>
      </x:c>
      <x:c r="N4194" s="9" t="n">
        <x:f>M4194*K4194</x:f>
        <x:v>0</x:v>
      </x:c>
      <x:c r="O4194" s="9" t="n">
        <x:f>M4194-N4194</x:f>
        <x:v>0</x:v>
      </x:c>
      <x:c r="P4194" s="9" t="n">
        <x:f>IF(D4194="Completed",L4194*J4194*(1-K4194),0)</x:f>
        <x:v>0</x:v>
      </x:c>
      <x:c r="Q4194" s="9" t="n">
        <x:f>O4194-P4194</x:f>
        <x:v>0</x:v>
      </x:c>
      <x:c r="R4194" s="11" t="n">
        <x:f>IF(D4194="Completed",I4194,0)</x:f>
        <x:v>0</x:v>
      </x:c>
      <x:c r="S4194" s="11" t="n">
        <x:f>IF(D4194="Completed",L4194,0)</x:f>
        <x:v>0</x:v>
      </x:c>
      <x:c r="T4194" s="8" t="n">
        <x:f>DATE(YEAR(C4194),MONTH(C4194),1)</x:f>
        <x:v>45809</x:v>
      </x:c>
    </x:row>
    <x:row r="4195" ht="22" customHeight="1">
      <x:c r="A4195" s="2" t="str">
        <x:v>L004191</x:v>
      </x:c>
      <x:c r="B4195" s="2" t="str">
        <x:v>O01702</x:v>
      </x:c>
      <x:c r="C4195" s="7" t="n">
        <x:v>45884</x:v>
      </x:c>
      <x:c r="D4195" s="2" t="str">
        <x:v>Completed</x:v>
      </x:c>
      <x:c r="E4195" s="2" t="str">
        <x:v>East</x:v>
      </x:c>
      <x:c r="F4195" s="2" t="str">
        <x:v>Online</x:v>
      </x:c>
      <x:c r="G4195" s="2" t="str">
        <x:v>Furniture</x:v>
      </x:c>
      <x:c r="H4195" s="2" t="str">
        <x:v>Desk 016</x:v>
      </x:c>
      <x:c r="I4195" s="11" t="n">
        <x:v>1</x:v>
      </x:c>
      <x:c r="J4195" s="9" t="n">
        <x:v>231</x:v>
      </x:c>
      <x:c r="K4195" s="10" t="n">
        <x:v>0</x:v>
      </x:c>
      <x:c r="L4195" s="11" t="n">
        <x:v>0</x:v>
      </x:c>
      <x:c r="M4195" s="9" t="n">
        <x:f>IF(D4195="Completed",I4195*J4195,0)</x:f>
        <x:v>231</x:v>
      </x:c>
      <x:c r="N4195" s="9" t="n">
        <x:f>M4195*K4195</x:f>
        <x:v>0</x:v>
      </x:c>
      <x:c r="O4195" s="9" t="n">
        <x:f>M4195-N4195</x:f>
        <x:v>231</x:v>
      </x:c>
      <x:c r="P4195" s="9" t="n">
        <x:f>IF(D4195="Completed",L4195*J4195*(1-K4195),0)</x:f>
        <x:v>0</x:v>
      </x:c>
      <x:c r="Q4195" s="9" t="n">
        <x:f>O4195-P4195</x:f>
        <x:v>231</x:v>
      </x:c>
      <x:c r="R4195" s="11" t="n">
        <x:f>IF(D4195="Completed",I4195,0)</x:f>
        <x:v>1</x:v>
      </x:c>
      <x:c r="S4195" s="11" t="n">
        <x:f>IF(D4195="Completed",L4195,0)</x:f>
        <x:v>0</x:v>
      </x:c>
      <x:c r="T4195" s="8" t="n">
        <x:f>DATE(YEAR(C4195),MONTH(C4195),1)</x:f>
        <x:v>45870</x:v>
      </x:c>
    </x:row>
    <x:row r="4196" ht="22" customHeight="1">
      <x:c r="A4196" s="2" t="str">
        <x:v>L004192</x:v>
      </x:c>
      <x:c r="B4196" s="2" t="str">
        <x:v>O01702</x:v>
      </x:c>
      <x:c r="C4196" s="7" t="n">
        <x:v>45884</x:v>
      </x:c>
      <x:c r="D4196" s="2" t="str">
        <x:v>Completed</x:v>
      </x:c>
      <x:c r="E4196" s="2" t="str">
        <x:v>East</x:v>
      </x:c>
      <x:c r="F4196" s="2" t="str">
        <x:v>Online</x:v>
      </x:c>
      <x:c r="G4196" s="2" t="str">
        <x:v>Storage</x:v>
      </x:c>
      <x:c r="H4196" s="2" t="str">
        <x:v>Shelf 007</x:v>
      </x:c>
      <x:c r="I4196" s="11" t="n">
        <x:v>5</x:v>
      </x:c>
      <x:c r="J4196" s="9" t="n">
        <x:v>35</x:v>
      </x:c>
      <x:c r="K4196" s="10" t="n">
        <x:v>0.2</x:v>
      </x:c>
      <x:c r="L4196" s="11" t="n">
        <x:v>0</x:v>
      </x:c>
      <x:c r="M4196" s="9" t="n">
        <x:f>IF(D4196="Completed",I4196*J4196,0)</x:f>
        <x:v>175</x:v>
      </x:c>
      <x:c r="N4196" s="9" t="n">
        <x:f>M4196*K4196</x:f>
        <x:v>35</x:v>
      </x:c>
      <x:c r="O4196" s="9" t="n">
        <x:f>M4196-N4196</x:f>
        <x:v>140</x:v>
      </x:c>
      <x:c r="P4196" s="9" t="n">
        <x:f>IF(D4196="Completed",L4196*J4196*(1-K4196),0)</x:f>
        <x:v>0</x:v>
      </x:c>
      <x:c r="Q4196" s="9" t="n">
        <x:f>O4196-P4196</x:f>
        <x:v>140</x:v>
      </x:c>
      <x:c r="R4196" s="11" t="n">
        <x:f>IF(D4196="Completed",I4196,0)</x:f>
        <x:v>5</x:v>
      </x:c>
      <x:c r="S4196" s="11" t="n">
        <x:f>IF(D4196="Completed",L4196,0)</x:f>
        <x:v>0</x:v>
      </x:c>
      <x:c r="T4196" s="8" t="n">
        <x:f>DATE(YEAR(C4196),MONTH(C4196),1)</x:f>
        <x:v>45870</x:v>
      </x:c>
    </x:row>
    <x:row r="4197" ht="22" customHeight="1">
      <x:c r="A4197" s="2" t="str">
        <x:v>L004193</x:v>
      </x:c>
      <x:c r="B4197" s="2" t="str">
        <x:v>O01703</x:v>
      </x:c>
      <x:c r="C4197" s="7" t="n">
        <x:v>45868</x:v>
      </x:c>
      <x:c r="D4197" s="2" t="str">
        <x:v>Completed</x:v>
      </x:c>
      <x:c r="E4197" s="2" t="str">
        <x:v>West</x:v>
      </x:c>
      <x:c r="F4197" s="2" t="str">
        <x:v>Online</x:v>
      </x:c>
      <x:c r="G4197" s="2" t="str">
        <x:v>Storage</x:v>
      </x:c>
      <x:c r="H4197" s="2" t="str">
        <x:v>Shelf 007</x:v>
      </x:c>
      <x:c r="I4197" s="11" t="n">
        <x:v>3</x:v>
      </x:c>
      <x:c r="J4197" s="9" t="n">
        <x:v>35</x:v>
      </x:c>
      <x:c r="K4197" s="10" t="n">
        <x:v>0.2</x:v>
      </x:c>
      <x:c r="L4197" s="11" t="n">
        <x:v>0</x:v>
      </x:c>
      <x:c r="M4197" s="9" t="n">
        <x:f>IF(D4197="Completed",I4197*J4197,0)</x:f>
        <x:v>105</x:v>
      </x:c>
      <x:c r="N4197" s="9" t="n">
        <x:f>M4197*K4197</x:f>
        <x:v>21</x:v>
      </x:c>
      <x:c r="O4197" s="9" t="n">
        <x:f>M4197-N4197</x:f>
        <x:v>84</x:v>
      </x:c>
      <x:c r="P4197" s="9" t="n">
        <x:f>IF(D4197="Completed",L4197*J4197*(1-K4197),0)</x:f>
        <x:v>0</x:v>
      </x:c>
      <x:c r="Q4197" s="9" t="n">
        <x:f>O4197-P4197</x:f>
        <x:v>84</x:v>
      </x:c>
      <x:c r="R4197" s="11" t="n">
        <x:f>IF(D4197="Completed",I4197,0)</x:f>
        <x:v>3</x:v>
      </x:c>
      <x:c r="S4197" s="11" t="n">
        <x:f>IF(D4197="Completed",L4197,0)</x:f>
        <x:v>0</x:v>
      </x:c>
      <x:c r="T4197" s="8" t="n">
        <x:f>DATE(YEAR(C4197),MONTH(C4197),1)</x:f>
        <x:v>45839</x:v>
      </x:c>
    </x:row>
    <x:row r="4198" ht="22" customHeight="1">
      <x:c r="A4198" s="2" t="str">
        <x:v>L004194</x:v>
      </x:c>
      <x:c r="B4198" s="2" t="str">
        <x:v>O01703</x:v>
      </x:c>
      <x:c r="C4198" s="7" t="n">
        <x:v>45868</x:v>
      </x:c>
      <x:c r="D4198" s="2" t="str">
        <x:v>Completed</x:v>
      </x:c>
      <x:c r="E4198" s="2" t="str">
        <x:v>West</x:v>
      </x:c>
      <x:c r="F4198" s="2" t="str">
        <x:v>Online</x:v>
      </x:c>
      <x:c r="G4198" s="2" t="str">
        <x:v>Lighting</x:v>
      </x:c>
      <x:c r="H4198" s="2" t="str">
        <x:v>Lamp 001</x:v>
      </x:c>
      <x:c r="I4198" s="11" t="n">
        <x:v>4</x:v>
      </x:c>
      <x:c r="J4198" s="9" t="n">
        <x:v>122</x:v>
      </x:c>
      <x:c r="K4198" s="10" t="n">
        <x:v>0</x:v>
      </x:c>
      <x:c r="L4198" s="11" t="n">
        <x:v>0</x:v>
      </x:c>
      <x:c r="M4198" s="9" t="n">
        <x:f>IF(D4198="Completed",I4198*J4198,0)</x:f>
        <x:v>488</x:v>
      </x:c>
      <x:c r="N4198" s="9" t="n">
        <x:f>M4198*K4198</x:f>
        <x:v>0</x:v>
      </x:c>
      <x:c r="O4198" s="9" t="n">
        <x:f>M4198-N4198</x:f>
        <x:v>488</x:v>
      </x:c>
      <x:c r="P4198" s="9" t="n">
        <x:f>IF(D4198="Completed",L4198*J4198*(1-K4198),0)</x:f>
        <x:v>0</x:v>
      </x:c>
      <x:c r="Q4198" s="9" t="n">
        <x:f>O4198-P4198</x:f>
        <x:v>488</x:v>
      </x:c>
      <x:c r="R4198" s="11" t="n">
        <x:f>IF(D4198="Completed",I4198,0)</x:f>
        <x:v>4</x:v>
      </x:c>
      <x:c r="S4198" s="11" t="n">
        <x:f>IF(D4198="Completed",L4198,0)</x:f>
        <x:v>0</x:v>
      </x:c>
      <x:c r="T4198" s="8" t="n">
        <x:f>DATE(YEAR(C4198),MONTH(C4198),1)</x:f>
        <x:v>45839</x:v>
      </x:c>
    </x:row>
    <x:row r="4199" ht="22" customHeight="1">
      <x:c r="A4199" s="2" t="str">
        <x:v>L004195</x:v>
      </x:c>
      <x:c r="B4199" s="2" t="str">
        <x:v>O01704</x:v>
      </x:c>
      <x:c r="C4199" s="7" t="n">
        <x:v>45920</x:v>
      </x:c>
      <x:c r="D4199" s="2" t="str">
        <x:v>Completed</x:v>
      </x:c>
      <x:c r="E4199" s="2" t="str">
        <x:v>North</x:v>
      </x:c>
      <x:c r="F4199" s="2" t="str">
        <x:v>Online</x:v>
      </x:c>
      <x:c r="G4199" s="2" t="str">
        <x:v>Furniture</x:v>
      </x:c>
      <x:c r="H4199" s="2" t="str">
        <x:v>Desk 016</x:v>
      </x:c>
      <x:c r="I4199" s="11" t="n">
        <x:v>3</x:v>
      </x:c>
      <x:c r="J4199" s="9" t="n">
        <x:v>231</x:v>
      </x:c>
      <x:c r="K4199" s="10" t="n">
        <x:v>0.05</x:v>
      </x:c>
      <x:c r="L4199" s="11" t="n">
        <x:v>0</x:v>
      </x:c>
      <x:c r="M4199" s="9" t="n">
        <x:f>IF(D4199="Completed",I4199*J4199,0)</x:f>
        <x:v>693</x:v>
      </x:c>
      <x:c r="N4199" s="9" t="n">
        <x:f>M4199*K4199</x:f>
        <x:v>34.65</x:v>
      </x:c>
      <x:c r="O4199" s="9" t="n">
        <x:f>M4199-N4199</x:f>
        <x:v>658.35</x:v>
      </x:c>
      <x:c r="P4199" s="9" t="n">
        <x:f>IF(D4199="Completed",L4199*J4199*(1-K4199),0)</x:f>
        <x:v>0</x:v>
      </x:c>
      <x:c r="Q4199" s="9" t="n">
        <x:f>O4199-P4199</x:f>
        <x:v>658.35</x:v>
      </x:c>
      <x:c r="R4199" s="11" t="n">
        <x:f>IF(D4199="Completed",I4199,0)</x:f>
        <x:v>3</x:v>
      </x:c>
      <x:c r="S4199" s="11" t="n">
        <x:f>IF(D4199="Completed",L4199,0)</x:f>
        <x:v>0</x:v>
      </x:c>
      <x:c r="T4199" s="8" t="n">
        <x:f>DATE(YEAR(C4199),MONTH(C4199),1)</x:f>
        <x:v>45901</x:v>
      </x:c>
    </x:row>
    <x:row r="4200" ht="22" customHeight="1">
      <x:c r="A4200" s="2" t="str">
        <x:v>L004196</x:v>
      </x:c>
      <x:c r="B4200" s="2" t="str">
        <x:v>O01704</x:v>
      </x:c>
      <x:c r="C4200" s="7" t="n">
        <x:v>45920</x:v>
      </x:c>
      <x:c r="D4200" s="2" t="str">
        <x:v>Completed</x:v>
      </x:c>
      <x:c r="E4200" s="2" t="str">
        <x:v>North</x:v>
      </x:c>
      <x:c r="F4200" s="2" t="str">
        <x:v>Online</x:v>
      </x:c>
      <x:c r="G4200" s="2" t="str">
        <x:v>Storage</x:v>
      </x:c>
      <x:c r="H4200" s="2" t="str">
        <x:v>Shelf 011</x:v>
      </x:c>
      <x:c r="I4200" s="11" t="n">
        <x:v>3</x:v>
      </x:c>
      <x:c r="J4200" s="9" t="n">
        <x:v>80</x:v>
      </x:c>
      <x:c r="K4200" s="10" t="n">
        <x:v>0.1</x:v>
      </x:c>
      <x:c r="L4200" s="11" t="n">
        <x:v>0</x:v>
      </x:c>
      <x:c r="M4200" s="9" t="n">
        <x:f>IF(D4200="Completed",I4200*J4200,0)</x:f>
        <x:v>240</x:v>
      </x:c>
      <x:c r="N4200" s="9" t="n">
        <x:f>M4200*K4200</x:f>
        <x:v>24</x:v>
      </x:c>
      <x:c r="O4200" s="9" t="n">
        <x:f>M4200-N4200</x:f>
        <x:v>216</x:v>
      </x:c>
      <x:c r="P4200" s="9" t="n">
        <x:f>IF(D4200="Completed",L4200*J4200*(1-K4200),0)</x:f>
        <x:v>0</x:v>
      </x:c>
      <x:c r="Q4200" s="9" t="n">
        <x:f>O4200-P4200</x:f>
        <x:v>216</x:v>
      </x:c>
      <x:c r="R4200" s="11" t="n">
        <x:f>IF(D4200="Completed",I4200,0)</x:f>
        <x:v>3</x:v>
      </x:c>
      <x:c r="S4200" s="11" t="n">
        <x:f>IF(D4200="Completed",L4200,0)</x:f>
        <x:v>0</x:v>
      </x:c>
      <x:c r="T4200" s="8" t="n">
        <x:f>DATE(YEAR(C4200),MONTH(C4200),1)</x:f>
        <x:v>45901</x:v>
      </x:c>
    </x:row>
    <x:row r="4201" ht="22" customHeight="1">
      <x:c r="A4201" s="2" t="str">
        <x:v>L004197</x:v>
      </x:c>
      <x:c r="B4201" s="2" t="str">
        <x:v>O01705</x:v>
      </x:c>
      <x:c r="C4201" s="7" t="n">
        <x:v>45819</x:v>
      </x:c>
      <x:c r="D4201" s="2" t="str">
        <x:v>Completed</x:v>
      </x:c>
      <x:c r="E4201" s="2" t="str">
        <x:v>North</x:v>
      </x:c>
      <x:c r="F4201" s="2" t="str">
        <x:v>Online</x:v>
      </x:c>
      <x:c r="G4201" s="2" t="str">
        <x:v>Furniture</x:v>
      </x:c>
      <x:c r="H4201" s="2" t="str">
        <x:v>Desk 016</x:v>
      </x:c>
      <x:c r="I4201" s="11" t="n">
        <x:v>4</x:v>
      </x:c>
      <x:c r="J4201" s="9" t="n">
        <x:v>231</x:v>
      </x:c>
      <x:c r="K4201" s="10" t="n">
        <x:v>0.05</x:v>
      </x:c>
      <x:c r="L4201" s="11" t="n">
        <x:v>0</x:v>
      </x:c>
      <x:c r="M4201" s="9" t="n">
        <x:f>IF(D4201="Completed",I4201*J4201,0)</x:f>
        <x:v>924</x:v>
      </x:c>
      <x:c r="N4201" s="9" t="n">
        <x:f>M4201*K4201</x:f>
        <x:v>46.2</x:v>
      </x:c>
      <x:c r="O4201" s="9" t="n">
        <x:f>M4201-N4201</x:f>
        <x:v>877.8</x:v>
      </x:c>
      <x:c r="P4201" s="9" t="n">
        <x:f>IF(D4201="Completed",L4201*J4201*(1-K4201),0)</x:f>
        <x:v>0</x:v>
      </x:c>
      <x:c r="Q4201" s="9" t="n">
        <x:f>O4201-P4201</x:f>
        <x:v>877.8</x:v>
      </x:c>
      <x:c r="R4201" s="11" t="n">
        <x:f>IF(D4201="Completed",I4201,0)</x:f>
        <x:v>4</x:v>
      </x:c>
      <x:c r="S4201" s="11" t="n">
        <x:f>IF(D4201="Completed",L4201,0)</x:f>
        <x:v>0</x:v>
      </x:c>
      <x:c r="T4201" s="8" t="n">
        <x:f>DATE(YEAR(C4201),MONTH(C4201),1)</x:f>
        <x:v>45809</x:v>
      </x:c>
    </x:row>
    <x:row r="4202" ht="22" customHeight="1">
      <x:c r="A4202" s="2" t="str">
        <x:v>L004198</x:v>
      </x:c>
      <x:c r="B4202" s="2" t="str">
        <x:v>O01706</x:v>
      </x:c>
      <x:c r="C4202" s="7" t="n">
        <x:v>45789</x:v>
      </x:c>
      <x:c r="D4202" s="2" t="str">
        <x:v>Completed</x:v>
      </x:c>
      <x:c r="E4202" s="2" t="str">
        <x:v>West</x:v>
      </x:c>
      <x:c r="F4202" s="2" t="str">
        <x:v>Online</x:v>
      </x:c>
      <x:c r="G4202" s="2" t="str">
        <x:v>Storage</x:v>
      </x:c>
      <x:c r="H4202" s="2" t="str">
        <x:v>Shelf 007</x:v>
      </x:c>
      <x:c r="I4202" s="11" t="n">
        <x:v>1</x:v>
      </x:c>
      <x:c r="J4202" s="9" t="n">
        <x:v>35</x:v>
      </x:c>
      <x:c r="K4202" s="10" t="n">
        <x:v>0.05</x:v>
      </x:c>
      <x:c r="L4202" s="11" t="n">
        <x:v>1</x:v>
      </x:c>
      <x:c r="M4202" s="9" t="n">
        <x:f>IF(D4202="Completed",I4202*J4202,0)</x:f>
        <x:v>35</x:v>
      </x:c>
      <x:c r="N4202" s="9" t="n">
        <x:f>M4202*K4202</x:f>
        <x:v>1.75</x:v>
      </x:c>
      <x:c r="O4202" s="9" t="n">
        <x:f>M4202-N4202</x:f>
        <x:v>33.25</x:v>
      </x:c>
      <x:c r="P4202" s="9" t="n">
        <x:f>IF(D4202="Completed",L4202*J4202*(1-K4202),0)</x:f>
        <x:v>33.25</x:v>
      </x:c>
      <x:c r="Q4202" s="9" t="n">
        <x:f>O4202-P4202</x:f>
        <x:v>0</x:v>
      </x:c>
      <x:c r="R4202" s="11" t="n">
        <x:f>IF(D4202="Completed",I4202,0)</x:f>
        <x:v>1</x:v>
      </x:c>
      <x:c r="S4202" s="11" t="n">
        <x:f>IF(D4202="Completed",L4202,0)</x:f>
        <x:v>1</x:v>
      </x:c>
      <x:c r="T4202" s="8" t="n">
        <x:f>DATE(YEAR(C4202),MONTH(C4202),1)</x:f>
        <x:v>45778</x:v>
      </x:c>
    </x:row>
    <x:row r="4203" ht="22" customHeight="1">
      <x:c r="A4203" s="2" t="str">
        <x:v>L004199</x:v>
      </x:c>
      <x:c r="B4203" s="2" t="str">
        <x:v>O01706</x:v>
      </x:c>
      <x:c r="C4203" s="7" t="n">
        <x:v>45789</x:v>
      </x:c>
      <x:c r="D4203" s="2" t="str">
        <x:v>Completed</x:v>
      </x:c>
      <x:c r="E4203" s="2" t="str">
        <x:v>West</x:v>
      </x:c>
      <x:c r="F4203" s="2" t="str">
        <x:v>Online</x:v>
      </x:c>
      <x:c r="G4203" s="2" t="str">
        <x:v>Furniture</x:v>
      </x:c>
      <x:c r="H4203" s="2" t="str">
        <x:v>Desk 012</x:v>
      </x:c>
      <x:c r="I4203" s="11" t="n">
        <x:v>2</x:v>
      </x:c>
      <x:c r="J4203" s="9" t="n">
        <x:v>134</x:v>
      </x:c>
      <x:c r="K4203" s="10" t="n">
        <x:v>0.1</x:v>
      </x:c>
      <x:c r="L4203" s="11" t="n">
        <x:v>0</x:v>
      </x:c>
      <x:c r="M4203" s="9" t="n">
        <x:f>IF(D4203="Completed",I4203*J4203,0)</x:f>
        <x:v>268</x:v>
      </x:c>
      <x:c r="N4203" s="9" t="n">
        <x:f>M4203*K4203</x:f>
        <x:v>26.8</x:v>
      </x:c>
      <x:c r="O4203" s="9" t="n">
        <x:f>M4203-N4203</x:f>
        <x:v>241.2</x:v>
      </x:c>
      <x:c r="P4203" s="9" t="n">
        <x:f>IF(D4203="Completed",L4203*J4203*(1-K4203),0)</x:f>
        <x:v>0</x:v>
      </x:c>
      <x:c r="Q4203" s="9" t="n">
        <x:f>O4203-P4203</x:f>
        <x:v>241.2</x:v>
      </x:c>
      <x:c r="R4203" s="11" t="n">
        <x:f>IF(D4203="Completed",I4203,0)</x:f>
        <x:v>2</x:v>
      </x:c>
      <x:c r="S4203" s="11" t="n">
        <x:f>IF(D4203="Completed",L4203,0)</x:f>
        <x:v>0</x:v>
      </x:c>
      <x:c r="T4203" s="8" t="n">
        <x:f>DATE(YEAR(C4203),MONTH(C4203),1)</x:f>
        <x:v>45778</x:v>
      </x:c>
    </x:row>
    <x:row r="4204" ht="22" customHeight="1">
      <x:c r="A4204" s="2" t="str">
        <x:v>L004200</x:v>
      </x:c>
      <x:c r="B4204" s="2" t="str">
        <x:v>O01706</x:v>
      </x:c>
      <x:c r="C4204" s="7" t="n">
        <x:v>45789</x:v>
      </x:c>
      <x:c r="D4204" s="2" t="str">
        <x:v>Completed</x:v>
      </x:c>
      <x:c r="E4204" s="2" t="str">
        <x:v>West</x:v>
      </x:c>
      <x:c r="F4204" s="2" t="str">
        <x:v>Online</x:v>
      </x:c>
      <x:c r="G4204" s="2" t="str">
        <x:v>Lighting</x:v>
      </x:c>
      <x:c r="H4204" s="2" t="str">
        <x:v>Lamp 017</x:v>
      </x:c>
      <x:c r="I4204" s="11" t="n">
        <x:v>3</x:v>
      </x:c>
      <x:c r="J4204" s="9" t="n">
        <x:v>300</x:v>
      </x:c>
      <x:c r="K4204" s="10" t="n">
        <x:v>0.2</x:v>
      </x:c>
      <x:c r="L4204" s="11" t="n">
        <x:v>3</x:v>
      </x:c>
      <x:c r="M4204" s="9" t="n">
        <x:f>IF(D4204="Completed",I4204*J4204,0)</x:f>
        <x:v>900</x:v>
      </x:c>
      <x:c r="N4204" s="9" t="n">
        <x:f>M4204*K4204</x:f>
        <x:v>180</x:v>
      </x:c>
      <x:c r="O4204" s="9" t="n">
        <x:f>M4204-N4204</x:f>
        <x:v>720</x:v>
      </x:c>
      <x:c r="P4204" s="9" t="n">
        <x:f>IF(D4204="Completed",L4204*J4204*(1-K4204),0)</x:f>
        <x:v>720</x:v>
      </x:c>
      <x:c r="Q4204" s="9" t="n">
        <x:f>O4204-P4204</x:f>
        <x:v>0</x:v>
      </x:c>
      <x:c r="R4204" s="11" t="n">
        <x:f>IF(D4204="Completed",I4204,0)</x:f>
        <x:v>3</x:v>
      </x:c>
      <x:c r="S4204" s="11" t="n">
        <x:f>IF(D4204="Completed",L4204,0)</x:f>
        <x:v>3</x:v>
      </x:c>
      <x:c r="T4204" s="8" t="n">
        <x:f>DATE(YEAR(C4204),MONTH(C4204),1)</x:f>
        <x:v>45778</x:v>
      </x:c>
    </x:row>
    <x:row r="4205" ht="22" customHeight="1">
      <x:c r="A4205" s="2" t="str">
        <x:v>L004201</x:v>
      </x:c>
      <x:c r="B4205" s="2" t="str">
        <x:v>O01706</x:v>
      </x:c>
      <x:c r="C4205" s="7" t="n">
        <x:v>45789</x:v>
      </x:c>
      <x:c r="D4205" s="2" t="str">
        <x:v>Completed</x:v>
      </x:c>
      <x:c r="E4205" s="2" t="str">
        <x:v>West</x:v>
      </x:c>
      <x:c r="F4205" s="2" t="str">
        <x:v>Online</x:v>
      </x:c>
      <x:c r="G4205" s="2" t="str">
        <x:v>Storage</x:v>
      </x:c>
      <x:c r="H4205" s="2" t="str">
        <x:v>Shelf 015</x:v>
      </x:c>
      <x:c r="I4205" s="11" t="n">
        <x:v>2</x:v>
      </x:c>
      <x:c r="J4205" s="9" t="n">
        <x:v>254</x:v>
      </x:c>
      <x:c r="K4205" s="10" t="n">
        <x:v>0.2</x:v>
      </x:c>
      <x:c r="L4205" s="11" t="n">
        <x:v>0</x:v>
      </x:c>
      <x:c r="M4205" s="9" t="n">
        <x:f>IF(D4205="Completed",I4205*J4205,0)</x:f>
        <x:v>508</x:v>
      </x:c>
      <x:c r="N4205" s="9" t="n">
        <x:f>M4205*K4205</x:f>
        <x:v>101.60000000000001</x:v>
      </x:c>
      <x:c r="O4205" s="9" t="n">
        <x:f>M4205-N4205</x:f>
        <x:v>406.4</x:v>
      </x:c>
      <x:c r="P4205" s="9" t="n">
        <x:f>IF(D4205="Completed",L4205*J4205*(1-K4205),0)</x:f>
        <x:v>0</x:v>
      </x:c>
      <x:c r="Q4205" s="9" t="n">
        <x:f>O4205-P4205</x:f>
        <x:v>406.4</x:v>
      </x:c>
      <x:c r="R4205" s="11" t="n">
        <x:f>IF(D4205="Completed",I4205,0)</x:f>
        <x:v>2</x:v>
      </x:c>
      <x:c r="S4205" s="11" t="n">
        <x:f>IF(D4205="Completed",L4205,0)</x:f>
        <x:v>0</x:v>
      </x:c>
      <x:c r="T4205" s="8" t="n">
        <x:f>DATE(YEAR(C4205),MONTH(C4205),1)</x:f>
        <x:v>45778</x:v>
      </x:c>
    </x:row>
    <x:row r="4206" ht="22" customHeight="1">
      <x:c r="A4206" s="2" t="str">
        <x:v>L004202</x:v>
      </x:c>
      <x:c r="B4206" s="2" t="str">
        <x:v>O01707</x:v>
      </x:c>
      <x:c r="C4206" s="7" t="n">
        <x:v>45984</x:v>
      </x:c>
      <x:c r="D4206" s="2" t="str">
        <x:v>Completed</x:v>
      </x:c>
      <x:c r="E4206" s="2" t="str">
        <x:v>North</x:v>
      </x:c>
      <x:c r="F4206" s="2" t="str">
        <x:v>Online</x:v>
      </x:c>
      <x:c r="G4206" s="2" t="str">
        <x:v>Furniture</x:v>
      </x:c>
      <x:c r="H4206" s="2" t="str">
        <x:v>Desk 004</x:v>
      </x:c>
      <x:c r="I4206" s="11" t="n">
        <x:v>2</x:v>
      </x:c>
      <x:c r="J4206" s="9" t="n">
        <x:v>123</x:v>
      </x:c>
      <x:c r="K4206" s="10" t="n">
        <x:v>0</x:v>
      </x:c>
      <x:c r="L4206" s="11" t="n">
        <x:v>0</x:v>
      </x:c>
      <x:c r="M4206" s="9" t="n">
        <x:f>IF(D4206="Completed",I4206*J4206,0)</x:f>
        <x:v>246</x:v>
      </x:c>
      <x:c r="N4206" s="9" t="n">
        <x:f>M4206*K4206</x:f>
        <x:v>0</x:v>
      </x:c>
      <x:c r="O4206" s="9" t="n">
        <x:f>M4206-N4206</x:f>
        <x:v>246</x:v>
      </x:c>
      <x:c r="P4206" s="9" t="n">
        <x:f>IF(D4206="Completed",L4206*J4206*(1-K4206),0)</x:f>
        <x:v>0</x:v>
      </x:c>
      <x:c r="Q4206" s="9" t="n">
        <x:f>O4206-P4206</x:f>
        <x:v>246</x:v>
      </x:c>
      <x:c r="R4206" s="11" t="n">
        <x:f>IF(D4206="Completed",I4206,0)</x:f>
        <x:v>2</x:v>
      </x:c>
      <x:c r="S4206" s="11" t="n">
        <x:f>IF(D4206="Completed",L4206,0)</x:f>
        <x:v>0</x:v>
      </x:c>
      <x:c r="T4206" s="8" t="n">
        <x:f>DATE(YEAR(C4206),MONTH(C4206),1)</x:f>
        <x:v>45962</x:v>
      </x:c>
    </x:row>
    <x:row r="4207" ht="22" customHeight="1">
      <x:c r="A4207" s="2" t="str">
        <x:v>L004203</x:v>
      </x:c>
      <x:c r="B4207" s="2" t="str">
        <x:v>O01707</x:v>
      </x:c>
      <x:c r="C4207" s="7" t="n">
        <x:v>45984</x:v>
      </x:c>
      <x:c r="D4207" s="2" t="str">
        <x:v>Completed</x:v>
      </x:c>
      <x:c r="E4207" s="2" t="str">
        <x:v>North</x:v>
      </x:c>
      <x:c r="F4207" s="2" t="str">
        <x:v>Online</x:v>
      </x:c>
      <x:c r="G4207" s="2" t="str">
        <x:v>Furniture</x:v>
      </x:c>
      <x:c r="H4207" s="2" t="str">
        <x:v>Desk 004</x:v>
      </x:c>
      <x:c r="I4207" s="11" t="n">
        <x:v>5</x:v>
      </x:c>
      <x:c r="J4207" s="9" t="n">
        <x:v>123</x:v>
      </x:c>
      <x:c r="K4207" s="10" t="n">
        <x:v>0.2</x:v>
      </x:c>
      <x:c r="L4207" s="11" t="n">
        <x:v>0</x:v>
      </x:c>
      <x:c r="M4207" s="9" t="n">
        <x:f>IF(D4207="Completed",I4207*J4207,0)</x:f>
        <x:v>615</x:v>
      </x:c>
      <x:c r="N4207" s="9" t="n">
        <x:f>M4207*K4207</x:f>
        <x:v>123</x:v>
      </x:c>
      <x:c r="O4207" s="9" t="n">
        <x:f>M4207-N4207</x:f>
        <x:v>492</x:v>
      </x:c>
      <x:c r="P4207" s="9" t="n">
        <x:f>IF(D4207="Completed",L4207*J4207*(1-K4207),0)</x:f>
        <x:v>0</x:v>
      </x:c>
      <x:c r="Q4207" s="9" t="n">
        <x:f>O4207-P4207</x:f>
        <x:v>492</x:v>
      </x:c>
      <x:c r="R4207" s="11" t="n">
        <x:f>IF(D4207="Completed",I4207,0)</x:f>
        <x:v>5</x:v>
      </x:c>
      <x:c r="S4207" s="11" t="n">
        <x:f>IF(D4207="Completed",L4207,0)</x:f>
        <x:v>0</x:v>
      </x:c>
      <x:c r="T4207" s="8" t="n">
        <x:f>DATE(YEAR(C4207),MONTH(C4207),1)</x:f>
        <x:v>45962</x:v>
      </x:c>
    </x:row>
    <x:row r="4208" ht="22" customHeight="1">
      <x:c r="A4208" s="2" t="str">
        <x:v>L004204</x:v>
      </x:c>
      <x:c r="B4208" s="2" t="str">
        <x:v>O01707</x:v>
      </x:c>
      <x:c r="C4208" s="7" t="n">
        <x:v>45984</x:v>
      </x:c>
      <x:c r="D4208" s="2" t="str">
        <x:v>Completed</x:v>
      </x:c>
      <x:c r="E4208" s="2" t="str">
        <x:v>North</x:v>
      </x:c>
      <x:c r="F4208" s="2" t="str">
        <x:v>Online</x:v>
      </x:c>
      <x:c r="G4208" s="2" t="str">
        <x:v>Furniture</x:v>
      </x:c>
      <x:c r="H4208" s="2" t="str">
        <x:v>Chair 014</x:v>
      </x:c>
      <x:c r="I4208" s="11" t="n">
        <x:v>4</x:v>
      </x:c>
      <x:c r="J4208" s="9" t="n">
        <x:v>294</x:v>
      </x:c>
      <x:c r="K4208" s="10" t="n">
        <x:v>0.2</x:v>
      </x:c>
      <x:c r="L4208" s="11" t="n">
        <x:v>0</x:v>
      </x:c>
      <x:c r="M4208" s="9" t="n">
        <x:f>IF(D4208="Completed",I4208*J4208,0)</x:f>
        <x:v>1176</x:v>
      </x:c>
      <x:c r="N4208" s="9" t="n">
        <x:f>M4208*K4208</x:f>
        <x:v>235.20000000000002</x:v>
      </x:c>
      <x:c r="O4208" s="9" t="n">
        <x:f>M4208-N4208</x:f>
        <x:v>940.8</x:v>
      </x:c>
      <x:c r="P4208" s="9" t="n">
        <x:f>IF(D4208="Completed",L4208*J4208*(1-K4208),0)</x:f>
        <x:v>0</x:v>
      </x:c>
      <x:c r="Q4208" s="9" t="n">
        <x:f>O4208-P4208</x:f>
        <x:v>940.8</x:v>
      </x:c>
      <x:c r="R4208" s="11" t="n">
        <x:f>IF(D4208="Completed",I4208,0)</x:f>
        <x:v>4</x:v>
      </x:c>
      <x:c r="S4208" s="11" t="n">
        <x:f>IF(D4208="Completed",L4208,0)</x:f>
        <x:v>0</x:v>
      </x:c>
      <x:c r="T4208" s="8" t="n">
        <x:f>DATE(YEAR(C4208),MONTH(C4208),1)</x:f>
        <x:v>45962</x:v>
      </x:c>
    </x:row>
    <x:row r="4209" ht="22" customHeight="1">
      <x:c r="A4209" s="2" t="str">
        <x:v>L004205</x:v>
      </x:c>
      <x:c r="B4209" s="2" t="str">
        <x:v>O01708</x:v>
      </x:c>
      <x:c r="C4209" s="7" t="n">
        <x:v>45658</x:v>
      </x:c>
      <x:c r="D4209" s="2" t="str">
        <x:v>Completed</x:v>
      </x:c>
      <x:c r="E4209" s="2" t="str">
        <x:v>West</x:v>
      </x:c>
      <x:c r="F4209" s="2" t="str">
        <x:v>Online</x:v>
      </x:c>
      <x:c r="G4209" s="2" t="str">
        <x:v>Storage</x:v>
      </x:c>
      <x:c r="H4209" s="2" t="str">
        <x:v>Shelf 019</x:v>
      </x:c>
      <x:c r="I4209" s="11" t="n">
        <x:v>3</x:v>
      </x:c>
      <x:c r="J4209" s="9" t="n">
        <x:v>78</x:v>
      </x:c>
      <x:c r="K4209" s="10" t="n">
        <x:v>0.2</x:v>
      </x:c>
      <x:c r="L4209" s="11" t="n">
        <x:v>0</x:v>
      </x:c>
      <x:c r="M4209" s="9" t="n">
        <x:f>IF(D4209="Completed",I4209*J4209,0)</x:f>
        <x:v>234</x:v>
      </x:c>
      <x:c r="N4209" s="9" t="n">
        <x:f>M4209*K4209</x:f>
        <x:v>46.800000000000004</x:v>
      </x:c>
      <x:c r="O4209" s="9" t="n">
        <x:f>M4209-N4209</x:f>
        <x:v>187.2</x:v>
      </x:c>
      <x:c r="P4209" s="9" t="n">
        <x:f>IF(D4209="Completed",L4209*J4209*(1-K4209),0)</x:f>
        <x:v>0</x:v>
      </x:c>
      <x:c r="Q4209" s="9" t="n">
        <x:f>O4209-P4209</x:f>
        <x:v>187.2</x:v>
      </x:c>
      <x:c r="R4209" s="11" t="n">
        <x:f>IF(D4209="Completed",I4209,0)</x:f>
        <x:v>3</x:v>
      </x:c>
      <x:c r="S4209" s="11" t="n">
        <x:f>IF(D4209="Completed",L4209,0)</x:f>
        <x:v>0</x:v>
      </x:c>
      <x:c r="T4209" s="8" t="n">
        <x:f>DATE(YEAR(C4209),MONTH(C4209),1)</x:f>
        <x:v>45658</x:v>
      </x:c>
    </x:row>
    <x:row r="4210" ht="22" customHeight="1">
      <x:c r="A4210" s="2" t="str">
        <x:v>L004206</x:v>
      </x:c>
      <x:c r="B4210" s="2" t="str">
        <x:v>O01708</x:v>
      </x:c>
      <x:c r="C4210" s="7" t="n">
        <x:v>45658</x:v>
      </x:c>
      <x:c r="D4210" s="2" t="str">
        <x:v>Completed</x:v>
      </x:c>
      <x:c r="E4210" s="2" t="str">
        <x:v>West</x:v>
      </x:c>
      <x:c r="F4210" s="2" t="str">
        <x:v>Online</x:v>
      </x:c>
      <x:c r="G4210" s="2" t="str">
        <x:v>Furniture</x:v>
      </x:c>
      <x:c r="H4210" s="2" t="str">
        <x:v>Chair 006</x:v>
      </x:c>
      <x:c r="I4210" s="11" t="n">
        <x:v>1</x:v>
      </x:c>
      <x:c r="J4210" s="9" t="n">
        <x:v>196</x:v>
      </x:c>
      <x:c r="K4210" s="10" t="n">
        <x:v>0.2</x:v>
      </x:c>
      <x:c r="L4210" s="11" t="n">
        <x:v>0</x:v>
      </x:c>
      <x:c r="M4210" s="9" t="n">
        <x:f>IF(D4210="Completed",I4210*J4210,0)</x:f>
        <x:v>196</x:v>
      </x:c>
      <x:c r="N4210" s="9" t="n">
        <x:f>M4210*K4210</x:f>
        <x:v>39.2</x:v>
      </x:c>
      <x:c r="O4210" s="9" t="n">
        <x:f>M4210-N4210</x:f>
        <x:v>156.8</x:v>
      </x:c>
      <x:c r="P4210" s="9" t="n">
        <x:f>IF(D4210="Completed",L4210*J4210*(1-K4210),0)</x:f>
        <x:v>0</x:v>
      </x:c>
      <x:c r="Q4210" s="9" t="n">
        <x:f>O4210-P4210</x:f>
        <x:v>156.8</x:v>
      </x:c>
      <x:c r="R4210" s="11" t="n">
        <x:f>IF(D4210="Completed",I4210,0)</x:f>
        <x:v>1</x:v>
      </x:c>
      <x:c r="S4210" s="11" t="n">
        <x:f>IF(D4210="Completed",L4210,0)</x:f>
        <x:v>0</x:v>
      </x:c>
      <x:c r="T4210" s="8" t="n">
        <x:f>DATE(YEAR(C4210),MONTH(C4210),1)</x:f>
        <x:v>45658</x:v>
      </x:c>
    </x:row>
    <x:row r="4211" ht="22" customHeight="1">
      <x:c r="A4211" s="2" t="str">
        <x:v>L004207</x:v>
      </x:c>
      <x:c r="B4211" s="2" t="str">
        <x:v>O01708</x:v>
      </x:c>
      <x:c r="C4211" s="7" t="n">
        <x:v>45658</x:v>
      </x:c>
      <x:c r="D4211" s="2" t="str">
        <x:v>Completed</x:v>
      </x:c>
      <x:c r="E4211" s="2" t="str">
        <x:v>West</x:v>
      </x:c>
      <x:c r="F4211" s="2" t="str">
        <x:v>Online</x:v>
      </x:c>
      <x:c r="G4211" s="2" t="str">
        <x:v>Furniture</x:v>
      </x:c>
      <x:c r="H4211" s="2" t="str">
        <x:v>Desk 020</x:v>
      </x:c>
      <x:c r="I4211" s="11" t="n">
        <x:v>4</x:v>
      </x:c>
      <x:c r="J4211" s="9" t="n">
        <x:v>189</x:v>
      </x:c>
      <x:c r="K4211" s="10" t="n">
        <x:v>0.1</x:v>
      </x:c>
      <x:c r="L4211" s="11" t="n">
        <x:v>0</x:v>
      </x:c>
      <x:c r="M4211" s="9" t="n">
        <x:f>IF(D4211="Completed",I4211*J4211,0)</x:f>
        <x:v>756</x:v>
      </x:c>
      <x:c r="N4211" s="9" t="n">
        <x:f>M4211*K4211</x:f>
        <x:v>75.60000000000001</x:v>
      </x:c>
      <x:c r="O4211" s="9" t="n">
        <x:f>M4211-N4211</x:f>
        <x:v>680.4</x:v>
      </x:c>
      <x:c r="P4211" s="9" t="n">
        <x:f>IF(D4211="Completed",L4211*J4211*(1-K4211),0)</x:f>
        <x:v>0</x:v>
      </x:c>
      <x:c r="Q4211" s="9" t="n">
        <x:f>O4211-P4211</x:f>
        <x:v>680.4</x:v>
      </x:c>
      <x:c r="R4211" s="11" t="n">
        <x:f>IF(D4211="Completed",I4211,0)</x:f>
        <x:v>4</x:v>
      </x:c>
      <x:c r="S4211" s="11" t="n">
        <x:f>IF(D4211="Completed",L4211,0)</x:f>
        <x:v>0</x:v>
      </x:c>
      <x:c r="T4211" s="8" t="n">
        <x:f>DATE(YEAR(C4211),MONTH(C4211),1)</x:f>
        <x:v>45658</x:v>
      </x:c>
    </x:row>
    <x:row r="4212" ht="22" customHeight="1">
      <x:c r="A4212" s="2" t="str">
        <x:v>L004208</x:v>
      </x:c>
      <x:c r="B4212" s="2" t="str">
        <x:v>O01709</x:v>
      </x:c>
      <x:c r="C4212" s="7" t="n">
        <x:v>45996</x:v>
      </x:c>
      <x:c r="D4212" s="2" t="str">
        <x:v>Completed</x:v>
      </x:c>
      <x:c r="E4212" s="2" t="str">
        <x:v>West</x:v>
      </x:c>
      <x:c r="F4212" s="2" t="str">
        <x:v>Store</x:v>
      </x:c>
      <x:c r="G4212" s="2" t="str">
        <x:v>Furniture</x:v>
      </x:c>
      <x:c r="H4212" s="2" t="str">
        <x:v>Desk 004</x:v>
      </x:c>
      <x:c r="I4212" s="11" t="n">
        <x:v>5</x:v>
      </x:c>
      <x:c r="J4212" s="9" t="n">
        <x:v>123</x:v>
      </x:c>
      <x:c r="K4212" s="10" t="n">
        <x:v>0.2</x:v>
      </x:c>
      <x:c r="L4212" s="11" t="n">
        <x:v>0</x:v>
      </x:c>
      <x:c r="M4212" s="9" t="n">
        <x:f>IF(D4212="Completed",I4212*J4212,0)</x:f>
        <x:v>615</x:v>
      </x:c>
      <x:c r="N4212" s="9" t="n">
        <x:f>M4212*K4212</x:f>
        <x:v>123</x:v>
      </x:c>
      <x:c r="O4212" s="9" t="n">
        <x:f>M4212-N4212</x:f>
        <x:v>492</x:v>
      </x:c>
      <x:c r="P4212" s="9" t="n">
        <x:f>IF(D4212="Completed",L4212*J4212*(1-K4212),0)</x:f>
        <x:v>0</x:v>
      </x:c>
      <x:c r="Q4212" s="9" t="n">
        <x:f>O4212-P4212</x:f>
        <x:v>492</x:v>
      </x:c>
      <x:c r="R4212" s="11" t="n">
        <x:f>IF(D4212="Completed",I4212,0)</x:f>
        <x:v>5</x:v>
      </x:c>
      <x:c r="S4212" s="11" t="n">
        <x:f>IF(D4212="Completed",L4212,0)</x:f>
        <x:v>0</x:v>
      </x:c>
      <x:c r="T4212" s="8" t="n">
        <x:f>DATE(YEAR(C4212),MONTH(C4212),1)</x:f>
        <x:v>45992</x:v>
      </x:c>
    </x:row>
    <x:row r="4213" ht="22" customHeight="1">
      <x:c r="A4213" s="2" t="str">
        <x:v>L004209</x:v>
      </x:c>
      <x:c r="B4213" s="2" t="str">
        <x:v>O01709</x:v>
      </x:c>
      <x:c r="C4213" s="7" t="n">
        <x:v>45996</x:v>
      </x:c>
      <x:c r="D4213" s="2" t="str">
        <x:v>Completed</x:v>
      </x:c>
      <x:c r="E4213" s="2" t="str">
        <x:v>West</x:v>
      </x:c>
      <x:c r="F4213" s="2" t="str">
        <x:v>Store</x:v>
      </x:c>
      <x:c r="G4213" s="2" t="str">
        <x:v>Furniture</x:v>
      </x:c>
      <x:c r="H4213" s="2" t="str">
        <x:v>Desk 020</x:v>
      </x:c>
      <x:c r="I4213" s="11" t="n">
        <x:v>5</x:v>
      </x:c>
      <x:c r="J4213" s="9" t="n">
        <x:v>189</x:v>
      </x:c>
      <x:c r="K4213" s="10" t="n">
        <x:v>0.2</x:v>
      </x:c>
      <x:c r="L4213" s="11" t="n">
        <x:v>0</x:v>
      </x:c>
      <x:c r="M4213" s="9" t="n">
        <x:f>IF(D4213="Completed",I4213*J4213,0)</x:f>
        <x:v>945</x:v>
      </x:c>
      <x:c r="N4213" s="9" t="n">
        <x:f>M4213*K4213</x:f>
        <x:v>189</x:v>
      </x:c>
      <x:c r="O4213" s="9" t="n">
        <x:f>M4213-N4213</x:f>
        <x:v>756</x:v>
      </x:c>
      <x:c r="P4213" s="9" t="n">
        <x:f>IF(D4213="Completed",L4213*J4213*(1-K4213),0)</x:f>
        <x:v>0</x:v>
      </x:c>
      <x:c r="Q4213" s="9" t="n">
        <x:f>O4213-P4213</x:f>
        <x:v>756</x:v>
      </x:c>
      <x:c r="R4213" s="11" t="n">
        <x:f>IF(D4213="Completed",I4213,0)</x:f>
        <x:v>5</x:v>
      </x:c>
      <x:c r="S4213" s="11" t="n">
        <x:f>IF(D4213="Completed",L4213,0)</x:f>
        <x:v>0</x:v>
      </x:c>
      <x:c r="T4213" s="8" t="n">
        <x:f>DATE(YEAR(C4213),MONTH(C4213),1)</x:f>
        <x:v>45992</x:v>
      </x:c>
    </x:row>
    <x:row r="4214" ht="22" customHeight="1">
      <x:c r="A4214" s="2" t="str">
        <x:v>L004210</x:v>
      </x:c>
      <x:c r="B4214" s="2" t="str">
        <x:v>O01709</x:v>
      </x:c>
      <x:c r="C4214" s="7" t="n">
        <x:v>45996</x:v>
      </x:c>
      <x:c r="D4214" s="2" t="str">
        <x:v>Completed</x:v>
      </x:c>
      <x:c r="E4214" s="2" t="str">
        <x:v>West</x:v>
      </x:c>
      <x:c r="F4214" s="2" t="str">
        <x:v>Store</x:v>
      </x:c>
      <x:c r="G4214" s="2" t="str">
        <x:v>Lighting</x:v>
      </x:c>
      <x:c r="H4214" s="2" t="str">
        <x:v>Lamp 017</x:v>
      </x:c>
      <x:c r="I4214" s="11" t="n">
        <x:v>3</x:v>
      </x:c>
      <x:c r="J4214" s="9" t="n">
        <x:v>300</x:v>
      </x:c>
      <x:c r="K4214" s="10" t="n">
        <x:v>0.1</x:v>
      </x:c>
      <x:c r="L4214" s="11" t="n">
        <x:v>0</x:v>
      </x:c>
      <x:c r="M4214" s="9" t="n">
        <x:f>IF(D4214="Completed",I4214*J4214,0)</x:f>
        <x:v>900</x:v>
      </x:c>
      <x:c r="N4214" s="9" t="n">
        <x:f>M4214*K4214</x:f>
        <x:v>90</x:v>
      </x:c>
      <x:c r="O4214" s="9" t="n">
        <x:f>M4214-N4214</x:f>
        <x:v>810</x:v>
      </x:c>
      <x:c r="P4214" s="9" t="n">
        <x:f>IF(D4214="Completed",L4214*J4214*(1-K4214),0)</x:f>
        <x:v>0</x:v>
      </x:c>
      <x:c r="Q4214" s="9" t="n">
        <x:f>O4214-P4214</x:f>
        <x:v>810</x:v>
      </x:c>
      <x:c r="R4214" s="11" t="n">
        <x:f>IF(D4214="Completed",I4214,0)</x:f>
        <x:v>3</x:v>
      </x:c>
      <x:c r="S4214" s="11" t="n">
        <x:f>IF(D4214="Completed",L4214,0)</x:f>
        <x:v>0</x:v>
      </x:c>
      <x:c r="T4214" s="8" t="n">
        <x:f>DATE(YEAR(C4214),MONTH(C4214),1)</x:f>
        <x:v>45992</x:v>
      </x:c>
    </x:row>
    <x:row r="4215" ht="22" customHeight="1">
      <x:c r="A4215" s="2" t="str">
        <x:v>L004211</x:v>
      </x:c>
      <x:c r="B4215" s="2" t="str">
        <x:v>O01710</x:v>
      </x:c>
      <x:c r="C4215" s="7" t="n">
        <x:v>45988</x:v>
      </x:c>
      <x:c r="D4215" s="2" t="str">
        <x:v>Completed</x:v>
      </x:c>
      <x:c r="E4215" s="2" t="str">
        <x:v>North</x:v>
      </x:c>
      <x:c r="F4215" s="2" t="str">
        <x:v>Online</x:v>
      </x:c>
      <x:c r="G4215" s="2" t="str">
        <x:v>Furniture</x:v>
      </x:c>
      <x:c r="H4215" s="2" t="str">
        <x:v>Chair 018</x:v>
      </x:c>
      <x:c r="I4215" s="11" t="n">
        <x:v>2</x:v>
      </x:c>
      <x:c r="J4215" s="9" t="n">
        <x:v>269</x:v>
      </x:c>
      <x:c r="K4215" s="10" t="n">
        <x:v>0.1</x:v>
      </x:c>
      <x:c r="L4215" s="11" t="n">
        <x:v>0</x:v>
      </x:c>
      <x:c r="M4215" s="9" t="n">
        <x:f>IF(D4215="Completed",I4215*J4215,0)</x:f>
        <x:v>538</x:v>
      </x:c>
      <x:c r="N4215" s="9" t="n">
        <x:f>M4215*K4215</x:f>
        <x:v>53.800000000000004</x:v>
      </x:c>
      <x:c r="O4215" s="9" t="n">
        <x:f>M4215-N4215</x:f>
        <x:v>484.2</x:v>
      </x:c>
      <x:c r="P4215" s="9" t="n">
        <x:f>IF(D4215="Completed",L4215*J4215*(1-K4215),0)</x:f>
        <x:v>0</x:v>
      </x:c>
      <x:c r="Q4215" s="9" t="n">
        <x:f>O4215-P4215</x:f>
        <x:v>484.2</x:v>
      </x:c>
      <x:c r="R4215" s="11" t="n">
        <x:f>IF(D4215="Completed",I4215,0)</x:f>
        <x:v>2</x:v>
      </x:c>
      <x:c r="S4215" s="11" t="n">
        <x:f>IF(D4215="Completed",L4215,0)</x:f>
        <x:v>0</x:v>
      </x:c>
      <x:c r="T4215" s="8" t="n">
        <x:f>DATE(YEAR(C4215),MONTH(C4215),1)</x:f>
        <x:v>45962</x:v>
      </x:c>
    </x:row>
    <x:row r="4216" ht="22" customHeight="1">
      <x:c r="A4216" s="2" t="str">
        <x:v>L004212</x:v>
      </x:c>
      <x:c r="B4216" s="2" t="str">
        <x:v>O01710</x:v>
      </x:c>
      <x:c r="C4216" s="7" t="n">
        <x:v>45988</x:v>
      </x:c>
      <x:c r="D4216" s="2" t="str">
        <x:v>Completed</x:v>
      </x:c>
      <x:c r="E4216" s="2" t="str">
        <x:v>North</x:v>
      </x:c>
      <x:c r="F4216" s="2" t="str">
        <x:v>Online</x:v>
      </x:c>
      <x:c r="G4216" s="2" t="str">
        <x:v>Furniture</x:v>
      </x:c>
      <x:c r="H4216" s="2" t="str">
        <x:v>Desk 016</x:v>
      </x:c>
      <x:c r="I4216" s="11" t="n">
        <x:v>2</x:v>
      </x:c>
      <x:c r="J4216" s="9" t="n">
        <x:v>231</x:v>
      </x:c>
      <x:c r="K4216" s="10" t="n">
        <x:v>0</x:v>
      </x:c>
      <x:c r="L4216" s="11" t="n">
        <x:v>0</x:v>
      </x:c>
      <x:c r="M4216" s="9" t="n">
        <x:f>IF(D4216="Completed",I4216*J4216,0)</x:f>
        <x:v>462</x:v>
      </x:c>
      <x:c r="N4216" s="9" t="n">
        <x:f>M4216*K4216</x:f>
        <x:v>0</x:v>
      </x:c>
      <x:c r="O4216" s="9" t="n">
        <x:f>M4216-N4216</x:f>
        <x:v>462</x:v>
      </x:c>
      <x:c r="P4216" s="9" t="n">
        <x:f>IF(D4216="Completed",L4216*J4216*(1-K4216),0)</x:f>
        <x:v>0</x:v>
      </x:c>
      <x:c r="Q4216" s="9" t="n">
        <x:f>O4216-P4216</x:f>
        <x:v>462</x:v>
      </x:c>
      <x:c r="R4216" s="11" t="n">
        <x:f>IF(D4216="Completed",I4216,0)</x:f>
        <x:v>2</x:v>
      </x:c>
      <x:c r="S4216" s="11" t="n">
        <x:f>IF(D4216="Completed",L4216,0)</x:f>
        <x:v>0</x:v>
      </x:c>
      <x:c r="T4216" s="8" t="n">
        <x:f>DATE(YEAR(C4216),MONTH(C4216),1)</x:f>
        <x:v>45962</x:v>
      </x:c>
    </x:row>
    <x:row r="4217" ht="22" customHeight="1">
      <x:c r="A4217" s="2" t="str">
        <x:v>L004213</x:v>
      </x:c>
      <x:c r="B4217" s="2" t="str">
        <x:v>O01710</x:v>
      </x:c>
      <x:c r="C4217" s="7" t="n">
        <x:v>45988</x:v>
      </x:c>
      <x:c r="D4217" s="2" t="str">
        <x:v>Completed</x:v>
      </x:c>
      <x:c r="E4217" s="2" t="str">
        <x:v>North</x:v>
      </x:c>
      <x:c r="F4217" s="2" t="str">
        <x:v>Online</x:v>
      </x:c>
      <x:c r="G4217" s="2" t="str">
        <x:v>Furniture</x:v>
      </x:c>
      <x:c r="H4217" s="2" t="str">
        <x:v>Chair 010</x:v>
      </x:c>
      <x:c r="I4217" s="11" t="n">
        <x:v>4</x:v>
      </x:c>
      <x:c r="J4217" s="9" t="n">
        <x:v>211</x:v>
      </x:c>
      <x:c r="K4217" s="10" t="n">
        <x:v>0</x:v>
      </x:c>
      <x:c r="L4217" s="11" t="n">
        <x:v>0</x:v>
      </x:c>
      <x:c r="M4217" s="9" t="n">
        <x:f>IF(D4217="Completed",I4217*J4217,0)</x:f>
        <x:v>844</x:v>
      </x:c>
      <x:c r="N4217" s="9" t="n">
        <x:f>M4217*K4217</x:f>
        <x:v>0</x:v>
      </x:c>
      <x:c r="O4217" s="9" t="n">
        <x:f>M4217-N4217</x:f>
        <x:v>844</x:v>
      </x:c>
      <x:c r="P4217" s="9" t="n">
        <x:f>IF(D4217="Completed",L4217*J4217*(1-K4217),0)</x:f>
        <x:v>0</x:v>
      </x:c>
      <x:c r="Q4217" s="9" t="n">
        <x:f>O4217-P4217</x:f>
        <x:v>844</x:v>
      </x:c>
      <x:c r="R4217" s="11" t="n">
        <x:f>IF(D4217="Completed",I4217,0)</x:f>
        <x:v>4</x:v>
      </x:c>
      <x:c r="S4217" s="11" t="n">
        <x:f>IF(D4217="Completed",L4217,0)</x:f>
        <x:v>0</x:v>
      </x:c>
      <x:c r="T4217" s="8" t="n">
        <x:f>DATE(YEAR(C4217),MONTH(C4217),1)</x:f>
        <x:v>45962</x:v>
      </x:c>
    </x:row>
    <x:row r="4218" ht="22" customHeight="1">
      <x:c r="A4218" s="2" t="str">
        <x:v>L004214</x:v>
      </x:c>
      <x:c r="B4218" s="2" t="str">
        <x:v>O01711</x:v>
      </x:c>
      <x:c r="C4218" s="7" t="n">
        <x:v>45810</x:v>
      </x:c>
      <x:c r="D4218" s="2" t="str">
        <x:v>Completed</x:v>
      </x:c>
      <x:c r="E4218" s="2" t="str">
        <x:v>East</x:v>
      </x:c>
      <x:c r="F4218" s="2" t="str">
        <x:v>Online</x:v>
      </x:c>
      <x:c r="G4218" s="2" t="str">
        <x:v>Furniture</x:v>
      </x:c>
      <x:c r="H4218" s="2" t="str">
        <x:v>Desk 004</x:v>
      </x:c>
      <x:c r="I4218" s="11" t="n">
        <x:v>2</x:v>
      </x:c>
      <x:c r="J4218" s="9" t="n">
        <x:v>123</x:v>
      </x:c>
      <x:c r="K4218" s="10" t="n">
        <x:v>0.05</x:v>
      </x:c>
      <x:c r="L4218" s="11" t="n">
        <x:v>0</x:v>
      </x:c>
      <x:c r="M4218" s="9" t="n">
        <x:f>IF(D4218="Completed",I4218*J4218,0)</x:f>
        <x:v>246</x:v>
      </x:c>
      <x:c r="N4218" s="9" t="n">
        <x:f>M4218*K4218</x:f>
        <x:v>12.3</x:v>
      </x:c>
      <x:c r="O4218" s="9" t="n">
        <x:f>M4218-N4218</x:f>
        <x:v>233.7</x:v>
      </x:c>
      <x:c r="P4218" s="9" t="n">
        <x:f>IF(D4218="Completed",L4218*J4218*(1-K4218),0)</x:f>
        <x:v>0</x:v>
      </x:c>
      <x:c r="Q4218" s="9" t="n">
        <x:f>O4218-P4218</x:f>
        <x:v>233.7</x:v>
      </x:c>
      <x:c r="R4218" s="11" t="n">
        <x:f>IF(D4218="Completed",I4218,0)</x:f>
        <x:v>2</x:v>
      </x:c>
      <x:c r="S4218" s="11" t="n">
        <x:f>IF(D4218="Completed",L4218,0)</x:f>
        <x:v>0</x:v>
      </x:c>
      <x:c r="T4218" s="8" t="n">
        <x:f>DATE(YEAR(C4218),MONTH(C4218),1)</x:f>
        <x:v>45809</x:v>
      </x:c>
    </x:row>
    <x:row r="4219" ht="22" customHeight="1">
      <x:c r="A4219" s="2" t="str">
        <x:v>L004215</x:v>
      </x:c>
      <x:c r="B4219" s="2" t="str">
        <x:v>O01711</x:v>
      </x:c>
      <x:c r="C4219" s="7" t="n">
        <x:v>45810</x:v>
      </x:c>
      <x:c r="D4219" s="2" t="str">
        <x:v>Completed</x:v>
      </x:c>
      <x:c r="E4219" s="2" t="str">
        <x:v>East</x:v>
      </x:c>
      <x:c r="F4219" s="2" t="str">
        <x:v>Online</x:v>
      </x:c>
      <x:c r="G4219" s="2" t="str">
        <x:v>Furniture</x:v>
      </x:c>
      <x:c r="H4219" s="2" t="str">
        <x:v>Chair 018</x:v>
      </x:c>
      <x:c r="I4219" s="11" t="n">
        <x:v>1</x:v>
      </x:c>
      <x:c r="J4219" s="9" t="n">
        <x:v>269</x:v>
      </x:c>
      <x:c r="K4219" s="10" t="n">
        <x:v>0.2</x:v>
      </x:c>
      <x:c r="L4219" s="11" t="n">
        <x:v>0</x:v>
      </x:c>
      <x:c r="M4219" s="9" t="n">
        <x:f>IF(D4219="Completed",I4219*J4219,0)</x:f>
        <x:v>269</x:v>
      </x:c>
      <x:c r="N4219" s="9" t="n">
        <x:f>M4219*K4219</x:f>
        <x:v>53.800000000000004</x:v>
      </x:c>
      <x:c r="O4219" s="9" t="n">
        <x:f>M4219-N4219</x:f>
        <x:v>215.2</x:v>
      </x:c>
      <x:c r="P4219" s="9" t="n">
        <x:f>IF(D4219="Completed",L4219*J4219*(1-K4219),0)</x:f>
        <x:v>0</x:v>
      </x:c>
      <x:c r="Q4219" s="9" t="n">
        <x:f>O4219-P4219</x:f>
        <x:v>215.2</x:v>
      </x:c>
      <x:c r="R4219" s="11" t="n">
        <x:f>IF(D4219="Completed",I4219,0)</x:f>
        <x:v>1</x:v>
      </x:c>
      <x:c r="S4219" s="11" t="n">
        <x:f>IF(D4219="Completed",L4219,0)</x:f>
        <x:v>0</x:v>
      </x:c>
      <x:c r="T4219" s="8" t="n">
        <x:f>DATE(YEAR(C4219),MONTH(C4219),1)</x:f>
        <x:v>45809</x:v>
      </x:c>
    </x:row>
    <x:row r="4220" ht="22" customHeight="1">
      <x:c r="A4220" s="2" t="str">
        <x:v>L004216</x:v>
      </x:c>
      <x:c r="B4220" s="2" t="str">
        <x:v>O01712</x:v>
      </x:c>
      <x:c r="C4220" s="7" t="n">
        <x:v>45718</x:v>
      </x:c>
      <x:c r="D4220" s="2" t="str">
        <x:v>Completed</x:v>
      </x:c>
      <x:c r="E4220" s="2" t="str">
        <x:v>West</x:v>
      </x:c>
      <x:c r="F4220" s="2" t="str">
        <x:v>Store</x:v>
      </x:c>
      <x:c r="G4220" s="2" t="str">
        <x:v>Furniture</x:v>
      </x:c>
      <x:c r="H4220" s="2" t="str">
        <x:v>Chair 014</x:v>
      </x:c>
      <x:c r="I4220" s="11" t="n">
        <x:v>2</x:v>
      </x:c>
      <x:c r="J4220" s="9" t="n">
        <x:v>294</x:v>
      </x:c>
      <x:c r="K4220" s="10" t="n">
        <x:v>0.2</x:v>
      </x:c>
      <x:c r="L4220" s="11" t="n">
        <x:v>0</x:v>
      </x:c>
      <x:c r="M4220" s="9" t="n">
        <x:f>IF(D4220="Completed",I4220*J4220,0)</x:f>
        <x:v>588</x:v>
      </x:c>
      <x:c r="N4220" s="9" t="n">
        <x:f>M4220*K4220</x:f>
        <x:v>117.60000000000001</x:v>
      </x:c>
      <x:c r="O4220" s="9" t="n">
        <x:f>M4220-N4220</x:f>
        <x:v>470.4</x:v>
      </x:c>
      <x:c r="P4220" s="9" t="n">
        <x:f>IF(D4220="Completed",L4220*J4220*(1-K4220),0)</x:f>
        <x:v>0</x:v>
      </x:c>
      <x:c r="Q4220" s="9" t="n">
        <x:f>O4220-P4220</x:f>
        <x:v>470.4</x:v>
      </x:c>
      <x:c r="R4220" s="11" t="n">
        <x:f>IF(D4220="Completed",I4220,0)</x:f>
        <x:v>2</x:v>
      </x:c>
      <x:c r="S4220" s="11" t="n">
        <x:f>IF(D4220="Completed",L4220,0)</x:f>
        <x:v>0</x:v>
      </x:c>
      <x:c r="T4220" s="8" t="n">
        <x:f>DATE(YEAR(C4220),MONTH(C4220),1)</x:f>
        <x:v>45717</x:v>
      </x:c>
    </x:row>
    <x:row r="4221" ht="22" customHeight="1">
      <x:c r="A4221" s="2" t="str">
        <x:v>L004217</x:v>
      </x:c>
      <x:c r="B4221" s="2" t="str">
        <x:v>O01713</x:v>
      </x:c>
      <x:c r="C4221" s="7" t="n">
        <x:v>45692</x:v>
      </x:c>
      <x:c r="D4221" s="2" t="str">
        <x:v>Completed</x:v>
      </x:c>
      <x:c r="E4221" s="2" t="str">
        <x:v>North</x:v>
      </x:c>
      <x:c r="F4221" s="2" t="str">
        <x:v>Store</x:v>
      </x:c>
      <x:c r="G4221" s="2" t="str">
        <x:v>Furniture</x:v>
      </x:c>
      <x:c r="H4221" s="2" t="str">
        <x:v>Desk 024</x:v>
      </x:c>
      <x:c r="I4221" s="11" t="n">
        <x:v>3</x:v>
      </x:c>
      <x:c r="J4221" s="9" t="n">
        <x:v>81</x:v>
      </x:c>
      <x:c r="K4221" s="10" t="n">
        <x:v>0.05</x:v>
      </x:c>
      <x:c r="L4221" s="11" t="n">
        <x:v>0</x:v>
      </x:c>
      <x:c r="M4221" s="9" t="n">
        <x:f>IF(D4221="Completed",I4221*J4221,0)</x:f>
        <x:v>243</x:v>
      </x:c>
      <x:c r="N4221" s="9" t="n">
        <x:f>M4221*K4221</x:f>
        <x:v>12.15</x:v>
      </x:c>
      <x:c r="O4221" s="9" t="n">
        <x:f>M4221-N4221</x:f>
        <x:v>230.85</x:v>
      </x:c>
      <x:c r="P4221" s="9" t="n">
        <x:f>IF(D4221="Completed",L4221*J4221*(1-K4221),0)</x:f>
        <x:v>0</x:v>
      </x:c>
      <x:c r="Q4221" s="9" t="n">
        <x:f>O4221-P4221</x:f>
        <x:v>230.85</x:v>
      </x:c>
      <x:c r="R4221" s="11" t="n">
        <x:f>IF(D4221="Completed",I4221,0)</x:f>
        <x:v>3</x:v>
      </x:c>
      <x:c r="S4221" s="11" t="n">
        <x:f>IF(D4221="Completed",L4221,0)</x:f>
        <x:v>0</x:v>
      </x:c>
      <x:c r="T4221" s="8" t="n">
        <x:f>DATE(YEAR(C4221),MONTH(C4221),1)</x:f>
        <x:v>45689</x:v>
      </x:c>
    </x:row>
    <x:row r="4222" ht="22" customHeight="1">
      <x:c r="A4222" s="2" t="str">
        <x:v>L004218</x:v>
      </x:c>
      <x:c r="B4222" s="2" t="str">
        <x:v>O01714</x:v>
      </x:c>
      <x:c r="C4222" s="7" t="n">
        <x:v>45912</x:v>
      </x:c>
      <x:c r="D4222" s="2" t="str">
        <x:v>Completed</x:v>
      </x:c>
      <x:c r="E4222" s="2" t="str">
        <x:v>East</x:v>
      </x:c>
      <x:c r="F4222" s="2" t="str">
        <x:v>Online</x:v>
      </x:c>
      <x:c r="G4222" s="2" t="str">
        <x:v>Furniture</x:v>
      </x:c>
      <x:c r="H4222" s="2" t="str">
        <x:v>Desk 008</x:v>
      </x:c>
      <x:c r="I4222" s="11" t="n">
        <x:v>5</x:v>
      </x:c>
      <x:c r="J4222" s="9" t="n">
        <x:v>188</x:v>
      </x:c>
      <x:c r="K4222" s="10" t="n">
        <x:v>0.05</x:v>
      </x:c>
      <x:c r="L4222" s="11" t="n">
        <x:v>0</x:v>
      </x:c>
      <x:c r="M4222" s="9" t="n">
        <x:f>IF(D4222="Completed",I4222*J4222,0)</x:f>
        <x:v>940</x:v>
      </x:c>
      <x:c r="N4222" s="9" t="n">
        <x:f>M4222*K4222</x:f>
        <x:v>47</x:v>
      </x:c>
      <x:c r="O4222" s="9" t="n">
        <x:f>M4222-N4222</x:f>
        <x:v>893</x:v>
      </x:c>
      <x:c r="P4222" s="9" t="n">
        <x:f>IF(D4222="Completed",L4222*J4222*(1-K4222),0)</x:f>
        <x:v>0</x:v>
      </x:c>
      <x:c r="Q4222" s="9" t="n">
        <x:f>O4222-P4222</x:f>
        <x:v>893</x:v>
      </x:c>
      <x:c r="R4222" s="11" t="n">
        <x:f>IF(D4222="Completed",I4222,0)</x:f>
        <x:v>5</x:v>
      </x:c>
      <x:c r="S4222" s="11" t="n">
        <x:f>IF(D4222="Completed",L4222,0)</x:f>
        <x:v>0</x:v>
      </x:c>
      <x:c r="T4222" s="8" t="n">
        <x:f>DATE(YEAR(C4222),MONTH(C4222),1)</x:f>
        <x:v>45901</x:v>
      </x:c>
    </x:row>
    <x:row r="4223" ht="22" customHeight="1">
      <x:c r="A4223" s="2" t="str">
        <x:v>L004219</x:v>
      </x:c>
      <x:c r="B4223" s="2" t="str">
        <x:v>O01714</x:v>
      </x:c>
      <x:c r="C4223" s="7" t="n">
        <x:v>45912</x:v>
      </x:c>
      <x:c r="D4223" s="2" t="str">
        <x:v>Completed</x:v>
      </x:c>
      <x:c r="E4223" s="2" t="str">
        <x:v>East</x:v>
      </x:c>
      <x:c r="F4223" s="2" t="str">
        <x:v>Online</x:v>
      </x:c>
      <x:c r="G4223" s="2" t="str">
        <x:v>Furniture</x:v>
      </x:c>
      <x:c r="H4223" s="2" t="str">
        <x:v>Desk 004</x:v>
      </x:c>
      <x:c r="I4223" s="11" t="n">
        <x:v>5</x:v>
      </x:c>
      <x:c r="J4223" s="9" t="n">
        <x:v>123</x:v>
      </x:c>
      <x:c r="K4223" s="10" t="n">
        <x:v>0</x:v>
      </x:c>
      <x:c r="L4223" s="11" t="n">
        <x:v>0</x:v>
      </x:c>
      <x:c r="M4223" s="9" t="n">
        <x:f>IF(D4223="Completed",I4223*J4223,0)</x:f>
        <x:v>615</x:v>
      </x:c>
      <x:c r="N4223" s="9" t="n">
        <x:f>M4223*K4223</x:f>
        <x:v>0</x:v>
      </x:c>
      <x:c r="O4223" s="9" t="n">
        <x:f>M4223-N4223</x:f>
        <x:v>615</x:v>
      </x:c>
      <x:c r="P4223" s="9" t="n">
        <x:f>IF(D4223="Completed",L4223*J4223*(1-K4223),0)</x:f>
        <x:v>0</x:v>
      </x:c>
      <x:c r="Q4223" s="9" t="n">
        <x:f>O4223-P4223</x:f>
        <x:v>615</x:v>
      </x:c>
      <x:c r="R4223" s="11" t="n">
        <x:f>IF(D4223="Completed",I4223,0)</x:f>
        <x:v>5</x:v>
      </x:c>
      <x:c r="S4223" s="11" t="n">
        <x:f>IF(D4223="Completed",L4223,0)</x:f>
        <x:v>0</x:v>
      </x:c>
      <x:c r="T4223" s="8" t="n">
        <x:f>DATE(YEAR(C4223),MONTH(C4223),1)</x:f>
        <x:v>45901</x:v>
      </x:c>
    </x:row>
    <x:row r="4224" ht="22" customHeight="1">
      <x:c r="A4224" s="2" t="str">
        <x:v>L004220</x:v>
      </x:c>
      <x:c r="B4224" s="2" t="str">
        <x:v>O01714</x:v>
      </x:c>
      <x:c r="C4224" s="7" t="n">
        <x:v>45912</x:v>
      </x:c>
      <x:c r="D4224" s="2" t="str">
        <x:v>Completed</x:v>
      </x:c>
      <x:c r="E4224" s="2" t="str">
        <x:v>East</x:v>
      </x:c>
      <x:c r="F4224" s="2" t="str">
        <x:v>Online</x:v>
      </x:c>
      <x:c r="G4224" s="2" t="str">
        <x:v>Furniture</x:v>
      </x:c>
      <x:c r="H4224" s="2" t="str">
        <x:v>Desk 016</x:v>
      </x:c>
      <x:c r="I4224" s="11" t="n">
        <x:v>3</x:v>
      </x:c>
      <x:c r="J4224" s="9" t="n">
        <x:v>231</x:v>
      </x:c>
      <x:c r="K4224" s="10" t="n">
        <x:v>0</x:v>
      </x:c>
      <x:c r="L4224" s="11" t="n">
        <x:v>0</x:v>
      </x:c>
      <x:c r="M4224" s="9" t="n">
        <x:f>IF(D4224="Completed",I4224*J4224,0)</x:f>
        <x:v>693</x:v>
      </x:c>
      <x:c r="N4224" s="9" t="n">
        <x:f>M4224*K4224</x:f>
        <x:v>0</x:v>
      </x:c>
      <x:c r="O4224" s="9" t="n">
        <x:f>M4224-N4224</x:f>
        <x:v>693</x:v>
      </x:c>
      <x:c r="P4224" s="9" t="n">
        <x:f>IF(D4224="Completed",L4224*J4224*(1-K4224),0)</x:f>
        <x:v>0</x:v>
      </x:c>
      <x:c r="Q4224" s="9" t="n">
        <x:f>O4224-P4224</x:f>
        <x:v>693</x:v>
      </x:c>
      <x:c r="R4224" s="11" t="n">
        <x:f>IF(D4224="Completed",I4224,0)</x:f>
        <x:v>3</x:v>
      </x:c>
      <x:c r="S4224" s="11" t="n">
        <x:f>IF(D4224="Completed",L4224,0)</x:f>
        <x:v>0</x:v>
      </x:c>
      <x:c r="T4224" s="8" t="n">
        <x:f>DATE(YEAR(C4224),MONTH(C4224),1)</x:f>
        <x:v>45901</x:v>
      </x:c>
    </x:row>
    <x:row r="4225" ht="22" customHeight="1">
      <x:c r="A4225" s="2" t="str">
        <x:v>L004221</x:v>
      </x:c>
      <x:c r="B4225" s="2" t="str">
        <x:v>O01715</x:v>
      </x:c>
      <x:c r="C4225" s="7" t="n">
        <x:v>45993</x:v>
      </x:c>
      <x:c r="D4225" s="2" t="str">
        <x:v>Completed</x:v>
      </x:c>
      <x:c r="E4225" s="2" t="str">
        <x:v>South</x:v>
      </x:c>
      <x:c r="F4225" s="2" t="str">
        <x:v>Store</x:v>
      </x:c>
      <x:c r="G4225" s="2" t="str">
        <x:v>Lighting</x:v>
      </x:c>
      <x:c r="H4225" s="2" t="str">
        <x:v>Lamp 021</x:v>
      </x:c>
      <x:c r="I4225" s="11" t="n">
        <x:v>3</x:v>
      </x:c>
      <x:c r="J4225" s="9" t="n">
        <x:v>249</x:v>
      </x:c>
      <x:c r="K4225" s="10" t="n">
        <x:v>0.1</x:v>
      </x:c>
      <x:c r="L4225" s="11" t="n">
        <x:v>0</x:v>
      </x:c>
      <x:c r="M4225" s="9" t="n">
        <x:f>IF(D4225="Completed",I4225*J4225,0)</x:f>
        <x:v>747</x:v>
      </x:c>
      <x:c r="N4225" s="9" t="n">
        <x:f>M4225*K4225</x:f>
        <x:v>74.7</x:v>
      </x:c>
      <x:c r="O4225" s="9" t="n">
        <x:f>M4225-N4225</x:f>
        <x:v>672.3</x:v>
      </x:c>
      <x:c r="P4225" s="9" t="n">
        <x:f>IF(D4225="Completed",L4225*J4225*(1-K4225),0)</x:f>
        <x:v>0</x:v>
      </x:c>
      <x:c r="Q4225" s="9" t="n">
        <x:f>O4225-P4225</x:f>
        <x:v>672.3</x:v>
      </x:c>
      <x:c r="R4225" s="11" t="n">
        <x:f>IF(D4225="Completed",I4225,0)</x:f>
        <x:v>3</x:v>
      </x:c>
      <x:c r="S4225" s="11" t="n">
        <x:f>IF(D4225="Completed",L4225,0)</x:f>
        <x:v>0</x:v>
      </x:c>
      <x:c r="T4225" s="8" t="n">
        <x:f>DATE(YEAR(C4225),MONTH(C4225),1)</x:f>
        <x:v>45992</x:v>
      </x:c>
    </x:row>
    <x:row r="4226" ht="22" customHeight="1">
      <x:c r="A4226" s="2" t="str">
        <x:v>L004222</x:v>
      </x:c>
      <x:c r="B4226" s="2" t="str">
        <x:v>O01716</x:v>
      </x:c>
      <x:c r="C4226" s="7" t="n">
        <x:v>45725</x:v>
      </x:c>
      <x:c r="D4226" s="2" t="str">
        <x:v>Completed</x:v>
      </x:c>
      <x:c r="E4226" s="2" t="str">
        <x:v>East</x:v>
      </x:c>
      <x:c r="F4226" s="2" t="str">
        <x:v>Online</x:v>
      </x:c>
      <x:c r="G4226" s="2" t="str">
        <x:v>Furniture</x:v>
      </x:c>
      <x:c r="H4226" s="2" t="str">
        <x:v>Desk 008</x:v>
      </x:c>
      <x:c r="I4226" s="11" t="n">
        <x:v>2</x:v>
      </x:c>
      <x:c r="J4226" s="9" t="n">
        <x:v>188</x:v>
      </x:c>
      <x:c r="K4226" s="10" t="n">
        <x:v>0.1</x:v>
      </x:c>
      <x:c r="L4226" s="11" t="n">
        <x:v>0</x:v>
      </x:c>
      <x:c r="M4226" s="9" t="n">
        <x:f>IF(D4226="Completed",I4226*J4226,0)</x:f>
        <x:v>376</x:v>
      </x:c>
      <x:c r="N4226" s="9" t="n">
        <x:f>M4226*K4226</x:f>
        <x:v>37.6</x:v>
      </x:c>
      <x:c r="O4226" s="9" t="n">
        <x:f>M4226-N4226</x:f>
        <x:v>338.4</x:v>
      </x:c>
      <x:c r="P4226" s="9" t="n">
        <x:f>IF(D4226="Completed",L4226*J4226*(1-K4226),0)</x:f>
        <x:v>0</x:v>
      </x:c>
      <x:c r="Q4226" s="9" t="n">
        <x:f>O4226-P4226</x:f>
        <x:v>338.4</x:v>
      </x:c>
      <x:c r="R4226" s="11" t="n">
        <x:f>IF(D4226="Completed",I4226,0)</x:f>
        <x:v>2</x:v>
      </x:c>
      <x:c r="S4226" s="11" t="n">
        <x:f>IF(D4226="Completed",L4226,0)</x:f>
        <x:v>0</x:v>
      </x:c>
      <x:c r="T4226" s="8" t="n">
        <x:f>DATE(YEAR(C4226),MONTH(C4226),1)</x:f>
        <x:v>45717</x:v>
      </x:c>
    </x:row>
    <x:row r="4227" ht="22" customHeight="1">
      <x:c r="A4227" s="2" t="str">
        <x:v>L004223</x:v>
      </x:c>
      <x:c r="B4227" s="2" t="str">
        <x:v>O01716</x:v>
      </x:c>
      <x:c r="C4227" s="7" t="n">
        <x:v>45725</x:v>
      </x:c>
      <x:c r="D4227" s="2" t="str">
        <x:v>Completed</x:v>
      </x:c>
      <x:c r="E4227" s="2" t="str">
        <x:v>East</x:v>
      </x:c>
      <x:c r="F4227" s="2" t="str">
        <x:v>Online</x:v>
      </x:c>
      <x:c r="G4227" s="2" t="str">
        <x:v>Storage</x:v>
      </x:c>
      <x:c r="H4227" s="2" t="str">
        <x:v>Shelf 019</x:v>
      </x:c>
      <x:c r="I4227" s="11" t="n">
        <x:v>3</x:v>
      </x:c>
      <x:c r="J4227" s="9" t="n">
        <x:v>78</x:v>
      </x:c>
      <x:c r="K4227" s="10" t="n">
        <x:v>0.2</x:v>
      </x:c>
      <x:c r="L4227" s="11" t="n">
        <x:v>2</x:v>
      </x:c>
      <x:c r="M4227" s="9" t="n">
        <x:f>IF(D4227="Completed",I4227*J4227,0)</x:f>
        <x:v>234</x:v>
      </x:c>
      <x:c r="N4227" s="9" t="n">
        <x:f>M4227*K4227</x:f>
        <x:v>46.800000000000004</x:v>
      </x:c>
      <x:c r="O4227" s="9" t="n">
        <x:f>M4227-N4227</x:f>
        <x:v>187.2</x:v>
      </x:c>
      <x:c r="P4227" s="9" t="n">
        <x:f>IF(D4227="Completed",L4227*J4227*(1-K4227),0)</x:f>
        <x:v>124.80000000000001</x:v>
      </x:c>
      <x:c r="Q4227" s="9" t="n">
        <x:f>O4227-P4227</x:f>
        <x:v>62.39999999999998</x:v>
      </x:c>
      <x:c r="R4227" s="11" t="n">
        <x:f>IF(D4227="Completed",I4227,0)</x:f>
        <x:v>3</x:v>
      </x:c>
      <x:c r="S4227" s="11" t="n">
        <x:f>IF(D4227="Completed",L4227,0)</x:f>
        <x:v>2</x:v>
      </x:c>
      <x:c r="T4227" s="8" t="n">
        <x:f>DATE(YEAR(C4227),MONTH(C4227),1)</x:f>
        <x:v>45717</x:v>
      </x:c>
    </x:row>
    <x:row r="4228" ht="22" customHeight="1">
      <x:c r="A4228" s="2" t="str">
        <x:v>L004224</x:v>
      </x:c>
      <x:c r="B4228" s="2" t="str">
        <x:v>O01717</x:v>
      </x:c>
      <x:c r="C4228" s="7" t="n">
        <x:v>45948</x:v>
      </x:c>
      <x:c r="D4228" s="2" t="str">
        <x:v>Completed</x:v>
      </x:c>
      <x:c r="E4228" s="2" t="str">
        <x:v>West</x:v>
      </x:c>
      <x:c r="F4228" s="2" t="str">
        <x:v>Online</x:v>
      </x:c>
      <x:c r="G4228" s="2" t="str">
        <x:v>Furniture</x:v>
      </x:c>
      <x:c r="H4228" s="2" t="str">
        <x:v>Desk 016</x:v>
      </x:c>
      <x:c r="I4228" s="11" t="n">
        <x:v>2</x:v>
      </x:c>
      <x:c r="J4228" s="9" t="n">
        <x:v>231</x:v>
      </x:c>
      <x:c r="K4228" s="10" t="n">
        <x:v>0.2</x:v>
      </x:c>
      <x:c r="L4228" s="11" t="n">
        <x:v>0</x:v>
      </x:c>
      <x:c r="M4228" s="9" t="n">
        <x:f>IF(D4228="Completed",I4228*J4228,0)</x:f>
        <x:v>462</x:v>
      </x:c>
      <x:c r="N4228" s="9" t="n">
        <x:f>M4228*K4228</x:f>
        <x:v>92.4</x:v>
      </x:c>
      <x:c r="O4228" s="9" t="n">
        <x:f>M4228-N4228</x:f>
        <x:v>369.6</x:v>
      </x:c>
      <x:c r="P4228" s="9" t="n">
        <x:f>IF(D4228="Completed",L4228*J4228*(1-K4228),0)</x:f>
        <x:v>0</x:v>
      </x:c>
      <x:c r="Q4228" s="9" t="n">
        <x:f>O4228-P4228</x:f>
        <x:v>369.6</x:v>
      </x:c>
      <x:c r="R4228" s="11" t="n">
        <x:f>IF(D4228="Completed",I4228,0)</x:f>
        <x:v>2</x:v>
      </x:c>
      <x:c r="S4228" s="11" t="n">
        <x:f>IF(D4228="Completed",L4228,0)</x:f>
        <x:v>0</x:v>
      </x:c>
      <x:c r="T4228" s="8" t="n">
        <x:f>DATE(YEAR(C4228),MONTH(C4228),1)</x:f>
        <x:v>45931</x:v>
      </x:c>
    </x:row>
    <x:row r="4229" ht="22" customHeight="1">
      <x:c r="A4229" s="2" t="str">
        <x:v>L004225</x:v>
      </x:c>
      <x:c r="B4229" s="2" t="str">
        <x:v>O01717</x:v>
      </x:c>
      <x:c r="C4229" s="7" t="n">
        <x:v>45948</x:v>
      </x:c>
      <x:c r="D4229" s="2" t="str">
        <x:v>Completed</x:v>
      </x:c>
      <x:c r="E4229" s="2" t="str">
        <x:v>West</x:v>
      </x:c>
      <x:c r="F4229" s="2" t="str">
        <x:v>Online</x:v>
      </x:c>
      <x:c r="G4229" s="2" t="str">
        <x:v>Furniture</x:v>
      </x:c>
      <x:c r="H4229" s="2" t="str">
        <x:v>Chair 010</x:v>
      </x:c>
      <x:c r="I4229" s="11" t="n">
        <x:v>1</x:v>
      </x:c>
      <x:c r="J4229" s="9" t="n">
        <x:v>211</x:v>
      </x:c>
      <x:c r="K4229" s="10" t="n">
        <x:v>0.05</x:v>
      </x:c>
      <x:c r="L4229" s="11" t="n">
        <x:v>0</x:v>
      </x:c>
      <x:c r="M4229" s="9" t="n">
        <x:f>IF(D4229="Completed",I4229*J4229,0)</x:f>
        <x:v>211</x:v>
      </x:c>
      <x:c r="N4229" s="9" t="n">
        <x:f>M4229*K4229</x:f>
        <x:v>10.55</x:v>
      </x:c>
      <x:c r="O4229" s="9" t="n">
        <x:f>M4229-N4229</x:f>
        <x:v>200.45</x:v>
      </x:c>
      <x:c r="P4229" s="9" t="n">
        <x:f>IF(D4229="Completed",L4229*J4229*(1-K4229),0)</x:f>
        <x:v>0</x:v>
      </x:c>
      <x:c r="Q4229" s="9" t="n">
        <x:f>O4229-P4229</x:f>
        <x:v>200.45</x:v>
      </x:c>
      <x:c r="R4229" s="11" t="n">
        <x:f>IF(D4229="Completed",I4229,0)</x:f>
        <x:v>1</x:v>
      </x:c>
      <x:c r="S4229" s="11" t="n">
        <x:f>IF(D4229="Completed",L4229,0)</x:f>
        <x:v>0</x:v>
      </x:c>
      <x:c r="T4229" s="8" t="n">
        <x:f>DATE(YEAR(C4229),MONTH(C4229),1)</x:f>
        <x:v>45931</x:v>
      </x:c>
    </x:row>
    <x:row r="4230" ht="22" customHeight="1">
      <x:c r="A4230" s="2" t="str">
        <x:v>L004226</x:v>
      </x:c>
      <x:c r="B4230" s="2" t="str">
        <x:v>O01717</x:v>
      </x:c>
      <x:c r="C4230" s="7" t="n">
        <x:v>45948</x:v>
      </x:c>
      <x:c r="D4230" s="2" t="str">
        <x:v>Completed</x:v>
      </x:c>
      <x:c r="E4230" s="2" t="str">
        <x:v>West</x:v>
      </x:c>
      <x:c r="F4230" s="2" t="str">
        <x:v>Online</x:v>
      </x:c>
      <x:c r="G4230" s="2" t="str">
        <x:v>Furniture</x:v>
      </x:c>
      <x:c r="H4230" s="2" t="str">
        <x:v>Chair 014</x:v>
      </x:c>
      <x:c r="I4230" s="11" t="n">
        <x:v>3</x:v>
      </x:c>
      <x:c r="J4230" s="9" t="n">
        <x:v>294</x:v>
      </x:c>
      <x:c r="K4230" s="10" t="n">
        <x:v>0.05</x:v>
      </x:c>
      <x:c r="L4230" s="11" t="n">
        <x:v>0</x:v>
      </x:c>
      <x:c r="M4230" s="9" t="n">
        <x:f>IF(D4230="Completed",I4230*J4230,0)</x:f>
        <x:v>882</x:v>
      </x:c>
      <x:c r="N4230" s="9" t="n">
        <x:f>M4230*K4230</x:f>
        <x:v>44.1</x:v>
      </x:c>
      <x:c r="O4230" s="9" t="n">
        <x:f>M4230-N4230</x:f>
        <x:v>837.9</x:v>
      </x:c>
      <x:c r="P4230" s="9" t="n">
        <x:f>IF(D4230="Completed",L4230*J4230*(1-K4230),0)</x:f>
        <x:v>0</x:v>
      </x:c>
      <x:c r="Q4230" s="9" t="n">
        <x:f>O4230-P4230</x:f>
        <x:v>837.9</x:v>
      </x:c>
      <x:c r="R4230" s="11" t="n">
        <x:f>IF(D4230="Completed",I4230,0)</x:f>
        <x:v>3</x:v>
      </x:c>
      <x:c r="S4230" s="11" t="n">
        <x:f>IF(D4230="Completed",L4230,0)</x:f>
        <x:v>0</x:v>
      </x:c>
      <x:c r="T4230" s="8" t="n">
        <x:f>DATE(YEAR(C4230),MONTH(C4230),1)</x:f>
        <x:v>45931</x:v>
      </x:c>
    </x:row>
    <x:row r="4231" ht="22" customHeight="1">
      <x:c r="A4231" s="2" t="str">
        <x:v>L004227</x:v>
      </x:c>
      <x:c r="B4231" s="2" t="str">
        <x:v>O01717</x:v>
      </x:c>
      <x:c r="C4231" s="7" t="n">
        <x:v>45948</x:v>
      </x:c>
      <x:c r="D4231" s="2" t="str">
        <x:v>Completed</x:v>
      </x:c>
      <x:c r="E4231" s="2" t="str">
        <x:v>West</x:v>
      </x:c>
      <x:c r="F4231" s="2" t="str">
        <x:v>Online</x:v>
      </x:c>
      <x:c r="G4231" s="2" t="str">
        <x:v>Furniture</x:v>
      </x:c>
      <x:c r="H4231" s="2" t="str">
        <x:v>Chair 010</x:v>
      </x:c>
      <x:c r="I4231" s="11" t="n">
        <x:v>5</x:v>
      </x:c>
      <x:c r="J4231" s="9" t="n">
        <x:v>211</x:v>
      </x:c>
      <x:c r="K4231" s="10" t="n">
        <x:v>0.1</x:v>
      </x:c>
      <x:c r="L4231" s="11" t="n">
        <x:v>0</x:v>
      </x:c>
      <x:c r="M4231" s="9" t="n">
        <x:f>IF(D4231="Completed",I4231*J4231,0)</x:f>
        <x:v>1055</x:v>
      </x:c>
      <x:c r="N4231" s="9" t="n">
        <x:f>M4231*K4231</x:f>
        <x:v>105.5</x:v>
      </x:c>
      <x:c r="O4231" s="9" t="n">
        <x:f>M4231-N4231</x:f>
        <x:v>949.5</x:v>
      </x:c>
      <x:c r="P4231" s="9" t="n">
        <x:f>IF(D4231="Completed",L4231*J4231*(1-K4231),0)</x:f>
        <x:v>0</x:v>
      </x:c>
      <x:c r="Q4231" s="9" t="n">
        <x:f>O4231-P4231</x:f>
        <x:v>949.5</x:v>
      </x:c>
      <x:c r="R4231" s="11" t="n">
        <x:f>IF(D4231="Completed",I4231,0)</x:f>
        <x:v>5</x:v>
      </x:c>
      <x:c r="S4231" s="11" t="n">
        <x:f>IF(D4231="Completed",L4231,0)</x:f>
        <x:v>0</x:v>
      </x:c>
      <x:c r="T4231" s="8" t="n">
        <x:f>DATE(YEAR(C4231),MONTH(C4231),1)</x:f>
        <x:v>45931</x:v>
      </x:c>
    </x:row>
    <x:row r="4232" ht="22" customHeight="1">
      <x:c r="A4232" s="2" t="str">
        <x:v>L004228</x:v>
      </x:c>
      <x:c r="B4232" s="2" t="str">
        <x:v>O01718</x:v>
      </x:c>
      <x:c r="C4232" s="7" t="n">
        <x:v>45749</x:v>
      </x:c>
      <x:c r="D4232" s="2" t="str">
        <x:v>Completed</x:v>
      </x:c>
      <x:c r="E4232" s="2" t="str">
        <x:v>South</x:v>
      </x:c>
      <x:c r="F4232" s="2" t="str">
        <x:v>Online</x:v>
      </x:c>
      <x:c r="G4232" s="2" t="str">
        <x:v>Storage</x:v>
      </x:c>
      <x:c r="H4232" s="2" t="str">
        <x:v>Shelf 019</x:v>
      </x:c>
      <x:c r="I4232" s="11" t="n">
        <x:v>3</x:v>
      </x:c>
      <x:c r="J4232" s="9" t="n">
        <x:v>78</x:v>
      </x:c>
      <x:c r="K4232" s="10" t="n">
        <x:v>0.2</x:v>
      </x:c>
      <x:c r="L4232" s="11" t="n">
        <x:v>0</x:v>
      </x:c>
      <x:c r="M4232" s="9" t="n">
        <x:f>IF(D4232="Completed",I4232*J4232,0)</x:f>
        <x:v>234</x:v>
      </x:c>
      <x:c r="N4232" s="9" t="n">
        <x:f>M4232*K4232</x:f>
        <x:v>46.800000000000004</x:v>
      </x:c>
      <x:c r="O4232" s="9" t="n">
        <x:f>M4232-N4232</x:f>
        <x:v>187.2</x:v>
      </x:c>
      <x:c r="P4232" s="9" t="n">
        <x:f>IF(D4232="Completed",L4232*J4232*(1-K4232),0)</x:f>
        <x:v>0</x:v>
      </x:c>
      <x:c r="Q4232" s="9" t="n">
        <x:f>O4232-P4232</x:f>
        <x:v>187.2</x:v>
      </x:c>
      <x:c r="R4232" s="11" t="n">
        <x:f>IF(D4232="Completed",I4232,0)</x:f>
        <x:v>3</x:v>
      </x:c>
      <x:c r="S4232" s="11" t="n">
        <x:f>IF(D4232="Completed",L4232,0)</x:f>
        <x:v>0</x:v>
      </x:c>
      <x:c r="T4232" s="8" t="n">
        <x:f>DATE(YEAR(C4232),MONTH(C4232),1)</x:f>
        <x:v>45748</x:v>
      </x:c>
    </x:row>
    <x:row r="4233" ht="22" customHeight="1">
      <x:c r="A4233" s="2" t="str">
        <x:v>L004229</x:v>
      </x:c>
      <x:c r="B4233" s="2" t="str">
        <x:v>O01719</x:v>
      </x:c>
      <x:c r="C4233" s="7" t="n">
        <x:v>45786</x:v>
      </x:c>
      <x:c r="D4233" s="2" t="str">
        <x:v>Completed</x:v>
      </x:c>
      <x:c r="E4233" s="2" t="str">
        <x:v>West</x:v>
      </x:c>
      <x:c r="F4233" s="2" t="str">
        <x:v>Online</x:v>
      </x:c>
      <x:c r="G4233" s="2" t="str">
        <x:v>Storage</x:v>
      </x:c>
      <x:c r="H4233" s="2" t="str">
        <x:v>Shelf 023</x:v>
      </x:c>
      <x:c r="I4233" s="11" t="n">
        <x:v>3</x:v>
      </x:c>
      <x:c r="J4233" s="9" t="n">
        <x:v>68</x:v>
      </x:c>
      <x:c r="K4233" s="10" t="n">
        <x:v>0.05</x:v>
      </x:c>
      <x:c r="L4233" s="11" t="n">
        <x:v>0</x:v>
      </x:c>
      <x:c r="M4233" s="9" t="n">
        <x:f>IF(D4233="Completed",I4233*J4233,0)</x:f>
        <x:v>204</x:v>
      </x:c>
      <x:c r="N4233" s="9" t="n">
        <x:f>M4233*K4233</x:f>
        <x:v>10.200000000000001</x:v>
      </x:c>
      <x:c r="O4233" s="9" t="n">
        <x:f>M4233-N4233</x:f>
        <x:v>193.8</x:v>
      </x:c>
      <x:c r="P4233" s="9" t="n">
        <x:f>IF(D4233="Completed",L4233*J4233*(1-K4233),0)</x:f>
        <x:v>0</x:v>
      </x:c>
      <x:c r="Q4233" s="9" t="n">
        <x:f>O4233-P4233</x:f>
        <x:v>193.8</x:v>
      </x:c>
      <x:c r="R4233" s="11" t="n">
        <x:f>IF(D4233="Completed",I4233,0)</x:f>
        <x:v>3</x:v>
      </x:c>
      <x:c r="S4233" s="11" t="n">
        <x:f>IF(D4233="Completed",L4233,0)</x:f>
        <x:v>0</x:v>
      </x:c>
      <x:c r="T4233" s="8" t="n">
        <x:f>DATE(YEAR(C4233),MONTH(C4233),1)</x:f>
        <x:v>45778</x:v>
      </x:c>
    </x:row>
    <x:row r="4234" ht="22" customHeight="1">
      <x:c r="A4234" s="2" t="str">
        <x:v>L004230</x:v>
      </x:c>
      <x:c r="B4234" s="2" t="str">
        <x:v>O01720</x:v>
      </x:c>
      <x:c r="C4234" s="7" t="n">
        <x:v>45975</x:v>
      </x:c>
      <x:c r="D4234" s="2" t="str">
        <x:v>Completed</x:v>
      </x:c>
      <x:c r="E4234" s="2" t="str">
        <x:v>North</x:v>
      </x:c>
      <x:c r="F4234" s="2" t="str">
        <x:v>Store</x:v>
      </x:c>
      <x:c r="G4234" s="2" t="str">
        <x:v>Storage</x:v>
      </x:c>
      <x:c r="H4234" s="2" t="str">
        <x:v>Shelf 003</x:v>
      </x:c>
      <x:c r="I4234" s="11" t="n">
        <x:v>4</x:v>
      </x:c>
      <x:c r="J4234" s="9" t="n">
        <x:v>199</x:v>
      </x:c>
      <x:c r="K4234" s="10" t="n">
        <x:v>0.05</x:v>
      </x:c>
      <x:c r="L4234" s="11" t="n">
        <x:v>0</x:v>
      </x:c>
      <x:c r="M4234" s="9" t="n">
        <x:f>IF(D4234="Completed",I4234*J4234,0)</x:f>
        <x:v>796</x:v>
      </x:c>
      <x:c r="N4234" s="9" t="n">
        <x:f>M4234*K4234</x:f>
        <x:v>39.800000000000004</x:v>
      </x:c>
      <x:c r="O4234" s="9" t="n">
        <x:f>M4234-N4234</x:f>
        <x:v>756.2</x:v>
      </x:c>
      <x:c r="P4234" s="9" t="n">
        <x:f>IF(D4234="Completed",L4234*J4234*(1-K4234),0)</x:f>
        <x:v>0</x:v>
      </x:c>
      <x:c r="Q4234" s="9" t="n">
        <x:f>O4234-P4234</x:f>
        <x:v>756.2</x:v>
      </x:c>
      <x:c r="R4234" s="11" t="n">
        <x:f>IF(D4234="Completed",I4234,0)</x:f>
        <x:v>4</x:v>
      </x:c>
      <x:c r="S4234" s="11" t="n">
        <x:f>IF(D4234="Completed",L4234,0)</x:f>
        <x:v>0</x:v>
      </x:c>
      <x:c r="T4234" s="8" t="n">
        <x:f>DATE(YEAR(C4234),MONTH(C4234),1)</x:f>
        <x:v>45962</x:v>
      </x:c>
    </x:row>
    <x:row r="4235" ht="22" customHeight="1">
      <x:c r="A4235" s="2" t="str">
        <x:v>L004231</x:v>
      </x:c>
      <x:c r="B4235" s="2" t="str">
        <x:v>O01721</x:v>
      </x:c>
      <x:c r="C4235" s="7" t="n">
        <x:v>45688</x:v>
      </x:c>
      <x:c r="D4235" s="2" t="str">
        <x:v>Cancelled</x:v>
      </x:c>
      <x:c r="E4235" s="2" t="str">
        <x:v>North</x:v>
      </x:c>
      <x:c r="F4235" s="2" t="str">
        <x:v>Store</x:v>
      </x:c>
      <x:c r="G4235" s="2" t="str">
        <x:v>Furniture</x:v>
      </x:c>
      <x:c r="H4235" s="2" t="str">
        <x:v>Chair 010</x:v>
      </x:c>
      <x:c r="I4235" s="11" t="n">
        <x:v>4</x:v>
      </x:c>
      <x:c r="J4235" s="9" t="n">
        <x:v>211</x:v>
      </x:c>
      <x:c r="K4235" s="10" t="n">
        <x:v>0.2</x:v>
      </x:c>
      <x:c r="L4235" s="11" t="n">
        <x:v>0</x:v>
      </x:c>
      <x:c r="M4235" s="9" t="n">
        <x:f>IF(D4235="Completed",I4235*J4235,0)</x:f>
        <x:v>0</x:v>
      </x:c>
      <x:c r="N4235" s="9" t="n">
        <x:f>M4235*K4235</x:f>
        <x:v>0</x:v>
      </x:c>
      <x:c r="O4235" s="9" t="n">
        <x:f>M4235-N4235</x:f>
        <x:v>0</x:v>
      </x:c>
      <x:c r="P4235" s="9" t="n">
        <x:f>IF(D4235="Completed",L4235*J4235*(1-K4235),0)</x:f>
        <x:v>0</x:v>
      </x:c>
      <x:c r="Q4235" s="9" t="n">
        <x:f>O4235-P4235</x:f>
        <x:v>0</x:v>
      </x:c>
      <x:c r="R4235" s="11" t="n">
        <x:f>IF(D4235="Completed",I4235,0)</x:f>
        <x:v>0</x:v>
      </x:c>
      <x:c r="S4235" s="11" t="n">
        <x:f>IF(D4235="Completed",L4235,0)</x:f>
        <x:v>0</x:v>
      </x:c>
      <x:c r="T4235" s="8" t="n">
        <x:f>DATE(YEAR(C4235),MONTH(C4235),1)</x:f>
        <x:v>45658</x:v>
      </x:c>
    </x:row>
    <x:row r="4236" ht="22" customHeight="1">
      <x:c r="A4236" s="2" t="str">
        <x:v>L004232</x:v>
      </x:c>
      <x:c r="B4236" s="2" t="str">
        <x:v>O01722</x:v>
      </x:c>
      <x:c r="C4236" s="7" t="n">
        <x:v>46008</x:v>
      </x:c>
      <x:c r="D4236" s="2" t="str">
        <x:v>Completed</x:v>
      </x:c>
      <x:c r="E4236" s="2" t="str">
        <x:v>West</x:v>
      </x:c>
      <x:c r="F4236" s="2" t="str">
        <x:v>Online</x:v>
      </x:c>
      <x:c r="G4236" s="2" t="str">
        <x:v>Storage</x:v>
      </x:c>
      <x:c r="H4236" s="2" t="str">
        <x:v>Shelf 007</x:v>
      </x:c>
      <x:c r="I4236" s="11" t="n">
        <x:v>1</x:v>
      </x:c>
      <x:c r="J4236" s="9" t="n">
        <x:v>35</x:v>
      </x:c>
      <x:c r="K4236" s="10" t="n">
        <x:v>0.1</x:v>
      </x:c>
      <x:c r="L4236" s="11" t="n">
        <x:v>0</x:v>
      </x:c>
      <x:c r="M4236" s="9" t="n">
        <x:f>IF(D4236="Completed",I4236*J4236,0)</x:f>
        <x:v>35</x:v>
      </x:c>
      <x:c r="N4236" s="9" t="n">
        <x:f>M4236*K4236</x:f>
        <x:v>3.5</x:v>
      </x:c>
      <x:c r="O4236" s="9" t="n">
        <x:f>M4236-N4236</x:f>
        <x:v>31.5</x:v>
      </x:c>
      <x:c r="P4236" s="9" t="n">
        <x:f>IF(D4236="Completed",L4236*J4236*(1-K4236),0)</x:f>
        <x:v>0</x:v>
      </x:c>
      <x:c r="Q4236" s="9" t="n">
        <x:f>O4236-P4236</x:f>
        <x:v>31.5</x:v>
      </x:c>
      <x:c r="R4236" s="11" t="n">
        <x:f>IF(D4236="Completed",I4236,0)</x:f>
        <x:v>1</x:v>
      </x:c>
      <x:c r="S4236" s="11" t="n">
        <x:f>IF(D4236="Completed",L4236,0)</x:f>
        <x:v>0</x:v>
      </x:c>
      <x:c r="T4236" s="8" t="n">
        <x:f>DATE(YEAR(C4236),MONTH(C4236),1)</x:f>
        <x:v>45992</x:v>
      </x:c>
    </x:row>
    <x:row r="4237" ht="22" customHeight="1">
      <x:c r="A4237" s="2" t="str">
        <x:v>L004233</x:v>
      </x:c>
      <x:c r="B4237" s="2" t="str">
        <x:v>O01722</x:v>
      </x:c>
      <x:c r="C4237" s="7" t="n">
        <x:v>46008</x:v>
      </x:c>
      <x:c r="D4237" s="2" t="str">
        <x:v>Completed</x:v>
      </x:c>
      <x:c r="E4237" s="2" t="str">
        <x:v>West</x:v>
      </x:c>
      <x:c r="F4237" s="2" t="str">
        <x:v>Online</x:v>
      </x:c>
      <x:c r="G4237" s="2" t="str">
        <x:v>Storage</x:v>
      </x:c>
      <x:c r="H4237" s="2" t="str">
        <x:v>Shelf 019</x:v>
      </x:c>
      <x:c r="I4237" s="11" t="n">
        <x:v>3</x:v>
      </x:c>
      <x:c r="J4237" s="9" t="n">
        <x:v>78</x:v>
      </x:c>
      <x:c r="K4237" s="10" t="n">
        <x:v>0.1</x:v>
      </x:c>
      <x:c r="L4237" s="11" t="n">
        <x:v>0</x:v>
      </x:c>
      <x:c r="M4237" s="9" t="n">
        <x:f>IF(D4237="Completed",I4237*J4237,0)</x:f>
        <x:v>234</x:v>
      </x:c>
      <x:c r="N4237" s="9" t="n">
        <x:f>M4237*K4237</x:f>
        <x:v>23.400000000000002</x:v>
      </x:c>
      <x:c r="O4237" s="9" t="n">
        <x:f>M4237-N4237</x:f>
        <x:v>210.6</x:v>
      </x:c>
      <x:c r="P4237" s="9" t="n">
        <x:f>IF(D4237="Completed",L4237*J4237*(1-K4237),0)</x:f>
        <x:v>0</x:v>
      </x:c>
      <x:c r="Q4237" s="9" t="n">
        <x:f>O4237-P4237</x:f>
        <x:v>210.6</x:v>
      </x:c>
      <x:c r="R4237" s="11" t="n">
        <x:f>IF(D4237="Completed",I4237,0)</x:f>
        <x:v>3</x:v>
      </x:c>
      <x:c r="S4237" s="11" t="n">
        <x:f>IF(D4237="Completed",L4237,0)</x:f>
        <x:v>0</x:v>
      </x:c>
      <x:c r="T4237" s="8" t="n">
        <x:f>DATE(YEAR(C4237),MONTH(C4237),1)</x:f>
        <x:v>45992</x:v>
      </x:c>
    </x:row>
    <x:row r="4238" ht="22" customHeight="1">
      <x:c r="A4238" s="2" t="str">
        <x:v>L004234</x:v>
      </x:c>
      <x:c r="B4238" s="2" t="str">
        <x:v>O01722</x:v>
      </x:c>
      <x:c r="C4238" s="7" t="n">
        <x:v>46008</x:v>
      </x:c>
      <x:c r="D4238" s="2" t="str">
        <x:v>Completed</x:v>
      </x:c>
      <x:c r="E4238" s="2" t="str">
        <x:v>West</x:v>
      </x:c>
      <x:c r="F4238" s="2" t="str">
        <x:v>Online</x:v>
      </x:c>
      <x:c r="G4238" s="2" t="str">
        <x:v>Lighting</x:v>
      </x:c>
      <x:c r="H4238" s="2" t="str">
        <x:v>Lamp 013</x:v>
      </x:c>
      <x:c r="I4238" s="11" t="n">
        <x:v>2</x:v>
      </x:c>
      <x:c r="J4238" s="9" t="n">
        <x:v>271</x:v>
      </x:c>
      <x:c r="K4238" s="10" t="n">
        <x:v>0.1</x:v>
      </x:c>
      <x:c r="L4238" s="11" t="n">
        <x:v>0</x:v>
      </x:c>
      <x:c r="M4238" s="9" t="n">
        <x:f>IF(D4238="Completed",I4238*J4238,0)</x:f>
        <x:v>542</x:v>
      </x:c>
      <x:c r="N4238" s="9" t="n">
        <x:f>M4238*K4238</x:f>
        <x:v>54.2</x:v>
      </x:c>
      <x:c r="O4238" s="9" t="n">
        <x:f>M4238-N4238</x:f>
        <x:v>487.8</x:v>
      </x:c>
      <x:c r="P4238" s="9" t="n">
        <x:f>IF(D4238="Completed",L4238*J4238*(1-K4238),0)</x:f>
        <x:v>0</x:v>
      </x:c>
      <x:c r="Q4238" s="9" t="n">
        <x:f>O4238-P4238</x:f>
        <x:v>487.8</x:v>
      </x:c>
      <x:c r="R4238" s="11" t="n">
        <x:f>IF(D4238="Completed",I4238,0)</x:f>
        <x:v>2</x:v>
      </x:c>
      <x:c r="S4238" s="11" t="n">
        <x:f>IF(D4238="Completed",L4238,0)</x:f>
        <x:v>0</x:v>
      </x:c>
      <x:c r="T4238" s="8" t="n">
        <x:f>DATE(YEAR(C4238),MONTH(C4238),1)</x:f>
        <x:v>45992</x:v>
      </x:c>
    </x:row>
    <x:row r="4239" ht="22" customHeight="1">
      <x:c r="A4239" s="2" t="str">
        <x:v>L004235</x:v>
      </x:c>
      <x:c r="B4239" s="2" t="str">
        <x:v>O01722</x:v>
      </x:c>
      <x:c r="C4239" s="7" t="n">
        <x:v>46008</x:v>
      </x:c>
      <x:c r="D4239" s="2" t="str">
        <x:v>Completed</x:v>
      </x:c>
      <x:c r="E4239" s="2" t="str">
        <x:v>West</x:v>
      </x:c>
      <x:c r="F4239" s="2" t="str">
        <x:v>Online</x:v>
      </x:c>
      <x:c r="G4239" s="2" t="str">
        <x:v>Furniture</x:v>
      </x:c>
      <x:c r="H4239" s="2" t="str">
        <x:v>Chair 010</x:v>
      </x:c>
      <x:c r="I4239" s="11" t="n">
        <x:v>3</x:v>
      </x:c>
      <x:c r="J4239" s="9" t="n">
        <x:v>211</x:v>
      </x:c>
      <x:c r="K4239" s="10" t="n">
        <x:v>0.1</x:v>
      </x:c>
      <x:c r="L4239" s="11" t="n">
        <x:v>0</x:v>
      </x:c>
      <x:c r="M4239" s="9" t="n">
        <x:f>IF(D4239="Completed",I4239*J4239,0)</x:f>
        <x:v>633</x:v>
      </x:c>
      <x:c r="N4239" s="9" t="n">
        <x:f>M4239*K4239</x:f>
        <x:v>63.300000000000004</x:v>
      </x:c>
      <x:c r="O4239" s="9" t="n">
        <x:f>M4239-N4239</x:f>
        <x:v>569.7</x:v>
      </x:c>
      <x:c r="P4239" s="9" t="n">
        <x:f>IF(D4239="Completed",L4239*J4239*(1-K4239),0)</x:f>
        <x:v>0</x:v>
      </x:c>
      <x:c r="Q4239" s="9" t="n">
        <x:f>O4239-P4239</x:f>
        <x:v>569.7</x:v>
      </x:c>
      <x:c r="R4239" s="11" t="n">
        <x:f>IF(D4239="Completed",I4239,0)</x:f>
        <x:v>3</x:v>
      </x:c>
      <x:c r="S4239" s="11" t="n">
        <x:f>IF(D4239="Completed",L4239,0)</x:f>
        <x:v>0</x:v>
      </x:c>
      <x:c r="T4239" s="8" t="n">
        <x:f>DATE(YEAR(C4239),MONTH(C4239),1)</x:f>
        <x:v>45992</x:v>
      </x:c>
    </x:row>
    <x:row r="4240" ht="22" customHeight="1">
      <x:c r="A4240" s="2" t="str">
        <x:v>L004236</x:v>
      </x:c>
      <x:c r="B4240" s="2" t="str">
        <x:v>O01723</x:v>
      </x:c>
      <x:c r="C4240" s="7" t="n">
        <x:v>45931</x:v>
      </x:c>
      <x:c r="D4240" s="2" t="str">
        <x:v>Completed</x:v>
      </x:c>
      <x:c r="E4240" s="2" t="str">
        <x:v>East</x:v>
      </x:c>
      <x:c r="F4240" s="2" t="str">
        <x:v>Online</x:v>
      </x:c>
      <x:c r="G4240" s="2" t="str">
        <x:v>Furniture</x:v>
      </x:c>
      <x:c r="H4240" s="2" t="str">
        <x:v>Desk 004</x:v>
      </x:c>
      <x:c r="I4240" s="11" t="n">
        <x:v>4</x:v>
      </x:c>
      <x:c r="J4240" s="9" t="n">
        <x:v>123</x:v>
      </x:c>
      <x:c r="K4240" s="10" t="n">
        <x:v>0.2</x:v>
      </x:c>
      <x:c r="L4240" s="11" t="n">
        <x:v>0</x:v>
      </x:c>
      <x:c r="M4240" s="9" t="n">
        <x:f>IF(D4240="Completed",I4240*J4240,0)</x:f>
        <x:v>492</x:v>
      </x:c>
      <x:c r="N4240" s="9" t="n">
        <x:f>M4240*K4240</x:f>
        <x:v>98.4</x:v>
      </x:c>
      <x:c r="O4240" s="9" t="n">
        <x:f>M4240-N4240</x:f>
        <x:v>393.6</x:v>
      </x:c>
      <x:c r="P4240" s="9" t="n">
        <x:f>IF(D4240="Completed",L4240*J4240*(1-K4240),0)</x:f>
        <x:v>0</x:v>
      </x:c>
      <x:c r="Q4240" s="9" t="n">
        <x:f>O4240-P4240</x:f>
        <x:v>393.6</x:v>
      </x:c>
      <x:c r="R4240" s="11" t="n">
        <x:f>IF(D4240="Completed",I4240,0)</x:f>
        <x:v>4</x:v>
      </x:c>
      <x:c r="S4240" s="11" t="n">
        <x:f>IF(D4240="Completed",L4240,0)</x:f>
        <x:v>0</x:v>
      </x:c>
      <x:c r="T4240" s="8" t="n">
        <x:f>DATE(YEAR(C4240),MONTH(C4240),1)</x:f>
        <x:v>45931</x:v>
      </x:c>
    </x:row>
    <x:row r="4241" ht="22" customHeight="1">
      <x:c r="A4241" s="2" t="str">
        <x:v>L004237</x:v>
      </x:c>
      <x:c r="B4241" s="2" t="str">
        <x:v>O01723</x:v>
      </x:c>
      <x:c r="C4241" s="7" t="n">
        <x:v>45931</x:v>
      </x:c>
      <x:c r="D4241" s="2" t="str">
        <x:v>Completed</x:v>
      </x:c>
      <x:c r="E4241" s="2" t="str">
        <x:v>East</x:v>
      </x:c>
      <x:c r="F4241" s="2" t="str">
        <x:v>Online</x:v>
      </x:c>
      <x:c r="G4241" s="2" t="str">
        <x:v>Lighting</x:v>
      </x:c>
      <x:c r="H4241" s="2" t="str">
        <x:v>Lamp 021</x:v>
      </x:c>
      <x:c r="I4241" s="11" t="n">
        <x:v>2</x:v>
      </x:c>
      <x:c r="J4241" s="9" t="n">
        <x:v>249</x:v>
      </x:c>
      <x:c r="K4241" s="10" t="n">
        <x:v>0.05</x:v>
      </x:c>
      <x:c r="L4241" s="11" t="n">
        <x:v>0</x:v>
      </x:c>
      <x:c r="M4241" s="9" t="n">
        <x:f>IF(D4241="Completed",I4241*J4241,0)</x:f>
        <x:v>498</x:v>
      </x:c>
      <x:c r="N4241" s="9" t="n">
        <x:f>M4241*K4241</x:f>
        <x:v>24.900000000000002</x:v>
      </x:c>
      <x:c r="O4241" s="9" t="n">
        <x:f>M4241-N4241</x:f>
        <x:v>473.1</x:v>
      </x:c>
      <x:c r="P4241" s="9" t="n">
        <x:f>IF(D4241="Completed",L4241*J4241*(1-K4241),0)</x:f>
        <x:v>0</x:v>
      </x:c>
      <x:c r="Q4241" s="9" t="n">
        <x:f>O4241-P4241</x:f>
        <x:v>473.1</x:v>
      </x:c>
      <x:c r="R4241" s="11" t="n">
        <x:f>IF(D4241="Completed",I4241,0)</x:f>
        <x:v>2</x:v>
      </x:c>
      <x:c r="S4241" s="11" t="n">
        <x:f>IF(D4241="Completed",L4241,0)</x:f>
        <x:v>0</x:v>
      </x:c>
      <x:c r="T4241" s="8" t="n">
        <x:f>DATE(YEAR(C4241),MONTH(C4241),1)</x:f>
        <x:v>45931</x:v>
      </x:c>
    </x:row>
    <x:row r="4242" ht="22" customHeight="1">
      <x:c r="A4242" s="2" t="str">
        <x:v>L004238</x:v>
      </x:c>
      <x:c r="B4242" s="2" t="str">
        <x:v>O01723</x:v>
      </x:c>
      <x:c r="C4242" s="7" t="n">
        <x:v>45931</x:v>
      </x:c>
      <x:c r="D4242" s="2" t="str">
        <x:v>Completed</x:v>
      </x:c>
      <x:c r="E4242" s="2" t="str">
        <x:v>East</x:v>
      </x:c>
      <x:c r="F4242" s="2" t="str">
        <x:v>Online</x:v>
      </x:c>
      <x:c r="G4242" s="2" t="str">
        <x:v>Lighting</x:v>
      </x:c>
      <x:c r="H4242" s="2" t="str">
        <x:v>Lamp 009</x:v>
      </x:c>
      <x:c r="I4242" s="11" t="n">
        <x:v>2</x:v>
      </x:c>
      <x:c r="J4242" s="9" t="n">
        <x:v>93</x:v>
      </x:c>
      <x:c r="K4242" s="10" t="n">
        <x:v>0.2</x:v>
      </x:c>
      <x:c r="L4242" s="11" t="n">
        <x:v>0</x:v>
      </x:c>
      <x:c r="M4242" s="9" t="n">
        <x:f>IF(D4242="Completed",I4242*J4242,0)</x:f>
        <x:v>186</x:v>
      </x:c>
      <x:c r="N4242" s="9" t="n">
        <x:f>M4242*K4242</x:f>
        <x:v>37.2</x:v>
      </x:c>
      <x:c r="O4242" s="9" t="n">
        <x:f>M4242-N4242</x:f>
        <x:v>148.8</x:v>
      </x:c>
      <x:c r="P4242" s="9" t="n">
        <x:f>IF(D4242="Completed",L4242*J4242*(1-K4242),0)</x:f>
        <x:v>0</x:v>
      </x:c>
      <x:c r="Q4242" s="9" t="n">
        <x:f>O4242-P4242</x:f>
        <x:v>148.8</x:v>
      </x:c>
      <x:c r="R4242" s="11" t="n">
        <x:f>IF(D4242="Completed",I4242,0)</x:f>
        <x:v>2</x:v>
      </x:c>
      <x:c r="S4242" s="11" t="n">
        <x:f>IF(D4242="Completed",L4242,0)</x:f>
        <x:v>0</x:v>
      </x:c>
      <x:c r="T4242" s="8" t="n">
        <x:f>DATE(YEAR(C4242),MONTH(C4242),1)</x:f>
        <x:v>45931</x:v>
      </x:c>
    </x:row>
    <x:row r="4243" ht="22" customHeight="1">
      <x:c r="A4243" s="2" t="str">
        <x:v>L004239</x:v>
      </x:c>
      <x:c r="B4243" s="2" t="str">
        <x:v>O01723</x:v>
      </x:c>
      <x:c r="C4243" s="7" t="n">
        <x:v>45931</x:v>
      </x:c>
      <x:c r="D4243" s="2" t="str">
        <x:v>Completed</x:v>
      </x:c>
      <x:c r="E4243" s="2" t="str">
        <x:v>East</x:v>
      </x:c>
      <x:c r="F4243" s="2" t="str">
        <x:v>Online</x:v>
      </x:c>
      <x:c r="G4243" s="2" t="str">
        <x:v>Lighting</x:v>
      </x:c>
      <x:c r="H4243" s="2" t="str">
        <x:v>Lamp 013</x:v>
      </x:c>
      <x:c r="I4243" s="11" t="n">
        <x:v>1</x:v>
      </x:c>
      <x:c r="J4243" s="9" t="n">
        <x:v>271</x:v>
      </x:c>
      <x:c r="K4243" s="10" t="n">
        <x:v>0.2</x:v>
      </x:c>
      <x:c r="L4243" s="11" t="n">
        <x:v>0</x:v>
      </x:c>
      <x:c r="M4243" s="9" t="n">
        <x:f>IF(D4243="Completed",I4243*J4243,0)</x:f>
        <x:v>271</x:v>
      </x:c>
      <x:c r="N4243" s="9" t="n">
        <x:f>M4243*K4243</x:f>
        <x:v>54.2</x:v>
      </x:c>
      <x:c r="O4243" s="9" t="n">
        <x:f>M4243-N4243</x:f>
        <x:v>216.8</x:v>
      </x:c>
      <x:c r="P4243" s="9" t="n">
        <x:f>IF(D4243="Completed",L4243*J4243*(1-K4243),0)</x:f>
        <x:v>0</x:v>
      </x:c>
      <x:c r="Q4243" s="9" t="n">
        <x:f>O4243-P4243</x:f>
        <x:v>216.8</x:v>
      </x:c>
      <x:c r="R4243" s="11" t="n">
        <x:f>IF(D4243="Completed",I4243,0)</x:f>
        <x:v>1</x:v>
      </x:c>
      <x:c r="S4243" s="11" t="n">
        <x:f>IF(D4243="Completed",L4243,0)</x:f>
        <x:v>0</x:v>
      </x:c>
      <x:c r="T4243" s="8" t="n">
        <x:f>DATE(YEAR(C4243),MONTH(C4243),1)</x:f>
        <x:v>45931</x:v>
      </x:c>
    </x:row>
    <x:row r="4244" ht="22" customHeight="1">
      <x:c r="A4244" s="2" t="str">
        <x:v>L004240</x:v>
      </x:c>
      <x:c r="B4244" s="2" t="str">
        <x:v>O01724</x:v>
      </x:c>
      <x:c r="C4244" s="7" t="n">
        <x:v>45688</x:v>
      </x:c>
      <x:c r="D4244" s="2" t="str">
        <x:v>Completed</x:v>
      </x:c>
      <x:c r="E4244" s="2" t="str">
        <x:v>East</x:v>
      </x:c>
      <x:c r="F4244" s="2" t="str">
        <x:v>Online</x:v>
      </x:c>
      <x:c r="G4244" s="2" t="str">
        <x:v>Lighting</x:v>
      </x:c>
      <x:c r="H4244" s="2" t="str">
        <x:v>Lamp 013</x:v>
      </x:c>
      <x:c r="I4244" s="11" t="n">
        <x:v>4</x:v>
      </x:c>
      <x:c r="J4244" s="9" t="n">
        <x:v>271</x:v>
      </x:c>
      <x:c r="K4244" s="10" t="n">
        <x:v>0.2</x:v>
      </x:c>
      <x:c r="L4244" s="11" t="n">
        <x:v>0</x:v>
      </x:c>
      <x:c r="M4244" s="9" t="n">
        <x:f>IF(D4244="Completed",I4244*J4244,0)</x:f>
        <x:v>1084</x:v>
      </x:c>
      <x:c r="N4244" s="9" t="n">
        <x:f>M4244*K4244</x:f>
        <x:v>216.8</x:v>
      </x:c>
      <x:c r="O4244" s="9" t="n">
        <x:f>M4244-N4244</x:f>
        <x:v>867.2</x:v>
      </x:c>
      <x:c r="P4244" s="9" t="n">
        <x:f>IF(D4244="Completed",L4244*J4244*(1-K4244),0)</x:f>
        <x:v>0</x:v>
      </x:c>
      <x:c r="Q4244" s="9" t="n">
        <x:f>O4244-P4244</x:f>
        <x:v>867.2</x:v>
      </x:c>
      <x:c r="R4244" s="11" t="n">
        <x:f>IF(D4244="Completed",I4244,0)</x:f>
        <x:v>4</x:v>
      </x:c>
      <x:c r="S4244" s="11" t="n">
        <x:f>IF(D4244="Completed",L4244,0)</x:f>
        <x:v>0</x:v>
      </x:c>
      <x:c r="T4244" s="8" t="n">
        <x:f>DATE(YEAR(C4244),MONTH(C4244),1)</x:f>
        <x:v>45658</x:v>
      </x:c>
    </x:row>
    <x:row r="4245" ht="22" customHeight="1">
      <x:c r="A4245" s="2" t="str">
        <x:v>L004241</x:v>
      </x:c>
      <x:c r="B4245" s="2" t="str">
        <x:v>O01724</x:v>
      </x:c>
      <x:c r="C4245" s="7" t="n">
        <x:v>45688</x:v>
      </x:c>
      <x:c r="D4245" s="2" t="str">
        <x:v>Completed</x:v>
      </x:c>
      <x:c r="E4245" s="2" t="str">
        <x:v>East</x:v>
      </x:c>
      <x:c r="F4245" s="2" t="str">
        <x:v>Online</x:v>
      </x:c>
      <x:c r="G4245" s="2" t="str">
        <x:v>Lighting</x:v>
      </x:c>
      <x:c r="H4245" s="2" t="str">
        <x:v>Lamp 001</x:v>
      </x:c>
      <x:c r="I4245" s="11" t="n">
        <x:v>5</x:v>
      </x:c>
      <x:c r="J4245" s="9" t="n">
        <x:v>122</x:v>
      </x:c>
      <x:c r="K4245" s="10" t="n">
        <x:v>0.2</x:v>
      </x:c>
      <x:c r="L4245" s="11" t="n">
        <x:v>0</x:v>
      </x:c>
      <x:c r="M4245" s="9" t="n">
        <x:f>IF(D4245="Completed",I4245*J4245,0)</x:f>
        <x:v>610</x:v>
      </x:c>
      <x:c r="N4245" s="9" t="n">
        <x:f>M4245*K4245</x:f>
        <x:v>122</x:v>
      </x:c>
      <x:c r="O4245" s="9" t="n">
        <x:f>M4245-N4245</x:f>
        <x:v>488</x:v>
      </x:c>
      <x:c r="P4245" s="9" t="n">
        <x:f>IF(D4245="Completed",L4245*J4245*(1-K4245),0)</x:f>
        <x:v>0</x:v>
      </x:c>
      <x:c r="Q4245" s="9" t="n">
        <x:f>O4245-P4245</x:f>
        <x:v>488</x:v>
      </x:c>
      <x:c r="R4245" s="11" t="n">
        <x:f>IF(D4245="Completed",I4245,0)</x:f>
        <x:v>5</x:v>
      </x:c>
      <x:c r="S4245" s="11" t="n">
        <x:f>IF(D4245="Completed",L4245,0)</x:f>
        <x:v>0</x:v>
      </x:c>
      <x:c r="T4245" s="8" t="n">
        <x:f>DATE(YEAR(C4245),MONTH(C4245),1)</x:f>
        <x:v>45658</x:v>
      </x:c>
    </x:row>
    <x:row r="4246" ht="22" customHeight="1">
      <x:c r="A4246" s="2" t="str">
        <x:v>L004242</x:v>
      </x:c>
      <x:c r="B4246" s="2" t="str">
        <x:v>O01724</x:v>
      </x:c>
      <x:c r="C4246" s="7" t="n">
        <x:v>45688</x:v>
      </x:c>
      <x:c r="D4246" s="2" t="str">
        <x:v>Completed</x:v>
      </x:c>
      <x:c r="E4246" s="2" t="str">
        <x:v>East</x:v>
      </x:c>
      <x:c r="F4246" s="2" t="str">
        <x:v>Online</x:v>
      </x:c>
      <x:c r="G4246" s="2" t="str">
        <x:v>Furniture</x:v>
      </x:c>
      <x:c r="H4246" s="2" t="str">
        <x:v>Chair 018</x:v>
      </x:c>
      <x:c r="I4246" s="11" t="n">
        <x:v>5</x:v>
      </x:c>
      <x:c r="J4246" s="9" t="n">
        <x:v>269</x:v>
      </x:c>
      <x:c r="K4246" s="10" t="n">
        <x:v>0.1</x:v>
      </x:c>
      <x:c r="L4246" s="11" t="n">
        <x:v>0</x:v>
      </x:c>
      <x:c r="M4246" s="9" t="n">
        <x:f>IF(D4246="Completed",I4246*J4246,0)</x:f>
        <x:v>1345</x:v>
      </x:c>
      <x:c r="N4246" s="9" t="n">
        <x:f>M4246*K4246</x:f>
        <x:v>134.5</x:v>
      </x:c>
      <x:c r="O4246" s="9" t="n">
        <x:f>M4246-N4246</x:f>
        <x:v>1210.5</x:v>
      </x:c>
      <x:c r="P4246" s="9" t="n">
        <x:f>IF(D4246="Completed",L4246*J4246*(1-K4246),0)</x:f>
        <x:v>0</x:v>
      </x:c>
      <x:c r="Q4246" s="9" t="n">
        <x:f>O4246-P4246</x:f>
        <x:v>1210.5</x:v>
      </x:c>
      <x:c r="R4246" s="11" t="n">
        <x:f>IF(D4246="Completed",I4246,0)</x:f>
        <x:v>5</x:v>
      </x:c>
      <x:c r="S4246" s="11" t="n">
        <x:f>IF(D4246="Completed",L4246,0)</x:f>
        <x:v>0</x:v>
      </x:c>
      <x:c r="T4246" s="8" t="n">
        <x:f>DATE(YEAR(C4246),MONTH(C4246),1)</x:f>
        <x:v>45658</x:v>
      </x:c>
    </x:row>
    <x:row r="4247" ht="22" customHeight="1">
      <x:c r="A4247" s="2" t="str">
        <x:v>L004243</x:v>
      </x:c>
      <x:c r="B4247" s="2" t="str">
        <x:v>O01725</x:v>
      </x:c>
      <x:c r="C4247" s="7" t="n">
        <x:v>46008</x:v>
      </x:c>
      <x:c r="D4247" s="2" t="str">
        <x:v>Completed</x:v>
      </x:c>
      <x:c r="E4247" s="2" t="str">
        <x:v>West</x:v>
      </x:c>
      <x:c r="F4247" s="2" t="str">
        <x:v>Online</x:v>
      </x:c>
      <x:c r="G4247" s="2" t="str">
        <x:v>Furniture</x:v>
      </x:c>
      <x:c r="H4247" s="2" t="str">
        <x:v>Chair 022</x:v>
      </x:c>
      <x:c r="I4247" s="11" t="n">
        <x:v>5</x:v>
      </x:c>
      <x:c r="J4247" s="9" t="n">
        <x:v>134</x:v>
      </x:c>
      <x:c r="K4247" s="10" t="n">
        <x:v>0</x:v>
      </x:c>
      <x:c r="L4247" s="11" t="n">
        <x:v>2</x:v>
      </x:c>
      <x:c r="M4247" s="9" t="n">
        <x:f>IF(D4247="Completed",I4247*J4247,0)</x:f>
        <x:v>670</x:v>
      </x:c>
      <x:c r="N4247" s="9" t="n">
        <x:f>M4247*K4247</x:f>
        <x:v>0</x:v>
      </x:c>
      <x:c r="O4247" s="9" t="n">
        <x:f>M4247-N4247</x:f>
        <x:v>670</x:v>
      </x:c>
      <x:c r="P4247" s="9" t="n">
        <x:f>IF(D4247="Completed",L4247*J4247*(1-K4247),0)</x:f>
        <x:v>268</x:v>
      </x:c>
      <x:c r="Q4247" s="9" t="n">
        <x:f>O4247-P4247</x:f>
        <x:v>402</x:v>
      </x:c>
      <x:c r="R4247" s="11" t="n">
        <x:f>IF(D4247="Completed",I4247,0)</x:f>
        <x:v>5</x:v>
      </x:c>
      <x:c r="S4247" s="11" t="n">
        <x:f>IF(D4247="Completed",L4247,0)</x:f>
        <x:v>2</x:v>
      </x:c>
      <x:c r="T4247" s="8" t="n">
        <x:f>DATE(YEAR(C4247),MONTH(C4247),1)</x:f>
        <x:v>45992</x:v>
      </x:c>
    </x:row>
    <x:row r="4248" ht="22" customHeight="1">
      <x:c r="A4248" s="2" t="str">
        <x:v>L004244</x:v>
      </x:c>
      <x:c r="B4248" s="2" t="str">
        <x:v>O01726</x:v>
      </x:c>
      <x:c r="C4248" s="7" t="n">
        <x:v>45908</x:v>
      </x:c>
      <x:c r="D4248" s="2" t="str">
        <x:v>Completed</x:v>
      </x:c>
      <x:c r="E4248" s="2" t="str">
        <x:v>North</x:v>
      </x:c>
      <x:c r="F4248" s="2" t="str">
        <x:v>Online</x:v>
      </x:c>
      <x:c r="G4248" s="2" t="str">
        <x:v>Furniture</x:v>
      </x:c>
      <x:c r="H4248" s="2" t="str">
        <x:v>Chair 010</x:v>
      </x:c>
      <x:c r="I4248" s="11" t="n">
        <x:v>1</x:v>
      </x:c>
      <x:c r="J4248" s="9" t="n">
        <x:v>211</x:v>
      </x:c>
      <x:c r="K4248" s="10" t="n">
        <x:v>0.05</x:v>
      </x:c>
      <x:c r="L4248" s="11" t="n">
        <x:v>0</x:v>
      </x:c>
      <x:c r="M4248" s="9" t="n">
        <x:f>IF(D4248="Completed",I4248*J4248,0)</x:f>
        <x:v>211</x:v>
      </x:c>
      <x:c r="N4248" s="9" t="n">
        <x:f>M4248*K4248</x:f>
        <x:v>10.55</x:v>
      </x:c>
      <x:c r="O4248" s="9" t="n">
        <x:f>M4248-N4248</x:f>
        <x:v>200.45</x:v>
      </x:c>
      <x:c r="P4248" s="9" t="n">
        <x:f>IF(D4248="Completed",L4248*J4248*(1-K4248),0)</x:f>
        <x:v>0</x:v>
      </x:c>
      <x:c r="Q4248" s="9" t="n">
        <x:f>O4248-P4248</x:f>
        <x:v>200.45</x:v>
      </x:c>
      <x:c r="R4248" s="11" t="n">
        <x:f>IF(D4248="Completed",I4248,0)</x:f>
        <x:v>1</x:v>
      </x:c>
      <x:c r="S4248" s="11" t="n">
        <x:f>IF(D4248="Completed",L4248,0)</x:f>
        <x:v>0</x:v>
      </x:c>
      <x:c r="T4248" s="8" t="n">
        <x:f>DATE(YEAR(C4248),MONTH(C4248),1)</x:f>
        <x:v>45901</x:v>
      </x:c>
    </x:row>
    <x:row r="4249" ht="22" customHeight="1">
      <x:c r="A4249" s="2" t="str">
        <x:v>L004245</x:v>
      </x:c>
      <x:c r="B4249" s="2" t="str">
        <x:v>O01727</x:v>
      </x:c>
      <x:c r="C4249" s="7" t="n">
        <x:v>45748</x:v>
      </x:c>
      <x:c r="D4249" s="2" t="str">
        <x:v>Completed</x:v>
      </x:c>
      <x:c r="E4249" s="2" t="str">
        <x:v>East</x:v>
      </x:c>
      <x:c r="F4249" s="2" t="str">
        <x:v>Store</x:v>
      </x:c>
      <x:c r="G4249" s="2" t="str">
        <x:v>Furniture</x:v>
      </x:c>
      <x:c r="H4249" s="2" t="str">
        <x:v>Desk 008</x:v>
      </x:c>
      <x:c r="I4249" s="11" t="n">
        <x:v>2</x:v>
      </x:c>
      <x:c r="J4249" s="9" t="n">
        <x:v>188</x:v>
      </x:c>
      <x:c r="K4249" s="10" t="n">
        <x:v>0.2</x:v>
      </x:c>
      <x:c r="L4249" s="11" t="n">
        <x:v>0</x:v>
      </x:c>
      <x:c r="M4249" s="9" t="n">
        <x:f>IF(D4249="Completed",I4249*J4249,0)</x:f>
        <x:v>376</x:v>
      </x:c>
      <x:c r="N4249" s="9" t="n">
        <x:f>M4249*K4249</x:f>
        <x:v>75.2</x:v>
      </x:c>
      <x:c r="O4249" s="9" t="n">
        <x:f>M4249-N4249</x:f>
        <x:v>300.8</x:v>
      </x:c>
      <x:c r="P4249" s="9" t="n">
        <x:f>IF(D4249="Completed",L4249*J4249*(1-K4249),0)</x:f>
        <x:v>0</x:v>
      </x:c>
      <x:c r="Q4249" s="9" t="n">
        <x:f>O4249-P4249</x:f>
        <x:v>300.8</x:v>
      </x:c>
      <x:c r="R4249" s="11" t="n">
        <x:f>IF(D4249="Completed",I4249,0)</x:f>
        <x:v>2</x:v>
      </x:c>
      <x:c r="S4249" s="11" t="n">
        <x:f>IF(D4249="Completed",L4249,0)</x:f>
        <x:v>0</x:v>
      </x:c>
      <x:c r="T4249" s="8" t="n">
        <x:f>DATE(YEAR(C4249),MONTH(C4249),1)</x:f>
        <x:v>45748</x:v>
      </x:c>
    </x:row>
    <x:row r="4250" ht="22" customHeight="1">
      <x:c r="A4250" s="2" t="str">
        <x:v>L004246</x:v>
      </x:c>
      <x:c r="B4250" s="2" t="str">
        <x:v>O01728</x:v>
      </x:c>
      <x:c r="C4250" s="7" t="n">
        <x:v>45782</x:v>
      </x:c>
      <x:c r="D4250" s="2" t="str">
        <x:v>Completed</x:v>
      </x:c>
      <x:c r="E4250" s="2" t="str">
        <x:v>West</x:v>
      </x:c>
      <x:c r="F4250" s="2" t="str">
        <x:v>Store</x:v>
      </x:c>
      <x:c r="G4250" s="2" t="str">
        <x:v>Lighting</x:v>
      </x:c>
      <x:c r="H4250" s="2" t="str">
        <x:v>Lamp 021</x:v>
      </x:c>
      <x:c r="I4250" s="11" t="n">
        <x:v>3</x:v>
      </x:c>
      <x:c r="J4250" s="9" t="n">
        <x:v>249</x:v>
      </x:c>
      <x:c r="K4250" s="10" t="n">
        <x:v>0.05</x:v>
      </x:c>
      <x:c r="L4250" s="11" t="n">
        <x:v>0</x:v>
      </x:c>
      <x:c r="M4250" s="9" t="n">
        <x:f>IF(D4250="Completed",I4250*J4250,0)</x:f>
        <x:v>747</x:v>
      </x:c>
      <x:c r="N4250" s="9" t="n">
        <x:f>M4250*K4250</x:f>
        <x:v>37.35</x:v>
      </x:c>
      <x:c r="O4250" s="9" t="n">
        <x:f>M4250-N4250</x:f>
        <x:v>709.65</x:v>
      </x:c>
      <x:c r="P4250" s="9" t="n">
        <x:f>IF(D4250="Completed",L4250*J4250*(1-K4250),0)</x:f>
        <x:v>0</x:v>
      </x:c>
      <x:c r="Q4250" s="9" t="n">
        <x:f>O4250-P4250</x:f>
        <x:v>709.65</x:v>
      </x:c>
      <x:c r="R4250" s="11" t="n">
        <x:f>IF(D4250="Completed",I4250,0)</x:f>
        <x:v>3</x:v>
      </x:c>
      <x:c r="S4250" s="11" t="n">
        <x:f>IF(D4250="Completed",L4250,0)</x:f>
        <x:v>0</x:v>
      </x:c>
      <x:c r="T4250" s="8" t="n">
        <x:f>DATE(YEAR(C4250),MONTH(C4250),1)</x:f>
        <x:v>45778</x:v>
      </x:c>
    </x:row>
    <x:row r="4251" ht="22" customHeight="1">
      <x:c r="A4251" s="2" t="str">
        <x:v>L004247</x:v>
      </x:c>
      <x:c r="B4251" s="2" t="str">
        <x:v>O01728</x:v>
      </x:c>
      <x:c r="C4251" s="7" t="n">
        <x:v>45782</x:v>
      </x:c>
      <x:c r="D4251" s="2" t="str">
        <x:v>Completed</x:v>
      </x:c>
      <x:c r="E4251" s="2" t="str">
        <x:v>West</x:v>
      </x:c>
      <x:c r="F4251" s="2" t="str">
        <x:v>Store</x:v>
      </x:c>
      <x:c r="G4251" s="2" t="str">
        <x:v>Storage</x:v>
      </x:c>
      <x:c r="H4251" s="2" t="str">
        <x:v>Shelf 015</x:v>
      </x:c>
      <x:c r="I4251" s="11" t="n">
        <x:v>1</x:v>
      </x:c>
      <x:c r="J4251" s="9" t="n">
        <x:v>254</x:v>
      </x:c>
      <x:c r="K4251" s="10" t="n">
        <x:v>0.1</x:v>
      </x:c>
      <x:c r="L4251" s="11" t="n">
        <x:v>1</x:v>
      </x:c>
      <x:c r="M4251" s="9" t="n">
        <x:f>IF(D4251="Completed",I4251*J4251,0)</x:f>
        <x:v>254</x:v>
      </x:c>
      <x:c r="N4251" s="9" t="n">
        <x:f>M4251*K4251</x:f>
        <x:v>25.400000000000002</x:v>
      </x:c>
      <x:c r="O4251" s="9" t="n">
        <x:f>M4251-N4251</x:f>
        <x:v>228.6</x:v>
      </x:c>
      <x:c r="P4251" s="9" t="n">
        <x:f>IF(D4251="Completed",L4251*J4251*(1-K4251),0)</x:f>
        <x:v>228.6</x:v>
      </x:c>
      <x:c r="Q4251" s="9" t="n">
        <x:f>O4251-P4251</x:f>
        <x:v>0</x:v>
      </x:c>
      <x:c r="R4251" s="11" t="n">
        <x:f>IF(D4251="Completed",I4251,0)</x:f>
        <x:v>1</x:v>
      </x:c>
      <x:c r="S4251" s="11" t="n">
        <x:f>IF(D4251="Completed",L4251,0)</x:f>
        <x:v>1</x:v>
      </x:c>
      <x:c r="T4251" s="8" t="n">
        <x:f>DATE(YEAR(C4251),MONTH(C4251),1)</x:f>
        <x:v>45778</x:v>
      </x:c>
    </x:row>
    <x:row r="4252" ht="22" customHeight="1">
      <x:c r="A4252" s="2" t="str">
        <x:v>L004248</x:v>
      </x:c>
      <x:c r="B4252" s="2" t="str">
        <x:v>O01728</x:v>
      </x:c>
      <x:c r="C4252" s="7" t="n">
        <x:v>45782</x:v>
      </x:c>
      <x:c r="D4252" s="2" t="str">
        <x:v>Completed</x:v>
      </x:c>
      <x:c r="E4252" s="2" t="str">
        <x:v>West</x:v>
      </x:c>
      <x:c r="F4252" s="2" t="str">
        <x:v>Store</x:v>
      </x:c>
      <x:c r="G4252" s="2" t="str">
        <x:v>Lighting</x:v>
      </x:c>
      <x:c r="H4252" s="2" t="str">
        <x:v>Lamp 005</x:v>
      </x:c>
      <x:c r="I4252" s="11" t="n">
        <x:v>1</x:v>
      </x:c>
      <x:c r="J4252" s="9" t="n">
        <x:v>65</x:v>
      </x:c>
      <x:c r="K4252" s="10" t="n">
        <x:v>0.2</x:v>
      </x:c>
      <x:c r="L4252" s="11" t="n">
        <x:v>0</x:v>
      </x:c>
      <x:c r="M4252" s="9" t="n">
        <x:f>IF(D4252="Completed",I4252*J4252,0)</x:f>
        <x:v>65</x:v>
      </x:c>
      <x:c r="N4252" s="9" t="n">
        <x:f>M4252*K4252</x:f>
        <x:v>13</x:v>
      </x:c>
      <x:c r="O4252" s="9" t="n">
        <x:f>M4252-N4252</x:f>
        <x:v>52</x:v>
      </x:c>
      <x:c r="P4252" s="9" t="n">
        <x:f>IF(D4252="Completed",L4252*J4252*(1-K4252),0)</x:f>
        <x:v>0</x:v>
      </x:c>
      <x:c r="Q4252" s="9" t="n">
        <x:f>O4252-P4252</x:f>
        <x:v>52</x:v>
      </x:c>
      <x:c r="R4252" s="11" t="n">
        <x:f>IF(D4252="Completed",I4252,0)</x:f>
        <x:v>1</x:v>
      </x:c>
      <x:c r="S4252" s="11" t="n">
        <x:f>IF(D4252="Completed",L4252,0)</x:f>
        <x:v>0</x:v>
      </x:c>
      <x:c r="T4252" s="8" t="n">
        <x:f>DATE(YEAR(C4252),MONTH(C4252),1)</x:f>
        <x:v>45778</x:v>
      </x:c>
    </x:row>
    <x:row r="4253" ht="22" customHeight="1">
      <x:c r="A4253" s="2" t="str">
        <x:v>L004249</x:v>
      </x:c>
      <x:c r="B4253" s="2" t="str">
        <x:v>O01728</x:v>
      </x:c>
      <x:c r="C4253" s="7" t="n">
        <x:v>45782</x:v>
      </x:c>
      <x:c r="D4253" s="2" t="str">
        <x:v>Completed</x:v>
      </x:c>
      <x:c r="E4253" s="2" t="str">
        <x:v>West</x:v>
      </x:c>
      <x:c r="F4253" s="2" t="str">
        <x:v>Store</x:v>
      </x:c>
      <x:c r="G4253" s="2" t="str">
        <x:v>Storage</x:v>
      </x:c>
      <x:c r="H4253" s="2" t="str">
        <x:v>Shelf 015</x:v>
      </x:c>
      <x:c r="I4253" s="11" t="n">
        <x:v>1</x:v>
      </x:c>
      <x:c r="J4253" s="9" t="n">
        <x:v>254</x:v>
      </x:c>
      <x:c r="K4253" s="10" t="n">
        <x:v>0</x:v>
      </x:c>
      <x:c r="L4253" s="11" t="n">
        <x:v>0</x:v>
      </x:c>
      <x:c r="M4253" s="9" t="n">
        <x:f>IF(D4253="Completed",I4253*J4253,0)</x:f>
        <x:v>254</x:v>
      </x:c>
      <x:c r="N4253" s="9" t="n">
        <x:f>M4253*K4253</x:f>
        <x:v>0</x:v>
      </x:c>
      <x:c r="O4253" s="9" t="n">
        <x:f>M4253-N4253</x:f>
        <x:v>254</x:v>
      </x:c>
      <x:c r="P4253" s="9" t="n">
        <x:f>IF(D4253="Completed",L4253*J4253*(1-K4253),0)</x:f>
        <x:v>0</x:v>
      </x:c>
      <x:c r="Q4253" s="9" t="n">
        <x:f>O4253-P4253</x:f>
        <x:v>254</x:v>
      </x:c>
      <x:c r="R4253" s="11" t="n">
        <x:f>IF(D4253="Completed",I4253,0)</x:f>
        <x:v>1</x:v>
      </x:c>
      <x:c r="S4253" s="11" t="n">
        <x:f>IF(D4253="Completed",L4253,0)</x:f>
        <x:v>0</x:v>
      </x:c>
      <x:c r="T4253" s="8" t="n">
        <x:f>DATE(YEAR(C4253),MONTH(C4253),1)</x:f>
        <x:v>45778</x:v>
      </x:c>
    </x:row>
    <x:row r="4254" ht="22" customHeight="1">
      <x:c r="A4254" s="2" t="str">
        <x:v>L004250</x:v>
      </x:c>
      <x:c r="B4254" s="2" t="str">
        <x:v>O01729</x:v>
      </x:c>
      <x:c r="C4254" s="7" t="n">
        <x:v>45701</x:v>
      </x:c>
      <x:c r="D4254" s="2" t="str">
        <x:v>Completed</x:v>
      </x:c>
      <x:c r="E4254" s="2" t="str">
        <x:v>South</x:v>
      </x:c>
      <x:c r="F4254" s="2" t="str">
        <x:v>Store</x:v>
      </x:c>
      <x:c r="G4254" s="2" t="str">
        <x:v>Furniture</x:v>
      </x:c>
      <x:c r="H4254" s="2" t="str">
        <x:v>Desk 024</x:v>
      </x:c>
      <x:c r="I4254" s="11" t="n">
        <x:v>3</x:v>
      </x:c>
      <x:c r="J4254" s="9" t="n">
        <x:v>81</x:v>
      </x:c>
      <x:c r="K4254" s="10" t="n">
        <x:v>0.1</x:v>
      </x:c>
      <x:c r="L4254" s="11" t="n">
        <x:v>1</x:v>
      </x:c>
      <x:c r="M4254" s="9" t="n">
        <x:f>IF(D4254="Completed",I4254*J4254,0)</x:f>
        <x:v>243</x:v>
      </x:c>
      <x:c r="N4254" s="9" t="n">
        <x:f>M4254*K4254</x:f>
        <x:v>24.3</x:v>
      </x:c>
      <x:c r="O4254" s="9" t="n">
        <x:f>M4254-N4254</x:f>
        <x:v>218.7</x:v>
      </x:c>
      <x:c r="P4254" s="9" t="n">
        <x:f>IF(D4254="Completed",L4254*J4254*(1-K4254),0)</x:f>
        <x:v>72.9</x:v>
      </x:c>
      <x:c r="Q4254" s="9" t="n">
        <x:f>O4254-P4254</x:f>
        <x:v>145.79999999999998</x:v>
      </x:c>
      <x:c r="R4254" s="11" t="n">
        <x:f>IF(D4254="Completed",I4254,0)</x:f>
        <x:v>3</x:v>
      </x:c>
      <x:c r="S4254" s="11" t="n">
        <x:f>IF(D4254="Completed",L4254,0)</x:f>
        <x:v>1</x:v>
      </x:c>
      <x:c r="T4254" s="8" t="n">
        <x:f>DATE(YEAR(C4254),MONTH(C4254),1)</x:f>
        <x:v>45689</x:v>
      </x:c>
    </x:row>
    <x:row r="4255" ht="22" customHeight="1">
      <x:c r="A4255" s="2" t="str">
        <x:v>L004251</x:v>
      </x:c>
      <x:c r="B4255" s="2" t="str">
        <x:v>O01729</x:v>
      </x:c>
      <x:c r="C4255" s="7" t="n">
        <x:v>45701</x:v>
      </x:c>
      <x:c r="D4255" s="2" t="str">
        <x:v>Completed</x:v>
      </x:c>
      <x:c r="E4255" s="2" t="str">
        <x:v>South</x:v>
      </x:c>
      <x:c r="F4255" s="2" t="str">
        <x:v>Store</x:v>
      </x:c>
      <x:c r="G4255" s="2" t="str">
        <x:v>Lighting</x:v>
      </x:c>
      <x:c r="H4255" s="2" t="str">
        <x:v>Lamp 001</x:v>
      </x:c>
      <x:c r="I4255" s="11" t="n">
        <x:v>5</x:v>
      </x:c>
      <x:c r="J4255" s="9" t="n">
        <x:v>122</x:v>
      </x:c>
      <x:c r="K4255" s="10" t="n">
        <x:v>0.2</x:v>
      </x:c>
      <x:c r="L4255" s="11" t="n">
        <x:v>0</x:v>
      </x:c>
      <x:c r="M4255" s="9" t="n">
        <x:f>IF(D4255="Completed",I4255*J4255,0)</x:f>
        <x:v>610</x:v>
      </x:c>
      <x:c r="N4255" s="9" t="n">
        <x:f>M4255*K4255</x:f>
        <x:v>122</x:v>
      </x:c>
      <x:c r="O4255" s="9" t="n">
        <x:f>M4255-N4255</x:f>
        <x:v>488</x:v>
      </x:c>
      <x:c r="P4255" s="9" t="n">
        <x:f>IF(D4255="Completed",L4255*J4255*(1-K4255),0)</x:f>
        <x:v>0</x:v>
      </x:c>
      <x:c r="Q4255" s="9" t="n">
        <x:f>O4255-P4255</x:f>
        <x:v>488</x:v>
      </x:c>
      <x:c r="R4255" s="11" t="n">
        <x:f>IF(D4255="Completed",I4255,0)</x:f>
        <x:v>5</x:v>
      </x:c>
      <x:c r="S4255" s="11" t="n">
        <x:f>IF(D4255="Completed",L4255,0)</x:f>
        <x:v>0</x:v>
      </x:c>
      <x:c r="T4255" s="8" t="n">
        <x:f>DATE(YEAR(C4255),MONTH(C4255),1)</x:f>
        <x:v>45689</x:v>
      </x:c>
    </x:row>
    <x:row r="4256" ht="22" customHeight="1">
      <x:c r="A4256" s="2" t="str">
        <x:v>L004252</x:v>
      </x:c>
      <x:c r="B4256" s="2" t="str">
        <x:v>O01730</x:v>
      </x:c>
      <x:c r="C4256" s="7" t="n">
        <x:v>45828</x:v>
      </x:c>
      <x:c r="D4256" s="2" t="str">
        <x:v>Completed</x:v>
      </x:c>
      <x:c r="E4256" s="2" t="str">
        <x:v>West</x:v>
      </x:c>
      <x:c r="F4256" s="2" t="str">
        <x:v>Store</x:v>
      </x:c>
      <x:c r="G4256" s="2" t="str">
        <x:v>Furniture</x:v>
      </x:c>
      <x:c r="H4256" s="2" t="str">
        <x:v>Desk 008</x:v>
      </x:c>
      <x:c r="I4256" s="11" t="n">
        <x:v>5</x:v>
      </x:c>
      <x:c r="J4256" s="9" t="n">
        <x:v>188</x:v>
      </x:c>
      <x:c r="K4256" s="10" t="n">
        <x:v>0.05</x:v>
      </x:c>
      <x:c r="L4256" s="11" t="n">
        <x:v>0</x:v>
      </x:c>
      <x:c r="M4256" s="9" t="n">
        <x:f>IF(D4256="Completed",I4256*J4256,0)</x:f>
        <x:v>940</x:v>
      </x:c>
      <x:c r="N4256" s="9" t="n">
        <x:f>M4256*K4256</x:f>
        <x:v>47</x:v>
      </x:c>
      <x:c r="O4256" s="9" t="n">
        <x:f>M4256-N4256</x:f>
        <x:v>893</x:v>
      </x:c>
      <x:c r="P4256" s="9" t="n">
        <x:f>IF(D4256="Completed",L4256*J4256*(1-K4256),0)</x:f>
        <x:v>0</x:v>
      </x:c>
      <x:c r="Q4256" s="9" t="n">
        <x:f>O4256-P4256</x:f>
        <x:v>893</x:v>
      </x:c>
      <x:c r="R4256" s="11" t="n">
        <x:f>IF(D4256="Completed",I4256,0)</x:f>
        <x:v>5</x:v>
      </x:c>
      <x:c r="S4256" s="11" t="n">
        <x:f>IF(D4256="Completed",L4256,0)</x:f>
        <x:v>0</x:v>
      </x:c>
      <x:c r="T4256" s="8" t="n">
        <x:f>DATE(YEAR(C4256),MONTH(C4256),1)</x:f>
        <x:v>45809</x:v>
      </x:c>
    </x:row>
    <x:row r="4257" ht="22" customHeight="1">
      <x:c r="A4257" s="2" t="str">
        <x:v>L004253</x:v>
      </x:c>
      <x:c r="B4257" s="2" t="str">
        <x:v>O01730</x:v>
      </x:c>
      <x:c r="C4257" s="7" t="n">
        <x:v>45828</x:v>
      </x:c>
      <x:c r="D4257" s="2" t="str">
        <x:v>Completed</x:v>
      </x:c>
      <x:c r="E4257" s="2" t="str">
        <x:v>West</x:v>
      </x:c>
      <x:c r="F4257" s="2" t="str">
        <x:v>Store</x:v>
      </x:c>
      <x:c r="G4257" s="2" t="str">
        <x:v>Lighting</x:v>
      </x:c>
      <x:c r="H4257" s="2" t="str">
        <x:v>Lamp 001</x:v>
      </x:c>
      <x:c r="I4257" s="11" t="n">
        <x:v>1</x:v>
      </x:c>
      <x:c r="J4257" s="9" t="n">
        <x:v>122</x:v>
      </x:c>
      <x:c r="K4257" s="10" t="n">
        <x:v>0</x:v>
      </x:c>
      <x:c r="L4257" s="11" t="n">
        <x:v>0</x:v>
      </x:c>
      <x:c r="M4257" s="9" t="n">
        <x:f>IF(D4257="Completed",I4257*J4257,0)</x:f>
        <x:v>122</x:v>
      </x:c>
      <x:c r="N4257" s="9" t="n">
        <x:f>M4257*K4257</x:f>
        <x:v>0</x:v>
      </x:c>
      <x:c r="O4257" s="9" t="n">
        <x:f>M4257-N4257</x:f>
        <x:v>122</x:v>
      </x:c>
      <x:c r="P4257" s="9" t="n">
        <x:f>IF(D4257="Completed",L4257*J4257*(1-K4257),0)</x:f>
        <x:v>0</x:v>
      </x:c>
      <x:c r="Q4257" s="9" t="n">
        <x:f>O4257-P4257</x:f>
        <x:v>122</x:v>
      </x:c>
      <x:c r="R4257" s="11" t="n">
        <x:f>IF(D4257="Completed",I4257,0)</x:f>
        <x:v>1</x:v>
      </x:c>
      <x:c r="S4257" s="11" t="n">
        <x:f>IF(D4257="Completed",L4257,0)</x:f>
        <x:v>0</x:v>
      </x:c>
      <x:c r="T4257" s="8" t="n">
        <x:f>DATE(YEAR(C4257),MONTH(C4257),1)</x:f>
        <x:v>45809</x:v>
      </x:c>
    </x:row>
    <x:row r="4258" ht="22" customHeight="1">
      <x:c r="A4258" s="2" t="str">
        <x:v>L004254</x:v>
      </x:c>
      <x:c r="B4258" s="2" t="str">
        <x:v>O01730</x:v>
      </x:c>
      <x:c r="C4258" s="7" t="n">
        <x:v>45828</x:v>
      </x:c>
      <x:c r="D4258" s="2" t="str">
        <x:v>Completed</x:v>
      </x:c>
      <x:c r="E4258" s="2" t="str">
        <x:v>West</x:v>
      </x:c>
      <x:c r="F4258" s="2" t="str">
        <x:v>Store</x:v>
      </x:c>
      <x:c r="G4258" s="2" t="str">
        <x:v>Furniture</x:v>
      </x:c>
      <x:c r="H4258" s="2" t="str">
        <x:v>Chair 002</x:v>
      </x:c>
      <x:c r="I4258" s="11" t="n">
        <x:v>2</x:v>
      </x:c>
      <x:c r="J4258" s="9" t="n">
        <x:v>284</x:v>
      </x:c>
      <x:c r="K4258" s="10" t="n">
        <x:v>0</x:v>
      </x:c>
      <x:c r="L4258" s="11" t="n">
        <x:v>0</x:v>
      </x:c>
      <x:c r="M4258" s="9" t="n">
        <x:f>IF(D4258="Completed",I4258*J4258,0)</x:f>
        <x:v>568</x:v>
      </x:c>
      <x:c r="N4258" s="9" t="n">
        <x:f>M4258*K4258</x:f>
        <x:v>0</x:v>
      </x:c>
      <x:c r="O4258" s="9" t="n">
        <x:f>M4258-N4258</x:f>
        <x:v>568</x:v>
      </x:c>
      <x:c r="P4258" s="9" t="n">
        <x:f>IF(D4258="Completed",L4258*J4258*(1-K4258),0)</x:f>
        <x:v>0</x:v>
      </x:c>
      <x:c r="Q4258" s="9" t="n">
        <x:f>O4258-P4258</x:f>
        <x:v>568</x:v>
      </x:c>
      <x:c r="R4258" s="11" t="n">
        <x:f>IF(D4258="Completed",I4258,0)</x:f>
        <x:v>2</x:v>
      </x:c>
      <x:c r="S4258" s="11" t="n">
        <x:f>IF(D4258="Completed",L4258,0)</x:f>
        <x:v>0</x:v>
      </x:c>
      <x:c r="T4258" s="8" t="n">
        <x:f>DATE(YEAR(C4258),MONTH(C4258),1)</x:f>
        <x:v>45809</x:v>
      </x:c>
    </x:row>
    <x:row r="4259" ht="22" customHeight="1">
      <x:c r="A4259" s="2" t="str">
        <x:v>L004255</x:v>
      </x:c>
      <x:c r="B4259" s="2" t="str">
        <x:v>O01730</x:v>
      </x:c>
      <x:c r="C4259" s="7" t="n">
        <x:v>45828</x:v>
      </x:c>
      <x:c r="D4259" s="2" t="str">
        <x:v>Completed</x:v>
      </x:c>
      <x:c r="E4259" s="2" t="str">
        <x:v>West</x:v>
      </x:c>
      <x:c r="F4259" s="2" t="str">
        <x:v>Store</x:v>
      </x:c>
      <x:c r="G4259" s="2" t="str">
        <x:v>Furniture</x:v>
      </x:c>
      <x:c r="H4259" s="2" t="str">
        <x:v>Chair 018</x:v>
      </x:c>
      <x:c r="I4259" s="11" t="n">
        <x:v>4</x:v>
      </x:c>
      <x:c r="J4259" s="9" t="n">
        <x:v>269</x:v>
      </x:c>
      <x:c r="K4259" s="10" t="n">
        <x:v>0.2</x:v>
      </x:c>
      <x:c r="L4259" s="11" t="n">
        <x:v>0</x:v>
      </x:c>
      <x:c r="M4259" s="9" t="n">
        <x:f>IF(D4259="Completed",I4259*J4259,0)</x:f>
        <x:v>1076</x:v>
      </x:c>
      <x:c r="N4259" s="9" t="n">
        <x:f>M4259*K4259</x:f>
        <x:v>215.20000000000002</x:v>
      </x:c>
      <x:c r="O4259" s="9" t="n">
        <x:f>M4259-N4259</x:f>
        <x:v>860.8</x:v>
      </x:c>
      <x:c r="P4259" s="9" t="n">
        <x:f>IF(D4259="Completed",L4259*J4259*(1-K4259),0)</x:f>
        <x:v>0</x:v>
      </x:c>
      <x:c r="Q4259" s="9" t="n">
        <x:f>O4259-P4259</x:f>
        <x:v>860.8</x:v>
      </x:c>
      <x:c r="R4259" s="11" t="n">
        <x:f>IF(D4259="Completed",I4259,0)</x:f>
        <x:v>4</x:v>
      </x:c>
      <x:c r="S4259" s="11" t="n">
        <x:f>IF(D4259="Completed",L4259,0)</x:f>
        <x:v>0</x:v>
      </x:c>
      <x:c r="T4259" s="8" t="n">
        <x:f>DATE(YEAR(C4259),MONTH(C4259),1)</x:f>
        <x:v>45809</x:v>
      </x:c>
    </x:row>
    <x:row r="4260" ht="22" customHeight="1">
      <x:c r="A4260" s="2" t="str">
        <x:v>L004256</x:v>
      </x:c>
      <x:c r="B4260" s="2" t="str">
        <x:v>O01731</x:v>
      </x:c>
      <x:c r="C4260" s="7" t="n">
        <x:v>45894</x:v>
      </x:c>
      <x:c r="D4260" s="2" t="str">
        <x:v>Completed</x:v>
      </x:c>
      <x:c r="E4260" s="2" t="str">
        <x:v>South</x:v>
      </x:c>
      <x:c r="F4260" s="2" t="str">
        <x:v>Store</x:v>
      </x:c>
      <x:c r="G4260" s="2" t="str">
        <x:v>Storage</x:v>
      </x:c>
      <x:c r="H4260" s="2" t="str">
        <x:v>Shelf 015</x:v>
      </x:c>
      <x:c r="I4260" s="11" t="n">
        <x:v>5</x:v>
      </x:c>
      <x:c r="J4260" s="9" t="n">
        <x:v>254</x:v>
      </x:c>
      <x:c r="K4260" s="10" t="n">
        <x:v>0</x:v>
      </x:c>
      <x:c r="L4260" s="11" t="n">
        <x:v>0</x:v>
      </x:c>
      <x:c r="M4260" s="9" t="n">
        <x:f>IF(D4260="Completed",I4260*J4260,0)</x:f>
        <x:v>1270</x:v>
      </x:c>
      <x:c r="N4260" s="9" t="n">
        <x:f>M4260*K4260</x:f>
        <x:v>0</x:v>
      </x:c>
      <x:c r="O4260" s="9" t="n">
        <x:f>M4260-N4260</x:f>
        <x:v>1270</x:v>
      </x:c>
      <x:c r="P4260" s="9" t="n">
        <x:f>IF(D4260="Completed",L4260*J4260*(1-K4260),0)</x:f>
        <x:v>0</x:v>
      </x:c>
      <x:c r="Q4260" s="9" t="n">
        <x:f>O4260-P4260</x:f>
        <x:v>1270</x:v>
      </x:c>
      <x:c r="R4260" s="11" t="n">
        <x:f>IF(D4260="Completed",I4260,0)</x:f>
        <x:v>5</x:v>
      </x:c>
      <x:c r="S4260" s="11" t="n">
        <x:f>IF(D4260="Completed",L4260,0)</x:f>
        <x:v>0</x:v>
      </x:c>
      <x:c r="T4260" s="8" t="n">
        <x:f>DATE(YEAR(C4260),MONTH(C4260),1)</x:f>
        <x:v>45870</x:v>
      </x:c>
    </x:row>
    <x:row r="4261" ht="22" customHeight="1">
      <x:c r="A4261" s="2" t="str">
        <x:v>L004257</x:v>
      </x:c>
      <x:c r="B4261" s="2" t="str">
        <x:v>O01731</x:v>
      </x:c>
      <x:c r="C4261" s="7" t="n">
        <x:v>45894</x:v>
      </x:c>
      <x:c r="D4261" s="2" t="str">
        <x:v>Completed</x:v>
      </x:c>
      <x:c r="E4261" s="2" t="str">
        <x:v>South</x:v>
      </x:c>
      <x:c r="F4261" s="2" t="str">
        <x:v>Store</x:v>
      </x:c>
      <x:c r="G4261" s="2" t="str">
        <x:v>Furniture</x:v>
      </x:c>
      <x:c r="H4261" s="2" t="str">
        <x:v>Chair 018</x:v>
      </x:c>
      <x:c r="I4261" s="11" t="n">
        <x:v>5</x:v>
      </x:c>
      <x:c r="J4261" s="9" t="n">
        <x:v>269</x:v>
      </x:c>
      <x:c r="K4261" s="10" t="n">
        <x:v>0.2</x:v>
      </x:c>
      <x:c r="L4261" s="11" t="n">
        <x:v>0</x:v>
      </x:c>
      <x:c r="M4261" s="9" t="n">
        <x:f>IF(D4261="Completed",I4261*J4261,0)</x:f>
        <x:v>1345</x:v>
      </x:c>
      <x:c r="N4261" s="9" t="n">
        <x:f>M4261*K4261</x:f>
        <x:v>269</x:v>
      </x:c>
      <x:c r="O4261" s="9" t="n">
        <x:f>M4261-N4261</x:f>
        <x:v>1076</x:v>
      </x:c>
      <x:c r="P4261" s="9" t="n">
        <x:f>IF(D4261="Completed",L4261*J4261*(1-K4261),0)</x:f>
        <x:v>0</x:v>
      </x:c>
      <x:c r="Q4261" s="9" t="n">
        <x:f>O4261-P4261</x:f>
        <x:v>1076</x:v>
      </x:c>
      <x:c r="R4261" s="11" t="n">
        <x:f>IF(D4261="Completed",I4261,0)</x:f>
        <x:v>5</x:v>
      </x:c>
      <x:c r="S4261" s="11" t="n">
        <x:f>IF(D4261="Completed",L4261,0)</x:f>
        <x:v>0</x:v>
      </x:c>
      <x:c r="T4261" s="8" t="n">
        <x:f>DATE(YEAR(C4261),MONTH(C4261),1)</x:f>
        <x:v>45870</x:v>
      </x:c>
    </x:row>
    <x:row r="4262" ht="22" customHeight="1">
      <x:c r="A4262" s="2" t="str">
        <x:v>L004258</x:v>
      </x:c>
      <x:c r="B4262" s="2" t="str">
        <x:v>O01731</x:v>
      </x:c>
      <x:c r="C4262" s="7" t="n">
        <x:v>45894</x:v>
      </x:c>
      <x:c r="D4262" s="2" t="str">
        <x:v>Completed</x:v>
      </x:c>
      <x:c r="E4262" s="2" t="str">
        <x:v>South</x:v>
      </x:c>
      <x:c r="F4262" s="2" t="str">
        <x:v>Store</x:v>
      </x:c>
      <x:c r="G4262" s="2" t="str">
        <x:v>Lighting</x:v>
      </x:c>
      <x:c r="H4262" s="2" t="str">
        <x:v>Lamp 013</x:v>
      </x:c>
      <x:c r="I4262" s="11" t="n">
        <x:v>3</x:v>
      </x:c>
      <x:c r="J4262" s="9" t="n">
        <x:v>271</x:v>
      </x:c>
      <x:c r="K4262" s="10" t="n">
        <x:v>0.05</x:v>
      </x:c>
      <x:c r="L4262" s="11" t="n">
        <x:v>0</x:v>
      </x:c>
      <x:c r="M4262" s="9" t="n">
        <x:f>IF(D4262="Completed",I4262*J4262,0)</x:f>
        <x:v>813</x:v>
      </x:c>
      <x:c r="N4262" s="9" t="n">
        <x:f>M4262*K4262</x:f>
        <x:v>40.650000000000006</x:v>
      </x:c>
      <x:c r="O4262" s="9" t="n">
        <x:f>M4262-N4262</x:f>
        <x:v>772.35</x:v>
      </x:c>
      <x:c r="P4262" s="9" t="n">
        <x:f>IF(D4262="Completed",L4262*J4262*(1-K4262),0)</x:f>
        <x:v>0</x:v>
      </x:c>
      <x:c r="Q4262" s="9" t="n">
        <x:f>O4262-P4262</x:f>
        <x:v>772.35</x:v>
      </x:c>
      <x:c r="R4262" s="11" t="n">
        <x:f>IF(D4262="Completed",I4262,0)</x:f>
        <x:v>3</x:v>
      </x:c>
      <x:c r="S4262" s="11" t="n">
        <x:f>IF(D4262="Completed",L4262,0)</x:f>
        <x:v>0</x:v>
      </x:c>
      <x:c r="T4262" s="8" t="n">
        <x:f>DATE(YEAR(C4262),MONTH(C4262),1)</x:f>
        <x:v>45870</x:v>
      </x:c>
    </x:row>
    <x:row r="4263" ht="22" customHeight="1">
      <x:c r="A4263" s="2" t="str">
        <x:v>L004259</x:v>
      </x:c>
      <x:c r="B4263" s="2" t="str">
        <x:v>O01731</x:v>
      </x:c>
      <x:c r="C4263" s="7" t="n">
        <x:v>45894</x:v>
      </x:c>
      <x:c r="D4263" s="2" t="str">
        <x:v>Completed</x:v>
      </x:c>
      <x:c r="E4263" s="2" t="str">
        <x:v>South</x:v>
      </x:c>
      <x:c r="F4263" s="2" t="str">
        <x:v>Store</x:v>
      </x:c>
      <x:c r="G4263" s="2" t="str">
        <x:v>Lighting</x:v>
      </x:c>
      <x:c r="H4263" s="2" t="str">
        <x:v>Lamp 005</x:v>
      </x:c>
      <x:c r="I4263" s="11" t="n">
        <x:v>1</x:v>
      </x:c>
      <x:c r="J4263" s="9" t="n">
        <x:v>65</x:v>
      </x:c>
      <x:c r="K4263" s="10" t="n">
        <x:v>0.1</x:v>
      </x:c>
      <x:c r="L4263" s="11" t="n">
        <x:v>0</x:v>
      </x:c>
      <x:c r="M4263" s="9" t="n">
        <x:f>IF(D4263="Completed",I4263*J4263,0)</x:f>
        <x:v>65</x:v>
      </x:c>
      <x:c r="N4263" s="9" t="n">
        <x:f>M4263*K4263</x:f>
        <x:v>6.5</x:v>
      </x:c>
      <x:c r="O4263" s="9" t="n">
        <x:f>M4263-N4263</x:f>
        <x:v>58.5</x:v>
      </x:c>
      <x:c r="P4263" s="9" t="n">
        <x:f>IF(D4263="Completed",L4263*J4263*(1-K4263),0)</x:f>
        <x:v>0</x:v>
      </x:c>
      <x:c r="Q4263" s="9" t="n">
        <x:f>O4263-P4263</x:f>
        <x:v>58.5</x:v>
      </x:c>
      <x:c r="R4263" s="11" t="n">
        <x:f>IF(D4263="Completed",I4263,0)</x:f>
        <x:v>1</x:v>
      </x:c>
      <x:c r="S4263" s="11" t="n">
        <x:f>IF(D4263="Completed",L4263,0)</x:f>
        <x:v>0</x:v>
      </x:c>
      <x:c r="T4263" s="8" t="n">
        <x:f>DATE(YEAR(C4263),MONTH(C4263),1)</x:f>
        <x:v>45870</x:v>
      </x:c>
    </x:row>
    <x:row r="4264" ht="22" customHeight="1">
      <x:c r="A4264" s="2" t="str">
        <x:v>L004260</x:v>
      </x:c>
      <x:c r="B4264" s="2" t="str">
        <x:v>O01732</x:v>
      </x:c>
      <x:c r="C4264" s="7" t="n">
        <x:v>45734</x:v>
      </x:c>
      <x:c r="D4264" s="2" t="str">
        <x:v>Completed</x:v>
      </x:c>
      <x:c r="E4264" s="2" t="str">
        <x:v>West</x:v>
      </x:c>
      <x:c r="F4264" s="2" t="str">
        <x:v>Store</x:v>
      </x:c>
      <x:c r="G4264" s="2" t="str">
        <x:v>Storage</x:v>
      </x:c>
      <x:c r="H4264" s="2" t="str">
        <x:v>Shelf 003</x:v>
      </x:c>
      <x:c r="I4264" s="11" t="n">
        <x:v>2</x:v>
      </x:c>
      <x:c r="J4264" s="9" t="n">
        <x:v>199</x:v>
      </x:c>
      <x:c r="K4264" s="10" t="n">
        <x:v>0</x:v>
      </x:c>
      <x:c r="L4264" s="11" t="n">
        <x:v>0</x:v>
      </x:c>
      <x:c r="M4264" s="9" t="n">
        <x:f>IF(D4264="Completed",I4264*J4264,0)</x:f>
        <x:v>398</x:v>
      </x:c>
      <x:c r="N4264" s="9" t="n">
        <x:f>M4264*K4264</x:f>
        <x:v>0</x:v>
      </x:c>
      <x:c r="O4264" s="9" t="n">
        <x:f>M4264-N4264</x:f>
        <x:v>398</x:v>
      </x:c>
      <x:c r="P4264" s="9" t="n">
        <x:f>IF(D4264="Completed",L4264*J4264*(1-K4264),0)</x:f>
        <x:v>0</x:v>
      </x:c>
      <x:c r="Q4264" s="9" t="n">
        <x:f>O4264-P4264</x:f>
        <x:v>398</x:v>
      </x:c>
      <x:c r="R4264" s="11" t="n">
        <x:f>IF(D4264="Completed",I4264,0)</x:f>
        <x:v>2</x:v>
      </x:c>
      <x:c r="S4264" s="11" t="n">
        <x:f>IF(D4264="Completed",L4264,0)</x:f>
        <x:v>0</x:v>
      </x:c>
      <x:c r="T4264" s="8" t="n">
        <x:f>DATE(YEAR(C4264),MONTH(C4264),1)</x:f>
        <x:v>45717</x:v>
      </x:c>
    </x:row>
    <x:row r="4265" ht="22" customHeight="1">
      <x:c r="A4265" s="2" t="str">
        <x:v>L004261</x:v>
      </x:c>
      <x:c r="B4265" s="2" t="str">
        <x:v>O01732</x:v>
      </x:c>
      <x:c r="C4265" s="7" t="n">
        <x:v>45734</x:v>
      </x:c>
      <x:c r="D4265" s="2" t="str">
        <x:v>Completed</x:v>
      </x:c>
      <x:c r="E4265" s="2" t="str">
        <x:v>West</x:v>
      </x:c>
      <x:c r="F4265" s="2" t="str">
        <x:v>Store</x:v>
      </x:c>
      <x:c r="G4265" s="2" t="str">
        <x:v>Lighting</x:v>
      </x:c>
      <x:c r="H4265" s="2" t="str">
        <x:v>Lamp 021</x:v>
      </x:c>
      <x:c r="I4265" s="11" t="n">
        <x:v>4</x:v>
      </x:c>
      <x:c r="J4265" s="9" t="n">
        <x:v>249</x:v>
      </x:c>
      <x:c r="K4265" s="10" t="n">
        <x:v>0.2</x:v>
      </x:c>
      <x:c r="L4265" s="11" t="n">
        <x:v>0</x:v>
      </x:c>
      <x:c r="M4265" s="9" t="n">
        <x:f>IF(D4265="Completed",I4265*J4265,0)</x:f>
        <x:v>996</x:v>
      </x:c>
      <x:c r="N4265" s="9" t="n">
        <x:f>M4265*K4265</x:f>
        <x:v>199.20000000000002</x:v>
      </x:c>
      <x:c r="O4265" s="9" t="n">
        <x:f>M4265-N4265</x:f>
        <x:v>796.8</x:v>
      </x:c>
      <x:c r="P4265" s="9" t="n">
        <x:f>IF(D4265="Completed",L4265*J4265*(1-K4265),0)</x:f>
        <x:v>0</x:v>
      </x:c>
      <x:c r="Q4265" s="9" t="n">
        <x:f>O4265-P4265</x:f>
        <x:v>796.8</x:v>
      </x:c>
      <x:c r="R4265" s="11" t="n">
        <x:f>IF(D4265="Completed",I4265,0)</x:f>
        <x:v>4</x:v>
      </x:c>
      <x:c r="S4265" s="11" t="n">
        <x:f>IF(D4265="Completed",L4265,0)</x:f>
        <x:v>0</x:v>
      </x:c>
      <x:c r="T4265" s="8" t="n">
        <x:f>DATE(YEAR(C4265),MONTH(C4265),1)</x:f>
        <x:v>45717</x:v>
      </x:c>
    </x:row>
    <x:row r="4266" ht="22" customHeight="1">
      <x:c r="A4266" s="2" t="str">
        <x:v>L004262</x:v>
      </x:c>
      <x:c r="B4266" s="2" t="str">
        <x:v>O01733</x:v>
      </x:c>
      <x:c r="C4266" s="7" t="n">
        <x:v>45896</x:v>
      </x:c>
      <x:c r="D4266" s="2" t="str">
        <x:v>Completed</x:v>
      </x:c>
      <x:c r="E4266" s="2" t="str">
        <x:v>South</x:v>
      </x:c>
      <x:c r="F4266" s="2" t="str">
        <x:v>Online</x:v>
      </x:c>
      <x:c r="G4266" s="2" t="str">
        <x:v>Storage</x:v>
      </x:c>
      <x:c r="H4266" s="2" t="str">
        <x:v>Shelf 019</x:v>
      </x:c>
      <x:c r="I4266" s="11" t="n">
        <x:v>5</x:v>
      </x:c>
      <x:c r="J4266" s="9" t="n">
        <x:v>78</x:v>
      </x:c>
      <x:c r="K4266" s="10" t="n">
        <x:v>0.2</x:v>
      </x:c>
      <x:c r="L4266" s="11" t="n">
        <x:v>0</x:v>
      </x:c>
      <x:c r="M4266" s="9" t="n">
        <x:f>IF(D4266="Completed",I4266*J4266,0)</x:f>
        <x:v>390</x:v>
      </x:c>
      <x:c r="N4266" s="9" t="n">
        <x:f>M4266*K4266</x:f>
        <x:v>78</x:v>
      </x:c>
      <x:c r="O4266" s="9" t="n">
        <x:f>M4266-N4266</x:f>
        <x:v>312</x:v>
      </x:c>
      <x:c r="P4266" s="9" t="n">
        <x:f>IF(D4266="Completed",L4266*J4266*(1-K4266),0)</x:f>
        <x:v>0</x:v>
      </x:c>
      <x:c r="Q4266" s="9" t="n">
        <x:f>O4266-P4266</x:f>
        <x:v>312</x:v>
      </x:c>
      <x:c r="R4266" s="11" t="n">
        <x:f>IF(D4266="Completed",I4266,0)</x:f>
        <x:v>5</x:v>
      </x:c>
      <x:c r="S4266" s="11" t="n">
        <x:f>IF(D4266="Completed",L4266,0)</x:f>
        <x:v>0</x:v>
      </x:c>
      <x:c r="T4266" s="8" t="n">
        <x:f>DATE(YEAR(C4266),MONTH(C4266),1)</x:f>
        <x:v>45870</x:v>
      </x:c>
    </x:row>
    <x:row r="4267" ht="22" customHeight="1">
      <x:c r="A4267" s="2" t="str">
        <x:v>L004263</x:v>
      </x:c>
      <x:c r="B4267" s="2" t="str">
        <x:v>O01733</x:v>
      </x:c>
      <x:c r="C4267" s="7" t="n">
        <x:v>45896</x:v>
      </x:c>
      <x:c r="D4267" s="2" t="str">
        <x:v>Completed</x:v>
      </x:c>
      <x:c r="E4267" s="2" t="str">
        <x:v>South</x:v>
      </x:c>
      <x:c r="F4267" s="2" t="str">
        <x:v>Online</x:v>
      </x:c>
      <x:c r="G4267" s="2" t="str">
        <x:v>Lighting</x:v>
      </x:c>
      <x:c r="H4267" s="2" t="str">
        <x:v>Lamp 013</x:v>
      </x:c>
      <x:c r="I4267" s="11" t="n">
        <x:v>1</x:v>
      </x:c>
      <x:c r="J4267" s="9" t="n">
        <x:v>271</x:v>
      </x:c>
      <x:c r="K4267" s="10" t="n">
        <x:v>0.1</x:v>
      </x:c>
      <x:c r="L4267" s="11" t="n">
        <x:v>0</x:v>
      </x:c>
      <x:c r="M4267" s="9" t="n">
        <x:f>IF(D4267="Completed",I4267*J4267,0)</x:f>
        <x:v>271</x:v>
      </x:c>
      <x:c r="N4267" s="9" t="n">
        <x:f>M4267*K4267</x:f>
        <x:v>27.1</x:v>
      </x:c>
      <x:c r="O4267" s="9" t="n">
        <x:f>M4267-N4267</x:f>
        <x:v>243.9</x:v>
      </x:c>
      <x:c r="P4267" s="9" t="n">
        <x:f>IF(D4267="Completed",L4267*J4267*(1-K4267),0)</x:f>
        <x:v>0</x:v>
      </x:c>
      <x:c r="Q4267" s="9" t="n">
        <x:f>O4267-P4267</x:f>
        <x:v>243.9</x:v>
      </x:c>
      <x:c r="R4267" s="11" t="n">
        <x:f>IF(D4267="Completed",I4267,0)</x:f>
        <x:v>1</x:v>
      </x:c>
      <x:c r="S4267" s="11" t="n">
        <x:f>IF(D4267="Completed",L4267,0)</x:f>
        <x:v>0</x:v>
      </x:c>
      <x:c r="T4267" s="8" t="n">
        <x:f>DATE(YEAR(C4267),MONTH(C4267),1)</x:f>
        <x:v>45870</x:v>
      </x:c>
    </x:row>
    <x:row r="4268" ht="22" customHeight="1">
      <x:c r="A4268" s="2" t="str">
        <x:v>L004264</x:v>
      </x:c>
      <x:c r="B4268" s="2" t="str">
        <x:v>O01734</x:v>
      </x:c>
      <x:c r="C4268" s="7" t="n">
        <x:v>45867</x:v>
      </x:c>
      <x:c r="D4268" s="2" t="str">
        <x:v>Completed</x:v>
      </x:c>
      <x:c r="E4268" s="2" t="str">
        <x:v>North</x:v>
      </x:c>
      <x:c r="F4268" s="2" t="str">
        <x:v>Online</x:v>
      </x:c>
      <x:c r="G4268" s="2" t="str">
        <x:v>Furniture</x:v>
      </x:c>
      <x:c r="H4268" s="2" t="str">
        <x:v>Desk 020</x:v>
      </x:c>
      <x:c r="I4268" s="11" t="n">
        <x:v>2</x:v>
      </x:c>
      <x:c r="J4268" s="9" t="n">
        <x:v>189</x:v>
      </x:c>
      <x:c r="K4268" s="10" t="n">
        <x:v>0</x:v>
      </x:c>
      <x:c r="L4268" s="11" t="n">
        <x:v>0</x:v>
      </x:c>
      <x:c r="M4268" s="9" t="n">
        <x:f>IF(D4268="Completed",I4268*J4268,0)</x:f>
        <x:v>378</x:v>
      </x:c>
      <x:c r="N4268" s="9" t="n">
        <x:f>M4268*K4268</x:f>
        <x:v>0</x:v>
      </x:c>
      <x:c r="O4268" s="9" t="n">
        <x:f>M4268-N4268</x:f>
        <x:v>378</x:v>
      </x:c>
      <x:c r="P4268" s="9" t="n">
        <x:f>IF(D4268="Completed",L4268*J4268*(1-K4268),0)</x:f>
        <x:v>0</x:v>
      </x:c>
      <x:c r="Q4268" s="9" t="n">
        <x:f>O4268-P4268</x:f>
        <x:v>378</x:v>
      </x:c>
      <x:c r="R4268" s="11" t="n">
        <x:f>IF(D4268="Completed",I4268,0)</x:f>
        <x:v>2</x:v>
      </x:c>
      <x:c r="S4268" s="11" t="n">
        <x:f>IF(D4268="Completed",L4268,0)</x:f>
        <x:v>0</x:v>
      </x:c>
      <x:c r="T4268" s="8" t="n">
        <x:f>DATE(YEAR(C4268),MONTH(C4268),1)</x:f>
        <x:v>45839</x:v>
      </x:c>
    </x:row>
    <x:row r="4269" ht="22" customHeight="1">
      <x:c r="A4269" s="2" t="str">
        <x:v>L004265</x:v>
      </x:c>
      <x:c r="B4269" s="2" t="str">
        <x:v>O01734</x:v>
      </x:c>
      <x:c r="C4269" s="7" t="n">
        <x:v>45867</x:v>
      </x:c>
      <x:c r="D4269" s="2" t="str">
        <x:v>Completed</x:v>
      </x:c>
      <x:c r="E4269" s="2" t="str">
        <x:v>North</x:v>
      </x:c>
      <x:c r="F4269" s="2" t="str">
        <x:v>Online</x:v>
      </x:c>
      <x:c r="G4269" s="2" t="str">
        <x:v>Lighting</x:v>
      </x:c>
      <x:c r="H4269" s="2" t="str">
        <x:v>Lamp 013</x:v>
      </x:c>
      <x:c r="I4269" s="11" t="n">
        <x:v>3</x:v>
      </x:c>
      <x:c r="J4269" s="9" t="n">
        <x:v>271</x:v>
      </x:c>
      <x:c r="K4269" s="10" t="n">
        <x:v>0</x:v>
      </x:c>
      <x:c r="L4269" s="11" t="n">
        <x:v>0</x:v>
      </x:c>
      <x:c r="M4269" s="9" t="n">
        <x:f>IF(D4269="Completed",I4269*J4269,0)</x:f>
        <x:v>813</x:v>
      </x:c>
      <x:c r="N4269" s="9" t="n">
        <x:f>M4269*K4269</x:f>
        <x:v>0</x:v>
      </x:c>
      <x:c r="O4269" s="9" t="n">
        <x:f>M4269-N4269</x:f>
        <x:v>813</x:v>
      </x:c>
      <x:c r="P4269" s="9" t="n">
        <x:f>IF(D4269="Completed",L4269*J4269*(1-K4269),0)</x:f>
        <x:v>0</x:v>
      </x:c>
      <x:c r="Q4269" s="9" t="n">
        <x:f>O4269-P4269</x:f>
        <x:v>813</x:v>
      </x:c>
      <x:c r="R4269" s="11" t="n">
        <x:f>IF(D4269="Completed",I4269,0)</x:f>
        <x:v>3</x:v>
      </x:c>
      <x:c r="S4269" s="11" t="n">
        <x:f>IF(D4269="Completed",L4269,0)</x:f>
        <x:v>0</x:v>
      </x:c>
      <x:c r="T4269" s="8" t="n">
        <x:f>DATE(YEAR(C4269),MONTH(C4269),1)</x:f>
        <x:v>45839</x:v>
      </x:c>
    </x:row>
    <x:row r="4270" ht="22" customHeight="1">
      <x:c r="A4270" s="2" t="str">
        <x:v>L004266</x:v>
      </x:c>
      <x:c r="B4270" s="2" t="str">
        <x:v>O01734</x:v>
      </x:c>
      <x:c r="C4270" s="7" t="n">
        <x:v>45867</x:v>
      </x:c>
      <x:c r="D4270" s="2" t="str">
        <x:v>Completed</x:v>
      </x:c>
      <x:c r="E4270" s="2" t="str">
        <x:v>North</x:v>
      </x:c>
      <x:c r="F4270" s="2" t="str">
        <x:v>Online</x:v>
      </x:c>
      <x:c r="G4270" s="2" t="str">
        <x:v>Furniture</x:v>
      </x:c>
      <x:c r="H4270" s="2" t="str">
        <x:v>Desk 016</x:v>
      </x:c>
      <x:c r="I4270" s="11" t="n">
        <x:v>2</x:v>
      </x:c>
      <x:c r="J4270" s="9" t="n">
        <x:v>231</x:v>
      </x:c>
      <x:c r="K4270" s="10" t="n">
        <x:v>0.1</x:v>
      </x:c>
      <x:c r="L4270" s="11" t="n">
        <x:v>0</x:v>
      </x:c>
      <x:c r="M4270" s="9" t="n">
        <x:f>IF(D4270="Completed",I4270*J4270,0)</x:f>
        <x:v>462</x:v>
      </x:c>
      <x:c r="N4270" s="9" t="n">
        <x:f>M4270*K4270</x:f>
        <x:v>46.2</x:v>
      </x:c>
      <x:c r="O4270" s="9" t="n">
        <x:f>M4270-N4270</x:f>
        <x:v>415.8</x:v>
      </x:c>
      <x:c r="P4270" s="9" t="n">
        <x:f>IF(D4270="Completed",L4270*J4270*(1-K4270),0)</x:f>
        <x:v>0</x:v>
      </x:c>
      <x:c r="Q4270" s="9" t="n">
        <x:f>O4270-P4270</x:f>
        <x:v>415.8</x:v>
      </x:c>
      <x:c r="R4270" s="11" t="n">
        <x:f>IF(D4270="Completed",I4270,0)</x:f>
        <x:v>2</x:v>
      </x:c>
      <x:c r="S4270" s="11" t="n">
        <x:f>IF(D4270="Completed",L4270,0)</x:f>
        <x:v>0</x:v>
      </x:c>
      <x:c r="T4270" s="8" t="n">
        <x:f>DATE(YEAR(C4270),MONTH(C4270),1)</x:f>
        <x:v>45839</x:v>
      </x:c>
    </x:row>
    <x:row r="4271" ht="22" customHeight="1">
      <x:c r="A4271" s="2" t="str">
        <x:v>L004267</x:v>
      </x:c>
      <x:c r="B4271" s="2" t="str">
        <x:v>O01734</x:v>
      </x:c>
      <x:c r="C4271" s="7" t="n">
        <x:v>45867</x:v>
      </x:c>
      <x:c r="D4271" s="2" t="str">
        <x:v>Completed</x:v>
      </x:c>
      <x:c r="E4271" s="2" t="str">
        <x:v>North</x:v>
      </x:c>
      <x:c r="F4271" s="2" t="str">
        <x:v>Online</x:v>
      </x:c>
      <x:c r="G4271" s="2" t="str">
        <x:v>Lighting</x:v>
      </x:c>
      <x:c r="H4271" s="2" t="str">
        <x:v>Lamp 009</x:v>
      </x:c>
      <x:c r="I4271" s="11" t="n">
        <x:v>5</x:v>
      </x:c>
      <x:c r="J4271" s="9" t="n">
        <x:v>93</x:v>
      </x:c>
      <x:c r="K4271" s="10" t="n">
        <x:v>0</x:v>
      </x:c>
      <x:c r="L4271" s="11" t="n">
        <x:v>0</x:v>
      </x:c>
      <x:c r="M4271" s="9" t="n">
        <x:f>IF(D4271="Completed",I4271*J4271,0)</x:f>
        <x:v>465</x:v>
      </x:c>
      <x:c r="N4271" s="9" t="n">
        <x:f>M4271*K4271</x:f>
        <x:v>0</x:v>
      </x:c>
      <x:c r="O4271" s="9" t="n">
        <x:f>M4271-N4271</x:f>
        <x:v>465</x:v>
      </x:c>
      <x:c r="P4271" s="9" t="n">
        <x:f>IF(D4271="Completed",L4271*J4271*(1-K4271),0)</x:f>
        <x:v>0</x:v>
      </x:c>
      <x:c r="Q4271" s="9" t="n">
        <x:f>O4271-P4271</x:f>
        <x:v>465</x:v>
      </x:c>
      <x:c r="R4271" s="11" t="n">
        <x:f>IF(D4271="Completed",I4271,0)</x:f>
        <x:v>5</x:v>
      </x:c>
      <x:c r="S4271" s="11" t="n">
        <x:f>IF(D4271="Completed",L4271,0)</x:f>
        <x:v>0</x:v>
      </x:c>
      <x:c r="T4271" s="8" t="n">
        <x:f>DATE(YEAR(C4271),MONTH(C4271),1)</x:f>
        <x:v>45839</x:v>
      </x:c>
    </x:row>
    <x:row r="4272" ht="22" customHeight="1">
      <x:c r="A4272" s="2" t="str">
        <x:v>L004268</x:v>
      </x:c>
      <x:c r="B4272" s="2" t="str">
        <x:v>O01735</x:v>
      </x:c>
      <x:c r="C4272" s="7" t="n">
        <x:v>45701</x:v>
      </x:c>
      <x:c r="D4272" s="2" t="str">
        <x:v>Completed</x:v>
      </x:c>
      <x:c r="E4272" s="2" t="str">
        <x:v>North</x:v>
      </x:c>
      <x:c r="F4272" s="2" t="str">
        <x:v>Online</x:v>
      </x:c>
      <x:c r="G4272" s="2" t="str">
        <x:v>Furniture</x:v>
      </x:c>
      <x:c r="H4272" s="2" t="str">
        <x:v>Chair 022</x:v>
      </x:c>
      <x:c r="I4272" s="11" t="n">
        <x:v>1</x:v>
      </x:c>
      <x:c r="J4272" s="9" t="n">
        <x:v>134</x:v>
      </x:c>
      <x:c r="K4272" s="10" t="n">
        <x:v>0.1</x:v>
      </x:c>
      <x:c r="L4272" s="11" t="n">
        <x:v>0</x:v>
      </x:c>
      <x:c r="M4272" s="9" t="n">
        <x:f>IF(D4272="Completed",I4272*J4272,0)</x:f>
        <x:v>134</x:v>
      </x:c>
      <x:c r="N4272" s="9" t="n">
        <x:f>M4272*K4272</x:f>
        <x:v>13.4</x:v>
      </x:c>
      <x:c r="O4272" s="9" t="n">
        <x:f>M4272-N4272</x:f>
        <x:v>120.6</x:v>
      </x:c>
      <x:c r="P4272" s="9" t="n">
        <x:f>IF(D4272="Completed",L4272*J4272*(1-K4272),0)</x:f>
        <x:v>0</x:v>
      </x:c>
      <x:c r="Q4272" s="9" t="n">
        <x:f>O4272-P4272</x:f>
        <x:v>120.6</x:v>
      </x:c>
      <x:c r="R4272" s="11" t="n">
        <x:f>IF(D4272="Completed",I4272,0)</x:f>
        <x:v>1</x:v>
      </x:c>
      <x:c r="S4272" s="11" t="n">
        <x:f>IF(D4272="Completed",L4272,0)</x:f>
        <x:v>0</x:v>
      </x:c>
      <x:c r="T4272" s="8" t="n">
        <x:f>DATE(YEAR(C4272),MONTH(C4272),1)</x:f>
        <x:v>45689</x:v>
      </x:c>
    </x:row>
    <x:row r="4273" ht="22" customHeight="1">
      <x:c r="A4273" s="2" t="str">
        <x:v>L004269</x:v>
      </x:c>
      <x:c r="B4273" s="2" t="str">
        <x:v>O01735</x:v>
      </x:c>
      <x:c r="C4273" s="7" t="n">
        <x:v>45701</x:v>
      </x:c>
      <x:c r="D4273" s="2" t="str">
        <x:v>Completed</x:v>
      </x:c>
      <x:c r="E4273" s="2" t="str">
        <x:v>North</x:v>
      </x:c>
      <x:c r="F4273" s="2" t="str">
        <x:v>Online</x:v>
      </x:c>
      <x:c r="G4273" s="2" t="str">
        <x:v>Furniture</x:v>
      </x:c>
      <x:c r="H4273" s="2" t="str">
        <x:v>Desk 020</x:v>
      </x:c>
      <x:c r="I4273" s="11" t="n">
        <x:v>4</x:v>
      </x:c>
      <x:c r="J4273" s="9" t="n">
        <x:v>189</x:v>
      </x:c>
      <x:c r="K4273" s="10" t="n">
        <x:v>0</x:v>
      </x:c>
      <x:c r="L4273" s="11" t="n">
        <x:v>0</x:v>
      </x:c>
      <x:c r="M4273" s="9" t="n">
        <x:f>IF(D4273="Completed",I4273*J4273,0)</x:f>
        <x:v>756</x:v>
      </x:c>
      <x:c r="N4273" s="9" t="n">
        <x:f>M4273*K4273</x:f>
        <x:v>0</x:v>
      </x:c>
      <x:c r="O4273" s="9" t="n">
        <x:f>M4273-N4273</x:f>
        <x:v>756</x:v>
      </x:c>
      <x:c r="P4273" s="9" t="n">
        <x:f>IF(D4273="Completed",L4273*J4273*(1-K4273),0)</x:f>
        <x:v>0</x:v>
      </x:c>
      <x:c r="Q4273" s="9" t="n">
        <x:f>O4273-P4273</x:f>
        <x:v>756</x:v>
      </x:c>
      <x:c r="R4273" s="11" t="n">
        <x:f>IF(D4273="Completed",I4273,0)</x:f>
        <x:v>4</x:v>
      </x:c>
      <x:c r="S4273" s="11" t="n">
        <x:f>IF(D4273="Completed",L4273,0)</x:f>
        <x:v>0</x:v>
      </x:c>
      <x:c r="T4273" s="8" t="n">
        <x:f>DATE(YEAR(C4273),MONTH(C4273),1)</x:f>
        <x:v>45689</x:v>
      </x:c>
    </x:row>
    <x:row r="4274" ht="22" customHeight="1">
      <x:c r="A4274" s="2" t="str">
        <x:v>L004270</x:v>
      </x:c>
      <x:c r="B4274" s="2" t="str">
        <x:v>O01736</x:v>
      </x:c>
      <x:c r="C4274" s="7" t="n">
        <x:v>45715</x:v>
      </x:c>
      <x:c r="D4274" s="2" t="str">
        <x:v>Completed</x:v>
      </x:c>
      <x:c r="E4274" s="2" t="str">
        <x:v>South</x:v>
      </x:c>
      <x:c r="F4274" s="2" t="str">
        <x:v>Online</x:v>
      </x:c>
      <x:c r="G4274" s="2" t="str">
        <x:v>Furniture</x:v>
      </x:c>
      <x:c r="H4274" s="2" t="str">
        <x:v>Desk 024</x:v>
      </x:c>
      <x:c r="I4274" s="11" t="n">
        <x:v>1</x:v>
      </x:c>
      <x:c r="J4274" s="9" t="n">
        <x:v>81</x:v>
      </x:c>
      <x:c r="K4274" s="10" t="n">
        <x:v>0.05</x:v>
      </x:c>
      <x:c r="L4274" s="11" t="n">
        <x:v>0</x:v>
      </x:c>
      <x:c r="M4274" s="9" t="n">
        <x:f>IF(D4274="Completed",I4274*J4274,0)</x:f>
        <x:v>81</x:v>
      </x:c>
      <x:c r="N4274" s="9" t="n">
        <x:f>M4274*K4274</x:f>
        <x:v>4.05</x:v>
      </x:c>
      <x:c r="O4274" s="9" t="n">
        <x:f>M4274-N4274</x:f>
        <x:v>76.95</x:v>
      </x:c>
      <x:c r="P4274" s="9" t="n">
        <x:f>IF(D4274="Completed",L4274*J4274*(1-K4274),0)</x:f>
        <x:v>0</x:v>
      </x:c>
      <x:c r="Q4274" s="9" t="n">
        <x:f>O4274-P4274</x:f>
        <x:v>76.95</x:v>
      </x:c>
      <x:c r="R4274" s="11" t="n">
        <x:f>IF(D4274="Completed",I4274,0)</x:f>
        <x:v>1</x:v>
      </x:c>
      <x:c r="S4274" s="11" t="n">
        <x:f>IF(D4274="Completed",L4274,0)</x:f>
        <x:v>0</x:v>
      </x:c>
      <x:c r="T4274" s="8" t="n">
        <x:f>DATE(YEAR(C4274),MONTH(C4274),1)</x:f>
        <x:v>45689</x:v>
      </x:c>
    </x:row>
    <x:row r="4275" ht="22" customHeight="1">
      <x:c r="A4275" s="2" t="str">
        <x:v>L004271</x:v>
      </x:c>
      <x:c r="B4275" s="2" t="str">
        <x:v>O01736</x:v>
      </x:c>
      <x:c r="C4275" s="7" t="n">
        <x:v>45715</x:v>
      </x:c>
      <x:c r="D4275" s="2" t="str">
        <x:v>Completed</x:v>
      </x:c>
      <x:c r="E4275" s="2" t="str">
        <x:v>South</x:v>
      </x:c>
      <x:c r="F4275" s="2" t="str">
        <x:v>Online</x:v>
      </x:c>
      <x:c r="G4275" s="2" t="str">
        <x:v>Furniture</x:v>
      </x:c>
      <x:c r="H4275" s="2" t="str">
        <x:v>Chair 010</x:v>
      </x:c>
      <x:c r="I4275" s="11" t="n">
        <x:v>5</x:v>
      </x:c>
      <x:c r="J4275" s="9" t="n">
        <x:v>211</x:v>
      </x:c>
      <x:c r="K4275" s="10" t="n">
        <x:v>0.1</x:v>
      </x:c>
      <x:c r="L4275" s="11" t="n">
        <x:v>0</x:v>
      </x:c>
      <x:c r="M4275" s="9" t="n">
        <x:f>IF(D4275="Completed",I4275*J4275,0)</x:f>
        <x:v>1055</x:v>
      </x:c>
      <x:c r="N4275" s="9" t="n">
        <x:f>M4275*K4275</x:f>
        <x:v>105.5</x:v>
      </x:c>
      <x:c r="O4275" s="9" t="n">
        <x:f>M4275-N4275</x:f>
        <x:v>949.5</x:v>
      </x:c>
      <x:c r="P4275" s="9" t="n">
        <x:f>IF(D4275="Completed",L4275*J4275*(1-K4275),0)</x:f>
        <x:v>0</x:v>
      </x:c>
      <x:c r="Q4275" s="9" t="n">
        <x:f>O4275-P4275</x:f>
        <x:v>949.5</x:v>
      </x:c>
      <x:c r="R4275" s="11" t="n">
        <x:f>IF(D4275="Completed",I4275,0)</x:f>
        <x:v>5</x:v>
      </x:c>
      <x:c r="S4275" s="11" t="n">
        <x:f>IF(D4275="Completed",L4275,0)</x:f>
        <x:v>0</x:v>
      </x:c>
      <x:c r="T4275" s="8" t="n">
        <x:f>DATE(YEAR(C4275),MONTH(C4275),1)</x:f>
        <x:v>45689</x:v>
      </x:c>
    </x:row>
    <x:row r="4276" ht="22" customHeight="1">
      <x:c r="A4276" s="2" t="str">
        <x:v>L004272</x:v>
      </x:c>
      <x:c r="B4276" s="2" t="str">
        <x:v>O01736</x:v>
      </x:c>
      <x:c r="C4276" s="7" t="n">
        <x:v>45715</x:v>
      </x:c>
      <x:c r="D4276" s="2" t="str">
        <x:v>Completed</x:v>
      </x:c>
      <x:c r="E4276" s="2" t="str">
        <x:v>South</x:v>
      </x:c>
      <x:c r="F4276" s="2" t="str">
        <x:v>Online</x:v>
      </x:c>
      <x:c r="G4276" s="2" t="str">
        <x:v>Lighting</x:v>
      </x:c>
      <x:c r="H4276" s="2" t="str">
        <x:v>Lamp 013</x:v>
      </x:c>
      <x:c r="I4276" s="11" t="n">
        <x:v>3</x:v>
      </x:c>
      <x:c r="J4276" s="9" t="n">
        <x:v>271</x:v>
      </x:c>
      <x:c r="K4276" s="10" t="n">
        <x:v>0</x:v>
      </x:c>
      <x:c r="L4276" s="11" t="n">
        <x:v>0</x:v>
      </x:c>
      <x:c r="M4276" s="9" t="n">
        <x:f>IF(D4276="Completed",I4276*J4276,0)</x:f>
        <x:v>813</x:v>
      </x:c>
      <x:c r="N4276" s="9" t="n">
        <x:f>M4276*K4276</x:f>
        <x:v>0</x:v>
      </x:c>
      <x:c r="O4276" s="9" t="n">
        <x:f>M4276-N4276</x:f>
        <x:v>813</x:v>
      </x:c>
      <x:c r="P4276" s="9" t="n">
        <x:f>IF(D4276="Completed",L4276*J4276*(1-K4276),0)</x:f>
        <x:v>0</x:v>
      </x:c>
      <x:c r="Q4276" s="9" t="n">
        <x:f>O4276-P4276</x:f>
        <x:v>813</x:v>
      </x:c>
      <x:c r="R4276" s="11" t="n">
        <x:f>IF(D4276="Completed",I4276,0)</x:f>
        <x:v>3</x:v>
      </x:c>
      <x:c r="S4276" s="11" t="n">
        <x:f>IF(D4276="Completed",L4276,0)</x:f>
        <x:v>0</x:v>
      </x:c>
      <x:c r="T4276" s="8" t="n">
        <x:f>DATE(YEAR(C4276),MONTH(C4276),1)</x:f>
        <x:v>45689</x:v>
      </x:c>
    </x:row>
    <x:row r="4277" ht="22" customHeight="1">
      <x:c r="A4277" s="2" t="str">
        <x:v>L004273</x:v>
      </x:c>
      <x:c r="B4277" s="2" t="str">
        <x:v>O01736</x:v>
      </x:c>
      <x:c r="C4277" s="7" t="n">
        <x:v>45715</x:v>
      </x:c>
      <x:c r="D4277" s="2" t="str">
        <x:v>Completed</x:v>
      </x:c>
      <x:c r="E4277" s="2" t="str">
        <x:v>South</x:v>
      </x:c>
      <x:c r="F4277" s="2" t="str">
        <x:v>Online</x:v>
      </x:c>
      <x:c r="G4277" s="2" t="str">
        <x:v>Storage</x:v>
      </x:c>
      <x:c r="H4277" s="2" t="str">
        <x:v>Shelf 023</x:v>
      </x:c>
      <x:c r="I4277" s="11" t="n">
        <x:v>3</x:v>
      </x:c>
      <x:c r="J4277" s="9" t="n">
        <x:v>68</x:v>
      </x:c>
      <x:c r="K4277" s="10" t="n">
        <x:v>0.05</x:v>
      </x:c>
      <x:c r="L4277" s="11" t="n">
        <x:v>0</x:v>
      </x:c>
      <x:c r="M4277" s="9" t="n">
        <x:f>IF(D4277="Completed",I4277*J4277,0)</x:f>
        <x:v>204</x:v>
      </x:c>
      <x:c r="N4277" s="9" t="n">
        <x:f>M4277*K4277</x:f>
        <x:v>10.200000000000001</x:v>
      </x:c>
      <x:c r="O4277" s="9" t="n">
        <x:f>M4277-N4277</x:f>
        <x:v>193.8</x:v>
      </x:c>
      <x:c r="P4277" s="9" t="n">
        <x:f>IF(D4277="Completed",L4277*J4277*(1-K4277),0)</x:f>
        <x:v>0</x:v>
      </x:c>
      <x:c r="Q4277" s="9" t="n">
        <x:f>O4277-P4277</x:f>
        <x:v>193.8</x:v>
      </x:c>
      <x:c r="R4277" s="11" t="n">
        <x:f>IF(D4277="Completed",I4277,0)</x:f>
        <x:v>3</x:v>
      </x:c>
      <x:c r="S4277" s="11" t="n">
        <x:f>IF(D4277="Completed",L4277,0)</x:f>
        <x:v>0</x:v>
      </x:c>
      <x:c r="T4277" s="8" t="n">
        <x:f>DATE(YEAR(C4277),MONTH(C4277),1)</x:f>
        <x:v>45689</x:v>
      </x:c>
    </x:row>
    <x:row r="4278" ht="22" customHeight="1">
      <x:c r="A4278" s="2" t="str">
        <x:v>L004274</x:v>
      </x:c>
      <x:c r="B4278" s="2" t="str">
        <x:v>O01737</x:v>
      </x:c>
      <x:c r="C4278" s="7" t="n">
        <x:v>45788</x:v>
      </x:c>
      <x:c r="D4278" s="2" t="str">
        <x:v>Completed</x:v>
      </x:c>
      <x:c r="E4278" s="2" t="str">
        <x:v>West</x:v>
      </x:c>
      <x:c r="F4278" s="2" t="str">
        <x:v>Online</x:v>
      </x:c>
      <x:c r="G4278" s="2" t="str">
        <x:v>Furniture</x:v>
      </x:c>
      <x:c r="H4278" s="2" t="str">
        <x:v>Chair 006</x:v>
      </x:c>
      <x:c r="I4278" s="11" t="n">
        <x:v>4</x:v>
      </x:c>
      <x:c r="J4278" s="9" t="n">
        <x:v>196</x:v>
      </x:c>
      <x:c r="K4278" s="10" t="n">
        <x:v>0.2</x:v>
      </x:c>
      <x:c r="L4278" s="11" t="n">
        <x:v>0</x:v>
      </x:c>
      <x:c r="M4278" s="9" t="n">
        <x:f>IF(D4278="Completed",I4278*J4278,0)</x:f>
        <x:v>784</x:v>
      </x:c>
      <x:c r="N4278" s="9" t="n">
        <x:f>M4278*K4278</x:f>
        <x:v>156.8</x:v>
      </x:c>
      <x:c r="O4278" s="9" t="n">
        <x:f>M4278-N4278</x:f>
        <x:v>627.2</x:v>
      </x:c>
      <x:c r="P4278" s="9" t="n">
        <x:f>IF(D4278="Completed",L4278*J4278*(1-K4278),0)</x:f>
        <x:v>0</x:v>
      </x:c>
      <x:c r="Q4278" s="9" t="n">
        <x:f>O4278-P4278</x:f>
        <x:v>627.2</x:v>
      </x:c>
      <x:c r="R4278" s="11" t="n">
        <x:f>IF(D4278="Completed",I4278,0)</x:f>
        <x:v>4</x:v>
      </x:c>
      <x:c r="S4278" s="11" t="n">
        <x:f>IF(D4278="Completed",L4278,0)</x:f>
        <x:v>0</x:v>
      </x:c>
      <x:c r="T4278" s="8" t="n">
        <x:f>DATE(YEAR(C4278),MONTH(C4278),1)</x:f>
        <x:v>45778</x:v>
      </x:c>
    </x:row>
    <x:row r="4279" ht="22" customHeight="1">
      <x:c r="A4279" s="2" t="str">
        <x:v>L004275</x:v>
      </x:c>
      <x:c r="B4279" s="2" t="str">
        <x:v>O01737</x:v>
      </x:c>
      <x:c r="C4279" s="7" t="n">
        <x:v>45788</x:v>
      </x:c>
      <x:c r="D4279" s="2" t="str">
        <x:v>Completed</x:v>
      </x:c>
      <x:c r="E4279" s="2" t="str">
        <x:v>West</x:v>
      </x:c>
      <x:c r="F4279" s="2" t="str">
        <x:v>Online</x:v>
      </x:c>
      <x:c r="G4279" s="2" t="str">
        <x:v>Storage</x:v>
      </x:c>
      <x:c r="H4279" s="2" t="str">
        <x:v>Shelf 023</x:v>
      </x:c>
      <x:c r="I4279" s="11" t="n">
        <x:v>3</x:v>
      </x:c>
      <x:c r="J4279" s="9" t="n">
        <x:v>68</x:v>
      </x:c>
      <x:c r="K4279" s="10" t="n">
        <x:v>0.1</x:v>
      </x:c>
      <x:c r="L4279" s="11" t="n">
        <x:v>0</x:v>
      </x:c>
      <x:c r="M4279" s="9" t="n">
        <x:f>IF(D4279="Completed",I4279*J4279,0)</x:f>
        <x:v>204</x:v>
      </x:c>
      <x:c r="N4279" s="9" t="n">
        <x:f>M4279*K4279</x:f>
        <x:v>20.400000000000002</x:v>
      </x:c>
      <x:c r="O4279" s="9" t="n">
        <x:f>M4279-N4279</x:f>
        <x:v>183.6</x:v>
      </x:c>
      <x:c r="P4279" s="9" t="n">
        <x:f>IF(D4279="Completed",L4279*J4279*(1-K4279),0)</x:f>
        <x:v>0</x:v>
      </x:c>
      <x:c r="Q4279" s="9" t="n">
        <x:f>O4279-P4279</x:f>
        <x:v>183.6</x:v>
      </x:c>
      <x:c r="R4279" s="11" t="n">
        <x:f>IF(D4279="Completed",I4279,0)</x:f>
        <x:v>3</x:v>
      </x:c>
      <x:c r="S4279" s="11" t="n">
        <x:f>IF(D4279="Completed",L4279,0)</x:f>
        <x:v>0</x:v>
      </x:c>
      <x:c r="T4279" s="8" t="n">
        <x:f>DATE(YEAR(C4279),MONTH(C4279),1)</x:f>
        <x:v>45778</x:v>
      </x:c>
    </x:row>
    <x:row r="4280" ht="22" customHeight="1">
      <x:c r="A4280" s="2" t="str">
        <x:v>L004276</x:v>
      </x:c>
      <x:c r="B4280" s="2" t="str">
        <x:v>O01738</x:v>
      </x:c>
      <x:c r="C4280" s="7" t="n">
        <x:v>45727</x:v>
      </x:c>
      <x:c r="D4280" s="2" t="str">
        <x:v>Completed</x:v>
      </x:c>
      <x:c r="E4280" s="2" t="str">
        <x:v>East</x:v>
      </x:c>
      <x:c r="F4280" s="2" t="str">
        <x:v>Store</x:v>
      </x:c>
      <x:c r="G4280" s="2" t="str">
        <x:v>Storage</x:v>
      </x:c>
      <x:c r="H4280" s="2" t="str">
        <x:v>Shelf 019</x:v>
      </x:c>
      <x:c r="I4280" s="11" t="n">
        <x:v>1</x:v>
      </x:c>
      <x:c r="J4280" s="9" t="n">
        <x:v>78</x:v>
      </x:c>
      <x:c r="K4280" s="10" t="n">
        <x:v>0.05</x:v>
      </x:c>
      <x:c r="L4280" s="11" t="n">
        <x:v>0</x:v>
      </x:c>
      <x:c r="M4280" s="9" t="n">
        <x:f>IF(D4280="Completed",I4280*J4280,0)</x:f>
        <x:v>78</x:v>
      </x:c>
      <x:c r="N4280" s="9" t="n">
        <x:f>M4280*K4280</x:f>
        <x:v>3.9000000000000004</x:v>
      </x:c>
      <x:c r="O4280" s="9" t="n">
        <x:f>M4280-N4280</x:f>
        <x:v>74.1</x:v>
      </x:c>
      <x:c r="P4280" s="9" t="n">
        <x:f>IF(D4280="Completed",L4280*J4280*(1-K4280),0)</x:f>
        <x:v>0</x:v>
      </x:c>
      <x:c r="Q4280" s="9" t="n">
        <x:f>O4280-P4280</x:f>
        <x:v>74.1</x:v>
      </x:c>
      <x:c r="R4280" s="11" t="n">
        <x:f>IF(D4280="Completed",I4280,0)</x:f>
        <x:v>1</x:v>
      </x:c>
      <x:c r="S4280" s="11" t="n">
        <x:f>IF(D4280="Completed",L4280,0)</x:f>
        <x:v>0</x:v>
      </x:c>
      <x:c r="T4280" s="8" t="n">
        <x:f>DATE(YEAR(C4280),MONTH(C4280),1)</x:f>
        <x:v>45717</x:v>
      </x:c>
    </x:row>
    <x:row r="4281" ht="22" customHeight="1">
      <x:c r="A4281" s="2" t="str">
        <x:v>L004277</x:v>
      </x:c>
      <x:c r="B4281" s="2" t="str">
        <x:v>O01738</x:v>
      </x:c>
      <x:c r="C4281" s="7" t="n">
        <x:v>45727</x:v>
      </x:c>
      <x:c r="D4281" s="2" t="str">
        <x:v>Completed</x:v>
      </x:c>
      <x:c r="E4281" s="2" t="str">
        <x:v>East</x:v>
      </x:c>
      <x:c r="F4281" s="2" t="str">
        <x:v>Store</x:v>
      </x:c>
      <x:c r="G4281" s="2" t="str">
        <x:v>Furniture</x:v>
      </x:c>
      <x:c r="H4281" s="2" t="str">
        <x:v>Desk 012</x:v>
      </x:c>
      <x:c r="I4281" s="11" t="n">
        <x:v>3</x:v>
      </x:c>
      <x:c r="J4281" s="9" t="n">
        <x:v>134</x:v>
      </x:c>
      <x:c r="K4281" s="10" t="n">
        <x:v>0</x:v>
      </x:c>
      <x:c r="L4281" s="11" t="n">
        <x:v>0</x:v>
      </x:c>
      <x:c r="M4281" s="9" t="n">
        <x:f>IF(D4281="Completed",I4281*J4281,0)</x:f>
        <x:v>402</x:v>
      </x:c>
      <x:c r="N4281" s="9" t="n">
        <x:f>M4281*K4281</x:f>
        <x:v>0</x:v>
      </x:c>
      <x:c r="O4281" s="9" t="n">
        <x:f>M4281-N4281</x:f>
        <x:v>402</x:v>
      </x:c>
      <x:c r="P4281" s="9" t="n">
        <x:f>IF(D4281="Completed",L4281*J4281*(1-K4281),0)</x:f>
        <x:v>0</x:v>
      </x:c>
      <x:c r="Q4281" s="9" t="n">
        <x:f>O4281-P4281</x:f>
        <x:v>402</x:v>
      </x:c>
      <x:c r="R4281" s="11" t="n">
        <x:f>IF(D4281="Completed",I4281,0)</x:f>
        <x:v>3</x:v>
      </x:c>
      <x:c r="S4281" s="11" t="n">
        <x:f>IF(D4281="Completed",L4281,0)</x:f>
        <x:v>0</x:v>
      </x:c>
      <x:c r="T4281" s="8" t="n">
        <x:f>DATE(YEAR(C4281),MONTH(C4281),1)</x:f>
        <x:v>45717</x:v>
      </x:c>
    </x:row>
    <x:row r="4282" ht="22" customHeight="1">
      <x:c r="A4282" s="2" t="str">
        <x:v>L004278</x:v>
      </x:c>
      <x:c r="B4282" s="2" t="str">
        <x:v>O01738</x:v>
      </x:c>
      <x:c r="C4282" s="7" t="n">
        <x:v>45727</x:v>
      </x:c>
      <x:c r="D4282" s="2" t="str">
        <x:v>Completed</x:v>
      </x:c>
      <x:c r="E4282" s="2" t="str">
        <x:v>East</x:v>
      </x:c>
      <x:c r="F4282" s="2" t="str">
        <x:v>Store</x:v>
      </x:c>
      <x:c r="G4282" s="2" t="str">
        <x:v>Lighting</x:v>
      </x:c>
      <x:c r="H4282" s="2" t="str">
        <x:v>Lamp 017</x:v>
      </x:c>
      <x:c r="I4282" s="11" t="n">
        <x:v>3</x:v>
      </x:c>
      <x:c r="J4282" s="9" t="n">
        <x:v>300</x:v>
      </x:c>
      <x:c r="K4282" s="10" t="n">
        <x:v>0.2</x:v>
      </x:c>
      <x:c r="L4282" s="11" t="n">
        <x:v>0</x:v>
      </x:c>
      <x:c r="M4282" s="9" t="n">
        <x:f>IF(D4282="Completed",I4282*J4282,0)</x:f>
        <x:v>900</x:v>
      </x:c>
      <x:c r="N4282" s="9" t="n">
        <x:f>M4282*K4282</x:f>
        <x:v>180</x:v>
      </x:c>
      <x:c r="O4282" s="9" t="n">
        <x:f>M4282-N4282</x:f>
        <x:v>720</x:v>
      </x:c>
      <x:c r="P4282" s="9" t="n">
        <x:f>IF(D4282="Completed",L4282*J4282*(1-K4282),0)</x:f>
        <x:v>0</x:v>
      </x:c>
      <x:c r="Q4282" s="9" t="n">
        <x:f>O4282-P4282</x:f>
        <x:v>720</x:v>
      </x:c>
      <x:c r="R4282" s="11" t="n">
        <x:f>IF(D4282="Completed",I4282,0)</x:f>
        <x:v>3</x:v>
      </x:c>
      <x:c r="S4282" s="11" t="n">
        <x:f>IF(D4282="Completed",L4282,0)</x:f>
        <x:v>0</x:v>
      </x:c>
      <x:c r="T4282" s="8" t="n">
        <x:f>DATE(YEAR(C4282),MONTH(C4282),1)</x:f>
        <x:v>45717</x:v>
      </x:c>
    </x:row>
    <x:row r="4283" ht="22" customHeight="1">
      <x:c r="A4283" s="2" t="str">
        <x:v>L004279</x:v>
      </x:c>
      <x:c r="B4283" s="2" t="str">
        <x:v>O01739</x:v>
      </x:c>
      <x:c r="C4283" s="7" t="n">
        <x:v>45939</x:v>
      </x:c>
      <x:c r="D4283" s="2" t="str">
        <x:v>Completed</x:v>
      </x:c>
      <x:c r="E4283" s="2" t="str">
        <x:v>North</x:v>
      </x:c>
      <x:c r="F4283" s="2" t="str">
        <x:v>Store</x:v>
      </x:c>
      <x:c r="G4283" s="2" t="str">
        <x:v>Storage</x:v>
      </x:c>
      <x:c r="H4283" s="2" t="str">
        <x:v>Shelf 003</x:v>
      </x:c>
      <x:c r="I4283" s="11" t="n">
        <x:v>1</x:v>
      </x:c>
      <x:c r="J4283" s="9" t="n">
        <x:v>199</x:v>
      </x:c>
      <x:c r="K4283" s="10" t="n">
        <x:v>0.05</x:v>
      </x:c>
      <x:c r="L4283" s="11" t="n">
        <x:v>0</x:v>
      </x:c>
      <x:c r="M4283" s="9" t="n">
        <x:f>IF(D4283="Completed",I4283*J4283,0)</x:f>
        <x:v>199</x:v>
      </x:c>
      <x:c r="N4283" s="9" t="n">
        <x:f>M4283*K4283</x:f>
        <x:v>9.950000000000001</x:v>
      </x:c>
      <x:c r="O4283" s="9" t="n">
        <x:f>M4283-N4283</x:f>
        <x:v>189.05</x:v>
      </x:c>
      <x:c r="P4283" s="9" t="n">
        <x:f>IF(D4283="Completed",L4283*J4283*(1-K4283),0)</x:f>
        <x:v>0</x:v>
      </x:c>
      <x:c r="Q4283" s="9" t="n">
        <x:f>O4283-P4283</x:f>
        <x:v>189.05</x:v>
      </x:c>
      <x:c r="R4283" s="11" t="n">
        <x:f>IF(D4283="Completed",I4283,0)</x:f>
        <x:v>1</x:v>
      </x:c>
      <x:c r="S4283" s="11" t="n">
        <x:f>IF(D4283="Completed",L4283,0)</x:f>
        <x:v>0</x:v>
      </x:c>
      <x:c r="T4283" s="8" t="n">
        <x:f>DATE(YEAR(C4283),MONTH(C4283),1)</x:f>
        <x:v>45931</x:v>
      </x:c>
    </x:row>
    <x:row r="4284" ht="22" customHeight="1">
      <x:c r="A4284" s="2" t="str">
        <x:v>L004280</x:v>
      </x:c>
      <x:c r="B4284" s="2" t="str">
        <x:v>O01739</x:v>
      </x:c>
      <x:c r="C4284" s="7" t="n">
        <x:v>45939</x:v>
      </x:c>
      <x:c r="D4284" s="2" t="str">
        <x:v>Completed</x:v>
      </x:c>
      <x:c r="E4284" s="2" t="str">
        <x:v>North</x:v>
      </x:c>
      <x:c r="F4284" s="2" t="str">
        <x:v>Store</x:v>
      </x:c>
      <x:c r="G4284" s="2" t="str">
        <x:v>Lighting</x:v>
      </x:c>
      <x:c r="H4284" s="2" t="str">
        <x:v>Lamp 021</x:v>
      </x:c>
      <x:c r="I4284" s="11" t="n">
        <x:v>5</x:v>
      </x:c>
      <x:c r="J4284" s="9" t="n">
        <x:v>249</x:v>
      </x:c>
      <x:c r="K4284" s="10" t="n">
        <x:v>0.05</x:v>
      </x:c>
      <x:c r="L4284" s="11" t="n">
        <x:v>0</x:v>
      </x:c>
      <x:c r="M4284" s="9" t="n">
        <x:f>IF(D4284="Completed",I4284*J4284,0)</x:f>
        <x:v>1245</x:v>
      </x:c>
      <x:c r="N4284" s="9" t="n">
        <x:f>M4284*K4284</x:f>
        <x:v>62.25</x:v>
      </x:c>
      <x:c r="O4284" s="9" t="n">
        <x:f>M4284-N4284</x:f>
        <x:v>1182.75</x:v>
      </x:c>
      <x:c r="P4284" s="9" t="n">
        <x:f>IF(D4284="Completed",L4284*J4284*(1-K4284),0)</x:f>
        <x:v>0</x:v>
      </x:c>
      <x:c r="Q4284" s="9" t="n">
        <x:f>O4284-P4284</x:f>
        <x:v>1182.75</x:v>
      </x:c>
      <x:c r="R4284" s="11" t="n">
        <x:f>IF(D4284="Completed",I4284,0)</x:f>
        <x:v>5</x:v>
      </x:c>
      <x:c r="S4284" s="11" t="n">
        <x:f>IF(D4284="Completed",L4284,0)</x:f>
        <x:v>0</x:v>
      </x:c>
      <x:c r="T4284" s="8" t="n">
        <x:f>DATE(YEAR(C4284),MONTH(C4284),1)</x:f>
        <x:v>45931</x:v>
      </x:c>
    </x:row>
    <x:row r="4285" ht="22" customHeight="1">
      <x:c r="A4285" s="2" t="str">
        <x:v>L004281</x:v>
      </x:c>
      <x:c r="B4285" s="2" t="str">
        <x:v>O01739</x:v>
      </x:c>
      <x:c r="C4285" s="7" t="n">
        <x:v>45939</x:v>
      </x:c>
      <x:c r="D4285" s="2" t="str">
        <x:v>Completed</x:v>
      </x:c>
      <x:c r="E4285" s="2" t="str">
        <x:v>North</x:v>
      </x:c>
      <x:c r="F4285" s="2" t="str">
        <x:v>Store</x:v>
      </x:c>
      <x:c r="G4285" s="2" t="str">
        <x:v>Furniture</x:v>
      </x:c>
      <x:c r="H4285" s="2" t="str">
        <x:v>Chair 022</x:v>
      </x:c>
      <x:c r="I4285" s="11" t="n">
        <x:v>5</x:v>
      </x:c>
      <x:c r="J4285" s="9" t="n">
        <x:v>134</x:v>
      </x:c>
      <x:c r="K4285" s="10" t="n">
        <x:v>0</x:v>
      </x:c>
      <x:c r="L4285" s="11" t="n">
        <x:v>2</x:v>
      </x:c>
      <x:c r="M4285" s="9" t="n">
        <x:f>IF(D4285="Completed",I4285*J4285,0)</x:f>
        <x:v>670</x:v>
      </x:c>
      <x:c r="N4285" s="9" t="n">
        <x:f>M4285*K4285</x:f>
        <x:v>0</x:v>
      </x:c>
      <x:c r="O4285" s="9" t="n">
        <x:f>M4285-N4285</x:f>
        <x:v>670</x:v>
      </x:c>
      <x:c r="P4285" s="9" t="n">
        <x:f>IF(D4285="Completed",L4285*J4285*(1-K4285),0)</x:f>
        <x:v>268</x:v>
      </x:c>
      <x:c r="Q4285" s="9" t="n">
        <x:f>O4285-P4285</x:f>
        <x:v>402</x:v>
      </x:c>
      <x:c r="R4285" s="11" t="n">
        <x:f>IF(D4285="Completed",I4285,0)</x:f>
        <x:v>5</x:v>
      </x:c>
      <x:c r="S4285" s="11" t="n">
        <x:f>IF(D4285="Completed",L4285,0)</x:f>
        <x:v>2</x:v>
      </x:c>
      <x:c r="T4285" s="8" t="n">
        <x:f>DATE(YEAR(C4285),MONTH(C4285),1)</x:f>
        <x:v>45931</x:v>
      </x:c>
    </x:row>
    <x:row r="4286" ht="22" customHeight="1">
      <x:c r="A4286" s="2" t="str">
        <x:v>L004282</x:v>
      </x:c>
      <x:c r="B4286" s="2" t="str">
        <x:v>O01739</x:v>
      </x:c>
      <x:c r="C4286" s="7" t="n">
        <x:v>45939</x:v>
      </x:c>
      <x:c r="D4286" s="2" t="str">
        <x:v>Completed</x:v>
      </x:c>
      <x:c r="E4286" s="2" t="str">
        <x:v>North</x:v>
      </x:c>
      <x:c r="F4286" s="2" t="str">
        <x:v>Store</x:v>
      </x:c>
      <x:c r="G4286" s="2" t="str">
        <x:v>Furniture</x:v>
      </x:c>
      <x:c r="H4286" s="2" t="str">
        <x:v>Desk 004</x:v>
      </x:c>
      <x:c r="I4286" s="11" t="n">
        <x:v>4</x:v>
      </x:c>
      <x:c r="J4286" s="9" t="n">
        <x:v>123</x:v>
      </x:c>
      <x:c r="K4286" s="10" t="n">
        <x:v>0.2</x:v>
      </x:c>
      <x:c r="L4286" s="11" t="n">
        <x:v>0</x:v>
      </x:c>
      <x:c r="M4286" s="9" t="n">
        <x:f>IF(D4286="Completed",I4286*J4286,0)</x:f>
        <x:v>492</x:v>
      </x:c>
      <x:c r="N4286" s="9" t="n">
        <x:f>M4286*K4286</x:f>
        <x:v>98.4</x:v>
      </x:c>
      <x:c r="O4286" s="9" t="n">
        <x:f>M4286-N4286</x:f>
        <x:v>393.6</x:v>
      </x:c>
      <x:c r="P4286" s="9" t="n">
        <x:f>IF(D4286="Completed",L4286*J4286*(1-K4286),0)</x:f>
        <x:v>0</x:v>
      </x:c>
      <x:c r="Q4286" s="9" t="n">
        <x:f>O4286-P4286</x:f>
        <x:v>393.6</x:v>
      </x:c>
      <x:c r="R4286" s="11" t="n">
        <x:f>IF(D4286="Completed",I4286,0)</x:f>
        <x:v>4</x:v>
      </x:c>
      <x:c r="S4286" s="11" t="n">
        <x:f>IF(D4286="Completed",L4286,0)</x:f>
        <x:v>0</x:v>
      </x:c>
      <x:c r="T4286" s="8" t="n">
        <x:f>DATE(YEAR(C4286),MONTH(C4286),1)</x:f>
        <x:v>45931</x:v>
      </x:c>
    </x:row>
    <x:row r="4287" ht="22" customHeight="1">
      <x:c r="A4287" s="2" t="str">
        <x:v>L004283</x:v>
      </x:c>
      <x:c r="B4287" s="2" t="str">
        <x:v>O01740</x:v>
      </x:c>
      <x:c r="C4287" s="7" t="n">
        <x:v>45733</x:v>
      </x:c>
      <x:c r="D4287" s="2" t="str">
        <x:v>Completed</x:v>
      </x:c>
      <x:c r="E4287" s="2" t="str">
        <x:v>North</x:v>
      </x:c>
      <x:c r="F4287" s="2" t="str">
        <x:v>Store</x:v>
      </x:c>
      <x:c r="G4287" s="2" t="str">
        <x:v>Lighting</x:v>
      </x:c>
      <x:c r="H4287" s="2" t="str">
        <x:v>Lamp 021</x:v>
      </x:c>
      <x:c r="I4287" s="11" t="n">
        <x:v>1</x:v>
      </x:c>
      <x:c r="J4287" s="9" t="n">
        <x:v>249</x:v>
      </x:c>
      <x:c r="K4287" s="10" t="n">
        <x:v>0</x:v>
      </x:c>
      <x:c r="L4287" s="11" t="n">
        <x:v>0</x:v>
      </x:c>
      <x:c r="M4287" s="9" t="n">
        <x:f>IF(D4287="Completed",I4287*J4287,0)</x:f>
        <x:v>249</x:v>
      </x:c>
      <x:c r="N4287" s="9" t="n">
        <x:f>M4287*K4287</x:f>
        <x:v>0</x:v>
      </x:c>
      <x:c r="O4287" s="9" t="n">
        <x:f>M4287-N4287</x:f>
        <x:v>249</x:v>
      </x:c>
      <x:c r="P4287" s="9" t="n">
        <x:f>IF(D4287="Completed",L4287*J4287*(1-K4287),0)</x:f>
        <x:v>0</x:v>
      </x:c>
      <x:c r="Q4287" s="9" t="n">
        <x:f>O4287-P4287</x:f>
        <x:v>249</x:v>
      </x:c>
      <x:c r="R4287" s="11" t="n">
        <x:f>IF(D4287="Completed",I4287,0)</x:f>
        <x:v>1</x:v>
      </x:c>
      <x:c r="S4287" s="11" t="n">
        <x:f>IF(D4287="Completed",L4287,0)</x:f>
        <x:v>0</x:v>
      </x:c>
      <x:c r="T4287" s="8" t="n">
        <x:f>DATE(YEAR(C4287),MONTH(C4287),1)</x:f>
        <x:v>45717</x:v>
      </x:c>
    </x:row>
    <x:row r="4288" ht="22" customHeight="1">
      <x:c r="A4288" s="2" t="str">
        <x:v>L004284</x:v>
      </x:c>
      <x:c r="B4288" s="2" t="str">
        <x:v>O01740</x:v>
      </x:c>
      <x:c r="C4288" s="7" t="n">
        <x:v>45733</x:v>
      </x:c>
      <x:c r="D4288" s="2" t="str">
        <x:v>Completed</x:v>
      </x:c>
      <x:c r="E4288" s="2" t="str">
        <x:v>North</x:v>
      </x:c>
      <x:c r="F4288" s="2" t="str">
        <x:v>Store</x:v>
      </x:c>
      <x:c r="G4288" s="2" t="str">
        <x:v>Furniture</x:v>
      </x:c>
      <x:c r="H4288" s="2" t="str">
        <x:v>Chair 018</x:v>
      </x:c>
      <x:c r="I4288" s="11" t="n">
        <x:v>2</x:v>
      </x:c>
      <x:c r="J4288" s="9" t="n">
        <x:v>269</x:v>
      </x:c>
      <x:c r="K4288" s="10" t="n">
        <x:v>0.05</x:v>
      </x:c>
      <x:c r="L4288" s="11" t="n">
        <x:v>0</x:v>
      </x:c>
      <x:c r="M4288" s="9" t="n">
        <x:f>IF(D4288="Completed",I4288*J4288,0)</x:f>
        <x:v>538</x:v>
      </x:c>
      <x:c r="N4288" s="9" t="n">
        <x:f>M4288*K4288</x:f>
        <x:v>26.900000000000002</x:v>
      </x:c>
      <x:c r="O4288" s="9" t="n">
        <x:f>M4288-N4288</x:f>
        <x:v>511.1</x:v>
      </x:c>
      <x:c r="P4288" s="9" t="n">
        <x:f>IF(D4288="Completed",L4288*J4288*(1-K4288),0)</x:f>
        <x:v>0</x:v>
      </x:c>
      <x:c r="Q4288" s="9" t="n">
        <x:f>O4288-P4288</x:f>
        <x:v>511.1</x:v>
      </x:c>
      <x:c r="R4288" s="11" t="n">
        <x:f>IF(D4288="Completed",I4288,0)</x:f>
        <x:v>2</x:v>
      </x:c>
      <x:c r="S4288" s="11" t="n">
        <x:f>IF(D4288="Completed",L4288,0)</x:f>
        <x:v>0</x:v>
      </x:c>
      <x:c r="T4288" s="8" t="n">
        <x:f>DATE(YEAR(C4288),MONTH(C4288),1)</x:f>
        <x:v>45717</x:v>
      </x:c>
    </x:row>
    <x:row r="4289" ht="22" customHeight="1">
      <x:c r="A4289" s="2" t="str">
        <x:v>L004285</x:v>
      </x:c>
      <x:c r="B4289" s="2" t="str">
        <x:v>O01741</x:v>
      </x:c>
      <x:c r="C4289" s="7" t="n">
        <x:v>45738</x:v>
      </x:c>
      <x:c r="D4289" s="2" t="str">
        <x:v>Completed</x:v>
      </x:c>
      <x:c r="E4289" s="2" t="str">
        <x:v>West</x:v>
      </x:c>
      <x:c r="F4289" s="2" t="str">
        <x:v>Online</x:v>
      </x:c>
      <x:c r="G4289" s="2" t="str">
        <x:v>Lighting</x:v>
      </x:c>
      <x:c r="H4289" s="2" t="str">
        <x:v>Lamp 009</x:v>
      </x:c>
      <x:c r="I4289" s="11" t="n">
        <x:v>2</x:v>
      </x:c>
      <x:c r="J4289" s="9" t="n">
        <x:v>93</x:v>
      </x:c>
      <x:c r="K4289" s="10" t="n">
        <x:v>0.05</x:v>
      </x:c>
      <x:c r="L4289" s="11" t="n">
        <x:v>0</x:v>
      </x:c>
      <x:c r="M4289" s="9" t="n">
        <x:f>IF(D4289="Completed",I4289*J4289,0)</x:f>
        <x:v>186</x:v>
      </x:c>
      <x:c r="N4289" s="9" t="n">
        <x:f>M4289*K4289</x:f>
        <x:v>9.3</x:v>
      </x:c>
      <x:c r="O4289" s="9" t="n">
        <x:f>M4289-N4289</x:f>
        <x:v>176.7</x:v>
      </x:c>
      <x:c r="P4289" s="9" t="n">
        <x:f>IF(D4289="Completed",L4289*J4289*(1-K4289),0)</x:f>
        <x:v>0</x:v>
      </x:c>
      <x:c r="Q4289" s="9" t="n">
        <x:f>O4289-P4289</x:f>
        <x:v>176.7</x:v>
      </x:c>
      <x:c r="R4289" s="11" t="n">
        <x:f>IF(D4289="Completed",I4289,0)</x:f>
        <x:v>2</x:v>
      </x:c>
      <x:c r="S4289" s="11" t="n">
        <x:f>IF(D4289="Completed",L4289,0)</x:f>
        <x:v>0</x:v>
      </x:c>
      <x:c r="T4289" s="8" t="n">
        <x:f>DATE(YEAR(C4289),MONTH(C4289),1)</x:f>
        <x:v>45717</x:v>
      </x:c>
    </x:row>
    <x:row r="4290" ht="22" customHeight="1">
      <x:c r="A4290" s="2" t="str">
        <x:v>L004286</x:v>
      </x:c>
      <x:c r="B4290" s="2" t="str">
        <x:v>O01741</x:v>
      </x:c>
      <x:c r="C4290" s="7" t="n">
        <x:v>45738</x:v>
      </x:c>
      <x:c r="D4290" s="2" t="str">
        <x:v>Completed</x:v>
      </x:c>
      <x:c r="E4290" s="2" t="str">
        <x:v>West</x:v>
      </x:c>
      <x:c r="F4290" s="2" t="str">
        <x:v>Online</x:v>
      </x:c>
      <x:c r="G4290" s="2" t="str">
        <x:v>Furniture</x:v>
      </x:c>
      <x:c r="H4290" s="2" t="str">
        <x:v>Chair 010</x:v>
      </x:c>
      <x:c r="I4290" s="11" t="n">
        <x:v>1</x:v>
      </x:c>
      <x:c r="J4290" s="9" t="n">
        <x:v>211</x:v>
      </x:c>
      <x:c r="K4290" s="10" t="n">
        <x:v>0.1</x:v>
      </x:c>
      <x:c r="L4290" s="11" t="n">
        <x:v>0</x:v>
      </x:c>
      <x:c r="M4290" s="9" t="n">
        <x:f>IF(D4290="Completed",I4290*J4290,0)</x:f>
        <x:v>211</x:v>
      </x:c>
      <x:c r="N4290" s="9" t="n">
        <x:f>M4290*K4290</x:f>
        <x:v>21.1</x:v>
      </x:c>
      <x:c r="O4290" s="9" t="n">
        <x:f>M4290-N4290</x:f>
        <x:v>189.9</x:v>
      </x:c>
      <x:c r="P4290" s="9" t="n">
        <x:f>IF(D4290="Completed",L4290*J4290*(1-K4290),0)</x:f>
        <x:v>0</x:v>
      </x:c>
      <x:c r="Q4290" s="9" t="n">
        <x:f>O4290-P4290</x:f>
        <x:v>189.9</x:v>
      </x:c>
      <x:c r="R4290" s="11" t="n">
        <x:f>IF(D4290="Completed",I4290,0)</x:f>
        <x:v>1</x:v>
      </x:c>
      <x:c r="S4290" s="11" t="n">
        <x:f>IF(D4290="Completed",L4290,0)</x:f>
        <x:v>0</x:v>
      </x:c>
      <x:c r="T4290" s="8" t="n">
        <x:f>DATE(YEAR(C4290),MONTH(C4290),1)</x:f>
        <x:v>45717</x:v>
      </x:c>
    </x:row>
    <x:row r="4291" ht="22" customHeight="1">
      <x:c r="A4291" s="2" t="str">
        <x:v>L004287</x:v>
      </x:c>
      <x:c r="B4291" s="2" t="str">
        <x:v>O01742</x:v>
      </x:c>
      <x:c r="C4291" s="7" t="n">
        <x:v>45924</x:v>
      </x:c>
      <x:c r="D4291" s="2" t="str">
        <x:v>Completed</x:v>
      </x:c>
      <x:c r="E4291" s="2" t="str">
        <x:v>West</x:v>
      </x:c>
      <x:c r="F4291" s="2" t="str">
        <x:v>Store</x:v>
      </x:c>
      <x:c r="G4291" s="2" t="str">
        <x:v>Furniture</x:v>
      </x:c>
      <x:c r="H4291" s="2" t="str">
        <x:v>Desk 016</x:v>
      </x:c>
      <x:c r="I4291" s="11" t="n">
        <x:v>1</x:v>
      </x:c>
      <x:c r="J4291" s="9" t="n">
        <x:v>231</x:v>
      </x:c>
      <x:c r="K4291" s="10" t="n">
        <x:v>0</x:v>
      </x:c>
      <x:c r="L4291" s="11" t="n">
        <x:v>0</x:v>
      </x:c>
      <x:c r="M4291" s="9" t="n">
        <x:f>IF(D4291="Completed",I4291*J4291,0)</x:f>
        <x:v>231</x:v>
      </x:c>
      <x:c r="N4291" s="9" t="n">
        <x:f>M4291*K4291</x:f>
        <x:v>0</x:v>
      </x:c>
      <x:c r="O4291" s="9" t="n">
        <x:f>M4291-N4291</x:f>
        <x:v>231</x:v>
      </x:c>
      <x:c r="P4291" s="9" t="n">
        <x:f>IF(D4291="Completed",L4291*J4291*(1-K4291),0)</x:f>
        <x:v>0</x:v>
      </x:c>
      <x:c r="Q4291" s="9" t="n">
        <x:f>O4291-P4291</x:f>
        <x:v>231</x:v>
      </x:c>
      <x:c r="R4291" s="11" t="n">
        <x:f>IF(D4291="Completed",I4291,0)</x:f>
        <x:v>1</x:v>
      </x:c>
      <x:c r="S4291" s="11" t="n">
        <x:f>IF(D4291="Completed",L4291,0)</x:f>
        <x:v>0</x:v>
      </x:c>
      <x:c r="T4291" s="8" t="n">
        <x:f>DATE(YEAR(C4291),MONTH(C4291),1)</x:f>
        <x:v>45901</x:v>
      </x:c>
    </x:row>
    <x:row r="4292" ht="22" customHeight="1">
      <x:c r="A4292" s="2" t="str">
        <x:v>L004288</x:v>
      </x:c>
      <x:c r="B4292" s="2" t="str">
        <x:v>O01742</x:v>
      </x:c>
      <x:c r="C4292" s="7" t="n">
        <x:v>45924</x:v>
      </x:c>
      <x:c r="D4292" s="2" t="str">
        <x:v>Completed</x:v>
      </x:c>
      <x:c r="E4292" s="2" t="str">
        <x:v>West</x:v>
      </x:c>
      <x:c r="F4292" s="2" t="str">
        <x:v>Store</x:v>
      </x:c>
      <x:c r="G4292" s="2" t="str">
        <x:v>Storage</x:v>
      </x:c>
      <x:c r="H4292" s="2" t="str">
        <x:v>Shelf 007</x:v>
      </x:c>
      <x:c r="I4292" s="11" t="n">
        <x:v>3</x:v>
      </x:c>
      <x:c r="J4292" s="9" t="n">
        <x:v>35</x:v>
      </x:c>
      <x:c r="K4292" s="10" t="n">
        <x:v>0.2</x:v>
      </x:c>
      <x:c r="L4292" s="11" t="n">
        <x:v>0</x:v>
      </x:c>
      <x:c r="M4292" s="9" t="n">
        <x:f>IF(D4292="Completed",I4292*J4292,0)</x:f>
        <x:v>105</x:v>
      </x:c>
      <x:c r="N4292" s="9" t="n">
        <x:f>M4292*K4292</x:f>
        <x:v>21</x:v>
      </x:c>
      <x:c r="O4292" s="9" t="n">
        <x:f>M4292-N4292</x:f>
        <x:v>84</x:v>
      </x:c>
      <x:c r="P4292" s="9" t="n">
        <x:f>IF(D4292="Completed",L4292*J4292*(1-K4292),0)</x:f>
        <x:v>0</x:v>
      </x:c>
      <x:c r="Q4292" s="9" t="n">
        <x:f>O4292-P4292</x:f>
        <x:v>84</x:v>
      </x:c>
      <x:c r="R4292" s="11" t="n">
        <x:f>IF(D4292="Completed",I4292,0)</x:f>
        <x:v>3</x:v>
      </x:c>
      <x:c r="S4292" s="11" t="n">
        <x:f>IF(D4292="Completed",L4292,0)</x:f>
        <x:v>0</x:v>
      </x:c>
      <x:c r="T4292" s="8" t="n">
        <x:f>DATE(YEAR(C4292),MONTH(C4292),1)</x:f>
        <x:v>45901</x:v>
      </x:c>
    </x:row>
    <x:row r="4293" ht="22" customHeight="1">
      <x:c r="A4293" s="2" t="str">
        <x:v>L004289</x:v>
      </x:c>
      <x:c r="B4293" s="2" t="str">
        <x:v>O01742</x:v>
      </x:c>
      <x:c r="C4293" s="7" t="n">
        <x:v>45924</x:v>
      </x:c>
      <x:c r="D4293" s="2" t="str">
        <x:v>Completed</x:v>
      </x:c>
      <x:c r="E4293" s="2" t="str">
        <x:v>West</x:v>
      </x:c>
      <x:c r="F4293" s="2" t="str">
        <x:v>Store</x:v>
      </x:c>
      <x:c r="G4293" s="2" t="str">
        <x:v>Storage</x:v>
      </x:c>
      <x:c r="H4293" s="2" t="str">
        <x:v>Shelf 007</x:v>
      </x:c>
      <x:c r="I4293" s="11" t="n">
        <x:v>1</x:v>
      </x:c>
      <x:c r="J4293" s="9" t="n">
        <x:v>35</x:v>
      </x:c>
      <x:c r="K4293" s="10" t="n">
        <x:v>0.2</x:v>
      </x:c>
      <x:c r="L4293" s="11" t="n">
        <x:v>1</x:v>
      </x:c>
      <x:c r="M4293" s="9" t="n">
        <x:f>IF(D4293="Completed",I4293*J4293,0)</x:f>
        <x:v>35</x:v>
      </x:c>
      <x:c r="N4293" s="9" t="n">
        <x:f>M4293*K4293</x:f>
        <x:v>7</x:v>
      </x:c>
      <x:c r="O4293" s="9" t="n">
        <x:f>M4293-N4293</x:f>
        <x:v>28</x:v>
      </x:c>
      <x:c r="P4293" s="9" t="n">
        <x:f>IF(D4293="Completed",L4293*J4293*(1-K4293),0)</x:f>
        <x:v>28</x:v>
      </x:c>
      <x:c r="Q4293" s="9" t="n">
        <x:f>O4293-P4293</x:f>
        <x:v>0</x:v>
      </x:c>
      <x:c r="R4293" s="11" t="n">
        <x:f>IF(D4293="Completed",I4293,0)</x:f>
        <x:v>1</x:v>
      </x:c>
      <x:c r="S4293" s="11" t="n">
        <x:f>IF(D4293="Completed",L4293,0)</x:f>
        <x:v>1</x:v>
      </x:c>
      <x:c r="T4293" s="8" t="n">
        <x:f>DATE(YEAR(C4293),MONTH(C4293),1)</x:f>
        <x:v>45901</x:v>
      </x:c>
    </x:row>
    <x:row r="4294" ht="22" customHeight="1">
      <x:c r="A4294" s="2" t="str">
        <x:v>L004290</x:v>
      </x:c>
      <x:c r="B4294" s="2" t="str">
        <x:v>O01742</x:v>
      </x:c>
      <x:c r="C4294" s="7" t="n">
        <x:v>45924</x:v>
      </x:c>
      <x:c r="D4294" s="2" t="str">
        <x:v>Completed</x:v>
      </x:c>
      <x:c r="E4294" s="2" t="str">
        <x:v>West</x:v>
      </x:c>
      <x:c r="F4294" s="2" t="str">
        <x:v>Store</x:v>
      </x:c>
      <x:c r="G4294" s="2" t="str">
        <x:v>Lighting</x:v>
      </x:c>
      <x:c r="H4294" s="2" t="str">
        <x:v>Lamp 021</x:v>
      </x:c>
      <x:c r="I4294" s="11" t="n">
        <x:v>3</x:v>
      </x:c>
      <x:c r="J4294" s="9" t="n">
        <x:v>249</x:v>
      </x:c>
      <x:c r="K4294" s="10" t="n">
        <x:v>0.2</x:v>
      </x:c>
      <x:c r="L4294" s="11" t="n">
        <x:v>2</x:v>
      </x:c>
      <x:c r="M4294" s="9" t="n">
        <x:f>IF(D4294="Completed",I4294*J4294,0)</x:f>
        <x:v>747</x:v>
      </x:c>
      <x:c r="N4294" s="9" t="n">
        <x:f>M4294*K4294</x:f>
        <x:v>149.4</x:v>
      </x:c>
      <x:c r="O4294" s="9" t="n">
        <x:f>M4294-N4294</x:f>
        <x:v>597.6</x:v>
      </x:c>
      <x:c r="P4294" s="9" t="n">
        <x:f>IF(D4294="Completed",L4294*J4294*(1-K4294),0)</x:f>
        <x:v>398.40000000000003</x:v>
      </x:c>
      <x:c r="Q4294" s="9" t="n">
        <x:f>O4294-P4294</x:f>
        <x:v>199.2</x:v>
      </x:c>
      <x:c r="R4294" s="11" t="n">
        <x:f>IF(D4294="Completed",I4294,0)</x:f>
        <x:v>3</x:v>
      </x:c>
      <x:c r="S4294" s="11" t="n">
        <x:f>IF(D4294="Completed",L4294,0)</x:f>
        <x:v>2</x:v>
      </x:c>
      <x:c r="T4294" s="8" t="n">
        <x:f>DATE(YEAR(C4294),MONTH(C4294),1)</x:f>
        <x:v>45901</x:v>
      </x:c>
    </x:row>
    <x:row r="4295" ht="22" customHeight="1">
      <x:c r="A4295" s="2" t="str">
        <x:v>L004291</x:v>
      </x:c>
      <x:c r="B4295" s="2" t="str">
        <x:v>O01743</x:v>
      </x:c>
      <x:c r="C4295" s="7" t="n">
        <x:v>45823</x:v>
      </x:c>
      <x:c r="D4295" s="2" t="str">
        <x:v>Completed</x:v>
      </x:c>
      <x:c r="E4295" s="2" t="str">
        <x:v>South</x:v>
      </x:c>
      <x:c r="F4295" s="2" t="str">
        <x:v>Store</x:v>
      </x:c>
      <x:c r="G4295" s="2" t="str">
        <x:v>Storage</x:v>
      </x:c>
      <x:c r="H4295" s="2" t="str">
        <x:v>Shelf 015</x:v>
      </x:c>
      <x:c r="I4295" s="11" t="n">
        <x:v>3</x:v>
      </x:c>
      <x:c r="J4295" s="9" t="n">
        <x:v>254</x:v>
      </x:c>
      <x:c r="K4295" s="10" t="n">
        <x:v>0.2</x:v>
      </x:c>
      <x:c r="L4295" s="11" t="n">
        <x:v>1</x:v>
      </x:c>
      <x:c r="M4295" s="9" t="n">
        <x:f>IF(D4295="Completed",I4295*J4295,0)</x:f>
        <x:v>762</x:v>
      </x:c>
      <x:c r="N4295" s="9" t="n">
        <x:f>M4295*K4295</x:f>
        <x:v>152.4</x:v>
      </x:c>
      <x:c r="O4295" s="9" t="n">
        <x:f>M4295-N4295</x:f>
        <x:v>609.6</x:v>
      </x:c>
      <x:c r="P4295" s="9" t="n">
        <x:f>IF(D4295="Completed",L4295*J4295*(1-K4295),0)</x:f>
        <x:v>203.20000000000002</x:v>
      </x:c>
      <x:c r="Q4295" s="9" t="n">
        <x:f>O4295-P4295</x:f>
        <x:v>406.4</x:v>
      </x:c>
      <x:c r="R4295" s="11" t="n">
        <x:f>IF(D4295="Completed",I4295,0)</x:f>
        <x:v>3</x:v>
      </x:c>
      <x:c r="S4295" s="11" t="n">
        <x:f>IF(D4295="Completed",L4295,0)</x:f>
        <x:v>1</x:v>
      </x:c>
      <x:c r="T4295" s="8" t="n">
        <x:f>DATE(YEAR(C4295),MONTH(C4295),1)</x:f>
        <x:v>45809</x:v>
      </x:c>
    </x:row>
    <x:row r="4296" ht="22" customHeight="1">
      <x:c r="A4296" s="2" t="str">
        <x:v>L004292</x:v>
      </x:c>
      <x:c r="B4296" s="2" t="str">
        <x:v>O01743</x:v>
      </x:c>
      <x:c r="C4296" s="7" t="n">
        <x:v>45823</x:v>
      </x:c>
      <x:c r="D4296" s="2" t="str">
        <x:v>Completed</x:v>
      </x:c>
      <x:c r="E4296" s="2" t="str">
        <x:v>South</x:v>
      </x:c>
      <x:c r="F4296" s="2" t="str">
        <x:v>Store</x:v>
      </x:c>
      <x:c r="G4296" s="2" t="str">
        <x:v>Lighting</x:v>
      </x:c>
      <x:c r="H4296" s="2" t="str">
        <x:v>Lamp 021</x:v>
      </x:c>
      <x:c r="I4296" s="11" t="n">
        <x:v>4</x:v>
      </x:c>
      <x:c r="J4296" s="9" t="n">
        <x:v>249</x:v>
      </x:c>
      <x:c r="K4296" s="10" t="n">
        <x:v>0.05</x:v>
      </x:c>
      <x:c r="L4296" s="11" t="n">
        <x:v>0</x:v>
      </x:c>
      <x:c r="M4296" s="9" t="n">
        <x:f>IF(D4296="Completed",I4296*J4296,0)</x:f>
        <x:v>996</x:v>
      </x:c>
      <x:c r="N4296" s="9" t="n">
        <x:f>M4296*K4296</x:f>
        <x:v>49.800000000000004</x:v>
      </x:c>
      <x:c r="O4296" s="9" t="n">
        <x:f>M4296-N4296</x:f>
        <x:v>946.2</x:v>
      </x:c>
      <x:c r="P4296" s="9" t="n">
        <x:f>IF(D4296="Completed",L4296*J4296*(1-K4296),0)</x:f>
        <x:v>0</x:v>
      </x:c>
      <x:c r="Q4296" s="9" t="n">
        <x:f>O4296-P4296</x:f>
        <x:v>946.2</x:v>
      </x:c>
      <x:c r="R4296" s="11" t="n">
        <x:f>IF(D4296="Completed",I4296,0)</x:f>
        <x:v>4</x:v>
      </x:c>
      <x:c r="S4296" s="11" t="n">
        <x:f>IF(D4296="Completed",L4296,0)</x:f>
        <x:v>0</x:v>
      </x:c>
      <x:c r="T4296" s="8" t="n">
        <x:f>DATE(YEAR(C4296),MONTH(C4296),1)</x:f>
        <x:v>45809</x:v>
      </x:c>
    </x:row>
    <x:row r="4297" ht="22" customHeight="1">
      <x:c r="A4297" s="2" t="str">
        <x:v>L004293</x:v>
      </x:c>
      <x:c r="B4297" s="2" t="str">
        <x:v>O01743</x:v>
      </x:c>
      <x:c r="C4297" s="7" t="n">
        <x:v>45823</x:v>
      </x:c>
      <x:c r="D4297" s="2" t="str">
        <x:v>Completed</x:v>
      </x:c>
      <x:c r="E4297" s="2" t="str">
        <x:v>South</x:v>
      </x:c>
      <x:c r="F4297" s="2" t="str">
        <x:v>Store</x:v>
      </x:c>
      <x:c r="G4297" s="2" t="str">
        <x:v>Lighting</x:v>
      </x:c>
      <x:c r="H4297" s="2" t="str">
        <x:v>Lamp 005</x:v>
      </x:c>
      <x:c r="I4297" s="11" t="n">
        <x:v>3</x:v>
      </x:c>
      <x:c r="J4297" s="9" t="n">
        <x:v>65</x:v>
      </x:c>
      <x:c r="K4297" s="10" t="n">
        <x:v>0</x:v>
      </x:c>
      <x:c r="L4297" s="11" t="n">
        <x:v>0</x:v>
      </x:c>
      <x:c r="M4297" s="9" t="n">
        <x:f>IF(D4297="Completed",I4297*J4297,0)</x:f>
        <x:v>195</x:v>
      </x:c>
      <x:c r="N4297" s="9" t="n">
        <x:f>M4297*K4297</x:f>
        <x:v>0</x:v>
      </x:c>
      <x:c r="O4297" s="9" t="n">
        <x:f>M4297-N4297</x:f>
        <x:v>195</x:v>
      </x:c>
      <x:c r="P4297" s="9" t="n">
        <x:f>IF(D4297="Completed",L4297*J4297*(1-K4297),0)</x:f>
        <x:v>0</x:v>
      </x:c>
      <x:c r="Q4297" s="9" t="n">
        <x:f>O4297-P4297</x:f>
        <x:v>195</x:v>
      </x:c>
      <x:c r="R4297" s="11" t="n">
        <x:f>IF(D4297="Completed",I4297,0)</x:f>
        <x:v>3</x:v>
      </x:c>
      <x:c r="S4297" s="11" t="n">
        <x:f>IF(D4297="Completed",L4297,0)</x:f>
        <x:v>0</x:v>
      </x:c>
      <x:c r="T4297" s="8" t="n">
        <x:f>DATE(YEAR(C4297),MONTH(C4297),1)</x:f>
        <x:v>45809</x:v>
      </x:c>
    </x:row>
    <x:row r="4298" ht="22" customHeight="1">
      <x:c r="A4298" s="2" t="str">
        <x:v>L004294</x:v>
      </x:c>
      <x:c r="B4298" s="2" t="str">
        <x:v>O01744</x:v>
      </x:c>
      <x:c r="C4298" s="7" t="n">
        <x:v>45860</x:v>
      </x:c>
      <x:c r="D4298" s="2" t="str">
        <x:v>Completed</x:v>
      </x:c>
      <x:c r="E4298" s="2" t="str">
        <x:v>North</x:v>
      </x:c>
      <x:c r="F4298" s="2" t="str">
        <x:v>Online</x:v>
      </x:c>
      <x:c r="G4298" s="2" t="str">
        <x:v>Storage</x:v>
      </x:c>
      <x:c r="H4298" s="2" t="str">
        <x:v>Shelf 015</x:v>
      </x:c>
      <x:c r="I4298" s="11" t="n">
        <x:v>3</x:v>
      </x:c>
      <x:c r="J4298" s="9" t="n">
        <x:v>254</x:v>
      </x:c>
      <x:c r="K4298" s="10" t="n">
        <x:v>0.1</x:v>
      </x:c>
      <x:c r="L4298" s="11" t="n">
        <x:v>0</x:v>
      </x:c>
      <x:c r="M4298" s="9" t="n">
        <x:f>IF(D4298="Completed",I4298*J4298,0)</x:f>
        <x:v>762</x:v>
      </x:c>
      <x:c r="N4298" s="9" t="n">
        <x:f>M4298*K4298</x:f>
        <x:v>76.2</x:v>
      </x:c>
      <x:c r="O4298" s="9" t="n">
        <x:f>M4298-N4298</x:f>
        <x:v>685.8</x:v>
      </x:c>
      <x:c r="P4298" s="9" t="n">
        <x:f>IF(D4298="Completed",L4298*J4298*(1-K4298),0)</x:f>
        <x:v>0</x:v>
      </x:c>
      <x:c r="Q4298" s="9" t="n">
        <x:f>O4298-P4298</x:f>
        <x:v>685.8</x:v>
      </x:c>
      <x:c r="R4298" s="11" t="n">
        <x:f>IF(D4298="Completed",I4298,0)</x:f>
        <x:v>3</x:v>
      </x:c>
      <x:c r="S4298" s="11" t="n">
        <x:f>IF(D4298="Completed",L4298,0)</x:f>
        <x:v>0</x:v>
      </x:c>
      <x:c r="T4298" s="8" t="n">
        <x:f>DATE(YEAR(C4298),MONTH(C4298),1)</x:f>
        <x:v>45839</x:v>
      </x:c>
    </x:row>
    <x:row r="4299" ht="22" customHeight="1">
      <x:c r="A4299" s="2" t="str">
        <x:v>L004295</x:v>
      </x:c>
      <x:c r="B4299" s="2" t="str">
        <x:v>O01745</x:v>
      </x:c>
      <x:c r="C4299" s="7" t="n">
        <x:v>45783</x:v>
      </x:c>
      <x:c r="D4299" s="2" t="str">
        <x:v>Cancelled</x:v>
      </x:c>
      <x:c r="E4299" s="2" t="str">
        <x:v>South</x:v>
      </x:c>
      <x:c r="F4299" s="2" t="str">
        <x:v>Store</x:v>
      </x:c>
      <x:c r="G4299" s="2" t="str">
        <x:v>Furniture</x:v>
      </x:c>
      <x:c r="H4299" s="2" t="str">
        <x:v>Chair 022</x:v>
      </x:c>
      <x:c r="I4299" s="11" t="n">
        <x:v>1</x:v>
      </x:c>
      <x:c r="J4299" s="9" t="n">
        <x:v>134</x:v>
      </x:c>
      <x:c r="K4299" s="10" t="n">
        <x:v>0.05</x:v>
      </x:c>
      <x:c r="L4299" s="11" t="n">
        <x:v>0</x:v>
      </x:c>
      <x:c r="M4299" s="9" t="n">
        <x:f>IF(D4299="Completed",I4299*J4299,0)</x:f>
        <x:v>0</x:v>
      </x:c>
      <x:c r="N4299" s="9" t="n">
        <x:f>M4299*K4299</x:f>
        <x:v>0</x:v>
      </x:c>
      <x:c r="O4299" s="9" t="n">
        <x:f>M4299-N4299</x:f>
        <x:v>0</x:v>
      </x:c>
      <x:c r="P4299" s="9" t="n">
        <x:f>IF(D4299="Completed",L4299*J4299*(1-K4299),0)</x:f>
        <x:v>0</x:v>
      </x:c>
      <x:c r="Q4299" s="9" t="n">
        <x:f>O4299-P4299</x:f>
        <x:v>0</x:v>
      </x:c>
      <x:c r="R4299" s="11" t="n">
        <x:f>IF(D4299="Completed",I4299,0)</x:f>
        <x:v>0</x:v>
      </x:c>
      <x:c r="S4299" s="11" t="n">
        <x:f>IF(D4299="Completed",L4299,0)</x:f>
        <x:v>0</x:v>
      </x:c>
      <x:c r="T4299" s="8" t="n">
        <x:f>DATE(YEAR(C4299),MONTH(C4299),1)</x:f>
        <x:v>45778</x:v>
      </x:c>
    </x:row>
    <x:row r="4300" ht="22" customHeight="1">
      <x:c r="A4300" s="2" t="str">
        <x:v>L004296</x:v>
      </x:c>
      <x:c r="B4300" s="2" t="str">
        <x:v>O01746</x:v>
      </x:c>
      <x:c r="C4300" s="7" t="n">
        <x:v>45781</x:v>
      </x:c>
      <x:c r="D4300" s="2" t="str">
        <x:v>Completed</x:v>
      </x:c>
      <x:c r="E4300" s="2" t="str">
        <x:v>South</x:v>
      </x:c>
      <x:c r="F4300" s="2" t="str">
        <x:v>Store</x:v>
      </x:c>
      <x:c r="G4300" s="2" t="str">
        <x:v>Lighting</x:v>
      </x:c>
      <x:c r="H4300" s="2" t="str">
        <x:v>Lamp 009</x:v>
      </x:c>
      <x:c r="I4300" s="11" t="n">
        <x:v>3</x:v>
      </x:c>
      <x:c r="J4300" s="9" t="n">
        <x:v>93</x:v>
      </x:c>
      <x:c r="K4300" s="10" t="n">
        <x:v>0.2</x:v>
      </x:c>
      <x:c r="L4300" s="11" t="n">
        <x:v>0</x:v>
      </x:c>
      <x:c r="M4300" s="9" t="n">
        <x:f>IF(D4300="Completed",I4300*J4300,0)</x:f>
        <x:v>279</x:v>
      </x:c>
      <x:c r="N4300" s="9" t="n">
        <x:f>M4300*K4300</x:f>
        <x:v>55.800000000000004</x:v>
      </x:c>
      <x:c r="O4300" s="9" t="n">
        <x:f>M4300-N4300</x:f>
        <x:v>223.2</x:v>
      </x:c>
      <x:c r="P4300" s="9" t="n">
        <x:f>IF(D4300="Completed",L4300*J4300*(1-K4300),0)</x:f>
        <x:v>0</x:v>
      </x:c>
      <x:c r="Q4300" s="9" t="n">
        <x:f>O4300-P4300</x:f>
        <x:v>223.2</x:v>
      </x:c>
      <x:c r="R4300" s="11" t="n">
        <x:f>IF(D4300="Completed",I4300,0)</x:f>
        <x:v>3</x:v>
      </x:c>
      <x:c r="S4300" s="11" t="n">
        <x:f>IF(D4300="Completed",L4300,0)</x:f>
        <x:v>0</x:v>
      </x:c>
      <x:c r="T4300" s="8" t="n">
        <x:f>DATE(YEAR(C4300),MONTH(C4300),1)</x:f>
        <x:v>45778</x:v>
      </x:c>
    </x:row>
    <x:row r="4301" ht="22" customHeight="1">
      <x:c r="A4301" s="2" t="str">
        <x:v>L004297</x:v>
      </x:c>
      <x:c r="B4301" s="2" t="str">
        <x:v>O01746</x:v>
      </x:c>
      <x:c r="C4301" s="7" t="n">
        <x:v>45781</x:v>
      </x:c>
      <x:c r="D4301" s="2" t="str">
        <x:v>Completed</x:v>
      </x:c>
      <x:c r="E4301" s="2" t="str">
        <x:v>South</x:v>
      </x:c>
      <x:c r="F4301" s="2" t="str">
        <x:v>Store</x:v>
      </x:c>
      <x:c r="G4301" s="2" t="str">
        <x:v>Storage</x:v>
      </x:c>
      <x:c r="H4301" s="2" t="str">
        <x:v>Shelf 023</x:v>
      </x:c>
      <x:c r="I4301" s="11" t="n">
        <x:v>2</x:v>
      </x:c>
      <x:c r="J4301" s="9" t="n">
        <x:v>68</x:v>
      </x:c>
      <x:c r="K4301" s="10" t="n">
        <x:v>0</x:v>
      </x:c>
      <x:c r="L4301" s="11" t="n">
        <x:v>1</x:v>
      </x:c>
      <x:c r="M4301" s="9" t="n">
        <x:f>IF(D4301="Completed",I4301*J4301,0)</x:f>
        <x:v>136</x:v>
      </x:c>
      <x:c r="N4301" s="9" t="n">
        <x:f>M4301*K4301</x:f>
        <x:v>0</x:v>
      </x:c>
      <x:c r="O4301" s="9" t="n">
        <x:f>M4301-N4301</x:f>
        <x:v>136</x:v>
      </x:c>
      <x:c r="P4301" s="9" t="n">
        <x:f>IF(D4301="Completed",L4301*J4301*(1-K4301),0)</x:f>
        <x:v>68</x:v>
      </x:c>
      <x:c r="Q4301" s="9" t="n">
        <x:f>O4301-P4301</x:f>
        <x:v>68</x:v>
      </x:c>
      <x:c r="R4301" s="11" t="n">
        <x:f>IF(D4301="Completed",I4301,0)</x:f>
        <x:v>2</x:v>
      </x:c>
      <x:c r="S4301" s="11" t="n">
        <x:f>IF(D4301="Completed",L4301,0)</x:f>
        <x:v>1</x:v>
      </x:c>
      <x:c r="T4301" s="8" t="n">
        <x:f>DATE(YEAR(C4301),MONTH(C4301),1)</x:f>
        <x:v>45778</x:v>
      </x:c>
    </x:row>
    <x:row r="4302" ht="22" customHeight="1">
      <x:c r="A4302" s="2" t="str">
        <x:v>L004298</x:v>
      </x:c>
      <x:c r="B4302" s="2" t="str">
        <x:v>O01747</x:v>
      </x:c>
      <x:c r="C4302" s="7" t="n">
        <x:v>45847</x:v>
      </x:c>
      <x:c r="D4302" s="2" t="str">
        <x:v>Completed</x:v>
      </x:c>
      <x:c r="E4302" s="2" t="str">
        <x:v>South</x:v>
      </x:c>
      <x:c r="F4302" s="2" t="str">
        <x:v>Store</x:v>
      </x:c>
      <x:c r="G4302" s="2" t="str">
        <x:v>Furniture</x:v>
      </x:c>
      <x:c r="H4302" s="2" t="str">
        <x:v>Desk 012</x:v>
      </x:c>
      <x:c r="I4302" s="11" t="n">
        <x:v>5</x:v>
      </x:c>
      <x:c r="J4302" s="9" t="n">
        <x:v>134</x:v>
      </x:c>
      <x:c r="K4302" s="10" t="n">
        <x:v>0.05</x:v>
      </x:c>
      <x:c r="L4302" s="11" t="n">
        <x:v>0</x:v>
      </x:c>
      <x:c r="M4302" s="9" t="n">
        <x:f>IF(D4302="Completed",I4302*J4302,0)</x:f>
        <x:v>670</x:v>
      </x:c>
      <x:c r="N4302" s="9" t="n">
        <x:f>M4302*K4302</x:f>
        <x:v>33.5</x:v>
      </x:c>
      <x:c r="O4302" s="9" t="n">
        <x:f>M4302-N4302</x:f>
        <x:v>636.5</x:v>
      </x:c>
      <x:c r="P4302" s="9" t="n">
        <x:f>IF(D4302="Completed",L4302*J4302*(1-K4302),0)</x:f>
        <x:v>0</x:v>
      </x:c>
      <x:c r="Q4302" s="9" t="n">
        <x:f>O4302-P4302</x:f>
        <x:v>636.5</x:v>
      </x:c>
      <x:c r="R4302" s="11" t="n">
        <x:f>IF(D4302="Completed",I4302,0)</x:f>
        <x:v>5</x:v>
      </x:c>
      <x:c r="S4302" s="11" t="n">
        <x:f>IF(D4302="Completed",L4302,0)</x:f>
        <x:v>0</x:v>
      </x:c>
      <x:c r="T4302" s="8" t="n">
        <x:f>DATE(YEAR(C4302),MONTH(C4302),1)</x:f>
        <x:v>45839</x:v>
      </x:c>
    </x:row>
    <x:row r="4303" ht="22" customHeight="1">
      <x:c r="A4303" s="2" t="str">
        <x:v>L004299</x:v>
      </x:c>
      <x:c r="B4303" s="2" t="str">
        <x:v>O01747</x:v>
      </x:c>
      <x:c r="C4303" s="7" t="n">
        <x:v>45847</x:v>
      </x:c>
      <x:c r="D4303" s="2" t="str">
        <x:v>Completed</x:v>
      </x:c>
      <x:c r="E4303" s="2" t="str">
        <x:v>South</x:v>
      </x:c>
      <x:c r="F4303" s="2" t="str">
        <x:v>Store</x:v>
      </x:c>
      <x:c r="G4303" s="2" t="str">
        <x:v>Furniture</x:v>
      </x:c>
      <x:c r="H4303" s="2" t="str">
        <x:v>Desk 008</x:v>
      </x:c>
      <x:c r="I4303" s="11" t="n">
        <x:v>5</x:v>
      </x:c>
      <x:c r="J4303" s="9" t="n">
        <x:v>188</x:v>
      </x:c>
      <x:c r="K4303" s="10" t="n">
        <x:v>0</x:v>
      </x:c>
      <x:c r="L4303" s="11" t="n">
        <x:v>0</x:v>
      </x:c>
      <x:c r="M4303" s="9" t="n">
        <x:f>IF(D4303="Completed",I4303*J4303,0)</x:f>
        <x:v>940</x:v>
      </x:c>
      <x:c r="N4303" s="9" t="n">
        <x:f>M4303*K4303</x:f>
        <x:v>0</x:v>
      </x:c>
      <x:c r="O4303" s="9" t="n">
        <x:f>M4303-N4303</x:f>
        <x:v>940</x:v>
      </x:c>
      <x:c r="P4303" s="9" t="n">
        <x:f>IF(D4303="Completed",L4303*J4303*(1-K4303),0)</x:f>
        <x:v>0</x:v>
      </x:c>
      <x:c r="Q4303" s="9" t="n">
        <x:f>O4303-P4303</x:f>
        <x:v>940</x:v>
      </x:c>
      <x:c r="R4303" s="11" t="n">
        <x:f>IF(D4303="Completed",I4303,0)</x:f>
        <x:v>5</x:v>
      </x:c>
      <x:c r="S4303" s="11" t="n">
        <x:f>IF(D4303="Completed",L4303,0)</x:f>
        <x:v>0</x:v>
      </x:c>
      <x:c r="T4303" s="8" t="n">
        <x:f>DATE(YEAR(C4303),MONTH(C4303),1)</x:f>
        <x:v>45839</x:v>
      </x:c>
    </x:row>
    <x:row r="4304" ht="22" customHeight="1">
      <x:c r="A4304" s="2" t="str">
        <x:v>L004300</x:v>
      </x:c>
      <x:c r="B4304" s="2" t="str">
        <x:v>O01747</x:v>
      </x:c>
      <x:c r="C4304" s="7" t="n">
        <x:v>45847</x:v>
      </x:c>
      <x:c r="D4304" s="2" t="str">
        <x:v>Completed</x:v>
      </x:c>
      <x:c r="E4304" s="2" t="str">
        <x:v>South</x:v>
      </x:c>
      <x:c r="F4304" s="2" t="str">
        <x:v>Store</x:v>
      </x:c>
      <x:c r="G4304" s="2" t="str">
        <x:v>Furniture</x:v>
      </x:c>
      <x:c r="H4304" s="2" t="str">
        <x:v>Chair 010</x:v>
      </x:c>
      <x:c r="I4304" s="11" t="n">
        <x:v>3</x:v>
      </x:c>
      <x:c r="J4304" s="9" t="n">
        <x:v>211</x:v>
      </x:c>
      <x:c r="K4304" s="10" t="n">
        <x:v>0.1</x:v>
      </x:c>
      <x:c r="L4304" s="11" t="n">
        <x:v>0</x:v>
      </x:c>
      <x:c r="M4304" s="9" t="n">
        <x:f>IF(D4304="Completed",I4304*J4304,0)</x:f>
        <x:v>633</x:v>
      </x:c>
      <x:c r="N4304" s="9" t="n">
        <x:f>M4304*K4304</x:f>
        <x:v>63.300000000000004</x:v>
      </x:c>
      <x:c r="O4304" s="9" t="n">
        <x:f>M4304-N4304</x:f>
        <x:v>569.7</x:v>
      </x:c>
      <x:c r="P4304" s="9" t="n">
        <x:f>IF(D4304="Completed",L4304*J4304*(1-K4304),0)</x:f>
        <x:v>0</x:v>
      </x:c>
      <x:c r="Q4304" s="9" t="n">
        <x:f>O4304-P4304</x:f>
        <x:v>569.7</x:v>
      </x:c>
      <x:c r="R4304" s="11" t="n">
        <x:f>IF(D4304="Completed",I4304,0)</x:f>
        <x:v>3</x:v>
      </x:c>
      <x:c r="S4304" s="11" t="n">
        <x:f>IF(D4304="Completed",L4304,0)</x:f>
        <x:v>0</x:v>
      </x:c>
      <x:c r="T4304" s="8" t="n">
        <x:f>DATE(YEAR(C4304),MONTH(C4304),1)</x:f>
        <x:v>45839</x:v>
      </x:c>
    </x:row>
    <x:row r="4305" ht="22" customHeight="1">
      <x:c r="A4305" s="2" t="str">
        <x:v>L004301</x:v>
      </x:c>
      <x:c r="B4305" s="2" t="str">
        <x:v>O01748</x:v>
      </x:c>
      <x:c r="C4305" s="7" t="n">
        <x:v>45909</x:v>
      </x:c>
      <x:c r="D4305" s="2" t="str">
        <x:v>Cancelled</x:v>
      </x:c>
      <x:c r="E4305" s="2" t="str">
        <x:v>North</x:v>
      </x:c>
      <x:c r="F4305" s="2" t="str">
        <x:v>Online</x:v>
      </x:c>
      <x:c r="G4305" s="2" t="str">
        <x:v>Furniture</x:v>
      </x:c>
      <x:c r="H4305" s="2" t="str">
        <x:v>Desk 024</x:v>
      </x:c>
      <x:c r="I4305" s="11" t="n">
        <x:v>4</x:v>
      </x:c>
      <x:c r="J4305" s="9" t="n">
        <x:v>81</x:v>
      </x:c>
      <x:c r="K4305" s="10" t="n">
        <x:v>0.05</x:v>
      </x:c>
      <x:c r="L4305" s="11" t="n">
        <x:v>0</x:v>
      </x:c>
      <x:c r="M4305" s="9" t="n">
        <x:f>IF(D4305="Completed",I4305*J4305,0)</x:f>
        <x:v>0</x:v>
      </x:c>
      <x:c r="N4305" s="9" t="n">
        <x:f>M4305*K4305</x:f>
        <x:v>0</x:v>
      </x:c>
      <x:c r="O4305" s="9" t="n">
        <x:f>M4305-N4305</x:f>
        <x:v>0</x:v>
      </x:c>
      <x:c r="P4305" s="9" t="n">
        <x:f>IF(D4305="Completed",L4305*J4305*(1-K4305),0)</x:f>
        <x:v>0</x:v>
      </x:c>
      <x:c r="Q4305" s="9" t="n">
        <x:f>O4305-P4305</x:f>
        <x:v>0</x:v>
      </x:c>
      <x:c r="R4305" s="11" t="n">
        <x:f>IF(D4305="Completed",I4305,0)</x:f>
        <x:v>0</x:v>
      </x:c>
      <x:c r="S4305" s="11" t="n">
        <x:f>IF(D4305="Completed",L4305,0)</x:f>
        <x:v>0</x:v>
      </x:c>
      <x:c r="T4305" s="8" t="n">
        <x:f>DATE(YEAR(C4305),MONTH(C4305),1)</x:f>
        <x:v>45901</x:v>
      </x:c>
    </x:row>
    <x:row r="4306" ht="22" customHeight="1">
      <x:c r="A4306" s="2" t="str">
        <x:v>L004302</x:v>
      </x:c>
      <x:c r="B4306" s="2" t="str">
        <x:v>O01749</x:v>
      </x:c>
      <x:c r="C4306" s="7" t="n">
        <x:v>45801</x:v>
      </x:c>
      <x:c r="D4306" s="2" t="str">
        <x:v>Cancelled</x:v>
      </x:c>
      <x:c r="E4306" s="2" t="str">
        <x:v>West</x:v>
      </x:c>
      <x:c r="F4306" s="2" t="str">
        <x:v>Online</x:v>
      </x:c>
      <x:c r="G4306" s="2" t="str">
        <x:v>Lighting</x:v>
      </x:c>
      <x:c r="H4306" s="2" t="str">
        <x:v>Lamp 017</x:v>
      </x:c>
      <x:c r="I4306" s="11" t="n">
        <x:v>5</x:v>
      </x:c>
      <x:c r="J4306" s="9" t="n">
        <x:v>300</x:v>
      </x:c>
      <x:c r="K4306" s="10" t="n">
        <x:v>0.05</x:v>
      </x:c>
      <x:c r="L4306" s="11" t="n">
        <x:v>0</x:v>
      </x:c>
      <x:c r="M4306" s="9" t="n">
        <x:f>IF(D4306="Completed",I4306*J4306,0)</x:f>
        <x:v>0</x:v>
      </x:c>
      <x:c r="N4306" s="9" t="n">
        <x:f>M4306*K4306</x:f>
        <x:v>0</x:v>
      </x:c>
      <x:c r="O4306" s="9" t="n">
        <x:f>M4306-N4306</x:f>
        <x:v>0</x:v>
      </x:c>
      <x:c r="P4306" s="9" t="n">
        <x:f>IF(D4306="Completed",L4306*J4306*(1-K4306),0)</x:f>
        <x:v>0</x:v>
      </x:c>
      <x:c r="Q4306" s="9" t="n">
        <x:f>O4306-P4306</x:f>
        <x:v>0</x:v>
      </x:c>
      <x:c r="R4306" s="11" t="n">
        <x:f>IF(D4306="Completed",I4306,0)</x:f>
        <x:v>0</x:v>
      </x:c>
      <x:c r="S4306" s="11" t="n">
        <x:f>IF(D4306="Completed",L4306,0)</x:f>
        <x:v>0</x:v>
      </x:c>
      <x:c r="T4306" s="8" t="n">
        <x:f>DATE(YEAR(C4306),MONTH(C4306),1)</x:f>
        <x:v>45778</x:v>
      </x:c>
    </x:row>
    <x:row r="4307" ht="22" customHeight="1">
      <x:c r="A4307" s="2" t="str">
        <x:v>L004303</x:v>
      </x:c>
      <x:c r="B4307" s="2" t="str">
        <x:v>O01749</x:v>
      </x:c>
      <x:c r="C4307" s="7" t="n">
        <x:v>45801</x:v>
      </x:c>
      <x:c r="D4307" s="2" t="str">
        <x:v>Cancelled</x:v>
      </x:c>
      <x:c r="E4307" s="2" t="str">
        <x:v>West</x:v>
      </x:c>
      <x:c r="F4307" s="2" t="str">
        <x:v>Online</x:v>
      </x:c>
      <x:c r="G4307" s="2" t="str">
        <x:v>Lighting</x:v>
      </x:c>
      <x:c r="H4307" s="2" t="str">
        <x:v>Lamp 005</x:v>
      </x:c>
      <x:c r="I4307" s="11" t="n">
        <x:v>2</x:v>
      </x:c>
      <x:c r="J4307" s="9" t="n">
        <x:v>65</x:v>
      </x:c>
      <x:c r="K4307" s="10" t="n">
        <x:v>0</x:v>
      </x:c>
      <x:c r="L4307" s="11" t="n">
        <x:v>0</x:v>
      </x:c>
      <x:c r="M4307" s="9" t="n">
        <x:f>IF(D4307="Completed",I4307*J4307,0)</x:f>
        <x:v>0</x:v>
      </x:c>
      <x:c r="N4307" s="9" t="n">
        <x:f>M4307*K4307</x:f>
        <x:v>0</x:v>
      </x:c>
      <x:c r="O4307" s="9" t="n">
        <x:f>M4307-N4307</x:f>
        <x:v>0</x:v>
      </x:c>
      <x:c r="P4307" s="9" t="n">
        <x:f>IF(D4307="Completed",L4307*J4307*(1-K4307),0)</x:f>
        <x:v>0</x:v>
      </x:c>
      <x:c r="Q4307" s="9" t="n">
        <x:f>O4307-P4307</x:f>
        <x:v>0</x:v>
      </x:c>
      <x:c r="R4307" s="11" t="n">
        <x:f>IF(D4307="Completed",I4307,0)</x:f>
        <x:v>0</x:v>
      </x:c>
      <x:c r="S4307" s="11" t="n">
        <x:f>IF(D4307="Completed",L4307,0)</x:f>
        <x:v>0</x:v>
      </x:c>
      <x:c r="T4307" s="8" t="n">
        <x:f>DATE(YEAR(C4307),MONTH(C4307),1)</x:f>
        <x:v>45778</x:v>
      </x:c>
    </x:row>
    <x:row r="4308" ht="22" customHeight="1">
      <x:c r="A4308" s="2" t="str">
        <x:v>L004304</x:v>
      </x:c>
      <x:c r="B4308" s="2" t="str">
        <x:v>O01749</x:v>
      </x:c>
      <x:c r="C4308" s="7" t="n">
        <x:v>45801</x:v>
      </x:c>
      <x:c r="D4308" s="2" t="str">
        <x:v>Cancelled</x:v>
      </x:c>
      <x:c r="E4308" s="2" t="str">
        <x:v>West</x:v>
      </x:c>
      <x:c r="F4308" s="2" t="str">
        <x:v>Online</x:v>
      </x:c>
      <x:c r="G4308" s="2" t="str">
        <x:v>Furniture</x:v>
      </x:c>
      <x:c r="H4308" s="2" t="str">
        <x:v>Chair 022</x:v>
      </x:c>
      <x:c r="I4308" s="11" t="n">
        <x:v>4</x:v>
      </x:c>
      <x:c r="J4308" s="9" t="n">
        <x:v>134</x:v>
      </x:c>
      <x:c r="K4308" s="10" t="n">
        <x:v>0.05</x:v>
      </x:c>
      <x:c r="L4308" s="11" t="n">
        <x:v>0</x:v>
      </x:c>
      <x:c r="M4308" s="9" t="n">
        <x:f>IF(D4308="Completed",I4308*J4308,0)</x:f>
        <x:v>0</x:v>
      </x:c>
      <x:c r="N4308" s="9" t="n">
        <x:f>M4308*K4308</x:f>
        <x:v>0</x:v>
      </x:c>
      <x:c r="O4308" s="9" t="n">
        <x:f>M4308-N4308</x:f>
        <x:v>0</x:v>
      </x:c>
      <x:c r="P4308" s="9" t="n">
        <x:f>IF(D4308="Completed",L4308*J4308*(1-K4308),0)</x:f>
        <x:v>0</x:v>
      </x:c>
      <x:c r="Q4308" s="9" t="n">
        <x:f>O4308-P4308</x:f>
        <x:v>0</x:v>
      </x:c>
      <x:c r="R4308" s="11" t="n">
        <x:f>IF(D4308="Completed",I4308,0)</x:f>
        <x:v>0</x:v>
      </x:c>
      <x:c r="S4308" s="11" t="n">
        <x:f>IF(D4308="Completed",L4308,0)</x:f>
        <x:v>0</x:v>
      </x:c>
      <x:c r="T4308" s="8" t="n">
        <x:f>DATE(YEAR(C4308),MONTH(C4308),1)</x:f>
        <x:v>45778</x:v>
      </x:c>
    </x:row>
    <x:row r="4309" ht="22" customHeight="1">
      <x:c r="A4309" s="2" t="str">
        <x:v>L004305</x:v>
      </x:c>
      <x:c r="B4309" s="2" t="str">
        <x:v>O01750</x:v>
      </x:c>
      <x:c r="C4309" s="7" t="n">
        <x:v>45984</x:v>
      </x:c>
      <x:c r="D4309" s="2" t="str">
        <x:v>Completed</x:v>
      </x:c>
      <x:c r="E4309" s="2" t="str">
        <x:v>East</x:v>
      </x:c>
      <x:c r="F4309" s="2" t="str">
        <x:v>Store</x:v>
      </x:c>
      <x:c r="G4309" s="2" t="str">
        <x:v>Furniture</x:v>
      </x:c>
      <x:c r="H4309" s="2" t="str">
        <x:v>Desk 024</x:v>
      </x:c>
      <x:c r="I4309" s="11" t="n">
        <x:v>4</x:v>
      </x:c>
      <x:c r="J4309" s="9" t="n">
        <x:v>81</x:v>
      </x:c>
      <x:c r="K4309" s="10" t="n">
        <x:v>0.1</x:v>
      </x:c>
      <x:c r="L4309" s="11" t="n">
        <x:v>0</x:v>
      </x:c>
      <x:c r="M4309" s="9" t="n">
        <x:f>IF(D4309="Completed",I4309*J4309,0)</x:f>
        <x:v>324</x:v>
      </x:c>
      <x:c r="N4309" s="9" t="n">
        <x:f>M4309*K4309</x:f>
        <x:v>32.4</x:v>
      </x:c>
      <x:c r="O4309" s="9" t="n">
        <x:f>M4309-N4309</x:f>
        <x:v>291.6</x:v>
      </x:c>
      <x:c r="P4309" s="9" t="n">
        <x:f>IF(D4309="Completed",L4309*J4309*(1-K4309),0)</x:f>
        <x:v>0</x:v>
      </x:c>
      <x:c r="Q4309" s="9" t="n">
        <x:f>O4309-P4309</x:f>
        <x:v>291.6</x:v>
      </x:c>
      <x:c r="R4309" s="11" t="n">
        <x:f>IF(D4309="Completed",I4309,0)</x:f>
        <x:v>4</x:v>
      </x:c>
      <x:c r="S4309" s="11" t="n">
        <x:f>IF(D4309="Completed",L4309,0)</x:f>
        <x:v>0</x:v>
      </x:c>
      <x:c r="T4309" s="8" t="n">
        <x:f>DATE(YEAR(C4309),MONTH(C4309),1)</x:f>
        <x:v>45962</x:v>
      </x:c>
    </x:row>
    <x:row r="4310" ht="22" customHeight="1">
      <x:c r="A4310" s="2" t="str">
        <x:v>L004306</x:v>
      </x:c>
      <x:c r="B4310" s="2" t="str">
        <x:v>O01750</x:v>
      </x:c>
      <x:c r="C4310" s="7" t="n">
        <x:v>45984</x:v>
      </x:c>
      <x:c r="D4310" s="2" t="str">
        <x:v>Completed</x:v>
      </x:c>
      <x:c r="E4310" s="2" t="str">
        <x:v>East</x:v>
      </x:c>
      <x:c r="F4310" s="2" t="str">
        <x:v>Store</x:v>
      </x:c>
      <x:c r="G4310" s="2" t="str">
        <x:v>Lighting</x:v>
      </x:c>
      <x:c r="H4310" s="2" t="str">
        <x:v>Lamp 009</x:v>
      </x:c>
      <x:c r="I4310" s="11" t="n">
        <x:v>4</x:v>
      </x:c>
      <x:c r="J4310" s="9" t="n">
        <x:v>93</x:v>
      </x:c>
      <x:c r="K4310" s="10" t="n">
        <x:v>0.2</x:v>
      </x:c>
      <x:c r="L4310" s="11" t="n">
        <x:v>0</x:v>
      </x:c>
      <x:c r="M4310" s="9" t="n">
        <x:f>IF(D4310="Completed",I4310*J4310,0)</x:f>
        <x:v>372</x:v>
      </x:c>
      <x:c r="N4310" s="9" t="n">
        <x:f>M4310*K4310</x:f>
        <x:v>74.4</x:v>
      </x:c>
      <x:c r="O4310" s="9" t="n">
        <x:f>M4310-N4310</x:f>
        <x:v>297.6</x:v>
      </x:c>
      <x:c r="P4310" s="9" t="n">
        <x:f>IF(D4310="Completed",L4310*J4310*(1-K4310),0)</x:f>
        <x:v>0</x:v>
      </x:c>
      <x:c r="Q4310" s="9" t="n">
        <x:f>O4310-P4310</x:f>
        <x:v>297.6</x:v>
      </x:c>
      <x:c r="R4310" s="11" t="n">
        <x:f>IF(D4310="Completed",I4310,0)</x:f>
        <x:v>4</x:v>
      </x:c>
      <x:c r="S4310" s="11" t="n">
        <x:f>IF(D4310="Completed",L4310,0)</x:f>
        <x:v>0</x:v>
      </x:c>
      <x:c r="T4310" s="8" t="n">
        <x:f>DATE(YEAR(C4310),MONTH(C4310),1)</x:f>
        <x:v>45962</x:v>
      </x:c>
    </x:row>
    <x:row r="4311" ht="22" customHeight="1">
      <x:c r="A4311" s="2" t="str">
        <x:v>L004307</x:v>
      </x:c>
      <x:c r="B4311" s="2" t="str">
        <x:v>O01750</x:v>
      </x:c>
      <x:c r="C4311" s="7" t="n">
        <x:v>45984</x:v>
      </x:c>
      <x:c r="D4311" s="2" t="str">
        <x:v>Completed</x:v>
      </x:c>
      <x:c r="E4311" s="2" t="str">
        <x:v>East</x:v>
      </x:c>
      <x:c r="F4311" s="2" t="str">
        <x:v>Store</x:v>
      </x:c>
      <x:c r="G4311" s="2" t="str">
        <x:v>Furniture</x:v>
      </x:c>
      <x:c r="H4311" s="2" t="str">
        <x:v>Desk 016</x:v>
      </x:c>
      <x:c r="I4311" s="11" t="n">
        <x:v>1</x:v>
      </x:c>
      <x:c r="J4311" s="9" t="n">
        <x:v>231</x:v>
      </x:c>
      <x:c r="K4311" s="10" t="n">
        <x:v>0.05</x:v>
      </x:c>
      <x:c r="L4311" s="11" t="n">
        <x:v>1</x:v>
      </x:c>
      <x:c r="M4311" s="9" t="n">
        <x:f>IF(D4311="Completed",I4311*J4311,0)</x:f>
        <x:v>231</x:v>
      </x:c>
      <x:c r="N4311" s="9" t="n">
        <x:f>M4311*K4311</x:f>
        <x:v>11.55</x:v>
      </x:c>
      <x:c r="O4311" s="9" t="n">
        <x:f>M4311-N4311</x:f>
        <x:v>219.45</x:v>
      </x:c>
      <x:c r="P4311" s="9" t="n">
        <x:f>IF(D4311="Completed",L4311*J4311*(1-K4311),0)</x:f>
        <x:v>219.45</x:v>
      </x:c>
      <x:c r="Q4311" s="9" t="n">
        <x:f>O4311-P4311</x:f>
        <x:v>0</x:v>
      </x:c>
      <x:c r="R4311" s="11" t="n">
        <x:f>IF(D4311="Completed",I4311,0)</x:f>
        <x:v>1</x:v>
      </x:c>
      <x:c r="S4311" s="11" t="n">
        <x:f>IF(D4311="Completed",L4311,0)</x:f>
        <x:v>1</x:v>
      </x:c>
      <x:c r="T4311" s="8" t="n">
        <x:f>DATE(YEAR(C4311),MONTH(C4311),1)</x:f>
        <x:v>45962</x:v>
      </x:c>
    </x:row>
    <x:row r="4312" ht="22" customHeight="1">
      <x:c r="A4312" s="2" t="str">
        <x:v>L004308</x:v>
      </x:c>
      <x:c r="B4312" s="2" t="str">
        <x:v>O01751</x:v>
      </x:c>
      <x:c r="C4312" s="7" t="n">
        <x:v>45836</x:v>
      </x:c>
      <x:c r="D4312" s="2" t="str">
        <x:v>Completed</x:v>
      </x:c>
      <x:c r="E4312" s="2" t="str">
        <x:v>West</x:v>
      </x:c>
      <x:c r="F4312" s="2" t="str">
        <x:v>Store</x:v>
      </x:c>
      <x:c r="G4312" s="2" t="str">
        <x:v>Storage</x:v>
      </x:c>
      <x:c r="H4312" s="2" t="str">
        <x:v>Shelf 019</x:v>
      </x:c>
      <x:c r="I4312" s="11" t="n">
        <x:v>3</x:v>
      </x:c>
      <x:c r="J4312" s="9" t="n">
        <x:v>78</x:v>
      </x:c>
      <x:c r="K4312" s="10" t="n">
        <x:v>0.1</x:v>
      </x:c>
      <x:c r="L4312" s="11" t="n">
        <x:v>0</x:v>
      </x:c>
      <x:c r="M4312" s="9" t="n">
        <x:f>IF(D4312="Completed",I4312*J4312,0)</x:f>
        <x:v>234</x:v>
      </x:c>
      <x:c r="N4312" s="9" t="n">
        <x:f>M4312*K4312</x:f>
        <x:v>23.400000000000002</x:v>
      </x:c>
      <x:c r="O4312" s="9" t="n">
        <x:f>M4312-N4312</x:f>
        <x:v>210.6</x:v>
      </x:c>
      <x:c r="P4312" s="9" t="n">
        <x:f>IF(D4312="Completed",L4312*J4312*(1-K4312),0)</x:f>
        <x:v>0</x:v>
      </x:c>
      <x:c r="Q4312" s="9" t="n">
        <x:f>O4312-P4312</x:f>
        <x:v>210.6</x:v>
      </x:c>
      <x:c r="R4312" s="11" t="n">
        <x:f>IF(D4312="Completed",I4312,0)</x:f>
        <x:v>3</x:v>
      </x:c>
      <x:c r="S4312" s="11" t="n">
        <x:f>IF(D4312="Completed",L4312,0)</x:f>
        <x:v>0</x:v>
      </x:c>
      <x:c r="T4312" s="8" t="n">
        <x:f>DATE(YEAR(C4312),MONTH(C4312),1)</x:f>
        <x:v>45809</x:v>
      </x:c>
    </x:row>
    <x:row r="4313" ht="22" customHeight="1">
      <x:c r="A4313" s="2" t="str">
        <x:v>L004309</x:v>
      </x:c>
      <x:c r="B4313" s="2" t="str">
        <x:v>O01751</x:v>
      </x:c>
      <x:c r="C4313" s="7" t="n">
        <x:v>45836</x:v>
      </x:c>
      <x:c r="D4313" s="2" t="str">
        <x:v>Completed</x:v>
      </x:c>
      <x:c r="E4313" s="2" t="str">
        <x:v>West</x:v>
      </x:c>
      <x:c r="F4313" s="2" t="str">
        <x:v>Store</x:v>
      </x:c>
      <x:c r="G4313" s="2" t="str">
        <x:v>Furniture</x:v>
      </x:c>
      <x:c r="H4313" s="2" t="str">
        <x:v>Desk 012</x:v>
      </x:c>
      <x:c r="I4313" s="11" t="n">
        <x:v>3</x:v>
      </x:c>
      <x:c r="J4313" s="9" t="n">
        <x:v>134</x:v>
      </x:c>
      <x:c r="K4313" s="10" t="n">
        <x:v>0.2</x:v>
      </x:c>
      <x:c r="L4313" s="11" t="n">
        <x:v>0</x:v>
      </x:c>
      <x:c r="M4313" s="9" t="n">
        <x:f>IF(D4313="Completed",I4313*J4313,0)</x:f>
        <x:v>402</x:v>
      </x:c>
      <x:c r="N4313" s="9" t="n">
        <x:f>M4313*K4313</x:f>
        <x:v>80.4</x:v>
      </x:c>
      <x:c r="O4313" s="9" t="n">
        <x:f>M4313-N4313</x:f>
        <x:v>321.6</x:v>
      </x:c>
      <x:c r="P4313" s="9" t="n">
        <x:f>IF(D4313="Completed",L4313*J4313*(1-K4313),0)</x:f>
        <x:v>0</x:v>
      </x:c>
      <x:c r="Q4313" s="9" t="n">
        <x:f>O4313-P4313</x:f>
        <x:v>321.6</x:v>
      </x:c>
      <x:c r="R4313" s="11" t="n">
        <x:f>IF(D4313="Completed",I4313,0)</x:f>
        <x:v>3</x:v>
      </x:c>
      <x:c r="S4313" s="11" t="n">
        <x:f>IF(D4313="Completed",L4313,0)</x:f>
        <x:v>0</x:v>
      </x:c>
      <x:c r="T4313" s="8" t="n">
        <x:f>DATE(YEAR(C4313),MONTH(C4313),1)</x:f>
        <x:v>45809</x:v>
      </x:c>
    </x:row>
    <x:row r="4314" ht="22" customHeight="1">
      <x:c r="A4314" s="2" t="str">
        <x:v>L004310</x:v>
      </x:c>
      <x:c r="B4314" s="2" t="str">
        <x:v>O01751</x:v>
      </x:c>
      <x:c r="C4314" s="7" t="n">
        <x:v>45836</x:v>
      </x:c>
      <x:c r="D4314" s="2" t="str">
        <x:v>Completed</x:v>
      </x:c>
      <x:c r="E4314" s="2" t="str">
        <x:v>West</x:v>
      </x:c>
      <x:c r="F4314" s="2" t="str">
        <x:v>Store</x:v>
      </x:c>
      <x:c r="G4314" s="2" t="str">
        <x:v>Furniture</x:v>
      </x:c>
      <x:c r="H4314" s="2" t="str">
        <x:v>Desk 008</x:v>
      </x:c>
      <x:c r="I4314" s="11" t="n">
        <x:v>2</x:v>
      </x:c>
      <x:c r="J4314" s="9" t="n">
        <x:v>188</x:v>
      </x:c>
      <x:c r="K4314" s="10" t="n">
        <x:v>0.1</x:v>
      </x:c>
      <x:c r="L4314" s="11" t="n">
        <x:v>0</x:v>
      </x:c>
      <x:c r="M4314" s="9" t="n">
        <x:f>IF(D4314="Completed",I4314*J4314,0)</x:f>
        <x:v>376</x:v>
      </x:c>
      <x:c r="N4314" s="9" t="n">
        <x:f>M4314*K4314</x:f>
        <x:v>37.6</x:v>
      </x:c>
      <x:c r="O4314" s="9" t="n">
        <x:f>M4314-N4314</x:f>
        <x:v>338.4</x:v>
      </x:c>
      <x:c r="P4314" s="9" t="n">
        <x:f>IF(D4314="Completed",L4314*J4314*(1-K4314),0)</x:f>
        <x:v>0</x:v>
      </x:c>
      <x:c r="Q4314" s="9" t="n">
        <x:f>O4314-P4314</x:f>
        <x:v>338.4</x:v>
      </x:c>
      <x:c r="R4314" s="11" t="n">
        <x:f>IF(D4314="Completed",I4314,0)</x:f>
        <x:v>2</x:v>
      </x:c>
      <x:c r="S4314" s="11" t="n">
        <x:f>IF(D4314="Completed",L4314,0)</x:f>
        <x:v>0</x:v>
      </x:c>
      <x:c r="T4314" s="8" t="n">
        <x:f>DATE(YEAR(C4314),MONTH(C4314),1)</x:f>
        <x:v>45809</x:v>
      </x:c>
    </x:row>
    <x:row r="4315" ht="22" customHeight="1">
      <x:c r="A4315" s="2" t="str">
        <x:v>L004311</x:v>
      </x:c>
      <x:c r="B4315" s="2" t="str">
        <x:v>O01752</x:v>
      </x:c>
      <x:c r="C4315" s="7" t="n">
        <x:v>45844</x:v>
      </x:c>
      <x:c r="D4315" s="2" t="str">
        <x:v>Completed</x:v>
      </x:c>
      <x:c r="E4315" s="2" t="str">
        <x:v>West</x:v>
      </x:c>
      <x:c r="F4315" s="2" t="str">
        <x:v>Store</x:v>
      </x:c>
      <x:c r="G4315" s="2" t="str">
        <x:v>Furniture</x:v>
      </x:c>
      <x:c r="H4315" s="2" t="str">
        <x:v>Desk 020</x:v>
      </x:c>
      <x:c r="I4315" s="11" t="n">
        <x:v>5</x:v>
      </x:c>
      <x:c r="J4315" s="9" t="n">
        <x:v>189</x:v>
      </x:c>
      <x:c r="K4315" s="10" t="n">
        <x:v>0.05</x:v>
      </x:c>
      <x:c r="L4315" s="11" t="n">
        <x:v>0</x:v>
      </x:c>
      <x:c r="M4315" s="9" t="n">
        <x:f>IF(D4315="Completed",I4315*J4315,0)</x:f>
        <x:v>945</x:v>
      </x:c>
      <x:c r="N4315" s="9" t="n">
        <x:f>M4315*K4315</x:f>
        <x:v>47.25</x:v>
      </x:c>
      <x:c r="O4315" s="9" t="n">
        <x:f>M4315-N4315</x:f>
        <x:v>897.75</x:v>
      </x:c>
      <x:c r="P4315" s="9" t="n">
        <x:f>IF(D4315="Completed",L4315*J4315*(1-K4315),0)</x:f>
        <x:v>0</x:v>
      </x:c>
      <x:c r="Q4315" s="9" t="n">
        <x:f>O4315-P4315</x:f>
        <x:v>897.75</x:v>
      </x:c>
      <x:c r="R4315" s="11" t="n">
        <x:f>IF(D4315="Completed",I4315,0)</x:f>
        <x:v>5</x:v>
      </x:c>
      <x:c r="S4315" s="11" t="n">
        <x:f>IF(D4315="Completed",L4315,0)</x:f>
        <x:v>0</x:v>
      </x:c>
      <x:c r="T4315" s="8" t="n">
        <x:f>DATE(YEAR(C4315),MONTH(C4315),1)</x:f>
        <x:v>45839</x:v>
      </x:c>
    </x:row>
    <x:row r="4316" ht="22" customHeight="1">
      <x:c r="A4316" s="2" t="str">
        <x:v>L004312</x:v>
      </x:c>
      <x:c r="B4316" s="2" t="str">
        <x:v>O01752</x:v>
      </x:c>
      <x:c r="C4316" s="7" t="n">
        <x:v>45844</x:v>
      </x:c>
      <x:c r="D4316" s="2" t="str">
        <x:v>Completed</x:v>
      </x:c>
      <x:c r="E4316" s="2" t="str">
        <x:v>West</x:v>
      </x:c>
      <x:c r="F4316" s="2" t="str">
        <x:v>Store</x:v>
      </x:c>
      <x:c r="G4316" s="2" t="str">
        <x:v>Furniture</x:v>
      </x:c>
      <x:c r="H4316" s="2" t="str">
        <x:v>Chair 018</x:v>
      </x:c>
      <x:c r="I4316" s="11" t="n">
        <x:v>1</x:v>
      </x:c>
      <x:c r="J4316" s="9" t="n">
        <x:v>269</x:v>
      </x:c>
      <x:c r="K4316" s="10" t="n">
        <x:v>0</x:v>
      </x:c>
      <x:c r="L4316" s="11" t="n">
        <x:v>0</x:v>
      </x:c>
      <x:c r="M4316" s="9" t="n">
        <x:f>IF(D4316="Completed",I4316*J4316,0)</x:f>
        <x:v>269</x:v>
      </x:c>
      <x:c r="N4316" s="9" t="n">
        <x:f>M4316*K4316</x:f>
        <x:v>0</x:v>
      </x:c>
      <x:c r="O4316" s="9" t="n">
        <x:f>M4316-N4316</x:f>
        <x:v>269</x:v>
      </x:c>
      <x:c r="P4316" s="9" t="n">
        <x:f>IF(D4316="Completed",L4316*J4316*(1-K4316),0)</x:f>
        <x:v>0</x:v>
      </x:c>
      <x:c r="Q4316" s="9" t="n">
        <x:f>O4316-P4316</x:f>
        <x:v>269</x:v>
      </x:c>
      <x:c r="R4316" s="11" t="n">
        <x:f>IF(D4316="Completed",I4316,0)</x:f>
        <x:v>1</x:v>
      </x:c>
      <x:c r="S4316" s="11" t="n">
        <x:f>IF(D4316="Completed",L4316,0)</x:f>
        <x:v>0</x:v>
      </x:c>
      <x:c r="T4316" s="8" t="n">
        <x:f>DATE(YEAR(C4316),MONTH(C4316),1)</x:f>
        <x:v>45839</x:v>
      </x:c>
    </x:row>
    <x:row r="4317" ht="22" customHeight="1">
      <x:c r="A4317" s="2" t="str">
        <x:v>L004313</x:v>
      </x:c>
      <x:c r="B4317" s="2" t="str">
        <x:v>O01752</x:v>
      </x:c>
      <x:c r="C4317" s="7" t="n">
        <x:v>45844</x:v>
      </x:c>
      <x:c r="D4317" s="2" t="str">
        <x:v>Completed</x:v>
      </x:c>
      <x:c r="E4317" s="2" t="str">
        <x:v>West</x:v>
      </x:c>
      <x:c r="F4317" s="2" t="str">
        <x:v>Store</x:v>
      </x:c>
      <x:c r="G4317" s="2" t="str">
        <x:v>Furniture</x:v>
      </x:c>
      <x:c r="H4317" s="2" t="str">
        <x:v>Desk 024</x:v>
      </x:c>
      <x:c r="I4317" s="11" t="n">
        <x:v>3</x:v>
      </x:c>
      <x:c r="J4317" s="9" t="n">
        <x:v>81</x:v>
      </x:c>
      <x:c r="K4317" s="10" t="n">
        <x:v>0.1</x:v>
      </x:c>
      <x:c r="L4317" s="11" t="n">
        <x:v>0</x:v>
      </x:c>
      <x:c r="M4317" s="9" t="n">
        <x:f>IF(D4317="Completed",I4317*J4317,0)</x:f>
        <x:v>243</x:v>
      </x:c>
      <x:c r="N4317" s="9" t="n">
        <x:f>M4317*K4317</x:f>
        <x:v>24.3</x:v>
      </x:c>
      <x:c r="O4317" s="9" t="n">
        <x:f>M4317-N4317</x:f>
        <x:v>218.7</x:v>
      </x:c>
      <x:c r="P4317" s="9" t="n">
        <x:f>IF(D4317="Completed",L4317*J4317*(1-K4317),0)</x:f>
        <x:v>0</x:v>
      </x:c>
      <x:c r="Q4317" s="9" t="n">
        <x:f>O4317-P4317</x:f>
        <x:v>218.7</x:v>
      </x:c>
      <x:c r="R4317" s="11" t="n">
        <x:f>IF(D4317="Completed",I4317,0)</x:f>
        <x:v>3</x:v>
      </x:c>
      <x:c r="S4317" s="11" t="n">
        <x:f>IF(D4317="Completed",L4317,0)</x:f>
        <x:v>0</x:v>
      </x:c>
      <x:c r="T4317" s="8" t="n">
        <x:f>DATE(YEAR(C4317),MONTH(C4317),1)</x:f>
        <x:v>45839</x:v>
      </x:c>
    </x:row>
    <x:row r="4318" ht="22" customHeight="1">
      <x:c r="A4318" s="2" t="str">
        <x:v>L004314</x:v>
      </x:c>
      <x:c r="B4318" s="2" t="str">
        <x:v>O01753</x:v>
      </x:c>
      <x:c r="C4318" s="7" t="n">
        <x:v>45920</x:v>
      </x:c>
      <x:c r="D4318" s="2" t="str">
        <x:v>Completed</x:v>
      </x:c>
      <x:c r="E4318" s="2" t="str">
        <x:v>East</x:v>
      </x:c>
      <x:c r="F4318" s="2" t="str">
        <x:v>Online</x:v>
      </x:c>
      <x:c r="G4318" s="2" t="str">
        <x:v>Furniture</x:v>
      </x:c>
      <x:c r="H4318" s="2" t="str">
        <x:v>Chair 010</x:v>
      </x:c>
      <x:c r="I4318" s="11" t="n">
        <x:v>4</x:v>
      </x:c>
      <x:c r="J4318" s="9" t="n">
        <x:v>211</x:v>
      </x:c>
      <x:c r="K4318" s="10" t="n">
        <x:v>0</x:v>
      </x:c>
      <x:c r="L4318" s="11" t="n">
        <x:v>0</x:v>
      </x:c>
      <x:c r="M4318" s="9" t="n">
        <x:f>IF(D4318="Completed",I4318*J4318,0)</x:f>
        <x:v>844</x:v>
      </x:c>
      <x:c r="N4318" s="9" t="n">
        <x:f>M4318*K4318</x:f>
        <x:v>0</x:v>
      </x:c>
      <x:c r="O4318" s="9" t="n">
        <x:f>M4318-N4318</x:f>
        <x:v>844</x:v>
      </x:c>
      <x:c r="P4318" s="9" t="n">
        <x:f>IF(D4318="Completed",L4318*J4318*(1-K4318),0)</x:f>
        <x:v>0</x:v>
      </x:c>
      <x:c r="Q4318" s="9" t="n">
        <x:f>O4318-P4318</x:f>
        <x:v>844</x:v>
      </x:c>
      <x:c r="R4318" s="11" t="n">
        <x:f>IF(D4318="Completed",I4318,0)</x:f>
        <x:v>4</x:v>
      </x:c>
      <x:c r="S4318" s="11" t="n">
        <x:f>IF(D4318="Completed",L4318,0)</x:f>
        <x:v>0</x:v>
      </x:c>
      <x:c r="T4318" s="8" t="n">
        <x:f>DATE(YEAR(C4318),MONTH(C4318),1)</x:f>
        <x:v>45901</x:v>
      </x:c>
    </x:row>
    <x:row r="4319" ht="22" customHeight="1">
      <x:c r="A4319" s="2" t="str">
        <x:v>L004315</x:v>
      </x:c>
      <x:c r="B4319" s="2" t="str">
        <x:v>O01753</x:v>
      </x:c>
      <x:c r="C4319" s="7" t="n">
        <x:v>45920</x:v>
      </x:c>
      <x:c r="D4319" s="2" t="str">
        <x:v>Completed</x:v>
      </x:c>
      <x:c r="E4319" s="2" t="str">
        <x:v>East</x:v>
      </x:c>
      <x:c r="F4319" s="2" t="str">
        <x:v>Online</x:v>
      </x:c>
      <x:c r="G4319" s="2" t="str">
        <x:v>Storage</x:v>
      </x:c>
      <x:c r="H4319" s="2" t="str">
        <x:v>Shelf 003</x:v>
      </x:c>
      <x:c r="I4319" s="11" t="n">
        <x:v>1</x:v>
      </x:c>
      <x:c r="J4319" s="9" t="n">
        <x:v>199</x:v>
      </x:c>
      <x:c r="K4319" s="10" t="n">
        <x:v>0</x:v>
      </x:c>
      <x:c r="L4319" s="11" t="n">
        <x:v>0</x:v>
      </x:c>
      <x:c r="M4319" s="9" t="n">
        <x:f>IF(D4319="Completed",I4319*J4319,0)</x:f>
        <x:v>199</x:v>
      </x:c>
      <x:c r="N4319" s="9" t="n">
        <x:f>M4319*K4319</x:f>
        <x:v>0</x:v>
      </x:c>
      <x:c r="O4319" s="9" t="n">
        <x:f>M4319-N4319</x:f>
        <x:v>199</x:v>
      </x:c>
      <x:c r="P4319" s="9" t="n">
        <x:f>IF(D4319="Completed",L4319*J4319*(1-K4319),0)</x:f>
        <x:v>0</x:v>
      </x:c>
      <x:c r="Q4319" s="9" t="n">
        <x:f>O4319-P4319</x:f>
        <x:v>199</x:v>
      </x:c>
      <x:c r="R4319" s="11" t="n">
        <x:f>IF(D4319="Completed",I4319,0)</x:f>
        <x:v>1</x:v>
      </x:c>
      <x:c r="S4319" s="11" t="n">
        <x:f>IF(D4319="Completed",L4319,0)</x:f>
        <x:v>0</x:v>
      </x:c>
      <x:c r="T4319" s="8" t="n">
        <x:f>DATE(YEAR(C4319),MONTH(C4319),1)</x:f>
        <x:v>45901</x:v>
      </x:c>
    </x:row>
    <x:row r="4320" ht="22" customHeight="1">
      <x:c r="A4320" s="2" t="str">
        <x:v>L004316</x:v>
      </x:c>
      <x:c r="B4320" s="2" t="str">
        <x:v>O01754</x:v>
      </x:c>
      <x:c r="C4320" s="7" t="n">
        <x:v>46009</x:v>
      </x:c>
      <x:c r="D4320" s="2" t="str">
        <x:v>Completed</x:v>
      </x:c>
      <x:c r="E4320" s="2" t="str">
        <x:v>South</x:v>
      </x:c>
      <x:c r="F4320" s="2" t="str">
        <x:v>Store</x:v>
      </x:c>
      <x:c r="G4320" s="2" t="str">
        <x:v>Furniture</x:v>
      </x:c>
      <x:c r="H4320" s="2" t="str">
        <x:v>Desk 024</x:v>
      </x:c>
      <x:c r="I4320" s="11" t="n">
        <x:v>5</x:v>
      </x:c>
      <x:c r="J4320" s="9" t="n">
        <x:v>81</x:v>
      </x:c>
      <x:c r="K4320" s="10" t="n">
        <x:v>0.05</x:v>
      </x:c>
      <x:c r="L4320" s="11" t="n">
        <x:v>0</x:v>
      </x:c>
      <x:c r="M4320" s="9" t="n">
        <x:f>IF(D4320="Completed",I4320*J4320,0)</x:f>
        <x:v>405</x:v>
      </x:c>
      <x:c r="N4320" s="9" t="n">
        <x:f>M4320*K4320</x:f>
        <x:v>20.25</x:v>
      </x:c>
      <x:c r="O4320" s="9" t="n">
        <x:f>M4320-N4320</x:f>
        <x:v>384.75</x:v>
      </x:c>
      <x:c r="P4320" s="9" t="n">
        <x:f>IF(D4320="Completed",L4320*J4320*(1-K4320),0)</x:f>
        <x:v>0</x:v>
      </x:c>
      <x:c r="Q4320" s="9" t="n">
        <x:f>O4320-P4320</x:f>
        <x:v>384.75</x:v>
      </x:c>
      <x:c r="R4320" s="11" t="n">
        <x:f>IF(D4320="Completed",I4320,0)</x:f>
        <x:v>5</x:v>
      </x:c>
      <x:c r="S4320" s="11" t="n">
        <x:f>IF(D4320="Completed",L4320,0)</x:f>
        <x:v>0</x:v>
      </x:c>
      <x:c r="T4320" s="8" t="n">
        <x:f>DATE(YEAR(C4320),MONTH(C4320),1)</x:f>
        <x:v>45992</x:v>
      </x:c>
    </x:row>
    <x:row r="4321" ht="22" customHeight="1">
      <x:c r="A4321" s="2" t="str">
        <x:v>L004317</x:v>
      </x:c>
      <x:c r="B4321" s="2" t="str">
        <x:v>O01754</x:v>
      </x:c>
      <x:c r="C4321" s="7" t="n">
        <x:v>46009</x:v>
      </x:c>
      <x:c r="D4321" s="2" t="str">
        <x:v>Completed</x:v>
      </x:c>
      <x:c r="E4321" s="2" t="str">
        <x:v>South</x:v>
      </x:c>
      <x:c r="F4321" s="2" t="str">
        <x:v>Store</x:v>
      </x:c>
      <x:c r="G4321" s="2" t="str">
        <x:v>Storage</x:v>
      </x:c>
      <x:c r="H4321" s="2" t="str">
        <x:v>Shelf 023</x:v>
      </x:c>
      <x:c r="I4321" s="11" t="n">
        <x:v>1</x:v>
      </x:c>
      <x:c r="J4321" s="9" t="n">
        <x:v>68</x:v>
      </x:c>
      <x:c r="K4321" s="10" t="n">
        <x:v>0</x:v>
      </x:c>
      <x:c r="L4321" s="11" t="n">
        <x:v>0</x:v>
      </x:c>
      <x:c r="M4321" s="9" t="n">
        <x:f>IF(D4321="Completed",I4321*J4321,0)</x:f>
        <x:v>68</x:v>
      </x:c>
      <x:c r="N4321" s="9" t="n">
        <x:f>M4321*K4321</x:f>
        <x:v>0</x:v>
      </x:c>
      <x:c r="O4321" s="9" t="n">
        <x:f>M4321-N4321</x:f>
        <x:v>68</x:v>
      </x:c>
      <x:c r="P4321" s="9" t="n">
        <x:f>IF(D4321="Completed",L4321*J4321*(1-K4321),0)</x:f>
        <x:v>0</x:v>
      </x:c>
      <x:c r="Q4321" s="9" t="n">
        <x:f>O4321-P4321</x:f>
        <x:v>68</x:v>
      </x:c>
      <x:c r="R4321" s="11" t="n">
        <x:f>IF(D4321="Completed",I4321,0)</x:f>
        <x:v>1</x:v>
      </x:c>
      <x:c r="S4321" s="11" t="n">
        <x:f>IF(D4321="Completed",L4321,0)</x:f>
        <x:v>0</x:v>
      </x:c>
      <x:c r="T4321" s="8" t="n">
        <x:f>DATE(YEAR(C4321),MONTH(C4321),1)</x:f>
        <x:v>45992</x:v>
      </x:c>
    </x:row>
    <x:row r="4322" ht="22" customHeight="1">
      <x:c r="A4322" s="2" t="str">
        <x:v>L004318</x:v>
      </x:c>
      <x:c r="B4322" s="2" t="str">
        <x:v>O01755</x:v>
      </x:c>
      <x:c r="C4322" s="7" t="n">
        <x:v>45838</x:v>
      </x:c>
      <x:c r="D4322" s="2" t="str">
        <x:v>Completed</x:v>
      </x:c>
      <x:c r="E4322" s="2" t="str">
        <x:v>East</x:v>
      </x:c>
      <x:c r="F4322" s="2" t="str">
        <x:v>Online</x:v>
      </x:c>
      <x:c r="G4322" s="2" t="str">
        <x:v>Storage</x:v>
      </x:c>
      <x:c r="H4322" s="2" t="str">
        <x:v>Shelf 015</x:v>
      </x:c>
      <x:c r="I4322" s="11" t="n">
        <x:v>5</x:v>
      </x:c>
      <x:c r="J4322" s="9" t="n">
        <x:v>254</x:v>
      </x:c>
      <x:c r="K4322" s="10" t="n">
        <x:v>0</x:v>
      </x:c>
      <x:c r="L4322" s="11" t="n">
        <x:v>0</x:v>
      </x:c>
      <x:c r="M4322" s="9" t="n">
        <x:f>IF(D4322="Completed",I4322*J4322,0)</x:f>
        <x:v>1270</x:v>
      </x:c>
      <x:c r="N4322" s="9" t="n">
        <x:f>M4322*K4322</x:f>
        <x:v>0</x:v>
      </x:c>
      <x:c r="O4322" s="9" t="n">
        <x:f>M4322-N4322</x:f>
        <x:v>1270</x:v>
      </x:c>
      <x:c r="P4322" s="9" t="n">
        <x:f>IF(D4322="Completed",L4322*J4322*(1-K4322),0)</x:f>
        <x:v>0</x:v>
      </x:c>
      <x:c r="Q4322" s="9" t="n">
        <x:f>O4322-P4322</x:f>
        <x:v>1270</x:v>
      </x:c>
      <x:c r="R4322" s="11" t="n">
        <x:f>IF(D4322="Completed",I4322,0)</x:f>
        <x:v>5</x:v>
      </x:c>
      <x:c r="S4322" s="11" t="n">
        <x:f>IF(D4322="Completed",L4322,0)</x:f>
        <x:v>0</x:v>
      </x:c>
      <x:c r="T4322" s="8" t="n">
        <x:f>DATE(YEAR(C4322),MONTH(C4322),1)</x:f>
        <x:v>45809</x:v>
      </x:c>
    </x:row>
    <x:row r="4323" ht="22" customHeight="1">
      <x:c r="A4323" s="2" t="str">
        <x:v>L004319</x:v>
      </x:c>
      <x:c r="B4323" s="2" t="str">
        <x:v>O01755</x:v>
      </x:c>
      <x:c r="C4323" s="7" t="n">
        <x:v>45838</x:v>
      </x:c>
      <x:c r="D4323" s="2" t="str">
        <x:v>Completed</x:v>
      </x:c>
      <x:c r="E4323" s="2" t="str">
        <x:v>East</x:v>
      </x:c>
      <x:c r="F4323" s="2" t="str">
        <x:v>Online</x:v>
      </x:c>
      <x:c r="G4323" s="2" t="str">
        <x:v>Lighting</x:v>
      </x:c>
      <x:c r="H4323" s="2" t="str">
        <x:v>Lamp 001</x:v>
      </x:c>
      <x:c r="I4323" s="11" t="n">
        <x:v>2</x:v>
      </x:c>
      <x:c r="J4323" s="9" t="n">
        <x:v>122</x:v>
      </x:c>
      <x:c r="K4323" s="10" t="n">
        <x:v>0.2</x:v>
      </x:c>
      <x:c r="L4323" s="11" t="n">
        <x:v>0</x:v>
      </x:c>
      <x:c r="M4323" s="9" t="n">
        <x:f>IF(D4323="Completed",I4323*J4323,0)</x:f>
        <x:v>244</x:v>
      </x:c>
      <x:c r="N4323" s="9" t="n">
        <x:f>M4323*K4323</x:f>
        <x:v>48.800000000000004</x:v>
      </x:c>
      <x:c r="O4323" s="9" t="n">
        <x:f>M4323-N4323</x:f>
        <x:v>195.2</x:v>
      </x:c>
      <x:c r="P4323" s="9" t="n">
        <x:f>IF(D4323="Completed",L4323*J4323*(1-K4323),0)</x:f>
        <x:v>0</x:v>
      </x:c>
      <x:c r="Q4323" s="9" t="n">
        <x:f>O4323-P4323</x:f>
        <x:v>195.2</x:v>
      </x:c>
      <x:c r="R4323" s="11" t="n">
        <x:f>IF(D4323="Completed",I4323,0)</x:f>
        <x:v>2</x:v>
      </x:c>
      <x:c r="S4323" s="11" t="n">
        <x:f>IF(D4323="Completed",L4323,0)</x:f>
        <x:v>0</x:v>
      </x:c>
      <x:c r="T4323" s="8" t="n">
        <x:f>DATE(YEAR(C4323),MONTH(C4323),1)</x:f>
        <x:v>45809</x:v>
      </x:c>
    </x:row>
    <x:row r="4324" ht="22" customHeight="1">
      <x:c r="A4324" s="2" t="str">
        <x:v>L004320</x:v>
      </x:c>
      <x:c r="B4324" s="2" t="str">
        <x:v>O01756</x:v>
      </x:c>
      <x:c r="C4324" s="7" t="n">
        <x:v>45991</x:v>
      </x:c>
      <x:c r="D4324" s="2" t="str">
        <x:v>Completed</x:v>
      </x:c>
      <x:c r="E4324" s="2" t="str">
        <x:v>South</x:v>
      </x:c>
      <x:c r="F4324" s="2" t="str">
        <x:v>Online</x:v>
      </x:c>
      <x:c r="G4324" s="2" t="str">
        <x:v>Furniture</x:v>
      </x:c>
      <x:c r="H4324" s="2" t="str">
        <x:v>Desk 012</x:v>
      </x:c>
      <x:c r="I4324" s="11" t="n">
        <x:v>2</x:v>
      </x:c>
      <x:c r="J4324" s="9" t="n">
        <x:v>134</x:v>
      </x:c>
      <x:c r="K4324" s="10" t="n">
        <x:v>0.2</x:v>
      </x:c>
      <x:c r="L4324" s="11" t="n">
        <x:v>0</x:v>
      </x:c>
      <x:c r="M4324" s="9" t="n">
        <x:f>IF(D4324="Completed",I4324*J4324,0)</x:f>
        <x:v>268</x:v>
      </x:c>
      <x:c r="N4324" s="9" t="n">
        <x:f>M4324*K4324</x:f>
        <x:v>53.6</x:v>
      </x:c>
      <x:c r="O4324" s="9" t="n">
        <x:f>M4324-N4324</x:f>
        <x:v>214.4</x:v>
      </x:c>
      <x:c r="P4324" s="9" t="n">
        <x:f>IF(D4324="Completed",L4324*J4324*(1-K4324),0)</x:f>
        <x:v>0</x:v>
      </x:c>
      <x:c r="Q4324" s="9" t="n">
        <x:f>O4324-P4324</x:f>
        <x:v>214.4</x:v>
      </x:c>
      <x:c r="R4324" s="11" t="n">
        <x:f>IF(D4324="Completed",I4324,0)</x:f>
        <x:v>2</x:v>
      </x:c>
      <x:c r="S4324" s="11" t="n">
        <x:f>IF(D4324="Completed",L4324,0)</x:f>
        <x:v>0</x:v>
      </x:c>
      <x:c r="T4324" s="8" t="n">
        <x:f>DATE(YEAR(C4324),MONTH(C4324),1)</x:f>
        <x:v>45962</x:v>
      </x:c>
    </x:row>
    <x:row r="4325" ht="22" customHeight="1">
      <x:c r="A4325" s="2" t="str">
        <x:v>L004321</x:v>
      </x:c>
      <x:c r="B4325" s="2" t="str">
        <x:v>O01756</x:v>
      </x:c>
      <x:c r="C4325" s="7" t="n">
        <x:v>45991</x:v>
      </x:c>
      <x:c r="D4325" s="2" t="str">
        <x:v>Completed</x:v>
      </x:c>
      <x:c r="E4325" s="2" t="str">
        <x:v>South</x:v>
      </x:c>
      <x:c r="F4325" s="2" t="str">
        <x:v>Online</x:v>
      </x:c>
      <x:c r="G4325" s="2" t="str">
        <x:v>Furniture</x:v>
      </x:c>
      <x:c r="H4325" s="2" t="str">
        <x:v>Chair 014</x:v>
      </x:c>
      <x:c r="I4325" s="11" t="n">
        <x:v>4</x:v>
      </x:c>
      <x:c r="J4325" s="9" t="n">
        <x:v>294</x:v>
      </x:c>
      <x:c r="K4325" s="10" t="n">
        <x:v>0</x:v>
      </x:c>
      <x:c r="L4325" s="11" t="n">
        <x:v>0</x:v>
      </x:c>
      <x:c r="M4325" s="9" t="n">
        <x:f>IF(D4325="Completed",I4325*J4325,0)</x:f>
        <x:v>1176</x:v>
      </x:c>
      <x:c r="N4325" s="9" t="n">
        <x:f>M4325*K4325</x:f>
        <x:v>0</x:v>
      </x:c>
      <x:c r="O4325" s="9" t="n">
        <x:f>M4325-N4325</x:f>
        <x:v>1176</x:v>
      </x:c>
      <x:c r="P4325" s="9" t="n">
        <x:f>IF(D4325="Completed",L4325*J4325*(1-K4325),0)</x:f>
        <x:v>0</x:v>
      </x:c>
      <x:c r="Q4325" s="9" t="n">
        <x:f>O4325-P4325</x:f>
        <x:v>1176</x:v>
      </x:c>
      <x:c r="R4325" s="11" t="n">
        <x:f>IF(D4325="Completed",I4325,0)</x:f>
        <x:v>4</x:v>
      </x:c>
      <x:c r="S4325" s="11" t="n">
        <x:f>IF(D4325="Completed",L4325,0)</x:f>
        <x:v>0</x:v>
      </x:c>
      <x:c r="T4325" s="8" t="n">
        <x:f>DATE(YEAR(C4325),MONTH(C4325),1)</x:f>
        <x:v>45962</x:v>
      </x:c>
    </x:row>
    <x:row r="4326" ht="22" customHeight="1">
      <x:c r="A4326" s="2" t="str">
        <x:v>L004322</x:v>
      </x:c>
      <x:c r="B4326" s="2" t="str">
        <x:v>O01756</x:v>
      </x:c>
      <x:c r="C4326" s="7" t="n">
        <x:v>45991</x:v>
      </x:c>
      <x:c r="D4326" s="2" t="str">
        <x:v>Completed</x:v>
      </x:c>
      <x:c r="E4326" s="2" t="str">
        <x:v>South</x:v>
      </x:c>
      <x:c r="F4326" s="2" t="str">
        <x:v>Online</x:v>
      </x:c>
      <x:c r="G4326" s="2" t="str">
        <x:v>Furniture</x:v>
      </x:c>
      <x:c r="H4326" s="2" t="str">
        <x:v>Desk 024</x:v>
      </x:c>
      <x:c r="I4326" s="11" t="n">
        <x:v>5</x:v>
      </x:c>
      <x:c r="J4326" s="9" t="n">
        <x:v>81</x:v>
      </x:c>
      <x:c r="K4326" s="10" t="n">
        <x:v>0</x:v>
      </x:c>
      <x:c r="L4326" s="11" t="n">
        <x:v>0</x:v>
      </x:c>
      <x:c r="M4326" s="9" t="n">
        <x:f>IF(D4326="Completed",I4326*J4326,0)</x:f>
        <x:v>405</x:v>
      </x:c>
      <x:c r="N4326" s="9" t="n">
        <x:f>M4326*K4326</x:f>
        <x:v>0</x:v>
      </x:c>
      <x:c r="O4326" s="9" t="n">
        <x:f>M4326-N4326</x:f>
        <x:v>405</x:v>
      </x:c>
      <x:c r="P4326" s="9" t="n">
        <x:f>IF(D4326="Completed",L4326*J4326*(1-K4326),0)</x:f>
        <x:v>0</x:v>
      </x:c>
      <x:c r="Q4326" s="9" t="n">
        <x:f>O4326-P4326</x:f>
        <x:v>405</x:v>
      </x:c>
      <x:c r="R4326" s="11" t="n">
        <x:f>IF(D4326="Completed",I4326,0)</x:f>
        <x:v>5</x:v>
      </x:c>
      <x:c r="S4326" s="11" t="n">
        <x:f>IF(D4326="Completed",L4326,0)</x:f>
        <x:v>0</x:v>
      </x:c>
      <x:c r="T4326" s="8" t="n">
        <x:f>DATE(YEAR(C4326),MONTH(C4326),1)</x:f>
        <x:v>45962</x:v>
      </x:c>
    </x:row>
    <x:row r="4327" ht="22" customHeight="1">
      <x:c r="A4327" s="2" t="str">
        <x:v>L004323</x:v>
      </x:c>
      <x:c r="B4327" s="2" t="str">
        <x:v>O01757</x:v>
      </x:c>
      <x:c r="C4327" s="7" t="n">
        <x:v>45787</x:v>
      </x:c>
      <x:c r="D4327" s="2" t="str">
        <x:v>Completed</x:v>
      </x:c>
      <x:c r="E4327" s="2" t="str">
        <x:v>East</x:v>
      </x:c>
      <x:c r="F4327" s="2" t="str">
        <x:v>Store</x:v>
      </x:c>
      <x:c r="G4327" s="2" t="str">
        <x:v>Furniture</x:v>
      </x:c>
      <x:c r="H4327" s="2" t="str">
        <x:v>Chair 010</x:v>
      </x:c>
      <x:c r="I4327" s="11" t="n">
        <x:v>4</x:v>
      </x:c>
      <x:c r="J4327" s="9" t="n">
        <x:v>211</x:v>
      </x:c>
      <x:c r="K4327" s="10" t="n">
        <x:v>0</x:v>
      </x:c>
      <x:c r="L4327" s="11" t="n">
        <x:v>0</x:v>
      </x:c>
      <x:c r="M4327" s="9" t="n">
        <x:f>IF(D4327="Completed",I4327*J4327,0)</x:f>
        <x:v>844</x:v>
      </x:c>
      <x:c r="N4327" s="9" t="n">
        <x:f>M4327*K4327</x:f>
        <x:v>0</x:v>
      </x:c>
      <x:c r="O4327" s="9" t="n">
        <x:f>M4327-N4327</x:f>
        <x:v>844</x:v>
      </x:c>
      <x:c r="P4327" s="9" t="n">
        <x:f>IF(D4327="Completed",L4327*J4327*(1-K4327),0)</x:f>
        <x:v>0</x:v>
      </x:c>
      <x:c r="Q4327" s="9" t="n">
        <x:f>O4327-P4327</x:f>
        <x:v>844</x:v>
      </x:c>
      <x:c r="R4327" s="11" t="n">
        <x:f>IF(D4327="Completed",I4327,0)</x:f>
        <x:v>4</x:v>
      </x:c>
      <x:c r="S4327" s="11" t="n">
        <x:f>IF(D4327="Completed",L4327,0)</x:f>
        <x:v>0</x:v>
      </x:c>
      <x:c r="T4327" s="8" t="n">
        <x:f>DATE(YEAR(C4327),MONTH(C4327),1)</x:f>
        <x:v>45778</x:v>
      </x:c>
    </x:row>
    <x:row r="4328" ht="22" customHeight="1">
      <x:c r="A4328" s="2" t="str">
        <x:v>L004324</x:v>
      </x:c>
      <x:c r="B4328" s="2" t="str">
        <x:v>O01758</x:v>
      </x:c>
      <x:c r="C4328" s="7" t="n">
        <x:v>46011</x:v>
      </x:c>
      <x:c r="D4328" s="2" t="str">
        <x:v>Cancelled</x:v>
      </x:c>
      <x:c r="E4328" s="2" t="str">
        <x:v>West</x:v>
      </x:c>
      <x:c r="F4328" s="2" t="str">
        <x:v>Store</x:v>
      </x:c>
      <x:c r="G4328" s="2" t="str">
        <x:v>Lighting</x:v>
      </x:c>
      <x:c r="H4328" s="2" t="str">
        <x:v>Lamp 009</x:v>
      </x:c>
      <x:c r="I4328" s="11" t="n">
        <x:v>3</x:v>
      </x:c>
      <x:c r="J4328" s="9" t="n">
        <x:v>93</x:v>
      </x:c>
      <x:c r="K4328" s="10" t="n">
        <x:v>0.05</x:v>
      </x:c>
      <x:c r="L4328" s="11" t="n">
        <x:v>0</x:v>
      </x:c>
      <x:c r="M4328" s="9" t="n">
        <x:f>IF(D4328="Completed",I4328*J4328,0)</x:f>
        <x:v>0</x:v>
      </x:c>
      <x:c r="N4328" s="9" t="n">
        <x:f>M4328*K4328</x:f>
        <x:v>0</x:v>
      </x:c>
      <x:c r="O4328" s="9" t="n">
        <x:f>M4328-N4328</x:f>
        <x:v>0</x:v>
      </x:c>
      <x:c r="P4328" s="9" t="n">
        <x:f>IF(D4328="Completed",L4328*J4328*(1-K4328),0)</x:f>
        <x:v>0</x:v>
      </x:c>
      <x:c r="Q4328" s="9" t="n">
        <x:f>O4328-P4328</x:f>
        <x:v>0</x:v>
      </x:c>
      <x:c r="R4328" s="11" t="n">
        <x:f>IF(D4328="Completed",I4328,0)</x:f>
        <x:v>0</x:v>
      </x:c>
      <x:c r="S4328" s="11" t="n">
        <x:f>IF(D4328="Completed",L4328,0)</x:f>
        <x:v>0</x:v>
      </x:c>
      <x:c r="T4328" s="8" t="n">
        <x:f>DATE(YEAR(C4328),MONTH(C4328),1)</x:f>
        <x:v>45992</x:v>
      </x:c>
    </x:row>
    <x:row r="4329" ht="22" customHeight="1">
      <x:c r="A4329" s="2" t="str">
        <x:v>L004325</x:v>
      </x:c>
      <x:c r="B4329" s="2" t="str">
        <x:v>O01758</x:v>
      </x:c>
      <x:c r="C4329" s="7" t="n">
        <x:v>46011</x:v>
      </x:c>
      <x:c r="D4329" s="2" t="str">
        <x:v>Cancelled</x:v>
      </x:c>
      <x:c r="E4329" s="2" t="str">
        <x:v>West</x:v>
      </x:c>
      <x:c r="F4329" s="2" t="str">
        <x:v>Store</x:v>
      </x:c>
      <x:c r="G4329" s="2" t="str">
        <x:v>Storage</x:v>
      </x:c>
      <x:c r="H4329" s="2" t="str">
        <x:v>Shelf 019</x:v>
      </x:c>
      <x:c r="I4329" s="11" t="n">
        <x:v>1</x:v>
      </x:c>
      <x:c r="J4329" s="9" t="n">
        <x:v>78</x:v>
      </x:c>
      <x:c r="K4329" s="10" t="n">
        <x:v>0.1</x:v>
      </x:c>
      <x:c r="L4329" s="11" t="n">
        <x:v>0</x:v>
      </x:c>
      <x:c r="M4329" s="9" t="n">
        <x:f>IF(D4329="Completed",I4329*J4329,0)</x:f>
        <x:v>0</x:v>
      </x:c>
      <x:c r="N4329" s="9" t="n">
        <x:f>M4329*K4329</x:f>
        <x:v>0</x:v>
      </x:c>
      <x:c r="O4329" s="9" t="n">
        <x:f>M4329-N4329</x:f>
        <x:v>0</x:v>
      </x:c>
      <x:c r="P4329" s="9" t="n">
        <x:f>IF(D4329="Completed",L4329*J4329*(1-K4329),0)</x:f>
        <x:v>0</x:v>
      </x:c>
      <x:c r="Q4329" s="9" t="n">
        <x:f>O4329-P4329</x:f>
        <x:v>0</x:v>
      </x:c>
      <x:c r="R4329" s="11" t="n">
        <x:f>IF(D4329="Completed",I4329,0)</x:f>
        <x:v>0</x:v>
      </x:c>
      <x:c r="S4329" s="11" t="n">
        <x:f>IF(D4329="Completed",L4329,0)</x:f>
        <x:v>0</x:v>
      </x:c>
      <x:c r="T4329" s="8" t="n">
        <x:f>DATE(YEAR(C4329),MONTH(C4329),1)</x:f>
        <x:v>45992</x:v>
      </x:c>
    </x:row>
    <x:row r="4330" ht="22" customHeight="1">
      <x:c r="A4330" s="2" t="str">
        <x:v>L004326</x:v>
      </x:c>
      <x:c r="B4330" s="2" t="str">
        <x:v>O01758</x:v>
      </x:c>
      <x:c r="C4330" s="7" t="n">
        <x:v>46011</x:v>
      </x:c>
      <x:c r="D4330" s="2" t="str">
        <x:v>Cancelled</x:v>
      </x:c>
      <x:c r="E4330" s="2" t="str">
        <x:v>West</x:v>
      </x:c>
      <x:c r="F4330" s="2" t="str">
        <x:v>Store</x:v>
      </x:c>
      <x:c r="G4330" s="2" t="str">
        <x:v>Furniture</x:v>
      </x:c>
      <x:c r="H4330" s="2" t="str">
        <x:v>Desk 020</x:v>
      </x:c>
      <x:c r="I4330" s="11" t="n">
        <x:v>2</x:v>
      </x:c>
      <x:c r="J4330" s="9" t="n">
        <x:v>189</x:v>
      </x:c>
      <x:c r="K4330" s="10" t="n">
        <x:v>0.2</x:v>
      </x:c>
      <x:c r="L4330" s="11" t="n">
        <x:v>0</x:v>
      </x:c>
      <x:c r="M4330" s="9" t="n">
        <x:f>IF(D4330="Completed",I4330*J4330,0)</x:f>
        <x:v>0</x:v>
      </x:c>
      <x:c r="N4330" s="9" t="n">
        <x:f>M4330*K4330</x:f>
        <x:v>0</x:v>
      </x:c>
      <x:c r="O4330" s="9" t="n">
        <x:f>M4330-N4330</x:f>
        <x:v>0</x:v>
      </x:c>
      <x:c r="P4330" s="9" t="n">
        <x:f>IF(D4330="Completed",L4330*J4330*(1-K4330),0)</x:f>
        <x:v>0</x:v>
      </x:c>
      <x:c r="Q4330" s="9" t="n">
        <x:f>O4330-P4330</x:f>
        <x:v>0</x:v>
      </x:c>
      <x:c r="R4330" s="11" t="n">
        <x:f>IF(D4330="Completed",I4330,0)</x:f>
        <x:v>0</x:v>
      </x:c>
      <x:c r="S4330" s="11" t="n">
        <x:f>IF(D4330="Completed",L4330,0)</x:f>
        <x:v>0</x:v>
      </x:c>
      <x:c r="T4330" s="8" t="n">
        <x:f>DATE(YEAR(C4330),MONTH(C4330),1)</x:f>
        <x:v>45992</x:v>
      </x:c>
    </x:row>
    <x:row r="4331" ht="22" customHeight="1">
      <x:c r="A4331" s="2" t="str">
        <x:v>L004327</x:v>
      </x:c>
      <x:c r="B4331" s="2" t="str">
        <x:v>O01759</x:v>
      </x:c>
      <x:c r="C4331" s="7" t="n">
        <x:v>45966</x:v>
      </x:c>
      <x:c r="D4331" s="2" t="str">
        <x:v>Completed</x:v>
      </x:c>
      <x:c r="E4331" s="2" t="str">
        <x:v>East</x:v>
      </x:c>
      <x:c r="F4331" s="2" t="str">
        <x:v>Store</x:v>
      </x:c>
      <x:c r="G4331" s="2" t="str">
        <x:v>Furniture</x:v>
      </x:c>
      <x:c r="H4331" s="2" t="str">
        <x:v>Chair 014</x:v>
      </x:c>
      <x:c r="I4331" s="11" t="n">
        <x:v>5</x:v>
      </x:c>
      <x:c r="J4331" s="9" t="n">
        <x:v>294</x:v>
      </x:c>
      <x:c r="K4331" s="10" t="n">
        <x:v>0.1</x:v>
      </x:c>
      <x:c r="L4331" s="11" t="n">
        <x:v>0</x:v>
      </x:c>
      <x:c r="M4331" s="9" t="n">
        <x:f>IF(D4331="Completed",I4331*J4331,0)</x:f>
        <x:v>1470</x:v>
      </x:c>
      <x:c r="N4331" s="9" t="n">
        <x:f>M4331*K4331</x:f>
        <x:v>147</x:v>
      </x:c>
      <x:c r="O4331" s="9" t="n">
        <x:f>M4331-N4331</x:f>
        <x:v>1323</x:v>
      </x:c>
      <x:c r="P4331" s="9" t="n">
        <x:f>IF(D4331="Completed",L4331*J4331*(1-K4331),0)</x:f>
        <x:v>0</x:v>
      </x:c>
      <x:c r="Q4331" s="9" t="n">
        <x:f>O4331-P4331</x:f>
        <x:v>1323</x:v>
      </x:c>
      <x:c r="R4331" s="11" t="n">
        <x:f>IF(D4331="Completed",I4331,0)</x:f>
        <x:v>5</x:v>
      </x:c>
      <x:c r="S4331" s="11" t="n">
        <x:f>IF(D4331="Completed",L4331,0)</x:f>
        <x:v>0</x:v>
      </x:c>
      <x:c r="T4331" s="8" t="n">
        <x:f>DATE(YEAR(C4331),MONTH(C4331),1)</x:f>
        <x:v>45962</x:v>
      </x:c>
    </x:row>
    <x:row r="4332" ht="22" customHeight="1">
      <x:c r="A4332" s="2" t="str">
        <x:v>L004328</x:v>
      </x:c>
      <x:c r="B4332" s="2" t="str">
        <x:v>O01759</x:v>
      </x:c>
      <x:c r="C4332" s="7" t="n">
        <x:v>45966</x:v>
      </x:c>
      <x:c r="D4332" s="2" t="str">
        <x:v>Completed</x:v>
      </x:c>
      <x:c r="E4332" s="2" t="str">
        <x:v>East</x:v>
      </x:c>
      <x:c r="F4332" s="2" t="str">
        <x:v>Store</x:v>
      </x:c>
      <x:c r="G4332" s="2" t="str">
        <x:v>Lighting</x:v>
      </x:c>
      <x:c r="H4332" s="2" t="str">
        <x:v>Lamp 009</x:v>
      </x:c>
      <x:c r="I4332" s="11" t="n">
        <x:v>3</x:v>
      </x:c>
      <x:c r="J4332" s="9" t="n">
        <x:v>93</x:v>
      </x:c>
      <x:c r="K4332" s="10" t="n">
        <x:v>0.1</x:v>
      </x:c>
      <x:c r="L4332" s="11" t="n">
        <x:v>0</x:v>
      </x:c>
      <x:c r="M4332" s="9" t="n">
        <x:f>IF(D4332="Completed",I4332*J4332,0)</x:f>
        <x:v>279</x:v>
      </x:c>
      <x:c r="N4332" s="9" t="n">
        <x:f>M4332*K4332</x:f>
        <x:v>27.900000000000002</x:v>
      </x:c>
      <x:c r="O4332" s="9" t="n">
        <x:f>M4332-N4332</x:f>
        <x:v>251.1</x:v>
      </x:c>
      <x:c r="P4332" s="9" t="n">
        <x:f>IF(D4332="Completed",L4332*J4332*(1-K4332),0)</x:f>
        <x:v>0</x:v>
      </x:c>
      <x:c r="Q4332" s="9" t="n">
        <x:f>O4332-P4332</x:f>
        <x:v>251.1</x:v>
      </x:c>
      <x:c r="R4332" s="11" t="n">
        <x:f>IF(D4332="Completed",I4332,0)</x:f>
        <x:v>3</x:v>
      </x:c>
      <x:c r="S4332" s="11" t="n">
        <x:f>IF(D4332="Completed",L4332,0)</x:f>
        <x:v>0</x:v>
      </x:c>
      <x:c r="T4332" s="8" t="n">
        <x:f>DATE(YEAR(C4332),MONTH(C4332),1)</x:f>
        <x:v>45962</x:v>
      </x:c>
    </x:row>
    <x:row r="4333" ht="22" customHeight="1">
      <x:c r="A4333" s="2" t="str">
        <x:v>L004329</x:v>
      </x:c>
      <x:c r="B4333" s="2" t="str">
        <x:v>O01759</x:v>
      </x:c>
      <x:c r="C4333" s="7" t="n">
        <x:v>45966</x:v>
      </x:c>
      <x:c r="D4333" s="2" t="str">
        <x:v>Completed</x:v>
      </x:c>
      <x:c r="E4333" s="2" t="str">
        <x:v>East</x:v>
      </x:c>
      <x:c r="F4333" s="2" t="str">
        <x:v>Store</x:v>
      </x:c>
      <x:c r="G4333" s="2" t="str">
        <x:v>Furniture</x:v>
      </x:c>
      <x:c r="H4333" s="2" t="str">
        <x:v>Chair 002</x:v>
      </x:c>
      <x:c r="I4333" s="11" t="n">
        <x:v>2</x:v>
      </x:c>
      <x:c r="J4333" s="9" t="n">
        <x:v>284</x:v>
      </x:c>
      <x:c r="K4333" s="10" t="n">
        <x:v>0.1</x:v>
      </x:c>
      <x:c r="L4333" s="11" t="n">
        <x:v>2</x:v>
      </x:c>
      <x:c r="M4333" s="9" t="n">
        <x:f>IF(D4333="Completed",I4333*J4333,0)</x:f>
        <x:v>568</x:v>
      </x:c>
      <x:c r="N4333" s="9" t="n">
        <x:f>M4333*K4333</x:f>
        <x:v>56.800000000000004</x:v>
      </x:c>
      <x:c r="O4333" s="9" t="n">
        <x:f>M4333-N4333</x:f>
        <x:v>511.2</x:v>
      </x:c>
      <x:c r="P4333" s="9" t="n">
        <x:f>IF(D4333="Completed",L4333*J4333*(1-K4333),0)</x:f>
        <x:v>511.2</x:v>
      </x:c>
      <x:c r="Q4333" s="9" t="n">
        <x:f>O4333-P4333</x:f>
        <x:v>0</x:v>
      </x:c>
      <x:c r="R4333" s="11" t="n">
        <x:f>IF(D4333="Completed",I4333,0)</x:f>
        <x:v>2</x:v>
      </x:c>
      <x:c r="S4333" s="11" t="n">
        <x:f>IF(D4333="Completed",L4333,0)</x:f>
        <x:v>2</x:v>
      </x:c>
      <x:c r="T4333" s="8" t="n">
        <x:f>DATE(YEAR(C4333),MONTH(C4333),1)</x:f>
        <x:v>45962</x:v>
      </x:c>
    </x:row>
    <x:row r="4334" ht="22" customHeight="1">
      <x:c r="A4334" s="2" t="str">
        <x:v>L004330</x:v>
      </x:c>
      <x:c r="B4334" s="2" t="str">
        <x:v>O01759</x:v>
      </x:c>
      <x:c r="C4334" s="7" t="n">
        <x:v>45966</x:v>
      </x:c>
      <x:c r="D4334" s="2" t="str">
        <x:v>Completed</x:v>
      </x:c>
      <x:c r="E4334" s="2" t="str">
        <x:v>East</x:v>
      </x:c>
      <x:c r="F4334" s="2" t="str">
        <x:v>Store</x:v>
      </x:c>
      <x:c r="G4334" s="2" t="str">
        <x:v>Storage</x:v>
      </x:c>
      <x:c r="H4334" s="2" t="str">
        <x:v>Shelf 007</x:v>
      </x:c>
      <x:c r="I4334" s="11" t="n">
        <x:v>4</x:v>
      </x:c>
      <x:c r="J4334" s="9" t="n">
        <x:v>35</x:v>
      </x:c>
      <x:c r="K4334" s="10" t="n">
        <x:v>0</x:v>
      </x:c>
      <x:c r="L4334" s="11" t="n">
        <x:v>0</x:v>
      </x:c>
      <x:c r="M4334" s="9" t="n">
        <x:f>IF(D4334="Completed",I4334*J4334,0)</x:f>
        <x:v>140</x:v>
      </x:c>
      <x:c r="N4334" s="9" t="n">
        <x:f>M4334*K4334</x:f>
        <x:v>0</x:v>
      </x:c>
      <x:c r="O4334" s="9" t="n">
        <x:f>M4334-N4334</x:f>
        <x:v>140</x:v>
      </x:c>
      <x:c r="P4334" s="9" t="n">
        <x:f>IF(D4334="Completed",L4334*J4334*(1-K4334),0)</x:f>
        <x:v>0</x:v>
      </x:c>
      <x:c r="Q4334" s="9" t="n">
        <x:f>O4334-P4334</x:f>
        <x:v>140</x:v>
      </x:c>
      <x:c r="R4334" s="11" t="n">
        <x:f>IF(D4334="Completed",I4334,0)</x:f>
        <x:v>4</x:v>
      </x:c>
      <x:c r="S4334" s="11" t="n">
        <x:f>IF(D4334="Completed",L4334,0)</x:f>
        <x:v>0</x:v>
      </x:c>
      <x:c r="T4334" s="8" t="n">
        <x:f>DATE(YEAR(C4334),MONTH(C4334),1)</x:f>
        <x:v>45962</x:v>
      </x:c>
    </x:row>
    <x:row r="4335" ht="22" customHeight="1">
      <x:c r="A4335" s="2" t="str">
        <x:v>L004331</x:v>
      </x:c>
      <x:c r="B4335" s="2" t="str">
        <x:v>O01760</x:v>
      </x:c>
      <x:c r="C4335" s="7" t="n">
        <x:v>45938</x:v>
      </x:c>
      <x:c r="D4335" s="2" t="str">
        <x:v>Completed</x:v>
      </x:c>
      <x:c r="E4335" s="2" t="str">
        <x:v>South</x:v>
      </x:c>
      <x:c r="F4335" s="2" t="str">
        <x:v>Online</x:v>
      </x:c>
      <x:c r="G4335" s="2" t="str">
        <x:v>Furniture</x:v>
      </x:c>
      <x:c r="H4335" s="2" t="str">
        <x:v>Chair 006</x:v>
      </x:c>
      <x:c r="I4335" s="11" t="n">
        <x:v>1</x:v>
      </x:c>
      <x:c r="J4335" s="9" t="n">
        <x:v>196</x:v>
      </x:c>
      <x:c r="K4335" s="10" t="n">
        <x:v>0.05</x:v>
      </x:c>
      <x:c r="L4335" s="11" t="n">
        <x:v>0</x:v>
      </x:c>
      <x:c r="M4335" s="9" t="n">
        <x:f>IF(D4335="Completed",I4335*J4335,0)</x:f>
        <x:v>196</x:v>
      </x:c>
      <x:c r="N4335" s="9" t="n">
        <x:f>M4335*K4335</x:f>
        <x:v>9.8</x:v>
      </x:c>
      <x:c r="O4335" s="9" t="n">
        <x:f>M4335-N4335</x:f>
        <x:v>186.2</x:v>
      </x:c>
      <x:c r="P4335" s="9" t="n">
        <x:f>IF(D4335="Completed",L4335*J4335*(1-K4335),0)</x:f>
        <x:v>0</x:v>
      </x:c>
      <x:c r="Q4335" s="9" t="n">
        <x:f>O4335-P4335</x:f>
        <x:v>186.2</x:v>
      </x:c>
      <x:c r="R4335" s="11" t="n">
        <x:f>IF(D4335="Completed",I4335,0)</x:f>
        <x:v>1</x:v>
      </x:c>
      <x:c r="S4335" s="11" t="n">
        <x:f>IF(D4335="Completed",L4335,0)</x:f>
        <x:v>0</x:v>
      </x:c>
      <x:c r="T4335" s="8" t="n">
        <x:f>DATE(YEAR(C4335),MONTH(C4335),1)</x:f>
        <x:v>45931</x:v>
      </x:c>
    </x:row>
    <x:row r="4336" ht="22" customHeight="1">
      <x:c r="A4336" s="2" t="str">
        <x:v>L004332</x:v>
      </x:c>
      <x:c r="B4336" s="2" t="str">
        <x:v>O01760</x:v>
      </x:c>
      <x:c r="C4336" s="7" t="n">
        <x:v>45938</x:v>
      </x:c>
      <x:c r="D4336" s="2" t="str">
        <x:v>Completed</x:v>
      </x:c>
      <x:c r="E4336" s="2" t="str">
        <x:v>South</x:v>
      </x:c>
      <x:c r="F4336" s="2" t="str">
        <x:v>Online</x:v>
      </x:c>
      <x:c r="G4336" s="2" t="str">
        <x:v>Lighting</x:v>
      </x:c>
      <x:c r="H4336" s="2" t="str">
        <x:v>Lamp 009</x:v>
      </x:c>
      <x:c r="I4336" s="11" t="n">
        <x:v>2</x:v>
      </x:c>
      <x:c r="J4336" s="9" t="n">
        <x:v>93</x:v>
      </x:c>
      <x:c r="K4336" s="10" t="n">
        <x:v>0</x:v>
      </x:c>
      <x:c r="L4336" s="11" t="n">
        <x:v>0</x:v>
      </x:c>
      <x:c r="M4336" s="9" t="n">
        <x:f>IF(D4336="Completed",I4336*J4336,0)</x:f>
        <x:v>186</x:v>
      </x:c>
      <x:c r="N4336" s="9" t="n">
        <x:f>M4336*K4336</x:f>
        <x:v>0</x:v>
      </x:c>
      <x:c r="O4336" s="9" t="n">
        <x:f>M4336-N4336</x:f>
        <x:v>186</x:v>
      </x:c>
      <x:c r="P4336" s="9" t="n">
        <x:f>IF(D4336="Completed",L4336*J4336*(1-K4336),0)</x:f>
        <x:v>0</x:v>
      </x:c>
      <x:c r="Q4336" s="9" t="n">
        <x:f>O4336-P4336</x:f>
        <x:v>186</x:v>
      </x:c>
      <x:c r="R4336" s="11" t="n">
        <x:f>IF(D4336="Completed",I4336,0)</x:f>
        <x:v>2</x:v>
      </x:c>
      <x:c r="S4336" s="11" t="n">
        <x:f>IF(D4336="Completed",L4336,0)</x:f>
        <x:v>0</x:v>
      </x:c>
      <x:c r="T4336" s="8" t="n">
        <x:f>DATE(YEAR(C4336),MONTH(C4336),1)</x:f>
        <x:v>45931</x:v>
      </x:c>
    </x:row>
    <x:row r="4337" ht="22" customHeight="1">
      <x:c r="A4337" s="2" t="str">
        <x:v>L004333</x:v>
      </x:c>
      <x:c r="B4337" s="2" t="str">
        <x:v>O01761</x:v>
      </x:c>
      <x:c r="C4337" s="7" t="n">
        <x:v>45674</x:v>
      </x:c>
      <x:c r="D4337" s="2" t="str">
        <x:v>Completed</x:v>
      </x:c>
      <x:c r="E4337" s="2" t="str">
        <x:v>North</x:v>
      </x:c>
      <x:c r="F4337" s="2" t="str">
        <x:v>Store</x:v>
      </x:c>
      <x:c r="G4337" s="2" t="str">
        <x:v>Storage</x:v>
      </x:c>
      <x:c r="H4337" s="2" t="str">
        <x:v>Shelf 011</x:v>
      </x:c>
      <x:c r="I4337" s="11" t="n">
        <x:v>2</x:v>
      </x:c>
      <x:c r="J4337" s="9" t="n">
        <x:v>80</x:v>
      </x:c>
      <x:c r="K4337" s="10" t="n">
        <x:v>0.2</x:v>
      </x:c>
      <x:c r="L4337" s="11" t="n">
        <x:v>0</x:v>
      </x:c>
      <x:c r="M4337" s="9" t="n">
        <x:f>IF(D4337="Completed",I4337*J4337,0)</x:f>
        <x:v>160</x:v>
      </x:c>
      <x:c r="N4337" s="9" t="n">
        <x:f>M4337*K4337</x:f>
        <x:v>32</x:v>
      </x:c>
      <x:c r="O4337" s="9" t="n">
        <x:f>M4337-N4337</x:f>
        <x:v>128</x:v>
      </x:c>
      <x:c r="P4337" s="9" t="n">
        <x:f>IF(D4337="Completed",L4337*J4337*(1-K4337),0)</x:f>
        <x:v>0</x:v>
      </x:c>
      <x:c r="Q4337" s="9" t="n">
        <x:f>O4337-P4337</x:f>
        <x:v>128</x:v>
      </x:c>
      <x:c r="R4337" s="11" t="n">
        <x:f>IF(D4337="Completed",I4337,0)</x:f>
        <x:v>2</x:v>
      </x:c>
      <x:c r="S4337" s="11" t="n">
        <x:f>IF(D4337="Completed",L4337,0)</x:f>
        <x:v>0</x:v>
      </x:c>
      <x:c r="T4337" s="8" t="n">
        <x:f>DATE(YEAR(C4337),MONTH(C4337),1)</x:f>
        <x:v>45658</x:v>
      </x:c>
    </x:row>
    <x:row r="4338" ht="22" customHeight="1">
      <x:c r="A4338" s="2" t="str">
        <x:v>L004334</x:v>
      </x:c>
      <x:c r="B4338" s="2" t="str">
        <x:v>O01761</x:v>
      </x:c>
      <x:c r="C4338" s="7" t="n">
        <x:v>45674</x:v>
      </x:c>
      <x:c r="D4338" s="2" t="str">
        <x:v>Completed</x:v>
      </x:c>
      <x:c r="E4338" s="2" t="str">
        <x:v>North</x:v>
      </x:c>
      <x:c r="F4338" s="2" t="str">
        <x:v>Store</x:v>
      </x:c>
      <x:c r="G4338" s="2" t="str">
        <x:v>Furniture</x:v>
      </x:c>
      <x:c r="H4338" s="2" t="str">
        <x:v>Chair 010</x:v>
      </x:c>
      <x:c r="I4338" s="11" t="n">
        <x:v>3</x:v>
      </x:c>
      <x:c r="J4338" s="9" t="n">
        <x:v>211</x:v>
      </x:c>
      <x:c r="K4338" s="10" t="n">
        <x:v>0.2</x:v>
      </x:c>
      <x:c r="L4338" s="11" t="n">
        <x:v>0</x:v>
      </x:c>
      <x:c r="M4338" s="9" t="n">
        <x:f>IF(D4338="Completed",I4338*J4338,0)</x:f>
        <x:v>633</x:v>
      </x:c>
      <x:c r="N4338" s="9" t="n">
        <x:f>M4338*K4338</x:f>
        <x:v>126.60000000000001</x:v>
      </x:c>
      <x:c r="O4338" s="9" t="n">
        <x:f>M4338-N4338</x:f>
        <x:v>506.4</x:v>
      </x:c>
      <x:c r="P4338" s="9" t="n">
        <x:f>IF(D4338="Completed",L4338*J4338*(1-K4338),0)</x:f>
        <x:v>0</x:v>
      </x:c>
      <x:c r="Q4338" s="9" t="n">
        <x:f>O4338-P4338</x:f>
        <x:v>506.4</x:v>
      </x:c>
      <x:c r="R4338" s="11" t="n">
        <x:f>IF(D4338="Completed",I4338,0)</x:f>
        <x:v>3</x:v>
      </x:c>
      <x:c r="S4338" s="11" t="n">
        <x:f>IF(D4338="Completed",L4338,0)</x:f>
        <x:v>0</x:v>
      </x:c>
      <x:c r="T4338" s="8" t="n">
        <x:f>DATE(YEAR(C4338),MONTH(C4338),1)</x:f>
        <x:v>45658</x:v>
      </x:c>
    </x:row>
    <x:row r="4339" ht="22" customHeight="1">
      <x:c r="A4339" s="2" t="str">
        <x:v>L004335</x:v>
      </x:c>
      <x:c r="B4339" s="2" t="str">
        <x:v>O01762</x:v>
      </x:c>
      <x:c r="C4339" s="7" t="n">
        <x:v>45848</x:v>
      </x:c>
      <x:c r="D4339" s="2" t="str">
        <x:v>Completed</x:v>
      </x:c>
      <x:c r="E4339" s="2" t="str">
        <x:v>East</x:v>
      </x:c>
      <x:c r="F4339" s="2" t="str">
        <x:v>Online</x:v>
      </x:c>
      <x:c r="G4339" s="2" t="str">
        <x:v>Furniture</x:v>
      </x:c>
      <x:c r="H4339" s="2" t="str">
        <x:v>Desk 012</x:v>
      </x:c>
      <x:c r="I4339" s="11" t="n">
        <x:v>2</x:v>
      </x:c>
      <x:c r="J4339" s="9" t="n">
        <x:v>134</x:v>
      </x:c>
      <x:c r="K4339" s="10" t="n">
        <x:v>0.1</x:v>
      </x:c>
      <x:c r="L4339" s="11" t="n">
        <x:v>0</x:v>
      </x:c>
      <x:c r="M4339" s="9" t="n">
        <x:f>IF(D4339="Completed",I4339*J4339,0)</x:f>
        <x:v>268</x:v>
      </x:c>
      <x:c r="N4339" s="9" t="n">
        <x:f>M4339*K4339</x:f>
        <x:v>26.8</x:v>
      </x:c>
      <x:c r="O4339" s="9" t="n">
        <x:f>M4339-N4339</x:f>
        <x:v>241.2</x:v>
      </x:c>
      <x:c r="P4339" s="9" t="n">
        <x:f>IF(D4339="Completed",L4339*J4339*(1-K4339),0)</x:f>
        <x:v>0</x:v>
      </x:c>
      <x:c r="Q4339" s="9" t="n">
        <x:f>O4339-P4339</x:f>
        <x:v>241.2</x:v>
      </x:c>
      <x:c r="R4339" s="11" t="n">
        <x:f>IF(D4339="Completed",I4339,0)</x:f>
        <x:v>2</x:v>
      </x:c>
      <x:c r="S4339" s="11" t="n">
        <x:f>IF(D4339="Completed",L4339,0)</x:f>
        <x:v>0</x:v>
      </x:c>
      <x:c r="T4339" s="8" t="n">
        <x:f>DATE(YEAR(C4339),MONTH(C4339),1)</x:f>
        <x:v>45839</x:v>
      </x:c>
    </x:row>
    <x:row r="4340" ht="22" customHeight="1">
      <x:c r="A4340" s="2" t="str">
        <x:v>L004336</x:v>
      </x:c>
      <x:c r="B4340" s="2" t="str">
        <x:v>O01763</x:v>
      </x:c>
      <x:c r="C4340" s="7" t="n">
        <x:v>45765</x:v>
      </x:c>
      <x:c r="D4340" s="2" t="str">
        <x:v>Completed</x:v>
      </x:c>
      <x:c r="E4340" s="2" t="str">
        <x:v>North</x:v>
      </x:c>
      <x:c r="F4340" s="2" t="str">
        <x:v>Store</x:v>
      </x:c>
      <x:c r="G4340" s="2" t="str">
        <x:v>Lighting</x:v>
      </x:c>
      <x:c r="H4340" s="2" t="str">
        <x:v>Lamp 021</x:v>
      </x:c>
      <x:c r="I4340" s="11" t="n">
        <x:v>4</x:v>
      </x:c>
      <x:c r="J4340" s="9" t="n">
        <x:v>249</x:v>
      </x:c>
      <x:c r="K4340" s="10" t="n">
        <x:v>0</x:v>
      </x:c>
      <x:c r="L4340" s="11" t="n">
        <x:v>0</x:v>
      </x:c>
      <x:c r="M4340" s="9" t="n">
        <x:f>IF(D4340="Completed",I4340*J4340,0)</x:f>
        <x:v>996</x:v>
      </x:c>
      <x:c r="N4340" s="9" t="n">
        <x:f>M4340*K4340</x:f>
        <x:v>0</x:v>
      </x:c>
      <x:c r="O4340" s="9" t="n">
        <x:f>M4340-N4340</x:f>
        <x:v>996</x:v>
      </x:c>
      <x:c r="P4340" s="9" t="n">
        <x:f>IF(D4340="Completed",L4340*J4340*(1-K4340),0)</x:f>
        <x:v>0</x:v>
      </x:c>
      <x:c r="Q4340" s="9" t="n">
        <x:f>O4340-P4340</x:f>
        <x:v>996</x:v>
      </x:c>
      <x:c r="R4340" s="11" t="n">
        <x:f>IF(D4340="Completed",I4340,0)</x:f>
        <x:v>4</x:v>
      </x:c>
      <x:c r="S4340" s="11" t="n">
        <x:f>IF(D4340="Completed",L4340,0)</x:f>
        <x:v>0</x:v>
      </x:c>
      <x:c r="T4340" s="8" t="n">
        <x:f>DATE(YEAR(C4340),MONTH(C4340),1)</x:f>
        <x:v>45748</x:v>
      </x:c>
    </x:row>
    <x:row r="4341" ht="22" customHeight="1">
      <x:c r="A4341" s="2" t="str">
        <x:v>L004337</x:v>
      </x:c>
      <x:c r="B4341" s="2" t="str">
        <x:v>O01763</x:v>
      </x:c>
      <x:c r="C4341" s="7" t="n">
        <x:v>45765</x:v>
      </x:c>
      <x:c r="D4341" s="2" t="str">
        <x:v>Completed</x:v>
      </x:c>
      <x:c r="E4341" s="2" t="str">
        <x:v>North</x:v>
      </x:c>
      <x:c r="F4341" s="2" t="str">
        <x:v>Store</x:v>
      </x:c>
      <x:c r="G4341" s="2" t="str">
        <x:v>Furniture</x:v>
      </x:c>
      <x:c r="H4341" s="2" t="str">
        <x:v>Chair 014</x:v>
      </x:c>
      <x:c r="I4341" s="11" t="n">
        <x:v>4</x:v>
      </x:c>
      <x:c r="J4341" s="9" t="n">
        <x:v>294</x:v>
      </x:c>
      <x:c r="K4341" s="10" t="n">
        <x:v>0.05</x:v>
      </x:c>
      <x:c r="L4341" s="11" t="n">
        <x:v>0</x:v>
      </x:c>
      <x:c r="M4341" s="9" t="n">
        <x:f>IF(D4341="Completed",I4341*J4341,0)</x:f>
        <x:v>1176</x:v>
      </x:c>
      <x:c r="N4341" s="9" t="n">
        <x:f>M4341*K4341</x:f>
        <x:v>58.800000000000004</x:v>
      </x:c>
      <x:c r="O4341" s="9" t="n">
        <x:f>M4341-N4341</x:f>
        <x:v>1117.2</x:v>
      </x:c>
      <x:c r="P4341" s="9" t="n">
        <x:f>IF(D4341="Completed",L4341*J4341*(1-K4341),0)</x:f>
        <x:v>0</x:v>
      </x:c>
      <x:c r="Q4341" s="9" t="n">
        <x:f>O4341-P4341</x:f>
        <x:v>1117.2</x:v>
      </x:c>
      <x:c r="R4341" s="11" t="n">
        <x:f>IF(D4341="Completed",I4341,0)</x:f>
        <x:v>4</x:v>
      </x:c>
      <x:c r="S4341" s="11" t="n">
        <x:f>IF(D4341="Completed",L4341,0)</x:f>
        <x:v>0</x:v>
      </x:c>
      <x:c r="T4341" s="8" t="n">
        <x:f>DATE(YEAR(C4341),MONTH(C4341),1)</x:f>
        <x:v>45748</x:v>
      </x:c>
    </x:row>
    <x:row r="4342" ht="22" customHeight="1">
      <x:c r="A4342" s="2" t="str">
        <x:v>L004338</x:v>
      </x:c>
      <x:c r="B4342" s="2" t="str">
        <x:v>O01763</x:v>
      </x:c>
      <x:c r="C4342" s="7" t="n">
        <x:v>45765</x:v>
      </x:c>
      <x:c r="D4342" s="2" t="str">
        <x:v>Completed</x:v>
      </x:c>
      <x:c r="E4342" s="2" t="str">
        <x:v>North</x:v>
      </x:c>
      <x:c r="F4342" s="2" t="str">
        <x:v>Store</x:v>
      </x:c>
      <x:c r="G4342" s="2" t="str">
        <x:v>Furniture</x:v>
      </x:c>
      <x:c r="H4342" s="2" t="str">
        <x:v>Desk 016</x:v>
      </x:c>
      <x:c r="I4342" s="11" t="n">
        <x:v>4</x:v>
      </x:c>
      <x:c r="J4342" s="9" t="n">
        <x:v>231</x:v>
      </x:c>
      <x:c r="K4342" s="10" t="n">
        <x:v>0.1</x:v>
      </x:c>
      <x:c r="L4342" s="11" t="n">
        <x:v>0</x:v>
      </x:c>
      <x:c r="M4342" s="9" t="n">
        <x:f>IF(D4342="Completed",I4342*J4342,0)</x:f>
        <x:v>924</x:v>
      </x:c>
      <x:c r="N4342" s="9" t="n">
        <x:f>M4342*K4342</x:f>
        <x:v>92.4</x:v>
      </x:c>
      <x:c r="O4342" s="9" t="n">
        <x:f>M4342-N4342</x:f>
        <x:v>831.6</x:v>
      </x:c>
      <x:c r="P4342" s="9" t="n">
        <x:f>IF(D4342="Completed",L4342*J4342*(1-K4342),0)</x:f>
        <x:v>0</x:v>
      </x:c>
      <x:c r="Q4342" s="9" t="n">
        <x:f>O4342-P4342</x:f>
        <x:v>831.6</x:v>
      </x:c>
      <x:c r="R4342" s="11" t="n">
        <x:f>IF(D4342="Completed",I4342,0)</x:f>
        <x:v>4</x:v>
      </x:c>
      <x:c r="S4342" s="11" t="n">
        <x:f>IF(D4342="Completed",L4342,0)</x:f>
        <x:v>0</x:v>
      </x:c>
      <x:c r="T4342" s="8" t="n">
        <x:f>DATE(YEAR(C4342),MONTH(C4342),1)</x:f>
        <x:v>45748</x:v>
      </x:c>
    </x:row>
    <x:row r="4343" ht="22" customHeight="1">
      <x:c r="A4343" s="2" t="str">
        <x:v>L004339</x:v>
      </x:c>
      <x:c r="B4343" s="2" t="str">
        <x:v>O01764</x:v>
      </x:c>
      <x:c r="C4343" s="7" t="n">
        <x:v>45706</x:v>
      </x:c>
      <x:c r="D4343" s="2" t="str">
        <x:v>Completed</x:v>
      </x:c>
      <x:c r="E4343" s="2" t="str">
        <x:v>East</x:v>
      </x:c>
      <x:c r="F4343" s="2" t="str">
        <x:v>Online</x:v>
      </x:c>
      <x:c r="G4343" s="2" t="str">
        <x:v>Storage</x:v>
      </x:c>
      <x:c r="H4343" s="2" t="str">
        <x:v>Shelf 015</x:v>
      </x:c>
      <x:c r="I4343" s="11" t="n">
        <x:v>2</x:v>
      </x:c>
      <x:c r="J4343" s="9" t="n">
        <x:v>254</x:v>
      </x:c>
      <x:c r="K4343" s="10" t="n">
        <x:v>0.05</x:v>
      </x:c>
      <x:c r="L4343" s="11" t="n">
        <x:v>0</x:v>
      </x:c>
      <x:c r="M4343" s="9" t="n">
        <x:f>IF(D4343="Completed",I4343*J4343,0)</x:f>
        <x:v>508</x:v>
      </x:c>
      <x:c r="N4343" s="9" t="n">
        <x:f>M4343*K4343</x:f>
        <x:v>25.400000000000002</x:v>
      </x:c>
      <x:c r="O4343" s="9" t="n">
        <x:f>M4343-N4343</x:f>
        <x:v>482.6</x:v>
      </x:c>
      <x:c r="P4343" s="9" t="n">
        <x:f>IF(D4343="Completed",L4343*J4343*(1-K4343),0)</x:f>
        <x:v>0</x:v>
      </x:c>
      <x:c r="Q4343" s="9" t="n">
        <x:f>O4343-P4343</x:f>
        <x:v>482.6</x:v>
      </x:c>
      <x:c r="R4343" s="11" t="n">
        <x:f>IF(D4343="Completed",I4343,0)</x:f>
        <x:v>2</x:v>
      </x:c>
      <x:c r="S4343" s="11" t="n">
        <x:f>IF(D4343="Completed",L4343,0)</x:f>
        <x:v>0</x:v>
      </x:c>
      <x:c r="T4343" s="8" t="n">
        <x:f>DATE(YEAR(C4343),MONTH(C4343),1)</x:f>
        <x:v>45689</x:v>
      </x:c>
    </x:row>
    <x:row r="4344" ht="22" customHeight="1">
      <x:c r="A4344" s="2" t="str">
        <x:v>L004340</x:v>
      </x:c>
      <x:c r="B4344" s="2" t="str">
        <x:v>O01764</x:v>
      </x:c>
      <x:c r="C4344" s="7" t="n">
        <x:v>45706</x:v>
      </x:c>
      <x:c r="D4344" s="2" t="str">
        <x:v>Completed</x:v>
      </x:c>
      <x:c r="E4344" s="2" t="str">
        <x:v>East</x:v>
      </x:c>
      <x:c r="F4344" s="2" t="str">
        <x:v>Online</x:v>
      </x:c>
      <x:c r="G4344" s="2" t="str">
        <x:v>Lighting</x:v>
      </x:c>
      <x:c r="H4344" s="2" t="str">
        <x:v>Lamp 021</x:v>
      </x:c>
      <x:c r="I4344" s="11" t="n">
        <x:v>4</x:v>
      </x:c>
      <x:c r="J4344" s="9" t="n">
        <x:v>249</x:v>
      </x:c>
      <x:c r="K4344" s="10" t="n">
        <x:v>0</x:v>
      </x:c>
      <x:c r="L4344" s="11" t="n">
        <x:v>0</x:v>
      </x:c>
      <x:c r="M4344" s="9" t="n">
        <x:f>IF(D4344="Completed",I4344*J4344,0)</x:f>
        <x:v>996</x:v>
      </x:c>
      <x:c r="N4344" s="9" t="n">
        <x:f>M4344*K4344</x:f>
        <x:v>0</x:v>
      </x:c>
      <x:c r="O4344" s="9" t="n">
        <x:f>M4344-N4344</x:f>
        <x:v>996</x:v>
      </x:c>
      <x:c r="P4344" s="9" t="n">
        <x:f>IF(D4344="Completed",L4344*J4344*(1-K4344),0)</x:f>
        <x:v>0</x:v>
      </x:c>
      <x:c r="Q4344" s="9" t="n">
        <x:f>O4344-P4344</x:f>
        <x:v>996</x:v>
      </x:c>
      <x:c r="R4344" s="11" t="n">
        <x:f>IF(D4344="Completed",I4344,0)</x:f>
        <x:v>4</x:v>
      </x:c>
      <x:c r="S4344" s="11" t="n">
        <x:f>IF(D4344="Completed",L4344,0)</x:f>
        <x:v>0</x:v>
      </x:c>
      <x:c r="T4344" s="8" t="n">
        <x:f>DATE(YEAR(C4344),MONTH(C4344),1)</x:f>
        <x:v>45689</x:v>
      </x:c>
    </x:row>
    <x:row r="4345" ht="22" customHeight="1">
      <x:c r="A4345" s="2" t="str">
        <x:v>L004341</x:v>
      </x:c>
      <x:c r="B4345" s="2" t="str">
        <x:v>O01764</x:v>
      </x:c>
      <x:c r="C4345" s="7" t="n">
        <x:v>45706</x:v>
      </x:c>
      <x:c r="D4345" s="2" t="str">
        <x:v>Completed</x:v>
      </x:c>
      <x:c r="E4345" s="2" t="str">
        <x:v>East</x:v>
      </x:c>
      <x:c r="F4345" s="2" t="str">
        <x:v>Online</x:v>
      </x:c>
      <x:c r="G4345" s="2" t="str">
        <x:v>Furniture</x:v>
      </x:c>
      <x:c r="H4345" s="2" t="str">
        <x:v>Chair 006</x:v>
      </x:c>
      <x:c r="I4345" s="11" t="n">
        <x:v>1</x:v>
      </x:c>
      <x:c r="J4345" s="9" t="n">
        <x:v>196</x:v>
      </x:c>
      <x:c r="K4345" s="10" t="n">
        <x:v>0.1</x:v>
      </x:c>
      <x:c r="L4345" s="11" t="n">
        <x:v>0</x:v>
      </x:c>
      <x:c r="M4345" s="9" t="n">
        <x:f>IF(D4345="Completed",I4345*J4345,0)</x:f>
        <x:v>196</x:v>
      </x:c>
      <x:c r="N4345" s="9" t="n">
        <x:f>M4345*K4345</x:f>
        <x:v>19.6</x:v>
      </x:c>
      <x:c r="O4345" s="9" t="n">
        <x:f>M4345-N4345</x:f>
        <x:v>176.4</x:v>
      </x:c>
      <x:c r="P4345" s="9" t="n">
        <x:f>IF(D4345="Completed",L4345*J4345*(1-K4345),0)</x:f>
        <x:v>0</x:v>
      </x:c>
      <x:c r="Q4345" s="9" t="n">
        <x:f>O4345-P4345</x:f>
        <x:v>176.4</x:v>
      </x:c>
      <x:c r="R4345" s="11" t="n">
        <x:f>IF(D4345="Completed",I4345,0)</x:f>
        <x:v>1</x:v>
      </x:c>
      <x:c r="S4345" s="11" t="n">
        <x:f>IF(D4345="Completed",L4345,0)</x:f>
        <x:v>0</x:v>
      </x:c>
      <x:c r="T4345" s="8" t="n">
        <x:f>DATE(YEAR(C4345),MONTH(C4345),1)</x:f>
        <x:v>45689</x:v>
      </x:c>
    </x:row>
    <x:row r="4346" ht="22" customHeight="1">
      <x:c r="A4346" s="2" t="str">
        <x:v>L004342</x:v>
      </x:c>
      <x:c r="B4346" s="2" t="str">
        <x:v>O01764</x:v>
      </x:c>
      <x:c r="C4346" s="7" t="n">
        <x:v>45706</x:v>
      </x:c>
      <x:c r="D4346" s="2" t="str">
        <x:v>Completed</x:v>
      </x:c>
      <x:c r="E4346" s="2" t="str">
        <x:v>East</x:v>
      </x:c>
      <x:c r="F4346" s="2" t="str">
        <x:v>Online</x:v>
      </x:c>
      <x:c r="G4346" s="2" t="str">
        <x:v>Storage</x:v>
      </x:c>
      <x:c r="H4346" s="2" t="str">
        <x:v>Shelf 007</x:v>
      </x:c>
      <x:c r="I4346" s="11" t="n">
        <x:v>1</x:v>
      </x:c>
      <x:c r="J4346" s="9" t="n">
        <x:v>35</x:v>
      </x:c>
      <x:c r="K4346" s="10" t="n">
        <x:v>0.05</x:v>
      </x:c>
      <x:c r="L4346" s="11" t="n">
        <x:v>0</x:v>
      </x:c>
      <x:c r="M4346" s="9" t="n">
        <x:f>IF(D4346="Completed",I4346*J4346,0)</x:f>
        <x:v>35</x:v>
      </x:c>
      <x:c r="N4346" s="9" t="n">
        <x:f>M4346*K4346</x:f>
        <x:v>1.75</x:v>
      </x:c>
      <x:c r="O4346" s="9" t="n">
        <x:f>M4346-N4346</x:f>
        <x:v>33.25</x:v>
      </x:c>
      <x:c r="P4346" s="9" t="n">
        <x:f>IF(D4346="Completed",L4346*J4346*(1-K4346),0)</x:f>
        <x:v>0</x:v>
      </x:c>
      <x:c r="Q4346" s="9" t="n">
        <x:f>O4346-P4346</x:f>
        <x:v>33.25</x:v>
      </x:c>
      <x:c r="R4346" s="11" t="n">
        <x:f>IF(D4346="Completed",I4346,0)</x:f>
        <x:v>1</x:v>
      </x:c>
      <x:c r="S4346" s="11" t="n">
        <x:f>IF(D4346="Completed",L4346,0)</x:f>
        <x:v>0</x:v>
      </x:c>
      <x:c r="T4346" s="8" t="n">
        <x:f>DATE(YEAR(C4346),MONTH(C4346),1)</x:f>
        <x:v>45689</x:v>
      </x:c>
    </x:row>
    <x:row r="4347" ht="22" customHeight="1">
      <x:c r="A4347" s="2" t="str">
        <x:v>L004343</x:v>
      </x:c>
      <x:c r="B4347" s="2" t="str">
        <x:v>O01765</x:v>
      </x:c>
      <x:c r="C4347" s="7" t="n">
        <x:v>45672</x:v>
      </x:c>
      <x:c r="D4347" s="2" t="str">
        <x:v>Completed</x:v>
      </x:c>
      <x:c r="E4347" s="2" t="str">
        <x:v>West</x:v>
      </x:c>
      <x:c r="F4347" s="2" t="str">
        <x:v>Online</x:v>
      </x:c>
      <x:c r="G4347" s="2" t="str">
        <x:v>Furniture</x:v>
      </x:c>
      <x:c r="H4347" s="2" t="str">
        <x:v>Desk 024</x:v>
      </x:c>
      <x:c r="I4347" s="11" t="n">
        <x:v>4</x:v>
      </x:c>
      <x:c r="J4347" s="9" t="n">
        <x:v>81</x:v>
      </x:c>
      <x:c r="K4347" s="10" t="n">
        <x:v>0.05</x:v>
      </x:c>
      <x:c r="L4347" s="11" t="n">
        <x:v>0</x:v>
      </x:c>
      <x:c r="M4347" s="9" t="n">
        <x:f>IF(D4347="Completed",I4347*J4347,0)</x:f>
        <x:v>324</x:v>
      </x:c>
      <x:c r="N4347" s="9" t="n">
        <x:f>M4347*K4347</x:f>
        <x:v>16.2</x:v>
      </x:c>
      <x:c r="O4347" s="9" t="n">
        <x:f>M4347-N4347</x:f>
        <x:v>307.8</x:v>
      </x:c>
      <x:c r="P4347" s="9" t="n">
        <x:f>IF(D4347="Completed",L4347*J4347*(1-K4347),0)</x:f>
        <x:v>0</x:v>
      </x:c>
      <x:c r="Q4347" s="9" t="n">
        <x:f>O4347-P4347</x:f>
        <x:v>307.8</x:v>
      </x:c>
      <x:c r="R4347" s="11" t="n">
        <x:f>IF(D4347="Completed",I4347,0)</x:f>
        <x:v>4</x:v>
      </x:c>
      <x:c r="S4347" s="11" t="n">
        <x:f>IF(D4347="Completed",L4347,0)</x:f>
        <x:v>0</x:v>
      </x:c>
      <x:c r="T4347" s="8" t="n">
        <x:f>DATE(YEAR(C4347),MONTH(C4347),1)</x:f>
        <x:v>45658</x:v>
      </x:c>
    </x:row>
    <x:row r="4348" ht="22" customHeight="1">
      <x:c r="A4348" s="2" t="str">
        <x:v>L004344</x:v>
      </x:c>
      <x:c r="B4348" s="2" t="str">
        <x:v>O01765</x:v>
      </x:c>
      <x:c r="C4348" s="7" t="n">
        <x:v>45672</x:v>
      </x:c>
      <x:c r="D4348" s="2" t="str">
        <x:v>Completed</x:v>
      </x:c>
      <x:c r="E4348" s="2" t="str">
        <x:v>West</x:v>
      </x:c>
      <x:c r="F4348" s="2" t="str">
        <x:v>Online</x:v>
      </x:c>
      <x:c r="G4348" s="2" t="str">
        <x:v>Furniture</x:v>
      </x:c>
      <x:c r="H4348" s="2" t="str">
        <x:v>Chair 006</x:v>
      </x:c>
      <x:c r="I4348" s="11" t="n">
        <x:v>5</x:v>
      </x:c>
      <x:c r="J4348" s="9" t="n">
        <x:v>196</x:v>
      </x:c>
      <x:c r="K4348" s="10" t="n">
        <x:v>0.2</x:v>
      </x:c>
      <x:c r="L4348" s="11" t="n">
        <x:v>0</x:v>
      </x:c>
      <x:c r="M4348" s="9" t="n">
        <x:f>IF(D4348="Completed",I4348*J4348,0)</x:f>
        <x:v>980</x:v>
      </x:c>
      <x:c r="N4348" s="9" t="n">
        <x:f>M4348*K4348</x:f>
        <x:v>196</x:v>
      </x:c>
      <x:c r="O4348" s="9" t="n">
        <x:f>M4348-N4348</x:f>
        <x:v>784</x:v>
      </x:c>
      <x:c r="P4348" s="9" t="n">
        <x:f>IF(D4348="Completed",L4348*J4348*(1-K4348),0)</x:f>
        <x:v>0</x:v>
      </x:c>
      <x:c r="Q4348" s="9" t="n">
        <x:f>O4348-P4348</x:f>
        <x:v>784</x:v>
      </x:c>
      <x:c r="R4348" s="11" t="n">
        <x:f>IF(D4348="Completed",I4348,0)</x:f>
        <x:v>5</x:v>
      </x:c>
      <x:c r="S4348" s="11" t="n">
        <x:f>IF(D4348="Completed",L4348,0)</x:f>
        <x:v>0</x:v>
      </x:c>
      <x:c r="T4348" s="8" t="n">
        <x:f>DATE(YEAR(C4348),MONTH(C4348),1)</x:f>
        <x:v>45658</x:v>
      </x:c>
    </x:row>
    <x:row r="4349" ht="22" customHeight="1">
      <x:c r="A4349" s="2" t="str">
        <x:v>L004345</x:v>
      </x:c>
      <x:c r="B4349" s="2" t="str">
        <x:v>O01765</x:v>
      </x:c>
      <x:c r="C4349" s="7" t="n">
        <x:v>45672</x:v>
      </x:c>
      <x:c r="D4349" s="2" t="str">
        <x:v>Completed</x:v>
      </x:c>
      <x:c r="E4349" s="2" t="str">
        <x:v>West</x:v>
      </x:c>
      <x:c r="F4349" s="2" t="str">
        <x:v>Online</x:v>
      </x:c>
      <x:c r="G4349" s="2" t="str">
        <x:v>Furniture</x:v>
      </x:c>
      <x:c r="H4349" s="2" t="str">
        <x:v>Chair 022</x:v>
      </x:c>
      <x:c r="I4349" s="11" t="n">
        <x:v>3</x:v>
      </x:c>
      <x:c r="J4349" s="9" t="n">
        <x:v>134</x:v>
      </x:c>
      <x:c r="K4349" s="10" t="n">
        <x:v>0</x:v>
      </x:c>
      <x:c r="L4349" s="11" t="n">
        <x:v>0</x:v>
      </x:c>
      <x:c r="M4349" s="9" t="n">
        <x:f>IF(D4349="Completed",I4349*J4349,0)</x:f>
        <x:v>402</x:v>
      </x:c>
      <x:c r="N4349" s="9" t="n">
        <x:f>M4349*K4349</x:f>
        <x:v>0</x:v>
      </x:c>
      <x:c r="O4349" s="9" t="n">
        <x:f>M4349-N4349</x:f>
        <x:v>402</x:v>
      </x:c>
      <x:c r="P4349" s="9" t="n">
        <x:f>IF(D4349="Completed",L4349*J4349*(1-K4349),0)</x:f>
        <x:v>0</x:v>
      </x:c>
      <x:c r="Q4349" s="9" t="n">
        <x:f>O4349-P4349</x:f>
        <x:v>402</x:v>
      </x:c>
      <x:c r="R4349" s="11" t="n">
        <x:f>IF(D4349="Completed",I4349,0)</x:f>
        <x:v>3</x:v>
      </x:c>
      <x:c r="S4349" s="11" t="n">
        <x:f>IF(D4349="Completed",L4349,0)</x:f>
        <x:v>0</x:v>
      </x:c>
      <x:c r="T4349" s="8" t="n">
        <x:f>DATE(YEAR(C4349),MONTH(C4349),1)</x:f>
        <x:v>45658</x:v>
      </x:c>
    </x:row>
    <x:row r="4350" ht="22" customHeight="1">
      <x:c r="A4350" s="2" t="str">
        <x:v>L004346</x:v>
      </x:c>
      <x:c r="B4350" s="2" t="str">
        <x:v>O01766</x:v>
      </x:c>
      <x:c r="C4350" s="7" t="n">
        <x:v>45697</x:v>
      </x:c>
      <x:c r="D4350" s="2" t="str">
        <x:v>Cancelled</x:v>
      </x:c>
      <x:c r="E4350" s="2" t="str">
        <x:v>East</x:v>
      </x:c>
      <x:c r="F4350" s="2" t="str">
        <x:v>Store</x:v>
      </x:c>
      <x:c r="G4350" s="2" t="str">
        <x:v>Furniture</x:v>
      </x:c>
      <x:c r="H4350" s="2" t="str">
        <x:v>Chair 014</x:v>
      </x:c>
      <x:c r="I4350" s="11" t="n">
        <x:v>4</x:v>
      </x:c>
      <x:c r="J4350" s="9" t="n">
        <x:v>294</x:v>
      </x:c>
      <x:c r="K4350" s="10" t="n">
        <x:v>0.1</x:v>
      </x:c>
      <x:c r="L4350" s="11" t="n">
        <x:v>0</x:v>
      </x:c>
      <x:c r="M4350" s="9" t="n">
        <x:f>IF(D4350="Completed",I4350*J4350,0)</x:f>
        <x:v>0</x:v>
      </x:c>
      <x:c r="N4350" s="9" t="n">
        <x:f>M4350*K4350</x:f>
        <x:v>0</x:v>
      </x:c>
      <x:c r="O4350" s="9" t="n">
        <x:f>M4350-N4350</x:f>
        <x:v>0</x:v>
      </x:c>
      <x:c r="P4350" s="9" t="n">
        <x:f>IF(D4350="Completed",L4350*J4350*(1-K4350),0)</x:f>
        <x:v>0</x:v>
      </x:c>
      <x:c r="Q4350" s="9" t="n">
        <x:f>O4350-P4350</x:f>
        <x:v>0</x:v>
      </x:c>
      <x:c r="R4350" s="11" t="n">
        <x:f>IF(D4350="Completed",I4350,0)</x:f>
        <x:v>0</x:v>
      </x:c>
      <x:c r="S4350" s="11" t="n">
        <x:f>IF(D4350="Completed",L4350,0)</x:f>
        <x:v>0</x:v>
      </x:c>
      <x:c r="T4350" s="8" t="n">
        <x:f>DATE(YEAR(C4350),MONTH(C4350),1)</x:f>
        <x:v>45689</x:v>
      </x:c>
    </x:row>
    <x:row r="4351" ht="22" customHeight="1">
      <x:c r="A4351" s="2" t="str">
        <x:v>L004347</x:v>
      </x:c>
      <x:c r="B4351" s="2" t="str">
        <x:v>O01766</x:v>
      </x:c>
      <x:c r="C4351" s="7" t="n">
        <x:v>45697</x:v>
      </x:c>
      <x:c r="D4351" s="2" t="str">
        <x:v>Cancelled</x:v>
      </x:c>
      <x:c r="E4351" s="2" t="str">
        <x:v>East</x:v>
      </x:c>
      <x:c r="F4351" s="2" t="str">
        <x:v>Store</x:v>
      </x:c>
      <x:c r="G4351" s="2" t="str">
        <x:v>Furniture</x:v>
      </x:c>
      <x:c r="H4351" s="2" t="str">
        <x:v>Chair 022</x:v>
      </x:c>
      <x:c r="I4351" s="11" t="n">
        <x:v>5</x:v>
      </x:c>
      <x:c r="J4351" s="9" t="n">
        <x:v>134</x:v>
      </x:c>
      <x:c r="K4351" s="10" t="n">
        <x:v>0.2</x:v>
      </x:c>
      <x:c r="L4351" s="11" t="n">
        <x:v>0</x:v>
      </x:c>
      <x:c r="M4351" s="9" t="n">
        <x:f>IF(D4351="Completed",I4351*J4351,0)</x:f>
        <x:v>0</x:v>
      </x:c>
      <x:c r="N4351" s="9" t="n">
        <x:f>M4351*K4351</x:f>
        <x:v>0</x:v>
      </x:c>
      <x:c r="O4351" s="9" t="n">
        <x:f>M4351-N4351</x:f>
        <x:v>0</x:v>
      </x:c>
      <x:c r="P4351" s="9" t="n">
        <x:f>IF(D4351="Completed",L4351*J4351*(1-K4351),0)</x:f>
        <x:v>0</x:v>
      </x:c>
      <x:c r="Q4351" s="9" t="n">
        <x:f>O4351-P4351</x:f>
        <x:v>0</x:v>
      </x:c>
      <x:c r="R4351" s="11" t="n">
        <x:f>IF(D4351="Completed",I4351,0)</x:f>
        <x:v>0</x:v>
      </x:c>
      <x:c r="S4351" s="11" t="n">
        <x:f>IF(D4351="Completed",L4351,0)</x:f>
        <x:v>0</x:v>
      </x:c>
      <x:c r="T4351" s="8" t="n">
        <x:f>DATE(YEAR(C4351),MONTH(C4351),1)</x:f>
        <x:v>45689</x:v>
      </x:c>
    </x:row>
    <x:row r="4352" ht="22" customHeight="1">
      <x:c r="A4352" s="2" t="str">
        <x:v>L004348</x:v>
      </x:c>
      <x:c r="B4352" s="2" t="str">
        <x:v>O01766</x:v>
      </x:c>
      <x:c r="C4352" s="7" t="n">
        <x:v>45697</x:v>
      </x:c>
      <x:c r="D4352" s="2" t="str">
        <x:v>Cancelled</x:v>
      </x:c>
      <x:c r="E4352" s="2" t="str">
        <x:v>East</x:v>
      </x:c>
      <x:c r="F4352" s="2" t="str">
        <x:v>Store</x:v>
      </x:c>
      <x:c r="G4352" s="2" t="str">
        <x:v>Storage</x:v>
      </x:c>
      <x:c r="H4352" s="2" t="str">
        <x:v>Shelf 011</x:v>
      </x:c>
      <x:c r="I4352" s="11" t="n">
        <x:v>1</x:v>
      </x:c>
      <x:c r="J4352" s="9" t="n">
        <x:v>80</x:v>
      </x:c>
      <x:c r="K4352" s="10" t="n">
        <x:v>0.2</x:v>
      </x:c>
      <x:c r="L4352" s="11" t="n">
        <x:v>0</x:v>
      </x:c>
      <x:c r="M4352" s="9" t="n">
        <x:f>IF(D4352="Completed",I4352*J4352,0)</x:f>
        <x:v>0</x:v>
      </x:c>
      <x:c r="N4352" s="9" t="n">
        <x:f>M4352*K4352</x:f>
        <x:v>0</x:v>
      </x:c>
      <x:c r="O4352" s="9" t="n">
        <x:f>M4352-N4352</x:f>
        <x:v>0</x:v>
      </x:c>
      <x:c r="P4352" s="9" t="n">
        <x:f>IF(D4352="Completed",L4352*J4352*(1-K4352),0)</x:f>
        <x:v>0</x:v>
      </x:c>
      <x:c r="Q4352" s="9" t="n">
        <x:f>O4352-P4352</x:f>
        <x:v>0</x:v>
      </x:c>
      <x:c r="R4352" s="11" t="n">
        <x:f>IF(D4352="Completed",I4352,0)</x:f>
        <x:v>0</x:v>
      </x:c>
      <x:c r="S4352" s="11" t="n">
        <x:f>IF(D4352="Completed",L4352,0)</x:f>
        <x:v>0</x:v>
      </x:c>
      <x:c r="T4352" s="8" t="n">
        <x:f>DATE(YEAR(C4352),MONTH(C4352),1)</x:f>
        <x:v>45689</x:v>
      </x:c>
    </x:row>
    <x:row r="4353" ht="22" customHeight="1">
      <x:c r="A4353" s="2" t="str">
        <x:v>L004349</x:v>
      </x:c>
      <x:c r="B4353" s="2" t="str">
        <x:v>O01766</x:v>
      </x:c>
      <x:c r="C4353" s="7" t="n">
        <x:v>45697</x:v>
      </x:c>
      <x:c r="D4353" s="2" t="str">
        <x:v>Cancelled</x:v>
      </x:c>
      <x:c r="E4353" s="2" t="str">
        <x:v>East</x:v>
      </x:c>
      <x:c r="F4353" s="2" t="str">
        <x:v>Store</x:v>
      </x:c>
      <x:c r="G4353" s="2" t="str">
        <x:v>Furniture</x:v>
      </x:c>
      <x:c r="H4353" s="2" t="str">
        <x:v>Desk 008</x:v>
      </x:c>
      <x:c r="I4353" s="11" t="n">
        <x:v>5</x:v>
      </x:c>
      <x:c r="J4353" s="9" t="n">
        <x:v>188</x:v>
      </x:c>
      <x:c r="K4353" s="10" t="n">
        <x:v>0.05</x:v>
      </x:c>
      <x:c r="L4353" s="11" t="n">
        <x:v>0</x:v>
      </x:c>
      <x:c r="M4353" s="9" t="n">
        <x:f>IF(D4353="Completed",I4353*J4353,0)</x:f>
        <x:v>0</x:v>
      </x:c>
      <x:c r="N4353" s="9" t="n">
        <x:f>M4353*K4353</x:f>
        <x:v>0</x:v>
      </x:c>
      <x:c r="O4353" s="9" t="n">
        <x:f>M4353-N4353</x:f>
        <x:v>0</x:v>
      </x:c>
      <x:c r="P4353" s="9" t="n">
        <x:f>IF(D4353="Completed",L4353*J4353*(1-K4353),0)</x:f>
        <x:v>0</x:v>
      </x:c>
      <x:c r="Q4353" s="9" t="n">
        <x:f>O4353-P4353</x:f>
        <x:v>0</x:v>
      </x:c>
      <x:c r="R4353" s="11" t="n">
        <x:f>IF(D4353="Completed",I4353,0)</x:f>
        <x:v>0</x:v>
      </x:c>
      <x:c r="S4353" s="11" t="n">
        <x:f>IF(D4353="Completed",L4353,0)</x:f>
        <x:v>0</x:v>
      </x:c>
      <x:c r="T4353" s="8" t="n">
        <x:f>DATE(YEAR(C4353),MONTH(C4353),1)</x:f>
        <x:v>45689</x:v>
      </x:c>
    </x:row>
    <x:row r="4354" ht="22" customHeight="1">
      <x:c r="A4354" s="2" t="str">
        <x:v>L004350</x:v>
      </x:c>
      <x:c r="B4354" s="2" t="str">
        <x:v>O01767</x:v>
      </x:c>
      <x:c r="C4354" s="7" t="n">
        <x:v>45903</x:v>
      </x:c>
      <x:c r="D4354" s="2" t="str">
        <x:v>Completed</x:v>
      </x:c>
      <x:c r="E4354" s="2" t="str">
        <x:v>West</x:v>
      </x:c>
      <x:c r="F4354" s="2" t="str">
        <x:v>Store</x:v>
      </x:c>
      <x:c r="G4354" s="2" t="str">
        <x:v>Storage</x:v>
      </x:c>
      <x:c r="H4354" s="2" t="str">
        <x:v>Shelf 011</x:v>
      </x:c>
      <x:c r="I4354" s="11" t="n">
        <x:v>2</x:v>
      </x:c>
      <x:c r="J4354" s="9" t="n">
        <x:v>80</x:v>
      </x:c>
      <x:c r="K4354" s="10" t="n">
        <x:v>0.05</x:v>
      </x:c>
      <x:c r="L4354" s="11" t="n">
        <x:v>0</x:v>
      </x:c>
      <x:c r="M4354" s="9" t="n">
        <x:f>IF(D4354="Completed",I4354*J4354,0)</x:f>
        <x:v>160</x:v>
      </x:c>
      <x:c r="N4354" s="9" t="n">
        <x:f>M4354*K4354</x:f>
        <x:v>8</x:v>
      </x:c>
      <x:c r="O4354" s="9" t="n">
        <x:f>M4354-N4354</x:f>
        <x:v>152</x:v>
      </x:c>
      <x:c r="P4354" s="9" t="n">
        <x:f>IF(D4354="Completed",L4354*J4354*(1-K4354),0)</x:f>
        <x:v>0</x:v>
      </x:c>
      <x:c r="Q4354" s="9" t="n">
        <x:f>O4354-P4354</x:f>
        <x:v>152</x:v>
      </x:c>
      <x:c r="R4354" s="11" t="n">
        <x:f>IF(D4354="Completed",I4354,0)</x:f>
        <x:v>2</x:v>
      </x:c>
      <x:c r="S4354" s="11" t="n">
        <x:f>IF(D4354="Completed",L4354,0)</x:f>
        <x:v>0</x:v>
      </x:c>
      <x:c r="T4354" s="8" t="n">
        <x:f>DATE(YEAR(C4354),MONTH(C4354),1)</x:f>
        <x:v>45901</x:v>
      </x:c>
    </x:row>
    <x:row r="4355" ht="22" customHeight="1">
      <x:c r="A4355" s="2" t="str">
        <x:v>L004351</x:v>
      </x:c>
      <x:c r="B4355" s="2" t="str">
        <x:v>O01767</x:v>
      </x:c>
      <x:c r="C4355" s="7" t="n">
        <x:v>45903</x:v>
      </x:c>
      <x:c r="D4355" s="2" t="str">
        <x:v>Completed</x:v>
      </x:c>
      <x:c r="E4355" s="2" t="str">
        <x:v>West</x:v>
      </x:c>
      <x:c r="F4355" s="2" t="str">
        <x:v>Store</x:v>
      </x:c>
      <x:c r="G4355" s="2" t="str">
        <x:v>Storage</x:v>
      </x:c>
      <x:c r="H4355" s="2" t="str">
        <x:v>Shelf 003</x:v>
      </x:c>
      <x:c r="I4355" s="11" t="n">
        <x:v>1</x:v>
      </x:c>
      <x:c r="J4355" s="9" t="n">
        <x:v>199</x:v>
      </x:c>
      <x:c r="K4355" s="10" t="n">
        <x:v>0.2</x:v>
      </x:c>
      <x:c r="L4355" s="11" t="n">
        <x:v>0</x:v>
      </x:c>
      <x:c r="M4355" s="9" t="n">
        <x:f>IF(D4355="Completed",I4355*J4355,0)</x:f>
        <x:v>199</x:v>
      </x:c>
      <x:c r="N4355" s="9" t="n">
        <x:f>M4355*K4355</x:f>
        <x:v>39.800000000000004</x:v>
      </x:c>
      <x:c r="O4355" s="9" t="n">
        <x:f>M4355-N4355</x:f>
        <x:v>159.2</x:v>
      </x:c>
      <x:c r="P4355" s="9" t="n">
        <x:f>IF(D4355="Completed",L4355*J4355*(1-K4355),0)</x:f>
        <x:v>0</x:v>
      </x:c>
      <x:c r="Q4355" s="9" t="n">
        <x:f>O4355-P4355</x:f>
        <x:v>159.2</x:v>
      </x:c>
      <x:c r="R4355" s="11" t="n">
        <x:f>IF(D4355="Completed",I4355,0)</x:f>
        <x:v>1</x:v>
      </x:c>
      <x:c r="S4355" s="11" t="n">
        <x:f>IF(D4355="Completed",L4355,0)</x:f>
        <x:v>0</x:v>
      </x:c>
      <x:c r="T4355" s="8" t="n">
        <x:f>DATE(YEAR(C4355),MONTH(C4355),1)</x:f>
        <x:v>45901</x:v>
      </x:c>
    </x:row>
    <x:row r="4356" ht="22" customHeight="1">
      <x:c r="A4356" s="2" t="str">
        <x:v>L004352</x:v>
      </x:c>
      <x:c r="B4356" s="2" t="str">
        <x:v>O01767</x:v>
      </x:c>
      <x:c r="C4356" s="7" t="n">
        <x:v>45903</x:v>
      </x:c>
      <x:c r="D4356" s="2" t="str">
        <x:v>Completed</x:v>
      </x:c>
      <x:c r="E4356" s="2" t="str">
        <x:v>West</x:v>
      </x:c>
      <x:c r="F4356" s="2" t="str">
        <x:v>Store</x:v>
      </x:c>
      <x:c r="G4356" s="2" t="str">
        <x:v>Storage</x:v>
      </x:c>
      <x:c r="H4356" s="2" t="str">
        <x:v>Shelf 003</x:v>
      </x:c>
      <x:c r="I4356" s="11" t="n">
        <x:v>5</x:v>
      </x:c>
      <x:c r="J4356" s="9" t="n">
        <x:v>199</x:v>
      </x:c>
      <x:c r="K4356" s="10" t="n">
        <x:v>0</x:v>
      </x:c>
      <x:c r="L4356" s="11" t="n">
        <x:v>0</x:v>
      </x:c>
      <x:c r="M4356" s="9" t="n">
        <x:f>IF(D4356="Completed",I4356*J4356,0)</x:f>
        <x:v>995</x:v>
      </x:c>
      <x:c r="N4356" s="9" t="n">
        <x:f>M4356*K4356</x:f>
        <x:v>0</x:v>
      </x:c>
      <x:c r="O4356" s="9" t="n">
        <x:f>M4356-N4356</x:f>
        <x:v>995</x:v>
      </x:c>
      <x:c r="P4356" s="9" t="n">
        <x:f>IF(D4356="Completed",L4356*J4356*(1-K4356),0)</x:f>
        <x:v>0</x:v>
      </x:c>
      <x:c r="Q4356" s="9" t="n">
        <x:f>O4356-P4356</x:f>
        <x:v>995</x:v>
      </x:c>
      <x:c r="R4356" s="11" t="n">
        <x:f>IF(D4356="Completed",I4356,0)</x:f>
        <x:v>5</x:v>
      </x:c>
      <x:c r="S4356" s="11" t="n">
        <x:f>IF(D4356="Completed",L4356,0)</x:f>
        <x:v>0</x:v>
      </x:c>
      <x:c r="T4356" s="8" t="n">
        <x:f>DATE(YEAR(C4356),MONTH(C4356),1)</x:f>
        <x:v>45901</x:v>
      </x:c>
    </x:row>
    <x:row r="4357" ht="22" customHeight="1">
      <x:c r="A4357" s="2" t="str">
        <x:v>L004353</x:v>
      </x:c>
      <x:c r="B4357" s="2" t="str">
        <x:v>O01767</x:v>
      </x:c>
      <x:c r="C4357" s="7" t="n">
        <x:v>45903</x:v>
      </x:c>
      <x:c r="D4357" s="2" t="str">
        <x:v>Completed</x:v>
      </x:c>
      <x:c r="E4357" s="2" t="str">
        <x:v>West</x:v>
      </x:c>
      <x:c r="F4357" s="2" t="str">
        <x:v>Store</x:v>
      </x:c>
      <x:c r="G4357" s="2" t="str">
        <x:v>Furniture</x:v>
      </x:c>
      <x:c r="H4357" s="2" t="str">
        <x:v>Chair 018</x:v>
      </x:c>
      <x:c r="I4357" s="11" t="n">
        <x:v>4</x:v>
      </x:c>
      <x:c r="J4357" s="9" t="n">
        <x:v>269</x:v>
      </x:c>
      <x:c r="K4357" s="10" t="n">
        <x:v>0</x:v>
      </x:c>
      <x:c r="L4357" s="11" t="n">
        <x:v>0</x:v>
      </x:c>
      <x:c r="M4357" s="9" t="n">
        <x:f>IF(D4357="Completed",I4357*J4357,0)</x:f>
        <x:v>1076</x:v>
      </x:c>
      <x:c r="N4357" s="9" t="n">
        <x:f>M4357*K4357</x:f>
        <x:v>0</x:v>
      </x:c>
      <x:c r="O4357" s="9" t="n">
        <x:f>M4357-N4357</x:f>
        <x:v>1076</x:v>
      </x:c>
      <x:c r="P4357" s="9" t="n">
        <x:f>IF(D4357="Completed",L4357*J4357*(1-K4357),0)</x:f>
        <x:v>0</x:v>
      </x:c>
      <x:c r="Q4357" s="9" t="n">
        <x:f>O4357-P4357</x:f>
        <x:v>1076</x:v>
      </x:c>
      <x:c r="R4357" s="11" t="n">
        <x:f>IF(D4357="Completed",I4357,0)</x:f>
        <x:v>4</x:v>
      </x:c>
      <x:c r="S4357" s="11" t="n">
        <x:f>IF(D4357="Completed",L4357,0)</x:f>
        <x:v>0</x:v>
      </x:c>
      <x:c r="T4357" s="8" t="n">
        <x:f>DATE(YEAR(C4357),MONTH(C4357),1)</x:f>
        <x:v>45901</x:v>
      </x:c>
    </x:row>
    <x:row r="4358" ht="22" customHeight="1">
      <x:c r="A4358" s="2" t="str">
        <x:v>L004354</x:v>
      </x:c>
      <x:c r="B4358" s="2" t="str">
        <x:v>O01768</x:v>
      </x:c>
      <x:c r="C4358" s="7" t="n">
        <x:v>45721</x:v>
      </x:c>
      <x:c r="D4358" s="2" t="str">
        <x:v>Completed</x:v>
      </x:c>
      <x:c r="E4358" s="2" t="str">
        <x:v>West</x:v>
      </x:c>
      <x:c r="F4358" s="2" t="str">
        <x:v>Online</x:v>
      </x:c>
      <x:c r="G4358" s="2" t="str">
        <x:v>Lighting</x:v>
      </x:c>
      <x:c r="H4358" s="2" t="str">
        <x:v>Lamp 001</x:v>
      </x:c>
      <x:c r="I4358" s="11" t="n">
        <x:v>1</x:v>
      </x:c>
      <x:c r="J4358" s="9" t="n">
        <x:v>122</x:v>
      </x:c>
      <x:c r="K4358" s="10" t="n">
        <x:v>0</x:v>
      </x:c>
      <x:c r="L4358" s="11" t="n">
        <x:v>0</x:v>
      </x:c>
      <x:c r="M4358" s="9" t="n">
        <x:f>IF(D4358="Completed",I4358*J4358,0)</x:f>
        <x:v>122</x:v>
      </x:c>
      <x:c r="N4358" s="9" t="n">
        <x:f>M4358*K4358</x:f>
        <x:v>0</x:v>
      </x:c>
      <x:c r="O4358" s="9" t="n">
        <x:f>M4358-N4358</x:f>
        <x:v>122</x:v>
      </x:c>
      <x:c r="P4358" s="9" t="n">
        <x:f>IF(D4358="Completed",L4358*J4358*(1-K4358),0)</x:f>
        <x:v>0</x:v>
      </x:c>
      <x:c r="Q4358" s="9" t="n">
        <x:f>O4358-P4358</x:f>
        <x:v>122</x:v>
      </x:c>
      <x:c r="R4358" s="11" t="n">
        <x:f>IF(D4358="Completed",I4358,0)</x:f>
        <x:v>1</x:v>
      </x:c>
      <x:c r="S4358" s="11" t="n">
        <x:f>IF(D4358="Completed",L4358,0)</x:f>
        <x:v>0</x:v>
      </x:c>
      <x:c r="T4358" s="8" t="n">
        <x:f>DATE(YEAR(C4358),MONTH(C4358),1)</x:f>
        <x:v>45717</x:v>
      </x:c>
    </x:row>
    <x:row r="4359" ht="22" customHeight="1">
      <x:c r="A4359" s="2" t="str">
        <x:v>L004355</x:v>
      </x:c>
      <x:c r="B4359" s="2" t="str">
        <x:v>O01768</x:v>
      </x:c>
      <x:c r="C4359" s="7" t="n">
        <x:v>45721</x:v>
      </x:c>
      <x:c r="D4359" s="2" t="str">
        <x:v>Completed</x:v>
      </x:c>
      <x:c r="E4359" s="2" t="str">
        <x:v>West</x:v>
      </x:c>
      <x:c r="F4359" s="2" t="str">
        <x:v>Online</x:v>
      </x:c>
      <x:c r="G4359" s="2" t="str">
        <x:v>Furniture</x:v>
      </x:c>
      <x:c r="H4359" s="2" t="str">
        <x:v>Chair 006</x:v>
      </x:c>
      <x:c r="I4359" s="11" t="n">
        <x:v>4</x:v>
      </x:c>
      <x:c r="J4359" s="9" t="n">
        <x:v>196</x:v>
      </x:c>
      <x:c r="K4359" s="10" t="n">
        <x:v>0.05</x:v>
      </x:c>
      <x:c r="L4359" s="11" t="n">
        <x:v>0</x:v>
      </x:c>
      <x:c r="M4359" s="9" t="n">
        <x:f>IF(D4359="Completed",I4359*J4359,0)</x:f>
        <x:v>784</x:v>
      </x:c>
      <x:c r="N4359" s="9" t="n">
        <x:f>M4359*K4359</x:f>
        <x:v>39.2</x:v>
      </x:c>
      <x:c r="O4359" s="9" t="n">
        <x:f>M4359-N4359</x:f>
        <x:v>744.8</x:v>
      </x:c>
      <x:c r="P4359" s="9" t="n">
        <x:f>IF(D4359="Completed",L4359*J4359*(1-K4359),0)</x:f>
        <x:v>0</x:v>
      </x:c>
      <x:c r="Q4359" s="9" t="n">
        <x:f>O4359-P4359</x:f>
        <x:v>744.8</x:v>
      </x:c>
      <x:c r="R4359" s="11" t="n">
        <x:f>IF(D4359="Completed",I4359,0)</x:f>
        <x:v>4</x:v>
      </x:c>
      <x:c r="S4359" s="11" t="n">
        <x:f>IF(D4359="Completed",L4359,0)</x:f>
        <x:v>0</x:v>
      </x:c>
      <x:c r="T4359" s="8" t="n">
        <x:f>DATE(YEAR(C4359),MONTH(C4359),1)</x:f>
        <x:v>45717</x:v>
      </x:c>
    </x:row>
    <x:row r="4360" ht="22" customHeight="1">
      <x:c r="A4360" s="2" t="str">
        <x:v>L004356</x:v>
      </x:c>
      <x:c r="B4360" s="2" t="str">
        <x:v>O01768</x:v>
      </x:c>
      <x:c r="C4360" s="7" t="n">
        <x:v>45721</x:v>
      </x:c>
      <x:c r="D4360" s="2" t="str">
        <x:v>Completed</x:v>
      </x:c>
      <x:c r="E4360" s="2" t="str">
        <x:v>West</x:v>
      </x:c>
      <x:c r="F4360" s="2" t="str">
        <x:v>Online</x:v>
      </x:c>
      <x:c r="G4360" s="2" t="str">
        <x:v>Furniture</x:v>
      </x:c>
      <x:c r="H4360" s="2" t="str">
        <x:v>Desk 024</x:v>
      </x:c>
      <x:c r="I4360" s="11" t="n">
        <x:v>5</x:v>
      </x:c>
      <x:c r="J4360" s="9" t="n">
        <x:v>81</x:v>
      </x:c>
      <x:c r="K4360" s="10" t="n">
        <x:v>0.05</x:v>
      </x:c>
      <x:c r="L4360" s="11" t="n">
        <x:v>0</x:v>
      </x:c>
      <x:c r="M4360" s="9" t="n">
        <x:f>IF(D4360="Completed",I4360*J4360,0)</x:f>
        <x:v>405</x:v>
      </x:c>
      <x:c r="N4360" s="9" t="n">
        <x:f>M4360*K4360</x:f>
        <x:v>20.25</x:v>
      </x:c>
      <x:c r="O4360" s="9" t="n">
        <x:f>M4360-N4360</x:f>
        <x:v>384.75</x:v>
      </x:c>
      <x:c r="P4360" s="9" t="n">
        <x:f>IF(D4360="Completed",L4360*J4360*(1-K4360),0)</x:f>
        <x:v>0</x:v>
      </x:c>
      <x:c r="Q4360" s="9" t="n">
        <x:f>O4360-P4360</x:f>
        <x:v>384.75</x:v>
      </x:c>
      <x:c r="R4360" s="11" t="n">
        <x:f>IF(D4360="Completed",I4360,0)</x:f>
        <x:v>5</x:v>
      </x:c>
      <x:c r="S4360" s="11" t="n">
        <x:f>IF(D4360="Completed",L4360,0)</x:f>
        <x:v>0</x:v>
      </x:c>
      <x:c r="T4360" s="8" t="n">
        <x:f>DATE(YEAR(C4360),MONTH(C4360),1)</x:f>
        <x:v>45717</x:v>
      </x:c>
    </x:row>
    <x:row r="4361" ht="22" customHeight="1">
      <x:c r="A4361" s="2" t="str">
        <x:v>L004357</x:v>
      </x:c>
      <x:c r="B4361" s="2" t="str">
        <x:v>O01769</x:v>
      </x:c>
      <x:c r="C4361" s="7" t="n">
        <x:v>45915</x:v>
      </x:c>
      <x:c r="D4361" s="2" t="str">
        <x:v>Completed</x:v>
      </x:c>
      <x:c r="E4361" s="2" t="str">
        <x:v>East</x:v>
      </x:c>
      <x:c r="F4361" s="2" t="str">
        <x:v>Online</x:v>
      </x:c>
      <x:c r="G4361" s="2" t="str">
        <x:v>Furniture</x:v>
      </x:c>
      <x:c r="H4361" s="2" t="str">
        <x:v>Desk 020</x:v>
      </x:c>
      <x:c r="I4361" s="11" t="n">
        <x:v>2</x:v>
      </x:c>
      <x:c r="J4361" s="9" t="n">
        <x:v>189</x:v>
      </x:c>
      <x:c r="K4361" s="10" t="n">
        <x:v>0.1</x:v>
      </x:c>
      <x:c r="L4361" s="11" t="n">
        <x:v>0</x:v>
      </x:c>
      <x:c r="M4361" s="9" t="n">
        <x:f>IF(D4361="Completed",I4361*J4361,0)</x:f>
        <x:v>378</x:v>
      </x:c>
      <x:c r="N4361" s="9" t="n">
        <x:f>M4361*K4361</x:f>
        <x:v>37.800000000000004</x:v>
      </x:c>
      <x:c r="O4361" s="9" t="n">
        <x:f>M4361-N4361</x:f>
        <x:v>340.2</x:v>
      </x:c>
      <x:c r="P4361" s="9" t="n">
        <x:f>IF(D4361="Completed",L4361*J4361*(1-K4361),0)</x:f>
        <x:v>0</x:v>
      </x:c>
      <x:c r="Q4361" s="9" t="n">
        <x:f>O4361-P4361</x:f>
        <x:v>340.2</x:v>
      </x:c>
      <x:c r="R4361" s="11" t="n">
        <x:f>IF(D4361="Completed",I4361,0)</x:f>
        <x:v>2</x:v>
      </x:c>
      <x:c r="S4361" s="11" t="n">
        <x:f>IF(D4361="Completed",L4361,0)</x:f>
        <x:v>0</x:v>
      </x:c>
      <x:c r="T4361" s="8" t="n">
        <x:f>DATE(YEAR(C4361),MONTH(C4361),1)</x:f>
        <x:v>45901</x:v>
      </x:c>
    </x:row>
    <x:row r="4362" ht="22" customHeight="1">
      <x:c r="A4362" s="2" t="str">
        <x:v>L004358</x:v>
      </x:c>
      <x:c r="B4362" s="2" t="str">
        <x:v>O01769</x:v>
      </x:c>
      <x:c r="C4362" s="7" t="n">
        <x:v>45915</x:v>
      </x:c>
      <x:c r="D4362" s="2" t="str">
        <x:v>Completed</x:v>
      </x:c>
      <x:c r="E4362" s="2" t="str">
        <x:v>East</x:v>
      </x:c>
      <x:c r="F4362" s="2" t="str">
        <x:v>Online</x:v>
      </x:c>
      <x:c r="G4362" s="2" t="str">
        <x:v>Lighting</x:v>
      </x:c>
      <x:c r="H4362" s="2" t="str">
        <x:v>Lamp 009</x:v>
      </x:c>
      <x:c r="I4362" s="11" t="n">
        <x:v>3</x:v>
      </x:c>
      <x:c r="J4362" s="9" t="n">
        <x:v>93</x:v>
      </x:c>
      <x:c r="K4362" s="10" t="n">
        <x:v>0.2</x:v>
      </x:c>
      <x:c r="L4362" s="11" t="n">
        <x:v>0</x:v>
      </x:c>
      <x:c r="M4362" s="9" t="n">
        <x:f>IF(D4362="Completed",I4362*J4362,0)</x:f>
        <x:v>279</x:v>
      </x:c>
      <x:c r="N4362" s="9" t="n">
        <x:f>M4362*K4362</x:f>
        <x:v>55.800000000000004</x:v>
      </x:c>
      <x:c r="O4362" s="9" t="n">
        <x:f>M4362-N4362</x:f>
        <x:v>223.2</x:v>
      </x:c>
      <x:c r="P4362" s="9" t="n">
        <x:f>IF(D4362="Completed",L4362*J4362*(1-K4362),0)</x:f>
        <x:v>0</x:v>
      </x:c>
      <x:c r="Q4362" s="9" t="n">
        <x:f>O4362-P4362</x:f>
        <x:v>223.2</x:v>
      </x:c>
      <x:c r="R4362" s="11" t="n">
        <x:f>IF(D4362="Completed",I4362,0)</x:f>
        <x:v>3</x:v>
      </x:c>
      <x:c r="S4362" s="11" t="n">
        <x:f>IF(D4362="Completed",L4362,0)</x:f>
        <x:v>0</x:v>
      </x:c>
      <x:c r="T4362" s="8" t="n">
        <x:f>DATE(YEAR(C4362),MONTH(C4362),1)</x:f>
        <x:v>45901</x:v>
      </x:c>
    </x:row>
    <x:row r="4363" ht="22" customHeight="1">
      <x:c r="A4363" s="2" t="str">
        <x:v>L004359</x:v>
      </x:c>
      <x:c r="B4363" s="2" t="str">
        <x:v>O01769</x:v>
      </x:c>
      <x:c r="C4363" s="7" t="n">
        <x:v>45915</x:v>
      </x:c>
      <x:c r="D4363" s="2" t="str">
        <x:v>Completed</x:v>
      </x:c>
      <x:c r="E4363" s="2" t="str">
        <x:v>East</x:v>
      </x:c>
      <x:c r="F4363" s="2" t="str">
        <x:v>Online</x:v>
      </x:c>
      <x:c r="G4363" s="2" t="str">
        <x:v>Lighting</x:v>
      </x:c>
      <x:c r="H4363" s="2" t="str">
        <x:v>Lamp 017</x:v>
      </x:c>
      <x:c r="I4363" s="11" t="n">
        <x:v>1</x:v>
      </x:c>
      <x:c r="J4363" s="9" t="n">
        <x:v>300</x:v>
      </x:c>
      <x:c r="K4363" s="10" t="n">
        <x:v>0.05</x:v>
      </x:c>
      <x:c r="L4363" s="11" t="n">
        <x:v>1</x:v>
      </x:c>
      <x:c r="M4363" s="9" t="n">
        <x:f>IF(D4363="Completed",I4363*J4363,0)</x:f>
        <x:v>300</x:v>
      </x:c>
      <x:c r="N4363" s="9" t="n">
        <x:f>M4363*K4363</x:f>
        <x:v>15</x:v>
      </x:c>
      <x:c r="O4363" s="9" t="n">
        <x:f>M4363-N4363</x:f>
        <x:v>285</x:v>
      </x:c>
      <x:c r="P4363" s="9" t="n">
        <x:f>IF(D4363="Completed",L4363*J4363*(1-K4363),0)</x:f>
        <x:v>285</x:v>
      </x:c>
      <x:c r="Q4363" s="9" t="n">
        <x:f>O4363-P4363</x:f>
        <x:v>0</x:v>
      </x:c>
      <x:c r="R4363" s="11" t="n">
        <x:f>IF(D4363="Completed",I4363,0)</x:f>
        <x:v>1</x:v>
      </x:c>
      <x:c r="S4363" s="11" t="n">
        <x:f>IF(D4363="Completed",L4363,0)</x:f>
        <x:v>1</x:v>
      </x:c>
      <x:c r="T4363" s="8" t="n">
        <x:f>DATE(YEAR(C4363),MONTH(C4363),1)</x:f>
        <x:v>45901</x:v>
      </x:c>
    </x:row>
    <x:row r="4364" ht="22" customHeight="1">
      <x:c r="A4364" s="2" t="str">
        <x:v>L004360</x:v>
      </x:c>
      <x:c r="B4364" s="2" t="str">
        <x:v>O01770</x:v>
      </x:c>
      <x:c r="C4364" s="7" t="n">
        <x:v>45674</x:v>
      </x:c>
      <x:c r="D4364" s="2" t="str">
        <x:v>Completed</x:v>
      </x:c>
      <x:c r="E4364" s="2" t="str">
        <x:v>East</x:v>
      </x:c>
      <x:c r="F4364" s="2" t="str">
        <x:v>Online</x:v>
      </x:c>
      <x:c r="G4364" s="2" t="str">
        <x:v>Lighting</x:v>
      </x:c>
      <x:c r="H4364" s="2" t="str">
        <x:v>Lamp 009</x:v>
      </x:c>
      <x:c r="I4364" s="11" t="n">
        <x:v>3</x:v>
      </x:c>
      <x:c r="J4364" s="9" t="n">
        <x:v>93</x:v>
      </x:c>
      <x:c r="K4364" s="10" t="n">
        <x:v>0.2</x:v>
      </x:c>
      <x:c r="L4364" s="11" t="n">
        <x:v>0</x:v>
      </x:c>
      <x:c r="M4364" s="9" t="n">
        <x:f>IF(D4364="Completed",I4364*J4364,0)</x:f>
        <x:v>279</x:v>
      </x:c>
      <x:c r="N4364" s="9" t="n">
        <x:f>M4364*K4364</x:f>
        <x:v>55.800000000000004</x:v>
      </x:c>
      <x:c r="O4364" s="9" t="n">
        <x:f>M4364-N4364</x:f>
        <x:v>223.2</x:v>
      </x:c>
      <x:c r="P4364" s="9" t="n">
        <x:f>IF(D4364="Completed",L4364*J4364*(1-K4364),0)</x:f>
        <x:v>0</x:v>
      </x:c>
      <x:c r="Q4364" s="9" t="n">
        <x:f>O4364-P4364</x:f>
        <x:v>223.2</x:v>
      </x:c>
      <x:c r="R4364" s="11" t="n">
        <x:f>IF(D4364="Completed",I4364,0)</x:f>
        <x:v>3</x:v>
      </x:c>
      <x:c r="S4364" s="11" t="n">
        <x:f>IF(D4364="Completed",L4364,0)</x:f>
        <x:v>0</x:v>
      </x:c>
      <x:c r="T4364" s="8" t="n">
        <x:f>DATE(YEAR(C4364),MONTH(C4364),1)</x:f>
        <x:v>45658</x:v>
      </x:c>
    </x:row>
    <x:row r="4365" ht="22" customHeight="1">
      <x:c r="A4365" s="2" t="str">
        <x:v>L004361</x:v>
      </x:c>
      <x:c r="B4365" s="2" t="str">
        <x:v>O01770</x:v>
      </x:c>
      <x:c r="C4365" s="7" t="n">
        <x:v>45674</x:v>
      </x:c>
      <x:c r="D4365" s="2" t="str">
        <x:v>Completed</x:v>
      </x:c>
      <x:c r="E4365" s="2" t="str">
        <x:v>East</x:v>
      </x:c>
      <x:c r="F4365" s="2" t="str">
        <x:v>Online</x:v>
      </x:c>
      <x:c r="G4365" s="2" t="str">
        <x:v>Furniture</x:v>
      </x:c>
      <x:c r="H4365" s="2" t="str">
        <x:v>Desk 004</x:v>
      </x:c>
      <x:c r="I4365" s="11" t="n">
        <x:v>5</x:v>
      </x:c>
      <x:c r="J4365" s="9" t="n">
        <x:v>123</x:v>
      </x:c>
      <x:c r="K4365" s="10" t="n">
        <x:v>0.1</x:v>
      </x:c>
      <x:c r="L4365" s="11" t="n">
        <x:v>0</x:v>
      </x:c>
      <x:c r="M4365" s="9" t="n">
        <x:f>IF(D4365="Completed",I4365*J4365,0)</x:f>
        <x:v>615</x:v>
      </x:c>
      <x:c r="N4365" s="9" t="n">
        <x:f>M4365*K4365</x:f>
        <x:v>61.5</x:v>
      </x:c>
      <x:c r="O4365" s="9" t="n">
        <x:f>M4365-N4365</x:f>
        <x:v>553.5</x:v>
      </x:c>
      <x:c r="P4365" s="9" t="n">
        <x:f>IF(D4365="Completed",L4365*J4365*(1-K4365),0)</x:f>
        <x:v>0</x:v>
      </x:c>
      <x:c r="Q4365" s="9" t="n">
        <x:f>O4365-P4365</x:f>
        <x:v>553.5</x:v>
      </x:c>
      <x:c r="R4365" s="11" t="n">
        <x:f>IF(D4365="Completed",I4365,0)</x:f>
        <x:v>5</x:v>
      </x:c>
      <x:c r="S4365" s="11" t="n">
        <x:f>IF(D4365="Completed",L4365,0)</x:f>
        <x:v>0</x:v>
      </x:c>
      <x:c r="T4365" s="8" t="n">
        <x:f>DATE(YEAR(C4365),MONTH(C4365),1)</x:f>
        <x:v>45658</x:v>
      </x:c>
    </x:row>
    <x:row r="4366" ht="22" customHeight="1">
      <x:c r="A4366" s="2" t="str">
        <x:v>L004362</x:v>
      </x:c>
      <x:c r="B4366" s="2" t="str">
        <x:v>O01770</x:v>
      </x:c>
      <x:c r="C4366" s="7" t="n">
        <x:v>45674</x:v>
      </x:c>
      <x:c r="D4366" s="2" t="str">
        <x:v>Completed</x:v>
      </x:c>
      <x:c r="E4366" s="2" t="str">
        <x:v>East</x:v>
      </x:c>
      <x:c r="F4366" s="2" t="str">
        <x:v>Online</x:v>
      </x:c>
      <x:c r="G4366" s="2" t="str">
        <x:v>Furniture</x:v>
      </x:c>
      <x:c r="H4366" s="2" t="str">
        <x:v>Chair 018</x:v>
      </x:c>
      <x:c r="I4366" s="11" t="n">
        <x:v>2</x:v>
      </x:c>
      <x:c r="J4366" s="9" t="n">
        <x:v>269</x:v>
      </x:c>
      <x:c r="K4366" s="10" t="n">
        <x:v>0.1</x:v>
      </x:c>
      <x:c r="L4366" s="11" t="n">
        <x:v>0</x:v>
      </x:c>
      <x:c r="M4366" s="9" t="n">
        <x:f>IF(D4366="Completed",I4366*J4366,0)</x:f>
        <x:v>538</x:v>
      </x:c>
      <x:c r="N4366" s="9" t="n">
        <x:f>M4366*K4366</x:f>
        <x:v>53.800000000000004</x:v>
      </x:c>
      <x:c r="O4366" s="9" t="n">
        <x:f>M4366-N4366</x:f>
        <x:v>484.2</x:v>
      </x:c>
      <x:c r="P4366" s="9" t="n">
        <x:f>IF(D4366="Completed",L4366*J4366*(1-K4366),0)</x:f>
        <x:v>0</x:v>
      </x:c>
      <x:c r="Q4366" s="9" t="n">
        <x:f>O4366-P4366</x:f>
        <x:v>484.2</x:v>
      </x:c>
      <x:c r="R4366" s="11" t="n">
        <x:f>IF(D4366="Completed",I4366,0)</x:f>
        <x:v>2</x:v>
      </x:c>
      <x:c r="S4366" s="11" t="n">
        <x:f>IF(D4366="Completed",L4366,0)</x:f>
        <x:v>0</x:v>
      </x:c>
      <x:c r="T4366" s="8" t="n">
        <x:f>DATE(YEAR(C4366),MONTH(C4366),1)</x:f>
        <x:v>45658</x:v>
      </x:c>
    </x:row>
    <x:row r="4367" ht="22" customHeight="1">
      <x:c r="A4367" s="2" t="str">
        <x:v>L004363</x:v>
      </x:c>
      <x:c r="B4367" s="2" t="str">
        <x:v>O01770</x:v>
      </x:c>
      <x:c r="C4367" s="7" t="n">
        <x:v>45674</x:v>
      </x:c>
      <x:c r="D4367" s="2" t="str">
        <x:v>Completed</x:v>
      </x:c>
      <x:c r="E4367" s="2" t="str">
        <x:v>East</x:v>
      </x:c>
      <x:c r="F4367" s="2" t="str">
        <x:v>Online</x:v>
      </x:c>
      <x:c r="G4367" s="2" t="str">
        <x:v>Furniture</x:v>
      </x:c>
      <x:c r="H4367" s="2" t="str">
        <x:v>Desk 004</x:v>
      </x:c>
      <x:c r="I4367" s="11" t="n">
        <x:v>4</x:v>
      </x:c>
      <x:c r="J4367" s="9" t="n">
        <x:v>123</x:v>
      </x:c>
      <x:c r="K4367" s="10" t="n">
        <x:v>0.2</x:v>
      </x:c>
      <x:c r="L4367" s="11" t="n">
        <x:v>0</x:v>
      </x:c>
      <x:c r="M4367" s="9" t="n">
        <x:f>IF(D4367="Completed",I4367*J4367,0)</x:f>
        <x:v>492</x:v>
      </x:c>
      <x:c r="N4367" s="9" t="n">
        <x:f>M4367*K4367</x:f>
        <x:v>98.4</x:v>
      </x:c>
      <x:c r="O4367" s="9" t="n">
        <x:f>M4367-N4367</x:f>
        <x:v>393.6</x:v>
      </x:c>
      <x:c r="P4367" s="9" t="n">
        <x:f>IF(D4367="Completed",L4367*J4367*(1-K4367),0)</x:f>
        <x:v>0</x:v>
      </x:c>
      <x:c r="Q4367" s="9" t="n">
        <x:f>O4367-P4367</x:f>
        <x:v>393.6</x:v>
      </x:c>
      <x:c r="R4367" s="11" t="n">
        <x:f>IF(D4367="Completed",I4367,0)</x:f>
        <x:v>4</x:v>
      </x:c>
      <x:c r="S4367" s="11" t="n">
        <x:f>IF(D4367="Completed",L4367,0)</x:f>
        <x:v>0</x:v>
      </x:c>
      <x:c r="T4367" s="8" t="n">
        <x:f>DATE(YEAR(C4367),MONTH(C4367),1)</x:f>
        <x:v>45658</x:v>
      </x:c>
    </x:row>
    <x:row r="4368" ht="22" customHeight="1">
      <x:c r="A4368" s="2" t="str">
        <x:v>L004364</x:v>
      </x:c>
      <x:c r="B4368" s="2" t="str">
        <x:v>O01771</x:v>
      </x:c>
      <x:c r="C4368" s="7" t="n">
        <x:v>45986</x:v>
      </x:c>
      <x:c r="D4368" s="2" t="str">
        <x:v>Completed</x:v>
      </x:c>
      <x:c r="E4368" s="2" t="str">
        <x:v>North</x:v>
      </x:c>
      <x:c r="F4368" s="2" t="str">
        <x:v>Store</x:v>
      </x:c>
      <x:c r="G4368" s="2" t="str">
        <x:v>Storage</x:v>
      </x:c>
      <x:c r="H4368" s="2" t="str">
        <x:v>Shelf 015</x:v>
      </x:c>
      <x:c r="I4368" s="11" t="n">
        <x:v>5</x:v>
      </x:c>
      <x:c r="J4368" s="9" t="n">
        <x:v>254</x:v>
      </x:c>
      <x:c r="K4368" s="10" t="n">
        <x:v>0.2</x:v>
      </x:c>
      <x:c r="L4368" s="11" t="n">
        <x:v>0</x:v>
      </x:c>
      <x:c r="M4368" s="9" t="n">
        <x:f>IF(D4368="Completed",I4368*J4368,0)</x:f>
        <x:v>1270</x:v>
      </x:c>
      <x:c r="N4368" s="9" t="n">
        <x:f>M4368*K4368</x:f>
        <x:v>254</x:v>
      </x:c>
      <x:c r="O4368" s="9" t="n">
        <x:f>M4368-N4368</x:f>
        <x:v>1016</x:v>
      </x:c>
      <x:c r="P4368" s="9" t="n">
        <x:f>IF(D4368="Completed",L4368*J4368*(1-K4368),0)</x:f>
        <x:v>0</x:v>
      </x:c>
      <x:c r="Q4368" s="9" t="n">
        <x:f>O4368-P4368</x:f>
        <x:v>1016</x:v>
      </x:c>
      <x:c r="R4368" s="11" t="n">
        <x:f>IF(D4368="Completed",I4368,0)</x:f>
        <x:v>5</x:v>
      </x:c>
      <x:c r="S4368" s="11" t="n">
        <x:f>IF(D4368="Completed",L4368,0)</x:f>
        <x:v>0</x:v>
      </x:c>
      <x:c r="T4368" s="8" t="n">
        <x:f>DATE(YEAR(C4368),MONTH(C4368),1)</x:f>
        <x:v>45962</x:v>
      </x:c>
    </x:row>
    <x:row r="4369" ht="22" customHeight="1">
      <x:c r="A4369" s="2" t="str">
        <x:v>L004365</x:v>
      </x:c>
      <x:c r="B4369" s="2" t="str">
        <x:v>O01772</x:v>
      </x:c>
      <x:c r="C4369" s="7" t="n">
        <x:v>45978</x:v>
      </x:c>
      <x:c r="D4369" s="2" t="str">
        <x:v>Completed</x:v>
      </x:c>
      <x:c r="E4369" s="2" t="str">
        <x:v>East</x:v>
      </x:c>
      <x:c r="F4369" s="2" t="str">
        <x:v>Store</x:v>
      </x:c>
      <x:c r="G4369" s="2" t="str">
        <x:v>Storage</x:v>
      </x:c>
      <x:c r="H4369" s="2" t="str">
        <x:v>Shelf 007</x:v>
      </x:c>
      <x:c r="I4369" s="11" t="n">
        <x:v>2</x:v>
      </x:c>
      <x:c r="J4369" s="9" t="n">
        <x:v>35</x:v>
      </x:c>
      <x:c r="K4369" s="10" t="n">
        <x:v>0</x:v>
      </x:c>
      <x:c r="L4369" s="11" t="n">
        <x:v>0</x:v>
      </x:c>
      <x:c r="M4369" s="9" t="n">
        <x:f>IF(D4369="Completed",I4369*J4369,0)</x:f>
        <x:v>70</x:v>
      </x:c>
      <x:c r="N4369" s="9" t="n">
        <x:f>M4369*K4369</x:f>
        <x:v>0</x:v>
      </x:c>
      <x:c r="O4369" s="9" t="n">
        <x:f>M4369-N4369</x:f>
        <x:v>70</x:v>
      </x:c>
      <x:c r="P4369" s="9" t="n">
        <x:f>IF(D4369="Completed",L4369*J4369*(1-K4369),0)</x:f>
        <x:v>0</x:v>
      </x:c>
      <x:c r="Q4369" s="9" t="n">
        <x:f>O4369-P4369</x:f>
        <x:v>70</x:v>
      </x:c>
      <x:c r="R4369" s="11" t="n">
        <x:f>IF(D4369="Completed",I4369,0)</x:f>
        <x:v>2</x:v>
      </x:c>
      <x:c r="S4369" s="11" t="n">
        <x:f>IF(D4369="Completed",L4369,0)</x:f>
        <x:v>0</x:v>
      </x:c>
      <x:c r="T4369" s="8" t="n">
        <x:f>DATE(YEAR(C4369),MONTH(C4369),1)</x:f>
        <x:v>45962</x:v>
      </x:c>
    </x:row>
    <x:row r="4370" ht="22" customHeight="1">
      <x:c r="A4370" s="2" t="str">
        <x:v>L004366</x:v>
      </x:c>
      <x:c r="B4370" s="2" t="str">
        <x:v>O01772</x:v>
      </x:c>
      <x:c r="C4370" s="7" t="n">
        <x:v>45978</x:v>
      </x:c>
      <x:c r="D4370" s="2" t="str">
        <x:v>Completed</x:v>
      </x:c>
      <x:c r="E4370" s="2" t="str">
        <x:v>East</x:v>
      </x:c>
      <x:c r="F4370" s="2" t="str">
        <x:v>Store</x:v>
      </x:c>
      <x:c r="G4370" s="2" t="str">
        <x:v>Storage</x:v>
      </x:c>
      <x:c r="H4370" s="2" t="str">
        <x:v>Shelf 015</x:v>
      </x:c>
      <x:c r="I4370" s="11" t="n">
        <x:v>5</x:v>
      </x:c>
      <x:c r="J4370" s="9" t="n">
        <x:v>254</x:v>
      </x:c>
      <x:c r="K4370" s="10" t="n">
        <x:v>0.2</x:v>
      </x:c>
      <x:c r="L4370" s="11" t="n">
        <x:v>0</x:v>
      </x:c>
      <x:c r="M4370" s="9" t="n">
        <x:f>IF(D4370="Completed",I4370*J4370,0)</x:f>
        <x:v>1270</x:v>
      </x:c>
      <x:c r="N4370" s="9" t="n">
        <x:f>M4370*K4370</x:f>
        <x:v>254</x:v>
      </x:c>
      <x:c r="O4370" s="9" t="n">
        <x:f>M4370-N4370</x:f>
        <x:v>1016</x:v>
      </x:c>
      <x:c r="P4370" s="9" t="n">
        <x:f>IF(D4370="Completed",L4370*J4370*(1-K4370),0)</x:f>
        <x:v>0</x:v>
      </x:c>
      <x:c r="Q4370" s="9" t="n">
        <x:f>O4370-P4370</x:f>
        <x:v>1016</x:v>
      </x:c>
      <x:c r="R4370" s="11" t="n">
        <x:f>IF(D4370="Completed",I4370,0)</x:f>
        <x:v>5</x:v>
      </x:c>
      <x:c r="S4370" s="11" t="n">
        <x:f>IF(D4370="Completed",L4370,0)</x:f>
        <x:v>0</x:v>
      </x:c>
      <x:c r="T4370" s="8" t="n">
        <x:f>DATE(YEAR(C4370),MONTH(C4370),1)</x:f>
        <x:v>45962</x:v>
      </x:c>
    </x:row>
    <x:row r="4371" ht="22" customHeight="1">
      <x:c r="A4371" s="2" t="str">
        <x:v>L004367</x:v>
      </x:c>
      <x:c r="B4371" s="2" t="str">
        <x:v>O01772</x:v>
      </x:c>
      <x:c r="C4371" s="7" t="n">
        <x:v>45978</x:v>
      </x:c>
      <x:c r="D4371" s="2" t="str">
        <x:v>Completed</x:v>
      </x:c>
      <x:c r="E4371" s="2" t="str">
        <x:v>East</x:v>
      </x:c>
      <x:c r="F4371" s="2" t="str">
        <x:v>Store</x:v>
      </x:c>
      <x:c r="G4371" s="2" t="str">
        <x:v>Lighting</x:v>
      </x:c>
      <x:c r="H4371" s="2" t="str">
        <x:v>Lamp 021</x:v>
      </x:c>
      <x:c r="I4371" s="11" t="n">
        <x:v>4</x:v>
      </x:c>
      <x:c r="J4371" s="9" t="n">
        <x:v>249</x:v>
      </x:c>
      <x:c r="K4371" s="10" t="n">
        <x:v>0.2</x:v>
      </x:c>
      <x:c r="L4371" s="11" t="n">
        <x:v>0</x:v>
      </x:c>
      <x:c r="M4371" s="9" t="n">
        <x:f>IF(D4371="Completed",I4371*J4371,0)</x:f>
        <x:v>996</x:v>
      </x:c>
      <x:c r="N4371" s="9" t="n">
        <x:f>M4371*K4371</x:f>
        <x:v>199.20000000000002</x:v>
      </x:c>
      <x:c r="O4371" s="9" t="n">
        <x:f>M4371-N4371</x:f>
        <x:v>796.8</x:v>
      </x:c>
      <x:c r="P4371" s="9" t="n">
        <x:f>IF(D4371="Completed",L4371*J4371*(1-K4371),0)</x:f>
        <x:v>0</x:v>
      </x:c>
      <x:c r="Q4371" s="9" t="n">
        <x:f>O4371-P4371</x:f>
        <x:v>796.8</x:v>
      </x:c>
      <x:c r="R4371" s="11" t="n">
        <x:f>IF(D4371="Completed",I4371,0)</x:f>
        <x:v>4</x:v>
      </x:c>
      <x:c r="S4371" s="11" t="n">
        <x:f>IF(D4371="Completed",L4371,0)</x:f>
        <x:v>0</x:v>
      </x:c>
      <x:c r="T4371" s="8" t="n">
        <x:f>DATE(YEAR(C4371),MONTH(C4371),1)</x:f>
        <x:v>45962</x:v>
      </x:c>
    </x:row>
    <x:row r="4372" ht="22" customHeight="1">
      <x:c r="A4372" s="2" t="str">
        <x:v>L004368</x:v>
      </x:c>
      <x:c r="B4372" s="2" t="str">
        <x:v>O01772</x:v>
      </x:c>
      <x:c r="C4372" s="7" t="n">
        <x:v>45978</x:v>
      </x:c>
      <x:c r="D4372" s="2" t="str">
        <x:v>Completed</x:v>
      </x:c>
      <x:c r="E4372" s="2" t="str">
        <x:v>East</x:v>
      </x:c>
      <x:c r="F4372" s="2" t="str">
        <x:v>Store</x:v>
      </x:c>
      <x:c r="G4372" s="2" t="str">
        <x:v>Storage</x:v>
      </x:c>
      <x:c r="H4372" s="2" t="str">
        <x:v>Shelf 019</x:v>
      </x:c>
      <x:c r="I4372" s="11" t="n">
        <x:v>2</x:v>
      </x:c>
      <x:c r="J4372" s="9" t="n">
        <x:v>78</x:v>
      </x:c>
      <x:c r="K4372" s="10" t="n">
        <x:v>0</x:v>
      </x:c>
      <x:c r="L4372" s="11" t="n">
        <x:v>0</x:v>
      </x:c>
      <x:c r="M4372" s="9" t="n">
        <x:f>IF(D4372="Completed",I4372*J4372,0)</x:f>
        <x:v>156</x:v>
      </x:c>
      <x:c r="N4372" s="9" t="n">
        <x:f>M4372*K4372</x:f>
        <x:v>0</x:v>
      </x:c>
      <x:c r="O4372" s="9" t="n">
        <x:f>M4372-N4372</x:f>
        <x:v>156</x:v>
      </x:c>
      <x:c r="P4372" s="9" t="n">
        <x:f>IF(D4372="Completed",L4372*J4372*(1-K4372),0)</x:f>
        <x:v>0</x:v>
      </x:c>
      <x:c r="Q4372" s="9" t="n">
        <x:f>O4372-P4372</x:f>
        <x:v>156</x:v>
      </x:c>
      <x:c r="R4372" s="11" t="n">
        <x:f>IF(D4372="Completed",I4372,0)</x:f>
        <x:v>2</x:v>
      </x:c>
      <x:c r="S4372" s="11" t="n">
        <x:f>IF(D4372="Completed",L4372,0)</x:f>
        <x:v>0</x:v>
      </x:c>
      <x:c r="T4372" s="8" t="n">
        <x:f>DATE(YEAR(C4372),MONTH(C4372),1)</x:f>
        <x:v>45962</x:v>
      </x:c>
    </x:row>
    <x:row r="4373" ht="22" customHeight="1">
      <x:c r="A4373" s="2" t="str">
        <x:v>L004369</x:v>
      </x:c>
      <x:c r="B4373" s="2" t="str">
        <x:v>O01773</x:v>
      </x:c>
      <x:c r="C4373" s="7" t="n">
        <x:v>45851</x:v>
      </x:c>
      <x:c r="D4373" s="2" t="str">
        <x:v>Completed</x:v>
      </x:c>
      <x:c r="E4373" s="2" t="str">
        <x:v>East</x:v>
      </x:c>
      <x:c r="F4373" s="2" t="str">
        <x:v>Online</x:v>
      </x:c>
      <x:c r="G4373" s="2" t="str">
        <x:v>Storage</x:v>
      </x:c>
      <x:c r="H4373" s="2" t="str">
        <x:v>Shelf 007</x:v>
      </x:c>
      <x:c r="I4373" s="11" t="n">
        <x:v>2</x:v>
      </x:c>
      <x:c r="J4373" s="9" t="n">
        <x:v>35</x:v>
      </x:c>
      <x:c r="K4373" s="10" t="n">
        <x:v>0.1</x:v>
      </x:c>
      <x:c r="L4373" s="11" t="n">
        <x:v>0</x:v>
      </x:c>
      <x:c r="M4373" s="9" t="n">
        <x:f>IF(D4373="Completed",I4373*J4373,0)</x:f>
        <x:v>70</x:v>
      </x:c>
      <x:c r="N4373" s="9" t="n">
        <x:f>M4373*K4373</x:f>
        <x:v>7</x:v>
      </x:c>
      <x:c r="O4373" s="9" t="n">
        <x:f>M4373-N4373</x:f>
        <x:v>63</x:v>
      </x:c>
      <x:c r="P4373" s="9" t="n">
        <x:f>IF(D4373="Completed",L4373*J4373*(1-K4373),0)</x:f>
        <x:v>0</x:v>
      </x:c>
      <x:c r="Q4373" s="9" t="n">
        <x:f>O4373-P4373</x:f>
        <x:v>63</x:v>
      </x:c>
      <x:c r="R4373" s="11" t="n">
        <x:f>IF(D4373="Completed",I4373,0)</x:f>
        <x:v>2</x:v>
      </x:c>
      <x:c r="S4373" s="11" t="n">
        <x:f>IF(D4373="Completed",L4373,0)</x:f>
        <x:v>0</x:v>
      </x:c>
      <x:c r="T4373" s="8" t="n">
        <x:f>DATE(YEAR(C4373),MONTH(C4373),1)</x:f>
        <x:v>45839</x:v>
      </x:c>
    </x:row>
    <x:row r="4374" ht="22" customHeight="1">
      <x:c r="A4374" s="2" t="str">
        <x:v>L004370</x:v>
      </x:c>
      <x:c r="B4374" s="2" t="str">
        <x:v>O01773</x:v>
      </x:c>
      <x:c r="C4374" s="7" t="n">
        <x:v>45851</x:v>
      </x:c>
      <x:c r="D4374" s="2" t="str">
        <x:v>Completed</x:v>
      </x:c>
      <x:c r="E4374" s="2" t="str">
        <x:v>East</x:v>
      </x:c>
      <x:c r="F4374" s="2" t="str">
        <x:v>Online</x:v>
      </x:c>
      <x:c r="G4374" s="2" t="str">
        <x:v>Storage</x:v>
      </x:c>
      <x:c r="H4374" s="2" t="str">
        <x:v>Shelf 023</x:v>
      </x:c>
      <x:c r="I4374" s="11" t="n">
        <x:v>5</x:v>
      </x:c>
      <x:c r="J4374" s="9" t="n">
        <x:v>68</x:v>
      </x:c>
      <x:c r="K4374" s="10" t="n">
        <x:v>0.1</x:v>
      </x:c>
      <x:c r="L4374" s="11" t="n">
        <x:v>0</x:v>
      </x:c>
      <x:c r="M4374" s="9" t="n">
        <x:f>IF(D4374="Completed",I4374*J4374,0)</x:f>
        <x:v>340</x:v>
      </x:c>
      <x:c r="N4374" s="9" t="n">
        <x:f>M4374*K4374</x:f>
        <x:v>34</x:v>
      </x:c>
      <x:c r="O4374" s="9" t="n">
        <x:f>M4374-N4374</x:f>
        <x:v>306</x:v>
      </x:c>
      <x:c r="P4374" s="9" t="n">
        <x:f>IF(D4374="Completed",L4374*J4374*(1-K4374),0)</x:f>
        <x:v>0</x:v>
      </x:c>
      <x:c r="Q4374" s="9" t="n">
        <x:f>O4374-P4374</x:f>
        <x:v>306</x:v>
      </x:c>
      <x:c r="R4374" s="11" t="n">
        <x:f>IF(D4374="Completed",I4374,0)</x:f>
        <x:v>5</x:v>
      </x:c>
      <x:c r="S4374" s="11" t="n">
        <x:f>IF(D4374="Completed",L4374,0)</x:f>
        <x:v>0</x:v>
      </x:c>
      <x:c r="T4374" s="8" t="n">
        <x:f>DATE(YEAR(C4374),MONTH(C4374),1)</x:f>
        <x:v>45839</x:v>
      </x:c>
    </x:row>
    <x:row r="4375" ht="22" customHeight="1">
      <x:c r="A4375" s="2" t="str">
        <x:v>L004371</x:v>
      </x:c>
      <x:c r="B4375" s="2" t="str">
        <x:v>O01773</x:v>
      </x:c>
      <x:c r="C4375" s="7" t="n">
        <x:v>45851</x:v>
      </x:c>
      <x:c r="D4375" s="2" t="str">
        <x:v>Completed</x:v>
      </x:c>
      <x:c r="E4375" s="2" t="str">
        <x:v>East</x:v>
      </x:c>
      <x:c r="F4375" s="2" t="str">
        <x:v>Online</x:v>
      </x:c>
      <x:c r="G4375" s="2" t="str">
        <x:v>Furniture</x:v>
      </x:c>
      <x:c r="H4375" s="2" t="str">
        <x:v>Chair 010</x:v>
      </x:c>
      <x:c r="I4375" s="11" t="n">
        <x:v>5</x:v>
      </x:c>
      <x:c r="J4375" s="9" t="n">
        <x:v>211</x:v>
      </x:c>
      <x:c r="K4375" s="10" t="n">
        <x:v>0.05</x:v>
      </x:c>
      <x:c r="L4375" s="11" t="n">
        <x:v>0</x:v>
      </x:c>
      <x:c r="M4375" s="9" t="n">
        <x:f>IF(D4375="Completed",I4375*J4375,0)</x:f>
        <x:v>1055</x:v>
      </x:c>
      <x:c r="N4375" s="9" t="n">
        <x:f>M4375*K4375</x:f>
        <x:v>52.75</x:v>
      </x:c>
      <x:c r="O4375" s="9" t="n">
        <x:f>M4375-N4375</x:f>
        <x:v>1002.25</x:v>
      </x:c>
      <x:c r="P4375" s="9" t="n">
        <x:f>IF(D4375="Completed",L4375*J4375*(1-K4375),0)</x:f>
        <x:v>0</x:v>
      </x:c>
      <x:c r="Q4375" s="9" t="n">
        <x:f>O4375-P4375</x:f>
        <x:v>1002.25</x:v>
      </x:c>
      <x:c r="R4375" s="11" t="n">
        <x:f>IF(D4375="Completed",I4375,0)</x:f>
        <x:v>5</x:v>
      </x:c>
      <x:c r="S4375" s="11" t="n">
        <x:f>IF(D4375="Completed",L4375,0)</x:f>
        <x:v>0</x:v>
      </x:c>
      <x:c r="T4375" s="8" t="n">
        <x:f>DATE(YEAR(C4375),MONTH(C4375),1)</x:f>
        <x:v>45839</x:v>
      </x:c>
    </x:row>
    <x:row r="4376" ht="22" customHeight="1">
      <x:c r="A4376" s="2" t="str">
        <x:v>L004372</x:v>
      </x:c>
      <x:c r="B4376" s="2" t="str">
        <x:v>O01774</x:v>
      </x:c>
      <x:c r="C4376" s="7" t="n">
        <x:v>45798</x:v>
      </x:c>
      <x:c r="D4376" s="2" t="str">
        <x:v>Completed</x:v>
      </x:c>
      <x:c r="E4376" s="2" t="str">
        <x:v>South</x:v>
      </x:c>
      <x:c r="F4376" s="2" t="str">
        <x:v>Online</x:v>
      </x:c>
      <x:c r="G4376" s="2" t="str">
        <x:v>Furniture</x:v>
      </x:c>
      <x:c r="H4376" s="2" t="str">
        <x:v>Chair 010</x:v>
      </x:c>
      <x:c r="I4376" s="11" t="n">
        <x:v>2</x:v>
      </x:c>
      <x:c r="J4376" s="9" t="n">
        <x:v>211</x:v>
      </x:c>
      <x:c r="K4376" s="10" t="n">
        <x:v>0.05</x:v>
      </x:c>
      <x:c r="L4376" s="11" t="n">
        <x:v>0</x:v>
      </x:c>
      <x:c r="M4376" s="9" t="n">
        <x:f>IF(D4376="Completed",I4376*J4376,0)</x:f>
        <x:v>422</x:v>
      </x:c>
      <x:c r="N4376" s="9" t="n">
        <x:f>M4376*K4376</x:f>
        <x:v>21.1</x:v>
      </x:c>
      <x:c r="O4376" s="9" t="n">
        <x:f>M4376-N4376</x:f>
        <x:v>400.9</x:v>
      </x:c>
      <x:c r="P4376" s="9" t="n">
        <x:f>IF(D4376="Completed",L4376*J4376*(1-K4376),0)</x:f>
        <x:v>0</x:v>
      </x:c>
      <x:c r="Q4376" s="9" t="n">
        <x:f>O4376-P4376</x:f>
        <x:v>400.9</x:v>
      </x:c>
      <x:c r="R4376" s="11" t="n">
        <x:f>IF(D4376="Completed",I4376,0)</x:f>
        <x:v>2</x:v>
      </x:c>
      <x:c r="S4376" s="11" t="n">
        <x:f>IF(D4376="Completed",L4376,0)</x:f>
        <x:v>0</x:v>
      </x:c>
      <x:c r="T4376" s="8" t="n">
        <x:f>DATE(YEAR(C4376),MONTH(C4376),1)</x:f>
        <x:v>45778</x:v>
      </x:c>
    </x:row>
    <x:row r="4377" ht="22" customHeight="1">
      <x:c r="A4377" s="2" t="str">
        <x:v>L004373</x:v>
      </x:c>
      <x:c r="B4377" s="2" t="str">
        <x:v>O01774</x:v>
      </x:c>
      <x:c r="C4377" s="7" t="n">
        <x:v>45798</x:v>
      </x:c>
      <x:c r="D4377" s="2" t="str">
        <x:v>Completed</x:v>
      </x:c>
      <x:c r="E4377" s="2" t="str">
        <x:v>South</x:v>
      </x:c>
      <x:c r="F4377" s="2" t="str">
        <x:v>Online</x:v>
      </x:c>
      <x:c r="G4377" s="2" t="str">
        <x:v>Storage</x:v>
      </x:c>
      <x:c r="H4377" s="2" t="str">
        <x:v>Shelf 003</x:v>
      </x:c>
      <x:c r="I4377" s="11" t="n">
        <x:v>2</x:v>
      </x:c>
      <x:c r="J4377" s="9" t="n">
        <x:v>199</x:v>
      </x:c>
      <x:c r="K4377" s="10" t="n">
        <x:v>0.1</x:v>
      </x:c>
      <x:c r="L4377" s="11" t="n">
        <x:v>1</x:v>
      </x:c>
      <x:c r="M4377" s="9" t="n">
        <x:f>IF(D4377="Completed",I4377*J4377,0)</x:f>
        <x:v>398</x:v>
      </x:c>
      <x:c r="N4377" s="9" t="n">
        <x:f>M4377*K4377</x:f>
        <x:v>39.800000000000004</x:v>
      </x:c>
      <x:c r="O4377" s="9" t="n">
        <x:f>M4377-N4377</x:f>
        <x:v>358.2</x:v>
      </x:c>
      <x:c r="P4377" s="9" t="n">
        <x:f>IF(D4377="Completed",L4377*J4377*(1-K4377),0)</x:f>
        <x:v>179.1</x:v>
      </x:c>
      <x:c r="Q4377" s="9" t="n">
        <x:f>O4377-P4377</x:f>
        <x:v>179.1</x:v>
      </x:c>
      <x:c r="R4377" s="11" t="n">
        <x:f>IF(D4377="Completed",I4377,0)</x:f>
        <x:v>2</x:v>
      </x:c>
      <x:c r="S4377" s="11" t="n">
        <x:f>IF(D4377="Completed",L4377,0)</x:f>
        <x:v>1</x:v>
      </x:c>
      <x:c r="T4377" s="8" t="n">
        <x:f>DATE(YEAR(C4377),MONTH(C4377),1)</x:f>
        <x:v>45778</x:v>
      </x:c>
    </x:row>
    <x:row r="4378" ht="22" customHeight="1">
      <x:c r="A4378" s="2" t="str">
        <x:v>L004374</x:v>
      </x:c>
      <x:c r="B4378" s="2" t="str">
        <x:v>O01774</x:v>
      </x:c>
      <x:c r="C4378" s="7" t="n">
        <x:v>45798</x:v>
      </x:c>
      <x:c r="D4378" s="2" t="str">
        <x:v>Completed</x:v>
      </x:c>
      <x:c r="E4378" s="2" t="str">
        <x:v>South</x:v>
      </x:c>
      <x:c r="F4378" s="2" t="str">
        <x:v>Online</x:v>
      </x:c>
      <x:c r="G4378" s="2" t="str">
        <x:v>Storage</x:v>
      </x:c>
      <x:c r="H4378" s="2" t="str">
        <x:v>Shelf 007</x:v>
      </x:c>
      <x:c r="I4378" s="11" t="n">
        <x:v>3</x:v>
      </x:c>
      <x:c r="J4378" s="9" t="n">
        <x:v>35</x:v>
      </x:c>
      <x:c r="K4378" s="10" t="n">
        <x:v>0.05</x:v>
      </x:c>
      <x:c r="L4378" s="11" t="n">
        <x:v>0</x:v>
      </x:c>
      <x:c r="M4378" s="9" t="n">
        <x:f>IF(D4378="Completed",I4378*J4378,0)</x:f>
        <x:v>105</x:v>
      </x:c>
      <x:c r="N4378" s="9" t="n">
        <x:f>M4378*K4378</x:f>
        <x:v>5.25</x:v>
      </x:c>
      <x:c r="O4378" s="9" t="n">
        <x:f>M4378-N4378</x:f>
        <x:v>99.75</x:v>
      </x:c>
      <x:c r="P4378" s="9" t="n">
        <x:f>IF(D4378="Completed",L4378*J4378*(1-K4378),0)</x:f>
        <x:v>0</x:v>
      </x:c>
      <x:c r="Q4378" s="9" t="n">
        <x:f>O4378-P4378</x:f>
        <x:v>99.75</x:v>
      </x:c>
      <x:c r="R4378" s="11" t="n">
        <x:f>IF(D4378="Completed",I4378,0)</x:f>
        <x:v>3</x:v>
      </x:c>
      <x:c r="S4378" s="11" t="n">
        <x:f>IF(D4378="Completed",L4378,0)</x:f>
        <x:v>0</x:v>
      </x:c>
      <x:c r="T4378" s="8" t="n">
        <x:f>DATE(YEAR(C4378),MONTH(C4378),1)</x:f>
        <x:v>45778</x:v>
      </x:c>
    </x:row>
    <x:row r="4379" ht="22" customHeight="1">
      <x:c r="A4379" s="2" t="str">
        <x:v>L004375</x:v>
      </x:c>
      <x:c r="B4379" s="2" t="str">
        <x:v>O01775</x:v>
      </x:c>
      <x:c r="C4379" s="7" t="n">
        <x:v>45658</x:v>
      </x:c>
      <x:c r="D4379" s="2" t="str">
        <x:v>Completed</x:v>
      </x:c>
      <x:c r="E4379" s="2" t="str">
        <x:v>West</x:v>
      </x:c>
      <x:c r="F4379" s="2" t="str">
        <x:v>Online</x:v>
      </x:c>
      <x:c r="G4379" s="2" t="str">
        <x:v>Furniture</x:v>
      </x:c>
      <x:c r="H4379" s="2" t="str">
        <x:v>Chair 010</x:v>
      </x:c>
      <x:c r="I4379" s="11" t="n">
        <x:v>4</x:v>
      </x:c>
      <x:c r="J4379" s="9" t="n">
        <x:v>211</x:v>
      </x:c>
      <x:c r="K4379" s="10" t="n">
        <x:v>0.05</x:v>
      </x:c>
      <x:c r="L4379" s="11" t="n">
        <x:v>0</x:v>
      </x:c>
      <x:c r="M4379" s="9" t="n">
        <x:f>IF(D4379="Completed",I4379*J4379,0)</x:f>
        <x:v>844</x:v>
      </x:c>
      <x:c r="N4379" s="9" t="n">
        <x:f>M4379*K4379</x:f>
        <x:v>42.2</x:v>
      </x:c>
      <x:c r="O4379" s="9" t="n">
        <x:f>M4379-N4379</x:f>
        <x:v>801.8</x:v>
      </x:c>
      <x:c r="P4379" s="9" t="n">
        <x:f>IF(D4379="Completed",L4379*J4379*(1-K4379),0)</x:f>
        <x:v>0</x:v>
      </x:c>
      <x:c r="Q4379" s="9" t="n">
        <x:f>O4379-P4379</x:f>
        <x:v>801.8</x:v>
      </x:c>
      <x:c r="R4379" s="11" t="n">
        <x:f>IF(D4379="Completed",I4379,0)</x:f>
        <x:v>4</x:v>
      </x:c>
      <x:c r="S4379" s="11" t="n">
        <x:f>IF(D4379="Completed",L4379,0)</x:f>
        <x:v>0</x:v>
      </x:c>
      <x:c r="T4379" s="8" t="n">
        <x:f>DATE(YEAR(C4379),MONTH(C4379),1)</x:f>
        <x:v>45658</x:v>
      </x:c>
    </x:row>
    <x:row r="4380" ht="22" customHeight="1">
      <x:c r="A4380" s="2" t="str">
        <x:v>L004376</x:v>
      </x:c>
      <x:c r="B4380" s="2" t="str">
        <x:v>O01775</x:v>
      </x:c>
      <x:c r="C4380" s="7" t="n">
        <x:v>45658</x:v>
      </x:c>
      <x:c r="D4380" s="2" t="str">
        <x:v>Completed</x:v>
      </x:c>
      <x:c r="E4380" s="2" t="str">
        <x:v>West</x:v>
      </x:c>
      <x:c r="F4380" s="2" t="str">
        <x:v>Online</x:v>
      </x:c>
      <x:c r="G4380" s="2" t="str">
        <x:v>Lighting</x:v>
      </x:c>
      <x:c r="H4380" s="2" t="str">
        <x:v>Lamp 009</x:v>
      </x:c>
      <x:c r="I4380" s="11" t="n">
        <x:v>4</x:v>
      </x:c>
      <x:c r="J4380" s="9" t="n">
        <x:v>93</x:v>
      </x:c>
      <x:c r="K4380" s="10" t="n">
        <x:v>0.2</x:v>
      </x:c>
      <x:c r="L4380" s="11" t="n">
        <x:v>0</x:v>
      </x:c>
      <x:c r="M4380" s="9" t="n">
        <x:f>IF(D4380="Completed",I4380*J4380,0)</x:f>
        <x:v>372</x:v>
      </x:c>
      <x:c r="N4380" s="9" t="n">
        <x:f>M4380*K4380</x:f>
        <x:v>74.4</x:v>
      </x:c>
      <x:c r="O4380" s="9" t="n">
        <x:f>M4380-N4380</x:f>
        <x:v>297.6</x:v>
      </x:c>
      <x:c r="P4380" s="9" t="n">
        <x:f>IF(D4380="Completed",L4380*J4380*(1-K4380),0)</x:f>
        <x:v>0</x:v>
      </x:c>
      <x:c r="Q4380" s="9" t="n">
        <x:f>O4380-P4380</x:f>
        <x:v>297.6</x:v>
      </x:c>
      <x:c r="R4380" s="11" t="n">
        <x:f>IF(D4380="Completed",I4380,0)</x:f>
        <x:v>4</x:v>
      </x:c>
      <x:c r="S4380" s="11" t="n">
        <x:f>IF(D4380="Completed",L4380,0)</x:f>
        <x:v>0</x:v>
      </x:c>
      <x:c r="T4380" s="8" t="n">
        <x:f>DATE(YEAR(C4380),MONTH(C4380),1)</x:f>
        <x:v>45658</x:v>
      </x:c>
    </x:row>
    <x:row r="4381" ht="22" customHeight="1">
      <x:c r="A4381" s="2" t="str">
        <x:v>L004377</x:v>
      </x:c>
      <x:c r="B4381" s="2" t="str">
        <x:v>O01775</x:v>
      </x:c>
      <x:c r="C4381" s="7" t="n">
        <x:v>45658</x:v>
      </x:c>
      <x:c r="D4381" s="2" t="str">
        <x:v>Completed</x:v>
      </x:c>
      <x:c r="E4381" s="2" t="str">
        <x:v>West</x:v>
      </x:c>
      <x:c r="F4381" s="2" t="str">
        <x:v>Online</x:v>
      </x:c>
      <x:c r="G4381" s="2" t="str">
        <x:v>Furniture</x:v>
      </x:c>
      <x:c r="H4381" s="2" t="str">
        <x:v>Desk 016</x:v>
      </x:c>
      <x:c r="I4381" s="11" t="n">
        <x:v>3</x:v>
      </x:c>
      <x:c r="J4381" s="9" t="n">
        <x:v>231</x:v>
      </x:c>
      <x:c r="K4381" s="10" t="n">
        <x:v>0</x:v>
      </x:c>
      <x:c r="L4381" s="11" t="n">
        <x:v>0</x:v>
      </x:c>
      <x:c r="M4381" s="9" t="n">
        <x:f>IF(D4381="Completed",I4381*J4381,0)</x:f>
        <x:v>693</x:v>
      </x:c>
      <x:c r="N4381" s="9" t="n">
        <x:f>M4381*K4381</x:f>
        <x:v>0</x:v>
      </x:c>
      <x:c r="O4381" s="9" t="n">
        <x:f>M4381-N4381</x:f>
        <x:v>693</x:v>
      </x:c>
      <x:c r="P4381" s="9" t="n">
        <x:f>IF(D4381="Completed",L4381*J4381*(1-K4381),0)</x:f>
        <x:v>0</x:v>
      </x:c>
      <x:c r="Q4381" s="9" t="n">
        <x:f>O4381-P4381</x:f>
        <x:v>693</x:v>
      </x:c>
      <x:c r="R4381" s="11" t="n">
        <x:f>IF(D4381="Completed",I4381,0)</x:f>
        <x:v>3</x:v>
      </x:c>
      <x:c r="S4381" s="11" t="n">
        <x:f>IF(D4381="Completed",L4381,0)</x:f>
        <x:v>0</x:v>
      </x:c>
      <x:c r="T4381" s="8" t="n">
        <x:f>DATE(YEAR(C4381),MONTH(C4381),1)</x:f>
        <x:v>45658</x:v>
      </x:c>
    </x:row>
    <x:row r="4382" ht="22" customHeight="1">
      <x:c r="A4382" s="2" t="str">
        <x:v>L004378</x:v>
      </x:c>
      <x:c r="B4382" s="2" t="str">
        <x:v>O01775</x:v>
      </x:c>
      <x:c r="C4382" s="7" t="n">
        <x:v>45658</x:v>
      </x:c>
      <x:c r="D4382" s="2" t="str">
        <x:v>Completed</x:v>
      </x:c>
      <x:c r="E4382" s="2" t="str">
        <x:v>West</x:v>
      </x:c>
      <x:c r="F4382" s="2" t="str">
        <x:v>Online</x:v>
      </x:c>
      <x:c r="G4382" s="2" t="str">
        <x:v>Furniture</x:v>
      </x:c>
      <x:c r="H4382" s="2" t="str">
        <x:v>Desk 020</x:v>
      </x:c>
      <x:c r="I4382" s="11" t="n">
        <x:v>1</x:v>
      </x:c>
      <x:c r="J4382" s="9" t="n">
        <x:v>189</x:v>
      </x:c>
      <x:c r="K4382" s="10" t="n">
        <x:v>0.05</x:v>
      </x:c>
      <x:c r="L4382" s="11" t="n">
        <x:v>0</x:v>
      </x:c>
      <x:c r="M4382" s="9" t="n">
        <x:f>IF(D4382="Completed",I4382*J4382,0)</x:f>
        <x:v>189</x:v>
      </x:c>
      <x:c r="N4382" s="9" t="n">
        <x:f>M4382*K4382</x:f>
        <x:v>9.450000000000001</x:v>
      </x:c>
      <x:c r="O4382" s="9" t="n">
        <x:f>M4382-N4382</x:f>
        <x:v>179.55</x:v>
      </x:c>
      <x:c r="P4382" s="9" t="n">
        <x:f>IF(D4382="Completed",L4382*J4382*(1-K4382),0)</x:f>
        <x:v>0</x:v>
      </x:c>
      <x:c r="Q4382" s="9" t="n">
        <x:f>O4382-P4382</x:f>
        <x:v>179.55</x:v>
      </x:c>
      <x:c r="R4382" s="11" t="n">
        <x:f>IF(D4382="Completed",I4382,0)</x:f>
        <x:v>1</x:v>
      </x:c>
      <x:c r="S4382" s="11" t="n">
        <x:f>IF(D4382="Completed",L4382,0)</x:f>
        <x:v>0</x:v>
      </x:c>
      <x:c r="T4382" s="8" t="n">
        <x:f>DATE(YEAR(C4382),MONTH(C4382),1)</x:f>
        <x:v>45658</x:v>
      </x:c>
    </x:row>
    <x:row r="4383" ht="22" customHeight="1">
      <x:c r="A4383" s="2" t="str">
        <x:v>L004379</x:v>
      </x:c>
      <x:c r="B4383" s="2" t="str">
        <x:v>O01776</x:v>
      </x:c>
      <x:c r="C4383" s="7" t="n">
        <x:v>45666</x:v>
      </x:c>
      <x:c r="D4383" s="2" t="str">
        <x:v>Completed</x:v>
      </x:c>
      <x:c r="E4383" s="2" t="str">
        <x:v>East</x:v>
      </x:c>
      <x:c r="F4383" s="2" t="str">
        <x:v>Online</x:v>
      </x:c>
      <x:c r="G4383" s="2" t="str">
        <x:v>Storage</x:v>
      </x:c>
      <x:c r="H4383" s="2" t="str">
        <x:v>Shelf 003</x:v>
      </x:c>
      <x:c r="I4383" s="11" t="n">
        <x:v>5</x:v>
      </x:c>
      <x:c r="J4383" s="9" t="n">
        <x:v>199</x:v>
      </x:c>
      <x:c r="K4383" s="10" t="n">
        <x:v>0.1</x:v>
      </x:c>
      <x:c r="L4383" s="11" t="n">
        <x:v>0</x:v>
      </x:c>
      <x:c r="M4383" s="9" t="n">
        <x:f>IF(D4383="Completed",I4383*J4383,0)</x:f>
        <x:v>995</x:v>
      </x:c>
      <x:c r="N4383" s="9" t="n">
        <x:f>M4383*K4383</x:f>
        <x:v>99.5</x:v>
      </x:c>
      <x:c r="O4383" s="9" t="n">
        <x:f>M4383-N4383</x:f>
        <x:v>895.5</x:v>
      </x:c>
      <x:c r="P4383" s="9" t="n">
        <x:f>IF(D4383="Completed",L4383*J4383*(1-K4383),0)</x:f>
        <x:v>0</x:v>
      </x:c>
      <x:c r="Q4383" s="9" t="n">
        <x:f>O4383-P4383</x:f>
        <x:v>895.5</x:v>
      </x:c>
      <x:c r="R4383" s="11" t="n">
        <x:f>IF(D4383="Completed",I4383,0)</x:f>
        <x:v>5</x:v>
      </x:c>
      <x:c r="S4383" s="11" t="n">
        <x:f>IF(D4383="Completed",L4383,0)</x:f>
        <x:v>0</x:v>
      </x:c>
      <x:c r="T4383" s="8" t="n">
        <x:f>DATE(YEAR(C4383),MONTH(C4383),1)</x:f>
        <x:v>45658</x:v>
      </x:c>
    </x:row>
    <x:row r="4384" ht="22" customHeight="1">
      <x:c r="A4384" s="2" t="str">
        <x:v>L004380</x:v>
      </x:c>
      <x:c r="B4384" s="2" t="str">
        <x:v>O01776</x:v>
      </x:c>
      <x:c r="C4384" s="7" t="n">
        <x:v>45666</x:v>
      </x:c>
      <x:c r="D4384" s="2" t="str">
        <x:v>Completed</x:v>
      </x:c>
      <x:c r="E4384" s="2" t="str">
        <x:v>East</x:v>
      </x:c>
      <x:c r="F4384" s="2" t="str">
        <x:v>Online</x:v>
      </x:c>
      <x:c r="G4384" s="2" t="str">
        <x:v>Lighting</x:v>
      </x:c>
      <x:c r="H4384" s="2" t="str">
        <x:v>Lamp 001</x:v>
      </x:c>
      <x:c r="I4384" s="11" t="n">
        <x:v>1</x:v>
      </x:c>
      <x:c r="J4384" s="9" t="n">
        <x:v>122</x:v>
      </x:c>
      <x:c r="K4384" s="10" t="n">
        <x:v>0</x:v>
      </x:c>
      <x:c r="L4384" s="11" t="n">
        <x:v>0</x:v>
      </x:c>
      <x:c r="M4384" s="9" t="n">
        <x:f>IF(D4384="Completed",I4384*J4384,0)</x:f>
        <x:v>122</x:v>
      </x:c>
      <x:c r="N4384" s="9" t="n">
        <x:f>M4384*K4384</x:f>
        <x:v>0</x:v>
      </x:c>
      <x:c r="O4384" s="9" t="n">
        <x:f>M4384-N4384</x:f>
        <x:v>122</x:v>
      </x:c>
      <x:c r="P4384" s="9" t="n">
        <x:f>IF(D4384="Completed",L4384*J4384*(1-K4384),0)</x:f>
        <x:v>0</x:v>
      </x:c>
      <x:c r="Q4384" s="9" t="n">
        <x:f>O4384-P4384</x:f>
        <x:v>122</x:v>
      </x:c>
      <x:c r="R4384" s="11" t="n">
        <x:f>IF(D4384="Completed",I4384,0)</x:f>
        <x:v>1</x:v>
      </x:c>
      <x:c r="S4384" s="11" t="n">
        <x:f>IF(D4384="Completed",L4384,0)</x:f>
        <x:v>0</x:v>
      </x:c>
      <x:c r="T4384" s="8" t="n">
        <x:f>DATE(YEAR(C4384),MONTH(C4384),1)</x:f>
        <x:v>45658</x:v>
      </x:c>
    </x:row>
    <x:row r="4385" ht="22" customHeight="1">
      <x:c r="A4385" s="2" t="str">
        <x:v>L004381</x:v>
      </x:c>
      <x:c r="B4385" s="2" t="str">
        <x:v>O01776</x:v>
      </x:c>
      <x:c r="C4385" s="7" t="n">
        <x:v>45666</x:v>
      </x:c>
      <x:c r="D4385" s="2" t="str">
        <x:v>Completed</x:v>
      </x:c>
      <x:c r="E4385" s="2" t="str">
        <x:v>East</x:v>
      </x:c>
      <x:c r="F4385" s="2" t="str">
        <x:v>Online</x:v>
      </x:c>
      <x:c r="G4385" s="2" t="str">
        <x:v>Furniture</x:v>
      </x:c>
      <x:c r="H4385" s="2" t="str">
        <x:v>Chair 002</x:v>
      </x:c>
      <x:c r="I4385" s="11" t="n">
        <x:v>3</x:v>
      </x:c>
      <x:c r="J4385" s="9" t="n">
        <x:v>284</x:v>
      </x:c>
      <x:c r="K4385" s="10" t="n">
        <x:v>0.1</x:v>
      </x:c>
      <x:c r="L4385" s="11" t="n">
        <x:v>0</x:v>
      </x:c>
      <x:c r="M4385" s="9" t="n">
        <x:f>IF(D4385="Completed",I4385*J4385,0)</x:f>
        <x:v>852</x:v>
      </x:c>
      <x:c r="N4385" s="9" t="n">
        <x:f>M4385*K4385</x:f>
        <x:v>85.2</x:v>
      </x:c>
      <x:c r="O4385" s="9" t="n">
        <x:f>M4385-N4385</x:f>
        <x:v>766.8</x:v>
      </x:c>
      <x:c r="P4385" s="9" t="n">
        <x:f>IF(D4385="Completed",L4385*J4385*(1-K4385),0)</x:f>
        <x:v>0</x:v>
      </x:c>
      <x:c r="Q4385" s="9" t="n">
        <x:f>O4385-P4385</x:f>
        <x:v>766.8</x:v>
      </x:c>
      <x:c r="R4385" s="11" t="n">
        <x:f>IF(D4385="Completed",I4385,0)</x:f>
        <x:v>3</x:v>
      </x:c>
      <x:c r="S4385" s="11" t="n">
        <x:f>IF(D4385="Completed",L4385,0)</x:f>
        <x:v>0</x:v>
      </x:c>
      <x:c r="T4385" s="8" t="n">
        <x:f>DATE(YEAR(C4385),MONTH(C4385),1)</x:f>
        <x:v>45658</x:v>
      </x:c>
    </x:row>
    <x:row r="4386" ht="22" customHeight="1">
      <x:c r="A4386" s="2" t="str">
        <x:v>L004382</x:v>
      </x:c>
      <x:c r="B4386" s="2" t="str">
        <x:v>O01776</x:v>
      </x:c>
      <x:c r="C4386" s="7" t="n">
        <x:v>45666</x:v>
      </x:c>
      <x:c r="D4386" s="2" t="str">
        <x:v>Completed</x:v>
      </x:c>
      <x:c r="E4386" s="2" t="str">
        <x:v>East</x:v>
      </x:c>
      <x:c r="F4386" s="2" t="str">
        <x:v>Online</x:v>
      </x:c>
      <x:c r="G4386" s="2" t="str">
        <x:v>Storage</x:v>
      </x:c>
      <x:c r="H4386" s="2" t="str">
        <x:v>Shelf 003</x:v>
      </x:c>
      <x:c r="I4386" s="11" t="n">
        <x:v>5</x:v>
      </x:c>
      <x:c r="J4386" s="9" t="n">
        <x:v>199</x:v>
      </x:c>
      <x:c r="K4386" s="10" t="n">
        <x:v>0.2</x:v>
      </x:c>
      <x:c r="L4386" s="11" t="n">
        <x:v>0</x:v>
      </x:c>
      <x:c r="M4386" s="9" t="n">
        <x:f>IF(D4386="Completed",I4386*J4386,0)</x:f>
        <x:v>995</x:v>
      </x:c>
      <x:c r="N4386" s="9" t="n">
        <x:f>M4386*K4386</x:f>
        <x:v>199</x:v>
      </x:c>
      <x:c r="O4386" s="9" t="n">
        <x:f>M4386-N4386</x:f>
        <x:v>796</x:v>
      </x:c>
      <x:c r="P4386" s="9" t="n">
        <x:f>IF(D4386="Completed",L4386*J4386*(1-K4386),0)</x:f>
        <x:v>0</x:v>
      </x:c>
      <x:c r="Q4386" s="9" t="n">
        <x:f>O4386-P4386</x:f>
        <x:v>796</x:v>
      </x:c>
      <x:c r="R4386" s="11" t="n">
        <x:f>IF(D4386="Completed",I4386,0)</x:f>
        <x:v>5</x:v>
      </x:c>
      <x:c r="S4386" s="11" t="n">
        <x:f>IF(D4386="Completed",L4386,0)</x:f>
        <x:v>0</x:v>
      </x:c>
      <x:c r="T4386" s="8" t="n">
        <x:f>DATE(YEAR(C4386),MONTH(C4386),1)</x:f>
        <x:v>45658</x:v>
      </x:c>
    </x:row>
    <x:row r="4387" ht="22" customHeight="1">
      <x:c r="A4387" s="2" t="str">
        <x:v>L004383</x:v>
      </x:c>
      <x:c r="B4387" s="2" t="str">
        <x:v>O01777</x:v>
      </x:c>
      <x:c r="C4387" s="7" t="n">
        <x:v>46018</x:v>
      </x:c>
      <x:c r="D4387" s="2" t="str">
        <x:v>Completed</x:v>
      </x:c>
      <x:c r="E4387" s="2" t="str">
        <x:v>West</x:v>
      </x:c>
      <x:c r="F4387" s="2" t="str">
        <x:v>Store</x:v>
      </x:c>
      <x:c r="G4387" s="2" t="str">
        <x:v>Storage</x:v>
      </x:c>
      <x:c r="H4387" s="2" t="str">
        <x:v>Shelf 023</x:v>
      </x:c>
      <x:c r="I4387" s="11" t="n">
        <x:v>1</x:v>
      </x:c>
      <x:c r="J4387" s="9" t="n">
        <x:v>68</x:v>
      </x:c>
      <x:c r="K4387" s="10" t="n">
        <x:v>0</x:v>
      </x:c>
      <x:c r="L4387" s="11" t="n">
        <x:v>0</x:v>
      </x:c>
      <x:c r="M4387" s="9" t="n">
        <x:f>IF(D4387="Completed",I4387*J4387,0)</x:f>
        <x:v>68</x:v>
      </x:c>
      <x:c r="N4387" s="9" t="n">
        <x:f>M4387*K4387</x:f>
        <x:v>0</x:v>
      </x:c>
      <x:c r="O4387" s="9" t="n">
        <x:f>M4387-N4387</x:f>
        <x:v>68</x:v>
      </x:c>
      <x:c r="P4387" s="9" t="n">
        <x:f>IF(D4387="Completed",L4387*J4387*(1-K4387),0)</x:f>
        <x:v>0</x:v>
      </x:c>
      <x:c r="Q4387" s="9" t="n">
        <x:f>O4387-P4387</x:f>
        <x:v>68</x:v>
      </x:c>
      <x:c r="R4387" s="11" t="n">
        <x:f>IF(D4387="Completed",I4387,0)</x:f>
        <x:v>1</x:v>
      </x:c>
      <x:c r="S4387" s="11" t="n">
        <x:f>IF(D4387="Completed",L4387,0)</x:f>
        <x:v>0</x:v>
      </x:c>
      <x:c r="T4387" s="8" t="n">
        <x:f>DATE(YEAR(C4387),MONTH(C4387),1)</x:f>
        <x:v>45992</x:v>
      </x:c>
    </x:row>
    <x:row r="4388" ht="22" customHeight="1">
      <x:c r="A4388" s="2" t="str">
        <x:v>L004384</x:v>
      </x:c>
      <x:c r="B4388" s="2" t="str">
        <x:v>O01778</x:v>
      </x:c>
      <x:c r="C4388" s="7" t="n">
        <x:v>45915</x:v>
      </x:c>
      <x:c r="D4388" s="2" t="str">
        <x:v>Completed</x:v>
      </x:c>
      <x:c r="E4388" s="2" t="str">
        <x:v>East</x:v>
      </x:c>
      <x:c r="F4388" s="2" t="str">
        <x:v>Online</x:v>
      </x:c>
      <x:c r="G4388" s="2" t="str">
        <x:v>Furniture</x:v>
      </x:c>
      <x:c r="H4388" s="2" t="str">
        <x:v>Chair 002</x:v>
      </x:c>
      <x:c r="I4388" s="11" t="n">
        <x:v>5</x:v>
      </x:c>
      <x:c r="J4388" s="9" t="n">
        <x:v>284</x:v>
      </x:c>
      <x:c r="K4388" s="10" t="n">
        <x:v>0.05</x:v>
      </x:c>
      <x:c r="L4388" s="11" t="n">
        <x:v>0</x:v>
      </x:c>
      <x:c r="M4388" s="9" t="n">
        <x:f>IF(D4388="Completed",I4388*J4388,0)</x:f>
        <x:v>1420</x:v>
      </x:c>
      <x:c r="N4388" s="9" t="n">
        <x:f>M4388*K4388</x:f>
        <x:v>71</x:v>
      </x:c>
      <x:c r="O4388" s="9" t="n">
        <x:f>M4388-N4388</x:f>
        <x:v>1349</x:v>
      </x:c>
      <x:c r="P4388" s="9" t="n">
        <x:f>IF(D4388="Completed",L4388*J4388*(1-K4388),0)</x:f>
        <x:v>0</x:v>
      </x:c>
      <x:c r="Q4388" s="9" t="n">
        <x:f>O4388-P4388</x:f>
        <x:v>1349</x:v>
      </x:c>
      <x:c r="R4388" s="11" t="n">
        <x:f>IF(D4388="Completed",I4388,0)</x:f>
        <x:v>5</x:v>
      </x:c>
      <x:c r="S4388" s="11" t="n">
        <x:f>IF(D4388="Completed",L4388,0)</x:f>
        <x:v>0</x:v>
      </x:c>
      <x:c r="T4388" s="8" t="n">
        <x:f>DATE(YEAR(C4388),MONTH(C4388),1)</x:f>
        <x:v>45901</x:v>
      </x:c>
    </x:row>
    <x:row r="4389" ht="22" customHeight="1">
      <x:c r="A4389" s="2" t="str">
        <x:v>L004385</x:v>
      </x:c>
      <x:c r="B4389" s="2" t="str">
        <x:v>O01778</x:v>
      </x:c>
      <x:c r="C4389" s="7" t="n">
        <x:v>45915</x:v>
      </x:c>
      <x:c r="D4389" s="2" t="str">
        <x:v>Completed</x:v>
      </x:c>
      <x:c r="E4389" s="2" t="str">
        <x:v>East</x:v>
      </x:c>
      <x:c r="F4389" s="2" t="str">
        <x:v>Online</x:v>
      </x:c>
      <x:c r="G4389" s="2" t="str">
        <x:v>Furniture</x:v>
      </x:c>
      <x:c r="H4389" s="2" t="str">
        <x:v>Chair 002</x:v>
      </x:c>
      <x:c r="I4389" s="11" t="n">
        <x:v>5</x:v>
      </x:c>
      <x:c r="J4389" s="9" t="n">
        <x:v>284</x:v>
      </x:c>
      <x:c r="K4389" s="10" t="n">
        <x:v>0</x:v>
      </x:c>
      <x:c r="L4389" s="11" t="n">
        <x:v>0</x:v>
      </x:c>
      <x:c r="M4389" s="9" t="n">
        <x:f>IF(D4389="Completed",I4389*J4389,0)</x:f>
        <x:v>1420</x:v>
      </x:c>
      <x:c r="N4389" s="9" t="n">
        <x:f>M4389*K4389</x:f>
        <x:v>0</x:v>
      </x:c>
      <x:c r="O4389" s="9" t="n">
        <x:f>M4389-N4389</x:f>
        <x:v>1420</x:v>
      </x:c>
      <x:c r="P4389" s="9" t="n">
        <x:f>IF(D4389="Completed",L4389*J4389*(1-K4389),0)</x:f>
        <x:v>0</x:v>
      </x:c>
      <x:c r="Q4389" s="9" t="n">
        <x:f>O4389-P4389</x:f>
        <x:v>1420</x:v>
      </x:c>
      <x:c r="R4389" s="11" t="n">
        <x:f>IF(D4389="Completed",I4389,0)</x:f>
        <x:v>5</x:v>
      </x:c>
      <x:c r="S4389" s="11" t="n">
        <x:f>IF(D4389="Completed",L4389,0)</x:f>
        <x:v>0</x:v>
      </x:c>
      <x:c r="T4389" s="8" t="n">
        <x:f>DATE(YEAR(C4389),MONTH(C4389),1)</x:f>
        <x:v>45901</x:v>
      </x:c>
    </x:row>
    <x:row r="4390" ht="22" customHeight="1">
      <x:c r="A4390" s="2" t="str">
        <x:v>L004386</x:v>
      </x:c>
      <x:c r="B4390" s="2" t="str">
        <x:v>O01778</x:v>
      </x:c>
      <x:c r="C4390" s="7" t="n">
        <x:v>45915</x:v>
      </x:c>
      <x:c r="D4390" s="2" t="str">
        <x:v>Completed</x:v>
      </x:c>
      <x:c r="E4390" s="2" t="str">
        <x:v>East</x:v>
      </x:c>
      <x:c r="F4390" s="2" t="str">
        <x:v>Online</x:v>
      </x:c>
      <x:c r="G4390" s="2" t="str">
        <x:v>Lighting</x:v>
      </x:c>
      <x:c r="H4390" s="2" t="str">
        <x:v>Lamp 009</x:v>
      </x:c>
      <x:c r="I4390" s="11" t="n">
        <x:v>2</x:v>
      </x:c>
      <x:c r="J4390" s="9" t="n">
        <x:v>93</x:v>
      </x:c>
      <x:c r="K4390" s="10" t="n">
        <x:v>0</x:v>
      </x:c>
      <x:c r="L4390" s="11" t="n">
        <x:v>0</x:v>
      </x:c>
      <x:c r="M4390" s="9" t="n">
        <x:f>IF(D4390="Completed",I4390*J4390,0)</x:f>
        <x:v>186</x:v>
      </x:c>
      <x:c r="N4390" s="9" t="n">
        <x:f>M4390*K4390</x:f>
        <x:v>0</x:v>
      </x:c>
      <x:c r="O4390" s="9" t="n">
        <x:f>M4390-N4390</x:f>
        <x:v>186</x:v>
      </x:c>
      <x:c r="P4390" s="9" t="n">
        <x:f>IF(D4390="Completed",L4390*J4390*(1-K4390),0)</x:f>
        <x:v>0</x:v>
      </x:c>
      <x:c r="Q4390" s="9" t="n">
        <x:f>O4390-P4390</x:f>
        <x:v>186</x:v>
      </x:c>
      <x:c r="R4390" s="11" t="n">
        <x:f>IF(D4390="Completed",I4390,0)</x:f>
        <x:v>2</x:v>
      </x:c>
      <x:c r="S4390" s="11" t="n">
        <x:f>IF(D4390="Completed",L4390,0)</x:f>
        <x:v>0</x:v>
      </x:c>
      <x:c r="T4390" s="8" t="n">
        <x:f>DATE(YEAR(C4390),MONTH(C4390),1)</x:f>
        <x:v>45901</x:v>
      </x:c>
    </x:row>
    <x:row r="4391" ht="22" customHeight="1">
      <x:c r="A4391" s="2" t="str">
        <x:v>L004387</x:v>
      </x:c>
      <x:c r="B4391" s="2" t="str">
        <x:v>O01779</x:v>
      </x:c>
      <x:c r="C4391" s="7" t="n">
        <x:v>45726</x:v>
      </x:c>
      <x:c r="D4391" s="2" t="str">
        <x:v>Completed</x:v>
      </x:c>
      <x:c r="E4391" s="2" t="str">
        <x:v>East</x:v>
      </x:c>
      <x:c r="F4391" s="2" t="str">
        <x:v>Online</x:v>
      </x:c>
      <x:c r="G4391" s="2" t="str">
        <x:v>Furniture</x:v>
      </x:c>
      <x:c r="H4391" s="2" t="str">
        <x:v>Chair 022</x:v>
      </x:c>
      <x:c r="I4391" s="11" t="n">
        <x:v>1</x:v>
      </x:c>
      <x:c r="J4391" s="9" t="n">
        <x:v>134</x:v>
      </x:c>
      <x:c r="K4391" s="10" t="n">
        <x:v>0.1</x:v>
      </x:c>
      <x:c r="L4391" s="11" t="n">
        <x:v>0</x:v>
      </x:c>
      <x:c r="M4391" s="9" t="n">
        <x:f>IF(D4391="Completed",I4391*J4391,0)</x:f>
        <x:v>134</x:v>
      </x:c>
      <x:c r="N4391" s="9" t="n">
        <x:f>M4391*K4391</x:f>
        <x:v>13.4</x:v>
      </x:c>
      <x:c r="O4391" s="9" t="n">
        <x:f>M4391-N4391</x:f>
        <x:v>120.6</x:v>
      </x:c>
      <x:c r="P4391" s="9" t="n">
        <x:f>IF(D4391="Completed",L4391*J4391*(1-K4391),0)</x:f>
        <x:v>0</x:v>
      </x:c>
      <x:c r="Q4391" s="9" t="n">
        <x:f>O4391-P4391</x:f>
        <x:v>120.6</x:v>
      </x:c>
      <x:c r="R4391" s="11" t="n">
        <x:f>IF(D4391="Completed",I4391,0)</x:f>
        <x:v>1</x:v>
      </x:c>
      <x:c r="S4391" s="11" t="n">
        <x:f>IF(D4391="Completed",L4391,0)</x:f>
        <x:v>0</x:v>
      </x:c>
      <x:c r="T4391" s="8" t="n">
        <x:f>DATE(YEAR(C4391),MONTH(C4391),1)</x:f>
        <x:v>45717</x:v>
      </x:c>
    </x:row>
    <x:row r="4392" ht="22" customHeight="1">
      <x:c r="A4392" s="2" t="str">
        <x:v>L004388</x:v>
      </x:c>
      <x:c r="B4392" s="2" t="str">
        <x:v>O01779</x:v>
      </x:c>
      <x:c r="C4392" s="7" t="n">
        <x:v>45726</x:v>
      </x:c>
      <x:c r="D4392" s="2" t="str">
        <x:v>Completed</x:v>
      </x:c>
      <x:c r="E4392" s="2" t="str">
        <x:v>East</x:v>
      </x:c>
      <x:c r="F4392" s="2" t="str">
        <x:v>Online</x:v>
      </x:c>
      <x:c r="G4392" s="2" t="str">
        <x:v>Furniture</x:v>
      </x:c>
      <x:c r="H4392" s="2" t="str">
        <x:v>Desk 008</x:v>
      </x:c>
      <x:c r="I4392" s="11" t="n">
        <x:v>1</x:v>
      </x:c>
      <x:c r="J4392" s="9" t="n">
        <x:v>188</x:v>
      </x:c>
      <x:c r="K4392" s="10" t="n">
        <x:v>0</x:v>
      </x:c>
      <x:c r="L4392" s="11" t="n">
        <x:v>0</x:v>
      </x:c>
      <x:c r="M4392" s="9" t="n">
        <x:f>IF(D4392="Completed",I4392*J4392,0)</x:f>
        <x:v>188</x:v>
      </x:c>
      <x:c r="N4392" s="9" t="n">
        <x:f>M4392*K4392</x:f>
        <x:v>0</x:v>
      </x:c>
      <x:c r="O4392" s="9" t="n">
        <x:f>M4392-N4392</x:f>
        <x:v>188</x:v>
      </x:c>
      <x:c r="P4392" s="9" t="n">
        <x:f>IF(D4392="Completed",L4392*J4392*(1-K4392),0)</x:f>
        <x:v>0</x:v>
      </x:c>
      <x:c r="Q4392" s="9" t="n">
        <x:f>O4392-P4392</x:f>
        <x:v>188</x:v>
      </x:c>
      <x:c r="R4392" s="11" t="n">
        <x:f>IF(D4392="Completed",I4392,0)</x:f>
        <x:v>1</x:v>
      </x:c>
      <x:c r="S4392" s="11" t="n">
        <x:f>IF(D4392="Completed",L4392,0)</x:f>
        <x:v>0</x:v>
      </x:c>
      <x:c r="T4392" s="8" t="n">
        <x:f>DATE(YEAR(C4392),MONTH(C4392),1)</x:f>
        <x:v>45717</x:v>
      </x:c>
    </x:row>
    <x:row r="4393" ht="22" customHeight="1">
      <x:c r="A4393" s="2" t="str">
        <x:v>L004389</x:v>
      </x:c>
      <x:c r="B4393" s="2" t="str">
        <x:v>O01779</x:v>
      </x:c>
      <x:c r="C4393" s="7" t="n">
        <x:v>45726</x:v>
      </x:c>
      <x:c r="D4393" s="2" t="str">
        <x:v>Completed</x:v>
      </x:c>
      <x:c r="E4393" s="2" t="str">
        <x:v>East</x:v>
      </x:c>
      <x:c r="F4393" s="2" t="str">
        <x:v>Online</x:v>
      </x:c>
      <x:c r="G4393" s="2" t="str">
        <x:v>Lighting</x:v>
      </x:c>
      <x:c r="H4393" s="2" t="str">
        <x:v>Lamp 021</x:v>
      </x:c>
      <x:c r="I4393" s="11" t="n">
        <x:v>1</x:v>
      </x:c>
      <x:c r="J4393" s="9" t="n">
        <x:v>249</x:v>
      </x:c>
      <x:c r="K4393" s="10" t="n">
        <x:v>0</x:v>
      </x:c>
      <x:c r="L4393" s="11" t="n">
        <x:v>0</x:v>
      </x:c>
      <x:c r="M4393" s="9" t="n">
        <x:f>IF(D4393="Completed",I4393*J4393,0)</x:f>
        <x:v>249</x:v>
      </x:c>
      <x:c r="N4393" s="9" t="n">
        <x:f>M4393*K4393</x:f>
        <x:v>0</x:v>
      </x:c>
      <x:c r="O4393" s="9" t="n">
        <x:f>M4393-N4393</x:f>
        <x:v>249</x:v>
      </x:c>
      <x:c r="P4393" s="9" t="n">
        <x:f>IF(D4393="Completed",L4393*J4393*(1-K4393),0)</x:f>
        <x:v>0</x:v>
      </x:c>
      <x:c r="Q4393" s="9" t="n">
        <x:f>O4393-P4393</x:f>
        <x:v>249</x:v>
      </x:c>
      <x:c r="R4393" s="11" t="n">
        <x:f>IF(D4393="Completed",I4393,0)</x:f>
        <x:v>1</x:v>
      </x:c>
      <x:c r="S4393" s="11" t="n">
        <x:f>IF(D4393="Completed",L4393,0)</x:f>
        <x:v>0</x:v>
      </x:c>
      <x:c r="T4393" s="8" t="n">
        <x:f>DATE(YEAR(C4393),MONTH(C4393),1)</x:f>
        <x:v>45717</x:v>
      </x:c>
    </x:row>
    <x:row r="4394" ht="22" customHeight="1">
      <x:c r="A4394" s="2" t="str">
        <x:v>L004390</x:v>
      </x:c>
      <x:c r="B4394" s="2" t="str">
        <x:v>O01779</x:v>
      </x:c>
      <x:c r="C4394" s="7" t="n">
        <x:v>45726</x:v>
      </x:c>
      <x:c r="D4394" s="2" t="str">
        <x:v>Completed</x:v>
      </x:c>
      <x:c r="E4394" s="2" t="str">
        <x:v>East</x:v>
      </x:c>
      <x:c r="F4394" s="2" t="str">
        <x:v>Online</x:v>
      </x:c>
      <x:c r="G4394" s="2" t="str">
        <x:v>Furniture</x:v>
      </x:c>
      <x:c r="H4394" s="2" t="str">
        <x:v>Chair 006</x:v>
      </x:c>
      <x:c r="I4394" s="11" t="n">
        <x:v>1</x:v>
      </x:c>
      <x:c r="J4394" s="9" t="n">
        <x:v>196</x:v>
      </x:c>
      <x:c r="K4394" s="10" t="n">
        <x:v>0.1</x:v>
      </x:c>
      <x:c r="L4394" s="11" t="n">
        <x:v>0</x:v>
      </x:c>
      <x:c r="M4394" s="9" t="n">
        <x:f>IF(D4394="Completed",I4394*J4394,0)</x:f>
        <x:v>196</x:v>
      </x:c>
      <x:c r="N4394" s="9" t="n">
        <x:f>M4394*K4394</x:f>
        <x:v>19.6</x:v>
      </x:c>
      <x:c r="O4394" s="9" t="n">
        <x:f>M4394-N4394</x:f>
        <x:v>176.4</x:v>
      </x:c>
      <x:c r="P4394" s="9" t="n">
        <x:f>IF(D4394="Completed",L4394*J4394*(1-K4394),0)</x:f>
        <x:v>0</x:v>
      </x:c>
      <x:c r="Q4394" s="9" t="n">
        <x:f>O4394-P4394</x:f>
        <x:v>176.4</x:v>
      </x:c>
      <x:c r="R4394" s="11" t="n">
        <x:f>IF(D4394="Completed",I4394,0)</x:f>
        <x:v>1</x:v>
      </x:c>
      <x:c r="S4394" s="11" t="n">
        <x:f>IF(D4394="Completed",L4394,0)</x:f>
        <x:v>0</x:v>
      </x:c>
      <x:c r="T4394" s="8" t="n">
        <x:f>DATE(YEAR(C4394),MONTH(C4394),1)</x:f>
        <x:v>45717</x:v>
      </x:c>
    </x:row>
    <x:row r="4395" ht="22" customHeight="1">
      <x:c r="A4395" s="2" t="str">
        <x:v>L004391</x:v>
      </x:c>
      <x:c r="B4395" s="2" t="str">
        <x:v>O01780</x:v>
      </x:c>
      <x:c r="C4395" s="7" t="n">
        <x:v>45985</x:v>
      </x:c>
      <x:c r="D4395" s="2" t="str">
        <x:v>Completed</x:v>
      </x:c>
      <x:c r="E4395" s="2" t="str">
        <x:v>North</x:v>
      </x:c>
      <x:c r="F4395" s="2" t="str">
        <x:v>Store</x:v>
      </x:c>
      <x:c r="G4395" s="2" t="str">
        <x:v>Furniture</x:v>
      </x:c>
      <x:c r="H4395" s="2" t="str">
        <x:v>Desk 004</x:v>
      </x:c>
      <x:c r="I4395" s="11" t="n">
        <x:v>5</x:v>
      </x:c>
      <x:c r="J4395" s="9" t="n">
        <x:v>123</x:v>
      </x:c>
      <x:c r="K4395" s="10" t="n">
        <x:v>0</x:v>
      </x:c>
      <x:c r="L4395" s="11" t="n">
        <x:v>0</x:v>
      </x:c>
      <x:c r="M4395" s="9" t="n">
        <x:f>IF(D4395="Completed",I4395*J4395,0)</x:f>
        <x:v>615</x:v>
      </x:c>
      <x:c r="N4395" s="9" t="n">
        <x:f>M4395*K4395</x:f>
        <x:v>0</x:v>
      </x:c>
      <x:c r="O4395" s="9" t="n">
        <x:f>M4395-N4395</x:f>
        <x:v>615</x:v>
      </x:c>
      <x:c r="P4395" s="9" t="n">
        <x:f>IF(D4395="Completed",L4395*J4395*(1-K4395),0)</x:f>
        <x:v>0</x:v>
      </x:c>
      <x:c r="Q4395" s="9" t="n">
        <x:f>O4395-P4395</x:f>
        <x:v>615</x:v>
      </x:c>
      <x:c r="R4395" s="11" t="n">
        <x:f>IF(D4395="Completed",I4395,0)</x:f>
        <x:v>5</x:v>
      </x:c>
      <x:c r="S4395" s="11" t="n">
        <x:f>IF(D4395="Completed",L4395,0)</x:f>
        <x:v>0</x:v>
      </x:c>
      <x:c r="T4395" s="8" t="n">
        <x:f>DATE(YEAR(C4395),MONTH(C4395),1)</x:f>
        <x:v>45962</x:v>
      </x:c>
    </x:row>
    <x:row r="4396" ht="22" customHeight="1">
      <x:c r="A4396" s="2" t="str">
        <x:v>L004392</x:v>
      </x:c>
      <x:c r="B4396" s="2" t="str">
        <x:v>O01780</x:v>
      </x:c>
      <x:c r="C4396" s="7" t="n">
        <x:v>45985</x:v>
      </x:c>
      <x:c r="D4396" s="2" t="str">
        <x:v>Completed</x:v>
      </x:c>
      <x:c r="E4396" s="2" t="str">
        <x:v>North</x:v>
      </x:c>
      <x:c r="F4396" s="2" t="str">
        <x:v>Store</x:v>
      </x:c>
      <x:c r="G4396" s="2" t="str">
        <x:v>Furniture</x:v>
      </x:c>
      <x:c r="H4396" s="2" t="str">
        <x:v>Desk 004</x:v>
      </x:c>
      <x:c r="I4396" s="11" t="n">
        <x:v>2</x:v>
      </x:c>
      <x:c r="J4396" s="9" t="n">
        <x:v>123</x:v>
      </x:c>
      <x:c r="K4396" s="10" t="n">
        <x:v>0.05</x:v>
      </x:c>
      <x:c r="L4396" s="11" t="n">
        <x:v>0</x:v>
      </x:c>
      <x:c r="M4396" s="9" t="n">
        <x:f>IF(D4396="Completed",I4396*J4396,0)</x:f>
        <x:v>246</x:v>
      </x:c>
      <x:c r="N4396" s="9" t="n">
        <x:f>M4396*K4396</x:f>
        <x:v>12.3</x:v>
      </x:c>
      <x:c r="O4396" s="9" t="n">
        <x:f>M4396-N4396</x:f>
        <x:v>233.7</x:v>
      </x:c>
      <x:c r="P4396" s="9" t="n">
        <x:f>IF(D4396="Completed",L4396*J4396*(1-K4396),0)</x:f>
        <x:v>0</x:v>
      </x:c>
      <x:c r="Q4396" s="9" t="n">
        <x:f>O4396-P4396</x:f>
        <x:v>233.7</x:v>
      </x:c>
      <x:c r="R4396" s="11" t="n">
        <x:f>IF(D4396="Completed",I4396,0)</x:f>
        <x:v>2</x:v>
      </x:c>
      <x:c r="S4396" s="11" t="n">
        <x:f>IF(D4396="Completed",L4396,0)</x:f>
        <x:v>0</x:v>
      </x:c>
      <x:c r="T4396" s="8" t="n">
        <x:f>DATE(YEAR(C4396),MONTH(C4396),1)</x:f>
        <x:v>45962</x:v>
      </x:c>
    </x:row>
    <x:row r="4397" ht="22" customHeight="1">
      <x:c r="A4397" s="2" t="str">
        <x:v>L004393</x:v>
      </x:c>
      <x:c r="B4397" s="2" t="str">
        <x:v>O01780</x:v>
      </x:c>
      <x:c r="C4397" s="7" t="n">
        <x:v>45985</x:v>
      </x:c>
      <x:c r="D4397" s="2" t="str">
        <x:v>Completed</x:v>
      </x:c>
      <x:c r="E4397" s="2" t="str">
        <x:v>North</x:v>
      </x:c>
      <x:c r="F4397" s="2" t="str">
        <x:v>Store</x:v>
      </x:c>
      <x:c r="G4397" s="2" t="str">
        <x:v>Furniture</x:v>
      </x:c>
      <x:c r="H4397" s="2" t="str">
        <x:v>Chair 006</x:v>
      </x:c>
      <x:c r="I4397" s="11" t="n">
        <x:v>3</x:v>
      </x:c>
      <x:c r="J4397" s="9" t="n">
        <x:v>196</x:v>
      </x:c>
      <x:c r="K4397" s="10" t="n">
        <x:v>0.1</x:v>
      </x:c>
      <x:c r="L4397" s="11" t="n">
        <x:v>0</x:v>
      </x:c>
      <x:c r="M4397" s="9" t="n">
        <x:f>IF(D4397="Completed",I4397*J4397,0)</x:f>
        <x:v>588</x:v>
      </x:c>
      <x:c r="N4397" s="9" t="n">
        <x:f>M4397*K4397</x:f>
        <x:v>58.800000000000004</x:v>
      </x:c>
      <x:c r="O4397" s="9" t="n">
        <x:f>M4397-N4397</x:f>
        <x:v>529.2</x:v>
      </x:c>
      <x:c r="P4397" s="9" t="n">
        <x:f>IF(D4397="Completed",L4397*J4397*(1-K4397),0)</x:f>
        <x:v>0</x:v>
      </x:c>
      <x:c r="Q4397" s="9" t="n">
        <x:f>O4397-P4397</x:f>
        <x:v>529.2</x:v>
      </x:c>
      <x:c r="R4397" s="11" t="n">
        <x:f>IF(D4397="Completed",I4397,0)</x:f>
        <x:v>3</x:v>
      </x:c>
      <x:c r="S4397" s="11" t="n">
        <x:f>IF(D4397="Completed",L4397,0)</x:f>
        <x:v>0</x:v>
      </x:c>
      <x:c r="T4397" s="8" t="n">
        <x:f>DATE(YEAR(C4397),MONTH(C4397),1)</x:f>
        <x:v>45962</x:v>
      </x:c>
    </x:row>
    <x:row r="4398" ht="22" customHeight="1">
      <x:c r="A4398" s="2" t="str">
        <x:v>L004394</x:v>
      </x:c>
      <x:c r="B4398" s="2" t="str">
        <x:v>O01781</x:v>
      </x:c>
      <x:c r="C4398" s="7" t="n">
        <x:v>46000</x:v>
      </x:c>
      <x:c r="D4398" s="2" t="str">
        <x:v>Completed</x:v>
      </x:c>
      <x:c r="E4398" s="2" t="str">
        <x:v>South</x:v>
      </x:c>
      <x:c r="F4398" s="2" t="str">
        <x:v>Store</x:v>
      </x:c>
      <x:c r="G4398" s="2" t="str">
        <x:v>Furniture</x:v>
      </x:c>
      <x:c r="H4398" s="2" t="str">
        <x:v>Desk 008</x:v>
      </x:c>
      <x:c r="I4398" s="11" t="n">
        <x:v>2</x:v>
      </x:c>
      <x:c r="J4398" s="9" t="n">
        <x:v>188</x:v>
      </x:c>
      <x:c r="K4398" s="10" t="n">
        <x:v>0.1</x:v>
      </x:c>
      <x:c r="L4398" s="11" t="n">
        <x:v>1</x:v>
      </x:c>
      <x:c r="M4398" s="9" t="n">
        <x:f>IF(D4398="Completed",I4398*J4398,0)</x:f>
        <x:v>376</x:v>
      </x:c>
      <x:c r="N4398" s="9" t="n">
        <x:f>M4398*K4398</x:f>
        <x:v>37.6</x:v>
      </x:c>
      <x:c r="O4398" s="9" t="n">
        <x:f>M4398-N4398</x:f>
        <x:v>338.4</x:v>
      </x:c>
      <x:c r="P4398" s="9" t="n">
        <x:f>IF(D4398="Completed",L4398*J4398*(1-K4398),0)</x:f>
        <x:v>169.20000000000002</x:v>
      </x:c>
      <x:c r="Q4398" s="9" t="n">
        <x:f>O4398-P4398</x:f>
        <x:v>169.19999999999996</x:v>
      </x:c>
      <x:c r="R4398" s="11" t="n">
        <x:f>IF(D4398="Completed",I4398,0)</x:f>
        <x:v>2</x:v>
      </x:c>
      <x:c r="S4398" s="11" t="n">
        <x:f>IF(D4398="Completed",L4398,0)</x:f>
        <x:v>1</x:v>
      </x:c>
      <x:c r="T4398" s="8" t="n">
        <x:f>DATE(YEAR(C4398),MONTH(C4398),1)</x:f>
        <x:v>45992</x:v>
      </x:c>
    </x:row>
    <x:row r="4399" ht="22" customHeight="1">
      <x:c r="A4399" s="2" t="str">
        <x:v>L004395</x:v>
      </x:c>
      <x:c r="B4399" s="2" t="str">
        <x:v>O01781</x:v>
      </x:c>
      <x:c r="C4399" s="7" t="n">
        <x:v>46000</x:v>
      </x:c>
      <x:c r="D4399" s="2" t="str">
        <x:v>Completed</x:v>
      </x:c>
      <x:c r="E4399" s="2" t="str">
        <x:v>South</x:v>
      </x:c>
      <x:c r="F4399" s="2" t="str">
        <x:v>Store</x:v>
      </x:c>
      <x:c r="G4399" s="2" t="str">
        <x:v>Lighting</x:v>
      </x:c>
      <x:c r="H4399" s="2" t="str">
        <x:v>Lamp 017</x:v>
      </x:c>
      <x:c r="I4399" s="11" t="n">
        <x:v>3</x:v>
      </x:c>
      <x:c r="J4399" s="9" t="n">
        <x:v>300</x:v>
      </x:c>
      <x:c r="K4399" s="10" t="n">
        <x:v>0</x:v>
      </x:c>
      <x:c r="L4399" s="11" t="n">
        <x:v>0</x:v>
      </x:c>
      <x:c r="M4399" s="9" t="n">
        <x:f>IF(D4399="Completed",I4399*J4399,0)</x:f>
        <x:v>900</x:v>
      </x:c>
      <x:c r="N4399" s="9" t="n">
        <x:f>M4399*K4399</x:f>
        <x:v>0</x:v>
      </x:c>
      <x:c r="O4399" s="9" t="n">
        <x:f>M4399-N4399</x:f>
        <x:v>900</x:v>
      </x:c>
      <x:c r="P4399" s="9" t="n">
        <x:f>IF(D4399="Completed",L4399*J4399*(1-K4399),0)</x:f>
        <x:v>0</x:v>
      </x:c>
      <x:c r="Q4399" s="9" t="n">
        <x:f>O4399-P4399</x:f>
        <x:v>900</x:v>
      </x:c>
      <x:c r="R4399" s="11" t="n">
        <x:f>IF(D4399="Completed",I4399,0)</x:f>
        <x:v>3</x:v>
      </x:c>
      <x:c r="S4399" s="11" t="n">
        <x:f>IF(D4399="Completed",L4399,0)</x:f>
        <x:v>0</x:v>
      </x:c>
      <x:c r="T4399" s="8" t="n">
        <x:f>DATE(YEAR(C4399),MONTH(C4399),1)</x:f>
        <x:v>45992</x:v>
      </x:c>
    </x:row>
    <x:row r="4400" ht="22" customHeight="1">
      <x:c r="A4400" s="2" t="str">
        <x:v>L004396</x:v>
      </x:c>
      <x:c r="B4400" s="2" t="str">
        <x:v>O01781</x:v>
      </x:c>
      <x:c r="C4400" s="7" t="n">
        <x:v>46000</x:v>
      </x:c>
      <x:c r="D4400" s="2" t="str">
        <x:v>Completed</x:v>
      </x:c>
      <x:c r="E4400" s="2" t="str">
        <x:v>South</x:v>
      </x:c>
      <x:c r="F4400" s="2" t="str">
        <x:v>Store</x:v>
      </x:c>
      <x:c r="G4400" s="2" t="str">
        <x:v>Furniture</x:v>
      </x:c>
      <x:c r="H4400" s="2" t="str">
        <x:v>Desk 012</x:v>
      </x:c>
      <x:c r="I4400" s="11" t="n">
        <x:v>5</x:v>
      </x:c>
      <x:c r="J4400" s="9" t="n">
        <x:v>134</x:v>
      </x:c>
      <x:c r="K4400" s="10" t="n">
        <x:v>0.2</x:v>
      </x:c>
      <x:c r="L4400" s="11" t="n">
        <x:v>0</x:v>
      </x:c>
      <x:c r="M4400" s="9" t="n">
        <x:f>IF(D4400="Completed",I4400*J4400,0)</x:f>
        <x:v>670</x:v>
      </x:c>
      <x:c r="N4400" s="9" t="n">
        <x:f>M4400*K4400</x:f>
        <x:v>134</x:v>
      </x:c>
      <x:c r="O4400" s="9" t="n">
        <x:f>M4400-N4400</x:f>
        <x:v>536</x:v>
      </x:c>
      <x:c r="P4400" s="9" t="n">
        <x:f>IF(D4400="Completed",L4400*J4400*(1-K4400),0)</x:f>
        <x:v>0</x:v>
      </x:c>
      <x:c r="Q4400" s="9" t="n">
        <x:f>O4400-P4400</x:f>
        <x:v>536</x:v>
      </x:c>
      <x:c r="R4400" s="11" t="n">
        <x:f>IF(D4400="Completed",I4400,0)</x:f>
        <x:v>5</x:v>
      </x:c>
      <x:c r="S4400" s="11" t="n">
        <x:f>IF(D4400="Completed",L4400,0)</x:f>
        <x:v>0</x:v>
      </x:c>
      <x:c r="T4400" s="8" t="n">
        <x:f>DATE(YEAR(C4400),MONTH(C4400),1)</x:f>
        <x:v>45992</x:v>
      </x:c>
    </x:row>
    <x:row r="4401" ht="22" customHeight="1">
      <x:c r="A4401" s="2" t="str">
        <x:v>L004397</x:v>
      </x:c>
      <x:c r="B4401" s="2" t="str">
        <x:v>O01782</x:v>
      </x:c>
      <x:c r="C4401" s="7" t="n">
        <x:v>45870</x:v>
      </x:c>
      <x:c r="D4401" s="2" t="str">
        <x:v>Completed</x:v>
      </x:c>
      <x:c r="E4401" s="2" t="str">
        <x:v>North</x:v>
      </x:c>
      <x:c r="F4401" s="2" t="str">
        <x:v>Store</x:v>
      </x:c>
      <x:c r="G4401" s="2" t="str">
        <x:v>Lighting</x:v>
      </x:c>
      <x:c r="H4401" s="2" t="str">
        <x:v>Lamp 009</x:v>
      </x:c>
      <x:c r="I4401" s="11" t="n">
        <x:v>3</x:v>
      </x:c>
      <x:c r="J4401" s="9" t="n">
        <x:v>93</x:v>
      </x:c>
      <x:c r="K4401" s="10" t="n">
        <x:v>0.05</x:v>
      </x:c>
      <x:c r="L4401" s="11" t="n">
        <x:v>0</x:v>
      </x:c>
      <x:c r="M4401" s="9" t="n">
        <x:f>IF(D4401="Completed",I4401*J4401,0)</x:f>
        <x:v>279</x:v>
      </x:c>
      <x:c r="N4401" s="9" t="n">
        <x:f>M4401*K4401</x:f>
        <x:v>13.950000000000001</x:v>
      </x:c>
      <x:c r="O4401" s="9" t="n">
        <x:f>M4401-N4401</x:f>
        <x:v>265.05</x:v>
      </x:c>
      <x:c r="P4401" s="9" t="n">
        <x:f>IF(D4401="Completed",L4401*J4401*(1-K4401),0)</x:f>
        <x:v>0</x:v>
      </x:c>
      <x:c r="Q4401" s="9" t="n">
        <x:f>O4401-P4401</x:f>
        <x:v>265.05</x:v>
      </x:c>
      <x:c r="R4401" s="11" t="n">
        <x:f>IF(D4401="Completed",I4401,0)</x:f>
        <x:v>3</x:v>
      </x:c>
      <x:c r="S4401" s="11" t="n">
        <x:f>IF(D4401="Completed",L4401,0)</x:f>
        <x:v>0</x:v>
      </x:c>
      <x:c r="T4401" s="8" t="n">
        <x:f>DATE(YEAR(C4401),MONTH(C4401),1)</x:f>
        <x:v>45870</x:v>
      </x:c>
    </x:row>
    <x:row r="4402" ht="22" customHeight="1">
      <x:c r="A4402" s="2" t="str">
        <x:v>L004398</x:v>
      </x:c>
      <x:c r="B4402" s="2" t="str">
        <x:v>O01782</x:v>
      </x:c>
      <x:c r="C4402" s="7" t="n">
        <x:v>45870</x:v>
      </x:c>
      <x:c r="D4402" s="2" t="str">
        <x:v>Completed</x:v>
      </x:c>
      <x:c r="E4402" s="2" t="str">
        <x:v>North</x:v>
      </x:c>
      <x:c r="F4402" s="2" t="str">
        <x:v>Store</x:v>
      </x:c>
      <x:c r="G4402" s="2" t="str">
        <x:v>Furniture</x:v>
      </x:c>
      <x:c r="H4402" s="2" t="str">
        <x:v>Desk 024</x:v>
      </x:c>
      <x:c r="I4402" s="11" t="n">
        <x:v>2</x:v>
      </x:c>
      <x:c r="J4402" s="9" t="n">
        <x:v>81</x:v>
      </x:c>
      <x:c r="K4402" s="10" t="n">
        <x:v>0.1</x:v>
      </x:c>
      <x:c r="L4402" s="11" t="n">
        <x:v>0</x:v>
      </x:c>
      <x:c r="M4402" s="9" t="n">
        <x:f>IF(D4402="Completed",I4402*J4402,0)</x:f>
        <x:v>162</x:v>
      </x:c>
      <x:c r="N4402" s="9" t="n">
        <x:f>M4402*K4402</x:f>
        <x:v>16.2</x:v>
      </x:c>
      <x:c r="O4402" s="9" t="n">
        <x:f>M4402-N4402</x:f>
        <x:v>145.8</x:v>
      </x:c>
      <x:c r="P4402" s="9" t="n">
        <x:f>IF(D4402="Completed",L4402*J4402*(1-K4402),0)</x:f>
        <x:v>0</x:v>
      </x:c>
      <x:c r="Q4402" s="9" t="n">
        <x:f>O4402-P4402</x:f>
        <x:v>145.8</x:v>
      </x:c>
      <x:c r="R4402" s="11" t="n">
        <x:f>IF(D4402="Completed",I4402,0)</x:f>
        <x:v>2</x:v>
      </x:c>
      <x:c r="S4402" s="11" t="n">
        <x:f>IF(D4402="Completed",L4402,0)</x:f>
        <x:v>0</x:v>
      </x:c>
      <x:c r="T4402" s="8" t="n">
        <x:f>DATE(YEAR(C4402),MONTH(C4402),1)</x:f>
        <x:v>45870</x:v>
      </x:c>
    </x:row>
    <x:row r="4403" ht="22" customHeight="1">
      <x:c r="A4403" s="2" t="str">
        <x:v>L004399</x:v>
      </x:c>
      <x:c r="B4403" s="2" t="str">
        <x:v>O01782</x:v>
      </x:c>
      <x:c r="C4403" s="7" t="n">
        <x:v>45870</x:v>
      </x:c>
      <x:c r="D4403" s="2" t="str">
        <x:v>Completed</x:v>
      </x:c>
      <x:c r="E4403" s="2" t="str">
        <x:v>North</x:v>
      </x:c>
      <x:c r="F4403" s="2" t="str">
        <x:v>Store</x:v>
      </x:c>
      <x:c r="G4403" s="2" t="str">
        <x:v>Lighting</x:v>
      </x:c>
      <x:c r="H4403" s="2" t="str">
        <x:v>Lamp 017</x:v>
      </x:c>
      <x:c r="I4403" s="11" t="n">
        <x:v>3</x:v>
      </x:c>
      <x:c r="J4403" s="9" t="n">
        <x:v>300</x:v>
      </x:c>
      <x:c r="K4403" s="10" t="n">
        <x:v>0.1</x:v>
      </x:c>
      <x:c r="L4403" s="11" t="n">
        <x:v>0</x:v>
      </x:c>
      <x:c r="M4403" s="9" t="n">
        <x:f>IF(D4403="Completed",I4403*J4403,0)</x:f>
        <x:v>900</x:v>
      </x:c>
      <x:c r="N4403" s="9" t="n">
        <x:f>M4403*K4403</x:f>
        <x:v>90</x:v>
      </x:c>
      <x:c r="O4403" s="9" t="n">
        <x:f>M4403-N4403</x:f>
        <x:v>810</x:v>
      </x:c>
      <x:c r="P4403" s="9" t="n">
        <x:f>IF(D4403="Completed",L4403*J4403*(1-K4403),0)</x:f>
        <x:v>0</x:v>
      </x:c>
      <x:c r="Q4403" s="9" t="n">
        <x:f>O4403-P4403</x:f>
        <x:v>810</x:v>
      </x:c>
      <x:c r="R4403" s="11" t="n">
        <x:f>IF(D4403="Completed",I4403,0)</x:f>
        <x:v>3</x:v>
      </x:c>
      <x:c r="S4403" s="11" t="n">
        <x:f>IF(D4403="Completed",L4403,0)</x:f>
        <x:v>0</x:v>
      </x:c>
      <x:c r="T4403" s="8" t="n">
        <x:f>DATE(YEAR(C4403),MONTH(C4403),1)</x:f>
        <x:v>45870</x:v>
      </x:c>
    </x:row>
    <x:row r="4404" ht="22" customHeight="1">
      <x:c r="A4404" s="2" t="str">
        <x:v>L004400</x:v>
      </x:c>
      <x:c r="B4404" s="2" t="str">
        <x:v>O01782</x:v>
      </x:c>
      <x:c r="C4404" s="7" t="n">
        <x:v>45870</x:v>
      </x:c>
      <x:c r="D4404" s="2" t="str">
        <x:v>Completed</x:v>
      </x:c>
      <x:c r="E4404" s="2" t="str">
        <x:v>North</x:v>
      </x:c>
      <x:c r="F4404" s="2" t="str">
        <x:v>Store</x:v>
      </x:c>
      <x:c r="G4404" s="2" t="str">
        <x:v>Lighting</x:v>
      </x:c>
      <x:c r="H4404" s="2" t="str">
        <x:v>Lamp 017</x:v>
      </x:c>
      <x:c r="I4404" s="11" t="n">
        <x:v>2</x:v>
      </x:c>
      <x:c r="J4404" s="9" t="n">
        <x:v>300</x:v>
      </x:c>
      <x:c r="K4404" s="10" t="n">
        <x:v>0.2</x:v>
      </x:c>
      <x:c r="L4404" s="11" t="n">
        <x:v>0</x:v>
      </x:c>
      <x:c r="M4404" s="9" t="n">
        <x:f>IF(D4404="Completed",I4404*J4404,0)</x:f>
        <x:v>600</x:v>
      </x:c>
      <x:c r="N4404" s="9" t="n">
        <x:f>M4404*K4404</x:f>
        <x:v>120</x:v>
      </x:c>
      <x:c r="O4404" s="9" t="n">
        <x:f>M4404-N4404</x:f>
        <x:v>480</x:v>
      </x:c>
      <x:c r="P4404" s="9" t="n">
        <x:f>IF(D4404="Completed",L4404*J4404*(1-K4404),0)</x:f>
        <x:v>0</x:v>
      </x:c>
      <x:c r="Q4404" s="9" t="n">
        <x:f>O4404-P4404</x:f>
        <x:v>480</x:v>
      </x:c>
      <x:c r="R4404" s="11" t="n">
        <x:f>IF(D4404="Completed",I4404,0)</x:f>
        <x:v>2</x:v>
      </x:c>
      <x:c r="S4404" s="11" t="n">
        <x:f>IF(D4404="Completed",L4404,0)</x:f>
        <x:v>0</x:v>
      </x:c>
      <x:c r="T4404" s="8" t="n">
        <x:f>DATE(YEAR(C4404),MONTH(C4404),1)</x:f>
        <x:v>45870</x:v>
      </x:c>
    </x:row>
    <x:row r="4405" ht="22" customHeight="1">
      <x:c r="A4405" s="2" t="str">
        <x:v>L004401</x:v>
      </x:c>
      <x:c r="B4405" s="2" t="str">
        <x:v>O01783</x:v>
      </x:c>
      <x:c r="C4405" s="7" t="n">
        <x:v>45827</x:v>
      </x:c>
      <x:c r="D4405" s="2" t="str">
        <x:v>Completed</x:v>
      </x:c>
      <x:c r="E4405" s="2" t="str">
        <x:v>East</x:v>
      </x:c>
      <x:c r="F4405" s="2" t="str">
        <x:v>Online</x:v>
      </x:c>
      <x:c r="G4405" s="2" t="str">
        <x:v>Furniture</x:v>
      </x:c>
      <x:c r="H4405" s="2" t="str">
        <x:v>Chair 002</x:v>
      </x:c>
      <x:c r="I4405" s="11" t="n">
        <x:v>2</x:v>
      </x:c>
      <x:c r="J4405" s="9" t="n">
        <x:v>284</x:v>
      </x:c>
      <x:c r="K4405" s="10" t="n">
        <x:v>0.05</x:v>
      </x:c>
      <x:c r="L4405" s="11" t="n">
        <x:v>0</x:v>
      </x:c>
      <x:c r="M4405" s="9" t="n">
        <x:f>IF(D4405="Completed",I4405*J4405,0)</x:f>
        <x:v>568</x:v>
      </x:c>
      <x:c r="N4405" s="9" t="n">
        <x:f>M4405*K4405</x:f>
        <x:v>28.400000000000002</x:v>
      </x:c>
      <x:c r="O4405" s="9" t="n">
        <x:f>M4405-N4405</x:f>
        <x:v>539.6</x:v>
      </x:c>
      <x:c r="P4405" s="9" t="n">
        <x:f>IF(D4405="Completed",L4405*J4405*(1-K4405),0)</x:f>
        <x:v>0</x:v>
      </x:c>
      <x:c r="Q4405" s="9" t="n">
        <x:f>O4405-P4405</x:f>
        <x:v>539.6</x:v>
      </x:c>
      <x:c r="R4405" s="11" t="n">
        <x:f>IF(D4405="Completed",I4405,0)</x:f>
        <x:v>2</x:v>
      </x:c>
      <x:c r="S4405" s="11" t="n">
        <x:f>IF(D4405="Completed",L4405,0)</x:f>
        <x:v>0</x:v>
      </x:c>
      <x:c r="T4405" s="8" t="n">
        <x:f>DATE(YEAR(C4405),MONTH(C4405),1)</x:f>
        <x:v>45809</x:v>
      </x:c>
    </x:row>
    <x:row r="4406" ht="22" customHeight="1">
      <x:c r="A4406" s="2" t="str">
        <x:v>L004402</x:v>
      </x:c>
      <x:c r="B4406" s="2" t="str">
        <x:v>O01784</x:v>
      </x:c>
      <x:c r="C4406" s="7" t="n">
        <x:v>45897</x:v>
      </x:c>
      <x:c r="D4406" s="2" t="str">
        <x:v>Completed</x:v>
      </x:c>
      <x:c r="E4406" s="2" t="str">
        <x:v>South</x:v>
      </x:c>
      <x:c r="F4406" s="2" t="str">
        <x:v>Online</x:v>
      </x:c>
      <x:c r="G4406" s="2" t="str">
        <x:v>Lighting</x:v>
      </x:c>
      <x:c r="H4406" s="2" t="str">
        <x:v>Lamp 009</x:v>
      </x:c>
      <x:c r="I4406" s="11" t="n">
        <x:v>5</x:v>
      </x:c>
      <x:c r="J4406" s="9" t="n">
        <x:v>93</x:v>
      </x:c>
      <x:c r="K4406" s="10" t="n">
        <x:v>0.2</x:v>
      </x:c>
      <x:c r="L4406" s="11" t="n">
        <x:v>0</x:v>
      </x:c>
      <x:c r="M4406" s="9" t="n">
        <x:f>IF(D4406="Completed",I4406*J4406,0)</x:f>
        <x:v>465</x:v>
      </x:c>
      <x:c r="N4406" s="9" t="n">
        <x:f>M4406*K4406</x:f>
        <x:v>93</x:v>
      </x:c>
      <x:c r="O4406" s="9" t="n">
        <x:f>M4406-N4406</x:f>
        <x:v>372</x:v>
      </x:c>
      <x:c r="P4406" s="9" t="n">
        <x:f>IF(D4406="Completed",L4406*J4406*(1-K4406),0)</x:f>
        <x:v>0</x:v>
      </x:c>
      <x:c r="Q4406" s="9" t="n">
        <x:f>O4406-P4406</x:f>
        <x:v>372</x:v>
      </x:c>
      <x:c r="R4406" s="11" t="n">
        <x:f>IF(D4406="Completed",I4406,0)</x:f>
        <x:v>5</x:v>
      </x:c>
      <x:c r="S4406" s="11" t="n">
        <x:f>IF(D4406="Completed",L4406,0)</x:f>
        <x:v>0</x:v>
      </x:c>
      <x:c r="T4406" s="8" t="n">
        <x:f>DATE(YEAR(C4406),MONTH(C4406),1)</x:f>
        <x:v>45870</x:v>
      </x:c>
    </x:row>
    <x:row r="4407" ht="22" customHeight="1">
      <x:c r="A4407" s="2" t="str">
        <x:v>L004403</x:v>
      </x:c>
      <x:c r="B4407" s="2" t="str">
        <x:v>O01785</x:v>
      </x:c>
      <x:c r="C4407" s="7" t="n">
        <x:v>45686</x:v>
      </x:c>
      <x:c r="D4407" s="2" t="str">
        <x:v>Completed</x:v>
      </x:c>
      <x:c r="E4407" s="2" t="str">
        <x:v>West</x:v>
      </x:c>
      <x:c r="F4407" s="2" t="str">
        <x:v>Store</x:v>
      </x:c>
      <x:c r="G4407" s="2" t="str">
        <x:v>Furniture</x:v>
      </x:c>
      <x:c r="H4407" s="2" t="str">
        <x:v>Desk 016</x:v>
      </x:c>
      <x:c r="I4407" s="11" t="n">
        <x:v>1</x:v>
      </x:c>
      <x:c r="J4407" s="9" t="n">
        <x:v>231</x:v>
      </x:c>
      <x:c r="K4407" s="10" t="n">
        <x:v>0.2</x:v>
      </x:c>
      <x:c r="L4407" s="11" t="n">
        <x:v>0</x:v>
      </x:c>
      <x:c r="M4407" s="9" t="n">
        <x:f>IF(D4407="Completed",I4407*J4407,0)</x:f>
        <x:v>231</x:v>
      </x:c>
      <x:c r="N4407" s="9" t="n">
        <x:f>M4407*K4407</x:f>
        <x:v>46.2</x:v>
      </x:c>
      <x:c r="O4407" s="9" t="n">
        <x:f>M4407-N4407</x:f>
        <x:v>184.8</x:v>
      </x:c>
      <x:c r="P4407" s="9" t="n">
        <x:f>IF(D4407="Completed",L4407*J4407*(1-K4407),0)</x:f>
        <x:v>0</x:v>
      </x:c>
      <x:c r="Q4407" s="9" t="n">
        <x:f>O4407-P4407</x:f>
        <x:v>184.8</x:v>
      </x:c>
      <x:c r="R4407" s="11" t="n">
        <x:f>IF(D4407="Completed",I4407,0)</x:f>
        <x:v>1</x:v>
      </x:c>
      <x:c r="S4407" s="11" t="n">
        <x:f>IF(D4407="Completed",L4407,0)</x:f>
        <x:v>0</x:v>
      </x:c>
      <x:c r="T4407" s="8" t="n">
        <x:f>DATE(YEAR(C4407),MONTH(C4407),1)</x:f>
        <x:v>45658</x:v>
      </x:c>
    </x:row>
    <x:row r="4408" ht="22" customHeight="1">
      <x:c r="A4408" s="2" t="str">
        <x:v>L004404</x:v>
      </x:c>
      <x:c r="B4408" s="2" t="str">
        <x:v>O01786</x:v>
      </x:c>
      <x:c r="C4408" s="7" t="n">
        <x:v>45950</x:v>
      </x:c>
      <x:c r="D4408" s="2" t="str">
        <x:v>Completed</x:v>
      </x:c>
      <x:c r="E4408" s="2" t="str">
        <x:v>East</x:v>
      </x:c>
      <x:c r="F4408" s="2" t="str">
        <x:v>Store</x:v>
      </x:c>
      <x:c r="G4408" s="2" t="str">
        <x:v>Furniture</x:v>
      </x:c>
      <x:c r="H4408" s="2" t="str">
        <x:v>Desk 012</x:v>
      </x:c>
      <x:c r="I4408" s="11" t="n">
        <x:v>3</x:v>
      </x:c>
      <x:c r="J4408" s="9" t="n">
        <x:v>134</x:v>
      </x:c>
      <x:c r="K4408" s="10" t="n">
        <x:v>0.2</x:v>
      </x:c>
      <x:c r="L4408" s="11" t="n">
        <x:v>3</x:v>
      </x:c>
      <x:c r="M4408" s="9" t="n">
        <x:f>IF(D4408="Completed",I4408*J4408,0)</x:f>
        <x:v>402</x:v>
      </x:c>
      <x:c r="N4408" s="9" t="n">
        <x:f>M4408*K4408</x:f>
        <x:v>80.4</x:v>
      </x:c>
      <x:c r="O4408" s="9" t="n">
        <x:f>M4408-N4408</x:f>
        <x:v>321.6</x:v>
      </x:c>
      <x:c r="P4408" s="9" t="n">
        <x:f>IF(D4408="Completed",L4408*J4408*(1-K4408),0)</x:f>
        <x:v>321.6</x:v>
      </x:c>
      <x:c r="Q4408" s="9" t="n">
        <x:f>O4408-P4408</x:f>
        <x:v>0</x:v>
      </x:c>
      <x:c r="R4408" s="11" t="n">
        <x:f>IF(D4408="Completed",I4408,0)</x:f>
        <x:v>3</x:v>
      </x:c>
      <x:c r="S4408" s="11" t="n">
        <x:f>IF(D4408="Completed",L4408,0)</x:f>
        <x:v>3</x:v>
      </x:c>
      <x:c r="T4408" s="8" t="n">
        <x:f>DATE(YEAR(C4408),MONTH(C4408),1)</x:f>
        <x:v>45931</x:v>
      </x:c>
    </x:row>
    <x:row r="4409" ht="22" customHeight="1">
      <x:c r="A4409" s="2" t="str">
        <x:v>L004405</x:v>
      </x:c>
      <x:c r="B4409" s="2" t="str">
        <x:v>O01787</x:v>
      </x:c>
      <x:c r="C4409" s="7" t="n">
        <x:v>45973</x:v>
      </x:c>
      <x:c r="D4409" s="2" t="str">
        <x:v>Completed</x:v>
      </x:c>
      <x:c r="E4409" s="2" t="str">
        <x:v>West</x:v>
      </x:c>
      <x:c r="F4409" s="2" t="str">
        <x:v>Store</x:v>
      </x:c>
      <x:c r="G4409" s="2" t="str">
        <x:v>Furniture</x:v>
      </x:c>
      <x:c r="H4409" s="2" t="str">
        <x:v>Desk 016</x:v>
      </x:c>
      <x:c r="I4409" s="11" t="n">
        <x:v>4</x:v>
      </x:c>
      <x:c r="J4409" s="9" t="n">
        <x:v>231</x:v>
      </x:c>
      <x:c r="K4409" s="10" t="n">
        <x:v>0.05</x:v>
      </x:c>
      <x:c r="L4409" s="11" t="n">
        <x:v>0</x:v>
      </x:c>
      <x:c r="M4409" s="9" t="n">
        <x:f>IF(D4409="Completed",I4409*J4409,0)</x:f>
        <x:v>924</x:v>
      </x:c>
      <x:c r="N4409" s="9" t="n">
        <x:f>M4409*K4409</x:f>
        <x:v>46.2</x:v>
      </x:c>
      <x:c r="O4409" s="9" t="n">
        <x:f>M4409-N4409</x:f>
        <x:v>877.8</x:v>
      </x:c>
      <x:c r="P4409" s="9" t="n">
        <x:f>IF(D4409="Completed",L4409*J4409*(1-K4409),0)</x:f>
        <x:v>0</x:v>
      </x:c>
      <x:c r="Q4409" s="9" t="n">
        <x:f>O4409-P4409</x:f>
        <x:v>877.8</x:v>
      </x:c>
      <x:c r="R4409" s="11" t="n">
        <x:f>IF(D4409="Completed",I4409,0)</x:f>
        <x:v>4</x:v>
      </x:c>
      <x:c r="S4409" s="11" t="n">
        <x:f>IF(D4409="Completed",L4409,0)</x:f>
        <x:v>0</x:v>
      </x:c>
      <x:c r="T4409" s="8" t="n">
        <x:f>DATE(YEAR(C4409),MONTH(C4409),1)</x:f>
        <x:v>45962</x:v>
      </x:c>
    </x:row>
    <x:row r="4410" ht="22" customHeight="1">
      <x:c r="A4410" s="2" t="str">
        <x:v>L004406</x:v>
      </x:c>
      <x:c r="B4410" s="2" t="str">
        <x:v>O01787</x:v>
      </x:c>
      <x:c r="C4410" s="7" t="n">
        <x:v>45973</x:v>
      </x:c>
      <x:c r="D4410" s="2" t="str">
        <x:v>Completed</x:v>
      </x:c>
      <x:c r="E4410" s="2" t="str">
        <x:v>West</x:v>
      </x:c>
      <x:c r="F4410" s="2" t="str">
        <x:v>Store</x:v>
      </x:c>
      <x:c r="G4410" s="2" t="str">
        <x:v>Lighting</x:v>
      </x:c>
      <x:c r="H4410" s="2" t="str">
        <x:v>Lamp 005</x:v>
      </x:c>
      <x:c r="I4410" s="11" t="n">
        <x:v>5</x:v>
      </x:c>
      <x:c r="J4410" s="9" t="n">
        <x:v>65</x:v>
      </x:c>
      <x:c r="K4410" s="10" t="n">
        <x:v>0.2</x:v>
      </x:c>
      <x:c r="L4410" s="11" t="n">
        <x:v>0</x:v>
      </x:c>
      <x:c r="M4410" s="9" t="n">
        <x:f>IF(D4410="Completed",I4410*J4410,0)</x:f>
        <x:v>325</x:v>
      </x:c>
      <x:c r="N4410" s="9" t="n">
        <x:f>M4410*K4410</x:f>
        <x:v>65</x:v>
      </x:c>
      <x:c r="O4410" s="9" t="n">
        <x:f>M4410-N4410</x:f>
        <x:v>260</x:v>
      </x:c>
      <x:c r="P4410" s="9" t="n">
        <x:f>IF(D4410="Completed",L4410*J4410*(1-K4410),0)</x:f>
        <x:v>0</x:v>
      </x:c>
      <x:c r="Q4410" s="9" t="n">
        <x:f>O4410-P4410</x:f>
        <x:v>260</x:v>
      </x:c>
      <x:c r="R4410" s="11" t="n">
        <x:f>IF(D4410="Completed",I4410,0)</x:f>
        <x:v>5</x:v>
      </x:c>
      <x:c r="S4410" s="11" t="n">
        <x:f>IF(D4410="Completed",L4410,0)</x:f>
        <x:v>0</x:v>
      </x:c>
      <x:c r="T4410" s="8" t="n">
        <x:f>DATE(YEAR(C4410),MONTH(C4410),1)</x:f>
        <x:v>45962</x:v>
      </x:c>
    </x:row>
    <x:row r="4411" ht="22" customHeight="1">
      <x:c r="A4411" s="2" t="str">
        <x:v>L004407</x:v>
      </x:c>
      <x:c r="B4411" s="2" t="str">
        <x:v>O01787</x:v>
      </x:c>
      <x:c r="C4411" s="7" t="n">
        <x:v>45973</x:v>
      </x:c>
      <x:c r="D4411" s="2" t="str">
        <x:v>Completed</x:v>
      </x:c>
      <x:c r="E4411" s="2" t="str">
        <x:v>West</x:v>
      </x:c>
      <x:c r="F4411" s="2" t="str">
        <x:v>Store</x:v>
      </x:c>
      <x:c r="G4411" s="2" t="str">
        <x:v>Lighting</x:v>
      </x:c>
      <x:c r="H4411" s="2" t="str">
        <x:v>Lamp 001</x:v>
      </x:c>
      <x:c r="I4411" s="11" t="n">
        <x:v>2</x:v>
      </x:c>
      <x:c r="J4411" s="9" t="n">
        <x:v>122</x:v>
      </x:c>
      <x:c r="K4411" s="10" t="n">
        <x:v>0.05</x:v>
      </x:c>
      <x:c r="L4411" s="11" t="n">
        <x:v>0</x:v>
      </x:c>
      <x:c r="M4411" s="9" t="n">
        <x:f>IF(D4411="Completed",I4411*J4411,0)</x:f>
        <x:v>244</x:v>
      </x:c>
      <x:c r="N4411" s="9" t="n">
        <x:f>M4411*K4411</x:f>
        <x:v>12.200000000000001</x:v>
      </x:c>
      <x:c r="O4411" s="9" t="n">
        <x:f>M4411-N4411</x:f>
        <x:v>231.8</x:v>
      </x:c>
      <x:c r="P4411" s="9" t="n">
        <x:f>IF(D4411="Completed",L4411*J4411*(1-K4411),0)</x:f>
        <x:v>0</x:v>
      </x:c>
      <x:c r="Q4411" s="9" t="n">
        <x:f>O4411-P4411</x:f>
        <x:v>231.8</x:v>
      </x:c>
      <x:c r="R4411" s="11" t="n">
        <x:f>IF(D4411="Completed",I4411,0)</x:f>
        <x:v>2</x:v>
      </x:c>
      <x:c r="S4411" s="11" t="n">
        <x:f>IF(D4411="Completed",L4411,0)</x:f>
        <x:v>0</x:v>
      </x:c>
      <x:c r="T4411" s="8" t="n">
        <x:f>DATE(YEAR(C4411),MONTH(C4411),1)</x:f>
        <x:v>45962</x:v>
      </x:c>
    </x:row>
    <x:row r="4412" ht="22" customHeight="1">
      <x:c r="A4412" s="2" t="str">
        <x:v>L004408</x:v>
      </x:c>
      <x:c r="B4412" s="2" t="str">
        <x:v>O01788</x:v>
      </x:c>
      <x:c r="C4412" s="7" t="n">
        <x:v>45788</x:v>
      </x:c>
      <x:c r="D4412" s="2" t="str">
        <x:v>Completed</x:v>
      </x:c>
      <x:c r="E4412" s="2" t="str">
        <x:v>South</x:v>
      </x:c>
      <x:c r="F4412" s="2" t="str">
        <x:v>Online</x:v>
      </x:c>
      <x:c r="G4412" s="2" t="str">
        <x:v>Furniture</x:v>
      </x:c>
      <x:c r="H4412" s="2" t="str">
        <x:v>Desk 012</x:v>
      </x:c>
      <x:c r="I4412" s="11" t="n">
        <x:v>5</x:v>
      </x:c>
      <x:c r="J4412" s="9" t="n">
        <x:v>134</x:v>
      </x:c>
      <x:c r="K4412" s="10" t="n">
        <x:v>0.05</x:v>
      </x:c>
      <x:c r="L4412" s="11" t="n">
        <x:v>0</x:v>
      </x:c>
      <x:c r="M4412" s="9" t="n">
        <x:f>IF(D4412="Completed",I4412*J4412,0)</x:f>
        <x:v>670</x:v>
      </x:c>
      <x:c r="N4412" s="9" t="n">
        <x:f>M4412*K4412</x:f>
        <x:v>33.5</x:v>
      </x:c>
      <x:c r="O4412" s="9" t="n">
        <x:f>M4412-N4412</x:f>
        <x:v>636.5</x:v>
      </x:c>
      <x:c r="P4412" s="9" t="n">
        <x:f>IF(D4412="Completed",L4412*J4412*(1-K4412),0)</x:f>
        <x:v>0</x:v>
      </x:c>
      <x:c r="Q4412" s="9" t="n">
        <x:f>O4412-P4412</x:f>
        <x:v>636.5</x:v>
      </x:c>
      <x:c r="R4412" s="11" t="n">
        <x:f>IF(D4412="Completed",I4412,0)</x:f>
        <x:v>5</x:v>
      </x:c>
      <x:c r="S4412" s="11" t="n">
        <x:f>IF(D4412="Completed",L4412,0)</x:f>
        <x:v>0</x:v>
      </x:c>
      <x:c r="T4412" s="8" t="n">
        <x:f>DATE(YEAR(C4412),MONTH(C4412),1)</x:f>
        <x:v>45778</x:v>
      </x:c>
    </x:row>
    <x:row r="4413" ht="22" customHeight="1">
      <x:c r="A4413" s="2" t="str">
        <x:v>L004409</x:v>
      </x:c>
      <x:c r="B4413" s="2" t="str">
        <x:v>O01788</x:v>
      </x:c>
      <x:c r="C4413" s="7" t="n">
        <x:v>45788</x:v>
      </x:c>
      <x:c r="D4413" s="2" t="str">
        <x:v>Completed</x:v>
      </x:c>
      <x:c r="E4413" s="2" t="str">
        <x:v>South</x:v>
      </x:c>
      <x:c r="F4413" s="2" t="str">
        <x:v>Online</x:v>
      </x:c>
      <x:c r="G4413" s="2" t="str">
        <x:v>Furniture</x:v>
      </x:c>
      <x:c r="H4413" s="2" t="str">
        <x:v>Desk 016</x:v>
      </x:c>
      <x:c r="I4413" s="11" t="n">
        <x:v>2</x:v>
      </x:c>
      <x:c r="J4413" s="9" t="n">
        <x:v>231</x:v>
      </x:c>
      <x:c r="K4413" s="10" t="n">
        <x:v>0.2</x:v>
      </x:c>
      <x:c r="L4413" s="11" t="n">
        <x:v>0</x:v>
      </x:c>
      <x:c r="M4413" s="9" t="n">
        <x:f>IF(D4413="Completed",I4413*J4413,0)</x:f>
        <x:v>462</x:v>
      </x:c>
      <x:c r="N4413" s="9" t="n">
        <x:f>M4413*K4413</x:f>
        <x:v>92.4</x:v>
      </x:c>
      <x:c r="O4413" s="9" t="n">
        <x:f>M4413-N4413</x:f>
        <x:v>369.6</x:v>
      </x:c>
      <x:c r="P4413" s="9" t="n">
        <x:f>IF(D4413="Completed",L4413*J4413*(1-K4413),0)</x:f>
        <x:v>0</x:v>
      </x:c>
      <x:c r="Q4413" s="9" t="n">
        <x:f>O4413-P4413</x:f>
        <x:v>369.6</x:v>
      </x:c>
      <x:c r="R4413" s="11" t="n">
        <x:f>IF(D4413="Completed",I4413,0)</x:f>
        <x:v>2</x:v>
      </x:c>
      <x:c r="S4413" s="11" t="n">
        <x:f>IF(D4413="Completed",L4413,0)</x:f>
        <x:v>0</x:v>
      </x:c>
      <x:c r="T4413" s="8" t="n">
        <x:f>DATE(YEAR(C4413),MONTH(C4413),1)</x:f>
        <x:v>45778</x:v>
      </x:c>
    </x:row>
    <x:row r="4414" ht="22" customHeight="1">
      <x:c r="A4414" s="2" t="str">
        <x:v>L004410</x:v>
      </x:c>
      <x:c r="B4414" s="2" t="str">
        <x:v>O01789</x:v>
      </x:c>
      <x:c r="C4414" s="7" t="n">
        <x:v>45924</x:v>
      </x:c>
      <x:c r="D4414" s="2" t="str">
        <x:v>Completed</x:v>
      </x:c>
      <x:c r="E4414" s="2" t="str">
        <x:v>East</x:v>
      </x:c>
      <x:c r="F4414" s="2" t="str">
        <x:v>Online</x:v>
      </x:c>
      <x:c r="G4414" s="2" t="str">
        <x:v>Storage</x:v>
      </x:c>
      <x:c r="H4414" s="2" t="str">
        <x:v>Shelf 011</x:v>
      </x:c>
      <x:c r="I4414" s="11" t="n">
        <x:v>1</x:v>
      </x:c>
      <x:c r="J4414" s="9" t="n">
        <x:v>80</x:v>
      </x:c>
      <x:c r="K4414" s="10" t="n">
        <x:v>0.05</x:v>
      </x:c>
      <x:c r="L4414" s="11" t="n">
        <x:v>0</x:v>
      </x:c>
      <x:c r="M4414" s="9" t="n">
        <x:f>IF(D4414="Completed",I4414*J4414,0)</x:f>
        <x:v>80</x:v>
      </x:c>
      <x:c r="N4414" s="9" t="n">
        <x:f>M4414*K4414</x:f>
        <x:v>4</x:v>
      </x:c>
      <x:c r="O4414" s="9" t="n">
        <x:f>M4414-N4414</x:f>
        <x:v>76</x:v>
      </x:c>
      <x:c r="P4414" s="9" t="n">
        <x:f>IF(D4414="Completed",L4414*J4414*(1-K4414),0)</x:f>
        <x:v>0</x:v>
      </x:c>
      <x:c r="Q4414" s="9" t="n">
        <x:f>O4414-P4414</x:f>
        <x:v>76</x:v>
      </x:c>
      <x:c r="R4414" s="11" t="n">
        <x:f>IF(D4414="Completed",I4414,0)</x:f>
        <x:v>1</x:v>
      </x:c>
      <x:c r="S4414" s="11" t="n">
        <x:f>IF(D4414="Completed",L4414,0)</x:f>
        <x:v>0</x:v>
      </x:c>
      <x:c r="T4414" s="8" t="n">
        <x:f>DATE(YEAR(C4414),MONTH(C4414),1)</x:f>
        <x:v>45901</x:v>
      </x:c>
    </x:row>
    <x:row r="4415" ht="22" customHeight="1">
      <x:c r="A4415" s="2" t="str">
        <x:v>L004411</x:v>
      </x:c>
      <x:c r="B4415" s="2" t="str">
        <x:v>O01789</x:v>
      </x:c>
      <x:c r="C4415" s="7" t="n">
        <x:v>45924</x:v>
      </x:c>
      <x:c r="D4415" s="2" t="str">
        <x:v>Completed</x:v>
      </x:c>
      <x:c r="E4415" s="2" t="str">
        <x:v>East</x:v>
      </x:c>
      <x:c r="F4415" s="2" t="str">
        <x:v>Online</x:v>
      </x:c>
      <x:c r="G4415" s="2" t="str">
        <x:v>Storage</x:v>
      </x:c>
      <x:c r="H4415" s="2" t="str">
        <x:v>Shelf 003</x:v>
      </x:c>
      <x:c r="I4415" s="11" t="n">
        <x:v>1</x:v>
      </x:c>
      <x:c r="J4415" s="9" t="n">
        <x:v>199</x:v>
      </x:c>
      <x:c r="K4415" s="10" t="n">
        <x:v>0.1</x:v>
      </x:c>
      <x:c r="L4415" s="11" t="n">
        <x:v>0</x:v>
      </x:c>
      <x:c r="M4415" s="9" t="n">
        <x:f>IF(D4415="Completed",I4415*J4415,0)</x:f>
        <x:v>199</x:v>
      </x:c>
      <x:c r="N4415" s="9" t="n">
        <x:f>M4415*K4415</x:f>
        <x:v>19.900000000000002</x:v>
      </x:c>
      <x:c r="O4415" s="9" t="n">
        <x:f>M4415-N4415</x:f>
        <x:v>179.1</x:v>
      </x:c>
      <x:c r="P4415" s="9" t="n">
        <x:f>IF(D4415="Completed",L4415*J4415*(1-K4415),0)</x:f>
        <x:v>0</x:v>
      </x:c>
      <x:c r="Q4415" s="9" t="n">
        <x:f>O4415-P4415</x:f>
        <x:v>179.1</x:v>
      </x:c>
      <x:c r="R4415" s="11" t="n">
        <x:f>IF(D4415="Completed",I4415,0)</x:f>
        <x:v>1</x:v>
      </x:c>
      <x:c r="S4415" s="11" t="n">
        <x:f>IF(D4415="Completed",L4415,0)</x:f>
        <x:v>0</x:v>
      </x:c>
      <x:c r="T4415" s="8" t="n">
        <x:f>DATE(YEAR(C4415),MONTH(C4415),1)</x:f>
        <x:v>45901</x:v>
      </x:c>
    </x:row>
    <x:row r="4416" ht="22" customHeight="1">
      <x:c r="A4416" s="2" t="str">
        <x:v>L004412</x:v>
      </x:c>
      <x:c r="B4416" s="2" t="str">
        <x:v>O01789</x:v>
      </x:c>
      <x:c r="C4416" s="7" t="n">
        <x:v>45924</x:v>
      </x:c>
      <x:c r="D4416" s="2" t="str">
        <x:v>Completed</x:v>
      </x:c>
      <x:c r="E4416" s="2" t="str">
        <x:v>East</x:v>
      </x:c>
      <x:c r="F4416" s="2" t="str">
        <x:v>Online</x:v>
      </x:c>
      <x:c r="G4416" s="2" t="str">
        <x:v>Lighting</x:v>
      </x:c>
      <x:c r="H4416" s="2" t="str">
        <x:v>Lamp 005</x:v>
      </x:c>
      <x:c r="I4416" s="11" t="n">
        <x:v>4</x:v>
      </x:c>
      <x:c r="J4416" s="9" t="n">
        <x:v>65</x:v>
      </x:c>
      <x:c r="K4416" s="10" t="n">
        <x:v>0</x:v>
      </x:c>
      <x:c r="L4416" s="11" t="n">
        <x:v>3</x:v>
      </x:c>
      <x:c r="M4416" s="9" t="n">
        <x:f>IF(D4416="Completed",I4416*J4416,0)</x:f>
        <x:v>260</x:v>
      </x:c>
      <x:c r="N4416" s="9" t="n">
        <x:f>M4416*K4416</x:f>
        <x:v>0</x:v>
      </x:c>
      <x:c r="O4416" s="9" t="n">
        <x:f>M4416-N4416</x:f>
        <x:v>260</x:v>
      </x:c>
      <x:c r="P4416" s="9" t="n">
        <x:f>IF(D4416="Completed",L4416*J4416*(1-K4416),0)</x:f>
        <x:v>195</x:v>
      </x:c>
      <x:c r="Q4416" s="9" t="n">
        <x:f>O4416-P4416</x:f>
        <x:v>65</x:v>
      </x:c>
      <x:c r="R4416" s="11" t="n">
        <x:f>IF(D4416="Completed",I4416,0)</x:f>
        <x:v>4</x:v>
      </x:c>
      <x:c r="S4416" s="11" t="n">
        <x:f>IF(D4416="Completed",L4416,0)</x:f>
        <x:v>3</x:v>
      </x:c>
      <x:c r="T4416" s="8" t="n">
        <x:f>DATE(YEAR(C4416),MONTH(C4416),1)</x:f>
        <x:v>45901</x:v>
      </x:c>
    </x:row>
    <x:row r="4417" ht="22" customHeight="1">
      <x:c r="A4417" s="2" t="str">
        <x:v>L004413</x:v>
      </x:c>
      <x:c r="B4417" s="2" t="str">
        <x:v>O01790</x:v>
      </x:c>
      <x:c r="C4417" s="7" t="n">
        <x:v>45754</x:v>
      </x:c>
      <x:c r="D4417" s="2" t="str">
        <x:v>Completed</x:v>
      </x:c>
      <x:c r="E4417" s="2" t="str">
        <x:v>North</x:v>
      </x:c>
      <x:c r="F4417" s="2" t="str">
        <x:v>Online</x:v>
      </x:c>
      <x:c r="G4417" s="2" t="str">
        <x:v>Lighting</x:v>
      </x:c>
      <x:c r="H4417" s="2" t="str">
        <x:v>Lamp 021</x:v>
      </x:c>
      <x:c r="I4417" s="11" t="n">
        <x:v>5</x:v>
      </x:c>
      <x:c r="J4417" s="9" t="n">
        <x:v>249</x:v>
      </x:c>
      <x:c r="K4417" s="10" t="n">
        <x:v>0.05</x:v>
      </x:c>
      <x:c r="L4417" s="11" t="n">
        <x:v>0</x:v>
      </x:c>
      <x:c r="M4417" s="9" t="n">
        <x:f>IF(D4417="Completed",I4417*J4417,0)</x:f>
        <x:v>1245</x:v>
      </x:c>
      <x:c r="N4417" s="9" t="n">
        <x:f>M4417*K4417</x:f>
        <x:v>62.25</x:v>
      </x:c>
      <x:c r="O4417" s="9" t="n">
        <x:f>M4417-N4417</x:f>
        <x:v>1182.75</x:v>
      </x:c>
      <x:c r="P4417" s="9" t="n">
        <x:f>IF(D4417="Completed",L4417*J4417*(1-K4417),0)</x:f>
        <x:v>0</x:v>
      </x:c>
      <x:c r="Q4417" s="9" t="n">
        <x:f>O4417-P4417</x:f>
        <x:v>1182.75</x:v>
      </x:c>
      <x:c r="R4417" s="11" t="n">
        <x:f>IF(D4417="Completed",I4417,0)</x:f>
        <x:v>5</x:v>
      </x:c>
      <x:c r="S4417" s="11" t="n">
        <x:f>IF(D4417="Completed",L4417,0)</x:f>
        <x:v>0</x:v>
      </x:c>
      <x:c r="T4417" s="8" t="n">
        <x:f>DATE(YEAR(C4417),MONTH(C4417),1)</x:f>
        <x:v>45748</x:v>
      </x:c>
    </x:row>
    <x:row r="4418" ht="22" customHeight="1">
      <x:c r="A4418" s="2" t="str">
        <x:v>L004414</x:v>
      </x:c>
      <x:c r="B4418" s="2" t="str">
        <x:v>O01790</x:v>
      </x:c>
      <x:c r="C4418" s="7" t="n">
        <x:v>45754</x:v>
      </x:c>
      <x:c r="D4418" s="2" t="str">
        <x:v>Completed</x:v>
      </x:c>
      <x:c r="E4418" s="2" t="str">
        <x:v>North</x:v>
      </x:c>
      <x:c r="F4418" s="2" t="str">
        <x:v>Online</x:v>
      </x:c>
      <x:c r="G4418" s="2" t="str">
        <x:v>Storage</x:v>
      </x:c>
      <x:c r="H4418" s="2" t="str">
        <x:v>Shelf 019</x:v>
      </x:c>
      <x:c r="I4418" s="11" t="n">
        <x:v>1</x:v>
      </x:c>
      <x:c r="J4418" s="9" t="n">
        <x:v>78</x:v>
      </x:c>
      <x:c r="K4418" s="10" t="n">
        <x:v>0.05</x:v>
      </x:c>
      <x:c r="L4418" s="11" t="n">
        <x:v>0</x:v>
      </x:c>
      <x:c r="M4418" s="9" t="n">
        <x:f>IF(D4418="Completed",I4418*J4418,0)</x:f>
        <x:v>78</x:v>
      </x:c>
      <x:c r="N4418" s="9" t="n">
        <x:f>M4418*K4418</x:f>
        <x:v>3.9000000000000004</x:v>
      </x:c>
      <x:c r="O4418" s="9" t="n">
        <x:f>M4418-N4418</x:f>
        <x:v>74.1</x:v>
      </x:c>
      <x:c r="P4418" s="9" t="n">
        <x:f>IF(D4418="Completed",L4418*J4418*(1-K4418),0)</x:f>
        <x:v>0</x:v>
      </x:c>
      <x:c r="Q4418" s="9" t="n">
        <x:f>O4418-P4418</x:f>
        <x:v>74.1</x:v>
      </x:c>
      <x:c r="R4418" s="11" t="n">
        <x:f>IF(D4418="Completed",I4418,0)</x:f>
        <x:v>1</x:v>
      </x:c>
      <x:c r="S4418" s="11" t="n">
        <x:f>IF(D4418="Completed",L4418,0)</x:f>
        <x:v>0</x:v>
      </x:c>
      <x:c r="T4418" s="8" t="n">
        <x:f>DATE(YEAR(C4418),MONTH(C4418),1)</x:f>
        <x:v>45748</x:v>
      </x:c>
    </x:row>
    <x:row r="4419" ht="22" customHeight="1">
      <x:c r="A4419" s="2" t="str">
        <x:v>L004415</x:v>
      </x:c>
      <x:c r="B4419" s="2" t="str">
        <x:v>O01790</x:v>
      </x:c>
      <x:c r="C4419" s="7" t="n">
        <x:v>45754</x:v>
      </x:c>
      <x:c r="D4419" s="2" t="str">
        <x:v>Completed</x:v>
      </x:c>
      <x:c r="E4419" s="2" t="str">
        <x:v>North</x:v>
      </x:c>
      <x:c r="F4419" s="2" t="str">
        <x:v>Online</x:v>
      </x:c>
      <x:c r="G4419" s="2" t="str">
        <x:v>Furniture</x:v>
      </x:c>
      <x:c r="H4419" s="2" t="str">
        <x:v>Chair 022</x:v>
      </x:c>
      <x:c r="I4419" s="11" t="n">
        <x:v>2</x:v>
      </x:c>
      <x:c r="J4419" s="9" t="n">
        <x:v>134</x:v>
      </x:c>
      <x:c r="K4419" s="10" t="n">
        <x:v>0.05</x:v>
      </x:c>
      <x:c r="L4419" s="11" t="n">
        <x:v>2</x:v>
      </x:c>
      <x:c r="M4419" s="9" t="n">
        <x:f>IF(D4419="Completed",I4419*J4419,0)</x:f>
        <x:v>268</x:v>
      </x:c>
      <x:c r="N4419" s="9" t="n">
        <x:f>M4419*K4419</x:f>
        <x:v>13.4</x:v>
      </x:c>
      <x:c r="O4419" s="9" t="n">
        <x:f>M4419-N4419</x:f>
        <x:v>254.6</x:v>
      </x:c>
      <x:c r="P4419" s="9" t="n">
        <x:f>IF(D4419="Completed",L4419*J4419*(1-K4419),0)</x:f>
        <x:v>254.6</x:v>
      </x:c>
      <x:c r="Q4419" s="9" t="n">
        <x:f>O4419-P4419</x:f>
        <x:v>0</x:v>
      </x:c>
      <x:c r="R4419" s="11" t="n">
        <x:f>IF(D4419="Completed",I4419,0)</x:f>
        <x:v>2</x:v>
      </x:c>
      <x:c r="S4419" s="11" t="n">
        <x:f>IF(D4419="Completed",L4419,0)</x:f>
        <x:v>2</x:v>
      </x:c>
      <x:c r="T4419" s="8" t="n">
        <x:f>DATE(YEAR(C4419),MONTH(C4419),1)</x:f>
        <x:v>45748</x:v>
      </x:c>
    </x:row>
    <x:row r="4420" ht="22" customHeight="1">
      <x:c r="A4420" s="2" t="str">
        <x:v>L004416</x:v>
      </x:c>
      <x:c r="B4420" s="2" t="str">
        <x:v>O01791</x:v>
      </x:c>
      <x:c r="C4420" s="7" t="n">
        <x:v>46011</x:v>
      </x:c>
      <x:c r="D4420" s="2" t="str">
        <x:v>Completed</x:v>
      </x:c>
      <x:c r="E4420" s="2" t="str">
        <x:v>South</x:v>
      </x:c>
      <x:c r="F4420" s="2" t="str">
        <x:v>Store</x:v>
      </x:c>
      <x:c r="G4420" s="2" t="str">
        <x:v>Storage</x:v>
      </x:c>
      <x:c r="H4420" s="2" t="str">
        <x:v>Shelf 015</x:v>
      </x:c>
      <x:c r="I4420" s="11" t="n">
        <x:v>2</x:v>
      </x:c>
      <x:c r="J4420" s="9" t="n">
        <x:v>254</x:v>
      </x:c>
      <x:c r="K4420" s="10" t="n">
        <x:v>0.1</x:v>
      </x:c>
      <x:c r="L4420" s="11" t="n">
        <x:v>0</x:v>
      </x:c>
      <x:c r="M4420" s="9" t="n">
        <x:f>IF(D4420="Completed",I4420*J4420,0)</x:f>
        <x:v>508</x:v>
      </x:c>
      <x:c r="N4420" s="9" t="n">
        <x:f>M4420*K4420</x:f>
        <x:v>50.800000000000004</x:v>
      </x:c>
      <x:c r="O4420" s="9" t="n">
        <x:f>M4420-N4420</x:f>
        <x:v>457.2</x:v>
      </x:c>
      <x:c r="P4420" s="9" t="n">
        <x:f>IF(D4420="Completed",L4420*J4420*(1-K4420),0)</x:f>
        <x:v>0</x:v>
      </x:c>
      <x:c r="Q4420" s="9" t="n">
        <x:f>O4420-P4420</x:f>
        <x:v>457.2</x:v>
      </x:c>
      <x:c r="R4420" s="11" t="n">
        <x:f>IF(D4420="Completed",I4420,0)</x:f>
        <x:v>2</x:v>
      </x:c>
      <x:c r="S4420" s="11" t="n">
        <x:f>IF(D4420="Completed",L4420,0)</x:f>
        <x:v>0</x:v>
      </x:c>
      <x:c r="T4420" s="8" t="n">
        <x:f>DATE(YEAR(C4420),MONTH(C4420),1)</x:f>
        <x:v>45992</x:v>
      </x:c>
    </x:row>
    <x:row r="4421" ht="22" customHeight="1">
      <x:c r="A4421" s="2" t="str">
        <x:v>L004417</x:v>
      </x:c>
      <x:c r="B4421" s="2" t="str">
        <x:v>O01791</x:v>
      </x:c>
      <x:c r="C4421" s="7" t="n">
        <x:v>46011</x:v>
      </x:c>
      <x:c r="D4421" s="2" t="str">
        <x:v>Completed</x:v>
      </x:c>
      <x:c r="E4421" s="2" t="str">
        <x:v>South</x:v>
      </x:c>
      <x:c r="F4421" s="2" t="str">
        <x:v>Store</x:v>
      </x:c>
      <x:c r="G4421" s="2" t="str">
        <x:v>Furniture</x:v>
      </x:c>
      <x:c r="H4421" s="2" t="str">
        <x:v>Desk 024</x:v>
      </x:c>
      <x:c r="I4421" s="11" t="n">
        <x:v>2</x:v>
      </x:c>
      <x:c r="J4421" s="9" t="n">
        <x:v>81</x:v>
      </x:c>
      <x:c r="K4421" s="10" t="n">
        <x:v>0.1</x:v>
      </x:c>
      <x:c r="L4421" s="11" t="n">
        <x:v>0</x:v>
      </x:c>
      <x:c r="M4421" s="9" t="n">
        <x:f>IF(D4421="Completed",I4421*J4421,0)</x:f>
        <x:v>162</x:v>
      </x:c>
      <x:c r="N4421" s="9" t="n">
        <x:f>M4421*K4421</x:f>
        <x:v>16.2</x:v>
      </x:c>
      <x:c r="O4421" s="9" t="n">
        <x:f>M4421-N4421</x:f>
        <x:v>145.8</x:v>
      </x:c>
      <x:c r="P4421" s="9" t="n">
        <x:f>IF(D4421="Completed",L4421*J4421*(1-K4421),0)</x:f>
        <x:v>0</x:v>
      </x:c>
      <x:c r="Q4421" s="9" t="n">
        <x:f>O4421-P4421</x:f>
        <x:v>145.8</x:v>
      </x:c>
      <x:c r="R4421" s="11" t="n">
        <x:f>IF(D4421="Completed",I4421,0)</x:f>
        <x:v>2</x:v>
      </x:c>
      <x:c r="S4421" s="11" t="n">
        <x:f>IF(D4421="Completed",L4421,0)</x:f>
        <x:v>0</x:v>
      </x:c>
      <x:c r="T4421" s="8" t="n">
        <x:f>DATE(YEAR(C4421),MONTH(C4421),1)</x:f>
        <x:v>45992</x:v>
      </x:c>
    </x:row>
    <x:row r="4422" ht="22" customHeight="1">
      <x:c r="A4422" s="2" t="str">
        <x:v>L004418</x:v>
      </x:c>
      <x:c r="B4422" s="2" t="str">
        <x:v>O01791</x:v>
      </x:c>
      <x:c r="C4422" s="7" t="n">
        <x:v>46011</x:v>
      </x:c>
      <x:c r="D4422" s="2" t="str">
        <x:v>Completed</x:v>
      </x:c>
      <x:c r="E4422" s="2" t="str">
        <x:v>South</x:v>
      </x:c>
      <x:c r="F4422" s="2" t="str">
        <x:v>Store</x:v>
      </x:c>
      <x:c r="G4422" s="2" t="str">
        <x:v>Storage</x:v>
      </x:c>
      <x:c r="H4422" s="2" t="str">
        <x:v>Shelf 015</x:v>
      </x:c>
      <x:c r="I4422" s="11" t="n">
        <x:v>3</x:v>
      </x:c>
      <x:c r="J4422" s="9" t="n">
        <x:v>254</x:v>
      </x:c>
      <x:c r="K4422" s="10" t="n">
        <x:v>0.05</x:v>
      </x:c>
      <x:c r="L4422" s="11" t="n">
        <x:v>0</x:v>
      </x:c>
      <x:c r="M4422" s="9" t="n">
        <x:f>IF(D4422="Completed",I4422*J4422,0)</x:f>
        <x:v>762</x:v>
      </x:c>
      <x:c r="N4422" s="9" t="n">
        <x:f>M4422*K4422</x:f>
        <x:v>38.1</x:v>
      </x:c>
      <x:c r="O4422" s="9" t="n">
        <x:f>M4422-N4422</x:f>
        <x:v>723.9</x:v>
      </x:c>
      <x:c r="P4422" s="9" t="n">
        <x:f>IF(D4422="Completed",L4422*J4422*(1-K4422),0)</x:f>
        <x:v>0</x:v>
      </x:c>
      <x:c r="Q4422" s="9" t="n">
        <x:f>O4422-P4422</x:f>
        <x:v>723.9</x:v>
      </x:c>
      <x:c r="R4422" s="11" t="n">
        <x:f>IF(D4422="Completed",I4422,0)</x:f>
        <x:v>3</x:v>
      </x:c>
      <x:c r="S4422" s="11" t="n">
        <x:f>IF(D4422="Completed",L4422,0)</x:f>
        <x:v>0</x:v>
      </x:c>
      <x:c r="T4422" s="8" t="n">
        <x:f>DATE(YEAR(C4422),MONTH(C4422),1)</x:f>
        <x:v>45992</x:v>
      </x:c>
    </x:row>
    <x:row r="4423" ht="22" customHeight="1">
      <x:c r="A4423" s="2" t="str">
        <x:v>L004419</x:v>
      </x:c>
      <x:c r="B4423" s="2" t="str">
        <x:v>O01791</x:v>
      </x:c>
      <x:c r="C4423" s="7" t="n">
        <x:v>46011</x:v>
      </x:c>
      <x:c r="D4423" s="2" t="str">
        <x:v>Completed</x:v>
      </x:c>
      <x:c r="E4423" s="2" t="str">
        <x:v>South</x:v>
      </x:c>
      <x:c r="F4423" s="2" t="str">
        <x:v>Store</x:v>
      </x:c>
      <x:c r="G4423" s="2" t="str">
        <x:v>Lighting</x:v>
      </x:c>
      <x:c r="H4423" s="2" t="str">
        <x:v>Lamp 021</x:v>
      </x:c>
      <x:c r="I4423" s="11" t="n">
        <x:v>3</x:v>
      </x:c>
      <x:c r="J4423" s="9" t="n">
        <x:v>249</x:v>
      </x:c>
      <x:c r="K4423" s="10" t="n">
        <x:v>0.1</x:v>
      </x:c>
      <x:c r="L4423" s="11" t="n">
        <x:v>1</x:v>
      </x:c>
      <x:c r="M4423" s="9" t="n">
        <x:f>IF(D4423="Completed",I4423*J4423,0)</x:f>
        <x:v>747</x:v>
      </x:c>
      <x:c r="N4423" s="9" t="n">
        <x:f>M4423*K4423</x:f>
        <x:v>74.7</x:v>
      </x:c>
      <x:c r="O4423" s="9" t="n">
        <x:f>M4423-N4423</x:f>
        <x:v>672.3</x:v>
      </x:c>
      <x:c r="P4423" s="9" t="n">
        <x:f>IF(D4423="Completed",L4423*J4423*(1-K4423),0)</x:f>
        <x:v>224.1</x:v>
      </x:c>
      <x:c r="Q4423" s="9" t="n">
        <x:f>O4423-P4423</x:f>
        <x:v>448.19999999999993</x:v>
      </x:c>
      <x:c r="R4423" s="11" t="n">
        <x:f>IF(D4423="Completed",I4423,0)</x:f>
        <x:v>3</x:v>
      </x:c>
      <x:c r="S4423" s="11" t="n">
        <x:f>IF(D4423="Completed",L4423,0)</x:f>
        <x:v>1</x:v>
      </x:c>
      <x:c r="T4423" s="8" t="n">
        <x:f>DATE(YEAR(C4423),MONTH(C4423),1)</x:f>
        <x:v>45992</x:v>
      </x:c>
    </x:row>
    <x:row r="4424" ht="22" customHeight="1">
      <x:c r="A4424" s="2" t="str">
        <x:v>L004420</x:v>
      </x:c>
      <x:c r="B4424" s="2" t="str">
        <x:v>O01792</x:v>
      </x:c>
      <x:c r="C4424" s="7" t="n">
        <x:v>45976</x:v>
      </x:c>
      <x:c r="D4424" s="2" t="str">
        <x:v>Completed</x:v>
      </x:c>
      <x:c r="E4424" s="2" t="str">
        <x:v>South</x:v>
      </x:c>
      <x:c r="F4424" s="2" t="str">
        <x:v>Store</x:v>
      </x:c>
      <x:c r="G4424" s="2" t="str">
        <x:v>Furniture</x:v>
      </x:c>
      <x:c r="H4424" s="2" t="str">
        <x:v>Desk 020</x:v>
      </x:c>
      <x:c r="I4424" s="11" t="n">
        <x:v>2</x:v>
      </x:c>
      <x:c r="J4424" s="9" t="n">
        <x:v>189</x:v>
      </x:c>
      <x:c r="K4424" s="10" t="n">
        <x:v>0.1</x:v>
      </x:c>
      <x:c r="L4424" s="11" t="n">
        <x:v>0</x:v>
      </x:c>
      <x:c r="M4424" s="9" t="n">
        <x:f>IF(D4424="Completed",I4424*J4424,0)</x:f>
        <x:v>378</x:v>
      </x:c>
      <x:c r="N4424" s="9" t="n">
        <x:f>M4424*K4424</x:f>
        <x:v>37.800000000000004</x:v>
      </x:c>
      <x:c r="O4424" s="9" t="n">
        <x:f>M4424-N4424</x:f>
        <x:v>340.2</x:v>
      </x:c>
      <x:c r="P4424" s="9" t="n">
        <x:f>IF(D4424="Completed",L4424*J4424*(1-K4424),0)</x:f>
        <x:v>0</x:v>
      </x:c>
      <x:c r="Q4424" s="9" t="n">
        <x:f>O4424-P4424</x:f>
        <x:v>340.2</x:v>
      </x:c>
      <x:c r="R4424" s="11" t="n">
        <x:f>IF(D4424="Completed",I4424,0)</x:f>
        <x:v>2</x:v>
      </x:c>
      <x:c r="S4424" s="11" t="n">
        <x:f>IF(D4424="Completed",L4424,0)</x:f>
        <x:v>0</x:v>
      </x:c>
      <x:c r="T4424" s="8" t="n">
        <x:f>DATE(YEAR(C4424),MONTH(C4424),1)</x:f>
        <x:v>45962</x:v>
      </x:c>
    </x:row>
    <x:row r="4425" ht="22" customHeight="1">
      <x:c r="A4425" s="2" t="str">
        <x:v>L004421</x:v>
      </x:c>
      <x:c r="B4425" s="2" t="str">
        <x:v>O01792</x:v>
      </x:c>
      <x:c r="C4425" s="7" t="n">
        <x:v>45976</x:v>
      </x:c>
      <x:c r="D4425" s="2" t="str">
        <x:v>Completed</x:v>
      </x:c>
      <x:c r="E4425" s="2" t="str">
        <x:v>South</x:v>
      </x:c>
      <x:c r="F4425" s="2" t="str">
        <x:v>Store</x:v>
      </x:c>
      <x:c r="G4425" s="2" t="str">
        <x:v>Lighting</x:v>
      </x:c>
      <x:c r="H4425" s="2" t="str">
        <x:v>Lamp 009</x:v>
      </x:c>
      <x:c r="I4425" s="11" t="n">
        <x:v>5</x:v>
      </x:c>
      <x:c r="J4425" s="9" t="n">
        <x:v>93</x:v>
      </x:c>
      <x:c r="K4425" s="10" t="n">
        <x:v>0.1</x:v>
      </x:c>
      <x:c r="L4425" s="11" t="n">
        <x:v>0</x:v>
      </x:c>
      <x:c r="M4425" s="9" t="n">
        <x:f>IF(D4425="Completed",I4425*J4425,0)</x:f>
        <x:v>465</x:v>
      </x:c>
      <x:c r="N4425" s="9" t="n">
        <x:f>M4425*K4425</x:f>
        <x:v>46.5</x:v>
      </x:c>
      <x:c r="O4425" s="9" t="n">
        <x:f>M4425-N4425</x:f>
        <x:v>418.5</x:v>
      </x:c>
      <x:c r="P4425" s="9" t="n">
        <x:f>IF(D4425="Completed",L4425*J4425*(1-K4425),0)</x:f>
        <x:v>0</x:v>
      </x:c>
      <x:c r="Q4425" s="9" t="n">
        <x:f>O4425-P4425</x:f>
        <x:v>418.5</x:v>
      </x:c>
      <x:c r="R4425" s="11" t="n">
        <x:f>IF(D4425="Completed",I4425,0)</x:f>
        <x:v>5</x:v>
      </x:c>
      <x:c r="S4425" s="11" t="n">
        <x:f>IF(D4425="Completed",L4425,0)</x:f>
        <x:v>0</x:v>
      </x:c>
      <x:c r="T4425" s="8" t="n">
        <x:f>DATE(YEAR(C4425),MONTH(C4425),1)</x:f>
        <x:v>45962</x:v>
      </x:c>
    </x:row>
    <x:row r="4426" ht="22" customHeight="1">
      <x:c r="A4426" s="2" t="str">
        <x:v>L004422</x:v>
      </x:c>
      <x:c r="B4426" s="2" t="str">
        <x:v>O01792</x:v>
      </x:c>
      <x:c r="C4426" s="7" t="n">
        <x:v>45976</x:v>
      </x:c>
      <x:c r="D4426" s="2" t="str">
        <x:v>Completed</x:v>
      </x:c>
      <x:c r="E4426" s="2" t="str">
        <x:v>South</x:v>
      </x:c>
      <x:c r="F4426" s="2" t="str">
        <x:v>Store</x:v>
      </x:c>
      <x:c r="G4426" s="2" t="str">
        <x:v>Storage</x:v>
      </x:c>
      <x:c r="H4426" s="2" t="str">
        <x:v>Shelf 003</x:v>
      </x:c>
      <x:c r="I4426" s="11" t="n">
        <x:v>5</x:v>
      </x:c>
      <x:c r="J4426" s="9" t="n">
        <x:v>199</x:v>
      </x:c>
      <x:c r="K4426" s="10" t="n">
        <x:v>0.2</x:v>
      </x:c>
      <x:c r="L4426" s="11" t="n">
        <x:v>0</x:v>
      </x:c>
      <x:c r="M4426" s="9" t="n">
        <x:f>IF(D4426="Completed",I4426*J4426,0)</x:f>
        <x:v>995</x:v>
      </x:c>
      <x:c r="N4426" s="9" t="n">
        <x:f>M4426*K4426</x:f>
        <x:v>199</x:v>
      </x:c>
      <x:c r="O4426" s="9" t="n">
        <x:f>M4426-N4426</x:f>
        <x:v>796</x:v>
      </x:c>
      <x:c r="P4426" s="9" t="n">
        <x:f>IF(D4426="Completed",L4426*J4426*(1-K4426),0)</x:f>
        <x:v>0</x:v>
      </x:c>
      <x:c r="Q4426" s="9" t="n">
        <x:f>O4426-P4426</x:f>
        <x:v>796</x:v>
      </x:c>
      <x:c r="R4426" s="11" t="n">
        <x:f>IF(D4426="Completed",I4426,0)</x:f>
        <x:v>5</x:v>
      </x:c>
      <x:c r="S4426" s="11" t="n">
        <x:f>IF(D4426="Completed",L4426,0)</x:f>
        <x:v>0</x:v>
      </x:c>
      <x:c r="T4426" s="8" t="n">
        <x:f>DATE(YEAR(C4426),MONTH(C4426),1)</x:f>
        <x:v>45962</x:v>
      </x:c>
    </x:row>
    <x:row r="4427" ht="22" customHeight="1">
      <x:c r="A4427" s="2" t="str">
        <x:v>L004423</x:v>
      </x:c>
      <x:c r="B4427" s="2" t="str">
        <x:v>O01793</x:v>
      </x:c>
      <x:c r="C4427" s="7" t="n">
        <x:v>45721</x:v>
      </x:c>
      <x:c r="D4427" s="2" t="str">
        <x:v>Completed</x:v>
      </x:c>
      <x:c r="E4427" s="2" t="str">
        <x:v>West</x:v>
      </x:c>
      <x:c r="F4427" s="2" t="str">
        <x:v>Store</x:v>
      </x:c>
      <x:c r="G4427" s="2" t="str">
        <x:v>Furniture</x:v>
      </x:c>
      <x:c r="H4427" s="2" t="str">
        <x:v>Chair 018</x:v>
      </x:c>
      <x:c r="I4427" s="11" t="n">
        <x:v>4</x:v>
      </x:c>
      <x:c r="J4427" s="9" t="n">
        <x:v>269</x:v>
      </x:c>
      <x:c r="K4427" s="10" t="n">
        <x:v>0.05</x:v>
      </x:c>
      <x:c r="L4427" s="11" t="n">
        <x:v>0</x:v>
      </x:c>
      <x:c r="M4427" s="9" t="n">
        <x:f>IF(D4427="Completed",I4427*J4427,0)</x:f>
        <x:v>1076</x:v>
      </x:c>
      <x:c r="N4427" s="9" t="n">
        <x:f>M4427*K4427</x:f>
        <x:v>53.800000000000004</x:v>
      </x:c>
      <x:c r="O4427" s="9" t="n">
        <x:f>M4427-N4427</x:f>
        <x:v>1022.2</x:v>
      </x:c>
      <x:c r="P4427" s="9" t="n">
        <x:f>IF(D4427="Completed",L4427*J4427*(1-K4427),0)</x:f>
        <x:v>0</x:v>
      </x:c>
      <x:c r="Q4427" s="9" t="n">
        <x:f>O4427-P4427</x:f>
        <x:v>1022.2</x:v>
      </x:c>
      <x:c r="R4427" s="11" t="n">
        <x:f>IF(D4427="Completed",I4427,0)</x:f>
        <x:v>4</x:v>
      </x:c>
      <x:c r="S4427" s="11" t="n">
        <x:f>IF(D4427="Completed",L4427,0)</x:f>
        <x:v>0</x:v>
      </x:c>
      <x:c r="T4427" s="8" t="n">
        <x:f>DATE(YEAR(C4427),MONTH(C4427),1)</x:f>
        <x:v>45717</x:v>
      </x:c>
    </x:row>
    <x:row r="4428" ht="22" customHeight="1">
      <x:c r="A4428" s="2" t="str">
        <x:v>L004424</x:v>
      </x:c>
      <x:c r="B4428" s="2" t="str">
        <x:v>O01793</x:v>
      </x:c>
      <x:c r="C4428" s="7" t="n">
        <x:v>45721</x:v>
      </x:c>
      <x:c r="D4428" s="2" t="str">
        <x:v>Completed</x:v>
      </x:c>
      <x:c r="E4428" s="2" t="str">
        <x:v>West</x:v>
      </x:c>
      <x:c r="F4428" s="2" t="str">
        <x:v>Store</x:v>
      </x:c>
      <x:c r="G4428" s="2" t="str">
        <x:v>Lighting</x:v>
      </x:c>
      <x:c r="H4428" s="2" t="str">
        <x:v>Lamp 013</x:v>
      </x:c>
      <x:c r="I4428" s="11" t="n">
        <x:v>1</x:v>
      </x:c>
      <x:c r="J4428" s="9" t="n">
        <x:v>271</x:v>
      </x:c>
      <x:c r="K4428" s="10" t="n">
        <x:v>0.05</x:v>
      </x:c>
      <x:c r="L4428" s="11" t="n">
        <x:v>0</x:v>
      </x:c>
      <x:c r="M4428" s="9" t="n">
        <x:f>IF(D4428="Completed",I4428*J4428,0)</x:f>
        <x:v>271</x:v>
      </x:c>
      <x:c r="N4428" s="9" t="n">
        <x:f>M4428*K4428</x:f>
        <x:v>13.55</x:v>
      </x:c>
      <x:c r="O4428" s="9" t="n">
        <x:f>M4428-N4428</x:f>
        <x:v>257.45</x:v>
      </x:c>
      <x:c r="P4428" s="9" t="n">
        <x:f>IF(D4428="Completed",L4428*J4428*(1-K4428),0)</x:f>
        <x:v>0</x:v>
      </x:c>
      <x:c r="Q4428" s="9" t="n">
        <x:f>O4428-P4428</x:f>
        <x:v>257.45</x:v>
      </x:c>
      <x:c r="R4428" s="11" t="n">
        <x:f>IF(D4428="Completed",I4428,0)</x:f>
        <x:v>1</x:v>
      </x:c>
      <x:c r="S4428" s="11" t="n">
        <x:f>IF(D4428="Completed",L4428,0)</x:f>
        <x:v>0</x:v>
      </x:c>
      <x:c r="T4428" s="8" t="n">
        <x:f>DATE(YEAR(C4428),MONTH(C4428),1)</x:f>
        <x:v>45717</x:v>
      </x:c>
    </x:row>
    <x:row r="4429" ht="22" customHeight="1">
      <x:c r="A4429" s="2" t="str">
        <x:v>L004425</x:v>
      </x:c>
      <x:c r="B4429" s="2" t="str">
        <x:v>O01793</x:v>
      </x:c>
      <x:c r="C4429" s="7" t="n">
        <x:v>45721</x:v>
      </x:c>
      <x:c r="D4429" s="2" t="str">
        <x:v>Completed</x:v>
      </x:c>
      <x:c r="E4429" s="2" t="str">
        <x:v>West</x:v>
      </x:c>
      <x:c r="F4429" s="2" t="str">
        <x:v>Store</x:v>
      </x:c>
      <x:c r="G4429" s="2" t="str">
        <x:v>Storage</x:v>
      </x:c>
      <x:c r="H4429" s="2" t="str">
        <x:v>Shelf 003</x:v>
      </x:c>
      <x:c r="I4429" s="11" t="n">
        <x:v>4</x:v>
      </x:c>
      <x:c r="J4429" s="9" t="n">
        <x:v>199</x:v>
      </x:c>
      <x:c r="K4429" s="10" t="n">
        <x:v>0</x:v>
      </x:c>
      <x:c r="L4429" s="11" t="n">
        <x:v>0</x:v>
      </x:c>
      <x:c r="M4429" s="9" t="n">
        <x:f>IF(D4429="Completed",I4429*J4429,0)</x:f>
        <x:v>796</x:v>
      </x:c>
      <x:c r="N4429" s="9" t="n">
        <x:f>M4429*K4429</x:f>
        <x:v>0</x:v>
      </x:c>
      <x:c r="O4429" s="9" t="n">
        <x:f>M4429-N4429</x:f>
        <x:v>796</x:v>
      </x:c>
      <x:c r="P4429" s="9" t="n">
        <x:f>IF(D4429="Completed",L4429*J4429*(1-K4429),0)</x:f>
        <x:v>0</x:v>
      </x:c>
      <x:c r="Q4429" s="9" t="n">
        <x:f>O4429-P4429</x:f>
        <x:v>796</x:v>
      </x:c>
      <x:c r="R4429" s="11" t="n">
        <x:f>IF(D4429="Completed",I4429,0)</x:f>
        <x:v>4</x:v>
      </x:c>
      <x:c r="S4429" s="11" t="n">
        <x:f>IF(D4429="Completed",L4429,0)</x:f>
        <x:v>0</x:v>
      </x:c>
      <x:c r="T4429" s="8" t="n">
        <x:f>DATE(YEAR(C4429),MONTH(C4429),1)</x:f>
        <x:v>45717</x:v>
      </x:c>
    </x:row>
    <x:row r="4430" ht="22" customHeight="1">
      <x:c r="A4430" s="2" t="str">
        <x:v>L004426</x:v>
      </x:c>
      <x:c r="B4430" s="2" t="str">
        <x:v>O01794</x:v>
      </x:c>
      <x:c r="C4430" s="7" t="n">
        <x:v>45897</x:v>
      </x:c>
      <x:c r="D4430" s="2" t="str">
        <x:v>Completed</x:v>
      </x:c>
      <x:c r="E4430" s="2" t="str">
        <x:v>East</x:v>
      </x:c>
      <x:c r="F4430" s="2" t="str">
        <x:v>Online</x:v>
      </x:c>
      <x:c r="G4430" s="2" t="str">
        <x:v>Lighting</x:v>
      </x:c>
      <x:c r="H4430" s="2" t="str">
        <x:v>Lamp 005</x:v>
      </x:c>
      <x:c r="I4430" s="11" t="n">
        <x:v>4</x:v>
      </x:c>
      <x:c r="J4430" s="9" t="n">
        <x:v>65</x:v>
      </x:c>
      <x:c r="K4430" s="10" t="n">
        <x:v>0</x:v>
      </x:c>
      <x:c r="L4430" s="11" t="n">
        <x:v>2</x:v>
      </x:c>
      <x:c r="M4430" s="9" t="n">
        <x:f>IF(D4430="Completed",I4430*J4430,0)</x:f>
        <x:v>260</x:v>
      </x:c>
      <x:c r="N4430" s="9" t="n">
        <x:f>M4430*K4430</x:f>
        <x:v>0</x:v>
      </x:c>
      <x:c r="O4430" s="9" t="n">
        <x:f>M4430-N4430</x:f>
        <x:v>260</x:v>
      </x:c>
      <x:c r="P4430" s="9" t="n">
        <x:f>IF(D4430="Completed",L4430*J4430*(1-K4430),0)</x:f>
        <x:v>130</x:v>
      </x:c>
      <x:c r="Q4430" s="9" t="n">
        <x:f>O4430-P4430</x:f>
        <x:v>130</x:v>
      </x:c>
      <x:c r="R4430" s="11" t="n">
        <x:f>IF(D4430="Completed",I4430,0)</x:f>
        <x:v>4</x:v>
      </x:c>
      <x:c r="S4430" s="11" t="n">
        <x:f>IF(D4430="Completed",L4430,0)</x:f>
        <x:v>2</x:v>
      </x:c>
      <x:c r="T4430" s="8" t="n">
        <x:f>DATE(YEAR(C4430),MONTH(C4430),1)</x:f>
        <x:v>45870</x:v>
      </x:c>
    </x:row>
    <x:row r="4431" ht="22" customHeight="1">
      <x:c r="A4431" s="2" t="str">
        <x:v>L004427</x:v>
      </x:c>
      <x:c r="B4431" s="2" t="str">
        <x:v>O01794</x:v>
      </x:c>
      <x:c r="C4431" s="7" t="n">
        <x:v>45897</x:v>
      </x:c>
      <x:c r="D4431" s="2" t="str">
        <x:v>Completed</x:v>
      </x:c>
      <x:c r="E4431" s="2" t="str">
        <x:v>East</x:v>
      </x:c>
      <x:c r="F4431" s="2" t="str">
        <x:v>Online</x:v>
      </x:c>
      <x:c r="G4431" s="2" t="str">
        <x:v>Storage</x:v>
      </x:c>
      <x:c r="H4431" s="2" t="str">
        <x:v>Shelf 003</x:v>
      </x:c>
      <x:c r="I4431" s="11" t="n">
        <x:v>3</x:v>
      </x:c>
      <x:c r="J4431" s="9" t="n">
        <x:v>199</x:v>
      </x:c>
      <x:c r="K4431" s="10" t="n">
        <x:v>0.1</x:v>
      </x:c>
      <x:c r="L4431" s="11" t="n">
        <x:v>0</x:v>
      </x:c>
      <x:c r="M4431" s="9" t="n">
        <x:f>IF(D4431="Completed",I4431*J4431,0)</x:f>
        <x:v>597</x:v>
      </x:c>
      <x:c r="N4431" s="9" t="n">
        <x:f>M4431*K4431</x:f>
        <x:v>59.7</x:v>
      </x:c>
      <x:c r="O4431" s="9" t="n">
        <x:f>M4431-N4431</x:f>
        <x:v>537.3</x:v>
      </x:c>
      <x:c r="P4431" s="9" t="n">
        <x:f>IF(D4431="Completed",L4431*J4431*(1-K4431),0)</x:f>
        <x:v>0</x:v>
      </x:c>
      <x:c r="Q4431" s="9" t="n">
        <x:f>O4431-P4431</x:f>
        <x:v>537.3</x:v>
      </x:c>
      <x:c r="R4431" s="11" t="n">
        <x:f>IF(D4431="Completed",I4431,0)</x:f>
        <x:v>3</x:v>
      </x:c>
      <x:c r="S4431" s="11" t="n">
        <x:f>IF(D4431="Completed",L4431,0)</x:f>
        <x:v>0</x:v>
      </x:c>
      <x:c r="T4431" s="8" t="n">
        <x:f>DATE(YEAR(C4431),MONTH(C4431),1)</x:f>
        <x:v>45870</x:v>
      </x:c>
    </x:row>
    <x:row r="4432" ht="22" customHeight="1">
      <x:c r="A4432" s="2" t="str">
        <x:v>L004428</x:v>
      </x:c>
      <x:c r="B4432" s="2" t="str">
        <x:v>O01795</x:v>
      </x:c>
      <x:c r="C4432" s="7" t="n">
        <x:v>45957</x:v>
      </x:c>
      <x:c r="D4432" s="2" t="str">
        <x:v>Completed</x:v>
      </x:c>
      <x:c r="E4432" s="2" t="str">
        <x:v>East</x:v>
      </x:c>
      <x:c r="F4432" s="2" t="str">
        <x:v>Store</x:v>
      </x:c>
      <x:c r="G4432" s="2" t="str">
        <x:v>Furniture</x:v>
      </x:c>
      <x:c r="H4432" s="2" t="str">
        <x:v>Desk 012</x:v>
      </x:c>
      <x:c r="I4432" s="11" t="n">
        <x:v>1</x:v>
      </x:c>
      <x:c r="J4432" s="9" t="n">
        <x:v>134</x:v>
      </x:c>
      <x:c r="K4432" s="10" t="n">
        <x:v>0.1</x:v>
      </x:c>
      <x:c r="L4432" s="11" t="n">
        <x:v>0</x:v>
      </x:c>
      <x:c r="M4432" s="9" t="n">
        <x:f>IF(D4432="Completed",I4432*J4432,0)</x:f>
        <x:v>134</x:v>
      </x:c>
      <x:c r="N4432" s="9" t="n">
        <x:f>M4432*K4432</x:f>
        <x:v>13.4</x:v>
      </x:c>
      <x:c r="O4432" s="9" t="n">
        <x:f>M4432-N4432</x:f>
        <x:v>120.6</x:v>
      </x:c>
      <x:c r="P4432" s="9" t="n">
        <x:f>IF(D4432="Completed",L4432*J4432*(1-K4432),0)</x:f>
        <x:v>0</x:v>
      </x:c>
      <x:c r="Q4432" s="9" t="n">
        <x:f>O4432-P4432</x:f>
        <x:v>120.6</x:v>
      </x:c>
      <x:c r="R4432" s="11" t="n">
        <x:f>IF(D4432="Completed",I4432,0)</x:f>
        <x:v>1</x:v>
      </x:c>
      <x:c r="S4432" s="11" t="n">
        <x:f>IF(D4432="Completed",L4432,0)</x:f>
        <x:v>0</x:v>
      </x:c>
      <x:c r="T4432" s="8" t="n">
        <x:f>DATE(YEAR(C4432),MONTH(C4432),1)</x:f>
        <x:v>45931</x:v>
      </x:c>
    </x:row>
    <x:row r="4433" ht="22" customHeight="1">
      <x:c r="A4433" s="2" t="str">
        <x:v>L004429</x:v>
      </x:c>
      <x:c r="B4433" s="2" t="str">
        <x:v>O01795</x:v>
      </x:c>
      <x:c r="C4433" s="7" t="n">
        <x:v>45957</x:v>
      </x:c>
      <x:c r="D4433" s="2" t="str">
        <x:v>Completed</x:v>
      </x:c>
      <x:c r="E4433" s="2" t="str">
        <x:v>East</x:v>
      </x:c>
      <x:c r="F4433" s="2" t="str">
        <x:v>Store</x:v>
      </x:c>
      <x:c r="G4433" s="2" t="str">
        <x:v>Storage</x:v>
      </x:c>
      <x:c r="H4433" s="2" t="str">
        <x:v>Shelf 023</x:v>
      </x:c>
      <x:c r="I4433" s="11" t="n">
        <x:v>4</x:v>
      </x:c>
      <x:c r="J4433" s="9" t="n">
        <x:v>68</x:v>
      </x:c>
      <x:c r="K4433" s="10" t="n">
        <x:v>0</x:v>
      </x:c>
      <x:c r="L4433" s="11" t="n">
        <x:v>0</x:v>
      </x:c>
      <x:c r="M4433" s="9" t="n">
        <x:f>IF(D4433="Completed",I4433*J4433,0)</x:f>
        <x:v>272</x:v>
      </x:c>
      <x:c r="N4433" s="9" t="n">
        <x:f>M4433*K4433</x:f>
        <x:v>0</x:v>
      </x:c>
      <x:c r="O4433" s="9" t="n">
        <x:f>M4433-N4433</x:f>
        <x:v>272</x:v>
      </x:c>
      <x:c r="P4433" s="9" t="n">
        <x:f>IF(D4433="Completed",L4433*J4433*(1-K4433),0)</x:f>
        <x:v>0</x:v>
      </x:c>
      <x:c r="Q4433" s="9" t="n">
        <x:f>O4433-P4433</x:f>
        <x:v>272</x:v>
      </x:c>
      <x:c r="R4433" s="11" t="n">
        <x:f>IF(D4433="Completed",I4433,0)</x:f>
        <x:v>4</x:v>
      </x:c>
      <x:c r="S4433" s="11" t="n">
        <x:f>IF(D4433="Completed",L4433,0)</x:f>
        <x:v>0</x:v>
      </x:c>
      <x:c r="T4433" s="8" t="n">
        <x:f>DATE(YEAR(C4433),MONTH(C4433),1)</x:f>
        <x:v>45931</x:v>
      </x:c>
    </x:row>
    <x:row r="4434" ht="22" customHeight="1">
      <x:c r="A4434" s="2" t="str">
        <x:v>L004430</x:v>
      </x:c>
      <x:c r="B4434" s="2" t="str">
        <x:v>O01795</x:v>
      </x:c>
      <x:c r="C4434" s="7" t="n">
        <x:v>45957</x:v>
      </x:c>
      <x:c r="D4434" s="2" t="str">
        <x:v>Completed</x:v>
      </x:c>
      <x:c r="E4434" s="2" t="str">
        <x:v>East</x:v>
      </x:c>
      <x:c r="F4434" s="2" t="str">
        <x:v>Store</x:v>
      </x:c>
      <x:c r="G4434" s="2" t="str">
        <x:v>Furniture</x:v>
      </x:c>
      <x:c r="H4434" s="2" t="str">
        <x:v>Chair 010</x:v>
      </x:c>
      <x:c r="I4434" s="11" t="n">
        <x:v>3</x:v>
      </x:c>
      <x:c r="J4434" s="9" t="n">
        <x:v>211</x:v>
      </x:c>
      <x:c r="K4434" s="10" t="n">
        <x:v>0</x:v>
      </x:c>
      <x:c r="L4434" s="11" t="n">
        <x:v>0</x:v>
      </x:c>
      <x:c r="M4434" s="9" t="n">
        <x:f>IF(D4434="Completed",I4434*J4434,0)</x:f>
        <x:v>633</x:v>
      </x:c>
      <x:c r="N4434" s="9" t="n">
        <x:f>M4434*K4434</x:f>
        <x:v>0</x:v>
      </x:c>
      <x:c r="O4434" s="9" t="n">
        <x:f>M4434-N4434</x:f>
        <x:v>633</x:v>
      </x:c>
      <x:c r="P4434" s="9" t="n">
        <x:f>IF(D4434="Completed",L4434*J4434*(1-K4434),0)</x:f>
        <x:v>0</x:v>
      </x:c>
      <x:c r="Q4434" s="9" t="n">
        <x:f>O4434-P4434</x:f>
        <x:v>633</x:v>
      </x:c>
      <x:c r="R4434" s="11" t="n">
        <x:f>IF(D4434="Completed",I4434,0)</x:f>
        <x:v>3</x:v>
      </x:c>
      <x:c r="S4434" s="11" t="n">
        <x:f>IF(D4434="Completed",L4434,0)</x:f>
        <x:v>0</x:v>
      </x:c>
      <x:c r="T4434" s="8" t="n">
        <x:f>DATE(YEAR(C4434),MONTH(C4434),1)</x:f>
        <x:v>45931</x:v>
      </x:c>
    </x:row>
    <x:row r="4435" ht="22" customHeight="1">
      <x:c r="A4435" s="2" t="str">
        <x:v>L004431</x:v>
      </x:c>
      <x:c r="B4435" s="2" t="str">
        <x:v>O01796</x:v>
      </x:c>
      <x:c r="C4435" s="7" t="n">
        <x:v>45686</x:v>
      </x:c>
      <x:c r="D4435" s="2" t="str">
        <x:v>Cancelled</x:v>
      </x:c>
      <x:c r="E4435" s="2" t="str">
        <x:v>South</x:v>
      </x:c>
      <x:c r="F4435" s="2" t="str">
        <x:v>Online</x:v>
      </x:c>
      <x:c r="G4435" s="2" t="str">
        <x:v>Storage</x:v>
      </x:c>
      <x:c r="H4435" s="2" t="str">
        <x:v>Shelf 015</x:v>
      </x:c>
      <x:c r="I4435" s="11" t="n">
        <x:v>4</x:v>
      </x:c>
      <x:c r="J4435" s="9" t="n">
        <x:v>254</x:v>
      </x:c>
      <x:c r="K4435" s="10" t="n">
        <x:v>0</x:v>
      </x:c>
      <x:c r="L4435" s="11" t="n">
        <x:v>0</x:v>
      </x:c>
      <x:c r="M4435" s="9" t="n">
        <x:f>IF(D4435="Completed",I4435*J4435,0)</x:f>
        <x:v>0</x:v>
      </x:c>
      <x:c r="N4435" s="9" t="n">
        <x:f>M4435*K4435</x:f>
        <x:v>0</x:v>
      </x:c>
      <x:c r="O4435" s="9" t="n">
        <x:f>M4435-N4435</x:f>
        <x:v>0</x:v>
      </x:c>
      <x:c r="P4435" s="9" t="n">
        <x:f>IF(D4435="Completed",L4435*J4435*(1-K4435),0)</x:f>
        <x:v>0</x:v>
      </x:c>
      <x:c r="Q4435" s="9" t="n">
        <x:f>O4435-P4435</x:f>
        <x:v>0</x:v>
      </x:c>
      <x:c r="R4435" s="11" t="n">
        <x:f>IF(D4435="Completed",I4435,0)</x:f>
        <x:v>0</x:v>
      </x:c>
      <x:c r="S4435" s="11" t="n">
        <x:f>IF(D4435="Completed",L4435,0)</x:f>
        <x:v>0</x:v>
      </x:c>
      <x:c r="T4435" s="8" t="n">
        <x:f>DATE(YEAR(C4435),MONTH(C4435),1)</x:f>
        <x:v>45658</x:v>
      </x:c>
    </x:row>
    <x:row r="4436" ht="22" customHeight="1">
      <x:c r="A4436" s="2" t="str">
        <x:v>L004432</x:v>
      </x:c>
      <x:c r="B4436" s="2" t="str">
        <x:v>O01796</x:v>
      </x:c>
      <x:c r="C4436" s="7" t="n">
        <x:v>45686</x:v>
      </x:c>
      <x:c r="D4436" s="2" t="str">
        <x:v>Cancelled</x:v>
      </x:c>
      <x:c r="E4436" s="2" t="str">
        <x:v>South</x:v>
      </x:c>
      <x:c r="F4436" s="2" t="str">
        <x:v>Online</x:v>
      </x:c>
      <x:c r="G4436" s="2" t="str">
        <x:v>Storage</x:v>
      </x:c>
      <x:c r="H4436" s="2" t="str">
        <x:v>Shelf 011</x:v>
      </x:c>
      <x:c r="I4436" s="11" t="n">
        <x:v>5</x:v>
      </x:c>
      <x:c r="J4436" s="9" t="n">
        <x:v>80</x:v>
      </x:c>
      <x:c r="K4436" s="10" t="n">
        <x:v>0.2</x:v>
      </x:c>
      <x:c r="L4436" s="11" t="n">
        <x:v>0</x:v>
      </x:c>
      <x:c r="M4436" s="9" t="n">
        <x:f>IF(D4436="Completed",I4436*J4436,0)</x:f>
        <x:v>0</x:v>
      </x:c>
      <x:c r="N4436" s="9" t="n">
        <x:f>M4436*K4436</x:f>
        <x:v>0</x:v>
      </x:c>
      <x:c r="O4436" s="9" t="n">
        <x:f>M4436-N4436</x:f>
        <x:v>0</x:v>
      </x:c>
      <x:c r="P4436" s="9" t="n">
        <x:f>IF(D4436="Completed",L4436*J4436*(1-K4436),0)</x:f>
        <x:v>0</x:v>
      </x:c>
      <x:c r="Q4436" s="9" t="n">
        <x:f>O4436-P4436</x:f>
        <x:v>0</x:v>
      </x:c>
      <x:c r="R4436" s="11" t="n">
        <x:f>IF(D4436="Completed",I4436,0)</x:f>
        <x:v>0</x:v>
      </x:c>
      <x:c r="S4436" s="11" t="n">
        <x:f>IF(D4436="Completed",L4436,0)</x:f>
        <x:v>0</x:v>
      </x:c>
      <x:c r="T4436" s="8" t="n">
        <x:f>DATE(YEAR(C4436),MONTH(C4436),1)</x:f>
        <x:v>45658</x:v>
      </x:c>
    </x:row>
    <x:row r="4437" ht="22" customHeight="1">
      <x:c r="A4437" s="2" t="str">
        <x:v>L004433</x:v>
      </x:c>
      <x:c r="B4437" s="2" t="str">
        <x:v>O01796</x:v>
      </x:c>
      <x:c r="C4437" s="7" t="n">
        <x:v>45686</x:v>
      </x:c>
      <x:c r="D4437" s="2" t="str">
        <x:v>Cancelled</x:v>
      </x:c>
      <x:c r="E4437" s="2" t="str">
        <x:v>South</x:v>
      </x:c>
      <x:c r="F4437" s="2" t="str">
        <x:v>Online</x:v>
      </x:c>
      <x:c r="G4437" s="2" t="str">
        <x:v>Lighting</x:v>
      </x:c>
      <x:c r="H4437" s="2" t="str">
        <x:v>Lamp 013</x:v>
      </x:c>
      <x:c r="I4437" s="11" t="n">
        <x:v>4</x:v>
      </x:c>
      <x:c r="J4437" s="9" t="n">
        <x:v>271</x:v>
      </x:c>
      <x:c r="K4437" s="10" t="n">
        <x:v>0.2</x:v>
      </x:c>
      <x:c r="L4437" s="11" t="n">
        <x:v>0</x:v>
      </x:c>
      <x:c r="M4437" s="9" t="n">
        <x:f>IF(D4437="Completed",I4437*J4437,0)</x:f>
        <x:v>0</x:v>
      </x:c>
      <x:c r="N4437" s="9" t="n">
        <x:f>M4437*K4437</x:f>
        <x:v>0</x:v>
      </x:c>
      <x:c r="O4437" s="9" t="n">
        <x:f>M4437-N4437</x:f>
        <x:v>0</x:v>
      </x:c>
      <x:c r="P4437" s="9" t="n">
        <x:f>IF(D4437="Completed",L4437*J4437*(1-K4437),0)</x:f>
        <x:v>0</x:v>
      </x:c>
      <x:c r="Q4437" s="9" t="n">
        <x:f>O4437-P4437</x:f>
        <x:v>0</x:v>
      </x:c>
      <x:c r="R4437" s="11" t="n">
        <x:f>IF(D4437="Completed",I4437,0)</x:f>
        <x:v>0</x:v>
      </x:c>
      <x:c r="S4437" s="11" t="n">
        <x:f>IF(D4437="Completed",L4437,0)</x:f>
        <x:v>0</x:v>
      </x:c>
      <x:c r="T4437" s="8" t="n">
        <x:f>DATE(YEAR(C4437),MONTH(C4437),1)</x:f>
        <x:v>45658</x:v>
      </x:c>
    </x:row>
    <x:row r="4438" ht="22" customHeight="1">
      <x:c r="A4438" s="2" t="str">
        <x:v>L004434</x:v>
      </x:c>
      <x:c r="B4438" s="2" t="str">
        <x:v>O01796</x:v>
      </x:c>
      <x:c r="C4438" s="7" t="n">
        <x:v>45686</x:v>
      </x:c>
      <x:c r="D4438" s="2" t="str">
        <x:v>Cancelled</x:v>
      </x:c>
      <x:c r="E4438" s="2" t="str">
        <x:v>South</x:v>
      </x:c>
      <x:c r="F4438" s="2" t="str">
        <x:v>Online</x:v>
      </x:c>
      <x:c r="G4438" s="2" t="str">
        <x:v>Furniture</x:v>
      </x:c>
      <x:c r="H4438" s="2" t="str">
        <x:v>Desk 012</x:v>
      </x:c>
      <x:c r="I4438" s="11" t="n">
        <x:v>3</x:v>
      </x:c>
      <x:c r="J4438" s="9" t="n">
        <x:v>134</x:v>
      </x:c>
      <x:c r="K4438" s="10" t="n">
        <x:v>0.2</x:v>
      </x:c>
      <x:c r="L4438" s="11" t="n">
        <x:v>0</x:v>
      </x:c>
      <x:c r="M4438" s="9" t="n">
        <x:f>IF(D4438="Completed",I4438*J4438,0)</x:f>
        <x:v>0</x:v>
      </x:c>
      <x:c r="N4438" s="9" t="n">
        <x:f>M4438*K4438</x:f>
        <x:v>0</x:v>
      </x:c>
      <x:c r="O4438" s="9" t="n">
        <x:f>M4438-N4438</x:f>
        <x:v>0</x:v>
      </x:c>
      <x:c r="P4438" s="9" t="n">
        <x:f>IF(D4438="Completed",L4438*J4438*(1-K4438),0)</x:f>
        <x:v>0</x:v>
      </x:c>
      <x:c r="Q4438" s="9" t="n">
        <x:f>O4438-P4438</x:f>
        <x:v>0</x:v>
      </x:c>
      <x:c r="R4438" s="11" t="n">
        <x:f>IF(D4438="Completed",I4438,0)</x:f>
        <x:v>0</x:v>
      </x:c>
      <x:c r="S4438" s="11" t="n">
        <x:f>IF(D4438="Completed",L4438,0)</x:f>
        <x:v>0</x:v>
      </x:c>
      <x:c r="T4438" s="8" t="n">
        <x:f>DATE(YEAR(C4438),MONTH(C4438),1)</x:f>
        <x:v>45658</x:v>
      </x:c>
    </x:row>
    <x:row r="4439" ht="22" customHeight="1">
      <x:c r="A4439" s="2" t="str">
        <x:v>L004435</x:v>
      </x:c>
      <x:c r="B4439" s="2" t="str">
        <x:v>O01797</x:v>
      </x:c>
      <x:c r="C4439" s="7" t="n">
        <x:v>45878</x:v>
      </x:c>
      <x:c r="D4439" s="2" t="str">
        <x:v>Completed</x:v>
      </x:c>
      <x:c r="E4439" s="2" t="str">
        <x:v>North</x:v>
      </x:c>
      <x:c r="F4439" s="2" t="str">
        <x:v>Online</x:v>
      </x:c>
      <x:c r="G4439" s="2" t="str">
        <x:v>Furniture</x:v>
      </x:c>
      <x:c r="H4439" s="2" t="str">
        <x:v>Desk 016</x:v>
      </x:c>
      <x:c r="I4439" s="11" t="n">
        <x:v>5</x:v>
      </x:c>
      <x:c r="J4439" s="9" t="n">
        <x:v>231</x:v>
      </x:c>
      <x:c r="K4439" s="10" t="n">
        <x:v>0.2</x:v>
      </x:c>
      <x:c r="L4439" s="11" t="n">
        <x:v>0</x:v>
      </x:c>
      <x:c r="M4439" s="9" t="n">
        <x:f>IF(D4439="Completed",I4439*J4439,0)</x:f>
        <x:v>1155</x:v>
      </x:c>
      <x:c r="N4439" s="9" t="n">
        <x:f>M4439*K4439</x:f>
        <x:v>231</x:v>
      </x:c>
      <x:c r="O4439" s="9" t="n">
        <x:f>M4439-N4439</x:f>
        <x:v>924</x:v>
      </x:c>
      <x:c r="P4439" s="9" t="n">
        <x:f>IF(D4439="Completed",L4439*J4439*(1-K4439),0)</x:f>
        <x:v>0</x:v>
      </x:c>
      <x:c r="Q4439" s="9" t="n">
        <x:f>O4439-P4439</x:f>
        <x:v>924</x:v>
      </x:c>
      <x:c r="R4439" s="11" t="n">
        <x:f>IF(D4439="Completed",I4439,0)</x:f>
        <x:v>5</x:v>
      </x:c>
      <x:c r="S4439" s="11" t="n">
        <x:f>IF(D4439="Completed",L4439,0)</x:f>
        <x:v>0</x:v>
      </x:c>
      <x:c r="T4439" s="8" t="n">
        <x:f>DATE(YEAR(C4439),MONTH(C4439),1)</x:f>
        <x:v>45870</x:v>
      </x:c>
    </x:row>
    <x:row r="4440" ht="22" customHeight="1">
      <x:c r="A4440" s="2" t="str">
        <x:v>L004436</x:v>
      </x:c>
      <x:c r="B4440" s="2" t="str">
        <x:v>O01797</x:v>
      </x:c>
      <x:c r="C4440" s="7" t="n">
        <x:v>45878</x:v>
      </x:c>
      <x:c r="D4440" s="2" t="str">
        <x:v>Completed</x:v>
      </x:c>
      <x:c r="E4440" s="2" t="str">
        <x:v>North</x:v>
      </x:c>
      <x:c r="F4440" s="2" t="str">
        <x:v>Online</x:v>
      </x:c>
      <x:c r="G4440" s="2" t="str">
        <x:v>Furniture</x:v>
      </x:c>
      <x:c r="H4440" s="2" t="str">
        <x:v>Desk 008</x:v>
      </x:c>
      <x:c r="I4440" s="11" t="n">
        <x:v>2</x:v>
      </x:c>
      <x:c r="J4440" s="9" t="n">
        <x:v>188</x:v>
      </x:c>
      <x:c r="K4440" s="10" t="n">
        <x:v>0.1</x:v>
      </x:c>
      <x:c r="L4440" s="11" t="n">
        <x:v>0</x:v>
      </x:c>
      <x:c r="M4440" s="9" t="n">
        <x:f>IF(D4440="Completed",I4440*J4440,0)</x:f>
        <x:v>376</x:v>
      </x:c>
      <x:c r="N4440" s="9" t="n">
        <x:f>M4440*K4440</x:f>
        <x:v>37.6</x:v>
      </x:c>
      <x:c r="O4440" s="9" t="n">
        <x:f>M4440-N4440</x:f>
        <x:v>338.4</x:v>
      </x:c>
      <x:c r="P4440" s="9" t="n">
        <x:f>IF(D4440="Completed",L4440*J4440*(1-K4440),0)</x:f>
        <x:v>0</x:v>
      </x:c>
      <x:c r="Q4440" s="9" t="n">
        <x:f>O4440-P4440</x:f>
        <x:v>338.4</x:v>
      </x:c>
      <x:c r="R4440" s="11" t="n">
        <x:f>IF(D4440="Completed",I4440,0)</x:f>
        <x:v>2</x:v>
      </x:c>
      <x:c r="S4440" s="11" t="n">
        <x:f>IF(D4440="Completed",L4440,0)</x:f>
        <x:v>0</x:v>
      </x:c>
      <x:c r="T4440" s="8" t="n">
        <x:f>DATE(YEAR(C4440),MONTH(C4440),1)</x:f>
        <x:v>45870</x:v>
      </x:c>
    </x:row>
    <x:row r="4441" ht="22" customHeight="1">
      <x:c r="A4441" s="2" t="str">
        <x:v>L004437</x:v>
      </x:c>
      <x:c r="B4441" s="2" t="str">
        <x:v>O01797</x:v>
      </x:c>
      <x:c r="C4441" s="7" t="n">
        <x:v>45878</x:v>
      </x:c>
      <x:c r="D4441" s="2" t="str">
        <x:v>Completed</x:v>
      </x:c>
      <x:c r="E4441" s="2" t="str">
        <x:v>North</x:v>
      </x:c>
      <x:c r="F4441" s="2" t="str">
        <x:v>Online</x:v>
      </x:c>
      <x:c r="G4441" s="2" t="str">
        <x:v>Lighting</x:v>
      </x:c>
      <x:c r="H4441" s="2" t="str">
        <x:v>Lamp 005</x:v>
      </x:c>
      <x:c r="I4441" s="11" t="n">
        <x:v>4</x:v>
      </x:c>
      <x:c r="J4441" s="9" t="n">
        <x:v>65</x:v>
      </x:c>
      <x:c r="K4441" s="10" t="n">
        <x:v>0.05</x:v>
      </x:c>
      <x:c r="L4441" s="11" t="n">
        <x:v>0</x:v>
      </x:c>
      <x:c r="M4441" s="9" t="n">
        <x:f>IF(D4441="Completed",I4441*J4441,0)</x:f>
        <x:v>260</x:v>
      </x:c>
      <x:c r="N4441" s="9" t="n">
        <x:f>M4441*K4441</x:f>
        <x:v>13</x:v>
      </x:c>
      <x:c r="O4441" s="9" t="n">
        <x:f>M4441-N4441</x:f>
        <x:v>247</x:v>
      </x:c>
      <x:c r="P4441" s="9" t="n">
        <x:f>IF(D4441="Completed",L4441*J4441*(1-K4441),0)</x:f>
        <x:v>0</x:v>
      </x:c>
      <x:c r="Q4441" s="9" t="n">
        <x:f>O4441-P4441</x:f>
        <x:v>247</x:v>
      </x:c>
      <x:c r="R4441" s="11" t="n">
        <x:f>IF(D4441="Completed",I4441,0)</x:f>
        <x:v>4</x:v>
      </x:c>
      <x:c r="S4441" s="11" t="n">
        <x:f>IF(D4441="Completed",L4441,0)</x:f>
        <x:v>0</x:v>
      </x:c>
      <x:c r="T4441" s="8" t="n">
        <x:f>DATE(YEAR(C4441),MONTH(C4441),1)</x:f>
        <x:v>45870</x:v>
      </x:c>
    </x:row>
    <x:row r="4442" ht="22" customHeight="1">
      <x:c r="A4442" s="2" t="str">
        <x:v>L004438</x:v>
      </x:c>
      <x:c r="B4442" s="2" t="str">
        <x:v>O01797</x:v>
      </x:c>
      <x:c r="C4442" s="7" t="n">
        <x:v>45878</x:v>
      </x:c>
      <x:c r="D4442" s="2" t="str">
        <x:v>Completed</x:v>
      </x:c>
      <x:c r="E4442" s="2" t="str">
        <x:v>North</x:v>
      </x:c>
      <x:c r="F4442" s="2" t="str">
        <x:v>Online</x:v>
      </x:c>
      <x:c r="G4442" s="2" t="str">
        <x:v>Furniture</x:v>
      </x:c>
      <x:c r="H4442" s="2" t="str">
        <x:v>Chair 002</x:v>
      </x:c>
      <x:c r="I4442" s="11" t="n">
        <x:v>4</x:v>
      </x:c>
      <x:c r="J4442" s="9" t="n">
        <x:v>284</x:v>
      </x:c>
      <x:c r="K4442" s="10" t="n">
        <x:v>0</x:v>
      </x:c>
      <x:c r="L4442" s="11" t="n">
        <x:v>0</x:v>
      </x:c>
      <x:c r="M4442" s="9" t="n">
        <x:f>IF(D4442="Completed",I4442*J4442,0)</x:f>
        <x:v>1136</x:v>
      </x:c>
      <x:c r="N4442" s="9" t="n">
        <x:f>M4442*K4442</x:f>
        <x:v>0</x:v>
      </x:c>
      <x:c r="O4442" s="9" t="n">
        <x:f>M4442-N4442</x:f>
        <x:v>1136</x:v>
      </x:c>
      <x:c r="P4442" s="9" t="n">
        <x:f>IF(D4442="Completed",L4442*J4442*(1-K4442),0)</x:f>
        <x:v>0</x:v>
      </x:c>
      <x:c r="Q4442" s="9" t="n">
        <x:f>O4442-P4442</x:f>
        <x:v>1136</x:v>
      </x:c>
      <x:c r="R4442" s="11" t="n">
        <x:f>IF(D4442="Completed",I4442,0)</x:f>
        <x:v>4</x:v>
      </x:c>
      <x:c r="S4442" s="11" t="n">
        <x:f>IF(D4442="Completed",L4442,0)</x:f>
        <x:v>0</x:v>
      </x:c>
      <x:c r="T4442" s="8" t="n">
        <x:f>DATE(YEAR(C4442),MONTH(C4442),1)</x:f>
        <x:v>45870</x:v>
      </x:c>
    </x:row>
    <x:row r="4443" ht="22" customHeight="1">
      <x:c r="A4443" s="2" t="str">
        <x:v>L004439</x:v>
      </x:c>
      <x:c r="B4443" s="2" t="str">
        <x:v>O01798</x:v>
      </x:c>
      <x:c r="C4443" s="7" t="n">
        <x:v>45890</x:v>
      </x:c>
      <x:c r="D4443" s="2" t="str">
        <x:v>Completed</x:v>
      </x:c>
      <x:c r="E4443" s="2" t="str">
        <x:v>West</x:v>
      </x:c>
      <x:c r="F4443" s="2" t="str">
        <x:v>Online</x:v>
      </x:c>
      <x:c r="G4443" s="2" t="str">
        <x:v>Furniture</x:v>
      </x:c>
      <x:c r="H4443" s="2" t="str">
        <x:v>Desk 012</x:v>
      </x:c>
      <x:c r="I4443" s="11" t="n">
        <x:v>3</x:v>
      </x:c>
      <x:c r="J4443" s="9" t="n">
        <x:v>134</x:v>
      </x:c>
      <x:c r="K4443" s="10" t="n">
        <x:v>0</x:v>
      </x:c>
      <x:c r="L4443" s="11" t="n">
        <x:v>0</x:v>
      </x:c>
      <x:c r="M4443" s="9" t="n">
        <x:f>IF(D4443="Completed",I4443*J4443,0)</x:f>
        <x:v>402</x:v>
      </x:c>
      <x:c r="N4443" s="9" t="n">
        <x:f>M4443*K4443</x:f>
        <x:v>0</x:v>
      </x:c>
      <x:c r="O4443" s="9" t="n">
        <x:f>M4443-N4443</x:f>
        <x:v>402</x:v>
      </x:c>
      <x:c r="P4443" s="9" t="n">
        <x:f>IF(D4443="Completed",L4443*J4443*(1-K4443),0)</x:f>
        <x:v>0</x:v>
      </x:c>
      <x:c r="Q4443" s="9" t="n">
        <x:f>O4443-P4443</x:f>
        <x:v>402</x:v>
      </x:c>
      <x:c r="R4443" s="11" t="n">
        <x:f>IF(D4443="Completed",I4443,0)</x:f>
        <x:v>3</x:v>
      </x:c>
      <x:c r="S4443" s="11" t="n">
        <x:f>IF(D4443="Completed",L4443,0)</x:f>
        <x:v>0</x:v>
      </x:c>
      <x:c r="T4443" s="8" t="n">
        <x:f>DATE(YEAR(C4443),MONTH(C4443),1)</x:f>
        <x:v>45870</x:v>
      </x:c>
    </x:row>
    <x:row r="4444" ht="22" customHeight="1">
      <x:c r="A4444" s="2" t="str">
        <x:v>L004440</x:v>
      </x:c>
      <x:c r="B4444" s="2" t="str">
        <x:v>O01798</x:v>
      </x:c>
      <x:c r="C4444" s="7" t="n">
        <x:v>45890</x:v>
      </x:c>
      <x:c r="D4444" s="2" t="str">
        <x:v>Completed</x:v>
      </x:c>
      <x:c r="E4444" s="2" t="str">
        <x:v>West</x:v>
      </x:c>
      <x:c r="F4444" s="2" t="str">
        <x:v>Online</x:v>
      </x:c>
      <x:c r="G4444" s="2" t="str">
        <x:v>Furniture</x:v>
      </x:c>
      <x:c r="H4444" s="2" t="str">
        <x:v>Desk 016</x:v>
      </x:c>
      <x:c r="I4444" s="11" t="n">
        <x:v>3</x:v>
      </x:c>
      <x:c r="J4444" s="9" t="n">
        <x:v>231</x:v>
      </x:c>
      <x:c r="K4444" s="10" t="n">
        <x:v>0.1</x:v>
      </x:c>
      <x:c r="L4444" s="11" t="n">
        <x:v>0</x:v>
      </x:c>
      <x:c r="M4444" s="9" t="n">
        <x:f>IF(D4444="Completed",I4444*J4444,0)</x:f>
        <x:v>693</x:v>
      </x:c>
      <x:c r="N4444" s="9" t="n">
        <x:f>M4444*K4444</x:f>
        <x:v>69.3</x:v>
      </x:c>
      <x:c r="O4444" s="9" t="n">
        <x:f>M4444-N4444</x:f>
        <x:v>623.7</x:v>
      </x:c>
      <x:c r="P4444" s="9" t="n">
        <x:f>IF(D4444="Completed",L4444*J4444*(1-K4444),0)</x:f>
        <x:v>0</x:v>
      </x:c>
      <x:c r="Q4444" s="9" t="n">
        <x:f>O4444-P4444</x:f>
        <x:v>623.7</x:v>
      </x:c>
      <x:c r="R4444" s="11" t="n">
        <x:f>IF(D4444="Completed",I4444,0)</x:f>
        <x:v>3</x:v>
      </x:c>
      <x:c r="S4444" s="11" t="n">
        <x:f>IF(D4444="Completed",L4444,0)</x:f>
        <x:v>0</x:v>
      </x:c>
      <x:c r="T4444" s="8" t="n">
        <x:f>DATE(YEAR(C4444),MONTH(C4444),1)</x:f>
        <x:v>45870</x:v>
      </x:c>
    </x:row>
    <x:row r="4445" ht="22" customHeight="1">
      <x:c r="A4445" s="2" t="str">
        <x:v>L004441</x:v>
      </x:c>
      <x:c r="B4445" s="2" t="str">
        <x:v>O01799</x:v>
      </x:c>
      <x:c r="C4445" s="7" t="n">
        <x:v>45954</x:v>
      </x:c>
      <x:c r="D4445" s="2" t="str">
        <x:v>Completed</x:v>
      </x:c>
      <x:c r="E4445" s="2" t="str">
        <x:v>East</x:v>
      </x:c>
      <x:c r="F4445" s="2" t="str">
        <x:v>Store</x:v>
      </x:c>
      <x:c r="G4445" s="2" t="str">
        <x:v>Storage</x:v>
      </x:c>
      <x:c r="H4445" s="2" t="str">
        <x:v>Shelf 007</x:v>
      </x:c>
      <x:c r="I4445" s="11" t="n">
        <x:v>2</x:v>
      </x:c>
      <x:c r="J4445" s="9" t="n">
        <x:v>35</x:v>
      </x:c>
      <x:c r="K4445" s="10" t="n">
        <x:v>0.05</x:v>
      </x:c>
      <x:c r="L4445" s="11" t="n">
        <x:v>0</x:v>
      </x:c>
      <x:c r="M4445" s="9" t="n">
        <x:f>IF(D4445="Completed",I4445*J4445,0)</x:f>
        <x:v>70</x:v>
      </x:c>
      <x:c r="N4445" s="9" t="n">
        <x:f>M4445*K4445</x:f>
        <x:v>3.5</x:v>
      </x:c>
      <x:c r="O4445" s="9" t="n">
        <x:f>M4445-N4445</x:f>
        <x:v>66.5</x:v>
      </x:c>
      <x:c r="P4445" s="9" t="n">
        <x:f>IF(D4445="Completed",L4445*J4445*(1-K4445),0)</x:f>
        <x:v>0</x:v>
      </x:c>
      <x:c r="Q4445" s="9" t="n">
        <x:f>O4445-P4445</x:f>
        <x:v>66.5</x:v>
      </x:c>
      <x:c r="R4445" s="11" t="n">
        <x:f>IF(D4445="Completed",I4445,0)</x:f>
        <x:v>2</x:v>
      </x:c>
      <x:c r="S4445" s="11" t="n">
        <x:f>IF(D4445="Completed",L4445,0)</x:f>
        <x:v>0</x:v>
      </x:c>
      <x:c r="T4445" s="8" t="n">
        <x:f>DATE(YEAR(C4445),MONTH(C4445),1)</x:f>
        <x:v>45931</x:v>
      </x:c>
    </x:row>
    <x:row r="4446" ht="22" customHeight="1">
      <x:c r="A4446" s="2" t="str">
        <x:v>L004442</x:v>
      </x:c>
      <x:c r="B4446" s="2" t="str">
        <x:v>O01799</x:v>
      </x:c>
      <x:c r="C4446" s="7" t="n">
        <x:v>45954</x:v>
      </x:c>
      <x:c r="D4446" s="2" t="str">
        <x:v>Completed</x:v>
      </x:c>
      <x:c r="E4446" s="2" t="str">
        <x:v>East</x:v>
      </x:c>
      <x:c r="F4446" s="2" t="str">
        <x:v>Store</x:v>
      </x:c>
      <x:c r="G4446" s="2" t="str">
        <x:v>Storage</x:v>
      </x:c>
      <x:c r="H4446" s="2" t="str">
        <x:v>Shelf 015</x:v>
      </x:c>
      <x:c r="I4446" s="11" t="n">
        <x:v>2</x:v>
      </x:c>
      <x:c r="J4446" s="9" t="n">
        <x:v>254</x:v>
      </x:c>
      <x:c r="K4446" s="10" t="n">
        <x:v>0.05</x:v>
      </x:c>
      <x:c r="L4446" s="11" t="n">
        <x:v>0</x:v>
      </x:c>
      <x:c r="M4446" s="9" t="n">
        <x:f>IF(D4446="Completed",I4446*J4446,0)</x:f>
        <x:v>508</x:v>
      </x:c>
      <x:c r="N4446" s="9" t="n">
        <x:f>M4446*K4446</x:f>
        <x:v>25.400000000000002</x:v>
      </x:c>
      <x:c r="O4446" s="9" t="n">
        <x:f>M4446-N4446</x:f>
        <x:v>482.6</x:v>
      </x:c>
      <x:c r="P4446" s="9" t="n">
        <x:f>IF(D4446="Completed",L4446*J4446*(1-K4446),0)</x:f>
        <x:v>0</x:v>
      </x:c>
      <x:c r="Q4446" s="9" t="n">
        <x:f>O4446-P4446</x:f>
        <x:v>482.6</x:v>
      </x:c>
      <x:c r="R4446" s="11" t="n">
        <x:f>IF(D4446="Completed",I4446,0)</x:f>
        <x:v>2</x:v>
      </x:c>
      <x:c r="S4446" s="11" t="n">
        <x:f>IF(D4446="Completed",L4446,0)</x:f>
        <x:v>0</x:v>
      </x:c>
      <x:c r="T4446" s="8" t="n">
        <x:f>DATE(YEAR(C4446),MONTH(C4446),1)</x:f>
        <x:v>45931</x:v>
      </x:c>
    </x:row>
    <x:row r="4447" ht="22" customHeight="1">
      <x:c r="A4447" s="2" t="str">
        <x:v>L004443</x:v>
      </x:c>
      <x:c r="B4447" s="2" t="str">
        <x:v>O01799</x:v>
      </x:c>
      <x:c r="C4447" s="7" t="n">
        <x:v>45954</x:v>
      </x:c>
      <x:c r="D4447" s="2" t="str">
        <x:v>Completed</x:v>
      </x:c>
      <x:c r="E4447" s="2" t="str">
        <x:v>East</x:v>
      </x:c>
      <x:c r="F4447" s="2" t="str">
        <x:v>Store</x:v>
      </x:c>
      <x:c r="G4447" s="2" t="str">
        <x:v>Furniture</x:v>
      </x:c>
      <x:c r="H4447" s="2" t="str">
        <x:v>Desk 008</x:v>
      </x:c>
      <x:c r="I4447" s="11" t="n">
        <x:v>1</x:v>
      </x:c>
      <x:c r="J4447" s="9" t="n">
        <x:v>188</x:v>
      </x:c>
      <x:c r="K4447" s="10" t="n">
        <x:v>0.2</x:v>
      </x:c>
      <x:c r="L4447" s="11" t="n">
        <x:v>0</x:v>
      </x:c>
      <x:c r="M4447" s="9" t="n">
        <x:f>IF(D4447="Completed",I4447*J4447,0)</x:f>
        <x:v>188</x:v>
      </x:c>
      <x:c r="N4447" s="9" t="n">
        <x:f>M4447*K4447</x:f>
        <x:v>37.6</x:v>
      </x:c>
      <x:c r="O4447" s="9" t="n">
        <x:f>M4447-N4447</x:f>
        <x:v>150.4</x:v>
      </x:c>
      <x:c r="P4447" s="9" t="n">
        <x:f>IF(D4447="Completed",L4447*J4447*(1-K4447),0)</x:f>
        <x:v>0</x:v>
      </x:c>
      <x:c r="Q4447" s="9" t="n">
        <x:f>O4447-P4447</x:f>
        <x:v>150.4</x:v>
      </x:c>
      <x:c r="R4447" s="11" t="n">
        <x:f>IF(D4447="Completed",I4447,0)</x:f>
        <x:v>1</x:v>
      </x:c>
      <x:c r="S4447" s="11" t="n">
        <x:f>IF(D4447="Completed",L4447,0)</x:f>
        <x:v>0</x:v>
      </x:c>
      <x:c r="T4447" s="8" t="n">
        <x:f>DATE(YEAR(C4447),MONTH(C4447),1)</x:f>
        <x:v>45931</x:v>
      </x:c>
    </x:row>
    <x:row r="4448" ht="22" customHeight="1">
      <x:c r="A4448" s="2" t="str">
        <x:v>L004444</x:v>
      </x:c>
      <x:c r="B4448" s="2" t="str">
        <x:v>O01800</x:v>
      </x:c>
      <x:c r="C4448" s="7" t="n">
        <x:v>45701</x:v>
      </x:c>
      <x:c r="D4448" s="2" t="str">
        <x:v>Completed</x:v>
      </x:c>
      <x:c r="E4448" s="2" t="str">
        <x:v>North</x:v>
      </x:c>
      <x:c r="F4448" s="2" t="str">
        <x:v>Online</x:v>
      </x:c>
      <x:c r="G4448" s="2" t="str">
        <x:v>Furniture</x:v>
      </x:c>
      <x:c r="H4448" s="2" t="str">
        <x:v>Chair 006</x:v>
      </x:c>
      <x:c r="I4448" s="11" t="n">
        <x:v>1</x:v>
      </x:c>
      <x:c r="J4448" s="9" t="n">
        <x:v>196</x:v>
      </x:c>
      <x:c r="K4448" s="10" t="n">
        <x:v>0.05</x:v>
      </x:c>
      <x:c r="L4448" s="11" t="n">
        <x:v>1</x:v>
      </x:c>
      <x:c r="M4448" s="9" t="n">
        <x:f>IF(D4448="Completed",I4448*J4448,0)</x:f>
        <x:v>196</x:v>
      </x:c>
      <x:c r="N4448" s="9" t="n">
        <x:f>M4448*K4448</x:f>
        <x:v>9.8</x:v>
      </x:c>
      <x:c r="O4448" s="9" t="n">
        <x:f>M4448-N4448</x:f>
        <x:v>186.2</x:v>
      </x:c>
      <x:c r="P4448" s="9" t="n">
        <x:f>IF(D4448="Completed",L4448*J4448*(1-K4448),0)</x:f>
        <x:v>186.2</x:v>
      </x:c>
      <x:c r="Q4448" s="9" t="n">
        <x:f>O4448-P4448</x:f>
        <x:v>0</x:v>
      </x:c>
      <x:c r="R4448" s="11" t="n">
        <x:f>IF(D4448="Completed",I4448,0)</x:f>
        <x:v>1</x:v>
      </x:c>
      <x:c r="S4448" s="11" t="n">
        <x:f>IF(D4448="Completed",L4448,0)</x:f>
        <x:v>1</x:v>
      </x:c>
      <x:c r="T4448" s="8" t="n">
        <x:f>DATE(YEAR(C4448),MONTH(C4448),1)</x:f>
        <x:v>45689</x:v>
      </x:c>
    </x:row>
    <x:row r="4449" ht="22" customHeight="1">
      <x:c r="A4449" s="2" t="str">
        <x:v>L004445</x:v>
      </x:c>
      <x:c r="B4449" s="2" t="str">
        <x:v>O01800</x:v>
      </x:c>
      <x:c r="C4449" s="7" t="n">
        <x:v>45701</x:v>
      </x:c>
      <x:c r="D4449" s="2" t="str">
        <x:v>Completed</x:v>
      </x:c>
      <x:c r="E4449" s="2" t="str">
        <x:v>North</x:v>
      </x:c>
      <x:c r="F4449" s="2" t="str">
        <x:v>Online</x:v>
      </x:c>
      <x:c r="G4449" s="2" t="str">
        <x:v>Furniture</x:v>
      </x:c>
      <x:c r="H4449" s="2" t="str">
        <x:v>Chair 014</x:v>
      </x:c>
      <x:c r="I4449" s="11" t="n">
        <x:v>4</x:v>
      </x:c>
      <x:c r="J4449" s="9" t="n">
        <x:v>294</x:v>
      </x:c>
      <x:c r="K4449" s="10" t="n">
        <x:v>0.05</x:v>
      </x:c>
      <x:c r="L4449" s="11" t="n">
        <x:v>0</x:v>
      </x:c>
      <x:c r="M4449" s="9" t="n">
        <x:f>IF(D4449="Completed",I4449*J4449,0)</x:f>
        <x:v>1176</x:v>
      </x:c>
      <x:c r="N4449" s="9" t="n">
        <x:f>M4449*K4449</x:f>
        <x:v>58.800000000000004</x:v>
      </x:c>
      <x:c r="O4449" s="9" t="n">
        <x:f>M4449-N4449</x:f>
        <x:v>1117.2</x:v>
      </x:c>
      <x:c r="P4449" s="9" t="n">
        <x:f>IF(D4449="Completed",L4449*J4449*(1-K4449),0)</x:f>
        <x:v>0</x:v>
      </x:c>
      <x:c r="Q4449" s="9" t="n">
        <x:f>O4449-P4449</x:f>
        <x:v>1117.2</x:v>
      </x:c>
      <x:c r="R4449" s="11" t="n">
        <x:f>IF(D4449="Completed",I4449,0)</x:f>
        <x:v>4</x:v>
      </x:c>
      <x:c r="S4449" s="11" t="n">
        <x:f>IF(D4449="Completed",L4449,0)</x:f>
        <x:v>0</x:v>
      </x:c>
      <x:c r="T4449" s="8" t="n">
        <x:f>DATE(YEAR(C4449),MONTH(C4449),1)</x:f>
        <x:v>45689</x:v>
      </x:c>
    </x:row>
    <x:row r="4450" ht="22" customHeight="1">
      <x:c r="A4450" s="2" t="str">
        <x:v>L004446</x:v>
      </x:c>
      <x:c r="B4450" s="2" t="str">
        <x:v>O01800</x:v>
      </x:c>
      <x:c r="C4450" s="7" t="n">
        <x:v>45701</x:v>
      </x:c>
      <x:c r="D4450" s="2" t="str">
        <x:v>Completed</x:v>
      </x:c>
      <x:c r="E4450" s="2" t="str">
        <x:v>North</x:v>
      </x:c>
      <x:c r="F4450" s="2" t="str">
        <x:v>Online</x:v>
      </x:c>
      <x:c r="G4450" s="2" t="str">
        <x:v>Furniture</x:v>
      </x:c>
      <x:c r="H4450" s="2" t="str">
        <x:v>Chair 018</x:v>
      </x:c>
      <x:c r="I4450" s="11" t="n">
        <x:v>4</x:v>
      </x:c>
      <x:c r="J4450" s="9" t="n">
        <x:v>269</x:v>
      </x:c>
      <x:c r="K4450" s="10" t="n">
        <x:v>0.1</x:v>
      </x:c>
      <x:c r="L4450" s="11" t="n">
        <x:v>0</x:v>
      </x:c>
      <x:c r="M4450" s="9" t="n">
        <x:f>IF(D4450="Completed",I4450*J4450,0)</x:f>
        <x:v>1076</x:v>
      </x:c>
      <x:c r="N4450" s="9" t="n">
        <x:f>M4450*K4450</x:f>
        <x:v>107.60000000000001</x:v>
      </x:c>
      <x:c r="O4450" s="9" t="n">
        <x:f>M4450-N4450</x:f>
        <x:v>968.4</x:v>
      </x:c>
      <x:c r="P4450" s="9" t="n">
        <x:f>IF(D4450="Completed",L4450*J4450*(1-K4450),0)</x:f>
        <x:v>0</x:v>
      </x:c>
      <x:c r="Q4450" s="9" t="n">
        <x:f>O4450-P4450</x:f>
        <x:v>968.4</x:v>
      </x:c>
      <x:c r="R4450" s="11" t="n">
        <x:f>IF(D4450="Completed",I4450,0)</x:f>
        <x:v>4</x:v>
      </x:c>
      <x:c r="S4450" s="11" t="n">
        <x:f>IF(D4450="Completed",L4450,0)</x:f>
        <x:v>0</x:v>
      </x:c>
      <x:c r="T4450" s="8" t="n">
        <x:f>DATE(YEAR(C4450),MONTH(C4450),1)</x:f>
        <x:v>45689</x:v>
      </x:c>
    </x:row>
  </x:sheetData>
  <x:pageMargins left="0.7" right="0.7" top="0.75" bottom="0.75" header="0.3" footer="0.3"/>
  <x:tableParts count="1">
    <x:tablePart xmlns:r="http://schemas.openxmlformats.org/officeDocument/2006/relationships" r:id="R76faf342d117463c"/>
  </x:tableParts>
</x:worksheet>
</file>